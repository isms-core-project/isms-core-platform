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Guide" sheetId="1" state="visible" r:id="rId1"/>
    <sheet xmlns:r="http://schemas.openxmlformats.org/officeDocument/2006/relationships" name="Controls_Coverage_Matrix" sheetId="2" state="visible" r:id="rId2"/>
    <sheet xmlns:r="http://schemas.openxmlformats.org/officeDocument/2006/relationships" name="Zone_Control_Assessment" sheetId="3" state="visible" r:id="rId3"/>
    <sheet xmlns:r="http://schemas.openxmlformats.org/officeDocument/2006/relationships" name="Device_Control_Mapping" sheetId="4" state="visible" r:id="rId4"/>
    <sheet xmlns:r="http://schemas.openxmlformats.org/officeDocument/2006/relationships" name="Service_Control_Mapping" sheetId="5" state="visible" r:id="rId5"/>
    <sheet xmlns:r="http://schemas.openxmlformats.org/officeDocument/2006/relationships" name="Control_Effectiveness" sheetId="6" state="visible" r:id="rId6"/>
    <sheet xmlns:r="http://schemas.openxmlformats.org/officeDocument/2006/relationships" name="Coverage_Gaps" sheetId="7" state="visible" r:id="rId7"/>
    <sheet xmlns:r="http://schemas.openxmlformats.org/officeDocument/2006/relationships" name="Defense_In_Depth" sheetId="8" state="visible" r:id="rId8"/>
    <sheet xmlns:r="http://schemas.openxmlformats.org/officeDocument/2006/relationships" name="Compliance_Dashboard" sheetId="9" state="visible" r:id="rId9"/>
    <sheet xmlns:r="http://schemas.openxmlformats.org/officeDocument/2006/relationships" name="Executive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dxfs count="6">
    <dxf>
      <font>
        <name val="Calibr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Calibri"/>
        <sz val="10"/>
      </font>
      <fill>
        <patternFill patternType="solid">
          <fgColor rgb="00FFEB9C"/>
          <bgColor rgb="00FFEB9C"/>
        </patternFill>
      </fill>
    </dxf>
    <dxf>
      <font>
        <name val="Calibri"/>
        <b val="1"/>
        <color rgb="00FFFFFF"/>
        <sz val="10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ISMS-IMP-A.8.20-21-22.5  -  Network Security Controls Coverage Matrix
ISO/IEC 27001:2022 - Controls A.8.20, A.8.21, A.8.22: Network Security</t>
        </is>
      </c>
    </row>
    <row r="3">
      <c r="A3" s="2" t="inlineStr">
        <is>
          <t>Document Information</t>
        </is>
      </c>
    </row>
    <row r="4">
      <c r="A4" s="3" t="inlineStr">
        <is>
          <t>Workbook:</t>
        </is>
      </c>
      <c r="B4" s="4" t="inlineStr">
        <is>
          <t>Network Security Controls Coverage Matrix</t>
        </is>
      </c>
    </row>
    <row r="5">
      <c r="A5" s="3" t="inlineStr">
        <is>
          <t>Generated:</t>
        </is>
      </c>
      <c r="B5" s="4" t="inlineStr">
        <is>
          <t>31.01.2026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Controls:</t>
        </is>
      </c>
      <c r="B7" s="4" t="inlineStr">
        <is>
          <t>ISO 27001:2022 A.8.20, A.8.21, A.8.22</t>
        </is>
      </c>
    </row>
    <row r="8">
      <c r="A8" s="3" t="inlineStr">
        <is>
          <t>Purpose:</t>
        </is>
      </c>
      <c r="B8" s="4" t="inlineStr">
        <is>
          <t>Map security controls coverage across network zones and assets</t>
        </is>
      </c>
    </row>
    <row r="9">
      <c r="A9" s="3" t="inlineStr">
        <is>
          <t>Integration:</t>
        </is>
      </c>
      <c r="B9" s="4" t="inlineStr">
        <is>
          <t>Consolidates findings from Workbooks 1-4</t>
        </is>
      </c>
    </row>
    <row r="11">
      <c r="A11" s="2" t="inlineStr">
        <is>
          <t>How This Workbook Integrates with WB1-WB4</t>
        </is>
      </c>
    </row>
    <row r="12" ht="25" customHeight="1">
      <c r="A12" s="4" t="inlineStr">
        <is>
          <t>📊 WB1 (Device Inventory) → Device_Control_Mapping: Which devices provide which controls</t>
        </is>
      </c>
    </row>
    <row r="13" ht="25" customHeight="1">
      <c r="A13" s="4" t="inlineStr">
        <is>
          <t>📊 WB2 (Device Security) → Control_Effectiveness: Device hardening compliance feeds control effectiveness</t>
        </is>
      </c>
    </row>
    <row r="14" ht="25" customHeight="1">
      <c r="A14" s="4" t="inlineStr">
        <is>
          <t>📊 WB3 (Services Catalog) → Service_Control_Mapping: Which services provide which controls</t>
        </is>
      </c>
    </row>
    <row r="15" ht="25" customHeight="1">
      <c r="A15" s="4" t="inlineStr">
        <is>
          <t>📊 WB4 (Segmentation) → Zone_Control_Assessment: Segmentation controls per zone</t>
        </is>
      </c>
    </row>
    <row r="16" ht="25" customHeight="1">
      <c r="A16" s="4" t="inlineStr">
        <is>
          <t>📊 THIS WORKBOOK (WB5): Master coverage matrix showing which controls protect which zones</t>
        </is>
      </c>
    </row>
    <row r="18">
      <c r="A18" s="2" t="inlineStr">
        <is>
          <t>Assessment Approach</t>
        </is>
      </c>
    </row>
    <row r="19" ht="25" customHeight="1">
      <c r="A19" s="4" t="inlineStr">
        <is>
          <t>1. CONTROLS INVENTORY: List all security controls from A.8.20, A.8.21, A.8.22</t>
        </is>
      </c>
    </row>
    <row r="20" ht="25" customHeight="1">
      <c r="A20" s="4" t="inlineStr">
        <is>
          <t>2. COVERAGE MATRIX: Map which controls protect which security zones (rows = zones, cols = controls)</t>
        </is>
      </c>
    </row>
    <row r="21" ht="25" customHeight="1">
      <c r="A21" s="4" t="inlineStr">
        <is>
          <t>3. DEVICE MAPPING: Identify which devices implement which controls (from WB1 + WB2)</t>
        </is>
      </c>
    </row>
    <row r="22" ht="25" customHeight="1">
      <c r="A22" s="4" t="inlineStr">
        <is>
          <t>4. SERVICE MAPPING: Identify which services implement which controls (from WB3)</t>
        </is>
      </c>
    </row>
    <row r="23" ht="25" customHeight="1">
      <c r="A23" s="4" t="inlineStr">
        <is>
          <t>5. EFFECTIVENESS: Assess how effectively each control is implemented per zone</t>
        </is>
      </c>
    </row>
    <row r="24" ht="25" customHeight="1">
      <c r="A24" s="4" t="inlineStr">
        <is>
          <t>6. GAP IDENTIFICATION: Find zones with insufficient control coverage</t>
        </is>
      </c>
    </row>
    <row r="25" ht="25" customHeight="1">
      <c r="A25" s="4" t="inlineStr">
        <is>
          <t>7. DEFENSE-IN-DEPTH: Verify multiple layers of controls (no single point of failure)</t>
        </is>
      </c>
    </row>
    <row r="26" ht="25" customHeight="1">
      <c r="A26" s="4" t="inlineStr">
        <is>
          <t>8. COMPLIANCE SCORING: Aggregate compliance across all three controls (A.8.20/21/22)</t>
        </is>
      </c>
    </row>
    <row r="28">
      <c r="A28" s="2" t="inlineStr">
        <is>
          <t>Security Control Categories</t>
        </is>
      </c>
    </row>
    <row r="29" ht="20" customHeight="1">
      <c r="A29" s="5" t="inlineStr">
        <is>
          <t>▸ A.8.20 - Network Security</t>
        </is>
      </c>
    </row>
    <row r="30" ht="20" customHeight="1">
      <c r="A30" s="4" t="inlineStr">
        <is>
          <t xml:space="preserve">  • Perimeter Firewall</t>
        </is>
      </c>
    </row>
    <row r="31" ht="20" customHeight="1">
      <c r="A31" s="4" t="inlineStr">
        <is>
          <t xml:space="preserve">  • Network Device Hardening</t>
        </is>
      </c>
    </row>
    <row r="32" ht="20" customHeight="1">
      <c r="A32" s="4" t="inlineStr">
        <is>
          <t xml:space="preserve">  • Network Monitoring</t>
        </is>
      </c>
    </row>
    <row r="33" ht="20" customHeight="1">
      <c r="A33" s="4" t="inlineStr">
        <is>
          <t xml:space="preserve">  • Network Logging</t>
        </is>
      </c>
    </row>
    <row r="34" ht="20" customHeight="1">
      <c r="A34" s="4" t="inlineStr">
        <is>
          <t xml:space="preserve">  • Wireless Security</t>
        </is>
      </c>
    </row>
    <row r="35" ht="20" customHeight="1">
      <c r="A35" s="4" t="inlineStr">
        <is>
          <t xml:space="preserve">  • Remote Access VPN</t>
        </is>
      </c>
    </row>
    <row r="36" ht="20" customHeight="1">
      <c r="A36" s="4" t="inlineStr">
        <is>
          <t xml:space="preserve">  • Network Access Control (NAC)</t>
        </is>
      </c>
    </row>
    <row r="37" ht="20" customHeight="1">
      <c r="A37" s="5" t="inlineStr">
        <is>
          <t>▸ A.8.21 - Network Services</t>
        </is>
      </c>
    </row>
    <row r="38" ht="20" customHeight="1">
      <c r="A38" s="4" t="inlineStr">
        <is>
          <t xml:space="preserve">  • DNS Security (DNSSEC)</t>
        </is>
      </c>
    </row>
    <row r="39" ht="20" customHeight="1">
      <c r="A39" s="4" t="inlineStr">
        <is>
          <t xml:space="preserve">  • DHCP Security</t>
        </is>
      </c>
    </row>
    <row r="40" ht="20" customHeight="1">
      <c r="A40" s="4" t="inlineStr">
        <is>
          <t xml:space="preserve">  • NTP Security</t>
        </is>
      </c>
    </row>
    <row r="41" ht="20" customHeight="1">
      <c r="A41" s="4" t="inlineStr">
        <is>
          <t xml:space="preserve">  • Proxy/Web Filtering</t>
        </is>
      </c>
    </row>
    <row r="42" ht="20" customHeight="1">
      <c r="A42" s="4" t="inlineStr">
        <is>
          <t xml:space="preserve">  • Load Balancer Security</t>
        </is>
      </c>
    </row>
    <row r="43" ht="20" customHeight="1">
      <c r="A43" s="4" t="inlineStr">
        <is>
          <t xml:space="preserve">  • AAA Services (RADIUS/TACACS+)</t>
        </is>
      </c>
    </row>
    <row r="44" ht="20" customHeight="1">
      <c r="A44" s="4" t="inlineStr">
        <is>
          <t xml:space="preserve">  • SNMP Security</t>
        </is>
      </c>
    </row>
    <row r="45" ht="20" customHeight="1">
      <c r="A45" s="4" t="inlineStr">
        <is>
          <t xml:space="preserve">  • Syslog Security</t>
        </is>
      </c>
    </row>
    <row r="46" ht="20" customHeight="1">
      <c r="A46" s="5" t="inlineStr">
        <is>
          <t>▸ A.8.22 - Network Segmentation</t>
        </is>
      </c>
    </row>
    <row r="47" ht="20" customHeight="1">
      <c r="A47" s="4" t="inlineStr">
        <is>
          <t xml:space="preserve">  • Zone Segmentation</t>
        </is>
      </c>
    </row>
    <row r="48" ht="20" customHeight="1">
      <c r="A48" s="4" t="inlineStr">
        <is>
          <t xml:space="preserve">  • VLAN Segmentation</t>
        </is>
      </c>
    </row>
    <row r="49" ht="20" customHeight="1">
      <c r="A49" s="4" t="inlineStr">
        <is>
          <t xml:space="preserve">  • Firewall Inter-Zone Rules</t>
        </is>
      </c>
    </row>
    <row r="50" ht="20" customHeight="1">
      <c r="A50" s="4" t="inlineStr">
        <is>
          <t xml:space="preserve">  • ACL Enforcement</t>
        </is>
      </c>
    </row>
    <row r="51" ht="20" customHeight="1">
      <c r="A51" s="4" t="inlineStr">
        <is>
          <t xml:space="preserve">  • Segmentation Testing</t>
        </is>
      </c>
    </row>
    <row r="52" ht="20" customHeight="1">
      <c r="A52" s="4" t="inlineStr">
        <is>
          <t xml:space="preserve">  • Microsegmentation</t>
        </is>
      </c>
    </row>
    <row r="54">
      <c r="A54" s="2" t="inlineStr">
        <is>
          <t>⚠ IMPORTANT NOTES</t>
        </is>
      </c>
    </row>
    <row r="55" ht="20" customHeight="1">
      <c r="A55" s="4" t="inlineStr">
        <is>
          <t>• Controls_Coverage_Matrix is the master assessment - core of this workbook</t>
        </is>
      </c>
    </row>
    <row r="56" ht="20" customHeight="1">
      <c r="A56" s="4" t="inlineStr">
        <is>
          <t>• Coverage = 'Covered' means control is implemented and effective for that zone</t>
        </is>
      </c>
    </row>
    <row r="57" ht="20" customHeight="1">
      <c r="A57" s="4" t="inlineStr">
        <is>
          <t>• Defense-in-Depth = Multiple layers of controls (e.g., Firewall + ACL + Segmentation)</t>
        </is>
      </c>
    </row>
    <row r="58" ht="20" customHeight="1">
      <c r="A58" s="4" t="inlineStr">
        <is>
          <t>• Critical zones (DMZ, Datacenter) require more controls than low-risk zones (Guest)</t>
        </is>
      </c>
    </row>
    <row r="59" ht="20" customHeight="1">
      <c r="A59" s="4" t="inlineStr">
        <is>
          <t>• Gap identification focuses on high-risk zones with insufficient coverage</t>
        </is>
      </c>
    </row>
  </sheetData>
  <mergeCells count="48">
    <mergeCell ref="A48:H48"/>
    <mergeCell ref="A30:H30"/>
    <mergeCell ref="A39:H39"/>
    <mergeCell ref="A15:H15"/>
    <mergeCell ref="A59:H59"/>
    <mergeCell ref="A24:H24"/>
    <mergeCell ref="A51:H51"/>
    <mergeCell ref="A36:H36"/>
    <mergeCell ref="A11:H11"/>
    <mergeCell ref="A49:H49"/>
    <mergeCell ref="A1:H1"/>
    <mergeCell ref="A45:H45"/>
    <mergeCell ref="A25:H25"/>
    <mergeCell ref="A16:H16"/>
    <mergeCell ref="A54:H54"/>
    <mergeCell ref="A41:H41"/>
    <mergeCell ref="A37:H37"/>
    <mergeCell ref="A46:H46"/>
    <mergeCell ref="A3:B3"/>
    <mergeCell ref="A12:H12"/>
    <mergeCell ref="A18:H18"/>
    <mergeCell ref="A50:H50"/>
    <mergeCell ref="A26:H26"/>
    <mergeCell ref="A21:H21"/>
    <mergeCell ref="A56:H56"/>
    <mergeCell ref="A55:H55"/>
    <mergeCell ref="A57:H57"/>
    <mergeCell ref="A42:H42"/>
    <mergeCell ref="A33:H33"/>
    <mergeCell ref="A14:H14"/>
    <mergeCell ref="A47:H47"/>
    <mergeCell ref="A23:H23"/>
    <mergeCell ref="A32:H32"/>
    <mergeCell ref="A22:H22"/>
    <mergeCell ref="A40:H40"/>
    <mergeCell ref="A29:H29"/>
    <mergeCell ref="A35:H35"/>
    <mergeCell ref="A20:H20"/>
    <mergeCell ref="A38:H38"/>
    <mergeCell ref="A43:H43"/>
    <mergeCell ref="A52:H52"/>
    <mergeCell ref="A28:H28"/>
    <mergeCell ref="A13:H13"/>
    <mergeCell ref="A19:H19"/>
    <mergeCell ref="A44:H44"/>
    <mergeCell ref="A31:H31"/>
    <mergeCell ref="A58:H5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2" customWidth="1" min="28" max="28"/>
  </cols>
  <sheetData>
    <row r="1" ht="25" customHeight="1">
      <c r="A1" s="1" t="inlineStr">
        <is>
          <t>Security Controls Coverage Matrix - Generated 31.01.2026</t>
        </is>
      </c>
    </row>
    <row r="2" ht="30" customHeight="1">
      <c r="A2" s="4" t="inlineStr">
        <is>
          <t>📋 Matrix: Rows = Security Zones | Columns = Security Controls | Cell = Coverage Status (Covered/Not Covered/Partial)</t>
        </is>
      </c>
    </row>
    <row r="3">
      <c r="A3" s="3" t="inlineStr">
        <is>
          <t>Zone ID</t>
        </is>
      </c>
      <c r="B3" s="3" t="inlineStr">
        <is>
          <t>Zone Name</t>
        </is>
      </c>
      <c r="C3" s="3" t="inlineStr">
        <is>
          <t>Perimeter Firewall</t>
        </is>
      </c>
      <c r="D3" s="3" t="inlineStr">
        <is>
          <t>Network Device Hardening</t>
        </is>
      </c>
      <c r="E3" s="3" t="inlineStr">
        <is>
          <t>Network Monitoring</t>
        </is>
      </c>
      <c r="F3" s="3" t="inlineStr">
        <is>
          <t>Network Logging</t>
        </is>
      </c>
      <c r="G3" s="3" t="inlineStr">
        <is>
          <t>Wireless Security</t>
        </is>
      </c>
      <c r="H3" s="3" t="inlineStr">
        <is>
          <t>Remote Access VPN</t>
        </is>
      </c>
      <c r="I3" s="3" t="inlineStr">
        <is>
          <t>Network Access Control (NAC)</t>
        </is>
      </c>
      <c r="J3" s="3" t="inlineStr">
        <is>
          <t>DNS Security (DNSSEC)</t>
        </is>
      </c>
      <c r="K3" s="3" t="inlineStr">
        <is>
          <t>DHCP Security</t>
        </is>
      </c>
      <c r="L3" s="3" t="inlineStr">
        <is>
          <t>NTP Security</t>
        </is>
      </c>
      <c r="M3" s="3" t="inlineStr">
        <is>
          <t>Proxy/Web Filtering</t>
        </is>
      </c>
      <c r="N3" s="3" t="inlineStr">
        <is>
          <t>Load Balancer Security</t>
        </is>
      </c>
      <c r="O3" s="3" t="inlineStr">
        <is>
          <t>AAA Services (RADIUS/TACACS+)</t>
        </is>
      </c>
      <c r="P3" s="3" t="inlineStr">
        <is>
          <t>SNMP Security</t>
        </is>
      </c>
      <c r="Q3" s="3" t="inlineStr">
        <is>
          <t>Syslog Security</t>
        </is>
      </c>
      <c r="R3" s="3" t="inlineStr">
        <is>
          <t>Zone Segmentation</t>
        </is>
      </c>
      <c r="S3" s="3" t="inlineStr">
        <is>
          <t>VLAN Segmentation</t>
        </is>
      </c>
      <c r="T3" s="3" t="inlineStr">
        <is>
          <t>Firewall Inter-Zone Rules</t>
        </is>
      </c>
      <c r="U3" s="3" t="inlineStr">
        <is>
          <t>ACL Enforcement</t>
        </is>
      </c>
      <c r="V3" s="3" t="inlineStr">
        <is>
          <t>Segmentation Testing</t>
        </is>
      </c>
      <c r="W3" s="3" t="inlineStr">
        <is>
          <t>Microsegmentation</t>
        </is>
      </c>
      <c r="X3" s="3" t="n"/>
      <c r="Y3" s="3" t="n"/>
      <c r="Z3" s="3" t="n"/>
      <c r="AA3" s="3" t="n"/>
      <c r="AB3" s="3" t="inlineStr">
        <is>
          <t>Coverage %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7">
        <f>IF(COUNTA(C4:AA4)=0,"",COUNTIF(C4:AA4,"Covered")/COUNTA(C4:AA4)*100)</f>
        <v/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7">
        <f>IF(COUNTA(C5:AA5)=0,"",COUNTIF(C5:AA5,"Covered")/COUNTA(C5:AA5)*100)</f>
        <v/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7">
        <f>IF(COUNTA(C6:AA6)=0,"",COUNTIF(C6:AA6,"Covered")/COUNTA(C6:AA6)*100)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7">
        <f>IF(COUNTA(C7:AA7)=0,"",COUNTIF(C7:AA7,"Covered")/COUNTA(C7:AA7)*100)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>
        <f>IF(COUNTA(C8:AA8)=0,"",COUNTIF(C8:AA8,"Covered")/COUNTA(C8:AA8)*100)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>
        <f>IF(COUNTA(C9:AA9)=0,"",COUNTIF(C9:AA9,"Covered")/COUNTA(C9:AA9)*100)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7">
        <f>IF(COUNTA(C10:AA10)=0,"",COUNTIF(C10:AA10,"Covered")/COUNTA(C10:AA10)*100)</f>
        <v/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7">
        <f>IF(COUNTA(C11:AA11)=0,"",COUNTIF(C11:AA11,"Covered")/COUNTA(C11:AA11)*100)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7">
        <f>IF(COUNTA(C12:AA12)=0,"",COUNTIF(C12:AA12,"Covered")/COUNTA(C12:AA12)*100)</f>
        <v/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7">
        <f>IF(COUNTA(C13:AA13)=0,"",COUNTIF(C13:AA13,"Covered")/COUNTA(C13:AA13)*100)</f>
        <v/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7">
        <f>IF(COUNTA(C14:AA14)=0,"",COUNTIF(C14:AA14,"Covered")/COUNTA(C14:AA14)*100)</f>
        <v/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7">
        <f>IF(COUNTA(C15:AA15)=0,"",COUNTIF(C15:AA15,"Covered")/COUNTA(C15:AA15)*100)</f>
        <v/>
      </c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7">
        <f>IF(COUNTA(C16:AA16)=0,"",COUNTIF(C16:AA16,"Covered")/COUNTA(C16:AA16)*100)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7">
        <f>IF(COUNTA(C17:AA17)=0,"",COUNTIF(C17:AA17,"Covered")/COUNTA(C17:AA17)*100)</f>
        <v/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7">
        <f>IF(COUNTA(C18:AA18)=0,"",COUNTIF(C18:AA18,"Covered")/COUNTA(C18:AA18)*100)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7">
        <f>IF(COUNTA(C19:AA19)=0,"",COUNTIF(C19:AA19,"Covered")/COUNTA(C19:AA19)*100)</f>
        <v/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7">
        <f>IF(COUNTA(C20:AA20)=0,"",COUNTIF(C20:AA20,"Covered")/COUNTA(C20:AA20)*100)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7">
        <f>IF(COUNTA(C21:AA21)=0,"",COUNTIF(C21:AA21,"Covered")/COUNTA(C21:AA21)*100)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7">
        <f>IF(COUNTA(C22:AA22)=0,"",COUNTIF(C22:AA22,"Covered")/COUNTA(C22:AA22)*100)</f>
        <v/>
      </c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7">
        <f>IF(COUNTA(C23:AA23)=0,"",COUNTIF(C23:AA23,"Covered")/COUNTA(C23:AA23)*100)</f>
        <v/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7">
        <f>IF(COUNTA(C24:AA24)=0,"",COUNTIF(C24:AA24,"Covered")/COUNTA(C24:AA24)*100)</f>
        <v/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7">
        <f>IF(COUNTA(C25:AA25)=0,"",COUNTIF(C25:AA25,"Covered")/COUNTA(C25:AA25)*100)</f>
        <v/>
      </c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7">
        <f>IF(COUNTA(C26:AA26)=0,"",COUNTIF(C26:AA26,"Covered")/COUNTA(C26:AA26)*100)</f>
        <v/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7">
        <f>IF(COUNTA(C27:AA27)=0,"",COUNTIF(C27:AA27,"Covered")/COUNTA(C27:AA27)*100)</f>
        <v/>
      </c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7">
        <f>IF(COUNTA(C28:AA28)=0,"",COUNTIF(C28:AA28,"Covered")/COUNTA(C28:AA28)*100)</f>
        <v/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7">
        <f>IF(COUNTA(C29:AA29)=0,"",COUNTIF(C29:AA29,"Covered")/COUNTA(C29:AA29)*100)</f>
        <v/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7">
        <f>IF(COUNTA(C30:AA30)=0,"",COUNTIF(C30:AA30,"Covered")/COUNTA(C30:AA30)*100)</f>
        <v/>
      </c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7">
        <f>IF(COUNTA(C31:AA31)=0,"",COUNTIF(C31:AA31,"Covered")/COUNTA(C31:AA31)*100)</f>
        <v/>
      </c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7">
        <f>IF(COUNTA(C32:AA32)=0,"",COUNTIF(C32:AA32,"Covered")/COUNTA(C32:AA32)*100)</f>
        <v/>
      </c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7">
        <f>IF(COUNTA(C33:AA33)=0,"",COUNTIF(C33:AA33,"Covered")/COUNTA(C33:AA33)*100)</f>
        <v/>
      </c>
    </row>
  </sheetData>
  <mergeCells count="2">
    <mergeCell ref="A1:AA1"/>
    <mergeCell ref="A2:AA2"/>
  </mergeCells>
  <conditionalFormatting sqref="C4:C33">
    <cfRule type="cellIs" priority="1" operator="equal" dxfId="0">
      <formula>"Covered"</formula>
    </cfRule>
    <cfRule type="cellIs" priority="2" operator="equal" dxfId="1">
      <formula>"Not Covered"</formula>
    </cfRule>
    <cfRule type="cellIs" priority="3" operator="equal" dxfId="2">
      <formula>"Partially Covered"</formula>
    </cfRule>
  </conditionalFormatting>
  <conditionalFormatting sqref="D4:D33">
    <cfRule type="cellIs" priority="4" operator="equal" dxfId="0">
      <formula>"Covered"</formula>
    </cfRule>
    <cfRule type="cellIs" priority="5" operator="equal" dxfId="1">
      <formula>"Not Covered"</formula>
    </cfRule>
    <cfRule type="cellIs" priority="6" operator="equal" dxfId="2">
      <formula>"Partially Covered"</formula>
    </cfRule>
  </conditionalFormatting>
  <conditionalFormatting sqref="E4:E33">
    <cfRule type="cellIs" priority="7" operator="equal" dxfId="0">
      <formula>"Covered"</formula>
    </cfRule>
    <cfRule type="cellIs" priority="8" operator="equal" dxfId="1">
      <formula>"Not Covered"</formula>
    </cfRule>
    <cfRule type="cellIs" priority="9" operator="equal" dxfId="2">
      <formula>"Partially Covered"</formula>
    </cfRule>
  </conditionalFormatting>
  <conditionalFormatting sqref="F4:F33">
    <cfRule type="cellIs" priority="10" operator="equal" dxfId="0">
      <formula>"Covered"</formula>
    </cfRule>
    <cfRule type="cellIs" priority="11" operator="equal" dxfId="1">
      <formula>"Not Covered"</formula>
    </cfRule>
    <cfRule type="cellIs" priority="12" operator="equal" dxfId="2">
      <formula>"Partially Covered"</formula>
    </cfRule>
  </conditionalFormatting>
  <conditionalFormatting sqref="G4:G33">
    <cfRule type="cellIs" priority="13" operator="equal" dxfId="0">
      <formula>"Covered"</formula>
    </cfRule>
    <cfRule type="cellIs" priority="14" operator="equal" dxfId="1">
      <formula>"Not Covered"</formula>
    </cfRule>
    <cfRule type="cellIs" priority="15" operator="equal" dxfId="2">
      <formula>"Partially Covered"</formula>
    </cfRule>
  </conditionalFormatting>
  <conditionalFormatting sqref="H4:H33">
    <cfRule type="cellIs" priority="16" operator="equal" dxfId="0">
      <formula>"Covered"</formula>
    </cfRule>
    <cfRule type="cellIs" priority="17" operator="equal" dxfId="1">
      <formula>"Not Covered"</formula>
    </cfRule>
    <cfRule type="cellIs" priority="18" operator="equal" dxfId="2">
      <formula>"Partially Covered"</formula>
    </cfRule>
  </conditionalFormatting>
  <conditionalFormatting sqref="I4:I33">
    <cfRule type="cellIs" priority="19" operator="equal" dxfId="0">
      <formula>"Covered"</formula>
    </cfRule>
    <cfRule type="cellIs" priority="20" operator="equal" dxfId="1">
      <formula>"Not Covered"</formula>
    </cfRule>
    <cfRule type="cellIs" priority="21" operator="equal" dxfId="2">
      <formula>"Partially Covered"</formula>
    </cfRule>
  </conditionalFormatting>
  <conditionalFormatting sqref="J4:J33">
    <cfRule type="cellIs" priority="22" operator="equal" dxfId="0">
      <formula>"Covered"</formula>
    </cfRule>
    <cfRule type="cellIs" priority="23" operator="equal" dxfId="1">
      <formula>"Not Covered"</formula>
    </cfRule>
    <cfRule type="cellIs" priority="24" operator="equal" dxfId="2">
      <formula>"Partially Covered"</formula>
    </cfRule>
  </conditionalFormatting>
  <conditionalFormatting sqref="K4:K33">
    <cfRule type="cellIs" priority="25" operator="equal" dxfId="0">
      <formula>"Covered"</formula>
    </cfRule>
    <cfRule type="cellIs" priority="26" operator="equal" dxfId="1">
      <formula>"Not Covered"</formula>
    </cfRule>
    <cfRule type="cellIs" priority="27" operator="equal" dxfId="2">
      <formula>"Partially Covered"</formula>
    </cfRule>
  </conditionalFormatting>
  <conditionalFormatting sqref="L4:L33">
    <cfRule type="cellIs" priority="28" operator="equal" dxfId="0">
      <formula>"Covered"</formula>
    </cfRule>
    <cfRule type="cellIs" priority="29" operator="equal" dxfId="1">
      <formula>"Not Covered"</formula>
    </cfRule>
    <cfRule type="cellIs" priority="30" operator="equal" dxfId="2">
      <formula>"Partially Covered"</formula>
    </cfRule>
  </conditionalFormatting>
  <conditionalFormatting sqref="M4:M33">
    <cfRule type="cellIs" priority="31" operator="equal" dxfId="0">
      <formula>"Covered"</formula>
    </cfRule>
    <cfRule type="cellIs" priority="32" operator="equal" dxfId="1">
      <formula>"Not Covered"</formula>
    </cfRule>
    <cfRule type="cellIs" priority="33" operator="equal" dxfId="2">
      <formula>"Partially Covered"</formula>
    </cfRule>
  </conditionalFormatting>
  <conditionalFormatting sqref="N4:N33">
    <cfRule type="cellIs" priority="34" operator="equal" dxfId="0">
      <formula>"Covered"</formula>
    </cfRule>
    <cfRule type="cellIs" priority="35" operator="equal" dxfId="1">
      <formula>"Not Covered"</formula>
    </cfRule>
    <cfRule type="cellIs" priority="36" operator="equal" dxfId="2">
      <formula>"Partially Covered"</formula>
    </cfRule>
  </conditionalFormatting>
  <conditionalFormatting sqref="O4:O33">
    <cfRule type="cellIs" priority="37" operator="equal" dxfId="0">
      <formula>"Covered"</formula>
    </cfRule>
    <cfRule type="cellIs" priority="38" operator="equal" dxfId="1">
      <formula>"Not Covered"</formula>
    </cfRule>
    <cfRule type="cellIs" priority="39" operator="equal" dxfId="2">
      <formula>"Partially Covered"</formula>
    </cfRule>
  </conditionalFormatting>
  <conditionalFormatting sqref="P4:P33">
    <cfRule type="cellIs" priority="40" operator="equal" dxfId="0">
      <formula>"Covered"</formula>
    </cfRule>
    <cfRule type="cellIs" priority="41" operator="equal" dxfId="1">
      <formula>"Not Covered"</formula>
    </cfRule>
    <cfRule type="cellIs" priority="42" operator="equal" dxfId="2">
      <formula>"Partially Covered"</formula>
    </cfRule>
  </conditionalFormatting>
  <conditionalFormatting sqref="Q4:Q33">
    <cfRule type="cellIs" priority="43" operator="equal" dxfId="0">
      <formula>"Covered"</formula>
    </cfRule>
    <cfRule type="cellIs" priority="44" operator="equal" dxfId="1">
      <formula>"Not Covered"</formula>
    </cfRule>
    <cfRule type="cellIs" priority="45" operator="equal" dxfId="2">
      <formula>"Partially Covered"</formula>
    </cfRule>
  </conditionalFormatting>
  <conditionalFormatting sqref="R4:R33">
    <cfRule type="cellIs" priority="46" operator="equal" dxfId="0">
      <formula>"Covered"</formula>
    </cfRule>
    <cfRule type="cellIs" priority="47" operator="equal" dxfId="1">
      <formula>"Not Covered"</formula>
    </cfRule>
    <cfRule type="cellIs" priority="48" operator="equal" dxfId="2">
      <formula>"Partially Covered"</formula>
    </cfRule>
  </conditionalFormatting>
  <conditionalFormatting sqref="S4:S33">
    <cfRule type="cellIs" priority="49" operator="equal" dxfId="0">
      <formula>"Covered"</formula>
    </cfRule>
    <cfRule type="cellIs" priority="50" operator="equal" dxfId="1">
      <formula>"Not Covered"</formula>
    </cfRule>
    <cfRule type="cellIs" priority="51" operator="equal" dxfId="2">
      <formula>"Partially Covered"</formula>
    </cfRule>
  </conditionalFormatting>
  <conditionalFormatting sqref="T4:T33">
    <cfRule type="cellIs" priority="52" operator="equal" dxfId="0">
      <formula>"Covered"</formula>
    </cfRule>
    <cfRule type="cellIs" priority="53" operator="equal" dxfId="1">
      <formula>"Not Covered"</formula>
    </cfRule>
    <cfRule type="cellIs" priority="54" operator="equal" dxfId="2">
      <formula>"Partially Covered"</formula>
    </cfRule>
  </conditionalFormatting>
  <conditionalFormatting sqref="U4:U33">
    <cfRule type="cellIs" priority="55" operator="equal" dxfId="0">
      <formula>"Covered"</formula>
    </cfRule>
    <cfRule type="cellIs" priority="56" operator="equal" dxfId="1">
      <formula>"Not Covered"</formula>
    </cfRule>
    <cfRule type="cellIs" priority="57" operator="equal" dxfId="2">
      <formula>"Partially Covered"</formula>
    </cfRule>
  </conditionalFormatting>
  <conditionalFormatting sqref="V4:V33">
    <cfRule type="cellIs" priority="58" operator="equal" dxfId="0">
      <formula>"Covered"</formula>
    </cfRule>
    <cfRule type="cellIs" priority="59" operator="equal" dxfId="1">
      <formula>"Not Covered"</formula>
    </cfRule>
    <cfRule type="cellIs" priority="60" operator="equal" dxfId="2">
      <formula>"Partially Covered"</formula>
    </cfRule>
  </conditionalFormatting>
  <conditionalFormatting sqref="W4:W33">
    <cfRule type="cellIs" priority="61" operator="equal" dxfId="0">
      <formula>"Covered"</formula>
    </cfRule>
    <cfRule type="cellIs" priority="62" operator="equal" dxfId="1">
      <formula>"Not Covered"</formula>
    </cfRule>
    <cfRule type="cellIs" priority="63" operator="equal" dxfId="2">
      <formula>"Partially Covered"</formula>
    </cfRule>
  </conditionalFormatting>
  <conditionalFormatting sqref="X4:X33">
    <cfRule type="cellIs" priority="64" operator="equal" dxfId="0">
      <formula>"Covered"</formula>
    </cfRule>
    <cfRule type="cellIs" priority="65" operator="equal" dxfId="1">
      <formula>"Not Covered"</formula>
    </cfRule>
    <cfRule type="cellIs" priority="66" operator="equal" dxfId="2">
      <formula>"Partially Covered"</formula>
    </cfRule>
  </conditionalFormatting>
  <conditionalFormatting sqref="Y4:Y33">
    <cfRule type="cellIs" priority="67" operator="equal" dxfId="0">
      <formula>"Covered"</formula>
    </cfRule>
    <cfRule type="cellIs" priority="68" operator="equal" dxfId="1">
      <formula>"Not Covered"</formula>
    </cfRule>
    <cfRule type="cellIs" priority="69" operator="equal" dxfId="2">
      <formula>"Partially Covered"</formula>
    </cfRule>
  </conditionalFormatting>
  <conditionalFormatting sqref="Z4:Z33">
    <cfRule type="cellIs" priority="70" operator="equal" dxfId="0">
      <formula>"Covered"</formula>
    </cfRule>
    <cfRule type="cellIs" priority="71" operator="equal" dxfId="1">
      <formula>"Not Covered"</formula>
    </cfRule>
    <cfRule type="cellIs" priority="72" operator="equal" dxfId="2">
      <formula>"Partially Covered"</formula>
    </cfRule>
  </conditionalFormatting>
  <conditionalFormatting sqref="AA4:AA33">
    <cfRule type="cellIs" priority="73" operator="equal" dxfId="0">
      <formula>"Covered"</formula>
    </cfRule>
    <cfRule type="cellIs" priority="74" operator="equal" dxfId="1">
      <formula>"Not Covered"</formula>
    </cfRule>
    <cfRule type="cellIs" priority="75" operator="equal" dxfId="2">
      <formula>"Partially Covered"</formula>
    </cfRule>
  </conditionalFormatting>
  <dataValidations count="1">
    <dataValidation sqref="C4:C33 D4:D33 E4:E33 F4:F33 G4:G33 H4:H33 I4:I33 J4:J33 K4:K33 L4:L33 M4:M33 N4:N33 O4:O33 P4:P33 Q4:Q33 R4:R33 S4:S33 T4:T33 U4:U33 V4:V33 W4:W33 X4:X33 Y4:Y33 Z4:Z33 AA4:AA33" showDropDown="0" showInputMessage="0" showErrorMessage="0" allowBlank="0" type="list">
      <formula1>"Covered,Not Covered,Partially Covered,N/A"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5" customWidth="1" min="5" max="5"/>
    <col width="15" customWidth="1" min="6" max="6"/>
    <col width="18" customWidth="1" min="7" max="7"/>
    <col width="12" customWidth="1" min="8" max="8"/>
    <col width="12" customWidth="1" min="9" max="9"/>
    <col width="15" customWidth="1" min="10" max="10"/>
    <col width="40" customWidth="1" min="11" max="11"/>
  </cols>
  <sheetData>
    <row r="1" ht="25" customHeight="1">
      <c r="A1" s="1" t="inlineStr">
        <is>
          <t>Zone Control Assessment - Effectiveness by Zone</t>
        </is>
      </c>
    </row>
    <row r="2">
      <c r="A2" s="4" t="inlineStr">
        <is>
          <t>📋 Assess overall control effectiveness for each security zone.</t>
        </is>
      </c>
    </row>
    <row r="3">
      <c r="A3" s="3" t="inlineStr">
        <is>
          <t>Zone ID</t>
        </is>
      </c>
      <c r="B3" s="3" t="inlineStr">
        <is>
          <t>Zone Name</t>
        </is>
      </c>
      <c r="C3" s="3" t="inlineStr">
        <is>
          <t>Risk Level</t>
        </is>
      </c>
      <c r="D3" s="3" t="inlineStr">
        <is>
          <t>Controls Required</t>
        </is>
      </c>
      <c r="E3" s="3" t="inlineStr">
        <is>
          <t>Controls Implemented</t>
        </is>
      </c>
      <c r="F3" s="3" t="inlineStr">
        <is>
          <t>Control Coverage %</t>
        </is>
      </c>
      <c r="G3" s="3" t="inlineStr">
        <is>
          <t>Effectiveness Rating</t>
        </is>
      </c>
      <c r="H3" s="3" t="inlineStr">
        <is>
          <t>Gaps Identified</t>
        </is>
      </c>
      <c r="I3" s="3" t="inlineStr">
        <is>
          <t>Last Assessment</t>
        </is>
      </c>
      <c r="J3" s="3" t="inlineStr">
        <is>
          <t>Assessed By</t>
        </is>
      </c>
      <c r="K3" s="3" t="inlineStr">
        <is>
          <t>Notes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5">
      <c r="A35" s="2" t="inlineStr">
        <is>
          <t>Control Effectiveness Assessment Guidelines</t>
        </is>
      </c>
    </row>
    <row r="36" ht="20" customHeight="1">
      <c r="A36" s="4" t="inlineStr">
        <is>
          <t>Effective: All required controls implemented, tested, and functioning correctly</t>
        </is>
      </c>
    </row>
    <row r="37" ht="20" customHeight="1">
      <c r="A37" s="4" t="inlineStr">
        <is>
          <t>Partially Effective: Most controls implemented, some gaps or testing incomplete</t>
        </is>
      </c>
    </row>
    <row r="38" ht="20" customHeight="1">
      <c r="A38" s="4" t="inlineStr">
        <is>
          <t>Ineffective: Significant control gaps, controls not functioning, or not tested</t>
        </is>
      </c>
    </row>
    <row r="39" ht="20" customHeight="1">
      <c r="A39" s="4" t="inlineStr">
        <is>
          <t>Not Assessed: Zone has not yet been assessed for control effectiveness</t>
        </is>
      </c>
    </row>
  </sheetData>
  <mergeCells count="7">
    <mergeCell ref="A35:K35"/>
    <mergeCell ref="A39:K39"/>
    <mergeCell ref="A38:K38"/>
    <mergeCell ref="A2:K2"/>
    <mergeCell ref="A36:K36"/>
    <mergeCell ref="A1:K1"/>
    <mergeCell ref="A37:K37"/>
  </mergeCells>
  <conditionalFormatting sqref="G4:G33">
    <cfRule type="cellIs" priority="1" operator="equal" dxfId="0">
      <formula>"Effective"</formula>
    </cfRule>
    <cfRule type="cellIs" priority="2" operator="equal" dxfId="1">
      <formula>"Ineffective"</formula>
    </cfRule>
    <cfRule type="cellIs" priority="3" operator="equal" dxfId="2">
      <formula>"Partially Effective"</formula>
    </cfRule>
  </conditionalFormatting>
  <dataValidations count="1">
    <dataValidation sqref="F4:F24 G4:G33" showDropDown="0" showInputMessage="0" showErrorMessage="0" allowBlank="0" type="list">
      <formula1>"Effective,Partially Effective,Ineffective,Not Assessed"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8" customWidth="1" min="4" max="4"/>
    <col width="40" customWidth="1" min="5" max="5"/>
    <col width="18" customWidth="1" min="6" max="6"/>
    <col width="12" customWidth="1" min="7" max="7"/>
    <col width="15" customWidth="1" min="8" max="8"/>
    <col width="12" customWidth="1" min="9" max="9"/>
    <col width="40" customWidth="1" min="10" max="10"/>
  </cols>
  <sheetData>
    <row r="1" ht="25" customHeight="1">
      <c r="A1" s="1" t="inlineStr">
        <is>
          <t>Device-to-Control Mapping (from WB1 + WB2)</t>
        </is>
      </c>
    </row>
    <row r="2">
      <c r="A2" s="4" t="inlineStr">
        <is>
          <t>📋 Map which network devices implement which security controls. Data from WB1 (Inventory) + WB2 (Hardening).</t>
        </is>
      </c>
    </row>
    <row r="3">
      <c r="A3" s="3" t="inlineStr">
        <is>
          <t>Device ID</t>
        </is>
      </c>
      <c r="B3" s="3" t="inlineStr">
        <is>
          <t>Device Type</t>
        </is>
      </c>
      <c r="C3" s="3" t="inlineStr">
        <is>
          <t>Hostname</t>
        </is>
      </c>
      <c r="D3" s="3" t="inlineStr">
        <is>
          <t>Security Zone</t>
        </is>
      </c>
      <c r="E3" s="3" t="inlineStr">
        <is>
          <t>Controls Provided</t>
        </is>
      </c>
      <c r="F3" s="3" t="inlineStr">
        <is>
          <t>Control Category</t>
        </is>
      </c>
      <c r="G3" s="3" t="inlineStr">
        <is>
          <t>Hardening Score</t>
        </is>
      </c>
      <c r="H3" s="3" t="inlineStr">
        <is>
          <t>Effectiveness</t>
        </is>
      </c>
      <c r="I3" s="3" t="inlineStr">
        <is>
          <t>Last Assessed</t>
        </is>
      </c>
      <c r="J3" s="3" t="inlineStr">
        <is>
          <t>Notes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5">
      <c r="A55" s="2" t="inlineStr">
        <is>
          <t>Example Device-to-Control Mappings</t>
        </is>
      </c>
    </row>
    <row r="56">
      <c r="A56" s="3" t="inlineStr">
        <is>
          <t>Device Type</t>
        </is>
      </c>
      <c r="B56" s="3" t="inlineStr">
        <is>
          <t>Controls Provided</t>
        </is>
      </c>
      <c r="C56" s="3" t="inlineStr">
        <is>
          <t>Control Category</t>
        </is>
      </c>
    </row>
    <row r="57" ht="25" customHeight="1">
      <c r="A57" s="3" t="inlineStr">
        <is>
          <t>Firewall</t>
        </is>
      </c>
      <c r="B57" s="4" t="inlineStr">
        <is>
          <t>Perimeter Firewall, Inter-Zone Rules, Logging</t>
        </is>
      </c>
      <c r="C57" s="4" t="inlineStr">
        <is>
          <t>A.8.20, A.8.22</t>
        </is>
      </c>
    </row>
    <row r="58" ht="25" customHeight="1">
      <c r="A58" s="3" t="inlineStr">
        <is>
          <t>Router</t>
        </is>
      </c>
      <c r="B58" s="4" t="inlineStr">
        <is>
          <t>ACL Enforcement, Network Segmentation</t>
        </is>
      </c>
      <c r="C58" s="4" t="inlineStr">
        <is>
          <t>A.8.20, A.8.22</t>
        </is>
      </c>
    </row>
    <row r="59" ht="25" customHeight="1">
      <c r="A59" s="3" t="inlineStr">
        <is>
          <t>Switch</t>
        </is>
      </c>
      <c r="B59" s="4" t="inlineStr">
        <is>
          <t>VLAN Segmentation, Port Security, DHCP Snooping</t>
        </is>
      </c>
      <c r="C59" s="4" t="inlineStr">
        <is>
          <t>A.8.22</t>
        </is>
      </c>
    </row>
    <row r="60" ht="25" customHeight="1">
      <c r="A60" s="3" t="inlineStr">
        <is>
          <t>DNS Server</t>
        </is>
      </c>
      <c r="B60" s="4" t="inlineStr">
        <is>
          <t>DNS Security (DNSSEC), Query Logging</t>
        </is>
      </c>
      <c r="C60" s="4" t="inlineStr">
        <is>
          <t>A.8.21</t>
        </is>
      </c>
    </row>
    <row r="61" ht="25" customHeight="1">
      <c r="A61" s="3" t="inlineStr">
        <is>
          <t>DHCP Server</t>
        </is>
      </c>
      <c r="B61" s="4" t="inlineStr">
        <is>
          <t>DHCP Security, Scope Management</t>
        </is>
      </c>
      <c r="C61" s="4" t="inlineStr">
        <is>
          <t>A.8.21</t>
        </is>
      </c>
    </row>
    <row r="62" ht="25" customHeight="1">
      <c r="A62" s="3" t="inlineStr">
        <is>
          <t>Proxy</t>
        </is>
      </c>
      <c r="B62" s="4" t="inlineStr">
        <is>
          <t>Web Filtering, SSL Inspection, Malware Scanning</t>
        </is>
      </c>
      <c r="C62" s="4" t="inlineStr">
        <is>
          <t>A.8.21</t>
        </is>
      </c>
    </row>
    <row r="63" ht="25" customHeight="1">
      <c r="A63" s="3" t="inlineStr">
        <is>
          <t>Load Balancer</t>
        </is>
      </c>
      <c r="B63" s="4" t="inlineStr">
        <is>
          <t>Load Balancer Security, SSL Termination</t>
        </is>
      </c>
      <c r="C63" s="4" t="inlineStr">
        <is>
          <t>A.8.21</t>
        </is>
      </c>
    </row>
    <row r="64" ht="25" customHeight="1">
      <c r="A64" s="3" t="inlineStr">
        <is>
          <t>SIEM</t>
        </is>
      </c>
      <c r="B64" s="4" t="inlineStr">
        <is>
          <t>Network Monitoring, Logging</t>
        </is>
      </c>
      <c r="C64" s="4" t="inlineStr">
        <is>
          <t>A.8.20</t>
        </is>
      </c>
    </row>
  </sheetData>
  <mergeCells count="3">
    <mergeCell ref="A55:J55"/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45" customWidth="1" min="4" max="4"/>
    <col width="18" customWidth="1" min="5" max="5"/>
    <col width="12" customWidth="1" min="6" max="6"/>
    <col width="20" customWidth="1" min="7" max="7"/>
    <col width="12" customWidth="1" min="8" max="8"/>
    <col width="40" customWidth="1" min="9" max="9"/>
  </cols>
  <sheetData>
    <row r="1" ht="25" customHeight="1">
      <c r="A1" s="1" t="inlineStr">
        <is>
          <t>Service-to-Control Mapping (from WB3)</t>
        </is>
      </c>
    </row>
    <row r="2">
      <c r="A2" s="4" t="inlineStr">
        <is>
          <t>📋 Map which network services implement which security controls. Data from WB3 (Services Catalog).</t>
        </is>
      </c>
    </row>
    <row r="3">
      <c r="A3" s="3" t="inlineStr">
        <is>
          <t>Service ID</t>
        </is>
      </c>
      <c r="B3" s="3" t="inlineStr">
        <is>
          <t>Service Type</t>
        </is>
      </c>
      <c r="C3" s="3" t="inlineStr">
        <is>
          <t>Service Name</t>
        </is>
      </c>
      <c r="D3" s="3" t="inlineStr">
        <is>
          <t>Controls Provided</t>
        </is>
      </c>
      <c r="E3" s="3" t="inlineStr">
        <is>
          <t>Control Category</t>
        </is>
      </c>
      <c r="F3" s="3" t="inlineStr">
        <is>
          <t>Security Score</t>
        </is>
      </c>
      <c r="G3" s="3" t="inlineStr">
        <is>
          <t>Zones Served</t>
        </is>
      </c>
      <c r="H3" s="3" t="inlineStr">
        <is>
          <t>Last Assessed</t>
        </is>
      </c>
      <c r="I3" s="3" t="inlineStr">
        <is>
          <t>Notes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5">
      <c r="A45" s="2" t="inlineStr">
        <is>
          <t>Example Service-to-Control Mappings</t>
        </is>
      </c>
    </row>
    <row r="46">
      <c r="A46" s="3" t="inlineStr">
        <is>
          <t>Service</t>
        </is>
      </c>
      <c r="B46" s="3" t="inlineStr">
        <is>
          <t>Controls Provided</t>
        </is>
      </c>
    </row>
    <row r="47" ht="25" customHeight="1">
      <c r="A47" s="3" t="inlineStr">
        <is>
          <t>DNS</t>
        </is>
      </c>
      <c r="B47" s="4" t="inlineStr">
        <is>
          <t>DNS Security (DNSSEC), Query Logging, Rate Limiting, Split DNS</t>
        </is>
      </c>
    </row>
    <row r="48" ht="25" customHeight="1">
      <c r="A48" s="3" t="inlineStr">
        <is>
          <t>DHCP</t>
        </is>
      </c>
      <c r="B48" s="4" t="inlineStr">
        <is>
          <t>DHCP Security, DHCP Snooping, Rogue Detection</t>
        </is>
      </c>
    </row>
    <row r="49" ht="25" customHeight="1">
      <c r="A49" s="3" t="inlineStr">
        <is>
          <t>NTP</t>
        </is>
      </c>
      <c r="B49" s="4" t="inlineStr">
        <is>
          <t>NTP Security, Time Synchronization, Authentication</t>
        </is>
      </c>
    </row>
    <row r="50" ht="25" customHeight="1">
      <c r="A50" s="3" t="inlineStr">
        <is>
          <t>Proxy</t>
        </is>
      </c>
      <c r="B50" s="4" t="inlineStr">
        <is>
          <t>Web Filtering, SSL Inspection, Malware Scanning, Logging</t>
        </is>
      </c>
    </row>
    <row r="51" ht="25" customHeight="1">
      <c r="A51" s="3" t="inlineStr">
        <is>
          <t>Load Balancer</t>
        </is>
      </c>
      <c r="B51" s="4" t="inlineStr">
        <is>
          <t>Load Balancing Security, SSL Termination, Health Checks</t>
        </is>
      </c>
    </row>
    <row r="52" ht="25" customHeight="1">
      <c r="A52" s="3" t="inlineStr">
        <is>
          <t>RADIUS/TACACS+</t>
        </is>
      </c>
      <c r="B52" s="4" t="inlineStr">
        <is>
          <t>AAA Services, Strong Authentication, Command Authorization</t>
        </is>
      </c>
    </row>
    <row r="53" ht="25" customHeight="1">
      <c r="A53" s="3" t="inlineStr">
        <is>
          <t>SNMP</t>
        </is>
      </c>
      <c r="B53" s="4" t="inlineStr">
        <is>
          <t>SNMP Security (SNMPv3), Device Monitoring</t>
        </is>
      </c>
    </row>
    <row r="54" ht="25" customHeight="1">
      <c r="A54" s="3" t="inlineStr">
        <is>
          <t>Syslog</t>
        </is>
      </c>
      <c r="B54" s="4" t="inlineStr">
        <is>
          <t>Centralized Logging, TLS Encryption, Retention</t>
        </is>
      </c>
    </row>
  </sheetData>
  <mergeCells count="11">
    <mergeCell ref="B52:I52"/>
    <mergeCell ref="B53:I53"/>
    <mergeCell ref="B48:I48"/>
    <mergeCell ref="A2:I2"/>
    <mergeCell ref="B47:I47"/>
    <mergeCell ref="B51:I51"/>
    <mergeCell ref="B54:I54"/>
    <mergeCell ref="A1:I1"/>
    <mergeCell ref="A45:I45"/>
    <mergeCell ref="B49:I49"/>
    <mergeCell ref="B50:I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2" customWidth="1" min="4" max="4"/>
    <col width="12" customWidth="1" min="5" max="5"/>
    <col width="18" customWidth="1" min="6" max="6"/>
    <col width="35" customWidth="1" min="7" max="7"/>
    <col width="40" customWidth="1" min="8" max="8"/>
  </cols>
  <sheetData>
    <row r="1" ht="25" customHeight="1">
      <c r="A1" s="1" t="inlineStr">
        <is>
          <t>Overall Control Effectiveness Assessment</t>
        </is>
      </c>
    </row>
    <row r="2">
      <c r="A2" s="4" t="inlineStr">
        <is>
          <t>📋 Assess effectiveness of each security control across all zones.</t>
        </is>
      </c>
    </row>
    <row r="3">
      <c r="A3" s="3" t="inlineStr">
        <is>
          <t>Control Name</t>
        </is>
      </c>
      <c r="B3" s="3" t="inlineStr">
        <is>
          <t>Control Category</t>
        </is>
      </c>
      <c r="C3" s="3" t="inlineStr">
        <is>
          <t>Zones Covered</t>
        </is>
      </c>
      <c r="D3" s="3" t="inlineStr">
        <is>
          <t>Total Zones</t>
        </is>
      </c>
      <c r="E3" s="3" t="inlineStr">
        <is>
          <t>Coverage %</t>
        </is>
      </c>
      <c r="F3" s="3" t="inlineStr">
        <is>
          <t>Effectiveness Rating</t>
        </is>
      </c>
      <c r="G3" s="3" t="inlineStr">
        <is>
          <t>Weaknesses</t>
        </is>
      </c>
      <c r="H3" s="3" t="inlineStr">
        <is>
          <t>Improvement Actions</t>
        </is>
      </c>
    </row>
    <row r="4">
      <c r="A4" t="inlineStr">
        <is>
          <t>Perimeter Firewall</t>
        </is>
      </c>
      <c r="B4" t="inlineStr">
        <is>
          <t>A.8.20 - Network Security</t>
        </is>
      </c>
      <c r="C4" s="6" t="n"/>
      <c r="D4" s="6" t="n"/>
      <c r="E4" s="6" t="n"/>
      <c r="F4" s="6" t="n"/>
      <c r="G4" s="6" t="n"/>
      <c r="H4" s="6" t="n"/>
    </row>
    <row r="5">
      <c r="A5" t="inlineStr">
        <is>
          <t>Network Device Hardening</t>
        </is>
      </c>
      <c r="B5" t="inlineStr">
        <is>
          <t>A.8.20 - Network Security</t>
        </is>
      </c>
      <c r="C5" s="6" t="n"/>
      <c r="D5" s="6" t="n"/>
      <c r="E5" s="6" t="n"/>
      <c r="F5" s="6" t="n"/>
      <c r="G5" s="6" t="n"/>
      <c r="H5" s="6" t="n"/>
    </row>
    <row r="6">
      <c r="A6" t="inlineStr">
        <is>
          <t>Network Monitoring</t>
        </is>
      </c>
      <c r="B6" t="inlineStr">
        <is>
          <t>A.8.20 - Network Security</t>
        </is>
      </c>
      <c r="C6" s="6" t="n"/>
      <c r="D6" s="6" t="n"/>
      <c r="E6" s="6" t="n"/>
      <c r="F6" s="6" t="n"/>
      <c r="G6" s="6" t="n"/>
      <c r="H6" s="6" t="n"/>
    </row>
    <row r="7">
      <c r="A7" t="inlineStr">
        <is>
          <t>Network Logging</t>
        </is>
      </c>
      <c r="B7" t="inlineStr">
        <is>
          <t>A.8.20 - Network Security</t>
        </is>
      </c>
      <c r="C7" s="6" t="n"/>
      <c r="D7" s="6" t="n"/>
      <c r="E7" s="6" t="n"/>
      <c r="F7" s="6" t="n"/>
      <c r="G7" s="6" t="n"/>
      <c r="H7" s="6" t="n"/>
    </row>
    <row r="8">
      <c r="A8" t="inlineStr">
        <is>
          <t>Wireless Security</t>
        </is>
      </c>
      <c r="B8" t="inlineStr">
        <is>
          <t>A.8.20 - Network Security</t>
        </is>
      </c>
      <c r="C8" s="6" t="n"/>
      <c r="D8" s="6" t="n"/>
      <c r="E8" s="6" t="n"/>
      <c r="F8" s="6" t="n"/>
      <c r="G8" s="6" t="n"/>
      <c r="H8" s="6" t="n"/>
    </row>
    <row r="9">
      <c r="A9" t="inlineStr">
        <is>
          <t>Remote Access VPN</t>
        </is>
      </c>
      <c r="B9" t="inlineStr">
        <is>
          <t>A.8.20 - Network Security</t>
        </is>
      </c>
      <c r="C9" s="6" t="n"/>
      <c r="D9" s="6" t="n"/>
      <c r="E9" s="6" t="n"/>
      <c r="F9" s="6" t="n"/>
      <c r="G9" s="6" t="n"/>
      <c r="H9" s="6" t="n"/>
    </row>
    <row r="10">
      <c r="A10" t="inlineStr">
        <is>
          <t>Network Access Control (NAC)</t>
        </is>
      </c>
      <c r="B10" t="inlineStr">
        <is>
          <t>A.8.20 - Network Security</t>
        </is>
      </c>
      <c r="C10" s="6" t="n"/>
      <c r="D10" s="6" t="n"/>
      <c r="E10" s="6" t="n"/>
      <c r="F10" s="6" t="n"/>
      <c r="G10" s="6" t="n"/>
      <c r="H10" s="6" t="n"/>
    </row>
    <row r="11">
      <c r="A11" t="inlineStr">
        <is>
          <t>DNS Security (DNSSEC)</t>
        </is>
      </c>
      <c r="B11" t="inlineStr">
        <is>
          <t>A.8.21 - Network Services</t>
        </is>
      </c>
      <c r="C11" s="6" t="n"/>
      <c r="D11" s="6" t="n"/>
      <c r="E11" s="6" t="n"/>
      <c r="F11" s="6" t="n"/>
      <c r="G11" s="6" t="n"/>
      <c r="H11" s="6" t="n"/>
    </row>
    <row r="12">
      <c r="A12" t="inlineStr">
        <is>
          <t>DHCP Security</t>
        </is>
      </c>
      <c r="B12" t="inlineStr">
        <is>
          <t>A.8.21 - Network Services</t>
        </is>
      </c>
      <c r="C12" s="6" t="n"/>
      <c r="D12" s="6" t="n"/>
      <c r="E12" s="6" t="n"/>
      <c r="F12" s="6" t="n"/>
      <c r="G12" s="6" t="n"/>
      <c r="H12" s="6" t="n"/>
    </row>
    <row r="13">
      <c r="A13" t="inlineStr">
        <is>
          <t>NTP Security</t>
        </is>
      </c>
      <c r="B13" t="inlineStr">
        <is>
          <t>A.8.21 - Network Services</t>
        </is>
      </c>
      <c r="C13" s="6" t="n"/>
      <c r="D13" s="6" t="n"/>
      <c r="E13" s="6" t="n"/>
      <c r="F13" s="6" t="n"/>
      <c r="G13" s="6" t="n"/>
      <c r="H13" s="6" t="n"/>
    </row>
    <row r="14">
      <c r="A14" t="inlineStr">
        <is>
          <t>Proxy/Web Filtering</t>
        </is>
      </c>
      <c r="B14" t="inlineStr">
        <is>
          <t>A.8.21 - Network Services</t>
        </is>
      </c>
      <c r="C14" s="6" t="n"/>
      <c r="D14" s="6" t="n"/>
      <c r="E14" s="6" t="n"/>
      <c r="F14" s="6" t="n"/>
      <c r="G14" s="6" t="n"/>
      <c r="H14" s="6" t="n"/>
    </row>
    <row r="15">
      <c r="A15" t="inlineStr">
        <is>
          <t>Load Balancer Security</t>
        </is>
      </c>
      <c r="B15" t="inlineStr">
        <is>
          <t>A.8.21 - Network Services</t>
        </is>
      </c>
      <c r="C15" s="6" t="n"/>
      <c r="D15" s="6" t="n"/>
      <c r="E15" s="6" t="n"/>
      <c r="F15" s="6" t="n"/>
      <c r="G15" s="6" t="n"/>
      <c r="H15" s="6" t="n"/>
    </row>
    <row r="16">
      <c r="A16" t="inlineStr">
        <is>
          <t>AAA Services (RADIUS/TACACS+)</t>
        </is>
      </c>
      <c r="B16" t="inlineStr">
        <is>
          <t>A.8.21 - Network Services</t>
        </is>
      </c>
      <c r="C16" s="6" t="n"/>
      <c r="D16" s="6" t="n"/>
      <c r="E16" s="6" t="n"/>
      <c r="F16" s="6" t="n"/>
      <c r="G16" s="6" t="n"/>
      <c r="H16" s="6" t="n"/>
    </row>
    <row r="17">
      <c r="A17" t="inlineStr">
        <is>
          <t>SNMP Security</t>
        </is>
      </c>
      <c r="B17" t="inlineStr">
        <is>
          <t>A.8.21 - Network Services</t>
        </is>
      </c>
      <c r="C17" s="6" t="n"/>
      <c r="D17" s="6" t="n"/>
      <c r="E17" s="6" t="n"/>
      <c r="F17" s="6" t="n"/>
      <c r="G17" s="6" t="n"/>
      <c r="H17" s="6" t="n"/>
    </row>
    <row r="18">
      <c r="A18" t="inlineStr">
        <is>
          <t>Syslog Security</t>
        </is>
      </c>
      <c r="B18" t="inlineStr">
        <is>
          <t>A.8.21 - Network Services</t>
        </is>
      </c>
      <c r="C18" s="6" t="n"/>
      <c r="D18" s="6" t="n"/>
      <c r="E18" s="6" t="n"/>
      <c r="F18" s="6" t="n"/>
      <c r="G18" s="6" t="n"/>
      <c r="H18" s="6" t="n"/>
    </row>
    <row r="19">
      <c r="A19" t="inlineStr">
        <is>
          <t>Zone Segmentation</t>
        </is>
      </c>
      <c r="B19" t="inlineStr">
        <is>
          <t>A.8.22 - Network Segmentation</t>
        </is>
      </c>
      <c r="C19" s="6" t="n"/>
      <c r="D19" s="6" t="n"/>
      <c r="E19" s="6" t="n"/>
      <c r="F19" s="6" t="n"/>
      <c r="G19" s="6" t="n"/>
      <c r="H19" s="6" t="n"/>
    </row>
    <row r="20">
      <c r="A20" t="inlineStr">
        <is>
          <t>VLAN Segmentation</t>
        </is>
      </c>
      <c r="B20" t="inlineStr">
        <is>
          <t>A.8.22 - Network Segmentation</t>
        </is>
      </c>
      <c r="C20" s="6" t="n"/>
      <c r="D20" s="6" t="n"/>
      <c r="E20" s="6" t="n"/>
      <c r="F20" s="6" t="n"/>
      <c r="G20" s="6" t="n"/>
      <c r="H20" s="6" t="n"/>
    </row>
    <row r="21">
      <c r="A21" t="inlineStr">
        <is>
          <t>Firewall Inter-Zone Rules</t>
        </is>
      </c>
      <c r="B21" t="inlineStr">
        <is>
          <t>A.8.22 - Network Segmentation</t>
        </is>
      </c>
      <c r="C21" s="6" t="n"/>
      <c r="D21" s="6" t="n"/>
      <c r="E21" s="6" t="n"/>
      <c r="F21" s="6" t="n"/>
      <c r="G21" s="6" t="n"/>
      <c r="H21" s="6" t="n"/>
    </row>
    <row r="22">
      <c r="A22" t="inlineStr">
        <is>
          <t>ACL Enforcement</t>
        </is>
      </c>
      <c r="B22" t="inlineStr">
        <is>
          <t>A.8.22 - Network Segmentation</t>
        </is>
      </c>
      <c r="C22" s="6" t="n"/>
      <c r="D22" s="6" t="n"/>
      <c r="E22" s="6" t="n"/>
      <c r="F22" s="6" t="n"/>
      <c r="G22" s="6" t="n"/>
      <c r="H22" s="6" t="n"/>
    </row>
    <row r="23">
      <c r="A23" t="inlineStr">
        <is>
          <t>Segmentation Testing</t>
        </is>
      </c>
      <c r="B23" t="inlineStr">
        <is>
          <t>A.8.22 - Network Segmentation</t>
        </is>
      </c>
      <c r="C23" s="6" t="n"/>
      <c r="D23" s="6" t="n"/>
      <c r="E23" s="6" t="n"/>
      <c r="F23" s="6" t="n"/>
      <c r="G23" s="6" t="n"/>
      <c r="H23" s="6" t="n"/>
    </row>
    <row r="24">
      <c r="A24" t="inlineStr">
        <is>
          <t>Microsegmentation</t>
        </is>
      </c>
      <c r="B24" t="inlineStr">
        <is>
          <t>A.8.22 - Network Segmentation</t>
        </is>
      </c>
      <c r="C24" s="6" t="n"/>
      <c r="D24" s="6" t="n"/>
      <c r="E24" s="6" t="n"/>
      <c r="F24" s="6" t="n"/>
      <c r="G24" s="6" t="n"/>
      <c r="H24" s="6" t="n"/>
    </row>
  </sheetData>
  <mergeCells count="2">
    <mergeCell ref="A2:H2"/>
    <mergeCell ref="A1:H1"/>
  </mergeCells>
  <conditionalFormatting sqref="F4:F24">
    <cfRule type="cellIs" priority="1" operator="equal" dxfId="0">
      <formula>"Effective"</formula>
    </cfRule>
    <cfRule type="cellIs" priority="2" operator="equal" dxfId="1">
      <formula>"Ineffective"</formula>
    </cfRule>
  </conditionalFormatting>
  <dataValidations count="1">
    <dataValidation sqref="F4:F24 G4:G33" showDropDown="0" showInputMessage="0" showErrorMessage="0" allowBlank="0" type="list">
      <formula1>"Effective,Partially Effective,Ineffective,Not Assessed"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5" customWidth="1" min="4" max="4"/>
    <col width="35" customWidth="1" min="5" max="5"/>
    <col width="12" customWidth="1" min="6" max="6"/>
    <col width="40" customWidth="1" min="7" max="7"/>
    <col width="20" customWidth="1" min="8" max="8"/>
    <col width="12" customWidth="1" min="9" max="9"/>
    <col width="15" customWidth="1" min="10" max="10"/>
  </cols>
  <sheetData>
    <row r="1" ht="25" customHeight="1">
      <c r="A1" s="1" t="inlineStr">
        <is>
          <t>Security Control Coverage Gaps</t>
        </is>
      </c>
    </row>
    <row r="2">
      <c r="A2" s="4" t="inlineStr">
        <is>
          <t>📋 Zones or assets with insufficient security control coverage.</t>
        </is>
      </c>
    </row>
    <row r="3">
      <c r="A3" s="3" t="inlineStr">
        <is>
          <t>Gap ID</t>
        </is>
      </c>
      <c r="B3" s="3" t="inlineStr">
        <is>
          <t>Zone/Asset</t>
        </is>
      </c>
      <c r="C3" s="3" t="inlineStr">
        <is>
          <t>Missing Control</t>
        </is>
      </c>
      <c r="D3" s="3" t="inlineStr">
        <is>
          <t>Control Category</t>
        </is>
      </c>
      <c r="E3" s="3" t="inlineStr">
        <is>
          <t>Risk</t>
        </is>
      </c>
      <c r="F3" s="3" t="inlineStr">
        <is>
          <t>Severity</t>
        </is>
      </c>
      <c r="G3" s="3" t="inlineStr">
        <is>
          <t>Remediation Plan</t>
        </is>
      </c>
      <c r="H3" s="3" t="inlineStr">
        <is>
          <t>Owner</t>
        </is>
      </c>
      <c r="I3" s="3" t="inlineStr">
        <is>
          <t>Target Date</t>
        </is>
      </c>
      <c r="J3" s="3" t="inlineStr">
        <is>
          <t>Status</t>
        </is>
      </c>
    </row>
    <row r="4">
      <c r="A4">
        <f>IF(B4&lt;&gt;"","COV-GAP-" &amp; TEXT(1,"000"),"")</f>
        <v/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>
        <f>IF(B5&lt;&gt;"","COV-GAP-" &amp; TEXT(2,"000"),"")</f>
        <v/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>
        <f>IF(B6&lt;&gt;"","COV-GAP-" &amp; TEXT(3,"000"),"")</f>
        <v/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>
        <f>IF(B7&lt;&gt;"","COV-GAP-" &amp; TEXT(4,"000"),"")</f>
        <v/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>
        <f>IF(B8&lt;&gt;"","COV-GAP-" &amp; TEXT(5,"000"),"")</f>
        <v/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>
        <f>IF(B9&lt;&gt;"","COV-GAP-" &amp; TEXT(6,"000"),"")</f>
        <v/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>
        <f>IF(B10&lt;&gt;"","COV-GAP-" &amp; TEXT(7,"000"),"")</f>
        <v/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>
        <f>IF(B11&lt;&gt;"","COV-GAP-" &amp; TEXT(8,"000"),"")</f>
        <v/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>
        <f>IF(B12&lt;&gt;"","COV-GAP-" &amp; TEXT(9,"000"),"")</f>
        <v/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>
        <f>IF(B13&lt;&gt;"","COV-GAP-" &amp; TEXT(10,"000"),"")</f>
        <v/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>
        <f>IF(B14&lt;&gt;"","COV-GAP-" &amp; TEXT(11,"000"),"")</f>
        <v/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>
        <f>IF(B15&lt;&gt;"","COV-GAP-" &amp; TEXT(12,"000"),"")</f>
        <v/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>
        <f>IF(B16&lt;&gt;"","COV-GAP-" &amp; TEXT(13,"000"),"")</f>
        <v/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>
        <f>IF(B17&lt;&gt;"","COV-GAP-" &amp; TEXT(14,"000"),"")</f>
        <v/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>
        <f>IF(B18&lt;&gt;"","COV-GAP-" &amp; TEXT(15,"000"),"")</f>
        <v/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>
        <f>IF(B19&lt;&gt;"","COV-GAP-" &amp; TEXT(16,"000"),"")</f>
        <v/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>
        <f>IF(B20&lt;&gt;"","COV-GAP-" &amp; TEXT(17,"000"),"")</f>
        <v/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>
        <f>IF(B21&lt;&gt;"","COV-GAP-" &amp; TEXT(18,"000"),"")</f>
        <v/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>
        <f>IF(B22&lt;&gt;"","COV-GAP-" &amp; TEXT(19,"000"),"")</f>
        <v/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>
        <f>IF(B23&lt;&gt;"","COV-GAP-" &amp; TEXT(20,"000"),"")</f>
        <v/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>
        <f>IF(B24&lt;&gt;"","COV-GAP-" &amp; TEXT(21,"000"),"")</f>
        <v/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>
        <f>IF(B25&lt;&gt;"","COV-GAP-" &amp; TEXT(22,"000"),"")</f>
        <v/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>
        <f>IF(B26&lt;&gt;"","COV-GAP-" &amp; TEXT(23,"000"),"")</f>
        <v/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>
        <f>IF(B27&lt;&gt;"","COV-GAP-" &amp; TEXT(24,"000"),"")</f>
        <v/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>
        <f>IF(B28&lt;&gt;"","COV-GAP-" &amp; TEXT(25,"000"),"")</f>
        <v/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>
        <f>IF(B29&lt;&gt;"","COV-GAP-" &amp; TEXT(26,"000"),"")</f>
        <v/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>
        <f>IF(B30&lt;&gt;"","COV-GAP-" &amp; TEXT(27,"000"),"")</f>
        <v/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>
        <f>IF(B31&lt;&gt;"","COV-GAP-" &amp; TEXT(28,"000"),"")</f>
        <v/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>
        <f>IF(B32&lt;&gt;"","COV-GAP-" &amp; TEXT(29,"000"),"")</f>
        <v/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>
        <f>IF(B33&lt;&gt;"","COV-GAP-" &amp; TEXT(30,"000"),"")</f>
        <v/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>
        <f>IF(B34&lt;&gt;"","COV-GAP-" &amp; TEXT(31,"000"),"")</f>
        <v/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>
        <f>IF(B35&lt;&gt;"","COV-GAP-" &amp; TEXT(32,"000"),"")</f>
        <v/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>
        <f>IF(B36&lt;&gt;"","COV-GAP-" &amp; TEXT(33,"000"),"")</f>
        <v/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>
        <f>IF(B37&lt;&gt;"","COV-GAP-" &amp; TEXT(34,"000"),"")</f>
        <v/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>
        <f>IF(B38&lt;&gt;"","COV-GAP-" &amp; TEXT(35,"000"),"")</f>
        <v/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>
        <f>IF(B39&lt;&gt;"","COV-GAP-" &amp; TEXT(36,"000"),"")</f>
        <v/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>
        <f>IF(B40&lt;&gt;"","COV-GAP-" &amp; TEXT(37,"000"),"")</f>
        <v/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>
        <f>IF(B41&lt;&gt;"","COV-GAP-" &amp; TEXT(38,"000"),"")</f>
        <v/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>
        <f>IF(B42&lt;&gt;"","COV-GAP-" &amp; TEXT(39,"000"),"")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>
        <f>IF(B43&lt;&gt;"","COV-GAP-" &amp; TEXT(40,"000"),"")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5">
      <c r="A45" s="2" t="inlineStr">
        <is>
          <t>Common Coverage Gap Types</t>
        </is>
      </c>
    </row>
    <row r="46" ht="20" customHeight="1">
      <c r="A46" s="4" t="inlineStr">
        <is>
          <t>Missing Perimeter Firewall: Zone exposed directly to Internet without firewall (Critical)</t>
        </is>
      </c>
    </row>
    <row r="47" ht="20" customHeight="1">
      <c r="A47" s="4" t="inlineStr">
        <is>
          <t>No Network Monitoring: Zone traffic not monitored by SIEM/IDS (High)</t>
        </is>
      </c>
    </row>
    <row r="48" ht="20" customHeight="1">
      <c r="A48" s="4" t="inlineStr">
        <is>
          <t>Missing Segmentation: Critical zone not segregated from general network (High)</t>
        </is>
      </c>
    </row>
    <row r="49" ht="20" customHeight="1">
      <c r="A49" s="4" t="inlineStr">
        <is>
          <t>No Service Security: DNS/DHCP services not hardened (Medium)</t>
        </is>
      </c>
    </row>
    <row r="50" ht="20" customHeight="1">
      <c r="A50" s="4" t="inlineStr">
        <is>
          <t>Insufficient Logging: Key controls not logging events (Medium)</t>
        </is>
      </c>
    </row>
    <row r="51" ht="20" customHeight="1">
      <c r="A51" s="4" t="inlineStr">
        <is>
          <t>Single Layer Defense: Only one control protecting zone (need defense-in-depth) (High)</t>
        </is>
      </c>
    </row>
  </sheetData>
  <mergeCells count="9">
    <mergeCell ref="A47:J47"/>
    <mergeCell ref="A45:J45"/>
    <mergeCell ref="A1:J1"/>
    <mergeCell ref="A46:J46"/>
    <mergeCell ref="A50:J50"/>
    <mergeCell ref="A48:J48"/>
    <mergeCell ref="A51:J51"/>
    <mergeCell ref="A2:J2"/>
    <mergeCell ref="A49:J49"/>
  </mergeCells>
  <conditionalFormatting sqref="F4:F43">
    <cfRule type="cellIs" priority="1" operator="equal" dxfId="3">
      <formula>"Critical"</formula>
    </cfRule>
    <cfRule type="cellIs" priority="2" operator="equal" dxfId="4">
      <formula>"High"</formula>
    </cfRule>
    <cfRule type="cellIs" priority="3" operator="equal" dxfId="5">
      <formula>"Medium"</formula>
    </cfRule>
  </conditionalFormatting>
  <dataValidations count="2">
    <dataValidation sqref="F4:F43" showDropDown="0" showInputMessage="0" showErrorMessage="0" allowBlank="0" type="list">
      <formula1>"🔴 Critical,🟡 High,🟢 Medium,⚪ Low"</formula1>
    </dataValidation>
    <dataValidation sqref="D4:D43" showDropDown="0" showInputMessage="0" showErrorMessage="0" allowBlank="0" type="list">
      <formula1>"A.8.20 - Network Security,A.8.21 - Network Services,A.8.22 - Network Segmentation"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25" customWidth="1" min="4" max="4"/>
    <col width="25" customWidth="1" min="5" max="5"/>
    <col width="30" customWidth="1" min="6" max="6"/>
    <col width="15" customWidth="1" min="7" max="7"/>
    <col width="40" customWidth="1" min="8" max="8"/>
  </cols>
  <sheetData>
    <row r="1" ht="25" customHeight="1">
      <c r="A1" s="1" t="inlineStr">
        <is>
          <t>Defense-in-Depth Validation</t>
        </is>
      </c>
    </row>
    <row r="2">
      <c r="A2" s="4" t="inlineStr">
        <is>
          <t>📋 Verify multiple layers of controls protect critical zones (no single point of failure).</t>
        </is>
      </c>
    </row>
    <row r="3">
      <c r="A3" s="3" t="inlineStr">
        <is>
          <t>Zone/Asset</t>
        </is>
      </c>
      <c r="B3" s="3" t="inlineStr">
        <is>
          <t>Risk Level</t>
        </is>
      </c>
      <c r="C3" s="3" t="inlineStr">
        <is>
          <t>Layer 1 Control</t>
        </is>
      </c>
      <c r="D3" s="3" t="inlineStr">
        <is>
          <t>Layer 2 Control</t>
        </is>
      </c>
      <c r="E3" s="3" t="inlineStr">
        <is>
          <t>Layer 3 Control</t>
        </is>
      </c>
      <c r="F3" s="3" t="inlineStr">
        <is>
          <t>Additional Layers</t>
        </is>
      </c>
      <c r="G3" s="3" t="inlineStr">
        <is>
          <t>Defense-in-Depth OK</t>
        </is>
      </c>
      <c r="H3" s="3" t="inlineStr">
        <is>
          <t>Notes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5">
      <c r="A25" s="2" t="inlineStr">
        <is>
          <t>Defense-in-Depth Principles</t>
        </is>
      </c>
    </row>
    <row r="26" ht="20" customHeight="1">
      <c r="A26" s="4" t="inlineStr">
        <is>
          <t>• MULTIPLE LAYERS: Critical zones require 3+ independent layers of controls</t>
        </is>
      </c>
    </row>
    <row r="27" ht="20" customHeight="1">
      <c r="A27" s="4" t="inlineStr">
        <is>
          <t>• NO SINGLE POINT OF FAILURE: If one control fails, others still protect</t>
        </is>
      </c>
    </row>
    <row r="28" ht="20" customHeight="1">
      <c r="A28" s="4" t="inlineStr">
        <is>
          <t>• DIVERSE CONTROLS: Different types (Firewall + VLAN + ACL + Monitoring)</t>
        </is>
      </c>
    </row>
    <row r="29" ht="20" customHeight="1">
      <c r="A29" s="4" t="inlineStr">
        <is>
          <t>• COMPENSATING CONTROLS: If primary control unavailable, compensating controls in place</t>
        </is>
      </c>
    </row>
    <row r="30" ht="20" customHeight="1">
      <c r="A30" s="4" t="inlineStr">
        <is>
          <t>• CRITICAL ASSETS: Datacenter, management networks require strongest defense-in-depth</t>
        </is>
      </c>
    </row>
    <row r="32">
      <c r="A32" s="2" t="inlineStr">
        <is>
          <t>Example Defense-in-Depth Layers</t>
        </is>
      </c>
    </row>
    <row r="33" ht="20" customHeight="1">
      <c r="A33" s="4" t="inlineStr">
        <is>
          <t>Layer 1: Perimeter Firewall (blocks external threats)</t>
        </is>
      </c>
    </row>
    <row r="34" ht="20" customHeight="1">
      <c r="A34" s="4" t="inlineStr">
        <is>
          <t>Layer 2: Network Segmentation (isolates zones via VLANs)</t>
        </is>
      </c>
    </row>
    <row r="35" ht="20" customHeight="1">
      <c r="A35" s="4" t="inlineStr">
        <is>
          <t>Layer 3: Internal Firewalls (zone-to-zone filtering)</t>
        </is>
      </c>
    </row>
    <row r="36" ht="20" customHeight="1">
      <c r="A36" s="4" t="inlineStr">
        <is>
          <t>Layer 4: ACLs on Routers/Switches (additional filtering)</t>
        </is>
      </c>
    </row>
    <row r="37" ht="20" customHeight="1">
      <c r="A37" s="4" t="inlineStr">
        <is>
          <t>Layer 5: Network Monitoring/IDS (detect anomalies)</t>
        </is>
      </c>
    </row>
    <row r="38" ht="20" customHeight="1">
      <c r="A38" s="4" t="inlineStr">
        <is>
          <t>Layer 6: Host-based Firewalls (endpoint protection)</t>
        </is>
      </c>
    </row>
  </sheetData>
  <mergeCells count="15">
    <mergeCell ref="A26:H26"/>
    <mergeCell ref="A30:H30"/>
    <mergeCell ref="A29:H29"/>
    <mergeCell ref="A35:H35"/>
    <mergeCell ref="A25:H25"/>
    <mergeCell ref="A38:H38"/>
    <mergeCell ref="A2:H2"/>
    <mergeCell ref="A28:H28"/>
    <mergeCell ref="A33:H33"/>
    <mergeCell ref="A36:H36"/>
    <mergeCell ref="A1:H1"/>
    <mergeCell ref="A37:H37"/>
    <mergeCell ref="A32:H32"/>
    <mergeCell ref="A27:H27"/>
    <mergeCell ref="A34:H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25" customWidth="1" min="4" max="4"/>
    <col width="3" customWidth="1" min="5" max="5"/>
    <col width="3" customWidth="1" min="6" max="6"/>
  </cols>
  <sheetData>
    <row r="1" ht="25" customHeight="1">
      <c r="A1" s="1" t="inlineStr">
        <is>
          <t>Network Security Compliance Dashboard</t>
        </is>
      </c>
    </row>
    <row r="3">
      <c r="A3" s="2" t="inlineStr">
        <is>
          <t>Overall Compliance Statistics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3" t="inlineStr">
        <is>
          <t>Total Security Zones</t>
        </is>
      </c>
      <c r="B5" s="4" t="inlineStr">
        <is>
          <t>Manual count from WB4</t>
        </is>
      </c>
    </row>
    <row r="6">
      <c r="A6" s="3" t="inlineStr">
        <is>
          <t>Total Security Controls</t>
        </is>
      </c>
      <c r="B6" s="4" t="inlineStr">
        <is>
          <t>21</t>
        </is>
      </c>
    </row>
    <row r="7">
      <c r="A7" s="3" t="inlineStr">
        <is>
          <t>Average Zone Coverage</t>
        </is>
      </c>
      <c r="B7" s="4" t="inlineStr">
        <is>
          <t>Auto from Controls_Coverage_Matrix</t>
        </is>
      </c>
    </row>
    <row r="8">
      <c r="A8" s="3" t="inlineStr">
        <is>
          <t>Zones Fully Covered (100%)</t>
        </is>
      </c>
      <c r="B8" s="4" t="inlineStr">
        <is>
          <t>Count from matrix</t>
        </is>
      </c>
    </row>
    <row r="9">
      <c r="A9" s="3" t="inlineStr">
        <is>
          <t>Zones with Gaps (&lt;80%)</t>
        </is>
      </c>
      <c r="B9" s="4" t="inlineStr">
        <is>
          <t>Count from matrix</t>
        </is>
      </c>
    </row>
    <row r="10">
      <c r="A10" s="3" t="inlineStr">
        <is>
          <t>Critical Coverage Gaps</t>
        </is>
      </c>
      <c r="B10" s="4" t="inlineStr">
        <is>
          <t>From Coverage_Gaps sheet</t>
        </is>
      </c>
    </row>
    <row r="11">
      <c r="A11" s="3" t="inlineStr">
        <is>
          <t>Controls Fully Effective</t>
        </is>
      </c>
      <c r="B11" s="4" t="inlineStr">
        <is>
          <t>From Control_Effectiveness sheet</t>
        </is>
      </c>
    </row>
    <row r="13">
      <c r="A13" s="2" t="inlineStr">
        <is>
          <t>Compliance by Control Category</t>
        </is>
      </c>
    </row>
    <row r="14">
      <c r="A14" s="3" t="inlineStr">
        <is>
          <t>Control Category</t>
        </is>
      </c>
      <c r="B14" s="3" t="inlineStr">
        <is>
          <t>Compliance Status</t>
        </is>
      </c>
    </row>
    <row r="15">
      <c r="A15" s="3" t="inlineStr">
        <is>
          <t>A.8.20 - Network Security</t>
        </is>
      </c>
      <c r="B15" s="4" t="inlineStr">
        <is>
          <t>Manual assessment required</t>
        </is>
      </c>
    </row>
    <row r="16">
      <c r="A16" s="3" t="inlineStr">
        <is>
          <t>A.8.21 - Network Services</t>
        </is>
      </c>
      <c r="B16" s="4" t="inlineStr">
        <is>
          <t>Manual assessment required</t>
        </is>
      </c>
    </row>
    <row r="17">
      <c r="A17" s="3" t="inlineStr">
        <is>
          <t>A.8.22 - Network Segmentation</t>
        </is>
      </c>
      <c r="B17" s="4" t="inlineStr">
        <is>
          <t>Manual assessment required</t>
        </is>
      </c>
    </row>
    <row r="19">
      <c r="A19" s="2" t="inlineStr">
        <is>
          <t>Compliance Targets &amp; Status</t>
        </is>
      </c>
    </row>
    <row r="20">
      <c r="A20" s="3" t="inlineStr">
        <is>
          <t>Target</t>
        </is>
      </c>
      <c r="B20" s="3" t="inlineStr">
        <is>
          <t>Goal</t>
        </is>
      </c>
      <c r="C20" s="3" t="inlineStr">
        <is>
          <t>Current</t>
        </is>
      </c>
      <c r="D20" s="3" t="inlineStr">
        <is>
          <t>Status</t>
        </is>
      </c>
    </row>
    <row r="21">
      <c r="A21" s="3" t="inlineStr">
        <is>
          <t>Average Zone Coverage</t>
        </is>
      </c>
      <c r="B21" s="4" t="inlineStr">
        <is>
          <t>≥ 90%</t>
        </is>
      </c>
      <c r="C21" s="4" t="inlineStr">
        <is>
          <t>TBD</t>
        </is>
      </c>
      <c r="D21" s="4" t="inlineStr">
        <is>
          <t>To be calculated</t>
        </is>
      </c>
    </row>
    <row r="22">
      <c r="A22" s="3" t="inlineStr">
        <is>
          <t>Critical Zones Coverage</t>
        </is>
      </c>
      <c r="B22" s="4" t="inlineStr">
        <is>
          <t>100%</t>
        </is>
      </c>
      <c r="C22" s="4" t="inlineStr">
        <is>
          <t>TBD</t>
        </is>
      </c>
      <c r="D22" s="4" t="inlineStr">
        <is>
          <t>To be assessed</t>
        </is>
      </c>
    </row>
    <row r="23">
      <c r="A23" s="3" t="inlineStr">
        <is>
          <t>Critical Coverage Gaps</t>
        </is>
      </c>
      <c r="B23" s="4" t="inlineStr">
        <is>
          <t>0</t>
        </is>
      </c>
      <c r="C23" s="4" t="inlineStr">
        <is>
          <t>TBD</t>
        </is>
      </c>
      <c r="D23" s="4" t="inlineStr">
        <is>
          <t>From Coverage_Gaps</t>
        </is>
      </c>
    </row>
    <row r="24">
      <c r="A24" s="3" t="inlineStr">
        <is>
          <t>Defense-in-Depth</t>
        </is>
      </c>
      <c r="B24" s="4" t="inlineStr">
        <is>
          <t>100% Critical Zones</t>
        </is>
      </c>
      <c r="C24" s="4" t="inlineStr">
        <is>
          <t>TBD</t>
        </is>
      </c>
      <c r="D24" s="4" t="inlineStr">
        <is>
          <t>From Defense_In_Depth</t>
        </is>
      </c>
    </row>
  </sheetData>
  <mergeCells count="4">
    <mergeCell ref="A3:F3"/>
    <mergeCell ref="A13:F13"/>
    <mergeCell ref="A1:F1"/>
    <mergeCell ref="A19:F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Network Security Controls - Executive Summary</t>
        </is>
      </c>
    </row>
    <row r="3">
      <c r="A3" s="2" t="inlineStr">
        <is>
          <t>Assessment Overview</t>
        </is>
      </c>
    </row>
    <row r="4" ht="20" customHeight="1">
      <c r="A4" s="4" t="inlineStr">
        <is>
          <t>This workbook (WB5) integrates findings from:</t>
        </is>
      </c>
    </row>
    <row r="5" ht="20" customHeight="1">
      <c r="A5" s="4" t="inlineStr">
        <is>
          <t xml:space="preserve">  • WB1: Network Infrastructure Inventory</t>
        </is>
      </c>
    </row>
    <row r="6" ht="20" customHeight="1">
      <c r="A6" s="4" t="inlineStr">
        <is>
          <t xml:space="preserve">  • WB2: Device Security Assessment</t>
        </is>
      </c>
    </row>
    <row r="7" ht="20" customHeight="1">
      <c r="A7" s="4" t="inlineStr">
        <is>
          <t xml:space="preserve">  • WB3: Network Services Catalog</t>
        </is>
      </c>
    </row>
    <row r="8" ht="20" customHeight="1">
      <c r="A8" s="4" t="inlineStr">
        <is>
          <t xml:space="preserve">  • WB4: Network Segmentation Matrix</t>
        </is>
      </c>
    </row>
    <row r="9" ht="20" customHeight="1">
      <c r="A9" s="4" t="inlineStr"/>
    </row>
    <row r="10" ht="20" customHeight="1">
      <c r="A10" s="4" t="inlineStr">
        <is>
          <t>Purpose: Map security controls coverage across all network zones and assets.</t>
        </is>
      </c>
    </row>
    <row r="11" ht="20" customHeight="1">
      <c r="A11" s="4" t="inlineStr">
        <is>
          <t>Controls Assessed: ISO 27001:2022 A.8.20 (Network Security), A.8.21 (Network Services), A.8.22 (Network Segmentation)</t>
        </is>
      </c>
    </row>
    <row r="13">
      <c r="A13" s="2" t="inlineStr">
        <is>
          <t>Key Findings</t>
        </is>
      </c>
    </row>
    <row r="14" ht="25" customHeight="1">
      <c r="A14" s="4" t="inlineStr">
        <is>
          <t>1. COVERAGE: [Insert average zone coverage %] average control coverage across all zones</t>
        </is>
      </c>
    </row>
    <row r="15" ht="25" customHeight="1">
      <c r="A15" s="4" t="inlineStr">
        <is>
          <t>2. GAPS: [Insert count] critical coverage gaps identified (see Coverage_Gaps sheet)</t>
        </is>
      </c>
    </row>
    <row r="16" ht="25" customHeight="1">
      <c r="A16" s="4" t="inlineStr">
        <is>
          <t>3. EFFECTIVENESS: [Insert %] of controls assessed as 'Effective'</t>
        </is>
      </c>
    </row>
    <row r="17" ht="25" customHeight="1">
      <c r="A17" s="4" t="inlineStr">
        <is>
          <t>4. DEFENSE-IN-DEPTH: [Insert count] critical zones with insufficient layered controls</t>
        </is>
      </c>
    </row>
    <row r="18" ht="25" customHeight="1">
      <c r="A18" s="4" t="inlineStr">
        <is>
          <t>5. COMPLIANCE: Overall compliance with A.8.20/21/22 is [Insert status]</t>
        </is>
      </c>
    </row>
    <row r="20">
      <c r="A20" s="2" t="inlineStr">
        <is>
          <t>Priority Recommendations</t>
        </is>
      </c>
    </row>
    <row r="21" ht="25" customHeight="1">
      <c r="A21" s="4" t="inlineStr">
        <is>
          <t>1. IMMEDIATE: Remediate all Critical coverage gaps (see Coverage_Gaps sheet)</t>
        </is>
      </c>
    </row>
    <row r="22" ht="25" customHeight="1">
      <c r="A22" s="4" t="inlineStr">
        <is>
          <t>2. HIGH PRIORITY: Implement defense-in-depth for all critical zones (Datacenter, Management)</t>
        </is>
      </c>
    </row>
    <row r="23" ht="25" customHeight="1">
      <c r="A23" s="4" t="inlineStr">
        <is>
          <t>3. MEDIUM PRIORITY: Improve control effectiveness for zones with 'Partially Effective' rating</t>
        </is>
      </c>
    </row>
    <row r="24" ht="25" customHeight="1">
      <c r="A24" s="4" t="inlineStr">
        <is>
          <t>4. ONGOING: Maintain Controls_Coverage_Matrix quarterly, reassess after major changes</t>
        </is>
      </c>
    </row>
    <row r="26">
      <c r="A26" s="2" t="inlineStr">
        <is>
          <t>Next Steps</t>
        </is>
      </c>
    </row>
    <row r="27" ht="20" customHeight="1">
      <c r="A27" s="4" t="inlineStr">
        <is>
          <t>1. Review Controls_Coverage_Matrix with IT Security team</t>
        </is>
      </c>
    </row>
    <row r="28" ht="20" customHeight="1">
      <c r="A28" s="4" t="inlineStr">
        <is>
          <t>2. Prioritize remediation of Critical gaps</t>
        </is>
      </c>
    </row>
    <row r="29" ht="20" customHeight="1">
      <c r="A29" s="4" t="inlineStr">
        <is>
          <t>3. Assign owners for all gaps in Coverage_Gaps sheet</t>
        </is>
      </c>
    </row>
    <row r="30" ht="20" customHeight="1">
      <c r="A30" s="4" t="inlineStr">
        <is>
          <t>4. Schedule follow-up assessment in [3 months / 6 months]</t>
        </is>
      </c>
    </row>
    <row r="31" ht="20" customHeight="1">
      <c r="A31" s="4" t="inlineStr">
        <is>
          <t>5. Update controls matrix after each major network change</t>
        </is>
      </c>
    </row>
  </sheetData>
  <mergeCells count="27">
    <mergeCell ref="A16:F16"/>
    <mergeCell ref="A27:F27"/>
    <mergeCell ref="A18:F18"/>
    <mergeCell ref="A3:F3"/>
    <mergeCell ref="A21:F21"/>
    <mergeCell ref="A26:F26"/>
    <mergeCell ref="A14:F14"/>
    <mergeCell ref="A5:F5"/>
    <mergeCell ref="A23:F23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9:F9"/>
    <mergeCell ref="A31:F31"/>
    <mergeCell ref="A30:F30"/>
    <mergeCell ref="A15:F15"/>
    <mergeCell ref="A24:F24"/>
    <mergeCell ref="A11:F11"/>
    <mergeCell ref="A1:F1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2026-01-31T02:18:33Z</dcterms:created>
  <dcterms:modified xmlns:dcterms="http://purl.org/dc/terms/" xmlns:xsi="http://www.w3.org/2001/XMLSchema-instance" xsi:type="dcterms:W3CDTF">2026-01-31T02:18:33Z</dcterms:modified>
</cp:coreProperties>
</file>