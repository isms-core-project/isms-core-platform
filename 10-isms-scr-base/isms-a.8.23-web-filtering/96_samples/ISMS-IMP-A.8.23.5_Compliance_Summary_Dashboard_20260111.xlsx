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greg/Downloads/"/>
    </mc:Choice>
  </mc:AlternateContent>
  <xr:revisionPtr revIDLastSave="0" documentId="13_ncr:1_{60F23F94-A424-7944-AF11-D334C51A03D4}" xr6:coauthVersionLast="47" xr6:coauthVersionMax="47" xr10:uidLastSave="{00000000-0000-0000-0000-000000000000}"/>
  <bookViews>
    <workbookView xWindow="0" yWindow="600" windowWidth="38400" windowHeight="19660" xr2:uid="{00000000-000D-0000-FFFF-FFFF00000000}"/>
  </bookViews>
  <sheets>
    <sheet name="Executive Dashboard" sheetId="1" r:id="rId1"/>
    <sheet name="Gap Analysis" sheetId="2" r:id="rId2"/>
    <sheet name="Risk Register" sheetId="3" r:id="rId3"/>
    <sheet name="Remediation Roadmap" sheetId="4" r:id="rId4"/>
    <sheet name="KPIs &amp; Metrics" sheetId="5" r:id="rId5"/>
    <sheet name="Evidence Register" sheetId="6" r:id="rId6"/>
    <sheet name="Action Items &amp; Follow-up" sheetId="7" r:id="rId7"/>
    <sheet name="Audit &amp; Compliance Log" sheetId="8" r:id="rId8"/>
    <sheet name="Approval Sign-Off" sheetId="9" r:id="rId9"/>
  </sheets>
  <externalReferences>
    <externalReference r:id="rId10"/>
    <externalReference r:id="rId11"/>
    <externalReference r:id="rId12"/>
    <externalReference r:id="rId1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9" l="1"/>
  <c r="J123" i="8"/>
  <c r="J122" i="8"/>
  <c r="J121" i="8"/>
  <c r="J120" i="8"/>
  <c r="J119" i="8"/>
  <c r="J118" i="8"/>
  <c r="J117" i="8"/>
  <c r="J116" i="8"/>
  <c r="J115" i="8"/>
  <c r="J114" i="8"/>
  <c r="J113" i="8"/>
  <c r="J112" i="8"/>
  <c r="J111" i="8"/>
  <c r="J110" i="8"/>
  <c r="J109" i="8"/>
  <c r="J108" i="8"/>
  <c r="J107" i="8"/>
  <c r="J106" i="8"/>
  <c r="J105" i="8"/>
  <c r="J104" i="8"/>
  <c r="J103" i="8"/>
  <c r="J102" i="8"/>
  <c r="J101" i="8"/>
  <c r="J100" i="8"/>
  <c r="J99" i="8"/>
  <c r="J98" i="8"/>
  <c r="J97" i="8"/>
  <c r="J96" i="8"/>
  <c r="J95" i="8"/>
  <c r="J94" i="8"/>
  <c r="J93" i="8"/>
  <c r="J92" i="8"/>
  <c r="J91" i="8"/>
  <c r="J90" i="8"/>
  <c r="J89" i="8"/>
  <c r="J88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B11" i="8" s="1"/>
  <c r="J24" i="8"/>
  <c r="D20" i="8"/>
  <c r="E20" i="8" s="1"/>
  <c r="C20" i="8"/>
  <c r="B20" i="8"/>
  <c r="D19" i="8"/>
  <c r="E19" i="8" s="1"/>
  <c r="C19" i="8"/>
  <c r="B19" i="8"/>
  <c r="D18" i="8"/>
  <c r="E18" i="8" s="1"/>
  <c r="C18" i="8"/>
  <c r="B18" i="8"/>
  <c r="D17" i="8"/>
  <c r="E17" i="8" s="1"/>
  <c r="C17" i="8"/>
  <c r="B17" i="8"/>
  <c r="D16" i="8"/>
  <c r="E16" i="8" s="1"/>
  <c r="C16" i="8"/>
  <c r="B16" i="8"/>
  <c r="B10" i="8"/>
  <c r="B9" i="8"/>
  <c r="B8" i="8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B8" i="7"/>
  <c r="B7" i="7"/>
  <c r="B6" i="7"/>
  <c r="B9" i="9" s="1"/>
  <c r="B5" i="7"/>
  <c r="B4" i="7"/>
  <c r="K523" i="6"/>
  <c r="K522" i="6"/>
  <c r="K521" i="6"/>
  <c r="K520" i="6"/>
  <c r="K519" i="6"/>
  <c r="K518" i="6"/>
  <c r="K517" i="6"/>
  <c r="K516" i="6"/>
  <c r="K515" i="6"/>
  <c r="K514" i="6"/>
  <c r="K513" i="6"/>
  <c r="K512" i="6"/>
  <c r="K511" i="6"/>
  <c r="K510" i="6"/>
  <c r="K509" i="6"/>
  <c r="K508" i="6"/>
  <c r="K507" i="6"/>
  <c r="K506" i="6"/>
  <c r="K505" i="6"/>
  <c r="K504" i="6"/>
  <c r="K503" i="6"/>
  <c r="K502" i="6"/>
  <c r="K501" i="6"/>
  <c r="K500" i="6"/>
  <c r="K499" i="6"/>
  <c r="K498" i="6"/>
  <c r="K497" i="6"/>
  <c r="K496" i="6"/>
  <c r="K495" i="6"/>
  <c r="K494" i="6"/>
  <c r="K493" i="6"/>
  <c r="K492" i="6"/>
  <c r="K491" i="6"/>
  <c r="K490" i="6"/>
  <c r="K489" i="6"/>
  <c r="K488" i="6"/>
  <c r="K487" i="6"/>
  <c r="K486" i="6"/>
  <c r="K485" i="6"/>
  <c r="K484" i="6"/>
  <c r="K483" i="6"/>
  <c r="K482" i="6"/>
  <c r="K481" i="6"/>
  <c r="K480" i="6"/>
  <c r="K479" i="6"/>
  <c r="K478" i="6"/>
  <c r="K477" i="6"/>
  <c r="K476" i="6"/>
  <c r="K475" i="6"/>
  <c r="K474" i="6"/>
  <c r="K473" i="6"/>
  <c r="K472" i="6"/>
  <c r="K471" i="6"/>
  <c r="K470" i="6"/>
  <c r="K469" i="6"/>
  <c r="K468" i="6"/>
  <c r="K467" i="6"/>
  <c r="K466" i="6"/>
  <c r="K465" i="6"/>
  <c r="K464" i="6"/>
  <c r="K463" i="6"/>
  <c r="K462" i="6"/>
  <c r="K461" i="6"/>
  <c r="K460" i="6"/>
  <c r="K459" i="6"/>
  <c r="K458" i="6"/>
  <c r="K457" i="6"/>
  <c r="K456" i="6"/>
  <c r="K455" i="6"/>
  <c r="K454" i="6"/>
  <c r="K453" i="6"/>
  <c r="K452" i="6"/>
  <c r="K451" i="6"/>
  <c r="K450" i="6"/>
  <c r="K449" i="6"/>
  <c r="K448" i="6"/>
  <c r="K447" i="6"/>
  <c r="K446" i="6"/>
  <c r="K445" i="6"/>
  <c r="K444" i="6"/>
  <c r="K443" i="6"/>
  <c r="K442" i="6"/>
  <c r="K441" i="6"/>
  <c r="K440" i="6"/>
  <c r="K439" i="6"/>
  <c r="K438" i="6"/>
  <c r="K437" i="6"/>
  <c r="K436" i="6"/>
  <c r="K435" i="6"/>
  <c r="K434" i="6"/>
  <c r="K433" i="6"/>
  <c r="K432" i="6"/>
  <c r="K431" i="6"/>
  <c r="K430" i="6"/>
  <c r="K429" i="6"/>
  <c r="K428" i="6"/>
  <c r="K427" i="6"/>
  <c r="K426" i="6"/>
  <c r="K425" i="6"/>
  <c r="K424" i="6"/>
  <c r="K423" i="6"/>
  <c r="K422" i="6"/>
  <c r="K421" i="6"/>
  <c r="K420" i="6"/>
  <c r="K419" i="6"/>
  <c r="K418" i="6"/>
  <c r="K417" i="6"/>
  <c r="K416" i="6"/>
  <c r="K415" i="6"/>
  <c r="K414" i="6"/>
  <c r="K413" i="6"/>
  <c r="K412" i="6"/>
  <c r="K411" i="6"/>
  <c r="K410" i="6"/>
  <c r="K409" i="6"/>
  <c r="K408" i="6"/>
  <c r="K407" i="6"/>
  <c r="K406" i="6"/>
  <c r="K405" i="6"/>
  <c r="K404" i="6"/>
  <c r="K403" i="6"/>
  <c r="K402" i="6"/>
  <c r="K401" i="6"/>
  <c r="K400" i="6"/>
  <c r="K399" i="6"/>
  <c r="K398" i="6"/>
  <c r="K397" i="6"/>
  <c r="K396" i="6"/>
  <c r="K395" i="6"/>
  <c r="K394" i="6"/>
  <c r="K393" i="6"/>
  <c r="K392" i="6"/>
  <c r="K391" i="6"/>
  <c r="K390" i="6"/>
  <c r="K389" i="6"/>
  <c r="K388" i="6"/>
  <c r="K387" i="6"/>
  <c r="K386" i="6"/>
  <c r="K385" i="6"/>
  <c r="K384" i="6"/>
  <c r="K383" i="6"/>
  <c r="K382" i="6"/>
  <c r="K381" i="6"/>
  <c r="K380" i="6"/>
  <c r="K379" i="6"/>
  <c r="K378" i="6"/>
  <c r="K377" i="6"/>
  <c r="K376" i="6"/>
  <c r="K375" i="6"/>
  <c r="K374" i="6"/>
  <c r="K373" i="6"/>
  <c r="K372" i="6"/>
  <c r="K371" i="6"/>
  <c r="K370" i="6"/>
  <c r="K369" i="6"/>
  <c r="K368" i="6"/>
  <c r="K367" i="6"/>
  <c r="K366" i="6"/>
  <c r="K365" i="6"/>
  <c r="K364" i="6"/>
  <c r="K363" i="6"/>
  <c r="K362" i="6"/>
  <c r="K361" i="6"/>
  <c r="K360" i="6"/>
  <c r="K359" i="6"/>
  <c r="K358" i="6"/>
  <c r="K357" i="6"/>
  <c r="K356" i="6"/>
  <c r="K355" i="6"/>
  <c r="K354" i="6"/>
  <c r="K353" i="6"/>
  <c r="K352" i="6"/>
  <c r="K351" i="6"/>
  <c r="K350" i="6"/>
  <c r="K349" i="6"/>
  <c r="K348" i="6"/>
  <c r="K347" i="6"/>
  <c r="K346" i="6"/>
  <c r="K345" i="6"/>
  <c r="K344" i="6"/>
  <c r="K343" i="6"/>
  <c r="K342" i="6"/>
  <c r="K341" i="6"/>
  <c r="K340" i="6"/>
  <c r="K339" i="6"/>
  <c r="K338" i="6"/>
  <c r="K337" i="6"/>
  <c r="K336" i="6"/>
  <c r="K335" i="6"/>
  <c r="K334" i="6"/>
  <c r="K333" i="6"/>
  <c r="K332" i="6"/>
  <c r="K331" i="6"/>
  <c r="K330" i="6"/>
  <c r="K329" i="6"/>
  <c r="K328" i="6"/>
  <c r="K327" i="6"/>
  <c r="K326" i="6"/>
  <c r="K325" i="6"/>
  <c r="K324" i="6"/>
  <c r="K323" i="6"/>
  <c r="K322" i="6"/>
  <c r="K321" i="6"/>
  <c r="K320" i="6"/>
  <c r="K319" i="6"/>
  <c r="K318" i="6"/>
  <c r="K317" i="6"/>
  <c r="K316" i="6"/>
  <c r="K315" i="6"/>
  <c r="K314" i="6"/>
  <c r="K313" i="6"/>
  <c r="K312" i="6"/>
  <c r="K311" i="6"/>
  <c r="K310" i="6"/>
  <c r="K309" i="6"/>
  <c r="K308" i="6"/>
  <c r="K307" i="6"/>
  <c r="K306" i="6"/>
  <c r="K305" i="6"/>
  <c r="K304" i="6"/>
  <c r="K303" i="6"/>
  <c r="K302" i="6"/>
  <c r="K301" i="6"/>
  <c r="K300" i="6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C20" i="6"/>
  <c r="D20" i="6" s="1"/>
  <c r="B20" i="6"/>
  <c r="B9" i="6"/>
  <c r="B8" i="6"/>
  <c r="B7" i="6"/>
  <c r="B6" i="6"/>
  <c r="B5" i="6"/>
  <c r="B8" i="9" s="1"/>
  <c r="B10" i="4"/>
  <c r="B9" i="4"/>
  <c r="B8" i="4"/>
  <c r="B7" i="4"/>
  <c r="B6" i="4"/>
  <c r="B5" i="4"/>
  <c r="N112" i="3"/>
  <c r="I112" i="3"/>
  <c r="N111" i="3"/>
  <c r="I111" i="3"/>
  <c r="N110" i="3"/>
  <c r="I110" i="3"/>
  <c r="N109" i="3"/>
  <c r="I109" i="3"/>
  <c r="N108" i="3"/>
  <c r="I108" i="3"/>
  <c r="N107" i="3"/>
  <c r="I107" i="3"/>
  <c r="N106" i="3"/>
  <c r="I106" i="3"/>
  <c r="N105" i="3"/>
  <c r="I105" i="3"/>
  <c r="N104" i="3"/>
  <c r="I104" i="3"/>
  <c r="N103" i="3"/>
  <c r="I103" i="3"/>
  <c r="N102" i="3"/>
  <c r="I102" i="3"/>
  <c r="N101" i="3"/>
  <c r="I101" i="3"/>
  <c r="N100" i="3"/>
  <c r="I100" i="3"/>
  <c r="N99" i="3"/>
  <c r="I99" i="3"/>
  <c r="N98" i="3"/>
  <c r="I98" i="3"/>
  <c r="N97" i="3"/>
  <c r="I97" i="3"/>
  <c r="N96" i="3"/>
  <c r="I96" i="3"/>
  <c r="N95" i="3"/>
  <c r="I95" i="3"/>
  <c r="N94" i="3"/>
  <c r="I94" i="3"/>
  <c r="N93" i="3"/>
  <c r="I93" i="3"/>
  <c r="N92" i="3"/>
  <c r="I92" i="3"/>
  <c r="N91" i="3"/>
  <c r="I91" i="3"/>
  <c r="N90" i="3"/>
  <c r="I90" i="3"/>
  <c r="N89" i="3"/>
  <c r="I89" i="3"/>
  <c r="N88" i="3"/>
  <c r="I88" i="3"/>
  <c r="N87" i="3"/>
  <c r="I87" i="3"/>
  <c r="N86" i="3"/>
  <c r="I86" i="3"/>
  <c r="N85" i="3"/>
  <c r="I85" i="3"/>
  <c r="N84" i="3"/>
  <c r="I84" i="3"/>
  <c r="N83" i="3"/>
  <c r="I83" i="3"/>
  <c r="N82" i="3"/>
  <c r="I82" i="3"/>
  <c r="N81" i="3"/>
  <c r="I81" i="3"/>
  <c r="N80" i="3"/>
  <c r="I80" i="3"/>
  <c r="N79" i="3"/>
  <c r="I79" i="3"/>
  <c r="N78" i="3"/>
  <c r="I78" i="3"/>
  <c r="N77" i="3"/>
  <c r="I77" i="3"/>
  <c r="N76" i="3"/>
  <c r="I76" i="3"/>
  <c r="N75" i="3"/>
  <c r="I75" i="3"/>
  <c r="N74" i="3"/>
  <c r="I74" i="3"/>
  <c r="N73" i="3"/>
  <c r="I73" i="3"/>
  <c r="N72" i="3"/>
  <c r="I72" i="3"/>
  <c r="N71" i="3"/>
  <c r="I71" i="3"/>
  <c r="N70" i="3"/>
  <c r="I70" i="3"/>
  <c r="N69" i="3"/>
  <c r="I69" i="3"/>
  <c r="N68" i="3"/>
  <c r="I68" i="3"/>
  <c r="N67" i="3"/>
  <c r="I67" i="3"/>
  <c r="N66" i="3"/>
  <c r="I66" i="3"/>
  <c r="N65" i="3"/>
  <c r="I65" i="3"/>
  <c r="N64" i="3"/>
  <c r="I64" i="3"/>
  <c r="N63" i="3"/>
  <c r="I63" i="3"/>
  <c r="N62" i="3"/>
  <c r="I62" i="3"/>
  <c r="N61" i="3"/>
  <c r="I61" i="3"/>
  <c r="N60" i="3"/>
  <c r="I60" i="3"/>
  <c r="N59" i="3"/>
  <c r="I59" i="3"/>
  <c r="N58" i="3"/>
  <c r="I58" i="3"/>
  <c r="N57" i="3"/>
  <c r="I57" i="3"/>
  <c r="N56" i="3"/>
  <c r="I56" i="3"/>
  <c r="N55" i="3"/>
  <c r="I55" i="3"/>
  <c r="N54" i="3"/>
  <c r="I54" i="3"/>
  <c r="N53" i="3"/>
  <c r="I53" i="3"/>
  <c r="N52" i="3"/>
  <c r="I52" i="3"/>
  <c r="N51" i="3"/>
  <c r="I51" i="3"/>
  <c r="N50" i="3"/>
  <c r="I50" i="3"/>
  <c r="N49" i="3"/>
  <c r="I49" i="3"/>
  <c r="N48" i="3"/>
  <c r="I48" i="3"/>
  <c r="N47" i="3"/>
  <c r="I47" i="3"/>
  <c r="N46" i="3"/>
  <c r="I46" i="3"/>
  <c r="N45" i="3"/>
  <c r="I45" i="3"/>
  <c r="N44" i="3"/>
  <c r="I44" i="3"/>
  <c r="N43" i="3"/>
  <c r="I43" i="3"/>
  <c r="N42" i="3"/>
  <c r="I42" i="3"/>
  <c r="N41" i="3"/>
  <c r="I41" i="3"/>
  <c r="N40" i="3"/>
  <c r="I40" i="3"/>
  <c r="N39" i="3"/>
  <c r="I39" i="3"/>
  <c r="N38" i="3"/>
  <c r="I38" i="3"/>
  <c r="N37" i="3"/>
  <c r="I37" i="3"/>
  <c r="N36" i="3"/>
  <c r="I36" i="3"/>
  <c r="N35" i="3"/>
  <c r="I35" i="3"/>
  <c r="N34" i="3"/>
  <c r="I34" i="3"/>
  <c r="N33" i="3"/>
  <c r="I33" i="3"/>
  <c r="N32" i="3"/>
  <c r="I32" i="3"/>
  <c r="N31" i="3"/>
  <c r="I31" i="3"/>
  <c r="N30" i="3"/>
  <c r="I30" i="3"/>
  <c r="N29" i="3"/>
  <c r="I29" i="3"/>
  <c r="N28" i="3"/>
  <c r="I28" i="3"/>
  <c r="N27" i="3"/>
  <c r="I27" i="3"/>
  <c r="N26" i="3"/>
  <c r="I26" i="3"/>
  <c r="N25" i="3"/>
  <c r="I25" i="3"/>
  <c r="N24" i="3"/>
  <c r="I24" i="3"/>
  <c r="N23" i="3"/>
  <c r="I23" i="3"/>
  <c r="N22" i="3"/>
  <c r="B20" i="1" s="1"/>
  <c r="I22" i="3"/>
  <c r="N21" i="3"/>
  <c r="I21" i="3"/>
  <c r="N20" i="3"/>
  <c r="I20" i="3"/>
  <c r="N19" i="3"/>
  <c r="I19" i="3"/>
  <c r="N18" i="3"/>
  <c r="I18" i="3"/>
  <c r="N17" i="3"/>
  <c r="I17" i="3"/>
  <c r="N16" i="3"/>
  <c r="I16" i="3"/>
  <c r="N15" i="3"/>
  <c r="I15" i="3"/>
  <c r="N14" i="3"/>
  <c r="I14" i="3"/>
  <c r="N13" i="3"/>
  <c r="I13" i="3"/>
  <c r="I9" i="2"/>
  <c r="I8" i="2"/>
  <c r="B19" i="1" s="1"/>
  <c r="B7" i="9" s="1"/>
  <c r="I7" i="2"/>
  <c r="I6" i="2"/>
  <c r="C43" i="1"/>
  <c r="C42" i="1"/>
  <c r="C41" i="1"/>
  <c r="C40" i="1"/>
  <c r="C39" i="1"/>
  <c r="C38" i="1"/>
  <c r="C37" i="1"/>
  <c r="C36" i="1"/>
  <c r="C35" i="1"/>
  <c r="C34" i="1"/>
  <c r="H29" i="1"/>
  <c r="G29" i="1"/>
  <c r="F29" i="1"/>
  <c r="E29" i="1"/>
  <c r="D29" i="1"/>
  <c r="C29" i="1"/>
  <c r="H28" i="1"/>
  <c r="G28" i="1"/>
  <c r="F28" i="1"/>
  <c r="E28" i="1"/>
  <c r="D28" i="1"/>
  <c r="C28" i="1"/>
  <c r="H27" i="1"/>
  <c r="G27" i="1"/>
  <c r="F27" i="1"/>
  <c r="E27" i="1"/>
  <c r="D27" i="1"/>
  <c r="C27" i="1"/>
  <c r="H26" i="1"/>
  <c r="G26" i="1"/>
  <c r="F26" i="1"/>
  <c r="E26" i="1"/>
  <c r="D26" i="1"/>
  <c r="C26" i="1"/>
  <c r="B18" i="1" s="1"/>
  <c r="B6" i="9" s="1"/>
  <c r="B21" i="1"/>
  <c r="B13" i="1"/>
  <c r="B16" i="6" l="1"/>
  <c r="C18" i="6"/>
  <c r="D18" i="6" s="1"/>
  <c r="C15" i="6"/>
  <c r="B18" i="6"/>
  <c r="B15" i="6"/>
  <c r="C19" i="6"/>
  <c r="D19" i="6" s="1"/>
  <c r="C17" i="6"/>
  <c r="D17" i="6" s="1"/>
  <c r="B14" i="6"/>
  <c r="B17" i="6"/>
  <c r="C14" i="6"/>
  <c r="B19" i="6"/>
  <c r="C16" i="6"/>
  <c r="D16" i="6" s="1"/>
  <c r="D15" i="6" l="1"/>
  <c r="D14" i="6"/>
</calcChain>
</file>

<file path=xl/sharedStrings.xml><?xml version="1.0" encoding="utf-8"?>
<sst xmlns="http://schemas.openxmlformats.org/spreadsheetml/2006/main" count="524" uniqueCount="317">
  <si>
    <t>ISMS-IMP-A.8.23.5 – Web Filtering Compliance Summary Dashboard
ISO/IEC 27001:2022 - Control A.8.23: Web Filtering - Executive Overview</t>
  </si>
  <si>
    <t>Document Information</t>
  </si>
  <si>
    <t>Document ID</t>
  </si>
  <si>
    <t>ISMS-IMP-A.8.23.5</t>
  </si>
  <si>
    <t>Report Type</t>
  </si>
  <si>
    <t>Compliance Summary Dashboard</t>
  </si>
  <si>
    <t>Related Policy</t>
  </si>
  <si>
    <t>ISMS-POL-A.8.23 (Web Filtering)</t>
  </si>
  <si>
    <t>Version</t>
  </si>
  <si>
    <t>1.0</t>
  </si>
  <si>
    <t>Report Date</t>
  </si>
  <si>
    <t>Reporting Period</t>
  </si>
  <si>
    <t>Prepared By</t>
  </si>
  <si>
    <t>Organization</t>
  </si>
  <si>
    <t>Review Cycle</t>
  </si>
  <si>
    <t>Quarterly</t>
  </si>
  <si>
    <t>Last Updated</t>
  </si>
  <si>
    <t>OVERALL WEB FILTERING COMPLIANCE STATUS</t>
  </si>
  <si>
    <t>Metric</t>
  </si>
  <si>
    <t>Score</t>
  </si>
  <si>
    <t>Target</t>
  </si>
  <si>
    <t>Status</t>
  </si>
  <si>
    <t>Overall Compliance Rate</t>
  </si>
  <si>
    <t>≥95%</t>
  </si>
  <si>
    <t>Critical Gaps</t>
  </si>
  <si>
    <t>0</t>
  </si>
  <si>
    <t>High-Risk Items</t>
  </si>
  <si>
    <t>≤5</t>
  </si>
  <si>
    <t>Remediation Progress</t>
  </si>
  <si>
    <t>≥80%</t>
  </si>
  <si>
    <t>DOMAIN COMPLIANCE SCORES (from Source Workbooks)</t>
  </si>
  <si>
    <t>#</t>
  </si>
  <si>
    <t>Assessment Domain</t>
  </si>
  <si>
    <t>Compliance Score</t>
  </si>
  <si>
    <t>Evidence Count</t>
  </si>
  <si>
    <t>Assessor</t>
  </si>
  <si>
    <t>1</t>
  </si>
  <si>
    <t>Filtering Infrastructure</t>
  </si>
  <si>
    <t>2</t>
  </si>
  <si>
    <t>Network Coverage</t>
  </si>
  <si>
    <t>3</t>
  </si>
  <si>
    <t>Policy Configuration</t>
  </si>
  <si>
    <t>4</t>
  </si>
  <si>
    <t>Monitoring &amp; Response</t>
  </si>
  <si>
    <t>KEY PERFORMANCE INDICATORS (Consolidated)</t>
  </si>
  <si>
    <t>Category</t>
  </si>
  <si>
    <t>Current Value</t>
  </si>
  <si>
    <t>Trend</t>
  </si>
  <si>
    <t>Notes</t>
  </si>
  <si>
    <t>Infrastructure</t>
  </si>
  <si>
    <t>Filtering Solutions Deployed</t>
  </si>
  <si>
    <t>≥1</t>
  </si>
  <si>
    <t>From A.8.23.1</t>
  </si>
  <si>
    <t>Solutions Fully Implemented</t>
  </si>
  <si>
    <t>100%</t>
  </si>
  <si>
    <t>Coverage</t>
  </si>
  <si>
    <t>Network Segments Covered</t>
  </si>
  <si>
    <t>From A.8.23.2</t>
  </si>
  <si>
    <t>Critical Bypass Risks</t>
  </si>
  <si>
    <t>Policy</t>
  </si>
  <si>
    <t>Threat Categories Blocked</t>
  </si>
  <si>
    <t>From A.8.23.3</t>
  </si>
  <si>
    <t>Active Exceptions</t>
  </si>
  <si>
    <t>&lt;10</t>
  </si>
  <si>
    <t>Monitoring</t>
  </si>
  <si>
    <t>Alert Rules Configured</t>
  </si>
  <si>
    <t>≥20</t>
  </si>
  <si>
    <t>From A.8.23.4</t>
  </si>
  <si>
    <t>SLA Compliance Rate</t>
  </si>
  <si>
    <t>Response</t>
  </si>
  <si>
    <t>Open Critical Incidents</t>
  </si>
  <si>
    <t>False Positive Rate</t>
  </si>
  <si>
    <t>&lt;1%</t>
  </si>
  <si>
    <t>📊 DASHBOARD NOTES</t>
  </si>
  <si>
    <t>• This dashboard consolidates data from 4 assessment workbooks via external links</t>
  </si>
  <si>
    <t>• Blue italic formulas pull live data from normalized source files</t>
  </si>
  <si>
    <t>• Click 'Update Links' when opening to refresh all data</t>
  </si>
  <si>
    <t>• Yellow cells are for manual status/trend assessment</t>
  </si>
  <si>
    <t>• Place this dashboard in same folder as ISMS-IMP-A.8.23.[1-4].xlsx files</t>
  </si>
  <si>
    <t>• Review quarterly or after significant changes to filtering infrastructure</t>
  </si>
  <si>
    <t>🎯 "Evidence &gt; Theater" - This is Systems Engineering, not Cargo Cult Compliance</t>
  </si>
  <si>
    <t>CONSOLIDATED GAP ANALYSIS - A.8.23 WEB FILTERING</t>
  </si>
  <si>
    <t>Aggregated gaps from all 4 assessment workbooks</t>
  </si>
  <si>
    <t>Gap ID</t>
  </si>
  <si>
    <t>Source Assessment</t>
  </si>
  <si>
    <t>Gap Category</t>
  </si>
  <si>
    <t>Gap Description</t>
  </si>
  <si>
    <t>Current State</t>
  </si>
  <si>
    <t>Target State</t>
  </si>
  <si>
    <t>Impact</t>
  </si>
  <si>
    <t>Likelihood</t>
  </si>
  <si>
    <t>Risk Score</t>
  </si>
  <si>
    <t>Priority</t>
  </si>
  <si>
    <t>Remediation Action</t>
  </si>
  <si>
    <t>Owner</t>
  </si>
  <si>
    <t>Target Date</t>
  </si>
  <si>
    <t>Progress %</t>
  </si>
  <si>
    <t>Cost Estimate</t>
  </si>
  <si>
    <t>Dependencies</t>
  </si>
  <si>
    <t>Verification Method</t>
  </si>
  <si>
    <t>Status Notes</t>
  </si>
  <si>
    <t>INSTRUCTIONS: Consolidate gaps from all 4 source workbooks. Each gap should reference its source assessment. Use this sheet for executive-level gap tracking across all web filtering domains.</t>
  </si>
  <si>
    <t>A.8.23.1-GAP-001</t>
  </si>
  <si>
    <t>Technology</t>
  </si>
  <si>
    <t>High</t>
  </si>
  <si>
    <t>Medium</t>
  </si>
  <si>
    <t>A.8.23.2-GAP-001</t>
  </si>
  <si>
    <t>Critical</t>
  </si>
  <si>
    <t>A.8.23.3-GAP-001</t>
  </si>
  <si>
    <t>Low</t>
  </si>
  <si>
    <t>A.8.23.4-GAP-001</t>
  </si>
  <si>
    <t>RISK REGISTER - A.8.23 WEB FILTERING</t>
  </si>
  <si>
    <t>RISK SCORING MATRIX</t>
  </si>
  <si>
    <t>Impact / Likelihood</t>
  </si>
  <si>
    <t>Low (1)</t>
  </si>
  <si>
    <t>Medium (2)</t>
  </si>
  <si>
    <t>High (3)</t>
  </si>
  <si>
    <t>Critical (4)</t>
  </si>
  <si>
    <t>IDENTIFIED RISKS</t>
  </si>
  <si>
    <t>Risk ID</t>
  </si>
  <si>
    <t>Source</t>
  </si>
  <si>
    <t>Risk Category</t>
  </si>
  <si>
    <t>Risk Description</t>
  </si>
  <si>
    <t>Threat Source</t>
  </si>
  <si>
    <t>Vulnerability</t>
  </si>
  <si>
    <t>Inherent Risk</t>
  </si>
  <si>
    <t>Controls</t>
  </si>
  <si>
    <t>Control Effectiveness</t>
  </si>
  <si>
    <t>Residual Impact</t>
  </si>
  <si>
    <t>Residual Likelihood</t>
  </si>
  <si>
    <t>Residual Risk</t>
  </si>
  <si>
    <t>Treatment</t>
  </si>
  <si>
    <t>REMEDIATION ROADMAP - A.8.23 WEB FILTERING</t>
  </si>
  <si>
    <t>Action plan for closing identified gaps and reducing risks</t>
  </si>
  <si>
    <t>REMEDIATION SUMMARY</t>
  </si>
  <si>
    <t>Total Action Items</t>
  </si>
  <si>
    <t>Completed</t>
  </si>
  <si>
    <t>In Progress</t>
  </si>
  <si>
    <t>Not Started</t>
  </si>
  <si>
    <t>Overdue</t>
  </si>
  <si>
    <t>Overall Progress</t>
  </si>
  <si>
    <t>IMPLEMENTATION PHASES</t>
  </si>
  <si>
    <t>Phase 1: Critical (0-30 days)</t>
  </si>
  <si>
    <t>Immediate action required</t>
  </si>
  <si>
    <t>Critical gaps, security risks</t>
  </si>
  <si>
    <t>Phase 2: High (30-90 days)</t>
  </si>
  <si>
    <t>Quick wins, high impact</t>
  </si>
  <si>
    <t>Infrastructure, coverage gaps</t>
  </si>
  <si>
    <t>Phase 3: Medium (90-180 days)</t>
  </si>
  <si>
    <t>Process improvements</t>
  </si>
  <si>
    <t>Policy, monitoring enhancements</t>
  </si>
  <si>
    <t>Phase 4: Low (180-365 days)</t>
  </si>
  <si>
    <t>Optimization</t>
  </si>
  <si>
    <t>Fine-tuning, documentation</t>
  </si>
  <si>
    <t>ACTION ITEMS</t>
  </si>
  <si>
    <t>Action ID</t>
  </si>
  <si>
    <t>Phase</t>
  </si>
  <si>
    <t>Related Gap/Risk</t>
  </si>
  <si>
    <t>Action Description</t>
  </si>
  <si>
    <t>Assigned Owner</t>
  </si>
  <si>
    <t>Department</t>
  </si>
  <si>
    <t>Actual Completion</t>
  </si>
  <si>
    <t>Budget</t>
  </si>
  <si>
    <t>Success Criteria</t>
  </si>
  <si>
    <t>Verification</t>
  </si>
  <si>
    <t>KPIs &amp; METRICS - A.8.23 WEB FILTERING</t>
  </si>
  <si>
    <t>INFRASTRUCTURE METRICS</t>
  </si>
  <si>
    <t>KPI Name</t>
  </si>
  <si>
    <t>Unit</t>
  </si>
  <si>
    <t>Last Month</t>
  </si>
  <si>
    <t>YTD Average</t>
  </si>
  <si>
    <t>Data Source</t>
  </si>
  <si>
    <t>Update Frequency</t>
  </si>
  <si>
    <t>Collection Method</t>
  </si>
  <si>
    <t>Total Filtering Solutions</t>
  </si>
  <si>
    <t>Count</t>
  </si>
  <si>
    <t>Deployment Coverage</t>
  </si>
  <si>
    <t>%</t>
  </si>
  <si>
    <t>Solution Availability</t>
  </si>
  <si>
    <t>≥99%</t>
  </si>
  <si>
    <t>Performance - Latency</t>
  </si>
  <si>
    <t>ms</t>
  </si>
  <si>
    <t>≤100ms</t>
  </si>
  <si>
    <t>Licensing Compliance</t>
  </si>
  <si>
    <t>COVERAGE METRICS</t>
  </si>
  <si>
    <t>Users Protected</t>
  </si>
  <si>
    <t>All</t>
  </si>
  <si>
    <t>Devices Protected</t>
  </si>
  <si>
    <t>Bypass Vulnerabilities</t>
  </si>
  <si>
    <t>Coverage Verification Rate</t>
  </si>
  <si>
    <t>POLICY METRICS</t>
  </si>
  <si>
    <t>Content Categories Configured</t>
  </si>
  <si>
    <t>≥30</t>
  </si>
  <si>
    <t>Active Policy Exceptions</t>
  </si>
  <si>
    <t>≤10</t>
  </si>
  <si>
    <t>Exception Review Compliance</t>
  </si>
  <si>
    <t>Policy Update Frequency</t>
  </si>
  <si>
    <t>Days</t>
  </si>
  <si>
    <t>≤90</t>
  </si>
  <si>
    <t>MONITORING METRICS</t>
  </si>
  <si>
    <t>Log Collection Rate</t>
  </si>
  <si>
    <t>Alert Rules Active</t>
  </si>
  <si>
    <t>Alert Response Time</t>
  </si>
  <si>
    <t>Minutes</t>
  </si>
  <si>
    <t>≤30</t>
  </si>
  <si>
    <t>Dashboard Availability</t>
  </si>
  <si>
    <t>SIEM Integration Health</t>
  </si>
  <si>
    <t>INCIDENT METRICS</t>
  </si>
  <si>
    <t>Mean Time to Detect (MTTD)</t>
  </si>
  <si>
    <t>≤15</t>
  </si>
  <si>
    <t>Mean Time to Respond (MTTR)</t>
  </si>
  <si>
    <t>Hours</t>
  </si>
  <si>
    <t>≤4</t>
  </si>
  <si>
    <t>≤1%</t>
  </si>
  <si>
    <t>COMPLIANCE METRICS</t>
  </si>
  <si>
    <t>Overall Compliance Score</t>
  </si>
  <si>
    <t>Critical Gaps Open</t>
  </si>
  <si>
    <t>Evidence Collection Rate</t>
  </si>
  <si>
    <t>Audit Readiness</t>
  </si>
  <si>
    <t>Ready</t>
  </si>
  <si>
    <t>Policy Review Currency</t>
  </si>
  <si>
    <t>EVIDENCE REGISTER - A.8.23 WEB FILTERING</t>
  </si>
  <si>
    <t>Centralized evidence tracking for audit and compliance verification</t>
  </si>
  <si>
    <t>EVIDENCE SUMMARY</t>
  </si>
  <si>
    <t>Total Evidence Items</t>
  </si>
  <si>
    <t>Verified</t>
  </si>
  <si>
    <t>Pending Verification</t>
  </si>
  <si>
    <t>Expired/Missing</t>
  </si>
  <si>
    <t>Verification Rate</t>
  </si>
  <si>
    <t>EVIDENCE BY CATEGORY</t>
  </si>
  <si>
    <t>Verification %</t>
  </si>
  <si>
    <t>Incident Response</t>
  </si>
  <si>
    <t>Compliance</t>
  </si>
  <si>
    <t>Audit</t>
  </si>
  <si>
    <t>EVIDENCE ITEMS</t>
  </si>
  <si>
    <t>Evidence ID</t>
  </si>
  <si>
    <t>Related Requirement</t>
  </si>
  <si>
    <t>Evidence Type</t>
  </si>
  <si>
    <t>Description</t>
  </si>
  <si>
    <t>File Location</t>
  </si>
  <si>
    <t>Collection Date</t>
  </si>
  <si>
    <t>Collected By</t>
  </si>
  <si>
    <t>Retention Period</t>
  </si>
  <si>
    <t>Expiry Date</t>
  </si>
  <si>
    <t>Verification Status</t>
  </si>
  <si>
    <t>Verified By</t>
  </si>
  <si>
    <t>Verification Date</t>
  </si>
  <si>
    <t>ACTION ITEMS &amp; FOLLOW-UP - A.8.23 WEB FILTERING</t>
  </si>
  <si>
    <t>ACTION SUMMARY</t>
  </si>
  <si>
    <t>Total Actions</t>
  </si>
  <si>
    <t>Due This Week</t>
  </si>
  <si>
    <t>Completed This Month</t>
  </si>
  <si>
    <t>Completion Rate</t>
  </si>
  <si>
    <t>ACTIONS BY PRIORITY</t>
  </si>
  <si>
    <t>Total</t>
  </si>
  <si>
    <t>Open</t>
  </si>
  <si>
    <t>Due Date</t>
  </si>
  <si>
    <t>Completion Date</t>
  </si>
  <si>
    <t>Assigned To</t>
  </si>
  <si>
    <t>Progress Notes</t>
  </si>
  <si>
    <t>Blocker</t>
  </si>
  <si>
    <t>Next Steps</t>
  </si>
  <si>
    <t>AUDIT &amp; COMPLIANCE LOG - A.8.23 WEB FILTERING</t>
  </si>
  <si>
    <t>Tracking audit activities, findings, and compliance verification</t>
  </si>
  <si>
    <t>AUDIT SUMMARY</t>
  </si>
  <si>
    <t>Last Internal Audit</t>
  </si>
  <si>
    <t>Last External Audit</t>
  </si>
  <si>
    <t>Next Scheduled Audit</t>
  </si>
  <si>
    <t>Total Findings (All Time)</t>
  </si>
  <si>
    <t>Open Findings</t>
  </si>
  <si>
    <t>Closed Findings</t>
  </si>
  <si>
    <t>Average Resolution Time (Days)</t>
  </si>
  <si>
    <t>FINDINGS BY SEVERITY</t>
  </si>
  <si>
    <t>Severity</t>
  </si>
  <si>
    <t>Closed</t>
  </si>
  <si>
    <t>Closure Rate</t>
  </si>
  <si>
    <t>Observation</t>
  </si>
  <si>
    <t>AUDIT FINDINGS &amp; COMPLIANCE RECORDS</t>
  </si>
  <si>
    <t>Finding ID</t>
  </si>
  <si>
    <t>Audit Date</t>
  </si>
  <si>
    <t>Audit Type</t>
  </si>
  <si>
    <t>Auditor/Source</t>
  </si>
  <si>
    <t>Finding Category</t>
  </si>
  <si>
    <t>Finding Description</t>
  </si>
  <si>
    <t>Affected Area</t>
  </si>
  <si>
    <t>Resolution Days</t>
  </si>
  <si>
    <t>Resolution Date</t>
  </si>
  <si>
    <t>APPROVAL SIGN-OFF - A.8.23 WEB FILTERING</t>
  </si>
  <si>
    <t>Multi-level approval workflow for compliance dashboard</t>
  </si>
  <si>
    <t>ASSESSMENT SUMMARY FOR APPROVAL</t>
  </si>
  <si>
    <t>Total Critical Gaps</t>
  </si>
  <si>
    <t>Total High-Risk Items</t>
  </si>
  <si>
    <t>Evidence Items Collected</t>
  </si>
  <si>
    <t>Open Action Items</t>
  </si>
  <si>
    <t>Audit Readiness Status</t>
  </si>
  <si>
    <t>Ready/Conditional/Not Ready</t>
  </si>
  <si>
    <t>ASSESSMENT STATUS</t>
  </si>
  <si>
    <t>Assessment Status:</t>
  </si>
  <si>
    <t>ASSESSMENT COMPLETED BY</t>
  </si>
  <si>
    <t>Name:</t>
  </si>
  <si>
    <t>Role/Title:</t>
  </si>
  <si>
    <t>Department:</t>
  </si>
  <si>
    <t>Email:</t>
  </si>
  <si>
    <t>Date:</t>
  </si>
  <si>
    <t>REVIEWED BY (INFORMATION SECURITY OFFICER)</t>
  </si>
  <si>
    <t>Review Notes:</t>
  </si>
  <si>
    <t>APPROVED BY (CISO)</t>
  </si>
  <si>
    <t>Approval Decision:</t>
  </si>
  <si>
    <t>Conditions/Notes:</t>
  </si>
  <si>
    <t>NEXT REVIEW DETAILS</t>
  </si>
  <si>
    <t>Next Review Date:</t>
  </si>
  <si>
    <t>Review Responsible:</t>
  </si>
  <si>
    <t>Special Considerations:</t>
  </si>
  <si>
    <t>CISO CERTIFICATION STATEMENT</t>
  </si>
  <si>
    <t>I certify that this consolidated assessment of ISO/IEC 27001:2022 Control A.8.23 (Web Filtering) has been reviewed and represents an accurate view of our organization's compliance status across all four assessment domains (Infrastructure, Coverage, Policy, Monitoring &amp; Response). Identified gaps have remediation plans with assigned owners and target dates. This dashboard consolidates data from completed assessments and is suitable for presentation to internal and external auditors.</t>
  </si>
  <si>
    <t>🎯 "The first principle is that you must not fool yourself – and you are the easiest person to fool." – Richard Feynman</t>
  </si>
  <si>
    <t>This is Systems Engineering. This is Evidence &gt; Theater.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</si>
</sst>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b/>
      <sz val="12"/>
      <color rgb="FFFFFFFF"/>
      <name val="Calibri"/>
      <family val="2"/>
    </font>
    <font>
      <b/>
      <sz val="10"/>
      <name val="Calibri"/>
      <family val="2"/>
    </font>
    <font>
      <b/>
      <sz val="11"/>
      <color rgb="FF0000FF"/>
      <name val="Calibri"/>
      <family val="2"/>
    </font>
    <font>
      <i/>
      <sz val="9"/>
      <color rgb="FF0000FF"/>
      <name val="Calibri"/>
      <family val="2"/>
    </font>
    <font>
      <i/>
      <sz val="9"/>
      <color rgb="FF666666"/>
      <name val="Calibri"/>
      <family val="2"/>
    </font>
    <font>
      <b/>
      <sz val="11"/>
      <name val="Calibri"/>
      <family val="2"/>
    </font>
    <font>
      <i/>
      <sz val="9"/>
      <name val="Calibri"/>
      <family val="2"/>
    </font>
    <font>
      <b/>
      <i/>
      <sz val="10"/>
      <color rgb="FF003366"/>
      <name val="Calibri"/>
      <family val="2"/>
    </font>
    <font>
      <b/>
      <i/>
      <sz val="10"/>
      <color rgb="FF666666"/>
      <name val="Calibri"/>
      <family val="2"/>
    </font>
    <font>
      <b/>
      <sz val="11"/>
      <color rgb="FFFFFFFF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b/>
      <sz val="11"/>
      <color rgb="FFFFFFFF"/>
      <name val="Calibri"/>
      <family val="2"/>
    </font>
    <font>
      <b/>
      <sz val="9"/>
      <color rgb="FF666666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FFFFCC"/>
        <bgColor rgb="FFFFFFCC"/>
      </patternFill>
    </fill>
    <fill>
      <patternFill patternType="solid">
        <fgColor rgb="FFD9D9D9"/>
        <bgColor rgb="FFD9D9D9"/>
      </patternFill>
    </fill>
    <fill>
      <patternFill patternType="solid">
        <fgColor rgb="FFE7E6E6"/>
        <bgColor rgb="FFE7E6E6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3" fillId="0" borderId="0" xfId="0" applyFont="1"/>
    <xf numFmtId="0" fontId="0" fillId="3" borderId="1" xfId="0" applyFill="1" applyBorder="1"/>
    <xf numFmtId="0" fontId="4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0" borderId="1" xfId="0" applyFont="1" applyBorder="1"/>
    <xf numFmtId="164" fontId="8" fillId="5" borderId="1" xfId="0" applyNumberFormat="1" applyFont="1" applyFill="1" applyBorder="1"/>
    <xf numFmtId="0" fontId="8" fillId="5" borderId="1" xfId="0" applyFont="1" applyFill="1" applyBorder="1"/>
    <xf numFmtId="0" fontId="9" fillId="0" borderId="1" xfId="0" applyFont="1" applyBorder="1"/>
    <xf numFmtId="0" fontId="4" fillId="0" borderId="1" xfId="0" applyFont="1" applyBorder="1"/>
    <xf numFmtId="0" fontId="15" fillId="4" borderId="1" xfId="0" applyFont="1" applyFill="1" applyBorder="1"/>
    <xf numFmtId="0" fontId="15" fillId="0" borderId="1" xfId="0" applyFont="1" applyBorder="1"/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4" fillId="3" borderId="1" xfId="0" applyFont="1" applyFill="1" applyBorder="1"/>
    <xf numFmtId="0" fontId="3" fillId="0" borderId="1" xfId="0" applyFont="1" applyBorder="1"/>
    <xf numFmtId="164" fontId="7" fillId="0" borderId="1" xfId="0" applyNumberFormat="1" applyFont="1" applyBorder="1"/>
    <xf numFmtId="0" fontId="16" fillId="0" borderId="1" xfId="0" applyFont="1" applyBorder="1"/>
    <xf numFmtId="0" fontId="6" fillId="4" borderId="1" xfId="0" applyFont="1" applyFill="1" applyBorder="1"/>
    <xf numFmtId="164" fontId="4" fillId="0" borderId="1" xfId="0" applyNumberFormat="1" applyFont="1" applyBorder="1"/>
    <xf numFmtId="0" fontId="11" fillId="0" borderId="0" xfId="0" applyFont="1" applyAlignment="1">
      <alignment wrapText="1"/>
    </xf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0" fillId="0" borderId="0" xfId="0" applyFont="1"/>
    <xf numFmtId="0" fontId="13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14" fillId="6" borderId="0" xfId="0" applyFont="1" applyFill="1" applyAlignment="1">
      <alignment horizontal="center"/>
    </xf>
    <xf numFmtId="0" fontId="11" fillId="0" borderId="1" xfId="0" applyFont="1" applyBorder="1"/>
    <xf numFmtId="0" fontId="0" fillId="0" borderId="2" xfId="0" applyBorder="1"/>
    <xf numFmtId="0" fontId="0" fillId="0" borderId="3" xfId="0" applyBorder="1"/>
    <xf numFmtId="0" fontId="14" fillId="2" borderId="0" xfId="0" applyFont="1" applyFill="1" applyAlignment="1">
      <alignment horizontal="center" vertical="center"/>
    </xf>
    <xf numFmtId="0" fontId="0" fillId="3" borderId="1" xfId="0" applyFill="1" applyBorder="1"/>
    <xf numFmtId="0" fontId="17" fillId="6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18" fillId="0" borderId="0" xfId="0" applyFont="1" applyAlignment="1">
      <alignment horizontal="center"/>
    </xf>
    <xf numFmtId="0" fontId="0" fillId="0" borderId="1" xfId="0" applyBorder="1" applyAlignment="1">
      <alignment vertical="top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SMS-IMP-A.8.23.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SMS-IMP-A.8.23.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ISMS-IMP-A.8.23.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ISMS-IMP-A.8.23.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 &amp; Legend"/>
      <sheetName val="Solution_Details_Template"/>
      <sheetName val="Technology_Comparison"/>
      <sheetName val="Capability_Requirements"/>
      <sheetName val="Integration_Architecture"/>
      <sheetName val="Licensing_Support"/>
      <sheetName val="Performance_Metrics"/>
      <sheetName val="Gap_Analysis"/>
      <sheetName val="Evidence_Register"/>
      <sheetName val="Approval_Sign_Off"/>
    </sheetNames>
    <sheetDataSet>
      <sheetData sheetId="0">
        <row r="9">
          <cell r="B9" t="str">
            <v>2026-01-11</v>
          </cell>
        </row>
        <row r="10">
          <cell r="B10" t="str">
            <v>Sarah Chen - Security Manager</v>
          </cell>
        </row>
      </sheetData>
      <sheetData sheetId="1">
        <row r="8">
          <cell r="B8"/>
        </row>
        <row r="9">
          <cell r="B9"/>
        </row>
        <row r="10">
          <cell r="B10"/>
        </row>
        <row r="11">
          <cell r="B11"/>
        </row>
        <row r="12">
          <cell r="B12"/>
        </row>
        <row r="13">
          <cell r="B13"/>
        </row>
        <row r="14">
          <cell r="B14"/>
        </row>
        <row r="15">
          <cell r="B15"/>
        </row>
        <row r="16">
          <cell r="B16"/>
        </row>
        <row r="17">
          <cell r="B17"/>
        </row>
        <row r="19">
          <cell r="B19"/>
        </row>
        <row r="20">
          <cell r="B20" t="str">
            <v>Assessment</v>
          </cell>
        </row>
        <row r="21">
          <cell r="B21"/>
        </row>
        <row r="22">
          <cell r="B22"/>
        </row>
        <row r="23">
          <cell r="B23"/>
        </row>
        <row r="24">
          <cell r="B24"/>
        </row>
        <row r="25">
          <cell r="B25"/>
        </row>
        <row r="26">
          <cell r="B26"/>
        </row>
        <row r="27">
          <cell r="B27"/>
        </row>
      </sheetData>
      <sheetData sheetId="2"/>
      <sheetData sheetId="3"/>
      <sheetData sheetId="4"/>
      <sheetData sheetId="5"/>
      <sheetData sheetId="6"/>
      <sheetData sheetId="7">
        <row r="5">
          <cell r="B5"/>
          <cell r="C5"/>
        </row>
        <row r="10">
          <cell r="F10"/>
        </row>
        <row r="11">
          <cell r="F11"/>
        </row>
        <row r="12">
          <cell r="F12"/>
        </row>
        <row r="13">
          <cell r="F13"/>
        </row>
        <row r="14">
          <cell r="F14"/>
        </row>
        <row r="15">
          <cell r="F15"/>
        </row>
        <row r="16">
          <cell r="F16"/>
        </row>
        <row r="17">
          <cell r="F17"/>
        </row>
        <row r="18">
          <cell r="F18"/>
        </row>
        <row r="19">
          <cell r="F19"/>
        </row>
        <row r="20">
          <cell r="F20"/>
        </row>
        <row r="21">
          <cell r="F21"/>
        </row>
        <row r="22">
          <cell r="F22"/>
        </row>
        <row r="23">
          <cell r="F23"/>
        </row>
        <row r="24">
          <cell r="F24"/>
        </row>
        <row r="25">
          <cell r="F25"/>
        </row>
        <row r="26">
          <cell r="F26"/>
        </row>
        <row r="27">
          <cell r="F27"/>
        </row>
        <row r="28">
          <cell r="F28"/>
        </row>
        <row r="29">
          <cell r="F29"/>
        </row>
        <row r="30">
          <cell r="F30"/>
        </row>
        <row r="31">
          <cell r="F31"/>
        </row>
        <row r="32">
          <cell r="F32"/>
        </row>
        <row r="33">
          <cell r="F33"/>
        </row>
        <row r="34">
          <cell r="F34"/>
        </row>
        <row r="35">
          <cell r="F35"/>
        </row>
        <row r="36">
          <cell r="F36"/>
        </row>
        <row r="37">
          <cell r="F37"/>
        </row>
        <row r="38">
          <cell r="F38"/>
        </row>
        <row r="39">
          <cell r="F39"/>
        </row>
        <row r="40">
          <cell r="F40"/>
        </row>
        <row r="41">
          <cell r="F41"/>
        </row>
        <row r="42">
          <cell r="F42"/>
        </row>
        <row r="43">
          <cell r="F43"/>
        </row>
        <row r="44">
          <cell r="F44"/>
        </row>
        <row r="47">
          <cell r="F47"/>
        </row>
      </sheetData>
      <sheetData sheetId="8">
        <row r="10">
          <cell r="A10" t="str">
            <v>EVD-006</v>
          </cell>
        </row>
        <row r="11">
          <cell r="A11" t="str">
            <v>EVD-007</v>
          </cell>
        </row>
        <row r="12">
          <cell r="A12" t="str">
            <v>EVD-008</v>
          </cell>
        </row>
        <row r="13">
          <cell r="A13" t="str">
            <v>EVD-009</v>
          </cell>
        </row>
        <row r="14">
          <cell r="A14" t="str">
            <v>EVD-010</v>
          </cell>
        </row>
        <row r="15">
          <cell r="A15" t="str">
            <v>EVD-011</v>
          </cell>
        </row>
        <row r="16">
          <cell r="A16" t="str">
            <v>EVD-012</v>
          </cell>
        </row>
        <row r="17">
          <cell r="A17" t="str">
            <v>EVD-013</v>
          </cell>
        </row>
        <row r="18">
          <cell r="A18" t="str">
            <v>EVD-014</v>
          </cell>
        </row>
        <row r="19">
          <cell r="A19" t="str">
            <v>EVD-015</v>
          </cell>
        </row>
        <row r="20">
          <cell r="A20" t="str">
            <v>EVD-016</v>
          </cell>
        </row>
        <row r="21">
          <cell r="A21" t="str">
            <v>EVD-017</v>
          </cell>
        </row>
        <row r="22">
          <cell r="A22" t="str">
            <v>EVD-018</v>
          </cell>
        </row>
        <row r="23">
          <cell r="A23" t="str">
            <v>EVD-019</v>
          </cell>
        </row>
        <row r="24">
          <cell r="A24" t="str">
            <v>EVD-020</v>
          </cell>
        </row>
        <row r="25">
          <cell r="A25" t="str">
            <v>EVD-021</v>
          </cell>
        </row>
        <row r="26">
          <cell r="A26" t="str">
            <v>EVD-022</v>
          </cell>
        </row>
        <row r="27">
          <cell r="A27" t="str">
            <v>EVD-023</v>
          </cell>
        </row>
        <row r="28">
          <cell r="A28" t="str">
            <v>EVD-024</v>
          </cell>
        </row>
        <row r="29">
          <cell r="A29" t="str">
            <v>EVD-025</v>
          </cell>
        </row>
        <row r="30">
          <cell r="A30" t="str">
            <v>EVD-026</v>
          </cell>
        </row>
        <row r="31">
          <cell r="A31" t="str">
            <v>EVD-027</v>
          </cell>
        </row>
        <row r="32">
          <cell r="A32" t="str">
            <v>EVD-028</v>
          </cell>
        </row>
        <row r="33">
          <cell r="A33" t="str">
            <v>EVD-029</v>
          </cell>
        </row>
        <row r="34">
          <cell r="A34" t="str">
            <v>EVD-030</v>
          </cell>
        </row>
        <row r="35">
          <cell r="A35" t="str">
            <v>EVD-031</v>
          </cell>
        </row>
        <row r="36">
          <cell r="A36" t="str">
            <v>EVD-032</v>
          </cell>
        </row>
        <row r="37">
          <cell r="A37" t="str">
            <v>EVD-033</v>
          </cell>
        </row>
        <row r="38">
          <cell r="A38" t="str">
            <v>EVD-034</v>
          </cell>
        </row>
        <row r="39">
          <cell r="A39" t="str">
            <v>EVD-035</v>
          </cell>
        </row>
        <row r="40">
          <cell r="A40" t="str">
            <v>EVD-036</v>
          </cell>
        </row>
        <row r="41">
          <cell r="A41" t="str">
            <v>EVD-037</v>
          </cell>
        </row>
        <row r="42">
          <cell r="A42" t="str">
            <v>EVD-038</v>
          </cell>
        </row>
        <row r="43">
          <cell r="A43" t="str">
            <v>EVD-039</v>
          </cell>
        </row>
        <row r="44">
          <cell r="A44" t="str">
            <v>EVD-040</v>
          </cell>
        </row>
        <row r="45">
          <cell r="A45" t="str">
            <v>EVD-041</v>
          </cell>
        </row>
        <row r="46">
          <cell r="A46" t="str">
            <v>EVD-042</v>
          </cell>
        </row>
        <row r="47">
          <cell r="A47" t="str">
            <v>EVD-043</v>
          </cell>
        </row>
        <row r="48">
          <cell r="A48" t="str">
            <v>EVD-044</v>
          </cell>
        </row>
        <row r="49">
          <cell r="A49" t="str">
            <v>EVD-045</v>
          </cell>
        </row>
        <row r="50">
          <cell r="A50" t="str">
            <v>EVD-046</v>
          </cell>
        </row>
        <row r="51">
          <cell r="A51" t="str">
            <v>EVD-047</v>
          </cell>
        </row>
        <row r="52">
          <cell r="A52" t="str">
            <v>EVD-048</v>
          </cell>
        </row>
        <row r="53">
          <cell r="A53" t="str">
            <v>EVD-049</v>
          </cell>
        </row>
        <row r="54">
          <cell r="A54" t="str">
            <v>EVD-050</v>
          </cell>
        </row>
        <row r="55">
          <cell r="A55" t="str">
            <v>EVD-051</v>
          </cell>
        </row>
        <row r="56">
          <cell r="A56" t="str">
            <v>EVD-052</v>
          </cell>
        </row>
        <row r="57">
          <cell r="A57" t="str">
            <v>EVD-053</v>
          </cell>
        </row>
        <row r="58">
          <cell r="A58" t="str">
            <v>EVD-054</v>
          </cell>
        </row>
        <row r="59">
          <cell r="A59" t="str">
            <v>EVD-055</v>
          </cell>
        </row>
        <row r="60">
          <cell r="A60" t="str">
            <v>EVD-056</v>
          </cell>
        </row>
        <row r="61">
          <cell r="A61" t="str">
            <v>EVD-057</v>
          </cell>
        </row>
        <row r="62">
          <cell r="A62" t="str">
            <v>EVD-058</v>
          </cell>
        </row>
        <row r="63">
          <cell r="A63" t="str">
            <v>EVD-059</v>
          </cell>
        </row>
        <row r="64">
          <cell r="A64" t="str">
            <v>EVD-060</v>
          </cell>
        </row>
        <row r="65">
          <cell r="A65" t="str">
            <v>EVD-061</v>
          </cell>
        </row>
        <row r="66">
          <cell r="A66" t="str">
            <v>EVD-062</v>
          </cell>
        </row>
        <row r="67">
          <cell r="A67" t="str">
            <v>EVD-063</v>
          </cell>
        </row>
        <row r="68">
          <cell r="A68" t="str">
            <v>EVD-064</v>
          </cell>
        </row>
        <row r="69">
          <cell r="A69" t="str">
            <v>EVD-065</v>
          </cell>
        </row>
        <row r="70">
          <cell r="A70" t="str">
            <v>EVD-066</v>
          </cell>
        </row>
        <row r="71">
          <cell r="A71" t="str">
            <v>EVD-067</v>
          </cell>
        </row>
        <row r="72">
          <cell r="A72" t="str">
            <v>EVD-068</v>
          </cell>
        </row>
        <row r="73">
          <cell r="A73" t="str">
            <v>EVD-069</v>
          </cell>
        </row>
        <row r="74">
          <cell r="A74" t="str">
            <v>EVD-070</v>
          </cell>
        </row>
        <row r="75">
          <cell r="A75" t="str">
            <v>EVD-071</v>
          </cell>
        </row>
        <row r="76">
          <cell r="A76" t="str">
            <v>EVD-072</v>
          </cell>
        </row>
        <row r="77">
          <cell r="A77" t="str">
            <v>EVD-073</v>
          </cell>
        </row>
        <row r="78">
          <cell r="A78" t="str">
            <v>EVD-074</v>
          </cell>
        </row>
        <row r="79">
          <cell r="A79" t="str">
            <v>EVD-075</v>
          </cell>
        </row>
        <row r="80">
          <cell r="A80" t="str">
            <v>EVD-076</v>
          </cell>
        </row>
        <row r="81">
          <cell r="A81" t="str">
            <v>EVD-077</v>
          </cell>
        </row>
        <row r="82">
          <cell r="A82" t="str">
            <v>EVD-078</v>
          </cell>
        </row>
        <row r="83">
          <cell r="A83" t="str">
            <v>EVD-079</v>
          </cell>
        </row>
        <row r="84">
          <cell r="A84" t="str">
            <v>EVD-080</v>
          </cell>
        </row>
        <row r="85">
          <cell r="A85" t="str">
            <v>EVD-081</v>
          </cell>
        </row>
        <row r="86">
          <cell r="A86" t="str">
            <v>EVD-082</v>
          </cell>
        </row>
        <row r="87">
          <cell r="A87" t="str">
            <v>EVD-083</v>
          </cell>
        </row>
        <row r="88">
          <cell r="A88" t="str">
            <v>EVD-084</v>
          </cell>
        </row>
        <row r="89">
          <cell r="A89" t="str">
            <v>EVD-085</v>
          </cell>
        </row>
        <row r="90">
          <cell r="A90" t="str">
            <v>EVD-086</v>
          </cell>
        </row>
        <row r="91">
          <cell r="A91" t="str">
            <v>EVD-087</v>
          </cell>
        </row>
        <row r="92">
          <cell r="A92" t="str">
            <v>EVD-088</v>
          </cell>
        </row>
        <row r="93">
          <cell r="A93" t="str">
            <v>EVD-089</v>
          </cell>
        </row>
        <row r="94">
          <cell r="A94" t="str">
            <v>EVD-090</v>
          </cell>
        </row>
        <row r="95">
          <cell r="A95" t="str">
            <v>EVD-091</v>
          </cell>
        </row>
        <row r="96">
          <cell r="A96" t="str">
            <v>EVD-092</v>
          </cell>
        </row>
        <row r="97">
          <cell r="A97" t="str">
            <v>EVD-093</v>
          </cell>
        </row>
        <row r="98">
          <cell r="A98" t="str">
            <v>EVD-094</v>
          </cell>
        </row>
        <row r="99">
          <cell r="A99" t="str">
            <v>EVD-095</v>
          </cell>
        </row>
        <row r="100">
          <cell r="A100" t="str">
            <v>EVD-096</v>
          </cell>
        </row>
        <row r="101">
          <cell r="A101" t="str">
            <v>EVD-097</v>
          </cell>
        </row>
        <row r="102">
          <cell r="A102" t="str">
            <v>EVD-098</v>
          </cell>
        </row>
        <row r="103">
          <cell r="A103" t="str">
            <v>EVD-099</v>
          </cell>
        </row>
        <row r="104">
          <cell r="A104" t="str">
            <v>EVD-100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 &amp; Legend"/>
      <sheetName val="Network_Segment_Inventory"/>
      <sheetName val="Coverage_Matrix"/>
      <sheetName val="Gap_Identification"/>
      <sheetName val="Device_Inventory"/>
      <sheetName val="Exemption_Register"/>
      <sheetName val="Coverage_Verification"/>
      <sheetName val="Evidence_Register"/>
      <sheetName val="Approval_Sign_Off"/>
    </sheetNames>
    <sheetDataSet>
      <sheetData sheetId="0">
        <row r="9">
          <cell r="B9" t="str">
            <v>2026-01-11</v>
          </cell>
        </row>
        <row r="10">
          <cell r="B10" t="str">
            <v>Mike Rodriguez - Network Manager</v>
          </cell>
        </row>
      </sheetData>
      <sheetData sheetId="1">
        <row r="10">
          <cell r="A10" t="str">
            <v>SEG-006</v>
          </cell>
        </row>
        <row r="11">
          <cell r="A11" t="str">
            <v>SEG-007</v>
          </cell>
        </row>
        <row r="12">
          <cell r="A12" t="str">
            <v>SEG-008</v>
          </cell>
        </row>
        <row r="13">
          <cell r="A13" t="str">
            <v>SEG-009</v>
          </cell>
        </row>
        <row r="14">
          <cell r="A14" t="str">
            <v>SEG-010</v>
          </cell>
        </row>
        <row r="15">
          <cell r="A15" t="str">
            <v>SEG-011</v>
          </cell>
        </row>
        <row r="16">
          <cell r="A16" t="str">
            <v>SEG-012</v>
          </cell>
        </row>
        <row r="17">
          <cell r="A17" t="str">
            <v>SEG-013</v>
          </cell>
        </row>
        <row r="18">
          <cell r="A18" t="str">
            <v>SEG-014</v>
          </cell>
        </row>
        <row r="19">
          <cell r="A19" t="str">
            <v>SEG-015</v>
          </cell>
        </row>
        <row r="20">
          <cell r="A20" t="str">
            <v>SEG-016</v>
          </cell>
        </row>
        <row r="21">
          <cell r="A21" t="str">
            <v>SEG-017</v>
          </cell>
        </row>
        <row r="22">
          <cell r="A22" t="str">
            <v>SEG-018</v>
          </cell>
        </row>
        <row r="23">
          <cell r="A23" t="str">
            <v>SEG-019</v>
          </cell>
        </row>
        <row r="24">
          <cell r="A24" t="str">
            <v>SEG-020</v>
          </cell>
        </row>
        <row r="25">
          <cell r="A25" t="str">
            <v>SEG-021</v>
          </cell>
        </row>
        <row r="26">
          <cell r="A26" t="str">
            <v>SEG-022</v>
          </cell>
        </row>
        <row r="27">
          <cell r="A27" t="str">
            <v>SEG-023</v>
          </cell>
        </row>
        <row r="28">
          <cell r="A28" t="str">
            <v>SEG-024</v>
          </cell>
        </row>
        <row r="29">
          <cell r="A29" t="str">
            <v>SEG-025</v>
          </cell>
        </row>
        <row r="30">
          <cell r="A30" t="str">
            <v>SEG-026</v>
          </cell>
        </row>
        <row r="31">
          <cell r="A31" t="str">
            <v>SEG-027</v>
          </cell>
        </row>
        <row r="32">
          <cell r="A32" t="str">
            <v>SEG-028</v>
          </cell>
        </row>
        <row r="33">
          <cell r="A33" t="str">
            <v>SEG-029</v>
          </cell>
        </row>
        <row r="34">
          <cell r="A34" t="str">
            <v>SEG-030</v>
          </cell>
        </row>
        <row r="35">
          <cell r="A35" t="str">
            <v>SEG-031</v>
          </cell>
        </row>
        <row r="36">
          <cell r="A36" t="str">
            <v>SEG-032</v>
          </cell>
        </row>
        <row r="37">
          <cell r="A37" t="str">
            <v>SEG-033</v>
          </cell>
        </row>
        <row r="38">
          <cell r="A38" t="str">
            <v>SEG-034</v>
          </cell>
        </row>
        <row r="39">
          <cell r="A39" t="str">
            <v>SEG-035</v>
          </cell>
        </row>
        <row r="40">
          <cell r="A40" t="str">
            <v>SEG-036</v>
          </cell>
        </row>
        <row r="41">
          <cell r="A41" t="str">
            <v>SEG-037</v>
          </cell>
        </row>
        <row r="42">
          <cell r="A42" t="str">
            <v>SEG-038</v>
          </cell>
        </row>
        <row r="43">
          <cell r="A43" t="str">
            <v>SEG-039</v>
          </cell>
        </row>
        <row r="44">
          <cell r="A44" t="str">
            <v>SEG-040</v>
          </cell>
        </row>
        <row r="45">
          <cell r="A45" t="str">
            <v>SEG-041</v>
          </cell>
        </row>
        <row r="46">
          <cell r="A46" t="str">
            <v>SEG-042</v>
          </cell>
        </row>
        <row r="47">
          <cell r="A47" t="str">
            <v>SEG-043</v>
          </cell>
        </row>
        <row r="48">
          <cell r="A48" t="str">
            <v>SEG-044</v>
          </cell>
        </row>
        <row r="49">
          <cell r="A49" t="str">
            <v>SEG-045</v>
          </cell>
        </row>
        <row r="50">
          <cell r="A50" t="str">
            <v>SEG-046</v>
          </cell>
        </row>
        <row r="51">
          <cell r="A51" t="str">
            <v>SEG-047</v>
          </cell>
        </row>
        <row r="52">
          <cell r="A52" t="str">
            <v>SEG-048</v>
          </cell>
        </row>
        <row r="53">
          <cell r="A53" t="str">
            <v>SEG-049</v>
          </cell>
        </row>
        <row r="54">
          <cell r="A54" t="str">
            <v>SEG-050</v>
          </cell>
        </row>
      </sheetData>
      <sheetData sheetId="2">
        <row r="10">
          <cell r="D10"/>
        </row>
        <row r="11">
          <cell r="D11"/>
        </row>
        <row r="12">
          <cell r="D12"/>
        </row>
        <row r="13">
          <cell r="D13"/>
        </row>
        <row r="14">
          <cell r="D14"/>
        </row>
        <row r="15">
          <cell r="D15"/>
        </row>
        <row r="16">
          <cell r="D16"/>
        </row>
        <row r="17">
          <cell r="D17"/>
        </row>
        <row r="18">
          <cell r="D18"/>
        </row>
        <row r="19">
          <cell r="D19"/>
        </row>
        <row r="20">
          <cell r="D20"/>
        </row>
        <row r="21">
          <cell r="D21"/>
        </row>
        <row r="22">
          <cell r="D22"/>
        </row>
        <row r="23">
          <cell r="D23"/>
        </row>
        <row r="24">
          <cell r="D24"/>
        </row>
        <row r="25">
          <cell r="D25"/>
        </row>
        <row r="26">
          <cell r="D26"/>
        </row>
        <row r="27">
          <cell r="D27"/>
        </row>
        <row r="28">
          <cell r="D28"/>
        </row>
        <row r="29">
          <cell r="D29"/>
        </row>
        <row r="30">
          <cell r="D30"/>
        </row>
        <row r="31">
          <cell r="D31"/>
        </row>
        <row r="32">
          <cell r="D32"/>
        </row>
        <row r="33">
          <cell r="D33"/>
        </row>
        <row r="34">
          <cell r="D34"/>
        </row>
        <row r="35">
          <cell r="D35"/>
        </row>
        <row r="36">
          <cell r="D36"/>
        </row>
        <row r="37">
          <cell r="D37"/>
        </row>
        <row r="38">
          <cell r="D38"/>
        </row>
        <row r="39">
          <cell r="D39"/>
        </row>
        <row r="40">
          <cell r="D40"/>
        </row>
        <row r="41">
          <cell r="D41"/>
        </row>
        <row r="42">
          <cell r="D42"/>
        </row>
        <row r="43">
          <cell r="D43"/>
        </row>
        <row r="44">
          <cell r="D44"/>
        </row>
        <row r="45">
          <cell r="D45"/>
        </row>
        <row r="46">
          <cell r="D46"/>
        </row>
        <row r="47">
          <cell r="D47"/>
        </row>
        <row r="48">
          <cell r="D48"/>
        </row>
        <row r="49">
          <cell r="D49"/>
        </row>
        <row r="50">
          <cell r="D50"/>
        </row>
        <row r="51">
          <cell r="D51"/>
        </row>
        <row r="52">
          <cell r="D52"/>
        </row>
        <row r="53">
          <cell r="D53"/>
        </row>
        <row r="54">
          <cell r="D54"/>
        </row>
        <row r="57">
          <cell r="D57"/>
        </row>
        <row r="65">
          <cell r="D65"/>
        </row>
        <row r="66">
          <cell r="D66" t="str">
            <v>Status</v>
          </cell>
        </row>
        <row r="67">
          <cell r="D67" t="str">
            <v>✅ Good</v>
          </cell>
        </row>
        <row r="68">
          <cell r="D68" t="str">
            <v>⚠️ Needs Attention</v>
          </cell>
        </row>
        <row r="69">
          <cell r="D69" t="str">
            <v>⚠️ Risk</v>
          </cell>
        </row>
        <row r="70">
          <cell r="D70" t="str">
            <v>❌ Critical</v>
          </cell>
        </row>
        <row r="71">
          <cell r="D71" t="str">
            <v>❌ Urgent</v>
          </cell>
        </row>
      </sheetData>
      <sheetData sheetId="3">
        <row r="5">
          <cell r="B5"/>
          <cell r="C5"/>
        </row>
        <row r="10">
          <cell r="F10"/>
        </row>
        <row r="11">
          <cell r="F11"/>
        </row>
        <row r="12">
          <cell r="F12"/>
        </row>
        <row r="13">
          <cell r="F13"/>
        </row>
        <row r="14">
          <cell r="F14"/>
        </row>
        <row r="15">
          <cell r="F15"/>
        </row>
        <row r="16">
          <cell r="F16"/>
        </row>
        <row r="17">
          <cell r="F17"/>
        </row>
        <row r="18">
          <cell r="F18"/>
        </row>
        <row r="19">
          <cell r="F19"/>
        </row>
        <row r="20">
          <cell r="F20"/>
        </row>
        <row r="21">
          <cell r="F21"/>
        </row>
        <row r="22">
          <cell r="F22"/>
        </row>
        <row r="23">
          <cell r="F23"/>
        </row>
        <row r="24">
          <cell r="F24"/>
        </row>
        <row r="25">
          <cell r="F25"/>
        </row>
        <row r="26">
          <cell r="F26"/>
        </row>
        <row r="27">
          <cell r="F27"/>
        </row>
        <row r="28">
          <cell r="F28"/>
        </row>
        <row r="29">
          <cell r="F29"/>
        </row>
        <row r="30">
          <cell r="F30"/>
        </row>
        <row r="31">
          <cell r="F31"/>
        </row>
        <row r="32">
          <cell r="F32"/>
        </row>
        <row r="33">
          <cell r="F33"/>
        </row>
        <row r="34">
          <cell r="F34"/>
        </row>
        <row r="37">
          <cell r="F37"/>
        </row>
      </sheetData>
      <sheetData sheetId="4"/>
      <sheetData sheetId="5"/>
      <sheetData sheetId="6"/>
      <sheetData sheetId="7">
        <row r="10">
          <cell r="A10" t="str">
            <v>EVD-006</v>
          </cell>
        </row>
        <row r="11">
          <cell r="A11" t="str">
            <v>EVD-007</v>
          </cell>
        </row>
        <row r="12">
          <cell r="A12" t="str">
            <v>EVD-008</v>
          </cell>
        </row>
        <row r="13">
          <cell r="A13" t="str">
            <v>EVD-009</v>
          </cell>
        </row>
        <row r="14">
          <cell r="A14" t="str">
            <v>EVD-010</v>
          </cell>
        </row>
        <row r="15">
          <cell r="A15" t="str">
            <v>EVD-011</v>
          </cell>
        </row>
        <row r="16">
          <cell r="A16" t="str">
            <v>EVD-012</v>
          </cell>
        </row>
        <row r="17">
          <cell r="A17" t="str">
            <v>EVD-013</v>
          </cell>
        </row>
        <row r="18">
          <cell r="A18" t="str">
            <v>EVD-014</v>
          </cell>
        </row>
        <row r="19">
          <cell r="A19" t="str">
            <v>EVD-015</v>
          </cell>
        </row>
        <row r="20">
          <cell r="A20" t="str">
            <v>EVD-016</v>
          </cell>
        </row>
        <row r="21">
          <cell r="A21" t="str">
            <v>EVD-017</v>
          </cell>
        </row>
        <row r="22">
          <cell r="A22" t="str">
            <v>EVD-018</v>
          </cell>
        </row>
        <row r="23">
          <cell r="A23" t="str">
            <v>EVD-019</v>
          </cell>
        </row>
        <row r="24">
          <cell r="A24" t="str">
            <v>EVD-020</v>
          </cell>
        </row>
        <row r="25">
          <cell r="A25" t="str">
            <v>EVD-021</v>
          </cell>
        </row>
        <row r="26">
          <cell r="A26" t="str">
            <v>EVD-022</v>
          </cell>
        </row>
        <row r="27">
          <cell r="A27" t="str">
            <v>EVD-023</v>
          </cell>
        </row>
        <row r="28">
          <cell r="A28" t="str">
            <v>EVD-024</v>
          </cell>
        </row>
        <row r="29">
          <cell r="A29" t="str">
            <v>EVD-025</v>
          </cell>
        </row>
        <row r="30">
          <cell r="A30" t="str">
            <v>EVD-026</v>
          </cell>
        </row>
        <row r="31">
          <cell r="A31" t="str">
            <v>EVD-027</v>
          </cell>
        </row>
        <row r="32">
          <cell r="A32" t="str">
            <v>EVD-028</v>
          </cell>
        </row>
        <row r="33">
          <cell r="A33" t="str">
            <v>EVD-029</v>
          </cell>
        </row>
        <row r="34">
          <cell r="A34" t="str">
            <v>EVD-030</v>
          </cell>
        </row>
        <row r="35">
          <cell r="A35" t="str">
            <v>EVD-031</v>
          </cell>
        </row>
        <row r="36">
          <cell r="A36" t="str">
            <v>EVD-032</v>
          </cell>
        </row>
        <row r="37">
          <cell r="A37" t="str">
            <v>EVD-033</v>
          </cell>
        </row>
        <row r="38">
          <cell r="A38" t="str">
            <v>EVD-034</v>
          </cell>
        </row>
        <row r="39">
          <cell r="A39" t="str">
            <v>EVD-035</v>
          </cell>
        </row>
        <row r="40">
          <cell r="A40" t="str">
            <v>EVD-036</v>
          </cell>
        </row>
        <row r="41">
          <cell r="A41" t="str">
            <v>EVD-037</v>
          </cell>
        </row>
        <row r="42">
          <cell r="A42" t="str">
            <v>EVD-038</v>
          </cell>
        </row>
        <row r="43">
          <cell r="A43" t="str">
            <v>EVD-039</v>
          </cell>
        </row>
        <row r="44">
          <cell r="A44" t="str">
            <v>EVD-040</v>
          </cell>
        </row>
        <row r="45">
          <cell r="A45" t="str">
            <v>EVD-041</v>
          </cell>
        </row>
        <row r="46">
          <cell r="A46" t="str">
            <v>EVD-042</v>
          </cell>
        </row>
        <row r="47">
          <cell r="A47" t="str">
            <v>EVD-043</v>
          </cell>
        </row>
        <row r="48">
          <cell r="A48" t="str">
            <v>EVD-044</v>
          </cell>
        </row>
        <row r="49">
          <cell r="A49" t="str">
            <v>EVD-045</v>
          </cell>
        </row>
        <row r="50">
          <cell r="A50" t="str">
            <v>EVD-046</v>
          </cell>
        </row>
        <row r="51">
          <cell r="A51" t="str">
            <v>EVD-047</v>
          </cell>
        </row>
        <row r="52">
          <cell r="A52" t="str">
            <v>EVD-048</v>
          </cell>
        </row>
        <row r="53">
          <cell r="A53" t="str">
            <v>EVD-049</v>
          </cell>
        </row>
        <row r="54">
          <cell r="A54" t="str">
            <v>EVD-050</v>
          </cell>
        </row>
        <row r="55">
          <cell r="A55" t="str">
            <v>EVD-051</v>
          </cell>
        </row>
        <row r="56">
          <cell r="A56" t="str">
            <v>EVD-052</v>
          </cell>
        </row>
        <row r="57">
          <cell r="A57" t="str">
            <v>EVD-053</v>
          </cell>
        </row>
        <row r="58">
          <cell r="A58" t="str">
            <v>EVD-054</v>
          </cell>
        </row>
        <row r="59">
          <cell r="A59" t="str">
            <v>EVD-055</v>
          </cell>
        </row>
        <row r="60">
          <cell r="A60" t="str">
            <v>EVD-056</v>
          </cell>
        </row>
        <row r="61">
          <cell r="A61" t="str">
            <v>EVD-057</v>
          </cell>
        </row>
        <row r="62">
          <cell r="A62" t="str">
            <v>EVD-058</v>
          </cell>
        </row>
        <row r="63">
          <cell r="A63" t="str">
            <v>EVD-059</v>
          </cell>
        </row>
        <row r="64">
          <cell r="A64" t="str">
            <v>EVD-060</v>
          </cell>
        </row>
        <row r="65">
          <cell r="A65" t="str">
            <v>EVD-061</v>
          </cell>
        </row>
        <row r="66">
          <cell r="A66" t="str">
            <v>EVD-062</v>
          </cell>
        </row>
        <row r="67">
          <cell r="A67" t="str">
            <v>EVD-063</v>
          </cell>
        </row>
        <row r="68">
          <cell r="A68" t="str">
            <v>EVD-064</v>
          </cell>
        </row>
        <row r="69">
          <cell r="A69" t="str">
            <v>EVD-065</v>
          </cell>
        </row>
        <row r="70">
          <cell r="A70" t="str">
            <v>EVD-066</v>
          </cell>
        </row>
        <row r="71">
          <cell r="A71" t="str">
            <v>EVD-067</v>
          </cell>
        </row>
        <row r="72">
          <cell r="A72" t="str">
            <v>EVD-068</v>
          </cell>
        </row>
        <row r="73">
          <cell r="A73" t="str">
            <v>EVD-069</v>
          </cell>
        </row>
        <row r="74">
          <cell r="A74" t="str">
            <v>EVD-070</v>
          </cell>
        </row>
        <row r="75">
          <cell r="A75" t="str">
            <v>EVD-071</v>
          </cell>
        </row>
        <row r="76">
          <cell r="A76" t="str">
            <v>EVD-072</v>
          </cell>
        </row>
        <row r="77">
          <cell r="A77" t="str">
            <v>EVD-073</v>
          </cell>
        </row>
        <row r="78">
          <cell r="A78" t="str">
            <v>EVD-074</v>
          </cell>
        </row>
        <row r="79">
          <cell r="A79" t="str">
            <v>EVD-075</v>
          </cell>
        </row>
        <row r="80">
          <cell r="A80" t="str">
            <v>EVD-076</v>
          </cell>
        </row>
        <row r="81">
          <cell r="A81" t="str">
            <v>EVD-077</v>
          </cell>
        </row>
        <row r="82">
          <cell r="A82" t="str">
            <v>EVD-078</v>
          </cell>
        </row>
        <row r="83">
          <cell r="A83" t="str">
            <v>EVD-079</v>
          </cell>
        </row>
        <row r="84">
          <cell r="A84" t="str">
            <v>EVD-080</v>
          </cell>
        </row>
        <row r="85">
          <cell r="A85" t="str">
            <v>EVD-081</v>
          </cell>
        </row>
        <row r="86">
          <cell r="A86" t="str">
            <v>EVD-082</v>
          </cell>
        </row>
        <row r="87">
          <cell r="A87" t="str">
            <v>EVD-083</v>
          </cell>
        </row>
        <row r="88">
          <cell r="A88" t="str">
            <v>EVD-084</v>
          </cell>
        </row>
        <row r="89">
          <cell r="A89" t="str">
            <v>EVD-085</v>
          </cell>
        </row>
        <row r="90">
          <cell r="A90" t="str">
            <v>EVD-086</v>
          </cell>
        </row>
        <row r="91">
          <cell r="A91" t="str">
            <v>EVD-087</v>
          </cell>
        </row>
        <row r="92">
          <cell r="A92" t="str">
            <v>EVD-088</v>
          </cell>
        </row>
        <row r="93">
          <cell r="A93" t="str">
            <v>EVD-089</v>
          </cell>
        </row>
        <row r="94">
          <cell r="A94" t="str">
            <v>EVD-090</v>
          </cell>
        </row>
        <row r="95">
          <cell r="A95" t="str">
            <v>EVD-091</v>
          </cell>
        </row>
        <row r="96">
          <cell r="A96" t="str">
            <v>EVD-092</v>
          </cell>
        </row>
        <row r="97">
          <cell r="A97" t="str">
            <v>EVD-093</v>
          </cell>
        </row>
        <row r="98">
          <cell r="A98" t="str">
            <v>EVD-094</v>
          </cell>
        </row>
        <row r="99">
          <cell r="A99" t="str">
            <v>EVD-095</v>
          </cell>
        </row>
        <row r="100">
          <cell r="A100" t="str">
            <v>EVD-096</v>
          </cell>
        </row>
        <row r="101">
          <cell r="A101" t="str">
            <v>EVD-097</v>
          </cell>
        </row>
        <row r="102">
          <cell r="A102" t="str">
            <v>EVD-098</v>
          </cell>
        </row>
        <row r="103">
          <cell r="A103" t="str">
            <v>EVD-099</v>
          </cell>
        </row>
        <row r="104">
          <cell r="A104" t="str">
            <v>EVD-100</v>
          </cell>
        </row>
      </sheetData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 &amp; Legend"/>
      <sheetName val="Threat_Protection"/>
      <sheetName val="Category_Management"/>
      <sheetName val="Custom_Lists"/>
      <sheetName val="Policy_Exceptions"/>
      <sheetName val="User_Group_Policies"/>
      <sheetName val="Acceptable_Use_Alignment"/>
      <sheetName val="Policy_Review_Process"/>
      <sheetName val="Gap_Analysis"/>
      <sheetName val="Evidence_Register"/>
      <sheetName val="Approval_Sign_Off"/>
    </sheetNames>
    <sheetDataSet>
      <sheetData sheetId="0">
        <row r="9">
          <cell r="B9" t="str">
            <v>2026-01-11</v>
          </cell>
        </row>
        <row r="10">
          <cell r="B10" t="str">
            <v>Jennifer Lee - Security Analyst</v>
          </cell>
        </row>
      </sheetData>
      <sheetData sheetId="1">
        <row r="10">
          <cell r="A10" t="str">
            <v>Command &amp; Control (C2)</v>
          </cell>
          <cell r="E10"/>
        </row>
        <row r="11">
          <cell r="A11" t="str">
            <v>Cryptojacking Sites</v>
          </cell>
          <cell r="E11"/>
        </row>
        <row r="12">
          <cell r="A12" t="str">
            <v>Zero-Day Threats</v>
          </cell>
          <cell r="E12"/>
        </row>
        <row r="15">
          <cell r="A15" t="str">
            <v>THREAT INTELLIGENCE INTEGRATION</v>
          </cell>
        </row>
        <row r="16">
          <cell r="A16" t="str">
            <v>Feed Source 1:</v>
          </cell>
        </row>
        <row r="17">
          <cell r="A17" t="str">
            <v>Feed Source 2:</v>
          </cell>
        </row>
        <row r="18">
          <cell r="A18" t="str">
            <v>Feed Source 3:</v>
          </cell>
        </row>
        <row r="19">
          <cell r="A19" t="str">
            <v>Update Frequency:</v>
          </cell>
        </row>
        <row r="20">
          <cell r="A20" t="str">
            <v>Last Update:</v>
          </cell>
        </row>
        <row r="21">
          <cell r="A21" t="str">
            <v>Auto-Update Enabled?:</v>
          </cell>
        </row>
        <row r="24">
          <cell r="A24" t="str">
            <v>THREAT PROTECTION COMPLIANCE CHECKLIST</v>
          </cell>
        </row>
        <row r="25">
          <cell r="A25" t="str">
            <v>☐ Malicious URLs blocked (verified with test)</v>
          </cell>
        </row>
        <row r="26">
          <cell r="A26" t="str">
            <v>☐ Phishing sites blocked (verified with PhishTank samples)</v>
          </cell>
        </row>
        <row r="27">
          <cell r="A27" t="str">
            <v>☐ Malware downloads prevented (verified with EICAR test)</v>
          </cell>
        </row>
        <row r="28">
          <cell r="A28" t="str">
            <v>☐ Threat feeds updated regularly (within policy requirements)</v>
          </cell>
        </row>
        <row r="29">
          <cell r="A29" t="str">
            <v>☐ Zero-day protection enabled (if available)</v>
          </cell>
        </row>
        <row r="30">
          <cell r="A30" t="str">
            <v>☐ Logging of blocked threats active</v>
          </cell>
        </row>
        <row r="31">
          <cell r="A31" t="str">
            <v>☐ Alerts configured for critical threats</v>
          </cell>
        </row>
        <row r="32">
          <cell r="A32" t="str">
            <v>☐ Policy reviewed within last 90 days</v>
          </cell>
        </row>
      </sheetData>
      <sheetData sheetId="2"/>
      <sheetData sheetId="3"/>
      <sheetData sheetId="4">
        <row r="10">
          <cell r="G10"/>
        </row>
        <row r="11">
          <cell r="G11"/>
        </row>
        <row r="12">
          <cell r="G12"/>
        </row>
        <row r="13">
          <cell r="G13"/>
        </row>
        <row r="14">
          <cell r="G14"/>
        </row>
        <row r="15">
          <cell r="G15"/>
        </row>
        <row r="16">
          <cell r="G16"/>
        </row>
        <row r="17">
          <cell r="G17"/>
        </row>
        <row r="18">
          <cell r="G18"/>
        </row>
        <row r="19">
          <cell r="G19"/>
        </row>
        <row r="20">
          <cell r="G20"/>
        </row>
        <row r="21">
          <cell r="G21"/>
        </row>
        <row r="22">
          <cell r="G22"/>
        </row>
        <row r="23">
          <cell r="G23"/>
        </row>
        <row r="24">
          <cell r="G24"/>
        </row>
        <row r="25">
          <cell r="G25"/>
        </row>
        <row r="26">
          <cell r="G26"/>
        </row>
        <row r="27">
          <cell r="G27"/>
        </row>
        <row r="28">
          <cell r="G28"/>
        </row>
        <row r="29">
          <cell r="G29"/>
        </row>
        <row r="30">
          <cell r="G30"/>
        </row>
        <row r="31">
          <cell r="G31"/>
        </row>
        <row r="32">
          <cell r="G32"/>
        </row>
        <row r="33">
          <cell r="G33"/>
        </row>
        <row r="34">
          <cell r="G34"/>
        </row>
        <row r="35">
          <cell r="G35"/>
        </row>
        <row r="36">
          <cell r="G36"/>
        </row>
        <row r="37">
          <cell r="G37"/>
        </row>
        <row r="38">
          <cell r="G38"/>
        </row>
        <row r="39">
          <cell r="G39"/>
        </row>
        <row r="40">
          <cell r="G40"/>
        </row>
        <row r="41">
          <cell r="G41"/>
        </row>
        <row r="42">
          <cell r="G42"/>
        </row>
        <row r="43">
          <cell r="G43"/>
        </row>
        <row r="44">
          <cell r="G44"/>
        </row>
      </sheetData>
      <sheetData sheetId="5"/>
      <sheetData sheetId="6"/>
      <sheetData sheetId="7"/>
      <sheetData sheetId="8">
        <row r="5">
          <cell r="B5"/>
          <cell r="C5"/>
        </row>
        <row r="10">
          <cell r="F10"/>
        </row>
        <row r="11">
          <cell r="F11"/>
        </row>
        <row r="12">
          <cell r="F12"/>
        </row>
        <row r="13">
          <cell r="F13"/>
        </row>
        <row r="14">
          <cell r="F14"/>
        </row>
        <row r="15">
          <cell r="F15"/>
        </row>
        <row r="16">
          <cell r="F16"/>
        </row>
        <row r="17">
          <cell r="F17"/>
        </row>
        <row r="18">
          <cell r="F18"/>
        </row>
        <row r="19">
          <cell r="F19"/>
        </row>
        <row r="20">
          <cell r="F20"/>
        </row>
        <row r="21">
          <cell r="F21"/>
        </row>
        <row r="22">
          <cell r="F22"/>
        </row>
        <row r="23">
          <cell r="F23"/>
        </row>
        <row r="24">
          <cell r="F24"/>
        </row>
        <row r="25">
          <cell r="F25"/>
        </row>
        <row r="26">
          <cell r="F26"/>
        </row>
        <row r="27">
          <cell r="F27"/>
        </row>
        <row r="28">
          <cell r="F28"/>
        </row>
        <row r="29">
          <cell r="F29"/>
        </row>
      </sheetData>
      <sheetData sheetId="9">
        <row r="10">
          <cell r="A10" t="str">
            <v>EVD-006</v>
          </cell>
        </row>
        <row r="11">
          <cell r="A11" t="str">
            <v>EVD-007</v>
          </cell>
        </row>
        <row r="12">
          <cell r="A12" t="str">
            <v>EVD-008</v>
          </cell>
        </row>
        <row r="13">
          <cell r="A13" t="str">
            <v>EVD-009</v>
          </cell>
        </row>
        <row r="14">
          <cell r="A14" t="str">
            <v>EVD-010</v>
          </cell>
        </row>
        <row r="15">
          <cell r="A15" t="str">
            <v>EVD-011</v>
          </cell>
        </row>
        <row r="16">
          <cell r="A16" t="str">
            <v>EVD-012</v>
          </cell>
        </row>
        <row r="17">
          <cell r="A17" t="str">
            <v>EVD-013</v>
          </cell>
        </row>
        <row r="18">
          <cell r="A18" t="str">
            <v>EVD-014</v>
          </cell>
        </row>
        <row r="19">
          <cell r="A19" t="str">
            <v>EVD-015</v>
          </cell>
        </row>
        <row r="20">
          <cell r="A20" t="str">
            <v>EVD-016</v>
          </cell>
        </row>
        <row r="21">
          <cell r="A21" t="str">
            <v>EVD-017</v>
          </cell>
        </row>
        <row r="22">
          <cell r="A22" t="str">
            <v>EVD-018</v>
          </cell>
        </row>
        <row r="23">
          <cell r="A23" t="str">
            <v>EVD-019</v>
          </cell>
        </row>
        <row r="24">
          <cell r="A24" t="str">
            <v>EVD-020</v>
          </cell>
        </row>
        <row r="25">
          <cell r="A25" t="str">
            <v>EVD-021</v>
          </cell>
        </row>
        <row r="26">
          <cell r="A26" t="str">
            <v>EVD-022</v>
          </cell>
        </row>
        <row r="27">
          <cell r="A27" t="str">
            <v>EVD-023</v>
          </cell>
        </row>
        <row r="28">
          <cell r="A28" t="str">
            <v>EVD-024</v>
          </cell>
        </row>
        <row r="29">
          <cell r="A29" t="str">
            <v>EVD-025</v>
          </cell>
        </row>
        <row r="30">
          <cell r="A30" t="str">
            <v>EVD-026</v>
          </cell>
        </row>
        <row r="31">
          <cell r="A31" t="str">
            <v>EVD-027</v>
          </cell>
        </row>
        <row r="32">
          <cell r="A32" t="str">
            <v>EVD-028</v>
          </cell>
        </row>
        <row r="33">
          <cell r="A33" t="str">
            <v>EVD-029</v>
          </cell>
        </row>
        <row r="34">
          <cell r="A34" t="str">
            <v>EVD-030</v>
          </cell>
        </row>
        <row r="35">
          <cell r="A35" t="str">
            <v>EVD-031</v>
          </cell>
        </row>
        <row r="36">
          <cell r="A36" t="str">
            <v>EVD-032</v>
          </cell>
        </row>
        <row r="37">
          <cell r="A37" t="str">
            <v>EVD-033</v>
          </cell>
        </row>
        <row r="38">
          <cell r="A38" t="str">
            <v>EVD-034</v>
          </cell>
        </row>
        <row r="39">
          <cell r="A39" t="str">
            <v>EVD-035</v>
          </cell>
        </row>
        <row r="40">
          <cell r="A40" t="str">
            <v>EVD-036</v>
          </cell>
        </row>
        <row r="41">
          <cell r="A41" t="str">
            <v>EVD-037</v>
          </cell>
        </row>
        <row r="42">
          <cell r="A42" t="str">
            <v>EVD-038</v>
          </cell>
        </row>
        <row r="43">
          <cell r="A43" t="str">
            <v>EVD-039</v>
          </cell>
        </row>
        <row r="44">
          <cell r="A44" t="str">
            <v>EVD-040</v>
          </cell>
        </row>
        <row r="45">
          <cell r="A45" t="str">
            <v>EVD-041</v>
          </cell>
        </row>
        <row r="46">
          <cell r="A46" t="str">
            <v>EVD-042</v>
          </cell>
        </row>
        <row r="47">
          <cell r="A47" t="str">
            <v>EVD-043</v>
          </cell>
        </row>
        <row r="48">
          <cell r="A48" t="str">
            <v>EVD-044</v>
          </cell>
        </row>
        <row r="49">
          <cell r="A49" t="str">
            <v>EVD-045</v>
          </cell>
        </row>
        <row r="50">
          <cell r="A50" t="str">
            <v>EVD-046</v>
          </cell>
        </row>
        <row r="51">
          <cell r="A51" t="str">
            <v>EVD-047</v>
          </cell>
        </row>
        <row r="52">
          <cell r="A52" t="str">
            <v>EVD-048</v>
          </cell>
        </row>
        <row r="53">
          <cell r="A53" t="str">
            <v>EVD-049</v>
          </cell>
        </row>
        <row r="54">
          <cell r="A54" t="str">
            <v>EVD-050</v>
          </cell>
        </row>
        <row r="55">
          <cell r="A55" t="str">
            <v>EVD-051</v>
          </cell>
        </row>
        <row r="56">
          <cell r="A56" t="str">
            <v>EVD-052</v>
          </cell>
        </row>
        <row r="57">
          <cell r="A57" t="str">
            <v>EVD-053</v>
          </cell>
        </row>
        <row r="58">
          <cell r="A58" t="str">
            <v>EVD-054</v>
          </cell>
        </row>
        <row r="59">
          <cell r="A59" t="str">
            <v>EVD-055</v>
          </cell>
        </row>
        <row r="60">
          <cell r="A60" t="str">
            <v>EVD-056</v>
          </cell>
        </row>
        <row r="61">
          <cell r="A61" t="str">
            <v>EVD-057</v>
          </cell>
        </row>
        <row r="62">
          <cell r="A62" t="str">
            <v>EVD-058</v>
          </cell>
        </row>
        <row r="63">
          <cell r="A63" t="str">
            <v>EVD-059</v>
          </cell>
        </row>
        <row r="64">
          <cell r="A64" t="str">
            <v>EVD-060</v>
          </cell>
        </row>
        <row r="65">
          <cell r="A65" t="str">
            <v>EVD-061</v>
          </cell>
        </row>
        <row r="66">
          <cell r="A66" t="str">
            <v>EVD-062</v>
          </cell>
        </row>
        <row r="67">
          <cell r="A67" t="str">
            <v>EVD-063</v>
          </cell>
        </row>
        <row r="68">
          <cell r="A68" t="str">
            <v>EVD-064</v>
          </cell>
        </row>
        <row r="69">
          <cell r="A69" t="str">
            <v>EVD-065</v>
          </cell>
        </row>
        <row r="70">
          <cell r="A70" t="str">
            <v>EVD-066</v>
          </cell>
        </row>
        <row r="71">
          <cell r="A71" t="str">
            <v>EVD-067</v>
          </cell>
        </row>
        <row r="72">
          <cell r="A72" t="str">
            <v>EVD-068</v>
          </cell>
        </row>
        <row r="73">
          <cell r="A73" t="str">
            <v>EVD-069</v>
          </cell>
        </row>
        <row r="74">
          <cell r="A74" t="str">
            <v>EVD-070</v>
          </cell>
        </row>
        <row r="75">
          <cell r="A75" t="str">
            <v>EVD-071</v>
          </cell>
        </row>
        <row r="76">
          <cell r="A76" t="str">
            <v>EVD-072</v>
          </cell>
        </row>
        <row r="77">
          <cell r="A77" t="str">
            <v>EVD-073</v>
          </cell>
        </row>
        <row r="78">
          <cell r="A78" t="str">
            <v>EVD-074</v>
          </cell>
        </row>
        <row r="79">
          <cell r="A79" t="str">
            <v>EVD-075</v>
          </cell>
        </row>
        <row r="80">
          <cell r="A80" t="str">
            <v>EVD-076</v>
          </cell>
        </row>
        <row r="81">
          <cell r="A81" t="str">
            <v>EVD-077</v>
          </cell>
        </row>
        <row r="82">
          <cell r="A82" t="str">
            <v>EVD-078</v>
          </cell>
        </row>
        <row r="83">
          <cell r="A83" t="str">
            <v>EVD-079</v>
          </cell>
        </row>
        <row r="84">
          <cell r="A84" t="str">
            <v>EVD-080</v>
          </cell>
        </row>
        <row r="85">
          <cell r="A85" t="str">
            <v>EVD-081</v>
          </cell>
        </row>
        <row r="86">
          <cell r="A86" t="str">
            <v>EVD-082</v>
          </cell>
        </row>
        <row r="87">
          <cell r="A87" t="str">
            <v>EVD-083</v>
          </cell>
        </row>
        <row r="88">
          <cell r="A88" t="str">
            <v>EVD-084</v>
          </cell>
        </row>
        <row r="89">
          <cell r="A89" t="str">
            <v>EVD-085</v>
          </cell>
        </row>
        <row r="90">
          <cell r="A90" t="str">
            <v>EVD-086</v>
          </cell>
        </row>
        <row r="91">
          <cell r="A91" t="str">
            <v>EVD-087</v>
          </cell>
        </row>
        <row r="92">
          <cell r="A92" t="str">
            <v>EVD-088</v>
          </cell>
        </row>
        <row r="93">
          <cell r="A93" t="str">
            <v>EVD-089</v>
          </cell>
        </row>
        <row r="94">
          <cell r="A94" t="str">
            <v>EVD-090</v>
          </cell>
        </row>
        <row r="95">
          <cell r="A95" t="str">
            <v>EVD-091</v>
          </cell>
        </row>
        <row r="96">
          <cell r="A96" t="str">
            <v>EVD-092</v>
          </cell>
        </row>
        <row r="97">
          <cell r="A97" t="str">
            <v>EVD-093</v>
          </cell>
        </row>
        <row r="98">
          <cell r="A98" t="str">
            <v>EVD-094</v>
          </cell>
        </row>
        <row r="99">
          <cell r="A99" t="str">
            <v>EVD-095</v>
          </cell>
        </row>
        <row r="100">
          <cell r="A100" t="str">
            <v>EVD-096</v>
          </cell>
        </row>
        <row r="101">
          <cell r="A101" t="str">
            <v>EVD-097</v>
          </cell>
        </row>
        <row r="102">
          <cell r="A102" t="str">
            <v>EVD-098</v>
          </cell>
        </row>
        <row r="103">
          <cell r="A103" t="str">
            <v>EVD-099</v>
          </cell>
        </row>
        <row r="104">
          <cell r="A104" t="str">
            <v>EVD-100</v>
          </cell>
        </row>
      </sheetData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_Legend"/>
      <sheetName val="Log_Collection"/>
      <sheetName val="Alert_Configuration"/>
      <sheetName val="Monitoring_Dashboard"/>
      <sheetName val="Incident_Response"/>
      <sheetName val="Blocked_Events_Analysis"/>
      <sheetName val="False_Positive_Mgmt"/>
      <sheetName val="Reporting_Schedule"/>
      <sheetName val="Gap_Analysis"/>
      <sheetName val="Evidence_Register"/>
      <sheetName val="Approval_Sign_Off"/>
    </sheetNames>
    <sheetDataSet>
      <sheetData sheetId="0">
        <row r="9">
          <cell r="B9" t="str">
            <v>2026-01-11</v>
          </cell>
        </row>
        <row r="10">
          <cell r="B10" t="str">
            <v>David Kumar - SOC Analyst</v>
          </cell>
        </row>
      </sheetData>
      <sheetData sheetId="1"/>
      <sheetData sheetId="2">
        <row r="10">
          <cell r="A10" t="str">
            <v>ALR-005</v>
          </cell>
        </row>
        <row r="11">
          <cell r="A11" t="str">
            <v>ALR-006</v>
          </cell>
        </row>
        <row r="12">
          <cell r="A12" t="str">
            <v>ALR-007</v>
          </cell>
        </row>
        <row r="13">
          <cell r="A13" t="str">
            <v>ALR-008</v>
          </cell>
        </row>
        <row r="14">
          <cell r="A14" t="str">
            <v>ALR-009</v>
          </cell>
        </row>
        <row r="15">
          <cell r="A15" t="str">
            <v>ALR-010</v>
          </cell>
        </row>
        <row r="16">
          <cell r="A16" t="str">
            <v>ALR-011</v>
          </cell>
        </row>
        <row r="17">
          <cell r="A17" t="str">
            <v>ALR-012</v>
          </cell>
        </row>
        <row r="18">
          <cell r="A18" t="str">
            <v>ALR-013</v>
          </cell>
        </row>
        <row r="19">
          <cell r="A19" t="str">
            <v>ALR-014</v>
          </cell>
        </row>
        <row r="20">
          <cell r="A20" t="str">
            <v>ALR-015</v>
          </cell>
        </row>
        <row r="21">
          <cell r="A21" t="str">
            <v>ALR-016</v>
          </cell>
        </row>
        <row r="22">
          <cell r="A22" t="str">
            <v>ALR-017</v>
          </cell>
        </row>
        <row r="23">
          <cell r="A23" t="str">
            <v>ALR-018</v>
          </cell>
        </row>
        <row r="24">
          <cell r="A24" t="str">
            <v>ALR-019</v>
          </cell>
        </row>
        <row r="25">
          <cell r="A25" t="str">
            <v>ALR-020</v>
          </cell>
        </row>
        <row r="26">
          <cell r="A26" t="str">
            <v>ALR-021</v>
          </cell>
        </row>
        <row r="27">
          <cell r="A27" t="str">
            <v>ALR-022</v>
          </cell>
        </row>
        <row r="28">
          <cell r="A28" t="str">
            <v>ALR-023</v>
          </cell>
        </row>
        <row r="29">
          <cell r="A29" t="str">
            <v>ALR-024</v>
          </cell>
        </row>
        <row r="30">
          <cell r="A30" t="str">
            <v>ALR-025</v>
          </cell>
        </row>
        <row r="31">
          <cell r="A31" t="str">
            <v>ALR-026</v>
          </cell>
        </row>
        <row r="32">
          <cell r="A32" t="str">
            <v>ALR-027</v>
          </cell>
        </row>
        <row r="33">
          <cell r="A33" t="str">
            <v>ALR-028</v>
          </cell>
        </row>
        <row r="34">
          <cell r="A34" t="str">
            <v>ALR-029</v>
          </cell>
        </row>
        <row r="35">
          <cell r="A35" t="str">
            <v>ALR-030</v>
          </cell>
        </row>
        <row r="36">
          <cell r="A36" t="str">
            <v>ALR-031</v>
          </cell>
        </row>
        <row r="37">
          <cell r="A37" t="str">
            <v>ALR-032</v>
          </cell>
        </row>
        <row r="38">
          <cell r="A38" t="str">
            <v>ALR-033</v>
          </cell>
        </row>
        <row r="39">
          <cell r="A39" t="str">
            <v>ALR-034</v>
          </cell>
        </row>
        <row r="40">
          <cell r="A40" t="str">
            <v>ALR-035</v>
          </cell>
        </row>
        <row r="41">
          <cell r="A41" t="str">
            <v>ALR-036</v>
          </cell>
        </row>
        <row r="42">
          <cell r="A42" t="str">
            <v>ALR-037</v>
          </cell>
        </row>
        <row r="43">
          <cell r="A43" t="str">
            <v>ALR-038</v>
          </cell>
        </row>
        <row r="44">
          <cell r="A44" t="str">
            <v>ALR-039</v>
          </cell>
        </row>
        <row r="45">
          <cell r="A45" t="str">
            <v>ALR-040</v>
          </cell>
        </row>
        <row r="48">
          <cell r="A48" t="str">
            <v>SECTION B: ALERT CATEGORIES SUMMARY</v>
          </cell>
        </row>
        <row r="49">
          <cell r="A49" t="str">
            <v>Category</v>
          </cell>
        </row>
        <row r="50">
          <cell r="A50" t="str">
            <v>Threat_Detection</v>
          </cell>
        </row>
        <row r="51">
          <cell r="A51" t="str">
            <v>Policy_Violation</v>
          </cell>
        </row>
        <row r="52">
          <cell r="A52" t="str">
            <v>System_Health</v>
          </cell>
        </row>
        <row r="53">
          <cell r="A53" t="str">
            <v>Threshold_Breach</v>
          </cell>
        </row>
        <row r="54">
          <cell r="A54" t="str">
            <v>Anomaly</v>
          </cell>
        </row>
        <row r="55">
          <cell r="A55" t="str">
            <v>Compliance</v>
          </cell>
        </row>
        <row r="58">
          <cell r="A58" t="str">
            <v>SECTION C: SUMMARY METRICS</v>
          </cell>
        </row>
        <row r="59">
          <cell r="A59" t="str">
            <v>Total alert rules configured:</v>
          </cell>
        </row>
        <row r="60">
          <cell r="A60" t="str">
            <v>Implemented alerts:</v>
          </cell>
        </row>
        <row r="61">
          <cell r="A61" t="str">
            <v>Critical severity alerts:</v>
          </cell>
        </row>
        <row r="62">
          <cell r="A62" t="str">
            <v>High severity alerts:</v>
          </cell>
        </row>
        <row r="63">
          <cell r="A63" t="str">
            <v>Alerts with auto-response:</v>
          </cell>
        </row>
        <row r="64">
          <cell r="A64" t="str">
            <v>Alert coverage score:</v>
          </cell>
        </row>
      </sheetData>
      <sheetData sheetId="3"/>
      <sheetData sheetId="4">
        <row r="10">
          <cell r="D10">
            <v>30</v>
          </cell>
          <cell r="I10"/>
        </row>
        <row r="11">
          <cell r="D11">
            <v>60</v>
          </cell>
          <cell r="I11"/>
        </row>
        <row r="12">
          <cell r="D12">
            <v>60</v>
          </cell>
          <cell r="I12"/>
        </row>
        <row r="13">
          <cell r="D13">
            <v>30</v>
          </cell>
          <cell r="I13"/>
        </row>
        <row r="14">
          <cell r="D14">
            <v>15</v>
          </cell>
          <cell r="I14"/>
        </row>
        <row r="15">
          <cell r="D15">
            <v>30</v>
          </cell>
          <cell r="I15"/>
        </row>
        <row r="16">
          <cell r="D16">
            <v>60</v>
          </cell>
          <cell r="I16"/>
        </row>
        <row r="17">
          <cell r="D17">
            <v>240</v>
          </cell>
          <cell r="I17"/>
        </row>
        <row r="18">
          <cell r="D18">
            <v>60</v>
          </cell>
          <cell r="I18"/>
        </row>
        <row r="19">
          <cell r="D19">
            <v>240</v>
          </cell>
          <cell r="I19"/>
        </row>
        <row r="20">
          <cell r="D20">
            <v>60</v>
          </cell>
          <cell r="I20"/>
        </row>
        <row r="25">
          <cell r="D25" t="str">
            <v>Status</v>
          </cell>
        </row>
        <row r="26">
          <cell r="D26"/>
        </row>
        <row r="27">
          <cell r="D27"/>
        </row>
        <row r="28">
          <cell r="D28"/>
        </row>
        <row r="29">
          <cell r="D29"/>
        </row>
        <row r="30">
          <cell r="D30"/>
        </row>
        <row r="31">
          <cell r="D31"/>
        </row>
        <row r="32">
          <cell r="D32"/>
        </row>
        <row r="33">
          <cell r="D33"/>
        </row>
        <row r="34">
          <cell r="D34"/>
        </row>
        <row r="35">
          <cell r="D35"/>
        </row>
        <row r="39">
          <cell r="D39" t="str">
            <v>Severity</v>
          </cell>
          <cell r="I39" t="str">
            <v>Lessons_Learned</v>
          </cell>
        </row>
        <row r="40">
          <cell r="D40"/>
          <cell r="I40"/>
        </row>
        <row r="41">
          <cell r="D41"/>
          <cell r="I41"/>
        </row>
        <row r="42">
          <cell r="D42"/>
          <cell r="I42"/>
        </row>
        <row r="43">
          <cell r="D43"/>
          <cell r="I43"/>
        </row>
        <row r="44">
          <cell r="D44"/>
          <cell r="I44"/>
        </row>
        <row r="45">
          <cell r="D45"/>
          <cell r="I45"/>
        </row>
        <row r="46">
          <cell r="D46"/>
          <cell r="I46"/>
        </row>
        <row r="47">
          <cell r="D47"/>
          <cell r="I47"/>
        </row>
        <row r="48">
          <cell r="D48"/>
          <cell r="I48"/>
        </row>
        <row r="49">
          <cell r="D49"/>
          <cell r="I49"/>
        </row>
        <row r="50">
          <cell r="D50"/>
          <cell r="I50"/>
        </row>
        <row r="51">
          <cell r="D51"/>
          <cell r="I51"/>
        </row>
        <row r="52">
          <cell r="D52"/>
          <cell r="I52"/>
        </row>
        <row r="53">
          <cell r="D53"/>
          <cell r="I53"/>
        </row>
        <row r="54">
          <cell r="D54"/>
          <cell r="I54"/>
        </row>
        <row r="55">
          <cell r="D55"/>
          <cell r="I55"/>
        </row>
        <row r="56">
          <cell r="D56"/>
          <cell r="I56"/>
        </row>
        <row r="57">
          <cell r="D57"/>
          <cell r="I57"/>
        </row>
        <row r="58">
          <cell r="D58"/>
          <cell r="I58"/>
        </row>
        <row r="59">
          <cell r="D59"/>
          <cell r="I59"/>
        </row>
      </sheetData>
      <sheetData sheetId="5">
        <row r="10">
          <cell r="A10" t="str">
            <v>BLK-005</v>
          </cell>
        </row>
        <row r="11">
          <cell r="A11" t="str">
            <v>BLK-006</v>
          </cell>
        </row>
        <row r="12">
          <cell r="A12" t="str">
            <v>BLK-007</v>
          </cell>
        </row>
        <row r="13">
          <cell r="A13" t="str">
            <v>BLK-008</v>
          </cell>
        </row>
        <row r="14">
          <cell r="A14" t="str">
            <v>BLK-009</v>
          </cell>
        </row>
        <row r="15">
          <cell r="A15" t="str">
            <v>BLK-010</v>
          </cell>
        </row>
        <row r="16">
          <cell r="A16" t="str">
            <v>BLK-011</v>
          </cell>
        </row>
        <row r="17">
          <cell r="A17" t="str">
            <v>BLK-012</v>
          </cell>
        </row>
        <row r="18">
          <cell r="A18" t="str">
            <v>BLK-013</v>
          </cell>
        </row>
        <row r="19">
          <cell r="A19" t="str">
            <v>BLK-014</v>
          </cell>
        </row>
        <row r="20">
          <cell r="A20" t="str">
            <v>BLK-015</v>
          </cell>
        </row>
        <row r="21">
          <cell r="A21" t="str">
            <v>BLK-016</v>
          </cell>
        </row>
        <row r="22">
          <cell r="A22" t="str">
            <v>BLK-017</v>
          </cell>
        </row>
        <row r="23">
          <cell r="A23" t="str">
            <v>BLK-018</v>
          </cell>
        </row>
        <row r="24">
          <cell r="A24" t="str">
            <v>BLK-019</v>
          </cell>
        </row>
        <row r="25">
          <cell r="A25" t="str">
            <v>BLK-020</v>
          </cell>
        </row>
        <row r="28">
          <cell r="A28" t="str">
            <v>SECTION B: TOP 10 BLOCKED THREATS (Last 30 Days)</v>
          </cell>
        </row>
        <row r="29">
          <cell r="A29" t="str">
            <v>Rank</v>
          </cell>
        </row>
        <row r="30">
          <cell r="A30">
            <v>1</v>
          </cell>
        </row>
        <row r="31">
          <cell r="A31">
            <v>2</v>
          </cell>
        </row>
        <row r="32">
          <cell r="A32">
            <v>3</v>
          </cell>
        </row>
        <row r="33">
          <cell r="A33">
            <v>4</v>
          </cell>
        </row>
        <row r="34">
          <cell r="A34">
            <v>5</v>
          </cell>
        </row>
        <row r="35">
          <cell r="A35">
            <v>6</v>
          </cell>
        </row>
        <row r="36">
          <cell r="A36">
            <v>7</v>
          </cell>
        </row>
        <row r="37">
          <cell r="A37">
            <v>8</v>
          </cell>
        </row>
        <row r="38">
          <cell r="A38">
            <v>9</v>
          </cell>
        </row>
        <row r="39">
          <cell r="A39">
            <v>10</v>
          </cell>
        </row>
        <row r="42">
          <cell r="A42" t="str">
            <v>SECTION C: 6-MONTH TREND ANALYSIS</v>
          </cell>
        </row>
        <row r="43">
          <cell r="A43" t="str">
            <v>Month</v>
          </cell>
        </row>
        <row r="44">
          <cell r="A44" t="str">
            <v>Month-6</v>
          </cell>
        </row>
        <row r="45">
          <cell r="A45" t="str">
            <v>Month-5</v>
          </cell>
        </row>
        <row r="46">
          <cell r="A46" t="str">
            <v>Month-4</v>
          </cell>
        </row>
        <row r="47">
          <cell r="A47" t="str">
            <v>Month-3</v>
          </cell>
        </row>
        <row r="48">
          <cell r="A48" t="str">
            <v>Month-2</v>
          </cell>
        </row>
        <row r="49">
          <cell r="A49" t="str">
            <v>Current</v>
          </cell>
        </row>
        <row r="52">
          <cell r="A52" t="str">
            <v>SECTION D: SUMMARY METRICS</v>
          </cell>
        </row>
        <row r="53">
          <cell r="A53" t="str">
            <v>Categories tracked:</v>
          </cell>
        </row>
        <row r="54">
          <cell r="A54" t="str">
            <v>Categories requiring action:</v>
          </cell>
        </row>
        <row r="55">
          <cell r="A55" t="str">
            <v>High-risk categories:</v>
          </cell>
        </row>
        <row r="56">
          <cell r="A56" t="str">
            <v>Categories with increasing trend:</v>
          </cell>
        </row>
      </sheetData>
      <sheetData sheetId="6">
        <row r="10">
          <cell r="H10"/>
        </row>
        <row r="11">
          <cell r="H11"/>
        </row>
        <row r="12">
          <cell r="H12"/>
        </row>
        <row r="13">
          <cell r="H13"/>
        </row>
        <row r="14">
          <cell r="H14"/>
        </row>
        <row r="15">
          <cell r="H15"/>
        </row>
        <row r="16">
          <cell r="H16"/>
        </row>
        <row r="17">
          <cell r="H17"/>
        </row>
        <row r="18">
          <cell r="H18"/>
        </row>
        <row r="19">
          <cell r="H19"/>
        </row>
        <row r="20">
          <cell r="H20"/>
        </row>
        <row r="21">
          <cell r="H21"/>
        </row>
        <row r="22">
          <cell r="H22"/>
        </row>
        <row r="23">
          <cell r="H23"/>
        </row>
        <row r="24">
          <cell r="H24"/>
        </row>
        <row r="25">
          <cell r="H25"/>
        </row>
        <row r="26">
          <cell r="H26"/>
        </row>
        <row r="27">
          <cell r="H27"/>
        </row>
        <row r="28">
          <cell r="H28"/>
        </row>
        <row r="29">
          <cell r="H29"/>
        </row>
        <row r="30">
          <cell r="H30"/>
        </row>
        <row r="31">
          <cell r="H31"/>
        </row>
        <row r="32">
          <cell r="H32"/>
        </row>
        <row r="33">
          <cell r="H33"/>
        </row>
        <row r="34">
          <cell r="H34"/>
        </row>
        <row r="35">
          <cell r="H35"/>
        </row>
        <row r="36">
          <cell r="H36"/>
        </row>
        <row r="37">
          <cell r="H37"/>
        </row>
        <row r="38">
          <cell r="H38"/>
        </row>
        <row r="39">
          <cell r="H39"/>
        </row>
        <row r="40">
          <cell r="H40"/>
        </row>
        <row r="41">
          <cell r="H41"/>
        </row>
        <row r="42">
          <cell r="H42"/>
        </row>
        <row r="43">
          <cell r="H43"/>
        </row>
        <row r="44">
          <cell r="H44"/>
        </row>
        <row r="45">
          <cell r="H45"/>
        </row>
        <row r="46">
          <cell r="H46"/>
        </row>
        <row r="47">
          <cell r="H47"/>
        </row>
        <row r="48">
          <cell r="H48"/>
        </row>
        <row r="49">
          <cell r="H49"/>
        </row>
        <row r="50">
          <cell r="H50"/>
        </row>
        <row r="51">
          <cell r="H51"/>
        </row>
        <row r="52">
          <cell r="H52"/>
        </row>
        <row r="53">
          <cell r="H53"/>
        </row>
        <row r="54">
          <cell r="H54"/>
        </row>
        <row r="55">
          <cell r="H55"/>
        </row>
      </sheetData>
      <sheetData sheetId="7"/>
      <sheetData sheetId="8">
        <row r="5">
          <cell r="B5" t="str">
            <v>Gap_Category</v>
          </cell>
          <cell r="C5" t="str">
            <v>Gap_Description</v>
          </cell>
        </row>
        <row r="10">
          <cell r="F10"/>
        </row>
        <row r="11">
          <cell r="F11"/>
        </row>
        <row r="12">
          <cell r="F12"/>
        </row>
        <row r="13">
          <cell r="F13"/>
        </row>
        <row r="14">
          <cell r="F14"/>
        </row>
        <row r="15">
          <cell r="F15"/>
        </row>
        <row r="16">
          <cell r="F16"/>
        </row>
        <row r="17">
          <cell r="F17"/>
        </row>
        <row r="18">
          <cell r="F18"/>
        </row>
        <row r="19">
          <cell r="F19"/>
        </row>
        <row r="20">
          <cell r="F20"/>
        </row>
        <row r="21">
          <cell r="F21"/>
        </row>
        <row r="22">
          <cell r="F22"/>
        </row>
        <row r="23">
          <cell r="F23"/>
        </row>
        <row r="24">
          <cell r="F24"/>
        </row>
        <row r="25">
          <cell r="F25"/>
        </row>
        <row r="26">
          <cell r="F26"/>
        </row>
        <row r="27">
          <cell r="F27"/>
        </row>
        <row r="28">
          <cell r="F28"/>
        </row>
        <row r="29">
          <cell r="F29"/>
        </row>
        <row r="30">
          <cell r="F30"/>
        </row>
        <row r="31">
          <cell r="F31"/>
        </row>
        <row r="32">
          <cell r="F32"/>
        </row>
        <row r="33">
          <cell r="F33"/>
        </row>
        <row r="34">
          <cell r="F34"/>
        </row>
        <row r="35">
          <cell r="F35"/>
        </row>
      </sheetData>
      <sheetData sheetId="9">
        <row r="10">
          <cell r="A10" t="str">
            <v>EV4-005</v>
          </cell>
        </row>
        <row r="11">
          <cell r="A11" t="str">
            <v>EV4-006</v>
          </cell>
        </row>
        <row r="12">
          <cell r="A12" t="str">
            <v>EV4-007</v>
          </cell>
        </row>
        <row r="13">
          <cell r="A13" t="str">
            <v>EV4-008</v>
          </cell>
        </row>
        <row r="14">
          <cell r="A14" t="str">
            <v>EV4-009</v>
          </cell>
        </row>
        <row r="15">
          <cell r="A15" t="str">
            <v>EV4-010</v>
          </cell>
        </row>
        <row r="16">
          <cell r="A16" t="str">
            <v>EV4-011</v>
          </cell>
        </row>
        <row r="17">
          <cell r="A17" t="str">
            <v>EV4-012</v>
          </cell>
        </row>
        <row r="18">
          <cell r="A18" t="str">
            <v>EV4-013</v>
          </cell>
        </row>
        <row r="19">
          <cell r="A19" t="str">
            <v>EV4-014</v>
          </cell>
        </row>
        <row r="20">
          <cell r="A20" t="str">
            <v>EV4-015</v>
          </cell>
        </row>
        <row r="21">
          <cell r="A21" t="str">
            <v>EV4-016</v>
          </cell>
        </row>
        <row r="22">
          <cell r="A22" t="str">
            <v>EV4-017</v>
          </cell>
        </row>
        <row r="23">
          <cell r="A23" t="str">
            <v>EV4-018</v>
          </cell>
        </row>
        <row r="24">
          <cell r="A24" t="str">
            <v>EV4-019</v>
          </cell>
        </row>
        <row r="25">
          <cell r="A25" t="str">
            <v>EV4-020</v>
          </cell>
        </row>
        <row r="26">
          <cell r="A26" t="str">
            <v>EV4-021</v>
          </cell>
        </row>
        <row r="27">
          <cell r="A27" t="str">
            <v>EV4-022</v>
          </cell>
        </row>
        <row r="28">
          <cell r="A28" t="str">
            <v>EV4-023</v>
          </cell>
        </row>
        <row r="29">
          <cell r="A29" t="str">
            <v>EV4-024</v>
          </cell>
        </row>
        <row r="30">
          <cell r="A30" t="str">
            <v>EV4-025</v>
          </cell>
        </row>
        <row r="31">
          <cell r="A31" t="str">
            <v>EV4-026</v>
          </cell>
        </row>
        <row r="32">
          <cell r="A32" t="str">
            <v>EV4-027</v>
          </cell>
        </row>
        <row r="33">
          <cell r="A33" t="str">
            <v>EV4-028</v>
          </cell>
        </row>
        <row r="34">
          <cell r="A34" t="str">
            <v>EV4-029</v>
          </cell>
        </row>
        <row r="35">
          <cell r="A35" t="str">
            <v>EV4-030</v>
          </cell>
        </row>
        <row r="36">
          <cell r="A36" t="str">
            <v>EV4-031</v>
          </cell>
        </row>
        <row r="37">
          <cell r="A37" t="str">
            <v>EV4-032</v>
          </cell>
        </row>
        <row r="38">
          <cell r="A38" t="str">
            <v>EV4-033</v>
          </cell>
        </row>
        <row r="39">
          <cell r="A39" t="str">
            <v>EV4-034</v>
          </cell>
        </row>
        <row r="40">
          <cell r="A40" t="str">
            <v>EV4-035</v>
          </cell>
        </row>
        <row r="41">
          <cell r="A41" t="str">
            <v>EV4-036</v>
          </cell>
        </row>
        <row r="42">
          <cell r="A42" t="str">
            <v>EV4-037</v>
          </cell>
        </row>
        <row r="43">
          <cell r="A43" t="str">
            <v>EV4-038</v>
          </cell>
        </row>
        <row r="44">
          <cell r="A44" t="str">
            <v>EV4-039</v>
          </cell>
        </row>
        <row r="45">
          <cell r="A45" t="str">
            <v>EV4-040</v>
          </cell>
        </row>
        <row r="46">
          <cell r="A46" t="str">
            <v>EV4-041</v>
          </cell>
        </row>
        <row r="47">
          <cell r="A47" t="str">
            <v>EV4-042</v>
          </cell>
        </row>
        <row r="48">
          <cell r="A48" t="str">
            <v>EV4-043</v>
          </cell>
        </row>
        <row r="49">
          <cell r="A49" t="str">
            <v>EV4-044</v>
          </cell>
        </row>
        <row r="50">
          <cell r="A50" t="str">
            <v>EV4-045</v>
          </cell>
        </row>
        <row r="51">
          <cell r="A51" t="str">
            <v>EV4-046</v>
          </cell>
        </row>
        <row r="52">
          <cell r="A52" t="str">
            <v>EV4-047</v>
          </cell>
        </row>
        <row r="53">
          <cell r="A53" t="str">
            <v>EV4-048</v>
          </cell>
        </row>
        <row r="54">
          <cell r="A54" t="str">
            <v>EV4-049</v>
          </cell>
        </row>
        <row r="55">
          <cell r="A55" t="str">
            <v>EV4-050</v>
          </cell>
        </row>
        <row r="56">
          <cell r="A56" t="str">
            <v>EV4-051</v>
          </cell>
        </row>
        <row r="57">
          <cell r="A57" t="str">
            <v>EV4-052</v>
          </cell>
        </row>
        <row r="58">
          <cell r="A58" t="str">
            <v>EV4-053</v>
          </cell>
        </row>
        <row r="59">
          <cell r="A59" t="str">
            <v>EV4-054</v>
          </cell>
        </row>
        <row r="60">
          <cell r="A60" t="str">
            <v>EV4-055</v>
          </cell>
        </row>
        <row r="61">
          <cell r="A61" t="str">
            <v>EV4-056</v>
          </cell>
        </row>
        <row r="62">
          <cell r="A62" t="str">
            <v>EV4-057</v>
          </cell>
        </row>
        <row r="63">
          <cell r="A63" t="str">
            <v>EV4-058</v>
          </cell>
        </row>
        <row r="64">
          <cell r="A64" t="str">
            <v>EV4-059</v>
          </cell>
        </row>
        <row r="65">
          <cell r="A65" t="str">
            <v>EV4-060</v>
          </cell>
        </row>
        <row r="66">
          <cell r="A66" t="str">
            <v>EV4-061</v>
          </cell>
        </row>
        <row r="67">
          <cell r="A67" t="str">
            <v>EV4-062</v>
          </cell>
        </row>
        <row r="68">
          <cell r="A68" t="str">
            <v>EV4-063</v>
          </cell>
        </row>
        <row r="69">
          <cell r="A69" t="str">
            <v>EV4-064</v>
          </cell>
        </row>
        <row r="70">
          <cell r="A70" t="str">
            <v>EV4-065</v>
          </cell>
        </row>
        <row r="71">
          <cell r="A71" t="str">
            <v>EV4-066</v>
          </cell>
        </row>
        <row r="72">
          <cell r="A72" t="str">
            <v>EV4-067</v>
          </cell>
        </row>
        <row r="73">
          <cell r="A73" t="str">
            <v>EV4-068</v>
          </cell>
        </row>
        <row r="74">
          <cell r="A74" t="str">
            <v>EV4-069</v>
          </cell>
        </row>
        <row r="75">
          <cell r="A75" t="str">
            <v>EV4-070</v>
          </cell>
        </row>
        <row r="76">
          <cell r="A76" t="str">
            <v>EV4-071</v>
          </cell>
        </row>
        <row r="77">
          <cell r="A77" t="str">
            <v>EV4-072</v>
          </cell>
        </row>
        <row r="78">
          <cell r="A78" t="str">
            <v>EV4-073</v>
          </cell>
        </row>
        <row r="79">
          <cell r="A79" t="str">
            <v>EV4-074</v>
          </cell>
        </row>
        <row r="80">
          <cell r="A80" t="str">
            <v>EV4-075</v>
          </cell>
        </row>
        <row r="81">
          <cell r="A81" t="str">
            <v>EV4-076</v>
          </cell>
        </row>
        <row r="82">
          <cell r="A82" t="str">
            <v>EV4-077</v>
          </cell>
        </row>
        <row r="83">
          <cell r="A83" t="str">
            <v>EV4-078</v>
          </cell>
        </row>
        <row r="84">
          <cell r="A84" t="str">
            <v>EV4-079</v>
          </cell>
        </row>
        <row r="85">
          <cell r="A85" t="str">
            <v>EV4-080</v>
          </cell>
        </row>
        <row r="86">
          <cell r="A86" t="str">
            <v>EV4-081</v>
          </cell>
        </row>
        <row r="87">
          <cell r="A87" t="str">
            <v>EV4-082</v>
          </cell>
        </row>
        <row r="88">
          <cell r="A88" t="str">
            <v>EV4-083</v>
          </cell>
        </row>
        <row r="89">
          <cell r="A89" t="str">
            <v>EV4-084</v>
          </cell>
        </row>
        <row r="90">
          <cell r="A90" t="str">
            <v>EV4-085</v>
          </cell>
        </row>
        <row r="91">
          <cell r="A91" t="str">
            <v>EV4-086</v>
          </cell>
        </row>
        <row r="92">
          <cell r="A92" t="str">
            <v>EV4-087</v>
          </cell>
        </row>
        <row r="93">
          <cell r="A93" t="str">
            <v>EV4-088</v>
          </cell>
        </row>
        <row r="94">
          <cell r="A94" t="str">
            <v>EV4-089</v>
          </cell>
        </row>
        <row r="95">
          <cell r="A95" t="str">
            <v>EV4-090</v>
          </cell>
        </row>
        <row r="96">
          <cell r="A96" t="str">
            <v>EV4-091</v>
          </cell>
        </row>
        <row r="97">
          <cell r="A97" t="str">
            <v>EV4-092</v>
          </cell>
        </row>
        <row r="98">
          <cell r="A98" t="str">
            <v>EV4-093</v>
          </cell>
        </row>
        <row r="99">
          <cell r="A99" t="str">
            <v>EV4-094</v>
          </cell>
        </row>
        <row r="100">
          <cell r="A100" t="str">
            <v>EV4-095</v>
          </cell>
        </row>
        <row r="101">
          <cell r="A101" t="str">
            <v>EV4-096</v>
          </cell>
        </row>
        <row r="102">
          <cell r="A102" t="str">
            <v>EV4-097</v>
          </cell>
        </row>
        <row r="103">
          <cell r="A103" t="str">
            <v>EV4-098</v>
          </cell>
        </row>
        <row r="104">
          <cell r="A104" t="str">
            <v>EV4-099</v>
          </cell>
        </row>
        <row r="105">
          <cell r="A105" t="str">
            <v>EV4-100</v>
          </cell>
        </row>
        <row r="108">
          <cell r="A108" t="str">
            <v>EVIDENCE SUMMARY</v>
          </cell>
        </row>
        <row r="109">
          <cell r="A109" t="str">
            <v>Total evidence items:</v>
          </cell>
        </row>
        <row r="110">
          <cell r="A110" t="str">
            <v>Verified evidence:</v>
          </cell>
        </row>
        <row r="111">
          <cell r="A111" t="str">
            <v>Pending verification:</v>
          </cell>
        </row>
        <row r="112">
          <cell r="A112" t="str">
            <v>Evidence by Log_Collection:</v>
          </cell>
        </row>
        <row r="113">
          <cell r="A113" t="str">
            <v>Evidence by Alert_Configuration:</v>
          </cell>
        </row>
        <row r="114">
          <cell r="A114" t="str">
            <v>Evidence by Incident_Response: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workbookViewId="0">
      <pane ySplit="3" topLeftCell="A4" activePane="bottomLeft" state="frozen"/>
      <selection pane="bottomLeft" sqref="A1:H1"/>
    </sheetView>
  </sheetViews>
  <sheetFormatPr baseColWidth="10" defaultColWidth="8.83203125" defaultRowHeight="15" x14ac:dyDescent="0.2"/>
  <cols>
    <col min="1" max="1" width="15" customWidth="1"/>
    <col min="2" max="2" width="30" customWidth="1"/>
    <col min="3" max="3" width="18" customWidth="1"/>
    <col min="4" max="4" width="15" customWidth="1"/>
    <col min="5" max="7" width="12" customWidth="1"/>
    <col min="8" max="8" width="25" customWidth="1"/>
  </cols>
  <sheetData>
    <row r="1" spans="1:8" ht="50" customHeight="1" x14ac:dyDescent="0.2">
      <c r="A1" s="27" t="s">
        <v>0</v>
      </c>
      <c r="B1" s="24"/>
      <c r="C1" s="24"/>
      <c r="D1" s="24"/>
      <c r="E1" s="24"/>
      <c r="F1" s="24"/>
      <c r="G1" s="24"/>
      <c r="H1" s="24"/>
    </row>
    <row r="3" spans="1:8" ht="16" x14ac:dyDescent="0.2">
      <c r="A3" s="1" t="s">
        <v>1</v>
      </c>
    </row>
    <row r="4" spans="1:8" x14ac:dyDescent="0.2">
      <c r="A4" s="2" t="s">
        <v>2</v>
      </c>
      <c r="B4" t="s">
        <v>3</v>
      </c>
    </row>
    <row r="5" spans="1:8" x14ac:dyDescent="0.2">
      <c r="A5" s="2" t="s">
        <v>4</v>
      </c>
      <c r="B5" t="s">
        <v>5</v>
      </c>
    </row>
    <row r="6" spans="1:8" x14ac:dyDescent="0.2">
      <c r="A6" s="2" t="s">
        <v>6</v>
      </c>
      <c r="B6" t="s">
        <v>7</v>
      </c>
    </row>
    <row r="7" spans="1:8" x14ac:dyDescent="0.2">
      <c r="A7" s="2" t="s">
        <v>8</v>
      </c>
      <c r="B7" t="s">
        <v>9</v>
      </c>
    </row>
    <row r="8" spans="1:8" x14ac:dyDescent="0.2">
      <c r="A8" s="2" t="s">
        <v>10</v>
      </c>
      <c r="B8" s="3"/>
    </row>
    <row r="9" spans="1:8" x14ac:dyDescent="0.2">
      <c r="A9" s="2" t="s">
        <v>11</v>
      </c>
      <c r="B9" s="3"/>
    </row>
    <row r="10" spans="1:8" x14ac:dyDescent="0.2">
      <c r="A10" s="2" t="s">
        <v>12</v>
      </c>
      <c r="B10" s="3"/>
    </row>
    <row r="11" spans="1:8" x14ac:dyDescent="0.2">
      <c r="A11" s="2" t="s">
        <v>13</v>
      </c>
      <c r="B11" s="3"/>
    </row>
    <row r="12" spans="1:8" x14ac:dyDescent="0.2">
      <c r="A12" s="2" t="s">
        <v>14</v>
      </c>
      <c r="B12" t="s">
        <v>15</v>
      </c>
    </row>
    <row r="13" spans="1:8" x14ac:dyDescent="0.2">
      <c r="A13" s="2" t="s">
        <v>16</v>
      </c>
      <c r="B13" s="4">
        <f ca="1">TODAY()</f>
        <v>46033</v>
      </c>
    </row>
    <row r="16" spans="1:8" x14ac:dyDescent="0.2">
      <c r="A16" s="25" t="s">
        <v>17</v>
      </c>
      <c r="B16" s="24"/>
      <c r="C16" s="24"/>
      <c r="D16" s="24"/>
      <c r="E16" s="24"/>
      <c r="F16" s="24"/>
      <c r="G16" s="24"/>
      <c r="H16" s="24"/>
    </row>
    <row r="17" spans="1:8" x14ac:dyDescent="0.2">
      <c r="A17" s="5" t="s">
        <v>18</v>
      </c>
      <c r="B17" s="5" t="s">
        <v>19</v>
      </c>
      <c r="C17" s="5" t="s">
        <v>20</v>
      </c>
      <c r="D17" s="5" t="s">
        <v>21</v>
      </c>
    </row>
    <row r="18" spans="1:8" x14ac:dyDescent="0.2">
      <c r="A18" s="6" t="s">
        <v>22</v>
      </c>
      <c r="B18" s="7">
        <f>AVERAGE(C25:C28)</f>
        <v>0</v>
      </c>
      <c r="C18" s="6" t="s">
        <v>23</v>
      </c>
      <c r="D18" s="3"/>
    </row>
    <row r="19" spans="1:8" x14ac:dyDescent="0.2">
      <c r="A19" s="6" t="s">
        <v>24</v>
      </c>
      <c r="B19" s="7">
        <f>COUNTIFS('Gap Analysis'!I8:I207,"Critical",'Gap Analysis'!R8:R207,"&lt;&gt;Closed")</f>
        <v>0</v>
      </c>
      <c r="C19" s="6" t="s">
        <v>25</v>
      </c>
      <c r="D19" s="3"/>
    </row>
    <row r="20" spans="1:8" x14ac:dyDescent="0.2">
      <c r="A20" s="6" t="s">
        <v>26</v>
      </c>
      <c r="B20" s="7">
        <f>COUNTIFS('Risk Register'!N21:N119,"&gt;=15",'Risk Register'!Q21:Q119,"&lt;&gt;Closed")</f>
        <v>0</v>
      </c>
      <c r="C20" s="6" t="s">
        <v>27</v>
      </c>
      <c r="D20" s="3"/>
    </row>
    <row r="21" spans="1:8" x14ac:dyDescent="0.2">
      <c r="A21" s="6" t="s">
        <v>28</v>
      </c>
      <c r="B21" s="7" t="e">
        <f>COUNTIF('Remediation Roadmap'!H37:H236,"Completed")/COUNTA('Remediation Roadmap'!H37:H236)*100&amp;"%"</f>
        <v>#DIV/0!</v>
      </c>
      <c r="C21" s="6" t="s">
        <v>29</v>
      </c>
      <c r="D21" s="3"/>
    </row>
    <row r="24" spans="1:8" x14ac:dyDescent="0.2">
      <c r="A24" s="25" t="s">
        <v>30</v>
      </c>
      <c r="B24" s="24"/>
      <c r="C24" s="24"/>
      <c r="D24" s="24"/>
      <c r="E24" s="24"/>
      <c r="F24" s="24"/>
      <c r="G24" s="24"/>
      <c r="H24" s="24"/>
    </row>
    <row r="25" spans="1:8" x14ac:dyDescent="0.2">
      <c r="A25" s="5" t="s">
        <v>31</v>
      </c>
      <c r="B25" s="5" t="s">
        <v>32</v>
      </c>
      <c r="C25" s="5" t="s">
        <v>33</v>
      </c>
      <c r="D25" s="5" t="s">
        <v>21</v>
      </c>
      <c r="E25" s="5" t="s">
        <v>24</v>
      </c>
      <c r="F25" s="5" t="s">
        <v>34</v>
      </c>
      <c r="G25" s="5" t="s">
        <v>16</v>
      </c>
      <c r="H25" s="5" t="s">
        <v>35</v>
      </c>
    </row>
    <row r="26" spans="1:8" x14ac:dyDescent="0.2">
      <c r="A26" s="6" t="s">
        <v>36</v>
      </c>
      <c r="B26" s="6" t="s">
        <v>37</v>
      </c>
      <c r="C26" s="8">
        <f>[1]Gap_Analysis!B5</f>
        <v>0</v>
      </c>
      <c r="D26" s="9">
        <f>[1]Gap_Analysis!C5</f>
        <v>0</v>
      </c>
      <c r="E26" s="9" t="e">
        <f>COUNTIF([1]Gap_Analysis!F10:F109,"Critical")</f>
        <v>#VALUE!</v>
      </c>
      <c r="F26" s="9">
        <f>COUNTA([1]Evidence_Register!A10:A209)</f>
        <v>95</v>
      </c>
      <c r="G26" s="9" t="str">
        <f>'[1]Instructions &amp; Legend'!B9</f>
        <v>2026-01-11</v>
      </c>
      <c r="H26" s="9" t="str">
        <f>'[1]Instructions &amp; Legend'!B10</f>
        <v>Sarah Chen - Security Manager</v>
      </c>
    </row>
    <row r="27" spans="1:8" x14ac:dyDescent="0.2">
      <c r="A27" s="6" t="s">
        <v>38</v>
      </c>
      <c r="B27" s="6" t="s">
        <v>39</v>
      </c>
      <c r="C27" s="8">
        <f>[2]Gap_Identification!B5</f>
        <v>0</v>
      </c>
      <c r="D27" s="9">
        <f>[2]Gap_Identification!C5</f>
        <v>0</v>
      </c>
      <c r="E27" s="9" t="e">
        <f>COUNTIF([2]Gap_Identification!F10:F109,"Critical")</f>
        <v>#VALUE!</v>
      </c>
      <c r="F27" s="9">
        <f>COUNTA([2]Evidence_Register!A10:A209)</f>
        <v>95</v>
      </c>
      <c r="G27" s="9" t="str">
        <f>'[2]Instructions &amp; Legend'!B9</f>
        <v>2026-01-11</v>
      </c>
      <c r="H27" s="9" t="str">
        <f>'[2]Instructions &amp; Legend'!B10</f>
        <v>Mike Rodriguez - Network Manager</v>
      </c>
    </row>
    <row r="28" spans="1:8" x14ac:dyDescent="0.2">
      <c r="A28" s="6" t="s">
        <v>40</v>
      </c>
      <c r="B28" s="6" t="s">
        <v>41</v>
      </c>
      <c r="C28" s="8">
        <f>[3]Gap_Analysis!B5</f>
        <v>0</v>
      </c>
      <c r="D28" s="9">
        <f>[3]Gap_Analysis!C5</f>
        <v>0</v>
      </c>
      <c r="E28" s="9" t="e">
        <f>COUNTIF([3]Gap_Analysis!F10:F109,"Critical")</f>
        <v>#VALUE!</v>
      </c>
      <c r="F28" s="9">
        <f>COUNTA([3]Evidence_Register!A10:A209)</f>
        <v>95</v>
      </c>
      <c r="G28" s="9" t="str">
        <f>'[3]Instructions &amp; Legend'!B9</f>
        <v>2026-01-11</v>
      </c>
      <c r="H28" s="9" t="str">
        <f>'[3]Instructions &amp; Legend'!B10</f>
        <v>Jennifer Lee - Security Analyst</v>
      </c>
    </row>
    <row r="29" spans="1:8" x14ac:dyDescent="0.2">
      <c r="A29" s="6" t="s">
        <v>42</v>
      </c>
      <c r="B29" s="6" t="s">
        <v>43</v>
      </c>
      <c r="C29" s="8" t="str">
        <f>[4]Gap_Analysis!B5</f>
        <v>Gap_Category</v>
      </c>
      <c r="D29" s="9" t="str">
        <f>[4]Gap_Analysis!C5</f>
        <v>Gap_Description</v>
      </c>
      <c r="E29" s="9" t="e">
        <f>COUNTIF([4]Gap_Analysis!F10:F109,"Critical")</f>
        <v>#VALUE!</v>
      </c>
      <c r="F29" s="9">
        <f>COUNTA([4]Evidence_Register!A10:A209)</f>
        <v>103</v>
      </c>
      <c r="G29" s="9" t="str">
        <f>[4]Instructions_Legend!B9</f>
        <v>2026-01-11</v>
      </c>
      <c r="H29" s="9" t="str">
        <f>[4]Instructions_Legend!B10</f>
        <v>David Kumar - SOC Analyst</v>
      </c>
    </row>
    <row r="32" spans="1:8" x14ac:dyDescent="0.2">
      <c r="A32" s="25" t="s">
        <v>44</v>
      </c>
      <c r="B32" s="24"/>
      <c r="C32" s="24"/>
      <c r="D32" s="24"/>
      <c r="E32" s="24"/>
      <c r="F32" s="24"/>
      <c r="G32" s="24"/>
      <c r="H32" s="24"/>
    </row>
    <row r="33" spans="1:8" x14ac:dyDescent="0.2">
      <c r="A33" s="5" t="s">
        <v>45</v>
      </c>
      <c r="B33" s="5" t="s">
        <v>18</v>
      </c>
      <c r="C33" s="5" t="s">
        <v>46</v>
      </c>
      <c r="D33" s="5" t="s">
        <v>20</v>
      </c>
      <c r="E33" s="5" t="s">
        <v>21</v>
      </c>
      <c r="F33" s="5" t="s">
        <v>47</v>
      </c>
      <c r="G33" s="5" t="s">
        <v>48</v>
      </c>
    </row>
    <row r="34" spans="1:8" x14ac:dyDescent="0.2">
      <c r="A34" s="6" t="s">
        <v>49</v>
      </c>
      <c r="B34" s="6" t="s">
        <v>50</v>
      </c>
      <c r="C34" s="9">
        <f>COUNTA([1]Solution_Details_Template!B8:B27)</f>
        <v>1</v>
      </c>
      <c r="D34" s="6" t="s">
        <v>51</v>
      </c>
      <c r="E34" s="3"/>
      <c r="F34" s="3"/>
      <c r="G34" s="10" t="s">
        <v>52</v>
      </c>
    </row>
    <row r="35" spans="1:8" x14ac:dyDescent="0.2">
      <c r="A35" s="6" t="s">
        <v>49</v>
      </c>
      <c r="B35" s="6" t="s">
        <v>53</v>
      </c>
      <c r="C35" s="9" t="e">
        <f>COUNTIF([1]Solution_Details_Template!I8:I27,"Deployed")/COUNTA([1]Solution_Details_Template!B8:B27)</f>
        <v>#VALUE!</v>
      </c>
      <c r="D35" s="6" t="s">
        <v>54</v>
      </c>
      <c r="E35" s="3"/>
      <c r="F35" s="3"/>
      <c r="G35" s="10"/>
    </row>
    <row r="36" spans="1:8" x14ac:dyDescent="0.2">
      <c r="A36" s="6" t="s">
        <v>55</v>
      </c>
      <c r="B36" s="6" t="s">
        <v>56</v>
      </c>
      <c r="C36" s="9" t="e">
        <f>COUNTIF([2]Coverage_Matrix!D10:D109,"✅ Covered")/COUNTA([2]Network_Segment_Inventory!A10:A59)</f>
        <v>#VALUE!</v>
      </c>
      <c r="D36" s="6" t="s">
        <v>54</v>
      </c>
      <c r="E36" s="3"/>
      <c r="F36" s="3"/>
      <c r="G36" s="10" t="s">
        <v>57</v>
      </c>
    </row>
    <row r="37" spans="1:8" x14ac:dyDescent="0.2">
      <c r="A37" s="6" t="s">
        <v>55</v>
      </c>
      <c r="B37" s="6" t="s">
        <v>58</v>
      </c>
      <c r="C37" s="9" t="e">
        <f>COUNTIF([2]Gap_Identification!F10:F109,"Critical")</f>
        <v>#VALUE!</v>
      </c>
      <c r="D37" s="6" t="s">
        <v>25</v>
      </c>
      <c r="E37" s="3"/>
      <c r="F37" s="3"/>
      <c r="G37" s="10"/>
    </row>
    <row r="38" spans="1:8" x14ac:dyDescent="0.2">
      <c r="A38" s="6" t="s">
        <v>59</v>
      </c>
      <c r="B38" s="6" t="s">
        <v>60</v>
      </c>
      <c r="C38" s="9" t="e">
        <f>COUNTIF([3]Threat_Protection!E10:E59,"Blocked")/COUNTA([3]Threat_Protection!A10:A59)</f>
        <v>#VALUE!</v>
      </c>
      <c r="D38" s="6" t="s">
        <v>23</v>
      </c>
      <c r="E38" s="3"/>
      <c r="F38" s="3"/>
      <c r="G38" s="10" t="s">
        <v>61</v>
      </c>
    </row>
    <row r="39" spans="1:8" x14ac:dyDescent="0.2">
      <c r="A39" s="6" t="s">
        <v>59</v>
      </c>
      <c r="B39" s="6" t="s">
        <v>62</v>
      </c>
      <c r="C39" s="9" t="e">
        <f>COUNTIF([3]Policy_Exceptions!G10:G109,"Active")</f>
        <v>#VALUE!</v>
      </c>
      <c r="D39" s="6" t="s">
        <v>63</v>
      </c>
      <c r="E39" s="3"/>
      <c r="F39" s="3"/>
      <c r="G39" s="10"/>
    </row>
    <row r="40" spans="1:8" x14ac:dyDescent="0.2">
      <c r="A40" s="6" t="s">
        <v>64</v>
      </c>
      <c r="B40" s="6" t="s">
        <v>65</v>
      </c>
      <c r="C40" s="9">
        <f>COUNTA([4]Alert_Configuration!A10:A109)</f>
        <v>51</v>
      </c>
      <c r="D40" s="6" t="s">
        <v>66</v>
      </c>
      <c r="E40" s="3"/>
      <c r="F40" s="3"/>
      <c r="G40" s="10" t="s">
        <v>67</v>
      </c>
    </row>
    <row r="41" spans="1:8" x14ac:dyDescent="0.2">
      <c r="A41" s="6" t="s">
        <v>64</v>
      </c>
      <c r="B41" s="6" t="s">
        <v>68</v>
      </c>
      <c r="C41" s="9" t="e">
        <f>COUNTIF([4]Incident_Response!K10:K109,"Met")/COUNTA([4]Incident_Response!K10:K109)</f>
        <v>#VALUE!</v>
      </c>
      <c r="D41" s="6" t="s">
        <v>23</v>
      </c>
      <c r="E41" s="3"/>
      <c r="F41" s="3"/>
      <c r="G41" s="10"/>
    </row>
    <row r="42" spans="1:8" x14ac:dyDescent="0.2">
      <c r="A42" s="6" t="s">
        <v>69</v>
      </c>
      <c r="B42" s="6" t="s">
        <v>70</v>
      </c>
      <c r="C42" s="9" t="e">
        <f>COUNTIFS([4]Incident_Response!D10:D109,"Critical",[4]Incident_Response!I10:I109,"Open")</f>
        <v>#VALUE!</v>
      </c>
      <c r="D42" s="6" t="s">
        <v>25</v>
      </c>
      <c r="E42" s="3"/>
      <c r="F42" s="3"/>
      <c r="G42" s="10"/>
    </row>
    <row r="43" spans="1:8" x14ac:dyDescent="0.2">
      <c r="A43" s="6" t="s">
        <v>69</v>
      </c>
      <c r="B43" s="6" t="s">
        <v>71</v>
      </c>
      <c r="C43" s="9" t="e">
        <f>COUNTIF([4]False_Positive_Mgmt!H10:H109,"Confirmed_FP")/COUNTA([4]Blocked_Events_Analysis!A10:A109)</f>
        <v>#VALUE!</v>
      </c>
      <c r="D43" s="6" t="s">
        <v>72</v>
      </c>
      <c r="E43" s="3"/>
      <c r="F43" s="3"/>
      <c r="G43" s="10"/>
    </row>
    <row r="46" spans="1:8" x14ac:dyDescent="0.2">
      <c r="A46" s="28" t="s">
        <v>73</v>
      </c>
      <c r="B46" s="24"/>
      <c r="C46" s="24"/>
      <c r="D46" s="24"/>
      <c r="E46" s="24"/>
      <c r="F46" s="24"/>
      <c r="G46" s="24"/>
      <c r="H46" s="24"/>
    </row>
    <row r="47" spans="1:8" x14ac:dyDescent="0.2">
      <c r="A47" s="23" t="s">
        <v>74</v>
      </c>
      <c r="B47" s="24"/>
      <c r="C47" s="24"/>
      <c r="D47" s="24"/>
      <c r="E47" s="24"/>
      <c r="F47" s="24"/>
      <c r="G47" s="24"/>
      <c r="H47" s="24"/>
    </row>
    <row r="48" spans="1:8" x14ac:dyDescent="0.2">
      <c r="A48" s="23" t="s">
        <v>75</v>
      </c>
      <c r="B48" s="24"/>
      <c r="C48" s="24"/>
      <c r="D48" s="24"/>
      <c r="E48" s="24"/>
      <c r="F48" s="24"/>
      <c r="G48" s="24"/>
      <c r="H48" s="24"/>
    </row>
    <row r="49" spans="1:8" x14ac:dyDescent="0.2">
      <c r="A49" s="23" t="s">
        <v>76</v>
      </c>
      <c r="B49" s="24"/>
      <c r="C49" s="24"/>
      <c r="D49" s="24"/>
      <c r="E49" s="24"/>
      <c r="F49" s="24"/>
      <c r="G49" s="24"/>
      <c r="H49" s="24"/>
    </row>
    <row r="50" spans="1:8" x14ac:dyDescent="0.2">
      <c r="A50" s="23" t="s">
        <v>77</v>
      </c>
      <c r="B50" s="24"/>
      <c r="C50" s="24"/>
      <c r="D50" s="24"/>
      <c r="E50" s="24"/>
      <c r="F50" s="24"/>
      <c r="G50" s="24"/>
      <c r="H50" s="24"/>
    </row>
    <row r="51" spans="1:8" x14ac:dyDescent="0.2">
      <c r="A51" s="23" t="s">
        <v>78</v>
      </c>
      <c r="B51" s="24"/>
      <c r="C51" s="24"/>
      <c r="D51" s="24"/>
      <c r="E51" s="24"/>
      <c r="F51" s="24"/>
      <c r="G51" s="24"/>
      <c r="H51" s="24"/>
    </row>
    <row r="52" spans="1:8" x14ac:dyDescent="0.2">
      <c r="A52" s="23" t="s">
        <v>79</v>
      </c>
      <c r="B52" s="24"/>
      <c r="C52" s="24"/>
      <c r="D52" s="24"/>
      <c r="E52" s="24"/>
      <c r="F52" s="24"/>
      <c r="G52" s="24"/>
      <c r="H52" s="24"/>
    </row>
    <row r="54" spans="1:8" x14ac:dyDescent="0.2">
      <c r="A54" s="26" t="s">
        <v>80</v>
      </c>
      <c r="B54" s="24"/>
      <c r="C54" s="24"/>
      <c r="D54" s="24"/>
      <c r="E54" s="24"/>
      <c r="F54" s="24"/>
      <c r="G54" s="24"/>
      <c r="H54" s="24"/>
    </row>
  </sheetData>
  <mergeCells count="12">
    <mergeCell ref="A52:H52"/>
    <mergeCell ref="A54:H54"/>
    <mergeCell ref="A49:H49"/>
    <mergeCell ref="A47:H47"/>
    <mergeCell ref="A1:H1"/>
    <mergeCell ref="A46:H46"/>
    <mergeCell ref="A32:H32"/>
    <mergeCell ref="A50:H50"/>
    <mergeCell ref="A48:H48"/>
    <mergeCell ref="A24:H24"/>
    <mergeCell ref="A16:H16"/>
    <mergeCell ref="A51:H51"/>
  </mergeCells>
  <dataValidations count="2">
    <dataValidation type="list" sqref="D18:D21 E34:E43" xr:uid="{00000000-0002-0000-0000-000000000000}">
      <formula1>"Green,Amber,Red"</formula1>
    </dataValidation>
    <dataValidation type="list" allowBlank="1" sqref="F34:F43" xr:uid="{00000000-0002-0000-0000-000002000000}">
      <formula1>"Improving,Stable,Degrading"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5"/>
  <sheetViews>
    <sheetView workbookViewId="0">
      <pane ySplit="4" topLeftCell="A5" activePane="bottomLeft" state="frozen"/>
      <selection pane="bottomLeft" sqref="A1:S1"/>
    </sheetView>
  </sheetViews>
  <sheetFormatPr baseColWidth="10" defaultColWidth="8.83203125" defaultRowHeight="15" x14ac:dyDescent="0.2"/>
  <cols>
    <col min="1" max="1" width="15" customWidth="1"/>
    <col min="2" max="2" width="25" customWidth="1"/>
    <col min="3" max="3" width="20" customWidth="1"/>
    <col min="4" max="4" width="40" customWidth="1"/>
    <col min="5" max="6" width="30" customWidth="1"/>
    <col min="7" max="7" width="10" customWidth="1"/>
    <col min="8" max="10" width="12" customWidth="1"/>
    <col min="11" max="11" width="35" customWidth="1"/>
    <col min="12" max="12" width="20" customWidth="1"/>
    <col min="13" max="14" width="15" customWidth="1"/>
    <col min="15" max="15" width="12" customWidth="1"/>
    <col min="16" max="16" width="15" customWidth="1"/>
    <col min="17" max="18" width="25" customWidth="1"/>
    <col min="19" max="19" width="30" customWidth="1"/>
  </cols>
  <sheetData>
    <row r="1" spans="1:19" ht="30" customHeight="1" x14ac:dyDescent="0.2">
      <c r="A1" s="27" t="s">
        <v>81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19" x14ac:dyDescent="0.2">
      <c r="A2" s="29" t="s">
        <v>82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</row>
    <row r="4" spans="1:19" x14ac:dyDescent="0.2">
      <c r="A4" s="5" t="s">
        <v>83</v>
      </c>
      <c r="B4" s="5" t="s">
        <v>84</v>
      </c>
      <c r="C4" s="5" t="s">
        <v>85</v>
      </c>
      <c r="D4" s="5" t="s">
        <v>86</v>
      </c>
      <c r="E4" s="5" t="s">
        <v>87</v>
      </c>
      <c r="F4" s="5" t="s">
        <v>88</v>
      </c>
      <c r="G4" s="5" t="s">
        <v>89</v>
      </c>
      <c r="H4" s="5" t="s">
        <v>90</v>
      </c>
      <c r="I4" s="5" t="s">
        <v>91</v>
      </c>
      <c r="J4" s="5" t="s">
        <v>92</v>
      </c>
      <c r="K4" s="5" t="s">
        <v>93</v>
      </c>
      <c r="L4" s="5" t="s">
        <v>94</v>
      </c>
      <c r="M4" s="5" t="s">
        <v>95</v>
      </c>
      <c r="N4" s="5" t="s">
        <v>21</v>
      </c>
      <c r="O4" s="5" t="s">
        <v>96</v>
      </c>
      <c r="P4" s="5" t="s">
        <v>97</v>
      </c>
      <c r="Q4" s="5" t="s">
        <v>98</v>
      </c>
      <c r="R4" s="5" t="s">
        <v>99</v>
      </c>
      <c r="S4" s="5" t="s">
        <v>100</v>
      </c>
    </row>
    <row r="5" spans="1:19" ht="30" customHeight="1" x14ac:dyDescent="0.2">
      <c r="A5" s="30" t="s">
        <v>101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</row>
    <row r="6" spans="1:19" x14ac:dyDescent="0.2">
      <c r="A6" s="6" t="s">
        <v>102</v>
      </c>
      <c r="B6" s="6" t="s">
        <v>37</v>
      </c>
      <c r="C6" s="6" t="s">
        <v>103</v>
      </c>
      <c r="D6" s="3"/>
      <c r="E6" s="3"/>
      <c r="F6" s="3"/>
      <c r="G6" s="6" t="s">
        <v>104</v>
      </c>
      <c r="H6" s="6" t="s">
        <v>105</v>
      </c>
      <c r="I6" s="11" t="e">
        <f>G7*H7</f>
        <v>#VALUE!</v>
      </c>
      <c r="J6" s="6" t="s">
        <v>104</v>
      </c>
      <c r="K6" s="3"/>
      <c r="L6" s="3"/>
      <c r="M6" s="3"/>
      <c r="N6" s="3"/>
      <c r="O6" s="3"/>
      <c r="P6" s="3"/>
      <c r="Q6" s="3"/>
      <c r="R6" s="3"/>
      <c r="S6" s="3"/>
    </row>
    <row r="7" spans="1:19" x14ac:dyDescent="0.2">
      <c r="A7" s="6" t="s">
        <v>106</v>
      </c>
      <c r="B7" s="6" t="s">
        <v>39</v>
      </c>
      <c r="C7" s="6" t="s">
        <v>55</v>
      </c>
      <c r="D7" s="3"/>
      <c r="E7" s="3"/>
      <c r="F7" s="3"/>
      <c r="G7" s="6" t="s">
        <v>107</v>
      </c>
      <c r="H7" s="6" t="s">
        <v>104</v>
      </c>
      <c r="I7" s="11" t="e">
        <f>G8*H8</f>
        <v>#VALUE!</v>
      </c>
      <c r="J7" s="6" t="s">
        <v>107</v>
      </c>
      <c r="K7" s="3"/>
      <c r="L7" s="3"/>
      <c r="M7" s="3"/>
      <c r="N7" s="3"/>
      <c r="O7" s="3"/>
      <c r="P7" s="3"/>
      <c r="Q7" s="3"/>
      <c r="R7" s="3"/>
      <c r="S7" s="3"/>
    </row>
    <row r="8" spans="1:19" x14ac:dyDescent="0.2">
      <c r="A8" s="6" t="s">
        <v>108</v>
      </c>
      <c r="B8" s="6" t="s">
        <v>41</v>
      </c>
      <c r="C8" s="6" t="s">
        <v>59</v>
      </c>
      <c r="D8" s="3"/>
      <c r="E8" s="3"/>
      <c r="F8" s="3"/>
      <c r="G8" s="6" t="s">
        <v>105</v>
      </c>
      <c r="H8" s="6" t="s">
        <v>109</v>
      </c>
      <c r="I8" s="11" t="e">
        <f>G9*H9</f>
        <v>#VALUE!</v>
      </c>
      <c r="J8" s="6" t="s">
        <v>105</v>
      </c>
      <c r="K8" s="3"/>
      <c r="L8" s="3"/>
      <c r="M8" s="3"/>
      <c r="N8" s="3"/>
      <c r="O8" s="3"/>
      <c r="P8" s="3"/>
      <c r="Q8" s="3"/>
      <c r="R8" s="3"/>
      <c r="S8" s="3"/>
    </row>
    <row r="9" spans="1:19" x14ac:dyDescent="0.2">
      <c r="A9" s="6" t="s">
        <v>110</v>
      </c>
      <c r="B9" s="6" t="s">
        <v>43</v>
      </c>
      <c r="C9" s="6" t="s">
        <v>64</v>
      </c>
      <c r="D9" s="3"/>
      <c r="E9" s="3"/>
      <c r="F9" s="3"/>
      <c r="G9" s="6" t="s">
        <v>104</v>
      </c>
      <c r="H9" s="6" t="s">
        <v>105</v>
      </c>
      <c r="I9" s="11">
        <f>G10*H10</f>
        <v>0</v>
      </c>
      <c r="J9" s="6" t="s">
        <v>104</v>
      </c>
      <c r="K9" s="3"/>
      <c r="L9" s="3"/>
      <c r="M9" s="3"/>
      <c r="N9" s="3"/>
      <c r="O9" s="3"/>
      <c r="P9" s="3"/>
      <c r="Q9" s="3"/>
      <c r="R9" s="3"/>
      <c r="S9" s="3"/>
    </row>
    <row r="10" spans="1:19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</sheetData>
  <mergeCells count="3">
    <mergeCell ref="A2:S2"/>
    <mergeCell ref="A1:S1"/>
    <mergeCell ref="A5:S5"/>
  </mergeCells>
  <dataValidations count="2">
    <dataValidation type="list" allowBlank="1" sqref="J7:J55" xr:uid="{00000000-0002-0000-0100-000000000000}">
      <formula1>"Critical,High,Medium,Low"</formula1>
    </dataValidation>
    <dataValidation type="list" allowBlank="1" sqref="N7:N55" xr:uid="{00000000-0002-0000-0100-000001000000}">
      <formula1>"Open,In_Progress,Resolved,Accepted,Deferred,Closed"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2"/>
  <sheetViews>
    <sheetView workbookViewId="0">
      <pane ySplit="19" topLeftCell="A20" activePane="bottomLeft" state="frozen"/>
      <selection pane="bottomLeft" sqref="A1:Q1"/>
    </sheetView>
  </sheetViews>
  <sheetFormatPr baseColWidth="10" defaultColWidth="8.83203125" defaultRowHeight="15" x14ac:dyDescent="0.2"/>
  <cols>
    <col min="1" max="1" width="15" customWidth="1"/>
    <col min="2" max="3" width="20" customWidth="1"/>
    <col min="4" max="4" width="40" customWidth="1"/>
    <col min="5" max="6" width="25" customWidth="1"/>
    <col min="7" max="7" width="10" customWidth="1"/>
    <col min="8" max="9" width="12" customWidth="1"/>
    <col min="10" max="10" width="30" customWidth="1"/>
    <col min="11" max="11" width="15" customWidth="1"/>
    <col min="12" max="12" width="10" customWidth="1"/>
    <col min="13" max="14" width="12" customWidth="1"/>
    <col min="15" max="15" width="15" customWidth="1"/>
    <col min="16" max="16" width="20" customWidth="1"/>
    <col min="17" max="17" width="15" customWidth="1"/>
  </cols>
  <sheetData>
    <row r="1" spans="1:17" ht="30" customHeight="1" x14ac:dyDescent="0.2">
      <c r="A1" s="27" t="s">
        <v>111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3" spans="1:17" x14ac:dyDescent="0.2">
      <c r="A3" s="31" t="s">
        <v>112</v>
      </c>
      <c r="B3" s="24"/>
      <c r="C3" s="24"/>
      <c r="D3" s="24"/>
      <c r="E3" s="24"/>
    </row>
    <row r="4" spans="1:17" x14ac:dyDescent="0.2">
      <c r="A4" s="12" t="s">
        <v>113</v>
      </c>
      <c r="B4" s="12" t="s">
        <v>114</v>
      </c>
      <c r="C4" s="12" t="s">
        <v>115</v>
      </c>
      <c r="D4" s="12" t="s">
        <v>116</v>
      </c>
      <c r="E4" s="12" t="s">
        <v>117</v>
      </c>
    </row>
    <row r="5" spans="1:17" x14ac:dyDescent="0.2">
      <c r="A5" s="13" t="s">
        <v>117</v>
      </c>
      <c r="B5" s="14">
        <v>4</v>
      </c>
      <c r="C5" s="15">
        <v>8</v>
      </c>
      <c r="D5" s="16">
        <v>12</v>
      </c>
      <c r="E5" s="16">
        <v>16</v>
      </c>
    </row>
    <row r="6" spans="1:17" x14ac:dyDescent="0.2">
      <c r="A6" s="13" t="s">
        <v>116</v>
      </c>
      <c r="B6" s="14">
        <v>3</v>
      </c>
      <c r="C6" s="15">
        <v>6</v>
      </c>
      <c r="D6" s="15">
        <v>9</v>
      </c>
      <c r="E6" s="16">
        <v>12</v>
      </c>
    </row>
    <row r="7" spans="1:17" x14ac:dyDescent="0.2">
      <c r="A7" s="13" t="s">
        <v>115</v>
      </c>
      <c r="B7" s="14">
        <v>2</v>
      </c>
      <c r="C7" s="14">
        <v>4</v>
      </c>
      <c r="D7" s="15">
        <v>6</v>
      </c>
      <c r="E7" s="15">
        <v>8</v>
      </c>
    </row>
    <row r="8" spans="1:17" x14ac:dyDescent="0.2">
      <c r="A8" s="13" t="s">
        <v>114</v>
      </c>
      <c r="B8" s="14">
        <v>1</v>
      </c>
      <c r="C8" s="14">
        <v>2</v>
      </c>
      <c r="D8" s="14">
        <v>3</v>
      </c>
      <c r="E8" s="14">
        <v>4</v>
      </c>
    </row>
    <row r="11" spans="1:17" x14ac:dyDescent="0.2">
      <c r="A11" s="25" t="s">
        <v>118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</row>
    <row r="12" spans="1:17" ht="30" x14ac:dyDescent="0.2">
      <c r="A12" s="5" t="s">
        <v>119</v>
      </c>
      <c r="B12" s="5" t="s">
        <v>120</v>
      </c>
      <c r="C12" s="5" t="s">
        <v>121</v>
      </c>
      <c r="D12" s="5" t="s">
        <v>122</v>
      </c>
      <c r="E12" s="5" t="s">
        <v>123</v>
      </c>
      <c r="F12" s="5" t="s">
        <v>124</v>
      </c>
      <c r="G12" s="5" t="s">
        <v>89</v>
      </c>
      <c r="H12" s="5" t="s">
        <v>90</v>
      </c>
      <c r="I12" s="5" t="s">
        <v>125</v>
      </c>
      <c r="J12" s="5" t="s">
        <v>126</v>
      </c>
      <c r="K12" s="5" t="s">
        <v>127</v>
      </c>
      <c r="L12" s="5" t="s">
        <v>128</v>
      </c>
      <c r="M12" s="5" t="s">
        <v>129</v>
      </c>
      <c r="N12" s="5" t="s">
        <v>130</v>
      </c>
      <c r="O12" s="5" t="s">
        <v>131</v>
      </c>
      <c r="P12" s="5" t="s">
        <v>94</v>
      </c>
      <c r="Q12" s="5" t="s">
        <v>21</v>
      </c>
    </row>
    <row r="13" spans="1:17" x14ac:dyDescent="0.2">
      <c r="A13" s="3"/>
      <c r="B13" s="3"/>
      <c r="C13" s="3"/>
      <c r="D13" s="3"/>
      <c r="E13" s="3"/>
      <c r="F13" s="3"/>
      <c r="G13" s="3"/>
      <c r="H13" s="3"/>
      <c r="I13" s="17">
        <f t="shared" ref="I13:I44" si="0">G13*H13</f>
        <v>0</v>
      </c>
      <c r="J13" s="3"/>
      <c r="K13" s="3"/>
      <c r="L13" s="3"/>
      <c r="M13" s="3"/>
      <c r="N13" s="17">
        <f t="shared" ref="N13:N44" si="1">L13*M13</f>
        <v>0</v>
      </c>
      <c r="O13" s="3"/>
      <c r="P13" s="3"/>
      <c r="Q13" s="3"/>
    </row>
    <row r="14" spans="1:17" x14ac:dyDescent="0.2">
      <c r="A14" s="3"/>
      <c r="B14" s="3"/>
      <c r="C14" s="3"/>
      <c r="D14" s="3"/>
      <c r="E14" s="3"/>
      <c r="F14" s="3"/>
      <c r="G14" s="3"/>
      <c r="H14" s="3"/>
      <c r="I14" s="17">
        <f t="shared" si="0"/>
        <v>0</v>
      </c>
      <c r="J14" s="3"/>
      <c r="K14" s="3"/>
      <c r="L14" s="3"/>
      <c r="M14" s="3"/>
      <c r="N14" s="17">
        <f t="shared" si="1"/>
        <v>0</v>
      </c>
      <c r="O14" s="3"/>
      <c r="P14" s="3"/>
      <c r="Q14" s="3"/>
    </row>
    <row r="15" spans="1:17" x14ac:dyDescent="0.2">
      <c r="A15" s="3"/>
      <c r="B15" s="3"/>
      <c r="C15" s="3"/>
      <c r="D15" s="3"/>
      <c r="E15" s="3"/>
      <c r="F15" s="3"/>
      <c r="G15" s="3"/>
      <c r="H15" s="3"/>
      <c r="I15" s="17">
        <f t="shared" si="0"/>
        <v>0</v>
      </c>
      <c r="J15" s="3"/>
      <c r="K15" s="3"/>
      <c r="L15" s="3"/>
      <c r="M15" s="3"/>
      <c r="N15" s="17">
        <f t="shared" si="1"/>
        <v>0</v>
      </c>
      <c r="O15" s="3"/>
      <c r="P15" s="3"/>
      <c r="Q15" s="3"/>
    </row>
    <row r="16" spans="1:17" x14ac:dyDescent="0.2">
      <c r="A16" s="3"/>
      <c r="B16" s="3"/>
      <c r="C16" s="3"/>
      <c r="D16" s="3"/>
      <c r="E16" s="3"/>
      <c r="F16" s="3"/>
      <c r="G16" s="3"/>
      <c r="H16" s="3"/>
      <c r="I16" s="17">
        <f t="shared" si="0"/>
        <v>0</v>
      </c>
      <c r="J16" s="3"/>
      <c r="K16" s="3"/>
      <c r="L16" s="3"/>
      <c r="M16" s="3"/>
      <c r="N16" s="17">
        <f t="shared" si="1"/>
        <v>0</v>
      </c>
      <c r="O16" s="3"/>
      <c r="P16" s="3"/>
      <c r="Q16" s="3"/>
    </row>
    <row r="17" spans="1:17" x14ac:dyDescent="0.2">
      <c r="A17" s="3"/>
      <c r="B17" s="3"/>
      <c r="C17" s="3"/>
      <c r="D17" s="3"/>
      <c r="E17" s="3"/>
      <c r="F17" s="3"/>
      <c r="G17" s="3"/>
      <c r="H17" s="3"/>
      <c r="I17" s="17">
        <f t="shared" si="0"/>
        <v>0</v>
      </c>
      <c r="J17" s="3"/>
      <c r="K17" s="3"/>
      <c r="L17" s="3"/>
      <c r="M17" s="3"/>
      <c r="N17" s="17">
        <f t="shared" si="1"/>
        <v>0</v>
      </c>
      <c r="O17" s="3"/>
      <c r="P17" s="3"/>
      <c r="Q17" s="3"/>
    </row>
    <row r="18" spans="1:17" x14ac:dyDescent="0.2">
      <c r="A18" s="3"/>
      <c r="B18" s="3"/>
      <c r="C18" s="3"/>
      <c r="D18" s="3"/>
      <c r="E18" s="3"/>
      <c r="F18" s="3"/>
      <c r="G18" s="3"/>
      <c r="H18" s="3"/>
      <c r="I18" s="17">
        <f t="shared" si="0"/>
        <v>0</v>
      </c>
      <c r="J18" s="3"/>
      <c r="K18" s="3"/>
      <c r="L18" s="3"/>
      <c r="M18" s="3"/>
      <c r="N18" s="17">
        <f t="shared" si="1"/>
        <v>0</v>
      </c>
      <c r="O18" s="3"/>
      <c r="P18" s="3"/>
      <c r="Q18" s="3"/>
    </row>
    <row r="19" spans="1:17" x14ac:dyDescent="0.2">
      <c r="A19" s="3"/>
      <c r="B19" s="3"/>
      <c r="C19" s="3"/>
      <c r="D19" s="3"/>
      <c r="E19" s="3"/>
      <c r="F19" s="3"/>
      <c r="G19" s="3"/>
      <c r="H19" s="3"/>
      <c r="I19" s="17">
        <f t="shared" si="0"/>
        <v>0</v>
      </c>
      <c r="J19" s="3"/>
      <c r="K19" s="3"/>
      <c r="L19" s="3"/>
      <c r="M19" s="3"/>
      <c r="N19" s="17">
        <f t="shared" si="1"/>
        <v>0</v>
      </c>
      <c r="O19" s="3"/>
      <c r="P19" s="3"/>
      <c r="Q19" s="3"/>
    </row>
    <row r="20" spans="1:17" x14ac:dyDescent="0.2">
      <c r="A20" s="3"/>
      <c r="B20" s="3"/>
      <c r="C20" s="3"/>
      <c r="D20" s="3"/>
      <c r="E20" s="3"/>
      <c r="F20" s="3"/>
      <c r="G20" s="3"/>
      <c r="H20" s="3"/>
      <c r="I20" s="17">
        <f t="shared" si="0"/>
        <v>0</v>
      </c>
      <c r="J20" s="3"/>
      <c r="K20" s="3"/>
      <c r="L20" s="3"/>
      <c r="M20" s="3"/>
      <c r="N20" s="17">
        <f t="shared" si="1"/>
        <v>0</v>
      </c>
      <c r="O20" s="3"/>
      <c r="P20" s="3"/>
      <c r="Q20" s="3"/>
    </row>
    <row r="21" spans="1:17" x14ac:dyDescent="0.2">
      <c r="A21" s="3"/>
      <c r="B21" s="3"/>
      <c r="C21" s="3"/>
      <c r="D21" s="3"/>
      <c r="E21" s="3"/>
      <c r="F21" s="3"/>
      <c r="G21" s="3"/>
      <c r="H21" s="3"/>
      <c r="I21" s="17">
        <f t="shared" si="0"/>
        <v>0</v>
      </c>
      <c r="J21" s="3"/>
      <c r="K21" s="3"/>
      <c r="L21" s="3"/>
      <c r="M21" s="3"/>
      <c r="N21" s="17">
        <f t="shared" si="1"/>
        <v>0</v>
      </c>
      <c r="O21" s="3"/>
      <c r="P21" s="3"/>
      <c r="Q21" s="3"/>
    </row>
    <row r="22" spans="1:17" x14ac:dyDescent="0.2">
      <c r="A22" s="3"/>
      <c r="B22" s="3"/>
      <c r="C22" s="3"/>
      <c r="D22" s="3"/>
      <c r="E22" s="3"/>
      <c r="F22" s="3"/>
      <c r="G22" s="3"/>
      <c r="H22" s="3"/>
      <c r="I22" s="17">
        <f t="shared" si="0"/>
        <v>0</v>
      </c>
      <c r="J22" s="3"/>
      <c r="K22" s="3"/>
      <c r="L22" s="3"/>
      <c r="M22" s="3"/>
      <c r="N22" s="17">
        <f t="shared" si="1"/>
        <v>0</v>
      </c>
      <c r="O22" s="3"/>
      <c r="P22" s="3"/>
      <c r="Q22" s="3"/>
    </row>
    <row r="23" spans="1:17" x14ac:dyDescent="0.2">
      <c r="A23" s="3"/>
      <c r="B23" s="3"/>
      <c r="C23" s="3"/>
      <c r="D23" s="3"/>
      <c r="E23" s="3"/>
      <c r="F23" s="3"/>
      <c r="G23" s="3"/>
      <c r="H23" s="3"/>
      <c r="I23" s="17">
        <f t="shared" si="0"/>
        <v>0</v>
      </c>
      <c r="J23" s="3"/>
      <c r="K23" s="3"/>
      <c r="L23" s="3"/>
      <c r="M23" s="3"/>
      <c r="N23" s="17">
        <f t="shared" si="1"/>
        <v>0</v>
      </c>
      <c r="O23" s="3"/>
      <c r="P23" s="3"/>
      <c r="Q23" s="3"/>
    </row>
    <row r="24" spans="1:17" x14ac:dyDescent="0.2">
      <c r="A24" s="3"/>
      <c r="B24" s="3"/>
      <c r="C24" s="3"/>
      <c r="D24" s="3"/>
      <c r="E24" s="3"/>
      <c r="F24" s="3"/>
      <c r="G24" s="3"/>
      <c r="H24" s="3"/>
      <c r="I24" s="17">
        <f t="shared" si="0"/>
        <v>0</v>
      </c>
      <c r="J24" s="3"/>
      <c r="K24" s="3"/>
      <c r="L24" s="3"/>
      <c r="M24" s="3"/>
      <c r="N24" s="17">
        <f t="shared" si="1"/>
        <v>0</v>
      </c>
      <c r="O24" s="3"/>
      <c r="P24" s="3"/>
      <c r="Q24" s="3"/>
    </row>
    <row r="25" spans="1:17" x14ac:dyDescent="0.2">
      <c r="A25" s="3"/>
      <c r="B25" s="3"/>
      <c r="C25" s="3"/>
      <c r="D25" s="3"/>
      <c r="E25" s="3"/>
      <c r="F25" s="3"/>
      <c r="G25" s="3"/>
      <c r="H25" s="3"/>
      <c r="I25" s="17">
        <f t="shared" si="0"/>
        <v>0</v>
      </c>
      <c r="J25" s="3"/>
      <c r="K25" s="3"/>
      <c r="L25" s="3"/>
      <c r="M25" s="3"/>
      <c r="N25" s="17">
        <f t="shared" si="1"/>
        <v>0</v>
      </c>
      <c r="O25" s="3"/>
      <c r="P25" s="3"/>
      <c r="Q25" s="3"/>
    </row>
    <row r="26" spans="1:17" x14ac:dyDescent="0.2">
      <c r="A26" s="3"/>
      <c r="B26" s="3"/>
      <c r="C26" s="3"/>
      <c r="D26" s="3"/>
      <c r="E26" s="3"/>
      <c r="F26" s="3"/>
      <c r="G26" s="3"/>
      <c r="H26" s="3"/>
      <c r="I26" s="17">
        <f t="shared" si="0"/>
        <v>0</v>
      </c>
      <c r="J26" s="3"/>
      <c r="K26" s="3"/>
      <c r="L26" s="3"/>
      <c r="M26" s="3"/>
      <c r="N26" s="17">
        <f t="shared" si="1"/>
        <v>0</v>
      </c>
      <c r="O26" s="3"/>
      <c r="P26" s="3"/>
      <c r="Q26" s="3"/>
    </row>
    <row r="27" spans="1:17" x14ac:dyDescent="0.2">
      <c r="A27" s="3"/>
      <c r="B27" s="3"/>
      <c r="C27" s="3"/>
      <c r="D27" s="3"/>
      <c r="E27" s="3"/>
      <c r="F27" s="3"/>
      <c r="G27" s="3"/>
      <c r="H27" s="3"/>
      <c r="I27" s="17">
        <f t="shared" si="0"/>
        <v>0</v>
      </c>
      <c r="J27" s="3"/>
      <c r="K27" s="3"/>
      <c r="L27" s="3"/>
      <c r="M27" s="3"/>
      <c r="N27" s="17">
        <f t="shared" si="1"/>
        <v>0</v>
      </c>
      <c r="O27" s="3"/>
      <c r="P27" s="3"/>
      <c r="Q27" s="3"/>
    </row>
    <row r="28" spans="1:17" x14ac:dyDescent="0.2">
      <c r="A28" s="3"/>
      <c r="B28" s="3"/>
      <c r="C28" s="3"/>
      <c r="D28" s="3"/>
      <c r="E28" s="3"/>
      <c r="F28" s="3"/>
      <c r="G28" s="3"/>
      <c r="H28" s="3"/>
      <c r="I28" s="17">
        <f t="shared" si="0"/>
        <v>0</v>
      </c>
      <c r="J28" s="3"/>
      <c r="K28" s="3"/>
      <c r="L28" s="3"/>
      <c r="M28" s="3"/>
      <c r="N28" s="17">
        <f t="shared" si="1"/>
        <v>0</v>
      </c>
      <c r="O28" s="3"/>
      <c r="P28" s="3"/>
      <c r="Q28" s="3"/>
    </row>
    <row r="29" spans="1:17" x14ac:dyDescent="0.2">
      <c r="A29" s="3"/>
      <c r="B29" s="3"/>
      <c r="C29" s="3"/>
      <c r="D29" s="3"/>
      <c r="E29" s="3"/>
      <c r="F29" s="3"/>
      <c r="G29" s="3"/>
      <c r="H29" s="3"/>
      <c r="I29" s="17">
        <f t="shared" si="0"/>
        <v>0</v>
      </c>
      <c r="J29" s="3"/>
      <c r="K29" s="3"/>
      <c r="L29" s="3"/>
      <c r="M29" s="3"/>
      <c r="N29" s="17">
        <f t="shared" si="1"/>
        <v>0</v>
      </c>
      <c r="O29" s="3"/>
      <c r="P29" s="3"/>
      <c r="Q29" s="3"/>
    </row>
    <row r="30" spans="1:17" x14ac:dyDescent="0.2">
      <c r="A30" s="3"/>
      <c r="B30" s="3"/>
      <c r="C30" s="3"/>
      <c r="D30" s="3"/>
      <c r="E30" s="3"/>
      <c r="F30" s="3"/>
      <c r="G30" s="3"/>
      <c r="H30" s="3"/>
      <c r="I30" s="17">
        <f t="shared" si="0"/>
        <v>0</v>
      </c>
      <c r="J30" s="3"/>
      <c r="K30" s="3"/>
      <c r="L30" s="3"/>
      <c r="M30" s="3"/>
      <c r="N30" s="17">
        <f t="shared" si="1"/>
        <v>0</v>
      </c>
      <c r="O30" s="3"/>
      <c r="P30" s="3"/>
      <c r="Q30" s="3"/>
    </row>
    <row r="31" spans="1:17" x14ac:dyDescent="0.2">
      <c r="A31" s="3"/>
      <c r="B31" s="3"/>
      <c r="C31" s="3"/>
      <c r="D31" s="3"/>
      <c r="E31" s="3"/>
      <c r="F31" s="3"/>
      <c r="G31" s="3"/>
      <c r="H31" s="3"/>
      <c r="I31" s="17">
        <f t="shared" si="0"/>
        <v>0</v>
      </c>
      <c r="J31" s="3"/>
      <c r="K31" s="3"/>
      <c r="L31" s="3"/>
      <c r="M31" s="3"/>
      <c r="N31" s="17">
        <f t="shared" si="1"/>
        <v>0</v>
      </c>
      <c r="O31" s="3"/>
      <c r="P31" s="3"/>
      <c r="Q31" s="3"/>
    </row>
    <row r="32" spans="1:17" x14ac:dyDescent="0.2">
      <c r="A32" s="3"/>
      <c r="B32" s="3"/>
      <c r="C32" s="3"/>
      <c r="D32" s="3"/>
      <c r="E32" s="3"/>
      <c r="F32" s="3"/>
      <c r="G32" s="3"/>
      <c r="H32" s="3"/>
      <c r="I32" s="17">
        <f t="shared" si="0"/>
        <v>0</v>
      </c>
      <c r="J32" s="3"/>
      <c r="K32" s="3"/>
      <c r="L32" s="3"/>
      <c r="M32" s="3"/>
      <c r="N32" s="17">
        <f t="shared" si="1"/>
        <v>0</v>
      </c>
      <c r="O32" s="3"/>
      <c r="P32" s="3"/>
      <c r="Q32" s="3"/>
    </row>
    <row r="33" spans="1:17" x14ac:dyDescent="0.2">
      <c r="A33" s="3"/>
      <c r="B33" s="3"/>
      <c r="C33" s="3"/>
      <c r="D33" s="3"/>
      <c r="E33" s="3"/>
      <c r="F33" s="3"/>
      <c r="G33" s="3"/>
      <c r="H33" s="3"/>
      <c r="I33" s="17">
        <f t="shared" si="0"/>
        <v>0</v>
      </c>
      <c r="J33" s="3"/>
      <c r="K33" s="3"/>
      <c r="L33" s="3"/>
      <c r="M33" s="3"/>
      <c r="N33" s="17">
        <f t="shared" si="1"/>
        <v>0</v>
      </c>
      <c r="O33" s="3"/>
      <c r="P33" s="3"/>
      <c r="Q33" s="3"/>
    </row>
    <row r="34" spans="1:17" x14ac:dyDescent="0.2">
      <c r="A34" s="3"/>
      <c r="B34" s="3"/>
      <c r="C34" s="3"/>
      <c r="D34" s="3"/>
      <c r="E34" s="3"/>
      <c r="F34" s="3"/>
      <c r="G34" s="3"/>
      <c r="H34" s="3"/>
      <c r="I34" s="17">
        <f t="shared" si="0"/>
        <v>0</v>
      </c>
      <c r="J34" s="3"/>
      <c r="K34" s="3"/>
      <c r="L34" s="3"/>
      <c r="M34" s="3"/>
      <c r="N34" s="17">
        <f t="shared" si="1"/>
        <v>0</v>
      </c>
      <c r="O34" s="3"/>
      <c r="P34" s="3"/>
      <c r="Q34" s="3"/>
    </row>
    <row r="35" spans="1:17" x14ac:dyDescent="0.2">
      <c r="A35" s="3"/>
      <c r="B35" s="3"/>
      <c r="C35" s="3"/>
      <c r="D35" s="3"/>
      <c r="E35" s="3"/>
      <c r="F35" s="3"/>
      <c r="G35" s="3"/>
      <c r="H35" s="3"/>
      <c r="I35" s="17">
        <f t="shared" si="0"/>
        <v>0</v>
      </c>
      <c r="J35" s="3"/>
      <c r="K35" s="3"/>
      <c r="L35" s="3"/>
      <c r="M35" s="3"/>
      <c r="N35" s="17">
        <f t="shared" si="1"/>
        <v>0</v>
      </c>
      <c r="O35" s="3"/>
      <c r="P35" s="3"/>
      <c r="Q35" s="3"/>
    </row>
    <row r="36" spans="1:17" x14ac:dyDescent="0.2">
      <c r="A36" s="3"/>
      <c r="B36" s="3"/>
      <c r="C36" s="3"/>
      <c r="D36" s="3"/>
      <c r="E36" s="3"/>
      <c r="F36" s="3"/>
      <c r="G36" s="3"/>
      <c r="H36" s="3"/>
      <c r="I36" s="17">
        <f t="shared" si="0"/>
        <v>0</v>
      </c>
      <c r="J36" s="3"/>
      <c r="K36" s="3"/>
      <c r="L36" s="3"/>
      <c r="M36" s="3"/>
      <c r="N36" s="17">
        <f t="shared" si="1"/>
        <v>0</v>
      </c>
      <c r="O36" s="3"/>
      <c r="P36" s="3"/>
      <c r="Q36" s="3"/>
    </row>
    <row r="37" spans="1:17" x14ac:dyDescent="0.2">
      <c r="A37" s="3"/>
      <c r="B37" s="3"/>
      <c r="C37" s="3"/>
      <c r="D37" s="3"/>
      <c r="E37" s="3"/>
      <c r="F37" s="3"/>
      <c r="G37" s="3"/>
      <c r="H37" s="3"/>
      <c r="I37" s="17">
        <f t="shared" si="0"/>
        <v>0</v>
      </c>
      <c r="J37" s="3"/>
      <c r="K37" s="3"/>
      <c r="L37" s="3"/>
      <c r="M37" s="3"/>
      <c r="N37" s="17">
        <f t="shared" si="1"/>
        <v>0</v>
      </c>
      <c r="O37" s="3"/>
      <c r="P37" s="3"/>
      <c r="Q37" s="3"/>
    </row>
    <row r="38" spans="1:17" x14ac:dyDescent="0.2">
      <c r="A38" s="3"/>
      <c r="B38" s="3"/>
      <c r="C38" s="3"/>
      <c r="D38" s="3"/>
      <c r="E38" s="3"/>
      <c r="F38" s="3"/>
      <c r="G38" s="3"/>
      <c r="H38" s="3"/>
      <c r="I38" s="17">
        <f t="shared" si="0"/>
        <v>0</v>
      </c>
      <c r="J38" s="3"/>
      <c r="K38" s="3"/>
      <c r="L38" s="3"/>
      <c r="M38" s="3"/>
      <c r="N38" s="17">
        <f t="shared" si="1"/>
        <v>0</v>
      </c>
      <c r="O38" s="3"/>
      <c r="P38" s="3"/>
      <c r="Q38" s="3"/>
    </row>
    <row r="39" spans="1:17" x14ac:dyDescent="0.2">
      <c r="A39" s="3"/>
      <c r="B39" s="3"/>
      <c r="C39" s="3"/>
      <c r="D39" s="3"/>
      <c r="E39" s="3"/>
      <c r="F39" s="3"/>
      <c r="G39" s="3"/>
      <c r="H39" s="3"/>
      <c r="I39" s="17">
        <f t="shared" si="0"/>
        <v>0</v>
      </c>
      <c r="J39" s="3"/>
      <c r="K39" s="3"/>
      <c r="L39" s="3"/>
      <c r="M39" s="3"/>
      <c r="N39" s="17">
        <f t="shared" si="1"/>
        <v>0</v>
      </c>
      <c r="O39" s="3"/>
      <c r="P39" s="3"/>
      <c r="Q39" s="3"/>
    </row>
    <row r="40" spans="1:17" x14ac:dyDescent="0.2">
      <c r="A40" s="3"/>
      <c r="B40" s="3"/>
      <c r="C40" s="3"/>
      <c r="D40" s="3"/>
      <c r="E40" s="3"/>
      <c r="F40" s="3"/>
      <c r="G40" s="3"/>
      <c r="H40" s="3"/>
      <c r="I40" s="17">
        <f t="shared" si="0"/>
        <v>0</v>
      </c>
      <c r="J40" s="3"/>
      <c r="K40" s="3"/>
      <c r="L40" s="3"/>
      <c r="M40" s="3"/>
      <c r="N40" s="17">
        <f t="shared" si="1"/>
        <v>0</v>
      </c>
      <c r="O40" s="3"/>
      <c r="P40" s="3"/>
      <c r="Q40" s="3"/>
    </row>
    <row r="41" spans="1:17" x14ac:dyDescent="0.2">
      <c r="A41" s="3"/>
      <c r="B41" s="3"/>
      <c r="C41" s="3"/>
      <c r="D41" s="3"/>
      <c r="E41" s="3"/>
      <c r="F41" s="3"/>
      <c r="G41" s="3"/>
      <c r="H41" s="3"/>
      <c r="I41" s="17">
        <f t="shared" si="0"/>
        <v>0</v>
      </c>
      <c r="J41" s="3"/>
      <c r="K41" s="3"/>
      <c r="L41" s="3"/>
      <c r="M41" s="3"/>
      <c r="N41" s="17">
        <f t="shared" si="1"/>
        <v>0</v>
      </c>
      <c r="O41" s="3"/>
      <c r="P41" s="3"/>
      <c r="Q41" s="3"/>
    </row>
    <row r="42" spans="1:17" x14ac:dyDescent="0.2">
      <c r="A42" s="3"/>
      <c r="B42" s="3"/>
      <c r="C42" s="3"/>
      <c r="D42" s="3"/>
      <c r="E42" s="3"/>
      <c r="F42" s="3"/>
      <c r="G42" s="3"/>
      <c r="H42" s="3"/>
      <c r="I42" s="17">
        <f t="shared" si="0"/>
        <v>0</v>
      </c>
      <c r="J42" s="3"/>
      <c r="K42" s="3"/>
      <c r="L42" s="3"/>
      <c r="M42" s="3"/>
      <c r="N42" s="17">
        <f t="shared" si="1"/>
        <v>0</v>
      </c>
      <c r="O42" s="3"/>
      <c r="P42" s="3"/>
      <c r="Q42" s="3"/>
    </row>
    <row r="43" spans="1:17" x14ac:dyDescent="0.2">
      <c r="A43" s="3"/>
      <c r="B43" s="3"/>
      <c r="C43" s="3"/>
      <c r="D43" s="3"/>
      <c r="E43" s="3"/>
      <c r="F43" s="3"/>
      <c r="G43" s="3"/>
      <c r="H43" s="3"/>
      <c r="I43" s="17">
        <f t="shared" si="0"/>
        <v>0</v>
      </c>
      <c r="J43" s="3"/>
      <c r="K43" s="3"/>
      <c r="L43" s="3"/>
      <c r="M43" s="3"/>
      <c r="N43" s="17">
        <f t="shared" si="1"/>
        <v>0</v>
      </c>
      <c r="O43" s="3"/>
      <c r="P43" s="3"/>
      <c r="Q43" s="3"/>
    </row>
    <row r="44" spans="1:17" x14ac:dyDescent="0.2">
      <c r="A44" s="3"/>
      <c r="B44" s="3"/>
      <c r="C44" s="3"/>
      <c r="D44" s="3"/>
      <c r="E44" s="3"/>
      <c r="F44" s="3"/>
      <c r="G44" s="3"/>
      <c r="H44" s="3"/>
      <c r="I44" s="17">
        <f t="shared" si="0"/>
        <v>0</v>
      </c>
      <c r="J44" s="3"/>
      <c r="K44" s="3"/>
      <c r="L44" s="3"/>
      <c r="M44" s="3"/>
      <c r="N44" s="17">
        <f t="shared" si="1"/>
        <v>0</v>
      </c>
      <c r="O44" s="3"/>
      <c r="P44" s="3"/>
      <c r="Q44" s="3"/>
    </row>
    <row r="45" spans="1:17" x14ac:dyDescent="0.2">
      <c r="A45" s="3"/>
      <c r="B45" s="3"/>
      <c r="C45" s="3"/>
      <c r="D45" s="3"/>
      <c r="E45" s="3"/>
      <c r="F45" s="3"/>
      <c r="G45" s="3"/>
      <c r="H45" s="3"/>
      <c r="I45" s="17">
        <f t="shared" ref="I45:I76" si="2">G45*H45</f>
        <v>0</v>
      </c>
      <c r="J45" s="3"/>
      <c r="K45" s="3"/>
      <c r="L45" s="3"/>
      <c r="M45" s="3"/>
      <c r="N45" s="17">
        <f t="shared" ref="N45:N76" si="3">L45*M45</f>
        <v>0</v>
      </c>
      <c r="O45" s="3"/>
      <c r="P45" s="3"/>
      <c r="Q45" s="3"/>
    </row>
    <row r="46" spans="1:17" x14ac:dyDescent="0.2">
      <c r="A46" s="3"/>
      <c r="B46" s="3"/>
      <c r="C46" s="3"/>
      <c r="D46" s="3"/>
      <c r="E46" s="3"/>
      <c r="F46" s="3"/>
      <c r="G46" s="3"/>
      <c r="H46" s="3"/>
      <c r="I46" s="17">
        <f t="shared" si="2"/>
        <v>0</v>
      </c>
      <c r="J46" s="3"/>
      <c r="K46" s="3"/>
      <c r="L46" s="3"/>
      <c r="M46" s="3"/>
      <c r="N46" s="17">
        <f t="shared" si="3"/>
        <v>0</v>
      </c>
      <c r="O46" s="3"/>
      <c r="P46" s="3"/>
      <c r="Q46" s="3"/>
    </row>
    <row r="47" spans="1:17" x14ac:dyDescent="0.2">
      <c r="A47" s="3"/>
      <c r="B47" s="3"/>
      <c r="C47" s="3"/>
      <c r="D47" s="3"/>
      <c r="E47" s="3"/>
      <c r="F47" s="3"/>
      <c r="G47" s="3"/>
      <c r="H47" s="3"/>
      <c r="I47" s="17">
        <f t="shared" si="2"/>
        <v>0</v>
      </c>
      <c r="J47" s="3"/>
      <c r="K47" s="3"/>
      <c r="L47" s="3"/>
      <c r="M47" s="3"/>
      <c r="N47" s="17">
        <f t="shared" si="3"/>
        <v>0</v>
      </c>
      <c r="O47" s="3"/>
      <c r="P47" s="3"/>
      <c r="Q47" s="3"/>
    </row>
    <row r="48" spans="1:17" x14ac:dyDescent="0.2">
      <c r="A48" s="3"/>
      <c r="B48" s="3"/>
      <c r="C48" s="3"/>
      <c r="D48" s="3"/>
      <c r="E48" s="3"/>
      <c r="F48" s="3"/>
      <c r="G48" s="3"/>
      <c r="H48" s="3"/>
      <c r="I48" s="17">
        <f t="shared" si="2"/>
        <v>0</v>
      </c>
      <c r="J48" s="3"/>
      <c r="K48" s="3"/>
      <c r="L48" s="3"/>
      <c r="M48" s="3"/>
      <c r="N48" s="17">
        <f t="shared" si="3"/>
        <v>0</v>
      </c>
      <c r="O48" s="3"/>
      <c r="P48" s="3"/>
      <c r="Q48" s="3"/>
    </row>
    <row r="49" spans="1:17" x14ac:dyDescent="0.2">
      <c r="A49" s="3"/>
      <c r="B49" s="3"/>
      <c r="C49" s="3"/>
      <c r="D49" s="3"/>
      <c r="E49" s="3"/>
      <c r="F49" s="3"/>
      <c r="G49" s="3"/>
      <c r="H49" s="3"/>
      <c r="I49" s="17">
        <f t="shared" si="2"/>
        <v>0</v>
      </c>
      <c r="J49" s="3"/>
      <c r="K49" s="3"/>
      <c r="L49" s="3"/>
      <c r="M49" s="3"/>
      <c r="N49" s="17">
        <f t="shared" si="3"/>
        <v>0</v>
      </c>
      <c r="O49" s="3"/>
      <c r="P49" s="3"/>
      <c r="Q49" s="3"/>
    </row>
    <row r="50" spans="1:17" x14ac:dyDescent="0.2">
      <c r="A50" s="3"/>
      <c r="B50" s="3"/>
      <c r="C50" s="3"/>
      <c r="D50" s="3"/>
      <c r="E50" s="3"/>
      <c r="F50" s="3"/>
      <c r="G50" s="3"/>
      <c r="H50" s="3"/>
      <c r="I50" s="17">
        <f t="shared" si="2"/>
        <v>0</v>
      </c>
      <c r="J50" s="3"/>
      <c r="K50" s="3"/>
      <c r="L50" s="3"/>
      <c r="M50" s="3"/>
      <c r="N50" s="17">
        <f t="shared" si="3"/>
        <v>0</v>
      </c>
      <c r="O50" s="3"/>
      <c r="P50" s="3"/>
      <c r="Q50" s="3"/>
    </row>
    <row r="51" spans="1:17" x14ac:dyDescent="0.2">
      <c r="A51" s="3"/>
      <c r="B51" s="3"/>
      <c r="C51" s="3"/>
      <c r="D51" s="3"/>
      <c r="E51" s="3"/>
      <c r="F51" s="3"/>
      <c r="G51" s="3"/>
      <c r="H51" s="3"/>
      <c r="I51" s="17">
        <f t="shared" si="2"/>
        <v>0</v>
      </c>
      <c r="J51" s="3"/>
      <c r="K51" s="3"/>
      <c r="L51" s="3"/>
      <c r="M51" s="3"/>
      <c r="N51" s="17">
        <f t="shared" si="3"/>
        <v>0</v>
      </c>
      <c r="O51" s="3"/>
      <c r="P51" s="3"/>
      <c r="Q51" s="3"/>
    </row>
    <row r="52" spans="1:17" x14ac:dyDescent="0.2">
      <c r="A52" s="3"/>
      <c r="B52" s="3"/>
      <c r="C52" s="3"/>
      <c r="D52" s="3"/>
      <c r="E52" s="3"/>
      <c r="F52" s="3"/>
      <c r="G52" s="3"/>
      <c r="H52" s="3"/>
      <c r="I52" s="17">
        <f t="shared" si="2"/>
        <v>0</v>
      </c>
      <c r="J52" s="3"/>
      <c r="K52" s="3"/>
      <c r="L52" s="3"/>
      <c r="M52" s="3"/>
      <c r="N52" s="17">
        <f t="shared" si="3"/>
        <v>0</v>
      </c>
      <c r="O52" s="3"/>
      <c r="P52" s="3"/>
      <c r="Q52" s="3"/>
    </row>
    <row r="53" spans="1:17" x14ac:dyDescent="0.2">
      <c r="A53" s="3"/>
      <c r="B53" s="3"/>
      <c r="C53" s="3"/>
      <c r="D53" s="3"/>
      <c r="E53" s="3"/>
      <c r="F53" s="3"/>
      <c r="G53" s="3"/>
      <c r="H53" s="3"/>
      <c r="I53" s="17">
        <f t="shared" si="2"/>
        <v>0</v>
      </c>
      <c r="J53" s="3"/>
      <c r="K53" s="3"/>
      <c r="L53" s="3"/>
      <c r="M53" s="3"/>
      <c r="N53" s="17">
        <f t="shared" si="3"/>
        <v>0</v>
      </c>
      <c r="O53" s="3"/>
      <c r="P53" s="3"/>
      <c r="Q53" s="3"/>
    </row>
    <row r="54" spans="1:17" x14ac:dyDescent="0.2">
      <c r="A54" s="3"/>
      <c r="B54" s="3"/>
      <c r="C54" s="3"/>
      <c r="D54" s="3"/>
      <c r="E54" s="3"/>
      <c r="F54" s="3"/>
      <c r="G54" s="3"/>
      <c r="H54" s="3"/>
      <c r="I54" s="17">
        <f t="shared" si="2"/>
        <v>0</v>
      </c>
      <c r="J54" s="3"/>
      <c r="K54" s="3"/>
      <c r="L54" s="3"/>
      <c r="M54" s="3"/>
      <c r="N54" s="17">
        <f t="shared" si="3"/>
        <v>0</v>
      </c>
      <c r="O54" s="3"/>
      <c r="P54" s="3"/>
      <c r="Q54" s="3"/>
    </row>
    <row r="55" spans="1:17" x14ac:dyDescent="0.2">
      <c r="A55" s="3"/>
      <c r="B55" s="3"/>
      <c r="C55" s="3"/>
      <c r="D55" s="3"/>
      <c r="E55" s="3"/>
      <c r="F55" s="3"/>
      <c r="G55" s="3"/>
      <c r="H55" s="3"/>
      <c r="I55" s="17">
        <f t="shared" si="2"/>
        <v>0</v>
      </c>
      <c r="J55" s="3"/>
      <c r="K55" s="3"/>
      <c r="L55" s="3"/>
      <c r="M55" s="3"/>
      <c r="N55" s="17">
        <f t="shared" si="3"/>
        <v>0</v>
      </c>
      <c r="O55" s="3"/>
      <c r="P55" s="3"/>
      <c r="Q55" s="3"/>
    </row>
    <row r="56" spans="1:17" x14ac:dyDescent="0.2">
      <c r="A56" s="3"/>
      <c r="B56" s="3"/>
      <c r="C56" s="3"/>
      <c r="D56" s="3"/>
      <c r="E56" s="3"/>
      <c r="F56" s="3"/>
      <c r="G56" s="3"/>
      <c r="H56" s="3"/>
      <c r="I56" s="17">
        <f t="shared" si="2"/>
        <v>0</v>
      </c>
      <c r="J56" s="3"/>
      <c r="K56" s="3"/>
      <c r="L56" s="3"/>
      <c r="M56" s="3"/>
      <c r="N56" s="17">
        <f t="shared" si="3"/>
        <v>0</v>
      </c>
      <c r="O56" s="3"/>
      <c r="P56" s="3"/>
      <c r="Q56" s="3"/>
    </row>
    <row r="57" spans="1:17" x14ac:dyDescent="0.2">
      <c r="A57" s="3"/>
      <c r="B57" s="3"/>
      <c r="C57" s="3"/>
      <c r="D57" s="3"/>
      <c r="E57" s="3"/>
      <c r="F57" s="3"/>
      <c r="G57" s="3"/>
      <c r="H57" s="3"/>
      <c r="I57" s="17">
        <f t="shared" si="2"/>
        <v>0</v>
      </c>
      <c r="J57" s="3"/>
      <c r="K57" s="3"/>
      <c r="L57" s="3"/>
      <c r="M57" s="3"/>
      <c r="N57" s="17">
        <f t="shared" si="3"/>
        <v>0</v>
      </c>
      <c r="O57" s="3"/>
      <c r="P57" s="3"/>
      <c r="Q57" s="3"/>
    </row>
    <row r="58" spans="1:17" x14ac:dyDescent="0.2">
      <c r="A58" s="3"/>
      <c r="B58" s="3"/>
      <c r="C58" s="3"/>
      <c r="D58" s="3"/>
      <c r="E58" s="3"/>
      <c r="F58" s="3"/>
      <c r="G58" s="3"/>
      <c r="H58" s="3"/>
      <c r="I58" s="17">
        <f t="shared" si="2"/>
        <v>0</v>
      </c>
      <c r="J58" s="3"/>
      <c r="K58" s="3"/>
      <c r="L58" s="3"/>
      <c r="M58" s="3"/>
      <c r="N58" s="17">
        <f t="shared" si="3"/>
        <v>0</v>
      </c>
      <c r="O58" s="3"/>
      <c r="P58" s="3"/>
      <c r="Q58" s="3"/>
    </row>
    <row r="59" spans="1:17" x14ac:dyDescent="0.2">
      <c r="A59" s="3"/>
      <c r="B59" s="3"/>
      <c r="C59" s="3"/>
      <c r="D59" s="3"/>
      <c r="E59" s="3"/>
      <c r="F59" s="3"/>
      <c r="G59" s="3"/>
      <c r="H59" s="3"/>
      <c r="I59" s="17">
        <f t="shared" si="2"/>
        <v>0</v>
      </c>
      <c r="J59" s="3"/>
      <c r="K59" s="3"/>
      <c r="L59" s="3"/>
      <c r="M59" s="3"/>
      <c r="N59" s="17">
        <f t="shared" si="3"/>
        <v>0</v>
      </c>
      <c r="O59" s="3"/>
      <c r="P59" s="3"/>
      <c r="Q59" s="3"/>
    </row>
    <row r="60" spans="1:17" x14ac:dyDescent="0.2">
      <c r="A60" s="3"/>
      <c r="B60" s="3"/>
      <c r="C60" s="3"/>
      <c r="D60" s="3"/>
      <c r="E60" s="3"/>
      <c r="F60" s="3"/>
      <c r="G60" s="3"/>
      <c r="H60" s="3"/>
      <c r="I60" s="17">
        <f t="shared" si="2"/>
        <v>0</v>
      </c>
      <c r="J60" s="3"/>
      <c r="K60" s="3"/>
      <c r="L60" s="3"/>
      <c r="M60" s="3"/>
      <c r="N60" s="17">
        <f t="shared" si="3"/>
        <v>0</v>
      </c>
      <c r="O60" s="3"/>
      <c r="P60" s="3"/>
      <c r="Q60" s="3"/>
    </row>
    <row r="61" spans="1:17" x14ac:dyDescent="0.2">
      <c r="A61" s="3"/>
      <c r="B61" s="3"/>
      <c r="C61" s="3"/>
      <c r="D61" s="3"/>
      <c r="E61" s="3"/>
      <c r="F61" s="3"/>
      <c r="G61" s="3"/>
      <c r="H61" s="3"/>
      <c r="I61" s="17">
        <f t="shared" si="2"/>
        <v>0</v>
      </c>
      <c r="J61" s="3"/>
      <c r="K61" s="3"/>
      <c r="L61" s="3"/>
      <c r="M61" s="3"/>
      <c r="N61" s="17">
        <f t="shared" si="3"/>
        <v>0</v>
      </c>
      <c r="O61" s="3"/>
      <c r="P61" s="3"/>
      <c r="Q61" s="3"/>
    </row>
    <row r="62" spans="1:17" x14ac:dyDescent="0.2">
      <c r="A62" s="3"/>
      <c r="B62" s="3"/>
      <c r="C62" s="3"/>
      <c r="D62" s="3"/>
      <c r="E62" s="3"/>
      <c r="F62" s="3"/>
      <c r="G62" s="3"/>
      <c r="H62" s="3"/>
      <c r="I62" s="17">
        <f t="shared" si="2"/>
        <v>0</v>
      </c>
      <c r="J62" s="3"/>
      <c r="K62" s="3"/>
      <c r="L62" s="3"/>
      <c r="M62" s="3"/>
      <c r="N62" s="17">
        <f t="shared" si="3"/>
        <v>0</v>
      </c>
      <c r="O62" s="3"/>
      <c r="P62" s="3"/>
      <c r="Q62" s="3"/>
    </row>
    <row r="63" spans="1:17" x14ac:dyDescent="0.2">
      <c r="A63" s="3"/>
      <c r="B63" s="3"/>
      <c r="C63" s="3"/>
      <c r="D63" s="3"/>
      <c r="E63" s="3"/>
      <c r="F63" s="3"/>
      <c r="G63" s="3"/>
      <c r="H63" s="3"/>
      <c r="I63" s="17">
        <f t="shared" si="2"/>
        <v>0</v>
      </c>
      <c r="J63" s="3"/>
      <c r="K63" s="3"/>
      <c r="L63" s="3"/>
      <c r="M63" s="3"/>
      <c r="N63" s="17">
        <f t="shared" si="3"/>
        <v>0</v>
      </c>
      <c r="O63" s="3"/>
      <c r="P63" s="3"/>
      <c r="Q63" s="3"/>
    </row>
    <row r="64" spans="1:17" x14ac:dyDescent="0.2">
      <c r="A64" s="3"/>
      <c r="B64" s="3"/>
      <c r="C64" s="3"/>
      <c r="D64" s="3"/>
      <c r="E64" s="3"/>
      <c r="F64" s="3"/>
      <c r="G64" s="3"/>
      <c r="H64" s="3"/>
      <c r="I64" s="17">
        <f t="shared" si="2"/>
        <v>0</v>
      </c>
      <c r="J64" s="3"/>
      <c r="K64" s="3"/>
      <c r="L64" s="3"/>
      <c r="M64" s="3"/>
      <c r="N64" s="17">
        <f t="shared" si="3"/>
        <v>0</v>
      </c>
      <c r="O64" s="3"/>
      <c r="P64" s="3"/>
      <c r="Q64" s="3"/>
    </row>
    <row r="65" spans="1:17" x14ac:dyDescent="0.2">
      <c r="A65" s="3"/>
      <c r="B65" s="3"/>
      <c r="C65" s="3"/>
      <c r="D65" s="3"/>
      <c r="E65" s="3"/>
      <c r="F65" s="3"/>
      <c r="G65" s="3"/>
      <c r="H65" s="3"/>
      <c r="I65" s="17">
        <f t="shared" si="2"/>
        <v>0</v>
      </c>
      <c r="J65" s="3"/>
      <c r="K65" s="3"/>
      <c r="L65" s="3"/>
      <c r="M65" s="3"/>
      <c r="N65" s="17">
        <f t="shared" si="3"/>
        <v>0</v>
      </c>
      <c r="O65" s="3"/>
      <c r="P65" s="3"/>
      <c r="Q65" s="3"/>
    </row>
    <row r="66" spans="1:17" x14ac:dyDescent="0.2">
      <c r="A66" s="3"/>
      <c r="B66" s="3"/>
      <c r="C66" s="3"/>
      <c r="D66" s="3"/>
      <c r="E66" s="3"/>
      <c r="F66" s="3"/>
      <c r="G66" s="3"/>
      <c r="H66" s="3"/>
      <c r="I66" s="17">
        <f t="shared" si="2"/>
        <v>0</v>
      </c>
      <c r="J66" s="3"/>
      <c r="K66" s="3"/>
      <c r="L66" s="3"/>
      <c r="M66" s="3"/>
      <c r="N66" s="17">
        <f t="shared" si="3"/>
        <v>0</v>
      </c>
      <c r="O66" s="3"/>
      <c r="P66" s="3"/>
      <c r="Q66" s="3"/>
    </row>
    <row r="67" spans="1:17" x14ac:dyDescent="0.2">
      <c r="A67" s="3"/>
      <c r="B67" s="3"/>
      <c r="C67" s="3"/>
      <c r="D67" s="3"/>
      <c r="E67" s="3"/>
      <c r="F67" s="3"/>
      <c r="G67" s="3"/>
      <c r="H67" s="3"/>
      <c r="I67" s="17">
        <f t="shared" si="2"/>
        <v>0</v>
      </c>
      <c r="J67" s="3"/>
      <c r="K67" s="3"/>
      <c r="L67" s="3"/>
      <c r="M67" s="3"/>
      <c r="N67" s="17">
        <f t="shared" si="3"/>
        <v>0</v>
      </c>
      <c r="O67" s="3"/>
      <c r="P67" s="3"/>
      <c r="Q67" s="3"/>
    </row>
    <row r="68" spans="1:17" x14ac:dyDescent="0.2">
      <c r="A68" s="3"/>
      <c r="B68" s="3"/>
      <c r="C68" s="3"/>
      <c r="D68" s="3"/>
      <c r="E68" s="3"/>
      <c r="F68" s="3"/>
      <c r="G68" s="3"/>
      <c r="H68" s="3"/>
      <c r="I68" s="17">
        <f t="shared" si="2"/>
        <v>0</v>
      </c>
      <c r="J68" s="3"/>
      <c r="K68" s="3"/>
      <c r="L68" s="3"/>
      <c r="M68" s="3"/>
      <c r="N68" s="17">
        <f t="shared" si="3"/>
        <v>0</v>
      </c>
      <c r="O68" s="3"/>
      <c r="P68" s="3"/>
      <c r="Q68" s="3"/>
    </row>
    <row r="69" spans="1:17" x14ac:dyDescent="0.2">
      <c r="A69" s="3"/>
      <c r="B69" s="3"/>
      <c r="C69" s="3"/>
      <c r="D69" s="3"/>
      <c r="E69" s="3"/>
      <c r="F69" s="3"/>
      <c r="G69" s="3"/>
      <c r="H69" s="3"/>
      <c r="I69" s="17">
        <f t="shared" si="2"/>
        <v>0</v>
      </c>
      <c r="J69" s="3"/>
      <c r="K69" s="3"/>
      <c r="L69" s="3"/>
      <c r="M69" s="3"/>
      <c r="N69" s="17">
        <f t="shared" si="3"/>
        <v>0</v>
      </c>
      <c r="O69" s="3"/>
      <c r="P69" s="3"/>
      <c r="Q69" s="3"/>
    </row>
    <row r="70" spans="1:17" x14ac:dyDescent="0.2">
      <c r="A70" s="3"/>
      <c r="B70" s="3"/>
      <c r="C70" s="3"/>
      <c r="D70" s="3"/>
      <c r="E70" s="3"/>
      <c r="F70" s="3"/>
      <c r="G70" s="3"/>
      <c r="H70" s="3"/>
      <c r="I70" s="17">
        <f t="shared" si="2"/>
        <v>0</v>
      </c>
      <c r="J70" s="3"/>
      <c r="K70" s="3"/>
      <c r="L70" s="3"/>
      <c r="M70" s="3"/>
      <c r="N70" s="17">
        <f t="shared" si="3"/>
        <v>0</v>
      </c>
      <c r="O70" s="3"/>
      <c r="P70" s="3"/>
      <c r="Q70" s="3"/>
    </row>
    <row r="71" spans="1:17" x14ac:dyDescent="0.2">
      <c r="A71" s="3"/>
      <c r="B71" s="3"/>
      <c r="C71" s="3"/>
      <c r="D71" s="3"/>
      <c r="E71" s="3"/>
      <c r="F71" s="3"/>
      <c r="G71" s="3"/>
      <c r="H71" s="3"/>
      <c r="I71" s="17">
        <f t="shared" si="2"/>
        <v>0</v>
      </c>
      <c r="J71" s="3"/>
      <c r="K71" s="3"/>
      <c r="L71" s="3"/>
      <c r="M71" s="3"/>
      <c r="N71" s="17">
        <f t="shared" si="3"/>
        <v>0</v>
      </c>
      <c r="O71" s="3"/>
      <c r="P71" s="3"/>
      <c r="Q71" s="3"/>
    </row>
    <row r="72" spans="1:17" x14ac:dyDescent="0.2">
      <c r="A72" s="3"/>
      <c r="B72" s="3"/>
      <c r="C72" s="3"/>
      <c r="D72" s="3"/>
      <c r="E72" s="3"/>
      <c r="F72" s="3"/>
      <c r="G72" s="3"/>
      <c r="H72" s="3"/>
      <c r="I72" s="17">
        <f t="shared" si="2"/>
        <v>0</v>
      </c>
      <c r="J72" s="3"/>
      <c r="K72" s="3"/>
      <c r="L72" s="3"/>
      <c r="M72" s="3"/>
      <c r="N72" s="17">
        <f t="shared" si="3"/>
        <v>0</v>
      </c>
      <c r="O72" s="3"/>
      <c r="P72" s="3"/>
      <c r="Q72" s="3"/>
    </row>
    <row r="73" spans="1:17" x14ac:dyDescent="0.2">
      <c r="A73" s="3"/>
      <c r="B73" s="3"/>
      <c r="C73" s="3"/>
      <c r="D73" s="3"/>
      <c r="E73" s="3"/>
      <c r="F73" s="3"/>
      <c r="G73" s="3"/>
      <c r="H73" s="3"/>
      <c r="I73" s="17">
        <f t="shared" si="2"/>
        <v>0</v>
      </c>
      <c r="J73" s="3"/>
      <c r="K73" s="3"/>
      <c r="L73" s="3"/>
      <c r="M73" s="3"/>
      <c r="N73" s="17">
        <f t="shared" si="3"/>
        <v>0</v>
      </c>
      <c r="O73" s="3"/>
      <c r="P73" s="3"/>
      <c r="Q73" s="3"/>
    </row>
    <row r="74" spans="1:17" x14ac:dyDescent="0.2">
      <c r="A74" s="3"/>
      <c r="B74" s="3"/>
      <c r="C74" s="3"/>
      <c r="D74" s="3"/>
      <c r="E74" s="3"/>
      <c r="F74" s="3"/>
      <c r="G74" s="3"/>
      <c r="H74" s="3"/>
      <c r="I74" s="17">
        <f t="shared" si="2"/>
        <v>0</v>
      </c>
      <c r="J74" s="3"/>
      <c r="K74" s="3"/>
      <c r="L74" s="3"/>
      <c r="M74" s="3"/>
      <c r="N74" s="17">
        <f t="shared" si="3"/>
        <v>0</v>
      </c>
      <c r="O74" s="3"/>
      <c r="P74" s="3"/>
      <c r="Q74" s="3"/>
    </row>
    <row r="75" spans="1:17" x14ac:dyDescent="0.2">
      <c r="A75" s="3"/>
      <c r="B75" s="3"/>
      <c r="C75" s="3"/>
      <c r="D75" s="3"/>
      <c r="E75" s="3"/>
      <c r="F75" s="3"/>
      <c r="G75" s="3"/>
      <c r="H75" s="3"/>
      <c r="I75" s="17">
        <f t="shared" si="2"/>
        <v>0</v>
      </c>
      <c r="J75" s="3"/>
      <c r="K75" s="3"/>
      <c r="L75" s="3"/>
      <c r="M75" s="3"/>
      <c r="N75" s="17">
        <f t="shared" si="3"/>
        <v>0</v>
      </c>
      <c r="O75" s="3"/>
      <c r="P75" s="3"/>
      <c r="Q75" s="3"/>
    </row>
    <row r="76" spans="1:17" x14ac:dyDescent="0.2">
      <c r="A76" s="3"/>
      <c r="B76" s="3"/>
      <c r="C76" s="3"/>
      <c r="D76" s="3"/>
      <c r="E76" s="3"/>
      <c r="F76" s="3"/>
      <c r="G76" s="3"/>
      <c r="H76" s="3"/>
      <c r="I76" s="17">
        <f t="shared" si="2"/>
        <v>0</v>
      </c>
      <c r="J76" s="3"/>
      <c r="K76" s="3"/>
      <c r="L76" s="3"/>
      <c r="M76" s="3"/>
      <c r="N76" s="17">
        <f t="shared" si="3"/>
        <v>0</v>
      </c>
      <c r="O76" s="3"/>
      <c r="P76" s="3"/>
      <c r="Q76" s="3"/>
    </row>
    <row r="77" spans="1:17" x14ac:dyDescent="0.2">
      <c r="A77" s="3"/>
      <c r="B77" s="3"/>
      <c r="C77" s="3"/>
      <c r="D77" s="3"/>
      <c r="E77" s="3"/>
      <c r="F77" s="3"/>
      <c r="G77" s="3"/>
      <c r="H77" s="3"/>
      <c r="I77" s="17">
        <f t="shared" ref="I77:I108" si="4">G77*H77</f>
        <v>0</v>
      </c>
      <c r="J77" s="3"/>
      <c r="K77" s="3"/>
      <c r="L77" s="3"/>
      <c r="M77" s="3"/>
      <c r="N77" s="17">
        <f t="shared" ref="N77:N108" si="5">L77*M77</f>
        <v>0</v>
      </c>
      <c r="O77" s="3"/>
      <c r="P77" s="3"/>
      <c r="Q77" s="3"/>
    </row>
    <row r="78" spans="1:17" x14ac:dyDescent="0.2">
      <c r="A78" s="3"/>
      <c r="B78" s="3"/>
      <c r="C78" s="3"/>
      <c r="D78" s="3"/>
      <c r="E78" s="3"/>
      <c r="F78" s="3"/>
      <c r="G78" s="3"/>
      <c r="H78" s="3"/>
      <c r="I78" s="17">
        <f t="shared" si="4"/>
        <v>0</v>
      </c>
      <c r="J78" s="3"/>
      <c r="K78" s="3"/>
      <c r="L78" s="3"/>
      <c r="M78" s="3"/>
      <c r="N78" s="17">
        <f t="shared" si="5"/>
        <v>0</v>
      </c>
      <c r="O78" s="3"/>
      <c r="P78" s="3"/>
      <c r="Q78" s="3"/>
    </row>
    <row r="79" spans="1:17" x14ac:dyDescent="0.2">
      <c r="A79" s="3"/>
      <c r="B79" s="3"/>
      <c r="C79" s="3"/>
      <c r="D79" s="3"/>
      <c r="E79" s="3"/>
      <c r="F79" s="3"/>
      <c r="G79" s="3"/>
      <c r="H79" s="3"/>
      <c r="I79" s="17">
        <f t="shared" si="4"/>
        <v>0</v>
      </c>
      <c r="J79" s="3"/>
      <c r="K79" s="3"/>
      <c r="L79" s="3"/>
      <c r="M79" s="3"/>
      <c r="N79" s="17">
        <f t="shared" si="5"/>
        <v>0</v>
      </c>
      <c r="O79" s="3"/>
      <c r="P79" s="3"/>
      <c r="Q79" s="3"/>
    </row>
    <row r="80" spans="1:17" x14ac:dyDescent="0.2">
      <c r="A80" s="3"/>
      <c r="B80" s="3"/>
      <c r="C80" s="3"/>
      <c r="D80" s="3"/>
      <c r="E80" s="3"/>
      <c r="F80" s="3"/>
      <c r="G80" s="3"/>
      <c r="H80" s="3"/>
      <c r="I80" s="17">
        <f t="shared" si="4"/>
        <v>0</v>
      </c>
      <c r="J80" s="3"/>
      <c r="K80" s="3"/>
      <c r="L80" s="3"/>
      <c r="M80" s="3"/>
      <c r="N80" s="17">
        <f t="shared" si="5"/>
        <v>0</v>
      </c>
      <c r="O80" s="3"/>
      <c r="P80" s="3"/>
      <c r="Q80" s="3"/>
    </row>
    <row r="81" spans="1:17" x14ac:dyDescent="0.2">
      <c r="A81" s="3"/>
      <c r="B81" s="3"/>
      <c r="C81" s="3"/>
      <c r="D81" s="3"/>
      <c r="E81" s="3"/>
      <c r="F81" s="3"/>
      <c r="G81" s="3"/>
      <c r="H81" s="3"/>
      <c r="I81" s="17">
        <f t="shared" si="4"/>
        <v>0</v>
      </c>
      <c r="J81" s="3"/>
      <c r="K81" s="3"/>
      <c r="L81" s="3"/>
      <c r="M81" s="3"/>
      <c r="N81" s="17">
        <f t="shared" si="5"/>
        <v>0</v>
      </c>
      <c r="O81" s="3"/>
      <c r="P81" s="3"/>
      <c r="Q81" s="3"/>
    </row>
    <row r="82" spans="1:17" x14ac:dyDescent="0.2">
      <c r="A82" s="3"/>
      <c r="B82" s="3"/>
      <c r="C82" s="3"/>
      <c r="D82" s="3"/>
      <c r="E82" s="3"/>
      <c r="F82" s="3"/>
      <c r="G82" s="3"/>
      <c r="H82" s="3"/>
      <c r="I82" s="17">
        <f t="shared" si="4"/>
        <v>0</v>
      </c>
      <c r="J82" s="3"/>
      <c r="K82" s="3"/>
      <c r="L82" s="3"/>
      <c r="M82" s="3"/>
      <c r="N82" s="17">
        <f t="shared" si="5"/>
        <v>0</v>
      </c>
      <c r="O82" s="3"/>
      <c r="P82" s="3"/>
      <c r="Q82" s="3"/>
    </row>
    <row r="83" spans="1:17" x14ac:dyDescent="0.2">
      <c r="A83" s="3"/>
      <c r="B83" s="3"/>
      <c r="C83" s="3"/>
      <c r="D83" s="3"/>
      <c r="E83" s="3"/>
      <c r="F83" s="3"/>
      <c r="G83" s="3"/>
      <c r="H83" s="3"/>
      <c r="I83" s="17">
        <f t="shared" si="4"/>
        <v>0</v>
      </c>
      <c r="J83" s="3"/>
      <c r="K83" s="3"/>
      <c r="L83" s="3"/>
      <c r="M83" s="3"/>
      <c r="N83" s="17">
        <f t="shared" si="5"/>
        <v>0</v>
      </c>
      <c r="O83" s="3"/>
      <c r="P83" s="3"/>
      <c r="Q83" s="3"/>
    </row>
    <row r="84" spans="1:17" x14ac:dyDescent="0.2">
      <c r="A84" s="3"/>
      <c r="B84" s="3"/>
      <c r="C84" s="3"/>
      <c r="D84" s="3"/>
      <c r="E84" s="3"/>
      <c r="F84" s="3"/>
      <c r="G84" s="3"/>
      <c r="H84" s="3"/>
      <c r="I84" s="17">
        <f t="shared" si="4"/>
        <v>0</v>
      </c>
      <c r="J84" s="3"/>
      <c r="K84" s="3"/>
      <c r="L84" s="3"/>
      <c r="M84" s="3"/>
      <c r="N84" s="17">
        <f t="shared" si="5"/>
        <v>0</v>
      </c>
      <c r="O84" s="3"/>
      <c r="P84" s="3"/>
      <c r="Q84" s="3"/>
    </row>
    <row r="85" spans="1:17" x14ac:dyDescent="0.2">
      <c r="A85" s="3"/>
      <c r="B85" s="3"/>
      <c r="C85" s="3"/>
      <c r="D85" s="3"/>
      <c r="E85" s="3"/>
      <c r="F85" s="3"/>
      <c r="G85" s="3"/>
      <c r="H85" s="3"/>
      <c r="I85" s="17">
        <f t="shared" si="4"/>
        <v>0</v>
      </c>
      <c r="J85" s="3"/>
      <c r="K85" s="3"/>
      <c r="L85" s="3"/>
      <c r="M85" s="3"/>
      <c r="N85" s="17">
        <f t="shared" si="5"/>
        <v>0</v>
      </c>
      <c r="O85" s="3"/>
      <c r="P85" s="3"/>
      <c r="Q85" s="3"/>
    </row>
    <row r="86" spans="1:17" x14ac:dyDescent="0.2">
      <c r="A86" s="3"/>
      <c r="B86" s="3"/>
      <c r="C86" s="3"/>
      <c r="D86" s="3"/>
      <c r="E86" s="3"/>
      <c r="F86" s="3"/>
      <c r="G86" s="3"/>
      <c r="H86" s="3"/>
      <c r="I86" s="17">
        <f t="shared" si="4"/>
        <v>0</v>
      </c>
      <c r="J86" s="3"/>
      <c r="K86" s="3"/>
      <c r="L86" s="3"/>
      <c r="M86" s="3"/>
      <c r="N86" s="17">
        <f t="shared" si="5"/>
        <v>0</v>
      </c>
      <c r="O86" s="3"/>
      <c r="P86" s="3"/>
      <c r="Q86" s="3"/>
    </row>
    <row r="87" spans="1:17" x14ac:dyDescent="0.2">
      <c r="A87" s="3"/>
      <c r="B87" s="3"/>
      <c r="C87" s="3"/>
      <c r="D87" s="3"/>
      <c r="E87" s="3"/>
      <c r="F87" s="3"/>
      <c r="G87" s="3"/>
      <c r="H87" s="3"/>
      <c r="I87" s="17">
        <f t="shared" si="4"/>
        <v>0</v>
      </c>
      <c r="J87" s="3"/>
      <c r="K87" s="3"/>
      <c r="L87" s="3"/>
      <c r="M87" s="3"/>
      <c r="N87" s="17">
        <f t="shared" si="5"/>
        <v>0</v>
      </c>
      <c r="O87" s="3"/>
      <c r="P87" s="3"/>
      <c r="Q87" s="3"/>
    </row>
    <row r="88" spans="1:17" x14ac:dyDescent="0.2">
      <c r="A88" s="3"/>
      <c r="B88" s="3"/>
      <c r="C88" s="3"/>
      <c r="D88" s="3"/>
      <c r="E88" s="3"/>
      <c r="F88" s="3"/>
      <c r="G88" s="3"/>
      <c r="H88" s="3"/>
      <c r="I88" s="17">
        <f t="shared" si="4"/>
        <v>0</v>
      </c>
      <c r="J88" s="3"/>
      <c r="K88" s="3"/>
      <c r="L88" s="3"/>
      <c r="M88" s="3"/>
      <c r="N88" s="17">
        <f t="shared" si="5"/>
        <v>0</v>
      </c>
      <c r="O88" s="3"/>
      <c r="P88" s="3"/>
      <c r="Q88" s="3"/>
    </row>
    <row r="89" spans="1:17" x14ac:dyDescent="0.2">
      <c r="A89" s="3"/>
      <c r="B89" s="3"/>
      <c r="C89" s="3"/>
      <c r="D89" s="3"/>
      <c r="E89" s="3"/>
      <c r="F89" s="3"/>
      <c r="G89" s="3"/>
      <c r="H89" s="3"/>
      <c r="I89" s="17">
        <f t="shared" si="4"/>
        <v>0</v>
      </c>
      <c r="J89" s="3"/>
      <c r="K89" s="3"/>
      <c r="L89" s="3"/>
      <c r="M89" s="3"/>
      <c r="N89" s="17">
        <f t="shared" si="5"/>
        <v>0</v>
      </c>
      <c r="O89" s="3"/>
      <c r="P89" s="3"/>
      <c r="Q89" s="3"/>
    </row>
    <row r="90" spans="1:17" x14ac:dyDescent="0.2">
      <c r="A90" s="3"/>
      <c r="B90" s="3"/>
      <c r="C90" s="3"/>
      <c r="D90" s="3"/>
      <c r="E90" s="3"/>
      <c r="F90" s="3"/>
      <c r="G90" s="3"/>
      <c r="H90" s="3"/>
      <c r="I90" s="17">
        <f t="shared" si="4"/>
        <v>0</v>
      </c>
      <c r="J90" s="3"/>
      <c r="K90" s="3"/>
      <c r="L90" s="3"/>
      <c r="M90" s="3"/>
      <c r="N90" s="17">
        <f t="shared" si="5"/>
        <v>0</v>
      </c>
      <c r="O90" s="3"/>
      <c r="P90" s="3"/>
      <c r="Q90" s="3"/>
    </row>
    <row r="91" spans="1:17" x14ac:dyDescent="0.2">
      <c r="A91" s="3"/>
      <c r="B91" s="3"/>
      <c r="C91" s="3"/>
      <c r="D91" s="3"/>
      <c r="E91" s="3"/>
      <c r="F91" s="3"/>
      <c r="G91" s="3"/>
      <c r="H91" s="3"/>
      <c r="I91" s="17">
        <f t="shared" si="4"/>
        <v>0</v>
      </c>
      <c r="J91" s="3"/>
      <c r="K91" s="3"/>
      <c r="L91" s="3"/>
      <c r="M91" s="3"/>
      <c r="N91" s="17">
        <f t="shared" si="5"/>
        <v>0</v>
      </c>
      <c r="O91" s="3"/>
      <c r="P91" s="3"/>
      <c r="Q91" s="3"/>
    </row>
    <row r="92" spans="1:17" x14ac:dyDescent="0.2">
      <c r="A92" s="3"/>
      <c r="B92" s="3"/>
      <c r="C92" s="3"/>
      <c r="D92" s="3"/>
      <c r="E92" s="3"/>
      <c r="F92" s="3"/>
      <c r="G92" s="3"/>
      <c r="H92" s="3"/>
      <c r="I92" s="17">
        <f t="shared" si="4"/>
        <v>0</v>
      </c>
      <c r="J92" s="3"/>
      <c r="K92" s="3"/>
      <c r="L92" s="3"/>
      <c r="M92" s="3"/>
      <c r="N92" s="17">
        <f t="shared" si="5"/>
        <v>0</v>
      </c>
      <c r="O92" s="3"/>
      <c r="P92" s="3"/>
      <c r="Q92" s="3"/>
    </row>
    <row r="93" spans="1:17" x14ac:dyDescent="0.2">
      <c r="A93" s="3"/>
      <c r="B93" s="3"/>
      <c r="C93" s="3"/>
      <c r="D93" s="3"/>
      <c r="E93" s="3"/>
      <c r="F93" s="3"/>
      <c r="G93" s="3"/>
      <c r="H93" s="3"/>
      <c r="I93" s="17">
        <f t="shared" si="4"/>
        <v>0</v>
      </c>
      <c r="J93" s="3"/>
      <c r="K93" s="3"/>
      <c r="L93" s="3"/>
      <c r="M93" s="3"/>
      <c r="N93" s="17">
        <f t="shared" si="5"/>
        <v>0</v>
      </c>
      <c r="O93" s="3"/>
      <c r="P93" s="3"/>
      <c r="Q93" s="3"/>
    </row>
    <row r="94" spans="1:17" x14ac:dyDescent="0.2">
      <c r="A94" s="3"/>
      <c r="B94" s="3"/>
      <c r="C94" s="3"/>
      <c r="D94" s="3"/>
      <c r="E94" s="3"/>
      <c r="F94" s="3"/>
      <c r="G94" s="3"/>
      <c r="H94" s="3"/>
      <c r="I94" s="17">
        <f t="shared" si="4"/>
        <v>0</v>
      </c>
      <c r="J94" s="3"/>
      <c r="K94" s="3"/>
      <c r="L94" s="3"/>
      <c r="M94" s="3"/>
      <c r="N94" s="17">
        <f t="shared" si="5"/>
        <v>0</v>
      </c>
      <c r="O94" s="3"/>
      <c r="P94" s="3"/>
      <c r="Q94" s="3"/>
    </row>
    <row r="95" spans="1:17" x14ac:dyDescent="0.2">
      <c r="A95" s="3"/>
      <c r="B95" s="3"/>
      <c r="C95" s="3"/>
      <c r="D95" s="3"/>
      <c r="E95" s="3"/>
      <c r="F95" s="3"/>
      <c r="G95" s="3"/>
      <c r="H95" s="3"/>
      <c r="I95" s="17">
        <f t="shared" si="4"/>
        <v>0</v>
      </c>
      <c r="J95" s="3"/>
      <c r="K95" s="3"/>
      <c r="L95" s="3"/>
      <c r="M95" s="3"/>
      <c r="N95" s="17">
        <f t="shared" si="5"/>
        <v>0</v>
      </c>
      <c r="O95" s="3"/>
      <c r="P95" s="3"/>
      <c r="Q95" s="3"/>
    </row>
    <row r="96" spans="1:17" x14ac:dyDescent="0.2">
      <c r="A96" s="3"/>
      <c r="B96" s="3"/>
      <c r="C96" s="3"/>
      <c r="D96" s="3"/>
      <c r="E96" s="3"/>
      <c r="F96" s="3"/>
      <c r="G96" s="3"/>
      <c r="H96" s="3"/>
      <c r="I96" s="17">
        <f t="shared" si="4"/>
        <v>0</v>
      </c>
      <c r="J96" s="3"/>
      <c r="K96" s="3"/>
      <c r="L96" s="3"/>
      <c r="M96" s="3"/>
      <c r="N96" s="17">
        <f t="shared" si="5"/>
        <v>0</v>
      </c>
      <c r="O96" s="3"/>
      <c r="P96" s="3"/>
      <c r="Q96" s="3"/>
    </row>
    <row r="97" spans="1:17" x14ac:dyDescent="0.2">
      <c r="A97" s="3"/>
      <c r="B97" s="3"/>
      <c r="C97" s="3"/>
      <c r="D97" s="3"/>
      <c r="E97" s="3"/>
      <c r="F97" s="3"/>
      <c r="G97" s="3"/>
      <c r="H97" s="3"/>
      <c r="I97" s="17">
        <f t="shared" si="4"/>
        <v>0</v>
      </c>
      <c r="J97" s="3"/>
      <c r="K97" s="3"/>
      <c r="L97" s="3"/>
      <c r="M97" s="3"/>
      <c r="N97" s="17">
        <f t="shared" si="5"/>
        <v>0</v>
      </c>
      <c r="O97" s="3"/>
      <c r="P97" s="3"/>
      <c r="Q97" s="3"/>
    </row>
    <row r="98" spans="1:17" x14ac:dyDescent="0.2">
      <c r="A98" s="3"/>
      <c r="B98" s="3"/>
      <c r="C98" s="3"/>
      <c r="D98" s="3"/>
      <c r="E98" s="3"/>
      <c r="F98" s="3"/>
      <c r="G98" s="3"/>
      <c r="H98" s="3"/>
      <c r="I98" s="17">
        <f t="shared" si="4"/>
        <v>0</v>
      </c>
      <c r="J98" s="3"/>
      <c r="K98" s="3"/>
      <c r="L98" s="3"/>
      <c r="M98" s="3"/>
      <c r="N98" s="17">
        <f t="shared" si="5"/>
        <v>0</v>
      </c>
      <c r="O98" s="3"/>
      <c r="P98" s="3"/>
      <c r="Q98" s="3"/>
    </row>
    <row r="99" spans="1:17" x14ac:dyDescent="0.2">
      <c r="A99" s="3"/>
      <c r="B99" s="3"/>
      <c r="C99" s="3"/>
      <c r="D99" s="3"/>
      <c r="E99" s="3"/>
      <c r="F99" s="3"/>
      <c r="G99" s="3"/>
      <c r="H99" s="3"/>
      <c r="I99" s="17">
        <f t="shared" si="4"/>
        <v>0</v>
      </c>
      <c r="J99" s="3"/>
      <c r="K99" s="3"/>
      <c r="L99" s="3"/>
      <c r="M99" s="3"/>
      <c r="N99" s="17">
        <f t="shared" si="5"/>
        <v>0</v>
      </c>
      <c r="O99" s="3"/>
      <c r="P99" s="3"/>
      <c r="Q99" s="3"/>
    </row>
    <row r="100" spans="1:17" x14ac:dyDescent="0.2">
      <c r="A100" s="3"/>
      <c r="B100" s="3"/>
      <c r="C100" s="3"/>
      <c r="D100" s="3"/>
      <c r="E100" s="3"/>
      <c r="F100" s="3"/>
      <c r="G100" s="3"/>
      <c r="H100" s="3"/>
      <c r="I100" s="17">
        <f t="shared" si="4"/>
        <v>0</v>
      </c>
      <c r="J100" s="3"/>
      <c r="K100" s="3"/>
      <c r="L100" s="3"/>
      <c r="M100" s="3"/>
      <c r="N100" s="17">
        <f t="shared" si="5"/>
        <v>0</v>
      </c>
      <c r="O100" s="3"/>
      <c r="P100" s="3"/>
      <c r="Q100" s="3"/>
    </row>
    <row r="101" spans="1:17" x14ac:dyDescent="0.2">
      <c r="A101" s="3"/>
      <c r="B101" s="3"/>
      <c r="C101" s="3"/>
      <c r="D101" s="3"/>
      <c r="E101" s="3"/>
      <c r="F101" s="3"/>
      <c r="G101" s="3"/>
      <c r="H101" s="3"/>
      <c r="I101" s="17">
        <f t="shared" si="4"/>
        <v>0</v>
      </c>
      <c r="J101" s="3"/>
      <c r="K101" s="3"/>
      <c r="L101" s="3"/>
      <c r="M101" s="3"/>
      <c r="N101" s="17">
        <f t="shared" si="5"/>
        <v>0</v>
      </c>
      <c r="O101" s="3"/>
      <c r="P101" s="3"/>
      <c r="Q101" s="3"/>
    </row>
    <row r="102" spans="1:17" x14ac:dyDescent="0.2">
      <c r="A102" s="3"/>
      <c r="B102" s="3"/>
      <c r="C102" s="3"/>
      <c r="D102" s="3"/>
      <c r="E102" s="3"/>
      <c r="F102" s="3"/>
      <c r="G102" s="3"/>
      <c r="H102" s="3"/>
      <c r="I102" s="17">
        <f t="shared" si="4"/>
        <v>0</v>
      </c>
      <c r="J102" s="3"/>
      <c r="K102" s="3"/>
      <c r="L102" s="3"/>
      <c r="M102" s="3"/>
      <c r="N102" s="17">
        <f t="shared" si="5"/>
        <v>0</v>
      </c>
      <c r="O102" s="3"/>
      <c r="P102" s="3"/>
      <c r="Q102" s="3"/>
    </row>
    <row r="103" spans="1:17" x14ac:dyDescent="0.2">
      <c r="A103" s="3"/>
      <c r="B103" s="3"/>
      <c r="C103" s="3"/>
      <c r="D103" s="3"/>
      <c r="E103" s="3"/>
      <c r="F103" s="3"/>
      <c r="G103" s="3"/>
      <c r="H103" s="3"/>
      <c r="I103" s="17">
        <f t="shared" si="4"/>
        <v>0</v>
      </c>
      <c r="J103" s="3"/>
      <c r="K103" s="3"/>
      <c r="L103" s="3"/>
      <c r="M103" s="3"/>
      <c r="N103" s="17">
        <f t="shared" si="5"/>
        <v>0</v>
      </c>
      <c r="O103" s="3"/>
      <c r="P103" s="3"/>
      <c r="Q103" s="3"/>
    </row>
    <row r="104" spans="1:17" x14ac:dyDescent="0.2">
      <c r="A104" s="3"/>
      <c r="B104" s="3"/>
      <c r="C104" s="3"/>
      <c r="D104" s="3"/>
      <c r="E104" s="3"/>
      <c r="F104" s="3"/>
      <c r="G104" s="3"/>
      <c r="H104" s="3"/>
      <c r="I104" s="17">
        <f t="shared" si="4"/>
        <v>0</v>
      </c>
      <c r="J104" s="3"/>
      <c r="K104" s="3"/>
      <c r="L104" s="3"/>
      <c r="M104" s="3"/>
      <c r="N104" s="17">
        <f t="shared" si="5"/>
        <v>0</v>
      </c>
      <c r="O104" s="3"/>
      <c r="P104" s="3"/>
      <c r="Q104" s="3"/>
    </row>
    <row r="105" spans="1:17" x14ac:dyDescent="0.2">
      <c r="A105" s="3"/>
      <c r="B105" s="3"/>
      <c r="C105" s="3"/>
      <c r="D105" s="3"/>
      <c r="E105" s="3"/>
      <c r="F105" s="3"/>
      <c r="G105" s="3"/>
      <c r="H105" s="3"/>
      <c r="I105" s="17">
        <f t="shared" si="4"/>
        <v>0</v>
      </c>
      <c r="J105" s="3"/>
      <c r="K105" s="3"/>
      <c r="L105" s="3"/>
      <c r="M105" s="3"/>
      <c r="N105" s="17">
        <f t="shared" si="5"/>
        <v>0</v>
      </c>
      <c r="O105" s="3"/>
      <c r="P105" s="3"/>
      <c r="Q105" s="3"/>
    </row>
    <row r="106" spans="1:17" x14ac:dyDescent="0.2">
      <c r="A106" s="3"/>
      <c r="B106" s="3"/>
      <c r="C106" s="3"/>
      <c r="D106" s="3"/>
      <c r="E106" s="3"/>
      <c r="F106" s="3"/>
      <c r="G106" s="3"/>
      <c r="H106" s="3"/>
      <c r="I106" s="17">
        <f t="shared" si="4"/>
        <v>0</v>
      </c>
      <c r="J106" s="3"/>
      <c r="K106" s="3"/>
      <c r="L106" s="3"/>
      <c r="M106" s="3"/>
      <c r="N106" s="17">
        <f t="shared" si="5"/>
        <v>0</v>
      </c>
      <c r="O106" s="3"/>
      <c r="P106" s="3"/>
      <c r="Q106" s="3"/>
    </row>
    <row r="107" spans="1:17" x14ac:dyDescent="0.2">
      <c r="A107" s="3"/>
      <c r="B107" s="3"/>
      <c r="C107" s="3"/>
      <c r="D107" s="3"/>
      <c r="E107" s="3"/>
      <c r="F107" s="3"/>
      <c r="G107" s="3"/>
      <c r="H107" s="3"/>
      <c r="I107" s="17">
        <f t="shared" si="4"/>
        <v>0</v>
      </c>
      <c r="J107" s="3"/>
      <c r="K107" s="3"/>
      <c r="L107" s="3"/>
      <c r="M107" s="3"/>
      <c r="N107" s="17">
        <f t="shared" si="5"/>
        <v>0</v>
      </c>
      <c r="O107" s="3"/>
      <c r="P107" s="3"/>
      <c r="Q107" s="3"/>
    </row>
    <row r="108" spans="1:17" x14ac:dyDescent="0.2">
      <c r="A108" s="3"/>
      <c r="B108" s="3"/>
      <c r="C108" s="3"/>
      <c r="D108" s="3"/>
      <c r="E108" s="3"/>
      <c r="F108" s="3"/>
      <c r="G108" s="3"/>
      <c r="H108" s="3"/>
      <c r="I108" s="17">
        <f t="shared" si="4"/>
        <v>0</v>
      </c>
      <c r="J108" s="3"/>
      <c r="K108" s="3"/>
      <c r="L108" s="3"/>
      <c r="M108" s="3"/>
      <c r="N108" s="17">
        <f t="shared" si="5"/>
        <v>0</v>
      </c>
      <c r="O108" s="3"/>
      <c r="P108" s="3"/>
      <c r="Q108" s="3"/>
    </row>
    <row r="109" spans="1:17" x14ac:dyDescent="0.2">
      <c r="A109" s="3"/>
      <c r="B109" s="3"/>
      <c r="C109" s="3"/>
      <c r="D109" s="3"/>
      <c r="E109" s="3"/>
      <c r="F109" s="3"/>
      <c r="G109" s="3"/>
      <c r="H109" s="3"/>
      <c r="I109" s="17">
        <f t="shared" ref="I109:I140" si="6">G109*H109</f>
        <v>0</v>
      </c>
      <c r="J109" s="3"/>
      <c r="K109" s="3"/>
      <c r="L109" s="3"/>
      <c r="M109" s="3"/>
      <c r="N109" s="17">
        <f t="shared" ref="N109:N140" si="7">L109*M109</f>
        <v>0</v>
      </c>
      <c r="O109" s="3"/>
      <c r="P109" s="3"/>
      <c r="Q109" s="3"/>
    </row>
    <row r="110" spans="1:17" x14ac:dyDescent="0.2">
      <c r="A110" s="3"/>
      <c r="B110" s="3"/>
      <c r="C110" s="3"/>
      <c r="D110" s="3"/>
      <c r="E110" s="3"/>
      <c r="F110" s="3"/>
      <c r="G110" s="3"/>
      <c r="H110" s="3"/>
      <c r="I110" s="17">
        <f t="shared" si="6"/>
        <v>0</v>
      </c>
      <c r="J110" s="3"/>
      <c r="K110" s="3"/>
      <c r="L110" s="3"/>
      <c r="M110" s="3"/>
      <c r="N110" s="17">
        <f t="shared" si="7"/>
        <v>0</v>
      </c>
      <c r="O110" s="3"/>
      <c r="P110" s="3"/>
      <c r="Q110" s="3"/>
    </row>
    <row r="111" spans="1:17" x14ac:dyDescent="0.2">
      <c r="A111" s="3"/>
      <c r="B111" s="3"/>
      <c r="C111" s="3"/>
      <c r="D111" s="3"/>
      <c r="E111" s="3"/>
      <c r="F111" s="3"/>
      <c r="G111" s="3"/>
      <c r="H111" s="3"/>
      <c r="I111" s="17">
        <f t="shared" si="6"/>
        <v>0</v>
      </c>
      <c r="J111" s="3"/>
      <c r="K111" s="3"/>
      <c r="L111" s="3"/>
      <c r="M111" s="3"/>
      <c r="N111" s="17">
        <f t="shared" si="7"/>
        <v>0</v>
      </c>
      <c r="O111" s="3"/>
      <c r="P111" s="3"/>
      <c r="Q111" s="3"/>
    </row>
    <row r="112" spans="1:17" x14ac:dyDescent="0.2">
      <c r="A112" s="3"/>
      <c r="B112" s="3"/>
      <c r="C112" s="3"/>
      <c r="D112" s="3"/>
      <c r="E112" s="3"/>
      <c r="F112" s="3"/>
      <c r="G112" s="3"/>
      <c r="H112" s="3"/>
      <c r="I112" s="17">
        <f t="shared" si="6"/>
        <v>0</v>
      </c>
      <c r="J112" s="3"/>
      <c r="K112" s="3"/>
      <c r="L112" s="3"/>
      <c r="M112" s="3"/>
      <c r="N112" s="17">
        <f t="shared" si="7"/>
        <v>0</v>
      </c>
      <c r="O112" s="3"/>
      <c r="P112" s="3"/>
      <c r="Q112" s="3"/>
    </row>
  </sheetData>
  <mergeCells count="3">
    <mergeCell ref="A11:Q11"/>
    <mergeCell ref="A1:Q1"/>
    <mergeCell ref="A3:E3"/>
  </mergeCells>
  <dataValidations count="3">
    <dataValidation type="list" allowBlank="1" sqref="G13:H112 L13:M112" xr:uid="{00000000-0002-0000-0200-000000000000}">
      <formula1>"1,2,3,4"</formula1>
    </dataValidation>
    <dataValidation type="list" allowBlank="1" sqref="O13:O112" xr:uid="{00000000-0002-0000-0200-000002000000}">
      <formula1>"Accept,Mitigate,Transfer,Avoid"</formula1>
    </dataValidation>
    <dataValidation type="list" allowBlank="1" sqref="Q13:Q112" xr:uid="{00000000-0002-0000-0200-000003000000}">
      <formula1>"Open,Monitoring,Resolved,Closed"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21"/>
  <sheetViews>
    <sheetView workbookViewId="0">
      <pane ySplit="36" topLeftCell="A37" activePane="bottomLeft" state="frozen"/>
      <selection pane="bottomLeft" sqref="A1:P1"/>
    </sheetView>
  </sheetViews>
  <sheetFormatPr baseColWidth="10" defaultColWidth="8.83203125" defaultRowHeight="15" x14ac:dyDescent="0.2"/>
  <cols>
    <col min="1" max="2" width="15" customWidth="1"/>
    <col min="3" max="3" width="20" customWidth="1"/>
    <col min="4" max="4" width="40" customWidth="1"/>
    <col min="5" max="5" width="15" customWidth="1"/>
    <col min="6" max="6" width="20" customWidth="1"/>
    <col min="7" max="8" width="15" customWidth="1"/>
    <col min="9" max="9" width="12" customWidth="1"/>
    <col min="10" max="11" width="15" customWidth="1"/>
    <col min="12" max="12" width="25" customWidth="1"/>
    <col min="13" max="13" width="30" customWidth="1"/>
    <col min="14" max="14" width="20" customWidth="1"/>
    <col min="15" max="15" width="30" customWidth="1"/>
    <col min="16" max="16" width="15" customWidth="1"/>
  </cols>
  <sheetData>
    <row r="1" spans="1:16" ht="30" customHeight="1" x14ac:dyDescent="0.2">
      <c r="A1" s="27" t="s">
        <v>132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x14ac:dyDescent="0.2">
      <c r="A2" s="29" t="s">
        <v>133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4" spans="1:16" x14ac:dyDescent="0.2">
      <c r="A4" s="25" t="s">
        <v>134</v>
      </c>
      <c r="B4" s="24"/>
      <c r="C4" s="24"/>
      <c r="D4" s="24"/>
    </row>
    <row r="5" spans="1:16" x14ac:dyDescent="0.2">
      <c r="A5" s="18" t="s">
        <v>135</v>
      </c>
      <c r="B5" s="7">
        <f>COUNTA(A37:A236)</f>
        <v>0</v>
      </c>
    </row>
    <row r="6" spans="1:16" x14ac:dyDescent="0.2">
      <c r="A6" s="18" t="s">
        <v>136</v>
      </c>
      <c r="B6" s="7">
        <f>COUNTIF(H37:H236,"Completed")</f>
        <v>0</v>
      </c>
    </row>
    <row r="7" spans="1:16" x14ac:dyDescent="0.2">
      <c r="A7" s="18" t="s">
        <v>137</v>
      </c>
      <c r="B7" s="19">
        <f>COUNTIF(H37:H236,"In Progress")</f>
        <v>0</v>
      </c>
    </row>
    <row r="8" spans="1:16" x14ac:dyDescent="0.2">
      <c r="A8" s="18" t="s">
        <v>138</v>
      </c>
      <c r="B8" s="7">
        <f>COUNTIF(H37:H236,"Not Started")</f>
        <v>0</v>
      </c>
    </row>
    <row r="9" spans="1:16" x14ac:dyDescent="0.2">
      <c r="A9" s="18" t="s">
        <v>139</v>
      </c>
      <c r="B9" s="7">
        <f ca="1">COUNTIFS(H37:H236,"&lt;&gt;Completed",E37:E236,"&lt;"&amp;TODAY())</f>
        <v>0</v>
      </c>
    </row>
    <row r="10" spans="1:16" x14ac:dyDescent="0.2">
      <c r="A10" s="18" t="s">
        <v>140</v>
      </c>
      <c r="B10" s="19" t="e">
        <f>COUNTIF(H37:H236,"Completed")/COUNTA(A37:A236)</f>
        <v>#DIV/0!</v>
      </c>
    </row>
    <row r="13" spans="1:16" x14ac:dyDescent="0.2">
      <c r="A13" s="25" t="s">
        <v>141</v>
      </c>
      <c r="B13" s="24"/>
      <c r="C13" s="24"/>
      <c r="D13" s="24"/>
      <c r="E13" s="24"/>
      <c r="F13" s="24"/>
    </row>
    <row r="14" spans="1:16" x14ac:dyDescent="0.2">
      <c r="A14" s="20" t="s">
        <v>142</v>
      </c>
      <c r="B14" s="6" t="s">
        <v>143</v>
      </c>
      <c r="C14" s="32" t="s">
        <v>144</v>
      </c>
      <c r="D14" s="33"/>
      <c r="E14" s="33"/>
      <c r="F14" s="34"/>
    </row>
    <row r="15" spans="1:16" x14ac:dyDescent="0.2">
      <c r="A15" s="20" t="s">
        <v>145</v>
      </c>
      <c r="B15" s="6" t="s">
        <v>146</v>
      </c>
      <c r="C15" s="32" t="s">
        <v>147</v>
      </c>
      <c r="D15" s="33"/>
      <c r="E15" s="33"/>
      <c r="F15" s="34"/>
    </row>
    <row r="16" spans="1:16" x14ac:dyDescent="0.2">
      <c r="A16" s="20" t="s">
        <v>148</v>
      </c>
      <c r="B16" s="6" t="s">
        <v>149</v>
      </c>
      <c r="C16" s="32" t="s">
        <v>150</v>
      </c>
      <c r="D16" s="33"/>
      <c r="E16" s="33"/>
      <c r="F16" s="34"/>
    </row>
    <row r="17" spans="1:16" x14ac:dyDescent="0.2">
      <c r="A17" s="20" t="s">
        <v>151</v>
      </c>
      <c r="B17" s="6" t="s">
        <v>152</v>
      </c>
      <c r="C17" s="32" t="s">
        <v>153</v>
      </c>
      <c r="D17" s="33"/>
      <c r="E17" s="33"/>
      <c r="F17" s="34"/>
    </row>
    <row r="20" spans="1:16" x14ac:dyDescent="0.2">
      <c r="A20" s="25" t="s">
        <v>154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</row>
    <row r="21" spans="1:16" x14ac:dyDescent="0.2">
      <c r="A21" s="5" t="s">
        <v>155</v>
      </c>
      <c r="B21" s="5" t="s">
        <v>156</v>
      </c>
      <c r="C21" s="5" t="s">
        <v>157</v>
      </c>
      <c r="D21" s="5" t="s">
        <v>158</v>
      </c>
      <c r="E21" s="5" t="s">
        <v>95</v>
      </c>
      <c r="F21" s="5" t="s">
        <v>159</v>
      </c>
      <c r="G21" s="5" t="s">
        <v>160</v>
      </c>
      <c r="H21" s="5" t="s">
        <v>21</v>
      </c>
      <c r="I21" s="5" t="s">
        <v>96</v>
      </c>
      <c r="J21" s="5" t="s">
        <v>161</v>
      </c>
      <c r="K21" s="5" t="s">
        <v>162</v>
      </c>
      <c r="L21" s="5" t="s">
        <v>98</v>
      </c>
      <c r="M21" s="5" t="s">
        <v>163</v>
      </c>
      <c r="N21" s="5" t="s">
        <v>164</v>
      </c>
      <c r="O21" s="5" t="s">
        <v>48</v>
      </c>
      <c r="P21" s="5" t="s">
        <v>16</v>
      </c>
    </row>
    <row r="22" spans="1:16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</sheetData>
  <mergeCells count="9">
    <mergeCell ref="A20:P20"/>
    <mergeCell ref="C14:F14"/>
    <mergeCell ref="A2:P2"/>
    <mergeCell ref="C17:F17"/>
    <mergeCell ref="A13:F13"/>
    <mergeCell ref="A1:P1"/>
    <mergeCell ref="A4:D4"/>
    <mergeCell ref="C16:F16"/>
    <mergeCell ref="C15:F15"/>
  </mergeCells>
  <dataValidations count="2">
    <dataValidation type="list" allowBlank="1" sqref="B37:B236" xr:uid="{00000000-0002-0000-0300-000000000000}">
      <formula1>"Phase 1,Phase 2,Phase 3,Phase 4"</formula1>
    </dataValidation>
    <dataValidation type="list" allowBlank="1" sqref="H37:H236" xr:uid="{00000000-0002-0000-0300-000001000000}">
      <formula1>"Not Started,In Progress,Completed,Blocked,Cancelled"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9"/>
  <sheetViews>
    <sheetView workbookViewId="0">
      <pane ySplit="3" topLeftCell="A4" activePane="bottomLeft" state="frozen"/>
      <selection pane="bottomLeft" sqref="A1:M1"/>
    </sheetView>
  </sheetViews>
  <sheetFormatPr baseColWidth="10" defaultColWidth="8.83203125" defaultRowHeight="15" x14ac:dyDescent="0.2"/>
  <cols>
    <col min="1" max="1" width="30" customWidth="1"/>
    <col min="2" max="2" width="10" customWidth="1"/>
    <col min="3" max="4" width="15" customWidth="1"/>
    <col min="5" max="6" width="12" customWidth="1"/>
    <col min="7" max="8" width="15" customWidth="1"/>
    <col min="9" max="9" width="25" customWidth="1"/>
    <col min="10" max="10" width="18" customWidth="1"/>
    <col min="11" max="12" width="20" customWidth="1"/>
    <col min="13" max="13" width="30" customWidth="1"/>
  </cols>
  <sheetData>
    <row r="1" spans="1:13" ht="30" customHeight="1" x14ac:dyDescent="0.2">
      <c r="A1" s="27" t="s">
        <v>165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3" spans="1:13" x14ac:dyDescent="0.2">
      <c r="A3" s="25" t="s">
        <v>166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3" x14ac:dyDescent="0.2">
      <c r="A4" s="5" t="s">
        <v>167</v>
      </c>
      <c r="B4" s="5" t="s">
        <v>168</v>
      </c>
      <c r="C4" s="5" t="s">
        <v>46</v>
      </c>
      <c r="D4" s="5" t="s">
        <v>20</v>
      </c>
      <c r="E4" s="5" t="s">
        <v>21</v>
      </c>
      <c r="F4" s="5" t="s">
        <v>47</v>
      </c>
      <c r="G4" s="5" t="s">
        <v>169</v>
      </c>
      <c r="H4" s="5" t="s">
        <v>170</v>
      </c>
      <c r="I4" s="5" t="s">
        <v>171</v>
      </c>
      <c r="J4" s="5" t="s">
        <v>172</v>
      </c>
      <c r="K4" s="5" t="s">
        <v>94</v>
      </c>
      <c r="L4" s="5" t="s">
        <v>173</v>
      </c>
      <c r="M4" s="5" t="s">
        <v>48</v>
      </c>
    </row>
    <row r="5" spans="1:13" x14ac:dyDescent="0.2">
      <c r="A5" s="6" t="s">
        <v>174</v>
      </c>
      <c r="B5" s="6" t="s">
        <v>175</v>
      </c>
      <c r="C5" s="3"/>
      <c r="D5" s="6" t="s">
        <v>51</v>
      </c>
      <c r="E5" s="3"/>
      <c r="F5" s="3"/>
      <c r="G5" s="3"/>
      <c r="H5" s="3"/>
      <c r="I5" s="3"/>
      <c r="J5" s="3"/>
      <c r="K5" s="3"/>
      <c r="L5" s="3"/>
      <c r="M5" s="3"/>
    </row>
    <row r="6" spans="1:13" x14ac:dyDescent="0.2">
      <c r="A6" s="6" t="s">
        <v>176</v>
      </c>
      <c r="B6" s="6" t="s">
        <v>177</v>
      </c>
      <c r="C6" s="3"/>
      <c r="D6" s="6" t="s">
        <v>54</v>
      </c>
      <c r="E6" s="3"/>
      <c r="F6" s="3"/>
      <c r="G6" s="3"/>
      <c r="H6" s="3"/>
      <c r="I6" s="3"/>
      <c r="J6" s="3"/>
      <c r="K6" s="3"/>
      <c r="L6" s="3"/>
      <c r="M6" s="3"/>
    </row>
    <row r="7" spans="1:13" x14ac:dyDescent="0.2">
      <c r="A7" s="6" t="s">
        <v>178</v>
      </c>
      <c r="B7" s="6" t="s">
        <v>177</v>
      </c>
      <c r="C7" s="3"/>
      <c r="D7" s="6" t="s">
        <v>179</v>
      </c>
      <c r="E7" s="3"/>
      <c r="F7" s="3"/>
      <c r="G7" s="3"/>
      <c r="H7" s="3"/>
      <c r="I7" s="3"/>
      <c r="J7" s="3"/>
      <c r="K7" s="3"/>
      <c r="L7" s="3"/>
      <c r="M7" s="3"/>
    </row>
    <row r="8" spans="1:13" x14ac:dyDescent="0.2">
      <c r="A8" s="6" t="s">
        <v>180</v>
      </c>
      <c r="B8" s="6" t="s">
        <v>181</v>
      </c>
      <c r="C8" s="3"/>
      <c r="D8" s="6" t="s">
        <v>182</v>
      </c>
      <c r="E8" s="3"/>
      <c r="F8" s="3"/>
      <c r="G8" s="3"/>
      <c r="H8" s="3"/>
      <c r="I8" s="3"/>
      <c r="J8" s="3"/>
      <c r="K8" s="3"/>
      <c r="L8" s="3"/>
      <c r="M8" s="3"/>
    </row>
    <row r="9" spans="1:13" x14ac:dyDescent="0.2">
      <c r="A9" s="6" t="s">
        <v>183</v>
      </c>
      <c r="B9" s="6" t="s">
        <v>177</v>
      </c>
      <c r="C9" s="3"/>
      <c r="D9" s="6" t="s">
        <v>54</v>
      </c>
      <c r="E9" s="3"/>
      <c r="F9" s="3"/>
      <c r="G9" s="3"/>
      <c r="H9" s="3"/>
      <c r="I9" s="3"/>
      <c r="J9" s="3"/>
      <c r="K9" s="3"/>
      <c r="L9" s="3"/>
      <c r="M9" s="3"/>
    </row>
    <row r="11" spans="1:13" x14ac:dyDescent="0.2">
      <c r="A11" s="25" t="s">
        <v>184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</row>
    <row r="12" spans="1:13" x14ac:dyDescent="0.2">
      <c r="A12" s="5" t="s">
        <v>167</v>
      </c>
      <c r="B12" s="5" t="s">
        <v>168</v>
      </c>
      <c r="C12" s="5" t="s">
        <v>46</v>
      </c>
      <c r="D12" s="5" t="s">
        <v>20</v>
      </c>
      <c r="E12" s="5" t="s">
        <v>21</v>
      </c>
      <c r="F12" s="5" t="s">
        <v>47</v>
      </c>
      <c r="G12" s="5" t="s">
        <v>169</v>
      </c>
      <c r="H12" s="5" t="s">
        <v>170</v>
      </c>
      <c r="I12" s="5" t="s">
        <v>171</v>
      </c>
      <c r="J12" s="5" t="s">
        <v>172</v>
      </c>
      <c r="K12" s="5" t="s">
        <v>94</v>
      </c>
      <c r="L12" s="5" t="s">
        <v>173</v>
      </c>
      <c r="M12" s="5" t="s">
        <v>48</v>
      </c>
    </row>
    <row r="13" spans="1:13" x14ac:dyDescent="0.2">
      <c r="A13" s="6" t="s">
        <v>56</v>
      </c>
      <c r="B13" s="6" t="s">
        <v>177</v>
      </c>
      <c r="C13" s="3"/>
      <c r="D13" s="6" t="s">
        <v>54</v>
      </c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2">
      <c r="A14" s="6" t="s">
        <v>185</v>
      </c>
      <c r="B14" s="6" t="s">
        <v>175</v>
      </c>
      <c r="C14" s="3"/>
      <c r="D14" s="6" t="s">
        <v>186</v>
      </c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">
      <c r="A15" s="6" t="s">
        <v>187</v>
      </c>
      <c r="B15" s="6" t="s">
        <v>175</v>
      </c>
      <c r="C15" s="3"/>
      <c r="D15" s="6" t="s">
        <v>186</v>
      </c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2">
      <c r="A16" s="6" t="s">
        <v>188</v>
      </c>
      <c r="B16" s="6" t="s">
        <v>175</v>
      </c>
      <c r="C16" s="3"/>
      <c r="D16" s="6" t="s">
        <v>25</v>
      </c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">
      <c r="A17" s="6" t="s">
        <v>189</v>
      </c>
      <c r="B17" s="6" t="s">
        <v>177</v>
      </c>
      <c r="C17" s="3"/>
      <c r="D17" s="6" t="s">
        <v>54</v>
      </c>
      <c r="E17" s="3"/>
      <c r="F17" s="3"/>
      <c r="G17" s="3"/>
      <c r="H17" s="3"/>
      <c r="I17" s="3"/>
      <c r="J17" s="3"/>
      <c r="K17" s="3"/>
      <c r="L17" s="3"/>
      <c r="M17" s="3"/>
    </row>
    <row r="19" spans="1:13" x14ac:dyDescent="0.2">
      <c r="A19" s="25" t="s">
        <v>190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</row>
    <row r="20" spans="1:13" x14ac:dyDescent="0.2">
      <c r="A20" s="5" t="s">
        <v>167</v>
      </c>
      <c r="B20" s="5" t="s">
        <v>168</v>
      </c>
      <c r="C20" s="5" t="s">
        <v>46</v>
      </c>
      <c r="D20" s="5" t="s">
        <v>20</v>
      </c>
      <c r="E20" s="5" t="s">
        <v>21</v>
      </c>
      <c r="F20" s="5" t="s">
        <v>47</v>
      </c>
      <c r="G20" s="5" t="s">
        <v>169</v>
      </c>
      <c r="H20" s="5" t="s">
        <v>170</v>
      </c>
      <c r="I20" s="5" t="s">
        <v>171</v>
      </c>
      <c r="J20" s="5" t="s">
        <v>172</v>
      </c>
      <c r="K20" s="5" t="s">
        <v>94</v>
      </c>
      <c r="L20" s="5" t="s">
        <v>173</v>
      </c>
      <c r="M20" s="5" t="s">
        <v>48</v>
      </c>
    </row>
    <row r="21" spans="1:13" x14ac:dyDescent="0.2">
      <c r="A21" s="6" t="s">
        <v>60</v>
      </c>
      <c r="B21" s="6" t="s">
        <v>177</v>
      </c>
      <c r="C21" s="3"/>
      <c r="D21" s="6" t="s">
        <v>23</v>
      </c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">
      <c r="A22" s="6" t="s">
        <v>191</v>
      </c>
      <c r="B22" s="6" t="s">
        <v>175</v>
      </c>
      <c r="C22" s="3"/>
      <c r="D22" s="6" t="s">
        <v>192</v>
      </c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">
      <c r="A23" s="6" t="s">
        <v>193</v>
      </c>
      <c r="B23" s="6" t="s">
        <v>175</v>
      </c>
      <c r="C23" s="3"/>
      <c r="D23" s="6" t="s">
        <v>194</v>
      </c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">
      <c r="A24" s="6" t="s">
        <v>195</v>
      </c>
      <c r="B24" s="6" t="s">
        <v>177</v>
      </c>
      <c r="C24" s="3"/>
      <c r="D24" s="6" t="s">
        <v>54</v>
      </c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">
      <c r="A25" s="6" t="s">
        <v>196</v>
      </c>
      <c r="B25" s="6" t="s">
        <v>197</v>
      </c>
      <c r="C25" s="3"/>
      <c r="D25" s="6" t="s">
        <v>198</v>
      </c>
      <c r="E25" s="3"/>
      <c r="F25" s="3"/>
      <c r="G25" s="3"/>
      <c r="H25" s="3"/>
      <c r="I25" s="3"/>
      <c r="J25" s="3"/>
      <c r="K25" s="3"/>
      <c r="L25" s="3"/>
      <c r="M25" s="3"/>
    </row>
    <row r="27" spans="1:13" x14ac:dyDescent="0.2">
      <c r="A27" s="25" t="s">
        <v>199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</row>
    <row r="28" spans="1:13" x14ac:dyDescent="0.2">
      <c r="A28" s="5" t="s">
        <v>167</v>
      </c>
      <c r="B28" s="5" t="s">
        <v>168</v>
      </c>
      <c r="C28" s="5" t="s">
        <v>46</v>
      </c>
      <c r="D28" s="5" t="s">
        <v>20</v>
      </c>
      <c r="E28" s="5" t="s">
        <v>21</v>
      </c>
      <c r="F28" s="5" t="s">
        <v>47</v>
      </c>
      <c r="G28" s="5" t="s">
        <v>169</v>
      </c>
      <c r="H28" s="5" t="s">
        <v>170</v>
      </c>
      <c r="I28" s="5" t="s">
        <v>171</v>
      </c>
      <c r="J28" s="5" t="s">
        <v>172</v>
      </c>
      <c r="K28" s="5" t="s">
        <v>94</v>
      </c>
      <c r="L28" s="5" t="s">
        <v>173</v>
      </c>
      <c r="M28" s="5" t="s">
        <v>48</v>
      </c>
    </row>
    <row r="29" spans="1:13" x14ac:dyDescent="0.2">
      <c r="A29" s="6" t="s">
        <v>200</v>
      </c>
      <c r="B29" s="6" t="s">
        <v>177</v>
      </c>
      <c r="C29" s="3"/>
      <c r="D29" s="6" t="s">
        <v>54</v>
      </c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2">
      <c r="A30" s="6" t="s">
        <v>201</v>
      </c>
      <c r="B30" s="6" t="s">
        <v>175</v>
      </c>
      <c r="C30" s="3"/>
      <c r="D30" s="6" t="s">
        <v>66</v>
      </c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2">
      <c r="A31" s="6" t="s">
        <v>202</v>
      </c>
      <c r="B31" s="6" t="s">
        <v>203</v>
      </c>
      <c r="C31" s="3"/>
      <c r="D31" s="6" t="s">
        <v>204</v>
      </c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2">
      <c r="A32" s="6" t="s">
        <v>205</v>
      </c>
      <c r="B32" s="6" t="s">
        <v>177</v>
      </c>
      <c r="C32" s="3"/>
      <c r="D32" s="6" t="s">
        <v>179</v>
      </c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2">
      <c r="A33" s="6" t="s">
        <v>206</v>
      </c>
      <c r="B33" s="6" t="s">
        <v>177</v>
      </c>
      <c r="C33" s="3"/>
      <c r="D33" s="6" t="s">
        <v>54</v>
      </c>
      <c r="E33" s="3"/>
      <c r="F33" s="3"/>
      <c r="G33" s="3"/>
      <c r="H33" s="3"/>
      <c r="I33" s="3"/>
      <c r="J33" s="3"/>
      <c r="K33" s="3"/>
      <c r="L33" s="3"/>
      <c r="M33" s="3"/>
    </row>
    <row r="35" spans="1:13" x14ac:dyDescent="0.2">
      <c r="A35" s="25" t="s">
        <v>207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</row>
    <row r="36" spans="1:13" x14ac:dyDescent="0.2">
      <c r="A36" s="5" t="s">
        <v>167</v>
      </c>
      <c r="B36" s="5" t="s">
        <v>168</v>
      </c>
      <c r="C36" s="5" t="s">
        <v>46</v>
      </c>
      <c r="D36" s="5" t="s">
        <v>20</v>
      </c>
      <c r="E36" s="5" t="s">
        <v>21</v>
      </c>
      <c r="F36" s="5" t="s">
        <v>47</v>
      </c>
      <c r="G36" s="5" t="s">
        <v>169</v>
      </c>
      <c r="H36" s="5" t="s">
        <v>170</v>
      </c>
      <c r="I36" s="5" t="s">
        <v>171</v>
      </c>
      <c r="J36" s="5" t="s">
        <v>172</v>
      </c>
      <c r="K36" s="5" t="s">
        <v>94</v>
      </c>
      <c r="L36" s="5" t="s">
        <v>173</v>
      </c>
      <c r="M36" s="5" t="s">
        <v>48</v>
      </c>
    </row>
    <row r="37" spans="1:13" x14ac:dyDescent="0.2">
      <c r="A37" s="6" t="s">
        <v>70</v>
      </c>
      <c r="B37" s="6" t="s">
        <v>175</v>
      </c>
      <c r="C37" s="3"/>
      <c r="D37" s="6" t="s">
        <v>25</v>
      </c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">
      <c r="A38" s="6" t="s">
        <v>208</v>
      </c>
      <c r="B38" s="6" t="s">
        <v>203</v>
      </c>
      <c r="C38" s="3"/>
      <c r="D38" s="6" t="s">
        <v>209</v>
      </c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">
      <c r="A39" s="6" t="s">
        <v>210</v>
      </c>
      <c r="B39" s="6" t="s">
        <v>211</v>
      </c>
      <c r="C39" s="3"/>
      <c r="D39" s="6" t="s">
        <v>212</v>
      </c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">
      <c r="A40" s="6" t="s">
        <v>68</v>
      </c>
      <c r="B40" s="6" t="s">
        <v>177</v>
      </c>
      <c r="C40" s="3"/>
      <c r="D40" s="6" t="s">
        <v>23</v>
      </c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">
      <c r="A41" s="6" t="s">
        <v>71</v>
      </c>
      <c r="B41" s="6" t="s">
        <v>177</v>
      </c>
      <c r="C41" s="3"/>
      <c r="D41" s="6" t="s">
        <v>213</v>
      </c>
      <c r="E41" s="3"/>
      <c r="F41" s="3"/>
      <c r="G41" s="3"/>
      <c r="H41" s="3"/>
      <c r="I41" s="3"/>
      <c r="J41" s="3"/>
      <c r="K41" s="3"/>
      <c r="L41" s="3"/>
      <c r="M41" s="3"/>
    </row>
    <row r="43" spans="1:13" x14ac:dyDescent="0.2">
      <c r="A43" s="25" t="s">
        <v>214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</row>
    <row r="44" spans="1:13" x14ac:dyDescent="0.2">
      <c r="A44" s="5" t="s">
        <v>167</v>
      </c>
      <c r="B44" s="5" t="s">
        <v>168</v>
      </c>
      <c r="C44" s="5" t="s">
        <v>46</v>
      </c>
      <c r="D44" s="5" t="s">
        <v>20</v>
      </c>
      <c r="E44" s="5" t="s">
        <v>21</v>
      </c>
      <c r="F44" s="5" t="s">
        <v>47</v>
      </c>
      <c r="G44" s="5" t="s">
        <v>169</v>
      </c>
      <c r="H44" s="5" t="s">
        <v>170</v>
      </c>
      <c r="I44" s="5" t="s">
        <v>171</v>
      </c>
      <c r="J44" s="5" t="s">
        <v>172</v>
      </c>
      <c r="K44" s="5" t="s">
        <v>94</v>
      </c>
      <c r="L44" s="5" t="s">
        <v>173</v>
      </c>
      <c r="M44" s="5" t="s">
        <v>48</v>
      </c>
    </row>
    <row r="45" spans="1:13" x14ac:dyDescent="0.2">
      <c r="A45" s="6" t="s">
        <v>215</v>
      </c>
      <c r="B45" s="6" t="s">
        <v>177</v>
      </c>
      <c r="C45" s="3"/>
      <c r="D45" s="6" t="s">
        <v>23</v>
      </c>
      <c r="E45" s="3"/>
      <c r="F45" s="3"/>
      <c r="G45" s="3"/>
      <c r="H45" s="3"/>
      <c r="I45" s="3"/>
      <c r="J45" s="3"/>
      <c r="K45" s="3"/>
      <c r="L45" s="3"/>
      <c r="M45" s="3"/>
    </row>
    <row r="46" spans="1:13" x14ac:dyDescent="0.2">
      <c r="A46" s="6" t="s">
        <v>216</v>
      </c>
      <c r="B46" s="6" t="s">
        <v>175</v>
      </c>
      <c r="C46" s="3"/>
      <c r="D46" s="6" t="s">
        <v>25</v>
      </c>
      <c r="E46" s="3"/>
      <c r="F46" s="3"/>
      <c r="G46" s="3"/>
      <c r="H46" s="3"/>
      <c r="I46" s="3"/>
      <c r="J46" s="3"/>
      <c r="K46" s="3"/>
      <c r="L46" s="3"/>
      <c r="M46" s="3"/>
    </row>
    <row r="47" spans="1:13" x14ac:dyDescent="0.2">
      <c r="A47" s="6" t="s">
        <v>217</v>
      </c>
      <c r="B47" s="6" t="s">
        <v>177</v>
      </c>
      <c r="C47" s="3"/>
      <c r="D47" s="6" t="s">
        <v>54</v>
      </c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2">
      <c r="A48" s="6" t="s">
        <v>218</v>
      </c>
      <c r="B48" s="6" t="s">
        <v>21</v>
      </c>
      <c r="C48" s="3"/>
      <c r="D48" s="6" t="s">
        <v>219</v>
      </c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">
      <c r="A49" s="6" t="s">
        <v>220</v>
      </c>
      <c r="B49" s="6" t="s">
        <v>197</v>
      </c>
      <c r="C49" s="3"/>
      <c r="D49" s="6" t="s">
        <v>198</v>
      </c>
      <c r="E49" s="3"/>
      <c r="F49" s="3"/>
      <c r="G49" s="3"/>
      <c r="H49" s="3"/>
      <c r="I49" s="3"/>
      <c r="J49" s="3"/>
      <c r="K49" s="3"/>
      <c r="L49" s="3"/>
      <c r="M49" s="3"/>
    </row>
  </sheetData>
  <mergeCells count="7">
    <mergeCell ref="A43:M43"/>
    <mergeCell ref="A11:M11"/>
    <mergeCell ref="A19:M19"/>
    <mergeCell ref="A1:M1"/>
    <mergeCell ref="A27:M27"/>
    <mergeCell ref="A35:M35"/>
    <mergeCell ref="A3:M3"/>
  </mergeCells>
  <dataValidations count="3">
    <dataValidation type="list" allowBlank="1" sqref="E4:E100" xr:uid="{00000000-0002-0000-0400-000000000000}">
      <formula1>"Green,Amber,Red"</formula1>
    </dataValidation>
    <dataValidation type="list" allowBlank="1" sqref="F4:F100" xr:uid="{00000000-0002-0000-0400-000001000000}">
      <formula1>"Improving,Stable,Degrading,New"</formula1>
    </dataValidation>
    <dataValidation type="list" allowBlank="1" sqref="J4:J100" xr:uid="{00000000-0002-0000-0400-000002000000}">
      <formula1>"Real-Time,Hourly,Daily,Weekly,Monthly"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23"/>
  <sheetViews>
    <sheetView workbookViewId="0">
      <pane ySplit="19" topLeftCell="A20" activePane="bottomLeft" state="frozen"/>
      <selection pane="bottomLeft" sqref="A1:O1"/>
    </sheetView>
  </sheetViews>
  <sheetFormatPr baseColWidth="10" defaultColWidth="8.83203125" defaultRowHeight="15" x14ac:dyDescent="0.2"/>
  <cols>
    <col min="1" max="1" width="15" customWidth="1"/>
    <col min="2" max="2" width="20" customWidth="1"/>
    <col min="3" max="3" width="25" customWidth="1"/>
    <col min="4" max="4" width="18" customWidth="1"/>
    <col min="5" max="5" width="20" customWidth="1"/>
    <col min="6" max="6" width="40" customWidth="1"/>
    <col min="7" max="7" width="30" customWidth="1"/>
    <col min="8" max="8" width="15" customWidth="1"/>
    <col min="9" max="9" width="20" customWidth="1"/>
    <col min="10" max="11" width="15" customWidth="1"/>
    <col min="12" max="12" width="18" customWidth="1"/>
    <col min="13" max="13" width="20" customWidth="1"/>
    <col min="14" max="14" width="15" customWidth="1"/>
    <col min="15" max="15" width="30" customWidth="1"/>
  </cols>
  <sheetData>
    <row r="1" spans="1:15" ht="30" customHeight="1" x14ac:dyDescent="0.2">
      <c r="A1" s="27" t="s">
        <v>221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x14ac:dyDescent="0.2">
      <c r="A2" s="29" t="s">
        <v>222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4" spans="1:15" x14ac:dyDescent="0.2">
      <c r="A4" s="25" t="s">
        <v>223</v>
      </c>
      <c r="B4" s="24"/>
      <c r="C4" s="24"/>
      <c r="D4" s="24"/>
    </row>
    <row r="5" spans="1:15" x14ac:dyDescent="0.2">
      <c r="A5" s="18" t="s">
        <v>224</v>
      </c>
      <c r="B5" s="7">
        <f>COUNTA(A20:A519)</f>
        <v>3</v>
      </c>
    </row>
    <row r="6" spans="1:15" x14ac:dyDescent="0.2">
      <c r="A6" s="18" t="s">
        <v>225</v>
      </c>
      <c r="B6" s="7">
        <f>COUNTIF(L20:L519,"Verified")</f>
        <v>0</v>
      </c>
    </row>
    <row r="7" spans="1:15" x14ac:dyDescent="0.2">
      <c r="A7" s="18" t="s">
        <v>226</v>
      </c>
      <c r="B7" s="7">
        <f>COUNTIF(L20:L519,"Pending")</f>
        <v>0</v>
      </c>
    </row>
    <row r="8" spans="1:15" x14ac:dyDescent="0.2">
      <c r="A8" s="18" t="s">
        <v>227</v>
      </c>
      <c r="B8" s="7">
        <f>COUNTIF(L20:L519,"Expired")</f>
        <v>0</v>
      </c>
    </row>
    <row r="9" spans="1:15" x14ac:dyDescent="0.2">
      <c r="A9" s="18" t="s">
        <v>228</v>
      </c>
      <c r="B9" s="19">
        <f>COUNTIF(L20:L519,"Verified")/COUNTA(A20:A519)</f>
        <v>0</v>
      </c>
    </row>
    <row r="12" spans="1:15" x14ac:dyDescent="0.2">
      <c r="A12" s="28" t="s">
        <v>229</v>
      </c>
      <c r="B12" s="24"/>
      <c r="C12" s="24"/>
      <c r="D12" s="24"/>
      <c r="E12" s="24"/>
    </row>
    <row r="13" spans="1:15" x14ac:dyDescent="0.2">
      <c r="A13" s="21" t="s">
        <v>45</v>
      </c>
      <c r="B13" s="21" t="s">
        <v>175</v>
      </c>
      <c r="C13" s="21" t="s">
        <v>225</v>
      </c>
      <c r="D13" s="21" t="s">
        <v>230</v>
      </c>
    </row>
    <row r="14" spans="1:15" x14ac:dyDescent="0.2">
      <c r="A14" s="6" t="s">
        <v>49</v>
      </c>
      <c r="B14" s="11">
        <f>COUNTIF(D20:D519,"Infrastructure")</f>
        <v>0</v>
      </c>
      <c r="C14" s="11">
        <f>COUNTIFS(D20:D519,"Infrastructure",L20:L519,"Verified")</f>
        <v>0</v>
      </c>
      <c r="D14" s="22" t="e">
        <f t="shared" ref="D14:D20" si="0">C14/B14</f>
        <v>#DIV/0!</v>
      </c>
    </row>
    <row r="15" spans="1:15" x14ac:dyDescent="0.2">
      <c r="A15" s="6" t="s">
        <v>55</v>
      </c>
      <c r="B15" s="11">
        <f>COUNTIF(D20:D519,"Coverage")</f>
        <v>0</v>
      </c>
      <c r="C15" s="11">
        <f>COUNTIFS(D20:D519,"Coverage",L20:L519,"Verified")</f>
        <v>0</v>
      </c>
      <c r="D15" s="22" t="e">
        <f t="shared" si="0"/>
        <v>#DIV/0!</v>
      </c>
    </row>
    <row r="16" spans="1:15" x14ac:dyDescent="0.2">
      <c r="A16" s="6" t="s">
        <v>59</v>
      </c>
      <c r="B16" s="11">
        <f>COUNTIF(D20:D519,"Policy")</f>
        <v>0</v>
      </c>
      <c r="C16" s="11">
        <f>COUNTIFS(D20:D519,"Policy",L20:L519,"Verified")</f>
        <v>0</v>
      </c>
      <c r="D16" s="22" t="e">
        <f t="shared" si="0"/>
        <v>#DIV/0!</v>
      </c>
    </row>
    <row r="17" spans="1:15" x14ac:dyDescent="0.2">
      <c r="A17" s="6" t="s">
        <v>64</v>
      </c>
      <c r="B17" s="11">
        <f>COUNTIF(D20:D519,"Monitoring")</f>
        <v>0</v>
      </c>
      <c r="C17" s="11">
        <f>COUNTIFS(D20:D519,"Monitoring",L20:L519,"Verified")</f>
        <v>0</v>
      </c>
      <c r="D17" s="22" t="e">
        <f t="shared" si="0"/>
        <v>#DIV/0!</v>
      </c>
    </row>
    <row r="18" spans="1:15" x14ac:dyDescent="0.2">
      <c r="A18" s="6" t="s">
        <v>231</v>
      </c>
      <c r="B18" s="11">
        <f>COUNTIF(D20:D519,"Incident Response")</f>
        <v>0</v>
      </c>
      <c r="C18" s="11">
        <f>COUNTIFS(D20:D519,"Incident Response",L20:L519,"Verified")</f>
        <v>0</v>
      </c>
      <c r="D18" s="22" t="e">
        <f t="shared" si="0"/>
        <v>#DIV/0!</v>
      </c>
    </row>
    <row r="19" spans="1:15" x14ac:dyDescent="0.2">
      <c r="A19" s="6" t="s">
        <v>232</v>
      </c>
      <c r="B19" s="11">
        <f>COUNTIF(D20:D519,"Compliance")</f>
        <v>0</v>
      </c>
      <c r="C19" s="11">
        <f>COUNTIFS(D20:D519,"Compliance",L20:L519,"Verified")</f>
        <v>0</v>
      </c>
      <c r="D19" s="22" t="e">
        <f t="shared" si="0"/>
        <v>#DIV/0!</v>
      </c>
    </row>
    <row r="20" spans="1:15" x14ac:dyDescent="0.2">
      <c r="A20" s="6" t="s">
        <v>233</v>
      </c>
      <c r="B20" s="11">
        <f>COUNTIF(D21:D519,"Audit")</f>
        <v>0</v>
      </c>
      <c r="C20" s="11">
        <f>COUNTIFS(D21:D519,"Audit",L21:L519,"Verified")</f>
        <v>0</v>
      </c>
      <c r="D20" s="22" t="e">
        <f t="shared" si="0"/>
        <v>#DIV/0!</v>
      </c>
    </row>
    <row r="22" spans="1:15" x14ac:dyDescent="0.2">
      <c r="A22" s="25" t="s">
        <v>234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</row>
    <row r="23" spans="1:15" x14ac:dyDescent="0.2">
      <c r="A23" s="5" t="s">
        <v>235</v>
      </c>
      <c r="B23" s="5" t="s">
        <v>84</v>
      </c>
      <c r="C23" s="5" t="s">
        <v>236</v>
      </c>
      <c r="D23" s="5" t="s">
        <v>45</v>
      </c>
      <c r="E23" s="5" t="s">
        <v>237</v>
      </c>
      <c r="F23" s="5" t="s">
        <v>238</v>
      </c>
      <c r="G23" s="5" t="s">
        <v>239</v>
      </c>
      <c r="H23" s="5" t="s">
        <v>240</v>
      </c>
      <c r="I23" s="5" t="s">
        <v>241</v>
      </c>
      <c r="J23" s="5" t="s">
        <v>242</v>
      </c>
      <c r="K23" s="5" t="s">
        <v>243</v>
      </c>
      <c r="L23" s="5" t="s">
        <v>244</v>
      </c>
      <c r="M23" s="5" t="s">
        <v>245</v>
      </c>
      <c r="N23" s="5" t="s">
        <v>246</v>
      </c>
      <c r="O23" s="5" t="s">
        <v>48</v>
      </c>
    </row>
    <row r="24" spans="1:15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17">
        <f t="shared" ref="K24:K87" si="1">H24+J24</f>
        <v>0</v>
      </c>
      <c r="L24" s="3"/>
      <c r="M24" s="3"/>
      <c r="N24" s="3"/>
      <c r="O24" s="3"/>
    </row>
    <row r="25" spans="1:15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17">
        <f t="shared" si="1"/>
        <v>0</v>
      </c>
      <c r="L25" s="3"/>
      <c r="M25" s="3"/>
      <c r="N25" s="3"/>
      <c r="O25" s="3"/>
    </row>
    <row r="26" spans="1:15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17">
        <f t="shared" si="1"/>
        <v>0</v>
      </c>
      <c r="L26" s="3"/>
      <c r="M26" s="3"/>
      <c r="N26" s="3"/>
      <c r="O26" s="3"/>
    </row>
    <row r="27" spans="1:15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17">
        <f t="shared" si="1"/>
        <v>0</v>
      </c>
      <c r="L27" s="3"/>
      <c r="M27" s="3"/>
      <c r="N27" s="3"/>
      <c r="O27" s="3"/>
    </row>
    <row r="28" spans="1:15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17">
        <f t="shared" si="1"/>
        <v>0</v>
      </c>
      <c r="L28" s="3"/>
      <c r="M28" s="3"/>
      <c r="N28" s="3"/>
      <c r="O28" s="3"/>
    </row>
    <row r="29" spans="1:15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17">
        <f t="shared" si="1"/>
        <v>0</v>
      </c>
      <c r="L29" s="3"/>
      <c r="M29" s="3"/>
      <c r="N29" s="3"/>
      <c r="O29" s="3"/>
    </row>
    <row r="30" spans="1:15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17">
        <f t="shared" si="1"/>
        <v>0</v>
      </c>
      <c r="L30" s="3"/>
      <c r="M30" s="3"/>
      <c r="N30" s="3"/>
      <c r="O30" s="3"/>
    </row>
    <row r="31" spans="1:15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17">
        <f t="shared" si="1"/>
        <v>0</v>
      </c>
      <c r="L31" s="3"/>
      <c r="M31" s="3"/>
      <c r="N31" s="3"/>
      <c r="O31" s="3"/>
    </row>
    <row r="32" spans="1:15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17">
        <f t="shared" si="1"/>
        <v>0</v>
      </c>
      <c r="L32" s="3"/>
      <c r="M32" s="3"/>
      <c r="N32" s="3"/>
      <c r="O32" s="3"/>
    </row>
    <row r="33" spans="1:15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17">
        <f t="shared" si="1"/>
        <v>0</v>
      </c>
      <c r="L33" s="3"/>
      <c r="M33" s="3"/>
      <c r="N33" s="3"/>
      <c r="O33" s="3"/>
    </row>
    <row r="34" spans="1:15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17">
        <f t="shared" si="1"/>
        <v>0</v>
      </c>
      <c r="L34" s="3"/>
      <c r="M34" s="3"/>
      <c r="N34" s="3"/>
      <c r="O34" s="3"/>
    </row>
    <row r="35" spans="1:15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17">
        <f t="shared" si="1"/>
        <v>0</v>
      </c>
      <c r="L35" s="3"/>
      <c r="M35" s="3"/>
      <c r="N35" s="3"/>
      <c r="O35" s="3"/>
    </row>
    <row r="36" spans="1:15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17">
        <f t="shared" si="1"/>
        <v>0</v>
      </c>
      <c r="L36" s="3"/>
      <c r="M36" s="3"/>
      <c r="N36" s="3"/>
      <c r="O36" s="3"/>
    </row>
    <row r="37" spans="1:15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17">
        <f t="shared" si="1"/>
        <v>0</v>
      </c>
      <c r="L37" s="3"/>
      <c r="M37" s="3"/>
      <c r="N37" s="3"/>
      <c r="O37" s="3"/>
    </row>
    <row r="38" spans="1:15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17">
        <f t="shared" si="1"/>
        <v>0</v>
      </c>
      <c r="L38" s="3"/>
      <c r="M38" s="3"/>
      <c r="N38" s="3"/>
      <c r="O38" s="3"/>
    </row>
    <row r="39" spans="1:15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17">
        <f t="shared" si="1"/>
        <v>0</v>
      </c>
      <c r="L39" s="3"/>
      <c r="M39" s="3"/>
      <c r="N39" s="3"/>
      <c r="O39" s="3"/>
    </row>
    <row r="40" spans="1:15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17">
        <f t="shared" si="1"/>
        <v>0</v>
      </c>
      <c r="L40" s="3"/>
      <c r="M40" s="3"/>
      <c r="N40" s="3"/>
      <c r="O40" s="3"/>
    </row>
    <row r="41" spans="1:15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17">
        <f t="shared" si="1"/>
        <v>0</v>
      </c>
      <c r="L41" s="3"/>
      <c r="M41" s="3"/>
      <c r="N41" s="3"/>
      <c r="O41" s="3"/>
    </row>
    <row r="42" spans="1:15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17">
        <f t="shared" si="1"/>
        <v>0</v>
      </c>
      <c r="L42" s="3"/>
      <c r="M42" s="3"/>
      <c r="N42" s="3"/>
      <c r="O42" s="3"/>
    </row>
    <row r="43" spans="1:15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17">
        <f t="shared" si="1"/>
        <v>0</v>
      </c>
      <c r="L43" s="3"/>
      <c r="M43" s="3"/>
      <c r="N43" s="3"/>
      <c r="O43" s="3"/>
    </row>
    <row r="44" spans="1:15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17">
        <f t="shared" si="1"/>
        <v>0</v>
      </c>
      <c r="L44" s="3"/>
      <c r="M44" s="3"/>
      <c r="N44" s="3"/>
      <c r="O44" s="3"/>
    </row>
    <row r="45" spans="1:15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17">
        <f t="shared" si="1"/>
        <v>0</v>
      </c>
      <c r="L45" s="3"/>
      <c r="M45" s="3"/>
      <c r="N45" s="3"/>
      <c r="O45" s="3"/>
    </row>
    <row r="46" spans="1:15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17">
        <f t="shared" si="1"/>
        <v>0</v>
      </c>
      <c r="L46" s="3"/>
      <c r="M46" s="3"/>
      <c r="N46" s="3"/>
      <c r="O46" s="3"/>
    </row>
    <row r="47" spans="1:15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17">
        <f t="shared" si="1"/>
        <v>0</v>
      </c>
      <c r="L47" s="3"/>
      <c r="M47" s="3"/>
      <c r="N47" s="3"/>
      <c r="O47" s="3"/>
    </row>
    <row r="48" spans="1:15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17">
        <f t="shared" si="1"/>
        <v>0</v>
      </c>
      <c r="L48" s="3"/>
      <c r="M48" s="3"/>
      <c r="N48" s="3"/>
      <c r="O48" s="3"/>
    </row>
    <row r="49" spans="1:15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17">
        <f t="shared" si="1"/>
        <v>0</v>
      </c>
      <c r="L49" s="3"/>
      <c r="M49" s="3"/>
      <c r="N49" s="3"/>
      <c r="O49" s="3"/>
    </row>
    <row r="50" spans="1:15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17">
        <f t="shared" si="1"/>
        <v>0</v>
      </c>
      <c r="L50" s="3"/>
      <c r="M50" s="3"/>
      <c r="N50" s="3"/>
      <c r="O50" s="3"/>
    </row>
    <row r="51" spans="1:15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17">
        <f t="shared" si="1"/>
        <v>0</v>
      </c>
      <c r="L51" s="3"/>
      <c r="M51" s="3"/>
      <c r="N51" s="3"/>
      <c r="O51" s="3"/>
    </row>
    <row r="52" spans="1:15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17">
        <f t="shared" si="1"/>
        <v>0</v>
      </c>
      <c r="L52" s="3"/>
      <c r="M52" s="3"/>
      <c r="N52" s="3"/>
      <c r="O52" s="3"/>
    </row>
    <row r="53" spans="1:15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17">
        <f t="shared" si="1"/>
        <v>0</v>
      </c>
      <c r="L53" s="3"/>
      <c r="M53" s="3"/>
      <c r="N53" s="3"/>
      <c r="O53" s="3"/>
    </row>
    <row r="54" spans="1:15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17">
        <f t="shared" si="1"/>
        <v>0</v>
      </c>
      <c r="L54" s="3"/>
      <c r="M54" s="3"/>
      <c r="N54" s="3"/>
      <c r="O54" s="3"/>
    </row>
    <row r="55" spans="1:15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17">
        <f t="shared" si="1"/>
        <v>0</v>
      </c>
      <c r="L55" s="3"/>
      <c r="M55" s="3"/>
      <c r="N55" s="3"/>
      <c r="O55" s="3"/>
    </row>
    <row r="56" spans="1:15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17">
        <f t="shared" si="1"/>
        <v>0</v>
      </c>
      <c r="L56" s="3"/>
      <c r="M56" s="3"/>
      <c r="N56" s="3"/>
      <c r="O56" s="3"/>
    </row>
    <row r="57" spans="1:15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17">
        <f t="shared" si="1"/>
        <v>0</v>
      </c>
      <c r="L57" s="3"/>
      <c r="M57" s="3"/>
      <c r="N57" s="3"/>
      <c r="O57" s="3"/>
    </row>
    <row r="58" spans="1:15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17">
        <f t="shared" si="1"/>
        <v>0</v>
      </c>
      <c r="L58" s="3"/>
      <c r="M58" s="3"/>
      <c r="N58" s="3"/>
      <c r="O58" s="3"/>
    </row>
    <row r="59" spans="1:15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17">
        <f t="shared" si="1"/>
        <v>0</v>
      </c>
      <c r="L59" s="3"/>
      <c r="M59" s="3"/>
      <c r="N59" s="3"/>
      <c r="O59" s="3"/>
    </row>
    <row r="60" spans="1:15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17">
        <f t="shared" si="1"/>
        <v>0</v>
      </c>
      <c r="L60" s="3"/>
      <c r="M60" s="3"/>
      <c r="N60" s="3"/>
      <c r="O60" s="3"/>
    </row>
    <row r="61" spans="1:15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17">
        <f t="shared" si="1"/>
        <v>0</v>
      </c>
      <c r="L61" s="3"/>
      <c r="M61" s="3"/>
      <c r="N61" s="3"/>
      <c r="O61" s="3"/>
    </row>
    <row r="62" spans="1:15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17">
        <f t="shared" si="1"/>
        <v>0</v>
      </c>
      <c r="L62" s="3"/>
      <c r="M62" s="3"/>
      <c r="N62" s="3"/>
      <c r="O62" s="3"/>
    </row>
    <row r="63" spans="1:15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17">
        <f t="shared" si="1"/>
        <v>0</v>
      </c>
      <c r="L63" s="3"/>
      <c r="M63" s="3"/>
      <c r="N63" s="3"/>
      <c r="O63" s="3"/>
    </row>
    <row r="64" spans="1:15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17">
        <f t="shared" si="1"/>
        <v>0</v>
      </c>
      <c r="L64" s="3"/>
      <c r="M64" s="3"/>
      <c r="N64" s="3"/>
      <c r="O64" s="3"/>
    </row>
    <row r="65" spans="1:15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17">
        <f t="shared" si="1"/>
        <v>0</v>
      </c>
      <c r="L65" s="3"/>
      <c r="M65" s="3"/>
      <c r="N65" s="3"/>
      <c r="O65" s="3"/>
    </row>
    <row r="66" spans="1:15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17">
        <f t="shared" si="1"/>
        <v>0</v>
      </c>
      <c r="L66" s="3"/>
      <c r="M66" s="3"/>
      <c r="N66" s="3"/>
      <c r="O66" s="3"/>
    </row>
    <row r="67" spans="1:15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17">
        <f t="shared" si="1"/>
        <v>0</v>
      </c>
      <c r="L67" s="3"/>
      <c r="M67" s="3"/>
      <c r="N67" s="3"/>
      <c r="O67" s="3"/>
    </row>
    <row r="68" spans="1:15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17">
        <f t="shared" si="1"/>
        <v>0</v>
      </c>
      <c r="L68" s="3"/>
      <c r="M68" s="3"/>
      <c r="N68" s="3"/>
      <c r="O68" s="3"/>
    </row>
    <row r="69" spans="1:15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17">
        <f t="shared" si="1"/>
        <v>0</v>
      </c>
      <c r="L69" s="3"/>
      <c r="M69" s="3"/>
      <c r="N69" s="3"/>
      <c r="O69" s="3"/>
    </row>
    <row r="70" spans="1:15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17">
        <f t="shared" si="1"/>
        <v>0</v>
      </c>
      <c r="L70" s="3"/>
      <c r="M70" s="3"/>
      <c r="N70" s="3"/>
      <c r="O70" s="3"/>
    </row>
    <row r="71" spans="1:15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17">
        <f t="shared" si="1"/>
        <v>0</v>
      </c>
      <c r="L71" s="3"/>
      <c r="M71" s="3"/>
      <c r="N71" s="3"/>
      <c r="O71" s="3"/>
    </row>
    <row r="72" spans="1:15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17">
        <f t="shared" si="1"/>
        <v>0</v>
      </c>
      <c r="L72" s="3"/>
      <c r="M72" s="3"/>
      <c r="N72" s="3"/>
      <c r="O72" s="3"/>
    </row>
    <row r="73" spans="1:15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17">
        <f t="shared" si="1"/>
        <v>0</v>
      </c>
      <c r="L73" s="3"/>
      <c r="M73" s="3"/>
      <c r="N73" s="3"/>
      <c r="O73" s="3"/>
    </row>
    <row r="74" spans="1:15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17">
        <f t="shared" si="1"/>
        <v>0</v>
      </c>
      <c r="L74" s="3"/>
      <c r="M74" s="3"/>
      <c r="N74" s="3"/>
      <c r="O74" s="3"/>
    </row>
    <row r="75" spans="1:15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17">
        <f t="shared" si="1"/>
        <v>0</v>
      </c>
      <c r="L75" s="3"/>
      <c r="M75" s="3"/>
      <c r="N75" s="3"/>
      <c r="O75" s="3"/>
    </row>
    <row r="76" spans="1:15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17">
        <f t="shared" si="1"/>
        <v>0</v>
      </c>
      <c r="L76" s="3"/>
      <c r="M76" s="3"/>
      <c r="N76" s="3"/>
      <c r="O76" s="3"/>
    </row>
    <row r="77" spans="1:15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17">
        <f t="shared" si="1"/>
        <v>0</v>
      </c>
      <c r="L77" s="3"/>
      <c r="M77" s="3"/>
      <c r="N77" s="3"/>
      <c r="O77" s="3"/>
    </row>
    <row r="78" spans="1:15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17">
        <f t="shared" si="1"/>
        <v>0</v>
      </c>
      <c r="L78" s="3"/>
      <c r="M78" s="3"/>
      <c r="N78" s="3"/>
      <c r="O78" s="3"/>
    </row>
    <row r="79" spans="1:15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17">
        <f t="shared" si="1"/>
        <v>0</v>
      </c>
      <c r="L79" s="3"/>
      <c r="M79" s="3"/>
      <c r="N79" s="3"/>
      <c r="O79" s="3"/>
    </row>
    <row r="80" spans="1:15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17">
        <f t="shared" si="1"/>
        <v>0</v>
      </c>
      <c r="L80" s="3"/>
      <c r="M80" s="3"/>
      <c r="N80" s="3"/>
      <c r="O80" s="3"/>
    </row>
    <row r="81" spans="1:15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17">
        <f t="shared" si="1"/>
        <v>0</v>
      </c>
      <c r="L81" s="3"/>
      <c r="M81" s="3"/>
      <c r="N81" s="3"/>
      <c r="O81" s="3"/>
    </row>
    <row r="82" spans="1:15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17">
        <f t="shared" si="1"/>
        <v>0</v>
      </c>
      <c r="L82" s="3"/>
      <c r="M82" s="3"/>
      <c r="N82" s="3"/>
      <c r="O82" s="3"/>
    </row>
    <row r="83" spans="1:15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17">
        <f t="shared" si="1"/>
        <v>0</v>
      </c>
      <c r="L83" s="3"/>
      <c r="M83" s="3"/>
      <c r="N83" s="3"/>
      <c r="O83" s="3"/>
    </row>
    <row r="84" spans="1:15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17">
        <f t="shared" si="1"/>
        <v>0</v>
      </c>
      <c r="L84" s="3"/>
      <c r="M84" s="3"/>
      <c r="N84" s="3"/>
      <c r="O84" s="3"/>
    </row>
    <row r="85" spans="1:15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17">
        <f t="shared" si="1"/>
        <v>0</v>
      </c>
      <c r="L85" s="3"/>
      <c r="M85" s="3"/>
      <c r="N85" s="3"/>
      <c r="O85" s="3"/>
    </row>
    <row r="86" spans="1:15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17">
        <f t="shared" si="1"/>
        <v>0</v>
      </c>
      <c r="L86" s="3"/>
      <c r="M86" s="3"/>
      <c r="N86" s="3"/>
      <c r="O86" s="3"/>
    </row>
    <row r="87" spans="1:15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17">
        <f t="shared" si="1"/>
        <v>0</v>
      </c>
      <c r="L87" s="3"/>
      <c r="M87" s="3"/>
      <c r="N87" s="3"/>
      <c r="O87" s="3"/>
    </row>
    <row r="88" spans="1:15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17">
        <f t="shared" ref="K88:K151" si="2">H88+J88</f>
        <v>0</v>
      </c>
      <c r="L88" s="3"/>
      <c r="M88" s="3"/>
      <c r="N88" s="3"/>
      <c r="O88" s="3"/>
    </row>
    <row r="89" spans="1:15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17">
        <f t="shared" si="2"/>
        <v>0</v>
      </c>
      <c r="L89" s="3"/>
      <c r="M89" s="3"/>
      <c r="N89" s="3"/>
      <c r="O89" s="3"/>
    </row>
    <row r="90" spans="1:15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17">
        <f t="shared" si="2"/>
        <v>0</v>
      </c>
      <c r="L90" s="3"/>
      <c r="M90" s="3"/>
      <c r="N90" s="3"/>
      <c r="O90" s="3"/>
    </row>
    <row r="91" spans="1:15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17">
        <f t="shared" si="2"/>
        <v>0</v>
      </c>
      <c r="L91" s="3"/>
      <c r="M91" s="3"/>
      <c r="N91" s="3"/>
      <c r="O91" s="3"/>
    </row>
    <row r="92" spans="1:15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17">
        <f t="shared" si="2"/>
        <v>0</v>
      </c>
      <c r="L92" s="3"/>
      <c r="M92" s="3"/>
      <c r="N92" s="3"/>
      <c r="O92" s="3"/>
    </row>
    <row r="93" spans="1:1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17">
        <f t="shared" si="2"/>
        <v>0</v>
      </c>
      <c r="L93" s="3"/>
      <c r="M93" s="3"/>
      <c r="N93" s="3"/>
      <c r="O93" s="3"/>
    </row>
    <row r="94" spans="1:15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17">
        <f t="shared" si="2"/>
        <v>0</v>
      </c>
      <c r="L94" s="3"/>
      <c r="M94" s="3"/>
      <c r="N94" s="3"/>
      <c r="O94" s="3"/>
    </row>
    <row r="95" spans="1:15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17">
        <f t="shared" si="2"/>
        <v>0</v>
      </c>
      <c r="L95" s="3"/>
      <c r="M95" s="3"/>
      <c r="N95" s="3"/>
      <c r="O95" s="3"/>
    </row>
    <row r="96" spans="1:15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17">
        <f t="shared" si="2"/>
        <v>0</v>
      </c>
      <c r="L96" s="3"/>
      <c r="M96" s="3"/>
      <c r="N96" s="3"/>
      <c r="O96" s="3"/>
    </row>
    <row r="97" spans="1:15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17">
        <f t="shared" si="2"/>
        <v>0</v>
      </c>
      <c r="L97" s="3"/>
      <c r="M97" s="3"/>
      <c r="N97" s="3"/>
      <c r="O97" s="3"/>
    </row>
    <row r="98" spans="1:1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17">
        <f t="shared" si="2"/>
        <v>0</v>
      </c>
      <c r="L98" s="3"/>
      <c r="M98" s="3"/>
      <c r="N98" s="3"/>
      <c r="O98" s="3"/>
    </row>
    <row r="99" spans="1:1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17">
        <f t="shared" si="2"/>
        <v>0</v>
      </c>
      <c r="L99" s="3"/>
      <c r="M99" s="3"/>
      <c r="N99" s="3"/>
      <c r="O99" s="3"/>
    </row>
    <row r="100" spans="1:15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17">
        <f t="shared" si="2"/>
        <v>0</v>
      </c>
      <c r="L100" s="3"/>
      <c r="M100" s="3"/>
      <c r="N100" s="3"/>
      <c r="O100" s="3"/>
    </row>
    <row r="101" spans="1:1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17">
        <f t="shared" si="2"/>
        <v>0</v>
      </c>
      <c r="L101" s="3"/>
      <c r="M101" s="3"/>
      <c r="N101" s="3"/>
      <c r="O101" s="3"/>
    </row>
    <row r="102" spans="1:1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17">
        <f t="shared" si="2"/>
        <v>0</v>
      </c>
      <c r="L102" s="3"/>
      <c r="M102" s="3"/>
      <c r="N102" s="3"/>
      <c r="O102" s="3"/>
    </row>
    <row r="103" spans="1:1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17">
        <f t="shared" si="2"/>
        <v>0</v>
      </c>
      <c r="L103" s="3"/>
      <c r="M103" s="3"/>
      <c r="N103" s="3"/>
      <c r="O103" s="3"/>
    </row>
    <row r="104" spans="1:15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17">
        <f t="shared" si="2"/>
        <v>0</v>
      </c>
      <c r="L104" s="3"/>
      <c r="M104" s="3"/>
      <c r="N104" s="3"/>
      <c r="O104" s="3"/>
    </row>
    <row r="105" spans="1:15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17">
        <f t="shared" si="2"/>
        <v>0</v>
      </c>
      <c r="L105" s="3"/>
      <c r="M105" s="3"/>
      <c r="N105" s="3"/>
      <c r="O105" s="3"/>
    </row>
    <row r="106" spans="1:15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17">
        <f t="shared" si="2"/>
        <v>0</v>
      </c>
      <c r="L106" s="3"/>
      <c r="M106" s="3"/>
      <c r="N106" s="3"/>
      <c r="O106" s="3"/>
    </row>
    <row r="107" spans="1:1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17">
        <f t="shared" si="2"/>
        <v>0</v>
      </c>
      <c r="L107" s="3"/>
      <c r="M107" s="3"/>
      <c r="N107" s="3"/>
      <c r="O107" s="3"/>
    </row>
    <row r="108" spans="1:1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17">
        <f t="shared" si="2"/>
        <v>0</v>
      </c>
      <c r="L108" s="3"/>
      <c r="M108" s="3"/>
      <c r="N108" s="3"/>
      <c r="O108" s="3"/>
    </row>
    <row r="109" spans="1:1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17">
        <f t="shared" si="2"/>
        <v>0</v>
      </c>
      <c r="L109" s="3"/>
      <c r="M109" s="3"/>
      <c r="N109" s="3"/>
      <c r="O109" s="3"/>
    </row>
    <row r="110" spans="1:1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17">
        <f t="shared" si="2"/>
        <v>0</v>
      </c>
      <c r="L110" s="3"/>
      <c r="M110" s="3"/>
      <c r="N110" s="3"/>
      <c r="O110" s="3"/>
    </row>
    <row r="111" spans="1:1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17">
        <f t="shared" si="2"/>
        <v>0</v>
      </c>
      <c r="L111" s="3"/>
      <c r="M111" s="3"/>
      <c r="N111" s="3"/>
      <c r="O111" s="3"/>
    </row>
    <row r="112" spans="1:1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17">
        <f t="shared" si="2"/>
        <v>0</v>
      </c>
      <c r="L112" s="3"/>
      <c r="M112" s="3"/>
      <c r="N112" s="3"/>
      <c r="O112" s="3"/>
    </row>
    <row r="113" spans="1:1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17">
        <f t="shared" si="2"/>
        <v>0</v>
      </c>
      <c r="L113" s="3"/>
      <c r="M113" s="3"/>
      <c r="N113" s="3"/>
      <c r="O113" s="3"/>
    </row>
    <row r="114" spans="1:1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17">
        <f t="shared" si="2"/>
        <v>0</v>
      </c>
      <c r="L114" s="3"/>
      <c r="M114" s="3"/>
      <c r="N114" s="3"/>
      <c r="O114" s="3"/>
    </row>
    <row r="115" spans="1:1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17">
        <f t="shared" si="2"/>
        <v>0</v>
      </c>
      <c r="L115" s="3"/>
      <c r="M115" s="3"/>
      <c r="N115" s="3"/>
      <c r="O115" s="3"/>
    </row>
    <row r="116" spans="1:15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17">
        <f t="shared" si="2"/>
        <v>0</v>
      </c>
      <c r="L116" s="3"/>
      <c r="M116" s="3"/>
      <c r="N116" s="3"/>
      <c r="O116" s="3"/>
    </row>
    <row r="117" spans="1:1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17">
        <f t="shared" si="2"/>
        <v>0</v>
      </c>
      <c r="L117" s="3"/>
      <c r="M117" s="3"/>
      <c r="N117" s="3"/>
      <c r="O117" s="3"/>
    </row>
    <row r="118" spans="1:15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17">
        <f t="shared" si="2"/>
        <v>0</v>
      </c>
      <c r="L118" s="3"/>
      <c r="M118" s="3"/>
      <c r="N118" s="3"/>
      <c r="O118" s="3"/>
    </row>
    <row r="119" spans="1:15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17">
        <f t="shared" si="2"/>
        <v>0</v>
      </c>
      <c r="L119" s="3"/>
      <c r="M119" s="3"/>
      <c r="N119" s="3"/>
      <c r="O119" s="3"/>
    </row>
    <row r="120" spans="1:15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17">
        <f t="shared" si="2"/>
        <v>0</v>
      </c>
      <c r="L120" s="3"/>
      <c r="M120" s="3"/>
      <c r="N120" s="3"/>
      <c r="O120" s="3"/>
    </row>
    <row r="121" spans="1:15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17">
        <f t="shared" si="2"/>
        <v>0</v>
      </c>
      <c r="L121" s="3"/>
      <c r="M121" s="3"/>
      <c r="N121" s="3"/>
      <c r="O121" s="3"/>
    </row>
    <row r="122" spans="1:15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17">
        <f t="shared" si="2"/>
        <v>0</v>
      </c>
      <c r="L122" s="3"/>
      <c r="M122" s="3"/>
      <c r="N122" s="3"/>
      <c r="O122" s="3"/>
    </row>
    <row r="123" spans="1:15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17">
        <f t="shared" si="2"/>
        <v>0</v>
      </c>
      <c r="L123" s="3"/>
      <c r="M123" s="3"/>
      <c r="N123" s="3"/>
      <c r="O123" s="3"/>
    </row>
    <row r="124" spans="1:15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17">
        <f t="shared" si="2"/>
        <v>0</v>
      </c>
      <c r="L124" s="3"/>
      <c r="M124" s="3"/>
      <c r="N124" s="3"/>
      <c r="O124" s="3"/>
    </row>
    <row r="125" spans="1:15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17">
        <f t="shared" si="2"/>
        <v>0</v>
      </c>
      <c r="L125" s="3"/>
      <c r="M125" s="3"/>
      <c r="N125" s="3"/>
      <c r="O125" s="3"/>
    </row>
    <row r="126" spans="1:15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17">
        <f t="shared" si="2"/>
        <v>0</v>
      </c>
      <c r="L126" s="3"/>
      <c r="M126" s="3"/>
      <c r="N126" s="3"/>
      <c r="O126" s="3"/>
    </row>
    <row r="127" spans="1:15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17">
        <f t="shared" si="2"/>
        <v>0</v>
      </c>
      <c r="L127" s="3"/>
      <c r="M127" s="3"/>
      <c r="N127" s="3"/>
      <c r="O127" s="3"/>
    </row>
    <row r="128" spans="1:15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17">
        <f t="shared" si="2"/>
        <v>0</v>
      </c>
      <c r="L128" s="3"/>
      <c r="M128" s="3"/>
      <c r="N128" s="3"/>
      <c r="O128" s="3"/>
    </row>
    <row r="129" spans="1:15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17">
        <f t="shared" si="2"/>
        <v>0</v>
      </c>
      <c r="L129" s="3"/>
      <c r="M129" s="3"/>
      <c r="N129" s="3"/>
      <c r="O129" s="3"/>
    </row>
    <row r="130" spans="1:15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17">
        <f t="shared" si="2"/>
        <v>0</v>
      </c>
      <c r="L130" s="3"/>
      <c r="M130" s="3"/>
      <c r="N130" s="3"/>
      <c r="O130" s="3"/>
    </row>
    <row r="131" spans="1:15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17">
        <f t="shared" si="2"/>
        <v>0</v>
      </c>
      <c r="L131" s="3"/>
      <c r="M131" s="3"/>
      <c r="N131" s="3"/>
      <c r="O131" s="3"/>
    </row>
    <row r="132" spans="1:15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17">
        <f t="shared" si="2"/>
        <v>0</v>
      </c>
      <c r="L132" s="3"/>
      <c r="M132" s="3"/>
      <c r="N132" s="3"/>
      <c r="O132" s="3"/>
    </row>
    <row r="133" spans="1:15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17">
        <f t="shared" si="2"/>
        <v>0</v>
      </c>
      <c r="L133" s="3"/>
      <c r="M133" s="3"/>
      <c r="N133" s="3"/>
      <c r="O133" s="3"/>
    </row>
    <row r="134" spans="1:15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17">
        <f t="shared" si="2"/>
        <v>0</v>
      </c>
      <c r="L134" s="3"/>
      <c r="M134" s="3"/>
      <c r="N134" s="3"/>
      <c r="O134" s="3"/>
    </row>
    <row r="135" spans="1:15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17">
        <f t="shared" si="2"/>
        <v>0</v>
      </c>
      <c r="L135" s="3"/>
      <c r="M135" s="3"/>
      <c r="N135" s="3"/>
      <c r="O135" s="3"/>
    </row>
    <row r="136" spans="1:15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17">
        <f t="shared" si="2"/>
        <v>0</v>
      </c>
      <c r="L136" s="3"/>
      <c r="M136" s="3"/>
      <c r="N136" s="3"/>
      <c r="O136" s="3"/>
    </row>
    <row r="137" spans="1:15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17">
        <f t="shared" si="2"/>
        <v>0</v>
      </c>
      <c r="L137" s="3"/>
      <c r="M137" s="3"/>
      <c r="N137" s="3"/>
      <c r="O137" s="3"/>
    </row>
    <row r="138" spans="1:15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17">
        <f t="shared" si="2"/>
        <v>0</v>
      </c>
      <c r="L138" s="3"/>
      <c r="M138" s="3"/>
      <c r="N138" s="3"/>
      <c r="O138" s="3"/>
    </row>
    <row r="139" spans="1:15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17">
        <f t="shared" si="2"/>
        <v>0</v>
      </c>
      <c r="L139" s="3"/>
      <c r="M139" s="3"/>
      <c r="N139" s="3"/>
      <c r="O139" s="3"/>
    </row>
    <row r="140" spans="1:15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17">
        <f t="shared" si="2"/>
        <v>0</v>
      </c>
      <c r="L140" s="3"/>
      <c r="M140" s="3"/>
      <c r="N140" s="3"/>
      <c r="O140" s="3"/>
    </row>
    <row r="141" spans="1:15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17">
        <f t="shared" si="2"/>
        <v>0</v>
      </c>
      <c r="L141" s="3"/>
      <c r="M141" s="3"/>
      <c r="N141" s="3"/>
      <c r="O141" s="3"/>
    </row>
    <row r="142" spans="1:15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17">
        <f t="shared" si="2"/>
        <v>0</v>
      </c>
      <c r="L142" s="3"/>
      <c r="M142" s="3"/>
      <c r="N142" s="3"/>
      <c r="O142" s="3"/>
    </row>
    <row r="143" spans="1:15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17">
        <f t="shared" si="2"/>
        <v>0</v>
      </c>
      <c r="L143" s="3"/>
      <c r="M143" s="3"/>
      <c r="N143" s="3"/>
      <c r="O143" s="3"/>
    </row>
    <row r="144" spans="1:15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17">
        <f t="shared" si="2"/>
        <v>0</v>
      </c>
      <c r="L144" s="3"/>
      <c r="M144" s="3"/>
      <c r="N144" s="3"/>
      <c r="O144" s="3"/>
    </row>
    <row r="145" spans="1:15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17">
        <f t="shared" si="2"/>
        <v>0</v>
      </c>
      <c r="L145" s="3"/>
      <c r="M145" s="3"/>
      <c r="N145" s="3"/>
      <c r="O145" s="3"/>
    </row>
    <row r="146" spans="1:15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17">
        <f t="shared" si="2"/>
        <v>0</v>
      </c>
      <c r="L146" s="3"/>
      <c r="M146" s="3"/>
      <c r="N146" s="3"/>
      <c r="O146" s="3"/>
    </row>
    <row r="147" spans="1:15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17">
        <f t="shared" si="2"/>
        <v>0</v>
      </c>
      <c r="L147" s="3"/>
      <c r="M147" s="3"/>
      <c r="N147" s="3"/>
      <c r="O147" s="3"/>
    </row>
    <row r="148" spans="1:15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17">
        <f t="shared" si="2"/>
        <v>0</v>
      </c>
      <c r="L148" s="3"/>
      <c r="M148" s="3"/>
      <c r="N148" s="3"/>
      <c r="O148" s="3"/>
    </row>
    <row r="149" spans="1:15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17">
        <f t="shared" si="2"/>
        <v>0</v>
      </c>
      <c r="L149" s="3"/>
      <c r="M149" s="3"/>
      <c r="N149" s="3"/>
      <c r="O149" s="3"/>
    </row>
    <row r="150" spans="1:15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17">
        <f t="shared" si="2"/>
        <v>0</v>
      </c>
      <c r="L150" s="3"/>
      <c r="M150" s="3"/>
      <c r="N150" s="3"/>
      <c r="O150" s="3"/>
    </row>
    <row r="151" spans="1:15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17">
        <f t="shared" si="2"/>
        <v>0</v>
      </c>
      <c r="L151" s="3"/>
      <c r="M151" s="3"/>
      <c r="N151" s="3"/>
      <c r="O151" s="3"/>
    </row>
    <row r="152" spans="1:15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17">
        <f t="shared" ref="K152:K215" si="3">H152+J152</f>
        <v>0</v>
      </c>
      <c r="L152" s="3"/>
      <c r="M152" s="3"/>
      <c r="N152" s="3"/>
      <c r="O152" s="3"/>
    </row>
    <row r="153" spans="1:15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17">
        <f t="shared" si="3"/>
        <v>0</v>
      </c>
      <c r="L153" s="3"/>
      <c r="M153" s="3"/>
      <c r="N153" s="3"/>
      <c r="O153" s="3"/>
    </row>
    <row r="154" spans="1:15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17">
        <f t="shared" si="3"/>
        <v>0</v>
      </c>
      <c r="L154" s="3"/>
      <c r="M154" s="3"/>
      <c r="N154" s="3"/>
      <c r="O154" s="3"/>
    </row>
    <row r="155" spans="1:15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17">
        <f t="shared" si="3"/>
        <v>0</v>
      </c>
      <c r="L155" s="3"/>
      <c r="M155" s="3"/>
      <c r="N155" s="3"/>
      <c r="O155" s="3"/>
    </row>
    <row r="156" spans="1:15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17">
        <f t="shared" si="3"/>
        <v>0</v>
      </c>
      <c r="L156" s="3"/>
      <c r="M156" s="3"/>
      <c r="N156" s="3"/>
      <c r="O156" s="3"/>
    </row>
    <row r="157" spans="1:15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17">
        <f t="shared" si="3"/>
        <v>0</v>
      </c>
      <c r="L157" s="3"/>
      <c r="M157" s="3"/>
      <c r="N157" s="3"/>
      <c r="O157" s="3"/>
    </row>
    <row r="158" spans="1:15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17">
        <f t="shared" si="3"/>
        <v>0</v>
      </c>
      <c r="L158" s="3"/>
      <c r="M158" s="3"/>
      <c r="N158" s="3"/>
      <c r="O158" s="3"/>
    </row>
    <row r="159" spans="1:15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17">
        <f t="shared" si="3"/>
        <v>0</v>
      </c>
      <c r="L159" s="3"/>
      <c r="M159" s="3"/>
      <c r="N159" s="3"/>
      <c r="O159" s="3"/>
    </row>
    <row r="160" spans="1:15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17">
        <f t="shared" si="3"/>
        <v>0</v>
      </c>
      <c r="L160" s="3"/>
      <c r="M160" s="3"/>
      <c r="N160" s="3"/>
      <c r="O160" s="3"/>
    </row>
    <row r="161" spans="1:15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17">
        <f t="shared" si="3"/>
        <v>0</v>
      </c>
      <c r="L161" s="3"/>
      <c r="M161" s="3"/>
      <c r="N161" s="3"/>
      <c r="O161" s="3"/>
    </row>
    <row r="162" spans="1:15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17">
        <f t="shared" si="3"/>
        <v>0</v>
      </c>
      <c r="L162" s="3"/>
      <c r="M162" s="3"/>
      <c r="N162" s="3"/>
      <c r="O162" s="3"/>
    </row>
    <row r="163" spans="1:15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17">
        <f t="shared" si="3"/>
        <v>0</v>
      </c>
      <c r="L163" s="3"/>
      <c r="M163" s="3"/>
      <c r="N163" s="3"/>
      <c r="O163" s="3"/>
    </row>
    <row r="164" spans="1:15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17">
        <f t="shared" si="3"/>
        <v>0</v>
      </c>
      <c r="L164" s="3"/>
      <c r="M164" s="3"/>
      <c r="N164" s="3"/>
      <c r="O164" s="3"/>
    </row>
    <row r="165" spans="1:15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17">
        <f t="shared" si="3"/>
        <v>0</v>
      </c>
      <c r="L165" s="3"/>
      <c r="M165" s="3"/>
      <c r="N165" s="3"/>
      <c r="O165" s="3"/>
    </row>
    <row r="166" spans="1:15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17">
        <f t="shared" si="3"/>
        <v>0</v>
      </c>
      <c r="L166" s="3"/>
      <c r="M166" s="3"/>
      <c r="N166" s="3"/>
      <c r="O166" s="3"/>
    </row>
    <row r="167" spans="1:15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17">
        <f t="shared" si="3"/>
        <v>0</v>
      </c>
      <c r="L167" s="3"/>
      <c r="M167" s="3"/>
      <c r="N167" s="3"/>
      <c r="O167" s="3"/>
    </row>
    <row r="168" spans="1:15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17">
        <f t="shared" si="3"/>
        <v>0</v>
      </c>
      <c r="L168" s="3"/>
      <c r="M168" s="3"/>
      <c r="N168" s="3"/>
      <c r="O168" s="3"/>
    </row>
    <row r="169" spans="1:15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17">
        <f t="shared" si="3"/>
        <v>0</v>
      </c>
      <c r="L169" s="3"/>
      <c r="M169" s="3"/>
      <c r="N169" s="3"/>
      <c r="O169" s="3"/>
    </row>
    <row r="170" spans="1:15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17">
        <f t="shared" si="3"/>
        <v>0</v>
      </c>
      <c r="L170" s="3"/>
      <c r="M170" s="3"/>
      <c r="N170" s="3"/>
      <c r="O170" s="3"/>
    </row>
    <row r="171" spans="1:15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17">
        <f t="shared" si="3"/>
        <v>0</v>
      </c>
      <c r="L171" s="3"/>
      <c r="M171" s="3"/>
      <c r="N171" s="3"/>
      <c r="O171" s="3"/>
    </row>
    <row r="172" spans="1:15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17">
        <f t="shared" si="3"/>
        <v>0</v>
      </c>
      <c r="L172" s="3"/>
      <c r="M172" s="3"/>
      <c r="N172" s="3"/>
      <c r="O172" s="3"/>
    </row>
    <row r="173" spans="1:15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17">
        <f t="shared" si="3"/>
        <v>0</v>
      </c>
      <c r="L173" s="3"/>
      <c r="M173" s="3"/>
      <c r="N173" s="3"/>
      <c r="O173" s="3"/>
    </row>
    <row r="174" spans="1:15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17">
        <f t="shared" si="3"/>
        <v>0</v>
      </c>
      <c r="L174" s="3"/>
      <c r="M174" s="3"/>
      <c r="N174" s="3"/>
      <c r="O174" s="3"/>
    </row>
    <row r="175" spans="1:15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17">
        <f t="shared" si="3"/>
        <v>0</v>
      </c>
      <c r="L175" s="3"/>
      <c r="M175" s="3"/>
      <c r="N175" s="3"/>
      <c r="O175" s="3"/>
    </row>
    <row r="176" spans="1:15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17">
        <f t="shared" si="3"/>
        <v>0</v>
      </c>
      <c r="L176" s="3"/>
      <c r="M176" s="3"/>
      <c r="N176" s="3"/>
      <c r="O176" s="3"/>
    </row>
    <row r="177" spans="1:15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17">
        <f t="shared" si="3"/>
        <v>0</v>
      </c>
      <c r="L177" s="3"/>
      <c r="M177" s="3"/>
      <c r="N177" s="3"/>
      <c r="O177" s="3"/>
    </row>
    <row r="178" spans="1:15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17">
        <f t="shared" si="3"/>
        <v>0</v>
      </c>
      <c r="L178" s="3"/>
      <c r="M178" s="3"/>
      <c r="N178" s="3"/>
      <c r="O178" s="3"/>
    </row>
    <row r="179" spans="1:15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17">
        <f t="shared" si="3"/>
        <v>0</v>
      </c>
      <c r="L179" s="3"/>
      <c r="M179" s="3"/>
      <c r="N179" s="3"/>
      <c r="O179" s="3"/>
    </row>
    <row r="180" spans="1:15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17">
        <f t="shared" si="3"/>
        <v>0</v>
      </c>
      <c r="L180" s="3"/>
      <c r="M180" s="3"/>
      <c r="N180" s="3"/>
      <c r="O180" s="3"/>
    </row>
    <row r="181" spans="1:15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17">
        <f t="shared" si="3"/>
        <v>0</v>
      </c>
      <c r="L181" s="3"/>
      <c r="M181" s="3"/>
      <c r="N181" s="3"/>
      <c r="O181" s="3"/>
    </row>
    <row r="182" spans="1:15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17">
        <f t="shared" si="3"/>
        <v>0</v>
      </c>
      <c r="L182" s="3"/>
      <c r="M182" s="3"/>
      <c r="N182" s="3"/>
      <c r="O182" s="3"/>
    </row>
    <row r="183" spans="1:15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17">
        <f t="shared" si="3"/>
        <v>0</v>
      </c>
      <c r="L183" s="3"/>
      <c r="M183" s="3"/>
      <c r="N183" s="3"/>
      <c r="O183" s="3"/>
    </row>
    <row r="184" spans="1:15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17">
        <f t="shared" si="3"/>
        <v>0</v>
      </c>
      <c r="L184" s="3"/>
      <c r="M184" s="3"/>
      <c r="N184" s="3"/>
      <c r="O184" s="3"/>
    </row>
    <row r="185" spans="1:15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17">
        <f t="shared" si="3"/>
        <v>0</v>
      </c>
      <c r="L185" s="3"/>
      <c r="M185" s="3"/>
      <c r="N185" s="3"/>
      <c r="O185" s="3"/>
    </row>
    <row r="186" spans="1:15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17">
        <f t="shared" si="3"/>
        <v>0</v>
      </c>
      <c r="L186" s="3"/>
      <c r="M186" s="3"/>
      <c r="N186" s="3"/>
      <c r="O186" s="3"/>
    </row>
    <row r="187" spans="1:15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17">
        <f t="shared" si="3"/>
        <v>0</v>
      </c>
      <c r="L187" s="3"/>
      <c r="M187" s="3"/>
      <c r="N187" s="3"/>
      <c r="O187" s="3"/>
    </row>
    <row r="188" spans="1:15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17">
        <f t="shared" si="3"/>
        <v>0</v>
      </c>
      <c r="L188" s="3"/>
      <c r="M188" s="3"/>
      <c r="N188" s="3"/>
      <c r="O188" s="3"/>
    </row>
    <row r="189" spans="1:15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17">
        <f t="shared" si="3"/>
        <v>0</v>
      </c>
      <c r="L189" s="3"/>
      <c r="M189" s="3"/>
      <c r="N189" s="3"/>
      <c r="O189" s="3"/>
    </row>
    <row r="190" spans="1:15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17">
        <f t="shared" si="3"/>
        <v>0</v>
      </c>
      <c r="L190" s="3"/>
      <c r="M190" s="3"/>
      <c r="N190" s="3"/>
      <c r="O190" s="3"/>
    </row>
    <row r="191" spans="1:15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17">
        <f t="shared" si="3"/>
        <v>0</v>
      </c>
      <c r="L191" s="3"/>
      <c r="M191" s="3"/>
      <c r="N191" s="3"/>
      <c r="O191" s="3"/>
    </row>
    <row r="192" spans="1:15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17">
        <f t="shared" si="3"/>
        <v>0</v>
      </c>
      <c r="L192" s="3"/>
      <c r="M192" s="3"/>
      <c r="N192" s="3"/>
      <c r="O192" s="3"/>
    </row>
    <row r="193" spans="1:15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17">
        <f t="shared" si="3"/>
        <v>0</v>
      </c>
      <c r="L193" s="3"/>
      <c r="M193" s="3"/>
      <c r="N193" s="3"/>
      <c r="O193" s="3"/>
    </row>
    <row r="194" spans="1:15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17">
        <f t="shared" si="3"/>
        <v>0</v>
      </c>
      <c r="L194" s="3"/>
      <c r="M194" s="3"/>
      <c r="N194" s="3"/>
      <c r="O194" s="3"/>
    </row>
    <row r="195" spans="1:15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17">
        <f t="shared" si="3"/>
        <v>0</v>
      </c>
      <c r="L195" s="3"/>
      <c r="M195" s="3"/>
      <c r="N195" s="3"/>
      <c r="O195" s="3"/>
    </row>
    <row r="196" spans="1:15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17">
        <f t="shared" si="3"/>
        <v>0</v>
      </c>
      <c r="L196" s="3"/>
      <c r="M196" s="3"/>
      <c r="N196" s="3"/>
      <c r="O196" s="3"/>
    </row>
    <row r="197" spans="1:15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17">
        <f t="shared" si="3"/>
        <v>0</v>
      </c>
      <c r="L197" s="3"/>
      <c r="M197" s="3"/>
      <c r="N197" s="3"/>
      <c r="O197" s="3"/>
    </row>
    <row r="198" spans="1:15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17">
        <f t="shared" si="3"/>
        <v>0</v>
      </c>
      <c r="L198" s="3"/>
      <c r="M198" s="3"/>
      <c r="N198" s="3"/>
      <c r="O198" s="3"/>
    </row>
    <row r="199" spans="1:15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17">
        <f t="shared" si="3"/>
        <v>0</v>
      </c>
      <c r="L199" s="3"/>
      <c r="M199" s="3"/>
      <c r="N199" s="3"/>
      <c r="O199" s="3"/>
    </row>
    <row r="200" spans="1:15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17">
        <f t="shared" si="3"/>
        <v>0</v>
      </c>
      <c r="L200" s="3"/>
      <c r="M200" s="3"/>
      <c r="N200" s="3"/>
      <c r="O200" s="3"/>
    </row>
    <row r="201" spans="1:15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17">
        <f t="shared" si="3"/>
        <v>0</v>
      </c>
      <c r="L201" s="3"/>
      <c r="M201" s="3"/>
      <c r="N201" s="3"/>
      <c r="O201" s="3"/>
    </row>
    <row r="202" spans="1:15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17">
        <f t="shared" si="3"/>
        <v>0</v>
      </c>
      <c r="L202" s="3"/>
      <c r="M202" s="3"/>
      <c r="N202" s="3"/>
      <c r="O202" s="3"/>
    </row>
    <row r="203" spans="1:15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17">
        <f t="shared" si="3"/>
        <v>0</v>
      </c>
      <c r="L203" s="3"/>
      <c r="M203" s="3"/>
      <c r="N203" s="3"/>
      <c r="O203" s="3"/>
    </row>
    <row r="204" spans="1:15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17">
        <f t="shared" si="3"/>
        <v>0</v>
      </c>
      <c r="L204" s="3"/>
      <c r="M204" s="3"/>
      <c r="N204" s="3"/>
      <c r="O204" s="3"/>
    </row>
    <row r="205" spans="1:15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17">
        <f t="shared" si="3"/>
        <v>0</v>
      </c>
      <c r="L205" s="3"/>
      <c r="M205" s="3"/>
      <c r="N205" s="3"/>
      <c r="O205" s="3"/>
    </row>
    <row r="206" spans="1:15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17">
        <f t="shared" si="3"/>
        <v>0</v>
      </c>
      <c r="L206" s="3"/>
      <c r="M206" s="3"/>
      <c r="N206" s="3"/>
      <c r="O206" s="3"/>
    </row>
    <row r="207" spans="1:15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17">
        <f t="shared" si="3"/>
        <v>0</v>
      </c>
      <c r="L207" s="3"/>
      <c r="M207" s="3"/>
      <c r="N207" s="3"/>
      <c r="O207" s="3"/>
    </row>
    <row r="208" spans="1:15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17">
        <f t="shared" si="3"/>
        <v>0</v>
      </c>
      <c r="L208" s="3"/>
      <c r="M208" s="3"/>
      <c r="N208" s="3"/>
      <c r="O208" s="3"/>
    </row>
    <row r="209" spans="1:15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17">
        <f t="shared" si="3"/>
        <v>0</v>
      </c>
      <c r="L209" s="3"/>
      <c r="M209" s="3"/>
      <c r="N209" s="3"/>
      <c r="O209" s="3"/>
    </row>
    <row r="210" spans="1:15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17">
        <f t="shared" si="3"/>
        <v>0</v>
      </c>
      <c r="L210" s="3"/>
      <c r="M210" s="3"/>
      <c r="N210" s="3"/>
      <c r="O210" s="3"/>
    </row>
    <row r="211" spans="1:15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17">
        <f t="shared" si="3"/>
        <v>0</v>
      </c>
      <c r="L211" s="3"/>
      <c r="M211" s="3"/>
      <c r="N211" s="3"/>
      <c r="O211" s="3"/>
    </row>
    <row r="212" spans="1:15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17">
        <f t="shared" si="3"/>
        <v>0</v>
      </c>
      <c r="L212" s="3"/>
      <c r="M212" s="3"/>
      <c r="N212" s="3"/>
      <c r="O212" s="3"/>
    </row>
    <row r="213" spans="1:15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17">
        <f t="shared" si="3"/>
        <v>0</v>
      </c>
      <c r="L213" s="3"/>
      <c r="M213" s="3"/>
      <c r="N213" s="3"/>
      <c r="O213" s="3"/>
    </row>
    <row r="214" spans="1:15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17">
        <f t="shared" si="3"/>
        <v>0</v>
      </c>
      <c r="L214" s="3"/>
      <c r="M214" s="3"/>
      <c r="N214" s="3"/>
      <c r="O214" s="3"/>
    </row>
    <row r="215" spans="1:15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17">
        <f t="shared" si="3"/>
        <v>0</v>
      </c>
      <c r="L215" s="3"/>
      <c r="M215" s="3"/>
      <c r="N215" s="3"/>
      <c r="O215" s="3"/>
    </row>
    <row r="216" spans="1:15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17">
        <f t="shared" ref="K216:K279" si="4">H216+J216</f>
        <v>0</v>
      </c>
      <c r="L216" s="3"/>
      <c r="M216" s="3"/>
      <c r="N216" s="3"/>
      <c r="O216" s="3"/>
    </row>
    <row r="217" spans="1:15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17">
        <f t="shared" si="4"/>
        <v>0</v>
      </c>
      <c r="L217" s="3"/>
      <c r="M217" s="3"/>
      <c r="N217" s="3"/>
      <c r="O217" s="3"/>
    </row>
    <row r="218" spans="1:1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17">
        <f t="shared" si="4"/>
        <v>0</v>
      </c>
      <c r="L218" s="3"/>
      <c r="M218" s="3"/>
      <c r="N218" s="3"/>
      <c r="O218" s="3"/>
    </row>
    <row r="219" spans="1:1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17">
        <f t="shared" si="4"/>
        <v>0</v>
      </c>
      <c r="L219" s="3"/>
      <c r="M219" s="3"/>
      <c r="N219" s="3"/>
      <c r="O219" s="3"/>
    </row>
    <row r="220" spans="1:1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17">
        <f t="shared" si="4"/>
        <v>0</v>
      </c>
      <c r="L220" s="3"/>
      <c r="M220" s="3"/>
      <c r="N220" s="3"/>
      <c r="O220" s="3"/>
    </row>
    <row r="221" spans="1:1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17">
        <f t="shared" si="4"/>
        <v>0</v>
      </c>
      <c r="L221" s="3"/>
      <c r="M221" s="3"/>
      <c r="N221" s="3"/>
      <c r="O221" s="3"/>
    </row>
    <row r="222" spans="1:15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17">
        <f t="shared" si="4"/>
        <v>0</v>
      </c>
      <c r="L222" s="3"/>
      <c r="M222" s="3"/>
      <c r="N222" s="3"/>
      <c r="O222" s="3"/>
    </row>
    <row r="223" spans="1:15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17">
        <f t="shared" si="4"/>
        <v>0</v>
      </c>
      <c r="L223" s="3"/>
      <c r="M223" s="3"/>
      <c r="N223" s="3"/>
      <c r="O223" s="3"/>
    </row>
    <row r="224" spans="1:15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17">
        <f t="shared" si="4"/>
        <v>0</v>
      </c>
      <c r="L224" s="3"/>
      <c r="M224" s="3"/>
      <c r="N224" s="3"/>
      <c r="O224" s="3"/>
    </row>
    <row r="225" spans="1:15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17">
        <f t="shared" si="4"/>
        <v>0</v>
      </c>
      <c r="L225" s="3"/>
      <c r="M225" s="3"/>
      <c r="N225" s="3"/>
      <c r="O225" s="3"/>
    </row>
    <row r="226" spans="1:15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17">
        <f t="shared" si="4"/>
        <v>0</v>
      </c>
      <c r="L226" s="3"/>
      <c r="M226" s="3"/>
      <c r="N226" s="3"/>
      <c r="O226" s="3"/>
    </row>
    <row r="227" spans="1:1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17">
        <f t="shared" si="4"/>
        <v>0</v>
      </c>
      <c r="L227" s="3"/>
      <c r="M227" s="3"/>
      <c r="N227" s="3"/>
      <c r="O227" s="3"/>
    </row>
    <row r="228" spans="1:1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17">
        <f t="shared" si="4"/>
        <v>0</v>
      </c>
      <c r="L228" s="3"/>
      <c r="M228" s="3"/>
      <c r="N228" s="3"/>
      <c r="O228" s="3"/>
    </row>
    <row r="229" spans="1:1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17">
        <f t="shared" si="4"/>
        <v>0</v>
      </c>
      <c r="L229" s="3"/>
      <c r="M229" s="3"/>
      <c r="N229" s="3"/>
      <c r="O229" s="3"/>
    </row>
    <row r="230" spans="1:1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17">
        <f t="shared" si="4"/>
        <v>0</v>
      </c>
      <c r="L230" s="3"/>
      <c r="M230" s="3"/>
      <c r="N230" s="3"/>
      <c r="O230" s="3"/>
    </row>
    <row r="231" spans="1:1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17">
        <f t="shared" si="4"/>
        <v>0</v>
      </c>
      <c r="L231" s="3"/>
      <c r="M231" s="3"/>
      <c r="N231" s="3"/>
      <c r="O231" s="3"/>
    </row>
    <row r="232" spans="1:1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17">
        <f t="shared" si="4"/>
        <v>0</v>
      </c>
      <c r="L232" s="3"/>
      <c r="M232" s="3"/>
      <c r="N232" s="3"/>
      <c r="O232" s="3"/>
    </row>
    <row r="233" spans="1:1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17">
        <f t="shared" si="4"/>
        <v>0</v>
      </c>
      <c r="L233" s="3"/>
      <c r="M233" s="3"/>
      <c r="N233" s="3"/>
      <c r="O233" s="3"/>
    </row>
    <row r="234" spans="1:15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17">
        <f t="shared" si="4"/>
        <v>0</v>
      </c>
      <c r="L234" s="3"/>
      <c r="M234" s="3"/>
      <c r="N234" s="3"/>
      <c r="O234" s="3"/>
    </row>
    <row r="235" spans="1:1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17">
        <f t="shared" si="4"/>
        <v>0</v>
      </c>
      <c r="L235" s="3"/>
      <c r="M235" s="3"/>
      <c r="N235" s="3"/>
      <c r="O235" s="3"/>
    </row>
    <row r="236" spans="1:1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17">
        <f t="shared" si="4"/>
        <v>0</v>
      </c>
      <c r="L236" s="3"/>
      <c r="M236" s="3"/>
      <c r="N236" s="3"/>
      <c r="O236" s="3"/>
    </row>
    <row r="237" spans="1:1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17">
        <f t="shared" si="4"/>
        <v>0</v>
      </c>
      <c r="L237" s="3"/>
      <c r="M237" s="3"/>
      <c r="N237" s="3"/>
      <c r="O237" s="3"/>
    </row>
    <row r="238" spans="1:1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17">
        <f t="shared" si="4"/>
        <v>0</v>
      </c>
      <c r="L238" s="3"/>
      <c r="M238" s="3"/>
      <c r="N238" s="3"/>
      <c r="O238" s="3"/>
    </row>
    <row r="239" spans="1:1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17">
        <f t="shared" si="4"/>
        <v>0</v>
      </c>
      <c r="L239" s="3"/>
      <c r="M239" s="3"/>
      <c r="N239" s="3"/>
      <c r="O239" s="3"/>
    </row>
    <row r="240" spans="1:1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17">
        <f t="shared" si="4"/>
        <v>0</v>
      </c>
      <c r="L240" s="3"/>
      <c r="M240" s="3"/>
      <c r="N240" s="3"/>
      <c r="O240" s="3"/>
    </row>
    <row r="241" spans="1:1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17">
        <f t="shared" si="4"/>
        <v>0</v>
      </c>
      <c r="L241" s="3"/>
      <c r="M241" s="3"/>
      <c r="N241" s="3"/>
      <c r="O241" s="3"/>
    </row>
    <row r="242" spans="1:1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17">
        <f t="shared" si="4"/>
        <v>0</v>
      </c>
      <c r="L242" s="3"/>
      <c r="M242" s="3"/>
      <c r="N242" s="3"/>
      <c r="O242" s="3"/>
    </row>
    <row r="243" spans="1:1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17">
        <f t="shared" si="4"/>
        <v>0</v>
      </c>
      <c r="L243" s="3"/>
      <c r="M243" s="3"/>
      <c r="N243" s="3"/>
      <c r="O243" s="3"/>
    </row>
    <row r="244" spans="1:1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17">
        <f t="shared" si="4"/>
        <v>0</v>
      </c>
      <c r="L244" s="3"/>
      <c r="M244" s="3"/>
      <c r="N244" s="3"/>
      <c r="O244" s="3"/>
    </row>
    <row r="245" spans="1:1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17">
        <f t="shared" si="4"/>
        <v>0</v>
      </c>
      <c r="L245" s="3"/>
      <c r="M245" s="3"/>
      <c r="N245" s="3"/>
      <c r="O245" s="3"/>
    </row>
    <row r="246" spans="1:1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17">
        <f t="shared" si="4"/>
        <v>0</v>
      </c>
      <c r="L246" s="3"/>
      <c r="M246" s="3"/>
      <c r="N246" s="3"/>
      <c r="O246" s="3"/>
    </row>
    <row r="247" spans="1:1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17">
        <f t="shared" si="4"/>
        <v>0</v>
      </c>
      <c r="L247" s="3"/>
      <c r="M247" s="3"/>
      <c r="N247" s="3"/>
      <c r="O247" s="3"/>
    </row>
    <row r="248" spans="1:1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17">
        <f t="shared" si="4"/>
        <v>0</v>
      </c>
      <c r="L248" s="3"/>
      <c r="M248" s="3"/>
      <c r="N248" s="3"/>
      <c r="O248" s="3"/>
    </row>
    <row r="249" spans="1:1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17">
        <f t="shared" si="4"/>
        <v>0</v>
      </c>
      <c r="L249" s="3"/>
      <c r="M249" s="3"/>
      <c r="N249" s="3"/>
      <c r="O249" s="3"/>
    </row>
    <row r="250" spans="1:1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17">
        <f t="shared" si="4"/>
        <v>0</v>
      </c>
      <c r="L250" s="3"/>
      <c r="M250" s="3"/>
      <c r="N250" s="3"/>
      <c r="O250" s="3"/>
    </row>
    <row r="251" spans="1:1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17">
        <f t="shared" si="4"/>
        <v>0</v>
      </c>
      <c r="L251" s="3"/>
      <c r="M251" s="3"/>
      <c r="N251" s="3"/>
      <c r="O251" s="3"/>
    </row>
    <row r="252" spans="1:1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17">
        <f t="shared" si="4"/>
        <v>0</v>
      </c>
      <c r="L252" s="3"/>
      <c r="M252" s="3"/>
      <c r="N252" s="3"/>
      <c r="O252" s="3"/>
    </row>
    <row r="253" spans="1:1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17">
        <f t="shared" si="4"/>
        <v>0</v>
      </c>
      <c r="L253" s="3"/>
      <c r="M253" s="3"/>
      <c r="N253" s="3"/>
      <c r="O253" s="3"/>
    </row>
    <row r="254" spans="1:1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17">
        <f t="shared" si="4"/>
        <v>0</v>
      </c>
      <c r="L254" s="3"/>
      <c r="M254" s="3"/>
      <c r="N254" s="3"/>
      <c r="O254" s="3"/>
    </row>
    <row r="255" spans="1:1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17">
        <f t="shared" si="4"/>
        <v>0</v>
      </c>
      <c r="L255" s="3"/>
      <c r="M255" s="3"/>
      <c r="N255" s="3"/>
      <c r="O255" s="3"/>
    </row>
    <row r="256" spans="1:1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17">
        <f t="shared" si="4"/>
        <v>0</v>
      </c>
      <c r="L256" s="3"/>
      <c r="M256" s="3"/>
      <c r="N256" s="3"/>
      <c r="O256" s="3"/>
    </row>
    <row r="257" spans="1:1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17">
        <f t="shared" si="4"/>
        <v>0</v>
      </c>
      <c r="L257" s="3"/>
      <c r="M257" s="3"/>
      <c r="N257" s="3"/>
      <c r="O257" s="3"/>
    </row>
    <row r="258" spans="1:1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17">
        <f t="shared" si="4"/>
        <v>0</v>
      </c>
      <c r="L258" s="3"/>
      <c r="M258" s="3"/>
      <c r="N258" s="3"/>
      <c r="O258" s="3"/>
    </row>
    <row r="259" spans="1:1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17">
        <f t="shared" si="4"/>
        <v>0</v>
      </c>
      <c r="L259" s="3"/>
      <c r="M259" s="3"/>
      <c r="N259" s="3"/>
      <c r="O259" s="3"/>
    </row>
    <row r="260" spans="1:1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17">
        <f t="shared" si="4"/>
        <v>0</v>
      </c>
      <c r="L260" s="3"/>
      <c r="M260" s="3"/>
      <c r="N260" s="3"/>
      <c r="O260" s="3"/>
    </row>
    <row r="261" spans="1:1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17">
        <f t="shared" si="4"/>
        <v>0</v>
      </c>
      <c r="L261" s="3"/>
      <c r="M261" s="3"/>
      <c r="N261" s="3"/>
      <c r="O261" s="3"/>
    </row>
    <row r="262" spans="1:1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17">
        <f t="shared" si="4"/>
        <v>0</v>
      </c>
      <c r="L262" s="3"/>
      <c r="M262" s="3"/>
      <c r="N262" s="3"/>
      <c r="O262" s="3"/>
    </row>
    <row r="263" spans="1:1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17">
        <f t="shared" si="4"/>
        <v>0</v>
      </c>
      <c r="L263" s="3"/>
      <c r="M263" s="3"/>
      <c r="N263" s="3"/>
      <c r="O263" s="3"/>
    </row>
    <row r="264" spans="1:1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17">
        <f t="shared" si="4"/>
        <v>0</v>
      </c>
      <c r="L264" s="3"/>
      <c r="M264" s="3"/>
      <c r="N264" s="3"/>
      <c r="O264" s="3"/>
    </row>
    <row r="265" spans="1:1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17">
        <f t="shared" si="4"/>
        <v>0</v>
      </c>
      <c r="L265" s="3"/>
      <c r="M265" s="3"/>
      <c r="N265" s="3"/>
      <c r="O265" s="3"/>
    </row>
    <row r="266" spans="1:1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17">
        <f t="shared" si="4"/>
        <v>0</v>
      </c>
      <c r="L266" s="3"/>
      <c r="M266" s="3"/>
      <c r="N266" s="3"/>
      <c r="O266" s="3"/>
    </row>
    <row r="267" spans="1:1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17">
        <f t="shared" si="4"/>
        <v>0</v>
      </c>
      <c r="L267" s="3"/>
      <c r="M267" s="3"/>
      <c r="N267" s="3"/>
      <c r="O267" s="3"/>
    </row>
    <row r="268" spans="1:1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17">
        <f t="shared" si="4"/>
        <v>0</v>
      </c>
      <c r="L268" s="3"/>
      <c r="M268" s="3"/>
      <c r="N268" s="3"/>
      <c r="O268" s="3"/>
    </row>
    <row r="269" spans="1:1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17">
        <f t="shared" si="4"/>
        <v>0</v>
      </c>
      <c r="L269" s="3"/>
      <c r="M269" s="3"/>
      <c r="N269" s="3"/>
      <c r="O269" s="3"/>
    </row>
    <row r="270" spans="1:1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17">
        <f t="shared" si="4"/>
        <v>0</v>
      </c>
      <c r="L270" s="3"/>
      <c r="M270" s="3"/>
      <c r="N270" s="3"/>
      <c r="O270" s="3"/>
    </row>
    <row r="271" spans="1:1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17">
        <f t="shared" si="4"/>
        <v>0</v>
      </c>
      <c r="L271" s="3"/>
      <c r="M271" s="3"/>
      <c r="N271" s="3"/>
      <c r="O271" s="3"/>
    </row>
    <row r="272" spans="1:1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17">
        <f t="shared" si="4"/>
        <v>0</v>
      </c>
      <c r="L272" s="3"/>
      <c r="M272" s="3"/>
      <c r="N272" s="3"/>
      <c r="O272" s="3"/>
    </row>
    <row r="273" spans="1:1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17">
        <f t="shared" si="4"/>
        <v>0</v>
      </c>
      <c r="L273" s="3"/>
      <c r="M273" s="3"/>
      <c r="N273" s="3"/>
      <c r="O273" s="3"/>
    </row>
    <row r="274" spans="1:1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17">
        <f t="shared" si="4"/>
        <v>0</v>
      </c>
      <c r="L274" s="3"/>
      <c r="M274" s="3"/>
      <c r="N274" s="3"/>
      <c r="O274" s="3"/>
    </row>
    <row r="275" spans="1:1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17">
        <f t="shared" si="4"/>
        <v>0</v>
      </c>
      <c r="L275" s="3"/>
      <c r="M275" s="3"/>
      <c r="N275" s="3"/>
      <c r="O275" s="3"/>
    </row>
    <row r="276" spans="1:1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17">
        <f t="shared" si="4"/>
        <v>0</v>
      </c>
      <c r="L276" s="3"/>
      <c r="M276" s="3"/>
      <c r="N276" s="3"/>
      <c r="O276" s="3"/>
    </row>
    <row r="277" spans="1:1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17">
        <f t="shared" si="4"/>
        <v>0</v>
      </c>
      <c r="L277" s="3"/>
      <c r="M277" s="3"/>
      <c r="N277" s="3"/>
      <c r="O277" s="3"/>
    </row>
    <row r="278" spans="1:1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17">
        <f t="shared" si="4"/>
        <v>0</v>
      </c>
      <c r="L278" s="3"/>
      <c r="M278" s="3"/>
      <c r="N278" s="3"/>
      <c r="O278" s="3"/>
    </row>
    <row r="279" spans="1:1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17">
        <f t="shared" si="4"/>
        <v>0</v>
      </c>
      <c r="L279" s="3"/>
      <c r="M279" s="3"/>
      <c r="N279" s="3"/>
      <c r="O279" s="3"/>
    </row>
    <row r="280" spans="1:1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17">
        <f t="shared" ref="K280:K343" si="5">H280+J280</f>
        <v>0</v>
      </c>
      <c r="L280" s="3"/>
      <c r="M280" s="3"/>
      <c r="N280" s="3"/>
      <c r="O280" s="3"/>
    </row>
    <row r="281" spans="1:1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17">
        <f t="shared" si="5"/>
        <v>0</v>
      </c>
      <c r="L281" s="3"/>
      <c r="M281" s="3"/>
      <c r="N281" s="3"/>
      <c r="O281" s="3"/>
    </row>
    <row r="282" spans="1:1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17">
        <f t="shared" si="5"/>
        <v>0</v>
      </c>
      <c r="L282" s="3"/>
      <c r="M282" s="3"/>
      <c r="N282" s="3"/>
      <c r="O282" s="3"/>
    </row>
    <row r="283" spans="1:1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17">
        <f t="shared" si="5"/>
        <v>0</v>
      </c>
      <c r="L283" s="3"/>
      <c r="M283" s="3"/>
      <c r="N283" s="3"/>
      <c r="O283" s="3"/>
    </row>
    <row r="284" spans="1:1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17">
        <f t="shared" si="5"/>
        <v>0</v>
      </c>
      <c r="L284" s="3"/>
      <c r="M284" s="3"/>
      <c r="N284" s="3"/>
      <c r="O284" s="3"/>
    </row>
    <row r="285" spans="1:1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17">
        <f t="shared" si="5"/>
        <v>0</v>
      </c>
      <c r="L285" s="3"/>
      <c r="M285" s="3"/>
      <c r="N285" s="3"/>
      <c r="O285" s="3"/>
    </row>
    <row r="286" spans="1:1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17">
        <f t="shared" si="5"/>
        <v>0</v>
      </c>
      <c r="L286" s="3"/>
      <c r="M286" s="3"/>
      <c r="N286" s="3"/>
      <c r="O286" s="3"/>
    </row>
    <row r="287" spans="1:1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17">
        <f t="shared" si="5"/>
        <v>0</v>
      </c>
      <c r="L287" s="3"/>
      <c r="M287" s="3"/>
      <c r="N287" s="3"/>
      <c r="O287" s="3"/>
    </row>
    <row r="288" spans="1:1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17">
        <f t="shared" si="5"/>
        <v>0</v>
      </c>
      <c r="L288" s="3"/>
      <c r="M288" s="3"/>
      <c r="N288" s="3"/>
      <c r="O288" s="3"/>
    </row>
    <row r="289" spans="1:1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17">
        <f t="shared" si="5"/>
        <v>0</v>
      </c>
      <c r="L289" s="3"/>
      <c r="M289" s="3"/>
      <c r="N289" s="3"/>
      <c r="O289" s="3"/>
    </row>
    <row r="290" spans="1:1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17">
        <f t="shared" si="5"/>
        <v>0</v>
      </c>
      <c r="L290" s="3"/>
      <c r="M290" s="3"/>
      <c r="N290" s="3"/>
      <c r="O290" s="3"/>
    </row>
    <row r="291" spans="1:1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17">
        <f t="shared" si="5"/>
        <v>0</v>
      </c>
      <c r="L291" s="3"/>
      <c r="M291" s="3"/>
      <c r="N291" s="3"/>
      <c r="O291" s="3"/>
    </row>
    <row r="292" spans="1:1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17">
        <f t="shared" si="5"/>
        <v>0</v>
      </c>
      <c r="L292" s="3"/>
      <c r="M292" s="3"/>
      <c r="N292" s="3"/>
      <c r="O292" s="3"/>
    </row>
    <row r="293" spans="1:1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17">
        <f t="shared" si="5"/>
        <v>0</v>
      </c>
      <c r="L293" s="3"/>
      <c r="M293" s="3"/>
      <c r="N293" s="3"/>
      <c r="O293" s="3"/>
    </row>
    <row r="294" spans="1:1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17">
        <f t="shared" si="5"/>
        <v>0</v>
      </c>
      <c r="L294" s="3"/>
      <c r="M294" s="3"/>
      <c r="N294" s="3"/>
      <c r="O294" s="3"/>
    </row>
    <row r="295" spans="1:1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17">
        <f t="shared" si="5"/>
        <v>0</v>
      </c>
      <c r="L295" s="3"/>
      <c r="M295" s="3"/>
      <c r="N295" s="3"/>
      <c r="O295" s="3"/>
    </row>
    <row r="296" spans="1:1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17">
        <f t="shared" si="5"/>
        <v>0</v>
      </c>
      <c r="L296" s="3"/>
      <c r="M296" s="3"/>
      <c r="N296" s="3"/>
      <c r="O296" s="3"/>
    </row>
    <row r="297" spans="1:1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17">
        <f t="shared" si="5"/>
        <v>0</v>
      </c>
      <c r="L297" s="3"/>
      <c r="M297" s="3"/>
      <c r="N297" s="3"/>
      <c r="O297" s="3"/>
    </row>
    <row r="298" spans="1:1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17">
        <f t="shared" si="5"/>
        <v>0</v>
      </c>
      <c r="L298" s="3"/>
      <c r="M298" s="3"/>
      <c r="N298" s="3"/>
      <c r="O298" s="3"/>
    </row>
    <row r="299" spans="1:1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17">
        <f t="shared" si="5"/>
        <v>0</v>
      </c>
      <c r="L299" s="3"/>
      <c r="M299" s="3"/>
      <c r="N299" s="3"/>
      <c r="O299" s="3"/>
    </row>
    <row r="300" spans="1:15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17">
        <f t="shared" si="5"/>
        <v>0</v>
      </c>
      <c r="L300" s="3"/>
      <c r="M300" s="3"/>
      <c r="N300" s="3"/>
      <c r="O300" s="3"/>
    </row>
    <row r="301" spans="1:15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17">
        <f t="shared" si="5"/>
        <v>0</v>
      </c>
      <c r="L301" s="3"/>
      <c r="M301" s="3"/>
      <c r="N301" s="3"/>
      <c r="O301" s="3"/>
    </row>
    <row r="302" spans="1:15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17">
        <f t="shared" si="5"/>
        <v>0</v>
      </c>
      <c r="L302" s="3"/>
      <c r="M302" s="3"/>
      <c r="N302" s="3"/>
      <c r="O302" s="3"/>
    </row>
    <row r="303" spans="1:15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17">
        <f t="shared" si="5"/>
        <v>0</v>
      </c>
      <c r="L303" s="3"/>
      <c r="M303" s="3"/>
      <c r="N303" s="3"/>
      <c r="O303" s="3"/>
    </row>
    <row r="304" spans="1:15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17">
        <f t="shared" si="5"/>
        <v>0</v>
      </c>
      <c r="L304" s="3"/>
      <c r="M304" s="3"/>
      <c r="N304" s="3"/>
      <c r="O304" s="3"/>
    </row>
    <row r="305" spans="1:15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17">
        <f t="shared" si="5"/>
        <v>0</v>
      </c>
      <c r="L305" s="3"/>
      <c r="M305" s="3"/>
      <c r="N305" s="3"/>
      <c r="O305" s="3"/>
    </row>
    <row r="306" spans="1:15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17">
        <f t="shared" si="5"/>
        <v>0</v>
      </c>
      <c r="L306" s="3"/>
      <c r="M306" s="3"/>
      <c r="N306" s="3"/>
      <c r="O306" s="3"/>
    </row>
    <row r="307" spans="1:15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17">
        <f t="shared" si="5"/>
        <v>0</v>
      </c>
      <c r="L307" s="3"/>
      <c r="M307" s="3"/>
      <c r="N307" s="3"/>
      <c r="O307" s="3"/>
    </row>
    <row r="308" spans="1:15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17">
        <f t="shared" si="5"/>
        <v>0</v>
      </c>
      <c r="L308" s="3"/>
      <c r="M308" s="3"/>
      <c r="N308" s="3"/>
      <c r="O308" s="3"/>
    </row>
    <row r="309" spans="1:15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17">
        <f t="shared" si="5"/>
        <v>0</v>
      </c>
      <c r="L309" s="3"/>
      <c r="M309" s="3"/>
      <c r="N309" s="3"/>
      <c r="O309" s="3"/>
    </row>
    <row r="310" spans="1:15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17">
        <f t="shared" si="5"/>
        <v>0</v>
      </c>
      <c r="L310" s="3"/>
      <c r="M310" s="3"/>
      <c r="N310" s="3"/>
      <c r="O310" s="3"/>
    </row>
    <row r="311" spans="1:15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17">
        <f t="shared" si="5"/>
        <v>0</v>
      </c>
      <c r="L311" s="3"/>
      <c r="M311" s="3"/>
      <c r="N311" s="3"/>
      <c r="O311" s="3"/>
    </row>
    <row r="312" spans="1:15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17">
        <f t="shared" si="5"/>
        <v>0</v>
      </c>
      <c r="L312" s="3"/>
      <c r="M312" s="3"/>
      <c r="N312" s="3"/>
      <c r="O312" s="3"/>
    </row>
    <row r="313" spans="1:15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17">
        <f t="shared" si="5"/>
        <v>0</v>
      </c>
      <c r="L313" s="3"/>
      <c r="M313" s="3"/>
      <c r="N313" s="3"/>
      <c r="O313" s="3"/>
    </row>
    <row r="314" spans="1:15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17">
        <f t="shared" si="5"/>
        <v>0</v>
      </c>
      <c r="L314" s="3"/>
      <c r="M314" s="3"/>
      <c r="N314" s="3"/>
      <c r="O314" s="3"/>
    </row>
    <row r="315" spans="1:15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17">
        <f t="shared" si="5"/>
        <v>0</v>
      </c>
      <c r="L315" s="3"/>
      <c r="M315" s="3"/>
      <c r="N315" s="3"/>
      <c r="O315" s="3"/>
    </row>
    <row r="316" spans="1:15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17">
        <f t="shared" si="5"/>
        <v>0</v>
      </c>
      <c r="L316" s="3"/>
      <c r="M316" s="3"/>
      <c r="N316" s="3"/>
      <c r="O316" s="3"/>
    </row>
    <row r="317" spans="1:15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17">
        <f t="shared" si="5"/>
        <v>0</v>
      </c>
      <c r="L317" s="3"/>
      <c r="M317" s="3"/>
      <c r="N317" s="3"/>
      <c r="O317" s="3"/>
    </row>
    <row r="318" spans="1:15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17">
        <f t="shared" si="5"/>
        <v>0</v>
      </c>
      <c r="L318" s="3"/>
      <c r="M318" s="3"/>
      <c r="N318" s="3"/>
      <c r="O318" s="3"/>
    </row>
    <row r="319" spans="1:15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17">
        <f t="shared" si="5"/>
        <v>0</v>
      </c>
      <c r="L319" s="3"/>
      <c r="M319" s="3"/>
      <c r="N319" s="3"/>
      <c r="O319" s="3"/>
    </row>
    <row r="320" spans="1:15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17">
        <f t="shared" si="5"/>
        <v>0</v>
      </c>
      <c r="L320" s="3"/>
      <c r="M320" s="3"/>
      <c r="N320" s="3"/>
      <c r="O320" s="3"/>
    </row>
    <row r="321" spans="1:15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17">
        <f t="shared" si="5"/>
        <v>0</v>
      </c>
      <c r="L321" s="3"/>
      <c r="M321" s="3"/>
      <c r="N321" s="3"/>
      <c r="O321" s="3"/>
    </row>
    <row r="322" spans="1:15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17">
        <f t="shared" si="5"/>
        <v>0</v>
      </c>
      <c r="L322" s="3"/>
      <c r="M322" s="3"/>
      <c r="N322" s="3"/>
      <c r="O322" s="3"/>
    </row>
    <row r="323" spans="1:15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17">
        <f t="shared" si="5"/>
        <v>0</v>
      </c>
      <c r="L323" s="3"/>
      <c r="M323" s="3"/>
      <c r="N323" s="3"/>
      <c r="O323" s="3"/>
    </row>
    <row r="324" spans="1:15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17">
        <f t="shared" si="5"/>
        <v>0</v>
      </c>
      <c r="L324" s="3"/>
      <c r="M324" s="3"/>
      <c r="N324" s="3"/>
      <c r="O324" s="3"/>
    </row>
    <row r="325" spans="1:15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17">
        <f t="shared" si="5"/>
        <v>0</v>
      </c>
      <c r="L325" s="3"/>
      <c r="M325" s="3"/>
      <c r="N325" s="3"/>
      <c r="O325" s="3"/>
    </row>
    <row r="326" spans="1:15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17">
        <f t="shared" si="5"/>
        <v>0</v>
      </c>
      <c r="L326" s="3"/>
      <c r="M326" s="3"/>
      <c r="N326" s="3"/>
      <c r="O326" s="3"/>
    </row>
    <row r="327" spans="1:15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17">
        <f t="shared" si="5"/>
        <v>0</v>
      </c>
      <c r="L327" s="3"/>
      <c r="M327" s="3"/>
      <c r="N327" s="3"/>
      <c r="O327" s="3"/>
    </row>
    <row r="328" spans="1:15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17">
        <f t="shared" si="5"/>
        <v>0</v>
      </c>
      <c r="L328" s="3"/>
      <c r="M328" s="3"/>
      <c r="N328" s="3"/>
      <c r="O328" s="3"/>
    </row>
    <row r="329" spans="1:15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17">
        <f t="shared" si="5"/>
        <v>0</v>
      </c>
      <c r="L329" s="3"/>
      <c r="M329" s="3"/>
      <c r="N329" s="3"/>
      <c r="O329" s="3"/>
    </row>
    <row r="330" spans="1:15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17">
        <f t="shared" si="5"/>
        <v>0</v>
      </c>
      <c r="L330" s="3"/>
      <c r="M330" s="3"/>
      <c r="N330" s="3"/>
      <c r="O330" s="3"/>
    </row>
    <row r="331" spans="1:15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17">
        <f t="shared" si="5"/>
        <v>0</v>
      </c>
      <c r="L331" s="3"/>
      <c r="M331" s="3"/>
      <c r="N331" s="3"/>
      <c r="O331" s="3"/>
    </row>
    <row r="332" spans="1:15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17">
        <f t="shared" si="5"/>
        <v>0</v>
      </c>
      <c r="L332" s="3"/>
      <c r="M332" s="3"/>
      <c r="N332" s="3"/>
      <c r="O332" s="3"/>
    </row>
    <row r="333" spans="1:15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17">
        <f t="shared" si="5"/>
        <v>0</v>
      </c>
      <c r="L333" s="3"/>
      <c r="M333" s="3"/>
      <c r="N333" s="3"/>
      <c r="O333" s="3"/>
    </row>
    <row r="334" spans="1:15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17">
        <f t="shared" si="5"/>
        <v>0</v>
      </c>
      <c r="L334" s="3"/>
      <c r="M334" s="3"/>
      <c r="N334" s="3"/>
      <c r="O334" s="3"/>
    </row>
    <row r="335" spans="1:15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17">
        <f t="shared" si="5"/>
        <v>0</v>
      </c>
      <c r="L335" s="3"/>
      <c r="M335" s="3"/>
      <c r="N335" s="3"/>
      <c r="O335" s="3"/>
    </row>
    <row r="336" spans="1:15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17">
        <f t="shared" si="5"/>
        <v>0</v>
      </c>
      <c r="L336" s="3"/>
      <c r="M336" s="3"/>
      <c r="N336" s="3"/>
      <c r="O336" s="3"/>
    </row>
    <row r="337" spans="1:15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17">
        <f t="shared" si="5"/>
        <v>0</v>
      </c>
      <c r="L337" s="3"/>
      <c r="M337" s="3"/>
      <c r="N337" s="3"/>
      <c r="O337" s="3"/>
    </row>
    <row r="338" spans="1:15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17">
        <f t="shared" si="5"/>
        <v>0</v>
      </c>
      <c r="L338" s="3"/>
      <c r="M338" s="3"/>
      <c r="N338" s="3"/>
      <c r="O338" s="3"/>
    </row>
    <row r="339" spans="1:15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17">
        <f t="shared" si="5"/>
        <v>0</v>
      </c>
      <c r="L339" s="3"/>
      <c r="M339" s="3"/>
      <c r="N339" s="3"/>
      <c r="O339" s="3"/>
    </row>
    <row r="340" spans="1:15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17">
        <f t="shared" si="5"/>
        <v>0</v>
      </c>
      <c r="L340" s="3"/>
      <c r="M340" s="3"/>
      <c r="N340" s="3"/>
      <c r="O340" s="3"/>
    </row>
    <row r="341" spans="1:15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17">
        <f t="shared" si="5"/>
        <v>0</v>
      </c>
      <c r="L341" s="3"/>
      <c r="M341" s="3"/>
      <c r="N341" s="3"/>
      <c r="O341" s="3"/>
    </row>
    <row r="342" spans="1:15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17">
        <f t="shared" si="5"/>
        <v>0</v>
      </c>
      <c r="L342" s="3"/>
      <c r="M342" s="3"/>
      <c r="N342" s="3"/>
      <c r="O342" s="3"/>
    </row>
    <row r="343" spans="1:15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17">
        <f t="shared" si="5"/>
        <v>0</v>
      </c>
      <c r="L343" s="3"/>
      <c r="M343" s="3"/>
      <c r="N343" s="3"/>
      <c r="O343" s="3"/>
    </row>
    <row r="344" spans="1:15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17">
        <f t="shared" ref="K344:K407" si="6">H344+J344</f>
        <v>0</v>
      </c>
      <c r="L344" s="3"/>
      <c r="M344" s="3"/>
      <c r="N344" s="3"/>
      <c r="O344" s="3"/>
    </row>
    <row r="345" spans="1:15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17">
        <f t="shared" si="6"/>
        <v>0</v>
      </c>
      <c r="L345" s="3"/>
      <c r="M345" s="3"/>
      <c r="N345" s="3"/>
      <c r="O345" s="3"/>
    </row>
    <row r="346" spans="1:15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17">
        <f t="shared" si="6"/>
        <v>0</v>
      </c>
      <c r="L346" s="3"/>
      <c r="M346" s="3"/>
      <c r="N346" s="3"/>
      <c r="O346" s="3"/>
    </row>
    <row r="347" spans="1:15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17">
        <f t="shared" si="6"/>
        <v>0</v>
      </c>
      <c r="L347" s="3"/>
      <c r="M347" s="3"/>
      <c r="N347" s="3"/>
      <c r="O347" s="3"/>
    </row>
    <row r="348" spans="1:15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17">
        <f t="shared" si="6"/>
        <v>0</v>
      </c>
      <c r="L348" s="3"/>
      <c r="M348" s="3"/>
      <c r="N348" s="3"/>
      <c r="O348" s="3"/>
    </row>
    <row r="349" spans="1:15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17">
        <f t="shared" si="6"/>
        <v>0</v>
      </c>
      <c r="L349" s="3"/>
      <c r="M349" s="3"/>
      <c r="N349" s="3"/>
      <c r="O349" s="3"/>
    </row>
    <row r="350" spans="1:15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17">
        <f t="shared" si="6"/>
        <v>0</v>
      </c>
      <c r="L350" s="3"/>
      <c r="M350" s="3"/>
      <c r="N350" s="3"/>
      <c r="O350" s="3"/>
    </row>
    <row r="351" spans="1:15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17">
        <f t="shared" si="6"/>
        <v>0</v>
      </c>
      <c r="L351" s="3"/>
      <c r="M351" s="3"/>
      <c r="N351" s="3"/>
      <c r="O351" s="3"/>
    </row>
    <row r="352" spans="1:15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17">
        <f t="shared" si="6"/>
        <v>0</v>
      </c>
      <c r="L352" s="3"/>
      <c r="M352" s="3"/>
      <c r="N352" s="3"/>
      <c r="O352" s="3"/>
    </row>
    <row r="353" spans="1:15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17">
        <f t="shared" si="6"/>
        <v>0</v>
      </c>
      <c r="L353" s="3"/>
      <c r="M353" s="3"/>
      <c r="N353" s="3"/>
      <c r="O353" s="3"/>
    </row>
    <row r="354" spans="1:15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17">
        <f t="shared" si="6"/>
        <v>0</v>
      </c>
      <c r="L354" s="3"/>
      <c r="M354" s="3"/>
      <c r="N354" s="3"/>
      <c r="O354" s="3"/>
    </row>
    <row r="355" spans="1:15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17">
        <f t="shared" si="6"/>
        <v>0</v>
      </c>
      <c r="L355" s="3"/>
      <c r="M355" s="3"/>
      <c r="N355" s="3"/>
      <c r="O355" s="3"/>
    </row>
    <row r="356" spans="1:15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17">
        <f t="shared" si="6"/>
        <v>0</v>
      </c>
      <c r="L356" s="3"/>
      <c r="M356" s="3"/>
      <c r="N356" s="3"/>
      <c r="O356" s="3"/>
    </row>
    <row r="357" spans="1:15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17">
        <f t="shared" si="6"/>
        <v>0</v>
      </c>
      <c r="L357" s="3"/>
      <c r="M357" s="3"/>
      <c r="N357" s="3"/>
      <c r="O357" s="3"/>
    </row>
    <row r="358" spans="1:15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17">
        <f t="shared" si="6"/>
        <v>0</v>
      </c>
      <c r="L358" s="3"/>
      <c r="M358" s="3"/>
      <c r="N358" s="3"/>
      <c r="O358" s="3"/>
    </row>
    <row r="359" spans="1:15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17">
        <f t="shared" si="6"/>
        <v>0</v>
      </c>
      <c r="L359" s="3"/>
      <c r="M359" s="3"/>
      <c r="N359" s="3"/>
      <c r="O359" s="3"/>
    </row>
    <row r="360" spans="1:15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17">
        <f t="shared" si="6"/>
        <v>0</v>
      </c>
      <c r="L360" s="3"/>
      <c r="M360" s="3"/>
      <c r="N360" s="3"/>
      <c r="O360" s="3"/>
    </row>
    <row r="361" spans="1:15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17">
        <f t="shared" si="6"/>
        <v>0</v>
      </c>
      <c r="L361" s="3"/>
      <c r="M361" s="3"/>
      <c r="N361" s="3"/>
      <c r="O361" s="3"/>
    </row>
    <row r="362" spans="1:15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17">
        <f t="shared" si="6"/>
        <v>0</v>
      </c>
      <c r="L362" s="3"/>
      <c r="M362" s="3"/>
      <c r="N362" s="3"/>
      <c r="O362" s="3"/>
    </row>
    <row r="363" spans="1:15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17">
        <f t="shared" si="6"/>
        <v>0</v>
      </c>
      <c r="L363" s="3"/>
      <c r="M363" s="3"/>
      <c r="N363" s="3"/>
      <c r="O363" s="3"/>
    </row>
    <row r="364" spans="1:15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17">
        <f t="shared" si="6"/>
        <v>0</v>
      </c>
      <c r="L364" s="3"/>
      <c r="M364" s="3"/>
      <c r="N364" s="3"/>
      <c r="O364" s="3"/>
    </row>
    <row r="365" spans="1:15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17">
        <f t="shared" si="6"/>
        <v>0</v>
      </c>
      <c r="L365" s="3"/>
      <c r="M365" s="3"/>
      <c r="N365" s="3"/>
      <c r="O365" s="3"/>
    </row>
    <row r="366" spans="1:15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17">
        <f t="shared" si="6"/>
        <v>0</v>
      </c>
      <c r="L366" s="3"/>
      <c r="M366" s="3"/>
      <c r="N366" s="3"/>
      <c r="O366" s="3"/>
    </row>
    <row r="367" spans="1:15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17">
        <f t="shared" si="6"/>
        <v>0</v>
      </c>
      <c r="L367" s="3"/>
      <c r="M367" s="3"/>
      <c r="N367" s="3"/>
      <c r="O367" s="3"/>
    </row>
    <row r="368" spans="1:15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17">
        <f t="shared" si="6"/>
        <v>0</v>
      </c>
      <c r="L368" s="3"/>
      <c r="M368" s="3"/>
      <c r="N368" s="3"/>
      <c r="O368" s="3"/>
    </row>
    <row r="369" spans="1:15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17">
        <f t="shared" si="6"/>
        <v>0</v>
      </c>
      <c r="L369" s="3"/>
      <c r="M369" s="3"/>
      <c r="N369" s="3"/>
      <c r="O369" s="3"/>
    </row>
    <row r="370" spans="1:15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17">
        <f t="shared" si="6"/>
        <v>0</v>
      </c>
      <c r="L370" s="3"/>
      <c r="M370" s="3"/>
      <c r="N370" s="3"/>
      <c r="O370" s="3"/>
    </row>
    <row r="371" spans="1:15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17">
        <f t="shared" si="6"/>
        <v>0</v>
      </c>
      <c r="L371" s="3"/>
      <c r="M371" s="3"/>
      <c r="N371" s="3"/>
      <c r="O371" s="3"/>
    </row>
    <row r="372" spans="1:15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17">
        <f t="shared" si="6"/>
        <v>0</v>
      </c>
      <c r="L372" s="3"/>
      <c r="M372" s="3"/>
      <c r="N372" s="3"/>
      <c r="O372" s="3"/>
    </row>
    <row r="373" spans="1:15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17">
        <f t="shared" si="6"/>
        <v>0</v>
      </c>
      <c r="L373" s="3"/>
      <c r="M373" s="3"/>
      <c r="N373" s="3"/>
      <c r="O373" s="3"/>
    </row>
    <row r="374" spans="1:15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17">
        <f t="shared" si="6"/>
        <v>0</v>
      </c>
      <c r="L374" s="3"/>
      <c r="M374" s="3"/>
      <c r="N374" s="3"/>
      <c r="O374" s="3"/>
    </row>
    <row r="375" spans="1:15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17">
        <f t="shared" si="6"/>
        <v>0</v>
      </c>
      <c r="L375" s="3"/>
      <c r="M375" s="3"/>
      <c r="N375" s="3"/>
      <c r="O375" s="3"/>
    </row>
    <row r="376" spans="1:15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17">
        <f t="shared" si="6"/>
        <v>0</v>
      </c>
      <c r="L376" s="3"/>
      <c r="M376" s="3"/>
      <c r="N376" s="3"/>
      <c r="O376" s="3"/>
    </row>
    <row r="377" spans="1:15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17">
        <f t="shared" si="6"/>
        <v>0</v>
      </c>
      <c r="L377" s="3"/>
      <c r="M377" s="3"/>
      <c r="N377" s="3"/>
      <c r="O377" s="3"/>
    </row>
    <row r="378" spans="1:15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17">
        <f t="shared" si="6"/>
        <v>0</v>
      </c>
      <c r="L378" s="3"/>
      <c r="M378" s="3"/>
      <c r="N378" s="3"/>
      <c r="O378" s="3"/>
    </row>
    <row r="379" spans="1:15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17">
        <f t="shared" si="6"/>
        <v>0</v>
      </c>
      <c r="L379" s="3"/>
      <c r="M379" s="3"/>
      <c r="N379" s="3"/>
      <c r="O379" s="3"/>
    </row>
    <row r="380" spans="1:15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17">
        <f t="shared" si="6"/>
        <v>0</v>
      </c>
      <c r="L380" s="3"/>
      <c r="M380" s="3"/>
      <c r="N380" s="3"/>
      <c r="O380" s="3"/>
    </row>
    <row r="381" spans="1:15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17">
        <f t="shared" si="6"/>
        <v>0</v>
      </c>
      <c r="L381" s="3"/>
      <c r="M381" s="3"/>
      <c r="N381" s="3"/>
      <c r="O381" s="3"/>
    </row>
    <row r="382" spans="1:15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17">
        <f t="shared" si="6"/>
        <v>0</v>
      </c>
      <c r="L382" s="3"/>
      <c r="M382" s="3"/>
      <c r="N382" s="3"/>
      <c r="O382" s="3"/>
    </row>
    <row r="383" spans="1:15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17">
        <f t="shared" si="6"/>
        <v>0</v>
      </c>
      <c r="L383" s="3"/>
      <c r="M383" s="3"/>
      <c r="N383" s="3"/>
      <c r="O383" s="3"/>
    </row>
    <row r="384" spans="1:15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17">
        <f t="shared" si="6"/>
        <v>0</v>
      </c>
      <c r="L384" s="3"/>
      <c r="M384" s="3"/>
      <c r="N384" s="3"/>
      <c r="O384" s="3"/>
    </row>
    <row r="385" spans="1:15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17">
        <f t="shared" si="6"/>
        <v>0</v>
      </c>
      <c r="L385" s="3"/>
      <c r="M385" s="3"/>
      <c r="N385" s="3"/>
      <c r="O385" s="3"/>
    </row>
    <row r="386" spans="1:15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17">
        <f t="shared" si="6"/>
        <v>0</v>
      </c>
      <c r="L386" s="3"/>
      <c r="M386" s="3"/>
      <c r="N386" s="3"/>
      <c r="O386" s="3"/>
    </row>
    <row r="387" spans="1:15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17">
        <f t="shared" si="6"/>
        <v>0</v>
      </c>
      <c r="L387" s="3"/>
      <c r="M387" s="3"/>
      <c r="N387" s="3"/>
      <c r="O387" s="3"/>
    </row>
    <row r="388" spans="1:15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17">
        <f t="shared" si="6"/>
        <v>0</v>
      </c>
      <c r="L388" s="3"/>
      <c r="M388" s="3"/>
      <c r="N388" s="3"/>
      <c r="O388" s="3"/>
    </row>
    <row r="389" spans="1:15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17">
        <f t="shared" si="6"/>
        <v>0</v>
      </c>
      <c r="L389" s="3"/>
      <c r="M389" s="3"/>
      <c r="N389" s="3"/>
      <c r="O389" s="3"/>
    </row>
    <row r="390" spans="1:15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17">
        <f t="shared" si="6"/>
        <v>0</v>
      </c>
      <c r="L390" s="3"/>
      <c r="M390" s="3"/>
      <c r="N390" s="3"/>
      <c r="O390" s="3"/>
    </row>
    <row r="391" spans="1:15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17">
        <f t="shared" si="6"/>
        <v>0</v>
      </c>
      <c r="L391" s="3"/>
      <c r="M391" s="3"/>
      <c r="N391" s="3"/>
      <c r="O391" s="3"/>
    </row>
    <row r="392" spans="1:15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17">
        <f t="shared" si="6"/>
        <v>0</v>
      </c>
      <c r="L392" s="3"/>
      <c r="M392" s="3"/>
      <c r="N392" s="3"/>
      <c r="O392" s="3"/>
    </row>
    <row r="393" spans="1:15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17">
        <f t="shared" si="6"/>
        <v>0</v>
      </c>
      <c r="L393" s="3"/>
      <c r="M393" s="3"/>
      <c r="N393" s="3"/>
      <c r="O393" s="3"/>
    </row>
    <row r="394" spans="1:15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17">
        <f t="shared" si="6"/>
        <v>0</v>
      </c>
      <c r="L394" s="3"/>
      <c r="M394" s="3"/>
      <c r="N394" s="3"/>
      <c r="O394" s="3"/>
    </row>
    <row r="395" spans="1:15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17">
        <f t="shared" si="6"/>
        <v>0</v>
      </c>
      <c r="L395" s="3"/>
      <c r="M395" s="3"/>
      <c r="N395" s="3"/>
      <c r="O395" s="3"/>
    </row>
    <row r="396" spans="1:15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17">
        <f t="shared" si="6"/>
        <v>0</v>
      </c>
      <c r="L396" s="3"/>
      <c r="M396" s="3"/>
      <c r="N396" s="3"/>
      <c r="O396" s="3"/>
    </row>
    <row r="397" spans="1:15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17">
        <f t="shared" si="6"/>
        <v>0</v>
      </c>
      <c r="L397" s="3"/>
      <c r="M397" s="3"/>
      <c r="N397" s="3"/>
      <c r="O397" s="3"/>
    </row>
    <row r="398" spans="1:15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17">
        <f t="shared" si="6"/>
        <v>0</v>
      </c>
      <c r="L398" s="3"/>
      <c r="M398" s="3"/>
      <c r="N398" s="3"/>
      <c r="O398" s="3"/>
    </row>
    <row r="399" spans="1:15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17">
        <f t="shared" si="6"/>
        <v>0</v>
      </c>
      <c r="L399" s="3"/>
      <c r="M399" s="3"/>
      <c r="N399" s="3"/>
      <c r="O399" s="3"/>
    </row>
    <row r="400" spans="1:15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17">
        <f t="shared" si="6"/>
        <v>0</v>
      </c>
      <c r="L400" s="3"/>
      <c r="M400" s="3"/>
      <c r="N400" s="3"/>
      <c r="O400" s="3"/>
    </row>
    <row r="401" spans="1:15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17">
        <f t="shared" si="6"/>
        <v>0</v>
      </c>
      <c r="L401" s="3"/>
      <c r="M401" s="3"/>
      <c r="N401" s="3"/>
      <c r="O401" s="3"/>
    </row>
    <row r="402" spans="1:15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17">
        <f t="shared" si="6"/>
        <v>0</v>
      </c>
      <c r="L402" s="3"/>
      <c r="M402" s="3"/>
      <c r="N402" s="3"/>
      <c r="O402" s="3"/>
    </row>
    <row r="403" spans="1:15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17">
        <f t="shared" si="6"/>
        <v>0</v>
      </c>
      <c r="L403" s="3"/>
      <c r="M403" s="3"/>
      <c r="N403" s="3"/>
      <c r="O403" s="3"/>
    </row>
    <row r="404" spans="1:15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17">
        <f t="shared" si="6"/>
        <v>0</v>
      </c>
      <c r="L404" s="3"/>
      <c r="M404" s="3"/>
      <c r="N404" s="3"/>
      <c r="O404" s="3"/>
    </row>
    <row r="405" spans="1:15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17">
        <f t="shared" si="6"/>
        <v>0</v>
      </c>
      <c r="L405" s="3"/>
      <c r="M405" s="3"/>
      <c r="N405" s="3"/>
      <c r="O405" s="3"/>
    </row>
    <row r="406" spans="1:15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17">
        <f t="shared" si="6"/>
        <v>0</v>
      </c>
      <c r="L406" s="3"/>
      <c r="M406" s="3"/>
      <c r="N406" s="3"/>
      <c r="O406" s="3"/>
    </row>
    <row r="407" spans="1:15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17">
        <f t="shared" si="6"/>
        <v>0</v>
      </c>
      <c r="L407" s="3"/>
      <c r="M407" s="3"/>
      <c r="N407" s="3"/>
      <c r="O407" s="3"/>
    </row>
    <row r="408" spans="1:15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17">
        <f t="shared" ref="K408:K471" si="7">H408+J408</f>
        <v>0</v>
      </c>
      <c r="L408" s="3"/>
      <c r="M408" s="3"/>
      <c r="N408" s="3"/>
      <c r="O408" s="3"/>
    </row>
    <row r="409" spans="1:15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17">
        <f t="shared" si="7"/>
        <v>0</v>
      </c>
      <c r="L409" s="3"/>
      <c r="M409" s="3"/>
      <c r="N409" s="3"/>
      <c r="O409" s="3"/>
    </row>
    <row r="410" spans="1:15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17">
        <f t="shared" si="7"/>
        <v>0</v>
      </c>
      <c r="L410" s="3"/>
      <c r="M410" s="3"/>
      <c r="N410" s="3"/>
      <c r="O410" s="3"/>
    </row>
    <row r="411" spans="1:15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17">
        <f t="shared" si="7"/>
        <v>0</v>
      </c>
      <c r="L411" s="3"/>
      <c r="M411" s="3"/>
      <c r="N411" s="3"/>
      <c r="O411" s="3"/>
    </row>
    <row r="412" spans="1:15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17">
        <f t="shared" si="7"/>
        <v>0</v>
      </c>
      <c r="L412" s="3"/>
      <c r="M412" s="3"/>
      <c r="N412" s="3"/>
      <c r="O412" s="3"/>
    </row>
    <row r="413" spans="1:15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17">
        <f t="shared" si="7"/>
        <v>0</v>
      </c>
      <c r="L413" s="3"/>
      <c r="M413" s="3"/>
      <c r="N413" s="3"/>
      <c r="O413" s="3"/>
    </row>
    <row r="414" spans="1:15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17">
        <f t="shared" si="7"/>
        <v>0</v>
      </c>
      <c r="L414" s="3"/>
      <c r="M414" s="3"/>
      <c r="N414" s="3"/>
      <c r="O414" s="3"/>
    </row>
    <row r="415" spans="1:15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17">
        <f t="shared" si="7"/>
        <v>0</v>
      </c>
      <c r="L415" s="3"/>
      <c r="M415" s="3"/>
      <c r="N415" s="3"/>
      <c r="O415" s="3"/>
    </row>
    <row r="416" spans="1:15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17">
        <f t="shared" si="7"/>
        <v>0</v>
      </c>
      <c r="L416" s="3"/>
      <c r="M416" s="3"/>
      <c r="N416" s="3"/>
      <c r="O416" s="3"/>
    </row>
    <row r="417" spans="1:15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17">
        <f t="shared" si="7"/>
        <v>0</v>
      </c>
      <c r="L417" s="3"/>
      <c r="M417" s="3"/>
      <c r="N417" s="3"/>
      <c r="O417" s="3"/>
    </row>
    <row r="418" spans="1:15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17">
        <f t="shared" si="7"/>
        <v>0</v>
      </c>
      <c r="L418" s="3"/>
      <c r="M418" s="3"/>
      <c r="N418" s="3"/>
      <c r="O418" s="3"/>
    </row>
    <row r="419" spans="1:15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17">
        <f t="shared" si="7"/>
        <v>0</v>
      </c>
      <c r="L419" s="3"/>
      <c r="M419" s="3"/>
      <c r="N419" s="3"/>
      <c r="O419" s="3"/>
    </row>
    <row r="420" spans="1:1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17">
        <f t="shared" si="7"/>
        <v>0</v>
      </c>
      <c r="L420" s="3"/>
      <c r="M420" s="3"/>
      <c r="N420" s="3"/>
      <c r="O420" s="3"/>
    </row>
    <row r="421" spans="1:15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17">
        <f t="shared" si="7"/>
        <v>0</v>
      </c>
      <c r="L421" s="3"/>
      <c r="M421" s="3"/>
      <c r="N421" s="3"/>
      <c r="O421" s="3"/>
    </row>
    <row r="422" spans="1:15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17">
        <f t="shared" si="7"/>
        <v>0</v>
      </c>
      <c r="L422" s="3"/>
      <c r="M422" s="3"/>
      <c r="N422" s="3"/>
      <c r="O422" s="3"/>
    </row>
    <row r="423" spans="1:15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17">
        <f t="shared" si="7"/>
        <v>0</v>
      </c>
      <c r="L423" s="3"/>
      <c r="M423" s="3"/>
      <c r="N423" s="3"/>
      <c r="O423" s="3"/>
    </row>
    <row r="424" spans="1:15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17">
        <f t="shared" si="7"/>
        <v>0</v>
      </c>
      <c r="L424" s="3"/>
      <c r="M424" s="3"/>
      <c r="N424" s="3"/>
      <c r="O424" s="3"/>
    </row>
    <row r="425" spans="1:15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17">
        <f t="shared" si="7"/>
        <v>0</v>
      </c>
      <c r="L425" s="3"/>
      <c r="M425" s="3"/>
      <c r="N425" s="3"/>
      <c r="O425" s="3"/>
    </row>
    <row r="426" spans="1:15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17">
        <f t="shared" si="7"/>
        <v>0</v>
      </c>
      <c r="L426" s="3"/>
      <c r="M426" s="3"/>
      <c r="N426" s="3"/>
      <c r="O426" s="3"/>
    </row>
    <row r="427" spans="1:15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17">
        <f t="shared" si="7"/>
        <v>0</v>
      </c>
      <c r="L427" s="3"/>
      <c r="M427" s="3"/>
      <c r="N427" s="3"/>
      <c r="O427" s="3"/>
    </row>
    <row r="428" spans="1:15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17">
        <f t="shared" si="7"/>
        <v>0</v>
      </c>
      <c r="L428" s="3"/>
      <c r="M428" s="3"/>
      <c r="N428" s="3"/>
      <c r="O428" s="3"/>
    </row>
    <row r="429" spans="1:15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17">
        <f t="shared" si="7"/>
        <v>0</v>
      </c>
      <c r="L429" s="3"/>
      <c r="M429" s="3"/>
      <c r="N429" s="3"/>
      <c r="O429" s="3"/>
    </row>
    <row r="430" spans="1:15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17">
        <f t="shared" si="7"/>
        <v>0</v>
      </c>
      <c r="L430" s="3"/>
      <c r="M430" s="3"/>
      <c r="N430" s="3"/>
      <c r="O430" s="3"/>
    </row>
    <row r="431" spans="1:15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17">
        <f t="shared" si="7"/>
        <v>0</v>
      </c>
      <c r="L431" s="3"/>
      <c r="M431" s="3"/>
      <c r="N431" s="3"/>
      <c r="O431" s="3"/>
    </row>
    <row r="432" spans="1:15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17">
        <f t="shared" si="7"/>
        <v>0</v>
      </c>
      <c r="L432" s="3"/>
      <c r="M432" s="3"/>
      <c r="N432" s="3"/>
      <c r="O432" s="3"/>
    </row>
    <row r="433" spans="1:15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17">
        <f t="shared" si="7"/>
        <v>0</v>
      </c>
      <c r="L433" s="3"/>
      <c r="M433" s="3"/>
      <c r="N433" s="3"/>
      <c r="O433" s="3"/>
    </row>
    <row r="434" spans="1:15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17">
        <f t="shared" si="7"/>
        <v>0</v>
      </c>
      <c r="L434" s="3"/>
      <c r="M434" s="3"/>
      <c r="N434" s="3"/>
      <c r="O434" s="3"/>
    </row>
    <row r="435" spans="1:15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17">
        <f t="shared" si="7"/>
        <v>0</v>
      </c>
      <c r="L435" s="3"/>
      <c r="M435" s="3"/>
      <c r="N435" s="3"/>
      <c r="O435" s="3"/>
    </row>
    <row r="436" spans="1:15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17">
        <f t="shared" si="7"/>
        <v>0</v>
      </c>
      <c r="L436" s="3"/>
      <c r="M436" s="3"/>
      <c r="N436" s="3"/>
      <c r="O436" s="3"/>
    </row>
    <row r="437" spans="1:15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17">
        <f t="shared" si="7"/>
        <v>0</v>
      </c>
      <c r="L437" s="3"/>
      <c r="M437" s="3"/>
      <c r="N437" s="3"/>
      <c r="O437" s="3"/>
    </row>
    <row r="438" spans="1:15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17">
        <f t="shared" si="7"/>
        <v>0</v>
      </c>
      <c r="L438" s="3"/>
      <c r="M438" s="3"/>
      <c r="N438" s="3"/>
      <c r="O438" s="3"/>
    </row>
    <row r="439" spans="1:15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17">
        <f t="shared" si="7"/>
        <v>0</v>
      </c>
      <c r="L439" s="3"/>
      <c r="M439" s="3"/>
      <c r="N439" s="3"/>
      <c r="O439" s="3"/>
    </row>
    <row r="440" spans="1:15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17">
        <f t="shared" si="7"/>
        <v>0</v>
      </c>
      <c r="L440" s="3"/>
      <c r="M440" s="3"/>
      <c r="N440" s="3"/>
      <c r="O440" s="3"/>
    </row>
    <row r="441" spans="1:15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17">
        <f t="shared" si="7"/>
        <v>0</v>
      </c>
      <c r="L441" s="3"/>
      <c r="M441" s="3"/>
      <c r="N441" s="3"/>
      <c r="O441" s="3"/>
    </row>
    <row r="442" spans="1:15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17">
        <f t="shared" si="7"/>
        <v>0</v>
      </c>
      <c r="L442" s="3"/>
      <c r="M442" s="3"/>
      <c r="N442" s="3"/>
      <c r="O442" s="3"/>
    </row>
    <row r="443" spans="1:15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17">
        <f t="shared" si="7"/>
        <v>0</v>
      </c>
      <c r="L443" s="3"/>
      <c r="M443" s="3"/>
      <c r="N443" s="3"/>
      <c r="O443" s="3"/>
    </row>
    <row r="444" spans="1:15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17">
        <f t="shared" si="7"/>
        <v>0</v>
      </c>
      <c r="L444" s="3"/>
      <c r="M444" s="3"/>
      <c r="N444" s="3"/>
      <c r="O444" s="3"/>
    </row>
    <row r="445" spans="1:15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17">
        <f t="shared" si="7"/>
        <v>0</v>
      </c>
      <c r="L445" s="3"/>
      <c r="M445" s="3"/>
      <c r="N445" s="3"/>
      <c r="O445" s="3"/>
    </row>
    <row r="446" spans="1:15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17">
        <f t="shared" si="7"/>
        <v>0</v>
      </c>
      <c r="L446" s="3"/>
      <c r="M446" s="3"/>
      <c r="N446" s="3"/>
      <c r="O446" s="3"/>
    </row>
    <row r="447" spans="1:15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17">
        <f t="shared" si="7"/>
        <v>0</v>
      </c>
      <c r="L447" s="3"/>
      <c r="M447" s="3"/>
      <c r="N447" s="3"/>
      <c r="O447" s="3"/>
    </row>
    <row r="448" spans="1:15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17">
        <f t="shared" si="7"/>
        <v>0</v>
      </c>
      <c r="L448" s="3"/>
      <c r="M448" s="3"/>
      <c r="N448" s="3"/>
      <c r="O448" s="3"/>
    </row>
    <row r="449" spans="1:15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17">
        <f t="shared" si="7"/>
        <v>0</v>
      </c>
      <c r="L449" s="3"/>
      <c r="M449" s="3"/>
      <c r="N449" s="3"/>
      <c r="O449" s="3"/>
    </row>
    <row r="450" spans="1:15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17">
        <f t="shared" si="7"/>
        <v>0</v>
      </c>
      <c r="L450" s="3"/>
      <c r="M450" s="3"/>
      <c r="N450" s="3"/>
      <c r="O450" s="3"/>
    </row>
    <row r="451" spans="1:15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17">
        <f t="shared" si="7"/>
        <v>0</v>
      </c>
      <c r="L451" s="3"/>
      <c r="M451" s="3"/>
      <c r="N451" s="3"/>
      <c r="O451" s="3"/>
    </row>
    <row r="452" spans="1:15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17">
        <f t="shared" si="7"/>
        <v>0</v>
      </c>
      <c r="L452" s="3"/>
      <c r="M452" s="3"/>
      <c r="N452" s="3"/>
      <c r="O452" s="3"/>
    </row>
    <row r="453" spans="1:15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17">
        <f t="shared" si="7"/>
        <v>0</v>
      </c>
      <c r="L453" s="3"/>
      <c r="M453" s="3"/>
      <c r="N453" s="3"/>
      <c r="O453" s="3"/>
    </row>
    <row r="454" spans="1:15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17">
        <f t="shared" si="7"/>
        <v>0</v>
      </c>
      <c r="L454" s="3"/>
      <c r="M454" s="3"/>
      <c r="N454" s="3"/>
      <c r="O454" s="3"/>
    </row>
    <row r="455" spans="1:15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17">
        <f t="shared" si="7"/>
        <v>0</v>
      </c>
      <c r="L455" s="3"/>
      <c r="M455" s="3"/>
      <c r="N455" s="3"/>
      <c r="O455" s="3"/>
    </row>
    <row r="456" spans="1:15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17">
        <f t="shared" si="7"/>
        <v>0</v>
      </c>
      <c r="L456" s="3"/>
      <c r="M456" s="3"/>
      <c r="N456" s="3"/>
      <c r="O456" s="3"/>
    </row>
    <row r="457" spans="1:15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17">
        <f t="shared" si="7"/>
        <v>0</v>
      </c>
      <c r="L457" s="3"/>
      <c r="M457" s="3"/>
      <c r="N457" s="3"/>
      <c r="O457" s="3"/>
    </row>
    <row r="458" spans="1:15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17">
        <f t="shared" si="7"/>
        <v>0</v>
      </c>
      <c r="L458" s="3"/>
      <c r="M458" s="3"/>
      <c r="N458" s="3"/>
      <c r="O458" s="3"/>
    </row>
    <row r="459" spans="1:15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17">
        <f t="shared" si="7"/>
        <v>0</v>
      </c>
      <c r="L459" s="3"/>
      <c r="M459" s="3"/>
      <c r="N459" s="3"/>
      <c r="O459" s="3"/>
    </row>
    <row r="460" spans="1:15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17">
        <f t="shared" si="7"/>
        <v>0</v>
      </c>
      <c r="L460" s="3"/>
      <c r="M460" s="3"/>
      <c r="N460" s="3"/>
      <c r="O460" s="3"/>
    </row>
    <row r="461" spans="1:15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17">
        <f t="shared" si="7"/>
        <v>0</v>
      </c>
      <c r="L461" s="3"/>
      <c r="M461" s="3"/>
      <c r="N461" s="3"/>
      <c r="O461" s="3"/>
    </row>
    <row r="462" spans="1:15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17">
        <f t="shared" si="7"/>
        <v>0</v>
      </c>
      <c r="L462" s="3"/>
      <c r="M462" s="3"/>
      <c r="N462" s="3"/>
      <c r="O462" s="3"/>
    </row>
    <row r="463" spans="1:15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17">
        <f t="shared" si="7"/>
        <v>0</v>
      </c>
      <c r="L463" s="3"/>
      <c r="M463" s="3"/>
      <c r="N463" s="3"/>
      <c r="O463" s="3"/>
    </row>
    <row r="464" spans="1:15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17">
        <f t="shared" si="7"/>
        <v>0</v>
      </c>
      <c r="L464" s="3"/>
      <c r="M464" s="3"/>
      <c r="N464" s="3"/>
      <c r="O464" s="3"/>
    </row>
    <row r="465" spans="1:15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17">
        <f t="shared" si="7"/>
        <v>0</v>
      </c>
      <c r="L465" s="3"/>
      <c r="M465" s="3"/>
      <c r="N465" s="3"/>
      <c r="O465" s="3"/>
    </row>
    <row r="466" spans="1:15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17">
        <f t="shared" si="7"/>
        <v>0</v>
      </c>
      <c r="L466" s="3"/>
      <c r="M466" s="3"/>
      <c r="N466" s="3"/>
      <c r="O466" s="3"/>
    </row>
    <row r="467" spans="1:15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17">
        <f t="shared" si="7"/>
        <v>0</v>
      </c>
      <c r="L467" s="3"/>
      <c r="M467" s="3"/>
      <c r="N467" s="3"/>
      <c r="O467" s="3"/>
    </row>
    <row r="468" spans="1:15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17">
        <f t="shared" si="7"/>
        <v>0</v>
      </c>
      <c r="L468" s="3"/>
      <c r="M468" s="3"/>
      <c r="N468" s="3"/>
      <c r="O468" s="3"/>
    </row>
    <row r="469" spans="1:15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17">
        <f t="shared" si="7"/>
        <v>0</v>
      </c>
      <c r="L469" s="3"/>
      <c r="M469" s="3"/>
      <c r="N469" s="3"/>
      <c r="O469" s="3"/>
    </row>
    <row r="470" spans="1:15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17">
        <f t="shared" si="7"/>
        <v>0</v>
      </c>
      <c r="L470" s="3"/>
      <c r="M470" s="3"/>
      <c r="N470" s="3"/>
      <c r="O470" s="3"/>
    </row>
    <row r="471" spans="1:15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17">
        <f t="shared" si="7"/>
        <v>0</v>
      </c>
      <c r="L471" s="3"/>
      <c r="M471" s="3"/>
      <c r="N471" s="3"/>
      <c r="O471" s="3"/>
    </row>
    <row r="472" spans="1:15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17">
        <f t="shared" ref="K472:K535" si="8">H472+J472</f>
        <v>0</v>
      </c>
      <c r="L472" s="3"/>
      <c r="M472" s="3"/>
      <c r="N472" s="3"/>
      <c r="O472" s="3"/>
    </row>
    <row r="473" spans="1:15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17">
        <f t="shared" si="8"/>
        <v>0</v>
      </c>
      <c r="L473" s="3"/>
      <c r="M473" s="3"/>
      <c r="N473" s="3"/>
      <c r="O473" s="3"/>
    </row>
    <row r="474" spans="1:15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17">
        <f t="shared" si="8"/>
        <v>0</v>
      </c>
      <c r="L474" s="3"/>
      <c r="M474" s="3"/>
      <c r="N474" s="3"/>
      <c r="O474" s="3"/>
    </row>
    <row r="475" spans="1:15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17">
        <f t="shared" si="8"/>
        <v>0</v>
      </c>
      <c r="L475" s="3"/>
      <c r="M475" s="3"/>
      <c r="N475" s="3"/>
      <c r="O475" s="3"/>
    </row>
    <row r="476" spans="1:15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17">
        <f t="shared" si="8"/>
        <v>0</v>
      </c>
      <c r="L476" s="3"/>
      <c r="M476" s="3"/>
      <c r="N476" s="3"/>
      <c r="O476" s="3"/>
    </row>
    <row r="477" spans="1:15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17">
        <f t="shared" si="8"/>
        <v>0</v>
      </c>
      <c r="L477" s="3"/>
      <c r="M477" s="3"/>
      <c r="N477" s="3"/>
      <c r="O477" s="3"/>
    </row>
    <row r="478" spans="1:15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17">
        <f t="shared" si="8"/>
        <v>0</v>
      </c>
      <c r="L478" s="3"/>
      <c r="M478" s="3"/>
      <c r="N478" s="3"/>
      <c r="O478" s="3"/>
    </row>
    <row r="479" spans="1:15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17">
        <f t="shared" si="8"/>
        <v>0</v>
      </c>
      <c r="L479" s="3"/>
      <c r="M479" s="3"/>
      <c r="N479" s="3"/>
      <c r="O479" s="3"/>
    </row>
    <row r="480" spans="1:15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17">
        <f t="shared" si="8"/>
        <v>0</v>
      </c>
      <c r="L480" s="3"/>
      <c r="M480" s="3"/>
      <c r="N480" s="3"/>
      <c r="O480" s="3"/>
    </row>
    <row r="481" spans="1:15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17">
        <f t="shared" si="8"/>
        <v>0</v>
      </c>
      <c r="L481" s="3"/>
      <c r="M481" s="3"/>
      <c r="N481" s="3"/>
      <c r="O481" s="3"/>
    </row>
    <row r="482" spans="1:15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17">
        <f t="shared" si="8"/>
        <v>0</v>
      </c>
      <c r="L482" s="3"/>
      <c r="M482" s="3"/>
      <c r="N482" s="3"/>
      <c r="O482" s="3"/>
    </row>
    <row r="483" spans="1:15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17">
        <f t="shared" si="8"/>
        <v>0</v>
      </c>
      <c r="L483" s="3"/>
      <c r="M483" s="3"/>
      <c r="N483" s="3"/>
      <c r="O483" s="3"/>
    </row>
    <row r="484" spans="1:15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17">
        <f t="shared" si="8"/>
        <v>0</v>
      </c>
      <c r="L484" s="3"/>
      <c r="M484" s="3"/>
      <c r="N484" s="3"/>
      <c r="O484" s="3"/>
    </row>
    <row r="485" spans="1:15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17">
        <f t="shared" si="8"/>
        <v>0</v>
      </c>
      <c r="L485" s="3"/>
      <c r="M485" s="3"/>
      <c r="N485" s="3"/>
      <c r="O485" s="3"/>
    </row>
    <row r="486" spans="1:15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17">
        <f t="shared" si="8"/>
        <v>0</v>
      </c>
      <c r="L486" s="3"/>
      <c r="M486" s="3"/>
      <c r="N486" s="3"/>
      <c r="O486" s="3"/>
    </row>
    <row r="487" spans="1:15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17">
        <f t="shared" si="8"/>
        <v>0</v>
      </c>
      <c r="L487" s="3"/>
      <c r="M487" s="3"/>
      <c r="N487" s="3"/>
      <c r="O487" s="3"/>
    </row>
    <row r="488" spans="1:15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17">
        <f t="shared" si="8"/>
        <v>0</v>
      </c>
      <c r="L488" s="3"/>
      <c r="M488" s="3"/>
      <c r="N488" s="3"/>
      <c r="O488" s="3"/>
    </row>
    <row r="489" spans="1:15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17">
        <f t="shared" si="8"/>
        <v>0</v>
      </c>
      <c r="L489" s="3"/>
      <c r="M489" s="3"/>
      <c r="N489" s="3"/>
      <c r="O489" s="3"/>
    </row>
    <row r="490" spans="1:15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17">
        <f t="shared" si="8"/>
        <v>0</v>
      </c>
      <c r="L490" s="3"/>
      <c r="M490" s="3"/>
      <c r="N490" s="3"/>
      <c r="O490" s="3"/>
    </row>
    <row r="491" spans="1:15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17">
        <f t="shared" si="8"/>
        <v>0</v>
      </c>
      <c r="L491" s="3"/>
      <c r="M491" s="3"/>
      <c r="N491" s="3"/>
      <c r="O491" s="3"/>
    </row>
    <row r="492" spans="1:15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17">
        <f t="shared" si="8"/>
        <v>0</v>
      </c>
      <c r="L492" s="3"/>
      <c r="M492" s="3"/>
      <c r="N492" s="3"/>
      <c r="O492" s="3"/>
    </row>
    <row r="493" spans="1:15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17">
        <f t="shared" si="8"/>
        <v>0</v>
      </c>
      <c r="L493" s="3"/>
      <c r="M493" s="3"/>
      <c r="N493" s="3"/>
      <c r="O493" s="3"/>
    </row>
    <row r="494" spans="1:15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17">
        <f t="shared" si="8"/>
        <v>0</v>
      </c>
      <c r="L494" s="3"/>
      <c r="M494" s="3"/>
      <c r="N494" s="3"/>
      <c r="O494" s="3"/>
    </row>
    <row r="495" spans="1:15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17">
        <f t="shared" si="8"/>
        <v>0</v>
      </c>
      <c r="L495" s="3"/>
      <c r="M495" s="3"/>
      <c r="N495" s="3"/>
      <c r="O495" s="3"/>
    </row>
    <row r="496" spans="1:15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17">
        <f t="shared" si="8"/>
        <v>0</v>
      </c>
      <c r="L496" s="3"/>
      <c r="M496" s="3"/>
      <c r="N496" s="3"/>
      <c r="O496" s="3"/>
    </row>
    <row r="497" spans="1:15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17">
        <f t="shared" si="8"/>
        <v>0</v>
      </c>
      <c r="L497" s="3"/>
      <c r="M497" s="3"/>
      <c r="N497" s="3"/>
      <c r="O497" s="3"/>
    </row>
    <row r="498" spans="1:15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17">
        <f t="shared" si="8"/>
        <v>0</v>
      </c>
      <c r="L498" s="3"/>
      <c r="M498" s="3"/>
      <c r="N498" s="3"/>
      <c r="O498" s="3"/>
    </row>
    <row r="499" spans="1:15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17">
        <f t="shared" si="8"/>
        <v>0</v>
      </c>
      <c r="L499" s="3"/>
      <c r="M499" s="3"/>
      <c r="N499" s="3"/>
      <c r="O499" s="3"/>
    </row>
    <row r="500" spans="1:15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17">
        <f t="shared" si="8"/>
        <v>0</v>
      </c>
      <c r="L500" s="3"/>
      <c r="M500" s="3"/>
      <c r="N500" s="3"/>
      <c r="O500" s="3"/>
    </row>
    <row r="501" spans="1:15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17">
        <f t="shared" si="8"/>
        <v>0</v>
      </c>
      <c r="L501" s="3"/>
      <c r="M501" s="3"/>
      <c r="N501" s="3"/>
      <c r="O501" s="3"/>
    </row>
    <row r="502" spans="1:15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17">
        <f t="shared" si="8"/>
        <v>0</v>
      </c>
      <c r="L502" s="3"/>
      <c r="M502" s="3"/>
      <c r="N502" s="3"/>
      <c r="O502" s="3"/>
    </row>
    <row r="503" spans="1:15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17">
        <f t="shared" si="8"/>
        <v>0</v>
      </c>
      <c r="L503" s="3"/>
      <c r="M503" s="3"/>
      <c r="N503" s="3"/>
      <c r="O503" s="3"/>
    </row>
    <row r="504" spans="1:15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17">
        <f t="shared" si="8"/>
        <v>0</v>
      </c>
      <c r="L504" s="3"/>
      <c r="M504" s="3"/>
      <c r="N504" s="3"/>
      <c r="O504" s="3"/>
    </row>
    <row r="505" spans="1:15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17">
        <f t="shared" si="8"/>
        <v>0</v>
      </c>
      <c r="L505" s="3"/>
      <c r="M505" s="3"/>
      <c r="N505" s="3"/>
      <c r="O505" s="3"/>
    </row>
    <row r="506" spans="1:15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17">
        <f t="shared" si="8"/>
        <v>0</v>
      </c>
      <c r="L506" s="3"/>
      <c r="M506" s="3"/>
      <c r="N506" s="3"/>
      <c r="O506" s="3"/>
    </row>
    <row r="507" spans="1:15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17">
        <f t="shared" si="8"/>
        <v>0</v>
      </c>
      <c r="L507" s="3"/>
      <c r="M507" s="3"/>
      <c r="N507" s="3"/>
      <c r="O507" s="3"/>
    </row>
    <row r="508" spans="1:15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17">
        <f t="shared" si="8"/>
        <v>0</v>
      </c>
      <c r="L508" s="3"/>
      <c r="M508" s="3"/>
      <c r="N508" s="3"/>
      <c r="O508" s="3"/>
    </row>
    <row r="509" spans="1:15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17">
        <f t="shared" si="8"/>
        <v>0</v>
      </c>
      <c r="L509" s="3"/>
      <c r="M509" s="3"/>
      <c r="N509" s="3"/>
      <c r="O509" s="3"/>
    </row>
    <row r="510" spans="1:15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17">
        <f t="shared" si="8"/>
        <v>0</v>
      </c>
      <c r="L510" s="3"/>
      <c r="M510" s="3"/>
      <c r="N510" s="3"/>
      <c r="O510" s="3"/>
    </row>
    <row r="511" spans="1:15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17">
        <f t="shared" si="8"/>
        <v>0</v>
      </c>
      <c r="L511" s="3"/>
      <c r="M511" s="3"/>
      <c r="N511" s="3"/>
      <c r="O511" s="3"/>
    </row>
    <row r="512" spans="1:15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17">
        <f t="shared" si="8"/>
        <v>0</v>
      </c>
      <c r="L512" s="3"/>
      <c r="M512" s="3"/>
      <c r="N512" s="3"/>
      <c r="O512" s="3"/>
    </row>
    <row r="513" spans="1:15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17">
        <f t="shared" si="8"/>
        <v>0</v>
      </c>
      <c r="L513" s="3"/>
      <c r="M513" s="3"/>
      <c r="N513" s="3"/>
      <c r="O513" s="3"/>
    </row>
    <row r="514" spans="1:1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17">
        <f t="shared" si="8"/>
        <v>0</v>
      </c>
      <c r="L514" s="3"/>
      <c r="M514" s="3"/>
      <c r="N514" s="3"/>
      <c r="O514" s="3"/>
    </row>
    <row r="515" spans="1:1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17">
        <f t="shared" si="8"/>
        <v>0</v>
      </c>
      <c r="L515" s="3"/>
      <c r="M515" s="3"/>
      <c r="N515" s="3"/>
      <c r="O515" s="3"/>
    </row>
    <row r="516" spans="1:1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17">
        <f t="shared" si="8"/>
        <v>0</v>
      </c>
      <c r="L516" s="3"/>
      <c r="M516" s="3"/>
      <c r="N516" s="3"/>
      <c r="O516" s="3"/>
    </row>
    <row r="517" spans="1:1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17">
        <f t="shared" si="8"/>
        <v>0</v>
      </c>
      <c r="L517" s="3"/>
      <c r="M517" s="3"/>
      <c r="N517" s="3"/>
      <c r="O517" s="3"/>
    </row>
    <row r="518" spans="1:1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17">
        <f t="shared" si="8"/>
        <v>0</v>
      </c>
      <c r="L518" s="3"/>
      <c r="M518" s="3"/>
      <c r="N518" s="3"/>
      <c r="O518" s="3"/>
    </row>
    <row r="519" spans="1:1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17">
        <f t="shared" si="8"/>
        <v>0</v>
      </c>
      <c r="L519" s="3"/>
      <c r="M519" s="3"/>
      <c r="N519" s="3"/>
      <c r="O519" s="3"/>
    </row>
    <row r="520" spans="1:1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17">
        <f t="shared" si="8"/>
        <v>0</v>
      </c>
      <c r="L520" s="3"/>
      <c r="M520" s="3"/>
      <c r="N520" s="3"/>
      <c r="O520" s="3"/>
    </row>
    <row r="521" spans="1:1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17">
        <f t="shared" si="8"/>
        <v>0</v>
      </c>
      <c r="L521" s="3"/>
      <c r="M521" s="3"/>
      <c r="N521" s="3"/>
      <c r="O521" s="3"/>
    </row>
    <row r="522" spans="1:1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17">
        <f t="shared" si="8"/>
        <v>0</v>
      </c>
      <c r="L522" s="3"/>
      <c r="M522" s="3"/>
      <c r="N522" s="3"/>
      <c r="O522" s="3"/>
    </row>
    <row r="523" spans="1:1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17">
        <f t="shared" si="8"/>
        <v>0</v>
      </c>
      <c r="L523" s="3"/>
      <c r="M523" s="3"/>
      <c r="N523" s="3"/>
      <c r="O523" s="3"/>
    </row>
  </sheetData>
  <mergeCells count="5">
    <mergeCell ref="A12:E12"/>
    <mergeCell ref="A2:O2"/>
    <mergeCell ref="A4:D4"/>
    <mergeCell ref="A1:O1"/>
    <mergeCell ref="A22:O22"/>
  </mergeCells>
  <dataValidations count="3">
    <dataValidation type="list" allowBlank="1" sqref="D20:D519" xr:uid="{00000000-0002-0000-0500-000000000000}">
      <formula1>"Infrastructure,Coverage,Policy,Monitoring,Incident Response,Compliance,Audit"</formula1>
    </dataValidation>
    <dataValidation type="list" allowBlank="1" sqref="E20:E519" xr:uid="{00000000-0002-0000-0500-000001000000}">
      <formula1>"Screenshot,Configuration_Export,Log_Sample,Report,Procedure,Email,Audit_Report,Test_Results,Policy_Document,Meeting_Minutes,Other"</formula1>
    </dataValidation>
    <dataValidation type="list" allowBlank="1" sqref="L20:L519" xr:uid="{00000000-0002-0000-0500-000002000000}">
      <formula1>"Verified,Pending,Not_Verified,Expired"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19"/>
  <sheetViews>
    <sheetView workbookViewId="0">
      <pane ySplit="19" topLeftCell="A20" activePane="bottomLeft" state="frozen"/>
      <selection pane="bottomLeft" sqref="A1:N1"/>
    </sheetView>
  </sheetViews>
  <sheetFormatPr baseColWidth="10" defaultColWidth="8.83203125" defaultRowHeight="15" x14ac:dyDescent="0.2"/>
  <cols>
    <col min="1" max="1" width="15" customWidth="1"/>
    <col min="2" max="3" width="20" customWidth="1"/>
    <col min="4" max="4" width="40" customWidth="1"/>
    <col min="5" max="5" width="12" customWidth="1"/>
    <col min="6" max="8" width="15" customWidth="1"/>
    <col min="9" max="10" width="20" customWidth="1"/>
    <col min="11" max="11" width="35" customWidth="1"/>
    <col min="12" max="12" width="10" customWidth="1"/>
    <col min="13" max="13" width="30" customWidth="1"/>
    <col min="14" max="14" width="15" customWidth="1"/>
  </cols>
  <sheetData>
    <row r="1" spans="1:14" ht="30" customHeight="1" x14ac:dyDescent="0.2">
      <c r="A1" s="27" t="s">
        <v>247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3" spans="1:14" x14ac:dyDescent="0.2">
      <c r="A3" s="25" t="s">
        <v>248</v>
      </c>
      <c r="B3" s="24"/>
      <c r="C3" s="24"/>
      <c r="D3" s="24"/>
    </row>
    <row r="4" spans="1:14" x14ac:dyDescent="0.2">
      <c r="A4" s="18" t="s">
        <v>249</v>
      </c>
      <c r="B4" s="7">
        <f>COUNTA(A20:A219)</f>
        <v>0</v>
      </c>
    </row>
    <row r="5" spans="1:14" x14ac:dyDescent="0.2">
      <c r="A5" s="18" t="s">
        <v>139</v>
      </c>
      <c r="B5" s="7">
        <f ca="1">COUNTIFS(F20:F219,"&lt;"&amp;TODAY(),G20:G219,"&lt;&gt;Completed")</f>
        <v>0</v>
      </c>
    </row>
    <row r="6" spans="1:14" x14ac:dyDescent="0.2">
      <c r="A6" s="18" t="s">
        <v>250</v>
      </c>
      <c r="B6" s="7">
        <f ca="1">COUNTIFS(F20:F219,"&gt;="&amp;TODAY(),F20:F219,"&lt;="&amp;TODAY()+7,G20:G219,"&lt;&gt;Completed")</f>
        <v>0</v>
      </c>
    </row>
    <row r="7" spans="1:14" x14ac:dyDescent="0.2">
      <c r="A7" s="18" t="s">
        <v>251</v>
      </c>
      <c r="B7" s="7">
        <f ca="1">COUNTIFS(G20:G219,"Completed",H20:H219,"&gt;="&amp;EOMONTH(TODAY(),-1)+1)</f>
        <v>0</v>
      </c>
    </row>
    <row r="8" spans="1:14" x14ac:dyDescent="0.2">
      <c r="A8" s="18" t="s">
        <v>252</v>
      </c>
      <c r="B8" s="19" t="e">
        <f>COUNTIF(G20:G219,"Completed")/COUNTA(A20:A219)</f>
        <v>#DIV/0!</v>
      </c>
    </row>
    <row r="11" spans="1:14" x14ac:dyDescent="0.2">
      <c r="A11" s="28" t="s">
        <v>253</v>
      </c>
      <c r="B11" s="24"/>
      <c r="C11" s="24"/>
      <c r="D11" s="24"/>
      <c r="E11" s="24"/>
    </row>
    <row r="12" spans="1:14" x14ac:dyDescent="0.2">
      <c r="A12" s="21" t="s">
        <v>92</v>
      </c>
      <c r="B12" s="21" t="s">
        <v>254</v>
      </c>
      <c r="C12" s="21" t="s">
        <v>255</v>
      </c>
      <c r="D12" s="21" t="s">
        <v>139</v>
      </c>
      <c r="E12" s="21" t="s">
        <v>136</v>
      </c>
    </row>
    <row r="13" spans="1:14" x14ac:dyDescent="0.2">
      <c r="A13" s="6" t="s">
        <v>107</v>
      </c>
      <c r="B13" s="11">
        <f>COUNTIF(E20:E219,"Critical")</f>
        <v>0</v>
      </c>
      <c r="C13" s="11">
        <f>COUNTIFS(E20:E219,"Critical",G20:G219,"&lt;&gt;Completed")</f>
        <v>0</v>
      </c>
      <c r="D13" s="11">
        <f ca="1">COUNTIFS(E20:E219,"Critical",F20:F219,"&lt;"&amp;TODAY(),G20:G219,"&lt;&gt;Completed")</f>
        <v>0</v>
      </c>
      <c r="E13" s="11">
        <f>COUNTIFS(E20:E219,"Critical",G20:G219,"Completed")</f>
        <v>0</v>
      </c>
    </row>
    <row r="14" spans="1:14" x14ac:dyDescent="0.2">
      <c r="A14" s="6" t="s">
        <v>104</v>
      </c>
      <c r="B14" s="11">
        <f>COUNTIF(E20:E219,"High")</f>
        <v>0</v>
      </c>
      <c r="C14" s="11">
        <f>COUNTIFS(E20:E219,"High",G20:G219,"&lt;&gt;Completed")</f>
        <v>0</v>
      </c>
      <c r="D14" s="11">
        <f ca="1">COUNTIFS(E20:E219,"High",F20:F219,"&lt;"&amp;TODAY(),G20:G219,"&lt;&gt;Completed")</f>
        <v>0</v>
      </c>
      <c r="E14" s="11">
        <f>COUNTIFS(E20:E219,"High",G20:G219,"Completed")</f>
        <v>0</v>
      </c>
    </row>
    <row r="15" spans="1:14" x14ac:dyDescent="0.2">
      <c r="A15" s="6" t="s">
        <v>105</v>
      </c>
      <c r="B15" s="11">
        <f>COUNTIF(E20:E219,"Medium")</f>
        <v>0</v>
      </c>
      <c r="C15" s="11">
        <f>COUNTIFS(E20:E219,"Medium",G20:G219,"&lt;&gt;Completed")</f>
        <v>0</v>
      </c>
      <c r="D15" s="11">
        <f ca="1">COUNTIFS(E20:E219,"Medium",F20:F219,"&lt;"&amp;TODAY(),G20:G219,"&lt;&gt;Completed")</f>
        <v>0</v>
      </c>
      <c r="E15" s="11">
        <f>COUNTIFS(E20:E219,"Medium",G20:G219,"Completed")</f>
        <v>0</v>
      </c>
    </row>
    <row r="16" spans="1:14" x14ac:dyDescent="0.2">
      <c r="A16" s="6" t="s">
        <v>109</v>
      </c>
      <c r="B16" s="11">
        <f>COUNTIF(E20:E219,"Low")</f>
        <v>0</v>
      </c>
      <c r="C16" s="11">
        <f>COUNTIFS(E20:E219,"Low",G20:G219,"&lt;&gt;Completed")</f>
        <v>0</v>
      </c>
      <c r="D16" s="11">
        <f ca="1">COUNTIFS(E20:E219,"Low",F20:F219,"&lt;"&amp;TODAY(),G20:G219,"&lt;&gt;Completed")</f>
        <v>0</v>
      </c>
      <c r="E16" s="11">
        <f>COUNTIFS(E20:E219,"Low",G20:G219,"Completed")</f>
        <v>0</v>
      </c>
    </row>
    <row r="18" spans="1:14" x14ac:dyDescent="0.2">
      <c r="A18" s="25" t="s">
        <v>154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</row>
    <row r="19" spans="1:14" x14ac:dyDescent="0.2">
      <c r="A19" s="5" t="s">
        <v>155</v>
      </c>
      <c r="B19" s="5" t="s">
        <v>120</v>
      </c>
      <c r="C19" s="5" t="s">
        <v>157</v>
      </c>
      <c r="D19" s="5" t="s">
        <v>158</v>
      </c>
      <c r="E19" s="5" t="s">
        <v>92</v>
      </c>
      <c r="F19" s="5" t="s">
        <v>256</v>
      </c>
      <c r="G19" s="5" t="s">
        <v>21</v>
      </c>
      <c r="H19" s="5" t="s">
        <v>257</v>
      </c>
      <c r="I19" s="5" t="s">
        <v>258</v>
      </c>
      <c r="J19" s="5" t="s">
        <v>160</v>
      </c>
      <c r="K19" s="5" t="s">
        <v>259</v>
      </c>
      <c r="L19" s="5" t="s">
        <v>260</v>
      </c>
      <c r="M19" s="5" t="s">
        <v>261</v>
      </c>
      <c r="N19" s="5" t="s">
        <v>16</v>
      </c>
    </row>
    <row r="20" spans="1:14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1:14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1:14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1:14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1:14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1:14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spans="1:14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1:14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1:14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1:14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1:14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1:14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1:14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1:14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1:14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1:14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1:14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1:14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1:14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1:14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1:14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1:14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1:14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1:14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1:14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4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1:14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1:14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1:14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1:14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1:14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1:14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1:14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1:14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1:14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1:14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1:14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1:14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1:14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1:14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1:14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1:14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1:14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1:14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1:14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1:14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1:14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1:14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1:14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1:14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1:14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1:14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1:14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spans="1:14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14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spans="1:14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spans="1:14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1:14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1:14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spans="1:14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1:14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spans="1:14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1:14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spans="1:14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spans="1:14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spans="1:14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14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1:14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spans="1:14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spans="1:14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1:14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spans="1:14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1:14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1:14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spans="1:14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spans="1:14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1:14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1:14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spans="1:14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spans="1:14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spans="1:14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spans="1:14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spans="1:14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1:14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spans="1:14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spans="1:14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1:14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spans="1:14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spans="1:14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spans="1:14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spans="1:14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spans="1:14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spans="1:14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spans="1:14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spans="1:14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spans="1:14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spans="1:14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spans="1:14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</sheetData>
  <mergeCells count="4">
    <mergeCell ref="A11:E11"/>
    <mergeCell ref="A18:N18"/>
    <mergeCell ref="A3:D3"/>
    <mergeCell ref="A1:N1"/>
  </mergeCells>
  <dataValidations count="3">
    <dataValidation type="list" allowBlank="1" sqref="E20:E219" xr:uid="{00000000-0002-0000-0600-000000000000}">
      <formula1>"Critical,High,Medium,Low"</formula1>
    </dataValidation>
    <dataValidation type="list" allowBlank="1" sqref="G20:G219" xr:uid="{00000000-0002-0000-0600-000001000000}">
      <formula1>"Not Started,In Progress,Blocked,Completed,Cancelled"</formula1>
    </dataValidation>
    <dataValidation type="list" allowBlank="1" sqref="L20:L219" xr:uid="{00000000-0002-0000-0600-000002000000}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23"/>
  <sheetViews>
    <sheetView workbookViewId="0">
      <pane ySplit="19" topLeftCell="A20" activePane="bottomLeft" state="frozen"/>
      <selection pane="bottomLeft" sqref="A1:M1"/>
    </sheetView>
  </sheetViews>
  <sheetFormatPr baseColWidth="10" defaultColWidth="8.83203125" defaultRowHeight="15" x14ac:dyDescent="0.2"/>
  <cols>
    <col min="1" max="2" width="15" customWidth="1"/>
    <col min="3" max="3" width="20" customWidth="1"/>
    <col min="4" max="4" width="25" customWidth="1"/>
    <col min="5" max="5" width="20" customWidth="1"/>
    <col min="6" max="6" width="40" customWidth="1"/>
    <col min="7" max="7" width="15" customWidth="1"/>
    <col min="8" max="8" width="25" customWidth="1"/>
    <col min="9" max="9" width="18" customWidth="1"/>
    <col min="10" max="11" width="15" customWidth="1"/>
    <col min="12" max="12" width="35" customWidth="1"/>
    <col min="13" max="13" width="30" customWidth="1"/>
  </cols>
  <sheetData>
    <row r="1" spans="1:13" ht="30" customHeight="1" x14ac:dyDescent="0.2">
      <c r="A1" s="27" t="s">
        <v>262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2">
      <c r="A2" s="29" t="s">
        <v>263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4" spans="1:13" x14ac:dyDescent="0.2">
      <c r="A4" s="25" t="s">
        <v>264</v>
      </c>
      <c r="B4" s="24"/>
      <c r="C4" s="24"/>
      <c r="D4" s="24"/>
    </row>
    <row r="5" spans="1:13" x14ac:dyDescent="0.2">
      <c r="A5" s="18" t="s">
        <v>265</v>
      </c>
      <c r="B5" s="3"/>
    </row>
    <row r="6" spans="1:13" x14ac:dyDescent="0.2">
      <c r="A6" s="18" t="s">
        <v>266</v>
      </c>
      <c r="B6" s="3"/>
    </row>
    <row r="7" spans="1:13" x14ac:dyDescent="0.2">
      <c r="A7" s="18" t="s">
        <v>267</v>
      </c>
      <c r="B7" s="3"/>
    </row>
    <row r="8" spans="1:13" x14ac:dyDescent="0.2">
      <c r="A8" s="18" t="s">
        <v>268</v>
      </c>
      <c r="B8" s="7">
        <f>COUNTA(A20:A119)</f>
        <v>3</v>
      </c>
    </row>
    <row r="9" spans="1:13" x14ac:dyDescent="0.2">
      <c r="A9" s="18" t="s">
        <v>269</v>
      </c>
      <c r="B9" s="7">
        <f>COUNTIF(I20:I119,"Open")</f>
        <v>0</v>
      </c>
    </row>
    <row r="10" spans="1:13" x14ac:dyDescent="0.2">
      <c r="A10" s="18" t="s">
        <v>270</v>
      </c>
      <c r="B10" s="7">
        <f>COUNTIF(I20:I119,"Closed")</f>
        <v>0</v>
      </c>
    </row>
    <row r="11" spans="1:13" x14ac:dyDescent="0.2">
      <c r="A11" s="18" t="s">
        <v>271</v>
      </c>
      <c r="B11" s="7" t="e">
        <f>AVERAGE(J20:J119)</f>
        <v>#DIV/0!</v>
      </c>
    </row>
    <row r="14" spans="1:13" x14ac:dyDescent="0.2">
      <c r="A14" s="28" t="s">
        <v>272</v>
      </c>
      <c r="B14" s="24"/>
      <c r="C14" s="24"/>
      <c r="D14" s="24"/>
      <c r="E14" s="24"/>
    </row>
    <row r="15" spans="1:13" x14ac:dyDescent="0.2">
      <c r="A15" s="21" t="s">
        <v>273</v>
      </c>
      <c r="B15" s="21" t="s">
        <v>254</v>
      </c>
      <c r="C15" s="21" t="s">
        <v>255</v>
      </c>
      <c r="D15" s="21" t="s">
        <v>274</v>
      </c>
      <c r="E15" s="21" t="s">
        <v>275</v>
      </c>
    </row>
    <row r="16" spans="1:13" x14ac:dyDescent="0.2">
      <c r="A16" s="6" t="s">
        <v>107</v>
      </c>
      <c r="B16" s="11">
        <f>COUNTIF(G20:G119,"Critical")</f>
        <v>0</v>
      </c>
      <c r="C16" s="11">
        <f>COUNTIFS(G20:G119,"Critical",I20:I119,"Open")</f>
        <v>0</v>
      </c>
      <c r="D16" s="11">
        <f>COUNTIFS(G20:G119,"Critical",I20:I119,"Closed")</f>
        <v>0</v>
      </c>
      <c r="E16" s="22" t="e">
        <f>D16/B16</f>
        <v>#DIV/0!</v>
      </c>
    </row>
    <row r="17" spans="1:13" x14ac:dyDescent="0.2">
      <c r="A17" s="6" t="s">
        <v>104</v>
      </c>
      <c r="B17" s="11">
        <f>COUNTIF(G20:G119,"High")</f>
        <v>0</v>
      </c>
      <c r="C17" s="11">
        <f>COUNTIFS(G20:G119,"High",I20:I119,"Open")</f>
        <v>0</v>
      </c>
      <c r="D17" s="11">
        <f>COUNTIFS(G20:G119,"High",I20:I119,"Closed")</f>
        <v>0</v>
      </c>
      <c r="E17" s="22" t="e">
        <f>D17/B17</f>
        <v>#DIV/0!</v>
      </c>
    </row>
    <row r="18" spans="1:13" x14ac:dyDescent="0.2">
      <c r="A18" s="6" t="s">
        <v>105</v>
      </c>
      <c r="B18" s="11">
        <f>COUNTIF(G20:G119,"Medium")</f>
        <v>0</v>
      </c>
      <c r="C18" s="11">
        <f>COUNTIFS(G20:G119,"Medium",I20:I119,"Open")</f>
        <v>0</v>
      </c>
      <c r="D18" s="11">
        <f>COUNTIFS(G20:G119,"Medium",I20:I119,"Closed")</f>
        <v>0</v>
      </c>
      <c r="E18" s="22" t="e">
        <f>D18/B18</f>
        <v>#DIV/0!</v>
      </c>
    </row>
    <row r="19" spans="1:13" x14ac:dyDescent="0.2">
      <c r="A19" s="6" t="s">
        <v>109</v>
      </c>
      <c r="B19" s="11">
        <f>COUNTIF(G20:G119,"Low")</f>
        <v>0</v>
      </c>
      <c r="C19" s="11">
        <f>COUNTIFS(G20:G119,"Low",I20:I119,"Open")</f>
        <v>0</v>
      </c>
      <c r="D19" s="11">
        <f>COUNTIFS(G20:G119,"Low",I20:I119,"Closed")</f>
        <v>0</v>
      </c>
      <c r="E19" s="22" t="e">
        <f>D19/B19</f>
        <v>#DIV/0!</v>
      </c>
    </row>
    <row r="20" spans="1:13" x14ac:dyDescent="0.2">
      <c r="A20" s="6" t="s">
        <v>276</v>
      </c>
      <c r="B20" s="11">
        <f>COUNTIF(G21:G119,"Observation")</f>
        <v>0</v>
      </c>
      <c r="C20" s="11">
        <f>COUNTIFS(G21:G119,"Observation",I21:I119,"Open")</f>
        <v>0</v>
      </c>
      <c r="D20" s="11">
        <f>COUNTIFS(G21:G119,"Observation",I21:I119,"Closed")</f>
        <v>0</v>
      </c>
      <c r="E20" s="22" t="e">
        <f>D20/B20</f>
        <v>#DIV/0!</v>
      </c>
    </row>
    <row r="22" spans="1:13" x14ac:dyDescent="0.2">
      <c r="A22" s="25" t="s">
        <v>277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</row>
    <row r="23" spans="1:13" x14ac:dyDescent="0.2">
      <c r="A23" s="5" t="s">
        <v>278</v>
      </c>
      <c r="B23" s="5" t="s">
        <v>279</v>
      </c>
      <c r="C23" s="5" t="s">
        <v>280</v>
      </c>
      <c r="D23" s="5" t="s">
        <v>281</v>
      </c>
      <c r="E23" s="5" t="s">
        <v>282</v>
      </c>
      <c r="F23" s="5" t="s">
        <v>283</v>
      </c>
      <c r="G23" s="5" t="s">
        <v>273</v>
      </c>
      <c r="H23" s="5" t="s">
        <v>284</v>
      </c>
      <c r="I23" s="5" t="s">
        <v>21</v>
      </c>
      <c r="J23" s="5" t="s">
        <v>285</v>
      </c>
      <c r="K23" s="5" t="s">
        <v>286</v>
      </c>
      <c r="L23" s="5" t="s">
        <v>93</v>
      </c>
      <c r="M23" s="5" t="s">
        <v>48</v>
      </c>
    </row>
    <row r="24" spans="1:13" x14ac:dyDescent="0.2">
      <c r="A24" s="3"/>
      <c r="B24" s="3"/>
      <c r="C24" s="3"/>
      <c r="D24" s="3"/>
      <c r="E24" s="3"/>
      <c r="F24" s="3"/>
      <c r="G24" s="3"/>
      <c r="H24" s="3"/>
      <c r="I24" s="3"/>
      <c r="J24" s="17" t="str">
        <f t="shared" ref="J24:J55" si="0">IF(K24="","",K24-B24)</f>
        <v/>
      </c>
      <c r="K24" s="3"/>
      <c r="L24" s="3"/>
      <c r="M24" s="3"/>
    </row>
    <row r="25" spans="1:13" x14ac:dyDescent="0.2">
      <c r="A25" s="3"/>
      <c r="B25" s="3"/>
      <c r="C25" s="3"/>
      <c r="D25" s="3"/>
      <c r="E25" s="3"/>
      <c r="F25" s="3"/>
      <c r="G25" s="3"/>
      <c r="H25" s="3"/>
      <c r="I25" s="3"/>
      <c r="J25" s="17" t="str">
        <f t="shared" si="0"/>
        <v/>
      </c>
      <c r="K25" s="3"/>
      <c r="L25" s="3"/>
      <c r="M25" s="3"/>
    </row>
    <row r="26" spans="1:13" x14ac:dyDescent="0.2">
      <c r="A26" s="3"/>
      <c r="B26" s="3"/>
      <c r="C26" s="3"/>
      <c r="D26" s="3"/>
      <c r="E26" s="3"/>
      <c r="F26" s="3"/>
      <c r="G26" s="3"/>
      <c r="H26" s="3"/>
      <c r="I26" s="3"/>
      <c r="J26" s="17" t="str">
        <f t="shared" si="0"/>
        <v/>
      </c>
      <c r="K26" s="3"/>
      <c r="L26" s="3"/>
      <c r="M26" s="3"/>
    </row>
    <row r="27" spans="1:13" x14ac:dyDescent="0.2">
      <c r="A27" s="3"/>
      <c r="B27" s="3"/>
      <c r="C27" s="3"/>
      <c r="D27" s="3"/>
      <c r="E27" s="3"/>
      <c r="F27" s="3"/>
      <c r="G27" s="3"/>
      <c r="H27" s="3"/>
      <c r="I27" s="3"/>
      <c r="J27" s="17" t="str">
        <f t="shared" si="0"/>
        <v/>
      </c>
      <c r="K27" s="3"/>
      <c r="L27" s="3"/>
      <c r="M27" s="3"/>
    </row>
    <row r="28" spans="1:13" x14ac:dyDescent="0.2">
      <c r="A28" s="3"/>
      <c r="B28" s="3"/>
      <c r="C28" s="3"/>
      <c r="D28" s="3"/>
      <c r="E28" s="3"/>
      <c r="F28" s="3"/>
      <c r="G28" s="3"/>
      <c r="H28" s="3"/>
      <c r="I28" s="3"/>
      <c r="J28" s="17" t="str">
        <f t="shared" si="0"/>
        <v/>
      </c>
      <c r="K28" s="3"/>
      <c r="L28" s="3"/>
      <c r="M28" s="3"/>
    </row>
    <row r="29" spans="1:13" x14ac:dyDescent="0.2">
      <c r="A29" s="3"/>
      <c r="B29" s="3"/>
      <c r="C29" s="3"/>
      <c r="D29" s="3"/>
      <c r="E29" s="3"/>
      <c r="F29" s="3"/>
      <c r="G29" s="3"/>
      <c r="H29" s="3"/>
      <c r="I29" s="3"/>
      <c r="J29" s="17" t="str">
        <f t="shared" si="0"/>
        <v/>
      </c>
      <c r="K29" s="3"/>
      <c r="L29" s="3"/>
      <c r="M29" s="3"/>
    </row>
    <row r="30" spans="1:13" x14ac:dyDescent="0.2">
      <c r="A30" s="3"/>
      <c r="B30" s="3"/>
      <c r="C30" s="3"/>
      <c r="D30" s="3"/>
      <c r="E30" s="3"/>
      <c r="F30" s="3"/>
      <c r="G30" s="3"/>
      <c r="H30" s="3"/>
      <c r="I30" s="3"/>
      <c r="J30" s="17" t="str">
        <f t="shared" si="0"/>
        <v/>
      </c>
      <c r="K30" s="3"/>
      <c r="L30" s="3"/>
      <c r="M30" s="3"/>
    </row>
    <row r="31" spans="1:13" x14ac:dyDescent="0.2">
      <c r="A31" s="3"/>
      <c r="B31" s="3"/>
      <c r="C31" s="3"/>
      <c r="D31" s="3"/>
      <c r="E31" s="3"/>
      <c r="F31" s="3"/>
      <c r="G31" s="3"/>
      <c r="H31" s="3"/>
      <c r="I31" s="3"/>
      <c r="J31" s="17" t="str">
        <f t="shared" si="0"/>
        <v/>
      </c>
      <c r="K31" s="3"/>
      <c r="L31" s="3"/>
      <c r="M31" s="3"/>
    </row>
    <row r="32" spans="1:13" x14ac:dyDescent="0.2">
      <c r="A32" s="3"/>
      <c r="B32" s="3"/>
      <c r="C32" s="3"/>
      <c r="D32" s="3"/>
      <c r="E32" s="3"/>
      <c r="F32" s="3"/>
      <c r="G32" s="3"/>
      <c r="H32" s="3"/>
      <c r="I32" s="3"/>
      <c r="J32" s="17" t="str">
        <f t="shared" si="0"/>
        <v/>
      </c>
      <c r="K32" s="3"/>
      <c r="L32" s="3"/>
      <c r="M32" s="3"/>
    </row>
    <row r="33" spans="1:13" x14ac:dyDescent="0.2">
      <c r="A33" s="3"/>
      <c r="B33" s="3"/>
      <c r="C33" s="3"/>
      <c r="D33" s="3"/>
      <c r="E33" s="3"/>
      <c r="F33" s="3"/>
      <c r="G33" s="3"/>
      <c r="H33" s="3"/>
      <c r="I33" s="3"/>
      <c r="J33" s="17" t="str">
        <f t="shared" si="0"/>
        <v/>
      </c>
      <c r="K33" s="3"/>
      <c r="L33" s="3"/>
      <c r="M33" s="3"/>
    </row>
    <row r="34" spans="1:13" x14ac:dyDescent="0.2">
      <c r="A34" s="3"/>
      <c r="B34" s="3"/>
      <c r="C34" s="3"/>
      <c r="D34" s="3"/>
      <c r="E34" s="3"/>
      <c r="F34" s="3"/>
      <c r="G34" s="3"/>
      <c r="H34" s="3"/>
      <c r="I34" s="3"/>
      <c r="J34" s="17" t="str">
        <f t="shared" si="0"/>
        <v/>
      </c>
      <c r="K34" s="3"/>
      <c r="L34" s="3"/>
      <c r="M34" s="3"/>
    </row>
    <row r="35" spans="1:13" x14ac:dyDescent="0.2">
      <c r="A35" s="3"/>
      <c r="B35" s="3"/>
      <c r="C35" s="3"/>
      <c r="D35" s="3"/>
      <c r="E35" s="3"/>
      <c r="F35" s="3"/>
      <c r="G35" s="3"/>
      <c r="H35" s="3"/>
      <c r="I35" s="3"/>
      <c r="J35" s="17" t="str">
        <f t="shared" si="0"/>
        <v/>
      </c>
      <c r="K35" s="3"/>
      <c r="L35" s="3"/>
      <c r="M35" s="3"/>
    </row>
    <row r="36" spans="1:13" x14ac:dyDescent="0.2">
      <c r="A36" s="3"/>
      <c r="B36" s="3"/>
      <c r="C36" s="3"/>
      <c r="D36" s="3"/>
      <c r="E36" s="3"/>
      <c r="F36" s="3"/>
      <c r="G36" s="3"/>
      <c r="H36" s="3"/>
      <c r="I36" s="3"/>
      <c r="J36" s="17" t="str">
        <f t="shared" si="0"/>
        <v/>
      </c>
      <c r="K36" s="3"/>
      <c r="L36" s="3"/>
      <c r="M36" s="3"/>
    </row>
    <row r="37" spans="1:13" x14ac:dyDescent="0.2">
      <c r="A37" s="3"/>
      <c r="B37" s="3"/>
      <c r="C37" s="3"/>
      <c r="D37" s="3"/>
      <c r="E37" s="3"/>
      <c r="F37" s="3"/>
      <c r="G37" s="3"/>
      <c r="H37" s="3"/>
      <c r="I37" s="3"/>
      <c r="J37" s="17" t="str">
        <f t="shared" si="0"/>
        <v/>
      </c>
      <c r="K37" s="3"/>
      <c r="L37" s="3"/>
      <c r="M37" s="3"/>
    </row>
    <row r="38" spans="1:13" x14ac:dyDescent="0.2">
      <c r="A38" s="3"/>
      <c r="B38" s="3"/>
      <c r="C38" s="3"/>
      <c r="D38" s="3"/>
      <c r="E38" s="3"/>
      <c r="F38" s="3"/>
      <c r="G38" s="3"/>
      <c r="H38" s="3"/>
      <c r="I38" s="3"/>
      <c r="J38" s="17" t="str">
        <f t="shared" si="0"/>
        <v/>
      </c>
      <c r="K38" s="3"/>
      <c r="L38" s="3"/>
      <c r="M38" s="3"/>
    </row>
    <row r="39" spans="1:13" x14ac:dyDescent="0.2">
      <c r="A39" s="3"/>
      <c r="B39" s="3"/>
      <c r="C39" s="3"/>
      <c r="D39" s="3"/>
      <c r="E39" s="3"/>
      <c r="F39" s="3"/>
      <c r="G39" s="3"/>
      <c r="H39" s="3"/>
      <c r="I39" s="3"/>
      <c r="J39" s="17" t="str">
        <f t="shared" si="0"/>
        <v/>
      </c>
      <c r="K39" s="3"/>
      <c r="L39" s="3"/>
      <c r="M39" s="3"/>
    </row>
    <row r="40" spans="1:13" x14ac:dyDescent="0.2">
      <c r="A40" s="3"/>
      <c r="B40" s="3"/>
      <c r="C40" s="3"/>
      <c r="D40" s="3"/>
      <c r="E40" s="3"/>
      <c r="F40" s="3"/>
      <c r="G40" s="3"/>
      <c r="H40" s="3"/>
      <c r="I40" s="3"/>
      <c r="J40" s="17" t="str">
        <f t="shared" si="0"/>
        <v/>
      </c>
      <c r="K40" s="3"/>
      <c r="L40" s="3"/>
      <c r="M40" s="3"/>
    </row>
    <row r="41" spans="1:13" x14ac:dyDescent="0.2">
      <c r="A41" s="3"/>
      <c r="B41" s="3"/>
      <c r="C41" s="3"/>
      <c r="D41" s="3"/>
      <c r="E41" s="3"/>
      <c r="F41" s="3"/>
      <c r="G41" s="3"/>
      <c r="H41" s="3"/>
      <c r="I41" s="3"/>
      <c r="J41" s="17" t="str">
        <f t="shared" si="0"/>
        <v/>
      </c>
      <c r="K41" s="3"/>
      <c r="L41" s="3"/>
      <c r="M41" s="3"/>
    </row>
    <row r="42" spans="1:13" x14ac:dyDescent="0.2">
      <c r="A42" s="3"/>
      <c r="B42" s="3"/>
      <c r="C42" s="3"/>
      <c r="D42" s="3"/>
      <c r="E42" s="3"/>
      <c r="F42" s="3"/>
      <c r="G42" s="3"/>
      <c r="H42" s="3"/>
      <c r="I42" s="3"/>
      <c r="J42" s="17" t="str">
        <f t="shared" si="0"/>
        <v/>
      </c>
      <c r="K42" s="3"/>
      <c r="L42" s="3"/>
      <c r="M42" s="3"/>
    </row>
    <row r="43" spans="1:13" x14ac:dyDescent="0.2">
      <c r="A43" s="3"/>
      <c r="B43" s="3"/>
      <c r="C43" s="3"/>
      <c r="D43" s="3"/>
      <c r="E43" s="3"/>
      <c r="F43" s="3"/>
      <c r="G43" s="3"/>
      <c r="H43" s="3"/>
      <c r="I43" s="3"/>
      <c r="J43" s="17" t="str">
        <f t="shared" si="0"/>
        <v/>
      </c>
      <c r="K43" s="3"/>
      <c r="L43" s="3"/>
      <c r="M43" s="3"/>
    </row>
    <row r="44" spans="1:13" x14ac:dyDescent="0.2">
      <c r="A44" s="3"/>
      <c r="B44" s="3"/>
      <c r="C44" s="3"/>
      <c r="D44" s="3"/>
      <c r="E44" s="3"/>
      <c r="F44" s="3"/>
      <c r="G44" s="3"/>
      <c r="H44" s="3"/>
      <c r="I44" s="3"/>
      <c r="J44" s="17" t="str">
        <f t="shared" si="0"/>
        <v/>
      </c>
      <c r="K44" s="3"/>
      <c r="L44" s="3"/>
      <c r="M44" s="3"/>
    </row>
    <row r="45" spans="1:13" x14ac:dyDescent="0.2">
      <c r="A45" s="3"/>
      <c r="B45" s="3"/>
      <c r="C45" s="3"/>
      <c r="D45" s="3"/>
      <c r="E45" s="3"/>
      <c r="F45" s="3"/>
      <c r="G45" s="3"/>
      <c r="H45" s="3"/>
      <c r="I45" s="3"/>
      <c r="J45" s="17" t="str">
        <f t="shared" si="0"/>
        <v/>
      </c>
      <c r="K45" s="3"/>
      <c r="L45" s="3"/>
      <c r="M45" s="3"/>
    </row>
    <row r="46" spans="1:13" x14ac:dyDescent="0.2">
      <c r="A46" s="3"/>
      <c r="B46" s="3"/>
      <c r="C46" s="3"/>
      <c r="D46" s="3"/>
      <c r="E46" s="3"/>
      <c r="F46" s="3"/>
      <c r="G46" s="3"/>
      <c r="H46" s="3"/>
      <c r="I46" s="3"/>
      <c r="J46" s="17" t="str">
        <f t="shared" si="0"/>
        <v/>
      </c>
      <c r="K46" s="3"/>
      <c r="L46" s="3"/>
      <c r="M46" s="3"/>
    </row>
    <row r="47" spans="1:13" x14ac:dyDescent="0.2">
      <c r="A47" s="3"/>
      <c r="B47" s="3"/>
      <c r="C47" s="3"/>
      <c r="D47" s="3"/>
      <c r="E47" s="3"/>
      <c r="F47" s="3"/>
      <c r="G47" s="3"/>
      <c r="H47" s="3"/>
      <c r="I47" s="3"/>
      <c r="J47" s="17" t="str">
        <f t="shared" si="0"/>
        <v/>
      </c>
      <c r="K47" s="3"/>
      <c r="L47" s="3"/>
      <c r="M47" s="3"/>
    </row>
    <row r="48" spans="1:13" x14ac:dyDescent="0.2">
      <c r="A48" s="3"/>
      <c r="B48" s="3"/>
      <c r="C48" s="3"/>
      <c r="D48" s="3"/>
      <c r="E48" s="3"/>
      <c r="F48" s="3"/>
      <c r="G48" s="3"/>
      <c r="H48" s="3"/>
      <c r="I48" s="3"/>
      <c r="J48" s="17" t="str">
        <f t="shared" si="0"/>
        <v/>
      </c>
      <c r="K48" s="3"/>
      <c r="L48" s="3"/>
      <c r="M48" s="3"/>
    </row>
    <row r="49" spans="1:13" x14ac:dyDescent="0.2">
      <c r="A49" s="3"/>
      <c r="B49" s="3"/>
      <c r="C49" s="3"/>
      <c r="D49" s="3"/>
      <c r="E49" s="3"/>
      <c r="F49" s="3"/>
      <c r="G49" s="3"/>
      <c r="H49" s="3"/>
      <c r="I49" s="3"/>
      <c r="J49" s="17" t="str">
        <f t="shared" si="0"/>
        <v/>
      </c>
      <c r="K49" s="3"/>
      <c r="L49" s="3"/>
      <c r="M49" s="3"/>
    </row>
    <row r="50" spans="1:13" x14ac:dyDescent="0.2">
      <c r="A50" s="3"/>
      <c r="B50" s="3"/>
      <c r="C50" s="3"/>
      <c r="D50" s="3"/>
      <c r="E50" s="3"/>
      <c r="F50" s="3"/>
      <c r="G50" s="3"/>
      <c r="H50" s="3"/>
      <c r="I50" s="3"/>
      <c r="J50" s="17" t="str">
        <f t="shared" si="0"/>
        <v/>
      </c>
      <c r="K50" s="3"/>
      <c r="L50" s="3"/>
      <c r="M50" s="3"/>
    </row>
    <row r="51" spans="1:13" x14ac:dyDescent="0.2">
      <c r="A51" s="3"/>
      <c r="B51" s="3"/>
      <c r="C51" s="3"/>
      <c r="D51" s="3"/>
      <c r="E51" s="3"/>
      <c r="F51" s="3"/>
      <c r="G51" s="3"/>
      <c r="H51" s="3"/>
      <c r="I51" s="3"/>
      <c r="J51" s="17" t="str">
        <f t="shared" si="0"/>
        <v/>
      </c>
      <c r="K51" s="3"/>
      <c r="L51" s="3"/>
      <c r="M51" s="3"/>
    </row>
    <row r="52" spans="1:13" x14ac:dyDescent="0.2">
      <c r="A52" s="3"/>
      <c r="B52" s="3"/>
      <c r="C52" s="3"/>
      <c r="D52" s="3"/>
      <c r="E52" s="3"/>
      <c r="F52" s="3"/>
      <c r="G52" s="3"/>
      <c r="H52" s="3"/>
      <c r="I52" s="3"/>
      <c r="J52" s="17" t="str">
        <f t="shared" si="0"/>
        <v/>
      </c>
      <c r="K52" s="3"/>
      <c r="L52" s="3"/>
      <c r="M52" s="3"/>
    </row>
    <row r="53" spans="1:13" x14ac:dyDescent="0.2">
      <c r="A53" s="3"/>
      <c r="B53" s="3"/>
      <c r="C53" s="3"/>
      <c r="D53" s="3"/>
      <c r="E53" s="3"/>
      <c r="F53" s="3"/>
      <c r="G53" s="3"/>
      <c r="H53" s="3"/>
      <c r="I53" s="3"/>
      <c r="J53" s="17" t="str">
        <f t="shared" si="0"/>
        <v/>
      </c>
      <c r="K53" s="3"/>
      <c r="L53" s="3"/>
      <c r="M53" s="3"/>
    </row>
    <row r="54" spans="1:13" x14ac:dyDescent="0.2">
      <c r="A54" s="3"/>
      <c r="B54" s="3"/>
      <c r="C54" s="3"/>
      <c r="D54" s="3"/>
      <c r="E54" s="3"/>
      <c r="F54" s="3"/>
      <c r="G54" s="3"/>
      <c r="H54" s="3"/>
      <c r="I54" s="3"/>
      <c r="J54" s="17" t="str">
        <f t="shared" si="0"/>
        <v/>
      </c>
      <c r="K54" s="3"/>
      <c r="L54" s="3"/>
      <c r="M54" s="3"/>
    </row>
    <row r="55" spans="1:13" x14ac:dyDescent="0.2">
      <c r="A55" s="3"/>
      <c r="B55" s="3"/>
      <c r="C55" s="3"/>
      <c r="D55" s="3"/>
      <c r="E55" s="3"/>
      <c r="F55" s="3"/>
      <c r="G55" s="3"/>
      <c r="H55" s="3"/>
      <c r="I55" s="3"/>
      <c r="J55" s="17" t="str">
        <f t="shared" si="0"/>
        <v/>
      </c>
      <c r="K55" s="3"/>
      <c r="L55" s="3"/>
      <c r="M55" s="3"/>
    </row>
    <row r="56" spans="1:13" x14ac:dyDescent="0.2">
      <c r="A56" s="3"/>
      <c r="B56" s="3"/>
      <c r="C56" s="3"/>
      <c r="D56" s="3"/>
      <c r="E56" s="3"/>
      <c r="F56" s="3"/>
      <c r="G56" s="3"/>
      <c r="H56" s="3"/>
      <c r="I56" s="3"/>
      <c r="J56" s="17" t="str">
        <f t="shared" ref="J56:J87" si="1">IF(K56="","",K56-B56)</f>
        <v/>
      </c>
      <c r="K56" s="3"/>
      <c r="L56" s="3"/>
      <c r="M56" s="3"/>
    </row>
    <row r="57" spans="1:13" x14ac:dyDescent="0.2">
      <c r="A57" s="3"/>
      <c r="B57" s="3"/>
      <c r="C57" s="3"/>
      <c r="D57" s="3"/>
      <c r="E57" s="3"/>
      <c r="F57" s="3"/>
      <c r="G57" s="3"/>
      <c r="H57" s="3"/>
      <c r="I57" s="3"/>
      <c r="J57" s="17" t="str">
        <f t="shared" si="1"/>
        <v/>
      </c>
      <c r="K57" s="3"/>
      <c r="L57" s="3"/>
      <c r="M57" s="3"/>
    </row>
    <row r="58" spans="1:13" x14ac:dyDescent="0.2">
      <c r="A58" s="3"/>
      <c r="B58" s="3"/>
      <c r="C58" s="3"/>
      <c r="D58" s="3"/>
      <c r="E58" s="3"/>
      <c r="F58" s="3"/>
      <c r="G58" s="3"/>
      <c r="H58" s="3"/>
      <c r="I58" s="3"/>
      <c r="J58" s="17" t="str">
        <f t="shared" si="1"/>
        <v/>
      </c>
      <c r="K58" s="3"/>
      <c r="L58" s="3"/>
      <c r="M58" s="3"/>
    </row>
    <row r="59" spans="1:13" x14ac:dyDescent="0.2">
      <c r="A59" s="3"/>
      <c r="B59" s="3"/>
      <c r="C59" s="3"/>
      <c r="D59" s="3"/>
      <c r="E59" s="3"/>
      <c r="F59" s="3"/>
      <c r="G59" s="3"/>
      <c r="H59" s="3"/>
      <c r="I59" s="3"/>
      <c r="J59" s="17" t="str">
        <f t="shared" si="1"/>
        <v/>
      </c>
      <c r="K59" s="3"/>
      <c r="L59" s="3"/>
      <c r="M59" s="3"/>
    </row>
    <row r="60" spans="1:13" x14ac:dyDescent="0.2">
      <c r="A60" s="3"/>
      <c r="B60" s="3"/>
      <c r="C60" s="3"/>
      <c r="D60" s="3"/>
      <c r="E60" s="3"/>
      <c r="F60" s="3"/>
      <c r="G60" s="3"/>
      <c r="H60" s="3"/>
      <c r="I60" s="3"/>
      <c r="J60" s="17" t="str">
        <f t="shared" si="1"/>
        <v/>
      </c>
      <c r="K60" s="3"/>
      <c r="L60" s="3"/>
      <c r="M60" s="3"/>
    </row>
    <row r="61" spans="1:13" x14ac:dyDescent="0.2">
      <c r="A61" s="3"/>
      <c r="B61" s="3"/>
      <c r="C61" s="3"/>
      <c r="D61" s="3"/>
      <c r="E61" s="3"/>
      <c r="F61" s="3"/>
      <c r="G61" s="3"/>
      <c r="H61" s="3"/>
      <c r="I61" s="3"/>
      <c r="J61" s="17" t="str">
        <f t="shared" si="1"/>
        <v/>
      </c>
      <c r="K61" s="3"/>
      <c r="L61" s="3"/>
      <c r="M61" s="3"/>
    </row>
    <row r="62" spans="1:13" x14ac:dyDescent="0.2">
      <c r="A62" s="3"/>
      <c r="B62" s="3"/>
      <c r="C62" s="3"/>
      <c r="D62" s="3"/>
      <c r="E62" s="3"/>
      <c r="F62" s="3"/>
      <c r="G62" s="3"/>
      <c r="H62" s="3"/>
      <c r="I62" s="3"/>
      <c r="J62" s="17" t="str">
        <f t="shared" si="1"/>
        <v/>
      </c>
      <c r="K62" s="3"/>
      <c r="L62" s="3"/>
      <c r="M62" s="3"/>
    </row>
    <row r="63" spans="1:13" x14ac:dyDescent="0.2">
      <c r="A63" s="3"/>
      <c r="B63" s="3"/>
      <c r="C63" s="3"/>
      <c r="D63" s="3"/>
      <c r="E63" s="3"/>
      <c r="F63" s="3"/>
      <c r="G63" s="3"/>
      <c r="H63" s="3"/>
      <c r="I63" s="3"/>
      <c r="J63" s="17" t="str">
        <f t="shared" si="1"/>
        <v/>
      </c>
      <c r="K63" s="3"/>
      <c r="L63" s="3"/>
      <c r="M63" s="3"/>
    </row>
    <row r="64" spans="1:13" x14ac:dyDescent="0.2">
      <c r="A64" s="3"/>
      <c r="B64" s="3"/>
      <c r="C64" s="3"/>
      <c r="D64" s="3"/>
      <c r="E64" s="3"/>
      <c r="F64" s="3"/>
      <c r="G64" s="3"/>
      <c r="H64" s="3"/>
      <c r="I64" s="3"/>
      <c r="J64" s="17" t="str">
        <f t="shared" si="1"/>
        <v/>
      </c>
      <c r="K64" s="3"/>
      <c r="L64" s="3"/>
      <c r="M64" s="3"/>
    </row>
    <row r="65" spans="1:13" x14ac:dyDescent="0.2">
      <c r="A65" s="3"/>
      <c r="B65" s="3"/>
      <c r="C65" s="3"/>
      <c r="D65" s="3"/>
      <c r="E65" s="3"/>
      <c r="F65" s="3"/>
      <c r="G65" s="3"/>
      <c r="H65" s="3"/>
      <c r="I65" s="3"/>
      <c r="J65" s="17" t="str">
        <f t="shared" si="1"/>
        <v/>
      </c>
      <c r="K65" s="3"/>
      <c r="L65" s="3"/>
      <c r="M65" s="3"/>
    </row>
    <row r="66" spans="1:13" x14ac:dyDescent="0.2">
      <c r="A66" s="3"/>
      <c r="B66" s="3"/>
      <c r="C66" s="3"/>
      <c r="D66" s="3"/>
      <c r="E66" s="3"/>
      <c r="F66" s="3"/>
      <c r="G66" s="3"/>
      <c r="H66" s="3"/>
      <c r="I66" s="3"/>
      <c r="J66" s="17" t="str">
        <f t="shared" si="1"/>
        <v/>
      </c>
      <c r="K66" s="3"/>
      <c r="L66" s="3"/>
      <c r="M66" s="3"/>
    </row>
    <row r="67" spans="1:13" x14ac:dyDescent="0.2">
      <c r="A67" s="3"/>
      <c r="B67" s="3"/>
      <c r="C67" s="3"/>
      <c r="D67" s="3"/>
      <c r="E67" s="3"/>
      <c r="F67" s="3"/>
      <c r="G67" s="3"/>
      <c r="H67" s="3"/>
      <c r="I67" s="3"/>
      <c r="J67" s="17" t="str">
        <f t="shared" si="1"/>
        <v/>
      </c>
      <c r="K67" s="3"/>
      <c r="L67" s="3"/>
      <c r="M67" s="3"/>
    </row>
    <row r="68" spans="1:13" x14ac:dyDescent="0.2">
      <c r="A68" s="3"/>
      <c r="B68" s="3"/>
      <c r="C68" s="3"/>
      <c r="D68" s="3"/>
      <c r="E68" s="3"/>
      <c r="F68" s="3"/>
      <c r="G68" s="3"/>
      <c r="H68" s="3"/>
      <c r="I68" s="3"/>
      <c r="J68" s="17" t="str">
        <f t="shared" si="1"/>
        <v/>
      </c>
      <c r="K68" s="3"/>
      <c r="L68" s="3"/>
      <c r="M68" s="3"/>
    </row>
    <row r="69" spans="1:13" x14ac:dyDescent="0.2">
      <c r="A69" s="3"/>
      <c r="B69" s="3"/>
      <c r="C69" s="3"/>
      <c r="D69" s="3"/>
      <c r="E69" s="3"/>
      <c r="F69" s="3"/>
      <c r="G69" s="3"/>
      <c r="H69" s="3"/>
      <c r="I69" s="3"/>
      <c r="J69" s="17" t="str">
        <f t="shared" si="1"/>
        <v/>
      </c>
      <c r="K69" s="3"/>
      <c r="L69" s="3"/>
      <c r="M69" s="3"/>
    </row>
    <row r="70" spans="1:13" x14ac:dyDescent="0.2">
      <c r="A70" s="3"/>
      <c r="B70" s="3"/>
      <c r="C70" s="3"/>
      <c r="D70" s="3"/>
      <c r="E70" s="3"/>
      <c r="F70" s="3"/>
      <c r="G70" s="3"/>
      <c r="H70" s="3"/>
      <c r="I70" s="3"/>
      <c r="J70" s="17" t="str">
        <f t="shared" si="1"/>
        <v/>
      </c>
      <c r="K70" s="3"/>
      <c r="L70" s="3"/>
      <c r="M70" s="3"/>
    </row>
    <row r="71" spans="1:13" x14ac:dyDescent="0.2">
      <c r="A71" s="3"/>
      <c r="B71" s="3"/>
      <c r="C71" s="3"/>
      <c r="D71" s="3"/>
      <c r="E71" s="3"/>
      <c r="F71" s="3"/>
      <c r="G71" s="3"/>
      <c r="H71" s="3"/>
      <c r="I71" s="3"/>
      <c r="J71" s="17" t="str">
        <f t="shared" si="1"/>
        <v/>
      </c>
      <c r="K71" s="3"/>
      <c r="L71" s="3"/>
      <c r="M71" s="3"/>
    </row>
    <row r="72" spans="1:13" x14ac:dyDescent="0.2">
      <c r="A72" s="3"/>
      <c r="B72" s="3"/>
      <c r="C72" s="3"/>
      <c r="D72" s="3"/>
      <c r="E72" s="3"/>
      <c r="F72" s="3"/>
      <c r="G72" s="3"/>
      <c r="H72" s="3"/>
      <c r="I72" s="3"/>
      <c r="J72" s="17" t="str">
        <f t="shared" si="1"/>
        <v/>
      </c>
      <c r="K72" s="3"/>
      <c r="L72" s="3"/>
      <c r="M72" s="3"/>
    </row>
    <row r="73" spans="1:13" x14ac:dyDescent="0.2">
      <c r="A73" s="3"/>
      <c r="B73" s="3"/>
      <c r="C73" s="3"/>
      <c r="D73" s="3"/>
      <c r="E73" s="3"/>
      <c r="F73" s="3"/>
      <c r="G73" s="3"/>
      <c r="H73" s="3"/>
      <c r="I73" s="3"/>
      <c r="J73" s="17" t="str">
        <f t="shared" si="1"/>
        <v/>
      </c>
      <c r="K73" s="3"/>
      <c r="L73" s="3"/>
      <c r="M73" s="3"/>
    </row>
    <row r="74" spans="1:13" x14ac:dyDescent="0.2">
      <c r="A74" s="3"/>
      <c r="B74" s="3"/>
      <c r="C74" s="3"/>
      <c r="D74" s="3"/>
      <c r="E74" s="3"/>
      <c r="F74" s="3"/>
      <c r="G74" s="3"/>
      <c r="H74" s="3"/>
      <c r="I74" s="3"/>
      <c r="J74" s="17" t="str">
        <f t="shared" si="1"/>
        <v/>
      </c>
      <c r="K74" s="3"/>
      <c r="L74" s="3"/>
      <c r="M74" s="3"/>
    </row>
    <row r="75" spans="1:13" x14ac:dyDescent="0.2">
      <c r="A75" s="3"/>
      <c r="B75" s="3"/>
      <c r="C75" s="3"/>
      <c r="D75" s="3"/>
      <c r="E75" s="3"/>
      <c r="F75" s="3"/>
      <c r="G75" s="3"/>
      <c r="H75" s="3"/>
      <c r="I75" s="3"/>
      <c r="J75" s="17" t="str">
        <f t="shared" si="1"/>
        <v/>
      </c>
      <c r="K75" s="3"/>
      <c r="L75" s="3"/>
      <c r="M75" s="3"/>
    </row>
    <row r="76" spans="1:13" x14ac:dyDescent="0.2">
      <c r="A76" s="3"/>
      <c r="B76" s="3"/>
      <c r="C76" s="3"/>
      <c r="D76" s="3"/>
      <c r="E76" s="3"/>
      <c r="F76" s="3"/>
      <c r="G76" s="3"/>
      <c r="H76" s="3"/>
      <c r="I76" s="3"/>
      <c r="J76" s="17" t="str">
        <f t="shared" si="1"/>
        <v/>
      </c>
      <c r="K76" s="3"/>
      <c r="L76" s="3"/>
      <c r="M76" s="3"/>
    </row>
    <row r="77" spans="1:13" x14ac:dyDescent="0.2">
      <c r="A77" s="3"/>
      <c r="B77" s="3"/>
      <c r="C77" s="3"/>
      <c r="D77" s="3"/>
      <c r="E77" s="3"/>
      <c r="F77" s="3"/>
      <c r="G77" s="3"/>
      <c r="H77" s="3"/>
      <c r="I77" s="3"/>
      <c r="J77" s="17" t="str">
        <f t="shared" si="1"/>
        <v/>
      </c>
      <c r="K77" s="3"/>
      <c r="L77" s="3"/>
      <c r="M77" s="3"/>
    </row>
    <row r="78" spans="1:13" x14ac:dyDescent="0.2">
      <c r="A78" s="3"/>
      <c r="B78" s="3"/>
      <c r="C78" s="3"/>
      <c r="D78" s="3"/>
      <c r="E78" s="3"/>
      <c r="F78" s="3"/>
      <c r="G78" s="3"/>
      <c r="H78" s="3"/>
      <c r="I78" s="3"/>
      <c r="J78" s="17" t="str">
        <f t="shared" si="1"/>
        <v/>
      </c>
      <c r="K78" s="3"/>
      <c r="L78" s="3"/>
      <c r="M78" s="3"/>
    </row>
    <row r="79" spans="1:13" x14ac:dyDescent="0.2">
      <c r="A79" s="3"/>
      <c r="B79" s="3"/>
      <c r="C79" s="3"/>
      <c r="D79" s="3"/>
      <c r="E79" s="3"/>
      <c r="F79" s="3"/>
      <c r="G79" s="3"/>
      <c r="H79" s="3"/>
      <c r="I79" s="3"/>
      <c r="J79" s="17" t="str">
        <f t="shared" si="1"/>
        <v/>
      </c>
      <c r="K79" s="3"/>
      <c r="L79" s="3"/>
      <c r="M79" s="3"/>
    </row>
    <row r="80" spans="1:13" x14ac:dyDescent="0.2">
      <c r="A80" s="3"/>
      <c r="B80" s="3"/>
      <c r="C80" s="3"/>
      <c r="D80" s="3"/>
      <c r="E80" s="3"/>
      <c r="F80" s="3"/>
      <c r="G80" s="3"/>
      <c r="H80" s="3"/>
      <c r="I80" s="3"/>
      <c r="J80" s="17" t="str">
        <f t="shared" si="1"/>
        <v/>
      </c>
      <c r="K80" s="3"/>
      <c r="L80" s="3"/>
      <c r="M80" s="3"/>
    </row>
    <row r="81" spans="1:13" x14ac:dyDescent="0.2">
      <c r="A81" s="3"/>
      <c r="B81" s="3"/>
      <c r="C81" s="3"/>
      <c r="D81" s="3"/>
      <c r="E81" s="3"/>
      <c r="F81" s="3"/>
      <c r="G81" s="3"/>
      <c r="H81" s="3"/>
      <c r="I81" s="3"/>
      <c r="J81" s="17" t="str">
        <f t="shared" si="1"/>
        <v/>
      </c>
      <c r="K81" s="3"/>
      <c r="L81" s="3"/>
      <c r="M81" s="3"/>
    </row>
    <row r="82" spans="1:13" x14ac:dyDescent="0.2">
      <c r="A82" s="3"/>
      <c r="B82" s="3"/>
      <c r="C82" s="3"/>
      <c r="D82" s="3"/>
      <c r="E82" s="3"/>
      <c r="F82" s="3"/>
      <c r="G82" s="3"/>
      <c r="H82" s="3"/>
      <c r="I82" s="3"/>
      <c r="J82" s="17" t="str">
        <f t="shared" si="1"/>
        <v/>
      </c>
      <c r="K82" s="3"/>
      <c r="L82" s="3"/>
      <c r="M82" s="3"/>
    </row>
    <row r="83" spans="1:13" x14ac:dyDescent="0.2">
      <c r="A83" s="3"/>
      <c r="B83" s="3"/>
      <c r="C83" s="3"/>
      <c r="D83" s="3"/>
      <c r="E83" s="3"/>
      <c r="F83" s="3"/>
      <c r="G83" s="3"/>
      <c r="H83" s="3"/>
      <c r="I83" s="3"/>
      <c r="J83" s="17" t="str">
        <f t="shared" si="1"/>
        <v/>
      </c>
      <c r="K83" s="3"/>
      <c r="L83" s="3"/>
      <c r="M83" s="3"/>
    </row>
    <row r="84" spans="1:13" x14ac:dyDescent="0.2">
      <c r="A84" s="3"/>
      <c r="B84" s="3"/>
      <c r="C84" s="3"/>
      <c r="D84" s="3"/>
      <c r="E84" s="3"/>
      <c r="F84" s="3"/>
      <c r="G84" s="3"/>
      <c r="H84" s="3"/>
      <c r="I84" s="3"/>
      <c r="J84" s="17" t="str">
        <f t="shared" si="1"/>
        <v/>
      </c>
      <c r="K84" s="3"/>
      <c r="L84" s="3"/>
      <c r="M84" s="3"/>
    </row>
    <row r="85" spans="1:13" x14ac:dyDescent="0.2">
      <c r="A85" s="3"/>
      <c r="B85" s="3"/>
      <c r="C85" s="3"/>
      <c r="D85" s="3"/>
      <c r="E85" s="3"/>
      <c r="F85" s="3"/>
      <c r="G85" s="3"/>
      <c r="H85" s="3"/>
      <c r="I85" s="3"/>
      <c r="J85" s="17" t="str">
        <f t="shared" si="1"/>
        <v/>
      </c>
      <c r="K85" s="3"/>
      <c r="L85" s="3"/>
      <c r="M85" s="3"/>
    </row>
    <row r="86" spans="1:13" x14ac:dyDescent="0.2">
      <c r="A86" s="3"/>
      <c r="B86" s="3"/>
      <c r="C86" s="3"/>
      <c r="D86" s="3"/>
      <c r="E86" s="3"/>
      <c r="F86" s="3"/>
      <c r="G86" s="3"/>
      <c r="H86" s="3"/>
      <c r="I86" s="3"/>
      <c r="J86" s="17" t="str">
        <f t="shared" si="1"/>
        <v/>
      </c>
      <c r="K86" s="3"/>
      <c r="L86" s="3"/>
      <c r="M86" s="3"/>
    </row>
    <row r="87" spans="1:13" x14ac:dyDescent="0.2">
      <c r="A87" s="3"/>
      <c r="B87" s="3"/>
      <c r="C87" s="3"/>
      <c r="D87" s="3"/>
      <c r="E87" s="3"/>
      <c r="F87" s="3"/>
      <c r="G87" s="3"/>
      <c r="H87" s="3"/>
      <c r="I87" s="3"/>
      <c r="J87" s="17" t="str">
        <f t="shared" si="1"/>
        <v/>
      </c>
      <c r="K87" s="3"/>
      <c r="L87" s="3"/>
      <c r="M87" s="3"/>
    </row>
    <row r="88" spans="1:13" x14ac:dyDescent="0.2">
      <c r="A88" s="3"/>
      <c r="B88" s="3"/>
      <c r="C88" s="3"/>
      <c r="D88" s="3"/>
      <c r="E88" s="3"/>
      <c r="F88" s="3"/>
      <c r="G88" s="3"/>
      <c r="H88" s="3"/>
      <c r="I88" s="3"/>
      <c r="J88" s="17" t="str">
        <f t="shared" ref="J88:J119" si="2">IF(K88="","",K88-B88)</f>
        <v/>
      </c>
      <c r="K88" s="3"/>
      <c r="L88" s="3"/>
      <c r="M88" s="3"/>
    </row>
    <row r="89" spans="1:13" x14ac:dyDescent="0.2">
      <c r="A89" s="3"/>
      <c r="B89" s="3"/>
      <c r="C89" s="3"/>
      <c r="D89" s="3"/>
      <c r="E89" s="3"/>
      <c r="F89" s="3"/>
      <c r="G89" s="3"/>
      <c r="H89" s="3"/>
      <c r="I89" s="3"/>
      <c r="J89" s="17" t="str">
        <f t="shared" si="2"/>
        <v/>
      </c>
      <c r="K89" s="3"/>
      <c r="L89" s="3"/>
      <c r="M89" s="3"/>
    </row>
    <row r="90" spans="1:13" x14ac:dyDescent="0.2">
      <c r="A90" s="3"/>
      <c r="B90" s="3"/>
      <c r="C90" s="3"/>
      <c r="D90" s="3"/>
      <c r="E90" s="3"/>
      <c r="F90" s="3"/>
      <c r="G90" s="3"/>
      <c r="H90" s="3"/>
      <c r="I90" s="3"/>
      <c r="J90" s="17" t="str">
        <f t="shared" si="2"/>
        <v/>
      </c>
      <c r="K90" s="3"/>
      <c r="L90" s="3"/>
      <c r="M90" s="3"/>
    </row>
    <row r="91" spans="1:13" x14ac:dyDescent="0.2">
      <c r="A91" s="3"/>
      <c r="B91" s="3"/>
      <c r="C91" s="3"/>
      <c r="D91" s="3"/>
      <c r="E91" s="3"/>
      <c r="F91" s="3"/>
      <c r="G91" s="3"/>
      <c r="H91" s="3"/>
      <c r="I91" s="3"/>
      <c r="J91" s="17" t="str">
        <f t="shared" si="2"/>
        <v/>
      </c>
      <c r="K91" s="3"/>
      <c r="L91" s="3"/>
      <c r="M91" s="3"/>
    </row>
    <row r="92" spans="1:13" x14ac:dyDescent="0.2">
      <c r="A92" s="3"/>
      <c r="B92" s="3"/>
      <c r="C92" s="3"/>
      <c r="D92" s="3"/>
      <c r="E92" s="3"/>
      <c r="F92" s="3"/>
      <c r="G92" s="3"/>
      <c r="H92" s="3"/>
      <c r="I92" s="3"/>
      <c r="J92" s="17" t="str">
        <f t="shared" si="2"/>
        <v/>
      </c>
      <c r="K92" s="3"/>
      <c r="L92" s="3"/>
      <c r="M92" s="3"/>
    </row>
    <row r="93" spans="1:13" x14ac:dyDescent="0.2">
      <c r="A93" s="3"/>
      <c r="B93" s="3"/>
      <c r="C93" s="3"/>
      <c r="D93" s="3"/>
      <c r="E93" s="3"/>
      <c r="F93" s="3"/>
      <c r="G93" s="3"/>
      <c r="H93" s="3"/>
      <c r="I93" s="3"/>
      <c r="J93" s="17" t="str">
        <f t="shared" si="2"/>
        <v/>
      </c>
      <c r="K93" s="3"/>
      <c r="L93" s="3"/>
      <c r="M93" s="3"/>
    </row>
    <row r="94" spans="1:13" x14ac:dyDescent="0.2">
      <c r="A94" s="3"/>
      <c r="B94" s="3"/>
      <c r="C94" s="3"/>
      <c r="D94" s="3"/>
      <c r="E94" s="3"/>
      <c r="F94" s="3"/>
      <c r="G94" s="3"/>
      <c r="H94" s="3"/>
      <c r="I94" s="3"/>
      <c r="J94" s="17" t="str">
        <f t="shared" si="2"/>
        <v/>
      </c>
      <c r="K94" s="3"/>
      <c r="L94" s="3"/>
      <c r="M94" s="3"/>
    </row>
    <row r="95" spans="1:13" x14ac:dyDescent="0.2">
      <c r="A95" s="3"/>
      <c r="B95" s="3"/>
      <c r="C95" s="3"/>
      <c r="D95" s="3"/>
      <c r="E95" s="3"/>
      <c r="F95" s="3"/>
      <c r="G95" s="3"/>
      <c r="H95" s="3"/>
      <c r="I95" s="3"/>
      <c r="J95" s="17" t="str">
        <f t="shared" si="2"/>
        <v/>
      </c>
      <c r="K95" s="3"/>
      <c r="L95" s="3"/>
      <c r="M95" s="3"/>
    </row>
    <row r="96" spans="1:13" x14ac:dyDescent="0.2">
      <c r="A96" s="3"/>
      <c r="B96" s="3"/>
      <c r="C96" s="3"/>
      <c r="D96" s="3"/>
      <c r="E96" s="3"/>
      <c r="F96" s="3"/>
      <c r="G96" s="3"/>
      <c r="H96" s="3"/>
      <c r="I96" s="3"/>
      <c r="J96" s="17" t="str">
        <f t="shared" si="2"/>
        <v/>
      </c>
      <c r="K96" s="3"/>
      <c r="L96" s="3"/>
      <c r="M96" s="3"/>
    </row>
    <row r="97" spans="1:13" x14ac:dyDescent="0.2">
      <c r="A97" s="3"/>
      <c r="B97" s="3"/>
      <c r="C97" s="3"/>
      <c r="D97" s="3"/>
      <c r="E97" s="3"/>
      <c r="F97" s="3"/>
      <c r="G97" s="3"/>
      <c r="H97" s="3"/>
      <c r="I97" s="3"/>
      <c r="J97" s="17" t="str">
        <f t="shared" si="2"/>
        <v/>
      </c>
      <c r="K97" s="3"/>
      <c r="L97" s="3"/>
      <c r="M97" s="3"/>
    </row>
    <row r="98" spans="1:13" x14ac:dyDescent="0.2">
      <c r="A98" s="3"/>
      <c r="B98" s="3"/>
      <c r="C98" s="3"/>
      <c r="D98" s="3"/>
      <c r="E98" s="3"/>
      <c r="F98" s="3"/>
      <c r="G98" s="3"/>
      <c r="H98" s="3"/>
      <c r="I98" s="3"/>
      <c r="J98" s="17" t="str">
        <f t="shared" si="2"/>
        <v/>
      </c>
      <c r="K98" s="3"/>
      <c r="L98" s="3"/>
      <c r="M98" s="3"/>
    </row>
    <row r="99" spans="1:13" x14ac:dyDescent="0.2">
      <c r="A99" s="3"/>
      <c r="B99" s="3"/>
      <c r="C99" s="3"/>
      <c r="D99" s="3"/>
      <c r="E99" s="3"/>
      <c r="F99" s="3"/>
      <c r="G99" s="3"/>
      <c r="H99" s="3"/>
      <c r="I99" s="3"/>
      <c r="J99" s="17" t="str">
        <f t="shared" si="2"/>
        <v/>
      </c>
      <c r="K99" s="3"/>
      <c r="L99" s="3"/>
      <c r="M99" s="3"/>
    </row>
    <row r="100" spans="1:13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17" t="str">
        <f t="shared" si="2"/>
        <v/>
      </c>
      <c r="K100" s="3"/>
      <c r="L100" s="3"/>
      <c r="M100" s="3"/>
    </row>
    <row r="101" spans="1:13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17" t="str">
        <f t="shared" si="2"/>
        <v/>
      </c>
      <c r="K101" s="3"/>
      <c r="L101" s="3"/>
      <c r="M101" s="3"/>
    </row>
    <row r="102" spans="1:13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17" t="str">
        <f t="shared" si="2"/>
        <v/>
      </c>
      <c r="K102" s="3"/>
      <c r="L102" s="3"/>
      <c r="M102" s="3"/>
    </row>
    <row r="103" spans="1:13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17" t="str">
        <f t="shared" si="2"/>
        <v/>
      </c>
      <c r="K103" s="3"/>
      <c r="L103" s="3"/>
      <c r="M103" s="3"/>
    </row>
    <row r="104" spans="1:13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17" t="str">
        <f t="shared" si="2"/>
        <v/>
      </c>
      <c r="K104" s="3"/>
      <c r="L104" s="3"/>
      <c r="M104" s="3"/>
    </row>
    <row r="105" spans="1:13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17" t="str">
        <f t="shared" si="2"/>
        <v/>
      </c>
      <c r="K105" s="3"/>
      <c r="L105" s="3"/>
      <c r="M105" s="3"/>
    </row>
    <row r="106" spans="1:13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17" t="str">
        <f t="shared" si="2"/>
        <v/>
      </c>
      <c r="K106" s="3"/>
      <c r="L106" s="3"/>
      <c r="M106" s="3"/>
    </row>
    <row r="107" spans="1:13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17" t="str">
        <f t="shared" si="2"/>
        <v/>
      </c>
      <c r="K107" s="3"/>
      <c r="L107" s="3"/>
      <c r="M107" s="3"/>
    </row>
    <row r="108" spans="1:13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17" t="str">
        <f t="shared" si="2"/>
        <v/>
      </c>
      <c r="K108" s="3"/>
      <c r="L108" s="3"/>
      <c r="M108" s="3"/>
    </row>
    <row r="109" spans="1:13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17" t="str">
        <f t="shared" si="2"/>
        <v/>
      </c>
      <c r="K109" s="3"/>
      <c r="L109" s="3"/>
      <c r="M109" s="3"/>
    </row>
    <row r="110" spans="1:13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17" t="str">
        <f t="shared" si="2"/>
        <v/>
      </c>
      <c r="K110" s="3"/>
      <c r="L110" s="3"/>
      <c r="M110" s="3"/>
    </row>
    <row r="111" spans="1:13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17" t="str">
        <f t="shared" si="2"/>
        <v/>
      </c>
      <c r="K111" s="3"/>
      <c r="L111" s="3"/>
      <c r="M111" s="3"/>
    </row>
    <row r="112" spans="1:13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17" t="str">
        <f t="shared" si="2"/>
        <v/>
      </c>
      <c r="K112" s="3"/>
      <c r="L112" s="3"/>
      <c r="M112" s="3"/>
    </row>
    <row r="113" spans="1:13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17" t="str">
        <f t="shared" si="2"/>
        <v/>
      </c>
      <c r="K113" s="3"/>
      <c r="L113" s="3"/>
      <c r="M113" s="3"/>
    </row>
    <row r="114" spans="1:13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17" t="str">
        <f t="shared" si="2"/>
        <v/>
      </c>
      <c r="K114" s="3"/>
      <c r="L114" s="3"/>
      <c r="M114" s="3"/>
    </row>
    <row r="115" spans="1:13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17" t="str">
        <f t="shared" si="2"/>
        <v/>
      </c>
      <c r="K115" s="3"/>
      <c r="L115" s="3"/>
      <c r="M115" s="3"/>
    </row>
    <row r="116" spans="1:13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17" t="str">
        <f t="shared" si="2"/>
        <v/>
      </c>
      <c r="K116" s="3"/>
      <c r="L116" s="3"/>
      <c r="M116" s="3"/>
    </row>
    <row r="117" spans="1:13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17" t="str">
        <f t="shared" si="2"/>
        <v/>
      </c>
      <c r="K117" s="3"/>
      <c r="L117" s="3"/>
      <c r="M117" s="3"/>
    </row>
    <row r="118" spans="1:13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17" t="str">
        <f t="shared" si="2"/>
        <v/>
      </c>
      <c r="K118" s="3"/>
      <c r="L118" s="3"/>
      <c r="M118" s="3"/>
    </row>
    <row r="119" spans="1:13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17" t="str">
        <f t="shared" si="2"/>
        <v/>
      </c>
      <c r="K119" s="3"/>
      <c r="L119" s="3"/>
      <c r="M119" s="3"/>
    </row>
    <row r="120" spans="1:13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17" t="str">
        <f t="shared" ref="J120:J151" si="3">IF(K120="","",K120-B120)</f>
        <v/>
      </c>
      <c r="K120" s="3"/>
      <c r="L120" s="3"/>
      <c r="M120" s="3"/>
    </row>
    <row r="121" spans="1:13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17" t="str">
        <f t="shared" si="3"/>
        <v/>
      </c>
      <c r="K121" s="3"/>
      <c r="L121" s="3"/>
      <c r="M121" s="3"/>
    </row>
    <row r="122" spans="1:13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17" t="str">
        <f t="shared" si="3"/>
        <v/>
      </c>
      <c r="K122" s="3"/>
      <c r="L122" s="3"/>
      <c r="M122" s="3"/>
    </row>
    <row r="123" spans="1:13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17" t="str">
        <f t="shared" si="3"/>
        <v/>
      </c>
      <c r="K123" s="3"/>
      <c r="L123" s="3"/>
      <c r="M123" s="3"/>
    </row>
  </sheetData>
  <mergeCells count="5">
    <mergeCell ref="A1:M1"/>
    <mergeCell ref="A4:D4"/>
    <mergeCell ref="A22:M22"/>
    <mergeCell ref="A14:E14"/>
    <mergeCell ref="A2:M2"/>
  </mergeCells>
  <dataValidations count="4">
    <dataValidation type="list" allowBlank="1" sqref="C20:C119" xr:uid="{00000000-0002-0000-0700-000000000000}">
      <formula1>"Internal,External,Certification,Surveillance,Self-Assessment"</formula1>
    </dataValidation>
    <dataValidation type="list" allowBlank="1" sqref="E20:E119" xr:uid="{00000000-0002-0000-0700-000001000000}">
      <formula1>"Infrastructure,Coverage,Policy,Monitoring,Documentation,Process,Technical,Organizational"</formula1>
    </dataValidation>
    <dataValidation type="list" allowBlank="1" sqref="G20:G119" xr:uid="{00000000-0002-0000-0700-000002000000}">
      <formula1>"Critical,High,Medium,Low,Observation"</formula1>
    </dataValidation>
    <dataValidation type="list" allowBlank="1" sqref="I20:I119" xr:uid="{00000000-0002-0000-0700-000003000000}">
      <formula1>"Open,In Progress,Pending Verification,Closed,Accepted Risk"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7"/>
  <sheetViews>
    <sheetView workbookViewId="0">
      <pane ySplit="2" topLeftCell="A9" activePane="bottomLeft" state="frozen"/>
      <selection pane="bottomLeft" sqref="A1:E1"/>
    </sheetView>
  </sheetViews>
  <sheetFormatPr baseColWidth="10" defaultColWidth="8.83203125" defaultRowHeight="15" x14ac:dyDescent="0.2"/>
  <cols>
    <col min="1" max="1" width="28" customWidth="1"/>
    <col min="2" max="2" width="30" customWidth="1"/>
    <col min="3" max="5" width="18" customWidth="1"/>
  </cols>
  <sheetData>
    <row r="1" spans="1:5" ht="30" customHeight="1" x14ac:dyDescent="0.2">
      <c r="A1" s="27" t="s">
        <v>287</v>
      </c>
      <c r="B1" s="24"/>
      <c r="C1" s="24"/>
      <c r="D1" s="24"/>
      <c r="E1" s="24"/>
    </row>
    <row r="2" spans="1:5" x14ac:dyDescent="0.2">
      <c r="A2" s="29" t="s">
        <v>288</v>
      </c>
      <c r="B2" s="24"/>
      <c r="C2" s="24"/>
      <c r="D2" s="24"/>
      <c r="E2" s="24"/>
    </row>
    <row r="4" spans="1:5" x14ac:dyDescent="0.2">
      <c r="A4" s="25" t="s">
        <v>289</v>
      </c>
      <c r="B4" s="24"/>
      <c r="C4" s="24"/>
      <c r="D4" s="24"/>
      <c r="E4" s="24"/>
    </row>
    <row r="5" spans="1:5" x14ac:dyDescent="0.2">
      <c r="A5" s="18" t="s">
        <v>215</v>
      </c>
      <c r="B5" s="7" t="str">
        <f>'Executive Dashboard'!B17</f>
        <v>Score</v>
      </c>
    </row>
    <row r="6" spans="1:5" x14ac:dyDescent="0.2">
      <c r="A6" s="18" t="s">
        <v>290</v>
      </c>
      <c r="B6" s="7">
        <f>'Executive Dashboard'!B18</f>
        <v>0</v>
      </c>
    </row>
    <row r="7" spans="1:5" x14ac:dyDescent="0.2">
      <c r="A7" s="18" t="s">
        <v>291</v>
      </c>
      <c r="B7" s="7">
        <f>'Executive Dashboard'!B19</f>
        <v>0</v>
      </c>
    </row>
    <row r="8" spans="1:5" x14ac:dyDescent="0.2">
      <c r="A8" s="18" t="s">
        <v>292</v>
      </c>
      <c r="B8" s="7">
        <f>'Evidence Register'!B5</f>
        <v>3</v>
      </c>
    </row>
    <row r="9" spans="1:5" x14ac:dyDescent="0.2">
      <c r="A9" s="18" t="s">
        <v>293</v>
      </c>
      <c r="B9" s="7">
        <f ca="1">'Action Items &amp; Follow-up'!B6</f>
        <v>0</v>
      </c>
    </row>
    <row r="10" spans="1:5" x14ac:dyDescent="0.2">
      <c r="A10" s="18" t="s">
        <v>294</v>
      </c>
      <c r="B10" s="3"/>
      <c r="C10" s="41" t="s">
        <v>295</v>
      </c>
      <c r="D10" s="24"/>
      <c r="E10" s="24"/>
    </row>
    <row r="13" spans="1:5" x14ac:dyDescent="0.2">
      <c r="A13" s="37" t="s">
        <v>296</v>
      </c>
      <c r="B13" s="24"/>
      <c r="C13" s="24"/>
      <c r="D13" s="24"/>
      <c r="E13" s="24"/>
    </row>
    <row r="14" spans="1:5" x14ac:dyDescent="0.2">
      <c r="A14" s="2" t="s">
        <v>297</v>
      </c>
      <c r="B14" s="3"/>
    </row>
    <row r="16" spans="1:5" x14ac:dyDescent="0.2">
      <c r="A16" s="37" t="s">
        <v>298</v>
      </c>
      <c r="B16" s="24"/>
      <c r="C16" s="24"/>
      <c r="D16" s="24"/>
      <c r="E16" s="24"/>
    </row>
    <row r="17" spans="1:5" x14ac:dyDescent="0.2">
      <c r="A17" s="2" t="s">
        <v>299</v>
      </c>
      <c r="B17" s="36"/>
      <c r="C17" s="33"/>
      <c r="D17" s="33"/>
      <c r="E17" s="34"/>
    </row>
    <row r="18" spans="1:5" x14ac:dyDescent="0.2">
      <c r="A18" s="2" t="s">
        <v>300</v>
      </c>
      <c r="B18" s="36"/>
      <c r="C18" s="33"/>
      <c r="D18" s="33"/>
      <c r="E18" s="34"/>
    </row>
    <row r="19" spans="1:5" x14ac:dyDescent="0.2">
      <c r="A19" s="2" t="s">
        <v>301</v>
      </c>
      <c r="B19" s="36"/>
      <c r="C19" s="33"/>
      <c r="D19" s="33"/>
      <c r="E19" s="34"/>
    </row>
    <row r="20" spans="1:5" x14ac:dyDescent="0.2">
      <c r="A20" s="2" t="s">
        <v>302</v>
      </c>
      <c r="B20" s="36"/>
      <c r="C20" s="33"/>
      <c r="D20" s="33"/>
      <c r="E20" s="34"/>
    </row>
    <row r="21" spans="1:5" x14ac:dyDescent="0.2">
      <c r="A21" s="2" t="s">
        <v>303</v>
      </c>
      <c r="B21" s="36"/>
      <c r="C21" s="33"/>
      <c r="D21" s="33"/>
      <c r="E21" s="34"/>
    </row>
    <row r="24" spans="1:5" x14ac:dyDescent="0.2">
      <c r="A24" s="37" t="s">
        <v>304</v>
      </c>
      <c r="B24" s="24"/>
      <c r="C24" s="24"/>
      <c r="D24" s="24"/>
      <c r="E24" s="24"/>
    </row>
    <row r="25" spans="1:5" x14ac:dyDescent="0.2">
      <c r="A25" s="2" t="s">
        <v>299</v>
      </c>
      <c r="B25" s="36"/>
      <c r="C25" s="33"/>
      <c r="D25" s="33"/>
      <c r="E25" s="34"/>
    </row>
    <row r="26" spans="1:5" x14ac:dyDescent="0.2">
      <c r="A26" s="2" t="s">
        <v>303</v>
      </c>
      <c r="B26" s="36"/>
      <c r="C26" s="33"/>
      <c r="D26" s="33"/>
      <c r="E26" s="34"/>
    </row>
    <row r="27" spans="1:5" x14ac:dyDescent="0.2">
      <c r="A27" s="2" t="s">
        <v>305</v>
      </c>
      <c r="B27" s="36"/>
      <c r="C27" s="33"/>
      <c r="D27" s="33"/>
      <c r="E27" s="34"/>
    </row>
    <row r="30" spans="1:5" x14ac:dyDescent="0.2">
      <c r="A30" s="35" t="s">
        <v>306</v>
      </c>
      <c r="B30" s="24"/>
      <c r="C30" s="24"/>
      <c r="D30" s="24"/>
      <c r="E30" s="24"/>
    </row>
    <row r="31" spans="1:5" x14ac:dyDescent="0.2">
      <c r="A31" s="2" t="s">
        <v>299</v>
      </c>
      <c r="B31" s="36"/>
      <c r="C31" s="33"/>
      <c r="D31" s="33"/>
      <c r="E31" s="34"/>
    </row>
    <row r="32" spans="1:5" x14ac:dyDescent="0.2">
      <c r="A32" s="2" t="s">
        <v>303</v>
      </c>
      <c r="B32" s="36"/>
      <c r="C32" s="33"/>
      <c r="D32" s="33"/>
      <c r="E32" s="34"/>
    </row>
    <row r="33" spans="1:5" x14ac:dyDescent="0.2">
      <c r="A33" s="2" t="s">
        <v>307</v>
      </c>
      <c r="B33" s="36"/>
      <c r="C33" s="33"/>
      <c r="D33" s="33"/>
      <c r="E33" s="34"/>
    </row>
    <row r="34" spans="1:5" x14ac:dyDescent="0.2">
      <c r="A34" s="2" t="s">
        <v>308</v>
      </c>
      <c r="B34" s="36"/>
      <c r="C34" s="33"/>
      <c r="D34" s="33"/>
      <c r="E34" s="34"/>
    </row>
    <row r="37" spans="1:5" x14ac:dyDescent="0.2">
      <c r="A37" s="28" t="s">
        <v>309</v>
      </c>
      <c r="B37" s="24"/>
      <c r="C37" s="24"/>
      <c r="D37" s="24"/>
      <c r="E37" s="24"/>
    </row>
    <row r="38" spans="1:5" x14ac:dyDescent="0.2">
      <c r="A38" s="2" t="s">
        <v>310</v>
      </c>
      <c r="B38" s="36"/>
      <c r="C38" s="33"/>
      <c r="D38" s="33"/>
      <c r="E38" s="34"/>
    </row>
    <row r="39" spans="1:5" x14ac:dyDescent="0.2">
      <c r="A39" s="2" t="s">
        <v>311</v>
      </c>
      <c r="B39" s="36"/>
      <c r="C39" s="33"/>
      <c r="D39" s="33"/>
      <c r="E39" s="34"/>
    </row>
    <row r="40" spans="1:5" x14ac:dyDescent="0.2">
      <c r="A40" s="2" t="s">
        <v>312</v>
      </c>
      <c r="B40" s="36"/>
      <c r="C40" s="33"/>
      <c r="D40" s="33"/>
      <c r="E40" s="34"/>
    </row>
    <row r="43" spans="1:5" x14ac:dyDescent="0.2">
      <c r="A43" s="28" t="s">
        <v>313</v>
      </c>
      <c r="B43" s="24"/>
      <c r="C43" s="24"/>
      <c r="D43" s="24"/>
      <c r="E43" s="24"/>
    </row>
    <row r="44" spans="1:5" ht="90" customHeight="1" x14ac:dyDescent="0.2">
      <c r="A44" s="40" t="s">
        <v>314</v>
      </c>
      <c r="B44" s="33"/>
      <c r="C44" s="33"/>
      <c r="D44" s="33"/>
      <c r="E44" s="34"/>
    </row>
    <row r="46" spans="1:5" x14ac:dyDescent="0.2">
      <c r="A46" s="38" t="s">
        <v>315</v>
      </c>
      <c r="B46" s="24"/>
      <c r="C46" s="24"/>
      <c r="D46" s="24"/>
      <c r="E46" s="24"/>
    </row>
    <row r="47" spans="1:5" x14ac:dyDescent="0.2">
      <c r="A47" s="39" t="s">
        <v>316</v>
      </c>
      <c r="B47" s="24"/>
      <c r="C47" s="24"/>
      <c r="D47" s="24"/>
      <c r="E47" s="24"/>
    </row>
  </sheetData>
  <mergeCells count="28">
    <mergeCell ref="A47:E47"/>
    <mergeCell ref="B17:E17"/>
    <mergeCell ref="A4:E4"/>
    <mergeCell ref="A43:E43"/>
    <mergeCell ref="B38:E38"/>
    <mergeCell ref="A13:E13"/>
    <mergeCell ref="B34:E34"/>
    <mergeCell ref="A44:E44"/>
    <mergeCell ref="B19:E19"/>
    <mergeCell ref="C10:E10"/>
    <mergeCell ref="A46:E46"/>
    <mergeCell ref="B31:E31"/>
    <mergeCell ref="B18:E18"/>
    <mergeCell ref="B27:E27"/>
    <mergeCell ref="A2:E2"/>
    <mergeCell ref="B21:E21"/>
    <mergeCell ref="B39:E39"/>
    <mergeCell ref="A30:E30"/>
    <mergeCell ref="B40:E40"/>
    <mergeCell ref="A24:E24"/>
    <mergeCell ref="B33:E33"/>
    <mergeCell ref="A1:E1"/>
    <mergeCell ref="B20:E20"/>
    <mergeCell ref="B32:E32"/>
    <mergeCell ref="B26:E26"/>
    <mergeCell ref="A16:E16"/>
    <mergeCell ref="B25:E25"/>
    <mergeCell ref="A37:E37"/>
  </mergeCells>
  <dataValidations count="2">
    <dataValidation type="list" sqref="B14" xr:uid="{00000000-0002-0000-0800-000000000000}">
      <formula1>"Draft,Under Review,Approved,Rejected"</formula1>
    </dataValidation>
    <dataValidation type="list" sqref="B33" xr:uid="{00000000-0002-0000-0800-000001000000}">
      <formula1>"Approved,Approved with conditions,Rejected"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Dashboard</vt:lpstr>
      <vt:lpstr>Gap Analysis</vt:lpstr>
      <vt:lpstr>Risk Register</vt:lpstr>
      <vt:lpstr>Remediation Roadmap</vt:lpstr>
      <vt:lpstr>KPIs &amp; Metrics</vt:lpstr>
      <vt:lpstr>Evidence Register</vt:lpstr>
      <vt:lpstr>Action Items &amp; Follow-up</vt:lpstr>
      <vt:lpstr>Audit &amp; Compliance Log</vt:lpstr>
      <vt:lpstr>Approval 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Gregory Griffin</cp:lastModifiedBy>
  <dcterms:created xsi:type="dcterms:W3CDTF">2026-01-11T19:56:16Z</dcterms:created>
  <dcterms:modified xsi:type="dcterms:W3CDTF">2026-01-11T20:03:27Z</dcterms:modified>
</cp:coreProperties>
</file>