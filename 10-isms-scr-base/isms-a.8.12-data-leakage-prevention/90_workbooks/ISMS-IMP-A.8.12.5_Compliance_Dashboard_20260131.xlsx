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_Legend" sheetId="1" state="visible" r:id="rId1"/>
    <sheet xmlns:r="http://schemas.openxmlformats.org/officeDocument/2006/relationships" name="Executive_Summary" sheetId="2" state="visible" r:id="rId2"/>
    <sheet xmlns:r="http://schemas.openxmlformats.org/officeDocument/2006/relationships" name="Domain_Rollup_Summary" sheetId="3" state="visible" r:id="rId3"/>
    <sheet xmlns:r="http://schemas.openxmlformats.org/officeDocument/2006/relationships" name="Consolidated_Gap_Analysis" sheetId="4" state="visible" r:id="rId4"/>
    <sheet xmlns:r="http://schemas.openxmlformats.org/officeDocument/2006/relationships" name="Risk_Register" sheetId="5" state="visible" r:id="rId5"/>
    <sheet xmlns:r="http://schemas.openxmlformats.org/officeDocument/2006/relationships" name="Remediation_Roadmap" sheetId="6" state="visible" r:id="rId6"/>
    <sheet xmlns:r="http://schemas.openxmlformats.org/officeDocument/2006/relationships" name="Evidence_Master_Index" sheetId="7" state="visible" r:id="rId7"/>
    <sheet xmlns:r="http://schemas.openxmlformats.org/officeDocument/2006/relationships" name="Trend_Analysis" sheetId="8" state="visible" r:id="rId8"/>
    <sheet xmlns:r="http://schemas.openxmlformats.org/officeDocument/2006/relationships" name="KPI_Dashboard" sheetId="9" state="visible" r:id="rId9"/>
    <sheet xmlns:r="http://schemas.openxmlformats.org/officeDocument/2006/relationships" name="Budget_Planning" sheetId="10" state="visible" r:id="rId10"/>
    <sheet xmlns:r="http://schemas.openxmlformats.org/officeDocument/2006/relationships" name="CISO_DPO_Approval" sheetId="11" state="visible" r:id="rId11"/>
    <sheet xmlns:r="http://schemas.openxmlformats.org/officeDocument/2006/relationships" name="Summary_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.MM.YYYY"/>
    <numFmt numFmtId="165" formatCode="0.0&quot;%&quot;"/>
    <numFmt numFmtId="166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b val="1"/>
      <color rgb="00FFFFFF"/>
      <sz val="12"/>
    </font>
    <font>
      <b val="1"/>
    </font>
    <font>
      <name val="Arial"/>
      <sz val="10"/>
    </font>
    <font>
      <b val="1"/>
      <sz val="12"/>
    </font>
    <font>
      <b val="1"/>
      <sz val="14"/>
    </font>
    <font>
      <b val="1"/>
      <sz val="11"/>
    </font>
    <font>
      <b val="1"/>
      <i val="1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5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6" fillId="0" borderId="0" pivotButton="0" quotePrefix="0" xfId="0"/>
    <xf numFmtId="164" fontId="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3" borderId="1" applyAlignment="1" pivotButton="0" quotePrefix="0" xfId="0">
      <alignment horizontal="left" vertical="center"/>
    </xf>
    <xf numFmtId="164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left" vertical="center"/>
    </xf>
    <xf numFmtId="3" fontId="4" fillId="0" borderId="0" pivotButton="0" quotePrefix="0" xfId="0"/>
    <xf numFmtId="166" fontId="4" fillId="0" borderId="0" pivotButton="0" quotePrefix="0" xfId="0"/>
    <xf numFmtId="166" fontId="0" fillId="0" borderId="0" pivotButton="0" quotePrefix="0" xfId="0"/>
    <xf numFmtId="166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ISMS-IMP-A.8.12.5 - Compliance Dashboard - Master Consolidation</t>
        </is>
      </c>
    </row>
    <row r="3" ht="320" customHeight="1">
      <c r="A3" s="2" t="inlineStr">
        <is>
          <t>⚙️ DASHBOARD SETUP INSTRUCTIONS ⚙️
This workbook consolidates data from Domains 1-4 using external formulas.
REQUIRED SETUP STEPS:
Step 1: Complete all 4 assessment workbooks (Domains 1-4)
Step 2: Run the normalization script:
        python3 normalize_assessment_files_a812.py
        This creates standardized filenames in Dashboard_Sources folder:
        - ISMS-IMP-A.8.12.1.xlsx (DLP Infrastructure)
        - ISMS-IMP-A.8.12.2.xlsx (Data Classification)
        - ISMS-IMP-A.8.12.3.xlsx (Channel Coverage)
        - ISMS-IMP-A.8.12.4.xlsx (Monitoring &amp; Response)
Step 3: Place THIS dashboard file in the Dashboard_Sources folder
        (same folder as normalized assessment workbooks)
Step 4: Open this dashboard
Step 5: Click "Update Links" when prompted
Step 6: Dashboard auto-populates with compliance data!
✅ External formulas automatically reference normalized workbooks
✅ No manual Find &amp; Replace required!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>
      <c r="A21" s="3" t="inlineStr">
        <is>
          <t>DOCUMENT METADATA</t>
        </is>
      </c>
    </row>
    <row r="22">
      <c r="A22" s="4" t="inlineStr">
        <is>
          <t>Document ID:</t>
        </is>
      </c>
      <c r="B22" t="inlineStr">
        <is>
          <t>ISMS-IMP-A.8.12.5</t>
        </is>
      </c>
    </row>
    <row r="23">
      <c r="A23" s="4" t="inlineStr">
        <is>
          <t>Assessment Area:</t>
        </is>
      </c>
      <c r="B23" t="inlineStr">
        <is>
          <t>Compliance Dashboard - Master Consolidation</t>
        </is>
      </c>
    </row>
    <row r="24">
      <c r="A24" s="4" t="inlineStr">
        <is>
          <t>Related Domains:</t>
        </is>
      </c>
      <c r="B24" t="inlineStr">
        <is>
          <t>1, 2, 3, 4</t>
        </is>
      </c>
    </row>
    <row r="25">
      <c r="A25" s="4" t="inlineStr">
        <is>
          <t>Version:</t>
        </is>
      </c>
      <c r="B25" t="inlineStr">
        <is>
          <t>1.0</t>
        </is>
      </c>
    </row>
    <row r="26">
      <c r="A26" s="4" t="inlineStr">
        <is>
          <t>ISO Control:</t>
        </is>
      </c>
      <c r="B26" t="inlineStr">
        <is>
          <t>A.8.12</t>
        </is>
      </c>
    </row>
    <row r="28">
      <c r="A28" s="3" t="inlineStr">
        <is>
          <t>ORGANIZATION METADATA (Complete the yellow fields)</t>
        </is>
      </c>
    </row>
    <row r="29">
      <c r="A29" s="4" t="inlineStr">
        <is>
          <t>Assessment Date:</t>
        </is>
      </c>
      <c r="B29" s="5" t="n"/>
    </row>
    <row r="30">
      <c r="A30" s="4" t="inlineStr">
        <is>
          <t>Completed By (Name):</t>
        </is>
      </c>
      <c r="B30" s="5" t="n"/>
    </row>
    <row r="31">
      <c r="A31" s="4" t="inlineStr">
        <is>
          <t>Completed By (Role):</t>
        </is>
      </c>
      <c r="B31" s="5" t="n"/>
    </row>
    <row r="32">
      <c r="A32" s="4" t="inlineStr">
        <is>
          <t>Organization Name:</t>
        </is>
      </c>
      <c r="B32" s="5" t="n"/>
    </row>
    <row r="33">
      <c r="A33" s="4" t="inlineStr">
        <is>
          <t>Review Cycle:</t>
        </is>
      </c>
      <c r="B33" s="5" t="inlineStr">
        <is>
          <t>Quarterly</t>
        </is>
      </c>
    </row>
    <row r="35">
      <c r="A35" s="3" t="inlineStr">
        <is>
          <t>HOW TO USE THIS WORKBOOK</t>
        </is>
      </c>
    </row>
    <row r="36">
      <c r="A36" s="6" t="inlineStr">
        <is>
          <t>1. Review Executive_Summary (CISO one-page dashboard)</t>
        </is>
      </c>
    </row>
    <row r="37">
      <c r="A37" s="6" t="inlineStr">
        <is>
          <t>2. Check Domain_Rollup_Summary (individual domain scores)</t>
        </is>
      </c>
    </row>
    <row r="38">
      <c r="A38" s="6" t="inlineStr">
        <is>
          <t>3. Review Consolidated_Gap_Analysis (auto-populated from domains)</t>
        </is>
      </c>
    </row>
    <row r="39">
      <c r="A39" s="6" t="inlineStr">
        <is>
          <t>4. Review Risk_Register (DLP-specific risks)</t>
        </is>
      </c>
    </row>
    <row r="40">
      <c r="A40" s="6" t="inlineStr">
        <is>
          <t>5. Create Remediation_Roadmap (prioritized actions)</t>
        </is>
      </c>
    </row>
    <row r="41">
      <c r="A41" s="6" t="inlineStr">
        <is>
          <t>6. Track trends in Trend_Analysis (quarterly progress)</t>
        </is>
      </c>
    </row>
    <row r="42">
      <c r="A42" s="6" t="inlineStr">
        <is>
          <t>7. Review Budget_Planning (costs and staffing)</t>
        </is>
      </c>
    </row>
    <row r="43">
      <c r="A43" s="6" t="inlineStr">
        <is>
          <t>8. Obtain final sign-off in CISO_DPO_Approval sheet</t>
        </is>
      </c>
    </row>
    <row r="44">
      <c r="A44" s="6" t="inlineStr">
        <is>
          <t>9. Review Summary_Dashboard for master compliance score</t>
        </is>
      </c>
    </row>
    <row r="46">
      <c r="A46" s="3" t="inlineStr">
        <is>
          <t>LEGEND - COMPLIANCE SCORING</t>
        </is>
      </c>
    </row>
    <row r="47">
      <c r="A47" s="7" t="inlineStr">
        <is>
          <t>✅ Pass</t>
        </is>
      </c>
      <c r="B47" t="inlineStr">
        <is>
          <t>Overall DLP Compliance ≥ 85%</t>
        </is>
      </c>
    </row>
    <row r="48">
      <c r="A48" s="7" t="inlineStr">
        <is>
          <t>⚠️ Conditional Pass</t>
        </is>
      </c>
      <c r="B48" t="inlineStr">
        <is>
          <t>70-84% (gaps must be remediated within 90 days)</t>
        </is>
      </c>
    </row>
    <row r="49">
      <c r="A49" s="7" t="inlineStr">
        <is>
          <t>❌ Fail</t>
        </is>
      </c>
      <c r="B49" t="inlineStr">
        <is>
          <t>&lt;70% (significant remediation required)</t>
        </is>
      </c>
    </row>
  </sheetData>
  <mergeCells count="18">
    <mergeCell ref="A38:F38"/>
    <mergeCell ref="A41:F41"/>
    <mergeCell ref="A28:F28"/>
    <mergeCell ref="A42:F42"/>
    <mergeCell ref="A46:F46"/>
    <mergeCell ref="A36:F36"/>
    <mergeCell ref="B47:F47"/>
    <mergeCell ref="A44:F44"/>
    <mergeCell ref="B48:F48"/>
    <mergeCell ref="A1:F1"/>
    <mergeCell ref="A37:F37"/>
    <mergeCell ref="B49:F49"/>
    <mergeCell ref="A40:F40"/>
    <mergeCell ref="A35:F35"/>
    <mergeCell ref="A21:F21"/>
    <mergeCell ref="A3:F20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  <col width="20" customWidth="1" min="5" max="5"/>
    <col width="20" customWidth="1" min="6" max="6"/>
  </cols>
  <sheetData>
    <row r="1" ht="30" customHeight="1">
      <c r="A1" s="1" t="inlineStr">
        <is>
          <t>EXECUTIVE SUMMARY - DLP Program Compliance Dashboard</t>
        </is>
      </c>
    </row>
    <row r="3">
      <c r="A3" s="4" t="inlineStr">
        <is>
          <t>Report Date:</t>
        </is>
      </c>
      <c r="B3" s="8">
        <f>TODAY()</f>
        <v/>
      </c>
    </row>
    <row r="4">
      <c r="A4" s="4" t="inlineStr">
        <is>
          <t>Reporting Period:</t>
        </is>
      </c>
      <c r="B4" s="5" t="n"/>
    </row>
    <row r="5">
      <c r="A5" s="4" t="inlineStr">
        <is>
          <t>Prepared By:</t>
        </is>
      </c>
      <c r="B5" s="5" t="n"/>
    </row>
    <row r="7">
      <c r="A7" s="3" t="inlineStr">
        <is>
          <t>OVERALL DLP COMPLIANCE SUMMARY</t>
        </is>
      </c>
    </row>
    <row r="8">
      <c r="A8" s="9" t="inlineStr">
        <is>
          <t>Domain</t>
        </is>
      </c>
      <c r="B8" s="9" t="inlineStr">
        <is>
          <t>Compliance Score</t>
        </is>
      </c>
      <c r="C8" s="9" t="inlineStr">
        <is>
          <t>Target</t>
        </is>
      </c>
      <c r="D8" s="9" t="inlineStr">
        <is>
          <t>Status</t>
        </is>
      </c>
    </row>
    <row r="9">
      <c r="A9" t="inlineStr">
        <is>
          <t>Domain 1 - Infrastructure</t>
        </is>
      </c>
      <c r="B9" s="10">
        <f>'[ISMS-IMP-A.8.12.1.xlsx]Summary_Dashboard'!$B$19</f>
        <v/>
      </c>
      <c r="C9" t="inlineStr">
        <is>
          <t>85%</t>
        </is>
      </c>
      <c r="D9">
        <f>IF(B9&gt;=85,"✅ Pass",IF(B9&gt;=70,"⚠️ Conditional","❌ Fail"))</f>
        <v/>
      </c>
    </row>
    <row r="10">
      <c r="A10" t="inlineStr">
        <is>
          <t>Domain 2 - Classification</t>
        </is>
      </c>
      <c r="B10" s="10">
        <f>'[ISMS-IMP-A.8.12.2.xlsx]Summary_Dashboard'!$B$18</f>
        <v/>
      </c>
      <c r="C10" t="inlineStr">
        <is>
          <t>85%</t>
        </is>
      </c>
      <c r="D10">
        <f>IF(B10&gt;=85,"✅ Pass",IF(B10&gt;=70,"⚠️ Conditional","❌ Fail"))</f>
        <v/>
      </c>
    </row>
    <row r="11">
      <c r="A11" t="inlineStr">
        <is>
          <t>Domain 3 - Channels</t>
        </is>
      </c>
      <c r="B11" s="10">
        <f>'[ISMS-IMP-A.8.12.3.xlsx]Summary_Dashboard'!$B$23</f>
        <v/>
      </c>
      <c r="C11" t="inlineStr">
        <is>
          <t>85%</t>
        </is>
      </c>
      <c r="D11">
        <f>IF(B11&gt;=85,"✅ Pass",IF(B11&gt;=70,"⚠️ Conditional","❌ Fail"))</f>
        <v/>
      </c>
    </row>
    <row r="12">
      <c r="A12" t="inlineStr">
        <is>
          <t>Domain 4 - Monitoring</t>
        </is>
      </c>
      <c r="B12" s="10">
        <f>'[ISMS-IMP-A.8.12.4.xlsx]Summary_Dashboard'!$B$17</f>
        <v/>
      </c>
      <c r="C12" t="inlineStr">
        <is>
          <t>85%</t>
        </is>
      </c>
      <c r="D12">
        <f>IF(B12&gt;=85,"✅ Pass",IF(B12&gt;=70,"⚠️ Conditional","❌ Fail"))</f>
        <v/>
      </c>
    </row>
    <row r="13">
      <c r="A13" s="11" t="inlineStr">
        <is>
          <t>OVERALL DLP COMPLIANCE</t>
        </is>
      </c>
      <c r="B13" s="12">
        <f>(B9*0.25+B10*0.20+B11*0.30+B12*0.25)</f>
        <v/>
      </c>
      <c r="C13" s="4" t="inlineStr">
        <is>
          <t>&gt;85%</t>
        </is>
      </c>
      <c r="D13" s="11">
        <f>IF(B13&gt;=85,"✅ Pass",IF(B13&gt;=70,"⚠️ Conditional","❌ Fail"))</f>
        <v/>
      </c>
    </row>
    <row r="15">
      <c r="A15" s="3" t="inlineStr">
        <is>
          <t>KEY METRICS BY DOMAIN</t>
        </is>
      </c>
    </row>
    <row r="16">
      <c r="A16" s="13" t="inlineStr">
        <is>
          <t>DOMAIN 1 - DLP INFRASTRUCTURE</t>
        </is>
      </c>
    </row>
    <row r="17">
      <c r="A17" t="inlineStr">
        <is>
          <t xml:space="preserve">  Total DLP technologies deployed</t>
        </is>
      </c>
      <c r="B17">
        <f>'[ISMS-IMP-A.8.12.1.xlsx]Summary_Dashboard'!$B$5</f>
        <v/>
      </c>
    </row>
    <row r="18">
      <c r="A18" t="inlineStr">
        <is>
          <t xml:space="preserve">  Endpoint coverage %</t>
        </is>
      </c>
      <c r="B18" s="10">
        <f>'[ISMS-IMP-A.8.12.1.xlsx]Summary_Dashboard'!$B$6</f>
        <v/>
      </c>
    </row>
    <row r="19">
      <c r="A19" t="inlineStr">
        <is>
          <t xml:space="preserve">  Email DLP coverage %</t>
        </is>
      </c>
      <c r="B19" s="10">
        <f>'[ISMS-IMP-A.8.12.1.xlsx]Summary_Dashboard'!$B$7</f>
        <v/>
      </c>
    </row>
    <row r="21">
      <c r="A21" s="13" t="inlineStr">
        <is>
          <t>DOMAIN 2 - DATA CLASSIFICATION</t>
        </is>
      </c>
    </row>
    <row r="22">
      <c r="A22" t="inlineStr">
        <is>
          <t xml:space="preserve">  Data classification completeness %</t>
        </is>
      </c>
      <c r="B22" s="10">
        <f>'[ISMS-IMP-A.8.12.2.xlsx]Summary_Dashboard'!$B$5</f>
        <v/>
      </c>
    </row>
    <row r="23">
      <c r="A23" t="inlineStr">
        <is>
          <t xml:space="preserve">  Sensitive data categories inventoried</t>
        </is>
      </c>
      <c r="B23">
        <f>'[ISMS-IMP-A.8.12.2.xlsx]Summary_Dashboard'!$B$6</f>
        <v/>
      </c>
    </row>
    <row r="24">
      <c r="A24" t="inlineStr">
        <is>
          <t xml:space="preserve">  Data owners assigned %</t>
        </is>
      </c>
      <c r="B24" s="10">
        <f>'[ISMS-IMP-A.8.12.2.xlsx]Summary_Dashboard'!$B$7</f>
        <v/>
      </c>
    </row>
    <row r="26">
      <c r="A26" s="13" t="inlineStr">
        <is>
          <t>DOMAIN 3 - CHANNEL COVERAGE</t>
        </is>
      </c>
    </row>
    <row r="27">
      <c r="A27" t="inlineStr">
        <is>
          <t xml:space="preserve">  Overall channel coverage %</t>
        </is>
      </c>
      <c r="B27" s="10">
        <f>'[ISMS-IMP-A.8.12.3.xlsx]Summary_Dashboard'!$B$5</f>
        <v/>
      </c>
    </row>
    <row r="28">
      <c r="A28" t="inlineStr">
        <is>
          <t xml:space="preserve">  Email channel coverage %</t>
        </is>
      </c>
      <c r="B28" s="10">
        <f>'[ISMS-IMP-A.8.12.3.xlsx]Summary_Dashboard'!$B$8</f>
        <v/>
      </c>
    </row>
    <row r="29">
      <c r="A29" t="inlineStr">
        <is>
          <t xml:space="preserve">  Unprotected channels count</t>
        </is>
      </c>
      <c r="B29">
        <f>'[ISMS-IMP-A.8.12.3.xlsx]Summary_Dashboard'!$B$17</f>
        <v/>
      </c>
    </row>
    <row r="31">
      <c r="A31" s="13" t="inlineStr">
        <is>
          <t>DOMAIN 4 - MONITORING &amp; RESPONSE</t>
        </is>
      </c>
    </row>
    <row r="32">
      <c r="A32" t="inlineStr">
        <is>
          <t xml:space="preserve">  False positive rate %</t>
        </is>
      </c>
      <c r="B32" s="10">
        <f>'[ISMS-IMP-A.8.12.4.xlsx]Summary_Dashboard'!$B$11</f>
        <v/>
      </c>
    </row>
    <row r="33">
      <c r="A33" t="inlineStr">
        <is>
          <t xml:space="preserve">  SLA compliance %</t>
        </is>
      </c>
      <c r="B33" s="10">
        <f>'[ISMS-IMP-A.8.12.4.xlsx]Summary_Dashboard'!$B$12</f>
        <v/>
      </c>
    </row>
    <row r="34">
      <c r="A34" t="inlineStr">
        <is>
          <t xml:space="preserve">  Alert triage rate %</t>
        </is>
      </c>
      <c r="B34" s="10">
        <f>'[ISMS-IMP-A.8.12.4.xlsx]Summary_Dashboard'!$B$13</f>
        <v/>
      </c>
    </row>
  </sheetData>
  <mergeCells count="3">
    <mergeCell ref="A1:F1"/>
    <mergeCell ref="A7:F7"/>
    <mergeCell ref="A15:F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Domain Rollup Summary - Detailed Compliance View</t>
        </is>
      </c>
    </row>
    <row r="3">
      <c r="A3" s="9" t="inlineStr">
        <is>
          <t>Domain</t>
        </is>
      </c>
      <c r="B3" s="9" t="inlineStr">
        <is>
          <t>Compliance Score</t>
        </is>
      </c>
      <c r="C3" s="9" t="inlineStr">
        <is>
          <t>Critical Gaps</t>
        </is>
      </c>
      <c r="D3" s="9" t="inlineStr">
        <is>
          <t>High Gaps</t>
        </is>
      </c>
      <c r="E3" s="9" t="inlineStr">
        <is>
          <t>Status</t>
        </is>
      </c>
    </row>
    <row r="4">
      <c r="A4" t="inlineStr">
        <is>
          <t>Domain 1 - DLP Infrastructure</t>
        </is>
      </c>
      <c r="B4" s="10">
        <f>'[ISMS-IMP-A.8.12.1.xlsx]Summary_Dashboard'!$B$19</f>
        <v/>
      </c>
      <c r="C4">
        <f>'[ISMS-IMP-A.8.12.1.xlsx]Gap_Analysis'!$B$3</f>
        <v/>
      </c>
      <c r="D4">
        <f>'[ISMS-IMP-A.8.12.1.xlsx]Gap_Analysis'!$B$4</f>
        <v/>
      </c>
      <c r="E4">
        <f>IF(B4&gt;=85,"✅",IF(B4&gt;=70,"⚠️","❌"))</f>
        <v/>
      </c>
    </row>
    <row r="5">
      <c r="A5" t="inlineStr">
        <is>
          <t>Domain 2 - Data Classification</t>
        </is>
      </c>
      <c r="B5" s="10">
        <f>'[ISMS-IMP-A.8.12.2.xlsx]Summary_Dashboard'!$B$18</f>
        <v/>
      </c>
      <c r="C5">
        <f>'[ISMS-IMP-A.8.12.2.xlsx]Gap_Analysis'!$B$3</f>
        <v/>
      </c>
      <c r="D5">
        <f>'[ISMS-IMP-A.8.12.2.xlsx]Gap_Analysis'!$B$4</f>
        <v/>
      </c>
      <c r="E5">
        <f>IF(B5&gt;=85,"✅",IF(B5&gt;=70,"⚠️","❌"))</f>
        <v/>
      </c>
    </row>
    <row r="6">
      <c r="A6" t="inlineStr">
        <is>
          <t>Domain 3 - Channel Coverage</t>
        </is>
      </c>
      <c r="B6" s="10">
        <f>'[ISMS-IMP-A.8.12.3.xlsx]Summary_Dashboard'!$B$23</f>
        <v/>
      </c>
      <c r="C6">
        <f>'[ISMS-IMP-A.8.12.3.xlsx]Gap_Analysis'!$B$3</f>
        <v/>
      </c>
      <c r="D6">
        <f>'[ISMS-IMP-A.8.12.3.xlsx]Gap_Analysis'!$B$4</f>
        <v/>
      </c>
      <c r="E6">
        <f>IF(B6&gt;=85,"✅",IF(B6&gt;=70,"⚠️","❌"))</f>
        <v/>
      </c>
    </row>
    <row r="7">
      <c r="A7" t="inlineStr">
        <is>
          <t>Domain 4 - Monitoring &amp; Response</t>
        </is>
      </c>
      <c r="B7" s="10">
        <f>'[ISMS-IMP-A.8.12.4.xlsx]Summary_Dashboard'!$B$17</f>
        <v/>
      </c>
      <c r="C7">
        <f>'[ISMS-IMP-A.8.12.4.xlsx]Gap_Analysis'!$B$3</f>
        <v/>
      </c>
      <c r="D7">
        <f>'[ISMS-IMP-A.8.12.4.xlsx]Gap_Analysis'!$B$4</f>
        <v/>
      </c>
      <c r="E7">
        <f>IF(B7&gt;=85,"✅",IF(B7&gt;=70,"⚠️","❌"))</f>
        <v/>
      </c>
    </row>
    <row r="9">
      <c r="A9" s="3" t="inlineStr">
        <is>
          <t>DOMAIN DETAILS</t>
        </is>
      </c>
    </row>
    <row r="10">
      <c r="A10" s="4" t="inlineStr">
        <is>
          <t>Domain 1: DLP Infrastructure</t>
        </is>
      </c>
      <c r="B10" t="inlineStr">
        <is>
          <t>Assesses DLP technology deployment and coverage</t>
        </is>
      </c>
    </row>
    <row r="11">
      <c r="A11" s="4" t="inlineStr">
        <is>
          <t>Domain 2: Data Classification</t>
        </is>
      </c>
      <c r="B11" t="inlineStr">
        <is>
          <t>Evaluates data classification and ownership</t>
        </is>
      </c>
    </row>
    <row r="12">
      <c r="A12" s="4" t="inlineStr">
        <is>
          <t>Domain 3: Channel Coverage</t>
        </is>
      </c>
      <c r="B12" t="inlineStr">
        <is>
          <t>Measures DLP protection across communication channels</t>
        </is>
      </c>
    </row>
    <row r="13">
      <c r="A13" s="4" t="inlineStr">
        <is>
          <t>Domain 4: Monitoring &amp; Response</t>
        </is>
      </c>
      <c r="B13" t="inlineStr">
        <is>
          <t>Reviews incident detection and response capabilities</t>
        </is>
      </c>
    </row>
  </sheetData>
  <mergeCells count="6">
    <mergeCell ref="B12:E12"/>
    <mergeCell ref="B13:E13"/>
    <mergeCell ref="A1:E1"/>
    <mergeCell ref="B11:E11"/>
    <mergeCell ref="B10:E10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20" customWidth="1" min="4" max="4"/>
    <col width="25" customWidth="1" min="5" max="5"/>
    <col width="25" customWidth="1" min="6" max="6"/>
    <col width="20" customWidth="1" min="7" max="7"/>
    <col width="20" customWidth="1" min="8" max="8"/>
  </cols>
  <sheetData>
    <row r="1" ht="30" customHeight="1">
      <c r="A1" s="1" t="inlineStr">
        <is>
          <t>Consolidated Gap Analysis - All Domains</t>
        </is>
      </c>
    </row>
    <row r="3">
      <c r="A3" s="14" t="inlineStr">
        <is>
          <t>ὌB Copy gaps from individual domain workbooks to consolidate here for enterprise-wide visibility</t>
        </is>
      </c>
    </row>
    <row r="5">
      <c r="A5" s="9" t="inlineStr">
        <is>
          <t>Domain</t>
        </is>
      </c>
      <c r="B5" s="9" t="inlineStr">
        <is>
          <t>Gap ID</t>
        </is>
      </c>
      <c r="C5" s="9" t="inlineStr">
        <is>
          <t>Gap Description</t>
        </is>
      </c>
      <c r="D5" s="9" t="inlineStr">
        <is>
          <t>Severity</t>
        </is>
      </c>
      <c r="E5" s="9" t="inlineStr">
        <is>
          <t>Current State</t>
        </is>
      </c>
      <c r="F5" s="9" t="inlineStr">
        <is>
          <t>Target State</t>
        </is>
      </c>
      <c r="G5" s="9" t="inlineStr">
        <is>
          <t>Owner</t>
        </is>
      </c>
      <c r="H5" s="9" t="inlineStr">
        <is>
          <t>Status</t>
        </is>
      </c>
    </row>
    <row r="6">
      <c r="A6" s="5" t="n"/>
      <c r="B6" s="5" t="n"/>
      <c r="C6" s="5" t="n"/>
      <c r="D6" s="5" t="n"/>
      <c r="E6" s="5" t="n"/>
      <c r="F6" s="5" t="n"/>
      <c r="G6" s="5" t="n"/>
      <c r="H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DLP Risk Register</t>
        </is>
      </c>
    </row>
    <row r="3">
      <c r="A3" s="9" t="inlineStr">
        <is>
          <t>Risk ID</t>
        </is>
      </c>
      <c r="B3" s="9" t="inlineStr">
        <is>
          <t>Domain</t>
        </is>
      </c>
      <c r="C3" s="9" t="inlineStr">
        <is>
          <t>Risk Description</t>
        </is>
      </c>
      <c r="D3" s="9" t="inlineStr">
        <is>
          <t>Category</t>
        </is>
      </c>
      <c r="E3" s="9" t="inlineStr">
        <is>
          <t>Likelihood</t>
        </is>
      </c>
      <c r="F3" s="9" t="inlineStr">
        <is>
          <t>Impact</t>
        </is>
      </c>
      <c r="G3" s="9" t="inlineStr">
        <is>
          <t>Risk Score</t>
        </is>
      </c>
      <c r="H3" s="9" t="inlineStr">
        <is>
          <t>Inherent Risk</t>
        </is>
      </c>
      <c r="I3" s="9" t="inlineStr">
        <is>
          <t>Residual Risk</t>
        </is>
      </c>
      <c r="J3" s="9" t="inlineStr">
        <is>
          <t>Status</t>
        </is>
      </c>
    </row>
    <row r="4">
      <c r="A4" s="15" t="inlineStr">
        <is>
          <t>R-001</t>
        </is>
      </c>
      <c r="B4" s="15" t="inlineStr">
        <is>
          <t>Domain 1</t>
        </is>
      </c>
      <c r="C4" s="15" t="inlineStr">
        <is>
          <t>Insufficient endpoint DLP coverage</t>
        </is>
      </c>
      <c r="D4" s="15" t="inlineStr">
        <is>
          <t>Technical</t>
        </is>
      </c>
      <c r="E4" s="15" t="inlineStr">
        <is>
          <t>High</t>
        </is>
      </c>
      <c r="F4" s="15" t="inlineStr">
        <is>
          <t>High</t>
        </is>
      </c>
      <c r="G4" s="15">
        <f>E4&amp;"-"&amp;F4</f>
        <v/>
      </c>
      <c r="H4" s="15" t="inlineStr">
        <is>
          <t>High</t>
        </is>
      </c>
      <c r="I4" s="15" t="inlineStr">
        <is>
          <t>Medium</t>
        </is>
      </c>
      <c r="J4" s="15" t="inlineStr">
        <is>
          <t>Active</t>
        </is>
      </c>
    </row>
    <row r="5">
      <c r="A5" s="15" t="inlineStr">
        <is>
          <t>R-002</t>
        </is>
      </c>
      <c r="B5" s="15" t="inlineStr">
        <is>
          <t>Domain 2</t>
        </is>
      </c>
      <c r="C5" s="15" t="inlineStr">
        <is>
          <t>Incomplete data classification</t>
        </is>
      </c>
      <c r="D5" s="15" t="inlineStr">
        <is>
          <t>Compliance</t>
        </is>
      </c>
      <c r="E5" s="15" t="inlineStr">
        <is>
          <t>Medium</t>
        </is>
      </c>
      <c r="F5" s="15" t="inlineStr">
        <is>
          <t>High</t>
        </is>
      </c>
      <c r="G5" s="15">
        <f>E5&amp;"-"&amp;F5</f>
        <v/>
      </c>
      <c r="H5" s="15" t="inlineStr">
        <is>
          <t>High</t>
        </is>
      </c>
      <c r="I5" s="15" t="inlineStr">
        <is>
          <t>Low</t>
        </is>
      </c>
      <c r="J5" s="15" t="inlineStr">
        <is>
          <t>Mitigated</t>
        </is>
      </c>
    </row>
    <row r="6">
      <c r="A6" s="15" t="inlineStr">
        <is>
          <t>R-003</t>
        </is>
      </c>
      <c r="B6" s="15" t="inlineStr">
        <is>
          <t>Domain 3</t>
        </is>
      </c>
      <c r="C6" s="15" t="inlineStr">
        <is>
          <t>Email channel unprotected</t>
        </is>
      </c>
      <c r="D6" s="15" t="inlineStr">
        <is>
          <t>Technical</t>
        </is>
      </c>
      <c r="E6" s="15" t="inlineStr">
        <is>
          <t>High</t>
        </is>
      </c>
      <c r="F6" s="15" t="inlineStr">
        <is>
          <t>Critical</t>
        </is>
      </c>
      <c r="G6" s="15">
        <f>E6&amp;"-"&amp;F6</f>
        <v/>
      </c>
      <c r="H6" s="15" t="inlineStr">
        <is>
          <t>Critical</t>
        </is>
      </c>
      <c r="I6" s="15" t="inlineStr">
        <is>
          <t>High</t>
        </is>
      </c>
      <c r="J6" s="15" t="inlineStr">
        <is>
          <t>Active</t>
        </is>
      </c>
    </row>
    <row r="7">
      <c r="A7" s="15" t="inlineStr">
        <is>
          <t>R-004</t>
        </is>
      </c>
      <c r="B7" s="15" t="inlineStr">
        <is>
          <t>Domain 4</t>
        </is>
      </c>
      <c r="C7" s="15" t="inlineStr">
        <is>
          <t>High false positive rate</t>
        </is>
      </c>
      <c r="D7" s="15" t="inlineStr">
        <is>
          <t>Operational</t>
        </is>
      </c>
      <c r="E7" s="15" t="inlineStr">
        <is>
          <t>Medium</t>
        </is>
      </c>
      <c r="F7" s="15" t="inlineStr">
        <is>
          <t>Medium</t>
        </is>
      </c>
      <c r="G7" s="15">
        <f>E7&amp;"-"&amp;F7</f>
        <v/>
      </c>
      <c r="H7" s="15" t="inlineStr">
        <is>
          <t>Medium</t>
        </is>
      </c>
      <c r="I7" s="15" t="inlineStr">
        <is>
          <t>Low</t>
        </is>
      </c>
      <c r="J7" s="15" t="inlineStr">
        <is>
          <t>In Progress</t>
        </is>
      </c>
    </row>
    <row r="8">
      <c r="A8" s="15" t="inlineStr">
        <is>
          <t>R-005</t>
        </is>
      </c>
      <c r="B8" s="15" t="inlineStr">
        <is>
          <t>Cross-Domain</t>
        </is>
      </c>
      <c r="C8" s="15" t="inlineStr">
        <is>
          <t>Lack of DLP policy awareness</t>
        </is>
      </c>
      <c r="D8" s="15" t="inlineStr">
        <is>
          <t>Compliance</t>
        </is>
      </c>
      <c r="E8" s="15" t="inlineStr">
        <is>
          <t>High</t>
        </is>
      </c>
      <c r="F8" s="15" t="inlineStr">
        <is>
          <t>Medium</t>
        </is>
      </c>
      <c r="G8" s="15">
        <f>E8&amp;"-"&amp;F8</f>
        <v/>
      </c>
      <c r="H8" s="15" t="inlineStr">
        <is>
          <t>High</t>
        </is>
      </c>
      <c r="I8" s="15" t="inlineStr">
        <is>
          <t>Medium</t>
        </is>
      </c>
      <c r="J8" s="15" t="inlineStr">
        <is>
          <t>Active</t>
        </is>
      </c>
    </row>
    <row r="9">
      <c r="A9" s="5" t="n"/>
      <c r="B9" s="5" t="n"/>
      <c r="C9" s="5" t="n"/>
      <c r="D9" s="5" t="n"/>
      <c r="E9" s="5" t="n"/>
      <c r="F9" s="5" t="n"/>
      <c r="G9" s="5">
        <f>E9&amp;"-"&amp;F9</f>
        <v/>
      </c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>
        <f>E10&amp;"-"&amp;F10</f>
        <v/>
      </c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>
        <f>E11&amp;"-"&amp;F11</f>
        <v/>
      </c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>
        <f>E12&amp;"-"&amp;F12</f>
        <v/>
      </c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>
        <f>E13&amp;"-"&amp;F13</f>
        <v/>
      </c>
      <c r="H13" s="5" t="n"/>
      <c r="I13" s="5" t="n"/>
      <c r="J13" s="5" t="n"/>
    </row>
    <row r="14">
      <c r="A14" s="5" t="n"/>
      <c r="B14" s="5" t="n"/>
      <c r="C14" s="5" t="n"/>
      <c r="D14" s="5" t="n"/>
      <c r="E14" s="5" t="n"/>
      <c r="F14" s="5" t="n"/>
      <c r="G14" s="5">
        <f>E14&amp;"-"&amp;F14</f>
        <v/>
      </c>
      <c r="H14" s="5" t="n"/>
      <c r="I14" s="5" t="n"/>
      <c r="J14" s="5" t="n"/>
    </row>
    <row r="15">
      <c r="A15" s="5" t="n"/>
      <c r="B15" s="5" t="n"/>
      <c r="C15" s="5" t="n"/>
      <c r="D15" s="5" t="n"/>
      <c r="E15" s="5" t="n"/>
      <c r="F15" s="5" t="n"/>
      <c r="G15" s="5">
        <f>E15&amp;"-"&amp;F15</f>
        <v/>
      </c>
      <c r="H15" s="5" t="n"/>
      <c r="I15" s="5" t="n"/>
      <c r="J15" s="5" t="n"/>
    </row>
    <row r="16">
      <c r="A16" s="5" t="n"/>
      <c r="B16" s="5" t="n"/>
      <c r="C16" s="5" t="n"/>
      <c r="D16" s="5" t="n"/>
      <c r="E16" s="5" t="n"/>
      <c r="F16" s="5" t="n"/>
      <c r="G16" s="5">
        <f>E16&amp;"-"&amp;F16</f>
        <v/>
      </c>
      <c r="H16" s="5" t="n"/>
      <c r="I16" s="5" t="n"/>
      <c r="J16" s="5" t="n"/>
    </row>
    <row r="17">
      <c r="A17" s="5" t="n"/>
      <c r="B17" s="5" t="n"/>
      <c r="C17" s="5" t="n"/>
      <c r="D17" s="5" t="n"/>
      <c r="E17" s="5" t="n"/>
      <c r="F17" s="5" t="n"/>
      <c r="G17" s="5">
        <f>E17&amp;"-"&amp;F17</f>
        <v/>
      </c>
      <c r="H17" s="5" t="n"/>
      <c r="I17" s="5" t="n"/>
      <c r="J17" s="5" t="n"/>
    </row>
    <row r="18">
      <c r="A18" s="5" t="n"/>
      <c r="B18" s="5" t="n"/>
      <c r="C18" s="5" t="n"/>
      <c r="D18" s="5" t="n"/>
      <c r="E18" s="5" t="n"/>
      <c r="F18" s="5" t="n"/>
      <c r="G18" s="5">
        <f>E18&amp;"-"&amp;F18</f>
        <v/>
      </c>
      <c r="H18" s="5" t="n"/>
      <c r="I18" s="5" t="n"/>
      <c r="J18" s="5" t="n"/>
    </row>
    <row r="19">
      <c r="A19" s="5" t="n"/>
      <c r="B19" s="5" t="n"/>
      <c r="C19" s="5" t="n"/>
      <c r="D19" s="5" t="n"/>
      <c r="E19" s="5" t="n"/>
      <c r="F19" s="5" t="n"/>
      <c r="G19" s="5">
        <f>E19&amp;"-"&amp;F19</f>
        <v/>
      </c>
      <c r="H19" s="5" t="n"/>
      <c r="I19" s="5" t="n"/>
      <c r="J19" s="5" t="n"/>
    </row>
    <row r="20">
      <c r="A20" s="5" t="n"/>
      <c r="B20" s="5" t="n"/>
      <c r="C20" s="5" t="n"/>
      <c r="D20" s="5" t="n"/>
      <c r="E20" s="5" t="n"/>
      <c r="F20" s="5" t="n"/>
      <c r="G20" s="5">
        <f>E20&amp;"-"&amp;F20</f>
        <v/>
      </c>
      <c r="H20" s="5" t="n"/>
      <c r="I20" s="5" t="n"/>
      <c r="J20" s="5" t="n"/>
    </row>
    <row r="21">
      <c r="A21" s="5" t="n"/>
      <c r="B21" s="5" t="n"/>
      <c r="C21" s="5" t="n"/>
      <c r="D21" s="5" t="n"/>
      <c r="E21" s="5" t="n"/>
      <c r="F21" s="5" t="n"/>
      <c r="G21" s="5">
        <f>E21&amp;"-"&amp;F21</f>
        <v/>
      </c>
      <c r="H21" s="5" t="n"/>
      <c r="I21" s="5" t="n"/>
      <c r="J21" s="5" t="n"/>
    </row>
    <row r="22">
      <c r="A22" s="5" t="n"/>
      <c r="B22" s="5" t="n"/>
      <c r="C22" s="5" t="n"/>
      <c r="D22" s="5" t="n"/>
      <c r="E22" s="5" t="n"/>
      <c r="F22" s="5" t="n"/>
      <c r="G22" s="5">
        <f>E22&amp;"-"&amp;F22</f>
        <v/>
      </c>
      <c r="H22" s="5" t="n"/>
      <c r="I22" s="5" t="n"/>
      <c r="J22" s="5" t="n"/>
    </row>
    <row r="23">
      <c r="A23" s="5" t="n"/>
      <c r="B23" s="5" t="n"/>
      <c r="C23" s="5" t="n"/>
      <c r="D23" s="5" t="n"/>
      <c r="E23" s="5" t="n"/>
      <c r="F23" s="5" t="n"/>
      <c r="G23" s="5">
        <f>E23&amp;"-"&amp;F23</f>
        <v/>
      </c>
      <c r="H23" s="5" t="n"/>
      <c r="I23" s="5" t="n"/>
      <c r="J23" s="5" t="n"/>
    </row>
    <row r="24">
      <c r="A24" s="5" t="n"/>
      <c r="B24" s="5" t="n"/>
      <c r="C24" s="5" t="n"/>
      <c r="D24" s="5" t="n"/>
      <c r="E24" s="5" t="n"/>
      <c r="F24" s="5" t="n"/>
      <c r="G24" s="5">
        <f>E24&amp;"-"&amp;F24</f>
        <v/>
      </c>
      <c r="H24" s="5" t="n"/>
      <c r="I24" s="5" t="n"/>
      <c r="J24" s="5" t="n"/>
    </row>
    <row r="25">
      <c r="A25" s="5" t="n"/>
      <c r="B25" s="5" t="n"/>
      <c r="C25" s="5" t="n"/>
      <c r="D25" s="5" t="n"/>
      <c r="E25" s="5" t="n"/>
      <c r="F25" s="5" t="n"/>
      <c r="G25" s="5">
        <f>E25&amp;"-"&amp;F25</f>
        <v/>
      </c>
      <c r="H25" s="5" t="n"/>
      <c r="I25" s="5" t="n"/>
      <c r="J25" s="5" t="n"/>
    </row>
    <row r="26">
      <c r="A26" s="5" t="n"/>
      <c r="B26" s="5" t="n"/>
      <c r="C26" s="5" t="n"/>
      <c r="D26" s="5" t="n"/>
      <c r="E26" s="5" t="n"/>
      <c r="F26" s="5" t="n"/>
      <c r="G26" s="5">
        <f>E26&amp;"-"&amp;F26</f>
        <v/>
      </c>
      <c r="H26" s="5" t="n"/>
      <c r="I26" s="5" t="n"/>
      <c r="J26" s="5" t="n"/>
    </row>
    <row r="27">
      <c r="A27" s="5" t="n"/>
      <c r="B27" s="5" t="n"/>
      <c r="C27" s="5" t="n"/>
      <c r="D27" s="5" t="n"/>
      <c r="E27" s="5" t="n"/>
      <c r="F27" s="5" t="n"/>
      <c r="G27" s="5">
        <f>E27&amp;"-"&amp;F27</f>
        <v/>
      </c>
      <c r="H27" s="5" t="n"/>
      <c r="I27" s="5" t="n"/>
      <c r="J27" s="5" t="n"/>
    </row>
    <row r="28">
      <c r="A28" s="5" t="n"/>
      <c r="B28" s="5" t="n"/>
      <c r="C28" s="5" t="n"/>
      <c r="D28" s="5" t="n"/>
      <c r="E28" s="5" t="n"/>
      <c r="F28" s="5" t="n"/>
      <c r="G28" s="5">
        <f>E28&amp;"-"&amp;F28</f>
        <v/>
      </c>
      <c r="H28" s="5" t="n"/>
      <c r="I28" s="5" t="n"/>
      <c r="J28" s="5" t="n"/>
    </row>
    <row r="29">
      <c r="A29" s="5" t="n"/>
      <c r="B29" s="5" t="n"/>
      <c r="C29" s="5" t="n"/>
      <c r="D29" s="5" t="n"/>
      <c r="E29" s="5" t="n"/>
      <c r="F29" s="5" t="n"/>
      <c r="G29" s="5">
        <f>E29&amp;"-"&amp;F29</f>
        <v/>
      </c>
      <c r="H29" s="5" t="n"/>
      <c r="I29" s="5" t="n"/>
      <c r="J29" s="5" t="n"/>
    </row>
    <row r="30">
      <c r="A30" s="5" t="n"/>
      <c r="B30" s="5" t="n"/>
      <c r="C30" s="5" t="n"/>
      <c r="D30" s="5" t="n"/>
      <c r="E30" s="5" t="n"/>
      <c r="F30" s="5" t="n"/>
      <c r="G30" s="5">
        <f>E30&amp;"-"&amp;F30</f>
        <v/>
      </c>
      <c r="H30" s="5" t="n"/>
      <c r="I30" s="5" t="n"/>
      <c r="J30" s="5" t="n"/>
    </row>
    <row r="31">
      <c r="A31" s="5" t="n"/>
      <c r="B31" s="5" t="n"/>
      <c r="C31" s="5" t="n"/>
      <c r="D31" s="5" t="n"/>
      <c r="E31" s="5" t="n"/>
      <c r="F31" s="5" t="n"/>
      <c r="G31" s="5">
        <f>E31&amp;"-"&amp;F31</f>
        <v/>
      </c>
      <c r="H31" s="5" t="n"/>
      <c r="I31" s="5" t="n"/>
      <c r="J31" s="5" t="n"/>
    </row>
    <row r="32">
      <c r="A32" s="5" t="n"/>
      <c r="B32" s="5" t="n"/>
      <c r="C32" s="5" t="n"/>
      <c r="D32" s="5" t="n"/>
      <c r="E32" s="5" t="n"/>
      <c r="F32" s="5" t="n"/>
      <c r="G32" s="5">
        <f>E32&amp;"-"&amp;F32</f>
        <v/>
      </c>
      <c r="H32" s="5" t="n"/>
      <c r="I32" s="5" t="n"/>
      <c r="J32" s="5" t="n"/>
    </row>
    <row r="33">
      <c r="A33" s="5" t="n"/>
      <c r="B33" s="5" t="n"/>
      <c r="C33" s="5" t="n"/>
      <c r="D33" s="5" t="n"/>
      <c r="E33" s="5" t="n"/>
      <c r="F33" s="5" t="n"/>
      <c r="G33" s="5">
        <f>E33&amp;"-"&amp;F33</f>
        <v/>
      </c>
      <c r="H33" s="5" t="n"/>
      <c r="I33" s="5" t="n"/>
      <c r="J33" s="5" t="n"/>
    </row>
    <row r="34">
      <c r="A34" s="5" t="n"/>
      <c r="B34" s="5" t="n"/>
      <c r="C34" s="5" t="n"/>
      <c r="D34" s="5" t="n"/>
      <c r="E34" s="5" t="n"/>
      <c r="F34" s="5" t="n"/>
      <c r="G34" s="5">
        <f>E34&amp;"-"&amp;F34</f>
        <v/>
      </c>
      <c r="H34" s="5" t="n"/>
      <c r="I34" s="5" t="n"/>
      <c r="J34" s="5" t="n"/>
    </row>
    <row r="35">
      <c r="A35" s="5" t="n"/>
      <c r="B35" s="5" t="n"/>
      <c r="C35" s="5" t="n"/>
      <c r="D35" s="5" t="n"/>
      <c r="E35" s="5" t="n"/>
      <c r="F35" s="5" t="n"/>
      <c r="G35" s="5">
        <f>E35&amp;"-"&amp;F35</f>
        <v/>
      </c>
      <c r="H35" s="5" t="n"/>
      <c r="I35" s="5" t="n"/>
      <c r="J35" s="5" t="n"/>
    </row>
    <row r="36">
      <c r="A36" s="5" t="n"/>
      <c r="B36" s="5" t="n"/>
      <c r="C36" s="5" t="n"/>
      <c r="D36" s="5" t="n"/>
      <c r="E36" s="5" t="n"/>
      <c r="F36" s="5" t="n"/>
      <c r="G36" s="5">
        <f>E36&amp;"-"&amp;F36</f>
        <v/>
      </c>
      <c r="H36" s="5" t="n"/>
      <c r="I36" s="5" t="n"/>
      <c r="J36" s="5" t="n"/>
    </row>
    <row r="37">
      <c r="A37" s="5" t="n"/>
      <c r="B37" s="5" t="n"/>
      <c r="C37" s="5" t="n"/>
      <c r="D37" s="5" t="n"/>
      <c r="E37" s="5" t="n"/>
      <c r="F37" s="5" t="n"/>
      <c r="G37" s="5">
        <f>E37&amp;"-"&amp;F37</f>
        <v/>
      </c>
      <c r="H37" s="5" t="n"/>
      <c r="I37" s="5" t="n"/>
      <c r="J37" s="5" t="n"/>
    </row>
    <row r="38">
      <c r="A38" s="5" t="n"/>
      <c r="B38" s="5" t="n"/>
      <c r="C38" s="5" t="n"/>
      <c r="D38" s="5" t="n"/>
      <c r="E38" s="5" t="n"/>
      <c r="F38" s="5" t="n"/>
      <c r="G38" s="5">
        <f>E38&amp;"-"&amp;F38</f>
        <v/>
      </c>
      <c r="H38" s="5" t="n"/>
      <c r="I38" s="5" t="n"/>
      <c r="J38" s="5" t="n"/>
    </row>
    <row r="39">
      <c r="A39" s="5" t="n"/>
      <c r="B39" s="5" t="n"/>
      <c r="C39" s="5" t="n"/>
      <c r="D39" s="5" t="n"/>
      <c r="E39" s="5" t="n"/>
      <c r="F39" s="5" t="n"/>
      <c r="G39" s="5">
        <f>E39&amp;"-"&amp;F39</f>
        <v/>
      </c>
      <c r="H39" s="5" t="n"/>
      <c r="I39" s="5" t="n"/>
      <c r="J39" s="5" t="n"/>
    </row>
    <row r="40">
      <c r="A40" s="5" t="n"/>
      <c r="B40" s="5" t="n"/>
      <c r="C40" s="5" t="n"/>
      <c r="D40" s="5" t="n"/>
      <c r="E40" s="5" t="n"/>
      <c r="F40" s="5" t="n"/>
      <c r="G40" s="5">
        <f>E40&amp;"-"&amp;F40</f>
        <v/>
      </c>
      <c r="H40" s="5" t="n"/>
      <c r="I40" s="5" t="n"/>
      <c r="J40" s="5" t="n"/>
    </row>
    <row r="41">
      <c r="A41" s="5" t="n"/>
      <c r="B41" s="5" t="n"/>
      <c r="C41" s="5" t="n"/>
      <c r="D41" s="5" t="n"/>
      <c r="E41" s="5" t="n"/>
      <c r="F41" s="5" t="n"/>
      <c r="G41" s="5">
        <f>E41&amp;"-"&amp;F41</f>
        <v/>
      </c>
      <c r="H41" s="5" t="n"/>
      <c r="I41" s="5" t="n"/>
      <c r="J41" s="5" t="n"/>
    </row>
    <row r="42">
      <c r="A42" s="5" t="n"/>
      <c r="B42" s="5" t="n"/>
      <c r="C42" s="5" t="n"/>
      <c r="D42" s="5" t="n"/>
      <c r="E42" s="5" t="n"/>
      <c r="F42" s="5" t="n"/>
      <c r="G42" s="5">
        <f>E42&amp;"-"&amp;F42</f>
        <v/>
      </c>
      <c r="H42" s="5" t="n"/>
      <c r="I42" s="5" t="n"/>
      <c r="J42" s="5" t="n"/>
    </row>
    <row r="43">
      <c r="A43" s="5" t="n"/>
      <c r="B43" s="5" t="n"/>
      <c r="C43" s="5" t="n"/>
      <c r="D43" s="5" t="n"/>
      <c r="E43" s="5" t="n"/>
      <c r="F43" s="5" t="n"/>
      <c r="G43" s="5">
        <f>E43&amp;"-"&amp;F43</f>
        <v/>
      </c>
      <c r="H43" s="5" t="n"/>
      <c r="I43" s="5" t="n"/>
      <c r="J43" s="5" t="n"/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30" customHeight="1">
      <c r="A1" s="1" t="inlineStr">
        <is>
          <t>Remediation Roadmap</t>
        </is>
      </c>
    </row>
    <row r="3">
      <c r="A3" s="9" t="inlineStr">
        <is>
          <t>Action ID</t>
        </is>
      </c>
      <c r="B3" s="9" t="inlineStr">
        <is>
          <t>Domain</t>
        </is>
      </c>
      <c r="C3" s="9" t="inlineStr">
        <is>
          <t>Action Description</t>
        </is>
      </c>
      <c r="D3" s="9" t="inlineStr">
        <is>
          <t>Priority</t>
        </is>
      </c>
      <c r="E3" s="9" t="inlineStr">
        <is>
          <t>Owner</t>
        </is>
      </c>
      <c r="F3" s="9" t="inlineStr">
        <is>
          <t>Start Date</t>
        </is>
      </c>
      <c r="G3" s="9" t="inlineStr">
        <is>
          <t>Target Date</t>
        </is>
      </c>
      <c r="H3" s="9" t="inlineStr">
        <is>
          <t>Actual Date</t>
        </is>
      </c>
      <c r="I3" s="9" t="inlineStr">
        <is>
          <t>Budget</t>
        </is>
      </c>
      <c r="J3" s="9" t="inlineStr">
        <is>
          <t>Status</t>
        </is>
      </c>
    </row>
    <row r="4">
      <c r="A4" s="5" t="n"/>
      <c r="B4" s="5" t="n"/>
      <c r="C4" s="5" t="n"/>
      <c r="D4" s="5" t="n"/>
      <c r="E4" s="5" t="n"/>
      <c r="F4" s="16" t="n"/>
      <c r="G4" s="16" t="n"/>
      <c r="H4" s="16" t="n"/>
      <c r="I4" s="5" t="n"/>
      <c r="J4" s="5" t="n"/>
    </row>
    <row r="5">
      <c r="A5" s="5" t="n"/>
      <c r="B5" s="5" t="n"/>
      <c r="C5" s="5" t="n"/>
      <c r="D5" s="5" t="n"/>
      <c r="E5" s="5" t="n"/>
      <c r="F5" s="16" t="n"/>
      <c r="G5" s="16" t="n"/>
      <c r="H5" s="16" t="n"/>
      <c r="I5" s="5" t="n"/>
      <c r="J5" s="5" t="n"/>
    </row>
    <row r="6">
      <c r="A6" s="5" t="n"/>
      <c r="B6" s="5" t="n"/>
      <c r="C6" s="5" t="n"/>
      <c r="D6" s="5" t="n"/>
      <c r="E6" s="5" t="n"/>
      <c r="F6" s="16" t="n"/>
      <c r="G6" s="16" t="n"/>
      <c r="H6" s="16" t="n"/>
      <c r="I6" s="5" t="n"/>
      <c r="J6" s="5" t="n"/>
    </row>
    <row r="7">
      <c r="A7" s="5" t="n"/>
      <c r="B7" s="5" t="n"/>
      <c r="C7" s="5" t="n"/>
      <c r="D7" s="5" t="n"/>
      <c r="E7" s="5" t="n"/>
      <c r="F7" s="16" t="n"/>
      <c r="G7" s="16" t="n"/>
      <c r="H7" s="16" t="n"/>
      <c r="I7" s="5" t="n"/>
      <c r="J7" s="5" t="n"/>
    </row>
    <row r="8">
      <c r="A8" s="5" t="n"/>
      <c r="B8" s="5" t="n"/>
      <c r="C8" s="5" t="n"/>
      <c r="D8" s="5" t="n"/>
      <c r="E8" s="5" t="n"/>
      <c r="F8" s="16" t="n"/>
      <c r="G8" s="16" t="n"/>
      <c r="H8" s="16" t="n"/>
      <c r="I8" s="5" t="n"/>
      <c r="J8" s="5" t="n"/>
    </row>
    <row r="9">
      <c r="A9" s="5" t="n"/>
      <c r="B9" s="5" t="n"/>
      <c r="C9" s="5" t="n"/>
      <c r="D9" s="5" t="n"/>
      <c r="E9" s="5" t="n"/>
      <c r="F9" s="16" t="n"/>
      <c r="G9" s="16" t="n"/>
      <c r="H9" s="16" t="n"/>
      <c r="I9" s="5" t="n"/>
      <c r="J9" s="5" t="n"/>
    </row>
    <row r="10">
      <c r="A10" s="5" t="n"/>
      <c r="B10" s="5" t="n"/>
      <c r="C10" s="5" t="n"/>
      <c r="D10" s="5" t="n"/>
      <c r="E10" s="5" t="n"/>
      <c r="F10" s="16" t="n"/>
      <c r="G10" s="16" t="n"/>
      <c r="H10" s="16" t="n"/>
      <c r="I10" s="5" t="n"/>
      <c r="J10" s="5" t="n"/>
    </row>
    <row r="11">
      <c r="A11" s="5" t="n"/>
      <c r="B11" s="5" t="n"/>
      <c r="C11" s="5" t="n"/>
      <c r="D11" s="5" t="n"/>
      <c r="E11" s="5" t="n"/>
      <c r="F11" s="16" t="n"/>
      <c r="G11" s="16" t="n"/>
      <c r="H11" s="16" t="n"/>
      <c r="I11" s="5" t="n"/>
      <c r="J11" s="5" t="n"/>
    </row>
    <row r="12">
      <c r="A12" s="5" t="n"/>
      <c r="B12" s="5" t="n"/>
      <c r="C12" s="5" t="n"/>
      <c r="D12" s="5" t="n"/>
      <c r="E12" s="5" t="n"/>
      <c r="F12" s="16" t="n"/>
      <c r="G12" s="16" t="n"/>
      <c r="H12" s="16" t="n"/>
      <c r="I12" s="5" t="n"/>
      <c r="J12" s="5" t="n"/>
    </row>
    <row r="13">
      <c r="A13" s="5" t="n"/>
      <c r="B13" s="5" t="n"/>
      <c r="C13" s="5" t="n"/>
      <c r="D13" s="5" t="n"/>
      <c r="E13" s="5" t="n"/>
      <c r="F13" s="16" t="n"/>
      <c r="G13" s="16" t="n"/>
      <c r="H13" s="16" t="n"/>
      <c r="I13" s="5" t="n"/>
      <c r="J13" s="5" t="n"/>
    </row>
    <row r="14">
      <c r="A14" s="5" t="n"/>
      <c r="B14" s="5" t="n"/>
      <c r="C14" s="5" t="n"/>
      <c r="D14" s="5" t="n"/>
      <c r="E14" s="5" t="n"/>
      <c r="F14" s="16" t="n"/>
      <c r="G14" s="16" t="n"/>
      <c r="H14" s="16" t="n"/>
      <c r="I14" s="5" t="n"/>
      <c r="J14" s="5" t="n"/>
    </row>
    <row r="15">
      <c r="A15" s="5" t="n"/>
      <c r="B15" s="5" t="n"/>
      <c r="C15" s="5" t="n"/>
      <c r="D15" s="5" t="n"/>
      <c r="E15" s="5" t="n"/>
      <c r="F15" s="16" t="n"/>
      <c r="G15" s="16" t="n"/>
      <c r="H15" s="16" t="n"/>
      <c r="I15" s="5" t="n"/>
      <c r="J15" s="5" t="n"/>
    </row>
    <row r="16">
      <c r="A16" s="5" t="n"/>
      <c r="B16" s="5" t="n"/>
      <c r="C16" s="5" t="n"/>
      <c r="D16" s="5" t="n"/>
      <c r="E16" s="5" t="n"/>
      <c r="F16" s="16" t="n"/>
      <c r="G16" s="16" t="n"/>
      <c r="H16" s="16" t="n"/>
      <c r="I16" s="5" t="n"/>
      <c r="J16" s="5" t="n"/>
    </row>
    <row r="17">
      <c r="A17" s="5" t="n"/>
      <c r="B17" s="5" t="n"/>
      <c r="C17" s="5" t="n"/>
      <c r="D17" s="5" t="n"/>
      <c r="E17" s="5" t="n"/>
      <c r="F17" s="16" t="n"/>
      <c r="G17" s="16" t="n"/>
      <c r="H17" s="16" t="n"/>
      <c r="I17" s="5" t="n"/>
      <c r="J17" s="5" t="n"/>
    </row>
    <row r="18">
      <c r="A18" s="5" t="n"/>
      <c r="B18" s="5" t="n"/>
      <c r="C18" s="5" t="n"/>
      <c r="D18" s="5" t="n"/>
      <c r="E18" s="5" t="n"/>
      <c r="F18" s="16" t="n"/>
      <c r="G18" s="16" t="n"/>
      <c r="H18" s="16" t="n"/>
      <c r="I18" s="5" t="n"/>
      <c r="J18" s="5" t="n"/>
    </row>
    <row r="19">
      <c r="A19" s="5" t="n"/>
      <c r="B19" s="5" t="n"/>
      <c r="C19" s="5" t="n"/>
      <c r="D19" s="5" t="n"/>
      <c r="E19" s="5" t="n"/>
      <c r="F19" s="16" t="n"/>
      <c r="G19" s="16" t="n"/>
      <c r="H19" s="16" t="n"/>
      <c r="I19" s="5" t="n"/>
      <c r="J19" s="5" t="n"/>
    </row>
    <row r="20">
      <c r="A20" s="5" t="n"/>
      <c r="B20" s="5" t="n"/>
      <c r="C20" s="5" t="n"/>
      <c r="D20" s="5" t="n"/>
      <c r="E20" s="5" t="n"/>
      <c r="F20" s="16" t="n"/>
      <c r="G20" s="16" t="n"/>
      <c r="H20" s="16" t="n"/>
      <c r="I20" s="5" t="n"/>
      <c r="J20" s="5" t="n"/>
    </row>
    <row r="21">
      <c r="A21" s="5" t="n"/>
      <c r="B21" s="5" t="n"/>
      <c r="C21" s="5" t="n"/>
      <c r="D21" s="5" t="n"/>
      <c r="E21" s="5" t="n"/>
      <c r="F21" s="16" t="n"/>
      <c r="G21" s="16" t="n"/>
      <c r="H21" s="16" t="n"/>
      <c r="I21" s="5" t="n"/>
      <c r="J21" s="5" t="n"/>
    </row>
    <row r="22">
      <c r="A22" s="5" t="n"/>
      <c r="B22" s="5" t="n"/>
      <c r="C22" s="5" t="n"/>
      <c r="D22" s="5" t="n"/>
      <c r="E22" s="5" t="n"/>
      <c r="F22" s="16" t="n"/>
      <c r="G22" s="16" t="n"/>
      <c r="H22" s="16" t="n"/>
      <c r="I22" s="5" t="n"/>
      <c r="J22" s="5" t="n"/>
    </row>
    <row r="23">
      <c r="A23" s="5" t="n"/>
      <c r="B23" s="5" t="n"/>
      <c r="C23" s="5" t="n"/>
      <c r="D23" s="5" t="n"/>
      <c r="E23" s="5" t="n"/>
      <c r="F23" s="16" t="n"/>
      <c r="G23" s="16" t="n"/>
      <c r="H23" s="16" t="n"/>
      <c r="I23" s="5" t="n"/>
      <c r="J23" s="5" t="n"/>
    </row>
    <row r="24">
      <c r="A24" s="5" t="n"/>
      <c r="B24" s="5" t="n"/>
      <c r="C24" s="5" t="n"/>
      <c r="D24" s="5" t="n"/>
      <c r="E24" s="5" t="n"/>
      <c r="F24" s="16" t="n"/>
      <c r="G24" s="16" t="n"/>
      <c r="H24" s="16" t="n"/>
      <c r="I24" s="5" t="n"/>
      <c r="J24" s="5" t="n"/>
    </row>
    <row r="25">
      <c r="A25" s="5" t="n"/>
      <c r="B25" s="5" t="n"/>
      <c r="C25" s="5" t="n"/>
      <c r="D25" s="5" t="n"/>
      <c r="E25" s="5" t="n"/>
      <c r="F25" s="16" t="n"/>
      <c r="G25" s="16" t="n"/>
      <c r="H25" s="16" t="n"/>
      <c r="I25" s="5" t="n"/>
      <c r="J25" s="5" t="n"/>
    </row>
    <row r="26">
      <c r="A26" s="5" t="n"/>
      <c r="B26" s="5" t="n"/>
      <c r="C26" s="5" t="n"/>
      <c r="D26" s="5" t="n"/>
      <c r="E26" s="5" t="n"/>
      <c r="F26" s="16" t="n"/>
      <c r="G26" s="16" t="n"/>
      <c r="H26" s="16" t="n"/>
      <c r="I26" s="5" t="n"/>
      <c r="J26" s="5" t="n"/>
    </row>
    <row r="27">
      <c r="A27" s="5" t="n"/>
      <c r="B27" s="5" t="n"/>
      <c r="C27" s="5" t="n"/>
      <c r="D27" s="5" t="n"/>
      <c r="E27" s="5" t="n"/>
      <c r="F27" s="16" t="n"/>
      <c r="G27" s="16" t="n"/>
      <c r="H27" s="16" t="n"/>
      <c r="I27" s="5" t="n"/>
      <c r="J27" s="5" t="n"/>
    </row>
    <row r="28">
      <c r="A28" s="5" t="n"/>
      <c r="B28" s="5" t="n"/>
      <c r="C28" s="5" t="n"/>
      <c r="D28" s="5" t="n"/>
      <c r="E28" s="5" t="n"/>
      <c r="F28" s="16" t="n"/>
      <c r="G28" s="16" t="n"/>
      <c r="H28" s="16" t="n"/>
      <c r="I28" s="5" t="n"/>
      <c r="J28" s="5" t="n"/>
    </row>
    <row r="29">
      <c r="A29" s="5" t="n"/>
      <c r="B29" s="5" t="n"/>
      <c r="C29" s="5" t="n"/>
      <c r="D29" s="5" t="n"/>
      <c r="E29" s="5" t="n"/>
      <c r="F29" s="16" t="n"/>
      <c r="G29" s="16" t="n"/>
      <c r="H29" s="16" t="n"/>
      <c r="I29" s="5" t="n"/>
      <c r="J29" s="5" t="n"/>
    </row>
    <row r="30">
      <c r="A30" s="5" t="n"/>
      <c r="B30" s="5" t="n"/>
      <c r="C30" s="5" t="n"/>
      <c r="D30" s="5" t="n"/>
      <c r="E30" s="5" t="n"/>
      <c r="F30" s="16" t="n"/>
      <c r="G30" s="16" t="n"/>
      <c r="H30" s="16" t="n"/>
      <c r="I30" s="5" t="n"/>
      <c r="J30" s="5" t="n"/>
    </row>
    <row r="31">
      <c r="A31" s="5" t="n"/>
      <c r="B31" s="5" t="n"/>
      <c r="C31" s="5" t="n"/>
      <c r="D31" s="5" t="n"/>
      <c r="E31" s="5" t="n"/>
      <c r="F31" s="16" t="n"/>
      <c r="G31" s="16" t="n"/>
      <c r="H31" s="16" t="n"/>
      <c r="I31" s="5" t="n"/>
      <c r="J31" s="5" t="n"/>
    </row>
    <row r="32">
      <c r="A32" s="5" t="n"/>
      <c r="B32" s="5" t="n"/>
      <c r="C32" s="5" t="n"/>
      <c r="D32" s="5" t="n"/>
      <c r="E32" s="5" t="n"/>
      <c r="F32" s="16" t="n"/>
      <c r="G32" s="16" t="n"/>
      <c r="H32" s="16" t="n"/>
      <c r="I32" s="5" t="n"/>
      <c r="J32" s="5" t="n"/>
    </row>
    <row r="33">
      <c r="A33" s="5" t="n"/>
      <c r="B33" s="5" t="n"/>
      <c r="C33" s="5" t="n"/>
      <c r="D33" s="5" t="n"/>
      <c r="E33" s="5" t="n"/>
      <c r="F33" s="16" t="n"/>
      <c r="G33" s="16" t="n"/>
      <c r="H33" s="16" t="n"/>
      <c r="I33" s="5" t="n"/>
      <c r="J33" s="5" t="n"/>
    </row>
    <row r="34">
      <c r="A34" s="5" t="n"/>
      <c r="B34" s="5" t="n"/>
      <c r="C34" s="5" t="n"/>
      <c r="D34" s="5" t="n"/>
      <c r="E34" s="5" t="n"/>
      <c r="F34" s="16" t="n"/>
      <c r="G34" s="16" t="n"/>
      <c r="H34" s="16" t="n"/>
      <c r="I34" s="5" t="n"/>
      <c r="J34" s="5" t="n"/>
    </row>
    <row r="35">
      <c r="A35" s="5" t="n"/>
      <c r="B35" s="5" t="n"/>
      <c r="C35" s="5" t="n"/>
      <c r="D35" s="5" t="n"/>
      <c r="E35" s="5" t="n"/>
      <c r="F35" s="16" t="n"/>
      <c r="G35" s="16" t="n"/>
      <c r="H35" s="16" t="n"/>
      <c r="I35" s="5" t="n"/>
      <c r="J35" s="5" t="n"/>
    </row>
    <row r="36">
      <c r="A36" s="5" t="n"/>
      <c r="B36" s="5" t="n"/>
      <c r="C36" s="5" t="n"/>
      <c r="D36" s="5" t="n"/>
      <c r="E36" s="5" t="n"/>
      <c r="F36" s="16" t="n"/>
      <c r="G36" s="16" t="n"/>
      <c r="H36" s="16" t="n"/>
      <c r="I36" s="5" t="n"/>
      <c r="J36" s="5" t="n"/>
    </row>
    <row r="37">
      <c r="A37" s="5" t="n"/>
      <c r="B37" s="5" t="n"/>
      <c r="C37" s="5" t="n"/>
      <c r="D37" s="5" t="n"/>
      <c r="E37" s="5" t="n"/>
      <c r="F37" s="16" t="n"/>
      <c r="G37" s="16" t="n"/>
      <c r="H37" s="16" t="n"/>
      <c r="I37" s="5" t="n"/>
      <c r="J37" s="5" t="n"/>
    </row>
    <row r="38">
      <c r="A38" s="5" t="n"/>
      <c r="B38" s="5" t="n"/>
      <c r="C38" s="5" t="n"/>
      <c r="D38" s="5" t="n"/>
      <c r="E38" s="5" t="n"/>
      <c r="F38" s="16" t="n"/>
      <c r="G38" s="16" t="n"/>
      <c r="H38" s="16" t="n"/>
      <c r="I38" s="5" t="n"/>
      <c r="J38" s="5" t="n"/>
    </row>
    <row r="39">
      <c r="A39" s="5" t="n"/>
      <c r="B39" s="5" t="n"/>
      <c r="C39" s="5" t="n"/>
      <c r="D39" s="5" t="n"/>
      <c r="E39" s="5" t="n"/>
      <c r="F39" s="16" t="n"/>
      <c r="G39" s="16" t="n"/>
      <c r="H39" s="16" t="n"/>
      <c r="I39" s="5" t="n"/>
      <c r="J39" s="5" t="n"/>
    </row>
    <row r="40">
      <c r="A40" s="5" t="n"/>
      <c r="B40" s="5" t="n"/>
      <c r="C40" s="5" t="n"/>
      <c r="D40" s="5" t="n"/>
      <c r="E40" s="5" t="n"/>
      <c r="F40" s="16" t="n"/>
      <c r="G40" s="16" t="n"/>
      <c r="H40" s="16" t="n"/>
      <c r="I40" s="5" t="n"/>
      <c r="J40" s="5" t="n"/>
    </row>
    <row r="41">
      <c r="A41" s="5" t="n"/>
      <c r="B41" s="5" t="n"/>
      <c r="C41" s="5" t="n"/>
      <c r="D41" s="5" t="n"/>
      <c r="E41" s="5" t="n"/>
      <c r="F41" s="16" t="n"/>
      <c r="G41" s="16" t="n"/>
      <c r="H41" s="16" t="n"/>
      <c r="I41" s="5" t="n"/>
      <c r="J41" s="5" t="n"/>
    </row>
    <row r="42">
      <c r="A42" s="5" t="n"/>
      <c r="B42" s="5" t="n"/>
      <c r="C42" s="5" t="n"/>
      <c r="D42" s="5" t="n"/>
      <c r="E42" s="5" t="n"/>
      <c r="F42" s="16" t="n"/>
      <c r="G42" s="16" t="n"/>
      <c r="H42" s="16" t="n"/>
      <c r="I42" s="5" t="n"/>
      <c r="J42" s="5" t="n"/>
    </row>
    <row r="43">
      <c r="A43" s="5" t="n"/>
      <c r="B43" s="5" t="n"/>
      <c r="C43" s="5" t="n"/>
      <c r="D43" s="5" t="n"/>
      <c r="E43" s="5" t="n"/>
      <c r="F43" s="16" t="n"/>
      <c r="G43" s="16" t="n"/>
      <c r="H43" s="16" t="n"/>
      <c r="I43" s="5" t="n"/>
      <c r="J43" s="5" t="n"/>
    </row>
    <row r="44">
      <c r="A44" s="5" t="n"/>
      <c r="B44" s="5" t="n"/>
      <c r="C44" s="5" t="n"/>
      <c r="D44" s="5" t="n"/>
      <c r="E44" s="5" t="n"/>
      <c r="F44" s="16" t="n"/>
      <c r="G44" s="16" t="n"/>
      <c r="H44" s="16" t="n"/>
      <c r="I44" s="5" t="n"/>
      <c r="J44" s="5" t="n"/>
    </row>
    <row r="45">
      <c r="A45" s="5" t="n"/>
      <c r="B45" s="5" t="n"/>
      <c r="C45" s="5" t="n"/>
      <c r="D45" s="5" t="n"/>
      <c r="E45" s="5" t="n"/>
      <c r="F45" s="16" t="n"/>
      <c r="G45" s="16" t="n"/>
      <c r="H45" s="16" t="n"/>
      <c r="I45" s="5" t="n"/>
      <c r="J45" s="5" t="n"/>
    </row>
    <row r="46">
      <c r="A46" s="5" t="n"/>
      <c r="B46" s="5" t="n"/>
      <c r="C46" s="5" t="n"/>
      <c r="D46" s="5" t="n"/>
      <c r="E46" s="5" t="n"/>
      <c r="F46" s="16" t="n"/>
      <c r="G46" s="16" t="n"/>
      <c r="H46" s="16" t="n"/>
      <c r="I46" s="5" t="n"/>
      <c r="J46" s="5" t="n"/>
    </row>
    <row r="47">
      <c r="A47" s="5" t="n"/>
      <c r="B47" s="5" t="n"/>
      <c r="C47" s="5" t="n"/>
      <c r="D47" s="5" t="n"/>
      <c r="E47" s="5" t="n"/>
      <c r="F47" s="16" t="n"/>
      <c r="G47" s="16" t="n"/>
      <c r="H47" s="16" t="n"/>
      <c r="I47" s="5" t="n"/>
      <c r="J47" s="5" t="n"/>
    </row>
    <row r="48">
      <c r="A48" s="5" t="n"/>
      <c r="B48" s="5" t="n"/>
      <c r="C48" s="5" t="n"/>
      <c r="D48" s="5" t="n"/>
      <c r="E48" s="5" t="n"/>
      <c r="F48" s="16" t="n"/>
      <c r="G48" s="16" t="n"/>
      <c r="H48" s="16" t="n"/>
      <c r="I48" s="5" t="n"/>
      <c r="J48" s="5" t="n"/>
    </row>
    <row r="49">
      <c r="A49" s="5" t="n"/>
      <c r="B49" s="5" t="n"/>
      <c r="C49" s="5" t="n"/>
      <c r="D49" s="5" t="n"/>
      <c r="E49" s="5" t="n"/>
      <c r="F49" s="16" t="n"/>
      <c r="G49" s="16" t="n"/>
      <c r="H49" s="16" t="n"/>
      <c r="I49" s="5" t="n"/>
      <c r="J49" s="5" t="n"/>
    </row>
    <row r="50">
      <c r="A50" s="5" t="n"/>
      <c r="B50" s="5" t="n"/>
      <c r="C50" s="5" t="n"/>
      <c r="D50" s="5" t="n"/>
      <c r="E50" s="5" t="n"/>
      <c r="F50" s="16" t="n"/>
      <c r="G50" s="16" t="n"/>
      <c r="H50" s="16" t="n"/>
      <c r="I50" s="5" t="n"/>
      <c r="J50" s="5" t="n"/>
    </row>
    <row r="51">
      <c r="A51" s="5" t="n"/>
      <c r="B51" s="5" t="n"/>
      <c r="C51" s="5" t="n"/>
      <c r="D51" s="5" t="n"/>
      <c r="E51" s="5" t="n"/>
      <c r="F51" s="16" t="n"/>
      <c r="G51" s="16" t="n"/>
      <c r="H51" s="16" t="n"/>
      <c r="I51" s="5" t="n"/>
      <c r="J51" s="5" t="n"/>
    </row>
    <row r="52">
      <c r="A52" s="5" t="n"/>
      <c r="B52" s="5" t="n"/>
      <c r="C52" s="5" t="n"/>
      <c r="D52" s="5" t="n"/>
      <c r="E52" s="5" t="n"/>
      <c r="F52" s="16" t="n"/>
      <c r="G52" s="16" t="n"/>
      <c r="H52" s="16" t="n"/>
      <c r="I52" s="5" t="n"/>
      <c r="J52" s="5" t="n"/>
    </row>
    <row r="53">
      <c r="A53" s="5" t="n"/>
      <c r="B53" s="5" t="n"/>
      <c r="C53" s="5" t="n"/>
      <c r="D53" s="5" t="n"/>
      <c r="E53" s="5" t="n"/>
      <c r="F53" s="16" t="n"/>
      <c r="G53" s="16" t="n"/>
      <c r="H53" s="16" t="n"/>
      <c r="I53" s="5" t="n"/>
      <c r="J53" s="5" t="n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20" customWidth="1" min="4" max="4"/>
    <col width="30" customWidth="1" min="5" max="5"/>
    <col width="20" customWidth="1" min="6" max="6"/>
    <col width="20" customWidth="1" min="7" max="7"/>
    <col width="20" customWidth="1" min="8" max="8"/>
  </cols>
  <sheetData>
    <row r="1" ht="30" customHeight="1">
      <c r="A1" s="1" t="inlineStr">
        <is>
          <t>Evidence Master Index</t>
        </is>
      </c>
    </row>
    <row r="3">
      <c r="A3" s="9" t="inlineStr">
        <is>
          <t>Evidence ID</t>
        </is>
      </c>
      <c r="B3" s="9" t="inlineStr">
        <is>
          <t>Domain</t>
        </is>
      </c>
      <c r="C3" s="9" t="inlineStr">
        <is>
          <t>Control/Requirement</t>
        </is>
      </c>
      <c r="D3" s="9" t="inlineStr">
        <is>
          <t>Evidence Type</t>
        </is>
      </c>
      <c r="E3" s="9" t="inlineStr">
        <is>
          <t>File Location</t>
        </is>
      </c>
      <c r="F3" s="9" t="inlineStr">
        <is>
          <t>Collected Date</t>
        </is>
      </c>
      <c r="G3" s="9" t="inlineStr">
        <is>
          <t>Verified By</t>
        </is>
      </c>
      <c r="H3" s="9" t="inlineStr">
        <is>
          <t>Status</t>
        </is>
      </c>
    </row>
    <row r="4">
      <c r="A4" s="5" t="n"/>
      <c r="B4" s="5" t="n"/>
      <c r="C4" s="5" t="n"/>
      <c r="D4" s="5" t="n"/>
      <c r="E4" s="5" t="n"/>
      <c r="F4" s="16" t="n"/>
      <c r="G4" s="5" t="n"/>
      <c r="H4" s="5" t="n"/>
    </row>
    <row r="5">
      <c r="A5" s="5" t="n"/>
      <c r="B5" s="5" t="n"/>
      <c r="C5" s="5" t="n"/>
      <c r="D5" s="5" t="n"/>
      <c r="E5" s="5" t="n"/>
      <c r="F5" s="16" t="n"/>
      <c r="G5" s="5" t="n"/>
      <c r="H5" s="5" t="n"/>
    </row>
    <row r="6">
      <c r="A6" s="5" t="n"/>
      <c r="B6" s="5" t="n"/>
      <c r="C6" s="5" t="n"/>
      <c r="D6" s="5" t="n"/>
      <c r="E6" s="5" t="n"/>
      <c r="F6" s="16" t="n"/>
      <c r="G6" s="5" t="n"/>
      <c r="H6" s="5" t="n"/>
    </row>
    <row r="7">
      <c r="A7" s="5" t="n"/>
      <c r="B7" s="5" t="n"/>
      <c r="C7" s="5" t="n"/>
      <c r="D7" s="5" t="n"/>
      <c r="E7" s="5" t="n"/>
      <c r="F7" s="16" t="n"/>
      <c r="G7" s="5" t="n"/>
      <c r="H7" s="5" t="n"/>
    </row>
    <row r="8">
      <c r="A8" s="5" t="n"/>
      <c r="B8" s="5" t="n"/>
      <c r="C8" s="5" t="n"/>
      <c r="D8" s="5" t="n"/>
      <c r="E8" s="5" t="n"/>
      <c r="F8" s="16" t="n"/>
      <c r="G8" s="5" t="n"/>
      <c r="H8" s="5" t="n"/>
    </row>
    <row r="9">
      <c r="A9" s="5" t="n"/>
      <c r="B9" s="5" t="n"/>
      <c r="C9" s="5" t="n"/>
      <c r="D9" s="5" t="n"/>
      <c r="E9" s="5" t="n"/>
      <c r="F9" s="16" t="n"/>
      <c r="G9" s="5" t="n"/>
      <c r="H9" s="5" t="n"/>
    </row>
    <row r="10">
      <c r="A10" s="5" t="n"/>
      <c r="B10" s="5" t="n"/>
      <c r="C10" s="5" t="n"/>
      <c r="D10" s="5" t="n"/>
      <c r="E10" s="5" t="n"/>
      <c r="F10" s="16" t="n"/>
      <c r="G10" s="5" t="n"/>
      <c r="H10" s="5" t="n"/>
    </row>
    <row r="11">
      <c r="A11" s="5" t="n"/>
      <c r="B11" s="5" t="n"/>
      <c r="C11" s="5" t="n"/>
      <c r="D11" s="5" t="n"/>
      <c r="E11" s="5" t="n"/>
      <c r="F11" s="16" t="n"/>
      <c r="G11" s="5" t="n"/>
      <c r="H11" s="5" t="n"/>
    </row>
    <row r="12">
      <c r="A12" s="5" t="n"/>
      <c r="B12" s="5" t="n"/>
      <c r="C12" s="5" t="n"/>
      <c r="D12" s="5" t="n"/>
      <c r="E12" s="5" t="n"/>
      <c r="F12" s="16" t="n"/>
      <c r="G12" s="5" t="n"/>
      <c r="H12" s="5" t="n"/>
    </row>
    <row r="13">
      <c r="A13" s="5" t="n"/>
      <c r="B13" s="5" t="n"/>
      <c r="C13" s="5" t="n"/>
      <c r="D13" s="5" t="n"/>
      <c r="E13" s="5" t="n"/>
      <c r="F13" s="16" t="n"/>
      <c r="G13" s="5" t="n"/>
      <c r="H13" s="5" t="n"/>
    </row>
    <row r="14">
      <c r="A14" s="5" t="n"/>
      <c r="B14" s="5" t="n"/>
      <c r="C14" s="5" t="n"/>
      <c r="D14" s="5" t="n"/>
      <c r="E14" s="5" t="n"/>
      <c r="F14" s="16" t="n"/>
      <c r="G14" s="5" t="n"/>
      <c r="H14" s="5" t="n"/>
    </row>
    <row r="15">
      <c r="A15" s="5" t="n"/>
      <c r="B15" s="5" t="n"/>
      <c r="C15" s="5" t="n"/>
      <c r="D15" s="5" t="n"/>
      <c r="E15" s="5" t="n"/>
      <c r="F15" s="16" t="n"/>
      <c r="G15" s="5" t="n"/>
      <c r="H15" s="5" t="n"/>
    </row>
    <row r="16">
      <c r="A16" s="5" t="n"/>
      <c r="B16" s="5" t="n"/>
      <c r="C16" s="5" t="n"/>
      <c r="D16" s="5" t="n"/>
      <c r="E16" s="5" t="n"/>
      <c r="F16" s="16" t="n"/>
      <c r="G16" s="5" t="n"/>
      <c r="H16" s="5" t="n"/>
    </row>
    <row r="17">
      <c r="A17" s="5" t="n"/>
      <c r="B17" s="5" t="n"/>
      <c r="C17" s="5" t="n"/>
      <c r="D17" s="5" t="n"/>
      <c r="E17" s="5" t="n"/>
      <c r="F17" s="16" t="n"/>
      <c r="G17" s="5" t="n"/>
      <c r="H17" s="5" t="n"/>
    </row>
    <row r="18">
      <c r="A18" s="5" t="n"/>
      <c r="B18" s="5" t="n"/>
      <c r="C18" s="5" t="n"/>
      <c r="D18" s="5" t="n"/>
      <c r="E18" s="5" t="n"/>
      <c r="F18" s="16" t="n"/>
      <c r="G18" s="5" t="n"/>
      <c r="H18" s="5" t="n"/>
    </row>
    <row r="19">
      <c r="A19" s="5" t="n"/>
      <c r="B19" s="5" t="n"/>
      <c r="C19" s="5" t="n"/>
      <c r="D19" s="5" t="n"/>
      <c r="E19" s="5" t="n"/>
      <c r="F19" s="16" t="n"/>
      <c r="G19" s="5" t="n"/>
      <c r="H19" s="5" t="n"/>
    </row>
    <row r="20">
      <c r="A20" s="5" t="n"/>
      <c r="B20" s="5" t="n"/>
      <c r="C20" s="5" t="n"/>
      <c r="D20" s="5" t="n"/>
      <c r="E20" s="5" t="n"/>
      <c r="F20" s="16" t="n"/>
      <c r="G20" s="5" t="n"/>
      <c r="H20" s="5" t="n"/>
    </row>
    <row r="21">
      <c r="A21" s="5" t="n"/>
      <c r="B21" s="5" t="n"/>
      <c r="C21" s="5" t="n"/>
      <c r="D21" s="5" t="n"/>
      <c r="E21" s="5" t="n"/>
      <c r="F21" s="16" t="n"/>
      <c r="G21" s="5" t="n"/>
      <c r="H21" s="5" t="n"/>
    </row>
    <row r="22">
      <c r="A22" s="5" t="n"/>
      <c r="B22" s="5" t="n"/>
      <c r="C22" s="5" t="n"/>
      <c r="D22" s="5" t="n"/>
      <c r="E22" s="5" t="n"/>
      <c r="F22" s="16" t="n"/>
      <c r="G22" s="5" t="n"/>
      <c r="H22" s="5" t="n"/>
    </row>
    <row r="23">
      <c r="A23" s="5" t="n"/>
      <c r="B23" s="5" t="n"/>
      <c r="C23" s="5" t="n"/>
      <c r="D23" s="5" t="n"/>
      <c r="E23" s="5" t="n"/>
      <c r="F23" s="16" t="n"/>
      <c r="G23" s="5" t="n"/>
      <c r="H23" s="5" t="n"/>
    </row>
    <row r="24">
      <c r="A24" s="5" t="n"/>
      <c r="B24" s="5" t="n"/>
      <c r="C24" s="5" t="n"/>
      <c r="D24" s="5" t="n"/>
      <c r="E24" s="5" t="n"/>
      <c r="F24" s="16" t="n"/>
      <c r="G24" s="5" t="n"/>
      <c r="H24" s="5" t="n"/>
    </row>
    <row r="25">
      <c r="A25" s="5" t="n"/>
      <c r="B25" s="5" t="n"/>
      <c r="C25" s="5" t="n"/>
      <c r="D25" s="5" t="n"/>
      <c r="E25" s="5" t="n"/>
      <c r="F25" s="16" t="n"/>
      <c r="G25" s="5" t="n"/>
      <c r="H25" s="5" t="n"/>
    </row>
    <row r="26">
      <c r="A26" s="5" t="n"/>
      <c r="B26" s="5" t="n"/>
      <c r="C26" s="5" t="n"/>
      <c r="D26" s="5" t="n"/>
      <c r="E26" s="5" t="n"/>
      <c r="F26" s="16" t="n"/>
      <c r="G26" s="5" t="n"/>
      <c r="H26" s="5" t="n"/>
    </row>
    <row r="27">
      <c r="A27" s="5" t="n"/>
      <c r="B27" s="5" t="n"/>
      <c r="C27" s="5" t="n"/>
      <c r="D27" s="5" t="n"/>
      <c r="E27" s="5" t="n"/>
      <c r="F27" s="16" t="n"/>
      <c r="G27" s="5" t="n"/>
      <c r="H27" s="5" t="n"/>
    </row>
    <row r="28">
      <c r="A28" s="5" t="n"/>
      <c r="B28" s="5" t="n"/>
      <c r="C28" s="5" t="n"/>
      <c r="D28" s="5" t="n"/>
      <c r="E28" s="5" t="n"/>
      <c r="F28" s="16" t="n"/>
      <c r="G28" s="5" t="n"/>
      <c r="H28" s="5" t="n"/>
    </row>
    <row r="29">
      <c r="A29" s="5" t="n"/>
      <c r="B29" s="5" t="n"/>
      <c r="C29" s="5" t="n"/>
      <c r="D29" s="5" t="n"/>
      <c r="E29" s="5" t="n"/>
      <c r="F29" s="16" t="n"/>
      <c r="G29" s="5" t="n"/>
      <c r="H29" s="5" t="n"/>
    </row>
    <row r="30">
      <c r="A30" s="5" t="n"/>
      <c r="B30" s="5" t="n"/>
      <c r="C30" s="5" t="n"/>
      <c r="D30" s="5" t="n"/>
      <c r="E30" s="5" t="n"/>
      <c r="F30" s="16" t="n"/>
      <c r="G30" s="5" t="n"/>
      <c r="H30" s="5" t="n"/>
    </row>
    <row r="31">
      <c r="A31" s="5" t="n"/>
      <c r="B31" s="5" t="n"/>
      <c r="C31" s="5" t="n"/>
      <c r="D31" s="5" t="n"/>
      <c r="E31" s="5" t="n"/>
      <c r="F31" s="16" t="n"/>
      <c r="G31" s="5" t="n"/>
      <c r="H31" s="5" t="n"/>
    </row>
    <row r="32">
      <c r="A32" s="5" t="n"/>
      <c r="B32" s="5" t="n"/>
      <c r="C32" s="5" t="n"/>
      <c r="D32" s="5" t="n"/>
      <c r="E32" s="5" t="n"/>
      <c r="F32" s="16" t="n"/>
      <c r="G32" s="5" t="n"/>
      <c r="H32" s="5" t="n"/>
    </row>
    <row r="33">
      <c r="A33" s="5" t="n"/>
      <c r="B33" s="5" t="n"/>
      <c r="C33" s="5" t="n"/>
      <c r="D33" s="5" t="n"/>
      <c r="E33" s="5" t="n"/>
      <c r="F33" s="16" t="n"/>
      <c r="G33" s="5" t="n"/>
      <c r="H33" s="5" t="n"/>
    </row>
    <row r="34">
      <c r="A34" s="5" t="n"/>
      <c r="B34" s="5" t="n"/>
      <c r="C34" s="5" t="n"/>
      <c r="D34" s="5" t="n"/>
      <c r="E34" s="5" t="n"/>
      <c r="F34" s="16" t="n"/>
      <c r="G34" s="5" t="n"/>
      <c r="H34" s="5" t="n"/>
    </row>
    <row r="35">
      <c r="A35" s="5" t="n"/>
      <c r="B35" s="5" t="n"/>
      <c r="C35" s="5" t="n"/>
      <c r="D35" s="5" t="n"/>
      <c r="E35" s="5" t="n"/>
      <c r="F35" s="16" t="n"/>
      <c r="G35" s="5" t="n"/>
      <c r="H35" s="5" t="n"/>
    </row>
    <row r="36">
      <c r="A36" s="5" t="n"/>
      <c r="B36" s="5" t="n"/>
      <c r="C36" s="5" t="n"/>
      <c r="D36" s="5" t="n"/>
      <c r="E36" s="5" t="n"/>
      <c r="F36" s="16" t="n"/>
      <c r="G36" s="5" t="n"/>
      <c r="H36" s="5" t="n"/>
    </row>
    <row r="37">
      <c r="A37" s="5" t="n"/>
      <c r="B37" s="5" t="n"/>
      <c r="C37" s="5" t="n"/>
      <c r="D37" s="5" t="n"/>
      <c r="E37" s="5" t="n"/>
      <c r="F37" s="16" t="n"/>
      <c r="G37" s="5" t="n"/>
      <c r="H37" s="5" t="n"/>
    </row>
    <row r="38">
      <c r="A38" s="5" t="n"/>
      <c r="B38" s="5" t="n"/>
      <c r="C38" s="5" t="n"/>
      <c r="D38" s="5" t="n"/>
      <c r="E38" s="5" t="n"/>
      <c r="F38" s="16" t="n"/>
      <c r="G38" s="5" t="n"/>
      <c r="H38" s="5" t="n"/>
    </row>
    <row r="39">
      <c r="A39" s="5" t="n"/>
      <c r="B39" s="5" t="n"/>
      <c r="C39" s="5" t="n"/>
      <c r="D39" s="5" t="n"/>
      <c r="E39" s="5" t="n"/>
      <c r="F39" s="16" t="n"/>
      <c r="G39" s="5" t="n"/>
      <c r="H39" s="5" t="n"/>
    </row>
    <row r="40">
      <c r="A40" s="5" t="n"/>
      <c r="B40" s="5" t="n"/>
      <c r="C40" s="5" t="n"/>
      <c r="D40" s="5" t="n"/>
      <c r="E40" s="5" t="n"/>
      <c r="F40" s="16" t="n"/>
      <c r="G40" s="5" t="n"/>
      <c r="H40" s="5" t="n"/>
    </row>
    <row r="41">
      <c r="A41" s="5" t="n"/>
      <c r="B41" s="5" t="n"/>
      <c r="C41" s="5" t="n"/>
      <c r="D41" s="5" t="n"/>
      <c r="E41" s="5" t="n"/>
      <c r="F41" s="16" t="n"/>
      <c r="G41" s="5" t="n"/>
      <c r="H41" s="5" t="n"/>
    </row>
    <row r="42">
      <c r="A42" s="5" t="n"/>
      <c r="B42" s="5" t="n"/>
      <c r="C42" s="5" t="n"/>
      <c r="D42" s="5" t="n"/>
      <c r="E42" s="5" t="n"/>
      <c r="F42" s="16" t="n"/>
      <c r="G42" s="5" t="n"/>
      <c r="H42" s="5" t="n"/>
    </row>
    <row r="43">
      <c r="A43" s="5" t="n"/>
      <c r="B43" s="5" t="n"/>
      <c r="C43" s="5" t="n"/>
      <c r="D43" s="5" t="n"/>
      <c r="E43" s="5" t="n"/>
      <c r="F43" s="16" t="n"/>
      <c r="G43" s="5" t="n"/>
      <c r="H43" s="5" t="n"/>
    </row>
    <row r="44">
      <c r="A44" s="5" t="n"/>
      <c r="B44" s="5" t="n"/>
      <c r="C44" s="5" t="n"/>
      <c r="D44" s="5" t="n"/>
      <c r="E44" s="5" t="n"/>
      <c r="F44" s="16" t="n"/>
      <c r="G44" s="5" t="n"/>
      <c r="H44" s="5" t="n"/>
    </row>
    <row r="45">
      <c r="A45" s="5" t="n"/>
      <c r="B45" s="5" t="n"/>
      <c r="C45" s="5" t="n"/>
      <c r="D45" s="5" t="n"/>
      <c r="E45" s="5" t="n"/>
      <c r="F45" s="16" t="n"/>
      <c r="G45" s="5" t="n"/>
      <c r="H45" s="5" t="n"/>
    </row>
    <row r="46">
      <c r="A46" s="5" t="n"/>
      <c r="B46" s="5" t="n"/>
      <c r="C46" s="5" t="n"/>
      <c r="D46" s="5" t="n"/>
      <c r="E46" s="5" t="n"/>
      <c r="F46" s="16" t="n"/>
      <c r="G46" s="5" t="n"/>
      <c r="H46" s="5" t="n"/>
    </row>
    <row r="47">
      <c r="A47" s="5" t="n"/>
      <c r="B47" s="5" t="n"/>
      <c r="C47" s="5" t="n"/>
      <c r="D47" s="5" t="n"/>
      <c r="E47" s="5" t="n"/>
      <c r="F47" s="16" t="n"/>
      <c r="G47" s="5" t="n"/>
      <c r="H47" s="5" t="n"/>
    </row>
    <row r="48">
      <c r="A48" s="5" t="n"/>
      <c r="B48" s="5" t="n"/>
      <c r="C48" s="5" t="n"/>
      <c r="D48" s="5" t="n"/>
      <c r="E48" s="5" t="n"/>
      <c r="F48" s="16" t="n"/>
      <c r="G48" s="5" t="n"/>
      <c r="H48" s="5" t="n"/>
    </row>
    <row r="49">
      <c r="A49" s="5" t="n"/>
      <c r="B49" s="5" t="n"/>
      <c r="C49" s="5" t="n"/>
      <c r="D49" s="5" t="n"/>
      <c r="E49" s="5" t="n"/>
      <c r="F49" s="16" t="n"/>
      <c r="G49" s="5" t="n"/>
      <c r="H49" s="5" t="n"/>
    </row>
    <row r="50">
      <c r="A50" s="5" t="n"/>
      <c r="B50" s="5" t="n"/>
      <c r="C50" s="5" t="n"/>
      <c r="D50" s="5" t="n"/>
      <c r="E50" s="5" t="n"/>
      <c r="F50" s="16" t="n"/>
      <c r="G50" s="5" t="n"/>
      <c r="H50" s="5" t="n"/>
    </row>
    <row r="51">
      <c r="A51" s="5" t="n"/>
      <c r="B51" s="5" t="n"/>
      <c r="C51" s="5" t="n"/>
      <c r="D51" s="5" t="n"/>
      <c r="E51" s="5" t="n"/>
      <c r="F51" s="16" t="n"/>
      <c r="G51" s="5" t="n"/>
      <c r="H51" s="5" t="n"/>
    </row>
    <row r="52">
      <c r="A52" s="5" t="n"/>
      <c r="B52" s="5" t="n"/>
      <c r="C52" s="5" t="n"/>
      <c r="D52" s="5" t="n"/>
      <c r="E52" s="5" t="n"/>
      <c r="F52" s="16" t="n"/>
      <c r="G52" s="5" t="n"/>
      <c r="H52" s="5" t="n"/>
    </row>
    <row r="53">
      <c r="A53" s="5" t="n"/>
      <c r="B53" s="5" t="n"/>
      <c r="C53" s="5" t="n"/>
      <c r="D53" s="5" t="n"/>
      <c r="E53" s="5" t="n"/>
      <c r="F53" s="16" t="n"/>
      <c r="G53" s="5" t="n"/>
      <c r="H53" s="5" t="n"/>
    </row>
    <row r="54">
      <c r="A54" s="5" t="n"/>
      <c r="B54" s="5" t="n"/>
      <c r="C54" s="5" t="n"/>
      <c r="D54" s="5" t="n"/>
      <c r="E54" s="5" t="n"/>
      <c r="F54" s="16" t="n"/>
      <c r="G54" s="5" t="n"/>
      <c r="H54" s="5" t="n"/>
    </row>
    <row r="55">
      <c r="A55" s="5" t="n"/>
      <c r="B55" s="5" t="n"/>
      <c r="C55" s="5" t="n"/>
      <c r="D55" s="5" t="n"/>
      <c r="E55" s="5" t="n"/>
      <c r="F55" s="16" t="n"/>
      <c r="G55" s="5" t="n"/>
      <c r="H55" s="5" t="n"/>
    </row>
    <row r="56">
      <c r="A56" s="5" t="n"/>
      <c r="B56" s="5" t="n"/>
      <c r="C56" s="5" t="n"/>
      <c r="D56" s="5" t="n"/>
      <c r="E56" s="5" t="n"/>
      <c r="F56" s="16" t="n"/>
      <c r="G56" s="5" t="n"/>
      <c r="H56" s="5" t="n"/>
    </row>
    <row r="57">
      <c r="A57" s="5" t="n"/>
      <c r="B57" s="5" t="n"/>
      <c r="C57" s="5" t="n"/>
      <c r="D57" s="5" t="n"/>
      <c r="E57" s="5" t="n"/>
      <c r="F57" s="16" t="n"/>
      <c r="G57" s="5" t="n"/>
      <c r="H57" s="5" t="n"/>
    </row>
    <row r="58">
      <c r="A58" s="5" t="n"/>
      <c r="B58" s="5" t="n"/>
      <c r="C58" s="5" t="n"/>
      <c r="D58" s="5" t="n"/>
      <c r="E58" s="5" t="n"/>
      <c r="F58" s="16" t="n"/>
      <c r="G58" s="5" t="n"/>
      <c r="H58" s="5" t="n"/>
    </row>
    <row r="59">
      <c r="A59" s="5" t="n"/>
      <c r="B59" s="5" t="n"/>
      <c r="C59" s="5" t="n"/>
      <c r="D59" s="5" t="n"/>
      <c r="E59" s="5" t="n"/>
      <c r="F59" s="16" t="n"/>
      <c r="G59" s="5" t="n"/>
      <c r="H59" s="5" t="n"/>
    </row>
    <row r="60">
      <c r="A60" s="5" t="n"/>
      <c r="B60" s="5" t="n"/>
      <c r="C60" s="5" t="n"/>
      <c r="D60" s="5" t="n"/>
      <c r="E60" s="5" t="n"/>
      <c r="F60" s="16" t="n"/>
      <c r="G60" s="5" t="n"/>
      <c r="H60" s="5" t="n"/>
    </row>
    <row r="61">
      <c r="A61" s="5" t="n"/>
      <c r="B61" s="5" t="n"/>
      <c r="C61" s="5" t="n"/>
      <c r="D61" s="5" t="n"/>
      <c r="E61" s="5" t="n"/>
      <c r="F61" s="16" t="n"/>
      <c r="G61" s="5" t="n"/>
      <c r="H61" s="5" t="n"/>
    </row>
    <row r="62">
      <c r="A62" s="5" t="n"/>
      <c r="B62" s="5" t="n"/>
      <c r="C62" s="5" t="n"/>
      <c r="D62" s="5" t="n"/>
      <c r="E62" s="5" t="n"/>
      <c r="F62" s="16" t="n"/>
      <c r="G62" s="5" t="n"/>
      <c r="H62" s="5" t="n"/>
    </row>
    <row r="63">
      <c r="A63" s="5" t="n"/>
      <c r="B63" s="5" t="n"/>
      <c r="C63" s="5" t="n"/>
      <c r="D63" s="5" t="n"/>
      <c r="E63" s="5" t="n"/>
      <c r="F63" s="16" t="n"/>
      <c r="G63" s="5" t="n"/>
      <c r="H63" s="5" t="n"/>
    </row>
    <row r="64">
      <c r="A64" s="5" t="n"/>
      <c r="B64" s="5" t="n"/>
      <c r="C64" s="5" t="n"/>
      <c r="D64" s="5" t="n"/>
      <c r="E64" s="5" t="n"/>
      <c r="F64" s="16" t="n"/>
      <c r="G64" s="5" t="n"/>
      <c r="H64" s="5" t="n"/>
    </row>
    <row r="65">
      <c r="A65" s="5" t="n"/>
      <c r="B65" s="5" t="n"/>
      <c r="C65" s="5" t="n"/>
      <c r="D65" s="5" t="n"/>
      <c r="E65" s="5" t="n"/>
      <c r="F65" s="16" t="n"/>
      <c r="G65" s="5" t="n"/>
      <c r="H65" s="5" t="n"/>
    </row>
    <row r="66">
      <c r="A66" s="5" t="n"/>
      <c r="B66" s="5" t="n"/>
      <c r="C66" s="5" t="n"/>
      <c r="D66" s="5" t="n"/>
      <c r="E66" s="5" t="n"/>
      <c r="F66" s="16" t="n"/>
      <c r="G66" s="5" t="n"/>
      <c r="H66" s="5" t="n"/>
    </row>
    <row r="67">
      <c r="A67" s="5" t="n"/>
      <c r="B67" s="5" t="n"/>
      <c r="C67" s="5" t="n"/>
      <c r="D67" s="5" t="n"/>
      <c r="E67" s="5" t="n"/>
      <c r="F67" s="16" t="n"/>
      <c r="G67" s="5" t="n"/>
      <c r="H67" s="5" t="n"/>
    </row>
    <row r="68">
      <c r="A68" s="5" t="n"/>
      <c r="B68" s="5" t="n"/>
      <c r="C68" s="5" t="n"/>
      <c r="D68" s="5" t="n"/>
      <c r="E68" s="5" t="n"/>
      <c r="F68" s="16" t="n"/>
      <c r="G68" s="5" t="n"/>
      <c r="H68" s="5" t="n"/>
    </row>
    <row r="69">
      <c r="A69" s="5" t="n"/>
      <c r="B69" s="5" t="n"/>
      <c r="C69" s="5" t="n"/>
      <c r="D69" s="5" t="n"/>
      <c r="E69" s="5" t="n"/>
      <c r="F69" s="16" t="n"/>
      <c r="G69" s="5" t="n"/>
      <c r="H69" s="5" t="n"/>
    </row>
    <row r="70">
      <c r="A70" s="5" t="n"/>
      <c r="B70" s="5" t="n"/>
      <c r="C70" s="5" t="n"/>
      <c r="D70" s="5" t="n"/>
      <c r="E70" s="5" t="n"/>
      <c r="F70" s="16" t="n"/>
      <c r="G70" s="5" t="n"/>
      <c r="H70" s="5" t="n"/>
    </row>
    <row r="71">
      <c r="A71" s="5" t="n"/>
      <c r="B71" s="5" t="n"/>
      <c r="C71" s="5" t="n"/>
      <c r="D71" s="5" t="n"/>
      <c r="E71" s="5" t="n"/>
      <c r="F71" s="16" t="n"/>
      <c r="G71" s="5" t="n"/>
      <c r="H71" s="5" t="n"/>
    </row>
    <row r="72">
      <c r="A72" s="5" t="n"/>
      <c r="B72" s="5" t="n"/>
      <c r="C72" s="5" t="n"/>
      <c r="D72" s="5" t="n"/>
      <c r="E72" s="5" t="n"/>
      <c r="F72" s="16" t="n"/>
      <c r="G72" s="5" t="n"/>
      <c r="H72" s="5" t="n"/>
    </row>
    <row r="73">
      <c r="A73" s="5" t="n"/>
      <c r="B73" s="5" t="n"/>
      <c r="C73" s="5" t="n"/>
      <c r="D73" s="5" t="n"/>
      <c r="E73" s="5" t="n"/>
      <c r="F73" s="16" t="n"/>
      <c r="G73" s="5" t="n"/>
      <c r="H73" s="5" t="n"/>
    </row>
    <row r="74">
      <c r="A74" s="5" t="n"/>
      <c r="B74" s="5" t="n"/>
      <c r="C74" s="5" t="n"/>
      <c r="D74" s="5" t="n"/>
      <c r="E74" s="5" t="n"/>
      <c r="F74" s="16" t="n"/>
      <c r="G74" s="5" t="n"/>
      <c r="H74" s="5" t="n"/>
    </row>
    <row r="75">
      <c r="A75" s="5" t="n"/>
      <c r="B75" s="5" t="n"/>
      <c r="C75" s="5" t="n"/>
      <c r="D75" s="5" t="n"/>
      <c r="E75" s="5" t="n"/>
      <c r="F75" s="16" t="n"/>
      <c r="G75" s="5" t="n"/>
      <c r="H75" s="5" t="n"/>
    </row>
    <row r="76">
      <c r="A76" s="5" t="n"/>
      <c r="B76" s="5" t="n"/>
      <c r="C76" s="5" t="n"/>
      <c r="D76" s="5" t="n"/>
      <c r="E76" s="5" t="n"/>
      <c r="F76" s="16" t="n"/>
      <c r="G76" s="5" t="n"/>
      <c r="H76" s="5" t="n"/>
    </row>
    <row r="77">
      <c r="A77" s="5" t="n"/>
      <c r="B77" s="5" t="n"/>
      <c r="C77" s="5" t="n"/>
      <c r="D77" s="5" t="n"/>
      <c r="E77" s="5" t="n"/>
      <c r="F77" s="16" t="n"/>
      <c r="G77" s="5" t="n"/>
      <c r="H77" s="5" t="n"/>
    </row>
    <row r="78">
      <c r="A78" s="5" t="n"/>
      <c r="B78" s="5" t="n"/>
      <c r="C78" s="5" t="n"/>
      <c r="D78" s="5" t="n"/>
      <c r="E78" s="5" t="n"/>
      <c r="F78" s="16" t="n"/>
      <c r="G78" s="5" t="n"/>
      <c r="H78" s="5" t="n"/>
    </row>
    <row r="79">
      <c r="A79" s="5" t="n"/>
      <c r="B79" s="5" t="n"/>
      <c r="C79" s="5" t="n"/>
      <c r="D79" s="5" t="n"/>
      <c r="E79" s="5" t="n"/>
      <c r="F79" s="16" t="n"/>
      <c r="G79" s="5" t="n"/>
      <c r="H79" s="5" t="n"/>
    </row>
    <row r="80">
      <c r="A80" s="5" t="n"/>
      <c r="B80" s="5" t="n"/>
      <c r="C80" s="5" t="n"/>
      <c r="D80" s="5" t="n"/>
      <c r="E80" s="5" t="n"/>
      <c r="F80" s="16" t="n"/>
      <c r="G80" s="5" t="n"/>
      <c r="H80" s="5" t="n"/>
    </row>
    <row r="81">
      <c r="A81" s="5" t="n"/>
      <c r="B81" s="5" t="n"/>
      <c r="C81" s="5" t="n"/>
      <c r="D81" s="5" t="n"/>
      <c r="E81" s="5" t="n"/>
      <c r="F81" s="16" t="n"/>
      <c r="G81" s="5" t="n"/>
      <c r="H81" s="5" t="n"/>
    </row>
    <row r="82">
      <c r="A82" s="5" t="n"/>
      <c r="B82" s="5" t="n"/>
      <c r="C82" s="5" t="n"/>
      <c r="D82" s="5" t="n"/>
      <c r="E82" s="5" t="n"/>
      <c r="F82" s="16" t="n"/>
      <c r="G82" s="5" t="n"/>
      <c r="H82" s="5" t="n"/>
    </row>
    <row r="83">
      <c r="A83" s="5" t="n"/>
      <c r="B83" s="5" t="n"/>
      <c r="C83" s="5" t="n"/>
      <c r="D83" s="5" t="n"/>
      <c r="E83" s="5" t="n"/>
      <c r="F83" s="16" t="n"/>
      <c r="G83" s="5" t="n"/>
      <c r="H83" s="5" t="n"/>
    </row>
    <row r="84">
      <c r="A84" s="5" t="n"/>
      <c r="B84" s="5" t="n"/>
      <c r="C84" s="5" t="n"/>
      <c r="D84" s="5" t="n"/>
      <c r="E84" s="5" t="n"/>
      <c r="F84" s="16" t="n"/>
      <c r="G84" s="5" t="n"/>
      <c r="H84" s="5" t="n"/>
    </row>
    <row r="85">
      <c r="A85" s="5" t="n"/>
      <c r="B85" s="5" t="n"/>
      <c r="C85" s="5" t="n"/>
      <c r="D85" s="5" t="n"/>
      <c r="E85" s="5" t="n"/>
      <c r="F85" s="16" t="n"/>
      <c r="G85" s="5" t="n"/>
      <c r="H85" s="5" t="n"/>
    </row>
    <row r="86">
      <c r="A86" s="5" t="n"/>
      <c r="B86" s="5" t="n"/>
      <c r="C86" s="5" t="n"/>
      <c r="D86" s="5" t="n"/>
      <c r="E86" s="5" t="n"/>
      <c r="F86" s="16" t="n"/>
      <c r="G86" s="5" t="n"/>
      <c r="H86" s="5" t="n"/>
    </row>
    <row r="87">
      <c r="A87" s="5" t="n"/>
      <c r="B87" s="5" t="n"/>
      <c r="C87" s="5" t="n"/>
      <c r="D87" s="5" t="n"/>
      <c r="E87" s="5" t="n"/>
      <c r="F87" s="16" t="n"/>
      <c r="G87" s="5" t="n"/>
      <c r="H87" s="5" t="n"/>
    </row>
    <row r="88">
      <c r="A88" s="5" t="n"/>
      <c r="B88" s="5" t="n"/>
      <c r="C88" s="5" t="n"/>
      <c r="D88" s="5" t="n"/>
      <c r="E88" s="5" t="n"/>
      <c r="F88" s="16" t="n"/>
      <c r="G88" s="5" t="n"/>
      <c r="H88" s="5" t="n"/>
    </row>
    <row r="89">
      <c r="A89" s="5" t="n"/>
      <c r="B89" s="5" t="n"/>
      <c r="C89" s="5" t="n"/>
      <c r="D89" s="5" t="n"/>
      <c r="E89" s="5" t="n"/>
      <c r="F89" s="16" t="n"/>
      <c r="G89" s="5" t="n"/>
      <c r="H89" s="5" t="n"/>
    </row>
    <row r="90">
      <c r="A90" s="5" t="n"/>
      <c r="B90" s="5" t="n"/>
      <c r="C90" s="5" t="n"/>
      <c r="D90" s="5" t="n"/>
      <c r="E90" s="5" t="n"/>
      <c r="F90" s="16" t="n"/>
      <c r="G90" s="5" t="n"/>
      <c r="H90" s="5" t="n"/>
    </row>
    <row r="91">
      <c r="A91" s="5" t="n"/>
      <c r="B91" s="5" t="n"/>
      <c r="C91" s="5" t="n"/>
      <c r="D91" s="5" t="n"/>
      <c r="E91" s="5" t="n"/>
      <c r="F91" s="16" t="n"/>
      <c r="G91" s="5" t="n"/>
      <c r="H91" s="5" t="n"/>
    </row>
    <row r="92">
      <c r="A92" s="5" t="n"/>
      <c r="B92" s="5" t="n"/>
      <c r="C92" s="5" t="n"/>
      <c r="D92" s="5" t="n"/>
      <c r="E92" s="5" t="n"/>
      <c r="F92" s="16" t="n"/>
      <c r="G92" s="5" t="n"/>
      <c r="H92" s="5" t="n"/>
    </row>
    <row r="93">
      <c r="A93" s="5" t="n"/>
      <c r="B93" s="5" t="n"/>
      <c r="C93" s="5" t="n"/>
      <c r="D93" s="5" t="n"/>
      <c r="E93" s="5" t="n"/>
      <c r="F93" s="16" t="n"/>
      <c r="G93" s="5" t="n"/>
      <c r="H93" s="5" t="n"/>
    </row>
    <row r="94">
      <c r="A94" s="5" t="n"/>
      <c r="B94" s="5" t="n"/>
      <c r="C94" s="5" t="n"/>
      <c r="D94" s="5" t="n"/>
      <c r="E94" s="5" t="n"/>
      <c r="F94" s="16" t="n"/>
      <c r="G94" s="5" t="n"/>
      <c r="H94" s="5" t="n"/>
    </row>
    <row r="95">
      <c r="A95" s="5" t="n"/>
      <c r="B95" s="5" t="n"/>
      <c r="C95" s="5" t="n"/>
      <c r="D95" s="5" t="n"/>
      <c r="E95" s="5" t="n"/>
      <c r="F95" s="16" t="n"/>
      <c r="G95" s="5" t="n"/>
      <c r="H95" s="5" t="n"/>
    </row>
    <row r="96">
      <c r="A96" s="5" t="n"/>
      <c r="B96" s="5" t="n"/>
      <c r="C96" s="5" t="n"/>
      <c r="D96" s="5" t="n"/>
      <c r="E96" s="5" t="n"/>
      <c r="F96" s="16" t="n"/>
      <c r="G96" s="5" t="n"/>
      <c r="H96" s="5" t="n"/>
    </row>
    <row r="97">
      <c r="A97" s="5" t="n"/>
      <c r="B97" s="5" t="n"/>
      <c r="C97" s="5" t="n"/>
      <c r="D97" s="5" t="n"/>
      <c r="E97" s="5" t="n"/>
      <c r="F97" s="16" t="n"/>
      <c r="G97" s="5" t="n"/>
      <c r="H97" s="5" t="n"/>
    </row>
    <row r="98">
      <c r="A98" s="5" t="n"/>
      <c r="B98" s="5" t="n"/>
      <c r="C98" s="5" t="n"/>
      <c r="D98" s="5" t="n"/>
      <c r="E98" s="5" t="n"/>
      <c r="F98" s="16" t="n"/>
      <c r="G98" s="5" t="n"/>
      <c r="H98" s="5" t="n"/>
    </row>
    <row r="99">
      <c r="A99" s="5" t="n"/>
      <c r="B99" s="5" t="n"/>
      <c r="C99" s="5" t="n"/>
      <c r="D99" s="5" t="n"/>
      <c r="E99" s="5" t="n"/>
      <c r="F99" s="16" t="n"/>
      <c r="G99" s="5" t="n"/>
      <c r="H99" s="5" t="n"/>
    </row>
    <row r="100">
      <c r="A100" s="5" t="n"/>
      <c r="B100" s="5" t="n"/>
      <c r="C100" s="5" t="n"/>
      <c r="D100" s="5" t="n"/>
      <c r="E100" s="5" t="n"/>
      <c r="F100" s="16" t="n"/>
      <c r="G100" s="5" t="n"/>
      <c r="H100" s="5" t="n"/>
    </row>
    <row r="101">
      <c r="A101" s="5" t="n"/>
      <c r="B101" s="5" t="n"/>
      <c r="C101" s="5" t="n"/>
      <c r="D101" s="5" t="n"/>
      <c r="E101" s="5" t="n"/>
      <c r="F101" s="16" t="n"/>
      <c r="G101" s="5" t="n"/>
      <c r="H101" s="5" t="n"/>
    </row>
    <row r="102">
      <c r="A102" s="5" t="n"/>
      <c r="B102" s="5" t="n"/>
      <c r="C102" s="5" t="n"/>
      <c r="D102" s="5" t="n"/>
      <c r="E102" s="5" t="n"/>
      <c r="F102" s="16" t="n"/>
      <c r="G102" s="5" t="n"/>
      <c r="H102" s="5" t="n"/>
    </row>
    <row r="103">
      <c r="A103" s="5" t="n"/>
      <c r="B103" s="5" t="n"/>
      <c r="C103" s="5" t="n"/>
      <c r="D103" s="5" t="n"/>
      <c r="E103" s="5" t="n"/>
      <c r="F103" s="16" t="n"/>
      <c r="G103" s="5" t="n"/>
      <c r="H103" s="5" t="n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Trend Analysis - Quarterly Progress Tracking</t>
        </is>
      </c>
    </row>
    <row r="3">
      <c r="A3" s="14" t="inlineStr">
        <is>
          <t>📊 Track compliance scores quarterly to monitor improvement trends</t>
        </is>
      </c>
    </row>
    <row r="5">
      <c r="A5" s="9" t="inlineStr">
        <is>
          <t>Quarter</t>
        </is>
      </c>
      <c r="B5" s="9" t="inlineStr">
        <is>
          <t>Domain 1</t>
        </is>
      </c>
      <c r="C5" s="9" t="inlineStr">
        <is>
          <t>Domain 2</t>
        </is>
      </c>
      <c r="D5" s="9" t="inlineStr">
        <is>
          <t>Domain 3</t>
        </is>
      </c>
      <c r="E5" s="9" t="inlineStr">
        <is>
          <t>Domain 4</t>
        </is>
      </c>
      <c r="F5" s="9" t="inlineStr">
        <is>
          <t>Overall</t>
        </is>
      </c>
    </row>
    <row r="6">
      <c r="A6" s="4" t="inlineStr">
        <is>
          <t>Q1 2025</t>
        </is>
      </c>
      <c r="B6" s="17" t="n"/>
      <c r="C6" s="17" t="n"/>
      <c r="D6" s="17" t="n"/>
      <c r="E6" s="17" t="n"/>
      <c r="F6" s="17" t="n"/>
    </row>
    <row r="7">
      <c r="A7" s="4" t="inlineStr">
        <is>
          <t>Q2 2025</t>
        </is>
      </c>
      <c r="B7" s="17" t="n"/>
      <c r="C7" s="17" t="n"/>
      <c r="D7" s="17" t="n"/>
      <c r="E7" s="17" t="n"/>
      <c r="F7" s="17" t="n"/>
    </row>
    <row r="8">
      <c r="A8" s="4" t="inlineStr">
        <is>
          <t>Q3 2025</t>
        </is>
      </c>
      <c r="B8" s="17" t="n"/>
      <c r="C8" s="17" t="n"/>
      <c r="D8" s="17" t="n"/>
      <c r="E8" s="17" t="n"/>
      <c r="F8" s="17" t="n"/>
    </row>
    <row r="9">
      <c r="A9" s="4" t="inlineStr">
        <is>
          <t>Q4 2025</t>
        </is>
      </c>
      <c r="B9" s="17" t="n"/>
      <c r="C9" s="17" t="n"/>
      <c r="D9" s="17" t="n"/>
      <c r="E9" s="17" t="n"/>
      <c r="F9" s="17" t="n"/>
    </row>
  </sheetData>
  <mergeCells count="2">
    <mergeCell ref="A3:F3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KPI Dashboard - Key Performance Indicators</t>
        </is>
      </c>
    </row>
    <row r="3">
      <c r="A3" s="9" t="inlineStr">
        <is>
          <t>KPI Category</t>
        </is>
      </c>
      <c r="B3" s="9" t="inlineStr">
        <is>
          <t>Metric</t>
        </is>
      </c>
      <c r="C3" s="9" t="inlineStr">
        <is>
          <t>Current Value</t>
        </is>
      </c>
      <c r="D3" s="9" t="inlineStr">
        <is>
          <t>Target</t>
        </is>
      </c>
      <c r="E3" s="9" t="inlineStr">
        <is>
          <t>Status</t>
        </is>
      </c>
    </row>
    <row r="4">
      <c r="A4" s="4" t="inlineStr">
        <is>
          <t>Coverage</t>
        </is>
      </c>
      <c r="B4" t="inlineStr">
        <is>
          <t>Endpoint DLP coverage %</t>
        </is>
      </c>
      <c r="C4" s="5" t="inlineStr"/>
      <c r="D4" t="inlineStr">
        <is>
          <t>95%</t>
        </is>
      </c>
      <c r="E4" s="5" t="inlineStr"/>
    </row>
    <row r="5">
      <c r="A5" s="4" t="inlineStr">
        <is>
          <t>Coverage</t>
        </is>
      </c>
      <c r="B5" t="inlineStr">
        <is>
          <t>Email DLP coverage %</t>
        </is>
      </c>
      <c r="C5" s="5" t="inlineStr"/>
      <c r="D5" t="inlineStr">
        <is>
          <t>98%</t>
        </is>
      </c>
      <c r="E5" s="5" t="inlineStr"/>
    </row>
    <row r="6">
      <c r="A6" s="4" t="inlineStr">
        <is>
          <t>Coverage</t>
        </is>
      </c>
      <c r="B6" t="inlineStr">
        <is>
          <t>Cloud DLP coverage %</t>
        </is>
      </c>
      <c r="C6" s="5" t="inlineStr"/>
      <c r="D6" t="inlineStr">
        <is>
          <t>90%</t>
        </is>
      </c>
      <c r="E6" s="5" t="inlineStr"/>
    </row>
    <row r="8">
      <c r="A8" s="4" t="inlineStr">
        <is>
          <t>Effectiveness</t>
        </is>
      </c>
      <c r="B8" t="inlineStr">
        <is>
          <t>Data loss incidents prevented</t>
        </is>
      </c>
      <c r="C8" s="5" t="inlineStr"/>
      <c r="D8" t="inlineStr">
        <is>
          <t>&gt;50/month</t>
        </is>
      </c>
      <c r="E8" s="5" t="inlineStr"/>
    </row>
    <row r="9">
      <c r="A9" s="4" t="inlineStr">
        <is>
          <t>Effectiveness</t>
        </is>
      </c>
      <c r="B9" t="inlineStr">
        <is>
          <t>False positive rate %</t>
        </is>
      </c>
      <c r="C9" s="5" t="inlineStr"/>
      <c r="D9" t="inlineStr">
        <is>
          <t>&lt;10%</t>
        </is>
      </c>
      <c r="E9" s="5" t="inlineStr"/>
    </row>
    <row r="10">
      <c r="A10" s="4" t="inlineStr">
        <is>
          <t>Effectiveness</t>
        </is>
      </c>
      <c r="B10" t="inlineStr">
        <is>
          <t>Policy violation detection rate</t>
        </is>
      </c>
      <c r="C10" s="5" t="inlineStr"/>
      <c r="D10" t="inlineStr">
        <is>
          <t>&gt;95%</t>
        </is>
      </c>
      <c r="E10" s="5" t="inlineStr"/>
    </row>
    <row r="12">
      <c r="A12" s="4" t="inlineStr">
        <is>
          <t>Response</t>
        </is>
      </c>
      <c r="B12" t="inlineStr">
        <is>
          <t>Mean time to detect (MTTD)</t>
        </is>
      </c>
      <c r="C12" s="5" t="inlineStr"/>
      <c r="D12" t="inlineStr">
        <is>
          <t>&lt;4 hours</t>
        </is>
      </c>
      <c r="E12" s="5" t="inlineStr"/>
    </row>
    <row r="13">
      <c r="A13" s="4" t="inlineStr">
        <is>
          <t>Response</t>
        </is>
      </c>
      <c r="B13" t="inlineStr">
        <is>
          <t>Mean time to respond (MTTR)</t>
        </is>
      </c>
      <c r="C13" s="5" t="inlineStr"/>
      <c r="D13" t="inlineStr">
        <is>
          <t>&lt;24 hours</t>
        </is>
      </c>
      <c r="E13" s="5" t="inlineStr"/>
    </row>
    <row r="14">
      <c r="A14" s="4" t="inlineStr">
        <is>
          <t>Response</t>
        </is>
      </c>
      <c r="B14" t="inlineStr">
        <is>
          <t>Incident resolution rate %</t>
        </is>
      </c>
      <c r="C14" s="5" t="inlineStr"/>
      <c r="D14" t="inlineStr">
        <is>
          <t>&gt;90%</t>
        </is>
      </c>
      <c r="E14" s="5" t="inlineStr"/>
    </row>
    <row r="16">
      <c r="A16" s="4" t="inlineStr">
        <is>
          <t>Compliance</t>
        </is>
      </c>
      <c r="B16" t="inlineStr">
        <is>
          <t>Policy compliance rate %</t>
        </is>
      </c>
      <c r="C16" s="5" t="inlineStr"/>
      <c r="D16" t="inlineStr">
        <is>
          <t>&gt;95%</t>
        </is>
      </c>
      <c r="E16" s="5" t="inlineStr"/>
    </row>
    <row r="17">
      <c r="A17" s="4" t="inlineStr">
        <is>
          <t>Compliance</t>
        </is>
      </c>
      <c r="B17" t="inlineStr">
        <is>
          <t>Audit findings (open)</t>
        </is>
      </c>
      <c r="C17" s="5" t="inlineStr"/>
      <c r="D17" t="inlineStr">
        <is>
          <t>&lt;5</t>
        </is>
      </c>
      <c r="E17" s="5" t="inlineStr"/>
    </row>
    <row r="18">
      <c r="A18" s="4" t="inlineStr">
        <is>
          <t>Compliance</t>
        </is>
      </c>
      <c r="B18" t="inlineStr">
        <is>
          <t>Training completion %</t>
        </is>
      </c>
      <c r="C18" s="5" t="inlineStr"/>
      <c r="D18" t="inlineStr">
        <is>
          <t>100%</t>
        </is>
      </c>
      <c r="E18" s="5" t="inlineStr"/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0" customWidth="1" min="4" max="4"/>
    <col width="20" customWidth="1" min="5" max="5"/>
    <col width="25" customWidth="1" min="6" max="6"/>
  </cols>
  <sheetData>
    <row r="1" ht="30" customHeight="1">
      <c r="A1" s="1" t="inlineStr">
        <is>
          <t>Budget Planning - DLP Program Costs</t>
        </is>
      </c>
    </row>
    <row r="3">
      <c r="A3" s="9" t="inlineStr">
        <is>
          <t>Cost Category</t>
        </is>
      </c>
      <c r="B3" s="9" t="inlineStr">
        <is>
          <t>Description</t>
        </is>
      </c>
      <c r="C3" s="9" t="inlineStr">
        <is>
          <t>Annual Cost (CHF)</t>
        </is>
      </c>
      <c r="D3" s="9" t="inlineStr">
        <is>
          <t>One-Time Cost (CHF)</t>
        </is>
      </c>
      <c r="E3" s="9" t="inlineStr">
        <is>
          <t>FTE Required</t>
        </is>
      </c>
      <c r="F3" s="9" t="inlineStr">
        <is>
          <t>Notes</t>
        </is>
      </c>
    </row>
    <row r="4">
      <c r="A4" t="inlineStr">
        <is>
          <t>Software Licenses</t>
        </is>
      </c>
      <c r="B4" t="inlineStr">
        <is>
          <t>DLP solution licenses</t>
        </is>
      </c>
      <c r="C4" s="5" t="inlineStr"/>
      <c r="D4" s="5" t="inlineStr"/>
      <c r="E4" s="5" t="inlineStr"/>
      <c r="F4" s="5" t="inlineStr"/>
    </row>
    <row r="5">
      <c r="A5" t="inlineStr">
        <is>
          <t>Hardware</t>
        </is>
      </c>
      <c r="B5" t="inlineStr">
        <is>
          <t>Appliances and servers</t>
        </is>
      </c>
      <c r="C5" s="5" t="inlineStr"/>
      <c r="D5" s="5" t="inlineStr"/>
      <c r="E5" s="5" t="inlineStr"/>
      <c r="F5" s="5" t="inlineStr"/>
    </row>
    <row r="6">
      <c r="A6" t="inlineStr">
        <is>
          <t>Professional Services</t>
        </is>
      </c>
      <c r="B6" t="inlineStr">
        <is>
          <t>Implementation and consulting</t>
        </is>
      </c>
      <c r="C6" s="5" t="inlineStr"/>
      <c r="D6" s="5" t="inlineStr"/>
      <c r="E6" s="5" t="inlineStr"/>
      <c r="F6" s="5" t="inlineStr"/>
    </row>
    <row r="7">
      <c r="A7" t="inlineStr">
        <is>
          <t>Training</t>
        </is>
      </c>
      <c r="B7" t="inlineStr">
        <is>
          <t>Staff training and awareness</t>
        </is>
      </c>
      <c r="C7" s="5" t="inlineStr"/>
      <c r="D7" s="5" t="inlineStr"/>
      <c r="E7" s="5" t="inlineStr"/>
      <c r="F7" s="5" t="inlineStr"/>
    </row>
    <row r="8">
      <c r="A8" t="inlineStr">
        <is>
          <t>Personnel</t>
        </is>
      </c>
      <c r="B8" t="inlineStr">
        <is>
          <t>DLP administrators</t>
        </is>
      </c>
      <c r="C8" s="5" t="inlineStr"/>
      <c r="D8" s="5" t="inlineStr"/>
      <c r="E8" s="5" t="inlineStr"/>
      <c r="F8" s="5" t="inlineStr"/>
    </row>
    <row r="9">
      <c r="A9" t="inlineStr">
        <is>
          <t>Personnel</t>
        </is>
      </c>
      <c r="B9" t="inlineStr">
        <is>
          <t>DLP analysts</t>
        </is>
      </c>
      <c r="C9" s="5" t="inlineStr"/>
      <c r="D9" s="5" t="inlineStr"/>
      <c r="E9" s="5" t="inlineStr"/>
      <c r="F9" s="5" t="inlineStr"/>
    </row>
    <row r="10">
      <c r="A10" t="inlineStr">
        <is>
          <t>Maintenance</t>
        </is>
      </c>
      <c r="B10" t="inlineStr">
        <is>
          <t>Annual support and updates</t>
        </is>
      </c>
      <c r="C10" s="5" t="inlineStr"/>
      <c r="D10" s="5" t="inlineStr"/>
      <c r="E10" s="5" t="inlineStr"/>
      <c r="F10" s="5" t="inlineStr"/>
    </row>
    <row r="11">
      <c r="A11" t="inlineStr">
        <is>
          <t>Cloud Services</t>
        </is>
      </c>
      <c r="B11" t="inlineStr">
        <is>
          <t>Cloud DLP/CASB subscription</t>
        </is>
      </c>
      <c r="C11" s="5" t="inlineStr"/>
      <c r="D11" s="5" t="inlineStr"/>
      <c r="E11" s="5" t="inlineStr"/>
      <c r="F11" s="5" t="inlineStr"/>
    </row>
    <row r="13">
      <c r="A13" s="7" t="inlineStr">
        <is>
          <t>TOTAL</t>
        </is>
      </c>
      <c r="C13" s="18">
        <f>SUM(C4:C11)</f>
        <v/>
      </c>
      <c r="D13" s="18">
        <f>SUM(D4:D11)</f>
        <v/>
      </c>
      <c r="E13" s="19">
        <f>SUM(E4:E11)</f>
        <v/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30" customWidth="1" min="5" max="5"/>
  </cols>
  <sheetData>
    <row r="1" ht="30" customHeight="1">
      <c r="A1" s="1" t="inlineStr">
        <is>
          <t>CISO &amp; DPO Approval Sign-Off</t>
        </is>
      </c>
    </row>
    <row r="3">
      <c r="A3" s="3" t="inlineStr">
        <is>
          <t>APPROVAL SIGNATURES</t>
        </is>
      </c>
    </row>
    <row r="4">
      <c r="A4" s="9" t="inlineStr">
        <is>
          <t>Role</t>
        </is>
      </c>
      <c r="B4" s="9" t="inlineStr">
        <is>
          <t>Name</t>
        </is>
      </c>
      <c r="C4" s="9" t="inlineStr">
        <is>
          <t>Signature</t>
        </is>
      </c>
      <c r="D4" s="9" t="inlineStr">
        <is>
          <t>Date</t>
        </is>
      </c>
      <c r="E4" s="9" t="inlineStr">
        <is>
          <t>Comments</t>
        </is>
      </c>
    </row>
    <row r="5">
      <c r="A5" t="inlineStr">
        <is>
          <t>DLP Administrator</t>
        </is>
      </c>
      <c r="B5" s="5" t="n"/>
      <c r="C5" s="5" t="n"/>
      <c r="D5" s="5" t="n"/>
      <c r="E5" s="5" t="n"/>
    </row>
    <row r="6">
      <c r="A6" t="inlineStr">
        <is>
          <t>Information Security Manager</t>
        </is>
      </c>
      <c r="B6" s="5" t="n"/>
      <c r="C6" s="5" t="n"/>
      <c r="D6" s="5" t="n"/>
      <c r="E6" s="5" t="n"/>
    </row>
    <row r="7">
      <c r="A7" t="inlineStr">
        <is>
          <t>CISO</t>
        </is>
      </c>
      <c r="B7" s="5" t="n"/>
      <c r="C7" s="5" t="n"/>
      <c r="D7" s="5" t="n"/>
      <c r="E7" s="5" t="n"/>
    </row>
    <row r="8">
      <c r="A8" t="inlineStr">
        <is>
          <t>DPO</t>
        </is>
      </c>
      <c r="B8" s="5" t="n"/>
      <c r="C8" s="5" t="n"/>
      <c r="D8" s="5" t="n"/>
      <c r="E8" s="5" t="n"/>
    </row>
    <row r="9">
      <c r="A9" t="inlineStr">
        <is>
          <t>CIO</t>
        </is>
      </c>
      <c r="B9" s="5" t="n"/>
      <c r="C9" s="5" t="n"/>
      <c r="D9" s="5" t="n"/>
      <c r="E9" s="5" t="n"/>
    </row>
    <row r="10">
      <c r="A10" t="inlineStr">
        <is>
          <t>Executive Management</t>
        </is>
      </c>
      <c r="B10" s="5" t="n"/>
      <c r="C10" s="5" t="n"/>
      <c r="D10" s="5" t="n"/>
      <c r="E10" s="5" t="n"/>
    </row>
  </sheetData>
  <mergeCells count="2">
    <mergeCell ref="A1:E1"/>
    <mergeCell ref="A3:E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5" customWidth="1" min="4" max="4"/>
  </cols>
  <sheetData>
    <row r="1" ht="30" customHeight="1">
      <c r="A1" s="1" t="inlineStr">
        <is>
          <t>Domain 5 - Master Compliance Dashboard</t>
        </is>
      </c>
    </row>
    <row r="3">
      <c r="A3" s="4" t="inlineStr">
        <is>
          <t>Assessment Date:</t>
        </is>
      </c>
      <c r="B3" s="5" t="n"/>
    </row>
    <row r="4">
      <c r="A4" s="4" t="inlineStr">
        <is>
          <t>Completed By:</t>
        </is>
      </c>
      <c r="B4" s="5" t="n"/>
    </row>
    <row r="5">
      <c r="A5" s="4" t="inlineStr">
        <is>
          <t>Approved By:</t>
        </is>
      </c>
      <c r="B5" s="5" t="n"/>
    </row>
    <row r="6">
      <c r="A6" s="4" t="inlineStr">
        <is>
          <t>Next Review:</t>
        </is>
      </c>
      <c r="B6" s="8">
        <f>B3+90</f>
        <v/>
      </c>
    </row>
    <row r="8">
      <c r="A8" s="3" t="inlineStr">
        <is>
          <t>OVERALL DLP PROGRAM COMPLIANCE</t>
        </is>
      </c>
    </row>
    <row r="9">
      <c r="A9" s="9" t="inlineStr">
        <is>
          <t>Metric</t>
        </is>
      </c>
      <c r="B9" s="9" t="inlineStr">
        <is>
          <t>Value</t>
        </is>
      </c>
      <c r="C9" s="9" t="inlineStr">
        <is>
          <t>Target</t>
        </is>
      </c>
      <c r="D9" s="9" t="inlineStr">
        <is>
          <t>Status</t>
        </is>
      </c>
    </row>
    <row r="10">
      <c r="A10" t="inlineStr">
        <is>
          <t>Domain 1 - Infrastructure</t>
        </is>
      </c>
      <c r="B10" s="20">
        <f>'[ISMS-IMP-A.8.12.1.xlsx]Summary_Dashboard'!$B$19</f>
        <v/>
      </c>
      <c r="C10" t="inlineStr">
        <is>
          <t>85%</t>
        </is>
      </c>
      <c r="D10">
        <f>IF(B10&gt;=85,"✅ Pass",IF(B10&gt;=70,"⚠️ Conditional","❌ Fail"))</f>
        <v/>
      </c>
    </row>
    <row r="11">
      <c r="A11" t="inlineStr">
        <is>
          <t>Domain 2 - Classification</t>
        </is>
      </c>
      <c r="B11" s="20">
        <f>'[ISMS-IMP-A.8.12.2.xlsx]Summary_Dashboard'!$B$18</f>
        <v/>
      </c>
      <c r="C11" t="inlineStr">
        <is>
          <t>85%</t>
        </is>
      </c>
      <c r="D11">
        <f>IF(B11&gt;=85,"✅ Pass",IF(B11&gt;=70,"⚠️ Conditional","❌ Fail"))</f>
        <v/>
      </c>
    </row>
    <row r="12">
      <c r="A12" t="inlineStr">
        <is>
          <t>Domain 3 - Channels</t>
        </is>
      </c>
      <c r="B12" s="20">
        <f>'[ISMS-IMP-A.8.12.3.xlsx]Summary_Dashboard'!$B$23</f>
        <v/>
      </c>
      <c r="C12" t="inlineStr">
        <is>
          <t>85%</t>
        </is>
      </c>
      <c r="D12">
        <f>IF(B12&gt;=85,"✅ Pass",IF(B12&gt;=70,"⚠️ Conditional","❌ Fail"))</f>
        <v/>
      </c>
    </row>
    <row r="13">
      <c r="A13" t="inlineStr">
        <is>
          <t>Domain 4 - Monitoring</t>
        </is>
      </c>
      <c r="B13" s="20">
        <f>'[ISMS-IMP-A.8.12.4.xlsx]Summary_Dashboard'!$B$17</f>
        <v/>
      </c>
      <c r="C13" t="inlineStr">
        <is>
          <t>85%</t>
        </is>
      </c>
      <c r="D13">
        <f>IF(B13&gt;=85,"✅ Pass",IF(B13&gt;=70,"⚠️ Conditional","❌ Fail"))</f>
        <v/>
      </c>
    </row>
    <row r="14">
      <c r="A14" s="11" t="inlineStr">
        <is>
          <t>OVERALL DLP COMPLIANCE</t>
        </is>
      </c>
      <c r="B14" s="21">
        <f>(B10*0.25+B11*0.20+B12*0.30+B13*0.25)</f>
        <v/>
      </c>
      <c r="C14" s="4" t="inlineStr">
        <is>
          <t>&gt;85%</t>
        </is>
      </c>
      <c r="D14" s="11">
        <f>IF(B14&gt;=85,"✅ Pass",IF(B14&gt;=70,"⚠️ Conditional","❌ Fail"))</f>
        <v/>
      </c>
    </row>
    <row r="16">
      <c r="A16" s="3" t="inlineStr">
        <is>
          <t>KEY FINDINGS</t>
        </is>
      </c>
    </row>
    <row r="17">
      <c r="A17" s="4" t="inlineStr">
        <is>
          <t>Total Gaps Identified:</t>
        </is>
      </c>
      <c r="B17">
        <f>COUNTA(Consolidated_Gap_Analysis!B:B)-1</f>
        <v/>
      </c>
    </row>
    <row r="18">
      <c r="A18" s="4" t="inlineStr">
        <is>
          <t>Critical Gaps:</t>
        </is>
      </c>
      <c r="B18">
        <f>COUNTIF(Consolidated_Gap_Analysis!D:D,"Critical")</f>
        <v/>
      </c>
    </row>
    <row r="19">
      <c r="A19" s="4" t="inlineStr">
        <is>
          <t>High-Risk Issues:</t>
        </is>
      </c>
      <c r="B19">
        <f>COUNTIF(Risk_Register!H:H,"Critical")+COUNTIF(Risk_Register!H:H,"High")</f>
        <v/>
      </c>
    </row>
    <row r="20">
      <c r="A20" s="4" t="inlineStr">
        <is>
          <t>Remediation Progress %:</t>
        </is>
      </c>
      <c r="B20" s="20">
        <f>COUNTIF(Remediation_Roadmap!J:J,"Complete")/COUNTA(Remediation_Roadmap!J:J)*100</f>
        <v/>
      </c>
    </row>
    <row r="21">
      <c r="A21" s="4" t="inlineStr">
        <is>
          <t>Evidence Completeness %:</t>
        </is>
      </c>
      <c r="B21" s="20">
        <f>COUNTA(Evidence_Master_Index!B:B)/100*100</f>
        <v/>
      </c>
    </row>
  </sheetData>
  <mergeCells count="3">
    <mergeCell ref="A1:D1"/>
    <mergeCell ref="A8:D8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2026-01-31T02:16:26Z</dcterms:created>
  <dcterms:modified xmlns:dcterms="http://purl.org/dc/terms/" xmlns:xsi="http://www.w3.org/2001/XMLSchema-instance" xsi:type="dcterms:W3CDTF">2026-01-31T02:16:27Z</dcterms:modified>
</cp:coreProperties>
</file>