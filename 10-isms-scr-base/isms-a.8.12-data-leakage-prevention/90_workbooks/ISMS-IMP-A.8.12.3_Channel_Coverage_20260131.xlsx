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Channel_Overview" sheetId="2" state="visible" r:id="rId2"/>
    <sheet xmlns:r="http://schemas.openxmlformats.org/officeDocument/2006/relationships" name="Email_Channel" sheetId="3" state="visible" r:id="rId3"/>
    <sheet xmlns:r="http://schemas.openxmlformats.org/officeDocument/2006/relationships" name="Web_Cloud_Channel" sheetId="4" state="visible" r:id="rId4"/>
    <sheet xmlns:r="http://schemas.openxmlformats.org/officeDocument/2006/relationships" name="Endpoint_Channel" sheetId="5" state="visible" r:id="rId5"/>
    <sheet xmlns:r="http://schemas.openxmlformats.org/officeDocument/2006/relationships" name="Network_Channel" sheetId="6" state="visible" r:id="rId6"/>
    <sheet xmlns:r="http://schemas.openxmlformats.org/officeDocument/2006/relationships" name="Application_Channel" sheetId="7" state="visible" r:id="rId7"/>
    <sheet xmlns:r="http://schemas.openxmlformats.org/officeDocument/2006/relationships" name="Mobile_Channel" sheetId="8" state="visible" r:id="rId8"/>
    <sheet xmlns:r="http://schemas.openxmlformats.org/officeDocument/2006/relationships" name="Coverage_Metrics"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name val="Arial"/>
      <b val="1"/>
      <color rgb="00FFFFFF"/>
      <sz val="16"/>
    </font>
    <font>
      <name val="Arial"/>
      <b val="1"/>
      <color rgb="00FFFFFF"/>
      <sz val="12"/>
    </font>
    <font>
      <b val="1"/>
    </font>
    <font>
      <name val="Arial"/>
      <sz val="10"/>
    </font>
    <font>
      <b val="1"/>
      <sz val="12"/>
    </font>
    <font>
      <name val="Arial"/>
      <b val="1"/>
      <sz val="11"/>
    </font>
    <font>
      <b val="1"/>
      <sz val="11"/>
    </font>
    <font>
      <name val="Arial"/>
      <i val="1"/>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B4C7E7"/>
        <bgColor rgb="00B4C7E7"/>
      </patternFill>
    </fill>
    <fill>
      <patternFill patternType="solid">
        <fgColor rgb="00FFFFFF"/>
        <bgColor rgb="00FFFFFF"/>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left"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10" borderId="1" applyAlignment="1" pivotButton="0" quotePrefix="0" xfId="0">
      <alignment horizontal="center" vertical="center" wrapText="1"/>
    </xf>
    <xf numFmtId="0" fontId="4" fillId="0" borderId="1" applyAlignment="1" pivotButton="0" quotePrefix="0" xfId="0">
      <alignment horizontal="left" vertical="center"/>
    </xf>
    <xf numFmtId="0" fontId="7" fillId="0" borderId="0" pivotButton="0" quotePrefix="0" xfId="0"/>
    <xf numFmtId="0" fontId="8" fillId="11" borderId="1" applyAlignment="1" pivotButton="0" quotePrefix="0" xfId="0">
      <alignment horizontal="left" vertical="center"/>
    </xf>
    <xf numFmtId="164" fontId="0" fillId="0" borderId="0" pivotButton="0" quotePrefix="0" xfId="0"/>
    <xf numFmtId="164" fontId="4" fillId="0" borderId="1" applyAlignment="1" pivotButton="0" quotePrefix="0" xfId="0">
      <alignment horizontal="left" vertical="center"/>
    </xf>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pane ySplit="2" topLeftCell="A3" activePane="bottomLeft" state="frozen"/>
      <selection pane="bottomLeft" activeCell="A1" sqref="A1"/>
    </sheetView>
  </sheetViews>
  <sheetFormatPr baseColWidth="8" defaultRowHeight="15"/>
  <cols>
    <col width="25" customWidth="1" min="1" max="1"/>
    <col width="30" customWidth="1" min="2" max="2"/>
    <col width="20" customWidth="1" min="3" max="3"/>
    <col width="40" customWidth="1" min="4" max="4"/>
  </cols>
  <sheetData>
    <row r="1" ht="40" customHeight="1">
      <c r="A1" s="1" t="inlineStr">
        <is>
          <t>ISMS Control ISMS-IMP-A.8.12.3 - Channel Coverage Assessment</t>
        </is>
      </c>
    </row>
    <row r="2">
      <c r="A2" s="2" t="inlineStr">
        <is>
          <t>ISO/IEC 27001:2022 Control A.8.12 - Data Leakage Prevention</t>
        </is>
      </c>
    </row>
    <row r="4">
      <c r="A4" s="3" t="inlineStr">
        <is>
          <t>Document ID:</t>
        </is>
      </c>
      <c r="B4" t="inlineStr">
        <is>
          <t>ISMS-IMP-A.8.12.3</t>
        </is>
      </c>
    </row>
    <row r="5">
      <c r="A5" s="3" t="inlineStr">
        <is>
          <t>Assessment Area:</t>
        </is>
      </c>
      <c r="B5" t="inlineStr">
        <is>
          <t>Channel Coverage Assessment</t>
        </is>
      </c>
    </row>
    <row r="6">
      <c r="A6" s="3" t="inlineStr">
        <is>
          <t>Related Policy:</t>
        </is>
      </c>
      <c r="B6" t="inlineStr">
        <is>
          <t>ISMS-POL-A.8.12-S2.2</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t="inlineStr">
        <is>
          <t>1. Complete Channel_Overview first for high-level assessment of all 6 channels</t>
        </is>
      </c>
    </row>
    <row r="16">
      <c r="A16" t="inlineStr">
        <is>
          <t>2. Complete each channel-specific sheet (Email, Web, Endpoint, Network, Application, Mobile)</t>
        </is>
      </c>
    </row>
    <row r="17">
      <c r="A17" t="inlineStr">
        <is>
          <t>3. Fill ALL yellow-highlighted cells with your organization's information</t>
        </is>
      </c>
    </row>
    <row r="18">
      <c r="A18" t="inlineStr">
        <is>
          <t>4. Use dropdown menus where provided (do not type free-form text in dropdown cells)</t>
        </is>
      </c>
    </row>
    <row r="19">
      <c r="A19" t="inlineStr">
        <is>
          <t>5. Document DLP deployment status, coverage %, and policy actions per channel</t>
        </is>
      </c>
    </row>
    <row r="20">
      <c r="A20" t="inlineStr">
        <is>
          <t>6. Review Coverage_Metrics sheet for channel coverage calculations</t>
        </is>
      </c>
    </row>
    <row r="21">
      <c r="A21" t="inlineStr">
        <is>
          <t>7. Identify gaps in Gap_Analysis sheet and create remediation plans</t>
        </is>
      </c>
    </row>
    <row r="22">
      <c r="A22" t="inlineStr">
        <is>
          <t>8. Provide evidence IDs for all assessments (Evidence ID format: A812-3-[CHANNEL]-[###])</t>
        </is>
      </c>
    </row>
    <row r="23">
      <c r="A23" t="inlineStr">
        <is>
          <t>9. Review Summary Dashboard for overall compliance score</t>
        </is>
      </c>
    </row>
    <row r="24">
      <c r="A24" t="inlineStr">
        <is>
          <t>10. Obtain CISO/DPO approval before finalizing</t>
        </is>
      </c>
    </row>
    <row r="27">
      <c r="A27" s="5" t="inlineStr">
        <is>
          <t>LEGEND - RESPONSE VALUES</t>
        </is>
      </c>
    </row>
    <row r="28">
      <c r="A28" s="6" t="inlineStr">
        <is>
          <t>Yes</t>
        </is>
      </c>
      <c r="B28" t="inlineStr">
        <is>
          <t>Fully implemented and documented</t>
        </is>
      </c>
    </row>
    <row r="29">
      <c r="A29" s="7" t="inlineStr">
        <is>
          <t>No</t>
        </is>
      </c>
      <c r="B29" t="inlineStr">
        <is>
          <t>Not implemented</t>
        </is>
      </c>
    </row>
    <row r="30">
      <c r="A30" s="8" t="inlineStr">
        <is>
          <t>Partial</t>
        </is>
      </c>
      <c r="B30" t="inlineStr">
        <is>
          <t>Partially implemented (explain in notes)</t>
        </is>
      </c>
    </row>
    <row r="31">
      <c r="A31" s="9" t="inlineStr">
        <is>
          <t>Planned</t>
        </is>
      </c>
      <c r="B31" t="inlineStr">
        <is>
          <t>Scheduled for implementation (provide target date)</t>
        </is>
      </c>
    </row>
    <row r="32">
      <c r="A32" s="10" t="inlineStr">
        <is>
          <t>N/A</t>
        </is>
      </c>
      <c r="B32" t="inlineStr">
        <is>
          <t>Not applicable (provide justification)</t>
        </is>
      </c>
    </row>
    <row r="35">
      <c r="A35" s="5" t="inlineStr">
        <is>
          <t>CHANNEL PROTECTION TIERS (from ISMS-POL-A.8.12-S2.2)</t>
        </is>
      </c>
    </row>
    <row r="36">
      <c r="A36" s="3" t="inlineStr">
        <is>
          <t>Tier</t>
        </is>
      </c>
      <c r="B36" s="3" t="inlineStr">
        <is>
          <t>Channels</t>
        </is>
      </c>
      <c r="C36" s="3" t="inlineStr">
        <is>
          <t>Timeline</t>
        </is>
      </c>
      <c r="D36" s="3" t="inlineStr">
        <is>
          <t>Rationale</t>
        </is>
      </c>
    </row>
    <row r="37">
      <c r="A37" t="inlineStr">
        <is>
          <t>Tier 1 (Critical)</t>
        </is>
      </c>
      <c r="B37" t="inlineStr">
        <is>
          <t>Email, Web, USB</t>
        </is>
      </c>
      <c r="C37" t="inlineStr">
        <is>
          <t>Months 1-3</t>
        </is>
      </c>
      <c r="D37" t="inlineStr">
        <is>
          <t>Highest exfiltration risk</t>
        </is>
      </c>
    </row>
    <row r="38">
      <c r="A38" t="inlineStr">
        <is>
          <t>Tier 2 (High)</t>
        </is>
      </c>
      <c r="B38" t="inlineStr">
        <is>
          <t>Cloud, Mobile</t>
        </is>
      </c>
      <c r="C38" t="inlineStr">
        <is>
          <t>Months 4-6</t>
        </is>
      </c>
      <c r="D38" t="inlineStr">
        <is>
          <t>Growing attack surface</t>
        </is>
      </c>
    </row>
    <row r="39">
      <c r="A39" t="inlineStr">
        <is>
          <t>Tier 3 (Medium)</t>
        </is>
      </c>
      <c r="B39" t="inlineStr">
        <is>
          <t>Network shares, Print</t>
        </is>
      </c>
      <c r="C39" t="inlineStr">
        <is>
          <t>Months 7-9</t>
        </is>
      </c>
      <c r="D39" t="inlineStr">
        <is>
          <t>Lower volume</t>
        </is>
      </c>
    </row>
    <row r="40">
      <c r="A40" t="inlineStr">
        <is>
          <t>Tier 4 (Low)</t>
        </is>
      </c>
      <c r="B40" t="inlineStr">
        <is>
          <t>Bluetooth, Optical drives</t>
        </is>
      </c>
      <c r="C40" t="inlineStr">
        <is>
          <t>Months 10-12</t>
        </is>
      </c>
      <c r="D40" t="inlineStr">
        <is>
          <t>Niche vectors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15" customWidth="1" min="5" max="5"/>
    <col width="15" customWidth="1" min="6" max="6"/>
    <col width="18" customWidth="1" min="7" max="7"/>
    <col width="18" customWidth="1" min="8" max="8"/>
    <col width="18" customWidth="1" min="9" max="9"/>
  </cols>
  <sheetData>
    <row r="1" ht="30" customHeight="1">
      <c r="A1" s="1" t="inlineStr">
        <is>
          <t>CHANNEL COVERAGE OVERVIEW</t>
        </is>
      </c>
    </row>
    <row r="2">
      <c r="A2" s="2" t="inlineStr">
        <is>
          <t>Summary of DLP protection across all data egress channels</t>
        </is>
      </c>
    </row>
    <row r="3">
      <c r="A3" s="3" t="inlineStr">
        <is>
          <t>Assessment Date:</t>
        </is>
      </c>
      <c r="B3" s="4" t="n"/>
      <c r="D3" s="3" t="inlineStr">
        <is>
          <t>Completed By:</t>
        </is>
      </c>
      <c r="E3" s="4" t="n"/>
    </row>
    <row r="5">
      <c r="A5" s="11" t="inlineStr">
        <is>
          <t>Channel Name</t>
        </is>
      </c>
      <c r="B5" s="11" t="inlineStr">
        <is>
          <t>Priority Tier</t>
        </is>
      </c>
      <c r="C5" s="11" t="inlineStr">
        <is>
          <t>DLP Deployed?</t>
        </is>
      </c>
      <c r="D5" s="11" t="inlineStr">
        <is>
          <t>Coverage %</t>
        </is>
      </c>
      <c r="E5" s="11" t="inlineStr">
        <is>
          <t>Users Protected</t>
        </is>
      </c>
      <c r="F5" s="11" t="inlineStr">
        <is>
          <t>Total Users</t>
        </is>
      </c>
      <c r="G5" s="11" t="inlineStr">
        <is>
          <t>Policy Action</t>
        </is>
      </c>
      <c r="H5" s="11" t="inlineStr">
        <is>
          <t>Gap Status</t>
        </is>
      </c>
      <c r="I5" s="11" t="inlineStr">
        <is>
          <t>Evidence ID</t>
        </is>
      </c>
    </row>
    <row r="6">
      <c r="A6" s="12" t="inlineStr">
        <is>
          <t>Email</t>
        </is>
      </c>
      <c r="B6" s="12" t="inlineStr">
        <is>
          <t>Tier 1</t>
        </is>
      </c>
      <c r="C6" s="4" t="inlineStr">
        <is>
          <t>[Input]</t>
        </is>
      </c>
      <c r="D6" s="12">
        <f>Email_Channel!B25</f>
        <v/>
      </c>
      <c r="E6" s="4" t="inlineStr">
        <is>
          <t>[Input]</t>
        </is>
      </c>
      <c r="F6" s="4" t="inlineStr">
        <is>
          <t>[Input]</t>
        </is>
      </c>
      <c r="G6" s="4" t="inlineStr">
        <is>
          <t>[Input]</t>
        </is>
      </c>
      <c r="H6" s="12">
        <f>IF(D6&gt;=90,"✅ Compliant",IF(D6&gt;=70,"⚠️ Partial","❌ Gap"))</f>
        <v/>
      </c>
      <c r="I6" s="4" t="inlineStr">
        <is>
          <t>[Input]</t>
        </is>
      </c>
    </row>
    <row r="7">
      <c r="A7" s="12" t="inlineStr">
        <is>
          <t>Web/Cloud</t>
        </is>
      </c>
      <c r="B7" s="12" t="inlineStr">
        <is>
          <t>Tier 1</t>
        </is>
      </c>
      <c r="C7" s="4" t="inlineStr">
        <is>
          <t>[Input]</t>
        </is>
      </c>
      <c r="D7" s="12">
        <f>Web_Cloud_Channel!B25</f>
        <v/>
      </c>
      <c r="E7" s="4" t="inlineStr">
        <is>
          <t>[Input]</t>
        </is>
      </c>
      <c r="F7" s="4" t="inlineStr">
        <is>
          <t>[Input]</t>
        </is>
      </c>
      <c r="G7" s="4" t="inlineStr">
        <is>
          <t>[Input]</t>
        </is>
      </c>
      <c r="H7" s="12">
        <f>IF(D7&gt;=90,"✅ Compliant",IF(D7&gt;=70,"⚠️ Partial","❌ Gap"))</f>
        <v/>
      </c>
      <c r="I7" s="4" t="inlineStr">
        <is>
          <t>[Input]</t>
        </is>
      </c>
    </row>
    <row r="8">
      <c r="A8" s="12" t="inlineStr">
        <is>
          <t>Endpoint</t>
        </is>
      </c>
      <c r="B8" s="12" t="inlineStr">
        <is>
          <t>Tier 1</t>
        </is>
      </c>
      <c r="C8" s="4" t="inlineStr">
        <is>
          <t>[Input]</t>
        </is>
      </c>
      <c r="D8" s="12">
        <f>Endpoint_Channel!L30</f>
        <v/>
      </c>
      <c r="E8" s="4" t="inlineStr">
        <is>
          <t>[Input]</t>
        </is>
      </c>
      <c r="F8" s="4" t="inlineStr">
        <is>
          <t>[Input]</t>
        </is>
      </c>
      <c r="G8" s="4" t="inlineStr">
        <is>
          <t>[Input]</t>
        </is>
      </c>
      <c r="H8" s="12">
        <f>IF(D8&gt;=90,"✅ Compliant",IF(D8&gt;=70,"⚠️ Partial","❌ Gap"))</f>
        <v/>
      </c>
      <c r="I8" s="4" t="inlineStr">
        <is>
          <t>[Input]</t>
        </is>
      </c>
    </row>
    <row r="9">
      <c r="A9" s="12" t="inlineStr">
        <is>
          <t>Network</t>
        </is>
      </c>
      <c r="B9" s="12" t="inlineStr">
        <is>
          <t>Tier 3</t>
        </is>
      </c>
      <c r="C9" s="4" t="inlineStr">
        <is>
          <t>[Input]</t>
        </is>
      </c>
      <c r="D9" s="12">
        <f>Network_Channel!E20</f>
        <v/>
      </c>
      <c r="E9" s="4" t="inlineStr">
        <is>
          <t>[Input]</t>
        </is>
      </c>
      <c r="F9" s="4" t="inlineStr">
        <is>
          <t>[Input]</t>
        </is>
      </c>
      <c r="G9" s="4" t="inlineStr">
        <is>
          <t>[Input]</t>
        </is>
      </c>
      <c r="H9" s="12">
        <f>IF(D9&gt;=75,"✅ Compliant",IF(D9&gt;=60,"⚠️ Partial","❌ Gap"))</f>
        <v/>
      </c>
      <c r="I9" s="4" t="inlineStr">
        <is>
          <t>[Input]</t>
        </is>
      </c>
    </row>
    <row r="10">
      <c r="A10" s="12" t="inlineStr">
        <is>
          <t>Application</t>
        </is>
      </c>
      <c r="B10" s="12" t="inlineStr">
        <is>
          <t>Tier 2</t>
        </is>
      </c>
      <c r="C10" s="4" t="inlineStr">
        <is>
          <t>[Input]</t>
        </is>
      </c>
      <c r="D10" s="12">
        <f>Application_Channel!E20</f>
        <v/>
      </c>
      <c r="E10" s="4" t="inlineStr">
        <is>
          <t>[Input]</t>
        </is>
      </c>
      <c r="F10" s="4" t="inlineStr">
        <is>
          <t>[Input]</t>
        </is>
      </c>
      <c r="G10" s="4" t="inlineStr">
        <is>
          <t>[Input]</t>
        </is>
      </c>
      <c r="H10" s="12">
        <f>IF(D10&gt;=80,"✅ Compliant",IF(D10&gt;=65,"⚠️ Partial","❌ Gap"))</f>
        <v/>
      </c>
      <c r="I10" s="4" t="inlineStr">
        <is>
          <t>[Input]</t>
        </is>
      </c>
    </row>
    <row r="11">
      <c r="A11" s="12" t="inlineStr">
        <is>
          <t>Mobile</t>
        </is>
      </c>
      <c r="B11" s="12" t="inlineStr">
        <is>
          <t>Tier 2</t>
        </is>
      </c>
      <c r="C11" s="4" t="inlineStr">
        <is>
          <t>[Input]</t>
        </is>
      </c>
      <c r="D11" s="12">
        <f>Mobile_Channel!L20</f>
        <v/>
      </c>
      <c r="E11" s="4" t="inlineStr">
        <is>
          <t>[Input]</t>
        </is>
      </c>
      <c r="F11" s="4" t="inlineStr">
        <is>
          <t>[Input]</t>
        </is>
      </c>
      <c r="G11" s="4" t="inlineStr">
        <is>
          <t>[Input]</t>
        </is>
      </c>
      <c r="H11" s="12">
        <f>IF(D11&gt;=90,"✅ Compliant",IF(D11&gt;=70,"⚠️ Partial","❌ Gap"))</f>
        <v/>
      </c>
      <c r="I11" s="4" t="inlineStr">
        <is>
          <t>[Input]</t>
        </is>
      </c>
    </row>
  </sheetData>
  <mergeCells count="2">
    <mergeCell ref="A1:I1"/>
    <mergeCell ref="A2:I2"/>
  </mergeCells>
  <dataValidations count="2">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8" customWidth="1" min="5" max="5"/>
    <col width="18" customWidth="1" min="6" max="6"/>
    <col width="18" customWidth="1" min="7" max="7"/>
    <col width="18" customWidth="1" min="8" max="8"/>
    <col width="18" customWidth="1" min="9" max="9"/>
    <col width="15" customWidth="1" min="10" max="10"/>
    <col width="18" customWidth="1" min="11" max="11"/>
    <col width="18" customWidth="1" min="12" max="12"/>
  </cols>
  <sheetData>
    <row r="1" ht="30" customHeight="1">
      <c r="A1" s="1" t="inlineStr">
        <is>
          <t>EMAIL CHANNEL PROTECTION ASSESSMENT</t>
        </is>
      </c>
    </row>
    <row r="2">
      <c r="A2" s="2" t="inlineStr">
        <is>
          <t>Evaluate DLP coverage for SMTP, M365, Gmail, Webmail</t>
        </is>
      </c>
    </row>
    <row r="3">
      <c r="A3" s="13" t="inlineStr">
        <is>
          <t>Does your organization have DLP protection for all email systems?</t>
        </is>
      </c>
    </row>
    <row r="5">
      <c r="A5" s="11" t="inlineStr">
        <is>
          <t>Email System</t>
        </is>
      </c>
      <c r="B5" s="11" t="inlineStr">
        <is>
          <t>System Type</t>
        </is>
      </c>
      <c r="C5" s="11" t="inlineStr">
        <is>
          <t>DLP Solution</t>
        </is>
      </c>
      <c r="D5" s="11" t="inlineStr">
        <is>
          <t>Deployment Mode</t>
        </is>
      </c>
      <c r="E5" s="11" t="inlineStr">
        <is>
          <t>Content Inspection</t>
        </is>
      </c>
      <c r="F5" s="11" t="inlineStr">
        <is>
          <t>Attachment Scanning</t>
        </is>
      </c>
      <c r="G5" s="11" t="inlineStr">
        <is>
          <t>Encrypted Email Handling</t>
        </is>
      </c>
      <c r="H5" s="11" t="inlineStr">
        <is>
          <t>Policy Action</t>
        </is>
      </c>
      <c r="I5" s="11" t="inlineStr">
        <is>
          <t>External Email Protected</t>
        </is>
      </c>
      <c r="J5" s="11" t="inlineStr">
        <is>
          <t>Users Covered</t>
        </is>
      </c>
      <c r="K5" s="11" t="inlineStr">
        <is>
          <t>SIEM Integration</t>
        </is>
      </c>
      <c r="L5" s="11" t="inlineStr">
        <is>
          <t>Evidence ID</t>
        </is>
      </c>
    </row>
    <row r="6">
      <c r="A6" s="14" t="inlineStr">
        <is>
          <t>Exchange Online</t>
        </is>
      </c>
      <c r="B6" s="14" t="inlineStr">
        <is>
          <t>M365</t>
        </is>
      </c>
      <c r="C6" s="14" t="inlineStr">
        <is>
          <t>Microsoft Purview</t>
        </is>
      </c>
      <c r="D6" s="14" t="inlineStr">
        <is>
          <t>Cloud-Native</t>
        </is>
      </c>
      <c r="E6" s="14" t="inlineStr">
        <is>
          <t>Yes</t>
        </is>
      </c>
      <c r="F6" s="14" t="inlineStr">
        <is>
          <t>Yes</t>
        </is>
      </c>
      <c r="G6" s="14" t="inlineStr">
        <is>
          <t>Decrypt</t>
        </is>
      </c>
      <c r="H6" s="14" t="inlineStr">
        <is>
          <t>Block</t>
        </is>
      </c>
      <c r="I6" s="14" t="inlineStr">
        <is>
          <t>Yes</t>
        </is>
      </c>
      <c r="J6" s="14" t="inlineStr">
        <is>
          <t>850</t>
        </is>
      </c>
      <c r="K6" s="14" t="inlineStr">
        <is>
          <t>Yes</t>
        </is>
      </c>
      <c r="L6" s="14" t="inlineStr">
        <is>
          <t>A812-3-EMAIL-001</t>
        </is>
      </c>
    </row>
    <row r="7">
      <c r="A7" s="14" t="inlineStr">
        <is>
          <t>Gmail</t>
        </is>
      </c>
      <c r="B7" s="14" t="inlineStr">
        <is>
          <t>Gmail</t>
        </is>
      </c>
      <c r="C7" s="14" t="inlineStr">
        <is>
          <t>Google Workspace DLP</t>
        </is>
      </c>
      <c r="D7" s="14" t="inlineStr">
        <is>
          <t>Cloud-Native</t>
        </is>
      </c>
      <c r="E7" s="14" t="inlineStr">
        <is>
          <t>Yes</t>
        </is>
      </c>
      <c r="F7" s="14" t="inlineStr">
        <is>
          <t>Yes</t>
        </is>
      </c>
      <c r="G7" s="14" t="inlineStr">
        <is>
          <t>Quarantine</t>
        </is>
      </c>
      <c r="H7" s="14" t="inlineStr">
        <is>
          <t>Alert</t>
        </is>
      </c>
      <c r="I7" s="14" t="inlineStr">
        <is>
          <t>Yes</t>
        </is>
      </c>
      <c r="J7" s="14" t="inlineStr">
        <is>
          <t>120</t>
        </is>
      </c>
      <c r="K7" s="14" t="inlineStr">
        <is>
          <t>Yes</t>
        </is>
      </c>
      <c r="L7" s="14" t="inlineStr">
        <is>
          <t>A812-3-EMAIL-002</t>
        </is>
      </c>
    </row>
    <row r="8">
      <c r="A8" s="14" t="inlineStr">
        <is>
          <t>SMTP Gateway</t>
        </is>
      </c>
      <c r="B8" s="14" t="inlineStr">
        <is>
          <t>SMTP</t>
        </is>
      </c>
      <c r="C8" s="14" t="inlineStr">
        <is>
          <t>Forcepoint DLP</t>
        </is>
      </c>
      <c r="D8" s="14" t="inlineStr">
        <is>
          <t>Inline</t>
        </is>
      </c>
      <c r="E8" s="14" t="inlineStr">
        <is>
          <t>Yes</t>
        </is>
      </c>
      <c r="F8" s="14" t="inlineStr">
        <is>
          <t>Yes</t>
        </is>
      </c>
      <c r="G8" s="14" t="inlineStr">
        <is>
          <t>Decrypt</t>
        </is>
      </c>
      <c r="H8" s="14" t="inlineStr">
        <is>
          <t>Block</t>
        </is>
      </c>
      <c r="I8" s="14" t="inlineStr">
        <is>
          <t>Yes</t>
        </is>
      </c>
      <c r="J8" s="14" t="inlineStr">
        <is>
          <t>900</t>
        </is>
      </c>
      <c r="K8" s="14" t="inlineStr">
        <is>
          <t>Yes</t>
        </is>
      </c>
      <c r="L8" s="14" t="inlineStr">
        <is>
          <t>A812-3-EMAIL-003</t>
        </is>
      </c>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3" t="inlineStr">
        <is>
          <t>Email Channel Coverage %</t>
        </is>
      </c>
      <c r="B25" s="15">
        <f>(COUNTIF(E6:E24,"Yes")/COUNTA(A6:A24))*100</f>
        <v/>
      </c>
    </row>
  </sheetData>
  <mergeCells count="3">
    <mergeCell ref="A3:L3"/>
    <mergeCell ref="A2:L2"/>
    <mergeCell ref="A1:L1"/>
  </mergeCells>
  <dataValidations count="5">
    <dataValidation sqref="B6 B7 B8 B9 B10 B11 B12 B13 B14 B15 B16 B17 B18 B19 B20 B21 B22 B23 B24" showDropDown="1" showInputMessage="0" showErrorMessage="0" allowBlank="0" type="list">
      <formula1>"SMTP,M365,Gmail,Webmail,Other"</formula1>
    </dataValidation>
    <dataValidation sqref="D6 D7 D8 D9 D10 D11 D12 D13 D14 D15 D16 D17 D18 D19 D20 D21 D22 D23 D24" showDropDown="1" showInputMessage="0" showErrorMessage="0" allowBlank="0" type="list">
      <formula1>"Inline,Monitor,Cloud-Native,CASB"</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G12 G13 G14 G15 G16 G17 G18 G19 G20 G21 G22 G23 G24" showDropDown="1" showInputMessage="0" showErrorMessage="0" allowBlank="0" type="list">
      <formula1>"Decrypt,Quarantine,Allow,Block"</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5" topLeftCell="A6" activePane="bottomLeft" state="frozen"/>
      <selection pane="bottomLeft" activeCell="A1" sqref="A1"/>
    </sheetView>
  </sheetViews>
  <sheetFormatPr baseColWidth="8" defaultRowHeight="15"/>
  <cols>
    <col width="30" customWidth="1" min="1" max="1"/>
    <col width="25" customWidth="1" min="2" max="2"/>
    <col width="25" customWidth="1" min="3" max="3"/>
    <col width="20" customWidth="1" min="4" max="4"/>
    <col width="18" customWidth="1" min="5" max="5"/>
    <col width="18" customWidth="1" min="6" max="6"/>
    <col width="18" customWidth="1" min="7" max="7"/>
    <col width="18" customWidth="1" min="8" max="8"/>
    <col width="15" customWidth="1" min="9" max="9"/>
    <col width="18" customWidth="1" min="10" max="10"/>
    <col width="18" customWidth="1" min="11" max="11"/>
  </cols>
  <sheetData>
    <row r="1" ht="30" customHeight="1">
      <c r="A1" s="1" t="inlineStr">
        <is>
          <t>WEB/CLOUD CHANNEL PROTECTION ASSESSMENT</t>
        </is>
      </c>
    </row>
    <row r="2">
      <c r="A2" s="2" t="inlineStr">
        <is>
          <t>Evaluate DLP coverage for web uploads, cloud storage, SaaS applications</t>
        </is>
      </c>
    </row>
    <row r="3">
      <c r="A3" s="13" t="inlineStr">
        <is>
          <t>Does your organization protect against data exfiltration via web and cloud services?</t>
        </is>
      </c>
    </row>
    <row r="5">
      <c r="A5" s="11" t="inlineStr">
        <is>
          <t>Service/Application</t>
        </is>
      </c>
      <c r="B5" s="11" t="inlineStr">
        <is>
          <t>Service Type</t>
        </is>
      </c>
      <c r="C5" s="11" t="inlineStr">
        <is>
          <t>DLP Solution</t>
        </is>
      </c>
      <c r="D5" s="11" t="inlineStr">
        <is>
          <t>Protection Method</t>
        </is>
      </c>
      <c r="E5" s="11" t="inlineStr">
        <is>
          <t>SSL/TLS Inspection</t>
        </is>
      </c>
      <c r="F5" s="11" t="inlineStr">
        <is>
          <t>Upload Blocking</t>
        </is>
      </c>
      <c r="G5" s="11" t="inlineStr">
        <is>
          <t>Download Monitoring</t>
        </is>
      </c>
      <c r="H5" s="11" t="inlineStr">
        <is>
          <t>Policy Action</t>
        </is>
      </c>
      <c r="I5" s="11" t="inlineStr">
        <is>
          <t>Users Covered</t>
        </is>
      </c>
      <c r="J5" s="11" t="inlineStr">
        <is>
          <t>SIEM Integration</t>
        </is>
      </c>
      <c r="K5" s="11" t="inlineStr">
        <is>
          <t>Evidence ID</t>
        </is>
      </c>
    </row>
    <row r="6">
      <c r="A6" s="14" t="inlineStr">
        <is>
          <t>OneDrive</t>
        </is>
      </c>
      <c r="B6" s="14" t="inlineStr">
        <is>
          <t>Cloud Storage</t>
        </is>
      </c>
      <c r="C6" s="14" t="inlineStr">
        <is>
          <t>Microsoft Purview</t>
        </is>
      </c>
      <c r="D6" s="14" t="inlineStr">
        <is>
          <t>Cloud-Native</t>
        </is>
      </c>
      <c r="E6" s="14" t="inlineStr">
        <is>
          <t>Yes</t>
        </is>
      </c>
      <c r="F6" s="14" t="inlineStr">
        <is>
          <t>Yes</t>
        </is>
      </c>
      <c r="G6" s="14" t="inlineStr">
        <is>
          <t>Yes</t>
        </is>
      </c>
      <c r="H6" s="14" t="inlineStr">
        <is>
          <t>Block</t>
        </is>
      </c>
      <c r="I6" s="14" t="inlineStr">
        <is>
          <t>850</t>
        </is>
      </c>
      <c r="J6" s="14" t="inlineStr">
        <is>
          <t>Yes</t>
        </is>
      </c>
      <c r="K6" s="14" t="inlineStr">
        <is>
          <t>A812-3-WEB-001</t>
        </is>
      </c>
    </row>
    <row r="7">
      <c r="A7" s="14" t="inlineStr">
        <is>
          <t>Dropbox</t>
        </is>
      </c>
      <c r="B7" s="14" t="inlineStr">
        <is>
          <t>Cloud Storage</t>
        </is>
      </c>
      <c r="C7" s="14" t="inlineStr">
        <is>
          <t>Netskope CASB</t>
        </is>
      </c>
      <c r="D7" s="14" t="inlineStr">
        <is>
          <t>CASB</t>
        </is>
      </c>
      <c r="E7" s="14" t="inlineStr">
        <is>
          <t>Yes</t>
        </is>
      </c>
      <c r="F7" s="14" t="inlineStr">
        <is>
          <t>Yes</t>
        </is>
      </c>
      <c r="G7" s="14" t="inlineStr">
        <is>
          <t>Yes</t>
        </is>
      </c>
      <c r="H7" s="14" t="inlineStr">
        <is>
          <t>Alert</t>
        </is>
      </c>
      <c r="I7" s="14" t="inlineStr">
        <is>
          <t>900</t>
        </is>
      </c>
      <c r="J7" s="14" t="inlineStr">
        <is>
          <t>Yes</t>
        </is>
      </c>
      <c r="K7" s="14" t="inlineStr">
        <is>
          <t>A812-3-WEB-002</t>
        </is>
      </c>
    </row>
    <row r="8">
      <c r="A8" s="14" t="inlineStr">
        <is>
          <t>GitHub</t>
        </is>
      </c>
      <c r="B8" s="14" t="inlineStr">
        <is>
          <t>Code Repo</t>
        </is>
      </c>
      <c r="C8" s="14" t="inlineStr">
        <is>
          <t>Forcepoint Web DLP</t>
        </is>
      </c>
      <c r="D8" s="14" t="inlineStr">
        <is>
          <t>Proxy</t>
        </is>
      </c>
      <c r="E8" s="14" t="inlineStr">
        <is>
          <t>Yes</t>
        </is>
      </c>
      <c r="F8" s="14" t="inlineStr">
        <is>
          <t>Yes</t>
        </is>
      </c>
      <c r="G8" s="14" t="inlineStr">
        <is>
          <t>Partial</t>
        </is>
      </c>
      <c r="H8" s="14" t="inlineStr">
        <is>
          <t>Block</t>
        </is>
      </c>
      <c r="I8" s="14" t="inlineStr">
        <is>
          <t>200</t>
        </is>
      </c>
      <c r="J8" s="14" t="inlineStr">
        <is>
          <t>Yes</t>
        </is>
      </c>
      <c r="K8" s="14" t="inlineStr">
        <is>
          <t>A812-3-WEB-003</t>
        </is>
      </c>
    </row>
    <row r="9">
      <c r="A9" s="14" t="inlineStr">
        <is>
          <t>Personal Webmail</t>
        </is>
      </c>
      <c r="B9" s="14" t="inlineStr">
        <is>
          <t>Web Upload</t>
        </is>
      </c>
      <c r="C9" s="14" t="inlineStr">
        <is>
          <t>Zscaler DLP</t>
        </is>
      </c>
      <c r="D9" s="14" t="inlineStr">
        <is>
          <t>Proxy</t>
        </is>
      </c>
      <c r="E9" s="14" t="inlineStr">
        <is>
          <t>Yes</t>
        </is>
      </c>
      <c r="F9" s="14" t="inlineStr">
        <is>
          <t>Yes</t>
        </is>
      </c>
      <c r="G9" s="14" t="inlineStr">
        <is>
          <t>No</t>
        </is>
      </c>
      <c r="H9" s="14" t="inlineStr">
        <is>
          <t>Block</t>
        </is>
      </c>
      <c r="I9" s="14" t="inlineStr">
        <is>
          <t>900</t>
        </is>
      </c>
      <c r="J9" s="14" t="inlineStr">
        <is>
          <t>Yes</t>
        </is>
      </c>
      <c r="K9" s="14" t="inlineStr">
        <is>
          <t>A812-3-WEB-004</t>
        </is>
      </c>
    </row>
    <row r="10">
      <c r="A10" s="12" t="n"/>
      <c r="B10" s="12" t="n"/>
      <c r="C10" s="12" t="n"/>
      <c r="D10" s="12" t="n"/>
      <c r="E10" s="12" t="n"/>
      <c r="F10" s="12" t="n"/>
      <c r="G10" s="12" t="n"/>
      <c r="H10" s="12" t="n"/>
      <c r="I10" s="12" t="n"/>
      <c r="J10" s="12" t="n"/>
      <c r="K10" s="12" t="n"/>
    </row>
    <row r="11">
      <c r="A11" s="12" t="n"/>
      <c r="B11" s="12" t="n"/>
      <c r="C11" s="12" t="n"/>
      <c r="D11" s="12" t="n"/>
      <c r="E11" s="12" t="n"/>
      <c r="F11" s="12" t="n"/>
      <c r="G11" s="12" t="n"/>
      <c r="H11" s="12" t="n"/>
      <c r="I11" s="12" t="n"/>
      <c r="J11" s="12" t="n"/>
      <c r="K11" s="12" t="n"/>
    </row>
    <row r="12">
      <c r="A12" s="12" t="n"/>
      <c r="B12" s="12" t="n"/>
      <c r="C12" s="12" t="n"/>
      <c r="D12" s="12" t="n"/>
      <c r="E12" s="12" t="n"/>
      <c r="F12" s="12" t="n"/>
      <c r="G12" s="12" t="n"/>
      <c r="H12" s="12" t="n"/>
      <c r="I12" s="12" t="n"/>
      <c r="J12" s="12" t="n"/>
      <c r="K12" s="12" t="n"/>
    </row>
    <row r="13">
      <c r="A13" s="12" t="n"/>
      <c r="B13" s="12" t="n"/>
      <c r="C13" s="12" t="n"/>
      <c r="D13" s="12" t="n"/>
      <c r="E13" s="12" t="n"/>
      <c r="F13" s="12" t="n"/>
      <c r="G13" s="12" t="n"/>
      <c r="H13" s="12" t="n"/>
      <c r="I13" s="12" t="n"/>
      <c r="J13" s="12" t="n"/>
      <c r="K13" s="12" t="n"/>
    </row>
    <row r="14">
      <c r="A14" s="12" t="n"/>
      <c r="B14" s="12" t="n"/>
      <c r="C14" s="12" t="n"/>
      <c r="D14" s="12" t="n"/>
      <c r="E14" s="12" t="n"/>
      <c r="F14" s="12" t="n"/>
      <c r="G14" s="12" t="n"/>
      <c r="H14" s="12" t="n"/>
      <c r="I14" s="12" t="n"/>
      <c r="J14" s="12" t="n"/>
      <c r="K14" s="12" t="n"/>
    </row>
    <row r="15">
      <c r="A15" s="12" t="n"/>
      <c r="B15" s="12" t="n"/>
      <c r="C15" s="12" t="n"/>
      <c r="D15" s="12" t="n"/>
      <c r="E15" s="12" t="n"/>
      <c r="F15" s="12" t="n"/>
      <c r="G15" s="12" t="n"/>
      <c r="H15" s="12" t="n"/>
      <c r="I15" s="12" t="n"/>
      <c r="J15" s="12" t="n"/>
      <c r="K15" s="12" t="n"/>
    </row>
    <row r="16">
      <c r="A16" s="12" t="n"/>
      <c r="B16" s="12" t="n"/>
      <c r="C16" s="12" t="n"/>
      <c r="D16" s="12" t="n"/>
      <c r="E16" s="12" t="n"/>
      <c r="F16" s="12" t="n"/>
      <c r="G16" s="12" t="n"/>
      <c r="H16" s="12" t="n"/>
      <c r="I16" s="12" t="n"/>
      <c r="J16" s="12" t="n"/>
      <c r="K16" s="12" t="n"/>
    </row>
    <row r="17">
      <c r="A17" s="12" t="n"/>
      <c r="B17" s="12" t="n"/>
      <c r="C17" s="12" t="n"/>
      <c r="D17" s="12" t="n"/>
      <c r="E17" s="12" t="n"/>
      <c r="F17" s="12" t="n"/>
      <c r="G17" s="12" t="n"/>
      <c r="H17" s="12" t="n"/>
      <c r="I17" s="12" t="n"/>
      <c r="J17" s="12" t="n"/>
      <c r="K17" s="12" t="n"/>
    </row>
    <row r="18">
      <c r="A18" s="12" t="n"/>
      <c r="B18" s="12" t="n"/>
      <c r="C18" s="12" t="n"/>
      <c r="D18" s="12" t="n"/>
      <c r="E18" s="12" t="n"/>
      <c r="F18" s="12" t="n"/>
      <c r="G18" s="12" t="n"/>
      <c r="H18" s="12" t="n"/>
      <c r="I18" s="12" t="n"/>
      <c r="J18" s="12" t="n"/>
      <c r="K18" s="12" t="n"/>
    </row>
    <row r="19">
      <c r="A19" s="12" t="n"/>
      <c r="B19" s="12" t="n"/>
      <c r="C19" s="12" t="n"/>
      <c r="D19" s="12" t="n"/>
      <c r="E19" s="12" t="n"/>
      <c r="F19" s="12" t="n"/>
      <c r="G19" s="12" t="n"/>
      <c r="H19" s="12" t="n"/>
      <c r="I19" s="12" t="n"/>
      <c r="J19" s="12" t="n"/>
      <c r="K19" s="12" t="n"/>
    </row>
    <row r="20">
      <c r="A20" s="12" t="n"/>
      <c r="B20" s="12" t="n"/>
      <c r="C20" s="12" t="n"/>
      <c r="D20" s="12" t="n"/>
      <c r="E20" s="12" t="n"/>
      <c r="F20" s="12" t="n"/>
      <c r="G20" s="12" t="n"/>
      <c r="H20" s="12" t="n"/>
      <c r="I20" s="12" t="n"/>
      <c r="J20" s="12" t="n"/>
      <c r="K20" s="12" t="n"/>
    </row>
    <row r="21">
      <c r="A21" s="12" t="n"/>
      <c r="B21" s="12" t="n"/>
      <c r="C21" s="12" t="n"/>
      <c r="D21" s="12" t="n"/>
      <c r="E21" s="12" t="n"/>
      <c r="F21" s="12" t="n"/>
      <c r="G21" s="12" t="n"/>
      <c r="H21" s="12" t="n"/>
      <c r="I21" s="12" t="n"/>
      <c r="J21" s="12" t="n"/>
      <c r="K21" s="12" t="n"/>
    </row>
    <row r="22">
      <c r="A22" s="12" t="n"/>
      <c r="B22" s="12" t="n"/>
      <c r="C22" s="12" t="n"/>
      <c r="D22" s="12" t="n"/>
      <c r="E22" s="12" t="n"/>
      <c r="F22" s="12" t="n"/>
      <c r="G22" s="12" t="n"/>
      <c r="H22" s="12" t="n"/>
      <c r="I22" s="12" t="n"/>
      <c r="J22" s="12" t="n"/>
      <c r="K22" s="12" t="n"/>
    </row>
    <row r="23">
      <c r="A23" s="12" t="n"/>
      <c r="B23" s="12" t="n"/>
      <c r="C23" s="12" t="n"/>
      <c r="D23" s="12" t="n"/>
      <c r="E23" s="12" t="n"/>
      <c r="F23" s="12" t="n"/>
      <c r="G23" s="12" t="n"/>
      <c r="H23" s="12" t="n"/>
      <c r="I23" s="12" t="n"/>
      <c r="J23" s="12" t="n"/>
      <c r="K23" s="12" t="n"/>
    </row>
    <row r="24">
      <c r="A24" s="12" t="n"/>
      <c r="B24" s="12" t="n"/>
      <c r="C24" s="12" t="n"/>
      <c r="D24" s="12" t="n"/>
      <c r="E24" s="12" t="n"/>
      <c r="F24" s="12" t="n"/>
      <c r="G24" s="12" t="n"/>
      <c r="H24" s="12" t="n"/>
      <c r="I24" s="12" t="n"/>
      <c r="J24" s="12" t="n"/>
      <c r="K24" s="12" t="n"/>
    </row>
    <row r="25">
      <c r="A25" s="3" t="inlineStr">
        <is>
          <t>Web/Cloud Channel Coverage %</t>
        </is>
      </c>
      <c r="B25" s="15">
        <f>(COUNTIF(E6:E24,"Yes")/COUNTA(A6:A24))*100</f>
        <v/>
      </c>
    </row>
  </sheetData>
  <mergeCells count="3">
    <mergeCell ref="A2:K2"/>
    <mergeCell ref="A1:K1"/>
    <mergeCell ref="A3:K3"/>
  </mergeCells>
  <dataValidations count="4">
    <dataValidation sqref="B6 B7 B8 B9 B10 B11 B12 B13 B14 B15 B16 B17 B18 B19 B20 B21 B22 B23 B24" showDropDown="1" showInputMessage="0" showErrorMessage="0" allowBlank="0" type="list">
      <formula1>"Cloud Storage,SaaS,Web Upload,Code Repo,Social Media"</formula1>
    </dataValidation>
    <dataValidation sqref="D6 D7 D8 D9 D10 D11 D12 D13 D14 D15 D16 D17 D18 D19 D20 D21 D22 D23 D24" showDropDown="1" showInputMessage="0" showErrorMessage="0" allowBlank="0" type="list">
      <formula1>"Proxy,CASB,Cloud-Native,Endpoint"</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G6 G7 G8 G9 G10 G11 H6 H7 H8 H9 H10 H11 H12 H13 H14 H15 H16 H17 H18 H19 H20 H21 H22 H23 H24" showDropDown="1" showInputMessage="0" showErrorMessage="0" allowBlank="0" type="list">
      <formula1>"Allow,Alert,Block,Quarantine,Encrypt"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0" customHeight="1">
      <c r="A1" s="1" t="inlineStr">
        <is>
          <t>ENDPOINT CHANNEL PROTECTION ASSESSMENT</t>
        </is>
      </c>
    </row>
    <row r="2">
      <c r="A2" s="2" t="inlineStr">
        <is>
          <t>Evaluate endpoint DLP agent coverage and controls</t>
        </is>
      </c>
    </row>
    <row r="3">
      <c r="A3" s="13" t="inlineStr">
        <is>
          <t>Does your organization have endpoint DLP agents protecting USB, print, and other local channels?</t>
        </is>
      </c>
    </row>
    <row r="5">
      <c r="A5" s="11" t="inlineStr">
        <is>
          <t>Endpoint Type</t>
        </is>
      </c>
      <c r="B5" s="11" t="inlineStr">
        <is>
          <t>OS Version</t>
        </is>
      </c>
      <c r="C5" s="11" t="inlineStr">
        <is>
          <t>DLP Agent Installed</t>
        </is>
      </c>
      <c r="D5" s="11" t="inlineStr">
        <is>
          <t>USB Control</t>
        </is>
      </c>
      <c r="E5" s="11" t="inlineStr">
        <is>
          <t>Print Control</t>
        </is>
      </c>
      <c r="F5" s="11" t="inlineStr">
        <is>
          <t>Clipboard Control</t>
        </is>
      </c>
      <c r="G5" s="11" t="inlineStr">
        <is>
          <t>Screen Capture Control</t>
        </is>
      </c>
      <c r="H5" s="11" t="inlineStr">
        <is>
          <t>Bluetooth Control</t>
        </is>
      </c>
      <c r="I5" s="11" t="inlineStr">
        <is>
          <t>Application Control</t>
        </is>
      </c>
      <c r="J5" s="11" t="inlineStr">
        <is>
          <t>Devices Covered</t>
        </is>
      </c>
      <c r="K5" s="11" t="inlineStr">
        <is>
          <t>Total Devices</t>
        </is>
      </c>
      <c r="L5" s="11" t="inlineStr">
        <is>
          <t>Coverage %</t>
        </is>
      </c>
      <c r="M5" s="11" t="inlineStr">
        <is>
          <t>Evidence ID</t>
        </is>
      </c>
    </row>
    <row r="6">
      <c r="A6" s="14" t="inlineStr">
        <is>
          <t>Windows Desktop</t>
        </is>
      </c>
      <c r="B6" s="14" t="inlineStr">
        <is>
          <t>Win 11</t>
        </is>
      </c>
      <c r="C6" s="14" t="inlineStr">
        <is>
          <t>Yes</t>
        </is>
      </c>
      <c r="D6" s="14" t="inlineStr">
        <is>
          <t>Allow Approved</t>
        </is>
      </c>
      <c r="E6" s="14" t="inlineStr">
        <is>
          <t>Watermark</t>
        </is>
      </c>
      <c r="F6" s="14" t="inlineStr">
        <is>
          <t>Block</t>
        </is>
      </c>
      <c r="G6" s="14" t="inlineStr">
        <is>
          <t>Block</t>
        </is>
      </c>
      <c r="H6" s="14" t="inlineStr">
        <is>
          <t>Monitor</t>
        </is>
      </c>
      <c r="I6" s="14" t="inlineStr">
        <is>
          <t>Whitelist</t>
        </is>
      </c>
      <c r="J6" s="14" t="inlineStr">
        <is>
          <t>850</t>
        </is>
      </c>
      <c r="K6" s="14" t="inlineStr">
        <is>
          <t>900</t>
        </is>
      </c>
      <c r="L6" s="14">
        <f>J6/K6*100</f>
        <v/>
      </c>
      <c r="M6" s="14" t="inlineStr">
        <is>
          <t>A812-3-EPT-001</t>
        </is>
      </c>
    </row>
    <row r="7">
      <c r="A7" s="14" t="inlineStr">
        <is>
          <t>macOS</t>
        </is>
      </c>
      <c r="B7" s="14" t="inlineStr">
        <is>
          <t>Sonoma 14</t>
        </is>
      </c>
      <c r="C7" s="14" t="inlineStr">
        <is>
          <t>Yes</t>
        </is>
      </c>
      <c r="D7" s="14" t="inlineStr">
        <is>
          <t>Block All</t>
        </is>
      </c>
      <c r="E7" s="14" t="inlineStr">
        <is>
          <t>Watermark</t>
        </is>
      </c>
      <c r="F7" s="14" t="inlineStr">
        <is>
          <t>Monitor</t>
        </is>
      </c>
      <c r="G7" s="14" t="inlineStr">
        <is>
          <t>Monitor</t>
        </is>
      </c>
      <c r="H7" s="14" t="inlineStr">
        <is>
          <t>Monitor</t>
        </is>
      </c>
      <c r="I7" s="14" t="inlineStr">
        <is>
          <t>Whitelist</t>
        </is>
      </c>
      <c r="J7" s="14" t="inlineStr">
        <is>
          <t>120</t>
        </is>
      </c>
      <c r="K7" s="14" t="inlineStr">
        <is>
          <t>150</t>
        </is>
      </c>
      <c r="L7" s="14">
        <f>J7/K7*100</f>
        <v/>
      </c>
      <c r="M7" s="14" t="inlineStr">
        <is>
          <t>A812-3-EPT-002</t>
        </is>
      </c>
    </row>
    <row r="8">
      <c r="A8" s="14" t="inlineStr">
        <is>
          <t>Linux</t>
        </is>
      </c>
      <c r="B8" s="14" t="inlineStr">
        <is>
          <t>Ubuntu 22.04</t>
        </is>
      </c>
      <c r="C8" s="14" t="inlineStr">
        <is>
          <t>No</t>
        </is>
      </c>
      <c r="D8" s="14" t="inlineStr">
        <is>
          <t>None</t>
        </is>
      </c>
      <c r="E8" s="14" t="inlineStr">
        <is>
          <t>None</t>
        </is>
      </c>
      <c r="F8" s="14" t="inlineStr">
        <is>
          <t>None</t>
        </is>
      </c>
      <c r="G8" s="14" t="inlineStr">
        <is>
          <t>None</t>
        </is>
      </c>
      <c r="H8" s="14" t="inlineStr">
        <is>
          <t>None</t>
        </is>
      </c>
      <c r="I8" s="14" t="inlineStr">
        <is>
          <t>None</t>
        </is>
      </c>
      <c r="J8" s="14" t="inlineStr">
        <is>
          <t>0</t>
        </is>
      </c>
      <c r="K8" s="14" t="inlineStr">
        <is>
          <t>50</t>
        </is>
      </c>
      <c r="L8" s="14">
        <f>J8/K8*100</f>
        <v/>
      </c>
      <c r="M8" s="14" t="inlineStr">
        <is>
          <t>A812-3-EPT-003</t>
        </is>
      </c>
    </row>
    <row r="9">
      <c r="A9" s="14" t="inlineStr">
        <is>
          <t>VDI</t>
        </is>
      </c>
      <c r="B9" s="14" t="inlineStr">
        <is>
          <t>Win 11</t>
        </is>
      </c>
      <c r="C9" s="14" t="inlineStr">
        <is>
          <t>Yes</t>
        </is>
      </c>
      <c r="D9" s="14" t="inlineStr">
        <is>
          <t>Block All</t>
        </is>
      </c>
      <c r="E9" s="14" t="inlineStr">
        <is>
          <t>Block</t>
        </is>
      </c>
      <c r="F9" s="14" t="inlineStr">
        <is>
          <t>Block</t>
        </is>
      </c>
      <c r="G9" s="14" t="inlineStr">
        <is>
          <t>Block</t>
        </is>
      </c>
      <c r="H9" s="14" t="inlineStr">
        <is>
          <t>Block</t>
        </is>
      </c>
      <c r="I9" s="14" t="inlineStr">
        <is>
          <t>Whitelist</t>
        </is>
      </c>
      <c r="J9" s="14" t="inlineStr">
        <is>
          <t>200</t>
        </is>
      </c>
      <c r="K9" s="14" t="inlineStr">
        <is>
          <t>200</t>
        </is>
      </c>
      <c r="L9" s="14">
        <f>J9/K9*100</f>
        <v/>
      </c>
      <c r="M9" s="14" t="inlineStr">
        <is>
          <t>A812-3-EPT-004</t>
        </is>
      </c>
    </row>
    <row r="10">
      <c r="A10" s="12" t="n"/>
      <c r="B10" s="12" t="n"/>
      <c r="C10" s="12" t="n"/>
      <c r="D10" s="12" t="n"/>
      <c r="E10" s="12" t="n"/>
      <c r="F10" s="12" t="n"/>
      <c r="G10" s="12" t="n"/>
      <c r="H10" s="12" t="n"/>
      <c r="I10" s="12" t="n"/>
      <c r="J10" s="12" t="n"/>
      <c r="K10" s="12" t="n"/>
      <c r="L10" s="16">
        <f>J10/K10*100</f>
        <v/>
      </c>
      <c r="M10" s="12" t="n"/>
    </row>
    <row r="11">
      <c r="A11" s="12" t="n"/>
      <c r="B11" s="12" t="n"/>
      <c r="C11" s="12" t="n"/>
      <c r="D11" s="12" t="n"/>
      <c r="E11" s="12" t="n"/>
      <c r="F11" s="12" t="n"/>
      <c r="G11" s="12" t="n"/>
      <c r="H11" s="12" t="n"/>
      <c r="I11" s="12" t="n"/>
      <c r="J11" s="12" t="n"/>
      <c r="K11" s="12" t="n"/>
      <c r="L11" s="16">
        <f>J11/K11*100</f>
        <v/>
      </c>
      <c r="M11" s="12" t="n"/>
    </row>
    <row r="12">
      <c r="A12" s="12" t="n"/>
      <c r="B12" s="12" t="n"/>
      <c r="C12" s="12" t="n"/>
      <c r="D12" s="12" t="n"/>
      <c r="E12" s="12" t="n"/>
      <c r="F12" s="12" t="n"/>
      <c r="G12" s="12" t="n"/>
      <c r="H12" s="12" t="n"/>
      <c r="I12" s="12" t="n"/>
      <c r="J12" s="12" t="n"/>
      <c r="K12" s="12" t="n"/>
      <c r="L12" s="16">
        <f>J12/K12*100</f>
        <v/>
      </c>
      <c r="M12" s="12" t="n"/>
    </row>
    <row r="13">
      <c r="A13" s="12" t="n"/>
      <c r="B13" s="12" t="n"/>
      <c r="C13" s="12" t="n"/>
      <c r="D13" s="12" t="n"/>
      <c r="E13" s="12" t="n"/>
      <c r="F13" s="12" t="n"/>
      <c r="G13" s="12" t="n"/>
      <c r="H13" s="12" t="n"/>
      <c r="I13" s="12" t="n"/>
      <c r="J13" s="12" t="n"/>
      <c r="K13" s="12" t="n"/>
      <c r="L13" s="16">
        <f>J13/K13*100</f>
        <v/>
      </c>
      <c r="M13" s="12" t="n"/>
    </row>
    <row r="14">
      <c r="A14" s="12" t="n"/>
      <c r="B14" s="12" t="n"/>
      <c r="C14" s="12" t="n"/>
      <c r="D14" s="12" t="n"/>
      <c r="E14" s="12" t="n"/>
      <c r="F14" s="12" t="n"/>
      <c r="G14" s="12" t="n"/>
      <c r="H14" s="12" t="n"/>
      <c r="I14" s="12" t="n"/>
      <c r="J14" s="12" t="n"/>
      <c r="K14" s="12" t="n"/>
      <c r="L14" s="16">
        <f>J14/K14*100</f>
        <v/>
      </c>
      <c r="M14" s="12" t="n"/>
    </row>
    <row r="15">
      <c r="A15" s="12" t="n"/>
      <c r="B15" s="12" t="n"/>
      <c r="C15" s="12" t="n"/>
      <c r="D15" s="12" t="n"/>
      <c r="E15" s="12" t="n"/>
      <c r="F15" s="12" t="n"/>
      <c r="G15" s="12" t="n"/>
      <c r="H15" s="12" t="n"/>
      <c r="I15" s="12" t="n"/>
      <c r="J15" s="12" t="n"/>
      <c r="K15" s="12" t="n"/>
      <c r="L15" s="16">
        <f>J15/K15*100</f>
        <v/>
      </c>
      <c r="M15" s="12" t="n"/>
    </row>
    <row r="16">
      <c r="A16" s="12" t="n"/>
      <c r="B16" s="12" t="n"/>
      <c r="C16" s="12" t="n"/>
      <c r="D16" s="12" t="n"/>
      <c r="E16" s="12" t="n"/>
      <c r="F16" s="12" t="n"/>
      <c r="G16" s="12" t="n"/>
      <c r="H16" s="12" t="n"/>
      <c r="I16" s="12" t="n"/>
      <c r="J16" s="12" t="n"/>
      <c r="K16" s="12" t="n"/>
      <c r="L16" s="16">
        <f>J16/K16*100</f>
        <v/>
      </c>
      <c r="M16" s="12" t="n"/>
    </row>
    <row r="17">
      <c r="A17" s="12" t="n"/>
      <c r="B17" s="12" t="n"/>
      <c r="C17" s="12" t="n"/>
      <c r="D17" s="12" t="n"/>
      <c r="E17" s="12" t="n"/>
      <c r="F17" s="12" t="n"/>
      <c r="G17" s="12" t="n"/>
      <c r="H17" s="12" t="n"/>
      <c r="I17" s="12" t="n"/>
      <c r="J17" s="12" t="n"/>
      <c r="K17" s="12" t="n"/>
      <c r="L17" s="16">
        <f>J17/K17*100</f>
        <v/>
      </c>
      <c r="M17" s="12" t="n"/>
    </row>
    <row r="18">
      <c r="A18" s="12" t="n"/>
      <c r="B18" s="12" t="n"/>
      <c r="C18" s="12" t="n"/>
      <c r="D18" s="12" t="n"/>
      <c r="E18" s="12" t="n"/>
      <c r="F18" s="12" t="n"/>
      <c r="G18" s="12" t="n"/>
      <c r="H18" s="12" t="n"/>
      <c r="I18" s="12" t="n"/>
      <c r="J18" s="12" t="n"/>
      <c r="K18" s="12" t="n"/>
      <c r="L18" s="16">
        <f>J18/K18*100</f>
        <v/>
      </c>
      <c r="M18" s="12" t="n"/>
    </row>
    <row r="19">
      <c r="A19" s="12" t="n"/>
      <c r="B19" s="12" t="n"/>
      <c r="C19" s="12" t="n"/>
      <c r="D19" s="12" t="n"/>
      <c r="E19" s="12" t="n"/>
      <c r="F19" s="12" t="n"/>
      <c r="G19" s="12" t="n"/>
      <c r="H19" s="12" t="n"/>
      <c r="I19" s="12" t="n"/>
      <c r="J19" s="12" t="n"/>
      <c r="K19" s="12" t="n"/>
      <c r="L19" s="16">
        <f>J19/K19*100</f>
        <v/>
      </c>
      <c r="M19" s="12" t="n"/>
    </row>
    <row r="20">
      <c r="A20" s="12" t="n"/>
      <c r="B20" s="12" t="n"/>
      <c r="C20" s="12" t="n"/>
      <c r="D20" s="12" t="n"/>
      <c r="E20" s="12" t="n"/>
      <c r="F20" s="12" t="n"/>
      <c r="G20" s="12" t="n"/>
      <c r="H20" s="12" t="n"/>
      <c r="I20" s="12" t="n"/>
      <c r="J20" s="12" t="n"/>
      <c r="K20" s="12" t="n"/>
      <c r="L20" s="16">
        <f>J20/K20*100</f>
        <v/>
      </c>
      <c r="M20" s="12" t="n"/>
    </row>
    <row r="21">
      <c r="A21" s="12" t="n"/>
      <c r="B21" s="12" t="n"/>
      <c r="C21" s="12" t="n"/>
      <c r="D21" s="12" t="n"/>
      <c r="E21" s="12" t="n"/>
      <c r="F21" s="12" t="n"/>
      <c r="G21" s="12" t="n"/>
      <c r="H21" s="12" t="n"/>
      <c r="I21" s="12" t="n"/>
      <c r="J21" s="12" t="n"/>
      <c r="K21" s="12" t="n"/>
      <c r="L21" s="16">
        <f>J21/K21*100</f>
        <v/>
      </c>
      <c r="M21" s="12" t="n"/>
    </row>
    <row r="22">
      <c r="A22" s="12" t="n"/>
      <c r="B22" s="12" t="n"/>
      <c r="C22" s="12" t="n"/>
      <c r="D22" s="12" t="n"/>
      <c r="E22" s="12" t="n"/>
      <c r="F22" s="12" t="n"/>
      <c r="G22" s="12" t="n"/>
      <c r="H22" s="12" t="n"/>
      <c r="I22" s="12" t="n"/>
      <c r="J22" s="12" t="n"/>
      <c r="K22" s="12" t="n"/>
      <c r="L22" s="16">
        <f>J22/K22*100</f>
        <v/>
      </c>
      <c r="M22" s="12" t="n"/>
    </row>
    <row r="23">
      <c r="A23" s="12" t="n"/>
      <c r="B23" s="12" t="n"/>
      <c r="C23" s="12" t="n"/>
      <c r="D23" s="12" t="n"/>
      <c r="E23" s="12" t="n"/>
      <c r="F23" s="12" t="n"/>
      <c r="G23" s="12" t="n"/>
      <c r="H23" s="12" t="n"/>
      <c r="I23" s="12" t="n"/>
      <c r="J23" s="12" t="n"/>
      <c r="K23" s="12" t="n"/>
      <c r="L23" s="16">
        <f>J23/K23*100</f>
        <v/>
      </c>
      <c r="M23" s="12" t="n"/>
    </row>
    <row r="24">
      <c r="A24" s="12" t="n"/>
      <c r="B24" s="12" t="n"/>
      <c r="C24" s="12" t="n"/>
      <c r="D24" s="12" t="n"/>
      <c r="E24" s="12" t="n"/>
      <c r="F24" s="12" t="n"/>
      <c r="G24" s="12" t="n"/>
      <c r="H24" s="12" t="n"/>
      <c r="I24" s="12" t="n"/>
      <c r="J24" s="12" t="n"/>
      <c r="K24" s="12" t="n"/>
      <c r="L24" s="16">
        <f>J24/K24*100</f>
        <v/>
      </c>
      <c r="M24" s="12" t="n"/>
    </row>
    <row r="25">
      <c r="A25" s="12" t="n"/>
      <c r="B25" s="12" t="n"/>
      <c r="C25" s="12" t="n"/>
      <c r="D25" s="12" t="n"/>
      <c r="E25" s="12" t="n"/>
      <c r="F25" s="12" t="n"/>
      <c r="G25" s="12" t="n"/>
      <c r="H25" s="12" t="n"/>
      <c r="I25" s="12" t="n"/>
      <c r="J25" s="12" t="n"/>
      <c r="K25" s="12" t="n"/>
      <c r="L25" s="16">
        <f>J25/K25*100</f>
        <v/>
      </c>
      <c r="M25" s="12" t="n"/>
    </row>
    <row r="26">
      <c r="A26" s="12" t="n"/>
      <c r="B26" s="12" t="n"/>
      <c r="C26" s="12" t="n"/>
      <c r="D26" s="12" t="n"/>
      <c r="E26" s="12" t="n"/>
      <c r="F26" s="12" t="n"/>
      <c r="G26" s="12" t="n"/>
      <c r="H26" s="12" t="n"/>
      <c r="I26" s="12" t="n"/>
      <c r="J26" s="12" t="n"/>
      <c r="K26" s="12" t="n"/>
      <c r="L26" s="16">
        <f>J26/K26*100</f>
        <v/>
      </c>
      <c r="M26" s="12" t="n"/>
    </row>
    <row r="27">
      <c r="A27" s="12" t="n"/>
      <c r="B27" s="12" t="n"/>
      <c r="C27" s="12" t="n"/>
      <c r="D27" s="12" t="n"/>
      <c r="E27" s="12" t="n"/>
      <c r="F27" s="12" t="n"/>
      <c r="G27" s="12" t="n"/>
      <c r="H27" s="12" t="n"/>
      <c r="I27" s="12" t="n"/>
      <c r="J27" s="12" t="n"/>
      <c r="K27" s="12" t="n"/>
      <c r="L27" s="16">
        <f>J27/K27*100</f>
        <v/>
      </c>
      <c r="M27" s="12" t="n"/>
    </row>
    <row r="28">
      <c r="A28" s="12" t="n"/>
      <c r="B28" s="12" t="n"/>
      <c r="C28" s="12" t="n"/>
      <c r="D28" s="12" t="n"/>
      <c r="E28" s="12" t="n"/>
      <c r="F28" s="12" t="n"/>
      <c r="G28" s="12" t="n"/>
      <c r="H28" s="12" t="n"/>
      <c r="I28" s="12" t="n"/>
      <c r="J28" s="12" t="n"/>
      <c r="K28" s="12" t="n"/>
      <c r="L28" s="16">
        <f>J28/K28*100</f>
        <v/>
      </c>
      <c r="M28" s="12" t="n"/>
    </row>
    <row r="29">
      <c r="A29" s="12" t="n"/>
      <c r="B29" s="12" t="n"/>
      <c r="C29" s="12" t="n"/>
      <c r="D29" s="12" t="n"/>
      <c r="E29" s="12" t="n"/>
      <c r="F29" s="12" t="n"/>
      <c r="G29" s="12" t="n"/>
      <c r="H29" s="12" t="n"/>
      <c r="I29" s="12" t="n"/>
      <c r="J29" s="12" t="n"/>
      <c r="K29" s="12" t="n"/>
      <c r="L29" s="16">
        <f>J29/K29*100</f>
        <v/>
      </c>
      <c r="M29" s="12" t="n"/>
    </row>
    <row r="30">
      <c r="A30" s="3" t="inlineStr">
        <is>
          <t>Endpoint Channel Coverage %</t>
        </is>
      </c>
      <c r="L30" s="15">
        <f>AVERAGE(L6:L29)</f>
        <v/>
      </c>
    </row>
  </sheetData>
  <mergeCells count="3">
    <mergeCell ref="A3:M3"/>
    <mergeCell ref="A2:M2"/>
    <mergeCell ref="A1:M1"/>
  </mergeCells>
  <dataValidations count="6">
    <dataValidation sqref="A6 A7 A8 A9 A10 A11 A12 A13 A14 A15 A16 A17 A18 A19 A20 A21 A22 A23 A24 A25 A26 A27 A28 A29" showDropDown="1" showInputMessage="0" showErrorMessage="0" allowBlank="0" type="list">
      <formula1>"Windows Desktop,macOS,Linux,VDI,Thin Client"</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D6 D7 D8 D9 D10 D11 D12 D13 D14 D15 D16 D17 D18 D19 D20 D21 D22 D23 D24 D25 D26 D27 D28 D29" showDropDown="1" showInputMessage="0" showErrorMessage="0" allowBlank="0" type="list">
      <formula1>"Block All,Allow Approved,Monitor,None"</formula1>
    </dataValidation>
    <dataValidation sqref="E6 E7 E8 E9 E10 E11 E12 E13 E14 E15 E16 E17 E18 E19 E20 E21 E22 E23 E24 E25 E26 E27 E28 E29 F6 F7 F8 F9 F10 F11 F12 F13 F14 F15 F16 F17 F18 F19 G6 G7 G8 G9 G10 G11 G12 G13 G14 G15 G16 G17 G18 G19 G20 G21 G22 G23 G24 G25 G26 G27 G28 G29" showDropDown="1" showInputMessage="0" showErrorMessage="0" allowBlank="0" type="list">
      <formula1>"Block,Watermark,Monitor,None"</formula1>
    </dataValidation>
    <dataValidation sqref="E6 E7 E8 E9 E10 E11 E12 E13 E14 E15 E16 E17 E18 E19 F6 F7 F8 F9 F10 F11 F12 F13 F14 F15 F16 F17 F18 F19 F20 F21 F22 F23 F24 F25 F26 F27 F28 F29 G6 G7 G8 G9 G10 G11 G12 G13 G14 G15 G16 G17 G18 G19 H6 H7 H8 H9 H10 H11 H12 H13 H14 H15 H16 H17 H18 H19 H20 H21 H22 H23 H24 H25 H26 H27 H28 H29 I6 I7 I8 I9 I10 I11 I12 I13 I14 I15 I16 I17 I18 I19" showDropDown="1" showInputMessage="0" showErrorMessage="0" allowBlank="0" type="list">
      <formula1>"Block,Monitor,None"</formula1>
    </dataValidation>
    <dataValidation sqref="I6 I7 I8 I9 I10 I11 I12 I13 I14 I15 I16 I17 I18 I19 I20 I21 I22 I23 I24 I25 I26 I27 I28 I29" showDropDown="1" showInputMessage="0" showErrorMessage="0" allowBlank="0" type="list">
      <formula1>"Whitelist,Blacklist,Monitor,None"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20" customWidth="1" min="1" max="1"/>
    <col width="30" customWidth="1" min="2" max="2"/>
    <col width="25" customWidth="1" min="3" max="3"/>
    <col width="20" customWidth="1" min="4" max="4"/>
    <col width="18" customWidth="1" min="5" max="5"/>
    <col width="18" customWidth="1" min="6" max="6"/>
    <col width="18" customWidth="1" min="7" max="7"/>
    <col width="18" customWidth="1" min="8" max="8"/>
    <col width="18" customWidth="1" min="9" max="9"/>
  </cols>
  <sheetData>
    <row r="1" ht="30" customHeight="1">
      <c r="A1" s="1" t="inlineStr">
        <is>
          <t>NETWORK CHANNEL PROTECTION ASSESSMENT</t>
        </is>
      </c>
    </row>
    <row r="2">
      <c r="A2" s="2" t="inlineStr">
        <is>
          <t>Evaluate network DLP coverage for SMB, FTP, NFS, SCP</t>
        </is>
      </c>
    </row>
    <row r="3">
      <c r="A3" s="13" t="inlineStr">
        <is>
          <t>Does your organization monitor/block file transfers via network protocols?</t>
        </is>
      </c>
    </row>
    <row r="5">
      <c r="A5" s="11" t="inlineStr">
        <is>
          <t>Protocol</t>
        </is>
      </c>
      <c r="B5" s="11" t="inlineStr">
        <is>
          <t>Business Use Case</t>
        </is>
      </c>
      <c r="C5" s="11" t="inlineStr">
        <is>
          <t>DLP Solution</t>
        </is>
      </c>
      <c r="D5" s="11" t="inlineStr">
        <is>
          <t>Detection Method</t>
        </is>
      </c>
      <c r="E5" s="11" t="inlineStr">
        <is>
          <t>Content Inspection</t>
        </is>
      </c>
      <c r="F5" s="11" t="inlineStr">
        <is>
          <t>Policy Action</t>
        </is>
      </c>
      <c r="G5" s="11" t="inlineStr">
        <is>
          <t>Encryption Handling</t>
        </is>
      </c>
      <c r="H5" s="11" t="inlineStr">
        <is>
          <t>SIEM Integration</t>
        </is>
      </c>
      <c r="I5" s="11" t="inlineStr">
        <is>
          <t>Evidence ID</t>
        </is>
      </c>
    </row>
    <row r="6">
      <c r="A6" s="14" t="inlineStr">
        <is>
          <t>SMB/CIFS</t>
        </is>
      </c>
      <c r="B6" s="14" t="inlineStr">
        <is>
          <t>Internal file shares</t>
        </is>
      </c>
      <c r="C6" s="14" t="inlineStr">
        <is>
          <t>Forcepoint DLP</t>
        </is>
      </c>
      <c r="D6" s="14" t="inlineStr">
        <is>
          <t>Inline</t>
        </is>
      </c>
      <c r="E6" s="14" t="inlineStr">
        <is>
          <t>Yes</t>
        </is>
      </c>
      <c r="F6" s="14" t="inlineStr">
        <is>
          <t>Alert</t>
        </is>
      </c>
      <c r="G6" s="14" t="inlineStr">
        <is>
          <t>Allow</t>
        </is>
      </c>
      <c r="H6" s="14" t="inlineStr">
        <is>
          <t>Yes</t>
        </is>
      </c>
      <c r="I6" s="14" t="inlineStr">
        <is>
          <t>A812-3-NET-001</t>
        </is>
      </c>
    </row>
    <row r="7">
      <c r="A7" s="14" t="inlineStr">
        <is>
          <t>FTP</t>
        </is>
      </c>
      <c r="B7" s="14" t="inlineStr">
        <is>
          <t>External file transfer</t>
        </is>
      </c>
      <c r="C7" s="14" t="inlineStr">
        <is>
          <t>Network DLP</t>
        </is>
      </c>
      <c r="D7" s="14" t="inlineStr">
        <is>
          <t>TAP</t>
        </is>
      </c>
      <c r="E7" s="14" t="inlineStr">
        <is>
          <t>Yes</t>
        </is>
      </c>
      <c r="F7" s="14" t="inlineStr">
        <is>
          <t>Block</t>
        </is>
      </c>
      <c r="G7" s="14" t="inlineStr">
        <is>
          <t>Decrypt</t>
        </is>
      </c>
      <c r="H7" s="14" t="inlineStr">
        <is>
          <t>Yes</t>
        </is>
      </c>
      <c r="I7" s="14" t="inlineStr">
        <is>
          <t>A812-3-NET-002</t>
        </is>
      </c>
    </row>
    <row r="8">
      <c r="A8" s="14" t="inlineStr">
        <is>
          <t>SFTP</t>
        </is>
      </c>
      <c r="B8" s="14" t="inlineStr">
        <is>
          <t>Secure file transfer</t>
        </is>
      </c>
      <c r="C8" s="14" t="inlineStr">
        <is>
          <t>Endpoint DLP</t>
        </is>
      </c>
      <c r="D8" s="14" t="inlineStr">
        <is>
          <t>Endpoint</t>
        </is>
      </c>
      <c r="E8" s="14" t="inlineStr">
        <is>
          <t>Partial</t>
        </is>
      </c>
      <c r="F8" s="14" t="inlineStr">
        <is>
          <t>Alert</t>
        </is>
      </c>
      <c r="G8" s="14" t="inlineStr">
        <is>
          <t>Allow</t>
        </is>
      </c>
      <c r="H8" s="14" t="inlineStr">
        <is>
          <t>Partial</t>
        </is>
      </c>
      <c r="I8" s="14" t="inlineStr">
        <is>
          <t>A812-3-NET-003</t>
        </is>
      </c>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3" t="inlineStr">
        <is>
          <t>Network Channel Coverage %</t>
        </is>
      </c>
      <c r="E20" s="15">
        <f>(COUNTIF(E6:E19,"Yes")/COUNTA(A6:A19))*100</f>
        <v/>
      </c>
    </row>
  </sheetData>
  <mergeCells count="3">
    <mergeCell ref="A1:I1"/>
    <mergeCell ref="A3:I3"/>
    <mergeCell ref="A2:I2"/>
  </mergeCells>
  <dataValidations count="5">
    <dataValidation sqref="A6 A7 A8 A9 A10 A11 A12 A13 A14 A15 A16 A17 A18 A19" showDropDown="1" showInputMessage="0" showErrorMessage="0" allowBlank="0" type="list">
      <formula1>"SMB/CIFS,FTP,SFTP,NFS,SCP,WebDAV,Rsync"</formula1>
    </dataValidation>
    <dataValidation sqref="D6 D7 D8 D9 D10 D11 D12 D13 D14 D15 D16 D17 D18 D19" showDropDown="1" showInputMessage="0" showErrorMessage="0" allowBlank="0" type="list">
      <formula1>"Inline,TAP,SPAN,Endpoint,None"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F6 F7 F8 F9 F10 F11 F12 F13 F14 F15 F16 F17 F18 F19" showDropDown="1" showInputMessage="0" showErrorMessage="0" allowBlank="0" type="list">
      <formula1>"Allow,Alert,Block,None"</formula1>
    </dataValidation>
    <dataValidation sqref="G6 G7 G8 G9 G10 G11 G12 G13 G14 G15 G16 G17 G18 G19" showDropDown="1" showInputMessage="0" showErrorMessage="0" allowBlank="0" type="list">
      <formula1>"Decrypt,Allow,Block"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30" customWidth="1" min="1" max="1"/>
    <col width="20" customWidth="1" min="2" max="2"/>
    <col width="18" customWidth="1" min="3" max="3"/>
    <col width="25" customWidth="1" min="4" max="4"/>
    <col width="18" customWidth="1" min="5" max="5"/>
    <col width="18" customWidth="1" min="6" max="6"/>
    <col width="18" customWidth="1" min="7" max="7"/>
    <col width="18" customWidth="1" min="8" max="8"/>
    <col width="18" customWidth="1" min="9" max="9"/>
  </cols>
  <sheetData>
    <row r="1" ht="30" customHeight="1">
      <c r="A1" s="1" t="inlineStr">
        <is>
          <t>APPLICATION CHANNEL PROTECTION ASSESSMENT</t>
        </is>
      </c>
    </row>
    <row r="2">
      <c r="A2" s="2" t="inlineStr">
        <is>
          <t>Evaluate DLP controls in databases, APIs, reporting tools, CRM, ERP</t>
        </is>
      </c>
    </row>
    <row r="3">
      <c r="A3" s="13" t="inlineStr">
        <is>
          <t>Does your organization have DLP controls for application-level data exports?</t>
        </is>
      </c>
    </row>
    <row r="5">
      <c r="A5" s="11" t="inlineStr">
        <is>
          <t>Application Name</t>
        </is>
      </c>
      <c r="B5" s="11" t="inlineStr">
        <is>
          <t>Application Type</t>
        </is>
      </c>
      <c r="C5" s="11" t="inlineStr">
        <is>
          <t>Data Export Capability</t>
        </is>
      </c>
      <c r="D5" s="11" t="inlineStr">
        <is>
          <t>DLP Control Method</t>
        </is>
      </c>
      <c r="E5" s="11" t="inlineStr">
        <is>
          <t>Bulk Export Detection</t>
        </is>
      </c>
      <c r="F5" s="11" t="inlineStr">
        <is>
          <t>Export Policy Action</t>
        </is>
      </c>
      <c r="G5" s="11" t="inlineStr">
        <is>
          <t>Audit Logging</t>
        </is>
      </c>
      <c r="H5" s="11" t="inlineStr">
        <is>
          <t>SIEM Integration</t>
        </is>
      </c>
      <c r="I5" s="11" t="inlineStr">
        <is>
          <t>Evidence ID</t>
        </is>
      </c>
    </row>
    <row r="6">
      <c r="A6" s="14" t="inlineStr">
        <is>
          <t>Oracle DB</t>
        </is>
      </c>
      <c r="B6" s="14" t="inlineStr">
        <is>
          <t>Database</t>
        </is>
      </c>
      <c r="C6" s="14" t="inlineStr">
        <is>
          <t>Yes</t>
        </is>
      </c>
      <c r="D6" s="14" t="inlineStr">
        <is>
          <t>DAM (Imperva)</t>
        </is>
      </c>
      <c r="E6" s="14" t="inlineStr">
        <is>
          <t>Yes</t>
        </is>
      </c>
      <c r="F6" s="14" t="inlineStr">
        <is>
          <t>Alert</t>
        </is>
      </c>
      <c r="G6" s="14" t="inlineStr">
        <is>
          <t>Yes</t>
        </is>
      </c>
      <c r="H6" s="14" t="inlineStr">
        <is>
          <t>Yes</t>
        </is>
      </c>
      <c r="I6" s="14" t="inlineStr">
        <is>
          <t>A812-3-APP-001</t>
        </is>
      </c>
    </row>
    <row r="7">
      <c r="A7" s="14" t="inlineStr">
        <is>
          <t>Salesforce</t>
        </is>
      </c>
      <c r="B7" s="14" t="inlineStr">
        <is>
          <t>CRM</t>
        </is>
      </c>
      <c r="C7" s="14" t="inlineStr">
        <is>
          <t>Yes</t>
        </is>
      </c>
      <c r="D7" s="14" t="inlineStr">
        <is>
          <t>CASB</t>
        </is>
      </c>
      <c r="E7" s="14" t="inlineStr">
        <is>
          <t>Yes</t>
        </is>
      </c>
      <c r="F7" s="14" t="inlineStr">
        <is>
          <t>Block</t>
        </is>
      </c>
      <c r="G7" s="14" t="inlineStr">
        <is>
          <t>Yes</t>
        </is>
      </c>
      <c r="H7" s="14" t="inlineStr">
        <is>
          <t>Yes</t>
        </is>
      </c>
      <c r="I7" s="14" t="inlineStr">
        <is>
          <t>A812-3-APP-002</t>
        </is>
      </c>
    </row>
    <row r="8">
      <c r="A8" s="14" t="inlineStr">
        <is>
          <t>Power BI</t>
        </is>
      </c>
      <c r="B8" s="14" t="inlineStr">
        <is>
          <t>BI</t>
        </is>
      </c>
      <c r="C8" s="14" t="inlineStr">
        <is>
          <t>Yes</t>
        </is>
      </c>
      <c r="D8" s="14" t="inlineStr">
        <is>
          <t>App Control</t>
        </is>
      </c>
      <c r="E8" s="14" t="inlineStr">
        <is>
          <t>Partial</t>
        </is>
      </c>
      <c r="F8" s="14" t="inlineStr">
        <is>
          <t>Approval Required</t>
        </is>
      </c>
      <c r="G8" s="14" t="inlineStr">
        <is>
          <t>Partial</t>
        </is>
      </c>
      <c r="H8" s="14" t="inlineStr">
        <is>
          <t>Partial</t>
        </is>
      </c>
      <c r="I8" s="14" t="inlineStr">
        <is>
          <t>A812-3-APP-003</t>
        </is>
      </c>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3" t="inlineStr">
        <is>
          <t>Application Channel Coverage %</t>
        </is>
      </c>
      <c r="E20" s="15">
        <f>(COUNTIF(E6:E19,"Yes")/COUNTA(A6:A19))*100</f>
        <v/>
      </c>
    </row>
  </sheetData>
  <mergeCells count="3">
    <mergeCell ref="A1:I1"/>
    <mergeCell ref="A3:I3"/>
    <mergeCell ref="A2:I2"/>
  </mergeCells>
  <dataValidations count="5">
    <dataValidation sqref="B6 B7 B8 B9 B10 B11 B12 B13 B14 B15 B16 B17 B18 B19" showDropDown="1" showInputMessage="0" showErrorMessage="0" allowBlank="0" type="list">
      <formula1>"Database,API,Reporting,CRM,ERP,BI,Other"</formula1>
    </dataValidation>
    <dataValidation sqref="C6 C7 C8 C9 C10 C11 C12 C13 C14 C15 C16 C17 C18 C19" showDropDown="1" showInputMessage="0" showErrorMessage="0" allowBlank="0" type="list">
      <formula1>"Yes,No,Limited"</formula1>
    </dataValidation>
    <dataValidation sqref="D6 D7 D8 D9 D10 D11 D12 D13 D14 D15 D16 D17 D18 D19" showDropDown="1" showInputMessage="0" showErrorMessage="0" allowBlank="0" type="list">
      <formula1>"DAM,API Gateway,App Control,Endpoint,None"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F6 F7 F8 F9 F10 F11 F12 F13 F14 F15 F16 F17 F18 F19" showDropDown="1" showInputMessage="0" showErrorMessage="0" allowBlank="0" type="list">
      <formula1>"Allow,Alert,Block,Approval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18" customWidth="1" min="1" max="1"/>
    <col width="2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0" customHeight="1">
      <c r="A1" s="1" t="inlineStr">
        <is>
          <t>MOBILE CHANNEL PROTECTION ASSESSMENT</t>
        </is>
      </c>
    </row>
    <row r="2">
      <c r="A2" s="2" t="inlineStr">
        <is>
          <t>Evaluate MDM/MAM DLP controls for corporate and BYOD devices</t>
        </is>
      </c>
    </row>
    <row r="3">
      <c r="A3" s="13" t="inlineStr">
        <is>
          <t>Does your organization have DLP controls for mobile devices with corporate data access?</t>
        </is>
      </c>
    </row>
    <row r="5">
      <c r="A5" s="11" t="inlineStr">
        <is>
          <t>Device Ownership</t>
        </is>
      </c>
      <c r="B5" s="11" t="inlineStr">
        <is>
          <t>Mobile Platform</t>
        </is>
      </c>
      <c r="C5" s="11" t="inlineStr">
        <is>
          <t>MDM/MAM Solution</t>
        </is>
      </c>
      <c r="D5" s="11" t="inlineStr">
        <is>
          <t>Work Profile Enabled</t>
        </is>
      </c>
      <c r="E5" s="11" t="inlineStr">
        <is>
          <t>Copy-Paste Control</t>
        </is>
      </c>
      <c r="F5" s="11" t="inlineStr">
        <is>
          <t>Screenshot Control</t>
        </is>
      </c>
      <c r="G5" s="11" t="inlineStr">
        <is>
          <t>Camera Access Control</t>
        </is>
      </c>
      <c r="H5" s="11" t="inlineStr">
        <is>
          <t>Personal Cloud Block</t>
        </is>
      </c>
      <c r="I5" s="11" t="inlineStr">
        <is>
          <t>AirDrop/NFC Control</t>
        </is>
      </c>
      <c r="J5" s="11" t="inlineStr">
        <is>
          <t>Devices Enrolled</t>
        </is>
      </c>
      <c r="K5" s="11" t="inlineStr">
        <is>
          <t>Total Mobile Devices</t>
        </is>
      </c>
      <c r="L5" s="11" t="inlineStr">
        <is>
          <t>Coverage %</t>
        </is>
      </c>
      <c r="M5" s="11" t="inlineStr">
        <is>
          <t>Evidence ID</t>
        </is>
      </c>
    </row>
    <row r="6">
      <c r="A6" s="14" t="inlineStr">
        <is>
          <t>Corporate</t>
        </is>
      </c>
      <c r="B6" s="14" t="inlineStr">
        <is>
          <t>iOS</t>
        </is>
      </c>
      <c r="C6" s="14" t="inlineStr">
        <is>
          <t>Microsoft Intune</t>
        </is>
      </c>
      <c r="D6" s="14" t="inlineStr">
        <is>
          <t>Yes</t>
        </is>
      </c>
      <c r="E6" s="14" t="inlineStr">
        <is>
          <t>Block</t>
        </is>
      </c>
      <c r="F6" s="14" t="inlineStr">
        <is>
          <t>Block</t>
        </is>
      </c>
      <c r="G6" s="14" t="inlineStr">
        <is>
          <t>Block</t>
        </is>
      </c>
      <c r="H6" s="14" t="inlineStr">
        <is>
          <t>Yes</t>
        </is>
      </c>
      <c r="I6" s="14" t="inlineStr">
        <is>
          <t>Block</t>
        </is>
      </c>
      <c r="J6" s="14" t="inlineStr">
        <is>
          <t>200</t>
        </is>
      </c>
      <c r="K6" s="14" t="inlineStr">
        <is>
          <t>200</t>
        </is>
      </c>
      <c r="L6" s="14">
        <f>J6/K6*100</f>
        <v/>
      </c>
      <c r="M6" s="14" t="inlineStr">
        <is>
          <t>A812-3-MOB-001</t>
        </is>
      </c>
    </row>
    <row r="7">
      <c r="A7" s="14" t="inlineStr">
        <is>
          <t>BYOD</t>
        </is>
      </c>
      <c r="B7" s="14" t="inlineStr">
        <is>
          <t>Android</t>
        </is>
      </c>
      <c r="C7" s="14" t="inlineStr">
        <is>
          <t>Workspace ONE</t>
        </is>
      </c>
      <c r="D7" s="14" t="inlineStr">
        <is>
          <t>Yes</t>
        </is>
      </c>
      <c r="E7" s="14" t="inlineStr">
        <is>
          <t>Block</t>
        </is>
      </c>
      <c r="F7" s="14" t="inlineStr">
        <is>
          <t>Monitor</t>
        </is>
      </c>
      <c r="G7" s="14" t="inlineStr">
        <is>
          <t>Monitor</t>
        </is>
      </c>
      <c r="H7" s="14" t="inlineStr">
        <is>
          <t>Partial</t>
        </is>
      </c>
      <c r="I7" s="14" t="inlineStr">
        <is>
          <t>Monitor</t>
        </is>
      </c>
      <c r="J7" s="14" t="inlineStr">
        <is>
          <t>150</t>
        </is>
      </c>
      <c r="K7" s="14" t="inlineStr">
        <is>
          <t>300</t>
        </is>
      </c>
      <c r="L7" s="14">
        <f>J7/K7*100</f>
        <v/>
      </c>
      <c r="M7" s="14" t="inlineStr">
        <is>
          <t>A812-3-MOB-002</t>
        </is>
      </c>
    </row>
    <row r="8">
      <c r="A8" s="14" t="inlineStr">
        <is>
          <t>Corporate</t>
        </is>
      </c>
      <c r="B8" s="14" t="inlineStr">
        <is>
          <t>iOS</t>
        </is>
      </c>
      <c r="C8" s="14" t="inlineStr">
        <is>
          <t>Jamf Pro</t>
        </is>
      </c>
      <c r="D8" s="14" t="inlineStr">
        <is>
          <t>Yes</t>
        </is>
      </c>
      <c r="E8" s="14" t="inlineStr">
        <is>
          <t>Block</t>
        </is>
      </c>
      <c r="F8" s="14" t="inlineStr">
        <is>
          <t>Watermark</t>
        </is>
      </c>
      <c r="G8" s="14" t="inlineStr">
        <is>
          <t>Block</t>
        </is>
      </c>
      <c r="H8" s="14" t="inlineStr">
        <is>
          <t>Yes</t>
        </is>
      </c>
      <c r="I8" s="14" t="inlineStr">
        <is>
          <t>Block</t>
        </is>
      </c>
      <c r="J8" s="14" t="inlineStr">
        <is>
          <t>50</t>
        </is>
      </c>
      <c r="K8" s="14" t="inlineStr">
        <is>
          <t>50</t>
        </is>
      </c>
      <c r="L8" s="14">
        <f>J8/K8*100</f>
        <v/>
      </c>
      <c r="M8" s="14" t="inlineStr">
        <is>
          <t>A812-3-MOB-003</t>
        </is>
      </c>
    </row>
    <row r="9">
      <c r="A9" s="12" t="n"/>
      <c r="B9" s="12" t="n"/>
      <c r="C9" s="12" t="n"/>
      <c r="D9" s="12" t="n"/>
      <c r="E9" s="12" t="n"/>
      <c r="F9" s="12" t="n"/>
      <c r="G9" s="12" t="n"/>
      <c r="H9" s="12" t="n"/>
      <c r="I9" s="12" t="n"/>
      <c r="J9" s="12" t="n"/>
      <c r="K9" s="12" t="n"/>
      <c r="L9" s="16">
        <f>J9/K9*100</f>
        <v/>
      </c>
      <c r="M9" s="12" t="n"/>
    </row>
    <row r="10">
      <c r="A10" s="12" t="n"/>
      <c r="B10" s="12" t="n"/>
      <c r="C10" s="12" t="n"/>
      <c r="D10" s="12" t="n"/>
      <c r="E10" s="12" t="n"/>
      <c r="F10" s="12" t="n"/>
      <c r="G10" s="12" t="n"/>
      <c r="H10" s="12" t="n"/>
      <c r="I10" s="12" t="n"/>
      <c r="J10" s="12" t="n"/>
      <c r="K10" s="12" t="n"/>
      <c r="L10" s="16">
        <f>J10/K10*100</f>
        <v/>
      </c>
      <c r="M10" s="12" t="n"/>
    </row>
    <row r="11">
      <c r="A11" s="12" t="n"/>
      <c r="B11" s="12" t="n"/>
      <c r="C11" s="12" t="n"/>
      <c r="D11" s="12" t="n"/>
      <c r="E11" s="12" t="n"/>
      <c r="F11" s="12" t="n"/>
      <c r="G11" s="12" t="n"/>
      <c r="H11" s="12" t="n"/>
      <c r="I11" s="12" t="n"/>
      <c r="J11" s="12" t="n"/>
      <c r="K11" s="12" t="n"/>
      <c r="L11" s="16">
        <f>J11/K11*100</f>
        <v/>
      </c>
      <c r="M11" s="12" t="n"/>
    </row>
    <row r="12">
      <c r="A12" s="12" t="n"/>
      <c r="B12" s="12" t="n"/>
      <c r="C12" s="12" t="n"/>
      <c r="D12" s="12" t="n"/>
      <c r="E12" s="12" t="n"/>
      <c r="F12" s="12" t="n"/>
      <c r="G12" s="12" t="n"/>
      <c r="H12" s="12" t="n"/>
      <c r="I12" s="12" t="n"/>
      <c r="J12" s="12" t="n"/>
      <c r="K12" s="12" t="n"/>
      <c r="L12" s="16">
        <f>J12/K12*100</f>
        <v/>
      </c>
      <c r="M12" s="12" t="n"/>
    </row>
    <row r="13">
      <c r="A13" s="12" t="n"/>
      <c r="B13" s="12" t="n"/>
      <c r="C13" s="12" t="n"/>
      <c r="D13" s="12" t="n"/>
      <c r="E13" s="12" t="n"/>
      <c r="F13" s="12" t="n"/>
      <c r="G13" s="12" t="n"/>
      <c r="H13" s="12" t="n"/>
      <c r="I13" s="12" t="n"/>
      <c r="J13" s="12" t="n"/>
      <c r="K13" s="12" t="n"/>
      <c r="L13" s="16">
        <f>J13/K13*100</f>
        <v/>
      </c>
      <c r="M13" s="12" t="n"/>
    </row>
    <row r="14">
      <c r="A14" s="12" t="n"/>
      <c r="B14" s="12" t="n"/>
      <c r="C14" s="12" t="n"/>
      <c r="D14" s="12" t="n"/>
      <c r="E14" s="12" t="n"/>
      <c r="F14" s="12" t="n"/>
      <c r="G14" s="12" t="n"/>
      <c r="H14" s="12" t="n"/>
      <c r="I14" s="12" t="n"/>
      <c r="J14" s="12" t="n"/>
      <c r="K14" s="12" t="n"/>
      <c r="L14" s="16">
        <f>J14/K14*100</f>
        <v/>
      </c>
      <c r="M14" s="12" t="n"/>
    </row>
    <row r="15">
      <c r="A15" s="12" t="n"/>
      <c r="B15" s="12" t="n"/>
      <c r="C15" s="12" t="n"/>
      <c r="D15" s="12" t="n"/>
      <c r="E15" s="12" t="n"/>
      <c r="F15" s="12" t="n"/>
      <c r="G15" s="12" t="n"/>
      <c r="H15" s="12" t="n"/>
      <c r="I15" s="12" t="n"/>
      <c r="J15" s="12" t="n"/>
      <c r="K15" s="12" t="n"/>
      <c r="L15" s="16">
        <f>J15/K15*100</f>
        <v/>
      </c>
      <c r="M15" s="12" t="n"/>
    </row>
    <row r="16">
      <c r="A16" s="12" t="n"/>
      <c r="B16" s="12" t="n"/>
      <c r="C16" s="12" t="n"/>
      <c r="D16" s="12" t="n"/>
      <c r="E16" s="12" t="n"/>
      <c r="F16" s="12" t="n"/>
      <c r="G16" s="12" t="n"/>
      <c r="H16" s="12" t="n"/>
      <c r="I16" s="12" t="n"/>
      <c r="J16" s="12" t="n"/>
      <c r="K16" s="12" t="n"/>
      <c r="L16" s="16">
        <f>J16/K16*100</f>
        <v/>
      </c>
      <c r="M16" s="12" t="n"/>
    </row>
    <row r="17">
      <c r="A17" s="12" t="n"/>
      <c r="B17" s="12" t="n"/>
      <c r="C17" s="12" t="n"/>
      <c r="D17" s="12" t="n"/>
      <c r="E17" s="12" t="n"/>
      <c r="F17" s="12" t="n"/>
      <c r="G17" s="12" t="n"/>
      <c r="H17" s="12" t="n"/>
      <c r="I17" s="12" t="n"/>
      <c r="J17" s="12" t="n"/>
      <c r="K17" s="12" t="n"/>
      <c r="L17" s="16">
        <f>J17/K17*100</f>
        <v/>
      </c>
      <c r="M17" s="12" t="n"/>
    </row>
    <row r="18">
      <c r="A18" s="12" t="n"/>
      <c r="B18" s="12" t="n"/>
      <c r="C18" s="12" t="n"/>
      <c r="D18" s="12" t="n"/>
      <c r="E18" s="12" t="n"/>
      <c r="F18" s="12" t="n"/>
      <c r="G18" s="12" t="n"/>
      <c r="H18" s="12" t="n"/>
      <c r="I18" s="12" t="n"/>
      <c r="J18" s="12" t="n"/>
      <c r="K18" s="12" t="n"/>
      <c r="L18" s="16">
        <f>J18/K18*100</f>
        <v/>
      </c>
      <c r="M18" s="12" t="n"/>
    </row>
    <row r="19">
      <c r="A19" s="12" t="n"/>
      <c r="B19" s="12" t="n"/>
      <c r="C19" s="12" t="n"/>
      <c r="D19" s="12" t="n"/>
      <c r="E19" s="12" t="n"/>
      <c r="F19" s="12" t="n"/>
      <c r="G19" s="12" t="n"/>
      <c r="H19" s="12" t="n"/>
      <c r="I19" s="12" t="n"/>
      <c r="J19" s="12" t="n"/>
      <c r="K19" s="12" t="n"/>
      <c r="L19" s="16">
        <f>J19/K19*100</f>
        <v/>
      </c>
      <c r="M19" s="12" t="n"/>
    </row>
    <row r="20">
      <c r="A20" s="3" t="inlineStr">
        <is>
          <t>Mobile Channel Coverage %</t>
        </is>
      </c>
      <c r="L20" s="15">
        <f>AVERAGE(L6:L19)</f>
        <v/>
      </c>
    </row>
  </sheetData>
  <mergeCells count="3">
    <mergeCell ref="A3:M3"/>
    <mergeCell ref="A2:M2"/>
    <mergeCell ref="A1:M1"/>
  </mergeCells>
  <dataValidations count="5">
    <dataValidation sqref="A6 A7 A8 A9 A10 A11 A12 A13 A14 A15 A16 A17 A18 A19" showDropDown="1" showInputMessage="0" showErrorMessage="0" allowBlank="0" type="list">
      <formula1>"Corporate,BYOD"</formula1>
    </dataValidation>
    <dataValidation sqref="B6 B7 B8 B9 B10 B11 B12 B13 B14 B15 B16 B17 B18 B19" showDropDown="1" showInputMessage="0" showErrorMessage="0" allowBlank="0" type="list">
      <formula1>"iOS,Android,Windows Mobile"</formula1>
    </dataValidation>
    <dataValidation sqref="C6 C7 C8 C9 C10 C11 C12 C13 C14 C15 C16 C17 C18 C19 C20 C21 C22 C23 C24 C25 C26 C27 C28 C29 D6 D7 D8 D9 D10 D11 D12 D13 D14 D15 D16 D17 D18 D19 E6 E7 E8 E9 E10 E11 E12 E13 E14 E15 E16 E17 E18 E19 E20 E21 E22 E23 E24 F6 F7 F8 F9 F10 F11 F12 F13 F14 F15 F16 F17 F18 F19 F20 F21 F22 F23 F24 G6 G7 G8 G9 G10 G11 G12 G13 G14 G15 G16 G17 G18 G19 G20 G21 G22 G23 G24 H6 H7 H8 H9 H10 H11 H12 H13 H14 H15 H16 H17 H18 H19 I6 I7 I8 I9 I10 I11 I12 I13 I14 I15 I16 I17 I18 I19 I20 I21 I22 I23 I24 J6 J7 J8 J9 J10 J11 J12 J13 J14 J15 J16 J17 J18 J19 J20 J21 J22 J23 J24 K6 K7 K8 K9 K10 K11 K12 K13 K14 K15 K16 K17 K18 K19 K20 K21 K22 K23 K24" showDropDown="1" showInputMessage="0" showErrorMessage="1" allowBlank="0" errorTitle="Invalid Entry" error="Invalid value. Select from dropdown." type="list">
      <formula1>"Yes,No,Partial,Planned,N/A"</formula1>
    </dataValidation>
    <dataValidation sqref="E6 E7 E8 E9 E10 E11 E12 E13 E14 E15 E16 E17 E18 E19 F6 F7 F8 F9 F10 F11 F12 F13 F14 F15 F16 F17 F18 F19 F20 F21 F22 F23 F24 F25 F26 F27 F28 F29 G6 G7 G8 G9 G10 G11 G12 G13 G14 G15 G16 G17 G18 G19 H6 H7 H8 H9 H10 H11 H12 H13 H14 H15 H16 H17 H18 H19 H20 H21 H22 H23 H24 H25 H26 H27 H28 H29 I6 I7 I8 I9 I10 I11 I12 I13 I14 I15 I16 I17 I18 I19" showDropDown="1" showInputMessage="0" showErrorMessage="0" allowBlank="0" type="list">
      <formula1>"Block,Monitor,None"</formula1>
    </dataValidation>
    <dataValidation sqref="E6 E7 E8 E9 E10 E11 E12 E13 E14 E15 E16 E17 E18 E19 E20 E21 E22 E23 E24 E25 E26 E27 E28 E29 F6 F7 F8 F9 F10 F11 F12 F13 F14 F15 F16 F17 F18 F19 G6 G7 G8 G9 G10 G11 G12 G13 G14 G15 G16 G17 G18 G19 G20 G21 G22 G23 G24 G25 G26 G27 G28 G29" showDropDown="1" showInputMessage="0" showErrorMessage="0" allowBlank="0" type="list">
      <formula1>"Block,Watermark,Monitor,None"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40" customWidth="1" min="1" max="1"/>
    <col width="25" customWidth="1" min="2" max="2"/>
    <col width="20" customWidth="1" min="3" max="3"/>
    <col width="20" customWidth="1" min="4" max="4"/>
    <col width="20" customWidth="1" min="5" max="5"/>
  </cols>
  <sheetData>
    <row r="1" ht="30" customHeight="1">
      <c r="A1" s="1" t="inlineStr">
        <is>
          <t>CHANNEL COVERAGE METRICS</t>
        </is>
      </c>
    </row>
    <row r="2">
      <c r="A2" s="2" t="inlineStr">
        <is>
          <t>Weighted coverage analysis across all channels</t>
        </is>
      </c>
    </row>
    <row r="4">
      <c r="A4" s="5" t="inlineStr">
        <is>
          <t>SECTION 1: CHANNEL COVERAGE SUMMARY</t>
        </is>
      </c>
    </row>
    <row r="5">
      <c r="A5" s="11" t="inlineStr">
        <is>
          <t>Channel</t>
        </is>
      </c>
      <c r="B5" s="11" t="inlineStr">
        <is>
          <t>Target %</t>
        </is>
      </c>
      <c r="C5" s="11" t="inlineStr">
        <is>
          <t>Actual %</t>
        </is>
      </c>
      <c r="D5" s="11" t="inlineStr">
        <is>
          <t>Gap</t>
        </is>
      </c>
      <c r="E5" s="11" t="inlineStr">
        <is>
          <t>Status</t>
        </is>
      </c>
    </row>
    <row r="6">
      <c r="A6" s="12" t="inlineStr">
        <is>
          <t>Email</t>
        </is>
      </c>
      <c r="B6" s="16" t="inlineStr">
        <is>
          <t>95%</t>
        </is>
      </c>
      <c r="C6" s="16">
        <f>Email_Channel!B25</f>
        <v/>
      </c>
      <c r="D6" s="16">
        <f>B6-C6</f>
        <v/>
      </c>
      <c r="E6" s="12">
        <f>IF(C6&gt;=B6,"✅ Compliant","❌ Gap")</f>
        <v/>
      </c>
    </row>
    <row r="7">
      <c r="A7" s="12" t="inlineStr">
        <is>
          <t>Web/Cloud</t>
        </is>
      </c>
      <c r="B7" s="16" t="inlineStr">
        <is>
          <t>90%</t>
        </is>
      </c>
      <c r="C7" s="16">
        <f>Web_Cloud_Channel!B25</f>
        <v/>
      </c>
      <c r="D7" s="16">
        <f>B7-C7</f>
        <v/>
      </c>
      <c r="E7" s="12">
        <f>IF(C7&gt;=B7,"✅ Compliant","❌ Gap")</f>
        <v/>
      </c>
    </row>
    <row r="8">
      <c r="A8" s="12" t="inlineStr">
        <is>
          <t>Endpoint</t>
        </is>
      </c>
      <c r="B8" s="16" t="inlineStr">
        <is>
          <t>95%</t>
        </is>
      </c>
      <c r="C8" s="16">
        <f>Endpoint_Channel!L30</f>
        <v/>
      </c>
      <c r="D8" s="16">
        <f>B8-C8</f>
        <v/>
      </c>
      <c r="E8" s="12">
        <f>IF(C8&gt;=B8,"✅ Compliant","❌ Gap")</f>
        <v/>
      </c>
    </row>
    <row r="9">
      <c r="A9" s="12" t="inlineStr">
        <is>
          <t>Network</t>
        </is>
      </c>
      <c r="B9" s="16" t="inlineStr">
        <is>
          <t>75%</t>
        </is>
      </c>
      <c r="C9" s="16">
        <f>Network_Channel!E20</f>
        <v/>
      </c>
      <c r="D9" s="16">
        <f>B9-C9</f>
        <v/>
      </c>
      <c r="E9" s="12">
        <f>IF(C9&gt;=B9,"✅ Compliant","❌ Gap")</f>
        <v/>
      </c>
    </row>
    <row r="10">
      <c r="A10" s="12" t="inlineStr">
        <is>
          <t>Application</t>
        </is>
      </c>
      <c r="B10" s="16" t="inlineStr">
        <is>
          <t>80%</t>
        </is>
      </c>
      <c r="C10" s="16">
        <f>Application_Channel!E20</f>
        <v/>
      </c>
      <c r="D10" s="16">
        <f>B10-C10</f>
        <v/>
      </c>
      <c r="E10" s="12">
        <f>IF(C10&gt;=B10,"✅ Compliant","❌ Gap")</f>
        <v/>
      </c>
    </row>
    <row r="11">
      <c r="A11" s="12" t="inlineStr">
        <is>
          <t>Mobile</t>
        </is>
      </c>
      <c r="B11" s="16" t="inlineStr">
        <is>
          <t>90%</t>
        </is>
      </c>
      <c r="C11" s="16">
        <f>Mobile_Channel!L20</f>
        <v/>
      </c>
      <c r="D11" s="16">
        <f>B11-C11</f>
        <v/>
      </c>
      <c r="E11" s="12">
        <f>IF(C11&gt;=B11,"✅ Compliant","❌ Gap")</f>
        <v/>
      </c>
    </row>
    <row r="13">
      <c r="A13" s="5" t="inlineStr">
        <is>
          <t>SECTION 2: WEIGHTED AVERAGE COVERAGE</t>
        </is>
      </c>
    </row>
    <row r="14">
      <c r="A14" s="11" t="inlineStr">
        <is>
          <t>Metric</t>
        </is>
      </c>
      <c r="B14" s="11" t="inlineStr">
        <is>
          <t>Formula</t>
        </is>
      </c>
      <c r="C14" s="11" t="inlineStr">
        <is>
          <t>Target</t>
        </is>
      </c>
    </row>
    <row r="15">
      <c r="A15" s="3" t="inlineStr">
        <is>
          <t>Overall Channel Coverage %</t>
        </is>
      </c>
      <c r="B15" s="16">
        <f>AVERAGE(C6:C11)</f>
        <v/>
      </c>
      <c r="C15" s="12" t="inlineStr">
        <is>
          <t>≥85%</t>
        </is>
      </c>
    </row>
    <row r="16">
      <c r="A16" s="3" t="inlineStr">
        <is>
          <t>Tier 1 Channels Avg (Critical)</t>
        </is>
      </c>
      <c r="B16" s="16">
        <f>AVERAGE(C6:C8)</f>
        <v/>
      </c>
      <c r="C16" s="12" t="inlineStr">
        <is>
          <t>≥90%</t>
        </is>
      </c>
    </row>
    <row r="17">
      <c r="A17" s="3" t="inlineStr">
        <is>
          <t>Tier 2 Channels Avg (High)</t>
        </is>
      </c>
      <c r="B17" s="16">
        <f>AVERAGE(C10:C11)</f>
        <v/>
      </c>
      <c r="C17" s="12" t="inlineStr">
        <is>
          <t>≥80%</t>
        </is>
      </c>
    </row>
    <row r="18">
      <c r="A18" s="3" t="inlineStr">
        <is>
          <t>Tier 3-4 Channels Avg (Med-Low)</t>
        </is>
      </c>
      <c r="B18" s="16">
        <f>C9</f>
        <v/>
      </c>
      <c r="C18" s="12" t="inlineStr">
        <is>
          <t>≥70%</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5"/>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40" customWidth="1" min="8" max="8"/>
    <col width="25" customWidth="1" min="9" max="9"/>
    <col width="15" customWidth="1" min="10" max="10"/>
    <col width="18" customWidth="1" min="11" max="11"/>
    <col width="18" customWidth="1" min="12" max="12"/>
  </cols>
  <sheetData>
    <row r="1" ht="30" customHeight="1">
      <c r="A1" s="1" t="inlineStr">
        <is>
          <t>CHANNEL PROTECTION GAP ANALYSIS</t>
        </is>
      </c>
    </row>
    <row r="2">
      <c r="A2" s="2" t="inlineStr">
        <is>
          <t>Document all unprotected channels and remediation plans</t>
        </is>
      </c>
    </row>
    <row r="3">
      <c r="A3" s="13" t="inlineStr">
        <is>
          <t>Identify and prioritize gaps in channel protection coverage</t>
        </is>
      </c>
    </row>
    <row r="5">
      <c r="A5" s="11" t="inlineStr">
        <is>
          <t>Gap ID</t>
        </is>
      </c>
      <c r="B5" s="11" t="inlineStr">
        <is>
          <t>Channel</t>
        </is>
      </c>
      <c r="C5" s="11" t="inlineStr">
        <is>
          <t>Gap Description</t>
        </is>
      </c>
      <c r="D5" s="11" t="inlineStr">
        <is>
          <t>Risk Level</t>
        </is>
      </c>
      <c r="E5" s="11" t="inlineStr">
        <is>
          <t>Exfiltration Risk</t>
        </is>
      </c>
      <c r="F5" s="11" t="inlineStr">
        <is>
          <t>Current Coverage %</t>
        </is>
      </c>
      <c r="G5" s="11" t="inlineStr">
        <is>
          <t>Target Coverage %</t>
        </is>
      </c>
      <c r="H5" s="11" t="inlineStr">
        <is>
          <t>Remediation Plan</t>
        </is>
      </c>
      <c r="I5" s="11" t="inlineStr">
        <is>
          <t>Owner</t>
        </is>
      </c>
      <c r="J5" s="11" t="inlineStr">
        <is>
          <t>Target Date</t>
        </is>
      </c>
      <c r="K5" s="11" t="inlineStr">
        <is>
          <t>Status</t>
        </is>
      </c>
      <c r="L5" s="11" t="inlineStr">
        <is>
          <t>Evidence ID</t>
        </is>
      </c>
    </row>
    <row r="6">
      <c r="A6" s="14" t="inlineStr">
        <is>
          <t>GAP-A812-3-001</t>
        </is>
      </c>
      <c r="B6" s="14" t="inlineStr">
        <is>
          <t>Endpoint</t>
        </is>
      </c>
      <c r="C6" s="14" t="inlineStr">
        <is>
          <t>Linux endpoints not protected by DLP agent</t>
        </is>
      </c>
      <c r="D6" s="14" t="inlineStr">
        <is>
          <t>High</t>
        </is>
      </c>
      <c r="E6" s="14" t="inlineStr">
        <is>
          <t>High</t>
        </is>
      </c>
      <c r="F6" s="14" t="inlineStr">
        <is>
          <t>0</t>
        </is>
      </c>
      <c r="G6" s="14" t="inlineStr">
        <is>
          <t>80</t>
        </is>
      </c>
      <c r="H6" s="14" t="inlineStr">
        <is>
          <t>Deploy endpoint DLP with Linux support or implement compensating controls</t>
        </is>
      </c>
      <c r="I6" s="14" t="inlineStr">
        <is>
          <t>IT Security Lead</t>
        </is>
      </c>
      <c r="J6" s="14" t="inlineStr">
        <is>
          <t>2025-06-30</t>
        </is>
      </c>
      <c r="K6" s="14" t="inlineStr">
        <is>
          <t>Not Started</t>
        </is>
      </c>
      <c r="L6" s="14" t="inlineStr">
        <is>
          <t>A812-3-GAP-001</t>
        </is>
      </c>
    </row>
    <row r="7">
      <c r="A7" s="14" t="inlineStr">
        <is>
          <t>GAP-A812-3-002</t>
        </is>
      </c>
      <c r="B7" s="14" t="inlineStr">
        <is>
          <t>Mobile</t>
        </is>
      </c>
      <c r="C7" s="14" t="inlineStr">
        <is>
          <t>BYOD enrollment rate below target (&lt;50%)</t>
        </is>
      </c>
      <c r="D7" s="14" t="inlineStr">
        <is>
          <t>Medium</t>
        </is>
      </c>
      <c r="E7" s="14" t="inlineStr">
        <is>
          <t>Medium</t>
        </is>
      </c>
      <c r="F7" s="14" t="inlineStr">
        <is>
          <t>50</t>
        </is>
      </c>
      <c r="G7" s="14" t="inlineStr">
        <is>
          <t>90</t>
        </is>
      </c>
      <c r="H7" s="14" t="inlineStr">
        <is>
          <t>Launch BYOD enrollment campaign with user training</t>
        </is>
      </c>
      <c r="I7" s="14" t="inlineStr">
        <is>
          <t>Mobile Admin</t>
        </is>
      </c>
      <c r="J7" s="14" t="inlineStr">
        <is>
          <t>2025-04-30</t>
        </is>
      </c>
      <c r="K7" s="14" t="inlineStr">
        <is>
          <t>In Progress</t>
        </is>
      </c>
      <c r="L7" s="14" t="inlineStr">
        <is>
          <t>A812-3-GAP-002</t>
        </is>
      </c>
    </row>
    <row r="8">
      <c r="A8" s="14" t="inlineStr">
        <is>
          <t>GAP-A812-3-003</t>
        </is>
      </c>
      <c r="B8" s="14" t="inlineStr">
        <is>
          <t>Web</t>
        </is>
      </c>
      <c r="C8" s="14" t="inlineStr">
        <is>
          <t>Personal webmail access not blocked for high-risk users</t>
        </is>
      </c>
      <c r="D8" s="14" t="inlineStr">
        <is>
          <t>Critical</t>
        </is>
      </c>
      <c r="E8" s="14" t="inlineStr">
        <is>
          <t>Very High</t>
        </is>
      </c>
      <c r="F8" s="14" t="inlineStr">
        <is>
          <t>0</t>
        </is>
      </c>
      <c r="G8" s="14" t="inlineStr">
        <is>
          <t>100</t>
        </is>
      </c>
      <c r="H8" s="14" t="inlineStr">
        <is>
          <t>Deploy web filtering policy to block Gmail/Outlook.com for Confidential data users</t>
        </is>
      </c>
      <c r="I8" s="14" t="inlineStr">
        <is>
          <t>Network Security</t>
        </is>
      </c>
      <c r="J8" s="14" t="inlineStr">
        <is>
          <t>2025-03-31</t>
        </is>
      </c>
      <c r="K8" s="14" t="inlineStr">
        <is>
          <t>Planned</t>
        </is>
      </c>
      <c r="L8" s="14" t="inlineStr">
        <is>
          <t>A812-3-GAP-003</t>
        </is>
      </c>
    </row>
    <row r="9">
      <c r="A9" s="12" t="inlineStr">
        <is>
          <t>GAP-A812-3-004</t>
        </is>
      </c>
      <c r="B9" s="12" t="n"/>
      <c r="C9" s="12" t="n"/>
      <c r="D9" s="12" t="n"/>
      <c r="E9" s="12" t="n"/>
      <c r="F9" s="12" t="n"/>
      <c r="G9" s="12" t="n"/>
      <c r="H9" s="12" t="n"/>
      <c r="I9" s="12" t="n"/>
      <c r="J9" s="12" t="n"/>
      <c r="K9" s="12" t="n"/>
      <c r="L9" s="12" t="n"/>
    </row>
    <row r="10">
      <c r="A10" s="12" t="inlineStr">
        <is>
          <t>GAP-A812-3-005</t>
        </is>
      </c>
      <c r="B10" s="12" t="n"/>
      <c r="C10" s="12" t="n"/>
      <c r="D10" s="12" t="n"/>
      <c r="E10" s="12" t="n"/>
      <c r="F10" s="12" t="n"/>
      <c r="G10" s="12" t="n"/>
      <c r="H10" s="12" t="n"/>
      <c r="I10" s="12" t="n"/>
      <c r="J10" s="12" t="n"/>
      <c r="K10" s="12" t="n"/>
      <c r="L10" s="12" t="n"/>
    </row>
    <row r="11">
      <c r="A11" s="12" t="inlineStr">
        <is>
          <t>GAP-A812-3-006</t>
        </is>
      </c>
      <c r="B11" s="12" t="n"/>
      <c r="C11" s="12" t="n"/>
      <c r="D11" s="12" t="n"/>
      <c r="E11" s="12" t="n"/>
      <c r="F11" s="12" t="n"/>
      <c r="G11" s="12" t="n"/>
      <c r="H11" s="12" t="n"/>
      <c r="I11" s="12" t="n"/>
      <c r="J11" s="12" t="n"/>
      <c r="K11" s="12" t="n"/>
      <c r="L11" s="12" t="n"/>
    </row>
    <row r="12">
      <c r="A12" s="12" t="inlineStr">
        <is>
          <t>GAP-A812-3-007</t>
        </is>
      </c>
      <c r="B12" s="12" t="n"/>
      <c r="C12" s="12" t="n"/>
      <c r="D12" s="12" t="n"/>
      <c r="E12" s="12" t="n"/>
      <c r="F12" s="12" t="n"/>
      <c r="G12" s="12" t="n"/>
      <c r="H12" s="12" t="n"/>
      <c r="I12" s="12" t="n"/>
      <c r="J12" s="12" t="n"/>
      <c r="K12" s="12" t="n"/>
      <c r="L12" s="12" t="n"/>
    </row>
    <row r="13">
      <c r="A13" s="12" t="inlineStr">
        <is>
          <t>GAP-A812-3-008</t>
        </is>
      </c>
      <c r="B13" s="12" t="n"/>
      <c r="C13" s="12" t="n"/>
      <c r="D13" s="12" t="n"/>
      <c r="E13" s="12" t="n"/>
      <c r="F13" s="12" t="n"/>
      <c r="G13" s="12" t="n"/>
      <c r="H13" s="12" t="n"/>
      <c r="I13" s="12" t="n"/>
      <c r="J13" s="12" t="n"/>
      <c r="K13" s="12" t="n"/>
      <c r="L13" s="12" t="n"/>
    </row>
    <row r="14">
      <c r="A14" s="12" t="inlineStr">
        <is>
          <t>GAP-A812-3-009</t>
        </is>
      </c>
      <c r="B14" s="12" t="n"/>
      <c r="C14" s="12" t="n"/>
      <c r="D14" s="12" t="n"/>
      <c r="E14" s="12" t="n"/>
      <c r="F14" s="12" t="n"/>
      <c r="G14" s="12" t="n"/>
      <c r="H14" s="12" t="n"/>
      <c r="I14" s="12" t="n"/>
      <c r="J14" s="12" t="n"/>
      <c r="K14" s="12" t="n"/>
      <c r="L14" s="12" t="n"/>
    </row>
    <row r="15">
      <c r="A15" s="12" t="inlineStr">
        <is>
          <t>GAP-A812-3-010</t>
        </is>
      </c>
      <c r="B15" s="12" t="n"/>
      <c r="C15" s="12" t="n"/>
      <c r="D15" s="12" t="n"/>
      <c r="E15" s="12" t="n"/>
      <c r="F15" s="12" t="n"/>
      <c r="G15" s="12" t="n"/>
      <c r="H15" s="12" t="n"/>
      <c r="I15" s="12" t="n"/>
      <c r="J15" s="12" t="n"/>
      <c r="K15" s="12" t="n"/>
      <c r="L15" s="12" t="n"/>
    </row>
    <row r="16">
      <c r="A16" s="12" t="inlineStr">
        <is>
          <t>GAP-A812-3-011</t>
        </is>
      </c>
      <c r="B16" s="12" t="n"/>
      <c r="C16" s="12" t="n"/>
      <c r="D16" s="12" t="n"/>
      <c r="E16" s="12" t="n"/>
      <c r="F16" s="12" t="n"/>
      <c r="G16" s="12" t="n"/>
      <c r="H16" s="12" t="n"/>
      <c r="I16" s="12" t="n"/>
      <c r="J16" s="12" t="n"/>
      <c r="K16" s="12" t="n"/>
      <c r="L16" s="12" t="n"/>
    </row>
    <row r="17">
      <c r="A17" s="12" t="inlineStr">
        <is>
          <t>GAP-A812-3-012</t>
        </is>
      </c>
      <c r="B17" s="12" t="n"/>
      <c r="C17" s="12" t="n"/>
      <c r="D17" s="12" t="n"/>
      <c r="E17" s="12" t="n"/>
      <c r="F17" s="12" t="n"/>
      <c r="G17" s="12" t="n"/>
      <c r="H17" s="12" t="n"/>
      <c r="I17" s="12" t="n"/>
      <c r="J17" s="12" t="n"/>
      <c r="K17" s="12" t="n"/>
      <c r="L17" s="12" t="n"/>
    </row>
    <row r="18">
      <c r="A18" s="12" t="inlineStr">
        <is>
          <t>GAP-A812-3-013</t>
        </is>
      </c>
      <c r="B18" s="12" t="n"/>
      <c r="C18" s="12" t="n"/>
      <c r="D18" s="12" t="n"/>
      <c r="E18" s="12" t="n"/>
      <c r="F18" s="12" t="n"/>
      <c r="G18" s="12" t="n"/>
      <c r="H18" s="12" t="n"/>
      <c r="I18" s="12" t="n"/>
      <c r="J18" s="12" t="n"/>
      <c r="K18" s="12" t="n"/>
      <c r="L18" s="12" t="n"/>
    </row>
    <row r="19">
      <c r="A19" s="12" t="inlineStr">
        <is>
          <t>GAP-A812-3-014</t>
        </is>
      </c>
      <c r="B19" s="12" t="n"/>
      <c r="C19" s="12" t="n"/>
      <c r="D19" s="12" t="n"/>
      <c r="E19" s="12" t="n"/>
      <c r="F19" s="12" t="n"/>
      <c r="G19" s="12" t="n"/>
      <c r="H19" s="12" t="n"/>
      <c r="I19" s="12" t="n"/>
      <c r="J19" s="12" t="n"/>
      <c r="K19" s="12" t="n"/>
      <c r="L19" s="12" t="n"/>
    </row>
    <row r="20">
      <c r="A20" s="12" t="inlineStr">
        <is>
          <t>GAP-A812-3-015</t>
        </is>
      </c>
      <c r="B20" s="12" t="n"/>
      <c r="C20" s="12" t="n"/>
      <c r="D20" s="12" t="n"/>
      <c r="E20" s="12" t="n"/>
      <c r="F20" s="12" t="n"/>
      <c r="G20" s="12" t="n"/>
      <c r="H20" s="12" t="n"/>
      <c r="I20" s="12" t="n"/>
      <c r="J20" s="12" t="n"/>
      <c r="K20" s="12" t="n"/>
      <c r="L20" s="12" t="n"/>
    </row>
    <row r="21">
      <c r="A21" s="12" t="inlineStr">
        <is>
          <t>GAP-A812-3-016</t>
        </is>
      </c>
      <c r="B21" s="12" t="n"/>
      <c r="C21" s="12" t="n"/>
      <c r="D21" s="12" t="n"/>
      <c r="E21" s="12" t="n"/>
      <c r="F21" s="12" t="n"/>
      <c r="G21" s="12" t="n"/>
      <c r="H21" s="12" t="n"/>
      <c r="I21" s="12" t="n"/>
      <c r="J21" s="12" t="n"/>
      <c r="K21" s="12" t="n"/>
      <c r="L21" s="12" t="n"/>
    </row>
    <row r="22">
      <c r="A22" s="12" t="inlineStr">
        <is>
          <t>GAP-A812-3-017</t>
        </is>
      </c>
      <c r="B22" s="12" t="n"/>
      <c r="C22" s="12" t="n"/>
      <c r="D22" s="12" t="n"/>
      <c r="E22" s="12" t="n"/>
      <c r="F22" s="12" t="n"/>
      <c r="G22" s="12" t="n"/>
      <c r="H22" s="12" t="n"/>
      <c r="I22" s="12" t="n"/>
      <c r="J22" s="12" t="n"/>
      <c r="K22" s="12" t="n"/>
      <c r="L22" s="12" t="n"/>
    </row>
    <row r="23">
      <c r="A23" s="12" t="inlineStr">
        <is>
          <t>GAP-A812-3-018</t>
        </is>
      </c>
      <c r="B23" s="12" t="n"/>
      <c r="C23" s="12" t="n"/>
      <c r="D23" s="12" t="n"/>
      <c r="E23" s="12" t="n"/>
      <c r="F23" s="12" t="n"/>
      <c r="G23" s="12" t="n"/>
      <c r="H23" s="12" t="n"/>
      <c r="I23" s="12" t="n"/>
      <c r="J23" s="12" t="n"/>
      <c r="K23" s="12" t="n"/>
      <c r="L23" s="12" t="n"/>
    </row>
    <row r="24">
      <c r="A24" s="12" t="inlineStr">
        <is>
          <t>GAP-A812-3-019</t>
        </is>
      </c>
      <c r="B24" s="12" t="n"/>
      <c r="C24" s="12" t="n"/>
      <c r="D24" s="12" t="n"/>
      <c r="E24" s="12" t="n"/>
      <c r="F24" s="12" t="n"/>
      <c r="G24" s="12" t="n"/>
      <c r="H24" s="12" t="n"/>
      <c r="I24" s="12" t="n"/>
      <c r="J24" s="12" t="n"/>
      <c r="K24" s="12" t="n"/>
      <c r="L24" s="12" t="n"/>
    </row>
    <row r="25">
      <c r="A25" s="12" t="inlineStr">
        <is>
          <t>GAP-A812-3-020</t>
        </is>
      </c>
      <c r="B25" s="12" t="n"/>
      <c r="C25" s="12" t="n"/>
      <c r="D25" s="12" t="n"/>
      <c r="E25" s="12" t="n"/>
      <c r="F25" s="12" t="n"/>
      <c r="G25" s="12" t="n"/>
      <c r="H25" s="12" t="n"/>
      <c r="I25" s="12" t="n"/>
      <c r="J25" s="12" t="n"/>
      <c r="K25" s="12" t="n"/>
      <c r="L25" s="12" t="n"/>
    </row>
    <row r="26">
      <c r="A26" s="12" t="inlineStr">
        <is>
          <t>GAP-A812-3-021</t>
        </is>
      </c>
      <c r="B26" s="12" t="n"/>
      <c r="C26" s="12" t="n"/>
      <c r="D26" s="12" t="n"/>
      <c r="E26" s="12" t="n"/>
      <c r="F26" s="12" t="n"/>
      <c r="G26" s="12" t="n"/>
      <c r="H26" s="12" t="n"/>
      <c r="I26" s="12" t="n"/>
      <c r="J26" s="12" t="n"/>
      <c r="K26" s="12" t="n"/>
      <c r="L26" s="12" t="n"/>
    </row>
    <row r="27">
      <c r="A27" s="12" t="inlineStr">
        <is>
          <t>GAP-A812-3-022</t>
        </is>
      </c>
      <c r="B27" s="12" t="n"/>
      <c r="C27" s="12" t="n"/>
      <c r="D27" s="12" t="n"/>
      <c r="E27" s="12" t="n"/>
      <c r="F27" s="12" t="n"/>
      <c r="G27" s="12" t="n"/>
      <c r="H27" s="12" t="n"/>
      <c r="I27" s="12" t="n"/>
      <c r="J27" s="12" t="n"/>
      <c r="K27" s="12" t="n"/>
      <c r="L27" s="12" t="n"/>
    </row>
    <row r="28">
      <c r="A28" s="12" t="inlineStr">
        <is>
          <t>GAP-A812-3-023</t>
        </is>
      </c>
      <c r="B28" s="12" t="n"/>
      <c r="C28" s="12" t="n"/>
      <c r="D28" s="12" t="n"/>
      <c r="E28" s="12" t="n"/>
      <c r="F28" s="12" t="n"/>
      <c r="G28" s="12" t="n"/>
      <c r="H28" s="12" t="n"/>
      <c r="I28" s="12" t="n"/>
      <c r="J28" s="12" t="n"/>
      <c r="K28" s="12" t="n"/>
      <c r="L28" s="12" t="n"/>
    </row>
    <row r="29">
      <c r="A29" s="12" t="inlineStr">
        <is>
          <t>GAP-A812-3-024</t>
        </is>
      </c>
      <c r="B29" s="12" t="n"/>
      <c r="C29" s="12" t="n"/>
      <c r="D29" s="12" t="n"/>
      <c r="E29" s="12" t="n"/>
      <c r="F29" s="12" t="n"/>
      <c r="G29" s="12" t="n"/>
      <c r="H29" s="12" t="n"/>
      <c r="I29" s="12" t="n"/>
      <c r="J29" s="12" t="n"/>
      <c r="K29" s="12" t="n"/>
      <c r="L29" s="12" t="n"/>
    </row>
    <row r="30">
      <c r="A30" s="12" t="inlineStr">
        <is>
          <t>GAP-A812-3-025</t>
        </is>
      </c>
      <c r="B30" s="12" t="n"/>
      <c r="C30" s="12" t="n"/>
      <c r="D30" s="12" t="n"/>
      <c r="E30" s="12" t="n"/>
      <c r="F30" s="12" t="n"/>
      <c r="G30" s="12" t="n"/>
      <c r="H30" s="12" t="n"/>
      <c r="I30" s="12" t="n"/>
      <c r="J30" s="12" t="n"/>
      <c r="K30" s="12" t="n"/>
      <c r="L30" s="12" t="n"/>
    </row>
    <row r="31">
      <c r="A31" s="12" t="inlineStr">
        <is>
          <t>GAP-A812-3-026</t>
        </is>
      </c>
      <c r="B31" s="12" t="n"/>
      <c r="C31" s="12" t="n"/>
      <c r="D31" s="12" t="n"/>
      <c r="E31" s="12" t="n"/>
      <c r="F31" s="12" t="n"/>
      <c r="G31" s="12" t="n"/>
      <c r="H31" s="12" t="n"/>
      <c r="I31" s="12" t="n"/>
      <c r="J31" s="12" t="n"/>
      <c r="K31" s="12" t="n"/>
      <c r="L31" s="12" t="n"/>
    </row>
    <row r="32">
      <c r="A32" s="12" t="inlineStr">
        <is>
          <t>GAP-A812-3-027</t>
        </is>
      </c>
      <c r="B32" s="12" t="n"/>
      <c r="C32" s="12" t="n"/>
      <c r="D32" s="12" t="n"/>
      <c r="E32" s="12" t="n"/>
      <c r="F32" s="12" t="n"/>
      <c r="G32" s="12" t="n"/>
      <c r="H32" s="12" t="n"/>
      <c r="I32" s="12" t="n"/>
      <c r="J32" s="12" t="n"/>
      <c r="K32" s="12" t="n"/>
      <c r="L32" s="12" t="n"/>
    </row>
    <row r="33">
      <c r="A33" s="12" t="inlineStr">
        <is>
          <t>GAP-A812-3-028</t>
        </is>
      </c>
      <c r="B33" s="12" t="n"/>
      <c r="C33" s="12" t="n"/>
      <c r="D33" s="12" t="n"/>
      <c r="E33" s="12" t="n"/>
      <c r="F33" s="12" t="n"/>
      <c r="G33" s="12" t="n"/>
      <c r="H33" s="12" t="n"/>
      <c r="I33" s="12" t="n"/>
      <c r="J33" s="12" t="n"/>
      <c r="K33" s="12" t="n"/>
      <c r="L33" s="12" t="n"/>
    </row>
    <row r="34">
      <c r="A34" s="12" t="inlineStr">
        <is>
          <t>GAP-A812-3-029</t>
        </is>
      </c>
      <c r="B34" s="12" t="n"/>
      <c r="C34" s="12" t="n"/>
      <c r="D34" s="12" t="n"/>
      <c r="E34" s="12" t="n"/>
      <c r="F34" s="12" t="n"/>
      <c r="G34" s="12" t="n"/>
      <c r="H34" s="12" t="n"/>
      <c r="I34" s="12" t="n"/>
      <c r="J34" s="12" t="n"/>
      <c r="K34" s="12" t="n"/>
      <c r="L34" s="12" t="n"/>
    </row>
    <row r="35">
      <c r="A35" s="12" t="inlineStr">
        <is>
          <t>GAP-A812-3-030</t>
        </is>
      </c>
      <c r="B35" s="12" t="n"/>
      <c r="C35" s="12" t="n"/>
      <c r="D35" s="12" t="n"/>
      <c r="E35" s="12" t="n"/>
      <c r="F35" s="12" t="n"/>
      <c r="G35" s="12" t="n"/>
      <c r="H35" s="12" t="n"/>
      <c r="I35" s="12" t="n"/>
      <c r="J35" s="12" t="n"/>
      <c r="K35" s="12" t="n"/>
      <c r="L35" s="12" t="n"/>
    </row>
    <row r="36">
      <c r="A36" s="12" t="inlineStr">
        <is>
          <t>GAP-A812-3-031</t>
        </is>
      </c>
      <c r="B36" s="12" t="n"/>
      <c r="C36" s="12" t="n"/>
      <c r="D36" s="12" t="n"/>
      <c r="E36" s="12" t="n"/>
      <c r="F36" s="12" t="n"/>
      <c r="G36" s="12" t="n"/>
      <c r="H36" s="12" t="n"/>
      <c r="I36" s="12" t="n"/>
      <c r="J36" s="12" t="n"/>
      <c r="K36" s="12" t="n"/>
      <c r="L36" s="12" t="n"/>
    </row>
    <row r="37">
      <c r="A37" s="12" t="inlineStr">
        <is>
          <t>GAP-A812-3-032</t>
        </is>
      </c>
      <c r="B37" s="12" t="n"/>
      <c r="C37" s="12" t="n"/>
      <c r="D37" s="12" t="n"/>
      <c r="E37" s="12" t="n"/>
      <c r="F37" s="12" t="n"/>
      <c r="G37" s="12" t="n"/>
      <c r="H37" s="12" t="n"/>
      <c r="I37" s="12" t="n"/>
      <c r="J37" s="12" t="n"/>
      <c r="K37" s="12" t="n"/>
      <c r="L37" s="12" t="n"/>
    </row>
    <row r="38">
      <c r="A38" s="12" t="inlineStr">
        <is>
          <t>GAP-A812-3-033</t>
        </is>
      </c>
      <c r="B38" s="12" t="n"/>
      <c r="C38" s="12" t="n"/>
      <c r="D38" s="12" t="n"/>
      <c r="E38" s="12" t="n"/>
      <c r="F38" s="12" t="n"/>
      <c r="G38" s="12" t="n"/>
      <c r="H38" s="12" t="n"/>
      <c r="I38" s="12" t="n"/>
      <c r="J38" s="12" t="n"/>
      <c r="K38" s="12" t="n"/>
      <c r="L38" s="12" t="n"/>
    </row>
    <row r="39">
      <c r="A39" s="12" t="inlineStr">
        <is>
          <t>GAP-A812-3-034</t>
        </is>
      </c>
      <c r="B39" s="12" t="n"/>
      <c r="C39" s="12" t="n"/>
      <c r="D39" s="12" t="n"/>
      <c r="E39" s="12" t="n"/>
      <c r="F39" s="12" t="n"/>
      <c r="G39" s="12" t="n"/>
      <c r="H39" s="12" t="n"/>
      <c r="I39" s="12" t="n"/>
      <c r="J39" s="12" t="n"/>
      <c r="K39" s="12" t="n"/>
      <c r="L39" s="12" t="n"/>
    </row>
    <row r="40">
      <c r="A40" s="12" t="inlineStr">
        <is>
          <t>GAP-A812-3-035</t>
        </is>
      </c>
      <c r="B40" s="12" t="n"/>
      <c r="C40" s="12" t="n"/>
      <c r="D40" s="12" t="n"/>
      <c r="E40" s="12" t="n"/>
      <c r="F40" s="12" t="n"/>
      <c r="G40" s="12" t="n"/>
      <c r="H40" s="12" t="n"/>
      <c r="I40" s="12" t="n"/>
      <c r="J40" s="12" t="n"/>
      <c r="K40" s="12" t="n"/>
      <c r="L40" s="12" t="n"/>
    </row>
    <row r="41">
      <c r="A41" s="12" t="inlineStr">
        <is>
          <t>GAP-A812-3-036</t>
        </is>
      </c>
      <c r="B41" s="12" t="n"/>
      <c r="C41" s="12" t="n"/>
      <c r="D41" s="12" t="n"/>
      <c r="E41" s="12" t="n"/>
      <c r="F41" s="12" t="n"/>
      <c r="G41" s="12" t="n"/>
      <c r="H41" s="12" t="n"/>
      <c r="I41" s="12" t="n"/>
      <c r="J41" s="12" t="n"/>
      <c r="K41" s="12" t="n"/>
      <c r="L41" s="12" t="n"/>
    </row>
    <row r="42">
      <c r="A42" s="12" t="inlineStr">
        <is>
          <t>GAP-A812-3-037</t>
        </is>
      </c>
      <c r="B42" s="12" t="n"/>
      <c r="C42" s="12" t="n"/>
      <c r="D42" s="12" t="n"/>
      <c r="E42" s="12" t="n"/>
      <c r="F42" s="12" t="n"/>
      <c r="G42" s="12" t="n"/>
      <c r="H42" s="12" t="n"/>
      <c r="I42" s="12" t="n"/>
      <c r="J42" s="12" t="n"/>
      <c r="K42" s="12" t="n"/>
      <c r="L42" s="12" t="n"/>
    </row>
    <row r="43">
      <c r="A43" s="12" t="inlineStr">
        <is>
          <t>GAP-A812-3-038</t>
        </is>
      </c>
      <c r="B43" s="12" t="n"/>
      <c r="C43" s="12" t="n"/>
      <c r="D43" s="12" t="n"/>
      <c r="E43" s="12" t="n"/>
      <c r="F43" s="12" t="n"/>
      <c r="G43" s="12" t="n"/>
      <c r="H43" s="12" t="n"/>
      <c r="I43" s="12" t="n"/>
      <c r="J43" s="12" t="n"/>
      <c r="K43" s="12" t="n"/>
      <c r="L43" s="12" t="n"/>
    </row>
    <row r="44">
      <c r="A44" s="12" t="inlineStr">
        <is>
          <t>GAP-A812-3-039</t>
        </is>
      </c>
      <c r="B44" s="12" t="n"/>
      <c r="C44" s="12" t="n"/>
      <c r="D44" s="12" t="n"/>
      <c r="E44" s="12" t="n"/>
      <c r="F44" s="12" t="n"/>
      <c r="G44" s="12" t="n"/>
      <c r="H44" s="12" t="n"/>
      <c r="I44" s="12" t="n"/>
      <c r="J44" s="12" t="n"/>
      <c r="K44" s="12" t="n"/>
      <c r="L44" s="12" t="n"/>
    </row>
    <row r="45">
      <c r="A45" s="12" t="inlineStr">
        <is>
          <t>GAP-A812-3-040</t>
        </is>
      </c>
      <c r="B45" s="12" t="n"/>
      <c r="C45" s="12" t="n"/>
      <c r="D45" s="12" t="n"/>
      <c r="E45" s="12" t="n"/>
      <c r="F45" s="12" t="n"/>
      <c r="G45" s="12" t="n"/>
      <c r="H45" s="12" t="n"/>
      <c r="I45" s="12" t="n"/>
      <c r="J45" s="12" t="n"/>
      <c r="K45" s="12" t="n"/>
      <c r="L45" s="12" t="n"/>
    </row>
  </sheetData>
  <mergeCells count="3">
    <mergeCell ref="A3:L3"/>
    <mergeCell ref="A2:L2"/>
    <mergeCell ref="A1:L1"/>
  </mergeCells>
  <dataValidations count="4">
    <dataValidation sqref="B6 B7 B8 B9 B10 B11 B12 B13 B14 B15 B16 B17 B18 B19 B20 B21 B22 B23 B24 B25 B26 B27 B28 B29 B30 B31 B32 B33 B34 B35 B36 B37 B38 B39 B40 B41 B42 B43 B44 B4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1" showInputMessage="0" showErrorMessage="0" allowBlank="0" type="list">
      <formula1>"Email,Web,Endpoint,Network,App,Mobile"</formula1>
    </dataValidation>
    <dataValidation sqref="D6 D7 D8 D9 D10 D11 D12 D13 D14 D15 D16 D17 D18 D19 D20 D21 D22 D23 D24 D25 D26 D27 D28 D29 D30 D31 D32 D33 D34 D35 D36 D37 D38 D39 D40 D41 D42 D43 D44 D45" showDropDown="1" showInputMessage="0" showErrorMessage="0" allowBlank="0" type="list">
      <formula1>"Critical,High,Medium,Low"</formula1>
    </dataValidation>
    <dataValidation sqref="E6 E7 E8 E9 E10 E11 E12 E13 E14 E15 E16 E17 E18 E19 E20 E21 E22 E23 E24 E25 E26 E27 E28 E29 E30 E31 E32 E33 E34 E35 E36 E37 E38 E39 E40 E41 E42 E43 E44 E45" showDropDown="1" showInputMessage="0" showErrorMessage="0" allowBlank="0" type="list">
      <formula1>"Very High,High,Medium,Low,Very Low"</formula1>
    </dataValidation>
    <dataValidation sqref="K6 K7 K8 K9 K10 K11 K12 K13 K14 K15 K16 K17 K18 K19 K20 K21 K22 K23 K24 K25 K26 K27 K28 K29 K30 K31 K32 K33 K34 K35 K36 K37 K38 K39 K40 K41 K42 K43 K44 K45" showDropDown="1"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20" customWidth="1" min="3" max="3"/>
    <col width="40" customWidth="1" min="4" max="4"/>
    <col width="15" customWidth="1" min="5" max="5"/>
    <col width="25" customWidth="1" min="6" max="6"/>
    <col width="30" customWidth="1" min="7" max="7"/>
    <col width="18" customWidth="1" min="8" max="8"/>
    <col width="25" customWidth="1" min="9" max="9"/>
    <col width="15" customWidth="1" min="10" max="10"/>
    <col width="40" customWidth="1" min="11" max="11"/>
  </cols>
  <sheetData>
    <row r="1" ht="30" customHeight="1">
      <c r="A1" s="1" t="inlineStr">
        <is>
          <t>EVIDENCE REGISTER</t>
        </is>
      </c>
    </row>
    <row r="2">
      <c r="A2" s="2" t="inlineStr">
        <is>
          <t>Track all evidence collected for channel protection assessment</t>
        </is>
      </c>
    </row>
    <row r="3">
      <c r="A3" s="13" t="inlineStr">
        <is>
          <t>Document all evidence supporting channel coverage assessments</t>
        </is>
      </c>
    </row>
    <row r="5">
      <c r="A5" s="11" t="inlineStr">
        <is>
          <t>Evidence ID</t>
        </is>
      </c>
      <c r="B5" s="11" t="inlineStr">
        <is>
          <t>Evidence Type</t>
        </is>
      </c>
      <c r="C5" s="11" t="inlineStr">
        <is>
          <t>Channel</t>
        </is>
      </c>
      <c r="D5" s="11" t="inlineStr">
        <is>
          <t>Description</t>
        </is>
      </c>
      <c r="E5" s="11" t="inlineStr">
        <is>
          <t>Collection Date</t>
        </is>
      </c>
      <c r="F5" s="11" t="inlineStr">
        <is>
          <t>Collected By</t>
        </is>
      </c>
      <c r="G5" s="11" t="inlineStr">
        <is>
          <t>Storage Location</t>
        </is>
      </c>
      <c r="H5" s="11" t="inlineStr">
        <is>
          <t>Verification Status</t>
        </is>
      </c>
      <c r="I5" s="11" t="inlineStr">
        <is>
          <t>Verified By</t>
        </is>
      </c>
      <c r="J5" s="11" t="inlineStr">
        <is>
          <t>Verification Date</t>
        </is>
      </c>
      <c r="K5" s="11" t="inlineStr">
        <is>
          <t>Notes</t>
        </is>
      </c>
    </row>
    <row r="6">
      <c r="A6" s="12" t="n"/>
      <c r="B6" s="12" t="n"/>
      <c r="C6" s="12" t="n"/>
      <c r="D6" s="12" t="n"/>
      <c r="E6" s="12" t="n"/>
      <c r="F6" s="12" t="n"/>
      <c r="G6" s="12" t="n"/>
      <c r="H6" s="12" t="n"/>
      <c r="I6" s="12" t="n"/>
      <c r="J6" s="12" t="n"/>
      <c r="K6" s="12" t="n"/>
    </row>
    <row r="7">
      <c r="A7" s="12" t="n"/>
      <c r="B7" s="12" t="n"/>
      <c r="C7" s="12" t="n"/>
      <c r="D7" s="12" t="n"/>
      <c r="E7" s="12" t="n"/>
      <c r="F7" s="12" t="n"/>
      <c r="G7" s="12" t="n"/>
      <c r="H7" s="12" t="n"/>
      <c r="I7" s="12" t="n"/>
      <c r="J7" s="12" t="n"/>
      <c r="K7" s="12" t="n"/>
    </row>
    <row r="8">
      <c r="A8" s="12" t="n"/>
      <c r="B8" s="12" t="n"/>
      <c r="C8" s="12" t="n"/>
      <c r="D8" s="12" t="n"/>
      <c r="E8" s="12" t="n"/>
      <c r="F8" s="12" t="n"/>
      <c r="G8" s="12" t="n"/>
      <c r="H8" s="12" t="n"/>
      <c r="I8" s="12" t="n"/>
      <c r="J8" s="12" t="n"/>
      <c r="K8" s="12" t="n"/>
    </row>
    <row r="9">
      <c r="A9" s="12" t="n"/>
      <c r="B9" s="12" t="n"/>
      <c r="C9" s="12" t="n"/>
      <c r="D9" s="12" t="n"/>
      <c r="E9" s="12" t="n"/>
      <c r="F9" s="12" t="n"/>
      <c r="G9" s="12" t="n"/>
      <c r="H9" s="12" t="n"/>
      <c r="I9" s="12" t="n"/>
      <c r="J9" s="12" t="n"/>
      <c r="K9" s="12" t="n"/>
    </row>
    <row r="10">
      <c r="A10" s="12" t="n"/>
      <c r="B10" s="12" t="n"/>
      <c r="C10" s="12" t="n"/>
      <c r="D10" s="12" t="n"/>
      <c r="E10" s="12" t="n"/>
      <c r="F10" s="12" t="n"/>
      <c r="G10" s="12" t="n"/>
      <c r="H10" s="12" t="n"/>
      <c r="I10" s="12" t="n"/>
      <c r="J10" s="12" t="n"/>
      <c r="K10" s="12" t="n"/>
    </row>
    <row r="11">
      <c r="A11" s="12" t="n"/>
      <c r="B11" s="12" t="n"/>
      <c r="C11" s="12" t="n"/>
      <c r="D11" s="12" t="n"/>
      <c r="E11" s="12" t="n"/>
      <c r="F11" s="12" t="n"/>
      <c r="G11" s="12" t="n"/>
      <c r="H11" s="12" t="n"/>
      <c r="I11" s="12" t="n"/>
      <c r="J11" s="12" t="n"/>
      <c r="K11" s="12" t="n"/>
    </row>
    <row r="12">
      <c r="A12" s="12" t="n"/>
      <c r="B12" s="12" t="n"/>
      <c r="C12" s="12" t="n"/>
      <c r="D12" s="12" t="n"/>
      <c r="E12" s="12" t="n"/>
      <c r="F12" s="12" t="n"/>
      <c r="G12" s="12" t="n"/>
      <c r="H12" s="12" t="n"/>
      <c r="I12" s="12" t="n"/>
      <c r="J12" s="12" t="n"/>
      <c r="K12" s="12" t="n"/>
    </row>
    <row r="13">
      <c r="A13" s="12" t="n"/>
      <c r="B13" s="12" t="n"/>
      <c r="C13" s="12" t="n"/>
      <c r="D13" s="12" t="n"/>
      <c r="E13" s="12" t="n"/>
      <c r="F13" s="12" t="n"/>
      <c r="G13" s="12" t="n"/>
      <c r="H13" s="12" t="n"/>
      <c r="I13" s="12" t="n"/>
      <c r="J13" s="12" t="n"/>
      <c r="K13" s="12" t="n"/>
    </row>
    <row r="14">
      <c r="A14" s="12" t="n"/>
      <c r="B14" s="12" t="n"/>
      <c r="C14" s="12" t="n"/>
      <c r="D14" s="12" t="n"/>
      <c r="E14" s="12" t="n"/>
      <c r="F14" s="12" t="n"/>
      <c r="G14" s="12" t="n"/>
      <c r="H14" s="12" t="n"/>
      <c r="I14" s="12" t="n"/>
      <c r="J14" s="12" t="n"/>
      <c r="K14" s="12" t="n"/>
    </row>
    <row r="15">
      <c r="A15" s="12" t="n"/>
      <c r="B15" s="12" t="n"/>
      <c r="C15" s="12" t="n"/>
      <c r="D15" s="12" t="n"/>
      <c r="E15" s="12" t="n"/>
      <c r="F15" s="12" t="n"/>
      <c r="G15" s="12" t="n"/>
      <c r="H15" s="12" t="n"/>
      <c r="I15" s="12" t="n"/>
      <c r="J15" s="12" t="n"/>
      <c r="K15" s="12" t="n"/>
    </row>
    <row r="16">
      <c r="A16" s="12" t="n"/>
      <c r="B16" s="12" t="n"/>
      <c r="C16" s="12" t="n"/>
      <c r="D16" s="12" t="n"/>
      <c r="E16" s="12" t="n"/>
      <c r="F16" s="12" t="n"/>
      <c r="G16" s="12" t="n"/>
      <c r="H16" s="12" t="n"/>
      <c r="I16" s="12" t="n"/>
      <c r="J16" s="12" t="n"/>
      <c r="K16" s="12" t="n"/>
    </row>
    <row r="17">
      <c r="A17" s="12" t="n"/>
      <c r="B17" s="12" t="n"/>
      <c r="C17" s="12" t="n"/>
      <c r="D17" s="12" t="n"/>
      <c r="E17" s="12" t="n"/>
      <c r="F17" s="12" t="n"/>
      <c r="G17" s="12" t="n"/>
      <c r="H17" s="12" t="n"/>
      <c r="I17" s="12" t="n"/>
      <c r="J17" s="12" t="n"/>
      <c r="K17" s="12" t="n"/>
    </row>
    <row r="18">
      <c r="A18" s="12" t="n"/>
      <c r="B18" s="12" t="n"/>
      <c r="C18" s="12" t="n"/>
      <c r="D18" s="12" t="n"/>
      <c r="E18" s="12" t="n"/>
      <c r="F18" s="12" t="n"/>
      <c r="G18" s="12" t="n"/>
      <c r="H18" s="12" t="n"/>
      <c r="I18" s="12" t="n"/>
      <c r="J18" s="12" t="n"/>
      <c r="K18" s="12" t="n"/>
    </row>
    <row r="19">
      <c r="A19" s="12" t="n"/>
      <c r="B19" s="12" t="n"/>
      <c r="C19" s="12" t="n"/>
      <c r="D19" s="12" t="n"/>
      <c r="E19" s="12" t="n"/>
      <c r="F19" s="12" t="n"/>
      <c r="G19" s="12" t="n"/>
      <c r="H19" s="12" t="n"/>
      <c r="I19" s="12" t="n"/>
      <c r="J19" s="12" t="n"/>
      <c r="K19" s="12" t="n"/>
    </row>
    <row r="20">
      <c r="A20" s="12" t="n"/>
      <c r="B20" s="12" t="n"/>
      <c r="C20" s="12" t="n"/>
      <c r="D20" s="12" t="n"/>
      <c r="E20" s="12" t="n"/>
      <c r="F20" s="12" t="n"/>
      <c r="G20" s="12" t="n"/>
      <c r="H20" s="12" t="n"/>
      <c r="I20" s="12" t="n"/>
      <c r="J20" s="12" t="n"/>
      <c r="K20" s="12" t="n"/>
    </row>
    <row r="21">
      <c r="A21" s="12" t="n"/>
      <c r="B21" s="12" t="n"/>
      <c r="C21" s="12" t="n"/>
      <c r="D21" s="12" t="n"/>
      <c r="E21" s="12" t="n"/>
      <c r="F21" s="12" t="n"/>
      <c r="G21" s="12" t="n"/>
      <c r="H21" s="12" t="n"/>
      <c r="I21" s="12" t="n"/>
      <c r="J21" s="12" t="n"/>
      <c r="K21" s="12" t="n"/>
    </row>
    <row r="22">
      <c r="A22" s="12" t="n"/>
      <c r="B22" s="12" t="n"/>
      <c r="C22" s="12" t="n"/>
      <c r="D22" s="12" t="n"/>
      <c r="E22" s="12" t="n"/>
      <c r="F22" s="12" t="n"/>
      <c r="G22" s="12" t="n"/>
      <c r="H22" s="12" t="n"/>
      <c r="I22" s="12" t="n"/>
      <c r="J22" s="12" t="n"/>
      <c r="K22" s="12" t="n"/>
    </row>
    <row r="23">
      <c r="A23" s="12" t="n"/>
      <c r="B23" s="12" t="n"/>
      <c r="C23" s="12" t="n"/>
      <c r="D23" s="12" t="n"/>
      <c r="E23" s="12" t="n"/>
      <c r="F23" s="12" t="n"/>
      <c r="G23" s="12" t="n"/>
      <c r="H23" s="12" t="n"/>
      <c r="I23" s="12" t="n"/>
      <c r="J23" s="12" t="n"/>
      <c r="K23" s="12" t="n"/>
    </row>
    <row r="24">
      <c r="A24" s="12" t="n"/>
      <c r="B24" s="12" t="n"/>
      <c r="C24" s="12" t="n"/>
      <c r="D24" s="12" t="n"/>
      <c r="E24" s="12" t="n"/>
      <c r="F24" s="12" t="n"/>
      <c r="G24" s="12" t="n"/>
      <c r="H24" s="12" t="n"/>
      <c r="I24" s="12" t="n"/>
      <c r="J24" s="12" t="n"/>
      <c r="K24" s="12" t="n"/>
    </row>
    <row r="25">
      <c r="A25" s="12" t="n"/>
      <c r="B25" s="12" t="n"/>
      <c r="C25" s="12" t="n"/>
      <c r="D25" s="12" t="n"/>
      <c r="E25" s="12" t="n"/>
      <c r="F25" s="12" t="n"/>
      <c r="G25" s="12" t="n"/>
      <c r="H25" s="12" t="n"/>
      <c r="I25" s="12" t="n"/>
      <c r="J25" s="12" t="n"/>
      <c r="K25" s="12" t="n"/>
    </row>
    <row r="26">
      <c r="A26" s="12" t="n"/>
      <c r="B26" s="12" t="n"/>
      <c r="C26" s="12" t="n"/>
      <c r="D26" s="12" t="n"/>
      <c r="E26" s="12" t="n"/>
      <c r="F26" s="12" t="n"/>
      <c r="G26" s="12" t="n"/>
      <c r="H26" s="12" t="n"/>
      <c r="I26" s="12" t="n"/>
      <c r="J26" s="12" t="n"/>
      <c r="K26" s="12" t="n"/>
    </row>
    <row r="27">
      <c r="A27" s="12" t="n"/>
      <c r="B27" s="12" t="n"/>
      <c r="C27" s="12" t="n"/>
      <c r="D27" s="12" t="n"/>
      <c r="E27" s="12" t="n"/>
      <c r="F27" s="12" t="n"/>
      <c r="G27" s="12" t="n"/>
      <c r="H27" s="12" t="n"/>
      <c r="I27" s="12" t="n"/>
      <c r="J27" s="12" t="n"/>
      <c r="K27" s="12" t="n"/>
    </row>
    <row r="28">
      <c r="A28" s="12" t="n"/>
      <c r="B28" s="12" t="n"/>
      <c r="C28" s="12" t="n"/>
      <c r="D28" s="12" t="n"/>
      <c r="E28" s="12" t="n"/>
      <c r="F28" s="12" t="n"/>
      <c r="G28" s="12" t="n"/>
      <c r="H28" s="12" t="n"/>
      <c r="I28" s="12" t="n"/>
      <c r="J28" s="12" t="n"/>
      <c r="K28" s="12" t="n"/>
    </row>
    <row r="29">
      <c r="A29" s="12" t="n"/>
      <c r="B29" s="12" t="n"/>
      <c r="C29" s="12" t="n"/>
      <c r="D29" s="12" t="n"/>
      <c r="E29" s="12" t="n"/>
      <c r="F29" s="12" t="n"/>
      <c r="G29" s="12" t="n"/>
      <c r="H29" s="12" t="n"/>
      <c r="I29" s="12" t="n"/>
      <c r="J29" s="12" t="n"/>
      <c r="K29" s="12" t="n"/>
    </row>
    <row r="30">
      <c r="A30" s="12" t="n"/>
      <c r="B30" s="12" t="n"/>
      <c r="C30" s="12" t="n"/>
      <c r="D30" s="12" t="n"/>
      <c r="E30" s="12" t="n"/>
      <c r="F30" s="12" t="n"/>
      <c r="G30" s="12" t="n"/>
      <c r="H30" s="12" t="n"/>
      <c r="I30" s="12" t="n"/>
      <c r="J30" s="12" t="n"/>
      <c r="K30" s="12" t="n"/>
    </row>
    <row r="31">
      <c r="A31" s="12" t="n"/>
      <c r="B31" s="12" t="n"/>
      <c r="C31" s="12" t="n"/>
      <c r="D31" s="12" t="n"/>
      <c r="E31" s="12" t="n"/>
      <c r="F31" s="12" t="n"/>
      <c r="G31" s="12" t="n"/>
      <c r="H31" s="12" t="n"/>
      <c r="I31" s="12" t="n"/>
      <c r="J31" s="12" t="n"/>
      <c r="K31" s="12" t="n"/>
    </row>
    <row r="32">
      <c r="A32" s="12" t="n"/>
      <c r="B32" s="12" t="n"/>
      <c r="C32" s="12" t="n"/>
      <c r="D32" s="12" t="n"/>
      <c r="E32" s="12" t="n"/>
      <c r="F32" s="12" t="n"/>
      <c r="G32" s="12" t="n"/>
      <c r="H32" s="12" t="n"/>
      <c r="I32" s="12" t="n"/>
      <c r="J32" s="12" t="n"/>
      <c r="K32" s="12" t="n"/>
    </row>
    <row r="33">
      <c r="A33" s="12" t="n"/>
      <c r="B33" s="12" t="n"/>
      <c r="C33" s="12" t="n"/>
      <c r="D33" s="12" t="n"/>
      <c r="E33" s="12" t="n"/>
      <c r="F33" s="12" t="n"/>
      <c r="G33" s="12" t="n"/>
      <c r="H33" s="12" t="n"/>
      <c r="I33" s="12" t="n"/>
      <c r="J33" s="12" t="n"/>
      <c r="K33" s="12" t="n"/>
    </row>
    <row r="34">
      <c r="A34" s="12" t="n"/>
      <c r="B34" s="12" t="n"/>
      <c r="C34" s="12" t="n"/>
      <c r="D34" s="12" t="n"/>
      <c r="E34" s="12" t="n"/>
      <c r="F34" s="12" t="n"/>
      <c r="G34" s="12" t="n"/>
      <c r="H34" s="12" t="n"/>
      <c r="I34" s="12" t="n"/>
      <c r="J34" s="12" t="n"/>
      <c r="K34" s="12" t="n"/>
    </row>
    <row r="35">
      <c r="A35" s="12" t="n"/>
      <c r="B35" s="12" t="n"/>
      <c r="C35" s="12" t="n"/>
      <c r="D35" s="12" t="n"/>
      <c r="E35" s="12" t="n"/>
      <c r="F35" s="12" t="n"/>
      <c r="G35" s="12" t="n"/>
      <c r="H35" s="12" t="n"/>
      <c r="I35" s="12" t="n"/>
      <c r="J35" s="12" t="n"/>
      <c r="K35" s="12" t="n"/>
    </row>
    <row r="36">
      <c r="A36" s="12" t="n"/>
      <c r="B36" s="12" t="n"/>
      <c r="C36" s="12" t="n"/>
      <c r="D36" s="12" t="n"/>
      <c r="E36" s="12" t="n"/>
      <c r="F36" s="12" t="n"/>
      <c r="G36" s="12" t="n"/>
      <c r="H36" s="12" t="n"/>
      <c r="I36" s="12" t="n"/>
      <c r="J36" s="12" t="n"/>
      <c r="K36" s="12" t="n"/>
    </row>
    <row r="37">
      <c r="A37" s="12" t="n"/>
      <c r="B37" s="12" t="n"/>
      <c r="C37" s="12" t="n"/>
      <c r="D37" s="12" t="n"/>
      <c r="E37" s="12" t="n"/>
      <c r="F37" s="12" t="n"/>
      <c r="G37" s="12" t="n"/>
      <c r="H37" s="12" t="n"/>
      <c r="I37" s="12" t="n"/>
      <c r="J37" s="12" t="n"/>
      <c r="K37" s="12" t="n"/>
    </row>
    <row r="38">
      <c r="A38" s="12" t="n"/>
      <c r="B38" s="12" t="n"/>
      <c r="C38" s="12" t="n"/>
      <c r="D38" s="12" t="n"/>
      <c r="E38" s="12" t="n"/>
      <c r="F38" s="12" t="n"/>
      <c r="G38" s="12" t="n"/>
      <c r="H38" s="12" t="n"/>
      <c r="I38" s="12" t="n"/>
      <c r="J38" s="12" t="n"/>
      <c r="K38" s="12" t="n"/>
    </row>
    <row r="39">
      <c r="A39" s="12" t="n"/>
      <c r="B39" s="12" t="n"/>
      <c r="C39" s="12" t="n"/>
      <c r="D39" s="12" t="n"/>
      <c r="E39" s="12" t="n"/>
      <c r="F39" s="12" t="n"/>
      <c r="G39" s="12" t="n"/>
      <c r="H39" s="12" t="n"/>
      <c r="I39" s="12" t="n"/>
      <c r="J39" s="12" t="n"/>
      <c r="K39" s="12" t="n"/>
    </row>
    <row r="40">
      <c r="A40" s="12" t="n"/>
      <c r="B40" s="12" t="n"/>
      <c r="C40" s="12" t="n"/>
      <c r="D40" s="12" t="n"/>
      <c r="E40" s="12" t="n"/>
      <c r="F40" s="12" t="n"/>
      <c r="G40" s="12" t="n"/>
      <c r="H40" s="12" t="n"/>
      <c r="I40" s="12" t="n"/>
      <c r="J40" s="12" t="n"/>
      <c r="K40" s="12" t="n"/>
    </row>
    <row r="41">
      <c r="A41" s="12" t="n"/>
      <c r="B41" s="12" t="n"/>
      <c r="C41" s="12" t="n"/>
      <c r="D41" s="12" t="n"/>
      <c r="E41" s="12" t="n"/>
      <c r="F41" s="12" t="n"/>
      <c r="G41" s="12" t="n"/>
      <c r="H41" s="12" t="n"/>
      <c r="I41" s="12" t="n"/>
      <c r="J41" s="12" t="n"/>
      <c r="K41" s="12" t="n"/>
    </row>
    <row r="42">
      <c r="A42" s="12" t="n"/>
      <c r="B42" s="12" t="n"/>
      <c r="C42" s="12" t="n"/>
      <c r="D42" s="12" t="n"/>
      <c r="E42" s="12" t="n"/>
      <c r="F42" s="12" t="n"/>
      <c r="G42" s="12" t="n"/>
      <c r="H42" s="12" t="n"/>
      <c r="I42" s="12" t="n"/>
      <c r="J42" s="12" t="n"/>
      <c r="K42" s="12" t="n"/>
    </row>
    <row r="43">
      <c r="A43" s="12" t="n"/>
      <c r="B43" s="12" t="n"/>
      <c r="C43" s="12" t="n"/>
      <c r="D43" s="12" t="n"/>
      <c r="E43" s="12" t="n"/>
      <c r="F43" s="12" t="n"/>
      <c r="G43" s="12" t="n"/>
      <c r="H43" s="12" t="n"/>
      <c r="I43" s="12" t="n"/>
      <c r="J43" s="12" t="n"/>
      <c r="K43" s="12" t="n"/>
    </row>
    <row r="44">
      <c r="A44" s="12" t="n"/>
      <c r="B44" s="12" t="n"/>
      <c r="C44" s="12" t="n"/>
      <c r="D44" s="12" t="n"/>
      <c r="E44" s="12" t="n"/>
      <c r="F44" s="12" t="n"/>
      <c r="G44" s="12" t="n"/>
      <c r="H44" s="12" t="n"/>
      <c r="I44" s="12" t="n"/>
      <c r="J44" s="12" t="n"/>
      <c r="K44" s="12" t="n"/>
    </row>
    <row r="45">
      <c r="A45" s="12" t="n"/>
      <c r="B45" s="12" t="n"/>
      <c r="C45" s="12" t="n"/>
      <c r="D45" s="12" t="n"/>
      <c r="E45" s="12" t="n"/>
      <c r="F45" s="12" t="n"/>
      <c r="G45" s="12" t="n"/>
      <c r="H45" s="12" t="n"/>
      <c r="I45" s="12" t="n"/>
      <c r="J45" s="12" t="n"/>
      <c r="K45" s="12" t="n"/>
    </row>
    <row r="46">
      <c r="A46" s="12" t="n"/>
      <c r="B46" s="12" t="n"/>
      <c r="C46" s="12" t="n"/>
      <c r="D46" s="12" t="n"/>
      <c r="E46" s="12" t="n"/>
      <c r="F46" s="12" t="n"/>
      <c r="G46" s="12" t="n"/>
      <c r="H46" s="12" t="n"/>
      <c r="I46" s="12" t="n"/>
      <c r="J46" s="12" t="n"/>
      <c r="K46" s="12" t="n"/>
    </row>
    <row r="47">
      <c r="A47" s="12" t="n"/>
      <c r="B47" s="12" t="n"/>
      <c r="C47" s="12" t="n"/>
      <c r="D47" s="12" t="n"/>
      <c r="E47" s="12" t="n"/>
      <c r="F47" s="12" t="n"/>
      <c r="G47" s="12" t="n"/>
      <c r="H47" s="12" t="n"/>
      <c r="I47" s="12" t="n"/>
      <c r="J47" s="12" t="n"/>
      <c r="K47" s="12" t="n"/>
    </row>
    <row r="48">
      <c r="A48" s="12" t="n"/>
      <c r="B48" s="12" t="n"/>
      <c r="C48" s="12" t="n"/>
      <c r="D48" s="12" t="n"/>
      <c r="E48" s="12" t="n"/>
      <c r="F48" s="12" t="n"/>
      <c r="G48" s="12" t="n"/>
      <c r="H48" s="12" t="n"/>
      <c r="I48" s="12" t="n"/>
      <c r="J48" s="12" t="n"/>
      <c r="K48" s="12" t="n"/>
    </row>
    <row r="49">
      <c r="A49" s="12" t="n"/>
      <c r="B49" s="12" t="n"/>
      <c r="C49" s="12" t="n"/>
      <c r="D49" s="12" t="n"/>
      <c r="E49" s="12" t="n"/>
      <c r="F49" s="12" t="n"/>
      <c r="G49" s="12" t="n"/>
      <c r="H49" s="12" t="n"/>
      <c r="I49" s="12" t="n"/>
      <c r="J49" s="12" t="n"/>
      <c r="K49" s="12" t="n"/>
    </row>
    <row r="50">
      <c r="A50" s="12" t="n"/>
      <c r="B50" s="12" t="n"/>
      <c r="C50" s="12" t="n"/>
      <c r="D50" s="12" t="n"/>
      <c r="E50" s="12" t="n"/>
      <c r="F50" s="12" t="n"/>
      <c r="G50" s="12" t="n"/>
      <c r="H50" s="12" t="n"/>
      <c r="I50" s="12" t="n"/>
      <c r="J50" s="12" t="n"/>
      <c r="K50" s="12" t="n"/>
    </row>
    <row r="51">
      <c r="A51" s="12" t="n"/>
      <c r="B51" s="12" t="n"/>
      <c r="C51" s="12" t="n"/>
      <c r="D51" s="12" t="n"/>
      <c r="E51" s="12" t="n"/>
      <c r="F51" s="12" t="n"/>
      <c r="G51" s="12" t="n"/>
      <c r="H51" s="12" t="n"/>
      <c r="I51" s="12" t="n"/>
      <c r="J51" s="12" t="n"/>
      <c r="K51" s="12" t="n"/>
    </row>
    <row r="52">
      <c r="A52" s="12" t="n"/>
      <c r="B52" s="12" t="n"/>
      <c r="C52" s="12" t="n"/>
      <c r="D52" s="12" t="n"/>
      <c r="E52" s="12" t="n"/>
      <c r="F52" s="12" t="n"/>
      <c r="G52" s="12" t="n"/>
      <c r="H52" s="12" t="n"/>
      <c r="I52" s="12" t="n"/>
      <c r="J52" s="12" t="n"/>
      <c r="K52" s="12" t="n"/>
    </row>
    <row r="53">
      <c r="A53" s="12" t="n"/>
      <c r="B53" s="12" t="n"/>
      <c r="C53" s="12" t="n"/>
      <c r="D53" s="12" t="n"/>
      <c r="E53" s="12" t="n"/>
      <c r="F53" s="12" t="n"/>
      <c r="G53" s="12" t="n"/>
      <c r="H53" s="12" t="n"/>
      <c r="I53" s="12" t="n"/>
      <c r="J53" s="12" t="n"/>
      <c r="K53" s="12" t="n"/>
    </row>
    <row r="54">
      <c r="A54" s="12" t="n"/>
      <c r="B54" s="12" t="n"/>
      <c r="C54" s="12" t="n"/>
      <c r="D54" s="12" t="n"/>
      <c r="E54" s="12" t="n"/>
      <c r="F54" s="12" t="n"/>
      <c r="G54" s="12" t="n"/>
      <c r="H54" s="12" t="n"/>
      <c r="I54" s="12" t="n"/>
      <c r="J54" s="12" t="n"/>
      <c r="K54" s="12" t="n"/>
    </row>
    <row r="55">
      <c r="A55" s="12" t="n"/>
      <c r="B55" s="12" t="n"/>
      <c r="C55" s="12" t="n"/>
      <c r="D55" s="12" t="n"/>
      <c r="E55" s="12" t="n"/>
      <c r="F55" s="12" t="n"/>
      <c r="G55" s="12" t="n"/>
      <c r="H55" s="12" t="n"/>
      <c r="I55" s="12" t="n"/>
      <c r="J55" s="12" t="n"/>
      <c r="K55" s="12" t="n"/>
    </row>
    <row r="56">
      <c r="A56" s="12" t="n"/>
      <c r="B56" s="12" t="n"/>
      <c r="C56" s="12" t="n"/>
      <c r="D56" s="12" t="n"/>
      <c r="E56" s="12" t="n"/>
      <c r="F56" s="12" t="n"/>
      <c r="G56" s="12" t="n"/>
      <c r="H56" s="12" t="n"/>
      <c r="I56" s="12" t="n"/>
      <c r="J56" s="12" t="n"/>
      <c r="K56" s="12" t="n"/>
    </row>
    <row r="57">
      <c r="A57" s="12" t="n"/>
      <c r="B57" s="12" t="n"/>
      <c r="C57" s="12" t="n"/>
      <c r="D57" s="12" t="n"/>
      <c r="E57" s="12" t="n"/>
      <c r="F57" s="12" t="n"/>
      <c r="G57" s="12" t="n"/>
      <c r="H57" s="12" t="n"/>
      <c r="I57" s="12" t="n"/>
      <c r="J57" s="12" t="n"/>
      <c r="K57" s="12" t="n"/>
    </row>
    <row r="58">
      <c r="A58" s="12" t="n"/>
      <c r="B58" s="12" t="n"/>
      <c r="C58" s="12" t="n"/>
      <c r="D58" s="12" t="n"/>
      <c r="E58" s="12" t="n"/>
      <c r="F58" s="12" t="n"/>
      <c r="G58" s="12" t="n"/>
      <c r="H58" s="12" t="n"/>
      <c r="I58" s="12" t="n"/>
      <c r="J58" s="12" t="n"/>
      <c r="K58" s="12" t="n"/>
    </row>
    <row r="59">
      <c r="A59" s="12" t="n"/>
      <c r="B59" s="12" t="n"/>
      <c r="C59" s="12" t="n"/>
      <c r="D59" s="12" t="n"/>
      <c r="E59" s="12" t="n"/>
      <c r="F59" s="12" t="n"/>
      <c r="G59" s="12" t="n"/>
      <c r="H59" s="12" t="n"/>
      <c r="I59" s="12" t="n"/>
      <c r="J59" s="12" t="n"/>
      <c r="K59" s="12" t="n"/>
    </row>
    <row r="60">
      <c r="A60" s="12" t="n"/>
      <c r="B60" s="12" t="n"/>
      <c r="C60" s="12" t="n"/>
      <c r="D60" s="12" t="n"/>
      <c r="E60" s="12" t="n"/>
      <c r="F60" s="12" t="n"/>
      <c r="G60" s="12" t="n"/>
      <c r="H60" s="12" t="n"/>
      <c r="I60" s="12" t="n"/>
      <c r="J60" s="12" t="n"/>
      <c r="K60" s="12" t="n"/>
    </row>
    <row r="61">
      <c r="A61" s="12" t="n"/>
      <c r="B61" s="12" t="n"/>
      <c r="C61" s="12" t="n"/>
      <c r="D61" s="12" t="n"/>
      <c r="E61" s="12" t="n"/>
      <c r="F61" s="12" t="n"/>
      <c r="G61" s="12" t="n"/>
      <c r="H61" s="12" t="n"/>
      <c r="I61" s="12" t="n"/>
      <c r="J61" s="12" t="n"/>
      <c r="K61" s="12" t="n"/>
    </row>
    <row r="62">
      <c r="A62" s="12" t="n"/>
      <c r="B62" s="12" t="n"/>
      <c r="C62" s="12" t="n"/>
      <c r="D62" s="12" t="n"/>
      <c r="E62" s="12" t="n"/>
      <c r="F62" s="12" t="n"/>
      <c r="G62" s="12" t="n"/>
      <c r="H62" s="12" t="n"/>
      <c r="I62" s="12" t="n"/>
      <c r="J62" s="12" t="n"/>
      <c r="K62" s="12" t="n"/>
    </row>
    <row r="63">
      <c r="A63" s="12" t="n"/>
      <c r="B63" s="12" t="n"/>
      <c r="C63" s="12" t="n"/>
      <c r="D63" s="12" t="n"/>
      <c r="E63" s="12" t="n"/>
      <c r="F63" s="12" t="n"/>
      <c r="G63" s="12" t="n"/>
      <c r="H63" s="12" t="n"/>
      <c r="I63" s="12" t="n"/>
      <c r="J63" s="12" t="n"/>
      <c r="K63" s="12" t="n"/>
    </row>
    <row r="64">
      <c r="A64" s="12" t="n"/>
      <c r="B64" s="12" t="n"/>
      <c r="C64" s="12" t="n"/>
      <c r="D64" s="12" t="n"/>
      <c r="E64" s="12" t="n"/>
      <c r="F64" s="12" t="n"/>
      <c r="G64" s="12" t="n"/>
      <c r="H64" s="12" t="n"/>
      <c r="I64" s="12" t="n"/>
      <c r="J64" s="12" t="n"/>
      <c r="K64" s="12" t="n"/>
    </row>
    <row r="65">
      <c r="A65" s="12" t="n"/>
      <c r="B65" s="12" t="n"/>
      <c r="C65" s="12" t="n"/>
      <c r="D65" s="12" t="n"/>
      <c r="E65" s="12" t="n"/>
      <c r="F65" s="12" t="n"/>
      <c r="G65" s="12" t="n"/>
      <c r="H65" s="12" t="n"/>
      <c r="I65" s="12" t="n"/>
      <c r="J65" s="12" t="n"/>
      <c r="K65" s="12" t="n"/>
    </row>
    <row r="66">
      <c r="A66" s="12" t="n"/>
      <c r="B66" s="12" t="n"/>
      <c r="C66" s="12" t="n"/>
      <c r="D66" s="12" t="n"/>
      <c r="E66" s="12" t="n"/>
      <c r="F66" s="12" t="n"/>
      <c r="G66" s="12" t="n"/>
      <c r="H66" s="12" t="n"/>
      <c r="I66" s="12" t="n"/>
      <c r="J66" s="12" t="n"/>
      <c r="K66" s="12" t="n"/>
    </row>
    <row r="67">
      <c r="A67" s="12" t="n"/>
      <c r="B67" s="12" t="n"/>
      <c r="C67" s="12" t="n"/>
      <c r="D67" s="12" t="n"/>
      <c r="E67" s="12" t="n"/>
      <c r="F67" s="12" t="n"/>
      <c r="G67" s="12" t="n"/>
      <c r="H67" s="12" t="n"/>
      <c r="I67" s="12" t="n"/>
      <c r="J67" s="12" t="n"/>
      <c r="K67" s="12" t="n"/>
    </row>
    <row r="68">
      <c r="A68" s="12" t="n"/>
      <c r="B68" s="12" t="n"/>
      <c r="C68" s="12" t="n"/>
      <c r="D68" s="12" t="n"/>
      <c r="E68" s="12" t="n"/>
      <c r="F68" s="12" t="n"/>
      <c r="G68" s="12" t="n"/>
      <c r="H68" s="12" t="n"/>
      <c r="I68" s="12" t="n"/>
      <c r="J68" s="12" t="n"/>
      <c r="K68" s="12" t="n"/>
    </row>
    <row r="69">
      <c r="A69" s="12" t="n"/>
      <c r="B69" s="12" t="n"/>
      <c r="C69" s="12" t="n"/>
      <c r="D69" s="12" t="n"/>
      <c r="E69" s="12" t="n"/>
      <c r="F69" s="12" t="n"/>
      <c r="G69" s="12" t="n"/>
      <c r="H69" s="12" t="n"/>
      <c r="I69" s="12" t="n"/>
      <c r="J69" s="12" t="n"/>
      <c r="K69" s="12" t="n"/>
    </row>
    <row r="70">
      <c r="A70" s="12" t="n"/>
      <c r="B70" s="12" t="n"/>
      <c r="C70" s="12" t="n"/>
      <c r="D70" s="12" t="n"/>
      <c r="E70" s="12" t="n"/>
      <c r="F70" s="12" t="n"/>
      <c r="G70" s="12" t="n"/>
      <c r="H70" s="12" t="n"/>
      <c r="I70" s="12" t="n"/>
      <c r="J70" s="12" t="n"/>
      <c r="K70" s="12" t="n"/>
    </row>
    <row r="71">
      <c r="A71" s="12" t="n"/>
      <c r="B71" s="12" t="n"/>
      <c r="C71" s="12" t="n"/>
      <c r="D71" s="12" t="n"/>
      <c r="E71" s="12" t="n"/>
      <c r="F71" s="12" t="n"/>
      <c r="G71" s="12" t="n"/>
      <c r="H71" s="12" t="n"/>
      <c r="I71" s="12" t="n"/>
      <c r="J71" s="12" t="n"/>
      <c r="K71" s="12" t="n"/>
    </row>
    <row r="72">
      <c r="A72" s="12" t="n"/>
      <c r="B72" s="12" t="n"/>
      <c r="C72" s="12" t="n"/>
      <c r="D72" s="12" t="n"/>
      <c r="E72" s="12" t="n"/>
      <c r="F72" s="12" t="n"/>
      <c r="G72" s="12" t="n"/>
      <c r="H72" s="12" t="n"/>
      <c r="I72" s="12" t="n"/>
      <c r="J72" s="12" t="n"/>
      <c r="K72" s="12" t="n"/>
    </row>
    <row r="73">
      <c r="A73" s="12" t="n"/>
      <c r="B73" s="12" t="n"/>
      <c r="C73" s="12" t="n"/>
      <c r="D73" s="12" t="n"/>
      <c r="E73" s="12" t="n"/>
      <c r="F73" s="12" t="n"/>
      <c r="G73" s="12" t="n"/>
      <c r="H73" s="12" t="n"/>
      <c r="I73" s="12" t="n"/>
      <c r="J73" s="12" t="n"/>
      <c r="K73" s="12" t="n"/>
    </row>
    <row r="74">
      <c r="A74" s="12" t="n"/>
      <c r="B74" s="12" t="n"/>
      <c r="C74" s="12" t="n"/>
      <c r="D74" s="12" t="n"/>
      <c r="E74" s="12" t="n"/>
      <c r="F74" s="12" t="n"/>
      <c r="G74" s="12" t="n"/>
      <c r="H74" s="12" t="n"/>
      <c r="I74" s="12" t="n"/>
      <c r="J74" s="12" t="n"/>
      <c r="K74" s="12" t="n"/>
    </row>
    <row r="75">
      <c r="A75" s="12" t="n"/>
      <c r="B75" s="12" t="n"/>
      <c r="C75" s="12" t="n"/>
      <c r="D75" s="12" t="n"/>
      <c r="E75" s="12" t="n"/>
      <c r="F75" s="12" t="n"/>
      <c r="G75" s="12" t="n"/>
      <c r="H75" s="12" t="n"/>
      <c r="I75" s="12" t="n"/>
      <c r="J75" s="12" t="n"/>
      <c r="K75" s="12" t="n"/>
    </row>
    <row r="76">
      <c r="A76" s="12" t="n"/>
      <c r="B76" s="12" t="n"/>
      <c r="C76" s="12" t="n"/>
      <c r="D76" s="12" t="n"/>
      <c r="E76" s="12" t="n"/>
      <c r="F76" s="12" t="n"/>
      <c r="G76" s="12" t="n"/>
      <c r="H76" s="12" t="n"/>
      <c r="I76" s="12" t="n"/>
      <c r="J76" s="12" t="n"/>
      <c r="K76" s="12" t="n"/>
    </row>
    <row r="77">
      <c r="A77" s="12" t="n"/>
      <c r="B77" s="12" t="n"/>
      <c r="C77" s="12" t="n"/>
      <c r="D77" s="12" t="n"/>
      <c r="E77" s="12" t="n"/>
      <c r="F77" s="12" t="n"/>
      <c r="G77" s="12" t="n"/>
      <c r="H77" s="12" t="n"/>
      <c r="I77" s="12" t="n"/>
      <c r="J77" s="12" t="n"/>
      <c r="K77" s="12" t="n"/>
    </row>
    <row r="78">
      <c r="A78" s="12" t="n"/>
      <c r="B78" s="12" t="n"/>
      <c r="C78" s="12" t="n"/>
      <c r="D78" s="12" t="n"/>
      <c r="E78" s="12" t="n"/>
      <c r="F78" s="12" t="n"/>
      <c r="G78" s="12" t="n"/>
      <c r="H78" s="12" t="n"/>
      <c r="I78" s="12" t="n"/>
      <c r="J78" s="12" t="n"/>
      <c r="K78" s="12" t="n"/>
    </row>
    <row r="79">
      <c r="A79" s="12" t="n"/>
      <c r="B79" s="12" t="n"/>
      <c r="C79" s="12" t="n"/>
      <c r="D79" s="12" t="n"/>
      <c r="E79" s="12" t="n"/>
      <c r="F79" s="12" t="n"/>
      <c r="G79" s="12" t="n"/>
      <c r="H79" s="12" t="n"/>
      <c r="I79" s="12" t="n"/>
      <c r="J79" s="12" t="n"/>
      <c r="K79" s="12" t="n"/>
    </row>
    <row r="80">
      <c r="A80" s="12" t="n"/>
      <c r="B80" s="12" t="n"/>
      <c r="C80" s="12" t="n"/>
      <c r="D80" s="12" t="n"/>
      <c r="E80" s="12" t="n"/>
      <c r="F80" s="12" t="n"/>
      <c r="G80" s="12" t="n"/>
      <c r="H80" s="12" t="n"/>
      <c r="I80" s="12" t="n"/>
      <c r="J80" s="12" t="n"/>
      <c r="K80" s="12" t="n"/>
    </row>
    <row r="81">
      <c r="A81" s="12" t="n"/>
      <c r="B81" s="12" t="n"/>
      <c r="C81" s="12" t="n"/>
      <c r="D81" s="12" t="n"/>
      <c r="E81" s="12" t="n"/>
      <c r="F81" s="12" t="n"/>
      <c r="G81" s="12" t="n"/>
      <c r="H81" s="12" t="n"/>
      <c r="I81" s="12" t="n"/>
      <c r="J81" s="12" t="n"/>
      <c r="K81" s="12" t="n"/>
    </row>
    <row r="82">
      <c r="A82" s="12" t="n"/>
      <c r="B82" s="12" t="n"/>
      <c r="C82" s="12" t="n"/>
      <c r="D82" s="12" t="n"/>
      <c r="E82" s="12" t="n"/>
      <c r="F82" s="12" t="n"/>
      <c r="G82" s="12" t="n"/>
      <c r="H82" s="12" t="n"/>
      <c r="I82" s="12" t="n"/>
      <c r="J82" s="12" t="n"/>
      <c r="K82" s="12" t="n"/>
    </row>
    <row r="83">
      <c r="A83" s="12" t="n"/>
      <c r="B83" s="12" t="n"/>
      <c r="C83" s="12" t="n"/>
      <c r="D83" s="12" t="n"/>
      <c r="E83" s="12" t="n"/>
      <c r="F83" s="12" t="n"/>
      <c r="G83" s="12" t="n"/>
      <c r="H83" s="12" t="n"/>
      <c r="I83" s="12" t="n"/>
      <c r="J83" s="12" t="n"/>
      <c r="K83" s="12" t="n"/>
    </row>
    <row r="84">
      <c r="A84" s="12" t="n"/>
      <c r="B84" s="12" t="n"/>
      <c r="C84" s="12" t="n"/>
      <c r="D84" s="12" t="n"/>
      <c r="E84" s="12" t="n"/>
      <c r="F84" s="12" t="n"/>
      <c r="G84" s="12" t="n"/>
      <c r="H84" s="12" t="n"/>
      <c r="I84" s="12" t="n"/>
      <c r="J84" s="12" t="n"/>
      <c r="K84" s="12" t="n"/>
    </row>
    <row r="85">
      <c r="A85" s="12" t="n"/>
      <c r="B85" s="12" t="n"/>
      <c r="C85" s="12" t="n"/>
      <c r="D85" s="12" t="n"/>
      <c r="E85" s="12" t="n"/>
      <c r="F85" s="12" t="n"/>
      <c r="G85" s="12" t="n"/>
      <c r="H85" s="12" t="n"/>
      <c r="I85" s="12" t="n"/>
      <c r="J85" s="12" t="n"/>
      <c r="K85" s="12" t="n"/>
    </row>
    <row r="86">
      <c r="A86" s="12" t="n"/>
      <c r="B86" s="12" t="n"/>
      <c r="C86" s="12" t="n"/>
      <c r="D86" s="12" t="n"/>
      <c r="E86" s="12" t="n"/>
      <c r="F86" s="12" t="n"/>
      <c r="G86" s="12" t="n"/>
      <c r="H86" s="12" t="n"/>
      <c r="I86" s="12" t="n"/>
      <c r="J86" s="12" t="n"/>
      <c r="K86" s="12" t="n"/>
    </row>
    <row r="87">
      <c r="A87" s="12" t="n"/>
      <c r="B87" s="12" t="n"/>
      <c r="C87" s="12" t="n"/>
      <c r="D87" s="12" t="n"/>
      <c r="E87" s="12" t="n"/>
      <c r="F87" s="12" t="n"/>
      <c r="G87" s="12" t="n"/>
      <c r="H87" s="12" t="n"/>
      <c r="I87" s="12" t="n"/>
      <c r="J87" s="12" t="n"/>
      <c r="K87" s="12" t="n"/>
    </row>
    <row r="88">
      <c r="A88" s="12" t="n"/>
      <c r="B88" s="12" t="n"/>
      <c r="C88" s="12" t="n"/>
      <c r="D88" s="12" t="n"/>
      <c r="E88" s="12" t="n"/>
      <c r="F88" s="12" t="n"/>
      <c r="G88" s="12" t="n"/>
      <c r="H88" s="12" t="n"/>
      <c r="I88" s="12" t="n"/>
      <c r="J88" s="12" t="n"/>
      <c r="K88" s="12" t="n"/>
    </row>
    <row r="89">
      <c r="A89" s="12" t="n"/>
      <c r="B89" s="12" t="n"/>
      <c r="C89" s="12" t="n"/>
      <c r="D89" s="12" t="n"/>
      <c r="E89" s="12" t="n"/>
      <c r="F89" s="12" t="n"/>
      <c r="G89" s="12" t="n"/>
      <c r="H89" s="12" t="n"/>
      <c r="I89" s="12" t="n"/>
      <c r="J89" s="12" t="n"/>
      <c r="K89" s="12" t="n"/>
    </row>
    <row r="90">
      <c r="A90" s="12" t="n"/>
      <c r="B90" s="12" t="n"/>
      <c r="C90" s="12" t="n"/>
      <c r="D90" s="12" t="n"/>
      <c r="E90" s="12" t="n"/>
      <c r="F90" s="12" t="n"/>
      <c r="G90" s="12" t="n"/>
      <c r="H90" s="12" t="n"/>
      <c r="I90" s="12" t="n"/>
      <c r="J90" s="12" t="n"/>
      <c r="K90" s="12" t="n"/>
    </row>
    <row r="91">
      <c r="A91" s="12" t="n"/>
      <c r="B91" s="12" t="n"/>
      <c r="C91" s="12" t="n"/>
      <c r="D91" s="12" t="n"/>
      <c r="E91" s="12" t="n"/>
      <c r="F91" s="12" t="n"/>
      <c r="G91" s="12" t="n"/>
      <c r="H91" s="12" t="n"/>
      <c r="I91" s="12" t="n"/>
      <c r="J91" s="12" t="n"/>
      <c r="K91" s="12" t="n"/>
    </row>
    <row r="92">
      <c r="A92" s="12" t="n"/>
      <c r="B92" s="12" t="n"/>
      <c r="C92" s="12" t="n"/>
      <c r="D92" s="12" t="n"/>
      <c r="E92" s="12" t="n"/>
      <c r="F92" s="12" t="n"/>
      <c r="G92" s="12" t="n"/>
      <c r="H92" s="12" t="n"/>
      <c r="I92" s="12" t="n"/>
      <c r="J92" s="12" t="n"/>
      <c r="K92" s="12" t="n"/>
    </row>
    <row r="93">
      <c r="A93" s="12" t="n"/>
      <c r="B93" s="12" t="n"/>
      <c r="C93" s="12" t="n"/>
      <c r="D93" s="12" t="n"/>
      <c r="E93" s="12" t="n"/>
      <c r="F93" s="12" t="n"/>
      <c r="G93" s="12" t="n"/>
      <c r="H93" s="12" t="n"/>
      <c r="I93" s="12" t="n"/>
      <c r="J93" s="12" t="n"/>
      <c r="K93" s="12" t="n"/>
    </row>
    <row r="94">
      <c r="A94" s="12" t="n"/>
      <c r="B94" s="12" t="n"/>
      <c r="C94" s="12" t="n"/>
      <c r="D94" s="12" t="n"/>
      <c r="E94" s="12" t="n"/>
      <c r="F94" s="12" t="n"/>
      <c r="G94" s="12" t="n"/>
      <c r="H94" s="12" t="n"/>
      <c r="I94" s="12" t="n"/>
      <c r="J94" s="12" t="n"/>
      <c r="K94" s="12" t="n"/>
    </row>
    <row r="95">
      <c r="A95" s="12" t="n"/>
      <c r="B95" s="12" t="n"/>
      <c r="C95" s="12" t="n"/>
      <c r="D95" s="12" t="n"/>
      <c r="E95" s="12" t="n"/>
      <c r="F95" s="12" t="n"/>
      <c r="G95" s="12" t="n"/>
      <c r="H95" s="12" t="n"/>
      <c r="I95" s="12" t="n"/>
      <c r="J95" s="12" t="n"/>
      <c r="K95" s="12" t="n"/>
    </row>
    <row r="96">
      <c r="A96" s="12" t="n"/>
      <c r="B96" s="12" t="n"/>
      <c r="C96" s="12" t="n"/>
      <c r="D96" s="12" t="n"/>
      <c r="E96" s="12" t="n"/>
      <c r="F96" s="12" t="n"/>
      <c r="G96" s="12" t="n"/>
      <c r="H96" s="12" t="n"/>
      <c r="I96" s="12" t="n"/>
      <c r="J96" s="12" t="n"/>
      <c r="K96" s="12" t="n"/>
    </row>
    <row r="97">
      <c r="A97" s="12" t="n"/>
      <c r="B97" s="12" t="n"/>
      <c r="C97" s="12" t="n"/>
      <c r="D97" s="12" t="n"/>
      <c r="E97" s="12" t="n"/>
      <c r="F97" s="12" t="n"/>
      <c r="G97" s="12" t="n"/>
      <c r="H97" s="12" t="n"/>
      <c r="I97" s="12" t="n"/>
      <c r="J97" s="12" t="n"/>
      <c r="K97" s="12" t="n"/>
    </row>
    <row r="98">
      <c r="A98" s="12" t="n"/>
      <c r="B98" s="12" t="n"/>
      <c r="C98" s="12" t="n"/>
      <c r="D98" s="12" t="n"/>
      <c r="E98" s="12" t="n"/>
      <c r="F98" s="12" t="n"/>
      <c r="G98" s="12" t="n"/>
      <c r="H98" s="12" t="n"/>
      <c r="I98" s="12" t="n"/>
      <c r="J98" s="12" t="n"/>
      <c r="K98" s="12" t="n"/>
    </row>
    <row r="99">
      <c r="A99" s="12" t="n"/>
      <c r="B99" s="12" t="n"/>
      <c r="C99" s="12" t="n"/>
      <c r="D99" s="12" t="n"/>
      <c r="E99" s="12" t="n"/>
      <c r="F99" s="12" t="n"/>
      <c r="G99" s="12" t="n"/>
      <c r="H99" s="12" t="n"/>
      <c r="I99" s="12" t="n"/>
      <c r="J99" s="12" t="n"/>
      <c r="K99" s="12" t="n"/>
    </row>
    <row r="100">
      <c r="A100" s="12" t="n"/>
      <c r="B100" s="12" t="n"/>
      <c r="C100" s="12" t="n"/>
      <c r="D100" s="12" t="n"/>
      <c r="E100" s="12" t="n"/>
      <c r="F100" s="12" t="n"/>
      <c r="G100" s="12" t="n"/>
      <c r="H100" s="12" t="n"/>
      <c r="I100" s="12" t="n"/>
      <c r="J100" s="12" t="n"/>
      <c r="K100" s="12" t="n"/>
    </row>
    <row r="101">
      <c r="A101" s="12" t="n"/>
      <c r="B101" s="12" t="n"/>
      <c r="C101" s="12" t="n"/>
      <c r="D101" s="12" t="n"/>
      <c r="E101" s="12" t="n"/>
      <c r="F101" s="12" t="n"/>
      <c r="G101" s="12" t="n"/>
      <c r="H101" s="12" t="n"/>
      <c r="I101" s="12" t="n"/>
      <c r="J101" s="12" t="n"/>
      <c r="K101" s="12" t="n"/>
    </row>
    <row r="102">
      <c r="A102" s="12" t="n"/>
      <c r="B102" s="12" t="n"/>
      <c r="C102" s="12" t="n"/>
      <c r="D102" s="12" t="n"/>
      <c r="E102" s="12" t="n"/>
      <c r="F102" s="12" t="n"/>
      <c r="G102" s="12" t="n"/>
      <c r="H102" s="12" t="n"/>
      <c r="I102" s="12" t="n"/>
      <c r="J102" s="12" t="n"/>
      <c r="K102" s="12" t="n"/>
    </row>
    <row r="103">
      <c r="A103" s="12" t="n"/>
      <c r="B103" s="12" t="n"/>
      <c r="C103" s="12" t="n"/>
      <c r="D103" s="12" t="n"/>
      <c r="E103" s="12" t="n"/>
      <c r="F103" s="12" t="n"/>
      <c r="G103" s="12" t="n"/>
      <c r="H103" s="12" t="n"/>
      <c r="I103" s="12" t="n"/>
      <c r="J103" s="12" t="n"/>
      <c r="K103" s="12" t="n"/>
    </row>
    <row r="104">
      <c r="A104" s="12" t="n"/>
      <c r="B104" s="12" t="n"/>
      <c r="C104" s="12" t="n"/>
      <c r="D104" s="12" t="n"/>
      <c r="E104" s="12" t="n"/>
      <c r="F104" s="12" t="n"/>
      <c r="G104" s="12" t="n"/>
      <c r="H104" s="12" t="n"/>
      <c r="I104" s="12" t="n"/>
      <c r="J104" s="12" t="n"/>
      <c r="K104" s="12" t="n"/>
    </row>
    <row r="105">
      <c r="A105" s="12" t="n"/>
      <c r="B105" s="12" t="n"/>
      <c r="C105" s="12" t="n"/>
      <c r="D105" s="12" t="n"/>
      <c r="E105" s="12" t="n"/>
      <c r="F105" s="12" t="n"/>
      <c r="G105" s="12" t="n"/>
      <c r="H105" s="12" t="n"/>
      <c r="I105" s="12" t="n"/>
      <c r="J105" s="12" t="n"/>
      <c r="K105" s="12" t="n"/>
    </row>
  </sheetData>
  <mergeCells count="3">
    <mergeCell ref="A2:K2"/>
    <mergeCell ref="A1:K1"/>
    <mergeCell ref="A3:K3"/>
  </mergeCells>
  <dataValidations count="3">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1" showInputMessage="0" showErrorMessage="0" allowBlank="0" type="list">
      <formula1>"Config,Screenshot,Log,Report,Policy,Other"</formula1>
    </dataValidation>
    <dataValidation sqref="B6 B7 B8 B9 B10 B11 B12 B13 B14 B15 B16 B17 B18 B19 B20 B21 B22 B23 B24 B25 B26 B27 B28 B29 B30 B31 B32 B33 B34 B35 B36 B37 B38 B39 B40 B41 B42 B43 B44 B4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1" showInputMessage="0" showErrorMessage="0" allowBlank="0" type="list">
      <formula1>"Email,Web,Endpoint,Network,App,Mobile"</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1" showInputMessage="0" showErrorMessage="0" allowBlank="0" type="list">
      <formula1>"Verified,Pending,Rejected"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0"/>
  <sheetViews>
    <sheetView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s>
  <sheetData>
    <row r="1" ht="35" customHeight="1">
      <c r="A1" s="1" t="inlineStr">
        <is>
          <t>CHANNEL COVERAGE ASSESSMENT - EXECUTIVE SUMMARY</t>
        </is>
      </c>
    </row>
    <row r="2">
      <c r="A2" s="2" t="inlineStr">
        <is>
          <t>ISO/IEC 27001:2022 - Control A.8.12: Data Leakage Prevention</t>
        </is>
      </c>
    </row>
    <row r="4">
      <c r="A4" s="5" t="inlineStr">
        <is>
          <t>SECTION 1: DOCUMENT INFORMATION</t>
        </is>
      </c>
    </row>
    <row r="5">
      <c r="A5" s="3" t="inlineStr">
        <is>
          <t>Assessment Date:</t>
        </is>
      </c>
      <c r="B5" s="4" t="inlineStr">
        <is>
          <t>[Input]</t>
        </is>
      </c>
    </row>
    <row r="6">
      <c r="A6" s="3" t="inlineStr">
        <is>
          <t>Completed By:</t>
        </is>
      </c>
      <c r="B6" s="4" t="inlineStr">
        <is>
          <t>[Input]</t>
        </is>
      </c>
    </row>
    <row r="7">
      <c r="A7" s="3" t="inlineStr">
        <is>
          <t>CISO Approval Status:</t>
        </is>
      </c>
      <c r="B7" s="4" t="inlineStr">
        <is>
          <t>[Dropdown]</t>
        </is>
      </c>
    </row>
    <row r="8">
      <c r="A8" s="3" t="inlineStr">
        <is>
          <t>Last Review Date:</t>
        </is>
      </c>
      <c r="B8" s="4" t="inlineStr">
        <is>
          <t>[Input]</t>
        </is>
      </c>
    </row>
    <row r="11">
      <c r="A11" s="5" t="inlineStr">
        <is>
          <t>SECTION 2: KEY PERFORMANCE INDICATORS</t>
        </is>
      </c>
    </row>
    <row r="12">
      <c r="A12" s="11" t="inlineStr">
        <is>
          <t>KPI</t>
        </is>
      </c>
      <c r="B12" s="11" t="inlineStr">
        <is>
          <t>Formula/Value</t>
        </is>
      </c>
      <c r="C12" s="11" t="inlineStr">
        <is>
          <t>Target</t>
        </is>
      </c>
      <c r="D12" s="11" t="inlineStr">
        <is>
          <t>Status</t>
        </is>
      </c>
    </row>
    <row r="13">
      <c r="A13" s="12" t="inlineStr">
        <is>
          <t>Overall Channel Coverage %</t>
        </is>
      </c>
      <c r="B13" s="16">
        <f>Coverage_Metrics!B15</f>
        <v/>
      </c>
      <c r="C13" s="12" t="inlineStr">
        <is>
          <t>≥85%</t>
        </is>
      </c>
      <c r="D13" s="12">
        <f>IF(B13&gt;=85%,"✅",IF(B13&gt;=70%,"⚠️","❌"))</f>
        <v/>
      </c>
    </row>
    <row r="14">
      <c r="A14" s="12" t="inlineStr">
        <is>
          <t>Tier 1 Channels (Email/Web/Endpoint)</t>
        </is>
      </c>
      <c r="B14" s="12">
        <f>Coverage_Metrics!B16</f>
        <v/>
      </c>
      <c r="C14" s="12" t="inlineStr">
        <is>
          <t>≥90%</t>
        </is>
      </c>
      <c r="D14" s="12">
        <f>IF(B14&gt;=90%,"✅",IF(B14&gt;=80%,"⚠️","❌"))</f>
        <v/>
      </c>
    </row>
    <row r="15">
      <c r="A15" s="12" t="inlineStr">
        <is>
          <t>Email Channel Coverage</t>
        </is>
      </c>
      <c r="B15" s="16">
        <f>Email_Channel!B25</f>
        <v/>
      </c>
      <c r="C15" s="12" t="inlineStr">
        <is>
          <t>≥95%</t>
        </is>
      </c>
      <c r="D15" s="12">
        <f>IF(B15&gt;=95%,"✅",IF(B15&gt;=85%,"⚠️","❌"))</f>
        <v/>
      </c>
    </row>
    <row r="16">
      <c r="A16" s="12" t="inlineStr">
        <is>
          <t>Web/Cloud Channel Coverage</t>
        </is>
      </c>
      <c r="B16" s="16">
        <f>Web_Cloud_Channel!B25</f>
        <v/>
      </c>
      <c r="C16" s="12" t="inlineStr">
        <is>
          <t>≥90%</t>
        </is>
      </c>
      <c r="D16" s="12">
        <f>IF(B16&gt;=90%,"✅",IF(B16&gt;=80%,"⚠️","❌"))</f>
        <v/>
      </c>
    </row>
    <row r="17">
      <c r="A17" s="12" t="inlineStr">
        <is>
          <t>Endpoint Channel Coverage</t>
        </is>
      </c>
      <c r="B17" s="16">
        <f>Endpoint_Channel!L30</f>
        <v/>
      </c>
      <c r="C17" s="12" t="inlineStr">
        <is>
          <t>≥95%</t>
        </is>
      </c>
      <c r="D17" s="12">
        <f>IF(B17&gt;=95%,"✅",IF(B17&gt;=85%,"⚠️","❌"))</f>
        <v/>
      </c>
    </row>
    <row r="18">
      <c r="A18" s="12" t="inlineStr">
        <is>
          <t>Network Channel Coverage</t>
        </is>
      </c>
      <c r="B18" s="16">
        <f>Network_Channel!E20</f>
        <v/>
      </c>
      <c r="C18" s="12" t="inlineStr">
        <is>
          <t>≥75%</t>
        </is>
      </c>
      <c r="D18" s="12">
        <f>IF(B18&gt;=75%,"✅",IF(B18&gt;=60%,"⚠️","❌"))</f>
        <v/>
      </c>
    </row>
    <row r="19">
      <c r="A19" s="12" t="inlineStr">
        <is>
          <t>Application Channel Coverage</t>
        </is>
      </c>
      <c r="B19" s="16">
        <f>Application_Channel!E20</f>
        <v/>
      </c>
      <c r="C19" s="12" t="inlineStr">
        <is>
          <t>≥80%</t>
        </is>
      </c>
      <c r="D19" s="12">
        <f>IF(B19&gt;=80%,"✅",IF(B19&gt;=65%,"⚠️","❌"))</f>
        <v/>
      </c>
    </row>
    <row r="20">
      <c r="A20" s="12" t="inlineStr">
        <is>
          <t>Mobile Channel Coverage</t>
        </is>
      </c>
      <c r="B20" s="16">
        <f>Mobile_Channel!L20</f>
        <v/>
      </c>
      <c r="C20" s="12" t="inlineStr">
        <is>
          <t>≥90%</t>
        </is>
      </c>
      <c r="D20" s="12">
        <f>IF(B20&gt;=90%,"✅",IF(B20&gt;=75%,"⚠️","❌"))</f>
        <v/>
      </c>
    </row>
    <row r="21">
      <c r="A21" s="12" t="inlineStr">
        <is>
          <t>Total Gaps Identified</t>
        </is>
      </c>
      <c r="B21" s="12">
        <f>COUNTA(Gap_Analysis!A6:A45)-3</f>
        <v/>
      </c>
      <c r="C21" s="12" t="inlineStr">
        <is>
          <t>≤10</t>
        </is>
      </c>
      <c r="D21" s="12">
        <f>IF(B21&lt;=10,"✅",IF(B21&lt;=15,"⚠️","❌"))</f>
        <v/>
      </c>
    </row>
    <row r="22">
      <c r="A22" s="12" t="inlineStr">
        <is>
          <t>Critical/High Gaps</t>
        </is>
      </c>
      <c r="B22" s="12">
        <f>COUNTIFS(Gap_Analysis!D6:D45,"Critical")+COUNTIFS(Gap_Analysis!D6:D45,"High")</f>
        <v/>
      </c>
      <c r="C22" s="12" t="inlineStr">
        <is>
          <t>0</t>
        </is>
      </c>
      <c r="D22" s="12">
        <f>IF(B22=0,"✅",IF(B22&lt;=3,"⚠️","❌"))</f>
        <v/>
      </c>
    </row>
    <row r="23">
      <c r="A23" s="13" t="inlineStr">
        <is>
          <t>Domain 3 Compliance Score</t>
        </is>
      </c>
      <c r="B23" s="17">
        <f>B13</f>
        <v/>
      </c>
      <c r="C23" s="3" t="inlineStr">
        <is>
          <t>≥85%</t>
        </is>
      </c>
      <c r="D23" s="13">
        <f>IF(B23&gt;=85%,"✅",IF(B23&gt;=70%,"⚠️","❌"))</f>
        <v/>
      </c>
    </row>
    <row r="26">
      <c r="A26" s="5" t="inlineStr">
        <is>
          <t>SECTION 3: GAP SUMMARY BY CHANNEL</t>
        </is>
      </c>
    </row>
    <row r="27">
      <c r="A27" s="11" t="inlineStr">
        <is>
          <t>Channel</t>
        </is>
      </c>
      <c r="B27" s="11" t="inlineStr">
        <is>
          <t>Total Gaps</t>
        </is>
      </c>
      <c r="C27" s="11" t="inlineStr">
        <is>
          <t>Critical Gaps</t>
        </is>
      </c>
    </row>
    <row r="28">
      <c r="A28" s="12" t="inlineStr">
        <is>
          <t>Email</t>
        </is>
      </c>
      <c r="B28" s="12">
        <f>COUNTIF(Gap_Analysis!B6:B45,"Email")</f>
        <v/>
      </c>
      <c r="C28" s="12">
        <f>COUNTIFS(Gap_Analysis!B6:B45,"Email",Gap_Analysis!D6:D45,"Critical")</f>
        <v/>
      </c>
    </row>
    <row r="29">
      <c r="A29" s="12" t="inlineStr">
        <is>
          <t>Web/Cloud</t>
        </is>
      </c>
      <c r="B29" s="12">
        <f>COUNTIF(Gap_Analysis!B6:B45,"Web")</f>
        <v/>
      </c>
      <c r="C29" s="12">
        <f>COUNTIFS(Gap_Analysis!B6:B45,"Web",Gap_Analysis!D6:D45,"Critical")</f>
        <v/>
      </c>
    </row>
    <row r="30">
      <c r="A30" s="12" t="inlineStr">
        <is>
          <t>Endpoint</t>
        </is>
      </c>
      <c r="B30" s="12">
        <f>COUNTIF(Gap_Analysis!B6:B45,"Endpoint")</f>
        <v/>
      </c>
      <c r="C30" s="12">
        <f>COUNTIFS(Gap_Analysis!B6:B45,"Endpoint",Gap_Analysis!D6:D45,"Critical")</f>
        <v/>
      </c>
    </row>
    <row r="31">
      <c r="A31" s="12" t="inlineStr">
        <is>
          <t>Network</t>
        </is>
      </c>
      <c r="B31" s="12">
        <f>COUNTIF(Gap_Analysis!B6:B45,"Network")</f>
        <v/>
      </c>
      <c r="C31" s="12">
        <f>COUNTIFS(Gap_Analysis!B6:B45,"Network",Gap_Analysis!D6:D45,"Critical")</f>
        <v/>
      </c>
    </row>
    <row r="32">
      <c r="A32" s="12" t="inlineStr">
        <is>
          <t>Application</t>
        </is>
      </c>
      <c r="B32" s="12">
        <f>COUNTIF(Gap_Analysis!B6:B45,"App")</f>
        <v/>
      </c>
      <c r="C32" s="12">
        <f>COUNTIFS(Gap_Analysis!B6:B45,"App",Gap_Analysis!D6:D45,"Critical")</f>
        <v/>
      </c>
    </row>
    <row r="33">
      <c r="A33" s="12" t="inlineStr">
        <is>
          <t>Mobile</t>
        </is>
      </c>
      <c r="B33" s="12">
        <f>COUNTIF(Gap_Analysis!B6:B45,"Mobile")</f>
        <v/>
      </c>
      <c r="C33" s="12">
        <f>COUNTIFS(Gap_Analysis!B6:B45,"Mobile",Gap_Analysis!D6:D45,"Critical")</f>
        <v/>
      </c>
    </row>
    <row r="36">
      <c r="A36" s="5" t="inlineStr">
        <is>
          <t>SECTION 4: EVIDENCE COMPLETENESS</t>
        </is>
      </c>
    </row>
    <row r="37">
      <c r="A37" s="3" t="inlineStr">
        <is>
          <t>Evidence Items Collected</t>
        </is>
      </c>
      <c r="B37" s="12">
        <f>COUNTA(Evidence_Register!A6:A105)</f>
        <v/>
      </c>
    </row>
    <row r="38">
      <c r="A38" s="3" t="inlineStr">
        <is>
          <t>Evidence Items Verified</t>
        </is>
      </c>
      <c r="B38" s="12">
        <f>COUNTIF(Evidence_Register!H6:H105,"Verified")</f>
        <v/>
      </c>
    </row>
    <row r="39">
      <c r="A39" s="3" t="inlineStr">
        <is>
          <t>Evidence Completeness %</t>
        </is>
      </c>
      <c r="B39" s="16">
        <f>(B38/B37)*100</f>
        <v/>
      </c>
    </row>
    <row r="42">
      <c r="A42" s="5" t="inlineStr">
        <is>
          <t>SECTION 5: OVERALL COMPLIANCE STATUS</t>
        </is>
      </c>
    </row>
    <row r="43">
      <c r="A43" s="3" t="inlineStr">
        <is>
          <t>Overall Status:</t>
        </is>
      </c>
      <c r="B43" s="5">
        <f>IF(B23&gt;=85,"✅ Compliant",IF(B23&gt;=70,"⚠️ Partial Compliance","❌ Non-Compliant"))</f>
        <v/>
      </c>
    </row>
    <row r="46">
      <c r="A46" s="5" t="inlineStr">
        <is>
          <t>SECTION 6: APPROVAL SIGN-OFF</t>
        </is>
      </c>
    </row>
    <row r="47">
      <c r="A47" s="11" t="inlineStr">
        <is>
          <t>Approver</t>
        </is>
      </c>
      <c r="B47" s="11" t="inlineStr">
        <is>
          <t>Name</t>
        </is>
      </c>
      <c r="C47" s="11" t="inlineStr">
        <is>
          <t>Signature</t>
        </is>
      </c>
      <c r="D47" s="11" t="inlineStr">
        <is>
          <t>Date</t>
        </is>
      </c>
      <c r="E47" s="11" t="inlineStr">
        <is>
          <t>Status</t>
        </is>
      </c>
    </row>
    <row r="48">
      <c r="A48" s="12" t="inlineStr">
        <is>
          <t>DLP Administrator</t>
        </is>
      </c>
      <c r="B48" s="4" t="inlineStr">
        <is>
          <t>[Input]</t>
        </is>
      </c>
      <c r="C48" s="4" t="inlineStr">
        <is>
          <t>[Input]</t>
        </is>
      </c>
      <c r="D48" s="12">
        <f>TODAY()</f>
        <v/>
      </c>
      <c r="E48" s="4" t="inlineStr">
        <is>
          <t>[Dropdown]</t>
        </is>
      </c>
    </row>
    <row r="49">
      <c r="A49" s="12" t="inlineStr">
        <is>
          <t>CISO</t>
        </is>
      </c>
      <c r="B49" s="4" t="inlineStr">
        <is>
          <t>[Input]</t>
        </is>
      </c>
      <c r="C49" s="4" t="inlineStr">
        <is>
          <t>[Input]</t>
        </is>
      </c>
      <c r="D49" s="12">
        <f>TODAY()</f>
        <v/>
      </c>
      <c r="E49" s="4" t="inlineStr">
        <is>
          <t>[Dropdown]</t>
        </is>
      </c>
    </row>
    <row r="50">
      <c r="A50" s="12" t="inlineStr">
        <is>
          <t>DPO</t>
        </is>
      </c>
      <c r="B50" s="4" t="inlineStr">
        <is>
          <t>[Input]</t>
        </is>
      </c>
      <c r="C50" s="4" t="inlineStr">
        <is>
          <t>[Input]</t>
        </is>
      </c>
      <c r="D50" s="12">
        <f>TODAY()</f>
        <v/>
      </c>
      <c r="E50" s="4" t="inlineStr">
        <is>
          <t>[Dropdown]</t>
        </is>
      </c>
    </row>
  </sheetData>
  <mergeCells count="2">
    <mergeCell ref="A1:D1"/>
    <mergeCell ref="A2:D2"/>
  </mergeCells>
  <dataValidations count="4">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 sqref="B7 E48 E49 E50" showDropDown="1" showInputMessage="0" showErrorMessage="0" allowBlank="0" type="list">
      <formula1>"Approved,Pending,Rejected"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2026-01-31T02:16:26Z</dcterms:created>
  <dcterms:modified xmlns:dcterms="http://purl.org/dc/terms/" xmlns:xsi="http://www.w3.org/2001/XMLSchema-instance" xsi:type="dcterms:W3CDTF">2026-01-31T02:16:26Z</dcterms:modified>
</cp:coreProperties>
</file>