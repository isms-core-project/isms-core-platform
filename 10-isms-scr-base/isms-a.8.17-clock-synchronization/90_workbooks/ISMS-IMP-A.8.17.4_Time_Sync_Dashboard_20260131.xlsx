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Infrastructure_Health" sheetId="3" state="visible" r:id="rId3"/>
    <sheet xmlns:r="http://schemas.openxmlformats.org/officeDocument/2006/relationships" name="System_Compliance" sheetId="4" state="visible" r:id="rId4"/>
    <sheet xmlns:r="http://schemas.openxmlformats.org/officeDocument/2006/relationships" name="Gaps_Action_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003366"/>
      <sz val="16"/>
    </font>
    <font>
      <i val="1"/>
      <sz val="10"/>
    </font>
    <font>
      <b val="1"/>
      <color rgb="00003366"/>
      <sz val="12"/>
    </font>
    <font>
      <b val="1"/>
      <color rgb="00003366"/>
      <sz val="11"/>
    </font>
    <font>
      <i val="1"/>
      <color rgb="00FF0000"/>
      <sz val="10"/>
    </font>
    <font>
      <name val="Calibri"/>
      <b val="1"/>
      <color rgb="00003366"/>
      <sz val="12"/>
    </font>
    <font>
      <b val="1"/>
      <sz val="10"/>
    </font>
    <font>
      <name val="Calibri"/>
      <b val="1"/>
      <color rgb="00003366"/>
      <sz val="24"/>
    </font>
    <font>
      <i val="1"/>
      <color rgb="00999999"/>
      <sz val="9"/>
    </font>
    <font>
      <name val="Calibri"/>
      <b val="1"/>
      <color rgb="00FFFFFF"/>
      <sz val="14"/>
    </font>
    <font>
      <b val="1"/>
      <color rgb="00006100"/>
      <sz val="20"/>
    </font>
    <font>
      <b val="1"/>
    </font>
    <font>
      <i val="1"/>
      <sz val="9"/>
    </font>
    <font>
      <b val="1"/>
      <sz val="12"/>
    </font>
    <font>
      <b val="1"/>
      <color rgb="009C0006"/>
      <sz val="12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0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2" fillId="0" borderId="0" pivotButton="0" quotePrefix="0" xfId="0"/>
    <xf numFmtId="0" fontId="13" fillId="0" borderId="0" pivotButton="0" quotePrefix="0" xfId="0"/>
    <xf numFmtId="0" fontId="0" fillId="3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ISMS A.8.17 - Time Synchronization Compliance Dashboard</t>
        </is>
      </c>
    </row>
    <row r="2">
      <c r="A2" s="2" t="inlineStr">
        <is>
          <t>Generated: 2026-01-31 03:16:35</t>
        </is>
      </c>
    </row>
    <row r="4">
      <c r="A4" s="3" t="inlineStr">
        <is>
          <t>HOW TO USE THIS DASHBOARD</t>
        </is>
      </c>
    </row>
    <row r="6">
      <c r="A6" s="4" t="inlineStr">
        <is>
          <t>1. SETUP REQUIREMENTS</t>
        </is>
      </c>
    </row>
    <row r="7">
      <c r="A7" t="inlineStr"/>
    </row>
    <row r="8">
      <c r="A8" t="inlineStr">
        <is>
          <t xml:space="preserve">   This dashboard uses formulas to reference two normalized assessment workbooks:</t>
        </is>
      </c>
    </row>
    <row r="9">
      <c r="A9" t="inlineStr">
        <is>
          <t xml:space="preserve">   • ISMS-A.8.17-Assessment-1.xlsx (Time Source Infrastructure)</t>
        </is>
      </c>
    </row>
    <row r="10">
      <c r="A10" t="inlineStr">
        <is>
          <t xml:space="preserve">   • ISMS-A.8.17-Assessment-2.xlsx (System Synchronization Status)</t>
        </is>
      </c>
    </row>
    <row r="11">
      <c r="A11" t="inlineStr"/>
    </row>
    <row r="12">
      <c r="A12" t="inlineStr">
        <is>
          <t xml:space="preserve">   These workbooks MUST be in the same folder as this dashboard.</t>
        </is>
      </c>
    </row>
    <row r="13">
      <c r="A13" t="inlineStr"/>
    </row>
    <row r="14">
      <c r="A14" s="4" t="inlineStr">
        <is>
          <t>2. FIRST TIME OPENING</t>
        </is>
      </c>
    </row>
    <row r="15">
      <c r="A15" t="inlineStr"/>
    </row>
    <row r="16">
      <c r="A16" t="inlineStr">
        <is>
          <t xml:space="preserve">   When you open this dashboard for the first time, Excel will prompt:</t>
        </is>
      </c>
    </row>
    <row r="17">
      <c r="A17" t="inlineStr">
        <is>
          <t xml:space="preserve">   'This workbook contains links to other data sources...'</t>
        </is>
      </c>
    </row>
    <row r="18">
      <c r="A18" t="inlineStr"/>
    </row>
    <row r="19">
      <c r="A19" t="inlineStr">
        <is>
          <t xml:space="preserve">   → Click 'UPDATE' or 'Enable Content' to refresh formulas</t>
        </is>
      </c>
    </row>
    <row r="20">
      <c r="A20" t="inlineStr"/>
    </row>
    <row r="21">
      <c r="A21" s="4" t="inlineStr">
        <is>
          <t>3. UPDATING DATA</t>
        </is>
      </c>
    </row>
    <row r="22">
      <c r="A22" t="inlineStr"/>
    </row>
    <row r="23">
      <c r="A23" t="inlineStr">
        <is>
          <t xml:space="preserve">   When source assessment workbooks are updated:</t>
        </is>
      </c>
    </row>
    <row r="24">
      <c r="A24" t="inlineStr">
        <is>
          <t xml:space="preserve">   a) Save changes to assessment workbooks</t>
        </is>
      </c>
    </row>
    <row r="25">
      <c r="A25" t="inlineStr">
        <is>
          <t xml:space="preserve">   b) Open this dashboard</t>
        </is>
      </c>
    </row>
    <row r="26">
      <c r="A26" t="inlineStr">
        <is>
          <t xml:space="preserve">   c) Click 'Update Links' when prompted (or Data → Edit Links → Update Values)</t>
        </is>
      </c>
    </row>
    <row r="27">
      <c r="A27" t="inlineStr">
        <is>
          <t xml:space="preserve">   d) Dashboard auto-refreshes with latest data</t>
        </is>
      </c>
    </row>
    <row r="28">
      <c r="A28" t="inlineStr"/>
    </row>
    <row r="29">
      <c r="A29" t="inlineStr">
        <is>
          <t xml:space="preserve">   NO NEED TO RE-RUN PYTHON SCRIPT - formulas update automatically!</t>
        </is>
      </c>
    </row>
    <row r="30">
      <c r="A30" t="inlineStr"/>
    </row>
    <row r="31">
      <c r="A31" s="4" t="inlineStr">
        <is>
          <t>4. DASHBOARD SHEETS</t>
        </is>
      </c>
    </row>
    <row r="32">
      <c r="A32" t="inlineStr"/>
    </row>
    <row r="33">
      <c r="A33" t="inlineStr">
        <is>
          <t xml:space="preserve">   • Executive_Summary: High-level compliance metrics and overall status</t>
        </is>
      </c>
    </row>
    <row r="34">
      <c r="A34" t="inlineStr">
        <is>
          <t xml:space="preserve">   • Infrastructure_Health: Time source and NTP server assessment</t>
        </is>
      </c>
    </row>
    <row r="35">
      <c r="A35" t="inlineStr">
        <is>
          <t xml:space="preserve">   • System_Compliance: Sync status distribution and drift analysis</t>
        </is>
      </c>
    </row>
    <row r="36">
      <c r="A36" t="inlineStr">
        <is>
          <t xml:space="preserve">   • Gaps_Action_Items: Critical gaps requiring immediate action</t>
        </is>
      </c>
    </row>
    <row r="37">
      <c r="A37" t="inlineStr"/>
    </row>
    <row r="38">
      <c r="A38" s="4" t="inlineStr">
        <is>
          <t>5. WORKFLOW</t>
        </is>
      </c>
    </row>
    <row r="39">
      <c r="A39" t="inlineStr"/>
    </row>
    <row r="40">
      <c r="A40" t="inlineStr">
        <is>
          <t xml:space="preserve">   Monthly Assessment Cycle:</t>
        </is>
      </c>
    </row>
    <row r="41">
      <c r="A41" t="inlineStr">
        <is>
          <t xml:space="preserve">   1. Update Assessment Workbook 1 (infrastructure changes if any)</t>
        </is>
      </c>
    </row>
    <row r="42">
      <c r="A42" t="inlineStr">
        <is>
          <t xml:space="preserve">   2. Update Assessment Workbook 2 (verify sync status for all systems)</t>
        </is>
      </c>
    </row>
    <row r="43">
      <c r="A43" t="inlineStr">
        <is>
          <t xml:space="preserve">   3. Open this dashboard → formulas update automatically</t>
        </is>
      </c>
    </row>
    <row r="44">
      <c r="A44" t="inlineStr">
        <is>
          <t xml:space="preserve">   4. Present Executive_Summary to management</t>
        </is>
      </c>
    </row>
    <row r="45">
      <c r="A45" t="inlineStr">
        <is>
          <t xml:space="preserve">   5. Track remediation for items in Gaps_Action_Items</t>
        </is>
      </c>
    </row>
    <row r="46">
      <c r="A46" t="inlineStr"/>
    </row>
    <row r="47">
      <c r="A47" s="4" t="inlineStr">
        <is>
          <t>6. TROUBLESHOOTING</t>
        </is>
      </c>
    </row>
    <row r="48">
      <c r="A48" t="inlineStr"/>
    </row>
    <row r="49">
      <c r="A49" t="inlineStr">
        <is>
          <t xml:space="preserve">   If formulas show #REF! errors:</t>
        </is>
      </c>
    </row>
    <row r="50">
      <c r="A50" t="inlineStr">
        <is>
          <t xml:space="preserve">   • Verify normalized assessment workbooks are in same folder</t>
        </is>
      </c>
    </row>
    <row r="51">
      <c r="A51" t="inlineStr">
        <is>
          <t xml:space="preserve">   • Check filenames exactly match: ISMS-A.8.17-Assessment-1.xlsx</t>
        </is>
      </c>
    </row>
    <row r="52">
      <c r="A52" t="inlineStr">
        <is>
          <t xml:space="preserve">   •                                ISMS-A.8.17-Assessment-2.xlsx</t>
        </is>
      </c>
    </row>
    <row r="53">
      <c r="A53" t="inlineStr">
        <is>
          <t xml:space="preserve">   • Click Data → Edit Links → Update Values</t>
        </is>
      </c>
    </row>
    <row r="54">
      <c r="A54" t="inlineStr"/>
    </row>
    <row r="55">
      <c r="A55" t="inlineStr">
        <is>
          <t xml:space="preserve">   If data looks outdated:</t>
        </is>
      </c>
    </row>
    <row r="56">
      <c r="A56" t="inlineStr">
        <is>
          <t xml:space="preserve">   • Verify source workbooks were saved after updates</t>
        </is>
      </c>
    </row>
    <row r="57">
      <c r="A57" t="inlineStr">
        <is>
          <t xml:space="preserve">   • Click Data → Refresh All</t>
        </is>
      </c>
    </row>
    <row r="58">
      <c r="A58" t="inlineStr"/>
    </row>
    <row r="59">
      <c r="A59" s="4" t="inlineStr">
        <is>
          <t>7. REFERENCE DOCUMENTS</t>
        </is>
      </c>
    </row>
    <row r="60">
      <c r="A60" t="inlineStr"/>
    </row>
    <row r="61">
      <c r="A61" t="inlineStr">
        <is>
          <t xml:space="preserve">   • ISMS-POL-A.8.17: Clock Synchronization Policy</t>
        </is>
      </c>
    </row>
    <row r="62">
      <c r="A62" t="inlineStr">
        <is>
          <t xml:space="preserve">   • ISMS-IMP-A.8.17-S2: Synchronization Verification Process</t>
        </is>
      </c>
    </row>
    <row r="63">
      <c r="A63" t="inlineStr">
        <is>
          <t xml:space="preserve">   • normalize_assessment_files_a817.py: Filename normalization script</t>
        </is>
      </c>
    </row>
    <row r="64">
      <c r="A64" t="inlineStr"/>
    </row>
  </sheetData>
  <mergeCells count="62">
    <mergeCell ref="A30:E30"/>
    <mergeCell ref="A39:E39"/>
    <mergeCell ref="A34:E34"/>
    <mergeCell ref="A59:E59"/>
    <mergeCell ref="A48:E48"/>
    <mergeCell ref="A24:E24"/>
    <mergeCell ref="A15:E15"/>
    <mergeCell ref="A64:E64"/>
    <mergeCell ref="A60:E60"/>
    <mergeCell ref="A11:E11"/>
    <mergeCell ref="A49:E49"/>
    <mergeCell ref="A51:E51"/>
    <mergeCell ref="A1:E1"/>
    <mergeCell ref="A45:E45"/>
    <mergeCell ref="A36:E36"/>
    <mergeCell ref="A61:E61"/>
    <mergeCell ref="A6:E6"/>
    <mergeCell ref="A16:E16"/>
    <mergeCell ref="A54:E54"/>
    <mergeCell ref="A7:E7"/>
    <mergeCell ref="A25:E25"/>
    <mergeCell ref="A41:E41"/>
    <mergeCell ref="A37:E37"/>
    <mergeCell ref="A46:E46"/>
    <mergeCell ref="A18:E18"/>
    <mergeCell ref="A27:E27"/>
    <mergeCell ref="A56:E56"/>
    <mergeCell ref="A21:E21"/>
    <mergeCell ref="A55:E55"/>
    <mergeCell ref="A12:E12"/>
    <mergeCell ref="A50:E50"/>
    <mergeCell ref="A26:E26"/>
    <mergeCell ref="A57:E57"/>
    <mergeCell ref="A2:E2"/>
    <mergeCell ref="A42:E42"/>
    <mergeCell ref="A33:E33"/>
    <mergeCell ref="A47:E47"/>
    <mergeCell ref="A23:E23"/>
    <mergeCell ref="A32:E32"/>
    <mergeCell ref="A14:E14"/>
    <mergeCell ref="A8:E8"/>
    <mergeCell ref="A22:E22"/>
    <mergeCell ref="A17:E17"/>
    <mergeCell ref="A53:E53"/>
    <mergeCell ref="A29:E29"/>
    <mergeCell ref="A4:E4"/>
    <mergeCell ref="A35:E35"/>
    <mergeCell ref="A20:E20"/>
    <mergeCell ref="A38:E38"/>
    <mergeCell ref="A43:E43"/>
    <mergeCell ref="A62:E62"/>
    <mergeCell ref="A52:E52"/>
    <mergeCell ref="A10:E10"/>
    <mergeCell ref="A28:E28"/>
    <mergeCell ref="A19:E19"/>
    <mergeCell ref="A63:E63"/>
    <mergeCell ref="A13:E13"/>
    <mergeCell ref="A31:E31"/>
    <mergeCell ref="A44:E44"/>
    <mergeCell ref="A58:E58"/>
    <mergeCell ref="A40:E40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ISMS A.8.17 - Time Synchronization Compliance Dashboard</t>
        </is>
      </c>
    </row>
    <row r="2">
      <c r="A2" s="2" t="inlineStr">
        <is>
          <t>Generated: 2026-01-31 03:16:35</t>
        </is>
      </c>
    </row>
    <row r="3">
      <c r="A3" s="5" t="inlineStr">
        <is>
          <t>IMPORTANT: Click 'Update Links' when opening to refresh data from source workbooks</t>
        </is>
      </c>
    </row>
    <row r="5">
      <c r="A5" s="6" t="inlineStr">
        <is>
          <t>Key Compliance Metrics</t>
        </is>
      </c>
    </row>
    <row r="7">
      <c r="A7" s="7" t="inlineStr">
        <is>
          <t>Sync Rate</t>
        </is>
      </c>
      <c r="C7" s="7" t="inlineStr">
        <is>
          <t>Compliance Rate</t>
        </is>
      </c>
      <c r="E7" s="7" t="inlineStr">
        <is>
          <t>Critical Sys Rate</t>
        </is>
      </c>
    </row>
    <row r="8">
      <c r="A8" s="8">
        <f>ROUND(COUNTIF('[ISMS-A.8.17-Assessment-2.xlsx]System_Inventory'!G2:G1000,"✅ Synced")/COUNTA('[ISMS-A.8.17-Assessment-2.xlsx]System_Inventory'!A2:A1000)*100,1)&amp;"%"</f>
        <v/>
      </c>
      <c r="C8" s="8">
        <f>ROUND(COUNTIF('[ISMS-A.8.17-Assessment-2.xlsx]System_Inventory'!L2:L1000,"✅ PASS")/COUNTA('[ISMS-A.8.17-Assessment-2.xlsx]System_Inventory'!A2:A1000)*100,1)&amp;"%"</f>
        <v/>
      </c>
      <c r="E8" s="8">
        <f>ROUND(COUNTIFS('[ISMS-A.8.17-Assessment-2.xlsx]System_Inventory'!E2:E1000,"🔴 Critical",'[ISMS-A.8.17-Assessment-2.xlsx]System_Inventory'!L2:L1000,"✅ PASS")/COUNTIF('[ISMS-A.8.17-Assessment-2.xlsx]System_Inventory'!E2:E1000,"🔴 Critical")*100,1)&amp;"%"</f>
        <v/>
      </c>
    </row>
    <row r="9">
      <c r="A9" s="9" t="inlineStr">
        <is>
          <t>≥95% Target</t>
        </is>
      </c>
      <c r="C9" s="9" t="inlineStr">
        <is>
          <t>≥95% Target</t>
        </is>
      </c>
      <c r="E9" s="9" t="inlineStr">
        <is>
          <t>≥95% Target</t>
        </is>
      </c>
    </row>
    <row r="12">
      <c r="A12" s="6" t="inlineStr">
        <is>
          <t>Infrastructure &amp; System Summary</t>
        </is>
      </c>
    </row>
    <row r="13">
      <c r="A13" s="10" t="inlineStr">
        <is>
          <t>Category</t>
        </is>
      </c>
      <c r="B13" s="10" t="inlineStr">
        <is>
          <t>Metric</t>
        </is>
      </c>
      <c r="C13" s="10" t="inlineStr">
        <is>
          <t>Value</t>
        </is>
      </c>
      <c r="D13" s="10" t="inlineStr">
        <is>
          <t>Status</t>
        </is>
      </c>
    </row>
    <row r="14">
      <c r="A14" s="11" t="inlineStr">
        <is>
          <t>Infrastructure</t>
        </is>
      </c>
      <c r="B14" s="11" t="inlineStr">
        <is>
          <t>External Time Sources</t>
        </is>
      </c>
      <c r="C14" s="11" t="inlineStr">
        <is>
          <t>COUNTA('[ISMS-A.8.17-Assessment-1.xlsx]Time_Sources'!A2:A100)</t>
        </is>
      </c>
      <c r="D14" s="11">
        <f>IF(C14&gt;=2,"✅ PASS","❌ FAIL")</f>
        <v/>
      </c>
    </row>
    <row r="15">
      <c r="A15" s="11" t="inlineStr"/>
      <c r="B15" s="11" t="inlineStr">
        <is>
          <t>Internal NTP Servers</t>
        </is>
      </c>
      <c r="C15" s="11" t="inlineStr">
        <is>
          <t>COUNTA('[ISMS-A.8.17-Assessment-1.xlsx]Internal_NTP_Servers'!A2:A100)</t>
        </is>
      </c>
      <c r="D15" s="11">
        <f>IF(C15&gt;=2,"✅ PASS","❌ FAIL")</f>
        <v/>
      </c>
    </row>
    <row r="16">
      <c r="A16" s="11" t="inlineStr"/>
      <c r="B16" s="11" t="inlineStr">
        <is>
          <t>Monitored NTP Servers</t>
        </is>
      </c>
      <c r="C16" s="11" t="inlineStr">
        <is>
          <t>COUNTIF('[ISMS-A.8.17-Assessment-1.xlsx]Internal_NTP_Servers'!H2:H100,"✅ Monitored")</t>
        </is>
      </c>
      <c r="D16" s="11">
        <f>IF(C16=C15,"✅ PASS","⚠ WARN")</f>
        <v/>
      </c>
    </row>
    <row r="17">
      <c r="A17" s="11" t="inlineStr">
        <is>
          <t>Systems</t>
        </is>
      </c>
      <c r="B17" s="11" t="inlineStr">
        <is>
          <t>Total Systems</t>
        </is>
      </c>
      <c r="C17" s="11" t="inlineStr">
        <is>
          <t>COUNTA('[ISMS-A.8.17-Assessment-2.xlsx]System_Inventory'!A2:A1000)</t>
        </is>
      </c>
      <c r="D17" s="11" t="inlineStr"/>
    </row>
    <row r="18">
      <c r="A18" s="11" t="inlineStr"/>
      <c r="B18" s="11" t="inlineStr">
        <is>
          <t>Systems Synchronized</t>
        </is>
      </c>
      <c r="C18" s="11" t="inlineStr">
        <is>
          <t>COUNTIF('[ISMS-A.8.17-Assessment-2.xlsx]System_Inventory'!G2:G1000,"✅ Synced")</t>
        </is>
      </c>
      <c r="D18" s="11">
        <f>IF(C18/C17&gt;=0.95,"✅ PASS","❌ FAIL")</f>
        <v/>
      </c>
    </row>
    <row r="19">
      <c r="A19" s="11" t="inlineStr"/>
      <c r="B19" s="11" t="inlineStr">
        <is>
          <t>Systems Compliant</t>
        </is>
      </c>
      <c r="C19" s="11" t="inlineStr">
        <is>
          <t>COUNTIF('[ISMS-A.8.17-Assessment-2.xlsx]System_Inventory'!L2:L1000,"✅ PASS")</t>
        </is>
      </c>
      <c r="D19" s="11">
        <f>IF(C19/C17&gt;=0.95,"✅ PASS","❌ FAIL")</f>
        <v/>
      </c>
    </row>
    <row r="20">
      <c r="A20" s="11" t="inlineStr">
        <is>
          <t>Critical</t>
        </is>
      </c>
      <c r="B20" s="11" t="inlineStr">
        <is>
          <t>Total Critical</t>
        </is>
      </c>
      <c r="C20" s="11" t="inlineStr">
        <is>
          <t>COUNTIF('[ISMS-A.8.17-Assessment-2.xlsx]System_Inventory'!E2:E1000,"🔴 Critical")</t>
        </is>
      </c>
      <c r="D20" s="11" t="inlineStr"/>
    </row>
    <row r="21">
      <c r="A21" s="11" t="inlineStr"/>
      <c r="B21" s="11" t="inlineStr">
        <is>
          <t>Critical Compliant</t>
        </is>
      </c>
      <c r="C21" s="11" t="inlineStr">
        <is>
          <t>COUNTIFS('[ISMS-A.8.17-Assessment-2.xlsx]System_Inventory'!E2:E1000,"🔴 Critical",'[ISMS-A.8.17-Assessment-2.xlsx]System_Inventory'!L2:L1000,"✅ PASS")</t>
        </is>
      </c>
      <c r="D21" s="11">
        <f>IF(C21/C20&gt;=0.95,"✅ PASS","❌ FAIL")</f>
        <v/>
      </c>
    </row>
    <row r="22">
      <c r="A22" s="11" t="inlineStr">
        <is>
          <t>Gaps</t>
        </is>
      </c>
      <c r="B22" s="11" t="inlineStr">
        <is>
          <t>Total Gaps</t>
        </is>
      </c>
      <c r="C22" s="11">
        <f>COUNTIF('[ISMS-A.8.17-Assessment-2.xlsx]System_Inventory'!G2:G1000,"❌ Not Synced")+COUNTIF('[ISMS-A.8.17-Assessment-2.xlsx]System_Inventory'!G2:G1000,"⚠ Sync Failed")</f>
        <v/>
      </c>
      <c r="D22" s="11">
        <f>IF(C22=0,"✅ PASS","❌ FAIL")</f>
        <v/>
      </c>
    </row>
    <row r="25">
      <c r="A25" s="6" t="inlineStr">
        <is>
          <t>Overall Compliance Assessment</t>
        </is>
      </c>
    </row>
    <row r="26" ht="40" customHeight="1">
      <c r="A26" s="12">
        <f>IF(AND(C17/C14&gt;=0.95,C19/C16&gt;=0.95),"COMPLIANT",IF(C17/C14&gt;=0.85,"PARTIAL COMPLIANCE","NON-COMPLIANT"))</f>
        <v/>
      </c>
    </row>
    <row r="27"/>
    <row r="29">
      <c r="A29" s="6" t="inlineStr">
        <is>
          <t>Key Recommendations</t>
        </is>
      </c>
    </row>
    <row r="30">
      <c r="A30" s="13">
        <f>IF(C14&lt;2,"• CRITICAL: Add additional external time sources (minimum 2 required)","")</f>
        <v/>
      </c>
    </row>
    <row r="31">
      <c r="A31" s="13">
        <f>IF(C15&lt;2,"• CRITICAL: Deploy additional internal NTP servers (minimum 2 required)","")</f>
        <v/>
      </c>
    </row>
    <row r="32">
      <c r="A32" s="13">
        <f>IF(C36&gt;0,"• CRITICAL: Remediate "&amp;C36&amp;" system(s) not synchronized","")</f>
        <v/>
      </c>
    </row>
    <row r="33">
      <c r="A33" s="13">
        <f>IF(C18/C17&lt;0.95,"• HIGH: Improve sync rate to ≥95% (currently "&amp;ROUND(C18/C17*100,1)&amp;"%)","")</f>
        <v/>
      </c>
    </row>
    <row r="34">
      <c r="A34" s="13">
        <f>IF(C19/C17&lt;0.95,"• HIGH: Address drift issues to achieve ≥95% compliance","")</f>
        <v/>
      </c>
    </row>
    <row r="35">
      <c r="A35" s="13">
        <f>IF(C16&lt;C15,"• MEDIUM: Configure monitoring for all internal NTP servers","")</f>
        <v/>
      </c>
    </row>
    <row r="36">
      <c r="A36" s="13" t="inlineStr">
        <is>
          <t>• Continue monthly assessments to track improvements</t>
        </is>
      </c>
    </row>
  </sheetData>
  <mergeCells count="24">
    <mergeCell ref="A3:F3"/>
    <mergeCell ref="E8:F8"/>
    <mergeCell ref="A2:F2"/>
    <mergeCell ref="A33:F33"/>
    <mergeCell ref="A7:B7"/>
    <mergeCell ref="A5:F5"/>
    <mergeCell ref="A32:F32"/>
    <mergeCell ref="A35:F35"/>
    <mergeCell ref="C9:D9"/>
    <mergeCell ref="E9:F9"/>
    <mergeCell ref="A29:F29"/>
    <mergeCell ref="A31:F31"/>
    <mergeCell ref="A34:F34"/>
    <mergeCell ref="A30:F30"/>
    <mergeCell ref="A8:B8"/>
    <mergeCell ref="A26:F27"/>
    <mergeCell ref="C8:D8"/>
    <mergeCell ref="C7:D7"/>
    <mergeCell ref="A36:F36"/>
    <mergeCell ref="E7:F7"/>
    <mergeCell ref="A12:D12"/>
    <mergeCell ref="A1:F1"/>
    <mergeCell ref="A9:B9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8" customWidth="1" min="5" max="5"/>
  </cols>
  <sheetData>
    <row r="1">
      <c r="A1" s="1" t="inlineStr">
        <is>
          <t>Time Source Infrastructure Health</t>
        </is>
      </c>
    </row>
    <row r="3">
      <c r="A3" s="6" t="inlineStr">
        <is>
          <t>External Authoritative Time Sources (Stratum 0/1)</t>
        </is>
      </c>
    </row>
    <row r="4">
      <c r="A4" s="14" t="inlineStr">
        <is>
          <t>Total External Sources:</t>
        </is>
      </c>
      <c r="B4">
        <f>COUNTA('[ISMS-A.8.17-Assessment-1.xlsx]Time_Sources'!A2:A100)</f>
        <v/>
      </c>
      <c r="D4" t="inlineStr">
        <is>
          <t>Requirement: ≥2</t>
        </is>
      </c>
      <c r="E4" s="14">
        <f>IF(B4&gt;=2,"✅ PASS","❌ FAIL")</f>
        <v/>
      </c>
    </row>
    <row r="5">
      <c r="A5" t="inlineStr">
        <is>
          <t>Active Sources:</t>
        </is>
      </c>
      <c r="B5">
        <f>COUNTIF('[ISMS-A.8.17-Assessment-1.xlsx]Time_Sources'!I2:I100,"✅ Active")</f>
        <v/>
      </c>
    </row>
    <row r="7">
      <c r="A7" s="15" t="inlineStr">
        <is>
          <t>→ See Assessment Workbook 1 for detailed time source inventory</t>
        </is>
      </c>
    </row>
    <row r="10">
      <c r="A10" s="6" t="inlineStr">
        <is>
          <t>Internal NTP Servers (Stratum 2)</t>
        </is>
      </c>
    </row>
    <row r="11">
      <c r="A11" s="14" t="inlineStr">
        <is>
          <t>Total Internal NTP Servers:</t>
        </is>
      </c>
      <c r="B11">
        <f>COUNTA('[ISMS-A.8.17-Assessment-1.xlsx]Internal_NTP_Servers'!A2:A100)</f>
        <v/>
      </c>
      <c r="D11" t="inlineStr">
        <is>
          <t>Requirement: ≥2</t>
        </is>
      </c>
      <c r="E11" s="14">
        <f>IF(B11&gt;=2,"✅ PASS","❌ FAIL")</f>
        <v/>
      </c>
    </row>
    <row r="12">
      <c r="A12" t="inlineStr">
        <is>
          <t>Active Servers:</t>
        </is>
      </c>
      <c r="B12">
        <f>COUNTIF('[ISMS-A.8.17-Assessment-1.xlsx]Internal_NTP_Servers'!J2:J100,"✅ Active")</f>
        <v/>
      </c>
    </row>
    <row r="13">
      <c r="A13" t="inlineStr">
        <is>
          <t>Monitored Servers:</t>
        </is>
      </c>
      <c r="B13">
        <f>COUNTIF('[ISMS-A.8.17-Assessment-1.xlsx]Internal_NTP_Servers'!H2:H100,"✅ Monitored")</f>
        <v/>
      </c>
      <c r="D13" t="inlineStr">
        <is>
          <t>Requirement: 100%</t>
        </is>
      </c>
      <c r="E13" s="14">
        <f>IF(B13=B12,"✅ PASS","⚠ WARN")</f>
        <v/>
      </c>
    </row>
    <row r="15">
      <c r="A15" s="15" t="inlineStr">
        <is>
          <t>→ See Assessment Workbook 1 for detailed NTP server inventory</t>
        </is>
      </c>
    </row>
  </sheetData>
  <mergeCells count="5">
    <mergeCell ref="A15:E15"/>
    <mergeCell ref="A10:E10"/>
    <mergeCell ref="A7:E7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System Synchronization Compliance Analysis</t>
        </is>
      </c>
    </row>
    <row r="3">
      <c r="A3" s="6" t="inlineStr">
        <is>
          <t>Synchronization Status Distribution</t>
        </is>
      </c>
    </row>
    <row r="4">
      <c r="A4" s="10" t="inlineStr">
        <is>
          <t>Status</t>
        </is>
      </c>
      <c r="B4" s="10" t="inlineStr">
        <is>
          <t>Count</t>
        </is>
      </c>
      <c r="C4" s="10" t="inlineStr">
        <is>
          <t>Percentage</t>
        </is>
      </c>
    </row>
    <row r="5">
      <c r="A5" s="11" t="inlineStr">
        <is>
          <t>✅ Synced</t>
        </is>
      </c>
      <c r="B5" s="11">
        <f>COUNTIF('[ISMS-A.8.17-Assessment-2.xlsx]System_Inventory'!G2:G1000,"✅ Synced")</f>
        <v/>
      </c>
      <c r="C5" s="11">
        <f>ROUND(B5/COUNTA('[ISMS-A.8.17-Assessment-2.xlsx]System_Inventory'!A2:A1000)*100,1)&amp;"%"</f>
        <v/>
      </c>
    </row>
    <row r="6">
      <c r="A6" s="11" t="inlineStr">
        <is>
          <t>❌ Not Synced</t>
        </is>
      </c>
      <c r="B6" s="11">
        <f>COUNTIF('[ISMS-A.8.17-Assessment-2.xlsx]System_Inventory'!G2:G1000,"❌ Not Synced")</f>
        <v/>
      </c>
      <c r="C6" s="11">
        <f>ROUND(B6/COUNTA('[ISMS-A.8.17-Assessment-2.xlsx]System_Inventory'!A2:A1000)*100,1)&amp;"%"</f>
        <v/>
      </c>
    </row>
    <row r="7">
      <c r="A7" s="11" t="inlineStr">
        <is>
          <t>⚠ Sync Failed</t>
        </is>
      </c>
      <c r="B7" s="11">
        <f>COUNTIF('[ISMS-A.8.17-Assessment-2.xlsx]System_Inventory'!G2:G1000,"⚠ Sync Failed")</f>
        <v/>
      </c>
      <c r="C7" s="11">
        <f>ROUND(B7/COUNTA('[ISMS-A.8.17-Assessment-2.xlsx]System_Inventory'!A2:A1000)*100,1)&amp;"%"</f>
        <v/>
      </c>
    </row>
    <row r="8">
      <c r="A8" s="11" t="inlineStr">
        <is>
          <t>❓ Unknown</t>
        </is>
      </c>
      <c r="B8" s="11">
        <f>COUNTIF('[ISMS-A.8.17-Assessment-2.xlsx]System_Inventory'!G2:G1000,"❓ Unknown")</f>
        <v/>
      </c>
      <c r="C8" s="11">
        <f>ROUND(B8/COUNTA('[ISMS-A.8.17-Assessment-2.xlsx]System_Inventory'!A2:A1000)*100,1)&amp;"%"</f>
        <v/>
      </c>
    </row>
    <row r="11">
      <c r="A11" s="6" t="inlineStr">
        <is>
          <t>Compliance by Criticality Level</t>
        </is>
      </c>
    </row>
    <row r="12">
      <c r="A12" s="10" t="inlineStr">
        <is>
          <t>Criticality</t>
        </is>
      </c>
      <c r="B12" s="10" t="inlineStr">
        <is>
          <t>Total</t>
        </is>
      </c>
      <c r="C12" s="10" t="inlineStr">
        <is>
          <t>Compliant</t>
        </is>
      </c>
      <c r="D12" s="10" t="inlineStr">
        <is>
          <t>Rate</t>
        </is>
      </c>
      <c r="E12" s="10" t="inlineStr">
        <is>
          <t>Status</t>
        </is>
      </c>
    </row>
    <row r="13">
      <c r="A13" s="11" t="inlineStr">
        <is>
          <t>🔴 Critical</t>
        </is>
      </c>
      <c r="B13" s="11">
        <f>COUNTIF('[ISMS-A.8.17-Assessment-2.xlsx]System_Inventory'!E2:E1000,"🔴 Critical")</f>
        <v/>
      </c>
      <c r="C13" s="11">
        <f>COUNTIFS('[ISMS-A.8.17-Assessment-2.xlsx]System_Inventory'!E2:E1000,"🔴 Critical",'[ISMS-A.8.17-Assessment-2.xlsx]System_Inventory'!L2:L1000,"✅ PASS")</f>
        <v/>
      </c>
      <c r="D13" s="11">
        <f>ROUND(C13/B13*100,1)&amp;"%"</f>
        <v/>
      </c>
      <c r="E13" s="11">
        <f>IF(C13/B13&gt;=0.95,"✅ PASS","❌ FAIL")</f>
        <v/>
      </c>
    </row>
    <row r="14">
      <c r="A14" s="11" t="inlineStr">
        <is>
          <t>🟠 High</t>
        </is>
      </c>
      <c r="B14" s="11">
        <f>COUNTIF('[ISMS-A.8.17-Assessment-2.xlsx]System_Inventory'!E2:E1000,"🟠 High")</f>
        <v/>
      </c>
      <c r="C14" s="11">
        <f>COUNTIFS('[ISMS-A.8.17-Assessment-2.xlsx]System_Inventory'!E2:E1000,"🟠 High",'[ISMS-A.8.17-Assessment-2.xlsx]System_Inventory'!L2:L1000,"✅ PASS")</f>
        <v/>
      </c>
      <c r="D14" s="11">
        <f>ROUND(C14/B14*100,1)&amp;"%"</f>
        <v/>
      </c>
      <c r="E14" s="11">
        <f>IF(C14/B14&gt;=0.95,"✅ PASS","❌ FAIL")</f>
        <v/>
      </c>
    </row>
    <row r="15">
      <c r="A15" s="11" t="inlineStr">
        <is>
          <t>🟡 Medium</t>
        </is>
      </c>
      <c r="B15" s="11">
        <f>COUNTIF('[ISMS-A.8.17-Assessment-2.xlsx]System_Inventory'!E2:E1000,"🟡 Medium")</f>
        <v/>
      </c>
      <c r="C15" s="11">
        <f>COUNTIFS('[ISMS-A.8.17-Assessment-2.xlsx]System_Inventory'!E2:E1000,"🟡 Medium",'[ISMS-A.8.17-Assessment-2.xlsx]System_Inventory'!L2:L1000,"✅ PASS")</f>
        <v/>
      </c>
      <c r="D15" s="11">
        <f>ROUND(C15/B15*100,1)&amp;"%"</f>
        <v/>
      </c>
      <c r="E15" s="11">
        <f>IF(C15/B15&gt;=0.95,"✅ PASS","❌ FAIL")</f>
        <v/>
      </c>
    </row>
    <row r="16">
      <c r="A16" s="11" t="inlineStr">
        <is>
          <t>🟢 Low</t>
        </is>
      </c>
      <c r="B16" s="11">
        <f>COUNTIF('[ISMS-A.8.17-Assessment-2.xlsx]System_Inventory'!E2:E1000,"🟢 Low")</f>
        <v/>
      </c>
      <c r="C16" s="11">
        <f>COUNTIFS('[ISMS-A.8.17-Assessment-2.xlsx]System_Inventory'!E2:E1000,"🟢 Low",'[ISMS-A.8.17-Assessment-2.xlsx]System_Inventory'!L2:L1000,"✅ PASS")</f>
        <v/>
      </c>
      <c r="D16" s="11">
        <f>ROUND(C16/B16*100,1)&amp;"%"</f>
        <v/>
      </c>
      <c r="E16" s="11">
        <f>IF(C16/B16&gt;=0.95,"✅ PASS","❌ FAIL")</f>
        <v/>
      </c>
    </row>
    <row r="19">
      <c r="A19" s="6" t="inlineStr">
        <is>
          <t>Time Drift Distribution</t>
        </is>
      </c>
    </row>
    <row r="20">
      <c r="A20" s="10" t="inlineStr">
        <is>
          <t>Drift Range</t>
        </is>
      </c>
      <c r="B20" s="10" t="inlineStr">
        <is>
          <t>Count</t>
        </is>
      </c>
      <c r="C20" s="10" t="inlineStr">
        <is>
          <t>Percentage</t>
        </is>
      </c>
    </row>
    <row r="21">
      <c r="A21" s="11" t="inlineStr">
        <is>
          <t>≤10ms</t>
        </is>
      </c>
      <c r="B21" s="11">
        <f>SUMPRODUCT((ABS('[ISMS-A.8.17-Assessment-2.xlsx]System_Inventory'!$I$2:$I$1000)&lt;=10)*('[ISMS-A.8.17-Assessment-2.xlsx]System_Inventory'!$G$2:$G$1000="✅ Synced"))</f>
        <v/>
      </c>
      <c r="C21" s="11">
        <f>ROUND(B21/COUNTIF('[ISMS-A.8.17-Assessment-2.xlsx]System_Inventory'!G2:G1000,"✅ Synced")*100,1)&amp;"%"</f>
        <v/>
      </c>
    </row>
    <row r="22">
      <c r="A22" s="11" t="inlineStr">
        <is>
          <t>10-100ms</t>
        </is>
      </c>
      <c r="B22" s="11">
        <f>SUMPRODUCT((ABS('[ISMS-A.8.17-Assessment-2.xlsx]System_Inventory'!$I$2:$I$1000)&gt;10)*(ABS('[ISMS-A.8.17-Assessment-2.xlsx]System_Inventory'!$I$2:$I$1000)&lt;=100)*('[ISMS-A.8.17-Assessment-2.xlsx]System_Inventory'!$G$2:$G$1000="✅ Synced"))</f>
        <v/>
      </c>
      <c r="C22" s="11">
        <f>ROUND(B22/COUNTIF('[ISMS-A.8.17-Assessment-2.xlsx]System_Inventory'!G2:G1000,"✅ Synced")*100,1)&amp;"%"</f>
        <v/>
      </c>
    </row>
    <row r="23">
      <c r="A23" s="11" t="inlineStr">
        <is>
          <t>100-1000ms</t>
        </is>
      </c>
      <c r="B23" s="11">
        <f>SUMPRODUCT((ABS('[ISMS-A.8.17-Assessment-2.xlsx]System_Inventory'!$I$2:$I$1000)&gt;100)*(ABS('[ISMS-A.8.17-Assessment-2.xlsx]System_Inventory'!$I$2:$I$1000)&lt;=1000)*('[ISMS-A.8.17-Assessment-2.xlsx]System_Inventory'!$G$2:$G$1000="✅ Synced"))</f>
        <v/>
      </c>
      <c r="C23" s="11">
        <f>ROUND(B23/COUNTIF('[ISMS-A.8.17-Assessment-2.xlsx]System_Inventory'!G2:G1000,"✅ Synced")*100,1)&amp;"%"</f>
        <v/>
      </c>
    </row>
    <row r="24">
      <c r="A24" s="11" t="inlineStr">
        <is>
          <t>&gt;1000ms</t>
        </is>
      </c>
      <c r="B24" s="11">
        <f>SUMPRODUCT((ABS('[ISMS-A.8.17-Assessment-2.xlsx]System_Inventory'!$I$2:$I$1000)&gt;1000)*('[ISMS-A.8.17-Assessment-2.xlsx]System_Inventory'!$G$2:$G$1000="✅ Synced"))</f>
        <v/>
      </c>
      <c r="C24" s="11">
        <f>ROUND(B24/COUNTIF('[ISMS-A.8.17-Assessment-2.xlsx]System_Inventory'!G2:G1000,"✅ Synced")*100,1)&amp;"%"</f>
        <v/>
      </c>
    </row>
    <row r="27">
      <c r="A27" s="15" t="inlineStr">
        <is>
          <t>→ See Assessment Workbook 2 for per-system sync status details</t>
        </is>
      </c>
    </row>
  </sheetData>
  <mergeCells count="5">
    <mergeCell ref="A3:D3"/>
    <mergeCell ref="A11:E11"/>
    <mergeCell ref="A1:E1"/>
    <mergeCell ref="A19:D19"/>
    <mergeCell ref="A27:E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45" customWidth="1" min="4" max="4"/>
    <col width="12" customWidth="1" min="5" max="5"/>
  </cols>
  <sheetData>
    <row r="1">
      <c r="A1" s="1" t="inlineStr">
        <is>
          <t>Critical Gaps and Required Actions</t>
        </is>
      </c>
    </row>
    <row r="2">
      <c r="A2" s="5" t="inlineStr">
        <is>
          <t>Systems requiring immediate remediation</t>
        </is>
      </c>
    </row>
    <row r="4">
      <c r="A4" s="6" t="inlineStr">
        <is>
          <t>Gap Summary</t>
        </is>
      </c>
    </row>
    <row r="5">
      <c r="A5" s="10" t="inlineStr">
        <is>
          <t>Gap Type</t>
        </is>
      </c>
      <c r="B5" s="10" t="inlineStr">
        <is>
          <t>Count</t>
        </is>
      </c>
      <c r="C5" s="10" t="inlineStr">
        <is>
          <t>Severity</t>
        </is>
      </c>
      <c r="D5" s="10" t="inlineStr">
        <is>
          <t>Action Required</t>
        </is>
      </c>
    </row>
    <row r="6">
      <c r="A6" s="11" t="inlineStr">
        <is>
          <t>Systems Not Synchronized</t>
        </is>
      </c>
      <c r="B6" s="11">
        <f>COUNTIF('[ISMS-A.8.17-Assessment-2.xlsx]System_Inventory'!G2:G1000,"❌ Not Synced")+COUNTIF('[ISMS-A.8.17-Assessment-2.xlsx]System_Inventory'!G2:G1000,"⚠ Sync Failed")</f>
        <v/>
      </c>
      <c r="C6" s="16" t="inlineStr">
        <is>
          <t>🔴 HIGH</t>
        </is>
      </c>
      <c r="D6" s="11" t="inlineStr">
        <is>
          <t>Configure NTP, verify connectivity</t>
        </is>
      </c>
    </row>
    <row r="7">
      <c r="A7" s="11" t="inlineStr">
        <is>
          <t>Critical Systems Non-Compliant</t>
        </is>
      </c>
      <c r="B7" s="11" t="inlineStr">
        <is>
          <t>COUNTIFS('[ISMS-A.8.17-Assessment-2.xlsx]System_Inventory'!E2:E1000,"🔴 Critical",'[ISMS-A.8.17-Assessment-2.xlsx]System_Inventory'!L2:L1000,"❌ FAIL")</t>
        </is>
      </c>
      <c r="C7" s="16" t="inlineStr">
        <is>
          <t>🔴 HIGH</t>
        </is>
      </c>
      <c r="D7" s="11" t="inlineStr">
        <is>
          <t>Immediate remediation required</t>
        </is>
      </c>
    </row>
    <row r="8">
      <c r="A8" s="11" t="inlineStr">
        <is>
          <t>Systems Exceeding Drift</t>
        </is>
      </c>
      <c r="B8" s="11" t="inlineStr">
        <is>
          <t>COUNTIF('[ISMS-A.8.17-Assessment-2.xlsx]System_Inventory'!L2:L1000,"❌ FAIL")</t>
        </is>
      </c>
      <c r="C8" s="11" t="inlineStr">
        <is>
          <t>🟡 MEDIUM</t>
        </is>
      </c>
      <c r="D8" s="11" t="inlineStr">
        <is>
          <t>Investigate and remediate</t>
        </is>
      </c>
    </row>
    <row r="9">
      <c r="A9" s="11" t="inlineStr">
        <is>
          <t>Insufficient External Sources</t>
        </is>
      </c>
      <c r="B9" s="11">
        <f>IF(COUNTA('[ISMS-A.8.17-Assessment-1.xlsx]Time_Sources'!A2:A100)&lt;2,1,0)</f>
        <v/>
      </c>
      <c r="C9" s="16" t="inlineStr">
        <is>
          <t>🔴 HIGH</t>
        </is>
      </c>
      <c r="D9" s="11" t="inlineStr">
        <is>
          <t>Add additional time sources</t>
        </is>
      </c>
    </row>
    <row r="10">
      <c r="A10" s="11" t="inlineStr">
        <is>
          <t>Insufficient Internal Servers</t>
        </is>
      </c>
      <c r="B10" s="11">
        <f>IF(COUNTA('[ISMS-A.8.17-Assessment-1.xlsx]Internal_NTP_Servers'!A2:A100)&lt;2,1,0)</f>
        <v/>
      </c>
      <c r="C10" s="16" t="inlineStr">
        <is>
          <t>🔴 HIGH</t>
        </is>
      </c>
      <c r="D10" s="11" t="inlineStr">
        <is>
          <t>Deploy additional NTP servers</t>
        </is>
      </c>
    </row>
    <row r="11">
      <c r="A11" s="11" t="inlineStr">
        <is>
          <t>Unmonitored NTP Servers</t>
        </is>
      </c>
      <c r="B11" s="11">
        <f>COUNTA('[ISMS-A.8.17-Assessment-1.xlsx]Internal_NTP_Servers'!A2:A100)-COUNTIF('[ISMS-A.8.17-Assessment-1.xlsx]Internal_NTP_Servers'!H2:H100,"✅ Monitored")</f>
        <v/>
      </c>
      <c r="C11" s="11" t="inlineStr">
        <is>
          <t>🟡 MEDIUM</t>
        </is>
      </c>
      <c r="D11" s="11" t="inlineStr">
        <is>
          <t>Configure monitoring for all servers</t>
        </is>
      </c>
    </row>
    <row r="13">
      <c r="A13" s="17" t="inlineStr">
        <is>
          <t>Total Gaps Requiring Action:</t>
        </is>
      </c>
      <c r="B13" s="18">
        <f>SUM(B7:B12)</f>
        <v/>
      </c>
    </row>
    <row r="16">
      <c r="A16" s="6" t="inlineStr">
        <is>
          <t>Detailed Gap Information</t>
        </is>
      </c>
    </row>
    <row r="17">
      <c r="A17" s="15" t="inlineStr">
        <is>
          <t>→ See Assessment Workbook 2 'Gaps_Failures' sheet for detailed system-level gap information</t>
        </is>
      </c>
    </row>
    <row r="18">
      <c r="A18" s="15" t="inlineStr">
        <is>
          <t>→ Each gap should have a documented remediation plan with target dates</t>
        </is>
      </c>
    </row>
  </sheetData>
  <mergeCells count="6">
    <mergeCell ref="A2:E2"/>
    <mergeCell ref="A16:E16"/>
    <mergeCell ref="A4:D4"/>
    <mergeCell ref="A1:E1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2026-01-31T02:16:35Z</dcterms:created>
  <dcterms:modified xmlns:dcterms="http://purl.org/dc/terms/" xmlns:xsi="http://www.w3.org/2001/XMLSchema-instance" xsi:type="dcterms:W3CDTF">2026-01-31T02:16:35Z</dcterms:modified>
</cp:coreProperties>
</file>