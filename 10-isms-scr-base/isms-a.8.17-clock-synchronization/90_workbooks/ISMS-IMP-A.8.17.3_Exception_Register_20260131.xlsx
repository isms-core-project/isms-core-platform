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ception_Requests" sheetId="2" state="visible" r:id="rId2"/>
    <sheet xmlns:r="http://schemas.openxmlformats.org/officeDocument/2006/relationships" name="Active_Exceptions" sheetId="3" state="visible" r:id="rId3"/>
    <sheet xmlns:r="http://schemas.openxmlformats.org/officeDocument/2006/relationships" name="Expired_Exceptions" sheetId="4" state="visible" r:id="rId4"/>
    <sheet xmlns:r="http://schemas.openxmlformats.org/officeDocument/2006/relationships" name="Summary_Dashboard"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003366"/>
      <sz val="16"/>
    </font>
    <font>
      <i val="1"/>
      <sz val="10"/>
    </font>
    <font>
      <b val="1"/>
    </font>
    <font>
      <b val="1"/>
      <color rgb="00003366"/>
    </font>
    <font>
      <name val="Calibri"/>
      <b val="1"/>
      <color rgb="00003366"/>
      <sz val="12"/>
    </font>
    <font>
      <name val="Calibri"/>
      <b val="1"/>
      <color rgb="00FFFFFF"/>
      <sz val="14"/>
    </font>
    <font>
      <color rgb="00808080"/>
    </font>
    <font>
      <color rgb="000000FF"/>
    </font>
    <font>
      <i val="1"/>
      <color rgb="00FF0000"/>
    </font>
    <font>
      <i val="1"/>
    </font>
    <font>
      <b val="1"/>
      <color rgb="00003366"/>
      <sz val="14"/>
    </font>
  </fonts>
  <fills count="4">
    <fill>
      <patternFill/>
    </fill>
    <fill>
      <patternFill patternType="gray125"/>
    </fill>
    <fill>
      <patternFill patternType="solid">
        <fgColor rgb="00003366"/>
        <bgColor rgb="00003366"/>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center" wrapText="1"/>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center"/>
    </xf>
    <xf numFmtId="0" fontId="6" fillId="2" borderId="0" applyAlignment="1" pivotButton="0" quotePrefix="0" xfId="0">
      <alignment horizontal="center" vertical="center" wrapText="1"/>
    </xf>
    <xf numFmtId="0" fontId="0" fillId="3" borderId="1" applyAlignment="1" pivotButton="0" quotePrefix="0" xfId="0">
      <alignment horizontal="left" vertical="center" wrapText="1"/>
    </xf>
    <xf numFmtId="0" fontId="7" fillId="0" borderId="0" pivotButton="0" quotePrefix="0" xfId="0"/>
    <xf numFmtId="0" fontId="8" fillId="0" borderId="1" applyAlignment="1" pivotButton="0" quotePrefix="0" xfId="0">
      <alignment horizontal="left" vertical="center" wrapText="1"/>
    </xf>
    <xf numFmtId="0" fontId="8" fillId="0" borderId="0" pivotButton="0" quotePrefix="0" xfId="0"/>
    <xf numFmtId="0" fontId="9" fillId="0" borderId="0" pivotButton="0" quotePrefix="0" xfId="0"/>
    <xf numFmtId="0" fontId="1" fillId="0" borderId="0" applyAlignment="1" pivotButton="0" quotePrefix="0" xfId="0">
      <alignment horizontal="left" vertical="center"/>
    </xf>
    <xf numFmtId="0" fontId="10" fillId="0" borderId="0" pivotButton="0" quotePrefix="0" xfId="0"/>
    <xf numFmtId="0" fontId="1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5" customWidth="1" min="1" max="1"/>
    <col width="80" customWidth="1" min="2" max="2"/>
  </cols>
  <sheetData>
    <row r="1" ht="40" customHeight="1">
      <c r="A1" s="1" t="inlineStr">
        <is>
          <t>ISMS-IMP-A.8.17.3
ISO/IEC 27001:2022 - Control A.8.17: Clock Synchronization</t>
        </is>
      </c>
    </row>
    <row r="2">
      <c r="A2" s="2" t="inlineStr">
        <is>
          <t>Generated: 2026-01-31 03:16:35</t>
        </is>
      </c>
    </row>
    <row r="4">
      <c r="A4" s="3" t="inlineStr">
        <is>
          <t>Document ID:</t>
        </is>
      </c>
      <c r="B4" s="4" t="inlineStr">
        <is>
          <t>ISMS-A.8.17-Exception-Register</t>
        </is>
      </c>
    </row>
    <row r="5">
      <c r="A5" s="3" t="inlineStr">
        <is>
          <t>Policy Reference:</t>
        </is>
      </c>
      <c r="B5" t="inlineStr">
        <is>
          <t>ISMS-POL-A.8.17 Section 3.3 (Exception Management)</t>
        </is>
      </c>
    </row>
    <row r="7">
      <c r="A7" t="inlineStr">
        <is>
          <t>Purpose</t>
        </is>
      </c>
      <c r="B7" t="inlineStr">
        <is>
          <t>Track and manage exceptions to clock synchronization policy requirements</t>
        </is>
      </c>
    </row>
    <row r="8">
      <c r="A8" t="inlineStr"/>
    </row>
    <row r="9">
      <c r="A9" s="3" t="inlineStr">
        <is>
          <t>What Requires an Exception?</t>
        </is>
      </c>
    </row>
    <row r="10">
      <c r="A10" s="3" t="inlineStr">
        <is>
          <t xml:space="preserve">  • Systems unable to synchronize (air-gapped, vendor limitations)</t>
        </is>
      </c>
    </row>
    <row r="11">
      <c r="A11" s="3" t="inlineStr">
        <is>
          <t xml:space="preserve">  • Alternative time sources outside policy requirements</t>
        </is>
      </c>
    </row>
    <row r="12">
      <c r="A12" s="3" t="inlineStr">
        <is>
          <t xml:space="preserve">  • Temporary non-compliance during remediation</t>
        </is>
      </c>
    </row>
    <row r="13">
      <c r="A13" s="3" t="inlineStr">
        <is>
          <t xml:space="preserve">  • Policy requirement waivers</t>
        </is>
      </c>
    </row>
    <row r="14">
      <c r="A14" t="inlineStr"/>
    </row>
    <row r="15">
      <c r="A15" s="3" t="inlineStr">
        <is>
          <t>Approval Authority (per Policy Section 3.3):</t>
        </is>
      </c>
    </row>
    <row r="16">
      <c r="A16" s="3" t="inlineStr">
        <is>
          <t xml:space="preserve">  • Technical Exceptions → CISO approval</t>
        </is>
      </c>
    </row>
    <row r="17">
      <c r="A17" s="3" t="inlineStr">
        <is>
          <t xml:space="preserve">  • Policy-Level Exceptions → Executive Management approval</t>
        </is>
      </c>
    </row>
    <row r="18">
      <c r="A18" s="3" t="inlineStr">
        <is>
          <t xml:space="preserve">  • Maximum Duration: 12 months for temporary exceptions</t>
        </is>
      </c>
    </row>
    <row r="19">
      <c r="A19" t="inlineStr"/>
    </row>
    <row r="20">
      <c r="A20" s="3" t="inlineStr">
        <is>
          <t>Required Information:</t>
        </is>
      </c>
    </row>
    <row r="21">
      <c r="A21" s="3" t="inlineStr">
        <is>
          <t xml:space="preserve">  1. Exception ID (auto-generated: EXC-A817-001, EXC-A817-002, etc.)</t>
        </is>
      </c>
    </row>
    <row r="22">
      <c r="A22" s="3" t="inlineStr">
        <is>
          <t xml:space="preserve">  2. System/Asset Name requiring exception</t>
        </is>
      </c>
    </row>
    <row r="23">
      <c r="A23" s="3" t="inlineStr">
        <is>
          <t xml:space="preserve">  3. Specific requirement exempted (REQ-817-xxx from policy)</t>
        </is>
      </c>
    </row>
    <row r="24">
      <c r="A24" s="3" t="inlineStr">
        <is>
          <t xml:space="preserve">  4. Business justification</t>
        </is>
      </c>
    </row>
    <row r="25">
      <c r="A25" s="3" t="inlineStr">
        <is>
          <t xml:space="preserve">  5. Risk assessment (impact if control fails)</t>
        </is>
      </c>
    </row>
    <row r="26">
      <c r="A26" s="3" t="inlineStr">
        <is>
          <t xml:space="preserve">  6. Compensating controls (how risk is mitigated)</t>
        </is>
      </c>
    </row>
    <row r="27">
      <c r="A27" s="3" t="inlineStr">
        <is>
          <t xml:space="preserve">  7. Approval authority and date</t>
        </is>
      </c>
    </row>
    <row r="28">
      <c r="A28" s="3" t="inlineStr">
        <is>
          <t xml:space="preserve">  8. Expiry date (max 12 months)</t>
        </is>
      </c>
    </row>
    <row r="29">
      <c r="A29" t="inlineStr"/>
    </row>
    <row r="30">
      <c r="A30" s="3" t="inlineStr">
        <is>
          <t>Quarterly Review Process:</t>
        </is>
      </c>
    </row>
    <row r="31">
      <c r="A31" s="3" t="inlineStr">
        <is>
          <t xml:space="preserve">  • Review active exceptions every quarter</t>
        </is>
      </c>
    </row>
    <row r="32">
      <c r="A32" s="3" t="inlineStr">
        <is>
          <t xml:space="preserve">  • Verify compensating controls still effective</t>
        </is>
      </c>
    </row>
    <row r="33">
      <c r="A33" s="3" t="inlineStr">
        <is>
          <t xml:space="preserve">  • Check if compliance has become feasible</t>
        </is>
      </c>
    </row>
    <row r="34">
      <c r="A34" s="3" t="inlineStr">
        <is>
          <t xml:space="preserve">  • Revoke if risk profile changed</t>
        </is>
      </c>
    </row>
    <row r="35">
      <c r="A35" t="inlineStr"/>
    </row>
    <row r="36">
      <c r="A36" s="3" t="inlineStr">
        <is>
          <t>90-Day Reassessment Rule:</t>
        </is>
      </c>
    </row>
    <row r="37">
      <c r="A37" s="3" t="inlineStr">
        <is>
          <t xml:space="preserve">  • Exceptions granted within 90 days of annual policy review</t>
        </is>
      </c>
    </row>
    <row r="38">
      <c r="A38" s="3" t="inlineStr">
        <is>
          <t xml:space="preserve">    must be reassessed during that review cycle</t>
        </is>
      </c>
    </row>
    <row r="39">
      <c r="A39" s="3" t="inlineStr">
        <is>
          <t xml:space="preserve">  • Reassess against CURRENT requirements, not original approval</t>
        </is>
      </c>
    </row>
    <row r="40">
      <c r="A40" t="inlineStr"/>
    </row>
    <row r="41">
      <c r="A41" s="3" t="inlineStr">
        <is>
          <t>Workflow:</t>
        </is>
      </c>
    </row>
    <row r="42">
      <c r="A42" s="3" t="inlineStr">
        <is>
          <t xml:space="preserve">  1. Complete Exception_Requests sheet (one row per exception)</t>
        </is>
      </c>
    </row>
    <row r="43">
      <c r="A43" s="3" t="inlineStr">
        <is>
          <t xml:space="preserve">  2. CISO or Executive Management reviews and approves</t>
        </is>
      </c>
    </row>
    <row r="44">
      <c r="A44" s="3" t="inlineStr">
        <is>
          <t xml:space="preserve">  3. Move to Active_Exceptions sheet</t>
        </is>
      </c>
    </row>
    <row r="45">
      <c r="A45" s="3" t="inlineStr">
        <is>
          <t xml:space="preserve">  4. Quarterly: Review active exceptions, update status</t>
        </is>
      </c>
    </row>
    <row r="46">
      <c r="A46" s="3" t="inlineStr">
        <is>
          <t xml:space="preserve">  5. When expired/revoked: Move to Expired_Exceptions sheet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40" customWidth="1" min="6" max="6"/>
    <col width="40" customWidth="1" min="7" max="7"/>
    <col width="40" customWidth="1" min="8" max="8"/>
    <col width="20" customWidth="1" min="9" max="9"/>
    <col width="25" customWidth="1" min="10" max="10"/>
    <col width="20" customWidth="1" min="11" max="11"/>
    <col width="18" customWidth="1" min="12" max="12"/>
    <col width="30" customWidth="1" min="13" max="13"/>
  </cols>
  <sheetData>
    <row r="1">
      <c r="A1" s="5" t="inlineStr">
        <is>
          <t>Exception Requests (Pending Approval)</t>
        </is>
      </c>
    </row>
    <row r="3">
      <c r="A3" s="6" t="inlineStr">
        <is>
          <t>Exception ID [*]</t>
        </is>
      </c>
      <c r="B3" s="6" t="inlineStr">
        <is>
          <t>Submitted Date [*]</t>
        </is>
      </c>
      <c r="C3" s="6" t="inlineStr">
        <is>
          <t>System/Asset Name [*]</t>
        </is>
      </c>
      <c r="D3" s="6" t="inlineStr">
        <is>
          <t>Requirement Exempted [*]</t>
        </is>
      </c>
      <c r="E3" s="6" t="inlineStr">
        <is>
          <t>Exception Type [*]</t>
        </is>
      </c>
      <c r="F3" s="6" t="inlineStr">
        <is>
          <t>Business Justification [*]</t>
        </is>
      </c>
      <c r="G3" s="6" t="inlineStr">
        <is>
          <t>Risk Assessment [*]</t>
        </is>
      </c>
      <c r="H3" s="6" t="inlineStr">
        <is>
          <t>Compensating Controls [*]</t>
        </is>
      </c>
      <c r="I3" s="6" t="inlineStr">
        <is>
          <t>Requested Duration [*]</t>
        </is>
      </c>
      <c r="J3" s="6" t="inlineStr">
        <is>
          <t>Submitted By [*]</t>
        </is>
      </c>
      <c r="K3" s="6" t="inlineStr">
        <is>
          <t>Approval Authority [*]</t>
        </is>
      </c>
      <c r="L3" s="6" t="inlineStr">
        <is>
          <t>Approval Status</t>
        </is>
      </c>
      <c r="M3" s="6" t="inlineStr">
        <is>
          <t>Notes</t>
        </is>
      </c>
    </row>
    <row r="4">
      <c r="A4" s="7" t="inlineStr">
        <is>
          <t>EXC-A817-001</t>
        </is>
      </c>
      <c r="B4" s="7" t="inlineStr">
        <is>
          <t>31.01.2026</t>
        </is>
      </c>
      <c r="C4" s="7" t="inlineStr">
        <is>
          <t>legacy-scada-system.example.com</t>
        </is>
      </c>
      <c r="D4" s="7" t="inlineStr">
        <is>
          <t>REQ-817-009 (All systems must synchronize)</t>
        </is>
      </c>
      <c r="E4" s="7" t="inlineStr">
        <is>
          <t>Technical Exception</t>
        </is>
      </c>
      <c r="F4" s="7" t="inlineStr">
        <is>
          <t>Air-gapped SCADA system cannot reach external NTP servers; vendor does not support NTP protocol</t>
        </is>
      </c>
      <c r="G4" s="7" t="inlineStr">
        <is>
          <t>Moderate risk: Time drift may cause log correlation issues; no authentication impact (isolated network)</t>
        </is>
      </c>
      <c r="H4" s="7" t="inlineStr">
        <is>
          <t>GPS time receiver installed for Stratum 0 local time source; manual time verification weekly</t>
        </is>
      </c>
      <c r="I4" s="7" t="inlineStr">
        <is>
          <t>12 months (temporary until vendor upgrade)</t>
        </is>
      </c>
      <c r="J4" s="7" t="inlineStr">
        <is>
          <t>John Smith (SCADA Admin)</t>
        </is>
      </c>
      <c r="K4" s="7" t="inlineStr">
        <is>
          <t>CISO</t>
        </is>
      </c>
      <c r="L4" s="7" t="inlineStr">
        <is>
          <t>Pending</t>
        </is>
      </c>
      <c r="M4" s="7" t="inlineStr">
        <is>
          <t>Vendor upgrade planned Q3 2026</t>
        </is>
      </c>
    </row>
    <row r="5">
      <c r="A5" s="8" t="inlineStr">
        <is>
          <t>EXC-A817-002</t>
        </is>
      </c>
      <c r="B5" s="7" t="n"/>
      <c r="C5" s="7" t="n"/>
      <c r="D5" s="7" t="n"/>
      <c r="E5" s="7" t="n"/>
      <c r="F5" s="7" t="n"/>
      <c r="G5" s="7" t="n"/>
      <c r="H5" s="7" t="n"/>
      <c r="I5" s="7" t="n"/>
      <c r="J5" s="7" t="n"/>
      <c r="K5" s="7" t="n"/>
      <c r="L5" s="7" t="n"/>
      <c r="M5" s="7" t="n"/>
    </row>
    <row r="6">
      <c r="A6" s="8" t="inlineStr">
        <is>
          <t>EXC-A817-003</t>
        </is>
      </c>
      <c r="B6" s="7" t="n"/>
      <c r="C6" s="7" t="n"/>
      <c r="D6" s="7" t="n"/>
      <c r="E6" s="7" t="n"/>
      <c r="F6" s="7" t="n"/>
      <c r="G6" s="7" t="n"/>
      <c r="H6" s="7" t="n"/>
      <c r="I6" s="7" t="n"/>
      <c r="J6" s="7" t="n"/>
      <c r="K6" s="7" t="n"/>
      <c r="L6" s="7" t="n"/>
      <c r="M6" s="7" t="n"/>
    </row>
    <row r="7">
      <c r="A7" s="8" t="inlineStr">
        <is>
          <t>EXC-A817-004</t>
        </is>
      </c>
      <c r="B7" s="7" t="n"/>
      <c r="C7" s="7" t="n"/>
      <c r="D7" s="7" t="n"/>
      <c r="E7" s="7" t="n"/>
      <c r="F7" s="7" t="n"/>
      <c r="G7" s="7" t="n"/>
      <c r="H7" s="7" t="n"/>
      <c r="I7" s="7" t="n"/>
      <c r="J7" s="7" t="n"/>
      <c r="K7" s="7" t="n"/>
      <c r="L7" s="7" t="n"/>
      <c r="M7" s="7" t="n"/>
    </row>
    <row r="8">
      <c r="A8" s="8" t="inlineStr">
        <is>
          <t>EXC-A817-005</t>
        </is>
      </c>
      <c r="B8" s="7" t="n"/>
      <c r="C8" s="7" t="n"/>
      <c r="D8" s="7" t="n"/>
      <c r="E8" s="7" t="n"/>
      <c r="F8" s="7" t="n"/>
      <c r="G8" s="7" t="n"/>
      <c r="H8" s="7" t="n"/>
      <c r="I8" s="7" t="n"/>
      <c r="J8" s="7" t="n"/>
      <c r="K8" s="7" t="n"/>
      <c r="L8" s="7" t="n"/>
      <c r="M8" s="7" t="n"/>
    </row>
    <row r="9">
      <c r="A9" s="8" t="inlineStr">
        <is>
          <t>EXC-A817-006</t>
        </is>
      </c>
      <c r="B9" s="7" t="n"/>
      <c r="C9" s="7" t="n"/>
      <c r="D9" s="7" t="n"/>
      <c r="E9" s="7" t="n"/>
      <c r="F9" s="7" t="n"/>
      <c r="G9" s="7" t="n"/>
      <c r="H9" s="7" t="n"/>
      <c r="I9" s="7" t="n"/>
      <c r="J9" s="7" t="n"/>
      <c r="K9" s="7" t="n"/>
      <c r="L9" s="7" t="n"/>
      <c r="M9" s="7" t="n"/>
    </row>
    <row r="10">
      <c r="A10" s="8" t="inlineStr">
        <is>
          <t>EXC-A817-007</t>
        </is>
      </c>
      <c r="B10" s="7" t="n"/>
      <c r="C10" s="7" t="n"/>
      <c r="D10" s="7" t="n"/>
      <c r="E10" s="7" t="n"/>
      <c r="F10" s="7" t="n"/>
      <c r="G10" s="7" t="n"/>
      <c r="H10" s="7" t="n"/>
      <c r="I10" s="7" t="n"/>
      <c r="J10" s="7" t="n"/>
      <c r="K10" s="7" t="n"/>
      <c r="L10" s="7" t="n"/>
      <c r="M10" s="7" t="n"/>
    </row>
    <row r="11">
      <c r="A11" s="8" t="inlineStr">
        <is>
          <t>EXC-A817-008</t>
        </is>
      </c>
      <c r="B11" s="7" t="n"/>
      <c r="C11" s="7" t="n"/>
      <c r="D11" s="7" t="n"/>
      <c r="E11" s="7" t="n"/>
      <c r="F11" s="7" t="n"/>
      <c r="G11" s="7" t="n"/>
      <c r="H11" s="7" t="n"/>
      <c r="I11" s="7" t="n"/>
      <c r="J11" s="7" t="n"/>
      <c r="K11" s="7" t="n"/>
      <c r="L11" s="7" t="n"/>
      <c r="M11" s="7" t="n"/>
    </row>
    <row r="12">
      <c r="A12" s="8" t="inlineStr">
        <is>
          <t>EXC-A817-009</t>
        </is>
      </c>
      <c r="B12" s="7" t="n"/>
      <c r="C12" s="7" t="n"/>
      <c r="D12" s="7" t="n"/>
      <c r="E12" s="7" t="n"/>
      <c r="F12" s="7" t="n"/>
      <c r="G12" s="7" t="n"/>
      <c r="H12" s="7" t="n"/>
      <c r="I12" s="7" t="n"/>
      <c r="J12" s="7" t="n"/>
      <c r="K12" s="7" t="n"/>
      <c r="L12" s="7" t="n"/>
      <c r="M12" s="7" t="n"/>
    </row>
    <row r="13">
      <c r="A13" s="8" t="inlineStr">
        <is>
          <t>EXC-A817-010</t>
        </is>
      </c>
      <c r="B13" s="7" t="n"/>
      <c r="C13" s="7" t="n"/>
      <c r="D13" s="7" t="n"/>
      <c r="E13" s="7" t="n"/>
      <c r="F13" s="7" t="n"/>
      <c r="G13" s="7" t="n"/>
      <c r="H13" s="7" t="n"/>
      <c r="I13" s="7" t="n"/>
      <c r="J13" s="7" t="n"/>
      <c r="K13" s="7" t="n"/>
      <c r="L13" s="7" t="n"/>
      <c r="M13" s="7" t="n"/>
    </row>
    <row r="14">
      <c r="A14" s="8" t="inlineStr">
        <is>
          <t>EXC-A817-011</t>
        </is>
      </c>
      <c r="B14" s="7" t="n"/>
      <c r="C14" s="7" t="n"/>
      <c r="D14" s="7" t="n"/>
      <c r="E14" s="7" t="n"/>
      <c r="F14" s="7" t="n"/>
      <c r="G14" s="7" t="n"/>
      <c r="H14" s="7" t="n"/>
      <c r="I14" s="7" t="n"/>
      <c r="J14" s="7" t="n"/>
      <c r="K14" s="7" t="n"/>
      <c r="L14" s="7" t="n"/>
      <c r="M14" s="7" t="n"/>
    </row>
    <row r="15">
      <c r="A15" s="8" t="inlineStr">
        <is>
          <t>EXC-A817-012</t>
        </is>
      </c>
      <c r="B15" s="7" t="n"/>
      <c r="C15" s="7" t="n"/>
      <c r="D15" s="7" t="n"/>
      <c r="E15" s="7" t="n"/>
      <c r="F15" s="7" t="n"/>
      <c r="G15" s="7" t="n"/>
      <c r="H15" s="7" t="n"/>
      <c r="I15" s="7" t="n"/>
      <c r="J15" s="7" t="n"/>
      <c r="K15" s="7" t="n"/>
      <c r="L15" s="7" t="n"/>
      <c r="M15" s="7" t="n"/>
    </row>
    <row r="16">
      <c r="A16" s="8" t="inlineStr">
        <is>
          <t>EXC-A817-013</t>
        </is>
      </c>
      <c r="B16" s="7" t="n"/>
      <c r="C16" s="7" t="n"/>
      <c r="D16" s="7" t="n"/>
      <c r="E16" s="7" t="n"/>
      <c r="F16" s="7" t="n"/>
      <c r="G16" s="7" t="n"/>
      <c r="H16" s="7" t="n"/>
      <c r="I16" s="7" t="n"/>
      <c r="J16" s="7" t="n"/>
      <c r="K16" s="7" t="n"/>
      <c r="L16" s="7" t="n"/>
      <c r="M16" s="7" t="n"/>
    </row>
    <row r="17">
      <c r="A17" s="8" t="inlineStr">
        <is>
          <t>EXC-A817-014</t>
        </is>
      </c>
      <c r="B17" s="7" t="n"/>
      <c r="C17" s="7" t="n"/>
      <c r="D17" s="7" t="n"/>
      <c r="E17" s="7" t="n"/>
      <c r="F17" s="7" t="n"/>
      <c r="G17" s="7" t="n"/>
      <c r="H17" s="7" t="n"/>
      <c r="I17" s="7" t="n"/>
      <c r="J17" s="7" t="n"/>
      <c r="K17" s="7" t="n"/>
      <c r="L17" s="7" t="n"/>
      <c r="M17" s="7" t="n"/>
    </row>
    <row r="18">
      <c r="A18" s="8" t="inlineStr">
        <is>
          <t>EXC-A817-015</t>
        </is>
      </c>
      <c r="B18" s="7" t="n"/>
      <c r="C18" s="7" t="n"/>
      <c r="D18" s="7" t="n"/>
      <c r="E18" s="7" t="n"/>
      <c r="F18" s="7" t="n"/>
      <c r="G18" s="7" t="n"/>
      <c r="H18" s="7" t="n"/>
      <c r="I18" s="7" t="n"/>
      <c r="J18" s="7" t="n"/>
      <c r="K18" s="7" t="n"/>
      <c r="L18" s="7" t="n"/>
      <c r="M18" s="7" t="n"/>
    </row>
    <row r="19">
      <c r="A19" s="8" t="inlineStr">
        <is>
          <t>EXC-A817-016</t>
        </is>
      </c>
      <c r="B19" s="7" t="n"/>
      <c r="C19" s="7" t="n"/>
      <c r="D19" s="7" t="n"/>
      <c r="E19" s="7" t="n"/>
      <c r="F19" s="7" t="n"/>
      <c r="G19" s="7" t="n"/>
      <c r="H19" s="7" t="n"/>
      <c r="I19" s="7" t="n"/>
      <c r="J19" s="7" t="n"/>
      <c r="K19" s="7" t="n"/>
      <c r="L19" s="7" t="n"/>
      <c r="M19" s="7" t="n"/>
    </row>
    <row r="20">
      <c r="A20" s="8" t="inlineStr">
        <is>
          <t>EXC-A817-017</t>
        </is>
      </c>
      <c r="B20" s="7" t="n"/>
      <c r="C20" s="7" t="n"/>
      <c r="D20" s="7" t="n"/>
      <c r="E20" s="7" t="n"/>
      <c r="F20" s="7" t="n"/>
      <c r="G20" s="7" t="n"/>
      <c r="H20" s="7" t="n"/>
      <c r="I20" s="7" t="n"/>
      <c r="J20" s="7" t="n"/>
      <c r="K20" s="7" t="n"/>
      <c r="L20" s="7" t="n"/>
      <c r="M20" s="7" t="n"/>
    </row>
    <row r="21">
      <c r="A21" s="8" t="inlineStr">
        <is>
          <t>EXC-A817-018</t>
        </is>
      </c>
      <c r="B21" s="7" t="n"/>
      <c r="C21" s="7" t="n"/>
      <c r="D21" s="7" t="n"/>
      <c r="E21" s="7" t="n"/>
      <c r="F21" s="7" t="n"/>
      <c r="G21" s="7" t="n"/>
      <c r="H21" s="7" t="n"/>
      <c r="I21" s="7" t="n"/>
      <c r="J21" s="7" t="n"/>
      <c r="K21" s="7" t="n"/>
      <c r="L21" s="7" t="n"/>
      <c r="M21" s="7" t="n"/>
    </row>
    <row r="22">
      <c r="A22" s="8" t="inlineStr">
        <is>
          <t>EXC-A817-019</t>
        </is>
      </c>
      <c r="B22" s="7" t="n"/>
      <c r="C22" s="7" t="n"/>
      <c r="D22" s="7" t="n"/>
      <c r="E22" s="7" t="n"/>
      <c r="F22" s="7" t="n"/>
      <c r="G22" s="7" t="n"/>
      <c r="H22" s="7" t="n"/>
      <c r="I22" s="7" t="n"/>
      <c r="J22" s="7" t="n"/>
      <c r="K22" s="7" t="n"/>
      <c r="L22" s="7" t="n"/>
      <c r="M22" s="7" t="n"/>
    </row>
    <row r="23">
      <c r="A23" s="8" t="inlineStr">
        <is>
          <t>EXC-A817-020</t>
        </is>
      </c>
      <c r="B23" s="7" t="n"/>
      <c r="C23" s="7" t="n"/>
      <c r="D23" s="7" t="n"/>
      <c r="E23" s="7" t="n"/>
      <c r="F23" s="7" t="n"/>
      <c r="G23" s="7" t="n"/>
      <c r="H23" s="7" t="n"/>
      <c r="I23" s="7" t="n"/>
      <c r="J23" s="7" t="n"/>
      <c r="K23" s="7" t="n"/>
      <c r="L23" s="7" t="n"/>
      <c r="M23" s="7" t="n"/>
    </row>
    <row r="24">
      <c r="A24" s="8" t="inlineStr">
        <is>
          <t>EXC-A817-021</t>
        </is>
      </c>
      <c r="B24" s="7" t="n"/>
      <c r="C24" s="7" t="n"/>
      <c r="D24" s="7" t="n"/>
      <c r="E24" s="7" t="n"/>
      <c r="F24" s="7" t="n"/>
      <c r="G24" s="7" t="n"/>
      <c r="H24" s="7" t="n"/>
      <c r="I24" s="7" t="n"/>
      <c r="J24" s="7" t="n"/>
      <c r="K24" s="7" t="n"/>
      <c r="L24" s="7" t="n"/>
      <c r="M24" s="7" t="n"/>
    </row>
    <row r="25">
      <c r="A25" s="8" t="inlineStr">
        <is>
          <t>EXC-A817-022</t>
        </is>
      </c>
      <c r="B25" s="7" t="n"/>
      <c r="C25" s="7" t="n"/>
      <c r="D25" s="7" t="n"/>
      <c r="E25" s="7" t="n"/>
      <c r="F25" s="7" t="n"/>
      <c r="G25" s="7" t="n"/>
      <c r="H25" s="7" t="n"/>
      <c r="I25" s="7" t="n"/>
      <c r="J25" s="7" t="n"/>
      <c r="K25" s="7" t="n"/>
      <c r="L25" s="7" t="n"/>
      <c r="M25" s="7" t="n"/>
    </row>
    <row r="26">
      <c r="A26" s="8" t="inlineStr">
        <is>
          <t>EXC-A817-023</t>
        </is>
      </c>
      <c r="B26" s="7" t="n"/>
      <c r="C26" s="7" t="n"/>
      <c r="D26" s="7" t="n"/>
      <c r="E26" s="7" t="n"/>
      <c r="F26" s="7" t="n"/>
      <c r="G26" s="7" t="n"/>
      <c r="H26" s="7" t="n"/>
      <c r="I26" s="7" t="n"/>
      <c r="J26" s="7" t="n"/>
      <c r="K26" s="7" t="n"/>
      <c r="L26" s="7" t="n"/>
      <c r="M26" s="7" t="n"/>
    </row>
    <row r="27">
      <c r="A27" s="8" t="inlineStr">
        <is>
          <t>EXC-A817-024</t>
        </is>
      </c>
      <c r="B27" s="7" t="n"/>
      <c r="C27" s="7" t="n"/>
      <c r="D27" s="7" t="n"/>
      <c r="E27" s="7" t="n"/>
      <c r="F27" s="7" t="n"/>
      <c r="G27" s="7" t="n"/>
      <c r="H27" s="7" t="n"/>
      <c r="I27" s="7" t="n"/>
      <c r="J27" s="7" t="n"/>
      <c r="K27" s="7" t="n"/>
      <c r="L27" s="7" t="n"/>
      <c r="M27" s="7" t="n"/>
    </row>
    <row r="28">
      <c r="A28" s="8" t="inlineStr">
        <is>
          <t>EXC-A817-025</t>
        </is>
      </c>
      <c r="B28" s="7" t="n"/>
      <c r="C28" s="7" t="n"/>
      <c r="D28" s="7" t="n"/>
      <c r="E28" s="7" t="n"/>
      <c r="F28" s="7" t="n"/>
      <c r="G28" s="7" t="n"/>
      <c r="H28" s="7" t="n"/>
      <c r="I28" s="7" t="n"/>
      <c r="J28" s="7" t="n"/>
      <c r="K28" s="7" t="n"/>
      <c r="L28" s="7" t="n"/>
      <c r="M28" s="7" t="n"/>
    </row>
    <row r="29">
      <c r="A29" s="8" t="inlineStr">
        <is>
          <t>EXC-A817-026</t>
        </is>
      </c>
      <c r="B29" s="7" t="n"/>
      <c r="C29" s="7" t="n"/>
      <c r="D29" s="7" t="n"/>
      <c r="E29" s="7" t="n"/>
      <c r="F29" s="7" t="n"/>
      <c r="G29" s="7" t="n"/>
      <c r="H29" s="7" t="n"/>
      <c r="I29" s="7" t="n"/>
      <c r="J29" s="7" t="n"/>
      <c r="K29" s="7" t="n"/>
      <c r="L29" s="7" t="n"/>
      <c r="M29" s="7" t="n"/>
    </row>
    <row r="30">
      <c r="A30" s="8" t="inlineStr">
        <is>
          <t>EXC-A817-027</t>
        </is>
      </c>
      <c r="B30" s="7" t="n"/>
      <c r="C30" s="7" t="n"/>
      <c r="D30" s="7" t="n"/>
      <c r="E30" s="7" t="n"/>
      <c r="F30" s="7" t="n"/>
      <c r="G30" s="7" t="n"/>
      <c r="H30" s="7" t="n"/>
      <c r="I30" s="7" t="n"/>
      <c r="J30" s="7" t="n"/>
      <c r="K30" s="7" t="n"/>
      <c r="L30" s="7" t="n"/>
      <c r="M30" s="7" t="n"/>
    </row>
    <row r="31">
      <c r="A31" s="8" t="inlineStr">
        <is>
          <t>EXC-A817-028</t>
        </is>
      </c>
      <c r="B31" s="7" t="n"/>
      <c r="C31" s="7" t="n"/>
      <c r="D31" s="7" t="n"/>
      <c r="E31" s="7" t="n"/>
      <c r="F31" s="7" t="n"/>
      <c r="G31" s="7" t="n"/>
      <c r="H31" s="7" t="n"/>
      <c r="I31" s="7" t="n"/>
      <c r="J31" s="7" t="n"/>
      <c r="K31" s="7" t="n"/>
      <c r="L31" s="7" t="n"/>
      <c r="M31" s="7" t="n"/>
    </row>
    <row r="32">
      <c r="A32" s="8" t="inlineStr">
        <is>
          <t>EXC-A817-029</t>
        </is>
      </c>
      <c r="B32" s="7" t="n"/>
      <c r="C32" s="7" t="n"/>
      <c r="D32" s="7" t="n"/>
      <c r="E32" s="7" t="n"/>
      <c r="F32" s="7" t="n"/>
      <c r="G32" s="7" t="n"/>
      <c r="H32" s="7" t="n"/>
      <c r="I32" s="7" t="n"/>
      <c r="J32" s="7" t="n"/>
      <c r="K32" s="7" t="n"/>
      <c r="L32" s="7" t="n"/>
      <c r="M32" s="7" t="n"/>
    </row>
    <row r="33">
      <c r="A33" s="8" t="inlineStr">
        <is>
          <t>EXC-A817-030</t>
        </is>
      </c>
      <c r="B33" s="7" t="n"/>
      <c r="C33" s="7" t="n"/>
      <c r="D33" s="7" t="n"/>
      <c r="E33" s="7" t="n"/>
      <c r="F33" s="7" t="n"/>
      <c r="G33" s="7" t="n"/>
      <c r="H33" s="7" t="n"/>
      <c r="I33" s="7" t="n"/>
      <c r="J33" s="7" t="n"/>
      <c r="K33" s="7" t="n"/>
      <c r="L33" s="7" t="n"/>
      <c r="M33" s="7" t="n"/>
    </row>
    <row r="34">
      <c r="A34" s="8" t="inlineStr">
        <is>
          <t>EXC-A817-031</t>
        </is>
      </c>
      <c r="B34" s="7" t="n"/>
      <c r="C34" s="7" t="n"/>
      <c r="D34" s="7" t="n"/>
      <c r="E34" s="7" t="n"/>
      <c r="F34" s="7" t="n"/>
      <c r="G34" s="7" t="n"/>
      <c r="H34" s="7" t="n"/>
      <c r="I34" s="7" t="n"/>
      <c r="J34" s="7" t="n"/>
      <c r="K34" s="7" t="n"/>
      <c r="L34" s="7" t="n"/>
      <c r="M34" s="7" t="n"/>
    </row>
    <row r="35">
      <c r="A35" s="8" t="inlineStr">
        <is>
          <t>EXC-A817-032</t>
        </is>
      </c>
      <c r="B35" s="7" t="n"/>
      <c r="C35" s="7" t="n"/>
      <c r="D35" s="7" t="n"/>
      <c r="E35" s="7" t="n"/>
      <c r="F35" s="7" t="n"/>
      <c r="G35" s="7" t="n"/>
      <c r="H35" s="7" t="n"/>
      <c r="I35" s="7" t="n"/>
      <c r="J35" s="7" t="n"/>
      <c r="K35" s="7" t="n"/>
      <c r="L35" s="7" t="n"/>
      <c r="M35" s="7" t="n"/>
    </row>
    <row r="36">
      <c r="A36" s="8" t="inlineStr">
        <is>
          <t>EXC-A817-033</t>
        </is>
      </c>
      <c r="B36" s="7" t="n"/>
      <c r="C36" s="7" t="n"/>
      <c r="D36" s="7" t="n"/>
      <c r="E36" s="7" t="n"/>
      <c r="F36" s="7" t="n"/>
      <c r="G36" s="7" t="n"/>
      <c r="H36" s="7" t="n"/>
      <c r="I36" s="7" t="n"/>
      <c r="J36" s="7" t="n"/>
      <c r="K36" s="7" t="n"/>
      <c r="L36" s="7" t="n"/>
      <c r="M36" s="7" t="n"/>
    </row>
    <row r="37">
      <c r="A37" s="8" t="inlineStr">
        <is>
          <t>EXC-A817-034</t>
        </is>
      </c>
      <c r="B37" s="7" t="n"/>
      <c r="C37" s="7" t="n"/>
      <c r="D37" s="7" t="n"/>
      <c r="E37" s="7" t="n"/>
      <c r="F37" s="7" t="n"/>
      <c r="G37" s="7" t="n"/>
      <c r="H37" s="7" t="n"/>
      <c r="I37" s="7" t="n"/>
      <c r="J37" s="7" t="n"/>
      <c r="K37" s="7" t="n"/>
      <c r="L37" s="7" t="n"/>
      <c r="M37" s="7" t="n"/>
    </row>
    <row r="38">
      <c r="A38" s="8" t="inlineStr">
        <is>
          <t>EXC-A817-035</t>
        </is>
      </c>
      <c r="B38" s="7" t="n"/>
      <c r="C38" s="7" t="n"/>
      <c r="D38" s="7" t="n"/>
      <c r="E38" s="7" t="n"/>
      <c r="F38" s="7" t="n"/>
      <c r="G38" s="7" t="n"/>
      <c r="H38" s="7" t="n"/>
      <c r="I38" s="7" t="n"/>
      <c r="J38" s="7" t="n"/>
      <c r="K38" s="7" t="n"/>
      <c r="L38" s="7" t="n"/>
      <c r="M38" s="7" t="n"/>
    </row>
    <row r="39">
      <c r="A39" s="8" t="inlineStr">
        <is>
          <t>EXC-A817-036</t>
        </is>
      </c>
      <c r="B39" s="7" t="n"/>
      <c r="C39" s="7" t="n"/>
      <c r="D39" s="7" t="n"/>
      <c r="E39" s="7" t="n"/>
      <c r="F39" s="7" t="n"/>
      <c r="G39" s="7" t="n"/>
      <c r="H39" s="7" t="n"/>
      <c r="I39" s="7" t="n"/>
      <c r="J39" s="7" t="n"/>
      <c r="K39" s="7" t="n"/>
      <c r="L39" s="7" t="n"/>
      <c r="M39" s="7" t="n"/>
    </row>
    <row r="40">
      <c r="A40" s="8" t="inlineStr">
        <is>
          <t>EXC-A817-037</t>
        </is>
      </c>
      <c r="B40" s="7" t="n"/>
      <c r="C40" s="7" t="n"/>
      <c r="D40" s="7" t="n"/>
      <c r="E40" s="7" t="n"/>
      <c r="F40" s="7" t="n"/>
      <c r="G40" s="7" t="n"/>
      <c r="H40" s="7" t="n"/>
      <c r="I40" s="7" t="n"/>
      <c r="J40" s="7" t="n"/>
      <c r="K40" s="7" t="n"/>
      <c r="L40" s="7" t="n"/>
      <c r="M40" s="7" t="n"/>
    </row>
    <row r="41">
      <c r="A41" s="8" t="inlineStr">
        <is>
          <t>EXC-A817-038</t>
        </is>
      </c>
      <c r="B41" s="7" t="n"/>
      <c r="C41" s="7" t="n"/>
      <c r="D41" s="7" t="n"/>
      <c r="E41" s="7" t="n"/>
      <c r="F41" s="7" t="n"/>
      <c r="G41" s="7" t="n"/>
      <c r="H41" s="7" t="n"/>
      <c r="I41" s="7" t="n"/>
      <c r="J41" s="7" t="n"/>
      <c r="K41" s="7" t="n"/>
      <c r="L41" s="7" t="n"/>
      <c r="M41" s="7" t="n"/>
    </row>
    <row r="42">
      <c r="A42" s="8" t="inlineStr">
        <is>
          <t>EXC-A817-039</t>
        </is>
      </c>
      <c r="B42" s="7" t="n"/>
      <c r="C42" s="7" t="n"/>
      <c r="D42" s="7" t="n"/>
      <c r="E42" s="7" t="n"/>
      <c r="F42" s="7" t="n"/>
      <c r="G42" s="7" t="n"/>
      <c r="H42" s="7" t="n"/>
      <c r="I42" s="7" t="n"/>
      <c r="J42" s="7" t="n"/>
      <c r="K42" s="7" t="n"/>
      <c r="L42" s="7" t="n"/>
      <c r="M42" s="7" t="n"/>
    </row>
    <row r="43">
      <c r="A43" s="8" t="inlineStr">
        <is>
          <t>EXC-A817-040</t>
        </is>
      </c>
      <c r="B43" s="7" t="n"/>
      <c r="C43" s="7" t="n"/>
      <c r="D43" s="7" t="n"/>
      <c r="E43" s="7" t="n"/>
      <c r="F43" s="7" t="n"/>
      <c r="G43" s="7" t="n"/>
      <c r="H43" s="7" t="n"/>
      <c r="I43" s="7" t="n"/>
      <c r="J43" s="7" t="n"/>
      <c r="K43" s="7" t="n"/>
      <c r="L43" s="7" t="n"/>
      <c r="M43" s="7" t="n"/>
    </row>
    <row r="44">
      <c r="A44" s="8" t="inlineStr">
        <is>
          <t>EXC-A817-041</t>
        </is>
      </c>
      <c r="B44" s="7" t="n"/>
      <c r="C44" s="7" t="n"/>
      <c r="D44" s="7" t="n"/>
      <c r="E44" s="7" t="n"/>
      <c r="F44" s="7" t="n"/>
      <c r="G44" s="7" t="n"/>
      <c r="H44" s="7" t="n"/>
      <c r="I44" s="7" t="n"/>
      <c r="J44" s="7" t="n"/>
      <c r="K44" s="7" t="n"/>
      <c r="L44" s="7" t="n"/>
      <c r="M44" s="7" t="n"/>
    </row>
    <row r="45">
      <c r="A45" s="8" t="inlineStr">
        <is>
          <t>EXC-A817-042</t>
        </is>
      </c>
      <c r="B45" s="7" t="n"/>
      <c r="C45" s="7" t="n"/>
      <c r="D45" s="7" t="n"/>
      <c r="E45" s="7" t="n"/>
      <c r="F45" s="7" t="n"/>
      <c r="G45" s="7" t="n"/>
      <c r="H45" s="7" t="n"/>
      <c r="I45" s="7" t="n"/>
      <c r="J45" s="7" t="n"/>
      <c r="K45" s="7" t="n"/>
      <c r="L45" s="7" t="n"/>
      <c r="M45" s="7" t="n"/>
    </row>
    <row r="46">
      <c r="A46" s="8" t="inlineStr">
        <is>
          <t>EXC-A817-043</t>
        </is>
      </c>
      <c r="B46" s="7" t="n"/>
      <c r="C46" s="7" t="n"/>
      <c r="D46" s="7" t="n"/>
      <c r="E46" s="7" t="n"/>
      <c r="F46" s="7" t="n"/>
      <c r="G46" s="7" t="n"/>
      <c r="H46" s="7" t="n"/>
      <c r="I46" s="7" t="n"/>
      <c r="J46" s="7" t="n"/>
      <c r="K46" s="7" t="n"/>
      <c r="L46" s="7" t="n"/>
      <c r="M46" s="7" t="n"/>
    </row>
    <row r="47">
      <c r="A47" s="8" t="inlineStr">
        <is>
          <t>EXC-A817-044</t>
        </is>
      </c>
      <c r="B47" s="7" t="n"/>
      <c r="C47" s="7" t="n"/>
      <c r="D47" s="7" t="n"/>
      <c r="E47" s="7" t="n"/>
      <c r="F47" s="7" t="n"/>
      <c r="G47" s="7" t="n"/>
      <c r="H47" s="7" t="n"/>
      <c r="I47" s="7" t="n"/>
      <c r="J47" s="7" t="n"/>
      <c r="K47" s="7" t="n"/>
      <c r="L47" s="7" t="n"/>
      <c r="M47" s="7" t="n"/>
    </row>
    <row r="48">
      <c r="A48" s="8" t="inlineStr">
        <is>
          <t>EXC-A817-045</t>
        </is>
      </c>
      <c r="B48" s="7" t="n"/>
      <c r="C48" s="7" t="n"/>
      <c r="D48" s="7" t="n"/>
      <c r="E48" s="7" t="n"/>
      <c r="F48" s="7" t="n"/>
      <c r="G48" s="7" t="n"/>
      <c r="H48" s="7" t="n"/>
      <c r="I48" s="7" t="n"/>
      <c r="J48" s="7" t="n"/>
      <c r="K48" s="7" t="n"/>
      <c r="L48" s="7" t="n"/>
      <c r="M48" s="7" t="n"/>
    </row>
    <row r="49">
      <c r="A49" s="8" t="inlineStr">
        <is>
          <t>EXC-A817-046</t>
        </is>
      </c>
      <c r="B49" s="7" t="n"/>
      <c r="C49" s="7" t="n"/>
      <c r="D49" s="7" t="n"/>
      <c r="E49" s="7" t="n"/>
      <c r="F49" s="7" t="n"/>
      <c r="G49" s="7" t="n"/>
      <c r="H49" s="7" t="n"/>
      <c r="I49" s="7" t="n"/>
      <c r="J49" s="7" t="n"/>
      <c r="K49" s="7" t="n"/>
      <c r="L49" s="7" t="n"/>
      <c r="M49" s="7" t="n"/>
    </row>
    <row r="50">
      <c r="A50" s="8" t="inlineStr">
        <is>
          <t>EXC-A817-047</t>
        </is>
      </c>
      <c r="B50" s="7" t="n"/>
      <c r="C50" s="7" t="n"/>
      <c r="D50" s="7" t="n"/>
      <c r="E50" s="7" t="n"/>
      <c r="F50" s="7" t="n"/>
      <c r="G50" s="7" t="n"/>
      <c r="H50" s="7" t="n"/>
      <c r="I50" s="7" t="n"/>
      <c r="J50" s="7" t="n"/>
      <c r="K50" s="7" t="n"/>
      <c r="L50" s="7" t="n"/>
      <c r="M50" s="7" t="n"/>
    </row>
    <row r="51">
      <c r="A51" s="8" t="inlineStr">
        <is>
          <t>EXC-A817-048</t>
        </is>
      </c>
      <c r="B51" s="7" t="n"/>
      <c r="C51" s="7" t="n"/>
      <c r="D51" s="7" t="n"/>
      <c r="E51" s="7" t="n"/>
      <c r="F51" s="7" t="n"/>
      <c r="G51" s="7" t="n"/>
      <c r="H51" s="7" t="n"/>
      <c r="I51" s="7" t="n"/>
      <c r="J51" s="7" t="n"/>
      <c r="K51" s="7" t="n"/>
      <c r="L51" s="7" t="n"/>
      <c r="M51" s="7" t="n"/>
    </row>
    <row r="52">
      <c r="A52" s="8" t="inlineStr">
        <is>
          <t>EXC-A817-049</t>
        </is>
      </c>
      <c r="B52" s="7" t="n"/>
      <c r="C52" s="7" t="n"/>
      <c r="D52" s="7" t="n"/>
      <c r="E52" s="7" t="n"/>
      <c r="F52" s="7" t="n"/>
      <c r="G52" s="7" t="n"/>
      <c r="H52" s="7" t="n"/>
      <c r="I52" s="7" t="n"/>
      <c r="J52" s="7" t="n"/>
      <c r="K52" s="7" t="n"/>
      <c r="L52" s="7" t="n"/>
      <c r="M52" s="7" t="n"/>
    </row>
    <row r="53">
      <c r="A53" s="8" t="inlineStr">
        <is>
          <t>EXC-A817-050</t>
        </is>
      </c>
      <c r="B53" s="7" t="n"/>
      <c r="C53" s="7" t="n"/>
      <c r="D53" s="7" t="n"/>
      <c r="E53" s="7" t="n"/>
      <c r="F53" s="7" t="n"/>
      <c r="G53" s="7" t="n"/>
      <c r="H53" s="7" t="n"/>
      <c r="I53" s="7" t="n"/>
      <c r="J53" s="7" t="n"/>
      <c r="K53" s="7" t="n"/>
      <c r="L53" s="7" t="n"/>
      <c r="M53" s="7" t="n"/>
    </row>
  </sheetData>
  <mergeCells count="1">
    <mergeCell ref="A1:M1"/>
  </mergeCells>
  <dataValidations count="3">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"Technical Exception,Policy-Level Exception,Temporary Non-Compliance"</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"CISO,Executive Management"</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"Pending,Approved,Rejected,Withdrawn"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8" customWidth="1" min="8" max="8"/>
    <col width="40" customWidth="1" min="9" max="9"/>
    <col width="18" customWidth="1" min="10" max="10"/>
    <col width="18" customWidth="1" min="11" max="11"/>
    <col width="22" customWidth="1" min="12" max="12"/>
    <col width="18" customWidth="1" min="13" max="13"/>
    <col width="40" customWidth="1" min="14" max="14"/>
    <col width="40" customWidth="1" min="15" max="15"/>
  </cols>
  <sheetData>
    <row r="1">
      <c r="A1" s="5" t="inlineStr">
        <is>
          <t>Active Exceptions (Approved)</t>
        </is>
      </c>
    </row>
    <row r="3">
      <c r="A3" s="6" t="inlineStr">
        <is>
          <t>Exception ID [*]</t>
        </is>
      </c>
      <c r="B3" s="6" t="inlineStr">
        <is>
          <t>System/Asset Name [*]</t>
        </is>
      </c>
      <c r="C3" s="6" t="inlineStr">
        <is>
          <t>Requirement Exempted [*]</t>
        </is>
      </c>
      <c r="D3" s="6" t="inlineStr">
        <is>
          <t>Exception Type [*]</t>
        </is>
      </c>
      <c r="E3" s="6" t="inlineStr">
        <is>
          <t>Approved By [*]</t>
        </is>
      </c>
      <c r="F3" s="6" t="inlineStr">
        <is>
          <t>Approval Date [*]</t>
        </is>
      </c>
      <c r="G3" s="6" t="inlineStr">
        <is>
          <t>Expiry Date [*]</t>
        </is>
      </c>
      <c r="H3" s="6" t="inlineStr">
        <is>
          <t>Days Until Expiry</t>
        </is>
      </c>
      <c r="I3" s="6" t="inlineStr">
        <is>
          <t>Compensating Controls [*]</t>
        </is>
      </c>
      <c r="J3" s="6" t="inlineStr">
        <is>
          <t>Last Quarterly Review</t>
        </is>
      </c>
      <c r="K3" s="6" t="inlineStr">
        <is>
          <t>Next Review Due</t>
        </is>
      </c>
      <c r="L3" s="6" t="inlineStr">
        <is>
          <t>Reassessment Required</t>
        </is>
      </c>
      <c r="M3" s="6" t="inlineStr">
        <is>
          <t>Status</t>
        </is>
      </c>
      <c r="N3" s="6" t="inlineStr">
        <is>
          <t>Review Notes</t>
        </is>
      </c>
      <c r="O3" s="6" t="inlineStr">
        <is>
          <t>Actions Required</t>
        </is>
      </c>
    </row>
    <row r="4">
      <c r="A4" s="7" t="inlineStr">
        <is>
          <t>EXC-A817-001</t>
        </is>
      </c>
      <c r="B4" s="7" t="inlineStr">
        <is>
          <t>legacy-scada-system.example.com</t>
        </is>
      </c>
      <c r="C4" s="7" t="inlineStr">
        <is>
          <t>REQ-817-009 (All systems must synchronize)</t>
        </is>
      </c>
      <c r="D4" s="7" t="inlineStr">
        <is>
          <t>Technical Exception</t>
        </is>
      </c>
      <c r="E4" s="7" t="inlineStr">
        <is>
          <t>Jane Doe (CISO)</t>
        </is>
      </c>
      <c r="F4" s="7" t="inlineStr">
        <is>
          <t>31.01.2026</t>
        </is>
      </c>
      <c r="G4" s="7" t="inlineStr">
        <is>
          <t>30.07.2026</t>
        </is>
      </c>
      <c r="H4" s="9">
        <f>G4-TODAY()</f>
        <v/>
      </c>
      <c r="I4" s="7" t="inlineStr">
        <is>
          <t>GPS time receiver (Stratum 0); Weekly manual verification</t>
        </is>
      </c>
      <c r="J4" s="7" t="inlineStr">
        <is>
          <t>31.01.2026</t>
        </is>
      </c>
      <c r="K4" s="7" t="inlineStr">
        <is>
          <t>01.05.2026</t>
        </is>
      </c>
      <c r="L4" s="7" t="inlineStr">
        <is>
          <t>No</t>
        </is>
      </c>
      <c r="M4" s="7" t="inlineStr">
        <is>
          <t>Active</t>
        </is>
      </c>
      <c r="N4" s="7" t="inlineStr">
        <is>
          <t>Compensating controls verified; GPS receiver operational</t>
        </is>
      </c>
      <c r="O4" s="7" t="inlineStr">
        <is>
          <t>Continue quarterly reviews; Monitor vendor upgrade timeline</t>
        </is>
      </c>
    </row>
    <row r="5">
      <c r="A5" s="7" t="n"/>
      <c r="B5" s="7" t="n"/>
      <c r="C5" s="7" t="n"/>
      <c r="D5" s="7" t="n"/>
      <c r="E5" s="7" t="n"/>
      <c r="F5" s="7" t="n"/>
      <c r="G5" s="7" t="n"/>
      <c r="H5" s="10">
        <f>IF(ISBLANK(G5),"",G5-TODAY())</f>
        <v/>
      </c>
      <c r="I5" s="7" t="n"/>
      <c r="J5" s="7" t="n"/>
      <c r="K5" s="10">
        <f>IF(ISBLANK(J5),"",J5+90)</f>
        <v/>
      </c>
      <c r="L5" s="7" t="n"/>
      <c r="M5" s="7" t="n"/>
      <c r="N5" s="7" t="n"/>
      <c r="O5" s="7" t="n"/>
    </row>
    <row r="6">
      <c r="A6" s="7" t="n"/>
      <c r="B6" s="7" t="n"/>
      <c r="C6" s="7" t="n"/>
      <c r="D6" s="7" t="n"/>
      <c r="E6" s="7" t="n"/>
      <c r="F6" s="7" t="n"/>
      <c r="G6" s="7" t="n"/>
      <c r="H6" s="10">
        <f>IF(ISBLANK(G6),"",G6-TODAY())</f>
        <v/>
      </c>
      <c r="I6" s="7" t="n"/>
      <c r="J6" s="7" t="n"/>
      <c r="K6" s="10">
        <f>IF(ISBLANK(J6),"",J6+90)</f>
        <v/>
      </c>
      <c r="L6" s="7" t="n"/>
      <c r="M6" s="7" t="n"/>
      <c r="N6" s="7" t="n"/>
      <c r="O6" s="7" t="n"/>
    </row>
    <row r="7">
      <c r="A7" s="7" t="n"/>
      <c r="B7" s="7" t="n"/>
      <c r="C7" s="7" t="n"/>
      <c r="D7" s="7" t="n"/>
      <c r="E7" s="7" t="n"/>
      <c r="F7" s="7" t="n"/>
      <c r="G7" s="7" t="n"/>
      <c r="H7" s="10">
        <f>IF(ISBLANK(G7),"",G7-TODAY())</f>
        <v/>
      </c>
      <c r="I7" s="7" t="n"/>
      <c r="J7" s="7" t="n"/>
      <c r="K7" s="10">
        <f>IF(ISBLANK(J7),"",J7+90)</f>
        <v/>
      </c>
      <c r="L7" s="7" t="n"/>
      <c r="M7" s="7" t="n"/>
      <c r="N7" s="7" t="n"/>
      <c r="O7" s="7" t="n"/>
    </row>
    <row r="8">
      <c r="A8" s="7" t="n"/>
      <c r="B8" s="7" t="n"/>
      <c r="C8" s="7" t="n"/>
      <c r="D8" s="7" t="n"/>
      <c r="E8" s="7" t="n"/>
      <c r="F8" s="7" t="n"/>
      <c r="G8" s="7" t="n"/>
      <c r="H8" s="10">
        <f>IF(ISBLANK(G8),"",G8-TODAY())</f>
        <v/>
      </c>
      <c r="I8" s="7" t="n"/>
      <c r="J8" s="7" t="n"/>
      <c r="K8" s="10">
        <f>IF(ISBLANK(J8),"",J8+90)</f>
        <v/>
      </c>
      <c r="L8" s="7" t="n"/>
      <c r="M8" s="7" t="n"/>
      <c r="N8" s="7" t="n"/>
      <c r="O8" s="7" t="n"/>
    </row>
    <row r="9">
      <c r="A9" s="7" t="n"/>
      <c r="B9" s="7" t="n"/>
      <c r="C9" s="7" t="n"/>
      <c r="D9" s="7" t="n"/>
      <c r="E9" s="7" t="n"/>
      <c r="F9" s="7" t="n"/>
      <c r="G9" s="7" t="n"/>
      <c r="H9" s="10">
        <f>IF(ISBLANK(G9),"",G9-TODAY())</f>
        <v/>
      </c>
      <c r="I9" s="7" t="n"/>
      <c r="J9" s="7" t="n"/>
      <c r="K9" s="10">
        <f>IF(ISBLANK(J9),"",J9+90)</f>
        <v/>
      </c>
      <c r="L9" s="7" t="n"/>
      <c r="M9" s="7" t="n"/>
      <c r="N9" s="7" t="n"/>
      <c r="O9" s="7" t="n"/>
    </row>
    <row r="10">
      <c r="A10" s="7" t="n"/>
      <c r="B10" s="7" t="n"/>
      <c r="C10" s="7" t="n"/>
      <c r="D10" s="7" t="n"/>
      <c r="E10" s="7" t="n"/>
      <c r="F10" s="7" t="n"/>
      <c r="G10" s="7" t="n"/>
      <c r="H10" s="10">
        <f>IF(ISBLANK(G10),"",G10-TODAY())</f>
        <v/>
      </c>
      <c r="I10" s="7" t="n"/>
      <c r="J10" s="7" t="n"/>
      <c r="K10" s="10">
        <f>IF(ISBLANK(J10),"",J10+90)</f>
        <v/>
      </c>
      <c r="L10" s="7" t="n"/>
      <c r="M10" s="7" t="n"/>
      <c r="N10" s="7" t="n"/>
      <c r="O10" s="7" t="n"/>
    </row>
    <row r="11">
      <c r="A11" s="7" t="n"/>
      <c r="B11" s="7" t="n"/>
      <c r="C11" s="7" t="n"/>
      <c r="D11" s="7" t="n"/>
      <c r="E11" s="7" t="n"/>
      <c r="F11" s="7" t="n"/>
      <c r="G11" s="7" t="n"/>
      <c r="H11" s="10">
        <f>IF(ISBLANK(G11),"",G11-TODAY())</f>
        <v/>
      </c>
      <c r="I11" s="7" t="n"/>
      <c r="J11" s="7" t="n"/>
      <c r="K11" s="10">
        <f>IF(ISBLANK(J11),"",J11+90)</f>
        <v/>
      </c>
      <c r="L11" s="7" t="n"/>
      <c r="M11" s="7" t="n"/>
      <c r="N11" s="7" t="n"/>
      <c r="O11" s="7" t="n"/>
    </row>
    <row r="12">
      <c r="A12" s="7" t="n"/>
      <c r="B12" s="7" t="n"/>
      <c r="C12" s="7" t="n"/>
      <c r="D12" s="7" t="n"/>
      <c r="E12" s="7" t="n"/>
      <c r="F12" s="7" t="n"/>
      <c r="G12" s="7" t="n"/>
      <c r="H12" s="10">
        <f>IF(ISBLANK(G12),"",G12-TODAY())</f>
        <v/>
      </c>
      <c r="I12" s="7" t="n"/>
      <c r="J12" s="7" t="n"/>
      <c r="K12" s="10">
        <f>IF(ISBLANK(J12),"",J12+90)</f>
        <v/>
      </c>
      <c r="L12" s="7" t="n"/>
      <c r="M12" s="7" t="n"/>
      <c r="N12" s="7" t="n"/>
      <c r="O12" s="7" t="n"/>
    </row>
    <row r="13">
      <c r="A13" s="7" t="n"/>
      <c r="B13" s="7" t="n"/>
      <c r="C13" s="7" t="n"/>
      <c r="D13" s="7" t="n"/>
      <c r="E13" s="7" t="n"/>
      <c r="F13" s="7" t="n"/>
      <c r="G13" s="7" t="n"/>
      <c r="H13" s="10">
        <f>IF(ISBLANK(G13),"",G13-TODAY())</f>
        <v/>
      </c>
      <c r="I13" s="7" t="n"/>
      <c r="J13" s="7" t="n"/>
      <c r="K13" s="10">
        <f>IF(ISBLANK(J13),"",J13+90)</f>
        <v/>
      </c>
      <c r="L13" s="7" t="n"/>
      <c r="M13" s="7" t="n"/>
      <c r="N13" s="7" t="n"/>
      <c r="O13" s="7" t="n"/>
    </row>
    <row r="14">
      <c r="A14" s="7" t="n"/>
      <c r="B14" s="7" t="n"/>
      <c r="C14" s="7" t="n"/>
      <c r="D14" s="7" t="n"/>
      <c r="E14" s="7" t="n"/>
      <c r="F14" s="7" t="n"/>
      <c r="G14" s="7" t="n"/>
      <c r="H14" s="10">
        <f>IF(ISBLANK(G14),"",G14-TODAY())</f>
        <v/>
      </c>
      <c r="I14" s="7" t="n"/>
      <c r="J14" s="7" t="n"/>
      <c r="K14" s="10">
        <f>IF(ISBLANK(J14),"",J14+90)</f>
        <v/>
      </c>
      <c r="L14" s="7" t="n"/>
      <c r="M14" s="7" t="n"/>
      <c r="N14" s="7" t="n"/>
      <c r="O14" s="7" t="n"/>
    </row>
    <row r="15">
      <c r="A15" s="7" t="n"/>
      <c r="B15" s="7" t="n"/>
      <c r="C15" s="7" t="n"/>
      <c r="D15" s="7" t="n"/>
      <c r="E15" s="7" t="n"/>
      <c r="F15" s="7" t="n"/>
      <c r="G15" s="7" t="n"/>
      <c r="H15" s="10">
        <f>IF(ISBLANK(G15),"",G15-TODAY())</f>
        <v/>
      </c>
      <c r="I15" s="7" t="n"/>
      <c r="J15" s="7" t="n"/>
      <c r="K15" s="10">
        <f>IF(ISBLANK(J15),"",J15+90)</f>
        <v/>
      </c>
      <c r="L15" s="7" t="n"/>
      <c r="M15" s="7" t="n"/>
      <c r="N15" s="7" t="n"/>
      <c r="O15" s="7" t="n"/>
    </row>
    <row r="16">
      <c r="A16" s="7" t="n"/>
      <c r="B16" s="7" t="n"/>
      <c r="C16" s="7" t="n"/>
      <c r="D16" s="7" t="n"/>
      <c r="E16" s="7" t="n"/>
      <c r="F16" s="7" t="n"/>
      <c r="G16" s="7" t="n"/>
      <c r="H16" s="10">
        <f>IF(ISBLANK(G16),"",G16-TODAY())</f>
        <v/>
      </c>
      <c r="I16" s="7" t="n"/>
      <c r="J16" s="7" t="n"/>
      <c r="K16" s="10">
        <f>IF(ISBLANK(J16),"",J16+90)</f>
        <v/>
      </c>
      <c r="L16" s="7" t="n"/>
      <c r="M16" s="7" t="n"/>
      <c r="N16" s="7" t="n"/>
      <c r="O16" s="7" t="n"/>
    </row>
    <row r="17">
      <c r="A17" s="7" t="n"/>
      <c r="B17" s="7" t="n"/>
      <c r="C17" s="7" t="n"/>
      <c r="D17" s="7" t="n"/>
      <c r="E17" s="7" t="n"/>
      <c r="F17" s="7" t="n"/>
      <c r="G17" s="7" t="n"/>
      <c r="H17" s="10">
        <f>IF(ISBLANK(G17),"",G17-TODAY())</f>
        <v/>
      </c>
      <c r="I17" s="7" t="n"/>
      <c r="J17" s="7" t="n"/>
      <c r="K17" s="10">
        <f>IF(ISBLANK(J17),"",J17+90)</f>
        <v/>
      </c>
      <c r="L17" s="7" t="n"/>
      <c r="M17" s="7" t="n"/>
      <c r="N17" s="7" t="n"/>
      <c r="O17" s="7" t="n"/>
    </row>
    <row r="18">
      <c r="A18" s="7" t="n"/>
      <c r="B18" s="7" t="n"/>
      <c r="C18" s="7" t="n"/>
      <c r="D18" s="7" t="n"/>
      <c r="E18" s="7" t="n"/>
      <c r="F18" s="7" t="n"/>
      <c r="G18" s="7" t="n"/>
      <c r="H18" s="10">
        <f>IF(ISBLANK(G18),"",G18-TODAY())</f>
        <v/>
      </c>
      <c r="I18" s="7" t="n"/>
      <c r="J18" s="7" t="n"/>
      <c r="K18" s="10">
        <f>IF(ISBLANK(J18),"",J18+90)</f>
        <v/>
      </c>
      <c r="L18" s="7" t="n"/>
      <c r="M18" s="7" t="n"/>
      <c r="N18" s="7" t="n"/>
      <c r="O18" s="7" t="n"/>
    </row>
    <row r="19">
      <c r="A19" s="7" t="n"/>
      <c r="B19" s="7" t="n"/>
      <c r="C19" s="7" t="n"/>
      <c r="D19" s="7" t="n"/>
      <c r="E19" s="7" t="n"/>
      <c r="F19" s="7" t="n"/>
      <c r="G19" s="7" t="n"/>
      <c r="H19" s="10">
        <f>IF(ISBLANK(G19),"",G19-TODAY())</f>
        <v/>
      </c>
      <c r="I19" s="7" t="n"/>
      <c r="J19" s="7" t="n"/>
      <c r="K19" s="10">
        <f>IF(ISBLANK(J19),"",J19+90)</f>
        <v/>
      </c>
      <c r="L19" s="7" t="n"/>
      <c r="M19" s="7" t="n"/>
      <c r="N19" s="7" t="n"/>
      <c r="O19" s="7" t="n"/>
    </row>
    <row r="20">
      <c r="A20" s="7" t="n"/>
      <c r="B20" s="7" t="n"/>
      <c r="C20" s="7" t="n"/>
      <c r="D20" s="7" t="n"/>
      <c r="E20" s="7" t="n"/>
      <c r="F20" s="7" t="n"/>
      <c r="G20" s="7" t="n"/>
      <c r="H20" s="10">
        <f>IF(ISBLANK(G20),"",G20-TODAY())</f>
        <v/>
      </c>
      <c r="I20" s="7" t="n"/>
      <c r="J20" s="7" t="n"/>
      <c r="K20" s="10">
        <f>IF(ISBLANK(J20),"",J20+90)</f>
        <v/>
      </c>
      <c r="L20" s="7" t="n"/>
      <c r="M20" s="7" t="n"/>
      <c r="N20" s="7" t="n"/>
      <c r="O20" s="7" t="n"/>
    </row>
    <row r="21">
      <c r="A21" s="7" t="n"/>
      <c r="B21" s="7" t="n"/>
      <c r="C21" s="7" t="n"/>
      <c r="D21" s="7" t="n"/>
      <c r="E21" s="7" t="n"/>
      <c r="F21" s="7" t="n"/>
      <c r="G21" s="7" t="n"/>
      <c r="H21" s="10">
        <f>IF(ISBLANK(G21),"",G21-TODAY())</f>
        <v/>
      </c>
      <c r="I21" s="7" t="n"/>
      <c r="J21" s="7" t="n"/>
      <c r="K21" s="10">
        <f>IF(ISBLANK(J21),"",J21+90)</f>
        <v/>
      </c>
      <c r="L21" s="7" t="n"/>
      <c r="M21" s="7" t="n"/>
      <c r="N21" s="7" t="n"/>
      <c r="O21" s="7" t="n"/>
    </row>
    <row r="22">
      <c r="A22" s="7" t="n"/>
      <c r="B22" s="7" t="n"/>
      <c r="C22" s="7" t="n"/>
      <c r="D22" s="7" t="n"/>
      <c r="E22" s="7" t="n"/>
      <c r="F22" s="7" t="n"/>
      <c r="G22" s="7" t="n"/>
      <c r="H22" s="10">
        <f>IF(ISBLANK(G22),"",G22-TODAY())</f>
        <v/>
      </c>
      <c r="I22" s="7" t="n"/>
      <c r="J22" s="7" t="n"/>
      <c r="K22" s="10">
        <f>IF(ISBLANK(J22),"",J22+90)</f>
        <v/>
      </c>
      <c r="L22" s="7" t="n"/>
      <c r="M22" s="7" t="n"/>
      <c r="N22" s="7" t="n"/>
      <c r="O22" s="7" t="n"/>
    </row>
    <row r="23">
      <c r="A23" s="7" t="n"/>
      <c r="B23" s="7" t="n"/>
      <c r="C23" s="7" t="n"/>
      <c r="D23" s="7" t="n"/>
      <c r="E23" s="7" t="n"/>
      <c r="F23" s="7" t="n"/>
      <c r="G23" s="7" t="n"/>
      <c r="H23" s="10">
        <f>IF(ISBLANK(G23),"",G23-TODAY())</f>
        <v/>
      </c>
      <c r="I23" s="7" t="n"/>
      <c r="J23" s="7" t="n"/>
      <c r="K23" s="10">
        <f>IF(ISBLANK(J23),"",J23+90)</f>
        <v/>
      </c>
      <c r="L23" s="7" t="n"/>
      <c r="M23" s="7" t="n"/>
      <c r="N23" s="7" t="n"/>
      <c r="O23" s="7" t="n"/>
    </row>
    <row r="24">
      <c r="A24" s="7" t="n"/>
      <c r="B24" s="7" t="n"/>
      <c r="C24" s="7" t="n"/>
      <c r="D24" s="7" t="n"/>
      <c r="E24" s="7" t="n"/>
      <c r="F24" s="7" t="n"/>
      <c r="G24" s="7" t="n"/>
      <c r="H24" s="10">
        <f>IF(ISBLANK(G24),"",G24-TODAY())</f>
        <v/>
      </c>
      <c r="I24" s="7" t="n"/>
      <c r="J24" s="7" t="n"/>
      <c r="K24" s="10">
        <f>IF(ISBLANK(J24),"",J24+90)</f>
        <v/>
      </c>
      <c r="L24" s="7" t="n"/>
      <c r="M24" s="7" t="n"/>
      <c r="N24" s="7" t="n"/>
      <c r="O24" s="7" t="n"/>
    </row>
    <row r="25">
      <c r="A25" s="7" t="n"/>
      <c r="B25" s="7" t="n"/>
      <c r="C25" s="7" t="n"/>
      <c r="D25" s="7" t="n"/>
      <c r="E25" s="7" t="n"/>
      <c r="F25" s="7" t="n"/>
      <c r="G25" s="7" t="n"/>
      <c r="H25" s="10">
        <f>IF(ISBLANK(G25),"",G25-TODAY())</f>
        <v/>
      </c>
      <c r="I25" s="7" t="n"/>
      <c r="J25" s="7" t="n"/>
      <c r="K25" s="10">
        <f>IF(ISBLANK(J25),"",J25+90)</f>
        <v/>
      </c>
      <c r="L25" s="7" t="n"/>
      <c r="M25" s="7" t="n"/>
      <c r="N25" s="7" t="n"/>
      <c r="O25" s="7" t="n"/>
    </row>
    <row r="26">
      <c r="A26" s="7" t="n"/>
      <c r="B26" s="7" t="n"/>
      <c r="C26" s="7" t="n"/>
      <c r="D26" s="7" t="n"/>
      <c r="E26" s="7" t="n"/>
      <c r="F26" s="7" t="n"/>
      <c r="G26" s="7" t="n"/>
      <c r="H26" s="10">
        <f>IF(ISBLANK(G26),"",G26-TODAY())</f>
        <v/>
      </c>
      <c r="I26" s="7" t="n"/>
      <c r="J26" s="7" t="n"/>
      <c r="K26" s="10">
        <f>IF(ISBLANK(J26),"",J26+90)</f>
        <v/>
      </c>
      <c r="L26" s="7" t="n"/>
      <c r="M26" s="7" t="n"/>
      <c r="N26" s="7" t="n"/>
      <c r="O26" s="7" t="n"/>
    </row>
    <row r="27">
      <c r="A27" s="7" t="n"/>
      <c r="B27" s="7" t="n"/>
      <c r="C27" s="7" t="n"/>
      <c r="D27" s="7" t="n"/>
      <c r="E27" s="7" t="n"/>
      <c r="F27" s="7" t="n"/>
      <c r="G27" s="7" t="n"/>
      <c r="H27" s="10">
        <f>IF(ISBLANK(G27),"",G27-TODAY())</f>
        <v/>
      </c>
      <c r="I27" s="7" t="n"/>
      <c r="J27" s="7" t="n"/>
      <c r="K27" s="10">
        <f>IF(ISBLANK(J27),"",J27+90)</f>
        <v/>
      </c>
      <c r="L27" s="7" t="n"/>
      <c r="M27" s="7" t="n"/>
      <c r="N27" s="7" t="n"/>
      <c r="O27" s="7" t="n"/>
    </row>
    <row r="28">
      <c r="A28" s="7" t="n"/>
      <c r="B28" s="7" t="n"/>
      <c r="C28" s="7" t="n"/>
      <c r="D28" s="7" t="n"/>
      <c r="E28" s="7" t="n"/>
      <c r="F28" s="7" t="n"/>
      <c r="G28" s="7" t="n"/>
      <c r="H28" s="10">
        <f>IF(ISBLANK(G28),"",G28-TODAY())</f>
        <v/>
      </c>
      <c r="I28" s="7" t="n"/>
      <c r="J28" s="7" t="n"/>
      <c r="K28" s="10">
        <f>IF(ISBLANK(J28),"",J28+90)</f>
        <v/>
      </c>
      <c r="L28" s="7" t="n"/>
      <c r="M28" s="7" t="n"/>
      <c r="N28" s="7" t="n"/>
      <c r="O28" s="7" t="n"/>
    </row>
    <row r="29">
      <c r="A29" s="7" t="n"/>
      <c r="B29" s="7" t="n"/>
      <c r="C29" s="7" t="n"/>
      <c r="D29" s="7" t="n"/>
      <c r="E29" s="7" t="n"/>
      <c r="F29" s="7" t="n"/>
      <c r="G29" s="7" t="n"/>
      <c r="H29" s="10">
        <f>IF(ISBLANK(G29),"",G29-TODAY())</f>
        <v/>
      </c>
      <c r="I29" s="7" t="n"/>
      <c r="J29" s="7" t="n"/>
      <c r="K29" s="10">
        <f>IF(ISBLANK(J29),"",J29+90)</f>
        <v/>
      </c>
      <c r="L29" s="7" t="n"/>
      <c r="M29" s="7" t="n"/>
      <c r="N29" s="7" t="n"/>
      <c r="O29" s="7" t="n"/>
    </row>
    <row r="30">
      <c r="A30" s="7" t="n"/>
      <c r="B30" s="7" t="n"/>
      <c r="C30" s="7" t="n"/>
      <c r="D30" s="7" t="n"/>
      <c r="E30" s="7" t="n"/>
      <c r="F30" s="7" t="n"/>
      <c r="G30" s="7" t="n"/>
      <c r="H30" s="10">
        <f>IF(ISBLANK(G30),"",G30-TODAY())</f>
        <v/>
      </c>
      <c r="I30" s="7" t="n"/>
      <c r="J30" s="7" t="n"/>
      <c r="K30" s="10">
        <f>IF(ISBLANK(J30),"",J30+90)</f>
        <v/>
      </c>
      <c r="L30" s="7" t="n"/>
      <c r="M30" s="7" t="n"/>
      <c r="N30" s="7" t="n"/>
      <c r="O30" s="7" t="n"/>
    </row>
    <row r="31">
      <c r="A31" s="7" t="n"/>
      <c r="B31" s="7" t="n"/>
      <c r="C31" s="7" t="n"/>
      <c r="D31" s="7" t="n"/>
      <c r="E31" s="7" t="n"/>
      <c r="F31" s="7" t="n"/>
      <c r="G31" s="7" t="n"/>
      <c r="H31" s="10">
        <f>IF(ISBLANK(G31),"",G31-TODAY())</f>
        <v/>
      </c>
      <c r="I31" s="7" t="n"/>
      <c r="J31" s="7" t="n"/>
      <c r="K31" s="10">
        <f>IF(ISBLANK(J31),"",J31+90)</f>
        <v/>
      </c>
      <c r="L31" s="7" t="n"/>
      <c r="M31" s="7" t="n"/>
      <c r="N31" s="7" t="n"/>
      <c r="O31" s="7" t="n"/>
    </row>
    <row r="32">
      <c r="A32" s="7" t="n"/>
      <c r="B32" s="7" t="n"/>
      <c r="C32" s="7" t="n"/>
      <c r="D32" s="7" t="n"/>
      <c r="E32" s="7" t="n"/>
      <c r="F32" s="7" t="n"/>
      <c r="G32" s="7" t="n"/>
      <c r="H32" s="10">
        <f>IF(ISBLANK(G32),"",G32-TODAY())</f>
        <v/>
      </c>
      <c r="I32" s="7" t="n"/>
      <c r="J32" s="7" t="n"/>
      <c r="K32" s="10">
        <f>IF(ISBLANK(J32),"",J32+90)</f>
        <v/>
      </c>
      <c r="L32" s="7" t="n"/>
      <c r="M32" s="7" t="n"/>
      <c r="N32" s="7" t="n"/>
      <c r="O32" s="7" t="n"/>
    </row>
    <row r="33">
      <c r="A33" s="7" t="n"/>
      <c r="B33" s="7" t="n"/>
      <c r="C33" s="7" t="n"/>
      <c r="D33" s="7" t="n"/>
      <c r="E33" s="7" t="n"/>
      <c r="F33" s="7" t="n"/>
      <c r="G33" s="7" t="n"/>
      <c r="H33" s="10">
        <f>IF(ISBLANK(G33),"",G33-TODAY())</f>
        <v/>
      </c>
      <c r="I33" s="7" t="n"/>
      <c r="J33" s="7" t="n"/>
      <c r="K33" s="10">
        <f>IF(ISBLANK(J33),"",J33+90)</f>
        <v/>
      </c>
      <c r="L33" s="7" t="n"/>
      <c r="M33" s="7" t="n"/>
      <c r="N33" s="7" t="n"/>
      <c r="O33" s="7" t="n"/>
    </row>
    <row r="34">
      <c r="A34" s="7" t="n"/>
      <c r="B34" s="7" t="n"/>
      <c r="C34" s="7" t="n"/>
      <c r="D34" s="7" t="n"/>
      <c r="E34" s="7" t="n"/>
      <c r="F34" s="7" t="n"/>
      <c r="G34" s="7" t="n"/>
      <c r="H34" s="10">
        <f>IF(ISBLANK(G34),"",G34-TODAY())</f>
        <v/>
      </c>
      <c r="I34" s="7" t="n"/>
      <c r="J34" s="7" t="n"/>
      <c r="K34" s="10">
        <f>IF(ISBLANK(J34),"",J34+90)</f>
        <v/>
      </c>
      <c r="L34" s="7" t="n"/>
      <c r="M34" s="7" t="n"/>
      <c r="N34" s="7" t="n"/>
      <c r="O34" s="7" t="n"/>
    </row>
    <row r="35">
      <c r="A35" s="7" t="n"/>
      <c r="B35" s="7" t="n"/>
      <c r="C35" s="7" t="n"/>
      <c r="D35" s="7" t="n"/>
      <c r="E35" s="7" t="n"/>
      <c r="F35" s="7" t="n"/>
      <c r="G35" s="7" t="n"/>
      <c r="H35" s="10">
        <f>IF(ISBLANK(G35),"",G35-TODAY())</f>
        <v/>
      </c>
      <c r="I35" s="7" t="n"/>
      <c r="J35" s="7" t="n"/>
      <c r="K35" s="10">
        <f>IF(ISBLANK(J35),"",J35+90)</f>
        <v/>
      </c>
      <c r="L35" s="7" t="n"/>
      <c r="M35" s="7" t="n"/>
      <c r="N35" s="7" t="n"/>
      <c r="O35" s="7" t="n"/>
    </row>
    <row r="36">
      <c r="A36" s="7" t="n"/>
      <c r="B36" s="7" t="n"/>
      <c r="C36" s="7" t="n"/>
      <c r="D36" s="7" t="n"/>
      <c r="E36" s="7" t="n"/>
      <c r="F36" s="7" t="n"/>
      <c r="G36" s="7" t="n"/>
      <c r="H36" s="10">
        <f>IF(ISBLANK(G36),"",G36-TODAY())</f>
        <v/>
      </c>
      <c r="I36" s="7" t="n"/>
      <c r="J36" s="7" t="n"/>
      <c r="K36" s="10">
        <f>IF(ISBLANK(J36),"",J36+90)</f>
        <v/>
      </c>
      <c r="L36" s="7" t="n"/>
      <c r="M36" s="7" t="n"/>
      <c r="N36" s="7" t="n"/>
      <c r="O36" s="7" t="n"/>
    </row>
    <row r="37">
      <c r="A37" s="7" t="n"/>
      <c r="B37" s="7" t="n"/>
      <c r="C37" s="7" t="n"/>
      <c r="D37" s="7" t="n"/>
      <c r="E37" s="7" t="n"/>
      <c r="F37" s="7" t="n"/>
      <c r="G37" s="7" t="n"/>
      <c r="H37" s="10">
        <f>IF(ISBLANK(G37),"",G37-TODAY())</f>
        <v/>
      </c>
      <c r="I37" s="7" t="n"/>
      <c r="J37" s="7" t="n"/>
      <c r="K37" s="10">
        <f>IF(ISBLANK(J37),"",J37+90)</f>
        <v/>
      </c>
      <c r="L37" s="7" t="n"/>
      <c r="M37" s="7" t="n"/>
      <c r="N37" s="7" t="n"/>
      <c r="O37" s="7" t="n"/>
    </row>
    <row r="38">
      <c r="A38" s="7" t="n"/>
      <c r="B38" s="7" t="n"/>
      <c r="C38" s="7" t="n"/>
      <c r="D38" s="7" t="n"/>
      <c r="E38" s="7" t="n"/>
      <c r="F38" s="7" t="n"/>
      <c r="G38" s="7" t="n"/>
      <c r="H38" s="10">
        <f>IF(ISBLANK(G38),"",G38-TODAY())</f>
        <v/>
      </c>
      <c r="I38" s="7" t="n"/>
      <c r="J38" s="7" t="n"/>
      <c r="K38" s="10">
        <f>IF(ISBLANK(J38),"",J38+90)</f>
        <v/>
      </c>
      <c r="L38" s="7" t="n"/>
      <c r="M38" s="7" t="n"/>
      <c r="N38" s="7" t="n"/>
      <c r="O38" s="7" t="n"/>
    </row>
    <row r="39">
      <c r="A39" s="7" t="n"/>
      <c r="B39" s="7" t="n"/>
      <c r="C39" s="7" t="n"/>
      <c r="D39" s="7" t="n"/>
      <c r="E39" s="7" t="n"/>
      <c r="F39" s="7" t="n"/>
      <c r="G39" s="7" t="n"/>
      <c r="H39" s="10">
        <f>IF(ISBLANK(G39),"",G39-TODAY())</f>
        <v/>
      </c>
      <c r="I39" s="7" t="n"/>
      <c r="J39" s="7" t="n"/>
      <c r="K39" s="10">
        <f>IF(ISBLANK(J39),"",J39+90)</f>
        <v/>
      </c>
      <c r="L39" s="7" t="n"/>
      <c r="M39" s="7" t="n"/>
      <c r="N39" s="7" t="n"/>
      <c r="O39" s="7" t="n"/>
    </row>
    <row r="40">
      <c r="A40" s="7" t="n"/>
      <c r="B40" s="7" t="n"/>
      <c r="C40" s="7" t="n"/>
      <c r="D40" s="7" t="n"/>
      <c r="E40" s="7" t="n"/>
      <c r="F40" s="7" t="n"/>
      <c r="G40" s="7" t="n"/>
      <c r="H40" s="10">
        <f>IF(ISBLANK(G40),"",G40-TODAY())</f>
        <v/>
      </c>
      <c r="I40" s="7" t="n"/>
      <c r="J40" s="7" t="n"/>
      <c r="K40" s="10">
        <f>IF(ISBLANK(J40),"",J40+90)</f>
        <v/>
      </c>
      <c r="L40" s="7" t="n"/>
      <c r="M40" s="7" t="n"/>
      <c r="N40" s="7" t="n"/>
      <c r="O40" s="7" t="n"/>
    </row>
    <row r="41">
      <c r="A41" s="7" t="n"/>
      <c r="B41" s="7" t="n"/>
      <c r="C41" s="7" t="n"/>
      <c r="D41" s="7" t="n"/>
      <c r="E41" s="7" t="n"/>
      <c r="F41" s="7" t="n"/>
      <c r="G41" s="7" t="n"/>
      <c r="H41" s="10">
        <f>IF(ISBLANK(G41),"",G41-TODAY())</f>
        <v/>
      </c>
      <c r="I41" s="7" t="n"/>
      <c r="J41" s="7" t="n"/>
      <c r="K41" s="10">
        <f>IF(ISBLANK(J41),"",J41+90)</f>
        <v/>
      </c>
      <c r="L41" s="7" t="n"/>
      <c r="M41" s="7" t="n"/>
      <c r="N41" s="7" t="n"/>
      <c r="O41" s="7" t="n"/>
    </row>
    <row r="42">
      <c r="A42" s="7" t="n"/>
      <c r="B42" s="7" t="n"/>
      <c r="C42" s="7" t="n"/>
      <c r="D42" s="7" t="n"/>
      <c r="E42" s="7" t="n"/>
      <c r="F42" s="7" t="n"/>
      <c r="G42" s="7" t="n"/>
      <c r="H42" s="10">
        <f>IF(ISBLANK(G42),"",G42-TODAY())</f>
        <v/>
      </c>
      <c r="I42" s="7" t="n"/>
      <c r="J42" s="7" t="n"/>
      <c r="K42" s="10">
        <f>IF(ISBLANK(J42),"",J42+90)</f>
        <v/>
      </c>
      <c r="L42" s="7" t="n"/>
      <c r="M42" s="7" t="n"/>
      <c r="N42" s="7" t="n"/>
      <c r="O42" s="7" t="n"/>
    </row>
    <row r="43">
      <c r="A43" s="7" t="n"/>
      <c r="B43" s="7" t="n"/>
      <c r="C43" s="7" t="n"/>
      <c r="D43" s="7" t="n"/>
      <c r="E43" s="7" t="n"/>
      <c r="F43" s="7" t="n"/>
      <c r="G43" s="7" t="n"/>
      <c r="H43" s="10">
        <f>IF(ISBLANK(G43),"",G43-TODAY())</f>
        <v/>
      </c>
      <c r="I43" s="7" t="n"/>
      <c r="J43" s="7" t="n"/>
      <c r="K43" s="10">
        <f>IF(ISBLANK(J43),"",J43+90)</f>
        <v/>
      </c>
      <c r="L43" s="7" t="n"/>
      <c r="M43" s="7" t="n"/>
      <c r="N43" s="7" t="n"/>
      <c r="O43" s="7" t="n"/>
    </row>
    <row r="44">
      <c r="A44" s="7" t="n"/>
      <c r="B44" s="7" t="n"/>
      <c r="C44" s="7" t="n"/>
      <c r="D44" s="7" t="n"/>
      <c r="E44" s="7" t="n"/>
      <c r="F44" s="7" t="n"/>
      <c r="G44" s="7" t="n"/>
      <c r="H44" s="10">
        <f>IF(ISBLANK(G44),"",G44-TODAY())</f>
        <v/>
      </c>
      <c r="I44" s="7" t="n"/>
      <c r="J44" s="7" t="n"/>
      <c r="K44" s="10">
        <f>IF(ISBLANK(J44),"",J44+90)</f>
        <v/>
      </c>
      <c r="L44" s="7" t="n"/>
      <c r="M44" s="7" t="n"/>
      <c r="N44" s="7" t="n"/>
      <c r="O44" s="7" t="n"/>
    </row>
    <row r="45">
      <c r="A45" s="7" t="n"/>
      <c r="B45" s="7" t="n"/>
      <c r="C45" s="7" t="n"/>
      <c r="D45" s="7" t="n"/>
      <c r="E45" s="7" t="n"/>
      <c r="F45" s="7" t="n"/>
      <c r="G45" s="7" t="n"/>
      <c r="H45" s="10">
        <f>IF(ISBLANK(G45),"",G45-TODAY())</f>
        <v/>
      </c>
      <c r="I45" s="7" t="n"/>
      <c r="J45" s="7" t="n"/>
      <c r="K45" s="10">
        <f>IF(ISBLANK(J45),"",J45+90)</f>
        <v/>
      </c>
      <c r="L45" s="7" t="n"/>
      <c r="M45" s="7" t="n"/>
      <c r="N45" s="7" t="n"/>
      <c r="O45" s="7" t="n"/>
    </row>
    <row r="46">
      <c r="A46" s="7" t="n"/>
      <c r="B46" s="7" t="n"/>
      <c r="C46" s="7" t="n"/>
      <c r="D46" s="7" t="n"/>
      <c r="E46" s="7" t="n"/>
      <c r="F46" s="7" t="n"/>
      <c r="G46" s="7" t="n"/>
      <c r="H46" s="10">
        <f>IF(ISBLANK(G46),"",G46-TODAY())</f>
        <v/>
      </c>
      <c r="I46" s="7" t="n"/>
      <c r="J46" s="7" t="n"/>
      <c r="K46" s="10">
        <f>IF(ISBLANK(J46),"",J46+90)</f>
        <v/>
      </c>
      <c r="L46" s="7" t="n"/>
      <c r="M46" s="7" t="n"/>
      <c r="N46" s="7" t="n"/>
      <c r="O46" s="7" t="n"/>
    </row>
    <row r="47">
      <c r="A47" s="7" t="n"/>
      <c r="B47" s="7" t="n"/>
      <c r="C47" s="7" t="n"/>
      <c r="D47" s="7" t="n"/>
      <c r="E47" s="7" t="n"/>
      <c r="F47" s="7" t="n"/>
      <c r="G47" s="7" t="n"/>
      <c r="H47" s="10">
        <f>IF(ISBLANK(G47),"",G47-TODAY())</f>
        <v/>
      </c>
      <c r="I47" s="7" t="n"/>
      <c r="J47" s="7" t="n"/>
      <c r="K47" s="10">
        <f>IF(ISBLANK(J47),"",J47+90)</f>
        <v/>
      </c>
      <c r="L47" s="7" t="n"/>
      <c r="M47" s="7" t="n"/>
      <c r="N47" s="7" t="n"/>
      <c r="O47" s="7" t="n"/>
    </row>
    <row r="48">
      <c r="A48" s="7" t="n"/>
      <c r="B48" s="7" t="n"/>
      <c r="C48" s="7" t="n"/>
      <c r="D48" s="7" t="n"/>
      <c r="E48" s="7" t="n"/>
      <c r="F48" s="7" t="n"/>
      <c r="G48" s="7" t="n"/>
      <c r="H48" s="10">
        <f>IF(ISBLANK(G48),"",G48-TODAY())</f>
        <v/>
      </c>
      <c r="I48" s="7" t="n"/>
      <c r="J48" s="7" t="n"/>
      <c r="K48" s="10">
        <f>IF(ISBLANK(J48),"",J48+90)</f>
        <v/>
      </c>
      <c r="L48" s="7" t="n"/>
      <c r="M48" s="7" t="n"/>
      <c r="N48" s="7" t="n"/>
      <c r="O48" s="7" t="n"/>
    </row>
    <row r="49">
      <c r="A49" s="7" t="n"/>
      <c r="B49" s="7" t="n"/>
      <c r="C49" s="7" t="n"/>
      <c r="D49" s="7" t="n"/>
      <c r="E49" s="7" t="n"/>
      <c r="F49" s="7" t="n"/>
      <c r="G49" s="7" t="n"/>
      <c r="H49" s="10">
        <f>IF(ISBLANK(G49),"",G49-TODAY())</f>
        <v/>
      </c>
      <c r="I49" s="7" t="n"/>
      <c r="J49" s="7" t="n"/>
      <c r="K49" s="10">
        <f>IF(ISBLANK(J49),"",J49+90)</f>
        <v/>
      </c>
      <c r="L49" s="7" t="n"/>
      <c r="M49" s="7" t="n"/>
      <c r="N49" s="7" t="n"/>
      <c r="O49" s="7" t="n"/>
    </row>
    <row r="50">
      <c r="A50" s="7" t="n"/>
      <c r="B50" s="7" t="n"/>
      <c r="C50" s="7" t="n"/>
      <c r="D50" s="7" t="n"/>
      <c r="E50" s="7" t="n"/>
      <c r="F50" s="7" t="n"/>
      <c r="G50" s="7" t="n"/>
      <c r="H50" s="10">
        <f>IF(ISBLANK(G50),"",G50-TODAY())</f>
        <v/>
      </c>
      <c r="I50" s="7" t="n"/>
      <c r="J50" s="7" t="n"/>
      <c r="K50" s="10">
        <f>IF(ISBLANK(J50),"",J50+90)</f>
        <v/>
      </c>
      <c r="L50" s="7" t="n"/>
      <c r="M50" s="7" t="n"/>
      <c r="N50" s="7" t="n"/>
      <c r="O50" s="7" t="n"/>
    </row>
    <row r="51">
      <c r="A51" s="7" t="n"/>
      <c r="B51" s="7" t="n"/>
      <c r="C51" s="7" t="n"/>
      <c r="D51" s="7" t="n"/>
      <c r="E51" s="7" t="n"/>
      <c r="F51" s="7" t="n"/>
      <c r="G51" s="7" t="n"/>
      <c r="H51" s="10">
        <f>IF(ISBLANK(G51),"",G51-TODAY())</f>
        <v/>
      </c>
      <c r="I51" s="7" t="n"/>
      <c r="J51" s="7" t="n"/>
      <c r="K51" s="10">
        <f>IF(ISBLANK(J51),"",J51+90)</f>
        <v/>
      </c>
      <c r="L51" s="7" t="n"/>
      <c r="M51" s="7" t="n"/>
      <c r="N51" s="7" t="n"/>
      <c r="O51" s="7" t="n"/>
    </row>
    <row r="52">
      <c r="A52" s="7" t="n"/>
      <c r="B52" s="7" t="n"/>
      <c r="C52" s="7" t="n"/>
      <c r="D52" s="7" t="n"/>
      <c r="E52" s="7" t="n"/>
      <c r="F52" s="7" t="n"/>
      <c r="G52" s="7" t="n"/>
      <c r="H52" s="10">
        <f>IF(ISBLANK(G52),"",G52-TODAY())</f>
        <v/>
      </c>
      <c r="I52" s="7" t="n"/>
      <c r="J52" s="7" t="n"/>
      <c r="K52" s="10">
        <f>IF(ISBLANK(J52),"",J52+90)</f>
        <v/>
      </c>
      <c r="L52" s="7" t="n"/>
      <c r="M52" s="7" t="n"/>
      <c r="N52" s="7" t="n"/>
      <c r="O52" s="7" t="n"/>
    </row>
    <row r="53">
      <c r="A53" s="7" t="n"/>
      <c r="B53" s="7" t="n"/>
      <c r="C53" s="7" t="n"/>
      <c r="D53" s="7" t="n"/>
      <c r="E53" s="7" t="n"/>
      <c r="F53" s="7" t="n"/>
      <c r="G53" s="7" t="n"/>
      <c r="H53" s="10">
        <f>IF(ISBLANK(G53),"",G53-TODAY())</f>
        <v/>
      </c>
      <c r="I53" s="7" t="n"/>
      <c r="J53" s="7" t="n"/>
      <c r="K53" s="10">
        <f>IF(ISBLANK(J53),"",J53+90)</f>
        <v/>
      </c>
      <c r="L53" s="7" t="n"/>
      <c r="M53" s="7" t="n"/>
      <c r="N53" s="7" t="n"/>
      <c r="O53" s="7" t="n"/>
    </row>
    <row r="56">
      <c r="A56" s="11" t="inlineStr">
        <is>
          <t>NOTE: Exceptions expiring within 30 days require renewal or revocation decision</t>
        </is>
      </c>
    </row>
  </sheetData>
  <mergeCells count="2">
    <mergeCell ref="A1:O1"/>
    <mergeCell ref="A56:O56"/>
  </mergeCells>
  <dataValidations count="3">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"Technical Exception,Policy-Level Exception,Temporary Non-Compliance"</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"Yes - Within 90 days of policy review,No"</formula1>
    </dataValidation>
    <dataValidation sqref="M4 M5 M6 M7 M8 M9 M10 M11 M12 M13 M14 M15 M16 M17 M18 M19 M20 M21 M22 M23 M24 M25 M26 M27 M28 M29 M30 M31 M32 M33 M34 M35 M36 M37 M38 M39 M40 M41 M42 M43 M44 M45 M46 M47 M48 M49 M50 M51 M52 M53" showDropDown="0" showInputMessage="0" showErrorMessage="0" allowBlank="0" type="list">
      <formula1>"Active,Expiring Soon,Under Review,Pending Revocation"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5" customWidth="1" min="8" max="8"/>
    <col width="25" customWidth="1" min="9" max="9"/>
    <col width="20" customWidth="1" min="10" max="10"/>
    <col width="20" customWidth="1" min="11" max="11"/>
    <col width="50" customWidth="1" min="12" max="12"/>
  </cols>
  <sheetData>
    <row r="1">
      <c r="A1" s="5" t="inlineStr">
        <is>
          <t>Expired and Revoked Exceptions (Historical Record)</t>
        </is>
      </c>
    </row>
    <row r="3">
      <c r="A3" s="6" t="inlineStr">
        <is>
          <t>Exception ID</t>
        </is>
      </c>
      <c r="B3" s="6" t="inlineStr">
        <is>
          <t>System/Asset Name</t>
        </is>
      </c>
      <c r="C3" s="6" t="inlineStr">
        <is>
          <t>Requirement Exempted</t>
        </is>
      </c>
      <c r="D3" s="6" t="inlineStr">
        <is>
          <t>Exception Type</t>
        </is>
      </c>
      <c r="E3" s="6" t="inlineStr">
        <is>
          <t>Approved By</t>
        </is>
      </c>
      <c r="F3" s="6" t="inlineStr">
        <is>
          <t>Approval Date</t>
        </is>
      </c>
      <c r="G3" s="6" t="inlineStr">
        <is>
          <t>Expiry Date</t>
        </is>
      </c>
      <c r="H3" s="6" t="inlineStr">
        <is>
          <t>Closure Date</t>
        </is>
      </c>
      <c r="I3" s="6" t="inlineStr">
        <is>
          <t>Closure Reason</t>
        </is>
      </c>
      <c r="J3" s="6" t="inlineStr">
        <is>
          <t>Total Duration (Days)</t>
        </is>
      </c>
      <c r="K3" s="6" t="inlineStr">
        <is>
          <t>Final Status</t>
        </is>
      </c>
      <c r="L3" s="6" t="inlineStr">
        <is>
          <t>Lessons Learned</t>
        </is>
      </c>
    </row>
    <row r="4">
      <c r="A4" s="7" t="inlineStr">
        <is>
          <t>EXC-A817-002</t>
        </is>
      </c>
      <c r="B4" s="7" t="inlineStr">
        <is>
          <t>old-db-server.example.com</t>
        </is>
      </c>
      <c r="C4" s="7" t="inlineStr">
        <is>
          <t>REQ-817-011 (Drift threshold compliance)</t>
        </is>
      </c>
      <c r="D4" s="7" t="inlineStr">
        <is>
          <t>Temporary Non-Compliance</t>
        </is>
      </c>
      <c r="E4" s="7" t="inlineStr">
        <is>
          <t>Jane Doe (CISO)</t>
        </is>
      </c>
      <c r="F4" s="7" t="inlineStr">
        <is>
          <t>2025-06-15</t>
        </is>
      </c>
      <c r="G4" s="7" t="inlineStr">
        <is>
          <t>2025-12-15</t>
        </is>
      </c>
      <c r="H4" s="7" t="inlineStr">
        <is>
          <t>2025-11-30</t>
        </is>
      </c>
      <c r="I4" s="7" t="inlineStr">
        <is>
          <t>Compliance Achieved</t>
        </is>
      </c>
      <c r="J4" s="9">
        <f>H4-F4</f>
        <v/>
      </c>
      <c r="K4" s="7" t="inlineStr">
        <is>
          <t>Completed Successfully</t>
        </is>
      </c>
      <c r="L4" s="7" t="inlineStr">
        <is>
          <t>NTP configuration corrected; System now compliant with drift thresholds</t>
        </is>
      </c>
    </row>
    <row r="5">
      <c r="A5" s="7" t="n"/>
      <c r="B5" s="7" t="n"/>
      <c r="C5" s="7" t="n"/>
      <c r="D5" s="7" t="n"/>
      <c r="E5" s="7" t="n"/>
      <c r="F5" s="7" t="n"/>
      <c r="G5" s="7" t="n"/>
      <c r="H5" s="7" t="n"/>
      <c r="I5" s="7" t="n"/>
      <c r="J5" s="10">
        <f>IF(OR(ISBLANK(F5),ISBLANK(H5)),"",H5-F5)</f>
        <v/>
      </c>
      <c r="K5" s="7" t="n"/>
      <c r="L5" s="7" t="n"/>
    </row>
    <row r="6">
      <c r="A6" s="7" t="n"/>
      <c r="B6" s="7" t="n"/>
      <c r="C6" s="7" t="n"/>
      <c r="D6" s="7" t="n"/>
      <c r="E6" s="7" t="n"/>
      <c r="F6" s="7" t="n"/>
      <c r="G6" s="7" t="n"/>
      <c r="H6" s="7" t="n"/>
      <c r="I6" s="7" t="n"/>
      <c r="J6" s="10">
        <f>IF(OR(ISBLANK(F6),ISBLANK(H6)),"",H6-F6)</f>
        <v/>
      </c>
      <c r="K6" s="7" t="n"/>
      <c r="L6" s="7" t="n"/>
    </row>
    <row r="7">
      <c r="A7" s="7" t="n"/>
      <c r="B7" s="7" t="n"/>
      <c r="C7" s="7" t="n"/>
      <c r="D7" s="7" t="n"/>
      <c r="E7" s="7" t="n"/>
      <c r="F7" s="7" t="n"/>
      <c r="G7" s="7" t="n"/>
      <c r="H7" s="7" t="n"/>
      <c r="I7" s="7" t="n"/>
      <c r="J7" s="10">
        <f>IF(OR(ISBLANK(F7),ISBLANK(H7)),"",H7-F7)</f>
        <v/>
      </c>
      <c r="K7" s="7" t="n"/>
      <c r="L7" s="7" t="n"/>
    </row>
    <row r="8">
      <c r="A8" s="7" t="n"/>
      <c r="B8" s="7" t="n"/>
      <c r="C8" s="7" t="n"/>
      <c r="D8" s="7" t="n"/>
      <c r="E8" s="7" t="n"/>
      <c r="F8" s="7" t="n"/>
      <c r="G8" s="7" t="n"/>
      <c r="H8" s="7" t="n"/>
      <c r="I8" s="7" t="n"/>
      <c r="J8" s="10">
        <f>IF(OR(ISBLANK(F8),ISBLANK(H8)),"",H8-F8)</f>
        <v/>
      </c>
      <c r="K8" s="7" t="n"/>
      <c r="L8" s="7" t="n"/>
    </row>
    <row r="9">
      <c r="A9" s="7" t="n"/>
      <c r="B9" s="7" t="n"/>
      <c r="C9" s="7" t="n"/>
      <c r="D9" s="7" t="n"/>
      <c r="E9" s="7" t="n"/>
      <c r="F9" s="7" t="n"/>
      <c r="G9" s="7" t="n"/>
      <c r="H9" s="7" t="n"/>
      <c r="I9" s="7" t="n"/>
      <c r="J9" s="10">
        <f>IF(OR(ISBLANK(F9),ISBLANK(H9)),"",H9-F9)</f>
        <v/>
      </c>
      <c r="K9" s="7" t="n"/>
      <c r="L9" s="7" t="n"/>
    </row>
    <row r="10">
      <c r="A10" s="7" t="n"/>
      <c r="B10" s="7" t="n"/>
      <c r="C10" s="7" t="n"/>
      <c r="D10" s="7" t="n"/>
      <c r="E10" s="7" t="n"/>
      <c r="F10" s="7" t="n"/>
      <c r="G10" s="7" t="n"/>
      <c r="H10" s="7" t="n"/>
      <c r="I10" s="7" t="n"/>
      <c r="J10" s="10">
        <f>IF(OR(ISBLANK(F10),ISBLANK(H10)),"",H10-F10)</f>
        <v/>
      </c>
      <c r="K10" s="7" t="n"/>
      <c r="L10" s="7" t="n"/>
    </row>
    <row r="11">
      <c r="A11" s="7" t="n"/>
      <c r="B11" s="7" t="n"/>
      <c r="C11" s="7" t="n"/>
      <c r="D11" s="7" t="n"/>
      <c r="E11" s="7" t="n"/>
      <c r="F11" s="7" t="n"/>
      <c r="G11" s="7" t="n"/>
      <c r="H11" s="7" t="n"/>
      <c r="I11" s="7" t="n"/>
      <c r="J11" s="10">
        <f>IF(OR(ISBLANK(F11),ISBLANK(H11)),"",H11-F11)</f>
        <v/>
      </c>
      <c r="K11" s="7" t="n"/>
      <c r="L11" s="7" t="n"/>
    </row>
    <row r="12">
      <c r="A12" s="7" t="n"/>
      <c r="B12" s="7" t="n"/>
      <c r="C12" s="7" t="n"/>
      <c r="D12" s="7" t="n"/>
      <c r="E12" s="7" t="n"/>
      <c r="F12" s="7" t="n"/>
      <c r="G12" s="7" t="n"/>
      <c r="H12" s="7" t="n"/>
      <c r="I12" s="7" t="n"/>
      <c r="J12" s="10">
        <f>IF(OR(ISBLANK(F12),ISBLANK(H12)),"",H12-F12)</f>
        <v/>
      </c>
      <c r="K12" s="7" t="n"/>
      <c r="L12" s="7" t="n"/>
    </row>
    <row r="13">
      <c r="A13" s="7" t="n"/>
      <c r="B13" s="7" t="n"/>
      <c r="C13" s="7" t="n"/>
      <c r="D13" s="7" t="n"/>
      <c r="E13" s="7" t="n"/>
      <c r="F13" s="7" t="n"/>
      <c r="G13" s="7" t="n"/>
      <c r="H13" s="7" t="n"/>
      <c r="I13" s="7" t="n"/>
      <c r="J13" s="10">
        <f>IF(OR(ISBLANK(F13),ISBLANK(H13)),"",H13-F13)</f>
        <v/>
      </c>
      <c r="K13" s="7" t="n"/>
      <c r="L13" s="7" t="n"/>
    </row>
    <row r="14">
      <c r="A14" s="7" t="n"/>
      <c r="B14" s="7" t="n"/>
      <c r="C14" s="7" t="n"/>
      <c r="D14" s="7" t="n"/>
      <c r="E14" s="7" t="n"/>
      <c r="F14" s="7" t="n"/>
      <c r="G14" s="7" t="n"/>
      <c r="H14" s="7" t="n"/>
      <c r="I14" s="7" t="n"/>
      <c r="J14" s="10">
        <f>IF(OR(ISBLANK(F14),ISBLANK(H14)),"",H14-F14)</f>
        <v/>
      </c>
      <c r="K14" s="7" t="n"/>
      <c r="L14" s="7" t="n"/>
    </row>
    <row r="15">
      <c r="A15" s="7" t="n"/>
      <c r="B15" s="7" t="n"/>
      <c r="C15" s="7" t="n"/>
      <c r="D15" s="7" t="n"/>
      <c r="E15" s="7" t="n"/>
      <c r="F15" s="7" t="n"/>
      <c r="G15" s="7" t="n"/>
      <c r="H15" s="7" t="n"/>
      <c r="I15" s="7" t="n"/>
      <c r="J15" s="10">
        <f>IF(OR(ISBLANK(F15),ISBLANK(H15)),"",H15-F15)</f>
        <v/>
      </c>
      <c r="K15" s="7" t="n"/>
      <c r="L15" s="7" t="n"/>
    </row>
    <row r="16">
      <c r="A16" s="7" t="n"/>
      <c r="B16" s="7" t="n"/>
      <c r="C16" s="7" t="n"/>
      <c r="D16" s="7" t="n"/>
      <c r="E16" s="7" t="n"/>
      <c r="F16" s="7" t="n"/>
      <c r="G16" s="7" t="n"/>
      <c r="H16" s="7" t="n"/>
      <c r="I16" s="7" t="n"/>
      <c r="J16" s="10">
        <f>IF(OR(ISBLANK(F16),ISBLANK(H16)),"",H16-F16)</f>
        <v/>
      </c>
      <c r="K16" s="7" t="n"/>
      <c r="L16" s="7" t="n"/>
    </row>
    <row r="17">
      <c r="A17" s="7" t="n"/>
      <c r="B17" s="7" t="n"/>
      <c r="C17" s="7" t="n"/>
      <c r="D17" s="7" t="n"/>
      <c r="E17" s="7" t="n"/>
      <c r="F17" s="7" t="n"/>
      <c r="G17" s="7" t="n"/>
      <c r="H17" s="7" t="n"/>
      <c r="I17" s="7" t="n"/>
      <c r="J17" s="10">
        <f>IF(OR(ISBLANK(F17),ISBLANK(H17)),"",H17-F17)</f>
        <v/>
      </c>
      <c r="K17" s="7" t="n"/>
      <c r="L17" s="7" t="n"/>
    </row>
    <row r="18">
      <c r="A18" s="7" t="n"/>
      <c r="B18" s="7" t="n"/>
      <c r="C18" s="7" t="n"/>
      <c r="D18" s="7" t="n"/>
      <c r="E18" s="7" t="n"/>
      <c r="F18" s="7" t="n"/>
      <c r="G18" s="7" t="n"/>
      <c r="H18" s="7" t="n"/>
      <c r="I18" s="7" t="n"/>
      <c r="J18" s="10">
        <f>IF(OR(ISBLANK(F18),ISBLANK(H18)),"",H18-F18)</f>
        <v/>
      </c>
      <c r="K18" s="7" t="n"/>
      <c r="L18" s="7" t="n"/>
    </row>
    <row r="19">
      <c r="A19" s="7" t="n"/>
      <c r="B19" s="7" t="n"/>
      <c r="C19" s="7" t="n"/>
      <c r="D19" s="7" t="n"/>
      <c r="E19" s="7" t="n"/>
      <c r="F19" s="7" t="n"/>
      <c r="G19" s="7" t="n"/>
      <c r="H19" s="7" t="n"/>
      <c r="I19" s="7" t="n"/>
      <c r="J19" s="10">
        <f>IF(OR(ISBLANK(F19),ISBLANK(H19)),"",H19-F19)</f>
        <v/>
      </c>
      <c r="K19" s="7" t="n"/>
      <c r="L19" s="7" t="n"/>
    </row>
    <row r="20">
      <c r="A20" s="7" t="n"/>
      <c r="B20" s="7" t="n"/>
      <c r="C20" s="7" t="n"/>
      <c r="D20" s="7" t="n"/>
      <c r="E20" s="7" t="n"/>
      <c r="F20" s="7" t="n"/>
      <c r="G20" s="7" t="n"/>
      <c r="H20" s="7" t="n"/>
      <c r="I20" s="7" t="n"/>
      <c r="J20" s="10">
        <f>IF(OR(ISBLANK(F20),ISBLANK(H20)),"",H20-F20)</f>
        <v/>
      </c>
      <c r="K20" s="7" t="n"/>
      <c r="L20" s="7" t="n"/>
    </row>
    <row r="21">
      <c r="A21" s="7" t="n"/>
      <c r="B21" s="7" t="n"/>
      <c r="C21" s="7" t="n"/>
      <c r="D21" s="7" t="n"/>
      <c r="E21" s="7" t="n"/>
      <c r="F21" s="7" t="n"/>
      <c r="G21" s="7" t="n"/>
      <c r="H21" s="7" t="n"/>
      <c r="I21" s="7" t="n"/>
      <c r="J21" s="10">
        <f>IF(OR(ISBLANK(F21),ISBLANK(H21)),"",H21-F21)</f>
        <v/>
      </c>
      <c r="K21" s="7" t="n"/>
      <c r="L21" s="7" t="n"/>
    </row>
    <row r="22">
      <c r="A22" s="7" t="n"/>
      <c r="B22" s="7" t="n"/>
      <c r="C22" s="7" t="n"/>
      <c r="D22" s="7" t="n"/>
      <c r="E22" s="7" t="n"/>
      <c r="F22" s="7" t="n"/>
      <c r="G22" s="7" t="n"/>
      <c r="H22" s="7" t="n"/>
      <c r="I22" s="7" t="n"/>
      <c r="J22" s="10">
        <f>IF(OR(ISBLANK(F22),ISBLANK(H22)),"",H22-F22)</f>
        <v/>
      </c>
      <c r="K22" s="7" t="n"/>
      <c r="L22" s="7" t="n"/>
    </row>
    <row r="23">
      <c r="A23" s="7" t="n"/>
      <c r="B23" s="7" t="n"/>
      <c r="C23" s="7" t="n"/>
      <c r="D23" s="7" t="n"/>
      <c r="E23" s="7" t="n"/>
      <c r="F23" s="7" t="n"/>
      <c r="G23" s="7" t="n"/>
      <c r="H23" s="7" t="n"/>
      <c r="I23" s="7" t="n"/>
      <c r="J23" s="10">
        <f>IF(OR(ISBLANK(F23),ISBLANK(H23)),"",H23-F23)</f>
        <v/>
      </c>
      <c r="K23" s="7" t="n"/>
      <c r="L23" s="7" t="n"/>
    </row>
    <row r="24">
      <c r="A24" s="7" t="n"/>
      <c r="B24" s="7" t="n"/>
      <c r="C24" s="7" t="n"/>
      <c r="D24" s="7" t="n"/>
      <c r="E24" s="7" t="n"/>
      <c r="F24" s="7" t="n"/>
      <c r="G24" s="7" t="n"/>
      <c r="H24" s="7" t="n"/>
      <c r="I24" s="7" t="n"/>
      <c r="J24" s="10">
        <f>IF(OR(ISBLANK(F24),ISBLANK(H24)),"",H24-F24)</f>
        <v/>
      </c>
      <c r="K24" s="7" t="n"/>
      <c r="L24" s="7" t="n"/>
    </row>
    <row r="25">
      <c r="A25" s="7" t="n"/>
      <c r="B25" s="7" t="n"/>
      <c r="C25" s="7" t="n"/>
      <c r="D25" s="7" t="n"/>
      <c r="E25" s="7" t="n"/>
      <c r="F25" s="7" t="n"/>
      <c r="G25" s="7" t="n"/>
      <c r="H25" s="7" t="n"/>
      <c r="I25" s="7" t="n"/>
      <c r="J25" s="10">
        <f>IF(OR(ISBLANK(F25),ISBLANK(H25)),"",H25-F25)</f>
        <v/>
      </c>
      <c r="K25" s="7" t="n"/>
      <c r="L25" s="7" t="n"/>
    </row>
    <row r="26">
      <c r="A26" s="7" t="n"/>
      <c r="B26" s="7" t="n"/>
      <c r="C26" s="7" t="n"/>
      <c r="D26" s="7" t="n"/>
      <c r="E26" s="7" t="n"/>
      <c r="F26" s="7" t="n"/>
      <c r="G26" s="7" t="n"/>
      <c r="H26" s="7" t="n"/>
      <c r="I26" s="7" t="n"/>
      <c r="J26" s="10">
        <f>IF(OR(ISBLANK(F26),ISBLANK(H26)),"",H26-F26)</f>
        <v/>
      </c>
      <c r="K26" s="7" t="n"/>
      <c r="L26" s="7" t="n"/>
    </row>
    <row r="27">
      <c r="A27" s="7" t="n"/>
      <c r="B27" s="7" t="n"/>
      <c r="C27" s="7" t="n"/>
      <c r="D27" s="7" t="n"/>
      <c r="E27" s="7" t="n"/>
      <c r="F27" s="7" t="n"/>
      <c r="G27" s="7" t="n"/>
      <c r="H27" s="7" t="n"/>
      <c r="I27" s="7" t="n"/>
      <c r="J27" s="10">
        <f>IF(OR(ISBLANK(F27),ISBLANK(H27)),"",H27-F27)</f>
        <v/>
      </c>
      <c r="K27" s="7" t="n"/>
      <c r="L27" s="7" t="n"/>
    </row>
    <row r="28">
      <c r="A28" s="7" t="n"/>
      <c r="B28" s="7" t="n"/>
      <c r="C28" s="7" t="n"/>
      <c r="D28" s="7" t="n"/>
      <c r="E28" s="7" t="n"/>
      <c r="F28" s="7" t="n"/>
      <c r="G28" s="7" t="n"/>
      <c r="H28" s="7" t="n"/>
      <c r="I28" s="7" t="n"/>
      <c r="J28" s="10">
        <f>IF(OR(ISBLANK(F28),ISBLANK(H28)),"",H28-F28)</f>
        <v/>
      </c>
      <c r="K28" s="7" t="n"/>
      <c r="L28" s="7" t="n"/>
    </row>
    <row r="29">
      <c r="A29" s="7" t="n"/>
      <c r="B29" s="7" t="n"/>
      <c r="C29" s="7" t="n"/>
      <c r="D29" s="7" t="n"/>
      <c r="E29" s="7" t="n"/>
      <c r="F29" s="7" t="n"/>
      <c r="G29" s="7" t="n"/>
      <c r="H29" s="7" t="n"/>
      <c r="I29" s="7" t="n"/>
      <c r="J29" s="10">
        <f>IF(OR(ISBLANK(F29),ISBLANK(H29)),"",H29-F29)</f>
        <v/>
      </c>
      <c r="K29" s="7" t="n"/>
      <c r="L29" s="7" t="n"/>
    </row>
    <row r="30">
      <c r="A30" s="7" t="n"/>
      <c r="B30" s="7" t="n"/>
      <c r="C30" s="7" t="n"/>
      <c r="D30" s="7" t="n"/>
      <c r="E30" s="7" t="n"/>
      <c r="F30" s="7" t="n"/>
      <c r="G30" s="7" t="n"/>
      <c r="H30" s="7" t="n"/>
      <c r="I30" s="7" t="n"/>
      <c r="J30" s="10">
        <f>IF(OR(ISBLANK(F30),ISBLANK(H30)),"",H30-F30)</f>
        <v/>
      </c>
      <c r="K30" s="7" t="n"/>
      <c r="L30" s="7" t="n"/>
    </row>
    <row r="31">
      <c r="A31" s="7" t="n"/>
      <c r="B31" s="7" t="n"/>
      <c r="C31" s="7" t="n"/>
      <c r="D31" s="7" t="n"/>
      <c r="E31" s="7" t="n"/>
      <c r="F31" s="7" t="n"/>
      <c r="G31" s="7" t="n"/>
      <c r="H31" s="7" t="n"/>
      <c r="I31" s="7" t="n"/>
      <c r="J31" s="10">
        <f>IF(OR(ISBLANK(F31),ISBLANK(H31)),"",H31-F31)</f>
        <v/>
      </c>
      <c r="K31" s="7" t="n"/>
      <c r="L31" s="7" t="n"/>
    </row>
    <row r="32">
      <c r="A32" s="7" t="n"/>
      <c r="B32" s="7" t="n"/>
      <c r="C32" s="7" t="n"/>
      <c r="D32" s="7" t="n"/>
      <c r="E32" s="7" t="n"/>
      <c r="F32" s="7" t="n"/>
      <c r="G32" s="7" t="n"/>
      <c r="H32" s="7" t="n"/>
      <c r="I32" s="7" t="n"/>
      <c r="J32" s="10">
        <f>IF(OR(ISBLANK(F32),ISBLANK(H32)),"",H32-F32)</f>
        <v/>
      </c>
      <c r="K32" s="7" t="n"/>
      <c r="L32" s="7" t="n"/>
    </row>
    <row r="33">
      <c r="A33" s="7" t="n"/>
      <c r="B33" s="7" t="n"/>
      <c r="C33" s="7" t="n"/>
      <c r="D33" s="7" t="n"/>
      <c r="E33" s="7" t="n"/>
      <c r="F33" s="7" t="n"/>
      <c r="G33" s="7" t="n"/>
      <c r="H33" s="7" t="n"/>
      <c r="I33" s="7" t="n"/>
      <c r="J33" s="10">
        <f>IF(OR(ISBLANK(F33),ISBLANK(H33)),"",H33-F33)</f>
        <v/>
      </c>
      <c r="K33" s="7" t="n"/>
      <c r="L33" s="7" t="n"/>
    </row>
    <row r="34">
      <c r="A34" s="7" t="n"/>
      <c r="B34" s="7" t="n"/>
      <c r="C34" s="7" t="n"/>
      <c r="D34" s="7" t="n"/>
      <c r="E34" s="7" t="n"/>
      <c r="F34" s="7" t="n"/>
      <c r="G34" s="7" t="n"/>
      <c r="H34" s="7" t="n"/>
      <c r="I34" s="7" t="n"/>
      <c r="J34" s="10">
        <f>IF(OR(ISBLANK(F34),ISBLANK(H34)),"",H34-F34)</f>
        <v/>
      </c>
      <c r="K34" s="7" t="n"/>
      <c r="L34" s="7" t="n"/>
    </row>
    <row r="35">
      <c r="A35" s="7" t="n"/>
      <c r="B35" s="7" t="n"/>
      <c r="C35" s="7" t="n"/>
      <c r="D35" s="7" t="n"/>
      <c r="E35" s="7" t="n"/>
      <c r="F35" s="7" t="n"/>
      <c r="G35" s="7" t="n"/>
      <c r="H35" s="7" t="n"/>
      <c r="I35" s="7" t="n"/>
      <c r="J35" s="10">
        <f>IF(OR(ISBLANK(F35),ISBLANK(H35)),"",H35-F35)</f>
        <v/>
      </c>
      <c r="K35" s="7" t="n"/>
      <c r="L35" s="7" t="n"/>
    </row>
    <row r="36">
      <c r="A36" s="7" t="n"/>
      <c r="B36" s="7" t="n"/>
      <c r="C36" s="7" t="n"/>
      <c r="D36" s="7" t="n"/>
      <c r="E36" s="7" t="n"/>
      <c r="F36" s="7" t="n"/>
      <c r="G36" s="7" t="n"/>
      <c r="H36" s="7" t="n"/>
      <c r="I36" s="7" t="n"/>
      <c r="J36" s="10">
        <f>IF(OR(ISBLANK(F36),ISBLANK(H36)),"",H36-F36)</f>
        <v/>
      </c>
      <c r="K36" s="7" t="n"/>
      <c r="L36" s="7" t="n"/>
    </row>
    <row r="37">
      <c r="A37" s="7" t="n"/>
      <c r="B37" s="7" t="n"/>
      <c r="C37" s="7" t="n"/>
      <c r="D37" s="7" t="n"/>
      <c r="E37" s="7" t="n"/>
      <c r="F37" s="7" t="n"/>
      <c r="G37" s="7" t="n"/>
      <c r="H37" s="7" t="n"/>
      <c r="I37" s="7" t="n"/>
      <c r="J37" s="10">
        <f>IF(OR(ISBLANK(F37),ISBLANK(H37)),"",H37-F37)</f>
        <v/>
      </c>
      <c r="K37" s="7" t="n"/>
      <c r="L37" s="7" t="n"/>
    </row>
    <row r="38">
      <c r="A38" s="7" t="n"/>
      <c r="B38" s="7" t="n"/>
      <c r="C38" s="7" t="n"/>
      <c r="D38" s="7" t="n"/>
      <c r="E38" s="7" t="n"/>
      <c r="F38" s="7" t="n"/>
      <c r="G38" s="7" t="n"/>
      <c r="H38" s="7" t="n"/>
      <c r="I38" s="7" t="n"/>
      <c r="J38" s="10">
        <f>IF(OR(ISBLANK(F38),ISBLANK(H38)),"",H38-F38)</f>
        <v/>
      </c>
      <c r="K38" s="7" t="n"/>
      <c r="L38" s="7" t="n"/>
    </row>
    <row r="39">
      <c r="A39" s="7" t="n"/>
      <c r="B39" s="7" t="n"/>
      <c r="C39" s="7" t="n"/>
      <c r="D39" s="7" t="n"/>
      <c r="E39" s="7" t="n"/>
      <c r="F39" s="7" t="n"/>
      <c r="G39" s="7" t="n"/>
      <c r="H39" s="7" t="n"/>
      <c r="I39" s="7" t="n"/>
      <c r="J39" s="10">
        <f>IF(OR(ISBLANK(F39),ISBLANK(H39)),"",H39-F39)</f>
        <v/>
      </c>
      <c r="K39" s="7" t="n"/>
      <c r="L39" s="7" t="n"/>
    </row>
    <row r="40">
      <c r="A40" s="7" t="n"/>
      <c r="B40" s="7" t="n"/>
      <c r="C40" s="7" t="n"/>
      <c r="D40" s="7" t="n"/>
      <c r="E40" s="7" t="n"/>
      <c r="F40" s="7" t="n"/>
      <c r="G40" s="7" t="n"/>
      <c r="H40" s="7" t="n"/>
      <c r="I40" s="7" t="n"/>
      <c r="J40" s="10">
        <f>IF(OR(ISBLANK(F40),ISBLANK(H40)),"",H40-F40)</f>
        <v/>
      </c>
      <c r="K40" s="7" t="n"/>
      <c r="L40" s="7" t="n"/>
    </row>
    <row r="41">
      <c r="A41" s="7" t="n"/>
      <c r="B41" s="7" t="n"/>
      <c r="C41" s="7" t="n"/>
      <c r="D41" s="7" t="n"/>
      <c r="E41" s="7" t="n"/>
      <c r="F41" s="7" t="n"/>
      <c r="G41" s="7" t="n"/>
      <c r="H41" s="7" t="n"/>
      <c r="I41" s="7" t="n"/>
      <c r="J41" s="10">
        <f>IF(OR(ISBLANK(F41),ISBLANK(H41)),"",H41-F41)</f>
        <v/>
      </c>
      <c r="K41" s="7" t="n"/>
      <c r="L41" s="7" t="n"/>
    </row>
    <row r="42">
      <c r="A42" s="7" t="n"/>
      <c r="B42" s="7" t="n"/>
      <c r="C42" s="7" t="n"/>
      <c r="D42" s="7" t="n"/>
      <c r="E42" s="7" t="n"/>
      <c r="F42" s="7" t="n"/>
      <c r="G42" s="7" t="n"/>
      <c r="H42" s="7" t="n"/>
      <c r="I42" s="7" t="n"/>
      <c r="J42" s="10">
        <f>IF(OR(ISBLANK(F42),ISBLANK(H42)),"",H42-F42)</f>
        <v/>
      </c>
      <c r="K42" s="7" t="n"/>
      <c r="L42" s="7" t="n"/>
    </row>
    <row r="43">
      <c r="A43" s="7" t="n"/>
      <c r="B43" s="7" t="n"/>
      <c r="C43" s="7" t="n"/>
      <c r="D43" s="7" t="n"/>
      <c r="E43" s="7" t="n"/>
      <c r="F43" s="7" t="n"/>
      <c r="G43" s="7" t="n"/>
      <c r="H43" s="7" t="n"/>
      <c r="I43" s="7" t="n"/>
      <c r="J43" s="10">
        <f>IF(OR(ISBLANK(F43),ISBLANK(H43)),"",H43-F43)</f>
        <v/>
      </c>
      <c r="K43" s="7" t="n"/>
      <c r="L43" s="7" t="n"/>
    </row>
    <row r="44">
      <c r="A44" s="7" t="n"/>
      <c r="B44" s="7" t="n"/>
      <c r="C44" s="7" t="n"/>
      <c r="D44" s="7" t="n"/>
      <c r="E44" s="7" t="n"/>
      <c r="F44" s="7" t="n"/>
      <c r="G44" s="7" t="n"/>
      <c r="H44" s="7" t="n"/>
      <c r="I44" s="7" t="n"/>
      <c r="J44" s="10">
        <f>IF(OR(ISBLANK(F44),ISBLANK(H44)),"",H44-F44)</f>
        <v/>
      </c>
      <c r="K44" s="7" t="n"/>
      <c r="L44" s="7" t="n"/>
    </row>
    <row r="45">
      <c r="A45" s="7" t="n"/>
      <c r="B45" s="7" t="n"/>
      <c r="C45" s="7" t="n"/>
      <c r="D45" s="7" t="n"/>
      <c r="E45" s="7" t="n"/>
      <c r="F45" s="7" t="n"/>
      <c r="G45" s="7" t="n"/>
      <c r="H45" s="7" t="n"/>
      <c r="I45" s="7" t="n"/>
      <c r="J45" s="10">
        <f>IF(OR(ISBLANK(F45),ISBLANK(H45)),"",H45-F45)</f>
        <v/>
      </c>
      <c r="K45" s="7" t="n"/>
      <c r="L45" s="7" t="n"/>
    </row>
    <row r="46">
      <c r="A46" s="7" t="n"/>
      <c r="B46" s="7" t="n"/>
      <c r="C46" s="7" t="n"/>
      <c r="D46" s="7" t="n"/>
      <c r="E46" s="7" t="n"/>
      <c r="F46" s="7" t="n"/>
      <c r="G46" s="7" t="n"/>
      <c r="H46" s="7" t="n"/>
      <c r="I46" s="7" t="n"/>
      <c r="J46" s="10">
        <f>IF(OR(ISBLANK(F46),ISBLANK(H46)),"",H46-F46)</f>
        <v/>
      </c>
      <c r="K46" s="7" t="n"/>
      <c r="L46" s="7" t="n"/>
    </row>
    <row r="47">
      <c r="A47" s="7" t="n"/>
      <c r="B47" s="7" t="n"/>
      <c r="C47" s="7" t="n"/>
      <c r="D47" s="7" t="n"/>
      <c r="E47" s="7" t="n"/>
      <c r="F47" s="7" t="n"/>
      <c r="G47" s="7" t="n"/>
      <c r="H47" s="7" t="n"/>
      <c r="I47" s="7" t="n"/>
      <c r="J47" s="10">
        <f>IF(OR(ISBLANK(F47),ISBLANK(H47)),"",H47-F47)</f>
        <v/>
      </c>
      <c r="K47" s="7" t="n"/>
      <c r="L47" s="7" t="n"/>
    </row>
    <row r="48">
      <c r="A48" s="7" t="n"/>
      <c r="B48" s="7" t="n"/>
      <c r="C48" s="7" t="n"/>
      <c r="D48" s="7" t="n"/>
      <c r="E48" s="7" t="n"/>
      <c r="F48" s="7" t="n"/>
      <c r="G48" s="7" t="n"/>
      <c r="H48" s="7" t="n"/>
      <c r="I48" s="7" t="n"/>
      <c r="J48" s="10">
        <f>IF(OR(ISBLANK(F48),ISBLANK(H48)),"",H48-F48)</f>
        <v/>
      </c>
      <c r="K48" s="7" t="n"/>
      <c r="L48" s="7" t="n"/>
    </row>
    <row r="49">
      <c r="A49" s="7" t="n"/>
      <c r="B49" s="7" t="n"/>
      <c r="C49" s="7" t="n"/>
      <c r="D49" s="7" t="n"/>
      <c r="E49" s="7" t="n"/>
      <c r="F49" s="7" t="n"/>
      <c r="G49" s="7" t="n"/>
      <c r="H49" s="7" t="n"/>
      <c r="I49" s="7" t="n"/>
      <c r="J49" s="10">
        <f>IF(OR(ISBLANK(F49),ISBLANK(H49)),"",H49-F49)</f>
        <v/>
      </c>
      <c r="K49" s="7" t="n"/>
      <c r="L49" s="7" t="n"/>
    </row>
    <row r="50">
      <c r="A50" s="7" t="n"/>
      <c r="B50" s="7" t="n"/>
      <c r="C50" s="7" t="n"/>
      <c r="D50" s="7" t="n"/>
      <c r="E50" s="7" t="n"/>
      <c r="F50" s="7" t="n"/>
      <c r="G50" s="7" t="n"/>
      <c r="H50" s="7" t="n"/>
      <c r="I50" s="7" t="n"/>
      <c r="J50" s="10">
        <f>IF(OR(ISBLANK(F50),ISBLANK(H50)),"",H50-F50)</f>
        <v/>
      </c>
      <c r="K50" s="7" t="n"/>
      <c r="L50" s="7" t="n"/>
    </row>
    <row r="51">
      <c r="A51" s="7" t="n"/>
      <c r="B51" s="7" t="n"/>
      <c r="C51" s="7" t="n"/>
      <c r="D51" s="7" t="n"/>
      <c r="E51" s="7" t="n"/>
      <c r="F51" s="7" t="n"/>
      <c r="G51" s="7" t="n"/>
      <c r="H51" s="7" t="n"/>
      <c r="I51" s="7" t="n"/>
      <c r="J51" s="10">
        <f>IF(OR(ISBLANK(F51),ISBLANK(H51)),"",H51-F51)</f>
        <v/>
      </c>
      <c r="K51" s="7" t="n"/>
      <c r="L51" s="7" t="n"/>
    </row>
    <row r="52">
      <c r="A52" s="7" t="n"/>
      <c r="B52" s="7" t="n"/>
      <c r="C52" s="7" t="n"/>
      <c r="D52" s="7" t="n"/>
      <c r="E52" s="7" t="n"/>
      <c r="F52" s="7" t="n"/>
      <c r="G52" s="7" t="n"/>
      <c r="H52" s="7" t="n"/>
      <c r="I52" s="7" t="n"/>
      <c r="J52" s="10">
        <f>IF(OR(ISBLANK(F52),ISBLANK(H52)),"",H52-F52)</f>
        <v/>
      </c>
      <c r="K52" s="7" t="n"/>
      <c r="L52" s="7" t="n"/>
    </row>
    <row r="53">
      <c r="A53" s="7" t="n"/>
      <c r="B53" s="7" t="n"/>
      <c r="C53" s="7" t="n"/>
      <c r="D53" s="7" t="n"/>
      <c r="E53" s="7" t="n"/>
      <c r="F53" s="7" t="n"/>
      <c r="G53" s="7" t="n"/>
      <c r="H53" s="7" t="n"/>
      <c r="I53" s="7" t="n"/>
      <c r="J53" s="10">
        <f>IF(OR(ISBLANK(F53),ISBLANK(H53)),"",H53-F53)</f>
        <v/>
      </c>
      <c r="K53" s="7" t="n"/>
      <c r="L53" s="7" t="n"/>
    </row>
    <row r="54">
      <c r="A54" s="7" t="n"/>
      <c r="B54" s="7" t="n"/>
      <c r="C54" s="7" t="n"/>
      <c r="D54" s="7" t="n"/>
      <c r="E54" s="7" t="n"/>
      <c r="F54" s="7" t="n"/>
      <c r="G54" s="7" t="n"/>
      <c r="H54" s="7" t="n"/>
      <c r="I54" s="7" t="n"/>
      <c r="J54" s="10">
        <f>IF(OR(ISBLANK(F54),ISBLANK(H54)),"",H54-F54)</f>
        <v/>
      </c>
      <c r="K54" s="7" t="n"/>
      <c r="L54" s="7" t="n"/>
    </row>
    <row r="55">
      <c r="A55" s="7" t="n"/>
      <c r="B55" s="7" t="n"/>
      <c r="C55" s="7" t="n"/>
      <c r="D55" s="7" t="n"/>
      <c r="E55" s="7" t="n"/>
      <c r="F55" s="7" t="n"/>
      <c r="G55" s="7" t="n"/>
      <c r="H55" s="7" t="n"/>
      <c r="I55" s="7" t="n"/>
      <c r="J55" s="10">
        <f>IF(OR(ISBLANK(F55),ISBLANK(H55)),"",H55-F55)</f>
        <v/>
      </c>
      <c r="K55" s="7" t="n"/>
      <c r="L55" s="7" t="n"/>
    </row>
    <row r="56">
      <c r="A56" s="7" t="n"/>
      <c r="B56" s="7" t="n"/>
      <c r="C56" s="7" t="n"/>
      <c r="D56" s="7" t="n"/>
      <c r="E56" s="7" t="n"/>
      <c r="F56" s="7" t="n"/>
      <c r="G56" s="7" t="n"/>
      <c r="H56" s="7" t="n"/>
      <c r="I56" s="7" t="n"/>
      <c r="J56" s="10">
        <f>IF(OR(ISBLANK(F56),ISBLANK(H56)),"",H56-F56)</f>
        <v/>
      </c>
      <c r="K56" s="7" t="n"/>
      <c r="L56" s="7" t="n"/>
    </row>
    <row r="57">
      <c r="A57" s="7" t="n"/>
      <c r="B57" s="7" t="n"/>
      <c r="C57" s="7" t="n"/>
      <c r="D57" s="7" t="n"/>
      <c r="E57" s="7" t="n"/>
      <c r="F57" s="7" t="n"/>
      <c r="G57" s="7" t="n"/>
      <c r="H57" s="7" t="n"/>
      <c r="I57" s="7" t="n"/>
      <c r="J57" s="10">
        <f>IF(OR(ISBLANK(F57),ISBLANK(H57)),"",H57-F57)</f>
        <v/>
      </c>
      <c r="K57" s="7" t="n"/>
      <c r="L57" s="7" t="n"/>
    </row>
    <row r="58">
      <c r="A58" s="7" t="n"/>
      <c r="B58" s="7" t="n"/>
      <c r="C58" s="7" t="n"/>
      <c r="D58" s="7" t="n"/>
      <c r="E58" s="7" t="n"/>
      <c r="F58" s="7" t="n"/>
      <c r="G58" s="7" t="n"/>
      <c r="H58" s="7" t="n"/>
      <c r="I58" s="7" t="n"/>
      <c r="J58" s="10">
        <f>IF(OR(ISBLANK(F58),ISBLANK(H58)),"",H58-F58)</f>
        <v/>
      </c>
      <c r="K58" s="7" t="n"/>
      <c r="L58" s="7" t="n"/>
    </row>
    <row r="59">
      <c r="A59" s="7" t="n"/>
      <c r="B59" s="7" t="n"/>
      <c r="C59" s="7" t="n"/>
      <c r="D59" s="7" t="n"/>
      <c r="E59" s="7" t="n"/>
      <c r="F59" s="7" t="n"/>
      <c r="G59" s="7" t="n"/>
      <c r="H59" s="7" t="n"/>
      <c r="I59" s="7" t="n"/>
      <c r="J59" s="10">
        <f>IF(OR(ISBLANK(F59),ISBLANK(H59)),"",H59-F59)</f>
        <v/>
      </c>
      <c r="K59" s="7" t="n"/>
      <c r="L59" s="7" t="n"/>
    </row>
    <row r="60">
      <c r="A60" s="7" t="n"/>
      <c r="B60" s="7" t="n"/>
      <c r="C60" s="7" t="n"/>
      <c r="D60" s="7" t="n"/>
      <c r="E60" s="7" t="n"/>
      <c r="F60" s="7" t="n"/>
      <c r="G60" s="7" t="n"/>
      <c r="H60" s="7" t="n"/>
      <c r="I60" s="7" t="n"/>
      <c r="J60" s="10">
        <f>IF(OR(ISBLANK(F60),ISBLANK(H60)),"",H60-F60)</f>
        <v/>
      </c>
      <c r="K60" s="7" t="n"/>
      <c r="L60" s="7" t="n"/>
    </row>
    <row r="61">
      <c r="A61" s="7" t="n"/>
      <c r="B61" s="7" t="n"/>
      <c r="C61" s="7" t="n"/>
      <c r="D61" s="7" t="n"/>
      <c r="E61" s="7" t="n"/>
      <c r="F61" s="7" t="n"/>
      <c r="G61" s="7" t="n"/>
      <c r="H61" s="7" t="n"/>
      <c r="I61" s="7" t="n"/>
      <c r="J61" s="10">
        <f>IF(OR(ISBLANK(F61),ISBLANK(H61)),"",H61-F61)</f>
        <v/>
      </c>
      <c r="K61" s="7" t="n"/>
      <c r="L61" s="7" t="n"/>
    </row>
    <row r="62">
      <c r="A62" s="7" t="n"/>
      <c r="B62" s="7" t="n"/>
      <c r="C62" s="7" t="n"/>
      <c r="D62" s="7" t="n"/>
      <c r="E62" s="7" t="n"/>
      <c r="F62" s="7" t="n"/>
      <c r="G62" s="7" t="n"/>
      <c r="H62" s="7" t="n"/>
      <c r="I62" s="7" t="n"/>
      <c r="J62" s="10">
        <f>IF(OR(ISBLANK(F62),ISBLANK(H62)),"",H62-F62)</f>
        <v/>
      </c>
      <c r="K62" s="7" t="n"/>
      <c r="L62" s="7" t="n"/>
    </row>
    <row r="63">
      <c r="A63" s="7" t="n"/>
      <c r="B63" s="7" t="n"/>
      <c r="C63" s="7" t="n"/>
      <c r="D63" s="7" t="n"/>
      <c r="E63" s="7" t="n"/>
      <c r="F63" s="7" t="n"/>
      <c r="G63" s="7" t="n"/>
      <c r="H63" s="7" t="n"/>
      <c r="I63" s="7" t="n"/>
      <c r="J63" s="10">
        <f>IF(OR(ISBLANK(F63),ISBLANK(H63)),"",H63-F63)</f>
        <v/>
      </c>
      <c r="K63" s="7" t="n"/>
      <c r="L63" s="7" t="n"/>
    </row>
    <row r="64">
      <c r="A64" s="7" t="n"/>
      <c r="B64" s="7" t="n"/>
      <c r="C64" s="7" t="n"/>
      <c r="D64" s="7" t="n"/>
      <c r="E64" s="7" t="n"/>
      <c r="F64" s="7" t="n"/>
      <c r="G64" s="7" t="n"/>
      <c r="H64" s="7" t="n"/>
      <c r="I64" s="7" t="n"/>
      <c r="J64" s="10">
        <f>IF(OR(ISBLANK(F64),ISBLANK(H64)),"",H64-F64)</f>
        <v/>
      </c>
      <c r="K64" s="7" t="n"/>
      <c r="L64" s="7" t="n"/>
    </row>
    <row r="65">
      <c r="A65" s="7" t="n"/>
      <c r="B65" s="7" t="n"/>
      <c r="C65" s="7" t="n"/>
      <c r="D65" s="7" t="n"/>
      <c r="E65" s="7" t="n"/>
      <c r="F65" s="7" t="n"/>
      <c r="G65" s="7" t="n"/>
      <c r="H65" s="7" t="n"/>
      <c r="I65" s="7" t="n"/>
      <c r="J65" s="10">
        <f>IF(OR(ISBLANK(F65),ISBLANK(H65)),"",H65-F65)</f>
        <v/>
      </c>
      <c r="K65" s="7" t="n"/>
      <c r="L65" s="7" t="n"/>
    </row>
    <row r="66">
      <c r="A66" s="7" t="n"/>
      <c r="B66" s="7" t="n"/>
      <c r="C66" s="7" t="n"/>
      <c r="D66" s="7" t="n"/>
      <c r="E66" s="7" t="n"/>
      <c r="F66" s="7" t="n"/>
      <c r="G66" s="7" t="n"/>
      <c r="H66" s="7" t="n"/>
      <c r="I66" s="7" t="n"/>
      <c r="J66" s="10">
        <f>IF(OR(ISBLANK(F66),ISBLANK(H66)),"",H66-F66)</f>
        <v/>
      </c>
      <c r="K66" s="7" t="n"/>
      <c r="L66" s="7" t="n"/>
    </row>
    <row r="67">
      <c r="A67" s="7" t="n"/>
      <c r="B67" s="7" t="n"/>
      <c r="C67" s="7" t="n"/>
      <c r="D67" s="7" t="n"/>
      <c r="E67" s="7" t="n"/>
      <c r="F67" s="7" t="n"/>
      <c r="G67" s="7" t="n"/>
      <c r="H67" s="7" t="n"/>
      <c r="I67" s="7" t="n"/>
      <c r="J67" s="10">
        <f>IF(OR(ISBLANK(F67),ISBLANK(H67)),"",H67-F67)</f>
        <v/>
      </c>
      <c r="K67" s="7" t="n"/>
      <c r="L67" s="7" t="n"/>
    </row>
    <row r="68">
      <c r="A68" s="7" t="n"/>
      <c r="B68" s="7" t="n"/>
      <c r="C68" s="7" t="n"/>
      <c r="D68" s="7" t="n"/>
      <c r="E68" s="7" t="n"/>
      <c r="F68" s="7" t="n"/>
      <c r="G68" s="7" t="n"/>
      <c r="H68" s="7" t="n"/>
      <c r="I68" s="7" t="n"/>
      <c r="J68" s="10">
        <f>IF(OR(ISBLANK(F68),ISBLANK(H68)),"",H68-F68)</f>
        <v/>
      </c>
      <c r="K68" s="7" t="n"/>
      <c r="L68" s="7" t="n"/>
    </row>
    <row r="69">
      <c r="A69" s="7" t="n"/>
      <c r="B69" s="7" t="n"/>
      <c r="C69" s="7" t="n"/>
      <c r="D69" s="7" t="n"/>
      <c r="E69" s="7" t="n"/>
      <c r="F69" s="7" t="n"/>
      <c r="G69" s="7" t="n"/>
      <c r="H69" s="7" t="n"/>
      <c r="I69" s="7" t="n"/>
      <c r="J69" s="10">
        <f>IF(OR(ISBLANK(F69),ISBLANK(H69)),"",H69-F69)</f>
        <v/>
      </c>
      <c r="K69" s="7" t="n"/>
      <c r="L69" s="7" t="n"/>
    </row>
    <row r="70">
      <c r="A70" s="7" t="n"/>
      <c r="B70" s="7" t="n"/>
      <c r="C70" s="7" t="n"/>
      <c r="D70" s="7" t="n"/>
      <c r="E70" s="7" t="n"/>
      <c r="F70" s="7" t="n"/>
      <c r="G70" s="7" t="n"/>
      <c r="H70" s="7" t="n"/>
      <c r="I70" s="7" t="n"/>
      <c r="J70" s="10">
        <f>IF(OR(ISBLANK(F70),ISBLANK(H70)),"",H70-F70)</f>
        <v/>
      </c>
      <c r="K70" s="7" t="n"/>
      <c r="L70" s="7" t="n"/>
    </row>
    <row r="71">
      <c r="A71" s="7" t="n"/>
      <c r="B71" s="7" t="n"/>
      <c r="C71" s="7" t="n"/>
      <c r="D71" s="7" t="n"/>
      <c r="E71" s="7" t="n"/>
      <c r="F71" s="7" t="n"/>
      <c r="G71" s="7" t="n"/>
      <c r="H71" s="7" t="n"/>
      <c r="I71" s="7" t="n"/>
      <c r="J71" s="10">
        <f>IF(OR(ISBLANK(F71),ISBLANK(H71)),"",H71-F71)</f>
        <v/>
      </c>
      <c r="K71" s="7" t="n"/>
      <c r="L71" s="7" t="n"/>
    </row>
    <row r="72">
      <c r="A72" s="7" t="n"/>
      <c r="B72" s="7" t="n"/>
      <c r="C72" s="7" t="n"/>
      <c r="D72" s="7" t="n"/>
      <c r="E72" s="7" t="n"/>
      <c r="F72" s="7" t="n"/>
      <c r="G72" s="7" t="n"/>
      <c r="H72" s="7" t="n"/>
      <c r="I72" s="7" t="n"/>
      <c r="J72" s="10">
        <f>IF(OR(ISBLANK(F72),ISBLANK(H72)),"",H72-F72)</f>
        <v/>
      </c>
      <c r="K72" s="7" t="n"/>
      <c r="L72" s="7" t="n"/>
    </row>
    <row r="73">
      <c r="A73" s="7" t="n"/>
      <c r="B73" s="7" t="n"/>
      <c r="C73" s="7" t="n"/>
      <c r="D73" s="7" t="n"/>
      <c r="E73" s="7" t="n"/>
      <c r="F73" s="7" t="n"/>
      <c r="G73" s="7" t="n"/>
      <c r="H73" s="7" t="n"/>
      <c r="I73" s="7" t="n"/>
      <c r="J73" s="10">
        <f>IF(OR(ISBLANK(F73),ISBLANK(H73)),"",H73-F73)</f>
        <v/>
      </c>
      <c r="K73" s="7" t="n"/>
      <c r="L73" s="7" t="n"/>
    </row>
    <row r="74">
      <c r="A74" s="7" t="n"/>
      <c r="B74" s="7" t="n"/>
      <c r="C74" s="7" t="n"/>
      <c r="D74" s="7" t="n"/>
      <c r="E74" s="7" t="n"/>
      <c r="F74" s="7" t="n"/>
      <c r="G74" s="7" t="n"/>
      <c r="H74" s="7" t="n"/>
      <c r="I74" s="7" t="n"/>
      <c r="J74" s="10">
        <f>IF(OR(ISBLANK(F74),ISBLANK(H74)),"",H74-F74)</f>
        <v/>
      </c>
      <c r="K74" s="7" t="n"/>
      <c r="L74" s="7" t="n"/>
    </row>
    <row r="75">
      <c r="A75" s="7" t="n"/>
      <c r="B75" s="7" t="n"/>
      <c r="C75" s="7" t="n"/>
      <c r="D75" s="7" t="n"/>
      <c r="E75" s="7" t="n"/>
      <c r="F75" s="7" t="n"/>
      <c r="G75" s="7" t="n"/>
      <c r="H75" s="7" t="n"/>
      <c r="I75" s="7" t="n"/>
      <c r="J75" s="10">
        <f>IF(OR(ISBLANK(F75),ISBLANK(H75)),"",H75-F75)</f>
        <v/>
      </c>
      <c r="K75" s="7" t="n"/>
      <c r="L75" s="7" t="n"/>
    </row>
    <row r="76">
      <c r="A76" s="7" t="n"/>
      <c r="B76" s="7" t="n"/>
      <c r="C76" s="7" t="n"/>
      <c r="D76" s="7" t="n"/>
      <c r="E76" s="7" t="n"/>
      <c r="F76" s="7" t="n"/>
      <c r="G76" s="7" t="n"/>
      <c r="H76" s="7" t="n"/>
      <c r="I76" s="7" t="n"/>
      <c r="J76" s="10">
        <f>IF(OR(ISBLANK(F76),ISBLANK(H76)),"",H76-F76)</f>
        <v/>
      </c>
      <c r="K76" s="7" t="n"/>
      <c r="L76" s="7" t="n"/>
    </row>
    <row r="77">
      <c r="A77" s="7" t="n"/>
      <c r="B77" s="7" t="n"/>
      <c r="C77" s="7" t="n"/>
      <c r="D77" s="7" t="n"/>
      <c r="E77" s="7" t="n"/>
      <c r="F77" s="7" t="n"/>
      <c r="G77" s="7" t="n"/>
      <c r="H77" s="7" t="n"/>
      <c r="I77" s="7" t="n"/>
      <c r="J77" s="10">
        <f>IF(OR(ISBLANK(F77),ISBLANK(H77)),"",H77-F77)</f>
        <v/>
      </c>
      <c r="K77" s="7" t="n"/>
      <c r="L77" s="7" t="n"/>
    </row>
    <row r="78">
      <c r="A78" s="7" t="n"/>
      <c r="B78" s="7" t="n"/>
      <c r="C78" s="7" t="n"/>
      <c r="D78" s="7" t="n"/>
      <c r="E78" s="7" t="n"/>
      <c r="F78" s="7" t="n"/>
      <c r="G78" s="7" t="n"/>
      <c r="H78" s="7" t="n"/>
      <c r="I78" s="7" t="n"/>
      <c r="J78" s="10">
        <f>IF(OR(ISBLANK(F78),ISBLANK(H78)),"",H78-F78)</f>
        <v/>
      </c>
      <c r="K78" s="7" t="n"/>
      <c r="L78" s="7" t="n"/>
    </row>
    <row r="79">
      <c r="A79" s="7" t="n"/>
      <c r="B79" s="7" t="n"/>
      <c r="C79" s="7" t="n"/>
      <c r="D79" s="7" t="n"/>
      <c r="E79" s="7" t="n"/>
      <c r="F79" s="7" t="n"/>
      <c r="G79" s="7" t="n"/>
      <c r="H79" s="7" t="n"/>
      <c r="I79" s="7" t="n"/>
      <c r="J79" s="10">
        <f>IF(OR(ISBLANK(F79),ISBLANK(H79)),"",H79-F79)</f>
        <v/>
      </c>
      <c r="K79" s="7" t="n"/>
      <c r="L79" s="7" t="n"/>
    </row>
    <row r="80">
      <c r="A80" s="7" t="n"/>
      <c r="B80" s="7" t="n"/>
      <c r="C80" s="7" t="n"/>
      <c r="D80" s="7" t="n"/>
      <c r="E80" s="7" t="n"/>
      <c r="F80" s="7" t="n"/>
      <c r="G80" s="7" t="n"/>
      <c r="H80" s="7" t="n"/>
      <c r="I80" s="7" t="n"/>
      <c r="J80" s="10">
        <f>IF(OR(ISBLANK(F80),ISBLANK(H80)),"",H80-F80)</f>
        <v/>
      </c>
      <c r="K80" s="7" t="n"/>
      <c r="L80" s="7" t="n"/>
    </row>
    <row r="81">
      <c r="A81" s="7" t="n"/>
      <c r="B81" s="7" t="n"/>
      <c r="C81" s="7" t="n"/>
      <c r="D81" s="7" t="n"/>
      <c r="E81" s="7" t="n"/>
      <c r="F81" s="7" t="n"/>
      <c r="G81" s="7" t="n"/>
      <c r="H81" s="7" t="n"/>
      <c r="I81" s="7" t="n"/>
      <c r="J81" s="10">
        <f>IF(OR(ISBLANK(F81),ISBLANK(H81)),"",H81-F81)</f>
        <v/>
      </c>
      <c r="K81" s="7" t="n"/>
      <c r="L81" s="7" t="n"/>
    </row>
    <row r="82">
      <c r="A82" s="7" t="n"/>
      <c r="B82" s="7" t="n"/>
      <c r="C82" s="7" t="n"/>
      <c r="D82" s="7" t="n"/>
      <c r="E82" s="7" t="n"/>
      <c r="F82" s="7" t="n"/>
      <c r="G82" s="7" t="n"/>
      <c r="H82" s="7" t="n"/>
      <c r="I82" s="7" t="n"/>
      <c r="J82" s="10">
        <f>IF(OR(ISBLANK(F82),ISBLANK(H82)),"",H82-F82)</f>
        <v/>
      </c>
      <c r="K82" s="7" t="n"/>
      <c r="L82" s="7" t="n"/>
    </row>
    <row r="83">
      <c r="A83" s="7" t="n"/>
      <c r="B83" s="7" t="n"/>
      <c r="C83" s="7" t="n"/>
      <c r="D83" s="7" t="n"/>
      <c r="E83" s="7" t="n"/>
      <c r="F83" s="7" t="n"/>
      <c r="G83" s="7" t="n"/>
      <c r="H83" s="7" t="n"/>
      <c r="I83" s="7" t="n"/>
      <c r="J83" s="10">
        <f>IF(OR(ISBLANK(F83),ISBLANK(H83)),"",H83-F83)</f>
        <v/>
      </c>
      <c r="K83" s="7" t="n"/>
      <c r="L83" s="7" t="n"/>
    </row>
    <row r="84">
      <c r="A84" s="7" t="n"/>
      <c r="B84" s="7" t="n"/>
      <c r="C84" s="7" t="n"/>
      <c r="D84" s="7" t="n"/>
      <c r="E84" s="7" t="n"/>
      <c r="F84" s="7" t="n"/>
      <c r="G84" s="7" t="n"/>
      <c r="H84" s="7" t="n"/>
      <c r="I84" s="7" t="n"/>
      <c r="J84" s="10">
        <f>IF(OR(ISBLANK(F84),ISBLANK(H84)),"",H84-F84)</f>
        <v/>
      </c>
      <c r="K84" s="7" t="n"/>
      <c r="L84" s="7" t="n"/>
    </row>
    <row r="85">
      <c r="A85" s="7" t="n"/>
      <c r="B85" s="7" t="n"/>
      <c r="C85" s="7" t="n"/>
      <c r="D85" s="7" t="n"/>
      <c r="E85" s="7" t="n"/>
      <c r="F85" s="7" t="n"/>
      <c r="G85" s="7" t="n"/>
      <c r="H85" s="7" t="n"/>
      <c r="I85" s="7" t="n"/>
      <c r="J85" s="10">
        <f>IF(OR(ISBLANK(F85),ISBLANK(H85)),"",H85-F85)</f>
        <v/>
      </c>
      <c r="K85" s="7" t="n"/>
      <c r="L85" s="7" t="n"/>
    </row>
    <row r="86">
      <c r="A86" s="7" t="n"/>
      <c r="B86" s="7" t="n"/>
      <c r="C86" s="7" t="n"/>
      <c r="D86" s="7" t="n"/>
      <c r="E86" s="7" t="n"/>
      <c r="F86" s="7" t="n"/>
      <c r="G86" s="7" t="n"/>
      <c r="H86" s="7" t="n"/>
      <c r="I86" s="7" t="n"/>
      <c r="J86" s="10">
        <f>IF(OR(ISBLANK(F86),ISBLANK(H86)),"",H86-F86)</f>
        <v/>
      </c>
      <c r="K86" s="7" t="n"/>
      <c r="L86" s="7" t="n"/>
    </row>
    <row r="87">
      <c r="A87" s="7" t="n"/>
      <c r="B87" s="7" t="n"/>
      <c r="C87" s="7" t="n"/>
      <c r="D87" s="7" t="n"/>
      <c r="E87" s="7" t="n"/>
      <c r="F87" s="7" t="n"/>
      <c r="G87" s="7" t="n"/>
      <c r="H87" s="7" t="n"/>
      <c r="I87" s="7" t="n"/>
      <c r="J87" s="10">
        <f>IF(OR(ISBLANK(F87),ISBLANK(H87)),"",H87-F87)</f>
        <v/>
      </c>
      <c r="K87" s="7" t="n"/>
      <c r="L87" s="7" t="n"/>
    </row>
    <row r="88">
      <c r="A88" s="7" t="n"/>
      <c r="B88" s="7" t="n"/>
      <c r="C88" s="7" t="n"/>
      <c r="D88" s="7" t="n"/>
      <c r="E88" s="7" t="n"/>
      <c r="F88" s="7" t="n"/>
      <c r="G88" s="7" t="n"/>
      <c r="H88" s="7" t="n"/>
      <c r="I88" s="7" t="n"/>
      <c r="J88" s="10">
        <f>IF(OR(ISBLANK(F88),ISBLANK(H88)),"",H88-F88)</f>
        <v/>
      </c>
      <c r="K88" s="7" t="n"/>
      <c r="L88" s="7" t="n"/>
    </row>
    <row r="89">
      <c r="A89" s="7" t="n"/>
      <c r="B89" s="7" t="n"/>
      <c r="C89" s="7" t="n"/>
      <c r="D89" s="7" t="n"/>
      <c r="E89" s="7" t="n"/>
      <c r="F89" s="7" t="n"/>
      <c r="G89" s="7" t="n"/>
      <c r="H89" s="7" t="n"/>
      <c r="I89" s="7" t="n"/>
      <c r="J89" s="10">
        <f>IF(OR(ISBLANK(F89),ISBLANK(H89)),"",H89-F89)</f>
        <v/>
      </c>
      <c r="K89" s="7" t="n"/>
      <c r="L89" s="7" t="n"/>
    </row>
    <row r="90">
      <c r="A90" s="7" t="n"/>
      <c r="B90" s="7" t="n"/>
      <c r="C90" s="7" t="n"/>
      <c r="D90" s="7" t="n"/>
      <c r="E90" s="7" t="n"/>
      <c r="F90" s="7" t="n"/>
      <c r="G90" s="7" t="n"/>
      <c r="H90" s="7" t="n"/>
      <c r="I90" s="7" t="n"/>
      <c r="J90" s="10">
        <f>IF(OR(ISBLANK(F90),ISBLANK(H90)),"",H90-F90)</f>
        <v/>
      </c>
      <c r="K90" s="7" t="n"/>
      <c r="L90" s="7" t="n"/>
    </row>
    <row r="91">
      <c r="A91" s="7" t="n"/>
      <c r="B91" s="7" t="n"/>
      <c r="C91" s="7" t="n"/>
      <c r="D91" s="7" t="n"/>
      <c r="E91" s="7" t="n"/>
      <c r="F91" s="7" t="n"/>
      <c r="G91" s="7" t="n"/>
      <c r="H91" s="7" t="n"/>
      <c r="I91" s="7" t="n"/>
      <c r="J91" s="10">
        <f>IF(OR(ISBLANK(F91),ISBLANK(H91)),"",H91-F91)</f>
        <v/>
      </c>
      <c r="K91" s="7" t="n"/>
      <c r="L91" s="7" t="n"/>
    </row>
    <row r="92">
      <c r="A92" s="7" t="n"/>
      <c r="B92" s="7" t="n"/>
      <c r="C92" s="7" t="n"/>
      <c r="D92" s="7" t="n"/>
      <c r="E92" s="7" t="n"/>
      <c r="F92" s="7" t="n"/>
      <c r="G92" s="7" t="n"/>
      <c r="H92" s="7" t="n"/>
      <c r="I92" s="7" t="n"/>
      <c r="J92" s="10">
        <f>IF(OR(ISBLANK(F92),ISBLANK(H92)),"",H92-F92)</f>
        <v/>
      </c>
      <c r="K92" s="7" t="n"/>
      <c r="L92" s="7" t="n"/>
    </row>
    <row r="93">
      <c r="A93" s="7" t="n"/>
      <c r="B93" s="7" t="n"/>
      <c r="C93" s="7" t="n"/>
      <c r="D93" s="7" t="n"/>
      <c r="E93" s="7" t="n"/>
      <c r="F93" s="7" t="n"/>
      <c r="G93" s="7" t="n"/>
      <c r="H93" s="7" t="n"/>
      <c r="I93" s="7" t="n"/>
      <c r="J93" s="10">
        <f>IF(OR(ISBLANK(F93),ISBLANK(H93)),"",H93-F93)</f>
        <v/>
      </c>
      <c r="K93" s="7" t="n"/>
      <c r="L93" s="7" t="n"/>
    </row>
    <row r="94">
      <c r="A94" s="7" t="n"/>
      <c r="B94" s="7" t="n"/>
      <c r="C94" s="7" t="n"/>
      <c r="D94" s="7" t="n"/>
      <c r="E94" s="7" t="n"/>
      <c r="F94" s="7" t="n"/>
      <c r="G94" s="7" t="n"/>
      <c r="H94" s="7" t="n"/>
      <c r="I94" s="7" t="n"/>
      <c r="J94" s="10">
        <f>IF(OR(ISBLANK(F94),ISBLANK(H94)),"",H94-F94)</f>
        <v/>
      </c>
      <c r="K94" s="7" t="n"/>
      <c r="L94" s="7" t="n"/>
    </row>
    <row r="95">
      <c r="A95" s="7" t="n"/>
      <c r="B95" s="7" t="n"/>
      <c r="C95" s="7" t="n"/>
      <c r="D95" s="7" t="n"/>
      <c r="E95" s="7" t="n"/>
      <c r="F95" s="7" t="n"/>
      <c r="G95" s="7" t="n"/>
      <c r="H95" s="7" t="n"/>
      <c r="I95" s="7" t="n"/>
      <c r="J95" s="10">
        <f>IF(OR(ISBLANK(F95),ISBLANK(H95)),"",H95-F95)</f>
        <v/>
      </c>
      <c r="K95" s="7" t="n"/>
      <c r="L95" s="7" t="n"/>
    </row>
    <row r="96">
      <c r="A96" s="7" t="n"/>
      <c r="B96" s="7" t="n"/>
      <c r="C96" s="7" t="n"/>
      <c r="D96" s="7" t="n"/>
      <c r="E96" s="7" t="n"/>
      <c r="F96" s="7" t="n"/>
      <c r="G96" s="7" t="n"/>
      <c r="H96" s="7" t="n"/>
      <c r="I96" s="7" t="n"/>
      <c r="J96" s="10">
        <f>IF(OR(ISBLANK(F96),ISBLANK(H96)),"",H96-F96)</f>
        <v/>
      </c>
      <c r="K96" s="7" t="n"/>
      <c r="L96" s="7" t="n"/>
    </row>
    <row r="97">
      <c r="A97" s="7" t="n"/>
      <c r="B97" s="7" t="n"/>
      <c r="C97" s="7" t="n"/>
      <c r="D97" s="7" t="n"/>
      <c r="E97" s="7" t="n"/>
      <c r="F97" s="7" t="n"/>
      <c r="G97" s="7" t="n"/>
      <c r="H97" s="7" t="n"/>
      <c r="I97" s="7" t="n"/>
      <c r="J97" s="10">
        <f>IF(OR(ISBLANK(F97),ISBLANK(H97)),"",H97-F97)</f>
        <v/>
      </c>
      <c r="K97" s="7" t="n"/>
      <c r="L97" s="7" t="n"/>
    </row>
    <row r="98">
      <c r="A98" s="7" t="n"/>
      <c r="B98" s="7" t="n"/>
      <c r="C98" s="7" t="n"/>
      <c r="D98" s="7" t="n"/>
      <c r="E98" s="7" t="n"/>
      <c r="F98" s="7" t="n"/>
      <c r="G98" s="7" t="n"/>
      <c r="H98" s="7" t="n"/>
      <c r="I98" s="7" t="n"/>
      <c r="J98" s="10">
        <f>IF(OR(ISBLANK(F98),ISBLANK(H98)),"",H98-F98)</f>
        <v/>
      </c>
      <c r="K98" s="7" t="n"/>
      <c r="L98" s="7" t="n"/>
    </row>
    <row r="99">
      <c r="A99" s="7" t="n"/>
      <c r="B99" s="7" t="n"/>
      <c r="C99" s="7" t="n"/>
      <c r="D99" s="7" t="n"/>
      <c r="E99" s="7" t="n"/>
      <c r="F99" s="7" t="n"/>
      <c r="G99" s="7" t="n"/>
      <c r="H99" s="7" t="n"/>
      <c r="I99" s="7" t="n"/>
      <c r="J99" s="10">
        <f>IF(OR(ISBLANK(F99),ISBLANK(H99)),"",H99-F99)</f>
        <v/>
      </c>
      <c r="K99" s="7" t="n"/>
      <c r="L99" s="7" t="n"/>
    </row>
    <row r="100">
      <c r="A100" s="7" t="n"/>
      <c r="B100" s="7" t="n"/>
      <c r="C100" s="7" t="n"/>
      <c r="D100" s="7" t="n"/>
      <c r="E100" s="7" t="n"/>
      <c r="F100" s="7" t="n"/>
      <c r="G100" s="7" t="n"/>
      <c r="H100" s="7" t="n"/>
      <c r="I100" s="7" t="n"/>
      <c r="J100" s="10">
        <f>IF(OR(ISBLANK(F100),ISBLANK(H100)),"",H100-F100)</f>
        <v/>
      </c>
      <c r="K100" s="7" t="n"/>
      <c r="L100" s="7" t="n"/>
    </row>
    <row r="101">
      <c r="A101" s="7" t="n"/>
      <c r="B101" s="7" t="n"/>
      <c r="C101" s="7" t="n"/>
      <c r="D101" s="7" t="n"/>
      <c r="E101" s="7" t="n"/>
      <c r="F101" s="7" t="n"/>
      <c r="G101" s="7" t="n"/>
      <c r="H101" s="7" t="n"/>
      <c r="I101" s="7" t="n"/>
      <c r="J101" s="10">
        <f>IF(OR(ISBLANK(F101),ISBLANK(H101)),"",H101-F101)</f>
        <v/>
      </c>
      <c r="K101" s="7" t="n"/>
      <c r="L101" s="7" t="n"/>
    </row>
    <row r="102">
      <c r="A102" s="7" t="n"/>
      <c r="B102" s="7" t="n"/>
      <c r="C102" s="7" t="n"/>
      <c r="D102" s="7" t="n"/>
      <c r="E102" s="7" t="n"/>
      <c r="F102" s="7" t="n"/>
      <c r="G102" s="7" t="n"/>
      <c r="H102" s="7" t="n"/>
      <c r="I102" s="7" t="n"/>
      <c r="J102" s="10">
        <f>IF(OR(ISBLANK(F102),ISBLANK(H102)),"",H102-F102)</f>
        <v/>
      </c>
      <c r="K102" s="7" t="n"/>
      <c r="L102" s="7" t="n"/>
    </row>
    <row r="103">
      <c r="A103" s="7" t="n"/>
      <c r="B103" s="7" t="n"/>
      <c r="C103" s="7" t="n"/>
      <c r="D103" s="7" t="n"/>
      <c r="E103" s="7" t="n"/>
      <c r="F103" s="7" t="n"/>
      <c r="G103" s="7" t="n"/>
      <c r="H103" s="7" t="n"/>
      <c r="I103" s="7" t="n"/>
      <c r="J103" s="10">
        <f>IF(OR(ISBLANK(F103),ISBLANK(H103)),"",H103-F103)</f>
        <v/>
      </c>
      <c r="K103" s="7" t="n"/>
      <c r="L103" s="7" t="n"/>
    </row>
  </sheetData>
  <mergeCells count="1">
    <mergeCell ref="A1:L1"/>
  </mergeCells>
  <dataValidations count="2">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"Expired - Not Renewed,Compliance Achieved,Revoked - Risk Changed,Revoked - Controls Failed,System Decommissioned"</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"Completed Successfully,Revoked,Replaced,System Retired"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s>
  <sheetData>
    <row r="1">
      <c r="A1" s="12" t="inlineStr">
        <is>
          <t>Exception Register Summary Dashboard</t>
        </is>
      </c>
    </row>
    <row r="2">
      <c r="A2" s="13" t="inlineStr">
        <is>
          <t>Generated: 31.01.2026</t>
        </is>
      </c>
    </row>
    <row r="4">
      <c r="A4" s="5" t="inlineStr">
        <is>
          <t>Exception Summary</t>
        </is>
      </c>
    </row>
    <row r="6">
      <c r="A6" s="3" t="inlineStr">
        <is>
          <t>Pending Approval</t>
        </is>
      </c>
      <c r="B6" s="14">
        <f>COUNTA(Exception_Requests!A4:A53)</f>
        <v/>
      </c>
    </row>
    <row r="7">
      <c r="A7" s="3" t="inlineStr">
        <is>
          <t>Active Exceptions</t>
        </is>
      </c>
      <c r="B7" s="14">
        <f>COUNTA(Active_Exceptions!A4:A53)</f>
        <v/>
      </c>
    </row>
    <row r="8">
      <c r="A8" s="3" t="inlineStr">
        <is>
          <t>Expired/Revoked (Total)</t>
        </is>
      </c>
      <c r="B8" s="14">
        <f>COUNTA(Expired_Exceptions!A4:A103)</f>
        <v/>
      </c>
    </row>
    <row r="9">
      <c r="A9" s="3" t="inlineStr">
        <is>
          <t>Expiring Within 30 Days</t>
        </is>
      </c>
      <c r="B9" s="14">
        <f>COUNTIF(Active_Exceptions!H4:H53,"&lt;30")</f>
        <v/>
      </c>
    </row>
    <row r="10">
      <c r="A10" s="3" t="inlineStr">
        <is>
          <t>Requiring Reassessment (90-day rule)</t>
        </is>
      </c>
      <c r="B10" s="14">
        <f>COUNTIF(Active_Exceptions!L4:L53,"Yes*")</f>
        <v/>
      </c>
    </row>
    <row r="13">
      <c r="A13" s="5" t="inlineStr">
        <is>
          <t>Alerts &amp; Action Items</t>
        </is>
      </c>
    </row>
    <row r="14">
      <c r="A14" t="inlineStr">
        <is>
          <t>• Exceptions expiring within 30 days require renewal decision</t>
        </is>
      </c>
    </row>
    <row r="15">
      <c r="A15" t="inlineStr">
        <is>
          <t>• Quarterly reviews overdue if 'Next Review Due' date has passed</t>
        </is>
      </c>
    </row>
    <row r="16">
      <c r="A16" t="inlineStr">
        <is>
          <t>• Exceptions marked for reassessment must be reviewed in next policy cycle</t>
        </is>
      </c>
    </row>
    <row r="17">
      <c r="A17" t="inlineStr">
        <is>
          <t>• All pending approvals should be processed within 30 days of submission</t>
        </is>
      </c>
    </row>
  </sheetData>
  <mergeCells count="4">
    <mergeCell ref="A13:F13"/>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2026-01-31T02:16:35Z</dcterms:created>
  <dcterms:modified xmlns:dcterms="http://purl.org/dc/terms/" xmlns:xsi="http://www.w3.org/2001/XMLSchema-instance" xsi:type="dcterms:W3CDTF">2026-01-31T02:16:35Z</dcterms:modified>
</cp:coreProperties>
</file>