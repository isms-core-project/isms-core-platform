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ligibility_Criteria" sheetId="2" state="visible" r:id="rId2"/>
    <sheet xmlns:r="http://schemas.openxmlformats.org/officeDocument/2006/relationships" name="Authorization_Register" sheetId="3" state="visible" r:id="rId3"/>
    <sheet xmlns:r="http://schemas.openxmlformats.org/officeDocument/2006/relationships" name="Risk_Assessment" sheetId="4" state="visible" r:id="rId4"/>
    <sheet xmlns:r="http://schemas.openxmlformats.org/officeDocument/2006/relationships" name="Physical_Security" sheetId="5" state="visible" r:id="rId5"/>
    <sheet xmlns:r="http://schemas.openxmlformats.org/officeDocument/2006/relationships" name="Acknowledgments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4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40" customHeight="1">
      <c r="A1" s="1" t="inlineStr">
        <is>
          <t>ISMS-IMP-A.6.7-8.S1 - Remote Work Authorization Assessment
ISO/IEC 27001:2022 - Controls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ISMS-IMP-A.6.7-8.S1</t>
        </is>
      </c>
    </row>
    <row r="5">
      <c r="A5" s="3" t="inlineStr">
        <is>
          <t>Assessment Area</t>
        </is>
      </c>
      <c r="B5" t="inlineStr">
        <is>
          <t>Remote Work Authorization Framework</t>
        </is>
      </c>
    </row>
    <row r="6">
      <c r="A6" s="3" t="inlineStr">
        <is>
          <t>Related Policy</t>
        </is>
      </c>
      <c r="B6" t="inlineStr">
        <is>
          <t>ISMS-POL-A.6.7-8, Section 2.1 (Remote Work Authorization)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Organization</t>
        </is>
      </c>
      <c r="B10" s="4" t="inlineStr"/>
    </row>
    <row r="11">
      <c r="A11" s="3" t="inlineStr">
        <is>
          <t>Review Cycle</t>
        </is>
      </c>
      <c r="B11" t="inlineStr">
        <is>
          <t>Annual + upon significant changes to remote work arrangements</t>
        </is>
      </c>
    </row>
    <row r="13">
      <c r="A13" s="2" t="inlineStr">
        <is>
          <t>HOW TO USE THIS WORKBOOK</t>
        </is>
      </c>
    </row>
    <row r="14">
      <c r="A14" t="inlineStr">
        <is>
          <t>1. Review Eligibility_Criteria to define which roles are eligible for remote work.</t>
        </is>
      </c>
    </row>
    <row r="15">
      <c r="A15" t="inlineStr">
        <is>
          <t>2. Complete Authorization_Register for all current and pending remote work arrangements.</t>
        </is>
      </c>
    </row>
    <row r="16">
      <c r="A16" t="inlineStr">
        <is>
          <t>3. Use Risk_Assessment to evaluate security risks for each remote work arrangement.</t>
        </is>
      </c>
    </row>
    <row r="17">
      <c r="A17" t="inlineStr">
        <is>
          <t>4. Ensure Physical_Security self-assessments are completed by remote workers.</t>
        </is>
      </c>
    </row>
    <row r="18">
      <c r="A18" t="inlineStr">
        <is>
          <t>5. Track policy Acknowledgments for all remote workers.</t>
        </is>
      </c>
    </row>
    <row r="19">
      <c r="A19" t="inlineStr">
        <is>
          <t>6. Document any gaps identified in Gap_Analysis.</t>
        </is>
      </c>
    </row>
    <row r="20">
      <c r="A20" t="inlineStr">
        <is>
          <t>7. Maintain Evidence_Register for audit traceability.</t>
        </is>
      </c>
    </row>
    <row r="21">
      <c r="A21" t="inlineStr">
        <is>
          <t>8. Review Dashboard for summary metrics.</t>
        </is>
      </c>
    </row>
    <row r="22">
      <c r="A22" t="inlineStr">
        <is>
          <t>9. Obtain approvals in Approval_Sign_Off sheet.</t>
        </is>
      </c>
    </row>
    <row r="24">
      <c r="A24" s="2" t="inlineStr">
        <is>
          <t>AUTHORIZATION WORKFLOW</t>
        </is>
      </c>
    </row>
    <row r="25">
      <c r="A25" t="inlineStr">
        <is>
          <t>Step 1: Employee requests remote work arrangement</t>
        </is>
      </c>
    </row>
    <row r="26">
      <c r="A26" t="inlineStr">
        <is>
          <t>Step 2: Line Manager evaluates eligibility and role suitability</t>
        </is>
      </c>
    </row>
    <row r="27">
      <c r="A27" t="inlineStr">
        <is>
          <t>Step 3: IT Security reviews technical requirements and performs risk assessment</t>
        </is>
      </c>
    </row>
    <row r="28">
      <c r="A28" t="inlineStr">
        <is>
          <t>Step 4: Employee completes physical security self-assessment</t>
        </is>
      </c>
    </row>
    <row r="29">
      <c r="A29" t="inlineStr">
        <is>
          <t>Step 5: Employee acknowledges remote work security requirements</t>
        </is>
      </c>
    </row>
    <row r="30">
      <c r="A30" t="inlineStr">
        <is>
          <t>Step 6: Authorization granted or conditionally approved with controls</t>
        </is>
      </c>
    </row>
    <row r="31">
      <c r="A31" t="inlineStr">
        <is>
          <t>Step 7: Annual review of all active authorizations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0" customHeight="1">
      <c r="A1" s="1" t="inlineStr">
        <is>
          <t>Remote Work Eligibility Criteria Assessment</t>
        </is>
      </c>
    </row>
    <row r="3">
      <c r="A3" s="5" t="inlineStr">
        <is>
          <t>Criterion</t>
        </is>
      </c>
      <c r="B3" s="5" t="inlineStr">
        <is>
          <t>Description</t>
        </is>
      </c>
      <c r="C3" s="5" t="inlineStr">
        <is>
          <t>Importance</t>
        </is>
      </c>
      <c r="D3" s="5" t="inlineStr">
        <is>
          <t>Documented</t>
        </is>
      </c>
      <c r="E3" s="5" t="inlineStr">
        <is>
          <t>Evidence</t>
        </is>
      </c>
      <c r="F3" s="5" t="inlineStr">
        <is>
          <t>Notes</t>
        </is>
      </c>
    </row>
    <row r="4">
      <c r="A4" s="6" t="inlineStr">
        <is>
          <t>Role Suitability</t>
        </is>
      </c>
      <c r="B4" s="6" t="inlineStr">
        <is>
          <t>Role can be performed remotely without security compromise</t>
        </is>
      </c>
      <c r="C4" s="6" t="inlineStr">
        <is>
          <t>High</t>
        </is>
      </c>
      <c r="D4" s="4" t="inlineStr"/>
      <c r="E4" s="4" t="inlineStr"/>
      <c r="F4" s="4" t="inlineStr"/>
    </row>
    <row r="5">
      <c r="A5" s="6" t="inlineStr">
        <is>
          <t>Data Classification</t>
        </is>
      </c>
      <c r="B5" s="6" t="inlineStr">
        <is>
          <t>Data accessed remotely is classified and handling requirements defined</t>
        </is>
      </c>
      <c r="C5" s="6" t="inlineStr">
        <is>
          <t>High</t>
        </is>
      </c>
      <c r="D5" s="4" t="inlineStr"/>
      <c r="E5" s="4" t="inlineStr"/>
      <c r="F5" s="4" t="inlineStr"/>
    </row>
    <row r="6">
      <c r="A6" s="6" t="inlineStr">
        <is>
          <t>Technical Capability</t>
        </is>
      </c>
      <c r="B6" s="6" t="inlineStr">
        <is>
          <t>Personnel can establish secure remote connections</t>
        </is>
      </c>
      <c r="C6" s="6" t="inlineStr">
        <is>
          <t>High</t>
        </is>
      </c>
      <c r="D6" s="4" t="inlineStr"/>
      <c r="E6" s="4" t="inlineStr"/>
      <c r="F6" s="4" t="inlineStr"/>
    </row>
    <row r="7">
      <c r="A7" s="6" t="inlineStr">
        <is>
          <t>Physical Environment</t>
        </is>
      </c>
      <c r="B7" s="6" t="inlineStr">
        <is>
          <t>Remote workspace meets privacy and security requirements</t>
        </is>
      </c>
      <c r="C7" s="6" t="inlineStr">
        <is>
          <t>Medium</t>
        </is>
      </c>
      <c r="D7" s="4" t="inlineStr"/>
      <c r="E7" s="4" t="inlineStr"/>
      <c r="F7" s="4" t="inlineStr"/>
    </row>
    <row r="8">
      <c r="A8" s="6" t="inlineStr">
        <is>
          <t>Regulatory Restrictions</t>
        </is>
      </c>
      <c r="B8" s="6" t="inlineStr">
        <is>
          <t>No regulatory or contractual restrictions on remote work</t>
        </is>
      </c>
      <c r="C8" s="6" t="inlineStr">
        <is>
          <t>High</t>
        </is>
      </c>
      <c r="D8" s="4" t="inlineStr"/>
      <c r="E8" s="4" t="inlineStr"/>
      <c r="F8" s="4" t="inlineStr"/>
    </row>
    <row r="9">
      <c r="A9" s="6" t="inlineStr">
        <is>
          <t>Business Continuity</t>
        </is>
      </c>
      <c r="B9" s="6" t="inlineStr">
        <is>
          <t>Remote work supports business continuity requirements</t>
        </is>
      </c>
      <c r="C9" s="6" t="inlineStr">
        <is>
          <t>Medium</t>
        </is>
      </c>
      <c r="D9" s="4" t="inlineStr"/>
      <c r="E9" s="4" t="inlineStr"/>
      <c r="F9" s="4" t="inlineStr"/>
    </row>
  </sheetData>
  <mergeCells count="1">
    <mergeCell ref="A1:F1"/>
  </mergeCells>
  <dataValidations count="1">
    <dataValidation sqref="D4:D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Remote Work Authorization Register</t>
        </is>
      </c>
    </row>
    <row r="3">
      <c r="A3" s="5" t="inlineStr">
        <is>
          <t>Auth ID</t>
        </is>
      </c>
      <c r="B3" s="5" t="inlineStr">
        <is>
          <t>Employee Name</t>
        </is>
      </c>
      <c r="C3" s="5" t="inlineStr">
        <is>
          <t>Department</t>
        </is>
      </c>
      <c r="D3" s="5" t="inlineStr">
        <is>
          <t>Role</t>
        </is>
      </c>
      <c r="E3" s="5" t="inlineStr">
        <is>
          <t>Remote Type</t>
        </is>
      </c>
      <c r="F3" s="5" t="inlineStr">
        <is>
          <t>Request Date</t>
        </is>
      </c>
      <c r="G3" s="5" t="inlineStr">
        <is>
          <t>Risk Assessment</t>
        </is>
      </c>
      <c r="H3" s="5" t="inlineStr">
        <is>
          <t>Physical Assessment</t>
        </is>
      </c>
      <c r="I3" s="5" t="inlineStr">
        <is>
          <t>Acknowledgment</t>
        </is>
      </c>
      <c r="J3" s="5" t="inlineStr">
        <is>
          <t>Status</t>
        </is>
      </c>
      <c r="K3" s="5" t="inlineStr">
        <is>
          <t>Approval Date</t>
        </is>
      </c>
      <c r="L3" s="5" t="inlineStr">
        <is>
          <t>Review Date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</sheetData>
  <mergeCells count="1">
    <mergeCell ref="A1:L1"/>
  </mergeCells>
  <dataValidations count="3">
    <dataValidation sqref="E4:E23" showDropDown="0" showInputMessage="0" showErrorMessage="0" allowBlank="1" type="list">
      <formula1>"Full-Time,Part-Time,Occasional,Travel Only"</formula1>
    </dataValidation>
    <dataValidation sqref="J4:J23" showDropDown="0" showInputMessage="0" showErrorMessage="0" allowBlank="1" type="list">
      <formula1>"Pending,Approved,Conditionally Approved,Denied,Revoked,Expired"</formula1>
    </dataValidation>
    <dataValidation sqref="G4:I23" showDropDown="0" showInputMessage="0" showErrorMessage="0" allowBlank="1" type="list">
      <formula1>"Complete,Pending,N/A"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0" customHeight="1">
      <c r="A1" s="1" t="inlineStr">
        <is>
          <t>Remote Work Risk Assessment</t>
        </is>
      </c>
    </row>
    <row r="3">
      <c r="A3" s="7" t="inlineStr">
        <is>
          <t>Risk Scoring Criteria</t>
        </is>
      </c>
    </row>
    <row r="4">
      <c r="A4" s="8" t="inlineStr">
        <is>
          <t>Criterion</t>
        </is>
      </c>
      <c r="B4" s="8" t="inlineStr">
        <is>
          <t>Scoring Guide</t>
        </is>
      </c>
      <c r="C4" s="8" t="inlineStr">
        <is>
          <t>Max Score</t>
        </is>
      </c>
    </row>
    <row r="5">
      <c r="A5" s="6" t="inlineStr">
        <is>
          <t>Data Classification Level</t>
        </is>
      </c>
      <c r="B5" s="6" t="inlineStr">
        <is>
          <t>Public=1, Internal=2, Confidential=3, Restricted=4</t>
        </is>
      </c>
      <c r="C5" s="6" t="n">
        <v>4</v>
      </c>
    </row>
    <row r="6">
      <c r="A6" s="6" t="inlineStr">
        <is>
          <t>Physical Security Capability</t>
        </is>
      </c>
      <c r="B6" s="6" t="inlineStr">
        <is>
          <t>Excellent=1, Good=2, Adequate=3, Poor=4</t>
        </is>
      </c>
      <c r="C6" s="6" t="n">
        <v>4</v>
      </c>
    </row>
    <row r="7">
      <c r="A7" s="6" t="inlineStr">
        <is>
          <t>Network Security Posture</t>
        </is>
      </c>
      <c r="B7" s="6" t="inlineStr">
        <is>
          <t>Corporate VPN=1, Secure Home=2, Variable=3, Risky=4</t>
        </is>
      </c>
      <c r="C7" s="6" t="n">
        <v>4</v>
      </c>
    </row>
    <row r="8">
      <c r="A8" s="6" t="inlineStr">
        <is>
          <t>Device Security Baseline</t>
        </is>
      </c>
      <c r="B8" s="6" t="inlineStr">
        <is>
          <t>Managed Corporate=1, BYOD Compliant=2, Partial=3, Non-compliant=4</t>
        </is>
      </c>
      <c r="C8" s="6" t="n">
        <v>4</v>
      </c>
    </row>
    <row r="9">
      <c r="A9" s="6" t="inlineStr">
        <is>
          <t>Regulatory Restrictions</t>
        </is>
      </c>
      <c r="B9" s="6" t="inlineStr">
        <is>
          <t>None=1, General=2, Industry-Specific=3, Multiple=4</t>
        </is>
      </c>
      <c r="C9" s="6" t="n">
        <v>4</v>
      </c>
    </row>
    <row r="12">
      <c r="A12" s="7" t="inlineStr">
        <is>
          <t>Risk Assessment Register</t>
        </is>
      </c>
    </row>
    <row r="13">
      <c r="A13" s="8" t="inlineStr">
        <is>
          <t>Auth ID</t>
        </is>
      </c>
      <c r="B13" s="8" t="inlineStr">
        <is>
          <t>Employee</t>
        </is>
      </c>
      <c r="C13" s="8" t="inlineStr">
        <is>
          <t>Data Class</t>
        </is>
      </c>
      <c r="D13" s="8" t="inlineStr">
        <is>
          <t>Physical</t>
        </is>
      </c>
      <c r="E13" s="8" t="inlineStr">
        <is>
          <t>Network</t>
        </is>
      </c>
      <c r="F13" s="8" t="inlineStr">
        <is>
          <t>Device</t>
        </is>
      </c>
      <c r="G13" s="8" t="inlineStr">
        <is>
          <t>Regulatory</t>
        </is>
      </c>
      <c r="H13" s="8" t="inlineStr">
        <is>
          <t>Total</t>
        </is>
      </c>
      <c r="I13" s="8" t="inlineStr">
        <is>
          <t>Risk Level</t>
        </is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</sheetData>
  <mergeCells count="1">
    <mergeCell ref="A1:H1"/>
  </mergeCells>
  <dataValidations count="1">
    <dataValidation sqref="I14:I28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35" customWidth="1" min="4" max="4"/>
    <col width="18" customWidth="1" min="5" max="5"/>
    <col width="15" customWidth="1" min="6" max="6"/>
    <col width="30" customWidth="1" min="7" max="7"/>
  </cols>
  <sheetData>
    <row r="1" ht="30" customHeight="1">
      <c r="A1" s="1" t="inlineStr">
        <is>
          <t>Physical Security Self-Assessment Template</t>
        </is>
      </c>
    </row>
    <row r="3">
      <c r="A3" s="7" t="inlineStr">
        <is>
          <t>Physical Security Requirements</t>
        </is>
      </c>
    </row>
    <row r="4">
      <c r="A4" s="8" t="inlineStr">
        <is>
          <t>Requirement</t>
        </is>
      </c>
      <c r="B4" s="8" t="inlineStr">
        <is>
          <t>Description</t>
        </is>
      </c>
      <c r="C4" s="8" t="inlineStr">
        <is>
          <t>Requirement Level</t>
        </is>
      </c>
      <c r="D4" s="8" t="inlineStr">
        <is>
          <t>Verification Method</t>
        </is>
      </c>
    </row>
    <row r="5">
      <c r="A5" s="6" t="inlineStr">
        <is>
          <t>Screen Positioning</t>
        </is>
      </c>
      <c r="B5" s="6" t="inlineStr">
        <is>
          <t>Screen positioned away from windows and common areas</t>
        </is>
      </c>
      <c r="C5" s="6" t="inlineStr">
        <is>
          <t>Mandatory</t>
        </is>
      </c>
      <c r="D5" s="6" t="inlineStr">
        <is>
          <t>Self-assessment + Annual attestation</t>
        </is>
      </c>
    </row>
    <row r="6">
      <c r="A6" s="6" t="inlineStr">
        <is>
          <t>Privacy Screen</t>
        </is>
      </c>
      <c r="B6" s="6" t="inlineStr">
        <is>
          <t>Privacy screen filter available for shared/public spaces</t>
        </is>
      </c>
      <c r="C6" s="6" t="inlineStr">
        <is>
          <t>Conditional</t>
        </is>
      </c>
      <c r="D6" s="6" t="inlineStr">
        <is>
          <t>Self-assessment + Annual attestation</t>
        </is>
      </c>
    </row>
    <row r="7">
      <c r="A7" s="6" t="inlineStr">
        <is>
          <t>Equipment Security</t>
        </is>
      </c>
      <c r="B7" s="6" t="inlineStr">
        <is>
          <t>Workspace has secure storage for devices when unattended</t>
        </is>
      </c>
      <c r="C7" s="6" t="inlineStr">
        <is>
          <t>Mandatory</t>
        </is>
      </c>
      <c r="D7" s="6" t="inlineStr">
        <is>
          <t>Self-assessment + Annual attestation</t>
        </is>
      </c>
    </row>
    <row r="8">
      <c r="A8" s="6" t="inlineStr">
        <is>
          <t>Access Control</t>
        </is>
      </c>
      <c r="B8" s="6" t="inlineStr">
        <is>
          <t>Workspace prevents unauthorized access by family/visitors</t>
        </is>
      </c>
      <c r="C8" s="6" t="inlineStr">
        <is>
          <t>Mandatory</t>
        </is>
      </c>
      <c r="D8" s="6" t="inlineStr">
        <is>
          <t>Self-assessment + Annual attestation</t>
        </is>
      </c>
    </row>
    <row r="9">
      <c r="A9" s="6" t="inlineStr">
        <is>
          <t>Document Storage</t>
        </is>
      </c>
      <c r="B9" s="6" t="inlineStr">
        <is>
          <t>Secure storage available for sensitive documents</t>
        </is>
      </c>
      <c r="C9" s="6" t="inlineStr">
        <is>
          <t>Mandatory</t>
        </is>
      </c>
      <c r="D9" s="6" t="inlineStr">
        <is>
          <t>Self-assessment + Annual attestation</t>
        </is>
      </c>
    </row>
    <row r="10">
      <c r="A10" s="6" t="inlineStr">
        <is>
          <t>Document Disposal</t>
        </is>
      </c>
      <c r="B10" s="6" t="inlineStr">
        <is>
          <t>Access to shredder or secure disposal method</t>
        </is>
      </c>
      <c r="C10" s="6" t="inlineStr">
        <is>
          <t>Mandatory</t>
        </is>
      </c>
      <c r="D10" s="6" t="inlineStr">
        <is>
          <t>Self-assessment + Annual attestation</t>
        </is>
      </c>
    </row>
    <row r="11">
      <c r="A11" s="6" t="inlineStr">
        <is>
          <t>Clear Desk</t>
        </is>
      </c>
      <c r="B11" s="6" t="inlineStr">
        <is>
          <t>Clear desk practice maintained at end of work sessions</t>
        </is>
      </c>
      <c r="C11" s="6" t="inlineStr">
        <is>
          <t>Mandatory</t>
        </is>
      </c>
      <c r="D11" s="6" t="inlineStr">
        <is>
          <t>Self-assessment + Annual attestation</t>
        </is>
      </c>
    </row>
    <row r="14">
      <c r="A14" s="7" t="inlineStr">
        <is>
          <t>Individual Self-Assessments</t>
        </is>
      </c>
    </row>
    <row r="15">
      <c r="A15" s="8" t="inlineStr">
        <is>
          <t>Employee</t>
        </is>
      </c>
      <c r="B15" s="8" t="inlineStr">
        <is>
          <t>Assessment Date</t>
        </is>
      </c>
      <c r="C15" s="8" t="inlineStr">
        <is>
          <t>All Mandatory Met</t>
        </is>
      </c>
      <c r="D15" s="8" t="inlineStr">
        <is>
          <t>Conditional Items</t>
        </is>
      </c>
      <c r="E15" s="8" t="inlineStr">
        <is>
          <t>Overall Status</t>
        </is>
      </c>
      <c r="F15" s="8" t="inlineStr">
        <is>
          <t>Next Review</t>
        </is>
      </c>
      <c r="G15" s="8" t="inlineStr">
        <is>
          <t>Notes</t>
        </is>
      </c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</row>
  </sheetData>
  <mergeCells count="1">
    <mergeCell ref="A1:G1"/>
  </mergeCells>
  <dataValidations count="2">
    <dataValidation sqref="C16:C30" showDropDown="0" showInputMessage="0" showErrorMessage="0" allowBlank="1" type="list">
      <formula1>"Yes,No"</formula1>
    </dataValidation>
    <dataValidation sqref="E16:E30" showDropDown="0" showInputMessage="0" showErrorMessage="0" allowBlank="1" type="list">
      <formula1>"Compliant,Non-Compliant,Pending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Remote Work Policy Acknowledgment Tracking</t>
        </is>
      </c>
    </row>
    <row r="3">
      <c r="A3" s="8" t="inlineStr">
        <is>
          <t>Employee Name</t>
        </is>
      </c>
      <c r="B3" s="8" t="inlineStr">
        <is>
          <t>Department</t>
        </is>
      </c>
      <c r="C3" s="8" t="inlineStr">
        <is>
          <t>Policy Version</t>
        </is>
      </c>
      <c r="D3" s="8" t="inlineStr">
        <is>
          <t>Acknowledgment Date</t>
        </is>
      </c>
      <c r="E3" s="8" t="inlineStr">
        <is>
          <t>Method</t>
        </is>
      </c>
      <c r="F3" s="8" t="inlineStr">
        <is>
          <t>Expiry Date</t>
        </is>
      </c>
      <c r="G3" s="8" t="inlineStr">
        <is>
          <t>Status</t>
        </is>
      </c>
      <c r="H3" s="8" t="inlineStr">
        <is>
          <t>Evidence Reference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</sheetData>
  <mergeCells count="1">
    <mergeCell ref="A1:H1"/>
  </mergeCells>
  <dataValidations count="2">
    <dataValidation sqref="E4:E23" showDropDown="0" showInputMessage="0" showErrorMessage="0" allowBlank="1" type="list">
      <formula1>"Electronic Signature,Physical Signature,LMS Completion,Email Confirmation"</formula1>
    </dataValidation>
    <dataValidation sqref="G4:G23" showDropDown="0" showInputMessage="0" showErrorMessage="0" allowBlank="1" type="list">
      <formula1>"Current,Expired,Pending"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2" customWidth="1" min="5" max="5"/>
    <col width="35" customWidth="1" min="6" max="6"/>
    <col width="20" customWidth="1" min="7" max="7"/>
    <col width="14" customWidth="1" min="8" max="8"/>
    <col width="14" customWidth="1" min="9" max="9"/>
  </cols>
  <sheetData>
    <row r="1" ht="30" customHeight="1">
      <c r="A1" s="1" t="inlineStr">
        <is>
          <t>Remote Work Authorization Gap Analysis</t>
        </is>
      </c>
    </row>
    <row r="3">
      <c r="A3" s="8" t="inlineStr">
        <is>
          <t>Gap ID</t>
        </is>
      </c>
      <c r="B3" s="8" t="inlineStr">
        <is>
          <t>Source Area</t>
        </is>
      </c>
      <c r="C3" s="8" t="inlineStr">
        <is>
          <t>Gap Description</t>
        </is>
      </c>
      <c r="D3" s="8" t="inlineStr">
        <is>
          <t>Affected Scope</t>
        </is>
      </c>
      <c r="E3" s="8" t="inlineStr">
        <is>
          <t>Risk Level</t>
        </is>
      </c>
      <c r="F3" s="8" t="inlineStr">
        <is>
          <t>Remediation Action</t>
        </is>
      </c>
      <c r="G3" s="8" t="inlineStr">
        <is>
          <t>Owner</t>
        </is>
      </c>
      <c r="H3" s="8" t="inlineStr">
        <is>
          <t>Target Date</t>
        </is>
      </c>
      <c r="I3" s="8" t="inlineStr">
        <is>
          <t>Status</t>
        </is>
      </c>
    </row>
    <row r="4">
      <c r="A4" s="6" t="inlineStr">
        <is>
          <t>GAP-RWA-001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6" t="inlineStr">
        <is>
          <t>GAP-RWA-002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6" t="inlineStr">
        <is>
          <t>GAP-RWA-003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6" t="inlineStr">
        <is>
          <t>GAP-RWA-004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6" t="inlineStr">
        <is>
          <t>GAP-RWA-005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6" t="inlineStr">
        <is>
          <t>GAP-RWA-006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6" t="inlineStr">
        <is>
          <t>GAP-RWA-007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6" t="inlineStr">
        <is>
          <t>GAP-RWA-008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6" t="inlineStr">
        <is>
          <t>GAP-RWA-009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6" t="inlineStr">
        <is>
          <t>GAP-RWA-010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6" t="inlineStr">
        <is>
          <t>GAP-RWA-011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6" t="inlineStr">
        <is>
          <t>GAP-RWA-012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6" t="inlineStr">
        <is>
          <t>GAP-RWA-013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6" t="inlineStr">
        <is>
          <t>GAP-RWA-014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6" t="inlineStr">
        <is>
          <t>GAP-RWA-015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"Eligibility,Authorization,Risk Assessment,Physical Security,Acknowledgment"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Remote Work Authorization Evidence Register</t>
        </is>
      </c>
    </row>
    <row r="3">
      <c r="A3" s="8" t="inlineStr">
        <is>
          <t>Evidence ID</t>
        </is>
      </c>
      <c r="B3" s="8" t="inlineStr">
        <is>
          <t>Evidence Type</t>
        </is>
      </c>
      <c r="C3" s="8" t="inlineStr">
        <is>
          <t>Description</t>
        </is>
      </c>
      <c r="D3" s="8" t="inlineStr">
        <is>
          <t>Source</t>
        </is>
      </c>
      <c r="E3" s="8" t="inlineStr">
        <is>
          <t>Date Collected</t>
        </is>
      </c>
      <c r="F3" s="8" t="inlineStr">
        <is>
          <t>Retention Period</t>
        </is>
      </c>
      <c r="G3" s="8" t="inlineStr">
        <is>
          <t>Location</t>
        </is>
      </c>
      <c r="H3" s="8" t="inlineStr">
        <is>
          <t>Status</t>
        </is>
      </c>
    </row>
    <row r="4">
      <c r="A4" s="6" t="inlineStr">
        <is>
          <t>EVD-RWA-001</t>
        </is>
      </c>
      <c r="B4" s="6" t="inlineStr">
        <is>
          <t>Authorization Forms</t>
        </is>
      </c>
      <c r="C4" s="6" t="inlineStr">
        <is>
          <t>Completed remote work authorization requests</t>
        </is>
      </c>
      <c r="D4" s="6" t="inlineStr">
        <is>
          <t>HR/IT</t>
        </is>
      </c>
      <c r="E4" s="4" t="inlineStr"/>
      <c r="F4" s="4" t="inlineStr"/>
      <c r="G4" s="4" t="inlineStr"/>
      <c r="H4" s="4" t="inlineStr"/>
    </row>
    <row r="5">
      <c r="A5" s="6" t="inlineStr">
        <is>
          <t>EVD-RWA-002</t>
        </is>
      </c>
      <c r="B5" s="6" t="inlineStr">
        <is>
          <t>Risk Assessments</t>
        </is>
      </c>
      <c r="C5" s="6" t="inlineStr">
        <is>
          <t>Documented risk assessments for remote roles</t>
        </is>
      </c>
      <c r="D5" s="6" t="inlineStr">
        <is>
          <t>IT Security</t>
        </is>
      </c>
      <c r="E5" s="4" t="inlineStr"/>
      <c r="F5" s="4" t="inlineStr"/>
      <c r="G5" s="4" t="inlineStr"/>
      <c r="H5" s="4" t="inlineStr"/>
    </row>
    <row r="6">
      <c r="A6" s="6" t="inlineStr">
        <is>
          <t>EVD-RWA-003</t>
        </is>
      </c>
      <c r="B6" s="6" t="inlineStr">
        <is>
          <t>Physical Assessments</t>
        </is>
      </c>
      <c r="C6" s="6" t="inlineStr">
        <is>
          <t>Physical security self-assessment forms</t>
        </is>
      </c>
      <c r="D6" s="6" t="inlineStr">
        <is>
          <t>Remote Workers</t>
        </is>
      </c>
      <c r="E6" s="4" t="inlineStr"/>
      <c r="F6" s="4" t="inlineStr"/>
      <c r="G6" s="4" t="inlineStr"/>
      <c r="H6" s="4" t="inlineStr"/>
    </row>
    <row r="7">
      <c r="A7" s="6" t="inlineStr">
        <is>
          <t>EVD-RWA-004</t>
        </is>
      </c>
      <c r="B7" s="6" t="inlineStr">
        <is>
          <t>Policy Acknowledgments</t>
        </is>
      </c>
      <c r="C7" s="6" t="inlineStr">
        <is>
          <t>Signed policy acknowledgment records</t>
        </is>
      </c>
      <c r="D7" s="6" t="inlineStr">
        <is>
          <t>HR</t>
        </is>
      </c>
      <c r="E7" s="4" t="inlineStr"/>
      <c r="F7" s="4" t="inlineStr"/>
      <c r="G7" s="4" t="inlineStr"/>
      <c r="H7" s="4" t="inlineStr"/>
    </row>
    <row r="8">
      <c r="A8" s="6" t="inlineStr">
        <is>
          <t>EVD-RWA-005</t>
        </is>
      </c>
      <c r="B8" s="6" t="inlineStr">
        <is>
          <t>Approval Records</t>
        </is>
      </c>
      <c r="C8" s="6" t="inlineStr">
        <is>
          <t>Authorization approval documentation</t>
        </is>
      </c>
      <c r="D8" s="6" t="inlineStr">
        <is>
          <t>Line Managers</t>
        </is>
      </c>
      <c r="E8" s="4" t="inlineStr"/>
      <c r="F8" s="4" t="inlineStr"/>
      <c r="G8" s="4" t="inlineStr"/>
      <c r="H8" s="4" t="inlineStr"/>
    </row>
    <row r="9">
      <c r="A9" s="6" t="inlineStr">
        <is>
          <t>EVD-RWA-006</t>
        </is>
      </c>
      <c r="B9" s="6" t="inlineStr">
        <is>
          <t>Review Records</t>
        </is>
      </c>
      <c r="C9" s="6" t="inlineStr">
        <is>
          <t>Annual authorization review records</t>
        </is>
      </c>
      <c r="D9" s="6" t="inlineStr">
        <is>
          <t>IT Security</t>
        </is>
      </c>
      <c r="E9" s="4" t="inlineStr"/>
      <c r="F9" s="4" t="inlineStr"/>
      <c r="G9" s="4" t="inlineStr"/>
      <c r="H9" s="4" t="inlineStr"/>
    </row>
  </sheetData>
  <mergeCells count="1">
    <mergeCell ref="A1:H1"/>
  </mergeCells>
  <dataValidations count="1">
    <dataValidation sqref="H4:H9" showDropDown="0" showInputMessage="0" showErrorMessage="0" allowBlank="1" type="list">
      <formula1>"Collected,Pending,Not Available"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Remote Work Authorization Dashboard</t>
        </is>
      </c>
    </row>
    <row r="3">
      <c r="A3" s="2" t="inlineStr">
        <is>
          <t>Summary Metrics</t>
        </is>
      </c>
    </row>
    <row r="4">
      <c r="A4" s="9" t="inlineStr">
        <is>
          <t>Total Remote Work Authorizations</t>
        </is>
      </c>
      <c r="B4" s="6">
        <f>COUNTA(Authorization_Register!A4:A23)</f>
        <v/>
      </c>
    </row>
    <row r="5">
      <c r="A5" s="9" t="inlineStr">
        <is>
          <t>Approved Authorizations</t>
        </is>
      </c>
      <c r="B5" s="6">
        <f>COUNTIF(Authorization_Register!J4:J23,"Approved")</f>
        <v/>
      </c>
    </row>
    <row r="6">
      <c r="A6" s="9" t="inlineStr">
        <is>
          <t>Pending Authorizations</t>
        </is>
      </c>
      <c r="B6" s="6">
        <f>COUNTIF(Authorization_Register!J4:J23,"Pending")</f>
        <v/>
      </c>
    </row>
    <row r="7">
      <c r="A7" s="9" t="inlineStr">
        <is>
          <t>Revoked/Expired</t>
        </is>
      </c>
      <c r="B7" s="6">
        <f>COUNTIF(Authorization_Register!J4:J23,"Revoked")+COUNTIF(Authorization_Register!J4:J23,"Expired")</f>
        <v/>
      </c>
    </row>
    <row r="8">
      <c r="A8" s="9" t="inlineStr">
        <is>
          <t>Physical Assessments Complete</t>
        </is>
      </c>
      <c r="B8" s="6">
        <f>COUNTIF(Physical_Security!E14:E28,"Compliant")</f>
        <v/>
      </c>
    </row>
    <row r="9">
      <c r="A9" s="9" t="inlineStr">
        <is>
          <t>Policy Acknowledgments Current</t>
        </is>
      </c>
      <c r="B9" s="6">
        <f>COUNTIF(Acknowledgments!G4:G23,"Current")</f>
        <v/>
      </c>
    </row>
    <row r="10">
      <c r="A10" s="9" t="inlineStr">
        <is>
          <t>Open Gaps</t>
        </is>
      </c>
      <c r="B10" s="6">
        <f>COUNTIF(Gap_Analysis!I4:I18,"Open")</f>
        <v/>
      </c>
    </row>
    <row r="11">
      <c r="A11" s="9" t="inlineStr">
        <is>
          <t>High/Critical Risk Items</t>
        </is>
      </c>
      <c r="B11" s="6">
        <f>COUNTIF(Risk_Assessment!I14:I28,"High")+COUNTIF(Risk_Assessment!I14:I28,"Critical")</f>
        <v/>
      </c>
    </row>
    <row r="14">
      <c r="A14" s="2" t="inlineStr">
        <is>
          <t>Compliance Status</t>
        </is>
      </c>
    </row>
    <row r="15">
      <c r="A15" s="6" t="inlineStr">
        <is>
          <t>Authorization Process Documented</t>
        </is>
      </c>
      <c r="B15" s="4" t="n"/>
    </row>
    <row r="16">
      <c r="A16" s="6" t="inlineStr">
        <is>
          <t>Risk Assessments Performed</t>
        </is>
      </c>
      <c r="B16" s="4" t="n"/>
    </row>
    <row r="17">
      <c r="A17" s="6" t="inlineStr">
        <is>
          <t>Physical Security Verified</t>
        </is>
      </c>
      <c r="B17" s="4" t="n"/>
    </row>
    <row r="18">
      <c r="A18" s="6" t="inlineStr">
        <is>
          <t>All Acknowledgments Current</t>
        </is>
      </c>
      <c r="B18" s="4" t="n"/>
    </row>
    <row r="19">
      <c r="A19" s="6" t="inlineStr">
        <is>
          <t>Annual Reviews Scheduled</t>
        </is>
      </c>
      <c r="B19" s="4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Assessment Approval and Sign-Off</t>
        </is>
      </c>
    </row>
    <row r="3">
      <c r="A3" s="8" t="inlineStr">
        <is>
          <t>Role</t>
        </is>
      </c>
      <c r="B3" s="8" t="inlineStr">
        <is>
          <t>Name</t>
        </is>
      </c>
      <c r="C3" s="8" t="inlineStr">
        <is>
          <t>Signature</t>
        </is>
      </c>
      <c r="D3" s="8" t="inlineStr">
        <is>
          <t>Date</t>
        </is>
      </c>
      <c r="E3" s="8" t="inlineStr">
        <is>
          <t>Comments</t>
        </is>
      </c>
    </row>
    <row r="4">
      <c r="A4" s="6" t="inlineStr">
        <is>
          <t>IT Security Manager</t>
        </is>
      </c>
      <c r="B4" s="4" t="inlineStr"/>
      <c r="C4" s="4" t="inlineStr"/>
      <c r="D4" s="4" t="inlineStr"/>
      <c r="E4" s="4" t="inlineStr"/>
    </row>
    <row r="5">
      <c r="A5" s="6" t="inlineStr">
        <is>
          <t>HR Manager</t>
        </is>
      </c>
      <c r="B5" s="4" t="inlineStr"/>
      <c r="C5" s="4" t="inlineStr"/>
      <c r="D5" s="4" t="inlineStr"/>
      <c r="E5" s="4" t="inlineStr"/>
    </row>
    <row r="6">
      <c r="A6" s="6" t="inlineStr">
        <is>
          <t>Line Manager Representative</t>
        </is>
      </c>
      <c r="B6" s="4" t="inlineStr"/>
      <c r="C6" s="4" t="inlineStr"/>
      <c r="D6" s="4" t="inlineStr"/>
      <c r="E6" s="4" t="inlineStr"/>
    </row>
    <row r="7">
      <c r="A7" s="6" t="inlineStr">
        <is>
          <t>CISO</t>
        </is>
      </c>
      <c r="B7" s="4" t="inlineStr"/>
      <c r="C7" s="4" t="inlineStr"/>
      <c r="D7" s="4" t="inlineStr"/>
      <c r="E7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2026-01-31T19:50:42Z</dcterms:created>
  <dcterms:modified xmlns:dcterms="http://purl.org/dc/terms/" xmlns:xsi="http://www.w3.org/2001/XMLSchema-instance" xsi:type="dcterms:W3CDTF">2026-01-31T19:50:42Z</dcterms:modified>
</cp:coreProperties>
</file>