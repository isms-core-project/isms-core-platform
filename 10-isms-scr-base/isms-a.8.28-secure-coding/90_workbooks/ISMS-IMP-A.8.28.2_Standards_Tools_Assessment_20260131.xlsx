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ding_Standards_Adoption" sheetId="2" state="visible" r:id="rId2"/>
    <sheet xmlns:r="http://schemas.openxmlformats.org/officeDocument/2006/relationships" name="SAST_SCA_Tools" sheetId="3" state="visible" r:id="rId3"/>
    <sheet xmlns:r="http://schemas.openxmlformats.org/officeDocument/2006/relationships" name="DAST_Security_Testing_Tools" sheetId="4" state="visible" r:id="rId4"/>
    <sheet xmlns:r="http://schemas.openxmlformats.org/officeDocument/2006/relationships" name="IDE_Plugins_Linters" sheetId="5" state="visible" r:id="rId5"/>
    <sheet xmlns:r="http://schemas.openxmlformats.org/officeDocument/2006/relationships" name="Tool_Effectiveness_Metrics" sheetId="6" state="visible" r:id="rId6"/>
    <sheet xmlns:r="http://schemas.openxmlformats.org/officeDocument/2006/relationships" name="Summary_Dashboard" sheetId="7" state="visible" r:id="rId7"/>
    <sheet xmlns:r="http://schemas.openxmlformats.org/officeDocument/2006/relationships" name="Evidence_Register" sheetId="8" state="visible" r:id="rId8"/>
    <sheet xmlns:r="http://schemas.openxmlformats.org/officeDocument/2006/relationships" name="Gap_Analysis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color rgb="00FFFFFF"/>
      <sz val="11"/>
    </font>
    <font>
      <b val="1"/>
      <sz val="10"/>
    </font>
    <font>
      <i val="1"/>
      <sz val="10"/>
    </font>
    <font>
      <b val="1"/>
      <color rgb="00FFFFFF"/>
      <sz val="12"/>
    </font>
    <font>
      <b val="1"/>
      <color rgb="00C00000"/>
      <sz val="10"/>
    </font>
    <font>
      <b val="1"/>
    </font>
    <font>
      <color rgb="00C00000"/>
      <sz val="10"/>
    </font>
    <font>
      <name val="Calibri"/>
      <b val="1"/>
      <sz val="10"/>
    </font>
    <font>
      <b val="1"/>
      <color rgb="004472C4"/>
      <sz val="11"/>
    </font>
    <font>
      <b val="1"/>
      <sz val="9"/>
    </font>
    <font>
      <i val="1"/>
      <color rgb="00666666"/>
      <sz val="9"/>
    </font>
    <font>
      <b val="1"/>
      <sz val="13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6" borderId="0" pivotButton="0" quotePrefix="0" xfId="0"/>
    <xf numFmtId="0" fontId="8" fillId="0" borderId="0" applyAlignment="1" pivotButton="0" quotePrefix="0" xfId="0">
      <alignment horizontal="center"/>
    </xf>
    <xf numFmtId="0" fontId="8" fillId="7" borderId="0" pivotButton="0" quotePrefix="0" xfId="0"/>
    <xf numFmtId="0" fontId="8" fillId="8" borderId="0" pivotButton="0" quotePrefix="0" xfId="0"/>
    <xf numFmtId="0" fontId="8" fillId="9" borderId="0" pivotButton="0" quotePrefix="0" xfId="0"/>
    <xf numFmtId="0" fontId="8" fillId="10" borderId="0" pivotButton="0" quotePrefix="0" xfId="0"/>
    <xf numFmtId="0" fontId="0" fillId="0" borderId="0" applyAlignment="1" pivotButton="0" quotePrefix="0" xfId="0">
      <alignment wrapText="1"/>
    </xf>
    <xf numFmtId="0" fontId="6" fillId="11" borderId="0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10" fillId="6" borderId="1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14" fillId="0" borderId="0" pivotButton="0" quotePrefix="0" xfId="0"/>
    <xf numFmtId="9" fontId="15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9" fontId="16" fillId="0" borderId="0" pivotButton="0" quotePrefix="0" xfId="0"/>
    <xf numFmtId="0" fontId="3" fillId="3" borderId="0" applyAlignment="1" pivotButton="0" quotePrefix="0" xfId="0">
      <alignment horizontal="center"/>
    </xf>
    <xf numFmtId="0" fontId="4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35" customWidth="1" min="4" max="4"/>
    <col width="20" customWidth="1" min="5" max="5"/>
    <col width="20" customWidth="1" min="6" max="6"/>
  </cols>
  <sheetData>
    <row r="1" ht="30" customHeight="1">
      <c r="A1" s="1" t="inlineStr">
        <is>
          <t>ISMS-IMP-A.8.28.2 – Standards &amp; Tools Assessment</t>
        </is>
      </c>
    </row>
    <row r="2" ht="20" customHeight="1">
      <c r="A2" s="2" t="inlineStr">
        <is>
          <t>ISO/IEC 27001:2022 - Control A.8.28: Secure Coding (Standards &amp; Tools)</t>
        </is>
      </c>
    </row>
    <row r="4">
      <c r="A4" s="3" t="inlineStr">
        <is>
          <t>DOCUMENT INFORMATION</t>
        </is>
      </c>
    </row>
    <row r="5">
      <c r="A5" s="4" t="inlineStr">
        <is>
          <t>Document ID:</t>
        </is>
      </c>
      <c r="B5" t="inlineStr">
        <is>
          <t>ISMS-IMP-A.8.28.2</t>
        </is>
      </c>
    </row>
    <row r="6">
      <c r="A6" s="4" t="inlineStr">
        <is>
          <t>Assessment Area:</t>
        </is>
      </c>
      <c r="B6" t="inlineStr">
        <is>
          <t>Secure Coding Standards &amp; Security Tools</t>
        </is>
      </c>
    </row>
    <row r="7">
      <c r="A7" s="4" t="inlineStr">
        <is>
          <t>Related Policy:</t>
        </is>
      </c>
      <c r="B7" t="inlineStr">
        <is>
          <t>ISMS-POL-A.8.28-S2.2 (Coding Standards), S2.3 (Code Review)</t>
        </is>
      </c>
    </row>
    <row r="8">
      <c r="A8" s="4" t="inlineStr">
        <is>
          <t>Version:</t>
        </is>
      </c>
      <c r="B8" t="inlineStr">
        <is>
          <t>1.0</t>
        </is>
      </c>
    </row>
    <row r="9">
      <c r="A9" s="4" t="inlineStr">
        <is>
          <t>Assessment Date:</t>
        </is>
      </c>
      <c r="B9" s="5" t="inlineStr">
        <is>
          <t>[USER INPUT - Enter assessment date]</t>
        </is>
      </c>
    </row>
    <row r="10">
      <c r="A10" s="4" t="inlineStr">
        <is>
          <t>Completed By:</t>
        </is>
      </c>
      <c r="B10" s="5" t="inlineStr">
        <is>
          <t>[USER INPUT - Enter assessor name]</t>
        </is>
      </c>
    </row>
    <row r="11">
      <c r="A11" s="4" t="inlineStr">
        <is>
          <t>Organization:</t>
        </is>
      </c>
      <c r="B11" s="5" t="inlineStr">
        <is>
          <t>[USER INPUT - Enter organization name]</t>
        </is>
      </c>
    </row>
    <row r="12">
      <c r="A12" s="4" t="inlineStr">
        <is>
          <t>Review Cycle:</t>
        </is>
      </c>
      <c r="B12" t="inlineStr">
        <is>
          <t>Quarterly or when tools/standards change</t>
        </is>
      </c>
    </row>
    <row r="15" ht="25" customHeight="1">
      <c r="A15" s="6" t="inlineStr">
        <is>
          <t>HOW TO USE THIS WORKBOOK</t>
        </is>
      </c>
    </row>
    <row r="16" ht="20" customHeight="1">
      <c r="A16" s="7" t="inlineStr">
        <is>
          <t>1. Complete each assessment domain: Coding Standards → SAST/SCA → DAST → IDE Plugins → Tool Metrics</t>
        </is>
      </c>
    </row>
    <row r="17" ht="20" customHeight="1">
      <c r="A17" s="7" t="inlineStr">
        <is>
          <t>2. Assess DEPLOYMENT (is it there?) and EFFECTIVENESS (does it work?)</t>
        </is>
      </c>
    </row>
    <row r="18" ht="30" customHeight="1">
      <c r="A18" s="7" t="inlineStr">
        <is>
          <t>3. For tools: Don't just mark 'Implemented' if the tool exists - assess if it's configured and used properly</t>
        </is>
      </c>
    </row>
    <row r="19" ht="20" customHeight="1">
      <c r="A19" s="7" t="inlineStr">
        <is>
          <t>4. Provide specific tool names and versions (not just 'we have SAST')</t>
        </is>
      </c>
    </row>
    <row r="20" ht="20" customHeight="1">
      <c r="A20" s="7" t="inlineStr">
        <is>
          <t>5. Reference actual scan results, configuration files, and adoption metrics as evidence</t>
        </is>
      </c>
    </row>
    <row r="21" ht="20" customHeight="1">
      <c r="A21" s="7" t="inlineStr">
        <is>
          <t>6. Use Tool Effectiveness Metrics sheet to track measurable outcomes</t>
        </is>
      </c>
    </row>
    <row r="22" ht="20" customHeight="1">
      <c r="A22" s="7" t="inlineStr">
        <is>
          <t>7. Document gaps with specific remediation actions (not just 'improve tool')</t>
        </is>
      </c>
    </row>
    <row r="23" ht="20" customHeight="1">
      <c r="A23" s="7" t="inlineStr">
        <is>
          <t>8. Obtain approvals from both Security and Development leadership</t>
        </is>
      </c>
    </row>
    <row r="24" ht="20" customHeight="1">
      <c r="A24" s="7" t="inlineStr"/>
    </row>
    <row r="25" ht="20" customHeight="1">
      <c r="A25" s="8" t="inlineStr">
        <is>
          <t>⚠️  CRITICAL: Having a tool ≠ using it effectively. Focus on:</t>
        </is>
      </c>
    </row>
    <row r="26" ht="20" customHeight="1">
      <c r="A26" s="7" t="inlineStr">
        <is>
          <t xml:space="preserve">   • Is it configured with security rules? • Does it run automatically? • Are findings remediated?</t>
        </is>
      </c>
    </row>
    <row r="27" ht="20" customHeight="1">
      <c r="A27" s="7" t="inlineStr">
        <is>
          <t xml:space="preserve">   • What's the false positive rate? • Do developers actually use it?</t>
        </is>
      </c>
    </row>
    <row r="30">
      <c r="A30" s="6" t="inlineStr">
        <is>
          <t>ASSESSMENT DOMAINS</t>
        </is>
      </c>
    </row>
    <row r="31">
      <c r="A31" s="9" t="inlineStr">
        <is>
          <t>Domain</t>
        </is>
      </c>
      <c r="B31" s="9" t="inlineStr">
        <is>
          <t>Focus Area</t>
        </is>
      </c>
      <c r="C31" s="9" t="inlineStr">
        <is>
          <t>Requirements</t>
        </is>
      </c>
    </row>
    <row r="32">
      <c r="A32" t="inlineStr">
        <is>
          <t>1. Coding Standards Adoption</t>
        </is>
      </c>
      <c r="B32" t="inlineStr">
        <is>
          <t>Standards documentation, training, compliance measurement</t>
        </is>
      </c>
    </row>
    <row r="33">
      <c r="A33" t="inlineStr">
        <is>
          <t>2. SAST &amp; SCA Tools</t>
        </is>
      </c>
      <c r="B33" t="inlineStr">
        <is>
          <t>Static analysis, dependency scanning, vulnerability detection</t>
        </is>
      </c>
    </row>
    <row r="34">
      <c r="A34" t="inlineStr">
        <is>
          <t>3. DAST &amp; Security Testing Tools</t>
        </is>
      </c>
      <c r="B34" t="inlineStr">
        <is>
          <t>Dynamic testing, API testing, container/IaC scanning</t>
        </is>
      </c>
    </row>
    <row r="35">
      <c r="A35" t="inlineStr">
        <is>
          <t>4. IDE Plugins &amp; Linters</t>
        </is>
      </c>
      <c r="B35" t="inlineStr">
        <is>
          <t>Developer tools, pre-commit hooks, real-time feedback</t>
        </is>
      </c>
    </row>
    <row r="36">
      <c r="A36" t="inlineStr">
        <is>
          <t>5. Tool Effectiveness &amp; Metrics</t>
        </is>
      </c>
      <c r="B36" t="inlineStr">
        <is>
          <t>KPIs, coverage, false positives, remediation velocity</t>
        </is>
      </c>
    </row>
    <row r="37">
      <c r="C37" s="10" t="inlineStr">
        <is>
          <t>90 Total</t>
        </is>
      </c>
    </row>
    <row r="40">
      <c r="A40" s="6" t="inlineStr">
        <is>
          <t>IMPLEMENTATION STATUS LEGEND</t>
        </is>
      </c>
    </row>
    <row r="41">
      <c r="A41" s="9" t="inlineStr">
        <is>
          <t>Status</t>
        </is>
      </c>
      <c r="B41" s="9" t="inlineStr">
        <is>
          <t>Symbol</t>
        </is>
      </c>
      <c r="C41" s="9" t="inlineStr">
        <is>
          <t>Description</t>
        </is>
      </c>
      <c r="D41" s="9" t="inlineStr">
        <is>
          <t>When to Use</t>
        </is>
      </c>
    </row>
    <row r="42" ht="30" customHeight="1">
      <c r="A42" s="11" t="inlineStr">
        <is>
          <t>Implemented</t>
        </is>
      </c>
      <c r="B42" t="inlineStr">
        <is>
          <t>✅</t>
        </is>
      </c>
      <c r="C42" s="7" t="inlineStr">
        <is>
          <t>Standard/tool deployed AND effective</t>
        </is>
      </c>
    </row>
    <row r="43" ht="30" customHeight="1">
      <c r="A43" s="12" t="inlineStr">
        <is>
          <t>Partially Implemented</t>
        </is>
      </c>
      <c r="B43" t="inlineStr">
        <is>
          <t>⚠️</t>
        </is>
      </c>
      <c r="C43" s="7" t="inlineStr">
        <is>
          <t>Standard/tool exists but gaps in coverage/effectiveness</t>
        </is>
      </c>
    </row>
    <row r="44" ht="30" customHeight="1">
      <c r="A44" s="13" t="inlineStr">
        <is>
          <t>Not Implemented</t>
        </is>
      </c>
      <c r="B44" t="inlineStr">
        <is>
          <t>❌</t>
        </is>
      </c>
      <c r="C44" s="7" t="inlineStr">
        <is>
          <t>Standard/tool not deployed</t>
        </is>
      </c>
    </row>
    <row r="45" ht="30" customHeight="1">
      <c r="A45" s="14" t="inlineStr">
        <is>
          <t>N/A</t>
        </is>
      </c>
      <c r="B45" t="inlineStr">
        <is>
          <t>N/A</t>
        </is>
      </c>
      <c r="C45" s="7" t="inlineStr">
        <is>
          <t>Not applicable to environment</t>
        </is>
      </c>
    </row>
    <row r="48">
      <c r="A48" s="6" t="inlineStr">
        <is>
          <t>ACCEPTABLE EVIDENCE (Examples)</t>
        </is>
      </c>
    </row>
    <row r="49">
      <c r="A49" s="15" t="inlineStr">
        <is>
          <t>✓ Secure coding standards documents (wiki links, PDFs, internal guidelines)</t>
        </is>
      </c>
    </row>
    <row r="50">
      <c r="A50" s="15" t="inlineStr">
        <is>
          <t>✓ Tool deployment documentation (licenses, access URLs, admin guides)</t>
        </is>
      </c>
    </row>
    <row r="51">
      <c r="A51" s="15" t="inlineStr">
        <is>
          <t>✓ Tool configuration files (SAST rulesets, SCA policies, quality gates)</t>
        </is>
      </c>
    </row>
    <row r="52">
      <c r="A52" s="15" t="inlineStr">
        <is>
          <t>✓ Scan results (SAST/SCA/DAST reports with timestamps and findings)</t>
        </is>
      </c>
    </row>
    <row r="53">
      <c r="A53" s="15" t="inlineStr">
        <is>
          <t>✓ CI/CD pipeline configurations (Jenkinsfile, .gitlab-ci.yml showing tool integration)</t>
        </is>
      </c>
    </row>
    <row r="54">
      <c r="A54" s="15" t="inlineStr">
        <is>
          <t>✓ Dashboard screenshots (tool dashboards, metrics, trend analysis)</t>
        </is>
      </c>
    </row>
    <row r="55">
      <c r="A55" s="15" t="inlineStr">
        <is>
          <t>✓ Adoption metrics (tool usage statistics, developer adoption rates)</t>
        </is>
      </c>
    </row>
    <row r="56">
      <c r="A56" s="15" t="inlineStr">
        <is>
          <t>✓ False positive analysis (FP rate metrics, tuning documentation)</t>
        </is>
      </c>
    </row>
    <row r="57">
      <c r="A57" s="15" t="inlineStr">
        <is>
          <t>✓ Remediation tracking (JIRA tickets, vulnerability lifecycle)</t>
        </is>
      </c>
    </row>
    <row r="58">
      <c r="A58" s="15" t="inlineStr">
        <is>
          <t>✓ Training materials (standards training, tool usage guides)</t>
        </is>
      </c>
    </row>
    <row r="59">
      <c r="A59" s="15" t="inlineStr">
        <is>
          <t>✓ Quality gate evidence (blocked builds, deployment gates)</t>
        </is>
      </c>
    </row>
    <row r="60">
      <c r="A60" s="15" t="inlineStr">
        <is>
          <t>✓ Tool effectiveness metrics (detection rate, MTTR, coverage %)</t>
        </is>
      </c>
    </row>
    <row r="61">
      <c r="A61" s="15" t="inlineStr">
        <is>
          <t>✓ License agreements (tool licenses, support contracts)</t>
        </is>
      </c>
    </row>
    <row r="62">
      <c r="A62" s="15" t="inlineStr">
        <is>
          <t>✓ Integration evidence (SIEM logs, ticketing system integration)</t>
        </is>
      </c>
    </row>
    <row r="63">
      <c r="A63" s="15" t="inlineStr">
        <is>
          <t>✓ Benchmark reports (tool comparison, effectiveness benchmarks)</t>
        </is>
      </c>
    </row>
    <row r="66">
      <c r="A66" s="16" t="inlineStr">
        <is>
          <t>COMMON ANTI-PATTERNS TO AVOID</t>
        </is>
      </c>
    </row>
    <row r="67" ht="25" customHeight="1">
      <c r="A67" s="17" t="inlineStr">
        <is>
          <t>❌ 'We have SonarQube' ≠ Implemented (Is it configured? Does it run? Are findings fixed?)</t>
        </is>
      </c>
    </row>
    <row r="68" ht="25" customHeight="1">
      <c r="A68" s="17" t="inlineStr">
        <is>
          <t>❌ Marking tools 'Implemented' when they're deployed but not used effectively</t>
        </is>
      </c>
    </row>
    <row r="69" ht="25" customHeight="1">
      <c r="A69" s="17" t="inlineStr">
        <is>
          <t>❌ Ignoring false positive rates (99% FP rate means the tool is useless)</t>
        </is>
      </c>
    </row>
    <row r="70" ht="25" customHeight="1">
      <c r="A70" s="17" t="inlineStr">
        <is>
          <t>❌ Having 10 tools that all find the same 5 vulnerabilities (tool sprawl)</t>
        </is>
      </c>
    </row>
    <row r="71" ht="25" customHeight="1">
      <c r="A71" s="17" t="inlineStr">
        <is>
          <t>❌ Tools that slow down developers so much they bypass them</t>
        </is>
      </c>
    </row>
    <row r="72" ht="25" customHeight="1">
      <c r="A72" s="17" t="inlineStr">
        <is>
          <t>❌ Standards documents that nobody can find or understand</t>
        </is>
      </c>
    </row>
    <row r="73" ht="25" customHeight="1">
      <c r="A73" s="17" t="inlineStr">
        <is>
          <t>❌ Training that happened once 3 years ago counting as 'ongoing training'</t>
        </is>
      </c>
    </row>
    <row r="74" ht="25" customHeight="1">
      <c r="A74" s="17" t="inlineStr">
        <is>
          <t>❌ Measuring 'findings found' instead of 'findings fixed'</t>
        </is>
      </c>
    </row>
  </sheetData>
  <mergeCells count="60">
    <mergeCell ref="A16:F16"/>
    <mergeCell ref="A54:F54"/>
    <mergeCell ref="B7:F7"/>
    <mergeCell ref="A66:F66"/>
    <mergeCell ref="A27:F27"/>
    <mergeCell ref="A74:F74"/>
    <mergeCell ref="A18:F18"/>
    <mergeCell ref="A50:F50"/>
    <mergeCell ref="A56:F56"/>
    <mergeCell ref="A26:F26"/>
    <mergeCell ref="A21:F21"/>
    <mergeCell ref="A55:F55"/>
    <mergeCell ref="A57:F57"/>
    <mergeCell ref="A2:F2"/>
    <mergeCell ref="A71:F71"/>
    <mergeCell ref="B12:F12"/>
    <mergeCell ref="B11:F11"/>
    <mergeCell ref="A23:F23"/>
    <mergeCell ref="A22:F22"/>
    <mergeCell ref="A17:F17"/>
    <mergeCell ref="A4:F4"/>
    <mergeCell ref="B8:F8"/>
    <mergeCell ref="A20:F20"/>
    <mergeCell ref="C42:F42"/>
    <mergeCell ref="A53:F53"/>
    <mergeCell ref="A62:F62"/>
    <mergeCell ref="A72:F72"/>
    <mergeCell ref="A63:F63"/>
    <mergeCell ref="A52:F52"/>
    <mergeCell ref="C45:F45"/>
    <mergeCell ref="A19:F19"/>
    <mergeCell ref="B34:F34"/>
    <mergeCell ref="A68:F68"/>
    <mergeCell ref="B10:F10"/>
    <mergeCell ref="A67:F67"/>
    <mergeCell ref="A58:F58"/>
    <mergeCell ref="A40:F40"/>
    <mergeCell ref="A48:F48"/>
    <mergeCell ref="A30:F30"/>
    <mergeCell ref="A15:F15"/>
    <mergeCell ref="B9:F9"/>
    <mergeCell ref="C44:F44"/>
    <mergeCell ref="A59:F59"/>
    <mergeCell ref="A24:F24"/>
    <mergeCell ref="A73:F73"/>
    <mergeCell ref="A49:F49"/>
    <mergeCell ref="A51:F51"/>
    <mergeCell ref="B6:F6"/>
    <mergeCell ref="A60:F60"/>
    <mergeCell ref="B33:F33"/>
    <mergeCell ref="A1:F1"/>
    <mergeCell ref="C43:F43"/>
    <mergeCell ref="A70:F70"/>
    <mergeCell ref="B5:F5"/>
    <mergeCell ref="A61:F61"/>
    <mergeCell ref="B36:F36"/>
    <mergeCell ref="B32:F32"/>
    <mergeCell ref="A69:F69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Standards &amp; Tools Assessment: Coding Standards Adoption</t>
        </is>
      </c>
    </row>
    <row r="2" ht="30" customHeight="1">
      <c r="A2" s="18" t="inlineStr">
        <is>
          <t>ID</t>
        </is>
      </c>
      <c r="B2" s="18" t="inlineStr">
        <is>
          <t>Requirement</t>
        </is>
      </c>
      <c r="C2" s="18" t="inlineStr">
        <is>
          <t>Implementation Status</t>
        </is>
      </c>
      <c r="D2" s="18" t="inlineStr">
        <is>
          <t>Evidence Reference</t>
        </is>
      </c>
      <c r="E2" s="18" t="inlineStr">
        <is>
          <t>Comments</t>
        </is>
      </c>
      <c r="F2" s="18" t="inlineStr">
        <is>
          <t>Compliance</t>
        </is>
      </c>
    </row>
    <row r="3" ht="20" customHeight="1">
      <c r="A3" s="19" t="inlineStr">
        <is>
          <t>▶ Standards Documentation</t>
        </is>
      </c>
    </row>
    <row r="4" ht="45" customHeight="1">
      <c r="A4" s="20" t="inlineStr">
        <is>
          <t>1.1</t>
        </is>
      </c>
      <c r="B4" s="21" t="inlineStr">
        <is>
          <t>Organization has documented secure coding standards</t>
        </is>
      </c>
      <c r="C4" s="22" t="n"/>
      <c r="D4" s="23" t="inlineStr">
        <is>
          <t>Secure coding standards document, developer wiki, internal guidelines</t>
        </is>
      </c>
      <c r="E4" s="24" t="n"/>
      <c r="F4" s="25">
        <f>IF(C4="Implemented","✅",IF(C4="Partially Implemented","⚠️",IF(C4="Not Implemented","❌",IF(C4="N/A","N/A",""))))</f>
        <v/>
      </c>
    </row>
    <row r="5" ht="45" customHeight="1">
      <c r="A5" s="20" t="inlineStr">
        <is>
          <t>1.2</t>
        </is>
      </c>
      <c r="B5" s="21" t="inlineStr">
        <is>
          <t>Coding standards reference OWASP Top 10 and CWE Top 25</t>
        </is>
      </c>
      <c r="C5" s="22" t="n"/>
      <c r="D5" s="23" t="inlineStr">
        <is>
          <t>Standards document with OWASP/CWE mappings, policy references</t>
        </is>
      </c>
      <c r="E5" s="24" t="n"/>
      <c r="F5" s="25">
        <f>IF(C5="Implemented","✅",IF(C5="Partially Implemented","⚠️",IF(C5="Not Implemented","❌",IF(C5="N/A","N/A",""))))</f>
        <v/>
      </c>
    </row>
    <row r="6" ht="45" customHeight="1">
      <c r="A6" s="20" t="inlineStr">
        <is>
          <t>1.3</t>
        </is>
      </c>
      <c r="B6" s="21" t="inlineStr">
        <is>
          <t>Standards cover input validation requirements for all languages used</t>
        </is>
      </c>
      <c r="C6" s="22" t="n"/>
      <c r="D6" s="23" t="inlineStr">
        <is>
          <t>Language-specific input validation guidelines, code examples</t>
        </is>
      </c>
      <c r="E6" s="24" t="n"/>
      <c r="F6" s="25">
        <f>IF(C6="Implemented","✅",IF(C6="Partially Implemented","⚠️",IF(C6="Not Implemented","❌",IF(C6="N/A","N/A",""))))</f>
        <v/>
      </c>
    </row>
    <row r="7" ht="45" customHeight="1">
      <c r="A7" s="20" t="inlineStr">
        <is>
          <t>1.4</t>
        </is>
      </c>
      <c r="B7" s="21" t="inlineStr">
        <is>
          <t>Standards cover output encoding/escaping requirements</t>
        </is>
      </c>
      <c r="C7" s="22" t="n"/>
      <c r="D7" s="23" t="inlineStr">
        <is>
          <t>XSS prevention guidelines, encoding standards documentation</t>
        </is>
      </c>
      <c r="E7" s="24" t="n"/>
      <c r="F7" s="25">
        <f>IF(C7="Implemented","✅",IF(C7="Partially Implemented","⚠️",IF(C7="Not Implemented","❌",IF(C7="N/A","N/A",""))))</f>
        <v/>
      </c>
    </row>
    <row r="8" ht="45" customHeight="1">
      <c r="A8" s="20" t="inlineStr">
        <is>
          <t>1.5</t>
        </is>
      </c>
      <c r="B8" s="21" t="inlineStr">
        <is>
          <t>Standards cover authentication and session management requirements</t>
        </is>
      </c>
      <c r="C8" s="22" t="n"/>
      <c r="D8" s="23" t="inlineStr">
        <is>
          <t>Auth standards, session handling guidelines, JWT/token standards</t>
        </is>
      </c>
      <c r="E8" s="24" t="n"/>
      <c r="F8" s="25">
        <f>IF(C8="Implemented","✅",IF(C8="Partially Implemented","⚠️",IF(C8="Not Implemented","❌",IF(C8="N/A","N/A",""))))</f>
        <v/>
      </c>
    </row>
    <row r="9" ht="45" customHeight="1">
      <c r="A9" s="20" t="inlineStr">
        <is>
          <t>1.6</t>
        </is>
      </c>
      <c r="B9" s="21" t="inlineStr">
        <is>
          <t>Standards cover cryptography requirements (algorithms, key management)</t>
        </is>
      </c>
      <c r="C9" s="22" t="n"/>
      <c r="D9" s="23" t="inlineStr">
        <is>
          <t>Crypto standards, approved algorithms list, key management policies</t>
        </is>
      </c>
      <c r="E9" s="24" t="n"/>
      <c r="F9" s="25">
        <f>IF(C9="Implemented","✅",IF(C9="Partially Implemented","⚠️",IF(C9="Not Implemented","❌",IF(C9="N/A","N/A",""))))</f>
        <v/>
      </c>
    </row>
    <row r="10" ht="45" customHeight="1">
      <c r="A10" s="20" t="inlineStr">
        <is>
          <t>1.7</t>
        </is>
      </c>
      <c r="B10" s="21" t="inlineStr">
        <is>
          <t>Standards cover error handling and logging requirements</t>
        </is>
      </c>
      <c r="C10" s="22" t="n"/>
      <c r="D10" s="23" t="inlineStr">
        <is>
          <t>Logging standards, error handling patterns, log retention policies</t>
        </is>
      </c>
      <c r="E10" s="24" t="n"/>
      <c r="F10" s="25">
        <f>IF(C10="Implemented","✅",IF(C10="Partially Implemented","⚠️",IF(C10="Not Implemented","❌",IF(C10="N/A","N/A",""))))</f>
        <v/>
      </c>
    </row>
    <row r="11" ht="20" customHeight="1">
      <c r="A11" s="19" t="inlineStr">
        <is>
          <t>▶ Training &amp; Awareness</t>
        </is>
      </c>
    </row>
    <row r="12" ht="45" customHeight="1">
      <c r="A12" s="20" t="inlineStr">
        <is>
          <t>1.8</t>
        </is>
      </c>
      <c r="B12" s="21" t="inlineStr">
        <is>
          <t>Developers are trained on secure coding standards</t>
        </is>
      </c>
      <c r="C12" s="22" t="n"/>
      <c r="D12" s="23" t="inlineStr">
        <is>
          <t>Training completion records, training materials, attendance logs</t>
        </is>
      </c>
      <c r="E12" s="24" t="n"/>
      <c r="F12" s="25">
        <f>IF(C12="Implemented","✅",IF(C12="Partially Implemented","⚠️",IF(C12="Not Implemented","❌",IF(C12="N/A","N/A",""))))</f>
        <v/>
      </c>
    </row>
    <row r="13" ht="20" customHeight="1">
      <c r="A13" s="19" t="inlineStr">
        <is>
          <t>▶ Accessibility</t>
        </is>
      </c>
    </row>
    <row r="14" ht="45" customHeight="1">
      <c r="A14" s="20" t="inlineStr">
        <is>
          <t>1.9</t>
        </is>
      </c>
      <c r="B14" s="21" t="inlineStr">
        <is>
          <t>Secure coding standards are easily accessible to all developers</t>
        </is>
      </c>
      <c r="C14" s="22" t="n"/>
      <c r="D14" s="23" t="inlineStr">
        <is>
          <t>Internal wiki links, IDE bookmarks, quick reference guides</t>
        </is>
      </c>
      <c r="E14" s="24" t="n"/>
      <c r="F14" s="25">
        <f>IF(C14="Implemented","✅",IF(C14="Partially Implemented","⚠️",IF(C14="Not Implemented","❌",IF(C14="N/A","N/A",""))))</f>
        <v/>
      </c>
    </row>
    <row r="15" ht="20" customHeight="1">
      <c r="A15" s="19" t="inlineStr">
        <is>
          <t>▶ Standards Maintenance</t>
        </is>
      </c>
    </row>
    <row r="16" ht="45" customHeight="1">
      <c r="A16" s="20" t="inlineStr">
        <is>
          <t>1.10</t>
        </is>
      </c>
      <c r="B16" s="21" t="inlineStr">
        <is>
          <t>Standards are reviewed and updated at least annually</t>
        </is>
      </c>
      <c r="C16" s="22" t="n"/>
      <c r="D16" s="23" t="inlineStr">
        <is>
          <t>Standards review schedule, change logs, version history</t>
        </is>
      </c>
      <c r="E16" s="24" t="n"/>
      <c r="F16" s="25">
        <f>IF(C16="Implemented","✅",IF(C16="Partially Implemented","⚠️",IF(C16="Not Implemented","❌",IF(C16="N/A","N/A",""))))</f>
        <v/>
      </c>
    </row>
    <row r="17" ht="20" customHeight="1">
      <c r="A17" s="19" t="inlineStr">
        <is>
          <t>▶ Standards Documentation</t>
        </is>
      </c>
    </row>
    <row r="18" ht="45" customHeight="1">
      <c r="A18" s="20" t="inlineStr">
        <is>
          <t>1.11</t>
        </is>
      </c>
      <c r="B18" s="21" t="inlineStr">
        <is>
          <t>Language-specific secure coding guides exist for primary languages</t>
        </is>
      </c>
      <c r="C18" s="22" t="n"/>
      <c r="D18" s="23" t="inlineStr">
        <is>
          <t>Python/Java/JavaScript/etc. specific security guidelines</t>
        </is>
      </c>
      <c r="E18" s="24" t="n"/>
      <c r="F18" s="25">
        <f>IF(C18="Implemented","✅",IF(C18="Partially Implemented","⚠️",IF(C18="Not Implemented","❌",IF(C18="N/A","N/A",""))))</f>
        <v/>
      </c>
    </row>
    <row r="19" ht="45" customHeight="1">
      <c r="A19" s="20" t="inlineStr">
        <is>
          <t>1.12</t>
        </is>
      </c>
      <c r="B19" s="21" t="inlineStr">
        <is>
          <t>Standards include code examples (secure vs. insecure patterns)</t>
        </is>
      </c>
      <c r="C19" s="22" t="n"/>
      <c r="D19" s="23" t="inlineStr">
        <is>
          <t>Code example repository, good/bad pattern documentation</t>
        </is>
      </c>
      <c r="E19" s="24" t="n"/>
      <c r="F19" s="25">
        <f>IF(C19="Implemented","✅",IF(C19="Partially Implemented","⚠️",IF(C19="Not Implemented","❌",IF(C19="N/A","N/A",""))))</f>
        <v/>
      </c>
    </row>
    <row r="20" ht="20" customHeight="1">
      <c r="A20" s="19" t="inlineStr">
        <is>
          <t>▶ Standards Enforcement</t>
        </is>
      </c>
    </row>
    <row r="21" ht="45" customHeight="1">
      <c r="A21" s="20" t="inlineStr">
        <is>
          <t>1.13</t>
        </is>
      </c>
      <c r="B21" s="21" t="inlineStr">
        <is>
          <t>Compliance with standards is measured and tracked</t>
        </is>
      </c>
      <c r="C21" s="22" t="n"/>
      <c r="D21" s="23" t="inlineStr">
        <is>
          <t>Compliance metrics, SAST rule compliance, audit results</t>
        </is>
      </c>
      <c r="E21" s="24" t="n"/>
      <c r="F21" s="25">
        <f>IF(C21="Implemented","✅",IF(C21="Partially Implemented","⚠️",IF(C21="Not Implemented","❌",IF(C21="N/A","N/A",""))))</f>
        <v/>
      </c>
    </row>
    <row r="22" ht="45" customHeight="1">
      <c r="A22" s="20" t="inlineStr">
        <is>
          <t>1.14</t>
        </is>
      </c>
      <c r="B22" s="21" t="inlineStr">
        <is>
          <t>Standards violations are identified during code review</t>
        </is>
      </c>
      <c r="C22" s="22" t="n"/>
      <c r="D22" s="23" t="inlineStr">
        <is>
          <t>Code review checklists, review comments, violation tracking</t>
        </is>
      </c>
      <c r="E22" s="24" t="n"/>
      <c r="F22" s="25">
        <f>IF(C22="Implemented","✅",IF(C22="Partially Implemented","⚠️",IF(C22="Not Implemented","❌",IF(C22="N/A","N/A",""))))</f>
        <v/>
      </c>
    </row>
    <row r="23" ht="20" customHeight="1">
      <c r="A23" s="19" t="inlineStr">
        <is>
          <t>▶ Standards Governance</t>
        </is>
      </c>
    </row>
    <row r="24" ht="45" customHeight="1">
      <c r="A24" s="20" t="inlineStr">
        <is>
          <t>1.15</t>
        </is>
      </c>
      <c r="B24" s="21" t="inlineStr">
        <is>
          <t>Developers can request clarifications or exceptions to standards</t>
        </is>
      </c>
      <c r="C24" s="22" t="n"/>
      <c r="D24" s="23" t="inlineStr">
        <is>
          <t>Exception request process, clarification tickets, security champion reviews</t>
        </is>
      </c>
      <c r="E24" s="24" t="n"/>
      <c r="F24" s="25">
        <f>IF(C24="Implemented","✅",IF(C24="Partially Implemented","⚠️",IF(C24="Not Implemented","❌",IF(C24="N/A","N/A",""))))</f>
        <v/>
      </c>
    </row>
    <row r="25" ht="20" customHeight="1">
      <c r="A25" s="19" t="inlineStr">
        <is>
          <t>▶ Standards Enforcement</t>
        </is>
      </c>
    </row>
    <row r="26" ht="45" customHeight="1">
      <c r="A26" s="20" t="inlineStr">
        <is>
          <t>1.16</t>
        </is>
      </c>
      <c r="B26" s="21" t="inlineStr">
        <is>
          <t>Standards compliance is part of developer performance evaluation</t>
        </is>
      </c>
      <c r="C26" s="22" t="n"/>
      <c r="D26" s="23" t="inlineStr">
        <is>
          <t>Performance review criteria, security KPIs for developers</t>
        </is>
      </c>
      <c r="E26" s="24" t="n"/>
      <c r="F26" s="25">
        <f>IF(C26="Implemented","✅",IF(C26="Partially Implemented","⚠️",IF(C26="Not Implemented","❌",IF(C26="N/A","N/A",""))))</f>
        <v/>
      </c>
    </row>
    <row r="27" ht="20" customHeight="1">
      <c r="A27" s="19" t="inlineStr">
        <is>
          <t>▶ Training &amp; Awareness</t>
        </is>
      </c>
    </row>
    <row r="28" ht="45" customHeight="1">
      <c r="A28" s="20" t="inlineStr">
        <is>
          <t>1.17</t>
        </is>
      </c>
      <c r="B28" s="21" t="inlineStr">
        <is>
          <t>Secure coding champions help developers apply standards</t>
        </is>
      </c>
      <c r="C28" s="22" t="n"/>
      <c r="D28" s="23" t="inlineStr">
        <is>
          <t>Security champion program documentation, champion activity logs</t>
        </is>
      </c>
      <c r="E28" s="24" t="n"/>
      <c r="F28" s="25">
        <f>IF(C28="Implemented","✅",IF(C28="Partially Implemented","⚠️",IF(C28="Not Implemented","❌",IF(C28="N/A","N/A",""))))</f>
        <v/>
      </c>
    </row>
    <row r="29" ht="45" customHeight="1">
      <c r="A29" s="20" t="inlineStr">
        <is>
          <t>1.18</t>
        </is>
      </c>
      <c r="B29" s="21" t="inlineStr">
        <is>
          <t>New hire onboarding includes secure coding standards training</t>
        </is>
      </c>
      <c r="C29" s="22" t="n"/>
      <c r="D29" s="23" t="inlineStr">
        <is>
          <t>Onboarding checklist, new hire training materials, completion records</t>
        </is>
      </c>
      <c r="E29" s="24" t="n"/>
      <c r="F29" s="25">
        <f>IF(C29="Implemented","✅",IF(C29="Partially Implemented","⚠️",IF(C29="Not Implemented","❌",IF(C29="N/A","N/A",""))))</f>
        <v/>
      </c>
    </row>
  </sheetData>
  <mergeCells count="10">
    <mergeCell ref="A11:F11"/>
    <mergeCell ref="A13:F13"/>
    <mergeCell ref="A1:F1"/>
    <mergeCell ref="A23:F23"/>
    <mergeCell ref="A27:F27"/>
    <mergeCell ref="A17:F17"/>
    <mergeCell ref="A3:F3"/>
    <mergeCell ref="A20:F20"/>
    <mergeCell ref="A15:F15"/>
    <mergeCell ref="A25:F25"/>
  </mergeCells>
  <dataValidations count="1">
    <dataValidation sqref="C4 C5 C6 C7 C8 C9 C10 C12 C14 C16 C18 C19 C21 C22 C24 C26 C28 C29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Standards &amp; Tools Assessment: SAST &amp; SCA Tools</t>
        </is>
      </c>
    </row>
    <row r="2" ht="30" customHeight="1">
      <c r="A2" s="18" t="inlineStr">
        <is>
          <t>ID</t>
        </is>
      </c>
      <c r="B2" s="18" t="inlineStr">
        <is>
          <t>Requirement</t>
        </is>
      </c>
      <c r="C2" s="18" t="inlineStr">
        <is>
          <t>Implementation Status</t>
        </is>
      </c>
      <c r="D2" s="18" t="inlineStr">
        <is>
          <t>Evidence Reference</t>
        </is>
      </c>
      <c r="E2" s="18" t="inlineStr">
        <is>
          <t>Comments</t>
        </is>
      </c>
      <c r="F2" s="18" t="inlineStr">
        <is>
          <t>Compliance</t>
        </is>
      </c>
    </row>
    <row r="3" ht="20" customHeight="1">
      <c r="A3" s="19" t="inlineStr">
        <is>
          <t>▶ SAST Deployment</t>
        </is>
      </c>
    </row>
    <row r="4" ht="45" customHeight="1">
      <c r="A4" s="20" t="inlineStr">
        <is>
          <t>2.1</t>
        </is>
      </c>
      <c r="B4" s="21" t="inlineStr">
        <is>
          <t>SAST (Static Application Security Testing) tool is deployed</t>
        </is>
      </c>
      <c r="C4" s="22" t="n"/>
      <c r="D4" s="23" t="inlineStr">
        <is>
          <t>Tool license, deployment documentation, access credentials</t>
        </is>
      </c>
      <c r="E4" s="24" t="n"/>
      <c r="F4" s="25">
        <f>IF(C4="Implemented","✅",IF(C4="Partially Implemented","⚠️",IF(C4="Not Implemented","❌",IF(C4="N/A","N/A",""))))</f>
        <v/>
      </c>
    </row>
    <row r="5" ht="20" customHeight="1">
      <c r="A5" s="19" t="inlineStr">
        <is>
          <t>▶ SAST Configuration</t>
        </is>
      </c>
    </row>
    <row r="6" ht="45" customHeight="1">
      <c r="A6" s="20" t="inlineStr">
        <is>
          <t>2.2</t>
        </is>
      </c>
      <c r="B6" s="21" t="inlineStr">
        <is>
          <t>SAST tool covers all primary programming languages used</t>
        </is>
      </c>
      <c r="C6" s="22" t="n"/>
      <c r="D6" s="23" t="inlineStr">
        <is>
          <t>Language support documentation, configuration for each language</t>
        </is>
      </c>
      <c r="E6" s="24" t="n"/>
      <c r="F6" s="25">
        <f>IF(C6="Implemented","✅",IF(C6="Partially Implemented","⚠️",IF(C6="Not Implemented","❌",IF(C6="N/A","N/A",""))))</f>
        <v/>
      </c>
    </row>
    <row r="7" ht="20" customHeight="1">
      <c r="A7" s="19" t="inlineStr">
        <is>
          <t>▶ SAST Integration</t>
        </is>
      </c>
    </row>
    <row r="8" ht="45" customHeight="1">
      <c r="A8" s="20" t="inlineStr">
        <is>
          <t>2.3</t>
        </is>
      </c>
      <c r="B8" s="21" t="inlineStr">
        <is>
          <t>SAST scans run automatically on every code commit/PR</t>
        </is>
      </c>
      <c r="C8" s="22" t="n"/>
      <c r="D8" s="23" t="inlineStr">
        <is>
          <t>CI/CD integration config, pipeline logs showing SAST execution</t>
        </is>
      </c>
      <c r="E8" s="24" t="n"/>
      <c r="F8" s="25">
        <f>IF(C8="Implemented","✅",IF(C8="Partially Implemented","⚠️",IF(C8="Not Implemented","❌",IF(C8="N/A","N/A",""))))</f>
        <v/>
      </c>
    </row>
    <row r="9" ht="20" customHeight="1">
      <c r="A9" s="19" t="inlineStr">
        <is>
          <t>▶ SAST Configuration</t>
        </is>
      </c>
    </row>
    <row r="10" ht="45" customHeight="1">
      <c r="A10" s="20" t="inlineStr">
        <is>
          <t>2.4</t>
        </is>
      </c>
      <c r="B10" s="21" t="inlineStr">
        <is>
          <t>SAST tool is configured with security-focused rulesets</t>
        </is>
      </c>
      <c r="C10" s="22" t="n"/>
      <c r="D10" s="23" t="inlineStr">
        <is>
          <t>Ruleset configuration, enabled security rules list</t>
        </is>
      </c>
      <c r="E10" s="24" t="n"/>
      <c r="F10" s="25">
        <f>IF(C10="Implemented","✅",IF(C10="Partially Implemented","⚠️",IF(C10="Not Implemented","❌",IF(C10="N/A","N/A",""))))</f>
        <v/>
      </c>
    </row>
    <row r="11" ht="45" customHeight="1">
      <c r="A11" s="20" t="inlineStr">
        <is>
          <t>2.5</t>
        </is>
      </c>
      <c r="B11" s="21" t="inlineStr">
        <is>
          <t>SAST findings are prioritized by severity (Critical/High/Medium/Low)</t>
        </is>
      </c>
      <c r="C11" s="22" t="n"/>
      <c r="D11" s="23" t="inlineStr">
        <is>
          <t>Severity classification schema, findings dashboard</t>
        </is>
      </c>
      <c r="E11" s="24" t="n"/>
      <c r="F11" s="25">
        <f>IF(C11="Implemented","✅",IF(C11="Partially Implemented","⚠️",IF(C11="Not Implemented","❌",IF(C11="N/A","N/A",""))))</f>
        <v/>
      </c>
    </row>
    <row r="12" ht="20" customHeight="1">
      <c r="A12" s="19" t="inlineStr">
        <is>
          <t>▶ SAST Integration</t>
        </is>
      </c>
    </row>
    <row r="13" ht="45" customHeight="1">
      <c r="A13" s="20" t="inlineStr">
        <is>
          <t>2.6</t>
        </is>
      </c>
      <c r="B13" s="21" t="inlineStr">
        <is>
          <t>Critical/High SAST findings block code deployment</t>
        </is>
      </c>
      <c r="C13" s="22" t="n"/>
      <c r="D13" s="23" t="inlineStr">
        <is>
          <t>Quality gate configuration, blocked deployment logs</t>
        </is>
      </c>
      <c r="E13" s="24" t="n"/>
      <c r="F13" s="25">
        <f>IF(C13="Implemented","✅",IF(C13="Partially Implemented","⚠️",IF(C13="Not Implemented","❌",IF(C13="N/A","N/A",""))))</f>
        <v/>
      </c>
    </row>
    <row r="14" ht="20" customHeight="1">
      <c r="A14" s="19" t="inlineStr">
        <is>
          <t>▶ SAST Configuration</t>
        </is>
      </c>
    </row>
    <row r="15" ht="45" customHeight="1">
      <c r="A15" s="20" t="inlineStr">
        <is>
          <t>2.7</t>
        </is>
      </c>
      <c r="B15" s="21" t="inlineStr">
        <is>
          <t>SAST false positives can be suppressed with justification</t>
        </is>
      </c>
      <c r="C15" s="22" t="n"/>
      <c r="D15" s="23" t="inlineStr">
        <is>
          <t>Suppression process, suppression audit trail, justification records</t>
        </is>
      </c>
      <c r="E15" s="24" t="n"/>
      <c r="F15" s="25">
        <f>IF(C15="Implemented","✅",IF(C15="Partially Implemented","⚠️",IF(C15="Not Implemented","❌",IF(C15="N/A","N/A",""))))</f>
        <v/>
      </c>
    </row>
    <row r="16" ht="20" customHeight="1">
      <c r="A16" s="19" t="inlineStr">
        <is>
          <t>▶ SAST Remediation</t>
        </is>
      </c>
    </row>
    <row r="17" ht="45" customHeight="1">
      <c r="A17" s="20" t="inlineStr">
        <is>
          <t>2.8</t>
        </is>
      </c>
      <c r="B17" s="21" t="inlineStr">
        <is>
          <t>SAST findings are tracked to resolution in ticketing system</t>
        </is>
      </c>
      <c r="C17" s="22" t="n"/>
      <c r="D17" s="23" t="inlineStr">
        <is>
          <t>JIRA/Azure DevOps integration, vulnerability tracking tickets</t>
        </is>
      </c>
      <c r="E17" s="24" t="n"/>
      <c r="F17" s="25">
        <f>IF(C17="Implemented","✅",IF(C17="Partially Implemented","⚠️",IF(C17="Not Implemented","❌",IF(C17="N/A","N/A",""))))</f>
        <v/>
      </c>
    </row>
    <row r="18" ht="20" customHeight="1">
      <c r="A18" s="19" t="inlineStr">
        <is>
          <t>▶ SCA Deployment</t>
        </is>
      </c>
    </row>
    <row r="19" ht="45" customHeight="1">
      <c r="A19" s="20" t="inlineStr">
        <is>
          <t>2.9</t>
        </is>
      </c>
      <c r="B19" s="21" t="inlineStr">
        <is>
          <t>SCA (Software Composition Analysis) tool is deployed</t>
        </is>
      </c>
      <c r="C19" s="22" t="n"/>
      <c r="D19" s="23" t="inlineStr">
        <is>
          <t>Tool license, deployment documentation, access credentials</t>
        </is>
      </c>
      <c r="E19" s="24" t="n"/>
      <c r="F19" s="25">
        <f>IF(C19="Implemented","✅",IF(C19="Partially Implemented","⚠️",IF(C19="Not Implemented","❌",IF(C19="N/A","N/A",""))))</f>
        <v/>
      </c>
    </row>
    <row r="20" ht="20" customHeight="1">
      <c r="A20" s="19" t="inlineStr">
        <is>
          <t>▶ SCA Configuration</t>
        </is>
      </c>
    </row>
    <row r="21" ht="45" customHeight="1">
      <c r="A21" s="20" t="inlineStr">
        <is>
          <t>2.10</t>
        </is>
      </c>
      <c r="B21" s="21" t="inlineStr">
        <is>
          <t>SCA tool scans all dependency manifests (package.json, pom.xml, etc.)</t>
        </is>
      </c>
      <c r="C21" s="22" t="n"/>
      <c r="D21" s="23" t="inlineStr">
        <is>
          <t>Supported manifest files list, scan coverage reports</t>
        </is>
      </c>
      <c r="E21" s="24" t="n"/>
      <c r="F21" s="25">
        <f>IF(C21="Implemented","✅",IF(C21="Partially Implemented","⚠️",IF(C21="Not Implemented","❌",IF(C21="N/A","N/A",""))))</f>
        <v/>
      </c>
    </row>
    <row r="22" ht="20" customHeight="1">
      <c r="A22" s="19" t="inlineStr">
        <is>
          <t>▶ SCA Integration</t>
        </is>
      </c>
    </row>
    <row r="23" ht="45" customHeight="1">
      <c r="A23" s="20" t="inlineStr">
        <is>
          <t>2.11</t>
        </is>
      </c>
      <c r="B23" s="21" t="inlineStr">
        <is>
          <t>SCA scans run automatically on every build</t>
        </is>
      </c>
      <c r="C23" s="22" t="n"/>
      <c r="D23" s="23" t="inlineStr">
        <is>
          <t>CI/CD integration, build logs showing SCA execution</t>
        </is>
      </c>
      <c r="E23" s="24" t="n"/>
      <c r="F23" s="25">
        <f>IF(C23="Implemented","✅",IF(C23="Partially Implemented","⚠️",IF(C23="Not Implemented","❌",IF(C23="N/A","N/A",""))))</f>
        <v/>
      </c>
    </row>
    <row r="24" ht="20" customHeight="1">
      <c r="A24" s="19" t="inlineStr">
        <is>
          <t>▶ SCA Configuration</t>
        </is>
      </c>
    </row>
    <row r="25" ht="45" customHeight="1">
      <c r="A25" s="20" t="inlineStr">
        <is>
          <t>2.12</t>
        </is>
      </c>
      <c r="B25" s="21" t="inlineStr">
        <is>
          <t>SCA tool checks for known vulnerabilities in dependencies (CVEs)</t>
        </is>
      </c>
      <c r="C25" s="22" t="n"/>
      <c r="D25" s="23" t="inlineStr">
        <is>
          <t>Vulnerability database updates, CVE detection reports</t>
        </is>
      </c>
      <c r="E25" s="24" t="n"/>
      <c r="F25" s="25">
        <f>IF(C25="Implemented","✅",IF(C25="Partially Implemented","⚠️",IF(C25="Not Implemented","❌",IF(C25="N/A","N/A",""))))</f>
        <v/>
      </c>
    </row>
    <row r="26" ht="45" customHeight="1">
      <c r="A26" s="20" t="inlineStr">
        <is>
          <t>2.13</t>
        </is>
      </c>
      <c r="B26" s="21" t="inlineStr">
        <is>
          <t>SCA tool checks for license compliance issues</t>
        </is>
      </c>
      <c r="C26" s="22" t="n"/>
      <c r="D26" s="23" t="inlineStr">
        <is>
          <t>License policy configuration, license violation reports</t>
        </is>
      </c>
      <c r="E26" s="24" t="n"/>
      <c r="F26" s="25">
        <f>IF(C26="Implemented","✅",IF(C26="Partially Implemented","⚠️",IF(C26="Not Implemented","❌",IF(C26="N/A","N/A",""))))</f>
        <v/>
      </c>
    </row>
    <row r="27" ht="20" customHeight="1">
      <c r="A27" s="19" t="inlineStr">
        <is>
          <t>▶ SCA Integration</t>
        </is>
      </c>
    </row>
    <row r="28" ht="45" customHeight="1">
      <c r="A28" s="20" t="inlineStr">
        <is>
          <t>2.14</t>
        </is>
      </c>
      <c r="B28" s="21" t="inlineStr">
        <is>
          <t>Critical/High vulnerability findings block deployment</t>
        </is>
      </c>
      <c r="C28" s="22" t="n"/>
      <c r="D28" s="23" t="inlineStr">
        <is>
          <t>Quality gate configuration, blocked deployment logs</t>
        </is>
      </c>
      <c r="E28" s="24" t="n"/>
      <c r="F28" s="25">
        <f>IF(C28="Implemented","✅",IF(C28="Partially Implemented","⚠️",IF(C28="Not Implemented","❌",IF(C28="N/A","N/A",""))))</f>
        <v/>
      </c>
    </row>
    <row r="29" ht="20" customHeight="1">
      <c r="A29" s="19" t="inlineStr">
        <is>
          <t>▶ SCA Remediation</t>
        </is>
      </c>
    </row>
    <row r="30" ht="45" customHeight="1">
      <c r="A30" s="20" t="inlineStr">
        <is>
          <t>2.15</t>
        </is>
      </c>
      <c r="B30" s="21" t="inlineStr">
        <is>
          <t>SCA tool provides remediation guidance (upgrade paths)</t>
        </is>
      </c>
      <c r="C30" s="22" t="n"/>
      <c r="D30" s="23" t="inlineStr">
        <is>
          <t>Remediation recommendations, automated PR generation</t>
        </is>
      </c>
      <c r="E30" s="24" t="n"/>
      <c r="F30" s="25">
        <f>IF(C30="Implemented","✅",IF(C30="Partially Implemented","⚠️",IF(C30="Not Implemented","❌",IF(C30="N/A","N/A",""))))</f>
        <v/>
      </c>
    </row>
    <row r="31" ht="45" customHeight="1">
      <c r="A31" s="20" t="inlineStr">
        <is>
          <t>2.16</t>
        </is>
      </c>
      <c r="B31" s="21" t="inlineStr">
        <is>
          <t>Dependency vulnerabilities have defined SLAs for remediation</t>
        </is>
      </c>
      <c r="C31" s="22" t="n"/>
      <c r="D31" s="23" t="inlineStr">
        <is>
          <t>Vulnerability remediation SLA policy, SLA tracking metrics</t>
        </is>
      </c>
      <c r="E31" s="24" t="n"/>
      <c r="F31" s="25">
        <f>IF(C31="Implemented","✅",IF(C31="Partially Implemented","⚠️",IF(C31="Not Implemented","❌",IF(C31="N/A","N/A",""))))</f>
        <v/>
      </c>
    </row>
    <row r="32" ht="20" customHeight="1">
      <c r="A32" s="19" t="inlineStr">
        <is>
          <t>▶ Tool Governance</t>
        </is>
      </c>
    </row>
    <row r="33" ht="45" customHeight="1">
      <c r="A33" s="20" t="inlineStr">
        <is>
          <t>2.17</t>
        </is>
      </c>
      <c r="B33" s="21" t="inlineStr">
        <is>
          <t>SAST and SCA findings are reviewed by security team regularly</t>
        </is>
      </c>
      <c r="C33" s="22" t="n"/>
      <c r="D33" s="23" t="inlineStr">
        <is>
          <t>Security review meeting notes, findings triage records</t>
        </is>
      </c>
      <c r="E33" s="24" t="n"/>
      <c r="F33" s="25">
        <f>IF(C33="Implemented","✅",IF(C33="Partially Implemented","⚠️",IF(C33="Not Implemented","❌",IF(C33="N/A","N/A",""))))</f>
        <v/>
      </c>
    </row>
    <row r="34" ht="20" customHeight="1">
      <c r="A34" s="19" t="inlineStr">
        <is>
          <t>▶ Tool Effectiveness</t>
        </is>
      </c>
    </row>
    <row r="35" ht="45" customHeight="1">
      <c r="A35" s="20" t="inlineStr">
        <is>
          <t>2.18</t>
        </is>
      </c>
      <c r="B35" s="21" t="inlineStr">
        <is>
          <t>Metrics track SAST/SCA finding trends and remediation velocity</t>
        </is>
      </c>
      <c r="C35" s="22" t="n"/>
      <c r="D35" s="23" t="inlineStr">
        <is>
          <t>Security metrics dashboard, trend analysis reports</t>
        </is>
      </c>
      <c r="E35" s="24" t="n"/>
      <c r="F35" s="25">
        <f>IF(C35="Implemented","✅",IF(C35="Partially Implemented","⚠️",IF(C35="Not Implemented","❌",IF(C35="N/A","N/A",""))))</f>
        <v/>
      </c>
    </row>
  </sheetData>
  <mergeCells count="16">
    <mergeCell ref="A24:F24"/>
    <mergeCell ref="A16:F16"/>
    <mergeCell ref="A14:F14"/>
    <mergeCell ref="A1:F1"/>
    <mergeCell ref="A5:F5"/>
    <mergeCell ref="A9:F9"/>
    <mergeCell ref="A27:F27"/>
    <mergeCell ref="A32:F32"/>
    <mergeCell ref="A22:F22"/>
    <mergeCell ref="A34:F34"/>
    <mergeCell ref="A12:F12"/>
    <mergeCell ref="A18:F18"/>
    <mergeCell ref="A3:F3"/>
    <mergeCell ref="A20:F20"/>
    <mergeCell ref="A29:F29"/>
    <mergeCell ref="A7:F7"/>
  </mergeCells>
  <dataValidations count="1">
    <dataValidation sqref="C4 C6 C8 C10 C11 C13 C15 C17 C19 C21 C23 C25 C26 C28 C30 C31 C33 C35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Standards &amp; Tools Assessment: DAST &amp; Security Testing Tools</t>
        </is>
      </c>
    </row>
    <row r="2" ht="30" customHeight="1">
      <c r="A2" s="18" t="inlineStr">
        <is>
          <t>ID</t>
        </is>
      </c>
      <c r="B2" s="18" t="inlineStr">
        <is>
          <t>Requirement</t>
        </is>
      </c>
      <c r="C2" s="18" t="inlineStr">
        <is>
          <t>Implementation Status</t>
        </is>
      </c>
      <c r="D2" s="18" t="inlineStr">
        <is>
          <t>Evidence Reference</t>
        </is>
      </c>
      <c r="E2" s="18" t="inlineStr">
        <is>
          <t>Comments</t>
        </is>
      </c>
      <c r="F2" s="18" t="inlineStr">
        <is>
          <t>Compliance</t>
        </is>
      </c>
    </row>
    <row r="3" ht="20" customHeight="1">
      <c r="A3" s="19" t="inlineStr">
        <is>
          <t>▶ DAST Deployment</t>
        </is>
      </c>
    </row>
    <row r="4" ht="45" customHeight="1">
      <c r="A4" s="20" t="inlineStr">
        <is>
          <t>3.1</t>
        </is>
      </c>
      <c r="B4" s="21" t="inlineStr">
        <is>
          <t>DAST (Dynamic Application Security Testing) tool is deployed</t>
        </is>
      </c>
      <c r="C4" s="22" t="n"/>
      <c r="D4" s="23" t="inlineStr">
        <is>
          <t>Tool license, deployment documentation, scanning infrastructure</t>
        </is>
      </c>
      <c r="E4" s="24" t="n"/>
      <c r="F4" s="25">
        <f>IF(C4="Implemented","✅",IF(C4="Partially Implemented","⚠️",IF(C4="Not Implemented","❌",IF(C4="N/A","N/A",""))))</f>
        <v/>
      </c>
    </row>
    <row r="5" ht="20" customHeight="1">
      <c r="A5" s="19" t="inlineStr">
        <is>
          <t>▶ DAST Configuration</t>
        </is>
      </c>
    </row>
    <row r="6" ht="45" customHeight="1">
      <c r="A6" s="20" t="inlineStr">
        <is>
          <t>3.2</t>
        </is>
      </c>
      <c r="B6" s="21" t="inlineStr">
        <is>
          <t>DAST scans run against staging/pre-production environments</t>
        </is>
      </c>
      <c r="C6" s="22" t="n"/>
      <c r="D6" s="23" t="inlineStr">
        <is>
          <t>Scan configuration, target environment documentation</t>
        </is>
      </c>
      <c r="E6" s="24" t="n"/>
      <c r="F6" s="25">
        <f>IF(C6="Implemented","✅",IF(C6="Partially Implemented","⚠️",IF(C6="Not Implemented","❌",IF(C6="N/A","N/A",""))))</f>
        <v/>
      </c>
    </row>
    <row r="7" ht="20" customHeight="1">
      <c r="A7" s="19" t="inlineStr">
        <is>
          <t>▶ DAST Integration</t>
        </is>
      </c>
    </row>
    <row r="8" ht="45" customHeight="1">
      <c r="A8" s="20" t="inlineStr">
        <is>
          <t>3.3</t>
        </is>
      </c>
      <c r="B8" s="21" t="inlineStr">
        <is>
          <t>DAST scans are executed before production releases</t>
        </is>
      </c>
      <c r="C8" s="22" t="n"/>
      <c r="D8" s="23" t="inlineStr">
        <is>
          <t>Release checklist with DAST requirement, scan reports</t>
        </is>
      </c>
      <c r="E8" s="24" t="n"/>
      <c r="F8" s="25">
        <f>IF(C8="Implemented","✅",IF(C8="Partially Implemented","⚠️",IF(C8="Not Implemented","❌",IF(C8="N/A","N/A",""))))</f>
        <v/>
      </c>
    </row>
    <row r="9" ht="20" customHeight="1">
      <c r="A9" s="19" t="inlineStr">
        <is>
          <t>▶ DAST Configuration</t>
        </is>
      </c>
    </row>
    <row r="10" ht="45" customHeight="1">
      <c r="A10" s="20" t="inlineStr">
        <is>
          <t>3.4</t>
        </is>
      </c>
      <c r="B10" s="21" t="inlineStr">
        <is>
          <t>DAST tool tests for OWASP Top 10 vulnerabilities</t>
        </is>
      </c>
      <c r="C10" s="22" t="n"/>
      <c r="D10" s="23" t="inlineStr">
        <is>
          <t>Scan policy configuration, OWASP Top 10 test coverage</t>
        </is>
      </c>
      <c r="E10" s="24" t="n"/>
      <c r="F10" s="25">
        <f>IF(C10="Implemented","✅",IF(C10="Partially Implemented","⚠️",IF(C10="Not Implemented","❌",IF(C10="N/A","N/A",""))))</f>
        <v/>
      </c>
    </row>
    <row r="11" ht="45" customHeight="1">
      <c r="A11" s="20" t="inlineStr">
        <is>
          <t>3.5</t>
        </is>
      </c>
      <c r="B11" s="21" t="inlineStr">
        <is>
          <t>DAST scans include authenticated testing (logged-in scenarios)</t>
        </is>
      </c>
      <c r="C11" s="22" t="n"/>
      <c r="D11" s="23" t="inlineStr">
        <is>
          <t>Authentication configuration, authenticated scan results</t>
        </is>
      </c>
      <c r="E11" s="24" t="n"/>
      <c r="F11" s="25">
        <f>IF(C11="Implemented","✅",IF(C11="Partially Implemented","⚠️",IF(C11="Not Implemented","❌",IF(C11="N/A","N/A",""))))</f>
        <v/>
      </c>
    </row>
    <row r="12" ht="45" customHeight="1">
      <c r="A12" s="20" t="inlineStr">
        <is>
          <t>3.6</t>
        </is>
      </c>
      <c r="B12" s="21" t="inlineStr">
        <is>
          <t>DAST findings are classified by severity and risk</t>
        </is>
      </c>
      <c r="C12" s="22" t="n"/>
      <c r="D12" s="23" t="inlineStr">
        <is>
          <t>Severity schema, risk scoring methodology</t>
        </is>
      </c>
      <c r="E12" s="24" t="n"/>
      <c r="F12" s="25">
        <f>IF(C12="Implemented","✅",IF(C12="Partially Implemented","⚠️",IF(C12="Not Implemented","❌",IF(C12="N/A","N/A",""))))</f>
        <v/>
      </c>
    </row>
    <row r="13" ht="20" customHeight="1">
      <c r="A13" s="19" t="inlineStr">
        <is>
          <t>▶ DAST Integration</t>
        </is>
      </c>
    </row>
    <row r="14" ht="45" customHeight="1">
      <c r="A14" s="20" t="inlineStr">
        <is>
          <t>3.7</t>
        </is>
      </c>
      <c r="B14" s="21" t="inlineStr">
        <is>
          <t>Critical DAST findings block production deployment</t>
        </is>
      </c>
      <c r="C14" s="22" t="n"/>
      <c r="D14" s="23" t="inlineStr">
        <is>
          <t>Release gate configuration, blocked release records</t>
        </is>
      </c>
      <c r="E14" s="24" t="n"/>
      <c r="F14" s="25">
        <f>IF(C14="Implemented","✅",IF(C14="Partially Implemented","⚠️",IF(C14="Not Implemented","❌",IF(C14="N/A","N/A",""))))</f>
        <v/>
      </c>
    </row>
    <row r="15" ht="20" customHeight="1">
      <c r="A15" s="19" t="inlineStr">
        <is>
          <t>▶ DAST Remediation</t>
        </is>
      </c>
    </row>
    <row r="16" ht="45" customHeight="1">
      <c r="A16" s="20" t="inlineStr">
        <is>
          <t>3.8</t>
        </is>
      </c>
      <c r="B16" s="21" t="inlineStr">
        <is>
          <t>DAST false positives are validated and documented</t>
        </is>
      </c>
      <c r="C16" s="22" t="n"/>
      <c r="D16" s="23" t="inlineStr">
        <is>
          <t>False positive validation process, validation records</t>
        </is>
      </c>
      <c r="E16" s="24" t="n"/>
      <c r="F16" s="25">
        <f>IF(C16="Implemented","✅",IF(C16="Partially Implemented","⚠️",IF(C16="Not Implemented","❌",IF(C16="N/A","N/A",""))))</f>
        <v/>
      </c>
    </row>
    <row r="17" ht="20" customHeight="1">
      <c r="A17" s="19" t="inlineStr">
        <is>
          <t>▶ API Testing</t>
        </is>
      </c>
    </row>
    <row r="18" ht="45" customHeight="1">
      <c r="A18" s="20" t="inlineStr">
        <is>
          <t>3.9</t>
        </is>
      </c>
      <c r="B18" s="21" t="inlineStr">
        <is>
          <t>API security testing tools are deployed for API testing</t>
        </is>
      </c>
      <c r="C18" s="22" t="n"/>
      <c r="D18" s="23" t="inlineStr">
        <is>
          <t>API testing tool documentation (Postman, REST Assured, etc.)</t>
        </is>
      </c>
      <c r="E18" s="24" t="n"/>
      <c r="F18" s="25">
        <f>IF(C18="Implemented","✅",IF(C18="Partially Implemented","⚠️",IF(C18="Not Implemented","❌",IF(C18="N/A","N/A",""))))</f>
        <v/>
      </c>
    </row>
    <row r="19" ht="45" customHeight="1">
      <c r="A19" s="20" t="inlineStr">
        <is>
          <t>3.10</t>
        </is>
      </c>
      <c r="B19" s="21" t="inlineStr">
        <is>
          <t>API tests include authentication and authorization testing</t>
        </is>
      </c>
      <c r="C19" s="22" t="n"/>
      <c r="D19" s="23" t="inlineStr">
        <is>
          <t>API test scenarios, auth bypass test cases</t>
        </is>
      </c>
      <c r="E19" s="24" t="n"/>
      <c r="F19" s="25">
        <f>IF(C19="Implemented","✅",IF(C19="Partially Implemented","⚠️",IF(C19="Not Implemented","❌",IF(C19="N/A","N/A",""))))</f>
        <v/>
      </c>
    </row>
    <row r="20" ht="45" customHeight="1">
      <c r="A20" s="20" t="inlineStr">
        <is>
          <t>3.11</t>
        </is>
      </c>
      <c r="B20" s="21" t="inlineStr">
        <is>
          <t>API tests include input validation and injection testing</t>
        </is>
      </c>
      <c r="C20" s="22" t="n"/>
      <c r="D20" s="23" t="inlineStr">
        <is>
          <t>API fuzzing results, injection test cases</t>
        </is>
      </c>
      <c r="E20" s="24" t="n"/>
      <c r="F20" s="25">
        <f>IF(C20="Implemented","✅",IF(C20="Partially Implemented","⚠️",IF(C20="Not Implemented","❌",IF(C20="N/A","N/A",""))))</f>
        <v/>
      </c>
    </row>
    <row r="21" ht="20" customHeight="1">
      <c r="A21" s="19" t="inlineStr">
        <is>
          <t>▶ Container Security</t>
        </is>
      </c>
    </row>
    <row r="22" ht="45" customHeight="1">
      <c r="A22" s="20" t="inlineStr">
        <is>
          <t>3.12</t>
        </is>
      </c>
      <c r="B22" s="21" t="inlineStr">
        <is>
          <t>Container/image scanning tool is deployed</t>
        </is>
      </c>
      <c r="C22" s="22" t="n"/>
      <c r="D22" s="23" t="inlineStr">
        <is>
          <t>Tool documentation (Trivy, Clair, Anchore), scan integration</t>
        </is>
      </c>
      <c r="E22" s="24" t="n"/>
      <c r="F22" s="25">
        <f>IF(C22="Implemented","✅",IF(C22="Partially Implemented","⚠️",IF(C22="Not Implemented","❌",IF(C22="N/A","N/A",""))))</f>
        <v/>
      </c>
    </row>
    <row r="23" ht="45" customHeight="1">
      <c r="A23" s="20" t="inlineStr">
        <is>
          <t>3.13</t>
        </is>
      </c>
      <c r="B23" s="21" t="inlineStr">
        <is>
          <t>Container images are scanned before deployment</t>
        </is>
      </c>
      <c r="C23" s="22" t="n"/>
      <c r="D23" s="23" t="inlineStr">
        <is>
          <t>Container scan results, vulnerability reports</t>
        </is>
      </c>
      <c r="E23" s="24" t="n"/>
      <c r="F23" s="25">
        <f>IF(C23="Implemented","✅",IF(C23="Partially Implemented","⚠️",IF(C23="Not Implemented","❌",IF(C23="N/A","N/A",""))))</f>
        <v/>
      </c>
    </row>
    <row r="24" ht="20" customHeight="1">
      <c r="A24" s="19" t="inlineStr">
        <is>
          <t>▶ IaC Security</t>
        </is>
      </c>
    </row>
    <row r="25" ht="45" customHeight="1">
      <c r="A25" s="20" t="inlineStr">
        <is>
          <t>3.14</t>
        </is>
      </c>
      <c r="B25" s="21" t="inlineStr">
        <is>
          <t>IaC (Infrastructure-as-Code) scanning tool is deployed</t>
        </is>
      </c>
      <c r="C25" s="22" t="n"/>
      <c r="D25" s="23" t="inlineStr">
        <is>
          <t>Tool documentation (Checkov, tfsec, Terrascan), scan config</t>
        </is>
      </c>
      <c r="E25" s="24" t="n"/>
      <c r="F25" s="25">
        <f>IF(C25="Implemented","✅",IF(C25="Partially Implemented","⚠️",IF(C25="Not Implemented","❌",IF(C25="N/A","N/A",""))))</f>
        <v/>
      </c>
    </row>
    <row r="26" ht="45" customHeight="1">
      <c r="A26" s="20" t="inlineStr">
        <is>
          <t>3.15</t>
        </is>
      </c>
      <c r="B26" s="21" t="inlineStr">
        <is>
          <t>IaC is scanned for misconfigurations before deployment</t>
        </is>
      </c>
      <c r="C26" s="22" t="n"/>
      <c r="D26" s="23" t="inlineStr">
        <is>
          <t>IaC scan results, misconfiguration findings</t>
        </is>
      </c>
      <c r="E26" s="24" t="n"/>
      <c r="F26" s="25">
        <f>IF(C26="Implemented","✅",IF(C26="Partially Implemented","⚠️",IF(C26="Not Implemented","❌",IF(C26="N/A","N/A",""))))</f>
        <v/>
      </c>
    </row>
    <row r="27" ht="20" customHeight="1">
      <c r="A27" s="19" t="inlineStr">
        <is>
          <t>▶ Testing Governance</t>
        </is>
      </c>
    </row>
    <row r="28" ht="45" customHeight="1">
      <c r="A28" s="20" t="inlineStr">
        <is>
          <t>3.16</t>
        </is>
      </c>
      <c r="B28" s="21" t="inlineStr">
        <is>
          <t>Security testing results are archived for audit purposes</t>
        </is>
      </c>
      <c r="C28" s="22" t="n"/>
      <c r="D28" s="23" t="inlineStr">
        <is>
          <t>Test result storage, historical scan archives</t>
        </is>
      </c>
      <c r="E28" s="24" t="n"/>
      <c r="F28" s="25">
        <f>IF(C28="Implemented","✅",IF(C28="Partially Implemented","⚠️",IF(C28="Not Implemented","❌",IF(C28="N/A","N/A",""))))</f>
        <v/>
      </c>
    </row>
    <row r="29" ht="20" customHeight="1">
      <c r="A29" s="19" t="inlineStr">
        <is>
          <t>▶ Penetration Testing</t>
        </is>
      </c>
    </row>
    <row r="30" ht="45" customHeight="1">
      <c r="A30" s="20" t="inlineStr">
        <is>
          <t>3.17</t>
        </is>
      </c>
      <c r="B30" s="21" t="inlineStr">
        <is>
          <t>Penetration testing is performed annually for critical applications</t>
        </is>
      </c>
      <c r="C30" s="22" t="n"/>
      <c r="D30" s="23" t="inlineStr">
        <is>
          <t>Pentest reports, remediation tracking, retest results</t>
        </is>
      </c>
      <c r="E30" s="24" t="n"/>
      <c r="F30" s="25">
        <f>IF(C30="Implemented","✅",IF(C30="Partially Implemented","⚠️",IF(C30="Not Implemented","❌",IF(C30="N/A","N/A",""))))</f>
        <v/>
      </c>
    </row>
    <row r="31" ht="20" customHeight="1">
      <c r="A31" s="19" t="inlineStr">
        <is>
          <t>▶ External Testing</t>
        </is>
      </c>
    </row>
    <row r="32" ht="45" customHeight="1">
      <c r="A32" s="20" t="inlineStr">
        <is>
          <t>3.18</t>
        </is>
      </c>
      <c r="B32" s="21" t="inlineStr">
        <is>
          <t>Bug bounty or responsible disclosure program is active</t>
        </is>
      </c>
      <c r="C32" s="22" t="n"/>
      <c r="D32" s="23" t="inlineStr">
        <is>
          <t>Bug bounty platform (HackerOne, Bugcrowd), submission records</t>
        </is>
      </c>
      <c r="E32" s="24" t="n"/>
      <c r="F32" s="25">
        <f>IF(C32="Implemented","✅",IF(C32="Partially Implemented","⚠️",IF(C32="Not Implemented","❌",IF(C32="N/A","N/A",""))))</f>
        <v/>
      </c>
    </row>
  </sheetData>
  <mergeCells count="13">
    <mergeCell ref="A24:F24"/>
    <mergeCell ref="A13:F13"/>
    <mergeCell ref="A1:F1"/>
    <mergeCell ref="A5:F5"/>
    <mergeCell ref="A9:F9"/>
    <mergeCell ref="A27:F27"/>
    <mergeCell ref="A29:F29"/>
    <mergeCell ref="A31:F31"/>
    <mergeCell ref="A17:F17"/>
    <mergeCell ref="A3:F3"/>
    <mergeCell ref="A21:F21"/>
    <mergeCell ref="A15:F15"/>
    <mergeCell ref="A7:F7"/>
  </mergeCells>
  <dataValidations count="1">
    <dataValidation sqref="C4 C6 C8 C10 C11 C12 C14 C16 C18 C19 C20 C22 C23 C25 C26 C28 C30 C32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Standards &amp; Tools Assessment: IDE Plugins &amp; Linters</t>
        </is>
      </c>
    </row>
    <row r="2" ht="30" customHeight="1">
      <c r="A2" s="18" t="inlineStr">
        <is>
          <t>ID</t>
        </is>
      </c>
      <c r="B2" s="18" t="inlineStr">
        <is>
          <t>Requirement</t>
        </is>
      </c>
      <c r="C2" s="18" t="inlineStr">
        <is>
          <t>Implementation Status</t>
        </is>
      </c>
      <c r="D2" s="18" t="inlineStr">
        <is>
          <t>Evidence Reference</t>
        </is>
      </c>
      <c r="E2" s="18" t="inlineStr">
        <is>
          <t>Comments</t>
        </is>
      </c>
      <c r="F2" s="18" t="inlineStr">
        <is>
          <t>Compliance</t>
        </is>
      </c>
    </row>
    <row r="3" ht="20" customHeight="1">
      <c r="A3" s="19" t="inlineStr">
        <is>
          <t>▶ IDE Plugins</t>
        </is>
      </c>
    </row>
    <row r="4" ht="45" customHeight="1">
      <c r="A4" s="20" t="inlineStr">
        <is>
          <t>4.1</t>
        </is>
      </c>
      <c r="B4" s="21" t="inlineStr">
        <is>
          <t>Security-focused IDE plugins are available for developers</t>
        </is>
      </c>
      <c r="C4" s="22" t="n"/>
      <c r="D4" s="23" t="inlineStr">
        <is>
          <t>Plugin catalog, installation guides, approved plugin list</t>
        </is>
      </c>
      <c r="E4" s="24" t="n"/>
      <c r="F4" s="25">
        <f>IF(C4="Implemented","✅",IF(C4="Partially Implemented","⚠️",IF(C4="Not Implemented","❌",IF(C4="N/A","N/A",""))))</f>
        <v/>
      </c>
    </row>
    <row r="5" ht="45" customHeight="1">
      <c r="A5" s="20" t="inlineStr">
        <is>
          <t>4.2</t>
        </is>
      </c>
      <c r="B5" s="21" t="inlineStr">
        <is>
          <t>SAST IDE plugins provide real-time security feedback</t>
        </is>
      </c>
      <c r="C5" s="22" t="n"/>
      <c r="D5" s="23" t="inlineStr">
        <is>
          <t>SonarLint, Snyk IDE plugin, or similar tool documentation</t>
        </is>
      </c>
      <c r="E5" s="24" t="n"/>
      <c r="F5" s="25">
        <f>IF(C5="Implemented","✅",IF(C5="Partially Implemented","⚠️",IF(C5="Not Implemented","❌",IF(C5="N/A","N/A",""))))</f>
        <v/>
      </c>
    </row>
    <row r="6" ht="20" customHeight="1">
      <c r="A6" s="19" t="inlineStr">
        <is>
          <t>▶ IDE Configuration</t>
        </is>
      </c>
    </row>
    <row r="7" ht="45" customHeight="1">
      <c r="A7" s="20" t="inlineStr">
        <is>
          <t>4.3</t>
        </is>
      </c>
      <c r="B7" s="21" t="inlineStr">
        <is>
          <t>IDE plugins are integrated with organizational security policies</t>
        </is>
      </c>
      <c r="C7" s="22" t="n"/>
      <c r="D7" s="23" t="inlineStr">
        <is>
          <t>Plugin configuration synced with SAST/SCA rules</t>
        </is>
      </c>
      <c r="E7" s="24" t="n"/>
      <c r="F7" s="25">
        <f>IF(C7="Implemented","✅",IF(C7="Partially Implemented","⚠️",IF(C7="Not Implemented","❌",IF(C7="N/A","N/A",""))))</f>
        <v/>
      </c>
    </row>
    <row r="8" ht="20" customHeight="1">
      <c r="A8" s="19" t="inlineStr">
        <is>
          <t>▶ IDE Adoption</t>
        </is>
      </c>
    </row>
    <row r="9" ht="45" customHeight="1">
      <c r="A9" s="20" t="inlineStr">
        <is>
          <t>4.4</t>
        </is>
      </c>
      <c r="B9" s="21" t="inlineStr">
        <is>
          <t>IDE plugin adoption rate is measured and tracked</t>
        </is>
      </c>
      <c r="C9" s="22" t="n"/>
      <c r="D9" s="23" t="inlineStr">
        <is>
          <t>Plugin telemetry, adoption metrics dashboard</t>
        </is>
      </c>
      <c r="E9" s="24" t="n"/>
      <c r="F9" s="25">
        <f>IF(C9="Implemented","✅",IF(C9="Partially Implemented","⚠️",IF(C9="Not Implemented","❌",IF(C9="N/A","N/A",""))))</f>
        <v/>
      </c>
    </row>
    <row r="10" ht="20" customHeight="1">
      <c r="A10" s="19" t="inlineStr">
        <is>
          <t>▶ IDE Training</t>
        </is>
      </c>
    </row>
    <row r="11" ht="45" customHeight="1">
      <c r="A11" s="20" t="inlineStr">
        <is>
          <t>4.5</t>
        </is>
      </c>
      <c r="B11" s="21" t="inlineStr">
        <is>
          <t>Developers receive training on using IDE security plugins</t>
        </is>
      </c>
      <c r="C11" s="22" t="n"/>
      <c r="D11" s="23" t="inlineStr">
        <is>
          <t>Plugin training materials, usage documentation</t>
        </is>
      </c>
      <c r="E11" s="24" t="n"/>
      <c r="F11" s="25">
        <f>IF(C11="Implemented","✅",IF(C11="Partially Implemented","⚠️",IF(C11="Not Implemented","❌",IF(C11="N/A","N/A",""))))</f>
        <v/>
      </c>
    </row>
    <row r="12" ht="20" customHeight="1">
      <c r="A12" s="19" t="inlineStr">
        <is>
          <t>▶ Linting</t>
        </is>
      </c>
    </row>
    <row r="13" ht="45" customHeight="1">
      <c r="A13" s="20" t="inlineStr">
        <is>
          <t>4.6</t>
        </is>
      </c>
      <c r="B13" s="21" t="inlineStr">
        <is>
          <t>Code linters are configured with security rules</t>
        </is>
      </c>
      <c r="C13" s="22" t="n"/>
      <c r="D13" s="23" t="inlineStr">
        <is>
          <t>Linter configuration files (eslint, pylint, rubocop), security rules enabled</t>
        </is>
      </c>
      <c r="E13" s="24" t="n"/>
      <c r="F13" s="25">
        <f>IF(C13="Implemented","✅",IF(C13="Partially Implemented","⚠️",IF(C13="Not Implemented","❌",IF(C13="N/A","N/A",""))))</f>
        <v/>
      </c>
    </row>
    <row r="14" ht="45" customHeight="1">
      <c r="A14" s="20" t="inlineStr">
        <is>
          <t>4.7</t>
        </is>
      </c>
      <c r="B14" s="21" t="inlineStr">
        <is>
          <t>Linters run automatically in developer IDEs</t>
        </is>
      </c>
      <c r="C14" s="22" t="n"/>
      <c r="D14" s="23" t="inlineStr">
        <is>
          <t>IDE linter integration, pre-commit hook configuration</t>
        </is>
      </c>
      <c r="E14" s="24" t="n"/>
      <c r="F14" s="25">
        <f>IF(C14="Implemented","✅",IF(C14="Partially Implemented","⚠️",IF(C14="Not Implemented","❌",IF(C14="N/A","N/A",""))))</f>
        <v/>
      </c>
    </row>
    <row r="15" ht="45" customHeight="1">
      <c r="A15" s="20" t="inlineStr">
        <is>
          <t>4.8</t>
        </is>
      </c>
      <c r="B15" s="21" t="inlineStr">
        <is>
          <t>Linting rules are enforced in CI/CD pipeline</t>
        </is>
      </c>
      <c r="C15" s="22" t="n"/>
      <c r="D15" s="23" t="inlineStr">
        <is>
          <t>Pipeline linting step, linting failure logs</t>
        </is>
      </c>
      <c r="E15" s="24" t="n"/>
      <c r="F15" s="25">
        <f>IF(C15="Implemented","✅",IF(C15="Partially Implemented","⚠️",IF(C15="Not Implemented","❌",IF(C15="N/A","N/A",""))))</f>
        <v/>
      </c>
    </row>
    <row r="16" ht="20" customHeight="1">
      <c r="A16" s="19" t="inlineStr">
        <is>
          <t>▶ Secret Prevention</t>
        </is>
      </c>
    </row>
    <row r="17" ht="45" customHeight="1">
      <c r="A17" s="20" t="inlineStr">
        <is>
          <t>4.9</t>
        </is>
      </c>
      <c r="B17" s="21" t="inlineStr">
        <is>
          <t>Secret scanning pre-commit hooks are deployed</t>
        </is>
      </c>
      <c r="C17" s="22" t="n"/>
      <c r="D17" s="23" t="inlineStr">
        <is>
          <t>Git hooks configuration (git-secrets, detect-secrets), hook installation</t>
        </is>
      </c>
      <c r="E17" s="24" t="n"/>
      <c r="F17" s="25">
        <f>IF(C17="Implemented","✅",IF(C17="Partially Implemented","⚠️",IF(C17="Not Implemented","❌",IF(C17="N/A","N/A",""))))</f>
        <v/>
      </c>
    </row>
    <row r="18" ht="45" customHeight="1">
      <c r="A18" s="20" t="inlineStr">
        <is>
          <t>4.10</t>
        </is>
      </c>
      <c r="B18" s="21" t="inlineStr">
        <is>
          <t>Pre-commit hooks prevent commits containing secrets</t>
        </is>
      </c>
      <c r="C18" s="22" t="n"/>
      <c r="D18" s="23" t="inlineStr">
        <is>
          <t>Blocked commit logs, secret detection examples</t>
        </is>
      </c>
      <c r="E18" s="24" t="n"/>
      <c r="F18" s="25">
        <f>IF(C18="Implemented","✅",IF(C18="Partially Implemented","⚠️",IF(C18="Not Implemented","❌",IF(C18="N/A","N/A",""))))</f>
        <v/>
      </c>
    </row>
    <row r="19" ht="45" customHeight="1">
      <c r="A19" s="20" t="inlineStr">
        <is>
          <t>4.11</t>
        </is>
      </c>
      <c r="B19" s="21" t="inlineStr">
        <is>
          <t>Developers can bypass pre-commit hooks only with justification</t>
        </is>
      </c>
      <c r="C19" s="22" t="n"/>
      <c r="D19" s="23" t="inlineStr">
        <is>
          <t>Bypass process documentation, bypass audit logs</t>
        </is>
      </c>
      <c r="E19" s="24" t="n"/>
      <c r="F19" s="25">
        <f>IF(C19="Implemented","✅",IF(C19="Partially Implemented","⚠️",IF(C19="Not Implemented","❌",IF(C19="N/A","N/A",""))))</f>
        <v/>
      </c>
    </row>
    <row r="20" ht="20" customHeight="1">
      <c r="A20" s="19" t="inlineStr">
        <is>
          <t>▶ Code Quality</t>
        </is>
      </c>
    </row>
    <row r="21" ht="45" customHeight="1">
      <c r="A21" s="20" t="inlineStr">
        <is>
          <t>4.12</t>
        </is>
      </c>
      <c r="B21" s="21" t="inlineStr">
        <is>
          <t>Code formatting tools enforce consistent style</t>
        </is>
      </c>
      <c r="C21" s="22" t="n"/>
      <c r="D21" s="23" t="inlineStr">
        <is>
          <t>Prettier, Black, gofmt configuration, formatting enforcement</t>
        </is>
      </c>
      <c r="E21" s="24" t="n"/>
      <c r="F21" s="25">
        <f>IF(C21="Implemented","✅",IF(C21="Partially Implemented","⚠️",IF(C21="Not Implemented","❌",IF(C21="N/A","N/A",""))))</f>
        <v/>
      </c>
    </row>
    <row r="22" ht="45" customHeight="1">
      <c r="A22" s="20" t="inlineStr">
        <is>
          <t>4.13</t>
        </is>
      </c>
      <c r="B22" s="21" t="inlineStr">
        <is>
          <t>Complexity metrics are tracked (cyclomatic complexity, etc.)</t>
        </is>
      </c>
      <c r="C22" s="22" t="n"/>
      <c r="D22" s="23" t="inlineStr">
        <is>
          <t>SonarQube complexity metrics, code quality dashboards</t>
        </is>
      </c>
      <c r="E22" s="24" t="n"/>
      <c r="F22" s="25">
        <f>IF(C22="Implemented","✅",IF(C22="Partially Implemented","⚠️",IF(C22="Not Implemented","❌",IF(C22="N/A","N/A",""))))</f>
        <v/>
      </c>
    </row>
    <row r="23" ht="45" customHeight="1">
      <c r="A23" s="20" t="inlineStr">
        <is>
          <t>4.14</t>
        </is>
      </c>
      <c r="B23" s="21" t="inlineStr">
        <is>
          <t>Code coverage metrics are tracked and enforced</t>
        </is>
      </c>
      <c r="C23" s="22" t="n"/>
      <c r="D23" s="23" t="inlineStr">
        <is>
          <t>Coverage reports, minimum coverage thresholds</t>
        </is>
      </c>
      <c r="E23" s="24" t="n"/>
      <c r="F23" s="25">
        <f>IF(C23="Implemented","✅",IF(C23="Partially Implemented","⚠️",IF(C23="Not Implemented","❌",IF(C23="N/A","N/A",""))))</f>
        <v/>
      </c>
    </row>
    <row r="24" ht="20" customHeight="1">
      <c r="A24" s="19" t="inlineStr">
        <is>
          <t>▶ Dependency Management</t>
        </is>
      </c>
    </row>
    <row r="25" ht="45" customHeight="1">
      <c r="A25" s="20" t="inlineStr">
        <is>
          <t>4.15</t>
        </is>
      </c>
      <c r="B25" s="21" t="inlineStr">
        <is>
          <t>Dependency update tools provide automated update PRs</t>
        </is>
      </c>
      <c r="C25" s="22" t="n"/>
      <c r="D25" s="23" t="inlineStr">
        <is>
          <t>Dependabot, Renovate Bot configuration, automated PRs</t>
        </is>
      </c>
      <c r="E25" s="24" t="n"/>
      <c r="F25" s="25">
        <f>IF(C25="Implemented","✅",IF(C25="Partially Implemented","⚠️",IF(C25="Not Implemented","❌",IF(C25="N/A","N/A",""))))</f>
        <v/>
      </c>
    </row>
    <row r="26" ht="20" customHeight="1">
      <c r="A26" s="19" t="inlineStr">
        <is>
          <t>▶ IDE Plugins</t>
        </is>
      </c>
    </row>
    <row r="27" ht="45" customHeight="1">
      <c r="A27" s="20" t="inlineStr">
        <is>
          <t>4.16</t>
        </is>
      </c>
      <c r="B27" s="21" t="inlineStr">
        <is>
          <t>IDE plugins provide inline documentation for secure coding</t>
        </is>
      </c>
      <c r="C27" s="22" t="n"/>
      <c r="D27" s="23" t="inlineStr">
        <is>
          <t>Context-aware security hints, inline documentation</t>
        </is>
      </c>
      <c r="E27" s="24" t="n"/>
      <c r="F27" s="25">
        <f>IF(C27="Implemented","✅",IF(C27="Partially Implemented","⚠️",IF(C27="Not Implemented","❌",IF(C27="N/A","N/A",""))))</f>
        <v/>
      </c>
    </row>
    <row r="28" ht="20" customHeight="1">
      <c r="A28" s="19" t="inlineStr">
        <is>
          <t>▶ Tool Governance</t>
        </is>
      </c>
    </row>
    <row r="29" ht="45" customHeight="1">
      <c r="A29" s="20" t="inlineStr">
        <is>
          <t>4.17</t>
        </is>
      </c>
      <c r="B29" s="21" t="inlineStr">
        <is>
          <t>Developer feedback on tool usability is collected and acted upon</t>
        </is>
      </c>
      <c r="C29" s="22" t="n"/>
      <c r="D29" s="23" t="inlineStr">
        <is>
          <t>Developer surveys, tool improvement backlog</t>
        </is>
      </c>
      <c r="E29" s="24" t="n"/>
      <c r="F29" s="25">
        <f>IF(C29="Implemented","✅",IF(C29="Partially Implemented","⚠️",IF(C29="Not Implemented","❌",IF(C29="N/A","N/A",""))))</f>
        <v/>
      </c>
    </row>
    <row r="30" ht="45" customHeight="1">
      <c r="A30" s="20" t="inlineStr">
        <is>
          <t>4.18</t>
        </is>
      </c>
      <c r="B30" s="21" t="inlineStr">
        <is>
          <t>Tool performance impact on developer workflow is monitored</t>
        </is>
      </c>
      <c r="C30" s="22" t="n"/>
      <c r="D30" s="23" t="inlineStr">
        <is>
          <t>Performance metrics, developer satisfaction scores</t>
        </is>
      </c>
      <c r="E30" s="24" t="n"/>
      <c r="F30" s="25">
        <f>IF(C30="Implemented","✅",IF(C30="Partially Implemented","⚠️",IF(C30="Not Implemented","❌",IF(C30="N/A","N/A",""))))</f>
        <v/>
      </c>
    </row>
  </sheetData>
  <mergeCells count="11">
    <mergeCell ref="A24:F24"/>
    <mergeCell ref="A16:F16"/>
    <mergeCell ref="A10:F10"/>
    <mergeCell ref="A28:F28"/>
    <mergeCell ref="A1:F1"/>
    <mergeCell ref="A8:F8"/>
    <mergeCell ref="A26:F26"/>
    <mergeCell ref="A6:F6"/>
    <mergeCell ref="A12:F12"/>
    <mergeCell ref="A3:F3"/>
    <mergeCell ref="A20:F20"/>
  </mergeCells>
  <dataValidations count="1">
    <dataValidation sqref="C4 C5 C7 C9 C11 C13 C14 C15 C17 C18 C19 C21 C22 C23 C25 C27 C29 C30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Standards &amp; Tools Assessment: Tool Effectiveness &amp; Metrics</t>
        </is>
      </c>
    </row>
    <row r="2" ht="30" customHeight="1">
      <c r="A2" s="18" t="inlineStr">
        <is>
          <t>ID</t>
        </is>
      </c>
      <c r="B2" s="18" t="inlineStr">
        <is>
          <t>Requirement</t>
        </is>
      </c>
      <c r="C2" s="18" t="inlineStr">
        <is>
          <t>Implementation Status</t>
        </is>
      </c>
      <c r="D2" s="18" t="inlineStr">
        <is>
          <t>Evidence Reference</t>
        </is>
      </c>
      <c r="E2" s="18" t="inlineStr">
        <is>
          <t>Comments</t>
        </is>
      </c>
      <c r="F2" s="18" t="inlineStr">
        <is>
          <t>Compliance</t>
        </is>
      </c>
    </row>
    <row r="3" ht="20" customHeight="1">
      <c r="A3" s="19" t="inlineStr">
        <is>
          <t>▶ Metrics &amp; Measurement</t>
        </is>
      </c>
    </row>
    <row r="4" ht="45" customHeight="1">
      <c r="A4" s="20" t="inlineStr">
        <is>
          <t>5.1</t>
        </is>
      </c>
      <c r="B4" s="21" t="inlineStr">
        <is>
          <t>Security tool effectiveness is measured with KPIs</t>
        </is>
      </c>
      <c r="C4" s="22" t="n"/>
      <c r="D4" s="23" t="inlineStr">
        <is>
          <t>KPI dashboard, effectiveness metrics definition</t>
        </is>
      </c>
      <c r="E4" s="24" t="n"/>
      <c r="F4" s="25">
        <f>IF(C4="Implemented","✅",IF(C4="Partially Implemented","⚠️",IF(C4="Not Implemented","❌",IF(C4="N/A","N/A",""))))</f>
        <v/>
      </c>
    </row>
    <row r="5" ht="45" customHeight="1">
      <c r="A5" s="20" t="inlineStr">
        <is>
          <t>5.2</t>
        </is>
      </c>
      <c r="B5" s="21" t="inlineStr">
        <is>
          <t>Vulnerability detection rate is tracked per tool</t>
        </is>
      </c>
      <c r="C5" s="22" t="n"/>
      <c r="D5" s="23" t="inlineStr">
        <is>
          <t>Detection metrics by tool, true positive rates</t>
        </is>
      </c>
      <c r="E5" s="24" t="n"/>
      <c r="F5" s="25">
        <f>IF(C5="Implemented","✅",IF(C5="Partially Implemented","⚠️",IF(C5="Not Implemented","❌",IF(C5="N/A","N/A",""))))</f>
        <v/>
      </c>
    </row>
    <row r="6" ht="20" customHeight="1">
      <c r="A6" s="19" t="inlineStr">
        <is>
          <t>▶ Tool Tuning</t>
        </is>
      </c>
    </row>
    <row r="7" ht="45" customHeight="1">
      <c r="A7" s="20" t="inlineStr">
        <is>
          <t>5.3</t>
        </is>
      </c>
      <c r="B7" s="21" t="inlineStr">
        <is>
          <t>False positive rate is measured and minimized</t>
        </is>
      </c>
      <c r="C7" s="22" t="n"/>
      <c r="D7" s="23" t="inlineStr">
        <is>
          <t>False positive metrics, tuning efforts documentation</t>
        </is>
      </c>
      <c r="E7" s="24" t="n"/>
      <c r="F7" s="25">
        <f>IF(C7="Implemented","✅",IF(C7="Partially Implemented","⚠️",IF(C7="Not Implemented","❌",IF(C7="N/A","N/A",""))))</f>
        <v/>
      </c>
    </row>
    <row r="8" ht="20" customHeight="1">
      <c r="A8" s="19" t="inlineStr">
        <is>
          <t>▶ Metrics &amp; Measurement</t>
        </is>
      </c>
    </row>
    <row r="9" ht="45" customHeight="1">
      <c r="A9" s="20" t="inlineStr">
        <is>
          <t>5.4</t>
        </is>
      </c>
      <c r="B9" s="21" t="inlineStr">
        <is>
          <t>Mean time to remediation (MTTR) is tracked for findings</t>
        </is>
      </c>
      <c r="C9" s="22" t="n"/>
      <c r="D9" s="23" t="inlineStr">
        <is>
          <t>MTTR metrics, remediation velocity dashboard</t>
        </is>
      </c>
      <c r="E9" s="24" t="n"/>
      <c r="F9" s="25">
        <f>IF(C9="Implemented","✅",IF(C9="Partially Implemented","⚠️",IF(C9="Not Implemented","❌",IF(C9="N/A","N/A",""))))</f>
        <v/>
      </c>
    </row>
    <row r="10" ht="20" customHeight="1">
      <c r="A10" s="19" t="inlineStr">
        <is>
          <t>▶ Tool Coverage</t>
        </is>
      </c>
    </row>
    <row r="11" ht="45" customHeight="1">
      <c r="A11" s="20" t="inlineStr">
        <is>
          <t>5.5</t>
        </is>
      </c>
      <c r="B11" s="21" t="inlineStr">
        <is>
          <t>Tool coverage is measured (% of codebase scanned)</t>
        </is>
      </c>
      <c r="C11" s="22" t="n"/>
      <c r="D11" s="23" t="inlineStr">
        <is>
          <t>Coverage reports, unscanned code identification</t>
        </is>
      </c>
      <c r="E11" s="24" t="n"/>
      <c r="F11" s="25">
        <f>IF(C11="Implemented","✅",IF(C11="Partially Implemented","⚠️",IF(C11="Not Implemented","❌",IF(C11="N/A","N/A",""))))</f>
        <v/>
      </c>
    </row>
    <row r="12" ht="20" customHeight="1">
      <c r="A12" s="19" t="inlineStr">
        <is>
          <t>▶ Metrics &amp; Measurement</t>
        </is>
      </c>
    </row>
    <row r="13" ht="45" customHeight="1">
      <c r="A13" s="20" t="inlineStr">
        <is>
          <t>5.6</t>
        </is>
      </c>
      <c r="B13" s="21" t="inlineStr">
        <is>
          <t>Security tool findings trends are analyzed over time</t>
        </is>
      </c>
      <c r="C13" s="22" t="n"/>
      <c r="D13" s="23" t="inlineStr">
        <is>
          <t>Trend analysis reports, historical metrics</t>
        </is>
      </c>
      <c r="E13" s="24" t="n"/>
      <c r="F13" s="25">
        <f>IF(C13="Implemented","✅",IF(C13="Partially Implemented","⚠️",IF(C13="Not Implemented","❌",IF(C13="N/A","N/A",""))))</f>
        <v/>
      </c>
    </row>
    <row r="14" ht="20" customHeight="1">
      <c r="A14" s="19" t="inlineStr">
        <is>
          <t>▶ Tool Governance</t>
        </is>
      </c>
    </row>
    <row r="15" ht="45" customHeight="1">
      <c r="A15" s="20" t="inlineStr">
        <is>
          <t>5.7</t>
        </is>
      </c>
      <c r="B15" s="21" t="inlineStr">
        <is>
          <t>Tool costs are tracked and justified by value delivered</t>
        </is>
      </c>
      <c r="C15" s="22" t="n"/>
      <c r="D15" s="23" t="inlineStr">
        <is>
          <t>Cost-benefit analysis, ROI documentation</t>
        </is>
      </c>
      <c r="E15" s="24" t="n"/>
      <c r="F15" s="25">
        <f>IF(C15="Implemented","✅",IF(C15="Partially Implemented","⚠️",IF(C15="Not Implemented","❌",IF(C15="N/A","N/A",""))))</f>
        <v/>
      </c>
    </row>
    <row r="16" ht="20" customHeight="1">
      <c r="A16" s="19" t="inlineStr">
        <is>
          <t>▶ Tool Performance</t>
        </is>
      </c>
    </row>
    <row r="17" ht="45" customHeight="1">
      <c r="A17" s="20" t="inlineStr">
        <is>
          <t>5.8</t>
        </is>
      </c>
      <c r="B17" s="21" t="inlineStr">
        <is>
          <t>Tool performance (scan time, resource usage) is monitored</t>
        </is>
      </c>
      <c r="C17" s="22" t="n"/>
      <c r="D17" s="23" t="inlineStr">
        <is>
          <t>Performance monitoring, scan duration metrics</t>
        </is>
      </c>
      <c r="E17" s="24" t="n"/>
      <c r="F17" s="25">
        <f>IF(C17="Implemented","✅",IF(C17="Partially Implemented","⚠️",IF(C17="Not Implemented","❌",IF(C17="N/A","N/A",""))))</f>
        <v/>
      </c>
    </row>
    <row r="18" ht="20" customHeight="1">
      <c r="A18" s="19" t="inlineStr">
        <is>
          <t>▶ Tool Integration</t>
        </is>
      </c>
    </row>
    <row r="19" ht="45" customHeight="1">
      <c r="A19" s="20" t="inlineStr">
        <is>
          <t>5.9</t>
        </is>
      </c>
      <c r="B19" s="21" t="inlineStr">
        <is>
          <t>Duplicate findings across tools are identified and deduplicated</t>
        </is>
      </c>
      <c r="C19" s="22" t="n"/>
      <c r="D19" s="23" t="inlineStr">
        <is>
          <t>Deduplication process, consolidated findings reports</t>
        </is>
      </c>
      <c r="E19" s="24" t="n"/>
      <c r="F19" s="25">
        <f>IF(C19="Implemented","✅",IF(C19="Partially Implemented","⚠️",IF(C19="Not Implemented","❌",IF(C19="N/A","N/A",""))))</f>
        <v/>
      </c>
    </row>
    <row r="20" ht="20" customHeight="1">
      <c r="A20" s="19" t="inlineStr">
        <is>
          <t>▶ Metrics &amp; Measurement</t>
        </is>
      </c>
    </row>
    <row r="21" ht="45" customHeight="1">
      <c r="A21" s="20" t="inlineStr">
        <is>
          <t>5.10</t>
        </is>
      </c>
      <c r="B21" s="21" t="inlineStr">
        <is>
          <t>Security findings are correlated with production incidents</t>
        </is>
      </c>
      <c r="C21" s="22" t="n"/>
      <c r="D21" s="23" t="inlineStr">
        <is>
          <t>Incident analysis, finding-to-incident correlation reports</t>
        </is>
      </c>
      <c r="E21" s="24" t="n"/>
      <c r="F21" s="25">
        <f>IF(C21="Implemented","✅",IF(C21="Partially Implemented","⚠️",IF(C21="Not Implemented","❌",IF(C21="N/A","N/A",""))))</f>
        <v/>
      </c>
    </row>
    <row r="22" ht="20" customHeight="1">
      <c r="A22" s="19" t="inlineStr">
        <is>
          <t>▶ Tool Integration</t>
        </is>
      </c>
    </row>
    <row r="23" ht="45" customHeight="1">
      <c r="A23" s="20" t="inlineStr">
        <is>
          <t>5.11</t>
        </is>
      </c>
      <c r="B23" s="21" t="inlineStr">
        <is>
          <t>Tool findings are integrated with vulnerability management system</t>
        </is>
      </c>
      <c r="C23" s="22" t="n"/>
      <c r="D23" s="23" t="inlineStr">
        <is>
          <t>VM system integration, unified vulnerability tracking</t>
        </is>
      </c>
      <c r="E23" s="24" t="n"/>
      <c r="F23" s="25">
        <f>IF(C23="Implemented","✅",IF(C23="Partially Implemented","⚠️",IF(C23="Not Implemented","❌",IF(C23="N/A","N/A",""))))</f>
        <v/>
      </c>
    </row>
    <row r="24" ht="20" customHeight="1">
      <c r="A24" s="19" t="inlineStr">
        <is>
          <t>▶ Reporting</t>
        </is>
      </c>
    </row>
    <row r="25" ht="45" customHeight="1">
      <c r="A25" s="20" t="inlineStr">
        <is>
          <t>5.12</t>
        </is>
      </c>
      <c r="B25" s="21" t="inlineStr">
        <is>
          <t>Security metrics are reported to management quarterly</t>
        </is>
      </c>
      <c r="C25" s="22" t="n"/>
      <c r="D25" s="23" t="inlineStr">
        <is>
          <t>Management reports, executive dashboards</t>
        </is>
      </c>
      <c r="E25" s="24" t="n"/>
      <c r="F25" s="25">
        <f>IF(C25="Implemented","✅",IF(C25="Partially Implemented","⚠️",IF(C25="Not Implemented","❌",IF(C25="N/A","N/A",""))))</f>
        <v/>
      </c>
    </row>
    <row r="26" ht="20" customHeight="1">
      <c r="A26" s="19" t="inlineStr">
        <is>
          <t>▶ Tool Governance</t>
        </is>
      </c>
    </row>
    <row r="27" ht="45" customHeight="1">
      <c r="A27" s="20" t="inlineStr">
        <is>
          <t>5.13</t>
        </is>
      </c>
      <c r="B27" s="21" t="inlineStr">
        <is>
          <t>Tool configuration changes are tracked and audited</t>
        </is>
      </c>
      <c r="C27" s="22" t="n"/>
      <c r="D27" s="23" t="inlineStr">
        <is>
          <t>Configuration change logs, audit trails</t>
        </is>
      </c>
      <c r="E27" s="24" t="n"/>
      <c r="F27" s="25">
        <f>IF(C27="Implemented","✅",IF(C27="Partially Implemented","⚠️",IF(C27="Not Implemented","❌",IF(C27="N/A","N/A",""))))</f>
        <v/>
      </c>
    </row>
    <row r="28" ht="45" customHeight="1">
      <c r="A28" s="20" t="inlineStr">
        <is>
          <t>5.14</t>
        </is>
      </c>
      <c r="B28" s="21" t="inlineStr">
        <is>
          <t>Tool licenses are managed and renewal dates tracked</t>
        </is>
      </c>
      <c r="C28" s="22" t="n"/>
      <c r="D28" s="23" t="inlineStr">
        <is>
          <t>License management system, renewal calendar</t>
        </is>
      </c>
      <c r="E28" s="24" t="n"/>
      <c r="F28" s="25">
        <f>IF(C28="Implemented","✅",IF(C28="Partially Implemented","⚠️",IF(C28="Not Implemented","❌",IF(C28="N/A","N/A",""))))</f>
        <v/>
      </c>
    </row>
    <row r="29" ht="20" customHeight="1">
      <c r="A29" s="19" t="inlineStr">
        <is>
          <t>▶ Tool Selection</t>
        </is>
      </c>
    </row>
    <row r="30" ht="45" customHeight="1">
      <c r="A30" s="20" t="inlineStr">
        <is>
          <t>5.15</t>
        </is>
      </c>
      <c r="B30" s="21" t="inlineStr">
        <is>
          <t>New tools are evaluated against security requirements</t>
        </is>
      </c>
      <c r="C30" s="22" t="n"/>
      <c r="D30" s="23" t="inlineStr">
        <is>
          <t>Tool evaluation framework, POC results</t>
        </is>
      </c>
      <c r="E30" s="24" t="n"/>
      <c r="F30" s="25">
        <f>IF(C30="Implemented","✅",IF(C30="Partially Implemented","⚠️",IF(C30="Not Implemented","❌",IF(C30="N/A","N/A",""))))</f>
        <v/>
      </c>
    </row>
    <row r="31" ht="20" customHeight="1">
      <c r="A31" s="19" t="inlineStr">
        <is>
          <t>▶ Tool Maintenance</t>
        </is>
      </c>
    </row>
    <row r="32" ht="45" customHeight="1">
      <c r="A32" s="20" t="inlineStr">
        <is>
          <t>5.16</t>
        </is>
      </c>
      <c r="B32" s="21" t="inlineStr">
        <is>
          <t>Tools are regularly updated to latest stable versions</t>
        </is>
      </c>
      <c r="C32" s="22" t="n"/>
      <c r="D32" s="23" t="inlineStr">
        <is>
          <t>Tool version inventory, update schedule</t>
        </is>
      </c>
      <c r="E32" s="24" t="n"/>
      <c r="F32" s="25">
        <f>IF(C32="Implemented","✅",IF(C32="Partially Implemented","⚠️",IF(C32="Not Implemented","❌",IF(C32="N/A","N/A",""))))</f>
        <v/>
      </c>
    </row>
    <row r="33" ht="20" customHeight="1">
      <c r="A33" s="19" t="inlineStr">
        <is>
          <t>▶ Tool Effectiveness</t>
        </is>
      </c>
    </row>
    <row r="34" ht="45" customHeight="1">
      <c r="A34" s="20" t="inlineStr">
        <is>
          <t>5.17</t>
        </is>
      </c>
      <c r="B34" s="21" t="inlineStr">
        <is>
          <t>Tool effectiveness is benchmarked against industry standards</t>
        </is>
      </c>
      <c r="C34" s="22" t="n"/>
      <c r="D34" s="23" t="inlineStr">
        <is>
          <t>Benchmark comparison reports, industry metrics</t>
        </is>
      </c>
      <c r="E34" s="24" t="n"/>
      <c r="F34" s="25">
        <f>IF(C34="Implemented","✅",IF(C34="Partially Implemented","⚠️",IF(C34="Not Implemented","❌",IF(C34="N/A","N/A",""))))</f>
        <v/>
      </c>
    </row>
    <row r="35" ht="20" customHeight="1">
      <c r="A35" s="19" t="inlineStr">
        <is>
          <t>▶ Tool Governance</t>
        </is>
      </c>
    </row>
    <row r="36" ht="45" customHeight="1">
      <c r="A36" s="20" t="inlineStr">
        <is>
          <t>5.18</t>
        </is>
      </c>
      <c r="B36" s="21" t="inlineStr">
        <is>
          <t>Continuous improvement process exists for tool optimization</t>
        </is>
      </c>
      <c r="C36" s="22" t="n"/>
      <c r="D36" s="23" t="inlineStr">
        <is>
          <t>Improvement backlog, optimization initiatives</t>
        </is>
      </c>
      <c r="E36" s="24" t="n"/>
      <c r="F36" s="25">
        <f>IF(C36="Implemented","✅",IF(C36="Partially Implemented","⚠️",IF(C36="Not Implemented","❌",IF(C36="N/A","N/A",""))))</f>
        <v/>
      </c>
    </row>
  </sheetData>
  <mergeCells count="17">
    <mergeCell ref="A24:F24"/>
    <mergeCell ref="A16:F16"/>
    <mergeCell ref="A33:F33"/>
    <mergeCell ref="A10:F10"/>
    <mergeCell ref="A14:F14"/>
    <mergeCell ref="A1:F1"/>
    <mergeCell ref="A8:F8"/>
    <mergeCell ref="A26:F26"/>
    <mergeCell ref="A6:F6"/>
    <mergeCell ref="A22:F22"/>
    <mergeCell ref="A31:F31"/>
    <mergeCell ref="A12:F12"/>
    <mergeCell ref="A18:F18"/>
    <mergeCell ref="A35:F35"/>
    <mergeCell ref="A3:F3"/>
    <mergeCell ref="A20:F20"/>
    <mergeCell ref="A29:F29"/>
  </mergeCells>
  <dataValidations count="1">
    <dataValidation sqref="C4 C5 C7 C9 C11 C13 C15 C17 C19 C21 C23 C25 C27 C28 C30 C32 C34 C36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20" customWidth="1" min="4" max="4"/>
    <col width="25" customWidth="1" min="5" max="5"/>
  </cols>
  <sheetData>
    <row r="1" ht="30" customHeight="1">
      <c r="A1" s="1" t="inlineStr">
        <is>
          <t>Standards &amp; Tools Assessment - Summary Dashboard</t>
        </is>
      </c>
    </row>
    <row r="3">
      <c r="A3" s="26" t="inlineStr">
        <is>
          <t>Assessment Date:</t>
        </is>
      </c>
      <c r="B3">
        <f>Instructions!B8</f>
        <v/>
      </c>
    </row>
    <row r="4">
      <c r="A4" s="26" t="inlineStr">
        <is>
          <t>Assessor:</t>
        </is>
      </c>
      <c r="B4">
        <f>Instructions!B9</f>
        <v/>
      </c>
    </row>
    <row r="5">
      <c r="A5" s="26" t="inlineStr">
        <is>
          <t>Organization:</t>
        </is>
      </c>
      <c r="B5">
        <f>Instructions!B10</f>
        <v/>
      </c>
    </row>
    <row r="7">
      <c r="A7" s="27" t="inlineStr">
        <is>
          <t>Overall Standards &amp; Tools Compliance:</t>
        </is>
      </c>
      <c r="C7" s="28">
        <f>(COUNTIF(Coding_Standards_Adoption!C:C,"Implemented")+
COUNTIF(SAST_SCA_Tools!C:C,"Implemented")+
COUNTIF(DAST_Security_Testing_Tools!C:C,"Implemented")+
COUNTIF(IDE_Plugins_Linters!C:C,"Implemented")+
COUNTIF(Tool_Effectiveness_Metrics!C:C,"Implemented"))/
(COUNTA(Coding_Standards_Adoption!C:C)+
COUNTA(SAST_SCA_Tools!C:C)+
COUNTA(DAST_Security_Testing_Tools!C:C)+
COUNTA(IDE_Plugins_Linters!C:C)+
COUNTA(Tool_Effectiveness_Metrics!C:C)-5-
COUNTIF(Coding_Standards_Adoption!C:C,"N/A")-
COUNTIF(SAST_SCA_Tools!C:C,"N/A")-
COUNTIF(DAST_Security_Testing_Tools!C:C,"N/A")-
COUNTIF(IDE_Plugins_Linters!C:C,"N/A")-
COUNTIF(Tool_Effectiveness_Metrics!C:C,"N/A"))</f>
        <v/>
      </c>
      <c r="D7" s="29">
        <f>IF(C7&gt;=0.8,"🟢 Compliant",IF(C7&gt;=0.6,"🟡 Needs Improvement","🔴 Non-Compliant"))</f>
        <v/>
      </c>
    </row>
    <row r="10">
      <c r="A10" s="30" t="inlineStr">
        <is>
          <t>Domain Compliance Breakdown</t>
        </is>
      </c>
    </row>
    <row r="11">
      <c r="A11" s="18" t="inlineStr">
        <is>
          <t>Domain</t>
        </is>
      </c>
      <c r="B11" s="18" t="inlineStr">
        <is>
          <t>Compliance %</t>
        </is>
      </c>
      <c r="C11" s="18" t="inlineStr">
        <is>
          <t>Status</t>
        </is>
      </c>
      <c r="D11" s="18" t="inlineStr">
        <is>
          <t>Not Implemented</t>
        </is>
      </c>
      <c r="E11" s="18" t="inlineStr">
        <is>
          <t>Partially Implemented</t>
        </is>
      </c>
    </row>
    <row r="12">
      <c r="A12" t="inlineStr">
        <is>
          <t>1. Coding Standards Adoption</t>
        </is>
      </c>
      <c r="B12" s="31">
        <f>COUNTIF(Coding_Standards_Adoption!C:C,"Implemented")/(COUNTA(Coding_Standards_Adoption!C:C)-1-COUNTIF(Coding_Standards_Adoption!C:C,"N/A"))</f>
        <v/>
      </c>
      <c r="C12" s="32">
        <f>IF(B12&gt;=0.8,"🟢",IF(B12&gt;=0.6,"🟡","🔴"))</f>
        <v/>
      </c>
      <c r="D12" s="32">
        <f>COUNTIF(Coding_Standards_Adoption!C:C,"Not Implemented")</f>
        <v/>
      </c>
      <c r="E12" s="32">
        <f>COUNTIF(Coding_Standards_Adoption!C:C,"Partially Implemented")</f>
        <v/>
      </c>
    </row>
    <row r="13">
      <c r="A13" t="inlineStr">
        <is>
          <t>2. SAST &amp; SCA Tools</t>
        </is>
      </c>
      <c r="B13" s="31">
        <f>COUNTIF(SAST_SCA_Tools!C:C,"Implemented")/(COUNTA(SAST_SCA_Tools!C:C)-1-COUNTIF(SAST_SCA_Tools!C:C,"N/A"))</f>
        <v/>
      </c>
      <c r="C13" s="32">
        <f>IF(B13&gt;=0.8,"🟢",IF(B13&gt;=0.6,"🟡","🔴"))</f>
        <v/>
      </c>
      <c r="D13" s="32">
        <f>COUNTIF(SAST_SCA_Tools!C:C,"Not Implemented")</f>
        <v/>
      </c>
      <c r="E13" s="32">
        <f>COUNTIF(SAST_SCA_Tools!C:C,"Partially Implemented")</f>
        <v/>
      </c>
    </row>
    <row r="14">
      <c r="A14" t="inlineStr">
        <is>
          <t>3. DAST &amp; Security Testing Tools</t>
        </is>
      </c>
      <c r="B14" s="31">
        <f>COUNTIF(DAST_Security_Testing_Tools!C:C,"Implemented")/(COUNTA(DAST_Security_Testing_Tools!C:C)-1-COUNTIF(DAST_Security_Testing_Tools!C:C,"N/A"))</f>
        <v/>
      </c>
      <c r="C14" s="32">
        <f>IF(B14&gt;=0.8,"🟢",IF(B14&gt;=0.6,"🟡","🔴"))</f>
        <v/>
      </c>
      <c r="D14" s="32">
        <f>COUNTIF(DAST_Security_Testing_Tools!C:C,"Not Implemented")</f>
        <v/>
      </c>
      <c r="E14" s="32">
        <f>COUNTIF(DAST_Security_Testing_Tools!C:C,"Partially Implemented")</f>
        <v/>
      </c>
    </row>
    <row r="15">
      <c r="A15" t="inlineStr">
        <is>
          <t>4. IDE Plugins &amp; Linters</t>
        </is>
      </c>
      <c r="B15" s="31">
        <f>COUNTIF(IDE_Plugins_Linters!C:C,"Implemented")/(COUNTA(IDE_Plugins_Linters!C:C)-1-COUNTIF(IDE_Plugins_Linters!C:C,"N/A"))</f>
        <v/>
      </c>
      <c r="C15" s="32">
        <f>IF(B15&gt;=0.8,"🟢",IF(B15&gt;=0.6,"🟡","🔴"))</f>
        <v/>
      </c>
      <c r="D15" s="32">
        <f>COUNTIF(IDE_Plugins_Linters!C:C,"Not Implemented")</f>
        <v/>
      </c>
      <c r="E15" s="32">
        <f>COUNTIF(IDE_Plugins_Linters!C:C,"Partially Implemented")</f>
        <v/>
      </c>
    </row>
    <row r="16">
      <c r="A16" t="inlineStr">
        <is>
          <t>5. Tool Effectiveness &amp; Metrics</t>
        </is>
      </c>
      <c r="B16" s="31">
        <f>COUNTIF(Tool_Effectiveness_Metrics!C:C,"Implemented")/(COUNTA(Tool_Effectiveness_Metrics!C:C)-1-COUNTIF(Tool_Effectiveness_Metrics!C:C,"N/A"))</f>
        <v/>
      </c>
      <c r="C16" s="32">
        <f>IF(B16&gt;=0.8,"🟢",IF(B16&gt;=0.6,"🟡","🔴"))</f>
        <v/>
      </c>
      <c r="D16" s="32">
        <f>COUNTIF(Tool_Effectiveness_Metrics!C:C,"Not Implemented")</f>
        <v/>
      </c>
      <c r="E16" s="32">
        <f>COUNTIF(Tool_Effectiveness_Metrics!C:C,"Partially Implemented")</f>
        <v/>
      </c>
    </row>
  </sheetData>
  <mergeCells count="4">
    <mergeCell ref="A10:E10"/>
    <mergeCell ref="A1:E1"/>
    <mergeCell ref="D7:E7"/>
    <mergeCell ref="A7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40" customWidth="1" min="4" max="4"/>
    <col width="35" customWidth="1" min="5" max="5"/>
    <col width="15" customWidth="1" min="6" max="6"/>
    <col width="20" customWidth="1" min="7" max="7"/>
  </cols>
  <sheetData>
    <row r="1" ht="25" customHeight="1">
      <c r="A1" s="1" t="inlineStr">
        <is>
          <t>Evidence Register</t>
        </is>
      </c>
    </row>
    <row r="2">
      <c r="A2" s="33" t="inlineStr">
        <is>
          <t>Document all evidence supporting your Standards &amp; Tools assessment.</t>
        </is>
      </c>
    </row>
    <row r="3">
      <c r="A3" s="18" t="inlineStr">
        <is>
          <t>Evidence ID</t>
        </is>
      </c>
      <c r="B3" s="18" t="inlineStr">
        <is>
          <t>Related Requirement</t>
        </is>
      </c>
      <c r="C3" s="18" t="inlineStr">
        <is>
          <t>Evidence Type</t>
        </is>
      </c>
      <c r="D3" s="18" t="inlineStr">
        <is>
          <t>Description</t>
        </is>
      </c>
      <c r="E3" s="18" t="inlineStr">
        <is>
          <t>Location/Link</t>
        </is>
      </c>
      <c r="F3" s="18" t="inlineStr">
        <is>
          <t>Collection Date</t>
        </is>
      </c>
      <c r="G3" s="18" t="inlineStr">
        <is>
          <t>Collected By</t>
        </is>
      </c>
    </row>
  </sheetData>
  <mergeCells count="2">
    <mergeCell ref="A2:G2"/>
    <mergeCell ref="A1:G1"/>
  </mergeCells>
  <dataValidations count="1">
    <dataValidation sqref="C4:C200" showDropDown="0" showInputMessage="0" showErrorMessage="0" allowBlank="0" type="list">
      <formula1>"Document,Screenshot,Report,Configuration,URL,Tool Output,Dashboard,Policy,Other"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35" customWidth="1" min="4" max="4"/>
    <col width="25" customWidth="1" min="5" max="5"/>
    <col width="25" customWidth="1" min="6" max="6"/>
    <col width="12" customWidth="1" min="7" max="7"/>
    <col width="20" customWidth="1" min="8" max="8"/>
    <col width="12" customWidth="1" min="9" max="9"/>
    <col width="15" customWidth="1" min="10" max="10"/>
  </cols>
  <sheetData>
    <row r="1" ht="25" customHeight="1">
      <c r="A1" s="1" t="inlineStr">
        <is>
          <t>Gap Analysis &amp; Remediation Plan</t>
        </is>
      </c>
    </row>
    <row r="3">
      <c r="A3" s="18" t="inlineStr">
        <is>
          <t>Gap ID</t>
        </is>
      </c>
      <c r="B3" s="18" t="inlineStr">
        <is>
          <t>Domain</t>
        </is>
      </c>
      <c r="C3" s="18" t="inlineStr">
        <is>
          <t>Requirement ID</t>
        </is>
      </c>
      <c r="D3" s="18" t="inlineStr">
        <is>
          <t>Requirement Description</t>
        </is>
      </c>
      <c r="E3" s="18" t="inlineStr">
        <is>
          <t>Current State</t>
        </is>
      </c>
      <c r="F3" s="18" t="inlineStr">
        <is>
          <t>Target State</t>
        </is>
      </c>
      <c r="G3" s="18" t="inlineStr">
        <is>
          <t>Priority</t>
        </is>
      </c>
      <c r="H3" s="18" t="inlineStr">
        <is>
          <t>Owner</t>
        </is>
      </c>
      <c r="I3" s="18" t="inlineStr">
        <is>
          <t>Target Date</t>
        </is>
      </c>
      <c r="J3" s="18" t="inlineStr">
        <is>
          <t>Status</t>
        </is>
      </c>
    </row>
  </sheetData>
  <mergeCells count="1">
    <mergeCell ref="A1:J1"/>
  </mergeCells>
  <dataValidations count="2">
    <dataValidation sqref="G4:G200" showDropDown="0" showInputMessage="0" showErrorMessage="0" allowBlank="0" type="list">
      <formula1>"Critical,High,Medium,Low"</formula1>
    </dataValidation>
    <dataValidation sqref="J4:J200" showDropDown="0" showInputMessage="0" showErrorMessage="0" allowBlank="0" type="list">
      <formula1>"Open,In Progress,Resolved,Closed,Deferred"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15" customWidth="1" min="4" max="4"/>
  </cols>
  <sheetData>
    <row r="1" ht="30" customHeight="1">
      <c r="A1" s="1" t="inlineStr">
        <is>
          <t>Standards &amp; Tools Assessment - Approval Sign-Off</t>
        </is>
      </c>
    </row>
    <row r="6">
      <c r="A6" s="26" t="inlineStr">
        <is>
          <t>Assessment Date:</t>
        </is>
      </c>
      <c r="B6">
        <f>Instructions!B8</f>
        <v/>
      </c>
    </row>
    <row r="7">
      <c r="A7" s="26" t="inlineStr">
        <is>
          <t>Assessor Name:</t>
        </is>
      </c>
      <c r="B7">
        <f>Instructions!B9</f>
        <v/>
      </c>
    </row>
    <row r="8">
      <c r="A8" s="26" t="inlineStr">
        <is>
          <t>Overall Compliance Score:</t>
        </is>
      </c>
      <c r="B8" s="34">
        <f>Summary_Dashboard!C7</f>
        <v/>
      </c>
    </row>
    <row r="11">
      <c r="A11" s="35" t="inlineStr">
        <is>
          <t>APPROVAL WORKFLOW</t>
        </is>
      </c>
    </row>
    <row r="12">
      <c r="A12" s="36" t="inlineStr">
        <is>
          <t>Role</t>
        </is>
      </c>
      <c r="B12" s="36" t="inlineStr">
        <is>
          <t>Name</t>
        </is>
      </c>
      <c r="C12" s="36" t="inlineStr">
        <is>
          <t>Signature</t>
        </is>
      </c>
      <c r="D12" s="36" t="inlineStr">
        <is>
          <t>Date</t>
        </is>
      </c>
    </row>
    <row r="13">
      <c r="A13" s="4" t="inlineStr">
        <is>
          <t>Assessment Completer</t>
        </is>
      </c>
      <c r="B13" s="37" t="n"/>
      <c r="C13" s="37" t="n"/>
      <c r="D13" s="37" t="n"/>
    </row>
    <row r="14">
      <c r="A14" s="4" t="inlineStr">
        <is>
          <t>Application Security Lead</t>
        </is>
      </c>
      <c r="B14" s="37" t="n"/>
      <c r="C14" s="37" t="n"/>
      <c r="D14" s="37" t="n"/>
    </row>
    <row r="15">
      <c r="A15" s="4" t="inlineStr">
        <is>
          <t>Development Manager</t>
        </is>
      </c>
      <c r="B15" s="37" t="n"/>
      <c r="C15" s="37" t="n"/>
      <c r="D15" s="37" t="n"/>
    </row>
    <row r="16">
      <c r="A16" s="4" t="inlineStr">
        <is>
          <t>CISO</t>
        </is>
      </c>
      <c r="B16" s="37" t="n"/>
      <c r="C16" s="37" t="n"/>
      <c r="D16" s="37" t="n"/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2026-01-31T02:18:11Z</dcterms:created>
  <dcterms:modified xmlns:dcterms="http://purl.org/dc/terms/" xmlns:xsi="http://www.w3.org/2001/XMLSchema-instance" xsi:type="dcterms:W3CDTF">2026-01-31T02:18:11Z</dcterms:modified>
</cp:coreProperties>
</file>