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e_Review_Process" sheetId="2" state="visible" r:id="rId2"/>
    <sheet xmlns:r="http://schemas.openxmlformats.org/officeDocument/2006/relationships" name="Security_Champion_Review" sheetId="3" state="visible" r:id="rId3"/>
    <sheet xmlns:r="http://schemas.openxmlformats.org/officeDocument/2006/relationships" name="Unit_Integration_Testing" sheetId="4" state="visible" r:id="rId4"/>
    <sheet xmlns:r="http://schemas.openxmlformats.org/officeDocument/2006/relationships" name="API_Application_Testing" sheetId="5" state="visible" r:id="rId5"/>
    <sheet xmlns:r="http://schemas.openxmlformats.org/officeDocument/2006/relationships" name="External_Testing_Validation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i val="1"/>
      <color rgb="002F5496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0" fillId="0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6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11" fillId="6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5" fillId="0" borderId="0" pivotButton="0" quotePrefix="0" xfId="0"/>
    <xf numFmtId="9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9" fontId="17" fillId="0" borderId="0" pivotButton="0" quotePrefix="0" xfId="0"/>
    <xf numFmtId="0" fontId="3" fillId="3" borderId="0" applyAlignment="1" pivotButton="0" quotePrefix="0" xfId="0">
      <alignment horizontal="center"/>
    </xf>
    <xf numFmtId="0" fontId="4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ISMS-IMP-A.8.28.3 – Code Review &amp; Testing Assessment</t>
        </is>
      </c>
    </row>
    <row r="2" ht="20" customHeight="1">
      <c r="A2" s="2" t="inlineStr">
        <is>
          <t>ISO/IEC 27001:2022 - Control A.8.28: Secure Coding (Code Review &amp; Testing)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ISMS-IMP-A.8.28.3</t>
        </is>
      </c>
    </row>
    <row r="6">
      <c r="A6" s="4" t="inlineStr">
        <is>
          <t>Assessment Area:</t>
        </is>
      </c>
      <c r="B6" t="inlineStr">
        <is>
          <t>Secure Code Review &amp; Security Testing</t>
        </is>
      </c>
    </row>
    <row r="7">
      <c r="A7" s="4" t="inlineStr">
        <is>
          <t>Related Policy:</t>
        </is>
      </c>
      <c r="B7" t="inlineStr">
        <is>
          <t>ISMS-POL-A.8.28-S2.3 (Code Review &amp; Testing)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Organization:</t>
        </is>
      </c>
      <c r="B11" s="5" t="inlineStr">
        <is>
          <t>[USER INPUT - Enter organization name]</t>
        </is>
      </c>
    </row>
    <row r="12">
      <c r="A12" s="4" t="inlineStr">
        <is>
          <t>Review Cycle:</t>
        </is>
      </c>
      <c r="B12" t="inlineStr">
        <is>
          <t>Quarterly or when review/testing processes change</t>
        </is>
      </c>
    </row>
    <row r="15" ht="25" customHeight="1">
      <c r="A15" s="6" t="inlineStr">
        <is>
          <t>HOW TO USE THIS WORKBOOK</t>
        </is>
      </c>
    </row>
    <row r="16" ht="30" customHeight="1">
      <c r="A16" s="7" t="inlineStr">
        <is>
          <t>1. Complete each assessment domain: Review Process → Champion Reviews → Unit/Integration Testing → API Testing → External Testing</t>
        </is>
      </c>
    </row>
    <row r="17" ht="20" customHeight="1">
      <c r="A17" s="7" t="inlineStr">
        <is>
          <t>2. Focus on EFFECTIVENESS, not just process existence</t>
        </is>
      </c>
    </row>
    <row r="18" ht="20" customHeight="1">
      <c r="A18" s="7" t="inlineStr">
        <is>
          <t>3. Ask: 'Does this review/test actually catch vulnerabilities before production?'</t>
        </is>
      </c>
    </row>
    <row r="19" ht="20" customHeight="1">
      <c r="A19" s="7" t="inlineStr">
        <is>
          <t>4. Sample actual code reviews to validate quality (not just process documentation)</t>
        </is>
      </c>
    </row>
    <row r="20" ht="20" customHeight="1">
      <c r="A20" s="7" t="inlineStr">
        <is>
          <t>5. Review test cases to ensure they test security-relevant behavior</t>
        </is>
      </c>
    </row>
    <row r="21" ht="20" customHeight="1">
      <c r="A21" s="7" t="inlineStr">
        <is>
          <t>6. Analyze metrics: What % of vulnerabilities are caught in review vs. testing vs. production?</t>
        </is>
      </c>
    </row>
    <row r="22" ht="20" customHeight="1">
      <c r="A22" s="7" t="inlineStr">
        <is>
          <t>7. Document gaps with specific, actionable remediation plans</t>
        </is>
      </c>
    </row>
    <row r="23" ht="20" customHeight="1">
      <c r="A23" s="7" t="inlineStr">
        <is>
          <t>8. Obtain approvals from both Security and Engineering leadership</t>
        </is>
      </c>
    </row>
    <row r="24" ht="20" customHeight="1">
      <c r="A24" s="7" t="inlineStr"/>
    </row>
    <row r="25" ht="20" customHeight="1">
      <c r="A25" s="8" t="inlineStr">
        <is>
          <t>⚠️  CRITICAL: Avoid 'Review Theater' and 'Test Theater'</t>
        </is>
      </c>
    </row>
    <row r="26" ht="20" customHeight="1">
      <c r="A26" s="7" t="inlineStr">
        <is>
          <t xml:space="preserve">   • 'LGTM' without security analysis is not a review</t>
        </is>
      </c>
    </row>
    <row r="27" ht="20" customHeight="1">
      <c r="A27" s="7" t="inlineStr">
        <is>
          <t xml:space="preserve">   • Tests that always pass don't test security</t>
        </is>
      </c>
    </row>
    <row r="28" ht="20" customHeight="1">
      <c r="A28" s="7" t="inlineStr">
        <is>
          <t xml:space="preserve">   • Process without effectiveness is just cargo cult</t>
        </is>
      </c>
    </row>
    <row r="31">
      <c r="A31" s="6" t="inlineStr">
        <is>
          <t>ASSESSMENT DOMAINS</t>
        </is>
      </c>
    </row>
    <row r="32">
      <c r="A32" s="9" t="inlineStr">
        <is>
          <t>Domain</t>
        </is>
      </c>
      <c r="B32" s="9" t="inlineStr">
        <is>
          <t>Focus Area</t>
        </is>
      </c>
      <c r="C32" s="9" t="inlineStr">
        <is>
          <t>Requirements</t>
        </is>
      </c>
    </row>
    <row r="33">
      <c r="A33" t="inlineStr">
        <is>
          <t>1. Code Review Process &amp; Governance</t>
        </is>
      </c>
      <c r="B33" t="inlineStr">
        <is>
          <t>Mandatory review, qualified reviewers, security checklists</t>
        </is>
      </c>
    </row>
    <row r="34">
      <c r="A34" t="inlineStr">
        <is>
          <t>2. Security Champion Review</t>
        </is>
      </c>
      <c r="B34" t="inlineStr">
        <is>
          <t>Champion program, architecture reviews, threat modeling</t>
        </is>
      </c>
    </row>
    <row r="35">
      <c r="A35" t="inlineStr">
        <is>
          <t>3. Security Testing - Unit &amp; Integration</t>
        </is>
      </c>
      <c r="B35" t="inlineStr">
        <is>
          <t>Security test cases, auth/authz testing, test coverage</t>
        </is>
      </c>
    </row>
    <row r="36">
      <c r="A36" t="inlineStr">
        <is>
          <t>4. API &amp; Application Security Testing</t>
        </is>
      </c>
      <c r="B36" t="inlineStr">
        <is>
          <t>API testing, injection testing, fuzzing, staging tests</t>
        </is>
      </c>
    </row>
    <row r="37">
      <c r="A37" t="inlineStr">
        <is>
          <t>5. External Testing &amp; Continuous Validation</t>
        </is>
      </c>
      <c r="B37" t="inlineStr">
        <is>
          <t>Pentesting, bug bounty, regression tests, metrics</t>
        </is>
      </c>
    </row>
    <row r="38">
      <c r="C38" s="10" t="inlineStr">
        <is>
          <t>90 Total</t>
        </is>
      </c>
    </row>
    <row r="41">
      <c r="A41" s="6" t="inlineStr">
        <is>
          <t>IMPLEMENTATION STATUS LEGEND</t>
        </is>
      </c>
    </row>
    <row r="42">
      <c r="A42" s="9" t="inlineStr">
        <is>
          <t>Status</t>
        </is>
      </c>
      <c r="B42" s="9" t="inlineStr">
        <is>
          <t>Symbol</t>
        </is>
      </c>
      <c r="C42" s="9" t="inlineStr">
        <is>
          <t>Description</t>
        </is>
      </c>
      <c r="D42" s="9" t="inlineStr">
        <is>
          <t>When to Use</t>
        </is>
      </c>
    </row>
    <row r="43" ht="30" customHeight="1">
      <c r="A43" s="11" t="inlineStr">
        <is>
          <t>Implemented</t>
        </is>
      </c>
      <c r="B43" t="inlineStr">
        <is>
          <t>✅</t>
        </is>
      </c>
      <c r="C43" s="7" t="inlineStr">
        <is>
          <t>Review/test is effective at catching vulnerabilities</t>
        </is>
      </c>
    </row>
    <row r="44" ht="30" customHeight="1">
      <c r="A44" s="12" t="inlineStr">
        <is>
          <t>Partially Implemented</t>
        </is>
      </c>
      <c r="B44" t="inlineStr">
        <is>
          <t>⚠️</t>
        </is>
      </c>
      <c r="C44" s="7" t="inlineStr">
        <is>
          <t>Process exists but limited effectiveness</t>
        </is>
      </c>
    </row>
    <row r="45" ht="30" customHeight="1">
      <c r="A45" s="13" t="inlineStr">
        <is>
          <t>Not Implemented</t>
        </is>
      </c>
      <c r="B45" t="inlineStr">
        <is>
          <t>❌</t>
        </is>
      </c>
      <c r="C45" s="7" t="inlineStr">
        <is>
          <t>Review/test process does not exist</t>
        </is>
      </c>
    </row>
    <row r="46" ht="30" customHeight="1">
      <c r="A46" s="14" t="inlineStr">
        <is>
          <t>N/A</t>
        </is>
      </c>
      <c r="B46" t="inlineStr">
        <is>
          <t>N/A</t>
        </is>
      </c>
      <c r="C46" s="7" t="inlineStr">
        <is>
          <t>Not applicable to environment</t>
        </is>
      </c>
    </row>
    <row r="49">
      <c r="A49" s="6" t="inlineStr">
        <is>
          <t>ACCEPTABLE EVIDENCE (Examples)</t>
        </is>
      </c>
    </row>
    <row r="50">
      <c r="A50" s="15" t="inlineStr">
        <is>
          <t>✓ Code review policy and procedures documentation</t>
        </is>
      </c>
    </row>
    <row r="51">
      <c r="A51" s="15" t="inlineStr">
        <is>
          <t>✓ Sample code reviews showing security analysis (not just 'LGTM')</t>
        </is>
      </c>
    </row>
    <row r="52">
      <c r="A52" s="15" t="inlineStr">
        <is>
          <t>✓ Repository settings enforcing review requirements</t>
        </is>
      </c>
    </row>
    <row r="53">
      <c r="A53" s="15" t="inlineStr">
        <is>
          <t>✓ Security Champion roster and training records</t>
        </is>
      </c>
    </row>
    <row r="54">
      <c r="A54" s="15" t="inlineStr">
        <is>
          <t>✓ Security-focused code review checklists (with usage evidence)</t>
        </is>
      </c>
    </row>
    <row r="55">
      <c r="A55" s="15" t="inlineStr">
        <is>
          <t>✓ Security test suite code and test case documentation</t>
        </is>
      </c>
    </row>
    <row r="56">
      <c r="A56" s="15" t="inlineStr">
        <is>
          <t>✓ Test execution logs showing security tests running</t>
        </is>
      </c>
    </row>
    <row r="57">
      <c r="A57" s="15" t="inlineStr">
        <is>
          <t>✓ Test coverage reports (specifically for security tests)</t>
        </is>
      </c>
    </row>
    <row r="58">
      <c r="A58" s="15" t="inlineStr">
        <is>
          <t>✓ API security test scenarios and results</t>
        </is>
      </c>
    </row>
    <row r="59">
      <c r="A59" s="15" t="inlineStr">
        <is>
          <t>✓ Penetration test reports (last 12 months)</t>
        </is>
      </c>
    </row>
    <row r="60">
      <c r="A60" s="15" t="inlineStr">
        <is>
          <t>✓ Bug bounty program documentation and submission records</t>
        </is>
      </c>
    </row>
    <row r="61">
      <c r="A61" s="15" t="inlineStr">
        <is>
          <t>✓ Security regression test suite</t>
        </is>
      </c>
    </row>
    <row r="62">
      <c r="A62" s="15" t="inlineStr">
        <is>
          <t>✓ Security metrics: vulnerabilities caught in review vs. testing vs. production</t>
        </is>
      </c>
    </row>
    <row r="63">
      <c r="A63" s="15" t="inlineStr">
        <is>
          <t>✓ False negative analysis (post-incident reviews)</t>
        </is>
      </c>
    </row>
    <row r="64">
      <c r="A64" s="15" t="inlineStr">
        <is>
          <t>✓ Remediation tracking for security findings</t>
        </is>
      </c>
    </row>
    <row r="67">
      <c r="A67" s="16" t="inlineStr">
        <is>
          <t>COMMON ANTI-PATTERNS TO AVOID (Theater vs. Reality)</t>
        </is>
      </c>
    </row>
    <row r="68" ht="25" customHeight="1">
      <c r="A68" s="17" t="inlineStr">
        <is>
          <t>❌ REVIEW THEATER: 'LGTM' comments with no actual security analysis</t>
        </is>
      </c>
    </row>
    <row r="69" ht="25" customHeight="1">
      <c r="A69" s="17" t="inlineStr">
        <is>
          <t>❌ TEST THEATER: Tests that always pass because they don't test security</t>
        </is>
      </c>
    </row>
    <row r="70" ht="25" customHeight="1">
      <c r="A70" s="17" t="inlineStr">
        <is>
          <t>❌ Marking 'Implemented' because review policy exists (but nobody follows it)</t>
        </is>
      </c>
    </row>
    <row r="71" ht="25" customHeight="1">
      <c r="A71" s="17" t="inlineStr">
        <is>
          <t>❌ Security tests that are disabled 'temporarily' for months</t>
        </is>
      </c>
    </row>
    <row r="72" ht="25" customHeight="1">
      <c r="A72" s="17" t="inlineStr">
        <is>
          <t>❌ Pentests with artificially narrow scope to avoid finding issues</t>
        </is>
      </c>
    </row>
    <row r="73" ht="25" customHeight="1">
      <c r="A73" s="17" t="inlineStr">
        <is>
          <t>❌ Bug bounty program with no budget and no responses</t>
        </is>
      </c>
    </row>
    <row r="74" ht="25" customHeight="1">
      <c r="A74" s="17" t="inlineStr">
        <is>
          <t>❌ Reviewers who aren't trained on secure code review</t>
        </is>
      </c>
    </row>
    <row r="75" ht="25" customHeight="1">
      <c r="A75" s="17" t="inlineStr">
        <is>
          <t>❌ Measuring 'reviews performed' instead of 'vulnerabilities caught'</t>
        </is>
      </c>
    </row>
    <row r="76" ht="25" customHeight="1">
      <c r="A76" s="17" t="inlineStr">
        <is>
          <t>❌ Security Champions who are never consulted</t>
        </is>
      </c>
    </row>
    <row r="77" ht="25" customHeight="1">
      <c r="A77" s="17" t="inlineStr">
        <is>
          <t>❌ Test coverage metrics that don't include security test coverage</t>
        </is>
      </c>
    </row>
    <row r="80">
      <c r="A80" s="18" t="inlineStr">
        <is>
          <t>KEY EFFECTIVENESS QUESTIONS</t>
        </is>
      </c>
    </row>
    <row r="81" ht="20" customHeight="1">
      <c r="A81" s="19" t="inlineStr">
        <is>
          <t>❓ What % of security issues are caught in code review?</t>
        </is>
      </c>
    </row>
    <row r="82" ht="20" customHeight="1">
      <c r="A82" s="19" t="inlineStr">
        <is>
          <t>❓ What % of security issues are caught in testing?</t>
        </is>
      </c>
    </row>
    <row r="83" ht="20" customHeight="1">
      <c r="A83" s="19" t="inlineStr">
        <is>
          <t>❓ What % of security issues reach production?</t>
        </is>
      </c>
    </row>
    <row r="84" ht="20" customHeight="1">
      <c r="A84" s="19" t="inlineStr">
        <is>
          <t>❓ Are pentests finding issues internal testing should have caught?</t>
        </is>
      </c>
    </row>
    <row r="85" ht="20" customHeight="1">
      <c r="A85" s="19" t="inlineStr">
        <is>
          <t>❓ Are bug bounty researchers finding trivial issues?</t>
        </is>
      </c>
    </row>
    <row r="86" ht="20" customHeight="1">
      <c r="A86" s="19" t="inlineStr">
        <is>
          <t>❓ How many security regressions occur (previously fixed issues reintroduced)?</t>
        </is>
      </c>
    </row>
    <row r="87" ht="20" customHeight="1">
      <c r="A87" s="19" t="inlineStr">
        <is>
          <t>❓ Do security tests actually test security-relevant behavior?</t>
        </is>
      </c>
    </row>
    <row r="88" ht="20" customHeight="1">
      <c r="A88" s="19" t="inlineStr">
        <is>
          <t>❓ When was the last time a security test caught a real vulnerability?</t>
        </is>
      </c>
    </row>
  </sheetData>
  <mergeCells count="72">
    <mergeCell ref="A41:F41"/>
    <mergeCell ref="A16:F16"/>
    <mergeCell ref="A54:F54"/>
    <mergeCell ref="B7:F7"/>
    <mergeCell ref="A84:F84"/>
    <mergeCell ref="A80:F80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86:F86"/>
    <mergeCell ref="A57:F57"/>
    <mergeCell ref="A2:F2"/>
    <mergeCell ref="A71:F71"/>
    <mergeCell ref="B12:F12"/>
    <mergeCell ref="A85:F85"/>
    <mergeCell ref="A76:F76"/>
    <mergeCell ref="B11:F11"/>
    <mergeCell ref="A23:F23"/>
    <mergeCell ref="A22:F22"/>
    <mergeCell ref="A17:F17"/>
    <mergeCell ref="A4:F4"/>
    <mergeCell ref="B8:F8"/>
    <mergeCell ref="A20:F20"/>
    <mergeCell ref="A62:F62"/>
    <mergeCell ref="A53:F53"/>
    <mergeCell ref="A72:F72"/>
    <mergeCell ref="A81:F81"/>
    <mergeCell ref="A63:F63"/>
    <mergeCell ref="A52:F52"/>
    <mergeCell ref="C45:F45"/>
    <mergeCell ref="A28:F28"/>
    <mergeCell ref="A19:F19"/>
    <mergeCell ref="B34:F34"/>
    <mergeCell ref="A68:F68"/>
    <mergeCell ref="B10:F10"/>
    <mergeCell ref="A67:F67"/>
    <mergeCell ref="A31:F31"/>
    <mergeCell ref="B37:F37"/>
    <mergeCell ref="A58:F58"/>
    <mergeCell ref="A83:F83"/>
    <mergeCell ref="A77:F77"/>
    <mergeCell ref="A15:F15"/>
    <mergeCell ref="B9:F9"/>
    <mergeCell ref="C44:F44"/>
    <mergeCell ref="A59:F59"/>
    <mergeCell ref="A24:F24"/>
    <mergeCell ref="A64:F64"/>
    <mergeCell ref="A49:F49"/>
    <mergeCell ref="A51:F51"/>
    <mergeCell ref="A73:F73"/>
    <mergeCell ref="A82:F82"/>
    <mergeCell ref="B6:F6"/>
    <mergeCell ref="A60:F60"/>
    <mergeCell ref="B33:F33"/>
    <mergeCell ref="A1:F1"/>
    <mergeCell ref="C43:F43"/>
    <mergeCell ref="A70:F70"/>
    <mergeCell ref="B5:F5"/>
    <mergeCell ref="C46:F46"/>
    <mergeCell ref="A61:F61"/>
    <mergeCell ref="A88:F88"/>
    <mergeCell ref="B36:F36"/>
    <mergeCell ref="A69:F69"/>
    <mergeCell ref="A87:F8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Code Review Process &amp; Governance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Review Policy</t>
        </is>
      </c>
    </row>
    <row r="4" ht="45" customHeight="1">
      <c r="A4" s="22" t="inlineStr">
        <is>
          <t>1.1</t>
        </is>
      </c>
      <c r="B4" s="23" t="inlineStr">
        <is>
          <t>Peer review is mandatory for all production code changes</t>
        </is>
      </c>
      <c r="C4" s="24" t="n"/>
      <c r="D4" s="25" t="inlineStr">
        <is>
          <t>Repository settings showing branch protection, review approval requirements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1.2</t>
        </is>
      </c>
      <c r="B5" s="23" t="inlineStr">
        <is>
          <t>Code review policy is documented and accessible to all developers</t>
        </is>
      </c>
      <c r="C5" s="24" t="n"/>
      <c r="D5" s="25" t="inlineStr">
        <is>
          <t>Code review policy document, developer handbook, internal wiki</t>
        </is>
      </c>
      <c r="E5" s="26" t="n"/>
      <c r="F5" s="27">
        <f>IF(C5="Implemented","✅",IF(C5="Partially Implemented","⚠️",IF(C5="Not Implemented","❌",IF(C5="N/A","N/A",""))))</f>
        <v/>
      </c>
    </row>
    <row r="6" ht="45" customHeight="1">
      <c r="A6" s="22" t="inlineStr">
        <is>
          <t>1.3</t>
        </is>
      </c>
      <c r="B6" s="23" t="inlineStr">
        <is>
          <t>Minimum reviewer qualifications are defined and enforced</t>
        </is>
      </c>
      <c r="C6" s="24" t="n"/>
      <c r="D6" s="25" t="inlineStr">
        <is>
          <t>Reviewer qualification criteria, approved reviewer list</t>
        </is>
      </c>
      <c r="E6" s="26" t="n"/>
      <c r="F6" s="27">
        <f>IF(C6="Implemented","✅",IF(C6="Partially Implemented","⚠️",IF(C6="Not Implemented","❌",IF(C6="N/A","N/A",""))))</f>
        <v/>
      </c>
    </row>
    <row r="7" ht="20" customHeight="1">
      <c r="A7" s="21" t="inlineStr">
        <is>
          <t>▶ Reviewer Training</t>
        </is>
      </c>
    </row>
    <row r="8" ht="45" customHeight="1">
      <c r="A8" s="22" t="inlineStr">
        <is>
          <t>1.4</t>
        </is>
      </c>
      <c r="B8" s="23" t="inlineStr">
        <is>
          <t>All reviewers are trained on secure code review practices</t>
        </is>
      </c>
      <c r="C8" s="24" t="n"/>
      <c r="D8" s="25" t="inlineStr">
        <is>
          <t>Training completion records, secure code review training materials</t>
        </is>
      </c>
      <c r="E8" s="26" t="n"/>
      <c r="F8" s="27">
        <f>IF(C8="Implemented","✅",IF(C8="Partially Implemented","⚠️",IF(C8="Not Implemented","❌",IF(C8="N/A","N/A",""))))</f>
        <v/>
      </c>
    </row>
    <row r="9" ht="20" customHeight="1">
      <c r="A9" s="21" t="inlineStr">
        <is>
          <t>▶ Review Process</t>
        </is>
      </c>
    </row>
    <row r="10" ht="45" customHeight="1">
      <c r="A10" s="22" t="inlineStr">
        <is>
          <t>1.5</t>
        </is>
      </c>
      <c r="B10" s="23" t="inlineStr">
        <is>
          <t>Security-focused checklist is used in all code reviews</t>
        </is>
      </c>
      <c r="C10" s="24" t="n"/>
      <c r="D10" s="25" t="inlineStr">
        <is>
          <t>Code review checklist template, checklist usage in PR comments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Review Tools</t>
        </is>
      </c>
    </row>
    <row r="12" ht="45" customHeight="1">
      <c r="A12" s="22" t="inlineStr">
        <is>
          <t>1.6</t>
        </is>
      </c>
      <c r="B12" s="23" t="inlineStr">
        <is>
          <t>Code review tools are integrated into development workflow</t>
        </is>
      </c>
      <c r="C12" s="24" t="n"/>
      <c r="D12" s="25" t="inlineStr">
        <is>
          <t>GitHub/GitLab/Bitbucket PR process, review tool configuration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20" customHeight="1">
      <c r="A13" s="21" t="inlineStr">
        <is>
          <t>▶ Review Enforcement</t>
        </is>
      </c>
    </row>
    <row r="14" ht="45" customHeight="1">
      <c r="A14" s="22" t="inlineStr">
        <is>
          <t>1.7</t>
        </is>
      </c>
      <c r="B14" s="23" t="inlineStr">
        <is>
          <t>Review approval is required before code can be merged to production</t>
        </is>
      </c>
      <c r="C14" s="24" t="n"/>
      <c r="D14" s="25" t="inlineStr">
        <is>
          <t>Branch protection rules, merge approval logs</t>
        </is>
      </c>
      <c r="E14" s="26" t="n"/>
      <c r="F14" s="27">
        <f>IF(C14="Implemented","✅",IF(C14="Partially Implemented","⚠️",IF(C14="Not Implemented","❌",IF(C14="N/A","N/A",""))))</f>
        <v/>
      </c>
    </row>
    <row r="15" ht="20" customHeight="1">
      <c r="A15" s="21" t="inlineStr">
        <is>
          <t>▶ Review Metrics</t>
        </is>
      </c>
    </row>
    <row r="16" ht="45" customHeight="1">
      <c r="A16" s="22" t="inlineStr">
        <is>
          <t>1.8</t>
        </is>
      </c>
      <c r="B16" s="23" t="inlineStr">
        <is>
          <t>Code review coverage is measured and tracked</t>
        </is>
      </c>
      <c r="C16" s="24" t="n"/>
      <c r="D16" s="25" t="inlineStr">
        <is>
          <t>Review coverage metrics dashboard, coverage reports</t>
        </is>
      </c>
      <c r="E16" s="26" t="n"/>
      <c r="F16" s="27">
        <f>IF(C16="Implemented","✅",IF(C16="Partially Implemented","⚠️",IF(C16="Not Implemented","❌",IF(C16="N/A","N/A",""))))</f>
        <v/>
      </c>
    </row>
    <row r="17" ht="20" customHeight="1">
      <c r="A17" s="21" t="inlineStr">
        <is>
          <t>▶ Review Quality</t>
        </is>
      </c>
    </row>
    <row r="18" ht="45" customHeight="1">
      <c r="A18" s="22" t="inlineStr">
        <is>
          <t>1.9</t>
        </is>
      </c>
      <c r="B18" s="23" t="inlineStr">
        <is>
          <t>Review comments reference secure coding standards and best practices</t>
        </is>
      </c>
      <c r="C18" s="24" t="n"/>
      <c r="D18" s="25" t="inlineStr">
        <is>
          <t>Sample review comments with standards references</t>
        </is>
      </c>
      <c r="E18" s="26" t="n"/>
      <c r="F18" s="27">
        <f>IF(C18="Implemented","✅",IF(C18="Partially Implemented","⚠️",IF(C18="Not Implemented","❌",IF(C18="N/A","N/A",""))))</f>
        <v/>
      </c>
    </row>
    <row r="19" ht="20" customHeight="1">
      <c r="A19" s="21" t="inlineStr">
        <is>
          <t>▶ Review Process</t>
        </is>
      </c>
    </row>
    <row r="20" ht="45" customHeight="1">
      <c r="A20" s="22" t="inlineStr">
        <is>
          <t>1.10</t>
        </is>
      </c>
      <c r="B20" s="23" t="inlineStr">
        <is>
          <t>High-risk code changes require additional security review scrutiny</t>
        </is>
      </c>
      <c r="C20" s="24" t="n"/>
      <c r="D20" s="25" t="inlineStr">
        <is>
          <t>Risk-based review policy, high-risk change review records</t>
        </is>
      </c>
      <c r="E20" s="26" t="n"/>
      <c r="F20" s="27">
        <f>IF(C20="Implemented","✅",IF(C20="Partially Implemented","⚠️",IF(C20="Not Implemented","❌",IF(C20="N/A","N/A",""))))</f>
        <v/>
      </c>
    </row>
    <row r="21" ht="20" customHeight="1">
      <c r="A21" s="21" t="inlineStr">
        <is>
          <t>▶ Review Follow-up</t>
        </is>
      </c>
    </row>
    <row r="22" ht="45" customHeight="1">
      <c r="A22" s="22" t="inlineStr">
        <is>
          <t>1.11</t>
        </is>
      </c>
      <c r="B22" s="23" t="inlineStr">
        <is>
          <t>Security findings from code review are tracked to resolution</t>
        </is>
      </c>
      <c r="C22" s="24" t="n"/>
      <c r="D22" s="25" t="inlineStr">
        <is>
          <t>Finding tracking system (JIRA, GitHub Issues), resolution logs</t>
        </is>
      </c>
      <c r="E22" s="26" t="n"/>
      <c r="F22" s="27">
        <f>IF(C22="Implemented","✅",IF(C22="Partially Implemented","⚠️",IF(C22="Not Implemented","❌",IF(C22="N/A","N/A",""))))</f>
        <v/>
      </c>
    </row>
    <row r="23" ht="20" customHeight="1">
      <c r="A23" s="21" t="inlineStr">
        <is>
          <t>▶ Review Metrics</t>
        </is>
      </c>
    </row>
    <row r="24" ht="45" customHeight="1">
      <c r="A24" s="22" t="inlineStr">
        <is>
          <t>1.12</t>
        </is>
      </c>
      <c r="B24" s="23" t="inlineStr">
        <is>
          <t>Code review metrics are reported to management quarterly</t>
        </is>
      </c>
      <c r="C24" s="24" t="n"/>
      <c r="D24" s="25" t="inlineStr">
        <is>
          <t>Quarterly review metrics reports, management dashboards</t>
        </is>
      </c>
      <c r="E24" s="26" t="n"/>
      <c r="F24" s="27">
        <f>IF(C24="Implemented","✅",IF(C24="Partially Implemented","⚠️",IF(C24="Not Implemented","❌",IF(C24="N/A","N/A",""))))</f>
        <v/>
      </c>
    </row>
    <row r="25" ht="20" customHeight="1">
      <c r="A25" s="21" t="inlineStr">
        <is>
          <t>▶ Review Enforcement</t>
        </is>
      </c>
    </row>
    <row r="26" ht="45" customHeight="1">
      <c r="A26" s="22" t="inlineStr">
        <is>
          <t>1.13</t>
        </is>
      </c>
      <c r="B26" s="23" t="inlineStr">
        <is>
          <t>Review bypass requires documented approval and justification</t>
        </is>
      </c>
      <c r="C26" s="24" t="n"/>
      <c r="D26" s="25" t="inlineStr">
        <is>
          <t>Exception request process, bypass approval records</t>
        </is>
      </c>
      <c r="E26" s="26" t="n"/>
      <c r="F26" s="27">
        <f>IF(C26="Implemented","✅",IF(C26="Partially Implemented","⚠️",IF(C26="Not Implemented","❌",IF(C26="N/A","N/A",""))))</f>
        <v/>
      </c>
    </row>
    <row r="27" ht="20" customHeight="1">
      <c r="A27" s="21" t="inlineStr">
        <is>
          <t>▶ Review Tools</t>
        </is>
      </c>
    </row>
    <row r="28" ht="45" customHeight="1">
      <c r="A28" s="22" t="inlineStr">
        <is>
          <t>1.14</t>
        </is>
      </c>
      <c r="B28" s="23" t="inlineStr">
        <is>
          <t>Automated review assistance tools are deployed (PR bots, automated checks)</t>
        </is>
      </c>
      <c r="C28" s="24" t="n"/>
      <c r="D28" s="25" t="inlineStr">
        <is>
          <t>PR bot integration (Danger, CodeOwners), automated check configuration</t>
        </is>
      </c>
      <c r="E28" s="26" t="n"/>
      <c r="F28" s="27">
        <f>IF(C28="Implemented","✅",IF(C28="Partially Implemented","⚠️",IF(C28="Not Implemented","❌",IF(C28="N/A","N/A",""))))</f>
        <v/>
      </c>
    </row>
    <row r="29" ht="20" customHeight="1">
      <c r="A29" s="21" t="inlineStr">
        <is>
          <t>▶ Review Quality</t>
        </is>
      </c>
    </row>
    <row r="30" ht="45" customHeight="1">
      <c r="A30" s="22" t="inlineStr">
        <is>
          <t>1.15</t>
        </is>
      </c>
      <c r="B30" s="23" t="inlineStr">
        <is>
          <t>Code review quality is audited periodically</t>
        </is>
      </c>
      <c r="C30" s="24" t="n"/>
      <c r="D30" s="25" t="inlineStr">
        <is>
          <t>Review quality audit results, sample review assessments</t>
        </is>
      </c>
      <c r="E30" s="26" t="n"/>
      <c r="F30" s="27">
        <f>IF(C30="Implemented","✅",IF(C30="Partially Implemented","⚠️",IF(C30="Not Implemented","❌",IF(C30="N/A","N/A",""))))</f>
        <v/>
      </c>
    </row>
    <row r="31" ht="20" customHeight="1">
      <c r="A31" s="21" t="inlineStr">
        <is>
          <t>▶ Review Policy</t>
        </is>
      </c>
    </row>
    <row r="32" ht="45" customHeight="1">
      <c r="A32" s="22" t="inlineStr">
        <is>
          <t>1.16</t>
        </is>
      </c>
      <c r="B32" s="23" t="inlineStr">
        <is>
          <t>Self-review is not permitted for production code</t>
        </is>
      </c>
      <c r="C32" s="24" t="n"/>
      <c r="D32" s="25" t="inlineStr">
        <is>
          <t>Review policy prohibiting self-approval, enforcement evidence</t>
        </is>
      </c>
      <c r="E32" s="26" t="n"/>
      <c r="F32" s="27">
        <f>IF(C32="Implemented","✅",IF(C32="Partially Implemented","⚠️",IF(C32="Not Implemented","❌",IF(C32="N/A","N/A",""))))</f>
        <v/>
      </c>
    </row>
    <row r="33" ht="20" customHeight="1">
      <c r="A33" s="21" t="inlineStr">
        <is>
          <t>▶ Review Metrics</t>
        </is>
      </c>
    </row>
    <row r="34" ht="45" customHeight="1">
      <c r="A34" s="22" t="inlineStr">
        <is>
          <t>1.17</t>
        </is>
      </c>
      <c r="B34" s="23" t="inlineStr">
        <is>
          <t>Code review turnaround time is measured and within SLA</t>
        </is>
      </c>
      <c r="C34" s="24" t="n"/>
      <c r="D34" s="25" t="inlineStr">
        <is>
          <t>Review SLA metrics, turnaround time tracking</t>
        </is>
      </c>
      <c r="E34" s="26" t="n"/>
      <c r="F34" s="27">
        <f>IF(C34="Implemented","✅",IF(C34="Partially Implemented","⚠️",IF(C34="Not Implemented","❌",IF(C34="N/A","N/A",""))))</f>
        <v/>
      </c>
    </row>
    <row r="35" ht="20" customHeight="1">
      <c r="A35" s="21" t="inlineStr">
        <is>
          <t>▶ Continuous Improvement</t>
        </is>
      </c>
    </row>
    <row r="36" ht="45" customHeight="1">
      <c r="A36" s="22" t="inlineStr">
        <is>
          <t>1.18</t>
        </is>
      </c>
      <c r="B36" s="23" t="inlineStr">
        <is>
          <t>Code review process is continuously improved based on lessons learned</t>
        </is>
      </c>
      <c r="C36" s="24" t="n"/>
      <c r="D36" s="25" t="inlineStr">
        <is>
          <t>Process improvement backlog, retrospective notes</t>
        </is>
      </c>
      <c r="E36" s="26" t="n"/>
      <c r="F36" s="27">
        <f>IF(C36="Implemented","✅",IF(C36="Partially Implemented","⚠️",IF(C36="Not Implemented","❌",IF(C36="N/A","N/A",""))))</f>
        <v/>
      </c>
    </row>
  </sheetData>
  <mergeCells count="17">
    <mergeCell ref="A33:F33"/>
    <mergeCell ref="A11:F11"/>
    <mergeCell ref="A13:F13"/>
    <mergeCell ref="A19:F19"/>
    <mergeCell ref="A1:F1"/>
    <mergeCell ref="A23:F23"/>
    <mergeCell ref="A9:F9"/>
    <mergeCell ref="A27:F27"/>
    <mergeCell ref="A29:F29"/>
    <mergeCell ref="A31:F31"/>
    <mergeCell ref="A17:F17"/>
    <mergeCell ref="A35:F35"/>
    <mergeCell ref="A3:F3"/>
    <mergeCell ref="A21:F21"/>
    <mergeCell ref="A15:F15"/>
    <mergeCell ref="A7:F7"/>
    <mergeCell ref="A25:F25"/>
  </mergeCells>
  <dataValidations count="1">
    <dataValidation sqref="C4 C5 C6 C8 C10 C12 C14 C16 C18 C20 C22 C24 C26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Security Champion Review &amp; Architecture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Champion Program</t>
        </is>
      </c>
    </row>
    <row r="4" ht="45" customHeight="1">
      <c r="A4" s="22" t="inlineStr">
        <is>
          <t>2.1</t>
        </is>
      </c>
      <c r="B4" s="23" t="inlineStr">
        <is>
          <t>Security Champion program is formally established</t>
        </is>
      </c>
      <c r="C4" s="24" t="n"/>
      <c r="D4" s="25" t="inlineStr">
        <is>
          <t>Program charter, Security Champion roster, program documentation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2.2</t>
        </is>
      </c>
      <c r="B5" s="23" t="inlineStr">
        <is>
          <t>Security Champions are assigned to all development teams</t>
        </is>
      </c>
      <c r="C5" s="24" t="n"/>
      <c r="D5" s="25" t="inlineStr">
        <is>
          <t>Team assignments, Security Champion coverage matrix</t>
        </is>
      </c>
      <c r="E5" s="26" t="n"/>
      <c r="F5" s="27">
        <f>IF(C5="Implemented","✅",IF(C5="Partially Implemented","⚠️",IF(C5="Not Implemented","❌",IF(C5="N/A","N/A",""))))</f>
        <v/>
      </c>
    </row>
    <row r="6" ht="20" customHeight="1">
      <c r="A6" s="21" t="inlineStr">
        <is>
          <t>▶ Champion Training</t>
        </is>
      </c>
    </row>
    <row r="7" ht="45" customHeight="1">
      <c r="A7" s="22" t="inlineStr">
        <is>
          <t>2.3</t>
        </is>
      </c>
      <c r="B7" s="23" t="inlineStr">
        <is>
          <t>Security Champions are trained on secure development and threat modeling</t>
        </is>
      </c>
      <c r="C7" s="24" t="n"/>
      <c r="D7" s="25" t="inlineStr">
        <is>
          <t>Training certifications, secure development course completion records</t>
        </is>
      </c>
      <c r="E7" s="26" t="n"/>
      <c r="F7" s="27">
        <f>IF(C7="Implemented","✅",IF(C7="Partially Implemented","⚠️",IF(C7="Not Implemented","❌",IF(C7="N/A","N/A",""))))</f>
        <v/>
      </c>
    </row>
    <row r="8" ht="20" customHeight="1">
      <c r="A8" s="21" t="inlineStr">
        <is>
          <t>▶ Champion Process</t>
        </is>
      </c>
    </row>
    <row r="9" ht="45" customHeight="1">
      <c r="A9" s="22" t="inlineStr">
        <is>
          <t>2.4</t>
        </is>
      </c>
      <c r="B9" s="23" t="inlineStr">
        <is>
          <t>Criteria for Security Champion review are clearly defined</t>
        </is>
      </c>
      <c r="C9" s="24" t="n"/>
      <c r="D9" s="25" t="inlineStr">
        <is>
          <t>Review trigger criteria documentation (e.g., auth changes, crypto, PII)</t>
        </is>
      </c>
      <c r="E9" s="26" t="n"/>
      <c r="F9" s="27">
        <f>IF(C9="Implemented","✅",IF(C9="Partially Implemented","⚠️",IF(C9="Not Implemented","❌",IF(C9="N/A","N/A",""))))</f>
        <v/>
      </c>
    </row>
    <row r="10" ht="45" customHeight="1">
      <c r="A10" s="22" t="inlineStr">
        <is>
          <t>2.5</t>
        </is>
      </c>
      <c r="B10" s="23" t="inlineStr">
        <is>
          <t>High-risk code changes are automatically escalated to Security Champions</t>
        </is>
      </c>
      <c r="C10" s="24" t="n"/>
      <c r="D10" s="25" t="inlineStr">
        <is>
          <t>Escalation logs, Champion review records, automated escalation rules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Architecture Review</t>
        </is>
      </c>
    </row>
    <row r="12" ht="45" customHeight="1">
      <c r="A12" s="22" t="inlineStr">
        <is>
          <t>2.6</t>
        </is>
      </c>
      <c r="B12" s="23" t="inlineStr">
        <is>
          <t>Architecture review is required for all new systems and major changes</t>
        </is>
      </c>
      <c r="C12" s="24" t="n"/>
      <c r="D12" s="25" t="inlineStr">
        <is>
          <t>Architecture review policy, architecture review board meeting notes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45" customHeight="1">
      <c r="A13" s="22" t="inlineStr">
        <is>
          <t>2.7</t>
        </is>
      </c>
      <c r="B13" s="23" t="inlineStr">
        <is>
          <t>Security design review is performed before implementation begins</t>
        </is>
      </c>
      <c r="C13" s="24" t="n"/>
      <c r="D13" s="25" t="inlineStr">
        <is>
          <t>Design review meeting notes, security design sign-off records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20" customHeight="1">
      <c r="A14" s="21" t="inlineStr">
        <is>
          <t>▶ Threat Modeling</t>
        </is>
      </c>
    </row>
    <row r="15" ht="45" customHeight="1">
      <c r="A15" s="22" t="inlineStr">
        <is>
          <t>2.8</t>
        </is>
      </c>
      <c r="B15" s="23" t="inlineStr">
        <is>
          <t>Threat modeling is performed for security-sensitive features</t>
        </is>
      </c>
      <c r="C15" s="24" t="n"/>
      <c r="D15" s="25" t="inlineStr">
        <is>
          <t>Threat model documents, STRIDE analysis, attack trees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20" customHeight="1">
      <c r="A16" s="21" t="inlineStr">
        <is>
          <t>▶ Champion Performance</t>
        </is>
      </c>
    </row>
    <row r="17" ht="45" customHeight="1">
      <c r="A17" s="22" t="inlineStr">
        <is>
          <t>2.9</t>
        </is>
      </c>
      <c r="B17" s="23" t="inlineStr">
        <is>
          <t>Security Champion availability and response time are tracked and meet SLA</t>
        </is>
      </c>
      <c r="C17" s="24" t="n"/>
      <c r="D17" s="25" t="inlineStr">
        <is>
          <t>Response time SLA metrics, Champion availability data</t>
        </is>
      </c>
      <c r="E17" s="26" t="n"/>
      <c r="F17" s="27">
        <f>IF(C17="Implemented","✅",IF(C17="Partially Implemented","⚠️",IF(C17="Not Implemented","❌",IF(C17="N/A","N/A",""))))</f>
        <v/>
      </c>
    </row>
    <row r="18" ht="20" customHeight="1">
      <c r="A18" s="21" t="inlineStr">
        <is>
          <t>▶ Champion Follow-up</t>
        </is>
      </c>
    </row>
    <row r="19" ht="45" customHeight="1">
      <c r="A19" s="22" t="inlineStr">
        <is>
          <t>2.10</t>
        </is>
      </c>
      <c r="B19" s="23" t="inlineStr">
        <is>
          <t>Security Champion recommendations are tracked to implementation</t>
        </is>
      </c>
      <c r="C19" s="24" t="n"/>
      <c r="D19" s="25" t="inlineStr">
        <is>
          <t>Recommendation tracking system, implementation verification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Champion Process</t>
        </is>
      </c>
    </row>
    <row r="21" ht="45" customHeight="1">
      <c r="A21" s="22" t="inlineStr">
        <is>
          <t>2.11</t>
        </is>
      </c>
      <c r="B21" s="23" t="inlineStr">
        <is>
          <t>Clear escalation path exists from Champions to AppSec team</t>
        </is>
      </c>
      <c r="C21" s="24" t="n"/>
      <c r="D21" s="25" t="inlineStr">
        <is>
          <t>Escalation procedures, escalation records, contact information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20" customHeight="1">
      <c r="A22" s="21" t="inlineStr">
        <is>
          <t>▶ Champion Authority</t>
        </is>
      </c>
    </row>
    <row r="23" ht="45" customHeight="1">
      <c r="A23" s="22" t="inlineStr">
        <is>
          <t>2.12</t>
        </is>
      </c>
      <c r="B23" s="23" t="inlineStr">
        <is>
          <t>Security Champions have authority to block releases for security issues</t>
        </is>
      </c>
      <c r="C23" s="24" t="n"/>
      <c r="D23" s="25" t="inlineStr">
        <is>
          <t>Authority documentation, examples of Champion-blocked releases</t>
        </is>
      </c>
      <c r="E23" s="26" t="n"/>
      <c r="F23" s="27">
        <f>IF(C23="Implemented","✅",IF(C23="Partially Implemented","⚠️",IF(C23="Not Implemented","❌",IF(C23="N/A","N/A",""))))</f>
        <v/>
      </c>
    </row>
    <row r="24" ht="20" customHeight="1">
      <c r="A24" s="21" t="inlineStr">
        <is>
          <t>▶ Champion Metrics</t>
        </is>
      </c>
    </row>
    <row r="25" ht="45" customHeight="1">
      <c r="A25" s="22" t="inlineStr">
        <is>
          <t>2.13</t>
        </is>
      </c>
      <c r="B25" s="23" t="inlineStr">
        <is>
          <t>Security Champion program effectiveness is measured with KPIs</t>
        </is>
      </c>
      <c r="C25" s="24" t="n"/>
      <c r="D25" s="25" t="inlineStr">
        <is>
          <t>Program metrics dashboard, effectiveness assessment reports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20" customHeight="1">
      <c r="A26" s="21" t="inlineStr">
        <is>
          <t>▶ Champion Program</t>
        </is>
      </c>
    </row>
    <row r="27" ht="45" customHeight="1">
      <c r="A27" s="22" t="inlineStr">
        <is>
          <t>2.14</t>
        </is>
      </c>
      <c r="B27" s="23" t="inlineStr">
        <is>
          <t>Regular Security Champion sync meetings are held</t>
        </is>
      </c>
      <c r="C27" s="24" t="n"/>
      <c r="D27" s="25" t="inlineStr">
        <is>
          <t>Meeting schedules, attendance records, meeting notes</t>
        </is>
      </c>
      <c r="E27" s="26" t="n"/>
      <c r="F27" s="27">
        <f>IF(C27="Implemented","✅",IF(C27="Partially Implemented","⚠️",IF(C27="Not Implemented","❌",IF(C27="N/A","N/A",""))))</f>
        <v/>
      </c>
    </row>
    <row r="28" ht="20" customHeight="1">
      <c r="A28" s="21" t="inlineStr">
        <is>
          <t>▶ Champion Resources</t>
        </is>
      </c>
    </row>
    <row r="29" ht="45" customHeight="1">
      <c r="A29" s="22" t="inlineStr">
        <is>
          <t>2.15</t>
        </is>
      </c>
      <c r="B29" s="23" t="inlineStr">
        <is>
          <t>Security Champion knowledge base and playbooks are maintained</t>
        </is>
      </c>
      <c r="C29" s="24" t="n"/>
      <c r="D29" s="25" t="inlineStr">
        <is>
          <t>Internal wiki, Security Champion playbooks, decision trees</t>
        </is>
      </c>
      <c r="E29" s="26" t="n"/>
      <c r="F29" s="27">
        <f>IF(C29="Implemented","✅",IF(C29="Partially Implemented","⚠️",IF(C29="Not Implemented","❌",IF(C29="N/A","N/A",""))))</f>
        <v/>
      </c>
    </row>
    <row r="30" ht="20" customHeight="1">
      <c r="A30" s="21" t="inlineStr">
        <is>
          <t>▶ Champion Training</t>
        </is>
      </c>
    </row>
    <row r="31" ht="45" customHeight="1">
      <c r="A31" s="22" t="inlineStr">
        <is>
          <t>2.16</t>
        </is>
      </c>
      <c r="B31" s="23" t="inlineStr">
        <is>
          <t>New Security Champions are onboarded with systematic training plan</t>
        </is>
      </c>
      <c r="C31" s="24" t="n"/>
      <c r="D31" s="25" t="inlineStr">
        <is>
          <t>Champion onboarding checklist, training plan documentation</t>
        </is>
      </c>
      <c r="E31" s="26" t="n"/>
      <c r="F31" s="27">
        <f>IF(C31="Implemented","✅",IF(C31="Partially Implemented","⚠️",IF(C31="Not Implemented","❌",IF(C31="N/A","N/A",""))))</f>
        <v/>
      </c>
    </row>
    <row r="32" ht="20" customHeight="1">
      <c r="A32" s="21" t="inlineStr">
        <is>
          <t>▶ Champion Program</t>
        </is>
      </c>
    </row>
    <row r="33" ht="45" customHeight="1">
      <c r="A33" s="22" t="inlineStr">
        <is>
          <t>2.17</t>
        </is>
      </c>
      <c r="B33" s="23" t="inlineStr">
        <is>
          <t>Security Champion contributions are recognized and rewarded</t>
        </is>
      </c>
      <c r="C33" s="24" t="n"/>
      <c r="D33" s="25" t="inlineStr">
        <is>
          <t>Recognition program documentation, awards, acknowledgments</t>
        </is>
      </c>
      <c r="E33" s="26" t="n"/>
      <c r="F33" s="27">
        <f>IF(C33="Implemented","✅",IF(C33="Partially Implemented","⚠️",IF(C33="Not Implemented","❌",IF(C33="N/A","N/A",""))))</f>
        <v/>
      </c>
    </row>
    <row r="34" ht="20" customHeight="1">
      <c r="A34" s="21" t="inlineStr">
        <is>
          <t>▶ Champion Training</t>
        </is>
      </c>
    </row>
    <row r="35" ht="45" customHeight="1">
      <c r="A35" s="22" t="inlineStr">
        <is>
          <t>2.18</t>
        </is>
      </c>
      <c r="B35" s="23" t="inlineStr">
        <is>
          <t>Security Champions receive regular updates on emerging threats</t>
        </is>
      </c>
      <c r="C35" s="24" t="n"/>
      <c r="D35" s="25" t="inlineStr">
        <is>
          <t>Threat intelligence briefings, security newsletters, training sessions</t>
        </is>
      </c>
      <c r="E35" s="26" t="n"/>
      <c r="F35" s="27">
        <f>IF(C35="Implemented","✅",IF(C35="Partially Implemented","⚠️",IF(C35="Not Implemented","❌",IF(C35="N/A","N/A",""))))</f>
        <v/>
      </c>
    </row>
  </sheetData>
  <mergeCells count="16">
    <mergeCell ref="A24:F24"/>
    <mergeCell ref="A16:F16"/>
    <mergeCell ref="A11:F11"/>
    <mergeCell ref="A28:F28"/>
    <mergeCell ref="A14:F14"/>
    <mergeCell ref="A1:F1"/>
    <mergeCell ref="A32:F32"/>
    <mergeCell ref="A8:F8"/>
    <mergeCell ref="A26:F26"/>
    <mergeCell ref="A6:F6"/>
    <mergeCell ref="A22:F22"/>
    <mergeCell ref="A34:F34"/>
    <mergeCell ref="A18:F18"/>
    <mergeCell ref="A3:F3"/>
    <mergeCell ref="A30:F30"/>
    <mergeCell ref="A20:F20"/>
  </mergeCells>
  <dataValidations count="1">
    <dataValidation sqref="C4 C5 C7 C9 C10 C12 C13 C15 C17 C19 C21 C23 C25 C27 C29 C31 C33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Security Testing - Unit &amp; Integration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Test Coverage</t>
        </is>
      </c>
    </row>
    <row r="4" ht="45" customHeight="1">
      <c r="A4" s="22" t="inlineStr">
        <is>
          <t>3.1</t>
        </is>
      </c>
      <c r="B4" s="23" t="inlineStr">
        <is>
          <t>Security test cases exist for all critical application functionality</t>
        </is>
      </c>
      <c r="C4" s="24" t="n"/>
      <c r="D4" s="25" t="inlineStr">
        <is>
          <t>Security test suite, test case repository, test documentation</t>
        </is>
      </c>
      <c r="E4" s="26" t="n"/>
      <c r="F4" s="27">
        <f>IF(C4="Implemented","✅",IF(C4="Partially Implemented","⚠️",IF(C4="Not Implemented","❌",IF(C4="N/A","N/A",""))))</f>
        <v/>
      </c>
    </row>
    <row r="5" ht="20" customHeight="1">
      <c r="A5" s="21" t="inlineStr">
        <is>
          <t>▶ Unit Testing</t>
        </is>
      </c>
    </row>
    <row r="6" ht="45" customHeight="1">
      <c r="A6" s="22" t="inlineStr">
        <is>
          <t>3.2</t>
        </is>
      </c>
      <c r="B6" s="23" t="inlineStr">
        <is>
          <t>Input validation is tested at the unit test level</t>
        </is>
      </c>
      <c r="C6" s="24" t="n"/>
      <c r="D6" s="25" t="inlineStr">
        <is>
          <t>Input validation unit tests, boundary testing, malicious input tests</t>
        </is>
      </c>
      <c r="E6" s="26" t="n"/>
      <c r="F6" s="27">
        <f>IF(C6="Implemented","✅",IF(C6="Partially Implemented","⚠️",IF(C6="Not Implemented","❌",IF(C6="N/A","N/A",""))))</f>
        <v/>
      </c>
    </row>
    <row r="7" ht="45" customHeight="1">
      <c r="A7" s="22" t="inlineStr">
        <is>
          <t>3.3</t>
        </is>
      </c>
      <c r="B7" s="23" t="inlineStr">
        <is>
          <t>Authentication logic is thoroughly tested with unit tests</t>
        </is>
      </c>
      <c r="C7" s="24" t="n"/>
      <c r="D7" s="25" t="inlineStr">
        <is>
          <t>Authentication unit test suites, auth failure test cases</t>
        </is>
      </c>
      <c r="E7" s="26" t="n"/>
      <c r="F7" s="27">
        <f>IF(C7="Implemented","✅",IF(C7="Partially Implemented","⚠️",IF(C7="Not Implemented","❌",IF(C7="N/A","N/A",""))))</f>
        <v/>
      </c>
    </row>
    <row r="8" ht="45" customHeight="1">
      <c r="A8" s="22" t="inlineStr">
        <is>
          <t>3.4</t>
        </is>
      </c>
      <c r="B8" s="23" t="inlineStr">
        <is>
          <t>Authorization checks are tested at unit and integration levels</t>
        </is>
      </c>
      <c r="C8" s="24" t="n"/>
      <c r="D8" s="25" t="inlineStr">
        <is>
          <t>Authorization test cases, access control test matrices</t>
        </is>
      </c>
      <c r="E8" s="26" t="n"/>
      <c r="F8" s="27">
        <f>IF(C8="Implemented","✅",IF(C8="Partially Implemented","⚠️",IF(C8="Not Implemented","❌",IF(C8="N/A","N/A",""))))</f>
        <v/>
      </c>
    </row>
    <row r="9" ht="20" customHeight="1">
      <c r="A9" s="21" t="inlineStr">
        <is>
          <t>▶ Integration Testing</t>
        </is>
      </c>
    </row>
    <row r="10" ht="45" customHeight="1">
      <c r="A10" s="22" t="inlineStr">
        <is>
          <t>3.5</t>
        </is>
      </c>
      <c r="B10" s="23" t="inlineStr">
        <is>
          <t>Session management security is tested</t>
        </is>
      </c>
      <c r="C10" s="24" t="n"/>
      <c r="D10" s="25" t="inlineStr">
        <is>
          <t>Session security test cases, timeout testing, session fixation tests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Unit Testing</t>
        </is>
      </c>
    </row>
    <row r="12" ht="45" customHeight="1">
      <c r="A12" s="22" t="inlineStr">
        <is>
          <t>3.6</t>
        </is>
      </c>
      <c r="B12" s="23" t="inlineStr">
        <is>
          <t>Cryptographic functions are tested for correct implementation</t>
        </is>
      </c>
      <c r="C12" s="24" t="n"/>
      <c r="D12" s="25" t="inlineStr">
        <is>
          <t>Cryptography unit tests, key generation tests, encryption/decryption tests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45" customHeight="1">
      <c r="A13" s="22" t="inlineStr">
        <is>
          <t>3.7</t>
        </is>
      </c>
      <c r="B13" s="23" t="inlineStr">
        <is>
          <t>Error handling is tested to prevent information disclosure</t>
        </is>
      </c>
      <c r="C13" s="24" t="n"/>
      <c r="D13" s="25" t="inlineStr">
        <is>
          <t>Error handling test scenarios, exception testing, stack trace prevention tests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20" customHeight="1">
      <c r="A14" s="21" t="inlineStr">
        <is>
          <t>▶ Integration Testing</t>
        </is>
      </c>
    </row>
    <row r="15" ht="45" customHeight="1">
      <c r="A15" s="22" t="inlineStr">
        <is>
          <t>3.8</t>
        </is>
      </c>
      <c r="B15" s="23" t="inlineStr">
        <is>
          <t>Integration tests validate end-to-end authentication/authorization workflows</t>
        </is>
      </c>
      <c r="C15" s="24" t="n"/>
      <c r="D15" s="25" t="inlineStr">
        <is>
          <t>Integration test suites, workflow test scenarios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20" customHeight="1">
      <c r="A16" s="21" t="inlineStr">
        <is>
          <t>▶ Test Metrics</t>
        </is>
      </c>
    </row>
    <row r="17" ht="45" customHeight="1">
      <c r="A17" s="22" t="inlineStr">
        <is>
          <t>3.9</t>
        </is>
      </c>
      <c r="B17" s="23" t="inlineStr">
        <is>
          <t>Security test coverage is measured and tracked</t>
        </is>
      </c>
      <c r="C17" s="24" t="n"/>
      <c r="D17" s="25" t="inlineStr">
        <is>
          <t>Test coverage metrics for security-critical code, coverage reports</t>
        </is>
      </c>
      <c r="E17" s="26" t="n"/>
      <c r="F17" s="27">
        <f>IF(C17="Implemented","✅",IF(C17="Partially Implemented","⚠️",IF(C17="Not Implemented","❌",IF(C17="N/A","N/A",""))))</f>
        <v/>
      </c>
    </row>
    <row r="18" ht="20" customHeight="1">
      <c r="A18" s="21" t="inlineStr">
        <is>
          <t>▶ Test Enforcement</t>
        </is>
      </c>
    </row>
    <row r="19" ht="45" customHeight="1">
      <c r="A19" s="22" t="inlineStr">
        <is>
          <t>3.10</t>
        </is>
      </c>
      <c r="B19" s="23" t="inlineStr">
        <is>
          <t>Failed security tests block CI/CD pipeline deployment</t>
        </is>
      </c>
      <c r="C19" s="24" t="n"/>
      <c r="D19" s="25" t="inlineStr">
        <is>
          <t>Pipeline configuration, test failure blocking evidence, failed build logs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Test Automation</t>
        </is>
      </c>
    </row>
    <row r="21" ht="45" customHeight="1">
      <c r="A21" s="22" t="inlineStr">
        <is>
          <t>3.11</t>
        </is>
      </c>
      <c r="B21" s="23" t="inlineStr">
        <is>
          <t>Security tests run automatically on every code commit</t>
        </is>
      </c>
      <c r="C21" s="24" t="n"/>
      <c r="D21" s="25" t="inlineStr">
        <is>
          <t>CI/CD configuration, test execution logs, automated test runs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20" customHeight="1">
      <c r="A22" s="21" t="inlineStr">
        <is>
          <t>▶ Test Maintenance</t>
        </is>
      </c>
    </row>
    <row r="23" ht="45" customHeight="1">
      <c r="A23" s="22" t="inlineStr">
        <is>
          <t>3.12</t>
        </is>
      </c>
      <c r="B23" s="23" t="inlineStr">
        <is>
          <t>Security test maintenance process exists and tests are kept current</t>
        </is>
      </c>
      <c r="C23" s="24" t="n"/>
      <c r="D23" s="25" t="inlineStr">
        <is>
          <t>Test maintenance procedures, test update logs, deprecation handling</t>
        </is>
      </c>
      <c r="E23" s="26" t="n"/>
      <c r="F23" s="27">
        <f>IF(C23="Implemented","✅",IF(C23="Partially Implemented","⚠️",IF(C23="Not Implemented","❌",IF(C23="N/A","N/A",""))))</f>
        <v/>
      </c>
    </row>
    <row r="24" ht="20" customHeight="1">
      <c r="A24" s="21" t="inlineStr">
        <is>
          <t>▶ Test Quality</t>
        </is>
      </c>
    </row>
    <row r="25" ht="45" customHeight="1">
      <c r="A25" s="22" t="inlineStr">
        <is>
          <t>3.13</t>
        </is>
      </c>
      <c r="B25" s="23" t="inlineStr">
        <is>
          <t>Security test cases are peer-reviewed like production code</t>
        </is>
      </c>
      <c r="C25" s="24" t="n"/>
      <c r="D25" s="25" t="inlineStr">
        <is>
          <t>Test code review records, test PR approvals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20" customHeight="1">
      <c r="A26" s="21" t="inlineStr">
        <is>
          <t>▶ Unit Testing</t>
        </is>
      </c>
    </row>
    <row r="27" ht="45" customHeight="1">
      <c r="A27" s="22" t="inlineStr">
        <is>
          <t>3.14</t>
        </is>
      </c>
      <c r="B27" s="23" t="inlineStr">
        <is>
          <t>Negative test cases are included for security-critical functions</t>
        </is>
      </c>
      <c r="C27" s="24" t="n"/>
      <c r="D27" s="25" t="inlineStr">
        <is>
          <t>Negative testing examples, failure mode testing</t>
        </is>
      </c>
      <c r="E27" s="26" t="n"/>
      <c r="F27" s="27">
        <f>IF(C27="Implemented","✅",IF(C27="Partially Implemented","⚠️",IF(C27="Not Implemented","❌",IF(C27="N/A","N/A",""))))</f>
        <v/>
      </c>
    </row>
    <row r="28" ht="45" customHeight="1">
      <c r="A28" s="22" t="inlineStr">
        <is>
          <t>3.15</t>
        </is>
      </c>
      <c r="B28" s="23" t="inlineStr">
        <is>
          <t>Boundary condition testing is performed for input validation</t>
        </is>
      </c>
      <c r="C28" s="24" t="n"/>
      <c r="D28" s="25" t="inlineStr">
        <is>
          <t>Boundary test cases, edge case testing, overflow testing</t>
        </is>
      </c>
      <c r="E28" s="26" t="n"/>
      <c r="F28" s="27">
        <f>IF(C28="Implemented","✅",IF(C28="Partially Implemented","⚠️",IF(C28="Not Implemented","❌",IF(C28="N/A","N/A",""))))</f>
        <v/>
      </c>
    </row>
    <row r="29" ht="20" customHeight="1">
      <c r="A29" s="21" t="inlineStr">
        <is>
          <t>▶ Integration Testing</t>
        </is>
      </c>
    </row>
    <row r="30" ht="45" customHeight="1">
      <c r="A30" s="22" t="inlineStr">
        <is>
          <t>3.16</t>
        </is>
      </c>
      <c r="B30" s="23" t="inlineStr">
        <is>
          <t>Race condition testing is performed where applicable</t>
        </is>
      </c>
      <c r="C30" s="24" t="n"/>
      <c r="D30" s="25" t="inlineStr">
        <is>
          <t>Concurrency test cases, threading tests, TOCTOU testing</t>
        </is>
      </c>
      <c r="E30" s="26" t="n"/>
      <c r="F30" s="27">
        <f>IF(C30="Implemented","✅",IF(C30="Partially Implemented","⚠️",IF(C30="Not Implemented","❌",IF(C30="N/A","N/A",""))))</f>
        <v/>
      </c>
    </row>
    <row r="31" ht="20" customHeight="1">
      <c r="A31" s="21" t="inlineStr">
        <is>
          <t>▶ Test Metrics</t>
        </is>
      </c>
    </row>
    <row r="32" ht="45" customHeight="1">
      <c r="A32" s="22" t="inlineStr">
        <is>
          <t>3.17</t>
        </is>
      </c>
      <c r="B32" s="23" t="inlineStr">
        <is>
          <t>Security test results are archived for audit and trend analysis</t>
        </is>
      </c>
      <c r="C32" s="24" t="n"/>
      <c r="D32" s="25" t="inlineStr">
        <is>
          <t>Test result storage, historical test data, trend reports</t>
        </is>
      </c>
      <c r="E32" s="26" t="n"/>
      <c r="F32" s="27">
        <f>IF(C32="Implemented","✅",IF(C32="Partially Implemented","⚠️",IF(C32="Not Implemented","❌",IF(C32="N/A","N/A",""))))</f>
        <v/>
      </c>
    </row>
    <row r="33" ht="20" customHeight="1">
      <c r="A33" s="21" t="inlineStr">
        <is>
          <t>▶ Test Environment</t>
        </is>
      </c>
    </row>
    <row r="34" ht="45" customHeight="1">
      <c r="A34" s="22" t="inlineStr">
        <is>
          <t>3.18</t>
        </is>
      </c>
      <c r="B34" s="23" t="inlineStr">
        <is>
          <t>Test environment security is validated (no production data)</t>
        </is>
      </c>
      <c r="C34" s="24" t="n"/>
      <c r="D34" s="25" t="inlineStr">
        <is>
          <t>Test environment security assessment, data handling procedures</t>
        </is>
      </c>
      <c r="E34" s="26" t="n"/>
      <c r="F34" s="27">
        <f>IF(C34="Implemented","✅",IF(C34="Partially Implemented","⚠️",IF(C34="Not Implemented","❌",IF(C34="N/A","N/A",""))))</f>
        <v/>
      </c>
    </row>
  </sheetData>
  <mergeCells count="15">
    <mergeCell ref="A24:F24"/>
    <mergeCell ref="A16:F16"/>
    <mergeCell ref="A11:F11"/>
    <mergeCell ref="A33:F33"/>
    <mergeCell ref="A14:F14"/>
    <mergeCell ref="A1:F1"/>
    <mergeCell ref="A5:F5"/>
    <mergeCell ref="A9:F9"/>
    <mergeCell ref="A31:F31"/>
    <mergeCell ref="A26:F26"/>
    <mergeCell ref="A22:F22"/>
    <mergeCell ref="A18:F18"/>
    <mergeCell ref="A3:F3"/>
    <mergeCell ref="A20:F20"/>
    <mergeCell ref="A29:F29"/>
  </mergeCells>
  <dataValidations count="1">
    <dataValidation sqref="C4 C6 C7 C8 C10 C12 C13 C15 C17 C19 C21 C23 C25 C27 C28 C30 C32 C34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API &amp; Application Security Testing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API Testing</t>
        </is>
      </c>
    </row>
    <row r="4" ht="45" customHeight="1">
      <c r="A4" s="22" t="inlineStr">
        <is>
          <t>4.1</t>
        </is>
      </c>
      <c r="B4" s="23" t="inlineStr">
        <is>
          <t>All APIs (REST, GraphQL, gRPC) have dedicated security test suites</t>
        </is>
      </c>
      <c r="C4" s="24" t="n"/>
      <c r="D4" s="25" t="inlineStr">
        <is>
          <t>API security test documentation, Postman/REST Assured collections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4.2</t>
        </is>
      </c>
      <c r="B5" s="23" t="inlineStr">
        <is>
          <t>API authentication mechanisms are thoroughly tested</t>
        </is>
      </c>
      <c r="C5" s="24" t="n"/>
      <c r="D5" s="25" t="inlineStr">
        <is>
          <t>Auth testing scenarios (OAuth, JWT, API keys), token validation tests</t>
        </is>
      </c>
      <c r="E5" s="26" t="n"/>
      <c r="F5" s="27">
        <f>IF(C5="Implemented","✅",IF(C5="Partially Implemented","⚠️",IF(C5="Not Implemented","❌",IF(C5="N/A","N/A",""))))</f>
        <v/>
      </c>
    </row>
    <row r="6" ht="45" customHeight="1">
      <c r="A6" s="22" t="inlineStr">
        <is>
          <t>4.3</t>
        </is>
      </c>
      <c r="B6" s="23" t="inlineStr">
        <is>
          <t>Authorization is tested for all API endpoints and operations</t>
        </is>
      </c>
      <c r="C6" s="24" t="n"/>
      <c r="D6" s="25" t="inlineStr">
        <is>
          <t>Endpoint authorization test matrix, RBAC testing, privilege escalation tests</t>
        </is>
      </c>
      <c r="E6" s="26" t="n"/>
      <c r="F6" s="27">
        <f>IF(C6="Implemented","✅",IF(C6="Partially Implemented","⚠️",IF(C6="Not Implemented","❌",IF(C6="N/A","N/A",""))))</f>
        <v/>
      </c>
    </row>
    <row r="7" ht="45" customHeight="1">
      <c r="A7" s="22" t="inlineStr">
        <is>
          <t>4.4</t>
        </is>
      </c>
      <c r="B7" s="23" t="inlineStr">
        <is>
          <t>Input validation is tested for all API parameters</t>
        </is>
      </c>
      <c r="C7" s="24" t="n"/>
      <c r="D7" s="25" t="inlineStr">
        <is>
          <t>Input validation test cases, parameter fuzzing, type confusion tests</t>
        </is>
      </c>
      <c r="E7" s="26" t="n"/>
      <c r="F7" s="27">
        <f>IF(C7="Implemented","✅",IF(C7="Partially Implemented","⚠️",IF(C7="Not Implemented","❌",IF(C7="N/A","N/A",""))))</f>
        <v/>
      </c>
    </row>
    <row r="8" ht="20" customHeight="1">
      <c r="A8" s="21" t="inlineStr">
        <is>
          <t>▶ Injection Testing</t>
        </is>
      </c>
    </row>
    <row r="9" ht="45" customHeight="1">
      <c r="A9" s="22" t="inlineStr">
        <is>
          <t>4.5</t>
        </is>
      </c>
      <c r="B9" s="23" t="inlineStr">
        <is>
          <t>SQL injection testing is performed on all database-backed APIs</t>
        </is>
      </c>
      <c r="C9" s="24" t="n"/>
      <c r="D9" s="25" t="inlineStr">
        <is>
          <t>SQL injection test results, parameterized query validation</t>
        </is>
      </c>
      <c r="E9" s="26" t="n"/>
      <c r="F9" s="27">
        <f>IF(C9="Implemented","✅",IF(C9="Partially Implemented","⚠️",IF(C9="Not Implemented","❌",IF(C9="N/A","N/A",""))))</f>
        <v/>
      </c>
    </row>
    <row r="10" ht="45" customHeight="1">
      <c r="A10" s="22" t="inlineStr">
        <is>
          <t>4.6</t>
        </is>
      </c>
      <c r="B10" s="23" t="inlineStr">
        <is>
          <t>Cross-Site Scripting (XSS) testing is performed</t>
        </is>
      </c>
      <c r="C10" s="24" t="n"/>
      <c r="D10" s="25" t="inlineStr">
        <is>
          <t>XSS test scenarios, output encoding validation, CSP testing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45" customHeight="1">
      <c r="A11" s="22" t="inlineStr">
        <is>
          <t>4.7</t>
        </is>
      </c>
      <c r="B11" s="23" t="inlineStr">
        <is>
          <t>XXE and deserialization vulnerability testing is performed</t>
        </is>
      </c>
      <c r="C11" s="24" t="n"/>
      <c r="D11" s="25" t="inlineStr">
        <is>
          <t>XXE test cases, unsafe deserialization tests, XML/JSON validation</t>
        </is>
      </c>
      <c r="E11" s="26" t="n"/>
      <c r="F11" s="27">
        <f>IF(C11="Implemented","✅",IF(C11="Partially Implemented","⚠️",IF(C11="Not Implemented","❌",IF(C11="N/A","N/A",""))))</f>
        <v/>
      </c>
    </row>
    <row r="12" ht="20" customHeight="1">
      <c r="A12" s="21" t="inlineStr">
        <is>
          <t>▶ API Testing</t>
        </is>
      </c>
    </row>
    <row r="13" ht="45" customHeight="1">
      <c r="A13" s="22" t="inlineStr">
        <is>
          <t>4.8</t>
        </is>
      </c>
      <c r="B13" s="23" t="inlineStr">
        <is>
          <t>API fuzzing is performed to discover unexpected behavior</t>
        </is>
      </c>
      <c r="C13" s="24" t="n"/>
      <c r="D13" s="25" t="inlineStr">
        <is>
          <t>Fuzzing tool results (Burp Intruder, ffuf, RESTler), crash reports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45" customHeight="1">
      <c r="A14" s="22" t="inlineStr">
        <is>
          <t>4.9</t>
        </is>
      </c>
      <c r="B14" s="23" t="inlineStr">
        <is>
          <t>API rate limiting and abuse prevention are tested</t>
        </is>
      </c>
      <c r="C14" s="24" t="n"/>
      <c r="D14" s="25" t="inlineStr">
        <is>
          <t>Rate limit test evidence, DoS protection testing, throttling validation</t>
        </is>
      </c>
      <c r="E14" s="26" t="n"/>
      <c r="F14" s="27">
        <f>IF(C14="Implemented","✅",IF(C14="Partially Implemented","⚠️",IF(C14="Not Implemented","❌",IF(C14="N/A","N/A",""))))</f>
        <v/>
      </c>
    </row>
    <row r="15" ht="45" customHeight="1">
      <c r="A15" s="22" t="inlineStr">
        <is>
          <t>4.10</t>
        </is>
      </c>
      <c r="B15" s="23" t="inlineStr">
        <is>
          <t>CORS configuration is validated for security</t>
        </is>
      </c>
      <c r="C15" s="24" t="n"/>
      <c r="D15" s="25" t="inlineStr">
        <is>
          <t>CORS test results, origin validation tests, preflight testing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20" customHeight="1">
      <c r="A16" s="21" t="inlineStr">
        <is>
          <t>▶ Application Testing</t>
        </is>
      </c>
    </row>
    <row r="17" ht="45" customHeight="1">
      <c r="A17" s="22" t="inlineStr">
        <is>
          <t>4.11</t>
        </is>
      </c>
      <c r="B17" s="23" t="inlineStr">
        <is>
          <t>Security headers are validated in API responses</t>
        </is>
      </c>
      <c r="C17" s="24" t="n"/>
      <c r="D17" s="25" t="inlineStr">
        <is>
          <t>Header validation tests (HSTS, CSP, X-Frame-Options, etc.)</t>
        </is>
      </c>
      <c r="E17" s="26" t="n"/>
      <c r="F17" s="27">
        <f>IF(C17="Implemented","✅",IF(C17="Partially Implemented","⚠️",IF(C17="Not Implemented","❌",IF(C17="N/A","N/A",""))))</f>
        <v/>
      </c>
    </row>
    <row r="18" ht="20" customHeight="1">
      <c r="A18" s="21" t="inlineStr">
        <is>
          <t>▶ API Testing</t>
        </is>
      </c>
    </row>
    <row r="19" ht="45" customHeight="1">
      <c r="A19" s="22" t="inlineStr">
        <is>
          <t>4.12</t>
        </is>
      </c>
      <c r="B19" s="23" t="inlineStr">
        <is>
          <t>API error responses are tested for information disclosure</t>
        </is>
      </c>
      <c r="C19" s="24" t="n"/>
      <c r="D19" s="25" t="inlineStr">
        <is>
          <t>Error response security tests, stack trace prevention validation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Test Environment</t>
        </is>
      </c>
    </row>
    <row r="21" ht="45" customHeight="1">
      <c r="A21" s="22" t="inlineStr">
        <is>
          <t>4.13</t>
        </is>
      </c>
      <c r="B21" s="23" t="inlineStr">
        <is>
          <t>Staging/testing environment mirrors production security configuration</t>
        </is>
      </c>
      <c r="C21" s="24" t="n"/>
      <c r="D21" s="25" t="inlineStr">
        <is>
          <t>Environment parity documentation, configuration comparison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45" customHeight="1">
      <c r="A22" s="22" t="inlineStr">
        <is>
          <t>4.14</t>
        </is>
      </c>
      <c r="B22" s="23" t="inlineStr">
        <is>
          <t>Test data is sanitized and does not include production data</t>
        </is>
      </c>
      <c r="C22" s="24" t="n"/>
      <c r="D22" s="25" t="inlineStr">
        <is>
          <t>Test data management policy, data anonymization procedures</t>
        </is>
      </c>
      <c r="E22" s="26" t="n"/>
      <c r="F22" s="27">
        <f>IF(C22="Implemented","✅",IF(C22="Partially Implemented","⚠️",IF(C22="Not Implemented","❌",IF(C22="N/A","N/A",""))))</f>
        <v/>
      </c>
    </row>
    <row r="23" ht="20" customHeight="1">
      <c r="A23" s="21" t="inlineStr">
        <is>
          <t>▶ API Testing</t>
        </is>
      </c>
    </row>
    <row r="24" ht="45" customHeight="1">
      <c r="A24" s="22" t="inlineStr">
        <is>
          <t>4.15</t>
        </is>
      </c>
      <c r="B24" s="23" t="inlineStr">
        <is>
          <t>API documentation is security-reviewed for sensitive information disclosure</t>
        </is>
      </c>
      <c r="C24" s="24" t="n"/>
      <c r="D24" s="25" t="inlineStr">
        <is>
          <t>API documentation review records, Swagger/OpenAPI security review</t>
        </is>
      </c>
      <c r="E24" s="26" t="n"/>
      <c r="F24" s="27">
        <f>IF(C24="Implemented","✅",IF(C24="Partially Implemented","⚠️",IF(C24="Not Implemented","❌",IF(C24="N/A","N/A",""))))</f>
        <v/>
      </c>
    </row>
    <row r="25" ht="45" customHeight="1">
      <c r="A25" s="22" t="inlineStr">
        <is>
          <t>4.16</t>
        </is>
      </c>
      <c r="B25" s="23" t="inlineStr">
        <is>
          <t>GraphQL-specific security testing is performed (if applicable)</t>
        </is>
      </c>
      <c r="C25" s="24" t="n"/>
      <c r="D25" s="25" t="inlineStr">
        <is>
          <t>GraphQL introspection testing, query depth limiting, batching abuse tests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20" customHeight="1">
      <c r="A26" s="21" t="inlineStr">
        <is>
          <t>▶ Application Testing</t>
        </is>
      </c>
    </row>
    <row r="27" ht="45" customHeight="1">
      <c r="A27" s="22" t="inlineStr">
        <is>
          <t>4.17</t>
        </is>
      </c>
      <c r="B27" s="23" t="inlineStr">
        <is>
          <t>WebSocket security is tested (if applicable)</t>
        </is>
      </c>
      <c r="C27" s="24" t="n"/>
      <c r="D27" s="25" t="inlineStr">
        <is>
          <t>WebSocket test scenarios, connection hijacking tests, message validation</t>
        </is>
      </c>
      <c r="E27" s="26" t="n"/>
      <c r="F27" s="27">
        <f>IF(C27="Implemented","✅",IF(C27="Partially Implemented","⚠️",IF(C27="Not Implemented","❌",IF(C27="N/A","N/A",""))))</f>
        <v/>
      </c>
    </row>
    <row r="28" ht="20" customHeight="1">
      <c r="A28" s="21" t="inlineStr">
        <is>
          <t>▶ API Testing</t>
        </is>
      </c>
    </row>
    <row r="29" ht="45" customHeight="1">
      <c r="A29" s="22" t="inlineStr">
        <is>
          <t>4.18</t>
        </is>
      </c>
      <c r="B29" s="23" t="inlineStr">
        <is>
          <t>API versioning security is validated across versions</t>
        </is>
      </c>
      <c r="C29" s="24" t="n"/>
      <c r="D29" s="25" t="inlineStr">
        <is>
          <t>Version security tests, deprecated endpoint validation, migration testing</t>
        </is>
      </c>
      <c r="E29" s="26" t="n"/>
      <c r="F29" s="27">
        <f>IF(C29="Implemented","✅",IF(C29="Partially Implemented","⚠️",IF(C29="Not Implemented","❌",IF(C29="N/A","N/A",""))))</f>
        <v/>
      </c>
    </row>
  </sheetData>
  <mergeCells count="10">
    <mergeCell ref="A16:F16"/>
    <mergeCell ref="A28:F28"/>
    <mergeCell ref="A1:F1"/>
    <mergeCell ref="A23:F23"/>
    <mergeCell ref="A8:F8"/>
    <mergeCell ref="A26:F26"/>
    <mergeCell ref="A12:F12"/>
    <mergeCell ref="A18:F18"/>
    <mergeCell ref="A3:F3"/>
    <mergeCell ref="A20:F20"/>
  </mergeCells>
  <dataValidations count="1">
    <dataValidation sqref="C4 C5 C6 C7 C9 C10 C11 C13 C14 C15 C17 C19 C21 C22 C24 C25 C27 C29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External Testing &amp; Continuous Validation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Penetration Testing</t>
        </is>
      </c>
    </row>
    <row r="4" ht="45" customHeight="1">
      <c r="A4" s="22" t="inlineStr">
        <is>
          <t>5.1</t>
        </is>
      </c>
      <c r="B4" s="23" t="inlineStr">
        <is>
          <t>Annual penetration testing is performed for critical applications</t>
        </is>
      </c>
      <c r="C4" s="24" t="n"/>
      <c r="D4" s="25" t="inlineStr">
        <is>
          <t>Penetration test reports from last 12 months, test schedules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5.2</t>
        </is>
      </c>
      <c r="B5" s="23" t="inlineStr">
        <is>
          <t>Penetration test scope covers all critical applications and APIs</t>
        </is>
      </c>
      <c r="C5" s="24" t="n"/>
      <c r="D5" s="25" t="inlineStr">
        <is>
          <t>Pentest scope documentation, application inventory</t>
        </is>
      </c>
      <c r="E5" s="26" t="n"/>
      <c r="F5" s="27">
        <f>IF(C5="Implemented","✅",IF(C5="Partially Implemented","⚠️",IF(C5="Not Implemented","❌",IF(C5="N/A","N/A",""))))</f>
        <v/>
      </c>
    </row>
    <row r="6" ht="45" customHeight="1">
      <c r="A6" s="22" t="inlineStr">
        <is>
          <t>5.3</t>
        </is>
      </c>
      <c r="B6" s="23" t="inlineStr">
        <is>
          <t>Penetration test findings are prioritized by risk and severity</t>
        </is>
      </c>
      <c r="C6" s="24" t="n"/>
      <c r="D6" s="25" t="inlineStr">
        <is>
          <t>Risk-ranked findings list, severity classification methodology</t>
        </is>
      </c>
      <c r="E6" s="26" t="n"/>
      <c r="F6" s="27">
        <f>IF(C6="Implemented","✅",IF(C6="Partially Implemented","⚠️",IF(C6="Not Implemented","❌",IF(C6="N/A","N/A",""))))</f>
        <v/>
      </c>
    </row>
    <row r="7" ht="20" customHeight="1">
      <c r="A7" s="21" t="inlineStr">
        <is>
          <t>▶ Remediation</t>
        </is>
      </c>
    </row>
    <row r="8" ht="45" customHeight="1">
      <c r="A8" s="22" t="inlineStr">
        <is>
          <t>5.4</t>
        </is>
      </c>
      <c r="B8" s="23" t="inlineStr">
        <is>
          <t>Critical pentest findings are remediated within 30 days</t>
        </is>
      </c>
      <c r="C8" s="24" t="n"/>
      <c r="D8" s="25" t="inlineStr">
        <is>
          <t>Remediation tracking system, SLA compliance metrics</t>
        </is>
      </c>
      <c r="E8" s="26" t="n"/>
      <c r="F8" s="27">
        <f>IF(C8="Implemented","✅",IF(C8="Partially Implemented","⚠️",IF(C8="Not Implemented","❌",IF(C8="N/A","N/A",""))))</f>
        <v/>
      </c>
    </row>
    <row r="9" ht="20" customHeight="1">
      <c r="A9" s="21" t="inlineStr">
        <is>
          <t>▶ Penetration Testing</t>
        </is>
      </c>
    </row>
    <row r="10" ht="45" customHeight="1">
      <c r="A10" s="22" t="inlineStr">
        <is>
          <t>5.5</t>
        </is>
      </c>
      <c r="B10" s="23" t="inlineStr">
        <is>
          <t>Penetration test retest validates that fixes are effective</t>
        </is>
      </c>
      <c r="C10" s="24" t="n"/>
      <c r="D10" s="25" t="inlineStr">
        <is>
          <t>Retest reports, fix validation evidence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Bug Bounty</t>
        </is>
      </c>
    </row>
    <row r="12" ht="45" customHeight="1">
      <c r="A12" s="22" t="inlineStr">
        <is>
          <t>5.6</t>
        </is>
      </c>
      <c r="B12" s="23" t="inlineStr">
        <is>
          <t>Bug bounty or responsible disclosure program is active</t>
        </is>
      </c>
      <c r="C12" s="24" t="n"/>
      <c r="D12" s="25" t="inlineStr">
        <is>
          <t>Bug bounty platform documentation (HackerOne, Bugcrowd), program page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45" customHeight="1">
      <c r="A13" s="22" t="inlineStr">
        <is>
          <t>5.7</t>
        </is>
      </c>
      <c r="B13" s="23" t="inlineStr">
        <is>
          <t>Vulnerability disclosure policy is publicly published</t>
        </is>
      </c>
      <c r="C13" s="24" t="n"/>
      <c r="D13" s="25" t="inlineStr">
        <is>
          <t>Published security.txt or vulnerability disclosure policy URL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45" customHeight="1">
      <c r="A14" s="22" t="inlineStr">
        <is>
          <t>5.8</t>
        </is>
      </c>
      <c r="B14" s="23" t="inlineStr">
        <is>
          <t>External vulnerability submissions are triaged within 48 hours</t>
        </is>
      </c>
      <c r="C14" s="24" t="n"/>
      <c r="D14" s="25" t="inlineStr">
        <is>
          <t>Triage SLA metrics, response time tracking</t>
        </is>
      </c>
      <c r="E14" s="26" t="n"/>
      <c r="F14" s="27">
        <f>IF(C14="Implemented","✅",IF(C14="Partially Implemented","⚠️",IF(C14="Not Implemented","❌",IF(C14="N/A","N/A",""))))</f>
        <v/>
      </c>
    </row>
    <row r="15" ht="45" customHeight="1">
      <c r="A15" s="22" t="inlineStr">
        <is>
          <t>5.9</t>
        </is>
      </c>
      <c r="B15" s="23" t="inlineStr">
        <is>
          <t>Security researcher communication is handled professionally</t>
        </is>
      </c>
      <c r="C15" s="24" t="n"/>
      <c r="D15" s="25" t="inlineStr">
        <is>
          <t>Communication templates, researcher feedback, response examples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45" customHeight="1">
      <c r="A16" s="22" t="inlineStr">
        <is>
          <t>5.10</t>
        </is>
      </c>
      <c r="B16" s="23" t="inlineStr">
        <is>
          <t>Bug bounty payments are tracked and processed timely</t>
        </is>
      </c>
      <c r="C16" s="24" t="n"/>
      <c r="D16" s="25" t="inlineStr">
        <is>
          <t>Payment records, payout tracking, bounty statistics</t>
        </is>
      </c>
      <c r="E16" s="26" t="n"/>
      <c r="F16" s="27">
        <f>IF(C16="Implemented","✅",IF(C16="Partially Implemented","⚠️",IF(C16="Not Implemented","❌",IF(C16="N/A","N/A",""))))</f>
        <v/>
      </c>
    </row>
    <row r="17" ht="20" customHeight="1">
      <c r="A17" s="21" t="inlineStr">
        <is>
          <t>▶ Regression Testing</t>
        </is>
      </c>
    </row>
    <row r="18" ht="45" customHeight="1">
      <c r="A18" s="22" t="inlineStr">
        <is>
          <t>5.11</t>
        </is>
      </c>
      <c r="B18" s="23" t="inlineStr">
        <is>
          <t>Security regression tests exist for all past critical vulnerabilities</t>
        </is>
      </c>
      <c r="C18" s="24" t="n"/>
      <c r="D18" s="25" t="inlineStr">
        <is>
          <t>Regression test suite, vulnerability-specific tests</t>
        </is>
      </c>
      <c r="E18" s="26" t="n"/>
      <c r="F18" s="27">
        <f>IF(C18="Implemented","✅",IF(C18="Partially Implemented","⚠️",IF(C18="Not Implemented","❌",IF(C18="N/A","N/A",""))))</f>
        <v/>
      </c>
    </row>
    <row r="19" ht="45" customHeight="1">
      <c r="A19" s="22" t="inlineStr">
        <is>
          <t>5.12</t>
        </is>
      </c>
      <c r="B19" s="23" t="inlineStr">
        <is>
          <t>Security regression tests run automatically in CI/CD</t>
        </is>
      </c>
      <c r="C19" s="24" t="n"/>
      <c r="D19" s="25" t="inlineStr">
        <is>
          <t>CI/CD regression test execution logs, test automation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Metrics</t>
        </is>
      </c>
    </row>
    <row r="21" ht="45" customHeight="1">
      <c r="A21" s="22" t="inlineStr">
        <is>
          <t>5.13</t>
        </is>
      </c>
      <c r="B21" s="23" t="inlineStr">
        <is>
          <t>Security testing metrics are tracked over time</t>
        </is>
      </c>
      <c r="C21" s="24" t="n"/>
      <c r="D21" s="25" t="inlineStr">
        <is>
          <t>Historical metrics dashboard, trend analysis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45" customHeight="1">
      <c r="A22" s="22" t="inlineStr">
        <is>
          <t>5.14</t>
        </is>
      </c>
      <c r="B22" s="23" t="inlineStr">
        <is>
          <t>Vulnerability trends are analyzed to identify patterns</t>
        </is>
      </c>
      <c r="C22" s="24" t="n"/>
      <c r="D22" s="25" t="inlineStr">
        <is>
          <t>Vulnerability trend analysis reports, root cause analysis</t>
        </is>
      </c>
      <c r="E22" s="26" t="n"/>
      <c r="F22" s="27">
        <f>IF(C22="Implemented","✅",IF(C22="Partially Implemented","⚠️",IF(C22="Not Implemented","❌",IF(C22="N/A","N/A",""))))</f>
        <v/>
      </c>
    </row>
    <row r="23" ht="45" customHeight="1">
      <c r="A23" s="22" t="inlineStr">
        <is>
          <t>5.15</t>
        </is>
      </c>
      <c r="B23" s="23" t="inlineStr">
        <is>
          <t>Testing effectiveness is measured with KPIs</t>
        </is>
      </c>
      <c r="C23" s="24" t="n"/>
      <c r="D23" s="25" t="inlineStr">
        <is>
          <t>Testing effectiveness KPIs, detection rate metrics</t>
        </is>
      </c>
      <c r="E23" s="26" t="n"/>
      <c r="F23" s="27">
        <f>IF(C23="Implemented","✅",IF(C23="Partially Implemented","⚠️",IF(C23="Not Implemented","❌",IF(C23="N/A","N/A",""))))</f>
        <v/>
      </c>
    </row>
    <row r="24" ht="20" customHeight="1">
      <c r="A24" s="21" t="inlineStr">
        <is>
          <t>▶ Continuous Improvement</t>
        </is>
      </c>
    </row>
    <row r="25" ht="45" customHeight="1">
      <c r="A25" s="22" t="inlineStr">
        <is>
          <t>5.16</t>
        </is>
      </c>
      <c r="B25" s="23" t="inlineStr">
        <is>
          <t>False negative analysis is performed after security incidents</t>
        </is>
      </c>
      <c r="C25" s="24" t="n"/>
      <c r="D25" s="25" t="inlineStr">
        <is>
          <t>Post-incident analysis reports, testing gap assessments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45" customHeight="1">
      <c r="A26" s="22" t="inlineStr">
        <is>
          <t>5.17</t>
        </is>
      </c>
      <c r="B26" s="23" t="inlineStr">
        <is>
          <t>Testing gaps identified in incidents are addressed systematically</t>
        </is>
      </c>
      <c r="C26" s="24" t="n"/>
      <c r="D26" s="25" t="inlineStr">
        <is>
          <t>Gap remediation plans, testing enhancement initiatives</t>
        </is>
      </c>
      <c r="E26" s="26" t="n"/>
      <c r="F26" s="27">
        <f>IF(C26="Implemented","✅",IF(C26="Partially Implemented","⚠️",IF(C26="Not Implemented","❌",IF(C26="N/A","N/A",""))))</f>
        <v/>
      </c>
    </row>
    <row r="27" ht="45" customHeight="1">
      <c r="A27" s="22" t="inlineStr">
        <is>
          <t>5.18</t>
        </is>
      </c>
      <c r="B27" s="23" t="inlineStr">
        <is>
          <t>Continuous improvement process drives testing program evolution</t>
        </is>
      </c>
      <c r="C27" s="24" t="n"/>
      <c r="D27" s="25" t="inlineStr">
        <is>
          <t>Improvement backlog, testing maturity roadmap</t>
        </is>
      </c>
      <c r="E27" s="26" t="n"/>
      <c r="F27" s="27">
        <f>IF(C27="Implemented","✅",IF(C27="Partially Implemented","⚠️",IF(C27="Not Implemented","❌",IF(C27="N/A","N/A",""))))</f>
        <v/>
      </c>
    </row>
  </sheetData>
  <mergeCells count="8">
    <mergeCell ref="A24:F24"/>
    <mergeCell ref="A11:F11"/>
    <mergeCell ref="A1:F1"/>
    <mergeCell ref="A9:F9"/>
    <mergeCell ref="A17:F17"/>
    <mergeCell ref="A3:F3"/>
    <mergeCell ref="A20:F20"/>
    <mergeCell ref="A7:F7"/>
  </mergeCells>
  <dataValidations count="1">
    <dataValidation sqref="C4 C5 C6 C8 C10 C12 C13 C14 C15 C16 C18 C19 C21 C22 C23 C25 C26 C27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Code Review &amp; Testing Assessment - Summary Dashboard</t>
        </is>
      </c>
    </row>
    <row r="3">
      <c r="A3" s="28" t="inlineStr">
        <is>
          <t>Assessment Date:</t>
        </is>
      </c>
      <c r="B3">
        <f>Instructions!B8</f>
        <v/>
      </c>
    </row>
    <row r="4">
      <c r="A4" s="28" t="inlineStr">
        <is>
          <t>Assessor:</t>
        </is>
      </c>
      <c r="B4">
        <f>Instructions!B9</f>
        <v/>
      </c>
    </row>
    <row r="5">
      <c r="A5" s="28" t="inlineStr">
        <is>
          <t>Organization:</t>
        </is>
      </c>
      <c r="B5">
        <f>Instructions!B10</f>
        <v/>
      </c>
    </row>
    <row r="7">
      <c r="A7" s="29" t="inlineStr">
        <is>
          <t>Overall Code Review &amp; Testing Compliance:</t>
        </is>
      </c>
      <c r="C7" s="30">
        <f>(COUNTIF(Code_Review_Process!C:C,"Implemented")+
COUNTIF(Security_Champion_Review!C:C,"Implemented")+
COUNTIF(Unit_Integration_Testing!C:C,"Implemented")+
COUNTIF(API_Application_Testing!C:C,"Implemented")+
COUNTIF(External_Testing_Validation!C:C,"Implemented"))/
(COUNTA(Code_Review_Process!C:C)+
COUNTA(Security_Champion_Review!C:C)+
COUNTA(Unit_Integration_Testing!C:C)+
COUNTA(API_Application_Testing!C:C)+
COUNTA(External_Testing_Validation!C:C)-5-
COUNTIF(Code_Review_Process!C:C,"N/A")-
COUNTIF(Security_Champion_Review!C:C,"N/A")-
COUNTIF(Unit_Integration_Testing!C:C,"N/A")-
COUNTIF(API_Application_Testing!C:C,"N/A")-
COUNTIF(External_Testing_Validation!C:C,"N/A"))</f>
        <v/>
      </c>
      <c r="D7" s="31">
        <f>IF(C7&gt;=0.8,"🟢 Compliant",IF(C7&gt;=0.6,"🟡 Needs Improvement","🔴 Non-Compliant"))</f>
        <v/>
      </c>
    </row>
    <row r="10">
      <c r="A10" s="32" t="inlineStr">
        <is>
          <t>Domain Compliance Breakdown</t>
        </is>
      </c>
    </row>
    <row r="11">
      <c r="A11" s="20" t="inlineStr">
        <is>
          <t>Domain</t>
        </is>
      </c>
      <c r="B11" s="20" t="inlineStr">
        <is>
          <t>Compliance %</t>
        </is>
      </c>
      <c r="C11" s="20" t="inlineStr">
        <is>
          <t>Status</t>
        </is>
      </c>
      <c r="D11" s="20" t="inlineStr">
        <is>
          <t>Not Implemented</t>
        </is>
      </c>
      <c r="E11" s="20" t="inlineStr">
        <is>
          <t>Partially Implemented</t>
        </is>
      </c>
    </row>
    <row r="12">
      <c r="A12" t="inlineStr">
        <is>
          <t>1. Code Review Process &amp; Governance</t>
        </is>
      </c>
      <c r="B12" s="33">
        <f>COUNTIF(Code_Review_Process!C:C,"Implemented")/(COUNTA(Code_Review_Process!C:C)-1-COUNTIF(Code_Review_Process!C:C,"N/A"))</f>
        <v/>
      </c>
      <c r="C12" s="34">
        <f>IF(B12&gt;=0.8,"🟢",IF(B12&gt;=0.6,"🟡","🔴"))</f>
        <v/>
      </c>
      <c r="D12" s="34">
        <f>COUNTIF(Code_Review_Process!C:C,"Not Implemented")</f>
        <v/>
      </c>
      <c r="E12" s="34">
        <f>COUNTIF(Code_Review_Process!C:C,"Partially Implemented")</f>
        <v/>
      </c>
    </row>
    <row r="13">
      <c r="A13" t="inlineStr">
        <is>
          <t>2. Security Champion Review &amp; Architecture</t>
        </is>
      </c>
      <c r="B13" s="33">
        <f>COUNTIF(Security_Champion_Review!C:C,"Implemented")/(COUNTA(Security_Champion_Review!C:C)-1-COUNTIF(Security_Champion_Review!C:C,"N/A"))</f>
        <v/>
      </c>
      <c r="C13" s="34">
        <f>IF(B13&gt;=0.8,"🟢",IF(B13&gt;=0.6,"🟡","🔴"))</f>
        <v/>
      </c>
      <c r="D13" s="34">
        <f>COUNTIF(Security_Champion_Review!C:C,"Not Implemented")</f>
        <v/>
      </c>
      <c r="E13" s="34">
        <f>COUNTIF(Security_Champion_Review!C:C,"Partially Implemented")</f>
        <v/>
      </c>
    </row>
    <row r="14">
      <c r="A14" t="inlineStr">
        <is>
          <t>3. Security Testing - Unit &amp; Integration</t>
        </is>
      </c>
      <c r="B14" s="33">
        <f>COUNTIF(Unit_Integration_Testing!C:C,"Implemented")/(COUNTA(Unit_Integration_Testing!C:C)-1-COUNTIF(Unit_Integration_Testing!C:C,"N/A"))</f>
        <v/>
      </c>
      <c r="C14" s="34">
        <f>IF(B14&gt;=0.8,"🟢",IF(B14&gt;=0.6,"🟡","🔴"))</f>
        <v/>
      </c>
      <c r="D14" s="34">
        <f>COUNTIF(Unit_Integration_Testing!C:C,"Not Implemented")</f>
        <v/>
      </c>
      <c r="E14" s="34">
        <f>COUNTIF(Unit_Integration_Testing!C:C,"Partially Implemented")</f>
        <v/>
      </c>
    </row>
    <row r="15">
      <c r="A15" t="inlineStr">
        <is>
          <t>4. API &amp; Application Security Testing</t>
        </is>
      </c>
      <c r="B15" s="33">
        <f>COUNTIF(API_Application_Testing!C:C,"Implemented")/(COUNTA(API_Application_Testing!C:C)-1-COUNTIF(API_Application_Testing!C:C,"N/A"))</f>
        <v/>
      </c>
      <c r="C15" s="34">
        <f>IF(B15&gt;=0.8,"🟢",IF(B15&gt;=0.6,"🟡","🔴"))</f>
        <v/>
      </c>
      <c r="D15" s="34">
        <f>COUNTIF(API_Application_Testing!C:C,"Not Implemented")</f>
        <v/>
      </c>
      <c r="E15" s="34">
        <f>COUNTIF(API_Application_Testing!C:C,"Partially Implemented")</f>
        <v/>
      </c>
    </row>
    <row r="16">
      <c r="A16" t="inlineStr">
        <is>
          <t>5. External Testing &amp; Continuous Validation</t>
        </is>
      </c>
      <c r="B16" s="33">
        <f>COUNTIF(External_Testing_Validation!C:C,"Implemented")/(COUNTA(External_Testing_Validation!C:C)-1-COUNTIF(External_Testing_Validation!C:C,"N/A"))</f>
        <v/>
      </c>
      <c r="C16" s="34">
        <f>IF(B16&gt;=0.8,"🟢",IF(B16&gt;=0.6,"🟡","🔴"))</f>
        <v/>
      </c>
      <c r="D16" s="34">
        <f>COUNTIF(External_Testing_Validation!C:C,"Not Implemented")</f>
        <v/>
      </c>
      <c r="E16" s="34">
        <f>COUNTIF(External_Testing_Validation!C:C,"Partially Implemented")</f>
        <v/>
      </c>
    </row>
    <row r="19">
      <c r="A19" s="35" t="inlineStr">
        <is>
          <t>Key Assessment Insights</t>
        </is>
      </c>
    </row>
    <row r="20" ht="25" customHeight="1">
      <c r="A20" s="36" t="inlineStr">
        <is>
          <t>• Focus on EFFECTIVENESS: Do reviews and tests actually catch vulnerabilities?</t>
        </is>
      </c>
    </row>
    <row r="21" ht="25" customHeight="1">
      <c r="A21" s="36" t="inlineStr">
        <is>
          <t>• Sample actual code reviews to validate quality of security analysis</t>
        </is>
      </c>
    </row>
    <row r="22" ht="25" customHeight="1">
      <c r="A22" s="36" t="inlineStr">
        <is>
          <t>• Review test cases to ensure they test security-relevant behavior</t>
        </is>
      </c>
    </row>
    <row r="23" ht="25" customHeight="1">
      <c r="A23" s="36" t="inlineStr">
        <is>
          <t>• Analyze: Where are vulnerabilities found? Review → Testing → Production?</t>
        </is>
      </c>
    </row>
    <row r="24" ht="25" customHeight="1">
      <c r="A24" s="36" t="inlineStr">
        <is>
          <t>• If pentests find trivial issues, internal testing is failing</t>
        </is>
      </c>
    </row>
  </sheetData>
  <mergeCells count="10">
    <mergeCell ref="A21:E21"/>
    <mergeCell ref="D7:E7"/>
    <mergeCell ref="A7:B7"/>
    <mergeCell ref="A20:E20"/>
    <mergeCell ref="A24:E24"/>
    <mergeCell ref="A10:E10"/>
    <mergeCell ref="A19:E19"/>
    <mergeCell ref="A1:E1"/>
    <mergeCell ref="A23:E23"/>
    <mergeCell ref="A22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>
      <c r="A2" s="36" t="inlineStr">
        <is>
          <t>Document all evidence supporting your Code Review &amp; Testing assessment.</t>
        </is>
      </c>
    </row>
    <row r="3">
      <c r="A3" s="20" t="inlineStr">
        <is>
          <t>Evidence ID</t>
        </is>
      </c>
      <c r="B3" s="20" t="inlineStr">
        <is>
          <t>Related Requirement</t>
        </is>
      </c>
      <c r="C3" s="20" t="inlineStr">
        <is>
          <t>Evidence Type</t>
        </is>
      </c>
      <c r="D3" s="20" t="inlineStr">
        <is>
          <t>Description</t>
        </is>
      </c>
      <c r="E3" s="20" t="inlineStr">
        <is>
          <t>Location/Link</t>
        </is>
      </c>
      <c r="F3" s="20" t="inlineStr">
        <is>
          <t>Collection Date</t>
        </is>
      </c>
      <c r="G3" s="20" t="inlineStr">
        <is>
          <t>Collected By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"Review Log,Test Result,Pentest Report,Bug Bounty Submission,Training Record,Policy Document,Tool Output,Screenshot,Other"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3">
      <c r="A3" s="20" t="inlineStr">
        <is>
          <t>Gap ID</t>
        </is>
      </c>
      <c r="B3" s="20" t="inlineStr">
        <is>
          <t>Domain</t>
        </is>
      </c>
      <c r="C3" s="20" t="inlineStr">
        <is>
          <t>Requirement ID</t>
        </is>
      </c>
      <c r="D3" s="20" t="inlineStr">
        <is>
          <t>Requirement Description</t>
        </is>
      </c>
      <c r="E3" s="20" t="inlineStr">
        <is>
          <t>Current State</t>
        </is>
      </c>
      <c r="F3" s="20" t="inlineStr">
        <is>
          <t>Target State</t>
        </is>
      </c>
      <c r="G3" s="20" t="inlineStr">
        <is>
          <t>Priority</t>
        </is>
      </c>
      <c r="H3" s="20" t="inlineStr">
        <is>
          <t>Owner</t>
        </is>
      </c>
      <c r="I3" s="20" t="inlineStr">
        <is>
          <t>Target Date</t>
        </is>
      </c>
      <c r="J3" s="20" t="inlineStr">
        <is>
          <t>Status</t>
        </is>
      </c>
    </row>
  </sheetData>
  <mergeCells count="1">
    <mergeCell ref="A1:J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Code Review &amp; Testing Assessment - Approval Sign-Off</t>
        </is>
      </c>
    </row>
    <row r="6">
      <c r="A6" s="28" t="inlineStr">
        <is>
          <t>Assessment Date:</t>
        </is>
      </c>
      <c r="B6">
        <f>Instructions!B8</f>
        <v/>
      </c>
    </row>
    <row r="7">
      <c r="A7" s="28" t="inlineStr">
        <is>
          <t>Assessor Name:</t>
        </is>
      </c>
      <c r="B7">
        <f>Instructions!B9</f>
        <v/>
      </c>
    </row>
    <row r="8">
      <c r="A8" s="28" t="inlineStr">
        <is>
          <t>Overall Compliance Score:</t>
        </is>
      </c>
      <c r="B8" s="37">
        <f>Summary_Dashboard!C7</f>
        <v/>
      </c>
    </row>
    <row r="11">
      <c r="A11" s="38" t="inlineStr">
        <is>
          <t>APPROVAL WORKFLOW</t>
        </is>
      </c>
    </row>
    <row r="12">
      <c r="A12" s="39" t="inlineStr">
        <is>
          <t>Role</t>
        </is>
      </c>
      <c r="B12" s="39" t="inlineStr">
        <is>
          <t>Name</t>
        </is>
      </c>
      <c r="C12" s="39" t="inlineStr">
        <is>
          <t>Signature</t>
        </is>
      </c>
      <c r="D12" s="39" t="inlineStr">
        <is>
          <t>Date</t>
        </is>
      </c>
    </row>
    <row r="13">
      <c r="A13" s="4" t="inlineStr">
        <is>
          <t>Assessment Completer</t>
        </is>
      </c>
      <c r="B13" s="40" t="n"/>
      <c r="C13" s="40" t="n"/>
      <c r="D13" s="40" t="n"/>
    </row>
    <row r="14">
      <c r="A14" s="4" t="inlineStr">
        <is>
          <t>Application Security Lead</t>
        </is>
      </c>
      <c r="B14" s="40" t="n"/>
      <c r="C14" s="40" t="n"/>
      <c r="D14" s="40" t="n"/>
    </row>
    <row r="15">
      <c r="A15" s="4" t="inlineStr">
        <is>
          <t>Development Manager</t>
        </is>
      </c>
      <c r="B15" s="40" t="n"/>
      <c r="C15" s="40" t="n"/>
      <c r="D15" s="40" t="n"/>
    </row>
    <row r="16">
      <c r="A16" s="4" t="inlineStr">
        <is>
          <t>QA Manager</t>
        </is>
      </c>
      <c r="B16" s="40" t="n"/>
      <c r="C16" s="40" t="n"/>
      <c r="D16" s="40" t="n"/>
    </row>
    <row r="17">
      <c r="A17" s="4" t="inlineStr">
        <is>
          <t>CISO</t>
        </is>
      </c>
      <c r="B17" s="40" t="n"/>
      <c r="C17" s="40" t="n"/>
      <c r="D17" s="40" t="n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2026-01-31T02:18:12Z</dcterms:created>
  <dcterms:modified xmlns:dcterms="http://purl.org/dc/terms/" xmlns:xsi="http://www.w3.org/2001/XMLSchema-instance" xsi:type="dcterms:W3CDTF">2026-01-31T02:18:12Z</dcterms:modified>
</cp:coreProperties>
</file>