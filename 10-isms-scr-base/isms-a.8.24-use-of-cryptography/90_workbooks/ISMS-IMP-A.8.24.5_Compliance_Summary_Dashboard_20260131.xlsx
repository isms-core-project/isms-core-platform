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Gap Analysis" sheetId="2" state="visible" r:id="rId2"/>
    <sheet xmlns:r="http://schemas.openxmlformats.org/officeDocument/2006/relationships" name="Risk Register" sheetId="3" state="visible" r:id="rId3"/>
    <sheet xmlns:r="http://schemas.openxmlformats.org/officeDocument/2006/relationships" name="Remediation Roadmap" sheetId="4" state="visible" r:id="rId4"/>
    <sheet xmlns:r="http://schemas.openxmlformats.org/officeDocument/2006/relationships" name="KPIs &amp; Metrics" sheetId="5" state="visible" r:id="rId5"/>
    <sheet xmlns:r="http://schemas.openxmlformats.org/officeDocument/2006/relationships" name="Evidence Register" sheetId="6" state="visible" r:id="rId6"/>
    <sheet xmlns:r="http://schemas.openxmlformats.org/officeDocument/2006/relationships" name="Action Items &amp; Follow-up" sheetId="7" state="visible" r:id="rId7"/>
    <sheet xmlns:r="http://schemas.openxmlformats.org/officeDocument/2006/relationships" name="Audit &amp; Compliance Log"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quot;CHF&quot;#,##0.00"/>
    <numFmt numFmtId="165" formatCode="0&quot;%&quot;"/>
  </numFmts>
  <fonts count="15">
    <font>
      <name val="Calibri"/>
      <family val="2"/>
      <color theme="1"/>
      <sz val="11"/>
      <scheme val="minor"/>
    </font>
    <font>
      <name val="Calibri"/>
      <b val="1"/>
      <color rgb="00FFFFFF"/>
      <sz val="14"/>
    </font>
    <font>
      <b val="1"/>
      <sz val="12"/>
    </font>
    <font>
      <b val="1"/>
    </font>
    <font>
      <color rgb="000000FF"/>
    </font>
    <font>
      <name val="Calibri"/>
      <b val="1"/>
      <color rgb="00FFFFFF"/>
      <sz val="12"/>
    </font>
    <font>
      <name val="Calibri"/>
      <b val="1"/>
      <sz val="10"/>
    </font>
    <font>
      <b val="1"/>
      <color rgb="000000FF"/>
    </font>
    <font>
      <b val="1"/>
      <sz val="11"/>
    </font>
    <font>
      <i val="1"/>
    </font>
    <font>
      <b val="1"/>
      <color rgb="000000FF"/>
      <sz val="12"/>
    </font>
    <font>
      <name val="Calibri"/>
      <b val="1"/>
      <color rgb="00FFFFFF"/>
      <sz val="11"/>
    </font>
    <font>
      <color rgb="00808080"/>
    </font>
    <font>
      <i val="1"/>
      <color rgb="00808080"/>
    </font>
    <font>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E7E6E6"/>
        <bgColor rgb="00E7E6E6"/>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5"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pivotButton="0" quotePrefix="0" xfId="0"/>
    <xf numFmtId="0" fontId="7" fillId="0" borderId="1" pivotButton="0" quotePrefix="0" xfId="0"/>
    <xf numFmtId="0" fontId="8" fillId="0" borderId="0" pivotButton="0" quotePrefix="0" xfId="0"/>
    <xf numFmtId="0" fontId="3" fillId="0" borderId="1" pivotButton="0" quotePrefix="0" xfId="0"/>
    <xf numFmtId="0" fontId="9" fillId="0" borderId="1" pivotButton="0" quotePrefix="0" xfId="0"/>
    <xf numFmtId="0" fontId="10" fillId="0" borderId="1" pivotButton="0" quotePrefix="0" xfId="0"/>
    <xf numFmtId="0" fontId="4" fillId="0" borderId="1" pivotButton="0" quotePrefix="0" xfId="0"/>
    <xf numFmtId="0" fontId="11" fillId="5" borderId="0" applyAlignment="1" pivotButton="0" quotePrefix="0" xfId="0">
      <alignment horizontal="center" vertical="center" wrapText="1"/>
    </xf>
    <xf numFmtId="0" fontId="0" fillId="0" borderId="0" applyAlignment="1" pivotButton="0" quotePrefix="0" xfId="0">
      <alignment horizontal="center"/>
    </xf>
    <xf numFmtId="0" fontId="0" fillId="3" borderId="1" applyAlignment="1" pivotButton="0" quotePrefix="0" xfId="0">
      <alignment horizontal="left" vertical="top" wrapText="1"/>
    </xf>
    <xf numFmtId="164" fontId="4" fillId="0" borderId="1" pivotButton="0" quotePrefix="0" xfId="0"/>
    <xf numFmtId="164" fontId="0" fillId="3" borderId="1" pivotButton="0" quotePrefix="0" xfId="0"/>
    <xf numFmtId="0" fontId="12" fillId="0" borderId="0" pivotButton="0" quotePrefix="0" xfId="0"/>
    <xf numFmtId="0" fontId="0" fillId="3" borderId="1" applyAlignment="1" pivotButton="0" quotePrefix="0" xfId="0">
      <alignment horizontal="left" vertical="center" wrapText="1"/>
    </xf>
    <xf numFmtId="0" fontId="4" fillId="3" borderId="1" applyAlignment="1" pivotButton="0" quotePrefix="0" xfId="0">
      <alignment horizontal="left" vertical="center" wrapText="1"/>
    </xf>
    <xf numFmtId="0" fontId="13" fillId="0" borderId="0" pivotButton="0" quotePrefix="0" xfId="0"/>
    <xf numFmtId="165" fontId="0" fillId="3" borderId="1" applyAlignment="1" pivotButton="0" quotePrefix="0" xfId="0">
      <alignment horizontal="left" vertical="center" wrapText="1"/>
    </xf>
    <xf numFmtId="0" fontId="4" fillId="6" borderId="1" applyAlignment="1" pivotButton="0" quotePrefix="0" xfId="0">
      <alignment horizontal="left" vertical="center" wrapText="1"/>
    </xf>
    <xf numFmtId="164" fontId="0" fillId="3" borderId="1" applyAlignment="1" pivotButton="0" quotePrefix="0" xfId="0">
      <alignment horizontal="left" vertical="center" wrapText="1"/>
    </xf>
    <xf numFmtId="0" fontId="11" fillId="7" borderId="0" applyAlignment="1" pivotButton="0" quotePrefix="0" xfId="0">
      <alignment horizontal="center" vertical="center" wrapText="1"/>
    </xf>
    <xf numFmtId="0" fontId="1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pane ySplit="3" topLeftCell="A4" activePane="bottomLeft" state="frozen"/>
      <selection pane="bottomLeft" activeCell="A1" sqref="A1"/>
    </sheetView>
  </sheetViews>
  <sheetFormatPr baseColWidth="8" defaultRowHeight="15"/>
  <cols>
    <col width="25" customWidth="1" min="1" max="1"/>
    <col width="22" customWidth="1" min="2" max="2"/>
    <col width="18" customWidth="1" min="3" max="3"/>
    <col width="12" customWidth="1" min="4" max="4"/>
    <col width="12" customWidth="1" min="5" max="5"/>
    <col width="12" customWidth="1" min="6" max="6"/>
    <col width="14" customWidth="1" min="7" max="7"/>
    <col width="10" customWidth="1" min="8" max="8"/>
  </cols>
  <sheetData>
    <row r="1" ht="50" customHeight="1">
      <c r="A1" s="1" t="inlineStr">
        <is>
          <t>ISMS-IMP-A.8.24.5 – Cryptography Compliance Summary Dashboard
ISO/IEC 27001:2022 - Control A.8.24: Use of Cryptography - Executive Overview</t>
        </is>
      </c>
    </row>
    <row r="3">
      <c r="A3" s="2" t="inlineStr">
        <is>
          <t>Document Information</t>
        </is>
      </c>
    </row>
    <row r="4">
      <c r="A4" s="3" t="inlineStr">
        <is>
          <t>Document ID</t>
        </is>
      </c>
      <c r="B4" t="inlineStr">
        <is>
          <t>ISMS-IMP-A.8.24.5</t>
        </is>
      </c>
    </row>
    <row r="5">
      <c r="A5" s="3" t="inlineStr">
        <is>
          <t>Report Type</t>
        </is>
      </c>
      <c r="B5" t="inlineStr">
        <is>
          <t>Compliance Summary Dashboard</t>
        </is>
      </c>
    </row>
    <row r="6">
      <c r="A6" s="3" t="inlineStr">
        <is>
          <t>Related Policy</t>
        </is>
      </c>
      <c r="B6" t="inlineStr">
        <is>
          <t>ISMS-POL-A.8.24 (Use of Cryptography)</t>
        </is>
      </c>
    </row>
    <row r="7">
      <c r="A7" s="3" t="inlineStr">
        <is>
          <t>Version</t>
        </is>
      </c>
      <c r="B7" t="inlineStr">
        <is>
          <t>1.0</t>
        </is>
      </c>
    </row>
    <row r="8">
      <c r="A8" s="3" t="inlineStr">
        <is>
          <t>Report Date</t>
        </is>
      </c>
      <c r="B8" s="4" t="inlineStr"/>
    </row>
    <row r="9">
      <c r="A9" s="3" t="inlineStr">
        <is>
          <t>Reporting Period</t>
        </is>
      </c>
      <c r="B9" s="4" t="inlineStr"/>
    </row>
    <row r="10">
      <c r="A10" s="3" t="inlineStr">
        <is>
          <t>Prepared By</t>
        </is>
      </c>
      <c r="B10" s="4" t="inlineStr"/>
    </row>
    <row r="11">
      <c r="A11" s="3" t="inlineStr">
        <is>
          <t>Organization</t>
        </is>
      </c>
      <c r="B11" s="4" t="inlineStr"/>
    </row>
    <row r="12">
      <c r="A12" s="3" t="inlineStr">
        <is>
          <t>Review Cycle</t>
        </is>
      </c>
      <c r="B12" t="inlineStr">
        <is>
          <t>Quarterly</t>
        </is>
      </c>
    </row>
    <row r="13">
      <c r="A13" s="3" t="inlineStr">
        <is>
          <t>Last Updated</t>
        </is>
      </c>
      <c r="B13" s="5">
        <f>TODAY()</f>
        <v/>
      </c>
    </row>
    <row r="16">
      <c r="A16" s="6" t="inlineStr">
        <is>
          <t>OVERALL CRYPTOGRAPHY COMPLIANCE STATUS</t>
        </is>
      </c>
    </row>
    <row r="17">
      <c r="A17" s="7" t="inlineStr">
        <is>
          <t>Metric</t>
        </is>
      </c>
      <c r="B17" s="7" t="inlineStr">
        <is>
          <t>Score</t>
        </is>
      </c>
      <c r="C17" s="7" t="inlineStr">
        <is>
          <t>Target</t>
        </is>
      </c>
      <c r="D17" s="7" t="inlineStr">
        <is>
          <t>Status</t>
        </is>
      </c>
    </row>
    <row r="18">
      <c r="A18" s="8" t="inlineStr">
        <is>
          <t>Overall Compliance Rate</t>
        </is>
      </c>
      <c r="B18" s="9">
        <f>SUMPRODUCT(VALUE(SUBSTITUTE(C26:C29,"%","")))/COUNTA(C26:C29)&amp;"%"</f>
        <v/>
      </c>
      <c r="C18" s="8" t="inlineStr">
        <is>
          <t>≥95%</t>
        </is>
      </c>
      <c r="D18" s="4" t="n"/>
    </row>
    <row r="19">
      <c r="A19" s="8" t="inlineStr">
        <is>
          <t>Critical Gaps</t>
        </is>
      </c>
      <c r="B19" s="9">
        <f>COUNTIFS('Gap Analysis'!I8:I207,"Critical",'Gap Analysis'!R8:R207,"&lt;&gt;Closed")</f>
        <v/>
      </c>
      <c r="C19" s="8" t="inlineStr">
        <is>
          <t>0</t>
        </is>
      </c>
      <c r="D19" s="4" t="n"/>
    </row>
    <row r="20">
      <c r="A20" s="8" t="inlineStr">
        <is>
          <t>High-Risk Items</t>
        </is>
      </c>
      <c r="B20" s="9">
        <f>COUNTIFS('Risk Register'!N21:N120,"&gt;=15",'Risk Register'!Q21:Q120,"&lt;&gt;Closed")</f>
        <v/>
      </c>
      <c r="C20" s="8" t="inlineStr">
        <is>
          <t>≤5</t>
        </is>
      </c>
      <c r="D20" s="4" t="n"/>
    </row>
    <row r="21">
      <c r="A21" s="8" t="inlineStr">
        <is>
          <t>Remediation Progress</t>
        </is>
      </c>
      <c r="B21" s="9">
        <f>COUNTIF('Remediation Roadmap'!H37:H236,"Completed")/COUNTA('Remediation Roadmap'!H37:H236)*100&amp;"%"</f>
        <v/>
      </c>
      <c r="C21" s="8" t="inlineStr">
        <is>
          <t>≥80%</t>
        </is>
      </c>
      <c r="D21" s="4" t="n"/>
    </row>
    <row r="24">
      <c r="A24" s="10" t="inlineStr">
        <is>
          <t>COMPLIANCE BY ASSESSMENT AREA</t>
        </is>
      </c>
    </row>
    <row r="25">
      <c r="A25" s="7" t="inlineStr">
        <is>
          <t>Assessment Area</t>
        </is>
      </c>
      <c r="B25" s="7" t="inlineStr">
        <is>
          <t>Source Document</t>
        </is>
      </c>
      <c r="C25" s="7" t="inlineStr">
        <is>
          <t>Overall Compliance %</t>
        </is>
      </c>
      <c r="D25" s="7" t="inlineStr">
        <is>
          <t>Total Items</t>
        </is>
      </c>
      <c r="E25" s="7" t="inlineStr">
        <is>
          <t>Compliant</t>
        </is>
      </c>
      <c r="F25" s="7" t="inlineStr">
        <is>
          <t>Partial</t>
        </is>
      </c>
      <c r="G25" s="7" t="inlineStr">
        <is>
          <t>Non-Compliant</t>
        </is>
      </c>
      <c r="H25" s="7" t="inlineStr">
        <is>
          <t>Trend</t>
        </is>
      </c>
    </row>
    <row r="26">
      <c r="A26" s="8" t="inlineStr">
        <is>
          <t>Data Transmission</t>
        </is>
      </c>
      <c r="B26" s="8" t="inlineStr">
        <is>
          <t>ISMS-IMP-A_8_24_1.xlsx</t>
        </is>
      </c>
      <c r="C26" s="8">
        <f>'[ISMS-IMP-A_8_24_1.xlsx]Summary Dashboard'!G16</f>
        <v/>
      </c>
      <c r="D26" s="8">
        <f>'[ISMS-IMP-A_8_24_1.xlsx]Summary Dashboard'!B16</f>
        <v/>
      </c>
      <c r="E26" s="8">
        <f>'[ISMS-IMP-A_8_24_1.xlsx]Summary Dashboard'!C16</f>
        <v/>
      </c>
      <c r="F26" s="8">
        <f>'[ISMS-IMP-A_8_24_1.xlsx]Summary Dashboard'!D16</f>
        <v/>
      </c>
      <c r="G26" s="8">
        <f>'[ISMS-IMP-A_8_24_1.xlsx]Summary Dashboard'!E16</f>
        <v/>
      </c>
      <c r="H26" s="4" t="n"/>
    </row>
    <row r="27">
      <c r="A27" s="8" t="inlineStr">
        <is>
          <t>Data Storage</t>
        </is>
      </c>
      <c r="B27" s="8" t="inlineStr">
        <is>
          <t>ISMS-IMP-A_8_24_2.xlsx</t>
        </is>
      </c>
      <c r="C27" s="8">
        <f>'[ISMS-IMP-A_8_24_2.xlsx]Summary Dashboard'!G11</f>
        <v/>
      </c>
      <c r="D27" s="8">
        <f>'[ISMS-IMP-A_8_24_2.xlsx]Summary Dashboard'!B11</f>
        <v/>
      </c>
      <c r="E27" s="8">
        <f>'[ISMS-IMP-A_8_24_2.xlsx]Summary Dashboard'!C11</f>
        <v/>
      </c>
      <c r="F27" s="8">
        <f>'[ISMS-IMP-A_8_24_2.xlsx]Summary Dashboard'!D11</f>
        <v/>
      </c>
      <c r="G27" s="8">
        <f>'[ISMS-IMP-A_8_24_2.xlsx]Summary Dashboard'!E11</f>
        <v/>
      </c>
      <c r="H27" s="4" t="n"/>
    </row>
    <row r="28">
      <c r="A28" s="8" t="inlineStr">
        <is>
          <t>Authentication</t>
        </is>
      </c>
      <c r="B28" s="8" t="inlineStr">
        <is>
          <t>ISMS-IMP-A_8_24_3.xlsx</t>
        </is>
      </c>
      <c r="C28" s="8">
        <f>'[ISMS-IMP-A_8_24_3.xlsx]Summary Dashboard'!G9</f>
        <v/>
      </c>
      <c r="D28" s="8">
        <f>'[ISMS-IMP-A_8_24_3.xlsx]Summary Dashboard'!B9</f>
        <v/>
      </c>
      <c r="E28" s="8">
        <f>'[ISMS-IMP-A_8_24_3.xlsx]Summary Dashboard'!C9</f>
        <v/>
      </c>
      <c r="F28" s="8">
        <f>'[ISMS-IMP-A_8_24_3.xlsx]Summary Dashboard'!D9</f>
        <v/>
      </c>
      <c r="G28" s="8">
        <f>'[ISMS-IMP-A_8_24_3.xlsx]Summary Dashboard'!E9</f>
        <v/>
      </c>
      <c r="H28" s="4" t="n"/>
    </row>
    <row r="29">
      <c r="A29" s="8" t="inlineStr">
        <is>
          <t>Key Management</t>
        </is>
      </c>
      <c r="B29" s="8" t="inlineStr">
        <is>
          <t>ISMS-IMP-A_8_24_4.xlsx</t>
        </is>
      </c>
      <c r="C29" s="8">
        <f>'[ISMS-IMP-A_8_24_4.xlsx]Summary Dashboard'!G9</f>
        <v/>
      </c>
      <c r="D29" s="8">
        <f>'[ISMS-IMP-A_8_24_4.xlsx]Summary Dashboard'!B9</f>
        <v/>
      </c>
      <c r="E29" s="8">
        <f>'[ISMS-IMP-A_8_24_4.xlsx]Summary Dashboard'!C9</f>
        <v/>
      </c>
      <c r="F29" s="8">
        <f>'[ISMS-IMP-A_8_24_4.xlsx]Summary Dashboard'!D9</f>
        <v/>
      </c>
      <c r="G29" s="8">
        <f>'[ISMS-IMP-A_8_24_4.xlsx]Summary Dashboard'!E9</f>
        <v/>
      </c>
      <c r="H29" s="4" t="n"/>
    </row>
    <row r="30">
      <c r="A30" s="11" t="inlineStr">
        <is>
          <t>TOTAL</t>
        </is>
      </c>
      <c r="B30" s="12" t="inlineStr">
        <is>
          <t>(Aggregated)</t>
        </is>
      </c>
      <c r="C30" s="13">
        <f>SUMPRODUCT(VALUE(SUBSTITUTE(C26:C29,"%","")))/COUNTA(C26:C29)&amp;"%"</f>
        <v/>
      </c>
      <c r="D30" s="11">
        <f>SUM(D26:D29)</f>
        <v/>
      </c>
      <c r="E30" s="11">
        <f>SUM(E26:E29)</f>
        <v/>
      </c>
      <c r="F30" s="11">
        <f>SUM(F26:F29)</f>
        <v/>
      </c>
      <c r="G30" s="11">
        <f>SUM(G26:G29)</f>
        <v/>
      </c>
    </row>
    <row r="33">
      <c r="A33" s="10" t="inlineStr">
        <is>
          <t>KEY PERFORMANCE INDICATORS (KPIs)</t>
        </is>
      </c>
    </row>
    <row r="34">
      <c r="A34" s="7" t="inlineStr">
        <is>
          <t>KPI</t>
        </is>
      </c>
      <c r="B34" s="7" t="inlineStr">
        <is>
          <t>Current Value</t>
        </is>
      </c>
      <c r="C34" s="7" t="inlineStr">
        <is>
          <t>Target</t>
        </is>
      </c>
      <c r="D34" s="7" t="inlineStr">
        <is>
          <t>Status</t>
        </is>
      </c>
      <c r="E34" s="7" t="inlineStr">
        <is>
          <t>Last Quarter</t>
        </is>
      </c>
      <c r="F34" s="7" t="inlineStr">
        <is>
          <t>Change</t>
        </is>
      </c>
    </row>
    <row r="35">
      <c r="A35" s="8" t="inlineStr">
        <is>
          <t>Cryptographic Controls Implemented</t>
        </is>
      </c>
      <c r="B35" s="4" t="inlineStr"/>
      <c r="C35" s="8" t="inlineStr">
        <is>
          <t>[Target]</t>
        </is>
      </c>
      <c r="D35" s="4" t="n"/>
      <c r="E35" s="4" t="n"/>
      <c r="F35" s="4" t="n"/>
    </row>
    <row r="36">
      <c r="A36" s="8" t="inlineStr">
        <is>
          <t>Systems with Encryption at Rest</t>
        </is>
      </c>
      <c r="B36" s="4" t="inlineStr"/>
      <c r="C36" s="8" t="inlineStr">
        <is>
          <t>100%</t>
        </is>
      </c>
      <c r="D36" s="4" t="n"/>
      <c r="E36" s="4" t="n"/>
      <c r="F36" s="4" t="n"/>
    </row>
    <row r="37">
      <c r="A37" s="8" t="inlineStr">
        <is>
          <t>Systems with Encryption in Transit</t>
        </is>
      </c>
      <c r="B37" s="4" t="inlineStr"/>
      <c r="C37" s="8" t="inlineStr">
        <is>
          <t>100%</t>
        </is>
      </c>
      <c r="D37" s="4" t="n"/>
      <c r="E37" s="4" t="n"/>
      <c r="F37" s="4" t="n"/>
    </row>
    <row r="38">
      <c r="A38" s="8" t="inlineStr">
        <is>
          <t>MFA Coverage (All Users)</t>
        </is>
      </c>
      <c r="B38" s="4" t="inlineStr"/>
      <c r="C38" s="8" t="inlineStr">
        <is>
          <t>100%</t>
        </is>
      </c>
      <c r="D38" s="4" t="n"/>
      <c r="E38" s="4" t="n"/>
      <c r="F38" s="4" t="n"/>
    </row>
    <row r="39">
      <c r="A39" s="8" t="inlineStr">
        <is>
          <t>MFA Coverage (Admins)</t>
        </is>
      </c>
      <c r="B39" s="4" t="inlineStr"/>
      <c r="C39" s="8" t="inlineStr">
        <is>
          <t>100%</t>
        </is>
      </c>
      <c r="D39" s="4" t="n"/>
      <c r="E39" s="4" t="n"/>
      <c r="F39" s="4" t="n"/>
    </row>
    <row r="40">
      <c r="A40" s="8" t="inlineStr">
        <is>
          <t>Certificate Expiry Compliance</t>
        </is>
      </c>
      <c r="B40" s="4" t="inlineStr"/>
      <c r="C40" s="8" t="inlineStr">
        <is>
          <t>100%</t>
        </is>
      </c>
      <c r="D40" s="4" t="n"/>
      <c r="E40" s="4" t="n"/>
      <c r="F40" s="4" t="n"/>
    </row>
    <row r="41">
      <c r="A41" s="8" t="inlineStr">
        <is>
          <t>Key Rotation Compliance</t>
        </is>
      </c>
      <c r="B41" s="4" t="inlineStr"/>
      <c r="C41" s="8" t="inlineStr">
        <is>
          <t>≥95%</t>
        </is>
      </c>
      <c r="D41" s="4" t="n"/>
      <c r="E41" s="4" t="n"/>
      <c r="F41" s="4" t="n"/>
    </row>
    <row r="42">
      <c r="A42" s="8" t="inlineStr">
        <is>
          <t>Password Hashing Compliance</t>
        </is>
      </c>
      <c r="B42" s="4" t="inlineStr"/>
      <c r="C42" s="8" t="inlineStr">
        <is>
          <t>100%</t>
        </is>
      </c>
      <c r="D42" s="4" t="n"/>
      <c r="E42" s="4" t="n"/>
      <c r="F42" s="4" t="n"/>
    </row>
    <row r="43">
      <c r="A43" s="8" t="inlineStr">
        <is>
          <t>SSO Coverage</t>
        </is>
      </c>
      <c r="B43" s="4" t="inlineStr"/>
      <c r="C43" s="8" t="inlineStr">
        <is>
          <t>≥80%</t>
        </is>
      </c>
      <c r="D43" s="4" t="n"/>
      <c r="E43" s="4" t="n"/>
      <c r="F43" s="4" t="n"/>
    </row>
    <row r="44">
      <c r="A44" s="8" t="inlineStr">
        <is>
          <t>Open Critical Gaps</t>
        </is>
      </c>
      <c r="B44" s="14">
        <f>COUNTIFS('Gap Analysis'!I8:I207,"Critical",'Gap Analysis'!R8:R207,"&lt;&gt;Closed")</f>
        <v/>
      </c>
      <c r="C44" s="8" t="inlineStr">
        <is>
          <t>0</t>
        </is>
      </c>
      <c r="D44" s="4" t="n"/>
      <c r="E44" s="4" t="n"/>
      <c r="F44" s="4" t="n"/>
    </row>
    <row r="47">
      <c r="A47" s="15" t="inlineStr">
        <is>
          <t>TOP 5 CRITICAL SECURITY GAPS</t>
        </is>
      </c>
    </row>
    <row r="48">
      <c r="A48" s="7" t="inlineStr">
        <is>
          <t>Rank</t>
        </is>
      </c>
      <c r="B48" s="7" t="inlineStr">
        <is>
          <t>Issue Description</t>
        </is>
      </c>
      <c r="C48" s="7" t="inlineStr">
        <is>
          <t>Assessment Area</t>
        </is>
      </c>
      <c r="D48" s="7" t="inlineStr">
        <is>
          <t>Risk Level</t>
        </is>
      </c>
      <c r="E48" s="7" t="inlineStr">
        <is>
          <t>Systems Affected</t>
        </is>
      </c>
      <c r="F48" s="7" t="inlineStr">
        <is>
          <t>Target Date</t>
        </is>
      </c>
      <c r="G48" s="7" t="inlineStr">
        <is>
          <t>Owner</t>
        </is>
      </c>
      <c r="H48" s="7" t="inlineStr">
        <is>
          <t>Status</t>
        </is>
      </c>
    </row>
    <row r="49">
      <c r="A49" s="16" t="n">
        <v>1</v>
      </c>
      <c r="B49" s="4" t="n"/>
      <c r="C49" s="4" t="n"/>
      <c r="D49" s="4" t="n"/>
      <c r="E49" s="4" t="n"/>
      <c r="F49" s="4" t="n"/>
      <c r="G49" s="4" t="n"/>
      <c r="H49" s="4" t="n"/>
    </row>
    <row r="50">
      <c r="A50" s="16" t="n">
        <v>2</v>
      </c>
      <c r="B50" s="4" t="n"/>
      <c r="C50" s="4" t="n"/>
      <c r="D50" s="4" t="n"/>
      <c r="E50" s="4" t="n"/>
      <c r="F50" s="4" t="n"/>
      <c r="G50" s="4" t="n"/>
      <c r="H50" s="4" t="n"/>
    </row>
    <row r="51">
      <c r="A51" s="16" t="n">
        <v>3</v>
      </c>
      <c r="B51" s="4" t="n"/>
      <c r="C51" s="4" t="n"/>
      <c r="D51" s="4" t="n"/>
      <c r="E51" s="4" t="n"/>
      <c r="F51" s="4" t="n"/>
      <c r="G51" s="4" t="n"/>
      <c r="H51" s="4" t="n"/>
    </row>
    <row r="52">
      <c r="A52" s="16" t="n">
        <v>4</v>
      </c>
      <c r="B52" s="4" t="n"/>
      <c r="C52" s="4" t="n"/>
      <c r="D52" s="4" t="n"/>
      <c r="E52" s="4" t="n"/>
      <c r="F52" s="4" t="n"/>
      <c r="G52" s="4" t="n"/>
      <c r="H52" s="4" t="n"/>
    </row>
    <row r="53">
      <c r="A53" s="16" t="n">
        <v>5</v>
      </c>
      <c r="B53" s="4" t="n"/>
      <c r="C53" s="4" t="n"/>
      <c r="D53" s="4" t="n"/>
      <c r="E53" s="4" t="n"/>
      <c r="F53" s="4" t="n"/>
      <c r="G53" s="4" t="n"/>
      <c r="H53" s="4" t="n"/>
    </row>
    <row r="56">
      <c r="A56" s="10" t="inlineStr">
        <is>
          <t>EXECUTIVE SUMMARY</t>
        </is>
      </c>
    </row>
    <row r="57">
      <c r="A57" s="3" t="inlineStr">
        <is>
          <t>Assessment Period:</t>
        </is>
      </c>
      <c r="B57" s="4" t="inlineStr"/>
    </row>
    <row r="58">
      <c r="A58" s="3" t="inlineStr">
        <is>
          <t>Overall Compliance Status:</t>
        </is>
      </c>
      <c r="B58" s="9">
        <f>IF(VALUE(SUBSTITUTE(C21,"%",""))/100&gt;=0.95,"Excellent",IF(VALUE(SUBSTITUTE(C21,"%",""))/100&gt;=0.90,"Good",IF(VALUE(SUBSTITUTE(C21,"%",""))/100&gt;=0.80,"Adequate",IF(VALUE(SUBSTITUTE(C21,"%",""))/100&gt;=0.70,"Needs Improvement","Critical"))))</f>
        <v/>
      </c>
    </row>
    <row r="59">
      <c r="A59" s="3" t="inlineStr">
        <is>
          <t>Security Posture:</t>
        </is>
      </c>
      <c r="B59" s="9">
        <f>IF(VALUE(SUBSTITUTE(C21,"%",""))/100&gt;=0.90,"Strong",IF(VALUE(SUBSTITUTE(C21,"%",""))/100&gt;=0.75,"Adequate","Weak"))</f>
        <v/>
      </c>
    </row>
    <row r="61">
      <c r="A61" s="3" t="inlineStr">
        <is>
          <t>Key Achievements This Period:</t>
        </is>
      </c>
    </row>
    <row r="62">
      <c r="A62" s="17" t="n"/>
    </row>
    <row r="63"/>
    <row r="64"/>
    <row r="65"/>
    <row r="66"/>
    <row r="68">
      <c r="A68" s="3" t="inlineStr">
        <is>
          <t>Major Concerns:</t>
        </is>
      </c>
    </row>
    <row r="69">
      <c r="A69" s="17" t="n"/>
    </row>
    <row r="70"/>
    <row r="71"/>
    <row r="72"/>
    <row r="73"/>
    <row r="75">
      <c r="A75" s="3" t="inlineStr">
        <is>
          <t>Recommended Executive Actions:</t>
        </is>
      </c>
    </row>
    <row r="76">
      <c r="A76" s="3" t="inlineStr">
        <is>
          <t>1.</t>
        </is>
      </c>
      <c r="B76" s="4" t="n"/>
    </row>
    <row r="77">
      <c r="A77" s="3" t="inlineStr">
        <is>
          <t>2.</t>
        </is>
      </c>
      <c r="B77" s="4" t="n"/>
    </row>
    <row r="78">
      <c r="A78" s="3" t="inlineStr">
        <is>
          <t>3.</t>
        </is>
      </c>
      <c r="B78" s="4" t="n"/>
    </row>
    <row r="80">
      <c r="A80" s="3" t="inlineStr">
        <is>
          <t>Budget Impact:</t>
        </is>
      </c>
    </row>
    <row r="81">
      <c r="A81" s="3" t="inlineStr">
        <is>
          <t>Total Estimated Remediation Budget:</t>
        </is>
      </c>
      <c r="B81" s="18">
        <f>SUM('Remediation Roadmap'!R37:R236)</f>
        <v/>
      </c>
    </row>
    <row r="82">
      <c r="A82" s="3" t="inlineStr">
        <is>
          <t>Approved Budget:</t>
        </is>
      </c>
      <c r="B82" s="19" t="n"/>
    </row>
    <row r="83">
      <c r="A83" s="3" t="inlineStr">
        <is>
          <t>Budget Gap:</t>
        </is>
      </c>
      <c r="B83" s="18">
        <f>B82-B81</f>
        <v/>
      </c>
    </row>
  </sheetData>
  <mergeCells count="14">
    <mergeCell ref="A56:H56"/>
    <mergeCell ref="A33:F33"/>
    <mergeCell ref="B59:D59"/>
    <mergeCell ref="A24:H24"/>
    <mergeCell ref="A16:H16"/>
    <mergeCell ref="B57:D57"/>
    <mergeCell ref="B77:H77"/>
    <mergeCell ref="B58:D58"/>
    <mergeCell ref="A69:H73"/>
    <mergeCell ref="B78:H78"/>
    <mergeCell ref="A47:H47"/>
    <mergeCell ref="A1:H1"/>
    <mergeCell ref="B76:H76"/>
    <mergeCell ref="A62:H66"/>
  </mergeCells>
  <dataValidations count="1">
    <dataValidation sqref="H26 H27 H28 H29" showDropDown="0" showInputMessage="0" showErrorMessage="0" allowBlank="0" type="list">
      <formula1>"↑ Improved,→ No Change,↓ Declined"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3"/>
  <sheetViews>
    <sheetView workbookViewId="0">
      <pane ySplit="11" topLeftCell="A12" activePane="bottomLeft" state="frozen"/>
      <selection pane="bottomLeft" activeCell="A1" sqref="A1"/>
    </sheetView>
  </sheetViews>
  <sheetFormatPr baseColWidth="8" defaultRowHeight="15"/>
  <cols>
    <col width="12" customWidth="1" min="1" max="1"/>
    <col width="22" customWidth="1" min="2" max="2"/>
    <col width="20" customWidth="1" min="3" max="3"/>
    <col width="28" customWidth="1" min="4" max="4"/>
    <col width="40" customWidth="1" min="5" max="5"/>
    <col width="20" customWidth="1" min="6" max="6"/>
    <col width="30" customWidth="1" min="7" max="7"/>
    <col width="30" customWidth="1" min="8" max="8"/>
    <col width="14" customWidth="1" min="9" max="9"/>
    <col width="12" customWidth="1" min="10" max="10"/>
    <col width="12" customWidth="1" min="11" max="11"/>
    <col width="10" customWidth="1" min="12" max="12"/>
    <col width="18" customWidth="1" min="13" max="13"/>
    <col width="12" customWidth="1" min="14" max="14"/>
    <col width="12" customWidth="1" min="15" max="15"/>
    <col width="30" customWidth="1" min="16" max="16"/>
    <col width="30" customWidth="1" min="17" max="17"/>
    <col width="14" customWidth="1" min="18" max="18"/>
    <col width="14" customWidth="1" min="19" max="19"/>
    <col width="14" customWidth="1" min="20" max="20"/>
  </cols>
  <sheetData>
    <row r="1" ht="40" customHeight="1">
      <c r="A1" s="1" t="inlineStr">
        <is>
          <t>COMPREHENSIVE GAP ANALYSIS - CRYPTOGRAPHIC CONTROLS
Consolidated view of all compliance gaps across assessment areas</t>
        </is>
      </c>
    </row>
    <row r="3">
      <c r="A3" s="10" t="inlineStr">
        <is>
          <t>Gap Summary Statistics</t>
        </is>
      </c>
    </row>
    <row r="4">
      <c r="A4" s="7" t="inlineStr">
        <is>
          <t>Assessment Area</t>
        </is>
      </c>
      <c r="B4" s="7" t="inlineStr">
        <is>
          <t>Total Gaps</t>
        </is>
      </c>
      <c r="C4" s="7" t="inlineStr">
        <is>
          <t>Critical</t>
        </is>
      </c>
      <c r="D4" s="7" t="inlineStr">
        <is>
          <t>High</t>
        </is>
      </c>
      <c r="E4" s="7" t="inlineStr">
        <is>
          <t>Medium</t>
        </is>
      </c>
      <c r="F4" s="7" t="inlineStr">
        <is>
          <t>Low</t>
        </is>
      </c>
      <c r="G4" s="7" t="inlineStr">
        <is>
          <t>Compliance %</t>
        </is>
      </c>
      <c r="H4" s="7" t="inlineStr">
        <is>
          <t>Risk Score</t>
        </is>
      </c>
    </row>
    <row r="5">
      <c r="A5" s="8" t="inlineStr">
        <is>
          <t>Data Transmission</t>
        </is>
      </c>
      <c r="B5" s="14">
        <f>COUNTIF(B12:B211,"Data Transmission")</f>
        <v/>
      </c>
      <c r="C5" s="14">
        <f>COUNTIFS(B12:B211,"Data Transmission",I12:I211,"Critical")</f>
        <v/>
      </c>
      <c r="D5" s="14">
        <f>COUNTIFS(B12:B211,"Data Transmission",I12:I211,"High")</f>
        <v/>
      </c>
      <c r="E5" s="14">
        <f>COUNTIFS(B12:B211,"Data Transmission",I12:I211,"Medium")</f>
        <v/>
      </c>
      <c r="F5" s="14">
        <f>COUNTIFS(B12:B211,"Data Transmission",I12:I211,"Low")</f>
        <v/>
      </c>
      <c r="G5" s="4" t="n"/>
      <c r="H5" s="14">
        <f>IF(B5=0,0,(C5*10+D5*7+E5*4+F5*1)/B5)</f>
        <v/>
      </c>
    </row>
    <row r="6">
      <c r="A6" s="8" t="inlineStr">
        <is>
          <t>Data Storage</t>
        </is>
      </c>
      <c r="B6" s="14">
        <f>COUNTIF(B12:B211,"Data Storage")</f>
        <v/>
      </c>
      <c r="C6" s="14">
        <f>COUNTIFS(B12:B211,"Data Storage",I12:I211,"Critical")</f>
        <v/>
      </c>
      <c r="D6" s="14">
        <f>COUNTIFS(B12:B211,"Data Storage",I12:I211,"High")</f>
        <v/>
      </c>
      <c r="E6" s="14">
        <f>COUNTIFS(B12:B211,"Data Storage",I12:I211,"Medium")</f>
        <v/>
      </c>
      <c r="F6" s="14">
        <f>COUNTIFS(B12:B211,"Data Storage",I12:I211,"Low")</f>
        <v/>
      </c>
      <c r="G6" s="4" t="n"/>
      <c r="H6" s="14">
        <f>IF(B6=0,0,(C6*10+D6*7+E6*4+F6*1)/B6)</f>
        <v/>
      </c>
    </row>
    <row r="7">
      <c r="A7" s="8" t="inlineStr">
        <is>
          <t>Authentication</t>
        </is>
      </c>
      <c r="B7" s="14">
        <f>COUNTIF(B12:B211,"Authentication")</f>
        <v/>
      </c>
      <c r="C7" s="14">
        <f>COUNTIFS(B12:B211,"Authentication",I12:I211,"Critical")</f>
        <v/>
      </c>
      <c r="D7" s="14">
        <f>COUNTIFS(B12:B211,"Authentication",I12:I211,"High")</f>
        <v/>
      </c>
      <c r="E7" s="14">
        <f>COUNTIFS(B12:B211,"Authentication",I12:I211,"Medium")</f>
        <v/>
      </c>
      <c r="F7" s="14">
        <f>COUNTIFS(B12:B211,"Authentication",I12:I211,"Low")</f>
        <v/>
      </c>
      <c r="G7" s="4" t="n"/>
      <c r="H7" s="14">
        <f>IF(B7=0,0,(C7*10+D7*7+E7*4+F7*1)/B7)</f>
        <v/>
      </c>
    </row>
    <row r="8">
      <c r="A8" s="8" t="inlineStr">
        <is>
          <t>Key Management</t>
        </is>
      </c>
      <c r="B8" s="14">
        <f>COUNTIF(B12:B211,"Key Management")</f>
        <v/>
      </c>
      <c r="C8" s="14">
        <f>COUNTIFS(B12:B211,"Key Management",I12:I211,"Critical")</f>
        <v/>
      </c>
      <c r="D8" s="14">
        <f>COUNTIFS(B12:B211,"Key Management",I12:I211,"High")</f>
        <v/>
      </c>
      <c r="E8" s="14">
        <f>COUNTIFS(B12:B211,"Key Management",I12:I211,"Medium")</f>
        <v/>
      </c>
      <c r="F8" s="14">
        <f>COUNTIFS(B12:B211,"Key Management",I12:I211,"Low")</f>
        <v/>
      </c>
      <c r="G8" s="4" t="n"/>
      <c r="H8" s="14">
        <f>IF(B8=0,0,(C8*10+D8*7+E8*4+F8*1)/B8)</f>
        <v/>
      </c>
    </row>
    <row r="9">
      <c r="A9" s="3" t="inlineStr">
        <is>
          <t>TOTAL</t>
        </is>
      </c>
      <c r="B9" s="11">
        <f>SUM(B5:B8)</f>
        <v/>
      </c>
      <c r="C9" s="11">
        <f>SUM(C5:C8)</f>
        <v/>
      </c>
      <c r="D9" s="11">
        <f>SUM(D5:D8)</f>
        <v/>
      </c>
      <c r="E9" s="11">
        <f>SUM(E5:E8)</f>
        <v/>
      </c>
      <c r="F9" s="11">
        <f>SUM(F5:F8)</f>
        <v/>
      </c>
      <c r="G9" s="11">
        <f>SUM(G5:G8)</f>
        <v/>
      </c>
      <c r="H9" s="11">
        <f>AVERAGE(H5:H8)</f>
        <v/>
      </c>
    </row>
    <row r="12">
      <c r="A12" s="10" t="inlineStr">
        <is>
          <t>DETAILED GAP REGISTER</t>
        </is>
      </c>
    </row>
    <row r="13">
      <c r="A13" s="7" t="inlineStr">
        <is>
          <t>Gap ID</t>
        </is>
      </c>
      <c r="B13" s="7" t="inlineStr">
        <is>
          <t>Assessment Area</t>
        </is>
      </c>
      <c r="C13" s="7" t="inlineStr">
        <is>
          <t>Source Document</t>
        </is>
      </c>
      <c r="D13" s="7" t="inlineStr">
        <is>
          <t>System/Application</t>
        </is>
      </c>
      <c r="E13" s="7" t="inlineStr">
        <is>
          <t>Gap Description</t>
        </is>
      </c>
      <c r="F13" s="7" t="inlineStr">
        <is>
          <t>Policy Reference</t>
        </is>
      </c>
      <c r="G13" s="7" t="inlineStr">
        <is>
          <t>Current State</t>
        </is>
      </c>
      <c r="H13" s="7" t="inlineStr">
        <is>
          <t>Required State</t>
        </is>
      </c>
      <c r="I13" s="7" t="inlineStr">
        <is>
          <t>Risk Level</t>
        </is>
      </c>
      <c r="J13" s="7" t="inlineStr">
        <is>
          <t>Impact</t>
        </is>
      </c>
      <c r="K13" s="7" t="inlineStr">
        <is>
          <t>Likelihood</t>
        </is>
      </c>
      <c r="L13" s="7" t="inlineStr">
        <is>
          <t>Risk Score</t>
        </is>
      </c>
      <c r="M13" s="7" t="inlineStr">
        <is>
          <t>Data Classification</t>
        </is>
      </c>
      <c r="N13" s="7" t="inlineStr">
        <is>
          <t>Systems Affected</t>
        </is>
      </c>
      <c r="O13" s="7" t="inlineStr">
        <is>
          <t>Users Impacted</t>
        </is>
      </c>
      <c r="P13" s="7" t="inlineStr">
        <is>
          <t>Business Impact</t>
        </is>
      </c>
      <c r="Q13" s="7" t="inlineStr">
        <is>
          <t>Compensating Controls</t>
        </is>
      </c>
      <c r="R13" s="7" t="inlineStr">
        <is>
          <t>Status</t>
        </is>
      </c>
      <c r="S13" s="7" t="inlineStr">
        <is>
          <t>Exception ID</t>
        </is>
      </c>
      <c r="T13" s="7" t="inlineStr">
        <is>
          <t>Risk ID</t>
        </is>
      </c>
    </row>
    <row r="14">
      <c r="A14" s="20" t="inlineStr">
        <is>
          <t>GAP-001</t>
        </is>
      </c>
      <c r="B14" s="21" t="n"/>
      <c r="C14" s="21" t="n"/>
      <c r="D14" s="21" t="n"/>
      <c r="E14" s="21" t="n"/>
      <c r="F14" s="21" t="n"/>
      <c r="G14" s="21" t="n"/>
      <c r="H14" s="21" t="n"/>
      <c r="I14" s="21" t="n"/>
      <c r="J14" s="21" t="n"/>
      <c r="K14" s="21" t="n"/>
      <c r="L14" s="22">
        <f>IF(OR(ISBLANK(J14),ISBLANK(K14)),"",IF(AND(J14="Critical",K14="Very High"),25,IF(AND(J14="Critical",K14="High"),20,IF(AND(J14="High",K14="Very High"),20,IF(AND(J14="High",K14="High"),16,IF(AND(J14="Critical",K14="Medium"),15,IF(AND(J14="Medium",K14="High"),12,IF(AND(J14="High",K14="Medium"),12,10))))))))</f>
        <v/>
      </c>
      <c r="M14" s="21" t="n"/>
      <c r="N14" s="21" t="n"/>
      <c r="O14" s="21" t="n"/>
      <c r="P14" s="21" t="n"/>
      <c r="Q14" s="21" t="n"/>
      <c r="R14" s="21" t="n"/>
      <c r="S14" s="21" t="n"/>
      <c r="T14" s="21" t="n"/>
    </row>
    <row r="15">
      <c r="A15" s="20" t="inlineStr">
        <is>
          <t>GAP-002</t>
        </is>
      </c>
      <c r="B15" s="21" t="n"/>
      <c r="C15" s="21" t="n"/>
      <c r="D15" s="21" t="n"/>
      <c r="E15" s="21" t="n"/>
      <c r="F15" s="21" t="n"/>
      <c r="G15" s="21" t="n"/>
      <c r="H15" s="21" t="n"/>
      <c r="I15" s="21" t="n"/>
      <c r="J15" s="21" t="n"/>
      <c r="K15" s="21" t="n"/>
      <c r="L15" s="22">
        <f>IF(OR(ISBLANK(J15),ISBLANK(K15)),"",IF(AND(J15="Critical",K15="Very High"),25,IF(AND(J15="Critical",K15="High"),20,IF(AND(J15="High",K15="Very High"),20,IF(AND(J15="High",K15="High"),16,IF(AND(J15="Critical",K15="Medium"),15,IF(AND(J15="Medium",K15="High"),12,IF(AND(J15="High",K15="Medium"),12,10))))))))</f>
        <v/>
      </c>
      <c r="M15" s="21" t="n"/>
      <c r="N15" s="21" t="n"/>
      <c r="O15" s="21" t="n"/>
      <c r="P15" s="21" t="n"/>
      <c r="Q15" s="21" t="n"/>
      <c r="R15" s="21" t="n"/>
      <c r="S15" s="21" t="n"/>
      <c r="T15" s="21" t="n"/>
    </row>
    <row r="16">
      <c r="A16" s="20" t="inlineStr">
        <is>
          <t>GAP-003</t>
        </is>
      </c>
      <c r="B16" s="21" t="n"/>
      <c r="C16" s="21" t="n"/>
      <c r="D16" s="21" t="n"/>
      <c r="E16" s="21" t="n"/>
      <c r="F16" s="21" t="n"/>
      <c r="G16" s="21" t="n"/>
      <c r="H16" s="21" t="n"/>
      <c r="I16" s="21" t="n"/>
      <c r="J16" s="21" t="n"/>
      <c r="K16" s="21" t="n"/>
      <c r="L16" s="22">
        <f>IF(OR(ISBLANK(J16),ISBLANK(K16)),"",IF(AND(J16="Critical",K16="Very High"),25,IF(AND(J16="Critical",K16="High"),20,IF(AND(J16="High",K16="Very High"),20,IF(AND(J16="High",K16="High"),16,IF(AND(J16="Critical",K16="Medium"),15,IF(AND(J16="Medium",K16="High"),12,IF(AND(J16="High",K16="Medium"),12,10))))))))</f>
        <v/>
      </c>
      <c r="M16" s="21" t="n"/>
      <c r="N16" s="21" t="n"/>
      <c r="O16" s="21" t="n"/>
      <c r="P16" s="21" t="n"/>
      <c r="Q16" s="21" t="n"/>
      <c r="R16" s="21" t="n"/>
      <c r="S16" s="21" t="n"/>
      <c r="T16" s="21" t="n"/>
    </row>
    <row r="17">
      <c r="A17" s="20" t="inlineStr">
        <is>
          <t>GAP-004</t>
        </is>
      </c>
      <c r="B17" s="21" t="n"/>
      <c r="C17" s="21" t="n"/>
      <c r="D17" s="21" t="n"/>
      <c r="E17" s="21" t="n"/>
      <c r="F17" s="21" t="n"/>
      <c r="G17" s="21" t="n"/>
      <c r="H17" s="21" t="n"/>
      <c r="I17" s="21" t="n"/>
      <c r="J17" s="21" t="n"/>
      <c r="K17" s="21" t="n"/>
      <c r="L17" s="22">
        <f>IF(OR(ISBLANK(J17),ISBLANK(K17)),"",IF(AND(J17="Critical",K17="Very High"),25,IF(AND(J17="Critical",K17="High"),20,IF(AND(J17="High",K17="Very High"),20,IF(AND(J17="High",K17="High"),16,IF(AND(J17="Critical",K17="Medium"),15,IF(AND(J17="Medium",K17="High"),12,IF(AND(J17="High",K17="Medium"),12,10))))))))</f>
        <v/>
      </c>
      <c r="M17" s="21" t="n"/>
      <c r="N17" s="21" t="n"/>
      <c r="O17" s="21" t="n"/>
      <c r="P17" s="21" t="n"/>
      <c r="Q17" s="21" t="n"/>
      <c r="R17" s="21" t="n"/>
      <c r="S17" s="21" t="n"/>
      <c r="T17" s="21" t="n"/>
    </row>
    <row r="18">
      <c r="A18" s="20" t="inlineStr">
        <is>
          <t>GAP-005</t>
        </is>
      </c>
      <c r="B18" s="21" t="n"/>
      <c r="C18" s="21" t="n"/>
      <c r="D18" s="21" t="n"/>
      <c r="E18" s="21" t="n"/>
      <c r="F18" s="21" t="n"/>
      <c r="G18" s="21" t="n"/>
      <c r="H18" s="21" t="n"/>
      <c r="I18" s="21" t="n"/>
      <c r="J18" s="21" t="n"/>
      <c r="K18" s="21" t="n"/>
      <c r="L18" s="22">
        <f>IF(OR(ISBLANK(J18),ISBLANK(K18)),"",IF(AND(J18="Critical",K18="Very High"),25,IF(AND(J18="Critical",K18="High"),20,IF(AND(J18="High",K18="Very High"),20,IF(AND(J18="High",K18="High"),16,IF(AND(J18="Critical",K18="Medium"),15,IF(AND(J18="Medium",K18="High"),12,IF(AND(J18="High",K18="Medium"),12,10))))))))</f>
        <v/>
      </c>
      <c r="M18" s="21" t="n"/>
      <c r="N18" s="21" t="n"/>
      <c r="O18" s="21" t="n"/>
      <c r="P18" s="21" t="n"/>
      <c r="Q18" s="21" t="n"/>
      <c r="R18" s="21" t="n"/>
      <c r="S18" s="21" t="n"/>
      <c r="T18" s="21" t="n"/>
    </row>
    <row r="19">
      <c r="A19" s="20" t="inlineStr">
        <is>
          <t>GAP-006</t>
        </is>
      </c>
      <c r="B19" s="21" t="n"/>
      <c r="C19" s="21" t="n"/>
      <c r="D19" s="21" t="n"/>
      <c r="E19" s="21" t="n"/>
      <c r="F19" s="21" t="n"/>
      <c r="G19" s="21" t="n"/>
      <c r="H19" s="21" t="n"/>
      <c r="I19" s="21" t="n"/>
      <c r="J19" s="21" t="n"/>
      <c r="K19" s="21" t="n"/>
      <c r="L19" s="22">
        <f>IF(OR(ISBLANK(J19),ISBLANK(K19)),"",IF(AND(J19="Critical",K19="Very High"),25,IF(AND(J19="Critical",K19="High"),20,IF(AND(J19="High",K19="Very High"),20,IF(AND(J19="High",K19="High"),16,IF(AND(J19="Critical",K19="Medium"),15,IF(AND(J19="Medium",K19="High"),12,IF(AND(J19="High",K19="Medium"),12,10))))))))</f>
        <v/>
      </c>
      <c r="M19" s="21" t="n"/>
      <c r="N19" s="21" t="n"/>
      <c r="O19" s="21" t="n"/>
      <c r="P19" s="21" t="n"/>
      <c r="Q19" s="21" t="n"/>
      <c r="R19" s="21" t="n"/>
      <c r="S19" s="21" t="n"/>
      <c r="T19" s="21" t="n"/>
    </row>
    <row r="20">
      <c r="A20" s="20" t="inlineStr">
        <is>
          <t>GAP-007</t>
        </is>
      </c>
      <c r="B20" s="21" t="n"/>
      <c r="C20" s="21" t="n"/>
      <c r="D20" s="21" t="n"/>
      <c r="E20" s="21" t="n"/>
      <c r="F20" s="21" t="n"/>
      <c r="G20" s="21" t="n"/>
      <c r="H20" s="21" t="n"/>
      <c r="I20" s="21" t="n"/>
      <c r="J20" s="21" t="n"/>
      <c r="K20" s="21" t="n"/>
      <c r="L20" s="22">
        <f>IF(OR(ISBLANK(J20),ISBLANK(K20)),"",IF(AND(J20="Critical",K20="Very High"),25,IF(AND(J20="Critical",K20="High"),20,IF(AND(J20="High",K20="Very High"),20,IF(AND(J20="High",K20="High"),16,IF(AND(J20="Critical",K20="Medium"),15,IF(AND(J20="Medium",K20="High"),12,IF(AND(J20="High",K20="Medium"),12,10))))))))</f>
        <v/>
      </c>
      <c r="M20" s="21" t="n"/>
      <c r="N20" s="21" t="n"/>
      <c r="O20" s="21" t="n"/>
      <c r="P20" s="21" t="n"/>
      <c r="Q20" s="21" t="n"/>
      <c r="R20" s="21" t="n"/>
      <c r="S20" s="21" t="n"/>
      <c r="T20" s="21" t="n"/>
    </row>
    <row r="21">
      <c r="A21" s="20" t="inlineStr">
        <is>
          <t>GAP-008</t>
        </is>
      </c>
      <c r="B21" s="21" t="n"/>
      <c r="C21" s="21" t="n"/>
      <c r="D21" s="21" t="n"/>
      <c r="E21" s="21" t="n"/>
      <c r="F21" s="21" t="n"/>
      <c r="G21" s="21" t="n"/>
      <c r="H21" s="21" t="n"/>
      <c r="I21" s="21" t="n"/>
      <c r="J21" s="21" t="n"/>
      <c r="K21" s="21" t="n"/>
      <c r="L21" s="22">
        <f>IF(OR(ISBLANK(J21),ISBLANK(K21)),"",IF(AND(J21="Critical",K21="Very High"),25,IF(AND(J21="Critical",K21="High"),20,IF(AND(J21="High",K21="Very High"),20,IF(AND(J21="High",K21="High"),16,IF(AND(J21="Critical",K21="Medium"),15,IF(AND(J21="Medium",K21="High"),12,IF(AND(J21="High",K21="Medium"),12,10))))))))</f>
        <v/>
      </c>
      <c r="M21" s="21" t="n"/>
      <c r="N21" s="21" t="n"/>
      <c r="O21" s="21" t="n"/>
      <c r="P21" s="21" t="n"/>
      <c r="Q21" s="21" t="n"/>
      <c r="R21" s="21" t="n"/>
      <c r="S21" s="21" t="n"/>
      <c r="T21" s="21" t="n"/>
    </row>
    <row r="22">
      <c r="A22" s="20" t="inlineStr">
        <is>
          <t>GAP-009</t>
        </is>
      </c>
      <c r="B22" s="21" t="n"/>
      <c r="C22" s="21" t="n"/>
      <c r="D22" s="21" t="n"/>
      <c r="E22" s="21" t="n"/>
      <c r="F22" s="21" t="n"/>
      <c r="G22" s="21" t="n"/>
      <c r="H22" s="21" t="n"/>
      <c r="I22" s="21" t="n"/>
      <c r="J22" s="21" t="n"/>
      <c r="K22" s="21" t="n"/>
      <c r="L22" s="22">
        <f>IF(OR(ISBLANK(J22),ISBLANK(K22)),"",IF(AND(J22="Critical",K22="Very High"),25,IF(AND(J22="Critical",K22="High"),20,IF(AND(J22="High",K22="Very High"),20,IF(AND(J22="High",K22="High"),16,IF(AND(J22="Critical",K22="Medium"),15,IF(AND(J22="Medium",K22="High"),12,IF(AND(J22="High",K22="Medium"),12,10))))))))</f>
        <v/>
      </c>
      <c r="M22" s="21" t="n"/>
      <c r="N22" s="21" t="n"/>
      <c r="O22" s="21" t="n"/>
      <c r="P22" s="21" t="n"/>
      <c r="Q22" s="21" t="n"/>
      <c r="R22" s="21" t="n"/>
      <c r="S22" s="21" t="n"/>
      <c r="T22" s="21" t="n"/>
    </row>
    <row r="23">
      <c r="A23" s="20" t="inlineStr">
        <is>
          <t>GAP-010</t>
        </is>
      </c>
      <c r="B23" s="21" t="n"/>
      <c r="C23" s="21" t="n"/>
      <c r="D23" s="21" t="n"/>
      <c r="E23" s="21" t="n"/>
      <c r="F23" s="21" t="n"/>
      <c r="G23" s="21" t="n"/>
      <c r="H23" s="21" t="n"/>
      <c r="I23" s="21" t="n"/>
      <c r="J23" s="21" t="n"/>
      <c r="K23" s="21" t="n"/>
      <c r="L23" s="22">
        <f>IF(OR(ISBLANK(J23),ISBLANK(K23)),"",IF(AND(J23="Critical",K23="Very High"),25,IF(AND(J23="Critical",K23="High"),20,IF(AND(J23="High",K23="Very High"),20,IF(AND(J23="High",K23="High"),16,IF(AND(J23="Critical",K23="Medium"),15,IF(AND(J23="Medium",K23="High"),12,IF(AND(J23="High",K23="Medium"),12,10))))))))</f>
        <v/>
      </c>
      <c r="M23" s="21" t="n"/>
      <c r="N23" s="21" t="n"/>
      <c r="O23" s="21" t="n"/>
      <c r="P23" s="21" t="n"/>
      <c r="Q23" s="21" t="n"/>
      <c r="R23" s="21" t="n"/>
      <c r="S23" s="21" t="n"/>
      <c r="T23" s="21" t="n"/>
    </row>
    <row r="24">
      <c r="A24" s="20" t="inlineStr">
        <is>
          <t>GAP-011</t>
        </is>
      </c>
      <c r="B24" s="21" t="n"/>
      <c r="C24" s="21" t="n"/>
      <c r="D24" s="21" t="n"/>
      <c r="E24" s="21" t="n"/>
      <c r="F24" s="21" t="n"/>
      <c r="G24" s="21" t="n"/>
      <c r="H24" s="21" t="n"/>
      <c r="I24" s="21" t="n"/>
      <c r="J24" s="21" t="n"/>
      <c r="K24" s="21" t="n"/>
      <c r="L24" s="22">
        <f>IF(OR(ISBLANK(J24),ISBLANK(K24)),"",IF(AND(J24="Critical",K24="Very High"),25,IF(AND(J24="Critical",K24="High"),20,IF(AND(J24="High",K24="Very High"),20,IF(AND(J24="High",K24="High"),16,IF(AND(J24="Critical",K24="Medium"),15,IF(AND(J24="Medium",K24="High"),12,IF(AND(J24="High",K24="Medium"),12,10))))))))</f>
        <v/>
      </c>
      <c r="M24" s="21" t="n"/>
      <c r="N24" s="21" t="n"/>
      <c r="O24" s="21" t="n"/>
      <c r="P24" s="21" t="n"/>
      <c r="Q24" s="21" t="n"/>
      <c r="R24" s="21" t="n"/>
      <c r="S24" s="21" t="n"/>
      <c r="T24" s="21" t="n"/>
    </row>
    <row r="25">
      <c r="A25" s="20" t="inlineStr">
        <is>
          <t>GAP-012</t>
        </is>
      </c>
      <c r="B25" s="21" t="n"/>
      <c r="C25" s="21" t="n"/>
      <c r="D25" s="21" t="n"/>
      <c r="E25" s="21" t="n"/>
      <c r="F25" s="21" t="n"/>
      <c r="G25" s="21" t="n"/>
      <c r="H25" s="21" t="n"/>
      <c r="I25" s="21" t="n"/>
      <c r="J25" s="21" t="n"/>
      <c r="K25" s="21" t="n"/>
      <c r="L25" s="22">
        <f>IF(OR(ISBLANK(J25),ISBLANK(K25)),"",IF(AND(J25="Critical",K25="Very High"),25,IF(AND(J25="Critical",K25="High"),20,IF(AND(J25="High",K25="Very High"),20,IF(AND(J25="High",K25="High"),16,IF(AND(J25="Critical",K25="Medium"),15,IF(AND(J25="Medium",K25="High"),12,IF(AND(J25="High",K25="Medium"),12,10))))))))</f>
        <v/>
      </c>
      <c r="M25" s="21" t="n"/>
      <c r="N25" s="21" t="n"/>
      <c r="O25" s="21" t="n"/>
      <c r="P25" s="21" t="n"/>
      <c r="Q25" s="21" t="n"/>
      <c r="R25" s="21" t="n"/>
      <c r="S25" s="21" t="n"/>
      <c r="T25" s="21" t="n"/>
    </row>
    <row r="26">
      <c r="A26" s="20" t="inlineStr">
        <is>
          <t>GAP-013</t>
        </is>
      </c>
      <c r="B26" s="21" t="n"/>
      <c r="C26" s="21" t="n"/>
      <c r="D26" s="21" t="n"/>
      <c r="E26" s="21" t="n"/>
      <c r="F26" s="21" t="n"/>
      <c r="G26" s="21" t="n"/>
      <c r="H26" s="21" t="n"/>
      <c r="I26" s="21" t="n"/>
      <c r="J26" s="21" t="n"/>
      <c r="K26" s="21" t="n"/>
      <c r="L26" s="22">
        <f>IF(OR(ISBLANK(J26),ISBLANK(K26)),"",IF(AND(J26="Critical",K26="Very High"),25,IF(AND(J26="Critical",K26="High"),20,IF(AND(J26="High",K26="Very High"),20,IF(AND(J26="High",K26="High"),16,IF(AND(J26="Critical",K26="Medium"),15,IF(AND(J26="Medium",K26="High"),12,IF(AND(J26="High",K26="Medium"),12,10))))))))</f>
        <v/>
      </c>
      <c r="M26" s="21" t="n"/>
      <c r="N26" s="21" t="n"/>
      <c r="O26" s="21" t="n"/>
      <c r="P26" s="21" t="n"/>
      <c r="Q26" s="21" t="n"/>
      <c r="R26" s="21" t="n"/>
      <c r="S26" s="21" t="n"/>
      <c r="T26" s="21" t="n"/>
    </row>
    <row r="27">
      <c r="A27" s="20" t="inlineStr">
        <is>
          <t>GAP-014</t>
        </is>
      </c>
      <c r="B27" s="21" t="n"/>
      <c r="C27" s="21" t="n"/>
      <c r="D27" s="21" t="n"/>
      <c r="E27" s="21" t="n"/>
      <c r="F27" s="21" t="n"/>
      <c r="G27" s="21" t="n"/>
      <c r="H27" s="21" t="n"/>
      <c r="I27" s="21" t="n"/>
      <c r="J27" s="21" t="n"/>
      <c r="K27" s="21" t="n"/>
      <c r="L27" s="22">
        <f>IF(OR(ISBLANK(J27),ISBLANK(K27)),"",IF(AND(J27="Critical",K27="Very High"),25,IF(AND(J27="Critical",K27="High"),20,IF(AND(J27="High",K27="Very High"),20,IF(AND(J27="High",K27="High"),16,IF(AND(J27="Critical",K27="Medium"),15,IF(AND(J27="Medium",K27="High"),12,IF(AND(J27="High",K27="Medium"),12,10))))))))</f>
        <v/>
      </c>
      <c r="M27" s="21" t="n"/>
      <c r="N27" s="21" t="n"/>
      <c r="O27" s="21" t="n"/>
      <c r="P27" s="21" t="n"/>
      <c r="Q27" s="21" t="n"/>
      <c r="R27" s="21" t="n"/>
      <c r="S27" s="21" t="n"/>
      <c r="T27" s="21" t="n"/>
    </row>
    <row r="28">
      <c r="A28" s="20" t="inlineStr">
        <is>
          <t>GAP-015</t>
        </is>
      </c>
      <c r="B28" s="21" t="n"/>
      <c r="C28" s="21" t="n"/>
      <c r="D28" s="21" t="n"/>
      <c r="E28" s="21" t="n"/>
      <c r="F28" s="21" t="n"/>
      <c r="G28" s="21" t="n"/>
      <c r="H28" s="21" t="n"/>
      <c r="I28" s="21" t="n"/>
      <c r="J28" s="21" t="n"/>
      <c r="K28" s="21" t="n"/>
      <c r="L28" s="22">
        <f>IF(OR(ISBLANK(J28),ISBLANK(K28)),"",IF(AND(J28="Critical",K28="Very High"),25,IF(AND(J28="Critical",K28="High"),20,IF(AND(J28="High",K28="Very High"),20,IF(AND(J28="High",K28="High"),16,IF(AND(J28="Critical",K28="Medium"),15,IF(AND(J28="Medium",K28="High"),12,IF(AND(J28="High",K28="Medium"),12,10))))))))</f>
        <v/>
      </c>
      <c r="M28" s="21" t="n"/>
      <c r="N28" s="21" t="n"/>
      <c r="O28" s="21" t="n"/>
      <c r="P28" s="21" t="n"/>
      <c r="Q28" s="21" t="n"/>
      <c r="R28" s="21" t="n"/>
      <c r="S28" s="21" t="n"/>
      <c r="T28" s="21" t="n"/>
    </row>
    <row r="29">
      <c r="A29" s="20" t="inlineStr">
        <is>
          <t>GAP-016</t>
        </is>
      </c>
      <c r="B29" s="21" t="n"/>
      <c r="C29" s="21" t="n"/>
      <c r="D29" s="21" t="n"/>
      <c r="E29" s="21" t="n"/>
      <c r="F29" s="21" t="n"/>
      <c r="G29" s="21" t="n"/>
      <c r="H29" s="21" t="n"/>
      <c r="I29" s="21" t="n"/>
      <c r="J29" s="21" t="n"/>
      <c r="K29" s="21" t="n"/>
      <c r="L29" s="22">
        <f>IF(OR(ISBLANK(J29),ISBLANK(K29)),"",IF(AND(J29="Critical",K29="Very High"),25,IF(AND(J29="Critical",K29="High"),20,IF(AND(J29="High",K29="Very High"),20,IF(AND(J29="High",K29="High"),16,IF(AND(J29="Critical",K29="Medium"),15,IF(AND(J29="Medium",K29="High"),12,IF(AND(J29="High",K29="Medium"),12,10))))))))</f>
        <v/>
      </c>
      <c r="M29" s="21" t="n"/>
      <c r="N29" s="21" t="n"/>
      <c r="O29" s="21" t="n"/>
      <c r="P29" s="21" t="n"/>
      <c r="Q29" s="21" t="n"/>
      <c r="R29" s="21" t="n"/>
      <c r="S29" s="21" t="n"/>
      <c r="T29" s="21" t="n"/>
    </row>
    <row r="30">
      <c r="A30" s="20" t="inlineStr">
        <is>
          <t>GAP-017</t>
        </is>
      </c>
      <c r="B30" s="21" t="n"/>
      <c r="C30" s="21" t="n"/>
      <c r="D30" s="21" t="n"/>
      <c r="E30" s="21" t="n"/>
      <c r="F30" s="21" t="n"/>
      <c r="G30" s="21" t="n"/>
      <c r="H30" s="21" t="n"/>
      <c r="I30" s="21" t="n"/>
      <c r="J30" s="21" t="n"/>
      <c r="K30" s="21" t="n"/>
      <c r="L30" s="22">
        <f>IF(OR(ISBLANK(J30),ISBLANK(K30)),"",IF(AND(J30="Critical",K30="Very High"),25,IF(AND(J30="Critical",K30="High"),20,IF(AND(J30="High",K30="Very High"),20,IF(AND(J30="High",K30="High"),16,IF(AND(J30="Critical",K30="Medium"),15,IF(AND(J30="Medium",K30="High"),12,IF(AND(J30="High",K30="Medium"),12,10))))))))</f>
        <v/>
      </c>
      <c r="M30" s="21" t="n"/>
      <c r="N30" s="21" t="n"/>
      <c r="O30" s="21" t="n"/>
      <c r="P30" s="21" t="n"/>
      <c r="Q30" s="21" t="n"/>
      <c r="R30" s="21" t="n"/>
      <c r="S30" s="21" t="n"/>
      <c r="T30" s="21" t="n"/>
    </row>
    <row r="31">
      <c r="A31" s="20" t="inlineStr">
        <is>
          <t>GAP-018</t>
        </is>
      </c>
      <c r="B31" s="21" t="n"/>
      <c r="C31" s="21" t="n"/>
      <c r="D31" s="21" t="n"/>
      <c r="E31" s="21" t="n"/>
      <c r="F31" s="21" t="n"/>
      <c r="G31" s="21" t="n"/>
      <c r="H31" s="21" t="n"/>
      <c r="I31" s="21" t="n"/>
      <c r="J31" s="21" t="n"/>
      <c r="K31" s="21" t="n"/>
      <c r="L31" s="22">
        <f>IF(OR(ISBLANK(J31),ISBLANK(K31)),"",IF(AND(J31="Critical",K31="Very High"),25,IF(AND(J31="Critical",K31="High"),20,IF(AND(J31="High",K31="Very High"),20,IF(AND(J31="High",K31="High"),16,IF(AND(J31="Critical",K31="Medium"),15,IF(AND(J31="Medium",K31="High"),12,IF(AND(J31="High",K31="Medium"),12,10))))))))</f>
        <v/>
      </c>
      <c r="M31" s="21" t="n"/>
      <c r="N31" s="21" t="n"/>
      <c r="O31" s="21" t="n"/>
      <c r="P31" s="21" t="n"/>
      <c r="Q31" s="21" t="n"/>
      <c r="R31" s="21" t="n"/>
      <c r="S31" s="21" t="n"/>
      <c r="T31" s="21" t="n"/>
    </row>
    <row r="32">
      <c r="A32" s="20" t="inlineStr">
        <is>
          <t>GAP-019</t>
        </is>
      </c>
      <c r="B32" s="21" t="n"/>
      <c r="C32" s="21" t="n"/>
      <c r="D32" s="21" t="n"/>
      <c r="E32" s="21" t="n"/>
      <c r="F32" s="21" t="n"/>
      <c r="G32" s="21" t="n"/>
      <c r="H32" s="21" t="n"/>
      <c r="I32" s="21" t="n"/>
      <c r="J32" s="21" t="n"/>
      <c r="K32" s="21" t="n"/>
      <c r="L32" s="22">
        <f>IF(OR(ISBLANK(J32),ISBLANK(K32)),"",IF(AND(J32="Critical",K32="Very High"),25,IF(AND(J32="Critical",K32="High"),20,IF(AND(J32="High",K32="Very High"),20,IF(AND(J32="High",K32="High"),16,IF(AND(J32="Critical",K32="Medium"),15,IF(AND(J32="Medium",K32="High"),12,IF(AND(J32="High",K32="Medium"),12,10))))))))</f>
        <v/>
      </c>
      <c r="M32" s="21" t="n"/>
      <c r="N32" s="21" t="n"/>
      <c r="O32" s="21" t="n"/>
      <c r="P32" s="21" t="n"/>
      <c r="Q32" s="21" t="n"/>
      <c r="R32" s="21" t="n"/>
      <c r="S32" s="21" t="n"/>
      <c r="T32" s="21" t="n"/>
    </row>
    <row r="33">
      <c r="A33" s="20" t="inlineStr">
        <is>
          <t>GAP-020</t>
        </is>
      </c>
      <c r="B33" s="21" t="n"/>
      <c r="C33" s="21" t="n"/>
      <c r="D33" s="21" t="n"/>
      <c r="E33" s="21" t="n"/>
      <c r="F33" s="21" t="n"/>
      <c r="G33" s="21" t="n"/>
      <c r="H33" s="21" t="n"/>
      <c r="I33" s="21" t="n"/>
      <c r="J33" s="21" t="n"/>
      <c r="K33" s="21" t="n"/>
      <c r="L33" s="22">
        <f>IF(OR(ISBLANK(J33),ISBLANK(K33)),"",IF(AND(J33="Critical",K33="Very High"),25,IF(AND(J33="Critical",K33="High"),20,IF(AND(J33="High",K33="Very High"),20,IF(AND(J33="High",K33="High"),16,IF(AND(J33="Critical",K33="Medium"),15,IF(AND(J33="Medium",K33="High"),12,IF(AND(J33="High",K33="Medium"),12,10))))))))</f>
        <v/>
      </c>
      <c r="M33" s="21" t="n"/>
      <c r="N33" s="21" t="n"/>
      <c r="O33" s="21" t="n"/>
      <c r="P33" s="21" t="n"/>
      <c r="Q33" s="21" t="n"/>
      <c r="R33" s="21" t="n"/>
      <c r="S33" s="21" t="n"/>
      <c r="T33" s="21" t="n"/>
    </row>
    <row r="34">
      <c r="A34" s="20" t="inlineStr">
        <is>
          <t>GAP-021</t>
        </is>
      </c>
      <c r="B34" s="21" t="n"/>
      <c r="C34" s="21" t="n"/>
      <c r="D34" s="21" t="n"/>
      <c r="E34" s="21" t="n"/>
      <c r="F34" s="21" t="n"/>
      <c r="G34" s="21" t="n"/>
      <c r="H34" s="21" t="n"/>
      <c r="I34" s="21" t="n"/>
      <c r="J34" s="21" t="n"/>
      <c r="K34" s="21" t="n"/>
      <c r="L34" s="22">
        <f>IF(OR(ISBLANK(J34),ISBLANK(K34)),"",IF(AND(J34="Critical",K34="Very High"),25,IF(AND(J34="Critical",K34="High"),20,IF(AND(J34="High",K34="Very High"),20,IF(AND(J34="High",K34="High"),16,IF(AND(J34="Critical",K34="Medium"),15,IF(AND(J34="Medium",K34="High"),12,IF(AND(J34="High",K34="Medium"),12,10))))))))</f>
        <v/>
      </c>
      <c r="M34" s="21" t="n"/>
      <c r="N34" s="21" t="n"/>
      <c r="O34" s="21" t="n"/>
      <c r="P34" s="21" t="n"/>
      <c r="Q34" s="21" t="n"/>
      <c r="R34" s="21" t="n"/>
      <c r="S34" s="21" t="n"/>
      <c r="T34" s="21" t="n"/>
    </row>
    <row r="35">
      <c r="A35" s="20" t="inlineStr">
        <is>
          <t>GAP-022</t>
        </is>
      </c>
      <c r="B35" s="21" t="n"/>
      <c r="C35" s="21" t="n"/>
      <c r="D35" s="21" t="n"/>
      <c r="E35" s="21" t="n"/>
      <c r="F35" s="21" t="n"/>
      <c r="G35" s="21" t="n"/>
      <c r="H35" s="21" t="n"/>
      <c r="I35" s="21" t="n"/>
      <c r="J35" s="21" t="n"/>
      <c r="K35" s="21" t="n"/>
      <c r="L35" s="22">
        <f>IF(OR(ISBLANK(J35),ISBLANK(K35)),"",IF(AND(J35="Critical",K35="Very High"),25,IF(AND(J35="Critical",K35="High"),20,IF(AND(J35="High",K35="Very High"),20,IF(AND(J35="High",K35="High"),16,IF(AND(J35="Critical",K35="Medium"),15,IF(AND(J35="Medium",K35="High"),12,IF(AND(J35="High",K35="Medium"),12,10))))))))</f>
        <v/>
      </c>
      <c r="M35" s="21" t="n"/>
      <c r="N35" s="21" t="n"/>
      <c r="O35" s="21" t="n"/>
      <c r="P35" s="21" t="n"/>
      <c r="Q35" s="21" t="n"/>
      <c r="R35" s="21" t="n"/>
      <c r="S35" s="21" t="n"/>
      <c r="T35" s="21" t="n"/>
    </row>
    <row r="36">
      <c r="A36" s="20" t="inlineStr">
        <is>
          <t>GAP-023</t>
        </is>
      </c>
      <c r="B36" s="21" t="n"/>
      <c r="C36" s="21" t="n"/>
      <c r="D36" s="21" t="n"/>
      <c r="E36" s="21" t="n"/>
      <c r="F36" s="21" t="n"/>
      <c r="G36" s="21" t="n"/>
      <c r="H36" s="21" t="n"/>
      <c r="I36" s="21" t="n"/>
      <c r="J36" s="21" t="n"/>
      <c r="K36" s="21" t="n"/>
      <c r="L36" s="22">
        <f>IF(OR(ISBLANK(J36),ISBLANK(K36)),"",IF(AND(J36="Critical",K36="Very High"),25,IF(AND(J36="Critical",K36="High"),20,IF(AND(J36="High",K36="Very High"),20,IF(AND(J36="High",K36="High"),16,IF(AND(J36="Critical",K36="Medium"),15,IF(AND(J36="Medium",K36="High"),12,IF(AND(J36="High",K36="Medium"),12,10))))))))</f>
        <v/>
      </c>
      <c r="M36" s="21" t="n"/>
      <c r="N36" s="21" t="n"/>
      <c r="O36" s="21" t="n"/>
      <c r="P36" s="21" t="n"/>
      <c r="Q36" s="21" t="n"/>
      <c r="R36" s="21" t="n"/>
      <c r="S36" s="21" t="n"/>
      <c r="T36" s="21" t="n"/>
    </row>
    <row r="37">
      <c r="A37" s="20" t="inlineStr">
        <is>
          <t>GAP-024</t>
        </is>
      </c>
      <c r="B37" s="21" t="n"/>
      <c r="C37" s="21" t="n"/>
      <c r="D37" s="21" t="n"/>
      <c r="E37" s="21" t="n"/>
      <c r="F37" s="21" t="n"/>
      <c r="G37" s="21" t="n"/>
      <c r="H37" s="21" t="n"/>
      <c r="I37" s="21" t="n"/>
      <c r="J37" s="21" t="n"/>
      <c r="K37" s="21" t="n"/>
      <c r="L37" s="22">
        <f>IF(OR(ISBLANK(J37),ISBLANK(K37)),"",IF(AND(J37="Critical",K37="Very High"),25,IF(AND(J37="Critical",K37="High"),20,IF(AND(J37="High",K37="Very High"),20,IF(AND(J37="High",K37="High"),16,IF(AND(J37="Critical",K37="Medium"),15,IF(AND(J37="Medium",K37="High"),12,IF(AND(J37="High",K37="Medium"),12,10))))))))</f>
        <v/>
      </c>
      <c r="M37" s="21" t="n"/>
      <c r="N37" s="21" t="n"/>
      <c r="O37" s="21" t="n"/>
      <c r="P37" s="21" t="n"/>
      <c r="Q37" s="21" t="n"/>
      <c r="R37" s="21" t="n"/>
      <c r="S37" s="21" t="n"/>
      <c r="T37" s="21" t="n"/>
    </row>
    <row r="38">
      <c r="A38" s="20" t="inlineStr">
        <is>
          <t>GAP-025</t>
        </is>
      </c>
      <c r="B38" s="21" t="n"/>
      <c r="C38" s="21" t="n"/>
      <c r="D38" s="21" t="n"/>
      <c r="E38" s="21" t="n"/>
      <c r="F38" s="21" t="n"/>
      <c r="G38" s="21" t="n"/>
      <c r="H38" s="21" t="n"/>
      <c r="I38" s="21" t="n"/>
      <c r="J38" s="21" t="n"/>
      <c r="K38" s="21" t="n"/>
      <c r="L38" s="22">
        <f>IF(OR(ISBLANK(J38),ISBLANK(K38)),"",IF(AND(J38="Critical",K38="Very High"),25,IF(AND(J38="Critical",K38="High"),20,IF(AND(J38="High",K38="Very High"),20,IF(AND(J38="High",K38="High"),16,IF(AND(J38="Critical",K38="Medium"),15,IF(AND(J38="Medium",K38="High"),12,IF(AND(J38="High",K38="Medium"),12,10))))))))</f>
        <v/>
      </c>
      <c r="M38" s="21" t="n"/>
      <c r="N38" s="21" t="n"/>
      <c r="O38" s="21" t="n"/>
      <c r="P38" s="21" t="n"/>
      <c r="Q38" s="21" t="n"/>
      <c r="R38" s="21" t="n"/>
      <c r="S38" s="21" t="n"/>
      <c r="T38" s="21" t="n"/>
    </row>
    <row r="39">
      <c r="A39" s="20" t="inlineStr">
        <is>
          <t>GAP-026</t>
        </is>
      </c>
      <c r="B39" s="21" t="n"/>
      <c r="C39" s="21" t="n"/>
      <c r="D39" s="21" t="n"/>
      <c r="E39" s="21" t="n"/>
      <c r="F39" s="21" t="n"/>
      <c r="G39" s="21" t="n"/>
      <c r="H39" s="21" t="n"/>
      <c r="I39" s="21" t="n"/>
      <c r="J39" s="21" t="n"/>
      <c r="K39" s="21" t="n"/>
      <c r="L39" s="22">
        <f>IF(OR(ISBLANK(J39),ISBLANK(K39)),"",IF(AND(J39="Critical",K39="Very High"),25,IF(AND(J39="Critical",K39="High"),20,IF(AND(J39="High",K39="Very High"),20,IF(AND(J39="High",K39="High"),16,IF(AND(J39="Critical",K39="Medium"),15,IF(AND(J39="Medium",K39="High"),12,IF(AND(J39="High",K39="Medium"),12,10))))))))</f>
        <v/>
      </c>
      <c r="M39" s="21" t="n"/>
      <c r="N39" s="21" t="n"/>
      <c r="O39" s="21" t="n"/>
      <c r="P39" s="21" t="n"/>
      <c r="Q39" s="21" t="n"/>
      <c r="R39" s="21" t="n"/>
      <c r="S39" s="21" t="n"/>
      <c r="T39" s="21" t="n"/>
    </row>
    <row r="40">
      <c r="A40" s="20" t="inlineStr">
        <is>
          <t>GAP-027</t>
        </is>
      </c>
      <c r="B40" s="21" t="n"/>
      <c r="C40" s="21" t="n"/>
      <c r="D40" s="21" t="n"/>
      <c r="E40" s="21" t="n"/>
      <c r="F40" s="21" t="n"/>
      <c r="G40" s="21" t="n"/>
      <c r="H40" s="21" t="n"/>
      <c r="I40" s="21" t="n"/>
      <c r="J40" s="21" t="n"/>
      <c r="K40" s="21" t="n"/>
      <c r="L40" s="22">
        <f>IF(OR(ISBLANK(J40),ISBLANK(K40)),"",IF(AND(J40="Critical",K40="Very High"),25,IF(AND(J40="Critical",K40="High"),20,IF(AND(J40="High",K40="Very High"),20,IF(AND(J40="High",K40="High"),16,IF(AND(J40="Critical",K40="Medium"),15,IF(AND(J40="Medium",K40="High"),12,IF(AND(J40="High",K40="Medium"),12,10))))))))</f>
        <v/>
      </c>
      <c r="M40" s="21" t="n"/>
      <c r="N40" s="21" t="n"/>
      <c r="O40" s="21" t="n"/>
      <c r="P40" s="21" t="n"/>
      <c r="Q40" s="21" t="n"/>
      <c r="R40" s="21" t="n"/>
      <c r="S40" s="21" t="n"/>
      <c r="T40" s="21" t="n"/>
    </row>
    <row r="41">
      <c r="A41" s="20" t="inlineStr">
        <is>
          <t>GAP-028</t>
        </is>
      </c>
      <c r="B41" s="21" t="n"/>
      <c r="C41" s="21" t="n"/>
      <c r="D41" s="21" t="n"/>
      <c r="E41" s="21" t="n"/>
      <c r="F41" s="21" t="n"/>
      <c r="G41" s="21" t="n"/>
      <c r="H41" s="21" t="n"/>
      <c r="I41" s="21" t="n"/>
      <c r="J41" s="21" t="n"/>
      <c r="K41" s="21" t="n"/>
      <c r="L41" s="22">
        <f>IF(OR(ISBLANK(J41),ISBLANK(K41)),"",IF(AND(J41="Critical",K41="Very High"),25,IF(AND(J41="Critical",K41="High"),20,IF(AND(J41="High",K41="Very High"),20,IF(AND(J41="High",K41="High"),16,IF(AND(J41="Critical",K41="Medium"),15,IF(AND(J41="Medium",K41="High"),12,IF(AND(J41="High",K41="Medium"),12,10))))))))</f>
        <v/>
      </c>
      <c r="M41" s="21" t="n"/>
      <c r="N41" s="21" t="n"/>
      <c r="O41" s="21" t="n"/>
      <c r="P41" s="21" t="n"/>
      <c r="Q41" s="21" t="n"/>
      <c r="R41" s="21" t="n"/>
      <c r="S41" s="21" t="n"/>
      <c r="T41" s="21" t="n"/>
    </row>
    <row r="42">
      <c r="A42" s="20" t="inlineStr">
        <is>
          <t>GAP-029</t>
        </is>
      </c>
      <c r="B42" s="21" t="n"/>
      <c r="C42" s="21" t="n"/>
      <c r="D42" s="21" t="n"/>
      <c r="E42" s="21" t="n"/>
      <c r="F42" s="21" t="n"/>
      <c r="G42" s="21" t="n"/>
      <c r="H42" s="21" t="n"/>
      <c r="I42" s="21" t="n"/>
      <c r="J42" s="21" t="n"/>
      <c r="K42" s="21" t="n"/>
      <c r="L42" s="22">
        <f>IF(OR(ISBLANK(J42),ISBLANK(K42)),"",IF(AND(J42="Critical",K42="Very High"),25,IF(AND(J42="Critical",K42="High"),20,IF(AND(J42="High",K42="Very High"),20,IF(AND(J42="High",K42="High"),16,IF(AND(J42="Critical",K42="Medium"),15,IF(AND(J42="Medium",K42="High"),12,IF(AND(J42="High",K42="Medium"),12,10))))))))</f>
        <v/>
      </c>
      <c r="M42" s="21" t="n"/>
      <c r="N42" s="21" t="n"/>
      <c r="O42" s="21" t="n"/>
      <c r="P42" s="21" t="n"/>
      <c r="Q42" s="21" t="n"/>
      <c r="R42" s="21" t="n"/>
      <c r="S42" s="21" t="n"/>
      <c r="T42" s="21" t="n"/>
    </row>
    <row r="43">
      <c r="A43" s="20" t="inlineStr">
        <is>
          <t>GAP-030</t>
        </is>
      </c>
      <c r="B43" s="21" t="n"/>
      <c r="C43" s="21" t="n"/>
      <c r="D43" s="21" t="n"/>
      <c r="E43" s="21" t="n"/>
      <c r="F43" s="21" t="n"/>
      <c r="G43" s="21" t="n"/>
      <c r="H43" s="21" t="n"/>
      <c r="I43" s="21" t="n"/>
      <c r="J43" s="21" t="n"/>
      <c r="K43" s="21" t="n"/>
      <c r="L43" s="22">
        <f>IF(OR(ISBLANK(J43),ISBLANK(K43)),"",IF(AND(J43="Critical",K43="Very High"),25,IF(AND(J43="Critical",K43="High"),20,IF(AND(J43="High",K43="Very High"),20,IF(AND(J43="High",K43="High"),16,IF(AND(J43="Critical",K43="Medium"),15,IF(AND(J43="Medium",K43="High"),12,IF(AND(J43="High",K43="Medium"),12,10))))))))</f>
        <v/>
      </c>
      <c r="M43" s="21" t="n"/>
      <c r="N43" s="21" t="n"/>
      <c r="O43" s="21" t="n"/>
      <c r="P43" s="21" t="n"/>
      <c r="Q43" s="21" t="n"/>
      <c r="R43" s="21" t="n"/>
      <c r="S43" s="21" t="n"/>
      <c r="T43" s="21" t="n"/>
    </row>
    <row r="44">
      <c r="A44" s="20" t="inlineStr">
        <is>
          <t>GAP-031</t>
        </is>
      </c>
      <c r="B44" s="21" t="n"/>
      <c r="C44" s="21" t="n"/>
      <c r="D44" s="21" t="n"/>
      <c r="E44" s="21" t="n"/>
      <c r="F44" s="21" t="n"/>
      <c r="G44" s="21" t="n"/>
      <c r="H44" s="21" t="n"/>
      <c r="I44" s="21" t="n"/>
      <c r="J44" s="21" t="n"/>
      <c r="K44" s="21" t="n"/>
      <c r="L44" s="22">
        <f>IF(OR(ISBLANK(J44),ISBLANK(K44)),"",IF(AND(J44="Critical",K44="Very High"),25,IF(AND(J44="Critical",K44="High"),20,IF(AND(J44="High",K44="Very High"),20,IF(AND(J44="High",K44="High"),16,IF(AND(J44="Critical",K44="Medium"),15,IF(AND(J44="Medium",K44="High"),12,IF(AND(J44="High",K44="Medium"),12,10))))))))</f>
        <v/>
      </c>
      <c r="M44" s="21" t="n"/>
      <c r="N44" s="21" t="n"/>
      <c r="O44" s="21" t="n"/>
      <c r="P44" s="21" t="n"/>
      <c r="Q44" s="21" t="n"/>
      <c r="R44" s="21" t="n"/>
      <c r="S44" s="21" t="n"/>
      <c r="T44" s="21" t="n"/>
    </row>
    <row r="45">
      <c r="A45" s="20" t="inlineStr">
        <is>
          <t>GAP-032</t>
        </is>
      </c>
      <c r="B45" s="21" t="n"/>
      <c r="C45" s="21" t="n"/>
      <c r="D45" s="21" t="n"/>
      <c r="E45" s="21" t="n"/>
      <c r="F45" s="21" t="n"/>
      <c r="G45" s="21" t="n"/>
      <c r="H45" s="21" t="n"/>
      <c r="I45" s="21" t="n"/>
      <c r="J45" s="21" t="n"/>
      <c r="K45" s="21" t="n"/>
      <c r="L45" s="22">
        <f>IF(OR(ISBLANK(J45),ISBLANK(K45)),"",IF(AND(J45="Critical",K45="Very High"),25,IF(AND(J45="Critical",K45="High"),20,IF(AND(J45="High",K45="Very High"),20,IF(AND(J45="High",K45="High"),16,IF(AND(J45="Critical",K45="Medium"),15,IF(AND(J45="Medium",K45="High"),12,IF(AND(J45="High",K45="Medium"),12,10))))))))</f>
        <v/>
      </c>
      <c r="M45" s="21" t="n"/>
      <c r="N45" s="21" t="n"/>
      <c r="O45" s="21" t="n"/>
      <c r="P45" s="21" t="n"/>
      <c r="Q45" s="21" t="n"/>
      <c r="R45" s="21" t="n"/>
      <c r="S45" s="21" t="n"/>
      <c r="T45" s="21" t="n"/>
    </row>
    <row r="46">
      <c r="A46" s="20" t="inlineStr">
        <is>
          <t>GAP-033</t>
        </is>
      </c>
      <c r="B46" s="21" t="n"/>
      <c r="C46" s="21" t="n"/>
      <c r="D46" s="21" t="n"/>
      <c r="E46" s="21" t="n"/>
      <c r="F46" s="21" t="n"/>
      <c r="G46" s="21" t="n"/>
      <c r="H46" s="21" t="n"/>
      <c r="I46" s="21" t="n"/>
      <c r="J46" s="21" t="n"/>
      <c r="K46" s="21" t="n"/>
      <c r="L46" s="22">
        <f>IF(OR(ISBLANK(J46),ISBLANK(K46)),"",IF(AND(J46="Critical",K46="Very High"),25,IF(AND(J46="Critical",K46="High"),20,IF(AND(J46="High",K46="Very High"),20,IF(AND(J46="High",K46="High"),16,IF(AND(J46="Critical",K46="Medium"),15,IF(AND(J46="Medium",K46="High"),12,IF(AND(J46="High",K46="Medium"),12,10))))))))</f>
        <v/>
      </c>
      <c r="M46" s="21" t="n"/>
      <c r="N46" s="21" t="n"/>
      <c r="O46" s="21" t="n"/>
      <c r="P46" s="21" t="n"/>
      <c r="Q46" s="21" t="n"/>
      <c r="R46" s="21" t="n"/>
      <c r="S46" s="21" t="n"/>
      <c r="T46" s="21" t="n"/>
    </row>
    <row r="47">
      <c r="A47" s="20" t="inlineStr">
        <is>
          <t>GAP-034</t>
        </is>
      </c>
      <c r="B47" s="21" t="n"/>
      <c r="C47" s="21" t="n"/>
      <c r="D47" s="21" t="n"/>
      <c r="E47" s="21" t="n"/>
      <c r="F47" s="21" t="n"/>
      <c r="G47" s="21" t="n"/>
      <c r="H47" s="21" t="n"/>
      <c r="I47" s="21" t="n"/>
      <c r="J47" s="21" t="n"/>
      <c r="K47" s="21" t="n"/>
      <c r="L47" s="22">
        <f>IF(OR(ISBLANK(J47),ISBLANK(K47)),"",IF(AND(J47="Critical",K47="Very High"),25,IF(AND(J47="Critical",K47="High"),20,IF(AND(J47="High",K47="Very High"),20,IF(AND(J47="High",K47="High"),16,IF(AND(J47="Critical",K47="Medium"),15,IF(AND(J47="Medium",K47="High"),12,IF(AND(J47="High",K47="Medium"),12,10))))))))</f>
        <v/>
      </c>
      <c r="M47" s="21" t="n"/>
      <c r="N47" s="21" t="n"/>
      <c r="O47" s="21" t="n"/>
      <c r="P47" s="21" t="n"/>
      <c r="Q47" s="21" t="n"/>
      <c r="R47" s="21" t="n"/>
      <c r="S47" s="21" t="n"/>
      <c r="T47" s="21" t="n"/>
    </row>
    <row r="48">
      <c r="A48" s="20" t="inlineStr">
        <is>
          <t>GAP-035</t>
        </is>
      </c>
      <c r="B48" s="21" t="n"/>
      <c r="C48" s="21" t="n"/>
      <c r="D48" s="21" t="n"/>
      <c r="E48" s="21" t="n"/>
      <c r="F48" s="21" t="n"/>
      <c r="G48" s="21" t="n"/>
      <c r="H48" s="21" t="n"/>
      <c r="I48" s="21" t="n"/>
      <c r="J48" s="21" t="n"/>
      <c r="K48" s="21" t="n"/>
      <c r="L48" s="22">
        <f>IF(OR(ISBLANK(J48),ISBLANK(K48)),"",IF(AND(J48="Critical",K48="Very High"),25,IF(AND(J48="Critical",K48="High"),20,IF(AND(J48="High",K48="Very High"),20,IF(AND(J48="High",K48="High"),16,IF(AND(J48="Critical",K48="Medium"),15,IF(AND(J48="Medium",K48="High"),12,IF(AND(J48="High",K48="Medium"),12,10))))))))</f>
        <v/>
      </c>
      <c r="M48" s="21" t="n"/>
      <c r="N48" s="21" t="n"/>
      <c r="O48" s="21" t="n"/>
      <c r="P48" s="21" t="n"/>
      <c r="Q48" s="21" t="n"/>
      <c r="R48" s="21" t="n"/>
      <c r="S48" s="21" t="n"/>
      <c r="T48" s="21" t="n"/>
    </row>
    <row r="49">
      <c r="A49" s="20" t="inlineStr">
        <is>
          <t>GAP-036</t>
        </is>
      </c>
      <c r="B49" s="21" t="n"/>
      <c r="C49" s="21" t="n"/>
      <c r="D49" s="21" t="n"/>
      <c r="E49" s="21" t="n"/>
      <c r="F49" s="21" t="n"/>
      <c r="G49" s="21" t="n"/>
      <c r="H49" s="21" t="n"/>
      <c r="I49" s="21" t="n"/>
      <c r="J49" s="21" t="n"/>
      <c r="K49" s="21" t="n"/>
      <c r="L49" s="22">
        <f>IF(OR(ISBLANK(J49),ISBLANK(K49)),"",IF(AND(J49="Critical",K49="Very High"),25,IF(AND(J49="Critical",K49="High"),20,IF(AND(J49="High",K49="Very High"),20,IF(AND(J49="High",K49="High"),16,IF(AND(J49="Critical",K49="Medium"),15,IF(AND(J49="Medium",K49="High"),12,IF(AND(J49="High",K49="Medium"),12,10))))))))</f>
        <v/>
      </c>
      <c r="M49" s="21" t="n"/>
      <c r="N49" s="21" t="n"/>
      <c r="O49" s="21" t="n"/>
      <c r="P49" s="21" t="n"/>
      <c r="Q49" s="21" t="n"/>
      <c r="R49" s="21" t="n"/>
      <c r="S49" s="21" t="n"/>
      <c r="T49" s="21" t="n"/>
    </row>
    <row r="50">
      <c r="A50" s="20" t="inlineStr">
        <is>
          <t>GAP-037</t>
        </is>
      </c>
      <c r="B50" s="21" t="n"/>
      <c r="C50" s="21" t="n"/>
      <c r="D50" s="21" t="n"/>
      <c r="E50" s="21" t="n"/>
      <c r="F50" s="21" t="n"/>
      <c r="G50" s="21" t="n"/>
      <c r="H50" s="21" t="n"/>
      <c r="I50" s="21" t="n"/>
      <c r="J50" s="21" t="n"/>
      <c r="K50" s="21" t="n"/>
      <c r="L50" s="22">
        <f>IF(OR(ISBLANK(J50),ISBLANK(K50)),"",IF(AND(J50="Critical",K50="Very High"),25,IF(AND(J50="Critical",K50="High"),20,IF(AND(J50="High",K50="Very High"),20,IF(AND(J50="High",K50="High"),16,IF(AND(J50="Critical",K50="Medium"),15,IF(AND(J50="Medium",K50="High"),12,IF(AND(J50="High",K50="Medium"),12,10))))))))</f>
        <v/>
      </c>
      <c r="M50" s="21" t="n"/>
      <c r="N50" s="21" t="n"/>
      <c r="O50" s="21" t="n"/>
      <c r="P50" s="21" t="n"/>
      <c r="Q50" s="21" t="n"/>
      <c r="R50" s="21" t="n"/>
      <c r="S50" s="21" t="n"/>
      <c r="T50" s="21" t="n"/>
    </row>
    <row r="51">
      <c r="A51" s="20" t="inlineStr">
        <is>
          <t>GAP-038</t>
        </is>
      </c>
      <c r="B51" s="21" t="n"/>
      <c r="C51" s="21" t="n"/>
      <c r="D51" s="21" t="n"/>
      <c r="E51" s="21" t="n"/>
      <c r="F51" s="21" t="n"/>
      <c r="G51" s="21" t="n"/>
      <c r="H51" s="21" t="n"/>
      <c r="I51" s="21" t="n"/>
      <c r="J51" s="21" t="n"/>
      <c r="K51" s="21" t="n"/>
      <c r="L51" s="22">
        <f>IF(OR(ISBLANK(J51),ISBLANK(K51)),"",IF(AND(J51="Critical",K51="Very High"),25,IF(AND(J51="Critical",K51="High"),20,IF(AND(J51="High",K51="Very High"),20,IF(AND(J51="High",K51="High"),16,IF(AND(J51="Critical",K51="Medium"),15,IF(AND(J51="Medium",K51="High"),12,IF(AND(J51="High",K51="Medium"),12,10))))))))</f>
        <v/>
      </c>
      <c r="M51" s="21" t="n"/>
      <c r="N51" s="21" t="n"/>
      <c r="O51" s="21" t="n"/>
      <c r="P51" s="21" t="n"/>
      <c r="Q51" s="21" t="n"/>
      <c r="R51" s="21" t="n"/>
      <c r="S51" s="21" t="n"/>
      <c r="T51" s="21" t="n"/>
    </row>
    <row r="52">
      <c r="A52" s="20" t="inlineStr">
        <is>
          <t>GAP-039</t>
        </is>
      </c>
      <c r="B52" s="21" t="n"/>
      <c r="C52" s="21" t="n"/>
      <c r="D52" s="21" t="n"/>
      <c r="E52" s="21" t="n"/>
      <c r="F52" s="21" t="n"/>
      <c r="G52" s="21" t="n"/>
      <c r="H52" s="21" t="n"/>
      <c r="I52" s="21" t="n"/>
      <c r="J52" s="21" t="n"/>
      <c r="K52" s="21" t="n"/>
      <c r="L52" s="22">
        <f>IF(OR(ISBLANK(J52),ISBLANK(K52)),"",IF(AND(J52="Critical",K52="Very High"),25,IF(AND(J52="Critical",K52="High"),20,IF(AND(J52="High",K52="Very High"),20,IF(AND(J52="High",K52="High"),16,IF(AND(J52="Critical",K52="Medium"),15,IF(AND(J52="Medium",K52="High"),12,IF(AND(J52="High",K52="Medium"),12,10))))))))</f>
        <v/>
      </c>
      <c r="M52" s="21" t="n"/>
      <c r="N52" s="21" t="n"/>
      <c r="O52" s="21" t="n"/>
      <c r="P52" s="21" t="n"/>
      <c r="Q52" s="21" t="n"/>
      <c r="R52" s="21" t="n"/>
      <c r="S52" s="21" t="n"/>
      <c r="T52" s="21" t="n"/>
    </row>
    <row r="53">
      <c r="A53" s="20" t="inlineStr">
        <is>
          <t>GAP-040</t>
        </is>
      </c>
      <c r="B53" s="21" t="n"/>
      <c r="C53" s="21" t="n"/>
      <c r="D53" s="21" t="n"/>
      <c r="E53" s="21" t="n"/>
      <c r="F53" s="21" t="n"/>
      <c r="G53" s="21" t="n"/>
      <c r="H53" s="21" t="n"/>
      <c r="I53" s="21" t="n"/>
      <c r="J53" s="21" t="n"/>
      <c r="K53" s="21" t="n"/>
      <c r="L53" s="22">
        <f>IF(OR(ISBLANK(J53),ISBLANK(K53)),"",IF(AND(J53="Critical",K53="Very High"),25,IF(AND(J53="Critical",K53="High"),20,IF(AND(J53="High",K53="Very High"),20,IF(AND(J53="High",K53="High"),16,IF(AND(J53="Critical",K53="Medium"),15,IF(AND(J53="Medium",K53="High"),12,IF(AND(J53="High",K53="Medium"),12,10))))))))</f>
        <v/>
      </c>
      <c r="M53" s="21" t="n"/>
      <c r="N53" s="21" t="n"/>
      <c r="O53" s="21" t="n"/>
      <c r="P53" s="21" t="n"/>
      <c r="Q53" s="21" t="n"/>
      <c r="R53" s="21" t="n"/>
      <c r="S53" s="21" t="n"/>
      <c r="T53" s="21" t="n"/>
    </row>
    <row r="54">
      <c r="A54" s="20" t="inlineStr">
        <is>
          <t>GAP-041</t>
        </is>
      </c>
      <c r="B54" s="21" t="n"/>
      <c r="C54" s="21" t="n"/>
      <c r="D54" s="21" t="n"/>
      <c r="E54" s="21" t="n"/>
      <c r="F54" s="21" t="n"/>
      <c r="G54" s="21" t="n"/>
      <c r="H54" s="21" t="n"/>
      <c r="I54" s="21" t="n"/>
      <c r="J54" s="21" t="n"/>
      <c r="K54" s="21" t="n"/>
      <c r="L54" s="22">
        <f>IF(OR(ISBLANK(J54),ISBLANK(K54)),"",IF(AND(J54="Critical",K54="Very High"),25,IF(AND(J54="Critical",K54="High"),20,IF(AND(J54="High",K54="Very High"),20,IF(AND(J54="High",K54="High"),16,IF(AND(J54="Critical",K54="Medium"),15,IF(AND(J54="Medium",K54="High"),12,IF(AND(J54="High",K54="Medium"),12,10))))))))</f>
        <v/>
      </c>
      <c r="M54" s="21" t="n"/>
      <c r="N54" s="21" t="n"/>
      <c r="O54" s="21" t="n"/>
      <c r="P54" s="21" t="n"/>
      <c r="Q54" s="21" t="n"/>
      <c r="R54" s="21" t="n"/>
      <c r="S54" s="21" t="n"/>
      <c r="T54" s="21" t="n"/>
    </row>
    <row r="55">
      <c r="A55" s="20" t="inlineStr">
        <is>
          <t>GAP-042</t>
        </is>
      </c>
      <c r="B55" s="21" t="n"/>
      <c r="C55" s="21" t="n"/>
      <c r="D55" s="21" t="n"/>
      <c r="E55" s="21" t="n"/>
      <c r="F55" s="21" t="n"/>
      <c r="G55" s="21" t="n"/>
      <c r="H55" s="21" t="n"/>
      <c r="I55" s="21" t="n"/>
      <c r="J55" s="21" t="n"/>
      <c r="K55" s="21" t="n"/>
      <c r="L55" s="22">
        <f>IF(OR(ISBLANK(J55),ISBLANK(K55)),"",IF(AND(J55="Critical",K55="Very High"),25,IF(AND(J55="Critical",K55="High"),20,IF(AND(J55="High",K55="Very High"),20,IF(AND(J55="High",K55="High"),16,IF(AND(J55="Critical",K55="Medium"),15,IF(AND(J55="Medium",K55="High"),12,IF(AND(J55="High",K55="Medium"),12,10))))))))</f>
        <v/>
      </c>
      <c r="M55" s="21" t="n"/>
      <c r="N55" s="21" t="n"/>
      <c r="O55" s="21" t="n"/>
      <c r="P55" s="21" t="n"/>
      <c r="Q55" s="21" t="n"/>
      <c r="R55" s="21" t="n"/>
      <c r="S55" s="21" t="n"/>
      <c r="T55" s="21" t="n"/>
    </row>
    <row r="56">
      <c r="A56" s="20" t="inlineStr">
        <is>
          <t>GAP-043</t>
        </is>
      </c>
      <c r="B56" s="21" t="n"/>
      <c r="C56" s="21" t="n"/>
      <c r="D56" s="21" t="n"/>
      <c r="E56" s="21" t="n"/>
      <c r="F56" s="21" t="n"/>
      <c r="G56" s="21" t="n"/>
      <c r="H56" s="21" t="n"/>
      <c r="I56" s="21" t="n"/>
      <c r="J56" s="21" t="n"/>
      <c r="K56" s="21" t="n"/>
      <c r="L56" s="22">
        <f>IF(OR(ISBLANK(J56),ISBLANK(K56)),"",IF(AND(J56="Critical",K56="Very High"),25,IF(AND(J56="Critical",K56="High"),20,IF(AND(J56="High",K56="Very High"),20,IF(AND(J56="High",K56="High"),16,IF(AND(J56="Critical",K56="Medium"),15,IF(AND(J56="Medium",K56="High"),12,IF(AND(J56="High",K56="Medium"),12,10))))))))</f>
        <v/>
      </c>
      <c r="M56" s="21" t="n"/>
      <c r="N56" s="21" t="n"/>
      <c r="O56" s="21" t="n"/>
      <c r="P56" s="21" t="n"/>
      <c r="Q56" s="21" t="n"/>
      <c r="R56" s="21" t="n"/>
      <c r="S56" s="21" t="n"/>
      <c r="T56" s="21" t="n"/>
    </row>
    <row r="57">
      <c r="A57" s="20" t="inlineStr">
        <is>
          <t>GAP-044</t>
        </is>
      </c>
      <c r="B57" s="21" t="n"/>
      <c r="C57" s="21" t="n"/>
      <c r="D57" s="21" t="n"/>
      <c r="E57" s="21" t="n"/>
      <c r="F57" s="21" t="n"/>
      <c r="G57" s="21" t="n"/>
      <c r="H57" s="21" t="n"/>
      <c r="I57" s="21" t="n"/>
      <c r="J57" s="21" t="n"/>
      <c r="K57" s="21" t="n"/>
      <c r="L57" s="22">
        <f>IF(OR(ISBLANK(J57),ISBLANK(K57)),"",IF(AND(J57="Critical",K57="Very High"),25,IF(AND(J57="Critical",K57="High"),20,IF(AND(J57="High",K57="Very High"),20,IF(AND(J57="High",K57="High"),16,IF(AND(J57="Critical",K57="Medium"),15,IF(AND(J57="Medium",K57="High"),12,IF(AND(J57="High",K57="Medium"),12,10))))))))</f>
        <v/>
      </c>
      <c r="M57" s="21" t="n"/>
      <c r="N57" s="21" t="n"/>
      <c r="O57" s="21" t="n"/>
      <c r="P57" s="21" t="n"/>
      <c r="Q57" s="21" t="n"/>
      <c r="R57" s="21" t="n"/>
      <c r="S57" s="21" t="n"/>
      <c r="T57" s="21" t="n"/>
    </row>
    <row r="58">
      <c r="A58" s="20" t="inlineStr">
        <is>
          <t>GAP-045</t>
        </is>
      </c>
      <c r="B58" s="21" t="n"/>
      <c r="C58" s="21" t="n"/>
      <c r="D58" s="21" t="n"/>
      <c r="E58" s="21" t="n"/>
      <c r="F58" s="21" t="n"/>
      <c r="G58" s="21" t="n"/>
      <c r="H58" s="21" t="n"/>
      <c r="I58" s="21" t="n"/>
      <c r="J58" s="21" t="n"/>
      <c r="K58" s="21" t="n"/>
      <c r="L58" s="22">
        <f>IF(OR(ISBLANK(J58),ISBLANK(K58)),"",IF(AND(J58="Critical",K58="Very High"),25,IF(AND(J58="Critical",K58="High"),20,IF(AND(J58="High",K58="Very High"),20,IF(AND(J58="High",K58="High"),16,IF(AND(J58="Critical",K58="Medium"),15,IF(AND(J58="Medium",K58="High"),12,IF(AND(J58="High",K58="Medium"),12,10))))))))</f>
        <v/>
      </c>
      <c r="M58" s="21" t="n"/>
      <c r="N58" s="21" t="n"/>
      <c r="O58" s="21" t="n"/>
      <c r="P58" s="21" t="n"/>
      <c r="Q58" s="21" t="n"/>
      <c r="R58" s="21" t="n"/>
      <c r="S58" s="21" t="n"/>
      <c r="T58" s="21" t="n"/>
    </row>
    <row r="59">
      <c r="A59" s="20" t="inlineStr">
        <is>
          <t>GAP-046</t>
        </is>
      </c>
      <c r="B59" s="21" t="n"/>
      <c r="C59" s="21" t="n"/>
      <c r="D59" s="21" t="n"/>
      <c r="E59" s="21" t="n"/>
      <c r="F59" s="21" t="n"/>
      <c r="G59" s="21" t="n"/>
      <c r="H59" s="21" t="n"/>
      <c r="I59" s="21" t="n"/>
      <c r="J59" s="21" t="n"/>
      <c r="K59" s="21" t="n"/>
      <c r="L59" s="22">
        <f>IF(OR(ISBLANK(J59),ISBLANK(K59)),"",IF(AND(J59="Critical",K59="Very High"),25,IF(AND(J59="Critical",K59="High"),20,IF(AND(J59="High",K59="Very High"),20,IF(AND(J59="High",K59="High"),16,IF(AND(J59="Critical",K59="Medium"),15,IF(AND(J59="Medium",K59="High"),12,IF(AND(J59="High",K59="Medium"),12,10))))))))</f>
        <v/>
      </c>
      <c r="M59" s="21" t="n"/>
      <c r="N59" s="21" t="n"/>
      <c r="O59" s="21" t="n"/>
      <c r="P59" s="21" t="n"/>
      <c r="Q59" s="21" t="n"/>
      <c r="R59" s="21" t="n"/>
      <c r="S59" s="21" t="n"/>
      <c r="T59" s="21" t="n"/>
    </row>
    <row r="60">
      <c r="A60" s="20" t="inlineStr">
        <is>
          <t>GAP-047</t>
        </is>
      </c>
      <c r="B60" s="21" t="n"/>
      <c r="C60" s="21" t="n"/>
      <c r="D60" s="21" t="n"/>
      <c r="E60" s="21" t="n"/>
      <c r="F60" s="21" t="n"/>
      <c r="G60" s="21" t="n"/>
      <c r="H60" s="21" t="n"/>
      <c r="I60" s="21" t="n"/>
      <c r="J60" s="21" t="n"/>
      <c r="K60" s="21" t="n"/>
      <c r="L60" s="22">
        <f>IF(OR(ISBLANK(J60),ISBLANK(K60)),"",IF(AND(J60="Critical",K60="Very High"),25,IF(AND(J60="Critical",K60="High"),20,IF(AND(J60="High",K60="Very High"),20,IF(AND(J60="High",K60="High"),16,IF(AND(J60="Critical",K60="Medium"),15,IF(AND(J60="Medium",K60="High"),12,IF(AND(J60="High",K60="Medium"),12,10))))))))</f>
        <v/>
      </c>
      <c r="M60" s="21" t="n"/>
      <c r="N60" s="21" t="n"/>
      <c r="O60" s="21" t="n"/>
      <c r="P60" s="21" t="n"/>
      <c r="Q60" s="21" t="n"/>
      <c r="R60" s="21" t="n"/>
      <c r="S60" s="21" t="n"/>
      <c r="T60" s="21" t="n"/>
    </row>
    <row r="61">
      <c r="A61" s="20" t="inlineStr">
        <is>
          <t>GAP-048</t>
        </is>
      </c>
      <c r="B61" s="21" t="n"/>
      <c r="C61" s="21" t="n"/>
      <c r="D61" s="21" t="n"/>
      <c r="E61" s="21" t="n"/>
      <c r="F61" s="21" t="n"/>
      <c r="G61" s="21" t="n"/>
      <c r="H61" s="21" t="n"/>
      <c r="I61" s="21" t="n"/>
      <c r="J61" s="21" t="n"/>
      <c r="K61" s="21" t="n"/>
      <c r="L61" s="22">
        <f>IF(OR(ISBLANK(J61),ISBLANK(K61)),"",IF(AND(J61="Critical",K61="Very High"),25,IF(AND(J61="Critical",K61="High"),20,IF(AND(J61="High",K61="Very High"),20,IF(AND(J61="High",K61="High"),16,IF(AND(J61="Critical",K61="Medium"),15,IF(AND(J61="Medium",K61="High"),12,IF(AND(J61="High",K61="Medium"),12,10))))))))</f>
        <v/>
      </c>
      <c r="M61" s="21" t="n"/>
      <c r="N61" s="21" t="n"/>
      <c r="O61" s="21" t="n"/>
      <c r="P61" s="21" t="n"/>
      <c r="Q61" s="21" t="n"/>
      <c r="R61" s="21" t="n"/>
      <c r="S61" s="21" t="n"/>
      <c r="T61" s="21" t="n"/>
    </row>
    <row r="62">
      <c r="A62" s="20" t="inlineStr">
        <is>
          <t>GAP-049</t>
        </is>
      </c>
      <c r="B62" s="21" t="n"/>
      <c r="C62" s="21" t="n"/>
      <c r="D62" s="21" t="n"/>
      <c r="E62" s="21" t="n"/>
      <c r="F62" s="21" t="n"/>
      <c r="G62" s="21" t="n"/>
      <c r="H62" s="21" t="n"/>
      <c r="I62" s="21" t="n"/>
      <c r="J62" s="21" t="n"/>
      <c r="K62" s="21" t="n"/>
      <c r="L62" s="22">
        <f>IF(OR(ISBLANK(J62),ISBLANK(K62)),"",IF(AND(J62="Critical",K62="Very High"),25,IF(AND(J62="Critical",K62="High"),20,IF(AND(J62="High",K62="Very High"),20,IF(AND(J62="High",K62="High"),16,IF(AND(J62="Critical",K62="Medium"),15,IF(AND(J62="Medium",K62="High"),12,IF(AND(J62="High",K62="Medium"),12,10))))))))</f>
        <v/>
      </c>
      <c r="M62" s="21" t="n"/>
      <c r="N62" s="21" t="n"/>
      <c r="O62" s="21" t="n"/>
      <c r="P62" s="21" t="n"/>
      <c r="Q62" s="21" t="n"/>
      <c r="R62" s="21" t="n"/>
      <c r="S62" s="21" t="n"/>
      <c r="T62" s="21" t="n"/>
    </row>
    <row r="63">
      <c r="A63" s="20" t="inlineStr">
        <is>
          <t>GAP-050</t>
        </is>
      </c>
      <c r="B63" s="21" t="n"/>
      <c r="C63" s="21" t="n"/>
      <c r="D63" s="21" t="n"/>
      <c r="E63" s="21" t="n"/>
      <c r="F63" s="21" t="n"/>
      <c r="G63" s="21" t="n"/>
      <c r="H63" s="21" t="n"/>
      <c r="I63" s="21" t="n"/>
      <c r="J63" s="21" t="n"/>
      <c r="K63" s="21" t="n"/>
      <c r="L63" s="22">
        <f>IF(OR(ISBLANK(J63),ISBLANK(K63)),"",IF(AND(J63="Critical",K63="Very High"),25,IF(AND(J63="Critical",K63="High"),20,IF(AND(J63="High",K63="Very High"),20,IF(AND(J63="High",K63="High"),16,IF(AND(J63="Critical",K63="Medium"),15,IF(AND(J63="Medium",K63="High"),12,IF(AND(J63="High",K63="Medium"),12,10))))))))</f>
        <v/>
      </c>
      <c r="M63" s="21" t="n"/>
      <c r="N63" s="21" t="n"/>
      <c r="O63" s="21" t="n"/>
      <c r="P63" s="21" t="n"/>
      <c r="Q63" s="21" t="n"/>
      <c r="R63" s="21" t="n"/>
      <c r="S63" s="21" t="n"/>
      <c r="T63" s="21" t="n"/>
    </row>
    <row r="64">
      <c r="A64" s="20" t="inlineStr">
        <is>
          <t>GAP-051</t>
        </is>
      </c>
      <c r="B64" s="21" t="n"/>
      <c r="C64" s="21" t="n"/>
      <c r="D64" s="21" t="n"/>
      <c r="E64" s="21" t="n"/>
      <c r="F64" s="21" t="n"/>
      <c r="G64" s="21" t="n"/>
      <c r="H64" s="21" t="n"/>
      <c r="I64" s="21" t="n"/>
      <c r="J64" s="21" t="n"/>
      <c r="K64" s="21" t="n"/>
      <c r="L64" s="22">
        <f>IF(OR(ISBLANK(J64),ISBLANK(K64)),"",IF(AND(J64="Critical",K64="Very High"),25,IF(AND(J64="Critical",K64="High"),20,IF(AND(J64="High",K64="Very High"),20,IF(AND(J64="High",K64="High"),16,IF(AND(J64="Critical",K64="Medium"),15,IF(AND(J64="Medium",K64="High"),12,IF(AND(J64="High",K64="Medium"),12,10))))))))</f>
        <v/>
      </c>
      <c r="M64" s="21" t="n"/>
      <c r="N64" s="21" t="n"/>
      <c r="O64" s="21" t="n"/>
      <c r="P64" s="21" t="n"/>
      <c r="Q64" s="21" t="n"/>
      <c r="R64" s="21" t="n"/>
      <c r="S64" s="21" t="n"/>
      <c r="T64" s="21" t="n"/>
    </row>
    <row r="65">
      <c r="A65" s="20" t="inlineStr">
        <is>
          <t>GAP-052</t>
        </is>
      </c>
      <c r="B65" s="21" t="n"/>
      <c r="C65" s="21" t="n"/>
      <c r="D65" s="21" t="n"/>
      <c r="E65" s="21" t="n"/>
      <c r="F65" s="21" t="n"/>
      <c r="G65" s="21" t="n"/>
      <c r="H65" s="21" t="n"/>
      <c r="I65" s="21" t="n"/>
      <c r="J65" s="21" t="n"/>
      <c r="K65" s="21" t="n"/>
      <c r="L65" s="22">
        <f>IF(OR(ISBLANK(J65),ISBLANK(K65)),"",IF(AND(J65="Critical",K65="Very High"),25,IF(AND(J65="Critical",K65="High"),20,IF(AND(J65="High",K65="Very High"),20,IF(AND(J65="High",K65="High"),16,IF(AND(J65="Critical",K65="Medium"),15,IF(AND(J65="Medium",K65="High"),12,IF(AND(J65="High",K65="Medium"),12,10))))))))</f>
        <v/>
      </c>
      <c r="M65" s="21" t="n"/>
      <c r="N65" s="21" t="n"/>
      <c r="O65" s="21" t="n"/>
      <c r="P65" s="21" t="n"/>
      <c r="Q65" s="21" t="n"/>
      <c r="R65" s="21" t="n"/>
      <c r="S65" s="21" t="n"/>
      <c r="T65" s="21" t="n"/>
    </row>
    <row r="66">
      <c r="A66" s="20" t="inlineStr">
        <is>
          <t>GAP-053</t>
        </is>
      </c>
      <c r="B66" s="21" t="n"/>
      <c r="C66" s="21" t="n"/>
      <c r="D66" s="21" t="n"/>
      <c r="E66" s="21" t="n"/>
      <c r="F66" s="21" t="n"/>
      <c r="G66" s="21" t="n"/>
      <c r="H66" s="21" t="n"/>
      <c r="I66" s="21" t="n"/>
      <c r="J66" s="21" t="n"/>
      <c r="K66" s="21" t="n"/>
      <c r="L66" s="22">
        <f>IF(OR(ISBLANK(J66),ISBLANK(K66)),"",IF(AND(J66="Critical",K66="Very High"),25,IF(AND(J66="Critical",K66="High"),20,IF(AND(J66="High",K66="Very High"),20,IF(AND(J66="High",K66="High"),16,IF(AND(J66="Critical",K66="Medium"),15,IF(AND(J66="Medium",K66="High"),12,IF(AND(J66="High",K66="Medium"),12,10))))))))</f>
        <v/>
      </c>
      <c r="M66" s="21" t="n"/>
      <c r="N66" s="21" t="n"/>
      <c r="O66" s="21" t="n"/>
      <c r="P66" s="21" t="n"/>
      <c r="Q66" s="21" t="n"/>
      <c r="R66" s="21" t="n"/>
      <c r="S66" s="21" t="n"/>
      <c r="T66" s="21" t="n"/>
    </row>
    <row r="67">
      <c r="A67" s="20" t="inlineStr">
        <is>
          <t>GAP-054</t>
        </is>
      </c>
      <c r="B67" s="21" t="n"/>
      <c r="C67" s="21" t="n"/>
      <c r="D67" s="21" t="n"/>
      <c r="E67" s="21" t="n"/>
      <c r="F67" s="21" t="n"/>
      <c r="G67" s="21" t="n"/>
      <c r="H67" s="21" t="n"/>
      <c r="I67" s="21" t="n"/>
      <c r="J67" s="21" t="n"/>
      <c r="K67" s="21" t="n"/>
      <c r="L67" s="22">
        <f>IF(OR(ISBLANK(J67),ISBLANK(K67)),"",IF(AND(J67="Critical",K67="Very High"),25,IF(AND(J67="Critical",K67="High"),20,IF(AND(J67="High",K67="Very High"),20,IF(AND(J67="High",K67="High"),16,IF(AND(J67="Critical",K67="Medium"),15,IF(AND(J67="Medium",K67="High"),12,IF(AND(J67="High",K67="Medium"),12,10))))))))</f>
        <v/>
      </c>
      <c r="M67" s="21" t="n"/>
      <c r="N67" s="21" t="n"/>
      <c r="O67" s="21" t="n"/>
      <c r="P67" s="21" t="n"/>
      <c r="Q67" s="21" t="n"/>
      <c r="R67" s="21" t="n"/>
      <c r="S67" s="21" t="n"/>
      <c r="T67" s="21" t="n"/>
    </row>
    <row r="68">
      <c r="A68" s="20" t="inlineStr">
        <is>
          <t>GAP-055</t>
        </is>
      </c>
      <c r="B68" s="21" t="n"/>
      <c r="C68" s="21" t="n"/>
      <c r="D68" s="21" t="n"/>
      <c r="E68" s="21" t="n"/>
      <c r="F68" s="21" t="n"/>
      <c r="G68" s="21" t="n"/>
      <c r="H68" s="21" t="n"/>
      <c r="I68" s="21" t="n"/>
      <c r="J68" s="21" t="n"/>
      <c r="K68" s="21" t="n"/>
      <c r="L68" s="22">
        <f>IF(OR(ISBLANK(J68),ISBLANK(K68)),"",IF(AND(J68="Critical",K68="Very High"),25,IF(AND(J68="Critical",K68="High"),20,IF(AND(J68="High",K68="Very High"),20,IF(AND(J68="High",K68="High"),16,IF(AND(J68="Critical",K68="Medium"),15,IF(AND(J68="Medium",K68="High"),12,IF(AND(J68="High",K68="Medium"),12,10))))))))</f>
        <v/>
      </c>
      <c r="M68" s="21" t="n"/>
      <c r="N68" s="21" t="n"/>
      <c r="O68" s="21" t="n"/>
      <c r="P68" s="21" t="n"/>
      <c r="Q68" s="21" t="n"/>
      <c r="R68" s="21" t="n"/>
      <c r="S68" s="21" t="n"/>
      <c r="T68" s="21" t="n"/>
    </row>
    <row r="69">
      <c r="A69" s="20" t="inlineStr">
        <is>
          <t>GAP-056</t>
        </is>
      </c>
      <c r="B69" s="21" t="n"/>
      <c r="C69" s="21" t="n"/>
      <c r="D69" s="21" t="n"/>
      <c r="E69" s="21" t="n"/>
      <c r="F69" s="21" t="n"/>
      <c r="G69" s="21" t="n"/>
      <c r="H69" s="21" t="n"/>
      <c r="I69" s="21" t="n"/>
      <c r="J69" s="21" t="n"/>
      <c r="K69" s="21" t="n"/>
      <c r="L69" s="22">
        <f>IF(OR(ISBLANK(J69),ISBLANK(K69)),"",IF(AND(J69="Critical",K69="Very High"),25,IF(AND(J69="Critical",K69="High"),20,IF(AND(J69="High",K69="Very High"),20,IF(AND(J69="High",K69="High"),16,IF(AND(J69="Critical",K69="Medium"),15,IF(AND(J69="Medium",K69="High"),12,IF(AND(J69="High",K69="Medium"),12,10))))))))</f>
        <v/>
      </c>
      <c r="M69" s="21" t="n"/>
      <c r="N69" s="21" t="n"/>
      <c r="O69" s="21" t="n"/>
      <c r="P69" s="21" t="n"/>
      <c r="Q69" s="21" t="n"/>
      <c r="R69" s="21" t="n"/>
      <c r="S69" s="21" t="n"/>
      <c r="T69" s="21" t="n"/>
    </row>
    <row r="70">
      <c r="A70" s="20" t="inlineStr">
        <is>
          <t>GAP-057</t>
        </is>
      </c>
      <c r="B70" s="21" t="n"/>
      <c r="C70" s="21" t="n"/>
      <c r="D70" s="21" t="n"/>
      <c r="E70" s="21" t="n"/>
      <c r="F70" s="21" t="n"/>
      <c r="G70" s="21" t="n"/>
      <c r="H70" s="21" t="n"/>
      <c r="I70" s="21" t="n"/>
      <c r="J70" s="21" t="n"/>
      <c r="K70" s="21" t="n"/>
      <c r="L70" s="22">
        <f>IF(OR(ISBLANK(J70),ISBLANK(K70)),"",IF(AND(J70="Critical",K70="Very High"),25,IF(AND(J70="Critical",K70="High"),20,IF(AND(J70="High",K70="Very High"),20,IF(AND(J70="High",K70="High"),16,IF(AND(J70="Critical",K70="Medium"),15,IF(AND(J70="Medium",K70="High"),12,IF(AND(J70="High",K70="Medium"),12,10))))))))</f>
        <v/>
      </c>
      <c r="M70" s="21" t="n"/>
      <c r="N70" s="21" t="n"/>
      <c r="O70" s="21" t="n"/>
      <c r="P70" s="21" t="n"/>
      <c r="Q70" s="21" t="n"/>
      <c r="R70" s="21" t="n"/>
      <c r="S70" s="21" t="n"/>
      <c r="T70" s="21" t="n"/>
    </row>
    <row r="71">
      <c r="A71" s="20" t="inlineStr">
        <is>
          <t>GAP-058</t>
        </is>
      </c>
      <c r="B71" s="21" t="n"/>
      <c r="C71" s="21" t="n"/>
      <c r="D71" s="21" t="n"/>
      <c r="E71" s="21" t="n"/>
      <c r="F71" s="21" t="n"/>
      <c r="G71" s="21" t="n"/>
      <c r="H71" s="21" t="n"/>
      <c r="I71" s="21" t="n"/>
      <c r="J71" s="21" t="n"/>
      <c r="K71" s="21" t="n"/>
      <c r="L71" s="22">
        <f>IF(OR(ISBLANK(J71),ISBLANK(K71)),"",IF(AND(J71="Critical",K71="Very High"),25,IF(AND(J71="Critical",K71="High"),20,IF(AND(J71="High",K71="Very High"),20,IF(AND(J71="High",K71="High"),16,IF(AND(J71="Critical",K71="Medium"),15,IF(AND(J71="Medium",K71="High"),12,IF(AND(J71="High",K71="Medium"),12,10))))))))</f>
        <v/>
      </c>
      <c r="M71" s="21" t="n"/>
      <c r="N71" s="21" t="n"/>
      <c r="O71" s="21" t="n"/>
      <c r="P71" s="21" t="n"/>
      <c r="Q71" s="21" t="n"/>
      <c r="R71" s="21" t="n"/>
      <c r="S71" s="21" t="n"/>
      <c r="T71" s="21" t="n"/>
    </row>
    <row r="72">
      <c r="A72" s="20" t="inlineStr">
        <is>
          <t>GAP-059</t>
        </is>
      </c>
      <c r="B72" s="21" t="n"/>
      <c r="C72" s="21" t="n"/>
      <c r="D72" s="21" t="n"/>
      <c r="E72" s="21" t="n"/>
      <c r="F72" s="21" t="n"/>
      <c r="G72" s="21" t="n"/>
      <c r="H72" s="21" t="n"/>
      <c r="I72" s="21" t="n"/>
      <c r="J72" s="21" t="n"/>
      <c r="K72" s="21" t="n"/>
      <c r="L72" s="22">
        <f>IF(OR(ISBLANK(J72),ISBLANK(K72)),"",IF(AND(J72="Critical",K72="Very High"),25,IF(AND(J72="Critical",K72="High"),20,IF(AND(J72="High",K72="Very High"),20,IF(AND(J72="High",K72="High"),16,IF(AND(J72="Critical",K72="Medium"),15,IF(AND(J72="Medium",K72="High"),12,IF(AND(J72="High",K72="Medium"),12,10))))))))</f>
        <v/>
      </c>
      <c r="M72" s="21" t="n"/>
      <c r="N72" s="21" t="n"/>
      <c r="O72" s="21" t="n"/>
      <c r="P72" s="21" t="n"/>
      <c r="Q72" s="21" t="n"/>
      <c r="R72" s="21" t="n"/>
      <c r="S72" s="21" t="n"/>
      <c r="T72" s="21" t="n"/>
    </row>
    <row r="73">
      <c r="A73" s="20" t="inlineStr">
        <is>
          <t>GAP-060</t>
        </is>
      </c>
      <c r="B73" s="21" t="n"/>
      <c r="C73" s="21" t="n"/>
      <c r="D73" s="21" t="n"/>
      <c r="E73" s="21" t="n"/>
      <c r="F73" s="21" t="n"/>
      <c r="G73" s="21" t="n"/>
      <c r="H73" s="21" t="n"/>
      <c r="I73" s="21" t="n"/>
      <c r="J73" s="21" t="n"/>
      <c r="K73" s="21" t="n"/>
      <c r="L73" s="22">
        <f>IF(OR(ISBLANK(J73),ISBLANK(K73)),"",IF(AND(J73="Critical",K73="Very High"),25,IF(AND(J73="Critical",K73="High"),20,IF(AND(J73="High",K73="Very High"),20,IF(AND(J73="High",K73="High"),16,IF(AND(J73="Critical",K73="Medium"),15,IF(AND(J73="Medium",K73="High"),12,IF(AND(J73="High",K73="Medium"),12,10))))))))</f>
        <v/>
      </c>
      <c r="M73" s="21" t="n"/>
      <c r="N73" s="21" t="n"/>
      <c r="O73" s="21" t="n"/>
      <c r="P73" s="21" t="n"/>
      <c r="Q73" s="21" t="n"/>
      <c r="R73" s="21" t="n"/>
      <c r="S73" s="21" t="n"/>
      <c r="T73" s="21" t="n"/>
    </row>
    <row r="74">
      <c r="A74" s="20" t="inlineStr">
        <is>
          <t>GAP-061</t>
        </is>
      </c>
      <c r="B74" s="21" t="n"/>
      <c r="C74" s="21" t="n"/>
      <c r="D74" s="21" t="n"/>
      <c r="E74" s="21" t="n"/>
      <c r="F74" s="21" t="n"/>
      <c r="G74" s="21" t="n"/>
      <c r="H74" s="21" t="n"/>
      <c r="I74" s="21" t="n"/>
      <c r="J74" s="21" t="n"/>
      <c r="K74" s="21" t="n"/>
      <c r="L74" s="22">
        <f>IF(OR(ISBLANK(J74),ISBLANK(K74)),"",IF(AND(J74="Critical",K74="Very High"),25,IF(AND(J74="Critical",K74="High"),20,IF(AND(J74="High",K74="Very High"),20,IF(AND(J74="High",K74="High"),16,IF(AND(J74="Critical",K74="Medium"),15,IF(AND(J74="Medium",K74="High"),12,IF(AND(J74="High",K74="Medium"),12,10))))))))</f>
        <v/>
      </c>
      <c r="M74" s="21" t="n"/>
      <c r="N74" s="21" t="n"/>
      <c r="O74" s="21" t="n"/>
      <c r="P74" s="21" t="n"/>
      <c r="Q74" s="21" t="n"/>
      <c r="R74" s="21" t="n"/>
      <c r="S74" s="21" t="n"/>
      <c r="T74" s="21" t="n"/>
    </row>
    <row r="75">
      <c r="A75" s="20" t="inlineStr">
        <is>
          <t>GAP-062</t>
        </is>
      </c>
      <c r="B75" s="21" t="n"/>
      <c r="C75" s="21" t="n"/>
      <c r="D75" s="21" t="n"/>
      <c r="E75" s="21" t="n"/>
      <c r="F75" s="21" t="n"/>
      <c r="G75" s="21" t="n"/>
      <c r="H75" s="21" t="n"/>
      <c r="I75" s="21" t="n"/>
      <c r="J75" s="21" t="n"/>
      <c r="K75" s="21" t="n"/>
      <c r="L75" s="22">
        <f>IF(OR(ISBLANK(J75),ISBLANK(K75)),"",IF(AND(J75="Critical",K75="Very High"),25,IF(AND(J75="Critical",K75="High"),20,IF(AND(J75="High",K75="Very High"),20,IF(AND(J75="High",K75="High"),16,IF(AND(J75="Critical",K75="Medium"),15,IF(AND(J75="Medium",K75="High"),12,IF(AND(J75="High",K75="Medium"),12,10))))))))</f>
        <v/>
      </c>
      <c r="M75" s="21" t="n"/>
      <c r="N75" s="21" t="n"/>
      <c r="O75" s="21" t="n"/>
      <c r="P75" s="21" t="n"/>
      <c r="Q75" s="21" t="n"/>
      <c r="R75" s="21" t="n"/>
      <c r="S75" s="21" t="n"/>
      <c r="T75" s="21" t="n"/>
    </row>
    <row r="76">
      <c r="A76" s="20" t="inlineStr">
        <is>
          <t>GAP-063</t>
        </is>
      </c>
      <c r="B76" s="21" t="n"/>
      <c r="C76" s="21" t="n"/>
      <c r="D76" s="21" t="n"/>
      <c r="E76" s="21" t="n"/>
      <c r="F76" s="21" t="n"/>
      <c r="G76" s="21" t="n"/>
      <c r="H76" s="21" t="n"/>
      <c r="I76" s="21" t="n"/>
      <c r="J76" s="21" t="n"/>
      <c r="K76" s="21" t="n"/>
      <c r="L76" s="22">
        <f>IF(OR(ISBLANK(J76),ISBLANK(K76)),"",IF(AND(J76="Critical",K76="Very High"),25,IF(AND(J76="Critical",K76="High"),20,IF(AND(J76="High",K76="Very High"),20,IF(AND(J76="High",K76="High"),16,IF(AND(J76="Critical",K76="Medium"),15,IF(AND(J76="Medium",K76="High"),12,IF(AND(J76="High",K76="Medium"),12,10))))))))</f>
        <v/>
      </c>
      <c r="M76" s="21" t="n"/>
      <c r="N76" s="21" t="n"/>
      <c r="O76" s="21" t="n"/>
      <c r="P76" s="21" t="n"/>
      <c r="Q76" s="21" t="n"/>
      <c r="R76" s="21" t="n"/>
      <c r="S76" s="21" t="n"/>
      <c r="T76" s="21" t="n"/>
    </row>
    <row r="77">
      <c r="A77" s="20" t="inlineStr">
        <is>
          <t>GAP-064</t>
        </is>
      </c>
      <c r="B77" s="21" t="n"/>
      <c r="C77" s="21" t="n"/>
      <c r="D77" s="21" t="n"/>
      <c r="E77" s="21" t="n"/>
      <c r="F77" s="21" t="n"/>
      <c r="G77" s="21" t="n"/>
      <c r="H77" s="21" t="n"/>
      <c r="I77" s="21" t="n"/>
      <c r="J77" s="21" t="n"/>
      <c r="K77" s="21" t="n"/>
      <c r="L77" s="22">
        <f>IF(OR(ISBLANK(J77),ISBLANK(K77)),"",IF(AND(J77="Critical",K77="Very High"),25,IF(AND(J77="Critical",K77="High"),20,IF(AND(J77="High",K77="Very High"),20,IF(AND(J77="High",K77="High"),16,IF(AND(J77="Critical",K77="Medium"),15,IF(AND(J77="Medium",K77="High"),12,IF(AND(J77="High",K77="Medium"),12,10))))))))</f>
        <v/>
      </c>
      <c r="M77" s="21" t="n"/>
      <c r="N77" s="21" t="n"/>
      <c r="O77" s="21" t="n"/>
      <c r="P77" s="21" t="n"/>
      <c r="Q77" s="21" t="n"/>
      <c r="R77" s="21" t="n"/>
      <c r="S77" s="21" t="n"/>
      <c r="T77" s="21" t="n"/>
    </row>
    <row r="78">
      <c r="A78" s="20" t="inlineStr">
        <is>
          <t>GAP-065</t>
        </is>
      </c>
      <c r="B78" s="21" t="n"/>
      <c r="C78" s="21" t="n"/>
      <c r="D78" s="21" t="n"/>
      <c r="E78" s="21" t="n"/>
      <c r="F78" s="21" t="n"/>
      <c r="G78" s="21" t="n"/>
      <c r="H78" s="21" t="n"/>
      <c r="I78" s="21" t="n"/>
      <c r="J78" s="21" t="n"/>
      <c r="K78" s="21" t="n"/>
      <c r="L78" s="22">
        <f>IF(OR(ISBLANK(J78),ISBLANK(K78)),"",IF(AND(J78="Critical",K78="Very High"),25,IF(AND(J78="Critical",K78="High"),20,IF(AND(J78="High",K78="Very High"),20,IF(AND(J78="High",K78="High"),16,IF(AND(J78="Critical",K78="Medium"),15,IF(AND(J78="Medium",K78="High"),12,IF(AND(J78="High",K78="Medium"),12,10))))))))</f>
        <v/>
      </c>
      <c r="M78" s="21" t="n"/>
      <c r="N78" s="21" t="n"/>
      <c r="O78" s="21" t="n"/>
      <c r="P78" s="21" t="n"/>
      <c r="Q78" s="21" t="n"/>
      <c r="R78" s="21" t="n"/>
      <c r="S78" s="21" t="n"/>
      <c r="T78" s="21" t="n"/>
    </row>
    <row r="79">
      <c r="A79" s="20" t="inlineStr">
        <is>
          <t>GAP-066</t>
        </is>
      </c>
      <c r="B79" s="21" t="n"/>
      <c r="C79" s="21" t="n"/>
      <c r="D79" s="21" t="n"/>
      <c r="E79" s="21" t="n"/>
      <c r="F79" s="21" t="n"/>
      <c r="G79" s="21" t="n"/>
      <c r="H79" s="21" t="n"/>
      <c r="I79" s="21" t="n"/>
      <c r="J79" s="21" t="n"/>
      <c r="K79" s="21" t="n"/>
      <c r="L79" s="22">
        <f>IF(OR(ISBLANK(J79),ISBLANK(K79)),"",IF(AND(J79="Critical",K79="Very High"),25,IF(AND(J79="Critical",K79="High"),20,IF(AND(J79="High",K79="Very High"),20,IF(AND(J79="High",K79="High"),16,IF(AND(J79="Critical",K79="Medium"),15,IF(AND(J79="Medium",K79="High"),12,IF(AND(J79="High",K79="Medium"),12,10))))))))</f>
        <v/>
      </c>
      <c r="M79" s="21" t="n"/>
      <c r="N79" s="21" t="n"/>
      <c r="O79" s="21" t="n"/>
      <c r="P79" s="21" t="n"/>
      <c r="Q79" s="21" t="n"/>
      <c r="R79" s="21" t="n"/>
      <c r="S79" s="21" t="n"/>
      <c r="T79" s="21" t="n"/>
    </row>
    <row r="80">
      <c r="A80" s="20" t="inlineStr">
        <is>
          <t>GAP-067</t>
        </is>
      </c>
      <c r="B80" s="21" t="n"/>
      <c r="C80" s="21" t="n"/>
      <c r="D80" s="21" t="n"/>
      <c r="E80" s="21" t="n"/>
      <c r="F80" s="21" t="n"/>
      <c r="G80" s="21" t="n"/>
      <c r="H80" s="21" t="n"/>
      <c r="I80" s="21" t="n"/>
      <c r="J80" s="21" t="n"/>
      <c r="K80" s="21" t="n"/>
      <c r="L80" s="22">
        <f>IF(OR(ISBLANK(J80),ISBLANK(K80)),"",IF(AND(J80="Critical",K80="Very High"),25,IF(AND(J80="Critical",K80="High"),20,IF(AND(J80="High",K80="Very High"),20,IF(AND(J80="High",K80="High"),16,IF(AND(J80="Critical",K80="Medium"),15,IF(AND(J80="Medium",K80="High"),12,IF(AND(J80="High",K80="Medium"),12,10))))))))</f>
        <v/>
      </c>
      <c r="M80" s="21" t="n"/>
      <c r="N80" s="21" t="n"/>
      <c r="O80" s="21" t="n"/>
      <c r="P80" s="21" t="n"/>
      <c r="Q80" s="21" t="n"/>
      <c r="R80" s="21" t="n"/>
      <c r="S80" s="21" t="n"/>
      <c r="T80" s="21" t="n"/>
    </row>
    <row r="81">
      <c r="A81" s="20" t="inlineStr">
        <is>
          <t>GAP-068</t>
        </is>
      </c>
      <c r="B81" s="21" t="n"/>
      <c r="C81" s="21" t="n"/>
      <c r="D81" s="21" t="n"/>
      <c r="E81" s="21" t="n"/>
      <c r="F81" s="21" t="n"/>
      <c r="G81" s="21" t="n"/>
      <c r="H81" s="21" t="n"/>
      <c r="I81" s="21" t="n"/>
      <c r="J81" s="21" t="n"/>
      <c r="K81" s="21" t="n"/>
      <c r="L81" s="22">
        <f>IF(OR(ISBLANK(J81),ISBLANK(K81)),"",IF(AND(J81="Critical",K81="Very High"),25,IF(AND(J81="Critical",K81="High"),20,IF(AND(J81="High",K81="Very High"),20,IF(AND(J81="High",K81="High"),16,IF(AND(J81="Critical",K81="Medium"),15,IF(AND(J81="Medium",K81="High"),12,IF(AND(J81="High",K81="Medium"),12,10))))))))</f>
        <v/>
      </c>
      <c r="M81" s="21" t="n"/>
      <c r="N81" s="21" t="n"/>
      <c r="O81" s="21" t="n"/>
      <c r="P81" s="21" t="n"/>
      <c r="Q81" s="21" t="n"/>
      <c r="R81" s="21" t="n"/>
      <c r="S81" s="21" t="n"/>
      <c r="T81" s="21" t="n"/>
    </row>
    <row r="82">
      <c r="A82" s="20" t="inlineStr">
        <is>
          <t>GAP-069</t>
        </is>
      </c>
      <c r="B82" s="21" t="n"/>
      <c r="C82" s="21" t="n"/>
      <c r="D82" s="21" t="n"/>
      <c r="E82" s="21" t="n"/>
      <c r="F82" s="21" t="n"/>
      <c r="G82" s="21" t="n"/>
      <c r="H82" s="21" t="n"/>
      <c r="I82" s="21" t="n"/>
      <c r="J82" s="21" t="n"/>
      <c r="K82" s="21" t="n"/>
      <c r="L82" s="22">
        <f>IF(OR(ISBLANK(J82),ISBLANK(K82)),"",IF(AND(J82="Critical",K82="Very High"),25,IF(AND(J82="Critical",K82="High"),20,IF(AND(J82="High",K82="Very High"),20,IF(AND(J82="High",K82="High"),16,IF(AND(J82="Critical",K82="Medium"),15,IF(AND(J82="Medium",K82="High"),12,IF(AND(J82="High",K82="Medium"),12,10))))))))</f>
        <v/>
      </c>
      <c r="M82" s="21" t="n"/>
      <c r="N82" s="21" t="n"/>
      <c r="O82" s="21" t="n"/>
      <c r="P82" s="21" t="n"/>
      <c r="Q82" s="21" t="n"/>
      <c r="R82" s="21" t="n"/>
      <c r="S82" s="21" t="n"/>
      <c r="T82" s="21" t="n"/>
    </row>
    <row r="83">
      <c r="A83" s="20" t="inlineStr">
        <is>
          <t>GAP-070</t>
        </is>
      </c>
      <c r="B83" s="21" t="n"/>
      <c r="C83" s="21" t="n"/>
      <c r="D83" s="21" t="n"/>
      <c r="E83" s="21" t="n"/>
      <c r="F83" s="21" t="n"/>
      <c r="G83" s="21" t="n"/>
      <c r="H83" s="21" t="n"/>
      <c r="I83" s="21" t="n"/>
      <c r="J83" s="21" t="n"/>
      <c r="K83" s="21" t="n"/>
      <c r="L83" s="22">
        <f>IF(OR(ISBLANK(J83),ISBLANK(K83)),"",IF(AND(J83="Critical",K83="Very High"),25,IF(AND(J83="Critical",K83="High"),20,IF(AND(J83="High",K83="Very High"),20,IF(AND(J83="High",K83="High"),16,IF(AND(J83="Critical",K83="Medium"),15,IF(AND(J83="Medium",K83="High"),12,IF(AND(J83="High",K83="Medium"),12,10))))))))</f>
        <v/>
      </c>
      <c r="M83" s="21" t="n"/>
      <c r="N83" s="21" t="n"/>
      <c r="O83" s="21" t="n"/>
      <c r="P83" s="21" t="n"/>
      <c r="Q83" s="21" t="n"/>
      <c r="R83" s="21" t="n"/>
      <c r="S83" s="21" t="n"/>
      <c r="T83" s="21" t="n"/>
    </row>
    <row r="84">
      <c r="A84" s="20" t="inlineStr">
        <is>
          <t>GAP-071</t>
        </is>
      </c>
      <c r="B84" s="21" t="n"/>
      <c r="C84" s="21" t="n"/>
      <c r="D84" s="21" t="n"/>
      <c r="E84" s="21" t="n"/>
      <c r="F84" s="21" t="n"/>
      <c r="G84" s="21" t="n"/>
      <c r="H84" s="21" t="n"/>
      <c r="I84" s="21" t="n"/>
      <c r="J84" s="21" t="n"/>
      <c r="K84" s="21" t="n"/>
      <c r="L84" s="22">
        <f>IF(OR(ISBLANK(J84),ISBLANK(K84)),"",IF(AND(J84="Critical",K84="Very High"),25,IF(AND(J84="Critical",K84="High"),20,IF(AND(J84="High",K84="Very High"),20,IF(AND(J84="High",K84="High"),16,IF(AND(J84="Critical",K84="Medium"),15,IF(AND(J84="Medium",K84="High"),12,IF(AND(J84="High",K84="Medium"),12,10))))))))</f>
        <v/>
      </c>
      <c r="M84" s="21" t="n"/>
      <c r="N84" s="21" t="n"/>
      <c r="O84" s="21" t="n"/>
      <c r="P84" s="21" t="n"/>
      <c r="Q84" s="21" t="n"/>
      <c r="R84" s="21" t="n"/>
      <c r="S84" s="21" t="n"/>
      <c r="T84" s="21" t="n"/>
    </row>
    <row r="85">
      <c r="A85" s="20" t="inlineStr">
        <is>
          <t>GAP-072</t>
        </is>
      </c>
      <c r="B85" s="21" t="n"/>
      <c r="C85" s="21" t="n"/>
      <c r="D85" s="21" t="n"/>
      <c r="E85" s="21" t="n"/>
      <c r="F85" s="21" t="n"/>
      <c r="G85" s="21" t="n"/>
      <c r="H85" s="21" t="n"/>
      <c r="I85" s="21" t="n"/>
      <c r="J85" s="21" t="n"/>
      <c r="K85" s="21" t="n"/>
      <c r="L85" s="22">
        <f>IF(OR(ISBLANK(J85),ISBLANK(K85)),"",IF(AND(J85="Critical",K85="Very High"),25,IF(AND(J85="Critical",K85="High"),20,IF(AND(J85="High",K85="Very High"),20,IF(AND(J85="High",K85="High"),16,IF(AND(J85="Critical",K85="Medium"),15,IF(AND(J85="Medium",K85="High"),12,IF(AND(J85="High",K85="Medium"),12,10))))))))</f>
        <v/>
      </c>
      <c r="M85" s="21" t="n"/>
      <c r="N85" s="21" t="n"/>
      <c r="O85" s="21" t="n"/>
      <c r="P85" s="21" t="n"/>
      <c r="Q85" s="21" t="n"/>
      <c r="R85" s="21" t="n"/>
      <c r="S85" s="21" t="n"/>
      <c r="T85" s="21" t="n"/>
    </row>
    <row r="86">
      <c r="A86" s="20" t="inlineStr">
        <is>
          <t>GAP-073</t>
        </is>
      </c>
      <c r="B86" s="21" t="n"/>
      <c r="C86" s="21" t="n"/>
      <c r="D86" s="21" t="n"/>
      <c r="E86" s="21" t="n"/>
      <c r="F86" s="21" t="n"/>
      <c r="G86" s="21" t="n"/>
      <c r="H86" s="21" t="n"/>
      <c r="I86" s="21" t="n"/>
      <c r="J86" s="21" t="n"/>
      <c r="K86" s="21" t="n"/>
      <c r="L86" s="22">
        <f>IF(OR(ISBLANK(J86),ISBLANK(K86)),"",IF(AND(J86="Critical",K86="Very High"),25,IF(AND(J86="Critical",K86="High"),20,IF(AND(J86="High",K86="Very High"),20,IF(AND(J86="High",K86="High"),16,IF(AND(J86="Critical",K86="Medium"),15,IF(AND(J86="Medium",K86="High"),12,IF(AND(J86="High",K86="Medium"),12,10))))))))</f>
        <v/>
      </c>
      <c r="M86" s="21" t="n"/>
      <c r="N86" s="21" t="n"/>
      <c r="O86" s="21" t="n"/>
      <c r="P86" s="21" t="n"/>
      <c r="Q86" s="21" t="n"/>
      <c r="R86" s="21" t="n"/>
      <c r="S86" s="21" t="n"/>
      <c r="T86" s="21" t="n"/>
    </row>
    <row r="87">
      <c r="A87" s="20" t="inlineStr">
        <is>
          <t>GAP-074</t>
        </is>
      </c>
      <c r="B87" s="21" t="n"/>
      <c r="C87" s="21" t="n"/>
      <c r="D87" s="21" t="n"/>
      <c r="E87" s="21" t="n"/>
      <c r="F87" s="21" t="n"/>
      <c r="G87" s="21" t="n"/>
      <c r="H87" s="21" t="n"/>
      <c r="I87" s="21" t="n"/>
      <c r="J87" s="21" t="n"/>
      <c r="K87" s="21" t="n"/>
      <c r="L87" s="22">
        <f>IF(OR(ISBLANK(J87),ISBLANK(K87)),"",IF(AND(J87="Critical",K87="Very High"),25,IF(AND(J87="Critical",K87="High"),20,IF(AND(J87="High",K87="Very High"),20,IF(AND(J87="High",K87="High"),16,IF(AND(J87="Critical",K87="Medium"),15,IF(AND(J87="Medium",K87="High"),12,IF(AND(J87="High",K87="Medium"),12,10))))))))</f>
        <v/>
      </c>
      <c r="M87" s="21" t="n"/>
      <c r="N87" s="21" t="n"/>
      <c r="O87" s="21" t="n"/>
      <c r="P87" s="21" t="n"/>
      <c r="Q87" s="21" t="n"/>
      <c r="R87" s="21" t="n"/>
      <c r="S87" s="21" t="n"/>
      <c r="T87" s="21" t="n"/>
    </row>
    <row r="88">
      <c r="A88" s="20" t="inlineStr">
        <is>
          <t>GAP-075</t>
        </is>
      </c>
      <c r="B88" s="21" t="n"/>
      <c r="C88" s="21" t="n"/>
      <c r="D88" s="21" t="n"/>
      <c r="E88" s="21" t="n"/>
      <c r="F88" s="21" t="n"/>
      <c r="G88" s="21" t="n"/>
      <c r="H88" s="21" t="n"/>
      <c r="I88" s="21" t="n"/>
      <c r="J88" s="21" t="n"/>
      <c r="K88" s="21" t="n"/>
      <c r="L88" s="22">
        <f>IF(OR(ISBLANK(J88),ISBLANK(K88)),"",IF(AND(J88="Critical",K88="Very High"),25,IF(AND(J88="Critical",K88="High"),20,IF(AND(J88="High",K88="Very High"),20,IF(AND(J88="High",K88="High"),16,IF(AND(J88="Critical",K88="Medium"),15,IF(AND(J88="Medium",K88="High"),12,IF(AND(J88="High",K88="Medium"),12,10))))))))</f>
        <v/>
      </c>
      <c r="M88" s="21" t="n"/>
      <c r="N88" s="21" t="n"/>
      <c r="O88" s="21" t="n"/>
      <c r="P88" s="21" t="n"/>
      <c r="Q88" s="21" t="n"/>
      <c r="R88" s="21" t="n"/>
      <c r="S88" s="21" t="n"/>
      <c r="T88" s="21" t="n"/>
    </row>
    <row r="89">
      <c r="A89" s="20" t="inlineStr">
        <is>
          <t>GAP-076</t>
        </is>
      </c>
      <c r="B89" s="21" t="n"/>
      <c r="C89" s="21" t="n"/>
      <c r="D89" s="21" t="n"/>
      <c r="E89" s="21" t="n"/>
      <c r="F89" s="21" t="n"/>
      <c r="G89" s="21" t="n"/>
      <c r="H89" s="21" t="n"/>
      <c r="I89" s="21" t="n"/>
      <c r="J89" s="21" t="n"/>
      <c r="K89" s="21" t="n"/>
      <c r="L89" s="22">
        <f>IF(OR(ISBLANK(J89),ISBLANK(K89)),"",IF(AND(J89="Critical",K89="Very High"),25,IF(AND(J89="Critical",K89="High"),20,IF(AND(J89="High",K89="Very High"),20,IF(AND(J89="High",K89="High"),16,IF(AND(J89="Critical",K89="Medium"),15,IF(AND(J89="Medium",K89="High"),12,IF(AND(J89="High",K89="Medium"),12,10))))))))</f>
        <v/>
      </c>
      <c r="M89" s="21" t="n"/>
      <c r="N89" s="21" t="n"/>
      <c r="O89" s="21" t="n"/>
      <c r="P89" s="21" t="n"/>
      <c r="Q89" s="21" t="n"/>
      <c r="R89" s="21" t="n"/>
      <c r="S89" s="21" t="n"/>
      <c r="T89" s="21" t="n"/>
    </row>
    <row r="90">
      <c r="A90" s="20" t="inlineStr">
        <is>
          <t>GAP-077</t>
        </is>
      </c>
      <c r="B90" s="21" t="n"/>
      <c r="C90" s="21" t="n"/>
      <c r="D90" s="21" t="n"/>
      <c r="E90" s="21" t="n"/>
      <c r="F90" s="21" t="n"/>
      <c r="G90" s="21" t="n"/>
      <c r="H90" s="21" t="n"/>
      <c r="I90" s="21" t="n"/>
      <c r="J90" s="21" t="n"/>
      <c r="K90" s="21" t="n"/>
      <c r="L90" s="22">
        <f>IF(OR(ISBLANK(J90),ISBLANK(K90)),"",IF(AND(J90="Critical",K90="Very High"),25,IF(AND(J90="Critical",K90="High"),20,IF(AND(J90="High",K90="Very High"),20,IF(AND(J90="High",K90="High"),16,IF(AND(J90="Critical",K90="Medium"),15,IF(AND(J90="Medium",K90="High"),12,IF(AND(J90="High",K90="Medium"),12,10))))))))</f>
        <v/>
      </c>
      <c r="M90" s="21" t="n"/>
      <c r="N90" s="21" t="n"/>
      <c r="O90" s="21" t="n"/>
      <c r="P90" s="21" t="n"/>
      <c r="Q90" s="21" t="n"/>
      <c r="R90" s="21" t="n"/>
      <c r="S90" s="21" t="n"/>
      <c r="T90" s="21" t="n"/>
    </row>
    <row r="91">
      <c r="A91" s="20" t="inlineStr">
        <is>
          <t>GAP-078</t>
        </is>
      </c>
      <c r="B91" s="21" t="n"/>
      <c r="C91" s="21" t="n"/>
      <c r="D91" s="21" t="n"/>
      <c r="E91" s="21" t="n"/>
      <c r="F91" s="21" t="n"/>
      <c r="G91" s="21" t="n"/>
      <c r="H91" s="21" t="n"/>
      <c r="I91" s="21" t="n"/>
      <c r="J91" s="21" t="n"/>
      <c r="K91" s="21" t="n"/>
      <c r="L91" s="22">
        <f>IF(OR(ISBLANK(J91),ISBLANK(K91)),"",IF(AND(J91="Critical",K91="Very High"),25,IF(AND(J91="Critical",K91="High"),20,IF(AND(J91="High",K91="Very High"),20,IF(AND(J91="High",K91="High"),16,IF(AND(J91="Critical",K91="Medium"),15,IF(AND(J91="Medium",K91="High"),12,IF(AND(J91="High",K91="Medium"),12,10))))))))</f>
        <v/>
      </c>
      <c r="M91" s="21" t="n"/>
      <c r="N91" s="21" t="n"/>
      <c r="O91" s="21" t="n"/>
      <c r="P91" s="21" t="n"/>
      <c r="Q91" s="21" t="n"/>
      <c r="R91" s="21" t="n"/>
      <c r="S91" s="21" t="n"/>
      <c r="T91" s="21" t="n"/>
    </row>
    <row r="92">
      <c r="A92" s="20" t="inlineStr">
        <is>
          <t>GAP-079</t>
        </is>
      </c>
      <c r="B92" s="21" t="n"/>
      <c r="C92" s="21" t="n"/>
      <c r="D92" s="21" t="n"/>
      <c r="E92" s="21" t="n"/>
      <c r="F92" s="21" t="n"/>
      <c r="G92" s="21" t="n"/>
      <c r="H92" s="21" t="n"/>
      <c r="I92" s="21" t="n"/>
      <c r="J92" s="21" t="n"/>
      <c r="K92" s="21" t="n"/>
      <c r="L92" s="22">
        <f>IF(OR(ISBLANK(J92),ISBLANK(K92)),"",IF(AND(J92="Critical",K92="Very High"),25,IF(AND(J92="Critical",K92="High"),20,IF(AND(J92="High",K92="Very High"),20,IF(AND(J92="High",K92="High"),16,IF(AND(J92="Critical",K92="Medium"),15,IF(AND(J92="Medium",K92="High"),12,IF(AND(J92="High",K92="Medium"),12,10))))))))</f>
        <v/>
      </c>
      <c r="M92" s="21" t="n"/>
      <c r="N92" s="21" t="n"/>
      <c r="O92" s="21" t="n"/>
      <c r="P92" s="21" t="n"/>
      <c r="Q92" s="21" t="n"/>
      <c r="R92" s="21" t="n"/>
      <c r="S92" s="21" t="n"/>
      <c r="T92" s="21" t="n"/>
    </row>
    <row r="93">
      <c r="A93" s="20" t="inlineStr">
        <is>
          <t>GAP-080</t>
        </is>
      </c>
      <c r="B93" s="21" t="n"/>
      <c r="C93" s="21" t="n"/>
      <c r="D93" s="21" t="n"/>
      <c r="E93" s="21" t="n"/>
      <c r="F93" s="21" t="n"/>
      <c r="G93" s="21" t="n"/>
      <c r="H93" s="21" t="n"/>
      <c r="I93" s="21" t="n"/>
      <c r="J93" s="21" t="n"/>
      <c r="K93" s="21" t="n"/>
      <c r="L93" s="22">
        <f>IF(OR(ISBLANK(J93),ISBLANK(K93)),"",IF(AND(J93="Critical",K93="Very High"),25,IF(AND(J93="Critical",K93="High"),20,IF(AND(J93="High",K93="Very High"),20,IF(AND(J93="High",K93="High"),16,IF(AND(J93="Critical",K93="Medium"),15,IF(AND(J93="Medium",K93="High"),12,IF(AND(J93="High",K93="Medium"),12,10))))))))</f>
        <v/>
      </c>
      <c r="M93" s="21" t="n"/>
      <c r="N93" s="21" t="n"/>
      <c r="O93" s="21" t="n"/>
      <c r="P93" s="21" t="n"/>
      <c r="Q93" s="21" t="n"/>
      <c r="R93" s="21" t="n"/>
      <c r="S93" s="21" t="n"/>
      <c r="T93" s="21" t="n"/>
    </row>
    <row r="94">
      <c r="A94" s="20" t="inlineStr">
        <is>
          <t>GAP-081</t>
        </is>
      </c>
      <c r="B94" s="21" t="n"/>
      <c r="C94" s="21" t="n"/>
      <c r="D94" s="21" t="n"/>
      <c r="E94" s="21" t="n"/>
      <c r="F94" s="21" t="n"/>
      <c r="G94" s="21" t="n"/>
      <c r="H94" s="21" t="n"/>
      <c r="I94" s="21" t="n"/>
      <c r="J94" s="21" t="n"/>
      <c r="K94" s="21" t="n"/>
      <c r="L94" s="22">
        <f>IF(OR(ISBLANK(J94),ISBLANK(K94)),"",IF(AND(J94="Critical",K94="Very High"),25,IF(AND(J94="Critical",K94="High"),20,IF(AND(J94="High",K94="Very High"),20,IF(AND(J94="High",K94="High"),16,IF(AND(J94="Critical",K94="Medium"),15,IF(AND(J94="Medium",K94="High"),12,IF(AND(J94="High",K94="Medium"),12,10))))))))</f>
        <v/>
      </c>
      <c r="M94" s="21" t="n"/>
      <c r="N94" s="21" t="n"/>
      <c r="O94" s="21" t="n"/>
      <c r="P94" s="21" t="n"/>
      <c r="Q94" s="21" t="n"/>
      <c r="R94" s="21" t="n"/>
      <c r="S94" s="21" t="n"/>
      <c r="T94" s="21" t="n"/>
    </row>
    <row r="95">
      <c r="A95" s="20" t="inlineStr">
        <is>
          <t>GAP-082</t>
        </is>
      </c>
      <c r="B95" s="21" t="n"/>
      <c r="C95" s="21" t="n"/>
      <c r="D95" s="21" t="n"/>
      <c r="E95" s="21" t="n"/>
      <c r="F95" s="21" t="n"/>
      <c r="G95" s="21" t="n"/>
      <c r="H95" s="21" t="n"/>
      <c r="I95" s="21" t="n"/>
      <c r="J95" s="21" t="n"/>
      <c r="K95" s="21" t="n"/>
      <c r="L95" s="22">
        <f>IF(OR(ISBLANK(J95),ISBLANK(K95)),"",IF(AND(J95="Critical",K95="Very High"),25,IF(AND(J95="Critical",K95="High"),20,IF(AND(J95="High",K95="Very High"),20,IF(AND(J95="High",K95="High"),16,IF(AND(J95="Critical",K95="Medium"),15,IF(AND(J95="Medium",K95="High"),12,IF(AND(J95="High",K95="Medium"),12,10))))))))</f>
        <v/>
      </c>
      <c r="M95" s="21" t="n"/>
      <c r="N95" s="21" t="n"/>
      <c r="O95" s="21" t="n"/>
      <c r="P95" s="21" t="n"/>
      <c r="Q95" s="21" t="n"/>
      <c r="R95" s="21" t="n"/>
      <c r="S95" s="21" t="n"/>
      <c r="T95" s="21" t="n"/>
    </row>
    <row r="96">
      <c r="A96" s="20" t="inlineStr">
        <is>
          <t>GAP-083</t>
        </is>
      </c>
      <c r="B96" s="21" t="n"/>
      <c r="C96" s="21" t="n"/>
      <c r="D96" s="21" t="n"/>
      <c r="E96" s="21" t="n"/>
      <c r="F96" s="21" t="n"/>
      <c r="G96" s="21" t="n"/>
      <c r="H96" s="21" t="n"/>
      <c r="I96" s="21" t="n"/>
      <c r="J96" s="21" t="n"/>
      <c r="K96" s="21" t="n"/>
      <c r="L96" s="22">
        <f>IF(OR(ISBLANK(J96),ISBLANK(K96)),"",IF(AND(J96="Critical",K96="Very High"),25,IF(AND(J96="Critical",K96="High"),20,IF(AND(J96="High",K96="Very High"),20,IF(AND(J96="High",K96="High"),16,IF(AND(J96="Critical",K96="Medium"),15,IF(AND(J96="Medium",K96="High"),12,IF(AND(J96="High",K96="Medium"),12,10))))))))</f>
        <v/>
      </c>
      <c r="M96" s="21" t="n"/>
      <c r="N96" s="21" t="n"/>
      <c r="O96" s="21" t="n"/>
      <c r="P96" s="21" t="n"/>
      <c r="Q96" s="21" t="n"/>
      <c r="R96" s="21" t="n"/>
      <c r="S96" s="21" t="n"/>
      <c r="T96" s="21" t="n"/>
    </row>
    <row r="97">
      <c r="A97" s="20" t="inlineStr">
        <is>
          <t>GAP-084</t>
        </is>
      </c>
      <c r="B97" s="21" t="n"/>
      <c r="C97" s="21" t="n"/>
      <c r="D97" s="21" t="n"/>
      <c r="E97" s="21" t="n"/>
      <c r="F97" s="21" t="n"/>
      <c r="G97" s="21" t="n"/>
      <c r="H97" s="21" t="n"/>
      <c r="I97" s="21" t="n"/>
      <c r="J97" s="21" t="n"/>
      <c r="K97" s="21" t="n"/>
      <c r="L97" s="22">
        <f>IF(OR(ISBLANK(J97),ISBLANK(K97)),"",IF(AND(J97="Critical",K97="Very High"),25,IF(AND(J97="Critical",K97="High"),20,IF(AND(J97="High",K97="Very High"),20,IF(AND(J97="High",K97="High"),16,IF(AND(J97="Critical",K97="Medium"),15,IF(AND(J97="Medium",K97="High"),12,IF(AND(J97="High",K97="Medium"),12,10))))))))</f>
        <v/>
      </c>
      <c r="M97" s="21" t="n"/>
      <c r="N97" s="21" t="n"/>
      <c r="O97" s="21" t="n"/>
      <c r="P97" s="21" t="n"/>
      <c r="Q97" s="21" t="n"/>
      <c r="R97" s="21" t="n"/>
      <c r="S97" s="21" t="n"/>
      <c r="T97" s="21" t="n"/>
    </row>
    <row r="98">
      <c r="A98" s="20" t="inlineStr">
        <is>
          <t>GAP-085</t>
        </is>
      </c>
      <c r="B98" s="21" t="n"/>
      <c r="C98" s="21" t="n"/>
      <c r="D98" s="21" t="n"/>
      <c r="E98" s="21" t="n"/>
      <c r="F98" s="21" t="n"/>
      <c r="G98" s="21" t="n"/>
      <c r="H98" s="21" t="n"/>
      <c r="I98" s="21" t="n"/>
      <c r="J98" s="21" t="n"/>
      <c r="K98" s="21" t="n"/>
      <c r="L98" s="22">
        <f>IF(OR(ISBLANK(J98),ISBLANK(K98)),"",IF(AND(J98="Critical",K98="Very High"),25,IF(AND(J98="Critical",K98="High"),20,IF(AND(J98="High",K98="Very High"),20,IF(AND(J98="High",K98="High"),16,IF(AND(J98="Critical",K98="Medium"),15,IF(AND(J98="Medium",K98="High"),12,IF(AND(J98="High",K98="Medium"),12,10))))))))</f>
        <v/>
      </c>
      <c r="M98" s="21" t="n"/>
      <c r="N98" s="21" t="n"/>
      <c r="O98" s="21" t="n"/>
      <c r="P98" s="21" t="n"/>
      <c r="Q98" s="21" t="n"/>
      <c r="R98" s="21" t="n"/>
      <c r="S98" s="21" t="n"/>
      <c r="T98" s="21" t="n"/>
    </row>
    <row r="99">
      <c r="A99" s="20" t="inlineStr">
        <is>
          <t>GAP-086</t>
        </is>
      </c>
      <c r="B99" s="21" t="n"/>
      <c r="C99" s="21" t="n"/>
      <c r="D99" s="21" t="n"/>
      <c r="E99" s="21" t="n"/>
      <c r="F99" s="21" t="n"/>
      <c r="G99" s="21" t="n"/>
      <c r="H99" s="21" t="n"/>
      <c r="I99" s="21" t="n"/>
      <c r="J99" s="21" t="n"/>
      <c r="K99" s="21" t="n"/>
      <c r="L99" s="22">
        <f>IF(OR(ISBLANK(J99),ISBLANK(K99)),"",IF(AND(J99="Critical",K99="Very High"),25,IF(AND(J99="Critical",K99="High"),20,IF(AND(J99="High",K99="Very High"),20,IF(AND(J99="High",K99="High"),16,IF(AND(J99="Critical",K99="Medium"),15,IF(AND(J99="Medium",K99="High"),12,IF(AND(J99="High",K99="Medium"),12,10))))))))</f>
        <v/>
      </c>
      <c r="M99" s="21" t="n"/>
      <c r="N99" s="21" t="n"/>
      <c r="O99" s="21" t="n"/>
      <c r="P99" s="21" t="n"/>
      <c r="Q99" s="21" t="n"/>
      <c r="R99" s="21" t="n"/>
      <c r="S99" s="21" t="n"/>
      <c r="T99" s="21" t="n"/>
    </row>
    <row r="100">
      <c r="A100" s="20" t="inlineStr">
        <is>
          <t>GAP-087</t>
        </is>
      </c>
      <c r="B100" s="21" t="n"/>
      <c r="C100" s="21" t="n"/>
      <c r="D100" s="21" t="n"/>
      <c r="E100" s="21" t="n"/>
      <c r="F100" s="21" t="n"/>
      <c r="G100" s="21" t="n"/>
      <c r="H100" s="21" t="n"/>
      <c r="I100" s="21" t="n"/>
      <c r="J100" s="21" t="n"/>
      <c r="K100" s="21" t="n"/>
      <c r="L100" s="22">
        <f>IF(OR(ISBLANK(J100),ISBLANK(K100)),"",IF(AND(J100="Critical",K100="Very High"),25,IF(AND(J100="Critical",K100="High"),20,IF(AND(J100="High",K100="Very High"),20,IF(AND(J100="High",K100="High"),16,IF(AND(J100="Critical",K100="Medium"),15,IF(AND(J100="Medium",K100="High"),12,IF(AND(J100="High",K100="Medium"),12,10))))))))</f>
        <v/>
      </c>
      <c r="M100" s="21" t="n"/>
      <c r="N100" s="21" t="n"/>
      <c r="O100" s="21" t="n"/>
      <c r="P100" s="21" t="n"/>
      <c r="Q100" s="21" t="n"/>
      <c r="R100" s="21" t="n"/>
      <c r="S100" s="21" t="n"/>
      <c r="T100" s="21" t="n"/>
    </row>
    <row r="101">
      <c r="A101" s="20" t="inlineStr">
        <is>
          <t>GAP-088</t>
        </is>
      </c>
      <c r="B101" s="21" t="n"/>
      <c r="C101" s="21" t="n"/>
      <c r="D101" s="21" t="n"/>
      <c r="E101" s="21" t="n"/>
      <c r="F101" s="21" t="n"/>
      <c r="G101" s="21" t="n"/>
      <c r="H101" s="21" t="n"/>
      <c r="I101" s="21" t="n"/>
      <c r="J101" s="21" t="n"/>
      <c r="K101" s="21" t="n"/>
      <c r="L101" s="22">
        <f>IF(OR(ISBLANK(J101),ISBLANK(K101)),"",IF(AND(J101="Critical",K101="Very High"),25,IF(AND(J101="Critical",K101="High"),20,IF(AND(J101="High",K101="Very High"),20,IF(AND(J101="High",K101="High"),16,IF(AND(J101="Critical",K101="Medium"),15,IF(AND(J101="Medium",K101="High"),12,IF(AND(J101="High",K101="Medium"),12,10))))))))</f>
        <v/>
      </c>
      <c r="M101" s="21" t="n"/>
      <c r="N101" s="21" t="n"/>
      <c r="O101" s="21" t="n"/>
      <c r="P101" s="21" t="n"/>
      <c r="Q101" s="21" t="n"/>
      <c r="R101" s="21" t="n"/>
      <c r="S101" s="21" t="n"/>
      <c r="T101" s="21" t="n"/>
    </row>
    <row r="102">
      <c r="A102" s="20" t="inlineStr">
        <is>
          <t>GAP-089</t>
        </is>
      </c>
      <c r="B102" s="21" t="n"/>
      <c r="C102" s="21" t="n"/>
      <c r="D102" s="21" t="n"/>
      <c r="E102" s="21" t="n"/>
      <c r="F102" s="21" t="n"/>
      <c r="G102" s="21" t="n"/>
      <c r="H102" s="21" t="n"/>
      <c r="I102" s="21" t="n"/>
      <c r="J102" s="21" t="n"/>
      <c r="K102" s="21" t="n"/>
      <c r="L102" s="22">
        <f>IF(OR(ISBLANK(J102),ISBLANK(K102)),"",IF(AND(J102="Critical",K102="Very High"),25,IF(AND(J102="Critical",K102="High"),20,IF(AND(J102="High",K102="Very High"),20,IF(AND(J102="High",K102="High"),16,IF(AND(J102="Critical",K102="Medium"),15,IF(AND(J102="Medium",K102="High"),12,IF(AND(J102="High",K102="Medium"),12,10))))))))</f>
        <v/>
      </c>
      <c r="M102" s="21" t="n"/>
      <c r="N102" s="21" t="n"/>
      <c r="O102" s="21" t="n"/>
      <c r="P102" s="21" t="n"/>
      <c r="Q102" s="21" t="n"/>
      <c r="R102" s="21" t="n"/>
      <c r="S102" s="21" t="n"/>
      <c r="T102" s="21" t="n"/>
    </row>
    <row r="103">
      <c r="A103" s="20" t="inlineStr">
        <is>
          <t>GAP-090</t>
        </is>
      </c>
      <c r="B103" s="21" t="n"/>
      <c r="C103" s="21" t="n"/>
      <c r="D103" s="21" t="n"/>
      <c r="E103" s="21" t="n"/>
      <c r="F103" s="21" t="n"/>
      <c r="G103" s="21" t="n"/>
      <c r="H103" s="21" t="n"/>
      <c r="I103" s="21" t="n"/>
      <c r="J103" s="21" t="n"/>
      <c r="K103" s="21" t="n"/>
      <c r="L103" s="22">
        <f>IF(OR(ISBLANK(J103),ISBLANK(K103)),"",IF(AND(J103="Critical",K103="Very High"),25,IF(AND(J103="Critical",K103="High"),20,IF(AND(J103="High",K103="Very High"),20,IF(AND(J103="High",K103="High"),16,IF(AND(J103="Critical",K103="Medium"),15,IF(AND(J103="Medium",K103="High"),12,IF(AND(J103="High",K103="Medium"),12,10))))))))</f>
        <v/>
      </c>
      <c r="M103" s="21" t="n"/>
      <c r="N103" s="21" t="n"/>
      <c r="O103" s="21" t="n"/>
      <c r="P103" s="21" t="n"/>
      <c r="Q103" s="21" t="n"/>
      <c r="R103" s="21" t="n"/>
      <c r="S103" s="21" t="n"/>
      <c r="T103" s="21" t="n"/>
    </row>
    <row r="104">
      <c r="A104" s="20" t="inlineStr">
        <is>
          <t>GAP-091</t>
        </is>
      </c>
      <c r="B104" s="21" t="n"/>
      <c r="C104" s="21" t="n"/>
      <c r="D104" s="21" t="n"/>
      <c r="E104" s="21" t="n"/>
      <c r="F104" s="21" t="n"/>
      <c r="G104" s="21" t="n"/>
      <c r="H104" s="21" t="n"/>
      <c r="I104" s="21" t="n"/>
      <c r="J104" s="21" t="n"/>
      <c r="K104" s="21" t="n"/>
      <c r="L104" s="22">
        <f>IF(OR(ISBLANK(J104),ISBLANK(K104)),"",IF(AND(J104="Critical",K104="Very High"),25,IF(AND(J104="Critical",K104="High"),20,IF(AND(J104="High",K104="Very High"),20,IF(AND(J104="High",K104="High"),16,IF(AND(J104="Critical",K104="Medium"),15,IF(AND(J104="Medium",K104="High"),12,IF(AND(J104="High",K104="Medium"),12,10))))))))</f>
        <v/>
      </c>
      <c r="M104" s="21" t="n"/>
      <c r="N104" s="21" t="n"/>
      <c r="O104" s="21" t="n"/>
      <c r="P104" s="21" t="n"/>
      <c r="Q104" s="21" t="n"/>
      <c r="R104" s="21" t="n"/>
      <c r="S104" s="21" t="n"/>
      <c r="T104" s="21" t="n"/>
    </row>
    <row r="105">
      <c r="A105" s="20" t="inlineStr">
        <is>
          <t>GAP-092</t>
        </is>
      </c>
      <c r="B105" s="21" t="n"/>
      <c r="C105" s="21" t="n"/>
      <c r="D105" s="21" t="n"/>
      <c r="E105" s="21" t="n"/>
      <c r="F105" s="21" t="n"/>
      <c r="G105" s="21" t="n"/>
      <c r="H105" s="21" t="n"/>
      <c r="I105" s="21" t="n"/>
      <c r="J105" s="21" t="n"/>
      <c r="K105" s="21" t="n"/>
      <c r="L105" s="22">
        <f>IF(OR(ISBLANK(J105),ISBLANK(K105)),"",IF(AND(J105="Critical",K105="Very High"),25,IF(AND(J105="Critical",K105="High"),20,IF(AND(J105="High",K105="Very High"),20,IF(AND(J105="High",K105="High"),16,IF(AND(J105="Critical",K105="Medium"),15,IF(AND(J105="Medium",K105="High"),12,IF(AND(J105="High",K105="Medium"),12,10))))))))</f>
        <v/>
      </c>
      <c r="M105" s="21" t="n"/>
      <c r="N105" s="21" t="n"/>
      <c r="O105" s="21" t="n"/>
      <c r="P105" s="21" t="n"/>
      <c r="Q105" s="21" t="n"/>
      <c r="R105" s="21" t="n"/>
      <c r="S105" s="21" t="n"/>
      <c r="T105" s="21" t="n"/>
    </row>
    <row r="106">
      <c r="A106" s="20" t="inlineStr">
        <is>
          <t>GAP-093</t>
        </is>
      </c>
      <c r="B106" s="21" t="n"/>
      <c r="C106" s="21" t="n"/>
      <c r="D106" s="21" t="n"/>
      <c r="E106" s="21" t="n"/>
      <c r="F106" s="21" t="n"/>
      <c r="G106" s="21" t="n"/>
      <c r="H106" s="21" t="n"/>
      <c r="I106" s="21" t="n"/>
      <c r="J106" s="21" t="n"/>
      <c r="K106" s="21" t="n"/>
      <c r="L106" s="22">
        <f>IF(OR(ISBLANK(J106),ISBLANK(K106)),"",IF(AND(J106="Critical",K106="Very High"),25,IF(AND(J106="Critical",K106="High"),20,IF(AND(J106="High",K106="Very High"),20,IF(AND(J106="High",K106="High"),16,IF(AND(J106="Critical",K106="Medium"),15,IF(AND(J106="Medium",K106="High"),12,IF(AND(J106="High",K106="Medium"),12,10))))))))</f>
        <v/>
      </c>
      <c r="M106" s="21" t="n"/>
      <c r="N106" s="21" t="n"/>
      <c r="O106" s="21" t="n"/>
      <c r="P106" s="21" t="n"/>
      <c r="Q106" s="21" t="n"/>
      <c r="R106" s="21" t="n"/>
      <c r="S106" s="21" t="n"/>
      <c r="T106" s="21" t="n"/>
    </row>
    <row r="107">
      <c r="A107" s="20" t="inlineStr">
        <is>
          <t>GAP-094</t>
        </is>
      </c>
      <c r="B107" s="21" t="n"/>
      <c r="C107" s="21" t="n"/>
      <c r="D107" s="21" t="n"/>
      <c r="E107" s="21" t="n"/>
      <c r="F107" s="21" t="n"/>
      <c r="G107" s="21" t="n"/>
      <c r="H107" s="21" t="n"/>
      <c r="I107" s="21" t="n"/>
      <c r="J107" s="21" t="n"/>
      <c r="K107" s="21" t="n"/>
      <c r="L107" s="22">
        <f>IF(OR(ISBLANK(J107),ISBLANK(K107)),"",IF(AND(J107="Critical",K107="Very High"),25,IF(AND(J107="Critical",K107="High"),20,IF(AND(J107="High",K107="Very High"),20,IF(AND(J107="High",K107="High"),16,IF(AND(J107="Critical",K107="Medium"),15,IF(AND(J107="Medium",K107="High"),12,IF(AND(J107="High",K107="Medium"),12,10))))))))</f>
        <v/>
      </c>
      <c r="M107" s="21" t="n"/>
      <c r="N107" s="21" t="n"/>
      <c r="O107" s="21" t="n"/>
      <c r="P107" s="21" t="n"/>
      <c r="Q107" s="21" t="n"/>
      <c r="R107" s="21" t="n"/>
      <c r="S107" s="21" t="n"/>
      <c r="T107" s="21" t="n"/>
    </row>
    <row r="108">
      <c r="A108" s="20" t="inlineStr">
        <is>
          <t>GAP-095</t>
        </is>
      </c>
      <c r="B108" s="21" t="n"/>
      <c r="C108" s="21" t="n"/>
      <c r="D108" s="21" t="n"/>
      <c r="E108" s="21" t="n"/>
      <c r="F108" s="21" t="n"/>
      <c r="G108" s="21" t="n"/>
      <c r="H108" s="21" t="n"/>
      <c r="I108" s="21" t="n"/>
      <c r="J108" s="21" t="n"/>
      <c r="K108" s="21" t="n"/>
      <c r="L108" s="22">
        <f>IF(OR(ISBLANK(J108),ISBLANK(K108)),"",IF(AND(J108="Critical",K108="Very High"),25,IF(AND(J108="Critical",K108="High"),20,IF(AND(J108="High",K108="Very High"),20,IF(AND(J108="High",K108="High"),16,IF(AND(J108="Critical",K108="Medium"),15,IF(AND(J108="Medium",K108="High"),12,IF(AND(J108="High",K108="Medium"),12,10))))))))</f>
        <v/>
      </c>
      <c r="M108" s="21" t="n"/>
      <c r="N108" s="21" t="n"/>
      <c r="O108" s="21" t="n"/>
      <c r="P108" s="21" t="n"/>
      <c r="Q108" s="21" t="n"/>
      <c r="R108" s="21" t="n"/>
      <c r="S108" s="21" t="n"/>
      <c r="T108" s="21" t="n"/>
    </row>
    <row r="109">
      <c r="A109" s="20" t="inlineStr">
        <is>
          <t>GAP-096</t>
        </is>
      </c>
      <c r="B109" s="21" t="n"/>
      <c r="C109" s="21" t="n"/>
      <c r="D109" s="21" t="n"/>
      <c r="E109" s="21" t="n"/>
      <c r="F109" s="21" t="n"/>
      <c r="G109" s="21" t="n"/>
      <c r="H109" s="21" t="n"/>
      <c r="I109" s="21" t="n"/>
      <c r="J109" s="21" t="n"/>
      <c r="K109" s="21" t="n"/>
      <c r="L109" s="22">
        <f>IF(OR(ISBLANK(J109),ISBLANK(K109)),"",IF(AND(J109="Critical",K109="Very High"),25,IF(AND(J109="Critical",K109="High"),20,IF(AND(J109="High",K109="Very High"),20,IF(AND(J109="High",K109="High"),16,IF(AND(J109="Critical",K109="Medium"),15,IF(AND(J109="Medium",K109="High"),12,IF(AND(J109="High",K109="Medium"),12,10))))))))</f>
        <v/>
      </c>
      <c r="M109" s="21" t="n"/>
      <c r="N109" s="21" t="n"/>
      <c r="O109" s="21" t="n"/>
      <c r="P109" s="21" t="n"/>
      <c r="Q109" s="21" t="n"/>
      <c r="R109" s="21" t="n"/>
      <c r="S109" s="21" t="n"/>
      <c r="T109" s="21" t="n"/>
    </row>
    <row r="110">
      <c r="A110" s="20" t="inlineStr">
        <is>
          <t>GAP-097</t>
        </is>
      </c>
      <c r="B110" s="21" t="n"/>
      <c r="C110" s="21" t="n"/>
      <c r="D110" s="21" t="n"/>
      <c r="E110" s="21" t="n"/>
      <c r="F110" s="21" t="n"/>
      <c r="G110" s="21" t="n"/>
      <c r="H110" s="21" t="n"/>
      <c r="I110" s="21" t="n"/>
      <c r="J110" s="21" t="n"/>
      <c r="K110" s="21" t="n"/>
      <c r="L110" s="22">
        <f>IF(OR(ISBLANK(J110),ISBLANK(K110)),"",IF(AND(J110="Critical",K110="Very High"),25,IF(AND(J110="Critical",K110="High"),20,IF(AND(J110="High",K110="Very High"),20,IF(AND(J110="High",K110="High"),16,IF(AND(J110="Critical",K110="Medium"),15,IF(AND(J110="Medium",K110="High"),12,IF(AND(J110="High",K110="Medium"),12,10))))))))</f>
        <v/>
      </c>
      <c r="M110" s="21" t="n"/>
      <c r="N110" s="21" t="n"/>
      <c r="O110" s="21" t="n"/>
      <c r="P110" s="21" t="n"/>
      <c r="Q110" s="21" t="n"/>
      <c r="R110" s="21" t="n"/>
      <c r="S110" s="21" t="n"/>
      <c r="T110" s="21" t="n"/>
    </row>
    <row r="111">
      <c r="A111" s="20" t="inlineStr">
        <is>
          <t>GAP-098</t>
        </is>
      </c>
      <c r="B111" s="21" t="n"/>
      <c r="C111" s="21" t="n"/>
      <c r="D111" s="21" t="n"/>
      <c r="E111" s="21" t="n"/>
      <c r="F111" s="21" t="n"/>
      <c r="G111" s="21" t="n"/>
      <c r="H111" s="21" t="n"/>
      <c r="I111" s="21" t="n"/>
      <c r="J111" s="21" t="n"/>
      <c r="K111" s="21" t="n"/>
      <c r="L111" s="22">
        <f>IF(OR(ISBLANK(J111),ISBLANK(K111)),"",IF(AND(J111="Critical",K111="Very High"),25,IF(AND(J111="Critical",K111="High"),20,IF(AND(J111="High",K111="Very High"),20,IF(AND(J111="High",K111="High"),16,IF(AND(J111="Critical",K111="Medium"),15,IF(AND(J111="Medium",K111="High"),12,IF(AND(J111="High",K111="Medium"),12,10))))))))</f>
        <v/>
      </c>
      <c r="M111" s="21" t="n"/>
      <c r="N111" s="21" t="n"/>
      <c r="O111" s="21" t="n"/>
      <c r="P111" s="21" t="n"/>
      <c r="Q111" s="21" t="n"/>
      <c r="R111" s="21" t="n"/>
      <c r="S111" s="21" t="n"/>
      <c r="T111" s="21" t="n"/>
    </row>
    <row r="112">
      <c r="A112" s="20" t="inlineStr">
        <is>
          <t>GAP-099</t>
        </is>
      </c>
      <c r="B112" s="21" t="n"/>
      <c r="C112" s="21" t="n"/>
      <c r="D112" s="21" t="n"/>
      <c r="E112" s="21" t="n"/>
      <c r="F112" s="21" t="n"/>
      <c r="G112" s="21" t="n"/>
      <c r="H112" s="21" t="n"/>
      <c r="I112" s="21" t="n"/>
      <c r="J112" s="21" t="n"/>
      <c r="K112" s="21" t="n"/>
      <c r="L112" s="22">
        <f>IF(OR(ISBLANK(J112),ISBLANK(K112)),"",IF(AND(J112="Critical",K112="Very High"),25,IF(AND(J112="Critical",K112="High"),20,IF(AND(J112="High",K112="Very High"),20,IF(AND(J112="High",K112="High"),16,IF(AND(J112="Critical",K112="Medium"),15,IF(AND(J112="Medium",K112="High"),12,IF(AND(J112="High",K112="Medium"),12,10))))))))</f>
        <v/>
      </c>
      <c r="M112" s="21" t="n"/>
      <c r="N112" s="21" t="n"/>
      <c r="O112" s="21" t="n"/>
      <c r="P112" s="21" t="n"/>
      <c r="Q112" s="21" t="n"/>
      <c r="R112" s="21" t="n"/>
      <c r="S112" s="21" t="n"/>
      <c r="T112" s="21" t="n"/>
    </row>
    <row r="113">
      <c r="A113" s="20" t="inlineStr">
        <is>
          <t>GAP-100</t>
        </is>
      </c>
      <c r="B113" s="21" t="n"/>
      <c r="C113" s="21" t="n"/>
      <c r="D113" s="21" t="n"/>
      <c r="E113" s="21" t="n"/>
      <c r="F113" s="21" t="n"/>
      <c r="G113" s="21" t="n"/>
      <c r="H113" s="21" t="n"/>
      <c r="I113" s="21" t="n"/>
      <c r="J113" s="21" t="n"/>
      <c r="K113" s="21" t="n"/>
      <c r="L113" s="22">
        <f>IF(OR(ISBLANK(J113),ISBLANK(K113)),"",IF(AND(J113="Critical",K113="Very High"),25,IF(AND(J113="Critical",K113="High"),20,IF(AND(J113="High",K113="Very High"),20,IF(AND(J113="High",K113="High"),16,IF(AND(J113="Critical",K113="Medium"),15,IF(AND(J113="Medium",K113="High"),12,IF(AND(J113="High",K113="Medium"),12,10))))))))</f>
        <v/>
      </c>
      <c r="M113" s="21" t="n"/>
      <c r="N113" s="21" t="n"/>
      <c r="O113" s="21" t="n"/>
      <c r="P113" s="21" t="n"/>
      <c r="Q113" s="21" t="n"/>
      <c r="R113" s="21" t="n"/>
      <c r="S113" s="21" t="n"/>
      <c r="T113" s="21" t="n"/>
    </row>
    <row r="114">
      <c r="A114" s="20" t="inlineStr">
        <is>
          <t>GAP-101</t>
        </is>
      </c>
      <c r="B114" s="21" t="n"/>
      <c r="C114" s="21" t="n"/>
      <c r="D114" s="21" t="n"/>
      <c r="E114" s="21" t="n"/>
      <c r="F114" s="21" t="n"/>
      <c r="G114" s="21" t="n"/>
      <c r="H114" s="21" t="n"/>
      <c r="I114" s="21" t="n"/>
      <c r="J114" s="21" t="n"/>
      <c r="K114" s="21" t="n"/>
      <c r="L114" s="22">
        <f>IF(OR(ISBLANK(J114),ISBLANK(K114)),"",IF(AND(J114="Critical",K114="Very High"),25,IF(AND(J114="Critical",K114="High"),20,IF(AND(J114="High",K114="Very High"),20,IF(AND(J114="High",K114="High"),16,IF(AND(J114="Critical",K114="Medium"),15,IF(AND(J114="Medium",K114="High"),12,IF(AND(J114="High",K114="Medium"),12,10))))))))</f>
        <v/>
      </c>
      <c r="M114" s="21" t="n"/>
      <c r="N114" s="21" t="n"/>
      <c r="O114" s="21" t="n"/>
      <c r="P114" s="21" t="n"/>
      <c r="Q114" s="21" t="n"/>
      <c r="R114" s="21" t="n"/>
      <c r="S114" s="21" t="n"/>
      <c r="T114" s="21" t="n"/>
    </row>
    <row r="115">
      <c r="A115" s="20" t="inlineStr">
        <is>
          <t>GAP-102</t>
        </is>
      </c>
      <c r="B115" s="21" t="n"/>
      <c r="C115" s="21" t="n"/>
      <c r="D115" s="21" t="n"/>
      <c r="E115" s="21" t="n"/>
      <c r="F115" s="21" t="n"/>
      <c r="G115" s="21" t="n"/>
      <c r="H115" s="21" t="n"/>
      <c r="I115" s="21" t="n"/>
      <c r="J115" s="21" t="n"/>
      <c r="K115" s="21" t="n"/>
      <c r="L115" s="22">
        <f>IF(OR(ISBLANK(J115),ISBLANK(K115)),"",IF(AND(J115="Critical",K115="Very High"),25,IF(AND(J115="Critical",K115="High"),20,IF(AND(J115="High",K115="Very High"),20,IF(AND(J115="High",K115="High"),16,IF(AND(J115="Critical",K115="Medium"),15,IF(AND(J115="Medium",K115="High"),12,IF(AND(J115="High",K115="Medium"),12,10))))))))</f>
        <v/>
      </c>
      <c r="M115" s="21" t="n"/>
      <c r="N115" s="21" t="n"/>
      <c r="O115" s="21" t="n"/>
      <c r="P115" s="21" t="n"/>
      <c r="Q115" s="21" t="n"/>
      <c r="R115" s="21" t="n"/>
      <c r="S115" s="21" t="n"/>
      <c r="T115" s="21" t="n"/>
    </row>
    <row r="116">
      <c r="A116" s="20" t="inlineStr">
        <is>
          <t>GAP-103</t>
        </is>
      </c>
      <c r="B116" s="21" t="n"/>
      <c r="C116" s="21" t="n"/>
      <c r="D116" s="21" t="n"/>
      <c r="E116" s="21" t="n"/>
      <c r="F116" s="21" t="n"/>
      <c r="G116" s="21" t="n"/>
      <c r="H116" s="21" t="n"/>
      <c r="I116" s="21" t="n"/>
      <c r="J116" s="21" t="n"/>
      <c r="K116" s="21" t="n"/>
      <c r="L116" s="22">
        <f>IF(OR(ISBLANK(J116),ISBLANK(K116)),"",IF(AND(J116="Critical",K116="Very High"),25,IF(AND(J116="Critical",K116="High"),20,IF(AND(J116="High",K116="Very High"),20,IF(AND(J116="High",K116="High"),16,IF(AND(J116="Critical",K116="Medium"),15,IF(AND(J116="Medium",K116="High"),12,IF(AND(J116="High",K116="Medium"),12,10))))))))</f>
        <v/>
      </c>
      <c r="M116" s="21" t="n"/>
      <c r="N116" s="21" t="n"/>
      <c r="O116" s="21" t="n"/>
      <c r="P116" s="21" t="n"/>
      <c r="Q116" s="21" t="n"/>
      <c r="R116" s="21" t="n"/>
      <c r="S116" s="21" t="n"/>
      <c r="T116" s="21" t="n"/>
    </row>
    <row r="117">
      <c r="A117" s="20" t="inlineStr">
        <is>
          <t>GAP-104</t>
        </is>
      </c>
      <c r="B117" s="21" t="n"/>
      <c r="C117" s="21" t="n"/>
      <c r="D117" s="21" t="n"/>
      <c r="E117" s="21" t="n"/>
      <c r="F117" s="21" t="n"/>
      <c r="G117" s="21" t="n"/>
      <c r="H117" s="21" t="n"/>
      <c r="I117" s="21" t="n"/>
      <c r="J117" s="21" t="n"/>
      <c r="K117" s="21" t="n"/>
      <c r="L117" s="22">
        <f>IF(OR(ISBLANK(J117),ISBLANK(K117)),"",IF(AND(J117="Critical",K117="Very High"),25,IF(AND(J117="Critical",K117="High"),20,IF(AND(J117="High",K117="Very High"),20,IF(AND(J117="High",K117="High"),16,IF(AND(J117="Critical",K117="Medium"),15,IF(AND(J117="Medium",K117="High"),12,IF(AND(J117="High",K117="Medium"),12,10))))))))</f>
        <v/>
      </c>
      <c r="M117" s="21" t="n"/>
      <c r="N117" s="21" t="n"/>
      <c r="O117" s="21" t="n"/>
      <c r="P117" s="21" t="n"/>
      <c r="Q117" s="21" t="n"/>
      <c r="R117" s="21" t="n"/>
      <c r="S117" s="21" t="n"/>
      <c r="T117" s="21" t="n"/>
    </row>
    <row r="118">
      <c r="A118" s="20" t="inlineStr">
        <is>
          <t>GAP-105</t>
        </is>
      </c>
      <c r="B118" s="21" t="n"/>
      <c r="C118" s="21" t="n"/>
      <c r="D118" s="21" t="n"/>
      <c r="E118" s="21" t="n"/>
      <c r="F118" s="21" t="n"/>
      <c r="G118" s="21" t="n"/>
      <c r="H118" s="21" t="n"/>
      <c r="I118" s="21" t="n"/>
      <c r="J118" s="21" t="n"/>
      <c r="K118" s="21" t="n"/>
      <c r="L118" s="22">
        <f>IF(OR(ISBLANK(J118),ISBLANK(K118)),"",IF(AND(J118="Critical",K118="Very High"),25,IF(AND(J118="Critical",K118="High"),20,IF(AND(J118="High",K118="Very High"),20,IF(AND(J118="High",K118="High"),16,IF(AND(J118="Critical",K118="Medium"),15,IF(AND(J118="Medium",K118="High"),12,IF(AND(J118="High",K118="Medium"),12,10))))))))</f>
        <v/>
      </c>
      <c r="M118" s="21" t="n"/>
      <c r="N118" s="21" t="n"/>
      <c r="O118" s="21" t="n"/>
      <c r="P118" s="21" t="n"/>
      <c r="Q118" s="21" t="n"/>
      <c r="R118" s="21" t="n"/>
      <c r="S118" s="21" t="n"/>
      <c r="T118" s="21" t="n"/>
    </row>
    <row r="119">
      <c r="A119" s="20" t="inlineStr">
        <is>
          <t>GAP-106</t>
        </is>
      </c>
      <c r="B119" s="21" t="n"/>
      <c r="C119" s="21" t="n"/>
      <c r="D119" s="21" t="n"/>
      <c r="E119" s="21" t="n"/>
      <c r="F119" s="21" t="n"/>
      <c r="G119" s="21" t="n"/>
      <c r="H119" s="21" t="n"/>
      <c r="I119" s="21" t="n"/>
      <c r="J119" s="21" t="n"/>
      <c r="K119" s="21" t="n"/>
      <c r="L119" s="22">
        <f>IF(OR(ISBLANK(J119),ISBLANK(K119)),"",IF(AND(J119="Critical",K119="Very High"),25,IF(AND(J119="Critical",K119="High"),20,IF(AND(J119="High",K119="Very High"),20,IF(AND(J119="High",K119="High"),16,IF(AND(J119="Critical",K119="Medium"),15,IF(AND(J119="Medium",K119="High"),12,IF(AND(J119="High",K119="Medium"),12,10))))))))</f>
        <v/>
      </c>
      <c r="M119" s="21" t="n"/>
      <c r="N119" s="21" t="n"/>
      <c r="O119" s="21" t="n"/>
      <c r="P119" s="21" t="n"/>
      <c r="Q119" s="21" t="n"/>
      <c r="R119" s="21" t="n"/>
      <c r="S119" s="21" t="n"/>
      <c r="T119" s="21" t="n"/>
    </row>
    <row r="120">
      <c r="A120" s="20" t="inlineStr">
        <is>
          <t>GAP-107</t>
        </is>
      </c>
      <c r="B120" s="21" t="n"/>
      <c r="C120" s="21" t="n"/>
      <c r="D120" s="21" t="n"/>
      <c r="E120" s="21" t="n"/>
      <c r="F120" s="21" t="n"/>
      <c r="G120" s="21" t="n"/>
      <c r="H120" s="21" t="n"/>
      <c r="I120" s="21" t="n"/>
      <c r="J120" s="21" t="n"/>
      <c r="K120" s="21" t="n"/>
      <c r="L120" s="22">
        <f>IF(OR(ISBLANK(J120),ISBLANK(K120)),"",IF(AND(J120="Critical",K120="Very High"),25,IF(AND(J120="Critical",K120="High"),20,IF(AND(J120="High",K120="Very High"),20,IF(AND(J120="High",K120="High"),16,IF(AND(J120="Critical",K120="Medium"),15,IF(AND(J120="Medium",K120="High"),12,IF(AND(J120="High",K120="Medium"),12,10))))))))</f>
        <v/>
      </c>
      <c r="M120" s="21" t="n"/>
      <c r="N120" s="21" t="n"/>
      <c r="O120" s="21" t="n"/>
      <c r="P120" s="21" t="n"/>
      <c r="Q120" s="21" t="n"/>
      <c r="R120" s="21" t="n"/>
      <c r="S120" s="21" t="n"/>
      <c r="T120" s="21" t="n"/>
    </row>
    <row r="121">
      <c r="A121" s="20" t="inlineStr">
        <is>
          <t>GAP-108</t>
        </is>
      </c>
      <c r="B121" s="21" t="n"/>
      <c r="C121" s="21" t="n"/>
      <c r="D121" s="21" t="n"/>
      <c r="E121" s="21" t="n"/>
      <c r="F121" s="21" t="n"/>
      <c r="G121" s="21" t="n"/>
      <c r="H121" s="21" t="n"/>
      <c r="I121" s="21" t="n"/>
      <c r="J121" s="21" t="n"/>
      <c r="K121" s="21" t="n"/>
      <c r="L121" s="22">
        <f>IF(OR(ISBLANK(J121),ISBLANK(K121)),"",IF(AND(J121="Critical",K121="Very High"),25,IF(AND(J121="Critical",K121="High"),20,IF(AND(J121="High",K121="Very High"),20,IF(AND(J121="High",K121="High"),16,IF(AND(J121="Critical",K121="Medium"),15,IF(AND(J121="Medium",K121="High"),12,IF(AND(J121="High",K121="Medium"),12,10))))))))</f>
        <v/>
      </c>
      <c r="M121" s="21" t="n"/>
      <c r="N121" s="21" t="n"/>
      <c r="O121" s="21" t="n"/>
      <c r="P121" s="21" t="n"/>
      <c r="Q121" s="21" t="n"/>
      <c r="R121" s="21" t="n"/>
      <c r="S121" s="21" t="n"/>
      <c r="T121" s="21" t="n"/>
    </row>
    <row r="122">
      <c r="A122" s="20" t="inlineStr">
        <is>
          <t>GAP-109</t>
        </is>
      </c>
      <c r="B122" s="21" t="n"/>
      <c r="C122" s="21" t="n"/>
      <c r="D122" s="21" t="n"/>
      <c r="E122" s="21" t="n"/>
      <c r="F122" s="21" t="n"/>
      <c r="G122" s="21" t="n"/>
      <c r="H122" s="21" t="n"/>
      <c r="I122" s="21" t="n"/>
      <c r="J122" s="21" t="n"/>
      <c r="K122" s="21" t="n"/>
      <c r="L122" s="22">
        <f>IF(OR(ISBLANK(J122),ISBLANK(K122)),"",IF(AND(J122="Critical",K122="Very High"),25,IF(AND(J122="Critical",K122="High"),20,IF(AND(J122="High",K122="Very High"),20,IF(AND(J122="High",K122="High"),16,IF(AND(J122="Critical",K122="Medium"),15,IF(AND(J122="Medium",K122="High"),12,IF(AND(J122="High",K122="Medium"),12,10))))))))</f>
        <v/>
      </c>
      <c r="M122" s="21" t="n"/>
      <c r="N122" s="21" t="n"/>
      <c r="O122" s="21" t="n"/>
      <c r="P122" s="21" t="n"/>
      <c r="Q122" s="21" t="n"/>
      <c r="R122" s="21" t="n"/>
      <c r="S122" s="21" t="n"/>
      <c r="T122" s="21" t="n"/>
    </row>
    <row r="123">
      <c r="A123" s="20" t="inlineStr">
        <is>
          <t>GAP-110</t>
        </is>
      </c>
      <c r="B123" s="21" t="n"/>
      <c r="C123" s="21" t="n"/>
      <c r="D123" s="21" t="n"/>
      <c r="E123" s="21" t="n"/>
      <c r="F123" s="21" t="n"/>
      <c r="G123" s="21" t="n"/>
      <c r="H123" s="21" t="n"/>
      <c r="I123" s="21" t="n"/>
      <c r="J123" s="21" t="n"/>
      <c r="K123" s="21" t="n"/>
      <c r="L123" s="22">
        <f>IF(OR(ISBLANK(J123),ISBLANK(K123)),"",IF(AND(J123="Critical",K123="Very High"),25,IF(AND(J123="Critical",K123="High"),20,IF(AND(J123="High",K123="Very High"),20,IF(AND(J123="High",K123="High"),16,IF(AND(J123="Critical",K123="Medium"),15,IF(AND(J123="Medium",K123="High"),12,IF(AND(J123="High",K123="Medium"),12,10))))))))</f>
        <v/>
      </c>
      <c r="M123" s="21" t="n"/>
      <c r="N123" s="21" t="n"/>
      <c r="O123" s="21" t="n"/>
      <c r="P123" s="21" t="n"/>
      <c r="Q123" s="21" t="n"/>
      <c r="R123" s="21" t="n"/>
      <c r="S123" s="21" t="n"/>
      <c r="T123" s="21" t="n"/>
    </row>
    <row r="124">
      <c r="A124" s="20" t="inlineStr">
        <is>
          <t>GAP-111</t>
        </is>
      </c>
      <c r="B124" s="21" t="n"/>
      <c r="C124" s="21" t="n"/>
      <c r="D124" s="21" t="n"/>
      <c r="E124" s="21" t="n"/>
      <c r="F124" s="21" t="n"/>
      <c r="G124" s="21" t="n"/>
      <c r="H124" s="21" t="n"/>
      <c r="I124" s="21" t="n"/>
      <c r="J124" s="21" t="n"/>
      <c r="K124" s="21" t="n"/>
      <c r="L124" s="22">
        <f>IF(OR(ISBLANK(J124),ISBLANK(K124)),"",IF(AND(J124="Critical",K124="Very High"),25,IF(AND(J124="Critical",K124="High"),20,IF(AND(J124="High",K124="Very High"),20,IF(AND(J124="High",K124="High"),16,IF(AND(J124="Critical",K124="Medium"),15,IF(AND(J124="Medium",K124="High"),12,IF(AND(J124="High",K124="Medium"),12,10))))))))</f>
        <v/>
      </c>
      <c r="M124" s="21" t="n"/>
      <c r="N124" s="21" t="n"/>
      <c r="O124" s="21" t="n"/>
      <c r="P124" s="21" t="n"/>
      <c r="Q124" s="21" t="n"/>
      <c r="R124" s="21" t="n"/>
      <c r="S124" s="21" t="n"/>
      <c r="T124" s="21" t="n"/>
    </row>
    <row r="125">
      <c r="A125" s="20" t="inlineStr">
        <is>
          <t>GAP-112</t>
        </is>
      </c>
      <c r="B125" s="21" t="n"/>
      <c r="C125" s="21" t="n"/>
      <c r="D125" s="21" t="n"/>
      <c r="E125" s="21" t="n"/>
      <c r="F125" s="21" t="n"/>
      <c r="G125" s="21" t="n"/>
      <c r="H125" s="21" t="n"/>
      <c r="I125" s="21" t="n"/>
      <c r="J125" s="21" t="n"/>
      <c r="K125" s="21" t="n"/>
      <c r="L125" s="22">
        <f>IF(OR(ISBLANK(J125),ISBLANK(K125)),"",IF(AND(J125="Critical",K125="Very High"),25,IF(AND(J125="Critical",K125="High"),20,IF(AND(J125="High",K125="Very High"),20,IF(AND(J125="High",K125="High"),16,IF(AND(J125="Critical",K125="Medium"),15,IF(AND(J125="Medium",K125="High"),12,IF(AND(J125="High",K125="Medium"),12,10))))))))</f>
        <v/>
      </c>
      <c r="M125" s="21" t="n"/>
      <c r="N125" s="21" t="n"/>
      <c r="O125" s="21" t="n"/>
      <c r="P125" s="21" t="n"/>
      <c r="Q125" s="21" t="n"/>
      <c r="R125" s="21" t="n"/>
      <c r="S125" s="21" t="n"/>
      <c r="T125" s="21" t="n"/>
    </row>
    <row r="126">
      <c r="A126" s="20" t="inlineStr">
        <is>
          <t>GAP-113</t>
        </is>
      </c>
      <c r="B126" s="21" t="n"/>
      <c r="C126" s="21" t="n"/>
      <c r="D126" s="21" t="n"/>
      <c r="E126" s="21" t="n"/>
      <c r="F126" s="21" t="n"/>
      <c r="G126" s="21" t="n"/>
      <c r="H126" s="21" t="n"/>
      <c r="I126" s="21" t="n"/>
      <c r="J126" s="21" t="n"/>
      <c r="K126" s="21" t="n"/>
      <c r="L126" s="22">
        <f>IF(OR(ISBLANK(J126),ISBLANK(K126)),"",IF(AND(J126="Critical",K126="Very High"),25,IF(AND(J126="Critical",K126="High"),20,IF(AND(J126="High",K126="Very High"),20,IF(AND(J126="High",K126="High"),16,IF(AND(J126="Critical",K126="Medium"),15,IF(AND(J126="Medium",K126="High"),12,IF(AND(J126="High",K126="Medium"),12,10))))))))</f>
        <v/>
      </c>
      <c r="M126" s="21" t="n"/>
      <c r="N126" s="21" t="n"/>
      <c r="O126" s="21" t="n"/>
      <c r="P126" s="21" t="n"/>
      <c r="Q126" s="21" t="n"/>
      <c r="R126" s="21" t="n"/>
      <c r="S126" s="21" t="n"/>
      <c r="T126" s="21" t="n"/>
    </row>
    <row r="127">
      <c r="A127" s="20" t="inlineStr">
        <is>
          <t>GAP-114</t>
        </is>
      </c>
      <c r="B127" s="21" t="n"/>
      <c r="C127" s="21" t="n"/>
      <c r="D127" s="21" t="n"/>
      <c r="E127" s="21" t="n"/>
      <c r="F127" s="21" t="n"/>
      <c r="G127" s="21" t="n"/>
      <c r="H127" s="21" t="n"/>
      <c r="I127" s="21" t="n"/>
      <c r="J127" s="21" t="n"/>
      <c r="K127" s="21" t="n"/>
      <c r="L127" s="22">
        <f>IF(OR(ISBLANK(J127),ISBLANK(K127)),"",IF(AND(J127="Critical",K127="Very High"),25,IF(AND(J127="Critical",K127="High"),20,IF(AND(J127="High",K127="Very High"),20,IF(AND(J127="High",K127="High"),16,IF(AND(J127="Critical",K127="Medium"),15,IF(AND(J127="Medium",K127="High"),12,IF(AND(J127="High",K127="Medium"),12,10))))))))</f>
        <v/>
      </c>
      <c r="M127" s="21" t="n"/>
      <c r="N127" s="21" t="n"/>
      <c r="O127" s="21" t="n"/>
      <c r="P127" s="21" t="n"/>
      <c r="Q127" s="21" t="n"/>
      <c r="R127" s="21" t="n"/>
      <c r="S127" s="21" t="n"/>
      <c r="T127" s="21" t="n"/>
    </row>
    <row r="128">
      <c r="A128" s="20" t="inlineStr">
        <is>
          <t>GAP-115</t>
        </is>
      </c>
      <c r="B128" s="21" t="n"/>
      <c r="C128" s="21" t="n"/>
      <c r="D128" s="21" t="n"/>
      <c r="E128" s="21" t="n"/>
      <c r="F128" s="21" t="n"/>
      <c r="G128" s="21" t="n"/>
      <c r="H128" s="21" t="n"/>
      <c r="I128" s="21" t="n"/>
      <c r="J128" s="21" t="n"/>
      <c r="K128" s="21" t="n"/>
      <c r="L128" s="22">
        <f>IF(OR(ISBLANK(J128),ISBLANK(K128)),"",IF(AND(J128="Critical",K128="Very High"),25,IF(AND(J128="Critical",K128="High"),20,IF(AND(J128="High",K128="Very High"),20,IF(AND(J128="High",K128="High"),16,IF(AND(J128="Critical",K128="Medium"),15,IF(AND(J128="Medium",K128="High"),12,IF(AND(J128="High",K128="Medium"),12,10))))))))</f>
        <v/>
      </c>
      <c r="M128" s="21" t="n"/>
      <c r="N128" s="21" t="n"/>
      <c r="O128" s="21" t="n"/>
      <c r="P128" s="21" t="n"/>
      <c r="Q128" s="21" t="n"/>
      <c r="R128" s="21" t="n"/>
      <c r="S128" s="21" t="n"/>
      <c r="T128" s="21" t="n"/>
    </row>
    <row r="129">
      <c r="A129" s="20" t="inlineStr">
        <is>
          <t>GAP-116</t>
        </is>
      </c>
      <c r="B129" s="21" t="n"/>
      <c r="C129" s="21" t="n"/>
      <c r="D129" s="21" t="n"/>
      <c r="E129" s="21" t="n"/>
      <c r="F129" s="21" t="n"/>
      <c r="G129" s="21" t="n"/>
      <c r="H129" s="21" t="n"/>
      <c r="I129" s="21" t="n"/>
      <c r="J129" s="21" t="n"/>
      <c r="K129" s="21" t="n"/>
      <c r="L129" s="22">
        <f>IF(OR(ISBLANK(J129),ISBLANK(K129)),"",IF(AND(J129="Critical",K129="Very High"),25,IF(AND(J129="Critical",K129="High"),20,IF(AND(J129="High",K129="Very High"),20,IF(AND(J129="High",K129="High"),16,IF(AND(J129="Critical",K129="Medium"),15,IF(AND(J129="Medium",K129="High"),12,IF(AND(J129="High",K129="Medium"),12,10))))))))</f>
        <v/>
      </c>
      <c r="M129" s="21" t="n"/>
      <c r="N129" s="21" t="n"/>
      <c r="O129" s="21" t="n"/>
      <c r="P129" s="21" t="n"/>
      <c r="Q129" s="21" t="n"/>
      <c r="R129" s="21" t="n"/>
      <c r="S129" s="21" t="n"/>
      <c r="T129" s="21" t="n"/>
    </row>
    <row r="130">
      <c r="A130" s="20" t="inlineStr">
        <is>
          <t>GAP-117</t>
        </is>
      </c>
      <c r="B130" s="21" t="n"/>
      <c r="C130" s="21" t="n"/>
      <c r="D130" s="21" t="n"/>
      <c r="E130" s="21" t="n"/>
      <c r="F130" s="21" t="n"/>
      <c r="G130" s="21" t="n"/>
      <c r="H130" s="21" t="n"/>
      <c r="I130" s="21" t="n"/>
      <c r="J130" s="21" t="n"/>
      <c r="K130" s="21" t="n"/>
      <c r="L130" s="22">
        <f>IF(OR(ISBLANK(J130),ISBLANK(K130)),"",IF(AND(J130="Critical",K130="Very High"),25,IF(AND(J130="Critical",K130="High"),20,IF(AND(J130="High",K130="Very High"),20,IF(AND(J130="High",K130="High"),16,IF(AND(J130="Critical",K130="Medium"),15,IF(AND(J130="Medium",K130="High"),12,IF(AND(J130="High",K130="Medium"),12,10))))))))</f>
        <v/>
      </c>
      <c r="M130" s="21" t="n"/>
      <c r="N130" s="21" t="n"/>
      <c r="O130" s="21" t="n"/>
      <c r="P130" s="21" t="n"/>
      <c r="Q130" s="21" t="n"/>
      <c r="R130" s="21" t="n"/>
      <c r="S130" s="21" t="n"/>
      <c r="T130" s="21" t="n"/>
    </row>
    <row r="131">
      <c r="A131" s="20" t="inlineStr">
        <is>
          <t>GAP-118</t>
        </is>
      </c>
      <c r="B131" s="21" t="n"/>
      <c r="C131" s="21" t="n"/>
      <c r="D131" s="21" t="n"/>
      <c r="E131" s="21" t="n"/>
      <c r="F131" s="21" t="n"/>
      <c r="G131" s="21" t="n"/>
      <c r="H131" s="21" t="n"/>
      <c r="I131" s="21" t="n"/>
      <c r="J131" s="21" t="n"/>
      <c r="K131" s="21" t="n"/>
      <c r="L131" s="22">
        <f>IF(OR(ISBLANK(J131),ISBLANK(K131)),"",IF(AND(J131="Critical",K131="Very High"),25,IF(AND(J131="Critical",K131="High"),20,IF(AND(J131="High",K131="Very High"),20,IF(AND(J131="High",K131="High"),16,IF(AND(J131="Critical",K131="Medium"),15,IF(AND(J131="Medium",K131="High"),12,IF(AND(J131="High",K131="Medium"),12,10))))))))</f>
        <v/>
      </c>
      <c r="M131" s="21" t="n"/>
      <c r="N131" s="21" t="n"/>
      <c r="O131" s="21" t="n"/>
      <c r="P131" s="21" t="n"/>
      <c r="Q131" s="21" t="n"/>
      <c r="R131" s="21" t="n"/>
      <c r="S131" s="21" t="n"/>
      <c r="T131" s="21" t="n"/>
    </row>
    <row r="132">
      <c r="A132" s="20" t="inlineStr">
        <is>
          <t>GAP-119</t>
        </is>
      </c>
      <c r="B132" s="21" t="n"/>
      <c r="C132" s="21" t="n"/>
      <c r="D132" s="21" t="n"/>
      <c r="E132" s="21" t="n"/>
      <c r="F132" s="21" t="n"/>
      <c r="G132" s="21" t="n"/>
      <c r="H132" s="21" t="n"/>
      <c r="I132" s="21" t="n"/>
      <c r="J132" s="21" t="n"/>
      <c r="K132" s="21" t="n"/>
      <c r="L132" s="22">
        <f>IF(OR(ISBLANK(J132),ISBLANK(K132)),"",IF(AND(J132="Critical",K132="Very High"),25,IF(AND(J132="Critical",K132="High"),20,IF(AND(J132="High",K132="Very High"),20,IF(AND(J132="High",K132="High"),16,IF(AND(J132="Critical",K132="Medium"),15,IF(AND(J132="Medium",K132="High"),12,IF(AND(J132="High",K132="Medium"),12,10))))))))</f>
        <v/>
      </c>
      <c r="M132" s="21" t="n"/>
      <c r="N132" s="21" t="n"/>
      <c r="O132" s="21" t="n"/>
      <c r="P132" s="21" t="n"/>
      <c r="Q132" s="21" t="n"/>
      <c r="R132" s="21" t="n"/>
      <c r="S132" s="21" t="n"/>
      <c r="T132" s="21" t="n"/>
    </row>
    <row r="133">
      <c r="A133" s="20" t="inlineStr">
        <is>
          <t>GAP-120</t>
        </is>
      </c>
      <c r="B133" s="21" t="n"/>
      <c r="C133" s="21" t="n"/>
      <c r="D133" s="21" t="n"/>
      <c r="E133" s="21" t="n"/>
      <c r="F133" s="21" t="n"/>
      <c r="G133" s="21" t="n"/>
      <c r="H133" s="21" t="n"/>
      <c r="I133" s="21" t="n"/>
      <c r="J133" s="21" t="n"/>
      <c r="K133" s="21" t="n"/>
      <c r="L133" s="22">
        <f>IF(OR(ISBLANK(J133),ISBLANK(K133)),"",IF(AND(J133="Critical",K133="Very High"),25,IF(AND(J133="Critical",K133="High"),20,IF(AND(J133="High",K133="Very High"),20,IF(AND(J133="High",K133="High"),16,IF(AND(J133="Critical",K133="Medium"),15,IF(AND(J133="Medium",K133="High"),12,IF(AND(J133="High",K133="Medium"),12,10))))))))</f>
        <v/>
      </c>
      <c r="M133" s="21" t="n"/>
      <c r="N133" s="21" t="n"/>
      <c r="O133" s="21" t="n"/>
      <c r="P133" s="21" t="n"/>
      <c r="Q133" s="21" t="n"/>
      <c r="R133" s="21" t="n"/>
      <c r="S133" s="21" t="n"/>
      <c r="T133" s="21" t="n"/>
    </row>
    <row r="134">
      <c r="A134" s="20" t="inlineStr">
        <is>
          <t>GAP-121</t>
        </is>
      </c>
      <c r="B134" s="21" t="n"/>
      <c r="C134" s="21" t="n"/>
      <c r="D134" s="21" t="n"/>
      <c r="E134" s="21" t="n"/>
      <c r="F134" s="21" t="n"/>
      <c r="G134" s="21" t="n"/>
      <c r="H134" s="21" t="n"/>
      <c r="I134" s="21" t="n"/>
      <c r="J134" s="21" t="n"/>
      <c r="K134" s="21" t="n"/>
      <c r="L134" s="22">
        <f>IF(OR(ISBLANK(J134),ISBLANK(K134)),"",IF(AND(J134="Critical",K134="Very High"),25,IF(AND(J134="Critical",K134="High"),20,IF(AND(J134="High",K134="Very High"),20,IF(AND(J134="High",K134="High"),16,IF(AND(J134="Critical",K134="Medium"),15,IF(AND(J134="Medium",K134="High"),12,IF(AND(J134="High",K134="Medium"),12,10))))))))</f>
        <v/>
      </c>
      <c r="M134" s="21" t="n"/>
      <c r="N134" s="21" t="n"/>
      <c r="O134" s="21" t="n"/>
      <c r="P134" s="21" t="n"/>
      <c r="Q134" s="21" t="n"/>
      <c r="R134" s="21" t="n"/>
      <c r="S134" s="21" t="n"/>
      <c r="T134" s="21" t="n"/>
    </row>
    <row r="135">
      <c r="A135" s="20" t="inlineStr">
        <is>
          <t>GAP-122</t>
        </is>
      </c>
      <c r="B135" s="21" t="n"/>
      <c r="C135" s="21" t="n"/>
      <c r="D135" s="21" t="n"/>
      <c r="E135" s="21" t="n"/>
      <c r="F135" s="21" t="n"/>
      <c r="G135" s="21" t="n"/>
      <c r="H135" s="21" t="n"/>
      <c r="I135" s="21" t="n"/>
      <c r="J135" s="21" t="n"/>
      <c r="K135" s="21" t="n"/>
      <c r="L135" s="22">
        <f>IF(OR(ISBLANK(J135),ISBLANK(K135)),"",IF(AND(J135="Critical",K135="Very High"),25,IF(AND(J135="Critical",K135="High"),20,IF(AND(J135="High",K135="Very High"),20,IF(AND(J135="High",K135="High"),16,IF(AND(J135="Critical",K135="Medium"),15,IF(AND(J135="Medium",K135="High"),12,IF(AND(J135="High",K135="Medium"),12,10))))))))</f>
        <v/>
      </c>
      <c r="M135" s="21" t="n"/>
      <c r="N135" s="21" t="n"/>
      <c r="O135" s="21" t="n"/>
      <c r="P135" s="21" t="n"/>
      <c r="Q135" s="21" t="n"/>
      <c r="R135" s="21" t="n"/>
      <c r="S135" s="21" t="n"/>
      <c r="T135" s="21" t="n"/>
    </row>
    <row r="136">
      <c r="A136" s="20" t="inlineStr">
        <is>
          <t>GAP-123</t>
        </is>
      </c>
      <c r="B136" s="21" t="n"/>
      <c r="C136" s="21" t="n"/>
      <c r="D136" s="21" t="n"/>
      <c r="E136" s="21" t="n"/>
      <c r="F136" s="21" t="n"/>
      <c r="G136" s="21" t="n"/>
      <c r="H136" s="21" t="n"/>
      <c r="I136" s="21" t="n"/>
      <c r="J136" s="21" t="n"/>
      <c r="K136" s="21" t="n"/>
      <c r="L136" s="22">
        <f>IF(OR(ISBLANK(J136),ISBLANK(K136)),"",IF(AND(J136="Critical",K136="Very High"),25,IF(AND(J136="Critical",K136="High"),20,IF(AND(J136="High",K136="Very High"),20,IF(AND(J136="High",K136="High"),16,IF(AND(J136="Critical",K136="Medium"),15,IF(AND(J136="Medium",K136="High"),12,IF(AND(J136="High",K136="Medium"),12,10))))))))</f>
        <v/>
      </c>
      <c r="M136" s="21" t="n"/>
      <c r="N136" s="21" t="n"/>
      <c r="O136" s="21" t="n"/>
      <c r="P136" s="21" t="n"/>
      <c r="Q136" s="21" t="n"/>
      <c r="R136" s="21" t="n"/>
      <c r="S136" s="21" t="n"/>
      <c r="T136" s="21" t="n"/>
    </row>
    <row r="137">
      <c r="A137" s="20" t="inlineStr">
        <is>
          <t>GAP-124</t>
        </is>
      </c>
      <c r="B137" s="21" t="n"/>
      <c r="C137" s="21" t="n"/>
      <c r="D137" s="21" t="n"/>
      <c r="E137" s="21" t="n"/>
      <c r="F137" s="21" t="n"/>
      <c r="G137" s="21" t="n"/>
      <c r="H137" s="21" t="n"/>
      <c r="I137" s="21" t="n"/>
      <c r="J137" s="21" t="n"/>
      <c r="K137" s="21" t="n"/>
      <c r="L137" s="22">
        <f>IF(OR(ISBLANK(J137),ISBLANK(K137)),"",IF(AND(J137="Critical",K137="Very High"),25,IF(AND(J137="Critical",K137="High"),20,IF(AND(J137="High",K137="Very High"),20,IF(AND(J137="High",K137="High"),16,IF(AND(J137="Critical",K137="Medium"),15,IF(AND(J137="Medium",K137="High"),12,IF(AND(J137="High",K137="Medium"),12,10))))))))</f>
        <v/>
      </c>
      <c r="M137" s="21" t="n"/>
      <c r="N137" s="21" t="n"/>
      <c r="O137" s="21" t="n"/>
      <c r="P137" s="21" t="n"/>
      <c r="Q137" s="21" t="n"/>
      <c r="R137" s="21" t="n"/>
      <c r="S137" s="21" t="n"/>
      <c r="T137" s="21" t="n"/>
    </row>
    <row r="138">
      <c r="A138" s="20" t="inlineStr">
        <is>
          <t>GAP-125</t>
        </is>
      </c>
      <c r="B138" s="21" t="n"/>
      <c r="C138" s="21" t="n"/>
      <c r="D138" s="21" t="n"/>
      <c r="E138" s="21" t="n"/>
      <c r="F138" s="21" t="n"/>
      <c r="G138" s="21" t="n"/>
      <c r="H138" s="21" t="n"/>
      <c r="I138" s="21" t="n"/>
      <c r="J138" s="21" t="n"/>
      <c r="K138" s="21" t="n"/>
      <c r="L138" s="22">
        <f>IF(OR(ISBLANK(J138),ISBLANK(K138)),"",IF(AND(J138="Critical",K138="Very High"),25,IF(AND(J138="Critical",K138="High"),20,IF(AND(J138="High",K138="Very High"),20,IF(AND(J138="High",K138="High"),16,IF(AND(J138="Critical",K138="Medium"),15,IF(AND(J138="Medium",K138="High"),12,IF(AND(J138="High",K138="Medium"),12,10))))))))</f>
        <v/>
      </c>
      <c r="M138" s="21" t="n"/>
      <c r="N138" s="21" t="n"/>
      <c r="O138" s="21" t="n"/>
      <c r="P138" s="21" t="n"/>
      <c r="Q138" s="21" t="n"/>
      <c r="R138" s="21" t="n"/>
      <c r="S138" s="21" t="n"/>
      <c r="T138" s="21" t="n"/>
    </row>
    <row r="139">
      <c r="A139" s="20" t="inlineStr">
        <is>
          <t>GAP-126</t>
        </is>
      </c>
      <c r="B139" s="21" t="n"/>
      <c r="C139" s="21" t="n"/>
      <c r="D139" s="21" t="n"/>
      <c r="E139" s="21" t="n"/>
      <c r="F139" s="21" t="n"/>
      <c r="G139" s="21" t="n"/>
      <c r="H139" s="21" t="n"/>
      <c r="I139" s="21" t="n"/>
      <c r="J139" s="21" t="n"/>
      <c r="K139" s="21" t="n"/>
      <c r="L139" s="22">
        <f>IF(OR(ISBLANK(J139),ISBLANK(K139)),"",IF(AND(J139="Critical",K139="Very High"),25,IF(AND(J139="Critical",K139="High"),20,IF(AND(J139="High",K139="Very High"),20,IF(AND(J139="High",K139="High"),16,IF(AND(J139="Critical",K139="Medium"),15,IF(AND(J139="Medium",K139="High"),12,IF(AND(J139="High",K139="Medium"),12,10))))))))</f>
        <v/>
      </c>
      <c r="M139" s="21" t="n"/>
      <c r="N139" s="21" t="n"/>
      <c r="O139" s="21" t="n"/>
      <c r="P139" s="21" t="n"/>
      <c r="Q139" s="21" t="n"/>
      <c r="R139" s="21" t="n"/>
      <c r="S139" s="21" t="n"/>
      <c r="T139" s="21" t="n"/>
    </row>
    <row r="140">
      <c r="A140" s="20" t="inlineStr">
        <is>
          <t>GAP-127</t>
        </is>
      </c>
      <c r="B140" s="21" t="n"/>
      <c r="C140" s="21" t="n"/>
      <c r="D140" s="21" t="n"/>
      <c r="E140" s="21" t="n"/>
      <c r="F140" s="21" t="n"/>
      <c r="G140" s="21" t="n"/>
      <c r="H140" s="21" t="n"/>
      <c r="I140" s="21" t="n"/>
      <c r="J140" s="21" t="n"/>
      <c r="K140" s="21" t="n"/>
      <c r="L140" s="22">
        <f>IF(OR(ISBLANK(J140),ISBLANK(K140)),"",IF(AND(J140="Critical",K140="Very High"),25,IF(AND(J140="Critical",K140="High"),20,IF(AND(J140="High",K140="Very High"),20,IF(AND(J140="High",K140="High"),16,IF(AND(J140="Critical",K140="Medium"),15,IF(AND(J140="Medium",K140="High"),12,IF(AND(J140="High",K140="Medium"),12,10))))))))</f>
        <v/>
      </c>
      <c r="M140" s="21" t="n"/>
      <c r="N140" s="21" t="n"/>
      <c r="O140" s="21" t="n"/>
      <c r="P140" s="21" t="n"/>
      <c r="Q140" s="21" t="n"/>
      <c r="R140" s="21" t="n"/>
      <c r="S140" s="21" t="n"/>
      <c r="T140" s="21" t="n"/>
    </row>
    <row r="141">
      <c r="A141" s="20" t="inlineStr">
        <is>
          <t>GAP-128</t>
        </is>
      </c>
      <c r="B141" s="21" t="n"/>
      <c r="C141" s="21" t="n"/>
      <c r="D141" s="21" t="n"/>
      <c r="E141" s="21" t="n"/>
      <c r="F141" s="21" t="n"/>
      <c r="G141" s="21" t="n"/>
      <c r="H141" s="21" t="n"/>
      <c r="I141" s="21" t="n"/>
      <c r="J141" s="21" t="n"/>
      <c r="K141" s="21" t="n"/>
      <c r="L141" s="22">
        <f>IF(OR(ISBLANK(J141),ISBLANK(K141)),"",IF(AND(J141="Critical",K141="Very High"),25,IF(AND(J141="Critical",K141="High"),20,IF(AND(J141="High",K141="Very High"),20,IF(AND(J141="High",K141="High"),16,IF(AND(J141="Critical",K141="Medium"),15,IF(AND(J141="Medium",K141="High"),12,IF(AND(J141="High",K141="Medium"),12,10))))))))</f>
        <v/>
      </c>
      <c r="M141" s="21" t="n"/>
      <c r="N141" s="21" t="n"/>
      <c r="O141" s="21" t="n"/>
      <c r="P141" s="21" t="n"/>
      <c r="Q141" s="21" t="n"/>
      <c r="R141" s="21" t="n"/>
      <c r="S141" s="21" t="n"/>
      <c r="T141" s="21" t="n"/>
    </row>
    <row r="142">
      <c r="A142" s="20" t="inlineStr">
        <is>
          <t>GAP-129</t>
        </is>
      </c>
      <c r="B142" s="21" t="n"/>
      <c r="C142" s="21" t="n"/>
      <c r="D142" s="21" t="n"/>
      <c r="E142" s="21" t="n"/>
      <c r="F142" s="21" t="n"/>
      <c r="G142" s="21" t="n"/>
      <c r="H142" s="21" t="n"/>
      <c r="I142" s="21" t="n"/>
      <c r="J142" s="21" t="n"/>
      <c r="K142" s="21" t="n"/>
      <c r="L142" s="22">
        <f>IF(OR(ISBLANK(J142),ISBLANK(K142)),"",IF(AND(J142="Critical",K142="Very High"),25,IF(AND(J142="Critical",K142="High"),20,IF(AND(J142="High",K142="Very High"),20,IF(AND(J142="High",K142="High"),16,IF(AND(J142="Critical",K142="Medium"),15,IF(AND(J142="Medium",K142="High"),12,IF(AND(J142="High",K142="Medium"),12,10))))))))</f>
        <v/>
      </c>
      <c r="M142" s="21" t="n"/>
      <c r="N142" s="21" t="n"/>
      <c r="O142" s="21" t="n"/>
      <c r="P142" s="21" t="n"/>
      <c r="Q142" s="21" t="n"/>
      <c r="R142" s="21" t="n"/>
      <c r="S142" s="21" t="n"/>
      <c r="T142" s="21" t="n"/>
    </row>
    <row r="143">
      <c r="A143" s="20" t="inlineStr">
        <is>
          <t>GAP-130</t>
        </is>
      </c>
      <c r="B143" s="21" t="n"/>
      <c r="C143" s="21" t="n"/>
      <c r="D143" s="21" t="n"/>
      <c r="E143" s="21" t="n"/>
      <c r="F143" s="21" t="n"/>
      <c r="G143" s="21" t="n"/>
      <c r="H143" s="21" t="n"/>
      <c r="I143" s="21" t="n"/>
      <c r="J143" s="21" t="n"/>
      <c r="K143" s="21" t="n"/>
      <c r="L143" s="22">
        <f>IF(OR(ISBLANK(J143),ISBLANK(K143)),"",IF(AND(J143="Critical",K143="Very High"),25,IF(AND(J143="Critical",K143="High"),20,IF(AND(J143="High",K143="Very High"),20,IF(AND(J143="High",K143="High"),16,IF(AND(J143="Critical",K143="Medium"),15,IF(AND(J143="Medium",K143="High"),12,IF(AND(J143="High",K143="Medium"),12,10))))))))</f>
        <v/>
      </c>
      <c r="M143" s="21" t="n"/>
      <c r="N143" s="21" t="n"/>
      <c r="O143" s="21" t="n"/>
      <c r="P143" s="21" t="n"/>
      <c r="Q143" s="21" t="n"/>
      <c r="R143" s="21" t="n"/>
      <c r="S143" s="21" t="n"/>
      <c r="T143" s="21" t="n"/>
    </row>
    <row r="144">
      <c r="A144" s="20" t="inlineStr">
        <is>
          <t>GAP-131</t>
        </is>
      </c>
      <c r="B144" s="21" t="n"/>
      <c r="C144" s="21" t="n"/>
      <c r="D144" s="21" t="n"/>
      <c r="E144" s="21" t="n"/>
      <c r="F144" s="21" t="n"/>
      <c r="G144" s="21" t="n"/>
      <c r="H144" s="21" t="n"/>
      <c r="I144" s="21" t="n"/>
      <c r="J144" s="21" t="n"/>
      <c r="K144" s="21" t="n"/>
      <c r="L144" s="22">
        <f>IF(OR(ISBLANK(J144),ISBLANK(K144)),"",IF(AND(J144="Critical",K144="Very High"),25,IF(AND(J144="Critical",K144="High"),20,IF(AND(J144="High",K144="Very High"),20,IF(AND(J144="High",K144="High"),16,IF(AND(J144="Critical",K144="Medium"),15,IF(AND(J144="Medium",K144="High"),12,IF(AND(J144="High",K144="Medium"),12,10))))))))</f>
        <v/>
      </c>
      <c r="M144" s="21" t="n"/>
      <c r="N144" s="21" t="n"/>
      <c r="O144" s="21" t="n"/>
      <c r="P144" s="21" t="n"/>
      <c r="Q144" s="21" t="n"/>
      <c r="R144" s="21" t="n"/>
      <c r="S144" s="21" t="n"/>
      <c r="T144" s="21" t="n"/>
    </row>
    <row r="145">
      <c r="A145" s="20" t="inlineStr">
        <is>
          <t>GAP-132</t>
        </is>
      </c>
      <c r="B145" s="21" t="n"/>
      <c r="C145" s="21" t="n"/>
      <c r="D145" s="21" t="n"/>
      <c r="E145" s="21" t="n"/>
      <c r="F145" s="21" t="n"/>
      <c r="G145" s="21" t="n"/>
      <c r="H145" s="21" t="n"/>
      <c r="I145" s="21" t="n"/>
      <c r="J145" s="21" t="n"/>
      <c r="K145" s="21" t="n"/>
      <c r="L145" s="22">
        <f>IF(OR(ISBLANK(J145),ISBLANK(K145)),"",IF(AND(J145="Critical",K145="Very High"),25,IF(AND(J145="Critical",K145="High"),20,IF(AND(J145="High",K145="Very High"),20,IF(AND(J145="High",K145="High"),16,IF(AND(J145="Critical",K145="Medium"),15,IF(AND(J145="Medium",K145="High"),12,IF(AND(J145="High",K145="Medium"),12,10))))))))</f>
        <v/>
      </c>
      <c r="M145" s="21" t="n"/>
      <c r="N145" s="21" t="n"/>
      <c r="O145" s="21" t="n"/>
      <c r="P145" s="21" t="n"/>
      <c r="Q145" s="21" t="n"/>
      <c r="R145" s="21" t="n"/>
      <c r="S145" s="21" t="n"/>
      <c r="T145" s="21" t="n"/>
    </row>
    <row r="146">
      <c r="A146" s="20" t="inlineStr">
        <is>
          <t>GAP-133</t>
        </is>
      </c>
      <c r="B146" s="21" t="n"/>
      <c r="C146" s="21" t="n"/>
      <c r="D146" s="21" t="n"/>
      <c r="E146" s="21" t="n"/>
      <c r="F146" s="21" t="n"/>
      <c r="G146" s="21" t="n"/>
      <c r="H146" s="21" t="n"/>
      <c r="I146" s="21" t="n"/>
      <c r="J146" s="21" t="n"/>
      <c r="K146" s="21" t="n"/>
      <c r="L146" s="22">
        <f>IF(OR(ISBLANK(J146),ISBLANK(K146)),"",IF(AND(J146="Critical",K146="Very High"),25,IF(AND(J146="Critical",K146="High"),20,IF(AND(J146="High",K146="Very High"),20,IF(AND(J146="High",K146="High"),16,IF(AND(J146="Critical",K146="Medium"),15,IF(AND(J146="Medium",K146="High"),12,IF(AND(J146="High",K146="Medium"),12,10))))))))</f>
        <v/>
      </c>
      <c r="M146" s="21" t="n"/>
      <c r="N146" s="21" t="n"/>
      <c r="O146" s="21" t="n"/>
      <c r="P146" s="21" t="n"/>
      <c r="Q146" s="21" t="n"/>
      <c r="R146" s="21" t="n"/>
      <c r="S146" s="21" t="n"/>
      <c r="T146" s="21" t="n"/>
    </row>
    <row r="147">
      <c r="A147" s="20" t="inlineStr">
        <is>
          <t>GAP-134</t>
        </is>
      </c>
      <c r="B147" s="21" t="n"/>
      <c r="C147" s="21" t="n"/>
      <c r="D147" s="21" t="n"/>
      <c r="E147" s="21" t="n"/>
      <c r="F147" s="21" t="n"/>
      <c r="G147" s="21" t="n"/>
      <c r="H147" s="21" t="n"/>
      <c r="I147" s="21" t="n"/>
      <c r="J147" s="21" t="n"/>
      <c r="K147" s="21" t="n"/>
      <c r="L147" s="22">
        <f>IF(OR(ISBLANK(J147),ISBLANK(K147)),"",IF(AND(J147="Critical",K147="Very High"),25,IF(AND(J147="Critical",K147="High"),20,IF(AND(J147="High",K147="Very High"),20,IF(AND(J147="High",K147="High"),16,IF(AND(J147="Critical",K147="Medium"),15,IF(AND(J147="Medium",K147="High"),12,IF(AND(J147="High",K147="Medium"),12,10))))))))</f>
        <v/>
      </c>
      <c r="M147" s="21" t="n"/>
      <c r="N147" s="21" t="n"/>
      <c r="O147" s="21" t="n"/>
      <c r="P147" s="21" t="n"/>
      <c r="Q147" s="21" t="n"/>
      <c r="R147" s="21" t="n"/>
      <c r="S147" s="21" t="n"/>
      <c r="T147" s="21" t="n"/>
    </row>
    <row r="148">
      <c r="A148" s="20" t="inlineStr">
        <is>
          <t>GAP-135</t>
        </is>
      </c>
      <c r="B148" s="21" t="n"/>
      <c r="C148" s="21" t="n"/>
      <c r="D148" s="21" t="n"/>
      <c r="E148" s="21" t="n"/>
      <c r="F148" s="21" t="n"/>
      <c r="G148" s="21" t="n"/>
      <c r="H148" s="21" t="n"/>
      <c r="I148" s="21" t="n"/>
      <c r="J148" s="21" t="n"/>
      <c r="K148" s="21" t="n"/>
      <c r="L148" s="22">
        <f>IF(OR(ISBLANK(J148),ISBLANK(K148)),"",IF(AND(J148="Critical",K148="Very High"),25,IF(AND(J148="Critical",K148="High"),20,IF(AND(J148="High",K148="Very High"),20,IF(AND(J148="High",K148="High"),16,IF(AND(J148="Critical",K148="Medium"),15,IF(AND(J148="Medium",K148="High"),12,IF(AND(J148="High",K148="Medium"),12,10))))))))</f>
        <v/>
      </c>
      <c r="M148" s="21" t="n"/>
      <c r="N148" s="21" t="n"/>
      <c r="O148" s="21" t="n"/>
      <c r="P148" s="21" t="n"/>
      <c r="Q148" s="21" t="n"/>
      <c r="R148" s="21" t="n"/>
      <c r="S148" s="21" t="n"/>
      <c r="T148" s="21" t="n"/>
    </row>
    <row r="149">
      <c r="A149" s="20" t="inlineStr">
        <is>
          <t>GAP-136</t>
        </is>
      </c>
      <c r="B149" s="21" t="n"/>
      <c r="C149" s="21" t="n"/>
      <c r="D149" s="21" t="n"/>
      <c r="E149" s="21" t="n"/>
      <c r="F149" s="21" t="n"/>
      <c r="G149" s="21" t="n"/>
      <c r="H149" s="21" t="n"/>
      <c r="I149" s="21" t="n"/>
      <c r="J149" s="21" t="n"/>
      <c r="K149" s="21" t="n"/>
      <c r="L149" s="22">
        <f>IF(OR(ISBLANK(J149),ISBLANK(K149)),"",IF(AND(J149="Critical",K149="Very High"),25,IF(AND(J149="Critical",K149="High"),20,IF(AND(J149="High",K149="Very High"),20,IF(AND(J149="High",K149="High"),16,IF(AND(J149="Critical",K149="Medium"),15,IF(AND(J149="Medium",K149="High"),12,IF(AND(J149="High",K149="Medium"),12,10))))))))</f>
        <v/>
      </c>
      <c r="M149" s="21" t="n"/>
      <c r="N149" s="21" t="n"/>
      <c r="O149" s="21" t="n"/>
      <c r="P149" s="21" t="n"/>
      <c r="Q149" s="21" t="n"/>
      <c r="R149" s="21" t="n"/>
      <c r="S149" s="21" t="n"/>
      <c r="T149" s="21" t="n"/>
    </row>
    <row r="150">
      <c r="A150" s="20" t="inlineStr">
        <is>
          <t>GAP-137</t>
        </is>
      </c>
      <c r="B150" s="21" t="n"/>
      <c r="C150" s="21" t="n"/>
      <c r="D150" s="21" t="n"/>
      <c r="E150" s="21" t="n"/>
      <c r="F150" s="21" t="n"/>
      <c r="G150" s="21" t="n"/>
      <c r="H150" s="21" t="n"/>
      <c r="I150" s="21" t="n"/>
      <c r="J150" s="21" t="n"/>
      <c r="K150" s="21" t="n"/>
      <c r="L150" s="22">
        <f>IF(OR(ISBLANK(J150),ISBLANK(K150)),"",IF(AND(J150="Critical",K150="Very High"),25,IF(AND(J150="Critical",K150="High"),20,IF(AND(J150="High",K150="Very High"),20,IF(AND(J150="High",K150="High"),16,IF(AND(J150="Critical",K150="Medium"),15,IF(AND(J150="Medium",K150="High"),12,IF(AND(J150="High",K150="Medium"),12,10))))))))</f>
        <v/>
      </c>
      <c r="M150" s="21" t="n"/>
      <c r="N150" s="21" t="n"/>
      <c r="O150" s="21" t="n"/>
      <c r="P150" s="21" t="n"/>
      <c r="Q150" s="21" t="n"/>
      <c r="R150" s="21" t="n"/>
      <c r="S150" s="21" t="n"/>
      <c r="T150" s="21" t="n"/>
    </row>
    <row r="151">
      <c r="A151" s="20" t="inlineStr">
        <is>
          <t>GAP-138</t>
        </is>
      </c>
      <c r="B151" s="21" t="n"/>
      <c r="C151" s="21" t="n"/>
      <c r="D151" s="21" t="n"/>
      <c r="E151" s="21" t="n"/>
      <c r="F151" s="21" t="n"/>
      <c r="G151" s="21" t="n"/>
      <c r="H151" s="21" t="n"/>
      <c r="I151" s="21" t="n"/>
      <c r="J151" s="21" t="n"/>
      <c r="K151" s="21" t="n"/>
      <c r="L151" s="22">
        <f>IF(OR(ISBLANK(J151),ISBLANK(K151)),"",IF(AND(J151="Critical",K151="Very High"),25,IF(AND(J151="Critical",K151="High"),20,IF(AND(J151="High",K151="Very High"),20,IF(AND(J151="High",K151="High"),16,IF(AND(J151="Critical",K151="Medium"),15,IF(AND(J151="Medium",K151="High"),12,IF(AND(J151="High",K151="Medium"),12,10))))))))</f>
        <v/>
      </c>
      <c r="M151" s="21" t="n"/>
      <c r="N151" s="21" t="n"/>
      <c r="O151" s="21" t="n"/>
      <c r="P151" s="21" t="n"/>
      <c r="Q151" s="21" t="n"/>
      <c r="R151" s="21" t="n"/>
      <c r="S151" s="21" t="n"/>
      <c r="T151" s="21" t="n"/>
    </row>
    <row r="152">
      <c r="A152" s="20" t="inlineStr">
        <is>
          <t>GAP-139</t>
        </is>
      </c>
      <c r="B152" s="21" t="n"/>
      <c r="C152" s="21" t="n"/>
      <c r="D152" s="21" t="n"/>
      <c r="E152" s="21" t="n"/>
      <c r="F152" s="21" t="n"/>
      <c r="G152" s="21" t="n"/>
      <c r="H152" s="21" t="n"/>
      <c r="I152" s="21" t="n"/>
      <c r="J152" s="21" t="n"/>
      <c r="K152" s="21" t="n"/>
      <c r="L152" s="22">
        <f>IF(OR(ISBLANK(J152),ISBLANK(K152)),"",IF(AND(J152="Critical",K152="Very High"),25,IF(AND(J152="Critical",K152="High"),20,IF(AND(J152="High",K152="Very High"),20,IF(AND(J152="High",K152="High"),16,IF(AND(J152="Critical",K152="Medium"),15,IF(AND(J152="Medium",K152="High"),12,IF(AND(J152="High",K152="Medium"),12,10))))))))</f>
        <v/>
      </c>
      <c r="M152" s="21" t="n"/>
      <c r="N152" s="21" t="n"/>
      <c r="O152" s="21" t="n"/>
      <c r="P152" s="21" t="n"/>
      <c r="Q152" s="21" t="n"/>
      <c r="R152" s="21" t="n"/>
      <c r="S152" s="21" t="n"/>
      <c r="T152" s="21" t="n"/>
    </row>
    <row r="153">
      <c r="A153" s="20" t="inlineStr">
        <is>
          <t>GAP-140</t>
        </is>
      </c>
      <c r="B153" s="21" t="n"/>
      <c r="C153" s="21" t="n"/>
      <c r="D153" s="21" t="n"/>
      <c r="E153" s="21" t="n"/>
      <c r="F153" s="21" t="n"/>
      <c r="G153" s="21" t="n"/>
      <c r="H153" s="21" t="n"/>
      <c r="I153" s="21" t="n"/>
      <c r="J153" s="21" t="n"/>
      <c r="K153" s="21" t="n"/>
      <c r="L153" s="22">
        <f>IF(OR(ISBLANK(J153),ISBLANK(K153)),"",IF(AND(J153="Critical",K153="Very High"),25,IF(AND(J153="Critical",K153="High"),20,IF(AND(J153="High",K153="Very High"),20,IF(AND(J153="High",K153="High"),16,IF(AND(J153="Critical",K153="Medium"),15,IF(AND(J153="Medium",K153="High"),12,IF(AND(J153="High",K153="Medium"),12,10))))))))</f>
        <v/>
      </c>
      <c r="M153" s="21" t="n"/>
      <c r="N153" s="21" t="n"/>
      <c r="O153" s="21" t="n"/>
      <c r="P153" s="21" t="n"/>
      <c r="Q153" s="21" t="n"/>
      <c r="R153" s="21" t="n"/>
      <c r="S153" s="21" t="n"/>
      <c r="T153" s="21" t="n"/>
    </row>
    <row r="154">
      <c r="A154" s="20" t="inlineStr">
        <is>
          <t>GAP-141</t>
        </is>
      </c>
      <c r="B154" s="21" t="n"/>
      <c r="C154" s="21" t="n"/>
      <c r="D154" s="21" t="n"/>
      <c r="E154" s="21" t="n"/>
      <c r="F154" s="21" t="n"/>
      <c r="G154" s="21" t="n"/>
      <c r="H154" s="21" t="n"/>
      <c r="I154" s="21" t="n"/>
      <c r="J154" s="21" t="n"/>
      <c r="K154" s="21" t="n"/>
      <c r="L154" s="22">
        <f>IF(OR(ISBLANK(J154),ISBLANK(K154)),"",IF(AND(J154="Critical",K154="Very High"),25,IF(AND(J154="Critical",K154="High"),20,IF(AND(J154="High",K154="Very High"),20,IF(AND(J154="High",K154="High"),16,IF(AND(J154="Critical",K154="Medium"),15,IF(AND(J154="Medium",K154="High"),12,IF(AND(J154="High",K154="Medium"),12,10))))))))</f>
        <v/>
      </c>
      <c r="M154" s="21" t="n"/>
      <c r="N154" s="21" t="n"/>
      <c r="O154" s="21" t="n"/>
      <c r="P154" s="21" t="n"/>
      <c r="Q154" s="21" t="n"/>
      <c r="R154" s="21" t="n"/>
      <c r="S154" s="21" t="n"/>
      <c r="T154" s="21" t="n"/>
    </row>
    <row r="155">
      <c r="A155" s="20" t="inlineStr">
        <is>
          <t>GAP-142</t>
        </is>
      </c>
      <c r="B155" s="21" t="n"/>
      <c r="C155" s="21" t="n"/>
      <c r="D155" s="21" t="n"/>
      <c r="E155" s="21" t="n"/>
      <c r="F155" s="21" t="n"/>
      <c r="G155" s="21" t="n"/>
      <c r="H155" s="21" t="n"/>
      <c r="I155" s="21" t="n"/>
      <c r="J155" s="21" t="n"/>
      <c r="K155" s="21" t="n"/>
      <c r="L155" s="22">
        <f>IF(OR(ISBLANK(J155),ISBLANK(K155)),"",IF(AND(J155="Critical",K155="Very High"),25,IF(AND(J155="Critical",K155="High"),20,IF(AND(J155="High",K155="Very High"),20,IF(AND(J155="High",K155="High"),16,IF(AND(J155="Critical",K155="Medium"),15,IF(AND(J155="Medium",K155="High"),12,IF(AND(J155="High",K155="Medium"),12,10))))))))</f>
        <v/>
      </c>
      <c r="M155" s="21" t="n"/>
      <c r="N155" s="21" t="n"/>
      <c r="O155" s="21" t="n"/>
      <c r="P155" s="21" t="n"/>
      <c r="Q155" s="21" t="n"/>
      <c r="R155" s="21" t="n"/>
      <c r="S155" s="21" t="n"/>
      <c r="T155" s="21" t="n"/>
    </row>
    <row r="156">
      <c r="A156" s="20" t="inlineStr">
        <is>
          <t>GAP-143</t>
        </is>
      </c>
      <c r="B156" s="21" t="n"/>
      <c r="C156" s="21" t="n"/>
      <c r="D156" s="21" t="n"/>
      <c r="E156" s="21" t="n"/>
      <c r="F156" s="21" t="n"/>
      <c r="G156" s="21" t="n"/>
      <c r="H156" s="21" t="n"/>
      <c r="I156" s="21" t="n"/>
      <c r="J156" s="21" t="n"/>
      <c r="K156" s="21" t="n"/>
      <c r="L156" s="22">
        <f>IF(OR(ISBLANK(J156),ISBLANK(K156)),"",IF(AND(J156="Critical",K156="Very High"),25,IF(AND(J156="Critical",K156="High"),20,IF(AND(J156="High",K156="Very High"),20,IF(AND(J156="High",K156="High"),16,IF(AND(J156="Critical",K156="Medium"),15,IF(AND(J156="Medium",K156="High"),12,IF(AND(J156="High",K156="Medium"),12,10))))))))</f>
        <v/>
      </c>
      <c r="M156" s="21" t="n"/>
      <c r="N156" s="21" t="n"/>
      <c r="O156" s="21" t="n"/>
      <c r="P156" s="21" t="n"/>
      <c r="Q156" s="21" t="n"/>
      <c r="R156" s="21" t="n"/>
      <c r="S156" s="21" t="n"/>
      <c r="T156" s="21" t="n"/>
    </row>
    <row r="157">
      <c r="A157" s="20" t="inlineStr">
        <is>
          <t>GAP-144</t>
        </is>
      </c>
      <c r="B157" s="21" t="n"/>
      <c r="C157" s="21" t="n"/>
      <c r="D157" s="21" t="n"/>
      <c r="E157" s="21" t="n"/>
      <c r="F157" s="21" t="n"/>
      <c r="G157" s="21" t="n"/>
      <c r="H157" s="21" t="n"/>
      <c r="I157" s="21" t="n"/>
      <c r="J157" s="21" t="n"/>
      <c r="K157" s="21" t="n"/>
      <c r="L157" s="22">
        <f>IF(OR(ISBLANK(J157),ISBLANK(K157)),"",IF(AND(J157="Critical",K157="Very High"),25,IF(AND(J157="Critical",K157="High"),20,IF(AND(J157="High",K157="Very High"),20,IF(AND(J157="High",K157="High"),16,IF(AND(J157="Critical",K157="Medium"),15,IF(AND(J157="Medium",K157="High"),12,IF(AND(J157="High",K157="Medium"),12,10))))))))</f>
        <v/>
      </c>
      <c r="M157" s="21" t="n"/>
      <c r="N157" s="21" t="n"/>
      <c r="O157" s="21" t="n"/>
      <c r="P157" s="21" t="n"/>
      <c r="Q157" s="21" t="n"/>
      <c r="R157" s="21" t="n"/>
      <c r="S157" s="21" t="n"/>
      <c r="T157" s="21" t="n"/>
    </row>
    <row r="158">
      <c r="A158" s="20" t="inlineStr">
        <is>
          <t>GAP-145</t>
        </is>
      </c>
      <c r="B158" s="21" t="n"/>
      <c r="C158" s="21" t="n"/>
      <c r="D158" s="21" t="n"/>
      <c r="E158" s="21" t="n"/>
      <c r="F158" s="21" t="n"/>
      <c r="G158" s="21" t="n"/>
      <c r="H158" s="21" t="n"/>
      <c r="I158" s="21" t="n"/>
      <c r="J158" s="21" t="n"/>
      <c r="K158" s="21" t="n"/>
      <c r="L158" s="22">
        <f>IF(OR(ISBLANK(J158),ISBLANK(K158)),"",IF(AND(J158="Critical",K158="Very High"),25,IF(AND(J158="Critical",K158="High"),20,IF(AND(J158="High",K158="Very High"),20,IF(AND(J158="High",K158="High"),16,IF(AND(J158="Critical",K158="Medium"),15,IF(AND(J158="Medium",K158="High"),12,IF(AND(J158="High",K158="Medium"),12,10))))))))</f>
        <v/>
      </c>
      <c r="M158" s="21" t="n"/>
      <c r="N158" s="21" t="n"/>
      <c r="O158" s="21" t="n"/>
      <c r="P158" s="21" t="n"/>
      <c r="Q158" s="21" t="n"/>
      <c r="R158" s="21" t="n"/>
      <c r="S158" s="21" t="n"/>
      <c r="T158" s="21" t="n"/>
    </row>
    <row r="159">
      <c r="A159" s="20" t="inlineStr">
        <is>
          <t>GAP-146</t>
        </is>
      </c>
      <c r="B159" s="21" t="n"/>
      <c r="C159" s="21" t="n"/>
      <c r="D159" s="21" t="n"/>
      <c r="E159" s="21" t="n"/>
      <c r="F159" s="21" t="n"/>
      <c r="G159" s="21" t="n"/>
      <c r="H159" s="21" t="n"/>
      <c r="I159" s="21" t="n"/>
      <c r="J159" s="21" t="n"/>
      <c r="K159" s="21" t="n"/>
      <c r="L159" s="22">
        <f>IF(OR(ISBLANK(J159),ISBLANK(K159)),"",IF(AND(J159="Critical",K159="Very High"),25,IF(AND(J159="Critical",K159="High"),20,IF(AND(J159="High",K159="Very High"),20,IF(AND(J159="High",K159="High"),16,IF(AND(J159="Critical",K159="Medium"),15,IF(AND(J159="Medium",K159="High"),12,IF(AND(J159="High",K159="Medium"),12,10))))))))</f>
        <v/>
      </c>
      <c r="M159" s="21" t="n"/>
      <c r="N159" s="21" t="n"/>
      <c r="O159" s="21" t="n"/>
      <c r="P159" s="21" t="n"/>
      <c r="Q159" s="21" t="n"/>
      <c r="R159" s="21" t="n"/>
      <c r="S159" s="21" t="n"/>
      <c r="T159" s="21" t="n"/>
    </row>
    <row r="160">
      <c r="A160" s="20" t="inlineStr">
        <is>
          <t>GAP-147</t>
        </is>
      </c>
      <c r="B160" s="21" t="n"/>
      <c r="C160" s="21" t="n"/>
      <c r="D160" s="21" t="n"/>
      <c r="E160" s="21" t="n"/>
      <c r="F160" s="21" t="n"/>
      <c r="G160" s="21" t="n"/>
      <c r="H160" s="21" t="n"/>
      <c r="I160" s="21" t="n"/>
      <c r="J160" s="21" t="n"/>
      <c r="K160" s="21" t="n"/>
      <c r="L160" s="22">
        <f>IF(OR(ISBLANK(J160),ISBLANK(K160)),"",IF(AND(J160="Critical",K160="Very High"),25,IF(AND(J160="Critical",K160="High"),20,IF(AND(J160="High",K160="Very High"),20,IF(AND(J160="High",K160="High"),16,IF(AND(J160="Critical",K160="Medium"),15,IF(AND(J160="Medium",K160="High"),12,IF(AND(J160="High",K160="Medium"),12,10))))))))</f>
        <v/>
      </c>
      <c r="M160" s="21" t="n"/>
      <c r="N160" s="21" t="n"/>
      <c r="O160" s="21" t="n"/>
      <c r="P160" s="21" t="n"/>
      <c r="Q160" s="21" t="n"/>
      <c r="R160" s="21" t="n"/>
      <c r="S160" s="21" t="n"/>
      <c r="T160" s="21" t="n"/>
    </row>
    <row r="161">
      <c r="A161" s="20" t="inlineStr">
        <is>
          <t>GAP-148</t>
        </is>
      </c>
      <c r="B161" s="21" t="n"/>
      <c r="C161" s="21" t="n"/>
      <c r="D161" s="21" t="n"/>
      <c r="E161" s="21" t="n"/>
      <c r="F161" s="21" t="n"/>
      <c r="G161" s="21" t="n"/>
      <c r="H161" s="21" t="n"/>
      <c r="I161" s="21" t="n"/>
      <c r="J161" s="21" t="n"/>
      <c r="K161" s="21" t="n"/>
      <c r="L161" s="22">
        <f>IF(OR(ISBLANK(J161),ISBLANK(K161)),"",IF(AND(J161="Critical",K161="Very High"),25,IF(AND(J161="Critical",K161="High"),20,IF(AND(J161="High",K161="Very High"),20,IF(AND(J161="High",K161="High"),16,IF(AND(J161="Critical",K161="Medium"),15,IF(AND(J161="Medium",K161="High"),12,IF(AND(J161="High",K161="Medium"),12,10))))))))</f>
        <v/>
      </c>
      <c r="M161" s="21" t="n"/>
      <c r="N161" s="21" t="n"/>
      <c r="O161" s="21" t="n"/>
      <c r="P161" s="21" t="n"/>
      <c r="Q161" s="21" t="n"/>
      <c r="R161" s="21" t="n"/>
      <c r="S161" s="21" t="n"/>
      <c r="T161" s="21" t="n"/>
    </row>
    <row r="162">
      <c r="A162" s="20" t="inlineStr">
        <is>
          <t>GAP-149</t>
        </is>
      </c>
      <c r="B162" s="21" t="n"/>
      <c r="C162" s="21" t="n"/>
      <c r="D162" s="21" t="n"/>
      <c r="E162" s="21" t="n"/>
      <c r="F162" s="21" t="n"/>
      <c r="G162" s="21" t="n"/>
      <c r="H162" s="21" t="n"/>
      <c r="I162" s="21" t="n"/>
      <c r="J162" s="21" t="n"/>
      <c r="K162" s="21" t="n"/>
      <c r="L162" s="22">
        <f>IF(OR(ISBLANK(J162),ISBLANK(K162)),"",IF(AND(J162="Critical",K162="Very High"),25,IF(AND(J162="Critical",K162="High"),20,IF(AND(J162="High",K162="Very High"),20,IF(AND(J162="High",K162="High"),16,IF(AND(J162="Critical",K162="Medium"),15,IF(AND(J162="Medium",K162="High"),12,IF(AND(J162="High",K162="Medium"),12,10))))))))</f>
        <v/>
      </c>
      <c r="M162" s="21" t="n"/>
      <c r="N162" s="21" t="n"/>
      <c r="O162" s="21" t="n"/>
      <c r="P162" s="21" t="n"/>
      <c r="Q162" s="21" t="n"/>
      <c r="R162" s="21" t="n"/>
      <c r="S162" s="21" t="n"/>
      <c r="T162" s="21" t="n"/>
    </row>
    <row r="163">
      <c r="A163" s="20" t="inlineStr">
        <is>
          <t>GAP-150</t>
        </is>
      </c>
      <c r="B163" s="21" t="n"/>
      <c r="C163" s="21" t="n"/>
      <c r="D163" s="21" t="n"/>
      <c r="E163" s="21" t="n"/>
      <c r="F163" s="21" t="n"/>
      <c r="G163" s="21" t="n"/>
      <c r="H163" s="21" t="n"/>
      <c r="I163" s="21" t="n"/>
      <c r="J163" s="21" t="n"/>
      <c r="K163" s="21" t="n"/>
      <c r="L163" s="22">
        <f>IF(OR(ISBLANK(J163),ISBLANK(K163)),"",IF(AND(J163="Critical",K163="Very High"),25,IF(AND(J163="Critical",K163="High"),20,IF(AND(J163="High",K163="Very High"),20,IF(AND(J163="High",K163="High"),16,IF(AND(J163="Critical",K163="Medium"),15,IF(AND(J163="Medium",K163="High"),12,IF(AND(J163="High",K163="Medium"),12,10))))))))</f>
        <v/>
      </c>
      <c r="M163" s="21" t="n"/>
      <c r="N163" s="21" t="n"/>
      <c r="O163" s="21" t="n"/>
      <c r="P163" s="21" t="n"/>
      <c r="Q163" s="21" t="n"/>
      <c r="R163" s="21" t="n"/>
      <c r="S163" s="21" t="n"/>
      <c r="T163" s="21" t="n"/>
    </row>
    <row r="164">
      <c r="A164" s="20" t="inlineStr">
        <is>
          <t>GAP-151</t>
        </is>
      </c>
      <c r="B164" s="21" t="n"/>
      <c r="C164" s="21" t="n"/>
      <c r="D164" s="21" t="n"/>
      <c r="E164" s="21" t="n"/>
      <c r="F164" s="21" t="n"/>
      <c r="G164" s="21" t="n"/>
      <c r="H164" s="21" t="n"/>
      <c r="I164" s="21" t="n"/>
      <c r="J164" s="21" t="n"/>
      <c r="K164" s="21" t="n"/>
      <c r="L164" s="22">
        <f>IF(OR(ISBLANK(J164),ISBLANK(K164)),"",IF(AND(J164="Critical",K164="Very High"),25,IF(AND(J164="Critical",K164="High"),20,IF(AND(J164="High",K164="Very High"),20,IF(AND(J164="High",K164="High"),16,IF(AND(J164="Critical",K164="Medium"),15,IF(AND(J164="Medium",K164="High"),12,IF(AND(J164="High",K164="Medium"),12,10))))))))</f>
        <v/>
      </c>
      <c r="M164" s="21" t="n"/>
      <c r="N164" s="21" t="n"/>
      <c r="O164" s="21" t="n"/>
      <c r="P164" s="21" t="n"/>
      <c r="Q164" s="21" t="n"/>
      <c r="R164" s="21" t="n"/>
      <c r="S164" s="21" t="n"/>
      <c r="T164" s="21" t="n"/>
    </row>
    <row r="165">
      <c r="A165" s="20" t="inlineStr">
        <is>
          <t>GAP-152</t>
        </is>
      </c>
      <c r="B165" s="21" t="n"/>
      <c r="C165" s="21" t="n"/>
      <c r="D165" s="21" t="n"/>
      <c r="E165" s="21" t="n"/>
      <c r="F165" s="21" t="n"/>
      <c r="G165" s="21" t="n"/>
      <c r="H165" s="21" t="n"/>
      <c r="I165" s="21" t="n"/>
      <c r="J165" s="21" t="n"/>
      <c r="K165" s="21" t="n"/>
      <c r="L165" s="22">
        <f>IF(OR(ISBLANK(J165),ISBLANK(K165)),"",IF(AND(J165="Critical",K165="Very High"),25,IF(AND(J165="Critical",K165="High"),20,IF(AND(J165="High",K165="Very High"),20,IF(AND(J165="High",K165="High"),16,IF(AND(J165="Critical",K165="Medium"),15,IF(AND(J165="Medium",K165="High"),12,IF(AND(J165="High",K165="Medium"),12,10))))))))</f>
        <v/>
      </c>
      <c r="M165" s="21" t="n"/>
      <c r="N165" s="21" t="n"/>
      <c r="O165" s="21" t="n"/>
      <c r="P165" s="21" t="n"/>
      <c r="Q165" s="21" t="n"/>
      <c r="R165" s="21" t="n"/>
      <c r="S165" s="21" t="n"/>
      <c r="T165" s="21" t="n"/>
    </row>
    <row r="166">
      <c r="A166" s="20" t="inlineStr">
        <is>
          <t>GAP-153</t>
        </is>
      </c>
      <c r="B166" s="21" t="n"/>
      <c r="C166" s="21" t="n"/>
      <c r="D166" s="21" t="n"/>
      <c r="E166" s="21" t="n"/>
      <c r="F166" s="21" t="n"/>
      <c r="G166" s="21" t="n"/>
      <c r="H166" s="21" t="n"/>
      <c r="I166" s="21" t="n"/>
      <c r="J166" s="21" t="n"/>
      <c r="K166" s="21" t="n"/>
      <c r="L166" s="22">
        <f>IF(OR(ISBLANK(J166),ISBLANK(K166)),"",IF(AND(J166="Critical",K166="Very High"),25,IF(AND(J166="Critical",K166="High"),20,IF(AND(J166="High",K166="Very High"),20,IF(AND(J166="High",K166="High"),16,IF(AND(J166="Critical",K166="Medium"),15,IF(AND(J166="Medium",K166="High"),12,IF(AND(J166="High",K166="Medium"),12,10))))))))</f>
        <v/>
      </c>
      <c r="M166" s="21" t="n"/>
      <c r="N166" s="21" t="n"/>
      <c r="O166" s="21" t="n"/>
      <c r="P166" s="21" t="n"/>
      <c r="Q166" s="21" t="n"/>
      <c r="R166" s="21" t="n"/>
      <c r="S166" s="21" t="n"/>
      <c r="T166" s="21" t="n"/>
    </row>
    <row r="167">
      <c r="A167" s="20" t="inlineStr">
        <is>
          <t>GAP-154</t>
        </is>
      </c>
      <c r="B167" s="21" t="n"/>
      <c r="C167" s="21" t="n"/>
      <c r="D167" s="21" t="n"/>
      <c r="E167" s="21" t="n"/>
      <c r="F167" s="21" t="n"/>
      <c r="G167" s="21" t="n"/>
      <c r="H167" s="21" t="n"/>
      <c r="I167" s="21" t="n"/>
      <c r="J167" s="21" t="n"/>
      <c r="K167" s="21" t="n"/>
      <c r="L167" s="22">
        <f>IF(OR(ISBLANK(J167),ISBLANK(K167)),"",IF(AND(J167="Critical",K167="Very High"),25,IF(AND(J167="Critical",K167="High"),20,IF(AND(J167="High",K167="Very High"),20,IF(AND(J167="High",K167="High"),16,IF(AND(J167="Critical",K167="Medium"),15,IF(AND(J167="Medium",K167="High"),12,IF(AND(J167="High",K167="Medium"),12,10))))))))</f>
        <v/>
      </c>
      <c r="M167" s="21" t="n"/>
      <c r="N167" s="21" t="n"/>
      <c r="O167" s="21" t="n"/>
      <c r="P167" s="21" t="n"/>
      <c r="Q167" s="21" t="n"/>
      <c r="R167" s="21" t="n"/>
      <c r="S167" s="21" t="n"/>
      <c r="T167" s="21" t="n"/>
    </row>
    <row r="168">
      <c r="A168" s="20" t="inlineStr">
        <is>
          <t>GAP-155</t>
        </is>
      </c>
      <c r="B168" s="21" t="n"/>
      <c r="C168" s="21" t="n"/>
      <c r="D168" s="21" t="n"/>
      <c r="E168" s="21" t="n"/>
      <c r="F168" s="21" t="n"/>
      <c r="G168" s="21" t="n"/>
      <c r="H168" s="21" t="n"/>
      <c r="I168" s="21" t="n"/>
      <c r="J168" s="21" t="n"/>
      <c r="K168" s="21" t="n"/>
      <c r="L168" s="22">
        <f>IF(OR(ISBLANK(J168),ISBLANK(K168)),"",IF(AND(J168="Critical",K168="Very High"),25,IF(AND(J168="Critical",K168="High"),20,IF(AND(J168="High",K168="Very High"),20,IF(AND(J168="High",K168="High"),16,IF(AND(J168="Critical",K168="Medium"),15,IF(AND(J168="Medium",K168="High"),12,IF(AND(J168="High",K168="Medium"),12,10))))))))</f>
        <v/>
      </c>
      <c r="M168" s="21" t="n"/>
      <c r="N168" s="21" t="n"/>
      <c r="O168" s="21" t="n"/>
      <c r="P168" s="21" t="n"/>
      <c r="Q168" s="21" t="n"/>
      <c r="R168" s="21" t="n"/>
      <c r="S168" s="21" t="n"/>
      <c r="T168" s="21" t="n"/>
    </row>
    <row r="169">
      <c r="A169" s="20" t="inlineStr">
        <is>
          <t>GAP-156</t>
        </is>
      </c>
      <c r="B169" s="21" t="n"/>
      <c r="C169" s="21" t="n"/>
      <c r="D169" s="21" t="n"/>
      <c r="E169" s="21" t="n"/>
      <c r="F169" s="21" t="n"/>
      <c r="G169" s="21" t="n"/>
      <c r="H169" s="21" t="n"/>
      <c r="I169" s="21" t="n"/>
      <c r="J169" s="21" t="n"/>
      <c r="K169" s="21" t="n"/>
      <c r="L169" s="22">
        <f>IF(OR(ISBLANK(J169),ISBLANK(K169)),"",IF(AND(J169="Critical",K169="Very High"),25,IF(AND(J169="Critical",K169="High"),20,IF(AND(J169="High",K169="Very High"),20,IF(AND(J169="High",K169="High"),16,IF(AND(J169="Critical",K169="Medium"),15,IF(AND(J169="Medium",K169="High"),12,IF(AND(J169="High",K169="Medium"),12,10))))))))</f>
        <v/>
      </c>
      <c r="M169" s="21" t="n"/>
      <c r="N169" s="21" t="n"/>
      <c r="O169" s="21" t="n"/>
      <c r="P169" s="21" t="n"/>
      <c r="Q169" s="21" t="n"/>
      <c r="R169" s="21" t="n"/>
      <c r="S169" s="21" t="n"/>
      <c r="T169" s="21" t="n"/>
    </row>
    <row r="170">
      <c r="A170" s="20" t="inlineStr">
        <is>
          <t>GAP-157</t>
        </is>
      </c>
      <c r="B170" s="21" t="n"/>
      <c r="C170" s="21" t="n"/>
      <c r="D170" s="21" t="n"/>
      <c r="E170" s="21" t="n"/>
      <c r="F170" s="21" t="n"/>
      <c r="G170" s="21" t="n"/>
      <c r="H170" s="21" t="n"/>
      <c r="I170" s="21" t="n"/>
      <c r="J170" s="21" t="n"/>
      <c r="K170" s="21" t="n"/>
      <c r="L170" s="22">
        <f>IF(OR(ISBLANK(J170),ISBLANK(K170)),"",IF(AND(J170="Critical",K170="Very High"),25,IF(AND(J170="Critical",K170="High"),20,IF(AND(J170="High",K170="Very High"),20,IF(AND(J170="High",K170="High"),16,IF(AND(J170="Critical",K170="Medium"),15,IF(AND(J170="Medium",K170="High"),12,IF(AND(J170="High",K170="Medium"),12,10))))))))</f>
        <v/>
      </c>
      <c r="M170" s="21" t="n"/>
      <c r="N170" s="21" t="n"/>
      <c r="O170" s="21" t="n"/>
      <c r="P170" s="21" t="n"/>
      <c r="Q170" s="21" t="n"/>
      <c r="R170" s="21" t="n"/>
      <c r="S170" s="21" t="n"/>
      <c r="T170" s="21" t="n"/>
    </row>
    <row r="171">
      <c r="A171" s="20" t="inlineStr">
        <is>
          <t>GAP-158</t>
        </is>
      </c>
      <c r="B171" s="21" t="n"/>
      <c r="C171" s="21" t="n"/>
      <c r="D171" s="21" t="n"/>
      <c r="E171" s="21" t="n"/>
      <c r="F171" s="21" t="n"/>
      <c r="G171" s="21" t="n"/>
      <c r="H171" s="21" t="n"/>
      <c r="I171" s="21" t="n"/>
      <c r="J171" s="21" t="n"/>
      <c r="K171" s="21" t="n"/>
      <c r="L171" s="22">
        <f>IF(OR(ISBLANK(J171),ISBLANK(K171)),"",IF(AND(J171="Critical",K171="Very High"),25,IF(AND(J171="Critical",K171="High"),20,IF(AND(J171="High",K171="Very High"),20,IF(AND(J171="High",K171="High"),16,IF(AND(J171="Critical",K171="Medium"),15,IF(AND(J171="Medium",K171="High"),12,IF(AND(J171="High",K171="Medium"),12,10))))))))</f>
        <v/>
      </c>
      <c r="M171" s="21" t="n"/>
      <c r="N171" s="21" t="n"/>
      <c r="O171" s="21" t="n"/>
      <c r="P171" s="21" t="n"/>
      <c r="Q171" s="21" t="n"/>
      <c r="R171" s="21" t="n"/>
      <c r="S171" s="21" t="n"/>
      <c r="T171" s="21" t="n"/>
    </row>
    <row r="172">
      <c r="A172" s="20" t="inlineStr">
        <is>
          <t>GAP-159</t>
        </is>
      </c>
      <c r="B172" s="21" t="n"/>
      <c r="C172" s="21" t="n"/>
      <c r="D172" s="21" t="n"/>
      <c r="E172" s="21" t="n"/>
      <c r="F172" s="21" t="n"/>
      <c r="G172" s="21" t="n"/>
      <c r="H172" s="21" t="n"/>
      <c r="I172" s="21" t="n"/>
      <c r="J172" s="21" t="n"/>
      <c r="K172" s="21" t="n"/>
      <c r="L172" s="22">
        <f>IF(OR(ISBLANK(J172),ISBLANK(K172)),"",IF(AND(J172="Critical",K172="Very High"),25,IF(AND(J172="Critical",K172="High"),20,IF(AND(J172="High",K172="Very High"),20,IF(AND(J172="High",K172="High"),16,IF(AND(J172="Critical",K172="Medium"),15,IF(AND(J172="Medium",K172="High"),12,IF(AND(J172="High",K172="Medium"),12,10))))))))</f>
        <v/>
      </c>
      <c r="M172" s="21" t="n"/>
      <c r="N172" s="21" t="n"/>
      <c r="O172" s="21" t="n"/>
      <c r="P172" s="21" t="n"/>
      <c r="Q172" s="21" t="n"/>
      <c r="R172" s="21" t="n"/>
      <c r="S172" s="21" t="n"/>
      <c r="T172" s="21" t="n"/>
    </row>
    <row r="173">
      <c r="A173" s="20" t="inlineStr">
        <is>
          <t>GAP-160</t>
        </is>
      </c>
      <c r="B173" s="21" t="n"/>
      <c r="C173" s="21" t="n"/>
      <c r="D173" s="21" t="n"/>
      <c r="E173" s="21" t="n"/>
      <c r="F173" s="21" t="n"/>
      <c r="G173" s="21" t="n"/>
      <c r="H173" s="21" t="n"/>
      <c r="I173" s="21" t="n"/>
      <c r="J173" s="21" t="n"/>
      <c r="K173" s="21" t="n"/>
      <c r="L173" s="22">
        <f>IF(OR(ISBLANK(J173),ISBLANK(K173)),"",IF(AND(J173="Critical",K173="Very High"),25,IF(AND(J173="Critical",K173="High"),20,IF(AND(J173="High",K173="Very High"),20,IF(AND(J173="High",K173="High"),16,IF(AND(J173="Critical",K173="Medium"),15,IF(AND(J173="Medium",K173="High"),12,IF(AND(J173="High",K173="Medium"),12,10))))))))</f>
        <v/>
      </c>
      <c r="M173" s="21" t="n"/>
      <c r="N173" s="21" t="n"/>
      <c r="O173" s="21" t="n"/>
      <c r="P173" s="21" t="n"/>
      <c r="Q173" s="21" t="n"/>
      <c r="R173" s="21" t="n"/>
      <c r="S173" s="21" t="n"/>
      <c r="T173" s="21" t="n"/>
    </row>
    <row r="174">
      <c r="A174" s="20" t="inlineStr">
        <is>
          <t>GAP-161</t>
        </is>
      </c>
      <c r="B174" s="21" t="n"/>
      <c r="C174" s="21" t="n"/>
      <c r="D174" s="21" t="n"/>
      <c r="E174" s="21" t="n"/>
      <c r="F174" s="21" t="n"/>
      <c r="G174" s="21" t="n"/>
      <c r="H174" s="21" t="n"/>
      <c r="I174" s="21" t="n"/>
      <c r="J174" s="21" t="n"/>
      <c r="K174" s="21" t="n"/>
      <c r="L174" s="22">
        <f>IF(OR(ISBLANK(J174),ISBLANK(K174)),"",IF(AND(J174="Critical",K174="Very High"),25,IF(AND(J174="Critical",K174="High"),20,IF(AND(J174="High",K174="Very High"),20,IF(AND(J174="High",K174="High"),16,IF(AND(J174="Critical",K174="Medium"),15,IF(AND(J174="Medium",K174="High"),12,IF(AND(J174="High",K174="Medium"),12,10))))))))</f>
        <v/>
      </c>
      <c r="M174" s="21" t="n"/>
      <c r="N174" s="21" t="n"/>
      <c r="O174" s="21" t="n"/>
      <c r="P174" s="21" t="n"/>
      <c r="Q174" s="21" t="n"/>
      <c r="R174" s="21" t="n"/>
      <c r="S174" s="21" t="n"/>
      <c r="T174" s="21" t="n"/>
    </row>
    <row r="175">
      <c r="A175" s="20" t="inlineStr">
        <is>
          <t>GAP-162</t>
        </is>
      </c>
      <c r="B175" s="21" t="n"/>
      <c r="C175" s="21" t="n"/>
      <c r="D175" s="21" t="n"/>
      <c r="E175" s="21" t="n"/>
      <c r="F175" s="21" t="n"/>
      <c r="G175" s="21" t="n"/>
      <c r="H175" s="21" t="n"/>
      <c r="I175" s="21" t="n"/>
      <c r="J175" s="21" t="n"/>
      <c r="K175" s="21" t="n"/>
      <c r="L175" s="22">
        <f>IF(OR(ISBLANK(J175),ISBLANK(K175)),"",IF(AND(J175="Critical",K175="Very High"),25,IF(AND(J175="Critical",K175="High"),20,IF(AND(J175="High",K175="Very High"),20,IF(AND(J175="High",K175="High"),16,IF(AND(J175="Critical",K175="Medium"),15,IF(AND(J175="Medium",K175="High"),12,IF(AND(J175="High",K175="Medium"),12,10))))))))</f>
        <v/>
      </c>
      <c r="M175" s="21" t="n"/>
      <c r="N175" s="21" t="n"/>
      <c r="O175" s="21" t="n"/>
      <c r="P175" s="21" t="n"/>
      <c r="Q175" s="21" t="n"/>
      <c r="R175" s="21" t="n"/>
      <c r="S175" s="21" t="n"/>
      <c r="T175" s="21" t="n"/>
    </row>
    <row r="176">
      <c r="A176" s="20" t="inlineStr">
        <is>
          <t>GAP-163</t>
        </is>
      </c>
      <c r="B176" s="21" t="n"/>
      <c r="C176" s="21" t="n"/>
      <c r="D176" s="21" t="n"/>
      <c r="E176" s="21" t="n"/>
      <c r="F176" s="21" t="n"/>
      <c r="G176" s="21" t="n"/>
      <c r="H176" s="21" t="n"/>
      <c r="I176" s="21" t="n"/>
      <c r="J176" s="21" t="n"/>
      <c r="K176" s="21" t="n"/>
      <c r="L176" s="22">
        <f>IF(OR(ISBLANK(J176),ISBLANK(K176)),"",IF(AND(J176="Critical",K176="Very High"),25,IF(AND(J176="Critical",K176="High"),20,IF(AND(J176="High",K176="Very High"),20,IF(AND(J176="High",K176="High"),16,IF(AND(J176="Critical",K176="Medium"),15,IF(AND(J176="Medium",K176="High"),12,IF(AND(J176="High",K176="Medium"),12,10))))))))</f>
        <v/>
      </c>
      <c r="M176" s="21" t="n"/>
      <c r="N176" s="21" t="n"/>
      <c r="O176" s="21" t="n"/>
      <c r="P176" s="21" t="n"/>
      <c r="Q176" s="21" t="n"/>
      <c r="R176" s="21" t="n"/>
      <c r="S176" s="21" t="n"/>
      <c r="T176" s="21" t="n"/>
    </row>
    <row r="177">
      <c r="A177" s="20" t="inlineStr">
        <is>
          <t>GAP-164</t>
        </is>
      </c>
      <c r="B177" s="21" t="n"/>
      <c r="C177" s="21" t="n"/>
      <c r="D177" s="21" t="n"/>
      <c r="E177" s="21" t="n"/>
      <c r="F177" s="21" t="n"/>
      <c r="G177" s="21" t="n"/>
      <c r="H177" s="21" t="n"/>
      <c r="I177" s="21" t="n"/>
      <c r="J177" s="21" t="n"/>
      <c r="K177" s="21" t="n"/>
      <c r="L177" s="22">
        <f>IF(OR(ISBLANK(J177),ISBLANK(K177)),"",IF(AND(J177="Critical",K177="Very High"),25,IF(AND(J177="Critical",K177="High"),20,IF(AND(J177="High",K177="Very High"),20,IF(AND(J177="High",K177="High"),16,IF(AND(J177="Critical",K177="Medium"),15,IF(AND(J177="Medium",K177="High"),12,IF(AND(J177="High",K177="Medium"),12,10))))))))</f>
        <v/>
      </c>
      <c r="M177" s="21" t="n"/>
      <c r="N177" s="21" t="n"/>
      <c r="O177" s="21" t="n"/>
      <c r="P177" s="21" t="n"/>
      <c r="Q177" s="21" t="n"/>
      <c r="R177" s="21" t="n"/>
      <c r="S177" s="21" t="n"/>
      <c r="T177" s="21" t="n"/>
    </row>
    <row r="178">
      <c r="A178" s="20" t="inlineStr">
        <is>
          <t>GAP-165</t>
        </is>
      </c>
      <c r="B178" s="21" t="n"/>
      <c r="C178" s="21" t="n"/>
      <c r="D178" s="21" t="n"/>
      <c r="E178" s="21" t="n"/>
      <c r="F178" s="21" t="n"/>
      <c r="G178" s="21" t="n"/>
      <c r="H178" s="21" t="n"/>
      <c r="I178" s="21" t="n"/>
      <c r="J178" s="21" t="n"/>
      <c r="K178" s="21" t="n"/>
      <c r="L178" s="22">
        <f>IF(OR(ISBLANK(J178),ISBLANK(K178)),"",IF(AND(J178="Critical",K178="Very High"),25,IF(AND(J178="Critical",K178="High"),20,IF(AND(J178="High",K178="Very High"),20,IF(AND(J178="High",K178="High"),16,IF(AND(J178="Critical",K178="Medium"),15,IF(AND(J178="Medium",K178="High"),12,IF(AND(J178="High",K178="Medium"),12,10))))))))</f>
        <v/>
      </c>
      <c r="M178" s="21" t="n"/>
      <c r="N178" s="21" t="n"/>
      <c r="O178" s="21" t="n"/>
      <c r="P178" s="21" t="n"/>
      <c r="Q178" s="21" t="n"/>
      <c r="R178" s="21" t="n"/>
      <c r="S178" s="21" t="n"/>
      <c r="T178" s="21" t="n"/>
    </row>
    <row r="179">
      <c r="A179" s="20" t="inlineStr">
        <is>
          <t>GAP-166</t>
        </is>
      </c>
      <c r="B179" s="21" t="n"/>
      <c r="C179" s="21" t="n"/>
      <c r="D179" s="21" t="n"/>
      <c r="E179" s="21" t="n"/>
      <c r="F179" s="21" t="n"/>
      <c r="G179" s="21" t="n"/>
      <c r="H179" s="21" t="n"/>
      <c r="I179" s="21" t="n"/>
      <c r="J179" s="21" t="n"/>
      <c r="K179" s="21" t="n"/>
      <c r="L179" s="22">
        <f>IF(OR(ISBLANK(J179),ISBLANK(K179)),"",IF(AND(J179="Critical",K179="Very High"),25,IF(AND(J179="Critical",K179="High"),20,IF(AND(J179="High",K179="Very High"),20,IF(AND(J179="High",K179="High"),16,IF(AND(J179="Critical",K179="Medium"),15,IF(AND(J179="Medium",K179="High"),12,IF(AND(J179="High",K179="Medium"),12,10))))))))</f>
        <v/>
      </c>
      <c r="M179" s="21" t="n"/>
      <c r="N179" s="21" t="n"/>
      <c r="O179" s="21" t="n"/>
      <c r="P179" s="21" t="n"/>
      <c r="Q179" s="21" t="n"/>
      <c r="R179" s="21" t="n"/>
      <c r="S179" s="21" t="n"/>
      <c r="T179" s="21" t="n"/>
    </row>
    <row r="180">
      <c r="A180" s="20" t="inlineStr">
        <is>
          <t>GAP-167</t>
        </is>
      </c>
      <c r="B180" s="21" t="n"/>
      <c r="C180" s="21" t="n"/>
      <c r="D180" s="21" t="n"/>
      <c r="E180" s="21" t="n"/>
      <c r="F180" s="21" t="n"/>
      <c r="G180" s="21" t="n"/>
      <c r="H180" s="21" t="n"/>
      <c r="I180" s="21" t="n"/>
      <c r="J180" s="21" t="n"/>
      <c r="K180" s="21" t="n"/>
      <c r="L180" s="22">
        <f>IF(OR(ISBLANK(J180),ISBLANK(K180)),"",IF(AND(J180="Critical",K180="Very High"),25,IF(AND(J180="Critical",K180="High"),20,IF(AND(J180="High",K180="Very High"),20,IF(AND(J180="High",K180="High"),16,IF(AND(J180="Critical",K180="Medium"),15,IF(AND(J180="Medium",K180="High"),12,IF(AND(J180="High",K180="Medium"),12,10))))))))</f>
        <v/>
      </c>
      <c r="M180" s="21" t="n"/>
      <c r="N180" s="21" t="n"/>
      <c r="O180" s="21" t="n"/>
      <c r="P180" s="21" t="n"/>
      <c r="Q180" s="21" t="n"/>
      <c r="R180" s="21" t="n"/>
      <c r="S180" s="21" t="n"/>
      <c r="T180" s="21" t="n"/>
    </row>
    <row r="181">
      <c r="A181" s="20" t="inlineStr">
        <is>
          <t>GAP-168</t>
        </is>
      </c>
      <c r="B181" s="21" t="n"/>
      <c r="C181" s="21" t="n"/>
      <c r="D181" s="21" t="n"/>
      <c r="E181" s="21" t="n"/>
      <c r="F181" s="21" t="n"/>
      <c r="G181" s="21" t="n"/>
      <c r="H181" s="21" t="n"/>
      <c r="I181" s="21" t="n"/>
      <c r="J181" s="21" t="n"/>
      <c r="K181" s="21" t="n"/>
      <c r="L181" s="22">
        <f>IF(OR(ISBLANK(J181),ISBLANK(K181)),"",IF(AND(J181="Critical",K181="Very High"),25,IF(AND(J181="Critical",K181="High"),20,IF(AND(J181="High",K181="Very High"),20,IF(AND(J181="High",K181="High"),16,IF(AND(J181="Critical",K181="Medium"),15,IF(AND(J181="Medium",K181="High"),12,IF(AND(J181="High",K181="Medium"),12,10))))))))</f>
        <v/>
      </c>
      <c r="M181" s="21" t="n"/>
      <c r="N181" s="21" t="n"/>
      <c r="O181" s="21" t="n"/>
      <c r="P181" s="21" t="n"/>
      <c r="Q181" s="21" t="n"/>
      <c r="R181" s="21" t="n"/>
      <c r="S181" s="21" t="n"/>
      <c r="T181" s="21" t="n"/>
    </row>
    <row r="182">
      <c r="A182" s="20" t="inlineStr">
        <is>
          <t>GAP-169</t>
        </is>
      </c>
      <c r="B182" s="21" t="n"/>
      <c r="C182" s="21" t="n"/>
      <c r="D182" s="21" t="n"/>
      <c r="E182" s="21" t="n"/>
      <c r="F182" s="21" t="n"/>
      <c r="G182" s="21" t="n"/>
      <c r="H182" s="21" t="n"/>
      <c r="I182" s="21" t="n"/>
      <c r="J182" s="21" t="n"/>
      <c r="K182" s="21" t="n"/>
      <c r="L182" s="22">
        <f>IF(OR(ISBLANK(J182),ISBLANK(K182)),"",IF(AND(J182="Critical",K182="Very High"),25,IF(AND(J182="Critical",K182="High"),20,IF(AND(J182="High",K182="Very High"),20,IF(AND(J182="High",K182="High"),16,IF(AND(J182="Critical",K182="Medium"),15,IF(AND(J182="Medium",K182="High"),12,IF(AND(J182="High",K182="Medium"),12,10))))))))</f>
        <v/>
      </c>
      <c r="M182" s="21" t="n"/>
      <c r="N182" s="21" t="n"/>
      <c r="O182" s="21" t="n"/>
      <c r="P182" s="21" t="n"/>
      <c r="Q182" s="21" t="n"/>
      <c r="R182" s="21" t="n"/>
      <c r="S182" s="21" t="n"/>
      <c r="T182" s="21" t="n"/>
    </row>
    <row r="183">
      <c r="A183" s="20" t="inlineStr">
        <is>
          <t>GAP-170</t>
        </is>
      </c>
      <c r="B183" s="21" t="n"/>
      <c r="C183" s="21" t="n"/>
      <c r="D183" s="21" t="n"/>
      <c r="E183" s="21" t="n"/>
      <c r="F183" s="21" t="n"/>
      <c r="G183" s="21" t="n"/>
      <c r="H183" s="21" t="n"/>
      <c r="I183" s="21" t="n"/>
      <c r="J183" s="21" t="n"/>
      <c r="K183" s="21" t="n"/>
      <c r="L183" s="22">
        <f>IF(OR(ISBLANK(J183),ISBLANK(K183)),"",IF(AND(J183="Critical",K183="Very High"),25,IF(AND(J183="Critical",K183="High"),20,IF(AND(J183="High",K183="Very High"),20,IF(AND(J183="High",K183="High"),16,IF(AND(J183="Critical",K183="Medium"),15,IF(AND(J183="Medium",K183="High"),12,IF(AND(J183="High",K183="Medium"),12,10))))))))</f>
        <v/>
      </c>
      <c r="M183" s="21" t="n"/>
      <c r="N183" s="21" t="n"/>
      <c r="O183" s="21" t="n"/>
      <c r="P183" s="21" t="n"/>
      <c r="Q183" s="21" t="n"/>
      <c r="R183" s="21" t="n"/>
      <c r="S183" s="21" t="n"/>
      <c r="T183" s="21" t="n"/>
    </row>
    <row r="184">
      <c r="A184" s="20" t="inlineStr">
        <is>
          <t>GAP-171</t>
        </is>
      </c>
      <c r="B184" s="21" t="n"/>
      <c r="C184" s="21" t="n"/>
      <c r="D184" s="21" t="n"/>
      <c r="E184" s="21" t="n"/>
      <c r="F184" s="21" t="n"/>
      <c r="G184" s="21" t="n"/>
      <c r="H184" s="21" t="n"/>
      <c r="I184" s="21" t="n"/>
      <c r="J184" s="21" t="n"/>
      <c r="K184" s="21" t="n"/>
      <c r="L184" s="22">
        <f>IF(OR(ISBLANK(J184),ISBLANK(K184)),"",IF(AND(J184="Critical",K184="Very High"),25,IF(AND(J184="Critical",K184="High"),20,IF(AND(J184="High",K184="Very High"),20,IF(AND(J184="High",K184="High"),16,IF(AND(J184="Critical",K184="Medium"),15,IF(AND(J184="Medium",K184="High"),12,IF(AND(J184="High",K184="Medium"),12,10))))))))</f>
        <v/>
      </c>
      <c r="M184" s="21" t="n"/>
      <c r="N184" s="21" t="n"/>
      <c r="O184" s="21" t="n"/>
      <c r="P184" s="21" t="n"/>
      <c r="Q184" s="21" t="n"/>
      <c r="R184" s="21" t="n"/>
      <c r="S184" s="21" t="n"/>
      <c r="T184" s="21" t="n"/>
    </row>
    <row r="185">
      <c r="A185" s="20" t="inlineStr">
        <is>
          <t>GAP-172</t>
        </is>
      </c>
      <c r="B185" s="21" t="n"/>
      <c r="C185" s="21" t="n"/>
      <c r="D185" s="21" t="n"/>
      <c r="E185" s="21" t="n"/>
      <c r="F185" s="21" t="n"/>
      <c r="G185" s="21" t="n"/>
      <c r="H185" s="21" t="n"/>
      <c r="I185" s="21" t="n"/>
      <c r="J185" s="21" t="n"/>
      <c r="K185" s="21" t="n"/>
      <c r="L185" s="22">
        <f>IF(OR(ISBLANK(J185),ISBLANK(K185)),"",IF(AND(J185="Critical",K185="Very High"),25,IF(AND(J185="Critical",K185="High"),20,IF(AND(J185="High",K185="Very High"),20,IF(AND(J185="High",K185="High"),16,IF(AND(J185="Critical",K185="Medium"),15,IF(AND(J185="Medium",K185="High"),12,IF(AND(J185="High",K185="Medium"),12,10))))))))</f>
        <v/>
      </c>
      <c r="M185" s="21" t="n"/>
      <c r="N185" s="21" t="n"/>
      <c r="O185" s="21" t="n"/>
      <c r="P185" s="21" t="n"/>
      <c r="Q185" s="21" t="n"/>
      <c r="R185" s="21" t="n"/>
      <c r="S185" s="21" t="n"/>
      <c r="T185" s="21" t="n"/>
    </row>
    <row r="186">
      <c r="A186" s="20" t="inlineStr">
        <is>
          <t>GAP-173</t>
        </is>
      </c>
      <c r="B186" s="21" t="n"/>
      <c r="C186" s="21" t="n"/>
      <c r="D186" s="21" t="n"/>
      <c r="E186" s="21" t="n"/>
      <c r="F186" s="21" t="n"/>
      <c r="G186" s="21" t="n"/>
      <c r="H186" s="21" t="n"/>
      <c r="I186" s="21" t="n"/>
      <c r="J186" s="21" t="n"/>
      <c r="K186" s="21" t="n"/>
      <c r="L186" s="22">
        <f>IF(OR(ISBLANK(J186),ISBLANK(K186)),"",IF(AND(J186="Critical",K186="Very High"),25,IF(AND(J186="Critical",K186="High"),20,IF(AND(J186="High",K186="Very High"),20,IF(AND(J186="High",K186="High"),16,IF(AND(J186="Critical",K186="Medium"),15,IF(AND(J186="Medium",K186="High"),12,IF(AND(J186="High",K186="Medium"),12,10))))))))</f>
        <v/>
      </c>
      <c r="M186" s="21" t="n"/>
      <c r="N186" s="21" t="n"/>
      <c r="O186" s="21" t="n"/>
      <c r="P186" s="21" t="n"/>
      <c r="Q186" s="21" t="n"/>
      <c r="R186" s="21" t="n"/>
      <c r="S186" s="21" t="n"/>
      <c r="T186" s="21" t="n"/>
    </row>
    <row r="187">
      <c r="A187" s="20" t="inlineStr">
        <is>
          <t>GAP-174</t>
        </is>
      </c>
      <c r="B187" s="21" t="n"/>
      <c r="C187" s="21" t="n"/>
      <c r="D187" s="21" t="n"/>
      <c r="E187" s="21" t="n"/>
      <c r="F187" s="21" t="n"/>
      <c r="G187" s="21" t="n"/>
      <c r="H187" s="21" t="n"/>
      <c r="I187" s="21" t="n"/>
      <c r="J187" s="21" t="n"/>
      <c r="K187" s="21" t="n"/>
      <c r="L187" s="22">
        <f>IF(OR(ISBLANK(J187),ISBLANK(K187)),"",IF(AND(J187="Critical",K187="Very High"),25,IF(AND(J187="Critical",K187="High"),20,IF(AND(J187="High",K187="Very High"),20,IF(AND(J187="High",K187="High"),16,IF(AND(J187="Critical",K187="Medium"),15,IF(AND(J187="Medium",K187="High"),12,IF(AND(J187="High",K187="Medium"),12,10))))))))</f>
        <v/>
      </c>
      <c r="M187" s="21" t="n"/>
      <c r="N187" s="21" t="n"/>
      <c r="O187" s="21" t="n"/>
      <c r="P187" s="21" t="n"/>
      <c r="Q187" s="21" t="n"/>
      <c r="R187" s="21" t="n"/>
      <c r="S187" s="21" t="n"/>
      <c r="T187" s="21" t="n"/>
    </row>
    <row r="188">
      <c r="A188" s="20" t="inlineStr">
        <is>
          <t>GAP-175</t>
        </is>
      </c>
      <c r="B188" s="21" t="n"/>
      <c r="C188" s="21" t="n"/>
      <c r="D188" s="21" t="n"/>
      <c r="E188" s="21" t="n"/>
      <c r="F188" s="21" t="n"/>
      <c r="G188" s="21" t="n"/>
      <c r="H188" s="21" t="n"/>
      <c r="I188" s="21" t="n"/>
      <c r="J188" s="21" t="n"/>
      <c r="K188" s="21" t="n"/>
      <c r="L188" s="22">
        <f>IF(OR(ISBLANK(J188),ISBLANK(K188)),"",IF(AND(J188="Critical",K188="Very High"),25,IF(AND(J188="Critical",K188="High"),20,IF(AND(J188="High",K188="Very High"),20,IF(AND(J188="High",K188="High"),16,IF(AND(J188="Critical",K188="Medium"),15,IF(AND(J188="Medium",K188="High"),12,IF(AND(J188="High",K188="Medium"),12,10))))))))</f>
        <v/>
      </c>
      <c r="M188" s="21" t="n"/>
      <c r="N188" s="21" t="n"/>
      <c r="O188" s="21" t="n"/>
      <c r="P188" s="21" t="n"/>
      <c r="Q188" s="21" t="n"/>
      <c r="R188" s="21" t="n"/>
      <c r="S188" s="21" t="n"/>
      <c r="T188" s="21" t="n"/>
    </row>
    <row r="189">
      <c r="A189" s="20" t="inlineStr">
        <is>
          <t>GAP-176</t>
        </is>
      </c>
      <c r="B189" s="21" t="n"/>
      <c r="C189" s="21" t="n"/>
      <c r="D189" s="21" t="n"/>
      <c r="E189" s="21" t="n"/>
      <c r="F189" s="21" t="n"/>
      <c r="G189" s="21" t="n"/>
      <c r="H189" s="21" t="n"/>
      <c r="I189" s="21" t="n"/>
      <c r="J189" s="21" t="n"/>
      <c r="K189" s="21" t="n"/>
      <c r="L189" s="22">
        <f>IF(OR(ISBLANK(J189),ISBLANK(K189)),"",IF(AND(J189="Critical",K189="Very High"),25,IF(AND(J189="Critical",K189="High"),20,IF(AND(J189="High",K189="Very High"),20,IF(AND(J189="High",K189="High"),16,IF(AND(J189="Critical",K189="Medium"),15,IF(AND(J189="Medium",K189="High"),12,IF(AND(J189="High",K189="Medium"),12,10))))))))</f>
        <v/>
      </c>
      <c r="M189" s="21" t="n"/>
      <c r="N189" s="21" t="n"/>
      <c r="O189" s="21" t="n"/>
      <c r="P189" s="21" t="n"/>
      <c r="Q189" s="21" t="n"/>
      <c r="R189" s="21" t="n"/>
      <c r="S189" s="21" t="n"/>
      <c r="T189" s="21" t="n"/>
    </row>
    <row r="190">
      <c r="A190" s="20" t="inlineStr">
        <is>
          <t>GAP-177</t>
        </is>
      </c>
      <c r="B190" s="21" t="n"/>
      <c r="C190" s="21" t="n"/>
      <c r="D190" s="21" t="n"/>
      <c r="E190" s="21" t="n"/>
      <c r="F190" s="21" t="n"/>
      <c r="G190" s="21" t="n"/>
      <c r="H190" s="21" t="n"/>
      <c r="I190" s="21" t="n"/>
      <c r="J190" s="21" t="n"/>
      <c r="K190" s="21" t="n"/>
      <c r="L190" s="22">
        <f>IF(OR(ISBLANK(J190),ISBLANK(K190)),"",IF(AND(J190="Critical",K190="Very High"),25,IF(AND(J190="Critical",K190="High"),20,IF(AND(J190="High",K190="Very High"),20,IF(AND(J190="High",K190="High"),16,IF(AND(J190="Critical",K190="Medium"),15,IF(AND(J190="Medium",K190="High"),12,IF(AND(J190="High",K190="Medium"),12,10))))))))</f>
        <v/>
      </c>
      <c r="M190" s="21" t="n"/>
      <c r="N190" s="21" t="n"/>
      <c r="O190" s="21" t="n"/>
      <c r="P190" s="21" t="n"/>
      <c r="Q190" s="21" t="n"/>
      <c r="R190" s="21" t="n"/>
      <c r="S190" s="21" t="n"/>
      <c r="T190" s="21" t="n"/>
    </row>
    <row r="191">
      <c r="A191" s="20" t="inlineStr">
        <is>
          <t>GAP-178</t>
        </is>
      </c>
      <c r="B191" s="21" t="n"/>
      <c r="C191" s="21" t="n"/>
      <c r="D191" s="21" t="n"/>
      <c r="E191" s="21" t="n"/>
      <c r="F191" s="21" t="n"/>
      <c r="G191" s="21" t="n"/>
      <c r="H191" s="21" t="n"/>
      <c r="I191" s="21" t="n"/>
      <c r="J191" s="21" t="n"/>
      <c r="K191" s="21" t="n"/>
      <c r="L191" s="22">
        <f>IF(OR(ISBLANK(J191),ISBLANK(K191)),"",IF(AND(J191="Critical",K191="Very High"),25,IF(AND(J191="Critical",K191="High"),20,IF(AND(J191="High",K191="Very High"),20,IF(AND(J191="High",K191="High"),16,IF(AND(J191="Critical",K191="Medium"),15,IF(AND(J191="Medium",K191="High"),12,IF(AND(J191="High",K191="Medium"),12,10))))))))</f>
        <v/>
      </c>
      <c r="M191" s="21" t="n"/>
      <c r="N191" s="21" t="n"/>
      <c r="O191" s="21" t="n"/>
      <c r="P191" s="21" t="n"/>
      <c r="Q191" s="21" t="n"/>
      <c r="R191" s="21" t="n"/>
      <c r="S191" s="21" t="n"/>
      <c r="T191" s="21" t="n"/>
    </row>
    <row r="192">
      <c r="A192" s="20" t="inlineStr">
        <is>
          <t>GAP-179</t>
        </is>
      </c>
      <c r="B192" s="21" t="n"/>
      <c r="C192" s="21" t="n"/>
      <c r="D192" s="21" t="n"/>
      <c r="E192" s="21" t="n"/>
      <c r="F192" s="21" t="n"/>
      <c r="G192" s="21" t="n"/>
      <c r="H192" s="21" t="n"/>
      <c r="I192" s="21" t="n"/>
      <c r="J192" s="21" t="n"/>
      <c r="K192" s="21" t="n"/>
      <c r="L192" s="22">
        <f>IF(OR(ISBLANK(J192),ISBLANK(K192)),"",IF(AND(J192="Critical",K192="Very High"),25,IF(AND(J192="Critical",K192="High"),20,IF(AND(J192="High",K192="Very High"),20,IF(AND(J192="High",K192="High"),16,IF(AND(J192="Critical",K192="Medium"),15,IF(AND(J192="Medium",K192="High"),12,IF(AND(J192="High",K192="Medium"),12,10))))))))</f>
        <v/>
      </c>
      <c r="M192" s="21" t="n"/>
      <c r="N192" s="21" t="n"/>
      <c r="O192" s="21" t="n"/>
      <c r="P192" s="21" t="n"/>
      <c r="Q192" s="21" t="n"/>
      <c r="R192" s="21" t="n"/>
      <c r="S192" s="21" t="n"/>
      <c r="T192" s="21" t="n"/>
    </row>
    <row r="193">
      <c r="A193" s="20" t="inlineStr">
        <is>
          <t>GAP-180</t>
        </is>
      </c>
      <c r="B193" s="21" t="n"/>
      <c r="C193" s="21" t="n"/>
      <c r="D193" s="21" t="n"/>
      <c r="E193" s="21" t="n"/>
      <c r="F193" s="21" t="n"/>
      <c r="G193" s="21" t="n"/>
      <c r="H193" s="21" t="n"/>
      <c r="I193" s="21" t="n"/>
      <c r="J193" s="21" t="n"/>
      <c r="K193" s="21" t="n"/>
      <c r="L193" s="22">
        <f>IF(OR(ISBLANK(J193),ISBLANK(K193)),"",IF(AND(J193="Critical",K193="Very High"),25,IF(AND(J193="Critical",K193="High"),20,IF(AND(J193="High",K193="Very High"),20,IF(AND(J193="High",K193="High"),16,IF(AND(J193="Critical",K193="Medium"),15,IF(AND(J193="Medium",K193="High"),12,IF(AND(J193="High",K193="Medium"),12,10))))))))</f>
        <v/>
      </c>
      <c r="M193" s="21" t="n"/>
      <c r="N193" s="21" t="n"/>
      <c r="O193" s="21" t="n"/>
      <c r="P193" s="21" t="n"/>
      <c r="Q193" s="21" t="n"/>
      <c r="R193" s="21" t="n"/>
      <c r="S193" s="21" t="n"/>
      <c r="T193" s="21" t="n"/>
    </row>
    <row r="194">
      <c r="A194" s="20" t="inlineStr">
        <is>
          <t>GAP-181</t>
        </is>
      </c>
      <c r="B194" s="21" t="n"/>
      <c r="C194" s="21" t="n"/>
      <c r="D194" s="21" t="n"/>
      <c r="E194" s="21" t="n"/>
      <c r="F194" s="21" t="n"/>
      <c r="G194" s="21" t="n"/>
      <c r="H194" s="21" t="n"/>
      <c r="I194" s="21" t="n"/>
      <c r="J194" s="21" t="n"/>
      <c r="K194" s="21" t="n"/>
      <c r="L194" s="22">
        <f>IF(OR(ISBLANK(J194),ISBLANK(K194)),"",IF(AND(J194="Critical",K194="Very High"),25,IF(AND(J194="Critical",K194="High"),20,IF(AND(J194="High",K194="Very High"),20,IF(AND(J194="High",K194="High"),16,IF(AND(J194="Critical",K194="Medium"),15,IF(AND(J194="Medium",K194="High"),12,IF(AND(J194="High",K194="Medium"),12,10))))))))</f>
        <v/>
      </c>
      <c r="M194" s="21" t="n"/>
      <c r="N194" s="21" t="n"/>
      <c r="O194" s="21" t="n"/>
      <c r="P194" s="21" t="n"/>
      <c r="Q194" s="21" t="n"/>
      <c r="R194" s="21" t="n"/>
      <c r="S194" s="21" t="n"/>
      <c r="T194" s="21" t="n"/>
    </row>
    <row r="195">
      <c r="A195" s="20" t="inlineStr">
        <is>
          <t>GAP-182</t>
        </is>
      </c>
      <c r="B195" s="21" t="n"/>
      <c r="C195" s="21" t="n"/>
      <c r="D195" s="21" t="n"/>
      <c r="E195" s="21" t="n"/>
      <c r="F195" s="21" t="n"/>
      <c r="G195" s="21" t="n"/>
      <c r="H195" s="21" t="n"/>
      <c r="I195" s="21" t="n"/>
      <c r="J195" s="21" t="n"/>
      <c r="K195" s="21" t="n"/>
      <c r="L195" s="22">
        <f>IF(OR(ISBLANK(J195),ISBLANK(K195)),"",IF(AND(J195="Critical",K195="Very High"),25,IF(AND(J195="Critical",K195="High"),20,IF(AND(J195="High",K195="Very High"),20,IF(AND(J195="High",K195="High"),16,IF(AND(J195="Critical",K195="Medium"),15,IF(AND(J195="Medium",K195="High"),12,IF(AND(J195="High",K195="Medium"),12,10))))))))</f>
        <v/>
      </c>
      <c r="M195" s="21" t="n"/>
      <c r="N195" s="21" t="n"/>
      <c r="O195" s="21" t="n"/>
      <c r="P195" s="21" t="n"/>
      <c r="Q195" s="21" t="n"/>
      <c r="R195" s="21" t="n"/>
      <c r="S195" s="21" t="n"/>
      <c r="T195" s="21" t="n"/>
    </row>
    <row r="196">
      <c r="A196" s="20" t="inlineStr">
        <is>
          <t>GAP-183</t>
        </is>
      </c>
      <c r="B196" s="21" t="n"/>
      <c r="C196" s="21" t="n"/>
      <c r="D196" s="21" t="n"/>
      <c r="E196" s="21" t="n"/>
      <c r="F196" s="21" t="n"/>
      <c r="G196" s="21" t="n"/>
      <c r="H196" s="21" t="n"/>
      <c r="I196" s="21" t="n"/>
      <c r="J196" s="21" t="n"/>
      <c r="K196" s="21" t="n"/>
      <c r="L196" s="22">
        <f>IF(OR(ISBLANK(J196),ISBLANK(K196)),"",IF(AND(J196="Critical",K196="Very High"),25,IF(AND(J196="Critical",K196="High"),20,IF(AND(J196="High",K196="Very High"),20,IF(AND(J196="High",K196="High"),16,IF(AND(J196="Critical",K196="Medium"),15,IF(AND(J196="Medium",K196="High"),12,IF(AND(J196="High",K196="Medium"),12,10))))))))</f>
        <v/>
      </c>
      <c r="M196" s="21" t="n"/>
      <c r="N196" s="21" t="n"/>
      <c r="O196" s="21" t="n"/>
      <c r="P196" s="21" t="n"/>
      <c r="Q196" s="21" t="n"/>
      <c r="R196" s="21" t="n"/>
      <c r="S196" s="21" t="n"/>
      <c r="T196" s="21" t="n"/>
    </row>
    <row r="197">
      <c r="A197" s="20" t="inlineStr">
        <is>
          <t>GAP-184</t>
        </is>
      </c>
      <c r="B197" s="21" t="n"/>
      <c r="C197" s="21" t="n"/>
      <c r="D197" s="21" t="n"/>
      <c r="E197" s="21" t="n"/>
      <c r="F197" s="21" t="n"/>
      <c r="G197" s="21" t="n"/>
      <c r="H197" s="21" t="n"/>
      <c r="I197" s="21" t="n"/>
      <c r="J197" s="21" t="n"/>
      <c r="K197" s="21" t="n"/>
      <c r="L197" s="22">
        <f>IF(OR(ISBLANK(J197),ISBLANK(K197)),"",IF(AND(J197="Critical",K197="Very High"),25,IF(AND(J197="Critical",K197="High"),20,IF(AND(J197="High",K197="Very High"),20,IF(AND(J197="High",K197="High"),16,IF(AND(J197="Critical",K197="Medium"),15,IF(AND(J197="Medium",K197="High"),12,IF(AND(J197="High",K197="Medium"),12,10))))))))</f>
        <v/>
      </c>
      <c r="M197" s="21" t="n"/>
      <c r="N197" s="21" t="n"/>
      <c r="O197" s="21" t="n"/>
      <c r="P197" s="21" t="n"/>
      <c r="Q197" s="21" t="n"/>
      <c r="R197" s="21" t="n"/>
      <c r="S197" s="21" t="n"/>
      <c r="T197" s="21" t="n"/>
    </row>
    <row r="198">
      <c r="A198" s="20" t="inlineStr">
        <is>
          <t>GAP-185</t>
        </is>
      </c>
      <c r="B198" s="21" t="n"/>
      <c r="C198" s="21" t="n"/>
      <c r="D198" s="21" t="n"/>
      <c r="E198" s="21" t="n"/>
      <c r="F198" s="21" t="n"/>
      <c r="G198" s="21" t="n"/>
      <c r="H198" s="21" t="n"/>
      <c r="I198" s="21" t="n"/>
      <c r="J198" s="21" t="n"/>
      <c r="K198" s="21" t="n"/>
      <c r="L198" s="22">
        <f>IF(OR(ISBLANK(J198),ISBLANK(K198)),"",IF(AND(J198="Critical",K198="Very High"),25,IF(AND(J198="Critical",K198="High"),20,IF(AND(J198="High",K198="Very High"),20,IF(AND(J198="High",K198="High"),16,IF(AND(J198="Critical",K198="Medium"),15,IF(AND(J198="Medium",K198="High"),12,IF(AND(J198="High",K198="Medium"),12,10))))))))</f>
        <v/>
      </c>
      <c r="M198" s="21" t="n"/>
      <c r="N198" s="21" t="n"/>
      <c r="O198" s="21" t="n"/>
      <c r="P198" s="21" t="n"/>
      <c r="Q198" s="21" t="n"/>
      <c r="R198" s="21" t="n"/>
      <c r="S198" s="21" t="n"/>
      <c r="T198" s="21" t="n"/>
    </row>
    <row r="199">
      <c r="A199" s="20" t="inlineStr">
        <is>
          <t>GAP-186</t>
        </is>
      </c>
      <c r="B199" s="21" t="n"/>
      <c r="C199" s="21" t="n"/>
      <c r="D199" s="21" t="n"/>
      <c r="E199" s="21" t="n"/>
      <c r="F199" s="21" t="n"/>
      <c r="G199" s="21" t="n"/>
      <c r="H199" s="21" t="n"/>
      <c r="I199" s="21" t="n"/>
      <c r="J199" s="21" t="n"/>
      <c r="K199" s="21" t="n"/>
      <c r="L199" s="22">
        <f>IF(OR(ISBLANK(J199),ISBLANK(K199)),"",IF(AND(J199="Critical",K199="Very High"),25,IF(AND(J199="Critical",K199="High"),20,IF(AND(J199="High",K199="Very High"),20,IF(AND(J199="High",K199="High"),16,IF(AND(J199="Critical",K199="Medium"),15,IF(AND(J199="Medium",K199="High"),12,IF(AND(J199="High",K199="Medium"),12,10))))))))</f>
        <v/>
      </c>
      <c r="M199" s="21" t="n"/>
      <c r="N199" s="21" t="n"/>
      <c r="O199" s="21" t="n"/>
      <c r="P199" s="21" t="n"/>
      <c r="Q199" s="21" t="n"/>
      <c r="R199" s="21" t="n"/>
      <c r="S199" s="21" t="n"/>
      <c r="T199" s="21" t="n"/>
    </row>
    <row r="200">
      <c r="A200" s="20" t="inlineStr">
        <is>
          <t>GAP-187</t>
        </is>
      </c>
      <c r="B200" s="21" t="n"/>
      <c r="C200" s="21" t="n"/>
      <c r="D200" s="21" t="n"/>
      <c r="E200" s="21" t="n"/>
      <c r="F200" s="21" t="n"/>
      <c r="G200" s="21" t="n"/>
      <c r="H200" s="21" t="n"/>
      <c r="I200" s="21" t="n"/>
      <c r="J200" s="21" t="n"/>
      <c r="K200" s="21" t="n"/>
      <c r="L200" s="22">
        <f>IF(OR(ISBLANK(J200),ISBLANK(K200)),"",IF(AND(J200="Critical",K200="Very High"),25,IF(AND(J200="Critical",K200="High"),20,IF(AND(J200="High",K200="Very High"),20,IF(AND(J200="High",K200="High"),16,IF(AND(J200="Critical",K200="Medium"),15,IF(AND(J200="Medium",K200="High"),12,IF(AND(J200="High",K200="Medium"),12,10))))))))</f>
        <v/>
      </c>
      <c r="M200" s="21" t="n"/>
      <c r="N200" s="21" t="n"/>
      <c r="O200" s="21" t="n"/>
      <c r="P200" s="21" t="n"/>
      <c r="Q200" s="21" t="n"/>
      <c r="R200" s="21" t="n"/>
      <c r="S200" s="21" t="n"/>
      <c r="T200" s="21" t="n"/>
    </row>
    <row r="201">
      <c r="A201" s="20" t="inlineStr">
        <is>
          <t>GAP-188</t>
        </is>
      </c>
      <c r="B201" s="21" t="n"/>
      <c r="C201" s="21" t="n"/>
      <c r="D201" s="21" t="n"/>
      <c r="E201" s="21" t="n"/>
      <c r="F201" s="21" t="n"/>
      <c r="G201" s="21" t="n"/>
      <c r="H201" s="21" t="n"/>
      <c r="I201" s="21" t="n"/>
      <c r="J201" s="21" t="n"/>
      <c r="K201" s="21" t="n"/>
      <c r="L201" s="22">
        <f>IF(OR(ISBLANK(J201),ISBLANK(K201)),"",IF(AND(J201="Critical",K201="Very High"),25,IF(AND(J201="Critical",K201="High"),20,IF(AND(J201="High",K201="Very High"),20,IF(AND(J201="High",K201="High"),16,IF(AND(J201="Critical",K201="Medium"),15,IF(AND(J201="Medium",K201="High"),12,IF(AND(J201="High",K201="Medium"),12,10))))))))</f>
        <v/>
      </c>
      <c r="M201" s="21" t="n"/>
      <c r="N201" s="21" t="n"/>
      <c r="O201" s="21" t="n"/>
      <c r="P201" s="21" t="n"/>
      <c r="Q201" s="21" t="n"/>
      <c r="R201" s="21" t="n"/>
      <c r="S201" s="21" t="n"/>
      <c r="T201" s="21" t="n"/>
    </row>
    <row r="202">
      <c r="A202" s="20" t="inlineStr">
        <is>
          <t>GAP-189</t>
        </is>
      </c>
      <c r="B202" s="21" t="n"/>
      <c r="C202" s="21" t="n"/>
      <c r="D202" s="21" t="n"/>
      <c r="E202" s="21" t="n"/>
      <c r="F202" s="21" t="n"/>
      <c r="G202" s="21" t="n"/>
      <c r="H202" s="21" t="n"/>
      <c r="I202" s="21" t="n"/>
      <c r="J202" s="21" t="n"/>
      <c r="K202" s="21" t="n"/>
      <c r="L202" s="22">
        <f>IF(OR(ISBLANK(J202),ISBLANK(K202)),"",IF(AND(J202="Critical",K202="Very High"),25,IF(AND(J202="Critical",K202="High"),20,IF(AND(J202="High",K202="Very High"),20,IF(AND(J202="High",K202="High"),16,IF(AND(J202="Critical",K202="Medium"),15,IF(AND(J202="Medium",K202="High"),12,IF(AND(J202="High",K202="Medium"),12,10))))))))</f>
        <v/>
      </c>
      <c r="M202" s="21" t="n"/>
      <c r="N202" s="21" t="n"/>
      <c r="O202" s="21" t="n"/>
      <c r="P202" s="21" t="n"/>
      <c r="Q202" s="21" t="n"/>
      <c r="R202" s="21" t="n"/>
      <c r="S202" s="21" t="n"/>
      <c r="T202" s="21" t="n"/>
    </row>
    <row r="203">
      <c r="A203" s="20" t="inlineStr">
        <is>
          <t>GAP-190</t>
        </is>
      </c>
      <c r="B203" s="21" t="n"/>
      <c r="C203" s="21" t="n"/>
      <c r="D203" s="21" t="n"/>
      <c r="E203" s="21" t="n"/>
      <c r="F203" s="21" t="n"/>
      <c r="G203" s="21" t="n"/>
      <c r="H203" s="21" t="n"/>
      <c r="I203" s="21" t="n"/>
      <c r="J203" s="21" t="n"/>
      <c r="K203" s="21" t="n"/>
      <c r="L203" s="22">
        <f>IF(OR(ISBLANK(J203),ISBLANK(K203)),"",IF(AND(J203="Critical",K203="Very High"),25,IF(AND(J203="Critical",K203="High"),20,IF(AND(J203="High",K203="Very High"),20,IF(AND(J203="High",K203="High"),16,IF(AND(J203="Critical",K203="Medium"),15,IF(AND(J203="Medium",K203="High"),12,IF(AND(J203="High",K203="Medium"),12,10))))))))</f>
        <v/>
      </c>
      <c r="M203" s="21" t="n"/>
      <c r="N203" s="21" t="n"/>
      <c r="O203" s="21" t="n"/>
      <c r="P203" s="21" t="n"/>
      <c r="Q203" s="21" t="n"/>
      <c r="R203" s="21" t="n"/>
      <c r="S203" s="21" t="n"/>
      <c r="T203" s="21" t="n"/>
    </row>
    <row r="204">
      <c r="A204" s="20" t="inlineStr">
        <is>
          <t>GAP-191</t>
        </is>
      </c>
      <c r="B204" s="21" t="n"/>
      <c r="C204" s="21" t="n"/>
      <c r="D204" s="21" t="n"/>
      <c r="E204" s="21" t="n"/>
      <c r="F204" s="21" t="n"/>
      <c r="G204" s="21" t="n"/>
      <c r="H204" s="21" t="n"/>
      <c r="I204" s="21" t="n"/>
      <c r="J204" s="21" t="n"/>
      <c r="K204" s="21" t="n"/>
      <c r="L204" s="22">
        <f>IF(OR(ISBLANK(J204),ISBLANK(K204)),"",IF(AND(J204="Critical",K204="Very High"),25,IF(AND(J204="Critical",K204="High"),20,IF(AND(J204="High",K204="Very High"),20,IF(AND(J204="High",K204="High"),16,IF(AND(J204="Critical",K204="Medium"),15,IF(AND(J204="Medium",K204="High"),12,IF(AND(J204="High",K204="Medium"),12,10))))))))</f>
        <v/>
      </c>
      <c r="M204" s="21" t="n"/>
      <c r="N204" s="21" t="n"/>
      <c r="O204" s="21" t="n"/>
      <c r="P204" s="21" t="n"/>
      <c r="Q204" s="21" t="n"/>
      <c r="R204" s="21" t="n"/>
      <c r="S204" s="21" t="n"/>
      <c r="T204" s="21" t="n"/>
    </row>
    <row r="205">
      <c r="A205" s="20" t="inlineStr">
        <is>
          <t>GAP-192</t>
        </is>
      </c>
      <c r="B205" s="21" t="n"/>
      <c r="C205" s="21" t="n"/>
      <c r="D205" s="21" t="n"/>
      <c r="E205" s="21" t="n"/>
      <c r="F205" s="21" t="n"/>
      <c r="G205" s="21" t="n"/>
      <c r="H205" s="21" t="n"/>
      <c r="I205" s="21" t="n"/>
      <c r="J205" s="21" t="n"/>
      <c r="K205" s="21" t="n"/>
      <c r="L205" s="22">
        <f>IF(OR(ISBLANK(J205),ISBLANK(K205)),"",IF(AND(J205="Critical",K205="Very High"),25,IF(AND(J205="Critical",K205="High"),20,IF(AND(J205="High",K205="Very High"),20,IF(AND(J205="High",K205="High"),16,IF(AND(J205="Critical",K205="Medium"),15,IF(AND(J205="Medium",K205="High"),12,IF(AND(J205="High",K205="Medium"),12,10))))))))</f>
        <v/>
      </c>
      <c r="M205" s="21" t="n"/>
      <c r="N205" s="21" t="n"/>
      <c r="O205" s="21" t="n"/>
      <c r="P205" s="21" t="n"/>
      <c r="Q205" s="21" t="n"/>
      <c r="R205" s="21" t="n"/>
      <c r="S205" s="21" t="n"/>
      <c r="T205" s="21" t="n"/>
    </row>
    <row r="206">
      <c r="A206" s="20" t="inlineStr">
        <is>
          <t>GAP-193</t>
        </is>
      </c>
      <c r="B206" s="21" t="n"/>
      <c r="C206" s="21" t="n"/>
      <c r="D206" s="21" t="n"/>
      <c r="E206" s="21" t="n"/>
      <c r="F206" s="21" t="n"/>
      <c r="G206" s="21" t="n"/>
      <c r="H206" s="21" t="n"/>
      <c r="I206" s="21" t="n"/>
      <c r="J206" s="21" t="n"/>
      <c r="K206" s="21" t="n"/>
      <c r="L206" s="22">
        <f>IF(OR(ISBLANK(J206),ISBLANK(K206)),"",IF(AND(J206="Critical",K206="Very High"),25,IF(AND(J206="Critical",K206="High"),20,IF(AND(J206="High",K206="Very High"),20,IF(AND(J206="High",K206="High"),16,IF(AND(J206="Critical",K206="Medium"),15,IF(AND(J206="Medium",K206="High"),12,IF(AND(J206="High",K206="Medium"),12,10))))))))</f>
        <v/>
      </c>
      <c r="M206" s="21" t="n"/>
      <c r="N206" s="21" t="n"/>
      <c r="O206" s="21" t="n"/>
      <c r="P206" s="21" t="n"/>
      <c r="Q206" s="21" t="n"/>
      <c r="R206" s="21" t="n"/>
      <c r="S206" s="21" t="n"/>
      <c r="T206" s="21" t="n"/>
    </row>
    <row r="207">
      <c r="A207" s="20" t="inlineStr">
        <is>
          <t>GAP-194</t>
        </is>
      </c>
      <c r="B207" s="21" t="n"/>
      <c r="C207" s="21" t="n"/>
      <c r="D207" s="21" t="n"/>
      <c r="E207" s="21" t="n"/>
      <c r="F207" s="21" t="n"/>
      <c r="G207" s="21" t="n"/>
      <c r="H207" s="21" t="n"/>
      <c r="I207" s="21" t="n"/>
      <c r="J207" s="21" t="n"/>
      <c r="K207" s="21" t="n"/>
      <c r="L207" s="22">
        <f>IF(OR(ISBLANK(J207),ISBLANK(K207)),"",IF(AND(J207="Critical",K207="Very High"),25,IF(AND(J207="Critical",K207="High"),20,IF(AND(J207="High",K207="Very High"),20,IF(AND(J207="High",K207="High"),16,IF(AND(J207="Critical",K207="Medium"),15,IF(AND(J207="Medium",K207="High"),12,IF(AND(J207="High",K207="Medium"),12,10))))))))</f>
        <v/>
      </c>
      <c r="M207" s="21" t="n"/>
      <c r="N207" s="21" t="n"/>
      <c r="O207" s="21" t="n"/>
      <c r="P207" s="21" t="n"/>
      <c r="Q207" s="21" t="n"/>
      <c r="R207" s="21" t="n"/>
      <c r="S207" s="21" t="n"/>
      <c r="T207" s="21" t="n"/>
    </row>
    <row r="208">
      <c r="A208" s="20" t="inlineStr">
        <is>
          <t>GAP-195</t>
        </is>
      </c>
      <c r="B208" s="21" t="n"/>
      <c r="C208" s="21" t="n"/>
      <c r="D208" s="21" t="n"/>
      <c r="E208" s="21" t="n"/>
      <c r="F208" s="21" t="n"/>
      <c r="G208" s="21" t="n"/>
      <c r="H208" s="21" t="n"/>
      <c r="I208" s="21" t="n"/>
      <c r="J208" s="21" t="n"/>
      <c r="K208" s="21" t="n"/>
      <c r="L208" s="22">
        <f>IF(OR(ISBLANK(J208),ISBLANK(K208)),"",IF(AND(J208="Critical",K208="Very High"),25,IF(AND(J208="Critical",K208="High"),20,IF(AND(J208="High",K208="Very High"),20,IF(AND(J208="High",K208="High"),16,IF(AND(J208="Critical",K208="Medium"),15,IF(AND(J208="Medium",K208="High"),12,IF(AND(J208="High",K208="Medium"),12,10))))))))</f>
        <v/>
      </c>
      <c r="M208" s="21" t="n"/>
      <c r="N208" s="21" t="n"/>
      <c r="O208" s="21" t="n"/>
      <c r="P208" s="21" t="n"/>
      <c r="Q208" s="21" t="n"/>
      <c r="R208" s="21" t="n"/>
      <c r="S208" s="21" t="n"/>
      <c r="T208" s="21" t="n"/>
    </row>
    <row r="209">
      <c r="A209" s="20" t="inlineStr">
        <is>
          <t>GAP-196</t>
        </is>
      </c>
      <c r="B209" s="21" t="n"/>
      <c r="C209" s="21" t="n"/>
      <c r="D209" s="21" t="n"/>
      <c r="E209" s="21" t="n"/>
      <c r="F209" s="21" t="n"/>
      <c r="G209" s="21" t="n"/>
      <c r="H209" s="21" t="n"/>
      <c r="I209" s="21" t="n"/>
      <c r="J209" s="21" t="n"/>
      <c r="K209" s="21" t="n"/>
      <c r="L209" s="22">
        <f>IF(OR(ISBLANK(J209),ISBLANK(K209)),"",IF(AND(J209="Critical",K209="Very High"),25,IF(AND(J209="Critical",K209="High"),20,IF(AND(J209="High",K209="Very High"),20,IF(AND(J209="High",K209="High"),16,IF(AND(J209="Critical",K209="Medium"),15,IF(AND(J209="Medium",K209="High"),12,IF(AND(J209="High",K209="Medium"),12,10))))))))</f>
        <v/>
      </c>
      <c r="M209" s="21" t="n"/>
      <c r="N209" s="21" t="n"/>
      <c r="O209" s="21" t="n"/>
      <c r="P209" s="21" t="n"/>
      <c r="Q209" s="21" t="n"/>
      <c r="R209" s="21" t="n"/>
      <c r="S209" s="21" t="n"/>
      <c r="T209" s="21" t="n"/>
    </row>
    <row r="210">
      <c r="A210" s="20" t="inlineStr">
        <is>
          <t>GAP-197</t>
        </is>
      </c>
      <c r="B210" s="21" t="n"/>
      <c r="C210" s="21" t="n"/>
      <c r="D210" s="21" t="n"/>
      <c r="E210" s="21" t="n"/>
      <c r="F210" s="21" t="n"/>
      <c r="G210" s="21" t="n"/>
      <c r="H210" s="21" t="n"/>
      <c r="I210" s="21" t="n"/>
      <c r="J210" s="21" t="n"/>
      <c r="K210" s="21" t="n"/>
      <c r="L210" s="22">
        <f>IF(OR(ISBLANK(J210),ISBLANK(K210)),"",IF(AND(J210="Critical",K210="Very High"),25,IF(AND(J210="Critical",K210="High"),20,IF(AND(J210="High",K210="Very High"),20,IF(AND(J210="High",K210="High"),16,IF(AND(J210="Critical",K210="Medium"),15,IF(AND(J210="Medium",K210="High"),12,IF(AND(J210="High",K210="Medium"),12,10))))))))</f>
        <v/>
      </c>
      <c r="M210" s="21" t="n"/>
      <c r="N210" s="21" t="n"/>
      <c r="O210" s="21" t="n"/>
      <c r="P210" s="21" t="n"/>
      <c r="Q210" s="21" t="n"/>
      <c r="R210" s="21" t="n"/>
      <c r="S210" s="21" t="n"/>
      <c r="T210" s="21" t="n"/>
    </row>
    <row r="211">
      <c r="A211" s="20" t="inlineStr">
        <is>
          <t>GAP-198</t>
        </is>
      </c>
      <c r="B211" s="21" t="n"/>
      <c r="C211" s="21" t="n"/>
      <c r="D211" s="21" t="n"/>
      <c r="E211" s="21" t="n"/>
      <c r="F211" s="21" t="n"/>
      <c r="G211" s="21" t="n"/>
      <c r="H211" s="21" t="n"/>
      <c r="I211" s="21" t="n"/>
      <c r="J211" s="21" t="n"/>
      <c r="K211" s="21" t="n"/>
      <c r="L211" s="22">
        <f>IF(OR(ISBLANK(J211),ISBLANK(K211)),"",IF(AND(J211="Critical",K211="Very High"),25,IF(AND(J211="Critical",K211="High"),20,IF(AND(J211="High",K211="Very High"),20,IF(AND(J211="High",K211="High"),16,IF(AND(J211="Critical",K211="Medium"),15,IF(AND(J211="Medium",K211="High"),12,IF(AND(J211="High",K211="Medium"),12,10))))))))</f>
        <v/>
      </c>
      <c r="M211" s="21" t="n"/>
      <c r="N211" s="21" t="n"/>
      <c r="O211" s="21" t="n"/>
      <c r="P211" s="21" t="n"/>
      <c r="Q211" s="21" t="n"/>
      <c r="R211" s="21" t="n"/>
      <c r="S211" s="21" t="n"/>
      <c r="T211" s="21" t="n"/>
    </row>
    <row r="212">
      <c r="A212" s="20" t="inlineStr">
        <is>
          <t>GAP-199</t>
        </is>
      </c>
      <c r="B212" s="21" t="n"/>
      <c r="C212" s="21" t="n"/>
      <c r="D212" s="21" t="n"/>
      <c r="E212" s="21" t="n"/>
      <c r="F212" s="21" t="n"/>
      <c r="G212" s="21" t="n"/>
      <c r="H212" s="21" t="n"/>
      <c r="I212" s="21" t="n"/>
      <c r="J212" s="21" t="n"/>
      <c r="K212" s="21" t="n"/>
      <c r="L212" s="22">
        <f>IF(OR(ISBLANK(J212),ISBLANK(K212)),"",IF(AND(J212="Critical",K212="Very High"),25,IF(AND(J212="Critical",K212="High"),20,IF(AND(J212="High",K212="Very High"),20,IF(AND(J212="High",K212="High"),16,IF(AND(J212="Critical",K212="Medium"),15,IF(AND(J212="Medium",K212="High"),12,IF(AND(J212="High",K212="Medium"),12,10))))))))</f>
        <v/>
      </c>
      <c r="M212" s="21" t="n"/>
      <c r="N212" s="21" t="n"/>
      <c r="O212" s="21" t="n"/>
      <c r="P212" s="21" t="n"/>
      <c r="Q212" s="21" t="n"/>
      <c r="R212" s="21" t="n"/>
      <c r="S212" s="21" t="n"/>
      <c r="T212" s="21" t="n"/>
    </row>
    <row r="213">
      <c r="A213" s="20" t="inlineStr">
        <is>
          <t>GAP-200</t>
        </is>
      </c>
      <c r="B213" s="21" t="n"/>
      <c r="C213" s="21" t="n"/>
      <c r="D213" s="21" t="n"/>
      <c r="E213" s="21" t="n"/>
      <c r="F213" s="21" t="n"/>
      <c r="G213" s="21" t="n"/>
      <c r="H213" s="21" t="n"/>
      <c r="I213" s="21" t="n"/>
      <c r="J213" s="21" t="n"/>
      <c r="K213" s="21" t="n"/>
      <c r="L213" s="22">
        <f>IF(OR(ISBLANK(J213),ISBLANK(K213)),"",IF(AND(J213="Critical",K213="Very High"),25,IF(AND(J213="Critical",K213="High"),20,IF(AND(J213="High",K213="Very High"),20,IF(AND(J213="High",K213="High"),16,IF(AND(J213="Critical",K213="Medium"),15,IF(AND(J213="Medium",K213="High"),12,IF(AND(J213="High",K213="Medium"),12,10))))))))</f>
        <v/>
      </c>
      <c r="M213" s="21" t="n"/>
      <c r="N213" s="21" t="n"/>
      <c r="O213" s="21" t="n"/>
      <c r="P213" s="21" t="n"/>
      <c r="Q213" s="21" t="n"/>
      <c r="R213" s="21" t="n"/>
      <c r="S213" s="21" t="n"/>
      <c r="T213" s="21" t="n"/>
    </row>
  </sheetData>
  <mergeCells count="2">
    <mergeCell ref="A1:T1"/>
    <mergeCell ref="A12:T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showDropDown="0" showInputMessage="0" showErrorMessage="0" allowBlank="0" type="list">
      <formula1>"ISMS-IMP-A.8.24.1,ISMS-IMP-A.8.24.2,ISMS-IMP-A.8.24.3,ISMS-IMP-A.8.24.4"</formula1>
    </dataValidation>
    <dataValidation sqref="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showDropDown="0" showInputMessage="0" showErrorMessage="0" allowBlank="0" type="list">
      <formula1>"Critical,High,Medium,Low"</formula1>
    </dataValidation>
    <dataValidation sqref="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showDropDown="0" showInputMessage="0" showErrorMessage="0" allowBlank="0" type="list">
      <formula1>"Critical,High,Medium,Low"</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showDropDown="0" showInputMessage="0" showErrorMessage="0" allowBlank="0" type="list">
      <formula1>"Very High,High,Medium,Low"</formula1>
    </dataValidation>
    <dataValidation sqref="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showDropDown="0" showInputMessage="0" showErrorMessage="0" allowBlank="0" type="list">
      <formula1>"Restricted,Confidential,Internal,Public"</formula1>
    </dataValidation>
    <dataValidation sqref="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showDropDown="0" showInputMessage="0" showErrorMessage="0" allowBlank="0" type="list">
      <formula1>"Open,In Progress,Resolved,Closed,Accepted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1"/>
  <sheetViews>
    <sheetView workbookViewId="0">
      <pane ySplit="19" topLeftCell="A20" activePane="bottomLeft" state="frozen"/>
      <selection pane="bottomLeft" activeCell="A1" sqref="A1"/>
    </sheetView>
  </sheetViews>
  <sheetFormatPr baseColWidth="8" defaultRowHeight="15"/>
  <cols>
    <col width="12" customWidth="1" min="1" max="1"/>
    <col width="12" customWidth="1" min="2" max="2"/>
    <col width="22" customWidth="1" min="3" max="3"/>
    <col width="40" customWidth="1" min="4" max="4"/>
    <col width="25" customWidth="1" min="5" max="5"/>
    <col width="30" customWidth="1" min="6" max="6"/>
    <col width="30" customWidth="1" min="7" max="7"/>
    <col width="16" customWidth="1" min="8" max="8"/>
    <col width="14" customWidth="1" min="9" max="9"/>
    <col width="14" customWidth="1" min="10" max="10"/>
    <col width="12" customWidth="1" min="11" max="11"/>
    <col width="14" customWidth="1" min="12" max="12"/>
    <col width="14" customWidth="1" min="13" max="13"/>
    <col width="12" customWidth="1" min="14" max="14"/>
    <col width="18" customWidth="1" min="15" max="15"/>
    <col width="20" customWidth="1" min="16" max="16"/>
    <col width="14" customWidth="1" min="17" max="17"/>
    <col width="12" customWidth="1" min="18" max="18"/>
    <col width="14" customWidth="1" min="19" max="19"/>
    <col width="14" customWidth="1" min="20" max="20"/>
    <col width="14" customWidth="1" min="21" max="21"/>
  </cols>
  <sheetData>
    <row r="1" ht="40" customHeight="1">
      <c r="A1" s="1" t="inlineStr">
        <is>
          <t>CRYPTOGRAPHY RISK REGISTER
Consolidated risk assessment for cryptographic control failures</t>
        </is>
      </c>
    </row>
    <row r="3">
      <c r="A3" s="10" t="inlineStr">
        <is>
          <t>Risk Summary Dashboard</t>
        </is>
      </c>
    </row>
    <row r="4">
      <c r="A4" s="3" t="inlineStr">
        <is>
          <t>Risk Distribution</t>
        </is>
      </c>
    </row>
    <row r="5">
      <c r="A5" s="7" t="inlineStr">
        <is>
          <t>Risk Category</t>
        </is>
      </c>
      <c r="B5" s="7" t="inlineStr">
        <is>
          <t>Count</t>
        </is>
      </c>
      <c r="C5" s="7" t="inlineStr">
        <is>
          <t>Percentage</t>
        </is>
      </c>
      <c r="D5" s="7" t="inlineStr">
        <is>
          <t>Risk Exposure</t>
        </is>
      </c>
    </row>
    <row r="6">
      <c r="A6" s="8" t="inlineStr">
        <is>
          <t>Critical</t>
        </is>
      </c>
      <c r="B6" s="14">
        <f>COUNTIF(N20:N119,"&gt;=20")</f>
        <v/>
      </c>
      <c r="C6" s="14">
        <f>IF(B9=0,"0%",B6/B9*100&amp;"%")</f>
        <v/>
      </c>
      <c r="D6" s="14">
        <f>SUMIF(N20:N119,"&gt;=20",N20:N119)</f>
        <v/>
      </c>
    </row>
    <row r="7">
      <c r="A7" s="8" t="inlineStr">
        <is>
          <t>High</t>
        </is>
      </c>
      <c r="B7" s="14">
        <f>COUNTIF(N20:N119,"&gt;=15")</f>
        <v/>
      </c>
      <c r="C7" s="14">
        <f>IF(B9=0,"0%",B7/B9*100&amp;"%")</f>
        <v/>
      </c>
      <c r="D7" s="14">
        <f>SUMIF(N20:N119,"&gt;=15",N20:N119)</f>
        <v/>
      </c>
    </row>
    <row r="8">
      <c r="A8" s="8" t="inlineStr">
        <is>
          <t>Medium</t>
        </is>
      </c>
      <c r="B8" s="14">
        <f>COUNTIF(N20:N119,"&gt;=10")</f>
        <v/>
      </c>
      <c r="C8" s="14">
        <f>IF(B9=0,"0%",B8/B9*100&amp;"%")</f>
        <v/>
      </c>
      <c r="D8" s="14">
        <f>SUMIF(N20:N119,"&gt;=10",N20:N119)</f>
        <v/>
      </c>
    </row>
    <row r="9">
      <c r="A9" s="8" t="inlineStr">
        <is>
          <t>Low</t>
        </is>
      </c>
      <c r="B9" s="14">
        <f>COUNTIF(N20:N119,"&gt;=0")</f>
        <v/>
      </c>
      <c r="C9" s="14">
        <f>IF(B9=0,"0%",B9/B9*100&amp;"%")</f>
        <v/>
      </c>
      <c r="D9" s="14">
        <f>SUMIF(N20:N119,"&gt;=0",N20:N119)</f>
        <v/>
      </c>
    </row>
    <row r="10">
      <c r="A10" s="11" t="inlineStr">
        <is>
          <t>TOTAL</t>
        </is>
      </c>
      <c r="B10" s="11">
        <f>SUM(B6:B9)</f>
        <v/>
      </c>
      <c r="C10" s="11" t="inlineStr">
        <is>
          <t>100%</t>
        </is>
      </c>
      <c r="D10" s="11">
        <f>SUM(D6:D9)</f>
        <v/>
      </c>
    </row>
    <row r="12">
      <c r="A12" s="3" t="inlineStr">
        <is>
          <t>Risk By Assessment Area</t>
        </is>
      </c>
    </row>
    <row r="13">
      <c r="A13" s="7" t="inlineStr">
        <is>
          <t>Assessment Area</t>
        </is>
      </c>
      <c r="B13" s="7" t="inlineStr">
        <is>
          <t>Critical</t>
        </is>
      </c>
      <c r="C13" s="7" t="inlineStr">
        <is>
          <t>High</t>
        </is>
      </c>
      <c r="D13" s="7" t="inlineStr">
        <is>
          <t>Medium</t>
        </is>
      </c>
      <c r="E13" s="7" t="inlineStr">
        <is>
          <t>Low</t>
        </is>
      </c>
      <c r="F13" s="7" t="inlineStr">
        <is>
          <t>Total Risk Exposure</t>
        </is>
      </c>
      <c r="G13" s="7" t="inlineStr">
        <is>
          <t>Avg Risk Score</t>
        </is>
      </c>
    </row>
    <row r="14">
      <c r="A14" s="8" t="inlineStr">
        <is>
          <t>Data Transmission</t>
        </is>
      </c>
      <c r="B14" s="4" t="n"/>
      <c r="C14" s="4" t="n"/>
      <c r="D14" s="4" t="n"/>
      <c r="E14" s="4" t="n"/>
      <c r="F14" s="14">
        <f>B14*25+C14*20+D14*15+E14*10</f>
        <v/>
      </c>
      <c r="G14" s="14">
        <f>IF(SUM(B14:E14)=0,0,F14/SUM(B14:E14))</f>
        <v/>
      </c>
    </row>
    <row r="15">
      <c r="A15" s="8" t="inlineStr">
        <is>
          <t>Data Storage</t>
        </is>
      </c>
      <c r="B15" s="4" t="n"/>
      <c r="C15" s="4" t="n"/>
      <c r="D15" s="4" t="n"/>
      <c r="E15" s="4" t="n"/>
      <c r="F15" s="14">
        <f>B15*25+C15*20+D15*15+E15*10</f>
        <v/>
      </c>
      <c r="G15" s="14">
        <f>IF(SUM(B15:E15)=0,0,F15/SUM(B15:E15))</f>
        <v/>
      </c>
    </row>
    <row r="16">
      <c r="A16" s="8" t="inlineStr">
        <is>
          <t>Authentication</t>
        </is>
      </c>
      <c r="B16" s="4" t="n"/>
      <c r="C16" s="4" t="n"/>
      <c r="D16" s="4" t="n"/>
      <c r="E16" s="4" t="n"/>
      <c r="F16" s="14">
        <f>B16*25+C16*20+D16*15+E16*10</f>
        <v/>
      </c>
      <c r="G16" s="14">
        <f>IF(SUM(B16:E16)=0,0,F16/SUM(B16:E16))</f>
        <v/>
      </c>
    </row>
    <row r="17">
      <c r="A17" s="8" t="inlineStr">
        <is>
          <t>Key Management</t>
        </is>
      </c>
      <c r="B17" s="4" t="n"/>
      <c r="C17" s="4" t="n"/>
      <c r="D17" s="4" t="n"/>
      <c r="E17" s="4" t="n"/>
      <c r="F17" s="14">
        <f>B17*25+C17*20+D17*15+E17*10</f>
        <v/>
      </c>
      <c r="G17" s="14">
        <f>IF(SUM(B17:E17)=0,0,F17/SUM(B17:E17))</f>
        <v/>
      </c>
    </row>
    <row r="20">
      <c r="A20" s="10" t="inlineStr">
        <is>
          <t>DETAILED RISK REGISTER</t>
        </is>
      </c>
    </row>
    <row r="21">
      <c r="A21" s="7" t="inlineStr">
        <is>
          <t>Risk ID</t>
        </is>
      </c>
      <c r="B21" s="7" t="inlineStr">
        <is>
          <t>Gap ID (Link)</t>
        </is>
      </c>
      <c r="C21" s="7" t="inlineStr">
        <is>
          <t>Risk Category</t>
        </is>
      </c>
      <c r="D21" s="7" t="inlineStr">
        <is>
          <t>Risk Description</t>
        </is>
      </c>
      <c r="E21" s="7" t="inlineStr">
        <is>
          <t>Threat Source</t>
        </is>
      </c>
      <c r="F21" s="7" t="inlineStr">
        <is>
          <t>Vulnerability</t>
        </is>
      </c>
      <c r="G21" s="7" t="inlineStr">
        <is>
          <t>Existing Controls</t>
        </is>
      </c>
      <c r="H21" s="7" t="inlineStr">
        <is>
          <t>Control Effectiveness</t>
        </is>
      </c>
      <c r="I21" s="7" t="inlineStr">
        <is>
          <t>Inherent Likelihood</t>
        </is>
      </c>
      <c r="J21" s="7" t="inlineStr">
        <is>
          <t>Inherent Impact</t>
        </is>
      </c>
      <c r="K21" s="7" t="inlineStr">
        <is>
          <t>Inherent Risk Score</t>
        </is>
      </c>
      <c r="L21" s="7" t="inlineStr">
        <is>
          <t>Residual Likelihood</t>
        </is>
      </c>
      <c r="M21" s="7" t="inlineStr">
        <is>
          <t>Residual Impact</t>
        </is>
      </c>
      <c r="N21" s="7" t="inlineStr">
        <is>
          <t>Residual Risk Score</t>
        </is>
      </c>
      <c r="O21" s="7" t="inlineStr">
        <is>
          <t>Risk Response</t>
        </is>
      </c>
      <c r="P21" s="7" t="inlineStr">
        <is>
          <t>Risk Owner</t>
        </is>
      </c>
      <c r="Q21" s="7" t="inlineStr">
        <is>
          <t>Risk Status</t>
        </is>
      </c>
      <c r="R21" s="7" t="inlineStr">
        <is>
          <t>Target Risk Score</t>
        </is>
      </c>
      <c r="S21" s="7" t="inlineStr">
        <is>
          <t>Review Date</t>
        </is>
      </c>
      <c r="T21" s="7" t="inlineStr">
        <is>
          <t>Last Review Date</t>
        </is>
      </c>
      <c r="U21" s="7" t="inlineStr">
        <is>
          <t>Next Review Due</t>
        </is>
      </c>
    </row>
    <row r="22">
      <c r="A22" s="20" t="inlineStr">
        <is>
          <t>RISK-001</t>
        </is>
      </c>
      <c r="B22" s="21" t="n"/>
      <c r="C22" s="21" t="n"/>
      <c r="D22" s="21" t="n"/>
      <c r="E22" s="21" t="n"/>
      <c r="F22" s="21" t="n"/>
      <c r="G22" s="21" t="n"/>
      <c r="H22" s="21" t="n"/>
      <c r="I22" s="21" t="n"/>
      <c r="J22" s="21" t="n"/>
      <c r="K22" s="22">
        <f>IF(OR(ISBLANK(I22),ISBLANK(J22)),"",IF(AND(J22="Critical",I22="Very High"),25,IF(AND(J22="Critical",I22="High"),20,IF(AND(J22="High",I22="Very High"),20,IF(AND(J22="High",I22="High"),16,10)))))</f>
        <v/>
      </c>
      <c r="L22" s="21" t="n"/>
      <c r="M22" s="21" t="n"/>
      <c r="N22" s="22">
        <f>IF(OR(ISBLANK(L22),ISBLANK(M22)),"",IF(AND(M22="Critical",L22="Very High"),25,IF(AND(M22="Critical",L22="High"),20,IF(AND(M22="High",L22="Very High"),20,IF(AND(M22="High",L22="High"),16,10)))))</f>
        <v/>
      </c>
      <c r="O22" s="21" t="n"/>
      <c r="P22" s="21" t="n"/>
      <c r="Q22" s="21" t="n"/>
      <c r="R22" s="21" t="n"/>
      <c r="S22" s="21" t="n"/>
      <c r="T22" s="21" t="n"/>
      <c r="U22" s="22">
        <f>IF(ISBLANK(S22),"",S22+90)</f>
        <v/>
      </c>
    </row>
    <row r="23">
      <c r="A23" s="20" t="inlineStr">
        <is>
          <t>RISK-002</t>
        </is>
      </c>
      <c r="B23" s="21" t="n"/>
      <c r="C23" s="21" t="n"/>
      <c r="D23" s="21" t="n"/>
      <c r="E23" s="21" t="n"/>
      <c r="F23" s="21" t="n"/>
      <c r="G23" s="21" t="n"/>
      <c r="H23" s="21" t="n"/>
      <c r="I23" s="21" t="n"/>
      <c r="J23" s="21" t="n"/>
      <c r="K23" s="22">
        <f>IF(OR(ISBLANK(I23),ISBLANK(J23)),"",IF(AND(J23="Critical",I23="Very High"),25,IF(AND(J23="Critical",I23="High"),20,IF(AND(J23="High",I23="Very High"),20,IF(AND(J23="High",I23="High"),16,10)))))</f>
        <v/>
      </c>
      <c r="L23" s="21" t="n"/>
      <c r="M23" s="21" t="n"/>
      <c r="N23" s="22">
        <f>IF(OR(ISBLANK(L23),ISBLANK(M23)),"",IF(AND(M23="Critical",L23="Very High"),25,IF(AND(M23="Critical",L23="High"),20,IF(AND(M23="High",L23="Very High"),20,IF(AND(M23="High",L23="High"),16,10)))))</f>
        <v/>
      </c>
      <c r="O23" s="21" t="n"/>
      <c r="P23" s="21" t="n"/>
      <c r="Q23" s="21" t="n"/>
      <c r="R23" s="21" t="n"/>
      <c r="S23" s="21" t="n"/>
      <c r="T23" s="21" t="n"/>
      <c r="U23" s="22">
        <f>IF(ISBLANK(S23),"",S23+90)</f>
        <v/>
      </c>
    </row>
    <row r="24">
      <c r="A24" s="20" t="inlineStr">
        <is>
          <t>RISK-003</t>
        </is>
      </c>
      <c r="B24" s="21" t="n"/>
      <c r="C24" s="21" t="n"/>
      <c r="D24" s="21" t="n"/>
      <c r="E24" s="21" t="n"/>
      <c r="F24" s="21" t="n"/>
      <c r="G24" s="21" t="n"/>
      <c r="H24" s="21" t="n"/>
      <c r="I24" s="21" t="n"/>
      <c r="J24" s="21" t="n"/>
      <c r="K24" s="22">
        <f>IF(OR(ISBLANK(I24),ISBLANK(J24)),"",IF(AND(J24="Critical",I24="Very High"),25,IF(AND(J24="Critical",I24="High"),20,IF(AND(J24="High",I24="Very High"),20,IF(AND(J24="High",I24="High"),16,10)))))</f>
        <v/>
      </c>
      <c r="L24" s="21" t="n"/>
      <c r="M24" s="21" t="n"/>
      <c r="N24" s="22">
        <f>IF(OR(ISBLANK(L24),ISBLANK(M24)),"",IF(AND(M24="Critical",L24="Very High"),25,IF(AND(M24="Critical",L24="High"),20,IF(AND(M24="High",L24="Very High"),20,IF(AND(M24="High",L24="High"),16,10)))))</f>
        <v/>
      </c>
      <c r="O24" s="21" t="n"/>
      <c r="P24" s="21" t="n"/>
      <c r="Q24" s="21" t="n"/>
      <c r="R24" s="21" t="n"/>
      <c r="S24" s="21" t="n"/>
      <c r="T24" s="21" t="n"/>
      <c r="U24" s="22">
        <f>IF(ISBLANK(S24),"",S24+90)</f>
        <v/>
      </c>
    </row>
    <row r="25">
      <c r="A25" s="20" t="inlineStr">
        <is>
          <t>RISK-004</t>
        </is>
      </c>
      <c r="B25" s="21" t="n"/>
      <c r="C25" s="21" t="n"/>
      <c r="D25" s="21" t="n"/>
      <c r="E25" s="21" t="n"/>
      <c r="F25" s="21" t="n"/>
      <c r="G25" s="21" t="n"/>
      <c r="H25" s="21" t="n"/>
      <c r="I25" s="21" t="n"/>
      <c r="J25" s="21" t="n"/>
      <c r="K25" s="22">
        <f>IF(OR(ISBLANK(I25),ISBLANK(J25)),"",IF(AND(J25="Critical",I25="Very High"),25,IF(AND(J25="Critical",I25="High"),20,IF(AND(J25="High",I25="Very High"),20,IF(AND(J25="High",I25="High"),16,10)))))</f>
        <v/>
      </c>
      <c r="L25" s="21" t="n"/>
      <c r="M25" s="21" t="n"/>
      <c r="N25" s="22">
        <f>IF(OR(ISBLANK(L25),ISBLANK(M25)),"",IF(AND(M25="Critical",L25="Very High"),25,IF(AND(M25="Critical",L25="High"),20,IF(AND(M25="High",L25="Very High"),20,IF(AND(M25="High",L25="High"),16,10)))))</f>
        <v/>
      </c>
      <c r="O25" s="21" t="n"/>
      <c r="P25" s="21" t="n"/>
      <c r="Q25" s="21" t="n"/>
      <c r="R25" s="21" t="n"/>
      <c r="S25" s="21" t="n"/>
      <c r="T25" s="21" t="n"/>
      <c r="U25" s="22">
        <f>IF(ISBLANK(S25),"",S25+90)</f>
        <v/>
      </c>
    </row>
    <row r="26">
      <c r="A26" s="20" t="inlineStr">
        <is>
          <t>RISK-005</t>
        </is>
      </c>
      <c r="B26" s="21" t="n"/>
      <c r="C26" s="21" t="n"/>
      <c r="D26" s="21" t="n"/>
      <c r="E26" s="21" t="n"/>
      <c r="F26" s="21" t="n"/>
      <c r="G26" s="21" t="n"/>
      <c r="H26" s="21" t="n"/>
      <c r="I26" s="21" t="n"/>
      <c r="J26" s="21" t="n"/>
      <c r="K26" s="22">
        <f>IF(OR(ISBLANK(I26),ISBLANK(J26)),"",IF(AND(J26="Critical",I26="Very High"),25,IF(AND(J26="Critical",I26="High"),20,IF(AND(J26="High",I26="Very High"),20,IF(AND(J26="High",I26="High"),16,10)))))</f>
        <v/>
      </c>
      <c r="L26" s="21" t="n"/>
      <c r="M26" s="21" t="n"/>
      <c r="N26" s="22">
        <f>IF(OR(ISBLANK(L26),ISBLANK(M26)),"",IF(AND(M26="Critical",L26="Very High"),25,IF(AND(M26="Critical",L26="High"),20,IF(AND(M26="High",L26="Very High"),20,IF(AND(M26="High",L26="High"),16,10)))))</f>
        <v/>
      </c>
      <c r="O26" s="21" t="n"/>
      <c r="P26" s="21" t="n"/>
      <c r="Q26" s="21" t="n"/>
      <c r="R26" s="21" t="n"/>
      <c r="S26" s="21" t="n"/>
      <c r="T26" s="21" t="n"/>
      <c r="U26" s="22">
        <f>IF(ISBLANK(S26),"",S26+90)</f>
        <v/>
      </c>
    </row>
    <row r="27">
      <c r="A27" s="20" t="inlineStr">
        <is>
          <t>RISK-006</t>
        </is>
      </c>
      <c r="B27" s="21" t="n"/>
      <c r="C27" s="21" t="n"/>
      <c r="D27" s="21" t="n"/>
      <c r="E27" s="21" t="n"/>
      <c r="F27" s="21" t="n"/>
      <c r="G27" s="21" t="n"/>
      <c r="H27" s="21" t="n"/>
      <c r="I27" s="21" t="n"/>
      <c r="J27" s="21" t="n"/>
      <c r="K27" s="22">
        <f>IF(OR(ISBLANK(I27),ISBLANK(J27)),"",IF(AND(J27="Critical",I27="Very High"),25,IF(AND(J27="Critical",I27="High"),20,IF(AND(J27="High",I27="Very High"),20,IF(AND(J27="High",I27="High"),16,10)))))</f>
        <v/>
      </c>
      <c r="L27" s="21" t="n"/>
      <c r="M27" s="21" t="n"/>
      <c r="N27" s="22">
        <f>IF(OR(ISBLANK(L27),ISBLANK(M27)),"",IF(AND(M27="Critical",L27="Very High"),25,IF(AND(M27="Critical",L27="High"),20,IF(AND(M27="High",L27="Very High"),20,IF(AND(M27="High",L27="High"),16,10)))))</f>
        <v/>
      </c>
      <c r="O27" s="21" t="n"/>
      <c r="P27" s="21" t="n"/>
      <c r="Q27" s="21" t="n"/>
      <c r="R27" s="21" t="n"/>
      <c r="S27" s="21" t="n"/>
      <c r="T27" s="21" t="n"/>
      <c r="U27" s="22">
        <f>IF(ISBLANK(S27),"",S27+90)</f>
        <v/>
      </c>
    </row>
    <row r="28">
      <c r="A28" s="20" t="inlineStr">
        <is>
          <t>RISK-007</t>
        </is>
      </c>
      <c r="B28" s="21" t="n"/>
      <c r="C28" s="21" t="n"/>
      <c r="D28" s="21" t="n"/>
      <c r="E28" s="21" t="n"/>
      <c r="F28" s="21" t="n"/>
      <c r="G28" s="21" t="n"/>
      <c r="H28" s="21" t="n"/>
      <c r="I28" s="21" t="n"/>
      <c r="J28" s="21" t="n"/>
      <c r="K28" s="22">
        <f>IF(OR(ISBLANK(I28),ISBLANK(J28)),"",IF(AND(J28="Critical",I28="Very High"),25,IF(AND(J28="Critical",I28="High"),20,IF(AND(J28="High",I28="Very High"),20,IF(AND(J28="High",I28="High"),16,10)))))</f>
        <v/>
      </c>
      <c r="L28" s="21" t="n"/>
      <c r="M28" s="21" t="n"/>
      <c r="N28" s="22">
        <f>IF(OR(ISBLANK(L28),ISBLANK(M28)),"",IF(AND(M28="Critical",L28="Very High"),25,IF(AND(M28="Critical",L28="High"),20,IF(AND(M28="High",L28="Very High"),20,IF(AND(M28="High",L28="High"),16,10)))))</f>
        <v/>
      </c>
      <c r="O28" s="21" t="n"/>
      <c r="P28" s="21" t="n"/>
      <c r="Q28" s="21" t="n"/>
      <c r="R28" s="21" t="n"/>
      <c r="S28" s="21" t="n"/>
      <c r="T28" s="21" t="n"/>
      <c r="U28" s="22">
        <f>IF(ISBLANK(S28),"",S28+90)</f>
        <v/>
      </c>
    </row>
    <row r="29">
      <c r="A29" s="20" t="inlineStr">
        <is>
          <t>RISK-008</t>
        </is>
      </c>
      <c r="B29" s="21" t="n"/>
      <c r="C29" s="21" t="n"/>
      <c r="D29" s="21" t="n"/>
      <c r="E29" s="21" t="n"/>
      <c r="F29" s="21" t="n"/>
      <c r="G29" s="21" t="n"/>
      <c r="H29" s="21" t="n"/>
      <c r="I29" s="21" t="n"/>
      <c r="J29" s="21" t="n"/>
      <c r="K29" s="22">
        <f>IF(OR(ISBLANK(I29),ISBLANK(J29)),"",IF(AND(J29="Critical",I29="Very High"),25,IF(AND(J29="Critical",I29="High"),20,IF(AND(J29="High",I29="Very High"),20,IF(AND(J29="High",I29="High"),16,10)))))</f>
        <v/>
      </c>
      <c r="L29" s="21" t="n"/>
      <c r="M29" s="21" t="n"/>
      <c r="N29" s="22">
        <f>IF(OR(ISBLANK(L29),ISBLANK(M29)),"",IF(AND(M29="Critical",L29="Very High"),25,IF(AND(M29="Critical",L29="High"),20,IF(AND(M29="High",L29="Very High"),20,IF(AND(M29="High",L29="High"),16,10)))))</f>
        <v/>
      </c>
      <c r="O29" s="21" t="n"/>
      <c r="P29" s="21" t="n"/>
      <c r="Q29" s="21" t="n"/>
      <c r="R29" s="21" t="n"/>
      <c r="S29" s="21" t="n"/>
      <c r="T29" s="21" t="n"/>
      <c r="U29" s="22">
        <f>IF(ISBLANK(S29),"",S29+90)</f>
        <v/>
      </c>
    </row>
    <row r="30">
      <c r="A30" s="20" t="inlineStr">
        <is>
          <t>RISK-009</t>
        </is>
      </c>
      <c r="B30" s="21" t="n"/>
      <c r="C30" s="21" t="n"/>
      <c r="D30" s="21" t="n"/>
      <c r="E30" s="21" t="n"/>
      <c r="F30" s="21" t="n"/>
      <c r="G30" s="21" t="n"/>
      <c r="H30" s="21" t="n"/>
      <c r="I30" s="21" t="n"/>
      <c r="J30" s="21" t="n"/>
      <c r="K30" s="22">
        <f>IF(OR(ISBLANK(I30),ISBLANK(J30)),"",IF(AND(J30="Critical",I30="Very High"),25,IF(AND(J30="Critical",I30="High"),20,IF(AND(J30="High",I30="Very High"),20,IF(AND(J30="High",I30="High"),16,10)))))</f>
        <v/>
      </c>
      <c r="L30" s="21" t="n"/>
      <c r="M30" s="21" t="n"/>
      <c r="N30" s="22">
        <f>IF(OR(ISBLANK(L30),ISBLANK(M30)),"",IF(AND(M30="Critical",L30="Very High"),25,IF(AND(M30="Critical",L30="High"),20,IF(AND(M30="High",L30="Very High"),20,IF(AND(M30="High",L30="High"),16,10)))))</f>
        <v/>
      </c>
      <c r="O30" s="21" t="n"/>
      <c r="P30" s="21" t="n"/>
      <c r="Q30" s="21" t="n"/>
      <c r="R30" s="21" t="n"/>
      <c r="S30" s="21" t="n"/>
      <c r="T30" s="21" t="n"/>
      <c r="U30" s="22">
        <f>IF(ISBLANK(S30),"",S30+90)</f>
        <v/>
      </c>
    </row>
    <row r="31">
      <c r="A31" s="20" t="inlineStr">
        <is>
          <t>RISK-010</t>
        </is>
      </c>
      <c r="B31" s="21" t="n"/>
      <c r="C31" s="21" t="n"/>
      <c r="D31" s="21" t="n"/>
      <c r="E31" s="21" t="n"/>
      <c r="F31" s="21" t="n"/>
      <c r="G31" s="21" t="n"/>
      <c r="H31" s="21" t="n"/>
      <c r="I31" s="21" t="n"/>
      <c r="J31" s="21" t="n"/>
      <c r="K31" s="22">
        <f>IF(OR(ISBLANK(I31),ISBLANK(J31)),"",IF(AND(J31="Critical",I31="Very High"),25,IF(AND(J31="Critical",I31="High"),20,IF(AND(J31="High",I31="Very High"),20,IF(AND(J31="High",I31="High"),16,10)))))</f>
        <v/>
      </c>
      <c r="L31" s="21" t="n"/>
      <c r="M31" s="21" t="n"/>
      <c r="N31" s="22">
        <f>IF(OR(ISBLANK(L31),ISBLANK(M31)),"",IF(AND(M31="Critical",L31="Very High"),25,IF(AND(M31="Critical",L31="High"),20,IF(AND(M31="High",L31="Very High"),20,IF(AND(M31="High",L31="High"),16,10)))))</f>
        <v/>
      </c>
      <c r="O31" s="21" t="n"/>
      <c r="P31" s="21" t="n"/>
      <c r="Q31" s="21" t="n"/>
      <c r="R31" s="21" t="n"/>
      <c r="S31" s="21" t="n"/>
      <c r="T31" s="21" t="n"/>
      <c r="U31" s="22">
        <f>IF(ISBLANK(S31),"",S31+90)</f>
        <v/>
      </c>
    </row>
    <row r="32">
      <c r="A32" s="20" t="inlineStr">
        <is>
          <t>RISK-011</t>
        </is>
      </c>
      <c r="B32" s="21" t="n"/>
      <c r="C32" s="21" t="n"/>
      <c r="D32" s="21" t="n"/>
      <c r="E32" s="21" t="n"/>
      <c r="F32" s="21" t="n"/>
      <c r="G32" s="21" t="n"/>
      <c r="H32" s="21" t="n"/>
      <c r="I32" s="21" t="n"/>
      <c r="J32" s="21" t="n"/>
      <c r="K32" s="22">
        <f>IF(OR(ISBLANK(I32),ISBLANK(J32)),"",IF(AND(J32="Critical",I32="Very High"),25,IF(AND(J32="Critical",I32="High"),20,IF(AND(J32="High",I32="Very High"),20,IF(AND(J32="High",I32="High"),16,10)))))</f>
        <v/>
      </c>
      <c r="L32" s="21" t="n"/>
      <c r="M32" s="21" t="n"/>
      <c r="N32" s="22">
        <f>IF(OR(ISBLANK(L32),ISBLANK(M32)),"",IF(AND(M32="Critical",L32="Very High"),25,IF(AND(M32="Critical",L32="High"),20,IF(AND(M32="High",L32="Very High"),20,IF(AND(M32="High",L32="High"),16,10)))))</f>
        <v/>
      </c>
      <c r="O32" s="21" t="n"/>
      <c r="P32" s="21" t="n"/>
      <c r="Q32" s="21" t="n"/>
      <c r="R32" s="21" t="n"/>
      <c r="S32" s="21" t="n"/>
      <c r="T32" s="21" t="n"/>
      <c r="U32" s="22">
        <f>IF(ISBLANK(S32),"",S32+90)</f>
        <v/>
      </c>
    </row>
    <row r="33">
      <c r="A33" s="20" t="inlineStr">
        <is>
          <t>RISK-012</t>
        </is>
      </c>
      <c r="B33" s="21" t="n"/>
      <c r="C33" s="21" t="n"/>
      <c r="D33" s="21" t="n"/>
      <c r="E33" s="21" t="n"/>
      <c r="F33" s="21" t="n"/>
      <c r="G33" s="21" t="n"/>
      <c r="H33" s="21" t="n"/>
      <c r="I33" s="21" t="n"/>
      <c r="J33" s="21" t="n"/>
      <c r="K33" s="22">
        <f>IF(OR(ISBLANK(I33),ISBLANK(J33)),"",IF(AND(J33="Critical",I33="Very High"),25,IF(AND(J33="Critical",I33="High"),20,IF(AND(J33="High",I33="Very High"),20,IF(AND(J33="High",I33="High"),16,10)))))</f>
        <v/>
      </c>
      <c r="L33" s="21" t="n"/>
      <c r="M33" s="21" t="n"/>
      <c r="N33" s="22">
        <f>IF(OR(ISBLANK(L33),ISBLANK(M33)),"",IF(AND(M33="Critical",L33="Very High"),25,IF(AND(M33="Critical",L33="High"),20,IF(AND(M33="High",L33="Very High"),20,IF(AND(M33="High",L33="High"),16,10)))))</f>
        <v/>
      </c>
      <c r="O33" s="21" t="n"/>
      <c r="P33" s="21" t="n"/>
      <c r="Q33" s="21" t="n"/>
      <c r="R33" s="21" t="n"/>
      <c r="S33" s="21" t="n"/>
      <c r="T33" s="21" t="n"/>
      <c r="U33" s="22">
        <f>IF(ISBLANK(S33),"",S33+90)</f>
        <v/>
      </c>
    </row>
    <row r="34">
      <c r="A34" s="20" t="inlineStr">
        <is>
          <t>RISK-013</t>
        </is>
      </c>
      <c r="B34" s="21" t="n"/>
      <c r="C34" s="21" t="n"/>
      <c r="D34" s="21" t="n"/>
      <c r="E34" s="21" t="n"/>
      <c r="F34" s="21" t="n"/>
      <c r="G34" s="21" t="n"/>
      <c r="H34" s="21" t="n"/>
      <c r="I34" s="21" t="n"/>
      <c r="J34" s="21" t="n"/>
      <c r="K34" s="22">
        <f>IF(OR(ISBLANK(I34),ISBLANK(J34)),"",IF(AND(J34="Critical",I34="Very High"),25,IF(AND(J34="Critical",I34="High"),20,IF(AND(J34="High",I34="Very High"),20,IF(AND(J34="High",I34="High"),16,10)))))</f>
        <v/>
      </c>
      <c r="L34" s="21" t="n"/>
      <c r="M34" s="21" t="n"/>
      <c r="N34" s="22">
        <f>IF(OR(ISBLANK(L34),ISBLANK(M34)),"",IF(AND(M34="Critical",L34="Very High"),25,IF(AND(M34="Critical",L34="High"),20,IF(AND(M34="High",L34="Very High"),20,IF(AND(M34="High",L34="High"),16,10)))))</f>
        <v/>
      </c>
      <c r="O34" s="21" t="n"/>
      <c r="P34" s="21" t="n"/>
      <c r="Q34" s="21" t="n"/>
      <c r="R34" s="21" t="n"/>
      <c r="S34" s="21" t="n"/>
      <c r="T34" s="21" t="n"/>
      <c r="U34" s="22">
        <f>IF(ISBLANK(S34),"",S34+90)</f>
        <v/>
      </c>
    </row>
    <row r="35">
      <c r="A35" s="20" t="inlineStr">
        <is>
          <t>RISK-014</t>
        </is>
      </c>
      <c r="B35" s="21" t="n"/>
      <c r="C35" s="21" t="n"/>
      <c r="D35" s="21" t="n"/>
      <c r="E35" s="21" t="n"/>
      <c r="F35" s="21" t="n"/>
      <c r="G35" s="21" t="n"/>
      <c r="H35" s="21" t="n"/>
      <c r="I35" s="21" t="n"/>
      <c r="J35" s="21" t="n"/>
      <c r="K35" s="22">
        <f>IF(OR(ISBLANK(I35),ISBLANK(J35)),"",IF(AND(J35="Critical",I35="Very High"),25,IF(AND(J35="Critical",I35="High"),20,IF(AND(J35="High",I35="Very High"),20,IF(AND(J35="High",I35="High"),16,10)))))</f>
        <v/>
      </c>
      <c r="L35" s="21" t="n"/>
      <c r="M35" s="21" t="n"/>
      <c r="N35" s="22">
        <f>IF(OR(ISBLANK(L35),ISBLANK(M35)),"",IF(AND(M35="Critical",L35="Very High"),25,IF(AND(M35="Critical",L35="High"),20,IF(AND(M35="High",L35="Very High"),20,IF(AND(M35="High",L35="High"),16,10)))))</f>
        <v/>
      </c>
      <c r="O35" s="21" t="n"/>
      <c r="P35" s="21" t="n"/>
      <c r="Q35" s="21" t="n"/>
      <c r="R35" s="21" t="n"/>
      <c r="S35" s="21" t="n"/>
      <c r="T35" s="21" t="n"/>
      <c r="U35" s="22">
        <f>IF(ISBLANK(S35),"",S35+90)</f>
        <v/>
      </c>
    </row>
    <row r="36">
      <c r="A36" s="20" t="inlineStr">
        <is>
          <t>RISK-015</t>
        </is>
      </c>
      <c r="B36" s="21" t="n"/>
      <c r="C36" s="21" t="n"/>
      <c r="D36" s="21" t="n"/>
      <c r="E36" s="21" t="n"/>
      <c r="F36" s="21" t="n"/>
      <c r="G36" s="21" t="n"/>
      <c r="H36" s="21" t="n"/>
      <c r="I36" s="21" t="n"/>
      <c r="J36" s="21" t="n"/>
      <c r="K36" s="22">
        <f>IF(OR(ISBLANK(I36),ISBLANK(J36)),"",IF(AND(J36="Critical",I36="Very High"),25,IF(AND(J36="Critical",I36="High"),20,IF(AND(J36="High",I36="Very High"),20,IF(AND(J36="High",I36="High"),16,10)))))</f>
        <v/>
      </c>
      <c r="L36" s="21" t="n"/>
      <c r="M36" s="21" t="n"/>
      <c r="N36" s="22">
        <f>IF(OR(ISBLANK(L36),ISBLANK(M36)),"",IF(AND(M36="Critical",L36="Very High"),25,IF(AND(M36="Critical",L36="High"),20,IF(AND(M36="High",L36="Very High"),20,IF(AND(M36="High",L36="High"),16,10)))))</f>
        <v/>
      </c>
      <c r="O36" s="21" t="n"/>
      <c r="P36" s="21" t="n"/>
      <c r="Q36" s="21" t="n"/>
      <c r="R36" s="21" t="n"/>
      <c r="S36" s="21" t="n"/>
      <c r="T36" s="21" t="n"/>
      <c r="U36" s="22">
        <f>IF(ISBLANK(S36),"",S36+90)</f>
        <v/>
      </c>
    </row>
    <row r="37">
      <c r="A37" s="20" t="inlineStr">
        <is>
          <t>RISK-016</t>
        </is>
      </c>
      <c r="B37" s="21" t="n"/>
      <c r="C37" s="21" t="n"/>
      <c r="D37" s="21" t="n"/>
      <c r="E37" s="21" t="n"/>
      <c r="F37" s="21" t="n"/>
      <c r="G37" s="21" t="n"/>
      <c r="H37" s="21" t="n"/>
      <c r="I37" s="21" t="n"/>
      <c r="J37" s="21" t="n"/>
      <c r="K37" s="22">
        <f>IF(OR(ISBLANK(I37),ISBLANK(J37)),"",IF(AND(J37="Critical",I37="Very High"),25,IF(AND(J37="Critical",I37="High"),20,IF(AND(J37="High",I37="Very High"),20,IF(AND(J37="High",I37="High"),16,10)))))</f>
        <v/>
      </c>
      <c r="L37" s="21" t="n"/>
      <c r="M37" s="21" t="n"/>
      <c r="N37" s="22">
        <f>IF(OR(ISBLANK(L37),ISBLANK(M37)),"",IF(AND(M37="Critical",L37="Very High"),25,IF(AND(M37="Critical",L37="High"),20,IF(AND(M37="High",L37="Very High"),20,IF(AND(M37="High",L37="High"),16,10)))))</f>
        <v/>
      </c>
      <c r="O37" s="21" t="n"/>
      <c r="P37" s="21" t="n"/>
      <c r="Q37" s="21" t="n"/>
      <c r="R37" s="21" t="n"/>
      <c r="S37" s="21" t="n"/>
      <c r="T37" s="21" t="n"/>
      <c r="U37" s="22">
        <f>IF(ISBLANK(S37),"",S37+90)</f>
        <v/>
      </c>
    </row>
    <row r="38">
      <c r="A38" s="20" t="inlineStr">
        <is>
          <t>RISK-017</t>
        </is>
      </c>
      <c r="B38" s="21" t="n"/>
      <c r="C38" s="21" t="n"/>
      <c r="D38" s="21" t="n"/>
      <c r="E38" s="21" t="n"/>
      <c r="F38" s="21" t="n"/>
      <c r="G38" s="21" t="n"/>
      <c r="H38" s="21" t="n"/>
      <c r="I38" s="21" t="n"/>
      <c r="J38" s="21" t="n"/>
      <c r="K38" s="22">
        <f>IF(OR(ISBLANK(I38),ISBLANK(J38)),"",IF(AND(J38="Critical",I38="Very High"),25,IF(AND(J38="Critical",I38="High"),20,IF(AND(J38="High",I38="Very High"),20,IF(AND(J38="High",I38="High"),16,10)))))</f>
        <v/>
      </c>
      <c r="L38" s="21" t="n"/>
      <c r="M38" s="21" t="n"/>
      <c r="N38" s="22">
        <f>IF(OR(ISBLANK(L38),ISBLANK(M38)),"",IF(AND(M38="Critical",L38="Very High"),25,IF(AND(M38="Critical",L38="High"),20,IF(AND(M38="High",L38="Very High"),20,IF(AND(M38="High",L38="High"),16,10)))))</f>
        <v/>
      </c>
      <c r="O38" s="21" t="n"/>
      <c r="P38" s="21" t="n"/>
      <c r="Q38" s="21" t="n"/>
      <c r="R38" s="21" t="n"/>
      <c r="S38" s="21" t="n"/>
      <c r="T38" s="21" t="n"/>
      <c r="U38" s="22">
        <f>IF(ISBLANK(S38),"",S38+90)</f>
        <v/>
      </c>
    </row>
    <row r="39">
      <c r="A39" s="20" t="inlineStr">
        <is>
          <t>RISK-018</t>
        </is>
      </c>
      <c r="B39" s="21" t="n"/>
      <c r="C39" s="21" t="n"/>
      <c r="D39" s="21" t="n"/>
      <c r="E39" s="21" t="n"/>
      <c r="F39" s="21" t="n"/>
      <c r="G39" s="21" t="n"/>
      <c r="H39" s="21" t="n"/>
      <c r="I39" s="21" t="n"/>
      <c r="J39" s="21" t="n"/>
      <c r="K39" s="22">
        <f>IF(OR(ISBLANK(I39),ISBLANK(J39)),"",IF(AND(J39="Critical",I39="Very High"),25,IF(AND(J39="Critical",I39="High"),20,IF(AND(J39="High",I39="Very High"),20,IF(AND(J39="High",I39="High"),16,10)))))</f>
        <v/>
      </c>
      <c r="L39" s="21" t="n"/>
      <c r="M39" s="21" t="n"/>
      <c r="N39" s="22">
        <f>IF(OR(ISBLANK(L39),ISBLANK(M39)),"",IF(AND(M39="Critical",L39="Very High"),25,IF(AND(M39="Critical",L39="High"),20,IF(AND(M39="High",L39="Very High"),20,IF(AND(M39="High",L39="High"),16,10)))))</f>
        <v/>
      </c>
      <c r="O39" s="21" t="n"/>
      <c r="P39" s="21" t="n"/>
      <c r="Q39" s="21" t="n"/>
      <c r="R39" s="21" t="n"/>
      <c r="S39" s="21" t="n"/>
      <c r="T39" s="21" t="n"/>
      <c r="U39" s="22">
        <f>IF(ISBLANK(S39),"",S39+90)</f>
        <v/>
      </c>
    </row>
    <row r="40">
      <c r="A40" s="20" t="inlineStr">
        <is>
          <t>RISK-019</t>
        </is>
      </c>
      <c r="B40" s="21" t="n"/>
      <c r="C40" s="21" t="n"/>
      <c r="D40" s="21" t="n"/>
      <c r="E40" s="21" t="n"/>
      <c r="F40" s="21" t="n"/>
      <c r="G40" s="21" t="n"/>
      <c r="H40" s="21" t="n"/>
      <c r="I40" s="21" t="n"/>
      <c r="J40" s="21" t="n"/>
      <c r="K40" s="22">
        <f>IF(OR(ISBLANK(I40),ISBLANK(J40)),"",IF(AND(J40="Critical",I40="Very High"),25,IF(AND(J40="Critical",I40="High"),20,IF(AND(J40="High",I40="Very High"),20,IF(AND(J40="High",I40="High"),16,10)))))</f>
        <v/>
      </c>
      <c r="L40" s="21" t="n"/>
      <c r="M40" s="21" t="n"/>
      <c r="N40" s="22">
        <f>IF(OR(ISBLANK(L40),ISBLANK(M40)),"",IF(AND(M40="Critical",L40="Very High"),25,IF(AND(M40="Critical",L40="High"),20,IF(AND(M40="High",L40="Very High"),20,IF(AND(M40="High",L40="High"),16,10)))))</f>
        <v/>
      </c>
      <c r="O40" s="21" t="n"/>
      <c r="P40" s="21" t="n"/>
      <c r="Q40" s="21" t="n"/>
      <c r="R40" s="21" t="n"/>
      <c r="S40" s="21" t="n"/>
      <c r="T40" s="21" t="n"/>
      <c r="U40" s="22">
        <f>IF(ISBLANK(S40),"",S40+90)</f>
        <v/>
      </c>
    </row>
    <row r="41">
      <c r="A41" s="20" t="inlineStr">
        <is>
          <t>RISK-020</t>
        </is>
      </c>
      <c r="B41" s="21" t="n"/>
      <c r="C41" s="21" t="n"/>
      <c r="D41" s="21" t="n"/>
      <c r="E41" s="21" t="n"/>
      <c r="F41" s="21" t="n"/>
      <c r="G41" s="21" t="n"/>
      <c r="H41" s="21" t="n"/>
      <c r="I41" s="21" t="n"/>
      <c r="J41" s="21" t="n"/>
      <c r="K41" s="22">
        <f>IF(OR(ISBLANK(I41),ISBLANK(J41)),"",IF(AND(J41="Critical",I41="Very High"),25,IF(AND(J41="Critical",I41="High"),20,IF(AND(J41="High",I41="Very High"),20,IF(AND(J41="High",I41="High"),16,10)))))</f>
        <v/>
      </c>
      <c r="L41" s="21" t="n"/>
      <c r="M41" s="21" t="n"/>
      <c r="N41" s="22">
        <f>IF(OR(ISBLANK(L41),ISBLANK(M41)),"",IF(AND(M41="Critical",L41="Very High"),25,IF(AND(M41="Critical",L41="High"),20,IF(AND(M41="High",L41="Very High"),20,IF(AND(M41="High",L41="High"),16,10)))))</f>
        <v/>
      </c>
      <c r="O41" s="21" t="n"/>
      <c r="P41" s="21" t="n"/>
      <c r="Q41" s="21" t="n"/>
      <c r="R41" s="21" t="n"/>
      <c r="S41" s="21" t="n"/>
      <c r="T41" s="21" t="n"/>
      <c r="U41" s="22">
        <f>IF(ISBLANK(S41),"",S41+90)</f>
        <v/>
      </c>
    </row>
    <row r="42">
      <c r="A42" s="20" t="inlineStr">
        <is>
          <t>RISK-021</t>
        </is>
      </c>
      <c r="B42" s="21" t="n"/>
      <c r="C42" s="21" t="n"/>
      <c r="D42" s="21" t="n"/>
      <c r="E42" s="21" t="n"/>
      <c r="F42" s="21" t="n"/>
      <c r="G42" s="21" t="n"/>
      <c r="H42" s="21" t="n"/>
      <c r="I42" s="21" t="n"/>
      <c r="J42" s="21" t="n"/>
      <c r="K42" s="22">
        <f>IF(OR(ISBLANK(I42),ISBLANK(J42)),"",IF(AND(J42="Critical",I42="Very High"),25,IF(AND(J42="Critical",I42="High"),20,IF(AND(J42="High",I42="Very High"),20,IF(AND(J42="High",I42="High"),16,10)))))</f>
        <v/>
      </c>
      <c r="L42" s="21" t="n"/>
      <c r="M42" s="21" t="n"/>
      <c r="N42" s="22">
        <f>IF(OR(ISBLANK(L42),ISBLANK(M42)),"",IF(AND(M42="Critical",L42="Very High"),25,IF(AND(M42="Critical",L42="High"),20,IF(AND(M42="High",L42="Very High"),20,IF(AND(M42="High",L42="High"),16,10)))))</f>
        <v/>
      </c>
      <c r="O42" s="21" t="n"/>
      <c r="P42" s="21" t="n"/>
      <c r="Q42" s="21" t="n"/>
      <c r="R42" s="21" t="n"/>
      <c r="S42" s="21" t="n"/>
      <c r="T42" s="21" t="n"/>
      <c r="U42" s="22">
        <f>IF(ISBLANK(S42),"",S42+90)</f>
        <v/>
      </c>
    </row>
    <row r="43">
      <c r="A43" s="20" t="inlineStr">
        <is>
          <t>RISK-022</t>
        </is>
      </c>
      <c r="B43" s="21" t="n"/>
      <c r="C43" s="21" t="n"/>
      <c r="D43" s="21" t="n"/>
      <c r="E43" s="21" t="n"/>
      <c r="F43" s="21" t="n"/>
      <c r="G43" s="21" t="n"/>
      <c r="H43" s="21" t="n"/>
      <c r="I43" s="21" t="n"/>
      <c r="J43" s="21" t="n"/>
      <c r="K43" s="22">
        <f>IF(OR(ISBLANK(I43),ISBLANK(J43)),"",IF(AND(J43="Critical",I43="Very High"),25,IF(AND(J43="Critical",I43="High"),20,IF(AND(J43="High",I43="Very High"),20,IF(AND(J43="High",I43="High"),16,10)))))</f>
        <v/>
      </c>
      <c r="L43" s="21" t="n"/>
      <c r="M43" s="21" t="n"/>
      <c r="N43" s="22">
        <f>IF(OR(ISBLANK(L43),ISBLANK(M43)),"",IF(AND(M43="Critical",L43="Very High"),25,IF(AND(M43="Critical",L43="High"),20,IF(AND(M43="High",L43="Very High"),20,IF(AND(M43="High",L43="High"),16,10)))))</f>
        <v/>
      </c>
      <c r="O43" s="21" t="n"/>
      <c r="P43" s="21" t="n"/>
      <c r="Q43" s="21" t="n"/>
      <c r="R43" s="21" t="n"/>
      <c r="S43" s="21" t="n"/>
      <c r="T43" s="21" t="n"/>
      <c r="U43" s="22">
        <f>IF(ISBLANK(S43),"",S43+90)</f>
        <v/>
      </c>
    </row>
    <row r="44">
      <c r="A44" s="20" t="inlineStr">
        <is>
          <t>RISK-023</t>
        </is>
      </c>
      <c r="B44" s="21" t="n"/>
      <c r="C44" s="21" t="n"/>
      <c r="D44" s="21" t="n"/>
      <c r="E44" s="21" t="n"/>
      <c r="F44" s="21" t="n"/>
      <c r="G44" s="21" t="n"/>
      <c r="H44" s="21" t="n"/>
      <c r="I44" s="21" t="n"/>
      <c r="J44" s="21" t="n"/>
      <c r="K44" s="22">
        <f>IF(OR(ISBLANK(I44),ISBLANK(J44)),"",IF(AND(J44="Critical",I44="Very High"),25,IF(AND(J44="Critical",I44="High"),20,IF(AND(J44="High",I44="Very High"),20,IF(AND(J44="High",I44="High"),16,10)))))</f>
        <v/>
      </c>
      <c r="L44" s="21" t="n"/>
      <c r="M44" s="21" t="n"/>
      <c r="N44" s="22">
        <f>IF(OR(ISBLANK(L44),ISBLANK(M44)),"",IF(AND(M44="Critical",L44="Very High"),25,IF(AND(M44="Critical",L44="High"),20,IF(AND(M44="High",L44="Very High"),20,IF(AND(M44="High",L44="High"),16,10)))))</f>
        <v/>
      </c>
      <c r="O44" s="21" t="n"/>
      <c r="P44" s="21" t="n"/>
      <c r="Q44" s="21" t="n"/>
      <c r="R44" s="21" t="n"/>
      <c r="S44" s="21" t="n"/>
      <c r="T44" s="21" t="n"/>
      <c r="U44" s="22">
        <f>IF(ISBLANK(S44),"",S44+90)</f>
        <v/>
      </c>
    </row>
    <row r="45">
      <c r="A45" s="20" t="inlineStr">
        <is>
          <t>RISK-024</t>
        </is>
      </c>
      <c r="B45" s="21" t="n"/>
      <c r="C45" s="21" t="n"/>
      <c r="D45" s="21" t="n"/>
      <c r="E45" s="21" t="n"/>
      <c r="F45" s="21" t="n"/>
      <c r="G45" s="21" t="n"/>
      <c r="H45" s="21" t="n"/>
      <c r="I45" s="21" t="n"/>
      <c r="J45" s="21" t="n"/>
      <c r="K45" s="22">
        <f>IF(OR(ISBLANK(I45),ISBLANK(J45)),"",IF(AND(J45="Critical",I45="Very High"),25,IF(AND(J45="Critical",I45="High"),20,IF(AND(J45="High",I45="Very High"),20,IF(AND(J45="High",I45="High"),16,10)))))</f>
        <v/>
      </c>
      <c r="L45" s="21" t="n"/>
      <c r="M45" s="21" t="n"/>
      <c r="N45" s="22">
        <f>IF(OR(ISBLANK(L45),ISBLANK(M45)),"",IF(AND(M45="Critical",L45="Very High"),25,IF(AND(M45="Critical",L45="High"),20,IF(AND(M45="High",L45="Very High"),20,IF(AND(M45="High",L45="High"),16,10)))))</f>
        <v/>
      </c>
      <c r="O45" s="21" t="n"/>
      <c r="P45" s="21" t="n"/>
      <c r="Q45" s="21" t="n"/>
      <c r="R45" s="21" t="n"/>
      <c r="S45" s="21" t="n"/>
      <c r="T45" s="21" t="n"/>
      <c r="U45" s="22">
        <f>IF(ISBLANK(S45),"",S45+90)</f>
        <v/>
      </c>
    </row>
    <row r="46">
      <c r="A46" s="20" t="inlineStr">
        <is>
          <t>RISK-025</t>
        </is>
      </c>
      <c r="B46" s="21" t="n"/>
      <c r="C46" s="21" t="n"/>
      <c r="D46" s="21" t="n"/>
      <c r="E46" s="21" t="n"/>
      <c r="F46" s="21" t="n"/>
      <c r="G46" s="21" t="n"/>
      <c r="H46" s="21" t="n"/>
      <c r="I46" s="21" t="n"/>
      <c r="J46" s="21" t="n"/>
      <c r="K46" s="22">
        <f>IF(OR(ISBLANK(I46),ISBLANK(J46)),"",IF(AND(J46="Critical",I46="Very High"),25,IF(AND(J46="Critical",I46="High"),20,IF(AND(J46="High",I46="Very High"),20,IF(AND(J46="High",I46="High"),16,10)))))</f>
        <v/>
      </c>
      <c r="L46" s="21" t="n"/>
      <c r="M46" s="21" t="n"/>
      <c r="N46" s="22">
        <f>IF(OR(ISBLANK(L46),ISBLANK(M46)),"",IF(AND(M46="Critical",L46="Very High"),25,IF(AND(M46="Critical",L46="High"),20,IF(AND(M46="High",L46="Very High"),20,IF(AND(M46="High",L46="High"),16,10)))))</f>
        <v/>
      </c>
      <c r="O46" s="21" t="n"/>
      <c r="P46" s="21" t="n"/>
      <c r="Q46" s="21" t="n"/>
      <c r="R46" s="21" t="n"/>
      <c r="S46" s="21" t="n"/>
      <c r="T46" s="21" t="n"/>
      <c r="U46" s="22">
        <f>IF(ISBLANK(S46),"",S46+90)</f>
        <v/>
      </c>
    </row>
    <row r="47">
      <c r="A47" s="20" t="inlineStr">
        <is>
          <t>RISK-026</t>
        </is>
      </c>
      <c r="B47" s="21" t="n"/>
      <c r="C47" s="21" t="n"/>
      <c r="D47" s="21" t="n"/>
      <c r="E47" s="21" t="n"/>
      <c r="F47" s="21" t="n"/>
      <c r="G47" s="21" t="n"/>
      <c r="H47" s="21" t="n"/>
      <c r="I47" s="21" t="n"/>
      <c r="J47" s="21" t="n"/>
      <c r="K47" s="22">
        <f>IF(OR(ISBLANK(I47),ISBLANK(J47)),"",IF(AND(J47="Critical",I47="Very High"),25,IF(AND(J47="Critical",I47="High"),20,IF(AND(J47="High",I47="Very High"),20,IF(AND(J47="High",I47="High"),16,10)))))</f>
        <v/>
      </c>
      <c r="L47" s="21" t="n"/>
      <c r="M47" s="21" t="n"/>
      <c r="N47" s="22">
        <f>IF(OR(ISBLANK(L47),ISBLANK(M47)),"",IF(AND(M47="Critical",L47="Very High"),25,IF(AND(M47="Critical",L47="High"),20,IF(AND(M47="High",L47="Very High"),20,IF(AND(M47="High",L47="High"),16,10)))))</f>
        <v/>
      </c>
      <c r="O47" s="21" t="n"/>
      <c r="P47" s="21" t="n"/>
      <c r="Q47" s="21" t="n"/>
      <c r="R47" s="21" t="n"/>
      <c r="S47" s="21" t="n"/>
      <c r="T47" s="21" t="n"/>
      <c r="U47" s="22">
        <f>IF(ISBLANK(S47),"",S47+90)</f>
        <v/>
      </c>
    </row>
    <row r="48">
      <c r="A48" s="20" t="inlineStr">
        <is>
          <t>RISK-027</t>
        </is>
      </c>
      <c r="B48" s="21" t="n"/>
      <c r="C48" s="21" t="n"/>
      <c r="D48" s="21" t="n"/>
      <c r="E48" s="21" t="n"/>
      <c r="F48" s="21" t="n"/>
      <c r="G48" s="21" t="n"/>
      <c r="H48" s="21" t="n"/>
      <c r="I48" s="21" t="n"/>
      <c r="J48" s="21" t="n"/>
      <c r="K48" s="22">
        <f>IF(OR(ISBLANK(I48),ISBLANK(J48)),"",IF(AND(J48="Critical",I48="Very High"),25,IF(AND(J48="Critical",I48="High"),20,IF(AND(J48="High",I48="Very High"),20,IF(AND(J48="High",I48="High"),16,10)))))</f>
        <v/>
      </c>
      <c r="L48" s="21" t="n"/>
      <c r="M48" s="21" t="n"/>
      <c r="N48" s="22">
        <f>IF(OR(ISBLANK(L48),ISBLANK(M48)),"",IF(AND(M48="Critical",L48="Very High"),25,IF(AND(M48="Critical",L48="High"),20,IF(AND(M48="High",L48="Very High"),20,IF(AND(M48="High",L48="High"),16,10)))))</f>
        <v/>
      </c>
      <c r="O48" s="21" t="n"/>
      <c r="P48" s="21" t="n"/>
      <c r="Q48" s="21" t="n"/>
      <c r="R48" s="21" t="n"/>
      <c r="S48" s="21" t="n"/>
      <c r="T48" s="21" t="n"/>
      <c r="U48" s="22">
        <f>IF(ISBLANK(S48),"",S48+90)</f>
        <v/>
      </c>
    </row>
    <row r="49">
      <c r="A49" s="20" t="inlineStr">
        <is>
          <t>RISK-028</t>
        </is>
      </c>
      <c r="B49" s="21" t="n"/>
      <c r="C49" s="21" t="n"/>
      <c r="D49" s="21" t="n"/>
      <c r="E49" s="21" t="n"/>
      <c r="F49" s="21" t="n"/>
      <c r="G49" s="21" t="n"/>
      <c r="H49" s="21" t="n"/>
      <c r="I49" s="21" t="n"/>
      <c r="J49" s="21" t="n"/>
      <c r="K49" s="22">
        <f>IF(OR(ISBLANK(I49),ISBLANK(J49)),"",IF(AND(J49="Critical",I49="Very High"),25,IF(AND(J49="Critical",I49="High"),20,IF(AND(J49="High",I49="Very High"),20,IF(AND(J49="High",I49="High"),16,10)))))</f>
        <v/>
      </c>
      <c r="L49" s="21" t="n"/>
      <c r="M49" s="21" t="n"/>
      <c r="N49" s="22">
        <f>IF(OR(ISBLANK(L49),ISBLANK(M49)),"",IF(AND(M49="Critical",L49="Very High"),25,IF(AND(M49="Critical",L49="High"),20,IF(AND(M49="High",L49="Very High"),20,IF(AND(M49="High",L49="High"),16,10)))))</f>
        <v/>
      </c>
      <c r="O49" s="21" t="n"/>
      <c r="P49" s="21" t="n"/>
      <c r="Q49" s="21" t="n"/>
      <c r="R49" s="21" t="n"/>
      <c r="S49" s="21" t="n"/>
      <c r="T49" s="21" t="n"/>
      <c r="U49" s="22">
        <f>IF(ISBLANK(S49),"",S49+90)</f>
        <v/>
      </c>
    </row>
    <row r="50">
      <c r="A50" s="20" t="inlineStr">
        <is>
          <t>RISK-029</t>
        </is>
      </c>
      <c r="B50" s="21" t="n"/>
      <c r="C50" s="21" t="n"/>
      <c r="D50" s="21" t="n"/>
      <c r="E50" s="21" t="n"/>
      <c r="F50" s="21" t="n"/>
      <c r="G50" s="21" t="n"/>
      <c r="H50" s="21" t="n"/>
      <c r="I50" s="21" t="n"/>
      <c r="J50" s="21" t="n"/>
      <c r="K50" s="22">
        <f>IF(OR(ISBLANK(I50),ISBLANK(J50)),"",IF(AND(J50="Critical",I50="Very High"),25,IF(AND(J50="Critical",I50="High"),20,IF(AND(J50="High",I50="Very High"),20,IF(AND(J50="High",I50="High"),16,10)))))</f>
        <v/>
      </c>
      <c r="L50" s="21" t="n"/>
      <c r="M50" s="21" t="n"/>
      <c r="N50" s="22">
        <f>IF(OR(ISBLANK(L50),ISBLANK(M50)),"",IF(AND(M50="Critical",L50="Very High"),25,IF(AND(M50="Critical",L50="High"),20,IF(AND(M50="High",L50="Very High"),20,IF(AND(M50="High",L50="High"),16,10)))))</f>
        <v/>
      </c>
      <c r="O50" s="21" t="n"/>
      <c r="P50" s="21" t="n"/>
      <c r="Q50" s="21" t="n"/>
      <c r="R50" s="21" t="n"/>
      <c r="S50" s="21" t="n"/>
      <c r="T50" s="21" t="n"/>
      <c r="U50" s="22">
        <f>IF(ISBLANK(S50),"",S50+90)</f>
        <v/>
      </c>
    </row>
    <row r="51">
      <c r="A51" s="20" t="inlineStr">
        <is>
          <t>RISK-030</t>
        </is>
      </c>
      <c r="B51" s="21" t="n"/>
      <c r="C51" s="21" t="n"/>
      <c r="D51" s="21" t="n"/>
      <c r="E51" s="21" t="n"/>
      <c r="F51" s="21" t="n"/>
      <c r="G51" s="21" t="n"/>
      <c r="H51" s="21" t="n"/>
      <c r="I51" s="21" t="n"/>
      <c r="J51" s="21" t="n"/>
      <c r="K51" s="22">
        <f>IF(OR(ISBLANK(I51),ISBLANK(J51)),"",IF(AND(J51="Critical",I51="Very High"),25,IF(AND(J51="Critical",I51="High"),20,IF(AND(J51="High",I51="Very High"),20,IF(AND(J51="High",I51="High"),16,10)))))</f>
        <v/>
      </c>
      <c r="L51" s="21" t="n"/>
      <c r="M51" s="21" t="n"/>
      <c r="N51" s="22">
        <f>IF(OR(ISBLANK(L51),ISBLANK(M51)),"",IF(AND(M51="Critical",L51="Very High"),25,IF(AND(M51="Critical",L51="High"),20,IF(AND(M51="High",L51="Very High"),20,IF(AND(M51="High",L51="High"),16,10)))))</f>
        <v/>
      </c>
      <c r="O51" s="21" t="n"/>
      <c r="P51" s="21" t="n"/>
      <c r="Q51" s="21" t="n"/>
      <c r="R51" s="21" t="n"/>
      <c r="S51" s="21" t="n"/>
      <c r="T51" s="21" t="n"/>
      <c r="U51" s="22">
        <f>IF(ISBLANK(S51),"",S51+90)</f>
        <v/>
      </c>
    </row>
    <row r="52">
      <c r="A52" s="20" t="inlineStr">
        <is>
          <t>RISK-031</t>
        </is>
      </c>
      <c r="B52" s="21" t="n"/>
      <c r="C52" s="21" t="n"/>
      <c r="D52" s="21" t="n"/>
      <c r="E52" s="21" t="n"/>
      <c r="F52" s="21" t="n"/>
      <c r="G52" s="21" t="n"/>
      <c r="H52" s="21" t="n"/>
      <c r="I52" s="21" t="n"/>
      <c r="J52" s="21" t="n"/>
      <c r="K52" s="22">
        <f>IF(OR(ISBLANK(I52),ISBLANK(J52)),"",IF(AND(J52="Critical",I52="Very High"),25,IF(AND(J52="Critical",I52="High"),20,IF(AND(J52="High",I52="Very High"),20,IF(AND(J52="High",I52="High"),16,10)))))</f>
        <v/>
      </c>
      <c r="L52" s="21" t="n"/>
      <c r="M52" s="21" t="n"/>
      <c r="N52" s="22">
        <f>IF(OR(ISBLANK(L52),ISBLANK(M52)),"",IF(AND(M52="Critical",L52="Very High"),25,IF(AND(M52="Critical",L52="High"),20,IF(AND(M52="High",L52="Very High"),20,IF(AND(M52="High",L52="High"),16,10)))))</f>
        <v/>
      </c>
      <c r="O52" s="21" t="n"/>
      <c r="P52" s="21" t="n"/>
      <c r="Q52" s="21" t="n"/>
      <c r="R52" s="21" t="n"/>
      <c r="S52" s="21" t="n"/>
      <c r="T52" s="21" t="n"/>
      <c r="U52" s="22">
        <f>IF(ISBLANK(S52),"",S52+90)</f>
        <v/>
      </c>
    </row>
    <row r="53">
      <c r="A53" s="20" t="inlineStr">
        <is>
          <t>RISK-032</t>
        </is>
      </c>
      <c r="B53" s="21" t="n"/>
      <c r="C53" s="21" t="n"/>
      <c r="D53" s="21" t="n"/>
      <c r="E53" s="21" t="n"/>
      <c r="F53" s="21" t="n"/>
      <c r="G53" s="21" t="n"/>
      <c r="H53" s="21" t="n"/>
      <c r="I53" s="21" t="n"/>
      <c r="J53" s="21" t="n"/>
      <c r="K53" s="22">
        <f>IF(OR(ISBLANK(I53),ISBLANK(J53)),"",IF(AND(J53="Critical",I53="Very High"),25,IF(AND(J53="Critical",I53="High"),20,IF(AND(J53="High",I53="Very High"),20,IF(AND(J53="High",I53="High"),16,10)))))</f>
        <v/>
      </c>
      <c r="L53" s="21" t="n"/>
      <c r="M53" s="21" t="n"/>
      <c r="N53" s="22">
        <f>IF(OR(ISBLANK(L53),ISBLANK(M53)),"",IF(AND(M53="Critical",L53="Very High"),25,IF(AND(M53="Critical",L53="High"),20,IF(AND(M53="High",L53="Very High"),20,IF(AND(M53="High",L53="High"),16,10)))))</f>
        <v/>
      </c>
      <c r="O53" s="21" t="n"/>
      <c r="P53" s="21" t="n"/>
      <c r="Q53" s="21" t="n"/>
      <c r="R53" s="21" t="n"/>
      <c r="S53" s="21" t="n"/>
      <c r="T53" s="21" t="n"/>
      <c r="U53" s="22">
        <f>IF(ISBLANK(S53),"",S53+90)</f>
        <v/>
      </c>
    </row>
    <row r="54">
      <c r="A54" s="20" t="inlineStr">
        <is>
          <t>RISK-033</t>
        </is>
      </c>
      <c r="B54" s="21" t="n"/>
      <c r="C54" s="21" t="n"/>
      <c r="D54" s="21" t="n"/>
      <c r="E54" s="21" t="n"/>
      <c r="F54" s="21" t="n"/>
      <c r="G54" s="21" t="n"/>
      <c r="H54" s="21" t="n"/>
      <c r="I54" s="21" t="n"/>
      <c r="J54" s="21" t="n"/>
      <c r="K54" s="22">
        <f>IF(OR(ISBLANK(I54),ISBLANK(J54)),"",IF(AND(J54="Critical",I54="Very High"),25,IF(AND(J54="Critical",I54="High"),20,IF(AND(J54="High",I54="Very High"),20,IF(AND(J54="High",I54="High"),16,10)))))</f>
        <v/>
      </c>
      <c r="L54" s="21" t="n"/>
      <c r="M54" s="21" t="n"/>
      <c r="N54" s="22">
        <f>IF(OR(ISBLANK(L54),ISBLANK(M54)),"",IF(AND(M54="Critical",L54="Very High"),25,IF(AND(M54="Critical",L54="High"),20,IF(AND(M54="High",L54="Very High"),20,IF(AND(M54="High",L54="High"),16,10)))))</f>
        <v/>
      </c>
      <c r="O54" s="21" t="n"/>
      <c r="P54" s="21" t="n"/>
      <c r="Q54" s="21" t="n"/>
      <c r="R54" s="21" t="n"/>
      <c r="S54" s="21" t="n"/>
      <c r="T54" s="21" t="n"/>
      <c r="U54" s="22">
        <f>IF(ISBLANK(S54),"",S54+90)</f>
        <v/>
      </c>
    </row>
    <row r="55">
      <c r="A55" s="20" t="inlineStr">
        <is>
          <t>RISK-034</t>
        </is>
      </c>
      <c r="B55" s="21" t="n"/>
      <c r="C55" s="21" t="n"/>
      <c r="D55" s="21" t="n"/>
      <c r="E55" s="21" t="n"/>
      <c r="F55" s="21" t="n"/>
      <c r="G55" s="21" t="n"/>
      <c r="H55" s="21" t="n"/>
      <c r="I55" s="21" t="n"/>
      <c r="J55" s="21" t="n"/>
      <c r="K55" s="22">
        <f>IF(OR(ISBLANK(I55),ISBLANK(J55)),"",IF(AND(J55="Critical",I55="Very High"),25,IF(AND(J55="Critical",I55="High"),20,IF(AND(J55="High",I55="Very High"),20,IF(AND(J55="High",I55="High"),16,10)))))</f>
        <v/>
      </c>
      <c r="L55" s="21" t="n"/>
      <c r="M55" s="21" t="n"/>
      <c r="N55" s="22">
        <f>IF(OR(ISBLANK(L55),ISBLANK(M55)),"",IF(AND(M55="Critical",L55="Very High"),25,IF(AND(M55="Critical",L55="High"),20,IF(AND(M55="High",L55="Very High"),20,IF(AND(M55="High",L55="High"),16,10)))))</f>
        <v/>
      </c>
      <c r="O55" s="21" t="n"/>
      <c r="P55" s="21" t="n"/>
      <c r="Q55" s="21" t="n"/>
      <c r="R55" s="21" t="n"/>
      <c r="S55" s="21" t="n"/>
      <c r="T55" s="21" t="n"/>
      <c r="U55" s="22">
        <f>IF(ISBLANK(S55),"",S55+90)</f>
        <v/>
      </c>
    </row>
    <row r="56">
      <c r="A56" s="20" t="inlineStr">
        <is>
          <t>RISK-035</t>
        </is>
      </c>
      <c r="B56" s="21" t="n"/>
      <c r="C56" s="21" t="n"/>
      <c r="D56" s="21" t="n"/>
      <c r="E56" s="21" t="n"/>
      <c r="F56" s="21" t="n"/>
      <c r="G56" s="21" t="n"/>
      <c r="H56" s="21" t="n"/>
      <c r="I56" s="21" t="n"/>
      <c r="J56" s="21" t="n"/>
      <c r="K56" s="22">
        <f>IF(OR(ISBLANK(I56),ISBLANK(J56)),"",IF(AND(J56="Critical",I56="Very High"),25,IF(AND(J56="Critical",I56="High"),20,IF(AND(J56="High",I56="Very High"),20,IF(AND(J56="High",I56="High"),16,10)))))</f>
        <v/>
      </c>
      <c r="L56" s="21" t="n"/>
      <c r="M56" s="21" t="n"/>
      <c r="N56" s="22">
        <f>IF(OR(ISBLANK(L56),ISBLANK(M56)),"",IF(AND(M56="Critical",L56="Very High"),25,IF(AND(M56="Critical",L56="High"),20,IF(AND(M56="High",L56="Very High"),20,IF(AND(M56="High",L56="High"),16,10)))))</f>
        <v/>
      </c>
      <c r="O56" s="21" t="n"/>
      <c r="P56" s="21" t="n"/>
      <c r="Q56" s="21" t="n"/>
      <c r="R56" s="21" t="n"/>
      <c r="S56" s="21" t="n"/>
      <c r="T56" s="21" t="n"/>
      <c r="U56" s="22">
        <f>IF(ISBLANK(S56),"",S56+90)</f>
        <v/>
      </c>
    </row>
    <row r="57">
      <c r="A57" s="20" t="inlineStr">
        <is>
          <t>RISK-036</t>
        </is>
      </c>
      <c r="B57" s="21" t="n"/>
      <c r="C57" s="21" t="n"/>
      <c r="D57" s="21" t="n"/>
      <c r="E57" s="21" t="n"/>
      <c r="F57" s="21" t="n"/>
      <c r="G57" s="21" t="n"/>
      <c r="H57" s="21" t="n"/>
      <c r="I57" s="21" t="n"/>
      <c r="J57" s="21" t="n"/>
      <c r="K57" s="22">
        <f>IF(OR(ISBLANK(I57),ISBLANK(J57)),"",IF(AND(J57="Critical",I57="Very High"),25,IF(AND(J57="Critical",I57="High"),20,IF(AND(J57="High",I57="Very High"),20,IF(AND(J57="High",I57="High"),16,10)))))</f>
        <v/>
      </c>
      <c r="L57" s="21" t="n"/>
      <c r="M57" s="21" t="n"/>
      <c r="N57" s="22">
        <f>IF(OR(ISBLANK(L57),ISBLANK(M57)),"",IF(AND(M57="Critical",L57="Very High"),25,IF(AND(M57="Critical",L57="High"),20,IF(AND(M57="High",L57="Very High"),20,IF(AND(M57="High",L57="High"),16,10)))))</f>
        <v/>
      </c>
      <c r="O57" s="21" t="n"/>
      <c r="P57" s="21" t="n"/>
      <c r="Q57" s="21" t="n"/>
      <c r="R57" s="21" t="n"/>
      <c r="S57" s="21" t="n"/>
      <c r="T57" s="21" t="n"/>
      <c r="U57" s="22">
        <f>IF(ISBLANK(S57),"",S57+90)</f>
        <v/>
      </c>
    </row>
    <row r="58">
      <c r="A58" s="20" t="inlineStr">
        <is>
          <t>RISK-037</t>
        </is>
      </c>
      <c r="B58" s="21" t="n"/>
      <c r="C58" s="21" t="n"/>
      <c r="D58" s="21" t="n"/>
      <c r="E58" s="21" t="n"/>
      <c r="F58" s="21" t="n"/>
      <c r="G58" s="21" t="n"/>
      <c r="H58" s="21" t="n"/>
      <c r="I58" s="21" t="n"/>
      <c r="J58" s="21" t="n"/>
      <c r="K58" s="22">
        <f>IF(OR(ISBLANK(I58),ISBLANK(J58)),"",IF(AND(J58="Critical",I58="Very High"),25,IF(AND(J58="Critical",I58="High"),20,IF(AND(J58="High",I58="Very High"),20,IF(AND(J58="High",I58="High"),16,10)))))</f>
        <v/>
      </c>
      <c r="L58" s="21" t="n"/>
      <c r="M58" s="21" t="n"/>
      <c r="N58" s="22">
        <f>IF(OR(ISBLANK(L58),ISBLANK(M58)),"",IF(AND(M58="Critical",L58="Very High"),25,IF(AND(M58="Critical",L58="High"),20,IF(AND(M58="High",L58="Very High"),20,IF(AND(M58="High",L58="High"),16,10)))))</f>
        <v/>
      </c>
      <c r="O58" s="21" t="n"/>
      <c r="P58" s="21" t="n"/>
      <c r="Q58" s="21" t="n"/>
      <c r="R58" s="21" t="n"/>
      <c r="S58" s="21" t="n"/>
      <c r="T58" s="21" t="n"/>
      <c r="U58" s="22">
        <f>IF(ISBLANK(S58),"",S58+90)</f>
        <v/>
      </c>
    </row>
    <row r="59">
      <c r="A59" s="20" t="inlineStr">
        <is>
          <t>RISK-038</t>
        </is>
      </c>
      <c r="B59" s="21" t="n"/>
      <c r="C59" s="21" t="n"/>
      <c r="D59" s="21" t="n"/>
      <c r="E59" s="21" t="n"/>
      <c r="F59" s="21" t="n"/>
      <c r="G59" s="21" t="n"/>
      <c r="H59" s="21" t="n"/>
      <c r="I59" s="21" t="n"/>
      <c r="J59" s="21" t="n"/>
      <c r="K59" s="22">
        <f>IF(OR(ISBLANK(I59),ISBLANK(J59)),"",IF(AND(J59="Critical",I59="Very High"),25,IF(AND(J59="Critical",I59="High"),20,IF(AND(J59="High",I59="Very High"),20,IF(AND(J59="High",I59="High"),16,10)))))</f>
        <v/>
      </c>
      <c r="L59" s="21" t="n"/>
      <c r="M59" s="21" t="n"/>
      <c r="N59" s="22">
        <f>IF(OR(ISBLANK(L59),ISBLANK(M59)),"",IF(AND(M59="Critical",L59="Very High"),25,IF(AND(M59="Critical",L59="High"),20,IF(AND(M59="High",L59="Very High"),20,IF(AND(M59="High",L59="High"),16,10)))))</f>
        <v/>
      </c>
      <c r="O59" s="21" t="n"/>
      <c r="P59" s="21" t="n"/>
      <c r="Q59" s="21" t="n"/>
      <c r="R59" s="21" t="n"/>
      <c r="S59" s="21" t="n"/>
      <c r="T59" s="21" t="n"/>
      <c r="U59" s="22">
        <f>IF(ISBLANK(S59),"",S59+90)</f>
        <v/>
      </c>
    </row>
    <row r="60">
      <c r="A60" s="20" t="inlineStr">
        <is>
          <t>RISK-039</t>
        </is>
      </c>
      <c r="B60" s="21" t="n"/>
      <c r="C60" s="21" t="n"/>
      <c r="D60" s="21" t="n"/>
      <c r="E60" s="21" t="n"/>
      <c r="F60" s="21" t="n"/>
      <c r="G60" s="21" t="n"/>
      <c r="H60" s="21" t="n"/>
      <c r="I60" s="21" t="n"/>
      <c r="J60" s="21" t="n"/>
      <c r="K60" s="22">
        <f>IF(OR(ISBLANK(I60),ISBLANK(J60)),"",IF(AND(J60="Critical",I60="Very High"),25,IF(AND(J60="Critical",I60="High"),20,IF(AND(J60="High",I60="Very High"),20,IF(AND(J60="High",I60="High"),16,10)))))</f>
        <v/>
      </c>
      <c r="L60" s="21" t="n"/>
      <c r="M60" s="21" t="n"/>
      <c r="N60" s="22">
        <f>IF(OR(ISBLANK(L60),ISBLANK(M60)),"",IF(AND(M60="Critical",L60="Very High"),25,IF(AND(M60="Critical",L60="High"),20,IF(AND(M60="High",L60="Very High"),20,IF(AND(M60="High",L60="High"),16,10)))))</f>
        <v/>
      </c>
      <c r="O60" s="21" t="n"/>
      <c r="P60" s="21" t="n"/>
      <c r="Q60" s="21" t="n"/>
      <c r="R60" s="21" t="n"/>
      <c r="S60" s="21" t="n"/>
      <c r="T60" s="21" t="n"/>
      <c r="U60" s="22">
        <f>IF(ISBLANK(S60),"",S60+90)</f>
        <v/>
      </c>
    </row>
    <row r="61">
      <c r="A61" s="20" t="inlineStr">
        <is>
          <t>RISK-040</t>
        </is>
      </c>
      <c r="B61" s="21" t="n"/>
      <c r="C61" s="21" t="n"/>
      <c r="D61" s="21" t="n"/>
      <c r="E61" s="21" t="n"/>
      <c r="F61" s="21" t="n"/>
      <c r="G61" s="21" t="n"/>
      <c r="H61" s="21" t="n"/>
      <c r="I61" s="21" t="n"/>
      <c r="J61" s="21" t="n"/>
      <c r="K61" s="22">
        <f>IF(OR(ISBLANK(I61),ISBLANK(J61)),"",IF(AND(J61="Critical",I61="Very High"),25,IF(AND(J61="Critical",I61="High"),20,IF(AND(J61="High",I61="Very High"),20,IF(AND(J61="High",I61="High"),16,10)))))</f>
        <v/>
      </c>
      <c r="L61" s="21" t="n"/>
      <c r="M61" s="21" t="n"/>
      <c r="N61" s="22">
        <f>IF(OR(ISBLANK(L61),ISBLANK(M61)),"",IF(AND(M61="Critical",L61="Very High"),25,IF(AND(M61="Critical",L61="High"),20,IF(AND(M61="High",L61="Very High"),20,IF(AND(M61="High",L61="High"),16,10)))))</f>
        <v/>
      </c>
      <c r="O61" s="21" t="n"/>
      <c r="P61" s="21" t="n"/>
      <c r="Q61" s="21" t="n"/>
      <c r="R61" s="21" t="n"/>
      <c r="S61" s="21" t="n"/>
      <c r="T61" s="21" t="n"/>
      <c r="U61" s="22">
        <f>IF(ISBLANK(S61),"",S61+90)</f>
        <v/>
      </c>
    </row>
    <row r="62">
      <c r="A62" s="20" t="inlineStr">
        <is>
          <t>RISK-041</t>
        </is>
      </c>
      <c r="B62" s="21" t="n"/>
      <c r="C62" s="21" t="n"/>
      <c r="D62" s="21" t="n"/>
      <c r="E62" s="21" t="n"/>
      <c r="F62" s="21" t="n"/>
      <c r="G62" s="21" t="n"/>
      <c r="H62" s="21" t="n"/>
      <c r="I62" s="21" t="n"/>
      <c r="J62" s="21" t="n"/>
      <c r="K62" s="22">
        <f>IF(OR(ISBLANK(I62),ISBLANK(J62)),"",IF(AND(J62="Critical",I62="Very High"),25,IF(AND(J62="Critical",I62="High"),20,IF(AND(J62="High",I62="Very High"),20,IF(AND(J62="High",I62="High"),16,10)))))</f>
        <v/>
      </c>
      <c r="L62" s="21" t="n"/>
      <c r="M62" s="21" t="n"/>
      <c r="N62" s="22">
        <f>IF(OR(ISBLANK(L62),ISBLANK(M62)),"",IF(AND(M62="Critical",L62="Very High"),25,IF(AND(M62="Critical",L62="High"),20,IF(AND(M62="High",L62="Very High"),20,IF(AND(M62="High",L62="High"),16,10)))))</f>
        <v/>
      </c>
      <c r="O62" s="21" t="n"/>
      <c r="P62" s="21" t="n"/>
      <c r="Q62" s="21" t="n"/>
      <c r="R62" s="21" t="n"/>
      <c r="S62" s="21" t="n"/>
      <c r="T62" s="21" t="n"/>
      <c r="U62" s="22">
        <f>IF(ISBLANK(S62),"",S62+90)</f>
        <v/>
      </c>
    </row>
    <row r="63">
      <c r="A63" s="20" t="inlineStr">
        <is>
          <t>RISK-042</t>
        </is>
      </c>
      <c r="B63" s="21" t="n"/>
      <c r="C63" s="21" t="n"/>
      <c r="D63" s="21" t="n"/>
      <c r="E63" s="21" t="n"/>
      <c r="F63" s="21" t="n"/>
      <c r="G63" s="21" t="n"/>
      <c r="H63" s="21" t="n"/>
      <c r="I63" s="21" t="n"/>
      <c r="J63" s="21" t="n"/>
      <c r="K63" s="22">
        <f>IF(OR(ISBLANK(I63),ISBLANK(J63)),"",IF(AND(J63="Critical",I63="Very High"),25,IF(AND(J63="Critical",I63="High"),20,IF(AND(J63="High",I63="Very High"),20,IF(AND(J63="High",I63="High"),16,10)))))</f>
        <v/>
      </c>
      <c r="L63" s="21" t="n"/>
      <c r="M63" s="21" t="n"/>
      <c r="N63" s="22">
        <f>IF(OR(ISBLANK(L63),ISBLANK(M63)),"",IF(AND(M63="Critical",L63="Very High"),25,IF(AND(M63="Critical",L63="High"),20,IF(AND(M63="High",L63="Very High"),20,IF(AND(M63="High",L63="High"),16,10)))))</f>
        <v/>
      </c>
      <c r="O63" s="21" t="n"/>
      <c r="P63" s="21" t="n"/>
      <c r="Q63" s="21" t="n"/>
      <c r="R63" s="21" t="n"/>
      <c r="S63" s="21" t="n"/>
      <c r="T63" s="21" t="n"/>
      <c r="U63" s="22">
        <f>IF(ISBLANK(S63),"",S63+90)</f>
        <v/>
      </c>
    </row>
    <row r="64">
      <c r="A64" s="20" t="inlineStr">
        <is>
          <t>RISK-043</t>
        </is>
      </c>
      <c r="B64" s="21" t="n"/>
      <c r="C64" s="21" t="n"/>
      <c r="D64" s="21" t="n"/>
      <c r="E64" s="21" t="n"/>
      <c r="F64" s="21" t="n"/>
      <c r="G64" s="21" t="n"/>
      <c r="H64" s="21" t="n"/>
      <c r="I64" s="21" t="n"/>
      <c r="J64" s="21" t="n"/>
      <c r="K64" s="22">
        <f>IF(OR(ISBLANK(I64),ISBLANK(J64)),"",IF(AND(J64="Critical",I64="Very High"),25,IF(AND(J64="Critical",I64="High"),20,IF(AND(J64="High",I64="Very High"),20,IF(AND(J64="High",I64="High"),16,10)))))</f>
        <v/>
      </c>
      <c r="L64" s="21" t="n"/>
      <c r="M64" s="21" t="n"/>
      <c r="N64" s="22">
        <f>IF(OR(ISBLANK(L64),ISBLANK(M64)),"",IF(AND(M64="Critical",L64="Very High"),25,IF(AND(M64="Critical",L64="High"),20,IF(AND(M64="High",L64="Very High"),20,IF(AND(M64="High",L64="High"),16,10)))))</f>
        <v/>
      </c>
      <c r="O64" s="21" t="n"/>
      <c r="P64" s="21" t="n"/>
      <c r="Q64" s="21" t="n"/>
      <c r="R64" s="21" t="n"/>
      <c r="S64" s="21" t="n"/>
      <c r="T64" s="21" t="n"/>
      <c r="U64" s="22">
        <f>IF(ISBLANK(S64),"",S64+90)</f>
        <v/>
      </c>
    </row>
    <row r="65">
      <c r="A65" s="20" t="inlineStr">
        <is>
          <t>RISK-044</t>
        </is>
      </c>
      <c r="B65" s="21" t="n"/>
      <c r="C65" s="21" t="n"/>
      <c r="D65" s="21" t="n"/>
      <c r="E65" s="21" t="n"/>
      <c r="F65" s="21" t="n"/>
      <c r="G65" s="21" t="n"/>
      <c r="H65" s="21" t="n"/>
      <c r="I65" s="21" t="n"/>
      <c r="J65" s="21" t="n"/>
      <c r="K65" s="22">
        <f>IF(OR(ISBLANK(I65),ISBLANK(J65)),"",IF(AND(J65="Critical",I65="Very High"),25,IF(AND(J65="Critical",I65="High"),20,IF(AND(J65="High",I65="Very High"),20,IF(AND(J65="High",I65="High"),16,10)))))</f>
        <v/>
      </c>
      <c r="L65" s="21" t="n"/>
      <c r="M65" s="21" t="n"/>
      <c r="N65" s="22">
        <f>IF(OR(ISBLANK(L65),ISBLANK(M65)),"",IF(AND(M65="Critical",L65="Very High"),25,IF(AND(M65="Critical",L65="High"),20,IF(AND(M65="High",L65="Very High"),20,IF(AND(M65="High",L65="High"),16,10)))))</f>
        <v/>
      </c>
      <c r="O65" s="21" t="n"/>
      <c r="P65" s="21" t="n"/>
      <c r="Q65" s="21" t="n"/>
      <c r="R65" s="21" t="n"/>
      <c r="S65" s="21" t="n"/>
      <c r="T65" s="21" t="n"/>
      <c r="U65" s="22">
        <f>IF(ISBLANK(S65),"",S65+90)</f>
        <v/>
      </c>
    </row>
    <row r="66">
      <c r="A66" s="20" t="inlineStr">
        <is>
          <t>RISK-045</t>
        </is>
      </c>
      <c r="B66" s="21" t="n"/>
      <c r="C66" s="21" t="n"/>
      <c r="D66" s="21" t="n"/>
      <c r="E66" s="21" t="n"/>
      <c r="F66" s="21" t="n"/>
      <c r="G66" s="21" t="n"/>
      <c r="H66" s="21" t="n"/>
      <c r="I66" s="21" t="n"/>
      <c r="J66" s="21" t="n"/>
      <c r="K66" s="22">
        <f>IF(OR(ISBLANK(I66),ISBLANK(J66)),"",IF(AND(J66="Critical",I66="Very High"),25,IF(AND(J66="Critical",I66="High"),20,IF(AND(J66="High",I66="Very High"),20,IF(AND(J66="High",I66="High"),16,10)))))</f>
        <v/>
      </c>
      <c r="L66" s="21" t="n"/>
      <c r="M66" s="21" t="n"/>
      <c r="N66" s="22">
        <f>IF(OR(ISBLANK(L66),ISBLANK(M66)),"",IF(AND(M66="Critical",L66="Very High"),25,IF(AND(M66="Critical",L66="High"),20,IF(AND(M66="High",L66="Very High"),20,IF(AND(M66="High",L66="High"),16,10)))))</f>
        <v/>
      </c>
      <c r="O66" s="21" t="n"/>
      <c r="P66" s="21" t="n"/>
      <c r="Q66" s="21" t="n"/>
      <c r="R66" s="21" t="n"/>
      <c r="S66" s="21" t="n"/>
      <c r="T66" s="21" t="n"/>
      <c r="U66" s="22">
        <f>IF(ISBLANK(S66),"",S66+90)</f>
        <v/>
      </c>
    </row>
    <row r="67">
      <c r="A67" s="20" t="inlineStr">
        <is>
          <t>RISK-046</t>
        </is>
      </c>
      <c r="B67" s="21" t="n"/>
      <c r="C67" s="21" t="n"/>
      <c r="D67" s="21" t="n"/>
      <c r="E67" s="21" t="n"/>
      <c r="F67" s="21" t="n"/>
      <c r="G67" s="21" t="n"/>
      <c r="H67" s="21" t="n"/>
      <c r="I67" s="21" t="n"/>
      <c r="J67" s="21" t="n"/>
      <c r="K67" s="22">
        <f>IF(OR(ISBLANK(I67),ISBLANK(J67)),"",IF(AND(J67="Critical",I67="Very High"),25,IF(AND(J67="Critical",I67="High"),20,IF(AND(J67="High",I67="Very High"),20,IF(AND(J67="High",I67="High"),16,10)))))</f>
        <v/>
      </c>
      <c r="L67" s="21" t="n"/>
      <c r="M67" s="21" t="n"/>
      <c r="N67" s="22">
        <f>IF(OR(ISBLANK(L67),ISBLANK(M67)),"",IF(AND(M67="Critical",L67="Very High"),25,IF(AND(M67="Critical",L67="High"),20,IF(AND(M67="High",L67="Very High"),20,IF(AND(M67="High",L67="High"),16,10)))))</f>
        <v/>
      </c>
      <c r="O67" s="21" t="n"/>
      <c r="P67" s="21" t="n"/>
      <c r="Q67" s="21" t="n"/>
      <c r="R67" s="21" t="n"/>
      <c r="S67" s="21" t="n"/>
      <c r="T67" s="21" t="n"/>
      <c r="U67" s="22">
        <f>IF(ISBLANK(S67),"",S67+90)</f>
        <v/>
      </c>
    </row>
    <row r="68">
      <c r="A68" s="20" t="inlineStr">
        <is>
          <t>RISK-047</t>
        </is>
      </c>
      <c r="B68" s="21" t="n"/>
      <c r="C68" s="21" t="n"/>
      <c r="D68" s="21" t="n"/>
      <c r="E68" s="21" t="n"/>
      <c r="F68" s="21" t="n"/>
      <c r="G68" s="21" t="n"/>
      <c r="H68" s="21" t="n"/>
      <c r="I68" s="21" t="n"/>
      <c r="J68" s="21" t="n"/>
      <c r="K68" s="22">
        <f>IF(OR(ISBLANK(I68),ISBLANK(J68)),"",IF(AND(J68="Critical",I68="Very High"),25,IF(AND(J68="Critical",I68="High"),20,IF(AND(J68="High",I68="Very High"),20,IF(AND(J68="High",I68="High"),16,10)))))</f>
        <v/>
      </c>
      <c r="L68" s="21" t="n"/>
      <c r="M68" s="21" t="n"/>
      <c r="N68" s="22">
        <f>IF(OR(ISBLANK(L68),ISBLANK(M68)),"",IF(AND(M68="Critical",L68="Very High"),25,IF(AND(M68="Critical",L68="High"),20,IF(AND(M68="High",L68="Very High"),20,IF(AND(M68="High",L68="High"),16,10)))))</f>
        <v/>
      </c>
      <c r="O68" s="21" t="n"/>
      <c r="P68" s="21" t="n"/>
      <c r="Q68" s="21" t="n"/>
      <c r="R68" s="21" t="n"/>
      <c r="S68" s="21" t="n"/>
      <c r="T68" s="21" t="n"/>
      <c r="U68" s="22">
        <f>IF(ISBLANK(S68),"",S68+90)</f>
        <v/>
      </c>
    </row>
    <row r="69">
      <c r="A69" s="20" t="inlineStr">
        <is>
          <t>RISK-048</t>
        </is>
      </c>
      <c r="B69" s="21" t="n"/>
      <c r="C69" s="21" t="n"/>
      <c r="D69" s="21" t="n"/>
      <c r="E69" s="21" t="n"/>
      <c r="F69" s="21" t="n"/>
      <c r="G69" s="21" t="n"/>
      <c r="H69" s="21" t="n"/>
      <c r="I69" s="21" t="n"/>
      <c r="J69" s="21" t="n"/>
      <c r="K69" s="22">
        <f>IF(OR(ISBLANK(I69),ISBLANK(J69)),"",IF(AND(J69="Critical",I69="Very High"),25,IF(AND(J69="Critical",I69="High"),20,IF(AND(J69="High",I69="Very High"),20,IF(AND(J69="High",I69="High"),16,10)))))</f>
        <v/>
      </c>
      <c r="L69" s="21" t="n"/>
      <c r="M69" s="21" t="n"/>
      <c r="N69" s="22">
        <f>IF(OR(ISBLANK(L69),ISBLANK(M69)),"",IF(AND(M69="Critical",L69="Very High"),25,IF(AND(M69="Critical",L69="High"),20,IF(AND(M69="High",L69="Very High"),20,IF(AND(M69="High",L69="High"),16,10)))))</f>
        <v/>
      </c>
      <c r="O69" s="21" t="n"/>
      <c r="P69" s="21" t="n"/>
      <c r="Q69" s="21" t="n"/>
      <c r="R69" s="21" t="n"/>
      <c r="S69" s="21" t="n"/>
      <c r="T69" s="21" t="n"/>
      <c r="U69" s="22">
        <f>IF(ISBLANK(S69),"",S69+90)</f>
        <v/>
      </c>
    </row>
    <row r="70">
      <c r="A70" s="20" t="inlineStr">
        <is>
          <t>RISK-049</t>
        </is>
      </c>
      <c r="B70" s="21" t="n"/>
      <c r="C70" s="21" t="n"/>
      <c r="D70" s="21" t="n"/>
      <c r="E70" s="21" t="n"/>
      <c r="F70" s="21" t="n"/>
      <c r="G70" s="21" t="n"/>
      <c r="H70" s="21" t="n"/>
      <c r="I70" s="21" t="n"/>
      <c r="J70" s="21" t="n"/>
      <c r="K70" s="22">
        <f>IF(OR(ISBLANK(I70),ISBLANK(J70)),"",IF(AND(J70="Critical",I70="Very High"),25,IF(AND(J70="Critical",I70="High"),20,IF(AND(J70="High",I70="Very High"),20,IF(AND(J70="High",I70="High"),16,10)))))</f>
        <v/>
      </c>
      <c r="L70" s="21" t="n"/>
      <c r="M70" s="21" t="n"/>
      <c r="N70" s="22">
        <f>IF(OR(ISBLANK(L70),ISBLANK(M70)),"",IF(AND(M70="Critical",L70="Very High"),25,IF(AND(M70="Critical",L70="High"),20,IF(AND(M70="High",L70="Very High"),20,IF(AND(M70="High",L70="High"),16,10)))))</f>
        <v/>
      </c>
      <c r="O70" s="21" t="n"/>
      <c r="P70" s="21" t="n"/>
      <c r="Q70" s="21" t="n"/>
      <c r="R70" s="21" t="n"/>
      <c r="S70" s="21" t="n"/>
      <c r="T70" s="21" t="n"/>
      <c r="U70" s="22">
        <f>IF(ISBLANK(S70),"",S70+90)</f>
        <v/>
      </c>
    </row>
    <row r="71">
      <c r="A71" s="20" t="inlineStr">
        <is>
          <t>RISK-050</t>
        </is>
      </c>
      <c r="B71" s="21" t="n"/>
      <c r="C71" s="21" t="n"/>
      <c r="D71" s="21" t="n"/>
      <c r="E71" s="21" t="n"/>
      <c r="F71" s="21" t="n"/>
      <c r="G71" s="21" t="n"/>
      <c r="H71" s="21" t="n"/>
      <c r="I71" s="21" t="n"/>
      <c r="J71" s="21" t="n"/>
      <c r="K71" s="22">
        <f>IF(OR(ISBLANK(I71),ISBLANK(J71)),"",IF(AND(J71="Critical",I71="Very High"),25,IF(AND(J71="Critical",I71="High"),20,IF(AND(J71="High",I71="Very High"),20,IF(AND(J71="High",I71="High"),16,10)))))</f>
        <v/>
      </c>
      <c r="L71" s="21" t="n"/>
      <c r="M71" s="21" t="n"/>
      <c r="N71" s="22">
        <f>IF(OR(ISBLANK(L71),ISBLANK(M71)),"",IF(AND(M71="Critical",L71="Very High"),25,IF(AND(M71="Critical",L71="High"),20,IF(AND(M71="High",L71="Very High"),20,IF(AND(M71="High",L71="High"),16,10)))))</f>
        <v/>
      </c>
      <c r="O71" s="21" t="n"/>
      <c r="P71" s="21" t="n"/>
      <c r="Q71" s="21" t="n"/>
      <c r="R71" s="21" t="n"/>
      <c r="S71" s="21" t="n"/>
      <c r="T71" s="21" t="n"/>
      <c r="U71" s="22">
        <f>IF(ISBLANK(S71),"",S71+90)</f>
        <v/>
      </c>
    </row>
    <row r="72">
      <c r="A72" s="20" t="inlineStr">
        <is>
          <t>RISK-051</t>
        </is>
      </c>
      <c r="B72" s="21" t="n"/>
      <c r="C72" s="21" t="n"/>
      <c r="D72" s="21" t="n"/>
      <c r="E72" s="21" t="n"/>
      <c r="F72" s="21" t="n"/>
      <c r="G72" s="21" t="n"/>
      <c r="H72" s="21" t="n"/>
      <c r="I72" s="21" t="n"/>
      <c r="J72" s="21" t="n"/>
      <c r="K72" s="22">
        <f>IF(OR(ISBLANK(I72),ISBLANK(J72)),"",IF(AND(J72="Critical",I72="Very High"),25,IF(AND(J72="Critical",I72="High"),20,IF(AND(J72="High",I72="Very High"),20,IF(AND(J72="High",I72="High"),16,10)))))</f>
        <v/>
      </c>
      <c r="L72" s="21" t="n"/>
      <c r="M72" s="21" t="n"/>
      <c r="N72" s="22">
        <f>IF(OR(ISBLANK(L72),ISBLANK(M72)),"",IF(AND(M72="Critical",L72="Very High"),25,IF(AND(M72="Critical",L72="High"),20,IF(AND(M72="High",L72="Very High"),20,IF(AND(M72="High",L72="High"),16,10)))))</f>
        <v/>
      </c>
      <c r="O72" s="21" t="n"/>
      <c r="P72" s="21" t="n"/>
      <c r="Q72" s="21" t="n"/>
      <c r="R72" s="21" t="n"/>
      <c r="S72" s="21" t="n"/>
      <c r="T72" s="21" t="n"/>
      <c r="U72" s="22">
        <f>IF(ISBLANK(S72),"",S72+90)</f>
        <v/>
      </c>
    </row>
    <row r="73">
      <c r="A73" s="20" t="inlineStr">
        <is>
          <t>RISK-052</t>
        </is>
      </c>
      <c r="B73" s="21" t="n"/>
      <c r="C73" s="21" t="n"/>
      <c r="D73" s="21" t="n"/>
      <c r="E73" s="21" t="n"/>
      <c r="F73" s="21" t="n"/>
      <c r="G73" s="21" t="n"/>
      <c r="H73" s="21" t="n"/>
      <c r="I73" s="21" t="n"/>
      <c r="J73" s="21" t="n"/>
      <c r="K73" s="22">
        <f>IF(OR(ISBLANK(I73),ISBLANK(J73)),"",IF(AND(J73="Critical",I73="Very High"),25,IF(AND(J73="Critical",I73="High"),20,IF(AND(J73="High",I73="Very High"),20,IF(AND(J73="High",I73="High"),16,10)))))</f>
        <v/>
      </c>
      <c r="L73" s="21" t="n"/>
      <c r="M73" s="21" t="n"/>
      <c r="N73" s="22">
        <f>IF(OR(ISBLANK(L73),ISBLANK(M73)),"",IF(AND(M73="Critical",L73="Very High"),25,IF(AND(M73="Critical",L73="High"),20,IF(AND(M73="High",L73="Very High"),20,IF(AND(M73="High",L73="High"),16,10)))))</f>
        <v/>
      </c>
      <c r="O73" s="21" t="n"/>
      <c r="P73" s="21" t="n"/>
      <c r="Q73" s="21" t="n"/>
      <c r="R73" s="21" t="n"/>
      <c r="S73" s="21" t="n"/>
      <c r="T73" s="21" t="n"/>
      <c r="U73" s="22">
        <f>IF(ISBLANK(S73),"",S73+90)</f>
        <v/>
      </c>
    </row>
    <row r="74">
      <c r="A74" s="20" t="inlineStr">
        <is>
          <t>RISK-053</t>
        </is>
      </c>
      <c r="B74" s="21" t="n"/>
      <c r="C74" s="21" t="n"/>
      <c r="D74" s="21" t="n"/>
      <c r="E74" s="21" t="n"/>
      <c r="F74" s="21" t="n"/>
      <c r="G74" s="21" t="n"/>
      <c r="H74" s="21" t="n"/>
      <c r="I74" s="21" t="n"/>
      <c r="J74" s="21" t="n"/>
      <c r="K74" s="22">
        <f>IF(OR(ISBLANK(I74),ISBLANK(J74)),"",IF(AND(J74="Critical",I74="Very High"),25,IF(AND(J74="Critical",I74="High"),20,IF(AND(J74="High",I74="Very High"),20,IF(AND(J74="High",I74="High"),16,10)))))</f>
        <v/>
      </c>
      <c r="L74" s="21" t="n"/>
      <c r="M74" s="21" t="n"/>
      <c r="N74" s="22">
        <f>IF(OR(ISBLANK(L74),ISBLANK(M74)),"",IF(AND(M74="Critical",L74="Very High"),25,IF(AND(M74="Critical",L74="High"),20,IF(AND(M74="High",L74="Very High"),20,IF(AND(M74="High",L74="High"),16,10)))))</f>
        <v/>
      </c>
      <c r="O74" s="21" t="n"/>
      <c r="P74" s="21" t="n"/>
      <c r="Q74" s="21" t="n"/>
      <c r="R74" s="21" t="n"/>
      <c r="S74" s="21" t="n"/>
      <c r="T74" s="21" t="n"/>
      <c r="U74" s="22">
        <f>IF(ISBLANK(S74),"",S74+90)</f>
        <v/>
      </c>
    </row>
    <row r="75">
      <c r="A75" s="20" t="inlineStr">
        <is>
          <t>RISK-054</t>
        </is>
      </c>
      <c r="B75" s="21" t="n"/>
      <c r="C75" s="21" t="n"/>
      <c r="D75" s="21" t="n"/>
      <c r="E75" s="21" t="n"/>
      <c r="F75" s="21" t="n"/>
      <c r="G75" s="21" t="n"/>
      <c r="H75" s="21" t="n"/>
      <c r="I75" s="21" t="n"/>
      <c r="J75" s="21" t="n"/>
      <c r="K75" s="22">
        <f>IF(OR(ISBLANK(I75),ISBLANK(J75)),"",IF(AND(J75="Critical",I75="Very High"),25,IF(AND(J75="Critical",I75="High"),20,IF(AND(J75="High",I75="Very High"),20,IF(AND(J75="High",I75="High"),16,10)))))</f>
        <v/>
      </c>
      <c r="L75" s="21" t="n"/>
      <c r="M75" s="21" t="n"/>
      <c r="N75" s="22">
        <f>IF(OR(ISBLANK(L75),ISBLANK(M75)),"",IF(AND(M75="Critical",L75="Very High"),25,IF(AND(M75="Critical",L75="High"),20,IF(AND(M75="High",L75="Very High"),20,IF(AND(M75="High",L75="High"),16,10)))))</f>
        <v/>
      </c>
      <c r="O75" s="21" t="n"/>
      <c r="P75" s="21" t="n"/>
      <c r="Q75" s="21" t="n"/>
      <c r="R75" s="21" t="n"/>
      <c r="S75" s="21" t="n"/>
      <c r="T75" s="21" t="n"/>
      <c r="U75" s="22">
        <f>IF(ISBLANK(S75),"",S75+90)</f>
        <v/>
      </c>
    </row>
    <row r="76">
      <c r="A76" s="20" t="inlineStr">
        <is>
          <t>RISK-055</t>
        </is>
      </c>
      <c r="B76" s="21" t="n"/>
      <c r="C76" s="21" t="n"/>
      <c r="D76" s="21" t="n"/>
      <c r="E76" s="21" t="n"/>
      <c r="F76" s="21" t="n"/>
      <c r="G76" s="21" t="n"/>
      <c r="H76" s="21" t="n"/>
      <c r="I76" s="21" t="n"/>
      <c r="J76" s="21" t="n"/>
      <c r="K76" s="22">
        <f>IF(OR(ISBLANK(I76),ISBLANK(J76)),"",IF(AND(J76="Critical",I76="Very High"),25,IF(AND(J76="Critical",I76="High"),20,IF(AND(J76="High",I76="Very High"),20,IF(AND(J76="High",I76="High"),16,10)))))</f>
        <v/>
      </c>
      <c r="L76" s="21" t="n"/>
      <c r="M76" s="21" t="n"/>
      <c r="N76" s="22">
        <f>IF(OR(ISBLANK(L76),ISBLANK(M76)),"",IF(AND(M76="Critical",L76="Very High"),25,IF(AND(M76="Critical",L76="High"),20,IF(AND(M76="High",L76="Very High"),20,IF(AND(M76="High",L76="High"),16,10)))))</f>
        <v/>
      </c>
      <c r="O76" s="21" t="n"/>
      <c r="P76" s="21" t="n"/>
      <c r="Q76" s="21" t="n"/>
      <c r="R76" s="21" t="n"/>
      <c r="S76" s="21" t="n"/>
      <c r="T76" s="21" t="n"/>
      <c r="U76" s="22">
        <f>IF(ISBLANK(S76),"",S76+90)</f>
        <v/>
      </c>
    </row>
    <row r="77">
      <c r="A77" s="20" t="inlineStr">
        <is>
          <t>RISK-056</t>
        </is>
      </c>
      <c r="B77" s="21" t="n"/>
      <c r="C77" s="21" t="n"/>
      <c r="D77" s="21" t="n"/>
      <c r="E77" s="21" t="n"/>
      <c r="F77" s="21" t="n"/>
      <c r="G77" s="21" t="n"/>
      <c r="H77" s="21" t="n"/>
      <c r="I77" s="21" t="n"/>
      <c r="J77" s="21" t="n"/>
      <c r="K77" s="22">
        <f>IF(OR(ISBLANK(I77),ISBLANK(J77)),"",IF(AND(J77="Critical",I77="Very High"),25,IF(AND(J77="Critical",I77="High"),20,IF(AND(J77="High",I77="Very High"),20,IF(AND(J77="High",I77="High"),16,10)))))</f>
        <v/>
      </c>
      <c r="L77" s="21" t="n"/>
      <c r="M77" s="21" t="n"/>
      <c r="N77" s="22">
        <f>IF(OR(ISBLANK(L77),ISBLANK(M77)),"",IF(AND(M77="Critical",L77="Very High"),25,IF(AND(M77="Critical",L77="High"),20,IF(AND(M77="High",L77="Very High"),20,IF(AND(M77="High",L77="High"),16,10)))))</f>
        <v/>
      </c>
      <c r="O77" s="21" t="n"/>
      <c r="P77" s="21" t="n"/>
      <c r="Q77" s="21" t="n"/>
      <c r="R77" s="21" t="n"/>
      <c r="S77" s="21" t="n"/>
      <c r="T77" s="21" t="n"/>
      <c r="U77" s="22">
        <f>IF(ISBLANK(S77),"",S77+90)</f>
        <v/>
      </c>
    </row>
    <row r="78">
      <c r="A78" s="20" t="inlineStr">
        <is>
          <t>RISK-057</t>
        </is>
      </c>
      <c r="B78" s="21" t="n"/>
      <c r="C78" s="21" t="n"/>
      <c r="D78" s="21" t="n"/>
      <c r="E78" s="21" t="n"/>
      <c r="F78" s="21" t="n"/>
      <c r="G78" s="21" t="n"/>
      <c r="H78" s="21" t="n"/>
      <c r="I78" s="21" t="n"/>
      <c r="J78" s="21" t="n"/>
      <c r="K78" s="22">
        <f>IF(OR(ISBLANK(I78),ISBLANK(J78)),"",IF(AND(J78="Critical",I78="Very High"),25,IF(AND(J78="Critical",I78="High"),20,IF(AND(J78="High",I78="Very High"),20,IF(AND(J78="High",I78="High"),16,10)))))</f>
        <v/>
      </c>
      <c r="L78" s="21" t="n"/>
      <c r="M78" s="21" t="n"/>
      <c r="N78" s="22">
        <f>IF(OR(ISBLANK(L78),ISBLANK(M78)),"",IF(AND(M78="Critical",L78="Very High"),25,IF(AND(M78="Critical",L78="High"),20,IF(AND(M78="High",L78="Very High"),20,IF(AND(M78="High",L78="High"),16,10)))))</f>
        <v/>
      </c>
      <c r="O78" s="21" t="n"/>
      <c r="P78" s="21" t="n"/>
      <c r="Q78" s="21" t="n"/>
      <c r="R78" s="21" t="n"/>
      <c r="S78" s="21" t="n"/>
      <c r="T78" s="21" t="n"/>
      <c r="U78" s="22">
        <f>IF(ISBLANK(S78),"",S78+90)</f>
        <v/>
      </c>
    </row>
    <row r="79">
      <c r="A79" s="20" t="inlineStr">
        <is>
          <t>RISK-058</t>
        </is>
      </c>
      <c r="B79" s="21" t="n"/>
      <c r="C79" s="21" t="n"/>
      <c r="D79" s="21" t="n"/>
      <c r="E79" s="21" t="n"/>
      <c r="F79" s="21" t="n"/>
      <c r="G79" s="21" t="n"/>
      <c r="H79" s="21" t="n"/>
      <c r="I79" s="21" t="n"/>
      <c r="J79" s="21" t="n"/>
      <c r="K79" s="22">
        <f>IF(OR(ISBLANK(I79),ISBLANK(J79)),"",IF(AND(J79="Critical",I79="Very High"),25,IF(AND(J79="Critical",I79="High"),20,IF(AND(J79="High",I79="Very High"),20,IF(AND(J79="High",I79="High"),16,10)))))</f>
        <v/>
      </c>
      <c r="L79" s="21" t="n"/>
      <c r="M79" s="21" t="n"/>
      <c r="N79" s="22">
        <f>IF(OR(ISBLANK(L79),ISBLANK(M79)),"",IF(AND(M79="Critical",L79="Very High"),25,IF(AND(M79="Critical",L79="High"),20,IF(AND(M79="High",L79="Very High"),20,IF(AND(M79="High",L79="High"),16,10)))))</f>
        <v/>
      </c>
      <c r="O79" s="21" t="n"/>
      <c r="P79" s="21" t="n"/>
      <c r="Q79" s="21" t="n"/>
      <c r="R79" s="21" t="n"/>
      <c r="S79" s="21" t="n"/>
      <c r="T79" s="21" t="n"/>
      <c r="U79" s="22">
        <f>IF(ISBLANK(S79),"",S79+90)</f>
        <v/>
      </c>
    </row>
    <row r="80">
      <c r="A80" s="20" t="inlineStr">
        <is>
          <t>RISK-059</t>
        </is>
      </c>
      <c r="B80" s="21" t="n"/>
      <c r="C80" s="21" t="n"/>
      <c r="D80" s="21" t="n"/>
      <c r="E80" s="21" t="n"/>
      <c r="F80" s="21" t="n"/>
      <c r="G80" s="21" t="n"/>
      <c r="H80" s="21" t="n"/>
      <c r="I80" s="21" t="n"/>
      <c r="J80" s="21" t="n"/>
      <c r="K80" s="22">
        <f>IF(OR(ISBLANK(I80),ISBLANK(J80)),"",IF(AND(J80="Critical",I80="Very High"),25,IF(AND(J80="Critical",I80="High"),20,IF(AND(J80="High",I80="Very High"),20,IF(AND(J80="High",I80="High"),16,10)))))</f>
        <v/>
      </c>
      <c r="L80" s="21" t="n"/>
      <c r="M80" s="21" t="n"/>
      <c r="N80" s="22">
        <f>IF(OR(ISBLANK(L80),ISBLANK(M80)),"",IF(AND(M80="Critical",L80="Very High"),25,IF(AND(M80="Critical",L80="High"),20,IF(AND(M80="High",L80="Very High"),20,IF(AND(M80="High",L80="High"),16,10)))))</f>
        <v/>
      </c>
      <c r="O80" s="21" t="n"/>
      <c r="P80" s="21" t="n"/>
      <c r="Q80" s="21" t="n"/>
      <c r="R80" s="21" t="n"/>
      <c r="S80" s="21" t="n"/>
      <c r="T80" s="21" t="n"/>
      <c r="U80" s="22">
        <f>IF(ISBLANK(S80),"",S80+90)</f>
        <v/>
      </c>
    </row>
    <row r="81">
      <c r="A81" s="20" t="inlineStr">
        <is>
          <t>RISK-060</t>
        </is>
      </c>
      <c r="B81" s="21" t="n"/>
      <c r="C81" s="21" t="n"/>
      <c r="D81" s="21" t="n"/>
      <c r="E81" s="21" t="n"/>
      <c r="F81" s="21" t="n"/>
      <c r="G81" s="21" t="n"/>
      <c r="H81" s="21" t="n"/>
      <c r="I81" s="21" t="n"/>
      <c r="J81" s="21" t="n"/>
      <c r="K81" s="22">
        <f>IF(OR(ISBLANK(I81),ISBLANK(J81)),"",IF(AND(J81="Critical",I81="Very High"),25,IF(AND(J81="Critical",I81="High"),20,IF(AND(J81="High",I81="Very High"),20,IF(AND(J81="High",I81="High"),16,10)))))</f>
        <v/>
      </c>
      <c r="L81" s="21" t="n"/>
      <c r="M81" s="21" t="n"/>
      <c r="N81" s="22">
        <f>IF(OR(ISBLANK(L81),ISBLANK(M81)),"",IF(AND(M81="Critical",L81="Very High"),25,IF(AND(M81="Critical",L81="High"),20,IF(AND(M81="High",L81="Very High"),20,IF(AND(M81="High",L81="High"),16,10)))))</f>
        <v/>
      </c>
      <c r="O81" s="21" t="n"/>
      <c r="P81" s="21" t="n"/>
      <c r="Q81" s="21" t="n"/>
      <c r="R81" s="21" t="n"/>
      <c r="S81" s="21" t="n"/>
      <c r="T81" s="21" t="n"/>
      <c r="U81" s="22">
        <f>IF(ISBLANK(S81),"",S81+90)</f>
        <v/>
      </c>
    </row>
    <row r="82">
      <c r="A82" s="20" t="inlineStr">
        <is>
          <t>RISK-061</t>
        </is>
      </c>
      <c r="B82" s="21" t="n"/>
      <c r="C82" s="21" t="n"/>
      <c r="D82" s="21" t="n"/>
      <c r="E82" s="21" t="n"/>
      <c r="F82" s="21" t="n"/>
      <c r="G82" s="21" t="n"/>
      <c r="H82" s="21" t="n"/>
      <c r="I82" s="21" t="n"/>
      <c r="J82" s="21" t="n"/>
      <c r="K82" s="22">
        <f>IF(OR(ISBLANK(I82),ISBLANK(J82)),"",IF(AND(J82="Critical",I82="Very High"),25,IF(AND(J82="Critical",I82="High"),20,IF(AND(J82="High",I82="Very High"),20,IF(AND(J82="High",I82="High"),16,10)))))</f>
        <v/>
      </c>
      <c r="L82" s="21" t="n"/>
      <c r="M82" s="21" t="n"/>
      <c r="N82" s="22">
        <f>IF(OR(ISBLANK(L82),ISBLANK(M82)),"",IF(AND(M82="Critical",L82="Very High"),25,IF(AND(M82="Critical",L82="High"),20,IF(AND(M82="High",L82="Very High"),20,IF(AND(M82="High",L82="High"),16,10)))))</f>
        <v/>
      </c>
      <c r="O82" s="21" t="n"/>
      <c r="P82" s="21" t="n"/>
      <c r="Q82" s="21" t="n"/>
      <c r="R82" s="21" t="n"/>
      <c r="S82" s="21" t="n"/>
      <c r="T82" s="21" t="n"/>
      <c r="U82" s="22">
        <f>IF(ISBLANK(S82),"",S82+90)</f>
        <v/>
      </c>
    </row>
    <row r="83">
      <c r="A83" s="20" t="inlineStr">
        <is>
          <t>RISK-062</t>
        </is>
      </c>
      <c r="B83" s="21" t="n"/>
      <c r="C83" s="21" t="n"/>
      <c r="D83" s="21" t="n"/>
      <c r="E83" s="21" t="n"/>
      <c r="F83" s="21" t="n"/>
      <c r="G83" s="21" t="n"/>
      <c r="H83" s="21" t="n"/>
      <c r="I83" s="21" t="n"/>
      <c r="J83" s="21" t="n"/>
      <c r="K83" s="22">
        <f>IF(OR(ISBLANK(I83),ISBLANK(J83)),"",IF(AND(J83="Critical",I83="Very High"),25,IF(AND(J83="Critical",I83="High"),20,IF(AND(J83="High",I83="Very High"),20,IF(AND(J83="High",I83="High"),16,10)))))</f>
        <v/>
      </c>
      <c r="L83" s="21" t="n"/>
      <c r="M83" s="21" t="n"/>
      <c r="N83" s="22">
        <f>IF(OR(ISBLANK(L83),ISBLANK(M83)),"",IF(AND(M83="Critical",L83="Very High"),25,IF(AND(M83="Critical",L83="High"),20,IF(AND(M83="High",L83="Very High"),20,IF(AND(M83="High",L83="High"),16,10)))))</f>
        <v/>
      </c>
      <c r="O83" s="21" t="n"/>
      <c r="P83" s="21" t="n"/>
      <c r="Q83" s="21" t="n"/>
      <c r="R83" s="21" t="n"/>
      <c r="S83" s="21" t="n"/>
      <c r="T83" s="21" t="n"/>
      <c r="U83" s="22">
        <f>IF(ISBLANK(S83),"",S83+90)</f>
        <v/>
      </c>
    </row>
    <row r="84">
      <c r="A84" s="20" t="inlineStr">
        <is>
          <t>RISK-063</t>
        </is>
      </c>
      <c r="B84" s="21" t="n"/>
      <c r="C84" s="21" t="n"/>
      <c r="D84" s="21" t="n"/>
      <c r="E84" s="21" t="n"/>
      <c r="F84" s="21" t="n"/>
      <c r="G84" s="21" t="n"/>
      <c r="H84" s="21" t="n"/>
      <c r="I84" s="21" t="n"/>
      <c r="J84" s="21" t="n"/>
      <c r="K84" s="22">
        <f>IF(OR(ISBLANK(I84),ISBLANK(J84)),"",IF(AND(J84="Critical",I84="Very High"),25,IF(AND(J84="Critical",I84="High"),20,IF(AND(J84="High",I84="Very High"),20,IF(AND(J84="High",I84="High"),16,10)))))</f>
        <v/>
      </c>
      <c r="L84" s="21" t="n"/>
      <c r="M84" s="21" t="n"/>
      <c r="N84" s="22">
        <f>IF(OR(ISBLANK(L84),ISBLANK(M84)),"",IF(AND(M84="Critical",L84="Very High"),25,IF(AND(M84="Critical",L84="High"),20,IF(AND(M84="High",L84="Very High"),20,IF(AND(M84="High",L84="High"),16,10)))))</f>
        <v/>
      </c>
      <c r="O84" s="21" t="n"/>
      <c r="P84" s="21" t="n"/>
      <c r="Q84" s="21" t="n"/>
      <c r="R84" s="21" t="n"/>
      <c r="S84" s="21" t="n"/>
      <c r="T84" s="21" t="n"/>
      <c r="U84" s="22">
        <f>IF(ISBLANK(S84),"",S84+90)</f>
        <v/>
      </c>
    </row>
    <row r="85">
      <c r="A85" s="20" t="inlineStr">
        <is>
          <t>RISK-064</t>
        </is>
      </c>
      <c r="B85" s="21" t="n"/>
      <c r="C85" s="21" t="n"/>
      <c r="D85" s="21" t="n"/>
      <c r="E85" s="21" t="n"/>
      <c r="F85" s="21" t="n"/>
      <c r="G85" s="21" t="n"/>
      <c r="H85" s="21" t="n"/>
      <c r="I85" s="21" t="n"/>
      <c r="J85" s="21" t="n"/>
      <c r="K85" s="22">
        <f>IF(OR(ISBLANK(I85),ISBLANK(J85)),"",IF(AND(J85="Critical",I85="Very High"),25,IF(AND(J85="Critical",I85="High"),20,IF(AND(J85="High",I85="Very High"),20,IF(AND(J85="High",I85="High"),16,10)))))</f>
        <v/>
      </c>
      <c r="L85" s="21" t="n"/>
      <c r="M85" s="21" t="n"/>
      <c r="N85" s="22">
        <f>IF(OR(ISBLANK(L85),ISBLANK(M85)),"",IF(AND(M85="Critical",L85="Very High"),25,IF(AND(M85="Critical",L85="High"),20,IF(AND(M85="High",L85="Very High"),20,IF(AND(M85="High",L85="High"),16,10)))))</f>
        <v/>
      </c>
      <c r="O85" s="21" t="n"/>
      <c r="P85" s="21" t="n"/>
      <c r="Q85" s="21" t="n"/>
      <c r="R85" s="21" t="n"/>
      <c r="S85" s="21" t="n"/>
      <c r="T85" s="21" t="n"/>
      <c r="U85" s="22">
        <f>IF(ISBLANK(S85),"",S85+90)</f>
        <v/>
      </c>
    </row>
    <row r="86">
      <c r="A86" s="20" t="inlineStr">
        <is>
          <t>RISK-065</t>
        </is>
      </c>
      <c r="B86" s="21" t="n"/>
      <c r="C86" s="21" t="n"/>
      <c r="D86" s="21" t="n"/>
      <c r="E86" s="21" t="n"/>
      <c r="F86" s="21" t="n"/>
      <c r="G86" s="21" t="n"/>
      <c r="H86" s="21" t="n"/>
      <c r="I86" s="21" t="n"/>
      <c r="J86" s="21" t="n"/>
      <c r="K86" s="22">
        <f>IF(OR(ISBLANK(I86),ISBLANK(J86)),"",IF(AND(J86="Critical",I86="Very High"),25,IF(AND(J86="Critical",I86="High"),20,IF(AND(J86="High",I86="Very High"),20,IF(AND(J86="High",I86="High"),16,10)))))</f>
        <v/>
      </c>
      <c r="L86" s="21" t="n"/>
      <c r="M86" s="21" t="n"/>
      <c r="N86" s="22">
        <f>IF(OR(ISBLANK(L86),ISBLANK(M86)),"",IF(AND(M86="Critical",L86="Very High"),25,IF(AND(M86="Critical",L86="High"),20,IF(AND(M86="High",L86="Very High"),20,IF(AND(M86="High",L86="High"),16,10)))))</f>
        <v/>
      </c>
      <c r="O86" s="21" t="n"/>
      <c r="P86" s="21" t="n"/>
      <c r="Q86" s="21" t="n"/>
      <c r="R86" s="21" t="n"/>
      <c r="S86" s="21" t="n"/>
      <c r="T86" s="21" t="n"/>
      <c r="U86" s="22">
        <f>IF(ISBLANK(S86),"",S86+90)</f>
        <v/>
      </c>
    </row>
    <row r="87">
      <c r="A87" s="20" t="inlineStr">
        <is>
          <t>RISK-066</t>
        </is>
      </c>
      <c r="B87" s="21" t="n"/>
      <c r="C87" s="21" t="n"/>
      <c r="D87" s="21" t="n"/>
      <c r="E87" s="21" t="n"/>
      <c r="F87" s="21" t="n"/>
      <c r="G87" s="21" t="n"/>
      <c r="H87" s="21" t="n"/>
      <c r="I87" s="21" t="n"/>
      <c r="J87" s="21" t="n"/>
      <c r="K87" s="22">
        <f>IF(OR(ISBLANK(I87),ISBLANK(J87)),"",IF(AND(J87="Critical",I87="Very High"),25,IF(AND(J87="Critical",I87="High"),20,IF(AND(J87="High",I87="Very High"),20,IF(AND(J87="High",I87="High"),16,10)))))</f>
        <v/>
      </c>
      <c r="L87" s="21" t="n"/>
      <c r="M87" s="21" t="n"/>
      <c r="N87" s="22">
        <f>IF(OR(ISBLANK(L87),ISBLANK(M87)),"",IF(AND(M87="Critical",L87="Very High"),25,IF(AND(M87="Critical",L87="High"),20,IF(AND(M87="High",L87="Very High"),20,IF(AND(M87="High",L87="High"),16,10)))))</f>
        <v/>
      </c>
      <c r="O87" s="21" t="n"/>
      <c r="P87" s="21" t="n"/>
      <c r="Q87" s="21" t="n"/>
      <c r="R87" s="21" t="n"/>
      <c r="S87" s="21" t="n"/>
      <c r="T87" s="21" t="n"/>
      <c r="U87" s="22">
        <f>IF(ISBLANK(S87),"",S87+90)</f>
        <v/>
      </c>
    </row>
    <row r="88">
      <c r="A88" s="20" t="inlineStr">
        <is>
          <t>RISK-067</t>
        </is>
      </c>
      <c r="B88" s="21" t="n"/>
      <c r="C88" s="21" t="n"/>
      <c r="D88" s="21" t="n"/>
      <c r="E88" s="21" t="n"/>
      <c r="F88" s="21" t="n"/>
      <c r="G88" s="21" t="n"/>
      <c r="H88" s="21" t="n"/>
      <c r="I88" s="21" t="n"/>
      <c r="J88" s="21" t="n"/>
      <c r="K88" s="22">
        <f>IF(OR(ISBLANK(I88),ISBLANK(J88)),"",IF(AND(J88="Critical",I88="Very High"),25,IF(AND(J88="Critical",I88="High"),20,IF(AND(J88="High",I88="Very High"),20,IF(AND(J88="High",I88="High"),16,10)))))</f>
        <v/>
      </c>
      <c r="L88" s="21" t="n"/>
      <c r="M88" s="21" t="n"/>
      <c r="N88" s="22">
        <f>IF(OR(ISBLANK(L88),ISBLANK(M88)),"",IF(AND(M88="Critical",L88="Very High"),25,IF(AND(M88="Critical",L88="High"),20,IF(AND(M88="High",L88="Very High"),20,IF(AND(M88="High",L88="High"),16,10)))))</f>
        <v/>
      </c>
      <c r="O88" s="21" t="n"/>
      <c r="P88" s="21" t="n"/>
      <c r="Q88" s="21" t="n"/>
      <c r="R88" s="21" t="n"/>
      <c r="S88" s="21" t="n"/>
      <c r="T88" s="21" t="n"/>
      <c r="U88" s="22">
        <f>IF(ISBLANK(S88),"",S88+90)</f>
        <v/>
      </c>
    </row>
    <row r="89">
      <c r="A89" s="20" t="inlineStr">
        <is>
          <t>RISK-068</t>
        </is>
      </c>
      <c r="B89" s="21" t="n"/>
      <c r="C89" s="21" t="n"/>
      <c r="D89" s="21" t="n"/>
      <c r="E89" s="21" t="n"/>
      <c r="F89" s="21" t="n"/>
      <c r="G89" s="21" t="n"/>
      <c r="H89" s="21" t="n"/>
      <c r="I89" s="21" t="n"/>
      <c r="J89" s="21" t="n"/>
      <c r="K89" s="22">
        <f>IF(OR(ISBLANK(I89),ISBLANK(J89)),"",IF(AND(J89="Critical",I89="Very High"),25,IF(AND(J89="Critical",I89="High"),20,IF(AND(J89="High",I89="Very High"),20,IF(AND(J89="High",I89="High"),16,10)))))</f>
        <v/>
      </c>
      <c r="L89" s="21" t="n"/>
      <c r="M89" s="21" t="n"/>
      <c r="N89" s="22">
        <f>IF(OR(ISBLANK(L89),ISBLANK(M89)),"",IF(AND(M89="Critical",L89="Very High"),25,IF(AND(M89="Critical",L89="High"),20,IF(AND(M89="High",L89="Very High"),20,IF(AND(M89="High",L89="High"),16,10)))))</f>
        <v/>
      </c>
      <c r="O89" s="21" t="n"/>
      <c r="P89" s="21" t="n"/>
      <c r="Q89" s="21" t="n"/>
      <c r="R89" s="21" t="n"/>
      <c r="S89" s="21" t="n"/>
      <c r="T89" s="21" t="n"/>
      <c r="U89" s="22">
        <f>IF(ISBLANK(S89),"",S89+90)</f>
        <v/>
      </c>
    </row>
    <row r="90">
      <c r="A90" s="20" t="inlineStr">
        <is>
          <t>RISK-069</t>
        </is>
      </c>
      <c r="B90" s="21" t="n"/>
      <c r="C90" s="21" t="n"/>
      <c r="D90" s="21" t="n"/>
      <c r="E90" s="21" t="n"/>
      <c r="F90" s="21" t="n"/>
      <c r="G90" s="21" t="n"/>
      <c r="H90" s="21" t="n"/>
      <c r="I90" s="21" t="n"/>
      <c r="J90" s="21" t="n"/>
      <c r="K90" s="22">
        <f>IF(OR(ISBLANK(I90),ISBLANK(J90)),"",IF(AND(J90="Critical",I90="Very High"),25,IF(AND(J90="Critical",I90="High"),20,IF(AND(J90="High",I90="Very High"),20,IF(AND(J90="High",I90="High"),16,10)))))</f>
        <v/>
      </c>
      <c r="L90" s="21" t="n"/>
      <c r="M90" s="21" t="n"/>
      <c r="N90" s="22">
        <f>IF(OR(ISBLANK(L90),ISBLANK(M90)),"",IF(AND(M90="Critical",L90="Very High"),25,IF(AND(M90="Critical",L90="High"),20,IF(AND(M90="High",L90="Very High"),20,IF(AND(M90="High",L90="High"),16,10)))))</f>
        <v/>
      </c>
      <c r="O90" s="21" t="n"/>
      <c r="P90" s="21" t="n"/>
      <c r="Q90" s="21" t="n"/>
      <c r="R90" s="21" t="n"/>
      <c r="S90" s="21" t="n"/>
      <c r="T90" s="21" t="n"/>
      <c r="U90" s="22">
        <f>IF(ISBLANK(S90),"",S90+90)</f>
        <v/>
      </c>
    </row>
    <row r="91">
      <c r="A91" s="20" t="inlineStr">
        <is>
          <t>RISK-070</t>
        </is>
      </c>
      <c r="B91" s="21" t="n"/>
      <c r="C91" s="21" t="n"/>
      <c r="D91" s="21" t="n"/>
      <c r="E91" s="21" t="n"/>
      <c r="F91" s="21" t="n"/>
      <c r="G91" s="21" t="n"/>
      <c r="H91" s="21" t="n"/>
      <c r="I91" s="21" t="n"/>
      <c r="J91" s="21" t="n"/>
      <c r="K91" s="22">
        <f>IF(OR(ISBLANK(I91),ISBLANK(J91)),"",IF(AND(J91="Critical",I91="Very High"),25,IF(AND(J91="Critical",I91="High"),20,IF(AND(J91="High",I91="Very High"),20,IF(AND(J91="High",I91="High"),16,10)))))</f>
        <v/>
      </c>
      <c r="L91" s="21" t="n"/>
      <c r="M91" s="21" t="n"/>
      <c r="N91" s="22">
        <f>IF(OR(ISBLANK(L91),ISBLANK(M91)),"",IF(AND(M91="Critical",L91="Very High"),25,IF(AND(M91="Critical",L91="High"),20,IF(AND(M91="High",L91="Very High"),20,IF(AND(M91="High",L91="High"),16,10)))))</f>
        <v/>
      </c>
      <c r="O91" s="21" t="n"/>
      <c r="P91" s="21" t="n"/>
      <c r="Q91" s="21" t="n"/>
      <c r="R91" s="21" t="n"/>
      <c r="S91" s="21" t="n"/>
      <c r="T91" s="21" t="n"/>
      <c r="U91" s="22">
        <f>IF(ISBLANK(S91),"",S91+90)</f>
        <v/>
      </c>
    </row>
    <row r="92">
      <c r="A92" s="20" t="inlineStr">
        <is>
          <t>RISK-071</t>
        </is>
      </c>
      <c r="B92" s="21" t="n"/>
      <c r="C92" s="21" t="n"/>
      <c r="D92" s="21" t="n"/>
      <c r="E92" s="21" t="n"/>
      <c r="F92" s="21" t="n"/>
      <c r="G92" s="21" t="n"/>
      <c r="H92" s="21" t="n"/>
      <c r="I92" s="21" t="n"/>
      <c r="J92" s="21" t="n"/>
      <c r="K92" s="22">
        <f>IF(OR(ISBLANK(I92),ISBLANK(J92)),"",IF(AND(J92="Critical",I92="Very High"),25,IF(AND(J92="Critical",I92="High"),20,IF(AND(J92="High",I92="Very High"),20,IF(AND(J92="High",I92="High"),16,10)))))</f>
        <v/>
      </c>
      <c r="L92" s="21" t="n"/>
      <c r="M92" s="21" t="n"/>
      <c r="N92" s="22">
        <f>IF(OR(ISBLANK(L92),ISBLANK(M92)),"",IF(AND(M92="Critical",L92="Very High"),25,IF(AND(M92="Critical",L92="High"),20,IF(AND(M92="High",L92="Very High"),20,IF(AND(M92="High",L92="High"),16,10)))))</f>
        <v/>
      </c>
      <c r="O92" s="21" t="n"/>
      <c r="P92" s="21" t="n"/>
      <c r="Q92" s="21" t="n"/>
      <c r="R92" s="21" t="n"/>
      <c r="S92" s="21" t="n"/>
      <c r="T92" s="21" t="n"/>
      <c r="U92" s="22">
        <f>IF(ISBLANK(S92),"",S92+90)</f>
        <v/>
      </c>
    </row>
    <row r="93">
      <c r="A93" s="20" t="inlineStr">
        <is>
          <t>RISK-072</t>
        </is>
      </c>
      <c r="B93" s="21" t="n"/>
      <c r="C93" s="21" t="n"/>
      <c r="D93" s="21" t="n"/>
      <c r="E93" s="21" t="n"/>
      <c r="F93" s="21" t="n"/>
      <c r="G93" s="21" t="n"/>
      <c r="H93" s="21" t="n"/>
      <c r="I93" s="21" t="n"/>
      <c r="J93" s="21" t="n"/>
      <c r="K93" s="22">
        <f>IF(OR(ISBLANK(I93),ISBLANK(J93)),"",IF(AND(J93="Critical",I93="Very High"),25,IF(AND(J93="Critical",I93="High"),20,IF(AND(J93="High",I93="Very High"),20,IF(AND(J93="High",I93="High"),16,10)))))</f>
        <v/>
      </c>
      <c r="L93" s="21" t="n"/>
      <c r="M93" s="21" t="n"/>
      <c r="N93" s="22">
        <f>IF(OR(ISBLANK(L93),ISBLANK(M93)),"",IF(AND(M93="Critical",L93="Very High"),25,IF(AND(M93="Critical",L93="High"),20,IF(AND(M93="High",L93="Very High"),20,IF(AND(M93="High",L93="High"),16,10)))))</f>
        <v/>
      </c>
      <c r="O93" s="21" t="n"/>
      <c r="P93" s="21" t="n"/>
      <c r="Q93" s="21" t="n"/>
      <c r="R93" s="21" t="n"/>
      <c r="S93" s="21" t="n"/>
      <c r="T93" s="21" t="n"/>
      <c r="U93" s="22">
        <f>IF(ISBLANK(S93),"",S93+90)</f>
        <v/>
      </c>
    </row>
    <row r="94">
      <c r="A94" s="20" t="inlineStr">
        <is>
          <t>RISK-073</t>
        </is>
      </c>
      <c r="B94" s="21" t="n"/>
      <c r="C94" s="21" t="n"/>
      <c r="D94" s="21" t="n"/>
      <c r="E94" s="21" t="n"/>
      <c r="F94" s="21" t="n"/>
      <c r="G94" s="21" t="n"/>
      <c r="H94" s="21" t="n"/>
      <c r="I94" s="21" t="n"/>
      <c r="J94" s="21" t="n"/>
      <c r="K94" s="22">
        <f>IF(OR(ISBLANK(I94),ISBLANK(J94)),"",IF(AND(J94="Critical",I94="Very High"),25,IF(AND(J94="Critical",I94="High"),20,IF(AND(J94="High",I94="Very High"),20,IF(AND(J94="High",I94="High"),16,10)))))</f>
        <v/>
      </c>
      <c r="L94" s="21" t="n"/>
      <c r="M94" s="21" t="n"/>
      <c r="N94" s="22">
        <f>IF(OR(ISBLANK(L94),ISBLANK(M94)),"",IF(AND(M94="Critical",L94="Very High"),25,IF(AND(M94="Critical",L94="High"),20,IF(AND(M94="High",L94="Very High"),20,IF(AND(M94="High",L94="High"),16,10)))))</f>
        <v/>
      </c>
      <c r="O94" s="21" t="n"/>
      <c r="P94" s="21" t="n"/>
      <c r="Q94" s="21" t="n"/>
      <c r="R94" s="21" t="n"/>
      <c r="S94" s="21" t="n"/>
      <c r="T94" s="21" t="n"/>
      <c r="U94" s="22">
        <f>IF(ISBLANK(S94),"",S94+90)</f>
        <v/>
      </c>
    </row>
    <row r="95">
      <c r="A95" s="20" t="inlineStr">
        <is>
          <t>RISK-074</t>
        </is>
      </c>
      <c r="B95" s="21" t="n"/>
      <c r="C95" s="21" t="n"/>
      <c r="D95" s="21" t="n"/>
      <c r="E95" s="21" t="n"/>
      <c r="F95" s="21" t="n"/>
      <c r="G95" s="21" t="n"/>
      <c r="H95" s="21" t="n"/>
      <c r="I95" s="21" t="n"/>
      <c r="J95" s="21" t="n"/>
      <c r="K95" s="22">
        <f>IF(OR(ISBLANK(I95),ISBLANK(J95)),"",IF(AND(J95="Critical",I95="Very High"),25,IF(AND(J95="Critical",I95="High"),20,IF(AND(J95="High",I95="Very High"),20,IF(AND(J95="High",I95="High"),16,10)))))</f>
        <v/>
      </c>
      <c r="L95" s="21" t="n"/>
      <c r="M95" s="21" t="n"/>
      <c r="N95" s="22">
        <f>IF(OR(ISBLANK(L95),ISBLANK(M95)),"",IF(AND(M95="Critical",L95="Very High"),25,IF(AND(M95="Critical",L95="High"),20,IF(AND(M95="High",L95="Very High"),20,IF(AND(M95="High",L95="High"),16,10)))))</f>
        <v/>
      </c>
      <c r="O95" s="21" t="n"/>
      <c r="P95" s="21" t="n"/>
      <c r="Q95" s="21" t="n"/>
      <c r="R95" s="21" t="n"/>
      <c r="S95" s="21" t="n"/>
      <c r="T95" s="21" t="n"/>
      <c r="U95" s="22">
        <f>IF(ISBLANK(S95),"",S95+90)</f>
        <v/>
      </c>
    </row>
    <row r="96">
      <c r="A96" s="20" t="inlineStr">
        <is>
          <t>RISK-075</t>
        </is>
      </c>
      <c r="B96" s="21" t="n"/>
      <c r="C96" s="21" t="n"/>
      <c r="D96" s="21" t="n"/>
      <c r="E96" s="21" t="n"/>
      <c r="F96" s="21" t="n"/>
      <c r="G96" s="21" t="n"/>
      <c r="H96" s="21" t="n"/>
      <c r="I96" s="21" t="n"/>
      <c r="J96" s="21" t="n"/>
      <c r="K96" s="22">
        <f>IF(OR(ISBLANK(I96),ISBLANK(J96)),"",IF(AND(J96="Critical",I96="Very High"),25,IF(AND(J96="Critical",I96="High"),20,IF(AND(J96="High",I96="Very High"),20,IF(AND(J96="High",I96="High"),16,10)))))</f>
        <v/>
      </c>
      <c r="L96" s="21" t="n"/>
      <c r="M96" s="21" t="n"/>
      <c r="N96" s="22">
        <f>IF(OR(ISBLANK(L96),ISBLANK(M96)),"",IF(AND(M96="Critical",L96="Very High"),25,IF(AND(M96="Critical",L96="High"),20,IF(AND(M96="High",L96="Very High"),20,IF(AND(M96="High",L96="High"),16,10)))))</f>
        <v/>
      </c>
      <c r="O96" s="21" t="n"/>
      <c r="P96" s="21" t="n"/>
      <c r="Q96" s="21" t="n"/>
      <c r="R96" s="21" t="n"/>
      <c r="S96" s="21" t="n"/>
      <c r="T96" s="21" t="n"/>
      <c r="U96" s="22">
        <f>IF(ISBLANK(S96),"",S96+90)</f>
        <v/>
      </c>
    </row>
    <row r="97">
      <c r="A97" s="20" t="inlineStr">
        <is>
          <t>RISK-076</t>
        </is>
      </c>
      <c r="B97" s="21" t="n"/>
      <c r="C97" s="21" t="n"/>
      <c r="D97" s="21" t="n"/>
      <c r="E97" s="21" t="n"/>
      <c r="F97" s="21" t="n"/>
      <c r="G97" s="21" t="n"/>
      <c r="H97" s="21" t="n"/>
      <c r="I97" s="21" t="n"/>
      <c r="J97" s="21" t="n"/>
      <c r="K97" s="22">
        <f>IF(OR(ISBLANK(I97),ISBLANK(J97)),"",IF(AND(J97="Critical",I97="Very High"),25,IF(AND(J97="Critical",I97="High"),20,IF(AND(J97="High",I97="Very High"),20,IF(AND(J97="High",I97="High"),16,10)))))</f>
        <v/>
      </c>
      <c r="L97" s="21" t="n"/>
      <c r="M97" s="21" t="n"/>
      <c r="N97" s="22">
        <f>IF(OR(ISBLANK(L97),ISBLANK(M97)),"",IF(AND(M97="Critical",L97="Very High"),25,IF(AND(M97="Critical",L97="High"),20,IF(AND(M97="High",L97="Very High"),20,IF(AND(M97="High",L97="High"),16,10)))))</f>
        <v/>
      </c>
      <c r="O97" s="21" t="n"/>
      <c r="P97" s="21" t="n"/>
      <c r="Q97" s="21" t="n"/>
      <c r="R97" s="21" t="n"/>
      <c r="S97" s="21" t="n"/>
      <c r="T97" s="21" t="n"/>
      <c r="U97" s="22">
        <f>IF(ISBLANK(S97),"",S97+90)</f>
        <v/>
      </c>
    </row>
    <row r="98">
      <c r="A98" s="20" t="inlineStr">
        <is>
          <t>RISK-077</t>
        </is>
      </c>
      <c r="B98" s="21" t="n"/>
      <c r="C98" s="21" t="n"/>
      <c r="D98" s="21" t="n"/>
      <c r="E98" s="21" t="n"/>
      <c r="F98" s="21" t="n"/>
      <c r="G98" s="21" t="n"/>
      <c r="H98" s="21" t="n"/>
      <c r="I98" s="21" t="n"/>
      <c r="J98" s="21" t="n"/>
      <c r="K98" s="22">
        <f>IF(OR(ISBLANK(I98),ISBLANK(J98)),"",IF(AND(J98="Critical",I98="Very High"),25,IF(AND(J98="Critical",I98="High"),20,IF(AND(J98="High",I98="Very High"),20,IF(AND(J98="High",I98="High"),16,10)))))</f>
        <v/>
      </c>
      <c r="L98" s="21" t="n"/>
      <c r="M98" s="21" t="n"/>
      <c r="N98" s="22">
        <f>IF(OR(ISBLANK(L98),ISBLANK(M98)),"",IF(AND(M98="Critical",L98="Very High"),25,IF(AND(M98="Critical",L98="High"),20,IF(AND(M98="High",L98="Very High"),20,IF(AND(M98="High",L98="High"),16,10)))))</f>
        <v/>
      </c>
      <c r="O98" s="21" t="n"/>
      <c r="P98" s="21" t="n"/>
      <c r="Q98" s="21" t="n"/>
      <c r="R98" s="21" t="n"/>
      <c r="S98" s="21" t="n"/>
      <c r="T98" s="21" t="n"/>
      <c r="U98" s="22">
        <f>IF(ISBLANK(S98),"",S98+90)</f>
        <v/>
      </c>
    </row>
    <row r="99">
      <c r="A99" s="20" t="inlineStr">
        <is>
          <t>RISK-078</t>
        </is>
      </c>
      <c r="B99" s="21" t="n"/>
      <c r="C99" s="21" t="n"/>
      <c r="D99" s="21" t="n"/>
      <c r="E99" s="21" t="n"/>
      <c r="F99" s="21" t="n"/>
      <c r="G99" s="21" t="n"/>
      <c r="H99" s="21" t="n"/>
      <c r="I99" s="21" t="n"/>
      <c r="J99" s="21" t="n"/>
      <c r="K99" s="22">
        <f>IF(OR(ISBLANK(I99),ISBLANK(J99)),"",IF(AND(J99="Critical",I99="Very High"),25,IF(AND(J99="Critical",I99="High"),20,IF(AND(J99="High",I99="Very High"),20,IF(AND(J99="High",I99="High"),16,10)))))</f>
        <v/>
      </c>
      <c r="L99" s="21" t="n"/>
      <c r="M99" s="21" t="n"/>
      <c r="N99" s="22">
        <f>IF(OR(ISBLANK(L99),ISBLANK(M99)),"",IF(AND(M99="Critical",L99="Very High"),25,IF(AND(M99="Critical",L99="High"),20,IF(AND(M99="High",L99="Very High"),20,IF(AND(M99="High",L99="High"),16,10)))))</f>
        <v/>
      </c>
      <c r="O99" s="21" t="n"/>
      <c r="P99" s="21" t="n"/>
      <c r="Q99" s="21" t="n"/>
      <c r="R99" s="21" t="n"/>
      <c r="S99" s="21" t="n"/>
      <c r="T99" s="21" t="n"/>
      <c r="U99" s="22">
        <f>IF(ISBLANK(S99),"",S99+90)</f>
        <v/>
      </c>
    </row>
    <row r="100">
      <c r="A100" s="20" t="inlineStr">
        <is>
          <t>RISK-079</t>
        </is>
      </c>
      <c r="B100" s="21" t="n"/>
      <c r="C100" s="21" t="n"/>
      <c r="D100" s="21" t="n"/>
      <c r="E100" s="21" t="n"/>
      <c r="F100" s="21" t="n"/>
      <c r="G100" s="21" t="n"/>
      <c r="H100" s="21" t="n"/>
      <c r="I100" s="21" t="n"/>
      <c r="J100" s="21" t="n"/>
      <c r="K100" s="22">
        <f>IF(OR(ISBLANK(I100),ISBLANK(J100)),"",IF(AND(J100="Critical",I100="Very High"),25,IF(AND(J100="Critical",I100="High"),20,IF(AND(J100="High",I100="Very High"),20,IF(AND(J100="High",I100="High"),16,10)))))</f>
        <v/>
      </c>
      <c r="L100" s="21" t="n"/>
      <c r="M100" s="21" t="n"/>
      <c r="N100" s="22">
        <f>IF(OR(ISBLANK(L100),ISBLANK(M100)),"",IF(AND(M100="Critical",L100="Very High"),25,IF(AND(M100="Critical",L100="High"),20,IF(AND(M100="High",L100="Very High"),20,IF(AND(M100="High",L100="High"),16,10)))))</f>
        <v/>
      </c>
      <c r="O100" s="21" t="n"/>
      <c r="P100" s="21" t="n"/>
      <c r="Q100" s="21" t="n"/>
      <c r="R100" s="21" t="n"/>
      <c r="S100" s="21" t="n"/>
      <c r="T100" s="21" t="n"/>
      <c r="U100" s="22">
        <f>IF(ISBLANK(S100),"",S100+90)</f>
        <v/>
      </c>
    </row>
    <row r="101">
      <c r="A101" s="20" t="inlineStr">
        <is>
          <t>RISK-080</t>
        </is>
      </c>
      <c r="B101" s="21" t="n"/>
      <c r="C101" s="21" t="n"/>
      <c r="D101" s="21" t="n"/>
      <c r="E101" s="21" t="n"/>
      <c r="F101" s="21" t="n"/>
      <c r="G101" s="21" t="n"/>
      <c r="H101" s="21" t="n"/>
      <c r="I101" s="21" t="n"/>
      <c r="J101" s="21" t="n"/>
      <c r="K101" s="22">
        <f>IF(OR(ISBLANK(I101),ISBLANK(J101)),"",IF(AND(J101="Critical",I101="Very High"),25,IF(AND(J101="Critical",I101="High"),20,IF(AND(J101="High",I101="Very High"),20,IF(AND(J101="High",I101="High"),16,10)))))</f>
        <v/>
      </c>
      <c r="L101" s="21" t="n"/>
      <c r="M101" s="21" t="n"/>
      <c r="N101" s="22">
        <f>IF(OR(ISBLANK(L101),ISBLANK(M101)),"",IF(AND(M101="Critical",L101="Very High"),25,IF(AND(M101="Critical",L101="High"),20,IF(AND(M101="High",L101="Very High"),20,IF(AND(M101="High",L101="High"),16,10)))))</f>
        <v/>
      </c>
      <c r="O101" s="21" t="n"/>
      <c r="P101" s="21" t="n"/>
      <c r="Q101" s="21" t="n"/>
      <c r="R101" s="21" t="n"/>
      <c r="S101" s="21" t="n"/>
      <c r="T101" s="21" t="n"/>
      <c r="U101" s="22">
        <f>IF(ISBLANK(S101),"",S101+90)</f>
        <v/>
      </c>
    </row>
    <row r="102">
      <c r="A102" s="20" t="inlineStr">
        <is>
          <t>RISK-081</t>
        </is>
      </c>
      <c r="B102" s="21" t="n"/>
      <c r="C102" s="21" t="n"/>
      <c r="D102" s="21" t="n"/>
      <c r="E102" s="21" t="n"/>
      <c r="F102" s="21" t="n"/>
      <c r="G102" s="21" t="n"/>
      <c r="H102" s="21" t="n"/>
      <c r="I102" s="21" t="n"/>
      <c r="J102" s="21" t="n"/>
      <c r="K102" s="22">
        <f>IF(OR(ISBLANK(I102),ISBLANK(J102)),"",IF(AND(J102="Critical",I102="Very High"),25,IF(AND(J102="Critical",I102="High"),20,IF(AND(J102="High",I102="Very High"),20,IF(AND(J102="High",I102="High"),16,10)))))</f>
        <v/>
      </c>
      <c r="L102" s="21" t="n"/>
      <c r="M102" s="21" t="n"/>
      <c r="N102" s="22">
        <f>IF(OR(ISBLANK(L102),ISBLANK(M102)),"",IF(AND(M102="Critical",L102="Very High"),25,IF(AND(M102="Critical",L102="High"),20,IF(AND(M102="High",L102="Very High"),20,IF(AND(M102="High",L102="High"),16,10)))))</f>
        <v/>
      </c>
      <c r="O102" s="21" t="n"/>
      <c r="P102" s="21" t="n"/>
      <c r="Q102" s="21" t="n"/>
      <c r="R102" s="21" t="n"/>
      <c r="S102" s="21" t="n"/>
      <c r="T102" s="21" t="n"/>
      <c r="U102" s="22">
        <f>IF(ISBLANK(S102),"",S102+90)</f>
        <v/>
      </c>
    </row>
    <row r="103">
      <c r="A103" s="20" t="inlineStr">
        <is>
          <t>RISK-082</t>
        </is>
      </c>
      <c r="B103" s="21" t="n"/>
      <c r="C103" s="21" t="n"/>
      <c r="D103" s="21" t="n"/>
      <c r="E103" s="21" t="n"/>
      <c r="F103" s="21" t="n"/>
      <c r="G103" s="21" t="n"/>
      <c r="H103" s="21" t="n"/>
      <c r="I103" s="21" t="n"/>
      <c r="J103" s="21" t="n"/>
      <c r="K103" s="22">
        <f>IF(OR(ISBLANK(I103),ISBLANK(J103)),"",IF(AND(J103="Critical",I103="Very High"),25,IF(AND(J103="Critical",I103="High"),20,IF(AND(J103="High",I103="Very High"),20,IF(AND(J103="High",I103="High"),16,10)))))</f>
        <v/>
      </c>
      <c r="L103" s="21" t="n"/>
      <c r="M103" s="21" t="n"/>
      <c r="N103" s="22">
        <f>IF(OR(ISBLANK(L103),ISBLANK(M103)),"",IF(AND(M103="Critical",L103="Very High"),25,IF(AND(M103="Critical",L103="High"),20,IF(AND(M103="High",L103="Very High"),20,IF(AND(M103="High",L103="High"),16,10)))))</f>
        <v/>
      </c>
      <c r="O103" s="21" t="n"/>
      <c r="P103" s="21" t="n"/>
      <c r="Q103" s="21" t="n"/>
      <c r="R103" s="21" t="n"/>
      <c r="S103" s="21" t="n"/>
      <c r="T103" s="21" t="n"/>
      <c r="U103" s="22">
        <f>IF(ISBLANK(S103),"",S103+90)</f>
        <v/>
      </c>
    </row>
    <row r="104">
      <c r="A104" s="20" t="inlineStr">
        <is>
          <t>RISK-083</t>
        </is>
      </c>
      <c r="B104" s="21" t="n"/>
      <c r="C104" s="21" t="n"/>
      <c r="D104" s="21" t="n"/>
      <c r="E104" s="21" t="n"/>
      <c r="F104" s="21" t="n"/>
      <c r="G104" s="21" t="n"/>
      <c r="H104" s="21" t="n"/>
      <c r="I104" s="21" t="n"/>
      <c r="J104" s="21" t="n"/>
      <c r="K104" s="22">
        <f>IF(OR(ISBLANK(I104),ISBLANK(J104)),"",IF(AND(J104="Critical",I104="Very High"),25,IF(AND(J104="Critical",I104="High"),20,IF(AND(J104="High",I104="Very High"),20,IF(AND(J104="High",I104="High"),16,10)))))</f>
        <v/>
      </c>
      <c r="L104" s="21" t="n"/>
      <c r="M104" s="21" t="n"/>
      <c r="N104" s="22">
        <f>IF(OR(ISBLANK(L104),ISBLANK(M104)),"",IF(AND(M104="Critical",L104="Very High"),25,IF(AND(M104="Critical",L104="High"),20,IF(AND(M104="High",L104="Very High"),20,IF(AND(M104="High",L104="High"),16,10)))))</f>
        <v/>
      </c>
      <c r="O104" s="21" t="n"/>
      <c r="P104" s="21" t="n"/>
      <c r="Q104" s="21" t="n"/>
      <c r="R104" s="21" t="n"/>
      <c r="S104" s="21" t="n"/>
      <c r="T104" s="21" t="n"/>
      <c r="U104" s="22">
        <f>IF(ISBLANK(S104),"",S104+90)</f>
        <v/>
      </c>
    </row>
    <row r="105">
      <c r="A105" s="20" t="inlineStr">
        <is>
          <t>RISK-084</t>
        </is>
      </c>
      <c r="B105" s="21" t="n"/>
      <c r="C105" s="21" t="n"/>
      <c r="D105" s="21" t="n"/>
      <c r="E105" s="21" t="n"/>
      <c r="F105" s="21" t="n"/>
      <c r="G105" s="21" t="n"/>
      <c r="H105" s="21" t="n"/>
      <c r="I105" s="21" t="n"/>
      <c r="J105" s="21" t="n"/>
      <c r="K105" s="22">
        <f>IF(OR(ISBLANK(I105),ISBLANK(J105)),"",IF(AND(J105="Critical",I105="Very High"),25,IF(AND(J105="Critical",I105="High"),20,IF(AND(J105="High",I105="Very High"),20,IF(AND(J105="High",I105="High"),16,10)))))</f>
        <v/>
      </c>
      <c r="L105" s="21" t="n"/>
      <c r="M105" s="21" t="n"/>
      <c r="N105" s="22">
        <f>IF(OR(ISBLANK(L105),ISBLANK(M105)),"",IF(AND(M105="Critical",L105="Very High"),25,IF(AND(M105="Critical",L105="High"),20,IF(AND(M105="High",L105="Very High"),20,IF(AND(M105="High",L105="High"),16,10)))))</f>
        <v/>
      </c>
      <c r="O105" s="21" t="n"/>
      <c r="P105" s="21" t="n"/>
      <c r="Q105" s="21" t="n"/>
      <c r="R105" s="21" t="n"/>
      <c r="S105" s="21" t="n"/>
      <c r="T105" s="21" t="n"/>
      <c r="U105" s="22">
        <f>IF(ISBLANK(S105),"",S105+90)</f>
        <v/>
      </c>
    </row>
    <row r="106">
      <c r="A106" s="20" t="inlineStr">
        <is>
          <t>RISK-085</t>
        </is>
      </c>
      <c r="B106" s="21" t="n"/>
      <c r="C106" s="21" t="n"/>
      <c r="D106" s="21" t="n"/>
      <c r="E106" s="21" t="n"/>
      <c r="F106" s="21" t="n"/>
      <c r="G106" s="21" t="n"/>
      <c r="H106" s="21" t="n"/>
      <c r="I106" s="21" t="n"/>
      <c r="J106" s="21" t="n"/>
      <c r="K106" s="22">
        <f>IF(OR(ISBLANK(I106),ISBLANK(J106)),"",IF(AND(J106="Critical",I106="Very High"),25,IF(AND(J106="Critical",I106="High"),20,IF(AND(J106="High",I106="Very High"),20,IF(AND(J106="High",I106="High"),16,10)))))</f>
        <v/>
      </c>
      <c r="L106" s="21" t="n"/>
      <c r="M106" s="21" t="n"/>
      <c r="N106" s="22">
        <f>IF(OR(ISBLANK(L106),ISBLANK(M106)),"",IF(AND(M106="Critical",L106="Very High"),25,IF(AND(M106="Critical",L106="High"),20,IF(AND(M106="High",L106="Very High"),20,IF(AND(M106="High",L106="High"),16,10)))))</f>
        <v/>
      </c>
      <c r="O106" s="21" t="n"/>
      <c r="P106" s="21" t="n"/>
      <c r="Q106" s="21" t="n"/>
      <c r="R106" s="21" t="n"/>
      <c r="S106" s="21" t="n"/>
      <c r="T106" s="21" t="n"/>
      <c r="U106" s="22">
        <f>IF(ISBLANK(S106),"",S106+90)</f>
        <v/>
      </c>
    </row>
    <row r="107">
      <c r="A107" s="20" t="inlineStr">
        <is>
          <t>RISK-086</t>
        </is>
      </c>
      <c r="B107" s="21" t="n"/>
      <c r="C107" s="21" t="n"/>
      <c r="D107" s="21" t="n"/>
      <c r="E107" s="21" t="n"/>
      <c r="F107" s="21" t="n"/>
      <c r="G107" s="21" t="n"/>
      <c r="H107" s="21" t="n"/>
      <c r="I107" s="21" t="n"/>
      <c r="J107" s="21" t="n"/>
      <c r="K107" s="22">
        <f>IF(OR(ISBLANK(I107),ISBLANK(J107)),"",IF(AND(J107="Critical",I107="Very High"),25,IF(AND(J107="Critical",I107="High"),20,IF(AND(J107="High",I107="Very High"),20,IF(AND(J107="High",I107="High"),16,10)))))</f>
        <v/>
      </c>
      <c r="L107" s="21" t="n"/>
      <c r="M107" s="21" t="n"/>
      <c r="N107" s="22">
        <f>IF(OR(ISBLANK(L107),ISBLANK(M107)),"",IF(AND(M107="Critical",L107="Very High"),25,IF(AND(M107="Critical",L107="High"),20,IF(AND(M107="High",L107="Very High"),20,IF(AND(M107="High",L107="High"),16,10)))))</f>
        <v/>
      </c>
      <c r="O107" s="21" t="n"/>
      <c r="P107" s="21" t="n"/>
      <c r="Q107" s="21" t="n"/>
      <c r="R107" s="21" t="n"/>
      <c r="S107" s="21" t="n"/>
      <c r="T107" s="21" t="n"/>
      <c r="U107" s="22">
        <f>IF(ISBLANK(S107),"",S107+90)</f>
        <v/>
      </c>
    </row>
    <row r="108">
      <c r="A108" s="20" t="inlineStr">
        <is>
          <t>RISK-087</t>
        </is>
      </c>
      <c r="B108" s="21" t="n"/>
      <c r="C108" s="21" t="n"/>
      <c r="D108" s="21" t="n"/>
      <c r="E108" s="21" t="n"/>
      <c r="F108" s="21" t="n"/>
      <c r="G108" s="21" t="n"/>
      <c r="H108" s="21" t="n"/>
      <c r="I108" s="21" t="n"/>
      <c r="J108" s="21" t="n"/>
      <c r="K108" s="22">
        <f>IF(OR(ISBLANK(I108),ISBLANK(J108)),"",IF(AND(J108="Critical",I108="Very High"),25,IF(AND(J108="Critical",I108="High"),20,IF(AND(J108="High",I108="Very High"),20,IF(AND(J108="High",I108="High"),16,10)))))</f>
        <v/>
      </c>
      <c r="L108" s="21" t="n"/>
      <c r="M108" s="21" t="n"/>
      <c r="N108" s="22">
        <f>IF(OR(ISBLANK(L108),ISBLANK(M108)),"",IF(AND(M108="Critical",L108="Very High"),25,IF(AND(M108="Critical",L108="High"),20,IF(AND(M108="High",L108="Very High"),20,IF(AND(M108="High",L108="High"),16,10)))))</f>
        <v/>
      </c>
      <c r="O108" s="21" t="n"/>
      <c r="P108" s="21" t="n"/>
      <c r="Q108" s="21" t="n"/>
      <c r="R108" s="21" t="n"/>
      <c r="S108" s="21" t="n"/>
      <c r="T108" s="21" t="n"/>
      <c r="U108" s="22">
        <f>IF(ISBLANK(S108),"",S108+90)</f>
        <v/>
      </c>
    </row>
    <row r="109">
      <c r="A109" s="20" t="inlineStr">
        <is>
          <t>RISK-088</t>
        </is>
      </c>
      <c r="B109" s="21" t="n"/>
      <c r="C109" s="21" t="n"/>
      <c r="D109" s="21" t="n"/>
      <c r="E109" s="21" t="n"/>
      <c r="F109" s="21" t="n"/>
      <c r="G109" s="21" t="n"/>
      <c r="H109" s="21" t="n"/>
      <c r="I109" s="21" t="n"/>
      <c r="J109" s="21" t="n"/>
      <c r="K109" s="22">
        <f>IF(OR(ISBLANK(I109),ISBLANK(J109)),"",IF(AND(J109="Critical",I109="Very High"),25,IF(AND(J109="Critical",I109="High"),20,IF(AND(J109="High",I109="Very High"),20,IF(AND(J109="High",I109="High"),16,10)))))</f>
        <v/>
      </c>
      <c r="L109" s="21" t="n"/>
      <c r="M109" s="21" t="n"/>
      <c r="N109" s="22">
        <f>IF(OR(ISBLANK(L109),ISBLANK(M109)),"",IF(AND(M109="Critical",L109="Very High"),25,IF(AND(M109="Critical",L109="High"),20,IF(AND(M109="High",L109="Very High"),20,IF(AND(M109="High",L109="High"),16,10)))))</f>
        <v/>
      </c>
      <c r="O109" s="21" t="n"/>
      <c r="P109" s="21" t="n"/>
      <c r="Q109" s="21" t="n"/>
      <c r="R109" s="21" t="n"/>
      <c r="S109" s="21" t="n"/>
      <c r="T109" s="21" t="n"/>
      <c r="U109" s="22">
        <f>IF(ISBLANK(S109),"",S109+90)</f>
        <v/>
      </c>
    </row>
    <row r="110">
      <c r="A110" s="20" t="inlineStr">
        <is>
          <t>RISK-089</t>
        </is>
      </c>
      <c r="B110" s="21" t="n"/>
      <c r="C110" s="21" t="n"/>
      <c r="D110" s="21" t="n"/>
      <c r="E110" s="21" t="n"/>
      <c r="F110" s="21" t="n"/>
      <c r="G110" s="21" t="n"/>
      <c r="H110" s="21" t="n"/>
      <c r="I110" s="21" t="n"/>
      <c r="J110" s="21" t="n"/>
      <c r="K110" s="22">
        <f>IF(OR(ISBLANK(I110),ISBLANK(J110)),"",IF(AND(J110="Critical",I110="Very High"),25,IF(AND(J110="Critical",I110="High"),20,IF(AND(J110="High",I110="Very High"),20,IF(AND(J110="High",I110="High"),16,10)))))</f>
        <v/>
      </c>
      <c r="L110" s="21" t="n"/>
      <c r="M110" s="21" t="n"/>
      <c r="N110" s="22">
        <f>IF(OR(ISBLANK(L110),ISBLANK(M110)),"",IF(AND(M110="Critical",L110="Very High"),25,IF(AND(M110="Critical",L110="High"),20,IF(AND(M110="High",L110="Very High"),20,IF(AND(M110="High",L110="High"),16,10)))))</f>
        <v/>
      </c>
      <c r="O110" s="21" t="n"/>
      <c r="P110" s="21" t="n"/>
      <c r="Q110" s="21" t="n"/>
      <c r="R110" s="21" t="n"/>
      <c r="S110" s="21" t="n"/>
      <c r="T110" s="21" t="n"/>
      <c r="U110" s="22">
        <f>IF(ISBLANK(S110),"",S110+90)</f>
        <v/>
      </c>
    </row>
    <row r="111">
      <c r="A111" s="20" t="inlineStr">
        <is>
          <t>RISK-090</t>
        </is>
      </c>
      <c r="B111" s="21" t="n"/>
      <c r="C111" s="21" t="n"/>
      <c r="D111" s="21" t="n"/>
      <c r="E111" s="21" t="n"/>
      <c r="F111" s="21" t="n"/>
      <c r="G111" s="21" t="n"/>
      <c r="H111" s="21" t="n"/>
      <c r="I111" s="21" t="n"/>
      <c r="J111" s="21" t="n"/>
      <c r="K111" s="22">
        <f>IF(OR(ISBLANK(I111),ISBLANK(J111)),"",IF(AND(J111="Critical",I111="Very High"),25,IF(AND(J111="Critical",I111="High"),20,IF(AND(J111="High",I111="Very High"),20,IF(AND(J111="High",I111="High"),16,10)))))</f>
        <v/>
      </c>
      <c r="L111" s="21" t="n"/>
      <c r="M111" s="21" t="n"/>
      <c r="N111" s="22">
        <f>IF(OR(ISBLANK(L111),ISBLANK(M111)),"",IF(AND(M111="Critical",L111="Very High"),25,IF(AND(M111="Critical",L111="High"),20,IF(AND(M111="High",L111="Very High"),20,IF(AND(M111="High",L111="High"),16,10)))))</f>
        <v/>
      </c>
      <c r="O111" s="21" t="n"/>
      <c r="P111" s="21" t="n"/>
      <c r="Q111" s="21" t="n"/>
      <c r="R111" s="21" t="n"/>
      <c r="S111" s="21" t="n"/>
      <c r="T111" s="21" t="n"/>
      <c r="U111" s="22">
        <f>IF(ISBLANK(S111),"",S111+90)</f>
        <v/>
      </c>
    </row>
    <row r="112">
      <c r="A112" s="20" t="inlineStr">
        <is>
          <t>RISK-091</t>
        </is>
      </c>
      <c r="B112" s="21" t="n"/>
      <c r="C112" s="21" t="n"/>
      <c r="D112" s="21" t="n"/>
      <c r="E112" s="21" t="n"/>
      <c r="F112" s="21" t="n"/>
      <c r="G112" s="21" t="n"/>
      <c r="H112" s="21" t="n"/>
      <c r="I112" s="21" t="n"/>
      <c r="J112" s="21" t="n"/>
      <c r="K112" s="22">
        <f>IF(OR(ISBLANK(I112),ISBLANK(J112)),"",IF(AND(J112="Critical",I112="Very High"),25,IF(AND(J112="Critical",I112="High"),20,IF(AND(J112="High",I112="Very High"),20,IF(AND(J112="High",I112="High"),16,10)))))</f>
        <v/>
      </c>
      <c r="L112" s="21" t="n"/>
      <c r="M112" s="21" t="n"/>
      <c r="N112" s="22">
        <f>IF(OR(ISBLANK(L112),ISBLANK(M112)),"",IF(AND(M112="Critical",L112="Very High"),25,IF(AND(M112="Critical",L112="High"),20,IF(AND(M112="High",L112="Very High"),20,IF(AND(M112="High",L112="High"),16,10)))))</f>
        <v/>
      </c>
      <c r="O112" s="21" t="n"/>
      <c r="P112" s="21" t="n"/>
      <c r="Q112" s="21" t="n"/>
      <c r="R112" s="21" t="n"/>
      <c r="S112" s="21" t="n"/>
      <c r="T112" s="21" t="n"/>
      <c r="U112" s="22">
        <f>IF(ISBLANK(S112),"",S112+90)</f>
        <v/>
      </c>
    </row>
    <row r="113">
      <c r="A113" s="20" t="inlineStr">
        <is>
          <t>RISK-092</t>
        </is>
      </c>
      <c r="B113" s="21" t="n"/>
      <c r="C113" s="21" t="n"/>
      <c r="D113" s="21" t="n"/>
      <c r="E113" s="21" t="n"/>
      <c r="F113" s="21" t="n"/>
      <c r="G113" s="21" t="n"/>
      <c r="H113" s="21" t="n"/>
      <c r="I113" s="21" t="n"/>
      <c r="J113" s="21" t="n"/>
      <c r="K113" s="22">
        <f>IF(OR(ISBLANK(I113),ISBLANK(J113)),"",IF(AND(J113="Critical",I113="Very High"),25,IF(AND(J113="Critical",I113="High"),20,IF(AND(J113="High",I113="Very High"),20,IF(AND(J113="High",I113="High"),16,10)))))</f>
        <v/>
      </c>
      <c r="L113" s="21" t="n"/>
      <c r="M113" s="21" t="n"/>
      <c r="N113" s="22">
        <f>IF(OR(ISBLANK(L113),ISBLANK(M113)),"",IF(AND(M113="Critical",L113="Very High"),25,IF(AND(M113="Critical",L113="High"),20,IF(AND(M113="High",L113="Very High"),20,IF(AND(M113="High",L113="High"),16,10)))))</f>
        <v/>
      </c>
      <c r="O113" s="21" t="n"/>
      <c r="P113" s="21" t="n"/>
      <c r="Q113" s="21" t="n"/>
      <c r="R113" s="21" t="n"/>
      <c r="S113" s="21" t="n"/>
      <c r="T113" s="21" t="n"/>
      <c r="U113" s="22">
        <f>IF(ISBLANK(S113),"",S113+90)</f>
        <v/>
      </c>
    </row>
    <row r="114">
      <c r="A114" s="20" t="inlineStr">
        <is>
          <t>RISK-093</t>
        </is>
      </c>
      <c r="B114" s="21" t="n"/>
      <c r="C114" s="21" t="n"/>
      <c r="D114" s="21" t="n"/>
      <c r="E114" s="21" t="n"/>
      <c r="F114" s="21" t="n"/>
      <c r="G114" s="21" t="n"/>
      <c r="H114" s="21" t="n"/>
      <c r="I114" s="21" t="n"/>
      <c r="J114" s="21" t="n"/>
      <c r="K114" s="22">
        <f>IF(OR(ISBLANK(I114),ISBLANK(J114)),"",IF(AND(J114="Critical",I114="Very High"),25,IF(AND(J114="Critical",I114="High"),20,IF(AND(J114="High",I114="Very High"),20,IF(AND(J114="High",I114="High"),16,10)))))</f>
        <v/>
      </c>
      <c r="L114" s="21" t="n"/>
      <c r="M114" s="21" t="n"/>
      <c r="N114" s="22">
        <f>IF(OR(ISBLANK(L114),ISBLANK(M114)),"",IF(AND(M114="Critical",L114="Very High"),25,IF(AND(M114="Critical",L114="High"),20,IF(AND(M114="High",L114="Very High"),20,IF(AND(M114="High",L114="High"),16,10)))))</f>
        <v/>
      </c>
      <c r="O114" s="21" t="n"/>
      <c r="P114" s="21" t="n"/>
      <c r="Q114" s="21" t="n"/>
      <c r="R114" s="21" t="n"/>
      <c r="S114" s="21" t="n"/>
      <c r="T114" s="21" t="n"/>
      <c r="U114" s="22">
        <f>IF(ISBLANK(S114),"",S114+90)</f>
        <v/>
      </c>
    </row>
    <row r="115">
      <c r="A115" s="20" t="inlineStr">
        <is>
          <t>RISK-094</t>
        </is>
      </c>
      <c r="B115" s="21" t="n"/>
      <c r="C115" s="21" t="n"/>
      <c r="D115" s="21" t="n"/>
      <c r="E115" s="21" t="n"/>
      <c r="F115" s="21" t="n"/>
      <c r="G115" s="21" t="n"/>
      <c r="H115" s="21" t="n"/>
      <c r="I115" s="21" t="n"/>
      <c r="J115" s="21" t="n"/>
      <c r="K115" s="22">
        <f>IF(OR(ISBLANK(I115),ISBLANK(J115)),"",IF(AND(J115="Critical",I115="Very High"),25,IF(AND(J115="Critical",I115="High"),20,IF(AND(J115="High",I115="Very High"),20,IF(AND(J115="High",I115="High"),16,10)))))</f>
        <v/>
      </c>
      <c r="L115" s="21" t="n"/>
      <c r="M115" s="21" t="n"/>
      <c r="N115" s="22">
        <f>IF(OR(ISBLANK(L115),ISBLANK(M115)),"",IF(AND(M115="Critical",L115="Very High"),25,IF(AND(M115="Critical",L115="High"),20,IF(AND(M115="High",L115="Very High"),20,IF(AND(M115="High",L115="High"),16,10)))))</f>
        <v/>
      </c>
      <c r="O115" s="21" t="n"/>
      <c r="P115" s="21" t="n"/>
      <c r="Q115" s="21" t="n"/>
      <c r="R115" s="21" t="n"/>
      <c r="S115" s="21" t="n"/>
      <c r="T115" s="21" t="n"/>
      <c r="U115" s="22">
        <f>IF(ISBLANK(S115),"",S115+90)</f>
        <v/>
      </c>
    </row>
    <row r="116">
      <c r="A116" s="20" t="inlineStr">
        <is>
          <t>RISK-095</t>
        </is>
      </c>
      <c r="B116" s="21" t="n"/>
      <c r="C116" s="21" t="n"/>
      <c r="D116" s="21" t="n"/>
      <c r="E116" s="21" t="n"/>
      <c r="F116" s="21" t="n"/>
      <c r="G116" s="21" t="n"/>
      <c r="H116" s="21" t="n"/>
      <c r="I116" s="21" t="n"/>
      <c r="J116" s="21" t="n"/>
      <c r="K116" s="22">
        <f>IF(OR(ISBLANK(I116),ISBLANK(J116)),"",IF(AND(J116="Critical",I116="Very High"),25,IF(AND(J116="Critical",I116="High"),20,IF(AND(J116="High",I116="Very High"),20,IF(AND(J116="High",I116="High"),16,10)))))</f>
        <v/>
      </c>
      <c r="L116" s="21" t="n"/>
      <c r="M116" s="21" t="n"/>
      <c r="N116" s="22">
        <f>IF(OR(ISBLANK(L116),ISBLANK(M116)),"",IF(AND(M116="Critical",L116="Very High"),25,IF(AND(M116="Critical",L116="High"),20,IF(AND(M116="High",L116="Very High"),20,IF(AND(M116="High",L116="High"),16,10)))))</f>
        <v/>
      </c>
      <c r="O116" s="21" t="n"/>
      <c r="P116" s="21" t="n"/>
      <c r="Q116" s="21" t="n"/>
      <c r="R116" s="21" t="n"/>
      <c r="S116" s="21" t="n"/>
      <c r="T116" s="21" t="n"/>
      <c r="U116" s="22">
        <f>IF(ISBLANK(S116),"",S116+90)</f>
        <v/>
      </c>
    </row>
    <row r="117">
      <c r="A117" s="20" t="inlineStr">
        <is>
          <t>RISK-096</t>
        </is>
      </c>
      <c r="B117" s="21" t="n"/>
      <c r="C117" s="21" t="n"/>
      <c r="D117" s="21" t="n"/>
      <c r="E117" s="21" t="n"/>
      <c r="F117" s="21" t="n"/>
      <c r="G117" s="21" t="n"/>
      <c r="H117" s="21" t="n"/>
      <c r="I117" s="21" t="n"/>
      <c r="J117" s="21" t="n"/>
      <c r="K117" s="22">
        <f>IF(OR(ISBLANK(I117),ISBLANK(J117)),"",IF(AND(J117="Critical",I117="Very High"),25,IF(AND(J117="Critical",I117="High"),20,IF(AND(J117="High",I117="Very High"),20,IF(AND(J117="High",I117="High"),16,10)))))</f>
        <v/>
      </c>
      <c r="L117" s="21" t="n"/>
      <c r="M117" s="21" t="n"/>
      <c r="N117" s="22">
        <f>IF(OR(ISBLANK(L117),ISBLANK(M117)),"",IF(AND(M117="Critical",L117="Very High"),25,IF(AND(M117="Critical",L117="High"),20,IF(AND(M117="High",L117="Very High"),20,IF(AND(M117="High",L117="High"),16,10)))))</f>
        <v/>
      </c>
      <c r="O117" s="21" t="n"/>
      <c r="P117" s="21" t="n"/>
      <c r="Q117" s="21" t="n"/>
      <c r="R117" s="21" t="n"/>
      <c r="S117" s="21" t="n"/>
      <c r="T117" s="21" t="n"/>
      <c r="U117" s="22">
        <f>IF(ISBLANK(S117),"",S117+90)</f>
        <v/>
      </c>
    </row>
    <row r="118">
      <c r="A118" s="20" t="inlineStr">
        <is>
          <t>RISK-097</t>
        </is>
      </c>
      <c r="B118" s="21" t="n"/>
      <c r="C118" s="21" t="n"/>
      <c r="D118" s="21" t="n"/>
      <c r="E118" s="21" t="n"/>
      <c r="F118" s="21" t="n"/>
      <c r="G118" s="21" t="n"/>
      <c r="H118" s="21" t="n"/>
      <c r="I118" s="21" t="n"/>
      <c r="J118" s="21" t="n"/>
      <c r="K118" s="22">
        <f>IF(OR(ISBLANK(I118),ISBLANK(J118)),"",IF(AND(J118="Critical",I118="Very High"),25,IF(AND(J118="Critical",I118="High"),20,IF(AND(J118="High",I118="Very High"),20,IF(AND(J118="High",I118="High"),16,10)))))</f>
        <v/>
      </c>
      <c r="L118" s="21" t="n"/>
      <c r="M118" s="21" t="n"/>
      <c r="N118" s="22">
        <f>IF(OR(ISBLANK(L118),ISBLANK(M118)),"",IF(AND(M118="Critical",L118="Very High"),25,IF(AND(M118="Critical",L118="High"),20,IF(AND(M118="High",L118="Very High"),20,IF(AND(M118="High",L118="High"),16,10)))))</f>
        <v/>
      </c>
      <c r="O118" s="21" t="n"/>
      <c r="P118" s="21" t="n"/>
      <c r="Q118" s="21" t="n"/>
      <c r="R118" s="21" t="n"/>
      <c r="S118" s="21" t="n"/>
      <c r="T118" s="21" t="n"/>
      <c r="U118" s="22">
        <f>IF(ISBLANK(S118),"",S118+90)</f>
        <v/>
      </c>
    </row>
    <row r="119">
      <c r="A119" s="20" t="inlineStr">
        <is>
          <t>RISK-098</t>
        </is>
      </c>
      <c r="B119" s="21" t="n"/>
      <c r="C119" s="21" t="n"/>
      <c r="D119" s="21" t="n"/>
      <c r="E119" s="21" t="n"/>
      <c r="F119" s="21" t="n"/>
      <c r="G119" s="21" t="n"/>
      <c r="H119" s="21" t="n"/>
      <c r="I119" s="21" t="n"/>
      <c r="J119" s="21" t="n"/>
      <c r="K119" s="22">
        <f>IF(OR(ISBLANK(I119),ISBLANK(J119)),"",IF(AND(J119="Critical",I119="Very High"),25,IF(AND(J119="Critical",I119="High"),20,IF(AND(J119="High",I119="Very High"),20,IF(AND(J119="High",I119="High"),16,10)))))</f>
        <v/>
      </c>
      <c r="L119" s="21" t="n"/>
      <c r="M119" s="21" t="n"/>
      <c r="N119" s="22">
        <f>IF(OR(ISBLANK(L119),ISBLANK(M119)),"",IF(AND(M119="Critical",L119="Very High"),25,IF(AND(M119="Critical",L119="High"),20,IF(AND(M119="High",L119="Very High"),20,IF(AND(M119="High",L119="High"),16,10)))))</f>
        <v/>
      </c>
      <c r="O119" s="21" t="n"/>
      <c r="P119" s="21" t="n"/>
      <c r="Q119" s="21" t="n"/>
      <c r="R119" s="21" t="n"/>
      <c r="S119" s="21" t="n"/>
      <c r="T119" s="21" t="n"/>
      <c r="U119" s="22">
        <f>IF(ISBLANK(S119),"",S119+90)</f>
        <v/>
      </c>
    </row>
    <row r="120">
      <c r="A120" s="20" t="inlineStr">
        <is>
          <t>RISK-099</t>
        </is>
      </c>
      <c r="B120" s="21" t="n"/>
      <c r="C120" s="21" t="n"/>
      <c r="D120" s="21" t="n"/>
      <c r="E120" s="21" t="n"/>
      <c r="F120" s="21" t="n"/>
      <c r="G120" s="21" t="n"/>
      <c r="H120" s="21" t="n"/>
      <c r="I120" s="21" t="n"/>
      <c r="J120" s="21" t="n"/>
      <c r="K120" s="22">
        <f>IF(OR(ISBLANK(I120),ISBLANK(J120)),"",IF(AND(J120="Critical",I120="Very High"),25,IF(AND(J120="Critical",I120="High"),20,IF(AND(J120="High",I120="Very High"),20,IF(AND(J120="High",I120="High"),16,10)))))</f>
        <v/>
      </c>
      <c r="L120" s="21" t="n"/>
      <c r="M120" s="21" t="n"/>
      <c r="N120" s="22">
        <f>IF(OR(ISBLANK(L120),ISBLANK(M120)),"",IF(AND(M120="Critical",L120="Very High"),25,IF(AND(M120="Critical",L120="High"),20,IF(AND(M120="High",L120="Very High"),20,IF(AND(M120="High",L120="High"),16,10)))))</f>
        <v/>
      </c>
      <c r="O120" s="21" t="n"/>
      <c r="P120" s="21" t="n"/>
      <c r="Q120" s="21" t="n"/>
      <c r="R120" s="21" t="n"/>
      <c r="S120" s="21" t="n"/>
      <c r="T120" s="21" t="n"/>
      <c r="U120" s="22">
        <f>IF(ISBLANK(S120),"",S120+90)</f>
        <v/>
      </c>
    </row>
    <row r="121">
      <c r="A121" s="20" t="inlineStr">
        <is>
          <t>RISK-100</t>
        </is>
      </c>
      <c r="B121" s="21" t="n"/>
      <c r="C121" s="21" t="n"/>
      <c r="D121" s="21" t="n"/>
      <c r="E121" s="21" t="n"/>
      <c r="F121" s="21" t="n"/>
      <c r="G121" s="21" t="n"/>
      <c r="H121" s="21" t="n"/>
      <c r="I121" s="21" t="n"/>
      <c r="J121" s="21" t="n"/>
      <c r="K121" s="22">
        <f>IF(OR(ISBLANK(I121),ISBLANK(J121)),"",IF(AND(J121="Critical",I121="Very High"),25,IF(AND(J121="Critical",I121="High"),20,IF(AND(J121="High",I121="Very High"),20,IF(AND(J121="High",I121="High"),16,10)))))</f>
        <v/>
      </c>
      <c r="L121" s="21" t="n"/>
      <c r="M121" s="21" t="n"/>
      <c r="N121" s="22">
        <f>IF(OR(ISBLANK(L121),ISBLANK(M121)),"",IF(AND(M121="Critical",L121="Very High"),25,IF(AND(M121="Critical",L121="High"),20,IF(AND(M121="High",L121="Very High"),20,IF(AND(M121="High",L121="High"),16,10)))))</f>
        <v/>
      </c>
      <c r="O121" s="21" t="n"/>
      <c r="P121" s="21" t="n"/>
      <c r="Q121" s="21" t="n"/>
      <c r="R121" s="21" t="n"/>
      <c r="S121" s="21" t="n"/>
      <c r="T121" s="21" t="n"/>
      <c r="U121" s="22">
        <f>IF(ISBLANK(S121),"",S121+90)</f>
        <v/>
      </c>
    </row>
  </sheetData>
  <mergeCells count="2">
    <mergeCell ref="A1:U1"/>
    <mergeCell ref="A20:U20"/>
  </mergeCells>
  <dataValidations count="7">
    <dataValidation sqref="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showDropDown="0" showInputMessage="0" showErrorMessage="0" allowBlank="0" type="list">
      <formula1>"Cryptographic Weakness,Key Management,Authentication Failure,Data Exposure,Compliance Violation"</formula1>
    </dataValidation>
    <dataValidation sqref="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showDropDown="0" showInputMessage="0" showErrorMessage="0" allowBlank="0" type="list">
      <formula1>"External Attacker,Insider Threat,System Failure,Human Error,Vendor/Third Party"</formula1>
    </dataValidation>
    <dataValidation sqref="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showDropDown="0" showInputMessage="0" showErrorMessage="0" allowBlank="0" type="list">
      <formula1>"Effective,Partially Effective,Ineffective,None"</formula1>
    </dataValidation>
    <dataValidation sqref="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showDropDown="0" showInputMessage="0" showErrorMessage="0" allowBlank="0" type="list">
      <formula1>"Very High,High,Medium,Low,Very Low"</formula1>
    </dataValidation>
    <dataValidation sqref="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showDropDown="0" showInputMessage="0" showErrorMessage="0" allowBlank="0" type="list">
      <formula1>"Critical,High,Medium,Low"</formula1>
    </dataValidation>
    <dataValidation sqref="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showDropDown="0" showInputMessage="0" showErrorMessage="0" allowBlank="0" type="list">
      <formula1>"Mitigate,Accept,Transfer,Avoid"</formula1>
    </dataValidation>
    <dataValidation sqref="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showDropDown="0" showInputMessage="0" showErrorMessage="0" allowBlank="0" type="list">
      <formula1>"Open,Monitoring,Closed,Accepted"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9"/>
  <sheetViews>
    <sheetView workbookViewId="0">
      <pane ySplit="36" topLeftCell="A37" activePane="bottomLeft" state="frozen"/>
      <selection pane="bottomLeft" activeCell="A1" sqref="A1"/>
    </sheetView>
  </sheetViews>
  <sheetFormatPr baseColWidth="8" defaultRowHeight="15"/>
  <cols>
    <col width="14" customWidth="1" min="1" max="1"/>
    <col width="12" customWidth="1" min="2" max="2"/>
    <col width="12" customWidth="1" min="3" max="3"/>
    <col width="22" customWidth="1" min="4" max="4"/>
    <col width="40" customWidth="1" min="5" max="5"/>
    <col width="20" customWidth="1" min="6" max="6"/>
    <col width="12" customWidth="1" min="7" max="7"/>
    <col width="16" customWidth="1" min="8" max="8"/>
    <col width="10" customWidth="1" min="9" max="9"/>
    <col width="20" customWidth="1" min="10" max="10"/>
    <col width="20" customWidth="1" min="11" max="11"/>
    <col width="14" customWidth="1" min="12" max="12"/>
    <col width="14" customWidth="1" min="13" max="13"/>
    <col width="14" customWidth="1" min="14" max="14"/>
    <col width="10" customWidth="1" min="15" max="15"/>
    <col width="12" customWidth="1" min="16" max="16"/>
    <col width="30" customWidth="1" min="17" max="17"/>
    <col width="14" customWidth="1" min="18" max="18"/>
    <col width="14" customWidth="1" min="19" max="19"/>
    <col width="14" customWidth="1" min="20" max="20"/>
    <col width="20" customWidth="1" min="21" max="21"/>
    <col width="30" customWidth="1" min="22" max="22"/>
    <col width="25" customWidth="1" min="23" max="23"/>
    <col width="28" customWidth="1" min="24" max="24"/>
    <col width="30" customWidth="1" min="25" max="25"/>
    <col width="14" customWidth="1" min="26" max="26"/>
  </cols>
  <sheetData>
    <row r="1" ht="40" customHeight="1">
      <c r="A1" s="1" t="inlineStr">
        <is>
          <t>CRYPTOGRAPHY REMEDIATION ROADMAP
Action plan for closing identified gaps and reducing risk</t>
        </is>
      </c>
    </row>
    <row r="3">
      <c r="A3" s="10" t="inlineStr">
        <is>
          <t>Roadmap Summary - Overall Progress</t>
        </is>
      </c>
    </row>
    <row r="4">
      <c r="A4" s="7" t="inlineStr">
        <is>
          <t>Metric</t>
        </is>
      </c>
      <c r="B4" s="7" t="inlineStr">
        <is>
          <t>Value</t>
        </is>
      </c>
      <c r="C4" s="7" t="inlineStr">
        <is>
          <t>Target</t>
        </is>
      </c>
      <c r="D4" s="7" t="inlineStr">
        <is>
          <t>Status</t>
        </is>
      </c>
    </row>
    <row r="5">
      <c r="A5" s="8" t="inlineStr">
        <is>
          <t>Total Remediation Items</t>
        </is>
      </c>
      <c r="B5" s="14">
        <f>COUNTA(E37:E236)</f>
        <v/>
      </c>
      <c r="C5" s="8" t="inlineStr">
        <is>
          <t>N/A</t>
        </is>
      </c>
      <c r="D5" s="4" t="n"/>
    </row>
    <row r="6">
      <c r="A6" s="8" t="inlineStr">
        <is>
          <t>Completed</t>
        </is>
      </c>
      <c r="B6" s="14">
        <f>COUNTIF(H37:H236,"Completed")</f>
        <v/>
      </c>
      <c r="C6" s="8" t="inlineStr">
        <is>
          <t>-</t>
        </is>
      </c>
      <c r="D6" s="4" t="n"/>
    </row>
    <row r="7">
      <c r="A7" s="8" t="inlineStr">
        <is>
          <t>In Progress</t>
        </is>
      </c>
      <c r="B7" s="14">
        <f>COUNTIF(H37:H236,"In Progress")</f>
        <v/>
      </c>
      <c r="C7" s="8" t="inlineStr">
        <is>
          <t>-</t>
        </is>
      </c>
      <c r="D7" s="4" t="n"/>
    </row>
    <row r="8">
      <c r="A8" s="8" t="inlineStr">
        <is>
          <t>Not Started</t>
        </is>
      </c>
      <c r="B8" s="14">
        <f>COUNTIF(H37:H236,"Not Started")</f>
        <v/>
      </c>
      <c r="C8" s="8" t="inlineStr">
        <is>
          <t>-</t>
        </is>
      </c>
      <c r="D8" s="4" t="n"/>
    </row>
    <row r="9">
      <c r="A9" s="8" t="inlineStr">
        <is>
          <t>Overdue</t>
        </is>
      </c>
      <c r="B9" s="14">
        <f>COUNTIFS(M37:M236,"&lt;"&amp;TODAY(),H37:H236,"&lt;&gt;Completed")</f>
        <v/>
      </c>
      <c r="C9" s="8" t="inlineStr">
        <is>
          <t>0</t>
        </is>
      </c>
      <c r="D9" s="4" t="n"/>
    </row>
    <row r="10">
      <c r="A10" s="8" t="inlineStr">
        <is>
          <t>On Schedule</t>
        </is>
      </c>
      <c r="B10" s="14">
        <f>COUNTIFS(M37:M236,"&gt;="&amp;TODAY(),H37:H236,"&lt;&gt;Completed")</f>
        <v/>
      </c>
      <c r="C10" s="8" t="inlineStr">
        <is>
          <t>100%</t>
        </is>
      </c>
      <c r="D10" s="4" t="n"/>
    </row>
    <row r="11">
      <c r="A11" s="8" t="inlineStr">
        <is>
          <t>Total Budget Required</t>
        </is>
      </c>
      <c r="B11" s="18">
        <f>SUM(R37:R236)</f>
        <v/>
      </c>
      <c r="C11" s="8" t="inlineStr">
        <is>
          <t>-</t>
        </is>
      </c>
      <c r="D11" s="4" t="n"/>
    </row>
    <row r="12">
      <c r="A12" s="8" t="inlineStr">
        <is>
          <t>Budget Allocated</t>
        </is>
      </c>
      <c r="B12" s="19" t="inlineStr"/>
      <c r="C12" s="8" t="inlineStr">
        <is>
          <t>-</t>
        </is>
      </c>
      <c r="D12" s="4" t="n"/>
    </row>
    <row r="13">
      <c r="A13" s="8" t="inlineStr">
        <is>
          <t>Budget Utilized</t>
        </is>
      </c>
      <c r="B13" s="18">
        <f>SUM(T37:T236)</f>
        <v/>
      </c>
      <c r="C13" s="8" t="inlineStr">
        <is>
          <t>-</t>
        </is>
      </c>
      <c r="D13" s="4" t="n"/>
    </row>
    <row r="16">
      <c r="A16" s="3" t="inlineStr">
        <is>
          <t>Progress by Assessment Area</t>
        </is>
      </c>
    </row>
    <row r="17">
      <c r="A17" s="7" t="inlineStr">
        <is>
          <t>Assessment Area</t>
        </is>
      </c>
      <c r="B17" s="7" t="inlineStr">
        <is>
          <t>Total Items</t>
        </is>
      </c>
      <c r="C17" s="7" t="inlineStr">
        <is>
          <t>Completed</t>
        </is>
      </c>
      <c r="D17" s="7" t="inlineStr">
        <is>
          <t>In Progress</t>
        </is>
      </c>
      <c r="E17" s="7" t="inlineStr">
        <is>
          <t>Not Started</t>
        </is>
      </c>
      <c r="F17" s="7" t="inlineStr">
        <is>
          <t>% Complete</t>
        </is>
      </c>
      <c r="G17" s="7" t="inlineStr">
        <is>
          <t>On-Time %</t>
        </is>
      </c>
    </row>
    <row r="18">
      <c r="A18" s="8" t="inlineStr">
        <is>
          <t>Data Transmission</t>
        </is>
      </c>
      <c r="B18" s="14">
        <f>COUNTIF(D37:D236,"Data Transmission")</f>
        <v/>
      </c>
      <c r="C18" s="14">
        <f>COUNTIFS(D37:D236,"Data Transmission",H37:H236,"Completed")</f>
        <v/>
      </c>
      <c r="D18" s="14">
        <f>COUNTIFS(D37:D236,"Data Transmission",H37:H236,"In Progress")</f>
        <v/>
      </c>
      <c r="E18" s="14">
        <f>COUNTIFS(D37:D236,"Data Transmission",H37:H236,"Not Started")</f>
        <v/>
      </c>
      <c r="F18" s="14">
        <f>IF(B18=0,"0%",C18/B18*100&amp;"%")</f>
        <v/>
      </c>
      <c r="G18" s="4" t="n"/>
    </row>
    <row r="19">
      <c r="A19" s="8" t="inlineStr">
        <is>
          <t>Data Storage</t>
        </is>
      </c>
      <c r="B19" s="14">
        <f>COUNTIF(D37:D236,"Data Storage")</f>
        <v/>
      </c>
      <c r="C19" s="14">
        <f>COUNTIFS(D37:D236,"Data Storage",H37:H236,"Completed")</f>
        <v/>
      </c>
      <c r="D19" s="14">
        <f>COUNTIFS(D37:D236,"Data Storage",H37:H236,"In Progress")</f>
        <v/>
      </c>
      <c r="E19" s="14">
        <f>COUNTIFS(D37:D236,"Data Storage",H37:H236,"Not Started")</f>
        <v/>
      </c>
      <c r="F19" s="14">
        <f>IF(B19=0,"0%",C19/B19*100&amp;"%")</f>
        <v/>
      </c>
      <c r="G19" s="4" t="n"/>
    </row>
    <row r="20">
      <c r="A20" s="8" t="inlineStr">
        <is>
          <t>Authentication</t>
        </is>
      </c>
      <c r="B20" s="14">
        <f>COUNTIF(D37:D236,"Authentication")</f>
        <v/>
      </c>
      <c r="C20" s="14">
        <f>COUNTIFS(D37:D236,"Authentication",H37:H236,"Completed")</f>
        <v/>
      </c>
      <c r="D20" s="14">
        <f>COUNTIFS(D37:D236,"Authentication",H37:H236,"In Progress")</f>
        <v/>
      </c>
      <c r="E20" s="14">
        <f>COUNTIFS(D37:D236,"Authentication",H37:H236,"Not Started")</f>
        <v/>
      </c>
      <c r="F20" s="14">
        <f>IF(B20=0,"0%",C20/B20*100&amp;"%")</f>
        <v/>
      </c>
      <c r="G20" s="4" t="n"/>
    </row>
    <row r="21">
      <c r="A21" s="8" t="inlineStr">
        <is>
          <t>Key Management</t>
        </is>
      </c>
      <c r="B21" s="14">
        <f>COUNTIF(D37:D236,"Key Management")</f>
        <v/>
      </c>
      <c r="C21" s="14">
        <f>COUNTIFS(D37:D236,"Key Management",H37:H236,"Completed")</f>
        <v/>
      </c>
      <c r="D21" s="14">
        <f>COUNTIFS(D37:D236,"Key Management",H37:H236,"In Progress")</f>
        <v/>
      </c>
      <c r="E21" s="14">
        <f>COUNTIFS(D37:D236,"Key Management",H37:H236,"Not Started")</f>
        <v/>
      </c>
      <c r="F21" s="14">
        <f>IF(B21=0,"0%",C21/B21*100&amp;"%")</f>
        <v/>
      </c>
      <c r="G21" s="4" t="n"/>
    </row>
    <row r="24">
      <c r="A24" s="10" t="inlineStr">
        <is>
          <t>REMEDIATION TIMELINE BY QUARTER</t>
        </is>
      </c>
    </row>
    <row r="25">
      <c r="A25" s="23" t="inlineStr">
        <is>
          <t>(Gantt chart visualization - use conditional formatting or insert chart manually)</t>
        </is>
      </c>
    </row>
    <row r="28">
      <c r="A28" s="10" t="inlineStr">
        <is>
          <t>DETAILED REMEDIATION REGISTER</t>
        </is>
      </c>
    </row>
    <row r="29">
      <c r="A29" s="7" t="inlineStr">
        <is>
          <t>Remediation ID</t>
        </is>
      </c>
      <c r="B29" s="7" t="inlineStr">
        <is>
          <t>Gap ID (Link)</t>
        </is>
      </c>
      <c r="C29" s="7" t="inlineStr">
        <is>
          <t>Risk ID (Link)</t>
        </is>
      </c>
      <c r="D29" s="7" t="inlineStr">
        <is>
          <t>Assessment Area</t>
        </is>
      </c>
      <c r="E29" s="7" t="inlineStr">
        <is>
          <t>Remediation Action</t>
        </is>
      </c>
      <c r="F29" s="7" t="inlineStr">
        <is>
          <t>Action Type</t>
        </is>
      </c>
      <c r="G29" s="7" t="inlineStr">
        <is>
          <t>Priority</t>
        </is>
      </c>
      <c r="H29" s="7" t="inlineStr">
        <is>
          <t>Current Status</t>
        </is>
      </c>
      <c r="I29" s="7" t="inlineStr">
        <is>
          <t>% Complete</t>
        </is>
      </c>
      <c r="J29" s="7" t="inlineStr">
        <is>
          <t>Responsible Person</t>
        </is>
      </c>
      <c r="K29" s="7" t="inlineStr">
        <is>
          <t>Supporting Team</t>
        </is>
      </c>
      <c r="L29" s="7" t="inlineStr">
        <is>
          <t>Start Date</t>
        </is>
      </c>
      <c r="M29" s="7" t="inlineStr">
        <is>
          <t>Target Date</t>
        </is>
      </c>
      <c r="N29" s="7" t="inlineStr">
        <is>
          <t>Actual Completion</t>
        </is>
      </c>
      <c r="O29" s="7" t="inlineStr">
        <is>
          <t>Days Remaining</t>
        </is>
      </c>
      <c r="P29" s="7" t="inlineStr">
        <is>
          <t>On Schedule</t>
        </is>
      </c>
      <c r="Q29" s="7" t="inlineStr">
        <is>
          <t>Dependencies</t>
        </is>
      </c>
      <c r="R29" s="7" t="inlineStr">
        <is>
          <t>Budget Required</t>
        </is>
      </c>
      <c r="S29" s="7" t="inlineStr">
        <is>
          <t>Budget Approved</t>
        </is>
      </c>
      <c r="T29" s="7" t="inlineStr">
        <is>
          <t>Actual Cost</t>
        </is>
      </c>
      <c r="U29" s="7" t="inlineStr">
        <is>
          <t>Vendor/Resource</t>
        </is>
      </c>
      <c r="V29" s="7" t="inlineStr">
        <is>
          <t>Success Criteria</t>
        </is>
      </c>
      <c r="W29" s="7" t="inlineStr">
        <is>
          <t>Verification Method</t>
        </is>
      </c>
      <c r="X29" s="7" t="inlineStr">
        <is>
          <t>Completion Evidence</t>
        </is>
      </c>
      <c r="Y29" s="7" t="inlineStr">
        <is>
          <t>Notes/Comments</t>
        </is>
      </c>
      <c r="Z29" s="7" t="inlineStr">
        <is>
          <t>Last Updated</t>
        </is>
      </c>
    </row>
    <row r="30">
      <c r="A30" s="20" t="inlineStr">
        <is>
          <t>REM-001</t>
        </is>
      </c>
      <c r="B30" s="21" t="n"/>
      <c r="C30" s="21" t="n"/>
      <c r="D30" s="21" t="n"/>
      <c r="E30" s="21" t="n"/>
      <c r="F30" s="21" t="n"/>
      <c r="G30" s="21" t="n"/>
      <c r="H30" s="21" t="n"/>
      <c r="I30" s="24" t="n"/>
      <c r="J30" s="21" t="n"/>
      <c r="K30" s="21" t="n"/>
      <c r="L30" s="21" t="n"/>
      <c r="M30" s="21" t="n"/>
      <c r="N30" s="21" t="n"/>
      <c r="O30" s="25">
        <f>IF(H30="Completed",0,IF(ISBLANK(M30),"",M30-TODAY()))</f>
        <v/>
      </c>
      <c r="P30" s="25">
        <f>IF(H30="Completed","Completed",IF(ISBLANK(O30),"",IF(O30&lt;0,"Overdue",IF(O30&lt;30,"At Risk","On Track"))))</f>
        <v/>
      </c>
      <c r="Q30" s="21" t="n"/>
      <c r="R30" s="26" t="n"/>
      <c r="S30" s="21" t="n"/>
      <c r="T30" s="26" t="n"/>
      <c r="U30" s="21" t="n"/>
      <c r="V30" s="21" t="n"/>
      <c r="W30" s="21" t="n"/>
      <c r="X30" s="21" t="n"/>
      <c r="Y30" s="21" t="n"/>
      <c r="Z30" s="25">
        <f>TODAY()</f>
        <v/>
      </c>
    </row>
    <row r="31">
      <c r="A31" s="20" t="inlineStr">
        <is>
          <t>REM-002</t>
        </is>
      </c>
      <c r="B31" s="21" t="n"/>
      <c r="C31" s="21" t="n"/>
      <c r="D31" s="21" t="n"/>
      <c r="E31" s="21" t="n"/>
      <c r="F31" s="21" t="n"/>
      <c r="G31" s="21" t="n"/>
      <c r="H31" s="21" t="n"/>
      <c r="I31" s="24" t="n"/>
      <c r="J31" s="21" t="n"/>
      <c r="K31" s="21" t="n"/>
      <c r="L31" s="21" t="n"/>
      <c r="M31" s="21" t="n"/>
      <c r="N31" s="21" t="n"/>
      <c r="O31" s="25">
        <f>IF(H31="Completed",0,IF(ISBLANK(M31),"",M31-TODAY()))</f>
        <v/>
      </c>
      <c r="P31" s="25">
        <f>IF(H31="Completed","Completed",IF(ISBLANK(O31),"",IF(O31&lt;0,"Overdue",IF(O31&lt;30,"At Risk","On Track"))))</f>
        <v/>
      </c>
      <c r="Q31" s="21" t="n"/>
      <c r="R31" s="26" t="n"/>
      <c r="S31" s="21" t="n"/>
      <c r="T31" s="26" t="n"/>
      <c r="U31" s="21" t="n"/>
      <c r="V31" s="21" t="n"/>
      <c r="W31" s="21" t="n"/>
      <c r="X31" s="21" t="n"/>
      <c r="Y31" s="21" t="n"/>
      <c r="Z31" s="25">
        <f>TODAY()</f>
        <v/>
      </c>
    </row>
    <row r="32">
      <c r="A32" s="20" t="inlineStr">
        <is>
          <t>REM-003</t>
        </is>
      </c>
      <c r="B32" s="21" t="n"/>
      <c r="C32" s="21" t="n"/>
      <c r="D32" s="21" t="n"/>
      <c r="E32" s="21" t="n"/>
      <c r="F32" s="21" t="n"/>
      <c r="G32" s="21" t="n"/>
      <c r="H32" s="21" t="n"/>
      <c r="I32" s="24" t="n"/>
      <c r="J32" s="21" t="n"/>
      <c r="K32" s="21" t="n"/>
      <c r="L32" s="21" t="n"/>
      <c r="M32" s="21" t="n"/>
      <c r="N32" s="21" t="n"/>
      <c r="O32" s="25">
        <f>IF(H32="Completed",0,IF(ISBLANK(M32),"",M32-TODAY()))</f>
        <v/>
      </c>
      <c r="P32" s="25">
        <f>IF(H32="Completed","Completed",IF(ISBLANK(O32),"",IF(O32&lt;0,"Overdue",IF(O32&lt;30,"At Risk","On Track"))))</f>
        <v/>
      </c>
      <c r="Q32" s="21" t="n"/>
      <c r="R32" s="26" t="n"/>
      <c r="S32" s="21" t="n"/>
      <c r="T32" s="26" t="n"/>
      <c r="U32" s="21" t="n"/>
      <c r="V32" s="21" t="n"/>
      <c r="W32" s="21" t="n"/>
      <c r="X32" s="21" t="n"/>
      <c r="Y32" s="21" t="n"/>
      <c r="Z32" s="25">
        <f>TODAY()</f>
        <v/>
      </c>
    </row>
    <row r="33">
      <c r="A33" s="20" t="inlineStr">
        <is>
          <t>REM-004</t>
        </is>
      </c>
      <c r="B33" s="21" t="n"/>
      <c r="C33" s="21" t="n"/>
      <c r="D33" s="21" t="n"/>
      <c r="E33" s="21" t="n"/>
      <c r="F33" s="21" t="n"/>
      <c r="G33" s="21" t="n"/>
      <c r="H33" s="21" t="n"/>
      <c r="I33" s="24" t="n"/>
      <c r="J33" s="21" t="n"/>
      <c r="K33" s="21" t="n"/>
      <c r="L33" s="21" t="n"/>
      <c r="M33" s="21" t="n"/>
      <c r="N33" s="21" t="n"/>
      <c r="O33" s="25">
        <f>IF(H33="Completed",0,IF(ISBLANK(M33),"",M33-TODAY()))</f>
        <v/>
      </c>
      <c r="P33" s="25">
        <f>IF(H33="Completed","Completed",IF(ISBLANK(O33),"",IF(O33&lt;0,"Overdue",IF(O33&lt;30,"At Risk","On Track"))))</f>
        <v/>
      </c>
      <c r="Q33" s="21" t="n"/>
      <c r="R33" s="26" t="n"/>
      <c r="S33" s="21" t="n"/>
      <c r="T33" s="26" t="n"/>
      <c r="U33" s="21" t="n"/>
      <c r="V33" s="21" t="n"/>
      <c r="W33" s="21" t="n"/>
      <c r="X33" s="21" t="n"/>
      <c r="Y33" s="21" t="n"/>
      <c r="Z33" s="25">
        <f>TODAY()</f>
        <v/>
      </c>
    </row>
    <row r="34">
      <c r="A34" s="20" t="inlineStr">
        <is>
          <t>REM-005</t>
        </is>
      </c>
      <c r="B34" s="21" t="n"/>
      <c r="C34" s="21" t="n"/>
      <c r="D34" s="21" t="n"/>
      <c r="E34" s="21" t="n"/>
      <c r="F34" s="21" t="n"/>
      <c r="G34" s="21" t="n"/>
      <c r="H34" s="21" t="n"/>
      <c r="I34" s="24" t="n"/>
      <c r="J34" s="21" t="n"/>
      <c r="K34" s="21" t="n"/>
      <c r="L34" s="21" t="n"/>
      <c r="M34" s="21" t="n"/>
      <c r="N34" s="21" t="n"/>
      <c r="O34" s="25">
        <f>IF(H34="Completed",0,IF(ISBLANK(M34),"",M34-TODAY()))</f>
        <v/>
      </c>
      <c r="P34" s="25">
        <f>IF(H34="Completed","Completed",IF(ISBLANK(O34),"",IF(O34&lt;0,"Overdue",IF(O34&lt;30,"At Risk","On Track"))))</f>
        <v/>
      </c>
      <c r="Q34" s="21" t="n"/>
      <c r="R34" s="26" t="n"/>
      <c r="S34" s="21" t="n"/>
      <c r="T34" s="26" t="n"/>
      <c r="U34" s="21" t="n"/>
      <c r="V34" s="21" t="n"/>
      <c r="W34" s="21" t="n"/>
      <c r="X34" s="21" t="n"/>
      <c r="Y34" s="21" t="n"/>
      <c r="Z34" s="25">
        <f>TODAY()</f>
        <v/>
      </c>
    </row>
    <row r="35">
      <c r="A35" s="20" t="inlineStr">
        <is>
          <t>REM-006</t>
        </is>
      </c>
      <c r="B35" s="21" t="n"/>
      <c r="C35" s="21" t="n"/>
      <c r="D35" s="21" t="n"/>
      <c r="E35" s="21" t="n"/>
      <c r="F35" s="21" t="n"/>
      <c r="G35" s="21" t="n"/>
      <c r="H35" s="21" t="n"/>
      <c r="I35" s="24" t="n"/>
      <c r="J35" s="21" t="n"/>
      <c r="K35" s="21" t="n"/>
      <c r="L35" s="21" t="n"/>
      <c r="M35" s="21" t="n"/>
      <c r="N35" s="21" t="n"/>
      <c r="O35" s="25">
        <f>IF(H35="Completed",0,IF(ISBLANK(M35),"",M35-TODAY()))</f>
        <v/>
      </c>
      <c r="P35" s="25">
        <f>IF(H35="Completed","Completed",IF(ISBLANK(O35),"",IF(O35&lt;0,"Overdue",IF(O35&lt;30,"At Risk","On Track"))))</f>
        <v/>
      </c>
      <c r="Q35" s="21" t="n"/>
      <c r="R35" s="26" t="n"/>
      <c r="S35" s="21" t="n"/>
      <c r="T35" s="26" t="n"/>
      <c r="U35" s="21" t="n"/>
      <c r="V35" s="21" t="n"/>
      <c r="W35" s="21" t="n"/>
      <c r="X35" s="21" t="n"/>
      <c r="Y35" s="21" t="n"/>
      <c r="Z35" s="25">
        <f>TODAY()</f>
        <v/>
      </c>
    </row>
    <row r="36">
      <c r="A36" s="20" t="inlineStr">
        <is>
          <t>REM-007</t>
        </is>
      </c>
      <c r="B36" s="21" t="n"/>
      <c r="C36" s="21" t="n"/>
      <c r="D36" s="21" t="n"/>
      <c r="E36" s="21" t="n"/>
      <c r="F36" s="21" t="n"/>
      <c r="G36" s="21" t="n"/>
      <c r="H36" s="21" t="n"/>
      <c r="I36" s="24" t="n"/>
      <c r="J36" s="21" t="n"/>
      <c r="K36" s="21" t="n"/>
      <c r="L36" s="21" t="n"/>
      <c r="M36" s="21" t="n"/>
      <c r="N36" s="21" t="n"/>
      <c r="O36" s="25">
        <f>IF(H36="Completed",0,IF(ISBLANK(M36),"",M36-TODAY()))</f>
        <v/>
      </c>
      <c r="P36" s="25">
        <f>IF(H36="Completed","Completed",IF(ISBLANK(O36),"",IF(O36&lt;0,"Overdue",IF(O36&lt;30,"At Risk","On Track"))))</f>
        <v/>
      </c>
      <c r="Q36" s="21" t="n"/>
      <c r="R36" s="26" t="n"/>
      <c r="S36" s="21" t="n"/>
      <c r="T36" s="26" t="n"/>
      <c r="U36" s="21" t="n"/>
      <c r="V36" s="21" t="n"/>
      <c r="W36" s="21" t="n"/>
      <c r="X36" s="21" t="n"/>
      <c r="Y36" s="21" t="n"/>
      <c r="Z36" s="25">
        <f>TODAY()</f>
        <v/>
      </c>
    </row>
    <row r="37">
      <c r="A37" s="20" t="inlineStr">
        <is>
          <t>REM-008</t>
        </is>
      </c>
      <c r="B37" s="21" t="n"/>
      <c r="C37" s="21" t="n"/>
      <c r="D37" s="21" t="n"/>
      <c r="E37" s="21" t="n"/>
      <c r="F37" s="21" t="n"/>
      <c r="G37" s="21" t="n"/>
      <c r="H37" s="21" t="n"/>
      <c r="I37" s="24" t="n"/>
      <c r="J37" s="21" t="n"/>
      <c r="K37" s="21" t="n"/>
      <c r="L37" s="21" t="n"/>
      <c r="M37" s="21" t="n"/>
      <c r="N37" s="21" t="n"/>
      <c r="O37" s="25">
        <f>IF(H37="Completed",0,IF(ISBLANK(M37),"",M37-TODAY()))</f>
        <v/>
      </c>
      <c r="P37" s="25">
        <f>IF(H37="Completed","Completed",IF(ISBLANK(O37),"",IF(O37&lt;0,"Overdue",IF(O37&lt;30,"At Risk","On Track"))))</f>
        <v/>
      </c>
      <c r="Q37" s="21" t="n"/>
      <c r="R37" s="26" t="n"/>
      <c r="S37" s="21" t="n"/>
      <c r="T37" s="26" t="n"/>
      <c r="U37" s="21" t="n"/>
      <c r="V37" s="21" t="n"/>
      <c r="W37" s="21" t="n"/>
      <c r="X37" s="21" t="n"/>
      <c r="Y37" s="21" t="n"/>
      <c r="Z37" s="25">
        <f>TODAY()</f>
        <v/>
      </c>
    </row>
    <row r="38">
      <c r="A38" s="20" t="inlineStr">
        <is>
          <t>REM-009</t>
        </is>
      </c>
      <c r="B38" s="21" t="n"/>
      <c r="C38" s="21" t="n"/>
      <c r="D38" s="21" t="n"/>
      <c r="E38" s="21" t="n"/>
      <c r="F38" s="21" t="n"/>
      <c r="G38" s="21" t="n"/>
      <c r="H38" s="21" t="n"/>
      <c r="I38" s="24" t="n"/>
      <c r="J38" s="21" t="n"/>
      <c r="K38" s="21" t="n"/>
      <c r="L38" s="21" t="n"/>
      <c r="M38" s="21" t="n"/>
      <c r="N38" s="21" t="n"/>
      <c r="O38" s="25">
        <f>IF(H38="Completed",0,IF(ISBLANK(M38),"",M38-TODAY()))</f>
        <v/>
      </c>
      <c r="P38" s="25">
        <f>IF(H38="Completed","Completed",IF(ISBLANK(O38),"",IF(O38&lt;0,"Overdue",IF(O38&lt;30,"At Risk","On Track"))))</f>
        <v/>
      </c>
      <c r="Q38" s="21" t="n"/>
      <c r="R38" s="26" t="n"/>
      <c r="S38" s="21" t="n"/>
      <c r="T38" s="26" t="n"/>
      <c r="U38" s="21" t="n"/>
      <c r="V38" s="21" t="n"/>
      <c r="W38" s="21" t="n"/>
      <c r="X38" s="21" t="n"/>
      <c r="Y38" s="21" t="n"/>
      <c r="Z38" s="25">
        <f>TODAY()</f>
        <v/>
      </c>
    </row>
    <row r="39">
      <c r="A39" s="20" t="inlineStr">
        <is>
          <t>REM-010</t>
        </is>
      </c>
      <c r="B39" s="21" t="n"/>
      <c r="C39" s="21" t="n"/>
      <c r="D39" s="21" t="n"/>
      <c r="E39" s="21" t="n"/>
      <c r="F39" s="21" t="n"/>
      <c r="G39" s="21" t="n"/>
      <c r="H39" s="21" t="n"/>
      <c r="I39" s="24" t="n"/>
      <c r="J39" s="21" t="n"/>
      <c r="K39" s="21" t="n"/>
      <c r="L39" s="21" t="n"/>
      <c r="M39" s="21" t="n"/>
      <c r="N39" s="21" t="n"/>
      <c r="O39" s="25">
        <f>IF(H39="Completed",0,IF(ISBLANK(M39),"",M39-TODAY()))</f>
        <v/>
      </c>
      <c r="P39" s="25">
        <f>IF(H39="Completed","Completed",IF(ISBLANK(O39),"",IF(O39&lt;0,"Overdue",IF(O39&lt;30,"At Risk","On Track"))))</f>
        <v/>
      </c>
      <c r="Q39" s="21" t="n"/>
      <c r="R39" s="26" t="n"/>
      <c r="S39" s="21" t="n"/>
      <c r="T39" s="26" t="n"/>
      <c r="U39" s="21" t="n"/>
      <c r="V39" s="21" t="n"/>
      <c r="W39" s="21" t="n"/>
      <c r="X39" s="21" t="n"/>
      <c r="Y39" s="21" t="n"/>
      <c r="Z39" s="25">
        <f>TODAY()</f>
        <v/>
      </c>
    </row>
    <row r="40">
      <c r="A40" s="20" t="inlineStr">
        <is>
          <t>REM-011</t>
        </is>
      </c>
      <c r="B40" s="21" t="n"/>
      <c r="C40" s="21" t="n"/>
      <c r="D40" s="21" t="n"/>
      <c r="E40" s="21" t="n"/>
      <c r="F40" s="21" t="n"/>
      <c r="G40" s="21" t="n"/>
      <c r="H40" s="21" t="n"/>
      <c r="I40" s="24" t="n"/>
      <c r="J40" s="21" t="n"/>
      <c r="K40" s="21" t="n"/>
      <c r="L40" s="21" t="n"/>
      <c r="M40" s="21" t="n"/>
      <c r="N40" s="21" t="n"/>
      <c r="O40" s="25">
        <f>IF(H40="Completed",0,IF(ISBLANK(M40),"",M40-TODAY()))</f>
        <v/>
      </c>
      <c r="P40" s="25">
        <f>IF(H40="Completed","Completed",IF(ISBLANK(O40),"",IF(O40&lt;0,"Overdue",IF(O40&lt;30,"At Risk","On Track"))))</f>
        <v/>
      </c>
      <c r="Q40" s="21" t="n"/>
      <c r="R40" s="26" t="n"/>
      <c r="S40" s="21" t="n"/>
      <c r="T40" s="26" t="n"/>
      <c r="U40" s="21" t="n"/>
      <c r="V40" s="21" t="n"/>
      <c r="W40" s="21" t="n"/>
      <c r="X40" s="21" t="n"/>
      <c r="Y40" s="21" t="n"/>
      <c r="Z40" s="25">
        <f>TODAY()</f>
        <v/>
      </c>
    </row>
    <row r="41">
      <c r="A41" s="20" t="inlineStr">
        <is>
          <t>REM-012</t>
        </is>
      </c>
      <c r="B41" s="21" t="n"/>
      <c r="C41" s="21" t="n"/>
      <c r="D41" s="21" t="n"/>
      <c r="E41" s="21" t="n"/>
      <c r="F41" s="21" t="n"/>
      <c r="G41" s="21" t="n"/>
      <c r="H41" s="21" t="n"/>
      <c r="I41" s="24" t="n"/>
      <c r="J41" s="21" t="n"/>
      <c r="K41" s="21" t="n"/>
      <c r="L41" s="21" t="n"/>
      <c r="M41" s="21" t="n"/>
      <c r="N41" s="21" t="n"/>
      <c r="O41" s="25">
        <f>IF(H41="Completed",0,IF(ISBLANK(M41),"",M41-TODAY()))</f>
        <v/>
      </c>
      <c r="P41" s="25">
        <f>IF(H41="Completed","Completed",IF(ISBLANK(O41),"",IF(O41&lt;0,"Overdue",IF(O41&lt;30,"At Risk","On Track"))))</f>
        <v/>
      </c>
      <c r="Q41" s="21" t="n"/>
      <c r="R41" s="26" t="n"/>
      <c r="S41" s="21" t="n"/>
      <c r="T41" s="26" t="n"/>
      <c r="U41" s="21" t="n"/>
      <c r="V41" s="21" t="n"/>
      <c r="W41" s="21" t="n"/>
      <c r="X41" s="21" t="n"/>
      <c r="Y41" s="21" t="n"/>
      <c r="Z41" s="25">
        <f>TODAY()</f>
        <v/>
      </c>
    </row>
    <row r="42">
      <c r="A42" s="20" t="inlineStr">
        <is>
          <t>REM-013</t>
        </is>
      </c>
      <c r="B42" s="21" t="n"/>
      <c r="C42" s="21" t="n"/>
      <c r="D42" s="21" t="n"/>
      <c r="E42" s="21" t="n"/>
      <c r="F42" s="21" t="n"/>
      <c r="G42" s="21" t="n"/>
      <c r="H42" s="21" t="n"/>
      <c r="I42" s="24" t="n"/>
      <c r="J42" s="21" t="n"/>
      <c r="K42" s="21" t="n"/>
      <c r="L42" s="21" t="n"/>
      <c r="M42" s="21" t="n"/>
      <c r="N42" s="21" t="n"/>
      <c r="O42" s="25">
        <f>IF(H42="Completed",0,IF(ISBLANK(M42),"",M42-TODAY()))</f>
        <v/>
      </c>
      <c r="P42" s="25">
        <f>IF(H42="Completed","Completed",IF(ISBLANK(O42),"",IF(O42&lt;0,"Overdue",IF(O42&lt;30,"At Risk","On Track"))))</f>
        <v/>
      </c>
      <c r="Q42" s="21" t="n"/>
      <c r="R42" s="26" t="n"/>
      <c r="S42" s="21" t="n"/>
      <c r="T42" s="26" t="n"/>
      <c r="U42" s="21" t="n"/>
      <c r="V42" s="21" t="n"/>
      <c r="W42" s="21" t="n"/>
      <c r="X42" s="21" t="n"/>
      <c r="Y42" s="21" t="n"/>
      <c r="Z42" s="25">
        <f>TODAY()</f>
        <v/>
      </c>
    </row>
    <row r="43">
      <c r="A43" s="20" t="inlineStr">
        <is>
          <t>REM-014</t>
        </is>
      </c>
      <c r="B43" s="21" t="n"/>
      <c r="C43" s="21" t="n"/>
      <c r="D43" s="21" t="n"/>
      <c r="E43" s="21" t="n"/>
      <c r="F43" s="21" t="n"/>
      <c r="G43" s="21" t="n"/>
      <c r="H43" s="21" t="n"/>
      <c r="I43" s="24" t="n"/>
      <c r="J43" s="21" t="n"/>
      <c r="K43" s="21" t="n"/>
      <c r="L43" s="21" t="n"/>
      <c r="M43" s="21" t="n"/>
      <c r="N43" s="21" t="n"/>
      <c r="O43" s="25">
        <f>IF(H43="Completed",0,IF(ISBLANK(M43),"",M43-TODAY()))</f>
        <v/>
      </c>
      <c r="P43" s="25">
        <f>IF(H43="Completed","Completed",IF(ISBLANK(O43),"",IF(O43&lt;0,"Overdue",IF(O43&lt;30,"At Risk","On Track"))))</f>
        <v/>
      </c>
      <c r="Q43" s="21" t="n"/>
      <c r="R43" s="26" t="n"/>
      <c r="S43" s="21" t="n"/>
      <c r="T43" s="26" t="n"/>
      <c r="U43" s="21" t="n"/>
      <c r="V43" s="21" t="n"/>
      <c r="W43" s="21" t="n"/>
      <c r="X43" s="21" t="n"/>
      <c r="Y43" s="21" t="n"/>
      <c r="Z43" s="25">
        <f>TODAY()</f>
        <v/>
      </c>
    </row>
    <row r="44">
      <c r="A44" s="20" t="inlineStr">
        <is>
          <t>REM-015</t>
        </is>
      </c>
      <c r="B44" s="21" t="n"/>
      <c r="C44" s="21" t="n"/>
      <c r="D44" s="21" t="n"/>
      <c r="E44" s="21" t="n"/>
      <c r="F44" s="21" t="n"/>
      <c r="G44" s="21" t="n"/>
      <c r="H44" s="21" t="n"/>
      <c r="I44" s="24" t="n"/>
      <c r="J44" s="21" t="n"/>
      <c r="K44" s="21" t="n"/>
      <c r="L44" s="21" t="n"/>
      <c r="M44" s="21" t="n"/>
      <c r="N44" s="21" t="n"/>
      <c r="O44" s="25">
        <f>IF(H44="Completed",0,IF(ISBLANK(M44),"",M44-TODAY()))</f>
        <v/>
      </c>
      <c r="P44" s="25">
        <f>IF(H44="Completed","Completed",IF(ISBLANK(O44),"",IF(O44&lt;0,"Overdue",IF(O44&lt;30,"At Risk","On Track"))))</f>
        <v/>
      </c>
      <c r="Q44" s="21" t="n"/>
      <c r="R44" s="26" t="n"/>
      <c r="S44" s="21" t="n"/>
      <c r="T44" s="26" t="n"/>
      <c r="U44" s="21" t="n"/>
      <c r="V44" s="21" t="n"/>
      <c r="W44" s="21" t="n"/>
      <c r="X44" s="21" t="n"/>
      <c r="Y44" s="21" t="n"/>
      <c r="Z44" s="25">
        <f>TODAY()</f>
        <v/>
      </c>
    </row>
    <row r="45">
      <c r="A45" s="20" t="inlineStr">
        <is>
          <t>REM-016</t>
        </is>
      </c>
      <c r="B45" s="21" t="n"/>
      <c r="C45" s="21" t="n"/>
      <c r="D45" s="21" t="n"/>
      <c r="E45" s="21" t="n"/>
      <c r="F45" s="21" t="n"/>
      <c r="G45" s="21" t="n"/>
      <c r="H45" s="21" t="n"/>
      <c r="I45" s="24" t="n"/>
      <c r="J45" s="21" t="n"/>
      <c r="K45" s="21" t="n"/>
      <c r="L45" s="21" t="n"/>
      <c r="M45" s="21" t="n"/>
      <c r="N45" s="21" t="n"/>
      <c r="O45" s="25">
        <f>IF(H45="Completed",0,IF(ISBLANK(M45),"",M45-TODAY()))</f>
        <v/>
      </c>
      <c r="P45" s="25">
        <f>IF(H45="Completed","Completed",IF(ISBLANK(O45),"",IF(O45&lt;0,"Overdue",IF(O45&lt;30,"At Risk","On Track"))))</f>
        <v/>
      </c>
      <c r="Q45" s="21" t="n"/>
      <c r="R45" s="26" t="n"/>
      <c r="S45" s="21" t="n"/>
      <c r="T45" s="26" t="n"/>
      <c r="U45" s="21" t="n"/>
      <c r="V45" s="21" t="n"/>
      <c r="W45" s="21" t="n"/>
      <c r="X45" s="21" t="n"/>
      <c r="Y45" s="21" t="n"/>
      <c r="Z45" s="25">
        <f>TODAY()</f>
        <v/>
      </c>
    </row>
    <row r="46">
      <c r="A46" s="20" t="inlineStr">
        <is>
          <t>REM-017</t>
        </is>
      </c>
      <c r="B46" s="21" t="n"/>
      <c r="C46" s="21" t="n"/>
      <c r="D46" s="21" t="n"/>
      <c r="E46" s="21" t="n"/>
      <c r="F46" s="21" t="n"/>
      <c r="G46" s="21" t="n"/>
      <c r="H46" s="21" t="n"/>
      <c r="I46" s="24" t="n"/>
      <c r="J46" s="21" t="n"/>
      <c r="K46" s="21" t="n"/>
      <c r="L46" s="21" t="n"/>
      <c r="M46" s="21" t="n"/>
      <c r="N46" s="21" t="n"/>
      <c r="O46" s="25">
        <f>IF(H46="Completed",0,IF(ISBLANK(M46),"",M46-TODAY()))</f>
        <v/>
      </c>
      <c r="P46" s="25">
        <f>IF(H46="Completed","Completed",IF(ISBLANK(O46),"",IF(O46&lt;0,"Overdue",IF(O46&lt;30,"At Risk","On Track"))))</f>
        <v/>
      </c>
      <c r="Q46" s="21" t="n"/>
      <c r="R46" s="26" t="n"/>
      <c r="S46" s="21" t="n"/>
      <c r="T46" s="26" t="n"/>
      <c r="U46" s="21" t="n"/>
      <c r="V46" s="21" t="n"/>
      <c r="W46" s="21" t="n"/>
      <c r="X46" s="21" t="n"/>
      <c r="Y46" s="21" t="n"/>
      <c r="Z46" s="25">
        <f>TODAY()</f>
        <v/>
      </c>
    </row>
    <row r="47">
      <c r="A47" s="20" t="inlineStr">
        <is>
          <t>REM-018</t>
        </is>
      </c>
      <c r="B47" s="21" t="n"/>
      <c r="C47" s="21" t="n"/>
      <c r="D47" s="21" t="n"/>
      <c r="E47" s="21" t="n"/>
      <c r="F47" s="21" t="n"/>
      <c r="G47" s="21" t="n"/>
      <c r="H47" s="21" t="n"/>
      <c r="I47" s="24" t="n"/>
      <c r="J47" s="21" t="n"/>
      <c r="K47" s="21" t="n"/>
      <c r="L47" s="21" t="n"/>
      <c r="M47" s="21" t="n"/>
      <c r="N47" s="21" t="n"/>
      <c r="O47" s="25">
        <f>IF(H47="Completed",0,IF(ISBLANK(M47),"",M47-TODAY()))</f>
        <v/>
      </c>
      <c r="P47" s="25">
        <f>IF(H47="Completed","Completed",IF(ISBLANK(O47),"",IF(O47&lt;0,"Overdue",IF(O47&lt;30,"At Risk","On Track"))))</f>
        <v/>
      </c>
      <c r="Q47" s="21" t="n"/>
      <c r="R47" s="26" t="n"/>
      <c r="S47" s="21" t="n"/>
      <c r="T47" s="26" t="n"/>
      <c r="U47" s="21" t="n"/>
      <c r="V47" s="21" t="n"/>
      <c r="W47" s="21" t="n"/>
      <c r="X47" s="21" t="n"/>
      <c r="Y47" s="21" t="n"/>
      <c r="Z47" s="25">
        <f>TODAY()</f>
        <v/>
      </c>
    </row>
    <row r="48">
      <c r="A48" s="20" t="inlineStr">
        <is>
          <t>REM-019</t>
        </is>
      </c>
      <c r="B48" s="21" t="n"/>
      <c r="C48" s="21" t="n"/>
      <c r="D48" s="21" t="n"/>
      <c r="E48" s="21" t="n"/>
      <c r="F48" s="21" t="n"/>
      <c r="G48" s="21" t="n"/>
      <c r="H48" s="21" t="n"/>
      <c r="I48" s="24" t="n"/>
      <c r="J48" s="21" t="n"/>
      <c r="K48" s="21" t="n"/>
      <c r="L48" s="21" t="n"/>
      <c r="M48" s="21" t="n"/>
      <c r="N48" s="21" t="n"/>
      <c r="O48" s="25">
        <f>IF(H48="Completed",0,IF(ISBLANK(M48),"",M48-TODAY()))</f>
        <v/>
      </c>
      <c r="P48" s="25">
        <f>IF(H48="Completed","Completed",IF(ISBLANK(O48),"",IF(O48&lt;0,"Overdue",IF(O48&lt;30,"At Risk","On Track"))))</f>
        <v/>
      </c>
      <c r="Q48" s="21" t="n"/>
      <c r="R48" s="26" t="n"/>
      <c r="S48" s="21" t="n"/>
      <c r="T48" s="26" t="n"/>
      <c r="U48" s="21" t="n"/>
      <c r="V48" s="21" t="n"/>
      <c r="W48" s="21" t="n"/>
      <c r="X48" s="21" t="n"/>
      <c r="Y48" s="21" t="n"/>
      <c r="Z48" s="25">
        <f>TODAY()</f>
        <v/>
      </c>
    </row>
    <row r="49">
      <c r="A49" s="20" t="inlineStr">
        <is>
          <t>REM-020</t>
        </is>
      </c>
      <c r="B49" s="21" t="n"/>
      <c r="C49" s="21" t="n"/>
      <c r="D49" s="21" t="n"/>
      <c r="E49" s="21" t="n"/>
      <c r="F49" s="21" t="n"/>
      <c r="G49" s="21" t="n"/>
      <c r="H49" s="21" t="n"/>
      <c r="I49" s="24" t="n"/>
      <c r="J49" s="21" t="n"/>
      <c r="K49" s="21" t="n"/>
      <c r="L49" s="21" t="n"/>
      <c r="M49" s="21" t="n"/>
      <c r="N49" s="21" t="n"/>
      <c r="O49" s="25">
        <f>IF(H49="Completed",0,IF(ISBLANK(M49),"",M49-TODAY()))</f>
        <v/>
      </c>
      <c r="P49" s="25">
        <f>IF(H49="Completed","Completed",IF(ISBLANK(O49),"",IF(O49&lt;0,"Overdue",IF(O49&lt;30,"At Risk","On Track"))))</f>
        <v/>
      </c>
      <c r="Q49" s="21" t="n"/>
      <c r="R49" s="26" t="n"/>
      <c r="S49" s="21" t="n"/>
      <c r="T49" s="26" t="n"/>
      <c r="U49" s="21" t="n"/>
      <c r="V49" s="21" t="n"/>
      <c r="W49" s="21" t="n"/>
      <c r="X49" s="21" t="n"/>
      <c r="Y49" s="21" t="n"/>
      <c r="Z49" s="25">
        <f>TODAY()</f>
        <v/>
      </c>
    </row>
    <row r="50">
      <c r="A50" s="20" t="inlineStr">
        <is>
          <t>REM-021</t>
        </is>
      </c>
      <c r="B50" s="21" t="n"/>
      <c r="C50" s="21" t="n"/>
      <c r="D50" s="21" t="n"/>
      <c r="E50" s="21" t="n"/>
      <c r="F50" s="21" t="n"/>
      <c r="G50" s="21" t="n"/>
      <c r="H50" s="21" t="n"/>
      <c r="I50" s="24" t="n"/>
      <c r="J50" s="21" t="n"/>
      <c r="K50" s="21" t="n"/>
      <c r="L50" s="21" t="n"/>
      <c r="M50" s="21" t="n"/>
      <c r="N50" s="21" t="n"/>
      <c r="O50" s="25">
        <f>IF(H50="Completed",0,IF(ISBLANK(M50),"",M50-TODAY()))</f>
        <v/>
      </c>
      <c r="P50" s="25">
        <f>IF(H50="Completed","Completed",IF(ISBLANK(O50),"",IF(O50&lt;0,"Overdue",IF(O50&lt;30,"At Risk","On Track"))))</f>
        <v/>
      </c>
      <c r="Q50" s="21" t="n"/>
      <c r="R50" s="26" t="n"/>
      <c r="S50" s="21" t="n"/>
      <c r="T50" s="26" t="n"/>
      <c r="U50" s="21" t="n"/>
      <c r="V50" s="21" t="n"/>
      <c r="W50" s="21" t="n"/>
      <c r="X50" s="21" t="n"/>
      <c r="Y50" s="21" t="n"/>
      <c r="Z50" s="25">
        <f>TODAY()</f>
        <v/>
      </c>
    </row>
    <row r="51">
      <c r="A51" s="20" t="inlineStr">
        <is>
          <t>REM-022</t>
        </is>
      </c>
      <c r="B51" s="21" t="n"/>
      <c r="C51" s="21" t="n"/>
      <c r="D51" s="21" t="n"/>
      <c r="E51" s="21" t="n"/>
      <c r="F51" s="21" t="n"/>
      <c r="G51" s="21" t="n"/>
      <c r="H51" s="21" t="n"/>
      <c r="I51" s="24" t="n"/>
      <c r="J51" s="21" t="n"/>
      <c r="K51" s="21" t="n"/>
      <c r="L51" s="21" t="n"/>
      <c r="M51" s="21" t="n"/>
      <c r="N51" s="21" t="n"/>
      <c r="O51" s="25">
        <f>IF(H51="Completed",0,IF(ISBLANK(M51),"",M51-TODAY()))</f>
        <v/>
      </c>
      <c r="P51" s="25">
        <f>IF(H51="Completed","Completed",IF(ISBLANK(O51),"",IF(O51&lt;0,"Overdue",IF(O51&lt;30,"At Risk","On Track"))))</f>
        <v/>
      </c>
      <c r="Q51" s="21" t="n"/>
      <c r="R51" s="26" t="n"/>
      <c r="S51" s="21" t="n"/>
      <c r="T51" s="26" t="n"/>
      <c r="U51" s="21" t="n"/>
      <c r="V51" s="21" t="n"/>
      <c r="W51" s="21" t="n"/>
      <c r="X51" s="21" t="n"/>
      <c r="Y51" s="21" t="n"/>
      <c r="Z51" s="25">
        <f>TODAY()</f>
        <v/>
      </c>
    </row>
    <row r="52">
      <c r="A52" s="20" t="inlineStr">
        <is>
          <t>REM-023</t>
        </is>
      </c>
      <c r="B52" s="21" t="n"/>
      <c r="C52" s="21" t="n"/>
      <c r="D52" s="21" t="n"/>
      <c r="E52" s="21" t="n"/>
      <c r="F52" s="21" t="n"/>
      <c r="G52" s="21" t="n"/>
      <c r="H52" s="21" t="n"/>
      <c r="I52" s="24" t="n"/>
      <c r="J52" s="21" t="n"/>
      <c r="K52" s="21" t="n"/>
      <c r="L52" s="21" t="n"/>
      <c r="M52" s="21" t="n"/>
      <c r="N52" s="21" t="n"/>
      <c r="O52" s="25">
        <f>IF(H52="Completed",0,IF(ISBLANK(M52),"",M52-TODAY()))</f>
        <v/>
      </c>
      <c r="P52" s="25">
        <f>IF(H52="Completed","Completed",IF(ISBLANK(O52),"",IF(O52&lt;0,"Overdue",IF(O52&lt;30,"At Risk","On Track"))))</f>
        <v/>
      </c>
      <c r="Q52" s="21" t="n"/>
      <c r="R52" s="26" t="n"/>
      <c r="S52" s="21" t="n"/>
      <c r="T52" s="26" t="n"/>
      <c r="U52" s="21" t="n"/>
      <c r="V52" s="21" t="n"/>
      <c r="W52" s="21" t="n"/>
      <c r="X52" s="21" t="n"/>
      <c r="Y52" s="21" t="n"/>
      <c r="Z52" s="25">
        <f>TODAY()</f>
        <v/>
      </c>
    </row>
    <row r="53">
      <c r="A53" s="20" t="inlineStr">
        <is>
          <t>REM-024</t>
        </is>
      </c>
      <c r="B53" s="21" t="n"/>
      <c r="C53" s="21" t="n"/>
      <c r="D53" s="21" t="n"/>
      <c r="E53" s="21" t="n"/>
      <c r="F53" s="21" t="n"/>
      <c r="G53" s="21" t="n"/>
      <c r="H53" s="21" t="n"/>
      <c r="I53" s="24" t="n"/>
      <c r="J53" s="21" t="n"/>
      <c r="K53" s="21" t="n"/>
      <c r="L53" s="21" t="n"/>
      <c r="M53" s="21" t="n"/>
      <c r="N53" s="21" t="n"/>
      <c r="O53" s="25">
        <f>IF(H53="Completed",0,IF(ISBLANK(M53),"",M53-TODAY()))</f>
        <v/>
      </c>
      <c r="P53" s="25">
        <f>IF(H53="Completed","Completed",IF(ISBLANK(O53),"",IF(O53&lt;0,"Overdue",IF(O53&lt;30,"At Risk","On Track"))))</f>
        <v/>
      </c>
      <c r="Q53" s="21" t="n"/>
      <c r="R53" s="26" t="n"/>
      <c r="S53" s="21" t="n"/>
      <c r="T53" s="26" t="n"/>
      <c r="U53" s="21" t="n"/>
      <c r="V53" s="21" t="n"/>
      <c r="W53" s="21" t="n"/>
      <c r="X53" s="21" t="n"/>
      <c r="Y53" s="21" t="n"/>
      <c r="Z53" s="25">
        <f>TODAY()</f>
        <v/>
      </c>
    </row>
    <row r="54">
      <c r="A54" s="20" t="inlineStr">
        <is>
          <t>REM-025</t>
        </is>
      </c>
      <c r="B54" s="21" t="n"/>
      <c r="C54" s="21" t="n"/>
      <c r="D54" s="21" t="n"/>
      <c r="E54" s="21" t="n"/>
      <c r="F54" s="21" t="n"/>
      <c r="G54" s="21" t="n"/>
      <c r="H54" s="21" t="n"/>
      <c r="I54" s="24" t="n"/>
      <c r="J54" s="21" t="n"/>
      <c r="K54" s="21" t="n"/>
      <c r="L54" s="21" t="n"/>
      <c r="M54" s="21" t="n"/>
      <c r="N54" s="21" t="n"/>
      <c r="O54" s="25">
        <f>IF(H54="Completed",0,IF(ISBLANK(M54),"",M54-TODAY()))</f>
        <v/>
      </c>
      <c r="P54" s="25">
        <f>IF(H54="Completed","Completed",IF(ISBLANK(O54),"",IF(O54&lt;0,"Overdue",IF(O54&lt;30,"At Risk","On Track"))))</f>
        <v/>
      </c>
      <c r="Q54" s="21" t="n"/>
      <c r="R54" s="26" t="n"/>
      <c r="S54" s="21" t="n"/>
      <c r="T54" s="26" t="n"/>
      <c r="U54" s="21" t="n"/>
      <c r="V54" s="21" t="n"/>
      <c r="W54" s="21" t="n"/>
      <c r="X54" s="21" t="n"/>
      <c r="Y54" s="21" t="n"/>
      <c r="Z54" s="25">
        <f>TODAY()</f>
        <v/>
      </c>
    </row>
    <row r="55">
      <c r="A55" s="20" t="inlineStr">
        <is>
          <t>REM-026</t>
        </is>
      </c>
      <c r="B55" s="21" t="n"/>
      <c r="C55" s="21" t="n"/>
      <c r="D55" s="21" t="n"/>
      <c r="E55" s="21" t="n"/>
      <c r="F55" s="21" t="n"/>
      <c r="G55" s="21" t="n"/>
      <c r="H55" s="21" t="n"/>
      <c r="I55" s="24" t="n"/>
      <c r="J55" s="21" t="n"/>
      <c r="K55" s="21" t="n"/>
      <c r="L55" s="21" t="n"/>
      <c r="M55" s="21" t="n"/>
      <c r="N55" s="21" t="n"/>
      <c r="O55" s="25">
        <f>IF(H55="Completed",0,IF(ISBLANK(M55),"",M55-TODAY()))</f>
        <v/>
      </c>
      <c r="P55" s="25">
        <f>IF(H55="Completed","Completed",IF(ISBLANK(O55),"",IF(O55&lt;0,"Overdue",IF(O55&lt;30,"At Risk","On Track"))))</f>
        <v/>
      </c>
      <c r="Q55" s="21" t="n"/>
      <c r="R55" s="26" t="n"/>
      <c r="S55" s="21" t="n"/>
      <c r="T55" s="26" t="n"/>
      <c r="U55" s="21" t="n"/>
      <c r="V55" s="21" t="n"/>
      <c r="W55" s="21" t="n"/>
      <c r="X55" s="21" t="n"/>
      <c r="Y55" s="21" t="n"/>
      <c r="Z55" s="25">
        <f>TODAY()</f>
        <v/>
      </c>
    </row>
    <row r="56">
      <c r="A56" s="20" t="inlineStr">
        <is>
          <t>REM-027</t>
        </is>
      </c>
      <c r="B56" s="21" t="n"/>
      <c r="C56" s="21" t="n"/>
      <c r="D56" s="21" t="n"/>
      <c r="E56" s="21" t="n"/>
      <c r="F56" s="21" t="n"/>
      <c r="G56" s="21" t="n"/>
      <c r="H56" s="21" t="n"/>
      <c r="I56" s="24" t="n"/>
      <c r="J56" s="21" t="n"/>
      <c r="K56" s="21" t="n"/>
      <c r="L56" s="21" t="n"/>
      <c r="M56" s="21" t="n"/>
      <c r="N56" s="21" t="n"/>
      <c r="O56" s="25">
        <f>IF(H56="Completed",0,IF(ISBLANK(M56),"",M56-TODAY()))</f>
        <v/>
      </c>
      <c r="P56" s="25">
        <f>IF(H56="Completed","Completed",IF(ISBLANK(O56),"",IF(O56&lt;0,"Overdue",IF(O56&lt;30,"At Risk","On Track"))))</f>
        <v/>
      </c>
      <c r="Q56" s="21" t="n"/>
      <c r="R56" s="26" t="n"/>
      <c r="S56" s="21" t="n"/>
      <c r="T56" s="26" t="n"/>
      <c r="U56" s="21" t="n"/>
      <c r="V56" s="21" t="n"/>
      <c r="W56" s="21" t="n"/>
      <c r="X56" s="21" t="n"/>
      <c r="Y56" s="21" t="n"/>
      <c r="Z56" s="25">
        <f>TODAY()</f>
        <v/>
      </c>
    </row>
    <row r="57">
      <c r="A57" s="20" t="inlineStr">
        <is>
          <t>REM-028</t>
        </is>
      </c>
      <c r="B57" s="21" t="n"/>
      <c r="C57" s="21" t="n"/>
      <c r="D57" s="21" t="n"/>
      <c r="E57" s="21" t="n"/>
      <c r="F57" s="21" t="n"/>
      <c r="G57" s="21" t="n"/>
      <c r="H57" s="21" t="n"/>
      <c r="I57" s="24" t="n"/>
      <c r="J57" s="21" t="n"/>
      <c r="K57" s="21" t="n"/>
      <c r="L57" s="21" t="n"/>
      <c r="M57" s="21" t="n"/>
      <c r="N57" s="21" t="n"/>
      <c r="O57" s="25">
        <f>IF(H57="Completed",0,IF(ISBLANK(M57),"",M57-TODAY()))</f>
        <v/>
      </c>
      <c r="P57" s="25">
        <f>IF(H57="Completed","Completed",IF(ISBLANK(O57),"",IF(O57&lt;0,"Overdue",IF(O57&lt;30,"At Risk","On Track"))))</f>
        <v/>
      </c>
      <c r="Q57" s="21" t="n"/>
      <c r="R57" s="26" t="n"/>
      <c r="S57" s="21" t="n"/>
      <c r="T57" s="26" t="n"/>
      <c r="U57" s="21" t="n"/>
      <c r="V57" s="21" t="n"/>
      <c r="W57" s="21" t="n"/>
      <c r="X57" s="21" t="n"/>
      <c r="Y57" s="21" t="n"/>
      <c r="Z57" s="25">
        <f>TODAY()</f>
        <v/>
      </c>
    </row>
    <row r="58">
      <c r="A58" s="20" t="inlineStr">
        <is>
          <t>REM-029</t>
        </is>
      </c>
      <c r="B58" s="21" t="n"/>
      <c r="C58" s="21" t="n"/>
      <c r="D58" s="21" t="n"/>
      <c r="E58" s="21" t="n"/>
      <c r="F58" s="21" t="n"/>
      <c r="G58" s="21" t="n"/>
      <c r="H58" s="21" t="n"/>
      <c r="I58" s="24" t="n"/>
      <c r="J58" s="21" t="n"/>
      <c r="K58" s="21" t="n"/>
      <c r="L58" s="21" t="n"/>
      <c r="M58" s="21" t="n"/>
      <c r="N58" s="21" t="n"/>
      <c r="O58" s="25">
        <f>IF(H58="Completed",0,IF(ISBLANK(M58),"",M58-TODAY()))</f>
        <v/>
      </c>
      <c r="P58" s="25">
        <f>IF(H58="Completed","Completed",IF(ISBLANK(O58),"",IF(O58&lt;0,"Overdue",IF(O58&lt;30,"At Risk","On Track"))))</f>
        <v/>
      </c>
      <c r="Q58" s="21" t="n"/>
      <c r="R58" s="26" t="n"/>
      <c r="S58" s="21" t="n"/>
      <c r="T58" s="26" t="n"/>
      <c r="U58" s="21" t="n"/>
      <c r="V58" s="21" t="n"/>
      <c r="W58" s="21" t="n"/>
      <c r="X58" s="21" t="n"/>
      <c r="Y58" s="21" t="n"/>
      <c r="Z58" s="25">
        <f>TODAY()</f>
        <v/>
      </c>
    </row>
    <row r="59">
      <c r="A59" s="20" t="inlineStr">
        <is>
          <t>REM-030</t>
        </is>
      </c>
      <c r="B59" s="21" t="n"/>
      <c r="C59" s="21" t="n"/>
      <c r="D59" s="21" t="n"/>
      <c r="E59" s="21" t="n"/>
      <c r="F59" s="21" t="n"/>
      <c r="G59" s="21" t="n"/>
      <c r="H59" s="21" t="n"/>
      <c r="I59" s="24" t="n"/>
      <c r="J59" s="21" t="n"/>
      <c r="K59" s="21" t="n"/>
      <c r="L59" s="21" t="n"/>
      <c r="M59" s="21" t="n"/>
      <c r="N59" s="21" t="n"/>
      <c r="O59" s="25">
        <f>IF(H59="Completed",0,IF(ISBLANK(M59),"",M59-TODAY()))</f>
        <v/>
      </c>
      <c r="P59" s="25">
        <f>IF(H59="Completed","Completed",IF(ISBLANK(O59),"",IF(O59&lt;0,"Overdue",IF(O59&lt;30,"At Risk","On Track"))))</f>
        <v/>
      </c>
      <c r="Q59" s="21" t="n"/>
      <c r="R59" s="26" t="n"/>
      <c r="S59" s="21" t="n"/>
      <c r="T59" s="26" t="n"/>
      <c r="U59" s="21" t="n"/>
      <c r="V59" s="21" t="n"/>
      <c r="W59" s="21" t="n"/>
      <c r="X59" s="21" t="n"/>
      <c r="Y59" s="21" t="n"/>
      <c r="Z59" s="25">
        <f>TODAY()</f>
        <v/>
      </c>
    </row>
    <row r="60">
      <c r="A60" s="20" t="inlineStr">
        <is>
          <t>REM-031</t>
        </is>
      </c>
      <c r="B60" s="21" t="n"/>
      <c r="C60" s="21" t="n"/>
      <c r="D60" s="21" t="n"/>
      <c r="E60" s="21" t="n"/>
      <c r="F60" s="21" t="n"/>
      <c r="G60" s="21" t="n"/>
      <c r="H60" s="21" t="n"/>
      <c r="I60" s="24" t="n"/>
      <c r="J60" s="21" t="n"/>
      <c r="K60" s="21" t="n"/>
      <c r="L60" s="21" t="n"/>
      <c r="M60" s="21" t="n"/>
      <c r="N60" s="21" t="n"/>
      <c r="O60" s="25">
        <f>IF(H60="Completed",0,IF(ISBLANK(M60),"",M60-TODAY()))</f>
        <v/>
      </c>
      <c r="P60" s="25">
        <f>IF(H60="Completed","Completed",IF(ISBLANK(O60),"",IF(O60&lt;0,"Overdue",IF(O60&lt;30,"At Risk","On Track"))))</f>
        <v/>
      </c>
      <c r="Q60" s="21" t="n"/>
      <c r="R60" s="26" t="n"/>
      <c r="S60" s="21" t="n"/>
      <c r="T60" s="26" t="n"/>
      <c r="U60" s="21" t="n"/>
      <c r="V60" s="21" t="n"/>
      <c r="W60" s="21" t="n"/>
      <c r="X60" s="21" t="n"/>
      <c r="Y60" s="21" t="n"/>
      <c r="Z60" s="25">
        <f>TODAY()</f>
        <v/>
      </c>
    </row>
    <row r="61">
      <c r="A61" s="20" t="inlineStr">
        <is>
          <t>REM-032</t>
        </is>
      </c>
      <c r="B61" s="21" t="n"/>
      <c r="C61" s="21" t="n"/>
      <c r="D61" s="21" t="n"/>
      <c r="E61" s="21" t="n"/>
      <c r="F61" s="21" t="n"/>
      <c r="G61" s="21" t="n"/>
      <c r="H61" s="21" t="n"/>
      <c r="I61" s="24" t="n"/>
      <c r="J61" s="21" t="n"/>
      <c r="K61" s="21" t="n"/>
      <c r="L61" s="21" t="n"/>
      <c r="M61" s="21" t="n"/>
      <c r="N61" s="21" t="n"/>
      <c r="O61" s="25">
        <f>IF(H61="Completed",0,IF(ISBLANK(M61),"",M61-TODAY()))</f>
        <v/>
      </c>
      <c r="P61" s="25">
        <f>IF(H61="Completed","Completed",IF(ISBLANK(O61),"",IF(O61&lt;0,"Overdue",IF(O61&lt;30,"At Risk","On Track"))))</f>
        <v/>
      </c>
      <c r="Q61" s="21" t="n"/>
      <c r="R61" s="26" t="n"/>
      <c r="S61" s="21" t="n"/>
      <c r="T61" s="26" t="n"/>
      <c r="U61" s="21" t="n"/>
      <c r="V61" s="21" t="n"/>
      <c r="W61" s="21" t="n"/>
      <c r="X61" s="21" t="n"/>
      <c r="Y61" s="21" t="n"/>
      <c r="Z61" s="25">
        <f>TODAY()</f>
        <v/>
      </c>
    </row>
    <row r="62">
      <c r="A62" s="20" t="inlineStr">
        <is>
          <t>REM-033</t>
        </is>
      </c>
      <c r="B62" s="21" t="n"/>
      <c r="C62" s="21" t="n"/>
      <c r="D62" s="21" t="n"/>
      <c r="E62" s="21" t="n"/>
      <c r="F62" s="21" t="n"/>
      <c r="G62" s="21" t="n"/>
      <c r="H62" s="21" t="n"/>
      <c r="I62" s="24" t="n"/>
      <c r="J62" s="21" t="n"/>
      <c r="K62" s="21" t="n"/>
      <c r="L62" s="21" t="n"/>
      <c r="M62" s="21" t="n"/>
      <c r="N62" s="21" t="n"/>
      <c r="O62" s="25">
        <f>IF(H62="Completed",0,IF(ISBLANK(M62),"",M62-TODAY()))</f>
        <v/>
      </c>
      <c r="P62" s="25">
        <f>IF(H62="Completed","Completed",IF(ISBLANK(O62),"",IF(O62&lt;0,"Overdue",IF(O62&lt;30,"At Risk","On Track"))))</f>
        <v/>
      </c>
      <c r="Q62" s="21" t="n"/>
      <c r="R62" s="26" t="n"/>
      <c r="S62" s="21" t="n"/>
      <c r="T62" s="26" t="n"/>
      <c r="U62" s="21" t="n"/>
      <c r="V62" s="21" t="n"/>
      <c r="W62" s="21" t="n"/>
      <c r="X62" s="21" t="n"/>
      <c r="Y62" s="21" t="n"/>
      <c r="Z62" s="25">
        <f>TODAY()</f>
        <v/>
      </c>
    </row>
    <row r="63">
      <c r="A63" s="20" t="inlineStr">
        <is>
          <t>REM-034</t>
        </is>
      </c>
      <c r="B63" s="21" t="n"/>
      <c r="C63" s="21" t="n"/>
      <c r="D63" s="21" t="n"/>
      <c r="E63" s="21" t="n"/>
      <c r="F63" s="21" t="n"/>
      <c r="G63" s="21" t="n"/>
      <c r="H63" s="21" t="n"/>
      <c r="I63" s="24" t="n"/>
      <c r="J63" s="21" t="n"/>
      <c r="K63" s="21" t="n"/>
      <c r="L63" s="21" t="n"/>
      <c r="M63" s="21" t="n"/>
      <c r="N63" s="21" t="n"/>
      <c r="O63" s="25">
        <f>IF(H63="Completed",0,IF(ISBLANK(M63),"",M63-TODAY()))</f>
        <v/>
      </c>
      <c r="P63" s="25">
        <f>IF(H63="Completed","Completed",IF(ISBLANK(O63),"",IF(O63&lt;0,"Overdue",IF(O63&lt;30,"At Risk","On Track"))))</f>
        <v/>
      </c>
      <c r="Q63" s="21" t="n"/>
      <c r="R63" s="26" t="n"/>
      <c r="S63" s="21" t="n"/>
      <c r="T63" s="26" t="n"/>
      <c r="U63" s="21" t="n"/>
      <c r="V63" s="21" t="n"/>
      <c r="W63" s="21" t="n"/>
      <c r="X63" s="21" t="n"/>
      <c r="Y63" s="21" t="n"/>
      <c r="Z63" s="25">
        <f>TODAY()</f>
        <v/>
      </c>
    </row>
    <row r="64">
      <c r="A64" s="20" t="inlineStr">
        <is>
          <t>REM-035</t>
        </is>
      </c>
      <c r="B64" s="21" t="n"/>
      <c r="C64" s="21" t="n"/>
      <c r="D64" s="21" t="n"/>
      <c r="E64" s="21" t="n"/>
      <c r="F64" s="21" t="n"/>
      <c r="G64" s="21" t="n"/>
      <c r="H64" s="21" t="n"/>
      <c r="I64" s="24" t="n"/>
      <c r="J64" s="21" t="n"/>
      <c r="K64" s="21" t="n"/>
      <c r="L64" s="21" t="n"/>
      <c r="M64" s="21" t="n"/>
      <c r="N64" s="21" t="n"/>
      <c r="O64" s="25">
        <f>IF(H64="Completed",0,IF(ISBLANK(M64),"",M64-TODAY()))</f>
        <v/>
      </c>
      <c r="P64" s="25">
        <f>IF(H64="Completed","Completed",IF(ISBLANK(O64),"",IF(O64&lt;0,"Overdue",IF(O64&lt;30,"At Risk","On Track"))))</f>
        <v/>
      </c>
      <c r="Q64" s="21" t="n"/>
      <c r="R64" s="26" t="n"/>
      <c r="S64" s="21" t="n"/>
      <c r="T64" s="26" t="n"/>
      <c r="U64" s="21" t="n"/>
      <c r="V64" s="21" t="n"/>
      <c r="W64" s="21" t="n"/>
      <c r="X64" s="21" t="n"/>
      <c r="Y64" s="21" t="n"/>
      <c r="Z64" s="25">
        <f>TODAY()</f>
        <v/>
      </c>
    </row>
    <row r="65">
      <c r="A65" s="20" t="inlineStr">
        <is>
          <t>REM-036</t>
        </is>
      </c>
      <c r="B65" s="21" t="n"/>
      <c r="C65" s="21" t="n"/>
      <c r="D65" s="21" t="n"/>
      <c r="E65" s="21" t="n"/>
      <c r="F65" s="21" t="n"/>
      <c r="G65" s="21" t="n"/>
      <c r="H65" s="21" t="n"/>
      <c r="I65" s="24" t="n"/>
      <c r="J65" s="21" t="n"/>
      <c r="K65" s="21" t="n"/>
      <c r="L65" s="21" t="n"/>
      <c r="M65" s="21" t="n"/>
      <c r="N65" s="21" t="n"/>
      <c r="O65" s="25">
        <f>IF(H65="Completed",0,IF(ISBLANK(M65),"",M65-TODAY()))</f>
        <v/>
      </c>
      <c r="P65" s="25">
        <f>IF(H65="Completed","Completed",IF(ISBLANK(O65),"",IF(O65&lt;0,"Overdue",IF(O65&lt;30,"At Risk","On Track"))))</f>
        <v/>
      </c>
      <c r="Q65" s="21" t="n"/>
      <c r="R65" s="26" t="n"/>
      <c r="S65" s="21" t="n"/>
      <c r="T65" s="26" t="n"/>
      <c r="U65" s="21" t="n"/>
      <c r="V65" s="21" t="n"/>
      <c r="W65" s="21" t="n"/>
      <c r="X65" s="21" t="n"/>
      <c r="Y65" s="21" t="n"/>
      <c r="Z65" s="25">
        <f>TODAY()</f>
        <v/>
      </c>
    </row>
    <row r="66">
      <c r="A66" s="20" t="inlineStr">
        <is>
          <t>REM-037</t>
        </is>
      </c>
      <c r="B66" s="21" t="n"/>
      <c r="C66" s="21" t="n"/>
      <c r="D66" s="21" t="n"/>
      <c r="E66" s="21" t="n"/>
      <c r="F66" s="21" t="n"/>
      <c r="G66" s="21" t="n"/>
      <c r="H66" s="21" t="n"/>
      <c r="I66" s="24" t="n"/>
      <c r="J66" s="21" t="n"/>
      <c r="K66" s="21" t="n"/>
      <c r="L66" s="21" t="n"/>
      <c r="M66" s="21" t="n"/>
      <c r="N66" s="21" t="n"/>
      <c r="O66" s="25">
        <f>IF(H66="Completed",0,IF(ISBLANK(M66),"",M66-TODAY()))</f>
        <v/>
      </c>
      <c r="P66" s="25">
        <f>IF(H66="Completed","Completed",IF(ISBLANK(O66),"",IF(O66&lt;0,"Overdue",IF(O66&lt;30,"At Risk","On Track"))))</f>
        <v/>
      </c>
      <c r="Q66" s="21" t="n"/>
      <c r="R66" s="26" t="n"/>
      <c r="S66" s="21" t="n"/>
      <c r="T66" s="26" t="n"/>
      <c r="U66" s="21" t="n"/>
      <c r="V66" s="21" t="n"/>
      <c r="W66" s="21" t="n"/>
      <c r="X66" s="21" t="n"/>
      <c r="Y66" s="21" t="n"/>
      <c r="Z66" s="25">
        <f>TODAY()</f>
        <v/>
      </c>
    </row>
    <row r="67">
      <c r="A67" s="20" t="inlineStr">
        <is>
          <t>REM-038</t>
        </is>
      </c>
      <c r="B67" s="21" t="n"/>
      <c r="C67" s="21" t="n"/>
      <c r="D67" s="21" t="n"/>
      <c r="E67" s="21" t="n"/>
      <c r="F67" s="21" t="n"/>
      <c r="G67" s="21" t="n"/>
      <c r="H67" s="21" t="n"/>
      <c r="I67" s="24" t="n"/>
      <c r="J67" s="21" t="n"/>
      <c r="K67" s="21" t="n"/>
      <c r="L67" s="21" t="n"/>
      <c r="M67" s="21" t="n"/>
      <c r="N67" s="21" t="n"/>
      <c r="O67" s="25">
        <f>IF(H67="Completed",0,IF(ISBLANK(M67),"",M67-TODAY()))</f>
        <v/>
      </c>
      <c r="P67" s="25">
        <f>IF(H67="Completed","Completed",IF(ISBLANK(O67),"",IF(O67&lt;0,"Overdue",IF(O67&lt;30,"At Risk","On Track"))))</f>
        <v/>
      </c>
      <c r="Q67" s="21" t="n"/>
      <c r="R67" s="26" t="n"/>
      <c r="S67" s="21" t="n"/>
      <c r="T67" s="26" t="n"/>
      <c r="U67" s="21" t="n"/>
      <c r="V67" s="21" t="n"/>
      <c r="W67" s="21" t="n"/>
      <c r="X67" s="21" t="n"/>
      <c r="Y67" s="21" t="n"/>
      <c r="Z67" s="25">
        <f>TODAY()</f>
        <v/>
      </c>
    </row>
    <row r="68">
      <c r="A68" s="20" t="inlineStr">
        <is>
          <t>REM-039</t>
        </is>
      </c>
      <c r="B68" s="21" t="n"/>
      <c r="C68" s="21" t="n"/>
      <c r="D68" s="21" t="n"/>
      <c r="E68" s="21" t="n"/>
      <c r="F68" s="21" t="n"/>
      <c r="G68" s="21" t="n"/>
      <c r="H68" s="21" t="n"/>
      <c r="I68" s="24" t="n"/>
      <c r="J68" s="21" t="n"/>
      <c r="K68" s="21" t="n"/>
      <c r="L68" s="21" t="n"/>
      <c r="M68" s="21" t="n"/>
      <c r="N68" s="21" t="n"/>
      <c r="O68" s="25">
        <f>IF(H68="Completed",0,IF(ISBLANK(M68),"",M68-TODAY()))</f>
        <v/>
      </c>
      <c r="P68" s="25">
        <f>IF(H68="Completed","Completed",IF(ISBLANK(O68),"",IF(O68&lt;0,"Overdue",IF(O68&lt;30,"At Risk","On Track"))))</f>
        <v/>
      </c>
      <c r="Q68" s="21" t="n"/>
      <c r="R68" s="26" t="n"/>
      <c r="S68" s="21" t="n"/>
      <c r="T68" s="26" t="n"/>
      <c r="U68" s="21" t="n"/>
      <c r="V68" s="21" t="n"/>
      <c r="W68" s="21" t="n"/>
      <c r="X68" s="21" t="n"/>
      <c r="Y68" s="21" t="n"/>
      <c r="Z68" s="25">
        <f>TODAY()</f>
        <v/>
      </c>
    </row>
    <row r="69">
      <c r="A69" s="20" t="inlineStr">
        <is>
          <t>REM-040</t>
        </is>
      </c>
      <c r="B69" s="21" t="n"/>
      <c r="C69" s="21" t="n"/>
      <c r="D69" s="21" t="n"/>
      <c r="E69" s="21" t="n"/>
      <c r="F69" s="21" t="n"/>
      <c r="G69" s="21" t="n"/>
      <c r="H69" s="21" t="n"/>
      <c r="I69" s="24" t="n"/>
      <c r="J69" s="21" t="n"/>
      <c r="K69" s="21" t="n"/>
      <c r="L69" s="21" t="n"/>
      <c r="M69" s="21" t="n"/>
      <c r="N69" s="21" t="n"/>
      <c r="O69" s="25">
        <f>IF(H69="Completed",0,IF(ISBLANK(M69),"",M69-TODAY()))</f>
        <v/>
      </c>
      <c r="P69" s="25">
        <f>IF(H69="Completed","Completed",IF(ISBLANK(O69),"",IF(O69&lt;0,"Overdue",IF(O69&lt;30,"At Risk","On Track"))))</f>
        <v/>
      </c>
      <c r="Q69" s="21" t="n"/>
      <c r="R69" s="26" t="n"/>
      <c r="S69" s="21" t="n"/>
      <c r="T69" s="26" t="n"/>
      <c r="U69" s="21" t="n"/>
      <c r="V69" s="21" t="n"/>
      <c r="W69" s="21" t="n"/>
      <c r="X69" s="21" t="n"/>
      <c r="Y69" s="21" t="n"/>
      <c r="Z69" s="25">
        <f>TODAY()</f>
        <v/>
      </c>
    </row>
    <row r="70">
      <c r="A70" s="20" t="inlineStr">
        <is>
          <t>REM-041</t>
        </is>
      </c>
      <c r="B70" s="21" t="n"/>
      <c r="C70" s="21" t="n"/>
      <c r="D70" s="21" t="n"/>
      <c r="E70" s="21" t="n"/>
      <c r="F70" s="21" t="n"/>
      <c r="G70" s="21" t="n"/>
      <c r="H70" s="21" t="n"/>
      <c r="I70" s="24" t="n"/>
      <c r="J70" s="21" t="n"/>
      <c r="K70" s="21" t="n"/>
      <c r="L70" s="21" t="n"/>
      <c r="M70" s="21" t="n"/>
      <c r="N70" s="21" t="n"/>
      <c r="O70" s="25">
        <f>IF(H70="Completed",0,IF(ISBLANK(M70),"",M70-TODAY()))</f>
        <v/>
      </c>
      <c r="P70" s="25">
        <f>IF(H70="Completed","Completed",IF(ISBLANK(O70),"",IF(O70&lt;0,"Overdue",IF(O70&lt;30,"At Risk","On Track"))))</f>
        <v/>
      </c>
      <c r="Q70" s="21" t="n"/>
      <c r="R70" s="26" t="n"/>
      <c r="S70" s="21" t="n"/>
      <c r="T70" s="26" t="n"/>
      <c r="U70" s="21" t="n"/>
      <c r="V70" s="21" t="n"/>
      <c r="W70" s="21" t="n"/>
      <c r="X70" s="21" t="n"/>
      <c r="Y70" s="21" t="n"/>
      <c r="Z70" s="25">
        <f>TODAY()</f>
        <v/>
      </c>
    </row>
    <row r="71">
      <c r="A71" s="20" t="inlineStr">
        <is>
          <t>REM-042</t>
        </is>
      </c>
      <c r="B71" s="21" t="n"/>
      <c r="C71" s="21" t="n"/>
      <c r="D71" s="21" t="n"/>
      <c r="E71" s="21" t="n"/>
      <c r="F71" s="21" t="n"/>
      <c r="G71" s="21" t="n"/>
      <c r="H71" s="21" t="n"/>
      <c r="I71" s="24" t="n"/>
      <c r="J71" s="21" t="n"/>
      <c r="K71" s="21" t="n"/>
      <c r="L71" s="21" t="n"/>
      <c r="M71" s="21" t="n"/>
      <c r="N71" s="21" t="n"/>
      <c r="O71" s="25">
        <f>IF(H71="Completed",0,IF(ISBLANK(M71),"",M71-TODAY()))</f>
        <v/>
      </c>
      <c r="P71" s="25">
        <f>IF(H71="Completed","Completed",IF(ISBLANK(O71),"",IF(O71&lt;0,"Overdue",IF(O71&lt;30,"At Risk","On Track"))))</f>
        <v/>
      </c>
      <c r="Q71" s="21" t="n"/>
      <c r="R71" s="26" t="n"/>
      <c r="S71" s="21" t="n"/>
      <c r="T71" s="26" t="n"/>
      <c r="U71" s="21" t="n"/>
      <c r="V71" s="21" t="n"/>
      <c r="W71" s="21" t="n"/>
      <c r="X71" s="21" t="n"/>
      <c r="Y71" s="21" t="n"/>
      <c r="Z71" s="25">
        <f>TODAY()</f>
        <v/>
      </c>
    </row>
    <row r="72">
      <c r="A72" s="20" t="inlineStr">
        <is>
          <t>REM-043</t>
        </is>
      </c>
      <c r="B72" s="21" t="n"/>
      <c r="C72" s="21" t="n"/>
      <c r="D72" s="21" t="n"/>
      <c r="E72" s="21" t="n"/>
      <c r="F72" s="21" t="n"/>
      <c r="G72" s="21" t="n"/>
      <c r="H72" s="21" t="n"/>
      <c r="I72" s="24" t="n"/>
      <c r="J72" s="21" t="n"/>
      <c r="K72" s="21" t="n"/>
      <c r="L72" s="21" t="n"/>
      <c r="M72" s="21" t="n"/>
      <c r="N72" s="21" t="n"/>
      <c r="O72" s="25">
        <f>IF(H72="Completed",0,IF(ISBLANK(M72),"",M72-TODAY()))</f>
        <v/>
      </c>
      <c r="P72" s="25">
        <f>IF(H72="Completed","Completed",IF(ISBLANK(O72),"",IF(O72&lt;0,"Overdue",IF(O72&lt;30,"At Risk","On Track"))))</f>
        <v/>
      </c>
      <c r="Q72" s="21" t="n"/>
      <c r="R72" s="26" t="n"/>
      <c r="S72" s="21" t="n"/>
      <c r="T72" s="26" t="n"/>
      <c r="U72" s="21" t="n"/>
      <c r="V72" s="21" t="n"/>
      <c r="W72" s="21" t="n"/>
      <c r="X72" s="21" t="n"/>
      <c r="Y72" s="21" t="n"/>
      <c r="Z72" s="25">
        <f>TODAY()</f>
        <v/>
      </c>
    </row>
    <row r="73">
      <c r="A73" s="20" t="inlineStr">
        <is>
          <t>REM-044</t>
        </is>
      </c>
      <c r="B73" s="21" t="n"/>
      <c r="C73" s="21" t="n"/>
      <c r="D73" s="21" t="n"/>
      <c r="E73" s="21" t="n"/>
      <c r="F73" s="21" t="n"/>
      <c r="G73" s="21" t="n"/>
      <c r="H73" s="21" t="n"/>
      <c r="I73" s="24" t="n"/>
      <c r="J73" s="21" t="n"/>
      <c r="K73" s="21" t="n"/>
      <c r="L73" s="21" t="n"/>
      <c r="M73" s="21" t="n"/>
      <c r="N73" s="21" t="n"/>
      <c r="O73" s="25">
        <f>IF(H73="Completed",0,IF(ISBLANK(M73),"",M73-TODAY()))</f>
        <v/>
      </c>
      <c r="P73" s="25">
        <f>IF(H73="Completed","Completed",IF(ISBLANK(O73),"",IF(O73&lt;0,"Overdue",IF(O73&lt;30,"At Risk","On Track"))))</f>
        <v/>
      </c>
      <c r="Q73" s="21" t="n"/>
      <c r="R73" s="26" t="n"/>
      <c r="S73" s="21" t="n"/>
      <c r="T73" s="26" t="n"/>
      <c r="U73" s="21" t="n"/>
      <c r="V73" s="21" t="n"/>
      <c r="W73" s="21" t="n"/>
      <c r="X73" s="21" t="n"/>
      <c r="Y73" s="21" t="n"/>
      <c r="Z73" s="25">
        <f>TODAY()</f>
        <v/>
      </c>
    </row>
    <row r="74">
      <c r="A74" s="20" t="inlineStr">
        <is>
          <t>REM-045</t>
        </is>
      </c>
      <c r="B74" s="21" t="n"/>
      <c r="C74" s="21" t="n"/>
      <c r="D74" s="21" t="n"/>
      <c r="E74" s="21" t="n"/>
      <c r="F74" s="21" t="n"/>
      <c r="G74" s="21" t="n"/>
      <c r="H74" s="21" t="n"/>
      <c r="I74" s="24" t="n"/>
      <c r="J74" s="21" t="n"/>
      <c r="K74" s="21" t="n"/>
      <c r="L74" s="21" t="n"/>
      <c r="M74" s="21" t="n"/>
      <c r="N74" s="21" t="n"/>
      <c r="O74" s="25">
        <f>IF(H74="Completed",0,IF(ISBLANK(M74),"",M74-TODAY()))</f>
        <v/>
      </c>
      <c r="P74" s="25">
        <f>IF(H74="Completed","Completed",IF(ISBLANK(O74),"",IF(O74&lt;0,"Overdue",IF(O74&lt;30,"At Risk","On Track"))))</f>
        <v/>
      </c>
      <c r="Q74" s="21" t="n"/>
      <c r="R74" s="26" t="n"/>
      <c r="S74" s="21" t="n"/>
      <c r="T74" s="26" t="n"/>
      <c r="U74" s="21" t="n"/>
      <c r="V74" s="21" t="n"/>
      <c r="W74" s="21" t="n"/>
      <c r="X74" s="21" t="n"/>
      <c r="Y74" s="21" t="n"/>
      <c r="Z74" s="25">
        <f>TODAY()</f>
        <v/>
      </c>
    </row>
    <row r="75">
      <c r="A75" s="20" t="inlineStr">
        <is>
          <t>REM-046</t>
        </is>
      </c>
      <c r="B75" s="21" t="n"/>
      <c r="C75" s="21" t="n"/>
      <c r="D75" s="21" t="n"/>
      <c r="E75" s="21" t="n"/>
      <c r="F75" s="21" t="n"/>
      <c r="G75" s="21" t="n"/>
      <c r="H75" s="21" t="n"/>
      <c r="I75" s="24" t="n"/>
      <c r="J75" s="21" t="n"/>
      <c r="K75" s="21" t="n"/>
      <c r="L75" s="21" t="n"/>
      <c r="M75" s="21" t="n"/>
      <c r="N75" s="21" t="n"/>
      <c r="O75" s="25">
        <f>IF(H75="Completed",0,IF(ISBLANK(M75),"",M75-TODAY()))</f>
        <v/>
      </c>
      <c r="P75" s="25">
        <f>IF(H75="Completed","Completed",IF(ISBLANK(O75),"",IF(O75&lt;0,"Overdue",IF(O75&lt;30,"At Risk","On Track"))))</f>
        <v/>
      </c>
      <c r="Q75" s="21" t="n"/>
      <c r="R75" s="26" t="n"/>
      <c r="S75" s="21" t="n"/>
      <c r="T75" s="26" t="n"/>
      <c r="U75" s="21" t="n"/>
      <c r="V75" s="21" t="n"/>
      <c r="W75" s="21" t="n"/>
      <c r="X75" s="21" t="n"/>
      <c r="Y75" s="21" t="n"/>
      <c r="Z75" s="25">
        <f>TODAY()</f>
        <v/>
      </c>
    </row>
    <row r="76">
      <c r="A76" s="20" t="inlineStr">
        <is>
          <t>REM-047</t>
        </is>
      </c>
      <c r="B76" s="21" t="n"/>
      <c r="C76" s="21" t="n"/>
      <c r="D76" s="21" t="n"/>
      <c r="E76" s="21" t="n"/>
      <c r="F76" s="21" t="n"/>
      <c r="G76" s="21" t="n"/>
      <c r="H76" s="21" t="n"/>
      <c r="I76" s="24" t="n"/>
      <c r="J76" s="21" t="n"/>
      <c r="K76" s="21" t="n"/>
      <c r="L76" s="21" t="n"/>
      <c r="M76" s="21" t="n"/>
      <c r="N76" s="21" t="n"/>
      <c r="O76" s="25">
        <f>IF(H76="Completed",0,IF(ISBLANK(M76),"",M76-TODAY()))</f>
        <v/>
      </c>
      <c r="P76" s="25">
        <f>IF(H76="Completed","Completed",IF(ISBLANK(O76),"",IF(O76&lt;0,"Overdue",IF(O76&lt;30,"At Risk","On Track"))))</f>
        <v/>
      </c>
      <c r="Q76" s="21" t="n"/>
      <c r="R76" s="26" t="n"/>
      <c r="S76" s="21" t="n"/>
      <c r="T76" s="26" t="n"/>
      <c r="U76" s="21" t="n"/>
      <c r="V76" s="21" t="n"/>
      <c r="W76" s="21" t="n"/>
      <c r="X76" s="21" t="n"/>
      <c r="Y76" s="21" t="n"/>
      <c r="Z76" s="25">
        <f>TODAY()</f>
        <v/>
      </c>
    </row>
    <row r="77">
      <c r="A77" s="20" t="inlineStr">
        <is>
          <t>REM-048</t>
        </is>
      </c>
      <c r="B77" s="21" t="n"/>
      <c r="C77" s="21" t="n"/>
      <c r="D77" s="21" t="n"/>
      <c r="E77" s="21" t="n"/>
      <c r="F77" s="21" t="n"/>
      <c r="G77" s="21" t="n"/>
      <c r="H77" s="21" t="n"/>
      <c r="I77" s="24" t="n"/>
      <c r="J77" s="21" t="n"/>
      <c r="K77" s="21" t="n"/>
      <c r="L77" s="21" t="n"/>
      <c r="M77" s="21" t="n"/>
      <c r="N77" s="21" t="n"/>
      <c r="O77" s="25">
        <f>IF(H77="Completed",0,IF(ISBLANK(M77),"",M77-TODAY()))</f>
        <v/>
      </c>
      <c r="P77" s="25">
        <f>IF(H77="Completed","Completed",IF(ISBLANK(O77),"",IF(O77&lt;0,"Overdue",IF(O77&lt;30,"At Risk","On Track"))))</f>
        <v/>
      </c>
      <c r="Q77" s="21" t="n"/>
      <c r="R77" s="26" t="n"/>
      <c r="S77" s="21" t="n"/>
      <c r="T77" s="26" t="n"/>
      <c r="U77" s="21" t="n"/>
      <c r="V77" s="21" t="n"/>
      <c r="W77" s="21" t="n"/>
      <c r="X77" s="21" t="n"/>
      <c r="Y77" s="21" t="n"/>
      <c r="Z77" s="25">
        <f>TODAY()</f>
        <v/>
      </c>
    </row>
    <row r="78">
      <c r="A78" s="20" t="inlineStr">
        <is>
          <t>REM-049</t>
        </is>
      </c>
      <c r="B78" s="21" t="n"/>
      <c r="C78" s="21" t="n"/>
      <c r="D78" s="21" t="n"/>
      <c r="E78" s="21" t="n"/>
      <c r="F78" s="21" t="n"/>
      <c r="G78" s="21" t="n"/>
      <c r="H78" s="21" t="n"/>
      <c r="I78" s="24" t="n"/>
      <c r="J78" s="21" t="n"/>
      <c r="K78" s="21" t="n"/>
      <c r="L78" s="21" t="n"/>
      <c r="M78" s="21" t="n"/>
      <c r="N78" s="21" t="n"/>
      <c r="O78" s="25">
        <f>IF(H78="Completed",0,IF(ISBLANK(M78),"",M78-TODAY()))</f>
        <v/>
      </c>
      <c r="P78" s="25">
        <f>IF(H78="Completed","Completed",IF(ISBLANK(O78),"",IF(O78&lt;0,"Overdue",IF(O78&lt;30,"At Risk","On Track"))))</f>
        <v/>
      </c>
      <c r="Q78" s="21" t="n"/>
      <c r="R78" s="26" t="n"/>
      <c r="S78" s="21" t="n"/>
      <c r="T78" s="26" t="n"/>
      <c r="U78" s="21" t="n"/>
      <c r="V78" s="21" t="n"/>
      <c r="W78" s="21" t="n"/>
      <c r="X78" s="21" t="n"/>
      <c r="Y78" s="21" t="n"/>
      <c r="Z78" s="25">
        <f>TODAY()</f>
        <v/>
      </c>
    </row>
    <row r="79">
      <c r="A79" s="20" t="inlineStr">
        <is>
          <t>REM-050</t>
        </is>
      </c>
      <c r="B79" s="21" t="n"/>
      <c r="C79" s="21" t="n"/>
      <c r="D79" s="21" t="n"/>
      <c r="E79" s="21" t="n"/>
      <c r="F79" s="21" t="n"/>
      <c r="G79" s="21" t="n"/>
      <c r="H79" s="21" t="n"/>
      <c r="I79" s="24" t="n"/>
      <c r="J79" s="21" t="n"/>
      <c r="K79" s="21" t="n"/>
      <c r="L79" s="21" t="n"/>
      <c r="M79" s="21" t="n"/>
      <c r="N79" s="21" t="n"/>
      <c r="O79" s="25">
        <f>IF(H79="Completed",0,IF(ISBLANK(M79),"",M79-TODAY()))</f>
        <v/>
      </c>
      <c r="P79" s="25">
        <f>IF(H79="Completed","Completed",IF(ISBLANK(O79),"",IF(O79&lt;0,"Overdue",IF(O79&lt;30,"At Risk","On Track"))))</f>
        <v/>
      </c>
      <c r="Q79" s="21" t="n"/>
      <c r="R79" s="26" t="n"/>
      <c r="S79" s="21" t="n"/>
      <c r="T79" s="26" t="n"/>
      <c r="U79" s="21" t="n"/>
      <c r="V79" s="21" t="n"/>
      <c r="W79" s="21" t="n"/>
      <c r="X79" s="21" t="n"/>
      <c r="Y79" s="21" t="n"/>
      <c r="Z79" s="25">
        <f>TODAY()</f>
        <v/>
      </c>
    </row>
    <row r="80">
      <c r="A80" s="20" t="inlineStr">
        <is>
          <t>REM-051</t>
        </is>
      </c>
      <c r="B80" s="21" t="n"/>
      <c r="C80" s="21" t="n"/>
      <c r="D80" s="21" t="n"/>
      <c r="E80" s="21" t="n"/>
      <c r="F80" s="21" t="n"/>
      <c r="G80" s="21" t="n"/>
      <c r="H80" s="21" t="n"/>
      <c r="I80" s="24" t="n"/>
      <c r="J80" s="21" t="n"/>
      <c r="K80" s="21" t="n"/>
      <c r="L80" s="21" t="n"/>
      <c r="M80" s="21" t="n"/>
      <c r="N80" s="21" t="n"/>
      <c r="O80" s="25">
        <f>IF(H80="Completed",0,IF(ISBLANK(M80),"",M80-TODAY()))</f>
        <v/>
      </c>
      <c r="P80" s="25">
        <f>IF(H80="Completed","Completed",IF(ISBLANK(O80),"",IF(O80&lt;0,"Overdue",IF(O80&lt;30,"At Risk","On Track"))))</f>
        <v/>
      </c>
      <c r="Q80" s="21" t="n"/>
      <c r="R80" s="26" t="n"/>
      <c r="S80" s="21" t="n"/>
      <c r="T80" s="26" t="n"/>
      <c r="U80" s="21" t="n"/>
      <c r="V80" s="21" t="n"/>
      <c r="W80" s="21" t="n"/>
      <c r="X80" s="21" t="n"/>
      <c r="Y80" s="21" t="n"/>
      <c r="Z80" s="25">
        <f>TODAY()</f>
        <v/>
      </c>
    </row>
    <row r="81">
      <c r="A81" s="20" t="inlineStr">
        <is>
          <t>REM-052</t>
        </is>
      </c>
      <c r="B81" s="21" t="n"/>
      <c r="C81" s="21" t="n"/>
      <c r="D81" s="21" t="n"/>
      <c r="E81" s="21" t="n"/>
      <c r="F81" s="21" t="n"/>
      <c r="G81" s="21" t="n"/>
      <c r="H81" s="21" t="n"/>
      <c r="I81" s="24" t="n"/>
      <c r="J81" s="21" t="n"/>
      <c r="K81" s="21" t="n"/>
      <c r="L81" s="21" t="n"/>
      <c r="M81" s="21" t="n"/>
      <c r="N81" s="21" t="n"/>
      <c r="O81" s="25">
        <f>IF(H81="Completed",0,IF(ISBLANK(M81),"",M81-TODAY()))</f>
        <v/>
      </c>
      <c r="P81" s="25">
        <f>IF(H81="Completed","Completed",IF(ISBLANK(O81),"",IF(O81&lt;0,"Overdue",IF(O81&lt;30,"At Risk","On Track"))))</f>
        <v/>
      </c>
      <c r="Q81" s="21" t="n"/>
      <c r="R81" s="26" t="n"/>
      <c r="S81" s="21" t="n"/>
      <c r="T81" s="26" t="n"/>
      <c r="U81" s="21" t="n"/>
      <c r="V81" s="21" t="n"/>
      <c r="W81" s="21" t="n"/>
      <c r="X81" s="21" t="n"/>
      <c r="Y81" s="21" t="n"/>
      <c r="Z81" s="25">
        <f>TODAY()</f>
        <v/>
      </c>
    </row>
    <row r="82">
      <c r="A82" s="20" t="inlineStr">
        <is>
          <t>REM-053</t>
        </is>
      </c>
      <c r="B82" s="21" t="n"/>
      <c r="C82" s="21" t="n"/>
      <c r="D82" s="21" t="n"/>
      <c r="E82" s="21" t="n"/>
      <c r="F82" s="21" t="n"/>
      <c r="G82" s="21" t="n"/>
      <c r="H82" s="21" t="n"/>
      <c r="I82" s="24" t="n"/>
      <c r="J82" s="21" t="n"/>
      <c r="K82" s="21" t="n"/>
      <c r="L82" s="21" t="n"/>
      <c r="M82" s="21" t="n"/>
      <c r="N82" s="21" t="n"/>
      <c r="O82" s="25">
        <f>IF(H82="Completed",0,IF(ISBLANK(M82),"",M82-TODAY()))</f>
        <v/>
      </c>
      <c r="P82" s="25">
        <f>IF(H82="Completed","Completed",IF(ISBLANK(O82),"",IF(O82&lt;0,"Overdue",IF(O82&lt;30,"At Risk","On Track"))))</f>
        <v/>
      </c>
      <c r="Q82" s="21" t="n"/>
      <c r="R82" s="26" t="n"/>
      <c r="S82" s="21" t="n"/>
      <c r="T82" s="26" t="n"/>
      <c r="U82" s="21" t="n"/>
      <c r="V82" s="21" t="n"/>
      <c r="W82" s="21" t="n"/>
      <c r="X82" s="21" t="n"/>
      <c r="Y82" s="21" t="n"/>
      <c r="Z82" s="25">
        <f>TODAY()</f>
        <v/>
      </c>
    </row>
    <row r="83">
      <c r="A83" s="20" t="inlineStr">
        <is>
          <t>REM-054</t>
        </is>
      </c>
      <c r="B83" s="21" t="n"/>
      <c r="C83" s="21" t="n"/>
      <c r="D83" s="21" t="n"/>
      <c r="E83" s="21" t="n"/>
      <c r="F83" s="21" t="n"/>
      <c r="G83" s="21" t="n"/>
      <c r="H83" s="21" t="n"/>
      <c r="I83" s="24" t="n"/>
      <c r="J83" s="21" t="n"/>
      <c r="K83" s="21" t="n"/>
      <c r="L83" s="21" t="n"/>
      <c r="M83" s="21" t="n"/>
      <c r="N83" s="21" t="n"/>
      <c r="O83" s="25">
        <f>IF(H83="Completed",0,IF(ISBLANK(M83),"",M83-TODAY()))</f>
        <v/>
      </c>
      <c r="P83" s="25">
        <f>IF(H83="Completed","Completed",IF(ISBLANK(O83),"",IF(O83&lt;0,"Overdue",IF(O83&lt;30,"At Risk","On Track"))))</f>
        <v/>
      </c>
      <c r="Q83" s="21" t="n"/>
      <c r="R83" s="26" t="n"/>
      <c r="S83" s="21" t="n"/>
      <c r="T83" s="26" t="n"/>
      <c r="U83" s="21" t="n"/>
      <c r="V83" s="21" t="n"/>
      <c r="W83" s="21" t="n"/>
      <c r="X83" s="21" t="n"/>
      <c r="Y83" s="21" t="n"/>
      <c r="Z83" s="25">
        <f>TODAY()</f>
        <v/>
      </c>
    </row>
    <row r="84">
      <c r="A84" s="20" t="inlineStr">
        <is>
          <t>REM-055</t>
        </is>
      </c>
      <c r="B84" s="21" t="n"/>
      <c r="C84" s="21" t="n"/>
      <c r="D84" s="21" t="n"/>
      <c r="E84" s="21" t="n"/>
      <c r="F84" s="21" t="n"/>
      <c r="G84" s="21" t="n"/>
      <c r="H84" s="21" t="n"/>
      <c r="I84" s="24" t="n"/>
      <c r="J84" s="21" t="n"/>
      <c r="K84" s="21" t="n"/>
      <c r="L84" s="21" t="n"/>
      <c r="M84" s="21" t="n"/>
      <c r="N84" s="21" t="n"/>
      <c r="O84" s="25">
        <f>IF(H84="Completed",0,IF(ISBLANK(M84),"",M84-TODAY()))</f>
        <v/>
      </c>
      <c r="P84" s="25">
        <f>IF(H84="Completed","Completed",IF(ISBLANK(O84),"",IF(O84&lt;0,"Overdue",IF(O84&lt;30,"At Risk","On Track"))))</f>
        <v/>
      </c>
      <c r="Q84" s="21" t="n"/>
      <c r="R84" s="26" t="n"/>
      <c r="S84" s="21" t="n"/>
      <c r="T84" s="26" t="n"/>
      <c r="U84" s="21" t="n"/>
      <c r="V84" s="21" t="n"/>
      <c r="W84" s="21" t="n"/>
      <c r="X84" s="21" t="n"/>
      <c r="Y84" s="21" t="n"/>
      <c r="Z84" s="25">
        <f>TODAY()</f>
        <v/>
      </c>
    </row>
    <row r="85">
      <c r="A85" s="20" t="inlineStr">
        <is>
          <t>REM-056</t>
        </is>
      </c>
      <c r="B85" s="21" t="n"/>
      <c r="C85" s="21" t="n"/>
      <c r="D85" s="21" t="n"/>
      <c r="E85" s="21" t="n"/>
      <c r="F85" s="21" t="n"/>
      <c r="G85" s="21" t="n"/>
      <c r="H85" s="21" t="n"/>
      <c r="I85" s="24" t="n"/>
      <c r="J85" s="21" t="n"/>
      <c r="K85" s="21" t="n"/>
      <c r="L85" s="21" t="n"/>
      <c r="M85" s="21" t="n"/>
      <c r="N85" s="21" t="n"/>
      <c r="O85" s="25">
        <f>IF(H85="Completed",0,IF(ISBLANK(M85),"",M85-TODAY()))</f>
        <v/>
      </c>
      <c r="P85" s="25">
        <f>IF(H85="Completed","Completed",IF(ISBLANK(O85),"",IF(O85&lt;0,"Overdue",IF(O85&lt;30,"At Risk","On Track"))))</f>
        <v/>
      </c>
      <c r="Q85" s="21" t="n"/>
      <c r="R85" s="26" t="n"/>
      <c r="S85" s="21" t="n"/>
      <c r="T85" s="26" t="n"/>
      <c r="U85" s="21" t="n"/>
      <c r="V85" s="21" t="n"/>
      <c r="W85" s="21" t="n"/>
      <c r="X85" s="21" t="n"/>
      <c r="Y85" s="21" t="n"/>
      <c r="Z85" s="25">
        <f>TODAY()</f>
        <v/>
      </c>
    </row>
    <row r="86">
      <c r="A86" s="20" t="inlineStr">
        <is>
          <t>REM-057</t>
        </is>
      </c>
      <c r="B86" s="21" t="n"/>
      <c r="C86" s="21" t="n"/>
      <c r="D86" s="21" t="n"/>
      <c r="E86" s="21" t="n"/>
      <c r="F86" s="21" t="n"/>
      <c r="G86" s="21" t="n"/>
      <c r="H86" s="21" t="n"/>
      <c r="I86" s="24" t="n"/>
      <c r="J86" s="21" t="n"/>
      <c r="K86" s="21" t="n"/>
      <c r="L86" s="21" t="n"/>
      <c r="M86" s="21" t="n"/>
      <c r="N86" s="21" t="n"/>
      <c r="O86" s="25">
        <f>IF(H86="Completed",0,IF(ISBLANK(M86),"",M86-TODAY()))</f>
        <v/>
      </c>
      <c r="P86" s="25">
        <f>IF(H86="Completed","Completed",IF(ISBLANK(O86),"",IF(O86&lt;0,"Overdue",IF(O86&lt;30,"At Risk","On Track"))))</f>
        <v/>
      </c>
      <c r="Q86" s="21" t="n"/>
      <c r="R86" s="26" t="n"/>
      <c r="S86" s="21" t="n"/>
      <c r="T86" s="26" t="n"/>
      <c r="U86" s="21" t="n"/>
      <c r="V86" s="21" t="n"/>
      <c r="W86" s="21" t="n"/>
      <c r="X86" s="21" t="n"/>
      <c r="Y86" s="21" t="n"/>
      <c r="Z86" s="25">
        <f>TODAY()</f>
        <v/>
      </c>
    </row>
    <row r="87">
      <c r="A87" s="20" t="inlineStr">
        <is>
          <t>REM-058</t>
        </is>
      </c>
      <c r="B87" s="21" t="n"/>
      <c r="C87" s="21" t="n"/>
      <c r="D87" s="21" t="n"/>
      <c r="E87" s="21" t="n"/>
      <c r="F87" s="21" t="n"/>
      <c r="G87" s="21" t="n"/>
      <c r="H87" s="21" t="n"/>
      <c r="I87" s="24" t="n"/>
      <c r="J87" s="21" t="n"/>
      <c r="K87" s="21" t="n"/>
      <c r="L87" s="21" t="n"/>
      <c r="M87" s="21" t="n"/>
      <c r="N87" s="21" t="n"/>
      <c r="O87" s="25">
        <f>IF(H87="Completed",0,IF(ISBLANK(M87),"",M87-TODAY()))</f>
        <v/>
      </c>
      <c r="P87" s="25">
        <f>IF(H87="Completed","Completed",IF(ISBLANK(O87),"",IF(O87&lt;0,"Overdue",IF(O87&lt;30,"At Risk","On Track"))))</f>
        <v/>
      </c>
      <c r="Q87" s="21" t="n"/>
      <c r="R87" s="26" t="n"/>
      <c r="S87" s="21" t="n"/>
      <c r="T87" s="26" t="n"/>
      <c r="U87" s="21" t="n"/>
      <c r="V87" s="21" t="n"/>
      <c r="W87" s="21" t="n"/>
      <c r="X87" s="21" t="n"/>
      <c r="Y87" s="21" t="n"/>
      <c r="Z87" s="25">
        <f>TODAY()</f>
        <v/>
      </c>
    </row>
    <row r="88">
      <c r="A88" s="20" t="inlineStr">
        <is>
          <t>REM-059</t>
        </is>
      </c>
      <c r="B88" s="21" t="n"/>
      <c r="C88" s="21" t="n"/>
      <c r="D88" s="21" t="n"/>
      <c r="E88" s="21" t="n"/>
      <c r="F88" s="21" t="n"/>
      <c r="G88" s="21" t="n"/>
      <c r="H88" s="21" t="n"/>
      <c r="I88" s="24" t="n"/>
      <c r="J88" s="21" t="n"/>
      <c r="K88" s="21" t="n"/>
      <c r="L88" s="21" t="n"/>
      <c r="M88" s="21" t="n"/>
      <c r="N88" s="21" t="n"/>
      <c r="O88" s="25">
        <f>IF(H88="Completed",0,IF(ISBLANK(M88),"",M88-TODAY()))</f>
        <v/>
      </c>
      <c r="P88" s="25">
        <f>IF(H88="Completed","Completed",IF(ISBLANK(O88),"",IF(O88&lt;0,"Overdue",IF(O88&lt;30,"At Risk","On Track"))))</f>
        <v/>
      </c>
      <c r="Q88" s="21" t="n"/>
      <c r="R88" s="26" t="n"/>
      <c r="S88" s="21" t="n"/>
      <c r="T88" s="26" t="n"/>
      <c r="U88" s="21" t="n"/>
      <c r="V88" s="21" t="n"/>
      <c r="W88" s="21" t="n"/>
      <c r="X88" s="21" t="n"/>
      <c r="Y88" s="21" t="n"/>
      <c r="Z88" s="25">
        <f>TODAY()</f>
        <v/>
      </c>
    </row>
    <row r="89">
      <c r="A89" s="20" t="inlineStr">
        <is>
          <t>REM-060</t>
        </is>
      </c>
      <c r="B89" s="21" t="n"/>
      <c r="C89" s="21" t="n"/>
      <c r="D89" s="21" t="n"/>
      <c r="E89" s="21" t="n"/>
      <c r="F89" s="21" t="n"/>
      <c r="G89" s="21" t="n"/>
      <c r="H89" s="21" t="n"/>
      <c r="I89" s="24" t="n"/>
      <c r="J89" s="21" t="n"/>
      <c r="K89" s="21" t="n"/>
      <c r="L89" s="21" t="n"/>
      <c r="M89" s="21" t="n"/>
      <c r="N89" s="21" t="n"/>
      <c r="O89" s="25">
        <f>IF(H89="Completed",0,IF(ISBLANK(M89),"",M89-TODAY()))</f>
        <v/>
      </c>
      <c r="P89" s="25">
        <f>IF(H89="Completed","Completed",IF(ISBLANK(O89),"",IF(O89&lt;0,"Overdue",IF(O89&lt;30,"At Risk","On Track"))))</f>
        <v/>
      </c>
      <c r="Q89" s="21" t="n"/>
      <c r="R89" s="26" t="n"/>
      <c r="S89" s="21" t="n"/>
      <c r="T89" s="26" t="n"/>
      <c r="U89" s="21" t="n"/>
      <c r="V89" s="21" t="n"/>
      <c r="W89" s="21" t="n"/>
      <c r="X89" s="21" t="n"/>
      <c r="Y89" s="21" t="n"/>
      <c r="Z89" s="25">
        <f>TODAY()</f>
        <v/>
      </c>
    </row>
    <row r="90">
      <c r="A90" s="20" t="inlineStr">
        <is>
          <t>REM-061</t>
        </is>
      </c>
      <c r="B90" s="21" t="n"/>
      <c r="C90" s="21" t="n"/>
      <c r="D90" s="21" t="n"/>
      <c r="E90" s="21" t="n"/>
      <c r="F90" s="21" t="n"/>
      <c r="G90" s="21" t="n"/>
      <c r="H90" s="21" t="n"/>
      <c r="I90" s="24" t="n"/>
      <c r="J90" s="21" t="n"/>
      <c r="K90" s="21" t="n"/>
      <c r="L90" s="21" t="n"/>
      <c r="M90" s="21" t="n"/>
      <c r="N90" s="21" t="n"/>
      <c r="O90" s="25">
        <f>IF(H90="Completed",0,IF(ISBLANK(M90),"",M90-TODAY()))</f>
        <v/>
      </c>
      <c r="P90" s="25">
        <f>IF(H90="Completed","Completed",IF(ISBLANK(O90),"",IF(O90&lt;0,"Overdue",IF(O90&lt;30,"At Risk","On Track"))))</f>
        <v/>
      </c>
      <c r="Q90" s="21" t="n"/>
      <c r="R90" s="26" t="n"/>
      <c r="S90" s="21" t="n"/>
      <c r="T90" s="26" t="n"/>
      <c r="U90" s="21" t="n"/>
      <c r="V90" s="21" t="n"/>
      <c r="W90" s="21" t="n"/>
      <c r="X90" s="21" t="n"/>
      <c r="Y90" s="21" t="n"/>
      <c r="Z90" s="25">
        <f>TODAY()</f>
        <v/>
      </c>
    </row>
    <row r="91">
      <c r="A91" s="20" t="inlineStr">
        <is>
          <t>REM-062</t>
        </is>
      </c>
      <c r="B91" s="21" t="n"/>
      <c r="C91" s="21" t="n"/>
      <c r="D91" s="21" t="n"/>
      <c r="E91" s="21" t="n"/>
      <c r="F91" s="21" t="n"/>
      <c r="G91" s="21" t="n"/>
      <c r="H91" s="21" t="n"/>
      <c r="I91" s="24" t="n"/>
      <c r="J91" s="21" t="n"/>
      <c r="K91" s="21" t="n"/>
      <c r="L91" s="21" t="n"/>
      <c r="M91" s="21" t="n"/>
      <c r="N91" s="21" t="n"/>
      <c r="O91" s="25">
        <f>IF(H91="Completed",0,IF(ISBLANK(M91),"",M91-TODAY()))</f>
        <v/>
      </c>
      <c r="P91" s="25">
        <f>IF(H91="Completed","Completed",IF(ISBLANK(O91),"",IF(O91&lt;0,"Overdue",IF(O91&lt;30,"At Risk","On Track"))))</f>
        <v/>
      </c>
      <c r="Q91" s="21" t="n"/>
      <c r="R91" s="26" t="n"/>
      <c r="S91" s="21" t="n"/>
      <c r="T91" s="26" t="n"/>
      <c r="U91" s="21" t="n"/>
      <c r="V91" s="21" t="n"/>
      <c r="W91" s="21" t="n"/>
      <c r="X91" s="21" t="n"/>
      <c r="Y91" s="21" t="n"/>
      <c r="Z91" s="25">
        <f>TODAY()</f>
        <v/>
      </c>
    </row>
    <row r="92">
      <c r="A92" s="20" t="inlineStr">
        <is>
          <t>REM-063</t>
        </is>
      </c>
      <c r="B92" s="21" t="n"/>
      <c r="C92" s="21" t="n"/>
      <c r="D92" s="21" t="n"/>
      <c r="E92" s="21" t="n"/>
      <c r="F92" s="21" t="n"/>
      <c r="G92" s="21" t="n"/>
      <c r="H92" s="21" t="n"/>
      <c r="I92" s="24" t="n"/>
      <c r="J92" s="21" t="n"/>
      <c r="K92" s="21" t="n"/>
      <c r="L92" s="21" t="n"/>
      <c r="M92" s="21" t="n"/>
      <c r="N92" s="21" t="n"/>
      <c r="O92" s="25">
        <f>IF(H92="Completed",0,IF(ISBLANK(M92),"",M92-TODAY()))</f>
        <v/>
      </c>
      <c r="P92" s="25">
        <f>IF(H92="Completed","Completed",IF(ISBLANK(O92),"",IF(O92&lt;0,"Overdue",IF(O92&lt;30,"At Risk","On Track"))))</f>
        <v/>
      </c>
      <c r="Q92" s="21" t="n"/>
      <c r="R92" s="26" t="n"/>
      <c r="S92" s="21" t="n"/>
      <c r="T92" s="26" t="n"/>
      <c r="U92" s="21" t="n"/>
      <c r="V92" s="21" t="n"/>
      <c r="W92" s="21" t="n"/>
      <c r="X92" s="21" t="n"/>
      <c r="Y92" s="21" t="n"/>
      <c r="Z92" s="25">
        <f>TODAY()</f>
        <v/>
      </c>
    </row>
    <row r="93">
      <c r="A93" s="20" t="inlineStr">
        <is>
          <t>REM-064</t>
        </is>
      </c>
      <c r="B93" s="21" t="n"/>
      <c r="C93" s="21" t="n"/>
      <c r="D93" s="21" t="n"/>
      <c r="E93" s="21" t="n"/>
      <c r="F93" s="21" t="n"/>
      <c r="G93" s="21" t="n"/>
      <c r="H93" s="21" t="n"/>
      <c r="I93" s="24" t="n"/>
      <c r="J93" s="21" t="n"/>
      <c r="K93" s="21" t="n"/>
      <c r="L93" s="21" t="n"/>
      <c r="M93" s="21" t="n"/>
      <c r="N93" s="21" t="n"/>
      <c r="O93" s="25">
        <f>IF(H93="Completed",0,IF(ISBLANK(M93),"",M93-TODAY()))</f>
        <v/>
      </c>
      <c r="P93" s="25">
        <f>IF(H93="Completed","Completed",IF(ISBLANK(O93),"",IF(O93&lt;0,"Overdue",IF(O93&lt;30,"At Risk","On Track"))))</f>
        <v/>
      </c>
      <c r="Q93" s="21" t="n"/>
      <c r="R93" s="26" t="n"/>
      <c r="S93" s="21" t="n"/>
      <c r="T93" s="26" t="n"/>
      <c r="U93" s="21" t="n"/>
      <c r="V93" s="21" t="n"/>
      <c r="W93" s="21" t="n"/>
      <c r="X93" s="21" t="n"/>
      <c r="Y93" s="21" t="n"/>
      <c r="Z93" s="25">
        <f>TODAY()</f>
        <v/>
      </c>
    </row>
    <row r="94">
      <c r="A94" s="20" t="inlineStr">
        <is>
          <t>REM-065</t>
        </is>
      </c>
      <c r="B94" s="21" t="n"/>
      <c r="C94" s="21" t="n"/>
      <c r="D94" s="21" t="n"/>
      <c r="E94" s="21" t="n"/>
      <c r="F94" s="21" t="n"/>
      <c r="G94" s="21" t="n"/>
      <c r="H94" s="21" t="n"/>
      <c r="I94" s="24" t="n"/>
      <c r="J94" s="21" t="n"/>
      <c r="K94" s="21" t="n"/>
      <c r="L94" s="21" t="n"/>
      <c r="M94" s="21" t="n"/>
      <c r="N94" s="21" t="n"/>
      <c r="O94" s="25">
        <f>IF(H94="Completed",0,IF(ISBLANK(M94),"",M94-TODAY()))</f>
        <v/>
      </c>
      <c r="P94" s="25">
        <f>IF(H94="Completed","Completed",IF(ISBLANK(O94),"",IF(O94&lt;0,"Overdue",IF(O94&lt;30,"At Risk","On Track"))))</f>
        <v/>
      </c>
      <c r="Q94" s="21" t="n"/>
      <c r="R94" s="26" t="n"/>
      <c r="S94" s="21" t="n"/>
      <c r="T94" s="26" t="n"/>
      <c r="U94" s="21" t="n"/>
      <c r="V94" s="21" t="n"/>
      <c r="W94" s="21" t="n"/>
      <c r="X94" s="21" t="n"/>
      <c r="Y94" s="21" t="n"/>
      <c r="Z94" s="25">
        <f>TODAY()</f>
        <v/>
      </c>
    </row>
    <row r="95">
      <c r="A95" s="20" t="inlineStr">
        <is>
          <t>REM-066</t>
        </is>
      </c>
      <c r="B95" s="21" t="n"/>
      <c r="C95" s="21" t="n"/>
      <c r="D95" s="21" t="n"/>
      <c r="E95" s="21" t="n"/>
      <c r="F95" s="21" t="n"/>
      <c r="G95" s="21" t="n"/>
      <c r="H95" s="21" t="n"/>
      <c r="I95" s="24" t="n"/>
      <c r="J95" s="21" t="n"/>
      <c r="K95" s="21" t="n"/>
      <c r="L95" s="21" t="n"/>
      <c r="M95" s="21" t="n"/>
      <c r="N95" s="21" t="n"/>
      <c r="O95" s="25">
        <f>IF(H95="Completed",0,IF(ISBLANK(M95),"",M95-TODAY()))</f>
        <v/>
      </c>
      <c r="P95" s="25">
        <f>IF(H95="Completed","Completed",IF(ISBLANK(O95),"",IF(O95&lt;0,"Overdue",IF(O95&lt;30,"At Risk","On Track"))))</f>
        <v/>
      </c>
      <c r="Q95" s="21" t="n"/>
      <c r="R95" s="26" t="n"/>
      <c r="S95" s="21" t="n"/>
      <c r="T95" s="26" t="n"/>
      <c r="U95" s="21" t="n"/>
      <c r="V95" s="21" t="n"/>
      <c r="W95" s="21" t="n"/>
      <c r="X95" s="21" t="n"/>
      <c r="Y95" s="21" t="n"/>
      <c r="Z95" s="25">
        <f>TODAY()</f>
        <v/>
      </c>
    </row>
    <row r="96">
      <c r="A96" s="20" t="inlineStr">
        <is>
          <t>REM-067</t>
        </is>
      </c>
      <c r="B96" s="21" t="n"/>
      <c r="C96" s="21" t="n"/>
      <c r="D96" s="21" t="n"/>
      <c r="E96" s="21" t="n"/>
      <c r="F96" s="21" t="n"/>
      <c r="G96" s="21" t="n"/>
      <c r="H96" s="21" t="n"/>
      <c r="I96" s="24" t="n"/>
      <c r="J96" s="21" t="n"/>
      <c r="K96" s="21" t="n"/>
      <c r="L96" s="21" t="n"/>
      <c r="M96" s="21" t="n"/>
      <c r="N96" s="21" t="n"/>
      <c r="O96" s="25">
        <f>IF(H96="Completed",0,IF(ISBLANK(M96),"",M96-TODAY()))</f>
        <v/>
      </c>
      <c r="P96" s="25">
        <f>IF(H96="Completed","Completed",IF(ISBLANK(O96),"",IF(O96&lt;0,"Overdue",IF(O96&lt;30,"At Risk","On Track"))))</f>
        <v/>
      </c>
      <c r="Q96" s="21" t="n"/>
      <c r="R96" s="26" t="n"/>
      <c r="S96" s="21" t="n"/>
      <c r="T96" s="26" t="n"/>
      <c r="U96" s="21" t="n"/>
      <c r="V96" s="21" t="n"/>
      <c r="W96" s="21" t="n"/>
      <c r="X96" s="21" t="n"/>
      <c r="Y96" s="21" t="n"/>
      <c r="Z96" s="25">
        <f>TODAY()</f>
        <v/>
      </c>
    </row>
    <row r="97">
      <c r="A97" s="20" t="inlineStr">
        <is>
          <t>REM-068</t>
        </is>
      </c>
      <c r="B97" s="21" t="n"/>
      <c r="C97" s="21" t="n"/>
      <c r="D97" s="21" t="n"/>
      <c r="E97" s="21" t="n"/>
      <c r="F97" s="21" t="n"/>
      <c r="G97" s="21" t="n"/>
      <c r="H97" s="21" t="n"/>
      <c r="I97" s="24" t="n"/>
      <c r="J97" s="21" t="n"/>
      <c r="K97" s="21" t="n"/>
      <c r="L97" s="21" t="n"/>
      <c r="M97" s="21" t="n"/>
      <c r="N97" s="21" t="n"/>
      <c r="O97" s="25">
        <f>IF(H97="Completed",0,IF(ISBLANK(M97),"",M97-TODAY()))</f>
        <v/>
      </c>
      <c r="P97" s="25">
        <f>IF(H97="Completed","Completed",IF(ISBLANK(O97),"",IF(O97&lt;0,"Overdue",IF(O97&lt;30,"At Risk","On Track"))))</f>
        <v/>
      </c>
      <c r="Q97" s="21" t="n"/>
      <c r="R97" s="26" t="n"/>
      <c r="S97" s="21" t="n"/>
      <c r="T97" s="26" t="n"/>
      <c r="U97" s="21" t="n"/>
      <c r="V97" s="21" t="n"/>
      <c r="W97" s="21" t="n"/>
      <c r="X97" s="21" t="n"/>
      <c r="Y97" s="21" t="n"/>
      <c r="Z97" s="25">
        <f>TODAY()</f>
        <v/>
      </c>
    </row>
    <row r="98">
      <c r="A98" s="20" t="inlineStr">
        <is>
          <t>REM-069</t>
        </is>
      </c>
      <c r="B98" s="21" t="n"/>
      <c r="C98" s="21" t="n"/>
      <c r="D98" s="21" t="n"/>
      <c r="E98" s="21" t="n"/>
      <c r="F98" s="21" t="n"/>
      <c r="G98" s="21" t="n"/>
      <c r="H98" s="21" t="n"/>
      <c r="I98" s="24" t="n"/>
      <c r="J98" s="21" t="n"/>
      <c r="K98" s="21" t="n"/>
      <c r="L98" s="21" t="n"/>
      <c r="M98" s="21" t="n"/>
      <c r="N98" s="21" t="n"/>
      <c r="O98" s="25">
        <f>IF(H98="Completed",0,IF(ISBLANK(M98),"",M98-TODAY()))</f>
        <v/>
      </c>
      <c r="P98" s="25">
        <f>IF(H98="Completed","Completed",IF(ISBLANK(O98),"",IF(O98&lt;0,"Overdue",IF(O98&lt;30,"At Risk","On Track"))))</f>
        <v/>
      </c>
      <c r="Q98" s="21" t="n"/>
      <c r="R98" s="26" t="n"/>
      <c r="S98" s="21" t="n"/>
      <c r="T98" s="26" t="n"/>
      <c r="U98" s="21" t="n"/>
      <c r="V98" s="21" t="n"/>
      <c r="W98" s="21" t="n"/>
      <c r="X98" s="21" t="n"/>
      <c r="Y98" s="21" t="n"/>
      <c r="Z98" s="25">
        <f>TODAY()</f>
        <v/>
      </c>
    </row>
    <row r="99">
      <c r="A99" s="20" t="inlineStr">
        <is>
          <t>REM-070</t>
        </is>
      </c>
      <c r="B99" s="21" t="n"/>
      <c r="C99" s="21" t="n"/>
      <c r="D99" s="21" t="n"/>
      <c r="E99" s="21" t="n"/>
      <c r="F99" s="21" t="n"/>
      <c r="G99" s="21" t="n"/>
      <c r="H99" s="21" t="n"/>
      <c r="I99" s="24" t="n"/>
      <c r="J99" s="21" t="n"/>
      <c r="K99" s="21" t="n"/>
      <c r="L99" s="21" t="n"/>
      <c r="M99" s="21" t="n"/>
      <c r="N99" s="21" t="n"/>
      <c r="O99" s="25">
        <f>IF(H99="Completed",0,IF(ISBLANK(M99),"",M99-TODAY()))</f>
        <v/>
      </c>
      <c r="P99" s="25">
        <f>IF(H99="Completed","Completed",IF(ISBLANK(O99),"",IF(O99&lt;0,"Overdue",IF(O99&lt;30,"At Risk","On Track"))))</f>
        <v/>
      </c>
      <c r="Q99" s="21" t="n"/>
      <c r="R99" s="26" t="n"/>
      <c r="S99" s="21" t="n"/>
      <c r="T99" s="26" t="n"/>
      <c r="U99" s="21" t="n"/>
      <c r="V99" s="21" t="n"/>
      <c r="W99" s="21" t="n"/>
      <c r="X99" s="21" t="n"/>
      <c r="Y99" s="21" t="n"/>
      <c r="Z99" s="25">
        <f>TODAY()</f>
        <v/>
      </c>
    </row>
    <row r="100">
      <c r="A100" s="20" t="inlineStr">
        <is>
          <t>REM-071</t>
        </is>
      </c>
      <c r="B100" s="21" t="n"/>
      <c r="C100" s="21" t="n"/>
      <c r="D100" s="21" t="n"/>
      <c r="E100" s="21" t="n"/>
      <c r="F100" s="21" t="n"/>
      <c r="G100" s="21" t="n"/>
      <c r="H100" s="21" t="n"/>
      <c r="I100" s="24" t="n"/>
      <c r="J100" s="21" t="n"/>
      <c r="K100" s="21" t="n"/>
      <c r="L100" s="21" t="n"/>
      <c r="M100" s="21" t="n"/>
      <c r="N100" s="21" t="n"/>
      <c r="O100" s="25">
        <f>IF(H100="Completed",0,IF(ISBLANK(M100),"",M100-TODAY()))</f>
        <v/>
      </c>
      <c r="P100" s="25">
        <f>IF(H100="Completed","Completed",IF(ISBLANK(O100),"",IF(O100&lt;0,"Overdue",IF(O100&lt;30,"At Risk","On Track"))))</f>
        <v/>
      </c>
      <c r="Q100" s="21" t="n"/>
      <c r="R100" s="26" t="n"/>
      <c r="S100" s="21" t="n"/>
      <c r="T100" s="26" t="n"/>
      <c r="U100" s="21" t="n"/>
      <c r="V100" s="21" t="n"/>
      <c r="W100" s="21" t="n"/>
      <c r="X100" s="21" t="n"/>
      <c r="Y100" s="21" t="n"/>
      <c r="Z100" s="25">
        <f>TODAY()</f>
        <v/>
      </c>
    </row>
    <row r="101">
      <c r="A101" s="20" t="inlineStr">
        <is>
          <t>REM-072</t>
        </is>
      </c>
      <c r="B101" s="21" t="n"/>
      <c r="C101" s="21" t="n"/>
      <c r="D101" s="21" t="n"/>
      <c r="E101" s="21" t="n"/>
      <c r="F101" s="21" t="n"/>
      <c r="G101" s="21" t="n"/>
      <c r="H101" s="21" t="n"/>
      <c r="I101" s="24" t="n"/>
      <c r="J101" s="21" t="n"/>
      <c r="K101" s="21" t="n"/>
      <c r="L101" s="21" t="n"/>
      <c r="M101" s="21" t="n"/>
      <c r="N101" s="21" t="n"/>
      <c r="O101" s="25">
        <f>IF(H101="Completed",0,IF(ISBLANK(M101),"",M101-TODAY()))</f>
        <v/>
      </c>
      <c r="P101" s="25">
        <f>IF(H101="Completed","Completed",IF(ISBLANK(O101),"",IF(O101&lt;0,"Overdue",IF(O101&lt;30,"At Risk","On Track"))))</f>
        <v/>
      </c>
      <c r="Q101" s="21" t="n"/>
      <c r="R101" s="26" t="n"/>
      <c r="S101" s="21" t="n"/>
      <c r="T101" s="26" t="n"/>
      <c r="U101" s="21" t="n"/>
      <c r="V101" s="21" t="n"/>
      <c r="W101" s="21" t="n"/>
      <c r="X101" s="21" t="n"/>
      <c r="Y101" s="21" t="n"/>
      <c r="Z101" s="25">
        <f>TODAY()</f>
        <v/>
      </c>
    </row>
    <row r="102">
      <c r="A102" s="20" t="inlineStr">
        <is>
          <t>REM-073</t>
        </is>
      </c>
      <c r="B102" s="21" t="n"/>
      <c r="C102" s="21" t="n"/>
      <c r="D102" s="21" t="n"/>
      <c r="E102" s="21" t="n"/>
      <c r="F102" s="21" t="n"/>
      <c r="G102" s="21" t="n"/>
      <c r="H102" s="21" t="n"/>
      <c r="I102" s="24" t="n"/>
      <c r="J102" s="21" t="n"/>
      <c r="K102" s="21" t="n"/>
      <c r="L102" s="21" t="n"/>
      <c r="M102" s="21" t="n"/>
      <c r="N102" s="21" t="n"/>
      <c r="O102" s="25">
        <f>IF(H102="Completed",0,IF(ISBLANK(M102),"",M102-TODAY()))</f>
        <v/>
      </c>
      <c r="P102" s="25">
        <f>IF(H102="Completed","Completed",IF(ISBLANK(O102),"",IF(O102&lt;0,"Overdue",IF(O102&lt;30,"At Risk","On Track"))))</f>
        <v/>
      </c>
      <c r="Q102" s="21" t="n"/>
      <c r="R102" s="26" t="n"/>
      <c r="S102" s="21" t="n"/>
      <c r="T102" s="26" t="n"/>
      <c r="U102" s="21" t="n"/>
      <c r="V102" s="21" t="n"/>
      <c r="W102" s="21" t="n"/>
      <c r="X102" s="21" t="n"/>
      <c r="Y102" s="21" t="n"/>
      <c r="Z102" s="25">
        <f>TODAY()</f>
        <v/>
      </c>
    </row>
    <row r="103">
      <c r="A103" s="20" t="inlineStr">
        <is>
          <t>REM-074</t>
        </is>
      </c>
      <c r="B103" s="21" t="n"/>
      <c r="C103" s="21" t="n"/>
      <c r="D103" s="21" t="n"/>
      <c r="E103" s="21" t="n"/>
      <c r="F103" s="21" t="n"/>
      <c r="G103" s="21" t="n"/>
      <c r="H103" s="21" t="n"/>
      <c r="I103" s="24" t="n"/>
      <c r="J103" s="21" t="n"/>
      <c r="K103" s="21" t="n"/>
      <c r="L103" s="21" t="n"/>
      <c r="M103" s="21" t="n"/>
      <c r="N103" s="21" t="n"/>
      <c r="O103" s="25">
        <f>IF(H103="Completed",0,IF(ISBLANK(M103),"",M103-TODAY()))</f>
        <v/>
      </c>
      <c r="P103" s="25">
        <f>IF(H103="Completed","Completed",IF(ISBLANK(O103),"",IF(O103&lt;0,"Overdue",IF(O103&lt;30,"At Risk","On Track"))))</f>
        <v/>
      </c>
      <c r="Q103" s="21" t="n"/>
      <c r="R103" s="26" t="n"/>
      <c r="S103" s="21" t="n"/>
      <c r="T103" s="26" t="n"/>
      <c r="U103" s="21" t="n"/>
      <c r="V103" s="21" t="n"/>
      <c r="W103" s="21" t="n"/>
      <c r="X103" s="21" t="n"/>
      <c r="Y103" s="21" t="n"/>
      <c r="Z103" s="25">
        <f>TODAY()</f>
        <v/>
      </c>
    </row>
    <row r="104">
      <c r="A104" s="20" t="inlineStr">
        <is>
          <t>REM-075</t>
        </is>
      </c>
      <c r="B104" s="21" t="n"/>
      <c r="C104" s="21" t="n"/>
      <c r="D104" s="21" t="n"/>
      <c r="E104" s="21" t="n"/>
      <c r="F104" s="21" t="n"/>
      <c r="G104" s="21" t="n"/>
      <c r="H104" s="21" t="n"/>
      <c r="I104" s="24" t="n"/>
      <c r="J104" s="21" t="n"/>
      <c r="K104" s="21" t="n"/>
      <c r="L104" s="21" t="n"/>
      <c r="M104" s="21" t="n"/>
      <c r="N104" s="21" t="n"/>
      <c r="O104" s="25">
        <f>IF(H104="Completed",0,IF(ISBLANK(M104),"",M104-TODAY()))</f>
        <v/>
      </c>
      <c r="P104" s="25">
        <f>IF(H104="Completed","Completed",IF(ISBLANK(O104),"",IF(O104&lt;0,"Overdue",IF(O104&lt;30,"At Risk","On Track"))))</f>
        <v/>
      </c>
      <c r="Q104" s="21" t="n"/>
      <c r="R104" s="26" t="n"/>
      <c r="S104" s="21" t="n"/>
      <c r="T104" s="26" t="n"/>
      <c r="U104" s="21" t="n"/>
      <c r="V104" s="21" t="n"/>
      <c r="W104" s="21" t="n"/>
      <c r="X104" s="21" t="n"/>
      <c r="Y104" s="21" t="n"/>
      <c r="Z104" s="25">
        <f>TODAY()</f>
        <v/>
      </c>
    </row>
    <row r="105">
      <c r="A105" s="20" t="inlineStr">
        <is>
          <t>REM-076</t>
        </is>
      </c>
      <c r="B105" s="21" t="n"/>
      <c r="C105" s="21" t="n"/>
      <c r="D105" s="21" t="n"/>
      <c r="E105" s="21" t="n"/>
      <c r="F105" s="21" t="n"/>
      <c r="G105" s="21" t="n"/>
      <c r="H105" s="21" t="n"/>
      <c r="I105" s="24" t="n"/>
      <c r="J105" s="21" t="n"/>
      <c r="K105" s="21" t="n"/>
      <c r="L105" s="21" t="n"/>
      <c r="M105" s="21" t="n"/>
      <c r="N105" s="21" t="n"/>
      <c r="O105" s="25">
        <f>IF(H105="Completed",0,IF(ISBLANK(M105),"",M105-TODAY()))</f>
        <v/>
      </c>
      <c r="P105" s="25">
        <f>IF(H105="Completed","Completed",IF(ISBLANK(O105),"",IF(O105&lt;0,"Overdue",IF(O105&lt;30,"At Risk","On Track"))))</f>
        <v/>
      </c>
      <c r="Q105" s="21" t="n"/>
      <c r="R105" s="26" t="n"/>
      <c r="S105" s="21" t="n"/>
      <c r="T105" s="26" t="n"/>
      <c r="U105" s="21" t="n"/>
      <c r="V105" s="21" t="n"/>
      <c r="W105" s="21" t="n"/>
      <c r="X105" s="21" t="n"/>
      <c r="Y105" s="21" t="n"/>
      <c r="Z105" s="25">
        <f>TODAY()</f>
        <v/>
      </c>
    </row>
    <row r="106">
      <c r="A106" s="20" t="inlineStr">
        <is>
          <t>REM-077</t>
        </is>
      </c>
      <c r="B106" s="21" t="n"/>
      <c r="C106" s="21" t="n"/>
      <c r="D106" s="21" t="n"/>
      <c r="E106" s="21" t="n"/>
      <c r="F106" s="21" t="n"/>
      <c r="G106" s="21" t="n"/>
      <c r="H106" s="21" t="n"/>
      <c r="I106" s="24" t="n"/>
      <c r="J106" s="21" t="n"/>
      <c r="K106" s="21" t="n"/>
      <c r="L106" s="21" t="n"/>
      <c r="M106" s="21" t="n"/>
      <c r="N106" s="21" t="n"/>
      <c r="O106" s="25">
        <f>IF(H106="Completed",0,IF(ISBLANK(M106),"",M106-TODAY()))</f>
        <v/>
      </c>
      <c r="P106" s="25">
        <f>IF(H106="Completed","Completed",IF(ISBLANK(O106),"",IF(O106&lt;0,"Overdue",IF(O106&lt;30,"At Risk","On Track"))))</f>
        <v/>
      </c>
      <c r="Q106" s="21" t="n"/>
      <c r="R106" s="26" t="n"/>
      <c r="S106" s="21" t="n"/>
      <c r="T106" s="26" t="n"/>
      <c r="U106" s="21" t="n"/>
      <c r="V106" s="21" t="n"/>
      <c r="W106" s="21" t="n"/>
      <c r="X106" s="21" t="n"/>
      <c r="Y106" s="21" t="n"/>
      <c r="Z106" s="25">
        <f>TODAY()</f>
        <v/>
      </c>
    </row>
    <row r="107">
      <c r="A107" s="20" t="inlineStr">
        <is>
          <t>REM-078</t>
        </is>
      </c>
      <c r="B107" s="21" t="n"/>
      <c r="C107" s="21" t="n"/>
      <c r="D107" s="21" t="n"/>
      <c r="E107" s="21" t="n"/>
      <c r="F107" s="21" t="n"/>
      <c r="G107" s="21" t="n"/>
      <c r="H107" s="21" t="n"/>
      <c r="I107" s="24" t="n"/>
      <c r="J107" s="21" t="n"/>
      <c r="K107" s="21" t="n"/>
      <c r="L107" s="21" t="n"/>
      <c r="M107" s="21" t="n"/>
      <c r="N107" s="21" t="n"/>
      <c r="O107" s="25">
        <f>IF(H107="Completed",0,IF(ISBLANK(M107),"",M107-TODAY()))</f>
        <v/>
      </c>
      <c r="P107" s="25">
        <f>IF(H107="Completed","Completed",IF(ISBLANK(O107),"",IF(O107&lt;0,"Overdue",IF(O107&lt;30,"At Risk","On Track"))))</f>
        <v/>
      </c>
      <c r="Q107" s="21" t="n"/>
      <c r="R107" s="26" t="n"/>
      <c r="S107" s="21" t="n"/>
      <c r="T107" s="26" t="n"/>
      <c r="U107" s="21" t="n"/>
      <c r="V107" s="21" t="n"/>
      <c r="W107" s="21" t="n"/>
      <c r="X107" s="21" t="n"/>
      <c r="Y107" s="21" t="n"/>
      <c r="Z107" s="25">
        <f>TODAY()</f>
        <v/>
      </c>
    </row>
    <row r="108">
      <c r="A108" s="20" t="inlineStr">
        <is>
          <t>REM-079</t>
        </is>
      </c>
      <c r="B108" s="21" t="n"/>
      <c r="C108" s="21" t="n"/>
      <c r="D108" s="21" t="n"/>
      <c r="E108" s="21" t="n"/>
      <c r="F108" s="21" t="n"/>
      <c r="G108" s="21" t="n"/>
      <c r="H108" s="21" t="n"/>
      <c r="I108" s="24" t="n"/>
      <c r="J108" s="21" t="n"/>
      <c r="K108" s="21" t="n"/>
      <c r="L108" s="21" t="n"/>
      <c r="M108" s="21" t="n"/>
      <c r="N108" s="21" t="n"/>
      <c r="O108" s="25">
        <f>IF(H108="Completed",0,IF(ISBLANK(M108),"",M108-TODAY()))</f>
        <v/>
      </c>
      <c r="P108" s="25">
        <f>IF(H108="Completed","Completed",IF(ISBLANK(O108),"",IF(O108&lt;0,"Overdue",IF(O108&lt;30,"At Risk","On Track"))))</f>
        <v/>
      </c>
      <c r="Q108" s="21" t="n"/>
      <c r="R108" s="26" t="n"/>
      <c r="S108" s="21" t="n"/>
      <c r="T108" s="26" t="n"/>
      <c r="U108" s="21" t="n"/>
      <c r="V108" s="21" t="n"/>
      <c r="W108" s="21" t="n"/>
      <c r="X108" s="21" t="n"/>
      <c r="Y108" s="21" t="n"/>
      <c r="Z108" s="25">
        <f>TODAY()</f>
        <v/>
      </c>
    </row>
    <row r="109">
      <c r="A109" s="20" t="inlineStr">
        <is>
          <t>REM-080</t>
        </is>
      </c>
      <c r="B109" s="21" t="n"/>
      <c r="C109" s="21" t="n"/>
      <c r="D109" s="21" t="n"/>
      <c r="E109" s="21" t="n"/>
      <c r="F109" s="21" t="n"/>
      <c r="G109" s="21" t="n"/>
      <c r="H109" s="21" t="n"/>
      <c r="I109" s="24" t="n"/>
      <c r="J109" s="21" t="n"/>
      <c r="K109" s="21" t="n"/>
      <c r="L109" s="21" t="n"/>
      <c r="M109" s="21" t="n"/>
      <c r="N109" s="21" t="n"/>
      <c r="O109" s="25">
        <f>IF(H109="Completed",0,IF(ISBLANK(M109),"",M109-TODAY()))</f>
        <v/>
      </c>
      <c r="P109" s="25">
        <f>IF(H109="Completed","Completed",IF(ISBLANK(O109),"",IF(O109&lt;0,"Overdue",IF(O109&lt;30,"At Risk","On Track"))))</f>
        <v/>
      </c>
      <c r="Q109" s="21" t="n"/>
      <c r="R109" s="26" t="n"/>
      <c r="S109" s="21" t="n"/>
      <c r="T109" s="26" t="n"/>
      <c r="U109" s="21" t="n"/>
      <c r="V109" s="21" t="n"/>
      <c r="W109" s="21" t="n"/>
      <c r="X109" s="21" t="n"/>
      <c r="Y109" s="21" t="n"/>
      <c r="Z109" s="25">
        <f>TODAY()</f>
        <v/>
      </c>
    </row>
    <row r="110">
      <c r="A110" s="20" t="inlineStr">
        <is>
          <t>REM-081</t>
        </is>
      </c>
      <c r="B110" s="21" t="n"/>
      <c r="C110" s="21" t="n"/>
      <c r="D110" s="21" t="n"/>
      <c r="E110" s="21" t="n"/>
      <c r="F110" s="21" t="n"/>
      <c r="G110" s="21" t="n"/>
      <c r="H110" s="21" t="n"/>
      <c r="I110" s="24" t="n"/>
      <c r="J110" s="21" t="n"/>
      <c r="K110" s="21" t="n"/>
      <c r="L110" s="21" t="n"/>
      <c r="M110" s="21" t="n"/>
      <c r="N110" s="21" t="n"/>
      <c r="O110" s="25">
        <f>IF(H110="Completed",0,IF(ISBLANK(M110),"",M110-TODAY()))</f>
        <v/>
      </c>
      <c r="P110" s="25">
        <f>IF(H110="Completed","Completed",IF(ISBLANK(O110),"",IF(O110&lt;0,"Overdue",IF(O110&lt;30,"At Risk","On Track"))))</f>
        <v/>
      </c>
      <c r="Q110" s="21" t="n"/>
      <c r="R110" s="26" t="n"/>
      <c r="S110" s="21" t="n"/>
      <c r="T110" s="26" t="n"/>
      <c r="U110" s="21" t="n"/>
      <c r="V110" s="21" t="n"/>
      <c r="W110" s="21" t="n"/>
      <c r="X110" s="21" t="n"/>
      <c r="Y110" s="21" t="n"/>
      <c r="Z110" s="25">
        <f>TODAY()</f>
        <v/>
      </c>
    </row>
    <row r="111">
      <c r="A111" s="20" t="inlineStr">
        <is>
          <t>REM-082</t>
        </is>
      </c>
      <c r="B111" s="21" t="n"/>
      <c r="C111" s="21" t="n"/>
      <c r="D111" s="21" t="n"/>
      <c r="E111" s="21" t="n"/>
      <c r="F111" s="21" t="n"/>
      <c r="G111" s="21" t="n"/>
      <c r="H111" s="21" t="n"/>
      <c r="I111" s="24" t="n"/>
      <c r="J111" s="21" t="n"/>
      <c r="K111" s="21" t="n"/>
      <c r="L111" s="21" t="n"/>
      <c r="M111" s="21" t="n"/>
      <c r="N111" s="21" t="n"/>
      <c r="O111" s="25">
        <f>IF(H111="Completed",0,IF(ISBLANK(M111),"",M111-TODAY()))</f>
        <v/>
      </c>
      <c r="P111" s="25">
        <f>IF(H111="Completed","Completed",IF(ISBLANK(O111),"",IF(O111&lt;0,"Overdue",IF(O111&lt;30,"At Risk","On Track"))))</f>
        <v/>
      </c>
      <c r="Q111" s="21" t="n"/>
      <c r="R111" s="26" t="n"/>
      <c r="S111" s="21" t="n"/>
      <c r="T111" s="26" t="n"/>
      <c r="U111" s="21" t="n"/>
      <c r="V111" s="21" t="n"/>
      <c r="W111" s="21" t="n"/>
      <c r="X111" s="21" t="n"/>
      <c r="Y111" s="21" t="n"/>
      <c r="Z111" s="25">
        <f>TODAY()</f>
        <v/>
      </c>
    </row>
    <row r="112">
      <c r="A112" s="20" t="inlineStr">
        <is>
          <t>REM-083</t>
        </is>
      </c>
      <c r="B112" s="21" t="n"/>
      <c r="C112" s="21" t="n"/>
      <c r="D112" s="21" t="n"/>
      <c r="E112" s="21" t="n"/>
      <c r="F112" s="21" t="n"/>
      <c r="G112" s="21" t="n"/>
      <c r="H112" s="21" t="n"/>
      <c r="I112" s="24" t="n"/>
      <c r="J112" s="21" t="n"/>
      <c r="K112" s="21" t="n"/>
      <c r="L112" s="21" t="n"/>
      <c r="M112" s="21" t="n"/>
      <c r="N112" s="21" t="n"/>
      <c r="O112" s="25">
        <f>IF(H112="Completed",0,IF(ISBLANK(M112),"",M112-TODAY()))</f>
        <v/>
      </c>
      <c r="P112" s="25">
        <f>IF(H112="Completed","Completed",IF(ISBLANK(O112),"",IF(O112&lt;0,"Overdue",IF(O112&lt;30,"At Risk","On Track"))))</f>
        <v/>
      </c>
      <c r="Q112" s="21" t="n"/>
      <c r="R112" s="26" t="n"/>
      <c r="S112" s="21" t="n"/>
      <c r="T112" s="26" t="n"/>
      <c r="U112" s="21" t="n"/>
      <c r="V112" s="21" t="n"/>
      <c r="W112" s="21" t="n"/>
      <c r="X112" s="21" t="n"/>
      <c r="Y112" s="21" t="n"/>
      <c r="Z112" s="25">
        <f>TODAY()</f>
        <v/>
      </c>
    </row>
    <row r="113">
      <c r="A113" s="20" t="inlineStr">
        <is>
          <t>REM-084</t>
        </is>
      </c>
      <c r="B113" s="21" t="n"/>
      <c r="C113" s="21" t="n"/>
      <c r="D113" s="21" t="n"/>
      <c r="E113" s="21" t="n"/>
      <c r="F113" s="21" t="n"/>
      <c r="G113" s="21" t="n"/>
      <c r="H113" s="21" t="n"/>
      <c r="I113" s="24" t="n"/>
      <c r="J113" s="21" t="n"/>
      <c r="K113" s="21" t="n"/>
      <c r="L113" s="21" t="n"/>
      <c r="M113" s="21" t="n"/>
      <c r="N113" s="21" t="n"/>
      <c r="O113" s="25">
        <f>IF(H113="Completed",0,IF(ISBLANK(M113),"",M113-TODAY()))</f>
        <v/>
      </c>
      <c r="P113" s="25">
        <f>IF(H113="Completed","Completed",IF(ISBLANK(O113),"",IF(O113&lt;0,"Overdue",IF(O113&lt;30,"At Risk","On Track"))))</f>
        <v/>
      </c>
      <c r="Q113" s="21" t="n"/>
      <c r="R113" s="26" t="n"/>
      <c r="S113" s="21" t="n"/>
      <c r="T113" s="26" t="n"/>
      <c r="U113" s="21" t="n"/>
      <c r="V113" s="21" t="n"/>
      <c r="W113" s="21" t="n"/>
      <c r="X113" s="21" t="n"/>
      <c r="Y113" s="21" t="n"/>
      <c r="Z113" s="25">
        <f>TODAY()</f>
        <v/>
      </c>
    </row>
    <row r="114">
      <c r="A114" s="20" t="inlineStr">
        <is>
          <t>REM-085</t>
        </is>
      </c>
      <c r="B114" s="21" t="n"/>
      <c r="C114" s="21" t="n"/>
      <c r="D114" s="21" t="n"/>
      <c r="E114" s="21" t="n"/>
      <c r="F114" s="21" t="n"/>
      <c r="G114" s="21" t="n"/>
      <c r="H114" s="21" t="n"/>
      <c r="I114" s="24" t="n"/>
      <c r="J114" s="21" t="n"/>
      <c r="K114" s="21" t="n"/>
      <c r="L114" s="21" t="n"/>
      <c r="M114" s="21" t="n"/>
      <c r="N114" s="21" t="n"/>
      <c r="O114" s="25">
        <f>IF(H114="Completed",0,IF(ISBLANK(M114),"",M114-TODAY()))</f>
        <v/>
      </c>
      <c r="P114" s="25">
        <f>IF(H114="Completed","Completed",IF(ISBLANK(O114),"",IF(O114&lt;0,"Overdue",IF(O114&lt;30,"At Risk","On Track"))))</f>
        <v/>
      </c>
      <c r="Q114" s="21" t="n"/>
      <c r="R114" s="26" t="n"/>
      <c r="S114" s="21" t="n"/>
      <c r="T114" s="26" t="n"/>
      <c r="U114" s="21" t="n"/>
      <c r="V114" s="21" t="n"/>
      <c r="W114" s="21" t="n"/>
      <c r="X114" s="21" t="n"/>
      <c r="Y114" s="21" t="n"/>
      <c r="Z114" s="25">
        <f>TODAY()</f>
        <v/>
      </c>
    </row>
    <row r="115">
      <c r="A115" s="20" t="inlineStr">
        <is>
          <t>REM-086</t>
        </is>
      </c>
      <c r="B115" s="21" t="n"/>
      <c r="C115" s="21" t="n"/>
      <c r="D115" s="21" t="n"/>
      <c r="E115" s="21" t="n"/>
      <c r="F115" s="21" t="n"/>
      <c r="G115" s="21" t="n"/>
      <c r="H115" s="21" t="n"/>
      <c r="I115" s="24" t="n"/>
      <c r="J115" s="21" t="n"/>
      <c r="K115" s="21" t="n"/>
      <c r="L115" s="21" t="n"/>
      <c r="M115" s="21" t="n"/>
      <c r="N115" s="21" t="n"/>
      <c r="O115" s="25">
        <f>IF(H115="Completed",0,IF(ISBLANK(M115),"",M115-TODAY()))</f>
        <v/>
      </c>
      <c r="P115" s="25">
        <f>IF(H115="Completed","Completed",IF(ISBLANK(O115),"",IF(O115&lt;0,"Overdue",IF(O115&lt;30,"At Risk","On Track"))))</f>
        <v/>
      </c>
      <c r="Q115" s="21" t="n"/>
      <c r="R115" s="26" t="n"/>
      <c r="S115" s="21" t="n"/>
      <c r="T115" s="26" t="n"/>
      <c r="U115" s="21" t="n"/>
      <c r="V115" s="21" t="n"/>
      <c r="W115" s="21" t="n"/>
      <c r="X115" s="21" t="n"/>
      <c r="Y115" s="21" t="n"/>
      <c r="Z115" s="25">
        <f>TODAY()</f>
        <v/>
      </c>
    </row>
    <row r="116">
      <c r="A116" s="20" t="inlineStr">
        <is>
          <t>REM-087</t>
        </is>
      </c>
      <c r="B116" s="21" t="n"/>
      <c r="C116" s="21" t="n"/>
      <c r="D116" s="21" t="n"/>
      <c r="E116" s="21" t="n"/>
      <c r="F116" s="21" t="n"/>
      <c r="G116" s="21" t="n"/>
      <c r="H116" s="21" t="n"/>
      <c r="I116" s="24" t="n"/>
      <c r="J116" s="21" t="n"/>
      <c r="K116" s="21" t="n"/>
      <c r="L116" s="21" t="n"/>
      <c r="M116" s="21" t="n"/>
      <c r="N116" s="21" t="n"/>
      <c r="O116" s="25">
        <f>IF(H116="Completed",0,IF(ISBLANK(M116),"",M116-TODAY()))</f>
        <v/>
      </c>
      <c r="P116" s="25">
        <f>IF(H116="Completed","Completed",IF(ISBLANK(O116),"",IF(O116&lt;0,"Overdue",IF(O116&lt;30,"At Risk","On Track"))))</f>
        <v/>
      </c>
      <c r="Q116" s="21" t="n"/>
      <c r="R116" s="26" t="n"/>
      <c r="S116" s="21" t="n"/>
      <c r="T116" s="26" t="n"/>
      <c r="U116" s="21" t="n"/>
      <c r="V116" s="21" t="n"/>
      <c r="W116" s="21" t="n"/>
      <c r="X116" s="21" t="n"/>
      <c r="Y116" s="21" t="n"/>
      <c r="Z116" s="25">
        <f>TODAY()</f>
        <v/>
      </c>
    </row>
    <row r="117">
      <c r="A117" s="20" t="inlineStr">
        <is>
          <t>REM-088</t>
        </is>
      </c>
      <c r="B117" s="21" t="n"/>
      <c r="C117" s="21" t="n"/>
      <c r="D117" s="21" t="n"/>
      <c r="E117" s="21" t="n"/>
      <c r="F117" s="21" t="n"/>
      <c r="G117" s="21" t="n"/>
      <c r="H117" s="21" t="n"/>
      <c r="I117" s="24" t="n"/>
      <c r="J117" s="21" t="n"/>
      <c r="K117" s="21" t="n"/>
      <c r="L117" s="21" t="n"/>
      <c r="M117" s="21" t="n"/>
      <c r="N117" s="21" t="n"/>
      <c r="O117" s="25">
        <f>IF(H117="Completed",0,IF(ISBLANK(M117),"",M117-TODAY()))</f>
        <v/>
      </c>
      <c r="P117" s="25">
        <f>IF(H117="Completed","Completed",IF(ISBLANK(O117),"",IF(O117&lt;0,"Overdue",IF(O117&lt;30,"At Risk","On Track"))))</f>
        <v/>
      </c>
      <c r="Q117" s="21" t="n"/>
      <c r="R117" s="26" t="n"/>
      <c r="S117" s="21" t="n"/>
      <c r="T117" s="26" t="n"/>
      <c r="U117" s="21" t="n"/>
      <c r="V117" s="21" t="n"/>
      <c r="W117" s="21" t="n"/>
      <c r="X117" s="21" t="n"/>
      <c r="Y117" s="21" t="n"/>
      <c r="Z117" s="25">
        <f>TODAY()</f>
        <v/>
      </c>
    </row>
    <row r="118">
      <c r="A118" s="20" t="inlineStr">
        <is>
          <t>REM-089</t>
        </is>
      </c>
      <c r="B118" s="21" t="n"/>
      <c r="C118" s="21" t="n"/>
      <c r="D118" s="21" t="n"/>
      <c r="E118" s="21" t="n"/>
      <c r="F118" s="21" t="n"/>
      <c r="G118" s="21" t="n"/>
      <c r="H118" s="21" t="n"/>
      <c r="I118" s="24" t="n"/>
      <c r="J118" s="21" t="n"/>
      <c r="K118" s="21" t="n"/>
      <c r="L118" s="21" t="n"/>
      <c r="M118" s="21" t="n"/>
      <c r="N118" s="21" t="n"/>
      <c r="O118" s="25">
        <f>IF(H118="Completed",0,IF(ISBLANK(M118),"",M118-TODAY()))</f>
        <v/>
      </c>
      <c r="P118" s="25">
        <f>IF(H118="Completed","Completed",IF(ISBLANK(O118),"",IF(O118&lt;0,"Overdue",IF(O118&lt;30,"At Risk","On Track"))))</f>
        <v/>
      </c>
      <c r="Q118" s="21" t="n"/>
      <c r="R118" s="26" t="n"/>
      <c r="S118" s="21" t="n"/>
      <c r="T118" s="26" t="n"/>
      <c r="U118" s="21" t="n"/>
      <c r="V118" s="21" t="n"/>
      <c r="W118" s="21" t="n"/>
      <c r="X118" s="21" t="n"/>
      <c r="Y118" s="21" t="n"/>
      <c r="Z118" s="25">
        <f>TODAY()</f>
        <v/>
      </c>
    </row>
    <row r="119">
      <c r="A119" s="20" t="inlineStr">
        <is>
          <t>REM-090</t>
        </is>
      </c>
      <c r="B119" s="21" t="n"/>
      <c r="C119" s="21" t="n"/>
      <c r="D119" s="21" t="n"/>
      <c r="E119" s="21" t="n"/>
      <c r="F119" s="21" t="n"/>
      <c r="G119" s="21" t="n"/>
      <c r="H119" s="21" t="n"/>
      <c r="I119" s="24" t="n"/>
      <c r="J119" s="21" t="n"/>
      <c r="K119" s="21" t="n"/>
      <c r="L119" s="21" t="n"/>
      <c r="M119" s="21" t="n"/>
      <c r="N119" s="21" t="n"/>
      <c r="O119" s="25">
        <f>IF(H119="Completed",0,IF(ISBLANK(M119),"",M119-TODAY()))</f>
        <v/>
      </c>
      <c r="P119" s="25">
        <f>IF(H119="Completed","Completed",IF(ISBLANK(O119),"",IF(O119&lt;0,"Overdue",IF(O119&lt;30,"At Risk","On Track"))))</f>
        <v/>
      </c>
      <c r="Q119" s="21" t="n"/>
      <c r="R119" s="26" t="n"/>
      <c r="S119" s="21" t="n"/>
      <c r="T119" s="26" t="n"/>
      <c r="U119" s="21" t="n"/>
      <c r="V119" s="21" t="n"/>
      <c r="W119" s="21" t="n"/>
      <c r="X119" s="21" t="n"/>
      <c r="Y119" s="21" t="n"/>
      <c r="Z119" s="25">
        <f>TODAY()</f>
        <v/>
      </c>
    </row>
    <row r="120">
      <c r="A120" s="20" t="inlineStr">
        <is>
          <t>REM-091</t>
        </is>
      </c>
      <c r="B120" s="21" t="n"/>
      <c r="C120" s="21" t="n"/>
      <c r="D120" s="21" t="n"/>
      <c r="E120" s="21" t="n"/>
      <c r="F120" s="21" t="n"/>
      <c r="G120" s="21" t="n"/>
      <c r="H120" s="21" t="n"/>
      <c r="I120" s="24" t="n"/>
      <c r="J120" s="21" t="n"/>
      <c r="K120" s="21" t="n"/>
      <c r="L120" s="21" t="n"/>
      <c r="M120" s="21" t="n"/>
      <c r="N120" s="21" t="n"/>
      <c r="O120" s="25">
        <f>IF(H120="Completed",0,IF(ISBLANK(M120),"",M120-TODAY()))</f>
        <v/>
      </c>
      <c r="P120" s="25">
        <f>IF(H120="Completed","Completed",IF(ISBLANK(O120),"",IF(O120&lt;0,"Overdue",IF(O120&lt;30,"At Risk","On Track"))))</f>
        <v/>
      </c>
      <c r="Q120" s="21" t="n"/>
      <c r="R120" s="26" t="n"/>
      <c r="S120" s="21" t="n"/>
      <c r="T120" s="26" t="n"/>
      <c r="U120" s="21" t="n"/>
      <c r="V120" s="21" t="n"/>
      <c r="W120" s="21" t="n"/>
      <c r="X120" s="21" t="n"/>
      <c r="Y120" s="21" t="n"/>
      <c r="Z120" s="25">
        <f>TODAY()</f>
        <v/>
      </c>
    </row>
    <row r="121">
      <c r="A121" s="20" t="inlineStr">
        <is>
          <t>REM-092</t>
        </is>
      </c>
      <c r="B121" s="21" t="n"/>
      <c r="C121" s="21" t="n"/>
      <c r="D121" s="21" t="n"/>
      <c r="E121" s="21" t="n"/>
      <c r="F121" s="21" t="n"/>
      <c r="G121" s="21" t="n"/>
      <c r="H121" s="21" t="n"/>
      <c r="I121" s="24" t="n"/>
      <c r="J121" s="21" t="n"/>
      <c r="K121" s="21" t="n"/>
      <c r="L121" s="21" t="n"/>
      <c r="M121" s="21" t="n"/>
      <c r="N121" s="21" t="n"/>
      <c r="O121" s="25">
        <f>IF(H121="Completed",0,IF(ISBLANK(M121),"",M121-TODAY()))</f>
        <v/>
      </c>
      <c r="P121" s="25">
        <f>IF(H121="Completed","Completed",IF(ISBLANK(O121),"",IF(O121&lt;0,"Overdue",IF(O121&lt;30,"At Risk","On Track"))))</f>
        <v/>
      </c>
      <c r="Q121" s="21" t="n"/>
      <c r="R121" s="26" t="n"/>
      <c r="S121" s="21" t="n"/>
      <c r="T121" s="26" t="n"/>
      <c r="U121" s="21" t="n"/>
      <c r="V121" s="21" t="n"/>
      <c r="W121" s="21" t="n"/>
      <c r="X121" s="21" t="n"/>
      <c r="Y121" s="21" t="n"/>
      <c r="Z121" s="25">
        <f>TODAY()</f>
        <v/>
      </c>
    </row>
    <row r="122">
      <c r="A122" s="20" t="inlineStr">
        <is>
          <t>REM-093</t>
        </is>
      </c>
      <c r="B122" s="21" t="n"/>
      <c r="C122" s="21" t="n"/>
      <c r="D122" s="21" t="n"/>
      <c r="E122" s="21" t="n"/>
      <c r="F122" s="21" t="n"/>
      <c r="G122" s="21" t="n"/>
      <c r="H122" s="21" t="n"/>
      <c r="I122" s="24" t="n"/>
      <c r="J122" s="21" t="n"/>
      <c r="K122" s="21" t="n"/>
      <c r="L122" s="21" t="n"/>
      <c r="M122" s="21" t="n"/>
      <c r="N122" s="21" t="n"/>
      <c r="O122" s="25">
        <f>IF(H122="Completed",0,IF(ISBLANK(M122),"",M122-TODAY()))</f>
        <v/>
      </c>
      <c r="P122" s="25">
        <f>IF(H122="Completed","Completed",IF(ISBLANK(O122),"",IF(O122&lt;0,"Overdue",IF(O122&lt;30,"At Risk","On Track"))))</f>
        <v/>
      </c>
      <c r="Q122" s="21" t="n"/>
      <c r="R122" s="26" t="n"/>
      <c r="S122" s="21" t="n"/>
      <c r="T122" s="26" t="n"/>
      <c r="U122" s="21" t="n"/>
      <c r="V122" s="21" t="n"/>
      <c r="W122" s="21" t="n"/>
      <c r="X122" s="21" t="n"/>
      <c r="Y122" s="21" t="n"/>
      <c r="Z122" s="25">
        <f>TODAY()</f>
        <v/>
      </c>
    </row>
    <row r="123">
      <c r="A123" s="20" t="inlineStr">
        <is>
          <t>REM-094</t>
        </is>
      </c>
      <c r="B123" s="21" t="n"/>
      <c r="C123" s="21" t="n"/>
      <c r="D123" s="21" t="n"/>
      <c r="E123" s="21" t="n"/>
      <c r="F123" s="21" t="n"/>
      <c r="G123" s="21" t="n"/>
      <c r="H123" s="21" t="n"/>
      <c r="I123" s="24" t="n"/>
      <c r="J123" s="21" t="n"/>
      <c r="K123" s="21" t="n"/>
      <c r="L123" s="21" t="n"/>
      <c r="M123" s="21" t="n"/>
      <c r="N123" s="21" t="n"/>
      <c r="O123" s="25">
        <f>IF(H123="Completed",0,IF(ISBLANK(M123),"",M123-TODAY()))</f>
        <v/>
      </c>
      <c r="P123" s="25">
        <f>IF(H123="Completed","Completed",IF(ISBLANK(O123),"",IF(O123&lt;0,"Overdue",IF(O123&lt;30,"At Risk","On Track"))))</f>
        <v/>
      </c>
      <c r="Q123" s="21" t="n"/>
      <c r="R123" s="26" t="n"/>
      <c r="S123" s="21" t="n"/>
      <c r="T123" s="26" t="n"/>
      <c r="U123" s="21" t="n"/>
      <c r="V123" s="21" t="n"/>
      <c r="W123" s="21" t="n"/>
      <c r="X123" s="21" t="n"/>
      <c r="Y123" s="21" t="n"/>
      <c r="Z123" s="25">
        <f>TODAY()</f>
        <v/>
      </c>
    </row>
    <row r="124">
      <c r="A124" s="20" t="inlineStr">
        <is>
          <t>REM-095</t>
        </is>
      </c>
      <c r="B124" s="21" t="n"/>
      <c r="C124" s="21" t="n"/>
      <c r="D124" s="21" t="n"/>
      <c r="E124" s="21" t="n"/>
      <c r="F124" s="21" t="n"/>
      <c r="G124" s="21" t="n"/>
      <c r="H124" s="21" t="n"/>
      <c r="I124" s="24" t="n"/>
      <c r="J124" s="21" t="n"/>
      <c r="K124" s="21" t="n"/>
      <c r="L124" s="21" t="n"/>
      <c r="M124" s="21" t="n"/>
      <c r="N124" s="21" t="n"/>
      <c r="O124" s="25">
        <f>IF(H124="Completed",0,IF(ISBLANK(M124),"",M124-TODAY()))</f>
        <v/>
      </c>
      <c r="P124" s="25">
        <f>IF(H124="Completed","Completed",IF(ISBLANK(O124),"",IF(O124&lt;0,"Overdue",IF(O124&lt;30,"At Risk","On Track"))))</f>
        <v/>
      </c>
      <c r="Q124" s="21" t="n"/>
      <c r="R124" s="26" t="n"/>
      <c r="S124" s="21" t="n"/>
      <c r="T124" s="26" t="n"/>
      <c r="U124" s="21" t="n"/>
      <c r="V124" s="21" t="n"/>
      <c r="W124" s="21" t="n"/>
      <c r="X124" s="21" t="n"/>
      <c r="Y124" s="21" t="n"/>
      <c r="Z124" s="25">
        <f>TODAY()</f>
        <v/>
      </c>
    </row>
    <row r="125">
      <c r="A125" s="20" t="inlineStr">
        <is>
          <t>REM-096</t>
        </is>
      </c>
      <c r="B125" s="21" t="n"/>
      <c r="C125" s="21" t="n"/>
      <c r="D125" s="21" t="n"/>
      <c r="E125" s="21" t="n"/>
      <c r="F125" s="21" t="n"/>
      <c r="G125" s="21" t="n"/>
      <c r="H125" s="21" t="n"/>
      <c r="I125" s="24" t="n"/>
      <c r="J125" s="21" t="n"/>
      <c r="K125" s="21" t="n"/>
      <c r="L125" s="21" t="n"/>
      <c r="M125" s="21" t="n"/>
      <c r="N125" s="21" t="n"/>
      <c r="O125" s="25">
        <f>IF(H125="Completed",0,IF(ISBLANK(M125),"",M125-TODAY()))</f>
        <v/>
      </c>
      <c r="P125" s="25">
        <f>IF(H125="Completed","Completed",IF(ISBLANK(O125),"",IF(O125&lt;0,"Overdue",IF(O125&lt;30,"At Risk","On Track"))))</f>
        <v/>
      </c>
      <c r="Q125" s="21" t="n"/>
      <c r="R125" s="26" t="n"/>
      <c r="S125" s="21" t="n"/>
      <c r="T125" s="26" t="n"/>
      <c r="U125" s="21" t="n"/>
      <c r="V125" s="21" t="n"/>
      <c r="W125" s="21" t="n"/>
      <c r="X125" s="21" t="n"/>
      <c r="Y125" s="21" t="n"/>
      <c r="Z125" s="25">
        <f>TODAY()</f>
        <v/>
      </c>
    </row>
    <row r="126">
      <c r="A126" s="20" t="inlineStr">
        <is>
          <t>REM-097</t>
        </is>
      </c>
      <c r="B126" s="21" t="n"/>
      <c r="C126" s="21" t="n"/>
      <c r="D126" s="21" t="n"/>
      <c r="E126" s="21" t="n"/>
      <c r="F126" s="21" t="n"/>
      <c r="G126" s="21" t="n"/>
      <c r="H126" s="21" t="n"/>
      <c r="I126" s="24" t="n"/>
      <c r="J126" s="21" t="n"/>
      <c r="K126" s="21" t="n"/>
      <c r="L126" s="21" t="n"/>
      <c r="M126" s="21" t="n"/>
      <c r="N126" s="21" t="n"/>
      <c r="O126" s="25">
        <f>IF(H126="Completed",0,IF(ISBLANK(M126),"",M126-TODAY()))</f>
        <v/>
      </c>
      <c r="P126" s="25">
        <f>IF(H126="Completed","Completed",IF(ISBLANK(O126),"",IF(O126&lt;0,"Overdue",IF(O126&lt;30,"At Risk","On Track"))))</f>
        <v/>
      </c>
      <c r="Q126" s="21" t="n"/>
      <c r="R126" s="26" t="n"/>
      <c r="S126" s="21" t="n"/>
      <c r="T126" s="26" t="n"/>
      <c r="U126" s="21" t="n"/>
      <c r="V126" s="21" t="n"/>
      <c r="W126" s="21" t="n"/>
      <c r="X126" s="21" t="n"/>
      <c r="Y126" s="21" t="n"/>
      <c r="Z126" s="25">
        <f>TODAY()</f>
        <v/>
      </c>
    </row>
    <row r="127">
      <c r="A127" s="20" t="inlineStr">
        <is>
          <t>REM-098</t>
        </is>
      </c>
      <c r="B127" s="21" t="n"/>
      <c r="C127" s="21" t="n"/>
      <c r="D127" s="21" t="n"/>
      <c r="E127" s="21" t="n"/>
      <c r="F127" s="21" t="n"/>
      <c r="G127" s="21" t="n"/>
      <c r="H127" s="21" t="n"/>
      <c r="I127" s="24" t="n"/>
      <c r="J127" s="21" t="n"/>
      <c r="K127" s="21" t="n"/>
      <c r="L127" s="21" t="n"/>
      <c r="M127" s="21" t="n"/>
      <c r="N127" s="21" t="n"/>
      <c r="O127" s="25">
        <f>IF(H127="Completed",0,IF(ISBLANK(M127),"",M127-TODAY()))</f>
        <v/>
      </c>
      <c r="P127" s="25">
        <f>IF(H127="Completed","Completed",IF(ISBLANK(O127),"",IF(O127&lt;0,"Overdue",IF(O127&lt;30,"At Risk","On Track"))))</f>
        <v/>
      </c>
      <c r="Q127" s="21" t="n"/>
      <c r="R127" s="26" t="n"/>
      <c r="S127" s="21" t="n"/>
      <c r="T127" s="26" t="n"/>
      <c r="U127" s="21" t="n"/>
      <c r="V127" s="21" t="n"/>
      <c r="W127" s="21" t="n"/>
      <c r="X127" s="21" t="n"/>
      <c r="Y127" s="21" t="n"/>
      <c r="Z127" s="25">
        <f>TODAY()</f>
        <v/>
      </c>
    </row>
    <row r="128">
      <c r="A128" s="20" t="inlineStr">
        <is>
          <t>REM-099</t>
        </is>
      </c>
      <c r="B128" s="21" t="n"/>
      <c r="C128" s="21" t="n"/>
      <c r="D128" s="21" t="n"/>
      <c r="E128" s="21" t="n"/>
      <c r="F128" s="21" t="n"/>
      <c r="G128" s="21" t="n"/>
      <c r="H128" s="21" t="n"/>
      <c r="I128" s="24" t="n"/>
      <c r="J128" s="21" t="n"/>
      <c r="K128" s="21" t="n"/>
      <c r="L128" s="21" t="n"/>
      <c r="M128" s="21" t="n"/>
      <c r="N128" s="21" t="n"/>
      <c r="O128" s="25">
        <f>IF(H128="Completed",0,IF(ISBLANK(M128),"",M128-TODAY()))</f>
        <v/>
      </c>
      <c r="P128" s="25">
        <f>IF(H128="Completed","Completed",IF(ISBLANK(O128),"",IF(O128&lt;0,"Overdue",IF(O128&lt;30,"At Risk","On Track"))))</f>
        <v/>
      </c>
      <c r="Q128" s="21" t="n"/>
      <c r="R128" s="26" t="n"/>
      <c r="S128" s="21" t="n"/>
      <c r="T128" s="26" t="n"/>
      <c r="U128" s="21" t="n"/>
      <c r="V128" s="21" t="n"/>
      <c r="W128" s="21" t="n"/>
      <c r="X128" s="21" t="n"/>
      <c r="Y128" s="21" t="n"/>
      <c r="Z128" s="25">
        <f>TODAY()</f>
        <v/>
      </c>
    </row>
    <row r="129">
      <c r="A129" s="20" t="inlineStr">
        <is>
          <t>REM-100</t>
        </is>
      </c>
      <c r="B129" s="21" t="n"/>
      <c r="C129" s="21" t="n"/>
      <c r="D129" s="21" t="n"/>
      <c r="E129" s="21" t="n"/>
      <c r="F129" s="21" t="n"/>
      <c r="G129" s="21" t="n"/>
      <c r="H129" s="21" t="n"/>
      <c r="I129" s="24" t="n"/>
      <c r="J129" s="21" t="n"/>
      <c r="K129" s="21" t="n"/>
      <c r="L129" s="21" t="n"/>
      <c r="M129" s="21" t="n"/>
      <c r="N129" s="21" t="n"/>
      <c r="O129" s="25">
        <f>IF(H129="Completed",0,IF(ISBLANK(M129),"",M129-TODAY()))</f>
        <v/>
      </c>
      <c r="P129" s="25">
        <f>IF(H129="Completed","Completed",IF(ISBLANK(O129),"",IF(O129&lt;0,"Overdue",IF(O129&lt;30,"At Risk","On Track"))))</f>
        <v/>
      </c>
      <c r="Q129" s="21" t="n"/>
      <c r="R129" s="26" t="n"/>
      <c r="S129" s="21" t="n"/>
      <c r="T129" s="26" t="n"/>
      <c r="U129" s="21" t="n"/>
      <c r="V129" s="21" t="n"/>
      <c r="W129" s="21" t="n"/>
      <c r="X129" s="21" t="n"/>
      <c r="Y129" s="21" t="n"/>
      <c r="Z129" s="25">
        <f>TODAY()</f>
        <v/>
      </c>
    </row>
    <row r="130">
      <c r="A130" s="20" t="inlineStr">
        <is>
          <t>REM-101</t>
        </is>
      </c>
      <c r="B130" s="21" t="n"/>
      <c r="C130" s="21" t="n"/>
      <c r="D130" s="21" t="n"/>
      <c r="E130" s="21" t="n"/>
      <c r="F130" s="21" t="n"/>
      <c r="G130" s="21" t="n"/>
      <c r="H130" s="21" t="n"/>
      <c r="I130" s="24" t="n"/>
      <c r="J130" s="21" t="n"/>
      <c r="K130" s="21" t="n"/>
      <c r="L130" s="21" t="n"/>
      <c r="M130" s="21" t="n"/>
      <c r="N130" s="21" t="n"/>
      <c r="O130" s="25">
        <f>IF(H130="Completed",0,IF(ISBLANK(M130),"",M130-TODAY()))</f>
        <v/>
      </c>
      <c r="P130" s="25">
        <f>IF(H130="Completed","Completed",IF(ISBLANK(O130),"",IF(O130&lt;0,"Overdue",IF(O130&lt;30,"At Risk","On Track"))))</f>
        <v/>
      </c>
      <c r="Q130" s="21" t="n"/>
      <c r="R130" s="26" t="n"/>
      <c r="S130" s="21" t="n"/>
      <c r="T130" s="26" t="n"/>
      <c r="U130" s="21" t="n"/>
      <c r="V130" s="21" t="n"/>
      <c r="W130" s="21" t="n"/>
      <c r="X130" s="21" t="n"/>
      <c r="Y130" s="21" t="n"/>
      <c r="Z130" s="25">
        <f>TODAY()</f>
        <v/>
      </c>
    </row>
    <row r="131">
      <c r="A131" s="20" t="inlineStr">
        <is>
          <t>REM-102</t>
        </is>
      </c>
      <c r="B131" s="21" t="n"/>
      <c r="C131" s="21" t="n"/>
      <c r="D131" s="21" t="n"/>
      <c r="E131" s="21" t="n"/>
      <c r="F131" s="21" t="n"/>
      <c r="G131" s="21" t="n"/>
      <c r="H131" s="21" t="n"/>
      <c r="I131" s="24" t="n"/>
      <c r="J131" s="21" t="n"/>
      <c r="K131" s="21" t="n"/>
      <c r="L131" s="21" t="n"/>
      <c r="M131" s="21" t="n"/>
      <c r="N131" s="21" t="n"/>
      <c r="O131" s="25">
        <f>IF(H131="Completed",0,IF(ISBLANK(M131),"",M131-TODAY()))</f>
        <v/>
      </c>
      <c r="P131" s="25">
        <f>IF(H131="Completed","Completed",IF(ISBLANK(O131),"",IF(O131&lt;0,"Overdue",IF(O131&lt;30,"At Risk","On Track"))))</f>
        <v/>
      </c>
      <c r="Q131" s="21" t="n"/>
      <c r="R131" s="26" t="n"/>
      <c r="S131" s="21" t="n"/>
      <c r="T131" s="26" t="n"/>
      <c r="U131" s="21" t="n"/>
      <c r="V131" s="21" t="n"/>
      <c r="W131" s="21" t="n"/>
      <c r="X131" s="21" t="n"/>
      <c r="Y131" s="21" t="n"/>
      <c r="Z131" s="25">
        <f>TODAY()</f>
        <v/>
      </c>
    </row>
    <row r="132">
      <c r="A132" s="20" t="inlineStr">
        <is>
          <t>REM-103</t>
        </is>
      </c>
      <c r="B132" s="21" t="n"/>
      <c r="C132" s="21" t="n"/>
      <c r="D132" s="21" t="n"/>
      <c r="E132" s="21" t="n"/>
      <c r="F132" s="21" t="n"/>
      <c r="G132" s="21" t="n"/>
      <c r="H132" s="21" t="n"/>
      <c r="I132" s="24" t="n"/>
      <c r="J132" s="21" t="n"/>
      <c r="K132" s="21" t="n"/>
      <c r="L132" s="21" t="n"/>
      <c r="M132" s="21" t="n"/>
      <c r="N132" s="21" t="n"/>
      <c r="O132" s="25">
        <f>IF(H132="Completed",0,IF(ISBLANK(M132),"",M132-TODAY()))</f>
        <v/>
      </c>
      <c r="P132" s="25">
        <f>IF(H132="Completed","Completed",IF(ISBLANK(O132),"",IF(O132&lt;0,"Overdue",IF(O132&lt;30,"At Risk","On Track"))))</f>
        <v/>
      </c>
      <c r="Q132" s="21" t="n"/>
      <c r="R132" s="26" t="n"/>
      <c r="S132" s="21" t="n"/>
      <c r="T132" s="26" t="n"/>
      <c r="U132" s="21" t="n"/>
      <c r="V132" s="21" t="n"/>
      <c r="W132" s="21" t="n"/>
      <c r="X132" s="21" t="n"/>
      <c r="Y132" s="21" t="n"/>
      <c r="Z132" s="25">
        <f>TODAY()</f>
        <v/>
      </c>
    </row>
    <row r="133">
      <c r="A133" s="20" t="inlineStr">
        <is>
          <t>REM-104</t>
        </is>
      </c>
      <c r="B133" s="21" t="n"/>
      <c r="C133" s="21" t="n"/>
      <c r="D133" s="21" t="n"/>
      <c r="E133" s="21" t="n"/>
      <c r="F133" s="21" t="n"/>
      <c r="G133" s="21" t="n"/>
      <c r="H133" s="21" t="n"/>
      <c r="I133" s="24" t="n"/>
      <c r="J133" s="21" t="n"/>
      <c r="K133" s="21" t="n"/>
      <c r="L133" s="21" t="n"/>
      <c r="M133" s="21" t="n"/>
      <c r="N133" s="21" t="n"/>
      <c r="O133" s="25">
        <f>IF(H133="Completed",0,IF(ISBLANK(M133),"",M133-TODAY()))</f>
        <v/>
      </c>
      <c r="P133" s="25">
        <f>IF(H133="Completed","Completed",IF(ISBLANK(O133),"",IF(O133&lt;0,"Overdue",IF(O133&lt;30,"At Risk","On Track"))))</f>
        <v/>
      </c>
      <c r="Q133" s="21" t="n"/>
      <c r="R133" s="26" t="n"/>
      <c r="S133" s="21" t="n"/>
      <c r="T133" s="26" t="n"/>
      <c r="U133" s="21" t="n"/>
      <c r="V133" s="21" t="n"/>
      <c r="W133" s="21" t="n"/>
      <c r="X133" s="21" t="n"/>
      <c r="Y133" s="21" t="n"/>
      <c r="Z133" s="25">
        <f>TODAY()</f>
        <v/>
      </c>
    </row>
    <row r="134">
      <c r="A134" s="20" t="inlineStr">
        <is>
          <t>REM-105</t>
        </is>
      </c>
      <c r="B134" s="21" t="n"/>
      <c r="C134" s="21" t="n"/>
      <c r="D134" s="21" t="n"/>
      <c r="E134" s="21" t="n"/>
      <c r="F134" s="21" t="n"/>
      <c r="G134" s="21" t="n"/>
      <c r="H134" s="21" t="n"/>
      <c r="I134" s="24" t="n"/>
      <c r="J134" s="21" t="n"/>
      <c r="K134" s="21" t="n"/>
      <c r="L134" s="21" t="n"/>
      <c r="M134" s="21" t="n"/>
      <c r="N134" s="21" t="n"/>
      <c r="O134" s="25">
        <f>IF(H134="Completed",0,IF(ISBLANK(M134),"",M134-TODAY()))</f>
        <v/>
      </c>
      <c r="P134" s="25">
        <f>IF(H134="Completed","Completed",IF(ISBLANK(O134),"",IF(O134&lt;0,"Overdue",IF(O134&lt;30,"At Risk","On Track"))))</f>
        <v/>
      </c>
      <c r="Q134" s="21" t="n"/>
      <c r="R134" s="26" t="n"/>
      <c r="S134" s="21" t="n"/>
      <c r="T134" s="26" t="n"/>
      <c r="U134" s="21" t="n"/>
      <c r="V134" s="21" t="n"/>
      <c r="W134" s="21" t="n"/>
      <c r="X134" s="21" t="n"/>
      <c r="Y134" s="21" t="n"/>
      <c r="Z134" s="25">
        <f>TODAY()</f>
        <v/>
      </c>
    </row>
    <row r="135">
      <c r="A135" s="20" t="inlineStr">
        <is>
          <t>REM-106</t>
        </is>
      </c>
      <c r="B135" s="21" t="n"/>
      <c r="C135" s="21" t="n"/>
      <c r="D135" s="21" t="n"/>
      <c r="E135" s="21" t="n"/>
      <c r="F135" s="21" t="n"/>
      <c r="G135" s="21" t="n"/>
      <c r="H135" s="21" t="n"/>
      <c r="I135" s="24" t="n"/>
      <c r="J135" s="21" t="n"/>
      <c r="K135" s="21" t="n"/>
      <c r="L135" s="21" t="n"/>
      <c r="M135" s="21" t="n"/>
      <c r="N135" s="21" t="n"/>
      <c r="O135" s="25">
        <f>IF(H135="Completed",0,IF(ISBLANK(M135),"",M135-TODAY()))</f>
        <v/>
      </c>
      <c r="P135" s="25">
        <f>IF(H135="Completed","Completed",IF(ISBLANK(O135),"",IF(O135&lt;0,"Overdue",IF(O135&lt;30,"At Risk","On Track"))))</f>
        <v/>
      </c>
      <c r="Q135" s="21" t="n"/>
      <c r="R135" s="26" t="n"/>
      <c r="S135" s="21" t="n"/>
      <c r="T135" s="26" t="n"/>
      <c r="U135" s="21" t="n"/>
      <c r="V135" s="21" t="n"/>
      <c r="W135" s="21" t="n"/>
      <c r="X135" s="21" t="n"/>
      <c r="Y135" s="21" t="n"/>
      <c r="Z135" s="25">
        <f>TODAY()</f>
        <v/>
      </c>
    </row>
    <row r="136">
      <c r="A136" s="20" t="inlineStr">
        <is>
          <t>REM-107</t>
        </is>
      </c>
      <c r="B136" s="21" t="n"/>
      <c r="C136" s="21" t="n"/>
      <c r="D136" s="21" t="n"/>
      <c r="E136" s="21" t="n"/>
      <c r="F136" s="21" t="n"/>
      <c r="G136" s="21" t="n"/>
      <c r="H136" s="21" t="n"/>
      <c r="I136" s="24" t="n"/>
      <c r="J136" s="21" t="n"/>
      <c r="K136" s="21" t="n"/>
      <c r="L136" s="21" t="n"/>
      <c r="M136" s="21" t="n"/>
      <c r="N136" s="21" t="n"/>
      <c r="O136" s="25">
        <f>IF(H136="Completed",0,IF(ISBLANK(M136),"",M136-TODAY()))</f>
        <v/>
      </c>
      <c r="P136" s="25">
        <f>IF(H136="Completed","Completed",IF(ISBLANK(O136),"",IF(O136&lt;0,"Overdue",IF(O136&lt;30,"At Risk","On Track"))))</f>
        <v/>
      </c>
      <c r="Q136" s="21" t="n"/>
      <c r="R136" s="26" t="n"/>
      <c r="S136" s="21" t="n"/>
      <c r="T136" s="26" t="n"/>
      <c r="U136" s="21" t="n"/>
      <c r="V136" s="21" t="n"/>
      <c r="W136" s="21" t="n"/>
      <c r="X136" s="21" t="n"/>
      <c r="Y136" s="21" t="n"/>
      <c r="Z136" s="25">
        <f>TODAY()</f>
        <v/>
      </c>
    </row>
    <row r="137">
      <c r="A137" s="20" t="inlineStr">
        <is>
          <t>REM-108</t>
        </is>
      </c>
      <c r="B137" s="21" t="n"/>
      <c r="C137" s="21" t="n"/>
      <c r="D137" s="21" t="n"/>
      <c r="E137" s="21" t="n"/>
      <c r="F137" s="21" t="n"/>
      <c r="G137" s="21" t="n"/>
      <c r="H137" s="21" t="n"/>
      <c r="I137" s="24" t="n"/>
      <c r="J137" s="21" t="n"/>
      <c r="K137" s="21" t="n"/>
      <c r="L137" s="21" t="n"/>
      <c r="M137" s="21" t="n"/>
      <c r="N137" s="21" t="n"/>
      <c r="O137" s="25">
        <f>IF(H137="Completed",0,IF(ISBLANK(M137),"",M137-TODAY()))</f>
        <v/>
      </c>
      <c r="P137" s="25">
        <f>IF(H137="Completed","Completed",IF(ISBLANK(O137),"",IF(O137&lt;0,"Overdue",IF(O137&lt;30,"At Risk","On Track"))))</f>
        <v/>
      </c>
      <c r="Q137" s="21" t="n"/>
      <c r="R137" s="26" t="n"/>
      <c r="S137" s="21" t="n"/>
      <c r="T137" s="26" t="n"/>
      <c r="U137" s="21" t="n"/>
      <c r="V137" s="21" t="n"/>
      <c r="W137" s="21" t="n"/>
      <c r="X137" s="21" t="n"/>
      <c r="Y137" s="21" t="n"/>
      <c r="Z137" s="25">
        <f>TODAY()</f>
        <v/>
      </c>
    </row>
    <row r="138">
      <c r="A138" s="20" t="inlineStr">
        <is>
          <t>REM-109</t>
        </is>
      </c>
      <c r="B138" s="21" t="n"/>
      <c r="C138" s="21" t="n"/>
      <c r="D138" s="21" t="n"/>
      <c r="E138" s="21" t="n"/>
      <c r="F138" s="21" t="n"/>
      <c r="G138" s="21" t="n"/>
      <c r="H138" s="21" t="n"/>
      <c r="I138" s="24" t="n"/>
      <c r="J138" s="21" t="n"/>
      <c r="K138" s="21" t="n"/>
      <c r="L138" s="21" t="n"/>
      <c r="M138" s="21" t="n"/>
      <c r="N138" s="21" t="n"/>
      <c r="O138" s="25">
        <f>IF(H138="Completed",0,IF(ISBLANK(M138),"",M138-TODAY()))</f>
        <v/>
      </c>
      <c r="P138" s="25">
        <f>IF(H138="Completed","Completed",IF(ISBLANK(O138),"",IF(O138&lt;0,"Overdue",IF(O138&lt;30,"At Risk","On Track"))))</f>
        <v/>
      </c>
      <c r="Q138" s="21" t="n"/>
      <c r="R138" s="26" t="n"/>
      <c r="S138" s="21" t="n"/>
      <c r="T138" s="26" t="n"/>
      <c r="U138" s="21" t="n"/>
      <c r="V138" s="21" t="n"/>
      <c r="W138" s="21" t="n"/>
      <c r="X138" s="21" t="n"/>
      <c r="Y138" s="21" t="n"/>
      <c r="Z138" s="25">
        <f>TODAY()</f>
        <v/>
      </c>
    </row>
    <row r="139">
      <c r="A139" s="20" t="inlineStr">
        <is>
          <t>REM-110</t>
        </is>
      </c>
      <c r="B139" s="21" t="n"/>
      <c r="C139" s="21" t="n"/>
      <c r="D139" s="21" t="n"/>
      <c r="E139" s="21" t="n"/>
      <c r="F139" s="21" t="n"/>
      <c r="G139" s="21" t="n"/>
      <c r="H139" s="21" t="n"/>
      <c r="I139" s="24" t="n"/>
      <c r="J139" s="21" t="n"/>
      <c r="K139" s="21" t="n"/>
      <c r="L139" s="21" t="n"/>
      <c r="M139" s="21" t="n"/>
      <c r="N139" s="21" t="n"/>
      <c r="O139" s="25">
        <f>IF(H139="Completed",0,IF(ISBLANK(M139),"",M139-TODAY()))</f>
        <v/>
      </c>
      <c r="P139" s="25">
        <f>IF(H139="Completed","Completed",IF(ISBLANK(O139),"",IF(O139&lt;0,"Overdue",IF(O139&lt;30,"At Risk","On Track"))))</f>
        <v/>
      </c>
      <c r="Q139" s="21" t="n"/>
      <c r="R139" s="26" t="n"/>
      <c r="S139" s="21" t="n"/>
      <c r="T139" s="26" t="n"/>
      <c r="U139" s="21" t="n"/>
      <c r="V139" s="21" t="n"/>
      <c r="W139" s="21" t="n"/>
      <c r="X139" s="21" t="n"/>
      <c r="Y139" s="21" t="n"/>
      <c r="Z139" s="25">
        <f>TODAY()</f>
        <v/>
      </c>
    </row>
    <row r="140">
      <c r="A140" s="20" t="inlineStr">
        <is>
          <t>REM-111</t>
        </is>
      </c>
      <c r="B140" s="21" t="n"/>
      <c r="C140" s="21" t="n"/>
      <c r="D140" s="21" t="n"/>
      <c r="E140" s="21" t="n"/>
      <c r="F140" s="21" t="n"/>
      <c r="G140" s="21" t="n"/>
      <c r="H140" s="21" t="n"/>
      <c r="I140" s="24" t="n"/>
      <c r="J140" s="21" t="n"/>
      <c r="K140" s="21" t="n"/>
      <c r="L140" s="21" t="n"/>
      <c r="M140" s="21" t="n"/>
      <c r="N140" s="21" t="n"/>
      <c r="O140" s="25">
        <f>IF(H140="Completed",0,IF(ISBLANK(M140),"",M140-TODAY()))</f>
        <v/>
      </c>
      <c r="P140" s="25">
        <f>IF(H140="Completed","Completed",IF(ISBLANK(O140),"",IF(O140&lt;0,"Overdue",IF(O140&lt;30,"At Risk","On Track"))))</f>
        <v/>
      </c>
      <c r="Q140" s="21" t="n"/>
      <c r="R140" s="26" t="n"/>
      <c r="S140" s="21" t="n"/>
      <c r="T140" s="26" t="n"/>
      <c r="U140" s="21" t="n"/>
      <c r="V140" s="21" t="n"/>
      <c r="W140" s="21" t="n"/>
      <c r="X140" s="21" t="n"/>
      <c r="Y140" s="21" t="n"/>
      <c r="Z140" s="25">
        <f>TODAY()</f>
        <v/>
      </c>
    </row>
    <row r="141">
      <c r="A141" s="20" t="inlineStr">
        <is>
          <t>REM-112</t>
        </is>
      </c>
      <c r="B141" s="21" t="n"/>
      <c r="C141" s="21" t="n"/>
      <c r="D141" s="21" t="n"/>
      <c r="E141" s="21" t="n"/>
      <c r="F141" s="21" t="n"/>
      <c r="G141" s="21" t="n"/>
      <c r="H141" s="21" t="n"/>
      <c r="I141" s="24" t="n"/>
      <c r="J141" s="21" t="n"/>
      <c r="K141" s="21" t="n"/>
      <c r="L141" s="21" t="n"/>
      <c r="M141" s="21" t="n"/>
      <c r="N141" s="21" t="n"/>
      <c r="O141" s="25">
        <f>IF(H141="Completed",0,IF(ISBLANK(M141),"",M141-TODAY()))</f>
        <v/>
      </c>
      <c r="P141" s="25">
        <f>IF(H141="Completed","Completed",IF(ISBLANK(O141),"",IF(O141&lt;0,"Overdue",IF(O141&lt;30,"At Risk","On Track"))))</f>
        <v/>
      </c>
      <c r="Q141" s="21" t="n"/>
      <c r="R141" s="26" t="n"/>
      <c r="S141" s="21" t="n"/>
      <c r="T141" s="26" t="n"/>
      <c r="U141" s="21" t="n"/>
      <c r="V141" s="21" t="n"/>
      <c r="W141" s="21" t="n"/>
      <c r="X141" s="21" t="n"/>
      <c r="Y141" s="21" t="n"/>
      <c r="Z141" s="25">
        <f>TODAY()</f>
        <v/>
      </c>
    </row>
    <row r="142">
      <c r="A142" s="20" t="inlineStr">
        <is>
          <t>REM-113</t>
        </is>
      </c>
      <c r="B142" s="21" t="n"/>
      <c r="C142" s="21" t="n"/>
      <c r="D142" s="21" t="n"/>
      <c r="E142" s="21" t="n"/>
      <c r="F142" s="21" t="n"/>
      <c r="G142" s="21" t="n"/>
      <c r="H142" s="21" t="n"/>
      <c r="I142" s="24" t="n"/>
      <c r="J142" s="21" t="n"/>
      <c r="K142" s="21" t="n"/>
      <c r="L142" s="21" t="n"/>
      <c r="M142" s="21" t="n"/>
      <c r="N142" s="21" t="n"/>
      <c r="O142" s="25">
        <f>IF(H142="Completed",0,IF(ISBLANK(M142),"",M142-TODAY()))</f>
        <v/>
      </c>
      <c r="P142" s="25">
        <f>IF(H142="Completed","Completed",IF(ISBLANK(O142),"",IF(O142&lt;0,"Overdue",IF(O142&lt;30,"At Risk","On Track"))))</f>
        <v/>
      </c>
      <c r="Q142" s="21" t="n"/>
      <c r="R142" s="26" t="n"/>
      <c r="S142" s="21" t="n"/>
      <c r="T142" s="26" t="n"/>
      <c r="U142" s="21" t="n"/>
      <c r="V142" s="21" t="n"/>
      <c r="W142" s="21" t="n"/>
      <c r="X142" s="21" t="n"/>
      <c r="Y142" s="21" t="n"/>
      <c r="Z142" s="25">
        <f>TODAY()</f>
        <v/>
      </c>
    </row>
    <row r="143">
      <c r="A143" s="20" t="inlineStr">
        <is>
          <t>REM-114</t>
        </is>
      </c>
      <c r="B143" s="21" t="n"/>
      <c r="C143" s="21" t="n"/>
      <c r="D143" s="21" t="n"/>
      <c r="E143" s="21" t="n"/>
      <c r="F143" s="21" t="n"/>
      <c r="G143" s="21" t="n"/>
      <c r="H143" s="21" t="n"/>
      <c r="I143" s="24" t="n"/>
      <c r="J143" s="21" t="n"/>
      <c r="K143" s="21" t="n"/>
      <c r="L143" s="21" t="n"/>
      <c r="M143" s="21" t="n"/>
      <c r="N143" s="21" t="n"/>
      <c r="O143" s="25">
        <f>IF(H143="Completed",0,IF(ISBLANK(M143),"",M143-TODAY()))</f>
        <v/>
      </c>
      <c r="P143" s="25">
        <f>IF(H143="Completed","Completed",IF(ISBLANK(O143),"",IF(O143&lt;0,"Overdue",IF(O143&lt;30,"At Risk","On Track"))))</f>
        <v/>
      </c>
      <c r="Q143" s="21" t="n"/>
      <c r="R143" s="26" t="n"/>
      <c r="S143" s="21" t="n"/>
      <c r="T143" s="26" t="n"/>
      <c r="U143" s="21" t="n"/>
      <c r="V143" s="21" t="n"/>
      <c r="W143" s="21" t="n"/>
      <c r="X143" s="21" t="n"/>
      <c r="Y143" s="21" t="n"/>
      <c r="Z143" s="25">
        <f>TODAY()</f>
        <v/>
      </c>
    </row>
    <row r="144">
      <c r="A144" s="20" t="inlineStr">
        <is>
          <t>REM-115</t>
        </is>
      </c>
      <c r="B144" s="21" t="n"/>
      <c r="C144" s="21" t="n"/>
      <c r="D144" s="21" t="n"/>
      <c r="E144" s="21" t="n"/>
      <c r="F144" s="21" t="n"/>
      <c r="G144" s="21" t="n"/>
      <c r="H144" s="21" t="n"/>
      <c r="I144" s="24" t="n"/>
      <c r="J144" s="21" t="n"/>
      <c r="K144" s="21" t="n"/>
      <c r="L144" s="21" t="n"/>
      <c r="M144" s="21" t="n"/>
      <c r="N144" s="21" t="n"/>
      <c r="O144" s="25">
        <f>IF(H144="Completed",0,IF(ISBLANK(M144),"",M144-TODAY()))</f>
        <v/>
      </c>
      <c r="P144" s="25">
        <f>IF(H144="Completed","Completed",IF(ISBLANK(O144),"",IF(O144&lt;0,"Overdue",IF(O144&lt;30,"At Risk","On Track"))))</f>
        <v/>
      </c>
      <c r="Q144" s="21" t="n"/>
      <c r="R144" s="26" t="n"/>
      <c r="S144" s="21" t="n"/>
      <c r="T144" s="26" t="n"/>
      <c r="U144" s="21" t="n"/>
      <c r="V144" s="21" t="n"/>
      <c r="W144" s="21" t="n"/>
      <c r="X144" s="21" t="n"/>
      <c r="Y144" s="21" t="n"/>
      <c r="Z144" s="25">
        <f>TODAY()</f>
        <v/>
      </c>
    </row>
    <row r="145">
      <c r="A145" s="20" t="inlineStr">
        <is>
          <t>REM-116</t>
        </is>
      </c>
      <c r="B145" s="21" t="n"/>
      <c r="C145" s="21" t="n"/>
      <c r="D145" s="21" t="n"/>
      <c r="E145" s="21" t="n"/>
      <c r="F145" s="21" t="n"/>
      <c r="G145" s="21" t="n"/>
      <c r="H145" s="21" t="n"/>
      <c r="I145" s="24" t="n"/>
      <c r="J145" s="21" t="n"/>
      <c r="K145" s="21" t="n"/>
      <c r="L145" s="21" t="n"/>
      <c r="M145" s="21" t="n"/>
      <c r="N145" s="21" t="n"/>
      <c r="O145" s="25">
        <f>IF(H145="Completed",0,IF(ISBLANK(M145),"",M145-TODAY()))</f>
        <v/>
      </c>
      <c r="P145" s="25">
        <f>IF(H145="Completed","Completed",IF(ISBLANK(O145),"",IF(O145&lt;0,"Overdue",IF(O145&lt;30,"At Risk","On Track"))))</f>
        <v/>
      </c>
      <c r="Q145" s="21" t="n"/>
      <c r="R145" s="26" t="n"/>
      <c r="S145" s="21" t="n"/>
      <c r="T145" s="26" t="n"/>
      <c r="U145" s="21" t="n"/>
      <c r="V145" s="21" t="n"/>
      <c r="W145" s="21" t="n"/>
      <c r="X145" s="21" t="n"/>
      <c r="Y145" s="21" t="n"/>
      <c r="Z145" s="25">
        <f>TODAY()</f>
        <v/>
      </c>
    </row>
    <row r="146">
      <c r="A146" s="20" t="inlineStr">
        <is>
          <t>REM-117</t>
        </is>
      </c>
      <c r="B146" s="21" t="n"/>
      <c r="C146" s="21" t="n"/>
      <c r="D146" s="21" t="n"/>
      <c r="E146" s="21" t="n"/>
      <c r="F146" s="21" t="n"/>
      <c r="G146" s="21" t="n"/>
      <c r="H146" s="21" t="n"/>
      <c r="I146" s="24" t="n"/>
      <c r="J146" s="21" t="n"/>
      <c r="K146" s="21" t="n"/>
      <c r="L146" s="21" t="n"/>
      <c r="M146" s="21" t="n"/>
      <c r="N146" s="21" t="n"/>
      <c r="O146" s="25">
        <f>IF(H146="Completed",0,IF(ISBLANK(M146),"",M146-TODAY()))</f>
        <v/>
      </c>
      <c r="P146" s="25">
        <f>IF(H146="Completed","Completed",IF(ISBLANK(O146),"",IF(O146&lt;0,"Overdue",IF(O146&lt;30,"At Risk","On Track"))))</f>
        <v/>
      </c>
      <c r="Q146" s="21" t="n"/>
      <c r="R146" s="26" t="n"/>
      <c r="S146" s="21" t="n"/>
      <c r="T146" s="26" t="n"/>
      <c r="U146" s="21" t="n"/>
      <c r="V146" s="21" t="n"/>
      <c r="W146" s="21" t="n"/>
      <c r="X146" s="21" t="n"/>
      <c r="Y146" s="21" t="n"/>
      <c r="Z146" s="25">
        <f>TODAY()</f>
        <v/>
      </c>
    </row>
    <row r="147">
      <c r="A147" s="20" t="inlineStr">
        <is>
          <t>REM-118</t>
        </is>
      </c>
      <c r="B147" s="21" t="n"/>
      <c r="C147" s="21" t="n"/>
      <c r="D147" s="21" t="n"/>
      <c r="E147" s="21" t="n"/>
      <c r="F147" s="21" t="n"/>
      <c r="G147" s="21" t="n"/>
      <c r="H147" s="21" t="n"/>
      <c r="I147" s="24" t="n"/>
      <c r="J147" s="21" t="n"/>
      <c r="K147" s="21" t="n"/>
      <c r="L147" s="21" t="n"/>
      <c r="M147" s="21" t="n"/>
      <c r="N147" s="21" t="n"/>
      <c r="O147" s="25">
        <f>IF(H147="Completed",0,IF(ISBLANK(M147),"",M147-TODAY()))</f>
        <v/>
      </c>
      <c r="P147" s="25">
        <f>IF(H147="Completed","Completed",IF(ISBLANK(O147),"",IF(O147&lt;0,"Overdue",IF(O147&lt;30,"At Risk","On Track"))))</f>
        <v/>
      </c>
      <c r="Q147" s="21" t="n"/>
      <c r="R147" s="26" t="n"/>
      <c r="S147" s="21" t="n"/>
      <c r="T147" s="26" t="n"/>
      <c r="U147" s="21" t="n"/>
      <c r="V147" s="21" t="n"/>
      <c r="W147" s="21" t="n"/>
      <c r="X147" s="21" t="n"/>
      <c r="Y147" s="21" t="n"/>
      <c r="Z147" s="25">
        <f>TODAY()</f>
        <v/>
      </c>
    </row>
    <row r="148">
      <c r="A148" s="20" t="inlineStr">
        <is>
          <t>REM-119</t>
        </is>
      </c>
      <c r="B148" s="21" t="n"/>
      <c r="C148" s="21" t="n"/>
      <c r="D148" s="21" t="n"/>
      <c r="E148" s="21" t="n"/>
      <c r="F148" s="21" t="n"/>
      <c r="G148" s="21" t="n"/>
      <c r="H148" s="21" t="n"/>
      <c r="I148" s="24" t="n"/>
      <c r="J148" s="21" t="n"/>
      <c r="K148" s="21" t="n"/>
      <c r="L148" s="21" t="n"/>
      <c r="M148" s="21" t="n"/>
      <c r="N148" s="21" t="n"/>
      <c r="O148" s="25">
        <f>IF(H148="Completed",0,IF(ISBLANK(M148),"",M148-TODAY()))</f>
        <v/>
      </c>
      <c r="P148" s="25">
        <f>IF(H148="Completed","Completed",IF(ISBLANK(O148),"",IF(O148&lt;0,"Overdue",IF(O148&lt;30,"At Risk","On Track"))))</f>
        <v/>
      </c>
      <c r="Q148" s="21" t="n"/>
      <c r="R148" s="26" t="n"/>
      <c r="S148" s="21" t="n"/>
      <c r="T148" s="26" t="n"/>
      <c r="U148" s="21" t="n"/>
      <c r="V148" s="21" t="n"/>
      <c r="W148" s="21" t="n"/>
      <c r="X148" s="21" t="n"/>
      <c r="Y148" s="21" t="n"/>
      <c r="Z148" s="25">
        <f>TODAY()</f>
        <v/>
      </c>
    </row>
    <row r="149">
      <c r="A149" s="20" t="inlineStr">
        <is>
          <t>REM-120</t>
        </is>
      </c>
      <c r="B149" s="21" t="n"/>
      <c r="C149" s="21" t="n"/>
      <c r="D149" s="21" t="n"/>
      <c r="E149" s="21" t="n"/>
      <c r="F149" s="21" t="n"/>
      <c r="G149" s="21" t="n"/>
      <c r="H149" s="21" t="n"/>
      <c r="I149" s="24" t="n"/>
      <c r="J149" s="21" t="n"/>
      <c r="K149" s="21" t="n"/>
      <c r="L149" s="21" t="n"/>
      <c r="M149" s="21" t="n"/>
      <c r="N149" s="21" t="n"/>
      <c r="O149" s="25">
        <f>IF(H149="Completed",0,IF(ISBLANK(M149),"",M149-TODAY()))</f>
        <v/>
      </c>
      <c r="P149" s="25">
        <f>IF(H149="Completed","Completed",IF(ISBLANK(O149),"",IF(O149&lt;0,"Overdue",IF(O149&lt;30,"At Risk","On Track"))))</f>
        <v/>
      </c>
      <c r="Q149" s="21" t="n"/>
      <c r="R149" s="26" t="n"/>
      <c r="S149" s="21" t="n"/>
      <c r="T149" s="26" t="n"/>
      <c r="U149" s="21" t="n"/>
      <c r="V149" s="21" t="n"/>
      <c r="W149" s="21" t="n"/>
      <c r="X149" s="21" t="n"/>
      <c r="Y149" s="21" t="n"/>
      <c r="Z149" s="25">
        <f>TODAY()</f>
        <v/>
      </c>
    </row>
    <row r="150">
      <c r="A150" s="20" t="inlineStr">
        <is>
          <t>REM-121</t>
        </is>
      </c>
      <c r="B150" s="21" t="n"/>
      <c r="C150" s="21" t="n"/>
      <c r="D150" s="21" t="n"/>
      <c r="E150" s="21" t="n"/>
      <c r="F150" s="21" t="n"/>
      <c r="G150" s="21" t="n"/>
      <c r="H150" s="21" t="n"/>
      <c r="I150" s="24" t="n"/>
      <c r="J150" s="21" t="n"/>
      <c r="K150" s="21" t="n"/>
      <c r="L150" s="21" t="n"/>
      <c r="M150" s="21" t="n"/>
      <c r="N150" s="21" t="n"/>
      <c r="O150" s="25">
        <f>IF(H150="Completed",0,IF(ISBLANK(M150),"",M150-TODAY()))</f>
        <v/>
      </c>
      <c r="P150" s="25">
        <f>IF(H150="Completed","Completed",IF(ISBLANK(O150),"",IF(O150&lt;0,"Overdue",IF(O150&lt;30,"At Risk","On Track"))))</f>
        <v/>
      </c>
      <c r="Q150" s="21" t="n"/>
      <c r="R150" s="26" t="n"/>
      <c r="S150" s="21" t="n"/>
      <c r="T150" s="26" t="n"/>
      <c r="U150" s="21" t="n"/>
      <c r="V150" s="21" t="n"/>
      <c r="W150" s="21" t="n"/>
      <c r="X150" s="21" t="n"/>
      <c r="Y150" s="21" t="n"/>
      <c r="Z150" s="25">
        <f>TODAY()</f>
        <v/>
      </c>
    </row>
    <row r="151">
      <c r="A151" s="20" t="inlineStr">
        <is>
          <t>REM-122</t>
        </is>
      </c>
      <c r="B151" s="21" t="n"/>
      <c r="C151" s="21" t="n"/>
      <c r="D151" s="21" t="n"/>
      <c r="E151" s="21" t="n"/>
      <c r="F151" s="21" t="n"/>
      <c r="G151" s="21" t="n"/>
      <c r="H151" s="21" t="n"/>
      <c r="I151" s="24" t="n"/>
      <c r="J151" s="21" t="n"/>
      <c r="K151" s="21" t="n"/>
      <c r="L151" s="21" t="n"/>
      <c r="M151" s="21" t="n"/>
      <c r="N151" s="21" t="n"/>
      <c r="O151" s="25">
        <f>IF(H151="Completed",0,IF(ISBLANK(M151),"",M151-TODAY()))</f>
        <v/>
      </c>
      <c r="P151" s="25">
        <f>IF(H151="Completed","Completed",IF(ISBLANK(O151),"",IF(O151&lt;0,"Overdue",IF(O151&lt;30,"At Risk","On Track"))))</f>
        <v/>
      </c>
      <c r="Q151" s="21" t="n"/>
      <c r="R151" s="26" t="n"/>
      <c r="S151" s="21" t="n"/>
      <c r="T151" s="26" t="n"/>
      <c r="U151" s="21" t="n"/>
      <c r="V151" s="21" t="n"/>
      <c r="W151" s="21" t="n"/>
      <c r="X151" s="21" t="n"/>
      <c r="Y151" s="21" t="n"/>
      <c r="Z151" s="25">
        <f>TODAY()</f>
        <v/>
      </c>
    </row>
    <row r="152">
      <c r="A152" s="20" t="inlineStr">
        <is>
          <t>REM-123</t>
        </is>
      </c>
      <c r="B152" s="21" t="n"/>
      <c r="C152" s="21" t="n"/>
      <c r="D152" s="21" t="n"/>
      <c r="E152" s="21" t="n"/>
      <c r="F152" s="21" t="n"/>
      <c r="G152" s="21" t="n"/>
      <c r="H152" s="21" t="n"/>
      <c r="I152" s="24" t="n"/>
      <c r="J152" s="21" t="n"/>
      <c r="K152" s="21" t="n"/>
      <c r="L152" s="21" t="n"/>
      <c r="M152" s="21" t="n"/>
      <c r="N152" s="21" t="n"/>
      <c r="O152" s="25">
        <f>IF(H152="Completed",0,IF(ISBLANK(M152),"",M152-TODAY()))</f>
        <v/>
      </c>
      <c r="P152" s="25">
        <f>IF(H152="Completed","Completed",IF(ISBLANK(O152),"",IF(O152&lt;0,"Overdue",IF(O152&lt;30,"At Risk","On Track"))))</f>
        <v/>
      </c>
      <c r="Q152" s="21" t="n"/>
      <c r="R152" s="26" t="n"/>
      <c r="S152" s="21" t="n"/>
      <c r="T152" s="26" t="n"/>
      <c r="U152" s="21" t="n"/>
      <c r="V152" s="21" t="n"/>
      <c r="W152" s="21" t="n"/>
      <c r="X152" s="21" t="n"/>
      <c r="Y152" s="21" t="n"/>
      <c r="Z152" s="25">
        <f>TODAY()</f>
        <v/>
      </c>
    </row>
    <row r="153">
      <c r="A153" s="20" t="inlineStr">
        <is>
          <t>REM-124</t>
        </is>
      </c>
      <c r="B153" s="21" t="n"/>
      <c r="C153" s="21" t="n"/>
      <c r="D153" s="21" t="n"/>
      <c r="E153" s="21" t="n"/>
      <c r="F153" s="21" t="n"/>
      <c r="G153" s="21" t="n"/>
      <c r="H153" s="21" t="n"/>
      <c r="I153" s="24" t="n"/>
      <c r="J153" s="21" t="n"/>
      <c r="K153" s="21" t="n"/>
      <c r="L153" s="21" t="n"/>
      <c r="M153" s="21" t="n"/>
      <c r="N153" s="21" t="n"/>
      <c r="O153" s="25">
        <f>IF(H153="Completed",0,IF(ISBLANK(M153),"",M153-TODAY()))</f>
        <v/>
      </c>
      <c r="P153" s="25">
        <f>IF(H153="Completed","Completed",IF(ISBLANK(O153),"",IF(O153&lt;0,"Overdue",IF(O153&lt;30,"At Risk","On Track"))))</f>
        <v/>
      </c>
      <c r="Q153" s="21" t="n"/>
      <c r="R153" s="26" t="n"/>
      <c r="S153" s="21" t="n"/>
      <c r="T153" s="26" t="n"/>
      <c r="U153" s="21" t="n"/>
      <c r="V153" s="21" t="n"/>
      <c r="W153" s="21" t="n"/>
      <c r="X153" s="21" t="n"/>
      <c r="Y153" s="21" t="n"/>
      <c r="Z153" s="25">
        <f>TODAY()</f>
        <v/>
      </c>
    </row>
    <row r="154">
      <c r="A154" s="20" t="inlineStr">
        <is>
          <t>REM-125</t>
        </is>
      </c>
      <c r="B154" s="21" t="n"/>
      <c r="C154" s="21" t="n"/>
      <c r="D154" s="21" t="n"/>
      <c r="E154" s="21" t="n"/>
      <c r="F154" s="21" t="n"/>
      <c r="G154" s="21" t="n"/>
      <c r="H154" s="21" t="n"/>
      <c r="I154" s="24" t="n"/>
      <c r="J154" s="21" t="n"/>
      <c r="K154" s="21" t="n"/>
      <c r="L154" s="21" t="n"/>
      <c r="M154" s="21" t="n"/>
      <c r="N154" s="21" t="n"/>
      <c r="O154" s="25">
        <f>IF(H154="Completed",0,IF(ISBLANK(M154),"",M154-TODAY()))</f>
        <v/>
      </c>
      <c r="P154" s="25">
        <f>IF(H154="Completed","Completed",IF(ISBLANK(O154),"",IF(O154&lt;0,"Overdue",IF(O154&lt;30,"At Risk","On Track"))))</f>
        <v/>
      </c>
      <c r="Q154" s="21" t="n"/>
      <c r="R154" s="26" t="n"/>
      <c r="S154" s="21" t="n"/>
      <c r="T154" s="26" t="n"/>
      <c r="U154" s="21" t="n"/>
      <c r="V154" s="21" t="n"/>
      <c r="W154" s="21" t="n"/>
      <c r="X154" s="21" t="n"/>
      <c r="Y154" s="21" t="n"/>
      <c r="Z154" s="25">
        <f>TODAY()</f>
        <v/>
      </c>
    </row>
    <row r="155">
      <c r="A155" s="20" t="inlineStr">
        <is>
          <t>REM-126</t>
        </is>
      </c>
      <c r="B155" s="21" t="n"/>
      <c r="C155" s="21" t="n"/>
      <c r="D155" s="21" t="n"/>
      <c r="E155" s="21" t="n"/>
      <c r="F155" s="21" t="n"/>
      <c r="G155" s="21" t="n"/>
      <c r="H155" s="21" t="n"/>
      <c r="I155" s="24" t="n"/>
      <c r="J155" s="21" t="n"/>
      <c r="K155" s="21" t="n"/>
      <c r="L155" s="21" t="n"/>
      <c r="M155" s="21" t="n"/>
      <c r="N155" s="21" t="n"/>
      <c r="O155" s="25">
        <f>IF(H155="Completed",0,IF(ISBLANK(M155),"",M155-TODAY()))</f>
        <v/>
      </c>
      <c r="P155" s="25">
        <f>IF(H155="Completed","Completed",IF(ISBLANK(O155),"",IF(O155&lt;0,"Overdue",IF(O155&lt;30,"At Risk","On Track"))))</f>
        <v/>
      </c>
      <c r="Q155" s="21" t="n"/>
      <c r="R155" s="26" t="n"/>
      <c r="S155" s="21" t="n"/>
      <c r="T155" s="26" t="n"/>
      <c r="U155" s="21" t="n"/>
      <c r="V155" s="21" t="n"/>
      <c r="W155" s="21" t="n"/>
      <c r="X155" s="21" t="n"/>
      <c r="Y155" s="21" t="n"/>
      <c r="Z155" s="25">
        <f>TODAY()</f>
        <v/>
      </c>
    </row>
    <row r="156">
      <c r="A156" s="20" t="inlineStr">
        <is>
          <t>REM-127</t>
        </is>
      </c>
      <c r="B156" s="21" t="n"/>
      <c r="C156" s="21" t="n"/>
      <c r="D156" s="21" t="n"/>
      <c r="E156" s="21" t="n"/>
      <c r="F156" s="21" t="n"/>
      <c r="G156" s="21" t="n"/>
      <c r="H156" s="21" t="n"/>
      <c r="I156" s="24" t="n"/>
      <c r="J156" s="21" t="n"/>
      <c r="K156" s="21" t="n"/>
      <c r="L156" s="21" t="n"/>
      <c r="M156" s="21" t="n"/>
      <c r="N156" s="21" t="n"/>
      <c r="O156" s="25">
        <f>IF(H156="Completed",0,IF(ISBLANK(M156),"",M156-TODAY()))</f>
        <v/>
      </c>
      <c r="P156" s="25">
        <f>IF(H156="Completed","Completed",IF(ISBLANK(O156),"",IF(O156&lt;0,"Overdue",IF(O156&lt;30,"At Risk","On Track"))))</f>
        <v/>
      </c>
      <c r="Q156" s="21" t="n"/>
      <c r="R156" s="26" t="n"/>
      <c r="S156" s="21" t="n"/>
      <c r="T156" s="26" t="n"/>
      <c r="U156" s="21" t="n"/>
      <c r="V156" s="21" t="n"/>
      <c r="W156" s="21" t="n"/>
      <c r="X156" s="21" t="n"/>
      <c r="Y156" s="21" t="n"/>
      <c r="Z156" s="25">
        <f>TODAY()</f>
        <v/>
      </c>
    </row>
    <row r="157">
      <c r="A157" s="20" t="inlineStr">
        <is>
          <t>REM-128</t>
        </is>
      </c>
      <c r="B157" s="21" t="n"/>
      <c r="C157" s="21" t="n"/>
      <c r="D157" s="21" t="n"/>
      <c r="E157" s="21" t="n"/>
      <c r="F157" s="21" t="n"/>
      <c r="G157" s="21" t="n"/>
      <c r="H157" s="21" t="n"/>
      <c r="I157" s="24" t="n"/>
      <c r="J157" s="21" t="n"/>
      <c r="K157" s="21" t="n"/>
      <c r="L157" s="21" t="n"/>
      <c r="M157" s="21" t="n"/>
      <c r="N157" s="21" t="n"/>
      <c r="O157" s="25">
        <f>IF(H157="Completed",0,IF(ISBLANK(M157),"",M157-TODAY()))</f>
        <v/>
      </c>
      <c r="P157" s="25">
        <f>IF(H157="Completed","Completed",IF(ISBLANK(O157),"",IF(O157&lt;0,"Overdue",IF(O157&lt;30,"At Risk","On Track"))))</f>
        <v/>
      </c>
      <c r="Q157" s="21" t="n"/>
      <c r="R157" s="26" t="n"/>
      <c r="S157" s="21" t="n"/>
      <c r="T157" s="26" t="n"/>
      <c r="U157" s="21" t="n"/>
      <c r="V157" s="21" t="n"/>
      <c r="W157" s="21" t="n"/>
      <c r="X157" s="21" t="n"/>
      <c r="Y157" s="21" t="n"/>
      <c r="Z157" s="25">
        <f>TODAY()</f>
        <v/>
      </c>
    </row>
    <row r="158">
      <c r="A158" s="20" t="inlineStr">
        <is>
          <t>REM-129</t>
        </is>
      </c>
      <c r="B158" s="21" t="n"/>
      <c r="C158" s="21" t="n"/>
      <c r="D158" s="21" t="n"/>
      <c r="E158" s="21" t="n"/>
      <c r="F158" s="21" t="n"/>
      <c r="G158" s="21" t="n"/>
      <c r="H158" s="21" t="n"/>
      <c r="I158" s="24" t="n"/>
      <c r="J158" s="21" t="n"/>
      <c r="K158" s="21" t="n"/>
      <c r="L158" s="21" t="n"/>
      <c r="M158" s="21" t="n"/>
      <c r="N158" s="21" t="n"/>
      <c r="O158" s="25">
        <f>IF(H158="Completed",0,IF(ISBLANK(M158),"",M158-TODAY()))</f>
        <v/>
      </c>
      <c r="P158" s="25">
        <f>IF(H158="Completed","Completed",IF(ISBLANK(O158),"",IF(O158&lt;0,"Overdue",IF(O158&lt;30,"At Risk","On Track"))))</f>
        <v/>
      </c>
      <c r="Q158" s="21" t="n"/>
      <c r="R158" s="26" t="n"/>
      <c r="S158" s="21" t="n"/>
      <c r="T158" s="26" t="n"/>
      <c r="U158" s="21" t="n"/>
      <c r="V158" s="21" t="n"/>
      <c r="W158" s="21" t="n"/>
      <c r="X158" s="21" t="n"/>
      <c r="Y158" s="21" t="n"/>
      <c r="Z158" s="25">
        <f>TODAY()</f>
        <v/>
      </c>
    </row>
    <row r="159">
      <c r="A159" s="20" t="inlineStr">
        <is>
          <t>REM-130</t>
        </is>
      </c>
      <c r="B159" s="21" t="n"/>
      <c r="C159" s="21" t="n"/>
      <c r="D159" s="21" t="n"/>
      <c r="E159" s="21" t="n"/>
      <c r="F159" s="21" t="n"/>
      <c r="G159" s="21" t="n"/>
      <c r="H159" s="21" t="n"/>
      <c r="I159" s="24" t="n"/>
      <c r="J159" s="21" t="n"/>
      <c r="K159" s="21" t="n"/>
      <c r="L159" s="21" t="n"/>
      <c r="M159" s="21" t="n"/>
      <c r="N159" s="21" t="n"/>
      <c r="O159" s="25">
        <f>IF(H159="Completed",0,IF(ISBLANK(M159),"",M159-TODAY()))</f>
        <v/>
      </c>
      <c r="P159" s="25">
        <f>IF(H159="Completed","Completed",IF(ISBLANK(O159),"",IF(O159&lt;0,"Overdue",IF(O159&lt;30,"At Risk","On Track"))))</f>
        <v/>
      </c>
      <c r="Q159" s="21" t="n"/>
      <c r="R159" s="26" t="n"/>
      <c r="S159" s="21" t="n"/>
      <c r="T159" s="26" t="n"/>
      <c r="U159" s="21" t="n"/>
      <c r="V159" s="21" t="n"/>
      <c r="W159" s="21" t="n"/>
      <c r="X159" s="21" t="n"/>
      <c r="Y159" s="21" t="n"/>
      <c r="Z159" s="25">
        <f>TODAY()</f>
        <v/>
      </c>
    </row>
    <row r="160">
      <c r="A160" s="20" t="inlineStr">
        <is>
          <t>REM-131</t>
        </is>
      </c>
      <c r="B160" s="21" t="n"/>
      <c r="C160" s="21" t="n"/>
      <c r="D160" s="21" t="n"/>
      <c r="E160" s="21" t="n"/>
      <c r="F160" s="21" t="n"/>
      <c r="G160" s="21" t="n"/>
      <c r="H160" s="21" t="n"/>
      <c r="I160" s="24" t="n"/>
      <c r="J160" s="21" t="n"/>
      <c r="K160" s="21" t="n"/>
      <c r="L160" s="21" t="n"/>
      <c r="M160" s="21" t="n"/>
      <c r="N160" s="21" t="n"/>
      <c r="O160" s="25">
        <f>IF(H160="Completed",0,IF(ISBLANK(M160),"",M160-TODAY()))</f>
        <v/>
      </c>
      <c r="P160" s="25">
        <f>IF(H160="Completed","Completed",IF(ISBLANK(O160),"",IF(O160&lt;0,"Overdue",IF(O160&lt;30,"At Risk","On Track"))))</f>
        <v/>
      </c>
      <c r="Q160" s="21" t="n"/>
      <c r="R160" s="26" t="n"/>
      <c r="S160" s="21" t="n"/>
      <c r="T160" s="26" t="n"/>
      <c r="U160" s="21" t="n"/>
      <c r="V160" s="21" t="n"/>
      <c r="W160" s="21" t="n"/>
      <c r="X160" s="21" t="n"/>
      <c r="Y160" s="21" t="n"/>
      <c r="Z160" s="25">
        <f>TODAY()</f>
        <v/>
      </c>
    </row>
    <row r="161">
      <c r="A161" s="20" t="inlineStr">
        <is>
          <t>REM-132</t>
        </is>
      </c>
      <c r="B161" s="21" t="n"/>
      <c r="C161" s="21" t="n"/>
      <c r="D161" s="21" t="n"/>
      <c r="E161" s="21" t="n"/>
      <c r="F161" s="21" t="n"/>
      <c r="G161" s="21" t="n"/>
      <c r="H161" s="21" t="n"/>
      <c r="I161" s="24" t="n"/>
      <c r="J161" s="21" t="n"/>
      <c r="K161" s="21" t="n"/>
      <c r="L161" s="21" t="n"/>
      <c r="M161" s="21" t="n"/>
      <c r="N161" s="21" t="n"/>
      <c r="O161" s="25">
        <f>IF(H161="Completed",0,IF(ISBLANK(M161),"",M161-TODAY()))</f>
        <v/>
      </c>
      <c r="P161" s="25">
        <f>IF(H161="Completed","Completed",IF(ISBLANK(O161),"",IF(O161&lt;0,"Overdue",IF(O161&lt;30,"At Risk","On Track"))))</f>
        <v/>
      </c>
      <c r="Q161" s="21" t="n"/>
      <c r="R161" s="26" t="n"/>
      <c r="S161" s="21" t="n"/>
      <c r="T161" s="26" t="n"/>
      <c r="U161" s="21" t="n"/>
      <c r="V161" s="21" t="n"/>
      <c r="W161" s="21" t="n"/>
      <c r="X161" s="21" t="n"/>
      <c r="Y161" s="21" t="n"/>
      <c r="Z161" s="25">
        <f>TODAY()</f>
        <v/>
      </c>
    </row>
    <row r="162">
      <c r="A162" s="20" t="inlineStr">
        <is>
          <t>REM-133</t>
        </is>
      </c>
      <c r="B162" s="21" t="n"/>
      <c r="C162" s="21" t="n"/>
      <c r="D162" s="21" t="n"/>
      <c r="E162" s="21" t="n"/>
      <c r="F162" s="21" t="n"/>
      <c r="G162" s="21" t="n"/>
      <c r="H162" s="21" t="n"/>
      <c r="I162" s="24" t="n"/>
      <c r="J162" s="21" t="n"/>
      <c r="K162" s="21" t="n"/>
      <c r="L162" s="21" t="n"/>
      <c r="M162" s="21" t="n"/>
      <c r="N162" s="21" t="n"/>
      <c r="O162" s="25">
        <f>IF(H162="Completed",0,IF(ISBLANK(M162),"",M162-TODAY()))</f>
        <v/>
      </c>
      <c r="P162" s="25">
        <f>IF(H162="Completed","Completed",IF(ISBLANK(O162),"",IF(O162&lt;0,"Overdue",IF(O162&lt;30,"At Risk","On Track"))))</f>
        <v/>
      </c>
      <c r="Q162" s="21" t="n"/>
      <c r="R162" s="26" t="n"/>
      <c r="S162" s="21" t="n"/>
      <c r="T162" s="26" t="n"/>
      <c r="U162" s="21" t="n"/>
      <c r="V162" s="21" t="n"/>
      <c r="W162" s="21" t="n"/>
      <c r="X162" s="21" t="n"/>
      <c r="Y162" s="21" t="n"/>
      <c r="Z162" s="25">
        <f>TODAY()</f>
        <v/>
      </c>
    </row>
    <row r="163">
      <c r="A163" s="20" t="inlineStr">
        <is>
          <t>REM-134</t>
        </is>
      </c>
      <c r="B163" s="21" t="n"/>
      <c r="C163" s="21" t="n"/>
      <c r="D163" s="21" t="n"/>
      <c r="E163" s="21" t="n"/>
      <c r="F163" s="21" t="n"/>
      <c r="G163" s="21" t="n"/>
      <c r="H163" s="21" t="n"/>
      <c r="I163" s="24" t="n"/>
      <c r="J163" s="21" t="n"/>
      <c r="K163" s="21" t="n"/>
      <c r="L163" s="21" t="n"/>
      <c r="M163" s="21" t="n"/>
      <c r="N163" s="21" t="n"/>
      <c r="O163" s="25">
        <f>IF(H163="Completed",0,IF(ISBLANK(M163),"",M163-TODAY()))</f>
        <v/>
      </c>
      <c r="P163" s="25">
        <f>IF(H163="Completed","Completed",IF(ISBLANK(O163),"",IF(O163&lt;0,"Overdue",IF(O163&lt;30,"At Risk","On Track"))))</f>
        <v/>
      </c>
      <c r="Q163" s="21" t="n"/>
      <c r="R163" s="26" t="n"/>
      <c r="S163" s="21" t="n"/>
      <c r="T163" s="26" t="n"/>
      <c r="U163" s="21" t="n"/>
      <c r="V163" s="21" t="n"/>
      <c r="W163" s="21" t="n"/>
      <c r="X163" s="21" t="n"/>
      <c r="Y163" s="21" t="n"/>
      <c r="Z163" s="25">
        <f>TODAY()</f>
        <v/>
      </c>
    </row>
    <row r="164">
      <c r="A164" s="20" t="inlineStr">
        <is>
          <t>REM-135</t>
        </is>
      </c>
      <c r="B164" s="21" t="n"/>
      <c r="C164" s="21" t="n"/>
      <c r="D164" s="21" t="n"/>
      <c r="E164" s="21" t="n"/>
      <c r="F164" s="21" t="n"/>
      <c r="G164" s="21" t="n"/>
      <c r="H164" s="21" t="n"/>
      <c r="I164" s="24" t="n"/>
      <c r="J164" s="21" t="n"/>
      <c r="K164" s="21" t="n"/>
      <c r="L164" s="21" t="n"/>
      <c r="M164" s="21" t="n"/>
      <c r="N164" s="21" t="n"/>
      <c r="O164" s="25">
        <f>IF(H164="Completed",0,IF(ISBLANK(M164),"",M164-TODAY()))</f>
        <v/>
      </c>
      <c r="P164" s="25">
        <f>IF(H164="Completed","Completed",IF(ISBLANK(O164),"",IF(O164&lt;0,"Overdue",IF(O164&lt;30,"At Risk","On Track"))))</f>
        <v/>
      </c>
      <c r="Q164" s="21" t="n"/>
      <c r="R164" s="26" t="n"/>
      <c r="S164" s="21" t="n"/>
      <c r="T164" s="26" t="n"/>
      <c r="U164" s="21" t="n"/>
      <c r="V164" s="21" t="n"/>
      <c r="W164" s="21" t="n"/>
      <c r="X164" s="21" t="n"/>
      <c r="Y164" s="21" t="n"/>
      <c r="Z164" s="25">
        <f>TODAY()</f>
        <v/>
      </c>
    </row>
    <row r="165">
      <c r="A165" s="20" t="inlineStr">
        <is>
          <t>REM-136</t>
        </is>
      </c>
      <c r="B165" s="21" t="n"/>
      <c r="C165" s="21" t="n"/>
      <c r="D165" s="21" t="n"/>
      <c r="E165" s="21" t="n"/>
      <c r="F165" s="21" t="n"/>
      <c r="G165" s="21" t="n"/>
      <c r="H165" s="21" t="n"/>
      <c r="I165" s="24" t="n"/>
      <c r="J165" s="21" t="n"/>
      <c r="K165" s="21" t="n"/>
      <c r="L165" s="21" t="n"/>
      <c r="M165" s="21" t="n"/>
      <c r="N165" s="21" t="n"/>
      <c r="O165" s="25">
        <f>IF(H165="Completed",0,IF(ISBLANK(M165),"",M165-TODAY()))</f>
        <v/>
      </c>
      <c r="P165" s="25">
        <f>IF(H165="Completed","Completed",IF(ISBLANK(O165),"",IF(O165&lt;0,"Overdue",IF(O165&lt;30,"At Risk","On Track"))))</f>
        <v/>
      </c>
      <c r="Q165" s="21" t="n"/>
      <c r="R165" s="26" t="n"/>
      <c r="S165" s="21" t="n"/>
      <c r="T165" s="26" t="n"/>
      <c r="U165" s="21" t="n"/>
      <c r="V165" s="21" t="n"/>
      <c r="W165" s="21" t="n"/>
      <c r="X165" s="21" t="n"/>
      <c r="Y165" s="21" t="n"/>
      <c r="Z165" s="25">
        <f>TODAY()</f>
        <v/>
      </c>
    </row>
    <row r="166">
      <c r="A166" s="20" t="inlineStr">
        <is>
          <t>REM-137</t>
        </is>
      </c>
      <c r="B166" s="21" t="n"/>
      <c r="C166" s="21" t="n"/>
      <c r="D166" s="21" t="n"/>
      <c r="E166" s="21" t="n"/>
      <c r="F166" s="21" t="n"/>
      <c r="G166" s="21" t="n"/>
      <c r="H166" s="21" t="n"/>
      <c r="I166" s="24" t="n"/>
      <c r="J166" s="21" t="n"/>
      <c r="K166" s="21" t="n"/>
      <c r="L166" s="21" t="n"/>
      <c r="M166" s="21" t="n"/>
      <c r="N166" s="21" t="n"/>
      <c r="O166" s="25">
        <f>IF(H166="Completed",0,IF(ISBLANK(M166),"",M166-TODAY()))</f>
        <v/>
      </c>
      <c r="P166" s="25">
        <f>IF(H166="Completed","Completed",IF(ISBLANK(O166),"",IF(O166&lt;0,"Overdue",IF(O166&lt;30,"At Risk","On Track"))))</f>
        <v/>
      </c>
      <c r="Q166" s="21" t="n"/>
      <c r="R166" s="26" t="n"/>
      <c r="S166" s="21" t="n"/>
      <c r="T166" s="26" t="n"/>
      <c r="U166" s="21" t="n"/>
      <c r="V166" s="21" t="n"/>
      <c r="W166" s="21" t="n"/>
      <c r="X166" s="21" t="n"/>
      <c r="Y166" s="21" t="n"/>
      <c r="Z166" s="25">
        <f>TODAY()</f>
        <v/>
      </c>
    </row>
    <row r="167">
      <c r="A167" s="20" t="inlineStr">
        <is>
          <t>REM-138</t>
        </is>
      </c>
      <c r="B167" s="21" t="n"/>
      <c r="C167" s="21" t="n"/>
      <c r="D167" s="21" t="n"/>
      <c r="E167" s="21" t="n"/>
      <c r="F167" s="21" t="n"/>
      <c r="G167" s="21" t="n"/>
      <c r="H167" s="21" t="n"/>
      <c r="I167" s="24" t="n"/>
      <c r="J167" s="21" t="n"/>
      <c r="K167" s="21" t="n"/>
      <c r="L167" s="21" t="n"/>
      <c r="M167" s="21" t="n"/>
      <c r="N167" s="21" t="n"/>
      <c r="O167" s="25">
        <f>IF(H167="Completed",0,IF(ISBLANK(M167),"",M167-TODAY()))</f>
        <v/>
      </c>
      <c r="P167" s="25">
        <f>IF(H167="Completed","Completed",IF(ISBLANK(O167),"",IF(O167&lt;0,"Overdue",IF(O167&lt;30,"At Risk","On Track"))))</f>
        <v/>
      </c>
      <c r="Q167" s="21" t="n"/>
      <c r="R167" s="26" t="n"/>
      <c r="S167" s="21" t="n"/>
      <c r="T167" s="26" t="n"/>
      <c r="U167" s="21" t="n"/>
      <c r="V167" s="21" t="n"/>
      <c r="W167" s="21" t="n"/>
      <c r="X167" s="21" t="n"/>
      <c r="Y167" s="21" t="n"/>
      <c r="Z167" s="25">
        <f>TODAY()</f>
        <v/>
      </c>
    </row>
    <row r="168">
      <c r="A168" s="20" t="inlineStr">
        <is>
          <t>REM-139</t>
        </is>
      </c>
      <c r="B168" s="21" t="n"/>
      <c r="C168" s="21" t="n"/>
      <c r="D168" s="21" t="n"/>
      <c r="E168" s="21" t="n"/>
      <c r="F168" s="21" t="n"/>
      <c r="G168" s="21" t="n"/>
      <c r="H168" s="21" t="n"/>
      <c r="I168" s="24" t="n"/>
      <c r="J168" s="21" t="n"/>
      <c r="K168" s="21" t="n"/>
      <c r="L168" s="21" t="n"/>
      <c r="M168" s="21" t="n"/>
      <c r="N168" s="21" t="n"/>
      <c r="O168" s="25">
        <f>IF(H168="Completed",0,IF(ISBLANK(M168),"",M168-TODAY()))</f>
        <v/>
      </c>
      <c r="P168" s="25">
        <f>IF(H168="Completed","Completed",IF(ISBLANK(O168),"",IF(O168&lt;0,"Overdue",IF(O168&lt;30,"At Risk","On Track"))))</f>
        <v/>
      </c>
      <c r="Q168" s="21" t="n"/>
      <c r="R168" s="26" t="n"/>
      <c r="S168" s="21" t="n"/>
      <c r="T168" s="26" t="n"/>
      <c r="U168" s="21" t="n"/>
      <c r="V168" s="21" t="n"/>
      <c r="W168" s="21" t="n"/>
      <c r="X168" s="21" t="n"/>
      <c r="Y168" s="21" t="n"/>
      <c r="Z168" s="25">
        <f>TODAY()</f>
        <v/>
      </c>
    </row>
    <row r="169">
      <c r="A169" s="20" t="inlineStr">
        <is>
          <t>REM-140</t>
        </is>
      </c>
      <c r="B169" s="21" t="n"/>
      <c r="C169" s="21" t="n"/>
      <c r="D169" s="21" t="n"/>
      <c r="E169" s="21" t="n"/>
      <c r="F169" s="21" t="n"/>
      <c r="G169" s="21" t="n"/>
      <c r="H169" s="21" t="n"/>
      <c r="I169" s="24" t="n"/>
      <c r="J169" s="21" t="n"/>
      <c r="K169" s="21" t="n"/>
      <c r="L169" s="21" t="n"/>
      <c r="M169" s="21" t="n"/>
      <c r="N169" s="21" t="n"/>
      <c r="O169" s="25">
        <f>IF(H169="Completed",0,IF(ISBLANK(M169),"",M169-TODAY()))</f>
        <v/>
      </c>
      <c r="P169" s="25">
        <f>IF(H169="Completed","Completed",IF(ISBLANK(O169),"",IF(O169&lt;0,"Overdue",IF(O169&lt;30,"At Risk","On Track"))))</f>
        <v/>
      </c>
      <c r="Q169" s="21" t="n"/>
      <c r="R169" s="26" t="n"/>
      <c r="S169" s="21" t="n"/>
      <c r="T169" s="26" t="n"/>
      <c r="U169" s="21" t="n"/>
      <c r="V169" s="21" t="n"/>
      <c r="W169" s="21" t="n"/>
      <c r="X169" s="21" t="n"/>
      <c r="Y169" s="21" t="n"/>
      <c r="Z169" s="25">
        <f>TODAY()</f>
        <v/>
      </c>
    </row>
    <row r="170">
      <c r="A170" s="20" t="inlineStr">
        <is>
          <t>REM-141</t>
        </is>
      </c>
      <c r="B170" s="21" t="n"/>
      <c r="C170" s="21" t="n"/>
      <c r="D170" s="21" t="n"/>
      <c r="E170" s="21" t="n"/>
      <c r="F170" s="21" t="n"/>
      <c r="G170" s="21" t="n"/>
      <c r="H170" s="21" t="n"/>
      <c r="I170" s="24" t="n"/>
      <c r="J170" s="21" t="n"/>
      <c r="K170" s="21" t="n"/>
      <c r="L170" s="21" t="n"/>
      <c r="M170" s="21" t="n"/>
      <c r="N170" s="21" t="n"/>
      <c r="O170" s="25">
        <f>IF(H170="Completed",0,IF(ISBLANK(M170),"",M170-TODAY()))</f>
        <v/>
      </c>
      <c r="P170" s="25">
        <f>IF(H170="Completed","Completed",IF(ISBLANK(O170),"",IF(O170&lt;0,"Overdue",IF(O170&lt;30,"At Risk","On Track"))))</f>
        <v/>
      </c>
      <c r="Q170" s="21" t="n"/>
      <c r="R170" s="26" t="n"/>
      <c r="S170" s="21" t="n"/>
      <c r="T170" s="26" t="n"/>
      <c r="U170" s="21" t="n"/>
      <c r="V170" s="21" t="n"/>
      <c r="W170" s="21" t="n"/>
      <c r="X170" s="21" t="n"/>
      <c r="Y170" s="21" t="n"/>
      <c r="Z170" s="25">
        <f>TODAY()</f>
        <v/>
      </c>
    </row>
    <row r="171">
      <c r="A171" s="20" t="inlineStr">
        <is>
          <t>REM-142</t>
        </is>
      </c>
      <c r="B171" s="21" t="n"/>
      <c r="C171" s="21" t="n"/>
      <c r="D171" s="21" t="n"/>
      <c r="E171" s="21" t="n"/>
      <c r="F171" s="21" t="n"/>
      <c r="G171" s="21" t="n"/>
      <c r="H171" s="21" t="n"/>
      <c r="I171" s="24" t="n"/>
      <c r="J171" s="21" t="n"/>
      <c r="K171" s="21" t="n"/>
      <c r="L171" s="21" t="n"/>
      <c r="M171" s="21" t="n"/>
      <c r="N171" s="21" t="n"/>
      <c r="O171" s="25">
        <f>IF(H171="Completed",0,IF(ISBLANK(M171),"",M171-TODAY()))</f>
        <v/>
      </c>
      <c r="P171" s="25">
        <f>IF(H171="Completed","Completed",IF(ISBLANK(O171),"",IF(O171&lt;0,"Overdue",IF(O171&lt;30,"At Risk","On Track"))))</f>
        <v/>
      </c>
      <c r="Q171" s="21" t="n"/>
      <c r="R171" s="26" t="n"/>
      <c r="S171" s="21" t="n"/>
      <c r="T171" s="26" t="n"/>
      <c r="U171" s="21" t="n"/>
      <c r="V171" s="21" t="n"/>
      <c r="W171" s="21" t="n"/>
      <c r="X171" s="21" t="n"/>
      <c r="Y171" s="21" t="n"/>
      <c r="Z171" s="25">
        <f>TODAY()</f>
        <v/>
      </c>
    </row>
    <row r="172">
      <c r="A172" s="20" t="inlineStr">
        <is>
          <t>REM-143</t>
        </is>
      </c>
      <c r="B172" s="21" t="n"/>
      <c r="C172" s="21" t="n"/>
      <c r="D172" s="21" t="n"/>
      <c r="E172" s="21" t="n"/>
      <c r="F172" s="21" t="n"/>
      <c r="G172" s="21" t="n"/>
      <c r="H172" s="21" t="n"/>
      <c r="I172" s="24" t="n"/>
      <c r="J172" s="21" t="n"/>
      <c r="K172" s="21" t="n"/>
      <c r="L172" s="21" t="n"/>
      <c r="M172" s="21" t="n"/>
      <c r="N172" s="21" t="n"/>
      <c r="O172" s="25">
        <f>IF(H172="Completed",0,IF(ISBLANK(M172),"",M172-TODAY()))</f>
        <v/>
      </c>
      <c r="P172" s="25">
        <f>IF(H172="Completed","Completed",IF(ISBLANK(O172),"",IF(O172&lt;0,"Overdue",IF(O172&lt;30,"At Risk","On Track"))))</f>
        <v/>
      </c>
      <c r="Q172" s="21" t="n"/>
      <c r="R172" s="26" t="n"/>
      <c r="S172" s="21" t="n"/>
      <c r="T172" s="26" t="n"/>
      <c r="U172" s="21" t="n"/>
      <c r="V172" s="21" t="n"/>
      <c r="W172" s="21" t="n"/>
      <c r="X172" s="21" t="n"/>
      <c r="Y172" s="21" t="n"/>
      <c r="Z172" s="25">
        <f>TODAY()</f>
        <v/>
      </c>
    </row>
    <row r="173">
      <c r="A173" s="20" t="inlineStr">
        <is>
          <t>REM-144</t>
        </is>
      </c>
      <c r="B173" s="21" t="n"/>
      <c r="C173" s="21" t="n"/>
      <c r="D173" s="21" t="n"/>
      <c r="E173" s="21" t="n"/>
      <c r="F173" s="21" t="n"/>
      <c r="G173" s="21" t="n"/>
      <c r="H173" s="21" t="n"/>
      <c r="I173" s="24" t="n"/>
      <c r="J173" s="21" t="n"/>
      <c r="K173" s="21" t="n"/>
      <c r="L173" s="21" t="n"/>
      <c r="M173" s="21" t="n"/>
      <c r="N173" s="21" t="n"/>
      <c r="O173" s="25">
        <f>IF(H173="Completed",0,IF(ISBLANK(M173),"",M173-TODAY()))</f>
        <v/>
      </c>
      <c r="P173" s="25">
        <f>IF(H173="Completed","Completed",IF(ISBLANK(O173),"",IF(O173&lt;0,"Overdue",IF(O173&lt;30,"At Risk","On Track"))))</f>
        <v/>
      </c>
      <c r="Q173" s="21" t="n"/>
      <c r="R173" s="26" t="n"/>
      <c r="S173" s="21" t="n"/>
      <c r="T173" s="26" t="n"/>
      <c r="U173" s="21" t="n"/>
      <c r="V173" s="21" t="n"/>
      <c r="W173" s="21" t="n"/>
      <c r="X173" s="21" t="n"/>
      <c r="Y173" s="21" t="n"/>
      <c r="Z173" s="25">
        <f>TODAY()</f>
        <v/>
      </c>
    </row>
    <row r="174">
      <c r="A174" s="20" t="inlineStr">
        <is>
          <t>REM-145</t>
        </is>
      </c>
      <c r="B174" s="21" t="n"/>
      <c r="C174" s="21" t="n"/>
      <c r="D174" s="21" t="n"/>
      <c r="E174" s="21" t="n"/>
      <c r="F174" s="21" t="n"/>
      <c r="G174" s="21" t="n"/>
      <c r="H174" s="21" t="n"/>
      <c r="I174" s="24" t="n"/>
      <c r="J174" s="21" t="n"/>
      <c r="K174" s="21" t="n"/>
      <c r="L174" s="21" t="n"/>
      <c r="M174" s="21" t="n"/>
      <c r="N174" s="21" t="n"/>
      <c r="O174" s="25">
        <f>IF(H174="Completed",0,IF(ISBLANK(M174),"",M174-TODAY()))</f>
        <v/>
      </c>
      <c r="P174" s="25">
        <f>IF(H174="Completed","Completed",IF(ISBLANK(O174),"",IF(O174&lt;0,"Overdue",IF(O174&lt;30,"At Risk","On Track"))))</f>
        <v/>
      </c>
      <c r="Q174" s="21" t="n"/>
      <c r="R174" s="26" t="n"/>
      <c r="S174" s="21" t="n"/>
      <c r="T174" s="26" t="n"/>
      <c r="U174" s="21" t="n"/>
      <c r="V174" s="21" t="n"/>
      <c r="W174" s="21" t="n"/>
      <c r="X174" s="21" t="n"/>
      <c r="Y174" s="21" t="n"/>
      <c r="Z174" s="25">
        <f>TODAY()</f>
        <v/>
      </c>
    </row>
    <row r="175">
      <c r="A175" s="20" t="inlineStr">
        <is>
          <t>REM-146</t>
        </is>
      </c>
      <c r="B175" s="21" t="n"/>
      <c r="C175" s="21" t="n"/>
      <c r="D175" s="21" t="n"/>
      <c r="E175" s="21" t="n"/>
      <c r="F175" s="21" t="n"/>
      <c r="G175" s="21" t="n"/>
      <c r="H175" s="21" t="n"/>
      <c r="I175" s="24" t="n"/>
      <c r="J175" s="21" t="n"/>
      <c r="K175" s="21" t="n"/>
      <c r="L175" s="21" t="n"/>
      <c r="M175" s="21" t="n"/>
      <c r="N175" s="21" t="n"/>
      <c r="O175" s="25">
        <f>IF(H175="Completed",0,IF(ISBLANK(M175),"",M175-TODAY()))</f>
        <v/>
      </c>
      <c r="P175" s="25">
        <f>IF(H175="Completed","Completed",IF(ISBLANK(O175),"",IF(O175&lt;0,"Overdue",IF(O175&lt;30,"At Risk","On Track"))))</f>
        <v/>
      </c>
      <c r="Q175" s="21" t="n"/>
      <c r="R175" s="26" t="n"/>
      <c r="S175" s="21" t="n"/>
      <c r="T175" s="26" t="n"/>
      <c r="U175" s="21" t="n"/>
      <c r="V175" s="21" t="n"/>
      <c r="W175" s="21" t="n"/>
      <c r="X175" s="21" t="n"/>
      <c r="Y175" s="21" t="n"/>
      <c r="Z175" s="25">
        <f>TODAY()</f>
        <v/>
      </c>
    </row>
    <row r="176">
      <c r="A176" s="20" t="inlineStr">
        <is>
          <t>REM-147</t>
        </is>
      </c>
      <c r="B176" s="21" t="n"/>
      <c r="C176" s="21" t="n"/>
      <c r="D176" s="21" t="n"/>
      <c r="E176" s="21" t="n"/>
      <c r="F176" s="21" t="n"/>
      <c r="G176" s="21" t="n"/>
      <c r="H176" s="21" t="n"/>
      <c r="I176" s="24" t="n"/>
      <c r="J176" s="21" t="n"/>
      <c r="K176" s="21" t="n"/>
      <c r="L176" s="21" t="n"/>
      <c r="M176" s="21" t="n"/>
      <c r="N176" s="21" t="n"/>
      <c r="O176" s="25">
        <f>IF(H176="Completed",0,IF(ISBLANK(M176),"",M176-TODAY()))</f>
        <v/>
      </c>
      <c r="P176" s="25">
        <f>IF(H176="Completed","Completed",IF(ISBLANK(O176),"",IF(O176&lt;0,"Overdue",IF(O176&lt;30,"At Risk","On Track"))))</f>
        <v/>
      </c>
      <c r="Q176" s="21" t="n"/>
      <c r="R176" s="26" t="n"/>
      <c r="S176" s="21" t="n"/>
      <c r="T176" s="26" t="n"/>
      <c r="U176" s="21" t="n"/>
      <c r="V176" s="21" t="n"/>
      <c r="W176" s="21" t="n"/>
      <c r="X176" s="21" t="n"/>
      <c r="Y176" s="21" t="n"/>
      <c r="Z176" s="25">
        <f>TODAY()</f>
        <v/>
      </c>
    </row>
    <row r="177">
      <c r="A177" s="20" t="inlineStr">
        <is>
          <t>REM-148</t>
        </is>
      </c>
      <c r="B177" s="21" t="n"/>
      <c r="C177" s="21" t="n"/>
      <c r="D177" s="21" t="n"/>
      <c r="E177" s="21" t="n"/>
      <c r="F177" s="21" t="n"/>
      <c r="G177" s="21" t="n"/>
      <c r="H177" s="21" t="n"/>
      <c r="I177" s="24" t="n"/>
      <c r="J177" s="21" t="n"/>
      <c r="K177" s="21" t="n"/>
      <c r="L177" s="21" t="n"/>
      <c r="M177" s="21" t="n"/>
      <c r="N177" s="21" t="n"/>
      <c r="O177" s="25">
        <f>IF(H177="Completed",0,IF(ISBLANK(M177),"",M177-TODAY()))</f>
        <v/>
      </c>
      <c r="P177" s="25">
        <f>IF(H177="Completed","Completed",IF(ISBLANK(O177),"",IF(O177&lt;0,"Overdue",IF(O177&lt;30,"At Risk","On Track"))))</f>
        <v/>
      </c>
      <c r="Q177" s="21" t="n"/>
      <c r="R177" s="26" t="n"/>
      <c r="S177" s="21" t="n"/>
      <c r="T177" s="26" t="n"/>
      <c r="U177" s="21" t="n"/>
      <c r="V177" s="21" t="n"/>
      <c r="W177" s="21" t="n"/>
      <c r="X177" s="21" t="n"/>
      <c r="Y177" s="21" t="n"/>
      <c r="Z177" s="25">
        <f>TODAY()</f>
        <v/>
      </c>
    </row>
    <row r="178">
      <c r="A178" s="20" t="inlineStr">
        <is>
          <t>REM-149</t>
        </is>
      </c>
      <c r="B178" s="21" t="n"/>
      <c r="C178" s="21" t="n"/>
      <c r="D178" s="21" t="n"/>
      <c r="E178" s="21" t="n"/>
      <c r="F178" s="21" t="n"/>
      <c r="G178" s="21" t="n"/>
      <c r="H178" s="21" t="n"/>
      <c r="I178" s="24" t="n"/>
      <c r="J178" s="21" t="n"/>
      <c r="K178" s="21" t="n"/>
      <c r="L178" s="21" t="n"/>
      <c r="M178" s="21" t="n"/>
      <c r="N178" s="21" t="n"/>
      <c r="O178" s="25">
        <f>IF(H178="Completed",0,IF(ISBLANK(M178),"",M178-TODAY()))</f>
        <v/>
      </c>
      <c r="P178" s="25">
        <f>IF(H178="Completed","Completed",IF(ISBLANK(O178),"",IF(O178&lt;0,"Overdue",IF(O178&lt;30,"At Risk","On Track"))))</f>
        <v/>
      </c>
      <c r="Q178" s="21" t="n"/>
      <c r="R178" s="26" t="n"/>
      <c r="S178" s="21" t="n"/>
      <c r="T178" s="26" t="n"/>
      <c r="U178" s="21" t="n"/>
      <c r="V178" s="21" t="n"/>
      <c r="W178" s="21" t="n"/>
      <c r="X178" s="21" t="n"/>
      <c r="Y178" s="21" t="n"/>
      <c r="Z178" s="25">
        <f>TODAY()</f>
        <v/>
      </c>
    </row>
    <row r="179">
      <c r="A179" s="20" t="inlineStr">
        <is>
          <t>REM-150</t>
        </is>
      </c>
      <c r="B179" s="21" t="n"/>
      <c r="C179" s="21" t="n"/>
      <c r="D179" s="21" t="n"/>
      <c r="E179" s="21" t="n"/>
      <c r="F179" s="21" t="n"/>
      <c r="G179" s="21" t="n"/>
      <c r="H179" s="21" t="n"/>
      <c r="I179" s="24" t="n"/>
      <c r="J179" s="21" t="n"/>
      <c r="K179" s="21" t="n"/>
      <c r="L179" s="21" t="n"/>
      <c r="M179" s="21" t="n"/>
      <c r="N179" s="21" t="n"/>
      <c r="O179" s="25">
        <f>IF(H179="Completed",0,IF(ISBLANK(M179),"",M179-TODAY()))</f>
        <v/>
      </c>
      <c r="P179" s="25">
        <f>IF(H179="Completed","Completed",IF(ISBLANK(O179),"",IF(O179&lt;0,"Overdue",IF(O179&lt;30,"At Risk","On Track"))))</f>
        <v/>
      </c>
      <c r="Q179" s="21" t="n"/>
      <c r="R179" s="26" t="n"/>
      <c r="S179" s="21" t="n"/>
      <c r="T179" s="26" t="n"/>
      <c r="U179" s="21" t="n"/>
      <c r="V179" s="21" t="n"/>
      <c r="W179" s="21" t="n"/>
      <c r="X179" s="21" t="n"/>
      <c r="Y179" s="21" t="n"/>
      <c r="Z179" s="25">
        <f>TODAY()</f>
        <v/>
      </c>
    </row>
    <row r="180">
      <c r="A180" s="20" t="inlineStr">
        <is>
          <t>REM-151</t>
        </is>
      </c>
      <c r="B180" s="21" t="n"/>
      <c r="C180" s="21" t="n"/>
      <c r="D180" s="21" t="n"/>
      <c r="E180" s="21" t="n"/>
      <c r="F180" s="21" t="n"/>
      <c r="G180" s="21" t="n"/>
      <c r="H180" s="21" t="n"/>
      <c r="I180" s="24" t="n"/>
      <c r="J180" s="21" t="n"/>
      <c r="K180" s="21" t="n"/>
      <c r="L180" s="21" t="n"/>
      <c r="M180" s="21" t="n"/>
      <c r="N180" s="21" t="n"/>
      <c r="O180" s="25">
        <f>IF(H180="Completed",0,IF(ISBLANK(M180),"",M180-TODAY()))</f>
        <v/>
      </c>
      <c r="P180" s="25">
        <f>IF(H180="Completed","Completed",IF(ISBLANK(O180),"",IF(O180&lt;0,"Overdue",IF(O180&lt;30,"At Risk","On Track"))))</f>
        <v/>
      </c>
      <c r="Q180" s="21" t="n"/>
      <c r="R180" s="26" t="n"/>
      <c r="S180" s="21" t="n"/>
      <c r="T180" s="26" t="n"/>
      <c r="U180" s="21" t="n"/>
      <c r="V180" s="21" t="n"/>
      <c r="W180" s="21" t="n"/>
      <c r="X180" s="21" t="n"/>
      <c r="Y180" s="21" t="n"/>
      <c r="Z180" s="25">
        <f>TODAY()</f>
        <v/>
      </c>
    </row>
    <row r="181">
      <c r="A181" s="20" t="inlineStr">
        <is>
          <t>REM-152</t>
        </is>
      </c>
      <c r="B181" s="21" t="n"/>
      <c r="C181" s="21" t="n"/>
      <c r="D181" s="21" t="n"/>
      <c r="E181" s="21" t="n"/>
      <c r="F181" s="21" t="n"/>
      <c r="G181" s="21" t="n"/>
      <c r="H181" s="21" t="n"/>
      <c r="I181" s="24" t="n"/>
      <c r="J181" s="21" t="n"/>
      <c r="K181" s="21" t="n"/>
      <c r="L181" s="21" t="n"/>
      <c r="M181" s="21" t="n"/>
      <c r="N181" s="21" t="n"/>
      <c r="O181" s="25">
        <f>IF(H181="Completed",0,IF(ISBLANK(M181),"",M181-TODAY()))</f>
        <v/>
      </c>
      <c r="P181" s="25">
        <f>IF(H181="Completed","Completed",IF(ISBLANK(O181),"",IF(O181&lt;0,"Overdue",IF(O181&lt;30,"At Risk","On Track"))))</f>
        <v/>
      </c>
      <c r="Q181" s="21" t="n"/>
      <c r="R181" s="26" t="n"/>
      <c r="S181" s="21" t="n"/>
      <c r="T181" s="26" t="n"/>
      <c r="U181" s="21" t="n"/>
      <c r="V181" s="21" t="n"/>
      <c r="W181" s="21" t="n"/>
      <c r="X181" s="21" t="n"/>
      <c r="Y181" s="21" t="n"/>
      <c r="Z181" s="25">
        <f>TODAY()</f>
        <v/>
      </c>
    </row>
    <row r="182">
      <c r="A182" s="20" t="inlineStr">
        <is>
          <t>REM-153</t>
        </is>
      </c>
      <c r="B182" s="21" t="n"/>
      <c r="C182" s="21" t="n"/>
      <c r="D182" s="21" t="n"/>
      <c r="E182" s="21" t="n"/>
      <c r="F182" s="21" t="n"/>
      <c r="G182" s="21" t="n"/>
      <c r="H182" s="21" t="n"/>
      <c r="I182" s="24" t="n"/>
      <c r="J182" s="21" t="n"/>
      <c r="K182" s="21" t="n"/>
      <c r="L182" s="21" t="n"/>
      <c r="M182" s="21" t="n"/>
      <c r="N182" s="21" t="n"/>
      <c r="O182" s="25">
        <f>IF(H182="Completed",0,IF(ISBLANK(M182),"",M182-TODAY()))</f>
        <v/>
      </c>
      <c r="P182" s="25">
        <f>IF(H182="Completed","Completed",IF(ISBLANK(O182),"",IF(O182&lt;0,"Overdue",IF(O182&lt;30,"At Risk","On Track"))))</f>
        <v/>
      </c>
      <c r="Q182" s="21" t="n"/>
      <c r="R182" s="26" t="n"/>
      <c r="S182" s="21" t="n"/>
      <c r="T182" s="26" t="n"/>
      <c r="U182" s="21" t="n"/>
      <c r="V182" s="21" t="n"/>
      <c r="W182" s="21" t="n"/>
      <c r="X182" s="21" t="n"/>
      <c r="Y182" s="21" t="n"/>
      <c r="Z182" s="25">
        <f>TODAY()</f>
        <v/>
      </c>
    </row>
    <row r="183">
      <c r="A183" s="20" t="inlineStr">
        <is>
          <t>REM-154</t>
        </is>
      </c>
      <c r="B183" s="21" t="n"/>
      <c r="C183" s="21" t="n"/>
      <c r="D183" s="21" t="n"/>
      <c r="E183" s="21" t="n"/>
      <c r="F183" s="21" t="n"/>
      <c r="G183" s="21" t="n"/>
      <c r="H183" s="21" t="n"/>
      <c r="I183" s="24" t="n"/>
      <c r="J183" s="21" t="n"/>
      <c r="K183" s="21" t="n"/>
      <c r="L183" s="21" t="n"/>
      <c r="M183" s="21" t="n"/>
      <c r="N183" s="21" t="n"/>
      <c r="O183" s="25">
        <f>IF(H183="Completed",0,IF(ISBLANK(M183),"",M183-TODAY()))</f>
        <v/>
      </c>
      <c r="P183" s="25">
        <f>IF(H183="Completed","Completed",IF(ISBLANK(O183),"",IF(O183&lt;0,"Overdue",IF(O183&lt;30,"At Risk","On Track"))))</f>
        <v/>
      </c>
      <c r="Q183" s="21" t="n"/>
      <c r="R183" s="26" t="n"/>
      <c r="S183" s="21" t="n"/>
      <c r="T183" s="26" t="n"/>
      <c r="U183" s="21" t="n"/>
      <c r="V183" s="21" t="n"/>
      <c r="W183" s="21" t="n"/>
      <c r="X183" s="21" t="n"/>
      <c r="Y183" s="21" t="n"/>
      <c r="Z183" s="25">
        <f>TODAY()</f>
        <v/>
      </c>
    </row>
    <row r="184">
      <c r="A184" s="20" t="inlineStr">
        <is>
          <t>REM-155</t>
        </is>
      </c>
      <c r="B184" s="21" t="n"/>
      <c r="C184" s="21" t="n"/>
      <c r="D184" s="21" t="n"/>
      <c r="E184" s="21" t="n"/>
      <c r="F184" s="21" t="n"/>
      <c r="G184" s="21" t="n"/>
      <c r="H184" s="21" t="n"/>
      <c r="I184" s="24" t="n"/>
      <c r="J184" s="21" t="n"/>
      <c r="K184" s="21" t="n"/>
      <c r="L184" s="21" t="n"/>
      <c r="M184" s="21" t="n"/>
      <c r="N184" s="21" t="n"/>
      <c r="O184" s="25">
        <f>IF(H184="Completed",0,IF(ISBLANK(M184),"",M184-TODAY()))</f>
        <v/>
      </c>
      <c r="P184" s="25">
        <f>IF(H184="Completed","Completed",IF(ISBLANK(O184),"",IF(O184&lt;0,"Overdue",IF(O184&lt;30,"At Risk","On Track"))))</f>
        <v/>
      </c>
      <c r="Q184" s="21" t="n"/>
      <c r="R184" s="26" t="n"/>
      <c r="S184" s="21" t="n"/>
      <c r="T184" s="26" t="n"/>
      <c r="U184" s="21" t="n"/>
      <c r="V184" s="21" t="n"/>
      <c r="W184" s="21" t="n"/>
      <c r="X184" s="21" t="n"/>
      <c r="Y184" s="21" t="n"/>
      <c r="Z184" s="25">
        <f>TODAY()</f>
        <v/>
      </c>
    </row>
    <row r="185">
      <c r="A185" s="20" t="inlineStr">
        <is>
          <t>REM-156</t>
        </is>
      </c>
      <c r="B185" s="21" t="n"/>
      <c r="C185" s="21" t="n"/>
      <c r="D185" s="21" t="n"/>
      <c r="E185" s="21" t="n"/>
      <c r="F185" s="21" t="n"/>
      <c r="G185" s="21" t="n"/>
      <c r="H185" s="21" t="n"/>
      <c r="I185" s="24" t="n"/>
      <c r="J185" s="21" t="n"/>
      <c r="K185" s="21" t="n"/>
      <c r="L185" s="21" t="n"/>
      <c r="M185" s="21" t="n"/>
      <c r="N185" s="21" t="n"/>
      <c r="O185" s="25">
        <f>IF(H185="Completed",0,IF(ISBLANK(M185),"",M185-TODAY()))</f>
        <v/>
      </c>
      <c r="P185" s="25">
        <f>IF(H185="Completed","Completed",IF(ISBLANK(O185),"",IF(O185&lt;0,"Overdue",IF(O185&lt;30,"At Risk","On Track"))))</f>
        <v/>
      </c>
      <c r="Q185" s="21" t="n"/>
      <c r="R185" s="26" t="n"/>
      <c r="S185" s="21" t="n"/>
      <c r="T185" s="26" t="n"/>
      <c r="U185" s="21" t="n"/>
      <c r="V185" s="21" t="n"/>
      <c r="W185" s="21" t="n"/>
      <c r="X185" s="21" t="n"/>
      <c r="Y185" s="21" t="n"/>
      <c r="Z185" s="25">
        <f>TODAY()</f>
        <v/>
      </c>
    </row>
    <row r="186">
      <c r="A186" s="20" t="inlineStr">
        <is>
          <t>REM-157</t>
        </is>
      </c>
      <c r="B186" s="21" t="n"/>
      <c r="C186" s="21" t="n"/>
      <c r="D186" s="21" t="n"/>
      <c r="E186" s="21" t="n"/>
      <c r="F186" s="21" t="n"/>
      <c r="G186" s="21" t="n"/>
      <c r="H186" s="21" t="n"/>
      <c r="I186" s="24" t="n"/>
      <c r="J186" s="21" t="n"/>
      <c r="K186" s="21" t="n"/>
      <c r="L186" s="21" t="n"/>
      <c r="M186" s="21" t="n"/>
      <c r="N186" s="21" t="n"/>
      <c r="O186" s="25">
        <f>IF(H186="Completed",0,IF(ISBLANK(M186),"",M186-TODAY()))</f>
        <v/>
      </c>
      <c r="P186" s="25">
        <f>IF(H186="Completed","Completed",IF(ISBLANK(O186),"",IF(O186&lt;0,"Overdue",IF(O186&lt;30,"At Risk","On Track"))))</f>
        <v/>
      </c>
      <c r="Q186" s="21" t="n"/>
      <c r="R186" s="26" t="n"/>
      <c r="S186" s="21" t="n"/>
      <c r="T186" s="26" t="n"/>
      <c r="U186" s="21" t="n"/>
      <c r="V186" s="21" t="n"/>
      <c r="W186" s="21" t="n"/>
      <c r="X186" s="21" t="n"/>
      <c r="Y186" s="21" t="n"/>
      <c r="Z186" s="25">
        <f>TODAY()</f>
        <v/>
      </c>
    </row>
    <row r="187">
      <c r="A187" s="20" t="inlineStr">
        <is>
          <t>REM-158</t>
        </is>
      </c>
      <c r="B187" s="21" t="n"/>
      <c r="C187" s="21" t="n"/>
      <c r="D187" s="21" t="n"/>
      <c r="E187" s="21" t="n"/>
      <c r="F187" s="21" t="n"/>
      <c r="G187" s="21" t="n"/>
      <c r="H187" s="21" t="n"/>
      <c r="I187" s="24" t="n"/>
      <c r="J187" s="21" t="n"/>
      <c r="K187" s="21" t="n"/>
      <c r="L187" s="21" t="n"/>
      <c r="M187" s="21" t="n"/>
      <c r="N187" s="21" t="n"/>
      <c r="O187" s="25">
        <f>IF(H187="Completed",0,IF(ISBLANK(M187),"",M187-TODAY()))</f>
        <v/>
      </c>
      <c r="P187" s="25">
        <f>IF(H187="Completed","Completed",IF(ISBLANK(O187),"",IF(O187&lt;0,"Overdue",IF(O187&lt;30,"At Risk","On Track"))))</f>
        <v/>
      </c>
      <c r="Q187" s="21" t="n"/>
      <c r="R187" s="26" t="n"/>
      <c r="S187" s="21" t="n"/>
      <c r="T187" s="26" t="n"/>
      <c r="U187" s="21" t="n"/>
      <c r="V187" s="21" t="n"/>
      <c r="W187" s="21" t="n"/>
      <c r="X187" s="21" t="n"/>
      <c r="Y187" s="21" t="n"/>
      <c r="Z187" s="25">
        <f>TODAY()</f>
        <v/>
      </c>
    </row>
    <row r="188">
      <c r="A188" s="20" t="inlineStr">
        <is>
          <t>REM-159</t>
        </is>
      </c>
      <c r="B188" s="21" t="n"/>
      <c r="C188" s="21" t="n"/>
      <c r="D188" s="21" t="n"/>
      <c r="E188" s="21" t="n"/>
      <c r="F188" s="21" t="n"/>
      <c r="G188" s="21" t="n"/>
      <c r="H188" s="21" t="n"/>
      <c r="I188" s="24" t="n"/>
      <c r="J188" s="21" t="n"/>
      <c r="K188" s="21" t="n"/>
      <c r="L188" s="21" t="n"/>
      <c r="M188" s="21" t="n"/>
      <c r="N188" s="21" t="n"/>
      <c r="O188" s="25">
        <f>IF(H188="Completed",0,IF(ISBLANK(M188),"",M188-TODAY()))</f>
        <v/>
      </c>
      <c r="P188" s="25">
        <f>IF(H188="Completed","Completed",IF(ISBLANK(O188),"",IF(O188&lt;0,"Overdue",IF(O188&lt;30,"At Risk","On Track"))))</f>
        <v/>
      </c>
      <c r="Q188" s="21" t="n"/>
      <c r="R188" s="26" t="n"/>
      <c r="S188" s="21" t="n"/>
      <c r="T188" s="26" t="n"/>
      <c r="U188" s="21" t="n"/>
      <c r="V188" s="21" t="n"/>
      <c r="W188" s="21" t="n"/>
      <c r="X188" s="21" t="n"/>
      <c r="Y188" s="21" t="n"/>
      <c r="Z188" s="25">
        <f>TODAY()</f>
        <v/>
      </c>
    </row>
    <row r="189">
      <c r="A189" s="20" t="inlineStr">
        <is>
          <t>REM-160</t>
        </is>
      </c>
      <c r="B189" s="21" t="n"/>
      <c r="C189" s="21" t="n"/>
      <c r="D189" s="21" t="n"/>
      <c r="E189" s="21" t="n"/>
      <c r="F189" s="21" t="n"/>
      <c r="G189" s="21" t="n"/>
      <c r="H189" s="21" t="n"/>
      <c r="I189" s="24" t="n"/>
      <c r="J189" s="21" t="n"/>
      <c r="K189" s="21" t="n"/>
      <c r="L189" s="21" t="n"/>
      <c r="M189" s="21" t="n"/>
      <c r="N189" s="21" t="n"/>
      <c r="O189" s="25">
        <f>IF(H189="Completed",0,IF(ISBLANK(M189),"",M189-TODAY()))</f>
        <v/>
      </c>
      <c r="P189" s="25">
        <f>IF(H189="Completed","Completed",IF(ISBLANK(O189),"",IF(O189&lt;0,"Overdue",IF(O189&lt;30,"At Risk","On Track"))))</f>
        <v/>
      </c>
      <c r="Q189" s="21" t="n"/>
      <c r="R189" s="26" t="n"/>
      <c r="S189" s="21" t="n"/>
      <c r="T189" s="26" t="n"/>
      <c r="U189" s="21" t="n"/>
      <c r="V189" s="21" t="n"/>
      <c r="W189" s="21" t="n"/>
      <c r="X189" s="21" t="n"/>
      <c r="Y189" s="21" t="n"/>
      <c r="Z189" s="25">
        <f>TODAY()</f>
        <v/>
      </c>
    </row>
    <row r="190">
      <c r="A190" s="20" t="inlineStr">
        <is>
          <t>REM-161</t>
        </is>
      </c>
      <c r="B190" s="21" t="n"/>
      <c r="C190" s="21" t="n"/>
      <c r="D190" s="21" t="n"/>
      <c r="E190" s="21" t="n"/>
      <c r="F190" s="21" t="n"/>
      <c r="G190" s="21" t="n"/>
      <c r="H190" s="21" t="n"/>
      <c r="I190" s="24" t="n"/>
      <c r="J190" s="21" t="n"/>
      <c r="K190" s="21" t="n"/>
      <c r="L190" s="21" t="n"/>
      <c r="M190" s="21" t="n"/>
      <c r="N190" s="21" t="n"/>
      <c r="O190" s="25">
        <f>IF(H190="Completed",0,IF(ISBLANK(M190),"",M190-TODAY()))</f>
        <v/>
      </c>
      <c r="P190" s="25">
        <f>IF(H190="Completed","Completed",IF(ISBLANK(O190),"",IF(O190&lt;0,"Overdue",IF(O190&lt;30,"At Risk","On Track"))))</f>
        <v/>
      </c>
      <c r="Q190" s="21" t="n"/>
      <c r="R190" s="26" t="n"/>
      <c r="S190" s="21" t="n"/>
      <c r="T190" s="26" t="n"/>
      <c r="U190" s="21" t="n"/>
      <c r="V190" s="21" t="n"/>
      <c r="W190" s="21" t="n"/>
      <c r="X190" s="21" t="n"/>
      <c r="Y190" s="21" t="n"/>
      <c r="Z190" s="25">
        <f>TODAY()</f>
        <v/>
      </c>
    </row>
    <row r="191">
      <c r="A191" s="20" t="inlineStr">
        <is>
          <t>REM-162</t>
        </is>
      </c>
      <c r="B191" s="21" t="n"/>
      <c r="C191" s="21" t="n"/>
      <c r="D191" s="21" t="n"/>
      <c r="E191" s="21" t="n"/>
      <c r="F191" s="21" t="n"/>
      <c r="G191" s="21" t="n"/>
      <c r="H191" s="21" t="n"/>
      <c r="I191" s="24" t="n"/>
      <c r="J191" s="21" t="n"/>
      <c r="K191" s="21" t="n"/>
      <c r="L191" s="21" t="n"/>
      <c r="M191" s="21" t="n"/>
      <c r="N191" s="21" t="n"/>
      <c r="O191" s="25">
        <f>IF(H191="Completed",0,IF(ISBLANK(M191),"",M191-TODAY()))</f>
        <v/>
      </c>
      <c r="P191" s="25">
        <f>IF(H191="Completed","Completed",IF(ISBLANK(O191),"",IF(O191&lt;0,"Overdue",IF(O191&lt;30,"At Risk","On Track"))))</f>
        <v/>
      </c>
      <c r="Q191" s="21" t="n"/>
      <c r="R191" s="26" t="n"/>
      <c r="S191" s="21" t="n"/>
      <c r="T191" s="26" t="n"/>
      <c r="U191" s="21" t="n"/>
      <c r="V191" s="21" t="n"/>
      <c r="W191" s="21" t="n"/>
      <c r="X191" s="21" t="n"/>
      <c r="Y191" s="21" t="n"/>
      <c r="Z191" s="25">
        <f>TODAY()</f>
        <v/>
      </c>
    </row>
    <row r="192">
      <c r="A192" s="20" t="inlineStr">
        <is>
          <t>REM-163</t>
        </is>
      </c>
      <c r="B192" s="21" t="n"/>
      <c r="C192" s="21" t="n"/>
      <c r="D192" s="21" t="n"/>
      <c r="E192" s="21" t="n"/>
      <c r="F192" s="21" t="n"/>
      <c r="G192" s="21" t="n"/>
      <c r="H192" s="21" t="n"/>
      <c r="I192" s="24" t="n"/>
      <c r="J192" s="21" t="n"/>
      <c r="K192" s="21" t="n"/>
      <c r="L192" s="21" t="n"/>
      <c r="M192" s="21" t="n"/>
      <c r="N192" s="21" t="n"/>
      <c r="O192" s="25">
        <f>IF(H192="Completed",0,IF(ISBLANK(M192),"",M192-TODAY()))</f>
        <v/>
      </c>
      <c r="P192" s="25">
        <f>IF(H192="Completed","Completed",IF(ISBLANK(O192),"",IF(O192&lt;0,"Overdue",IF(O192&lt;30,"At Risk","On Track"))))</f>
        <v/>
      </c>
      <c r="Q192" s="21" t="n"/>
      <c r="R192" s="26" t="n"/>
      <c r="S192" s="21" t="n"/>
      <c r="T192" s="26" t="n"/>
      <c r="U192" s="21" t="n"/>
      <c r="V192" s="21" t="n"/>
      <c r="W192" s="21" t="n"/>
      <c r="X192" s="21" t="n"/>
      <c r="Y192" s="21" t="n"/>
      <c r="Z192" s="25">
        <f>TODAY()</f>
        <v/>
      </c>
    </row>
    <row r="193">
      <c r="A193" s="20" t="inlineStr">
        <is>
          <t>REM-164</t>
        </is>
      </c>
      <c r="B193" s="21" t="n"/>
      <c r="C193" s="21" t="n"/>
      <c r="D193" s="21" t="n"/>
      <c r="E193" s="21" t="n"/>
      <c r="F193" s="21" t="n"/>
      <c r="G193" s="21" t="n"/>
      <c r="H193" s="21" t="n"/>
      <c r="I193" s="24" t="n"/>
      <c r="J193" s="21" t="n"/>
      <c r="K193" s="21" t="n"/>
      <c r="L193" s="21" t="n"/>
      <c r="M193" s="21" t="n"/>
      <c r="N193" s="21" t="n"/>
      <c r="O193" s="25">
        <f>IF(H193="Completed",0,IF(ISBLANK(M193),"",M193-TODAY()))</f>
        <v/>
      </c>
      <c r="P193" s="25">
        <f>IF(H193="Completed","Completed",IF(ISBLANK(O193),"",IF(O193&lt;0,"Overdue",IF(O193&lt;30,"At Risk","On Track"))))</f>
        <v/>
      </c>
      <c r="Q193" s="21" t="n"/>
      <c r="R193" s="26" t="n"/>
      <c r="S193" s="21" t="n"/>
      <c r="T193" s="26" t="n"/>
      <c r="U193" s="21" t="n"/>
      <c r="V193" s="21" t="n"/>
      <c r="W193" s="21" t="n"/>
      <c r="X193" s="21" t="n"/>
      <c r="Y193" s="21" t="n"/>
      <c r="Z193" s="25">
        <f>TODAY()</f>
        <v/>
      </c>
    </row>
    <row r="194">
      <c r="A194" s="20" t="inlineStr">
        <is>
          <t>REM-165</t>
        </is>
      </c>
      <c r="B194" s="21" t="n"/>
      <c r="C194" s="21" t="n"/>
      <c r="D194" s="21" t="n"/>
      <c r="E194" s="21" t="n"/>
      <c r="F194" s="21" t="n"/>
      <c r="G194" s="21" t="n"/>
      <c r="H194" s="21" t="n"/>
      <c r="I194" s="24" t="n"/>
      <c r="J194" s="21" t="n"/>
      <c r="K194" s="21" t="n"/>
      <c r="L194" s="21" t="n"/>
      <c r="M194" s="21" t="n"/>
      <c r="N194" s="21" t="n"/>
      <c r="O194" s="25">
        <f>IF(H194="Completed",0,IF(ISBLANK(M194),"",M194-TODAY()))</f>
        <v/>
      </c>
      <c r="P194" s="25">
        <f>IF(H194="Completed","Completed",IF(ISBLANK(O194),"",IF(O194&lt;0,"Overdue",IF(O194&lt;30,"At Risk","On Track"))))</f>
        <v/>
      </c>
      <c r="Q194" s="21" t="n"/>
      <c r="R194" s="26" t="n"/>
      <c r="S194" s="21" t="n"/>
      <c r="T194" s="26" t="n"/>
      <c r="U194" s="21" t="n"/>
      <c r="V194" s="21" t="n"/>
      <c r="W194" s="21" t="n"/>
      <c r="X194" s="21" t="n"/>
      <c r="Y194" s="21" t="n"/>
      <c r="Z194" s="25">
        <f>TODAY()</f>
        <v/>
      </c>
    </row>
    <row r="195">
      <c r="A195" s="20" t="inlineStr">
        <is>
          <t>REM-166</t>
        </is>
      </c>
      <c r="B195" s="21" t="n"/>
      <c r="C195" s="21" t="n"/>
      <c r="D195" s="21" t="n"/>
      <c r="E195" s="21" t="n"/>
      <c r="F195" s="21" t="n"/>
      <c r="G195" s="21" t="n"/>
      <c r="H195" s="21" t="n"/>
      <c r="I195" s="24" t="n"/>
      <c r="J195" s="21" t="n"/>
      <c r="K195" s="21" t="n"/>
      <c r="L195" s="21" t="n"/>
      <c r="M195" s="21" t="n"/>
      <c r="N195" s="21" t="n"/>
      <c r="O195" s="25">
        <f>IF(H195="Completed",0,IF(ISBLANK(M195),"",M195-TODAY()))</f>
        <v/>
      </c>
      <c r="P195" s="25">
        <f>IF(H195="Completed","Completed",IF(ISBLANK(O195),"",IF(O195&lt;0,"Overdue",IF(O195&lt;30,"At Risk","On Track"))))</f>
        <v/>
      </c>
      <c r="Q195" s="21" t="n"/>
      <c r="R195" s="26" t="n"/>
      <c r="S195" s="21" t="n"/>
      <c r="T195" s="26" t="n"/>
      <c r="U195" s="21" t="n"/>
      <c r="V195" s="21" t="n"/>
      <c r="W195" s="21" t="n"/>
      <c r="X195" s="21" t="n"/>
      <c r="Y195" s="21" t="n"/>
      <c r="Z195" s="25">
        <f>TODAY()</f>
        <v/>
      </c>
    </row>
    <row r="196">
      <c r="A196" s="20" t="inlineStr">
        <is>
          <t>REM-167</t>
        </is>
      </c>
      <c r="B196" s="21" t="n"/>
      <c r="C196" s="21" t="n"/>
      <c r="D196" s="21" t="n"/>
      <c r="E196" s="21" t="n"/>
      <c r="F196" s="21" t="n"/>
      <c r="G196" s="21" t="n"/>
      <c r="H196" s="21" t="n"/>
      <c r="I196" s="24" t="n"/>
      <c r="J196" s="21" t="n"/>
      <c r="K196" s="21" t="n"/>
      <c r="L196" s="21" t="n"/>
      <c r="M196" s="21" t="n"/>
      <c r="N196" s="21" t="n"/>
      <c r="O196" s="25">
        <f>IF(H196="Completed",0,IF(ISBLANK(M196),"",M196-TODAY()))</f>
        <v/>
      </c>
      <c r="P196" s="25">
        <f>IF(H196="Completed","Completed",IF(ISBLANK(O196),"",IF(O196&lt;0,"Overdue",IF(O196&lt;30,"At Risk","On Track"))))</f>
        <v/>
      </c>
      <c r="Q196" s="21" t="n"/>
      <c r="R196" s="26" t="n"/>
      <c r="S196" s="21" t="n"/>
      <c r="T196" s="26" t="n"/>
      <c r="U196" s="21" t="n"/>
      <c r="V196" s="21" t="n"/>
      <c r="W196" s="21" t="n"/>
      <c r="X196" s="21" t="n"/>
      <c r="Y196" s="21" t="n"/>
      <c r="Z196" s="25">
        <f>TODAY()</f>
        <v/>
      </c>
    </row>
    <row r="197">
      <c r="A197" s="20" t="inlineStr">
        <is>
          <t>REM-168</t>
        </is>
      </c>
      <c r="B197" s="21" t="n"/>
      <c r="C197" s="21" t="n"/>
      <c r="D197" s="21" t="n"/>
      <c r="E197" s="21" t="n"/>
      <c r="F197" s="21" t="n"/>
      <c r="G197" s="21" t="n"/>
      <c r="H197" s="21" t="n"/>
      <c r="I197" s="24" t="n"/>
      <c r="J197" s="21" t="n"/>
      <c r="K197" s="21" t="n"/>
      <c r="L197" s="21" t="n"/>
      <c r="M197" s="21" t="n"/>
      <c r="N197" s="21" t="n"/>
      <c r="O197" s="25">
        <f>IF(H197="Completed",0,IF(ISBLANK(M197),"",M197-TODAY()))</f>
        <v/>
      </c>
      <c r="P197" s="25">
        <f>IF(H197="Completed","Completed",IF(ISBLANK(O197),"",IF(O197&lt;0,"Overdue",IF(O197&lt;30,"At Risk","On Track"))))</f>
        <v/>
      </c>
      <c r="Q197" s="21" t="n"/>
      <c r="R197" s="26" t="n"/>
      <c r="S197" s="21" t="n"/>
      <c r="T197" s="26" t="n"/>
      <c r="U197" s="21" t="n"/>
      <c r="V197" s="21" t="n"/>
      <c r="W197" s="21" t="n"/>
      <c r="X197" s="21" t="n"/>
      <c r="Y197" s="21" t="n"/>
      <c r="Z197" s="25">
        <f>TODAY()</f>
        <v/>
      </c>
    </row>
    <row r="198">
      <c r="A198" s="20" t="inlineStr">
        <is>
          <t>REM-169</t>
        </is>
      </c>
      <c r="B198" s="21" t="n"/>
      <c r="C198" s="21" t="n"/>
      <c r="D198" s="21" t="n"/>
      <c r="E198" s="21" t="n"/>
      <c r="F198" s="21" t="n"/>
      <c r="G198" s="21" t="n"/>
      <c r="H198" s="21" t="n"/>
      <c r="I198" s="24" t="n"/>
      <c r="J198" s="21" t="n"/>
      <c r="K198" s="21" t="n"/>
      <c r="L198" s="21" t="n"/>
      <c r="M198" s="21" t="n"/>
      <c r="N198" s="21" t="n"/>
      <c r="O198" s="25">
        <f>IF(H198="Completed",0,IF(ISBLANK(M198),"",M198-TODAY()))</f>
        <v/>
      </c>
      <c r="P198" s="25">
        <f>IF(H198="Completed","Completed",IF(ISBLANK(O198),"",IF(O198&lt;0,"Overdue",IF(O198&lt;30,"At Risk","On Track"))))</f>
        <v/>
      </c>
      <c r="Q198" s="21" t="n"/>
      <c r="R198" s="26" t="n"/>
      <c r="S198" s="21" t="n"/>
      <c r="T198" s="26" t="n"/>
      <c r="U198" s="21" t="n"/>
      <c r="V198" s="21" t="n"/>
      <c r="W198" s="21" t="n"/>
      <c r="X198" s="21" t="n"/>
      <c r="Y198" s="21" t="n"/>
      <c r="Z198" s="25">
        <f>TODAY()</f>
        <v/>
      </c>
    </row>
    <row r="199">
      <c r="A199" s="20" t="inlineStr">
        <is>
          <t>REM-170</t>
        </is>
      </c>
      <c r="B199" s="21" t="n"/>
      <c r="C199" s="21" t="n"/>
      <c r="D199" s="21" t="n"/>
      <c r="E199" s="21" t="n"/>
      <c r="F199" s="21" t="n"/>
      <c r="G199" s="21" t="n"/>
      <c r="H199" s="21" t="n"/>
      <c r="I199" s="24" t="n"/>
      <c r="J199" s="21" t="n"/>
      <c r="K199" s="21" t="n"/>
      <c r="L199" s="21" t="n"/>
      <c r="M199" s="21" t="n"/>
      <c r="N199" s="21" t="n"/>
      <c r="O199" s="25">
        <f>IF(H199="Completed",0,IF(ISBLANK(M199),"",M199-TODAY()))</f>
        <v/>
      </c>
      <c r="P199" s="25">
        <f>IF(H199="Completed","Completed",IF(ISBLANK(O199),"",IF(O199&lt;0,"Overdue",IF(O199&lt;30,"At Risk","On Track"))))</f>
        <v/>
      </c>
      <c r="Q199" s="21" t="n"/>
      <c r="R199" s="26" t="n"/>
      <c r="S199" s="21" t="n"/>
      <c r="T199" s="26" t="n"/>
      <c r="U199" s="21" t="n"/>
      <c r="V199" s="21" t="n"/>
      <c r="W199" s="21" t="n"/>
      <c r="X199" s="21" t="n"/>
      <c r="Y199" s="21" t="n"/>
      <c r="Z199" s="25">
        <f>TODAY()</f>
        <v/>
      </c>
    </row>
    <row r="200">
      <c r="A200" s="20" t="inlineStr">
        <is>
          <t>REM-171</t>
        </is>
      </c>
      <c r="B200" s="21" t="n"/>
      <c r="C200" s="21" t="n"/>
      <c r="D200" s="21" t="n"/>
      <c r="E200" s="21" t="n"/>
      <c r="F200" s="21" t="n"/>
      <c r="G200" s="21" t="n"/>
      <c r="H200" s="21" t="n"/>
      <c r="I200" s="24" t="n"/>
      <c r="J200" s="21" t="n"/>
      <c r="K200" s="21" t="n"/>
      <c r="L200" s="21" t="n"/>
      <c r="M200" s="21" t="n"/>
      <c r="N200" s="21" t="n"/>
      <c r="O200" s="25">
        <f>IF(H200="Completed",0,IF(ISBLANK(M200),"",M200-TODAY()))</f>
        <v/>
      </c>
      <c r="P200" s="25">
        <f>IF(H200="Completed","Completed",IF(ISBLANK(O200),"",IF(O200&lt;0,"Overdue",IF(O200&lt;30,"At Risk","On Track"))))</f>
        <v/>
      </c>
      <c r="Q200" s="21" t="n"/>
      <c r="R200" s="26" t="n"/>
      <c r="S200" s="21" t="n"/>
      <c r="T200" s="26" t="n"/>
      <c r="U200" s="21" t="n"/>
      <c r="V200" s="21" t="n"/>
      <c r="W200" s="21" t="n"/>
      <c r="X200" s="21" t="n"/>
      <c r="Y200" s="21" t="n"/>
      <c r="Z200" s="25">
        <f>TODAY()</f>
        <v/>
      </c>
    </row>
    <row r="201">
      <c r="A201" s="20" t="inlineStr">
        <is>
          <t>REM-172</t>
        </is>
      </c>
      <c r="B201" s="21" t="n"/>
      <c r="C201" s="21" t="n"/>
      <c r="D201" s="21" t="n"/>
      <c r="E201" s="21" t="n"/>
      <c r="F201" s="21" t="n"/>
      <c r="G201" s="21" t="n"/>
      <c r="H201" s="21" t="n"/>
      <c r="I201" s="24" t="n"/>
      <c r="J201" s="21" t="n"/>
      <c r="K201" s="21" t="n"/>
      <c r="L201" s="21" t="n"/>
      <c r="M201" s="21" t="n"/>
      <c r="N201" s="21" t="n"/>
      <c r="O201" s="25">
        <f>IF(H201="Completed",0,IF(ISBLANK(M201),"",M201-TODAY()))</f>
        <v/>
      </c>
      <c r="P201" s="25">
        <f>IF(H201="Completed","Completed",IF(ISBLANK(O201),"",IF(O201&lt;0,"Overdue",IF(O201&lt;30,"At Risk","On Track"))))</f>
        <v/>
      </c>
      <c r="Q201" s="21" t="n"/>
      <c r="R201" s="26" t="n"/>
      <c r="S201" s="21" t="n"/>
      <c r="T201" s="26" t="n"/>
      <c r="U201" s="21" t="n"/>
      <c r="V201" s="21" t="n"/>
      <c r="W201" s="21" t="n"/>
      <c r="X201" s="21" t="n"/>
      <c r="Y201" s="21" t="n"/>
      <c r="Z201" s="25">
        <f>TODAY()</f>
        <v/>
      </c>
    </row>
    <row r="202">
      <c r="A202" s="20" t="inlineStr">
        <is>
          <t>REM-173</t>
        </is>
      </c>
      <c r="B202" s="21" t="n"/>
      <c r="C202" s="21" t="n"/>
      <c r="D202" s="21" t="n"/>
      <c r="E202" s="21" t="n"/>
      <c r="F202" s="21" t="n"/>
      <c r="G202" s="21" t="n"/>
      <c r="H202" s="21" t="n"/>
      <c r="I202" s="24" t="n"/>
      <c r="J202" s="21" t="n"/>
      <c r="K202" s="21" t="n"/>
      <c r="L202" s="21" t="n"/>
      <c r="M202" s="21" t="n"/>
      <c r="N202" s="21" t="n"/>
      <c r="O202" s="25">
        <f>IF(H202="Completed",0,IF(ISBLANK(M202),"",M202-TODAY()))</f>
        <v/>
      </c>
      <c r="P202" s="25">
        <f>IF(H202="Completed","Completed",IF(ISBLANK(O202),"",IF(O202&lt;0,"Overdue",IF(O202&lt;30,"At Risk","On Track"))))</f>
        <v/>
      </c>
      <c r="Q202" s="21" t="n"/>
      <c r="R202" s="26" t="n"/>
      <c r="S202" s="21" t="n"/>
      <c r="T202" s="26" t="n"/>
      <c r="U202" s="21" t="n"/>
      <c r="V202" s="21" t="n"/>
      <c r="W202" s="21" t="n"/>
      <c r="X202" s="21" t="n"/>
      <c r="Y202" s="21" t="n"/>
      <c r="Z202" s="25">
        <f>TODAY()</f>
        <v/>
      </c>
    </row>
    <row r="203">
      <c r="A203" s="20" t="inlineStr">
        <is>
          <t>REM-174</t>
        </is>
      </c>
      <c r="B203" s="21" t="n"/>
      <c r="C203" s="21" t="n"/>
      <c r="D203" s="21" t="n"/>
      <c r="E203" s="21" t="n"/>
      <c r="F203" s="21" t="n"/>
      <c r="G203" s="21" t="n"/>
      <c r="H203" s="21" t="n"/>
      <c r="I203" s="24" t="n"/>
      <c r="J203" s="21" t="n"/>
      <c r="K203" s="21" t="n"/>
      <c r="L203" s="21" t="n"/>
      <c r="M203" s="21" t="n"/>
      <c r="N203" s="21" t="n"/>
      <c r="O203" s="25">
        <f>IF(H203="Completed",0,IF(ISBLANK(M203),"",M203-TODAY()))</f>
        <v/>
      </c>
      <c r="P203" s="25">
        <f>IF(H203="Completed","Completed",IF(ISBLANK(O203),"",IF(O203&lt;0,"Overdue",IF(O203&lt;30,"At Risk","On Track"))))</f>
        <v/>
      </c>
      <c r="Q203" s="21" t="n"/>
      <c r="R203" s="26" t="n"/>
      <c r="S203" s="21" t="n"/>
      <c r="T203" s="26" t="n"/>
      <c r="U203" s="21" t="n"/>
      <c r="V203" s="21" t="n"/>
      <c r="W203" s="21" t="n"/>
      <c r="X203" s="21" t="n"/>
      <c r="Y203" s="21" t="n"/>
      <c r="Z203" s="25">
        <f>TODAY()</f>
        <v/>
      </c>
    </row>
    <row r="204">
      <c r="A204" s="20" t="inlineStr">
        <is>
          <t>REM-175</t>
        </is>
      </c>
      <c r="B204" s="21" t="n"/>
      <c r="C204" s="21" t="n"/>
      <c r="D204" s="21" t="n"/>
      <c r="E204" s="21" t="n"/>
      <c r="F204" s="21" t="n"/>
      <c r="G204" s="21" t="n"/>
      <c r="H204" s="21" t="n"/>
      <c r="I204" s="24" t="n"/>
      <c r="J204" s="21" t="n"/>
      <c r="K204" s="21" t="n"/>
      <c r="L204" s="21" t="n"/>
      <c r="M204" s="21" t="n"/>
      <c r="N204" s="21" t="n"/>
      <c r="O204" s="25">
        <f>IF(H204="Completed",0,IF(ISBLANK(M204),"",M204-TODAY()))</f>
        <v/>
      </c>
      <c r="P204" s="25">
        <f>IF(H204="Completed","Completed",IF(ISBLANK(O204),"",IF(O204&lt;0,"Overdue",IF(O204&lt;30,"At Risk","On Track"))))</f>
        <v/>
      </c>
      <c r="Q204" s="21" t="n"/>
      <c r="R204" s="26" t="n"/>
      <c r="S204" s="21" t="n"/>
      <c r="T204" s="26" t="n"/>
      <c r="U204" s="21" t="n"/>
      <c r="V204" s="21" t="n"/>
      <c r="W204" s="21" t="n"/>
      <c r="X204" s="21" t="n"/>
      <c r="Y204" s="21" t="n"/>
      <c r="Z204" s="25">
        <f>TODAY()</f>
        <v/>
      </c>
    </row>
    <row r="205">
      <c r="A205" s="20" t="inlineStr">
        <is>
          <t>REM-176</t>
        </is>
      </c>
      <c r="B205" s="21" t="n"/>
      <c r="C205" s="21" t="n"/>
      <c r="D205" s="21" t="n"/>
      <c r="E205" s="21" t="n"/>
      <c r="F205" s="21" t="n"/>
      <c r="G205" s="21" t="n"/>
      <c r="H205" s="21" t="n"/>
      <c r="I205" s="24" t="n"/>
      <c r="J205" s="21" t="n"/>
      <c r="K205" s="21" t="n"/>
      <c r="L205" s="21" t="n"/>
      <c r="M205" s="21" t="n"/>
      <c r="N205" s="21" t="n"/>
      <c r="O205" s="25">
        <f>IF(H205="Completed",0,IF(ISBLANK(M205),"",M205-TODAY()))</f>
        <v/>
      </c>
      <c r="P205" s="25">
        <f>IF(H205="Completed","Completed",IF(ISBLANK(O205),"",IF(O205&lt;0,"Overdue",IF(O205&lt;30,"At Risk","On Track"))))</f>
        <v/>
      </c>
      <c r="Q205" s="21" t="n"/>
      <c r="R205" s="26" t="n"/>
      <c r="S205" s="21" t="n"/>
      <c r="T205" s="26" t="n"/>
      <c r="U205" s="21" t="n"/>
      <c r="V205" s="21" t="n"/>
      <c r="W205" s="21" t="n"/>
      <c r="X205" s="21" t="n"/>
      <c r="Y205" s="21" t="n"/>
      <c r="Z205" s="25">
        <f>TODAY()</f>
        <v/>
      </c>
    </row>
    <row r="206">
      <c r="A206" s="20" t="inlineStr">
        <is>
          <t>REM-177</t>
        </is>
      </c>
      <c r="B206" s="21" t="n"/>
      <c r="C206" s="21" t="n"/>
      <c r="D206" s="21" t="n"/>
      <c r="E206" s="21" t="n"/>
      <c r="F206" s="21" t="n"/>
      <c r="G206" s="21" t="n"/>
      <c r="H206" s="21" t="n"/>
      <c r="I206" s="24" t="n"/>
      <c r="J206" s="21" t="n"/>
      <c r="K206" s="21" t="n"/>
      <c r="L206" s="21" t="n"/>
      <c r="M206" s="21" t="n"/>
      <c r="N206" s="21" t="n"/>
      <c r="O206" s="25">
        <f>IF(H206="Completed",0,IF(ISBLANK(M206),"",M206-TODAY()))</f>
        <v/>
      </c>
      <c r="P206" s="25">
        <f>IF(H206="Completed","Completed",IF(ISBLANK(O206),"",IF(O206&lt;0,"Overdue",IF(O206&lt;30,"At Risk","On Track"))))</f>
        <v/>
      </c>
      <c r="Q206" s="21" t="n"/>
      <c r="R206" s="26" t="n"/>
      <c r="S206" s="21" t="n"/>
      <c r="T206" s="26" t="n"/>
      <c r="U206" s="21" t="n"/>
      <c r="V206" s="21" t="n"/>
      <c r="W206" s="21" t="n"/>
      <c r="X206" s="21" t="n"/>
      <c r="Y206" s="21" t="n"/>
      <c r="Z206" s="25">
        <f>TODAY()</f>
        <v/>
      </c>
    </row>
    <row r="207">
      <c r="A207" s="20" t="inlineStr">
        <is>
          <t>REM-178</t>
        </is>
      </c>
      <c r="B207" s="21" t="n"/>
      <c r="C207" s="21" t="n"/>
      <c r="D207" s="21" t="n"/>
      <c r="E207" s="21" t="n"/>
      <c r="F207" s="21" t="n"/>
      <c r="G207" s="21" t="n"/>
      <c r="H207" s="21" t="n"/>
      <c r="I207" s="24" t="n"/>
      <c r="J207" s="21" t="n"/>
      <c r="K207" s="21" t="n"/>
      <c r="L207" s="21" t="n"/>
      <c r="M207" s="21" t="n"/>
      <c r="N207" s="21" t="n"/>
      <c r="O207" s="25">
        <f>IF(H207="Completed",0,IF(ISBLANK(M207),"",M207-TODAY()))</f>
        <v/>
      </c>
      <c r="P207" s="25">
        <f>IF(H207="Completed","Completed",IF(ISBLANK(O207),"",IF(O207&lt;0,"Overdue",IF(O207&lt;30,"At Risk","On Track"))))</f>
        <v/>
      </c>
      <c r="Q207" s="21" t="n"/>
      <c r="R207" s="26" t="n"/>
      <c r="S207" s="21" t="n"/>
      <c r="T207" s="26" t="n"/>
      <c r="U207" s="21" t="n"/>
      <c r="V207" s="21" t="n"/>
      <c r="W207" s="21" t="n"/>
      <c r="X207" s="21" t="n"/>
      <c r="Y207" s="21" t="n"/>
      <c r="Z207" s="25">
        <f>TODAY()</f>
        <v/>
      </c>
    </row>
    <row r="208">
      <c r="A208" s="20" t="inlineStr">
        <is>
          <t>REM-179</t>
        </is>
      </c>
      <c r="B208" s="21" t="n"/>
      <c r="C208" s="21" t="n"/>
      <c r="D208" s="21" t="n"/>
      <c r="E208" s="21" t="n"/>
      <c r="F208" s="21" t="n"/>
      <c r="G208" s="21" t="n"/>
      <c r="H208" s="21" t="n"/>
      <c r="I208" s="24" t="n"/>
      <c r="J208" s="21" t="n"/>
      <c r="K208" s="21" t="n"/>
      <c r="L208" s="21" t="n"/>
      <c r="M208" s="21" t="n"/>
      <c r="N208" s="21" t="n"/>
      <c r="O208" s="25">
        <f>IF(H208="Completed",0,IF(ISBLANK(M208),"",M208-TODAY()))</f>
        <v/>
      </c>
      <c r="P208" s="25">
        <f>IF(H208="Completed","Completed",IF(ISBLANK(O208),"",IF(O208&lt;0,"Overdue",IF(O208&lt;30,"At Risk","On Track"))))</f>
        <v/>
      </c>
      <c r="Q208" s="21" t="n"/>
      <c r="R208" s="26" t="n"/>
      <c r="S208" s="21" t="n"/>
      <c r="T208" s="26" t="n"/>
      <c r="U208" s="21" t="n"/>
      <c r="V208" s="21" t="n"/>
      <c r="W208" s="21" t="n"/>
      <c r="X208" s="21" t="n"/>
      <c r="Y208" s="21" t="n"/>
      <c r="Z208" s="25">
        <f>TODAY()</f>
        <v/>
      </c>
    </row>
    <row r="209">
      <c r="A209" s="20" t="inlineStr">
        <is>
          <t>REM-180</t>
        </is>
      </c>
      <c r="B209" s="21" t="n"/>
      <c r="C209" s="21" t="n"/>
      <c r="D209" s="21" t="n"/>
      <c r="E209" s="21" t="n"/>
      <c r="F209" s="21" t="n"/>
      <c r="G209" s="21" t="n"/>
      <c r="H209" s="21" t="n"/>
      <c r="I209" s="24" t="n"/>
      <c r="J209" s="21" t="n"/>
      <c r="K209" s="21" t="n"/>
      <c r="L209" s="21" t="n"/>
      <c r="M209" s="21" t="n"/>
      <c r="N209" s="21" t="n"/>
      <c r="O209" s="25">
        <f>IF(H209="Completed",0,IF(ISBLANK(M209),"",M209-TODAY()))</f>
        <v/>
      </c>
      <c r="P209" s="25">
        <f>IF(H209="Completed","Completed",IF(ISBLANK(O209),"",IF(O209&lt;0,"Overdue",IF(O209&lt;30,"At Risk","On Track"))))</f>
        <v/>
      </c>
      <c r="Q209" s="21" t="n"/>
      <c r="R209" s="26" t="n"/>
      <c r="S209" s="21" t="n"/>
      <c r="T209" s="26" t="n"/>
      <c r="U209" s="21" t="n"/>
      <c r="V209" s="21" t="n"/>
      <c r="W209" s="21" t="n"/>
      <c r="X209" s="21" t="n"/>
      <c r="Y209" s="21" t="n"/>
      <c r="Z209" s="25">
        <f>TODAY()</f>
        <v/>
      </c>
    </row>
    <row r="210">
      <c r="A210" s="20" t="inlineStr">
        <is>
          <t>REM-181</t>
        </is>
      </c>
      <c r="B210" s="21" t="n"/>
      <c r="C210" s="21" t="n"/>
      <c r="D210" s="21" t="n"/>
      <c r="E210" s="21" t="n"/>
      <c r="F210" s="21" t="n"/>
      <c r="G210" s="21" t="n"/>
      <c r="H210" s="21" t="n"/>
      <c r="I210" s="24" t="n"/>
      <c r="J210" s="21" t="n"/>
      <c r="K210" s="21" t="n"/>
      <c r="L210" s="21" t="n"/>
      <c r="M210" s="21" t="n"/>
      <c r="N210" s="21" t="n"/>
      <c r="O210" s="25">
        <f>IF(H210="Completed",0,IF(ISBLANK(M210),"",M210-TODAY()))</f>
        <v/>
      </c>
      <c r="P210" s="25">
        <f>IF(H210="Completed","Completed",IF(ISBLANK(O210),"",IF(O210&lt;0,"Overdue",IF(O210&lt;30,"At Risk","On Track"))))</f>
        <v/>
      </c>
      <c r="Q210" s="21" t="n"/>
      <c r="R210" s="26" t="n"/>
      <c r="S210" s="21" t="n"/>
      <c r="T210" s="26" t="n"/>
      <c r="U210" s="21" t="n"/>
      <c r="V210" s="21" t="n"/>
      <c r="W210" s="21" t="n"/>
      <c r="X210" s="21" t="n"/>
      <c r="Y210" s="21" t="n"/>
      <c r="Z210" s="25">
        <f>TODAY()</f>
        <v/>
      </c>
    </row>
    <row r="211">
      <c r="A211" s="20" t="inlineStr">
        <is>
          <t>REM-182</t>
        </is>
      </c>
      <c r="B211" s="21" t="n"/>
      <c r="C211" s="21" t="n"/>
      <c r="D211" s="21" t="n"/>
      <c r="E211" s="21" t="n"/>
      <c r="F211" s="21" t="n"/>
      <c r="G211" s="21" t="n"/>
      <c r="H211" s="21" t="n"/>
      <c r="I211" s="24" t="n"/>
      <c r="J211" s="21" t="n"/>
      <c r="K211" s="21" t="n"/>
      <c r="L211" s="21" t="n"/>
      <c r="M211" s="21" t="n"/>
      <c r="N211" s="21" t="n"/>
      <c r="O211" s="25">
        <f>IF(H211="Completed",0,IF(ISBLANK(M211),"",M211-TODAY()))</f>
        <v/>
      </c>
      <c r="P211" s="25">
        <f>IF(H211="Completed","Completed",IF(ISBLANK(O211),"",IF(O211&lt;0,"Overdue",IF(O211&lt;30,"At Risk","On Track"))))</f>
        <v/>
      </c>
      <c r="Q211" s="21" t="n"/>
      <c r="R211" s="26" t="n"/>
      <c r="S211" s="21" t="n"/>
      <c r="T211" s="26" t="n"/>
      <c r="U211" s="21" t="n"/>
      <c r="V211" s="21" t="n"/>
      <c r="W211" s="21" t="n"/>
      <c r="X211" s="21" t="n"/>
      <c r="Y211" s="21" t="n"/>
      <c r="Z211" s="25">
        <f>TODAY()</f>
        <v/>
      </c>
    </row>
    <row r="212">
      <c r="A212" s="20" t="inlineStr">
        <is>
          <t>REM-183</t>
        </is>
      </c>
      <c r="B212" s="21" t="n"/>
      <c r="C212" s="21" t="n"/>
      <c r="D212" s="21" t="n"/>
      <c r="E212" s="21" t="n"/>
      <c r="F212" s="21" t="n"/>
      <c r="G212" s="21" t="n"/>
      <c r="H212" s="21" t="n"/>
      <c r="I212" s="24" t="n"/>
      <c r="J212" s="21" t="n"/>
      <c r="K212" s="21" t="n"/>
      <c r="L212" s="21" t="n"/>
      <c r="M212" s="21" t="n"/>
      <c r="N212" s="21" t="n"/>
      <c r="O212" s="25">
        <f>IF(H212="Completed",0,IF(ISBLANK(M212),"",M212-TODAY()))</f>
        <v/>
      </c>
      <c r="P212" s="25">
        <f>IF(H212="Completed","Completed",IF(ISBLANK(O212),"",IF(O212&lt;0,"Overdue",IF(O212&lt;30,"At Risk","On Track"))))</f>
        <v/>
      </c>
      <c r="Q212" s="21" t="n"/>
      <c r="R212" s="26" t="n"/>
      <c r="S212" s="21" t="n"/>
      <c r="T212" s="26" t="n"/>
      <c r="U212" s="21" t="n"/>
      <c r="V212" s="21" t="n"/>
      <c r="W212" s="21" t="n"/>
      <c r="X212" s="21" t="n"/>
      <c r="Y212" s="21" t="n"/>
      <c r="Z212" s="25">
        <f>TODAY()</f>
        <v/>
      </c>
    </row>
    <row r="213">
      <c r="A213" s="20" t="inlineStr">
        <is>
          <t>REM-184</t>
        </is>
      </c>
      <c r="B213" s="21" t="n"/>
      <c r="C213" s="21" t="n"/>
      <c r="D213" s="21" t="n"/>
      <c r="E213" s="21" t="n"/>
      <c r="F213" s="21" t="n"/>
      <c r="G213" s="21" t="n"/>
      <c r="H213" s="21" t="n"/>
      <c r="I213" s="24" t="n"/>
      <c r="J213" s="21" t="n"/>
      <c r="K213" s="21" t="n"/>
      <c r="L213" s="21" t="n"/>
      <c r="M213" s="21" t="n"/>
      <c r="N213" s="21" t="n"/>
      <c r="O213" s="25">
        <f>IF(H213="Completed",0,IF(ISBLANK(M213),"",M213-TODAY()))</f>
        <v/>
      </c>
      <c r="P213" s="25">
        <f>IF(H213="Completed","Completed",IF(ISBLANK(O213),"",IF(O213&lt;0,"Overdue",IF(O213&lt;30,"At Risk","On Track"))))</f>
        <v/>
      </c>
      <c r="Q213" s="21" t="n"/>
      <c r="R213" s="26" t="n"/>
      <c r="S213" s="21" t="n"/>
      <c r="T213" s="26" t="n"/>
      <c r="U213" s="21" t="n"/>
      <c r="V213" s="21" t="n"/>
      <c r="W213" s="21" t="n"/>
      <c r="X213" s="21" t="n"/>
      <c r="Y213" s="21" t="n"/>
      <c r="Z213" s="25">
        <f>TODAY()</f>
        <v/>
      </c>
    </row>
    <row r="214">
      <c r="A214" s="20" t="inlineStr">
        <is>
          <t>REM-185</t>
        </is>
      </c>
      <c r="B214" s="21" t="n"/>
      <c r="C214" s="21" t="n"/>
      <c r="D214" s="21" t="n"/>
      <c r="E214" s="21" t="n"/>
      <c r="F214" s="21" t="n"/>
      <c r="G214" s="21" t="n"/>
      <c r="H214" s="21" t="n"/>
      <c r="I214" s="24" t="n"/>
      <c r="J214" s="21" t="n"/>
      <c r="K214" s="21" t="n"/>
      <c r="L214" s="21" t="n"/>
      <c r="M214" s="21" t="n"/>
      <c r="N214" s="21" t="n"/>
      <c r="O214" s="25">
        <f>IF(H214="Completed",0,IF(ISBLANK(M214),"",M214-TODAY()))</f>
        <v/>
      </c>
      <c r="P214" s="25">
        <f>IF(H214="Completed","Completed",IF(ISBLANK(O214),"",IF(O214&lt;0,"Overdue",IF(O214&lt;30,"At Risk","On Track"))))</f>
        <v/>
      </c>
      <c r="Q214" s="21" t="n"/>
      <c r="R214" s="26" t="n"/>
      <c r="S214" s="21" t="n"/>
      <c r="T214" s="26" t="n"/>
      <c r="U214" s="21" t="n"/>
      <c r="V214" s="21" t="n"/>
      <c r="W214" s="21" t="n"/>
      <c r="X214" s="21" t="n"/>
      <c r="Y214" s="21" t="n"/>
      <c r="Z214" s="25">
        <f>TODAY()</f>
        <v/>
      </c>
    </row>
    <row r="215">
      <c r="A215" s="20" t="inlineStr">
        <is>
          <t>REM-186</t>
        </is>
      </c>
      <c r="B215" s="21" t="n"/>
      <c r="C215" s="21" t="n"/>
      <c r="D215" s="21" t="n"/>
      <c r="E215" s="21" t="n"/>
      <c r="F215" s="21" t="n"/>
      <c r="G215" s="21" t="n"/>
      <c r="H215" s="21" t="n"/>
      <c r="I215" s="24" t="n"/>
      <c r="J215" s="21" t="n"/>
      <c r="K215" s="21" t="n"/>
      <c r="L215" s="21" t="n"/>
      <c r="M215" s="21" t="n"/>
      <c r="N215" s="21" t="n"/>
      <c r="O215" s="25">
        <f>IF(H215="Completed",0,IF(ISBLANK(M215),"",M215-TODAY()))</f>
        <v/>
      </c>
      <c r="P215" s="25">
        <f>IF(H215="Completed","Completed",IF(ISBLANK(O215),"",IF(O215&lt;0,"Overdue",IF(O215&lt;30,"At Risk","On Track"))))</f>
        <v/>
      </c>
      <c r="Q215" s="21" t="n"/>
      <c r="R215" s="26" t="n"/>
      <c r="S215" s="21" t="n"/>
      <c r="T215" s="26" t="n"/>
      <c r="U215" s="21" t="n"/>
      <c r="V215" s="21" t="n"/>
      <c r="W215" s="21" t="n"/>
      <c r="X215" s="21" t="n"/>
      <c r="Y215" s="21" t="n"/>
      <c r="Z215" s="25">
        <f>TODAY()</f>
        <v/>
      </c>
    </row>
    <row r="216">
      <c r="A216" s="20" t="inlineStr">
        <is>
          <t>REM-187</t>
        </is>
      </c>
      <c r="B216" s="21" t="n"/>
      <c r="C216" s="21" t="n"/>
      <c r="D216" s="21" t="n"/>
      <c r="E216" s="21" t="n"/>
      <c r="F216" s="21" t="n"/>
      <c r="G216" s="21" t="n"/>
      <c r="H216" s="21" t="n"/>
      <c r="I216" s="24" t="n"/>
      <c r="J216" s="21" t="n"/>
      <c r="K216" s="21" t="n"/>
      <c r="L216" s="21" t="n"/>
      <c r="M216" s="21" t="n"/>
      <c r="N216" s="21" t="n"/>
      <c r="O216" s="25">
        <f>IF(H216="Completed",0,IF(ISBLANK(M216),"",M216-TODAY()))</f>
        <v/>
      </c>
      <c r="P216" s="25">
        <f>IF(H216="Completed","Completed",IF(ISBLANK(O216),"",IF(O216&lt;0,"Overdue",IF(O216&lt;30,"At Risk","On Track"))))</f>
        <v/>
      </c>
      <c r="Q216" s="21" t="n"/>
      <c r="R216" s="26" t="n"/>
      <c r="S216" s="21" t="n"/>
      <c r="T216" s="26" t="n"/>
      <c r="U216" s="21" t="n"/>
      <c r="V216" s="21" t="n"/>
      <c r="W216" s="21" t="n"/>
      <c r="X216" s="21" t="n"/>
      <c r="Y216" s="21" t="n"/>
      <c r="Z216" s="25">
        <f>TODAY()</f>
        <v/>
      </c>
    </row>
    <row r="217">
      <c r="A217" s="20" t="inlineStr">
        <is>
          <t>REM-188</t>
        </is>
      </c>
      <c r="B217" s="21" t="n"/>
      <c r="C217" s="21" t="n"/>
      <c r="D217" s="21" t="n"/>
      <c r="E217" s="21" t="n"/>
      <c r="F217" s="21" t="n"/>
      <c r="G217" s="21" t="n"/>
      <c r="H217" s="21" t="n"/>
      <c r="I217" s="24" t="n"/>
      <c r="J217" s="21" t="n"/>
      <c r="K217" s="21" t="n"/>
      <c r="L217" s="21" t="n"/>
      <c r="M217" s="21" t="n"/>
      <c r="N217" s="21" t="n"/>
      <c r="O217" s="25">
        <f>IF(H217="Completed",0,IF(ISBLANK(M217),"",M217-TODAY()))</f>
        <v/>
      </c>
      <c r="P217" s="25">
        <f>IF(H217="Completed","Completed",IF(ISBLANK(O217),"",IF(O217&lt;0,"Overdue",IF(O217&lt;30,"At Risk","On Track"))))</f>
        <v/>
      </c>
      <c r="Q217" s="21" t="n"/>
      <c r="R217" s="26" t="n"/>
      <c r="S217" s="21" t="n"/>
      <c r="T217" s="26" t="n"/>
      <c r="U217" s="21" t="n"/>
      <c r="V217" s="21" t="n"/>
      <c r="W217" s="21" t="n"/>
      <c r="X217" s="21" t="n"/>
      <c r="Y217" s="21" t="n"/>
      <c r="Z217" s="25">
        <f>TODAY()</f>
        <v/>
      </c>
    </row>
    <row r="218">
      <c r="A218" s="20" t="inlineStr">
        <is>
          <t>REM-189</t>
        </is>
      </c>
      <c r="B218" s="21" t="n"/>
      <c r="C218" s="21" t="n"/>
      <c r="D218" s="21" t="n"/>
      <c r="E218" s="21" t="n"/>
      <c r="F218" s="21" t="n"/>
      <c r="G218" s="21" t="n"/>
      <c r="H218" s="21" t="n"/>
      <c r="I218" s="24" t="n"/>
      <c r="J218" s="21" t="n"/>
      <c r="K218" s="21" t="n"/>
      <c r="L218" s="21" t="n"/>
      <c r="M218" s="21" t="n"/>
      <c r="N218" s="21" t="n"/>
      <c r="O218" s="25">
        <f>IF(H218="Completed",0,IF(ISBLANK(M218),"",M218-TODAY()))</f>
        <v/>
      </c>
      <c r="P218" s="25">
        <f>IF(H218="Completed","Completed",IF(ISBLANK(O218),"",IF(O218&lt;0,"Overdue",IF(O218&lt;30,"At Risk","On Track"))))</f>
        <v/>
      </c>
      <c r="Q218" s="21" t="n"/>
      <c r="R218" s="26" t="n"/>
      <c r="S218" s="21" t="n"/>
      <c r="T218" s="26" t="n"/>
      <c r="U218" s="21" t="n"/>
      <c r="V218" s="21" t="n"/>
      <c r="W218" s="21" t="n"/>
      <c r="X218" s="21" t="n"/>
      <c r="Y218" s="21" t="n"/>
      <c r="Z218" s="25">
        <f>TODAY()</f>
        <v/>
      </c>
    </row>
    <row r="219">
      <c r="A219" s="20" t="inlineStr">
        <is>
          <t>REM-190</t>
        </is>
      </c>
      <c r="B219" s="21" t="n"/>
      <c r="C219" s="21" t="n"/>
      <c r="D219" s="21" t="n"/>
      <c r="E219" s="21" t="n"/>
      <c r="F219" s="21" t="n"/>
      <c r="G219" s="21" t="n"/>
      <c r="H219" s="21" t="n"/>
      <c r="I219" s="24" t="n"/>
      <c r="J219" s="21" t="n"/>
      <c r="K219" s="21" t="n"/>
      <c r="L219" s="21" t="n"/>
      <c r="M219" s="21" t="n"/>
      <c r="N219" s="21" t="n"/>
      <c r="O219" s="25">
        <f>IF(H219="Completed",0,IF(ISBLANK(M219),"",M219-TODAY()))</f>
        <v/>
      </c>
      <c r="P219" s="25">
        <f>IF(H219="Completed","Completed",IF(ISBLANK(O219),"",IF(O219&lt;0,"Overdue",IF(O219&lt;30,"At Risk","On Track"))))</f>
        <v/>
      </c>
      <c r="Q219" s="21" t="n"/>
      <c r="R219" s="26" t="n"/>
      <c r="S219" s="21" t="n"/>
      <c r="T219" s="26" t="n"/>
      <c r="U219" s="21" t="n"/>
      <c r="V219" s="21" t="n"/>
      <c r="W219" s="21" t="n"/>
      <c r="X219" s="21" t="n"/>
      <c r="Y219" s="21" t="n"/>
      <c r="Z219" s="25">
        <f>TODAY()</f>
        <v/>
      </c>
    </row>
    <row r="220">
      <c r="A220" s="20" t="inlineStr">
        <is>
          <t>REM-191</t>
        </is>
      </c>
      <c r="B220" s="21" t="n"/>
      <c r="C220" s="21" t="n"/>
      <c r="D220" s="21" t="n"/>
      <c r="E220" s="21" t="n"/>
      <c r="F220" s="21" t="n"/>
      <c r="G220" s="21" t="n"/>
      <c r="H220" s="21" t="n"/>
      <c r="I220" s="24" t="n"/>
      <c r="J220" s="21" t="n"/>
      <c r="K220" s="21" t="n"/>
      <c r="L220" s="21" t="n"/>
      <c r="M220" s="21" t="n"/>
      <c r="N220" s="21" t="n"/>
      <c r="O220" s="25">
        <f>IF(H220="Completed",0,IF(ISBLANK(M220),"",M220-TODAY()))</f>
        <v/>
      </c>
      <c r="P220" s="25">
        <f>IF(H220="Completed","Completed",IF(ISBLANK(O220),"",IF(O220&lt;0,"Overdue",IF(O220&lt;30,"At Risk","On Track"))))</f>
        <v/>
      </c>
      <c r="Q220" s="21" t="n"/>
      <c r="R220" s="26" t="n"/>
      <c r="S220" s="21" t="n"/>
      <c r="T220" s="26" t="n"/>
      <c r="U220" s="21" t="n"/>
      <c r="V220" s="21" t="n"/>
      <c r="W220" s="21" t="n"/>
      <c r="X220" s="21" t="n"/>
      <c r="Y220" s="21" t="n"/>
      <c r="Z220" s="25">
        <f>TODAY()</f>
        <v/>
      </c>
    </row>
    <row r="221">
      <c r="A221" s="20" t="inlineStr">
        <is>
          <t>REM-192</t>
        </is>
      </c>
      <c r="B221" s="21" t="n"/>
      <c r="C221" s="21" t="n"/>
      <c r="D221" s="21" t="n"/>
      <c r="E221" s="21" t="n"/>
      <c r="F221" s="21" t="n"/>
      <c r="G221" s="21" t="n"/>
      <c r="H221" s="21" t="n"/>
      <c r="I221" s="24" t="n"/>
      <c r="J221" s="21" t="n"/>
      <c r="K221" s="21" t="n"/>
      <c r="L221" s="21" t="n"/>
      <c r="M221" s="21" t="n"/>
      <c r="N221" s="21" t="n"/>
      <c r="O221" s="25">
        <f>IF(H221="Completed",0,IF(ISBLANK(M221),"",M221-TODAY()))</f>
        <v/>
      </c>
      <c r="P221" s="25">
        <f>IF(H221="Completed","Completed",IF(ISBLANK(O221),"",IF(O221&lt;0,"Overdue",IF(O221&lt;30,"At Risk","On Track"))))</f>
        <v/>
      </c>
      <c r="Q221" s="21" t="n"/>
      <c r="R221" s="26" t="n"/>
      <c r="S221" s="21" t="n"/>
      <c r="T221" s="26" t="n"/>
      <c r="U221" s="21" t="n"/>
      <c r="V221" s="21" t="n"/>
      <c r="W221" s="21" t="n"/>
      <c r="X221" s="21" t="n"/>
      <c r="Y221" s="21" t="n"/>
      <c r="Z221" s="25">
        <f>TODAY()</f>
        <v/>
      </c>
    </row>
    <row r="222">
      <c r="A222" s="20" t="inlineStr">
        <is>
          <t>REM-193</t>
        </is>
      </c>
      <c r="B222" s="21" t="n"/>
      <c r="C222" s="21" t="n"/>
      <c r="D222" s="21" t="n"/>
      <c r="E222" s="21" t="n"/>
      <c r="F222" s="21" t="n"/>
      <c r="G222" s="21" t="n"/>
      <c r="H222" s="21" t="n"/>
      <c r="I222" s="24" t="n"/>
      <c r="J222" s="21" t="n"/>
      <c r="K222" s="21" t="n"/>
      <c r="L222" s="21" t="n"/>
      <c r="M222" s="21" t="n"/>
      <c r="N222" s="21" t="n"/>
      <c r="O222" s="25">
        <f>IF(H222="Completed",0,IF(ISBLANK(M222),"",M222-TODAY()))</f>
        <v/>
      </c>
      <c r="P222" s="25">
        <f>IF(H222="Completed","Completed",IF(ISBLANK(O222),"",IF(O222&lt;0,"Overdue",IF(O222&lt;30,"At Risk","On Track"))))</f>
        <v/>
      </c>
      <c r="Q222" s="21" t="n"/>
      <c r="R222" s="26" t="n"/>
      <c r="S222" s="21" t="n"/>
      <c r="T222" s="26" t="n"/>
      <c r="U222" s="21" t="n"/>
      <c r="V222" s="21" t="n"/>
      <c r="W222" s="21" t="n"/>
      <c r="X222" s="21" t="n"/>
      <c r="Y222" s="21" t="n"/>
      <c r="Z222" s="25">
        <f>TODAY()</f>
        <v/>
      </c>
    </row>
    <row r="223">
      <c r="A223" s="20" t="inlineStr">
        <is>
          <t>REM-194</t>
        </is>
      </c>
      <c r="B223" s="21" t="n"/>
      <c r="C223" s="21" t="n"/>
      <c r="D223" s="21" t="n"/>
      <c r="E223" s="21" t="n"/>
      <c r="F223" s="21" t="n"/>
      <c r="G223" s="21" t="n"/>
      <c r="H223" s="21" t="n"/>
      <c r="I223" s="24" t="n"/>
      <c r="J223" s="21" t="n"/>
      <c r="K223" s="21" t="n"/>
      <c r="L223" s="21" t="n"/>
      <c r="M223" s="21" t="n"/>
      <c r="N223" s="21" t="n"/>
      <c r="O223" s="25">
        <f>IF(H223="Completed",0,IF(ISBLANK(M223),"",M223-TODAY()))</f>
        <v/>
      </c>
      <c r="P223" s="25">
        <f>IF(H223="Completed","Completed",IF(ISBLANK(O223),"",IF(O223&lt;0,"Overdue",IF(O223&lt;30,"At Risk","On Track"))))</f>
        <v/>
      </c>
      <c r="Q223" s="21" t="n"/>
      <c r="R223" s="26" t="n"/>
      <c r="S223" s="21" t="n"/>
      <c r="T223" s="26" t="n"/>
      <c r="U223" s="21" t="n"/>
      <c r="V223" s="21" t="n"/>
      <c r="W223" s="21" t="n"/>
      <c r="X223" s="21" t="n"/>
      <c r="Y223" s="21" t="n"/>
      <c r="Z223" s="25">
        <f>TODAY()</f>
        <v/>
      </c>
    </row>
    <row r="224">
      <c r="A224" s="20" t="inlineStr">
        <is>
          <t>REM-195</t>
        </is>
      </c>
      <c r="B224" s="21" t="n"/>
      <c r="C224" s="21" t="n"/>
      <c r="D224" s="21" t="n"/>
      <c r="E224" s="21" t="n"/>
      <c r="F224" s="21" t="n"/>
      <c r="G224" s="21" t="n"/>
      <c r="H224" s="21" t="n"/>
      <c r="I224" s="24" t="n"/>
      <c r="J224" s="21" t="n"/>
      <c r="K224" s="21" t="n"/>
      <c r="L224" s="21" t="n"/>
      <c r="M224" s="21" t="n"/>
      <c r="N224" s="21" t="n"/>
      <c r="O224" s="25">
        <f>IF(H224="Completed",0,IF(ISBLANK(M224),"",M224-TODAY()))</f>
        <v/>
      </c>
      <c r="P224" s="25">
        <f>IF(H224="Completed","Completed",IF(ISBLANK(O224),"",IF(O224&lt;0,"Overdue",IF(O224&lt;30,"At Risk","On Track"))))</f>
        <v/>
      </c>
      <c r="Q224" s="21" t="n"/>
      <c r="R224" s="26" t="n"/>
      <c r="S224" s="21" t="n"/>
      <c r="T224" s="26" t="n"/>
      <c r="U224" s="21" t="n"/>
      <c r="V224" s="21" t="n"/>
      <c r="W224" s="21" t="n"/>
      <c r="X224" s="21" t="n"/>
      <c r="Y224" s="21" t="n"/>
      <c r="Z224" s="25">
        <f>TODAY()</f>
        <v/>
      </c>
    </row>
    <row r="225">
      <c r="A225" s="20" t="inlineStr">
        <is>
          <t>REM-196</t>
        </is>
      </c>
      <c r="B225" s="21" t="n"/>
      <c r="C225" s="21" t="n"/>
      <c r="D225" s="21" t="n"/>
      <c r="E225" s="21" t="n"/>
      <c r="F225" s="21" t="n"/>
      <c r="G225" s="21" t="n"/>
      <c r="H225" s="21" t="n"/>
      <c r="I225" s="24" t="n"/>
      <c r="J225" s="21" t="n"/>
      <c r="K225" s="21" t="n"/>
      <c r="L225" s="21" t="n"/>
      <c r="M225" s="21" t="n"/>
      <c r="N225" s="21" t="n"/>
      <c r="O225" s="25">
        <f>IF(H225="Completed",0,IF(ISBLANK(M225),"",M225-TODAY()))</f>
        <v/>
      </c>
      <c r="P225" s="25">
        <f>IF(H225="Completed","Completed",IF(ISBLANK(O225),"",IF(O225&lt;0,"Overdue",IF(O225&lt;30,"At Risk","On Track"))))</f>
        <v/>
      </c>
      <c r="Q225" s="21" t="n"/>
      <c r="R225" s="26" t="n"/>
      <c r="S225" s="21" t="n"/>
      <c r="T225" s="26" t="n"/>
      <c r="U225" s="21" t="n"/>
      <c r="V225" s="21" t="n"/>
      <c r="W225" s="21" t="n"/>
      <c r="X225" s="21" t="n"/>
      <c r="Y225" s="21" t="n"/>
      <c r="Z225" s="25">
        <f>TODAY()</f>
        <v/>
      </c>
    </row>
    <row r="226">
      <c r="A226" s="20" t="inlineStr">
        <is>
          <t>REM-197</t>
        </is>
      </c>
      <c r="B226" s="21" t="n"/>
      <c r="C226" s="21" t="n"/>
      <c r="D226" s="21" t="n"/>
      <c r="E226" s="21" t="n"/>
      <c r="F226" s="21" t="n"/>
      <c r="G226" s="21" t="n"/>
      <c r="H226" s="21" t="n"/>
      <c r="I226" s="24" t="n"/>
      <c r="J226" s="21" t="n"/>
      <c r="K226" s="21" t="n"/>
      <c r="L226" s="21" t="n"/>
      <c r="M226" s="21" t="n"/>
      <c r="N226" s="21" t="n"/>
      <c r="O226" s="25">
        <f>IF(H226="Completed",0,IF(ISBLANK(M226),"",M226-TODAY()))</f>
        <v/>
      </c>
      <c r="P226" s="25">
        <f>IF(H226="Completed","Completed",IF(ISBLANK(O226),"",IF(O226&lt;0,"Overdue",IF(O226&lt;30,"At Risk","On Track"))))</f>
        <v/>
      </c>
      <c r="Q226" s="21" t="n"/>
      <c r="R226" s="26" t="n"/>
      <c r="S226" s="21" t="n"/>
      <c r="T226" s="26" t="n"/>
      <c r="U226" s="21" t="n"/>
      <c r="V226" s="21" t="n"/>
      <c r="W226" s="21" t="n"/>
      <c r="X226" s="21" t="n"/>
      <c r="Y226" s="21" t="n"/>
      <c r="Z226" s="25">
        <f>TODAY()</f>
        <v/>
      </c>
    </row>
    <row r="227">
      <c r="A227" s="20" t="inlineStr">
        <is>
          <t>REM-198</t>
        </is>
      </c>
      <c r="B227" s="21" t="n"/>
      <c r="C227" s="21" t="n"/>
      <c r="D227" s="21" t="n"/>
      <c r="E227" s="21" t="n"/>
      <c r="F227" s="21" t="n"/>
      <c r="G227" s="21" t="n"/>
      <c r="H227" s="21" t="n"/>
      <c r="I227" s="24" t="n"/>
      <c r="J227" s="21" t="n"/>
      <c r="K227" s="21" t="n"/>
      <c r="L227" s="21" t="n"/>
      <c r="M227" s="21" t="n"/>
      <c r="N227" s="21" t="n"/>
      <c r="O227" s="25">
        <f>IF(H227="Completed",0,IF(ISBLANK(M227),"",M227-TODAY()))</f>
        <v/>
      </c>
      <c r="P227" s="25">
        <f>IF(H227="Completed","Completed",IF(ISBLANK(O227),"",IF(O227&lt;0,"Overdue",IF(O227&lt;30,"At Risk","On Track"))))</f>
        <v/>
      </c>
      <c r="Q227" s="21" t="n"/>
      <c r="R227" s="26" t="n"/>
      <c r="S227" s="21" t="n"/>
      <c r="T227" s="26" t="n"/>
      <c r="U227" s="21" t="n"/>
      <c r="V227" s="21" t="n"/>
      <c r="W227" s="21" t="n"/>
      <c r="X227" s="21" t="n"/>
      <c r="Y227" s="21" t="n"/>
      <c r="Z227" s="25">
        <f>TODAY()</f>
        <v/>
      </c>
    </row>
    <row r="228">
      <c r="A228" s="20" t="inlineStr">
        <is>
          <t>REM-199</t>
        </is>
      </c>
      <c r="B228" s="21" t="n"/>
      <c r="C228" s="21" t="n"/>
      <c r="D228" s="21" t="n"/>
      <c r="E228" s="21" t="n"/>
      <c r="F228" s="21" t="n"/>
      <c r="G228" s="21" t="n"/>
      <c r="H228" s="21" t="n"/>
      <c r="I228" s="24" t="n"/>
      <c r="J228" s="21" t="n"/>
      <c r="K228" s="21" t="n"/>
      <c r="L228" s="21" t="n"/>
      <c r="M228" s="21" t="n"/>
      <c r="N228" s="21" t="n"/>
      <c r="O228" s="25">
        <f>IF(H228="Completed",0,IF(ISBLANK(M228),"",M228-TODAY()))</f>
        <v/>
      </c>
      <c r="P228" s="25">
        <f>IF(H228="Completed","Completed",IF(ISBLANK(O228),"",IF(O228&lt;0,"Overdue",IF(O228&lt;30,"At Risk","On Track"))))</f>
        <v/>
      </c>
      <c r="Q228" s="21" t="n"/>
      <c r="R228" s="26" t="n"/>
      <c r="S228" s="21" t="n"/>
      <c r="T228" s="26" t="n"/>
      <c r="U228" s="21" t="n"/>
      <c r="V228" s="21" t="n"/>
      <c r="W228" s="21" t="n"/>
      <c r="X228" s="21" t="n"/>
      <c r="Y228" s="21" t="n"/>
      <c r="Z228" s="25">
        <f>TODAY()</f>
        <v/>
      </c>
    </row>
    <row r="229">
      <c r="A229" s="20" t="inlineStr">
        <is>
          <t>REM-200</t>
        </is>
      </c>
      <c r="B229" s="21" t="n"/>
      <c r="C229" s="21" t="n"/>
      <c r="D229" s="21" t="n"/>
      <c r="E229" s="21" t="n"/>
      <c r="F229" s="21" t="n"/>
      <c r="G229" s="21" t="n"/>
      <c r="H229" s="21" t="n"/>
      <c r="I229" s="24" t="n"/>
      <c r="J229" s="21" t="n"/>
      <c r="K229" s="21" t="n"/>
      <c r="L229" s="21" t="n"/>
      <c r="M229" s="21" t="n"/>
      <c r="N229" s="21" t="n"/>
      <c r="O229" s="25">
        <f>IF(H229="Completed",0,IF(ISBLANK(M229),"",M229-TODAY()))</f>
        <v/>
      </c>
      <c r="P229" s="25">
        <f>IF(H229="Completed","Completed",IF(ISBLANK(O229),"",IF(O229&lt;0,"Overdue",IF(O229&lt;30,"At Risk","On Track"))))</f>
        <v/>
      </c>
      <c r="Q229" s="21" t="n"/>
      <c r="R229" s="26" t="n"/>
      <c r="S229" s="21" t="n"/>
      <c r="T229" s="26" t="n"/>
      <c r="U229" s="21" t="n"/>
      <c r="V229" s="21" t="n"/>
      <c r="W229" s="21" t="n"/>
      <c r="X229" s="21" t="n"/>
      <c r="Y229" s="21" t="n"/>
      <c r="Z229" s="25">
        <f>TODAY()</f>
        <v/>
      </c>
    </row>
  </sheetData>
  <mergeCells count="3">
    <mergeCell ref="A1:Z1"/>
    <mergeCell ref="A28:Z28"/>
    <mergeCell ref="A24:G24"/>
  </mergeCells>
  <dataValidations count="5">
    <dataValidation sqref="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showDropDown="0" showInputMessage="0" showErrorMessage="0" allowBlank="0" type="list">
      <formula1>"Data Transmission,Data Storage,Authentication,Key Management"</formula1>
    </dataValidation>
    <dataValidation sqref="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showDropDown="0" showInputMessage="0" showErrorMessage="0" allowBlank="0" type="list">
      <formula1>"Technical Implementation,Process Change,Policy Update,Training,Tool Procurement,Other"</formula1>
    </dataValidation>
    <dataValidation sqref="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showDropDown="0" showInputMessage="0" showErrorMessage="0" allowBlank="0" type="list">
      <formula1>"Critical,High,Medium,Low"</formula1>
    </dataValidation>
    <dataValidation sqref="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showDropDown="0" showInputMessage="0" showErrorMessage="0" allowBlank="0" type="list">
      <formula1>"Not Started,Planning,In Progress,Testing,Completed,On Hold,Cancelled"</formula1>
    </dataValidation>
    <dataValidation sqref="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howDropDown="0"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4"/>
  <sheetViews>
    <sheetView workbookViewId="0">
      <pane ySplit="3" topLeftCell="A4" activePane="bottomLeft" state="frozen"/>
      <selection pane="bottomLeft" activeCell="A1" sqref="A1"/>
    </sheetView>
  </sheetViews>
  <sheetFormatPr baseColWidth="8" defaultRowHeight="15"/>
  <cols>
    <col width="35" customWidth="1" min="1" max="1"/>
    <col width="16" customWidth="1" min="2" max="2"/>
    <col width="14" customWidth="1" min="3" max="3"/>
    <col width="14" customWidth="1" min="4" max="4"/>
    <col width="12" customWidth="1" min="5" max="5"/>
    <col width="12" customWidth="1" min="6" max="6"/>
    <col width="14" customWidth="1" min="7" max="7"/>
    <col width="14" customWidth="1" min="8" max="8"/>
  </cols>
  <sheetData>
    <row r="1" ht="40" customHeight="1">
      <c r="A1" s="1" t="inlineStr">
        <is>
          <t>KEY PERFORMANCE INDICATORS &amp; METRICS
Cryptography program effectiveness measurement</t>
        </is>
      </c>
    </row>
    <row r="3">
      <c r="A3" s="6" t="inlineStr">
        <is>
          <t>COMPLIANCE METRICS</t>
        </is>
      </c>
    </row>
    <row r="4">
      <c r="A4" s="7" t="inlineStr">
        <is>
          <t>KPI</t>
        </is>
      </c>
      <c r="B4" s="7" t="inlineStr">
        <is>
          <t>Current Value</t>
        </is>
      </c>
      <c r="C4" s="7" t="inlineStr">
        <is>
          <t>Target</t>
        </is>
      </c>
      <c r="D4" s="7" t="inlineStr">
        <is>
          <t>Threshold</t>
        </is>
      </c>
      <c r="E4" s="7" t="inlineStr">
        <is>
          <t>Status</t>
        </is>
      </c>
      <c r="F4" s="7" t="inlineStr">
        <is>
          <t>Trend</t>
        </is>
      </c>
      <c r="G4" s="7" t="inlineStr">
        <is>
          <t>Last Quarter</t>
        </is>
      </c>
      <c r="H4" s="7" t="inlineStr">
        <is>
          <t>YoY Change</t>
        </is>
      </c>
    </row>
    <row r="5">
      <c r="A5" s="8" t="inlineStr">
        <is>
          <t>Overall Cryptography Compliance Rate</t>
        </is>
      </c>
      <c r="B5" s="14">
        <f>'Executive Dashboard'!C29</f>
        <v/>
      </c>
      <c r="C5" s="8" t="inlineStr">
        <is>
          <t>≥95%</t>
        </is>
      </c>
      <c r="D5" s="8" t="inlineStr">
        <is>
          <t>90%</t>
        </is>
      </c>
      <c r="E5" s="4" t="n"/>
      <c r="F5" s="4" t="n"/>
      <c r="G5" s="4" t="n"/>
      <c r="H5" s="4" t="n"/>
    </row>
    <row r="6">
      <c r="A6" s="8" t="inlineStr">
        <is>
          <t>Data Transmission Encryption Coverage</t>
        </is>
      </c>
      <c r="B6" s="4" t="inlineStr"/>
      <c r="C6" s="8" t="inlineStr">
        <is>
          <t>100%</t>
        </is>
      </c>
      <c r="D6" s="8" t="inlineStr">
        <is>
          <t>95%</t>
        </is>
      </c>
      <c r="E6" s="4" t="n"/>
      <c r="F6" s="4" t="n"/>
      <c r="G6" s="4" t="n"/>
      <c r="H6" s="4" t="n"/>
    </row>
    <row r="7">
      <c r="A7" s="8" t="inlineStr">
        <is>
          <t>Data at Rest Encryption Coverage</t>
        </is>
      </c>
      <c r="B7" s="4" t="inlineStr"/>
      <c r="C7" s="8" t="inlineStr">
        <is>
          <t>100%</t>
        </is>
      </c>
      <c r="D7" s="8" t="inlineStr">
        <is>
          <t>95%</t>
        </is>
      </c>
      <c r="E7" s="4" t="n"/>
      <c r="F7" s="4" t="n"/>
      <c r="G7" s="4" t="n"/>
      <c r="H7" s="4" t="n"/>
    </row>
    <row r="8">
      <c r="A8" s="8" t="inlineStr">
        <is>
          <t>Strong Authentication Coverage</t>
        </is>
      </c>
      <c r="B8" s="4" t="inlineStr"/>
      <c r="C8" s="8" t="inlineStr">
        <is>
          <t>≥90%</t>
        </is>
      </c>
      <c r="D8" s="8" t="inlineStr">
        <is>
          <t>80%</t>
        </is>
      </c>
      <c r="E8" s="4" t="n"/>
      <c r="F8" s="4" t="n"/>
      <c r="G8" s="4" t="n"/>
      <c r="H8" s="4" t="n"/>
    </row>
    <row r="9">
      <c r="A9" s="8" t="inlineStr">
        <is>
          <t>Key Management Compliance</t>
        </is>
      </c>
      <c r="B9" s="4" t="inlineStr"/>
      <c r="C9" s="8" t="inlineStr">
        <is>
          <t>≥95%</t>
        </is>
      </c>
      <c r="D9" s="8" t="inlineStr">
        <is>
          <t>90%</t>
        </is>
      </c>
      <c r="E9" s="4" t="n"/>
      <c r="F9" s="4" t="n"/>
      <c r="G9" s="4" t="n"/>
      <c r="H9" s="4" t="n"/>
    </row>
    <row r="10">
      <c r="A10" s="8" t="inlineStr">
        <is>
          <t>Algorithm Compliance Rate</t>
        </is>
      </c>
      <c r="B10" s="4" t="inlineStr"/>
      <c r="C10" s="8" t="inlineStr">
        <is>
          <t>100%</t>
        </is>
      </c>
      <c r="D10" s="8" t="inlineStr">
        <is>
          <t>98%</t>
        </is>
      </c>
      <c r="E10" s="4" t="n"/>
      <c r="F10" s="4" t="n"/>
      <c r="G10" s="4" t="n"/>
      <c r="H10" s="4" t="n"/>
    </row>
    <row r="11">
      <c r="A11" s="8" t="inlineStr">
        <is>
          <t>Certificate Validity Compliance</t>
        </is>
      </c>
      <c r="B11" s="4" t="inlineStr"/>
      <c r="C11" s="8" t="inlineStr">
        <is>
          <t>100%</t>
        </is>
      </c>
      <c r="D11" s="8" t="inlineStr">
        <is>
          <t>95%</t>
        </is>
      </c>
      <c r="E11" s="4" t="n"/>
      <c r="F11" s="4" t="n"/>
      <c r="G11" s="4" t="n"/>
      <c r="H11" s="4" t="n"/>
    </row>
    <row r="12">
      <c r="A12" s="8" t="inlineStr">
        <is>
          <t>Password Hashing Compliance</t>
        </is>
      </c>
      <c r="B12" s="4" t="inlineStr"/>
      <c r="C12" s="8" t="inlineStr">
        <is>
          <t>100%</t>
        </is>
      </c>
      <c r="D12" s="8" t="inlineStr">
        <is>
          <t>100%</t>
        </is>
      </c>
      <c r="E12" s="4" t="n"/>
      <c r="F12" s="4" t="n"/>
      <c r="G12" s="4" t="n"/>
      <c r="H12" s="4" t="n"/>
    </row>
    <row r="13">
      <c r="A13" s="8" t="inlineStr">
        <is>
          <t>Service Account Security</t>
        </is>
      </c>
      <c r="B13" s="4" t="inlineStr"/>
      <c r="C13" s="8" t="inlineStr">
        <is>
          <t>≥90%</t>
        </is>
      </c>
      <c r="D13" s="8" t="inlineStr">
        <is>
          <t>85%</t>
        </is>
      </c>
      <c r="E13" s="4" t="n"/>
      <c r="F13" s="4" t="n"/>
      <c r="G13" s="4" t="n"/>
      <c r="H13" s="4" t="n"/>
    </row>
    <row r="14">
      <c r="A14" s="8" t="inlineStr">
        <is>
          <t>SSO Coverage</t>
        </is>
      </c>
      <c r="B14" s="4" t="inlineStr"/>
      <c r="C14" s="8" t="inlineStr">
        <is>
          <t>≥80%</t>
        </is>
      </c>
      <c r="D14" s="8" t="inlineStr">
        <is>
          <t>70%</t>
        </is>
      </c>
      <c r="E14" s="4" t="n"/>
      <c r="F14" s="4" t="n"/>
      <c r="G14" s="4" t="n"/>
      <c r="H14" s="4" t="n"/>
    </row>
    <row r="15">
      <c r="A15" s="8" t="inlineStr">
        <is>
          <t>MFA Enrollment - All Users</t>
        </is>
      </c>
      <c r="B15" s="4" t="inlineStr"/>
      <c r="C15" s="8" t="inlineStr">
        <is>
          <t>100%</t>
        </is>
      </c>
      <c r="D15" s="8" t="inlineStr">
        <is>
          <t>95%</t>
        </is>
      </c>
      <c r="E15" s="4" t="n"/>
      <c r="F15" s="4" t="n"/>
      <c r="G15" s="4" t="n"/>
      <c r="H15" s="4" t="n"/>
    </row>
    <row r="16">
      <c r="A16" s="8" t="inlineStr">
        <is>
          <t>MFA Enrollment - Administrators</t>
        </is>
      </c>
      <c r="B16" s="4" t="inlineStr"/>
      <c r="C16" s="8" t="inlineStr">
        <is>
          <t>100%</t>
        </is>
      </c>
      <c r="D16" s="8" t="inlineStr">
        <is>
          <t>100%</t>
        </is>
      </c>
      <c r="E16" s="4" t="n"/>
      <c r="F16" s="4" t="n"/>
      <c r="G16" s="4" t="n"/>
      <c r="H16" s="4" t="n"/>
    </row>
    <row r="17">
      <c r="A17" s="8" t="inlineStr">
        <is>
          <t>Policy Compliance Score</t>
        </is>
      </c>
      <c r="B17" s="4" t="inlineStr"/>
      <c r="C17" s="8" t="inlineStr">
        <is>
          <t>≥95%</t>
        </is>
      </c>
      <c r="D17" s="8" t="inlineStr">
        <is>
          <t>90%</t>
        </is>
      </c>
      <c r="E17" s="4" t="n"/>
      <c r="F17" s="4" t="n"/>
      <c r="G17" s="4" t="n"/>
      <c r="H17" s="4" t="n"/>
    </row>
    <row r="18">
      <c r="A18" s="8" t="inlineStr">
        <is>
          <t>Audit Findings - Open</t>
        </is>
      </c>
      <c r="B18" s="4" t="inlineStr"/>
      <c r="C18" s="8" t="inlineStr">
        <is>
          <t>0</t>
        </is>
      </c>
      <c r="D18" s="8" t="inlineStr">
        <is>
          <t>≤3</t>
        </is>
      </c>
      <c r="E18" s="4" t="n"/>
      <c r="F18" s="4" t="n"/>
      <c r="G18" s="4" t="n"/>
      <c r="H18" s="4" t="n"/>
    </row>
    <row r="19">
      <c r="A19" s="8" t="inlineStr">
        <is>
          <t>Compliance Exceptions</t>
        </is>
      </c>
      <c r="B19" s="4" t="inlineStr"/>
      <c r="C19" s="8" t="inlineStr">
        <is>
          <t>≤5</t>
        </is>
      </c>
      <c r="D19" s="8" t="inlineStr">
        <is>
          <t>≤10</t>
        </is>
      </c>
      <c r="E19" s="4" t="n"/>
      <c r="F19" s="4" t="n"/>
      <c r="G19" s="4" t="n"/>
      <c r="H19" s="4" t="n"/>
    </row>
    <row r="21">
      <c r="A21" s="6" t="inlineStr">
        <is>
          <t>RISK METRICS</t>
        </is>
      </c>
    </row>
    <row r="22">
      <c r="A22" s="7" t="inlineStr">
        <is>
          <t>KPI</t>
        </is>
      </c>
      <c r="B22" s="7" t="inlineStr">
        <is>
          <t>Current Value</t>
        </is>
      </c>
      <c r="C22" s="7" t="inlineStr">
        <is>
          <t>Target</t>
        </is>
      </c>
      <c r="D22" s="7" t="inlineStr">
        <is>
          <t>Threshold</t>
        </is>
      </c>
      <c r="E22" s="7" t="inlineStr">
        <is>
          <t>Status</t>
        </is>
      </c>
      <c r="F22" s="7" t="inlineStr">
        <is>
          <t>Trend</t>
        </is>
      </c>
      <c r="G22" s="7" t="inlineStr">
        <is>
          <t>Last Quarter</t>
        </is>
      </c>
      <c r="H22" s="7" t="inlineStr">
        <is>
          <t>YoY Change</t>
        </is>
      </c>
    </row>
    <row r="23">
      <c r="A23" s="8" t="inlineStr">
        <is>
          <t>Critical Risks - Open</t>
        </is>
      </c>
      <c r="B23" s="14">
        <f>COUNTIFS('Risk Register'!N20:N119,"&gt;=20",'Risk Register'!Q20:Q119,"&lt;&gt;Closed")</f>
        <v/>
      </c>
      <c r="C23" s="8" t="inlineStr">
        <is>
          <t>0</t>
        </is>
      </c>
      <c r="D23" s="8" t="inlineStr">
        <is>
          <t>0</t>
        </is>
      </c>
      <c r="E23" s="4" t="n"/>
      <c r="F23" s="4" t="n"/>
      <c r="G23" s="4" t="n"/>
      <c r="H23" s="4" t="n"/>
    </row>
    <row r="24">
      <c r="A24" s="8" t="inlineStr">
        <is>
          <t>High Risks - Open</t>
        </is>
      </c>
      <c r="B24" s="14">
        <f>COUNTIFS('Risk Register'!N20:N119,"&gt;=15",'Risk Register'!Q20:Q119,"&lt;&gt;Closed")</f>
        <v/>
      </c>
      <c r="C24" s="8" t="inlineStr">
        <is>
          <t>≤5</t>
        </is>
      </c>
      <c r="D24" s="8" t="inlineStr">
        <is>
          <t>≤10</t>
        </is>
      </c>
      <c r="E24" s="4" t="n"/>
      <c r="F24" s="4" t="n"/>
      <c r="G24" s="4" t="n"/>
      <c r="H24" s="4" t="n"/>
    </row>
    <row r="25">
      <c r="A25" s="8" t="inlineStr">
        <is>
          <t>Average Risk Score</t>
        </is>
      </c>
      <c r="B25" s="14">
        <f>AVERAGE('Risk Register'!N20:N119)</f>
        <v/>
      </c>
      <c r="C25" s="8" t="inlineStr">
        <is>
          <t>&lt;10</t>
        </is>
      </c>
      <c r="D25" s="8" t="inlineStr">
        <is>
          <t>&lt;15</t>
        </is>
      </c>
      <c r="E25" s="4" t="n"/>
      <c r="F25" s="4" t="n"/>
      <c r="G25" s="4" t="n"/>
      <c r="H25" s="4" t="n"/>
    </row>
    <row r="26">
      <c r="A26" s="8" t="inlineStr">
        <is>
          <t>Risk Reduction Rate</t>
        </is>
      </c>
      <c r="B26" s="4" t="inlineStr"/>
      <c r="C26" s="8" t="inlineStr">
        <is>
          <t>≥20% per Q</t>
        </is>
      </c>
      <c r="D26" s="8" t="inlineStr">
        <is>
          <t>≥10%</t>
        </is>
      </c>
      <c r="E26" s="4" t="n"/>
      <c r="F26" s="4" t="n"/>
      <c r="G26" s="4" t="n"/>
      <c r="H26" s="4" t="n"/>
    </row>
    <row r="27">
      <c r="A27" s="8" t="inlineStr">
        <is>
          <t>Residual Risk Exposure</t>
        </is>
      </c>
      <c r="B27" s="14">
        <f>SUM('Risk Register'!N20:N119)</f>
        <v/>
      </c>
      <c r="C27" s="8" t="inlineStr">
        <is>
          <t>&lt;100</t>
        </is>
      </c>
      <c r="D27" s="8" t="inlineStr">
        <is>
          <t>&lt;200</t>
        </is>
      </c>
      <c r="E27" s="4" t="n"/>
      <c r="F27" s="4" t="n"/>
      <c r="G27" s="4" t="n"/>
      <c r="H27" s="4" t="n"/>
    </row>
    <row r="28">
      <c r="A28" s="8" t="inlineStr">
        <is>
          <t>Risks Accepted (No Remediation)</t>
        </is>
      </c>
      <c r="B28" s="14">
        <f>COUNTIF('Risk Register'!Q20:Q119,"Accepted")</f>
        <v/>
      </c>
      <c r="C28" s="8" t="inlineStr">
        <is>
          <t>≤5</t>
        </is>
      </c>
      <c r="D28" s="8" t="inlineStr">
        <is>
          <t>≤10</t>
        </is>
      </c>
      <c r="E28" s="4" t="n"/>
      <c r="F28" s="4" t="n"/>
      <c r="G28" s="4" t="n"/>
      <c r="H28" s="4" t="n"/>
    </row>
    <row r="29">
      <c r="A29" s="8" t="inlineStr">
        <is>
          <t>Risks Transferred</t>
        </is>
      </c>
      <c r="B29" s="4" t="inlineStr"/>
      <c r="C29" s="8" t="inlineStr">
        <is>
          <t>-</t>
        </is>
      </c>
      <c r="D29" s="8" t="inlineStr">
        <is>
          <t>-</t>
        </is>
      </c>
      <c r="E29" s="4" t="n"/>
      <c r="F29" s="4" t="n"/>
      <c r="G29" s="4" t="n"/>
      <c r="H29" s="4" t="n"/>
    </row>
    <row r="30">
      <c r="A30" s="8" t="inlineStr">
        <is>
          <t>Time to Risk Identification (Avg Days)</t>
        </is>
      </c>
      <c r="B30" s="4" t="inlineStr"/>
      <c r="C30" s="8" t="inlineStr">
        <is>
          <t>≤7</t>
        </is>
      </c>
      <c r="D30" s="8" t="inlineStr">
        <is>
          <t>≤14</t>
        </is>
      </c>
      <c r="E30" s="4" t="n"/>
      <c r="F30" s="4" t="n"/>
      <c r="G30" s="4" t="n"/>
      <c r="H30" s="4" t="n"/>
    </row>
    <row r="31">
      <c r="A31" s="8" t="inlineStr">
        <is>
          <t>Time to Risk Remediation (Avg Days)</t>
        </is>
      </c>
      <c r="B31" s="4" t="inlineStr"/>
      <c r="C31" s="8" t="inlineStr">
        <is>
          <t>≤90</t>
        </is>
      </c>
      <c r="D31" s="8" t="inlineStr">
        <is>
          <t>≤120</t>
        </is>
      </c>
      <c r="E31" s="4" t="n"/>
      <c r="F31" s="4" t="n"/>
      <c r="G31" s="4" t="n"/>
      <c r="H31" s="4" t="n"/>
    </row>
    <row r="32">
      <c r="A32" s="8" t="inlineStr">
        <is>
          <t>Overdue Risks</t>
        </is>
      </c>
      <c r="B32" s="4" t="inlineStr"/>
      <c r="C32" s="8" t="inlineStr">
        <is>
          <t>0</t>
        </is>
      </c>
      <c r="D32" s="8" t="inlineStr">
        <is>
          <t>≤2</t>
        </is>
      </c>
      <c r="E32" s="4" t="n"/>
      <c r="F32" s="4" t="n"/>
      <c r="G32" s="4" t="n"/>
      <c r="H32" s="4" t="n"/>
    </row>
    <row r="34">
      <c r="A34" s="6" t="inlineStr">
        <is>
          <t>REMEDIATION METRICS</t>
        </is>
      </c>
    </row>
    <row r="35">
      <c r="A35" s="7" t="inlineStr">
        <is>
          <t>KPI</t>
        </is>
      </c>
      <c r="B35" s="7" t="inlineStr">
        <is>
          <t>Current Value</t>
        </is>
      </c>
      <c r="C35" s="7" t="inlineStr">
        <is>
          <t>Target</t>
        </is>
      </c>
      <c r="D35" s="7" t="inlineStr">
        <is>
          <t>Threshold</t>
        </is>
      </c>
      <c r="E35" s="7" t="inlineStr">
        <is>
          <t>Status</t>
        </is>
      </c>
      <c r="F35" s="7" t="inlineStr">
        <is>
          <t>Trend</t>
        </is>
      </c>
      <c r="G35" s="7" t="inlineStr">
        <is>
          <t>Last Quarter</t>
        </is>
      </c>
      <c r="H35" s="7" t="inlineStr">
        <is>
          <t>YoY Change</t>
        </is>
      </c>
    </row>
    <row r="36">
      <c r="A36" s="8" t="inlineStr">
        <is>
          <t>Total Open Gaps</t>
        </is>
      </c>
      <c r="B36" s="14">
        <f>COUNTIF('Gap Analysis'!R12:R211,"&lt;&gt;Closed")</f>
        <v/>
      </c>
      <c r="C36" s="8" t="inlineStr">
        <is>
          <t>≤10</t>
        </is>
      </c>
      <c r="D36" s="8" t="inlineStr">
        <is>
          <t>≤20</t>
        </is>
      </c>
      <c r="E36" s="4" t="n"/>
      <c r="F36" s="4" t="n"/>
      <c r="G36" s="4" t="n"/>
      <c r="H36" s="4" t="n"/>
    </row>
    <row r="37">
      <c r="A37" s="8" t="inlineStr">
        <is>
          <t>Critical Gaps - Open</t>
        </is>
      </c>
      <c r="B37" s="14">
        <f>COUNTIFS('Gap Analysis'!I12:I211,"Critical",'Gap Analysis'!R12:R211,"&lt;&gt;Closed")</f>
        <v/>
      </c>
      <c r="C37" s="8" t="inlineStr">
        <is>
          <t>0</t>
        </is>
      </c>
      <c r="D37" s="8" t="inlineStr">
        <is>
          <t>0</t>
        </is>
      </c>
      <c r="E37" s="4" t="n"/>
      <c r="F37" s="4" t="n"/>
      <c r="G37" s="4" t="n"/>
      <c r="H37" s="4" t="n"/>
    </row>
    <row r="38">
      <c r="A38" s="8" t="inlineStr">
        <is>
          <t>High Priority Gaps - Open</t>
        </is>
      </c>
      <c r="B38" s="14">
        <f>COUNTIFS('Gap Analysis'!I12:I211,"High",'Gap Analysis'!R12:R211,"&lt;&gt;Closed")</f>
        <v/>
      </c>
      <c r="C38" s="8" t="inlineStr">
        <is>
          <t>≤5</t>
        </is>
      </c>
      <c r="D38" s="8" t="inlineStr">
        <is>
          <t>≤10</t>
        </is>
      </c>
      <c r="E38" s="4" t="n"/>
      <c r="F38" s="4" t="n"/>
      <c r="G38" s="4" t="n"/>
      <c r="H38" s="4" t="n"/>
    </row>
    <row r="39">
      <c r="A39" s="8" t="inlineStr">
        <is>
          <t>Gaps Closed This Quarter</t>
        </is>
      </c>
      <c r="B39" s="4" t="inlineStr"/>
      <c r="C39" s="8" t="inlineStr">
        <is>
          <t>≥10</t>
        </is>
      </c>
      <c r="D39" s="8" t="inlineStr">
        <is>
          <t>≥5</t>
        </is>
      </c>
      <c r="E39" s="4" t="n"/>
      <c r="F39" s="4" t="n"/>
      <c r="G39" s="4" t="n"/>
      <c r="H39" s="4" t="n"/>
    </row>
    <row r="40">
      <c r="A40" s="8" t="inlineStr">
        <is>
          <t>Gap Closure Rate</t>
        </is>
      </c>
      <c r="B40" s="14">
        <f>COUNTIF('Gap Analysis'!R12:R211,"Closed")/COUNTA('Gap Analysis'!R12:R211)*100&amp;"%"</f>
        <v/>
      </c>
      <c r="C40" s="8" t="inlineStr">
        <is>
          <t>≥80%</t>
        </is>
      </c>
      <c r="D40" s="8" t="inlineStr">
        <is>
          <t>≥70%</t>
        </is>
      </c>
      <c r="E40" s="4" t="n"/>
      <c r="F40" s="4" t="n"/>
      <c r="G40" s="4" t="n"/>
      <c r="H40" s="4" t="n"/>
    </row>
    <row r="41">
      <c r="A41" s="8" t="inlineStr">
        <is>
          <t>Remediation On-Time %</t>
        </is>
      </c>
      <c r="B41" s="4" t="inlineStr"/>
      <c r="C41" s="8" t="inlineStr">
        <is>
          <t>≥90%</t>
        </is>
      </c>
      <c r="D41" s="8" t="inlineStr">
        <is>
          <t>≥80%</t>
        </is>
      </c>
      <c r="E41" s="4" t="n"/>
      <c r="F41" s="4" t="n"/>
      <c r="G41" s="4" t="n"/>
      <c r="H41" s="4" t="n"/>
    </row>
    <row r="42">
      <c r="A42" s="8" t="inlineStr">
        <is>
          <t>Overdue Remediation Items</t>
        </is>
      </c>
      <c r="B42" s="14">
        <f>COUNTIFS('Remediation Roadmap'!M37:M236,"&lt;"&amp;TODAY(),'Remediation Roadmap'!H37:H236,"&lt;&gt;Completed")</f>
        <v/>
      </c>
      <c r="C42" s="8" t="inlineStr">
        <is>
          <t>0</t>
        </is>
      </c>
      <c r="D42" s="8" t="inlineStr">
        <is>
          <t>≤3</t>
        </is>
      </c>
      <c r="E42" s="4" t="n"/>
      <c r="F42" s="4" t="n"/>
      <c r="G42" s="4" t="n"/>
      <c r="H42" s="4" t="n"/>
    </row>
    <row r="43">
      <c r="A43" s="8" t="inlineStr">
        <is>
          <t>Average Time to Remediation (Days)</t>
        </is>
      </c>
      <c r="B43" s="4" t="inlineStr"/>
      <c r="C43" s="8" t="inlineStr">
        <is>
          <t>≤90</t>
        </is>
      </c>
      <c r="D43" s="8" t="inlineStr">
        <is>
          <t>≤120</t>
        </is>
      </c>
      <c r="E43" s="4" t="n"/>
      <c r="F43" s="4" t="n"/>
      <c r="G43" s="4" t="n"/>
      <c r="H43" s="4" t="n"/>
    </row>
    <row r="44">
      <c r="A44" s="8" t="inlineStr">
        <is>
          <t>Budget Utilization Rate</t>
        </is>
      </c>
      <c r="B44" s="4" t="inlineStr"/>
      <c r="C44" s="8" t="inlineStr">
        <is>
          <t>90-100%</t>
        </is>
      </c>
      <c r="D44" s="8" t="inlineStr">
        <is>
          <t>80-110%</t>
        </is>
      </c>
      <c r="E44" s="4" t="n"/>
      <c r="F44" s="4" t="n"/>
      <c r="G44" s="4" t="n"/>
      <c r="H44" s="4" t="n"/>
    </row>
    <row r="45">
      <c r="A45" s="8" t="inlineStr">
        <is>
          <t>Remediation Success Rate</t>
        </is>
      </c>
      <c r="B45" s="4" t="inlineStr"/>
      <c r="C45" s="8" t="inlineStr">
        <is>
          <t>≥95%</t>
        </is>
      </c>
      <c r="D45" s="8" t="inlineStr">
        <is>
          <t>≥90%</t>
        </is>
      </c>
      <c r="E45" s="4" t="n"/>
      <c r="F45" s="4" t="n"/>
      <c r="G45" s="4" t="n"/>
      <c r="H45" s="4" t="n"/>
    </row>
    <row r="46">
      <c r="A46" s="8" t="inlineStr">
        <is>
          <t>Recurring Gaps</t>
        </is>
      </c>
      <c r="B46" s="4" t="inlineStr"/>
      <c r="C46" s="8" t="inlineStr">
        <is>
          <t>0</t>
        </is>
      </c>
      <c r="D46" s="8" t="inlineStr">
        <is>
          <t>≤2</t>
        </is>
      </c>
      <c r="E46" s="4" t="n"/>
      <c r="F46" s="4" t="n"/>
      <c r="G46" s="4" t="n"/>
      <c r="H46" s="4" t="n"/>
    </row>
    <row r="48">
      <c r="A48" s="6" t="inlineStr">
        <is>
          <t>TECHNICAL IMPLEMENTATION METRICS</t>
        </is>
      </c>
    </row>
    <row r="49">
      <c r="A49" s="7" t="inlineStr">
        <is>
          <t>KPI</t>
        </is>
      </c>
      <c r="B49" s="7" t="inlineStr">
        <is>
          <t>Current Value</t>
        </is>
      </c>
      <c r="C49" s="7" t="inlineStr">
        <is>
          <t>Target</t>
        </is>
      </c>
      <c r="D49" s="7" t="inlineStr">
        <is>
          <t>Threshold</t>
        </is>
      </c>
      <c r="E49" s="7" t="inlineStr">
        <is>
          <t>Status</t>
        </is>
      </c>
      <c r="F49" s="7" t="inlineStr">
        <is>
          <t>Trend</t>
        </is>
      </c>
      <c r="G49" s="7" t="inlineStr">
        <is>
          <t>Last Quarter</t>
        </is>
      </c>
      <c r="H49" s="7" t="inlineStr">
        <is>
          <t>YoY Change</t>
        </is>
      </c>
    </row>
    <row r="50">
      <c r="A50" s="8" t="inlineStr">
        <is>
          <t>Systems Using Approved Algorithms</t>
        </is>
      </c>
      <c r="B50" s="4" t="inlineStr"/>
      <c r="C50" s="8" t="inlineStr">
        <is>
          <t>100%</t>
        </is>
      </c>
      <c r="D50" s="8" t="inlineStr">
        <is>
          <t>98%</t>
        </is>
      </c>
      <c r="E50" s="4" t="n"/>
      <c r="F50" s="4" t="n"/>
      <c r="G50" s="4" t="n"/>
      <c r="H50" s="4" t="n"/>
    </row>
    <row r="51">
      <c r="A51" s="8" t="inlineStr">
        <is>
          <t>Systems Using Weak/Legacy Crypto</t>
        </is>
      </c>
      <c r="B51" s="4" t="inlineStr"/>
      <c r="C51" s="8" t="inlineStr">
        <is>
          <t>0</t>
        </is>
      </c>
      <c r="D51" s="8" t="inlineStr">
        <is>
          <t>≤2</t>
        </is>
      </c>
      <c r="E51" s="4" t="n"/>
      <c r="F51" s="4" t="n"/>
      <c r="G51" s="4" t="n"/>
      <c r="H51" s="4" t="n"/>
    </row>
    <row r="52">
      <c r="A52" s="8" t="inlineStr">
        <is>
          <t>TLS 1.3 Adoption Rate</t>
        </is>
      </c>
      <c r="B52" s="4" t="inlineStr"/>
      <c r="C52" s="8" t="inlineStr">
        <is>
          <t>≥80%</t>
        </is>
      </c>
      <c r="D52" s="8" t="inlineStr">
        <is>
          <t>≥60%</t>
        </is>
      </c>
      <c r="E52" s="4" t="n"/>
      <c r="F52" s="4" t="n"/>
      <c r="G52" s="4" t="n"/>
      <c r="H52" s="4" t="n"/>
    </row>
    <row r="53">
      <c r="A53" s="8" t="inlineStr">
        <is>
          <t>TLS 1.2+ Coverage</t>
        </is>
      </c>
      <c r="B53" s="4" t="inlineStr"/>
      <c r="C53" s="8" t="inlineStr">
        <is>
          <t>100%</t>
        </is>
      </c>
      <c r="D53" s="8" t="inlineStr">
        <is>
          <t>100%</t>
        </is>
      </c>
      <c r="E53" s="4" t="n"/>
      <c r="F53" s="4" t="n"/>
      <c r="G53" s="4" t="n"/>
      <c r="H53" s="4" t="n"/>
    </row>
    <row r="54">
      <c r="A54" s="8" t="inlineStr">
        <is>
          <t>Certificate Auto-Renewal Rate</t>
        </is>
      </c>
      <c r="B54" s="4" t="inlineStr"/>
      <c r="C54" s="8" t="inlineStr">
        <is>
          <t>≥90%</t>
        </is>
      </c>
      <c r="D54" s="8" t="inlineStr">
        <is>
          <t>≥75%</t>
        </is>
      </c>
      <c r="E54" s="4" t="n"/>
      <c r="F54" s="4" t="n"/>
      <c r="G54" s="4" t="n"/>
      <c r="H54" s="4" t="n"/>
    </row>
    <row r="55">
      <c r="A55" s="8" t="inlineStr">
        <is>
          <t>Certificates Expiring &lt;30 Days</t>
        </is>
      </c>
      <c r="B55" s="4" t="inlineStr"/>
      <c r="C55" s="8" t="inlineStr">
        <is>
          <t>0</t>
        </is>
      </c>
      <c r="D55" s="8" t="inlineStr">
        <is>
          <t>≤5</t>
        </is>
      </c>
      <c r="E55" s="4" t="n"/>
      <c r="F55" s="4" t="n"/>
      <c r="G55" s="4" t="n"/>
      <c r="H55" s="4" t="n"/>
    </row>
    <row r="56">
      <c r="A56" s="8" t="inlineStr">
        <is>
          <t>Expired Certificates</t>
        </is>
      </c>
      <c r="B56" s="4" t="inlineStr"/>
      <c r="C56" s="8" t="inlineStr">
        <is>
          <t>0</t>
        </is>
      </c>
      <c r="D56" s="8" t="inlineStr">
        <is>
          <t>0</t>
        </is>
      </c>
      <c r="E56" s="4" t="n"/>
      <c r="F56" s="4" t="n"/>
      <c r="G56" s="4" t="n"/>
      <c r="H56" s="4" t="n"/>
    </row>
    <row r="57">
      <c r="A57" s="8" t="inlineStr">
        <is>
          <t>Self-Signed Certs in Production</t>
        </is>
      </c>
      <c r="B57" s="4" t="inlineStr"/>
      <c r="C57" s="8" t="inlineStr">
        <is>
          <t>0</t>
        </is>
      </c>
      <c r="D57" s="8" t="inlineStr">
        <is>
          <t>0</t>
        </is>
      </c>
      <c r="E57" s="4" t="n"/>
      <c r="F57" s="4" t="n"/>
      <c r="G57" s="4" t="n"/>
      <c r="H57" s="4" t="n"/>
    </row>
    <row r="58">
      <c r="A58" s="8" t="inlineStr">
        <is>
          <t>Key Rotation Compliance</t>
        </is>
      </c>
      <c r="B58" s="4" t="inlineStr"/>
      <c r="C58" s="8" t="inlineStr">
        <is>
          <t>≥95%</t>
        </is>
      </c>
      <c r="D58" s="8" t="inlineStr">
        <is>
          <t>≥90%</t>
        </is>
      </c>
      <c r="E58" s="4" t="n"/>
      <c r="F58" s="4" t="n"/>
      <c r="G58" s="4" t="n"/>
      <c r="H58" s="4" t="n"/>
    </row>
    <row r="59">
      <c r="A59" s="8" t="inlineStr">
        <is>
          <t>Keys Stored in HSM/KMS</t>
        </is>
      </c>
      <c r="B59" s="4" t="inlineStr"/>
      <c r="C59" s="8" t="inlineStr">
        <is>
          <t>≥90%</t>
        </is>
      </c>
      <c r="D59" s="8" t="inlineStr">
        <is>
          <t>≥80%</t>
        </is>
      </c>
      <c r="E59" s="4" t="n"/>
      <c r="F59" s="4" t="n"/>
      <c r="G59" s="4" t="n"/>
      <c r="H59" s="4" t="n"/>
    </row>
    <row r="60">
      <c r="A60" s="8" t="inlineStr">
        <is>
          <t>FIPS 140-2 Validated Modules</t>
        </is>
      </c>
      <c r="B60" s="4" t="inlineStr"/>
      <c r="C60" s="8" t="inlineStr">
        <is>
          <t>≥80%</t>
        </is>
      </c>
      <c r="D60" s="8" t="inlineStr">
        <is>
          <t>≥70%</t>
        </is>
      </c>
      <c r="E60" s="4" t="n"/>
      <c r="F60" s="4" t="n"/>
      <c r="G60" s="4" t="n"/>
      <c r="H60" s="4" t="n"/>
    </row>
    <row r="61">
      <c r="A61" s="8" t="inlineStr">
        <is>
          <t>Database Encryption (TDE) Coverage</t>
        </is>
      </c>
      <c r="B61" s="4" t="inlineStr"/>
      <c r="C61" s="8" t="inlineStr">
        <is>
          <t>100%</t>
        </is>
      </c>
      <c r="D61" s="8" t="inlineStr">
        <is>
          <t>95%</t>
        </is>
      </c>
      <c r="E61" s="4" t="n"/>
      <c r="F61" s="4" t="n"/>
      <c r="G61" s="4" t="n"/>
      <c r="H61" s="4" t="n"/>
    </row>
    <row r="62">
      <c r="A62" s="8" t="inlineStr">
        <is>
          <t>Disk Encryption Coverage - Endpoints</t>
        </is>
      </c>
      <c r="B62" s="4" t="inlineStr"/>
      <c r="C62" s="8" t="inlineStr">
        <is>
          <t>100%</t>
        </is>
      </c>
      <c r="D62" s="8" t="inlineStr">
        <is>
          <t>98%</t>
        </is>
      </c>
      <c r="E62" s="4" t="n"/>
      <c r="F62" s="4" t="n"/>
      <c r="G62" s="4" t="n"/>
      <c r="H62" s="4" t="n"/>
    </row>
    <row r="63">
      <c r="A63" s="8" t="inlineStr">
        <is>
          <t>Disk Encryption Coverage - Servers</t>
        </is>
      </c>
      <c r="B63" s="4" t="inlineStr"/>
      <c r="C63" s="8" t="inlineStr">
        <is>
          <t>100%</t>
        </is>
      </c>
      <c r="D63" s="8" t="inlineStr">
        <is>
          <t>95%</t>
        </is>
      </c>
      <c r="E63" s="4" t="n"/>
      <c r="F63" s="4" t="n"/>
      <c r="G63" s="4" t="n"/>
      <c r="H63" s="4" t="n"/>
    </row>
    <row r="64">
      <c r="A64" s="8" t="inlineStr">
        <is>
          <t>Backup Encryption Coverage</t>
        </is>
      </c>
      <c r="B64" s="4" t="inlineStr"/>
      <c r="C64" s="8" t="inlineStr">
        <is>
          <t>100%</t>
        </is>
      </c>
      <c r="D64" s="8" t="inlineStr">
        <is>
          <t>100%</t>
        </is>
      </c>
      <c r="E64" s="4" t="n"/>
      <c r="F64" s="4" t="n"/>
      <c r="G64" s="4" t="n"/>
      <c r="H64" s="4" t="n"/>
    </row>
  </sheetData>
  <mergeCells count="5">
    <mergeCell ref="A48:H48"/>
    <mergeCell ref="A3:H3"/>
    <mergeCell ref="A21:H21"/>
    <mergeCell ref="A1:H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13"/>
  <sheetViews>
    <sheetView workbookViewId="0">
      <pane ySplit="16" topLeftCell="A17" activePane="bottomLeft" state="frozen"/>
      <selection pane="bottomLeft" activeCell="A1" sqref="A1"/>
    </sheetView>
  </sheetViews>
  <sheetFormatPr baseColWidth="8" defaultRowHeight="15"/>
  <cols>
    <col width="14" customWidth="1" min="1" max="1"/>
    <col width="22" customWidth="1" min="2" max="2"/>
    <col width="22" customWidth="1" min="3" max="3"/>
    <col width="12" customWidth="1" min="4" max="4"/>
    <col width="20" customWidth="1" min="5" max="5"/>
    <col width="22" customWidth="1" min="6" max="6"/>
    <col width="40" customWidth="1" min="7" max="7"/>
    <col width="45" customWidth="1" min="8" max="8"/>
    <col width="14" customWidth="1" min="9" max="9"/>
    <col width="20" customWidth="1" min="10" max="10"/>
    <col width="18" customWidth="1" min="11" max="11"/>
    <col width="20" customWidth="1" min="12" max="12"/>
    <col width="14" customWidth="1" min="13" max="13"/>
    <col width="16" customWidth="1" min="14" max="14"/>
    <col width="14" customWidth="1" min="15" max="15"/>
    <col width="16" customWidth="1" min="16" max="16"/>
    <col width="18" customWidth="1" min="17" max="17"/>
    <col width="14" customWidth="1" min="18" max="18"/>
    <col width="16" customWidth="1" min="19" max="19"/>
    <col width="18" customWidth="1" min="20" max="20"/>
    <col width="30" customWidth="1" min="21" max="21"/>
    <col width="14" customWidth="1" min="22" max="22"/>
  </cols>
  <sheetData>
    <row r="1" ht="40" customHeight="1">
      <c r="A1" s="1" t="inlineStr">
        <is>
          <t>CONSOLIDATED EVIDENCE REGISTER
Central repository for all cryptography compliance evidence</t>
        </is>
      </c>
    </row>
    <row r="3">
      <c r="A3" s="10" t="inlineStr">
        <is>
          <t>Evidence Summary Statistics</t>
        </is>
      </c>
    </row>
    <row r="4">
      <c r="A4" s="7" t="inlineStr">
        <is>
          <t>Assessment Area</t>
        </is>
      </c>
      <c r="B4" s="7" t="inlineStr">
        <is>
          <t>Total Evidence Items</t>
        </is>
      </c>
      <c r="C4" s="7" t="inlineStr">
        <is>
          <t>Verified</t>
        </is>
      </c>
      <c r="D4" s="7" t="inlineStr">
        <is>
          <t>Pending Verification</t>
        </is>
      </c>
      <c r="E4" s="7" t="inlineStr">
        <is>
          <t>Not Verified</t>
        </is>
      </c>
      <c r="F4" s="7" t="inlineStr">
        <is>
          <t>Verification %</t>
        </is>
      </c>
    </row>
    <row r="5">
      <c r="A5" s="8" t="inlineStr">
        <is>
          <t>Data Transmission</t>
        </is>
      </c>
      <c r="B5" s="14">
        <f>COUNTIF(B17:B516,"Data Transmission")</f>
        <v/>
      </c>
      <c r="C5" s="14">
        <f>COUNTIFS(B17:B516,"Data Transmission",K17:K516,"Verified")</f>
        <v/>
      </c>
      <c r="D5" s="14">
        <f>COUNTIFS(B17:B516,"Data Transmission",K17:K516,"Pending Verification")</f>
        <v/>
      </c>
      <c r="E5" s="14">
        <f>COUNTIFS(B17:B516,"Data Transmission",K17:K516,"Not Verified")</f>
        <v/>
      </c>
      <c r="F5" s="14">
        <f>IF(B5=0,"0%",C5/B5*100&amp;"%")</f>
        <v/>
      </c>
    </row>
    <row r="6">
      <c r="A6" s="8" t="inlineStr">
        <is>
          <t>Data Storage</t>
        </is>
      </c>
      <c r="B6" s="14">
        <f>COUNTIF(B17:B516,"Data Storage")</f>
        <v/>
      </c>
      <c r="C6" s="14">
        <f>COUNTIFS(B17:B516,"Data Storage",K17:K516,"Verified")</f>
        <v/>
      </c>
      <c r="D6" s="14">
        <f>COUNTIFS(B17:B516,"Data Storage",K17:K516,"Pending Verification")</f>
        <v/>
      </c>
      <c r="E6" s="14">
        <f>COUNTIFS(B17:B516,"Data Storage",K17:K516,"Not Verified")</f>
        <v/>
      </c>
      <c r="F6" s="14">
        <f>IF(B6=0,"0%",C6/B6*100&amp;"%")</f>
        <v/>
      </c>
    </row>
    <row r="7">
      <c r="A7" s="8" t="inlineStr">
        <is>
          <t>Authentication</t>
        </is>
      </c>
      <c r="B7" s="14">
        <f>COUNTIF(B17:B516,"Authentication")</f>
        <v/>
      </c>
      <c r="C7" s="14">
        <f>COUNTIFS(B17:B516,"Authentication",K17:K516,"Verified")</f>
        <v/>
      </c>
      <c r="D7" s="14">
        <f>COUNTIFS(B17:B516,"Authentication",K17:K516,"Pending Verification")</f>
        <v/>
      </c>
      <c r="E7" s="14">
        <f>COUNTIFS(B17:B516,"Authentication",K17:K516,"Not Verified")</f>
        <v/>
      </c>
      <c r="F7" s="14">
        <f>IF(B7=0,"0%",C7/B7*100&amp;"%")</f>
        <v/>
      </c>
    </row>
    <row r="8">
      <c r="A8" s="8" t="inlineStr">
        <is>
          <t>Key Management</t>
        </is>
      </c>
      <c r="B8" s="14">
        <f>COUNTIF(B17:B516,"Key Management")</f>
        <v/>
      </c>
      <c r="C8" s="14">
        <f>COUNTIFS(B17:B516,"Key Management",K17:K516,"Verified")</f>
        <v/>
      </c>
      <c r="D8" s="14">
        <f>COUNTIFS(B17:B516,"Key Management",K17:K516,"Pending Verification")</f>
        <v/>
      </c>
      <c r="E8" s="14">
        <f>COUNTIFS(B17:B516,"Key Management",K17:K516,"Not Verified")</f>
        <v/>
      </c>
      <c r="F8" s="14">
        <f>IF(B8=0,"0%",C8/B8*100&amp;"%")</f>
        <v/>
      </c>
    </row>
    <row r="9">
      <c r="A9" s="3" t="inlineStr">
        <is>
          <t>TOTAL</t>
        </is>
      </c>
      <c r="B9" s="11">
        <f>SUM(B5:B8)</f>
        <v/>
      </c>
      <c r="C9" s="11">
        <f>SUM(C5:C8)</f>
        <v/>
      </c>
      <c r="D9" s="11">
        <f>SUM(D5:D8)</f>
        <v/>
      </c>
      <c r="E9" s="11">
        <f>SUM(E5:E8)</f>
        <v/>
      </c>
      <c r="F9" s="11">
        <f>SUM(F5:F8)</f>
        <v/>
      </c>
    </row>
    <row r="12">
      <c r="A12" s="10" t="inlineStr">
        <is>
          <t>DETAILED EVIDENCE REGISTER</t>
        </is>
      </c>
    </row>
    <row r="13">
      <c r="A13" s="7" t="inlineStr">
        <is>
          <t>Evidence ID</t>
        </is>
      </c>
      <c r="B13" s="7" t="inlineStr">
        <is>
          <t>Assessment Area</t>
        </is>
      </c>
      <c r="C13" s="7" t="inlineStr">
        <is>
          <t>Source Document</t>
        </is>
      </c>
      <c r="D13" s="7" t="inlineStr">
        <is>
          <t>Gap ID (Link)</t>
        </is>
      </c>
      <c r="E13" s="7" t="inlineStr">
        <is>
          <t>Control Reference</t>
        </is>
      </c>
      <c r="F13" s="7" t="inlineStr">
        <is>
          <t>Evidence Type</t>
        </is>
      </c>
      <c r="G13" s="7" t="inlineStr">
        <is>
          <t>Evidence Description</t>
        </is>
      </c>
      <c r="H13" s="7" t="inlineStr">
        <is>
          <t>Evidence Location/Path</t>
        </is>
      </c>
      <c r="I13" s="7" t="inlineStr">
        <is>
          <t>Date Collected</t>
        </is>
      </c>
      <c r="J13" s="7" t="inlineStr">
        <is>
          <t>Collected By</t>
        </is>
      </c>
      <c r="K13" s="7" t="inlineStr">
        <is>
          <t>Verification Status</t>
        </is>
      </c>
      <c r="L13" s="7" t="inlineStr">
        <is>
          <t>Verified By</t>
        </is>
      </c>
      <c r="M13" s="7" t="inlineStr">
        <is>
          <t>Verification Date</t>
        </is>
      </c>
      <c r="N13" s="7" t="inlineStr">
        <is>
          <t>Retention Period</t>
        </is>
      </c>
      <c r="O13" s="7" t="inlineStr">
        <is>
          <t>Destruction Date</t>
        </is>
      </c>
      <c r="P13" s="7" t="inlineStr">
        <is>
          <t>Classification</t>
        </is>
      </c>
      <c r="Q13" s="7" t="inlineStr">
        <is>
          <t>Accessibility</t>
        </is>
      </c>
      <c r="R13" s="7" t="inlineStr">
        <is>
          <t>Related Risk ID</t>
        </is>
      </c>
      <c r="S13" s="7" t="inlineStr">
        <is>
          <t>Related Remediation ID</t>
        </is>
      </c>
      <c r="T13" s="7" t="inlineStr">
        <is>
          <t>Audit Reference</t>
        </is>
      </c>
      <c r="U13" s="7" t="inlineStr">
        <is>
          <t>Notes/Comments</t>
        </is>
      </c>
      <c r="V13" s="7" t="inlineStr">
        <is>
          <t>Last Updated</t>
        </is>
      </c>
    </row>
    <row r="14">
      <c r="A14" s="20" t="inlineStr">
        <is>
          <t>EV-001</t>
        </is>
      </c>
      <c r="B14" s="21" t="n"/>
      <c r="C14" s="21" t="n"/>
      <c r="D14" s="21" t="n"/>
      <c r="E14" s="21" t="n"/>
      <c r="F14" s="21" t="n"/>
      <c r="G14" s="21" t="n"/>
      <c r="H14" s="21" t="n"/>
      <c r="I14" s="21" t="n"/>
      <c r="J14" s="21" t="n"/>
      <c r="K14" s="21" t="n"/>
      <c r="L14" s="21" t="n"/>
      <c r="M14" s="21" t="n"/>
      <c r="N14" s="21" t="n"/>
      <c r="O14" s="25">
        <f>IF(OR(ISBLANK(I14),ISBLANK(N14)),"",EDATE(I14,IF(N14="1 year",12,IF(N14="3 years",36,IF(N14="5 years",60,IF(N14="7 years",84,600))))))</f>
        <v/>
      </c>
      <c r="P14" s="21" t="n"/>
      <c r="Q14" s="21" t="n"/>
      <c r="R14" s="21" t="n"/>
      <c r="S14" s="21" t="n"/>
      <c r="T14" s="21" t="n"/>
      <c r="U14" s="21" t="n"/>
      <c r="V14" s="25">
        <f>TODAY()</f>
        <v/>
      </c>
    </row>
    <row r="15">
      <c r="A15" s="20" t="inlineStr">
        <is>
          <t>EV-002</t>
        </is>
      </c>
      <c r="B15" s="21" t="n"/>
      <c r="C15" s="21" t="n"/>
      <c r="D15" s="21" t="n"/>
      <c r="E15" s="21" t="n"/>
      <c r="F15" s="21" t="n"/>
      <c r="G15" s="21" t="n"/>
      <c r="H15" s="21" t="n"/>
      <c r="I15" s="21" t="n"/>
      <c r="J15" s="21" t="n"/>
      <c r="K15" s="21" t="n"/>
      <c r="L15" s="21" t="n"/>
      <c r="M15" s="21" t="n"/>
      <c r="N15" s="21" t="n"/>
      <c r="O15" s="25">
        <f>IF(OR(ISBLANK(I15),ISBLANK(N15)),"",EDATE(I15,IF(N15="1 year",12,IF(N15="3 years",36,IF(N15="5 years",60,IF(N15="7 years",84,600))))))</f>
        <v/>
      </c>
      <c r="P15" s="21" t="n"/>
      <c r="Q15" s="21" t="n"/>
      <c r="R15" s="21" t="n"/>
      <c r="S15" s="21" t="n"/>
      <c r="T15" s="21" t="n"/>
      <c r="U15" s="21" t="n"/>
      <c r="V15" s="25">
        <f>TODAY()</f>
        <v/>
      </c>
    </row>
    <row r="16">
      <c r="A16" s="20" t="inlineStr">
        <is>
          <t>EV-003</t>
        </is>
      </c>
      <c r="B16" s="21" t="n"/>
      <c r="C16" s="21" t="n"/>
      <c r="D16" s="21" t="n"/>
      <c r="E16" s="21" t="n"/>
      <c r="F16" s="21" t="n"/>
      <c r="G16" s="21" t="n"/>
      <c r="H16" s="21" t="n"/>
      <c r="I16" s="21" t="n"/>
      <c r="J16" s="21" t="n"/>
      <c r="K16" s="21" t="n"/>
      <c r="L16" s="21" t="n"/>
      <c r="M16" s="21" t="n"/>
      <c r="N16" s="21" t="n"/>
      <c r="O16" s="25">
        <f>IF(OR(ISBLANK(I16),ISBLANK(N16)),"",EDATE(I16,IF(N16="1 year",12,IF(N16="3 years",36,IF(N16="5 years",60,IF(N16="7 years",84,600))))))</f>
        <v/>
      </c>
      <c r="P16" s="21" t="n"/>
      <c r="Q16" s="21" t="n"/>
      <c r="R16" s="21" t="n"/>
      <c r="S16" s="21" t="n"/>
      <c r="T16" s="21" t="n"/>
      <c r="U16" s="21" t="n"/>
      <c r="V16" s="25">
        <f>TODAY()</f>
        <v/>
      </c>
    </row>
    <row r="17">
      <c r="A17" s="20" t="inlineStr">
        <is>
          <t>EV-004</t>
        </is>
      </c>
      <c r="B17" s="21" t="n"/>
      <c r="C17" s="21" t="n"/>
      <c r="D17" s="21" t="n"/>
      <c r="E17" s="21" t="n"/>
      <c r="F17" s="21" t="n"/>
      <c r="G17" s="21" t="n"/>
      <c r="H17" s="21" t="n"/>
      <c r="I17" s="21" t="n"/>
      <c r="J17" s="21" t="n"/>
      <c r="K17" s="21" t="n"/>
      <c r="L17" s="21" t="n"/>
      <c r="M17" s="21" t="n"/>
      <c r="N17" s="21" t="n"/>
      <c r="O17" s="25">
        <f>IF(OR(ISBLANK(I17),ISBLANK(N17)),"",EDATE(I17,IF(N17="1 year",12,IF(N17="3 years",36,IF(N17="5 years",60,IF(N17="7 years",84,600))))))</f>
        <v/>
      </c>
      <c r="P17" s="21" t="n"/>
      <c r="Q17" s="21" t="n"/>
      <c r="R17" s="21" t="n"/>
      <c r="S17" s="21" t="n"/>
      <c r="T17" s="21" t="n"/>
      <c r="U17" s="21" t="n"/>
      <c r="V17" s="25">
        <f>TODAY()</f>
        <v/>
      </c>
    </row>
    <row r="18">
      <c r="A18" s="20" t="inlineStr">
        <is>
          <t>EV-005</t>
        </is>
      </c>
      <c r="B18" s="21" t="n"/>
      <c r="C18" s="21" t="n"/>
      <c r="D18" s="21" t="n"/>
      <c r="E18" s="21" t="n"/>
      <c r="F18" s="21" t="n"/>
      <c r="G18" s="21" t="n"/>
      <c r="H18" s="21" t="n"/>
      <c r="I18" s="21" t="n"/>
      <c r="J18" s="21" t="n"/>
      <c r="K18" s="21" t="n"/>
      <c r="L18" s="21" t="n"/>
      <c r="M18" s="21" t="n"/>
      <c r="N18" s="21" t="n"/>
      <c r="O18" s="25">
        <f>IF(OR(ISBLANK(I18),ISBLANK(N18)),"",EDATE(I18,IF(N18="1 year",12,IF(N18="3 years",36,IF(N18="5 years",60,IF(N18="7 years",84,600))))))</f>
        <v/>
      </c>
      <c r="P18" s="21" t="n"/>
      <c r="Q18" s="21" t="n"/>
      <c r="R18" s="21" t="n"/>
      <c r="S18" s="21" t="n"/>
      <c r="T18" s="21" t="n"/>
      <c r="U18" s="21" t="n"/>
      <c r="V18" s="25">
        <f>TODAY()</f>
        <v/>
      </c>
    </row>
    <row r="19">
      <c r="A19" s="20" t="inlineStr">
        <is>
          <t>EV-006</t>
        </is>
      </c>
      <c r="B19" s="21" t="n"/>
      <c r="C19" s="21" t="n"/>
      <c r="D19" s="21" t="n"/>
      <c r="E19" s="21" t="n"/>
      <c r="F19" s="21" t="n"/>
      <c r="G19" s="21" t="n"/>
      <c r="H19" s="21" t="n"/>
      <c r="I19" s="21" t="n"/>
      <c r="J19" s="21" t="n"/>
      <c r="K19" s="21" t="n"/>
      <c r="L19" s="21" t="n"/>
      <c r="M19" s="21" t="n"/>
      <c r="N19" s="21" t="n"/>
      <c r="O19" s="25">
        <f>IF(OR(ISBLANK(I19),ISBLANK(N19)),"",EDATE(I19,IF(N19="1 year",12,IF(N19="3 years",36,IF(N19="5 years",60,IF(N19="7 years",84,600))))))</f>
        <v/>
      </c>
      <c r="P19" s="21" t="n"/>
      <c r="Q19" s="21" t="n"/>
      <c r="R19" s="21" t="n"/>
      <c r="S19" s="21" t="n"/>
      <c r="T19" s="21" t="n"/>
      <c r="U19" s="21" t="n"/>
      <c r="V19" s="25">
        <f>TODAY()</f>
        <v/>
      </c>
    </row>
    <row r="20">
      <c r="A20" s="20" t="inlineStr">
        <is>
          <t>EV-007</t>
        </is>
      </c>
      <c r="B20" s="21" t="n"/>
      <c r="C20" s="21" t="n"/>
      <c r="D20" s="21" t="n"/>
      <c r="E20" s="21" t="n"/>
      <c r="F20" s="21" t="n"/>
      <c r="G20" s="21" t="n"/>
      <c r="H20" s="21" t="n"/>
      <c r="I20" s="21" t="n"/>
      <c r="J20" s="21" t="n"/>
      <c r="K20" s="21" t="n"/>
      <c r="L20" s="21" t="n"/>
      <c r="M20" s="21" t="n"/>
      <c r="N20" s="21" t="n"/>
      <c r="O20" s="25">
        <f>IF(OR(ISBLANK(I20),ISBLANK(N20)),"",EDATE(I20,IF(N20="1 year",12,IF(N20="3 years",36,IF(N20="5 years",60,IF(N20="7 years",84,600))))))</f>
        <v/>
      </c>
      <c r="P20" s="21" t="n"/>
      <c r="Q20" s="21" t="n"/>
      <c r="R20" s="21" t="n"/>
      <c r="S20" s="21" t="n"/>
      <c r="T20" s="21" t="n"/>
      <c r="U20" s="21" t="n"/>
      <c r="V20" s="25">
        <f>TODAY()</f>
        <v/>
      </c>
    </row>
    <row r="21">
      <c r="A21" s="20" t="inlineStr">
        <is>
          <t>EV-008</t>
        </is>
      </c>
      <c r="B21" s="21" t="n"/>
      <c r="C21" s="21" t="n"/>
      <c r="D21" s="21" t="n"/>
      <c r="E21" s="21" t="n"/>
      <c r="F21" s="21" t="n"/>
      <c r="G21" s="21" t="n"/>
      <c r="H21" s="21" t="n"/>
      <c r="I21" s="21" t="n"/>
      <c r="J21" s="21" t="n"/>
      <c r="K21" s="21" t="n"/>
      <c r="L21" s="21" t="n"/>
      <c r="M21" s="21" t="n"/>
      <c r="N21" s="21" t="n"/>
      <c r="O21" s="25">
        <f>IF(OR(ISBLANK(I21),ISBLANK(N21)),"",EDATE(I21,IF(N21="1 year",12,IF(N21="3 years",36,IF(N21="5 years",60,IF(N21="7 years",84,600))))))</f>
        <v/>
      </c>
      <c r="P21" s="21" t="n"/>
      <c r="Q21" s="21" t="n"/>
      <c r="R21" s="21" t="n"/>
      <c r="S21" s="21" t="n"/>
      <c r="T21" s="21" t="n"/>
      <c r="U21" s="21" t="n"/>
      <c r="V21" s="25">
        <f>TODAY()</f>
        <v/>
      </c>
    </row>
    <row r="22">
      <c r="A22" s="20" t="inlineStr">
        <is>
          <t>EV-009</t>
        </is>
      </c>
      <c r="B22" s="21" t="n"/>
      <c r="C22" s="21" t="n"/>
      <c r="D22" s="21" t="n"/>
      <c r="E22" s="21" t="n"/>
      <c r="F22" s="21" t="n"/>
      <c r="G22" s="21" t="n"/>
      <c r="H22" s="21" t="n"/>
      <c r="I22" s="21" t="n"/>
      <c r="J22" s="21" t="n"/>
      <c r="K22" s="21" t="n"/>
      <c r="L22" s="21" t="n"/>
      <c r="M22" s="21" t="n"/>
      <c r="N22" s="21" t="n"/>
      <c r="O22" s="25">
        <f>IF(OR(ISBLANK(I22),ISBLANK(N22)),"",EDATE(I22,IF(N22="1 year",12,IF(N22="3 years",36,IF(N22="5 years",60,IF(N22="7 years",84,600))))))</f>
        <v/>
      </c>
      <c r="P22" s="21" t="n"/>
      <c r="Q22" s="21" t="n"/>
      <c r="R22" s="21" t="n"/>
      <c r="S22" s="21" t="n"/>
      <c r="T22" s="21" t="n"/>
      <c r="U22" s="21" t="n"/>
      <c r="V22" s="25">
        <f>TODAY()</f>
        <v/>
      </c>
    </row>
    <row r="23">
      <c r="A23" s="20" t="inlineStr">
        <is>
          <t>EV-010</t>
        </is>
      </c>
      <c r="B23" s="21" t="n"/>
      <c r="C23" s="21" t="n"/>
      <c r="D23" s="21" t="n"/>
      <c r="E23" s="21" t="n"/>
      <c r="F23" s="21" t="n"/>
      <c r="G23" s="21" t="n"/>
      <c r="H23" s="21" t="n"/>
      <c r="I23" s="21" t="n"/>
      <c r="J23" s="21" t="n"/>
      <c r="K23" s="21" t="n"/>
      <c r="L23" s="21" t="n"/>
      <c r="M23" s="21" t="n"/>
      <c r="N23" s="21" t="n"/>
      <c r="O23" s="25">
        <f>IF(OR(ISBLANK(I23),ISBLANK(N23)),"",EDATE(I23,IF(N23="1 year",12,IF(N23="3 years",36,IF(N23="5 years",60,IF(N23="7 years",84,600))))))</f>
        <v/>
      </c>
      <c r="P23" s="21" t="n"/>
      <c r="Q23" s="21" t="n"/>
      <c r="R23" s="21" t="n"/>
      <c r="S23" s="21" t="n"/>
      <c r="T23" s="21" t="n"/>
      <c r="U23" s="21" t="n"/>
      <c r="V23" s="25">
        <f>TODAY()</f>
        <v/>
      </c>
    </row>
    <row r="24">
      <c r="A24" s="20" t="inlineStr">
        <is>
          <t>EV-011</t>
        </is>
      </c>
      <c r="B24" s="21" t="n"/>
      <c r="C24" s="21" t="n"/>
      <c r="D24" s="21" t="n"/>
      <c r="E24" s="21" t="n"/>
      <c r="F24" s="21" t="n"/>
      <c r="G24" s="21" t="n"/>
      <c r="H24" s="21" t="n"/>
      <c r="I24" s="21" t="n"/>
      <c r="J24" s="21" t="n"/>
      <c r="K24" s="21" t="n"/>
      <c r="L24" s="21" t="n"/>
      <c r="M24" s="21" t="n"/>
      <c r="N24" s="21" t="n"/>
      <c r="O24" s="25">
        <f>IF(OR(ISBLANK(I24),ISBLANK(N24)),"",EDATE(I24,IF(N24="1 year",12,IF(N24="3 years",36,IF(N24="5 years",60,IF(N24="7 years",84,600))))))</f>
        <v/>
      </c>
      <c r="P24" s="21" t="n"/>
      <c r="Q24" s="21" t="n"/>
      <c r="R24" s="21" t="n"/>
      <c r="S24" s="21" t="n"/>
      <c r="T24" s="21" t="n"/>
      <c r="U24" s="21" t="n"/>
      <c r="V24" s="25">
        <f>TODAY()</f>
        <v/>
      </c>
    </row>
    <row r="25">
      <c r="A25" s="20" t="inlineStr">
        <is>
          <t>EV-012</t>
        </is>
      </c>
      <c r="B25" s="21" t="n"/>
      <c r="C25" s="21" t="n"/>
      <c r="D25" s="21" t="n"/>
      <c r="E25" s="21" t="n"/>
      <c r="F25" s="21" t="n"/>
      <c r="G25" s="21" t="n"/>
      <c r="H25" s="21" t="n"/>
      <c r="I25" s="21" t="n"/>
      <c r="J25" s="21" t="n"/>
      <c r="K25" s="21" t="n"/>
      <c r="L25" s="21" t="n"/>
      <c r="M25" s="21" t="n"/>
      <c r="N25" s="21" t="n"/>
      <c r="O25" s="25">
        <f>IF(OR(ISBLANK(I25),ISBLANK(N25)),"",EDATE(I25,IF(N25="1 year",12,IF(N25="3 years",36,IF(N25="5 years",60,IF(N25="7 years",84,600))))))</f>
        <v/>
      </c>
      <c r="P25" s="21" t="n"/>
      <c r="Q25" s="21" t="n"/>
      <c r="R25" s="21" t="n"/>
      <c r="S25" s="21" t="n"/>
      <c r="T25" s="21" t="n"/>
      <c r="U25" s="21" t="n"/>
      <c r="V25" s="25">
        <f>TODAY()</f>
        <v/>
      </c>
    </row>
    <row r="26">
      <c r="A26" s="20" t="inlineStr">
        <is>
          <t>EV-013</t>
        </is>
      </c>
      <c r="B26" s="21" t="n"/>
      <c r="C26" s="21" t="n"/>
      <c r="D26" s="21" t="n"/>
      <c r="E26" s="21" t="n"/>
      <c r="F26" s="21" t="n"/>
      <c r="G26" s="21" t="n"/>
      <c r="H26" s="21" t="n"/>
      <c r="I26" s="21" t="n"/>
      <c r="J26" s="21" t="n"/>
      <c r="K26" s="21" t="n"/>
      <c r="L26" s="21" t="n"/>
      <c r="M26" s="21" t="n"/>
      <c r="N26" s="21" t="n"/>
      <c r="O26" s="25">
        <f>IF(OR(ISBLANK(I26),ISBLANK(N26)),"",EDATE(I26,IF(N26="1 year",12,IF(N26="3 years",36,IF(N26="5 years",60,IF(N26="7 years",84,600))))))</f>
        <v/>
      </c>
      <c r="P26" s="21" t="n"/>
      <c r="Q26" s="21" t="n"/>
      <c r="R26" s="21" t="n"/>
      <c r="S26" s="21" t="n"/>
      <c r="T26" s="21" t="n"/>
      <c r="U26" s="21" t="n"/>
      <c r="V26" s="25">
        <f>TODAY()</f>
        <v/>
      </c>
    </row>
    <row r="27">
      <c r="A27" s="20" t="inlineStr">
        <is>
          <t>EV-014</t>
        </is>
      </c>
      <c r="B27" s="21" t="n"/>
      <c r="C27" s="21" t="n"/>
      <c r="D27" s="21" t="n"/>
      <c r="E27" s="21" t="n"/>
      <c r="F27" s="21" t="n"/>
      <c r="G27" s="21" t="n"/>
      <c r="H27" s="21" t="n"/>
      <c r="I27" s="21" t="n"/>
      <c r="J27" s="21" t="n"/>
      <c r="K27" s="21" t="n"/>
      <c r="L27" s="21" t="n"/>
      <c r="M27" s="21" t="n"/>
      <c r="N27" s="21" t="n"/>
      <c r="O27" s="25">
        <f>IF(OR(ISBLANK(I27),ISBLANK(N27)),"",EDATE(I27,IF(N27="1 year",12,IF(N27="3 years",36,IF(N27="5 years",60,IF(N27="7 years",84,600))))))</f>
        <v/>
      </c>
      <c r="P27" s="21" t="n"/>
      <c r="Q27" s="21" t="n"/>
      <c r="R27" s="21" t="n"/>
      <c r="S27" s="21" t="n"/>
      <c r="T27" s="21" t="n"/>
      <c r="U27" s="21" t="n"/>
      <c r="V27" s="25">
        <f>TODAY()</f>
        <v/>
      </c>
    </row>
    <row r="28">
      <c r="A28" s="20" t="inlineStr">
        <is>
          <t>EV-015</t>
        </is>
      </c>
      <c r="B28" s="21" t="n"/>
      <c r="C28" s="21" t="n"/>
      <c r="D28" s="21" t="n"/>
      <c r="E28" s="21" t="n"/>
      <c r="F28" s="21" t="n"/>
      <c r="G28" s="21" t="n"/>
      <c r="H28" s="21" t="n"/>
      <c r="I28" s="21" t="n"/>
      <c r="J28" s="21" t="n"/>
      <c r="K28" s="21" t="n"/>
      <c r="L28" s="21" t="n"/>
      <c r="M28" s="21" t="n"/>
      <c r="N28" s="21" t="n"/>
      <c r="O28" s="25">
        <f>IF(OR(ISBLANK(I28),ISBLANK(N28)),"",EDATE(I28,IF(N28="1 year",12,IF(N28="3 years",36,IF(N28="5 years",60,IF(N28="7 years",84,600))))))</f>
        <v/>
      </c>
      <c r="P28" s="21" t="n"/>
      <c r="Q28" s="21" t="n"/>
      <c r="R28" s="21" t="n"/>
      <c r="S28" s="21" t="n"/>
      <c r="T28" s="21" t="n"/>
      <c r="U28" s="21" t="n"/>
      <c r="V28" s="25">
        <f>TODAY()</f>
        <v/>
      </c>
    </row>
    <row r="29">
      <c r="A29" s="20" t="inlineStr">
        <is>
          <t>EV-016</t>
        </is>
      </c>
      <c r="B29" s="21" t="n"/>
      <c r="C29" s="21" t="n"/>
      <c r="D29" s="21" t="n"/>
      <c r="E29" s="21" t="n"/>
      <c r="F29" s="21" t="n"/>
      <c r="G29" s="21" t="n"/>
      <c r="H29" s="21" t="n"/>
      <c r="I29" s="21" t="n"/>
      <c r="J29" s="21" t="n"/>
      <c r="K29" s="21" t="n"/>
      <c r="L29" s="21" t="n"/>
      <c r="M29" s="21" t="n"/>
      <c r="N29" s="21" t="n"/>
      <c r="O29" s="25">
        <f>IF(OR(ISBLANK(I29),ISBLANK(N29)),"",EDATE(I29,IF(N29="1 year",12,IF(N29="3 years",36,IF(N29="5 years",60,IF(N29="7 years",84,600))))))</f>
        <v/>
      </c>
      <c r="P29" s="21" t="n"/>
      <c r="Q29" s="21" t="n"/>
      <c r="R29" s="21" t="n"/>
      <c r="S29" s="21" t="n"/>
      <c r="T29" s="21" t="n"/>
      <c r="U29" s="21" t="n"/>
      <c r="V29" s="25">
        <f>TODAY()</f>
        <v/>
      </c>
    </row>
    <row r="30">
      <c r="A30" s="20" t="inlineStr">
        <is>
          <t>EV-017</t>
        </is>
      </c>
      <c r="B30" s="21" t="n"/>
      <c r="C30" s="21" t="n"/>
      <c r="D30" s="21" t="n"/>
      <c r="E30" s="21" t="n"/>
      <c r="F30" s="21" t="n"/>
      <c r="G30" s="21" t="n"/>
      <c r="H30" s="21" t="n"/>
      <c r="I30" s="21" t="n"/>
      <c r="J30" s="21" t="n"/>
      <c r="K30" s="21" t="n"/>
      <c r="L30" s="21" t="n"/>
      <c r="M30" s="21" t="n"/>
      <c r="N30" s="21" t="n"/>
      <c r="O30" s="25">
        <f>IF(OR(ISBLANK(I30),ISBLANK(N30)),"",EDATE(I30,IF(N30="1 year",12,IF(N30="3 years",36,IF(N30="5 years",60,IF(N30="7 years",84,600))))))</f>
        <v/>
      </c>
      <c r="P30" s="21" t="n"/>
      <c r="Q30" s="21" t="n"/>
      <c r="R30" s="21" t="n"/>
      <c r="S30" s="21" t="n"/>
      <c r="T30" s="21" t="n"/>
      <c r="U30" s="21" t="n"/>
      <c r="V30" s="25">
        <f>TODAY()</f>
        <v/>
      </c>
    </row>
    <row r="31">
      <c r="A31" s="20" t="inlineStr">
        <is>
          <t>EV-018</t>
        </is>
      </c>
      <c r="B31" s="21" t="n"/>
      <c r="C31" s="21" t="n"/>
      <c r="D31" s="21" t="n"/>
      <c r="E31" s="21" t="n"/>
      <c r="F31" s="21" t="n"/>
      <c r="G31" s="21" t="n"/>
      <c r="H31" s="21" t="n"/>
      <c r="I31" s="21" t="n"/>
      <c r="J31" s="21" t="n"/>
      <c r="K31" s="21" t="n"/>
      <c r="L31" s="21" t="n"/>
      <c r="M31" s="21" t="n"/>
      <c r="N31" s="21" t="n"/>
      <c r="O31" s="25">
        <f>IF(OR(ISBLANK(I31),ISBLANK(N31)),"",EDATE(I31,IF(N31="1 year",12,IF(N31="3 years",36,IF(N31="5 years",60,IF(N31="7 years",84,600))))))</f>
        <v/>
      </c>
      <c r="P31" s="21" t="n"/>
      <c r="Q31" s="21" t="n"/>
      <c r="R31" s="21" t="n"/>
      <c r="S31" s="21" t="n"/>
      <c r="T31" s="21" t="n"/>
      <c r="U31" s="21" t="n"/>
      <c r="V31" s="25">
        <f>TODAY()</f>
        <v/>
      </c>
    </row>
    <row r="32">
      <c r="A32" s="20" t="inlineStr">
        <is>
          <t>EV-019</t>
        </is>
      </c>
      <c r="B32" s="21" t="n"/>
      <c r="C32" s="21" t="n"/>
      <c r="D32" s="21" t="n"/>
      <c r="E32" s="21" t="n"/>
      <c r="F32" s="21" t="n"/>
      <c r="G32" s="21" t="n"/>
      <c r="H32" s="21" t="n"/>
      <c r="I32" s="21" t="n"/>
      <c r="J32" s="21" t="n"/>
      <c r="K32" s="21" t="n"/>
      <c r="L32" s="21" t="n"/>
      <c r="M32" s="21" t="n"/>
      <c r="N32" s="21" t="n"/>
      <c r="O32" s="25">
        <f>IF(OR(ISBLANK(I32),ISBLANK(N32)),"",EDATE(I32,IF(N32="1 year",12,IF(N32="3 years",36,IF(N32="5 years",60,IF(N32="7 years",84,600))))))</f>
        <v/>
      </c>
      <c r="P32" s="21" t="n"/>
      <c r="Q32" s="21" t="n"/>
      <c r="R32" s="21" t="n"/>
      <c r="S32" s="21" t="n"/>
      <c r="T32" s="21" t="n"/>
      <c r="U32" s="21" t="n"/>
      <c r="V32" s="25">
        <f>TODAY()</f>
        <v/>
      </c>
    </row>
    <row r="33">
      <c r="A33" s="20" t="inlineStr">
        <is>
          <t>EV-020</t>
        </is>
      </c>
      <c r="B33" s="21" t="n"/>
      <c r="C33" s="21" t="n"/>
      <c r="D33" s="21" t="n"/>
      <c r="E33" s="21" t="n"/>
      <c r="F33" s="21" t="n"/>
      <c r="G33" s="21" t="n"/>
      <c r="H33" s="21" t="n"/>
      <c r="I33" s="21" t="n"/>
      <c r="J33" s="21" t="n"/>
      <c r="K33" s="21" t="n"/>
      <c r="L33" s="21" t="n"/>
      <c r="M33" s="21" t="n"/>
      <c r="N33" s="21" t="n"/>
      <c r="O33" s="25">
        <f>IF(OR(ISBLANK(I33),ISBLANK(N33)),"",EDATE(I33,IF(N33="1 year",12,IF(N33="3 years",36,IF(N33="5 years",60,IF(N33="7 years",84,600))))))</f>
        <v/>
      </c>
      <c r="P33" s="21" t="n"/>
      <c r="Q33" s="21" t="n"/>
      <c r="R33" s="21" t="n"/>
      <c r="S33" s="21" t="n"/>
      <c r="T33" s="21" t="n"/>
      <c r="U33" s="21" t="n"/>
      <c r="V33" s="25">
        <f>TODAY()</f>
        <v/>
      </c>
    </row>
    <row r="34">
      <c r="A34" s="20" t="inlineStr">
        <is>
          <t>EV-021</t>
        </is>
      </c>
      <c r="B34" s="21" t="n"/>
      <c r="C34" s="21" t="n"/>
      <c r="D34" s="21" t="n"/>
      <c r="E34" s="21" t="n"/>
      <c r="F34" s="21" t="n"/>
      <c r="G34" s="21" t="n"/>
      <c r="H34" s="21" t="n"/>
      <c r="I34" s="21" t="n"/>
      <c r="J34" s="21" t="n"/>
      <c r="K34" s="21" t="n"/>
      <c r="L34" s="21" t="n"/>
      <c r="M34" s="21" t="n"/>
      <c r="N34" s="21" t="n"/>
      <c r="O34" s="25">
        <f>IF(OR(ISBLANK(I34),ISBLANK(N34)),"",EDATE(I34,IF(N34="1 year",12,IF(N34="3 years",36,IF(N34="5 years",60,IF(N34="7 years",84,600))))))</f>
        <v/>
      </c>
      <c r="P34" s="21" t="n"/>
      <c r="Q34" s="21" t="n"/>
      <c r="R34" s="21" t="n"/>
      <c r="S34" s="21" t="n"/>
      <c r="T34" s="21" t="n"/>
      <c r="U34" s="21" t="n"/>
      <c r="V34" s="25">
        <f>TODAY()</f>
        <v/>
      </c>
    </row>
    <row r="35">
      <c r="A35" s="20" t="inlineStr">
        <is>
          <t>EV-022</t>
        </is>
      </c>
      <c r="B35" s="21" t="n"/>
      <c r="C35" s="21" t="n"/>
      <c r="D35" s="21" t="n"/>
      <c r="E35" s="21" t="n"/>
      <c r="F35" s="21" t="n"/>
      <c r="G35" s="21" t="n"/>
      <c r="H35" s="21" t="n"/>
      <c r="I35" s="21" t="n"/>
      <c r="J35" s="21" t="n"/>
      <c r="K35" s="21" t="n"/>
      <c r="L35" s="21" t="n"/>
      <c r="M35" s="21" t="n"/>
      <c r="N35" s="21" t="n"/>
      <c r="O35" s="25">
        <f>IF(OR(ISBLANK(I35),ISBLANK(N35)),"",EDATE(I35,IF(N35="1 year",12,IF(N35="3 years",36,IF(N35="5 years",60,IF(N35="7 years",84,600))))))</f>
        <v/>
      </c>
      <c r="P35" s="21" t="n"/>
      <c r="Q35" s="21" t="n"/>
      <c r="R35" s="21" t="n"/>
      <c r="S35" s="21" t="n"/>
      <c r="T35" s="21" t="n"/>
      <c r="U35" s="21" t="n"/>
      <c r="V35" s="25">
        <f>TODAY()</f>
        <v/>
      </c>
    </row>
    <row r="36">
      <c r="A36" s="20" t="inlineStr">
        <is>
          <t>EV-023</t>
        </is>
      </c>
      <c r="B36" s="21" t="n"/>
      <c r="C36" s="21" t="n"/>
      <c r="D36" s="21" t="n"/>
      <c r="E36" s="21" t="n"/>
      <c r="F36" s="21" t="n"/>
      <c r="G36" s="21" t="n"/>
      <c r="H36" s="21" t="n"/>
      <c r="I36" s="21" t="n"/>
      <c r="J36" s="21" t="n"/>
      <c r="K36" s="21" t="n"/>
      <c r="L36" s="21" t="n"/>
      <c r="M36" s="21" t="n"/>
      <c r="N36" s="21" t="n"/>
      <c r="O36" s="25">
        <f>IF(OR(ISBLANK(I36),ISBLANK(N36)),"",EDATE(I36,IF(N36="1 year",12,IF(N36="3 years",36,IF(N36="5 years",60,IF(N36="7 years",84,600))))))</f>
        <v/>
      </c>
      <c r="P36" s="21" t="n"/>
      <c r="Q36" s="21" t="n"/>
      <c r="R36" s="21" t="n"/>
      <c r="S36" s="21" t="n"/>
      <c r="T36" s="21" t="n"/>
      <c r="U36" s="21" t="n"/>
      <c r="V36" s="25">
        <f>TODAY()</f>
        <v/>
      </c>
    </row>
    <row r="37">
      <c r="A37" s="20" t="inlineStr">
        <is>
          <t>EV-024</t>
        </is>
      </c>
      <c r="B37" s="21" t="n"/>
      <c r="C37" s="21" t="n"/>
      <c r="D37" s="21" t="n"/>
      <c r="E37" s="21" t="n"/>
      <c r="F37" s="21" t="n"/>
      <c r="G37" s="21" t="n"/>
      <c r="H37" s="21" t="n"/>
      <c r="I37" s="21" t="n"/>
      <c r="J37" s="21" t="n"/>
      <c r="K37" s="21" t="n"/>
      <c r="L37" s="21" t="n"/>
      <c r="M37" s="21" t="n"/>
      <c r="N37" s="21" t="n"/>
      <c r="O37" s="25">
        <f>IF(OR(ISBLANK(I37),ISBLANK(N37)),"",EDATE(I37,IF(N37="1 year",12,IF(N37="3 years",36,IF(N37="5 years",60,IF(N37="7 years",84,600))))))</f>
        <v/>
      </c>
      <c r="P37" s="21" t="n"/>
      <c r="Q37" s="21" t="n"/>
      <c r="R37" s="21" t="n"/>
      <c r="S37" s="21" t="n"/>
      <c r="T37" s="21" t="n"/>
      <c r="U37" s="21" t="n"/>
      <c r="V37" s="25">
        <f>TODAY()</f>
        <v/>
      </c>
    </row>
    <row r="38">
      <c r="A38" s="20" t="inlineStr">
        <is>
          <t>EV-025</t>
        </is>
      </c>
      <c r="B38" s="21" t="n"/>
      <c r="C38" s="21" t="n"/>
      <c r="D38" s="21" t="n"/>
      <c r="E38" s="21" t="n"/>
      <c r="F38" s="21" t="n"/>
      <c r="G38" s="21" t="n"/>
      <c r="H38" s="21" t="n"/>
      <c r="I38" s="21" t="n"/>
      <c r="J38" s="21" t="n"/>
      <c r="K38" s="21" t="n"/>
      <c r="L38" s="21" t="n"/>
      <c r="M38" s="21" t="n"/>
      <c r="N38" s="21" t="n"/>
      <c r="O38" s="25">
        <f>IF(OR(ISBLANK(I38),ISBLANK(N38)),"",EDATE(I38,IF(N38="1 year",12,IF(N38="3 years",36,IF(N38="5 years",60,IF(N38="7 years",84,600))))))</f>
        <v/>
      </c>
      <c r="P38" s="21" t="n"/>
      <c r="Q38" s="21" t="n"/>
      <c r="R38" s="21" t="n"/>
      <c r="S38" s="21" t="n"/>
      <c r="T38" s="21" t="n"/>
      <c r="U38" s="21" t="n"/>
      <c r="V38" s="25">
        <f>TODAY()</f>
        <v/>
      </c>
    </row>
    <row r="39">
      <c r="A39" s="20" t="inlineStr">
        <is>
          <t>EV-026</t>
        </is>
      </c>
      <c r="B39" s="21" t="n"/>
      <c r="C39" s="21" t="n"/>
      <c r="D39" s="21" t="n"/>
      <c r="E39" s="21" t="n"/>
      <c r="F39" s="21" t="n"/>
      <c r="G39" s="21" t="n"/>
      <c r="H39" s="21" t="n"/>
      <c r="I39" s="21" t="n"/>
      <c r="J39" s="21" t="n"/>
      <c r="K39" s="21" t="n"/>
      <c r="L39" s="21" t="n"/>
      <c r="M39" s="21" t="n"/>
      <c r="N39" s="21" t="n"/>
      <c r="O39" s="25">
        <f>IF(OR(ISBLANK(I39),ISBLANK(N39)),"",EDATE(I39,IF(N39="1 year",12,IF(N39="3 years",36,IF(N39="5 years",60,IF(N39="7 years",84,600))))))</f>
        <v/>
      </c>
      <c r="P39" s="21" t="n"/>
      <c r="Q39" s="21" t="n"/>
      <c r="R39" s="21" t="n"/>
      <c r="S39" s="21" t="n"/>
      <c r="T39" s="21" t="n"/>
      <c r="U39" s="21" t="n"/>
      <c r="V39" s="25">
        <f>TODAY()</f>
        <v/>
      </c>
    </row>
    <row r="40">
      <c r="A40" s="20" t="inlineStr">
        <is>
          <t>EV-027</t>
        </is>
      </c>
      <c r="B40" s="21" t="n"/>
      <c r="C40" s="21" t="n"/>
      <c r="D40" s="21" t="n"/>
      <c r="E40" s="21" t="n"/>
      <c r="F40" s="21" t="n"/>
      <c r="G40" s="21" t="n"/>
      <c r="H40" s="21" t="n"/>
      <c r="I40" s="21" t="n"/>
      <c r="J40" s="21" t="n"/>
      <c r="K40" s="21" t="n"/>
      <c r="L40" s="21" t="n"/>
      <c r="M40" s="21" t="n"/>
      <c r="N40" s="21" t="n"/>
      <c r="O40" s="25">
        <f>IF(OR(ISBLANK(I40),ISBLANK(N40)),"",EDATE(I40,IF(N40="1 year",12,IF(N40="3 years",36,IF(N40="5 years",60,IF(N40="7 years",84,600))))))</f>
        <v/>
      </c>
      <c r="P40" s="21" t="n"/>
      <c r="Q40" s="21" t="n"/>
      <c r="R40" s="21" t="n"/>
      <c r="S40" s="21" t="n"/>
      <c r="T40" s="21" t="n"/>
      <c r="U40" s="21" t="n"/>
      <c r="V40" s="25">
        <f>TODAY()</f>
        <v/>
      </c>
    </row>
    <row r="41">
      <c r="A41" s="20" t="inlineStr">
        <is>
          <t>EV-028</t>
        </is>
      </c>
      <c r="B41" s="21" t="n"/>
      <c r="C41" s="21" t="n"/>
      <c r="D41" s="21" t="n"/>
      <c r="E41" s="21" t="n"/>
      <c r="F41" s="21" t="n"/>
      <c r="G41" s="21" t="n"/>
      <c r="H41" s="21" t="n"/>
      <c r="I41" s="21" t="n"/>
      <c r="J41" s="21" t="n"/>
      <c r="K41" s="21" t="n"/>
      <c r="L41" s="21" t="n"/>
      <c r="M41" s="21" t="n"/>
      <c r="N41" s="21" t="n"/>
      <c r="O41" s="25">
        <f>IF(OR(ISBLANK(I41),ISBLANK(N41)),"",EDATE(I41,IF(N41="1 year",12,IF(N41="3 years",36,IF(N41="5 years",60,IF(N41="7 years",84,600))))))</f>
        <v/>
      </c>
      <c r="P41" s="21" t="n"/>
      <c r="Q41" s="21" t="n"/>
      <c r="R41" s="21" t="n"/>
      <c r="S41" s="21" t="n"/>
      <c r="T41" s="21" t="n"/>
      <c r="U41" s="21" t="n"/>
      <c r="V41" s="25">
        <f>TODAY()</f>
        <v/>
      </c>
    </row>
    <row r="42">
      <c r="A42" s="20" t="inlineStr">
        <is>
          <t>EV-029</t>
        </is>
      </c>
      <c r="B42" s="21" t="n"/>
      <c r="C42" s="21" t="n"/>
      <c r="D42" s="21" t="n"/>
      <c r="E42" s="21" t="n"/>
      <c r="F42" s="21" t="n"/>
      <c r="G42" s="21" t="n"/>
      <c r="H42" s="21" t="n"/>
      <c r="I42" s="21" t="n"/>
      <c r="J42" s="21" t="n"/>
      <c r="K42" s="21" t="n"/>
      <c r="L42" s="21" t="n"/>
      <c r="M42" s="21" t="n"/>
      <c r="N42" s="21" t="n"/>
      <c r="O42" s="25">
        <f>IF(OR(ISBLANK(I42),ISBLANK(N42)),"",EDATE(I42,IF(N42="1 year",12,IF(N42="3 years",36,IF(N42="5 years",60,IF(N42="7 years",84,600))))))</f>
        <v/>
      </c>
      <c r="P42" s="21" t="n"/>
      <c r="Q42" s="21" t="n"/>
      <c r="R42" s="21" t="n"/>
      <c r="S42" s="21" t="n"/>
      <c r="T42" s="21" t="n"/>
      <c r="U42" s="21" t="n"/>
      <c r="V42" s="25">
        <f>TODAY()</f>
        <v/>
      </c>
    </row>
    <row r="43">
      <c r="A43" s="20" t="inlineStr">
        <is>
          <t>EV-030</t>
        </is>
      </c>
      <c r="B43" s="21" t="n"/>
      <c r="C43" s="21" t="n"/>
      <c r="D43" s="21" t="n"/>
      <c r="E43" s="21" t="n"/>
      <c r="F43" s="21" t="n"/>
      <c r="G43" s="21" t="n"/>
      <c r="H43" s="21" t="n"/>
      <c r="I43" s="21" t="n"/>
      <c r="J43" s="21" t="n"/>
      <c r="K43" s="21" t="n"/>
      <c r="L43" s="21" t="n"/>
      <c r="M43" s="21" t="n"/>
      <c r="N43" s="21" t="n"/>
      <c r="O43" s="25">
        <f>IF(OR(ISBLANK(I43),ISBLANK(N43)),"",EDATE(I43,IF(N43="1 year",12,IF(N43="3 years",36,IF(N43="5 years",60,IF(N43="7 years",84,600))))))</f>
        <v/>
      </c>
      <c r="P43" s="21" t="n"/>
      <c r="Q43" s="21" t="n"/>
      <c r="R43" s="21" t="n"/>
      <c r="S43" s="21" t="n"/>
      <c r="T43" s="21" t="n"/>
      <c r="U43" s="21" t="n"/>
      <c r="V43" s="25">
        <f>TODAY()</f>
        <v/>
      </c>
    </row>
    <row r="44">
      <c r="A44" s="20" t="inlineStr">
        <is>
          <t>EV-031</t>
        </is>
      </c>
      <c r="B44" s="21" t="n"/>
      <c r="C44" s="21" t="n"/>
      <c r="D44" s="21" t="n"/>
      <c r="E44" s="21" t="n"/>
      <c r="F44" s="21" t="n"/>
      <c r="G44" s="21" t="n"/>
      <c r="H44" s="21" t="n"/>
      <c r="I44" s="21" t="n"/>
      <c r="J44" s="21" t="n"/>
      <c r="K44" s="21" t="n"/>
      <c r="L44" s="21" t="n"/>
      <c r="M44" s="21" t="n"/>
      <c r="N44" s="21" t="n"/>
      <c r="O44" s="25">
        <f>IF(OR(ISBLANK(I44),ISBLANK(N44)),"",EDATE(I44,IF(N44="1 year",12,IF(N44="3 years",36,IF(N44="5 years",60,IF(N44="7 years",84,600))))))</f>
        <v/>
      </c>
      <c r="P44" s="21" t="n"/>
      <c r="Q44" s="21" t="n"/>
      <c r="R44" s="21" t="n"/>
      <c r="S44" s="21" t="n"/>
      <c r="T44" s="21" t="n"/>
      <c r="U44" s="21" t="n"/>
      <c r="V44" s="25">
        <f>TODAY()</f>
        <v/>
      </c>
    </row>
    <row r="45">
      <c r="A45" s="20" t="inlineStr">
        <is>
          <t>EV-032</t>
        </is>
      </c>
      <c r="B45" s="21" t="n"/>
      <c r="C45" s="21" t="n"/>
      <c r="D45" s="21" t="n"/>
      <c r="E45" s="21" t="n"/>
      <c r="F45" s="21" t="n"/>
      <c r="G45" s="21" t="n"/>
      <c r="H45" s="21" t="n"/>
      <c r="I45" s="21" t="n"/>
      <c r="J45" s="21" t="n"/>
      <c r="K45" s="21" t="n"/>
      <c r="L45" s="21" t="n"/>
      <c r="M45" s="21" t="n"/>
      <c r="N45" s="21" t="n"/>
      <c r="O45" s="25">
        <f>IF(OR(ISBLANK(I45),ISBLANK(N45)),"",EDATE(I45,IF(N45="1 year",12,IF(N45="3 years",36,IF(N45="5 years",60,IF(N45="7 years",84,600))))))</f>
        <v/>
      </c>
      <c r="P45" s="21" t="n"/>
      <c r="Q45" s="21" t="n"/>
      <c r="R45" s="21" t="n"/>
      <c r="S45" s="21" t="n"/>
      <c r="T45" s="21" t="n"/>
      <c r="U45" s="21" t="n"/>
      <c r="V45" s="25">
        <f>TODAY()</f>
        <v/>
      </c>
    </row>
    <row r="46">
      <c r="A46" s="20" t="inlineStr">
        <is>
          <t>EV-033</t>
        </is>
      </c>
      <c r="B46" s="21" t="n"/>
      <c r="C46" s="21" t="n"/>
      <c r="D46" s="21" t="n"/>
      <c r="E46" s="21" t="n"/>
      <c r="F46" s="21" t="n"/>
      <c r="G46" s="21" t="n"/>
      <c r="H46" s="21" t="n"/>
      <c r="I46" s="21" t="n"/>
      <c r="J46" s="21" t="n"/>
      <c r="K46" s="21" t="n"/>
      <c r="L46" s="21" t="n"/>
      <c r="M46" s="21" t="n"/>
      <c r="N46" s="21" t="n"/>
      <c r="O46" s="25">
        <f>IF(OR(ISBLANK(I46),ISBLANK(N46)),"",EDATE(I46,IF(N46="1 year",12,IF(N46="3 years",36,IF(N46="5 years",60,IF(N46="7 years",84,600))))))</f>
        <v/>
      </c>
      <c r="P46" s="21" t="n"/>
      <c r="Q46" s="21" t="n"/>
      <c r="R46" s="21" t="n"/>
      <c r="S46" s="21" t="n"/>
      <c r="T46" s="21" t="n"/>
      <c r="U46" s="21" t="n"/>
      <c r="V46" s="25">
        <f>TODAY()</f>
        <v/>
      </c>
    </row>
    <row r="47">
      <c r="A47" s="20" t="inlineStr">
        <is>
          <t>EV-034</t>
        </is>
      </c>
      <c r="B47" s="21" t="n"/>
      <c r="C47" s="21" t="n"/>
      <c r="D47" s="21" t="n"/>
      <c r="E47" s="21" t="n"/>
      <c r="F47" s="21" t="n"/>
      <c r="G47" s="21" t="n"/>
      <c r="H47" s="21" t="n"/>
      <c r="I47" s="21" t="n"/>
      <c r="J47" s="21" t="n"/>
      <c r="K47" s="21" t="n"/>
      <c r="L47" s="21" t="n"/>
      <c r="M47" s="21" t="n"/>
      <c r="N47" s="21" t="n"/>
      <c r="O47" s="25">
        <f>IF(OR(ISBLANK(I47),ISBLANK(N47)),"",EDATE(I47,IF(N47="1 year",12,IF(N47="3 years",36,IF(N47="5 years",60,IF(N47="7 years",84,600))))))</f>
        <v/>
      </c>
      <c r="P47" s="21" t="n"/>
      <c r="Q47" s="21" t="n"/>
      <c r="R47" s="21" t="n"/>
      <c r="S47" s="21" t="n"/>
      <c r="T47" s="21" t="n"/>
      <c r="U47" s="21" t="n"/>
      <c r="V47" s="25">
        <f>TODAY()</f>
        <v/>
      </c>
    </row>
    <row r="48">
      <c r="A48" s="20" t="inlineStr">
        <is>
          <t>EV-035</t>
        </is>
      </c>
      <c r="B48" s="21" t="n"/>
      <c r="C48" s="21" t="n"/>
      <c r="D48" s="21" t="n"/>
      <c r="E48" s="21" t="n"/>
      <c r="F48" s="21" t="n"/>
      <c r="G48" s="21" t="n"/>
      <c r="H48" s="21" t="n"/>
      <c r="I48" s="21" t="n"/>
      <c r="J48" s="21" t="n"/>
      <c r="K48" s="21" t="n"/>
      <c r="L48" s="21" t="n"/>
      <c r="M48" s="21" t="n"/>
      <c r="N48" s="21" t="n"/>
      <c r="O48" s="25">
        <f>IF(OR(ISBLANK(I48),ISBLANK(N48)),"",EDATE(I48,IF(N48="1 year",12,IF(N48="3 years",36,IF(N48="5 years",60,IF(N48="7 years",84,600))))))</f>
        <v/>
      </c>
      <c r="P48" s="21" t="n"/>
      <c r="Q48" s="21" t="n"/>
      <c r="R48" s="21" t="n"/>
      <c r="S48" s="21" t="n"/>
      <c r="T48" s="21" t="n"/>
      <c r="U48" s="21" t="n"/>
      <c r="V48" s="25">
        <f>TODAY()</f>
        <v/>
      </c>
    </row>
    <row r="49">
      <c r="A49" s="20" t="inlineStr">
        <is>
          <t>EV-036</t>
        </is>
      </c>
      <c r="B49" s="21" t="n"/>
      <c r="C49" s="21" t="n"/>
      <c r="D49" s="21" t="n"/>
      <c r="E49" s="21" t="n"/>
      <c r="F49" s="21" t="n"/>
      <c r="G49" s="21" t="n"/>
      <c r="H49" s="21" t="n"/>
      <c r="I49" s="21" t="n"/>
      <c r="J49" s="21" t="n"/>
      <c r="K49" s="21" t="n"/>
      <c r="L49" s="21" t="n"/>
      <c r="M49" s="21" t="n"/>
      <c r="N49" s="21" t="n"/>
      <c r="O49" s="25">
        <f>IF(OR(ISBLANK(I49),ISBLANK(N49)),"",EDATE(I49,IF(N49="1 year",12,IF(N49="3 years",36,IF(N49="5 years",60,IF(N49="7 years",84,600))))))</f>
        <v/>
      </c>
      <c r="P49" s="21" t="n"/>
      <c r="Q49" s="21" t="n"/>
      <c r="R49" s="21" t="n"/>
      <c r="S49" s="21" t="n"/>
      <c r="T49" s="21" t="n"/>
      <c r="U49" s="21" t="n"/>
      <c r="V49" s="25">
        <f>TODAY()</f>
        <v/>
      </c>
    </row>
    <row r="50">
      <c r="A50" s="20" t="inlineStr">
        <is>
          <t>EV-037</t>
        </is>
      </c>
      <c r="B50" s="21" t="n"/>
      <c r="C50" s="21" t="n"/>
      <c r="D50" s="21" t="n"/>
      <c r="E50" s="21" t="n"/>
      <c r="F50" s="21" t="n"/>
      <c r="G50" s="21" t="n"/>
      <c r="H50" s="21" t="n"/>
      <c r="I50" s="21" t="n"/>
      <c r="J50" s="21" t="n"/>
      <c r="K50" s="21" t="n"/>
      <c r="L50" s="21" t="n"/>
      <c r="M50" s="21" t="n"/>
      <c r="N50" s="21" t="n"/>
      <c r="O50" s="25">
        <f>IF(OR(ISBLANK(I50),ISBLANK(N50)),"",EDATE(I50,IF(N50="1 year",12,IF(N50="3 years",36,IF(N50="5 years",60,IF(N50="7 years",84,600))))))</f>
        <v/>
      </c>
      <c r="P50" s="21" t="n"/>
      <c r="Q50" s="21" t="n"/>
      <c r="R50" s="21" t="n"/>
      <c r="S50" s="21" t="n"/>
      <c r="T50" s="21" t="n"/>
      <c r="U50" s="21" t="n"/>
      <c r="V50" s="25">
        <f>TODAY()</f>
        <v/>
      </c>
    </row>
    <row r="51">
      <c r="A51" s="20" t="inlineStr">
        <is>
          <t>EV-038</t>
        </is>
      </c>
      <c r="B51" s="21" t="n"/>
      <c r="C51" s="21" t="n"/>
      <c r="D51" s="21" t="n"/>
      <c r="E51" s="21" t="n"/>
      <c r="F51" s="21" t="n"/>
      <c r="G51" s="21" t="n"/>
      <c r="H51" s="21" t="n"/>
      <c r="I51" s="21" t="n"/>
      <c r="J51" s="21" t="n"/>
      <c r="K51" s="21" t="n"/>
      <c r="L51" s="21" t="n"/>
      <c r="M51" s="21" t="n"/>
      <c r="N51" s="21" t="n"/>
      <c r="O51" s="25">
        <f>IF(OR(ISBLANK(I51),ISBLANK(N51)),"",EDATE(I51,IF(N51="1 year",12,IF(N51="3 years",36,IF(N51="5 years",60,IF(N51="7 years",84,600))))))</f>
        <v/>
      </c>
      <c r="P51" s="21" t="n"/>
      <c r="Q51" s="21" t="n"/>
      <c r="R51" s="21" t="n"/>
      <c r="S51" s="21" t="n"/>
      <c r="T51" s="21" t="n"/>
      <c r="U51" s="21" t="n"/>
      <c r="V51" s="25">
        <f>TODAY()</f>
        <v/>
      </c>
    </row>
    <row r="52">
      <c r="A52" s="20" t="inlineStr">
        <is>
          <t>EV-039</t>
        </is>
      </c>
      <c r="B52" s="21" t="n"/>
      <c r="C52" s="21" t="n"/>
      <c r="D52" s="21" t="n"/>
      <c r="E52" s="21" t="n"/>
      <c r="F52" s="21" t="n"/>
      <c r="G52" s="21" t="n"/>
      <c r="H52" s="21" t="n"/>
      <c r="I52" s="21" t="n"/>
      <c r="J52" s="21" t="n"/>
      <c r="K52" s="21" t="n"/>
      <c r="L52" s="21" t="n"/>
      <c r="M52" s="21" t="n"/>
      <c r="N52" s="21" t="n"/>
      <c r="O52" s="25">
        <f>IF(OR(ISBLANK(I52),ISBLANK(N52)),"",EDATE(I52,IF(N52="1 year",12,IF(N52="3 years",36,IF(N52="5 years",60,IF(N52="7 years",84,600))))))</f>
        <v/>
      </c>
      <c r="P52" s="21" t="n"/>
      <c r="Q52" s="21" t="n"/>
      <c r="R52" s="21" t="n"/>
      <c r="S52" s="21" t="n"/>
      <c r="T52" s="21" t="n"/>
      <c r="U52" s="21" t="n"/>
      <c r="V52" s="25">
        <f>TODAY()</f>
        <v/>
      </c>
    </row>
    <row r="53">
      <c r="A53" s="20" t="inlineStr">
        <is>
          <t>EV-040</t>
        </is>
      </c>
      <c r="B53" s="21" t="n"/>
      <c r="C53" s="21" t="n"/>
      <c r="D53" s="21" t="n"/>
      <c r="E53" s="21" t="n"/>
      <c r="F53" s="21" t="n"/>
      <c r="G53" s="21" t="n"/>
      <c r="H53" s="21" t="n"/>
      <c r="I53" s="21" t="n"/>
      <c r="J53" s="21" t="n"/>
      <c r="K53" s="21" t="n"/>
      <c r="L53" s="21" t="n"/>
      <c r="M53" s="21" t="n"/>
      <c r="N53" s="21" t="n"/>
      <c r="O53" s="25">
        <f>IF(OR(ISBLANK(I53),ISBLANK(N53)),"",EDATE(I53,IF(N53="1 year",12,IF(N53="3 years",36,IF(N53="5 years",60,IF(N53="7 years",84,600))))))</f>
        <v/>
      </c>
      <c r="P53" s="21" t="n"/>
      <c r="Q53" s="21" t="n"/>
      <c r="R53" s="21" t="n"/>
      <c r="S53" s="21" t="n"/>
      <c r="T53" s="21" t="n"/>
      <c r="U53" s="21" t="n"/>
      <c r="V53" s="25">
        <f>TODAY()</f>
        <v/>
      </c>
    </row>
    <row r="54">
      <c r="A54" s="20" t="inlineStr">
        <is>
          <t>EV-041</t>
        </is>
      </c>
      <c r="B54" s="21" t="n"/>
      <c r="C54" s="21" t="n"/>
      <c r="D54" s="21" t="n"/>
      <c r="E54" s="21" t="n"/>
      <c r="F54" s="21" t="n"/>
      <c r="G54" s="21" t="n"/>
      <c r="H54" s="21" t="n"/>
      <c r="I54" s="21" t="n"/>
      <c r="J54" s="21" t="n"/>
      <c r="K54" s="21" t="n"/>
      <c r="L54" s="21" t="n"/>
      <c r="M54" s="21" t="n"/>
      <c r="N54" s="21" t="n"/>
      <c r="O54" s="25">
        <f>IF(OR(ISBLANK(I54),ISBLANK(N54)),"",EDATE(I54,IF(N54="1 year",12,IF(N54="3 years",36,IF(N54="5 years",60,IF(N54="7 years",84,600))))))</f>
        <v/>
      </c>
      <c r="P54" s="21" t="n"/>
      <c r="Q54" s="21" t="n"/>
      <c r="R54" s="21" t="n"/>
      <c r="S54" s="21" t="n"/>
      <c r="T54" s="21" t="n"/>
      <c r="U54" s="21" t="n"/>
      <c r="V54" s="25">
        <f>TODAY()</f>
        <v/>
      </c>
    </row>
    <row r="55">
      <c r="A55" s="20" t="inlineStr">
        <is>
          <t>EV-042</t>
        </is>
      </c>
      <c r="B55" s="21" t="n"/>
      <c r="C55" s="21" t="n"/>
      <c r="D55" s="21" t="n"/>
      <c r="E55" s="21" t="n"/>
      <c r="F55" s="21" t="n"/>
      <c r="G55" s="21" t="n"/>
      <c r="H55" s="21" t="n"/>
      <c r="I55" s="21" t="n"/>
      <c r="J55" s="21" t="n"/>
      <c r="K55" s="21" t="n"/>
      <c r="L55" s="21" t="n"/>
      <c r="M55" s="21" t="n"/>
      <c r="N55" s="21" t="n"/>
      <c r="O55" s="25">
        <f>IF(OR(ISBLANK(I55),ISBLANK(N55)),"",EDATE(I55,IF(N55="1 year",12,IF(N55="3 years",36,IF(N55="5 years",60,IF(N55="7 years",84,600))))))</f>
        <v/>
      </c>
      <c r="P55" s="21" t="n"/>
      <c r="Q55" s="21" t="n"/>
      <c r="R55" s="21" t="n"/>
      <c r="S55" s="21" t="n"/>
      <c r="T55" s="21" t="n"/>
      <c r="U55" s="21" t="n"/>
      <c r="V55" s="25">
        <f>TODAY()</f>
        <v/>
      </c>
    </row>
    <row r="56">
      <c r="A56" s="20" t="inlineStr">
        <is>
          <t>EV-043</t>
        </is>
      </c>
      <c r="B56" s="21" t="n"/>
      <c r="C56" s="21" t="n"/>
      <c r="D56" s="21" t="n"/>
      <c r="E56" s="21" t="n"/>
      <c r="F56" s="21" t="n"/>
      <c r="G56" s="21" t="n"/>
      <c r="H56" s="21" t="n"/>
      <c r="I56" s="21" t="n"/>
      <c r="J56" s="21" t="n"/>
      <c r="K56" s="21" t="n"/>
      <c r="L56" s="21" t="n"/>
      <c r="M56" s="21" t="n"/>
      <c r="N56" s="21" t="n"/>
      <c r="O56" s="25">
        <f>IF(OR(ISBLANK(I56),ISBLANK(N56)),"",EDATE(I56,IF(N56="1 year",12,IF(N56="3 years",36,IF(N56="5 years",60,IF(N56="7 years",84,600))))))</f>
        <v/>
      </c>
      <c r="P56" s="21" t="n"/>
      <c r="Q56" s="21" t="n"/>
      <c r="R56" s="21" t="n"/>
      <c r="S56" s="21" t="n"/>
      <c r="T56" s="21" t="n"/>
      <c r="U56" s="21" t="n"/>
      <c r="V56" s="25">
        <f>TODAY()</f>
        <v/>
      </c>
    </row>
    <row r="57">
      <c r="A57" s="20" t="inlineStr">
        <is>
          <t>EV-044</t>
        </is>
      </c>
      <c r="B57" s="21" t="n"/>
      <c r="C57" s="21" t="n"/>
      <c r="D57" s="21" t="n"/>
      <c r="E57" s="21" t="n"/>
      <c r="F57" s="21" t="n"/>
      <c r="G57" s="21" t="n"/>
      <c r="H57" s="21" t="n"/>
      <c r="I57" s="21" t="n"/>
      <c r="J57" s="21" t="n"/>
      <c r="K57" s="21" t="n"/>
      <c r="L57" s="21" t="n"/>
      <c r="M57" s="21" t="n"/>
      <c r="N57" s="21" t="n"/>
      <c r="O57" s="25">
        <f>IF(OR(ISBLANK(I57),ISBLANK(N57)),"",EDATE(I57,IF(N57="1 year",12,IF(N57="3 years",36,IF(N57="5 years",60,IF(N57="7 years",84,600))))))</f>
        <v/>
      </c>
      <c r="P57" s="21" t="n"/>
      <c r="Q57" s="21" t="n"/>
      <c r="R57" s="21" t="n"/>
      <c r="S57" s="21" t="n"/>
      <c r="T57" s="21" t="n"/>
      <c r="U57" s="21" t="n"/>
      <c r="V57" s="25">
        <f>TODAY()</f>
        <v/>
      </c>
    </row>
    <row r="58">
      <c r="A58" s="20" t="inlineStr">
        <is>
          <t>EV-045</t>
        </is>
      </c>
      <c r="B58" s="21" t="n"/>
      <c r="C58" s="21" t="n"/>
      <c r="D58" s="21" t="n"/>
      <c r="E58" s="21" t="n"/>
      <c r="F58" s="21" t="n"/>
      <c r="G58" s="21" t="n"/>
      <c r="H58" s="21" t="n"/>
      <c r="I58" s="21" t="n"/>
      <c r="J58" s="21" t="n"/>
      <c r="K58" s="21" t="n"/>
      <c r="L58" s="21" t="n"/>
      <c r="M58" s="21" t="n"/>
      <c r="N58" s="21" t="n"/>
      <c r="O58" s="25">
        <f>IF(OR(ISBLANK(I58),ISBLANK(N58)),"",EDATE(I58,IF(N58="1 year",12,IF(N58="3 years",36,IF(N58="5 years",60,IF(N58="7 years",84,600))))))</f>
        <v/>
      </c>
      <c r="P58" s="21" t="n"/>
      <c r="Q58" s="21" t="n"/>
      <c r="R58" s="21" t="n"/>
      <c r="S58" s="21" t="n"/>
      <c r="T58" s="21" t="n"/>
      <c r="U58" s="21" t="n"/>
      <c r="V58" s="25">
        <f>TODAY()</f>
        <v/>
      </c>
    </row>
    <row r="59">
      <c r="A59" s="20" t="inlineStr">
        <is>
          <t>EV-046</t>
        </is>
      </c>
      <c r="B59" s="21" t="n"/>
      <c r="C59" s="21" t="n"/>
      <c r="D59" s="21" t="n"/>
      <c r="E59" s="21" t="n"/>
      <c r="F59" s="21" t="n"/>
      <c r="G59" s="21" t="n"/>
      <c r="H59" s="21" t="n"/>
      <c r="I59" s="21" t="n"/>
      <c r="J59" s="21" t="n"/>
      <c r="K59" s="21" t="n"/>
      <c r="L59" s="21" t="n"/>
      <c r="M59" s="21" t="n"/>
      <c r="N59" s="21" t="n"/>
      <c r="O59" s="25">
        <f>IF(OR(ISBLANK(I59),ISBLANK(N59)),"",EDATE(I59,IF(N59="1 year",12,IF(N59="3 years",36,IF(N59="5 years",60,IF(N59="7 years",84,600))))))</f>
        <v/>
      </c>
      <c r="P59" s="21" t="n"/>
      <c r="Q59" s="21" t="n"/>
      <c r="R59" s="21" t="n"/>
      <c r="S59" s="21" t="n"/>
      <c r="T59" s="21" t="n"/>
      <c r="U59" s="21" t="n"/>
      <c r="V59" s="25">
        <f>TODAY()</f>
        <v/>
      </c>
    </row>
    <row r="60">
      <c r="A60" s="20" t="inlineStr">
        <is>
          <t>EV-047</t>
        </is>
      </c>
      <c r="B60" s="21" t="n"/>
      <c r="C60" s="21" t="n"/>
      <c r="D60" s="21" t="n"/>
      <c r="E60" s="21" t="n"/>
      <c r="F60" s="21" t="n"/>
      <c r="G60" s="21" t="n"/>
      <c r="H60" s="21" t="n"/>
      <c r="I60" s="21" t="n"/>
      <c r="J60" s="21" t="n"/>
      <c r="K60" s="21" t="n"/>
      <c r="L60" s="21" t="n"/>
      <c r="M60" s="21" t="n"/>
      <c r="N60" s="21" t="n"/>
      <c r="O60" s="25">
        <f>IF(OR(ISBLANK(I60),ISBLANK(N60)),"",EDATE(I60,IF(N60="1 year",12,IF(N60="3 years",36,IF(N60="5 years",60,IF(N60="7 years",84,600))))))</f>
        <v/>
      </c>
      <c r="P60" s="21" t="n"/>
      <c r="Q60" s="21" t="n"/>
      <c r="R60" s="21" t="n"/>
      <c r="S60" s="21" t="n"/>
      <c r="T60" s="21" t="n"/>
      <c r="U60" s="21" t="n"/>
      <c r="V60" s="25">
        <f>TODAY()</f>
        <v/>
      </c>
    </row>
    <row r="61">
      <c r="A61" s="20" t="inlineStr">
        <is>
          <t>EV-048</t>
        </is>
      </c>
      <c r="B61" s="21" t="n"/>
      <c r="C61" s="21" t="n"/>
      <c r="D61" s="21" t="n"/>
      <c r="E61" s="21" t="n"/>
      <c r="F61" s="21" t="n"/>
      <c r="G61" s="21" t="n"/>
      <c r="H61" s="21" t="n"/>
      <c r="I61" s="21" t="n"/>
      <c r="J61" s="21" t="n"/>
      <c r="K61" s="21" t="n"/>
      <c r="L61" s="21" t="n"/>
      <c r="M61" s="21" t="n"/>
      <c r="N61" s="21" t="n"/>
      <c r="O61" s="25">
        <f>IF(OR(ISBLANK(I61),ISBLANK(N61)),"",EDATE(I61,IF(N61="1 year",12,IF(N61="3 years",36,IF(N61="5 years",60,IF(N61="7 years",84,600))))))</f>
        <v/>
      </c>
      <c r="P61" s="21" t="n"/>
      <c r="Q61" s="21" t="n"/>
      <c r="R61" s="21" t="n"/>
      <c r="S61" s="21" t="n"/>
      <c r="T61" s="21" t="n"/>
      <c r="U61" s="21" t="n"/>
      <c r="V61" s="25">
        <f>TODAY()</f>
        <v/>
      </c>
    </row>
    <row r="62">
      <c r="A62" s="20" t="inlineStr">
        <is>
          <t>EV-049</t>
        </is>
      </c>
      <c r="B62" s="21" t="n"/>
      <c r="C62" s="21" t="n"/>
      <c r="D62" s="21" t="n"/>
      <c r="E62" s="21" t="n"/>
      <c r="F62" s="21" t="n"/>
      <c r="G62" s="21" t="n"/>
      <c r="H62" s="21" t="n"/>
      <c r="I62" s="21" t="n"/>
      <c r="J62" s="21" t="n"/>
      <c r="K62" s="21" t="n"/>
      <c r="L62" s="21" t="n"/>
      <c r="M62" s="21" t="n"/>
      <c r="N62" s="21" t="n"/>
      <c r="O62" s="25">
        <f>IF(OR(ISBLANK(I62),ISBLANK(N62)),"",EDATE(I62,IF(N62="1 year",12,IF(N62="3 years",36,IF(N62="5 years",60,IF(N62="7 years",84,600))))))</f>
        <v/>
      </c>
      <c r="P62" s="21" t="n"/>
      <c r="Q62" s="21" t="n"/>
      <c r="R62" s="21" t="n"/>
      <c r="S62" s="21" t="n"/>
      <c r="T62" s="21" t="n"/>
      <c r="U62" s="21" t="n"/>
      <c r="V62" s="25">
        <f>TODAY()</f>
        <v/>
      </c>
    </row>
    <row r="63">
      <c r="A63" s="20" t="inlineStr">
        <is>
          <t>EV-050</t>
        </is>
      </c>
      <c r="B63" s="21" t="n"/>
      <c r="C63" s="21" t="n"/>
      <c r="D63" s="21" t="n"/>
      <c r="E63" s="21" t="n"/>
      <c r="F63" s="21" t="n"/>
      <c r="G63" s="21" t="n"/>
      <c r="H63" s="21" t="n"/>
      <c r="I63" s="21" t="n"/>
      <c r="J63" s="21" t="n"/>
      <c r="K63" s="21" t="n"/>
      <c r="L63" s="21" t="n"/>
      <c r="M63" s="21" t="n"/>
      <c r="N63" s="21" t="n"/>
      <c r="O63" s="25">
        <f>IF(OR(ISBLANK(I63),ISBLANK(N63)),"",EDATE(I63,IF(N63="1 year",12,IF(N63="3 years",36,IF(N63="5 years",60,IF(N63="7 years",84,600))))))</f>
        <v/>
      </c>
      <c r="P63" s="21" t="n"/>
      <c r="Q63" s="21" t="n"/>
      <c r="R63" s="21" t="n"/>
      <c r="S63" s="21" t="n"/>
      <c r="T63" s="21" t="n"/>
      <c r="U63" s="21" t="n"/>
      <c r="V63" s="25">
        <f>TODAY()</f>
        <v/>
      </c>
    </row>
    <row r="64">
      <c r="A64" s="20" t="inlineStr">
        <is>
          <t>EV-051</t>
        </is>
      </c>
      <c r="B64" s="21" t="n"/>
      <c r="C64" s="21" t="n"/>
      <c r="D64" s="21" t="n"/>
      <c r="E64" s="21" t="n"/>
      <c r="F64" s="21" t="n"/>
      <c r="G64" s="21" t="n"/>
      <c r="H64" s="21" t="n"/>
      <c r="I64" s="21" t="n"/>
      <c r="J64" s="21" t="n"/>
      <c r="K64" s="21" t="n"/>
      <c r="L64" s="21" t="n"/>
      <c r="M64" s="21" t="n"/>
      <c r="N64" s="21" t="n"/>
      <c r="O64" s="25">
        <f>IF(OR(ISBLANK(I64),ISBLANK(N64)),"",EDATE(I64,IF(N64="1 year",12,IF(N64="3 years",36,IF(N64="5 years",60,IF(N64="7 years",84,600))))))</f>
        <v/>
      </c>
      <c r="P64" s="21" t="n"/>
      <c r="Q64" s="21" t="n"/>
      <c r="R64" s="21" t="n"/>
      <c r="S64" s="21" t="n"/>
      <c r="T64" s="21" t="n"/>
      <c r="U64" s="21" t="n"/>
      <c r="V64" s="25">
        <f>TODAY()</f>
        <v/>
      </c>
    </row>
    <row r="65">
      <c r="A65" s="20" t="inlineStr">
        <is>
          <t>EV-052</t>
        </is>
      </c>
      <c r="B65" s="21" t="n"/>
      <c r="C65" s="21" t="n"/>
      <c r="D65" s="21" t="n"/>
      <c r="E65" s="21" t="n"/>
      <c r="F65" s="21" t="n"/>
      <c r="G65" s="21" t="n"/>
      <c r="H65" s="21" t="n"/>
      <c r="I65" s="21" t="n"/>
      <c r="J65" s="21" t="n"/>
      <c r="K65" s="21" t="n"/>
      <c r="L65" s="21" t="n"/>
      <c r="M65" s="21" t="n"/>
      <c r="N65" s="21" t="n"/>
      <c r="O65" s="25">
        <f>IF(OR(ISBLANK(I65),ISBLANK(N65)),"",EDATE(I65,IF(N65="1 year",12,IF(N65="3 years",36,IF(N65="5 years",60,IF(N65="7 years",84,600))))))</f>
        <v/>
      </c>
      <c r="P65" s="21" t="n"/>
      <c r="Q65" s="21" t="n"/>
      <c r="R65" s="21" t="n"/>
      <c r="S65" s="21" t="n"/>
      <c r="T65" s="21" t="n"/>
      <c r="U65" s="21" t="n"/>
      <c r="V65" s="25">
        <f>TODAY()</f>
        <v/>
      </c>
    </row>
    <row r="66">
      <c r="A66" s="20" t="inlineStr">
        <is>
          <t>EV-053</t>
        </is>
      </c>
      <c r="B66" s="21" t="n"/>
      <c r="C66" s="21" t="n"/>
      <c r="D66" s="21" t="n"/>
      <c r="E66" s="21" t="n"/>
      <c r="F66" s="21" t="n"/>
      <c r="G66" s="21" t="n"/>
      <c r="H66" s="21" t="n"/>
      <c r="I66" s="21" t="n"/>
      <c r="J66" s="21" t="n"/>
      <c r="K66" s="21" t="n"/>
      <c r="L66" s="21" t="n"/>
      <c r="M66" s="21" t="n"/>
      <c r="N66" s="21" t="n"/>
      <c r="O66" s="25">
        <f>IF(OR(ISBLANK(I66),ISBLANK(N66)),"",EDATE(I66,IF(N66="1 year",12,IF(N66="3 years",36,IF(N66="5 years",60,IF(N66="7 years",84,600))))))</f>
        <v/>
      </c>
      <c r="P66" s="21" t="n"/>
      <c r="Q66" s="21" t="n"/>
      <c r="R66" s="21" t="n"/>
      <c r="S66" s="21" t="n"/>
      <c r="T66" s="21" t="n"/>
      <c r="U66" s="21" t="n"/>
      <c r="V66" s="25">
        <f>TODAY()</f>
        <v/>
      </c>
    </row>
    <row r="67">
      <c r="A67" s="20" t="inlineStr">
        <is>
          <t>EV-054</t>
        </is>
      </c>
      <c r="B67" s="21" t="n"/>
      <c r="C67" s="21" t="n"/>
      <c r="D67" s="21" t="n"/>
      <c r="E67" s="21" t="n"/>
      <c r="F67" s="21" t="n"/>
      <c r="G67" s="21" t="n"/>
      <c r="H67" s="21" t="n"/>
      <c r="I67" s="21" t="n"/>
      <c r="J67" s="21" t="n"/>
      <c r="K67" s="21" t="n"/>
      <c r="L67" s="21" t="n"/>
      <c r="M67" s="21" t="n"/>
      <c r="N67" s="21" t="n"/>
      <c r="O67" s="25">
        <f>IF(OR(ISBLANK(I67),ISBLANK(N67)),"",EDATE(I67,IF(N67="1 year",12,IF(N67="3 years",36,IF(N67="5 years",60,IF(N67="7 years",84,600))))))</f>
        <v/>
      </c>
      <c r="P67" s="21" t="n"/>
      <c r="Q67" s="21" t="n"/>
      <c r="R67" s="21" t="n"/>
      <c r="S67" s="21" t="n"/>
      <c r="T67" s="21" t="n"/>
      <c r="U67" s="21" t="n"/>
      <c r="V67" s="25">
        <f>TODAY()</f>
        <v/>
      </c>
    </row>
    <row r="68">
      <c r="A68" s="20" t="inlineStr">
        <is>
          <t>EV-055</t>
        </is>
      </c>
      <c r="B68" s="21" t="n"/>
      <c r="C68" s="21" t="n"/>
      <c r="D68" s="21" t="n"/>
      <c r="E68" s="21" t="n"/>
      <c r="F68" s="21" t="n"/>
      <c r="G68" s="21" t="n"/>
      <c r="H68" s="21" t="n"/>
      <c r="I68" s="21" t="n"/>
      <c r="J68" s="21" t="n"/>
      <c r="K68" s="21" t="n"/>
      <c r="L68" s="21" t="n"/>
      <c r="M68" s="21" t="n"/>
      <c r="N68" s="21" t="n"/>
      <c r="O68" s="25">
        <f>IF(OR(ISBLANK(I68),ISBLANK(N68)),"",EDATE(I68,IF(N68="1 year",12,IF(N68="3 years",36,IF(N68="5 years",60,IF(N68="7 years",84,600))))))</f>
        <v/>
      </c>
      <c r="P68" s="21" t="n"/>
      <c r="Q68" s="21" t="n"/>
      <c r="R68" s="21" t="n"/>
      <c r="S68" s="21" t="n"/>
      <c r="T68" s="21" t="n"/>
      <c r="U68" s="21" t="n"/>
      <c r="V68" s="25">
        <f>TODAY()</f>
        <v/>
      </c>
    </row>
    <row r="69">
      <c r="A69" s="20" t="inlineStr">
        <is>
          <t>EV-056</t>
        </is>
      </c>
      <c r="B69" s="21" t="n"/>
      <c r="C69" s="21" t="n"/>
      <c r="D69" s="21" t="n"/>
      <c r="E69" s="21" t="n"/>
      <c r="F69" s="21" t="n"/>
      <c r="G69" s="21" t="n"/>
      <c r="H69" s="21" t="n"/>
      <c r="I69" s="21" t="n"/>
      <c r="J69" s="21" t="n"/>
      <c r="K69" s="21" t="n"/>
      <c r="L69" s="21" t="n"/>
      <c r="M69" s="21" t="n"/>
      <c r="N69" s="21" t="n"/>
      <c r="O69" s="25">
        <f>IF(OR(ISBLANK(I69),ISBLANK(N69)),"",EDATE(I69,IF(N69="1 year",12,IF(N69="3 years",36,IF(N69="5 years",60,IF(N69="7 years",84,600))))))</f>
        <v/>
      </c>
      <c r="P69" s="21" t="n"/>
      <c r="Q69" s="21" t="n"/>
      <c r="R69" s="21" t="n"/>
      <c r="S69" s="21" t="n"/>
      <c r="T69" s="21" t="n"/>
      <c r="U69" s="21" t="n"/>
      <c r="V69" s="25">
        <f>TODAY()</f>
        <v/>
      </c>
    </row>
    <row r="70">
      <c r="A70" s="20" t="inlineStr">
        <is>
          <t>EV-057</t>
        </is>
      </c>
      <c r="B70" s="21" t="n"/>
      <c r="C70" s="21" t="n"/>
      <c r="D70" s="21" t="n"/>
      <c r="E70" s="21" t="n"/>
      <c r="F70" s="21" t="n"/>
      <c r="G70" s="21" t="n"/>
      <c r="H70" s="21" t="n"/>
      <c r="I70" s="21" t="n"/>
      <c r="J70" s="21" t="n"/>
      <c r="K70" s="21" t="n"/>
      <c r="L70" s="21" t="n"/>
      <c r="M70" s="21" t="n"/>
      <c r="N70" s="21" t="n"/>
      <c r="O70" s="25">
        <f>IF(OR(ISBLANK(I70),ISBLANK(N70)),"",EDATE(I70,IF(N70="1 year",12,IF(N70="3 years",36,IF(N70="5 years",60,IF(N70="7 years",84,600))))))</f>
        <v/>
      </c>
      <c r="P70" s="21" t="n"/>
      <c r="Q70" s="21" t="n"/>
      <c r="R70" s="21" t="n"/>
      <c r="S70" s="21" t="n"/>
      <c r="T70" s="21" t="n"/>
      <c r="U70" s="21" t="n"/>
      <c r="V70" s="25">
        <f>TODAY()</f>
        <v/>
      </c>
    </row>
    <row r="71">
      <c r="A71" s="20" t="inlineStr">
        <is>
          <t>EV-058</t>
        </is>
      </c>
      <c r="B71" s="21" t="n"/>
      <c r="C71" s="21" t="n"/>
      <c r="D71" s="21" t="n"/>
      <c r="E71" s="21" t="n"/>
      <c r="F71" s="21" t="n"/>
      <c r="G71" s="21" t="n"/>
      <c r="H71" s="21" t="n"/>
      <c r="I71" s="21" t="n"/>
      <c r="J71" s="21" t="n"/>
      <c r="K71" s="21" t="n"/>
      <c r="L71" s="21" t="n"/>
      <c r="M71" s="21" t="n"/>
      <c r="N71" s="21" t="n"/>
      <c r="O71" s="25">
        <f>IF(OR(ISBLANK(I71),ISBLANK(N71)),"",EDATE(I71,IF(N71="1 year",12,IF(N71="3 years",36,IF(N71="5 years",60,IF(N71="7 years",84,600))))))</f>
        <v/>
      </c>
      <c r="P71" s="21" t="n"/>
      <c r="Q71" s="21" t="n"/>
      <c r="R71" s="21" t="n"/>
      <c r="S71" s="21" t="n"/>
      <c r="T71" s="21" t="n"/>
      <c r="U71" s="21" t="n"/>
      <c r="V71" s="25">
        <f>TODAY()</f>
        <v/>
      </c>
    </row>
    <row r="72">
      <c r="A72" s="20" t="inlineStr">
        <is>
          <t>EV-059</t>
        </is>
      </c>
      <c r="B72" s="21" t="n"/>
      <c r="C72" s="21" t="n"/>
      <c r="D72" s="21" t="n"/>
      <c r="E72" s="21" t="n"/>
      <c r="F72" s="21" t="n"/>
      <c r="G72" s="21" t="n"/>
      <c r="H72" s="21" t="n"/>
      <c r="I72" s="21" t="n"/>
      <c r="J72" s="21" t="n"/>
      <c r="K72" s="21" t="n"/>
      <c r="L72" s="21" t="n"/>
      <c r="M72" s="21" t="n"/>
      <c r="N72" s="21" t="n"/>
      <c r="O72" s="25">
        <f>IF(OR(ISBLANK(I72),ISBLANK(N72)),"",EDATE(I72,IF(N72="1 year",12,IF(N72="3 years",36,IF(N72="5 years",60,IF(N72="7 years",84,600))))))</f>
        <v/>
      </c>
      <c r="P72" s="21" t="n"/>
      <c r="Q72" s="21" t="n"/>
      <c r="R72" s="21" t="n"/>
      <c r="S72" s="21" t="n"/>
      <c r="T72" s="21" t="n"/>
      <c r="U72" s="21" t="n"/>
      <c r="V72" s="25">
        <f>TODAY()</f>
        <v/>
      </c>
    </row>
    <row r="73">
      <c r="A73" s="20" t="inlineStr">
        <is>
          <t>EV-060</t>
        </is>
      </c>
      <c r="B73" s="21" t="n"/>
      <c r="C73" s="21" t="n"/>
      <c r="D73" s="21" t="n"/>
      <c r="E73" s="21" t="n"/>
      <c r="F73" s="21" t="n"/>
      <c r="G73" s="21" t="n"/>
      <c r="H73" s="21" t="n"/>
      <c r="I73" s="21" t="n"/>
      <c r="J73" s="21" t="n"/>
      <c r="K73" s="21" t="n"/>
      <c r="L73" s="21" t="n"/>
      <c r="M73" s="21" t="n"/>
      <c r="N73" s="21" t="n"/>
      <c r="O73" s="25">
        <f>IF(OR(ISBLANK(I73),ISBLANK(N73)),"",EDATE(I73,IF(N73="1 year",12,IF(N73="3 years",36,IF(N73="5 years",60,IF(N73="7 years",84,600))))))</f>
        <v/>
      </c>
      <c r="P73" s="21" t="n"/>
      <c r="Q73" s="21" t="n"/>
      <c r="R73" s="21" t="n"/>
      <c r="S73" s="21" t="n"/>
      <c r="T73" s="21" t="n"/>
      <c r="U73" s="21" t="n"/>
      <c r="V73" s="25">
        <f>TODAY()</f>
        <v/>
      </c>
    </row>
    <row r="74">
      <c r="A74" s="20" t="inlineStr">
        <is>
          <t>EV-061</t>
        </is>
      </c>
      <c r="B74" s="21" t="n"/>
      <c r="C74" s="21" t="n"/>
      <c r="D74" s="21" t="n"/>
      <c r="E74" s="21" t="n"/>
      <c r="F74" s="21" t="n"/>
      <c r="G74" s="21" t="n"/>
      <c r="H74" s="21" t="n"/>
      <c r="I74" s="21" t="n"/>
      <c r="J74" s="21" t="n"/>
      <c r="K74" s="21" t="n"/>
      <c r="L74" s="21" t="n"/>
      <c r="M74" s="21" t="n"/>
      <c r="N74" s="21" t="n"/>
      <c r="O74" s="25">
        <f>IF(OR(ISBLANK(I74),ISBLANK(N74)),"",EDATE(I74,IF(N74="1 year",12,IF(N74="3 years",36,IF(N74="5 years",60,IF(N74="7 years",84,600))))))</f>
        <v/>
      </c>
      <c r="P74" s="21" t="n"/>
      <c r="Q74" s="21" t="n"/>
      <c r="R74" s="21" t="n"/>
      <c r="S74" s="21" t="n"/>
      <c r="T74" s="21" t="n"/>
      <c r="U74" s="21" t="n"/>
      <c r="V74" s="25">
        <f>TODAY()</f>
        <v/>
      </c>
    </row>
    <row r="75">
      <c r="A75" s="20" t="inlineStr">
        <is>
          <t>EV-062</t>
        </is>
      </c>
      <c r="B75" s="21" t="n"/>
      <c r="C75" s="21" t="n"/>
      <c r="D75" s="21" t="n"/>
      <c r="E75" s="21" t="n"/>
      <c r="F75" s="21" t="n"/>
      <c r="G75" s="21" t="n"/>
      <c r="H75" s="21" t="n"/>
      <c r="I75" s="21" t="n"/>
      <c r="J75" s="21" t="n"/>
      <c r="K75" s="21" t="n"/>
      <c r="L75" s="21" t="n"/>
      <c r="M75" s="21" t="n"/>
      <c r="N75" s="21" t="n"/>
      <c r="O75" s="25">
        <f>IF(OR(ISBLANK(I75),ISBLANK(N75)),"",EDATE(I75,IF(N75="1 year",12,IF(N75="3 years",36,IF(N75="5 years",60,IF(N75="7 years",84,600))))))</f>
        <v/>
      </c>
      <c r="P75" s="21" t="n"/>
      <c r="Q75" s="21" t="n"/>
      <c r="R75" s="21" t="n"/>
      <c r="S75" s="21" t="n"/>
      <c r="T75" s="21" t="n"/>
      <c r="U75" s="21" t="n"/>
      <c r="V75" s="25">
        <f>TODAY()</f>
        <v/>
      </c>
    </row>
    <row r="76">
      <c r="A76" s="20" t="inlineStr">
        <is>
          <t>EV-063</t>
        </is>
      </c>
      <c r="B76" s="21" t="n"/>
      <c r="C76" s="21" t="n"/>
      <c r="D76" s="21" t="n"/>
      <c r="E76" s="21" t="n"/>
      <c r="F76" s="21" t="n"/>
      <c r="G76" s="21" t="n"/>
      <c r="H76" s="21" t="n"/>
      <c r="I76" s="21" t="n"/>
      <c r="J76" s="21" t="n"/>
      <c r="K76" s="21" t="n"/>
      <c r="L76" s="21" t="n"/>
      <c r="M76" s="21" t="n"/>
      <c r="N76" s="21" t="n"/>
      <c r="O76" s="25">
        <f>IF(OR(ISBLANK(I76),ISBLANK(N76)),"",EDATE(I76,IF(N76="1 year",12,IF(N76="3 years",36,IF(N76="5 years",60,IF(N76="7 years",84,600))))))</f>
        <v/>
      </c>
      <c r="P76" s="21" t="n"/>
      <c r="Q76" s="21" t="n"/>
      <c r="R76" s="21" t="n"/>
      <c r="S76" s="21" t="n"/>
      <c r="T76" s="21" t="n"/>
      <c r="U76" s="21" t="n"/>
      <c r="V76" s="25">
        <f>TODAY()</f>
        <v/>
      </c>
    </row>
    <row r="77">
      <c r="A77" s="20" t="inlineStr">
        <is>
          <t>EV-064</t>
        </is>
      </c>
      <c r="B77" s="21" t="n"/>
      <c r="C77" s="21" t="n"/>
      <c r="D77" s="21" t="n"/>
      <c r="E77" s="21" t="n"/>
      <c r="F77" s="21" t="n"/>
      <c r="G77" s="21" t="n"/>
      <c r="H77" s="21" t="n"/>
      <c r="I77" s="21" t="n"/>
      <c r="J77" s="21" t="n"/>
      <c r="K77" s="21" t="n"/>
      <c r="L77" s="21" t="n"/>
      <c r="M77" s="21" t="n"/>
      <c r="N77" s="21" t="n"/>
      <c r="O77" s="25">
        <f>IF(OR(ISBLANK(I77),ISBLANK(N77)),"",EDATE(I77,IF(N77="1 year",12,IF(N77="3 years",36,IF(N77="5 years",60,IF(N77="7 years",84,600))))))</f>
        <v/>
      </c>
      <c r="P77" s="21" t="n"/>
      <c r="Q77" s="21" t="n"/>
      <c r="R77" s="21" t="n"/>
      <c r="S77" s="21" t="n"/>
      <c r="T77" s="21" t="n"/>
      <c r="U77" s="21" t="n"/>
      <c r="V77" s="25">
        <f>TODAY()</f>
        <v/>
      </c>
    </row>
    <row r="78">
      <c r="A78" s="20" t="inlineStr">
        <is>
          <t>EV-065</t>
        </is>
      </c>
      <c r="B78" s="21" t="n"/>
      <c r="C78" s="21" t="n"/>
      <c r="D78" s="21" t="n"/>
      <c r="E78" s="21" t="n"/>
      <c r="F78" s="21" t="n"/>
      <c r="G78" s="21" t="n"/>
      <c r="H78" s="21" t="n"/>
      <c r="I78" s="21" t="n"/>
      <c r="J78" s="21" t="n"/>
      <c r="K78" s="21" t="n"/>
      <c r="L78" s="21" t="n"/>
      <c r="M78" s="21" t="n"/>
      <c r="N78" s="21" t="n"/>
      <c r="O78" s="25">
        <f>IF(OR(ISBLANK(I78),ISBLANK(N78)),"",EDATE(I78,IF(N78="1 year",12,IF(N78="3 years",36,IF(N78="5 years",60,IF(N78="7 years",84,600))))))</f>
        <v/>
      </c>
      <c r="P78" s="21" t="n"/>
      <c r="Q78" s="21" t="n"/>
      <c r="R78" s="21" t="n"/>
      <c r="S78" s="21" t="n"/>
      <c r="T78" s="21" t="n"/>
      <c r="U78" s="21" t="n"/>
      <c r="V78" s="25">
        <f>TODAY()</f>
        <v/>
      </c>
    </row>
    <row r="79">
      <c r="A79" s="20" t="inlineStr">
        <is>
          <t>EV-066</t>
        </is>
      </c>
      <c r="B79" s="21" t="n"/>
      <c r="C79" s="21" t="n"/>
      <c r="D79" s="21" t="n"/>
      <c r="E79" s="21" t="n"/>
      <c r="F79" s="21" t="n"/>
      <c r="G79" s="21" t="n"/>
      <c r="H79" s="21" t="n"/>
      <c r="I79" s="21" t="n"/>
      <c r="J79" s="21" t="n"/>
      <c r="K79" s="21" t="n"/>
      <c r="L79" s="21" t="n"/>
      <c r="M79" s="21" t="n"/>
      <c r="N79" s="21" t="n"/>
      <c r="O79" s="25">
        <f>IF(OR(ISBLANK(I79),ISBLANK(N79)),"",EDATE(I79,IF(N79="1 year",12,IF(N79="3 years",36,IF(N79="5 years",60,IF(N79="7 years",84,600))))))</f>
        <v/>
      </c>
      <c r="P79" s="21" t="n"/>
      <c r="Q79" s="21" t="n"/>
      <c r="R79" s="21" t="n"/>
      <c r="S79" s="21" t="n"/>
      <c r="T79" s="21" t="n"/>
      <c r="U79" s="21" t="n"/>
      <c r="V79" s="25">
        <f>TODAY()</f>
        <v/>
      </c>
    </row>
    <row r="80">
      <c r="A80" s="20" t="inlineStr">
        <is>
          <t>EV-067</t>
        </is>
      </c>
      <c r="B80" s="21" t="n"/>
      <c r="C80" s="21" t="n"/>
      <c r="D80" s="21" t="n"/>
      <c r="E80" s="21" t="n"/>
      <c r="F80" s="21" t="n"/>
      <c r="G80" s="21" t="n"/>
      <c r="H80" s="21" t="n"/>
      <c r="I80" s="21" t="n"/>
      <c r="J80" s="21" t="n"/>
      <c r="K80" s="21" t="n"/>
      <c r="L80" s="21" t="n"/>
      <c r="M80" s="21" t="n"/>
      <c r="N80" s="21" t="n"/>
      <c r="O80" s="25">
        <f>IF(OR(ISBLANK(I80),ISBLANK(N80)),"",EDATE(I80,IF(N80="1 year",12,IF(N80="3 years",36,IF(N80="5 years",60,IF(N80="7 years",84,600))))))</f>
        <v/>
      </c>
      <c r="P80" s="21" t="n"/>
      <c r="Q80" s="21" t="n"/>
      <c r="R80" s="21" t="n"/>
      <c r="S80" s="21" t="n"/>
      <c r="T80" s="21" t="n"/>
      <c r="U80" s="21" t="n"/>
      <c r="V80" s="25">
        <f>TODAY()</f>
        <v/>
      </c>
    </row>
    <row r="81">
      <c r="A81" s="20" t="inlineStr">
        <is>
          <t>EV-068</t>
        </is>
      </c>
      <c r="B81" s="21" t="n"/>
      <c r="C81" s="21" t="n"/>
      <c r="D81" s="21" t="n"/>
      <c r="E81" s="21" t="n"/>
      <c r="F81" s="21" t="n"/>
      <c r="G81" s="21" t="n"/>
      <c r="H81" s="21" t="n"/>
      <c r="I81" s="21" t="n"/>
      <c r="J81" s="21" t="n"/>
      <c r="K81" s="21" t="n"/>
      <c r="L81" s="21" t="n"/>
      <c r="M81" s="21" t="n"/>
      <c r="N81" s="21" t="n"/>
      <c r="O81" s="25">
        <f>IF(OR(ISBLANK(I81),ISBLANK(N81)),"",EDATE(I81,IF(N81="1 year",12,IF(N81="3 years",36,IF(N81="5 years",60,IF(N81="7 years",84,600))))))</f>
        <v/>
      </c>
      <c r="P81" s="21" t="n"/>
      <c r="Q81" s="21" t="n"/>
      <c r="R81" s="21" t="n"/>
      <c r="S81" s="21" t="n"/>
      <c r="T81" s="21" t="n"/>
      <c r="U81" s="21" t="n"/>
      <c r="V81" s="25">
        <f>TODAY()</f>
        <v/>
      </c>
    </row>
    <row r="82">
      <c r="A82" s="20" t="inlineStr">
        <is>
          <t>EV-069</t>
        </is>
      </c>
      <c r="B82" s="21" t="n"/>
      <c r="C82" s="21" t="n"/>
      <c r="D82" s="21" t="n"/>
      <c r="E82" s="21" t="n"/>
      <c r="F82" s="21" t="n"/>
      <c r="G82" s="21" t="n"/>
      <c r="H82" s="21" t="n"/>
      <c r="I82" s="21" t="n"/>
      <c r="J82" s="21" t="n"/>
      <c r="K82" s="21" t="n"/>
      <c r="L82" s="21" t="n"/>
      <c r="M82" s="21" t="n"/>
      <c r="N82" s="21" t="n"/>
      <c r="O82" s="25">
        <f>IF(OR(ISBLANK(I82),ISBLANK(N82)),"",EDATE(I82,IF(N82="1 year",12,IF(N82="3 years",36,IF(N82="5 years",60,IF(N82="7 years",84,600))))))</f>
        <v/>
      </c>
      <c r="P82" s="21" t="n"/>
      <c r="Q82" s="21" t="n"/>
      <c r="R82" s="21" t="n"/>
      <c r="S82" s="21" t="n"/>
      <c r="T82" s="21" t="n"/>
      <c r="U82" s="21" t="n"/>
      <c r="V82" s="25">
        <f>TODAY()</f>
        <v/>
      </c>
    </row>
    <row r="83">
      <c r="A83" s="20" t="inlineStr">
        <is>
          <t>EV-070</t>
        </is>
      </c>
      <c r="B83" s="21" t="n"/>
      <c r="C83" s="21" t="n"/>
      <c r="D83" s="21" t="n"/>
      <c r="E83" s="21" t="n"/>
      <c r="F83" s="21" t="n"/>
      <c r="G83" s="21" t="n"/>
      <c r="H83" s="21" t="n"/>
      <c r="I83" s="21" t="n"/>
      <c r="J83" s="21" t="n"/>
      <c r="K83" s="21" t="n"/>
      <c r="L83" s="21" t="n"/>
      <c r="M83" s="21" t="n"/>
      <c r="N83" s="21" t="n"/>
      <c r="O83" s="25">
        <f>IF(OR(ISBLANK(I83),ISBLANK(N83)),"",EDATE(I83,IF(N83="1 year",12,IF(N83="3 years",36,IF(N83="5 years",60,IF(N83="7 years",84,600))))))</f>
        <v/>
      </c>
      <c r="P83" s="21" t="n"/>
      <c r="Q83" s="21" t="n"/>
      <c r="R83" s="21" t="n"/>
      <c r="S83" s="21" t="n"/>
      <c r="T83" s="21" t="n"/>
      <c r="U83" s="21" t="n"/>
      <c r="V83" s="25">
        <f>TODAY()</f>
        <v/>
      </c>
    </row>
    <row r="84">
      <c r="A84" s="20" t="inlineStr">
        <is>
          <t>EV-071</t>
        </is>
      </c>
      <c r="B84" s="21" t="n"/>
      <c r="C84" s="21" t="n"/>
      <c r="D84" s="21" t="n"/>
      <c r="E84" s="21" t="n"/>
      <c r="F84" s="21" t="n"/>
      <c r="G84" s="21" t="n"/>
      <c r="H84" s="21" t="n"/>
      <c r="I84" s="21" t="n"/>
      <c r="J84" s="21" t="n"/>
      <c r="K84" s="21" t="n"/>
      <c r="L84" s="21" t="n"/>
      <c r="M84" s="21" t="n"/>
      <c r="N84" s="21" t="n"/>
      <c r="O84" s="25">
        <f>IF(OR(ISBLANK(I84),ISBLANK(N84)),"",EDATE(I84,IF(N84="1 year",12,IF(N84="3 years",36,IF(N84="5 years",60,IF(N84="7 years",84,600))))))</f>
        <v/>
      </c>
      <c r="P84" s="21" t="n"/>
      <c r="Q84" s="21" t="n"/>
      <c r="R84" s="21" t="n"/>
      <c r="S84" s="21" t="n"/>
      <c r="T84" s="21" t="n"/>
      <c r="U84" s="21" t="n"/>
      <c r="V84" s="25">
        <f>TODAY()</f>
        <v/>
      </c>
    </row>
    <row r="85">
      <c r="A85" s="20" t="inlineStr">
        <is>
          <t>EV-072</t>
        </is>
      </c>
      <c r="B85" s="21" t="n"/>
      <c r="C85" s="21" t="n"/>
      <c r="D85" s="21" t="n"/>
      <c r="E85" s="21" t="n"/>
      <c r="F85" s="21" t="n"/>
      <c r="G85" s="21" t="n"/>
      <c r="H85" s="21" t="n"/>
      <c r="I85" s="21" t="n"/>
      <c r="J85" s="21" t="n"/>
      <c r="K85" s="21" t="n"/>
      <c r="L85" s="21" t="n"/>
      <c r="M85" s="21" t="n"/>
      <c r="N85" s="21" t="n"/>
      <c r="O85" s="25">
        <f>IF(OR(ISBLANK(I85),ISBLANK(N85)),"",EDATE(I85,IF(N85="1 year",12,IF(N85="3 years",36,IF(N85="5 years",60,IF(N85="7 years",84,600))))))</f>
        <v/>
      </c>
      <c r="P85" s="21" t="n"/>
      <c r="Q85" s="21" t="n"/>
      <c r="R85" s="21" t="n"/>
      <c r="S85" s="21" t="n"/>
      <c r="T85" s="21" t="n"/>
      <c r="U85" s="21" t="n"/>
      <c r="V85" s="25">
        <f>TODAY()</f>
        <v/>
      </c>
    </row>
    <row r="86">
      <c r="A86" s="20" t="inlineStr">
        <is>
          <t>EV-073</t>
        </is>
      </c>
      <c r="B86" s="21" t="n"/>
      <c r="C86" s="21" t="n"/>
      <c r="D86" s="21" t="n"/>
      <c r="E86" s="21" t="n"/>
      <c r="F86" s="21" t="n"/>
      <c r="G86" s="21" t="n"/>
      <c r="H86" s="21" t="n"/>
      <c r="I86" s="21" t="n"/>
      <c r="J86" s="21" t="n"/>
      <c r="K86" s="21" t="n"/>
      <c r="L86" s="21" t="n"/>
      <c r="M86" s="21" t="n"/>
      <c r="N86" s="21" t="n"/>
      <c r="O86" s="25">
        <f>IF(OR(ISBLANK(I86),ISBLANK(N86)),"",EDATE(I86,IF(N86="1 year",12,IF(N86="3 years",36,IF(N86="5 years",60,IF(N86="7 years",84,600))))))</f>
        <v/>
      </c>
      <c r="P86" s="21" t="n"/>
      <c r="Q86" s="21" t="n"/>
      <c r="R86" s="21" t="n"/>
      <c r="S86" s="21" t="n"/>
      <c r="T86" s="21" t="n"/>
      <c r="U86" s="21" t="n"/>
      <c r="V86" s="25">
        <f>TODAY()</f>
        <v/>
      </c>
    </row>
    <row r="87">
      <c r="A87" s="20" t="inlineStr">
        <is>
          <t>EV-074</t>
        </is>
      </c>
      <c r="B87" s="21" t="n"/>
      <c r="C87" s="21" t="n"/>
      <c r="D87" s="21" t="n"/>
      <c r="E87" s="21" t="n"/>
      <c r="F87" s="21" t="n"/>
      <c r="G87" s="21" t="n"/>
      <c r="H87" s="21" t="n"/>
      <c r="I87" s="21" t="n"/>
      <c r="J87" s="21" t="n"/>
      <c r="K87" s="21" t="n"/>
      <c r="L87" s="21" t="n"/>
      <c r="M87" s="21" t="n"/>
      <c r="N87" s="21" t="n"/>
      <c r="O87" s="25">
        <f>IF(OR(ISBLANK(I87),ISBLANK(N87)),"",EDATE(I87,IF(N87="1 year",12,IF(N87="3 years",36,IF(N87="5 years",60,IF(N87="7 years",84,600))))))</f>
        <v/>
      </c>
      <c r="P87" s="21" t="n"/>
      <c r="Q87" s="21" t="n"/>
      <c r="R87" s="21" t="n"/>
      <c r="S87" s="21" t="n"/>
      <c r="T87" s="21" t="n"/>
      <c r="U87" s="21" t="n"/>
      <c r="V87" s="25">
        <f>TODAY()</f>
        <v/>
      </c>
    </row>
    <row r="88">
      <c r="A88" s="20" t="inlineStr">
        <is>
          <t>EV-075</t>
        </is>
      </c>
      <c r="B88" s="21" t="n"/>
      <c r="C88" s="21" t="n"/>
      <c r="D88" s="21" t="n"/>
      <c r="E88" s="21" t="n"/>
      <c r="F88" s="21" t="n"/>
      <c r="G88" s="21" t="n"/>
      <c r="H88" s="21" t="n"/>
      <c r="I88" s="21" t="n"/>
      <c r="J88" s="21" t="n"/>
      <c r="K88" s="21" t="n"/>
      <c r="L88" s="21" t="n"/>
      <c r="M88" s="21" t="n"/>
      <c r="N88" s="21" t="n"/>
      <c r="O88" s="25">
        <f>IF(OR(ISBLANK(I88),ISBLANK(N88)),"",EDATE(I88,IF(N88="1 year",12,IF(N88="3 years",36,IF(N88="5 years",60,IF(N88="7 years",84,600))))))</f>
        <v/>
      </c>
      <c r="P88" s="21" t="n"/>
      <c r="Q88" s="21" t="n"/>
      <c r="R88" s="21" t="n"/>
      <c r="S88" s="21" t="n"/>
      <c r="T88" s="21" t="n"/>
      <c r="U88" s="21" t="n"/>
      <c r="V88" s="25">
        <f>TODAY()</f>
        <v/>
      </c>
    </row>
    <row r="89">
      <c r="A89" s="20" t="inlineStr">
        <is>
          <t>EV-076</t>
        </is>
      </c>
      <c r="B89" s="21" t="n"/>
      <c r="C89" s="21" t="n"/>
      <c r="D89" s="21" t="n"/>
      <c r="E89" s="21" t="n"/>
      <c r="F89" s="21" t="n"/>
      <c r="G89" s="21" t="n"/>
      <c r="H89" s="21" t="n"/>
      <c r="I89" s="21" t="n"/>
      <c r="J89" s="21" t="n"/>
      <c r="K89" s="21" t="n"/>
      <c r="L89" s="21" t="n"/>
      <c r="M89" s="21" t="n"/>
      <c r="N89" s="21" t="n"/>
      <c r="O89" s="25">
        <f>IF(OR(ISBLANK(I89),ISBLANK(N89)),"",EDATE(I89,IF(N89="1 year",12,IF(N89="3 years",36,IF(N89="5 years",60,IF(N89="7 years",84,600))))))</f>
        <v/>
      </c>
      <c r="P89" s="21" t="n"/>
      <c r="Q89" s="21" t="n"/>
      <c r="R89" s="21" t="n"/>
      <c r="S89" s="21" t="n"/>
      <c r="T89" s="21" t="n"/>
      <c r="U89" s="21" t="n"/>
      <c r="V89" s="25">
        <f>TODAY()</f>
        <v/>
      </c>
    </row>
    <row r="90">
      <c r="A90" s="20" t="inlineStr">
        <is>
          <t>EV-077</t>
        </is>
      </c>
      <c r="B90" s="21" t="n"/>
      <c r="C90" s="21" t="n"/>
      <c r="D90" s="21" t="n"/>
      <c r="E90" s="21" t="n"/>
      <c r="F90" s="21" t="n"/>
      <c r="G90" s="21" t="n"/>
      <c r="H90" s="21" t="n"/>
      <c r="I90" s="21" t="n"/>
      <c r="J90" s="21" t="n"/>
      <c r="K90" s="21" t="n"/>
      <c r="L90" s="21" t="n"/>
      <c r="M90" s="21" t="n"/>
      <c r="N90" s="21" t="n"/>
      <c r="O90" s="25">
        <f>IF(OR(ISBLANK(I90),ISBLANK(N90)),"",EDATE(I90,IF(N90="1 year",12,IF(N90="3 years",36,IF(N90="5 years",60,IF(N90="7 years",84,600))))))</f>
        <v/>
      </c>
      <c r="P90" s="21" t="n"/>
      <c r="Q90" s="21" t="n"/>
      <c r="R90" s="21" t="n"/>
      <c r="S90" s="21" t="n"/>
      <c r="T90" s="21" t="n"/>
      <c r="U90" s="21" t="n"/>
      <c r="V90" s="25">
        <f>TODAY()</f>
        <v/>
      </c>
    </row>
    <row r="91">
      <c r="A91" s="20" t="inlineStr">
        <is>
          <t>EV-078</t>
        </is>
      </c>
      <c r="B91" s="21" t="n"/>
      <c r="C91" s="21" t="n"/>
      <c r="D91" s="21" t="n"/>
      <c r="E91" s="21" t="n"/>
      <c r="F91" s="21" t="n"/>
      <c r="G91" s="21" t="n"/>
      <c r="H91" s="21" t="n"/>
      <c r="I91" s="21" t="n"/>
      <c r="J91" s="21" t="n"/>
      <c r="K91" s="21" t="n"/>
      <c r="L91" s="21" t="n"/>
      <c r="M91" s="21" t="n"/>
      <c r="N91" s="21" t="n"/>
      <c r="O91" s="25">
        <f>IF(OR(ISBLANK(I91),ISBLANK(N91)),"",EDATE(I91,IF(N91="1 year",12,IF(N91="3 years",36,IF(N91="5 years",60,IF(N91="7 years",84,600))))))</f>
        <v/>
      </c>
      <c r="P91" s="21" t="n"/>
      <c r="Q91" s="21" t="n"/>
      <c r="R91" s="21" t="n"/>
      <c r="S91" s="21" t="n"/>
      <c r="T91" s="21" t="n"/>
      <c r="U91" s="21" t="n"/>
      <c r="V91" s="25">
        <f>TODAY()</f>
        <v/>
      </c>
    </row>
    <row r="92">
      <c r="A92" s="20" t="inlineStr">
        <is>
          <t>EV-079</t>
        </is>
      </c>
      <c r="B92" s="21" t="n"/>
      <c r="C92" s="21" t="n"/>
      <c r="D92" s="21" t="n"/>
      <c r="E92" s="21" t="n"/>
      <c r="F92" s="21" t="n"/>
      <c r="G92" s="21" t="n"/>
      <c r="H92" s="21" t="n"/>
      <c r="I92" s="21" t="n"/>
      <c r="J92" s="21" t="n"/>
      <c r="K92" s="21" t="n"/>
      <c r="L92" s="21" t="n"/>
      <c r="M92" s="21" t="n"/>
      <c r="N92" s="21" t="n"/>
      <c r="O92" s="25">
        <f>IF(OR(ISBLANK(I92),ISBLANK(N92)),"",EDATE(I92,IF(N92="1 year",12,IF(N92="3 years",36,IF(N92="5 years",60,IF(N92="7 years",84,600))))))</f>
        <v/>
      </c>
      <c r="P92" s="21" t="n"/>
      <c r="Q92" s="21" t="n"/>
      <c r="R92" s="21" t="n"/>
      <c r="S92" s="21" t="n"/>
      <c r="T92" s="21" t="n"/>
      <c r="U92" s="21" t="n"/>
      <c r="V92" s="25">
        <f>TODAY()</f>
        <v/>
      </c>
    </row>
    <row r="93">
      <c r="A93" s="20" t="inlineStr">
        <is>
          <t>EV-080</t>
        </is>
      </c>
      <c r="B93" s="21" t="n"/>
      <c r="C93" s="21" t="n"/>
      <c r="D93" s="21" t="n"/>
      <c r="E93" s="21" t="n"/>
      <c r="F93" s="21" t="n"/>
      <c r="G93" s="21" t="n"/>
      <c r="H93" s="21" t="n"/>
      <c r="I93" s="21" t="n"/>
      <c r="J93" s="21" t="n"/>
      <c r="K93" s="21" t="n"/>
      <c r="L93" s="21" t="n"/>
      <c r="M93" s="21" t="n"/>
      <c r="N93" s="21" t="n"/>
      <c r="O93" s="25">
        <f>IF(OR(ISBLANK(I93),ISBLANK(N93)),"",EDATE(I93,IF(N93="1 year",12,IF(N93="3 years",36,IF(N93="5 years",60,IF(N93="7 years",84,600))))))</f>
        <v/>
      </c>
      <c r="P93" s="21" t="n"/>
      <c r="Q93" s="21" t="n"/>
      <c r="R93" s="21" t="n"/>
      <c r="S93" s="21" t="n"/>
      <c r="T93" s="21" t="n"/>
      <c r="U93" s="21" t="n"/>
      <c r="V93" s="25">
        <f>TODAY()</f>
        <v/>
      </c>
    </row>
    <row r="94">
      <c r="A94" s="20" t="inlineStr">
        <is>
          <t>EV-081</t>
        </is>
      </c>
      <c r="B94" s="21" t="n"/>
      <c r="C94" s="21" t="n"/>
      <c r="D94" s="21" t="n"/>
      <c r="E94" s="21" t="n"/>
      <c r="F94" s="21" t="n"/>
      <c r="G94" s="21" t="n"/>
      <c r="H94" s="21" t="n"/>
      <c r="I94" s="21" t="n"/>
      <c r="J94" s="21" t="n"/>
      <c r="K94" s="21" t="n"/>
      <c r="L94" s="21" t="n"/>
      <c r="M94" s="21" t="n"/>
      <c r="N94" s="21" t="n"/>
      <c r="O94" s="25">
        <f>IF(OR(ISBLANK(I94),ISBLANK(N94)),"",EDATE(I94,IF(N94="1 year",12,IF(N94="3 years",36,IF(N94="5 years",60,IF(N94="7 years",84,600))))))</f>
        <v/>
      </c>
      <c r="P94" s="21" t="n"/>
      <c r="Q94" s="21" t="n"/>
      <c r="R94" s="21" t="n"/>
      <c r="S94" s="21" t="n"/>
      <c r="T94" s="21" t="n"/>
      <c r="U94" s="21" t="n"/>
      <c r="V94" s="25">
        <f>TODAY()</f>
        <v/>
      </c>
    </row>
    <row r="95">
      <c r="A95" s="20" t="inlineStr">
        <is>
          <t>EV-082</t>
        </is>
      </c>
      <c r="B95" s="21" t="n"/>
      <c r="C95" s="21" t="n"/>
      <c r="D95" s="21" t="n"/>
      <c r="E95" s="21" t="n"/>
      <c r="F95" s="21" t="n"/>
      <c r="G95" s="21" t="n"/>
      <c r="H95" s="21" t="n"/>
      <c r="I95" s="21" t="n"/>
      <c r="J95" s="21" t="n"/>
      <c r="K95" s="21" t="n"/>
      <c r="L95" s="21" t="n"/>
      <c r="M95" s="21" t="n"/>
      <c r="N95" s="21" t="n"/>
      <c r="O95" s="25">
        <f>IF(OR(ISBLANK(I95),ISBLANK(N95)),"",EDATE(I95,IF(N95="1 year",12,IF(N95="3 years",36,IF(N95="5 years",60,IF(N95="7 years",84,600))))))</f>
        <v/>
      </c>
      <c r="P95" s="21" t="n"/>
      <c r="Q95" s="21" t="n"/>
      <c r="R95" s="21" t="n"/>
      <c r="S95" s="21" t="n"/>
      <c r="T95" s="21" t="n"/>
      <c r="U95" s="21" t="n"/>
      <c r="V95" s="25">
        <f>TODAY()</f>
        <v/>
      </c>
    </row>
    <row r="96">
      <c r="A96" s="20" t="inlineStr">
        <is>
          <t>EV-083</t>
        </is>
      </c>
      <c r="B96" s="21" t="n"/>
      <c r="C96" s="21" t="n"/>
      <c r="D96" s="21" t="n"/>
      <c r="E96" s="21" t="n"/>
      <c r="F96" s="21" t="n"/>
      <c r="G96" s="21" t="n"/>
      <c r="H96" s="21" t="n"/>
      <c r="I96" s="21" t="n"/>
      <c r="J96" s="21" t="n"/>
      <c r="K96" s="21" t="n"/>
      <c r="L96" s="21" t="n"/>
      <c r="M96" s="21" t="n"/>
      <c r="N96" s="21" t="n"/>
      <c r="O96" s="25">
        <f>IF(OR(ISBLANK(I96),ISBLANK(N96)),"",EDATE(I96,IF(N96="1 year",12,IF(N96="3 years",36,IF(N96="5 years",60,IF(N96="7 years",84,600))))))</f>
        <v/>
      </c>
      <c r="P96" s="21" t="n"/>
      <c r="Q96" s="21" t="n"/>
      <c r="R96" s="21" t="n"/>
      <c r="S96" s="21" t="n"/>
      <c r="T96" s="21" t="n"/>
      <c r="U96" s="21" t="n"/>
      <c r="V96" s="25">
        <f>TODAY()</f>
        <v/>
      </c>
    </row>
    <row r="97">
      <c r="A97" s="20" t="inlineStr">
        <is>
          <t>EV-084</t>
        </is>
      </c>
      <c r="B97" s="21" t="n"/>
      <c r="C97" s="21" t="n"/>
      <c r="D97" s="21" t="n"/>
      <c r="E97" s="21" t="n"/>
      <c r="F97" s="21" t="n"/>
      <c r="G97" s="21" t="n"/>
      <c r="H97" s="21" t="n"/>
      <c r="I97" s="21" t="n"/>
      <c r="J97" s="21" t="n"/>
      <c r="K97" s="21" t="n"/>
      <c r="L97" s="21" t="n"/>
      <c r="M97" s="21" t="n"/>
      <c r="N97" s="21" t="n"/>
      <c r="O97" s="25">
        <f>IF(OR(ISBLANK(I97),ISBLANK(N97)),"",EDATE(I97,IF(N97="1 year",12,IF(N97="3 years",36,IF(N97="5 years",60,IF(N97="7 years",84,600))))))</f>
        <v/>
      </c>
      <c r="P97" s="21" t="n"/>
      <c r="Q97" s="21" t="n"/>
      <c r="R97" s="21" t="n"/>
      <c r="S97" s="21" t="n"/>
      <c r="T97" s="21" t="n"/>
      <c r="U97" s="21" t="n"/>
      <c r="V97" s="25">
        <f>TODAY()</f>
        <v/>
      </c>
    </row>
    <row r="98">
      <c r="A98" s="20" t="inlineStr">
        <is>
          <t>EV-085</t>
        </is>
      </c>
      <c r="B98" s="21" t="n"/>
      <c r="C98" s="21" t="n"/>
      <c r="D98" s="21" t="n"/>
      <c r="E98" s="21" t="n"/>
      <c r="F98" s="21" t="n"/>
      <c r="G98" s="21" t="n"/>
      <c r="H98" s="21" t="n"/>
      <c r="I98" s="21" t="n"/>
      <c r="J98" s="21" t="n"/>
      <c r="K98" s="21" t="n"/>
      <c r="L98" s="21" t="n"/>
      <c r="M98" s="21" t="n"/>
      <c r="N98" s="21" t="n"/>
      <c r="O98" s="25">
        <f>IF(OR(ISBLANK(I98),ISBLANK(N98)),"",EDATE(I98,IF(N98="1 year",12,IF(N98="3 years",36,IF(N98="5 years",60,IF(N98="7 years",84,600))))))</f>
        <v/>
      </c>
      <c r="P98" s="21" t="n"/>
      <c r="Q98" s="21" t="n"/>
      <c r="R98" s="21" t="n"/>
      <c r="S98" s="21" t="n"/>
      <c r="T98" s="21" t="n"/>
      <c r="U98" s="21" t="n"/>
      <c r="V98" s="25">
        <f>TODAY()</f>
        <v/>
      </c>
    </row>
    <row r="99">
      <c r="A99" s="20" t="inlineStr">
        <is>
          <t>EV-086</t>
        </is>
      </c>
      <c r="B99" s="21" t="n"/>
      <c r="C99" s="21" t="n"/>
      <c r="D99" s="21" t="n"/>
      <c r="E99" s="21" t="n"/>
      <c r="F99" s="21" t="n"/>
      <c r="G99" s="21" t="n"/>
      <c r="H99" s="21" t="n"/>
      <c r="I99" s="21" t="n"/>
      <c r="J99" s="21" t="n"/>
      <c r="K99" s="21" t="n"/>
      <c r="L99" s="21" t="n"/>
      <c r="M99" s="21" t="n"/>
      <c r="N99" s="21" t="n"/>
      <c r="O99" s="25">
        <f>IF(OR(ISBLANK(I99),ISBLANK(N99)),"",EDATE(I99,IF(N99="1 year",12,IF(N99="3 years",36,IF(N99="5 years",60,IF(N99="7 years",84,600))))))</f>
        <v/>
      </c>
      <c r="P99" s="21" t="n"/>
      <c r="Q99" s="21" t="n"/>
      <c r="R99" s="21" t="n"/>
      <c r="S99" s="21" t="n"/>
      <c r="T99" s="21" t="n"/>
      <c r="U99" s="21" t="n"/>
      <c r="V99" s="25">
        <f>TODAY()</f>
        <v/>
      </c>
    </row>
    <row r="100">
      <c r="A100" s="20" t="inlineStr">
        <is>
          <t>EV-087</t>
        </is>
      </c>
      <c r="B100" s="21" t="n"/>
      <c r="C100" s="21" t="n"/>
      <c r="D100" s="21" t="n"/>
      <c r="E100" s="21" t="n"/>
      <c r="F100" s="21" t="n"/>
      <c r="G100" s="21" t="n"/>
      <c r="H100" s="21" t="n"/>
      <c r="I100" s="21" t="n"/>
      <c r="J100" s="21" t="n"/>
      <c r="K100" s="21" t="n"/>
      <c r="L100" s="21" t="n"/>
      <c r="M100" s="21" t="n"/>
      <c r="N100" s="21" t="n"/>
      <c r="O100" s="25">
        <f>IF(OR(ISBLANK(I100),ISBLANK(N100)),"",EDATE(I100,IF(N100="1 year",12,IF(N100="3 years",36,IF(N100="5 years",60,IF(N100="7 years",84,600))))))</f>
        <v/>
      </c>
      <c r="P100" s="21" t="n"/>
      <c r="Q100" s="21" t="n"/>
      <c r="R100" s="21" t="n"/>
      <c r="S100" s="21" t="n"/>
      <c r="T100" s="21" t="n"/>
      <c r="U100" s="21" t="n"/>
      <c r="V100" s="25">
        <f>TODAY()</f>
        <v/>
      </c>
    </row>
    <row r="101">
      <c r="A101" s="20" t="inlineStr">
        <is>
          <t>EV-088</t>
        </is>
      </c>
      <c r="B101" s="21" t="n"/>
      <c r="C101" s="21" t="n"/>
      <c r="D101" s="21" t="n"/>
      <c r="E101" s="21" t="n"/>
      <c r="F101" s="21" t="n"/>
      <c r="G101" s="21" t="n"/>
      <c r="H101" s="21" t="n"/>
      <c r="I101" s="21" t="n"/>
      <c r="J101" s="21" t="n"/>
      <c r="K101" s="21" t="n"/>
      <c r="L101" s="21" t="n"/>
      <c r="M101" s="21" t="n"/>
      <c r="N101" s="21" t="n"/>
      <c r="O101" s="25">
        <f>IF(OR(ISBLANK(I101),ISBLANK(N101)),"",EDATE(I101,IF(N101="1 year",12,IF(N101="3 years",36,IF(N101="5 years",60,IF(N101="7 years",84,600))))))</f>
        <v/>
      </c>
      <c r="P101" s="21" t="n"/>
      <c r="Q101" s="21" t="n"/>
      <c r="R101" s="21" t="n"/>
      <c r="S101" s="21" t="n"/>
      <c r="T101" s="21" t="n"/>
      <c r="U101" s="21" t="n"/>
      <c r="V101" s="25">
        <f>TODAY()</f>
        <v/>
      </c>
    </row>
    <row r="102">
      <c r="A102" s="20" t="inlineStr">
        <is>
          <t>EV-089</t>
        </is>
      </c>
      <c r="B102" s="21" t="n"/>
      <c r="C102" s="21" t="n"/>
      <c r="D102" s="21" t="n"/>
      <c r="E102" s="21" t="n"/>
      <c r="F102" s="21" t="n"/>
      <c r="G102" s="21" t="n"/>
      <c r="H102" s="21" t="n"/>
      <c r="I102" s="21" t="n"/>
      <c r="J102" s="21" t="n"/>
      <c r="K102" s="21" t="n"/>
      <c r="L102" s="21" t="n"/>
      <c r="M102" s="21" t="n"/>
      <c r="N102" s="21" t="n"/>
      <c r="O102" s="25">
        <f>IF(OR(ISBLANK(I102),ISBLANK(N102)),"",EDATE(I102,IF(N102="1 year",12,IF(N102="3 years",36,IF(N102="5 years",60,IF(N102="7 years",84,600))))))</f>
        <v/>
      </c>
      <c r="P102" s="21" t="n"/>
      <c r="Q102" s="21" t="n"/>
      <c r="R102" s="21" t="n"/>
      <c r="S102" s="21" t="n"/>
      <c r="T102" s="21" t="n"/>
      <c r="U102" s="21" t="n"/>
      <c r="V102" s="25">
        <f>TODAY()</f>
        <v/>
      </c>
    </row>
    <row r="103">
      <c r="A103" s="20" t="inlineStr">
        <is>
          <t>EV-090</t>
        </is>
      </c>
      <c r="B103" s="21" t="n"/>
      <c r="C103" s="21" t="n"/>
      <c r="D103" s="21" t="n"/>
      <c r="E103" s="21" t="n"/>
      <c r="F103" s="21" t="n"/>
      <c r="G103" s="21" t="n"/>
      <c r="H103" s="21" t="n"/>
      <c r="I103" s="21" t="n"/>
      <c r="J103" s="21" t="n"/>
      <c r="K103" s="21" t="n"/>
      <c r="L103" s="21" t="n"/>
      <c r="M103" s="21" t="n"/>
      <c r="N103" s="21" t="n"/>
      <c r="O103" s="25">
        <f>IF(OR(ISBLANK(I103),ISBLANK(N103)),"",EDATE(I103,IF(N103="1 year",12,IF(N103="3 years",36,IF(N103="5 years",60,IF(N103="7 years",84,600))))))</f>
        <v/>
      </c>
      <c r="P103" s="21" t="n"/>
      <c r="Q103" s="21" t="n"/>
      <c r="R103" s="21" t="n"/>
      <c r="S103" s="21" t="n"/>
      <c r="T103" s="21" t="n"/>
      <c r="U103" s="21" t="n"/>
      <c r="V103" s="25">
        <f>TODAY()</f>
        <v/>
      </c>
    </row>
    <row r="104">
      <c r="A104" s="20" t="inlineStr">
        <is>
          <t>EV-091</t>
        </is>
      </c>
      <c r="B104" s="21" t="n"/>
      <c r="C104" s="21" t="n"/>
      <c r="D104" s="21" t="n"/>
      <c r="E104" s="21" t="n"/>
      <c r="F104" s="21" t="n"/>
      <c r="G104" s="21" t="n"/>
      <c r="H104" s="21" t="n"/>
      <c r="I104" s="21" t="n"/>
      <c r="J104" s="21" t="n"/>
      <c r="K104" s="21" t="n"/>
      <c r="L104" s="21" t="n"/>
      <c r="M104" s="21" t="n"/>
      <c r="N104" s="21" t="n"/>
      <c r="O104" s="25">
        <f>IF(OR(ISBLANK(I104),ISBLANK(N104)),"",EDATE(I104,IF(N104="1 year",12,IF(N104="3 years",36,IF(N104="5 years",60,IF(N104="7 years",84,600))))))</f>
        <v/>
      </c>
      <c r="P104" s="21" t="n"/>
      <c r="Q104" s="21" t="n"/>
      <c r="R104" s="21" t="n"/>
      <c r="S104" s="21" t="n"/>
      <c r="T104" s="21" t="n"/>
      <c r="U104" s="21" t="n"/>
      <c r="V104" s="25">
        <f>TODAY()</f>
        <v/>
      </c>
    </row>
    <row r="105">
      <c r="A105" s="20" t="inlineStr">
        <is>
          <t>EV-092</t>
        </is>
      </c>
      <c r="B105" s="21" t="n"/>
      <c r="C105" s="21" t="n"/>
      <c r="D105" s="21" t="n"/>
      <c r="E105" s="21" t="n"/>
      <c r="F105" s="21" t="n"/>
      <c r="G105" s="21" t="n"/>
      <c r="H105" s="21" t="n"/>
      <c r="I105" s="21" t="n"/>
      <c r="J105" s="21" t="n"/>
      <c r="K105" s="21" t="n"/>
      <c r="L105" s="21" t="n"/>
      <c r="M105" s="21" t="n"/>
      <c r="N105" s="21" t="n"/>
      <c r="O105" s="25">
        <f>IF(OR(ISBLANK(I105),ISBLANK(N105)),"",EDATE(I105,IF(N105="1 year",12,IF(N105="3 years",36,IF(N105="5 years",60,IF(N105="7 years",84,600))))))</f>
        <v/>
      </c>
      <c r="P105" s="21" t="n"/>
      <c r="Q105" s="21" t="n"/>
      <c r="R105" s="21" t="n"/>
      <c r="S105" s="21" t="n"/>
      <c r="T105" s="21" t="n"/>
      <c r="U105" s="21" t="n"/>
      <c r="V105" s="25">
        <f>TODAY()</f>
        <v/>
      </c>
    </row>
    <row r="106">
      <c r="A106" s="20" t="inlineStr">
        <is>
          <t>EV-093</t>
        </is>
      </c>
      <c r="B106" s="21" t="n"/>
      <c r="C106" s="21" t="n"/>
      <c r="D106" s="21" t="n"/>
      <c r="E106" s="21" t="n"/>
      <c r="F106" s="21" t="n"/>
      <c r="G106" s="21" t="n"/>
      <c r="H106" s="21" t="n"/>
      <c r="I106" s="21" t="n"/>
      <c r="J106" s="21" t="n"/>
      <c r="K106" s="21" t="n"/>
      <c r="L106" s="21" t="n"/>
      <c r="M106" s="21" t="n"/>
      <c r="N106" s="21" t="n"/>
      <c r="O106" s="25">
        <f>IF(OR(ISBLANK(I106),ISBLANK(N106)),"",EDATE(I106,IF(N106="1 year",12,IF(N106="3 years",36,IF(N106="5 years",60,IF(N106="7 years",84,600))))))</f>
        <v/>
      </c>
      <c r="P106" s="21" t="n"/>
      <c r="Q106" s="21" t="n"/>
      <c r="R106" s="21" t="n"/>
      <c r="S106" s="21" t="n"/>
      <c r="T106" s="21" t="n"/>
      <c r="U106" s="21" t="n"/>
      <c r="V106" s="25">
        <f>TODAY()</f>
        <v/>
      </c>
    </row>
    <row r="107">
      <c r="A107" s="20" t="inlineStr">
        <is>
          <t>EV-094</t>
        </is>
      </c>
      <c r="B107" s="21" t="n"/>
      <c r="C107" s="21" t="n"/>
      <c r="D107" s="21" t="n"/>
      <c r="E107" s="21" t="n"/>
      <c r="F107" s="21" t="n"/>
      <c r="G107" s="21" t="n"/>
      <c r="H107" s="21" t="n"/>
      <c r="I107" s="21" t="n"/>
      <c r="J107" s="21" t="n"/>
      <c r="K107" s="21" t="n"/>
      <c r="L107" s="21" t="n"/>
      <c r="M107" s="21" t="n"/>
      <c r="N107" s="21" t="n"/>
      <c r="O107" s="25">
        <f>IF(OR(ISBLANK(I107),ISBLANK(N107)),"",EDATE(I107,IF(N107="1 year",12,IF(N107="3 years",36,IF(N107="5 years",60,IF(N107="7 years",84,600))))))</f>
        <v/>
      </c>
      <c r="P107" s="21" t="n"/>
      <c r="Q107" s="21" t="n"/>
      <c r="R107" s="21" t="n"/>
      <c r="S107" s="21" t="n"/>
      <c r="T107" s="21" t="n"/>
      <c r="U107" s="21" t="n"/>
      <c r="V107" s="25">
        <f>TODAY()</f>
        <v/>
      </c>
    </row>
    <row r="108">
      <c r="A108" s="20" t="inlineStr">
        <is>
          <t>EV-095</t>
        </is>
      </c>
      <c r="B108" s="21" t="n"/>
      <c r="C108" s="21" t="n"/>
      <c r="D108" s="21" t="n"/>
      <c r="E108" s="21" t="n"/>
      <c r="F108" s="21" t="n"/>
      <c r="G108" s="21" t="n"/>
      <c r="H108" s="21" t="n"/>
      <c r="I108" s="21" t="n"/>
      <c r="J108" s="21" t="n"/>
      <c r="K108" s="21" t="n"/>
      <c r="L108" s="21" t="n"/>
      <c r="M108" s="21" t="n"/>
      <c r="N108" s="21" t="n"/>
      <c r="O108" s="25">
        <f>IF(OR(ISBLANK(I108),ISBLANK(N108)),"",EDATE(I108,IF(N108="1 year",12,IF(N108="3 years",36,IF(N108="5 years",60,IF(N108="7 years",84,600))))))</f>
        <v/>
      </c>
      <c r="P108" s="21" t="n"/>
      <c r="Q108" s="21" t="n"/>
      <c r="R108" s="21" t="n"/>
      <c r="S108" s="21" t="n"/>
      <c r="T108" s="21" t="n"/>
      <c r="U108" s="21" t="n"/>
      <c r="V108" s="25">
        <f>TODAY()</f>
        <v/>
      </c>
    </row>
    <row r="109">
      <c r="A109" s="20" t="inlineStr">
        <is>
          <t>EV-096</t>
        </is>
      </c>
      <c r="B109" s="21" t="n"/>
      <c r="C109" s="21" t="n"/>
      <c r="D109" s="21" t="n"/>
      <c r="E109" s="21" t="n"/>
      <c r="F109" s="21" t="n"/>
      <c r="G109" s="21" t="n"/>
      <c r="H109" s="21" t="n"/>
      <c r="I109" s="21" t="n"/>
      <c r="J109" s="21" t="n"/>
      <c r="K109" s="21" t="n"/>
      <c r="L109" s="21" t="n"/>
      <c r="M109" s="21" t="n"/>
      <c r="N109" s="21" t="n"/>
      <c r="O109" s="25">
        <f>IF(OR(ISBLANK(I109),ISBLANK(N109)),"",EDATE(I109,IF(N109="1 year",12,IF(N109="3 years",36,IF(N109="5 years",60,IF(N109="7 years",84,600))))))</f>
        <v/>
      </c>
      <c r="P109" s="21" t="n"/>
      <c r="Q109" s="21" t="n"/>
      <c r="R109" s="21" t="n"/>
      <c r="S109" s="21" t="n"/>
      <c r="T109" s="21" t="n"/>
      <c r="U109" s="21" t="n"/>
      <c r="V109" s="25">
        <f>TODAY()</f>
        <v/>
      </c>
    </row>
    <row r="110">
      <c r="A110" s="20" t="inlineStr">
        <is>
          <t>EV-097</t>
        </is>
      </c>
      <c r="B110" s="21" t="n"/>
      <c r="C110" s="21" t="n"/>
      <c r="D110" s="21" t="n"/>
      <c r="E110" s="21" t="n"/>
      <c r="F110" s="21" t="n"/>
      <c r="G110" s="21" t="n"/>
      <c r="H110" s="21" t="n"/>
      <c r="I110" s="21" t="n"/>
      <c r="J110" s="21" t="n"/>
      <c r="K110" s="21" t="n"/>
      <c r="L110" s="21" t="n"/>
      <c r="M110" s="21" t="n"/>
      <c r="N110" s="21" t="n"/>
      <c r="O110" s="25">
        <f>IF(OR(ISBLANK(I110),ISBLANK(N110)),"",EDATE(I110,IF(N110="1 year",12,IF(N110="3 years",36,IF(N110="5 years",60,IF(N110="7 years",84,600))))))</f>
        <v/>
      </c>
      <c r="P110" s="21" t="n"/>
      <c r="Q110" s="21" t="n"/>
      <c r="R110" s="21" t="n"/>
      <c r="S110" s="21" t="n"/>
      <c r="T110" s="21" t="n"/>
      <c r="U110" s="21" t="n"/>
      <c r="V110" s="25">
        <f>TODAY()</f>
        <v/>
      </c>
    </row>
    <row r="111">
      <c r="A111" s="20" t="inlineStr">
        <is>
          <t>EV-098</t>
        </is>
      </c>
      <c r="B111" s="21" t="n"/>
      <c r="C111" s="21" t="n"/>
      <c r="D111" s="21" t="n"/>
      <c r="E111" s="21" t="n"/>
      <c r="F111" s="21" t="n"/>
      <c r="G111" s="21" t="n"/>
      <c r="H111" s="21" t="n"/>
      <c r="I111" s="21" t="n"/>
      <c r="J111" s="21" t="n"/>
      <c r="K111" s="21" t="n"/>
      <c r="L111" s="21" t="n"/>
      <c r="M111" s="21" t="n"/>
      <c r="N111" s="21" t="n"/>
      <c r="O111" s="25">
        <f>IF(OR(ISBLANK(I111),ISBLANK(N111)),"",EDATE(I111,IF(N111="1 year",12,IF(N111="3 years",36,IF(N111="5 years",60,IF(N111="7 years",84,600))))))</f>
        <v/>
      </c>
      <c r="P111" s="21" t="n"/>
      <c r="Q111" s="21" t="n"/>
      <c r="R111" s="21" t="n"/>
      <c r="S111" s="21" t="n"/>
      <c r="T111" s="21" t="n"/>
      <c r="U111" s="21" t="n"/>
      <c r="V111" s="25">
        <f>TODAY()</f>
        <v/>
      </c>
    </row>
    <row r="112">
      <c r="A112" s="20" t="inlineStr">
        <is>
          <t>EV-099</t>
        </is>
      </c>
      <c r="B112" s="21" t="n"/>
      <c r="C112" s="21" t="n"/>
      <c r="D112" s="21" t="n"/>
      <c r="E112" s="21" t="n"/>
      <c r="F112" s="21" t="n"/>
      <c r="G112" s="21" t="n"/>
      <c r="H112" s="21" t="n"/>
      <c r="I112" s="21" t="n"/>
      <c r="J112" s="21" t="n"/>
      <c r="K112" s="21" t="n"/>
      <c r="L112" s="21" t="n"/>
      <c r="M112" s="21" t="n"/>
      <c r="N112" s="21" t="n"/>
      <c r="O112" s="25">
        <f>IF(OR(ISBLANK(I112),ISBLANK(N112)),"",EDATE(I112,IF(N112="1 year",12,IF(N112="3 years",36,IF(N112="5 years",60,IF(N112="7 years",84,600))))))</f>
        <v/>
      </c>
      <c r="P112" s="21" t="n"/>
      <c r="Q112" s="21" t="n"/>
      <c r="R112" s="21" t="n"/>
      <c r="S112" s="21" t="n"/>
      <c r="T112" s="21" t="n"/>
      <c r="U112" s="21" t="n"/>
      <c r="V112" s="25">
        <f>TODAY()</f>
        <v/>
      </c>
    </row>
    <row r="113">
      <c r="A113" s="20" t="inlineStr">
        <is>
          <t>EV-100</t>
        </is>
      </c>
      <c r="B113" s="21" t="n"/>
      <c r="C113" s="21" t="n"/>
      <c r="D113" s="21" t="n"/>
      <c r="E113" s="21" t="n"/>
      <c r="F113" s="21" t="n"/>
      <c r="G113" s="21" t="n"/>
      <c r="H113" s="21" t="n"/>
      <c r="I113" s="21" t="n"/>
      <c r="J113" s="21" t="n"/>
      <c r="K113" s="21" t="n"/>
      <c r="L113" s="21" t="n"/>
      <c r="M113" s="21" t="n"/>
      <c r="N113" s="21" t="n"/>
      <c r="O113" s="25">
        <f>IF(OR(ISBLANK(I113),ISBLANK(N113)),"",EDATE(I113,IF(N113="1 year",12,IF(N113="3 years",36,IF(N113="5 years",60,IF(N113="7 years",84,600))))))</f>
        <v/>
      </c>
      <c r="P113" s="21" t="n"/>
      <c r="Q113" s="21" t="n"/>
      <c r="R113" s="21" t="n"/>
      <c r="S113" s="21" t="n"/>
      <c r="T113" s="21" t="n"/>
      <c r="U113" s="21" t="n"/>
      <c r="V113" s="25">
        <f>TODAY()</f>
        <v/>
      </c>
    </row>
    <row r="114">
      <c r="A114" s="20" t="inlineStr">
        <is>
          <t>EV-101</t>
        </is>
      </c>
      <c r="B114" s="21" t="n"/>
      <c r="C114" s="21" t="n"/>
      <c r="D114" s="21" t="n"/>
      <c r="E114" s="21" t="n"/>
      <c r="F114" s="21" t="n"/>
      <c r="G114" s="21" t="n"/>
      <c r="H114" s="21" t="n"/>
      <c r="I114" s="21" t="n"/>
      <c r="J114" s="21" t="n"/>
      <c r="K114" s="21" t="n"/>
      <c r="L114" s="21" t="n"/>
      <c r="M114" s="21" t="n"/>
      <c r="N114" s="21" t="n"/>
      <c r="O114" s="25">
        <f>IF(OR(ISBLANK(I114),ISBLANK(N114)),"",EDATE(I114,IF(N114="1 year",12,IF(N114="3 years",36,IF(N114="5 years",60,IF(N114="7 years",84,600))))))</f>
        <v/>
      </c>
      <c r="P114" s="21" t="n"/>
      <c r="Q114" s="21" t="n"/>
      <c r="R114" s="21" t="n"/>
      <c r="S114" s="21" t="n"/>
      <c r="T114" s="21" t="n"/>
      <c r="U114" s="21" t="n"/>
      <c r="V114" s="25">
        <f>TODAY()</f>
        <v/>
      </c>
    </row>
    <row r="115">
      <c r="A115" s="20" t="inlineStr">
        <is>
          <t>EV-102</t>
        </is>
      </c>
      <c r="B115" s="21" t="n"/>
      <c r="C115" s="21" t="n"/>
      <c r="D115" s="21" t="n"/>
      <c r="E115" s="21" t="n"/>
      <c r="F115" s="21" t="n"/>
      <c r="G115" s="21" t="n"/>
      <c r="H115" s="21" t="n"/>
      <c r="I115" s="21" t="n"/>
      <c r="J115" s="21" t="n"/>
      <c r="K115" s="21" t="n"/>
      <c r="L115" s="21" t="n"/>
      <c r="M115" s="21" t="n"/>
      <c r="N115" s="21" t="n"/>
      <c r="O115" s="25">
        <f>IF(OR(ISBLANK(I115),ISBLANK(N115)),"",EDATE(I115,IF(N115="1 year",12,IF(N115="3 years",36,IF(N115="5 years",60,IF(N115="7 years",84,600))))))</f>
        <v/>
      </c>
      <c r="P115" s="21" t="n"/>
      <c r="Q115" s="21" t="n"/>
      <c r="R115" s="21" t="n"/>
      <c r="S115" s="21" t="n"/>
      <c r="T115" s="21" t="n"/>
      <c r="U115" s="21" t="n"/>
      <c r="V115" s="25">
        <f>TODAY()</f>
        <v/>
      </c>
    </row>
    <row r="116">
      <c r="A116" s="20" t="inlineStr">
        <is>
          <t>EV-103</t>
        </is>
      </c>
      <c r="B116" s="21" t="n"/>
      <c r="C116" s="21" t="n"/>
      <c r="D116" s="21" t="n"/>
      <c r="E116" s="21" t="n"/>
      <c r="F116" s="21" t="n"/>
      <c r="G116" s="21" t="n"/>
      <c r="H116" s="21" t="n"/>
      <c r="I116" s="21" t="n"/>
      <c r="J116" s="21" t="n"/>
      <c r="K116" s="21" t="n"/>
      <c r="L116" s="21" t="n"/>
      <c r="M116" s="21" t="n"/>
      <c r="N116" s="21" t="n"/>
      <c r="O116" s="25">
        <f>IF(OR(ISBLANK(I116),ISBLANK(N116)),"",EDATE(I116,IF(N116="1 year",12,IF(N116="3 years",36,IF(N116="5 years",60,IF(N116="7 years",84,600))))))</f>
        <v/>
      </c>
      <c r="P116" s="21" t="n"/>
      <c r="Q116" s="21" t="n"/>
      <c r="R116" s="21" t="n"/>
      <c r="S116" s="21" t="n"/>
      <c r="T116" s="21" t="n"/>
      <c r="U116" s="21" t="n"/>
      <c r="V116" s="25">
        <f>TODAY()</f>
        <v/>
      </c>
    </row>
    <row r="117">
      <c r="A117" s="20" t="inlineStr">
        <is>
          <t>EV-104</t>
        </is>
      </c>
      <c r="B117" s="21" t="n"/>
      <c r="C117" s="21" t="n"/>
      <c r="D117" s="21" t="n"/>
      <c r="E117" s="21" t="n"/>
      <c r="F117" s="21" t="n"/>
      <c r="G117" s="21" t="n"/>
      <c r="H117" s="21" t="n"/>
      <c r="I117" s="21" t="n"/>
      <c r="J117" s="21" t="n"/>
      <c r="K117" s="21" t="n"/>
      <c r="L117" s="21" t="n"/>
      <c r="M117" s="21" t="n"/>
      <c r="N117" s="21" t="n"/>
      <c r="O117" s="25">
        <f>IF(OR(ISBLANK(I117),ISBLANK(N117)),"",EDATE(I117,IF(N117="1 year",12,IF(N117="3 years",36,IF(N117="5 years",60,IF(N117="7 years",84,600))))))</f>
        <v/>
      </c>
      <c r="P117" s="21" t="n"/>
      <c r="Q117" s="21" t="n"/>
      <c r="R117" s="21" t="n"/>
      <c r="S117" s="21" t="n"/>
      <c r="T117" s="21" t="n"/>
      <c r="U117" s="21" t="n"/>
      <c r="V117" s="25">
        <f>TODAY()</f>
        <v/>
      </c>
    </row>
    <row r="118">
      <c r="A118" s="20" t="inlineStr">
        <is>
          <t>EV-105</t>
        </is>
      </c>
      <c r="B118" s="21" t="n"/>
      <c r="C118" s="21" t="n"/>
      <c r="D118" s="21" t="n"/>
      <c r="E118" s="21" t="n"/>
      <c r="F118" s="21" t="n"/>
      <c r="G118" s="21" t="n"/>
      <c r="H118" s="21" t="n"/>
      <c r="I118" s="21" t="n"/>
      <c r="J118" s="21" t="n"/>
      <c r="K118" s="21" t="n"/>
      <c r="L118" s="21" t="n"/>
      <c r="M118" s="21" t="n"/>
      <c r="N118" s="21" t="n"/>
      <c r="O118" s="25">
        <f>IF(OR(ISBLANK(I118),ISBLANK(N118)),"",EDATE(I118,IF(N118="1 year",12,IF(N118="3 years",36,IF(N118="5 years",60,IF(N118="7 years",84,600))))))</f>
        <v/>
      </c>
      <c r="P118" s="21" t="n"/>
      <c r="Q118" s="21" t="n"/>
      <c r="R118" s="21" t="n"/>
      <c r="S118" s="21" t="n"/>
      <c r="T118" s="21" t="n"/>
      <c r="U118" s="21" t="n"/>
      <c r="V118" s="25">
        <f>TODAY()</f>
        <v/>
      </c>
    </row>
    <row r="119">
      <c r="A119" s="20" t="inlineStr">
        <is>
          <t>EV-106</t>
        </is>
      </c>
      <c r="B119" s="21" t="n"/>
      <c r="C119" s="21" t="n"/>
      <c r="D119" s="21" t="n"/>
      <c r="E119" s="21" t="n"/>
      <c r="F119" s="21" t="n"/>
      <c r="G119" s="21" t="n"/>
      <c r="H119" s="21" t="n"/>
      <c r="I119" s="21" t="n"/>
      <c r="J119" s="21" t="n"/>
      <c r="K119" s="21" t="n"/>
      <c r="L119" s="21" t="n"/>
      <c r="M119" s="21" t="n"/>
      <c r="N119" s="21" t="n"/>
      <c r="O119" s="25">
        <f>IF(OR(ISBLANK(I119),ISBLANK(N119)),"",EDATE(I119,IF(N119="1 year",12,IF(N119="3 years",36,IF(N119="5 years",60,IF(N119="7 years",84,600))))))</f>
        <v/>
      </c>
      <c r="P119" s="21" t="n"/>
      <c r="Q119" s="21" t="n"/>
      <c r="R119" s="21" t="n"/>
      <c r="S119" s="21" t="n"/>
      <c r="T119" s="21" t="n"/>
      <c r="U119" s="21" t="n"/>
      <c r="V119" s="25">
        <f>TODAY()</f>
        <v/>
      </c>
    </row>
    <row r="120">
      <c r="A120" s="20" t="inlineStr">
        <is>
          <t>EV-107</t>
        </is>
      </c>
      <c r="B120" s="21" t="n"/>
      <c r="C120" s="21" t="n"/>
      <c r="D120" s="21" t="n"/>
      <c r="E120" s="21" t="n"/>
      <c r="F120" s="21" t="n"/>
      <c r="G120" s="21" t="n"/>
      <c r="H120" s="21" t="n"/>
      <c r="I120" s="21" t="n"/>
      <c r="J120" s="21" t="n"/>
      <c r="K120" s="21" t="n"/>
      <c r="L120" s="21" t="n"/>
      <c r="M120" s="21" t="n"/>
      <c r="N120" s="21" t="n"/>
      <c r="O120" s="25">
        <f>IF(OR(ISBLANK(I120),ISBLANK(N120)),"",EDATE(I120,IF(N120="1 year",12,IF(N120="3 years",36,IF(N120="5 years",60,IF(N120="7 years",84,600))))))</f>
        <v/>
      </c>
      <c r="P120" s="21" t="n"/>
      <c r="Q120" s="21" t="n"/>
      <c r="R120" s="21" t="n"/>
      <c r="S120" s="21" t="n"/>
      <c r="T120" s="21" t="n"/>
      <c r="U120" s="21" t="n"/>
      <c r="V120" s="25">
        <f>TODAY()</f>
        <v/>
      </c>
    </row>
    <row r="121">
      <c r="A121" s="20" t="inlineStr">
        <is>
          <t>EV-108</t>
        </is>
      </c>
      <c r="B121" s="21" t="n"/>
      <c r="C121" s="21" t="n"/>
      <c r="D121" s="21" t="n"/>
      <c r="E121" s="21" t="n"/>
      <c r="F121" s="21" t="n"/>
      <c r="G121" s="21" t="n"/>
      <c r="H121" s="21" t="n"/>
      <c r="I121" s="21" t="n"/>
      <c r="J121" s="21" t="n"/>
      <c r="K121" s="21" t="n"/>
      <c r="L121" s="21" t="n"/>
      <c r="M121" s="21" t="n"/>
      <c r="N121" s="21" t="n"/>
      <c r="O121" s="25">
        <f>IF(OR(ISBLANK(I121),ISBLANK(N121)),"",EDATE(I121,IF(N121="1 year",12,IF(N121="3 years",36,IF(N121="5 years",60,IF(N121="7 years",84,600))))))</f>
        <v/>
      </c>
      <c r="P121" s="21" t="n"/>
      <c r="Q121" s="21" t="n"/>
      <c r="R121" s="21" t="n"/>
      <c r="S121" s="21" t="n"/>
      <c r="T121" s="21" t="n"/>
      <c r="U121" s="21" t="n"/>
      <c r="V121" s="25">
        <f>TODAY()</f>
        <v/>
      </c>
    </row>
    <row r="122">
      <c r="A122" s="20" t="inlineStr">
        <is>
          <t>EV-109</t>
        </is>
      </c>
      <c r="B122" s="21" t="n"/>
      <c r="C122" s="21" t="n"/>
      <c r="D122" s="21" t="n"/>
      <c r="E122" s="21" t="n"/>
      <c r="F122" s="21" t="n"/>
      <c r="G122" s="21" t="n"/>
      <c r="H122" s="21" t="n"/>
      <c r="I122" s="21" t="n"/>
      <c r="J122" s="21" t="n"/>
      <c r="K122" s="21" t="n"/>
      <c r="L122" s="21" t="n"/>
      <c r="M122" s="21" t="n"/>
      <c r="N122" s="21" t="n"/>
      <c r="O122" s="25">
        <f>IF(OR(ISBLANK(I122),ISBLANK(N122)),"",EDATE(I122,IF(N122="1 year",12,IF(N122="3 years",36,IF(N122="5 years",60,IF(N122="7 years",84,600))))))</f>
        <v/>
      </c>
      <c r="P122" s="21" t="n"/>
      <c r="Q122" s="21" t="n"/>
      <c r="R122" s="21" t="n"/>
      <c r="S122" s="21" t="n"/>
      <c r="T122" s="21" t="n"/>
      <c r="U122" s="21" t="n"/>
      <c r="V122" s="25">
        <f>TODAY()</f>
        <v/>
      </c>
    </row>
    <row r="123">
      <c r="A123" s="20" t="inlineStr">
        <is>
          <t>EV-110</t>
        </is>
      </c>
      <c r="B123" s="21" t="n"/>
      <c r="C123" s="21" t="n"/>
      <c r="D123" s="21" t="n"/>
      <c r="E123" s="21" t="n"/>
      <c r="F123" s="21" t="n"/>
      <c r="G123" s="21" t="n"/>
      <c r="H123" s="21" t="n"/>
      <c r="I123" s="21" t="n"/>
      <c r="J123" s="21" t="n"/>
      <c r="K123" s="21" t="n"/>
      <c r="L123" s="21" t="n"/>
      <c r="M123" s="21" t="n"/>
      <c r="N123" s="21" t="n"/>
      <c r="O123" s="25">
        <f>IF(OR(ISBLANK(I123),ISBLANK(N123)),"",EDATE(I123,IF(N123="1 year",12,IF(N123="3 years",36,IF(N123="5 years",60,IF(N123="7 years",84,600))))))</f>
        <v/>
      </c>
      <c r="P123" s="21" t="n"/>
      <c r="Q123" s="21" t="n"/>
      <c r="R123" s="21" t="n"/>
      <c r="S123" s="21" t="n"/>
      <c r="T123" s="21" t="n"/>
      <c r="U123" s="21" t="n"/>
      <c r="V123" s="25">
        <f>TODAY()</f>
        <v/>
      </c>
    </row>
    <row r="124">
      <c r="A124" s="20" t="inlineStr">
        <is>
          <t>EV-111</t>
        </is>
      </c>
      <c r="B124" s="21" t="n"/>
      <c r="C124" s="21" t="n"/>
      <c r="D124" s="21" t="n"/>
      <c r="E124" s="21" t="n"/>
      <c r="F124" s="21" t="n"/>
      <c r="G124" s="21" t="n"/>
      <c r="H124" s="21" t="n"/>
      <c r="I124" s="21" t="n"/>
      <c r="J124" s="21" t="n"/>
      <c r="K124" s="21" t="n"/>
      <c r="L124" s="21" t="n"/>
      <c r="M124" s="21" t="n"/>
      <c r="N124" s="21" t="n"/>
      <c r="O124" s="25">
        <f>IF(OR(ISBLANK(I124),ISBLANK(N124)),"",EDATE(I124,IF(N124="1 year",12,IF(N124="3 years",36,IF(N124="5 years",60,IF(N124="7 years",84,600))))))</f>
        <v/>
      </c>
      <c r="P124" s="21" t="n"/>
      <c r="Q124" s="21" t="n"/>
      <c r="R124" s="21" t="n"/>
      <c r="S124" s="21" t="n"/>
      <c r="T124" s="21" t="n"/>
      <c r="U124" s="21" t="n"/>
      <c r="V124" s="25">
        <f>TODAY()</f>
        <v/>
      </c>
    </row>
    <row r="125">
      <c r="A125" s="20" t="inlineStr">
        <is>
          <t>EV-112</t>
        </is>
      </c>
      <c r="B125" s="21" t="n"/>
      <c r="C125" s="21" t="n"/>
      <c r="D125" s="21" t="n"/>
      <c r="E125" s="21" t="n"/>
      <c r="F125" s="21" t="n"/>
      <c r="G125" s="21" t="n"/>
      <c r="H125" s="21" t="n"/>
      <c r="I125" s="21" t="n"/>
      <c r="J125" s="21" t="n"/>
      <c r="K125" s="21" t="n"/>
      <c r="L125" s="21" t="n"/>
      <c r="M125" s="21" t="n"/>
      <c r="N125" s="21" t="n"/>
      <c r="O125" s="25">
        <f>IF(OR(ISBLANK(I125),ISBLANK(N125)),"",EDATE(I125,IF(N125="1 year",12,IF(N125="3 years",36,IF(N125="5 years",60,IF(N125="7 years",84,600))))))</f>
        <v/>
      </c>
      <c r="P125" s="21" t="n"/>
      <c r="Q125" s="21" t="n"/>
      <c r="R125" s="21" t="n"/>
      <c r="S125" s="21" t="n"/>
      <c r="T125" s="21" t="n"/>
      <c r="U125" s="21" t="n"/>
      <c r="V125" s="25">
        <f>TODAY()</f>
        <v/>
      </c>
    </row>
    <row r="126">
      <c r="A126" s="20" t="inlineStr">
        <is>
          <t>EV-113</t>
        </is>
      </c>
      <c r="B126" s="21" t="n"/>
      <c r="C126" s="21" t="n"/>
      <c r="D126" s="21" t="n"/>
      <c r="E126" s="21" t="n"/>
      <c r="F126" s="21" t="n"/>
      <c r="G126" s="21" t="n"/>
      <c r="H126" s="21" t="n"/>
      <c r="I126" s="21" t="n"/>
      <c r="J126" s="21" t="n"/>
      <c r="K126" s="21" t="n"/>
      <c r="L126" s="21" t="n"/>
      <c r="M126" s="21" t="n"/>
      <c r="N126" s="21" t="n"/>
      <c r="O126" s="25">
        <f>IF(OR(ISBLANK(I126),ISBLANK(N126)),"",EDATE(I126,IF(N126="1 year",12,IF(N126="3 years",36,IF(N126="5 years",60,IF(N126="7 years",84,600))))))</f>
        <v/>
      </c>
      <c r="P126" s="21" t="n"/>
      <c r="Q126" s="21" t="n"/>
      <c r="R126" s="21" t="n"/>
      <c r="S126" s="21" t="n"/>
      <c r="T126" s="21" t="n"/>
      <c r="U126" s="21" t="n"/>
      <c r="V126" s="25">
        <f>TODAY()</f>
        <v/>
      </c>
    </row>
    <row r="127">
      <c r="A127" s="20" t="inlineStr">
        <is>
          <t>EV-114</t>
        </is>
      </c>
      <c r="B127" s="21" t="n"/>
      <c r="C127" s="21" t="n"/>
      <c r="D127" s="21" t="n"/>
      <c r="E127" s="21" t="n"/>
      <c r="F127" s="21" t="n"/>
      <c r="G127" s="21" t="n"/>
      <c r="H127" s="21" t="n"/>
      <c r="I127" s="21" t="n"/>
      <c r="J127" s="21" t="n"/>
      <c r="K127" s="21" t="n"/>
      <c r="L127" s="21" t="n"/>
      <c r="M127" s="21" t="n"/>
      <c r="N127" s="21" t="n"/>
      <c r="O127" s="25">
        <f>IF(OR(ISBLANK(I127),ISBLANK(N127)),"",EDATE(I127,IF(N127="1 year",12,IF(N127="3 years",36,IF(N127="5 years",60,IF(N127="7 years",84,600))))))</f>
        <v/>
      </c>
      <c r="P127" s="21" t="n"/>
      <c r="Q127" s="21" t="n"/>
      <c r="R127" s="21" t="n"/>
      <c r="S127" s="21" t="n"/>
      <c r="T127" s="21" t="n"/>
      <c r="U127" s="21" t="n"/>
      <c r="V127" s="25">
        <f>TODAY()</f>
        <v/>
      </c>
    </row>
    <row r="128">
      <c r="A128" s="20" t="inlineStr">
        <is>
          <t>EV-115</t>
        </is>
      </c>
      <c r="B128" s="21" t="n"/>
      <c r="C128" s="21" t="n"/>
      <c r="D128" s="21" t="n"/>
      <c r="E128" s="21" t="n"/>
      <c r="F128" s="21" t="n"/>
      <c r="G128" s="21" t="n"/>
      <c r="H128" s="21" t="n"/>
      <c r="I128" s="21" t="n"/>
      <c r="J128" s="21" t="n"/>
      <c r="K128" s="21" t="n"/>
      <c r="L128" s="21" t="n"/>
      <c r="M128" s="21" t="n"/>
      <c r="N128" s="21" t="n"/>
      <c r="O128" s="25">
        <f>IF(OR(ISBLANK(I128),ISBLANK(N128)),"",EDATE(I128,IF(N128="1 year",12,IF(N128="3 years",36,IF(N128="5 years",60,IF(N128="7 years",84,600))))))</f>
        <v/>
      </c>
      <c r="P128" s="21" t="n"/>
      <c r="Q128" s="21" t="n"/>
      <c r="R128" s="21" t="n"/>
      <c r="S128" s="21" t="n"/>
      <c r="T128" s="21" t="n"/>
      <c r="U128" s="21" t="n"/>
      <c r="V128" s="25">
        <f>TODAY()</f>
        <v/>
      </c>
    </row>
    <row r="129">
      <c r="A129" s="20" t="inlineStr">
        <is>
          <t>EV-116</t>
        </is>
      </c>
      <c r="B129" s="21" t="n"/>
      <c r="C129" s="21" t="n"/>
      <c r="D129" s="21" t="n"/>
      <c r="E129" s="21" t="n"/>
      <c r="F129" s="21" t="n"/>
      <c r="G129" s="21" t="n"/>
      <c r="H129" s="21" t="n"/>
      <c r="I129" s="21" t="n"/>
      <c r="J129" s="21" t="n"/>
      <c r="K129" s="21" t="n"/>
      <c r="L129" s="21" t="n"/>
      <c r="M129" s="21" t="n"/>
      <c r="N129" s="21" t="n"/>
      <c r="O129" s="25">
        <f>IF(OR(ISBLANK(I129),ISBLANK(N129)),"",EDATE(I129,IF(N129="1 year",12,IF(N129="3 years",36,IF(N129="5 years",60,IF(N129="7 years",84,600))))))</f>
        <v/>
      </c>
      <c r="P129" s="21" t="n"/>
      <c r="Q129" s="21" t="n"/>
      <c r="R129" s="21" t="n"/>
      <c r="S129" s="21" t="n"/>
      <c r="T129" s="21" t="n"/>
      <c r="U129" s="21" t="n"/>
      <c r="V129" s="25">
        <f>TODAY()</f>
        <v/>
      </c>
    </row>
    <row r="130">
      <c r="A130" s="20" t="inlineStr">
        <is>
          <t>EV-117</t>
        </is>
      </c>
      <c r="B130" s="21" t="n"/>
      <c r="C130" s="21" t="n"/>
      <c r="D130" s="21" t="n"/>
      <c r="E130" s="21" t="n"/>
      <c r="F130" s="21" t="n"/>
      <c r="G130" s="21" t="n"/>
      <c r="H130" s="21" t="n"/>
      <c r="I130" s="21" t="n"/>
      <c r="J130" s="21" t="n"/>
      <c r="K130" s="21" t="n"/>
      <c r="L130" s="21" t="n"/>
      <c r="M130" s="21" t="n"/>
      <c r="N130" s="21" t="n"/>
      <c r="O130" s="25">
        <f>IF(OR(ISBLANK(I130),ISBLANK(N130)),"",EDATE(I130,IF(N130="1 year",12,IF(N130="3 years",36,IF(N130="5 years",60,IF(N130="7 years",84,600))))))</f>
        <v/>
      </c>
      <c r="P130" s="21" t="n"/>
      <c r="Q130" s="21" t="n"/>
      <c r="R130" s="21" t="n"/>
      <c r="S130" s="21" t="n"/>
      <c r="T130" s="21" t="n"/>
      <c r="U130" s="21" t="n"/>
      <c r="V130" s="25">
        <f>TODAY()</f>
        <v/>
      </c>
    </row>
    <row r="131">
      <c r="A131" s="20" t="inlineStr">
        <is>
          <t>EV-118</t>
        </is>
      </c>
      <c r="B131" s="21" t="n"/>
      <c r="C131" s="21" t="n"/>
      <c r="D131" s="21" t="n"/>
      <c r="E131" s="21" t="n"/>
      <c r="F131" s="21" t="n"/>
      <c r="G131" s="21" t="n"/>
      <c r="H131" s="21" t="n"/>
      <c r="I131" s="21" t="n"/>
      <c r="J131" s="21" t="n"/>
      <c r="K131" s="21" t="n"/>
      <c r="L131" s="21" t="n"/>
      <c r="M131" s="21" t="n"/>
      <c r="N131" s="21" t="n"/>
      <c r="O131" s="25">
        <f>IF(OR(ISBLANK(I131),ISBLANK(N131)),"",EDATE(I131,IF(N131="1 year",12,IF(N131="3 years",36,IF(N131="5 years",60,IF(N131="7 years",84,600))))))</f>
        <v/>
      </c>
      <c r="P131" s="21" t="n"/>
      <c r="Q131" s="21" t="n"/>
      <c r="R131" s="21" t="n"/>
      <c r="S131" s="21" t="n"/>
      <c r="T131" s="21" t="n"/>
      <c r="U131" s="21" t="n"/>
      <c r="V131" s="25">
        <f>TODAY()</f>
        <v/>
      </c>
    </row>
    <row r="132">
      <c r="A132" s="20" t="inlineStr">
        <is>
          <t>EV-119</t>
        </is>
      </c>
      <c r="B132" s="21" t="n"/>
      <c r="C132" s="21" t="n"/>
      <c r="D132" s="21" t="n"/>
      <c r="E132" s="21" t="n"/>
      <c r="F132" s="21" t="n"/>
      <c r="G132" s="21" t="n"/>
      <c r="H132" s="21" t="n"/>
      <c r="I132" s="21" t="n"/>
      <c r="J132" s="21" t="n"/>
      <c r="K132" s="21" t="n"/>
      <c r="L132" s="21" t="n"/>
      <c r="M132" s="21" t="n"/>
      <c r="N132" s="21" t="n"/>
      <c r="O132" s="25">
        <f>IF(OR(ISBLANK(I132),ISBLANK(N132)),"",EDATE(I132,IF(N132="1 year",12,IF(N132="3 years",36,IF(N132="5 years",60,IF(N132="7 years",84,600))))))</f>
        <v/>
      </c>
      <c r="P132" s="21" t="n"/>
      <c r="Q132" s="21" t="n"/>
      <c r="R132" s="21" t="n"/>
      <c r="S132" s="21" t="n"/>
      <c r="T132" s="21" t="n"/>
      <c r="U132" s="21" t="n"/>
      <c r="V132" s="25">
        <f>TODAY()</f>
        <v/>
      </c>
    </row>
    <row r="133">
      <c r="A133" s="20" t="inlineStr">
        <is>
          <t>EV-120</t>
        </is>
      </c>
      <c r="B133" s="21" t="n"/>
      <c r="C133" s="21" t="n"/>
      <c r="D133" s="21" t="n"/>
      <c r="E133" s="21" t="n"/>
      <c r="F133" s="21" t="n"/>
      <c r="G133" s="21" t="n"/>
      <c r="H133" s="21" t="n"/>
      <c r="I133" s="21" t="n"/>
      <c r="J133" s="21" t="n"/>
      <c r="K133" s="21" t="n"/>
      <c r="L133" s="21" t="n"/>
      <c r="M133" s="21" t="n"/>
      <c r="N133" s="21" t="n"/>
      <c r="O133" s="25">
        <f>IF(OR(ISBLANK(I133),ISBLANK(N133)),"",EDATE(I133,IF(N133="1 year",12,IF(N133="3 years",36,IF(N133="5 years",60,IF(N133="7 years",84,600))))))</f>
        <v/>
      </c>
      <c r="P133" s="21" t="n"/>
      <c r="Q133" s="21" t="n"/>
      <c r="R133" s="21" t="n"/>
      <c r="S133" s="21" t="n"/>
      <c r="T133" s="21" t="n"/>
      <c r="U133" s="21" t="n"/>
      <c r="V133" s="25">
        <f>TODAY()</f>
        <v/>
      </c>
    </row>
    <row r="134">
      <c r="A134" s="20" t="inlineStr">
        <is>
          <t>EV-121</t>
        </is>
      </c>
      <c r="B134" s="21" t="n"/>
      <c r="C134" s="21" t="n"/>
      <c r="D134" s="21" t="n"/>
      <c r="E134" s="21" t="n"/>
      <c r="F134" s="21" t="n"/>
      <c r="G134" s="21" t="n"/>
      <c r="H134" s="21" t="n"/>
      <c r="I134" s="21" t="n"/>
      <c r="J134" s="21" t="n"/>
      <c r="K134" s="21" t="n"/>
      <c r="L134" s="21" t="n"/>
      <c r="M134" s="21" t="n"/>
      <c r="N134" s="21" t="n"/>
      <c r="O134" s="25">
        <f>IF(OR(ISBLANK(I134),ISBLANK(N134)),"",EDATE(I134,IF(N134="1 year",12,IF(N134="3 years",36,IF(N134="5 years",60,IF(N134="7 years",84,600))))))</f>
        <v/>
      </c>
      <c r="P134" s="21" t="n"/>
      <c r="Q134" s="21" t="n"/>
      <c r="R134" s="21" t="n"/>
      <c r="S134" s="21" t="n"/>
      <c r="T134" s="21" t="n"/>
      <c r="U134" s="21" t="n"/>
      <c r="V134" s="25">
        <f>TODAY()</f>
        <v/>
      </c>
    </row>
    <row r="135">
      <c r="A135" s="20" t="inlineStr">
        <is>
          <t>EV-122</t>
        </is>
      </c>
      <c r="B135" s="21" t="n"/>
      <c r="C135" s="21" t="n"/>
      <c r="D135" s="21" t="n"/>
      <c r="E135" s="21" t="n"/>
      <c r="F135" s="21" t="n"/>
      <c r="G135" s="21" t="n"/>
      <c r="H135" s="21" t="n"/>
      <c r="I135" s="21" t="n"/>
      <c r="J135" s="21" t="n"/>
      <c r="K135" s="21" t="n"/>
      <c r="L135" s="21" t="n"/>
      <c r="M135" s="21" t="n"/>
      <c r="N135" s="21" t="n"/>
      <c r="O135" s="25">
        <f>IF(OR(ISBLANK(I135),ISBLANK(N135)),"",EDATE(I135,IF(N135="1 year",12,IF(N135="3 years",36,IF(N135="5 years",60,IF(N135="7 years",84,600))))))</f>
        <v/>
      </c>
      <c r="P135" s="21" t="n"/>
      <c r="Q135" s="21" t="n"/>
      <c r="R135" s="21" t="n"/>
      <c r="S135" s="21" t="n"/>
      <c r="T135" s="21" t="n"/>
      <c r="U135" s="21" t="n"/>
      <c r="V135" s="25">
        <f>TODAY()</f>
        <v/>
      </c>
    </row>
    <row r="136">
      <c r="A136" s="20" t="inlineStr">
        <is>
          <t>EV-123</t>
        </is>
      </c>
      <c r="B136" s="21" t="n"/>
      <c r="C136" s="21" t="n"/>
      <c r="D136" s="21" t="n"/>
      <c r="E136" s="21" t="n"/>
      <c r="F136" s="21" t="n"/>
      <c r="G136" s="21" t="n"/>
      <c r="H136" s="21" t="n"/>
      <c r="I136" s="21" t="n"/>
      <c r="J136" s="21" t="n"/>
      <c r="K136" s="21" t="n"/>
      <c r="L136" s="21" t="n"/>
      <c r="M136" s="21" t="n"/>
      <c r="N136" s="21" t="n"/>
      <c r="O136" s="25">
        <f>IF(OR(ISBLANK(I136),ISBLANK(N136)),"",EDATE(I136,IF(N136="1 year",12,IF(N136="3 years",36,IF(N136="5 years",60,IF(N136="7 years",84,600))))))</f>
        <v/>
      </c>
      <c r="P136" s="21" t="n"/>
      <c r="Q136" s="21" t="n"/>
      <c r="R136" s="21" t="n"/>
      <c r="S136" s="21" t="n"/>
      <c r="T136" s="21" t="n"/>
      <c r="U136" s="21" t="n"/>
      <c r="V136" s="25">
        <f>TODAY()</f>
        <v/>
      </c>
    </row>
    <row r="137">
      <c r="A137" s="20" t="inlineStr">
        <is>
          <t>EV-124</t>
        </is>
      </c>
      <c r="B137" s="21" t="n"/>
      <c r="C137" s="21" t="n"/>
      <c r="D137" s="21" t="n"/>
      <c r="E137" s="21" t="n"/>
      <c r="F137" s="21" t="n"/>
      <c r="G137" s="21" t="n"/>
      <c r="H137" s="21" t="n"/>
      <c r="I137" s="21" t="n"/>
      <c r="J137" s="21" t="n"/>
      <c r="K137" s="21" t="n"/>
      <c r="L137" s="21" t="n"/>
      <c r="M137" s="21" t="n"/>
      <c r="N137" s="21" t="n"/>
      <c r="O137" s="25">
        <f>IF(OR(ISBLANK(I137),ISBLANK(N137)),"",EDATE(I137,IF(N137="1 year",12,IF(N137="3 years",36,IF(N137="5 years",60,IF(N137="7 years",84,600))))))</f>
        <v/>
      </c>
      <c r="P137" s="21" t="n"/>
      <c r="Q137" s="21" t="n"/>
      <c r="R137" s="21" t="n"/>
      <c r="S137" s="21" t="n"/>
      <c r="T137" s="21" t="n"/>
      <c r="U137" s="21" t="n"/>
      <c r="V137" s="25">
        <f>TODAY()</f>
        <v/>
      </c>
    </row>
    <row r="138">
      <c r="A138" s="20" t="inlineStr">
        <is>
          <t>EV-125</t>
        </is>
      </c>
      <c r="B138" s="21" t="n"/>
      <c r="C138" s="21" t="n"/>
      <c r="D138" s="21" t="n"/>
      <c r="E138" s="21" t="n"/>
      <c r="F138" s="21" t="n"/>
      <c r="G138" s="21" t="n"/>
      <c r="H138" s="21" t="n"/>
      <c r="I138" s="21" t="n"/>
      <c r="J138" s="21" t="n"/>
      <c r="K138" s="21" t="n"/>
      <c r="L138" s="21" t="n"/>
      <c r="M138" s="21" t="n"/>
      <c r="N138" s="21" t="n"/>
      <c r="O138" s="25">
        <f>IF(OR(ISBLANK(I138),ISBLANK(N138)),"",EDATE(I138,IF(N138="1 year",12,IF(N138="3 years",36,IF(N138="5 years",60,IF(N138="7 years",84,600))))))</f>
        <v/>
      </c>
      <c r="P138" s="21" t="n"/>
      <c r="Q138" s="21" t="n"/>
      <c r="R138" s="21" t="n"/>
      <c r="S138" s="21" t="n"/>
      <c r="T138" s="21" t="n"/>
      <c r="U138" s="21" t="n"/>
      <c r="V138" s="25">
        <f>TODAY()</f>
        <v/>
      </c>
    </row>
    <row r="139">
      <c r="A139" s="20" t="inlineStr">
        <is>
          <t>EV-126</t>
        </is>
      </c>
      <c r="B139" s="21" t="n"/>
      <c r="C139" s="21" t="n"/>
      <c r="D139" s="21" t="n"/>
      <c r="E139" s="21" t="n"/>
      <c r="F139" s="21" t="n"/>
      <c r="G139" s="21" t="n"/>
      <c r="H139" s="21" t="n"/>
      <c r="I139" s="21" t="n"/>
      <c r="J139" s="21" t="n"/>
      <c r="K139" s="21" t="n"/>
      <c r="L139" s="21" t="n"/>
      <c r="M139" s="21" t="n"/>
      <c r="N139" s="21" t="n"/>
      <c r="O139" s="25">
        <f>IF(OR(ISBLANK(I139),ISBLANK(N139)),"",EDATE(I139,IF(N139="1 year",12,IF(N139="3 years",36,IF(N139="5 years",60,IF(N139="7 years",84,600))))))</f>
        <v/>
      </c>
      <c r="P139" s="21" t="n"/>
      <c r="Q139" s="21" t="n"/>
      <c r="R139" s="21" t="n"/>
      <c r="S139" s="21" t="n"/>
      <c r="T139" s="21" t="n"/>
      <c r="U139" s="21" t="n"/>
      <c r="V139" s="25">
        <f>TODAY()</f>
        <v/>
      </c>
    </row>
    <row r="140">
      <c r="A140" s="20" t="inlineStr">
        <is>
          <t>EV-127</t>
        </is>
      </c>
      <c r="B140" s="21" t="n"/>
      <c r="C140" s="21" t="n"/>
      <c r="D140" s="21" t="n"/>
      <c r="E140" s="21" t="n"/>
      <c r="F140" s="21" t="n"/>
      <c r="G140" s="21" t="n"/>
      <c r="H140" s="21" t="n"/>
      <c r="I140" s="21" t="n"/>
      <c r="J140" s="21" t="n"/>
      <c r="K140" s="21" t="n"/>
      <c r="L140" s="21" t="n"/>
      <c r="M140" s="21" t="n"/>
      <c r="N140" s="21" t="n"/>
      <c r="O140" s="25">
        <f>IF(OR(ISBLANK(I140),ISBLANK(N140)),"",EDATE(I140,IF(N140="1 year",12,IF(N140="3 years",36,IF(N140="5 years",60,IF(N140="7 years",84,600))))))</f>
        <v/>
      </c>
      <c r="P140" s="21" t="n"/>
      <c r="Q140" s="21" t="n"/>
      <c r="R140" s="21" t="n"/>
      <c r="S140" s="21" t="n"/>
      <c r="T140" s="21" t="n"/>
      <c r="U140" s="21" t="n"/>
      <c r="V140" s="25">
        <f>TODAY()</f>
        <v/>
      </c>
    </row>
    <row r="141">
      <c r="A141" s="20" t="inlineStr">
        <is>
          <t>EV-128</t>
        </is>
      </c>
      <c r="B141" s="21" t="n"/>
      <c r="C141" s="21" t="n"/>
      <c r="D141" s="21" t="n"/>
      <c r="E141" s="21" t="n"/>
      <c r="F141" s="21" t="n"/>
      <c r="G141" s="21" t="n"/>
      <c r="H141" s="21" t="n"/>
      <c r="I141" s="21" t="n"/>
      <c r="J141" s="21" t="n"/>
      <c r="K141" s="21" t="n"/>
      <c r="L141" s="21" t="n"/>
      <c r="M141" s="21" t="n"/>
      <c r="N141" s="21" t="n"/>
      <c r="O141" s="25">
        <f>IF(OR(ISBLANK(I141),ISBLANK(N141)),"",EDATE(I141,IF(N141="1 year",12,IF(N141="3 years",36,IF(N141="5 years",60,IF(N141="7 years",84,600))))))</f>
        <v/>
      </c>
      <c r="P141" s="21" t="n"/>
      <c r="Q141" s="21" t="n"/>
      <c r="R141" s="21" t="n"/>
      <c r="S141" s="21" t="n"/>
      <c r="T141" s="21" t="n"/>
      <c r="U141" s="21" t="n"/>
      <c r="V141" s="25">
        <f>TODAY()</f>
        <v/>
      </c>
    </row>
    <row r="142">
      <c r="A142" s="20" t="inlineStr">
        <is>
          <t>EV-129</t>
        </is>
      </c>
      <c r="B142" s="21" t="n"/>
      <c r="C142" s="21" t="n"/>
      <c r="D142" s="21" t="n"/>
      <c r="E142" s="21" t="n"/>
      <c r="F142" s="21" t="n"/>
      <c r="G142" s="21" t="n"/>
      <c r="H142" s="21" t="n"/>
      <c r="I142" s="21" t="n"/>
      <c r="J142" s="21" t="n"/>
      <c r="K142" s="21" t="n"/>
      <c r="L142" s="21" t="n"/>
      <c r="M142" s="21" t="n"/>
      <c r="N142" s="21" t="n"/>
      <c r="O142" s="25">
        <f>IF(OR(ISBLANK(I142),ISBLANK(N142)),"",EDATE(I142,IF(N142="1 year",12,IF(N142="3 years",36,IF(N142="5 years",60,IF(N142="7 years",84,600))))))</f>
        <v/>
      </c>
      <c r="P142" s="21" t="n"/>
      <c r="Q142" s="21" t="n"/>
      <c r="R142" s="21" t="n"/>
      <c r="S142" s="21" t="n"/>
      <c r="T142" s="21" t="n"/>
      <c r="U142" s="21" t="n"/>
      <c r="V142" s="25">
        <f>TODAY()</f>
        <v/>
      </c>
    </row>
    <row r="143">
      <c r="A143" s="20" t="inlineStr">
        <is>
          <t>EV-130</t>
        </is>
      </c>
      <c r="B143" s="21" t="n"/>
      <c r="C143" s="21" t="n"/>
      <c r="D143" s="21" t="n"/>
      <c r="E143" s="21" t="n"/>
      <c r="F143" s="21" t="n"/>
      <c r="G143" s="21" t="n"/>
      <c r="H143" s="21" t="n"/>
      <c r="I143" s="21" t="n"/>
      <c r="J143" s="21" t="n"/>
      <c r="K143" s="21" t="n"/>
      <c r="L143" s="21" t="n"/>
      <c r="M143" s="21" t="n"/>
      <c r="N143" s="21" t="n"/>
      <c r="O143" s="25">
        <f>IF(OR(ISBLANK(I143),ISBLANK(N143)),"",EDATE(I143,IF(N143="1 year",12,IF(N143="3 years",36,IF(N143="5 years",60,IF(N143="7 years",84,600))))))</f>
        <v/>
      </c>
      <c r="P143" s="21" t="n"/>
      <c r="Q143" s="21" t="n"/>
      <c r="R143" s="21" t="n"/>
      <c r="S143" s="21" t="n"/>
      <c r="T143" s="21" t="n"/>
      <c r="U143" s="21" t="n"/>
      <c r="V143" s="25">
        <f>TODAY()</f>
        <v/>
      </c>
    </row>
    <row r="144">
      <c r="A144" s="20" t="inlineStr">
        <is>
          <t>EV-131</t>
        </is>
      </c>
      <c r="B144" s="21" t="n"/>
      <c r="C144" s="21" t="n"/>
      <c r="D144" s="21" t="n"/>
      <c r="E144" s="21" t="n"/>
      <c r="F144" s="21" t="n"/>
      <c r="G144" s="21" t="n"/>
      <c r="H144" s="21" t="n"/>
      <c r="I144" s="21" t="n"/>
      <c r="J144" s="21" t="n"/>
      <c r="K144" s="21" t="n"/>
      <c r="L144" s="21" t="n"/>
      <c r="M144" s="21" t="n"/>
      <c r="N144" s="21" t="n"/>
      <c r="O144" s="25">
        <f>IF(OR(ISBLANK(I144),ISBLANK(N144)),"",EDATE(I144,IF(N144="1 year",12,IF(N144="3 years",36,IF(N144="5 years",60,IF(N144="7 years",84,600))))))</f>
        <v/>
      </c>
      <c r="P144" s="21" t="n"/>
      <c r="Q144" s="21" t="n"/>
      <c r="R144" s="21" t="n"/>
      <c r="S144" s="21" t="n"/>
      <c r="T144" s="21" t="n"/>
      <c r="U144" s="21" t="n"/>
      <c r="V144" s="25">
        <f>TODAY()</f>
        <v/>
      </c>
    </row>
    <row r="145">
      <c r="A145" s="20" t="inlineStr">
        <is>
          <t>EV-132</t>
        </is>
      </c>
      <c r="B145" s="21" t="n"/>
      <c r="C145" s="21" t="n"/>
      <c r="D145" s="21" t="n"/>
      <c r="E145" s="21" t="n"/>
      <c r="F145" s="21" t="n"/>
      <c r="G145" s="21" t="n"/>
      <c r="H145" s="21" t="n"/>
      <c r="I145" s="21" t="n"/>
      <c r="J145" s="21" t="n"/>
      <c r="K145" s="21" t="n"/>
      <c r="L145" s="21" t="n"/>
      <c r="M145" s="21" t="n"/>
      <c r="N145" s="21" t="n"/>
      <c r="O145" s="25">
        <f>IF(OR(ISBLANK(I145),ISBLANK(N145)),"",EDATE(I145,IF(N145="1 year",12,IF(N145="3 years",36,IF(N145="5 years",60,IF(N145="7 years",84,600))))))</f>
        <v/>
      </c>
      <c r="P145" s="21" t="n"/>
      <c r="Q145" s="21" t="n"/>
      <c r="R145" s="21" t="n"/>
      <c r="S145" s="21" t="n"/>
      <c r="T145" s="21" t="n"/>
      <c r="U145" s="21" t="n"/>
      <c r="V145" s="25">
        <f>TODAY()</f>
        <v/>
      </c>
    </row>
    <row r="146">
      <c r="A146" s="20" t="inlineStr">
        <is>
          <t>EV-133</t>
        </is>
      </c>
      <c r="B146" s="21" t="n"/>
      <c r="C146" s="21" t="n"/>
      <c r="D146" s="21" t="n"/>
      <c r="E146" s="21" t="n"/>
      <c r="F146" s="21" t="n"/>
      <c r="G146" s="21" t="n"/>
      <c r="H146" s="21" t="n"/>
      <c r="I146" s="21" t="n"/>
      <c r="J146" s="21" t="n"/>
      <c r="K146" s="21" t="n"/>
      <c r="L146" s="21" t="n"/>
      <c r="M146" s="21" t="n"/>
      <c r="N146" s="21" t="n"/>
      <c r="O146" s="25">
        <f>IF(OR(ISBLANK(I146),ISBLANK(N146)),"",EDATE(I146,IF(N146="1 year",12,IF(N146="3 years",36,IF(N146="5 years",60,IF(N146="7 years",84,600))))))</f>
        <v/>
      </c>
      <c r="P146" s="21" t="n"/>
      <c r="Q146" s="21" t="n"/>
      <c r="R146" s="21" t="n"/>
      <c r="S146" s="21" t="n"/>
      <c r="T146" s="21" t="n"/>
      <c r="U146" s="21" t="n"/>
      <c r="V146" s="25">
        <f>TODAY()</f>
        <v/>
      </c>
    </row>
    <row r="147">
      <c r="A147" s="20" t="inlineStr">
        <is>
          <t>EV-134</t>
        </is>
      </c>
      <c r="B147" s="21" t="n"/>
      <c r="C147" s="21" t="n"/>
      <c r="D147" s="21" t="n"/>
      <c r="E147" s="21" t="n"/>
      <c r="F147" s="21" t="n"/>
      <c r="G147" s="21" t="n"/>
      <c r="H147" s="21" t="n"/>
      <c r="I147" s="21" t="n"/>
      <c r="J147" s="21" t="n"/>
      <c r="K147" s="21" t="n"/>
      <c r="L147" s="21" t="n"/>
      <c r="M147" s="21" t="n"/>
      <c r="N147" s="21" t="n"/>
      <c r="O147" s="25">
        <f>IF(OR(ISBLANK(I147),ISBLANK(N147)),"",EDATE(I147,IF(N147="1 year",12,IF(N147="3 years",36,IF(N147="5 years",60,IF(N147="7 years",84,600))))))</f>
        <v/>
      </c>
      <c r="P147" s="21" t="n"/>
      <c r="Q147" s="21" t="n"/>
      <c r="R147" s="21" t="n"/>
      <c r="S147" s="21" t="n"/>
      <c r="T147" s="21" t="n"/>
      <c r="U147" s="21" t="n"/>
      <c r="V147" s="25">
        <f>TODAY()</f>
        <v/>
      </c>
    </row>
    <row r="148">
      <c r="A148" s="20" t="inlineStr">
        <is>
          <t>EV-135</t>
        </is>
      </c>
      <c r="B148" s="21" t="n"/>
      <c r="C148" s="21" t="n"/>
      <c r="D148" s="21" t="n"/>
      <c r="E148" s="21" t="n"/>
      <c r="F148" s="21" t="n"/>
      <c r="G148" s="21" t="n"/>
      <c r="H148" s="21" t="n"/>
      <c r="I148" s="21" t="n"/>
      <c r="J148" s="21" t="n"/>
      <c r="K148" s="21" t="n"/>
      <c r="L148" s="21" t="n"/>
      <c r="M148" s="21" t="n"/>
      <c r="N148" s="21" t="n"/>
      <c r="O148" s="25">
        <f>IF(OR(ISBLANK(I148),ISBLANK(N148)),"",EDATE(I148,IF(N148="1 year",12,IF(N148="3 years",36,IF(N148="5 years",60,IF(N148="7 years",84,600))))))</f>
        <v/>
      </c>
      <c r="P148" s="21" t="n"/>
      <c r="Q148" s="21" t="n"/>
      <c r="R148" s="21" t="n"/>
      <c r="S148" s="21" t="n"/>
      <c r="T148" s="21" t="n"/>
      <c r="U148" s="21" t="n"/>
      <c r="V148" s="25">
        <f>TODAY()</f>
        <v/>
      </c>
    </row>
    <row r="149">
      <c r="A149" s="20" t="inlineStr">
        <is>
          <t>EV-136</t>
        </is>
      </c>
      <c r="B149" s="21" t="n"/>
      <c r="C149" s="21" t="n"/>
      <c r="D149" s="21" t="n"/>
      <c r="E149" s="21" t="n"/>
      <c r="F149" s="21" t="n"/>
      <c r="G149" s="21" t="n"/>
      <c r="H149" s="21" t="n"/>
      <c r="I149" s="21" t="n"/>
      <c r="J149" s="21" t="n"/>
      <c r="K149" s="21" t="n"/>
      <c r="L149" s="21" t="n"/>
      <c r="M149" s="21" t="n"/>
      <c r="N149" s="21" t="n"/>
      <c r="O149" s="25">
        <f>IF(OR(ISBLANK(I149),ISBLANK(N149)),"",EDATE(I149,IF(N149="1 year",12,IF(N149="3 years",36,IF(N149="5 years",60,IF(N149="7 years",84,600))))))</f>
        <v/>
      </c>
      <c r="P149" s="21" t="n"/>
      <c r="Q149" s="21" t="n"/>
      <c r="R149" s="21" t="n"/>
      <c r="S149" s="21" t="n"/>
      <c r="T149" s="21" t="n"/>
      <c r="U149" s="21" t="n"/>
      <c r="V149" s="25">
        <f>TODAY()</f>
        <v/>
      </c>
    </row>
    <row r="150">
      <c r="A150" s="20" t="inlineStr">
        <is>
          <t>EV-137</t>
        </is>
      </c>
      <c r="B150" s="21" t="n"/>
      <c r="C150" s="21" t="n"/>
      <c r="D150" s="21" t="n"/>
      <c r="E150" s="21" t="n"/>
      <c r="F150" s="21" t="n"/>
      <c r="G150" s="21" t="n"/>
      <c r="H150" s="21" t="n"/>
      <c r="I150" s="21" t="n"/>
      <c r="J150" s="21" t="n"/>
      <c r="K150" s="21" t="n"/>
      <c r="L150" s="21" t="n"/>
      <c r="M150" s="21" t="n"/>
      <c r="N150" s="21" t="n"/>
      <c r="O150" s="25">
        <f>IF(OR(ISBLANK(I150),ISBLANK(N150)),"",EDATE(I150,IF(N150="1 year",12,IF(N150="3 years",36,IF(N150="5 years",60,IF(N150="7 years",84,600))))))</f>
        <v/>
      </c>
      <c r="P150" s="21" t="n"/>
      <c r="Q150" s="21" t="n"/>
      <c r="R150" s="21" t="n"/>
      <c r="S150" s="21" t="n"/>
      <c r="T150" s="21" t="n"/>
      <c r="U150" s="21" t="n"/>
      <c r="V150" s="25">
        <f>TODAY()</f>
        <v/>
      </c>
    </row>
    <row r="151">
      <c r="A151" s="20" t="inlineStr">
        <is>
          <t>EV-138</t>
        </is>
      </c>
      <c r="B151" s="21" t="n"/>
      <c r="C151" s="21" t="n"/>
      <c r="D151" s="21" t="n"/>
      <c r="E151" s="21" t="n"/>
      <c r="F151" s="21" t="n"/>
      <c r="G151" s="21" t="n"/>
      <c r="H151" s="21" t="n"/>
      <c r="I151" s="21" t="n"/>
      <c r="J151" s="21" t="n"/>
      <c r="K151" s="21" t="n"/>
      <c r="L151" s="21" t="n"/>
      <c r="M151" s="21" t="n"/>
      <c r="N151" s="21" t="n"/>
      <c r="O151" s="25">
        <f>IF(OR(ISBLANK(I151),ISBLANK(N151)),"",EDATE(I151,IF(N151="1 year",12,IF(N151="3 years",36,IF(N151="5 years",60,IF(N151="7 years",84,600))))))</f>
        <v/>
      </c>
      <c r="P151" s="21" t="n"/>
      <c r="Q151" s="21" t="n"/>
      <c r="R151" s="21" t="n"/>
      <c r="S151" s="21" t="n"/>
      <c r="T151" s="21" t="n"/>
      <c r="U151" s="21" t="n"/>
      <c r="V151" s="25">
        <f>TODAY()</f>
        <v/>
      </c>
    </row>
    <row r="152">
      <c r="A152" s="20" t="inlineStr">
        <is>
          <t>EV-139</t>
        </is>
      </c>
      <c r="B152" s="21" t="n"/>
      <c r="C152" s="21" t="n"/>
      <c r="D152" s="21" t="n"/>
      <c r="E152" s="21" t="n"/>
      <c r="F152" s="21" t="n"/>
      <c r="G152" s="21" t="n"/>
      <c r="H152" s="21" t="n"/>
      <c r="I152" s="21" t="n"/>
      <c r="J152" s="21" t="n"/>
      <c r="K152" s="21" t="n"/>
      <c r="L152" s="21" t="n"/>
      <c r="M152" s="21" t="n"/>
      <c r="N152" s="21" t="n"/>
      <c r="O152" s="25">
        <f>IF(OR(ISBLANK(I152),ISBLANK(N152)),"",EDATE(I152,IF(N152="1 year",12,IF(N152="3 years",36,IF(N152="5 years",60,IF(N152="7 years",84,600))))))</f>
        <v/>
      </c>
      <c r="P152" s="21" t="n"/>
      <c r="Q152" s="21" t="n"/>
      <c r="R152" s="21" t="n"/>
      <c r="S152" s="21" t="n"/>
      <c r="T152" s="21" t="n"/>
      <c r="U152" s="21" t="n"/>
      <c r="V152" s="25">
        <f>TODAY()</f>
        <v/>
      </c>
    </row>
    <row r="153">
      <c r="A153" s="20" t="inlineStr">
        <is>
          <t>EV-140</t>
        </is>
      </c>
      <c r="B153" s="21" t="n"/>
      <c r="C153" s="21" t="n"/>
      <c r="D153" s="21" t="n"/>
      <c r="E153" s="21" t="n"/>
      <c r="F153" s="21" t="n"/>
      <c r="G153" s="21" t="n"/>
      <c r="H153" s="21" t="n"/>
      <c r="I153" s="21" t="n"/>
      <c r="J153" s="21" t="n"/>
      <c r="K153" s="21" t="n"/>
      <c r="L153" s="21" t="n"/>
      <c r="M153" s="21" t="n"/>
      <c r="N153" s="21" t="n"/>
      <c r="O153" s="25">
        <f>IF(OR(ISBLANK(I153),ISBLANK(N153)),"",EDATE(I153,IF(N153="1 year",12,IF(N153="3 years",36,IF(N153="5 years",60,IF(N153="7 years",84,600))))))</f>
        <v/>
      </c>
      <c r="P153" s="21" t="n"/>
      <c r="Q153" s="21" t="n"/>
      <c r="R153" s="21" t="n"/>
      <c r="S153" s="21" t="n"/>
      <c r="T153" s="21" t="n"/>
      <c r="U153" s="21" t="n"/>
      <c r="V153" s="25">
        <f>TODAY()</f>
        <v/>
      </c>
    </row>
    <row r="154">
      <c r="A154" s="20" t="inlineStr">
        <is>
          <t>EV-141</t>
        </is>
      </c>
      <c r="B154" s="21" t="n"/>
      <c r="C154" s="21" t="n"/>
      <c r="D154" s="21" t="n"/>
      <c r="E154" s="21" t="n"/>
      <c r="F154" s="21" t="n"/>
      <c r="G154" s="21" t="n"/>
      <c r="H154" s="21" t="n"/>
      <c r="I154" s="21" t="n"/>
      <c r="J154" s="21" t="n"/>
      <c r="K154" s="21" t="n"/>
      <c r="L154" s="21" t="n"/>
      <c r="M154" s="21" t="n"/>
      <c r="N154" s="21" t="n"/>
      <c r="O154" s="25">
        <f>IF(OR(ISBLANK(I154),ISBLANK(N154)),"",EDATE(I154,IF(N154="1 year",12,IF(N154="3 years",36,IF(N154="5 years",60,IF(N154="7 years",84,600))))))</f>
        <v/>
      </c>
      <c r="P154" s="21" t="n"/>
      <c r="Q154" s="21" t="n"/>
      <c r="R154" s="21" t="n"/>
      <c r="S154" s="21" t="n"/>
      <c r="T154" s="21" t="n"/>
      <c r="U154" s="21" t="n"/>
      <c r="V154" s="25">
        <f>TODAY()</f>
        <v/>
      </c>
    </row>
    <row r="155">
      <c r="A155" s="20" t="inlineStr">
        <is>
          <t>EV-142</t>
        </is>
      </c>
      <c r="B155" s="21" t="n"/>
      <c r="C155" s="21" t="n"/>
      <c r="D155" s="21" t="n"/>
      <c r="E155" s="21" t="n"/>
      <c r="F155" s="21" t="n"/>
      <c r="G155" s="21" t="n"/>
      <c r="H155" s="21" t="n"/>
      <c r="I155" s="21" t="n"/>
      <c r="J155" s="21" t="n"/>
      <c r="K155" s="21" t="n"/>
      <c r="L155" s="21" t="n"/>
      <c r="M155" s="21" t="n"/>
      <c r="N155" s="21" t="n"/>
      <c r="O155" s="25">
        <f>IF(OR(ISBLANK(I155),ISBLANK(N155)),"",EDATE(I155,IF(N155="1 year",12,IF(N155="3 years",36,IF(N155="5 years",60,IF(N155="7 years",84,600))))))</f>
        <v/>
      </c>
      <c r="P155" s="21" t="n"/>
      <c r="Q155" s="21" t="n"/>
      <c r="R155" s="21" t="n"/>
      <c r="S155" s="21" t="n"/>
      <c r="T155" s="21" t="n"/>
      <c r="U155" s="21" t="n"/>
      <c r="V155" s="25">
        <f>TODAY()</f>
        <v/>
      </c>
    </row>
    <row r="156">
      <c r="A156" s="20" t="inlineStr">
        <is>
          <t>EV-143</t>
        </is>
      </c>
      <c r="B156" s="21" t="n"/>
      <c r="C156" s="21" t="n"/>
      <c r="D156" s="21" t="n"/>
      <c r="E156" s="21" t="n"/>
      <c r="F156" s="21" t="n"/>
      <c r="G156" s="21" t="n"/>
      <c r="H156" s="21" t="n"/>
      <c r="I156" s="21" t="n"/>
      <c r="J156" s="21" t="n"/>
      <c r="K156" s="21" t="n"/>
      <c r="L156" s="21" t="n"/>
      <c r="M156" s="21" t="n"/>
      <c r="N156" s="21" t="n"/>
      <c r="O156" s="25">
        <f>IF(OR(ISBLANK(I156),ISBLANK(N156)),"",EDATE(I156,IF(N156="1 year",12,IF(N156="3 years",36,IF(N156="5 years",60,IF(N156="7 years",84,600))))))</f>
        <v/>
      </c>
      <c r="P156" s="21" t="n"/>
      <c r="Q156" s="21" t="n"/>
      <c r="R156" s="21" t="n"/>
      <c r="S156" s="21" t="n"/>
      <c r="T156" s="21" t="n"/>
      <c r="U156" s="21" t="n"/>
      <c r="V156" s="25">
        <f>TODAY()</f>
        <v/>
      </c>
    </row>
    <row r="157">
      <c r="A157" s="20" t="inlineStr">
        <is>
          <t>EV-144</t>
        </is>
      </c>
      <c r="B157" s="21" t="n"/>
      <c r="C157" s="21" t="n"/>
      <c r="D157" s="21" t="n"/>
      <c r="E157" s="21" t="n"/>
      <c r="F157" s="21" t="n"/>
      <c r="G157" s="21" t="n"/>
      <c r="H157" s="21" t="n"/>
      <c r="I157" s="21" t="n"/>
      <c r="J157" s="21" t="n"/>
      <c r="K157" s="21" t="n"/>
      <c r="L157" s="21" t="n"/>
      <c r="M157" s="21" t="n"/>
      <c r="N157" s="21" t="n"/>
      <c r="O157" s="25">
        <f>IF(OR(ISBLANK(I157),ISBLANK(N157)),"",EDATE(I157,IF(N157="1 year",12,IF(N157="3 years",36,IF(N157="5 years",60,IF(N157="7 years",84,600))))))</f>
        <v/>
      </c>
      <c r="P157" s="21" t="n"/>
      <c r="Q157" s="21" t="n"/>
      <c r="R157" s="21" t="n"/>
      <c r="S157" s="21" t="n"/>
      <c r="T157" s="21" t="n"/>
      <c r="U157" s="21" t="n"/>
      <c r="V157" s="25">
        <f>TODAY()</f>
        <v/>
      </c>
    </row>
    <row r="158">
      <c r="A158" s="20" t="inlineStr">
        <is>
          <t>EV-145</t>
        </is>
      </c>
      <c r="B158" s="21" t="n"/>
      <c r="C158" s="21" t="n"/>
      <c r="D158" s="21" t="n"/>
      <c r="E158" s="21" t="n"/>
      <c r="F158" s="21" t="n"/>
      <c r="G158" s="21" t="n"/>
      <c r="H158" s="21" t="n"/>
      <c r="I158" s="21" t="n"/>
      <c r="J158" s="21" t="n"/>
      <c r="K158" s="21" t="n"/>
      <c r="L158" s="21" t="n"/>
      <c r="M158" s="21" t="n"/>
      <c r="N158" s="21" t="n"/>
      <c r="O158" s="25">
        <f>IF(OR(ISBLANK(I158),ISBLANK(N158)),"",EDATE(I158,IF(N158="1 year",12,IF(N158="3 years",36,IF(N158="5 years",60,IF(N158="7 years",84,600))))))</f>
        <v/>
      </c>
      <c r="P158" s="21" t="n"/>
      <c r="Q158" s="21" t="n"/>
      <c r="R158" s="21" t="n"/>
      <c r="S158" s="21" t="n"/>
      <c r="T158" s="21" t="n"/>
      <c r="U158" s="21" t="n"/>
      <c r="V158" s="25">
        <f>TODAY()</f>
        <v/>
      </c>
    </row>
    <row r="159">
      <c r="A159" s="20" t="inlineStr">
        <is>
          <t>EV-146</t>
        </is>
      </c>
      <c r="B159" s="21" t="n"/>
      <c r="C159" s="21" t="n"/>
      <c r="D159" s="21" t="n"/>
      <c r="E159" s="21" t="n"/>
      <c r="F159" s="21" t="n"/>
      <c r="G159" s="21" t="n"/>
      <c r="H159" s="21" t="n"/>
      <c r="I159" s="21" t="n"/>
      <c r="J159" s="21" t="n"/>
      <c r="K159" s="21" t="n"/>
      <c r="L159" s="21" t="n"/>
      <c r="M159" s="21" t="n"/>
      <c r="N159" s="21" t="n"/>
      <c r="O159" s="25">
        <f>IF(OR(ISBLANK(I159),ISBLANK(N159)),"",EDATE(I159,IF(N159="1 year",12,IF(N159="3 years",36,IF(N159="5 years",60,IF(N159="7 years",84,600))))))</f>
        <v/>
      </c>
      <c r="P159" s="21" t="n"/>
      <c r="Q159" s="21" t="n"/>
      <c r="R159" s="21" t="n"/>
      <c r="S159" s="21" t="n"/>
      <c r="T159" s="21" t="n"/>
      <c r="U159" s="21" t="n"/>
      <c r="V159" s="25">
        <f>TODAY()</f>
        <v/>
      </c>
    </row>
    <row r="160">
      <c r="A160" s="20" t="inlineStr">
        <is>
          <t>EV-147</t>
        </is>
      </c>
      <c r="B160" s="21" t="n"/>
      <c r="C160" s="21" t="n"/>
      <c r="D160" s="21" t="n"/>
      <c r="E160" s="21" t="n"/>
      <c r="F160" s="21" t="n"/>
      <c r="G160" s="21" t="n"/>
      <c r="H160" s="21" t="n"/>
      <c r="I160" s="21" t="n"/>
      <c r="J160" s="21" t="n"/>
      <c r="K160" s="21" t="n"/>
      <c r="L160" s="21" t="n"/>
      <c r="M160" s="21" t="n"/>
      <c r="N160" s="21" t="n"/>
      <c r="O160" s="25">
        <f>IF(OR(ISBLANK(I160),ISBLANK(N160)),"",EDATE(I160,IF(N160="1 year",12,IF(N160="3 years",36,IF(N160="5 years",60,IF(N160="7 years",84,600))))))</f>
        <v/>
      </c>
      <c r="P160" s="21" t="n"/>
      <c r="Q160" s="21" t="n"/>
      <c r="R160" s="21" t="n"/>
      <c r="S160" s="21" t="n"/>
      <c r="T160" s="21" t="n"/>
      <c r="U160" s="21" t="n"/>
      <c r="V160" s="25">
        <f>TODAY()</f>
        <v/>
      </c>
    </row>
    <row r="161">
      <c r="A161" s="20" t="inlineStr">
        <is>
          <t>EV-148</t>
        </is>
      </c>
      <c r="B161" s="21" t="n"/>
      <c r="C161" s="21" t="n"/>
      <c r="D161" s="21" t="n"/>
      <c r="E161" s="21" t="n"/>
      <c r="F161" s="21" t="n"/>
      <c r="G161" s="21" t="n"/>
      <c r="H161" s="21" t="n"/>
      <c r="I161" s="21" t="n"/>
      <c r="J161" s="21" t="n"/>
      <c r="K161" s="21" t="n"/>
      <c r="L161" s="21" t="n"/>
      <c r="M161" s="21" t="n"/>
      <c r="N161" s="21" t="n"/>
      <c r="O161" s="25">
        <f>IF(OR(ISBLANK(I161),ISBLANK(N161)),"",EDATE(I161,IF(N161="1 year",12,IF(N161="3 years",36,IF(N161="5 years",60,IF(N161="7 years",84,600))))))</f>
        <v/>
      </c>
      <c r="P161" s="21" t="n"/>
      <c r="Q161" s="21" t="n"/>
      <c r="R161" s="21" t="n"/>
      <c r="S161" s="21" t="n"/>
      <c r="T161" s="21" t="n"/>
      <c r="U161" s="21" t="n"/>
      <c r="V161" s="25">
        <f>TODAY()</f>
        <v/>
      </c>
    </row>
    <row r="162">
      <c r="A162" s="20" t="inlineStr">
        <is>
          <t>EV-149</t>
        </is>
      </c>
      <c r="B162" s="21" t="n"/>
      <c r="C162" s="21" t="n"/>
      <c r="D162" s="21" t="n"/>
      <c r="E162" s="21" t="n"/>
      <c r="F162" s="21" t="n"/>
      <c r="G162" s="21" t="n"/>
      <c r="H162" s="21" t="n"/>
      <c r="I162" s="21" t="n"/>
      <c r="J162" s="21" t="n"/>
      <c r="K162" s="21" t="n"/>
      <c r="L162" s="21" t="n"/>
      <c r="M162" s="21" t="n"/>
      <c r="N162" s="21" t="n"/>
      <c r="O162" s="25">
        <f>IF(OR(ISBLANK(I162),ISBLANK(N162)),"",EDATE(I162,IF(N162="1 year",12,IF(N162="3 years",36,IF(N162="5 years",60,IF(N162="7 years",84,600))))))</f>
        <v/>
      </c>
      <c r="P162" s="21" t="n"/>
      <c r="Q162" s="21" t="n"/>
      <c r="R162" s="21" t="n"/>
      <c r="S162" s="21" t="n"/>
      <c r="T162" s="21" t="n"/>
      <c r="U162" s="21" t="n"/>
      <c r="V162" s="25">
        <f>TODAY()</f>
        <v/>
      </c>
    </row>
    <row r="163">
      <c r="A163" s="20" t="inlineStr">
        <is>
          <t>EV-150</t>
        </is>
      </c>
      <c r="B163" s="21" t="n"/>
      <c r="C163" s="21" t="n"/>
      <c r="D163" s="21" t="n"/>
      <c r="E163" s="21" t="n"/>
      <c r="F163" s="21" t="n"/>
      <c r="G163" s="21" t="n"/>
      <c r="H163" s="21" t="n"/>
      <c r="I163" s="21" t="n"/>
      <c r="J163" s="21" t="n"/>
      <c r="K163" s="21" t="n"/>
      <c r="L163" s="21" t="n"/>
      <c r="M163" s="21" t="n"/>
      <c r="N163" s="21" t="n"/>
      <c r="O163" s="25">
        <f>IF(OR(ISBLANK(I163),ISBLANK(N163)),"",EDATE(I163,IF(N163="1 year",12,IF(N163="3 years",36,IF(N163="5 years",60,IF(N163="7 years",84,600))))))</f>
        <v/>
      </c>
      <c r="P163" s="21" t="n"/>
      <c r="Q163" s="21" t="n"/>
      <c r="R163" s="21" t="n"/>
      <c r="S163" s="21" t="n"/>
      <c r="T163" s="21" t="n"/>
      <c r="U163" s="21" t="n"/>
      <c r="V163" s="25">
        <f>TODAY()</f>
        <v/>
      </c>
    </row>
    <row r="164">
      <c r="A164" s="20" t="inlineStr">
        <is>
          <t>EV-151</t>
        </is>
      </c>
      <c r="B164" s="21" t="n"/>
      <c r="C164" s="21" t="n"/>
      <c r="D164" s="21" t="n"/>
      <c r="E164" s="21" t="n"/>
      <c r="F164" s="21" t="n"/>
      <c r="G164" s="21" t="n"/>
      <c r="H164" s="21" t="n"/>
      <c r="I164" s="21" t="n"/>
      <c r="J164" s="21" t="n"/>
      <c r="K164" s="21" t="n"/>
      <c r="L164" s="21" t="n"/>
      <c r="M164" s="21" t="n"/>
      <c r="N164" s="21" t="n"/>
      <c r="O164" s="25">
        <f>IF(OR(ISBLANK(I164),ISBLANK(N164)),"",EDATE(I164,IF(N164="1 year",12,IF(N164="3 years",36,IF(N164="5 years",60,IF(N164="7 years",84,600))))))</f>
        <v/>
      </c>
      <c r="P164" s="21" t="n"/>
      <c r="Q164" s="21" t="n"/>
      <c r="R164" s="21" t="n"/>
      <c r="S164" s="21" t="n"/>
      <c r="T164" s="21" t="n"/>
      <c r="U164" s="21" t="n"/>
      <c r="V164" s="25">
        <f>TODAY()</f>
        <v/>
      </c>
    </row>
    <row r="165">
      <c r="A165" s="20" t="inlineStr">
        <is>
          <t>EV-152</t>
        </is>
      </c>
      <c r="B165" s="21" t="n"/>
      <c r="C165" s="21" t="n"/>
      <c r="D165" s="21" t="n"/>
      <c r="E165" s="21" t="n"/>
      <c r="F165" s="21" t="n"/>
      <c r="G165" s="21" t="n"/>
      <c r="H165" s="21" t="n"/>
      <c r="I165" s="21" t="n"/>
      <c r="J165" s="21" t="n"/>
      <c r="K165" s="21" t="n"/>
      <c r="L165" s="21" t="n"/>
      <c r="M165" s="21" t="n"/>
      <c r="N165" s="21" t="n"/>
      <c r="O165" s="25">
        <f>IF(OR(ISBLANK(I165),ISBLANK(N165)),"",EDATE(I165,IF(N165="1 year",12,IF(N165="3 years",36,IF(N165="5 years",60,IF(N165="7 years",84,600))))))</f>
        <v/>
      </c>
      <c r="P165" s="21" t="n"/>
      <c r="Q165" s="21" t="n"/>
      <c r="R165" s="21" t="n"/>
      <c r="S165" s="21" t="n"/>
      <c r="T165" s="21" t="n"/>
      <c r="U165" s="21" t="n"/>
      <c r="V165" s="25">
        <f>TODAY()</f>
        <v/>
      </c>
    </row>
    <row r="166">
      <c r="A166" s="20" t="inlineStr">
        <is>
          <t>EV-153</t>
        </is>
      </c>
      <c r="B166" s="21" t="n"/>
      <c r="C166" s="21" t="n"/>
      <c r="D166" s="21" t="n"/>
      <c r="E166" s="21" t="n"/>
      <c r="F166" s="21" t="n"/>
      <c r="G166" s="21" t="n"/>
      <c r="H166" s="21" t="n"/>
      <c r="I166" s="21" t="n"/>
      <c r="J166" s="21" t="n"/>
      <c r="K166" s="21" t="n"/>
      <c r="L166" s="21" t="n"/>
      <c r="M166" s="21" t="n"/>
      <c r="N166" s="21" t="n"/>
      <c r="O166" s="25">
        <f>IF(OR(ISBLANK(I166),ISBLANK(N166)),"",EDATE(I166,IF(N166="1 year",12,IF(N166="3 years",36,IF(N166="5 years",60,IF(N166="7 years",84,600))))))</f>
        <v/>
      </c>
      <c r="P166" s="21" t="n"/>
      <c r="Q166" s="21" t="n"/>
      <c r="R166" s="21" t="n"/>
      <c r="S166" s="21" t="n"/>
      <c r="T166" s="21" t="n"/>
      <c r="U166" s="21" t="n"/>
      <c r="V166" s="25">
        <f>TODAY()</f>
        <v/>
      </c>
    </row>
    <row r="167">
      <c r="A167" s="20" t="inlineStr">
        <is>
          <t>EV-154</t>
        </is>
      </c>
      <c r="B167" s="21" t="n"/>
      <c r="C167" s="21" t="n"/>
      <c r="D167" s="21" t="n"/>
      <c r="E167" s="21" t="n"/>
      <c r="F167" s="21" t="n"/>
      <c r="G167" s="21" t="n"/>
      <c r="H167" s="21" t="n"/>
      <c r="I167" s="21" t="n"/>
      <c r="J167" s="21" t="n"/>
      <c r="K167" s="21" t="n"/>
      <c r="L167" s="21" t="n"/>
      <c r="M167" s="21" t="n"/>
      <c r="N167" s="21" t="n"/>
      <c r="O167" s="25">
        <f>IF(OR(ISBLANK(I167),ISBLANK(N167)),"",EDATE(I167,IF(N167="1 year",12,IF(N167="3 years",36,IF(N167="5 years",60,IF(N167="7 years",84,600))))))</f>
        <v/>
      </c>
      <c r="P167" s="21" t="n"/>
      <c r="Q167" s="21" t="n"/>
      <c r="R167" s="21" t="n"/>
      <c r="S167" s="21" t="n"/>
      <c r="T167" s="21" t="n"/>
      <c r="U167" s="21" t="n"/>
      <c r="V167" s="25">
        <f>TODAY()</f>
        <v/>
      </c>
    </row>
    <row r="168">
      <c r="A168" s="20" t="inlineStr">
        <is>
          <t>EV-155</t>
        </is>
      </c>
      <c r="B168" s="21" t="n"/>
      <c r="C168" s="21" t="n"/>
      <c r="D168" s="21" t="n"/>
      <c r="E168" s="21" t="n"/>
      <c r="F168" s="21" t="n"/>
      <c r="G168" s="21" t="n"/>
      <c r="H168" s="21" t="n"/>
      <c r="I168" s="21" t="n"/>
      <c r="J168" s="21" t="n"/>
      <c r="K168" s="21" t="n"/>
      <c r="L168" s="21" t="n"/>
      <c r="M168" s="21" t="n"/>
      <c r="N168" s="21" t="n"/>
      <c r="O168" s="25">
        <f>IF(OR(ISBLANK(I168),ISBLANK(N168)),"",EDATE(I168,IF(N168="1 year",12,IF(N168="3 years",36,IF(N168="5 years",60,IF(N168="7 years",84,600))))))</f>
        <v/>
      </c>
      <c r="P168" s="21" t="n"/>
      <c r="Q168" s="21" t="n"/>
      <c r="R168" s="21" t="n"/>
      <c r="S168" s="21" t="n"/>
      <c r="T168" s="21" t="n"/>
      <c r="U168" s="21" t="n"/>
      <c r="V168" s="25">
        <f>TODAY()</f>
        <v/>
      </c>
    </row>
    <row r="169">
      <c r="A169" s="20" t="inlineStr">
        <is>
          <t>EV-156</t>
        </is>
      </c>
      <c r="B169" s="21" t="n"/>
      <c r="C169" s="21" t="n"/>
      <c r="D169" s="21" t="n"/>
      <c r="E169" s="21" t="n"/>
      <c r="F169" s="21" t="n"/>
      <c r="G169" s="21" t="n"/>
      <c r="H169" s="21" t="n"/>
      <c r="I169" s="21" t="n"/>
      <c r="J169" s="21" t="n"/>
      <c r="K169" s="21" t="n"/>
      <c r="L169" s="21" t="n"/>
      <c r="M169" s="21" t="n"/>
      <c r="N169" s="21" t="n"/>
      <c r="O169" s="25">
        <f>IF(OR(ISBLANK(I169),ISBLANK(N169)),"",EDATE(I169,IF(N169="1 year",12,IF(N169="3 years",36,IF(N169="5 years",60,IF(N169="7 years",84,600))))))</f>
        <v/>
      </c>
      <c r="P169" s="21" t="n"/>
      <c r="Q169" s="21" t="n"/>
      <c r="R169" s="21" t="n"/>
      <c r="S169" s="21" t="n"/>
      <c r="T169" s="21" t="n"/>
      <c r="U169" s="21" t="n"/>
      <c r="V169" s="25">
        <f>TODAY()</f>
        <v/>
      </c>
    </row>
    <row r="170">
      <c r="A170" s="20" t="inlineStr">
        <is>
          <t>EV-157</t>
        </is>
      </c>
      <c r="B170" s="21" t="n"/>
      <c r="C170" s="21" t="n"/>
      <c r="D170" s="21" t="n"/>
      <c r="E170" s="21" t="n"/>
      <c r="F170" s="21" t="n"/>
      <c r="G170" s="21" t="n"/>
      <c r="H170" s="21" t="n"/>
      <c r="I170" s="21" t="n"/>
      <c r="J170" s="21" t="n"/>
      <c r="K170" s="21" t="n"/>
      <c r="L170" s="21" t="n"/>
      <c r="M170" s="21" t="n"/>
      <c r="N170" s="21" t="n"/>
      <c r="O170" s="25">
        <f>IF(OR(ISBLANK(I170),ISBLANK(N170)),"",EDATE(I170,IF(N170="1 year",12,IF(N170="3 years",36,IF(N170="5 years",60,IF(N170="7 years",84,600))))))</f>
        <v/>
      </c>
      <c r="P170" s="21" t="n"/>
      <c r="Q170" s="21" t="n"/>
      <c r="R170" s="21" t="n"/>
      <c r="S170" s="21" t="n"/>
      <c r="T170" s="21" t="n"/>
      <c r="U170" s="21" t="n"/>
      <c r="V170" s="25">
        <f>TODAY()</f>
        <v/>
      </c>
    </row>
    <row r="171">
      <c r="A171" s="20" t="inlineStr">
        <is>
          <t>EV-158</t>
        </is>
      </c>
      <c r="B171" s="21" t="n"/>
      <c r="C171" s="21" t="n"/>
      <c r="D171" s="21" t="n"/>
      <c r="E171" s="21" t="n"/>
      <c r="F171" s="21" t="n"/>
      <c r="G171" s="21" t="n"/>
      <c r="H171" s="21" t="n"/>
      <c r="I171" s="21" t="n"/>
      <c r="J171" s="21" t="n"/>
      <c r="K171" s="21" t="n"/>
      <c r="L171" s="21" t="n"/>
      <c r="M171" s="21" t="n"/>
      <c r="N171" s="21" t="n"/>
      <c r="O171" s="25">
        <f>IF(OR(ISBLANK(I171),ISBLANK(N171)),"",EDATE(I171,IF(N171="1 year",12,IF(N171="3 years",36,IF(N171="5 years",60,IF(N171="7 years",84,600))))))</f>
        <v/>
      </c>
      <c r="P171" s="21" t="n"/>
      <c r="Q171" s="21" t="n"/>
      <c r="R171" s="21" t="n"/>
      <c r="S171" s="21" t="n"/>
      <c r="T171" s="21" t="n"/>
      <c r="U171" s="21" t="n"/>
      <c r="V171" s="25">
        <f>TODAY()</f>
        <v/>
      </c>
    </row>
    <row r="172">
      <c r="A172" s="20" t="inlineStr">
        <is>
          <t>EV-159</t>
        </is>
      </c>
      <c r="B172" s="21" t="n"/>
      <c r="C172" s="21" t="n"/>
      <c r="D172" s="21" t="n"/>
      <c r="E172" s="21" t="n"/>
      <c r="F172" s="21" t="n"/>
      <c r="G172" s="21" t="n"/>
      <c r="H172" s="21" t="n"/>
      <c r="I172" s="21" t="n"/>
      <c r="J172" s="21" t="n"/>
      <c r="K172" s="21" t="n"/>
      <c r="L172" s="21" t="n"/>
      <c r="M172" s="21" t="n"/>
      <c r="N172" s="21" t="n"/>
      <c r="O172" s="25">
        <f>IF(OR(ISBLANK(I172),ISBLANK(N172)),"",EDATE(I172,IF(N172="1 year",12,IF(N172="3 years",36,IF(N172="5 years",60,IF(N172="7 years",84,600))))))</f>
        <v/>
      </c>
      <c r="P172" s="21" t="n"/>
      <c r="Q172" s="21" t="n"/>
      <c r="R172" s="21" t="n"/>
      <c r="S172" s="21" t="n"/>
      <c r="T172" s="21" t="n"/>
      <c r="U172" s="21" t="n"/>
      <c r="V172" s="25">
        <f>TODAY()</f>
        <v/>
      </c>
    </row>
    <row r="173">
      <c r="A173" s="20" t="inlineStr">
        <is>
          <t>EV-160</t>
        </is>
      </c>
      <c r="B173" s="21" t="n"/>
      <c r="C173" s="21" t="n"/>
      <c r="D173" s="21" t="n"/>
      <c r="E173" s="21" t="n"/>
      <c r="F173" s="21" t="n"/>
      <c r="G173" s="21" t="n"/>
      <c r="H173" s="21" t="n"/>
      <c r="I173" s="21" t="n"/>
      <c r="J173" s="21" t="n"/>
      <c r="K173" s="21" t="n"/>
      <c r="L173" s="21" t="n"/>
      <c r="M173" s="21" t="n"/>
      <c r="N173" s="21" t="n"/>
      <c r="O173" s="25">
        <f>IF(OR(ISBLANK(I173),ISBLANK(N173)),"",EDATE(I173,IF(N173="1 year",12,IF(N173="3 years",36,IF(N173="5 years",60,IF(N173="7 years",84,600))))))</f>
        <v/>
      </c>
      <c r="P173" s="21" t="n"/>
      <c r="Q173" s="21" t="n"/>
      <c r="R173" s="21" t="n"/>
      <c r="S173" s="21" t="n"/>
      <c r="T173" s="21" t="n"/>
      <c r="U173" s="21" t="n"/>
      <c r="V173" s="25">
        <f>TODAY()</f>
        <v/>
      </c>
    </row>
    <row r="174">
      <c r="A174" s="20" t="inlineStr">
        <is>
          <t>EV-161</t>
        </is>
      </c>
      <c r="B174" s="21" t="n"/>
      <c r="C174" s="21" t="n"/>
      <c r="D174" s="21" t="n"/>
      <c r="E174" s="21" t="n"/>
      <c r="F174" s="21" t="n"/>
      <c r="G174" s="21" t="n"/>
      <c r="H174" s="21" t="n"/>
      <c r="I174" s="21" t="n"/>
      <c r="J174" s="21" t="n"/>
      <c r="K174" s="21" t="n"/>
      <c r="L174" s="21" t="n"/>
      <c r="M174" s="21" t="n"/>
      <c r="N174" s="21" t="n"/>
      <c r="O174" s="25">
        <f>IF(OR(ISBLANK(I174),ISBLANK(N174)),"",EDATE(I174,IF(N174="1 year",12,IF(N174="3 years",36,IF(N174="5 years",60,IF(N174="7 years",84,600))))))</f>
        <v/>
      </c>
      <c r="P174" s="21" t="n"/>
      <c r="Q174" s="21" t="n"/>
      <c r="R174" s="21" t="n"/>
      <c r="S174" s="21" t="n"/>
      <c r="T174" s="21" t="n"/>
      <c r="U174" s="21" t="n"/>
      <c r="V174" s="25">
        <f>TODAY()</f>
        <v/>
      </c>
    </row>
    <row r="175">
      <c r="A175" s="20" t="inlineStr">
        <is>
          <t>EV-162</t>
        </is>
      </c>
      <c r="B175" s="21" t="n"/>
      <c r="C175" s="21" t="n"/>
      <c r="D175" s="21" t="n"/>
      <c r="E175" s="21" t="n"/>
      <c r="F175" s="21" t="n"/>
      <c r="G175" s="21" t="n"/>
      <c r="H175" s="21" t="n"/>
      <c r="I175" s="21" t="n"/>
      <c r="J175" s="21" t="n"/>
      <c r="K175" s="21" t="n"/>
      <c r="L175" s="21" t="n"/>
      <c r="M175" s="21" t="n"/>
      <c r="N175" s="21" t="n"/>
      <c r="O175" s="25">
        <f>IF(OR(ISBLANK(I175),ISBLANK(N175)),"",EDATE(I175,IF(N175="1 year",12,IF(N175="3 years",36,IF(N175="5 years",60,IF(N175="7 years",84,600))))))</f>
        <v/>
      </c>
      <c r="P175" s="21" t="n"/>
      <c r="Q175" s="21" t="n"/>
      <c r="R175" s="21" t="n"/>
      <c r="S175" s="21" t="n"/>
      <c r="T175" s="21" t="n"/>
      <c r="U175" s="21" t="n"/>
      <c r="V175" s="25">
        <f>TODAY()</f>
        <v/>
      </c>
    </row>
    <row r="176">
      <c r="A176" s="20" t="inlineStr">
        <is>
          <t>EV-163</t>
        </is>
      </c>
      <c r="B176" s="21" t="n"/>
      <c r="C176" s="21" t="n"/>
      <c r="D176" s="21" t="n"/>
      <c r="E176" s="21" t="n"/>
      <c r="F176" s="21" t="n"/>
      <c r="G176" s="21" t="n"/>
      <c r="H176" s="21" t="n"/>
      <c r="I176" s="21" t="n"/>
      <c r="J176" s="21" t="n"/>
      <c r="K176" s="21" t="n"/>
      <c r="L176" s="21" t="n"/>
      <c r="M176" s="21" t="n"/>
      <c r="N176" s="21" t="n"/>
      <c r="O176" s="25">
        <f>IF(OR(ISBLANK(I176),ISBLANK(N176)),"",EDATE(I176,IF(N176="1 year",12,IF(N176="3 years",36,IF(N176="5 years",60,IF(N176="7 years",84,600))))))</f>
        <v/>
      </c>
      <c r="P176" s="21" t="n"/>
      <c r="Q176" s="21" t="n"/>
      <c r="R176" s="21" t="n"/>
      <c r="S176" s="21" t="n"/>
      <c r="T176" s="21" t="n"/>
      <c r="U176" s="21" t="n"/>
      <c r="V176" s="25">
        <f>TODAY()</f>
        <v/>
      </c>
    </row>
    <row r="177">
      <c r="A177" s="20" t="inlineStr">
        <is>
          <t>EV-164</t>
        </is>
      </c>
      <c r="B177" s="21" t="n"/>
      <c r="C177" s="21" t="n"/>
      <c r="D177" s="21" t="n"/>
      <c r="E177" s="21" t="n"/>
      <c r="F177" s="21" t="n"/>
      <c r="G177" s="21" t="n"/>
      <c r="H177" s="21" t="n"/>
      <c r="I177" s="21" t="n"/>
      <c r="J177" s="21" t="n"/>
      <c r="K177" s="21" t="n"/>
      <c r="L177" s="21" t="n"/>
      <c r="M177" s="21" t="n"/>
      <c r="N177" s="21" t="n"/>
      <c r="O177" s="25">
        <f>IF(OR(ISBLANK(I177),ISBLANK(N177)),"",EDATE(I177,IF(N177="1 year",12,IF(N177="3 years",36,IF(N177="5 years",60,IF(N177="7 years",84,600))))))</f>
        <v/>
      </c>
      <c r="P177" s="21" t="n"/>
      <c r="Q177" s="21" t="n"/>
      <c r="R177" s="21" t="n"/>
      <c r="S177" s="21" t="n"/>
      <c r="T177" s="21" t="n"/>
      <c r="U177" s="21" t="n"/>
      <c r="V177" s="25">
        <f>TODAY()</f>
        <v/>
      </c>
    </row>
    <row r="178">
      <c r="A178" s="20" t="inlineStr">
        <is>
          <t>EV-165</t>
        </is>
      </c>
      <c r="B178" s="21" t="n"/>
      <c r="C178" s="21" t="n"/>
      <c r="D178" s="21" t="n"/>
      <c r="E178" s="21" t="n"/>
      <c r="F178" s="21" t="n"/>
      <c r="G178" s="21" t="n"/>
      <c r="H178" s="21" t="n"/>
      <c r="I178" s="21" t="n"/>
      <c r="J178" s="21" t="n"/>
      <c r="K178" s="21" t="n"/>
      <c r="L178" s="21" t="n"/>
      <c r="M178" s="21" t="n"/>
      <c r="N178" s="21" t="n"/>
      <c r="O178" s="25">
        <f>IF(OR(ISBLANK(I178),ISBLANK(N178)),"",EDATE(I178,IF(N178="1 year",12,IF(N178="3 years",36,IF(N178="5 years",60,IF(N178="7 years",84,600))))))</f>
        <v/>
      </c>
      <c r="P178" s="21" t="n"/>
      <c r="Q178" s="21" t="n"/>
      <c r="R178" s="21" t="n"/>
      <c r="S178" s="21" t="n"/>
      <c r="T178" s="21" t="n"/>
      <c r="U178" s="21" t="n"/>
      <c r="V178" s="25">
        <f>TODAY()</f>
        <v/>
      </c>
    </row>
    <row r="179">
      <c r="A179" s="20" t="inlineStr">
        <is>
          <t>EV-166</t>
        </is>
      </c>
      <c r="B179" s="21" t="n"/>
      <c r="C179" s="21" t="n"/>
      <c r="D179" s="21" t="n"/>
      <c r="E179" s="21" t="n"/>
      <c r="F179" s="21" t="n"/>
      <c r="G179" s="21" t="n"/>
      <c r="H179" s="21" t="n"/>
      <c r="I179" s="21" t="n"/>
      <c r="J179" s="21" t="n"/>
      <c r="K179" s="21" t="n"/>
      <c r="L179" s="21" t="n"/>
      <c r="M179" s="21" t="n"/>
      <c r="N179" s="21" t="n"/>
      <c r="O179" s="25">
        <f>IF(OR(ISBLANK(I179),ISBLANK(N179)),"",EDATE(I179,IF(N179="1 year",12,IF(N179="3 years",36,IF(N179="5 years",60,IF(N179="7 years",84,600))))))</f>
        <v/>
      </c>
      <c r="P179" s="21" t="n"/>
      <c r="Q179" s="21" t="n"/>
      <c r="R179" s="21" t="n"/>
      <c r="S179" s="21" t="n"/>
      <c r="T179" s="21" t="n"/>
      <c r="U179" s="21" t="n"/>
      <c r="V179" s="25">
        <f>TODAY()</f>
        <v/>
      </c>
    </row>
    <row r="180">
      <c r="A180" s="20" t="inlineStr">
        <is>
          <t>EV-167</t>
        </is>
      </c>
      <c r="B180" s="21" t="n"/>
      <c r="C180" s="21" t="n"/>
      <c r="D180" s="21" t="n"/>
      <c r="E180" s="21" t="n"/>
      <c r="F180" s="21" t="n"/>
      <c r="G180" s="21" t="n"/>
      <c r="H180" s="21" t="n"/>
      <c r="I180" s="21" t="n"/>
      <c r="J180" s="21" t="n"/>
      <c r="K180" s="21" t="n"/>
      <c r="L180" s="21" t="n"/>
      <c r="M180" s="21" t="n"/>
      <c r="N180" s="21" t="n"/>
      <c r="O180" s="25">
        <f>IF(OR(ISBLANK(I180),ISBLANK(N180)),"",EDATE(I180,IF(N180="1 year",12,IF(N180="3 years",36,IF(N180="5 years",60,IF(N180="7 years",84,600))))))</f>
        <v/>
      </c>
      <c r="P180" s="21" t="n"/>
      <c r="Q180" s="21" t="n"/>
      <c r="R180" s="21" t="n"/>
      <c r="S180" s="21" t="n"/>
      <c r="T180" s="21" t="n"/>
      <c r="U180" s="21" t="n"/>
      <c r="V180" s="25">
        <f>TODAY()</f>
        <v/>
      </c>
    </row>
    <row r="181">
      <c r="A181" s="20" t="inlineStr">
        <is>
          <t>EV-168</t>
        </is>
      </c>
      <c r="B181" s="21" t="n"/>
      <c r="C181" s="21" t="n"/>
      <c r="D181" s="21" t="n"/>
      <c r="E181" s="21" t="n"/>
      <c r="F181" s="21" t="n"/>
      <c r="G181" s="21" t="n"/>
      <c r="H181" s="21" t="n"/>
      <c r="I181" s="21" t="n"/>
      <c r="J181" s="21" t="n"/>
      <c r="K181" s="21" t="n"/>
      <c r="L181" s="21" t="n"/>
      <c r="M181" s="21" t="n"/>
      <c r="N181" s="21" t="n"/>
      <c r="O181" s="25">
        <f>IF(OR(ISBLANK(I181),ISBLANK(N181)),"",EDATE(I181,IF(N181="1 year",12,IF(N181="3 years",36,IF(N181="5 years",60,IF(N181="7 years",84,600))))))</f>
        <v/>
      </c>
      <c r="P181" s="21" t="n"/>
      <c r="Q181" s="21" t="n"/>
      <c r="R181" s="21" t="n"/>
      <c r="S181" s="21" t="n"/>
      <c r="T181" s="21" t="n"/>
      <c r="U181" s="21" t="n"/>
      <c r="V181" s="25">
        <f>TODAY()</f>
        <v/>
      </c>
    </row>
    <row r="182">
      <c r="A182" s="20" t="inlineStr">
        <is>
          <t>EV-169</t>
        </is>
      </c>
      <c r="B182" s="21" t="n"/>
      <c r="C182" s="21" t="n"/>
      <c r="D182" s="21" t="n"/>
      <c r="E182" s="21" t="n"/>
      <c r="F182" s="21" t="n"/>
      <c r="G182" s="21" t="n"/>
      <c r="H182" s="21" t="n"/>
      <c r="I182" s="21" t="n"/>
      <c r="J182" s="21" t="n"/>
      <c r="K182" s="21" t="n"/>
      <c r="L182" s="21" t="n"/>
      <c r="M182" s="21" t="n"/>
      <c r="N182" s="21" t="n"/>
      <c r="O182" s="25">
        <f>IF(OR(ISBLANK(I182),ISBLANK(N182)),"",EDATE(I182,IF(N182="1 year",12,IF(N182="3 years",36,IF(N182="5 years",60,IF(N182="7 years",84,600))))))</f>
        <v/>
      </c>
      <c r="P182" s="21" t="n"/>
      <c r="Q182" s="21" t="n"/>
      <c r="R182" s="21" t="n"/>
      <c r="S182" s="21" t="n"/>
      <c r="T182" s="21" t="n"/>
      <c r="U182" s="21" t="n"/>
      <c r="V182" s="25">
        <f>TODAY()</f>
        <v/>
      </c>
    </row>
    <row r="183">
      <c r="A183" s="20" t="inlineStr">
        <is>
          <t>EV-170</t>
        </is>
      </c>
      <c r="B183" s="21" t="n"/>
      <c r="C183" s="21" t="n"/>
      <c r="D183" s="21" t="n"/>
      <c r="E183" s="21" t="n"/>
      <c r="F183" s="21" t="n"/>
      <c r="G183" s="21" t="n"/>
      <c r="H183" s="21" t="n"/>
      <c r="I183" s="21" t="n"/>
      <c r="J183" s="21" t="n"/>
      <c r="K183" s="21" t="n"/>
      <c r="L183" s="21" t="n"/>
      <c r="M183" s="21" t="n"/>
      <c r="N183" s="21" t="n"/>
      <c r="O183" s="25">
        <f>IF(OR(ISBLANK(I183),ISBLANK(N183)),"",EDATE(I183,IF(N183="1 year",12,IF(N183="3 years",36,IF(N183="5 years",60,IF(N183="7 years",84,600))))))</f>
        <v/>
      </c>
      <c r="P183" s="21" t="n"/>
      <c r="Q183" s="21" t="n"/>
      <c r="R183" s="21" t="n"/>
      <c r="S183" s="21" t="n"/>
      <c r="T183" s="21" t="n"/>
      <c r="U183" s="21" t="n"/>
      <c r="V183" s="25">
        <f>TODAY()</f>
        <v/>
      </c>
    </row>
    <row r="184">
      <c r="A184" s="20" t="inlineStr">
        <is>
          <t>EV-171</t>
        </is>
      </c>
      <c r="B184" s="21" t="n"/>
      <c r="C184" s="21" t="n"/>
      <c r="D184" s="21" t="n"/>
      <c r="E184" s="21" t="n"/>
      <c r="F184" s="21" t="n"/>
      <c r="G184" s="21" t="n"/>
      <c r="H184" s="21" t="n"/>
      <c r="I184" s="21" t="n"/>
      <c r="J184" s="21" t="n"/>
      <c r="K184" s="21" t="n"/>
      <c r="L184" s="21" t="n"/>
      <c r="M184" s="21" t="n"/>
      <c r="N184" s="21" t="n"/>
      <c r="O184" s="25">
        <f>IF(OR(ISBLANK(I184),ISBLANK(N184)),"",EDATE(I184,IF(N184="1 year",12,IF(N184="3 years",36,IF(N184="5 years",60,IF(N184="7 years",84,600))))))</f>
        <v/>
      </c>
      <c r="P184" s="21" t="n"/>
      <c r="Q184" s="21" t="n"/>
      <c r="R184" s="21" t="n"/>
      <c r="S184" s="21" t="n"/>
      <c r="T184" s="21" t="n"/>
      <c r="U184" s="21" t="n"/>
      <c r="V184" s="25">
        <f>TODAY()</f>
        <v/>
      </c>
    </row>
    <row r="185">
      <c r="A185" s="20" t="inlineStr">
        <is>
          <t>EV-172</t>
        </is>
      </c>
      <c r="B185" s="21" t="n"/>
      <c r="C185" s="21" t="n"/>
      <c r="D185" s="21" t="n"/>
      <c r="E185" s="21" t="n"/>
      <c r="F185" s="21" t="n"/>
      <c r="G185" s="21" t="n"/>
      <c r="H185" s="21" t="n"/>
      <c r="I185" s="21" t="n"/>
      <c r="J185" s="21" t="n"/>
      <c r="K185" s="21" t="n"/>
      <c r="L185" s="21" t="n"/>
      <c r="M185" s="21" t="n"/>
      <c r="N185" s="21" t="n"/>
      <c r="O185" s="25">
        <f>IF(OR(ISBLANK(I185),ISBLANK(N185)),"",EDATE(I185,IF(N185="1 year",12,IF(N185="3 years",36,IF(N185="5 years",60,IF(N185="7 years",84,600))))))</f>
        <v/>
      </c>
      <c r="P185" s="21" t="n"/>
      <c r="Q185" s="21" t="n"/>
      <c r="R185" s="21" t="n"/>
      <c r="S185" s="21" t="n"/>
      <c r="T185" s="21" t="n"/>
      <c r="U185" s="21" t="n"/>
      <c r="V185" s="25">
        <f>TODAY()</f>
        <v/>
      </c>
    </row>
    <row r="186">
      <c r="A186" s="20" t="inlineStr">
        <is>
          <t>EV-173</t>
        </is>
      </c>
      <c r="B186" s="21" t="n"/>
      <c r="C186" s="21" t="n"/>
      <c r="D186" s="21" t="n"/>
      <c r="E186" s="21" t="n"/>
      <c r="F186" s="21" t="n"/>
      <c r="G186" s="21" t="n"/>
      <c r="H186" s="21" t="n"/>
      <c r="I186" s="21" t="n"/>
      <c r="J186" s="21" t="n"/>
      <c r="K186" s="21" t="n"/>
      <c r="L186" s="21" t="n"/>
      <c r="M186" s="21" t="n"/>
      <c r="N186" s="21" t="n"/>
      <c r="O186" s="25">
        <f>IF(OR(ISBLANK(I186),ISBLANK(N186)),"",EDATE(I186,IF(N186="1 year",12,IF(N186="3 years",36,IF(N186="5 years",60,IF(N186="7 years",84,600))))))</f>
        <v/>
      </c>
      <c r="P186" s="21" t="n"/>
      <c r="Q186" s="21" t="n"/>
      <c r="R186" s="21" t="n"/>
      <c r="S186" s="21" t="n"/>
      <c r="T186" s="21" t="n"/>
      <c r="U186" s="21" t="n"/>
      <c r="V186" s="25">
        <f>TODAY()</f>
        <v/>
      </c>
    </row>
    <row r="187">
      <c r="A187" s="20" t="inlineStr">
        <is>
          <t>EV-174</t>
        </is>
      </c>
      <c r="B187" s="21" t="n"/>
      <c r="C187" s="21" t="n"/>
      <c r="D187" s="21" t="n"/>
      <c r="E187" s="21" t="n"/>
      <c r="F187" s="21" t="n"/>
      <c r="G187" s="21" t="n"/>
      <c r="H187" s="21" t="n"/>
      <c r="I187" s="21" t="n"/>
      <c r="J187" s="21" t="n"/>
      <c r="K187" s="21" t="n"/>
      <c r="L187" s="21" t="n"/>
      <c r="M187" s="21" t="n"/>
      <c r="N187" s="21" t="n"/>
      <c r="O187" s="25">
        <f>IF(OR(ISBLANK(I187),ISBLANK(N187)),"",EDATE(I187,IF(N187="1 year",12,IF(N187="3 years",36,IF(N187="5 years",60,IF(N187="7 years",84,600))))))</f>
        <v/>
      </c>
      <c r="P187" s="21" t="n"/>
      <c r="Q187" s="21" t="n"/>
      <c r="R187" s="21" t="n"/>
      <c r="S187" s="21" t="n"/>
      <c r="T187" s="21" t="n"/>
      <c r="U187" s="21" t="n"/>
      <c r="V187" s="25">
        <f>TODAY()</f>
        <v/>
      </c>
    </row>
    <row r="188">
      <c r="A188" s="20" t="inlineStr">
        <is>
          <t>EV-175</t>
        </is>
      </c>
      <c r="B188" s="21" t="n"/>
      <c r="C188" s="21" t="n"/>
      <c r="D188" s="21" t="n"/>
      <c r="E188" s="21" t="n"/>
      <c r="F188" s="21" t="n"/>
      <c r="G188" s="21" t="n"/>
      <c r="H188" s="21" t="n"/>
      <c r="I188" s="21" t="n"/>
      <c r="J188" s="21" t="n"/>
      <c r="K188" s="21" t="n"/>
      <c r="L188" s="21" t="n"/>
      <c r="M188" s="21" t="n"/>
      <c r="N188" s="21" t="n"/>
      <c r="O188" s="25">
        <f>IF(OR(ISBLANK(I188),ISBLANK(N188)),"",EDATE(I188,IF(N188="1 year",12,IF(N188="3 years",36,IF(N188="5 years",60,IF(N188="7 years",84,600))))))</f>
        <v/>
      </c>
      <c r="P188" s="21" t="n"/>
      <c r="Q188" s="21" t="n"/>
      <c r="R188" s="21" t="n"/>
      <c r="S188" s="21" t="n"/>
      <c r="T188" s="21" t="n"/>
      <c r="U188" s="21" t="n"/>
      <c r="V188" s="25">
        <f>TODAY()</f>
        <v/>
      </c>
    </row>
    <row r="189">
      <c r="A189" s="20" t="inlineStr">
        <is>
          <t>EV-176</t>
        </is>
      </c>
      <c r="B189" s="21" t="n"/>
      <c r="C189" s="21" t="n"/>
      <c r="D189" s="21" t="n"/>
      <c r="E189" s="21" t="n"/>
      <c r="F189" s="21" t="n"/>
      <c r="G189" s="21" t="n"/>
      <c r="H189" s="21" t="n"/>
      <c r="I189" s="21" t="n"/>
      <c r="J189" s="21" t="n"/>
      <c r="K189" s="21" t="n"/>
      <c r="L189" s="21" t="n"/>
      <c r="M189" s="21" t="n"/>
      <c r="N189" s="21" t="n"/>
      <c r="O189" s="25">
        <f>IF(OR(ISBLANK(I189),ISBLANK(N189)),"",EDATE(I189,IF(N189="1 year",12,IF(N189="3 years",36,IF(N189="5 years",60,IF(N189="7 years",84,600))))))</f>
        <v/>
      </c>
      <c r="P189" s="21" t="n"/>
      <c r="Q189" s="21" t="n"/>
      <c r="R189" s="21" t="n"/>
      <c r="S189" s="21" t="n"/>
      <c r="T189" s="21" t="n"/>
      <c r="U189" s="21" t="n"/>
      <c r="V189" s="25">
        <f>TODAY()</f>
        <v/>
      </c>
    </row>
    <row r="190">
      <c r="A190" s="20" t="inlineStr">
        <is>
          <t>EV-177</t>
        </is>
      </c>
      <c r="B190" s="21" t="n"/>
      <c r="C190" s="21" t="n"/>
      <c r="D190" s="21" t="n"/>
      <c r="E190" s="21" t="n"/>
      <c r="F190" s="21" t="n"/>
      <c r="G190" s="21" t="n"/>
      <c r="H190" s="21" t="n"/>
      <c r="I190" s="21" t="n"/>
      <c r="J190" s="21" t="n"/>
      <c r="K190" s="21" t="n"/>
      <c r="L190" s="21" t="n"/>
      <c r="M190" s="21" t="n"/>
      <c r="N190" s="21" t="n"/>
      <c r="O190" s="25">
        <f>IF(OR(ISBLANK(I190),ISBLANK(N190)),"",EDATE(I190,IF(N190="1 year",12,IF(N190="3 years",36,IF(N190="5 years",60,IF(N190="7 years",84,600))))))</f>
        <v/>
      </c>
      <c r="P190" s="21" t="n"/>
      <c r="Q190" s="21" t="n"/>
      <c r="R190" s="21" t="n"/>
      <c r="S190" s="21" t="n"/>
      <c r="T190" s="21" t="n"/>
      <c r="U190" s="21" t="n"/>
      <c r="V190" s="25">
        <f>TODAY()</f>
        <v/>
      </c>
    </row>
    <row r="191">
      <c r="A191" s="20" t="inlineStr">
        <is>
          <t>EV-178</t>
        </is>
      </c>
      <c r="B191" s="21" t="n"/>
      <c r="C191" s="21" t="n"/>
      <c r="D191" s="21" t="n"/>
      <c r="E191" s="21" t="n"/>
      <c r="F191" s="21" t="n"/>
      <c r="G191" s="21" t="n"/>
      <c r="H191" s="21" t="n"/>
      <c r="I191" s="21" t="n"/>
      <c r="J191" s="21" t="n"/>
      <c r="K191" s="21" t="n"/>
      <c r="L191" s="21" t="n"/>
      <c r="M191" s="21" t="n"/>
      <c r="N191" s="21" t="n"/>
      <c r="O191" s="25">
        <f>IF(OR(ISBLANK(I191),ISBLANK(N191)),"",EDATE(I191,IF(N191="1 year",12,IF(N191="3 years",36,IF(N191="5 years",60,IF(N191="7 years",84,600))))))</f>
        <v/>
      </c>
      <c r="P191" s="21" t="n"/>
      <c r="Q191" s="21" t="n"/>
      <c r="R191" s="21" t="n"/>
      <c r="S191" s="21" t="n"/>
      <c r="T191" s="21" t="n"/>
      <c r="U191" s="21" t="n"/>
      <c r="V191" s="25">
        <f>TODAY()</f>
        <v/>
      </c>
    </row>
    <row r="192">
      <c r="A192" s="20" t="inlineStr">
        <is>
          <t>EV-179</t>
        </is>
      </c>
      <c r="B192" s="21" t="n"/>
      <c r="C192" s="21" t="n"/>
      <c r="D192" s="21" t="n"/>
      <c r="E192" s="21" t="n"/>
      <c r="F192" s="21" t="n"/>
      <c r="G192" s="21" t="n"/>
      <c r="H192" s="21" t="n"/>
      <c r="I192" s="21" t="n"/>
      <c r="J192" s="21" t="n"/>
      <c r="K192" s="21" t="n"/>
      <c r="L192" s="21" t="n"/>
      <c r="M192" s="21" t="n"/>
      <c r="N192" s="21" t="n"/>
      <c r="O192" s="25">
        <f>IF(OR(ISBLANK(I192),ISBLANK(N192)),"",EDATE(I192,IF(N192="1 year",12,IF(N192="3 years",36,IF(N192="5 years",60,IF(N192="7 years",84,600))))))</f>
        <v/>
      </c>
      <c r="P192" s="21" t="n"/>
      <c r="Q192" s="21" t="n"/>
      <c r="R192" s="21" t="n"/>
      <c r="S192" s="21" t="n"/>
      <c r="T192" s="21" t="n"/>
      <c r="U192" s="21" t="n"/>
      <c r="V192" s="25">
        <f>TODAY()</f>
        <v/>
      </c>
    </row>
    <row r="193">
      <c r="A193" s="20" t="inlineStr">
        <is>
          <t>EV-180</t>
        </is>
      </c>
      <c r="B193" s="21" t="n"/>
      <c r="C193" s="21" t="n"/>
      <c r="D193" s="21" t="n"/>
      <c r="E193" s="21" t="n"/>
      <c r="F193" s="21" t="n"/>
      <c r="G193" s="21" t="n"/>
      <c r="H193" s="21" t="n"/>
      <c r="I193" s="21" t="n"/>
      <c r="J193" s="21" t="n"/>
      <c r="K193" s="21" t="n"/>
      <c r="L193" s="21" t="n"/>
      <c r="M193" s="21" t="n"/>
      <c r="N193" s="21" t="n"/>
      <c r="O193" s="25">
        <f>IF(OR(ISBLANK(I193),ISBLANK(N193)),"",EDATE(I193,IF(N193="1 year",12,IF(N193="3 years",36,IF(N193="5 years",60,IF(N193="7 years",84,600))))))</f>
        <v/>
      </c>
      <c r="P193" s="21" t="n"/>
      <c r="Q193" s="21" t="n"/>
      <c r="R193" s="21" t="n"/>
      <c r="S193" s="21" t="n"/>
      <c r="T193" s="21" t="n"/>
      <c r="U193" s="21" t="n"/>
      <c r="V193" s="25">
        <f>TODAY()</f>
        <v/>
      </c>
    </row>
    <row r="194">
      <c r="A194" s="20" t="inlineStr">
        <is>
          <t>EV-181</t>
        </is>
      </c>
      <c r="B194" s="21" t="n"/>
      <c r="C194" s="21" t="n"/>
      <c r="D194" s="21" t="n"/>
      <c r="E194" s="21" t="n"/>
      <c r="F194" s="21" t="n"/>
      <c r="G194" s="21" t="n"/>
      <c r="H194" s="21" t="n"/>
      <c r="I194" s="21" t="n"/>
      <c r="J194" s="21" t="n"/>
      <c r="K194" s="21" t="n"/>
      <c r="L194" s="21" t="n"/>
      <c r="M194" s="21" t="n"/>
      <c r="N194" s="21" t="n"/>
      <c r="O194" s="25">
        <f>IF(OR(ISBLANK(I194),ISBLANK(N194)),"",EDATE(I194,IF(N194="1 year",12,IF(N194="3 years",36,IF(N194="5 years",60,IF(N194="7 years",84,600))))))</f>
        <v/>
      </c>
      <c r="P194" s="21" t="n"/>
      <c r="Q194" s="21" t="n"/>
      <c r="R194" s="21" t="n"/>
      <c r="S194" s="21" t="n"/>
      <c r="T194" s="21" t="n"/>
      <c r="U194" s="21" t="n"/>
      <c r="V194" s="25">
        <f>TODAY()</f>
        <v/>
      </c>
    </row>
    <row r="195">
      <c r="A195" s="20" t="inlineStr">
        <is>
          <t>EV-182</t>
        </is>
      </c>
      <c r="B195" s="21" t="n"/>
      <c r="C195" s="21" t="n"/>
      <c r="D195" s="21" t="n"/>
      <c r="E195" s="21" t="n"/>
      <c r="F195" s="21" t="n"/>
      <c r="G195" s="21" t="n"/>
      <c r="H195" s="21" t="n"/>
      <c r="I195" s="21" t="n"/>
      <c r="J195" s="21" t="n"/>
      <c r="K195" s="21" t="n"/>
      <c r="L195" s="21" t="n"/>
      <c r="M195" s="21" t="n"/>
      <c r="N195" s="21" t="n"/>
      <c r="O195" s="25">
        <f>IF(OR(ISBLANK(I195),ISBLANK(N195)),"",EDATE(I195,IF(N195="1 year",12,IF(N195="3 years",36,IF(N195="5 years",60,IF(N195="7 years",84,600))))))</f>
        <v/>
      </c>
      <c r="P195" s="21" t="n"/>
      <c r="Q195" s="21" t="n"/>
      <c r="R195" s="21" t="n"/>
      <c r="S195" s="21" t="n"/>
      <c r="T195" s="21" t="n"/>
      <c r="U195" s="21" t="n"/>
      <c r="V195" s="25">
        <f>TODAY()</f>
        <v/>
      </c>
    </row>
    <row r="196">
      <c r="A196" s="20" t="inlineStr">
        <is>
          <t>EV-183</t>
        </is>
      </c>
      <c r="B196" s="21" t="n"/>
      <c r="C196" s="21" t="n"/>
      <c r="D196" s="21" t="n"/>
      <c r="E196" s="21" t="n"/>
      <c r="F196" s="21" t="n"/>
      <c r="G196" s="21" t="n"/>
      <c r="H196" s="21" t="n"/>
      <c r="I196" s="21" t="n"/>
      <c r="J196" s="21" t="n"/>
      <c r="K196" s="21" t="n"/>
      <c r="L196" s="21" t="n"/>
      <c r="M196" s="21" t="n"/>
      <c r="N196" s="21" t="n"/>
      <c r="O196" s="25">
        <f>IF(OR(ISBLANK(I196),ISBLANK(N196)),"",EDATE(I196,IF(N196="1 year",12,IF(N196="3 years",36,IF(N196="5 years",60,IF(N196="7 years",84,600))))))</f>
        <v/>
      </c>
      <c r="P196" s="21" t="n"/>
      <c r="Q196" s="21" t="n"/>
      <c r="R196" s="21" t="n"/>
      <c r="S196" s="21" t="n"/>
      <c r="T196" s="21" t="n"/>
      <c r="U196" s="21" t="n"/>
      <c r="V196" s="25">
        <f>TODAY()</f>
        <v/>
      </c>
    </row>
    <row r="197">
      <c r="A197" s="20" t="inlineStr">
        <is>
          <t>EV-184</t>
        </is>
      </c>
      <c r="B197" s="21" t="n"/>
      <c r="C197" s="21" t="n"/>
      <c r="D197" s="21" t="n"/>
      <c r="E197" s="21" t="n"/>
      <c r="F197" s="21" t="n"/>
      <c r="G197" s="21" t="n"/>
      <c r="H197" s="21" t="n"/>
      <c r="I197" s="21" t="n"/>
      <c r="J197" s="21" t="n"/>
      <c r="K197" s="21" t="n"/>
      <c r="L197" s="21" t="n"/>
      <c r="M197" s="21" t="n"/>
      <c r="N197" s="21" t="n"/>
      <c r="O197" s="25">
        <f>IF(OR(ISBLANK(I197),ISBLANK(N197)),"",EDATE(I197,IF(N197="1 year",12,IF(N197="3 years",36,IF(N197="5 years",60,IF(N197="7 years",84,600))))))</f>
        <v/>
      </c>
      <c r="P197" s="21" t="n"/>
      <c r="Q197" s="21" t="n"/>
      <c r="R197" s="21" t="n"/>
      <c r="S197" s="21" t="n"/>
      <c r="T197" s="21" t="n"/>
      <c r="U197" s="21" t="n"/>
      <c r="V197" s="25">
        <f>TODAY()</f>
        <v/>
      </c>
    </row>
    <row r="198">
      <c r="A198" s="20" t="inlineStr">
        <is>
          <t>EV-185</t>
        </is>
      </c>
      <c r="B198" s="21" t="n"/>
      <c r="C198" s="21" t="n"/>
      <c r="D198" s="21" t="n"/>
      <c r="E198" s="21" t="n"/>
      <c r="F198" s="21" t="n"/>
      <c r="G198" s="21" t="n"/>
      <c r="H198" s="21" t="n"/>
      <c r="I198" s="21" t="n"/>
      <c r="J198" s="21" t="n"/>
      <c r="K198" s="21" t="n"/>
      <c r="L198" s="21" t="n"/>
      <c r="M198" s="21" t="n"/>
      <c r="N198" s="21" t="n"/>
      <c r="O198" s="25">
        <f>IF(OR(ISBLANK(I198),ISBLANK(N198)),"",EDATE(I198,IF(N198="1 year",12,IF(N198="3 years",36,IF(N198="5 years",60,IF(N198="7 years",84,600))))))</f>
        <v/>
      </c>
      <c r="P198" s="21" t="n"/>
      <c r="Q198" s="21" t="n"/>
      <c r="R198" s="21" t="n"/>
      <c r="S198" s="21" t="n"/>
      <c r="T198" s="21" t="n"/>
      <c r="U198" s="21" t="n"/>
      <c r="V198" s="25">
        <f>TODAY()</f>
        <v/>
      </c>
    </row>
    <row r="199">
      <c r="A199" s="20" t="inlineStr">
        <is>
          <t>EV-186</t>
        </is>
      </c>
      <c r="B199" s="21" t="n"/>
      <c r="C199" s="21" t="n"/>
      <c r="D199" s="21" t="n"/>
      <c r="E199" s="21" t="n"/>
      <c r="F199" s="21" t="n"/>
      <c r="G199" s="21" t="n"/>
      <c r="H199" s="21" t="n"/>
      <c r="I199" s="21" t="n"/>
      <c r="J199" s="21" t="n"/>
      <c r="K199" s="21" t="n"/>
      <c r="L199" s="21" t="n"/>
      <c r="M199" s="21" t="n"/>
      <c r="N199" s="21" t="n"/>
      <c r="O199" s="25">
        <f>IF(OR(ISBLANK(I199),ISBLANK(N199)),"",EDATE(I199,IF(N199="1 year",12,IF(N199="3 years",36,IF(N199="5 years",60,IF(N199="7 years",84,600))))))</f>
        <v/>
      </c>
      <c r="P199" s="21" t="n"/>
      <c r="Q199" s="21" t="n"/>
      <c r="R199" s="21" t="n"/>
      <c r="S199" s="21" t="n"/>
      <c r="T199" s="21" t="n"/>
      <c r="U199" s="21" t="n"/>
      <c r="V199" s="25">
        <f>TODAY()</f>
        <v/>
      </c>
    </row>
    <row r="200">
      <c r="A200" s="20" t="inlineStr">
        <is>
          <t>EV-187</t>
        </is>
      </c>
      <c r="B200" s="21" t="n"/>
      <c r="C200" s="21" t="n"/>
      <c r="D200" s="21" t="n"/>
      <c r="E200" s="21" t="n"/>
      <c r="F200" s="21" t="n"/>
      <c r="G200" s="21" t="n"/>
      <c r="H200" s="21" t="n"/>
      <c r="I200" s="21" t="n"/>
      <c r="J200" s="21" t="n"/>
      <c r="K200" s="21" t="n"/>
      <c r="L200" s="21" t="n"/>
      <c r="M200" s="21" t="n"/>
      <c r="N200" s="21" t="n"/>
      <c r="O200" s="25">
        <f>IF(OR(ISBLANK(I200),ISBLANK(N200)),"",EDATE(I200,IF(N200="1 year",12,IF(N200="3 years",36,IF(N200="5 years",60,IF(N200="7 years",84,600))))))</f>
        <v/>
      </c>
      <c r="P200" s="21" t="n"/>
      <c r="Q200" s="21" t="n"/>
      <c r="R200" s="21" t="n"/>
      <c r="S200" s="21" t="n"/>
      <c r="T200" s="21" t="n"/>
      <c r="U200" s="21" t="n"/>
      <c r="V200" s="25">
        <f>TODAY()</f>
        <v/>
      </c>
    </row>
    <row r="201">
      <c r="A201" s="20" t="inlineStr">
        <is>
          <t>EV-188</t>
        </is>
      </c>
      <c r="B201" s="21" t="n"/>
      <c r="C201" s="21" t="n"/>
      <c r="D201" s="21" t="n"/>
      <c r="E201" s="21" t="n"/>
      <c r="F201" s="21" t="n"/>
      <c r="G201" s="21" t="n"/>
      <c r="H201" s="21" t="n"/>
      <c r="I201" s="21" t="n"/>
      <c r="J201" s="21" t="n"/>
      <c r="K201" s="21" t="n"/>
      <c r="L201" s="21" t="n"/>
      <c r="M201" s="21" t="n"/>
      <c r="N201" s="21" t="n"/>
      <c r="O201" s="25">
        <f>IF(OR(ISBLANK(I201),ISBLANK(N201)),"",EDATE(I201,IF(N201="1 year",12,IF(N201="3 years",36,IF(N201="5 years",60,IF(N201="7 years",84,600))))))</f>
        <v/>
      </c>
      <c r="P201" s="21" t="n"/>
      <c r="Q201" s="21" t="n"/>
      <c r="R201" s="21" t="n"/>
      <c r="S201" s="21" t="n"/>
      <c r="T201" s="21" t="n"/>
      <c r="U201" s="21" t="n"/>
      <c r="V201" s="25">
        <f>TODAY()</f>
        <v/>
      </c>
    </row>
    <row r="202">
      <c r="A202" s="20" t="inlineStr">
        <is>
          <t>EV-189</t>
        </is>
      </c>
      <c r="B202" s="21" t="n"/>
      <c r="C202" s="21" t="n"/>
      <c r="D202" s="21" t="n"/>
      <c r="E202" s="21" t="n"/>
      <c r="F202" s="21" t="n"/>
      <c r="G202" s="21" t="n"/>
      <c r="H202" s="21" t="n"/>
      <c r="I202" s="21" t="n"/>
      <c r="J202" s="21" t="n"/>
      <c r="K202" s="21" t="n"/>
      <c r="L202" s="21" t="n"/>
      <c r="M202" s="21" t="n"/>
      <c r="N202" s="21" t="n"/>
      <c r="O202" s="25">
        <f>IF(OR(ISBLANK(I202),ISBLANK(N202)),"",EDATE(I202,IF(N202="1 year",12,IF(N202="3 years",36,IF(N202="5 years",60,IF(N202="7 years",84,600))))))</f>
        <v/>
      </c>
      <c r="P202" s="21" t="n"/>
      <c r="Q202" s="21" t="n"/>
      <c r="R202" s="21" t="n"/>
      <c r="S202" s="21" t="n"/>
      <c r="T202" s="21" t="n"/>
      <c r="U202" s="21" t="n"/>
      <c r="V202" s="25">
        <f>TODAY()</f>
        <v/>
      </c>
    </row>
    <row r="203">
      <c r="A203" s="20" t="inlineStr">
        <is>
          <t>EV-190</t>
        </is>
      </c>
      <c r="B203" s="21" t="n"/>
      <c r="C203" s="21" t="n"/>
      <c r="D203" s="21" t="n"/>
      <c r="E203" s="21" t="n"/>
      <c r="F203" s="21" t="n"/>
      <c r="G203" s="21" t="n"/>
      <c r="H203" s="21" t="n"/>
      <c r="I203" s="21" t="n"/>
      <c r="J203" s="21" t="n"/>
      <c r="K203" s="21" t="n"/>
      <c r="L203" s="21" t="n"/>
      <c r="M203" s="21" t="n"/>
      <c r="N203" s="21" t="n"/>
      <c r="O203" s="25">
        <f>IF(OR(ISBLANK(I203),ISBLANK(N203)),"",EDATE(I203,IF(N203="1 year",12,IF(N203="3 years",36,IF(N203="5 years",60,IF(N203="7 years",84,600))))))</f>
        <v/>
      </c>
      <c r="P203" s="21" t="n"/>
      <c r="Q203" s="21" t="n"/>
      <c r="R203" s="21" t="n"/>
      <c r="S203" s="21" t="n"/>
      <c r="T203" s="21" t="n"/>
      <c r="U203" s="21" t="n"/>
      <c r="V203" s="25">
        <f>TODAY()</f>
        <v/>
      </c>
    </row>
    <row r="204">
      <c r="A204" s="20" t="inlineStr">
        <is>
          <t>EV-191</t>
        </is>
      </c>
      <c r="B204" s="21" t="n"/>
      <c r="C204" s="21" t="n"/>
      <c r="D204" s="21" t="n"/>
      <c r="E204" s="21" t="n"/>
      <c r="F204" s="21" t="n"/>
      <c r="G204" s="21" t="n"/>
      <c r="H204" s="21" t="n"/>
      <c r="I204" s="21" t="n"/>
      <c r="J204" s="21" t="n"/>
      <c r="K204" s="21" t="n"/>
      <c r="L204" s="21" t="n"/>
      <c r="M204" s="21" t="n"/>
      <c r="N204" s="21" t="n"/>
      <c r="O204" s="25">
        <f>IF(OR(ISBLANK(I204),ISBLANK(N204)),"",EDATE(I204,IF(N204="1 year",12,IF(N204="3 years",36,IF(N204="5 years",60,IF(N204="7 years",84,600))))))</f>
        <v/>
      </c>
      <c r="P204" s="21" t="n"/>
      <c r="Q204" s="21" t="n"/>
      <c r="R204" s="21" t="n"/>
      <c r="S204" s="21" t="n"/>
      <c r="T204" s="21" t="n"/>
      <c r="U204" s="21" t="n"/>
      <c r="V204" s="25">
        <f>TODAY()</f>
        <v/>
      </c>
    </row>
    <row r="205">
      <c r="A205" s="20" t="inlineStr">
        <is>
          <t>EV-192</t>
        </is>
      </c>
      <c r="B205" s="21" t="n"/>
      <c r="C205" s="21" t="n"/>
      <c r="D205" s="21" t="n"/>
      <c r="E205" s="21" t="n"/>
      <c r="F205" s="21" t="n"/>
      <c r="G205" s="21" t="n"/>
      <c r="H205" s="21" t="n"/>
      <c r="I205" s="21" t="n"/>
      <c r="J205" s="21" t="n"/>
      <c r="K205" s="21" t="n"/>
      <c r="L205" s="21" t="n"/>
      <c r="M205" s="21" t="n"/>
      <c r="N205" s="21" t="n"/>
      <c r="O205" s="25">
        <f>IF(OR(ISBLANK(I205),ISBLANK(N205)),"",EDATE(I205,IF(N205="1 year",12,IF(N205="3 years",36,IF(N205="5 years",60,IF(N205="7 years",84,600))))))</f>
        <v/>
      </c>
      <c r="P205" s="21" t="n"/>
      <c r="Q205" s="21" t="n"/>
      <c r="R205" s="21" t="n"/>
      <c r="S205" s="21" t="n"/>
      <c r="T205" s="21" t="n"/>
      <c r="U205" s="21" t="n"/>
      <c r="V205" s="25">
        <f>TODAY()</f>
        <v/>
      </c>
    </row>
    <row r="206">
      <c r="A206" s="20" t="inlineStr">
        <is>
          <t>EV-193</t>
        </is>
      </c>
      <c r="B206" s="21" t="n"/>
      <c r="C206" s="21" t="n"/>
      <c r="D206" s="21" t="n"/>
      <c r="E206" s="21" t="n"/>
      <c r="F206" s="21" t="n"/>
      <c r="G206" s="21" t="n"/>
      <c r="H206" s="21" t="n"/>
      <c r="I206" s="21" t="n"/>
      <c r="J206" s="21" t="n"/>
      <c r="K206" s="21" t="n"/>
      <c r="L206" s="21" t="n"/>
      <c r="M206" s="21" t="n"/>
      <c r="N206" s="21" t="n"/>
      <c r="O206" s="25">
        <f>IF(OR(ISBLANK(I206),ISBLANK(N206)),"",EDATE(I206,IF(N206="1 year",12,IF(N206="3 years",36,IF(N206="5 years",60,IF(N206="7 years",84,600))))))</f>
        <v/>
      </c>
      <c r="P206" s="21" t="n"/>
      <c r="Q206" s="21" t="n"/>
      <c r="R206" s="21" t="n"/>
      <c r="S206" s="21" t="n"/>
      <c r="T206" s="21" t="n"/>
      <c r="U206" s="21" t="n"/>
      <c r="V206" s="25">
        <f>TODAY()</f>
        <v/>
      </c>
    </row>
    <row r="207">
      <c r="A207" s="20" t="inlineStr">
        <is>
          <t>EV-194</t>
        </is>
      </c>
      <c r="B207" s="21" t="n"/>
      <c r="C207" s="21" t="n"/>
      <c r="D207" s="21" t="n"/>
      <c r="E207" s="21" t="n"/>
      <c r="F207" s="21" t="n"/>
      <c r="G207" s="21" t="n"/>
      <c r="H207" s="21" t="n"/>
      <c r="I207" s="21" t="n"/>
      <c r="J207" s="21" t="n"/>
      <c r="K207" s="21" t="n"/>
      <c r="L207" s="21" t="n"/>
      <c r="M207" s="21" t="n"/>
      <c r="N207" s="21" t="n"/>
      <c r="O207" s="25">
        <f>IF(OR(ISBLANK(I207),ISBLANK(N207)),"",EDATE(I207,IF(N207="1 year",12,IF(N207="3 years",36,IF(N207="5 years",60,IF(N207="7 years",84,600))))))</f>
        <v/>
      </c>
      <c r="P207" s="21" t="n"/>
      <c r="Q207" s="21" t="n"/>
      <c r="R207" s="21" t="n"/>
      <c r="S207" s="21" t="n"/>
      <c r="T207" s="21" t="n"/>
      <c r="U207" s="21" t="n"/>
      <c r="V207" s="25">
        <f>TODAY()</f>
        <v/>
      </c>
    </row>
    <row r="208">
      <c r="A208" s="20" t="inlineStr">
        <is>
          <t>EV-195</t>
        </is>
      </c>
      <c r="B208" s="21" t="n"/>
      <c r="C208" s="21" t="n"/>
      <c r="D208" s="21" t="n"/>
      <c r="E208" s="21" t="n"/>
      <c r="F208" s="21" t="n"/>
      <c r="G208" s="21" t="n"/>
      <c r="H208" s="21" t="n"/>
      <c r="I208" s="21" t="n"/>
      <c r="J208" s="21" t="n"/>
      <c r="K208" s="21" t="n"/>
      <c r="L208" s="21" t="n"/>
      <c r="M208" s="21" t="n"/>
      <c r="N208" s="21" t="n"/>
      <c r="O208" s="25">
        <f>IF(OR(ISBLANK(I208),ISBLANK(N208)),"",EDATE(I208,IF(N208="1 year",12,IF(N208="3 years",36,IF(N208="5 years",60,IF(N208="7 years",84,600))))))</f>
        <v/>
      </c>
      <c r="P208" s="21" t="n"/>
      <c r="Q208" s="21" t="n"/>
      <c r="R208" s="21" t="n"/>
      <c r="S208" s="21" t="n"/>
      <c r="T208" s="21" t="n"/>
      <c r="U208" s="21" t="n"/>
      <c r="V208" s="25">
        <f>TODAY()</f>
        <v/>
      </c>
    </row>
    <row r="209">
      <c r="A209" s="20" t="inlineStr">
        <is>
          <t>EV-196</t>
        </is>
      </c>
      <c r="B209" s="21" t="n"/>
      <c r="C209" s="21" t="n"/>
      <c r="D209" s="21" t="n"/>
      <c r="E209" s="21" t="n"/>
      <c r="F209" s="21" t="n"/>
      <c r="G209" s="21" t="n"/>
      <c r="H209" s="21" t="n"/>
      <c r="I209" s="21" t="n"/>
      <c r="J209" s="21" t="n"/>
      <c r="K209" s="21" t="n"/>
      <c r="L209" s="21" t="n"/>
      <c r="M209" s="21" t="n"/>
      <c r="N209" s="21" t="n"/>
      <c r="O209" s="25">
        <f>IF(OR(ISBLANK(I209),ISBLANK(N209)),"",EDATE(I209,IF(N209="1 year",12,IF(N209="3 years",36,IF(N209="5 years",60,IF(N209="7 years",84,600))))))</f>
        <v/>
      </c>
      <c r="P209" s="21" t="n"/>
      <c r="Q209" s="21" t="n"/>
      <c r="R209" s="21" t="n"/>
      <c r="S209" s="21" t="n"/>
      <c r="T209" s="21" t="n"/>
      <c r="U209" s="21" t="n"/>
      <c r="V209" s="25">
        <f>TODAY()</f>
        <v/>
      </c>
    </row>
    <row r="210">
      <c r="A210" s="20" t="inlineStr">
        <is>
          <t>EV-197</t>
        </is>
      </c>
      <c r="B210" s="21" t="n"/>
      <c r="C210" s="21" t="n"/>
      <c r="D210" s="21" t="n"/>
      <c r="E210" s="21" t="n"/>
      <c r="F210" s="21" t="n"/>
      <c r="G210" s="21" t="n"/>
      <c r="H210" s="21" t="n"/>
      <c r="I210" s="21" t="n"/>
      <c r="J210" s="21" t="n"/>
      <c r="K210" s="21" t="n"/>
      <c r="L210" s="21" t="n"/>
      <c r="M210" s="21" t="n"/>
      <c r="N210" s="21" t="n"/>
      <c r="O210" s="25">
        <f>IF(OR(ISBLANK(I210),ISBLANK(N210)),"",EDATE(I210,IF(N210="1 year",12,IF(N210="3 years",36,IF(N210="5 years",60,IF(N210="7 years",84,600))))))</f>
        <v/>
      </c>
      <c r="P210" s="21" t="n"/>
      <c r="Q210" s="21" t="n"/>
      <c r="R210" s="21" t="n"/>
      <c r="S210" s="21" t="n"/>
      <c r="T210" s="21" t="n"/>
      <c r="U210" s="21" t="n"/>
      <c r="V210" s="25">
        <f>TODAY()</f>
        <v/>
      </c>
    </row>
    <row r="211">
      <c r="A211" s="20" t="inlineStr">
        <is>
          <t>EV-198</t>
        </is>
      </c>
      <c r="B211" s="21" t="n"/>
      <c r="C211" s="21" t="n"/>
      <c r="D211" s="21" t="n"/>
      <c r="E211" s="21" t="n"/>
      <c r="F211" s="21" t="n"/>
      <c r="G211" s="21" t="n"/>
      <c r="H211" s="21" t="n"/>
      <c r="I211" s="21" t="n"/>
      <c r="J211" s="21" t="n"/>
      <c r="K211" s="21" t="n"/>
      <c r="L211" s="21" t="n"/>
      <c r="M211" s="21" t="n"/>
      <c r="N211" s="21" t="n"/>
      <c r="O211" s="25">
        <f>IF(OR(ISBLANK(I211),ISBLANK(N211)),"",EDATE(I211,IF(N211="1 year",12,IF(N211="3 years",36,IF(N211="5 years",60,IF(N211="7 years",84,600))))))</f>
        <v/>
      </c>
      <c r="P211" s="21" t="n"/>
      <c r="Q211" s="21" t="n"/>
      <c r="R211" s="21" t="n"/>
      <c r="S211" s="21" t="n"/>
      <c r="T211" s="21" t="n"/>
      <c r="U211" s="21" t="n"/>
      <c r="V211" s="25">
        <f>TODAY()</f>
        <v/>
      </c>
    </row>
    <row r="212">
      <c r="A212" s="20" t="inlineStr">
        <is>
          <t>EV-199</t>
        </is>
      </c>
      <c r="B212" s="21" t="n"/>
      <c r="C212" s="21" t="n"/>
      <c r="D212" s="21" t="n"/>
      <c r="E212" s="21" t="n"/>
      <c r="F212" s="21" t="n"/>
      <c r="G212" s="21" t="n"/>
      <c r="H212" s="21" t="n"/>
      <c r="I212" s="21" t="n"/>
      <c r="J212" s="21" t="n"/>
      <c r="K212" s="21" t="n"/>
      <c r="L212" s="21" t="n"/>
      <c r="M212" s="21" t="n"/>
      <c r="N212" s="21" t="n"/>
      <c r="O212" s="25">
        <f>IF(OR(ISBLANK(I212),ISBLANK(N212)),"",EDATE(I212,IF(N212="1 year",12,IF(N212="3 years",36,IF(N212="5 years",60,IF(N212="7 years",84,600))))))</f>
        <v/>
      </c>
      <c r="P212" s="21" t="n"/>
      <c r="Q212" s="21" t="n"/>
      <c r="R212" s="21" t="n"/>
      <c r="S212" s="21" t="n"/>
      <c r="T212" s="21" t="n"/>
      <c r="U212" s="21" t="n"/>
      <c r="V212" s="25">
        <f>TODAY()</f>
        <v/>
      </c>
    </row>
    <row r="213">
      <c r="A213" s="20" t="inlineStr">
        <is>
          <t>EV-200</t>
        </is>
      </c>
      <c r="B213" s="21" t="n"/>
      <c r="C213" s="21" t="n"/>
      <c r="D213" s="21" t="n"/>
      <c r="E213" s="21" t="n"/>
      <c r="F213" s="21" t="n"/>
      <c r="G213" s="21" t="n"/>
      <c r="H213" s="21" t="n"/>
      <c r="I213" s="21" t="n"/>
      <c r="J213" s="21" t="n"/>
      <c r="K213" s="21" t="n"/>
      <c r="L213" s="21" t="n"/>
      <c r="M213" s="21" t="n"/>
      <c r="N213" s="21" t="n"/>
      <c r="O213" s="25">
        <f>IF(OR(ISBLANK(I213),ISBLANK(N213)),"",EDATE(I213,IF(N213="1 year",12,IF(N213="3 years",36,IF(N213="5 years",60,IF(N213="7 years",84,600))))))</f>
        <v/>
      </c>
      <c r="P213" s="21" t="n"/>
      <c r="Q213" s="21" t="n"/>
      <c r="R213" s="21" t="n"/>
      <c r="S213" s="21" t="n"/>
      <c r="T213" s="21" t="n"/>
      <c r="U213" s="21" t="n"/>
      <c r="V213" s="25">
        <f>TODAY()</f>
        <v/>
      </c>
    </row>
    <row r="214">
      <c r="A214" s="20" t="inlineStr">
        <is>
          <t>EV-201</t>
        </is>
      </c>
      <c r="B214" s="21" t="n"/>
      <c r="C214" s="21" t="n"/>
      <c r="D214" s="21" t="n"/>
      <c r="E214" s="21" t="n"/>
      <c r="F214" s="21" t="n"/>
      <c r="G214" s="21" t="n"/>
      <c r="H214" s="21" t="n"/>
      <c r="I214" s="21" t="n"/>
      <c r="J214" s="21" t="n"/>
      <c r="K214" s="21" t="n"/>
      <c r="L214" s="21" t="n"/>
      <c r="M214" s="21" t="n"/>
      <c r="N214" s="21" t="n"/>
      <c r="O214" s="25">
        <f>IF(OR(ISBLANK(I214),ISBLANK(N214)),"",EDATE(I214,IF(N214="1 year",12,IF(N214="3 years",36,IF(N214="5 years",60,IF(N214="7 years",84,600))))))</f>
        <v/>
      </c>
      <c r="P214" s="21" t="n"/>
      <c r="Q214" s="21" t="n"/>
      <c r="R214" s="21" t="n"/>
      <c r="S214" s="21" t="n"/>
      <c r="T214" s="21" t="n"/>
      <c r="U214" s="21" t="n"/>
      <c r="V214" s="25">
        <f>TODAY()</f>
        <v/>
      </c>
    </row>
    <row r="215">
      <c r="A215" s="20" t="inlineStr">
        <is>
          <t>EV-202</t>
        </is>
      </c>
      <c r="B215" s="21" t="n"/>
      <c r="C215" s="21" t="n"/>
      <c r="D215" s="21" t="n"/>
      <c r="E215" s="21" t="n"/>
      <c r="F215" s="21" t="n"/>
      <c r="G215" s="21" t="n"/>
      <c r="H215" s="21" t="n"/>
      <c r="I215" s="21" t="n"/>
      <c r="J215" s="21" t="n"/>
      <c r="K215" s="21" t="n"/>
      <c r="L215" s="21" t="n"/>
      <c r="M215" s="21" t="n"/>
      <c r="N215" s="21" t="n"/>
      <c r="O215" s="25">
        <f>IF(OR(ISBLANK(I215),ISBLANK(N215)),"",EDATE(I215,IF(N215="1 year",12,IF(N215="3 years",36,IF(N215="5 years",60,IF(N215="7 years",84,600))))))</f>
        <v/>
      </c>
      <c r="P215" s="21" t="n"/>
      <c r="Q215" s="21" t="n"/>
      <c r="R215" s="21" t="n"/>
      <c r="S215" s="21" t="n"/>
      <c r="T215" s="21" t="n"/>
      <c r="U215" s="21" t="n"/>
      <c r="V215" s="25">
        <f>TODAY()</f>
        <v/>
      </c>
    </row>
    <row r="216">
      <c r="A216" s="20" t="inlineStr">
        <is>
          <t>EV-203</t>
        </is>
      </c>
      <c r="B216" s="21" t="n"/>
      <c r="C216" s="21" t="n"/>
      <c r="D216" s="21" t="n"/>
      <c r="E216" s="21" t="n"/>
      <c r="F216" s="21" t="n"/>
      <c r="G216" s="21" t="n"/>
      <c r="H216" s="21" t="n"/>
      <c r="I216" s="21" t="n"/>
      <c r="J216" s="21" t="n"/>
      <c r="K216" s="21" t="n"/>
      <c r="L216" s="21" t="n"/>
      <c r="M216" s="21" t="n"/>
      <c r="N216" s="21" t="n"/>
      <c r="O216" s="25">
        <f>IF(OR(ISBLANK(I216),ISBLANK(N216)),"",EDATE(I216,IF(N216="1 year",12,IF(N216="3 years",36,IF(N216="5 years",60,IF(N216="7 years",84,600))))))</f>
        <v/>
      </c>
      <c r="P216" s="21" t="n"/>
      <c r="Q216" s="21" t="n"/>
      <c r="R216" s="21" t="n"/>
      <c r="S216" s="21" t="n"/>
      <c r="T216" s="21" t="n"/>
      <c r="U216" s="21" t="n"/>
      <c r="V216" s="25">
        <f>TODAY()</f>
        <v/>
      </c>
    </row>
    <row r="217">
      <c r="A217" s="20" t="inlineStr">
        <is>
          <t>EV-204</t>
        </is>
      </c>
      <c r="B217" s="21" t="n"/>
      <c r="C217" s="21" t="n"/>
      <c r="D217" s="21" t="n"/>
      <c r="E217" s="21" t="n"/>
      <c r="F217" s="21" t="n"/>
      <c r="G217" s="21" t="n"/>
      <c r="H217" s="21" t="n"/>
      <c r="I217" s="21" t="n"/>
      <c r="J217" s="21" t="n"/>
      <c r="K217" s="21" t="n"/>
      <c r="L217" s="21" t="n"/>
      <c r="M217" s="21" t="n"/>
      <c r="N217" s="21" t="n"/>
      <c r="O217" s="25">
        <f>IF(OR(ISBLANK(I217),ISBLANK(N217)),"",EDATE(I217,IF(N217="1 year",12,IF(N217="3 years",36,IF(N217="5 years",60,IF(N217="7 years",84,600))))))</f>
        <v/>
      </c>
      <c r="P217" s="21" t="n"/>
      <c r="Q217" s="21" t="n"/>
      <c r="R217" s="21" t="n"/>
      <c r="S217" s="21" t="n"/>
      <c r="T217" s="21" t="n"/>
      <c r="U217" s="21" t="n"/>
      <c r="V217" s="25">
        <f>TODAY()</f>
        <v/>
      </c>
    </row>
    <row r="218">
      <c r="A218" s="20" t="inlineStr">
        <is>
          <t>EV-205</t>
        </is>
      </c>
      <c r="B218" s="21" t="n"/>
      <c r="C218" s="21" t="n"/>
      <c r="D218" s="21" t="n"/>
      <c r="E218" s="21" t="n"/>
      <c r="F218" s="21" t="n"/>
      <c r="G218" s="21" t="n"/>
      <c r="H218" s="21" t="n"/>
      <c r="I218" s="21" t="n"/>
      <c r="J218" s="21" t="n"/>
      <c r="K218" s="21" t="n"/>
      <c r="L218" s="21" t="n"/>
      <c r="M218" s="21" t="n"/>
      <c r="N218" s="21" t="n"/>
      <c r="O218" s="25">
        <f>IF(OR(ISBLANK(I218),ISBLANK(N218)),"",EDATE(I218,IF(N218="1 year",12,IF(N218="3 years",36,IF(N218="5 years",60,IF(N218="7 years",84,600))))))</f>
        <v/>
      </c>
      <c r="P218" s="21" t="n"/>
      <c r="Q218" s="21" t="n"/>
      <c r="R218" s="21" t="n"/>
      <c r="S218" s="21" t="n"/>
      <c r="T218" s="21" t="n"/>
      <c r="U218" s="21" t="n"/>
      <c r="V218" s="25">
        <f>TODAY()</f>
        <v/>
      </c>
    </row>
    <row r="219">
      <c r="A219" s="20" t="inlineStr">
        <is>
          <t>EV-206</t>
        </is>
      </c>
      <c r="B219" s="21" t="n"/>
      <c r="C219" s="21" t="n"/>
      <c r="D219" s="21" t="n"/>
      <c r="E219" s="21" t="n"/>
      <c r="F219" s="21" t="n"/>
      <c r="G219" s="21" t="n"/>
      <c r="H219" s="21" t="n"/>
      <c r="I219" s="21" t="n"/>
      <c r="J219" s="21" t="n"/>
      <c r="K219" s="21" t="n"/>
      <c r="L219" s="21" t="n"/>
      <c r="M219" s="21" t="n"/>
      <c r="N219" s="21" t="n"/>
      <c r="O219" s="25">
        <f>IF(OR(ISBLANK(I219),ISBLANK(N219)),"",EDATE(I219,IF(N219="1 year",12,IF(N219="3 years",36,IF(N219="5 years",60,IF(N219="7 years",84,600))))))</f>
        <v/>
      </c>
      <c r="P219" s="21" t="n"/>
      <c r="Q219" s="21" t="n"/>
      <c r="R219" s="21" t="n"/>
      <c r="S219" s="21" t="n"/>
      <c r="T219" s="21" t="n"/>
      <c r="U219" s="21" t="n"/>
      <c r="V219" s="25">
        <f>TODAY()</f>
        <v/>
      </c>
    </row>
    <row r="220">
      <c r="A220" s="20" t="inlineStr">
        <is>
          <t>EV-207</t>
        </is>
      </c>
      <c r="B220" s="21" t="n"/>
      <c r="C220" s="21" t="n"/>
      <c r="D220" s="21" t="n"/>
      <c r="E220" s="21" t="n"/>
      <c r="F220" s="21" t="n"/>
      <c r="G220" s="21" t="n"/>
      <c r="H220" s="21" t="n"/>
      <c r="I220" s="21" t="n"/>
      <c r="J220" s="21" t="n"/>
      <c r="K220" s="21" t="n"/>
      <c r="L220" s="21" t="n"/>
      <c r="M220" s="21" t="n"/>
      <c r="N220" s="21" t="n"/>
      <c r="O220" s="25">
        <f>IF(OR(ISBLANK(I220),ISBLANK(N220)),"",EDATE(I220,IF(N220="1 year",12,IF(N220="3 years",36,IF(N220="5 years",60,IF(N220="7 years",84,600))))))</f>
        <v/>
      </c>
      <c r="P220" s="21" t="n"/>
      <c r="Q220" s="21" t="n"/>
      <c r="R220" s="21" t="n"/>
      <c r="S220" s="21" t="n"/>
      <c r="T220" s="21" t="n"/>
      <c r="U220" s="21" t="n"/>
      <c r="V220" s="25">
        <f>TODAY()</f>
        <v/>
      </c>
    </row>
    <row r="221">
      <c r="A221" s="20" t="inlineStr">
        <is>
          <t>EV-208</t>
        </is>
      </c>
      <c r="B221" s="21" t="n"/>
      <c r="C221" s="21" t="n"/>
      <c r="D221" s="21" t="n"/>
      <c r="E221" s="21" t="n"/>
      <c r="F221" s="21" t="n"/>
      <c r="G221" s="21" t="n"/>
      <c r="H221" s="21" t="n"/>
      <c r="I221" s="21" t="n"/>
      <c r="J221" s="21" t="n"/>
      <c r="K221" s="21" t="n"/>
      <c r="L221" s="21" t="n"/>
      <c r="M221" s="21" t="n"/>
      <c r="N221" s="21" t="n"/>
      <c r="O221" s="25">
        <f>IF(OR(ISBLANK(I221),ISBLANK(N221)),"",EDATE(I221,IF(N221="1 year",12,IF(N221="3 years",36,IF(N221="5 years",60,IF(N221="7 years",84,600))))))</f>
        <v/>
      </c>
      <c r="P221" s="21" t="n"/>
      <c r="Q221" s="21" t="n"/>
      <c r="R221" s="21" t="n"/>
      <c r="S221" s="21" t="n"/>
      <c r="T221" s="21" t="n"/>
      <c r="U221" s="21" t="n"/>
      <c r="V221" s="25">
        <f>TODAY()</f>
        <v/>
      </c>
    </row>
    <row r="222">
      <c r="A222" s="20" t="inlineStr">
        <is>
          <t>EV-209</t>
        </is>
      </c>
      <c r="B222" s="21" t="n"/>
      <c r="C222" s="21" t="n"/>
      <c r="D222" s="21" t="n"/>
      <c r="E222" s="21" t="n"/>
      <c r="F222" s="21" t="n"/>
      <c r="G222" s="21" t="n"/>
      <c r="H222" s="21" t="n"/>
      <c r="I222" s="21" t="n"/>
      <c r="J222" s="21" t="n"/>
      <c r="K222" s="21" t="n"/>
      <c r="L222" s="21" t="n"/>
      <c r="M222" s="21" t="n"/>
      <c r="N222" s="21" t="n"/>
      <c r="O222" s="25">
        <f>IF(OR(ISBLANK(I222),ISBLANK(N222)),"",EDATE(I222,IF(N222="1 year",12,IF(N222="3 years",36,IF(N222="5 years",60,IF(N222="7 years",84,600))))))</f>
        <v/>
      </c>
      <c r="P222" s="21" t="n"/>
      <c r="Q222" s="21" t="n"/>
      <c r="R222" s="21" t="n"/>
      <c r="S222" s="21" t="n"/>
      <c r="T222" s="21" t="n"/>
      <c r="U222" s="21" t="n"/>
      <c r="V222" s="25">
        <f>TODAY()</f>
        <v/>
      </c>
    </row>
    <row r="223">
      <c r="A223" s="20" t="inlineStr">
        <is>
          <t>EV-210</t>
        </is>
      </c>
      <c r="B223" s="21" t="n"/>
      <c r="C223" s="21" t="n"/>
      <c r="D223" s="21" t="n"/>
      <c r="E223" s="21" t="n"/>
      <c r="F223" s="21" t="n"/>
      <c r="G223" s="21" t="n"/>
      <c r="H223" s="21" t="n"/>
      <c r="I223" s="21" t="n"/>
      <c r="J223" s="21" t="n"/>
      <c r="K223" s="21" t="n"/>
      <c r="L223" s="21" t="n"/>
      <c r="M223" s="21" t="n"/>
      <c r="N223" s="21" t="n"/>
      <c r="O223" s="25">
        <f>IF(OR(ISBLANK(I223),ISBLANK(N223)),"",EDATE(I223,IF(N223="1 year",12,IF(N223="3 years",36,IF(N223="5 years",60,IF(N223="7 years",84,600))))))</f>
        <v/>
      </c>
      <c r="P223" s="21" t="n"/>
      <c r="Q223" s="21" t="n"/>
      <c r="R223" s="21" t="n"/>
      <c r="S223" s="21" t="n"/>
      <c r="T223" s="21" t="n"/>
      <c r="U223" s="21" t="n"/>
      <c r="V223" s="25">
        <f>TODAY()</f>
        <v/>
      </c>
    </row>
    <row r="224">
      <c r="A224" s="20" t="inlineStr">
        <is>
          <t>EV-211</t>
        </is>
      </c>
      <c r="B224" s="21" t="n"/>
      <c r="C224" s="21" t="n"/>
      <c r="D224" s="21" t="n"/>
      <c r="E224" s="21" t="n"/>
      <c r="F224" s="21" t="n"/>
      <c r="G224" s="21" t="n"/>
      <c r="H224" s="21" t="n"/>
      <c r="I224" s="21" t="n"/>
      <c r="J224" s="21" t="n"/>
      <c r="K224" s="21" t="n"/>
      <c r="L224" s="21" t="n"/>
      <c r="M224" s="21" t="n"/>
      <c r="N224" s="21" t="n"/>
      <c r="O224" s="25">
        <f>IF(OR(ISBLANK(I224),ISBLANK(N224)),"",EDATE(I224,IF(N224="1 year",12,IF(N224="3 years",36,IF(N224="5 years",60,IF(N224="7 years",84,600))))))</f>
        <v/>
      </c>
      <c r="P224" s="21" t="n"/>
      <c r="Q224" s="21" t="n"/>
      <c r="R224" s="21" t="n"/>
      <c r="S224" s="21" t="n"/>
      <c r="T224" s="21" t="n"/>
      <c r="U224" s="21" t="n"/>
      <c r="V224" s="25">
        <f>TODAY()</f>
        <v/>
      </c>
    </row>
    <row r="225">
      <c r="A225" s="20" t="inlineStr">
        <is>
          <t>EV-212</t>
        </is>
      </c>
      <c r="B225" s="21" t="n"/>
      <c r="C225" s="21" t="n"/>
      <c r="D225" s="21" t="n"/>
      <c r="E225" s="21" t="n"/>
      <c r="F225" s="21" t="n"/>
      <c r="G225" s="21" t="n"/>
      <c r="H225" s="21" t="n"/>
      <c r="I225" s="21" t="n"/>
      <c r="J225" s="21" t="n"/>
      <c r="K225" s="21" t="n"/>
      <c r="L225" s="21" t="n"/>
      <c r="M225" s="21" t="n"/>
      <c r="N225" s="21" t="n"/>
      <c r="O225" s="25">
        <f>IF(OR(ISBLANK(I225),ISBLANK(N225)),"",EDATE(I225,IF(N225="1 year",12,IF(N225="3 years",36,IF(N225="5 years",60,IF(N225="7 years",84,600))))))</f>
        <v/>
      </c>
      <c r="P225" s="21" t="n"/>
      <c r="Q225" s="21" t="n"/>
      <c r="R225" s="21" t="n"/>
      <c r="S225" s="21" t="n"/>
      <c r="T225" s="21" t="n"/>
      <c r="U225" s="21" t="n"/>
      <c r="V225" s="25">
        <f>TODAY()</f>
        <v/>
      </c>
    </row>
    <row r="226">
      <c r="A226" s="20" t="inlineStr">
        <is>
          <t>EV-213</t>
        </is>
      </c>
      <c r="B226" s="21" t="n"/>
      <c r="C226" s="21" t="n"/>
      <c r="D226" s="21" t="n"/>
      <c r="E226" s="21" t="n"/>
      <c r="F226" s="21" t="n"/>
      <c r="G226" s="21" t="n"/>
      <c r="H226" s="21" t="n"/>
      <c r="I226" s="21" t="n"/>
      <c r="J226" s="21" t="n"/>
      <c r="K226" s="21" t="n"/>
      <c r="L226" s="21" t="n"/>
      <c r="M226" s="21" t="n"/>
      <c r="N226" s="21" t="n"/>
      <c r="O226" s="25">
        <f>IF(OR(ISBLANK(I226),ISBLANK(N226)),"",EDATE(I226,IF(N226="1 year",12,IF(N226="3 years",36,IF(N226="5 years",60,IF(N226="7 years",84,600))))))</f>
        <v/>
      </c>
      <c r="P226" s="21" t="n"/>
      <c r="Q226" s="21" t="n"/>
      <c r="R226" s="21" t="n"/>
      <c r="S226" s="21" t="n"/>
      <c r="T226" s="21" t="n"/>
      <c r="U226" s="21" t="n"/>
      <c r="V226" s="25">
        <f>TODAY()</f>
        <v/>
      </c>
    </row>
    <row r="227">
      <c r="A227" s="20" t="inlineStr">
        <is>
          <t>EV-214</t>
        </is>
      </c>
      <c r="B227" s="21" t="n"/>
      <c r="C227" s="21" t="n"/>
      <c r="D227" s="21" t="n"/>
      <c r="E227" s="21" t="n"/>
      <c r="F227" s="21" t="n"/>
      <c r="G227" s="21" t="n"/>
      <c r="H227" s="21" t="n"/>
      <c r="I227" s="21" t="n"/>
      <c r="J227" s="21" t="n"/>
      <c r="K227" s="21" t="n"/>
      <c r="L227" s="21" t="n"/>
      <c r="M227" s="21" t="n"/>
      <c r="N227" s="21" t="n"/>
      <c r="O227" s="25">
        <f>IF(OR(ISBLANK(I227),ISBLANK(N227)),"",EDATE(I227,IF(N227="1 year",12,IF(N227="3 years",36,IF(N227="5 years",60,IF(N227="7 years",84,600))))))</f>
        <v/>
      </c>
      <c r="P227" s="21" t="n"/>
      <c r="Q227" s="21" t="n"/>
      <c r="R227" s="21" t="n"/>
      <c r="S227" s="21" t="n"/>
      <c r="T227" s="21" t="n"/>
      <c r="U227" s="21" t="n"/>
      <c r="V227" s="25">
        <f>TODAY()</f>
        <v/>
      </c>
    </row>
    <row r="228">
      <c r="A228" s="20" t="inlineStr">
        <is>
          <t>EV-215</t>
        </is>
      </c>
      <c r="B228" s="21" t="n"/>
      <c r="C228" s="21" t="n"/>
      <c r="D228" s="21" t="n"/>
      <c r="E228" s="21" t="n"/>
      <c r="F228" s="21" t="n"/>
      <c r="G228" s="21" t="n"/>
      <c r="H228" s="21" t="n"/>
      <c r="I228" s="21" t="n"/>
      <c r="J228" s="21" t="n"/>
      <c r="K228" s="21" t="n"/>
      <c r="L228" s="21" t="n"/>
      <c r="M228" s="21" t="n"/>
      <c r="N228" s="21" t="n"/>
      <c r="O228" s="25">
        <f>IF(OR(ISBLANK(I228),ISBLANK(N228)),"",EDATE(I228,IF(N228="1 year",12,IF(N228="3 years",36,IF(N228="5 years",60,IF(N228="7 years",84,600))))))</f>
        <v/>
      </c>
      <c r="P228" s="21" t="n"/>
      <c r="Q228" s="21" t="n"/>
      <c r="R228" s="21" t="n"/>
      <c r="S228" s="21" t="n"/>
      <c r="T228" s="21" t="n"/>
      <c r="U228" s="21" t="n"/>
      <c r="V228" s="25">
        <f>TODAY()</f>
        <v/>
      </c>
    </row>
    <row r="229">
      <c r="A229" s="20" t="inlineStr">
        <is>
          <t>EV-216</t>
        </is>
      </c>
      <c r="B229" s="21" t="n"/>
      <c r="C229" s="21" t="n"/>
      <c r="D229" s="21" t="n"/>
      <c r="E229" s="21" t="n"/>
      <c r="F229" s="21" t="n"/>
      <c r="G229" s="21" t="n"/>
      <c r="H229" s="21" t="n"/>
      <c r="I229" s="21" t="n"/>
      <c r="J229" s="21" t="n"/>
      <c r="K229" s="21" t="n"/>
      <c r="L229" s="21" t="n"/>
      <c r="M229" s="21" t="n"/>
      <c r="N229" s="21" t="n"/>
      <c r="O229" s="25">
        <f>IF(OR(ISBLANK(I229),ISBLANK(N229)),"",EDATE(I229,IF(N229="1 year",12,IF(N229="3 years",36,IF(N229="5 years",60,IF(N229="7 years",84,600))))))</f>
        <v/>
      </c>
      <c r="P229" s="21" t="n"/>
      <c r="Q229" s="21" t="n"/>
      <c r="R229" s="21" t="n"/>
      <c r="S229" s="21" t="n"/>
      <c r="T229" s="21" t="n"/>
      <c r="U229" s="21" t="n"/>
      <c r="V229" s="25">
        <f>TODAY()</f>
        <v/>
      </c>
    </row>
    <row r="230">
      <c r="A230" s="20" t="inlineStr">
        <is>
          <t>EV-217</t>
        </is>
      </c>
      <c r="B230" s="21" t="n"/>
      <c r="C230" s="21" t="n"/>
      <c r="D230" s="21" t="n"/>
      <c r="E230" s="21" t="n"/>
      <c r="F230" s="21" t="n"/>
      <c r="G230" s="21" t="n"/>
      <c r="H230" s="21" t="n"/>
      <c r="I230" s="21" t="n"/>
      <c r="J230" s="21" t="n"/>
      <c r="K230" s="21" t="n"/>
      <c r="L230" s="21" t="n"/>
      <c r="M230" s="21" t="n"/>
      <c r="N230" s="21" t="n"/>
      <c r="O230" s="25">
        <f>IF(OR(ISBLANK(I230),ISBLANK(N230)),"",EDATE(I230,IF(N230="1 year",12,IF(N230="3 years",36,IF(N230="5 years",60,IF(N230="7 years",84,600))))))</f>
        <v/>
      </c>
      <c r="P230" s="21" t="n"/>
      <c r="Q230" s="21" t="n"/>
      <c r="R230" s="21" t="n"/>
      <c r="S230" s="21" t="n"/>
      <c r="T230" s="21" t="n"/>
      <c r="U230" s="21" t="n"/>
      <c r="V230" s="25">
        <f>TODAY()</f>
        <v/>
      </c>
    </row>
    <row r="231">
      <c r="A231" s="20" t="inlineStr">
        <is>
          <t>EV-218</t>
        </is>
      </c>
      <c r="B231" s="21" t="n"/>
      <c r="C231" s="21" t="n"/>
      <c r="D231" s="21" t="n"/>
      <c r="E231" s="21" t="n"/>
      <c r="F231" s="21" t="n"/>
      <c r="G231" s="21" t="n"/>
      <c r="H231" s="21" t="n"/>
      <c r="I231" s="21" t="n"/>
      <c r="J231" s="21" t="n"/>
      <c r="K231" s="21" t="n"/>
      <c r="L231" s="21" t="n"/>
      <c r="M231" s="21" t="n"/>
      <c r="N231" s="21" t="n"/>
      <c r="O231" s="25">
        <f>IF(OR(ISBLANK(I231),ISBLANK(N231)),"",EDATE(I231,IF(N231="1 year",12,IF(N231="3 years",36,IF(N231="5 years",60,IF(N231="7 years",84,600))))))</f>
        <v/>
      </c>
      <c r="P231" s="21" t="n"/>
      <c r="Q231" s="21" t="n"/>
      <c r="R231" s="21" t="n"/>
      <c r="S231" s="21" t="n"/>
      <c r="T231" s="21" t="n"/>
      <c r="U231" s="21" t="n"/>
      <c r="V231" s="25">
        <f>TODAY()</f>
        <v/>
      </c>
    </row>
    <row r="232">
      <c r="A232" s="20" t="inlineStr">
        <is>
          <t>EV-219</t>
        </is>
      </c>
      <c r="B232" s="21" t="n"/>
      <c r="C232" s="21" t="n"/>
      <c r="D232" s="21" t="n"/>
      <c r="E232" s="21" t="n"/>
      <c r="F232" s="21" t="n"/>
      <c r="G232" s="21" t="n"/>
      <c r="H232" s="21" t="n"/>
      <c r="I232" s="21" t="n"/>
      <c r="J232" s="21" t="n"/>
      <c r="K232" s="21" t="n"/>
      <c r="L232" s="21" t="n"/>
      <c r="M232" s="21" t="n"/>
      <c r="N232" s="21" t="n"/>
      <c r="O232" s="25">
        <f>IF(OR(ISBLANK(I232),ISBLANK(N232)),"",EDATE(I232,IF(N232="1 year",12,IF(N232="3 years",36,IF(N232="5 years",60,IF(N232="7 years",84,600))))))</f>
        <v/>
      </c>
      <c r="P232" s="21" t="n"/>
      <c r="Q232" s="21" t="n"/>
      <c r="R232" s="21" t="n"/>
      <c r="S232" s="21" t="n"/>
      <c r="T232" s="21" t="n"/>
      <c r="U232" s="21" t="n"/>
      <c r="V232" s="25">
        <f>TODAY()</f>
        <v/>
      </c>
    </row>
    <row r="233">
      <c r="A233" s="20" t="inlineStr">
        <is>
          <t>EV-220</t>
        </is>
      </c>
      <c r="B233" s="21" t="n"/>
      <c r="C233" s="21" t="n"/>
      <c r="D233" s="21" t="n"/>
      <c r="E233" s="21" t="n"/>
      <c r="F233" s="21" t="n"/>
      <c r="G233" s="21" t="n"/>
      <c r="H233" s="21" t="n"/>
      <c r="I233" s="21" t="n"/>
      <c r="J233" s="21" t="n"/>
      <c r="K233" s="21" t="n"/>
      <c r="L233" s="21" t="n"/>
      <c r="M233" s="21" t="n"/>
      <c r="N233" s="21" t="n"/>
      <c r="O233" s="25">
        <f>IF(OR(ISBLANK(I233),ISBLANK(N233)),"",EDATE(I233,IF(N233="1 year",12,IF(N233="3 years",36,IF(N233="5 years",60,IF(N233="7 years",84,600))))))</f>
        <v/>
      </c>
      <c r="P233" s="21" t="n"/>
      <c r="Q233" s="21" t="n"/>
      <c r="R233" s="21" t="n"/>
      <c r="S233" s="21" t="n"/>
      <c r="T233" s="21" t="n"/>
      <c r="U233" s="21" t="n"/>
      <c r="V233" s="25">
        <f>TODAY()</f>
        <v/>
      </c>
    </row>
    <row r="234">
      <c r="A234" s="20" t="inlineStr">
        <is>
          <t>EV-221</t>
        </is>
      </c>
      <c r="B234" s="21" t="n"/>
      <c r="C234" s="21" t="n"/>
      <c r="D234" s="21" t="n"/>
      <c r="E234" s="21" t="n"/>
      <c r="F234" s="21" t="n"/>
      <c r="G234" s="21" t="n"/>
      <c r="H234" s="21" t="n"/>
      <c r="I234" s="21" t="n"/>
      <c r="J234" s="21" t="n"/>
      <c r="K234" s="21" t="n"/>
      <c r="L234" s="21" t="n"/>
      <c r="M234" s="21" t="n"/>
      <c r="N234" s="21" t="n"/>
      <c r="O234" s="25">
        <f>IF(OR(ISBLANK(I234),ISBLANK(N234)),"",EDATE(I234,IF(N234="1 year",12,IF(N234="3 years",36,IF(N234="5 years",60,IF(N234="7 years",84,600))))))</f>
        <v/>
      </c>
      <c r="P234" s="21" t="n"/>
      <c r="Q234" s="21" t="n"/>
      <c r="R234" s="21" t="n"/>
      <c r="S234" s="21" t="n"/>
      <c r="T234" s="21" t="n"/>
      <c r="U234" s="21" t="n"/>
      <c r="V234" s="25">
        <f>TODAY()</f>
        <v/>
      </c>
    </row>
    <row r="235">
      <c r="A235" s="20" t="inlineStr">
        <is>
          <t>EV-222</t>
        </is>
      </c>
      <c r="B235" s="21" t="n"/>
      <c r="C235" s="21" t="n"/>
      <c r="D235" s="21" t="n"/>
      <c r="E235" s="21" t="n"/>
      <c r="F235" s="21" t="n"/>
      <c r="G235" s="21" t="n"/>
      <c r="H235" s="21" t="n"/>
      <c r="I235" s="21" t="n"/>
      <c r="J235" s="21" t="n"/>
      <c r="K235" s="21" t="n"/>
      <c r="L235" s="21" t="n"/>
      <c r="M235" s="21" t="n"/>
      <c r="N235" s="21" t="n"/>
      <c r="O235" s="25">
        <f>IF(OR(ISBLANK(I235),ISBLANK(N235)),"",EDATE(I235,IF(N235="1 year",12,IF(N235="3 years",36,IF(N235="5 years",60,IF(N235="7 years",84,600))))))</f>
        <v/>
      </c>
      <c r="P235" s="21" t="n"/>
      <c r="Q235" s="21" t="n"/>
      <c r="R235" s="21" t="n"/>
      <c r="S235" s="21" t="n"/>
      <c r="T235" s="21" t="n"/>
      <c r="U235" s="21" t="n"/>
      <c r="V235" s="25">
        <f>TODAY()</f>
        <v/>
      </c>
    </row>
    <row r="236">
      <c r="A236" s="20" t="inlineStr">
        <is>
          <t>EV-223</t>
        </is>
      </c>
      <c r="B236" s="21" t="n"/>
      <c r="C236" s="21" t="n"/>
      <c r="D236" s="21" t="n"/>
      <c r="E236" s="21" t="n"/>
      <c r="F236" s="21" t="n"/>
      <c r="G236" s="21" t="n"/>
      <c r="H236" s="21" t="n"/>
      <c r="I236" s="21" t="n"/>
      <c r="J236" s="21" t="n"/>
      <c r="K236" s="21" t="n"/>
      <c r="L236" s="21" t="n"/>
      <c r="M236" s="21" t="n"/>
      <c r="N236" s="21" t="n"/>
      <c r="O236" s="25">
        <f>IF(OR(ISBLANK(I236),ISBLANK(N236)),"",EDATE(I236,IF(N236="1 year",12,IF(N236="3 years",36,IF(N236="5 years",60,IF(N236="7 years",84,600))))))</f>
        <v/>
      </c>
      <c r="P236" s="21" t="n"/>
      <c r="Q236" s="21" t="n"/>
      <c r="R236" s="21" t="n"/>
      <c r="S236" s="21" t="n"/>
      <c r="T236" s="21" t="n"/>
      <c r="U236" s="21" t="n"/>
      <c r="V236" s="25">
        <f>TODAY()</f>
        <v/>
      </c>
    </row>
    <row r="237">
      <c r="A237" s="20" t="inlineStr">
        <is>
          <t>EV-224</t>
        </is>
      </c>
      <c r="B237" s="21" t="n"/>
      <c r="C237" s="21" t="n"/>
      <c r="D237" s="21" t="n"/>
      <c r="E237" s="21" t="n"/>
      <c r="F237" s="21" t="n"/>
      <c r="G237" s="21" t="n"/>
      <c r="H237" s="21" t="n"/>
      <c r="I237" s="21" t="n"/>
      <c r="J237" s="21" t="n"/>
      <c r="K237" s="21" t="n"/>
      <c r="L237" s="21" t="n"/>
      <c r="M237" s="21" t="n"/>
      <c r="N237" s="21" t="n"/>
      <c r="O237" s="25">
        <f>IF(OR(ISBLANK(I237),ISBLANK(N237)),"",EDATE(I237,IF(N237="1 year",12,IF(N237="3 years",36,IF(N237="5 years",60,IF(N237="7 years",84,600))))))</f>
        <v/>
      </c>
      <c r="P237" s="21" t="n"/>
      <c r="Q237" s="21" t="n"/>
      <c r="R237" s="21" t="n"/>
      <c r="S237" s="21" t="n"/>
      <c r="T237" s="21" t="n"/>
      <c r="U237" s="21" t="n"/>
      <c r="V237" s="25">
        <f>TODAY()</f>
        <v/>
      </c>
    </row>
    <row r="238">
      <c r="A238" s="20" t="inlineStr">
        <is>
          <t>EV-225</t>
        </is>
      </c>
      <c r="B238" s="21" t="n"/>
      <c r="C238" s="21" t="n"/>
      <c r="D238" s="21" t="n"/>
      <c r="E238" s="21" t="n"/>
      <c r="F238" s="21" t="n"/>
      <c r="G238" s="21" t="n"/>
      <c r="H238" s="21" t="n"/>
      <c r="I238" s="21" t="n"/>
      <c r="J238" s="21" t="n"/>
      <c r="K238" s="21" t="n"/>
      <c r="L238" s="21" t="n"/>
      <c r="M238" s="21" t="n"/>
      <c r="N238" s="21" t="n"/>
      <c r="O238" s="25">
        <f>IF(OR(ISBLANK(I238),ISBLANK(N238)),"",EDATE(I238,IF(N238="1 year",12,IF(N238="3 years",36,IF(N238="5 years",60,IF(N238="7 years",84,600))))))</f>
        <v/>
      </c>
      <c r="P238" s="21" t="n"/>
      <c r="Q238" s="21" t="n"/>
      <c r="R238" s="21" t="n"/>
      <c r="S238" s="21" t="n"/>
      <c r="T238" s="21" t="n"/>
      <c r="U238" s="21" t="n"/>
      <c r="V238" s="25">
        <f>TODAY()</f>
        <v/>
      </c>
    </row>
    <row r="239">
      <c r="A239" s="20" t="inlineStr">
        <is>
          <t>EV-226</t>
        </is>
      </c>
      <c r="B239" s="21" t="n"/>
      <c r="C239" s="21" t="n"/>
      <c r="D239" s="21" t="n"/>
      <c r="E239" s="21" t="n"/>
      <c r="F239" s="21" t="n"/>
      <c r="G239" s="21" t="n"/>
      <c r="H239" s="21" t="n"/>
      <c r="I239" s="21" t="n"/>
      <c r="J239" s="21" t="n"/>
      <c r="K239" s="21" t="n"/>
      <c r="L239" s="21" t="n"/>
      <c r="M239" s="21" t="n"/>
      <c r="N239" s="21" t="n"/>
      <c r="O239" s="25">
        <f>IF(OR(ISBLANK(I239),ISBLANK(N239)),"",EDATE(I239,IF(N239="1 year",12,IF(N239="3 years",36,IF(N239="5 years",60,IF(N239="7 years",84,600))))))</f>
        <v/>
      </c>
      <c r="P239" s="21" t="n"/>
      <c r="Q239" s="21" t="n"/>
      <c r="R239" s="21" t="n"/>
      <c r="S239" s="21" t="n"/>
      <c r="T239" s="21" t="n"/>
      <c r="U239" s="21" t="n"/>
      <c r="V239" s="25">
        <f>TODAY()</f>
        <v/>
      </c>
    </row>
    <row r="240">
      <c r="A240" s="20" t="inlineStr">
        <is>
          <t>EV-227</t>
        </is>
      </c>
      <c r="B240" s="21" t="n"/>
      <c r="C240" s="21" t="n"/>
      <c r="D240" s="21" t="n"/>
      <c r="E240" s="21" t="n"/>
      <c r="F240" s="21" t="n"/>
      <c r="G240" s="21" t="n"/>
      <c r="H240" s="21" t="n"/>
      <c r="I240" s="21" t="n"/>
      <c r="J240" s="21" t="n"/>
      <c r="K240" s="21" t="n"/>
      <c r="L240" s="21" t="n"/>
      <c r="M240" s="21" t="n"/>
      <c r="N240" s="21" t="n"/>
      <c r="O240" s="25">
        <f>IF(OR(ISBLANK(I240),ISBLANK(N240)),"",EDATE(I240,IF(N240="1 year",12,IF(N240="3 years",36,IF(N240="5 years",60,IF(N240="7 years",84,600))))))</f>
        <v/>
      </c>
      <c r="P240" s="21" t="n"/>
      <c r="Q240" s="21" t="n"/>
      <c r="R240" s="21" t="n"/>
      <c r="S240" s="21" t="n"/>
      <c r="T240" s="21" t="n"/>
      <c r="U240" s="21" t="n"/>
      <c r="V240" s="25">
        <f>TODAY()</f>
        <v/>
      </c>
    </row>
    <row r="241">
      <c r="A241" s="20" t="inlineStr">
        <is>
          <t>EV-228</t>
        </is>
      </c>
      <c r="B241" s="21" t="n"/>
      <c r="C241" s="21" t="n"/>
      <c r="D241" s="21" t="n"/>
      <c r="E241" s="21" t="n"/>
      <c r="F241" s="21" t="n"/>
      <c r="G241" s="21" t="n"/>
      <c r="H241" s="21" t="n"/>
      <c r="I241" s="21" t="n"/>
      <c r="J241" s="21" t="n"/>
      <c r="K241" s="21" t="n"/>
      <c r="L241" s="21" t="n"/>
      <c r="M241" s="21" t="n"/>
      <c r="N241" s="21" t="n"/>
      <c r="O241" s="25">
        <f>IF(OR(ISBLANK(I241),ISBLANK(N241)),"",EDATE(I241,IF(N241="1 year",12,IF(N241="3 years",36,IF(N241="5 years",60,IF(N241="7 years",84,600))))))</f>
        <v/>
      </c>
      <c r="P241" s="21" t="n"/>
      <c r="Q241" s="21" t="n"/>
      <c r="R241" s="21" t="n"/>
      <c r="S241" s="21" t="n"/>
      <c r="T241" s="21" t="n"/>
      <c r="U241" s="21" t="n"/>
      <c r="V241" s="25">
        <f>TODAY()</f>
        <v/>
      </c>
    </row>
    <row r="242">
      <c r="A242" s="20" t="inlineStr">
        <is>
          <t>EV-229</t>
        </is>
      </c>
      <c r="B242" s="21" t="n"/>
      <c r="C242" s="21" t="n"/>
      <c r="D242" s="21" t="n"/>
      <c r="E242" s="21" t="n"/>
      <c r="F242" s="21" t="n"/>
      <c r="G242" s="21" t="n"/>
      <c r="H242" s="21" t="n"/>
      <c r="I242" s="21" t="n"/>
      <c r="J242" s="21" t="n"/>
      <c r="K242" s="21" t="n"/>
      <c r="L242" s="21" t="n"/>
      <c r="M242" s="21" t="n"/>
      <c r="N242" s="21" t="n"/>
      <c r="O242" s="25">
        <f>IF(OR(ISBLANK(I242),ISBLANK(N242)),"",EDATE(I242,IF(N242="1 year",12,IF(N242="3 years",36,IF(N242="5 years",60,IF(N242="7 years",84,600))))))</f>
        <v/>
      </c>
      <c r="P242" s="21" t="n"/>
      <c r="Q242" s="21" t="n"/>
      <c r="R242" s="21" t="n"/>
      <c r="S242" s="21" t="n"/>
      <c r="T242" s="21" t="n"/>
      <c r="U242" s="21" t="n"/>
      <c r="V242" s="25">
        <f>TODAY()</f>
        <v/>
      </c>
    </row>
    <row r="243">
      <c r="A243" s="20" t="inlineStr">
        <is>
          <t>EV-230</t>
        </is>
      </c>
      <c r="B243" s="21" t="n"/>
      <c r="C243" s="21" t="n"/>
      <c r="D243" s="21" t="n"/>
      <c r="E243" s="21" t="n"/>
      <c r="F243" s="21" t="n"/>
      <c r="G243" s="21" t="n"/>
      <c r="H243" s="21" t="n"/>
      <c r="I243" s="21" t="n"/>
      <c r="J243" s="21" t="n"/>
      <c r="K243" s="21" t="n"/>
      <c r="L243" s="21" t="n"/>
      <c r="M243" s="21" t="n"/>
      <c r="N243" s="21" t="n"/>
      <c r="O243" s="25">
        <f>IF(OR(ISBLANK(I243),ISBLANK(N243)),"",EDATE(I243,IF(N243="1 year",12,IF(N243="3 years",36,IF(N243="5 years",60,IF(N243="7 years",84,600))))))</f>
        <v/>
      </c>
      <c r="P243" s="21" t="n"/>
      <c r="Q243" s="21" t="n"/>
      <c r="R243" s="21" t="n"/>
      <c r="S243" s="21" t="n"/>
      <c r="T243" s="21" t="n"/>
      <c r="U243" s="21" t="n"/>
      <c r="V243" s="25">
        <f>TODAY()</f>
        <v/>
      </c>
    </row>
    <row r="244">
      <c r="A244" s="20" t="inlineStr">
        <is>
          <t>EV-231</t>
        </is>
      </c>
      <c r="B244" s="21" t="n"/>
      <c r="C244" s="21" t="n"/>
      <c r="D244" s="21" t="n"/>
      <c r="E244" s="21" t="n"/>
      <c r="F244" s="21" t="n"/>
      <c r="G244" s="21" t="n"/>
      <c r="H244" s="21" t="n"/>
      <c r="I244" s="21" t="n"/>
      <c r="J244" s="21" t="n"/>
      <c r="K244" s="21" t="n"/>
      <c r="L244" s="21" t="n"/>
      <c r="M244" s="21" t="n"/>
      <c r="N244" s="21" t="n"/>
      <c r="O244" s="25">
        <f>IF(OR(ISBLANK(I244),ISBLANK(N244)),"",EDATE(I244,IF(N244="1 year",12,IF(N244="3 years",36,IF(N244="5 years",60,IF(N244="7 years",84,600))))))</f>
        <v/>
      </c>
      <c r="P244" s="21" t="n"/>
      <c r="Q244" s="21" t="n"/>
      <c r="R244" s="21" t="n"/>
      <c r="S244" s="21" t="n"/>
      <c r="T244" s="21" t="n"/>
      <c r="U244" s="21" t="n"/>
      <c r="V244" s="25">
        <f>TODAY()</f>
        <v/>
      </c>
    </row>
    <row r="245">
      <c r="A245" s="20" t="inlineStr">
        <is>
          <t>EV-232</t>
        </is>
      </c>
      <c r="B245" s="21" t="n"/>
      <c r="C245" s="21" t="n"/>
      <c r="D245" s="21" t="n"/>
      <c r="E245" s="21" t="n"/>
      <c r="F245" s="21" t="n"/>
      <c r="G245" s="21" t="n"/>
      <c r="H245" s="21" t="n"/>
      <c r="I245" s="21" t="n"/>
      <c r="J245" s="21" t="n"/>
      <c r="K245" s="21" t="n"/>
      <c r="L245" s="21" t="n"/>
      <c r="M245" s="21" t="n"/>
      <c r="N245" s="21" t="n"/>
      <c r="O245" s="25">
        <f>IF(OR(ISBLANK(I245),ISBLANK(N245)),"",EDATE(I245,IF(N245="1 year",12,IF(N245="3 years",36,IF(N245="5 years",60,IF(N245="7 years",84,600))))))</f>
        <v/>
      </c>
      <c r="P245" s="21" t="n"/>
      <c r="Q245" s="21" t="n"/>
      <c r="R245" s="21" t="n"/>
      <c r="S245" s="21" t="n"/>
      <c r="T245" s="21" t="n"/>
      <c r="U245" s="21" t="n"/>
      <c r="V245" s="25">
        <f>TODAY()</f>
        <v/>
      </c>
    </row>
    <row r="246">
      <c r="A246" s="20" t="inlineStr">
        <is>
          <t>EV-233</t>
        </is>
      </c>
      <c r="B246" s="21" t="n"/>
      <c r="C246" s="21" t="n"/>
      <c r="D246" s="21" t="n"/>
      <c r="E246" s="21" t="n"/>
      <c r="F246" s="21" t="n"/>
      <c r="G246" s="21" t="n"/>
      <c r="H246" s="21" t="n"/>
      <c r="I246" s="21" t="n"/>
      <c r="J246" s="21" t="n"/>
      <c r="K246" s="21" t="n"/>
      <c r="L246" s="21" t="n"/>
      <c r="M246" s="21" t="n"/>
      <c r="N246" s="21" t="n"/>
      <c r="O246" s="25">
        <f>IF(OR(ISBLANK(I246),ISBLANK(N246)),"",EDATE(I246,IF(N246="1 year",12,IF(N246="3 years",36,IF(N246="5 years",60,IF(N246="7 years",84,600))))))</f>
        <v/>
      </c>
      <c r="P246" s="21" t="n"/>
      <c r="Q246" s="21" t="n"/>
      <c r="R246" s="21" t="n"/>
      <c r="S246" s="21" t="n"/>
      <c r="T246" s="21" t="n"/>
      <c r="U246" s="21" t="n"/>
      <c r="V246" s="25">
        <f>TODAY()</f>
        <v/>
      </c>
    </row>
    <row r="247">
      <c r="A247" s="20" t="inlineStr">
        <is>
          <t>EV-234</t>
        </is>
      </c>
      <c r="B247" s="21" t="n"/>
      <c r="C247" s="21" t="n"/>
      <c r="D247" s="21" t="n"/>
      <c r="E247" s="21" t="n"/>
      <c r="F247" s="21" t="n"/>
      <c r="G247" s="21" t="n"/>
      <c r="H247" s="21" t="n"/>
      <c r="I247" s="21" t="n"/>
      <c r="J247" s="21" t="n"/>
      <c r="K247" s="21" t="n"/>
      <c r="L247" s="21" t="n"/>
      <c r="M247" s="21" t="n"/>
      <c r="N247" s="21" t="n"/>
      <c r="O247" s="25">
        <f>IF(OR(ISBLANK(I247),ISBLANK(N247)),"",EDATE(I247,IF(N247="1 year",12,IF(N247="3 years",36,IF(N247="5 years",60,IF(N247="7 years",84,600))))))</f>
        <v/>
      </c>
      <c r="P247" s="21" t="n"/>
      <c r="Q247" s="21" t="n"/>
      <c r="R247" s="21" t="n"/>
      <c r="S247" s="21" t="n"/>
      <c r="T247" s="21" t="n"/>
      <c r="U247" s="21" t="n"/>
      <c r="V247" s="25">
        <f>TODAY()</f>
        <v/>
      </c>
    </row>
    <row r="248">
      <c r="A248" s="20" t="inlineStr">
        <is>
          <t>EV-235</t>
        </is>
      </c>
      <c r="B248" s="21" t="n"/>
      <c r="C248" s="21" t="n"/>
      <c r="D248" s="21" t="n"/>
      <c r="E248" s="21" t="n"/>
      <c r="F248" s="21" t="n"/>
      <c r="G248" s="21" t="n"/>
      <c r="H248" s="21" t="n"/>
      <c r="I248" s="21" t="n"/>
      <c r="J248" s="21" t="n"/>
      <c r="K248" s="21" t="n"/>
      <c r="L248" s="21" t="n"/>
      <c r="M248" s="21" t="n"/>
      <c r="N248" s="21" t="n"/>
      <c r="O248" s="25">
        <f>IF(OR(ISBLANK(I248),ISBLANK(N248)),"",EDATE(I248,IF(N248="1 year",12,IF(N248="3 years",36,IF(N248="5 years",60,IF(N248="7 years",84,600))))))</f>
        <v/>
      </c>
      <c r="P248" s="21" t="n"/>
      <c r="Q248" s="21" t="n"/>
      <c r="R248" s="21" t="n"/>
      <c r="S248" s="21" t="n"/>
      <c r="T248" s="21" t="n"/>
      <c r="U248" s="21" t="n"/>
      <c r="V248" s="25">
        <f>TODAY()</f>
        <v/>
      </c>
    </row>
    <row r="249">
      <c r="A249" s="20" t="inlineStr">
        <is>
          <t>EV-236</t>
        </is>
      </c>
      <c r="B249" s="21" t="n"/>
      <c r="C249" s="21" t="n"/>
      <c r="D249" s="21" t="n"/>
      <c r="E249" s="21" t="n"/>
      <c r="F249" s="21" t="n"/>
      <c r="G249" s="21" t="n"/>
      <c r="H249" s="21" t="n"/>
      <c r="I249" s="21" t="n"/>
      <c r="J249" s="21" t="n"/>
      <c r="K249" s="21" t="n"/>
      <c r="L249" s="21" t="n"/>
      <c r="M249" s="21" t="n"/>
      <c r="N249" s="21" t="n"/>
      <c r="O249" s="25">
        <f>IF(OR(ISBLANK(I249),ISBLANK(N249)),"",EDATE(I249,IF(N249="1 year",12,IF(N249="3 years",36,IF(N249="5 years",60,IF(N249="7 years",84,600))))))</f>
        <v/>
      </c>
      <c r="P249" s="21" t="n"/>
      <c r="Q249" s="21" t="n"/>
      <c r="R249" s="21" t="n"/>
      <c r="S249" s="21" t="n"/>
      <c r="T249" s="21" t="n"/>
      <c r="U249" s="21" t="n"/>
      <c r="V249" s="25">
        <f>TODAY()</f>
        <v/>
      </c>
    </row>
    <row r="250">
      <c r="A250" s="20" t="inlineStr">
        <is>
          <t>EV-237</t>
        </is>
      </c>
      <c r="B250" s="21" t="n"/>
      <c r="C250" s="21" t="n"/>
      <c r="D250" s="21" t="n"/>
      <c r="E250" s="21" t="n"/>
      <c r="F250" s="21" t="n"/>
      <c r="G250" s="21" t="n"/>
      <c r="H250" s="21" t="n"/>
      <c r="I250" s="21" t="n"/>
      <c r="J250" s="21" t="n"/>
      <c r="K250" s="21" t="n"/>
      <c r="L250" s="21" t="n"/>
      <c r="M250" s="21" t="n"/>
      <c r="N250" s="21" t="n"/>
      <c r="O250" s="25">
        <f>IF(OR(ISBLANK(I250),ISBLANK(N250)),"",EDATE(I250,IF(N250="1 year",12,IF(N250="3 years",36,IF(N250="5 years",60,IF(N250="7 years",84,600))))))</f>
        <v/>
      </c>
      <c r="P250" s="21" t="n"/>
      <c r="Q250" s="21" t="n"/>
      <c r="R250" s="21" t="n"/>
      <c r="S250" s="21" t="n"/>
      <c r="T250" s="21" t="n"/>
      <c r="U250" s="21" t="n"/>
      <c r="V250" s="25">
        <f>TODAY()</f>
        <v/>
      </c>
    </row>
    <row r="251">
      <c r="A251" s="20" t="inlineStr">
        <is>
          <t>EV-238</t>
        </is>
      </c>
      <c r="B251" s="21" t="n"/>
      <c r="C251" s="21" t="n"/>
      <c r="D251" s="21" t="n"/>
      <c r="E251" s="21" t="n"/>
      <c r="F251" s="21" t="n"/>
      <c r="G251" s="21" t="n"/>
      <c r="H251" s="21" t="n"/>
      <c r="I251" s="21" t="n"/>
      <c r="J251" s="21" t="n"/>
      <c r="K251" s="21" t="n"/>
      <c r="L251" s="21" t="n"/>
      <c r="M251" s="21" t="n"/>
      <c r="N251" s="21" t="n"/>
      <c r="O251" s="25">
        <f>IF(OR(ISBLANK(I251),ISBLANK(N251)),"",EDATE(I251,IF(N251="1 year",12,IF(N251="3 years",36,IF(N251="5 years",60,IF(N251="7 years",84,600))))))</f>
        <v/>
      </c>
      <c r="P251" s="21" t="n"/>
      <c r="Q251" s="21" t="n"/>
      <c r="R251" s="21" t="n"/>
      <c r="S251" s="21" t="n"/>
      <c r="T251" s="21" t="n"/>
      <c r="U251" s="21" t="n"/>
      <c r="V251" s="25">
        <f>TODAY()</f>
        <v/>
      </c>
    </row>
    <row r="252">
      <c r="A252" s="20" t="inlineStr">
        <is>
          <t>EV-239</t>
        </is>
      </c>
      <c r="B252" s="21" t="n"/>
      <c r="C252" s="21" t="n"/>
      <c r="D252" s="21" t="n"/>
      <c r="E252" s="21" t="n"/>
      <c r="F252" s="21" t="n"/>
      <c r="G252" s="21" t="n"/>
      <c r="H252" s="21" t="n"/>
      <c r="I252" s="21" t="n"/>
      <c r="J252" s="21" t="n"/>
      <c r="K252" s="21" t="n"/>
      <c r="L252" s="21" t="n"/>
      <c r="M252" s="21" t="n"/>
      <c r="N252" s="21" t="n"/>
      <c r="O252" s="25">
        <f>IF(OR(ISBLANK(I252),ISBLANK(N252)),"",EDATE(I252,IF(N252="1 year",12,IF(N252="3 years",36,IF(N252="5 years",60,IF(N252="7 years",84,600))))))</f>
        <v/>
      </c>
      <c r="P252" s="21" t="n"/>
      <c r="Q252" s="21" t="n"/>
      <c r="R252" s="21" t="n"/>
      <c r="S252" s="21" t="n"/>
      <c r="T252" s="21" t="n"/>
      <c r="U252" s="21" t="n"/>
      <c r="V252" s="25">
        <f>TODAY()</f>
        <v/>
      </c>
    </row>
    <row r="253">
      <c r="A253" s="20" t="inlineStr">
        <is>
          <t>EV-240</t>
        </is>
      </c>
      <c r="B253" s="21" t="n"/>
      <c r="C253" s="21" t="n"/>
      <c r="D253" s="21" t="n"/>
      <c r="E253" s="21" t="n"/>
      <c r="F253" s="21" t="n"/>
      <c r="G253" s="21" t="n"/>
      <c r="H253" s="21" t="n"/>
      <c r="I253" s="21" t="n"/>
      <c r="J253" s="21" t="n"/>
      <c r="K253" s="21" t="n"/>
      <c r="L253" s="21" t="n"/>
      <c r="M253" s="21" t="n"/>
      <c r="N253" s="21" t="n"/>
      <c r="O253" s="25">
        <f>IF(OR(ISBLANK(I253),ISBLANK(N253)),"",EDATE(I253,IF(N253="1 year",12,IF(N253="3 years",36,IF(N253="5 years",60,IF(N253="7 years",84,600))))))</f>
        <v/>
      </c>
      <c r="P253" s="21" t="n"/>
      <c r="Q253" s="21" t="n"/>
      <c r="R253" s="21" t="n"/>
      <c r="S253" s="21" t="n"/>
      <c r="T253" s="21" t="n"/>
      <c r="U253" s="21" t="n"/>
      <c r="V253" s="25">
        <f>TODAY()</f>
        <v/>
      </c>
    </row>
    <row r="254">
      <c r="A254" s="20" t="inlineStr">
        <is>
          <t>EV-241</t>
        </is>
      </c>
      <c r="B254" s="21" t="n"/>
      <c r="C254" s="21" t="n"/>
      <c r="D254" s="21" t="n"/>
      <c r="E254" s="21" t="n"/>
      <c r="F254" s="21" t="n"/>
      <c r="G254" s="21" t="n"/>
      <c r="H254" s="21" t="n"/>
      <c r="I254" s="21" t="n"/>
      <c r="J254" s="21" t="n"/>
      <c r="K254" s="21" t="n"/>
      <c r="L254" s="21" t="n"/>
      <c r="M254" s="21" t="n"/>
      <c r="N254" s="21" t="n"/>
      <c r="O254" s="25">
        <f>IF(OR(ISBLANK(I254),ISBLANK(N254)),"",EDATE(I254,IF(N254="1 year",12,IF(N254="3 years",36,IF(N254="5 years",60,IF(N254="7 years",84,600))))))</f>
        <v/>
      </c>
      <c r="P254" s="21" t="n"/>
      <c r="Q254" s="21" t="n"/>
      <c r="R254" s="21" t="n"/>
      <c r="S254" s="21" t="n"/>
      <c r="T254" s="21" t="n"/>
      <c r="U254" s="21" t="n"/>
      <c r="V254" s="25">
        <f>TODAY()</f>
        <v/>
      </c>
    </row>
    <row r="255">
      <c r="A255" s="20" t="inlineStr">
        <is>
          <t>EV-242</t>
        </is>
      </c>
      <c r="B255" s="21" t="n"/>
      <c r="C255" s="21" t="n"/>
      <c r="D255" s="21" t="n"/>
      <c r="E255" s="21" t="n"/>
      <c r="F255" s="21" t="n"/>
      <c r="G255" s="21" t="n"/>
      <c r="H255" s="21" t="n"/>
      <c r="I255" s="21" t="n"/>
      <c r="J255" s="21" t="n"/>
      <c r="K255" s="21" t="n"/>
      <c r="L255" s="21" t="n"/>
      <c r="M255" s="21" t="n"/>
      <c r="N255" s="21" t="n"/>
      <c r="O255" s="25">
        <f>IF(OR(ISBLANK(I255),ISBLANK(N255)),"",EDATE(I255,IF(N255="1 year",12,IF(N255="3 years",36,IF(N255="5 years",60,IF(N255="7 years",84,600))))))</f>
        <v/>
      </c>
      <c r="P255" s="21" t="n"/>
      <c r="Q255" s="21" t="n"/>
      <c r="R255" s="21" t="n"/>
      <c r="S255" s="21" t="n"/>
      <c r="T255" s="21" t="n"/>
      <c r="U255" s="21" t="n"/>
      <c r="V255" s="25">
        <f>TODAY()</f>
        <v/>
      </c>
    </row>
    <row r="256">
      <c r="A256" s="20" t="inlineStr">
        <is>
          <t>EV-243</t>
        </is>
      </c>
      <c r="B256" s="21" t="n"/>
      <c r="C256" s="21" t="n"/>
      <c r="D256" s="21" t="n"/>
      <c r="E256" s="21" t="n"/>
      <c r="F256" s="21" t="n"/>
      <c r="G256" s="21" t="n"/>
      <c r="H256" s="21" t="n"/>
      <c r="I256" s="21" t="n"/>
      <c r="J256" s="21" t="n"/>
      <c r="K256" s="21" t="n"/>
      <c r="L256" s="21" t="n"/>
      <c r="M256" s="21" t="n"/>
      <c r="N256" s="21" t="n"/>
      <c r="O256" s="25">
        <f>IF(OR(ISBLANK(I256),ISBLANK(N256)),"",EDATE(I256,IF(N256="1 year",12,IF(N256="3 years",36,IF(N256="5 years",60,IF(N256="7 years",84,600))))))</f>
        <v/>
      </c>
      <c r="P256" s="21" t="n"/>
      <c r="Q256" s="21" t="n"/>
      <c r="R256" s="21" t="n"/>
      <c r="S256" s="21" t="n"/>
      <c r="T256" s="21" t="n"/>
      <c r="U256" s="21" t="n"/>
      <c r="V256" s="25">
        <f>TODAY()</f>
        <v/>
      </c>
    </row>
    <row r="257">
      <c r="A257" s="20" t="inlineStr">
        <is>
          <t>EV-244</t>
        </is>
      </c>
      <c r="B257" s="21" t="n"/>
      <c r="C257" s="21" t="n"/>
      <c r="D257" s="21" t="n"/>
      <c r="E257" s="21" t="n"/>
      <c r="F257" s="21" t="n"/>
      <c r="G257" s="21" t="n"/>
      <c r="H257" s="21" t="n"/>
      <c r="I257" s="21" t="n"/>
      <c r="J257" s="21" t="n"/>
      <c r="K257" s="21" t="n"/>
      <c r="L257" s="21" t="n"/>
      <c r="M257" s="21" t="n"/>
      <c r="N257" s="21" t="n"/>
      <c r="O257" s="25">
        <f>IF(OR(ISBLANK(I257),ISBLANK(N257)),"",EDATE(I257,IF(N257="1 year",12,IF(N257="3 years",36,IF(N257="5 years",60,IF(N257="7 years",84,600))))))</f>
        <v/>
      </c>
      <c r="P257" s="21" t="n"/>
      <c r="Q257" s="21" t="n"/>
      <c r="R257" s="21" t="n"/>
      <c r="S257" s="21" t="n"/>
      <c r="T257" s="21" t="n"/>
      <c r="U257" s="21" t="n"/>
      <c r="V257" s="25">
        <f>TODAY()</f>
        <v/>
      </c>
    </row>
    <row r="258">
      <c r="A258" s="20" t="inlineStr">
        <is>
          <t>EV-245</t>
        </is>
      </c>
      <c r="B258" s="21" t="n"/>
      <c r="C258" s="21" t="n"/>
      <c r="D258" s="21" t="n"/>
      <c r="E258" s="21" t="n"/>
      <c r="F258" s="21" t="n"/>
      <c r="G258" s="21" t="n"/>
      <c r="H258" s="21" t="n"/>
      <c r="I258" s="21" t="n"/>
      <c r="J258" s="21" t="n"/>
      <c r="K258" s="21" t="n"/>
      <c r="L258" s="21" t="n"/>
      <c r="M258" s="21" t="n"/>
      <c r="N258" s="21" t="n"/>
      <c r="O258" s="25">
        <f>IF(OR(ISBLANK(I258),ISBLANK(N258)),"",EDATE(I258,IF(N258="1 year",12,IF(N258="3 years",36,IF(N258="5 years",60,IF(N258="7 years",84,600))))))</f>
        <v/>
      </c>
      <c r="P258" s="21" t="n"/>
      <c r="Q258" s="21" t="n"/>
      <c r="R258" s="21" t="n"/>
      <c r="S258" s="21" t="n"/>
      <c r="T258" s="21" t="n"/>
      <c r="U258" s="21" t="n"/>
      <c r="V258" s="25">
        <f>TODAY()</f>
        <v/>
      </c>
    </row>
    <row r="259">
      <c r="A259" s="20" t="inlineStr">
        <is>
          <t>EV-246</t>
        </is>
      </c>
      <c r="B259" s="21" t="n"/>
      <c r="C259" s="21" t="n"/>
      <c r="D259" s="21" t="n"/>
      <c r="E259" s="21" t="n"/>
      <c r="F259" s="21" t="n"/>
      <c r="G259" s="21" t="n"/>
      <c r="H259" s="21" t="n"/>
      <c r="I259" s="21" t="n"/>
      <c r="J259" s="21" t="n"/>
      <c r="K259" s="21" t="n"/>
      <c r="L259" s="21" t="n"/>
      <c r="M259" s="21" t="n"/>
      <c r="N259" s="21" t="n"/>
      <c r="O259" s="25">
        <f>IF(OR(ISBLANK(I259),ISBLANK(N259)),"",EDATE(I259,IF(N259="1 year",12,IF(N259="3 years",36,IF(N259="5 years",60,IF(N259="7 years",84,600))))))</f>
        <v/>
      </c>
      <c r="P259" s="21" t="n"/>
      <c r="Q259" s="21" t="n"/>
      <c r="R259" s="21" t="n"/>
      <c r="S259" s="21" t="n"/>
      <c r="T259" s="21" t="n"/>
      <c r="U259" s="21" t="n"/>
      <c r="V259" s="25">
        <f>TODAY()</f>
        <v/>
      </c>
    </row>
    <row r="260">
      <c r="A260" s="20" t="inlineStr">
        <is>
          <t>EV-247</t>
        </is>
      </c>
      <c r="B260" s="21" t="n"/>
      <c r="C260" s="21" t="n"/>
      <c r="D260" s="21" t="n"/>
      <c r="E260" s="21" t="n"/>
      <c r="F260" s="21" t="n"/>
      <c r="G260" s="21" t="n"/>
      <c r="H260" s="21" t="n"/>
      <c r="I260" s="21" t="n"/>
      <c r="J260" s="21" t="n"/>
      <c r="K260" s="21" t="n"/>
      <c r="L260" s="21" t="n"/>
      <c r="M260" s="21" t="n"/>
      <c r="N260" s="21" t="n"/>
      <c r="O260" s="25">
        <f>IF(OR(ISBLANK(I260),ISBLANK(N260)),"",EDATE(I260,IF(N260="1 year",12,IF(N260="3 years",36,IF(N260="5 years",60,IF(N260="7 years",84,600))))))</f>
        <v/>
      </c>
      <c r="P260" s="21" t="n"/>
      <c r="Q260" s="21" t="n"/>
      <c r="R260" s="21" t="n"/>
      <c r="S260" s="21" t="n"/>
      <c r="T260" s="21" t="n"/>
      <c r="U260" s="21" t="n"/>
      <c r="V260" s="25">
        <f>TODAY()</f>
        <v/>
      </c>
    </row>
    <row r="261">
      <c r="A261" s="20" t="inlineStr">
        <is>
          <t>EV-248</t>
        </is>
      </c>
      <c r="B261" s="21" t="n"/>
      <c r="C261" s="21" t="n"/>
      <c r="D261" s="21" t="n"/>
      <c r="E261" s="21" t="n"/>
      <c r="F261" s="21" t="n"/>
      <c r="G261" s="21" t="n"/>
      <c r="H261" s="21" t="n"/>
      <c r="I261" s="21" t="n"/>
      <c r="J261" s="21" t="n"/>
      <c r="K261" s="21" t="n"/>
      <c r="L261" s="21" t="n"/>
      <c r="M261" s="21" t="n"/>
      <c r="N261" s="21" t="n"/>
      <c r="O261" s="25">
        <f>IF(OR(ISBLANK(I261),ISBLANK(N261)),"",EDATE(I261,IF(N261="1 year",12,IF(N261="3 years",36,IF(N261="5 years",60,IF(N261="7 years",84,600))))))</f>
        <v/>
      </c>
      <c r="P261" s="21" t="n"/>
      <c r="Q261" s="21" t="n"/>
      <c r="R261" s="21" t="n"/>
      <c r="S261" s="21" t="n"/>
      <c r="T261" s="21" t="n"/>
      <c r="U261" s="21" t="n"/>
      <c r="V261" s="25">
        <f>TODAY()</f>
        <v/>
      </c>
    </row>
    <row r="262">
      <c r="A262" s="20" t="inlineStr">
        <is>
          <t>EV-249</t>
        </is>
      </c>
      <c r="B262" s="21" t="n"/>
      <c r="C262" s="21" t="n"/>
      <c r="D262" s="21" t="n"/>
      <c r="E262" s="21" t="n"/>
      <c r="F262" s="21" t="n"/>
      <c r="G262" s="21" t="n"/>
      <c r="H262" s="21" t="n"/>
      <c r="I262" s="21" t="n"/>
      <c r="J262" s="21" t="n"/>
      <c r="K262" s="21" t="n"/>
      <c r="L262" s="21" t="n"/>
      <c r="M262" s="21" t="n"/>
      <c r="N262" s="21" t="n"/>
      <c r="O262" s="25">
        <f>IF(OR(ISBLANK(I262),ISBLANK(N262)),"",EDATE(I262,IF(N262="1 year",12,IF(N262="3 years",36,IF(N262="5 years",60,IF(N262="7 years",84,600))))))</f>
        <v/>
      </c>
      <c r="P262" s="21" t="n"/>
      <c r="Q262" s="21" t="n"/>
      <c r="R262" s="21" t="n"/>
      <c r="S262" s="21" t="n"/>
      <c r="T262" s="21" t="n"/>
      <c r="U262" s="21" t="n"/>
      <c r="V262" s="25">
        <f>TODAY()</f>
        <v/>
      </c>
    </row>
    <row r="263">
      <c r="A263" s="20" t="inlineStr">
        <is>
          <t>EV-250</t>
        </is>
      </c>
      <c r="B263" s="21" t="n"/>
      <c r="C263" s="21" t="n"/>
      <c r="D263" s="21" t="n"/>
      <c r="E263" s="21" t="n"/>
      <c r="F263" s="21" t="n"/>
      <c r="G263" s="21" t="n"/>
      <c r="H263" s="21" t="n"/>
      <c r="I263" s="21" t="n"/>
      <c r="J263" s="21" t="n"/>
      <c r="K263" s="21" t="n"/>
      <c r="L263" s="21" t="n"/>
      <c r="M263" s="21" t="n"/>
      <c r="N263" s="21" t="n"/>
      <c r="O263" s="25">
        <f>IF(OR(ISBLANK(I263),ISBLANK(N263)),"",EDATE(I263,IF(N263="1 year",12,IF(N263="3 years",36,IF(N263="5 years",60,IF(N263="7 years",84,600))))))</f>
        <v/>
      </c>
      <c r="P263" s="21" t="n"/>
      <c r="Q263" s="21" t="n"/>
      <c r="R263" s="21" t="n"/>
      <c r="S263" s="21" t="n"/>
      <c r="T263" s="21" t="n"/>
      <c r="U263" s="21" t="n"/>
      <c r="V263" s="25">
        <f>TODAY()</f>
        <v/>
      </c>
    </row>
    <row r="264">
      <c r="A264" s="20" t="inlineStr">
        <is>
          <t>EV-251</t>
        </is>
      </c>
      <c r="B264" s="21" t="n"/>
      <c r="C264" s="21" t="n"/>
      <c r="D264" s="21" t="n"/>
      <c r="E264" s="21" t="n"/>
      <c r="F264" s="21" t="n"/>
      <c r="G264" s="21" t="n"/>
      <c r="H264" s="21" t="n"/>
      <c r="I264" s="21" t="n"/>
      <c r="J264" s="21" t="n"/>
      <c r="K264" s="21" t="n"/>
      <c r="L264" s="21" t="n"/>
      <c r="M264" s="21" t="n"/>
      <c r="N264" s="21" t="n"/>
      <c r="O264" s="25">
        <f>IF(OR(ISBLANK(I264),ISBLANK(N264)),"",EDATE(I264,IF(N264="1 year",12,IF(N264="3 years",36,IF(N264="5 years",60,IF(N264="7 years",84,600))))))</f>
        <v/>
      </c>
      <c r="P264" s="21" t="n"/>
      <c r="Q264" s="21" t="n"/>
      <c r="R264" s="21" t="n"/>
      <c r="S264" s="21" t="n"/>
      <c r="T264" s="21" t="n"/>
      <c r="U264" s="21" t="n"/>
      <c r="V264" s="25">
        <f>TODAY()</f>
        <v/>
      </c>
    </row>
    <row r="265">
      <c r="A265" s="20" t="inlineStr">
        <is>
          <t>EV-252</t>
        </is>
      </c>
      <c r="B265" s="21" t="n"/>
      <c r="C265" s="21" t="n"/>
      <c r="D265" s="21" t="n"/>
      <c r="E265" s="21" t="n"/>
      <c r="F265" s="21" t="n"/>
      <c r="G265" s="21" t="n"/>
      <c r="H265" s="21" t="n"/>
      <c r="I265" s="21" t="n"/>
      <c r="J265" s="21" t="n"/>
      <c r="K265" s="21" t="n"/>
      <c r="L265" s="21" t="n"/>
      <c r="M265" s="21" t="n"/>
      <c r="N265" s="21" t="n"/>
      <c r="O265" s="25">
        <f>IF(OR(ISBLANK(I265),ISBLANK(N265)),"",EDATE(I265,IF(N265="1 year",12,IF(N265="3 years",36,IF(N265="5 years",60,IF(N265="7 years",84,600))))))</f>
        <v/>
      </c>
      <c r="P265" s="21" t="n"/>
      <c r="Q265" s="21" t="n"/>
      <c r="R265" s="21" t="n"/>
      <c r="S265" s="21" t="n"/>
      <c r="T265" s="21" t="n"/>
      <c r="U265" s="21" t="n"/>
      <c r="V265" s="25">
        <f>TODAY()</f>
        <v/>
      </c>
    </row>
    <row r="266">
      <c r="A266" s="20" t="inlineStr">
        <is>
          <t>EV-253</t>
        </is>
      </c>
      <c r="B266" s="21" t="n"/>
      <c r="C266" s="21" t="n"/>
      <c r="D266" s="21" t="n"/>
      <c r="E266" s="21" t="n"/>
      <c r="F266" s="21" t="n"/>
      <c r="G266" s="21" t="n"/>
      <c r="H266" s="21" t="n"/>
      <c r="I266" s="21" t="n"/>
      <c r="J266" s="21" t="n"/>
      <c r="K266" s="21" t="n"/>
      <c r="L266" s="21" t="n"/>
      <c r="M266" s="21" t="n"/>
      <c r="N266" s="21" t="n"/>
      <c r="O266" s="25">
        <f>IF(OR(ISBLANK(I266),ISBLANK(N266)),"",EDATE(I266,IF(N266="1 year",12,IF(N266="3 years",36,IF(N266="5 years",60,IF(N266="7 years",84,600))))))</f>
        <v/>
      </c>
      <c r="P266" s="21" t="n"/>
      <c r="Q266" s="21" t="n"/>
      <c r="R266" s="21" t="n"/>
      <c r="S266" s="21" t="n"/>
      <c r="T266" s="21" t="n"/>
      <c r="U266" s="21" t="n"/>
      <c r="V266" s="25">
        <f>TODAY()</f>
        <v/>
      </c>
    </row>
    <row r="267">
      <c r="A267" s="20" t="inlineStr">
        <is>
          <t>EV-254</t>
        </is>
      </c>
      <c r="B267" s="21" t="n"/>
      <c r="C267" s="21" t="n"/>
      <c r="D267" s="21" t="n"/>
      <c r="E267" s="21" t="n"/>
      <c r="F267" s="21" t="n"/>
      <c r="G267" s="21" t="n"/>
      <c r="H267" s="21" t="n"/>
      <c r="I267" s="21" t="n"/>
      <c r="J267" s="21" t="n"/>
      <c r="K267" s="21" t="n"/>
      <c r="L267" s="21" t="n"/>
      <c r="M267" s="21" t="n"/>
      <c r="N267" s="21" t="n"/>
      <c r="O267" s="25">
        <f>IF(OR(ISBLANK(I267),ISBLANK(N267)),"",EDATE(I267,IF(N267="1 year",12,IF(N267="3 years",36,IF(N267="5 years",60,IF(N267="7 years",84,600))))))</f>
        <v/>
      </c>
      <c r="P267" s="21" t="n"/>
      <c r="Q267" s="21" t="n"/>
      <c r="R267" s="21" t="n"/>
      <c r="S267" s="21" t="n"/>
      <c r="T267" s="21" t="n"/>
      <c r="U267" s="21" t="n"/>
      <c r="V267" s="25">
        <f>TODAY()</f>
        <v/>
      </c>
    </row>
    <row r="268">
      <c r="A268" s="20" t="inlineStr">
        <is>
          <t>EV-255</t>
        </is>
      </c>
      <c r="B268" s="21" t="n"/>
      <c r="C268" s="21" t="n"/>
      <c r="D268" s="21" t="n"/>
      <c r="E268" s="21" t="n"/>
      <c r="F268" s="21" t="n"/>
      <c r="G268" s="21" t="n"/>
      <c r="H268" s="21" t="n"/>
      <c r="I268" s="21" t="n"/>
      <c r="J268" s="21" t="n"/>
      <c r="K268" s="21" t="n"/>
      <c r="L268" s="21" t="n"/>
      <c r="M268" s="21" t="n"/>
      <c r="N268" s="21" t="n"/>
      <c r="O268" s="25">
        <f>IF(OR(ISBLANK(I268),ISBLANK(N268)),"",EDATE(I268,IF(N268="1 year",12,IF(N268="3 years",36,IF(N268="5 years",60,IF(N268="7 years",84,600))))))</f>
        <v/>
      </c>
      <c r="P268" s="21" t="n"/>
      <c r="Q268" s="21" t="n"/>
      <c r="R268" s="21" t="n"/>
      <c r="S268" s="21" t="n"/>
      <c r="T268" s="21" t="n"/>
      <c r="U268" s="21" t="n"/>
      <c r="V268" s="25">
        <f>TODAY()</f>
        <v/>
      </c>
    </row>
    <row r="269">
      <c r="A269" s="20" t="inlineStr">
        <is>
          <t>EV-256</t>
        </is>
      </c>
      <c r="B269" s="21" t="n"/>
      <c r="C269" s="21" t="n"/>
      <c r="D269" s="21" t="n"/>
      <c r="E269" s="21" t="n"/>
      <c r="F269" s="21" t="n"/>
      <c r="G269" s="21" t="n"/>
      <c r="H269" s="21" t="n"/>
      <c r="I269" s="21" t="n"/>
      <c r="J269" s="21" t="n"/>
      <c r="K269" s="21" t="n"/>
      <c r="L269" s="21" t="n"/>
      <c r="M269" s="21" t="n"/>
      <c r="N269" s="21" t="n"/>
      <c r="O269" s="25">
        <f>IF(OR(ISBLANK(I269),ISBLANK(N269)),"",EDATE(I269,IF(N269="1 year",12,IF(N269="3 years",36,IF(N269="5 years",60,IF(N269="7 years",84,600))))))</f>
        <v/>
      </c>
      <c r="P269" s="21" t="n"/>
      <c r="Q269" s="21" t="n"/>
      <c r="R269" s="21" t="n"/>
      <c r="S269" s="21" t="n"/>
      <c r="T269" s="21" t="n"/>
      <c r="U269" s="21" t="n"/>
      <c r="V269" s="25">
        <f>TODAY()</f>
        <v/>
      </c>
    </row>
    <row r="270">
      <c r="A270" s="20" t="inlineStr">
        <is>
          <t>EV-257</t>
        </is>
      </c>
      <c r="B270" s="21" t="n"/>
      <c r="C270" s="21" t="n"/>
      <c r="D270" s="21" t="n"/>
      <c r="E270" s="21" t="n"/>
      <c r="F270" s="21" t="n"/>
      <c r="G270" s="21" t="n"/>
      <c r="H270" s="21" t="n"/>
      <c r="I270" s="21" t="n"/>
      <c r="J270" s="21" t="n"/>
      <c r="K270" s="21" t="n"/>
      <c r="L270" s="21" t="n"/>
      <c r="M270" s="21" t="n"/>
      <c r="N270" s="21" t="n"/>
      <c r="O270" s="25">
        <f>IF(OR(ISBLANK(I270),ISBLANK(N270)),"",EDATE(I270,IF(N270="1 year",12,IF(N270="3 years",36,IF(N270="5 years",60,IF(N270="7 years",84,600))))))</f>
        <v/>
      </c>
      <c r="P270" s="21" t="n"/>
      <c r="Q270" s="21" t="n"/>
      <c r="R270" s="21" t="n"/>
      <c r="S270" s="21" t="n"/>
      <c r="T270" s="21" t="n"/>
      <c r="U270" s="21" t="n"/>
      <c r="V270" s="25">
        <f>TODAY()</f>
        <v/>
      </c>
    </row>
    <row r="271">
      <c r="A271" s="20" t="inlineStr">
        <is>
          <t>EV-258</t>
        </is>
      </c>
      <c r="B271" s="21" t="n"/>
      <c r="C271" s="21" t="n"/>
      <c r="D271" s="21" t="n"/>
      <c r="E271" s="21" t="n"/>
      <c r="F271" s="21" t="n"/>
      <c r="G271" s="21" t="n"/>
      <c r="H271" s="21" t="n"/>
      <c r="I271" s="21" t="n"/>
      <c r="J271" s="21" t="n"/>
      <c r="K271" s="21" t="n"/>
      <c r="L271" s="21" t="n"/>
      <c r="M271" s="21" t="n"/>
      <c r="N271" s="21" t="n"/>
      <c r="O271" s="25">
        <f>IF(OR(ISBLANK(I271),ISBLANK(N271)),"",EDATE(I271,IF(N271="1 year",12,IF(N271="3 years",36,IF(N271="5 years",60,IF(N271="7 years",84,600))))))</f>
        <v/>
      </c>
      <c r="P271" s="21" t="n"/>
      <c r="Q271" s="21" t="n"/>
      <c r="R271" s="21" t="n"/>
      <c r="S271" s="21" t="n"/>
      <c r="T271" s="21" t="n"/>
      <c r="U271" s="21" t="n"/>
      <c r="V271" s="25">
        <f>TODAY()</f>
        <v/>
      </c>
    </row>
    <row r="272">
      <c r="A272" s="20" t="inlineStr">
        <is>
          <t>EV-259</t>
        </is>
      </c>
      <c r="B272" s="21" t="n"/>
      <c r="C272" s="21" t="n"/>
      <c r="D272" s="21" t="n"/>
      <c r="E272" s="21" t="n"/>
      <c r="F272" s="21" t="n"/>
      <c r="G272" s="21" t="n"/>
      <c r="H272" s="21" t="n"/>
      <c r="I272" s="21" t="n"/>
      <c r="J272" s="21" t="n"/>
      <c r="K272" s="21" t="n"/>
      <c r="L272" s="21" t="n"/>
      <c r="M272" s="21" t="n"/>
      <c r="N272" s="21" t="n"/>
      <c r="O272" s="25">
        <f>IF(OR(ISBLANK(I272),ISBLANK(N272)),"",EDATE(I272,IF(N272="1 year",12,IF(N272="3 years",36,IF(N272="5 years",60,IF(N272="7 years",84,600))))))</f>
        <v/>
      </c>
      <c r="P272" s="21" t="n"/>
      <c r="Q272" s="21" t="n"/>
      <c r="R272" s="21" t="n"/>
      <c r="S272" s="21" t="n"/>
      <c r="T272" s="21" t="n"/>
      <c r="U272" s="21" t="n"/>
      <c r="V272" s="25">
        <f>TODAY()</f>
        <v/>
      </c>
    </row>
    <row r="273">
      <c r="A273" s="20" t="inlineStr">
        <is>
          <t>EV-260</t>
        </is>
      </c>
      <c r="B273" s="21" t="n"/>
      <c r="C273" s="21" t="n"/>
      <c r="D273" s="21" t="n"/>
      <c r="E273" s="21" t="n"/>
      <c r="F273" s="21" t="n"/>
      <c r="G273" s="21" t="n"/>
      <c r="H273" s="21" t="n"/>
      <c r="I273" s="21" t="n"/>
      <c r="J273" s="21" t="n"/>
      <c r="K273" s="21" t="n"/>
      <c r="L273" s="21" t="n"/>
      <c r="M273" s="21" t="n"/>
      <c r="N273" s="21" t="n"/>
      <c r="O273" s="25">
        <f>IF(OR(ISBLANK(I273),ISBLANK(N273)),"",EDATE(I273,IF(N273="1 year",12,IF(N273="3 years",36,IF(N273="5 years",60,IF(N273="7 years",84,600))))))</f>
        <v/>
      </c>
      <c r="P273" s="21" t="n"/>
      <c r="Q273" s="21" t="n"/>
      <c r="R273" s="21" t="n"/>
      <c r="S273" s="21" t="n"/>
      <c r="T273" s="21" t="n"/>
      <c r="U273" s="21" t="n"/>
      <c r="V273" s="25">
        <f>TODAY()</f>
        <v/>
      </c>
    </row>
    <row r="274">
      <c r="A274" s="20" t="inlineStr">
        <is>
          <t>EV-261</t>
        </is>
      </c>
      <c r="B274" s="21" t="n"/>
      <c r="C274" s="21" t="n"/>
      <c r="D274" s="21" t="n"/>
      <c r="E274" s="21" t="n"/>
      <c r="F274" s="21" t="n"/>
      <c r="G274" s="21" t="n"/>
      <c r="H274" s="21" t="n"/>
      <c r="I274" s="21" t="n"/>
      <c r="J274" s="21" t="n"/>
      <c r="K274" s="21" t="n"/>
      <c r="L274" s="21" t="n"/>
      <c r="M274" s="21" t="n"/>
      <c r="N274" s="21" t="n"/>
      <c r="O274" s="25">
        <f>IF(OR(ISBLANK(I274),ISBLANK(N274)),"",EDATE(I274,IF(N274="1 year",12,IF(N274="3 years",36,IF(N274="5 years",60,IF(N274="7 years",84,600))))))</f>
        <v/>
      </c>
      <c r="P274" s="21" t="n"/>
      <c r="Q274" s="21" t="n"/>
      <c r="R274" s="21" t="n"/>
      <c r="S274" s="21" t="n"/>
      <c r="T274" s="21" t="n"/>
      <c r="U274" s="21" t="n"/>
      <c r="V274" s="25">
        <f>TODAY()</f>
        <v/>
      </c>
    </row>
    <row r="275">
      <c r="A275" s="20" t="inlineStr">
        <is>
          <t>EV-262</t>
        </is>
      </c>
      <c r="B275" s="21" t="n"/>
      <c r="C275" s="21" t="n"/>
      <c r="D275" s="21" t="n"/>
      <c r="E275" s="21" t="n"/>
      <c r="F275" s="21" t="n"/>
      <c r="G275" s="21" t="n"/>
      <c r="H275" s="21" t="n"/>
      <c r="I275" s="21" t="n"/>
      <c r="J275" s="21" t="n"/>
      <c r="K275" s="21" t="n"/>
      <c r="L275" s="21" t="n"/>
      <c r="M275" s="21" t="n"/>
      <c r="N275" s="21" t="n"/>
      <c r="O275" s="25">
        <f>IF(OR(ISBLANK(I275),ISBLANK(N275)),"",EDATE(I275,IF(N275="1 year",12,IF(N275="3 years",36,IF(N275="5 years",60,IF(N275="7 years",84,600))))))</f>
        <v/>
      </c>
      <c r="P275" s="21" t="n"/>
      <c r="Q275" s="21" t="n"/>
      <c r="R275" s="21" t="n"/>
      <c r="S275" s="21" t="n"/>
      <c r="T275" s="21" t="n"/>
      <c r="U275" s="21" t="n"/>
      <c r="V275" s="25">
        <f>TODAY()</f>
        <v/>
      </c>
    </row>
    <row r="276">
      <c r="A276" s="20" t="inlineStr">
        <is>
          <t>EV-263</t>
        </is>
      </c>
      <c r="B276" s="21" t="n"/>
      <c r="C276" s="21" t="n"/>
      <c r="D276" s="21" t="n"/>
      <c r="E276" s="21" t="n"/>
      <c r="F276" s="21" t="n"/>
      <c r="G276" s="21" t="n"/>
      <c r="H276" s="21" t="n"/>
      <c r="I276" s="21" t="n"/>
      <c r="J276" s="21" t="n"/>
      <c r="K276" s="21" t="n"/>
      <c r="L276" s="21" t="n"/>
      <c r="M276" s="21" t="n"/>
      <c r="N276" s="21" t="n"/>
      <c r="O276" s="25">
        <f>IF(OR(ISBLANK(I276),ISBLANK(N276)),"",EDATE(I276,IF(N276="1 year",12,IF(N276="3 years",36,IF(N276="5 years",60,IF(N276="7 years",84,600))))))</f>
        <v/>
      </c>
      <c r="P276" s="21" t="n"/>
      <c r="Q276" s="21" t="n"/>
      <c r="R276" s="21" t="n"/>
      <c r="S276" s="21" t="n"/>
      <c r="T276" s="21" t="n"/>
      <c r="U276" s="21" t="n"/>
      <c r="V276" s="25">
        <f>TODAY()</f>
        <v/>
      </c>
    </row>
    <row r="277">
      <c r="A277" s="20" t="inlineStr">
        <is>
          <t>EV-264</t>
        </is>
      </c>
      <c r="B277" s="21" t="n"/>
      <c r="C277" s="21" t="n"/>
      <c r="D277" s="21" t="n"/>
      <c r="E277" s="21" t="n"/>
      <c r="F277" s="21" t="n"/>
      <c r="G277" s="21" t="n"/>
      <c r="H277" s="21" t="n"/>
      <c r="I277" s="21" t="n"/>
      <c r="J277" s="21" t="n"/>
      <c r="K277" s="21" t="n"/>
      <c r="L277" s="21" t="n"/>
      <c r="M277" s="21" t="n"/>
      <c r="N277" s="21" t="n"/>
      <c r="O277" s="25">
        <f>IF(OR(ISBLANK(I277),ISBLANK(N277)),"",EDATE(I277,IF(N277="1 year",12,IF(N277="3 years",36,IF(N277="5 years",60,IF(N277="7 years",84,600))))))</f>
        <v/>
      </c>
      <c r="P277" s="21" t="n"/>
      <c r="Q277" s="21" t="n"/>
      <c r="R277" s="21" t="n"/>
      <c r="S277" s="21" t="n"/>
      <c r="T277" s="21" t="n"/>
      <c r="U277" s="21" t="n"/>
      <c r="V277" s="25">
        <f>TODAY()</f>
        <v/>
      </c>
    </row>
    <row r="278">
      <c r="A278" s="20" t="inlineStr">
        <is>
          <t>EV-265</t>
        </is>
      </c>
      <c r="B278" s="21" t="n"/>
      <c r="C278" s="21" t="n"/>
      <c r="D278" s="21" t="n"/>
      <c r="E278" s="21" t="n"/>
      <c r="F278" s="21" t="n"/>
      <c r="G278" s="21" t="n"/>
      <c r="H278" s="21" t="n"/>
      <c r="I278" s="21" t="n"/>
      <c r="J278" s="21" t="n"/>
      <c r="K278" s="21" t="n"/>
      <c r="L278" s="21" t="n"/>
      <c r="M278" s="21" t="n"/>
      <c r="N278" s="21" t="n"/>
      <c r="O278" s="25">
        <f>IF(OR(ISBLANK(I278),ISBLANK(N278)),"",EDATE(I278,IF(N278="1 year",12,IF(N278="3 years",36,IF(N278="5 years",60,IF(N278="7 years",84,600))))))</f>
        <v/>
      </c>
      <c r="P278" s="21" t="n"/>
      <c r="Q278" s="21" t="n"/>
      <c r="R278" s="21" t="n"/>
      <c r="S278" s="21" t="n"/>
      <c r="T278" s="21" t="n"/>
      <c r="U278" s="21" t="n"/>
      <c r="V278" s="25">
        <f>TODAY()</f>
        <v/>
      </c>
    </row>
    <row r="279">
      <c r="A279" s="20" t="inlineStr">
        <is>
          <t>EV-266</t>
        </is>
      </c>
      <c r="B279" s="21" t="n"/>
      <c r="C279" s="21" t="n"/>
      <c r="D279" s="21" t="n"/>
      <c r="E279" s="21" t="n"/>
      <c r="F279" s="21" t="n"/>
      <c r="G279" s="21" t="n"/>
      <c r="H279" s="21" t="n"/>
      <c r="I279" s="21" t="n"/>
      <c r="J279" s="21" t="n"/>
      <c r="K279" s="21" t="n"/>
      <c r="L279" s="21" t="n"/>
      <c r="M279" s="21" t="n"/>
      <c r="N279" s="21" t="n"/>
      <c r="O279" s="25">
        <f>IF(OR(ISBLANK(I279),ISBLANK(N279)),"",EDATE(I279,IF(N279="1 year",12,IF(N279="3 years",36,IF(N279="5 years",60,IF(N279="7 years",84,600))))))</f>
        <v/>
      </c>
      <c r="P279" s="21" t="n"/>
      <c r="Q279" s="21" t="n"/>
      <c r="R279" s="21" t="n"/>
      <c r="S279" s="21" t="n"/>
      <c r="T279" s="21" t="n"/>
      <c r="U279" s="21" t="n"/>
      <c r="V279" s="25">
        <f>TODAY()</f>
        <v/>
      </c>
    </row>
    <row r="280">
      <c r="A280" s="20" t="inlineStr">
        <is>
          <t>EV-267</t>
        </is>
      </c>
      <c r="B280" s="21" t="n"/>
      <c r="C280" s="21" t="n"/>
      <c r="D280" s="21" t="n"/>
      <c r="E280" s="21" t="n"/>
      <c r="F280" s="21" t="n"/>
      <c r="G280" s="21" t="n"/>
      <c r="H280" s="21" t="n"/>
      <c r="I280" s="21" t="n"/>
      <c r="J280" s="21" t="n"/>
      <c r="K280" s="21" t="n"/>
      <c r="L280" s="21" t="n"/>
      <c r="M280" s="21" t="n"/>
      <c r="N280" s="21" t="n"/>
      <c r="O280" s="25">
        <f>IF(OR(ISBLANK(I280),ISBLANK(N280)),"",EDATE(I280,IF(N280="1 year",12,IF(N280="3 years",36,IF(N280="5 years",60,IF(N280="7 years",84,600))))))</f>
        <v/>
      </c>
      <c r="P280" s="21" t="n"/>
      <c r="Q280" s="21" t="n"/>
      <c r="R280" s="21" t="n"/>
      <c r="S280" s="21" t="n"/>
      <c r="T280" s="21" t="n"/>
      <c r="U280" s="21" t="n"/>
      <c r="V280" s="25">
        <f>TODAY()</f>
        <v/>
      </c>
    </row>
    <row r="281">
      <c r="A281" s="20" t="inlineStr">
        <is>
          <t>EV-268</t>
        </is>
      </c>
      <c r="B281" s="21" t="n"/>
      <c r="C281" s="21" t="n"/>
      <c r="D281" s="21" t="n"/>
      <c r="E281" s="21" t="n"/>
      <c r="F281" s="21" t="n"/>
      <c r="G281" s="21" t="n"/>
      <c r="H281" s="21" t="n"/>
      <c r="I281" s="21" t="n"/>
      <c r="J281" s="21" t="n"/>
      <c r="K281" s="21" t="n"/>
      <c r="L281" s="21" t="n"/>
      <c r="M281" s="21" t="n"/>
      <c r="N281" s="21" t="n"/>
      <c r="O281" s="25">
        <f>IF(OR(ISBLANK(I281),ISBLANK(N281)),"",EDATE(I281,IF(N281="1 year",12,IF(N281="3 years",36,IF(N281="5 years",60,IF(N281="7 years",84,600))))))</f>
        <v/>
      </c>
      <c r="P281" s="21" t="n"/>
      <c r="Q281" s="21" t="n"/>
      <c r="R281" s="21" t="n"/>
      <c r="S281" s="21" t="n"/>
      <c r="T281" s="21" t="n"/>
      <c r="U281" s="21" t="n"/>
      <c r="V281" s="25">
        <f>TODAY()</f>
        <v/>
      </c>
    </row>
    <row r="282">
      <c r="A282" s="20" t="inlineStr">
        <is>
          <t>EV-269</t>
        </is>
      </c>
      <c r="B282" s="21" t="n"/>
      <c r="C282" s="21" t="n"/>
      <c r="D282" s="21" t="n"/>
      <c r="E282" s="21" t="n"/>
      <c r="F282" s="21" t="n"/>
      <c r="G282" s="21" t="n"/>
      <c r="H282" s="21" t="n"/>
      <c r="I282" s="21" t="n"/>
      <c r="J282" s="21" t="n"/>
      <c r="K282" s="21" t="n"/>
      <c r="L282" s="21" t="n"/>
      <c r="M282" s="21" t="n"/>
      <c r="N282" s="21" t="n"/>
      <c r="O282" s="25">
        <f>IF(OR(ISBLANK(I282),ISBLANK(N282)),"",EDATE(I282,IF(N282="1 year",12,IF(N282="3 years",36,IF(N282="5 years",60,IF(N282="7 years",84,600))))))</f>
        <v/>
      </c>
      <c r="P282" s="21" t="n"/>
      <c r="Q282" s="21" t="n"/>
      <c r="R282" s="21" t="n"/>
      <c r="S282" s="21" t="n"/>
      <c r="T282" s="21" t="n"/>
      <c r="U282" s="21" t="n"/>
      <c r="V282" s="25">
        <f>TODAY()</f>
        <v/>
      </c>
    </row>
    <row r="283">
      <c r="A283" s="20" t="inlineStr">
        <is>
          <t>EV-270</t>
        </is>
      </c>
      <c r="B283" s="21" t="n"/>
      <c r="C283" s="21" t="n"/>
      <c r="D283" s="21" t="n"/>
      <c r="E283" s="21" t="n"/>
      <c r="F283" s="21" t="n"/>
      <c r="G283" s="21" t="n"/>
      <c r="H283" s="21" t="n"/>
      <c r="I283" s="21" t="n"/>
      <c r="J283" s="21" t="n"/>
      <c r="K283" s="21" t="n"/>
      <c r="L283" s="21" t="n"/>
      <c r="M283" s="21" t="n"/>
      <c r="N283" s="21" t="n"/>
      <c r="O283" s="25">
        <f>IF(OR(ISBLANK(I283),ISBLANK(N283)),"",EDATE(I283,IF(N283="1 year",12,IF(N283="3 years",36,IF(N283="5 years",60,IF(N283="7 years",84,600))))))</f>
        <v/>
      </c>
      <c r="P283" s="21" t="n"/>
      <c r="Q283" s="21" t="n"/>
      <c r="R283" s="21" t="n"/>
      <c r="S283" s="21" t="n"/>
      <c r="T283" s="21" t="n"/>
      <c r="U283" s="21" t="n"/>
      <c r="V283" s="25">
        <f>TODAY()</f>
        <v/>
      </c>
    </row>
    <row r="284">
      <c r="A284" s="20" t="inlineStr">
        <is>
          <t>EV-271</t>
        </is>
      </c>
      <c r="B284" s="21" t="n"/>
      <c r="C284" s="21" t="n"/>
      <c r="D284" s="21" t="n"/>
      <c r="E284" s="21" t="n"/>
      <c r="F284" s="21" t="n"/>
      <c r="G284" s="21" t="n"/>
      <c r="H284" s="21" t="n"/>
      <c r="I284" s="21" t="n"/>
      <c r="J284" s="21" t="n"/>
      <c r="K284" s="21" t="n"/>
      <c r="L284" s="21" t="n"/>
      <c r="M284" s="21" t="n"/>
      <c r="N284" s="21" t="n"/>
      <c r="O284" s="25">
        <f>IF(OR(ISBLANK(I284),ISBLANK(N284)),"",EDATE(I284,IF(N284="1 year",12,IF(N284="3 years",36,IF(N284="5 years",60,IF(N284="7 years",84,600))))))</f>
        <v/>
      </c>
      <c r="P284" s="21" t="n"/>
      <c r="Q284" s="21" t="n"/>
      <c r="R284" s="21" t="n"/>
      <c r="S284" s="21" t="n"/>
      <c r="T284" s="21" t="n"/>
      <c r="U284" s="21" t="n"/>
      <c r="V284" s="25">
        <f>TODAY()</f>
        <v/>
      </c>
    </row>
    <row r="285">
      <c r="A285" s="20" t="inlineStr">
        <is>
          <t>EV-272</t>
        </is>
      </c>
      <c r="B285" s="21" t="n"/>
      <c r="C285" s="21" t="n"/>
      <c r="D285" s="21" t="n"/>
      <c r="E285" s="21" t="n"/>
      <c r="F285" s="21" t="n"/>
      <c r="G285" s="21" t="n"/>
      <c r="H285" s="21" t="n"/>
      <c r="I285" s="21" t="n"/>
      <c r="J285" s="21" t="n"/>
      <c r="K285" s="21" t="n"/>
      <c r="L285" s="21" t="n"/>
      <c r="M285" s="21" t="n"/>
      <c r="N285" s="21" t="n"/>
      <c r="O285" s="25">
        <f>IF(OR(ISBLANK(I285),ISBLANK(N285)),"",EDATE(I285,IF(N285="1 year",12,IF(N285="3 years",36,IF(N285="5 years",60,IF(N285="7 years",84,600))))))</f>
        <v/>
      </c>
      <c r="P285" s="21" t="n"/>
      <c r="Q285" s="21" t="n"/>
      <c r="R285" s="21" t="n"/>
      <c r="S285" s="21" t="n"/>
      <c r="T285" s="21" t="n"/>
      <c r="U285" s="21" t="n"/>
      <c r="V285" s="25">
        <f>TODAY()</f>
        <v/>
      </c>
    </row>
    <row r="286">
      <c r="A286" s="20" t="inlineStr">
        <is>
          <t>EV-273</t>
        </is>
      </c>
      <c r="B286" s="21" t="n"/>
      <c r="C286" s="21" t="n"/>
      <c r="D286" s="21" t="n"/>
      <c r="E286" s="21" t="n"/>
      <c r="F286" s="21" t="n"/>
      <c r="G286" s="21" t="n"/>
      <c r="H286" s="21" t="n"/>
      <c r="I286" s="21" t="n"/>
      <c r="J286" s="21" t="n"/>
      <c r="K286" s="21" t="n"/>
      <c r="L286" s="21" t="n"/>
      <c r="M286" s="21" t="n"/>
      <c r="N286" s="21" t="n"/>
      <c r="O286" s="25">
        <f>IF(OR(ISBLANK(I286),ISBLANK(N286)),"",EDATE(I286,IF(N286="1 year",12,IF(N286="3 years",36,IF(N286="5 years",60,IF(N286="7 years",84,600))))))</f>
        <v/>
      </c>
      <c r="P286" s="21" t="n"/>
      <c r="Q286" s="21" t="n"/>
      <c r="R286" s="21" t="n"/>
      <c r="S286" s="21" t="n"/>
      <c r="T286" s="21" t="n"/>
      <c r="U286" s="21" t="n"/>
      <c r="V286" s="25">
        <f>TODAY()</f>
        <v/>
      </c>
    </row>
    <row r="287">
      <c r="A287" s="20" t="inlineStr">
        <is>
          <t>EV-274</t>
        </is>
      </c>
      <c r="B287" s="21" t="n"/>
      <c r="C287" s="21" t="n"/>
      <c r="D287" s="21" t="n"/>
      <c r="E287" s="21" t="n"/>
      <c r="F287" s="21" t="n"/>
      <c r="G287" s="21" t="n"/>
      <c r="H287" s="21" t="n"/>
      <c r="I287" s="21" t="n"/>
      <c r="J287" s="21" t="n"/>
      <c r="K287" s="21" t="n"/>
      <c r="L287" s="21" t="n"/>
      <c r="M287" s="21" t="n"/>
      <c r="N287" s="21" t="n"/>
      <c r="O287" s="25">
        <f>IF(OR(ISBLANK(I287),ISBLANK(N287)),"",EDATE(I287,IF(N287="1 year",12,IF(N287="3 years",36,IF(N287="5 years",60,IF(N287="7 years",84,600))))))</f>
        <v/>
      </c>
      <c r="P287" s="21" t="n"/>
      <c r="Q287" s="21" t="n"/>
      <c r="R287" s="21" t="n"/>
      <c r="S287" s="21" t="n"/>
      <c r="T287" s="21" t="n"/>
      <c r="U287" s="21" t="n"/>
      <c r="V287" s="25">
        <f>TODAY()</f>
        <v/>
      </c>
    </row>
    <row r="288">
      <c r="A288" s="20" t="inlineStr">
        <is>
          <t>EV-275</t>
        </is>
      </c>
      <c r="B288" s="21" t="n"/>
      <c r="C288" s="21" t="n"/>
      <c r="D288" s="21" t="n"/>
      <c r="E288" s="21" t="n"/>
      <c r="F288" s="21" t="n"/>
      <c r="G288" s="21" t="n"/>
      <c r="H288" s="21" t="n"/>
      <c r="I288" s="21" t="n"/>
      <c r="J288" s="21" t="n"/>
      <c r="K288" s="21" t="n"/>
      <c r="L288" s="21" t="n"/>
      <c r="M288" s="21" t="n"/>
      <c r="N288" s="21" t="n"/>
      <c r="O288" s="25">
        <f>IF(OR(ISBLANK(I288),ISBLANK(N288)),"",EDATE(I288,IF(N288="1 year",12,IF(N288="3 years",36,IF(N288="5 years",60,IF(N288="7 years",84,600))))))</f>
        <v/>
      </c>
      <c r="P288" s="21" t="n"/>
      <c r="Q288" s="21" t="n"/>
      <c r="R288" s="21" t="n"/>
      <c r="S288" s="21" t="n"/>
      <c r="T288" s="21" t="n"/>
      <c r="U288" s="21" t="n"/>
      <c r="V288" s="25">
        <f>TODAY()</f>
        <v/>
      </c>
    </row>
    <row r="289">
      <c r="A289" s="20" t="inlineStr">
        <is>
          <t>EV-276</t>
        </is>
      </c>
      <c r="B289" s="21" t="n"/>
      <c r="C289" s="21" t="n"/>
      <c r="D289" s="21" t="n"/>
      <c r="E289" s="21" t="n"/>
      <c r="F289" s="21" t="n"/>
      <c r="G289" s="21" t="n"/>
      <c r="H289" s="21" t="n"/>
      <c r="I289" s="21" t="n"/>
      <c r="J289" s="21" t="n"/>
      <c r="K289" s="21" t="n"/>
      <c r="L289" s="21" t="n"/>
      <c r="M289" s="21" t="n"/>
      <c r="N289" s="21" t="n"/>
      <c r="O289" s="25">
        <f>IF(OR(ISBLANK(I289),ISBLANK(N289)),"",EDATE(I289,IF(N289="1 year",12,IF(N289="3 years",36,IF(N289="5 years",60,IF(N289="7 years",84,600))))))</f>
        <v/>
      </c>
      <c r="P289" s="21" t="n"/>
      <c r="Q289" s="21" t="n"/>
      <c r="R289" s="21" t="n"/>
      <c r="S289" s="21" t="n"/>
      <c r="T289" s="21" t="n"/>
      <c r="U289" s="21" t="n"/>
      <c r="V289" s="25">
        <f>TODAY()</f>
        <v/>
      </c>
    </row>
    <row r="290">
      <c r="A290" s="20" t="inlineStr">
        <is>
          <t>EV-277</t>
        </is>
      </c>
      <c r="B290" s="21" t="n"/>
      <c r="C290" s="21" t="n"/>
      <c r="D290" s="21" t="n"/>
      <c r="E290" s="21" t="n"/>
      <c r="F290" s="21" t="n"/>
      <c r="G290" s="21" t="n"/>
      <c r="H290" s="21" t="n"/>
      <c r="I290" s="21" t="n"/>
      <c r="J290" s="21" t="n"/>
      <c r="K290" s="21" t="n"/>
      <c r="L290" s="21" t="n"/>
      <c r="M290" s="21" t="n"/>
      <c r="N290" s="21" t="n"/>
      <c r="O290" s="25">
        <f>IF(OR(ISBLANK(I290),ISBLANK(N290)),"",EDATE(I290,IF(N290="1 year",12,IF(N290="3 years",36,IF(N290="5 years",60,IF(N290="7 years",84,600))))))</f>
        <v/>
      </c>
      <c r="P290" s="21" t="n"/>
      <c r="Q290" s="21" t="n"/>
      <c r="R290" s="21" t="n"/>
      <c r="S290" s="21" t="n"/>
      <c r="T290" s="21" t="n"/>
      <c r="U290" s="21" t="n"/>
      <c r="V290" s="25">
        <f>TODAY()</f>
        <v/>
      </c>
    </row>
    <row r="291">
      <c r="A291" s="20" t="inlineStr">
        <is>
          <t>EV-278</t>
        </is>
      </c>
      <c r="B291" s="21" t="n"/>
      <c r="C291" s="21" t="n"/>
      <c r="D291" s="21" t="n"/>
      <c r="E291" s="21" t="n"/>
      <c r="F291" s="21" t="n"/>
      <c r="G291" s="21" t="n"/>
      <c r="H291" s="21" t="n"/>
      <c r="I291" s="21" t="n"/>
      <c r="J291" s="21" t="n"/>
      <c r="K291" s="21" t="n"/>
      <c r="L291" s="21" t="n"/>
      <c r="M291" s="21" t="n"/>
      <c r="N291" s="21" t="n"/>
      <c r="O291" s="25">
        <f>IF(OR(ISBLANK(I291),ISBLANK(N291)),"",EDATE(I291,IF(N291="1 year",12,IF(N291="3 years",36,IF(N291="5 years",60,IF(N291="7 years",84,600))))))</f>
        <v/>
      </c>
      <c r="P291" s="21" t="n"/>
      <c r="Q291" s="21" t="n"/>
      <c r="R291" s="21" t="n"/>
      <c r="S291" s="21" t="n"/>
      <c r="T291" s="21" t="n"/>
      <c r="U291" s="21" t="n"/>
      <c r="V291" s="25">
        <f>TODAY()</f>
        <v/>
      </c>
    </row>
    <row r="292">
      <c r="A292" s="20" t="inlineStr">
        <is>
          <t>EV-279</t>
        </is>
      </c>
      <c r="B292" s="21" t="n"/>
      <c r="C292" s="21" t="n"/>
      <c r="D292" s="21" t="n"/>
      <c r="E292" s="21" t="n"/>
      <c r="F292" s="21" t="n"/>
      <c r="G292" s="21" t="n"/>
      <c r="H292" s="21" t="n"/>
      <c r="I292" s="21" t="n"/>
      <c r="J292" s="21" t="n"/>
      <c r="K292" s="21" t="n"/>
      <c r="L292" s="21" t="n"/>
      <c r="M292" s="21" t="n"/>
      <c r="N292" s="21" t="n"/>
      <c r="O292" s="25">
        <f>IF(OR(ISBLANK(I292),ISBLANK(N292)),"",EDATE(I292,IF(N292="1 year",12,IF(N292="3 years",36,IF(N292="5 years",60,IF(N292="7 years",84,600))))))</f>
        <v/>
      </c>
      <c r="P292" s="21" t="n"/>
      <c r="Q292" s="21" t="n"/>
      <c r="R292" s="21" t="n"/>
      <c r="S292" s="21" t="n"/>
      <c r="T292" s="21" t="n"/>
      <c r="U292" s="21" t="n"/>
      <c r="V292" s="25">
        <f>TODAY()</f>
        <v/>
      </c>
    </row>
    <row r="293">
      <c r="A293" s="20" t="inlineStr">
        <is>
          <t>EV-280</t>
        </is>
      </c>
      <c r="B293" s="21" t="n"/>
      <c r="C293" s="21" t="n"/>
      <c r="D293" s="21" t="n"/>
      <c r="E293" s="21" t="n"/>
      <c r="F293" s="21" t="n"/>
      <c r="G293" s="21" t="n"/>
      <c r="H293" s="21" t="n"/>
      <c r="I293" s="21" t="n"/>
      <c r="J293" s="21" t="n"/>
      <c r="K293" s="21" t="n"/>
      <c r="L293" s="21" t="n"/>
      <c r="M293" s="21" t="n"/>
      <c r="N293" s="21" t="n"/>
      <c r="O293" s="25">
        <f>IF(OR(ISBLANK(I293),ISBLANK(N293)),"",EDATE(I293,IF(N293="1 year",12,IF(N293="3 years",36,IF(N293="5 years",60,IF(N293="7 years",84,600))))))</f>
        <v/>
      </c>
      <c r="P293" s="21" t="n"/>
      <c r="Q293" s="21" t="n"/>
      <c r="R293" s="21" t="n"/>
      <c r="S293" s="21" t="n"/>
      <c r="T293" s="21" t="n"/>
      <c r="U293" s="21" t="n"/>
      <c r="V293" s="25">
        <f>TODAY()</f>
        <v/>
      </c>
    </row>
    <row r="294">
      <c r="A294" s="20" t="inlineStr">
        <is>
          <t>EV-281</t>
        </is>
      </c>
      <c r="B294" s="21" t="n"/>
      <c r="C294" s="21" t="n"/>
      <c r="D294" s="21" t="n"/>
      <c r="E294" s="21" t="n"/>
      <c r="F294" s="21" t="n"/>
      <c r="G294" s="21" t="n"/>
      <c r="H294" s="21" t="n"/>
      <c r="I294" s="21" t="n"/>
      <c r="J294" s="21" t="n"/>
      <c r="K294" s="21" t="n"/>
      <c r="L294" s="21" t="n"/>
      <c r="M294" s="21" t="n"/>
      <c r="N294" s="21" t="n"/>
      <c r="O294" s="25">
        <f>IF(OR(ISBLANK(I294),ISBLANK(N294)),"",EDATE(I294,IF(N294="1 year",12,IF(N294="3 years",36,IF(N294="5 years",60,IF(N294="7 years",84,600))))))</f>
        <v/>
      </c>
      <c r="P294" s="21" t="n"/>
      <c r="Q294" s="21" t="n"/>
      <c r="R294" s="21" t="n"/>
      <c r="S294" s="21" t="n"/>
      <c r="T294" s="21" t="n"/>
      <c r="U294" s="21" t="n"/>
      <c r="V294" s="25">
        <f>TODAY()</f>
        <v/>
      </c>
    </row>
    <row r="295">
      <c r="A295" s="20" t="inlineStr">
        <is>
          <t>EV-282</t>
        </is>
      </c>
      <c r="B295" s="21" t="n"/>
      <c r="C295" s="21" t="n"/>
      <c r="D295" s="21" t="n"/>
      <c r="E295" s="21" t="n"/>
      <c r="F295" s="21" t="n"/>
      <c r="G295" s="21" t="n"/>
      <c r="H295" s="21" t="n"/>
      <c r="I295" s="21" t="n"/>
      <c r="J295" s="21" t="n"/>
      <c r="K295" s="21" t="n"/>
      <c r="L295" s="21" t="n"/>
      <c r="M295" s="21" t="n"/>
      <c r="N295" s="21" t="n"/>
      <c r="O295" s="25">
        <f>IF(OR(ISBLANK(I295),ISBLANK(N295)),"",EDATE(I295,IF(N295="1 year",12,IF(N295="3 years",36,IF(N295="5 years",60,IF(N295="7 years",84,600))))))</f>
        <v/>
      </c>
      <c r="P295" s="21" t="n"/>
      <c r="Q295" s="21" t="n"/>
      <c r="R295" s="21" t="n"/>
      <c r="S295" s="21" t="n"/>
      <c r="T295" s="21" t="n"/>
      <c r="U295" s="21" t="n"/>
      <c r="V295" s="25">
        <f>TODAY()</f>
        <v/>
      </c>
    </row>
    <row r="296">
      <c r="A296" s="20" t="inlineStr">
        <is>
          <t>EV-283</t>
        </is>
      </c>
      <c r="B296" s="21" t="n"/>
      <c r="C296" s="21" t="n"/>
      <c r="D296" s="21" t="n"/>
      <c r="E296" s="21" t="n"/>
      <c r="F296" s="21" t="n"/>
      <c r="G296" s="21" t="n"/>
      <c r="H296" s="21" t="n"/>
      <c r="I296" s="21" t="n"/>
      <c r="J296" s="21" t="n"/>
      <c r="K296" s="21" t="n"/>
      <c r="L296" s="21" t="n"/>
      <c r="M296" s="21" t="n"/>
      <c r="N296" s="21" t="n"/>
      <c r="O296" s="25">
        <f>IF(OR(ISBLANK(I296),ISBLANK(N296)),"",EDATE(I296,IF(N296="1 year",12,IF(N296="3 years",36,IF(N296="5 years",60,IF(N296="7 years",84,600))))))</f>
        <v/>
      </c>
      <c r="P296" s="21" t="n"/>
      <c r="Q296" s="21" t="n"/>
      <c r="R296" s="21" t="n"/>
      <c r="S296" s="21" t="n"/>
      <c r="T296" s="21" t="n"/>
      <c r="U296" s="21" t="n"/>
      <c r="V296" s="25">
        <f>TODAY()</f>
        <v/>
      </c>
    </row>
    <row r="297">
      <c r="A297" s="20" t="inlineStr">
        <is>
          <t>EV-284</t>
        </is>
      </c>
      <c r="B297" s="21" t="n"/>
      <c r="C297" s="21" t="n"/>
      <c r="D297" s="21" t="n"/>
      <c r="E297" s="21" t="n"/>
      <c r="F297" s="21" t="n"/>
      <c r="G297" s="21" t="n"/>
      <c r="H297" s="21" t="n"/>
      <c r="I297" s="21" t="n"/>
      <c r="J297" s="21" t="n"/>
      <c r="K297" s="21" t="n"/>
      <c r="L297" s="21" t="n"/>
      <c r="M297" s="21" t="n"/>
      <c r="N297" s="21" t="n"/>
      <c r="O297" s="25">
        <f>IF(OR(ISBLANK(I297),ISBLANK(N297)),"",EDATE(I297,IF(N297="1 year",12,IF(N297="3 years",36,IF(N297="5 years",60,IF(N297="7 years",84,600))))))</f>
        <v/>
      </c>
      <c r="P297" s="21" t="n"/>
      <c r="Q297" s="21" t="n"/>
      <c r="R297" s="21" t="n"/>
      <c r="S297" s="21" t="n"/>
      <c r="T297" s="21" t="n"/>
      <c r="U297" s="21" t="n"/>
      <c r="V297" s="25">
        <f>TODAY()</f>
        <v/>
      </c>
    </row>
    <row r="298">
      <c r="A298" s="20" t="inlineStr">
        <is>
          <t>EV-285</t>
        </is>
      </c>
      <c r="B298" s="21" t="n"/>
      <c r="C298" s="21" t="n"/>
      <c r="D298" s="21" t="n"/>
      <c r="E298" s="21" t="n"/>
      <c r="F298" s="21" t="n"/>
      <c r="G298" s="21" t="n"/>
      <c r="H298" s="21" t="n"/>
      <c r="I298" s="21" t="n"/>
      <c r="J298" s="21" t="n"/>
      <c r="K298" s="21" t="n"/>
      <c r="L298" s="21" t="n"/>
      <c r="M298" s="21" t="n"/>
      <c r="N298" s="21" t="n"/>
      <c r="O298" s="25">
        <f>IF(OR(ISBLANK(I298),ISBLANK(N298)),"",EDATE(I298,IF(N298="1 year",12,IF(N298="3 years",36,IF(N298="5 years",60,IF(N298="7 years",84,600))))))</f>
        <v/>
      </c>
      <c r="P298" s="21" t="n"/>
      <c r="Q298" s="21" t="n"/>
      <c r="R298" s="21" t="n"/>
      <c r="S298" s="21" t="n"/>
      <c r="T298" s="21" t="n"/>
      <c r="U298" s="21" t="n"/>
      <c r="V298" s="25">
        <f>TODAY()</f>
        <v/>
      </c>
    </row>
    <row r="299">
      <c r="A299" s="20" t="inlineStr">
        <is>
          <t>EV-286</t>
        </is>
      </c>
      <c r="B299" s="21" t="n"/>
      <c r="C299" s="21" t="n"/>
      <c r="D299" s="21" t="n"/>
      <c r="E299" s="21" t="n"/>
      <c r="F299" s="21" t="n"/>
      <c r="G299" s="21" t="n"/>
      <c r="H299" s="21" t="n"/>
      <c r="I299" s="21" t="n"/>
      <c r="J299" s="21" t="n"/>
      <c r="K299" s="21" t="n"/>
      <c r="L299" s="21" t="n"/>
      <c r="M299" s="21" t="n"/>
      <c r="N299" s="21" t="n"/>
      <c r="O299" s="25">
        <f>IF(OR(ISBLANK(I299),ISBLANK(N299)),"",EDATE(I299,IF(N299="1 year",12,IF(N299="3 years",36,IF(N299="5 years",60,IF(N299="7 years",84,600))))))</f>
        <v/>
      </c>
      <c r="P299" s="21" t="n"/>
      <c r="Q299" s="21" t="n"/>
      <c r="R299" s="21" t="n"/>
      <c r="S299" s="21" t="n"/>
      <c r="T299" s="21" t="n"/>
      <c r="U299" s="21" t="n"/>
      <c r="V299" s="25">
        <f>TODAY()</f>
        <v/>
      </c>
    </row>
    <row r="300">
      <c r="A300" s="20" t="inlineStr">
        <is>
          <t>EV-287</t>
        </is>
      </c>
      <c r="B300" s="21" t="n"/>
      <c r="C300" s="21" t="n"/>
      <c r="D300" s="21" t="n"/>
      <c r="E300" s="21" t="n"/>
      <c r="F300" s="21" t="n"/>
      <c r="G300" s="21" t="n"/>
      <c r="H300" s="21" t="n"/>
      <c r="I300" s="21" t="n"/>
      <c r="J300" s="21" t="n"/>
      <c r="K300" s="21" t="n"/>
      <c r="L300" s="21" t="n"/>
      <c r="M300" s="21" t="n"/>
      <c r="N300" s="21" t="n"/>
      <c r="O300" s="25">
        <f>IF(OR(ISBLANK(I300),ISBLANK(N300)),"",EDATE(I300,IF(N300="1 year",12,IF(N300="3 years",36,IF(N300="5 years",60,IF(N300="7 years",84,600))))))</f>
        <v/>
      </c>
      <c r="P300" s="21" t="n"/>
      <c r="Q300" s="21" t="n"/>
      <c r="R300" s="21" t="n"/>
      <c r="S300" s="21" t="n"/>
      <c r="T300" s="21" t="n"/>
      <c r="U300" s="21" t="n"/>
      <c r="V300" s="25">
        <f>TODAY()</f>
        <v/>
      </c>
    </row>
    <row r="301">
      <c r="A301" s="20" t="inlineStr">
        <is>
          <t>EV-288</t>
        </is>
      </c>
      <c r="B301" s="21" t="n"/>
      <c r="C301" s="21" t="n"/>
      <c r="D301" s="21" t="n"/>
      <c r="E301" s="21" t="n"/>
      <c r="F301" s="21" t="n"/>
      <c r="G301" s="21" t="n"/>
      <c r="H301" s="21" t="n"/>
      <c r="I301" s="21" t="n"/>
      <c r="J301" s="21" t="n"/>
      <c r="K301" s="21" t="n"/>
      <c r="L301" s="21" t="n"/>
      <c r="M301" s="21" t="n"/>
      <c r="N301" s="21" t="n"/>
      <c r="O301" s="25">
        <f>IF(OR(ISBLANK(I301),ISBLANK(N301)),"",EDATE(I301,IF(N301="1 year",12,IF(N301="3 years",36,IF(N301="5 years",60,IF(N301="7 years",84,600))))))</f>
        <v/>
      </c>
      <c r="P301" s="21" t="n"/>
      <c r="Q301" s="21" t="n"/>
      <c r="R301" s="21" t="n"/>
      <c r="S301" s="21" t="n"/>
      <c r="T301" s="21" t="n"/>
      <c r="U301" s="21" t="n"/>
      <c r="V301" s="25">
        <f>TODAY()</f>
        <v/>
      </c>
    </row>
    <row r="302">
      <c r="A302" s="20" t="inlineStr">
        <is>
          <t>EV-289</t>
        </is>
      </c>
      <c r="B302" s="21" t="n"/>
      <c r="C302" s="21" t="n"/>
      <c r="D302" s="21" t="n"/>
      <c r="E302" s="21" t="n"/>
      <c r="F302" s="21" t="n"/>
      <c r="G302" s="21" t="n"/>
      <c r="H302" s="21" t="n"/>
      <c r="I302" s="21" t="n"/>
      <c r="J302" s="21" t="n"/>
      <c r="K302" s="21" t="n"/>
      <c r="L302" s="21" t="n"/>
      <c r="M302" s="21" t="n"/>
      <c r="N302" s="21" t="n"/>
      <c r="O302" s="25">
        <f>IF(OR(ISBLANK(I302),ISBLANK(N302)),"",EDATE(I302,IF(N302="1 year",12,IF(N302="3 years",36,IF(N302="5 years",60,IF(N302="7 years",84,600))))))</f>
        <v/>
      </c>
      <c r="P302" s="21" t="n"/>
      <c r="Q302" s="21" t="n"/>
      <c r="R302" s="21" t="n"/>
      <c r="S302" s="21" t="n"/>
      <c r="T302" s="21" t="n"/>
      <c r="U302" s="21" t="n"/>
      <c r="V302" s="25">
        <f>TODAY()</f>
        <v/>
      </c>
    </row>
    <row r="303">
      <c r="A303" s="20" t="inlineStr">
        <is>
          <t>EV-290</t>
        </is>
      </c>
      <c r="B303" s="21" t="n"/>
      <c r="C303" s="21" t="n"/>
      <c r="D303" s="21" t="n"/>
      <c r="E303" s="21" t="n"/>
      <c r="F303" s="21" t="n"/>
      <c r="G303" s="21" t="n"/>
      <c r="H303" s="21" t="n"/>
      <c r="I303" s="21" t="n"/>
      <c r="J303" s="21" t="n"/>
      <c r="K303" s="21" t="n"/>
      <c r="L303" s="21" t="n"/>
      <c r="M303" s="21" t="n"/>
      <c r="N303" s="21" t="n"/>
      <c r="O303" s="25">
        <f>IF(OR(ISBLANK(I303),ISBLANK(N303)),"",EDATE(I303,IF(N303="1 year",12,IF(N303="3 years",36,IF(N303="5 years",60,IF(N303="7 years",84,600))))))</f>
        <v/>
      </c>
      <c r="P303" s="21" t="n"/>
      <c r="Q303" s="21" t="n"/>
      <c r="R303" s="21" t="n"/>
      <c r="S303" s="21" t="n"/>
      <c r="T303" s="21" t="n"/>
      <c r="U303" s="21" t="n"/>
      <c r="V303" s="25">
        <f>TODAY()</f>
        <v/>
      </c>
    </row>
    <row r="304">
      <c r="A304" s="20" t="inlineStr">
        <is>
          <t>EV-291</t>
        </is>
      </c>
      <c r="B304" s="21" t="n"/>
      <c r="C304" s="21" t="n"/>
      <c r="D304" s="21" t="n"/>
      <c r="E304" s="21" t="n"/>
      <c r="F304" s="21" t="n"/>
      <c r="G304" s="21" t="n"/>
      <c r="H304" s="21" t="n"/>
      <c r="I304" s="21" t="n"/>
      <c r="J304" s="21" t="n"/>
      <c r="K304" s="21" t="n"/>
      <c r="L304" s="21" t="n"/>
      <c r="M304" s="21" t="n"/>
      <c r="N304" s="21" t="n"/>
      <c r="O304" s="25">
        <f>IF(OR(ISBLANK(I304),ISBLANK(N304)),"",EDATE(I304,IF(N304="1 year",12,IF(N304="3 years",36,IF(N304="5 years",60,IF(N304="7 years",84,600))))))</f>
        <v/>
      </c>
      <c r="P304" s="21" t="n"/>
      <c r="Q304" s="21" t="n"/>
      <c r="R304" s="21" t="n"/>
      <c r="S304" s="21" t="n"/>
      <c r="T304" s="21" t="n"/>
      <c r="U304" s="21" t="n"/>
      <c r="V304" s="25">
        <f>TODAY()</f>
        <v/>
      </c>
    </row>
    <row r="305">
      <c r="A305" s="20" t="inlineStr">
        <is>
          <t>EV-292</t>
        </is>
      </c>
      <c r="B305" s="21" t="n"/>
      <c r="C305" s="21" t="n"/>
      <c r="D305" s="21" t="n"/>
      <c r="E305" s="21" t="n"/>
      <c r="F305" s="21" t="n"/>
      <c r="G305" s="21" t="n"/>
      <c r="H305" s="21" t="n"/>
      <c r="I305" s="21" t="n"/>
      <c r="J305" s="21" t="n"/>
      <c r="K305" s="21" t="n"/>
      <c r="L305" s="21" t="n"/>
      <c r="M305" s="21" t="n"/>
      <c r="N305" s="21" t="n"/>
      <c r="O305" s="25">
        <f>IF(OR(ISBLANK(I305),ISBLANK(N305)),"",EDATE(I305,IF(N305="1 year",12,IF(N305="3 years",36,IF(N305="5 years",60,IF(N305="7 years",84,600))))))</f>
        <v/>
      </c>
      <c r="P305" s="21" t="n"/>
      <c r="Q305" s="21" t="n"/>
      <c r="R305" s="21" t="n"/>
      <c r="S305" s="21" t="n"/>
      <c r="T305" s="21" t="n"/>
      <c r="U305" s="21" t="n"/>
      <c r="V305" s="25">
        <f>TODAY()</f>
        <v/>
      </c>
    </row>
    <row r="306">
      <c r="A306" s="20" t="inlineStr">
        <is>
          <t>EV-293</t>
        </is>
      </c>
      <c r="B306" s="21" t="n"/>
      <c r="C306" s="21" t="n"/>
      <c r="D306" s="21" t="n"/>
      <c r="E306" s="21" t="n"/>
      <c r="F306" s="21" t="n"/>
      <c r="G306" s="21" t="n"/>
      <c r="H306" s="21" t="n"/>
      <c r="I306" s="21" t="n"/>
      <c r="J306" s="21" t="n"/>
      <c r="K306" s="21" t="n"/>
      <c r="L306" s="21" t="n"/>
      <c r="M306" s="21" t="n"/>
      <c r="N306" s="21" t="n"/>
      <c r="O306" s="25">
        <f>IF(OR(ISBLANK(I306),ISBLANK(N306)),"",EDATE(I306,IF(N306="1 year",12,IF(N306="3 years",36,IF(N306="5 years",60,IF(N306="7 years",84,600))))))</f>
        <v/>
      </c>
      <c r="P306" s="21" t="n"/>
      <c r="Q306" s="21" t="n"/>
      <c r="R306" s="21" t="n"/>
      <c r="S306" s="21" t="n"/>
      <c r="T306" s="21" t="n"/>
      <c r="U306" s="21" t="n"/>
      <c r="V306" s="25">
        <f>TODAY()</f>
        <v/>
      </c>
    </row>
    <row r="307">
      <c r="A307" s="20" t="inlineStr">
        <is>
          <t>EV-294</t>
        </is>
      </c>
      <c r="B307" s="21" t="n"/>
      <c r="C307" s="21" t="n"/>
      <c r="D307" s="21" t="n"/>
      <c r="E307" s="21" t="n"/>
      <c r="F307" s="21" t="n"/>
      <c r="G307" s="21" t="n"/>
      <c r="H307" s="21" t="n"/>
      <c r="I307" s="21" t="n"/>
      <c r="J307" s="21" t="n"/>
      <c r="K307" s="21" t="n"/>
      <c r="L307" s="21" t="n"/>
      <c r="M307" s="21" t="n"/>
      <c r="N307" s="21" t="n"/>
      <c r="O307" s="25">
        <f>IF(OR(ISBLANK(I307),ISBLANK(N307)),"",EDATE(I307,IF(N307="1 year",12,IF(N307="3 years",36,IF(N307="5 years",60,IF(N307="7 years",84,600))))))</f>
        <v/>
      </c>
      <c r="P307" s="21" t="n"/>
      <c r="Q307" s="21" t="n"/>
      <c r="R307" s="21" t="n"/>
      <c r="S307" s="21" t="n"/>
      <c r="T307" s="21" t="n"/>
      <c r="U307" s="21" t="n"/>
      <c r="V307" s="25">
        <f>TODAY()</f>
        <v/>
      </c>
    </row>
    <row r="308">
      <c r="A308" s="20" t="inlineStr">
        <is>
          <t>EV-295</t>
        </is>
      </c>
      <c r="B308" s="21" t="n"/>
      <c r="C308" s="21" t="n"/>
      <c r="D308" s="21" t="n"/>
      <c r="E308" s="21" t="n"/>
      <c r="F308" s="21" t="n"/>
      <c r="G308" s="21" t="n"/>
      <c r="H308" s="21" t="n"/>
      <c r="I308" s="21" t="n"/>
      <c r="J308" s="21" t="n"/>
      <c r="K308" s="21" t="n"/>
      <c r="L308" s="21" t="n"/>
      <c r="M308" s="21" t="n"/>
      <c r="N308" s="21" t="n"/>
      <c r="O308" s="25">
        <f>IF(OR(ISBLANK(I308),ISBLANK(N308)),"",EDATE(I308,IF(N308="1 year",12,IF(N308="3 years",36,IF(N308="5 years",60,IF(N308="7 years",84,600))))))</f>
        <v/>
      </c>
      <c r="P308" s="21" t="n"/>
      <c r="Q308" s="21" t="n"/>
      <c r="R308" s="21" t="n"/>
      <c r="S308" s="21" t="n"/>
      <c r="T308" s="21" t="n"/>
      <c r="U308" s="21" t="n"/>
      <c r="V308" s="25">
        <f>TODAY()</f>
        <v/>
      </c>
    </row>
    <row r="309">
      <c r="A309" s="20" t="inlineStr">
        <is>
          <t>EV-296</t>
        </is>
      </c>
      <c r="B309" s="21" t="n"/>
      <c r="C309" s="21" t="n"/>
      <c r="D309" s="21" t="n"/>
      <c r="E309" s="21" t="n"/>
      <c r="F309" s="21" t="n"/>
      <c r="G309" s="21" t="n"/>
      <c r="H309" s="21" t="n"/>
      <c r="I309" s="21" t="n"/>
      <c r="J309" s="21" t="n"/>
      <c r="K309" s="21" t="n"/>
      <c r="L309" s="21" t="n"/>
      <c r="M309" s="21" t="n"/>
      <c r="N309" s="21" t="n"/>
      <c r="O309" s="25">
        <f>IF(OR(ISBLANK(I309),ISBLANK(N309)),"",EDATE(I309,IF(N309="1 year",12,IF(N309="3 years",36,IF(N309="5 years",60,IF(N309="7 years",84,600))))))</f>
        <v/>
      </c>
      <c r="P309" s="21" t="n"/>
      <c r="Q309" s="21" t="n"/>
      <c r="R309" s="21" t="n"/>
      <c r="S309" s="21" t="n"/>
      <c r="T309" s="21" t="n"/>
      <c r="U309" s="21" t="n"/>
      <c r="V309" s="25">
        <f>TODAY()</f>
        <v/>
      </c>
    </row>
    <row r="310">
      <c r="A310" s="20" t="inlineStr">
        <is>
          <t>EV-297</t>
        </is>
      </c>
      <c r="B310" s="21" t="n"/>
      <c r="C310" s="21" t="n"/>
      <c r="D310" s="21" t="n"/>
      <c r="E310" s="21" t="n"/>
      <c r="F310" s="21" t="n"/>
      <c r="G310" s="21" t="n"/>
      <c r="H310" s="21" t="n"/>
      <c r="I310" s="21" t="n"/>
      <c r="J310" s="21" t="n"/>
      <c r="K310" s="21" t="n"/>
      <c r="L310" s="21" t="n"/>
      <c r="M310" s="21" t="n"/>
      <c r="N310" s="21" t="n"/>
      <c r="O310" s="25">
        <f>IF(OR(ISBLANK(I310),ISBLANK(N310)),"",EDATE(I310,IF(N310="1 year",12,IF(N310="3 years",36,IF(N310="5 years",60,IF(N310="7 years",84,600))))))</f>
        <v/>
      </c>
      <c r="P310" s="21" t="n"/>
      <c r="Q310" s="21" t="n"/>
      <c r="R310" s="21" t="n"/>
      <c r="S310" s="21" t="n"/>
      <c r="T310" s="21" t="n"/>
      <c r="U310" s="21" t="n"/>
      <c r="V310" s="25">
        <f>TODAY()</f>
        <v/>
      </c>
    </row>
    <row r="311">
      <c r="A311" s="20" t="inlineStr">
        <is>
          <t>EV-298</t>
        </is>
      </c>
      <c r="B311" s="21" t="n"/>
      <c r="C311" s="21" t="n"/>
      <c r="D311" s="21" t="n"/>
      <c r="E311" s="21" t="n"/>
      <c r="F311" s="21" t="n"/>
      <c r="G311" s="21" t="n"/>
      <c r="H311" s="21" t="n"/>
      <c r="I311" s="21" t="n"/>
      <c r="J311" s="21" t="n"/>
      <c r="K311" s="21" t="n"/>
      <c r="L311" s="21" t="n"/>
      <c r="M311" s="21" t="n"/>
      <c r="N311" s="21" t="n"/>
      <c r="O311" s="25">
        <f>IF(OR(ISBLANK(I311),ISBLANK(N311)),"",EDATE(I311,IF(N311="1 year",12,IF(N311="3 years",36,IF(N311="5 years",60,IF(N311="7 years",84,600))))))</f>
        <v/>
      </c>
      <c r="P311" s="21" t="n"/>
      <c r="Q311" s="21" t="n"/>
      <c r="R311" s="21" t="n"/>
      <c r="S311" s="21" t="n"/>
      <c r="T311" s="21" t="n"/>
      <c r="U311" s="21" t="n"/>
      <c r="V311" s="25">
        <f>TODAY()</f>
        <v/>
      </c>
    </row>
    <row r="312">
      <c r="A312" s="20" t="inlineStr">
        <is>
          <t>EV-299</t>
        </is>
      </c>
      <c r="B312" s="21" t="n"/>
      <c r="C312" s="21" t="n"/>
      <c r="D312" s="21" t="n"/>
      <c r="E312" s="21" t="n"/>
      <c r="F312" s="21" t="n"/>
      <c r="G312" s="21" t="n"/>
      <c r="H312" s="21" t="n"/>
      <c r="I312" s="21" t="n"/>
      <c r="J312" s="21" t="n"/>
      <c r="K312" s="21" t="n"/>
      <c r="L312" s="21" t="n"/>
      <c r="M312" s="21" t="n"/>
      <c r="N312" s="21" t="n"/>
      <c r="O312" s="25">
        <f>IF(OR(ISBLANK(I312),ISBLANK(N312)),"",EDATE(I312,IF(N312="1 year",12,IF(N312="3 years",36,IF(N312="5 years",60,IF(N312="7 years",84,600))))))</f>
        <v/>
      </c>
      <c r="P312" s="21" t="n"/>
      <c r="Q312" s="21" t="n"/>
      <c r="R312" s="21" t="n"/>
      <c r="S312" s="21" t="n"/>
      <c r="T312" s="21" t="n"/>
      <c r="U312" s="21" t="n"/>
      <c r="V312" s="25">
        <f>TODAY()</f>
        <v/>
      </c>
    </row>
    <row r="313">
      <c r="A313" s="20" t="inlineStr">
        <is>
          <t>EV-300</t>
        </is>
      </c>
      <c r="B313" s="21" t="n"/>
      <c r="C313" s="21" t="n"/>
      <c r="D313" s="21" t="n"/>
      <c r="E313" s="21" t="n"/>
      <c r="F313" s="21" t="n"/>
      <c r="G313" s="21" t="n"/>
      <c r="H313" s="21" t="n"/>
      <c r="I313" s="21" t="n"/>
      <c r="J313" s="21" t="n"/>
      <c r="K313" s="21" t="n"/>
      <c r="L313" s="21" t="n"/>
      <c r="M313" s="21" t="n"/>
      <c r="N313" s="21" t="n"/>
      <c r="O313" s="25">
        <f>IF(OR(ISBLANK(I313),ISBLANK(N313)),"",EDATE(I313,IF(N313="1 year",12,IF(N313="3 years",36,IF(N313="5 years",60,IF(N313="7 years",84,600))))))</f>
        <v/>
      </c>
      <c r="P313" s="21" t="n"/>
      <c r="Q313" s="21" t="n"/>
      <c r="R313" s="21" t="n"/>
      <c r="S313" s="21" t="n"/>
      <c r="T313" s="21" t="n"/>
      <c r="U313" s="21" t="n"/>
      <c r="V313" s="25">
        <f>TODAY()</f>
        <v/>
      </c>
    </row>
    <row r="314">
      <c r="A314" s="20" t="inlineStr">
        <is>
          <t>EV-301</t>
        </is>
      </c>
      <c r="B314" s="21" t="n"/>
      <c r="C314" s="21" t="n"/>
      <c r="D314" s="21" t="n"/>
      <c r="E314" s="21" t="n"/>
      <c r="F314" s="21" t="n"/>
      <c r="G314" s="21" t="n"/>
      <c r="H314" s="21" t="n"/>
      <c r="I314" s="21" t="n"/>
      <c r="J314" s="21" t="n"/>
      <c r="K314" s="21" t="n"/>
      <c r="L314" s="21" t="n"/>
      <c r="M314" s="21" t="n"/>
      <c r="N314" s="21" t="n"/>
      <c r="O314" s="25">
        <f>IF(OR(ISBLANK(I314),ISBLANK(N314)),"",EDATE(I314,IF(N314="1 year",12,IF(N314="3 years",36,IF(N314="5 years",60,IF(N314="7 years",84,600))))))</f>
        <v/>
      </c>
      <c r="P314" s="21" t="n"/>
      <c r="Q314" s="21" t="n"/>
      <c r="R314" s="21" t="n"/>
      <c r="S314" s="21" t="n"/>
      <c r="T314" s="21" t="n"/>
      <c r="U314" s="21" t="n"/>
      <c r="V314" s="25">
        <f>TODAY()</f>
        <v/>
      </c>
    </row>
    <row r="315">
      <c r="A315" s="20" t="inlineStr">
        <is>
          <t>EV-302</t>
        </is>
      </c>
      <c r="B315" s="21" t="n"/>
      <c r="C315" s="21" t="n"/>
      <c r="D315" s="21" t="n"/>
      <c r="E315" s="21" t="n"/>
      <c r="F315" s="21" t="n"/>
      <c r="G315" s="21" t="n"/>
      <c r="H315" s="21" t="n"/>
      <c r="I315" s="21" t="n"/>
      <c r="J315" s="21" t="n"/>
      <c r="K315" s="21" t="n"/>
      <c r="L315" s="21" t="n"/>
      <c r="M315" s="21" t="n"/>
      <c r="N315" s="21" t="n"/>
      <c r="O315" s="25">
        <f>IF(OR(ISBLANK(I315),ISBLANK(N315)),"",EDATE(I315,IF(N315="1 year",12,IF(N315="3 years",36,IF(N315="5 years",60,IF(N315="7 years",84,600))))))</f>
        <v/>
      </c>
      <c r="P315" s="21" t="n"/>
      <c r="Q315" s="21" t="n"/>
      <c r="R315" s="21" t="n"/>
      <c r="S315" s="21" t="n"/>
      <c r="T315" s="21" t="n"/>
      <c r="U315" s="21" t="n"/>
      <c r="V315" s="25">
        <f>TODAY()</f>
        <v/>
      </c>
    </row>
    <row r="316">
      <c r="A316" s="20" t="inlineStr">
        <is>
          <t>EV-303</t>
        </is>
      </c>
      <c r="B316" s="21" t="n"/>
      <c r="C316" s="21" t="n"/>
      <c r="D316" s="21" t="n"/>
      <c r="E316" s="21" t="n"/>
      <c r="F316" s="21" t="n"/>
      <c r="G316" s="21" t="n"/>
      <c r="H316" s="21" t="n"/>
      <c r="I316" s="21" t="n"/>
      <c r="J316" s="21" t="n"/>
      <c r="K316" s="21" t="n"/>
      <c r="L316" s="21" t="n"/>
      <c r="M316" s="21" t="n"/>
      <c r="N316" s="21" t="n"/>
      <c r="O316" s="25">
        <f>IF(OR(ISBLANK(I316),ISBLANK(N316)),"",EDATE(I316,IF(N316="1 year",12,IF(N316="3 years",36,IF(N316="5 years",60,IF(N316="7 years",84,600))))))</f>
        <v/>
      </c>
      <c r="P316" s="21" t="n"/>
      <c r="Q316" s="21" t="n"/>
      <c r="R316" s="21" t="n"/>
      <c r="S316" s="21" t="n"/>
      <c r="T316" s="21" t="n"/>
      <c r="U316" s="21" t="n"/>
      <c r="V316" s="25">
        <f>TODAY()</f>
        <v/>
      </c>
    </row>
    <row r="317">
      <c r="A317" s="20" t="inlineStr">
        <is>
          <t>EV-304</t>
        </is>
      </c>
      <c r="B317" s="21" t="n"/>
      <c r="C317" s="21" t="n"/>
      <c r="D317" s="21" t="n"/>
      <c r="E317" s="21" t="n"/>
      <c r="F317" s="21" t="n"/>
      <c r="G317" s="21" t="n"/>
      <c r="H317" s="21" t="n"/>
      <c r="I317" s="21" t="n"/>
      <c r="J317" s="21" t="n"/>
      <c r="K317" s="21" t="n"/>
      <c r="L317" s="21" t="n"/>
      <c r="M317" s="21" t="n"/>
      <c r="N317" s="21" t="n"/>
      <c r="O317" s="25">
        <f>IF(OR(ISBLANK(I317),ISBLANK(N317)),"",EDATE(I317,IF(N317="1 year",12,IF(N317="3 years",36,IF(N317="5 years",60,IF(N317="7 years",84,600))))))</f>
        <v/>
      </c>
      <c r="P317" s="21" t="n"/>
      <c r="Q317" s="21" t="n"/>
      <c r="R317" s="21" t="n"/>
      <c r="S317" s="21" t="n"/>
      <c r="T317" s="21" t="n"/>
      <c r="U317" s="21" t="n"/>
      <c r="V317" s="25">
        <f>TODAY()</f>
        <v/>
      </c>
    </row>
    <row r="318">
      <c r="A318" s="20" t="inlineStr">
        <is>
          <t>EV-305</t>
        </is>
      </c>
      <c r="B318" s="21" t="n"/>
      <c r="C318" s="21" t="n"/>
      <c r="D318" s="21" t="n"/>
      <c r="E318" s="21" t="n"/>
      <c r="F318" s="21" t="n"/>
      <c r="G318" s="21" t="n"/>
      <c r="H318" s="21" t="n"/>
      <c r="I318" s="21" t="n"/>
      <c r="J318" s="21" t="n"/>
      <c r="K318" s="21" t="n"/>
      <c r="L318" s="21" t="n"/>
      <c r="M318" s="21" t="n"/>
      <c r="N318" s="21" t="n"/>
      <c r="O318" s="25">
        <f>IF(OR(ISBLANK(I318),ISBLANK(N318)),"",EDATE(I318,IF(N318="1 year",12,IF(N318="3 years",36,IF(N318="5 years",60,IF(N318="7 years",84,600))))))</f>
        <v/>
      </c>
      <c r="P318" s="21" t="n"/>
      <c r="Q318" s="21" t="n"/>
      <c r="R318" s="21" t="n"/>
      <c r="S318" s="21" t="n"/>
      <c r="T318" s="21" t="n"/>
      <c r="U318" s="21" t="n"/>
      <c r="V318" s="25">
        <f>TODAY()</f>
        <v/>
      </c>
    </row>
    <row r="319">
      <c r="A319" s="20" t="inlineStr">
        <is>
          <t>EV-306</t>
        </is>
      </c>
      <c r="B319" s="21" t="n"/>
      <c r="C319" s="21" t="n"/>
      <c r="D319" s="21" t="n"/>
      <c r="E319" s="21" t="n"/>
      <c r="F319" s="21" t="n"/>
      <c r="G319" s="21" t="n"/>
      <c r="H319" s="21" t="n"/>
      <c r="I319" s="21" t="n"/>
      <c r="J319" s="21" t="n"/>
      <c r="K319" s="21" t="n"/>
      <c r="L319" s="21" t="n"/>
      <c r="M319" s="21" t="n"/>
      <c r="N319" s="21" t="n"/>
      <c r="O319" s="25">
        <f>IF(OR(ISBLANK(I319),ISBLANK(N319)),"",EDATE(I319,IF(N319="1 year",12,IF(N319="3 years",36,IF(N319="5 years",60,IF(N319="7 years",84,600))))))</f>
        <v/>
      </c>
      <c r="P319" s="21" t="n"/>
      <c r="Q319" s="21" t="n"/>
      <c r="R319" s="21" t="n"/>
      <c r="S319" s="21" t="n"/>
      <c r="T319" s="21" t="n"/>
      <c r="U319" s="21" t="n"/>
      <c r="V319" s="25">
        <f>TODAY()</f>
        <v/>
      </c>
    </row>
    <row r="320">
      <c r="A320" s="20" t="inlineStr">
        <is>
          <t>EV-307</t>
        </is>
      </c>
      <c r="B320" s="21" t="n"/>
      <c r="C320" s="21" t="n"/>
      <c r="D320" s="21" t="n"/>
      <c r="E320" s="21" t="n"/>
      <c r="F320" s="21" t="n"/>
      <c r="G320" s="21" t="n"/>
      <c r="H320" s="21" t="n"/>
      <c r="I320" s="21" t="n"/>
      <c r="J320" s="21" t="n"/>
      <c r="K320" s="21" t="n"/>
      <c r="L320" s="21" t="n"/>
      <c r="M320" s="21" t="n"/>
      <c r="N320" s="21" t="n"/>
      <c r="O320" s="25">
        <f>IF(OR(ISBLANK(I320),ISBLANK(N320)),"",EDATE(I320,IF(N320="1 year",12,IF(N320="3 years",36,IF(N320="5 years",60,IF(N320="7 years",84,600))))))</f>
        <v/>
      </c>
      <c r="P320" s="21" t="n"/>
      <c r="Q320" s="21" t="n"/>
      <c r="R320" s="21" t="n"/>
      <c r="S320" s="21" t="n"/>
      <c r="T320" s="21" t="n"/>
      <c r="U320" s="21" t="n"/>
      <c r="V320" s="25">
        <f>TODAY()</f>
        <v/>
      </c>
    </row>
    <row r="321">
      <c r="A321" s="20" t="inlineStr">
        <is>
          <t>EV-308</t>
        </is>
      </c>
      <c r="B321" s="21" t="n"/>
      <c r="C321" s="21" t="n"/>
      <c r="D321" s="21" t="n"/>
      <c r="E321" s="21" t="n"/>
      <c r="F321" s="21" t="n"/>
      <c r="G321" s="21" t="n"/>
      <c r="H321" s="21" t="n"/>
      <c r="I321" s="21" t="n"/>
      <c r="J321" s="21" t="n"/>
      <c r="K321" s="21" t="n"/>
      <c r="L321" s="21" t="n"/>
      <c r="M321" s="21" t="n"/>
      <c r="N321" s="21" t="n"/>
      <c r="O321" s="25">
        <f>IF(OR(ISBLANK(I321),ISBLANK(N321)),"",EDATE(I321,IF(N321="1 year",12,IF(N321="3 years",36,IF(N321="5 years",60,IF(N321="7 years",84,600))))))</f>
        <v/>
      </c>
      <c r="P321" s="21" t="n"/>
      <c r="Q321" s="21" t="n"/>
      <c r="R321" s="21" t="n"/>
      <c r="S321" s="21" t="n"/>
      <c r="T321" s="21" t="n"/>
      <c r="U321" s="21" t="n"/>
      <c r="V321" s="25">
        <f>TODAY()</f>
        <v/>
      </c>
    </row>
    <row r="322">
      <c r="A322" s="20" t="inlineStr">
        <is>
          <t>EV-309</t>
        </is>
      </c>
      <c r="B322" s="21" t="n"/>
      <c r="C322" s="21" t="n"/>
      <c r="D322" s="21" t="n"/>
      <c r="E322" s="21" t="n"/>
      <c r="F322" s="21" t="n"/>
      <c r="G322" s="21" t="n"/>
      <c r="H322" s="21" t="n"/>
      <c r="I322" s="21" t="n"/>
      <c r="J322" s="21" t="n"/>
      <c r="K322" s="21" t="n"/>
      <c r="L322" s="21" t="n"/>
      <c r="M322" s="21" t="n"/>
      <c r="N322" s="21" t="n"/>
      <c r="O322" s="25">
        <f>IF(OR(ISBLANK(I322),ISBLANK(N322)),"",EDATE(I322,IF(N322="1 year",12,IF(N322="3 years",36,IF(N322="5 years",60,IF(N322="7 years",84,600))))))</f>
        <v/>
      </c>
      <c r="P322" s="21" t="n"/>
      <c r="Q322" s="21" t="n"/>
      <c r="R322" s="21" t="n"/>
      <c r="S322" s="21" t="n"/>
      <c r="T322" s="21" t="n"/>
      <c r="U322" s="21" t="n"/>
      <c r="V322" s="25">
        <f>TODAY()</f>
        <v/>
      </c>
    </row>
    <row r="323">
      <c r="A323" s="20" t="inlineStr">
        <is>
          <t>EV-310</t>
        </is>
      </c>
      <c r="B323" s="21" t="n"/>
      <c r="C323" s="21" t="n"/>
      <c r="D323" s="21" t="n"/>
      <c r="E323" s="21" t="n"/>
      <c r="F323" s="21" t="n"/>
      <c r="G323" s="21" t="n"/>
      <c r="H323" s="21" t="n"/>
      <c r="I323" s="21" t="n"/>
      <c r="J323" s="21" t="n"/>
      <c r="K323" s="21" t="n"/>
      <c r="L323" s="21" t="n"/>
      <c r="M323" s="21" t="n"/>
      <c r="N323" s="21" t="n"/>
      <c r="O323" s="25">
        <f>IF(OR(ISBLANK(I323),ISBLANK(N323)),"",EDATE(I323,IF(N323="1 year",12,IF(N323="3 years",36,IF(N323="5 years",60,IF(N323="7 years",84,600))))))</f>
        <v/>
      </c>
      <c r="P323" s="21" t="n"/>
      <c r="Q323" s="21" t="n"/>
      <c r="R323" s="21" t="n"/>
      <c r="S323" s="21" t="n"/>
      <c r="T323" s="21" t="n"/>
      <c r="U323" s="21" t="n"/>
      <c r="V323" s="25">
        <f>TODAY()</f>
        <v/>
      </c>
    </row>
    <row r="324">
      <c r="A324" s="20" t="inlineStr">
        <is>
          <t>EV-311</t>
        </is>
      </c>
      <c r="B324" s="21" t="n"/>
      <c r="C324" s="21" t="n"/>
      <c r="D324" s="21" t="n"/>
      <c r="E324" s="21" t="n"/>
      <c r="F324" s="21" t="n"/>
      <c r="G324" s="21" t="n"/>
      <c r="H324" s="21" t="n"/>
      <c r="I324" s="21" t="n"/>
      <c r="J324" s="21" t="n"/>
      <c r="K324" s="21" t="n"/>
      <c r="L324" s="21" t="n"/>
      <c r="M324" s="21" t="n"/>
      <c r="N324" s="21" t="n"/>
      <c r="O324" s="25">
        <f>IF(OR(ISBLANK(I324),ISBLANK(N324)),"",EDATE(I324,IF(N324="1 year",12,IF(N324="3 years",36,IF(N324="5 years",60,IF(N324="7 years",84,600))))))</f>
        <v/>
      </c>
      <c r="P324" s="21" t="n"/>
      <c r="Q324" s="21" t="n"/>
      <c r="R324" s="21" t="n"/>
      <c r="S324" s="21" t="n"/>
      <c r="T324" s="21" t="n"/>
      <c r="U324" s="21" t="n"/>
      <c r="V324" s="25">
        <f>TODAY()</f>
        <v/>
      </c>
    </row>
    <row r="325">
      <c r="A325" s="20" t="inlineStr">
        <is>
          <t>EV-312</t>
        </is>
      </c>
      <c r="B325" s="21" t="n"/>
      <c r="C325" s="21" t="n"/>
      <c r="D325" s="21" t="n"/>
      <c r="E325" s="21" t="n"/>
      <c r="F325" s="21" t="n"/>
      <c r="G325" s="21" t="n"/>
      <c r="H325" s="21" t="n"/>
      <c r="I325" s="21" t="n"/>
      <c r="J325" s="21" t="n"/>
      <c r="K325" s="21" t="n"/>
      <c r="L325" s="21" t="n"/>
      <c r="M325" s="21" t="n"/>
      <c r="N325" s="21" t="n"/>
      <c r="O325" s="25">
        <f>IF(OR(ISBLANK(I325),ISBLANK(N325)),"",EDATE(I325,IF(N325="1 year",12,IF(N325="3 years",36,IF(N325="5 years",60,IF(N325="7 years",84,600))))))</f>
        <v/>
      </c>
      <c r="P325" s="21" t="n"/>
      <c r="Q325" s="21" t="n"/>
      <c r="R325" s="21" t="n"/>
      <c r="S325" s="21" t="n"/>
      <c r="T325" s="21" t="n"/>
      <c r="U325" s="21" t="n"/>
      <c r="V325" s="25">
        <f>TODAY()</f>
        <v/>
      </c>
    </row>
    <row r="326">
      <c r="A326" s="20" t="inlineStr">
        <is>
          <t>EV-313</t>
        </is>
      </c>
      <c r="B326" s="21" t="n"/>
      <c r="C326" s="21" t="n"/>
      <c r="D326" s="21" t="n"/>
      <c r="E326" s="21" t="n"/>
      <c r="F326" s="21" t="n"/>
      <c r="G326" s="21" t="n"/>
      <c r="H326" s="21" t="n"/>
      <c r="I326" s="21" t="n"/>
      <c r="J326" s="21" t="n"/>
      <c r="K326" s="21" t="n"/>
      <c r="L326" s="21" t="n"/>
      <c r="M326" s="21" t="n"/>
      <c r="N326" s="21" t="n"/>
      <c r="O326" s="25">
        <f>IF(OR(ISBLANK(I326),ISBLANK(N326)),"",EDATE(I326,IF(N326="1 year",12,IF(N326="3 years",36,IF(N326="5 years",60,IF(N326="7 years",84,600))))))</f>
        <v/>
      </c>
      <c r="P326" s="21" t="n"/>
      <c r="Q326" s="21" t="n"/>
      <c r="R326" s="21" t="n"/>
      <c r="S326" s="21" t="n"/>
      <c r="T326" s="21" t="n"/>
      <c r="U326" s="21" t="n"/>
      <c r="V326" s="25">
        <f>TODAY()</f>
        <v/>
      </c>
    </row>
    <row r="327">
      <c r="A327" s="20" t="inlineStr">
        <is>
          <t>EV-314</t>
        </is>
      </c>
      <c r="B327" s="21" t="n"/>
      <c r="C327" s="21" t="n"/>
      <c r="D327" s="21" t="n"/>
      <c r="E327" s="21" t="n"/>
      <c r="F327" s="21" t="n"/>
      <c r="G327" s="21" t="n"/>
      <c r="H327" s="21" t="n"/>
      <c r="I327" s="21" t="n"/>
      <c r="J327" s="21" t="n"/>
      <c r="K327" s="21" t="n"/>
      <c r="L327" s="21" t="n"/>
      <c r="M327" s="21" t="n"/>
      <c r="N327" s="21" t="n"/>
      <c r="O327" s="25">
        <f>IF(OR(ISBLANK(I327),ISBLANK(N327)),"",EDATE(I327,IF(N327="1 year",12,IF(N327="3 years",36,IF(N327="5 years",60,IF(N327="7 years",84,600))))))</f>
        <v/>
      </c>
      <c r="P327" s="21" t="n"/>
      <c r="Q327" s="21" t="n"/>
      <c r="R327" s="21" t="n"/>
      <c r="S327" s="21" t="n"/>
      <c r="T327" s="21" t="n"/>
      <c r="U327" s="21" t="n"/>
      <c r="V327" s="25">
        <f>TODAY()</f>
        <v/>
      </c>
    </row>
    <row r="328">
      <c r="A328" s="20" t="inlineStr">
        <is>
          <t>EV-315</t>
        </is>
      </c>
      <c r="B328" s="21" t="n"/>
      <c r="C328" s="21" t="n"/>
      <c r="D328" s="21" t="n"/>
      <c r="E328" s="21" t="n"/>
      <c r="F328" s="21" t="n"/>
      <c r="G328" s="21" t="n"/>
      <c r="H328" s="21" t="n"/>
      <c r="I328" s="21" t="n"/>
      <c r="J328" s="21" t="n"/>
      <c r="K328" s="21" t="n"/>
      <c r="L328" s="21" t="n"/>
      <c r="M328" s="21" t="n"/>
      <c r="N328" s="21" t="n"/>
      <c r="O328" s="25">
        <f>IF(OR(ISBLANK(I328),ISBLANK(N328)),"",EDATE(I328,IF(N328="1 year",12,IF(N328="3 years",36,IF(N328="5 years",60,IF(N328="7 years",84,600))))))</f>
        <v/>
      </c>
      <c r="P328" s="21" t="n"/>
      <c r="Q328" s="21" t="n"/>
      <c r="R328" s="21" t="n"/>
      <c r="S328" s="21" t="n"/>
      <c r="T328" s="21" t="n"/>
      <c r="U328" s="21" t="n"/>
      <c r="V328" s="25">
        <f>TODAY()</f>
        <v/>
      </c>
    </row>
    <row r="329">
      <c r="A329" s="20" t="inlineStr">
        <is>
          <t>EV-316</t>
        </is>
      </c>
      <c r="B329" s="21" t="n"/>
      <c r="C329" s="21" t="n"/>
      <c r="D329" s="21" t="n"/>
      <c r="E329" s="21" t="n"/>
      <c r="F329" s="21" t="n"/>
      <c r="G329" s="21" t="n"/>
      <c r="H329" s="21" t="n"/>
      <c r="I329" s="21" t="n"/>
      <c r="J329" s="21" t="n"/>
      <c r="K329" s="21" t="n"/>
      <c r="L329" s="21" t="n"/>
      <c r="M329" s="21" t="n"/>
      <c r="N329" s="21" t="n"/>
      <c r="O329" s="25">
        <f>IF(OR(ISBLANK(I329),ISBLANK(N329)),"",EDATE(I329,IF(N329="1 year",12,IF(N329="3 years",36,IF(N329="5 years",60,IF(N329="7 years",84,600))))))</f>
        <v/>
      </c>
      <c r="P329" s="21" t="n"/>
      <c r="Q329" s="21" t="n"/>
      <c r="R329" s="21" t="n"/>
      <c r="S329" s="21" t="n"/>
      <c r="T329" s="21" t="n"/>
      <c r="U329" s="21" t="n"/>
      <c r="V329" s="25">
        <f>TODAY()</f>
        <v/>
      </c>
    </row>
    <row r="330">
      <c r="A330" s="20" t="inlineStr">
        <is>
          <t>EV-317</t>
        </is>
      </c>
      <c r="B330" s="21" t="n"/>
      <c r="C330" s="21" t="n"/>
      <c r="D330" s="21" t="n"/>
      <c r="E330" s="21" t="n"/>
      <c r="F330" s="21" t="n"/>
      <c r="G330" s="21" t="n"/>
      <c r="H330" s="21" t="n"/>
      <c r="I330" s="21" t="n"/>
      <c r="J330" s="21" t="n"/>
      <c r="K330" s="21" t="n"/>
      <c r="L330" s="21" t="n"/>
      <c r="M330" s="21" t="n"/>
      <c r="N330" s="21" t="n"/>
      <c r="O330" s="25">
        <f>IF(OR(ISBLANK(I330),ISBLANK(N330)),"",EDATE(I330,IF(N330="1 year",12,IF(N330="3 years",36,IF(N330="5 years",60,IF(N330="7 years",84,600))))))</f>
        <v/>
      </c>
      <c r="P330" s="21" t="n"/>
      <c r="Q330" s="21" t="n"/>
      <c r="R330" s="21" t="n"/>
      <c r="S330" s="21" t="n"/>
      <c r="T330" s="21" t="n"/>
      <c r="U330" s="21" t="n"/>
      <c r="V330" s="25">
        <f>TODAY()</f>
        <v/>
      </c>
    </row>
    <row r="331">
      <c r="A331" s="20" t="inlineStr">
        <is>
          <t>EV-318</t>
        </is>
      </c>
      <c r="B331" s="21" t="n"/>
      <c r="C331" s="21" t="n"/>
      <c r="D331" s="21" t="n"/>
      <c r="E331" s="21" t="n"/>
      <c r="F331" s="21" t="n"/>
      <c r="G331" s="21" t="n"/>
      <c r="H331" s="21" t="n"/>
      <c r="I331" s="21" t="n"/>
      <c r="J331" s="21" t="n"/>
      <c r="K331" s="21" t="n"/>
      <c r="L331" s="21" t="n"/>
      <c r="M331" s="21" t="n"/>
      <c r="N331" s="21" t="n"/>
      <c r="O331" s="25">
        <f>IF(OR(ISBLANK(I331),ISBLANK(N331)),"",EDATE(I331,IF(N331="1 year",12,IF(N331="3 years",36,IF(N331="5 years",60,IF(N331="7 years",84,600))))))</f>
        <v/>
      </c>
      <c r="P331" s="21" t="n"/>
      <c r="Q331" s="21" t="n"/>
      <c r="R331" s="21" t="n"/>
      <c r="S331" s="21" t="n"/>
      <c r="T331" s="21" t="n"/>
      <c r="U331" s="21" t="n"/>
      <c r="V331" s="25">
        <f>TODAY()</f>
        <v/>
      </c>
    </row>
    <row r="332">
      <c r="A332" s="20" t="inlineStr">
        <is>
          <t>EV-319</t>
        </is>
      </c>
      <c r="B332" s="21" t="n"/>
      <c r="C332" s="21" t="n"/>
      <c r="D332" s="21" t="n"/>
      <c r="E332" s="21" t="n"/>
      <c r="F332" s="21" t="n"/>
      <c r="G332" s="21" t="n"/>
      <c r="H332" s="21" t="n"/>
      <c r="I332" s="21" t="n"/>
      <c r="J332" s="21" t="n"/>
      <c r="K332" s="21" t="n"/>
      <c r="L332" s="21" t="n"/>
      <c r="M332" s="21" t="n"/>
      <c r="N332" s="21" t="n"/>
      <c r="O332" s="25">
        <f>IF(OR(ISBLANK(I332),ISBLANK(N332)),"",EDATE(I332,IF(N332="1 year",12,IF(N332="3 years",36,IF(N332="5 years",60,IF(N332="7 years",84,600))))))</f>
        <v/>
      </c>
      <c r="P332" s="21" t="n"/>
      <c r="Q332" s="21" t="n"/>
      <c r="R332" s="21" t="n"/>
      <c r="S332" s="21" t="n"/>
      <c r="T332" s="21" t="n"/>
      <c r="U332" s="21" t="n"/>
      <c r="V332" s="25">
        <f>TODAY()</f>
        <v/>
      </c>
    </row>
    <row r="333">
      <c r="A333" s="20" t="inlineStr">
        <is>
          <t>EV-320</t>
        </is>
      </c>
      <c r="B333" s="21" t="n"/>
      <c r="C333" s="21" t="n"/>
      <c r="D333" s="21" t="n"/>
      <c r="E333" s="21" t="n"/>
      <c r="F333" s="21" t="n"/>
      <c r="G333" s="21" t="n"/>
      <c r="H333" s="21" t="n"/>
      <c r="I333" s="21" t="n"/>
      <c r="J333" s="21" t="n"/>
      <c r="K333" s="21" t="n"/>
      <c r="L333" s="21" t="n"/>
      <c r="M333" s="21" t="n"/>
      <c r="N333" s="21" t="n"/>
      <c r="O333" s="25">
        <f>IF(OR(ISBLANK(I333),ISBLANK(N333)),"",EDATE(I333,IF(N333="1 year",12,IF(N333="3 years",36,IF(N333="5 years",60,IF(N333="7 years",84,600))))))</f>
        <v/>
      </c>
      <c r="P333" s="21" t="n"/>
      <c r="Q333" s="21" t="n"/>
      <c r="R333" s="21" t="n"/>
      <c r="S333" s="21" t="n"/>
      <c r="T333" s="21" t="n"/>
      <c r="U333" s="21" t="n"/>
      <c r="V333" s="25">
        <f>TODAY()</f>
        <v/>
      </c>
    </row>
    <row r="334">
      <c r="A334" s="20" t="inlineStr">
        <is>
          <t>EV-321</t>
        </is>
      </c>
      <c r="B334" s="21" t="n"/>
      <c r="C334" s="21" t="n"/>
      <c r="D334" s="21" t="n"/>
      <c r="E334" s="21" t="n"/>
      <c r="F334" s="21" t="n"/>
      <c r="G334" s="21" t="n"/>
      <c r="H334" s="21" t="n"/>
      <c r="I334" s="21" t="n"/>
      <c r="J334" s="21" t="n"/>
      <c r="K334" s="21" t="n"/>
      <c r="L334" s="21" t="n"/>
      <c r="M334" s="21" t="n"/>
      <c r="N334" s="21" t="n"/>
      <c r="O334" s="25">
        <f>IF(OR(ISBLANK(I334),ISBLANK(N334)),"",EDATE(I334,IF(N334="1 year",12,IF(N334="3 years",36,IF(N334="5 years",60,IF(N334="7 years",84,600))))))</f>
        <v/>
      </c>
      <c r="P334" s="21" t="n"/>
      <c r="Q334" s="21" t="n"/>
      <c r="R334" s="21" t="n"/>
      <c r="S334" s="21" t="n"/>
      <c r="T334" s="21" t="n"/>
      <c r="U334" s="21" t="n"/>
      <c r="V334" s="25">
        <f>TODAY()</f>
        <v/>
      </c>
    </row>
    <row r="335">
      <c r="A335" s="20" t="inlineStr">
        <is>
          <t>EV-322</t>
        </is>
      </c>
      <c r="B335" s="21" t="n"/>
      <c r="C335" s="21" t="n"/>
      <c r="D335" s="21" t="n"/>
      <c r="E335" s="21" t="n"/>
      <c r="F335" s="21" t="n"/>
      <c r="G335" s="21" t="n"/>
      <c r="H335" s="21" t="n"/>
      <c r="I335" s="21" t="n"/>
      <c r="J335" s="21" t="n"/>
      <c r="K335" s="21" t="n"/>
      <c r="L335" s="21" t="n"/>
      <c r="M335" s="21" t="n"/>
      <c r="N335" s="21" t="n"/>
      <c r="O335" s="25">
        <f>IF(OR(ISBLANK(I335),ISBLANK(N335)),"",EDATE(I335,IF(N335="1 year",12,IF(N335="3 years",36,IF(N335="5 years",60,IF(N335="7 years",84,600))))))</f>
        <v/>
      </c>
      <c r="P335" s="21" t="n"/>
      <c r="Q335" s="21" t="n"/>
      <c r="R335" s="21" t="n"/>
      <c r="S335" s="21" t="n"/>
      <c r="T335" s="21" t="n"/>
      <c r="U335" s="21" t="n"/>
      <c r="V335" s="25">
        <f>TODAY()</f>
        <v/>
      </c>
    </row>
    <row r="336">
      <c r="A336" s="20" t="inlineStr">
        <is>
          <t>EV-323</t>
        </is>
      </c>
      <c r="B336" s="21" t="n"/>
      <c r="C336" s="21" t="n"/>
      <c r="D336" s="21" t="n"/>
      <c r="E336" s="21" t="n"/>
      <c r="F336" s="21" t="n"/>
      <c r="G336" s="21" t="n"/>
      <c r="H336" s="21" t="n"/>
      <c r="I336" s="21" t="n"/>
      <c r="J336" s="21" t="n"/>
      <c r="K336" s="21" t="n"/>
      <c r="L336" s="21" t="n"/>
      <c r="M336" s="21" t="n"/>
      <c r="N336" s="21" t="n"/>
      <c r="O336" s="25">
        <f>IF(OR(ISBLANK(I336),ISBLANK(N336)),"",EDATE(I336,IF(N336="1 year",12,IF(N336="3 years",36,IF(N336="5 years",60,IF(N336="7 years",84,600))))))</f>
        <v/>
      </c>
      <c r="P336" s="21" t="n"/>
      <c r="Q336" s="21" t="n"/>
      <c r="R336" s="21" t="n"/>
      <c r="S336" s="21" t="n"/>
      <c r="T336" s="21" t="n"/>
      <c r="U336" s="21" t="n"/>
      <c r="V336" s="25">
        <f>TODAY()</f>
        <v/>
      </c>
    </row>
    <row r="337">
      <c r="A337" s="20" t="inlineStr">
        <is>
          <t>EV-324</t>
        </is>
      </c>
      <c r="B337" s="21" t="n"/>
      <c r="C337" s="21" t="n"/>
      <c r="D337" s="21" t="n"/>
      <c r="E337" s="21" t="n"/>
      <c r="F337" s="21" t="n"/>
      <c r="G337" s="21" t="n"/>
      <c r="H337" s="21" t="n"/>
      <c r="I337" s="21" t="n"/>
      <c r="J337" s="21" t="n"/>
      <c r="K337" s="21" t="n"/>
      <c r="L337" s="21" t="n"/>
      <c r="M337" s="21" t="n"/>
      <c r="N337" s="21" t="n"/>
      <c r="O337" s="25">
        <f>IF(OR(ISBLANK(I337),ISBLANK(N337)),"",EDATE(I337,IF(N337="1 year",12,IF(N337="3 years",36,IF(N337="5 years",60,IF(N337="7 years",84,600))))))</f>
        <v/>
      </c>
      <c r="P337" s="21" t="n"/>
      <c r="Q337" s="21" t="n"/>
      <c r="R337" s="21" t="n"/>
      <c r="S337" s="21" t="n"/>
      <c r="T337" s="21" t="n"/>
      <c r="U337" s="21" t="n"/>
      <c r="V337" s="25">
        <f>TODAY()</f>
        <v/>
      </c>
    </row>
    <row r="338">
      <c r="A338" s="20" t="inlineStr">
        <is>
          <t>EV-325</t>
        </is>
      </c>
      <c r="B338" s="21" t="n"/>
      <c r="C338" s="21" t="n"/>
      <c r="D338" s="21" t="n"/>
      <c r="E338" s="21" t="n"/>
      <c r="F338" s="21" t="n"/>
      <c r="G338" s="21" t="n"/>
      <c r="H338" s="21" t="n"/>
      <c r="I338" s="21" t="n"/>
      <c r="J338" s="21" t="n"/>
      <c r="K338" s="21" t="n"/>
      <c r="L338" s="21" t="n"/>
      <c r="M338" s="21" t="n"/>
      <c r="N338" s="21" t="n"/>
      <c r="O338" s="25">
        <f>IF(OR(ISBLANK(I338),ISBLANK(N338)),"",EDATE(I338,IF(N338="1 year",12,IF(N338="3 years",36,IF(N338="5 years",60,IF(N338="7 years",84,600))))))</f>
        <v/>
      </c>
      <c r="P338" s="21" t="n"/>
      <c r="Q338" s="21" t="n"/>
      <c r="R338" s="21" t="n"/>
      <c r="S338" s="21" t="n"/>
      <c r="T338" s="21" t="n"/>
      <c r="U338" s="21" t="n"/>
      <c r="V338" s="25">
        <f>TODAY()</f>
        <v/>
      </c>
    </row>
    <row r="339">
      <c r="A339" s="20" t="inlineStr">
        <is>
          <t>EV-326</t>
        </is>
      </c>
      <c r="B339" s="21" t="n"/>
      <c r="C339" s="21" t="n"/>
      <c r="D339" s="21" t="n"/>
      <c r="E339" s="21" t="n"/>
      <c r="F339" s="21" t="n"/>
      <c r="G339" s="21" t="n"/>
      <c r="H339" s="21" t="n"/>
      <c r="I339" s="21" t="n"/>
      <c r="J339" s="21" t="n"/>
      <c r="K339" s="21" t="n"/>
      <c r="L339" s="21" t="n"/>
      <c r="M339" s="21" t="n"/>
      <c r="N339" s="21" t="n"/>
      <c r="O339" s="25">
        <f>IF(OR(ISBLANK(I339),ISBLANK(N339)),"",EDATE(I339,IF(N339="1 year",12,IF(N339="3 years",36,IF(N339="5 years",60,IF(N339="7 years",84,600))))))</f>
        <v/>
      </c>
      <c r="P339" s="21" t="n"/>
      <c r="Q339" s="21" t="n"/>
      <c r="R339" s="21" t="n"/>
      <c r="S339" s="21" t="n"/>
      <c r="T339" s="21" t="n"/>
      <c r="U339" s="21" t="n"/>
      <c r="V339" s="25">
        <f>TODAY()</f>
        <v/>
      </c>
    </row>
    <row r="340">
      <c r="A340" s="20" t="inlineStr">
        <is>
          <t>EV-327</t>
        </is>
      </c>
      <c r="B340" s="21" t="n"/>
      <c r="C340" s="21" t="n"/>
      <c r="D340" s="21" t="n"/>
      <c r="E340" s="21" t="n"/>
      <c r="F340" s="21" t="n"/>
      <c r="G340" s="21" t="n"/>
      <c r="H340" s="21" t="n"/>
      <c r="I340" s="21" t="n"/>
      <c r="J340" s="21" t="n"/>
      <c r="K340" s="21" t="n"/>
      <c r="L340" s="21" t="n"/>
      <c r="M340" s="21" t="n"/>
      <c r="N340" s="21" t="n"/>
      <c r="O340" s="25">
        <f>IF(OR(ISBLANK(I340),ISBLANK(N340)),"",EDATE(I340,IF(N340="1 year",12,IF(N340="3 years",36,IF(N340="5 years",60,IF(N340="7 years",84,600))))))</f>
        <v/>
      </c>
      <c r="P340" s="21" t="n"/>
      <c r="Q340" s="21" t="n"/>
      <c r="R340" s="21" t="n"/>
      <c r="S340" s="21" t="n"/>
      <c r="T340" s="21" t="n"/>
      <c r="U340" s="21" t="n"/>
      <c r="V340" s="25">
        <f>TODAY()</f>
        <v/>
      </c>
    </row>
    <row r="341">
      <c r="A341" s="20" t="inlineStr">
        <is>
          <t>EV-328</t>
        </is>
      </c>
      <c r="B341" s="21" t="n"/>
      <c r="C341" s="21" t="n"/>
      <c r="D341" s="21" t="n"/>
      <c r="E341" s="21" t="n"/>
      <c r="F341" s="21" t="n"/>
      <c r="G341" s="21" t="n"/>
      <c r="H341" s="21" t="n"/>
      <c r="I341" s="21" t="n"/>
      <c r="J341" s="21" t="n"/>
      <c r="K341" s="21" t="n"/>
      <c r="L341" s="21" t="n"/>
      <c r="M341" s="21" t="n"/>
      <c r="N341" s="21" t="n"/>
      <c r="O341" s="25">
        <f>IF(OR(ISBLANK(I341),ISBLANK(N341)),"",EDATE(I341,IF(N341="1 year",12,IF(N341="3 years",36,IF(N341="5 years",60,IF(N341="7 years",84,600))))))</f>
        <v/>
      </c>
      <c r="P341" s="21" t="n"/>
      <c r="Q341" s="21" t="n"/>
      <c r="R341" s="21" t="n"/>
      <c r="S341" s="21" t="n"/>
      <c r="T341" s="21" t="n"/>
      <c r="U341" s="21" t="n"/>
      <c r="V341" s="25">
        <f>TODAY()</f>
        <v/>
      </c>
    </row>
    <row r="342">
      <c r="A342" s="20" t="inlineStr">
        <is>
          <t>EV-329</t>
        </is>
      </c>
      <c r="B342" s="21" t="n"/>
      <c r="C342" s="21" t="n"/>
      <c r="D342" s="21" t="n"/>
      <c r="E342" s="21" t="n"/>
      <c r="F342" s="21" t="n"/>
      <c r="G342" s="21" t="n"/>
      <c r="H342" s="21" t="n"/>
      <c r="I342" s="21" t="n"/>
      <c r="J342" s="21" t="n"/>
      <c r="K342" s="21" t="n"/>
      <c r="L342" s="21" t="n"/>
      <c r="M342" s="21" t="n"/>
      <c r="N342" s="21" t="n"/>
      <c r="O342" s="25">
        <f>IF(OR(ISBLANK(I342),ISBLANK(N342)),"",EDATE(I342,IF(N342="1 year",12,IF(N342="3 years",36,IF(N342="5 years",60,IF(N342="7 years",84,600))))))</f>
        <v/>
      </c>
      <c r="P342" s="21" t="n"/>
      <c r="Q342" s="21" t="n"/>
      <c r="R342" s="21" t="n"/>
      <c r="S342" s="21" t="n"/>
      <c r="T342" s="21" t="n"/>
      <c r="U342" s="21" t="n"/>
      <c r="V342" s="25">
        <f>TODAY()</f>
        <v/>
      </c>
    </row>
    <row r="343">
      <c r="A343" s="20" t="inlineStr">
        <is>
          <t>EV-330</t>
        </is>
      </c>
      <c r="B343" s="21" t="n"/>
      <c r="C343" s="21" t="n"/>
      <c r="D343" s="21" t="n"/>
      <c r="E343" s="21" t="n"/>
      <c r="F343" s="21" t="n"/>
      <c r="G343" s="21" t="n"/>
      <c r="H343" s="21" t="n"/>
      <c r="I343" s="21" t="n"/>
      <c r="J343" s="21" t="n"/>
      <c r="K343" s="21" t="n"/>
      <c r="L343" s="21" t="n"/>
      <c r="M343" s="21" t="n"/>
      <c r="N343" s="21" t="n"/>
      <c r="O343" s="25">
        <f>IF(OR(ISBLANK(I343),ISBLANK(N343)),"",EDATE(I343,IF(N343="1 year",12,IF(N343="3 years",36,IF(N343="5 years",60,IF(N343="7 years",84,600))))))</f>
        <v/>
      </c>
      <c r="P343" s="21" t="n"/>
      <c r="Q343" s="21" t="n"/>
      <c r="R343" s="21" t="n"/>
      <c r="S343" s="21" t="n"/>
      <c r="T343" s="21" t="n"/>
      <c r="U343" s="21" t="n"/>
      <c r="V343" s="25">
        <f>TODAY()</f>
        <v/>
      </c>
    </row>
    <row r="344">
      <c r="A344" s="20" t="inlineStr">
        <is>
          <t>EV-331</t>
        </is>
      </c>
      <c r="B344" s="21" t="n"/>
      <c r="C344" s="21" t="n"/>
      <c r="D344" s="21" t="n"/>
      <c r="E344" s="21" t="n"/>
      <c r="F344" s="21" t="n"/>
      <c r="G344" s="21" t="n"/>
      <c r="H344" s="21" t="n"/>
      <c r="I344" s="21" t="n"/>
      <c r="J344" s="21" t="n"/>
      <c r="K344" s="21" t="n"/>
      <c r="L344" s="21" t="n"/>
      <c r="M344" s="21" t="n"/>
      <c r="N344" s="21" t="n"/>
      <c r="O344" s="25">
        <f>IF(OR(ISBLANK(I344),ISBLANK(N344)),"",EDATE(I344,IF(N344="1 year",12,IF(N344="3 years",36,IF(N344="5 years",60,IF(N344="7 years",84,600))))))</f>
        <v/>
      </c>
      <c r="P344" s="21" t="n"/>
      <c r="Q344" s="21" t="n"/>
      <c r="R344" s="21" t="n"/>
      <c r="S344" s="21" t="n"/>
      <c r="T344" s="21" t="n"/>
      <c r="U344" s="21" t="n"/>
      <c r="V344" s="25">
        <f>TODAY()</f>
        <v/>
      </c>
    </row>
    <row r="345">
      <c r="A345" s="20" t="inlineStr">
        <is>
          <t>EV-332</t>
        </is>
      </c>
      <c r="B345" s="21" t="n"/>
      <c r="C345" s="21" t="n"/>
      <c r="D345" s="21" t="n"/>
      <c r="E345" s="21" t="n"/>
      <c r="F345" s="21" t="n"/>
      <c r="G345" s="21" t="n"/>
      <c r="H345" s="21" t="n"/>
      <c r="I345" s="21" t="n"/>
      <c r="J345" s="21" t="n"/>
      <c r="K345" s="21" t="n"/>
      <c r="L345" s="21" t="n"/>
      <c r="M345" s="21" t="n"/>
      <c r="N345" s="21" t="n"/>
      <c r="O345" s="25">
        <f>IF(OR(ISBLANK(I345),ISBLANK(N345)),"",EDATE(I345,IF(N345="1 year",12,IF(N345="3 years",36,IF(N345="5 years",60,IF(N345="7 years",84,600))))))</f>
        <v/>
      </c>
      <c r="P345" s="21" t="n"/>
      <c r="Q345" s="21" t="n"/>
      <c r="R345" s="21" t="n"/>
      <c r="S345" s="21" t="n"/>
      <c r="T345" s="21" t="n"/>
      <c r="U345" s="21" t="n"/>
      <c r="V345" s="25">
        <f>TODAY()</f>
        <v/>
      </c>
    </row>
    <row r="346">
      <c r="A346" s="20" t="inlineStr">
        <is>
          <t>EV-333</t>
        </is>
      </c>
      <c r="B346" s="21" t="n"/>
      <c r="C346" s="21" t="n"/>
      <c r="D346" s="21" t="n"/>
      <c r="E346" s="21" t="n"/>
      <c r="F346" s="21" t="n"/>
      <c r="G346" s="21" t="n"/>
      <c r="H346" s="21" t="n"/>
      <c r="I346" s="21" t="n"/>
      <c r="J346" s="21" t="n"/>
      <c r="K346" s="21" t="n"/>
      <c r="L346" s="21" t="n"/>
      <c r="M346" s="21" t="n"/>
      <c r="N346" s="21" t="n"/>
      <c r="O346" s="25">
        <f>IF(OR(ISBLANK(I346),ISBLANK(N346)),"",EDATE(I346,IF(N346="1 year",12,IF(N346="3 years",36,IF(N346="5 years",60,IF(N346="7 years",84,600))))))</f>
        <v/>
      </c>
      <c r="P346" s="21" t="n"/>
      <c r="Q346" s="21" t="n"/>
      <c r="R346" s="21" t="n"/>
      <c r="S346" s="21" t="n"/>
      <c r="T346" s="21" t="n"/>
      <c r="U346" s="21" t="n"/>
      <c r="V346" s="25">
        <f>TODAY()</f>
        <v/>
      </c>
    </row>
    <row r="347">
      <c r="A347" s="20" t="inlineStr">
        <is>
          <t>EV-334</t>
        </is>
      </c>
      <c r="B347" s="21" t="n"/>
      <c r="C347" s="21" t="n"/>
      <c r="D347" s="21" t="n"/>
      <c r="E347" s="21" t="n"/>
      <c r="F347" s="21" t="n"/>
      <c r="G347" s="21" t="n"/>
      <c r="H347" s="21" t="n"/>
      <c r="I347" s="21" t="n"/>
      <c r="J347" s="21" t="n"/>
      <c r="K347" s="21" t="n"/>
      <c r="L347" s="21" t="n"/>
      <c r="M347" s="21" t="n"/>
      <c r="N347" s="21" t="n"/>
      <c r="O347" s="25">
        <f>IF(OR(ISBLANK(I347),ISBLANK(N347)),"",EDATE(I347,IF(N347="1 year",12,IF(N347="3 years",36,IF(N347="5 years",60,IF(N347="7 years",84,600))))))</f>
        <v/>
      </c>
      <c r="P347" s="21" t="n"/>
      <c r="Q347" s="21" t="n"/>
      <c r="R347" s="21" t="n"/>
      <c r="S347" s="21" t="n"/>
      <c r="T347" s="21" t="n"/>
      <c r="U347" s="21" t="n"/>
      <c r="V347" s="25">
        <f>TODAY()</f>
        <v/>
      </c>
    </row>
    <row r="348">
      <c r="A348" s="20" t="inlineStr">
        <is>
          <t>EV-335</t>
        </is>
      </c>
      <c r="B348" s="21" t="n"/>
      <c r="C348" s="21" t="n"/>
      <c r="D348" s="21" t="n"/>
      <c r="E348" s="21" t="n"/>
      <c r="F348" s="21" t="n"/>
      <c r="G348" s="21" t="n"/>
      <c r="H348" s="21" t="n"/>
      <c r="I348" s="21" t="n"/>
      <c r="J348" s="21" t="n"/>
      <c r="K348" s="21" t="n"/>
      <c r="L348" s="21" t="n"/>
      <c r="M348" s="21" t="n"/>
      <c r="N348" s="21" t="n"/>
      <c r="O348" s="25">
        <f>IF(OR(ISBLANK(I348),ISBLANK(N348)),"",EDATE(I348,IF(N348="1 year",12,IF(N348="3 years",36,IF(N348="5 years",60,IF(N348="7 years",84,600))))))</f>
        <v/>
      </c>
      <c r="P348" s="21" t="n"/>
      <c r="Q348" s="21" t="n"/>
      <c r="R348" s="21" t="n"/>
      <c r="S348" s="21" t="n"/>
      <c r="T348" s="21" t="n"/>
      <c r="U348" s="21" t="n"/>
      <c r="V348" s="25">
        <f>TODAY()</f>
        <v/>
      </c>
    </row>
    <row r="349">
      <c r="A349" s="20" t="inlineStr">
        <is>
          <t>EV-336</t>
        </is>
      </c>
      <c r="B349" s="21" t="n"/>
      <c r="C349" s="21" t="n"/>
      <c r="D349" s="21" t="n"/>
      <c r="E349" s="21" t="n"/>
      <c r="F349" s="21" t="n"/>
      <c r="G349" s="21" t="n"/>
      <c r="H349" s="21" t="n"/>
      <c r="I349" s="21" t="n"/>
      <c r="J349" s="21" t="n"/>
      <c r="K349" s="21" t="n"/>
      <c r="L349" s="21" t="n"/>
      <c r="M349" s="21" t="n"/>
      <c r="N349" s="21" t="n"/>
      <c r="O349" s="25">
        <f>IF(OR(ISBLANK(I349),ISBLANK(N349)),"",EDATE(I349,IF(N349="1 year",12,IF(N349="3 years",36,IF(N349="5 years",60,IF(N349="7 years",84,600))))))</f>
        <v/>
      </c>
      <c r="P349" s="21" t="n"/>
      <c r="Q349" s="21" t="n"/>
      <c r="R349" s="21" t="n"/>
      <c r="S349" s="21" t="n"/>
      <c r="T349" s="21" t="n"/>
      <c r="U349" s="21" t="n"/>
      <c r="V349" s="25">
        <f>TODAY()</f>
        <v/>
      </c>
    </row>
    <row r="350">
      <c r="A350" s="20" t="inlineStr">
        <is>
          <t>EV-337</t>
        </is>
      </c>
      <c r="B350" s="21" t="n"/>
      <c r="C350" s="21" t="n"/>
      <c r="D350" s="21" t="n"/>
      <c r="E350" s="21" t="n"/>
      <c r="F350" s="21" t="n"/>
      <c r="G350" s="21" t="n"/>
      <c r="H350" s="21" t="n"/>
      <c r="I350" s="21" t="n"/>
      <c r="J350" s="21" t="n"/>
      <c r="K350" s="21" t="n"/>
      <c r="L350" s="21" t="n"/>
      <c r="M350" s="21" t="n"/>
      <c r="N350" s="21" t="n"/>
      <c r="O350" s="25">
        <f>IF(OR(ISBLANK(I350),ISBLANK(N350)),"",EDATE(I350,IF(N350="1 year",12,IF(N350="3 years",36,IF(N350="5 years",60,IF(N350="7 years",84,600))))))</f>
        <v/>
      </c>
      <c r="P350" s="21" t="n"/>
      <c r="Q350" s="21" t="n"/>
      <c r="R350" s="21" t="n"/>
      <c r="S350" s="21" t="n"/>
      <c r="T350" s="21" t="n"/>
      <c r="U350" s="21" t="n"/>
      <c r="V350" s="25">
        <f>TODAY()</f>
        <v/>
      </c>
    </row>
    <row r="351">
      <c r="A351" s="20" t="inlineStr">
        <is>
          <t>EV-338</t>
        </is>
      </c>
      <c r="B351" s="21" t="n"/>
      <c r="C351" s="21" t="n"/>
      <c r="D351" s="21" t="n"/>
      <c r="E351" s="21" t="n"/>
      <c r="F351" s="21" t="n"/>
      <c r="G351" s="21" t="n"/>
      <c r="H351" s="21" t="n"/>
      <c r="I351" s="21" t="n"/>
      <c r="J351" s="21" t="n"/>
      <c r="K351" s="21" t="n"/>
      <c r="L351" s="21" t="n"/>
      <c r="M351" s="21" t="n"/>
      <c r="N351" s="21" t="n"/>
      <c r="O351" s="25">
        <f>IF(OR(ISBLANK(I351),ISBLANK(N351)),"",EDATE(I351,IF(N351="1 year",12,IF(N351="3 years",36,IF(N351="5 years",60,IF(N351="7 years",84,600))))))</f>
        <v/>
      </c>
      <c r="P351" s="21" t="n"/>
      <c r="Q351" s="21" t="n"/>
      <c r="R351" s="21" t="n"/>
      <c r="S351" s="21" t="n"/>
      <c r="T351" s="21" t="n"/>
      <c r="U351" s="21" t="n"/>
      <c r="V351" s="25">
        <f>TODAY()</f>
        <v/>
      </c>
    </row>
    <row r="352">
      <c r="A352" s="20" t="inlineStr">
        <is>
          <t>EV-339</t>
        </is>
      </c>
      <c r="B352" s="21" t="n"/>
      <c r="C352" s="21" t="n"/>
      <c r="D352" s="21" t="n"/>
      <c r="E352" s="21" t="n"/>
      <c r="F352" s="21" t="n"/>
      <c r="G352" s="21" t="n"/>
      <c r="H352" s="21" t="n"/>
      <c r="I352" s="21" t="n"/>
      <c r="J352" s="21" t="n"/>
      <c r="K352" s="21" t="n"/>
      <c r="L352" s="21" t="n"/>
      <c r="M352" s="21" t="n"/>
      <c r="N352" s="21" t="n"/>
      <c r="O352" s="25">
        <f>IF(OR(ISBLANK(I352),ISBLANK(N352)),"",EDATE(I352,IF(N352="1 year",12,IF(N352="3 years",36,IF(N352="5 years",60,IF(N352="7 years",84,600))))))</f>
        <v/>
      </c>
      <c r="P352" s="21" t="n"/>
      <c r="Q352" s="21" t="n"/>
      <c r="R352" s="21" t="n"/>
      <c r="S352" s="21" t="n"/>
      <c r="T352" s="21" t="n"/>
      <c r="U352" s="21" t="n"/>
      <c r="V352" s="25">
        <f>TODAY()</f>
        <v/>
      </c>
    </row>
    <row r="353">
      <c r="A353" s="20" t="inlineStr">
        <is>
          <t>EV-340</t>
        </is>
      </c>
      <c r="B353" s="21" t="n"/>
      <c r="C353" s="21" t="n"/>
      <c r="D353" s="21" t="n"/>
      <c r="E353" s="21" t="n"/>
      <c r="F353" s="21" t="n"/>
      <c r="G353" s="21" t="n"/>
      <c r="H353" s="21" t="n"/>
      <c r="I353" s="21" t="n"/>
      <c r="J353" s="21" t="n"/>
      <c r="K353" s="21" t="n"/>
      <c r="L353" s="21" t="n"/>
      <c r="M353" s="21" t="n"/>
      <c r="N353" s="21" t="n"/>
      <c r="O353" s="25">
        <f>IF(OR(ISBLANK(I353),ISBLANK(N353)),"",EDATE(I353,IF(N353="1 year",12,IF(N353="3 years",36,IF(N353="5 years",60,IF(N353="7 years",84,600))))))</f>
        <v/>
      </c>
      <c r="P353" s="21" t="n"/>
      <c r="Q353" s="21" t="n"/>
      <c r="R353" s="21" t="n"/>
      <c r="S353" s="21" t="n"/>
      <c r="T353" s="21" t="n"/>
      <c r="U353" s="21" t="n"/>
      <c r="V353" s="25">
        <f>TODAY()</f>
        <v/>
      </c>
    </row>
    <row r="354">
      <c r="A354" s="20" t="inlineStr">
        <is>
          <t>EV-341</t>
        </is>
      </c>
      <c r="B354" s="21" t="n"/>
      <c r="C354" s="21" t="n"/>
      <c r="D354" s="21" t="n"/>
      <c r="E354" s="21" t="n"/>
      <c r="F354" s="21" t="n"/>
      <c r="G354" s="21" t="n"/>
      <c r="H354" s="21" t="n"/>
      <c r="I354" s="21" t="n"/>
      <c r="J354" s="21" t="n"/>
      <c r="K354" s="21" t="n"/>
      <c r="L354" s="21" t="n"/>
      <c r="M354" s="21" t="n"/>
      <c r="N354" s="21" t="n"/>
      <c r="O354" s="25">
        <f>IF(OR(ISBLANK(I354),ISBLANK(N354)),"",EDATE(I354,IF(N354="1 year",12,IF(N354="3 years",36,IF(N354="5 years",60,IF(N354="7 years",84,600))))))</f>
        <v/>
      </c>
      <c r="P354" s="21" t="n"/>
      <c r="Q354" s="21" t="n"/>
      <c r="R354" s="21" t="n"/>
      <c r="S354" s="21" t="n"/>
      <c r="T354" s="21" t="n"/>
      <c r="U354" s="21" t="n"/>
      <c r="V354" s="25">
        <f>TODAY()</f>
        <v/>
      </c>
    </row>
    <row r="355">
      <c r="A355" s="20" t="inlineStr">
        <is>
          <t>EV-342</t>
        </is>
      </c>
      <c r="B355" s="21" t="n"/>
      <c r="C355" s="21" t="n"/>
      <c r="D355" s="21" t="n"/>
      <c r="E355" s="21" t="n"/>
      <c r="F355" s="21" t="n"/>
      <c r="G355" s="21" t="n"/>
      <c r="H355" s="21" t="n"/>
      <c r="I355" s="21" t="n"/>
      <c r="J355" s="21" t="n"/>
      <c r="K355" s="21" t="n"/>
      <c r="L355" s="21" t="n"/>
      <c r="M355" s="21" t="n"/>
      <c r="N355" s="21" t="n"/>
      <c r="O355" s="25">
        <f>IF(OR(ISBLANK(I355),ISBLANK(N355)),"",EDATE(I355,IF(N355="1 year",12,IF(N355="3 years",36,IF(N355="5 years",60,IF(N355="7 years",84,600))))))</f>
        <v/>
      </c>
      <c r="P355" s="21" t="n"/>
      <c r="Q355" s="21" t="n"/>
      <c r="R355" s="21" t="n"/>
      <c r="S355" s="21" t="n"/>
      <c r="T355" s="21" t="n"/>
      <c r="U355" s="21" t="n"/>
      <c r="V355" s="25">
        <f>TODAY()</f>
        <v/>
      </c>
    </row>
    <row r="356">
      <c r="A356" s="20" t="inlineStr">
        <is>
          <t>EV-343</t>
        </is>
      </c>
      <c r="B356" s="21" t="n"/>
      <c r="C356" s="21" t="n"/>
      <c r="D356" s="21" t="n"/>
      <c r="E356" s="21" t="n"/>
      <c r="F356" s="21" t="n"/>
      <c r="G356" s="21" t="n"/>
      <c r="H356" s="21" t="n"/>
      <c r="I356" s="21" t="n"/>
      <c r="J356" s="21" t="n"/>
      <c r="K356" s="21" t="n"/>
      <c r="L356" s="21" t="n"/>
      <c r="M356" s="21" t="n"/>
      <c r="N356" s="21" t="n"/>
      <c r="O356" s="25">
        <f>IF(OR(ISBLANK(I356),ISBLANK(N356)),"",EDATE(I356,IF(N356="1 year",12,IF(N356="3 years",36,IF(N356="5 years",60,IF(N356="7 years",84,600))))))</f>
        <v/>
      </c>
      <c r="P356" s="21" t="n"/>
      <c r="Q356" s="21" t="n"/>
      <c r="R356" s="21" t="n"/>
      <c r="S356" s="21" t="n"/>
      <c r="T356" s="21" t="n"/>
      <c r="U356" s="21" t="n"/>
      <c r="V356" s="25">
        <f>TODAY()</f>
        <v/>
      </c>
    </row>
    <row r="357">
      <c r="A357" s="20" t="inlineStr">
        <is>
          <t>EV-344</t>
        </is>
      </c>
      <c r="B357" s="21" t="n"/>
      <c r="C357" s="21" t="n"/>
      <c r="D357" s="21" t="n"/>
      <c r="E357" s="21" t="n"/>
      <c r="F357" s="21" t="n"/>
      <c r="G357" s="21" t="n"/>
      <c r="H357" s="21" t="n"/>
      <c r="I357" s="21" t="n"/>
      <c r="J357" s="21" t="n"/>
      <c r="K357" s="21" t="n"/>
      <c r="L357" s="21" t="n"/>
      <c r="M357" s="21" t="n"/>
      <c r="N357" s="21" t="n"/>
      <c r="O357" s="25">
        <f>IF(OR(ISBLANK(I357),ISBLANK(N357)),"",EDATE(I357,IF(N357="1 year",12,IF(N357="3 years",36,IF(N357="5 years",60,IF(N357="7 years",84,600))))))</f>
        <v/>
      </c>
      <c r="P357" s="21" t="n"/>
      <c r="Q357" s="21" t="n"/>
      <c r="R357" s="21" t="n"/>
      <c r="S357" s="21" t="n"/>
      <c r="T357" s="21" t="n"/>
      <c r="U357" s="21" t="n"/>
      <c r="V357" s="25">
        <f>TODAY()</f>
        <v/>
      </c>
    </row>
    <row r="358">
      <c r="A358" s="20" t="inlineStr">
        <is>
          <t>EV-345</t>
        </is>
      </c>
      <c r="B358" s="21" t="n"/>
      <c r="C358" s="21" t="n"/>
      <c r="D358" s="21" t="n"/>
      <c r="E358" s="21" t="n"/>
      <c r="F358" s="21" t="n"/>
      <c r="G358" s="21" t="n"/>
      <c r="H358" s="21" t="n"/>
      <c r="I358" s="21" t="n"/>
      <c r="J358" s="21" t="n"/>
      <c r="K358" s="21" t="n"/>
      <c r="L358" s="21" t="n"/>
      <c r="M358" s="21" t="n"/>
      <c r="N358" s="21" t="n"/>
      <c r="O358" s="25">
        <f>IF(OR(ISBLANK(I358),ISBLANK(N358)),"",EDATE(I358,IF(N358="1 year",12,IF(N358="3 years",36,IF(N358="5 years",60,IF(N358="7 years",84,600))))))</f>
        <v/>
      </c>
      <c r="P358" s="21" t="n"/>
      <c r="Q358" s="21" t="n"/>
      <c r="R358" s="21" t="n"/>
      <c r="S358" s="21" t="n"/>
      <c r="T358" s="21" t="n"/>
      <c r="U358" s="21" t="n"/>
      <c r="V358" s="25">
        <f>TODAY()</f>
        <v/>
      </c>
    </row>
    <row r="359">
      <c r="A359" s="20" t="inlineStr">
        <is>
          <t>EV-346</t>
        </is>
      </c>
      <c r="B359" s="21" t="n"/>
      <c r="C359" s="21" t="n"/>
      <c r="D359" s="21" t="n"/>
      <c r="E359" s="21" t="n"/>
      <c r="F359" s="21" t="n"/>
      <c r="G359" s="21" t="n"/>
      <c r="H359" s="21" t="n"/>
      <c r="I359" s="21" t="n"/>
      <c r="J359" s="21" t="n"/>
      <c r="K359" s="21" t="n"/>
      <c r="L359" s="21" t="n"/>
      <c r="M359" s="21" t="n"/>
      <c r="N359" s="21" t="n"/>
      <c r="O359" s="25">
        <f>IF(OR(ISBLANK(I359),ISBLANK(N359)),"",EDATE(I359,IF(N359="1 year",12,IF(N359="3 years",36,IF(N359="5 years",60,IF(N359="7 years",84,600))))))</f>
        <v/>
      </c>
      <c r="P359" s="21" t="n"/>
      <c r="Q359" s="21" t="n"/>
      <c r="R359" s="21" t="n"/>
      <c r="S359" s="21" t="n"/>
      <c r="T359" s="21" t="n"/>
      <c r="U359" s="21" t="n"/>
      <c r="V359" s="25">
        <f>TODAY()</f>
        <v/>
      </c>
    </row>
    <row r="360">
      <c r="A360" s="20" t="inlineStr">
        <is>
          <t>EV-347</t>
        </is>
      </c>
      <c r="B360" s="21" t="n"/>
      <c r="C360" s="21" t="n"/>
      <c r="D360" s="21" t="n"/>
      <c r="E360" s="21" t="n"/>
      <c r="F360" s="21" t="n"/>
      <c r="G360" s="21" t="n"/>
      <c r="H360" s="21" t="n"/>
      <c r="I360" s="21" t="n"/>
      <c r="J360" s="21" t="n"/>
      <c r="K360" s="21" t="n"/>
      <c r="L360" s="21" t="n"/>
      <c r="M360" s="21" t="n"/>
      <c r="N360" s="21" t="n"/>
      <c r="O360" s="25">
        <f>IF(OR(ISBLANK(I360),ISBLANK(N360)),"",EDATE(I360,IF(N360="1 year",12,IF(N360="3 years",36,IF(N360="5 years",60,IF(N360="7 years",84,600))))))</f>
        <v/>
      </c>
      <c r="P360" s="21" t="n"/>
      <c r="Q360" s="21" t="n"/>
      <c r="R360" s="21" t="n"/>
      <c r="S360" s="21" t="n"/>
      <c r="T360" s="21" t="n"/>
      <c r="U360" s="21" t="n"/>
      <c r="V360" s="25">
        <f>TODAY()</f>
        <v/>
      </c>
    </row>
    <row r="361">
      <c r="A361" s="20" t="inlineStr">
        <is>
          <t>EV-348</t>
        </is>
      </c>
      <c r="B361" s="21" t="n"/>
      <c r="C361" s="21" t="n"/>
      <c r="D361" s="21" t="n"/>
      <c r="E361" s="21" t="n"/>
      <c r="F361" s="21" t="n"/>
      <c r="G361" s="21" t="n"/>
      <c r="H361" s="21" t="n"/>
      <c r="I361" s="21" t="n"/>
      <c r="J361" s="21" t="n"/>
      <c r="K361" s="21" t="n"/>
      <c r="L361" s="21" t="n"/>
      <c r="M361" s="21" t="n"/>
      <c r="N361" s="21" t="n"/>
      <c r="O361" s="25">
        <f>IF(OR(ISBLANK(I361),ISBLANK(N361)),"",EDATE(I361,IF(N361="1 year",12,IF(N361="3 years",36,IF(N361="5 years",60,IF(N361="7 years",84,600))))))</f>
        <v/>
      </c>
      <c r="P361" s="21" t="n"/>
      <c r="Q361" s="21" t="n"/>
      <c r="R361" s="21" t="n"/>
      <c r="S361" s="21" t="n"/>
      <c r="T361" s="21" t="n"/>
      <c r="U361" s="21" t="n"/>
      <c r="V361" s="25">
        <f>TODAY()</f>
        <v/>
      </c>
    </row>
    <row r="362">
      <c r="A362" s="20" t="inlineStr">
        <is>
          <t>EV-349</t>
        </is>
      </c>
      <c r="B362" s="21" t="n"/>
      <c r="C362" s="21" t="n"/>
      <c r="D362" s="21" t="n"/>
      <c r="E362" s="21" t="n"/>
      <c r="F362" s="21" t="n"/>
      <c r="G362" s="21" t="n"/>
      <c r="H362" s="21" t="n"/>
      <c r="I362" s="21" t="n"/>
      <c r="J362" s="21" t="n"/>
      <c r="K362" s="21" t="n"/>
      <c r="L362" s="21" t="n"/>
      <c r="M362" s="21" t="n"/>
      <c r="N362" s="21" t="n"/>
      <c r="O362" s="25">
        <f>IF(OR(ISBLANK(I362),ISBLANK(N362)),"",EDATE(I362,IF(N362="1 year",12,IF(N362="3 years",36,IF(N362="5 years",60,IF(N362="7 years",84,600))))))</f>
        <v/>
      </c>
      <c r="P362" s="21" t="n"/>
      <c r="Q362" s="21" t="n"/>
      <c r="R362" s="21" t="n"/>
      <c r="S362" s="21" t="n"/>
      <c r="T362" s="21" t="n"/>
      <c r="U362" s="21" t="n"/>
      <c r="V362" s="25">
        <f>TODAY()</f>
        <v/>
      </c>
    </row>
    <row r="363">
      <c r="A363" s="20" t="inlineStr">
        <is>
          <t>EV-350</t>
        </is>
      </c>
      <c r="B363" s="21" t="n"/>
      <c r="C363" s="21" t="n"/>
      <c r="D363" s="21" t="n"/>
      <c r="E363" s="21" t="n"/>
      <c r="F363" s="21" t="n"/>
      <c r="G363" s="21" t="n"/>
      <c r="H363" s="21" t="n"/>
      <c r="I363" s="21" t="n"/>
      <c r="J363" s="21" t="n"/>
      <c r="K363" s="21" t="n"/>
      <c r="L363" s="21" t="n"/>
      <c r="M363" s="21" t="n"/>
      <c r="N363" s="21" t="n"/>
      <c r="O363" s="25">
        <f>IF(OR(ISBLANK(I363),ISBLANK(N363)),"",EDATE(I363,IF(N363="1 year",12,IF(N363="3 years",36,IF(N363="5 years",60,IF(N363="7 years",84,600))))))</f>
        <v/>
      </c>
      <c r="P363" s="21" t="n"/>
      <c r="Q363" s="21" t="n"/>
      <c r="R363" s="21" t="n"/>
      <c r="S363" s="21" t="n"/>
      <c r="T363" s="21" t="n"/>
      <c r="U363" s="21" t="n"/>
      <c r="V363" s="25">
        <f>TODAY()</f>
        <v/>
      </c>
    </row>
    <row r="364">
      <c r="A364" s="20" t="inlineStr">
        <is>
          <t>EV-351</t>
        </is>
      </c>
      <c r="B364" s="21" t="n"/>
      <c r="C364" s="21" t="n"/>
      <c r="D364" s="21" t="n"/>
      <c r="E364" s="21" t="n"/>
      <c r="F364" s="21" t="n"/>
      <c r="G364" s="21" t="n"/>
      <c r="H364" s="21" t="n"/>
      <c r="I364" s="21" t="n"/>
      <c r="J364" s="21" t="n"/>
      <c r="K364" s="21" t="n"/>
      <c r="L364" s="21" t="n"/>
      <c r="M364" s="21" t="n"/>
      <c r="N364" s="21" t="n"/>
      <c r="O364" s="25">
        <f>IF(OR(ISBLANK(I364),ISBLANK(N364)),"",EDATE(I364,IF(N364="1 year",12,IF(N364="3 years",36,IF(N364="5 years",60,IF(N364="7 years",84,600))))))</f>
        <v/>
      </c>
      <c r="P364" s="21" t="n"/>
      <c r="Q364" s="21" t="n"/>
      <c r="R364" s="21" t="n"/>
      <c r="S364" s="21" t="n"/>
      <c r="T364" s="21" t="n"/>
      <c r="U364" s="21" t="n"/>
      <c r="V364" s="25">
        <f>TODAY()</f>
        <v/>
      </c>
    </row>
    <row r="365">
      <c r="A365" s="20" t="inlineStr">
        <is>
          <t>EV-352</t>
        </is>
      </c>
      <c r="B365" s="21" t="n"/>
      <c r="C365" s="21" t="n"/>
      <c r="D365" s="21" t="n"/>
      <c r="E365" s="21" t="n"/>
      <c r="F365" s="21" t="n"/>
      <c r="G365" s="21" t="n"/>
      <c r="H365" s="21" t="n"/>
      <c r="I365" s="21" t="n"/>
      <c r="J365" s="21" t="n"/>
      <c r="K365" s="21" t="n"/>
      <c r="L365" s="21" t="n"/>
      <c r="M365" s="21" t="n"/>
      <c r="N365" s="21" t="n"/>
      <c r="O365" s="25">
        <f>IF(OR(ISBLANK(I365),ISBLANK(N365)),"",EDATE(I365,IF(N365="1 year",12,IF(N365="3 years",36,IF(N365="5 years",60,IF(N365="7 years",84,600))))))</f>
        <v/>
      </c>
      <c r="P365" s="21" t="n"/>
      <c r="Q365" s="21" t="n"/>
      <c r="R365" s="21" t="n"/>
      <c r="S365" s="21" t="n"/>
      <c r="T365" s="21" t="n"/>
      <c r="U365" s="21" t="n"/>
      <c r="V365" s="25">
        <f>TODAY()</f>
        <v/>
      </c>
    </row>
    <row r="366">
      <c r="A366" s="20" t="inlineStr">
        <is>
          <t>EV-353</t>
        </is>
      </c>
      <c r="B366" s="21" t="n"/>
      <c r="C366" s="21" t="n"/>
      <c r="D366" s="21" t="n"/>
      <c r="E366" s="21" t="n"/>
      <c r="F366" s="21" t="n"/>
      <c r="G366" s="21" t="n"/>
      <c r="H366" s="21" t="n"/>
      <c r="I366" s="21" t="n"/>
      <c r="J366" s="21" t="n"/>
      <c r="K366" s="21" t="n"/>
      <c r="L366" s="21" t="n"/>
      <c r="M366" s="21" t="n"/>
      <c r="N366" s="21" t="n"/>
      <c r="O366" s="25">
        <f>IF(OR(ISBLANK(I366),ISBLANK(N366)),"",EDATE(I366,IF(N366="1 year",12,IF(N366="3 years",36,IF(N366="5 years",60,IF(N366="7 years",84,600))))))</f>
        <v/>
      </c>
      <c r="P366" s="21" t="n"/>
      <c r="Q366" s="21" t="n"/>
      <c r="R366" s="21" t="n"/>
      <c r="S366" s="21" t="n"/>
      <c r="T366" s="21" t="n"/>
      <c r="U366" s="21" t="n"/>
      <c r="V366" s="25">
        <f>TODAY()</f>
        <v/>
      </c>
    </row>
    <row r="367">
      <c r="A367" s="20" t="inlineStr">
        <is>
          <t>EV-354</t>
        </is>
      </c>
      <c r="B367" s="21" t="n"/>
      <c r="C367" s="21" t="n"/>
      <c r="D367" s="21" t="n"/>
      <c r="E367" s="21" t="n"/>
      <c r="F367" s="21" t="n"/>
      <c r="G367" s="21" t="n"/>
      <c r="H367" s="21" t="n"/>
      <c r="I367" s="21" t="n"/>
      <c r="J367" s="21" t="n"/>
      <c r="K367" s="21" t="n"/>
      <c r="L367" s="21" t="n"/>
      <c r="M367" s="21" t="n"/>
      <c r="N367" s="21" t="n"/>
      <c r="O367" s="25">
        <f>IF(OR(ISBLANK(I367),ISBLANK(N367)),"",EDATE(I367,IF(N367="1 year",12,IF(N367="3 years",36,IF(N367="5 years",60,IF(N367="7 years",84,600))))))</f>
        <v/>
      </c>
      <c r="P367" s="21" t="n"/>
      <c r="Q367" s="21" t="n"/>
      <c r="R367" s="21" t="n"/>
      <c r="S367" s="21" t="n"/>
      <c r="T367" s="21" t="n"/>
      <c r="U367" s="21" t="n"/>
      <c r="V367" s="25">
        <f>TODAY()</f>
        <v/>
      </c>
    </row>
    <row r="368">
      <c r="A368" s="20" t="inlineStr">
        <is>
          <t>EV-355</t>
        </is>
      </c>
      <c r="B368" s="21" t="n"/>
      <c r="C368" s="21" t="n"/>
      <c r="D368" s="21" t="n"/>
      <c r="E368" s="21" t="n"/>
      <c r="F368" s="21" t="n"/>
      <c r="G368" s="21" t="n"/>
      <c r="H368" s="21" t="n"/>
      <c r="I368" s="21" t="n"/>
      <c r="J368" s="21" t="n"/>
      <c r="K368" s="21" t="n"/>
      <c r="L368" s="21" t="n"/>
      <c r="M368" s="21" t="n"/>
      <c r="N368" s="21" t="n"/>
      <c r="O368" s="25">
        <f>IF(OR(ISBLANK(I368),ISBLANK(N368)),"",EDATE(I368,IF(N368="1 year",12,IF(N368="3 years",36,IF(N368="5 years",60,IF(N368="7 years",84,600))))))</f>
        <v/>
      </c>
      <c r="P368" s="21" t="n"/>
      <c r="Q368" s="21" t="n"/>
      <c r="R368" s="21" t="n"/>
      <c r="S368" s="21" t="n"/>
      <c r="T368" s="21" t="n"/>
      <c r="U368" s="21" t="n"/>
      <c r="V368" s="25">
        <f>TODAY()</f>
        <v/>
      </c>
    </row>
    <row r="369">
      <c r="A369" s="20" t="inlineStr">
        <is>
          <t>EV-356</t>
        </is>
      </c>
      <c r="B369" s="21" t="n"/>
      <c r="C369" s="21" t="n"/>
      <c r="D369" s="21" t="n"/>
      <c r="E369" s="21" t="n"/>
      <c r="F369" s="21" t="n"/>
      <c r="G369" s="21" t="n"/>
      <c r="H369" s="21" t="n"/>
      <c r="I369" s="21" t="n"/>
      <c r="J369" s="21" t="n"/>
      <c r="K369" s="21" t="n"/>
      <c r="L369" s="21" t="n"/>
      <c r="M369" s="21" t="n"/>
      <c r="N369" s="21" t="n"/>
      <c r="O369" s="25">
        <f>IF(OR(ISBLANK(I369),ISBLANK(N369)),"",EDATE(I369,IF(N369="1 year",12,IF(N369="3 years",36,IF(N369="5 years",60,IF(N369="7 years",84,600))))))</f>
        <v/>
      </c>
      <c r="P369" s="21" t="n"/>
      <c r="Q369" s="21" t="n"/>
      <c r="R369" s="21" t="n"/>
      <c r="S369" s="21" t="n"/>
      <c r="T369" s="21" t="n"/>
      <c r="U369" s="21" t="n"/>
      <c r="V369" s="25">
        <f>TODAY()</f>
        <v/>
      </c>
    </row>
    <row r="370">
      <c r="A370" s="20" t="inlineStr">
        <is>
          <t>EV-357</t>
        </is>
      </c>
      <c r="B370" s="21" t="n"/>
      <c r="C370" s="21" t="n"/>
      <c r="D370" s="21" t="n"/>
      <c r="E370" s="21" t="n"/>
      <c r="F370" s="21" t="n"/>
      <c r="G370" s="21" t="n"/>
      <c r="H370" s="21" t="n"/>
      <c r="I370" s="21" t="n"/>
      <c r="J370" s="21" t="n"/>
      <c r="K370" s="21" t="n"/>
      <c r="L370" s="21" t="n"/>
      <c r="M370" s="21" t="n"/>
      <c r="N370" s="21" t="n"/>
      <c r="O370" s="25">
        <f>IF(OR(ISBLANK(I370),ISBLANK(N370)),"",EDATE(I370,IF(N370="1 year",12,IF(N370="3 years",36,IF(N370="5 years",60,IF(N370="7 years",84,600))))))</f>
        <v/>
      </c>
      <c r="P370" s="21" t="n"/>
      <c r="Q370" s="21" t="n"/>
      <c r="R370" s="21" t="n"/>
      <c r="S370" s="21" t="n"/>
      <c r="T370" s="21" t="n"/>
      <c r="U370" s="21" t="n"/>
      <c r="V370" s="25">
        <f>TODAY()</f>
        <v/>
      </c>
    </row>
    <row r="371">
      <c r="A371" s="20" t="inlineStr">
        <is>
          <t>EV-358</t>
        </is>
      </c>
      <c r="B371" s="21" t="n"/>
      <c r="C371" s="21" t="n"/>
      <c r="D371" s="21" t="n"/>
      <c r="E371" s="21" t="n"/>
      <c r="F371" s="21" t="n"/>
      <c r="G371" s="21" t="n"/>
      <c r="H371" s="21" t="n"/>
      <c r="I371" s="21" t="n"/>
      <c r="J371" s="21" t="n"/>
      <c r="K371" s="21" t="n"/>
      <c r="L371" s="21" t="n"/>
      <c r="M371" s="21" t="n"/>
      <c r="N371" s="21" t="n"/>
      <c r="O371" s="25">
        <f>IF(OR(ISBLANK(I371),ISBLANK(N371)),"",EDATE(I371,IF(N371="1 year",12,IF(N371="3 years",36,IF(N371="5 years",60,IF(N371="7 years",84,600))))))</f>
        <v/>
      </c>
      <c r="P371" s="21" t="n"/>
      <c r="Q371" s="21" t="n"/>
      <c r="R371" s="21" t="n"/>
      <c r="S371" s="21" t="n"/>
      <c r="T371" s="21" t="n"/>
      <c r="U371" s="21" t="n"/>
      <c r="V371" s="25">
        <f>TODAY()</f>
        <v/>
      </c>
    </row>
    <row r="372">
      <c r="A372" s="20" t="inlineStr">
        <is>
          <t>EV-359</t>
        </is>
      </c>
      <c r="B372" s="21" t="n"/>
      <c r="C372" s="21" t="n"/>
      <c r="D372" s="21" t="n"/>
      <c r="E372" s="21" t="n"/>
      <c r="F372" s="21" t="n"/>
      <c r="G372" s="21" t="n"/>
      <c r="H372" s="21" t="n"/>
      <c r="I372" s="21" t="n"/>
      <c r="J372" s="21" t="n"/>
      <c r="K372" s="21" t="n"/>
      <c r="L372" s="21" t="n"/>
      <c r="M372" s="21" t="n"/>
      <c r="N372" s="21" t="n"/>
      <c r="O372" s="25">
        <f>IF(OR(ISBLANK(I372),ISBLANK(N372)),"",EDATE(I372,IF(N372="1 year",12,IF(N372="3 years",36,IF(N372="5 years",60,IF(N372="7 years",84,600))))))</f>
        <v/>
      </c>
      <c r="P372" s="21" t="n"/>
      <c r="Q372" s="21" t="n"/>
      <c r="R372" s="21" t="n"/>
      <c r="S372" s="21" t="n"/>
      <c r="T372" s="21" t="n"/>
      <c r="U372" s="21" t="n"/>
      <c r="V372" s="25">
        <f>TODAY()</f>
        <v/>
      </c>
    </row>
    <row r="373">
      <c r="A373" s="20" t="inlineStr">
        <is>
          <t>EV-360</t>
        </is>
      </c>
      <c r="B373" s="21" t="n"/>
      <c r="C373" s="21" t="n"/>
      <c r="D373" s="21" t="n"/>
      <c r="E373" s="21" t="n"/>
      <c r="F373" s="21" t="n"/>
      <c r="G373" s="21" t="n"/>
      <c r="H373" s="21" t="n"/>
      <c r="I373" s="21" t="n"/>
      <c r="J373" s="21" t="n"/>
      <c r="K373" s="21" t="n"/>
      <c r="L373" s="21" t="n"/>
      <c r="M373" s="21" t="n"/>
      <c r="N373" s="21" t="n"/>
      <c r="O373" s="25">
        <f>IF(OR(ISBLANK(I373),ISBLANK(N373)),"",EDATE(I373,IF(N373="1 year",12,IF(N373="3 years",36,IF(N373="5 years",60,IF(N373="7 years",84,600))))))</f>
        <v/>
      </c>
      <c r="P373" s="21" t="n"/>
      <c r="Q373" s="21" t="n"/>
      <c r="R373" s="21" t="n"/>
      <c r="S373" s="21" t="n"/>
      <c r="T373" s="21" t="n"/>
      <c r="U373" s="21" t="n"/>
      <c r="V373" s="25">
        <f>TODAY()</f>
        <v/>
      </c>
    </row>
    <row r="374">
      <c r="A374" s="20" t="inlineStr">
        <is>
          <t>EV-361</t>
        </is>
      </c>
      <c r="B374" s="21" t="n"/>
      <c r="C374" s="21" t="n"/>
      <c r="D374" s="21" t="n"/>
      <c r="E374" s="21" t="n"/>
      <c r="F374" s="21" t="n"/>
      <c r="G374" s="21" t="n"/>
      <c r="H374" s="21" t="n"/>
      <c r="I374" s="21" t="n"/>
      <c r="J374" s="21" t="n"/>
      <c r="K374" s="21" t="n"/>
      <c r="L374" s="21" t="n"/>
      <c r="M374" s="21" t="n"/>
      <c r="N374" s="21" t="n"/>
      <c r="O374" s="25">
        <f>IF(OR(ISBLANK(I374),ISBLANK(N374)),"",EDATE(I374,IF(N374="1 year",12,IF(N374="3 years",36,IF(N374="5 years",60,IF(N374="7 years",84,600))))))</f>
        <v/>
      </c>
      <c r="P374" s="21" t="n"/>
      <c r="Q374" s="21" t="n"/>
      <c r="R374" s="21" t="n"/>
      <c r="S374" s="21" t="n"/>
      <c r="T374" s="21" t="n"/>
      <c r="U374" s="21" t="n"/>
      <c r="V374" s="25">
        <f>TODAY()</f>
        <v/>
      </c>
    </row>
    <row r="375">
      <c r="A375" s="20" t="inlineStr">
        <is>
          <t>EV-362</t>
        </is>
      </c>
      <c r="B375" s="21" t="n"/>
      <c r="C375" s="21" t="n"/>
      <c r="D375" s="21" t="n"/>
      <c r="E375" s="21" t="n"/>
      <c r="F375" s="21" t="n"/>
      <c r="G375" s="21" t="n"/>
      <c r="H375" s="21" t="n"/>
      <c r="I375" s="21" t="n"/>
      <c r="J375" s="21" t="n"/>
      <c r="K375" s="21" t="n"/>
      <c r="L375" s="21" t="n"/>
      <c r="M375" s="21" t="n"/>
      <c r="N375" s="21" t="n"/>
      <c r="O375" s="25">
        <f>IF(OR(ISBLANK(I375),ISBLANK(N375)),"",EDATE(I375,IF(N375="1 year",12,IF(N375="3 years",36,IF(N375="5 years",60,IF(N375="7 years",84,600))))))</f>
        <v/>
      </c>
      <c r="P375" s="21" t="n"/>
      <c r="Q375" s="21" t="n"/>
      <c r="R375" s="21" t="n"/>
      <c r="S375" s="21" t="n"/>
      <c r="T375" s="21" t="n"/>
      <c r="U375" s="21" t="n"/>
      <c r="V375" s="25">
        <f>TODAY()</f>
        <v/>
      </c>
    </row>
    <row r="376">
      <c r="A376" s="20" t="inlineStr">
        <is>
          <t>EV-363</t>
        </is>
      </c>
      <c r="B376" s="21" t="n"/>
      <c r="C376" s="21" t="n"/>
      <c r="D376" s="21" t="n"/>
      <c r="E376" s="21" t="n"/>
      <c r="F376" s="21" t="n"/>
      <c r="G376" s="21" t="n"/>
      <c r="H376" s="21" t="n"/>
      <c r="I376" s="21" t="n"/>
      <c r="J376" s="21" t="n"/>
      <c r="K376" s="21" t="n"/>
      <c r="L376" s="21" t="n"/>
      <c r="M376" s="21" t="n"/>
      <c r="N376" s="21" t="n"/>
      <c r="O376" s="25">
        <f>IF(OR(ISBLANK(I376),ISBLANK(N376)),"",EDATE(I376,IF(N376="1 year",12,IF(N376="3 years",36,IF(N376="5 years",60,IF(N376="7 years",84,600))))))</f>
        <v/>
      </c>
      <c r="P376" s="21" t="n"/>
      <c r="Q376" s="21" t="n"/>
      <c r="R376" s="21" t="n"/>
      <c r="S376" s="21" t="n"/>
      <c r="T376" s="21" t="n"/>
      <c r="U376" s="21" t="n"/>
      <c r="V376" s="25">
        <f>TODAY()</f>
        <v/>
      </c>
    </row>
    <row r="377">
      <c r="A377" s="20" t="inlineStr">
        <is>
          <t>EV-364</t>
        </is>
      </c>
      <c r="B377" s="21" t="n"/>
      <c r="C377" s="21" t="n"/>
      <c r="D377" s="21" t="n"/>
      <c r="E377" s="21" t="n"/>
      <c r="F377" s="21" t="n"/>
      <c r="G377" s="21" t="n"/>
      <c r="H377" s="21" t="n"/>
      <c r="I377" s="21" t="n"/>
      <c r="J377" s="21" t="n"/>
      <c r="K377" s="21" t="n"/>
      <c r="L377" s="21" t="n"/>
      <c r="M377" s="21" t="n"/>
      <c r="N377" s="21" t="n"/>
      <c r="O377" s="25">
        <f>IF(OR(ISBLANK(I377),ISBLANK(N377)),"",EDATE(I377,IF(N377="1 year",12,IF(N377="3 years",36,IF(N377="5 years",60,IF(N377="7 years",84,600))))))</f>
        <v/>
      </c>
      <c r="P377" s="21" t="n"/>
      <c r="Q377" s="21" t="n"/>
      <c r="R377" s="21" t="n"/>
      <c r="S377" s="21" t="n"/>
      <c r="T377" s="21" t="n"/>
      <c r="U377" s="21" t="n"/>
      <c r="V377" s="25">
        <f>TODAY()</f>
        <v/>
      </c>
    </row>
    <row r="378">
      <c r="A378" s="20" t="inlineStr">
        <is>
          <t>EV-365</t>
        </is>
      </c>
      <c r="B378" s="21" t="n"/>
      <c r="C378" s="21" t="n"/>
      <c r="D378" s="21" t="n"/>
      <c r="E378" s="21" t="n"/>
      <c r="F378" s="21" t="n"/>
      <c r="G378" s="21" t="n"/>
      <c r="H378" s="21" t="n"/>
      <c r="I378" s="21" t="n"/>
      <c r="J378" s="21" t="n"/>
      <c r="K378" s="21" t="n"/>
      <c r="L378" s="21" t="n"/>
      <c r="M378" s="21" t="n"/>
      <c r="N378" s="21" t="n"/>
      <c r="O378" s="25">
        <f>IF(OR(ISBLANK(I378),ISBLANK(N378)),"",EDATE(I378,IF(N378="1 year",12,IF(N378="3 years",36,IF(N378="5 years",60,IF(N378="7 years",84,600))))))</f>
        <v/>
      </c>
      <c r="P378" s="21" t="n"/>
      <c r="Q378" s="21" t="n"/>
      <c r="R378" s="21" t="n"/>
      <c r="S378" s="21" t="n"/>
      <c r="T378" s="21" t="n"/>
      <c r="U378" s="21" t="n"/>
      <c r="V378" s="25">
        <f>TODAY()</f>
        <v/>
      </c>
    </row>
    <row r="379">
      <c r="A379" s="20" t="inlineStr">
        <is>
          <t>EV-366</t>
        </is>
      </c>
      <c r="B379" s="21" t="n"/>
      <c r="C379" s="21" t="n"/>
      <c r="D379" s="21" t="n"/>
      <c r="E379" s="21" t="n"/>
      <c r="F379" s="21" t="n"/>
      <c r="G379" s="21" t="n"/>
      <c r="H379" s="21" t="n"/>
      <c r="I379" s="21" t="n"/>
      <c r="J379" s="21" t="n"/>
      <c r="K379" s="21" t="n"/>
      <c r="L379" s="21" t="n"/>
      <c r="M379" s="21" t="n"/>
      <c r="N379" s="21" t="n"/>
      <c r="O379" s="25">
        <f>IF(OR(ISBLANK(I379),ISBLANK(N379)),"",EDATE(I379,IF(N379="1 year",12,IF(N379="3 years",36,IF(N379="5 years",60,IF(N379="7 years",84,600))))))</f>
        <v/>
      </c>
      <c r="P379" s="21" t="n"/>
      <c r="Q379" s="21" t="n"/>
      <c r="R379" s="21" t="n"/>
      <c r="S379" s="21" t="n"/>
      <c r="T379" s="21" t="n"/>
      <c r="U379" s="21" t="n"/>
      <c r="V379" s="25">
        <f>TODAY()</f>
        <v/>
      </c>
    </row>
    <row r="380">
      <c r="A380" s="20" t="inlineStr">
        <is>
          <t>EV-367</t>
        </is>
      </c>
      <c r="B380" s="21" t="n"/>
      <c r="C380" s="21" t="n"/>
      <c r="D380" s="21" t="n"/>
      <c r="E380" s="21" t="n"/>
      <c r="F380" s="21" t="n"/>
      <c r="G380" s="21" t="n"/>
      <c r="H380" s="21" t="n"/>
      <c r="I380" s="21" t="n"/>
      <c r="J380" s="21" t="n"/>
      <c r="K380" s="21" t="n"/>
      <c r="L380" s="21" t="n"/>
      <c r="M380" s="21" t="n"/>
      <c r="N380" s="21" t="n"/>
      <c r="O380" s="25">
        <f>IF(OR(ISBLANK(I380),ISBLANK(N380)),"",EDATE(I380,IF(N380="1 year",12,IF(N380="3 years",36,IF(N380="5 years",60,IF(N380="7 years",84,600))))))</f>
        <v/>
      </c>
      <c r="P380" s="21" t="n"/>
      <c r="Q380" s="21" t="n"/>
      <c r="R380" s="21" t="n"/>
      <c r="S380" s="21" t="n"/>
      <c r="T380" s="21" t="n"/>
      <c r="U380" s="21" t="n"/>
      <c r="V380" s="25">
        <f>TODAY()</f>
        <v/>
      </c>
    </row>
    <row r="381">
      <c r="A381" s="20" t="inlineStr">
        <is>
          <t>EV-368</t>
        </is>
      </c>
      <c r="B381" s="21" t="n"/>
      <c r="C381" s="21" t="n"/>
      <c r="D381" s="21" t="n"/>
      <c r="E381" s="21" t="n"/>
      <c r="F381" s="21" t="n"/>
      <c r="G381" s="21" t="n"/>
      <c r="H381" s="21" t="n"/>
      <c r="I381" s="21" t="n"/>
      <c r="J381" s="21" t="n"/>
      <c r="K381" s="21" t="n"/>
      <c r="L381" s="21" t="n"/>
      <c r="M381" s="21" t="n"/>
      <c r="N381" s="21" t="n"/>
      <c r="O381" s="25">
        <f>IF(OR(ISBLANK(I381),ISBLANK(N381)),"",EDATE(I381,IF(N381="1 year",12,IF(N381="3 years",36,IF(N381="5 years",60,IF(N381="7 years",84,600))))))</f>
        <v/>
      </c>
      <c r="P381" s="21" t="n"/>
      <c r="Q381" s="21" t="n"/>
      <c r="R381" s="21" t="n"/>
      <c r="S381" s="21" t="n"/>
      <c r="T381" s="21" t="n"/>
      <c r="U381" s="21" t="n"/>
      <c r="V381" s="25">
        <f>TODAY()</f>
        <v/>
      </c>
    </row>
    <row r="382">
      <c r="A382" s="20" t="inlineStr">
        <is>
          <t>EV-369</t>
        </is>
      </c>
      <c r="B382" s="21" t="n"/>
      <c r="C382" s="21" t="n"/>
      <c r="D382" s="21" t="n"/>
      <c r="E382" s="21" t="n"/>
      <c r="F382" s="21" t="n"/>
      <c r="G382" s="21" t="n"/>
      <c r="H382" s="21" t="n"/>
      <c r="I382" s="21" t="n"/>
      <c r="J382" s="21" t="n"/>
      <c r="K382" s="21" t="n"/>
      <c r="L382" s="21" t="n"/>
      <c r="M382" s="21" t="n"/>
      <c r="N382" s="21" t="n"/>
      <c r="O382" s="25">
        <f>IF(OR(ISBLANK(I382),ISBLANK(N382)),"",EDATE(I382,IF(N382="1 year",12,IF(N382="3 years",36,IF(N382="5 years",60,IF(N382="7 years",84,600))))))</f>
        <v/>
      </c>
      <c r="P382" s="21" t="n"/>
      <c r="Q382" s="21" t="n"/>
      <c r="R382" s="21" t="n"/>
      <c r="S382" s="21" t="n"/>
      <c r="T382" s="21" t="n"/>
      <c r="U382" s="21" t="n"/>
      <c r="V382" s="25">
        <f>TODAY()</f>
        <v/>
      </c>
    </row>
    <row r="383">
      <c r="A383" s="20" t="inlineStr">
        <is>
          <t>EV-370</t>
        </is>
      </c>
      <c r="B383" s="21" t="n"/>
      <c r="C383" s="21" t="n"/>
      <c r="D383" s="21" t="n"/>
      <c r="E383" s="21" t="n"/>
      <c r="F383" s="21" t="n"/>
      <c r="G383" s="21" t="n"/>
      <c r="H383" s="21" t="n"/>
      <c r="I383" s="21" t="n"/>
      <c r="J383" s="21" t="n"/>
      <c r="K383" s="21" t="n"/>
      <c r="L383" s="21" t="n"/>
      <c r="M383" s="21" t="n"/>
      <c r="N383" s="21" t="n"/>
      <c r="O383" s="25">
        <f>IF(OR(ISBLANK(I383),ISBLANK(N383)),"",EDATE(I383,IF(N383="1 year",12,IF(N383="3 years",36,IF(N383="5 years",60,IF(N383="7 years",84,600))))))</f>
        <v/>
      </c>
      <c r="P383" s="21" t="n"/>
      <c r="Q383" s="21" t="n"/>
      <c r="R383" s="21" t="n"/>
      <c r="S383" s="21" t="n"/>
      <c r="T383" s="21" t="n"/>
      <c r="U383" s="21" t="n"/>
      <c r="V383" s="25">
        <f>TODAY()</f>
        <v/>
      </c>
    </row>
    <row r="384">
      <c r="A384" s="20" t="inlineStr">
        <is>
          <t>EV-371</t>
        </is>
      </c>
      <c r="B384" s="21" t="n"/>
      <c r="C384" s="21" t="n"/>
      <c r="D384" s="21" t="n"/>
      <c r="E384" s="21" t="n"/>
      <c r="F384" s="21" t="n"/>
      <c r="G384" s="21" t="n"/>
      <c r="H384" s="21" t="n"/>
      <c r="I384" s="21" t="n"/>
      <c r="J384" s="21" t="n"/>
      <c r="K384" s="21" t="n"/>
      <c r="L384" s="21" t="n"/>
      <c r="M384" s="21" t="n"/>
      <c r="N384" s="21" t="n"/>
      <c r="O384" s="25">
        <f>IF(OR(ISBLANK(I384),ISBLANK(N384)),"",EDATE(I384,IF(N384="1 year",12,IF(N384="3 years",36,IF(N384="5 years",60,IF(N384="7 years",84,600))))))</f>
        <v/>
      </c>
      <c r="P384" s="21" t="n"/>
      <c r="Q384" s="21" t="n"/>
      <c r="R384" s="21" t="n"/>
      <c r="S384" s="21" t="n"/>
      <c r="T384" s="21" t="n"/>
      <c r="U384" s="21" t="n"/>
      <c r="V384" s="25">
        <f>TODAY()</f>
        <v/>
      </c>
    </row>
    <row r="385">
      <c r="A385" s="20" t="inlineStr">
        <is>
          <t>EV-372</t>
        </is>
      </c>
      <c r="B385" s="21" t="n"/>
      <c r="C385" s="21" t="n"/>
      <c r="D385" s="21" t="n"/>
      <c r="E385" s="21" t="n"/>
      <c r="F385" s="21" t="n"/>
      <c r="G385" s="21" t="n"/>
      <c r="H385" s="21" t="n"/>
      <c r="I385" s="21" t="n"/>
      <c r="J385" s="21" t="n"/>
      <c r="K385" s="21" t="n"/>
      <c r="L385" s="21" t="n"/>
      <c r="M385" s="21" t="n"/>
      <c r="N385" s="21" t="n"/>
      <c r="O385" s="25">
        <f>IF(OR(ISBLANK(I385),ISBLANK(N385)),"",EDATE(I385,IF(N385="1 year",12,IF(N385="3 years",36,IF(N385="5 years",60,IF(N385="7 years",84,600))))))</f>
        <v/>
      </c>
      <c r="P385" s="21" t="n"/>
      <c r="Q385" s="21" t="n"/>
      <c r="R385" s="21" t="n"/>
      <c r="S385" s="21" t="n"/>
      <c r="T385" s="21" t="n"/>
      <c r="U385" s="21" t="n"/>
      <c r="V385" s="25">
        <f>TODAY()</f>
        <v/>
      </c>
    </row>
    <row r="386">
      <c r="A386" s="20" t="inlineStr">
        <is>
          <t>EV-373</t>
        </is>
      </c>
      <c r="B386" s="21" t="n"/>
      <c r="C386" s="21" t="n"/>
      <c r="D386" s="21" t="n"/>
      <c r="E386" s="21" t="n"/>
      <c r="F386" s="21" t="n"/>
      <c r="G386" s="21" t="n"/>
      <c r="H386" s="21" t="n"/>
      <c r="I386" s="21" t="n"/>
      <c r="J386" s="21" t="n"/>
      <c r="K386" s="21" t="n"/>
      <c r="L386" s="21" t="n"/>
      <c r="M386" s="21" t="n"/>
      <c r="N386" s="21" t="n"/>
      <c r="O386" s="25">
        <f>IF(OR(ISBLANK(I386),ISBLANK(N386)),"",EDATE(I386,IF(N386="1 year",12,IF(N386="3 years",36,IF(N386="5 years",60,IF(N386="7 years",84,600))))))</f>
        <v/>
      </c>
      <c r="P386" s="21" t="n"/>
      <c r="Q386" s="21" t="n"/>
      <c r="R386" s="21" t="n"/>
      <c r="S386" s="21" t="n"/>
      <c r="T386" s="21" t="n"/>
      <c r="U386" s="21" t="n"/>
      <c r="V386" s="25">
        <f>TODAY()</f>
        <v/>
      </c>
    </row>
    <row r="387">
      <c r="A387" s="20" t="inlineStr">
        <is>
          <t>EV-374</t>
        </is>
      </c>
      <c r="B387" s="21" t="n"/>
      <c r="C387" s="21" t="n"/>
      <c r="D387" s="21" t="n"/>
      <c r="E387" s="21" t="n"/>
      <c r="F387" s="21" t="n"/>
      <c r="G387" s="21" t="n"/>
      <c r="H387" s="21" t="n"/>
      <c r="I387" s="21" t="n"/>
      <c r="J387" s="21" t="n"/>
      <c r="K387" s="21" t="n"/>
      <c r="L387" s="21" t="n"/>
      <c r="M387" s="21" t="n"/>
      <c r="N387" s="21" t="n"/>
      <c r="O387" s="25">
        <f>IF(OR(ISBLANK(I387),ISBLANK(N387)),"",EDATE(I387,IF(N387="1 year",12,IF(N387="3 years",36,IF(N387="5 years",60,IF(N387="7 years",84,600))))))</f>
        <v/>
      </c>
      <c r="P387" s="21" t="n"/>
      <c r="Q387" s="21" t="n"/>
      <c r="R387" s="21" t="n"/>
      <c r="S387" s="21" t="n"/>
      <c r="T387" s="21" t="n"/>
      <c r="U387" s="21" t="n"/>
      <c r="V387" s="25">
        <f>TODAY()</f>
        <v/>
      </c>
    </row>
    <row r="388">
      <c r="A388" s="20" t="inlineStr">
        <is>
          <t>EV-375</t>
        </is>
      </c>
      <c r="B388" s="21" t="n"/>
      <c r="C388" s="21" t="n"/>
      <c r="D388" s="21" t="n"/>
      <c r="E388" s="21" t="n"/>
      <c r="F388" s="21" t="n"/>
      <c r="G388" s="21" t="n"/>
      <c r="H388" s="21" t="n"/>
      <c r="I388" s="21" t="n"/>
      <c r="J388" s="21" t="n"/>
      <c r="K388" s="21" t="n"/>
      <c r="L388" s="21" t="n"/>
      <c r="M388" s="21" t="n"/>
      <c r="N388" s="21" t="n"/>
      <c r="O388" s="25">
        <f>IF(OR(ISBLANK(I388),ISBLANK(N388)),"",EDATE(I388,IF(N388="1 year",12,IF(N388="3 years",36,IF(N388="5 years",60,IF(N388="7 years",84,600))))))</f>
        <v/>
      </c>
      <c r="P388" s="21" t="n"/>
      <c r="Q388" s="21" t="n"/>
      <c r="R388" s="21" t="n"/>
      <c r="S388" s="21" t="n"/>
      <c r="T388" s="21" t="n"/>
      <c r="U388" s="21" t="n"/>
      <c r="V388" s="25">
        <f>TODAY()</f>
        <v/>
      </c>
    </row>
    <row r="389">
      <c r="A389" s="20" t="inlineStr">
        <is>
          <t>EV-376</t>
        </is>
      </c>
      <c r="B389" s="21" t="n"/>
      <c r="C389" s="21" t="n"/>
      <c r="D389" s="21" t="n"/>
      <c r="E389" s="21" t="n"/>
      <c r="F389" s="21" t="n"/>
      <c r="G389" s="21" t="n"/>
      <c r="H389" s="21" t="n"/>
      <c r="I389" s="21" t="n"/>
      <c r="J389" s="21" t="n"/>
      <c r="K389" s="21" t="n"/>
      <c r="L389" s="21" t="n"/>
      <c r="M389" s="21" t="n"/>
      <c r="N389" s="21" t="n"/>
      <c r="O389" s="25">
        <f>IF(OR(ISBLANK(I389),ISBLANK(N389)),"",EDATE(I389,IF(N389="1 year",12,IF(N389="3 years",36,IF(N389="5 years",60,IF(N389="7 years",84,600))))))</f>
        <v/>
      </c>
      <c r="P389" s="21" t="n"/>
      <c r="Q389" s="21" t="n"/>
      <c r="R389" s="21" t="n"/>
      <c r="S389" s="21" t="n"/>
      <c r="T389" s="21" t="n"/>
      <c r="U389" s="21" t="n"/>
      <c r="V389" s="25">
        <f>TODAY()</f>
        <v/>
      </c>
    </row>
    <row r="390">
      <c r="A390" s="20" t="inlineStr">
        <is>
          <t>EV-377</t>
        </is>
      </c>
      <c r="B390" s="21" t="n"/>
      <c r="C390" s="21" t="n"/>
      <c r="D390" s="21" t="n"/>
      <c r="E390" s="21" t="n"/>
      <c r="F390" s="21" t="n"/>
      <c r="G390" s="21" t="n"/>
      <c r="H390" s="21" t="n"/>
      <c r="I390" s="21" t="n"/>
      <c r="J390" s="21" t="n"/>
      <c r="K390" s="21" t="n"/>
      <c r="L390" s="21" t="n"/>
      <c r="M390" s="21" t="n"/>
      <c r="N390" s="21" t="n"/>
      <c r="O390" s="25">
        <f>IF(OR(ISBLANK(I390),ISBLANK(N390)),"",EDATE(I390,IF(N390="1 year",12,IF(N390="3 years",36,IF(N390="5 years",60,IF(N390="7 years",84,600))))))</f>
        <v/>
      </c>
      <c r="P390" s="21" t="n"/>
      <c r="Q390" s="21" t="n"/>
      <c r="R390" s="21" t="n"/>
      <c r="S390" s="21" t="n"/>
      <c r="T390" s="21" t="n"/>
      <c r="U390" s="21" t="n"/>
      <c r="V390" s="25">
        <f>TODAY()</f>
        <v/>
      </c>
    </row>
    <row r="391">
      <c r="A391" s="20" t="inlineStr">
        <is>
          <t>EV-378</t>
        </is>
      </c>
      <c r="B391" s="21" t="n"/>
      <c r="C391" s="21" t="n"/>
      <c r="D391" s="21" t="n"/>
      <c r="E391" s="21" t="n"/>
      <c r="F391" s="21" t="n"/>
      <c r="G391" s="21" t="n"/>
      <c r="H391" s="21" t="n"/>
      <c r="I391" s="21" t="n"/>
      <c r="J391" s="21" t="n"/>
      <c r="K391" s="21" t="n"/>
      <c r="L391" s="21" t="n"/>
      <c r="M391" s="21" t="n"/>
      <c r="N391" s="21" t="n"/>
      <c r="O391" s="25">
        <f>IF(OR(ISBLANK(I391),ISBLANK(N391)),"",EDATE(I391,IF(N391="1 year",12,IF(N391="3 years",36,IF(N391="5 years",60,IF(N391="7 years",84,600))))))</f>
        <v/>
      </c>
      <c r="P391" s="21" t="n"/>
      <c r="Q391" s="21" t="n"/>
      <c r="R391" s="21" t="n"/>
      <c r="S391" s="21" t="n"/>
      <c r="T391" s="21" t="n"/>
      <c r="U391" s="21" t="n"/>
      <c r="V391" s="25">
        <f>TODAY()</f>
        <v/>
      </c>
    </row>
    <row r="392">
      <c r="A392" s="20" t="inlineStr">
        <is>
          <t>EV-379</t>
        </is>
      </c>
      <c r="B392" s="21" t="n"/>
      <c r="C392" s="21" t="n"/>
      <c r="D392" s="21" t="n"/>
      <c r="E392" s="21" t="n"/>
      <c r="F392" s="21" t="n"/>
      <c r="G392" s="21" t="n"/>
      <c r="H392" s="21" t="n"/>
      <c r="I392" s="21" t="n"/>
      <c r="J392" s="21" t="n"/>
      <c r="K392" s="21" t="n"/>
      <c r="L392" s="21" t="n"/>
      <c r="M392" s="21" t="n"/>
      <c r="N392" s="21" t="n"/>
      <c r="O392" s="25">
        <f>IF(OR(ISBLANK(I392),ISBLANK(N392)),"",EDATE(I392,IF(N392="1 year",12,IF(N392="3 years",36,IF(N392="5 years",60,IF(N392="7 years",84,600))))))</f>
        <v/>
      </c>
      <c r="P392" s="21" t="n"/>
      <c r="Q392" s="21" t="n"/>
      <c r="R392" s="21" t="n"/>
      <c r="S392" s="21" t="n"/>
      <c r="T392" s="21" t="n"/>
      <c r="U392" s="21" t="n"/>
      <c r="V392" s="25">
        <f>TODAY()</f>
        <v/>
      </c>
    </row>
    <row r="393">
      <c r="A393" s="20" t="inlineStr">
        <is>
          <t>EV-380</t>
        </is>
      </c>
      <c r="B393" s="21" t="n"/>
      <c r="C393" s="21" t="n"/>
      <c r="D393" s="21" t="n"/>
      <c r="E393" s="21" t="n"/>
      <c r="F393" s="21" t="n"/>
      <c r="G393" s="21" t="n"/>
      <c r="H393" s="21" t="n"/>
      <c r="I393" s="21" t="n"/>
      <c r="J393" s="21" t="n"/>
      <c r="K393" s="21" t="n"/>
      <c r="L393" s="21" t="n"/>
      <c r="M393" s="21" t="n"/>
      <c r="N393" s="21" t="n"/>
      <c r="O393" s="25">
        <f>IF(OR(ISBLANK(I393),ISBLANK(N393)),"",EDATE(I393,IF(N393="1 year",12,IF(N393="3 years",36,IF(N393="5 years",60,IF(N393="7 years",84,600))))))</f>
        <v/>
      </c>
      <c r="P393" s="21" t="n"/>
      <c r="Q393" s="21" t="n"/>
      <c r="R393" s="21" t="n"/>
      <c r="S393" s="21" t="n"/>
      <c r="T393" s="21" t="n"/>
      <c r="U393" s="21" t="n"/>
      <c r="V393" s="25">
        <f>TODAY()</f>
        <v/>
      </c>
    </row>
    <row r="394">
      <c r="A394" s="20" t="inlineStr">
        <is>
          <t>EV-381</t>
        </is>
      </c>
      <c r="B394" s="21" t="n"/>
      <c r="C394" s="21" t="n"/>
      <c r="D394" s="21" t="n"/>
      <c r="E394" s="21" t="n"/>
      <c r="F394" s="21" t="n"/>
      <c r="G394" s="21" t="n"/>
      <c r="H394" s="21" t="n"/>
      <c r="I394" s="21" t="n"/>
      <c r="J394" s="21" t="n"/>
      <c r="K394" s="21" t="n"/>
      <c r="L394" s="21" t="n"/>
      <c r="M394" s="21" t="n"/>
      <c r="N394" s="21" t="n"/>
      <c r="O394" s="25">
        <f>IF(OR(ISBLANK(I394),ISBLANK(N394)),"",EDATE(I394,IF(N394="1 year",12,IF(N394="3 years",36,IF(N394="5 years",60,IF(N394="7 years",84,600))))))</f>
        <v/>
      </c>
      <c r="P394" s="21" t="n"/>
      <c r="Q394" s="21" t="n"/>
      <c r="R394" s="21" t="n"/>
      <c r="S394" s="21" t="n"/>
      <c r="T394" s="21" t="n"/>
      <c r="U394" s="21" t="n"/>
      <c r="V394" s="25">
        <f>TODAY()</f>
        <v/>
      </c>
    </row>
    <row r="395">
      <c r="A395" s="20" t="inlineStr">
        <is>
          <t>EV-382</t>
        </is>
      </c>
      <c r="B395" s="21" t="n"/>
      <c r="C395" s="21" t="n"/>
      <c r="D395" s="21" t="n"/>
      <c r="E395" s="21" t="n"/>
      <c r="F395" s="21" t="n"/>
      <c r="G395" s="21" t="n"/>
      <c r="H395" s="21" t="n"/>
      <c r="I395" s="21" t="n"/>
      <c r="J395" s="21" t="n"/>
      <c r="K395" s="21" t="n"/>
      <c r="L395" s="21" t="n"/>
      <c r="M395" s="21" t="n"/>
      <c r="N395" s="21" t="n"/>
      <c r="O395" s="25">
        <f>IF(OR(ISBLANK(I395),ISBLANK(N395)),"",EDATE(I395,IF(N395="1 year",12,IF(N395="3 years",36,IF(N395="5 years",60,IF(N395="7 years",84,600))))))</f>
        <v/>
      </c>
      <c r="P395" s="21" t="n"/>
      <c r="Q395" s="21" t="n"/>
      <c r="R395" s="21" t="n"/>
      <c r="S395" s="21" t="n"/>
      <c r="T395" s="21" t="n"/>
      <c r="U395" s="21" t="n"/>
      <c r="V395" s="25">
        <f>TODAY()</f>
        <v/>
      </c>
    </row>
    <row r="396">
      <c r="A396" s="20" t="inlineStr">
        <is>
          <t>EV-383</t>
        </is>
      </c>
      <c r="B396" s="21" t="n"/>
      <c r="C396" s="21" t="n"/>
      <c r="D396" s="21" t="n"/>
      <c r="E396" s="21" t="n"/>
      <c r="F396" s="21" t="n"/>
      <c r="G396" s="21" t="n"/>
      <c r="H396" s="21" t="n"/>
      <c r="I396" s="21" t="n"/>
      <c r="J396" s="21" t="n"/>
      <c r="K396" s="21" t="n"/>
      <c r="L396" s="21" t="n"/>
      <c r="M396" s="21" t="n"/>
      <c r="N396" s="21" t="n"/>
      <c r="O396" s="25">
        <f>IF(OR(ISBLANK(I396),ISBLANK(N396)),"",EDATE(I396,IF(N396="1 year",12,IF(N396="3 years",36,IF(N396="5 years",60,IF(N396="7 years",84,600))))))</f>
        <v/>
      </c>
      <c r="P396" s="21" t="n"/>
      <c r="Q396" s="21" t="n"/>
      <c r="R396" s="21" t="n"/>
      <c r="S396" s="21" t="n"/>
      <c r="T396" s="21" t="n"/>
      <c r="U396" s="21" t="n"/>
      <c r="V396" s="25">
        <f>TODAY()</f>
        <v/>
      </c>
    </row>
    <row r="397">
      <c r="A397" s="20" t="inlineStr">
        <is>
          <t>EV-384</t>
        </is>
      </c>
      <c r="B397" s="21" t="n"/>
      <c r="C397" s="21" t="n"/>
      <c r="D397" s="21" t="n"/>
      <c r="E397" s="21" t="n"/>
      <c r="F397" s="21" t="n"/>
      <c r="G397" s="21" t="n"/>
      <c r="H397" s="21" t="n"/>
      <c r="I397" s="21" t="n"/>
      <c r="J397" s="21" t="n"/>
      <c r="K397" s="21" t="n"/>
      <c r="L397" s="21" t="n"/>
      <c r="M397" s="21" t="n"/>
      <c r="N397" s="21" t="n"/>
      <c r="O397" s="25">
        <f>IF(OR(ISBLANK(I397),ISBLANK(N397)),"",EDATE(I397,IF(N397="1 year",12,IF(N397="3 years",36,IF(N397="5 years",60,IF(N397="7 years",84,600))))))</f>
        <v/>
      </c>
      <c r="P397" s="21" t="n"/>
      <c r="Q397" s="21" t="n"/>
      <c r="R397" s="21" t="n"/>
      <c r="S397" s="21" t="n"/>
      <c r="T397" s="21" t="n"/>
      <c r="U397" s="21" t="n"/>
      <c r="V397" s="25">
        <f>TODAY()</f>
        <v/>
      </c>
    </row>
    <row r="398">
      <c r="A398" s="20" t="inlineStr">
        <is>
          <t>EV-385</t>
        </is>
      </c>
      <c r="B398" s="21" t="n"/>
      <c r="C398" s="21" t="n"/>
      <c r="D398" s="21" t="n"/>
      <c r="E398" s="21" t="n"/>
      <c r="F398" s="21" t="n"/>
      <c r="G398" s="21" t="n"/>
      <c r="H398" s="21" t="n"/>
      <c r="I398" s="21" t="n"/>
      <c r="J398" s="21" t="n"/>
      <c r="K398" s="21" t="n"/>
      <c r="L398" s="21" t="n"/>
      <c r="M398" s="21" t="n"/>
      <c r="N398" s="21" t="n"/>
      <c r="O398" s="25">
        <f>IF(OR(ISBLANK(I398),ISBLANK(N398)),"",EDATE(I398,IF(N398="1 year",12,IF(N398="3 years",36,IF(N398="5 years",60,IF(N398="7 years",84,600))))))</f>
        <v/>
      </c>
      <c r="P398" s="21" t="n"/>
      <c r="Q398" s="21" t="n"/>
      <c r="R398" s="21" t="n"/>
      <c r="S398" s="21" t="n"/>
      <c r="T398" s="21" t="n"/>
      <c r="U398" s="21" t="n"/>
      <c r="V398" s="25">
        <f>TODAY()</f>
        <v/>
      </c>
    </row>
    <row r="399">
      <c r="A399" s="20" t="inlineStr">
        <is>
          <t>EV-386</t>
        </is>
      </c>
      <c r="B399" s="21" t="n"/>
      <c r="C399" s="21" t="n"/>
      <c r="D399" s="21" t="n"/>
      <c r="E399" s="21" t="n"/>
      <c r="F399" s="21" t="n"/>
      <c r="G399" s="21" t="n"/>
      <c r="H399" s="21" t="n"/>
      <c r="I399" s="21" t="n"/>
      <c r="J399" s="21" t="n"/>
      <c r="K399" s="21" t="n"/>
      <c r="L399" s="21" t="n"/>
      <c r="M399" s="21" t="n"/>
      <c r="N399" s="21" t="n"/>
      <c r="O399" s="25">
        <f>IF(OR(ISBLANK(I399),ISBLANK(N399)),"",EDATE(I399,IF(N399="1 year",12,IF(N399="3 years",36,IF(N399="5 years",60,IF(N399="7 years",84,600))))))</f>
        <v/>
      </c>
      <c r="P399" s="21" t="n"/>
      <c r="Q399" s="21" t="n"/>
      <c r="R399" s="21" t="n"/>
      <c r="S399" s="21" t="n"/>
      <c r="T399" s="21" t="n"/>
      <c r="U399" s="21" t="n"/>
      <c r="V399" s="25">
        <f>TODAY()</f>
        <v/>
      </c>
    </row>
    <row r="400">
      <c r="A400" s="20" t="inlineStr">
        <is>
          <t>EV-387</t>
        </is>
      </c>
      <c r="B400" s="21" t="n"/>
      <c r="C400" s="21" t="n"/>
      <c r="D400" s="21" t="n"/>
      <c r="E400" s="21" t="n"/>
      <c r="F400" s="21" t="n"/>
      <c r="G400" s="21" t="n"/>
      <c r="H400" s="21" t="n"/>
      <c r="I400" s="21" t="n"/>
      <c r="J400" s="21" t="n"/>
      <c r="K400" s="21" t="n"/>
      <c r="L400" s="21" t="n"/>
      <c r="M400" s="21" t="n"/>
      <c r="N400" s="21" t="n"/>
      <c r="O400" s="25">
        <f>IF(OR(ISBLANK(I400),ISBLANK(N400)),"",EDATE(I400,IF(N400="1 year",12,IF(N400="3 years",36,IF(N400="5 years",60,IF(N400="7 years",84,600))))))</f>
        <v/>
      </c>
      <c r="P400" s="21" t="n"/>
      <c r="Q400" s="21" t="n"/>
      <c r="R400" s="21" t="n"/>
      <c r="S400" s="21" t="n"/>
      <c r="T400" s="21" t="n"/>
      <c r="U400" s="21" t="n"/>
      <c r="V400" s="25">
        <f>TODAY()</f>
        <v/>
      </c>
    </row>
    <row r="401">
      <c r="A401" s="20" t="inlineStr">
        <is>
          <t>EV-388</t>
        </is>
      </c>
      <c r="B401" s="21" t="n"/>
      <c r="C401" s="21" t="n"/>
      <c r="D401" s="21" t="n"/>
      <c r="E401" s="21" t="n"/>
      <c r="F401" s="21" t="n"/>
      <c r="G401" s="21" t="n"/>
      <c r="H401" s="21" t="n"/>
      <c r="I401" s="21" t="n"/>
      <c r="J401" s="21" t="n"/>
      <c r="K401" s="21" t="n"/>
      <c r="L401" s="21" t="n"/>
      <c r="M401" s="21" t="n"/>
      <c r="N401" s="21" t="n"/>
      <c r="O401" s="25">
        <f>IF(OR(ISBLANK(I401),ISBLANK(N401)),"",EDATE(I401,IF(N401="1 year",12,IF(N401="3 years",36,IF(N401="5 years",60,IF(N401="7 years",84,600))))))</f>
        <v/>
      </c>
      <c r="P401" s="21" t="n"/>
      <c r="Q401" s="21" t="n"/>
      <c r="R401" s="21" t="n"/>
      <c r="S401" s="21" t="n"/>
      <c r="T401" s="21" t="n"/>
      <c r="U401" s="21" t="n"/>
      <c r="V401" s="25">
        <f>TODAY()</f>
        <v/>
      </c>
    </row>
    <row r="402">
      <c r="A402" s="20" t="inlineStr">
        <is>
          <t>EV-389</t>
        </is>
      </c>
      <c r="B402" s="21" t="n"/>
      <c r="C402" s="21" t="n"/>
      <c r="D402" s="21" t="n"/>
      <c r="E402" s="21" t="n"/>
      <c r="F402" s="21" t="n"/>
      <c r="G402" s="21" t="n"/>
      <c r="H402" s="21" t="n"/>
      <c r="I402" s="21" t="n"/>
      <c r="J402" s="21" t="n"/>
      <c r="K402" s="21" t="n"/>
      <c r="L402" s="21" t="n"/>
      <c r="M402" s="21" t="n"/>
      <c r="N402" s="21" t="n"/>
      <c r="O402" s="25">
        <f>IF(OR(ISBLANK(I402),ISBLANK(N402)),"",EDATE(I402,IF(N402="1 year",12,IF(N402="3 years",36,IF(N402="5 years",60,IF(N402="7 years",84,600))))))</f>
        <v/>
      </c>
      <c r="P402" s="21" t="n"/>
      <c r="Q402" s="21" t="n"/>
      <c r="R402" s="21" t="n"/>
      <c r="S402" s="21" t="n"/>
      <c r="T402" s="21" t="n"/>
      <c r="U402" s="21" t="n"/>
      <c r="V402" s="25">
        <f>TODAY()</f>
        <v/>
      </c>
    </row>
    <row r="403">
      <c r="A403" s="20" t="inlineStr">
        <is>
          <t>EV-390</t>
        </is>
      </c>
      <c r="B403" s="21" t="n"/>
      <c r="C403" s="21" t="n"/>
      <c r="D403" s="21" t="n"/>
      <c r="E403" s="21" t="n"/>
      <c r="F403" s="21" t="n"/>
      <c r="G403" s="21" t="n"/>
      <c r="H403" s="21" t="n"/>
      <c r="I403" s="21" t="n"/>
      <c r="J403" s="21" t="n"/>
      <c r="K403" s="21" t="n"/>
      <c r="L403" s="21" t="n"/>
      <c r="M403" s="21" t="n"/>
      <c r="N403" s="21" t="n"/>
      <c r="O403" s="25">
        <f>IF(OR(ISBLANK(I403),ISBLANK(N403)),"",EDATE(I403,IF(N403="1 year",12,IF(N403="3 years",36,IF(N403="5 years",60,IF(N403="7 years",84,600))))))</f>
        <v/>
      </c>
      <c r="P403" s="21" t="n"/>
      <c r="Q403" s="21" t="n"/>
      <c r="R403" s="21" t="n"/>
      <c r="S403" s="21" t="n"/>
      <c r="T403" s="21" t="n"/>
      <c r="U403" s="21" t="n"/>
      <c r="V403" s="25">
        <f>TODAY()</f>
        <v/>
      </c>
    </row>
    <row r="404">
      <c r="A404" s="20" t="inlineStr">
        <is>
          <t>EV-391</t>
        </is>
      </c>
      <c r="B404" s="21" t="n"/>
      <c r="C404" s="21" t="n"/>
      <c r="D404" s="21" t="n"/>
      <c r="E404" s="21" t="n"/>
      <c r="F404" s="21" t="n"/>
      <c r="G404" s="21" t="n"/>
      <c r="H404" s="21" t="n"/>
      <c r="I404" s="21" t="n"/>
      <c r="J404" s="21" t="n"/>
      <c r="K404" s="21" t="n"/>
      <c r="L404" s="21" t="n"/>
      <c r="M404" s="21" t="n"/>
      <c r="N404" s="21" t="n"/>
      <c r="O404" s="25">
        <f>IF(OR(ISBLANK(I404),ISBLANK(N404)),"",EDATE(I404,IF(N404="1 year",12,IF(N404="3 years",36,IF(N404="5 years",60,IF(N404="7 years",84,600))))))</f>
        <v/>
      </c>
      <c r="P404" s="21" t="n"/>
      <c r="Q404" s="21" t="n"/>
      <c r="R404" s="21" t="n"/>
      <c r="S404" s="21" t="n"/>
      <c r="T404" s="21" t="n"/>
      <c r="U404" s="21" t="n"/>
      <c r="V404" s="25">
        <f>TODAY()</f>
        <v/>
      </c>
    </row>
    <row r="405">
      <c r="A405" s="20" t="inlineStr">
        <is>
          <t>EV-392</t>
        </is>
      </c>
      <c r="B405" s="21" t="n"/>
      <c r="C405" s="21" t="n"/>
      <c r="D405" s="21" t="n"/>
      <c r="E405" s="21" t="n"/>
      <c r="F405" s="21" t="n"/>
      <c r="G405" s="21" t="n"/>
      <c r="H405" s="21" t="n"/>
      <c r="I405" s="21" t="n"/>
      <c r="J405" s="21" t="n"/>
      <c r="K405" s="21" t="n"/>
      <c r="L405" s="21" t="n"/>
      <c r="M405" s="21" t="n"/>
      <c r="N405" s="21" t="n"/>
      <c r="O405" s="25">
        <f>IF(OR(ISBLANK(I405),ISBLANK(N405)),"",EDATE(I405,IF(N405="1 year",12,IF(N405="3 years",36,IF(N405="5 years",60,IF(N405="7 years",84,600))))))</f>
        <v/>
      </c>
      <c r="P405" s="21" t="n"/>
      <c r="Q405" s="21" t="n"/>
      <c r="R405" s="21" t="n"/>
      <c r="S405" s="21" t="n"/>
      <c r="T405" s="21" t="n"/>
      <c r="U405" s="21" t="n"/>
      <c r="V405" s="25">
        <f>TODAY()</f>
        <v/>
      </c>
    </row>
    <row r="406">
      <c r="A406" s="20" t="inlineStr">
        <is>
          <t>EV-393</t>
        </is>
      </c>
      <c r="B406" s="21" t="n"/>
      <c r="C406" s="21" t="n"/>
      <c r="D406" s="21" t="n"/>
      <c r="E406" s="21" t="n"/>
      <c r="F406" s="21" t="n"/>
      <c r="G406" s="21" t="n"/>
      <c r="H406" s="21" t="n"/>
      <c r="I406" s="21" t="n"/>
      <c r="J406" s="21" t="n"/>
      <c r="K406" s="21" t="n"/>
      <c r="L406" s="21" t="n"/>
      <c r="M406" s="21" t="n"/>
      <c r="N406" s="21" t="n"/>
      <c r="O406" s="25">
        <f>IF(OR(ISBLANK(I406),ISBLANK(N406)),"",EDATE(I406,IF(N406="1 year",12,IF(N406="3 years",36,IF(N406="5 years",60,IF(N406="7 years",84,600))))))</f>
        <v/>
      </c>
      <c r="P406" s="21" t="n"/>
      <c r="Q406" s="21" t="n"/>
      <c r="R406" s="21" t="n"/>
      <c r="S406" s="21" t="n"/>
      <c r="T406" s="21" t="n"/>
      <c r="U406" s="21" t="n"/>
      <c r="V406" s="25">
        <f>TODAY()</f>
        <v/>
      </c>
    </row>
    <row r="407">
      <c r="A407" s="20" t="inlineStr">
        <is>
          <t>EV-394</t>
        </is>
      </c>
      <c r="B407" s="21" t="n"/>
      <c r="C407" s="21" t="n"/>
      <c r="D407" s="21" t="n"/>
      <c r="E407" s="21" t="n"/>
      <c r="F407" s="21" t="n"/>
      <c r="G407" s="21" t="n"/>
      <c r="H407" s="21" t="n"/>
      <c r="I407" s="21" t="n"/>
      <c r="J407" s="21" t="n"/>
      <c r="K407" s="21" t="n"/>
      <c r="L407" s="21" t="n"/>
      <c r="M407" s="21" t="n"/>
      <c r="N407" s="21" t="n"/>
      <c r="O407" s="25">
        <f>IF(OR(ISBLANK(I407),ISBLANK(N407)),"",EDATE(I407,IF(N407="1 year",12,IF(N407="3 years",36,IF(N407="5 years",60,IF(N407="7 years",84,600))))))</f>
        <v/>
      </c>
      <c r="P407" s="21" t="n"/>
      <c r="Q407" s="21" t="n"/>
      <c r="R407" s="21" t="n"/>
      <c r="S407" s="21" t="n"/>
      <c r="T407" s="21" t="n"/>
      <c r="U407" s="21" t="n"/>
      <c r="V407" s="25">
        <f>TODAY()</f>
        <v/>
      </c>
    </row>
    <row r="408">
      <c r="A408" s="20" t="inlineStr">
        <is>
          <t>EV-395</t>
        </is>
      </c>
      <c r="B408" s="21" t="n"/>
      <c r="C408" s="21" t="n"/>
      <c r="D408" s="21" t="n"/>
      <c r="E408" s="21" t="n"/>
      <c r="F408" s="21" t="n"/>
      <c r="G408" s="21" t="n"/>
      <c r="H408" s="21" t="n"/>
      <c r="I408" s="21" t="n"/>
      <c r="J408" s="21" t="n"/>
      <c r="K408" s="21" t="n"/>
      <c r="L408" s="21" t="n"/>
      <c r="M408" s="21" t="n"/>
      <c r="N408" s="21" t="n"/>
      <c r="O408" s="25">
        <f>IF(OR(ISBLANK(I408),ISBLANK(N408)),"",EDATE(I408,IF(N408="1 year",12,IF(N408="3 years",36,IF(N408="5 years",60,IF(N408="7 years",84,600))))))</f>
        <v/>
      </c>
      <c r="P408" s="21" t="n"/>
      <c r="Q408" s="21" t="n"/>
      <c r="R408" s="21" t="n"/>
      <c r="S408" s="21" t="n"/>
      <c r="T408" s="21" t="n"/>
      <c r="U408" s="21" t="n"/>
      <c r="V408" s="25">
        <f>TODAY()</f>
        <v/>
      </c>
    </row>
    <row r="409">
      <c r="A409" s="20" t="inlineStr">
        <is>
          <t>EV-396</t>
        </is>
      </c>
      <c r="B409" s="21" t="n"/>
      <c r="C409" s="21" t="n"/>
      <c r="D409" s="21" t="n"/>
      <c r="E409" s="21" t="n"/>
      <c r="F409" s="21" t="n"/>
      <c r="G409" s="21" t="n"/>
      <c r="H409" s="21" t="n"/>
      <c r="I409" s="21" t="n"/>
      <c r="J409" s="21" t="n"/>
      <c r="K409" s="21" t="n"/>
      <c r="L409" s="21" t="n"/>
      <c r="M409" s="21" t="n"/>
      <c r="N409" s="21" t="n"/>
      <c r="O409" s="25">
        <f>IF(OR(ISBLANK(I409),ISBLANK(N409)),"",EDATE(I409,IF(N409="1 year",12,IF(N409="3 years",36,IF(N409="5 years",60,IF(N409="7 years",84,600))))))</f>
        <v/>
      </c>
      <c r="P409" s="21" t="n"/>
      <c r="Q409" s="21" t="n"/>
      <c r="R409" s="21" t="n"/>
      <c r="S409" s="21" t="n"/>
      <c r="T409" s="21" t="n"/>
      <c r="U409" s="21" t="n"/>
      <c r="V409" s="25">
        <f>TODAY()</f>
        <v/>
      </c>
    </row>
    <row r="410">
      <c r="A410" s="20" t="inlineStr">
        <is>
          <t>EV-397</t>
        </is>
      </c>
      <c r="B410" s="21" t="n"/>
      <c r="C410" s="21" t="n"/>
      <c r="D410" s="21" t="n"/>
      <c r="E410" s="21" t="n"/>
      <c r="F410" s="21" t="n"/>
      <c r="G410" s="21" t="n"/>
      <c r="H410" s="21" t="n"/>
      <c r="I410" s="21" t="n"/>
      <c r="J410" s="21" t="n"/>
      <c r="K410" s="21" t="n"/>
      <c r="L410" s="21" t="n"/>
      <c r="M410" s="21" t="n"/>
      <c r="N410" s="21" t="n"/>
      <c r="O410" s="25">
        <f>IF(OR(ISBLANK(I410),ISBLANK(N410)),"",EDATE(I410,IF(N410="1 year",12,IF(N410="3 years",36,IF(N410="5 years",60,IF(N410="7 years",84,600))))))</f>
        <v/>
      </c>
      <c r="P410" s="21" t="n"/>
      <c r="Q410" s="21" t="n"/>
      <c r="R410" s="21" t="n"/>
      <c r="S410" s="21" t="n"/>
      <c r="T410" s="21" t="n"/>
      <c r="U410" s="21" t="n"/>
      <c r="V410" s="25">
        <f>TODAY()</f>
        <v/>
      </c>
    </row>
    <row r="411">
      <c r="A411" s="20" t="inlineStr">
        <is>
          <t>EV-398</t>
        </is>
      </c>
      <c r="B411" s="21" t="n"/>
      <c r="C411" s="21" t="n"/>
      <c r="D411" s="21" t="n"/>
      <c r="E411" s="21" t="n"/>
      <c r="F411" s="21" t="n"/>
      <c r="G411" s="21" t="n"/>
      <c r="H411" s="21" t="n"/>
      <c r="I411" s="21" t="n"/>
      <c r="J411" s="21" t="n"/>
      <c r="K411" s="21" t="n"/>
      <c r="L411" s="21" t="n"/>
      <c r="M411" s="21" t="n"/>
      <c r="N411" s="21" t="n"/>
      <c r="O411" s="25">
        <f>IF(OR(ISBLANK(I411),ISBLANK(N411)),"",EDATE(I411,IF(N411="1 year",12,IF(N411="3 years",36,IF(N411="5 years",60,IF(N411="7 years",84,600))))))</f>
        <v/>
      </c>
      <c r="P411" s="21" t="n"/>
      <c r="Q411" s="21" t="n"/>
      <c r="R411" s="21" t="n"/>
      <c r="S411" s="21" t="n"/>
      <c r="T411" s="21" t="n"/>
      <c r="U411" s="21" t="n"/>
      <c r="V411" s="25">
        <f>TODAY()</f>
        <v/>
      </c>
    </row>
    <row r="412">
      <c r="A412" s="20" t="inlineStr">
        <is>
          <t>EV-399</t>
        </is>
      </c>
      <c r="B412" s="21" t="n"/>
      <c r="C412" s="21" t="n"/>
      <c r="D412" s="21" t="n"/>
      <c r="E412" s="21" t="n"/>
      <c r="F412" s="21" t="n"/>
      <c r="G412" s="21" t="n"/>
      <c r="H412" s="21" t="n"/>
      <c r="I412" s="21" t="n"/>
      <c r="J412" s="21" t="n"/>
      <c r="K412" s="21" t="n"/>
      <c r="L412" s="21" t="n"/>
      <c r="M412" s="21" t="n"/>
      <c r="N412" s="21" t="n"/>
      <c r="O412" s="25">
        <f>IF(OR(ISBLANK(I412),ISBLANK(N412)),"",EDATE(I412,IF(N412="1 year",12,IF(N412="3 years",36,IF(N412="5 years",60,IF(N412="7 years",84,600))))))</f>
        <v/>
      </c>
      <c r="P412" s="21" t="n"/>
      <c r="Q412" s="21" t="n"/>
      <c r="R412" s="21" t="n"/>
      <c r="S412" s="21" t="n"/>
      <c r="T412" s="21" t="n"/>
      <c r="U412" s="21" t="n"/>
      <c r="V412" s="25">
        <f>TODAY()</f>
        <v/>
      </c>
    </row>
    <row r="413">
      <c r="A413" s="20" t="inlineStr">
        <is>
          <t>EV-400</t>
        </is>
      </c>
      <c r="B413" s="21" t="n"/>
      <c r="C413" s="21" t="n"/>
      <c r="D413" s="21" t="n"/>
      <c r="E413" s="21" t="n"/>
      <c r="F413" s="21" t="n"/>
      <c r="G413" s="21" t="n"/>
      <c r="H413" s="21" t="n"/>
      <c r="I413" s="21" t="n"/>
      <c r="J413" s="21" t="n"/>
      <c r="K413" s="21" t="n"/>
      <c r="L413" s="21" t="n"/>
      <c r="M413" s="21" t="n"/>
      <c r="N413" s="21" t="n"/>
      <c r="O413" s="25">
        <f>IF(OR(ISBLANK(I413),ISBLANK(N413)),"",EDATE(I413,IF(N413="1 year",12,IF(N413="3 years",36,IF(N413="5 years",60,IF(N413="7 years",84,600))))))</f>
        <v/>
      </c>
      <c r="P413" s="21" t="n"/>
      <c r="Q413" s="21" t="n"/>
      <c r="R413" s="21" t="n"/>
      <c r="S413" s="21" t="n"/>
      <c r="T413" s="21" t="n"/>
      <c r="U413" s="21" t="n"/>
      <c r="V413" s="25">
        <f>TODAY()</f>
        <v/>
      </c>
    </row>
    <row r="414">
      <c r="A414" s="20" t="inlineStr">
        <is>
          <t>EV-401</t>
        </is>
      </c>
      <c r="B414" s="21" t="n"/>
      <c r="C414" s="21" t="n"/>
      <c r="D414" s="21" t="n"/>
      <c r="E414" s="21" t="n"/>
      <c r="F414" s="21" t="n"/>
      <c r="G414" s="21" t="n"/>
      <c r="H414" s="21" t="n"/>
      <c r="I414" s="21" t="n"/>
      <c r="J414" s="21" t="n"/>
      <c r="K414" s="21" t="n"/>
      <c r="L414" s="21" t="n"/>
      <c r="M414" s="21" t="n"/>
      <c r="N414" s="21" t="n"/>
      <c r="O414" s="25">
        <f>IF(OR(ISBLANK(I414),ISBLANK(N414)),"",EDATE(I414,IF(N414="1 year",12,IF(N414="3 years",36,IF(N414="5 years",60,IF(N414="7 years",84,600))))))</f>
        <v/>
      </c>
      <c r="P414" s="21" t="n"/>
      <c r="Q414" s="21" t="n"/>
      <c r="R414" s="21" t="n"/>
      <c r="S414" s="21" t="n"/>
      <c r="T414" s="21" t="n"/>
      <c r="U414" s="21" t="n"/>
      <c r="V414" s="25">
        <f>TODAY()</f>
        <v/>
      </c>
    </row>
    <row r="415">
      <c r="A415" s="20" t="inlineStr">
        <is>
          <t>EV-402</t>
        </is>
      </c>
      <c r="B415" s="21" t="n"/>
      <c r="C415" s="21" t="n"/>
      <c r="D415" s="21" t="n"/>
      <c r="E415" s="21" t="n"/>
      <c r="F415" s="21" t="n"/>
      <c r="G415" s="21" t="n"/>
      <c r="H415" s="21" t="n"/>
      <c r="I415" s="21" t="n"/>
      <c r="J415" s="21" t="n"/>
      <c r="K415" s="21" t="n"/>
      <c r="L415" s="21" t="n"/>
      <c r="M415" s="21" t="n"/>
      <c r="N415" s="21" t="n"/>
      <c r="O415" s="25">
        <f>IF(OR(ISBLANK(I415),ISBLANK(N415)),"",EDATE(I415,IF(N415="1 year",12,IF(N415="3 years",36,IF(N415="5 years",60,IF(N415="7 years",84,600))))))</f>
        <v/>
      </c>
      <c r="P415" s="21" t="n"/>
      <c r="Q415" s="21" t="n"/>
      <c r="R415" s="21" t="n"/>
      <c r="S415" s="21" t="n"/>
      <c r="T415" s="21" t="n"/>
      <c r="U415" s="21" t="n"/>
      <c r="V415" s="25">
        <f>TODAY()</f>
        <v/>
      </c>
    </row>
    <row r="416">
      <c r="A416" s="20" t="inlineStr">
        <is>
          <t>EV-403</t>
        </is>
      </c>
      <c r="B416" s="21" t="n"/>
      <c r="C416" s="21" t="n"/>
      <c r="D416" s="21" t="n"/>
      <c r="E416" s="21" t="n"/>
      <c r="F416" s="21" t="n"/>
      <c r="G416" s="21" t="n"/>
      <c r="H416" s="21" t="n"/>
      <c r="I416" s="21" t="n"/>
      <c r="J416" s="21" t="n"/>
      <c r="K416" s="21" t="n"/>
      <c r="L416" s="21" t="n"/>
      <c r="M416" s="21" t="n"/>
      <c r="N416" s="21" t="n"/>
      <c r="O416" s="25">
        <f>IF(OR(ISBLANK(I416),ISBLANK(N416)),"",EDATE(I416,IF(N416="1 year",12,IF(N416="3 years",36,IF(N416="5 years",60,IF(N416="7 years",84,600))))))</f>
        <v/>
      </c>
      <c r="P416" s="21" t="n"/>
      <c r="Q416" s="21" t="n"/>
      <c r="R416" s="21" t="n"/>
      <c r="S416" s="21" t="n"/>
      <c r="T416" s="21" t="n"/>
      <c r="U416" s="21" t="n"/>
      <c r="V416" s="25">
        <f>TODAY()</f>
        <v/>
      </c>
    </row>
    <row r="417">
      <c r="A417" s="20" t="inlineStr">
        <is>
          <t>EV-404</t>
        </is>
      </c>
      <c r="B417" s="21" t="n"/>
      <c r="C417" s="21" t="n"/>
      <c r="D417" s="21" t="n"/>
      <c r="E417" s="21" t="n"/>
      <c r="F417" s="21" t="n"/>
      <c r="G417" s="21" t="n"/>
      <c r="H417" s="21" t="n"/>
      <c r="I417" s="21" t="n"/>
      <c r="J417" s="21" t="n"/>
      <c r="K417" s="21" t="n"/>
      <c r="L417" s="21" t="n"/>
      <c r="M417" s="21" t="n"/>
      <c r="N417" s="21" t="n"/>
      <c r="O417" s="25">
        <f>IF(OR(ISBLANK(I417),ISBLANK(N417)),"",EDATE(I417,IF(N417="1 year",12,IF(N417="3 years",36,IF(N417="5 years",60,IF(N417="7 years",84,600))))))</f>
        <v/>
      </c>
      <c r="P417" s="21" t="n"/>
      <c r="Q417" s="21" t="n"/>
      <c r="R417" s="21" t="n"/>
      <c r="S417" s="21" t="n"/>
      <c r="T417" s="21" t="n"/>
      <c r="U417" s="21" t="n"/>
      <c r="V417" s="25">
        <f>TODAY()</f>
        <v/>
      </c>
    </row>
    <row r="418">
      <c r="A418" s="20" t="inlineStr">
        <is>
          <t>EV-405</t>
        </is>
      </c>
      <c r="B418" s="21" t="n"/>
      <c r="C418" s="21" t="n"/>
      <c r="D418" s="21" t="n"/>
      <c r="E418" s="21" t="n"/>
      <c r="F418" s="21" t="n"/>
      <c r="G418" s="21" t="n"/>
      <c r="H418" s="21" t="n"/>
      <c r="I418" s="21" t="n"/>
      <c r="J418" s="21" t="n"/>
      <c r="K418" s="21" t="n"/>
      <c r="L418" s="21" t="n"/>
      <c r="M418" s="21" t="n"/>
      <c r="N418" s="21" t="n"/>
      <c r="O418" s="25">
        <f>IF(OR(ISBLANK(I418),ISBLANK(N418)),"",EDATE(I418,IF(N418="1 year",12,IF(N418="3 years",36,IF(N418="5 years",60,IF(N418="7 years",84,600))))))</f>
        <v/>
      </c>
      <c r="P418" s="21" t="n"/>
      <c r="Q418" s="21" t="n"/>
      <c r="R418" s="21" t="n"/>
      <c r="S418" s="21" t="n"/>
      <c r="T418" s="21" t="n"/>
      <c r="U418" s="21" t="n"/>
      <c r="V418" s="25">
        <f>TODAY()</f>
        <v/>
      </c>
    </row>
    <row r="419">
      <c r="A419" s="20" t="inlineStr">
        <is>
          <t>EV-406</t>
        </is>
      </c>
      <c r="B419" s="21" t="n"/>
      <c r="C419" s="21" t="n"/>
      <c r="D419" s="21" t="n"/>
      <c r="E419" s="21" t="n"/>
      <c r="F419" s="21" t="n"/>
      <c r="G419" s="21" t="n"/>
      <c r="H419" s="21" t="n"/>
      <c r="I419" s="21" t="n"/>
      <c r="J419" s="21" t="n"/>
      <c r="K419" s="21" t="n"/>
      <c r="L419" s="21" t="n"/>
      <c r="M419" s="21" t="n"/>
      <c r="N419" s="21" t="n"/>
      <c r="O419" s="25">
        <f>IF(OR(ISBLANK(I419),ISBLANK(N419)),"",EDATE(I419,IF(N419="1 year",12,IF(N419="3 years",36,IF(N419="5 years",60,IF(N419="7 years",84,600))))))</f>
        <v/>
      </c>
      <c r="P419" s="21" t="n"/>
      <c r="Q419" s="21" t="n"/>
      <c r="R419" s="21" t="n"/>
      <c r="S419" s="21" t="n"/>
      <c r="T419" s="21" t="n"/>
      <c r="U419" s="21" t="n"/>
      <c r="V419" s="25">
        <f>TODAY()</f>
        <v/>
      </c>
    </row>
    <row r="420">
      <c r="A420" s="20" t="inlineStr">
        <is>
          <t>EV-407</t>
        </is>
      </c>
      <c r="B420" s="21" t="n"/>
      <c r="C420" s="21" t="n"/>
      <c r="D420" s="21" t="n"/>
      <c r="E420" s="21" t="n"/>
      <c r="F420" s="21" t="n"/>
      <c r="G420" s="21" t="n"/>
      <c r="H420" s="21" t="n"/>
      <c r="I420" s="21" t="n"/>
      <c r="J420" s="21" t="n"/>
      <c r="K420" s="21" t="n"/>
      <c r="L420" s="21" t="n"/>
      <c r="M420" s="21" t="n"/>
      <c r="N420" s="21" t="n"/>
      <c r="O420" s="25">
        <f>IF(OR(ISBLANK(I420),ISBLANK(N420)),"",EDATE(I420,IF(N420="1 year",12,IF(N420="3 years",36,IF(N420="5 years",60,IF(N420="7 years",84,600))))))</f>
        <v/>
      </c>
      <c r="P420" s="21" t="n"/>
      <c r="Q420" s="21" t="n"/>
      <c r="R420" s="21" t="n"/>
      <c r="S420" s="21" t="n"/>
      <c r="T420" s="21" t="n"/>
      <c r="U420" s="21" t="n"/>
      <c r="V420" s="25">
        <f>TODAY()</f>
        <v/>
      </c>
    </row>
    <row r="421">
      <c r="A421" s="20" t="inlineStr">
        <is>
          <t>EV-408</t>
        </is>
      </c>
      <c r="B421" s="21" t="n"/>
      <c r="C421" s="21" t="n"/>
      <c r="D421" s="21" t="n"/>
      <c r="E421" s="21" t="n"/>
      <c r="F421" s="21" t="n"/>
      <c r="G421" s="21" t="n"/>
      <c r="H421" s="21" t="n"/>
      <c r="I421" s="21" t="n"/>
      <c r="J421" s="21" t="n"/>
      <c r="K421" s="21" t="n"/>
      <c r="L421" s="21" t="n"/>
      <c r="M421" s="21" t="n"/>
      <c r="N421" s="21" t="n"/>
      <c r="O421" s="25">
        <f>IF(OR(ISBLANK(I421),ISBLANK(N421)),"",EDATE(I421,IF(N421="1 year",12,IF(N421="3 years",36,IF(N421="5 years",60,IF(N421="7 years",84,600))))))</f>
        <v/>
      </c>
      <c r="P421" s="21" t="n"/>
      <c r="Q421" s="21" t="n"/>
      <c r="R421" s="21" t="n"/>
      <c r="S421" s="21" t="n"/>
      <c r="T421" s="21" t="n"/>
      <c r="U421" s="21" t="n"/>
      <c r="V421" s="25">
        <f>TODAY()</f>
        <v/>
      </c>
    </row>
    <row r="422">
      <c r="A422" s="20" t="inlineStr">
        <is>
          <t>EV-409</t>
        </is>
      </c>
      <c r="B422" s="21" t="n"/>
      <c r="C422" s="21" t="n"/>
      <c r="D422" s="21" t="n"/>
      <c r="E422" s="21" t="n"/>
      <c r="F422" s="21" t="n"/>
      <c r="G422" s="21" t="n"/>
      <c r="H422" s="21" t="n"/>
      <c r="I422" s="21" t="n"/>
      <c r="J422" s="21" t="n"/>
      <c r="K422" s="21" t="n"/>
      <c r="L422" s="21" t="n"/>
      <c r="M422" s="21" t="n"/>
      <c r="N422" s="21" t="n"/>
      <c r="O422" s="25">
        <f>IF(OR(ISBLANK(I422),ISBLANK(N422)),"",EDATE(I422,IF(N422="1 year",12,IF(N422="3 years",36,IF(N422="5 years",60,IF(N422="7 years",84,600))))))</f>
        <v/>
      </c>
      <c r="P422" s="21" t="n"/>
      <c r="Q422" s="21" t="n"/>
      <c r="R422" s="21" t="n"/>
      <c r="S422" s="21" t="n"/>
      <c r="T422" s="21" t="n"/>
      <c r="U422" s="21" t="n"/>
      <c r="V422" s="25">
        <f>TODAY()</f>
        <v/>
      </c>
    </row>
    <row r="423">
      <c r="A423" s="20" t="inlineStr">
        <is>
          <t>EV-410</t>
        </is>
      </c>
      <c r="B423" s="21" t="n"/>
      <c r="C423" s="21" t="n"/>
      <c r="D423" s="21" t="n"/>
      <c r="E423" s="21" t="n"/>
      <c r="F423" s="21" t="n"/>
      <c r="G423" s="21" t="n"/>
      <c r="H423" s="21" t="n"/>
      <c r="I423" s="21" t="n"/>
      <c r="J423" s="21" t="n"/>
      <c r="K423" s="21" t="n"/>
      <c r="L423" s="21" t="n"/>
      <c r="M423" s="21" t="n"/>
      <c r="N423" s="21" t="n"/>
      <c r="O423" s="25">
        <f>IF(OR(ISBLANK(I423),ISBLANK(N423)),"",EDATE(I423,IF(N423="1 year",12,IF(N423="3 years",36,IF(N423="5 years",60,IF(N423="7 years",84,600))))))</f>
        <v/>
      </c>
      <c r="P423" s="21" t="n"/>
      <c r="Q423" s="21" t="n"/>
      <c r="R423" s="21" t="n"/>
      <c r="S423" s="21" t="n"/>
      <c r="T423" s="21" t="n"/>
      <c r="U423" s="21" t="n"/>
      <c r="V423" s="25">
        <f>TODAY()</f>
        <v/>
      </c>
    </row>
    <row r="424">
      <c r="A424" s="20" t="inlineStr">
        <is>
          <t>EV-411</t>
        </is>
      </c>
      <c r="B424" s="21" t="n"/>
      <c r="C424" s="21" t="n"/>
      <c r="D424" s="21" t="n"/>
      <c r="E424" s="21" t="n"/>
      <c r="F424" s="21" t="n"/>
      <c r="G424" s="21" t="n"/>
      <c r="H424" s="21" t="n"/>
      <c r="I424" s="21" t="n"/>
      <c r="J424" s="21" t="n"/>
      <c r="K424" s="21" t="n"/>
      <c r="L424" s="21" t="n"/>
      <c r="M424" s="21" t="n"/>
      <c r="N424" s="21" t="n"/>
      <c r="O424" s="25">
        <f>IF(OR(ISBLANK(I424),ISBLANK(N424)),"",EDATE(I424,IF(N424="1 year",12,IF(N424="3 years",36,IF(N424="5 years",60,IF(N424="7 years",84,600))))))</f>
        <v/>
      </c>
      <c r="P424" s="21" t="n"/>
      <c r="Q424" s="21" t="n"/>
      <c r="R424" s="21" t="n"/>
      <c r="S424" s="21" t="n"/>
      <c r="T424" s="21" t="n"/>
      <c r="U424" s="21" t="n"/>
      <c r="V424" s="25">
        <f>TODAY()</f>
        <v/>
      </c>
    </row>
    <row r="425">
      <c r="A425" s="20" t="inlineStr">
        <is>
          <t>EV-412</t>
        </is>
      </c>
      <c r="B425" s="21" t="n"/>
      <c r="C425" s="21" t="n"/>
      <c r="D425" s="21" t="n"/>
      <c r="E425" s="21" t="n"/>
      <c r="F425" s="21" t="n"/>
      <c r="G425" s="21" t="n"/>
      <c r="H425" s="21" t="n"/>
      <c r="I425" s="21" t="n"/>
      <c r="J425" s="21" t="n"/>
      <c r="K425" s="21" t="n"/>
      <c r="L425" s="21" t="n"/>
      <c r="M425" s="21" t="n"/>
      <c r="N425" s="21" t="n"/>
      <c r="O425" s="25">
        <f>IF(OR(ISBLANK(I425),ISBLANK(N425)),"",EDATE(I425,IF(N425="1 year",12,IF(N425="3 years",36,IF(N425="5 years",60,IF(N425="7 years",84,600))))))</f>
        <v/>
      </c>
      <c r="P425" s="21" t="n"/>
      <c r="Q425" s="21" t="n"/>
      <c r="R425" s="21" t="n"/>
      <c r="S425" s="21" t="n"/>
      <c r="T425" s="21" t="n"/>
      <c r="U425" s="21" t="n"/>
      <c r="V425" s="25">
        <f>TODAY()</f>
        <v/>
      </c>
    </row>
    <row r="426">
      <c r="A426" s="20" t="inlineStr">
        <is>
          <t>EV-413</t>
        </is>
      </c>
      <c r="B426" s="21" t="n"/>
      <c r="C426" s="21" t="n"/>
      <c r="D426" s="21" t="n"/>
      <c r="E426" s="21" t="n"/>
      <c r="F426" s="21" t="n"/>
      <c r="G426" s="21" t="n"/>
      <c r="H426" s="21" t="n"/>
      <c r="I426" s="21" t="n"/>
      <c r="J426" s="21" t="n"/>
      <c r="K426" s="21" t="n"/>
      <c r="L426" s="21" t="n"/>
      <c r="M426" s="21" t="n"/>
      <c r="N426" s="21" t="n"/>
      <c r="O426" s="25">
        <f>IF(OR(ISBLANK(I426),ISBLANK(N426)),"",EDATE(I426,IF(N426="1 year",12,IF(N426="3 years",36,IF(N426="5 years",60,IF(N426="7 years",84,600))))))</f>
        <v/>
      </c>
      <c r="P426" s="21" t="n"/>
      <c r="Q426" s="21" t="n"/>
      <c r="R426" s="21" t="n"/>
      <c r="S426" s="21" t="n"/>
      <c r="T426" s="21" t="n"/>
      <c r="U426" s="21" t="n"/>
      <c r="V426" s="25">
        <f>TODAY()</f>
        <v/>
      </c>
    </row>
    <row r="427">
      <c r="A427" s="20" t="inlineStr">
        <is>
          <t>EV-414</t>
        </is>
      </c>
      <c r="B427" s="21" t="n"/>
      <c r="C427" s="21" t="n"/>
      <c r="D427" s="21" t="n"/>
      <c r="E427" s="21" t="n"/>
      <c r="F427" s="21" t="n"/>
      <c r="G427" s="21" t="n"/>
      <c r="H427" s="21" t="n"/>
      <c r="I427" s="21" t="n"/>
      <c r="J427" s="21" t="n"/>
      <c r="K427" s="21" t="n"/>
      <c r="L427" s="21" t="n"/>
      <c r="M427" s="21" t="n"/>
      <c r="N427" s="21" t="n"/>
      <c r="O427" s="25">
        <f>IF(OR(ISBLANK(I427),ISBLANK(N427)),"",EDATE(I427,IF(N427="1 year",12,IF(N427="3 years",36,IF(N427="5 years",60,IF(N427="7 years",84,600))))))</f>
        <v/>
      </c>
      <c r="P427" s="21" t="n"/>
      <c r="Q427" s="21" t="n"/>
      <c r="R427" s="21" t="n"/>
      <c r="S427" s="21" t="n"/>
      <c r="T427" s="21" t="n"/>
      <c r="U427" s="21" t="n"/>
      <c r="V427" s="25">
        <f>TODAY()</f>
        <v/>
      </c>
    </row>
    <row r="428">
      <c r="A428" s="20" t="inlineStr">
        <is>
          <t>EV-415</t>
        </is>
      </c>
      <c r="B428" s="21" t="n"/>
      <c r="C428" s="21" t="n"/>
      <c r="D428" s="21" t="n"/>
      <c r="E428" s="21" t="n"/>
      <c r="F428" s="21" t="n"/>
      <c r="G428" s="21" t="n"/>
      <c r="H428" s="21" t="n"/>
      <c r="I428" s="21" t="n"/>
      <c r="J428" s="21" t="n"/>
      <c r="K428" s="21" t="n"/>
      <c r="L428" s="21" t="n"/>
      <c r="M428" s="21" t="n"/>
      <c r="N428" s="21" t="n"/>
      <c r="O428" s="25">
        <f>IF(OR(ISBLANK(I428),ISBLANK(N428)),"",EDATE(I428,IF(N428="1 year",12,IF(N428="3 years",36,IF(N428="5 years",60,IF(N428="7 years",84,600))))))</f>
        <v/>
      </c>
      <c r="P428" s="21" t="n"/>
      <c r="Q428" s="21" t="n"/>
      <c r="R428" s="21" t="n"/>
      <c r="S428" s="21" t="n"/>
      <c r="T428" s="21" t="n"/>
      <c r="U428" s="21" t="n"/>
      <c r="V428" s="25">
        <f>TODAY()</f>
        <v/>
      </c>
    </row>
    <row r="429">
      <c r="A429" s="20" t="inlineStr">
        <is>
          <t>EV-416</t>
        </is>
      </c>
      <c r="B429" s="21" t="n"/>
      <c r="C429" s="21" t="n"/>
      <c r="D429" s="21" t="n"/>
      <c r="E429" s="21" t="n"/>
      <c r="F429" s="21" t="n"/>
      <c r="G429" s="21" t="n"/>
      <c r="H429" s="21" t="n"/>
      <c r="I429" s="21" t="n"/>
      <c r="J429" s="21" t="n"/>
      <c r="K429" s="21" t="n"/>
      <c r="L429" s="21" t="n"/>
      <c r="M429" s="21" t="n"/>
      <c r="N429" s="21" t="n"/>
      <c r="O429" s="25">
        <f>IF(OR(ISBLANK(I429),ISBLANK(N429)),"",EDATE(I429,IF(N429="1 year",12,IF(N429="3 years",36,IF(N429="5 years",60,IF(N429="7 years",84,600))))))</f>
        <v/>
      </c>
      <c r="P429" s="21" t="n"/>
      <c r="Q429" s="21" t="n"/>
      <c r="R429" s="21" t="n"/>
      <c r="S429" s="21" t="n"/>
      <c r="T429" s="21" t="n"/>
      <c r="U429" s="21" t="n"/>
      <c r="V429" s="25">
        <f>TODAY()</f>
        <v/>
      </c>
    </row>
    <row r="430">
      <c r="A430" s="20" t="inlineStr">
        <is>
          <t>EV-417</t>
        </is>
      </c>
      <c r="B430" s="21" t="n"/>
      <c r="C430" s="21" t="n"/>
      <c r="D430" s="21" t="n"/>
      <c r="E430" s="21" t="n"/>
      <c r="F430" s="21" t="n"/>
      <c r="G430" s="21" t="n"/>
      <c r="H430" s="21" t="n"/>
      <c r="I430" s="21" t="n"/>
      <c r="J430" s="21" t="n"/>
      <c r="K430" s="21" t="n"/>
      <c r="L430" s="21" t="n"/>
      <c r="M430" s="21" t="n"/>
      <c r="N430" s="21" t="n"/>
      <c r="O430" s="25">
        <f>IF(OR(ISBLANK(I430),ISBLANK(N430)),"",EDATE(I430,IF(N430="1 year",12,IF(N430="3 years",36,IF(N430="5 years",60,IF(N430="7 years",84,600))))))</f>
        <v/>
      </c>
      <c r="P430" s="21" t="n"/>
      <c r="Q430" s="21" t="n"/>
      <c r="R430" s="21" t="n"/>
      <c r="S430" s="21" t="n"/>
      <c r="T430" s="21" t="n"/>
      <c r="U430" s="21" t="n"/>
      <c r="V430" s="25">
        <f>TODAY()</f>
        <v/>
      </c>
    </row>
    <row r="431">
      <c r="A431" s="20" t="inlineStr">
        <is>
          <t>EV-418</t>
        </is>
      </c>
      <c r="B431" s="21" t="n"/>
      <c r="C431" s="21" t="n"/>
      <c r="D431" s="21" t="n"/>
      <c r="E431" s="21" t="n"/>
      <c r="F431" s="21" t="n"/>
      <c r="G431" s="21" t="n"/>
      <c r="H431" s="21" t="n"/>
      <c r="I431" s="21" t="n"/>
      <c r="J431" s="21" t="n"/>
      <c r="K431" s="21" t="n"/>
      <c r="L431" s="21" t="n"/>
      <c r="M431" s="21" t="n"/>
      <c r="N431" s="21" t="n"/>
      <c r="O431" s="25">
        <f>IF(OR(ISBLANK(I431),ISBLANK(N431)),"",EDATE(I431,IF(N431="1 year",12,IF(N431="3 years",36,IF(N431="5 years",60,IF(N431="7 years",84,600))))))</f>
        <v/>
      </c>
      <c r="P431" s="21" t="n"/>
      <c r="Q431" s="21" t="n"/>
      <c r="R431" s="21" t="n"/>
      <c r="S431" s="21" t="n"/>
      <c r="T431" s="21" t="n"/>
      <c r="U431" s="21" t="n"/>
      <c r="V431" s="25">
        <f>TODAY()</f>
        <v/>
      </c>
    </row>
    <row r="432">
      <c r="A432" s="20" t="inlineStr">
        <is>
          <t>EV-419</t>
        </is>
      </c>
      <c r="B432" s="21" t="n"/>
      <c r="C432" s="21" t="n"/>
      <c r="D432" s="21" t="n"/>
      <c r="E432" s="21" t="n"/>
      <c r="F432" s="21" t="n"/>
      <c r="G432" s="21" t="n"/>
      <c r="H432" s="21" t="n"/>
      <c r="I432" s="21" t="n"/>
      <c r="J432" s="21" t="n"/>
      <c r="K432" s="21" t="n"/>
      <c r="L432" s="21" t="n"/>
      <c r="M432" s="21" t="n"/>
      <c r="N432" s="21" t="n"/>
      <c r="O432" s="25">
        <f>IF(OR(ISBLANK(I432),ISBLANK(N432)),"",EDATE(I432,IF(N432="1 year",12,IF(N432="3 years",36,IF(N432="5 years",60,IF(N432="7 years",84,600))))))</f>
        <v/>
      </c>
      <c r="P432" s="21" t="n"/>
      <c r="Q432" s="21" t="n"/>
      <c r="R432" s="21" t="n"/>
      <c r="S432" s="21" t="n"/>
      <c r="T432" s="21" t="n"/>
      <c r="U432" s="21" t="n"/>
      <c r="V432" s="25">
        <f>TODAY()</f>
        <v/>
      </c>
    </row>
    <row r="433">
      <c r="A433" s="20" t="inlineStr">
        <is>
          <t>EV-420</t>
        </is>
      </c>
      <c r="B433" s="21" t="n"/>
      <c r="C433" s="21" t="n"/>
      <c r="D433" s="21" t="n"/>
      <c r="E433" s="21" t="n"/>
      <c r="F433" s="21" t="n"/>
      <c r="G433" s="21" t="n"/>
      <c r="H433" s="21" t="n"/>
      <c r="I433" s="21" t="n"/>
      <c r="J433" s="21" t="n"/>
      <c r="K433" s="21" t="n"/>
      <c r="L433" s="21" t="n"/>
      <c r="M433" s="21" t="n"/>
      <c r="N433" s="21" t="n"/>
      <c r="O433" s="25">
        <f>IF(OR(ISBLANK(I433),ISBLANK(N433)),"",EDATE(I433,IF(N433="1 year",12,IF(N433="3 years",36,IF(N433="5 years",60,IF(N433="7 years",84,600))))))</f>
        <v/>
      </c>
      <c r="P433" s="21" t="n"/>
      <c r="Q433" s="21" t="n"/>
      <c r="R433" s="21" t="n"/>
      <c r="S433" s="21" t="n"/>
      <c r="T433" s="21" t="n"/>
      <c r="U433" s="21" t="n"/>
      <c r="V433" s="25">
        <f>TODAY()</f>
        <v/>
      </c>
    </row>
    <row r="434">
      <c r="A434" s="20" t="inlineStr">
        <is>
          <t>EV-421</t>
        </is>
      </c>
      <c r="B434" s="21" t="n"/>
      <c r="C434" s="21" t="n"/>
      <c r="D434" s="21" t="n"/>
      <c r="E434" s="21" t="n"/>
      <c r="F434" s="21" t="n"/>
      <c r="G434" s="21" t="n"/>
      <c r="H434" s="21" t="n"/>
      <c r="I434" s="21" t="n"/>
      <c r="J434" s="21" t="n"/>
      <c r="K434" s="21" t="n"/>
      <c r="L434" s="21" t="n"/>
      <c r="M434" s="21" t="n"/>
      <c r="N434" s="21" t="n"/>
      <c r="O434" s="25">
        <f>IF(OR(ISBLANK(I434),ISBLANK(N434)),"",EDATE(I434,IF(N434="1 year",12,IF(N434="3 years",36,IF(N434="5 years",60,IF(N434="7 years",84,600))))))</f>
        <v/>
      </c>
      <c r="P434" s="21" t="n"/>
      <c r="Q434" s="21" t="n"/>
      <c r="R434" s="21" t="n"/>
      <c r="S434" s="21" t="n"/>
      <c r="T434" s="21" t="n"/>
      <c r="U434" s="21" t="n"/>
      <c r="V434" s="25">
        <f>TODAY()</f>
        <v/>
      </c>
    </row>
    <row r="435">
      <c r="A435" s="20" t="inlineStr">
        <is>
          <t>EV-422</t>
        </is>
      </c>
      <c r="B435" s="21" t="n"/>
      <c r="C435" s="21" t="n"/>
      <c r="D435" s="21" t="n"/>
      <c r="E435" s="21" t="n"/>
      <c r="F435" s="21" t="n"/>
      <c r="G435" s="21" t="n"/>
      <c r="H435" s="21" t="n"/>
      <c r="I435" s="21" t="n"/>
      <c r="J435" s="21" t="n"/>
      <c r="K435" s="21" t="n"/>
      <c r="L435" s="21" t="n"/>
      <c r="M435" s="21" t="n"/>
      <c r="N435" s="21" t="n"/>
      <c r="O435" s="25">
        <f>IF(OR(ISBLANK(I435),ISBLANK(N435)),"",EDATE(I435,IF(N435="1 year",12,IF(N435="3 years",36,IF(N435="5 years",60,IF(N435="7 years",84,600))))))</f>
        <v/>
      </c>
      <c r="P435" s="21" t="n"/>
      <c r="Q435" s="21" t="n"/>
      <c r="R435" s="21" t="n"/>
      <c r="S435" s="21" t="n"/>
      <c r="T435" s="21" t="n"/>
      <c r="U435" s="21" t="n"/>
      <c r="V435" s="25">
        <f>TODAY()</f>
        <v/>
      </c>
    </row>
    <row r="436">
      <c r="A436" s="20" t="inlineStr">
        <is>
          <t>EV-423</t>
        </is>
      </c>
      <c r="B436" s="21" t="n"/>
      <c r="C436" s="21" t="n"/>
      <c r="D436" s="21" t="n"/>
      <c r="E436" s="21" t="n"/>
      <c r="F436" s="21" t="n"/>
      <c r="G436" s="21" t="n"/>
      <c r="H436" s="21" t="n"/>
      <c r="I436" s="21" t="n"/>
      <c r="J436" s="21" t="n"/>
      <c r="K436" s="21" t="n"/>
      <c r="L436" s="21" t="n"/>
      <c r="M436" s="21" t="n"/>
      <c r="N436" s="21" t="n"/>
      <c r="O436" s="25">
        <f>IF(OR(ISBLANK(I436),ISBLANK(N436)),"",EDATE(I436,IF(N436="1 year",12,IF(N436="3 years",36,IF(N436="5 years",60,IF(N436="7 years",84,600))))))</f>
        <v/>
      </c>
      <c r="P436" s="21" t="n"/>
      <c r="Q436" s="21" t="n"/>
      <c r="R436" s="21" t="n"/>
      <c r="S436" s="21" t="n"/>
      <c r="T436" s="21" t="n"/>
      <c r="U436" s="21" t="n"/>
      <c r="V436" s="25">
        <f>TODAY()</f>
        <v/>
      </c>
    </row>
    <row r="437">
      <c r="A437" s="20" t="inlineStr">
        <is>
          <t>EV-424</t>
        </is>
      </c>
      <c r="B437" s="21" t="n"/>
      <c r="C437" s="21" t="n"/>
      <c r="D437" s="21" t="n"/>
      <c r="E437" s="21" t="n"/>
      <c r="F437" s="21" t="n"/>
      <c r="G437" s="21" t="n"/>
      <c r="H437" s="21" t="n"/>
      <c r="I437" s="21" t="n"/>
      <c r="J437" s="21" t="n"/>
      <c r="K437" s="21" t="n"/>
      <c r="L437" s="21" t="n"/>
      <c r="M437" s="21" t="n"/>
      <c r="N437" s="21" t="n"/>
      <c r="O437" s="25">
        <f>IF(OR(ISBLANK(I437),ISBLANK(N437)),"",EDATE(I437,IF(N437="1 year",12,IF(N437="3 years",36,IF(N437="5 years",60,IF(N437="7 years",84,600))))))</f>
        <v/>
      </c>
      <c r="P437" s="21" t="n"/>
      <c r="Q437" s="21" t="n"/>
      <c r="R437" s="21" t="n"/>
      <c r="S437" s="21" t="n"/>
      <c r="T437" s="21" t="n"/>
      <c r="U437" s="21" t="n"/>
      <c r="V437" s="25">
        <f>TODAY()</f>
        <v/>
      </c>
    </row>
    <row r="438">
      <c r="A438" s="20" t="inlineStr">
        <is>
          <t>EV-425</t>
        </is>
      </c>
      <c r="B438" s="21" t="n"/>
      <c r="C438" s="21" t="n"/>
      <c r="D438" s="21" t="n"/>
      <c r="E438" s="21" t="n"/>
      <c r="F438" s="21" t="n"/>
      <c r="G438" s="21" t="n"/>
      <c r="H438" s="21" t="n"/>
      <c r="I438" s="21" t="n"/>
      <c r="J438" s="21" t="n"/>
      <c r="K438" s="21" t="n"/>
      <c r="L438" s="21" t="n"/>
      <c r="M438" s="21" t="n"/>
      <c r="N438" s="21" t="n"/>
      <c r="O438" s="25">
        <f>IF(OR(ISBLANK(I438),ISBLANK(N438)),"",EDATE(I438,IF(N438="1 year",12,IF(N438="3 years",36,IF(N438="5 years",60,IF(N438="7 years",84,600))))))</f>
        <v/>
      </c>
      <c r="P438" s="21" t="n"/>
      <c r="Q438" s="21" t="n"/>
      <c r="R438" s="21" t="n"/>
      <c r="S438" s="21" t="n"/>
      <c r="T438" s="21" t="n"/>
      <c r="U438" s="21" t="n"/>
      <c r="V438" s="25">
        <f>TODAY()</f>
        <v/>
      </c>
    </row>
    <row r="439">
      <c r="A439" s="20" t="inlineStr">
        <is>
          <t>EV-426</t>
        </is>
      </c>
      <c r="B439" s="21" t="n"/>
      <c r="C439" s="21" t="n"/>
      <c r="D439" s="21" t="n"/>
      <c r="E439" s="21" t="n"/>
      <c r="F439" s="21" t="n"/>
      <c r="G439" s="21" t="n"/>
      <c r="H439" s="21" t="n"/>
      <c r="I439" s="21" t="n"/>
      <c r="J439" s="21" t="n"/>
      <c r="K439" s="21" t="n"/>
      <c r="L439" s="21" t="n"/>
      <c r="M439" s="21" t="n"/>
      <c r="N439" s="21" t="n"/>
      <c r="O439" s="25">
        <f>IF(OR(ISBLANK(I439),ISBLANK(N439)),"",EDATE(I439,IF(N439="1 year",12,IF(N439="3 years",36,IF(N439="5 years",60,IF(N439="7 years",84,600))))))</f>
        <v/>
      </c>
      <c r="P439" s="21" t="n"/>
      <c r="Q439" s="21" t="n"/>
      <c r="R439" s="21" t="n"/>
      <c r="S439" s="21" t="n"/>
      <c r="T439" s="21" t="n"/>
      <c r="U439" s="21" t="n"/>
      <c r="V439" s="25">
        <f>TODAY()</f>
        <v/>
      </c>
    </row>
    <row r="440">
      <c r="A440" s="20" t="inlineStr">
        <is>
          <t>EV-427</t>
        </is>
      </c>
      <c r="B440" s="21" t="n"/>
      <c r="C440" s="21" t="n"/>
      <c r="D440" s="21" t="n"/>
      <c r="E440" s="21" t="n"/>
      <c r="F440" s="21" t="n"/>
      <c r="G440" s="21" t="n"/>
      <c r="H440" s="21" t="n"/>
      <c r="I440" s="21" t="n"/>
      <c r="J440" s="21" t="n"/>
      <c r="K440" s="21" t="n"/>
      <c r="L440" s="21" t="n"/>
      <c r="M440" s="21" t="n"/>
      <c r="N440" s="21" t="n"/>
      <c r="O440" s="25">
        <f>IF(OR(ISBLANK(I440),ISBLANK(N440)),"",EDATE(I440,IF(N440="1 year",12,IF(N440="3 years",36,IF(N440="5 years",60,IF(N440="7 years",84,600))))))</f>
        <v/>
      </c>
      <c r="P440" s="21" t="n"/>
      <c r="Q440" s="21" t="n"/>
      <c r="R440" s="21" t="n"/>
      <c r="S440" s="21" t="n"/>
      <c r="T440" s="21" t="n"/>
      <c r="U440" s="21" t="n"/>
      <c r="V440" s="25">
        <f>TODAY()</f>
        <v/>
      </c>
    </row>
    <row r="441">
      <c r="A441" s="20" t="inlineStr">
        <is>
          <t>EV-428</t>
        </is>
      </c>
      <c r="B441" s="21" t="n"/>
      <c r="C441" s="21" t="n"/>
      <c r="D441" s="21" t="n"/>
      <c r="E441" s="21" t="n"/>
      <c r="F441" s="21" t="n"/>
      <c r="G441" s="21" t="n"/>
      <c r="H441" s="21" t="n"/>
      <c r="I441" s="21" t="n"/>
      <c r="J441" s="21" t="n"/>
      <c r="K441" s="21" t="n"/>
      <c r="L441" s="21" t="n"/>
      <c r="M441" s="21" t="n"/>
      <c r="N441" s="21" t="n"/>
      <c r="O441" s="25">
        <f>IF(OR(ISBLANK(I441),ISBLANK(N441)),"",EDATE(I441,IF(N441="1 year",12,IF(N441="3 years",36,IF(N441="5 years",60,IF(N441="7 years",84,600))))))</f>
        <v/>
      </c>
      <c r="P441" s="21" t="n"/>
      <c r="Q441" s="21" t="n"/>
      <c r="R441" s="21" t="n"/>
      <c r="S441" s="21" t="n"/>
      <c r="T441" s="21" t="n"/>
      <c r="U441" s="21" t="n"/>
      <c r="V441" s="25">
        <f>TODAY()</f>
        <v/>
      </c>
    </row>
    <row r="442">
      <c r="A442" s="20" t="inlineStr">
        <is>
          <t>EV-429</t>
        </is>
      </c>
      <c r="B442" s="21" t="n"/>
      <c r="C442" s="21" t="n"/>
      <c r="D442" s="21" t="n"/>
      <c r="E442" s="21" t="n"/>
      <c r="F442" s="21" t="n"/>
      <c r="G442" s="21" t="n"/>
      <c r="H442" s="21" t="n"/>
      <c r="I442" s="21" t="n"/>
      <c r="J442" s="21" t="n"/>
      <c r="K442" s="21" t="n"/>
      <c r="L442" s="21" t="n"/>
      <c r="M442" s="21" t="n"/>
      <c r="N442" s="21" t="n"/>
      <c r="O442" s="25">
        <f>IF(OR(ISBLANK(I442),ISBLANK(N442)),"",EDATE(I442,IF(N442="1 year",12,IF(N442="3 years",36,IF(N442="5 years",60,IF(N442="7 years",84,600))))))</f>
        <v/>
      </c>
      <c r="P442" s="21" t="n"/>
      <c r="Q442" s="21" t="n"/>
      <c r="R442" s="21" t="n"/>
      <c r="S442" s="21" t="n"/>
      <c r="T442" s="21" t="n"/>
      <c r="U442" s="21" t="n"/>
      <c r="V442" s="25">
        <f>TODAY()</f>
        <v/>
      </c>
    </row>
    <row r="443">
      <c r="A443" s="20" t="inlineStr">
        <is>
          <t>EV-430</t>
        </is>
      </c>
      <c r="B443" s="21" t="n"/>
      <c r="C443" s="21" t="n"/>
      <c r="D443" s="21" t="n"/>
      <c r="E443" s="21" t="n"/>
      <c r="F443" s="21" t="n"/>
      <c r="G443" s="21" t="n"/>
      <c r="H443" s="21" t="n"/>
      <c r="I443" s="21" t="n"/>
      <c r="J443" s="21" t="n"/>
      <c r="K443" s="21" t="n"/>
      <c r="L443" s="21" t="n"/>
      <c r="M443" s="21" t="n"/>
      <c r="N443" s="21" t="n"/>
      <c r="O443" s="25">
        <f>IF(OR(ISBLANK(I443),ISBLANK(N443)),"",EDATE(I443,IF(N443="1 year",12,IF(N443="3 years",36,IF(N443="5 years",60,IF(N443="7 years",84,600))))))</f>
        <v/>
      </c>
      <c r="P443" s="21" t="n"/>
      <c r="Q443" s="21" t="n"/>
      <c r="R443" s="21" t="n"/>
      <c r="S443" s="21" t="n"/>
      <c r="T443" s="21" t="n"/>
      <c r="U443" s="21" t="n"/>
      <c r="V443" s="25">
        <f>TODAY()</f>
        <v/>
      </c>
    </row>
    <row r="444">
      <c r="A444" s="20" t="inlineStr">
        <is>
          <t>EV-431</t>
        </is>
      </c>
      <c r="B444" s="21" t="n"/>
      <c r="C444" s="21" t="n"/>
      <c r="D444" s="21" t="n"/>
      <c r="E444" s="21" t="n"/>
      <c r="F444" s="21" t="n"/>
      <c r="G444" s="21" t="n"/>
      <c r="H444" s="21" t="n"/>
      <c r="I444" s="21" t="n"/>
      <c r="J444" s="21" t="n"/>
      <c r="K444" s="21" t="n"/>
      <c r="L444" s="21" t="n"/>
      <c r="M444" s="21" t="n"/>
      <c r="N444" s="21" t="n"/>
      <c r="O444" s="25">
        <f>IF(OR(ISBLANK(I444),ISBLANK(N444)),"",EDATE(I444,IF(N444="1 year",12,IF(N444="3 years",36,IF(N444="5 years",60,IF(N444="7 years",84,600))))))</f>
        <v/>
      </c>
      <c r="P444" s="21" t="n"/>
      <c r="Q444" s="21" t="n"/>
      <c r="R444" s="21" t="n"/>
      <c r="S444" s="21" t="n"/>
      <c r="T444" s="21" t="n"/>
      <c r="U444" s="21" t="n"/>
      <c r="V444" s="25">
        <f>TODAY()</f>
        <v/>
      </c>
    </row>
    <row r="445">
      <c r="A445" s="20" t="inlineStr">
        <is>
          <t>EV-432</t>
        </is>
      </c>
      <c r="B445" s="21" t="n"/>
      <c r="C445" s="21" t="n"/>
      <c r="D445" s="21" t="n"/>
      <c r="E445" s="21" t="n"/>
      <c r="F445" s="21" t="n"/>
      <c r="G445" s="21" t="n"/>
      <c r="H445" s="21" t="n"/>
      <c r="I445" s="21" t="n"/>
      <c r="J445" s="21" t="n"/>
      <c r="K445" s="21" t="n"/>
      <c r="L445" s="21" t="n"/>
      <c r="M445" s="21" t="n"/>
      <c r="N445" s="21" t="n"/>
      <c r="O445" s="25">
        <f>IF(OR(ISBLANK(I445),ISBLANK(N445)),"",EDATE(I445,IF(N445="1 year",12,IF(N445="3 years",36,IF(N445="5 years",60,IF(N445="7 years",84,600))))))</f>
        <v/>
      </c>
      <c r="P445" s="21" t="n"/>
      <c r="Q445" s="21" t="n"/>
      <c r="R445" s="21" t="n"/>
      <c r="S445" s="21" t="n"/>
      <c r="T445" s="21" t="n"/>
      <c r="U445" s="21" t="n"/>
      <c r="V445" s="25">
        <f>TODAY()</f>
        <v/>
      </c>
    </row>
    <row r="446">
      <c r="A446" s="20" t="inlineStr">
        <is>
          <t>EV-433</t>
        </is>
      </c>
      <c r="B446" s="21" t="n"/>
      <c r="C446" s="21" t="n"/>
      <c r="D446" s="21" t="n"/>
      <c r="E446" s="21" t="n"/>
      <c r="F446" s="21" t="n"/>
      <c r="G446" s="21" t="n"/>
      <c r="H446" s="21" t="n"/>
      <c r="I446" s="21" t="n"/>
      <c r="J446" s="21" t="n"/>
      <c r="K446" s="21" t="n"/>
      <c r="L446" s="21" t="n"/>
      <c r="M446" s="21" t="n"/>
      <c r="N446" s="21" t="n"/>
      <c r="O446" s="25">
        <f>IF(OR(ISBLANK(I446),ISBLANK(N446)),"",EDATE(I446,IF(N446="1 year",12,IF(N446="3 years",36,IF(N446="5 years",60,IF(N446="7 years",84,600))))))</f>
        <v/>
      </c>
      <c r="P446" s="21" t="n"/>
      <c r="Q446" s="21" t="n"/>
      <c r="R446" s="21" t="n"/>
      <c r="S446" s="21" t="n"/>
      <c r="T446" s="21" t="n"/>
      <c r="U446" s="21" t="n"/>
      <c r="V446" s="25">
        <f>TODAY()</f>
        <v/>
      </c>
    </row>
    <row r="447">
      <c r="A447" s="20" t="inlineStr">
        <is>
          <t>EV-434</t>
        </is>
      </c>
      <c r="B447" s="21" t="n"/>
      <c r="C447" s="21" t="n"/>
      <c r="D447" s="21" t="n"/>
      <c r="E447" s="21" t="n"/>
      <c r="F447" s="21" t="n"/>
      <c r="G447" s="21" t="n"/>
      <c r="H447" s="21" t="n"/>
      <c r="I447" s="21" t="n"/>
      <c r="J447" s="21" t="n"/>
      <c r="K447" s="21" t="n"/>
      <c r="L447" s="21" t="n"/>
      <c r="M447" s="21" t="n"/>
      <c r="N447" s="21" t="n"/>
      <c r="O447" s="25">
        <f>IF(OR(ISBLANK(I447),ISBLANK(N447)),"",EDATE(I447,IF(N447="1 year",12,IF(N447="3 years",36,IF(N447="5 years",60,IF(N447="7 years",84,600))))))</f>
        <v/>
      </c>
      <c r="P447" s="21" t="n"/>
      <c r="Q447" s="21" t="n"/>
      <c r="R447" s="21" t="n"/>
      <c r="S447" s="21" t="n"/>
      <c r="T447" s="21" t="n"/>
      <c r="U447" s="21" t="n"/>
      <c r="V447" s="25">
        <f>TODAY()</f>
        <v/>
      </c>
    </row>
    <row r="448">
      <c r="A448" s="20" t="inlineStr">
        <is>
          <t>EV-435</t>
        </is>
      </c>
      <c r="B448" s="21" t="n"/>
      <c r="C448" s="21" t="n"/>
      <c r="D448" s="21" t="n"/>
      <c r="E448" s="21" t="n"/>
      <c r="F448" s="21" t="n"/>
      <c r="G448" s="21" t="n"/>
      <c r="H448" s="21" t="n"/>
      <c r="I448" s="21" t="n"/>
      <c r="J448" s="21" t="n"/>
      <c r="K448" s="21" t="n"/>
      <c r="L448" s="21" t="n"/>
      <c r="M448" s="21" t="n"/>
      <c r="N448" s="21" t="n"/>
      <c r="O448" s="25">
        <f>IF(OR(ISBLANK(I448),ISBLANK(N448)),"",EDATE(I448,IF(N448="1 year",12,IF(N448="3 years",36,IF(N448="5 years",60,IF(N448="7 years",84,600))))))</f>
        <v/>
      </c>
      <c r="P448" s="21" t="n"/>
      <c r="Q448" s="21" t="n"/>
      <c r="R448" s="21" t="n"/>
      <c r="S448" s="21" t="n"/>
      <c r="T448" s="21" t="n"/>
      <c r="U448" s="21" t="n"/>
      <c r="V448" s="25">
        <f>TODAY()</f>
        <v/>
      </c>
    </row>
    <row r="449">
      <c r="A449" s="20" t="inlineStr">
        <is>
          <t>EV-436</t>
        </is>
      </c>
      <c r="B449" s="21" t="n"/>
      <c r="C449" s="21" t="n"/>
      <c r="D449" s="21" t="n"/>
      <c r="E449" s="21" t="n"/>
      <c r="F449" s="21" t="n"/>
      <c r="G449" s="21" t="n"/>
      <c r="H449" s="21" t="n"/>
      <c r="I449" s="21" t="n"/>
      <c r="J449" s="21" t="n"/>
      <c r="K449" s="21" t="n"/>
      <c r="L449" s="21" t="n"/>
      <c r="M449" s="21" t="n"/>
      <c r="N449" s="21" t="n"/>
      <c r="O449" s="25">
        <f>IF(OR(ISBLANK(I449),ISBLANK(N449)),"",EDATE(I449,IF(N449="1 year",12,IF(N449="3 years",36,IF(N449="5 years",60,IF(N449="7 years",84,600))))))</f>
        <v/>
      </c>
      <c r="P449" s="21" t="n"/>
      <c r="Q449" s="21" t="n"/>
      <c r="R449" s="21" t="n"/>
      <c r="S449" s="21" t="n"/>
      <c r="T449" s="21" t="n"/>
      <c r="U449" s="21" t="n"/>
      <c r="V449" s="25">
        <f>TODAY()</f>
        <v/>
      </c>
    </row>
    <row r="450">
      <c r="A450" s="20" t="inlineStr">
        <is>
          <t>EV-437</t>
        </is>
      </c>
      <c r="B450" s="21" t="n"/>
      <c r="C450" s="21" t="n"/>
      <c r="D450" s="21" t="n"/>
      <c r="E450" s="21" t="n"/>
      <c r="F450" s="21" t="n"/>
      <c r="G450" s="21" t="n"/>
      <c r="H450" s="21" t="n"/>
      <c r="I450" s="21" t="n"/>
      <c r="J450" s="21" t="n"/>
      <c r="K450" s="21" t="n"/>
      <c r="L450" s="21" t="n"/>
      <c r="M450" s="21" t="n"/>
      <c r="N450" s="21" t="n"/>
      <c r="O450" s="25">
        <f>IF(OR(ISBLANK(I450),ISBLANK(N450)),"",EDATE(I450,IF(N450="1 year",12,IF(N450="3 years",36,IF(N450="5 years",60,IF(N450="7 years",84,600))))))</f>
        <v/>
      </c>
      <c r="P450" s="21" t="n"/>
      <c r="Q450" s="21" t="n"/>
      <c r="R450" s="21" t="n"/>
      <c r="S450" s="21" t="n"/>
      <c r="T450" s="21" t="n"/>
      <c r="U450" s="21" t="n"/>
      <c r="V450" s="25">
        <f>TODAY()</f>
        <v/>
      </c>
    </row>
    <row r="451">
      <c r="A451" s="20" t="inlineStr">
        <is>
          <t>EV-438</t>
        </is>
      </c>
      <c r="B451" s="21" t="n"/>
      <c r="C451" s="21" t="n"/>
      <c r="D451" s="21" t="n"/>
      <c r="E451" s="21" t="n"/>
      <c r="F451" s="21" t="n"/>
      <c r="G451" s="21" t="n"/>
      <c r="H451" s="21" t="n"/>
      <c r="I451" s="21" t="n"/>
      <c r="J451" s="21" t="n"/>
      <c r="K451" s="21" t="n"/>
      <c r="L451" s="21" t="n"/>
      <c r="M451" s="21" t="n"/>
      <c r="N451" s="21" t="n"/>
      <c r="O451" s="25">
        <f>IF(OR(ISBLANK(I451),ISBLANK(N451)),"",EDATE(I451,IF(N451="1 year",12,IF(N451="3 years",36,IF(N451="5 years",60,IF(N451="7 years",84,600))))))</f>
        <v/>
      </c>
      <c r="P451" s="21" t="n"/>
      <c r="Q451" s="21" t="n"/>
      <c r="R451" s="21" t="n"/>
      <c r="S451" s="21" t="n"/>
      <c r="T451" s="21" t="n"/>
      <c r="U451" s="21" t="n"/>
      <c r="V451" s="25">
        <f>TODAY()</f>
        <v/>
      </c>
    </row>
    <row r="452">
      <c r="A452" s="20" t="inlineStr">
        <is>
          <t>EV-439</t>
        </is>
      </c>
      <c r="B452" s="21" t="n"/>
      <c r="C452" s="21" t="n"/>
      <c r="D452" s="21" t="n"/>
      <c r="E452" s="21" t="n"/>
      <c r="F452" s="21" t="n"/>
      <c r="G452" s="21" t="n"/>
      <c r="H452" s="21" t="n"/>
      <c r="I452" s="21" t="n"/>
      <c r="J452" s="21" t="n"/>
      <c r="K452" s="21" t="n"/>
      <c r="L452" s="21" t="n"/>
      <c r="M452" s="21" t="n"/>
      <c r="N452" s="21" t="n"/>
      <c r="O452" s="25">
        <f>IF(OR(ISBLANK(I452),ISBLANK(N452)),"",EDATE(I452,IF(N452="1 year",12,IF(N452="3 years",36,IF(N452="5 years",60,IF(N452="7 years",84,600))))))</f>
        <v/>
      </c>
      <c r="P452" s="21" t="n"/>
      <c r="Q452" s="21" t="n"/>
      <c r="R452" s="21" t="n"/>
      <c r="S452" s="21" t="n"/>
      <c r="T452" s="21" t="n"/>
      <c r="U452" s="21" t="n"/>
      <c r="V452" s="25">
        <f>TODAY()</f>
        <v/>
      </c>
    </row>
    <row r="453">
      <c r="A453" s="20" t="inlineStr">
        <is>
          <t>EV-440</t>
        </is>
      </c>
      <c r="B453" s="21" t="n"/>
      <c r="C453" s="21" t="n"/>
      <c r="D453" s="21" t="n"/>
      <c r="E453" s="21" t="n"/>
      <c r="F453" s="21" t="n"/>
      <c r="G453" s="21" t="n"/>
      <c r="H453" s="21" t="n"/>
      <c r="I453" s="21" t="n"/>
      <c r="J453" s="21" t="n"/>
      <c r="K453" s="21" t="n"/>
      <c r="L453" s="21" t="n"/>
      <c r="M453" s="21" t="n"/>
      <c r="N453" s="21" t="n"/>
      <c r="O453" s="25">
        <f>IF(OR(ISBLANK(I453),ISBLANK(N453)),"",EDATE(I453,IF(N453="1 year",12,IF(N453="3 years",36,IF(N453="5 years",60,IF(N453="7 years",84,600))))))</f>
        <v/>
      </c>
      <c r="P453" s="21" t="n"/>
      <c r="Q453" s="21" t="n"/>
      <c r="R453" s="21" t="n"/>
      <c r="S453" s="21" t="n"/>
      <c r="T453" s="21" t="n"/>
      <c r="U453" s="21" t="n"/>
      <c r="V453" s="25">
        <f>TODAY()</f>
        <v/>
      </c>
    </row>
    <row r="454">
      <c r="A454" s="20" t="inlineStr">
        <is>
          <t>EV-441</t>
        </is>
      </c>
      <c r="B454" s="21" t="n"/>
      <c r="C454" s="21" t="n"/>
      <c r="D454" s="21" t="n"/>
      <c r="E454" s="21" t="n"/>
      <c r="F454" s="21" t="n"/>
      <c r="G454" s="21" t="n"/>
      <c r="H454" s="21" t="n"/>
      <c r="I454" s="21" t="n"/>
      <c r="J454" s="21" t="n"/>
      <c r="K454" s="21" t="n"/>
      <c r="L454" s="21" t="n"/>
      <c r="M454" s="21" t="n"/>
      <c r="N454" s="21" t="n"/>
      <c r="O454" s="25">
        <f>IF(OR(ISBLANK(I454),ISBLANK(N454)),"",EDATE(I454,IF(N454="1 year",12,IF(N454="3 years",36,IF(N454="5 years",60,IF(N454="7 years",84,600))))))</f>
        <v/>
      </c>
      <c r="P454" s="21" t="n"/>
      <c r="Q454" s="21" t="n"/>
      <c r="R454" s="21" t="n"/>
      <c r="S454" s="21" t="n"/>
      <c r="T454" s="21" t="n"/>
      <c r="U454" s="21" t="n"/>
      <c r="V454" s="25">
        <f>TODAY()</f>
        <v/>
      </c>
    </row>
    <row r="455">
      <c r="A455" s="20" t="inlineStr">
        <is>
          <t>EV-442</t>
        </is>
      </c>
      <c r="B455" s="21" t="n"/>
      <c r="C455" s="21" t="n"/>
      <c r="D455" s="21" t="n"/>
      <c r="E455" s="21" t="n"/>
      <c r="F455" s="21" t="n"/>
      <c r="G455" s="21" t="n"/>
      <c r="H455" s="21" t="n"/>
      <c r="I455" s="21" t="n"/>
      <c r="J455" s="21" t="n"/>
      <c r="K455" s="21" t="n"/>
      <c r="L455" s="21" t="n"/>
      <c r="M455" s="21" t="n"/>
      <c r="N455" s="21" t="n"/>
      <c r="O455" s="25">
        <f>IF(OR(ISBLANK(I455),ISBLANK(N455)),"",EDATE(I455,IF(N455="1 year",12,IF(N455="3 years",36,IF(N455="5 years",60,IF(N455="7 years",84,600))))))</f>
        <v/>
      </c>
      <c r="P455" s="21" t="n"/>
      <c r="Q455" s="21" t="n"/>
      <c r="R455" s="21" t="n"/>
      <c r="S455" s="21" t="n"/>
      <c r="T455" s="21" t="n"/>
      <c r="U455" s="21" t="n"/>
      <c r="V455" s="25">
        <f>TODAY()</f>
        <v/>
      </c>
    </row>
    <row r="456">
      <c r="A456" s="20" t="inlineStr">
        <is>
          <t>EV-443</t>
        </is>
      </c>
      <c r="B456" s="21" t="n"/>
      <c r="C456" s="21" t="n"/>
      <c r="D456" s="21" t="n"/>
      <c r="E456" s="21" t="n"/>
      <c r="F456" s="21" t="n"/>
      <c r="G456" s="21" t="n"/>
      <c r="H456" s="21" t="n"/>
      <c r="I456" s="21" t="n"/>
      <c r="J456" s="21" t="n"/>
      <c r="K456" s="21" t="n"/>
      <c r="L456" s="21" t="n"/>
      <c r="M456" s="21" t="n"/>
      <c r="N456" s="21" t="n"/>
      <c r="O456" s="25">
        <f>IF(OR(ISBLANK(I456),ISBLANK(N456)),"",EDATE(I456,IF(N456="1 year",12,IF(N456="3 years",36,IF(N456="5 years",60,IF(N456="7 years",84,600))))))</f>
        <v/>
      </c>
      <c r="P456" s="21" t="n"/>
      <c r="Q456" s="21" t="n"/>
      <c r="R456" s="21" t="n"/>
      <c r="S456" s="21" t="n"/>
      <c r="T456" s="21" t="n"/>
      <c r="U456" s="21" t="n"/>
      <c r="V456" s="25">
        <f>TODAY()</f>
        <v/>
      </c>
    </row>
    <row r="457">
      <c r="A457" s="20" t="inlineStr">
        <is>
          <t>EV-444</t>
        </is>
      </c>
      <c r="B457" s="21" t="n"/>
      <c r="C457" s="21" t="n"/>
      <c r="D457" s="21" t="n"/>
      <c r="E457" s="21" t="n"/>
      <c r="F457" s="21" t="n"/>
      <c r="G457" s="21" t="n"/>
      <c r="H457" s="21" t="n"/>
      <c r="I457" s="21" t="n"/>
      <c r="J457" s="21" t="n"/>
      <c r="K457" s="21" t="n"/>
      <c r="L457" s="21" t="n"/>
      <c r="M457" s="21" t="n"/>
      <c r="N457" s="21" t="n"/>
      <c r="O457" s="25">
        <f>IF(OR(ISBLANK(I457),ISBLANK(N457)),"",EDATE(I457,IF(N457="1 year",12,IF(N457="3 years",36,IF(N457="5 years",60,IF(N457="7 years",84,600))))))</f>
        <v/>
      </c>
      <c r="P457" s="21" t="n"/>
      <c r="Q457" s="21" t="n"/>
      <c r="R457" s="21" t="n"/>
      <c r="S457" s="21" t="n"/>
      <c r="T457" s="21" t="n"/>
      <c r="U457" s="21" t="n"/>
      <c r="V457" s="25">
        <f>TODAY()</f>
        <v/>
      </c>
    </row>
    <row r="458">
      <c r="A458" s="20" t="inlineStr">
        <is>
          <t>EV-445</t>
        </is>
      </c>
      <c r="B458" s="21" t="n"/>
      <c r="C458" s="21" t="n"/>
      <c r="D458" s="21" t="n"/>
      <c r="E458" s="21" t="n"/>
      <c r="F458" s="21" t="n"/>
      <c r="G458" s="21" t="n"/>
      <c r="H458" s="21" t="n"/>
      <c r="I458" s="21" t="n"/>
      <c r="J458" s="21" t="n"/>
      <c r="K458" s="21" t="n"/>
      <c r="L458" s="21" t="n"/>
      <c r="M458" s="21" t="n"/>
      <c r="N458" s="21" t="n"/>
      <c r="O458" s="25">
        <f>IF(OR(ISBLANK(I458),ISBLANK(N458)),"",EDATE(I458,IF(N458="1 year",12,IF(N458="3 years",36,IF(N458="5 years",60,IF(N458="7 years",84,600))))))</f>
        <v/>
      </c>
      <c r="P458" s="21" t="n"/>
      <c r="Q458" s="21" t="n"/>
      <c r="R458" s="21" t="n"/>
      <c r="S458" s="21" t="n"/>
      <c r="T458" s="21" t="n"/>
      <c r="U458" s="21" t="n"/>
      <c r="V458" s="25">
        <f>TODAY()</f>
        <v/>
      </c>
    </row>
    <row r="459">
      <c r="A459" s="20" t="inlineStr">
        <is>
          <t>EV-446</t>
        </is>
      </c>
      <c r="B459" s="21" t="n"/>
      <c r="C459" s="21" t="n"/>
      <c r="D459" s="21" t="n"/>
      <c r="E459" s="21" t="n"/>
      <c r="F459" s="21" t="n"/>
      <c r="G459" s="21" t="n"/>
      <c r="H459" s="21" t="n"/>
      <c r="I459" s="21" t="n"/>
      <c r="J459" s="21" t="n"/>
      <c r="K459" s="21" t="n"/>
      <c r="L459" s="21" t="n"/>
      <c r="M459" s="21" t="n"/>
      <c r="N459" s="21" t="n"/>
      <c r="O459" s="25">
        <f>IF(OR(ISBLANK(I459),ISBLANK(N459)),"",EDATE(I459,IF(N459="1 year",12,IF(N459="3 years",36,IF(N459="5 years",60,IF(N459="7 years",84,600))))))</f>
        <v/>
      </c>
      <c r="P459" s="21" t="n"/>
      <c r="Q459" s="21" t="n"/>
      <c r="R459" s="21" t="n"/>
      <c r="S459" s="21" t="n"/>
      <c r="T459" s="21" t="n"/>
      <c r="U459" s="21" t="n"/>
      <c r="V459" s="25">
        <f>TODAY()</f>
        <v/>
      </c>
    </row>
    <row r="460">
      <c r="A460" s="20" t="inlineStr">
        <is>
          <t>EV-447</t>
        </is>
      </c>
      <c r="B460" s="21" t="n"/>
      <c r="C460" s="21" t="n"/>
      <c r="D460" s="21" t="n"/>
      <c r="E460" s="21" t="n"/>
      <c r="F460" s="21" t="n"/>
      <c r="G460" s="21" t="n"/>
      <c r="H460" s="21" t="n"/>
      <c r="I460" s="21" t="n"/>
      <c r="J460" s="21" t="n"/>
      <c r="K460" s="21" t="n"/>
      <c r="L460" s="21" t="n"/>
      <c r="M460" s="21" t="n"/>
      <c r="N460" s="21" t="n"/>
      <c r="O460" s="25">
        <f>IF(OR(ISBLANK(I460),ISBLANK(N460)),"",EDATE(I460,IF(N460="1 year",12,IF(N460="3 years",36,IF(N460="5 years",60,IF(N460="7 years",84,600))))))</f>
        <v/>
      </c>
      <c r="P460" s="21" t="n"/>
      <c r="Q460" s="21" t="n"/>
      <c r="R460" s="21" t="n"/>
      <c r="S460" s="21" t="n"/>
      <c r="T460" s="21" t="n"/>
      <c r="U460" s="21" t="n"/>
      <c r="V460" s="25">
        <f>TODAY()</f>
        <v/>
      </c>
    </row>
    <row r="461">
      <c r="A461" s="20" t="inlineStr">
        <is>
          <t>EV-448</t>
        </is>
      </c>
      <c r="B461" s="21" t="n"/>
      <c r="C461" s="21" t="n"/>
      <c r="D461" s="21" t="n"/>
      <c r="E461" s="21" t="n"/>
      <c r="F461" s="21" t="n"/>
      <c r="G461" s="21" t="n"/>
      <c r="H461" s="21" t="n"/>
      <c r="I461" s="21" t="n"/>
      <c r="J461" s="21" t="n"/>
      <c r="K461" s="21" t="n"/>
      <c r="L461" s="21" t="n"/>
      <c r="M461" s="21" t="n"/>
      <c r="N461" s="21" t="n"/>
      <c r="O461" s="25">
        <f>IF(OR(ISBLANK(I461),ISBLANK(N461)),"",EDATE(I461,IF(N461="1 year",12,IF(N461="3 years",36,IF(N461="5 years",60,IF(N461="7 years",84,600))))))</f>
        <v/>
      </c>
      <c r="P461" s="21" t="n"/>
      <c r="Q461" s="21" t="n"/>
      <c r="R461" s="21" t="n"/>
      <c r="S461" s="21" t="n"/>
      <c r="T461" s="21" t="n"/>
      <c r="U461" s="21" t="n"/>
      <c r="V461" s="25">
        <f>TODAY()</f>
        <v/>
      </c>
    </row>
    <row r="462">
      <c r="A462" s="20" t="inlineStr">
        <is>
          <t>EV-449</t>
        </is>
      </c>
      <c r="B462" s="21" t="n"/>
      <c r="C462" s="21" t="n"/>
      <c r="D462" s="21" t="n"/>
      <c r="E462" s="21" t="n"/>
      <c r="F462" s="21" t="n"/>
      <c r="G462" s="21" t="n"/>
      <c r="H462" s="21" t="n"/>
      <c r="I462" s="21" t="n"/>
      <c r="J462" s="21" t="n"/>
      <c r="K462" s="21" t="n"/>
      <c r="L462" s="21" t="n"/>
      <c r="M462" s="21" t="n"/>
      <c r="N462" s="21" t="n"/>
      <c r="O462" s="25">
        <f>IF(OR(ISBLANK(I462),ISBLANK(N462)),"",EDATE(I462,IF(N462="1 year",12,IF(N462="3 years",36,IF(N462="5 years",60,IF(N462="7 years",84,600))))))</f>
        <v/>
      </c>
      <c r="P462" s="21" t="n"/>
      <c r="Q462" s="21" t="n"/>
      <c r="R462" s="21" t="n"/>
      <c r="S462" s="21" t="n"/>
      <c r="T462" s="21" t="n"/>
      <c r="U462" s="21" t="n"/>
      <c r="V462" s="25">
        <f>TODAY()</f>
        <v/>
      </c>
    </row>
    <row r="463">
      <c r="A463" s="20" t="inlineStr">
        <is>
          <t>EV-450</t>
        </is>
      </c>
      <c r="B463" s="21" t="n"/>
      <c r="C463" s="21" t="n"/>
      <c r="D463" s="21" t="n"/>
      <c r="E463" s="21" t="n"/>
      <c r="F463" s="21" t="n"/>
      <c r="G463" s="21" t="n"/>
      <c r="H463" s="21" t="n"/>
      <c r="I463" s="21" t="n"/>
      <c r="J463" s="21" t="n"/>
      <c r="K463" s="21" t="n"/>
      <c r="L463" s="21" t="n"/>
      <c r="M463" s="21" t="n"/>
      <c r="N463" s="21" t="n"/>
      <c r="O463" s="25">
        <f>IF(OR(ISBLANK(I463),ISBLANK(N463)),"",EDATE(I463,IF(N463="1 year",12,IF(N463="3 years",36,IF(N463="5 years",60,IF(N463="7 years",84,600))))))</f>
        <v/>
      </c>
      <c r="P463" s="21" t="n"/>
      <c r="Q463" s="21" t="n"/>
      <c r="R463" s="21" t="n"/>
      <c r="S463" s="21" t="n"/>
      <c r="T463" s="21" t="n"/>
      <c r="U463" s="21" t="n"/>
      <c r="V463" s="25">
        <f>TODAY()</f>
        <v/>
      </c>
    </row>
    <row r="464">
      <c r="A464" s="20" t="inlineStr">
        <is>
          <t>EV-451</t>
        </is>
      </c>
      <c r="B464" s="21" t="n"/>
      <c r="C464" s="21" t="n"/>
      <c r="D464" s="21" t="n"/>
      <c r="E464" s="21" t="n"/>
      <c r="F464" s="21" t="n"/>
      <c r="G464" s="21" t="n"/>
      <c r="H464" s="21" t="n"/>
      <c r="I464" s="21" t="n"/>
      <c r="J464" s="21" t="n"/>
      <c r="K464" s="21" t="n"/>
      <c r="L464" s="21" t="n"/>
      <c r="M464" s="21" t="n"/>
      <c r="N464" s="21" t="n"/>
      <c r="O464" s="25">
        <f>IF(OR(ISBLANK(I464),ISBLANK(N464)),"",EDATE(I464,IF(N464="1 year",12,IF(N464="3 years",36,IF(N464="5 years",60,IF(N464="7 years",84,600))))))</f>
        <v/>
      </c>
      <c r="P464" s="21" t="n"/>
      <c r="Q464" s="21" t="n"/>
      <c r="R464" s="21" t="n"/>
      <c r="S464" s="21" t="n"/>
      <c r="T464" s="21" t="n"/>
      <c r="U464" s="21" t="n"/>
      <c r="V464" s="25">
        <f>TODAY()</f>
        <v/>
      </c>
    </row>
    <row r="465">
      <c r="A465" s="20" t="inlineStr">
        <is>
          <t>EV-452</t>
        </is>
      </c>
      <c r="B465" s="21" t="n"/>
      <c r="C465" s="21" t="n"/>
      <c r="D465" s="21" t="n"/>
      <c r="E465" s="21" t="n"/>
      <c r="F465" s="21" t="n"/>
      <c r="G465" s="21" t="n"/>
      <c r="H465" s="21" t="n"/>
      <c r="I465" s="21" t="n"/>
      <c r="J465" s="21" t="n"/>
      <c r="K465" s="21" t="n"/>
      <c r="L465" s="21" t="n"/>
      <c r="M465" s="21" t="n"/>
      <c r="N465" s="21" t="n"/>
      <c r="O465" s="25">
        <f>IF(OR(ISBLANK(I465),ISBLANK(N465)),"",EDATE(I465,IF(N465="1 year",12,IF(N465="3 years",36,IF(N465="5 years",60,IF(N465="7 years",84,600))))))</f>
        <v/>
      </c>
      <c r="P465" s="21" t="n"/>
      <c r="Q465" s="21" t="n"/>
      <c r="R465" s="21" t="n"/>
      <c r="S465" s="21" t="n"/>
      <c r="T465" s="21" t="n"/>
      <c r="U465" s="21" t="n"/>
      <c r="V465" s="25">
        <f>TODAY()</f>
        <v/>
      </c>
    </row>
    <row r="466">
      <c r="A466" s="20" t="inlineStr">
        <is>
          <t>EV-453</t>
        </is>
      </c>
      <c r="B466" s="21" t="n"/>
      <c r="C466" s="21" t="n"/>
      <c r="D466" s="21" t="n"/>
      <c r="E466" s="21" t="n"/>
      <c r="F466" s="21" t="n"/>
      <c r="G466" s="21" t="n"/>
      <c r="H466" s="21" t="n"/>
      <c r="I466" s="21" t="n"/>
      <c r="J466" s="21" t="n"/>
      <c r="K466" s="21" t="n"/>
      <c r="L466" s="21" t="n"/>
      <c r="M466" s="21" t="n"/>
      <c r="N466" s="21" t="n"/>
      <c r="O466" s="25">
        <f>IF(OR(ISBLANK(I466),ISBLANK(N466)),"",EDATE(I466,IF(N466="1 year",12,IF(N466="3 years",36,IF(N466="5 years",60,IF(N466="7 years",84,600))))))</f>
        <v/>
      </c>
      <c r="P466" s="21" t="n"/>
      <c r="Q466" s="21" t="n"/>
      <c r="R466" s="21" t="n"/>
      <c r="S466" s="21" t="n"/>
      <c r="T466" s="21" t="n"/>
      <c r="U466" s="21" t="n"/>
      <c r="V466" s="25">
        <f>TODAY()</f>
        <v/>
      </c>
    </row>
    <row r="467">
      <c r="A467" s="20" t="inlineStr">
        <is>
          <t>EV-454</t>
        </is>
      </c>
      <c r="B467" s="21" t="n"/>
      <c r="C467" s="21" t="n"/>
      <c r="D467" s="21" t="n"/>
      <c r="E467" s="21" t="n"/>
      <c r="F467" s="21" t="n"/>
      <c r="G467" s="21" t="n"/>
      <c r="H467" s="21" t="n"/>
      <c r="I467" s="21" t="n"/>
      <c r="J467" s="21" t="n"/>
      <c r="K467" s="21" t="n"/>
      <c r="L467" s="21" t="n"/>
      <c r="M467" s="21" t="n"/>
      <c r="N467" s="21" t="n"/>
      <c r="O467" s="25">
        <f>IF(OR(ISBLANK(I467),ISBLANK(N467)),"",EDATE(I467,IF(N467="1 year",12,IF(N467="3 years",36,IF(N467="5 years",60,IF(N467="7 years",84,600))))))</f>
        <v/>
      </c>
      <c r="P467" s="21" t="n"/>
      <c r="Q467" s="21" t="n"/>
      <c r="R467" s="21" t="n"/>
      <c r="S467" s="21" t="n"/>
      <c r="T467" s="21" t="n"/>
      <c r="U467" s="21" t="n"/>
      <c r="V467" s="25">
        <f>TODAY()</f>
        <v/>
      </c>
    </row>
    <row r="468">
      <c r="A468" s="20" t="inlineStr">
        <is>
          <t>EV-455</t>
        </is>
      </c>
      <c r="B468" s="21" t="n"/>
      <c r="C468" s="21" t="n"/>
      <c r="D468" s="21" t="n"/>
      <c r="E468" s="21" t="n"/>
      <c r="F468" s="21" t="n"/>
      <c r="G468" s="21" t="n"/>
      <c r="H468" s="21" t="n"/>
      <c r="I468" s="21" t="n"/>
      <c r="J468" s="21" t="n"/>
      <c r="K468" s="21" t="n"/>
      <c r="L468" s="21" t="n"/>
      <c r="M468" s="21" t="n"/>
      <c r="N468" s="21" t="n"/>
      <c r="O468" s="25">
        <f>IF(OR(ISBLANK(I468),ISBLANK(N468)),"",EDATE(I468,IF(N468="1 year",12,IF(N468="3 years",36,IF(N468="5 years",60,IF(N468="7 years",84,600))))))</f>
        <v/>
      </c>
      <c r="P468" s="21" t="n"/>
      <c r="Q468" s="21" t="n"/>
      <c r="R468" s="21" t="n"/>
      <c r="S468" s="21" t="n"/>
      <c r="T468" s="21" t="n"/>
      <c r="U468" s="21" t="n"/>
      <c r="V468" s="25">
        <f>TODAY()</f>
        <v/>
      </c>
    </row>
    <row r="469">
      <c r="A469" s="20" t="inlineStr">
        <is>
          <t>EV-456</t>
        </is>
      </c>
      <c r="B469" s="21" t="n"/>
      <c r="C469" s="21" t="n"/>
      <c r="D469" s="21" t="n"/>
      <c r="E469" s="21" t="n"/>
      <c r="F469" s="21" t="n"/>
      <c r="G469" s="21" t="n"/>
      <c r="H469" s="21" t="n"/>
      <c r="I469" s="21" t="n"/>
      <c r="J469" s="21" t="n"/>
      <c r="K469" s="21" t="n"/>
      <c r="L469" s="21" t="n"/>
      <c r="M469" s="21" t="n"/>
      <c r="N469" s="21" t="n"/>
      <c r="O469" s="25">
        <f>IF(OR(ISBLANK(I469),ISBLANK(N469)),"",EDATE(I469,IF(N469="1 year",12,IF(N469="3 years",36,IF(N469="5 years",60,IF(N469="7 years",84,600))))))</f>
        <v/>
      </c>
      <c r="P469" s="21" t="n"/>
      <c r="Q469" s="21" t="n"/>
      <c r="R469" s="21" t="n"/>
      <c r="S469" s="21" t="n"/>
      <c r="T469" s="21" t="n"/>
      <c r="U469" s="21" t="n"/>
      <c r="V469" s="25">
        <f>TODAY()</f>
        <v/>
      </c>
    </row>
    <row r="470">
      <c r="A470" s="20" t="inlineStr">
        <is>
          <t>EV-457</t>
        </is>
      </c>
      <c r="B470" s="21" t="n"/>
      <c r="C470" s="21" t="n"/>
      <c r="D470" s="21" t="n"/>
      <c r="E470" s="21" t="n"/>
      <c r="F470" s="21" t="n"/>
      <c r="G470" s="21" t="n"/>
      <c r="H470" s="21" t="n"/>
      <c r="I470" s="21" t="n"/>
      <c r="J470" s="21" t="n"/>
      <c r="K470" s="21" t="n"/>
      <c r="L470" s="21" t="n"/>
      <c r="M470" s="21" t="n"/>
      <c r="N470" s="21" t="n"/>
      <c r="O470" s="25">
        <f>IF(OR(ISBLANK(I470),ISBLANK(N470)),"",EDATE(I470,IF(N470="1 year",12,IF(N470="3 years",36,IF(N470="5 years",60,IF(N470="7 years",84,600))))))</f>
        <v/>
      </c>
      <c r="P470" s="21" t="n"/>
      <c r="Q470" s="21" t="n"/>
      <c r="R470" s="21" t="n"/>
      <c r="S470" s="21" t="n"/>
      <c r="T470" s="21" t="n"/>
      <c r="U470" s="21" t="n"/>
      <c r="V470" s="25">
        <f>TODAY()</f>
        <v/>
      </c>
    </row>
    <row r="471">
      <c r="A471" s="20" t="inlineStr">
        <is>
          <t>EV-458</t>
        </is>
      </c>
      <c r="B471" s="21" t="n"/>
      <c r="C471" s="21" t="n"/>
      <c r="D471" s="21" t="n"/>
      <c r="E471" s="21" t="n"/>
      <c r="F471" s="21" t="n"/>
      <c r="G471" s="21" t="n"/>
      <c r="H471" s="21" t="n"/>
      <c r="I471" s="21" t="n"/>
      <c r="J471" s="21" t="n"/>
      <c r="K471" s="21" t="n"/>
      <c r="L471" s="21" t="n"/>
      <c r="M471" s="21" t="n"/>
      <c r="N471" s="21" t="n"/>
      <c r="O471" s="25">
        <f>IF(OR(ISBLANK(I471),ISBLANK(N471)),"",EDATE(I471,IF(N471="1 year",12,IF(N471="3 years",36,IF(N471="5 years",60,IF(N471="7 years",84,600))))))</f>
        <v/>
      </c>
      <c r="P471" s="21" t="n"/>
      <c r="Q471" s="21" t="n"/>
      <c r="R471" s="21" t="n"/>
      <c r="S471" s="21" t="n"/>
      <c r="T471" s="21" t="n"/>
      <c r="U471" s="21" t="n"/>
      <c r="V471" s="25">
        <f>TODAY()</f>
        <v/>
      </c>
    </row>
    <row r="472">
      <c r="A472" s="20" t="inlineStr">
        <is>
          <t>EV-459</t>
        </is>
      </c>
      <c r="B472" s="21" t="n"/>
      <c r="C472" s="21" t="n"/>
      <c r="D472" s="21" t="n"/>
      <c r="E472" s="21" t="n"/>
      <c r="F472" s="21" t="n"/>
      <c r="G472" s="21" t="n"/>
      <c r="H472" s="21" t="n"/>
      <c r="I472" s="21" t="n"/>
      <c r="J472" s="21" t="n"/>
      <c r="K472" s="21" t="n"/>
      <c r="L472" s="21" t="n"/>
      <c r="M472" s="21" t="n"/>
      <c r="N472" s="21" t="n"/>
      <c r="O472" s="25">
        <f>IF(OR(ISBLANK(I472),ISBLANK(N472)),"",EDATE(I472,IF(N472="1 year",12,IF(N472="3 years",36,IF(N472="5 years",60,IF(N472="7 years",84,600))))))</f>
        <v/>
      </c>
      <c r="P472" s="21" t="n"/>
      <c r="Q472" s="21" t="n"/>
      <c r="R472" s="21" t="n"/>
      <c r="S472" s="21" t="n"/>
      <c r="T472" s="21" t="n"/>
      <c r="U472" s="21" t="n"/>
      <c r="V472" s="25">
        <f>TODAY()</f>
        <v/>
      </c>
    </row>
    <row r="473">
      <c r="A473" s="20" t="inlineStr">
        <is>
          <t>EV-460</t>
        </is>
      </c>
      <c r="B473" s="21" t="n"/>
      <c r="C473" s="21" t="n"/>
      <c r="D473" s="21" t="n"/>
      <c r="E473" s="21" t="n"/>
      <c r="F473" s="21" t="n"/>
      <c r="G473" s="21" t="n"/>
      <c r="H473" s="21" t="n"/>
      <c r="I473" s="21" t="n"/>
      <c r="J473" s="21" t="n"/>
      <c r="K473" s="21" t="n"/>
      <c r="L473" s="21" t="n"/>
      <c r="M473" s="21" t="n"/>
      <c r="N473" s="21" t="n"/>
      <c r="O473" s="25">
        <f>IF(OR(ISBLANK(I473),ISBLANK(N473)),"",EDATE(I473,IF(N473="1 year",12,IF(N473="3 years",36,IF(N473="5 years",60,IF(N473="7 years",84,600))))))</f>
        <v/>
      </c>
      <c r="P473" s="21" t="n"/>
      <c r="Q473" s="21" t="n"/>
      <c r="R473" s="21" t="n"/>
      <c r="S473" s="21" t="n"/>
      <c r="T473" s="21" t="n"/>
      <c r="U473" s="21" t="n"/>
      <c r="V473" s="25">
        <f>TODAY()</f>
        <v/>
      </c>
    </row>
    <row r="474">
      <c r="A474" s="20" t="inlineStr">
        <is>
          <t>EV-461</t>
        </is>
      </c>
      <c r="B474" s="21" t="n"/>
      <c r="C474" s="21" t="n"/>
      <c r="D474" s="21" t="n"/>
      <c r="E474" s="21" t="n"/>
      <c r="F474" s="21" t="n"/>
      <c r="G474" s="21" t="n"/>
      <c r="H474" s="21" t="n"/>
      <c r="I474" s="21" t="n"/>
      <c r="J474" s="21" t="n"/>
      <c r="K474" s="21" t="n"/>
      <c r="L474" s="21" t="n"/>
      <c r="M474" s="21" t="n"/>
      <c r="N474" s="21" t="n"/>
      <c r="O474" s="25">
        <f>IF(OR(ISBLANK(I474),ISBLANK(N474)),"",EDATE(I474,IF(N474="1 year",12,IF(N474="3 years",36,IF(N474="5 years",60,IF(N474="7 years",84,600))))))</f>
        <v/>
      </c>
      <c r="P474" s="21" t="n"/>
      <c r="Q474" s="21" t="n"/>
      <c r="R474" s="21" t="n"/>
      <c r="S474" s="21" t="n"/>
      <c r="T474" s="21" t="n"/>
      <c r="U474" s="21" t="n"/>
      <c r="V474" s="25">
        <f>TODAY()</f>
        <v/>
      </c>
    </row>
    <row r="475">
      <c r="A475" s="20" t="inlineStr">
        <is>
          <t>EV-462</t>
        </is>
      </c>
      <c r="B475" s="21" t="n"/>
      <c r="C475" s="21" t="n"/>
      <c r="D475" s="21" t="n"/>
      <c r="E475" s="21" t="n"/>
      <c r="F475" s="21" t="n"/>
      <c r="G475" s="21" t="n"/>
      <c r="H475" s="21" t="n"/>
      <c r="I475" s="21" t="n"/>
      <c r="J475" s="21" t="n"/>
      <c r="K475" s="21" t="n"/>
      <c r="L475" s="21" t="n"/>
      <c r="M475" s="21" t="n"/>
      <c r="N475" s="21" t="n"/>
      <c r="O475" s="25">
        <f>IF(OR(ISBLANK(I475),ISBLANK(N475)),"",EDATE(I475,IF(N475="1 year",12,IF(N475="3 years",36,IF(N475="5 years",60,IF(N475="7 years",84,600))))))</f>
        <v/>
      </c>
      <c r="P475" s="21" t="n"/>
      <c r="Q475" s="21" t="n"/>
      <c r="R475" s="21" t="n"/>
      <c r="S475" s="21" t="n"/>
      <c r="T475" s="21" t="n"/>
      <c r="U475" s="21" t="n"/>
      <c r="V475" s="25">
        <f>TODAY()</f>
        <v/>
      </c>
    </row>
    <row r="476">
      <c r="A476" s="20" t="inlineStr">
        <is>
          <t>EV-463</t>
        </is>
      </c>
      <c r="B476" s="21" t="n"/>
      <c r="C476" s="21" t="n"/>
      <c r="D476" s="21" t="n"/>
      <c r="E476" s="21" t="n"/>
      <c r="F476" s="21" t="n"/>
      <c r="G476" s="21" t="n"/>
      <c r="H476" s="21" t="n"/>
      <c r="I476" s="21" t="n"/>
      <c r="J476" s="21" t="n"/>
      <c r="K476" s="21" t="n"/>
      <c r="L476" s="21" t="n"/>
      <c r="M476" s="21" t="n"/>
      <c r="N476" s="21" t="n"/>
      <c r="O476" s="25">
        <f>IF(OR(ISBLANK(I476),ISBLANK(N476)),"",EDATE(I476,IF(N476="1 year",12,IF(N476="3 years",36,IF(N476="5 years",60,IF(N476="7 years",84,600))))))</f>
        <v/>
      </c>
      <c r="P476" s="21" t="n"/>
      <c r="Q476" s="21" t="n"/>
      <c r="R476" s="21" t="n"/>
      <c r="S476" s="21" t="n"/>
      <c r="T476" s="21" t="n"/>
      <c r="U476" s="21" t="n"/>
      <c r="V476" s="25">
        <f>TODAY()</f>
        <v/>
      </c>
    </row>
    <row r="477">
      <c r="A477" s="20" t="inlineStr">
        <is>
          <t>EV-464</t>
        </is>
      </c>
      <c r="B477" s="21" t="n"/>
      <c r="C477" s="21" t="n"/>
      <c r="D477" s="21" t="n"/>
      <c r="E477" s="21" t="n"/>
      <c r="F477" s="21" t="n"/>
      <c r="G477" s="21" t="n"/>
      <c r="H477" s="21" t="n"/>
      <c r="I477" s="21" t="n"/>
      <c r="J477" s="21" t="n"/>
      <c r="K477" s="21" t="n"/>
      <c r="L477" s="21" t="n"/>
      <c r="M477" s="21" t="n"/>
      <c r="N477" s="21" t="n"/>
      <c r="O477" s="25">
        <f>IF(OR(ISBLANK(I477),ISBLANK(N477)),"",EDATE(I477,IF(N477="1 year",12,IF(N477="3 years",36,IF(N477="5 years",60,IF(N477="7 years",84,600))))))</f>
        <v/>
      </c>
      <c r="P477" s="21" t="n"/>
      <c r="Q477" s="21" t="n"/>
      <c r="R477" s="21" t="n"/>
      <c r="S477" s="21" t="n"/>
      <c r="T477" s="21" t="n"/>
      <c r="U477" s="21" t="n"/>
      <c r="V477" s="25">
        <f>TODAY()</f>
        <v/>
      </c>
    </row>
    <row r="478">
      <c r="A478" s="20" t="inlineStr">
        <is>
          <t>EV-465</t>
        </is>
      </c>
      <c r="B478" s="21" t="n"/>
      <c r="C478" s="21" t="n"/>
      <c r="D478" s="21" t="n"/>
      <c r="E478" s="21" t="n"/>
      <c r="F478" s="21" t="n"/>
      <c r="G478" s="21" t="n"/>
      <c r="H478" s="21" t="n"/>
      <c r="I478" s="21" t="n"/>
      <c r="J478" s="21" t="n"/>
      <c r="K478" s="21" t="n"/>
      <c r="L478" s="21" t="n"/>
      <c r="M478" s="21" t="n"/>
      <c r="N478" s="21" t="n"/>
      <c r="O478" s="25">
        <f>IF(OR(ISBLANK(I478),ISBLANK(N478)),"",EDATE(I478,IF(N478="1 year",12,IF(N478="3 years",36,IF(N478="5 years",60,IF(N478="7 years",84,600))))))</f>
        <v/>
      </c>
      <c r="P478" s="21" t="n"/>
      <c r="Q478" s="21" t="n"/>
      <c r="R478" s="21" t="n"/>
      <c r="S478" s="21" t="n"/>
      <c r="T478" s="21" t="n"/>
      <c r="U478" s="21" t="n"/>
      <c r="V478" s="25">
        <f>TODAY()</f>
        <v/>
      </c>
    </row>
    <row r="479">
      <c r="A479" s="20" t="inlineStr">
        <is>
          <t>EV-466</t>
        </is>
      </c>
      <c r="B479" s="21" t="n"/>
      <c r="C479" s="21" t="n"/>
      <c r="D479" s="21" t="n"/>
      <c r="E479" s="21" t="n"/>
      <c r="F479" s="21" t="n"/>
      <c r="G479" s="21" t="n"/>
      <c r="H479" s="21" t="n"/>
      <c r="I479" s="21" t="n"/>
      <c r="J479" s="21" t="n"/>
      <c r="K479" s="21" t="n"/>
      <c r="L479" s="21" t="n"/>
      <c r="M479" s="21" t="n"/>
      <c r="N479" s="21" t="n"/>
      <c r="O479" s="25">
        <f>IF(OR(ISBLANK(I479),ISBLANK(N479)),"",EDATE(I479,IF(N479="1 year",12,IF(N479="3 years",36,IF(N479="5 years",60,IF(N479="7 years",84,600))))))</f>
        <v/>
      </c>
      <c r="P479" s="21" t="n"/>
      <c r="Q479" s="21" t="n"/>
      <c r="R479" s="21" t="n"/>
      <c r="S479" s="21" t="n"/>
      <c r="T479" s="21" t="n"/>
      <c r="U479" s="21" t="n"/>
      <c r="V479" s="25">
        <f>TODAY()</f>
        <v/>
      </c>
    </row>
    <row r="480">
      <c r="A480" s="20" t="inlineStr">
        <is>
          <t>EV-467</t>
        </is>
      </c>
      <c r="B480" s="21" t="n"/>
      <c r="C480" s="21" t="n"/>
      <c r="D480" s="21" t="n"/>
      <c r="E480" s="21" t="n"/>
      <c r="F480" s="21" t="n"/>
      <c r="G480" s="21" t="n"/>
      <c r="H480" s="21" t="n"/>
      <c r="I480" s="21" t="n"/>
      <c r="J480" s="21" t="n"/>
      <c r="K480" s="21" t="n"/>
      <c r="L480" s="21" t="n"/>
      <c r="M480" s="21" t="n"/>
      <c r="N480" s="21" t="n"/>
      <c r="O480" s="25">
        <f>IF(OR(ISBLANK(I480),ISBLANK(N480)),"",EDATE(I480,IF(N480="1 year",12,IF(N480="3 years",36,IF(N480="5 years",60,IF(N480="7 years",84,600))))))</f>
        <v/>
      </c>
      <c r="P480" s="21" t="n"/>
      <c r="Q480" s="21" t="n"/>
      <c r="R480" s="21" t="n"/>
      <c r="S480" s="21" t="n"/>
      <c r="T480" s="21" t="n"/>
      <c r="U480" s="21" t="n"/>
      <c r="V480" s="25">
        <f>TODAY()</f>
        <v/>
      </c>
    </row>
    <row r="481">
      <c r="A481" s="20" t="inlineStr">
        <is>
          <t>EV-468</t>
        </is>
      </c>
      <c r="B481" s="21" t="n"/>
      <c r="C481" s="21" t="n"/>
      <c r="D481" s="21" t="n"/>
      <c r="E481" s="21" t="n"/>
      <c r="F481" s="21" t="n"/>
      <c r="G481" s="21" t="n"/>
      <c r="H481" s="21" t="n"/>
      <c r="I481" s="21" t="n"/>
      <c r="J481" s="21" t="n"/>
      <c r="K481" s="21" t="n"/>
      <c r="L481" s="21" t="n"/>
      <c r="M481" s="21" t="n"/>
      <c r="N481" s="21" t="n"/>
      <c r="O481" s="25">
        <f>IF(OR(ISBLANK(I481),ISBLANK(N481)),"",EDATE(I481,IF(N481="1 year",12,IF(N481="3 years",36,IF(N481="5 years",60,IF(N481="7 years",84,600))))))</f>
        <v/>
      </c>
      <c r="P481" s="21" t="n"/>
      <c r="Q481" s="21" t="n"/>
      <c r="R481" s="21" t="n"/>
      <c r="S481" s="21" t="n"/>
      <c r="T481" s="21" t="n"/>
      <c r="U481" s="21" t="n"/>
      <c r="V481" s="25">
        <f>TODAY()</f>
        <v/>
      </c>
    </row>
    <row r="482">
      <c r="A482" s="20" t="inlineStr">
        <is>
          <t>EV-469</t>
        </is>
      </c>
      <c r="B482" s="21" t="n"/>
      <c r="C482" s="21" t="n"/>
      <c r="D482" s="21" t="n"/>
      <c r="E482" s="21" t="n"/>
      <c r="F482" s="21" t="n"/>
      <c r="G482" s="21" t="n"/>
      <c r="H482" s="21" t="n"/>
      <c r="I482" s="21" t="n"/>
      <c r="J482" s="21" t="n"/>
      <c r="K482" s="21" t="n"/>
      <c r="L482" s="21" t="n"/>
      <c r="M482" s="21" t="n"/>
      <c r="N482" s="21" t="n"/>
      <c r="O482" s="25">
        <f>IF(OR(ISBLANK(I482),ISBLANK(N482)),"",EDATE(I482,IF(N482="1 year",12,IF(N482="3 years",36,IF(N482="5 years",60,IF(N482="7 years",84,600))))))</f>
        <v/>
      </c>
      <c r="P482" s="21" t="n"/>
      <c r="Q482" s="21" t="n"/>
      <c r="R482" s="21" t="n"/>
      <c r="S482" s="21" t="n"/>
      <c r="T482" s="21" t="n"/>
      <c r="U482" s="21" t="n"/>
      <c r="V482" s="25">
        <f>TODAY()</f>
        <v/>
      </c>
    </row>
    <row r="483">
      <c r="A483" s="20" t="inlineStr">
        <is>
          <t>EV-470</t>
        </is>
      </c>
      <c r="B483" s="21" t="n"/>
      <c r="C483" s="21" t="n"/>
      <c r="D483" s="21" t="n"/>
      <c r="E483" s="21" t="n"/>
      <c r="F483" s="21" t="n"/>
      <c r="G483" s="21" t="n"/>
      <c r="H483" s="21" t="n"/>
      <c r="I483" s="21" t="n"/>
      <c r="J483" s="21" t="n"/>
      <c r="K483" s="21" t="n"/>
      <c r="L483" s="21" t="n"/>
      <c r="M483" s="21" t="n"/>
      <c r="N483" s="21" t="n"/>
      <c r="O483" s="25">
        <f>IF(OR(ISBLANK(I483),ISBLANK(N483)),"",EDATE(I483,IF(N483="1 year",12,IF(N483="3 years",36,IF(N483="5 years",60,IF(N483="7 years",84,600))))))</f>
        <v/>
      </c>
      <c r="P483" s="21" t="n"/>
      <c r="Q483" s="21" t="n"/>
      <c r="R483" s="21" t="n"/>
      <c r="S483" s="21" t="n"/>
      <c r="T483" s="21" t="n"/>
      <c r="U483" s="21" t="n"/>
      <c r="V483" s="25">
        <f>TODAY()</f>
        <v/>
      </c>
    </row>
    <row r="484">
      <c r="A484" s="20" t="inlineStr">
        <is>
          <t>EV-471</t>
        </is>
      </c>
      <c r="B484" s="21" t="n"/>
      <c r="C484" s="21" t="n"/>
      <c r="D484" s="21" t="n"/>
      <c r="E484" s="21" t="n"/>
      <c r="F484" s="21" t="n"/>
      <c r="G484" s="21" t="n"/>
      <c r="H484" s="21" t="n"/>
      <c r="I484" s="21" t="n"/>
      <c r="J484" s="21" t="n"/>
      <c r="K484" s="21" t="n"/>
      <c r="L484" s="21" t="n"/>
      <c r="M484" s="21" t="n"/>
      <c r="N484" s="21" t="n"/>
      <c r="O484" s="25">
        <f>IF(OR(ISBLANK(I484),ISBLANK(N484)),"",EDATE(I484,IF(N484="1 year",12,IF(N484="3 years",36,IF(N484="5 years",60,IF(N484="7 years",84,600))))))</f>
        <v/>
      </c>
      <c r="P484" s="21" t="n"/>
      <c r="Q484" s="21" t="n"/>
      <c r="R484" s="21" t="n"/>
      <c r="S484" s="21" t="n"/>
      <c r="T484" s="21" t="n"/>
      <c r="U484" s="21" t="n"/>
      <c r="V484" s="25">
        <f>TODAY()</f>
        <v/>
      </c>
    </row>
    <row r="485">
      <c r="A485" s="20" t="inlineStr">
        <is>
          <t>EV-472</t>
        </is>
      </c>
      <c r="B485" s="21" t="n"/>
      <c r="C485" s="21" t="n"/>
      <c r="D485" s="21" t="n"/>
      <c r="E485" s="21" t="n"/>
      <c r="F485" s="21" t="n"/>
      <c r="G485" s="21" t="n"/>
      <c r="H485" s="21" t="n"/>
      <c r="I485" s="21" t="n"/>
      <c r="J485" s="21" t="n"/>
      <c r="K485" s="21" t="n"/>
      <c r="L485" s="21" t="n"/>
      <c r="M485" s="21" t="n"/>
      <c r="N485" s="21" t="n"/>
      <c r="O485" s="25">
        <f>IF(OR(ISBLANK(I485),ISBLANK(N485)),"",EDATE(I485,IF(N485="1 year",12,IF(N485="3 years",36,IF(N485="5 years",60,IF(N485="7 years",84,600))))))</f>
        <v/>
      </c>
      <c r="P485" s="21" t="n"/>
      <c r="Q485" s="21" t="n"/>
      <c r="R485" s="21" t="n"/>
      <c r="S485" s="21" t="n"/>
      <c r="T485" s="21" t="n"/>
      <c r="U485" s="21" t="n"/>
      <c r="V485" s="25">
        <f>TODAY()</f>
        <v/>
      </c>
    </row>
    <row r="486">
      <c r="A486" s="20" t="inlineStr">
        <is>
          <t>EV-473</t>
        </is>
      </c>
      <c r="B486" s="21" t="n"/>
      <c r="C486" s="21" t="n"/>
      <c r="D486" s="21" t="n"/>
      <c r="E486" s="21" t="n"/>
      <c r="F486" s="21" t="n"/>
      <c r="G486" s="21" t="n"/>
      <c r="H486" s="21" t="n"/>
      <c r="I486" s="21" t="n"/>
      <c r="J486" s="21" t="n"/>
      <c r="K486" s="21" t="n"/>
      <c r="L486" s="21" t="n"/>
      <c r="M486" s="21" t="n"/>
      <c r="N486" s="21" t="n"/>
      <c r="O486" s="25">
        <f>IF(OR(ISBLANK(I486),ISBLANK(N486)),"",EDATE(I486,IF(N486="1 year",12,IF(N486="3 years",36,IF(N486="5 years",60,IF(N486="7 years",84,600))))))</f>
        <v/>
      </c>
      <c r="P486" s="21" t="n"/>
      <c r="Q486" s="21" t="n"/>
      <c r="R486" s="21" t="n"/>
      <c r="S486" s="21" t="n"/>
      <c r="T486" s="21" t="n"/>
      <c r="U486" s="21" t="n"/>
      <c r="V486" s="25">
        <f>TODAY()</f>
        <v/>
      </c>
    </row>
    <row r="487">
      <c r="A487" s="20" t="inlineStr">
        <is>
          <t>EV-474</t>
        </is>
      </c>
      <c r="B487" s="21" t="n"/>
      <c r="C487" s="21" t="n"/>
      <c r="D487" s="21" t="n"/>
      <c r="E487" s="21" t="n"/>
      <c r="F487" s="21" t="n"/>
      <c r="G487" s="21" t="n"/>
      <c r="H487" s="21" t="n"/>
      <c r="I487" s="21" t="n"/>
      <c r="J487" s="21" t="n"/>
      <c r="K487" s="21" t="n"/>
      <c r="L487" s="21" t="n"/>
      <c r="M487" s="21" t="n"/>
      <c r="N487" s="21" t="n"/>
      <c r="O487" s="25">
        <f>IF(OR(ISBLANK(I487),ISBLANK(N487)),"",EDATE(I487,IF(N487="1 year",12,IF(N487="3 years",36,IF(N487="5 years",60,IF(N487="7 years",84,600))))))</f>
        <v/>
      </c>
      <c r="P487" s="21" t="n"/>
      <c r="Q487" s="21" t="n"/>
      <c r="R487" s="21" t="n"/>
      <c r="S487" s="21" t="n"/>
      <c r="T487" s="21" t="n"/>
      <c r="U487" s="21" t="n"/>
      <c r="V487" s="25">
        <f>TODAY()</f>
        <v/>
      </c>
    </row>
    <row r="488">
      <c r="A488" s="20" t="inlineStr">
        <is>
          <t>EV-475</t>
        </is>
      </c>
      <c r="B488" s="21" t="n"/>
      <c r="C488" s="21" t="n"/>
      <c r="D488" s="21" t="n"/>
      <c r="E488" s="21" t="n"/>
      <c r="F488" s="21" t="n"/>
      <c r="G488" s="21" t="n"/>
      <c r="H488" s="21" t="n"/>
      <c r="I488" s="21" t="n"/>
      <c r="J488" s="21" t="n"/>
      <c r="K488" s="21" t="n"/>
      <c r="L488" s="21" t="n"/>
      <c r="M488" s="21" t="n"/>
      <c r="N488" s="21" t="n"/>
      <c r="O488" s="25">
        <f>IF(OR(ISBLANK(I488),ISBLANK(N488)),"",EDATE(I488,IF(N488="1 year",12,IF(N488="3 years",36,IF(N488="5 years",60,IF(N488="7 years",84,600))))))</f>
        <v/>
      </c>
      <c r="P488" s="21" t="n"/>
      <c r="Q488" s="21" t="n"/>
      <c r="R488" s="21" t="n"/>
      <c r="S488" s="21" t="n"/>
      <c r="T488" s="21" t="n"/>
      <c r="U488" s="21" t="n"/>
      <c r="V488" s="25">
        <f>TODAY()</f>
        <v/>
      </c>
    </row>
    <row r="489">
      <c r="A489" s="20" t="inlineStr">
        <is>
          <t>EV-476</t>
        </is>
      </c>
      <c r="B489" s="21" t="n"/>
      <c r="C489" s="21" t="n"/>
      <c r="D489" s="21" t="n"/>
      <c r="E489" s="21" t="n"/>
      <c r="F489" s="21" t="n"/>
      <c r="G489" s="21" t="n"/>
      <c r="H489" s="21" t="n"/>
      <c r="I489" s="21" t="n"/>
      <c r="J489" s="21" t="n"/>
      <c r="K489" s="21" t="n"/>
      <c r="L489" s="21" t="n"/>
      <c r="M489" s="21" t="n"/>
      <c r="N489" s="21" t="n"/>
      <c r="O489" s="25">
        <f>IF(OR(ISBLANK(I489),ISBLANK(N489)),"",EDATE(I489,IF(N489="1 year",12,IF(N489="3 years",36,IF(N489="5 years",60,IF(N489="7 years",84,600))))))</f>
        <v/>
      </c>
      <c r="P489" s="21" t="n"/>
      <c r="Q489" s="21" t="n"/>
      <c r="R489" s="21" t="n"/>
      <c r="S489" s="21" t="n"/>
      <c r="T489" s="21" t="n"/>
      <c r="U489" s="21" t="n"/>
      <c r="V489" s="25">
        <f>TODAY()</f>
        <v/>
      </c>
    </row>
    <row r="490">
      <c r="A490" s="20" t="inlineStr">
        <is>
          <t>EV-477</t>
        </is>
      </c>
      <c r="B490" s="21" t="n"/>
      <c r="C490" s="21" t="n"/>
      <c r="D490" s="21" t="n"/>
      <c r="E490" s="21" t="n"/>
      <c r="F490" s="21" t="n"/>
      <c r="G490" s="21" t="n"/>
      <c r="H490" s="21" t="n"/>
      <c r="I490" s="21" t="n"/>
      <c r="J490" s="21" t="n"/>
      <c r="K490" s="21" t="n"/>
      <c r="L490" s="21" t="n"/>
      <c r="M490" s="21" t="n"/>
      <c r="N490" s="21" t="n"/>
      <c r="O490" s="25">
        <f>IF(OR(ISBLANK(I490),ISBLANK(N490)),"",EDATE(I490,IF(N490="1 year",12,IF(N490="3 years",36,IF(N490="5 years",60,IF(N490="7 years",84,600))))))</f>
        <v/>
      </c>
      <c r="P490" s="21" t="n"/>
      <c r="Q490" s="21" t="n"/>
      <c r="R490" s="21" t="n"/>
      <c r="S490" s="21" t="n"/>
      <c r="T490" s="21" t="n"/>
      <c r="U490" s="21" t="n"/>
      <c r="V490" s="25">
        <f>TODAY()</f>
        <v/>
      </c>
    </row>
    <row r="491">
      <c r="A491" s="20" t="inlineStr">
        <is>
          <t>EV-478</t>
        </is>
      </c>
      <c r="B491" s="21" t="n"/>
      <c r="C491" s="21" t="n"/>
      <c r="D491" s="21" t="n"/>
      <c r="E491" s="21" t="n"/>
      <c r="F491" s="21" t="n"/>
      <c r="G491" s="21" t="n"/>
      <c r="H491" s="21" t="n"/>
      <c r="I491" s="21" t="n"/>
      <c r="J491" s="21" t="n"/>
      <c r="K491" s="21" t="n"/>
      <c r="L491" s="21" t="n"/>
      <c r="M491" s="21" t="n"/>
      <c r="N491" s="21" t="n"/>
      <c r="O491" s="25">
        <f>IF(OR(ISBLANK(I491),ISBLANK(N491)),"",EDATE(I491,IF(N491="1 year",12,IF(N491="3 years",36,IF(N491="5 years",60,IF(N491="7 years",84,600))))))</f>
        <v/>
      </c>
      <c r="P491" s="21" t="n"/>
      <c r="Q491" s="21" t="n"/>
      <c r="R491" s="21" t="n"/>
      <c r="S491" s="21" t="n"/>
      <c r="T491" s="21" t="n"/>
      <c r="U491" s="21" t="n"/>
      <c r="V491" s="25">
        <f>TODAY()</f>
        <v/>
      </c>
    </row>
    <row r="492">
      <c r="A492" s="20" t="inlineStr">
        <is>
          <t>EV-479</t>
        </is>
      </c>
      <c r="B492" s="21" t="n"/>
      <c r="C492" s="21" t="n"/>
      <c r="D492" s="21" t="n"/>
      <c r="E492" s="21" t="n"/>
      <c r="F492" s="21" t="n"/>
      <c r="G492" s="21" t="n"/>
      <c r="H492" s="21" t="n"/>
      <c r="I492" s="21" t="n"/>
      <c r="J492" s="21" t="n"/>
      <c r="K492" s="21" t="n"/>
      <c r="L492" s="21" t="n"/>
      <c r="M492" s="21" t="n"/>
      <c r="N492" s="21" t="n"/>
      <c r="O492" s="25">
        <f>IF(OR(ISBLANK(I492),ISBLANK(N492)),"",EDATE(I492,IF(N492="1 year",12,IF(N492="3 years",36,IF(N492="5 years",60,IF(N492="7 years",84,600))))))</f>
        <v/>
      </c>
      <c r="P492" s="21" t="n"/>
      <c r="Q492" s="21" t="n"/>
      <c r="R492" s="21" t="n"/>
      <c r="S492" s="21" t="n"/>
      <c r="T492" s="21" t="n"/>
      <c r="U492" s="21" t="n"/>
      <c r="V492" s="25">
        <f>TODAY()</f>
        <v/>
      </c>
    </row>
    <row r="493">
      <c r="A493" s="20" t="inlineStr">
        <is>
          <t>EV-480</t>
        </is>
      </c>
      <c r="B493" s="21" t="n"/>
      <c r="C493" s="21" t="n"/>
      <c r="D493" s="21" t="n"/>
      <c r="E493" s="21" t="n"/>
      <c r="F493" s="21" t="n"/>
      <c r="G493" s="21" t="n"/>
      <c r="H493" s="21" t="n"/>
      <c r="I493" s="21" t="n"/>
      <c r="J493" s="21" t="n"/>
      <c r="K493" s="21" t="n"/>
      <c r="L493" s="21" t="n"/>
      <c r="M493" s="21" t="n"/>
      <c r="N493" s="21" t="n"/>
      <c r="O493" s="25">
        <f>IF(OR(ISBLANK(I493),ISBLANK(N493)),"",EDATE(I493,IF(N493="1 year",12,IF(N493="3 years",36,IF(N493="5 years",60,IF(N493="7 years",84,600))))))</f>
        <v/>
      </c>
      <c r="P493" s="21" t="n"/>
      <c r="Q493" s="21" t="n"/>
      <c r="R493" s="21" t="n"/>
      <c r="S493" s="21" t="n"/>
      <c r="T493" s="21" t="n"/>
      <c r="U493" s="21" t="n"/>
      <c r="V493" s="25">
        <f>TODAY()</f>
        <v/>
      </c>
    </row>
    <row r="494">
      <c r="A494" s="20" t="inlineStr">
        <is>
          <t>EV-481</t>
        </is>
      </c>
      <c r="B494" s="21" t="n"/>
      <c r="C494" s="21" t="n"/>
      <c r="D494" s="21" t="n"/>
      <c r="E494" s="21" t="n"/>
      <c r="F494" s="21" t="n"/>
      <c r="G494" s="21" t="n"/>
      <c r="H494" s="21" t="n"/>
      <c r="I494" s="21" t="n"/>
      <c r="J494" s="21" t="n"/>
      <c r="K494" s="21" t="n"/>
      <c r="L494" s="21" t="n"/>
      <c r="M494" s="21" t="n"/>
      <c r="N494" s="21" t="n"/>
      <c r="O494" s="25">
        <f>IF(OR(ISBLANK(I494),ISBLANK(N494)),"",EDATE(I494,IF(N494="1 year",12,IF(N494="3 years",36,IF(N494="5 years",60,IF(N494="7 years",84,600))))))</f>
        <v/>
      </c>
      <c r="P494" s="21" t="n"/>
      <c r="Q494" s="21" t="n"/>
      <c r="R494" s="21" t="n"/>
      <c r="S494" s="21" t="n"/>
      <c r="T494" s="21" t="n"/>
      <c r="U494" s="21" t="n"/>
      <c r="V494" s="25">
        <f>TODAY()</f>
        <v/>
      </c>
    </row>
    <row r="495">
      <c r="A495" s="20" t="inlineStr">
        <is>
          <t>EV-482</t>
        </is>
      </c>
      <c r="B495" s="21" t="n"/>
      <c r="C495" s="21" t="n"/>
      <c r="D495" s="21" t="n"/>
      <c r="E495" s="21" t="n"/>
      <c r="F495" s="21" t="n"/>
      <c r="G495" s="21" t="n"/>
      <c r="H495" s="21" t="n"/>
      <c r="I495" s="21" t="n"/>
      <c r="J495" s="21" t="n"/>
      <c r="K495" s="21" t="n"/>
      <c r="L495" s="21" t="n"/>
      <c r="M495" s="21" t="n"/>
      <c r="N495" s="21" t="n"/>
      <c r="O495" s="25">
        <f>IF(OR(ISBLANK(I495),ISBLANK(N495)),"",EDATE(I495,IF(N495="1 year",12,IF(N495="3 years",36,IF(N495="5 years",60,IF(N495="7 years",84,600))))))</f>
        <v/>
      </c>
      <c r="P495" s="21" t="n"/>
      <c r="Q495" s="21" t="n"/>
      <c r="R495" s="21" t="n"/>
      <c r="S495" s="21" t="n"/>
      <c r="T495" s="21" t="n"/>
      <c r="U495" s="21" t="n"/>
      <c r="V495" s="25">
        <f>TODAY()</f>
        <v/>
      </c>
    </row>
    <row r="496">
      <c r="A496" s="20" t="inlineStr">
        <is>
          <t>EV-483</t>
        </is>
      </c>
      <c r="B496" s="21" t="n"/>
      <c r="C496" s="21" t="n"/>
      <c r="D496" s="21" t="n"/>
      <c r="E496" s="21" t="n"/>
      <c r="F496" s="21" t="n"/>
      <c r="G496" s="21" t="n"/>
      <c r="H496" s="21" t="n"/>
      <c r="I496" s="21" t="n"/>
      <c r="J496" s="21" t="n"/>
      <c r="K496" s="21" t="n"/>
      <c r="L496" s="21" t="n"/>
      <c r="M496" s="21" t="n"/>
      <c r="N496" s="21" t="n"/>
      <c r="O496" s="25">
        <f>IF(OR(ISBLANK(I496),ISBLANK(N496)),"",EDATE(I496,IF(N496="1 year",12,IF(N496="3 years",36,IF(N496="5 years",60,IF(N496="7 years",84,600))))))</f>
        <v/>
      </c>
      <c r="P496" s="21" t="n"/>
      <c r="Q496" s="21" t="n"/>
      <c r="R496" s="21" t="n"/>
      <c r="S496" s="21" t="n"/>
      <c r="T496" s="21" t="n"/>
      <c r="U496" s="21" t="n"/>
      <c r="V496" s="25">
        <f>TODAY()</f>
        <v/>
      </c>
    </row>
    <row r="497">
      <c r="A497" s="20" t="inlineStr">
        <is>
          <t>EV-484</t>
        </is>
      </c>
      <c r="B497" s="21" t="n"/>
      <c r="C497" s="21" t="n"/>
      <c r="D497" s="21" t="n"/>
      <c r="E497" s="21" t="n"/>
      <c r="F497" s="21" t="n"/>
      <c r="G497" s="21" t="n"/>
      <c r="H497" s="21" t="n"/>
      <c r="I497" s="21" t="n"/>
      <c r="J497" s="21" t="n"/>
      <c r="K497" s="21" t="n"/>
      <c r="L497" s="21" t="n"/>
      <c r="M497" s="21" t="n"/>
      <c r="N497" s="21" t="n"/>
      <c r="O497" s="25">
        <f>IF(OR(ISBLANK(I497),ISBLANK(N497)),"",EDATE(I497,IF(N497="1 year",12,IF(N497="3 years",36,IF(N497="5 years",60,IF(N497="7 years",84,600))))))</f>
        <v/>
      </c>
      <c r="P497" s="21" t="n"/>
      <c r="Q497" s="21" t="n"/>
      <c r="R497" s="21" t="n"/>
      <c r="S497" s="21" t="n"/>
      <c r="T497" s="21" t="n"/>
      <c r="U497" s="21" t="n"/>
      <c r="V497" s="25">
        <f>TODAY()</f>
        <v/>
      </c>
    </row>
    <row r="498">
      <c r="A498" s="20" t="inlineStr">
        <is>
          <t>EV-485</t>
        </is>
      </c>
      <c r="B498" s="21" t="n"/>
      <c r="C498" s="21" t="n"/>
      <c r="D498" s="21" t="n"/>
      <c r="E498" s="21" t="n"/>
      <c r="F498" s="21" t="n"/>
      <c r="G498" s="21" t="n"/>
      <c r="H498" s="21" t="n"/>
      <c r="I498" s="21" t="n"/>
      <c r="J498" s="21" t="n"/>
      <c r="K498" s="21" t="n"/>
      <c r="L498" s="21" t="n"/>
      <c r="M498" s="21" t="n"/>
      <c r="N498" s="21" t="n"/>
      <c r="O498" s="25">
        <f>IF(OR(ISBLANK(I498),ISBLANK(N498)),"",EDATE(I498,IF(N498="1 year",12,IF(N498="3 years",36,IF(N498="5 years",60,IF(N498="7 years",84,600))))))</f>
        <v/>
      </c>
      <c r="P498" s="21" t="n"/>
      <c r="Q498" s="21" t="n"/>
      <c r="R498" s="21" t="n"/>
      <c r="S498" s="21" t="n"/>
      <c r="T498" s="21" t="n"/>
      <c r="U498" s="21" t="n"/>
      <c r="V498" s="25">
        <f>TODAY()</f>
        <v/>
      </c>
    </row>
    <row r="499">
      <c r="A499" s="20" t="inlineStr">
        <is>
          <t>EV-486</t>
        </is>
      </c>
      <c r="B499" s="21" t="n"/>
      <c r="C499" s="21" t="n"/>
      <c r="D499" s="21" t="n"/>
      <c r="E499" s="21" t="n"/>
      <c r="F499" s="21" t="n"/>
      <c r="G499" s="21" t="n"/>
      <c r="H499" s="21" t="n"/>
      <c r="I499" s="21" t="n"/>
      <c r="J499" s="21" t="n"/>
      <c r="K499" s="21" t="n"/>
      <c r="L499" s="21" t="n"/>
      <c r="M499" s="21" t="n"/>
      <c r="N499" s="21" t="n"/>
      <c r="O499" s="25">
        <f>IF(OR(ISBLANK(I499),ISBLANK(N499)),"",EDATE(I499,IF(N499="1 year",12,IF(N499="3 years",36,IF(N499="5 years",60,IF(N499="7 years",84,600))))))</f>
        <v/>
      </c>
      <c r="P499" s="21" t="n"/>
      <c r="Q499" s="21" t="n"/>
      <c r="R499" s="21" t="n"/>
      <c r="S499" s="21" t="n"/>
      <c r="T499" s="21" t="n"/>
      <c r="U499" s="21" t="n"/>
      <c r="V499" s="25">
        <f>TODAY()</f>
        <v/>
      </c>
    </row>
    <row r="500">
      <c r="A500" s="20" t="inlineStr">
        <is>
          <t>EV-487</t>
        </is>
      </c>
      <c r="B500" s="21" t="n"/>
      <c r="C500" s="21" t="n"/>
      <c r="D500" s="21" t="n"/>
      <c r="E500" s="21" t="n"/>
      <c r="F500" s="21" t="n"/>
      <c r="G500" s="21" t="n"/>
      <c r="H500" s="21" t="n"/>
      <c r="I500" s="21" t="n"/>
      <c r="J500" s="21" t="n"/>
      <c r="K500" s="21" t="n"/>
      <c r="L500" s="21" t="n"/>
      <c r="M500" s="21" t="n"/>
      <c r="N500" s="21" t="n"/>
      <c r="O500" s="25">
        <f>IF(OR(ISBLANK(I500),ISBLANK(N500)),"",EDATE(I500,IF(N500="1 year",12,IF(N500="3 years",36,IF(N500="5 years",60,IF(N500="7 years",84,600))))))</f>
        <v/>
      </c>
      <c r="P500" s="21" t="n"/>
      <c r="Q500" s="21" t="n"/>
      <c r="R500" s="21" t="n"/>
      <c r="S500" s="21" t="n"/>
      <c r="T500" s="21" t="n"/>
      <c r="U500" s="21" t="n"/>
      <c r="V500" s="25">
        <f>TODAY()</f>
        <v/>
      </c>
    </row>
    <row r="501">
      <c r="A501" s="20" t="inlineStr">
        <is>
          <t>EV-488</t>
        </is>
      </c>
      <c r="B501" s="21" t="n"/>
      <c r="C501" s="21" t="n"/>
      <c r="D501" s="21" t="n"/>
      <c r="E501" s="21" t="n"/>
      <c r="F501" s="21" t="n"/>
      <c r="G501" s="21" t="n"/>
      <c r="H501" s="21" t="n"/>
      <c r="I501" s="21" t="n"/>
      <c r="J501" s="21" t="n"/>
      <c r="K501" s="21" t="n"/>
      <c r="L501" s="21" t="n"/>
      <c r="M501" s="21" t="n"/>
      <c r="N501" s="21" t="n"/>
      <c r="O501" s="25">
        <f>IF(OR(ISBLANK(I501),ISBLANK(N501)),"",EDATE(I501,IF(N501="1 year",12,IF(N501="3 years",36,IF(N501="5 years",60,IF(N501="7 years",84,600))))))</f>
        <v/>
      </c>
      <c r="P501" s="21" t="n"/>
      <c r="Q501" s="21" t="n"/>
      <c r="R501" s="21" t="n"/>
      <c r="S501" s="21" t="n"/>
      <c r="T501" s="21" t="n"/>
      <c r="U501" s="21" t="n"/>
      <c r="V501" s="25">
        <f>TODAY()</f>
        <v/>
      </c>
    </row>
    <row r="502">
      <c r="A502" s="20" t="inlineStr">
        <is>
          <t>EV-489</t>
        </is>
      </c>
      <c r="B502" s="21" t="n"/>
      <c r="C502" s="21" t="n"/>
      <c r="D502" s="21" t="n"/>
      <c r="E502" s="21" t="n"/>
      <c r="F502" s="21" t="n"/>
      <c r="G502" s="21" t="n"/>
      <c r="H502" s="21" t="n"/>
      <c r="I502" s="21" t="n"/>
      <c r="J502" s="21" t="n"/>
      <c r="K502" s="21" t="n"/>
      <c r="L502" s="21" t="n"/>
      <c r="M502" s="21" t="n"/>
      <c r="N502" s="21" t="n"/>
      <c r="O502" s="25">
        <f>IF(OR(ISBLANK(I502),ISBLANK(N502)),"",EDATE(I502,IF(N502="1 year",12,IF(N502="3 years",36,IF(N502="5 years",60,IF(N502="7 years",84,600))))))</f>
        <v/>
      </c>
      <c r="P502" s="21" t="n"/>
      <c r="Q502" s="21" t="n"/>
      <c r="R502" s="21" t="n"/>
      <c r="S502" s="21" t="n"/>
      <c r="T502" s="21" t="n"/>
      <c r="U502" s="21" t="n"/>
      <c r="V502" s="25">
        <f>TODAY()</f>
        <v/>
      </c>
    </row>
    <row r="503">
      <c r="A503" s="20" t="inlineStr">
        <is>
          <t>EV-490</t>
        </is>
      </c>
      <c r="B503" s="21" t="n"/>
      <c r="C503" s="21" t="n"/>
      <c r="D503" s="21" t="n"/>
      <c r="E503" s="21" t="n"/>
      <c r="F503" s="21" t="n"/>
      <c r="G503" s="21" t="n"/>
      <c r="H503" s="21" t="n"/>
      <c r="I503" s="21" t="n"/>
      <c r="J503" s="21" t="n"/>
      <c r="K503" s="21" t="n"/>
      <c r="L503" s="21" t="n"/>
      <c r="M503" s="21" t="n"/>
      <c r="N503" s="21" t="n"/>
      <c r="O503" s="25">
        <f>IF(OR(ISBLANK(I503),ISBLANK(N503)),"",EDATE(I503,IF(N503="1 year",12,IF(N503="3 years",36,IF(N503="5 years",60,IF(N503="7 years",84,600))))))</f>
        <v/>
      </c>
      <c r="P503" s="21" t="n"/>
      <c r="Q503" s="21" t="n"/>
      <c r="R503" s="21" t="n"/>
      <c r="S503" s="21" t="n"/>
      <c r="T503" s="21" t="n"/>
      <c r="U503" s="21" t="n"/>
      <c r="V503" s="25">
        <f>TODAY()</f>
        <v/>
      </c>
    </row>
    <row r="504">
      <c r="A504" s="20" t="inlineStr">
        <is>
          <t>EV-491</t>
        </is>
      </c>
      <c r="B504" s="21" t="n"/>
      <c r="C504" s="21" t="n"/>
      <c r="D504" s="21" t="n"/>
      <c r="E504" s="21" t="n"/>
      <c r="F504" s="21" t="n"/>
      <c r="G504" s="21" t="n"/>
      <c r="H504" s="21" t="n"/>
      <c r="I504" s="21" t="n"/>
      <c r="J504" s="21" t="n"/>
      <c r="K504" s="21" t="n"/>
      <c r="L504" s="21" t="n"/>
      <c r="M504" s="21" t="n"/>
      <c r="N504" s="21" t="n"/>
      <c r="O504" s="25">
        <f>IF(OR(ISBLANK(I504),ISBLANK(N504)),"",EDATE(I504,IF(N504="1 year",12,IF(N504="3 years",36,IF(N504="5 years",60,IF(N504="7 years",84,600))))))</f>
        <v/>
      </c>
      <c r="P504" s="21" t="n"/>
      <c r="Q504" s="21" t="n"/>
      <c r="R504" s="21" t="n"/>
      <c r="S504" s="21" t="n"/>
      <c r="T504" s="21" t="n"/>
      <c r="U504" s="21" t="n"/>
      <c r="V504" s="25">
        <f>TODAY()</f>
        <v/>
      </c>
    </row>
    <row r="505">
      <c r="A505" s="20" t="inlineStr">
        <is>
          <t>EV-492</t>
        </is>
      </c>
      <c r="B505" s="21" t="n"/>
      <c r="C505" s="21" t="n"/>
      <c r="D505" s="21" t="n"/>
      <c r="E505" s="21" t="n"/>
      <c r="F505" s="21" t="n"/>
      <c r="G505" s="21" t="n"/>
      <c r="H505" s="21" t="n"/>
      <c r="I505" s="21" t="n"/>
      <c r="J505" s="21" t="n"/>
      <c r="K505" s="21" t="n"/>
      <c r="L505" s="21" t="n"/>
      <c r="M505" s="21" t="n"/>
      <c r="N505" s="21" t="n"/>
      <c r="O505" s="25">
        <f>IF(OR(ISBLANK(I505),ISBLANK(N505)),"",EDATE(I505,IF(N505="1 year",12,IF(N505="3 years",36,IF(N505="5 years",60,IF(N505="7 years",84,600))))))</f>
        <v/>
      </c>
      <c r="P505" s="21" t="n"/>
      <c r="Q505" s="21" t="n"/>
      <c r="R505" s="21" t="n"/>
      <c r="S505" s="21" t="n"/>
      <c r="T505" s="21" t="n"/>
      <c r="U505" s="21" t="n"/>
      <c r="V505" s="25">
        <f>TODAY()</f>
        <v/>
      </c>
    </row>
    <row r="506">
      <c r="A506" s="20" t="inlineStr">
        <is>
          <t>EV-493</t>
        </is>
      </c>
      <c r="B506" s="21" t="n"/>
      <c r="C506" s="21" t="n"/>
      <c r="D506" s="21" t="n"/>
      <c r="E506" s="21" t="n"/>
      <c r="F506" s="21" t="n"/>
      <c r="G506" s="21" t="n"/>
      <c r="H506" s="21" t="n"/>
      <c r="I506" s="21" t="n"/>
      <c r="J506" s="21" t="n"/>
      <c r="K506" s="21" t="n"/>
      <c r="L506" s="21" t="n"/>
      <c r="M506" s="21" t="n"/>
      <c r="N506" s="21" t="n"/>
      <c r="O506" s="25">
        <f>IF(OR(ISBLANK(I506),ISBLANK(N506)),"",EDATE(I506,IF(N506="1 year",12,IF(N506="3 years",36,IF(N506="5 years",60,IF(N506="7 years",84,600))))))</f>
        <v/>
      </c>
      <c r="P506" s="21" t="n"/>
      <c r="Q506" s="21" t="n"/>
      <c r="R506" s="21" t="n"/>
      <c r="S506" s="21" t="n"/>
      <c r="T506" s="21" t="n"/>
      <c r="U506" s="21" t="n"/>
      <c r="V506" s="25">
        <f>TODAY()</f>
        <v/>
      </c>
    </row>
    <row r="507">
      <c r="A507" s="20" t="inlineStr">
        <is>
          <t>EV-494</t>
        </is>
      </c>
      <c r="B507" s="21" t="n"/>
      <c r="C507" s="21" t="n"/>
      <c r="D507" s="21" t="n"/>
      <c r="E507" s="21" t="n"/>
      <c r="F507" s="21" t="n"/>
      <c r="G507" s="21" t="n"/>
      <c r="H507" s="21" t="n"/>
      <c r="I507" s="21" t="n"/>
      <c r="J507" s="21" t="n"/>
      <c r="K507" s="21" t="n"/>
      <c r="L507" s="21" t="n"/>
      <c r="M507" s="21" t="n"/>
      <c r="N507" s="21" t="n"/>
      <c r="O507" s="25">
        <f>IF(OR(ISBLANK(I507),ISBLANK(N507)),"",EDATE(I507,IF(N507="1 year",12,IF(N507="3 years",36,IF(N507="5 years",60,IF(N507="7 years",84,600))))))</f>
        <v/>
      </c>
      <c r="P507" s="21" t="n"/>
      <c r="Q507" s="21" t="n"/>
      <c r="R507" s="21" t="n"/>
      <c r="S507" s="21" t="n"/>
      <c r="T507" s="21" t="n"/>
      <c r="U507" s="21" t="n"/>
      <c r="V507" s="25">
        <f>TODAY()</f>
        <v/>
      </c>
    </row>
    <row r="508">
      <c r="A508" s="20" t="inlineStr">
        <is>
          <t>EV-495</t>
        </is>
      </c>
      <c r="B508" s="21" t="n"/>
      <c r="C508" s="21" t="n"/>
      <c r="D508" s="21" t="n"/>
      <c r="E508" s="21" t="n"/>
      <c r="F508" s="21" t="n"/>
      <c r="G508" s="21" t="n"/>
      <c r="H508" s="21" t="n"/>
      <c r="I508" s="21" t="n"/>
      <c r="J508" s="21" t="n"/>
      <c r="K508" s="21" t="n"/>
      <c r="L508" s="21" t="n"/>
      <c r="M508" s="21" t="n"/>
      <c r="N508" s="21" t="n"/>
      <c r="O508" s="25">
        <f>IF(OR(ISBLANK(I508),ISBLANK(N508)),"",EDATE(I508,IF(N508="1 year",12,IF(N508="3 years",36,IF(N508="5 years",60,IF(N508="7 years",84,600))))))</f>
        <v/>
      </c>
      <c r="P508" s="21" t="n"/>
      <c r="Q508" s="21" t="n"/>
      <c r="R508" s="21" t="n"/>
      <c r="S508" s="21" t="n"/>
      <c r="T508" s="21" t="n"/>
      <c r="U508" s="21" t="n"/>
      <c r="V508" s="25">
        <f>TODAY()</f>
        <v/>
      </c>
    </row>
    <row r="509">
      <c r="A509" s="20" t="inlineStr">
        <is>
          <t>EV-496</t>
        </is>
      </c>
      <c r="B509" s="21" t="n"/>
      <c r="C509" s="21" t="n"/>
      <c r="D509" s="21" t="n"/>
      <c r="E509" s="21" t="n"/>
      <c r="F509" s="21" t="n"/>
      <c r="G509" s="21" t="n"/>
      <c r="H509" s="21" t="n"/>
      <c r="I509" s="21" t="n"/>
      <c r="J509" s="21" t="n"/>
      <c r="K509" s="21" t="n"/>
      <c r="L509" s="21" t="n"/>
      <c r="M509" s="21" t="n"/>
      <c r="N509" s="21" t="n"/>
      <c r="O509" s="25">
        <f>IF(OR(ISBLANK(I509),ISBLANK(N509)),"",EDATE(I509,IF(N509="1 year",12,IF(N509="3 years",36,IF(N509="5 years",60,IF(N509="7 years",84,600))))))</f>
        <v/>
      </c>
      <c r="P509" s="21" t="n"/>
      <c r="Q509" s="21" t="n"/>
      <c r="R509" s="21" t="n"/>
      <c r="S509" s="21" t="n"/>
      <c r="T509" s="21" t="n"/>
      <c r="U509" s="21" t="n"/>
      <c r="V509" s="25">
        <f>TODAY()</f>
        <v/>
      </c>
    </row>
    <row r="510">
      <c r="A510" s="20" t="inlineStr">
        <is>
          <t>EV-497</t>
        </is>
      </c>
      <c r="B510" s="21" t="n"/>
      <c r="C510" s="21" t="n"/>
      <c r="D510" s="21" t="n"/>
      <c r="E510" s="21" t="n"/>
      <c r="F510" s="21" t="n"/>
      <c r="G510" s="21" t="n"/>
      <c r="H510" s="21" t="n"/>
      <c r="I510" s="21" t="n"/>
      <c r="J510" s="21" t="n"/>
      <c r="K510" s="21" t="n"/>
      <c r="L510" s="21" t="n"/>
      <c r="M510" s="21" t="n"/>
      <c r="N510" s="21" t="n"/>
      <c r="O510" s="25">
        <f>IF(OR(ISBLANK(I510),ISBLANK(N510)),"",EDATE(I510,IF(N510="1 year",12,IF(N510="3 years",36,IF(N510="5 years",60,IF(N510="7 years",84,600))))))</f>
        <v/>
      </c>
      <c r="P510" s="21" t="n"/>
      <c r="Q510" s="21" t="n"/>
      <c r="R510" s="21" t="n"/>
      <c r="S510" s="21" t="n"/>
      <c r="T510" s="21" t="n"/>
      <c r="U510" s="21" t="n"/>
      <c r="V510" s="25">
        <f>TODAY()</f>
        <v/>
      </c>
    </row>
    <row r="511">
      <c r="A511" s="20" t="inlineStr">
        <is>
          <t>EV-498</t>
        </is>
      </c>
      <c r="B511" s="21" t="n"/>
      <c r="C511" s="21" t="n"/>
      <c r="D511" s="21" t="n"/>
      <c r="E511" s="21" t="n"/>
      <c r="F511" s="21" t="n"/>
      <c r="G511" s="21" t="n"/>
      <c r="H511" s="21" t="n"/>
      <c r="I511" s="21" t="n"/>
      <c r="J511" s="21" t="n"/>
      <c r="K511" s="21" t="n"/>
      <c r="L511" s="21" t="n"/>
      <c r="M511" s="21" t="n"/>
      <c r="N511" s="21" t="n"/>
      <c r="O511" s="25">
        <f>IF(OR(ISBLANK(I511),ISBLANK(N511)),"",EDATE(I511,IF(N511="1 year",12,IF(N511="3 years",36,IF(N511="5 years",60,IF(N511="7 years",84,600))))))</f>
        <v/>
      </c>
      <c r="P511" s="21" t="n"/>
      <c r="Q511" s="21" t="n"/>
      <c r="R511" s="21" t="n"/>
      <c r="S511" s="21" t="n"/>
      <c r="T511" s="21" t="n"/>
      <c r="U511" s="21" t="n"/>
      <c r="V511" s="25">
        <f>TODAY()</f>
        <v/>
      </c>
    </row>
    <row r="512">
      <c r="A512" s="20" t="inlineStr">
        <is>
          <t>EV-499</t>
        </is>
      </c>
      <c r="B512" s="21" t="n"/>
      <c r="C512" s="21" t="n"/>
      <c r="D512" s="21" t="n"/>
      <c r="E512" s="21" t="n"/>
      <c r="F512" s="21" t="n"/>
      <c r="G512" s="21" t="n"/>
      <c r="H512" s="21" t="n"/>
      <c r="I512" s="21" t="n"/>
      <c r="J512" s="21" t="n"/>
      <c r="K512" s="21" t="n"/>
      <c r="L512" s="21" t="n"/>
      <c r="M512" s="21" t="n"/>
      <c r="N512" s="21" t="n"/>
      <c r="O512" s="25">
        <f>IF(OR(ISBLANK(I512),ISBLANK(N512)),"",EDATE(I512,IF(N512="1 year",12,IF(N512="3 years",36,IF(N512="5 years",60,IF(N512="7 years",84,600))))))</f>
        <v/>
      </c>
      <c r="P512" s="21" t="n"/>
      <c r="Q512" s="21" t="n"/>
      <c r="R512" s="21" t="n"/>
      <c r="S512" s="21" t="n"/>
      <c r="T512" s="21" t="n"/>
      <c r="U512" s="21" t="n"/>
      <c r="V512" s="25">
        <f>TODAY()</f>
        <v/>
      </c>
    </row>
    <row r="513">
      <c r="A513" s="20" t="inlineStr">
        <is>
          <t>EV-500</t>
        </is>
      </c>
      <c r="B513" s="21" t="n"/>
      <c r="C513" s="21" t="n"/>
      <c r="D513" s="21" t="n"/>
      <c r="E513" s="21" t="n"/>
      <c r="F513" s="21" t="n"/>
      <c r="G513" s="21" t="n"/>
      <c r="H513" s="21" t="n"/>
      <c r="I513" s="21" t="n"/>
      <c r="J513" s="21" t="n"/>
      <c r="K513" s="21" t="n"/>
      <c r="L513" s="21" t="n"/>
      <c r="M513" s="21" t="n"/>
      <c r="N513" s="21" t="n"/>
      <c r="O513" s="25">
        <f>IF(OR(ISBLANK(I513),ISBLANK(N513)),"",EDATE(I513,IF(N513="1 year",12,IF(N513="3 years",36,IF(N513="5 years",60,IF(N513="7 years",84,600))))))</f>
        <v/>
      </c>
      <c r="P513" s="21" t="n"/>
      <c r="Q513" s="21" t="n"/>
      <c r="R513" s="21" t="n"/>
      <c r="S513" s="21" t="n"/>
      <c r="T513" s="21" t="n"/>
      <c r="U513" s="21" t="n"/>
      <c r="V513" s="25">
        <f>TODAY()</f>
        <v/>
      </c>
    </row>
  </sheetData>
  <mergeCells count="2">
    <mergeCell ref="A1:V1"/>
    <mergeCell ref="A12:V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showDropDown="0" showInputMessage="0" showErrorMessage="0" allowBlank="0" type="list">
      <formula1>"ISMS-IMP-A.8.24.1,ISMS-IMP-A.8.24.2,ISMS-IMP-A.8.24.3,ISMS-IMP-A.8.24.4"</formula1>
    </dataValidation>
    <dataValidation sqref="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showDropDown="0" showInputMessage="0" showErrorMessage="0" allowBlank="0" type="list">
      <formula1>"Configuration File,Screenshot,Policy Document,Audit Log,Test Result,Scan Report,Certificate,Procedure Document,Training Record,Meeting Minutes,Other"</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showDropDown="0" showInputMessage="0" showErrorMessage="0" allowBlank="0" type="list">
      <formula1>"Verified,Pending Verification,Not Verified,Requires Update,Expired"</formula1>
    </dataValidation>
    <dataValidation sqref="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showDropDown="0" showInputMessage="0" showErrorMessage="0" allowBlank="0" type="list">
      <formula1>"1 year,3 years,5 years,7 years,Permanent"</formula1>
    </dataValidation>
    <dataValidation sqref="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showDropDown="0" showInputMessage="0" showErrorMessage="0" allowBlank="0" type="list">
      <formula1>"Public,Internal,Confidential,Restricted"</formula1>
    </dataValidation>
    <dataValidation sqref="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showDropDown="0" showInputMessage="0" showErrorMessage="0" allowBlank="0" type="list">
      <formula1>"Shared Drive,SharePoint,Document Management System,Physical Storage,Cloud Storage"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22"/>
  <sheetViews>
    <sheetView workbookViewId="0">
      <pane ySplit="21" topLeftCell="A22" activePane="bottomLeft" state="frozen"/>
      <selection pane="bottomLeft" activeCell="A1" sqref="A1"/>
    </sheetView>
  </sheetViews>
  <sheetFormatPr baseColWidth="8" defaultRowHeight="15"/>
  <cols>
    <col width="12" customWidth="1" min="1" max="1"/>
    <col width="20" customWidth="1" min="2" max="2"/>
    <col width="14" customWidth="1" min="3" max="3"/>
    <col width="40" customWidth="1" min="4" max="4"/>
    <col width="20" customWidth="1" min="5" max="5"/>
    <col width="12" customWidth="1" min="6" max="6"/>
    <col width="16" customWidth="1" min="7" max="7"/>
    <col width="20" customWidth="1" min="8" max="8"/>
    <col width="20" customWidth="1" min="9" max="9"/>
    <col width="14" customWidth="1" min="10" max="10"/>
    <col width="14" customWidth="1" min="11" max="11"/>
    <col width="14" customWidth="1" min="12" max="12"/>
    <col width="10" customWidth="1" min="13" max="13"/>
    <col width="10" customWidth="1" min="14" max="14"/>
    <col width="14" customWidth="1" min="15" max="15"/>
    <col width="30" customWidth="1" min="16" max="16"/>
    <col width="30" customWidth="1" min="17" max="17"/>
    <col width="10" customWidth="1" min="18" max="18"/>
    <col width="14" customWidth="1" min="19" max="19"/>
    <col width="20" customWidth="1" min="20" max="20"/>
    <col width="35" customWidth="1" min="21" max="21"/>
    <col width="14" customWidth="1" min="22" max="22"/>
    <col width="20" customWidth="1" min="23" max="23"/>
    <col width="14" customWidth="1" min="24" max="24"/>
  </cols>
  <sheetData>
    <row r="1" ht="40" customHeight="1">
      <c r="A1" s="1" t="inlineStr">
        <is>
          <t>ACTION ITEMS &amp; FOLLOW-UP TRACKER
Centralized tracking of all outstanding actions</t>
        </is>
      </c>
    </row>
    <row r="3">
      <c r="A3" s="10" t="inlineStr">
        <is>
          <t>Action Summary Dashboard</t>
        </is>
      </c>
    </row>
    <row r="4">
      <c r="A4" s="3" t="inlineStr">
        <is>
          <t>Current Status</t>
        </is>
      </c>
    </row>
    <row r="5">
      <c r="A5" s="7" t="inlineStr">
        <is>
          <t>Status</t>
        </is>
      </c>
      <c r="B5" s="7" t="inlineStr">
        <is>
          <t>Count</t>
        </is>
      </c>
      <c r="C5" s="7" t="inlineStr">
        <is>
          <t>Percentage</t>
        </is>
      </c>
      <c r="D5" s="7" t="inlineStr">
        <is>
          <t>Overdue Count</t>
        </is>
      </c>
    </row>
    <row r="6">
      <c r="A6" s="8" t="inlineStr">
        <is>
          <t>Not Started</t>
        </is>
      </c>
      <c r="B6" s="14">
        <f>COUNTIF(G22:G221,"Not Started")</f>
        <v/>
      </c>
      <c r="C6" s="14">
        <f>IF(B10=0,"0%",B6/B10*100&amp;"%")</f>
        <v/>
      </c>
      <c r="D6" s="14">
        <f>COUNTIFS(G22:G221,"Not Started",K22:K221,"&lt;"&amp;TODAY())</f>
        <v/>
      </c>
    </row>
    <row r="7">
      <c r="A7" s="8" t="inlineStr">
        <is>
          <t>In Progress</t>
        </is>
      </c>
      <c r="B7" s="14">
        <f>COUNTIF(G22:G221,"In Progress")</f>
        <v/>
      </c>
      <c r="C7" s="14">
        <f>IF(B10=0,"0%",B7/B10*100&amp;"%")</f>
        <v/>
      </c>
      <c r="D7" s="14">
        <f>COUNTIFS(G22:G221,"In Progress",K22:K221,"&lt;"&amp;TODAY())</f>
        <v/>
      </c>
    </row>
    <row r="8">
      <c r="A8" s="8" t="inlineStr">
        <is>
          <t>Blocked</t>
        </is>
      </c>
      <c r="B8" s="14">
        <f>COUNTIF(G22:G221,"Blocked")</f>
        <v/>
      </c>
      <c r="C8" s="14">
        <f>IF(B10=0,"0%",B8/B10*100&amp;"%")</f>
        <v/>
      </c>
      <c r="D8" s="14">
        <f>COUNTIFS(G22:G221,"Blocked",K22:K221,"&lt;"&amp;TODAY())</f>
        <v/>
      </c>
    </row>
    <row r="9">
      <c r="A9" s="8" t="inlineStr">
        <is>
          <t>Pending Review</t>
        </is>
      </c>
      <c r="B9" s="14">
        <f>COUNTIF(G22:G221,"Pending Review")</f>
        <v/>
      </c>
      <c r="C9" s="14">
        <f>IF(B10=0,"0%",B9/B10*100&amp;"%")</f>
        <v/>
      </c>
      <c r="D9" s="14">
        <f>COUNTIFS(G22:G221,"Pending Review",K22:K221,"&lt;"&amp;TODAY())</f>
        <v/>
      </c>
    </row>
    <row r="10">
      <c r="A10" s="8" t="inlineStr">
        <is>
          <t>Completed</t>
        </is>
      </c>
      <c r="B10" s="8">
        <f>COUNTIF(G22:G221,"Completed")</f>
        <v/>
      </c>
      <c r="C10" s="8">
        <f>IF(B10=0,"0%",B10/B10*100&amp;"%")</f>
        <v/>
      </c>
      <c r="D10" s="8" t="inlineStr">
        <is>
          <t>N/A</t>
        </is>
      </c>
    </row>
    <row r="11">
      <c r="A11" s="11" t="inlineStr">
        <is>
          <t>TOTAL</t>
        </is>
      </c>
      <c r="B11" s="11">
        <f>SUM(B6:B10)</f>
        <v/>
      </c>
      <c r="C11" s="11" t="inlineStr">
        <is>
          <t>100%</t>
        </is>
      </c>
      <c r="D11" s="11">
        <f>SUM(D6:D10)</f>
        <v/>
      </c>
    </row>
    <row r="13">
      <c r="A13" s="3" t="inlineStr">
        <is>
          <t>By Priority</t>
        </is>
      </c>
    </row>
    <row r="14">
      <c r="A14" s="7" t="inlineStr">
        <is>
          <t>Priority</t>
        </is>
      </c>
      <c r="B14" s="7" t="inlineStr">
        <is>
          <t>Open Actions</t>
        </is>
      </c>
      <c r="C14" s="7" t="inlineStr">
        <is>
          <t>Overdue</t>
        </is>
      </c>
      <c r="D14" s="7" t="inlineStr">
        <is>
          <t>% Complete</t>
        </is>
      </c>
      <c r="E14" s="7" t="inlineStr">
        <is>
          <t>Avg Days Open</t>
        </is>
      </c>
    </row>
    <row r="15">
      <c r="A15" s="8" t="inlineStr">
        <is>
          <t>Critical</t>
        </is>
      </c>
      <c r="B15" s="14">
        <f>COUNTIFS(F22:F221,"Critical",G22:G221,"&lt;&gt;Completed")</f>
        <v/>
      </c>
      <c r="C15" s="14">
        <f>COUNTIFS(F22:F221,"Critical",K22:K221,"&lt;"&amp;TODAY(),G22:G221,"&lt;&gt;Completed")</f>
        <v/>
      </c>
      <c r="D15" s="4" t="n"/>
      <c r="E15" s="4" t="n"/>
    </row>
    <row r="16">
      <c r="A16" s="8" t="inlineStr">
        <is>
          <t>High</t>
        </is>
      </c>
      <c r="B16" s="14">
        <f>COUNTIFS(F22:F221,"High",G22:G221,"&lt;&gt;Completed")</f>
        <v/>
      </c>
      <c r="C16" s="14">
        <f>COUNTIFS(F22:F221,"High",K22:K221,"&lt;"&amp;TODAY(),G22:G221,"&lt;&gt;Completed")</f>
        <v/>
      </c>
      <c r="D16" s="4" t="n"/>
      <c r="E16" s="4" t="n"/>
    </row>
    <row r="17">
      <c r="A17" s="8" t="inlineStr">
        <is>
          <t>Medium</t>
        </is>
      </c>
      <c r="B17" s="14">
        <f>COUNTIFS(F22:F221,"Medium",G22:G221,"&lt;&gt;Completed")</f>
        <v/>
      </c>
      <c r="C17" s="14">
        <f>COUNTIFS(F22:F221,"Medium",K22:K221,"&lt;"&amp;TODAY(),G22:G221,"&lt;&gt;Completed")</f>
        <v/>
      </c>
      <c r="D17" s="4" t="n"/>
      <c r="E17" s="4" t="n"/>
    </row>
    <row r="18">
      <c r="A18" s="8" t="inlineStr">
        <is>
          <t>Low</t>
        </is>
      </c>
      <c r="B18" s="14">
        <f>COUNTIFS(F22:F221,"Low",G22:G221,"&lt;&gt;Completed")</f>
        <v/>
      </c>
      <c r="C18" s="14">
        <f>COUNTIFS(F22:F221,"Low",K22:K221,"&lt;"&amp;TODAY(),G22:G221,"&lt;&gt;Completed")</f>
        <v/>
      </c>
      <c r="D18" s="4" t="n"/>
      <c r="E18" s="4" t="n"/>
    </row>
    <row r="21">
      <c r="A21" s="10" t="inlineStr">
        <is>
          <t>DETAILED ACTION REGISTER</t>
        </is>
      </c>
    </row>
    <row r="22">
      <c r="A22" s="7" t="inlineStr">
        <is>
          <t>Action ID</t>
        </is>
      </c>
      <c r="B22" s="7" t="inlineStr">
        <is>
          <t>Source</t>
        </is>
      </c>
      <c r="C22" s="7" t="inlineStr">
        <is>
          <t>Source ID</t>
        </is>
      </c>
      <c r="D22" s="7" t="inlineStr">
        <is>
          <t>Action Description</t>
        </is>
      </c>
      <c r="E22" s="7" t="inlineStr">
        <is>
          <t>Action Type</t>
        </is>
      </c>
      <c r="F22" s="7" t="inlineStr">
        <is>
          <t>Priority</t>
        </is>
      </c>
      <c r="G22" s="7" t="inlineStr">
        <is>
          <t>Status</t>
        </is>
      </c>
      <c r="H22" s="7" t="inlineStr">
        <is>
          <t>Owner</t>
        </is>
      </c>
      <c r="I22" s="7" t="inlineStr">
        <is>
          <t>Supporting Team</t>
        </is>
      </c>
      <c r="J22" s="7" t="inlineStr">
        <is>
          <t>Created Date</t>
        </is>
      </c>
      <c r="K22" s="7" t="inlineStr">
        <is>
          <t>Due Date</t>
        </is>
      </c>
      <c r="L22" s="7" t="inlineStr">
        <is>
          <t>Completed Date</t>
        </is>
      </c>
      <c r="M22" s="7" t="inlineStr">
        <is>
          <t>Days Open</t>
        </is>
      </c>
      <c r="N22" s="7" t="inlineStr">
        <is>
          <t>Days Remaining</t>
        </is>
      </c>
      <c r="O22" s="7" t="inlineStr">
        <is>
          <t>On Time Status</t>
        </is>
      </c>
      <c r="P22" s="7" t="inlineStr">
        <is>
          <t>Blocking Issue</t>
        </is>
      </c>
      <c r="Q22" s="7" t="inlineStr">
        <is>
          <t>Dependencies</t>
        </is>
      </c>
      <c r="R22" s="7" t="inlineStr">
        <is>
          <t>Progress %</t>
        </is>
      </c>
      <c r="S22" s="7" t="inlineStr">
        <is>
          <t>Last Update Date</t>
        </is>
      </c>
      <c r="T22" s="7" t="inlineStr">
        <is>
          <t>Last Update By</t>
        </is>
      </c>
      <c r="U22" s="7" t="inlineStr">
        <is>
          <t>Update Notes</t>
        </is>
      </c>
      <c r="V22" s="7" t="inlineStr">
        <is>
          <t>Escalation Required</t>
        </is>
      </c>
      <c r="W22" s="7" t="inlineStr">
        <is>
          <t>Escalated To</t>
        </is>
      </c>
      <c r="X22" s="7" t="inlineStr">
        <is>
          <t>Escalation Date</t>
        </is>
      </c>
    </row>
    <row r="23">
      <c r="A23" s="20" t="inlineStr">
        <is>
          <t>ACT-001</t>
        </is>
      </c>
      <c r="B23" s="21" t="n"/>
      <c r="C23" s="21" t="n"/>
      <c r="D23" s="21" t="n"/>
      <c r="E23" s="21" t="n"/>
      <c r="F23" s="21" t="n"/>
      <c r="G23" s="21" t="n"/>
      <c r="H23" s="21" t="n"/>
      <c r="I23" s="21" t="n"/>
      <c r="J23" s="21" t="n"/>
      <c r="K23" s="21" t="n"/>
      <c r="L23" s="21" t="n"/>
      <c r="M23" s="25">
        <f>IF(G23="Completed",IF(ISBLANK(L23),"",L23-J23),IF(ISBLANK(J23),"",TODAY()-J23))</f>
        <v/>
      </c>
      <c r="N23" s="25">
        <f>IF(G23="Completed",0,IF(ISBLANK(K23),"",K23-TODAY()))</f>
        <v/>
      </c>
      <c r="O23" s="25">
        <f>IF(G23="Completed","Completed",IF(ISBLANK(N23),"",IF(N23&lt;0,"Overdue",IF(N23&lt;7,"At Risk","On Time"))))</f>
        <v/>
      </c>
      <c r="P23" s="21" t="n"/>
      <c r="Q23" s="21" t="n"/>
      <c r="R23" s="24" t="n"/>
      <c r="S23" s="21" t="n"/>
      <c r="T23" s="21" t="n"/>
      <c r="U23" s="21" t="n"/>
      <c r="V23" s="21" t="n"/>
      <c r="W23" s="21" t="n"/>
      <c r="X23" s="21" t="n"/>
    </row>
    <row r="24">
      <c r="A24" s="20" t="inlineStr">
        <is>
          <t>ACT-002</t>
        </is>
      </c>
      <c r="B24" s="21" t="n"/>
      <c r="C24" s="21" t="n"/>
      <c r="D24" s="21" t="n"/>
      <c r="E24" s="21" t="n"/>
      <c r="F24" s="21" t="n"/>
      <c r="G24" s="21" t="n"/>
      <c r="H24" s="21" t="n"/>
      <c r="I24" s="21" t="n"/>
      <c r="J24" s="21" t="n"/>
      <c r="K24" s="21" t="n"/>
      <c r="L24" s="21" t="n"/>
      <c r="M24" s="25">
        <f>IF(G24="Completed",IF(ISBLANK(L24),"",L24-J24),IF(ISBLANK(J24),"",TODAY()-J24))</f>
        <v/>
      </c>
      <c r="N24" s="25">
        <f>IF(G24="Completed",0,IF(ISBLANK(K24),"",K24-TODAY()))</f>
        <v/>
      </c>
      <c r="O24" s="25">
        <f>IF(G24="Completed","Completed",IF(ISBLANK(N24),"",IF(N24&lt;0,"Overdue",IF(N24&lt;7,"At Risk","On Time"))))</f>
        <v/>
      </c>
      <c r="P24" s="21" t="n"/>
      <c r="Q24" s="21" t="n"/>
      <c r="R24" s="24" t="n"/>
      <c r="S24" s="21" t="n"/>
      <c r="T24" s="21" t="n"/>
      <c r="U24" s="21" t="n"/>
      <c r="V24" s="21" t="n"/>
      <c r="W24" s="21" t="n"/>
      <c r="X24" s="21" t="n"/>
    </row>
    <row r="25">
      <c r="A25" s="20" t="inlineStr">
        <is>
          <t>ACT-003</t>
        </is>
      </c>
      <c r="B25" s="21" t="n"/>
      <c r="C25" s="21" t="n"/>
      <c r="D25" s="21" t="n"/>
      <c r="E25" s="21" t="n"/>
      <c r="F25" s="21" t="n"/>
      <c r="G25" s="21" t="n"/>
      <c r="H25" s="21" t="n"/>
      <c r="I25" s="21" t="n"/>
      <c r="J25" s="21" t="n"/>
      <c r="K25" s="21" t="n"/>
      <c r="L25" s="21" t="n"/>
      <c r="M25" s="25">
        <f>IF(G25="Completed",IF(ISBLANK(L25),"",L25-J25),IF(ISBLANK(J25),"",TODAY()-J25))</f>
        <v/>
      </c>
      <c r="N25" s="25">
        <f>IF(G25="Completed",0,IF(ISBLANK(K25),"",K25-TODAY()))</f>
        <v/>
      </c>
      <c r="O25" s="25">
        <f>IF(G25="Completed","Completed",IF(ISBLANK(N25),"",IF(N25&lt;0,"Overdue",IF(N25&lt;7,"At Risk","On Time"))))</f>
        <v/>
      </c>
      <c r="P25" s="21" t="n"/>
      <c r="Q25" s="21" t="n"/>
      <c r="R25" s="24" t="n"/>
      <c r="S25" s="21" t="n"/>
      <c r="T25" s="21" t="n"/>
      <c r="U25" s="21" t="n"/>
      <c r="V25" s="21" t="n"/>
      <c r="W25" s="21" t="n"/>
      <c r="X25" s="21" t="n"/>
    </row>
    <row r="26">
      <c r="A26" s="20" t="inlineStr">
        <is>
          <t>ACT-004</t>
        </is>
      </c>
      <c r="B26" s="21" t="n"/>
      <c r="C26" s="21" t="n"/>
      <c r="D26" s="21" t="n"/>
      <c r="E26" s="21" t="n"/>
      <c r="F26" s="21" t="n"/>
      <c r="G26" s="21" t="n"/>
      <c r="H26" s="21" t="n"/>
      <c r="I26" s="21" t="n"/>
      <c r="J26" s="21" t="n"/>
      <c r="K26" s="21" t="n"/>
      <c r="L26" s="21" t="n"/>
      <c r="M26" s="25">
        <f>IF(G26="Completed",IF(ISBLANK(L26),"",L26-J26),IF(ISBLANK(J26),"",TODAY()-J26))</f>
        <v/>
      </c>
      <c r="N26" s="25">
        <f>IF(G26="Completed",0,IF(ISBLANK(K26),"",K26-TODAY()))</f>
        <v/>
      </c>
      <c r="O26" s="25">
        <f>IF(G26="Completed","Completed",IF(ISBLANK(N26),"",IF(N26&lt;0,"Overdue",IF(N26&lt;7,"At Risk","On Time"))))</f>
        <v/>
      </c>
      <c r="P26" s="21" t="n"/>
      <c r="Q26" s="21" t="n"/>
      <c r="R26" s="24" t="n"/>
      <c r="S26" s="21" t="n"/>
      <c r="T26" s="21" t="n"/>
      <c r="U26" s="21" t="n"/>
      <c r="V26" s="21" t="n"/>
      <c r="W26" s="21" t="n"/>
      <c r="X26" s="21" t="n"/>
    </row>
    <row r="27">
      <c r="A27" s="20" t="inlineStr">
        <is>
          <t>ACT-005</t>
        </is>
      </c>
      <c r="B27" s="21" t="n"/>
      <c r="C27" s="21" t="n"/>
      <c r="D27" s="21" t="n"/>
      <c r="E27" s="21" t="n"/>
      <c r="F27" s="21" t="n"/>
      <c r="G27" s="21" t="n"/>
      <c r="H27" s="21" t="n"/>
      <c r="I27" s="21" t="n"/>
      <c r="J27" s="21" t="n"/>
      <c r="K27" s="21" t="n"/>
      <c r="L27" s="21" t="n"/>
      <c r="M27" s="25">
        <f>IF(G27="Completed",IF(ISBLANK(L27),"",L27-J27),IF(ISBLANK(J27),"",TODAY()-J27))</f>
        <v/>
      </c>
      <c r="N27" s="25">
        <f>IF(G27="Completed",0,IF(ISBLANK(K27),"",K27-TODAY()))</f>
        <v/>
      </c>
      <c r="O27" s="25">
        <f>IF(G27="Completed","Completed",IF(ISBLANK(N27),"",IF(N27&lt;0,"Overdue",IF(N27&lt;7,"At Risk","On Time"))))</f>
        <v/>
      </c>
      <c r="P27" s="21" t="n"/>
      <c r="Q27" s="21" t="n"/>
      <c r="R27" s="24" t="n"/>
      <c r="S27" s="21" t="n"/>
      <c r="T27" s="21" t="n"/>
      <c r="U27" s="21" t="n"/>
      <c r="V27" s="21" t="n"/>
      <c r="W27" s="21" t="n"/>
      <c r="X27" s="21" t="n"/>
    </row>
    <row r="28">
      <c r="A28" s="20" t="inlineStr">
        <is>
          <t>ACT-006</t>
        </is>
      </c>
      <c r="B28" s="21" t="n"/>
      <c r="C28" s="21" t="n"/>
      <c r="D28" s="21" t="n"/>
      <c r="E28" s="21" t="n"/>
      <c r="F28" s="21" t="n"/>
      <c r="G28" s="21" t="n"/>
      <c r="H28" s="21" t="n"/>
      <c r="I28" s="21" t="n"/>
      <c r="J28" s="21" t="n"/>
      <c r="K28" s="21" t="n"/>
      <c r="L28" s="21" t="n"/>
      <c r="M28" s="25">
        <f>IF(G28="Completed",IF(ISBLANK(L28),"",L28-J28),IF(ISBLANK(J28),"",TODAY()-J28))</f>
        <v/>
      </c>
      <c r="N28" s="25">
        <f>IF(G28="Completed",0,IF(ISBLANK(K28),"",K28-TODAY()))</f>
        <v/>
      </c>
      <c r="O28" s="25">
        <f>IF(G28="Completed","Completed",IF(ISBLANK(N28),"",IF(N28&lt;0,"Overdue",IF(N28&lt;7,"At Risk","On Time"))))</f>
        <v/>
      </c>
      <c r="P28" s="21" t="n"/>
      <c r="Q28" s="21" t="n"/>
      <c r="R28" s="24" t="n"/>
      <c r="S28" s="21" t="n"/>
      <c r="T28" s="21" t="n"/>
      <c r="U28" s="21" t="n"/>
      <c r="V28" s="21" t="n"/>
      <c r="W28" s="21" t="n"/>
      <c r="X28" s="21" t="n"/>
    </row>
    <row r="29">
      <c r="A29" s="20" t="inlineStr">
        <is>
          <t>ACT-007</t>
        </is>
      </c>
      <c r="B29" s="21" t="n"/>
      <c r="C29" s="21" t="n"/>
      <c r="D29" s="21" t="n"/>
      <c r="E29" s="21" t="n"/>
      <c r="F29" s="21" t="n"/>
      <c r="G29" s="21" t="n"/>
      <c r="H29" s="21" t="n"/>
      <c r="I29" s="21" t="n"/>
      <c r="J29" s="21" t="n"/>
      <c r="K29" s="21" t="n"/>
      <c r="L29" s="21" t="n"/>
      <c r="M29" s="25">
        <f>IF(G29="Completed",IF(ISBLANK(L29),"",L29-J29),IF(ISBLANK(J29),"",TODAY()-J29))</f>
        <v/>
      </c>
      <c r="N29" s="25">
        <f>IF(G29="Completed",0,IF(ISBLANK(K29),"",K29-TODAY()))</f>
        <v/>
      </c>
      <c r="O29" s="25">
        <f>IF(G29="Completed","Completed",IF(ISBLANK(N29),"",IF(N29&lt;0,"Overdue",IF(N29&lt;7,"At Risk","On Time"))))</f>
        <v/>
      </c>
      <c r="P29" s="21" t="n"/>
      <c r="Q29" s="21" t="n"/>
      <c r="R29" s="24" t="n"/>
      <c r="S29" s="21" t="n"/>
      <c r="T29" s="21" t="n"/>
      <c r="U29" s="21" t="n"/>
      <c r="V29" s="21" t="n"/>
      <c r="W29" s="21" t="n"/>
      <c r="X29" s="21" t="n"/>
    </row>
    <row r="30">
      <c r="A30" s="20" t="inlineStr">
        <is>
          <t>ACT-008</t>
        </is>
      </c>
      <c r="B30" s="21" t="n"/>
      <c r="C30" s="21" t="n"/>
      <c r="D30" s="21" t="n"/>
      <c r="E30" s="21" t="n"/>
      <c r="F30" s="21" t="n"/>
      <c r="G30" s="21" t="n"/>
      <c r="H30" s="21" t="n"/>
      <c r="I30" s="21" t="n"/>
      <c r="J30" s="21" t="n"/>
      <c r="K30" s="21" t="n"/>
      <c r="L30" s="21" t="n"/>
      <c r="M30" s="25">
        <f>IF(G30="Completed",IF(ISBLANK(L30),"",L30-J30),IF(ISBLANK(J30),"",TODAY()-J30))</f>
        <v/>
      </c>
      <c r="N30" s="25">
        <f>IF(G30="Completed",0,IF(ISBLANK(K30),"",K30-TODAY()))</f>
        <v/>
      </c>
      <c r="O30" s="25">
        <f>IF(G30="Completed","Completed",IF(ISBLANK(N30),"",IF(N30&lt;0,"Overdue",IF(N30&lt;7,"At Risk","On Time"))))</f>
        <v/>
      </c>
      <c r="P30" s="21" t="n"/>
      <c r="Q30" s="21" t="n"/>
      <c r="R30" s="24" t="n"/>
      <c r="S30" s="21" t="n"/>
      <c r="T30" s="21" t="n"/>
      <c r="U30" s="21" t="n"/>
      <c r="V30" s="21" t="n"/>
      <c r="W30" s="21" t="n"/>
      <c r="X30" s="21" t="n"/>
    </row>
    <row r="31">
      <c r="A31" s="20" t="inlineStr">
        <is>
          <t>ACT-009</t>
        </is>
      </c>
      <c r="B31" s="21" t="n"/>
      <c r="C31" s="21" t="n"/>
      <c r="D31" s="21" t="n"/>
      <c r="E31" s="21" t="n"/>
      <c r="F31" s="21" t="n"/>
      <c r="G31" s="21" t="n"/>
      <c r="H31" s="21" t="n"/>
      <c r="I31" s="21" t="n"/>
      <c r="J31" s="21" t="n"/>
      <c r="K31" s="21" t="n"/>
      <c r="L31" s="21" t="n"/>
      <c r="M31" s="25">
        <f>IF(G31="Completed",IF(ISBLANK(L31),"",L31-J31),IF(ISBLANK(J31),"",TODAY()-J31))</f>
        <v/>
      </c>
      <c r="N31" s="25">
        <f>IF(G31="Completed",0,IF(ISBLANK(K31),"",K31-TODAY()))</f>
        <v/>
      </c>
      <c r="O31" s="25">
        <f>IF(G31="Completed","Completed",IF(ISBLANK(N31),"",IF(N31&lt;0,"Overdue",IF(N31&lt;7,"At Risk","On Time"))))</f>
        <v/>
      </c>
      <c r="P31" s="21" t="n"/>
      <c r="Q31" s="21" t="n"/>
      <c r="R31" s="24" t="n"/>
      <c r="S31" s="21" t="n"/>
      <c r="T31" s="21" t="n"/>
      <c r="U31" s="21" t="n"/>
      <c r="V31" s="21" t="n"/>
      <c r="W31" s="21" t="n"/>
      <c r="X31" s="21" t="n"/>
    </row>
    <row r="32">
      <c r="A32" s="20" t="inlineStr">
        <is>
          <t>ACT-010</t>
        </is>
      </c>
      <c r="B32" s="21" t="n"/>
      <c r="C32" s="21" t="n"/>
      <c r="D32" s="21" t="n"/>
      <c r="E32" s="21" t="n"/>
      <c r="F32" s="21" t="n"/>
      <c r="G32" s="21" t="n"/>
      <c r="H32" s="21" t="n"/>
      <c r="I32" s="21" t="n"/>
      <c r="J32" s="21" t="n"/>
      <c r="K32" s="21" t="n"/>
      <c r="L32" s="21" t="n"/>
      <c r="M32" s="25">
        <f>IF(G32="Completed",IF(ISBLANK(L32),"",L32-J32),IF(ISBLANK(J32),"",TODAY()-J32))</f>
        <v/>
      </c>
      <c r="N32" s="25">
        <f>IF(G32="Completed",0,IF(ISBLANK(K32),"",K32-TODAY()))</f>
        <v/>
      </c>
      <c r="O32" s="25">
        <f>IF(G32="Completed","Completed",IF(ISBLANK(N32),"",IF(N32&lt;0,"Overdue",IF(N32&lt;7,"At Risk","On Time"))))</f>
        <v/>
      </c>
      <c r="P32" s="21" t="n"/>
      <c r="Q32" s="21" t="n"/>
      <c r="R32" s="24" t="n"/>
      <c r="S32" s="21" t="n"/>
      <c r="T32" s="21" t="n"/>
      <c r="U32" s="21" t="n"/>
      <c r="V32" s="21" t="n"/>
      <c r="W32" s="21" t="n"/>
      <c r="X32" s="21" t="n"/>
    </row>
    <row r="33">
      <c r="A33" s="20" t="inlineStr">
        <is>
          <t>ACT-011</t>
        </is>
      </c>
      <c r="B33" s="21" t="n"/>
      <c r="C33" s="21" t="n"/>
      <c r="D33" s="21" t="n"/>
      <c r="E33" s="21" t="n"/>
      <c r="F33" s="21" t="n"/>
      <c r="G33" s="21" t="n"/>
      <c r="H33" s="21" t="n"/>
      <c r="I33" s="21" t="n"/>
      <c r="J33" s="21" t="n"/>
      <c r="K33" s="21" t="n"/>
      <c r="L33" s="21" t="n"/>
      <c r="M33" s="25">
        <f>IF(G33="Completed",IF(ISBLANK(L33),"",L33-J33),IF(ISBLANK(J33),"",TODAY()-J33))</f>
        <v/>
      </c>
      <c r="N33" s="25">
        <f>IF(G33="Completed",0,IF(ISBLANK(K33),"",K33-TODAY()))</f>
        <v/>
      </c>
      <c r="O33" s="25">
        <f>IF(G33="Completed","Completed",IF(ISBLANK(N33),"",IF(N33&lt;0,"Overdue",IF(N33&lt;7,"At Risk","On Time"))))</f>
        <v/>
      </c>
      <c r="P33" s="21" t="n"/>
      <c r="Q33" s="21" t="n"/>
      <c r="R33" s="24" t="n"/>
      <c r="S33" s="21" t="n"/>
      <c r="T33" s="21" t="n"/>
      <c r="U33" s="21" t="n"/>
      <c r="V33" s="21" t="n"/>
      <c r="W33" s="21" t="n"/>
      <c r="X33" s="21" t="n"/>
    </row>
    <row r="34">
      <c r="A34" s="20" t="inlineStr">
        <is>
          <t>ACT-012</t>
        </is>
      </c>
      <c r="B34" s="21" t="n"/>
      <c r="C34" s="21" t="n"/>
      <c r="D34" s="21" t="n"/>
      <c r="E34" s="21" t="n"/>
      <c r="F34" s="21" t="n"/>
      <c r="G34" s="21" t="n"/>
      <c r="H34" s="21" t="n"/>
      <c r="I34" s="21" t="n"/>
      <c r="J34" s="21" t="n"/>
      <c r="K34" s="21" t="n"/>
      <c r="L34" s="21" t="n"/>
      <c r="M34" s="25">
        <f>IF(G34="Completed",IF(ISBLANK(L34),"",L34-J34),IF(ISBLANK(J34),"",TODAY()-J34))</f>
        <v/>
      </c>
      <c r="N34" s="25">
        <f>IF(G34="Completed",0,IF(ISBLANK(K34),"",K34-TODAY()))</f>
        <v/>
      </c>
      <c r="O34" s="25">
        <f>IF(G34="Completed","Completed",IF(ISBLANK(N34),"",IF(N34&lt;0,"Overdue",IF(N34&lt;7,"At Risk","On Time"))))</f>
        <v/>
      </c>
      <c r="P34" s="21" t="n"/>
      <c r="Q34" s="21" t="n"/>
      <c r="R34" s="24" t="n"/>
      <c r="S34" s="21" t="n"/>
      <c r="T34" s="21" t="n"/>
      <c r="U34" s="21" t="n"/>
      <c r="V34" s="21" t="n"/>
      <c r="W34" s="21" t="n"/>
      <c r="X34" s="21" t="n"/>
    </row>
    <row r="35">
      <c r="A35" s="20" t="inlineStr">
        <is>
          <t>ACT-013</t>
        </is>
      </c>
      <c r="B35" s="21" t="n"/>
      <c r="C35" s="21" t="n"/>
      <c r="D35" s="21" t="n"/>
      <c r="E35" s="21" t="n"/>
      <c r="F35" s="21" t="n"/>
      <c r="G35" s="21" t="n"/>
      <c r="H35" s="21" t="n"/>
      <c r="I35" s="21" t="n"/>
      <c r="J35" s="21" t="n"/>
      <c r="K35" s="21" t="n"/>
      <c r="L35" s="21" t="n"/>
      <c r="M35" s="25">
        <f>IF(G35="Completed",IF(ISBLANK(L35),"",L35-J35),IF(ISBLANK(J35),"",TODAY()-J35))</f>
        <v/>
      </c>
      <c r="N35" s="25">
        <f>IF(G35="Completed",0,IF(ISBLANK(K35),"",K35-TODAY()))</f>
        <v/>
      </c>
      <c r="O35" s="25">
        <f>IF(G35="Completed","Completed",IF(ISBLANK(N35),"",IF(N35&lt;0,"Overdue",IF(N35&lt;7,"At Risk","On Time"))))</f>
        <v/>
      </c>
      <c r="P35" s="21" t="n"/>
      <c r="Q35" s="21" t="n"/>
      <c r="R35" s="24" t="n"/>
      <c r="S35" s="21" t="n"/>
      <c r="T35" s="21" t="n"/>
      <c r="U35" s="21" t="n"/>
      <c r="V35" s="21" t="n"/>
      <c r="W35" s="21" t="n"/>
      <c r="X35" s="21" t="n"/>
    </row>
    <row r="36">
      <c r="A36" s="20" t="inlineStr">
        <is>
          <t>ACT-014</t>
        </is>
      </c>
      <c r="B36" s="21" t="n"/>
      <c r="C36" s="21" t="n"/>
      <c r="D36" s="21" t="n"/>
      <c r="E36" s="21" t="n"/>
      <c r="F36" s="21" t="n"/>
      <c r="G36" s="21" t="n"/>
      <c r="H36" s="21" t="n"/>
      <c r="I36" s="21" t="n"/>
      <c r="J36" s="21" t="n"/>
      <c r="K36" s="21" t="n"/>
      <c r="L36" s="21" t="n"/>
      <c r="M36" s="25">
        <f>IF(G36="Completed",IF(ISBLANK(L36),"",L36-J36),IF(ISBLANK(J36),"",TODAY()-J36))</f>
        <v/>
      </c>
      <c r="N36" s="25">
        <f>IF(G36="Completed",0,IF(ISBLANK(K36),"",K36-TODAY()))</f>
        <v/>
      </c>
      <c r="O36" s="25">
        <f>IF(G36="Completed","Completed",IF(ISBLANK(N36),"",IF(N36&lt;0,"Overdue",IF(N36&lt;7,"At Risk","On Time"))))</f>
        <v/>
      </c>
      <c r="P36" s="21" t="n"/>
      <c r="Q36" s="21" t="n"/>
      <c r="R36" s="24" t="n"/>
      <c r="S36" s="21" t="n"/>
      <c r="T36" s="21" t="n"/>
      <c r="U36" s="21" t="n"/>
      <c r="V36" s="21" t="n"/>
      <c r="W36" s="21" t="n"/>
      <c r="X36" s="21" t="n"/>
    </row>
    <row r="37">
      <c r="A37" s="20" t="inlineStr">
        <is>
          <t>ACT-015</t>
        </is>
      </c>
      <c r="B37" s="21" t="n"/>
      <c r="C37" s="21" t="n"/>
      <c r="D37" s="21" t="n"/>
      <c r="E37" s="21" t="n"/>
      <c r="F37" s="21" t="n"/>
      <c r="G37" s="21" t="n"/>
      <c r="H37" s="21" t="n"/>
      <c r="I37" s="21" t="n"/>
      <c r="J37" s="21" t="n"/>
      <c r="K37" s="21" t="n"/>
      <c r="L37" s="21" t="n"/>
      <c r="M37" s="25">
        <f>IF(G37="Completed",IF(ISBLANK(L37),"",L37-J37),IF(ISBLANK(J37),"",TODAY()-J37))</f>
        <v/>
      </c>
      <c r="N37" s="25">
        <f>IF(G37="Completed",0,IF(ISBLANK(K37),"",K37-TODAY()))</f>
        <v/>
      </c>
      <c r="O37" s="25">
        <f>IF(G37="Completed","Completed",IF(ISBLANK(N37),"",IF(N37&lt;0,"Overdue",IF(N37&lt;7,"At Risk","On Time"))))</f>
        <v/>
      </c>
      <c r="P37" s="21" t="n"/>
      <c r="Q37" s="21" t="n"/>
      <c r="R37" s="24" t="n"/>
      <c r="S37" s="21" t="n"/>
      <c r="T37" s="21" t="n"/>
      <c r="U37" s="21" t="n"/>
      <c r="V37" s="21" t="n"/>
      <c r="W37" s="21" t="n"/>
      <c r="X37" s="21" t="n"/>
    </row>
    <row r="38">
      <c r="A38" s="20" t="inlineStr">
        <is>
          <t>ACT-016</t>
        </is>
      </c>
      <c r="B38" s="21" t="n"/>
      <c r="C38" s="21" t="n"/>
      <c r="D38" s="21" t="n"/>
      <c r="E38" s="21" t="n"/>
      <c r="F38" s="21" t="n"/>
      <c r="G38" s="21" t="n"/>
      <c r="H38" s="21" t="n"/>
      <c r="I38" s="21" t="n"/>
      <c r="J38" s="21" t="n"/>
      <c r="K38" s="21" t="n"/>
      <c r="L38" s="21" t="n"/>
      <c r="M38" s="25">
        <f>IF(G38="Completed",IF(ISBLANK(L38),"",L38-J38),IF(ISBLANK(J38),"",TODAY()-J38))</f>
        <v/>
      </c>
      <c r="N38" s="25">
        <f>IF(G38="Completed",0,IF(ISBLANK(K38),"",K38-TODAY()))</f>
        <v/>
      </c>
      <c r="O38" s="25">
        <f>IF(G38="Completed","Completed",IF(ISBLANK(N38),"",IF(N38&lt;0,"Overdue",IF(N38&lt;7,"At Risk","On Time"))))</f>
        <v/>
      </c>
      <c r="P38" s="21" t="n"/>
      <c r="Q38" s="21" t="n"/>
      <c r="R38" s="24" t="n"/>
      <c r="S38" s="21" t="n"/>
      <c r="T38" s="21" t="n"/>
      <c r="U38" s="21" t="n"/>
      <c r="V38" s="21" t="n"/>
      <c r="W38" s="21" t="n"/>
      <c r="X38" s="21" t="n"/>
    </row>
    <row r="39">
      <c r="A39" s="20" t="inlineStr">
        <is>
          <t>ACT-017</t>
        </is>
      </c>
      <c r="B39" s="21" t="n"/>
      <c r="C39" s="21" t="n"/>
      <c r="D39" s="21" t="n"/>
      <c r="E39" s="21" t="n"/>
      <c r="F39" s="21" t="n"/>
      <c r="G39" s="21" t="n"/>
      <c r="H39" s="21" t="n"/>
      <c r="I39" s="21" t="n"/>
      <c r="J39" s="21" t="n"/>
      <c r="K39" s="21" t="n"/>
      <c r="L39" s="21" t="n"/>
      <c r="M39" s="25">
        <f>IF(G39="Completed",IF(ISBLANK(L39),"",L39-J39),IF(ISBLANK(J39),"",TODAY()-J39))</f>
        <v/>
      </c>
      <c r="N39" s="25">
        <f>IF(G39="Completed",0,IF(ISBLANK(K39),"",K39-TODAY()))</f>
        <v/>
      </c>
      <c r="O39" s="25">
        <f>IF(G39="Completed","Completed",IF(ISBLANK(N39),"",IF(N39&lt;0,"Overdue",IF(N39&lt;7,"At Risk","On Time"))))</f>
        <v/>
      </c>
      <c r="P39" s="21" t="n"/>
      <c r="Q39" s="21" t="n"/>
      <c r="R39" s="24" t="n"/>
      <c r="S39" s="21" t="n"/>
      <c r="T39" s="21" t="n"/>
      <c r="U39" s="21" t="n"/>
      <c r="V39" s="21" t="n"/>
      <c r="W39" s="21" t="n"/>
      <c r="X39" s="21" t="n"/>
    </row>
    <row r="40">
      <c r="A40" s="20" t="inlineStr">
        <is>
          <t>ACT-018</t>
        </is>
      </c>
      <c r="B40" s="21" t="n"/>
      <c r="C40" s="21" t="n"/>
      <c r="D40" s="21" t="n"/>
      <c r="E40" s="21" t="n"/>
      <c r="F40" s="21" t="n"/>
      <c r="G40" s="21" t="n"/>
      <c r="H40" s="21" t="n"/>
      <c r="I40" s="21" t="n"/>
      <c r="J40" s="21" t="n"/>
      <c r="K40" s="21" t="n"/>
      <c r="L40" s="21" t="n"/>
      <c r="M40" s="25">
        <f>IF(G40="Completed",IF(ISBLANK(L40),"",L40-J40),IF(ISBLANK(J40),"",TODAY()-J40))</f>
        <v/>
      </c>
      <c r="N40" s="25">
        <f>IF(G40="Completed",0,IF(ISBLANK(K40),"",K40-TODAY()))</f>
        <v/>
      </c>
      <c r="O40" s="25">
        <f>IF(G40="Completed","Completed",IF(ISBLANK(N40),"",IF(N40&lt;0,"Overdue",IF(N40&lt;7,"At Risk","On Time"))))</f>
        <v/>
      </c>
      <c r="P40" s="21" t="n"/>
      <c r="Q40" s="21" t="n"/>
      <c r="R40" s="24" t="n"/>
      <c r="S40" s="21" t="n"/>
      <c r="T40" s="21" t="n"/>
      <c r="U40" s="21" t="n"/>
      <c r="V40" s="21" t="n"/>
      <c r="W40" s="21" t="n"/>
      <c r="X40" s="21" t="n"/>
    </row>
    <row r="41">
      <c r="A41" s="20" t="inlineStr">
        <is>
          <t>ACT-019</t>
        </is>
      </c>
      <c r="B41" s="21" t="n"/>
      <c r="C41" s="21" t="n"/>
      <c r="D41" s="21" t="n"/>
      <c r="E41" s="21" t="n"/>
      <c r="F41" s="21" t="n"/>
      <c r="G41" s="21" t="n"/>
      <c r="H41" s="21" t="n"/>
      <c r="I41" s="21" t="n"/>
      <c r="J41" s="21" t="n"/>
      <c r="K41" s="21" t="n"/>
      <c r="L41" s="21" t="n"/>
      <c r="M41" s="25">
        <f>IF(G41="Completed",IF(ISBLANK(L41),"",L41-J41),IF(ISBLANK(J41),"",TODAY()-J41))</f>
        <v/>
      </c>
      <c r="N41" s="25">
        <f>IF(G41="Completed",0,IF(ISBLANK(K41),"",K41-TODAY()))</f>
        <v/>
      </c>
      <c r="O41" s="25">
        <f>IF(G41="Completed","Completed",IF(ISBLANK(N41),"",IF(N41&lt;0,"Overdue",IF(N41&lt;7,"At Risk","On Time"))))</f>
        <v/>
      </c>
      <c r="P41" s="21" t="n"/>
      <c r="Q41" s="21" t="n"/>
      <c r="R41" s="24" t="n"/>
      <c r="S41" s="21" t="n"/>
      <c r="T41" s="21" t="n"/>
      <c r="U41" s="21" t="n"/>
      <c r="V41" s="21" t="n"/>
      <c r="W41" s="21" t="n"/>
      <c r="X41" s="21" t="n"/>
    </row>
    <row r="42">
      <c r="A42" s="20" t="inlineStr">
        <is>
          <t>ACT-020</t>
        </is>
      </c>
      <c r="B42" s="21" t="n"/>
      <c r="C42" s="21" t="n"/>
      <c r="D42" s="21" t="n"/>
      <c r="E42" s="21" t="n"/>
      <c r="F42" s="21" t="n"/>
      <c r="G42" s="21" t="n"/>
      <c r="H42" s="21" t="n"/>
      <c r="I42" s="21" t="n"/>
      <c r="J42" s="21" t="n"/>
      <c r="K42" s="21" t="n"/>
      <c r="L42" s="21" t="n"/>
      <c r="M42" s="25">
        <f>IF(G42="Completed",IF(ISBLANK(L42),"",L42-J42),IF(ISBLANK(J42),"",TODAY()-J42))</f>
        <v/>
      </c>
      <c r="N42" s="25">
        <f>IF(G42="Completed",0,IF(ISBLANK(K42),"",K42-TODAY()))</f>
        <v/>
      </c>
      <c r="O42" s="25">
        <f>IF(G42="Completed","Completed",IF(ISBLANK(N42),"",IF(N42&lt;0,"Overdue",IF(N42&lt;7,"At Risk","On Time"))))</f>
        <v/>
      </c>
      <c r="P42" s="21" t="n"/>
      <c r="Q42" s="21" t="n"/>
      <c r="R42" s="24" t="n"/>
      <c r="S42" s="21" t="n"/>
      <c r="T42" s="21" t="n"/>
      <c r="U42" s="21" t="n"/>
      <c r="V42" s="21" t="n"/>
      <c r="W42" s="21" t="n"/>
      <c r="X42" s="21" t="n"/>
    </row>
    <row r="43">
      <c r="A43" s="20" t="inlineStr">
        <is>
          <t>ACT-021</t>
        </is>
      </c>
      <c r="B43" s="21" t="n"/>
      <c r="C43" s="21" t="n"/>
      <c r="D43" s="21" t="n"/>
      <c r="E43" s="21" t="n"/>
      <c r="F43" s="21" t="n"/>
      <c r="G43" s="21" t="n"/>
      <c r="H43" s="21" t="n"/>
      <c r="I43" s="21" t="n"/>
      <c r="J43" s="21" t="n"/>
      <c r="K43" s="21" t="n"/>
      <c r="L43" s="21" t="n"/>
      <c r="M43" s="25">
        <f>IF(G43="Completed",IF(ISBLANK(L43),"",L43-J43),IF(ISBLANK(J43),"",TODAY()-J43))</f>
        <v/>
      </c>
      <c r="N43" s="25">
        <f>IF(G43="Completed",0,IF(ISBLANK(K43),"",K43-TODAY()))</f>
        <v/>
      </c>
      <c r="O43" s="25">
        <f>IF(G43="Completed","Completed",IF(ISBLANK(N43),"",IF(N43&lt;0,"Overdue",IF(N43&lt;7,"At Risk","On Time"))))</f>
        <v/>
      </c>
      <c r="P43" s="21" t="n"/>
      <c r="Q43" s="21" t="n"/>
      <c r="R43" s="24" t="n"/>
      <c r="S43" s="21" t="n"/>
      <c r="T43" s="21" t="n"/>
      <c r="U43" s="21" t="n"/>
      <c r="V43" s="21" t="n"/>
      <c r="W43" s="21" t="n"/>
      <c r="X43" s="21" t="n"/>
    </row>
    <row r="44">
      <c r="A44" s="20" t="inlineStr">
        <is>
          <t>ACT-022</t>
        </is>
      </c>
      <c r="B44" s="21" t="n"/>
      <c r="C44" s="21" t="n"/>
      <c r="D44" s="21" t="n"/>
      <c r="E44" s="21" t="n"/>
      <c r="F44" s="21" t="n"/>
      <c r="G44" s="21" t="n"/>
      <c r="H44" s="21" t="n"/>
      <c r="I44" s="21" t="n"/>
      <c r="J44" s="21" t="n"/>
      <c r="K44" s="21" t="n"/>
      <c r="L44" s="21" t="n"/>
      <c r="M44" s="25">
        <f>IF(G44="Completed",IF(ISBLANK(L44),"",L44-J44),IF(ISBLANK(J44),"",TODAY()-J44))</f>
        <v/>
      </c>
      <c r="N44" s="25">
        <f>IF(G44="Completed",0,IF(ISBLANK(K44),"",K44-TODAY()))</f>
        <v/>
      </c>
      <c r="O44" s="25">
        <f>IF(G44="Completed","Completed",IF(ISBLANK(N44),"",IF(N44&lt;0,"Overdue",IF(N44&lt;7,"At Risk","On Time"))))</f>
        <v/>
      </c>
      <c r="P44" s="21" t="n"/>
      <c r="Q44" s="21" t="n"/>
      <c r="R44" s="24" t="n"/>
      <c r="S44" s="21" t="n"/>
      <c r="T44" s="21" t="n"/>
      <c r="U44" s="21" t="n"/>
      <c r="V44" s="21" t="n"/>
      <c r="W44" s="21" t="n"/>
      <c r="X44" s="21" t="n"/>
    </row>
    <row r="45">
      <c r="A45" s="20" t="inlineStr">
        <is>
          <t>ACT-023</t>
        </is>
      </c>
      <c r="B45" s="21" t="n"/>
      <c r="C45" s="21" t="n"/>
      <c r="D45" s="21" t="n"/>
      <c r="E45" s="21" t="n"/>
      <c r="F45" s="21" t="n"/>
      <c r="G45" s="21" t="n"/>
      <c r="H45" s="21" t="n"/>
      <c r="I45" s="21" t="n"/>
      <c r="J45" s="21" t="n"/>
      <c r="K45" s="21" t="n"/>
      <c r="L45" s="21" t="n"/>
      <c r="M45" s="25">
        <f>IF(G45="Completed",IF(ISBLANK(L45),"",L45-J45),IF(ISBLANK(J45),"",TODAY()-J45))</f>
        <v/>
      </c>
      <c r="N45" s="25">
        <f>IF(G45="Completed",0,IF(ISBLANK(K45),"",K45-TODAY()))</f>
        <v/>
      </c>
      <c r="O45" s="25">
        <f>IF(G45="Completed","Completed",IF(ISBLANK(N45),"",IF(N45&lt;0,"Overdue",IF(N45&lt;7,"At Risk","On Time"))))</f>
        <v/>
      </c>
      <c r="P45" s="21" t="n"/>
      <c r="Q45" s="21" t="n"/>
      <c r="R45" s="24" t="n"/>
      <c r="S45" s="21" t="n"/>
      <c r="T45" s="21" t="n"/>
      <c r="U45" s="21" t="n"/>
      <c r="V45" s="21" t="n"/>
      <c r="W45" s="21" t="n"/>
      <c r="X45" s="21" t="n"/>
    </row>
    <row r="46">
      <c r="A46" s="20" t="inlineStr">
        <is>
          <t>ACT-024</t>
        </is>
      </c>
      <c r="B46" s="21" t="n"/>
      <c r="C46" s="21" t="n"/>
      <c r="D46" s="21" t="n"/>
      <c r="E46" s="21" t="n"/>
      <c r="F46" s="21" t="n"/>
      <c r="G46" s="21" t="n"/>
      <c r="H46" s="21" t="n"/>
      <c r="I46" s="21" t="n"/>
      <c r="J46" s="21" t="n"/>
      <c r="K46" s="21" t="n"/>
      <c r="L46" s="21" t="n"/>
      <c r="M46" s="25">
        <f>IF(G46="Completed",IF(ISBLANK(L46),"",L46-J46),IF(ISBLANK(J46),"",TODAY()-J46))</f>
        <v/>
      </c>
      <c r="N46" s="25">
        <f>IF(G46="Completed",0,IF(ISBLANK(K46),"",K46-TODAY()))</f>
        <v/>
      </c>
      <c r="O46" s="25">
        <f>IF(G46="Completed","Completed",IF(ISBLANK(N46),"",IF(N46&lt;0,"Overdue",IF(N46&lt;7,"At Risk","On Time"))))</f>
        <v/>
      </c>
      <c r="P46" s="21" t="n"/>
      <c r="Q46" s="21" t="n"/>
      <c r="R46" s="24" t="n"/>
      <c r="S46" s="21" t="n"/>
      <c r="T46" s="21" t="n"/>
      <c r="U46" s="21" t="n"/>
      <c r="V46" s="21" t="n"/>
      <c r="W46" s="21" t="n"/>
      <c r="X46" s="21" t="n"/>
    </row>
    <row r="47">
      <c r="A47" s="20" t="inlineStr">
        <is>
          <t>ACT-025</t>
        </is>
      </c>
      <c r="B47" s="21" t="n"/>
      <c r="C47" s="21" t="n"/>
      <c r="D47" s="21" t="n"/>
      <c r="E47" s="21" t="n"/>
      <c r="F47" s="21" t="n"/>
      <c r="G47" s="21" t="n"/>
      <c r="H47" s="21" t="n"/>
      <c r="I47" s="21" t="n"/>
      <c r="J47" s="21" t="n"/>
      <c r="K47" s="21" t="n"/>
      <c r="L47" s="21" t="n"/>
      <c r="M47" s="25">
        <f>IF(G47="Completed",IF(ISBLANK(L47),"",L47-J47),IF(ISBLANK(J47),"",TODAY()-J47))</f>
        <v/>
      </c>
      <c r="N47" s="25">
        <f>IF(G47="Completed",0,IF(ISBLANK(K47),"",K47-TODAY()))</f>
        <v/>
      </c>
      <c r="O47" s="25">
        <f>IF(G47="Completed","Completed",IF(ISBLANK(N47),"",IF(N47&lt;0,"Overdue",IF(N47&lt;7,"At Risk","On Time"))))</f>
        <v/>
      </c>
      <c r="P47" s="21" t="n"/>
      <c r="Q47" s="21" t="n"/>
      <c r="R47" s="24" t="n"/>
      <c r="S47" s="21" t="n"/>
      <c r="T47" s="21" t="n"/>
      <c r="U47" s="21" t="n"/>
      <c r="V47" s="21" t="n"/>
      <c r="W47" s="21" t="n"/>
      <c r="X47" s="21" t="n"/>
    </row>
    <row r="48">
      <c r="A48" s="20" t="inlineStr">
        <is>
          <t>ACT-026</t>
        </is>
      </c>
      <c r="B48" s="21" t="n"/>
      <c r="C48" s="21" t="n"/>
      <c r="D48" s="21" t="n"/>
      <c r="E48" s="21" t="n"/>
      <c r="F48" s="21" t="n"/>
      <c r="G48" s="21" t="n"/>
      <c r="H48" s="21" t="n"/>
      <c r="I48" s="21" t="n"/>
      <c r="J48" s="21" t="n"/>
      <c r="K48" s="21" t="n"/>
      <c r="L48" s="21" t="n"/>
      <c r="M48" s="25">
        <f>IF(G48="Completed",IF(ISBLANK(L48),"",L48-J48),IF(ISBLANK(J48),"",TODAY()-J48))</f>
        <v/>
      </c>
      <c r="N48" s="25">
        <f>IF(G48="Completed",0,IF(ISBLANK(K48),"",K48-TODAY()))</f>
        <v/>
      </c>
      <c r="O48" s="25">
        <f>IF(G48="Completed","Completed",IF(ISBLANK(N48),"",IF(N48&lt;0,"Overdue",IF(N48&lt;7,"At Risk","On Time"))))</f>
        <v/>
      </c>
      <c r="P48" s="21" t="n"/>
      <c r="Q48" s="21" t="n"/>
      <c r="R48" s="24" t="n"/>
      <c r="S48" s="21" t="n"/>
      <c r="T48" s="21" t="n"/>
      <c r="U48" s="21" t="n"/>
      <c r="V48" s="21" t="n"/>
      <c r="W48" s="21" t="n"/>
      <c r="X48" s="21" t="n"/>
    </row>
    <row r="49">
      <c r="A49" s="20" t="inlineStr">
        <is>
          <t>ACT-027</t>
        </is>
      </c>
      <c r="B49" s="21" t="n"/>
      <c r="C49" s="21" t="n"/>
      <c r="D49" s="21" t="n"/>
      <c r="E49" s="21" t="n"/>
      <c r="F49" s="21" t="n"/>
      <c r="G49" s="21" t="n"/>
      <c r="H49" s="21" t="n"/>
      <c r="I49" s="21" t="n"/>
      <c r="J49" s="21" t="n"/>
      <c r="K49" s="21" t="n"/>
      <c r="L49" s="21" t="n"/>
      <c r="M49" s="25">
        <f>IF(G49="Completed",IF(ISBLANK(L49),"",L49-J49),IF(ISBLANK(J49),"",TODAY()-J49))</f>
        <v/>
      </c>
      <c r="N49" s="25">
        <f>IF(G49="Completed",0,IF(ISBLANK(K49),"",K49-TODAY()))</f>
        <v/>
      </c>
      <c r="O49" s="25">
        <f>IF(G49="Completed","Completed",IF(ISBLANK(N49),"",IF(N49&lt;0,"Overdue",IF(N49&lt;7,"At Risk","On Time"))))</f>
        <v/>
      </c>
      <c r="P49" s="21" t="n"/>
      <c r="Q49" s="21" t="n"/>
      <c r="R49" s="24" t="n"/>
      <c r="S49" s="21" t="n"/>
      <c r="T49" s="21" t="n"/>
      <c r="U49" s="21" t="n"/>
      <c r="V49" s="21" t="n"/>
      <c r="W49" s="21" t="n"/>
      <c r="X49" s="21" t="n"/>
    </row>
    <row r="50">
      <c r="A50" s="20" t="inlineStr">
        <is>
          <t>ACT-028</t>
        </is>
      </c>
      <c r="B50" s="21" t="n"/>
      <c r="C50" s="21" t="n"/>
      <c r="D50" s="21" t="n"/>
      <c r="E50" s="21" t="n"/>
      <c r="F50" s="21" t="n"/>
      <c r="G50" s="21" t="n"/>
      <c r="H50" s="21" t="n"/>
      <c r="I50" s="21" t="n"/>
      <c r="J50" s="21" t="n"/>
      <c r="K50" s="21" t="n"/>
      <c r="L50" s="21" t="n"/>
      <c r="M50" s="25">
        <f>IF(G50="Completed",IF(ISBLANK(L50),"",L50-J50),IF(ISBLANK(J50),"",TODAY()-J50))</f>
        <v/>
      </c>
      <c r="N50" s="25">
        <f>IF(G50="Completed",0,IF(ISBLANK(K50),"",K50-TODAY()))</f>
        <v/>
      </c>
      <c r="O50" s="25">
        <f>IF(G50="Completed","Completed",IF(ISBLANK(N50),"",IF(N50&lt;0,"Overdue",IF(N50&lt;7,"At Risk","On Time"))))</f>
        <v/>
      </c>
      <c r="P50" s="21" t="n"/>
      <c r="Q50" s="21" t="n"/>
      <c r="R50" s="24" t="n"/>
      <c r="S50" s="21" t="n"/>
      <c r="T50" s="21" t="n"/>
      <c r="U50" s="21" t="n"/>
      <c r="V50" s="21" t="n"/>
      <c r="W50" s="21" t="n"/>
      <c r="X50" s="21" t="n"/>
    </row>
    <row r="51">
      <c r="A51" s="20" t="inlineStr">
        <is>
          <t>ACT-029</t>
        </is>
      </c>
      <c r="B51" s="21" t="n"/>
      <c r="C51" s="21" t="n"/>
      <c r="D51" s="21" t="n"/>
      <c r="E51" s="21" t="n"/>
      <c r="F51" s="21" t="n"/>
      <c r="G51" s="21" t="n"/>
      <c r="H51" s="21" t="n"/>
      <c r="I51" s="21" t="n"/>
      <c r="J51" s="21" t="n"/>
      <c r="K51" s="21" t="n"/>
      <c r="L51" s="21" t="n"/>
      <c r="M51" s="25">
        <f>IF(G51="Completed",IF(ISBLANK(L51),"",L51-J51),IF(ISBLANK(J51),"",TODAY()-J51))</f>
        <v/>
      </c>
      <c r="N51" s="25">
        <f>IF(G51="Completed",0,IF(ISBLANK(K51),"",K51-TODAY()))</f>
        <v/>
      </c>
      <c r="O51" s="25">
        <f>IF(G51="Completed","Completed",IF(ISBLANK(N51),"",IF(N51&lt;0,"Overdue",IF(N51&lt;7,"At Risk","On Time"))))</f>
        <v/>
      </c>
      <c r="P51" s="21" t="n"/>
      <c r="Q51" s="21" t="n"/>
      <c r="R51" s="24" t="n"/>
      <c r="S51" s="21" t="n"/>
      <c r="T51" s="21" t="n"/>
      <c r="U51" s="21" t="n"/>
      <c r="V51" s="21" t="n"/>
      <c r="W51" s="21" t="n"/>
      <c r="X51" s="21" t="n"/>
    </row>
    <row r="52">
      <c r="A52" s="20" t="inlineStr">
        <is>
          <t>ACT-030</t>
        </is>
      </c>
      <c r="B52" s="21" t="n"/>
      <c r="C52" s="21" t="n"/>
      <c r="D52" s="21" t="n"/>
      <c r="E52" s="21" t="n"/>
      <c r="F52" s="21" t="n"/>
      <c r="G52" s="21" t="n"/>
      <c r="H52" s="21" t="n"/>
      <c r="I52" s="21" t="n"/>
      <c r="J52" s="21" t="n"/>
      <c r="K52" s="21" t="n"/>
      <c r="L52" s="21" t="n"/>
      <c r="M52" s="25">
        <f>IF(G52="Completed",IF(ISBLANK(L52),"",L52-J52),IF(ISBLANK(J52),"",TODAY()-J52))</f>
        <v/>
      </c>
      <c r="N52" s="25">
        <f>IF(G52="Completed",0,IF(ISBLANK(K52),"",K52-TODAY()))</f>
        <v/>
      </c>
      <c r="O52" s="25">
        <f>IF(G52="Completed","Completed",IF(ISBLANK(N52),"",IF(N52&lt;0,"Overdue",IF(N52&lt;7,"At Risk","On Time"))))</f>
        <v/>
      </c>
      <c r="P52" s="21" t="n"/>
      <c r="Q52" s="21" t="n"/>
      <c r="R52" s="24" t="n"/>
      <c r="S52" s="21" t="n"/>
      <c r="T52" s="21" t="n"/>
      <c r="U52" s="21" t="n"/>
      <c r="V52" s="21" t="n"/>
      <c r="W52" s="21" t="n"/>
      <c r="X52" s="21" t="n"/>
    </row>
    <row r="53">
      <c r="A53" s="20" t="inlineStr">
        <is>
          <t>ACT-031</t>
        </is>
      </c>
      <c r="B53" s="21" t="n"/>
      <c r="C53" s="21" t="n"/>
      <c r="D53" s="21" t="n"/>
      <c r="E53" s="21" t="n"/>
      <c r="F53" s="21" t="n"/>
      <c r="G53" s="21" t="n"/>
      <c r="H53" s="21" t="n"/>
      <c r="I53" s="21" t="n"/>
      <c r="J53" s="21" t="n"/>
      <c r="K53" s="21" t="n"/>
      <c r="L53" s="21" t="n"/>
      <c r="M53" s="25">
        <f>IF(G53="Completed",IF(ISBLANK(L53),"",L53-J53),IF(ISBLANK(J53),"",TODAY()-J53))</f>
        <v/>
      </c>
      <c r="N53" s="25">
        <f>IF(G53="Completed",0,IF(ISBLANK(K53),"",K53-TODAY()))</f>
        <v/>
      </c>
      <c r="O53" s="25">
        <f>IF(G53="Completed","Completed",IF(ISBLANK(N53),"",IF(N53&lt;0,"Overdue",IF(N53&lt;7,"At Risk","On Time"))))</f>
        <v/>
      </c>
      <c r="P53" s="21" t="n"/>
      <c r="Q53" s="21" t="n"/>
      <c r="R53" s="24" t="n"/>
      <c r="S53" s="21" t="n"/>
      <c r="T53" s="21" t="n"/>
      <c r="U53" s="21" t="n"/>
      <c r="V53" s="21" t="n"/>
      <c r="W53" s="21" t="n"/>
      <c r="X53" s="21" t="n"/>
    </row>
    <row r="54">
      <c r="A54" s="20" t="inlineStr">
        <is>
          <t>ACT-032</t>
        </is>
      </c>
      <c r="B54" s="21" t="n"/>
      <c r="C54" s="21" t="n"/>
      <c r="D54" s="21" t="n"/>
      <c r="E54" s="21" t="n"/>
      <c r="F54" s="21" t="n"/>
      <c r="G54" s="21" t="n"/>
      <c r="H54" s="21" t="n"/>
      <c r="I54" s="21" t="n"/>
      <c r="J54" s="21" t="n"/>
      <c r="K54" s="21" t="n"/>
      <c r="L54" s="21" t="n"/>
      <c r="M54" s="25">
        <f>IF(G54="Completed",IF(ISBLANK(L54),"",L54-J54),IF(ISBLANK(J54),"",TODAY()-J54))</f>
        <v/>
      </c>
      <c r="N54" s="25">
        <f>IF(G54="Completed",0,IF(ISBLANK(K54),"",K54-TODAY()))</f>
        <v/>
      </c>
      <c r="O54" s="25">
        <f>IF(G54="Completed","Completed",IF(ISBLANK(N54),"",IF(N54&lt;0,"Overdue",IF(N54&lt;7,"At Risk","On Time"))))</f>
        <v/>
      </c>
      <c r="P54" s="21" t="n"/>
      <c r="Q54" s="21" t="n"/>
      <c r="R54" s="24" t="n"/>
      <c r="S54" s="21" t="n"/>
      <c r="T54" s="21" t="n"/>
      <c r="U54" s="21" t="n"/>
      <c r="V54" s="21" t="n"/>
      <c r="W54" s="21" t="n"/>
      <c r="X54" s="21" t="n"/>
    </row>
    <row r="55">
      <c r="A55" s="20" t="inlineStr">
        <is>
          <t>ACT-033</t>
        </is>
      </c>
      <c r="B55" s="21" t="n"/>
      <c r="C55" s="21" t="n"/>
      <c r="D55" s="21" t="n"/>
      <c r="E55" s="21" t="n"/>
      <c r="F55" s="21" t="n"/>
      <c r="G55" s="21" t="n"/>
      <c r="H55" s="21" t="n"/>
      <c r="I55" s="21" t="n"/>
      <c r="J55" s="21" t="n"/>
      <c r="K55" s="21" t="n"/>
      <c r="L55" s="21" t="n"/>
      <c r="M55" s="25">
        <f>IF(G55="Completed",IF(ISBLANK(L55),"",L55-J55),IF(ISBLANK(J55),"",TODAY()-J55))</f>
        <v/>
      </c>
      <c r="N55" s="25">
        <f>IF(G55="Completed",0,IF(ISBLANK(K55),"",K55-TODAY()))</f>
        <v/>
      </c>
      <c r="O55" s="25">
        <f>IF(G55="Completed","Completed",IF(ISBLANK(N55),"",IF(N55&lt;0,"Overdue",IF(N55&lt;7,"At Risk","On Time"))))</f>
        <v/>
      </c>
      <c r="P55" s="21" t="n"/>
      <c r="Q55" s="21" t="n"/>
      <c r="R55" s="24" t="n"/>
      <c r="S55" s="21" t="n"/>
      <c r="T55" s="21" t="n"/>
      <c r="U55" s="21" t="n"/>
      <c r="V55" s="21" t="n"/>
      <c r="W55" s="21" t="n"/>
      <c r="X55" s="21" t="n"/>
    </row>
    <row r="56">
      <c r="A56" s="20" t="inlineStr">
        <is>
          <t>ACT-034</t>
        </is>
      </c>
      <c r="B56" s="21" t="n"/>
      <c r="C56" s="21" t="n"/>
      <c r="D56" s="21" t="n"/>
      <c r="E56" s="21" t="n"/>
      <c r="F56" s="21" t="n"/>
      <c r="G56" s="21" t="n"/>
      <c r="H56" s="21" t="n"/>
      <c r="I56" s="21" t="n"/>
      <c r="J56" s="21" t="n"/>
      <c r="K56" s="21" t="n"/>
      <c r="L56" s="21" t="n"/>
      <c r="M56" s="25">
        <f>IF(G56="Completed",IF(ISBLANK(L56),"",L56-J56),IF(ISBLANK(J56),"",TODAY()-J56))</f>
        <v/>
      </c>
      <c r="N56" s="25">
        <f>IF(G56="Completed",0,IF(ISBLANK(K56),"",K56-TODAY()))</f>
        <v/>
      </c>
      <c r="O56" s="25">
        <f>IF(G56="Completed","Completed",IF(ISBLANK(N56),"",IF(N56&lt;0,"Overdue",IF(N56&lt;7,"At Risk","On Time"))))</f>
        <v/>
      </c>
      <c r="P56" s="21" t="n"/>
      <c r="Q56" s="21" t="n"/>
      <c r="R56" s="24" t="n"/>
      <c r="S56" s="21" t="n"/>
      <c r="T56" s="21" t="n"/>
      <c r="U56" s="21" t="n"/>
      <c r="V56" s="21" t="n"/>
      <c r="W56" s="21" t="n"/>
      <c r="X56" s="21" t="n"/>
    </row>
    <row r="57">
      <c r="A57" s="20" t="inlineStr">
        <is>
          <t>ACT-035</t>
        </is>
      </c>
      <c r="B57" s="21" t="n"/>
      <c r="C57" s="21" t="n"/>
      <c r="D57" s="21" t="n"/>
      <c r="E57" s="21" t="n"/>
      <c r="F57" s="21" t="n"/>
      <c r="G57" s="21" t="n"/>
      <c r="H57" s="21" t="n"/>
      <c r="I57" s="21" t="n"/>
      <c r="J57" s="21" t="n"/>
      <c r="K57" s="21" t="n"/>
      <c r="L57" s="21" t="n"/>
      <c r="M57" s="25">
        <f>IF(G57="Completed",IF(ISBLANK(L57),"",L57-J57),IF(ISBLANK(J57),"",TODAY()-J57))</f>
        <v/>
      </c>
      <c r="N57" s="25">
        <f>IF(G57="Completed",0,IF(ISBLANK(K57),"",K57-TODAY()))</f>
        <v/>
      </c>
      <c r="O57" s="25">
        <f>IF(G57="Completed","Completed",IF(ISBLANK(N57),"",IF(N57&lt;0,"Overdue",IF(N57&lt;7,"At Risk","On Time"))))</f>
        <v/>
      </c>
      <c r="P57" s="21" t="n"/>
      <c r="Q57" s="21" t="n"/>
      <c r="R57" s="24" t="n"/>
      <c r="S57" s="21" t="n"/>
      <c r="T57" s="21" t="n"/>
      <c r="U57" s="21" t="n"/>
      <c r="V57" s="21" t="n"/>
      <c r="W57" s="21" t="n"/>
      <c r="X57" s="21" t="n"/>
    </row>
    <row r="58">
      <c r="A58" s="20" t="inlineStr">
        <is>
          <t>ACT-036</t>
        </is>
      </c>
      <c r="B58" s="21" t="n"/>
      <c r="C58" s="21" t="n"/>
      <c r="D58" s="21" t="n"/>
      <c r="E58" s="21" t="n"/>
      <c r="F58" s="21" t="n"/>
      <c r="G58" s="21" t="n"/>
      <c r="H58" s="21" t="n"/>
      <c r="I58" s="21" t="n"/>
      <c r="J58" s="21" t="n"/>
      <c r="K58" s="21" t="n"/>
      <c r="L58" s="21" t="n"/>
      <c r="M58" s="25">
        <f>IF(G58="Completed",IF(ISBLANK(L58),"",L58-J58),IF(ISBLANK(J58),"",TODAY()-J58))</f>
        <v/>
      </c>
      <c r="N58" s="25">
        <f>IF(G58="Completed",0,IF(ISBLANK(K58),"",K58-TODAY()))</f>
        <v/>
      </c>
      <c r="O58" s="25">
        <f>IF(G58="Completed","Completed",IF(ISBLANK(N58),"",IF(N58&lt;0,"Overdue",IF(N58&lt;7,"At Risk","On Time"))))</f>
        <v/>
      </c>
      <c r="P58" s="21" t="n"/>
      <c r="Q58" s="21" t="n"/>
      <c r="R58" s="24" t="n"/>
      <c r="S58" s="21" t="n"/>
      <c r="T58" s="21" t="n"/>
      <c r="U58" s="21" t="n"/>
      <c r="V58" s="21" t="n"/>
      <c r="W58" s="21" t="n"/>
      <c r="X58" s="21" t="n"/>
    </row>
    <row r="59">
      <c r="A59" s="20" t="inlineStr">
        <is>
          <t>ACT-037</t>
        </is>
      </c>
      <c r="B59" s="21" t="n"/>
      <c r="C59" s="21" t="n"/>
      <c r="D59" s="21" t="n"/>
      <c r="E59" s="21" t="n"/>
      <c r="F59" s="21" t="n"/>
      <c r="G59" s="21" t="n"/>
      <c r="H59" s="21" t="n"/>
      <c r="I59" s="21" t="n"/>
      <c r="J59" s="21" t="n"/>
      <c r="K59" s="21" t="n"/>
      <c r="L59" s="21" t="n"/>
      <c r="M59" s="25">
        <f>IF(G59="Completed",IF(ISBLANK(L59),"",L59-J59),IF(ISBLANK(J59),"",TODAY()-J59))</f>
        <v/>
      </c>
      <c r="N59" s="25">
        <f>IF(G59="Completed",0,IF(ISBLANK(K59),"",K59-TODAY()))</f>
        <v/>
      </c>
      <c r="O59" s="25">
        <f>IF(G59="Completed","Completed",IF(ISBLANK(N59),"",IF(N59&lt;0,"Overdue",IF(N59&lt;7,"At Risk","On Time"))))</f>
        <v/>
      </c>
      <c r="P59" s="21" t="n"/>
      <c r="Q59" s="21" t="n"/>
      <c r="R59" s="24" t="n"/>
      <c r="S59" s="21" t="n"/>
      <c r="T59" s="21" t="n"/>
      <c r="U59" s="21" t="n"/>
      <c r="V59" s="21" t="n"/>
      <c r="W59" s="21" t="n"/>
      <c r="X59" s="21" t="n"/>
    </row>
    <row r="60">
      <c r="A60" s="20" t="inlineStr">
        <is>
          <t>ACT-038</t>
        </is>
      </c>
      <c r="B60" s="21" t="n"/>
      <c r="C60" s="21" t="n"/>
      <c r="D60" s="21" t="n"/>
      <c r="E60" s="21" t="n"/>
      <c r="F60" s="21" t="n"/>
      <c r="G60" s="21" t="n"/>
      <c r="H60" s="21" t="n"/>
      <c r="I60" s="21" t="n"/>
      <c r="J60" s="21" t="n"/>
      <c r="K60" s="21" t="n"/>
      <c r="L60" s="21" t="n"/>
      <c r="M60" s="25">
        <f>IF(G60="Completed",IF(ISBLANK(L60),"",L60-J60),IF(ISBLANK(J60),"",TODAY()-J60))</f>
        <v/>
      </c>
      <c r="N60" s="25">
        <f>IF(G60="Completed",0,IF(ISBLANK(K60),"",K60-TODAY()))</f>
        <v/>
      </c>
      <c r="O60" s="25">
        <f>IF(G60="Completed","Completed",IF(ISBLANK(N60),"",IF(N60&lt;0,"Overdue",IF(N60&lt;7,"At Risk","On Time"))))</f>
        <v/>
      </c>
      <c r="P60" s="21" t="n"/>
      <c r="Q60" s="21" t="n"/>
      <c r="R60" s="24" t="n"/>
      <c r="S60" s="21" t="n"/>
      <c r="T60" s="21" t="n"/>
      <c r="U60" s="21" t="n"/>
      <c r="V60" s="21" t="n"/>
      <c r="W60" s="21" t="n"/>
      <c r="X60" s="21" t="n"/>
    </row>
    <row r="61">
      <c r="A61" s="20" t="inlineStr">
        <is>
          <t>ACT-039</t>
        </is>
      </c>
      <c r="B61" s="21" t="n"/>
      <c r="C61" s="21" t="n"/>
      <c r="D61" s="21" t="n"/>
      <c r="E61" s="21" t="n"/>
      <c r="F61" s="21" t="n"/>
      <c r="G61" s="21" t="n"/>
      <c r="H61" s="21" t="n"/>
      <c r="I61" s="21" t="n"/>
      <c r="J61" s="21" t="n"/>
      <c r="K61" s="21" t="n"/>
      <c r="L61" s="21" t="n"/>
      <c r="M61" s="25">
        <f>IF(G61="Completed",IF(ISBLANK(L61),"",L61-J61),IF(ISBLANK(J61),"",TODAY()-J61))</f>
        <v/>
      </c>
      <c r="N61" s="25">
        <f>IF(G61="Completed",0,IF(ISBLANK(K61),"",K61-TODAY()))</f>
        <v/>
      </c>
      <c r="O61" s="25">
        <f>IF(G61="Completed","Completed",IF(ISBLANK(N61),"",IF(N61&lt;0,"Overdue",IF(N61&lt;7,"At Risk","On Time"))))</f>
        <v/>
      </c>
      <c r="P61" s="21" t="n"/>
      <c r="Q61" s="21" t="n"/>
      <c r="R61" s="24" t="n"/>
      <c r="S61" s="21" t="n"/>
      <c r="T61" s="21" t="n"/>
      <c r="U61" s="21" t="n"/>
      <c r="V61" s="21" t="n"/>
      <c r="W61" s="21" t="n"/>
      <c r="X61" s="21" t="n"/>
    </row>
    <row r="62">
      <c r="A62" s="20" t="inlineStr">
        <is>
          <t>ACT-040</t>
        </is>
      </c>
      <c r="B62" s="21" t="n"/>
      <c r="C62" s="21" t="n"/>
      <c r="D62" s="21" t="n"/>
      <c r="E62" s="21" t="n"/>
      <c r="F62" s="21" t="n"/>
      <c r="G62" s="21" t="n"/>
      <c r="H62" s="21" t="n"/>
      <c r="I62" s="21" t="n"/>
      <c r="J62" s="21" t="n"/>
      <c r="K62" s="21" t="n"/>
      <c r="L62" s="21" t="n"/>
      <c r="M62" s="25">
        <f>IF(G62="Completed",IF(ISBLANK(L62),"",L62-J62),IF(ISBLANK(J62),"",TODAY()-J62))</f>
        <v/>
      </c>
      <c r="N62" s="25">
        <f>IF(G62="Completed",0,IF(ISBLANK(K62),"",K62-TODAY()))</f>
        <v/>
      </c>
      <c r="O62" s="25">
        <f>IF(G62="Completed","Completed",IF(ISBLANK(N62),"",IF(N62&lt;0,"Overdue",IF(N62&lt;7,"At Risk","On Time"))))</f>
        <v/>
      </c>
      <c r="P62" s="21" t="n"/>
      <c r="Q62" s="21" t="n"/>
      <c r="R62" s="24" t="n"/>
      <c r="S62" s="21" t="n"/>
      <c r="T62" s="21" t="n"/>
      <c r="U62" s="21" t="n"/>
      <c r="V62" s="21" t="n"/>
      <c r="W62" s="21" t="n"/>
      <c r="X62" s="21" t="n"/>
    </row>
    <row r="63">
      <c r="A63" s="20" t="inlineStr">
        <is>
          <t>ACT-041</t>
        </is>
      </c>
      <c r="B63" s="21" t="n"/>
      <c r="C63" s="21" t="n"/>
      <c r="D63" s="21" t="n"/>
      <c r="E63" s="21" t="n"/>
      <c r="F63" s="21" t="n"/>
      <c r="G63" s="21" t="n"/>
      <c r="H63" s="21" t="n"/>
      <c r="I63" s="21" t="n"/>
      <c r="J63" s="21" t="n"/>
      <c r="K63" s="21" t="n"/>
      <c r="L63" s="21" t="n"/>
      <c r="M63" s="25">
        <f>IF(G63="Completed",IF(ISBLANK(L63),"",L63-J63),IF(ISBLANK(J63),"",TODAY()-J63))</f>
        <v/>
      </c>
      <c r="N63" s="25">
        <f>IF(G63="Completed",0,IF(ISBLANK(K63),"",K63-TODAY()))</f>
        <v/>
      </c>
      <c r="O63" s="25">
        <f>IF(G63="Completed","Completed",IF(ISBLANK(N63),"",IF(N63&lt;0,"Overdue",IF(N63&lt;7,"At Risk","On Time"))))</f>
        <v/>
      </c>
      <c r="P63" s="21" t="n"/>
      <c r="Q63" s="21" t="n"/>
      <c r="R63" s="24" t="n"/>
      <c r="S63" s="21" t="n"/>
      <c r="T63" s="21" t="n"/>
      <c r="U63" s="21" t="n"/>
      <c r="V63" s="21" t="n"/>
      <c r="W63" s="21" t="n"/>
      <c r="X63" s="21" t="n"/>
    </row>
    <row r="64">
      <c r="A64" s="20" t="inlineStr">
        <is>
          <t>ACT-042</t>
        </is>
      </c>
      <c r="B64" s="21" t="n"/>
      <c r="C64" s="21" t="n"/>
      <c r="D64" s="21" t="n"/>
      <c r="E64" s="21" t="n"/>
      <c r="F64" s="21" t="n"/>
      <c r="G64" s="21" t="n"/>
      <c r="H64" s="21" t="n"/>
      <c r="I64" s="21" t="n"/>
      <c r="J64" s="21" t="n"/>
      <c r="K64" s="21" t="n"/>
      <c r="L64" s="21" t="n"/>
      <c r="M64" s="25">
        <f>IF(G64="Completed",IF(ISBLANK(L64),"",L64-J64),IF(ISBLANK(J64),"",TODAY()-J64))</f>
        <v/>
      </c>
      <c r="N64" s="25">
        <f>IF(G64="Completed",0,IF(ISBLANK(K64),"",K64-TODAY()))</f>
        <v/>
      </c>
      <c r="O64" s="25">
        <f>IF(G64="Completed","Completed",IF(ISBLANK(N64),"",IF(N64&lt;0,"Overdue",IF(N64&lt;7,"At Risk","On Time"))))</f>
        <v/>
      </c>
      <c r="P64" s="21" t="n"/>
      <c r="Q64" s="21" t="n"/>
      <c r="R64" s="24" t="n"/>
      <c r="S64" s="21" t="n"/>
      <c r="T64" s="21" t="n"/>
      <c r="U64" s="21" t="n"/>
      <c r="V64" s="21" t="n"/>
      <c r="W64" s="21" t="n"/>
      <c r="X64" s="21" t="n"/>
    </row>
    <row r="65">
      <c r="A65" s="20" t="inlineStr">
        <is>
          <t>ACT-043</t>
        </is>
      </c>
      <c r="B65" s="21" t="n"/>
      <c r="C65" s="21" t="n"/>
      <c r="D65" s="21" t="n"/>
      <c r="E65" s="21" t="n"/>
      <c r="F65" s="21" t="n"/>
      <c r="G65" s="21" t="n"/>
      <c r="H65" s="21" t="n"/>
      <c r="I65" s="21" t="n"/>
      <c r="J65" s="21" t="n"/>
      <c r="K65" s="21" t="n"/>
      <c r="L65" s="21" t="n"/>
      <c r="M65" s="25">
        <f>IF(G65="Completed",IF(ISBLANK(L65),"",L65-J65),IF(ISBLANK(J65),"",TODAY()-J65))</f>
        <v/>
      </c>
      <c r="N65" s="25">
        <f>IF(G65="Completed",0,IF(ISBLANK(K65),"",K65-TODAY()))</f>
        <v/>
      </c>
      <c r="O65" s="25">
        <f>IF(G65="Completed","Completed",IF(ISBLANK(N65),"",IF(N65&lt;0,"Overdue",IF(N65&lt;7,"At Risk","On Time"))))</f>
        <v/>
      </c>
      <c r="P65" s="21" t="n"/>
      <c r="Q65" s="21" t="n"/>
      <c r="R65" s="24" t="n"/>
      <c r="S65" s="21" t="n"/>
      <c r="T65" s="21" t="n"/>
      <c r="U65" s="21" t="n"/>
      <c r="V65" s="21" t="n"/>
      <c r="W65" s="21" t="n"/>
      <c r="X65" s="21" t="n"/>
    </row>
    <row r="66">
      <c r="A66" s="20" t="inlineStr">
        <is>
          <t>ACT-044</t>
        </is>
      </c>
      <c r="B66" s="21" t="n"/>
      <c r="C66" s="21" t="n"/>
      <c r="D66" s="21" t="n"/>
      <c r="E66" s="21" t="n"/>
      <c r="F66" s="21" t="n"/>
      <c r="G66" s="21" t="n"/>
      <c r="H66" s="21" t="n"/>
      <c r="I66" s="21" t="n"/>
      <c r="J66" s="21" t="n"/>
      <c r="K66" s="21" t="n"/>
      <c r="L66" s="21" t="n"/>
      <c r="M66" s="25">
        <f>IF(G66="Completed",IF(ISBLANK(L66),"",L66-J66),IF(ISBLANK(J66),"",TODAY()-J66))</f>
        <v/>
      </c>
      <c r="N66" s="25">
        <f>IF(G66="Completed",0,IF(ISBLANK(K66),"",K66-TODAY()))</f>
        <v/>
      </c>
      <c r="O66" s="25">
        <f>IF(G66="Completed","Completed",IF(ISBLANK(N66),"",IF(N66&lt;0,"Overdue",IF(N66&lt;7,"At Risk","On Time"))))</f>
        <v/>
      </c>
      <c r="P66" s="21" t="n"/>
      <c r="Q66" s="21" t="n"/>
      <c r="R66" s="24" t="n"/>
      <c r="S66" s="21" t="n"/>
      <c r="T66" s="21" t="n"/>
      <c r="U66" s="21" t="n"/>
      <c r="V66" s="21" t="n"/>
      <c r="W66" s="21" t="n"/>
      <c r="X66" s="21" t="n"/>
    </row>
    <row r="67">
      <c r="A67" s="20" t="inlineStr">
        <is>
          <t>ACT-045</t>
        </is>
      </c>
      <c r="B67" s="21" t="n"/>
      <c r="C67" s="21" t="n"/>
      <c r="D67" s="21" t="n"/>
      <c r="E67" s="21" t="n"/>
      <c r="F67" s="21" t="n"/>
      <c r="G67" s="21" t="n"/>
      <c r="H67" s="21" t="n"/>
      <c r="I67" s="21" t="n"/>
      <c r="J67" s="21" t="n"/>
      <c r="K67" s="21" t="n"/>
      <c r="L67" s="21" t="n"/>
      <c r="M67" s="25">
        <f>IF(G67="Completed",IF(ISBLANK(L67),"",L67-J67),IF(ISBLANK(J67),"",TODAY()-J67))</f>
        <v/>
      </c>
      <c r="N67" s="25">
        <f>IF(G67="Completed",0,IF(ISBLANK(K67),"",K67-TODAY()))</f>
        <v/>
      </c>
      <c r="O67" s="25">
        <f>IF(G67="Completed","Completed",IF(ISBLANK(N67),"",IF(N67&lt;0,"Overdue",IF(N67&lt;7,"At Risk","On Time"))))</f>
        <v/>
      </c>
      <c r="P67" s="21" t="n"/>
      <c r="Q67" s="21" t="n"/>
      <c r="R67" s="24" t="n"/>
      <c r="S67" s="21" t="n"/>
      <c r="T67" s="21" t="n"/>
      <c r="U67" s="21" t="n"/>
      <c r="V67" s="21" t="n"/>
      <c r="W67" s="21" t="n"/>
      <c r="X67" s="21" t="n"/>
    </row>
    <row r="68">
      <c r="A68" s="20" t="inlineStr">
        <is>
          <t>ACT-046</t>
        </is>
      </c>
      <c r="B68" s="21" t="n"/>
      <c r="C68" s="21" t="n"/>
      <c r="D68" s="21" t="n"/>
      <c r="E68" s="21" t="n"/>
      <c r="F68" s="21" t="n"/>
      <c r="G68" s="21" t="n"/>
      <c r="H68" s="21" t="n"/>
      <c r="I68" s="21" t="n"/>
      <c r="J68" s="21" t="n"/>
      <c r="K68" s="21" t="n"/>
      <c r="L68" s="21" t="n"/>
      <c r="M68" s="25">
        <f>IF(G68="Completed",IF(ISBLANK(L68),"",L68-J68),IF(ISBLANK(J68),"",TODAY()-J68))</f>
        <v/>
      </c>
      <c r="N68" s="25">
        <f>IF(G68="Completed",0,IF(ISBLANK(K68),"",K68-TODAY()))</f>
        <v/>
      </c>
      <c r="O68" s="25">
        <f>IF(G68="Completed","Completed",IF(ISBLANK(N68),"",IF(N68&lt;0,"Overdue",IF(N68&lt;7,"At Risk","On Time"))))</f>
        <v/>
      </c>
      <c r="P68" s="21" t="n"/>
      <c r="Q68" s="21" t="n"/>
      <c r="R68" s="24" t="n"/>
      <c r="S68" s="21" t="n"/>
      <c r="T68" s="21" t="n"/>
      <c r="U68" s="21" t="n"/>
      <c r="V68" s="21" t="n"/>
      <c r="W68" s="21" t="n"/>
      <c r="X68" s="21" t="n"/>
    </row>
    <row r="69">
      <c r="A69" s="20" t="inlineStr">
        <is>
          <t>ACT-047</t>
        </is>
      </c>
      <c r="B69" s="21" t="n"/>
      <c r="C69" s="21" t="n"/>
      <c r="D69" s="21" t="n"/>
      <c r="E69" s="21" t="n"/>
      <c r="F69" s="21" t="n"/>
      <c r="G69" s="21" t="n"/>
      <c r="H69" s="21" t="n"/>
      <c r="I69" s="21" t="n"/>
      <c r="J69" s="21" t="n"/>
      <c r="K69" s="21" t="n"/>
      <c r="L69" s="21" t="n"/>
      <c r="M69" s="25">
        <f>IF(G69="Completed",IF(ISBLANK(L69),"",L69-J69),IF(ISBLANK(J69),"",TODAY()-J69))</f>
        <v/>
      </c>
      <c r="N69" s="25">
        <f>IF(G69="Completed",0,IF(ISBLANK(K69),"",K69-TODAY()))</f>
        <v/>
      </c>
      <c r="O69" s="25">
        <f>IF(G69="Completed","Completed",IF(ISBLANK(N69),"",IF(N69&lt;0,"Overdue",IF(N69&lt;7,"At Risk","On Time"))))</f>
        <v/>
      </c>
      <c r="P69" s="21" t="n"/>
      <c r="Q69" s="21" t="n"/>
      <c r="R69" s="24" t="n"/>
      <c r="S69" s="21" t="n"/>
      <c r="T69" s="21" t="n"/>
      <c r="U69" s="21" t="n"/>
      <c r="V69" s="21" t="n"/>
      <c r="W69" s="21" t="n"/>
      <c r="X69" s="21" t="n"/>
    </row>
    <row r="70">
      <c r="A70" s="20" t="inlineStr">
        <is>
          <t>ACT-048</t>
        </is>
      </c>
      <c r="B70" s="21" t="n"/>
      <c r="C70" s="21" t="n"/>
      <c r="D70" s="21" t="n"/>
      <c r="E70" s="21" t="n"/>
      <c r="F70" s="21" t="n"/>
      <c r="G70" s="21" t="n"/>
      <c r="H70" s="21" t="n"/>
      <c r="I70" s="21" t="n"/>
      <c r="J70" s="21" t="n"/>
      <c r="K70" s="21" t="n"/>
      <c r="L70" s="21" t="n"/>
      <c r="M70" s="25">
        <f>IF(G70="Completed",IF(ISBLANK(L70),"",L70-J70),IF(ISBLANK(J70),"",TODAY()-J70))</f>
        <v/>
      </c>
      <c r="N70" s="25">
        <f>IF(G70="Completed",0,IF(ISBLANK(K70),"",K70-TODAY()))</f>
        <v/>
      </c>
      <c r="O70" s="25">
        <f>IF(G70="Completed","Completed",IF(ISBLANK(N70),"",IF(N70&lt;0,"Overdue",IF(N70&lt;7,"At Risk","On Time"))))</f>
        <v/>
      </c>
      <c r="P70" s="21" t="n"/>
      <c r="Q70" s="21" t="n"/>
      <c r="R70" s="24" t="n"/>
      <c r="S70" s="21" t="n"/>
      <c r="T70" s="21" t="n"/>
      <c r="U70" s="21" t="n"/>
      <c r="V70" s="21" t="n"/>
      <c r="W70" s="21" t="n"/>
      <c r="X70" s="21" t="n"/>
    </row>
    <row r="71">
      <c r="A71" s="20" t="inlineStr">
        <is>
          <t>ACT-049</t>
        </is>
      </c>
      <c r="B71" s="21" t="n"/>
      <c r="C71" s="21" t="n"/>
      <c r="D71" s="21" t="n"/>
      <c r="E71" s="21" t="n"/>
      <c r="F71" s="21" t="n"/>
      <c r="G71" s="21" t="n"/>
      <c r="H71" s="21" t="n"/>
      <c r="I71" s="21" t="n"/>
      <c r="J71" s="21" t="n"/>
      <c r="K71" s="21" t="n"/>
      <c r="L71" s="21" t="n"/>
      <c r="M71" s="25">
        <f>IF(G71="Completed",IF(ISBLANK(L71),"",L71-J71),IF(ISBLANK(J71),"",TODAY()-J71))</f>
        <v/>
      </c>
      <c r="N71" s="25">
        <f>IF(G71="Completed",0,IF(ISBLANK(K71),"",K71-TODAY()))</f>
        <v/>
      </c>
      <c r="O71" s="25">
        <f>IF(G71="Completed","Completed",IF(ISBLANK(N71),"",IF(N71&lt;0,"Overdue",IF(N71&lt;7,"At Risk","On Time"))))</f>
        <v/>
      </c>
      <c r="P71" s="21" t="n"/>
      <c r="Q71" s="21" t="n"/>
      <c r="R71" s="24" t="n"/>
      <c r="S71" s="21" t="n"/>
      <c r="T71" s="21" t="n"/>
      <c r="U71" s="21" t="n"/>
      <c r="V71" s="21" t="n"/>
      <c r="W71" s="21" t="n"/>
      <c r="X71" s="21" t="n"/>
    </row>
    <row r="72">
      <c r="A72" s="20" t="inlineStr">
        <is>
          <t>ACT-050</t>
        </is>
      </c>
      <c r="B72" s="21" t="n"/>
      <c r="C72" s="21" t="n"/>
      <c r="D72" s="21" t="n"/>
      <c r="E72" s="21" t="n"/>
      <c r="F72" s="21" t="n"/>
      <c r="G72" s="21" t="n"/>
      <c r="H72" s="21" t="n"/>
      <c r="I72" s="21" t="n"/>
      <c r="J72" s="21" t="n"/>
      <c r="K72" s="21" t="n"/>
      <c r="L72" s="21" t="n"/>
      <c r="M72" s="25">
        <f>IF(G72="Completed",IF(ISBLANK(L72),"",L72-J72),IF(ISBLANK(J72),"",TODAY()-J72))</f>
        <v/>
      </c>
      <c r="N72" s="25">
        <f>IF(G72="Completed",0,IF(ISBLANK(K72),"",K72-TODAY()))</f>
        <v/>
      </c>
      <c r="O72" s="25">
        <f>IF(G72="Completed","Completed",IF(ISBLANK(N72),"",IF(N72&lt;0,"Overdue",IF(N72&lt;7,"At Risk","On Time"))))</f>
        <v/>
      </c>
      <c r="P72" s="21" t="n"/>
      <c r="Q72" s="21" t="n"/>
      <c r="R72" s="24" t="n"/>
      <c r="S72" s="21" t="n"/>
      <c r="T72" s="21" t="n"/>
      <c r="U72" s="21" t="n"/>
      <c r="V72" s="21" t="n"/>
      <c r="W72" s="21" t="n"/>
      <c r="X72" s="21" t="n"/>
    </row>
    <row r="73">
      <c r="A73" s="20" t="inlineStr">
        <is>
          <t>ACT-051</t>
        </is>
      </c>
      <c r="B73" s="21" t="n"/>
      <c r="C73" s="21" t="n"/>
      <c r="D73" s="21" t="n"/>
      <c r="E73" s="21" t="n"/>
      <c r="F73" s="21" t="n"/>
      <c r="G73" s="21" t="n"/>
      <c r="H73" s="21" t="n"/>
      <c r="I73" s="21" t="n"/>
      <c r="J73" s="21" t="n"/>
      <c r="K73" s="21" t="n"/>
      <c r="L73" s="21" t="n"/>
      <c r="M73" s="25">
        <f>IF(G73="Completed",IF(ISBLANK(L73),"",L73-J73),IF(ISBLANK(J73),"",TODAY()-J73))</f>
        <v/>
      </c>
      <c r="N73" s="25">
        <f>IF(G73="Completed",0,IF(ISBLANK(K73),"",K73-TODAY()))</f>
        <v/>
      </c>
      <c r="O73" s="25">
        <f>IF(G73="Completed","Completed",IF(ISBLANK(N73),"",IF(N73&lt;0,"Overdue",IF(N73&lt;7,"At Risk","On Time"))))</f>
        <v/>
      </c>
      <c r="P73" s="21" t="n"/>
      <c r="Q73" s="21" t="n"/>
      <c r="R73" s="24" t="n"/>
      <c r="S73" s="21" t="n"/>
      <c r="T73" s="21" t="n"/>
      <c r="U73" s="21" t="n"/>
      <c r="V73" s="21" t="n"/>
      <c r="W73" s="21" t="n"/>
      <c r="X73" s="21" t="n"/>
    </row>
    <row r="74">
      <c r="A74" s="20" t="inlineStr">
        <is>
          <t>ACT-052</t>
        </is>
      </c>
      <c r="B74" s="21" t="n"/>
      <c r="C74" s="21" t="n"/>
      <c r="D74" s="21" t="n"/>
      <c r="E74" s="21" t="n"/>
      <c r="F74" s="21" t="n"/>
      <c r="G74" s="21" t="n"/>
      <c r="H74" s="21" t="n"/>
      <c r="I74" s="21" t="n"/>
      <c r="J74" s="21" t="n"/>
      <c r="K74" s="21" t="n"/>
      <c r="L74" s="21" t="n"/>
      <c r="M74" s="25">
        <f>IF(G74="Completed",IF(ISBLANK(L74),"",L74-J74),IF(ISBLANK(J74),"",TODAY()-J74))</f>
        <v/>
      </c>
      <c r="N74" s="25">
        <f>IF(G74="Completed",0,IF(ISBLANK(K74),"",K74-TODAY()))</f>
        <v/>
      </c>
      <c r="O74" s="25">
        <f>IF(G74="Completed","Completed",IF(ISBLANK(N74),"",IF(N74&lt;0,"Overdue",IF(N74&lt;7,"At Risk","On Time"))))</f>
        <v/>
      </c>
      <c r="P74" s="21" t="n"/>
      <c r="Q74" s="21" t="n"/>
      <c r="R74" s="24" t="n"/>
      <c r="S74" s="21" t="n"/>
      <c r="T74" s="21" t="n"/>
      <c r="U74" s="21" t="n"/>
      <c r="V74" s="21" t="n"/>
      <c r="W74" s="21" t="n"/>
      <c r="X74" s="21" t="n"/>
    </row>
    <row r="75">
      <c r="A75" s="20" t="inlineStr">
        <is>
          <t>ACT-053</t>
        </is>
      </c>
      <c r="B75" s="21" t="n"/>
      <c r="C75" s="21" t="n"/>
      <c r="D75" s="21" t="n"/>
      <c r="E75" s="21" t="n"/>
      <c r="F75" s="21" t="n"/>
      <c r="G75" s="21" t="n"/>
      <c r="H75" s="21" t="n"/>
      <c r="I75" s="21" t="n"/>
      <c r="J75" s="21" t="n"/>
      <c r="K75" s="21" t="n"/>
      <c r="L75" s="21" t="n"/>
      <c r="M75" s="25">
        <f>IF(G75="Completed",IF(ISBLANK(L75),"",L75-J75),IF(ISBLANK(J75),"",TODAY()-J75))</f>
        <v/>
      </c>
      <c r="N75" s="25">
        <f>IF(G75="Completed",0,IF(ISBLANK(K75),"",K75-TODAY()))</f>
        <v/>
      </c>
      <c r="O75" s="25">
        <f>IF(G75="Completed","Completed",IF(ISBLANK(N75),"",IF(N75&lt;0,"Overdue",IF(N75&lt;7,"At Risk","On Time"))))</f>
        <v/>
      </c>
      <c r="P75" s="21" t="n"/>
      <c r="Q75" s="21" t="n"/>
      <c r="R75" s="24" t="n"/>
      <c r="S75" s="21" t="n"/>
      <c r="T75" s="21" t="n"/>
      <c r="U75" s="21" t="n"/>
      <c r="V75" s="21" t="n"/>
      <c r="W75" s="21" t="n"/>
      <c r="X75" s="21" t="n"/>
    </row>
    <row r="76">
      <c r="A76" s="20" t="inlineStr">
        <is>
          <t>ACT-054</t>
        </is>
      </c>
      <c r="B76" s="21" t="n"/>
      <c r="C76" s="21" t="n"/>
      <c r="D76" s="21" t="n"/>
      <c r="E76" s="21" t="n"/>
      <c r="F76" s="21" t="n"/>
      <c r="G76" s="21" t="n"/>
      <c r="H76" s="21" t="n"/>
      <c r="I76" s="21" t="n"/>
      <c r="J76" s="21" t="n"/>
      <c r="K76" s="21" t="n"/>
      <c r="L76" s="21" t="n"/>
      <c r="M76" s="25">
        <f>IF(G76="Completed",IF(ISBLANK(L76),"",L76-J76),IF(ISBLANK(J76),"",TODAY()-J76))</f>
        <v/>
      </c>
      <c r="N76" s="25">
        <f>IF(G76="Completed",0,IF(ISBLANK(K76),"",K76-TODAY()))</f>
        <v/>
      </c>
      <c r="O76" s="25">
        <f>IF(G76="Completed","Completed",IF(ISBLANK(N76),"",IF(N76&lt;0,"Overdue",IF(N76&lt;7,"At Risk","On Time"))))</f>
        <v/>
      </c>
      <c r="P76" s="21" t="n"/>
      <c r="Q76" s="21" t="n"/>
      <c r="R76" s="24" t="n"/>
      <c r="S76" s="21" t="n"/>
      <c r="T76" s="21" t="n"/>
      <c r="U76" s="21" t="n"/>
      <c r="V76" s="21" t="n"/>
      <c r="W76" s="21" t="n"/>
      <c r="X76" s="21" t="n"/>
    </row>
    <row r="77">
      <c r="A77" s="20" t="inlineStr">
        <is>
          <t>ACT-055</t>
        </is>
      </c>
      <c r="B77" s="21" t="n"/>
      <c r="C77" s="21" t="n"/>
      <c r="D77" s="21" t="n"/>
      <c r="E77" s="21" t="n"/>
      <c r="F77" s="21" t="n"/>
      <c r="G77" s="21" t="n"/>
      <c r="H77" s="21" t="n"/>
      <c r="I77" s="21" t="n"/>
      <c r="J77" s="21" t="n"/>
      <c r="K77" s="21" t="n"/>
      <c r="L77" s="21" t="n"/>
      <c r="M77" s="25">
        <f>IF(G77="Completed",IF(ISBLANK(L77),"",L77-J77),IF(ISBLANK(J77),"",TODAY()-J77))</f>
        <v/>
      </c>
      <c r="N77" s="25">
        <f>IF(G77="Completed",0,IF(ISBLANK(K77),"",K77-TODAY()))</f>
        <v/>
      </c>
      <c r="O77" s="25">
        <f>IF(G77="Completed","Completed",IF(ISBLANK(N77),"",IF(N77&lt;0,"Overdue",IF(N77&lt;7,"At Risk","On Time"))))</f>
        <v/>
      </c>
      <c r="P77" s="21" t="n"/>
      <c r="Q77" s="21" t="n"/>
      <c r="R77" s="24" t="n"/>
      <c r="S77" s="21" t="n"/>
      <c r="T77" s="21" t="n"/>
      <c r="U77" s="21" t="n"/>
      <c r="V77" s="21" t="n"/>
      <c r="W77" s="21" t="n"/>
      <c r="X77" s="21" t="n"/>
    </row>
    <row r="78">
      <c r="A78" s="20" t="inlineStr">
        <is>
          <t>ACT-056</t>
        </is>
      </c>
      <c r="B78" s="21" t="n"/>
      <c r="C78" s="21" t="n"/>
      <c r="D78" s="21" t="n"/>
      <c r="E78" s="21" t="n"/>
      <c r="F78" s="21" t="n"/>
      <c r="G78" s="21" t="n"/>
      <c r="H78" s="21" t="n"/>
      <c r="I78" s="21" t="n"/>
      <c r="J78" s="21" t="n"/>
      <c r="K78" s="21" t="n"/>
      <c r="L78" s="21" t="n"/>
      <c r="M78" s="25">
        <f>IF(G78="Completed",IF(ISBLANK(L78),"",L78-J78),IF(ISBLANK(J78),"",TODAY()-J78))</f>
        <v/>
      </c>
      <c r="N78" s="25">
        <f>IF(G78="Completed",0,IF(ISBLANK(K78),"",K78-TODAY()))</f>
        <v/>
      </c>
      <c r="O78" s="25">
        <f>IF(G78="Completed","Completed",IF(ISBLANK(N78),"",IF(N78&lt;0,"Overdue",IF(N78&lt;7,"At Risk","On Time"))))</f>
        <v/>
      </c>
      <c r="P78" s="21" t="n"/>
      <c r="Q78" s="21" t="n"/>
      <c r="R78" s="24" t="n"/>
      <c r="S78" s="21" t="n"/>
      <c r="T78" s="21" t="n"/>
      <c r="U78" s="21" t="n"/>
      <c r="V78" s="21" t="n"/>
      <c r="W78" s="21" t="n"/>
      <c r="X78" s="21" t="n"/>
    </row>
    <row r="79">
      <c r="A79" s="20" t="inlineStr">
        <is>
          <t>ACT-057</t>
        </is>
      </c>
      <c r="B79" s="21" t="n"/>
      <c r="C79" s="21" t="n"/>
      <c r="D79" s="21" t="n"/>
      <c r="E79" s="21" t="n"/>
      <c r="F79" s="21" t="n"/>
      <c r="G79" s="21" t="n"/>
      <c r="H79" s="21" t="n"/>
      <c r="I79" s="21" t="n"/>
      <c r="J79" s="21" t="n"/>
      <c r="K79" s="21" t="n"/>
      <c r="L79" s="21" t="n"/>
      <c r="M79" s="25">
        <f>IF(G79="Completed",IF(ISBLANK(L79),"",L79-J79),IF(ISBLANK(J79),"",TODAY()-J79))</f>
        <v/>
      </c>
      <c r="N79" s="25">
        <f>IF(G79="Completed",0,IF(ISBLANK(K79),"",K79-TODAY()))</f>
        <v/>
      </c>
      <c r="O79" s="25">
        <f>IF(G79="Completed","Completed",IF(ISBLANK(N79),"",IF(N79&lt;0,"Overdue",IF(N79&lt;7,"At Risk","On Time"))))</f>
        <v/>
      </c>
      <c r="P79" s="21" t="n"/>
      <c r="Q79" s="21" t="n"/>
      <c r="R79" s="24" t="n"/>
      <c r="S79" s="21" t="n"/>
      <c r="T79" s="21" t="n"/>
      <c r="U79" s="21" t="n"/>
      <c r="V79" s="21" t="n"/>
      <c r="W79" s="21" t="n"/>
      <c r="X79" s="21" t="n"/>
    </row>
    <row r="80">
      <c r="A80" s="20" t="inlineStr">
        <is>
          <t>ACT-058</t>
        </is>
      </c>
      <c r="B80" s="21" t="n"/>
      <c r="C80" s="21" t="n"/>
      <c r="D80" s="21" t="n"/>
      <c r="E80" s="21" t="n"/>
      <c r="F80" s="21" t="n"/>
      <c r="G80" s="21" t="n"/>
      <c r="H80" s="21" t="n"/>
      <c r="I80" s="21" t="n"/>
      <c r="J80" s="21" t="n"/>
      <c r="K80" s="21" t="n"/>
      <c r="L80" s="21" t="n"/>
      <c r="M80" s="25">
        <f>IF(G80="Completed",IF(ISBLANK(L80),"",L80-J80),IF(ISBLANK(J80),"",TODAY()-J80))</f>
        <v/>
      </c>
      <c r="N80" s="25">
        <f>IF(G80="Completed",0,IF(ISBLANK(K80),"",K80-TODAY()))</f>
        <v/>
      </c>
      <c r="O80" s="25">
        <f>IF(G80="Completed","Completed",IF(ISBLANK(N80),"",IF(N80&lt;0,"Overdue",IF(N80&lt;7,"At Risk","On Time"))))</f>
        <v/>
      </c>
      <c r="P80" s="21" t="n"/>
      <c r="Q80" s="21" t="n"/>
      <c r="R80" s="24" t="n"/>
      <c r="S80" s="21" t="n"/>
      <c r="T80" s="21" t="n"/>
      <c r="U80" s="21" t="n"/>
      <c r="V80" s="21" t="n"/>
      <c r="W80" s="21" t="n"/>
      <c r="X80" s="21" t="n"/>
    </row>
    <row r="81">
      <c r="A81" s="20" t="inlineStr">
        <is>
          <t>ACT-059</t>
        </is>
      </c>
      <c r="B81" s="21" t="n"/>
      <c r="C81" s="21" t="n"/>
      <c r="D81" s="21" t="n"/>
      <c r="E81" s="21" t="n"/>
      <c r="F81" s="21" t="n"/>
      <c r="G81" s="21" t="n"/>
      <c r="H81" s="21" t="n"/>
      <c r="I81" s="21" t="n"/>
      <c r="J81" s="21" t="n"/>
      <c r="K81" s="21" t="n"/>
      <c r="L81" s="21" t="n"/>
      <c r="M81" s="25">
        <f>IF(G81="Completed",IF(ISBLANK(L81),"",L81-J81),IF(ISBLANK(J81),"",TODAY()-J81))</f>
        <v/>
      </c>
      <c r="N81" s="25">
        <f>IF(G81="Completed",0,IF(ISBLANK(K81),"",K81-TODAY()))</f>
        <v/>
      </c>
      <c r="O81" s="25">
        <f>IF(G81="Completed","Completed",IF(ISBLANK(N81),"",IF(N81&lt;0,"Overdue",IF(N81&lt;7,"At Risk","On Time"))))</f>
        <v/>
      </c>
      <c r="P81" s="21" t="n"/>
      <c r="Q81" s="21" t="n"/>
      <c r="R81" s="24" t="n"/>
      <c r="S81" s="21" t="n"/>
      <c r="T81" s="21" t="n"/>
      <c r="U81" s="21" t="n"/>
      <c r="V81" s="21" t="n"/>
      <c r="W81" s="21" t="n"/>
      <c r="X81" s="21" t="n"/>
    </row>
    <row r="82">
      <c r="A82" s="20" t="inlineStr">
        <is>
          <t>ACT-060</t>
        </is>
      </c>
      <c r="B82" s="21" t="n"/>
      <c r="C82" s="21" t="n"/>
      <c r="D82" s="21" t="n"/>
      <c r="E82" s="21" t="n"/>
      <c r="F82" s="21" t="n"/>
      <c r="G82" s="21" t="n"/>
      <c r="H82" s="21" t="n"/>
      <c r="I82" s="21" t="n"/>
      <c r="J82" s="21" t="n"/>
      <c r="K82" s="21" t="n"/>
      <c r="L82" s="21" t="n"/>
      <c r="M82" s="25">
        <f>IF(G82="Completed",IF(ISBLANK(L82),"",L82-J82),IF(ISBLANK(J82),"",TODAY()-J82))</f>
        <v/>
      </c>
      <c r="N82" s="25">
        <f>IF(G82="Completed",0,IF(ISBLANK(K82),"",K82-TODAY()))</f>
        <v/>
      </c>
      <c r="O82" s="25">
        <f>IF(G82="Completed","Completed",IF(ISBLANK(N82),"",IF(N82&lt;0,"Overdue",IF(N82&lt;7,"At Risk","On Time"))))</f>
        <v/>
      </c>
      <c r="P82" s="21" t="n"/>
      <c r="Q82" s="21" t="n"/>
      <c r="R82" s="24" t="n"/>
      <c r="S82" s="21" t="n"/>
      <c r="T82" s="21" t="n"/>
      <c r="U82" s="21" t="n"/>
      <c r="V82" s="21" t="n"/>
      <c r="W82" s="21" t="n"/>
      <c r="X82" s="21" t="n"/>
    </row>
    <row r="83">
      <c r="A83" s="20" t="inlineStr">
        <is>
          <t>ACT-061</t>
        </is>
      </c>
      <c r="B83" s="21" t="n"/>
      <c r="C83" s="21" t="n"/>
      <c r="D83" s="21" t="n"/>
      <c r="E83" s="21" t="n"/>
      <c r="F83" s="21" t="n"/>
      <c r="G83" s="21" t="n"/>
      <c r="H83" s="21" t="n"/>
      <c r="I83" s="21" t="n"/>
      <c r="J83" s="21" t="n"/>
      <c r="K83" s="21" t="n"/>
      <c r="L83" s="21" t="n"/>
      <c r="M83" s="25">
        <f>IF(G83="Completed",IF(ISBLANK(L83),"",L83-J83),IF(ISBLANK(J83),"",TODAY()-J83))</f>
        <v/>
      </c>
      <c r="N83" s="25">
        <f>IF(G83="Completed",0,IF(ISBLANK(K83),"",K83-TODAY()))</f>
        <v/>
      </c>
      <c r="O83" s="25">
        <f>IF(G83="Completed","Completed",IF(ISBLANK(N83),"",IF(N83&lt;0,"Overdue",IF(N83&lt;7,"At Risk","On Time"))))</f>
        <v/>
      </c>
      <c r="P83" s="21" t="n"/>
      <c r="Q83" s="21" t="n"/>
      <c r="R83" s="24" t="n"/>
      <c r="S83" s="21" t="n"/>
      <c r="T83" s="21" t="n"/>
      <c r="U83" s="21" t="n"/>
      <c r="V83" s="21" t="n"/>
      <c r="W83" s="21" t="n"/>
      <c r="X83" s="21" t="n"/>
    </row>
    <row r="84">
      <c r="A84" s="20" t="inlineStr">
        <is>
          <t>ACT-062</t>
        </is>
      </c>
      <c r="B84" s="21" t="n"/>
      <c r="C84" s="21" t="n"/>
      <c r="D84" s="21" t="n"/>
      <c r="E84" s="21" t="n"/>
      <c r="F84" s="21" t="n"/>
      <c r="G84" s="21" t="n"/>
      <c r="H84" s="21" t="n"/>
      <c r="I84" s="21" t="n"/>
      <c r="J84" s="21" t="n"/>
      <c r="K84" s="21" t="n"/>
      <c r="L84" s="21" t="n"/>
      <c r="M84" s="25">
        <f>IF(G84="Completed",IF(ISBLANK(L84),"",L84-J84),IF(ISBLANK(J84),"",TODAY()-J84))</f>
        <v/>
      </c>
      <c r="N84" s="25">
        <f>IF(G84="Completed",0,IF(ISBLANK(K84),"",K84-TODAY()))</f>
        <v/>
      </c>
      <c r="O84" s="25">
        <f>IF(G84="Completed","Completed",IF(ISBLANK(N84),"",IF(N84&lt;0,"Overdue",IF(N84&lt;7,"At Risk","On Time"))))</f>
        <v/>
      </c>
      <c r="P84" s="21" t="n"/>
      <c r="Q84" s="21" t="n"/>
      <c r="R84" s="24" t="n"/>
      <c r="S84" s="21" t="n"/>
      <c r="T84" s="21" t="n"/>
      <c r="U84" s="21" t="n"/>
      <c r="V84" s="21" t="n"/>
      <c r="W84" s="21" t="n"/>
      <c r="X84" s="21" t="n"/>
    </row>
    <row r="85">
      <c r="A85" s="20" t="inlineStr">
        <is>
          <t>ACT-063</t>
        </is>
      </c>
      <c r="B85" s="21" t="n"/>
      <c r="C85" s="21" t="n"/>
      <c r="D85" s="21" t="n"/>
      <c r="E85" s="21" t="n"/>
      <c r="F85" s="21" t="n"/>
      <c r="G85" s="21" t="n"/>
      <c r="H85" s="21" t="n"/>
      <c r="I85" s="21" t="n"/>
      <c r="J85" s="21" t="n"/>
      <c r="K85" s="21" t="n"/>
      <c r="L85" s="21" t="n"/>
      <c r="M85" s="25">
        <f>IF(G85="Completed",IF(ISBLANK(L85),"",L85-J85),IF(ISBLANK(J85),"",TODAY()-J85))</f>
        <v/>
      </c>
      <c r="N85" s="25">
        <f>IF(G85="Completed",0,IF(ISBLANK(K85),"",K85-TODAY()))</f>
        <v/>
      </c>
      <c r="O85" s="25">
        <f>IF(G85="Completed","Completed",IF(ISBLANK(N85),"",IF(N85&lt;0,"Overdue",IF(N85&lt;7,"At Risk","On Time"))))</f>
        <v/>
      </c>
      <c r="P85" s="21" t="n"/>
      <c r="Q85" s="21" t="n"/>
      <c r="R85" s="24" t="n"/>
      <c r="S85" s="21" t="n"/>
      <c r="T85" s="21" t="n"/>
      <c r="U85" s="21" t="n"/>
      <c r="V85" s="21" t="n"/>
      <c r="W85" s="21" t="n"/>
      <c r="X85" s="21" t="n"/>
    </row>
    <row r="86">
      <c r="A86" s="20" t="inlineStr">
        <is>
          <t>ACT-064</t>
        </is>
      </c>
      <c r="B86" s="21" t="n"/>
      <c r="C86" s="21" t="n"/>
      <c r="D86" s="21" t="n"/>
      <c r="E86" s="21" t="n"/>
      <c r="F86" s="21" t="n"/>
      <c r="G86" s="21" t="n"/>
      <c r="H86" s="21" t="n"/>
      <c r="I86" s="21" t="n"/>
      <c r="J86" s="21" t="n"/>
      <c r="K86" s="21" t="n"/>
      <c r="L86" s="21" t="n"/>
      <c r="M86" s="25">
        <f>IF(G86="Completed",IF(ISBLANK(L86),"",L86-J86),IF(ISBLANK(J86),"",TODAY()-J86))</f>
        <v/>
      </c>
      <c r="N86" s="25">
        <f>IF(G86="Completed",0,IF(ISBLANK(K86),"",K86-TODAY()))</f>
        <v/>
      </c>
      <c r="O86" s="25">
        <f>IF(G86="Completed","Completed",IF(ISBLANK(N86),"",IF(N86&lt;0,"Overdue",IF(N86&lt;7,"At Risk","On Time"))))</f>
        <v/>
      </c>
      <c r="P86" s="21" t="n"/>
      <c r="Q86" s="21" t="n"/>
      <c r="R86" s="24" t="n"/>
      <c r="S86" s="21" t="n"/>
      <c r="T86" s="21" t="n"/>
      <c r="U86" s="21" t="n"/>
      <c r="V86" s="21" t="n"/>
      <c r="W86" s="21" t="n"/>
      <c r="X86" s="21" t="n"/>
    </row>
    <row r="87">
      <c r="A87" s="20" t="inlineStr">
        <is>
          <t>ACT-065</t>
        </is>
      </c>
      <c r="B87" s="21" t="n"/>
      <c r="C87" s="21" t="n"/>
      <c r="D87" s="21" t="n"/>
      <c r="E87" s="21" t="n"/>
      <c r="F87" s="21" t="n"/>
      <c r="G87" s="21" t="n"/>
      <c r="H87" s="21" t="n"/>
      <c r="I87" s="21" t="n"/>
      <c r="J87" s="21" t="n"/>
      <c r="K87" s="21" t="n"/>
      <c r="L87" s="21" t="n"/>
      <c r="M87" s="25">
        <f>IF(G87="Completed",IF(ISBLANK(L87),"",L87-J87),IF(ISBLANK(J87),"",TODAY()-J87))</f>
        <v/>
      </c>
      <c r="N87" s="25">
        <f>IF(G87="Completed",0,IF(ISBLANK(K87),"",K87-TODAY()))</f>
        <v/>
      </c>
      <c r="O87" s="25">
        <f>IF(G87="Completed","Completed",IF(ISBLANK(N87),"",IF(N87&lt;0,"Overdue",IF(N87&lt;7,"At Risk","On Time"))))</f>
        <v/>
      </c>
      <c r="P87" s="21" t="n"/>
      <c r="Q87" s="21" t="n"/>
      <c r="R87" s="24" t="n"/>
      <c r="S87" s="21" t="n"/>
      <c r="T87" s="21" t="n"/>
      <c r="U87" s="21" t="n"/>
      <c r="V87" s="21" t="n"/>
      <c r="W87" s="21" t="n"/>
      <c r="X87" s="21" t="n"/>
    </row>
    <row r="88">
      <c r="A88" s="20" t="inlineStr">
        <is>
          <t>ACT-066</t>
        </is>
      </c>
      <c r="B88" s="21" t="n"/>
      <c r="C88" s="21" t="n"/>
      <c r="D88" s="21" t="n"/>
      <c r="E88" s="21" t="n"/>
      <c r="F88" s="21" t="n"/>
      <c r="G88" s="21" t="n"/>
      <c r="H88" s="21" t="n"/>
      <c r="I88" s="21" t="n"/>
      <c r="J88" s="21" t="n"/>
      <c r="K88" s="21" t="n"/>
      <c r="L88" s="21" t="n"/>
      <c r="M88" s="25">
        <f>IF(G88="Completed",IF(ISBLANK(L88),"",L88-J88),IF(ISBLANK(J88),"",TODAY()-J88))</f>
        <v/>
      </c>
      <c r="N88" s="25">
        <f>IF(G88="Completed",0,IF(ISBLANK(K88),"",K88-TODAY()))</f>
        <v/>
      </c>
      <c r="O88" s="25">
        <f>IF(G88="Completed","Completed",IF(ISBLANK(N88),"",IF(N88&lt;0,"Overdue",IF(N88&lt;7,"At Risk","On Time"))))</f>
        <v/>
      </c>
      <c r="P88" s="21" t="n"/>
      <c r="Q88" s="21" t="n"/>
      <c r="R88" s="24" t="n"/>
      <c r="S88" s="21" t="n"/>
      <c r="T88" s="21" t="n"/>
      <c r="U88" s="21" t="n"/>
      <c r="V88" s="21" t="n"/>
      <c r="W88" s="21" t="n"/>
      <c r="X88" s="21" t="n"/>
    </row>
    <row r="89">
      <c r="A89" s="20" t="inlineStr">
        <is>
          <t>ACT-067</t>
        </is>
      </c>
      <c r="B89" s="21" t="n"/>
      <c r="C89" s="21" t="n"/>
      <c r="D89" s="21" t="n"/>
      <c r="E89" s="21" t="n"/>
      <c r="F89" s="21" t="n"/>
      <c r="G89" s="21" t="n"/>
      <c r="H89" s="21" t="n"/>
      <c r="I89" s="21" t="n"/>
      <c r="J89" s="21" t="n"/>
      <c r="K89" s="21" t="n"/>
      <c r="L89" s="21" t="n"/>
      <c r="M89" s="25">
        <f>IF(G89="Completed",IF(ISBLANK(L89),"",L89-J89),IF(ISBLANK(J89),"",TODAY()-J89))</f>
        <v/>
      </c>
      <c r="N89" s="25">
        <f>IF(G89="Completed",0,IF(ISBLANK(K89),"",K89-TODAY()))</f>
        <v/>
      </c>
      <c r="O89" s="25">
        <f>IF(G89="Completed","Completed",IF(ISBLANK(N89),"",IF(N89&lt;0,"Overdue",IF(N89&lt;7,"At Risk","On Time"))))</f>
        <v/>
      </c>
      <c r="P89" s="21" t="n"/>
      <c r="Q89" s="21" t="n"/>
      <c r="R89" s="24" t="n"/>
      <c r="S89" s="21" t="n"/>
      <c r="T89" s="21" t="n"/>
      <c r="U89" s="21" t="n"/>
      <c r="V89" s="21" t="n"/>
      <c r="W89" s="21" t="n"/>
      <c r="X89" s="21" t="n"/>
    </row>
    <row r="90">
      <c r="A90" s="20" t="inlineStr">
        <is>
          <t>ACT-068</t>
        </is>
      </c>
      <c r="B90" s="21" t="n"/>
      <c r="C90" s="21" t="n"/>
      <c r="D90" s="21" t="n"/>
      <c r="E90" s="21" t="n"/>
      <c r="F90" s="21" t="n"/>
      <c r="G90" s="21" t="n"/>
      <c r="H90" s="21" t="n"/>
      <c r="I90" s="21" t="n"/>
      <c r="J90" s="21" t="n"/>
      <c r="K90" s="21" t="n"/>
      <c r="L90" s="21" t="n"/>
      <c r="M90" s="25">
        <f>IF(G90="Completed",IF(ISBLANK(L90),"",L90-J90),IF(ISBLANK(J90),"",TODAY()-J90))</f>
        <v/>
      </c>
      <c r="N90" s="25">
        <f>IF(G90="Completed",0,IF(ISBLANK(K90),"",K90-TODAY()))</f>
        <v/>
      </c>
      <c r="O90" s="25">
        <f>IF(G90="Completed","Completed",IF(ISBLANK(N90),"",IF(N90&lt;0,"Overdue",IF(N90&lt;7,"At Risk","On Time"))))</f>
        <v/>
      </c>
      <c r="P90" s="21" t="n"/>
      <c r="Q90" s="21" t="n"/>
      <c r="R90" s="24" t="n"/>
      <c r="S90" s="21" t="n"/>
      <c r="T90" s="21" t="n"/>
      <c r="U90" s="21" t="n"/>
      <c r="V90" s="21" t="n"/>
      <c r="W90" s="21" t="n"/>
      <c r="X90" s="21" t="n"/>
    </row>
    <row r="91">
      <c r="A91" s="20" t="inlineStr">
        <is>
          <t>ACT-069</t>
        </is>
      </c>
      <c r="B91" s="21" t="n"/>
      <c r="C91" s="21" t="n"/>
      <c r="D91" s="21" t="n"/>
      <c r="E91" s="21" t="n"/>
      <c r="F91" s="21" t="n"/>
      <c r="G91" s="21" t="n"/>
      <c r="H91" s="21" t="n"/>
      <c r="I91" s="21" t="n"/>
      <c r="J91" s="21" t="n"/>
      <c r="K91" s="21" t="n"/>
      <c r="L91" s="21" t="n"/>
      <c r="M91" s="25">
        <f>IF(G91="Completed",IF(ISBLANK(L91),"",L91-J91),IF(ISBLANK(J91),"",TODAY()-J91))</f>
        <v/>
      </c>
      <c r="N91" s="25">
        <f>IF(G91="Completed",0,IF(ISBLANK(K91),"",K91-TODAY()))</f>
        <v/>
      </c>
      <c r="O91" s="25">
        <f>IF(G91="Completed","Completed",IF(ISBLANK(N91),"",IF(N91&lt;0,"Overdue",IF(N91&lt;7,"At Risk","On Time"))))</f>
        <v/>
      </c>
      <c r="P91" s="21" t="n"/>
      <c r="Q91" s="21" t="n"/>
      <c r="R91" s="24" t="n"/>
      <c r="S91" s="21" t="n"/>
      <c r="T91" s="21" t="n"/>
      <c r="U91" s="21" t="n"/>
      <c r="V91" s="21" t="n"/>
      <c r="W91" s="21" t="n"/>
      <c r="X91" s="21" t="n"/>
    </row>
    <row r="92">
      <c r="A92" s="20" t="inlineStr">
        <is>
          <t>ACT-070</t>
        </is>
      </c>
      <c r="B92" s="21" t="n"/>
      <c r="C92" s="21" t="n"/>
      <c r="D92" s="21" t="n"/>
      <c r="E92" s="21" t="n"/>
      <c r="F92" s="21" t="n"/>
      <c r="G92" s="21" t="n"/>
      <c r="H92" s="21" t="n"/>
      <c r="I92" s="21" t="n"/>
      <c r="J92" s="21" t="n"/>
      <c r="K92" s="21" t="n"/>
      <c r="L92" s="21" t="n"/>
      <c r="M92" s="25">
        <f>IF(G92="Completed",IF(ISBLANK(L92),"",L92-J92),IF(ISBLANK(J92),"",TODAY()-J92))</f>
        <v/>
      </c>
      <c r="N92" s="25">
        <f>IF(G92="Completed",0,IF(ISBLANK(K92),"",K92-TODAY()))</f>
        <v/>
      </c>
      <c r="O92" s="25">
        <f>IF(G92="Completed","Completed",IF(ISBLANK(N92),"",IF(N92&lt;0,"Overdue",IF(N92&lt;7,"At Risk","On Time"))))</f>
        <v/>
      </c>
      <c r="P92" s="21" t="n"/>
      <c r="Q92" s="21" t="n"/>
      <c r="R92" s="24" t="n"/>
      <c r="S92" s="21" t="n"/>
      <c r="T92" s="21" t="n"/>
      <c r="U92" s="21" t="n"/>
      <c r="V92" s="21" t="n"/>
      <c r="W92" s="21" t="n"/>
      <c r="X92" s="21" t="n"/>
    </row>
    <row r="93">
      <c r="A93" s="20" t="inlineStr">
        <is>
          <t>ACT-071</t>
        </is>
      </c>
      <c r="B93" s="21" t="n"/>
      <c r="C93" s="21" t="n"/>
      <c r="D93" s="21" t="n"/>
      <c r="E93" s="21" t="n"/>
      <c r="F93" s="21" t="n"/>
      <c r="G93" s="21" t="n"/>
      <c r="H93" s="21" t="n"/>
      <c r="I93" s="21" t="n"/>
      <c r="J93" s="21" t="n"/>
      <c r="K93" s="21" t="n"/>
      <c r="L93" s="21" t="n"/>
      <c r="M93" s="25">
        <f>IF(G93="Completed",IF(ISBLANK(L93),"",L93-J93),IF(ISBLANK(J93),"",TODAY()-J93))</f>
        <v/>
      </c>
      <c r="N93" s="25">
        <f>IF(G93="Completed",0,IF(ISBLANK(K93),"",K93-TODAY()))</f>
        <v/>
      </c>
      <c r="O93" s="25">
        <f>IF(G93="Completed","Completed",IF(ISBLANK(N93),"",IF(N93&lt;0,"Overdue",IF(N93&lt;7,"At Risk","On Time"))))</f>
        <v/>
      </c>
      <c r="P93" s="21" t="n"/>
      <c r="Q93" s="21" t="n"/>
      <c r="R93" s="24" t="n"/>
      <c r="S93" s="21" t="n"/>
      <c r="T93" s="21" t="n"/>
      <c r="U93" s="21" t="n"/>
      <c r="V93" s="21" t="n"/>
      <c r="W93" s="21" t="n"/>
      <c r="X93" s="21" t="n"/>
    </row>
    <row r="94">
      <c r="A94" s="20" t="inlineStr">
        <is>
          <t>ACT-072</t>
        </is>
      </c>
      <c r="B94" s="21" t="n"/>
      <c r="C94" s="21" t="n"/>
      <c r="D94" s="21" t="n"/>
      <c r="E94" s="21" t="n"/>
      <c r="F94" s="21" t="n"/>
      <c r="G94" s="21" t="n"/>
      <c r="H94" s="21" t="n"/>
      <c r="I94" s="21" t="n"/>
      <c r="J94" s="21" t="n"/>
      <c r="K94" s="21" t="n"/>
      <c r="L94" s="21" t="n"/>
      <c r="M94" s="25">
        <f>IF(G94="Completed",IF(ISBLANK(L94),"",L94-J94),IF(ISBLANK(J94),"",TODAY()-J94))</f>
        <v/>
      </c>
      <c r="N94" s="25">
        <f>IF(G94="Completed",0,IF(ISBLANK(K94),"",K94-TODAY()))</f>
        <v/>
      </c>
      <c r="O94" s="25">
        <f>IF(G94="Completed","Completed",IF(ISBLANK(N94),"",IF(N94&lt;0,"Overdue",IF(N94&lt;7,"At Risk","On Time"))))</f>
        <v/>
      </c>
      <c r="P94" s="21" t="n"/>
      <c r="Q94" s="21" t="n"/>
      <c r="R94" s="24" t="n"/>
      <c r="S94" s="21" t="n"/>
      <c r="T94" s="21" t="n"/>
      <c r="U94" s="21" t="n"/>
      <c r="V94" s="21" t="n"/>
      <c r="W94" s="21" t="n"/>
      <c r="X94" s="21" t="n"/>
    </row>
    <row r="95">
      <c r="A95" s="20" t="inlineStr">
        <is>
          <t>ACT-073</t>
        </is>
      </c>
      <c r="B95" s="21" t="n"/>
      <c r="C95" s="21" t="n"/>
      <c r="D95" s="21" t="n"/>
      <c r="E95" s="21" t="n"/>
      <c r="F95" s="21" t="n"/>
      <c r="G95" s="21" t="n"/>
      <c r="H95" s="21" t="n"/>
      <c r="I95" s="21" t="n"/>
      <c r="J95" s="21" t="n"/>
      <c r="K95" s="21" t="n"/>
      <c r="L95" s="21" t="n"/>
      <c r="M95" s="25">
        <f>IF(G95="Completed",IF(ISBLANK(L95),"",L95-J95),IF(ISBLANK(J95),"",TODAY()-J95))</f>
        <v/>
      </c>
      <c r="N95" s="25">
        <f>IF(G95="Completed",0,IF(ISBLANK(K95),"",K95-TODAY()))</f>
        <v/>
      </c>
      <c r="O95" s="25">
        <f>IF(G95="Completed","Completed",IF(ISBLANK(N95),"",IF(N95&lt;0,"Overdue",IF(N95&lt;7,"At Risk","On Time"))))</f>
        <v/>
      </c>
      <c r="P95" s="21" t="n"/>
      <c r="Q95" s="21" t="n"/>
      <c r="R95" s="24" t="n"/>
      <c r="S95" s="21" t="n"/>
      <c r="T95" s="21" t="n"/>
      <c r="U95" s="21" t="n"/>
      <c r="V95" s="21" t="n"/>
      <c r="W95" s="21" t="n"/>
      <c r="X95" s="21" t="n"/>
    </row>
    <row r="96">
      <c r="A96" s="20" t="inlineStr">
        <is>
          <t>ACT-074</t>
        </is>
      </c>
      <c r="B96" s="21" t="n"/>
      <c r="C96" s="21" t="n"/>
      <c r="D96" s="21" t="n"/>
      <c r="E96" s="21" t="n"/>
      <c r="F96" s="21" t="n"/>
      <c r="G96" s="21" t="n"/>
      <c r="H96" s="21" t="n"/>
      <c r="I96" s="21" t="n"/>
      <c r="J96" s="21" t="n"/>
      <c r="K96" s="21" t="n"/>
      <c r="L96" s="21" t="n"/>
      <c r="M96" s="25">
        <f>IF(G96="Completed",IF(ISBLANK(L96),"",L96-J96),IF(ISBLANK(J96),"",TODAY()-J96))</f>
        <v/>
      </c>
      <c r="N96" s="25">
        <f>IF(G96="Completed",0,IF(ISBLANK(K96),"",K96-TODAY()))</f>
        <v/>
      </c>
      <c r="O96" s="25">
        <f>IF(G96="Completed","Completed",IF(ISBLANK(N96),"",IF(N96&lt;0,"Overdue",IF(N96&lt;7,"At Risk","On Time"))))</f>
        <v/>
      </c>
      <c r="P96" s="21" t="n"/>
      <c r="Q96" s="21" t="n"/>
      <c r="R96" s="24" t="n"/>
      <c r="S96" s="21" t="n"/>
      <c r="T96" s="21" t="n"/>
      <c r="U96" s="21" t="n"/>
      <c r="V96" s="21" t="n"/>
      <c r="W96" s="21" t="n"/>
      <c r="X96" s="21" t="n"/>
    </row>
    <row r="97">
      <c r="A97" s="20" t="inlineStr">
        <is>
          <t>ACT-075</t>
        </is>
      </c>
      <c r="B97" s="21" t="n"/>
      <c r="C97" s="21" t="n"/>
      <c r="D97" s="21" t="n"/>
      <c r="E97" s="21" t="n"/>
      <c r="F97" s="21" t="n"/>
      <c r="G97" s="21" t="n"/>
      <c r="H97" s="21" t="n"/>
      <c r="I97" s="21" t="n"/>
      <c r="J97" s="21" t="n"/>
      <c r="K97" s="21" t="n"/>
      <c r="L97" s="21" t="n"/>
      <c r="M97" s="25">
        <f>IF(G97="Completed",IF(ISBLANK(L97),"",L97-J97),IF(ISBLANK(J97),"",TODAY()-J97))</f>
        <v/>
      </c>
      <c r="N97" s="25">
        <f>IF(G97="Completed",0,IF(ISBLANK(K97),"",K97-TODAY()))</f>
        <v/>
      </c>
      <c r="O97" s="25">
        <f>IF(G97="Completed","Completed",IF(ISBLANK(N97),"",IF(N97&lt;0,"Overdue",IF(N97&lt;7,"At Risk","On Time"))))</f>
        <v/>
      </c>
      <c r="P97" s="21" t="n"/>
      <c r="Q97" s="21" t="n"/>
      <c r="R97" s="24" t="n"/>
      <c r="S97" s="21" t="n"/>
      <c r="T97" s="21" t="n"/>
      <c r="U97" s="21" t="n"/>
      <c r="V97" s="21" t="n"/>
      <c r="W97" s="21" t="n"/>
      <c r="X97" s="21" t="n"/>
    </row>
    <row r="98">
      <c r="A98" s="20" t="inlineStr">
        <is>
          <t>ACT-076</t>
        </is>
      </c>
      <c r="B98" s="21" t="n"/>
      <c r="C98" s="21" t="n"/>
      <c r="D98" s="21" t="n"/>
      <c r="E98" s="21" t="n"/>
      <c r="F98" s="21" t="n"/>
      <c r="G98" s="21" t="n"/>
      <c r="H98" s="21" t="n"/>
      <c r="I98" s="21" t="n"/>
      <c r="J98" s="21" t="n"/>
      <c r="K98" s="21" t="n"/>
      <c r="L98" s="21" t="n"/>
      <c r="M98" s="25">
        <f>IF(G98="Completed",IF(ISBLANK(L98),"",L98-J98),IF(ISBLANK(J98),"",TODAY()-J98))</f>
        <v/>
      </c>
      <c r="N98" s="25">
        <f>IF(G98="Completed",0,IF(ISBLANK(K98),"",K98-TODAY()))</f>
        <v/>
      </c>
      <c r="O98" s="25">
        <f>IF(G98="Completed","Completed",IF(ISBLANK(N98),"",IF(N98&lt;0,"Overdue",IF(N98&lt;7,"At Risk","On Time"))))</f>
        <v/>
      </c>
      <c r="P98" s="21" t="n"/>
      <c r="Q98" s="21" t="n"/>
      <c r="R98" s="24" t="n"/>
      <c r="S98" s="21" t="n"/>
      <c r="T98" s="21" t="n"/>
      <c r="U98" s="21" t="n"/>
      <c r="V98" s="21" t="n"/>
      <c r="W98" s="21" t="n"/>
      <c r="X98" s="21" t="n"/>
    </row>
    <row r="99">
      <c r="A99" s="20" t="inlineStr">
        <is>
          <t>ACT-077</t>
        </is>
      </c>
      <c r="B99" s="21" t="n"/>
      <c r="C99" s="21" t="n"/>
      <c r="D99" s="21" t="n"/>
      <c r="E99" s="21" t="n"/>
      <c r="F99" s="21" t="n"/>
      <c r="G99" s="21" t="n"/>
      <c r="H99" s="21" t="n"/>
      <c r="I99" s="21" t="n"/>
      <c r="J99" s="21" t="n"/>
      <c r="K99" s="21" t="n"/>
      <c r="L99" s="21" t="n"/>
      <c r="M99" s="25">
        <f>IF(G99="Completed",IF(ISBLANK(L99),"",L99-J99),IF(ISBLANK(J99),"",TODAY()-J99))</f>
        <v/>
      </c>
      <c r="N99" s="25">
        <f>IF(G99="Completed",0,IF(ISBLANK(K99),"",K99-TODAY()))</f>
        <v/>
      </c>
      <c r="O99" s="25">
        <f>IF(G99="Completed","Completed",IF(ISBLANK(N99),"",IF(N99&lt;0,"Overdue",IF(N99&lt;7,"At Risk","On Time"))))</f>
        <v/>
      </c>
      <c r="P99" s="21" t="n"/>
      <c r="Q99" s="21" t="n"/>
      <c r="R99" s="24" t="n"/>
      <c r="S99" s="21" t="n"/>
      <c r="T99" s="21" t="n"/>
      <c r="U99" s="21" t="n"/>
      <c r="V99" s="21" t="n"/>
      <c r="W99" s="21" t="n"/>
      <c r="X99" s="21" t="n"/>
    </row>
    <row r="100">
      <c r="A100" s="20" t="inlineStr">
        <is>
          <t>ACT-078</t>
        </is>
      </c>
      <c r="B100" s="21" t="n"/>
      <c r="C100" s="21" t="n"/>
      <c r="D100" s="21" t="n"/>
      <c r="E100" s="21" t="n"/>
      <c r="F100" s="21" t="n"/>
      <c r="G100" s="21" t="n"/>
      <c r="H100" s="21" t="n"/>
      <c r="I100" s="21" t="n"/>
      <c r="J100" s="21" t="n"/>
      <c r="K100" s="21" t="n"/>
      <c r="L100" s="21" t="n"/>
      <c r="M100" s="25">
        <f>IF(G100="Completed",IF(ISBLANK(L100),"",L100-J100),IF(ISBLANK(J100),"",TODAY()-J100))</f>
        <v/>
      </c>
      <c r="N100" s="25">
        <f>IF(G100="Completed",0,IF(ISBLANK(K100),"",K100-TODAY()))</f>
        <v/>
      </c>
      <c r="O100" s="25">
        <f>IF(G100="Completed","Completed",IF(ISBLANK(N100),"",IF(N100&lt;0,"Overdue",IF(N100&lt;7,"At Risk","On Time"))))</f>
        <v/>
      </c>
      <c r="P100" s="21" t="n"/>
      <c r="Q100" s="21" t="n"/>
      <c r="R100" s="24" t="n"/>
      <c r="S100" s="21" t="n"/>
      <c r="T100" s="21" t="n"/>
      <c r="U100" s="21" t="n"/>
      <c r="V100" s="21" t="n"/>
      <c r="W100" s="21" t="n"/>
      <c r="X100" s="21" t="n"/>
    </row>
    <row r="101">
      <c r="A101" s="20" t="inlineStr">
        <is>
          <t>ACT-079</t>
        </is>
      </c>
      <c r="B101" s="21" t="n"/>
      <c r="C101" s="21" t="n"/>
      <c r="D101" s="21" t="n"/>
      <c r="E101" s="21" t="n"/>
      <c r="F101" s="21" t="n"/>
      <c r="G101" s="21" t="n"/>
      <c r="H101" s="21" t="n"/>
      <c r="I101" s="21" t="n"/>
      <c r="J101" s="21" t="n"/>
      <c r="K101" s="21" t="n"/>
      <c r="L101" s="21" t="n"/>
      <c r="M101" s="25">
        <f>IF(G101="Completed",IF(ISBLANK(L101),"",L101-J101),IF(ISBLANK(J101),"",TODAY()-J101))</f>
        <v/>
      </c>
      <c r="N101" s="25">
        <f>IF(G101="Completed",0,IF(ISBLANK(K101),"",K101-TODAY()))</f>
        <v/>
      </c>
      <c r="O101" s="25">
        <f>IF(G101="Completed","Completed",IF(ISBLANK(N101),"",IF(N101&lt;0,"Overdue",IF(N101&lt;7,"At Risk","On Time"))))</f>
        <v/>
      </c>
      <c r="P101" s="21" t="n"/>
      <c r="Q101" s="21" t="n"/>
      <c r="R101" s="24" t="n"/>
      <c r="S101" s="21" t="n"/>
      <c r="T101" s="21" t="n"/>
      <c r="U101" s="21" t="n"/>
      <c r="V101" s="21" t="n"/>
      <c r="W101" s="21" t="n"/>
      <c r="X101" s="21" t="n"/>
    </row>
    <row r="102">
      <c r="A102" s="20" t="inlineStr">
        <is>
          <t>ACT-080</t>
        </is>
      </c>
      <c r="B102" s="21" t="n"/>
      <c r="C102" s="21" t="n"/>
      <c r="D102" s="21" t="n"/>
      <c r="E102" s="21" t="n"/>
      <c r="F102" s="21" t="n"/>
      <c r="G102" s="21" t="n"/>
      <c r="H102" s="21" t="n"/>
      <c r="I102" s="21" t="n"/>
      <c r="J102" s="21" t="n"/>
      <c r="K102" s="21" t="n"/>
      <c r="L102" s="21" t="n"/>
      <c r="M102" s="25">
        <f>IF(G102="Completed",IF(ISBLANK(L102),"",L102-J102),IF(ISBLANK(J102),"",TODAY()-J102))</f>
        <v/>
      </c>
      <c r="N102" s="25">
        <f>IF(G102="Completed",0,IF(ISBLANK(K102),"",K102-TODAY()))</f>
        <v/>
      </c>
      <c r="O102" s="25">
        <f>IF(G102="Completed","Completed",IF(ISBLANK(N102),"",IF(N102&lt;0,"Overdue",IF(N102&lt;7,"At Risk","On Time"))))</f>
        <v/>
      </c>
      <c r="P102" s="21" t="n"/>
      <c r="Q102" s="21" t="n"/>
      <c r="R102" s="24" t="n"/>
      <c r="S102" s="21" t="n"/>
      <c r="T102" s="21" t="n"/>
      <c r="U102" s="21" t="n"/>
      <c r="V102" s="21" t="n"/>
      <c r="W102" s="21" t="n"/>
      <c r="X102" s="21" t="n"/>
    </row>
    <row r="103">
      <c r="A103" s="20" t="inlineStr">
        <is>
          <t>ACT-081</t>
        </is>
      </c>
      <c r="B103" s="21" t="n"/>
      <c r="C103" s="21" t="n"/>
      <c r="D103" s="21" t="n"/>
      <c r="E103" s="21" t="n"/>
      <c r="F103" s="21" t="n"/>
      <c r="G103" s="21" t="n"/>
      <c r="H103" s="21" t="n"/>
      <c r="I103" s="21" t="n"/>
      <c r="J103" s="21" t="n"/>
      <c r="K103" s="21" t="n"/>
      <c r="L103" s="21" t="n"/>
      <c r="M103" s="25">
        <f>IF(G103="Completed",IF(ISBLANK(L103),"",L103-J103),IF(ISBLANK(J103),"",TODAY()-J103))</f>
        <v/>
      </c>
      <c r="N103" s="25">
        <f>IF(G103="Completed",0,IF(ISBLANK(K103),"",K103-TODAY()))</f>
        <v/>
      </c>
      <c r="O103" s="25">
        <f>IF(G103="Completed","Completed",IF(ISBLANK(N103),"",IF(N103&lt;0,"Overdue",IF(N103&lt;7,"At Risk","On Time"))))</f>
        <v/>
      </c>
      <c r="P103" s="21" t="n"/>
      <c r="Q103" s="21" t="n"/>
      <c r="R103" s="24" t="n"/>
      <c r="S103" s="21" t="n"/>
      <c r="T103" s="21" t="n"/>
      <c r="U103" s="21" t="n"/>
      <c r="V103" s="21" t="n"/>
      <c r="W103" s="21" t="n"/>
      <c r="X103" s="21" t="n"/>
    </row>
    <row r="104">
      <c r="A104" s="20" t="inlineStr">
        <is>
          <t>ACT-082</t>
        </is>
      </c>
      <c r="B104" s="21" t="n"/>
      <c r="C104" s="21" t="n"/>
      <c r="D104" s="21" t="n"/>
      <c r="E104" s="21" t="n"/>
      <c r="F104" s="21" t="n"/>
      <c r="G104" s="21" t="n"/>
      <c r="H104" s="21" t="n"/>
      <c r="I104" s="21" t="n"/>
      <c r="J104" s="21" t="n"/>
      <c r="K104" s="21" t="n"/>
      <c r="L104" s="21" t="n"/>
      <c r="M104" s="25">
        <f>IF(G104="Completed",IF(ISBLANK(L104),"",L104-J104),IF(ISBLANK(J104),"",TODAY()-J104))</f>
        <v/>
      </c>
      <c r="N104" s="25">
        <f>IF(G104="Completed",0,IF(ISBLANK(K104),"",K104-TODAY()))</f>
        <v/>
      </c>
      <c r="O104" s="25">
        <f>IF(G104="Completed","Completed",IF(ISBLANK(N104),"",IF(N104&lt;0,"Overdue",IF(N104&lt;7,"At Risk","On Time"))))</f>
        <v/>
      </c>
      <c r="P104" s="21" t="n"/>
      <c r="Q104" s="21" t="n"/>
      <c r="R104" s="24" t="n"/>
      <c r="S104" s="21" t="n"/>
      <c r="T104" s="21" t="n"/>
      <c r="U104" s="21" t="n"/>
      <c r="V104" s="21" t="n"/>
      <c r="W104" s="21" t="n"/>
      <c r="X104" s="21" t="n"/>
    </row>
    <row r="105">
      <c r="A105" s="20" t="inlineStr">
        <is>
          <t>ACT-083</t>
        </is>
      </c>
      <c r="B105" s="21" t="n"/>
      <c r="C105" s="21" t="n"/>
      <c r="D105" s="21" t="n"/>
      <c r="E105" s="21" t="n"/>
      <c r="F105" s="21" t="n"/>
      <c r="G105" s="21" t="n"/>
      <c r="H105" s="21" t="n"/>
      <c r="I105" s="21" t="n"/>
      <c r="J105" s="21" t="n"/>
      <c r="K105" s="21" t="n"/>
      <c r="L105" s="21" t="n"/>
      <c r="M105" s="25">
        <f>IF(G105="Completed",IF(ISBLANK(L105),"",L105-J105),IF(ISBLANK(J105),"",TODAY()-J105))</f>
        <v/>
      </c>
      <c r="N105" s="25">
        <f>IF(G105="Completed",0,IF(ISBLANK(K105),"",K105-TODAY()))</f>
        <v/>
      </c>
      <c r="O105" s="25">
        <f>IF(G105="Completed","Completed",IF(ISBLANK(N105),"",IF(N105&lt;0,"Overdue",IF(N105&lt;7,"At Risk","On Time"))))</f>
        <v/>
      </c>
      <c r="P105" s="21" t="n"/>
      <c r="Q105" s="21" t="n"/>
      <c r="R105" s="24" t="n"/>
      <c r="S105" s="21" t="n"/>
      <c r="T105" s="21" t="n"/>
      <c r="U105" s="21" t="n"/>
      <c r="V105" s="21" t="n"/>
      <c r="W105" s="21" t="n"/>
      <c r="X105" s="21" t="n"/>
    </row>
    <row r="106">
      <c r="A106" s="20" t="inlineStr">
        <is>
          <t>ACT-084</t>
        </is>
      </c>
      <c r="B106" s="21" t="n"/>
      <c r="C106" s="21" t="n"/>
      <c r="D106" s="21" t="n"/>
      <c r="E106" s="21" t="n"/>
      <c r="F106" s="21" t="n"/>
      <c r="G106" s="21" t="n"/>
      <c r="H106" s="21" t="n"/>
      <c r="I106" s="21" t="n"/>
      <c r="J106" s="21" t="n"/>
      <c r="K106" s="21" t="n"/>
      <c r="L106" s="21" t="n"/>
      <c r="M106" s="25">
        <f>IF(G106="Completed",IF(ISBLANK(L106),"",L106-J106),IF(ISBLANK(J106),"",TODAY()-J106))</f>
        <v/>
      </c>
      <c r="N106" s="25">
        <f>IF(G106="Completed",0,IF(ISBLANK(K106),"",K106-TODAY()))</f>
        <v/>
      </c>
      <c r="O106" s="25">
        <f>IF(G106="Completed","Completed",IF(ISBLANK(N106),"",IF(N106&lt;0,"Overdue",IF(N106&lt;7,"At Risk","On Time"))))</f>
        <v/>
      </c>
      <c r="P106" s="21" t="n"/>
      <c r="Q106" s="21" t="n"/>
      <c r="R106" s="24" t="n"/>
      <c r="S106" s="21" t="n"/>
      <c r="T106" s="21" t="n"/>
      <c r="U106" s="21" t="n"/>
      <c r="V106" s="21" t="n"/>
      <c r="W106" s="21" t="n"/>
      <c r="X106" s="21" t="n"/>
    </row>
    <row r="107">
      <c r="A107" s="20" t="inlineStr">
        <is>
          <t>ACT-085</t>
        </is>
      </c>
      <c r="B107" s="21" t="n"/>
      <c r="C107" s="21" t="n"/>
      <c r="D107" s="21" t="n"/>
      <c r="E107" s="21" t="n"/>
      <c r="F107" s="21" t="n"/>
      <c r="G107" s="21" t="n"/>
      <c r="H107" s="21" t="n"/>
      <c r="I107" s="21" t="n"/>
      <c r="J107" s="21" t="n"/>
      <c r="K107" s="21" t="n"/>
      <c r="L107" s="21" t="n"/>
      <c r="M107" s="25">
        <f>IF(G107="Completed",IF(ISBLANK(L107),"",L107-J107),IF(ISBLANK(J107),"",TODAY()-J107))</f>
        <v/>
      </c>
      <c r="N107" s="25">
        <f>IF(G107="Completed",0,IF(ISBLANK(K107),"",K107-TODAY()))</f>
        <v/>
      </c>
      <c r="O107" s="25">
        <f>IF(G107="Completed","Completed",IF(ISBLANK(N107),"",IF(N107&lt;0,"Overdue",IF(N107&lt;7,"At Risk","On Time"))))</f>
        <v/>
      </c>
      <c r="P107" s="21" t="n"/>
      <c r="Q107" s="21" t="n"/>
      <c r="R107" s="24" t="n"/>
      <c r="S107" s="21" t="n"/>
      <c r="T107" s="21" t="n"/>
      <c r="U107" s="21" t="n"/>
      <c r="V107" s="21" t="n"/>
      <c r="W107" s="21" t="n"/>
      <c r="X107" s="21" t="n"/>
    </row>
    <row r="108">
      <c r="A108" s="20" t="inlineStr">
        <is>
          <t>ACT-086</t>
        </is>
      </c>
      <c r="B108" s="21" t="n"/>
      <c r="C108" s="21" t="n"/>
      <c r="D108" s="21" t="n"/>
      <c r="E108" s="21" t="n"/>
      <c r="F108" s="21" t="n"/>
      <c r="G108" s="21" t="n"/>
      <c r="H108" s="21" t="n"/>
      <c r="I108" s="21" t="n"/>
      <c r="J108" s="21" t="n"/>
      <c r="K108" s="21" t="n"/>
      <c r="L108" s="21" t="n"/>
      <c r="M108" s="25">
        <f>IF(G108="Completed",IF(ISBLANK(L108),"",L108-J108),IF(ISBLANK(J108),"",TODAY()-J108))</f>
        <v/>
      </c>
      <c r="N108" s="25">
        <f>IF(G108="Completed",0,IF(ISBLANK(K108),"",K108-TODAY()))</f>
        <v/>
      </c>
      <c r="O108" s="25">
        <f>IF(G108="Completed","Completed",IF(ISBLANK(N108),"",IF(N108&lt;0,"Overdue",IF(N108&lt;7,"At Risk","On Time"))))</f>
        <v/>
      </c>
      <c r="P108" s="21" t="n"/>
      <c r="Q108" s="21" t="n"/>
      <c r="R108" s="24" t="n"/>
      <c r="S108" s="21" t="n"/>
      <c r="T108" s="21" t="n"/>
      <c r="U108" s="21" t="n"/>
      <c r="V108" s="21" t="n"/>
      <c r="W108" s="21" t="n"/>
      <c r="X108" s="21" t="n"/>
    </row>
    <row r="109">
      <c r="A109" s="20" t="inlineStr">
        <is>
          <t>ACT-087</t>
        </is>
      </c>
      <c r="B109" s="21" t="n"/>
      <c r="C109" s="21" t="n"/>
      <c r="D109" s="21" t="n"/>
      <c r="E109" s="21" t="n"/>
      <c r="F109" s="21" t="n"/>
      <c r="G109" s="21" t="n"/>
      <c r="H109" s="21" t="n"/>
      <c r="I109" s="21" t="n"/>
      <c r="J109" s="21" t="n"/>
      <c r="K109" s="21" t="n"/>
      <c r="L109" s="21" t="n"/>
      <c r="M109" s="25">
        <f>IF(G109="Completed",IF(ISBLANK(L109),"",L109-J109),IF(ISBLANK(J109),"",TODAY()-J109))</f>
        <v/>
      </c>
      <c r="N109" s="25">
        <f>IF(G109="Completed",0,IF(ISBLANK(K109),"",K109-TODAY()))</f>
        <v/>
      </c>
      <c r="O109" s="25">
        <f>IF(G109="Completed","Completed",IF(ISBLANK(N109),"",IF(N109&lt;0,"Overdue",IF(N109&lt;7,"At Risk","On Time"))))</f>
        <v/>
      </c>
      <c r="P109" s="21" t="n"/>
      <c r="Q109" s="21" t="n"/>
      <c r="R109" s="24" t="n"/>
      <c r="S109" s="21" t="n"/>
      <c r="T109" s="21" t="n"/>
      <c r="U109" s="21" t="n"/>
      <c r="V109" s="21" t="n"/>
      <c r="W109" s="21" t="n"/>
      <c r="X109" s="21" t="n"/>
    </row>
    <row r="110">
      <c r="A110" s="20" t="inlineStr">
        <is>
          <t>ACT-088</t>
        </is>
      </c>
      <c r="B110" s="21" t="n"/>
      <c r="C110" s="21" t="n"/>
      <c r="D110" s="21" t="n"/>
      <c r="E110" s="21" t="n"/>
      <c r="F110" s="21" t="n"/>
      <c r="G110" s="21" t="n"/>
      <c r="H110" s="21" t="n"/>
      <c r="I110" s="21" t="n"/>
      <c r="J110" s="21" t="n"/>
      <c r="K110" s="21" t="n"/>
      <c r="L110" s="21" t="n"/>
      <c r="M110" s="25">
        <f>IF(G110="Completed",IF(ISBLANK(L110),"",L110-J110),IF(ISBLANK(J110),"",TODAY()-J110))</f>
        <v/>
      </c>
      <c r="N110" s="25">
        <f>IF(G110="Completed",0,IF(ISBLANK(K110),"",K110-TODAY()))</f>
        <v/>
      </c>
      <c r="O110" s="25">
        <f>IF(G110="Completed","Completed",IF(ISBLANK(N110),"",IF(N110&lt;0,"Overdue",IF(N110&lt;7,"At Risk","On Time"))))</f>
        <v/>
      </c>
      <c r="P110" s="21" t="n"/>
      <c r="Q110" s="21" t="n"/>
      <c r="R110" s="24" t="n"/>
      <c r="S110" s="21" t="n"/>
      <c r="T110" s="21" t="n"/>
      <c r="U110" s="21" t="n"/>
      <c r="V110" s="21" t="n"/>
      <c r="W110" s="21" t="n"/>
      <c r="X110" s="21" t="n"/>
    </row>
    <row r="111">
      <c r="A111" s="20" t="inlineStr">
        <is>
          <t>ACT-089</t>
        </is>
      </c>
      <c r="B111" s="21" t="n"/>
      <c r="C111" s="21" t="n"/>
      <c r="D111" s="21" t="n"/>
      <c r="E111" s="21" t="n"/>
      <c r="F111" s="21" t="n"/>
      <c r="G111" s="21" t="n"/>
      <c r="H111" s="21" t="n"/>
      <c r="I111" s="21" t="n"/>
      <c r="J111" s="21" t="n"/>
      <c r="K111" s="21" t="n"/>
      <c r="L111" s="21" t="n"/>
      <c r="M111" s="25">
        <f>IF(G111="Completed",IF(ISBLANK(L111),"",L111-J111),IF(ISBLANK(J111),"",TODAY()-J111))</f>
        <v/>
      </c>
      <c r="N111" s="25">
        <f>IF(G111="Completed",0,IF(ISBLANK(K111),"",K111-TODAY()))</f>
        <v/>
      </c>
      <c r="O111" s="25">
        <f>IF(G111="Completed","Completed",IF(ISBLANK(N111),"",IF(N111&lt;0,"Overdue",IF(N111&lt;7,"At Risk","On Time"))))</f>
        <v/>
      </c>
      <c r="P111" s="21" t="n"/>
      <c r="Q111" s="21" t="n"/>
      <c r="R111" s="24" t="n"/>
      <c r="S111" s="21" t="n"/>
      <c r="T111" s="21" t="n"/>
      <c r="U111" s="21" t="n"/>
      <c r="V111" s="21" t="n"/>
      <c r="W111" s="21" t="n"/>
      <c r="X111" s="21" t="n"/>
    </row>
    <row r="112">
      <c r="A112" s="20" t="inlineStr">
        <is>
          <t>ACT-090</t>
        </is>
      </c>
      <c r="B112" s="21" t="n"/>
      <c r="C112" s="21" t="n"/>
      <c r="D112" s="21" t="n"/>
      <c r="E112" s="21" t="n"/>
      <c r="F112" s="21" t="n"/>
      <c r="G112" s="21" t="n"/>
      <c r="H112" s="21" t="n"/>
      <c r="I112" s="21" t="n"/>
      <c r="J112" s="21" t="n"/>
      <c r="K112" s="21" t="n"/>
      <c r="L112" s="21" t="n"/>
      <c r="M112" s="25">
        <f>IF(G112="Completed",IF(ISBLANK(L112),"",L112-J112),IF(ISBLANK(J112),"",TODAY()-J112))</f>
        <v/>
      </c>
      <c r="N112" s="25">
        <f>IF(G112="Completed",0,IF(ISBLANK(K112),"",K112-TODAY()))</f>
        <v/>
      </c>
      <c r="O112" s="25">
        <f>IF(G112="Completed","Completed",IF(ISBLANK(N112),"",IF(N112&lt;0,"Overdue",IF(N112&lt;7,"At Risk","On Time"))))</f>
        <v/>
      </c>
      <c r="P112" s="21" t="n"/>
      <c r="Q112" s="21" t="n"/>
      <c r="R112" s="24" t="n"/>
      <c r="S112" s="21" t="n"/>
      <c r="T112" s="21" t="n"/>
      <c r="U112" s="21" t="n"/>
      <c r="V112" s="21" t="n"/>
      <c r="W112" s="21" t="n"/>
      <c r="X112" s="21" t="n"/>
    </row>
    <row r="113">
      <c r="A113" s="20" t="inlineStr">
        <is>
          <t>ACT-091</t>
        </is>
      </c>
      <c r="B113" s="21" t="n"/>
      <c r="C113" s="21" t="n"/>
      <c r="D113" s="21" t="n"/>
      <c r="E113" s="21" t="n"/>
      <c r="F113" s="21" t="n"/>
      <c r="G113" s="21" t="n"/>
      <c r="H113" s="21" t="n"/>
      <c r="I113" s="21" t="n"/>
      <c r="J113" s="21" t="n"/>
      <c r="K113" s="21" t="n"/>
      <c r="L113" s="21" t="n"/>
      <c r="M113" s="25">
        <f>IF(G113="Completed",IF(ISBLANK(L113),"",L113-J113),IF(ISBLANK(J113),"",TODAY()-J113))</f>
        <v/>
      </c>
      <c r="N113" s="25">
        <f>IF(G113="Completed",0,IF(ISBLANK(K113),"",K113-TODAY()))</f>
        <v/>
      </c>
      <c r="O113" s="25">
        <f>IF(G113="Completed","Completed",IF(ISBLANK(N113),"",IF(N113&lt;0,"Overdue",IF(N113&lt;7,"At Risk","On Time"))))</f>
        <v/>
      </c>
      <c r="P113" s="21" t="n"/>
      <c r="Q113" s="21" t="n"/>
      <c r="R113" s="24" t="n"/>
      <c r="S113" s="21" t="n"/>
      <c r="T113" s="21" t="n"/>
      <c r="U113" s="21" t="n"/>
      <c r="V113" s="21" t="n"/>
      <c r="W113" s="21" t="n"/>
      <c r="X113" s="21" t="n"/>
    </row>
    <row r="114">
      <c r="A114" s="20" t="inlineStr">
        <is>
          <t>ACT-092</t>
        </is>
      </c>
      <c r="B114" s="21" t="n"/>
      <c r="C114" s="21" t="n"/>
      <c r="D114" s="21" t="n"/>
      <c r="E114" s="21" t="n"/>
      <c r="F114" s="21" t="n"/>
      <c r="G114" s="21" t="n"/>
      <c r="H114" s="21" t="n"/>
      <c r="I114" s="21" t="n"/>
      <c r="J114" s="21" t="n"/>
      <c r="K114" s="21" t="n"/>
      <c r="L114" s="21" t="n"/>
      <c r="M114" s="25">
        <f>IF(G114="Completed",IF(ISBLANK(L114),"",L114-J114),IF(ISBLANK(J114),"",TODAY()-J114))</f>
        <v/>
      </c>
      <c r="N114" s="25">
        <f>IF(G114="Completed",0,IF(ISBLANK(K114),"",K114-TODAY()))</f>
        <v/>
      </c>
      <c r="O114" s="25">
        <f>IF(G114="Completed","Completed",IF(ISBLANK(N114),"",IF(N114&lt;0,"Overdue",IF(N114&lt;7,"At Risk","On Time"))))</f>
        <v/>
      </c>
      <c r="P114" s="21" t="n"/>
      <c r="Q114" s="21" t="n"/>
      <c r="R114" s="24" t="n"/>
      <c r="S114" s="21" t="n"/>
      <c r="T114" s="21" t="n"/>
      <c r="U114" s="21" t="n"/>
      <c r="V114" s="21" t="n"/>
      <c r="W114" s="21" t="n"/>
      <c r="X114" s="21" t="n"/>
    </row>
    <row r="115">
      <c r="A115" s="20" t="inlineStr">
        <is>
          <t>ACT-093</t>
        </is>
      </c>
      <c r="B115" s="21" t="n"/>
      <c r="C115" s="21" t="n"/>
      <c r="D115" s="21" t="n"/>
      <c r="E115" s="21" t="n"/>
      <c r="F115" s="21" t="n"/>
      <c r="G115" s="21" t="n"/>
      <c r="H115" s="21" t="n"/>
      <c r="I115" s="21" t="n"/>
      <c r="J115" s="21" t="n"/>
      <c r="K115" s="21" t="n"/>
      <c r="L115" s="21" t="n"/>
      <c r="M115" s="25">
        <f>IF(G115="Completed",IF(ISBLANK(L115),"",L115-J115),IF(ISBLANK(J115),"",TODAY()-J115))</f>
        <v/>
      </c>
      <c r="N115" s="25">
        <f>IF(G115="Completed",0,IF(ISBLANK(K115),"",K115-TODAY()))</f>
        <v/>
      </c>
      <c r="O115" s="25">
        <f>IF(G115="Completed","Completed",IF(ISBLANK(N115),"",IF(N115&lt;0,"Overdue",IF(N115&lt;7,"At Risk","On Time"))))</f>
        <v/>
      </c>
      <c r="P115" s="21" t="n"/>
      <c r="Q115" s="21" t="n"/>
      <c r="R115" s="24" t="n"/>
      <c r="S115" s="21" t="n"/>
      <c r="T115" s="21" t="n"/>
      <c r="U115" s="21" t="n"/>
      <c r="V115" s="21" t="n"/>
      <c r="W115" s="21" t="n"/>
      <c r="X115" s="21" t="n"/>
    </row>
    <row r="116">
      <c r="A116" s="20" t="inlineStr">
        <is>
          <t>ACT-094</t>
        </is>
      </c>
      <c r="B116" s="21" t="n"/>
      <c r="C116" s="21" t="n"/>
      <c r="D116" s="21" t="n"/>
      <c r="E116" s="21" t="n"/>
      <c r="F116" s="21" t="n"/>
      <c r="G116" s="21" t="n"/>
      <c r="H116" s="21" t="n"/>
      <c r="I116" s="21" t="n"/>
      <c r="J116" s="21" t="n"/>
      <c r="K116" s="21" t="n"/>
      <c r="L116" s="21" t="n"/>
      <c r="M116" s="25">
        <f>IF(G116="Completed",IF(ISBLANK(L116),"",L116-J116),IF(ISBLANK(J116),"",TODAY()-J116))</f>
        <v/>
      </c>
      <c r="N116" s="25">
        <f>IF(G116="Completed",0,IF(ISBLANK(K116),"",K116-TODAY()))</f>
        <v/>
      </c>
      <c r="O116" s="25">
        <f>IF(G116="Completed","Completed",IF(ISBLANK(N116),"",IF(N116&lt;0,"Overdue",IF(N116&lt;7,"At Risk","On Time"))))</f>
        <v/>
      </c>
      <c r="P116" s="21" t="n"/>
      <c r="Q116" s="21" t="n"/>
      <c r="R116" s="24" t="n"/>
      <c r="S116" s="21" t="n"/>
      <c r="T116" s="21" t="n"/>
      <c r="U116" s="21" t="n"/>
      <c r="V116" s="21" t="n"/>
      <c r="W116" s="21" t="n"/>
      <c r="X116" s="21" t="n"/>
    </row>
    <row r="117">
      <c r="A117" s="20" t="inlineStr">
        <is>
          <t>ACT-095</t>
        </is>
      </c>
      <c r="B117" s="21" t="n"/>
      <c r="C117" s="21" t="n"/>
      <c r="D117" s="21" t="n"/>
      <c r="E117" s="21" t="n"/>
      <c r="F117" s="21" t="n"/>
      <c r="G117" s="21" t="n"/>
      <c r="H117" s="21" t="n"/>
      <c r="I117" s="21" t="n"/>
      <c r="J117" s="21" t="n"/>
      <c r="K117" s="21" t="n"/>
      <c r="L117" s="21" t="n"/>
      <c r="M117" s="25">
        <f>IF(G117="Completed",IF(ISBLANK(L117),"",L117-J117),IF(ISBLANK(J117),"",TODAY()-J117))</f>
        <v/>
      </c>
      <c r="N117" s="25">
        <f>IF(G117="Completed",0,IF(ISBLANK(K117),"",K117-TODAY()))</f>
        <v/>
      </c>
      <c r="O117" s="25">
        <f>IF(G117="Completed","Completed",IF(ISBLANK(N117),"",IF(N117&lt;0,"Overdue",IF(N117&lt;7,"At Risk","On Time"))))</f>
        <v/>
      </c>
      <c r="P117" s="21" t="n"/>
      <c r="Q117" s="21" t="n"/>
      <c r="R117" s="24" t="n"/>
      <c r="S117" s="21" t="n"/>
      <c r="T117" s="21" t="n"/>
      <c r="U117" s="21" t="n"/>
      <c r="V117" s="21" t="n"/>
      <c r="W117" s="21" t="n"/>
      <c r="X117" s="21" t="n"/>
    </row>
    <row r="118">
      <c r="A118" s="20" t="inlineStr">
        <is>
          <t>ACT-096</t>
        </is>
      </c>
      <c r="B118" s="21" t="n"/>
      <c r="C118" s="21" t="n"/>
      <c r="D118" s="21" t="n"/>
      <c r="E118" s="21" t="n"/>
      <c r="F118" s="21" t="n"/>
      <c r="G118" s="21" t="n"/>
      <c r="H118" s="21" t="n"/>
      <c r="I118" s="21" t="n"/>
      <c r="J118" s="21" t="n"/>
      <c r="K118" s="21" t="n"/>
      <c r="L118" s="21" t="n"/>
      <c r="M118" s="25">
        <f>IF(G118="Completed",IF(ISBLANK(L118),"",L118-J118),IF(ISBLANK(J118),"",TODAY()-J118))</f>
        <v/>
      </c>
      <c r="N118" s="25">
        <f>IF(G118="Completed",0,IF(ISBLANK(K118),"",K118-TODAY()))</f>
        <v/>
      </c>
      <c r="O118" s="25">
        <f>IF(G118="Completed","Completed",IF(ISBLANK(N118),"",IF(N118&lt;0,"Overdue",IF(N118&lt;7,"At Risk","On Time"))))</f>
        <v/>
      </c>
      <c r="P118" s="21" t="n"/>
      <c r="Q118" s="21" t="n"/>
      <c r="R118" s="24" t="n"/>
      <c r="S118" s="21" t="n"/>
      <c r="T118" s="21" t="n"/>
      <c r="U118" s="21" t="n"/>
      <c r="V118" s="21" t="n"/>
      <c r="W118" s="21" t="n"/>
      <c r="X118" s="21" t="n"/>
    </row>
    <row r="119">
      <c r="A119" s="20" t="inlineStr">
        <is>
          <t>ACT-097</t>
        </is>
      </c>
      <c r="B119" s="21" t="n"/>
      <c r="C119" s="21" t="n"/>
      <c r="D119" s="21" t="n"/>
      <c r="E119" s="21" t="n"/>
      <c r="F119" s="21" t="n"/>
      <c r="G119" s="21" t="n"/>
      <c r="H119" s="21" t="n"/>
      <c r="I119" s="21" t="n"/>
      <c r="J119" s="21" t="n"/>
      <c r="K119" s="21" t="n"/>
      <c r="L119" s="21" t="n"/>
      <c r="M119" s="25">
        <f>IF(G119="Completed",IF(ISBLANK(L119),"",L119-J119),IF(ISBLANK(J119),"",TODAY()-J119))</f>
        <v/>
      </c>
      <c r="N119" s="25">
        <f>IF(G119="Completed",0,IF(ISBLANK(K119),"",K119-TODAY()))</f>
        <v/>
      </c>
      <c r="O119" s="25">
        <f>IF(G119="Completed","Completed",IF(ISBLANK(N119),"",IF(N119&lt;0,"Overdue",IF(N119&lt;7,"At Risk","On Time"))))</f>
        <v/>
      </c>
      <c r="P119" s="21" t="n"/>
      <c r="Q119" s="21" t="n"/>
      <c r="R119" s="24" t="n"/>
      <c r="S119" s="21" t="n"/>
      <c r="T119" s="21" t="n"/>
      <c r="U119" s="21" t="n"/>
      <c r="V119" s="21" t="n"/>
      <c r="W119" s="21" t="n"/>
      <c r="X119" s="21" t="n"/>
    </row>
    <row r="120">
      <c r="A120" s="20" t="inlineStr">
        <is>
          <t>ACT-098</t>
        </is>
      </c>
      <c r="B120" s="21" t="n"/>
      <c r="C120" s="21" t="n"/>
      <c r="D120" s="21" t="n"/>
      <c r="E120" s="21" t="n"/>
      <c r="F120" s="21" t="n"/>
      <c r="G120" s="21" t="n"/>
      <c r="H120" s="21" t="n"/>
      <c r="I120" s="21" t="n"/>
      <c r="J120" s="21" t="n"/>
      <c r="K120" s="21" t="n"/>
      <c r="L120" s="21" t="n"/>
      <c r="M120" s="25">
        <f>IF(G120="Completed",IF(ISBLANK(L120),"",L120-J120),IF(ISBLANK(J120),"",TODAY()-J120))</f>
        <v/>
      </c>
      <c r="N120" s="25">
        <f>IF(G120="Completed",0,IF(ISBLANK(K120),"",K120-TODAY()))</f>
        <v/>
      </c>
      <c r="O120" s="25">
        <f>IF(G120="Completed","Completed",IF(ISBLANK(N120),"",IF(N120&lt;0,"Overdue",IF(N120&lt;7,"At Risk","On Time"))))</f>
        <v/>
      </c>
      <c r="P120" s="21" t="n"/>
      <c r="Q120" s="21" t="n"/>
      <c r="R120" s="24" t="n"/>
      <c r="S120" s="21" t="n"/>
      <c r="T120" s="21" t="n"/>
      <c r="U120" s="21" t="n"/>
      <c r="V120" s="21" t="n"/>
      <c r="W120" s="21" t="n"/>
      <c r="X120" s="21" t="n"/>
    </row>
    <row r="121">
      <c r="A121" s="20" t="inlineStr">
        <is>
          <t>ACT-099</t>
        </is>
      </c>
      <c r="B121" s="21" t="n"/>
      <c r="C121" s="21" t="n"/>
      <c r="D121" s="21" t="n"/>
      <c r="E121" s="21" t="n"/>
      <c r="F121" s="21" t="n"/>
      <c r="G121" s="21" t="n"/>
      <c r="H121" s="21" t="n"/>
      <c r="I121" s="21" t="n"/>
      <c r="J121" s="21" t="n"/>
      <c r="K121" s="21" t="n"/>
      <c r="L121" s="21" t="n"/>
      <c r="M121" s="25">
        <f>IF(G121="Completed",IF(ISBLANK(L121),"",L121-J121),IF(ISBLANK(J121),"",TODAY()-J121))</f>
        <v/>
      </c>
      <c r="N121" s="25">
        <f>IF(G121="Completed",0,IF(ISBLANK(K121),"",K121-TODAY()))</f>
        <v/>
      </c>
      <c r="O121" s="25">
        <f>IF(G121="Completed","Completed",IF(ISBLANK(N121),"",IF(N121&lt;0,"Overdue",IF(N121&lt;7,"At Risk","On Time"))))</f>
        <v/>
      </c>
      <c r="P121" s="21" t="n"/>
      <c r="Q121" s="21" t="n"/>
      <c r="R121" s="24" t="n"/>
      <c r="S121" s="21" t="n"/>
      <c r="T121" s="21" t="n"/>
      <c r="U121" s="21" t="n"/>
      <c r="V121" s="21" t="n"/>
      <c r="W121" s="21" t="n"/>
      <c r="X121" s="21" t="n"/>
    </row>
    <row r="122">
      <c r="A122" s="20" t="inlineStr">
        <is>
          <t>ACT-100</t>
        </is>
      </c>
      <c r="B122" s="21" t="n"/>
      <c r="C122" s="21" t="n"/>
      <c r="D122" s="21" t="n"/>
      <c r="E122" s="21" t="n"/>
      <c r="F122" s="21" t="n"/>
      <c r="G122" s="21" t="n"/>
      <c r="H122" s="21" t="n"/>
      <c r="I122" s="21" t="n"/>
      <c r="J122" s="21" t="n"/>
      <c r="K122" s="21" t="n"/>
      <c r="L122" s="21" t="n"/>
      <c r="M122" s="25">
        <f>IF(G122="Completed",IF(ISBLANK(L122),"",L122-J122),IF(ISBLANK(J122),"",TODAY()-J122))</f>
        <v/>
      </c>
      <c r="N122" s="25">
        <f>IF(G122="Completed",0,IF(ISBLANK(K122),"",K122-TODAY()))</f>
        <v/>
      </c>
      <c r="O122" s="25">
        <f>IF(G122="Completed","Completed",IF(ISBLANK(N122),"",IF(N122&lt;0,"Overdue",IF(N122&lt;7,"At Risk","On Time"))))</f>
        <v/>
      </c>
      <c r="P122" s="21" t="n"/>
      <c r="Q122" s="21" t="n"/>
      <c r="R122" s="24" t="n"/>
      <c r="S122" s="21" t="n"/>
      <c r="T122" s="21" t="n"/>
      <c r="U122" s="21" t="n"/>
      <c r="V122" s="21" t="n"/>
      <c r="W122" s="21" t="n"/>
      <c r="X122" s="21" t="n"/>
    </row>
    <row r="123">
      <c r="A123" s="20" t="inlineStr">
        <is>
          <t>ACT-101</t>
        </is>
      </c>
      <c r="B123" s="21" t="n"/>
      <c r="C123" s="21" t="n"/>
      <c r="D123" s="21" t="n"/>
      <c r="E123" s="21" t="n"/>
      <c r="F123" s="21" t="n"/>
      <c r="G123" s="21" t="n"/>
      <c r="H123" s="21" t="n"/>
      <c r="I123" s="21" t="n"/>
      <c r="J123" s="21" t="n"/>
      <c r="K123" s="21" t="n"/>
      <c r="L123" s="21" t="n"/>
      <c r="M123" s="25">
        <f>IF(G123="Completed",IF(ISBLANK(L123),"",L123-J123),IF(ISBLANK(J123),"",TODAY()-J123))</f>
        <v/>
      </c>
      <c r="N123" s="25">
        <f>IF(G123="Completed",0,IF(ISBLANK(K123),"",K123-TODAY()))</f>
        <v/>
      </c>
      <c r="O123" s="25">
        <f>IF(G123="Completed","Completed",IF(ISBLANK(N123),"",IF(N123&lt;0,"Overdue",IF(N123&lt;7,"At Risk","On Time"))))</f>
        <v/>
      </c>
      <c r="P123" s="21" t="n"/>
      <c r="Q123" s="21" t="n"/>
      <c r="R123" s="24" t="n"/>
      <c r="S123" s="21" t="n"/>
      <c r="T123" s="21" t="n"/>
      <c r="U123" s="21" t="n"/>
      <c r="V123" s="21" t="n"/>
      <c r="W123" s="21" t="n"/>
      <c r="X123" s="21" t="n"/>
    </row>
    <row r="124">
      <c r="A124" s="20" t="inlineStr">
        <is>
          <t>ACT-102</t>
        </is>
      </c>
      <c r="B124" s="21" t="n"/>
      <c r="C124" s="21" t="n"/>
      <c r="D124" s="21" t="n"/>
      <c r="E124" s="21" t="n"/>
      <c r="F124" s="21" t="n"/>
      <c r="G124" s="21" t="n"/>
      <c r="H124" s="21" t="n"/>
      <c r="I124" s="21" t="n"/>
      <c r="J124" s="21" t="n"/>
      <c r="K124" s="21" t="n"/>
      <c r="L124" s="21" t="n"/>
      <c r="M124" s="25">
        <f>IF(G124="Completed",IF(ISBLANK(L124),"",L124-J124),IF(ISBLANK(J124),"",TODAY()-J124))</f>
        <v/>
      </c>
      <c r="N124" s="25">
        <f>IF(G124="Completed",0,IF(ISBLANK(K124),"",K124-TODAY()))</f>
        <v/>
      </c>
      <c r="O124" s="25">
        <f>IF(G124="Completed","Completed",IF(ISBLANK(N124),"",IF(N124&lt;0,"Overdue",IF(N124&lt;7,"At Risk","On Time"))))</f>
        <v/>
      </c>
      <c r="P124" s="21" t="n"/>
      <c r="Q124" s="21" t="n"/>
      <c r="R124" s="24" t="n"/>
      <c r="S124" s="21" t="n"/>
      <c r="T124" s="21" t="n"/>
      <c r="U124" s="21" t="n"/>
      <c r="V124" s="21" t="n"/>
      <c r="W124" s="21" t="n"/>
      <c r="X124" s="21" t="n"/>
    </row>
    <row r="125">
      <c r="A125" s="20" t="inlineStr">
        <is>
          <t>ACT-103</t>
        </is>
      </c>
      <c r="B125" s="21" t="n"/>
      <c r="C125" s="21" t="n"/>
      <c r="D125" s="21" t="n"/>
      <c r="E125" s="21" t="n"/>
      <c r="F125" s="21" t="n"/>
      <c r="G125" s="21" t="n"/>
      <c r="H125" s="21" t="n"/>
      <c r="I125" s="21" t="n"/>
      <c r="J125" s="21" t="n"/>
      <c r="K125" s="21" t="n"/>
      <c r="L125" s="21" t="n"/>
      <c r="M125" s="25">
        <f>IF(G125="Completed",IF(ISBLANK(L125),"",L125-J125),IF(ISBLANK(J125),"",TODAY()-J125))</f>
        <v/>
      </c>
      <c r="N125" s="25">
        <f>IF(G125="Completed",0,IF(ISBLANK(K125),"",K125-TODAY()))</f>
        <v/>
      </c>
      <c r="O125" s="25">
        <f>IF(G125="Completed","Completed",IF(ISBLANK(N125),"",IF(N125&lt;0,"Overdue",IF(N125&lt;7,"At Risk","On Time"))))</f>
        <v/>
      </c>
      <c r="P125" s="21" t="n"/>
      <c r="Q125" s="21" t="n"/>
      <c r="R125" s="24" t="n"/>
      <c r="S125" s="21" t="n"/>
      <c r="T125" s="21" t="n"/>
      <c r="U125" s="21" t="n"/>
      <c r="V125" s="21" t="n"/>
      <c r="W125" s="21" t="n"/>
      <c r="X125" s="21" t="n"/>
    </row>
    <row r="126">
      <c r="A126" s="20" t="inlineStr">
        <is>
          <t>ACT-104</t>
        </is>
      </c>
      <c r="B126" s="21" t="n"/>
      <c r="C126" s="21" t="n"/>
      <c r="D126" s="21" t="n"/>
      <c r="E126" s="21" t="n"/>
      <c r="F126" s="21" t="n"/>
      <c r="G126" s="21" t="n"/>
      <c r="H126" s="21" t="n"/>
      <c r="I126" s="21" t="n"/>
      <c r="J126" s="21" t="n"/>
      <c r="K126" s="21" t="n"/>
      <c r="L126" s="21" t="n"/>
      <c r="M126" s="25">
        <f>IF(G126="Completed",IF(ISBLANK(L126),"",L126-J126),IF(ISBLANK(J126),"",TODAY()-J126))</f>
        <v/>
      </c>
      <c r="N126" s="25">
        <f>IF(G126="Completed",0,IF(ISBLANK(K126),"",K126-TODAY()))</f>
        <v/>
      </c>
      <c r="O126" s="25">
        <f>IF(G126="Completed","Completed",IF(ISBLANK(N126),"",IF(N126&lt;0,"Overdue",IF(N126&lt;7,"At Risk","On Time"))))</f>
        <v/>
      </c>
      <c r="P126" s="21" t="n"/>
      <c r="Q126" s="21" t="n"/>
      <c r="R126" s="24" t="n"/>
      <c r="S126" s="21" t="n"/>
      <c r="T126" s="21" t="n"/>
      <c r="U126" s="21" t="n"/>
      <c r="V126" s="21" t="n"/>
      <c r="W126" s="21" t="n"/>
      <c r="X126" s="21" t="n"/>
    </row>
    <row r="127">
      <c r="A127" s="20" t="inlineStr">
        <is>
          <t>ACT-105</t>
        </is>
      </c>
      <c r="B127" s="21" t="n"/>
      <c r="C127" s="21" t="n"/>
      <c r="D127" s="21" t="n"/>
      <c r="E127" s="21" t="n"/>
      <c r="F127" s="21" t="n"/>
      <c r="G127" s="21" t="n"/>
      <c r="H127" s="21" t="n"/>
      <c r="I127" s="21" t="n"/>
      <c r="J127" s="21" t="n"/>
      <c r="K127" s="21" t="n"/>
      <c r="L127" s="21" t="n"/>
      <c r="M127" s="25">
        <f>IF(G127="Completed",IF(ISBLANK(L127),"",L127-J127),IF(ISBLANK(J127),"",TODAY()-J127))</f>
        <v/>
      </c>
      <c r="N127" s="25">
        <f>IF(G127="Completed",0,IF(ISBLANK(K127),"",K127-TODAY()))</f>
        <v/>
      </c>
      <c r="O127" s="25">
        <f>IF(G127="Completed","Completed",IF(ISBLANK(N127),"",IF(N127&lt;0,"Overdue",IF(N127&lt;7,"At Risk","On Time"))))</f>
        <v/>
      </c>
      <c r="P127" s="21" t="n"/>
      <c r="Q127" s="21" t="n"/>
      <c r="R127" s="24" t="n"/>
      <c r="S127" s="21" t="n"/>
      <c r="T127" s="21" t="n"/>
      <c r="U127" s="21" t="n"/>
      <c r="V127" s="21" t="n"/>
      <c r="W127" s="21" t="n"/>
      <c r="X127" s="21" t="n"/>
    </row>
    <row r="128">
      <c r="A128" s="20" t="inlineStr">
        <is>
          <t>ACT-106</t>
        </is>
      </c>
      <c r="B128" s="21" t="n"/>
      <c r="C128" s="21" t="n"/>
      <c r="D128" s="21" t="n"/>
      <c r="E128" s="21" t="n"/>
      <c r="F128" s="21" t="n"/>
      <c r="G128" s="21" t="n"/>
      <c r="H128" s="21" t="n"/>
      <c r="I128" s="21" t="n"/>
      <c r="J128" s="21" t="n"/>
      <c r="K128" s="21" t="n"/>
      <c r="L128" s="21" t="n"/>
      <c r="M128" s="25">
        <f>IF(G128="Completed",IF(ISBLANK(L128),"",L128-J128),IF(ISBLANK(J128),"",TODAY()-J128))</f>
        <v/>
      </c>
      <c r="N128" s="25">
        <f>IF(G128="Completed",0,IF(ISBLANK(K128),"",K128-TODAY()))</f>
        <v/>
      </c>
      <c r="O128" s="25">
        <f>IF(G128="Completed","Completed",IF(ISBLANK(N128),"",IF(N128&lt;0,"Overdue",IF(N128&lt;7,"At Risk","On Time"))))</f>
        <v/>
      </c>
      <c r="P128" s="21" t="n"/>
      <c r="Q128" s="21" t="n"/>
      <c r="R128" s="24" t="n"/>
      <c r="S128" s="21" t="n"/>
      <c r="T128" s="21" t="n"/>
      <c r="U128" s="21" t="n"/>
      <c r="V128" s="21" t="n"/>
      <c r="W128" s="21" t="n"/>
      <c r="X128" s="21" t="n"/>
    </row>
    <row r="129">
      <c r="A129" s="20" t="inlineStr">
        <is>
          <t>ACT-107</t>
        </is>
      </c>
      <c r="B129" s="21" t="n"/>
      <c r="C129" s="21" t="n"/>
      <c r="D129" s="21" t="n"/>
      <c r="E129" s="21" t="n"/>
      <c r="F129" s="21" t="n"/>
      <c r="G129" s="21" t="n"/>
      <c r="H129" s="21" t="n"/>
      <c r="I129" s="21" t="n"/>
      <c r="J129" s="21" t="n"/>
      <c r="K129" s="21" t="n"/>
      <c r="L129" s="21" t="n"/>
      <c r="M129" s="25">
        <f>IF(G129="Completed",IF(ISBLANK(L129),"",L129-J129),IF(ISBLANK(J129),"",TODAY()-J129))</f>
        <v/>
      </c>
      <c r="N129" s="25">
        <f>IF(G129="Completed",0,IF(ISBLANK(K129),"",K129-TODAY()))</f>
        <v/>
      </c>
      <c r="O129" s="25">
        <f>IF(G129="Completed","Completed",IF(ISBLANK(N129),"",IF(N129&lt;0,"Overdue",IF(N129&lt;7,"At Risk","On Time"))))</f>
        <v/>
      </c>
      <c r="P129" s="21" t="n"/>
      <c r="Q129" s="21" t="n"/>
      <c r="R129" s="24" t="n"/>
      <c r="S129" s="21" t="n"/>
      <c r="T129" s="21" t="n"/>
      <c r="U129" s="21" t="n"/>
      <c r="V129" s="21" t="n"/>
      <c r="W129" s="21" t="n"/>
      <c r="X129" s="21" t="n"/>
    </row>
    <row r="130">
      <c r="A130" s="20" t="inlineStr">
        <is>
          <t>ACT-108</t>
        </is>
      </c>
      <c r="B130" s="21" t="n"/>
      <c r="C130" s="21" t="n"/>
      <c r="D130" s="21" t="n"/>
      <c r="E130" s="21" t="n"/>
      <c r="F130" s="21" t="n"/>
      <c r="G130" s="21" t="n"/>
      <c r="H130" s="21" t="n"/>
      <c r="I130" s="21" t="n"/>
      <c r="J130" s="21" t="n"/>
      <c r="K130" s="21" t="n"/>
      <c r="L130" s="21" t="n"/>
      <c r="M130" s="25">
        <f>IF(G130="Completed",IF(ISBLANK(L130),"",L130-J130),IF(ISBLANK(J130),"",TODAY()-J130))</f>
        <v/>
      </c>
      <c r="N130" s="25">
        <f>IF(G130="Completed",0,IF(ISBLANK(K130),"",K130-TODAY()))</f>
        <v/>
      </c>
      <c r="O130" s="25">
        <f>IF(G130="Completed","Completed",IF(ISBLANK(N130),"",IF(N130&lt;0,"Overdue",IF(N130&lt;7,"At Risk","On Time"))))</f>
        <v/>
      </c>
      <c r="P130" s="21" t="n"/>
      <c r="Q130" s="21" t="n"/>
      <c r="R130" s="24" t="n"/>
      <c r="S130" s="21" t="n"/>
      <c r="T130" s="21" t="n"/>
      <c r="U130" s="21" t="n"/>
      <c r="V130" s="21" t="n"/>
      <c r="W130" s="21" t="n"/>
      <c r="X130" s="21" t="n"/>
    </row>
    <row r="131">
      <c r="A131" s="20" t="inlineStr">
        <is>
          <t>ACT-109</t>
        </is>
      </c>
      <c r="B131" s="21" t="n"/>
      <c r="C131" s="21" t="n"/>
      <c r="D131" s="21" t="n"/>
      <c r="E131" s="21" t="n"/>
      <c r="F131" s="21" t="n"/>
      <c r="G131" s="21" t="n"/>
      <c r="H131" s="21" t="n"/>
      <c r="I131" s="21" t="n"/>
      <c r="J131" s="21" t="n"/>
      <c r="K131" s="21" t="n"/>
      <c r="L131" s="21" t="n"/>
      <c r="M131" s="25">
        <f>IF(G131="Completed",IF(ISBLANK(L131),"",L131-J131),IF(ISBLANK(J131),"",TODAY()-J131))</f>
        <v/>
      </c>
      <c r="N131" s="25">
        <f>IF(G131="Completed",0,IF(ISBLANK(K131),"",K131-TODAY()))</f>
        <v/>
      </c>
      <c r="O131" s="25">
        <f>IF(G131="Completed","Completed",IF(ISBLANK(N131),"",IF(N131&lt;0,"Overdue",IF(N131&lt;7,"At Risk","On Time"))))</f>
        <v/>
      </c>
      <c r="P131" s="21" t="n"/>
      <c r="Q131" s="21" t="n"/>
      <c r="R131" s="24" t="n"/>
      <c r="S131" s="21" t="n"/>
      <c r="T131" s="21" t="n"/>
      <c r="U131" s="21" t="n"/>
      <c r="V131" s="21" t="n"/>
      <c r="W131" s="21" t="n"/>
      <c r="X131" s="21" t="n"/>
    </row>
    <row r="132">
      <c r="A132" s="20" t="inlineStr">
        <is>
          <t>ACT-110</t>
        </is>
      </c>
      <c r="B132" s="21" t="n"/>
      <c r="C132" s="21" t="n"/>
      <c r="D132" s="21" t="n"/>
      <c r="E132" s="21" t="n"/>
      <c r="F132" s="21" t="n"/>
      <c r="G132" s="21" t="n"/>
      <c r="H132" s="21" t="n"/>
      <c r="I132" s="21" t="n"/>
      <c r="J132" s="21" t="n"/>
      <c r="K132" s="21" t="n"/>
      <c r="L132" s="21" t="n"/>
      <c r="M132" s="25">
        <f>IF(G132="Completed",IF(ISBLANK(L132),"",L132-J132),IF(ISBLANK(J132),"",TODAY()-J132))</f>
        <v/>
      </c>
      <c r="N132" s="25">
        <f>IF(G132="Completed",0,IF(ISBLANK(K132),"",K132-TODAY()))</f>
        <v/>
      </c>
      <c r="O132" s="25">
        <f>IF(G132="Completed","Completed",IF(ISBLANK(N132),"",IF(N132&lt;0,"Overdue",IF(N132&lt;7,"At Risk","On Time"))))</f>
        <v/>
      </c>
      <c r="P132" s="21" t="n"/>
      <c r="Q132" s="21" t="n"/>
      <c r="R132" s="24" t="n"/>
      <c r="S132" s="21" t="n"/>
      <c r="T132" s="21" t="n"/>
      <c r="U132" s="21" t="n"/>
      <c r="V132" s="21" t="n"/>
      <c r="W132" s="21" t="n"/>
      <c r="X132" s="21" t="n"/>
    </row>
    <row r="133">
      <c r="A133" s="20" t="inlineStr">
        <is>
          <t>ACT-111</t>
        </is>
      </c>
      <c r="B133" s="21" t="n"/>
      <c r="C133" s="21" t="n"/>
      <c r="D133" s="21" t="n"/>
      <c r="E133" s="21" t="n"/>
      <c r="F133" s="21" t="n"/>
      <c r="G133" s="21" t="n"/>
      <c r="H133" s="21" t="n"/>
      <c r="I133" s="21" t="n"/>
      <c r="J133" s="21" t="n"/>
      <c r="K133" s="21" t="n"/>
      <c r="L133" s="21" t="n"/>
      <c r="M133" s="25">
        <f>IF(G133="Completed",IF(ISBLANK(L133),"",L133-J133),IF(ISBLANK(J133),"",TODAY()-J133))</f>
        <v/>
      </c>
      <c r="N133" s="25">
        <f>IF(G133="Completed",0,IF(ISBLANK(K133),"",K133-TODAY()))</f>
        <v/>
      </c>
      <c r="O133" s="25">
        <f>IF(G133="Completed","Completed",IF(ISBLANK(N133),"",IF(N133&lt;0,"Overdue",IF(N133&lt;7,"At Risk","On Time"))))</f>
        <v/>
      </c>
      <c r="P133" s="21" t="n"/>
      <c r="Q133" s="21" t="n"/>
      <c r="R133" s="24" t="n"/>
      <c r="S133" s="21" t="n"/>
      <c r="T133" s="21" t="n"/>
      <c r="U133" s="21" t="n"/>
      <c r="V133" s="21" t="n"/>
      <c r="W133" s="21" t="n"/>
      <c r="X133" s="21" t="n"/>
    </row>
    <row r="134">
      <c r="A134" s="20" t="inlineStr">
        <is>
          <t>ACT-112</t>
        </is>
      </c>
      <c r="B134" s="21" t="n"/>
      <c r="C134" s="21" t="n"/>
      <c r="D134" s="21" t="n"/>
      <c r="E134" s="21" t="n"/>
      <c r="F134" s="21" t="n"/>
      <c r="G134" s="21" t="n"/>
      <c r="H134" s="21" t="n"/>
      <c r="I134" s="21" t="n"/>
      <c r="J134" s="21" t="n"/>
      <c r="K134" s="21" t="n"/>
      <c r="L134" s="21" t="n"/>
      <c r="M134" s="25">
        <f>IF(G134="Completed",IF(ISBLANK(L134),"",L134-J134),IF(ISBLANK(J134),"",TODAY()-J134))</f>
        <v/>
      </c>
      <c r="N134" s="25">
        <f>IF(G134="Completed",0,IF(ISBLANK(K134),"",K134-TODAY()))</f>
        <v/>
      </c>
      <c r="O134" s="25">
        <f>IF(G134="Completed","Completed",IF(ISBLANK(N134),"",IF(N134&lt;0,"Overdue",IF(N134&lt;7,"At Risk","On Time"))))</f>
        <v/>
      </c>
      <c r="P134" s="21" t="n"/>
      <c r="Q134" s="21" t="n"/>
      <c r="R134" s="24" t="n"/>
      <c r="S134" s="21" t="n"/>
      <c r="T134" s="21" t="n"/>
      <c r="U134" s="21" t="n"/>
      <c r="V134" s="21" t="n"/>
      <c r="W134" s="21" t="n"/>
      <c r="X134" s="21" t="n"/>
    </row>
    <row r="135">
      <c r="A135" s="20" t="inlineStr">
        <is>
          <t>ACT-113</t>
        </is>
      </c>
      <c r="B135" s="21" t="n"/>
      <c r="C135" s="21" t="n"/>
      <c r="D135" s="21" t="n"/>
      <c r="E135" s="21" t="n"/>
      <c r="F135" s="21" t="n"/>
      <c r="G135" s="21" t="n"/>
      <c r="H135" s="21" t="n"/>
      <c r="I135" s="21" t="n"/>
      <c r="J135" s="21" t="n"/>
      <c r="K135" s="21" t="n"/>
      <c r="L135" s="21" t="n"/>
      <c r="M135" s="25">
        <f>IF(G135="Completed",IF(ISBLANK(L135),"",L135-J135),IF(ISBLANK(J135),"",TODAY()-J135))</f>
        <v/>
      </c>
      <c r="N135" s="25">
        <f>IF(G135="Completed",0,IF(ISBLANK(K135),"",K135-TODAY()))</f>
        <v/>
      </c>
      <c r="O135" s="25">
        <f>IF(G135="Completed","Completed",IF(ISBLANK(N135),"",IF(N135&lt;0,"Overdue",IF(N135&lt;7,"At Risk","On Time"))))</f>
        <v/>
      </c>
      <c r="P135" s="21" t="n"/>
      <c r="Q135" s="21" t="n"/>
      <c r="R135" s="24" t="n"/>
      <c r="S135" s="21" t="n"/>
      <c r="T135" s="21" t="n"/>
      <c r="U135" s="21" t="n"/>
      <c r="V135" s="21" t="n"/>
      <c r="W135" s="21" t="n"/>
      <c r="X135" s="21" t="n"/>
    </row>
    <row r="136">
      <c r="A136" s="20" t="inlineStr">
        <is>
          <t>ACT-114</t>
        </is>
      </c>
      <c r="B136" s="21" t="n"/>
      <c r="C136" s="21" t="n"/>
      <c r="D136" s="21" t="n"/>
      <c r="E136" s="21" t="n"/>
      <c r="F136" s="21" t="n"/>
      <c r="G136" s="21" t="n"/>
      <c r="H136" s="21" t="n"/>
      <c r="I136" s="21" t="n"/>
      <c r="J136" s="21" t="n"/>
      <c r="K136" s="21" t="n"/>
      <c r="L136" s="21" t="n"/>
      <c r="M136" s="25">
        <f>IF(G136="Completed",IF(ISBLANK(L136),"",L136-J136),IF(ISBLANK(J136),"",TODAY()-J136))</f>
        <v/>
      </c>
      <c r="N136" s="25">
        <f>IF(G136="Completed",0,IF(ISBLANK(K136),"",K136-TODAY()))</f>
        <v/>
      </c>
      <c r="O136" s="25">
        <f>IF(G136="Completed","Completed",IF(ISBLANK(N136),"",IF(N136&lt;0,"Overdue",IF(N136&lt;7,"At Risk","On Time"))))</f>
        <v/>
      </c>
      <c r="P136" s="21" t="n"/>
      <c r="Q136" s="21" t="n"/>
      <c r="R136" s="24" t="n"/>
      <c r="S136" s="21" t="n"/>
      <c r="T136" s="21" t="n"/>
      <c r="U136" s="21" t="n"/>
      <c r="V136" s="21" t="n"/>
      <c r="W136" s="21" t="n"/>
      <c r="X136" s="21" t="n"/>
    </row>
    <row r="137">
      <c r="A137" s="20" t="inlineStr">
        <is>
          <t>ACT-115</t>
        </is>
      </c>
      <c r="B137" s="21" t="n"/>
      <c r="C137" s="21" t="n"/>
      <c r="D137" s="21" t="n"/>
      <c r="E137" s="21" t="n"/>
      <c r="F137" s="21" t="n"/>
      <c r="G137" s="21" t="n"/>
      <c r="H137" s="21" t="n"/>
      <c r="I137" s="21" t="n"/>
      <c r="J137" s="21" t="n"/>
      <c r="K137" s="21" t="n"/>
      <c r="L137" s="21" t="n"/>
      <c r="M137" s="25">
        <f>IF(G137="Completed",IF(ISBLANK(L137),"",L137-J137),IF(ISBLANK(J137),"",TODAY()-J137))</f>
        <v/>
      </c>
      <c r="N137" s="25">
        <f>IF(G137="Completed",0,IF(ISBLANK(K137),"",K137-TODAY()))</f>
        <v/>
      </c>
      <c r="O137" s="25">
        <f>IF(G137="Completed","Completed",IF(ISBLANK(N137),"",IF(N137&lt;0,"Overdue",IF(N137&lt;7,"At Risk","On Time"))))</f>
        <v/>
      </c>
      <c r="P137" s="21" t="n"/>
      <c r="Q137" s="21" t="n"/>
      <c r="R137" s="24" t="n"/>
      <c r="S137" s="21" t="n"/>
      <c r="T137" s="21" t="n"/>
      <c r="U137" s="21" t="n"/>
      <c r="V137" s="21" t="n"/>
      <c r="W137" s="21" t="n"/>
      <c r="X137" s="21" t="n"/>
    </row>
    <row r="138">
      <c r="A138" s="20" t="inlineStr">
        <is>
          <t>ACT-116</t>
        </is>
      </c>
      <c r="B138" s="21" t="n"/>
      <c r="C138" s="21" t="n"/>
      <c r="D138" s="21" t="n"/>
      <c r="E138" s="21" t="n"/>
      <c r="F138" s="21" t="n"/>
      <c r="G138" s="21" t="n"/>
      <c r="H138" s="21" t="n"/>
      <c r="I138" s="21" t="n"/>
      <c r="J138" s="21" t="n"/>
      <c r="K138" s="21" t="n"/>
      <c r="L138" s="21" t="n"/>
      <c r="M138" s="25">
        <f>IF(G138="Completed",IF(ISBLANK(L138),"",L138-J138),IF(ISBLANK(J138),"",TODAY()-J138))</f>
        <v/>
      </c>
      <c r="N138" s="25">
        <f>IF(G138="Completed",0,IF(ISBLANK(K138),"",K138-TODAY()))</f>
        <v/>
      </c>
      <c r="O138" s="25">
        <f>IF(G138="Completed","Completed",IF(ISBLANK(N138),"",IF(N138&lt;0,"Overdue",IF(N138&lt;7,"At Risk","On Time"))))</f>
        <v/>
      </c>
      <c r="P138" s="21" t="n"/>
      <c r="Q138" s="21" t="n"/>
      <c r="R138" s="24" t="n"/>
      <c r="S138" s="21" t="n"/>
      <c r="T138" s="21" t="n"/>
      <c r="U138" s="21" t="n"/>
      <c r="V138" s="21" t="n"/>
      <c r="W138" s="21" t="n"/>
      <c r="X138" s="21" t="n"/>
    </row>
    <row r="139">
      <c r="A139" s="20" t="inlineStr">
        <is>
          <t>ACT-117</t>
        </is>
      </c>
      <c r="B139" s="21" t="n"/>
      <c r="C139" s="21" t="n"/>
      <c r="D139" s="21" t="n"/>
      <c r="E139" s="21" t="n"/>
      <c r="F139" s="21" t="n"/>
      <c r="G139" s="21" t="n"/>
      <c r="H139" s="21" t="n"/>
      <c r="I139" s="21" t="n"/>
      <c r="J139" s="21" t="n"/>
      <c r="K139" s="21" t="n"/>
      <c r="L139" s="21" t="n"/>
      <c r="M139" s="25">
        <f>IF(G139="Completed",IF(ISBLANK(L139),"",L139-J139),IF(ISBLANK(J139),"",TODAY()-J139))</f>
        <v/>
      </c>
      <c r="N139" s="25">
        <f>IF(G139="Completed",0,IF(ISBLANK(K139),"",K139-TODAY()))</f>
        <v/>
      </c>
      <c r="O139" s="25">
        <f>IF(G139="Completed","Completed",IF(ISBLANK(N139),"",IF(N139&lt;0,"Overdue",IF(N139&lt;7,"At Risk","On Time"))))</f>
        <v/>
      </c>
      <c r="P139" s="21" t="n"/>
      <c r="Q139" s="21" t="n"/>
      <c r="R139" s="24" t="n"/>
      <c r="S139" s="21" t="n"/>
      <c r="T139" s="21" t="n"/>
      <c r="U139" s="21" t="n"/>
      <c r="V139" s="21" t="n"/>
      <c r="W139" s="21" t="n"/>
      <c r="X139" s="21" t="n"/>
    </row>
    <row r="140">
      <c r="A140" s="20" t="inlineStr">
        <is>
          <t>ACT-118</t>
        </is>
      </c>
      <c r="B140" s="21" t="n"/>
      <c r="C140" s="21" t="n"/>
      <c r="D140" s="21" t="n"/>
      <c r="E140" s="21" t="n"/>
      <c r="F140" s="21" t="n"/>
      <c r="G140" s="21" t="n"/>
      <c r="H140" s="21" t="n"/>
      <c r="I140" s="21" t="n"/>
      <c r="J140" s="21" t="n"/>
      <c r="K140" s="21" t="n"/>
      <c r="L140" s="21" t="n"/>
      <c r="M140" s="25">
        <f>IF(G140="Completed",IF(ISBLANK(L140),"",L140-J140),IF(ISBLANK(J140),"",TODAY()-J140))</f>
        <v/>
      </c>
      <c r="N140" s="25">
        <f>IF(G140="Completed",0,IF(ISBLANK(K140),"",K140-TODAY()))</f>
        <v/>
      </c>
      <c r="O140" s="25">
        <f>IF(G140="Completed","Completed",IF(ISBLANK(N140),"",IF(N140&lt;0,"Overdue",IF(N140&lt;7,"At Risk","On Time"))))</f>
        <v/>
      </c>
      <c r="P140" s="21" t="n"/>
      <c r="Q140" s="21" t="n"/>
      <c r="R140" s="24" t="n"/>
      <c r="S140" s="21" t="n"/>
      <c r="T140" s="21" t="n"/>
      <c r="U140" s="21" t="n"/>
      <c r="V140" s="21" t="n"/>
      <c r="W140" s="21" t="n"/>
      <c r="X140" s="21" t="n"/>
    </row>
    <row r="141">
      <c r="A141" s="20" t="inlineStr">
        <is>
          <t>ACT-119</t>
        </is>
      </c>
      <c r="B141" s="21" t="n"/>
      <c r="C141" s="21" t="n"/>
      <c r="D141" s="21" t="n"/>
      <c r="E141" s="21" t="n"/>
      <c r="F141" s="21" t="n"/>
      <c r="G141" s="21" t="n"/>
      <c r="H141" s="21" t="n"/>
      <c r="I141" s="21" t="n"/>
      <c r="J141" s="21" t="n"/>
      <c r="K141" s="21" t="n"/>
      <c r="L141" s="21" t="n"/>
      <c r="M141" s="25">
        <f>IF(G141="Completed",IF(ISBLANK(L141),"",L141-J141),IF(ISBLANK(J141),"",TODAY()-J141))</f>
        <v/>
      </c>
      <c r="N141" s="25">
        <f>IF(G141="Completed",0,IF(ISBLANK(K141),"",K141-TODAY()))</f>
        <v/>
      </c>
      <c r="O141" s="25">
        <f>IF(G141="Completed","Completed",IF(ISBLANK(N141),"",IF(N141&lt;0,"Overdue",IF(N141&lt;7,"At Risk","On Time"))))</f>
        <v/>
      </c>
      <c r="P141" s="21" t="n"/>
      <c r="Q141" s="21" t="n"/>
      <c r="R141" s="24" t="n"/>
      <c r="S141" s="21" t="n"/>
      <c r="T141" s="21" t="n"/>
      <c r="U141" s="21" t="n"/>
      <c r="V141" s="21" t="n"/>
      <c r="W141" s="21" t="n"/>
      <c r="X141" s="21" t="n"/>
    </row>
    <row r="142">
      <c r="A142" s="20" t="inlineStr">
        <is>
          <t>ACT-120</t>
        </is>
      </c>
      <c r="B142" s="21" t="n"/>
      <c r="C142" s="21" t="n"/>
      <c r="D142" s="21" t="n"/>
      <c r="E142" s="21" t="n"/>
      <c r="F142" s="21" t="n"/>
      <c r="G142" s="21" t="n"/>
      <c r="H142" s="21" t="n"/>
      <c r="I142" s="21" t="n"/>
      <c r="J142" s="21" t="n"/>
      <c r="K142" s="21" t="n"/>
      <c r="L142" s="21" t="n"/>
      <c r="M142" s="25">
        <f>IF(G142="Completed",IF(ISBLANK(L142),"",L142-J142),IF(ISBLANK(J142),"",TODAY()-J142))</f>
        <v/>
      </c>
      <c r="N142" s="25">
        <f>IF(G142="Completed",0,IF(ISBLANK(K142),"",K142-TODAY()))</f>
        <v/>
      </c>
      <c r="O142" s="25">
        <f>IF(G142="Completed","Completed",IF(ISBLANK(N142),"",IF(N142&lt;0,"Overdue",IF(N142&lt;7,"At Risk","On Time"))))</f>
        <v/>
      </c>
      <c r="P142" s="21" t="n"/>
      <c r="Q142" s="21" t="n"/>
      <c r="R142" s="24" t="n"/>
      <c r="S142" s="21" t="n"/>
      <c r="T142" s="21" t="n"/>
      <c r="U142" s="21" t="n"/>
      <c r="V142" s="21" t="n"/>
      <c r="W142" s="21" t="n"/>
      <c r="X142" s="21" t="n"/>
    </row>
    <row r="143">
      <c r="A143" s="20" t="inlineStr">
        <is>
          <t>ACT-121</t>
        </is>
      </c>
      <c r="B143" s="21" t="n"/>
      <c r="C143" s="21" t="n"/>
      <c r="D143" s="21" t="n"/>
      <c r="E143" s="21" t="n"/>
      <c r="F143" s="21" t="n"/>
      <c r="G143" s="21" t="n"/>
      <c r="H143" s="21" t="n"/>
      <c r="I143" s="21" t="n"/>
      <c r="J143" s="21" t="n"/>
      <c r="K143" s="21" t="n"/>
      <c r="L143" s="21" t="n"/>
      <c r="M143" s="25">
        <f>IF(G143="Completed",IF(ISBLANK(L143),"",L143-J143),IF(ISBLANK(J143),"",TODAY()-J143))</f>
        <v/>
      </c>
      <c r="N143" s="25">
        <f>IF(G143="Completed",0,IF(ISBLANK(K143),"",K143-TODAY()))</f>
        <v/>
      </c>
      <c r="O143" s="25">
        <f>IF(G143="Completed","Completed",IF(ISBLANK(N143),"",IF(N143&lt;0,"Overdue",IF(N143&lt;7,"At Risk","On Time"))))</f>
        <v/>
      </c>
      <c r="P143" s="21" t="n"/>
      <c r="Q143" s="21" t="n"/>
      <c r="R143" s="24" t="n"/>
      <c r="S143" s="21" t="n"/>
      <c r="T143" s="21" t="n"/>
      <c r="U143" s="21" t="n"/>
      <c r="V143" s="21" t="n"/>
      <c r="W143" s="21" t="n"/>
      <c r="X143" s="21" t="n"/>
    </row>
    <row r="144">
      <c r="A144" s="20" t="inlineStr">
        <is>
          <t>ACT-122</t>
        </is>
      </c>
      <c r="B144" s="21" t="n"/>
      <c r="C144" s="21" t="n"/>
      <c r="D144" s="21" t="n"/>
      <c r="E144" s="21" t="n"/>
      <c r="F144" s="21" t="n"/>
      <c r="G144" s="21" t="n"/>
      <c r="H144" s="21" t="n"/>
      <c r="I144" s="21" t="n"/>
      <c r="J144" s="21" t="n"/>
      <c r="K144" s="21" t="n"/>
      <c r="L144" s="21" t="n"/>
      <c r="M144" s="25">
        <f>IF(G144="Completed",IF(ISBLANK(L144),"",L144-J144),IF(ISBLANK(J144),"",TODAY()-J144))</f>
        <v/>
      </c>
      <c r="N144" s="25">
        <f>IF(G144="Completed",0,IF(ISBLANK(K144),"",K144-TODAY()))</f>
        <v/>
      </c>
      <c r="O144" s="25">
        <f>IF(G144="Completed","Completed",IF(ISBLANK(N144),"",IF(N144&lt;0,"Overdue",IF(N144&lt;7,"At Risk","On Time"))))</f>
        <v/>
      </c>
      <c r="P144" s="21" t="n"/>
      <c r="Q144" s="21" t="n"/>
      <c r="R144" s="24" t="n"/>
      <c r="S144" s="21" t="n"/>
      <c r="T144" s="21" t="n"/>
      <c r="U144" s="21" t="n"/>
      <c r="V144" s="21" t="n"/>
      <c r="W144" s="21" t="n"/>
      <c r="X144" s="21" t="n"/>
    </row>
    <row r="145">
      <c r="A145" s="20" t="inlineStr">
        <is>
          <t>ACT-123</t>
        </is>
      </c>
      <c r="B145" s="21" t="n"/>
      <c r="C145" s="21" t="n"/>
      <c r="D145" s="21" t="n"/>
      <c r="E145" s="21" t="n"/>
      <c r="F145" s="21" t="n"/>
      <c r="G145" s="21" t="n"/>
      <c r="H145" s="21" t="n"/>
      <c r="I145" s="21" t="n"/>
      <c r="J145" s="21" t="n"/>
      <c r="K145" s="21" t="n"/>
      <c r="L145" s="21" t="n"/>
      <c r="M145" s="25">
        <f>IF(G145="Completed",IF(ISBLANK(L145),"",L145-J145),IF(ISBLANK(J145),"",TODAY()-J145))</f>
        <v/>
      </c>
      <c r="N145" s="25">
        <f>IF(G145="Completed",0,IF(ISBLANK(K145),"",K145-TODAY()))</f>
        <v/>
      </c>
      <c r="O145" s="25">
        <f>IF(G145="Completed","Completed",IF(ISBLANK(N145),"",IF(N145&lt;0,"Overdue",IF(N145&lt;7,"At Risk","On Time"))))</f>
        <v/>
      </c>
      <c r="P145" s="21" t="n"/>
      <c r="Q145" s="21" t="n"/>
      <c r="R145" s="24" t="n"/>
      <c r="S145" s="21" t="n"/>
      <c r="T145" s="21" t="n"/>
      <c r="U145" s="21" t="n"/>
      <c r="V145" s="21" t="n"/>
      <c r="W145" s="21" t="n"/>
      <c r="X145" s="21" t="n"/>
    </row>
    <row r="146">
      <c r="A146" s="20" t="inlineStr">
        <is>
          <t>ACT-124</t>
        </is>
      </c>
      <c r="B146" s="21" t="n"/>
      <c r="C146" s="21" t="n"/>
      <c r="D146" s="21" t="n"/>
      <c r="E146" s="21" t="n"/>
      <c r="F146" s="21" t="n"/>
      <c r="G146" s="21" t="n"/>
      <c r="H146" s="21" t="n"/>
      <c r="I146" s="21" t="n"/>
      <c r="J146" s="21" t="n"/>
      <c r="K146" s="21" t="n"/>
      <c r="L146" s="21" t="n"/>
      <c r="M146" s="25">
        <f>IF(G146="Completed",IF(ISBLANK(L146),"",L146-J146),IF(ISBLANK(J146),"",TODAY()-J146))</f>
        <v/>
      </c>
      <c r="N146" s="25">
        <f>IF(G146="Completed",0,IF(ISBLANK(K146),"",K146-TODAY()))</f>
        <v/>
      </c>
      <c r="O146" s="25">
        <f>IF(G146="Completed","Completed",IF(ISBLANK(N146),"",IF(N146&lt;0,"Overdue",IF(N146&lt;7,"At Risk","On Time"))))</f>
        <v/>
      </c>
      <c r="P146" s="21" t="n"/>
      <c r="Q146" s="21" t="n"/>
      <c r="R146" s="24" t="n"/>
      <c r="S146" s="21" t="n"/>
      <c r="T146" s="21" t="n"/>
      <c r="U146" s="21" t="n"/>
      <c r="V146" s="21" t="n"/>
      <c r="W146" s="21" t="n"/>
      <c r="X146" s="21" t="n"/>
    </row>
    <row r="147">
      <c r="A147" s="20" t="inlineStr">
        <is>
          <t>ACT-125</t>
        </is>
      </c>
      <c r="B147" s="21" t="n"/>
      <c r="C147" s="21" t="n"/>
      <c r="D147" s="21" t="n"/>
      <c r="E147" s="21" t="n"/>
      <c r="F147" s="21" t="n"/>
      <c r="G147" s="21" t="n"/>
      <c r="H147" s="21" t="n"/>
      <c r="I147" s="21" t="n"/>
      <c r="J147" s="21" t="n"/>
      <c r="K147" s="21" t="n"/>
      <c r="L147" s="21" t="n"/>
      <c r="M147" s="25">
        <f>IF(G147="Completed",IF(ISBLANK(L147),"",L147-J147),IF(ISBLANK(J147),"",TODAY()-J147))</f>
        <v/>
      </c>
      <c r="N147" s="25">
        <f>IF(G147="Completed",0,IF(ISBLANK(K147),"",K147-TODAY()))</f>
        <v/>
      </c>
      <c r="O147" s="25">
        <f>IF(G147="Completed","Completed",IF(ISBLANK(N147),"",IF(N147&lt;0,"Overdue",IF(N147&lt;7,"At Risk","On Time"))))</f>
        <v/>
      </c>
      <c r="P147" s="21" t="n"/>
      <c r="Q147" s="21" t="n"/>
      <c r="R147" s="24" t="n"/>
      <c r="S147" s="21" t="n"/>
      <c r="T147" s="21" t="n"/>
      <c r="U147" s="21" t="n"/>
      <c r="V147" s="21" t="n"/>
      <c r="W147" s="21" t="n"/>
      <c r="X147" s="21" t="n"/>
    </row>
    <row r="148">
      <c r="A148" s="20" t="inlineStr">
        <is>
          <t>ACT-126</t>
        </is>
      </c>
      <c r="B148" s="21" t="n"/>
      <c r="C148" s="21" t="n"/>
      <c r="D148" s="21" t="n"/>
      <c r="E148" s="21" t="n"/>
      <c r="F148" s="21" t="n"/>
      <c r="G148" s="21" t="n"/>
      <c r="H148" s="21" t="n"/>
      <c r="I148" s="21" t="n"/>
      <c r="J148" s="21" t="n"/>
      <c r="K148" s="21" t="n"/>
      <c r="L148" s="21" t="n"/>
      <c r="M148" s="25">
        <f>IF(G148="Completed",IF(ISBLANK(L148),"",L148-J148),IF(ISBLANK(J148),"",TODAY()-J148))</f>
        <v/>
      </c>
      <c r="N148" s="25">
        <f>IF(G148="Completed",0,IF(ISBLANK(K148),"",K148-TODAY()))</f>
        <v/>
      </c>
      <c r="O148" s="25">
        <f>IF(G148="Completed","Completed",IF(ISBLANK(N148),"",IF(N148&lt;0,"Overdue",IF(N148&lt;7,"At Risk","On Time"))))</f>
        <v/>
      </c>
      <c r="P148" s="21" t="n"/>
      <c r="Q148" s="21" t="n"/>
      <c r="R148" s="24" t="n"/>
      <c r="S148" s="21" t="n"/>
      <c r="T148" s="21" t="n"/>
      <c r="U148" s="21" t="n"/>
      <c r="V148" s="21" t="n"/>
      <c r="W148" s="21" t="n"/>
      <c r="X148" s="21" t="n"/>
    </row>
    <row r="149">
      <c r="A149" s="20" t="inlineStr">
        <is>
          <t>ACT-127</t>
        </is>
      </c>
      <c r="B149" s="21" t="n"/>
      <c r="C149" s="21" t="n"/>
      <c r="D149" s="21" t="n"/>
      <c r="E149" s="21" t="n"/>
      <c r="F149" s="21" t="n"/>
      <c r="G149" s="21" t="n"/>
      <c r="H149" s="21" t="n"/>
      <c r="I149" s="21" t="n"/>
      <c r="J149" s="21" t="n"/>
      <c r="K149" s="21" t="n"/>
      <c r="L149" s="21" t="n"/>
      <c r="M149" s="25">
        <f>IF(G149="Completed",IF(ISBLANK(L149),"",L149-J149),IF(ISBLANK(J149),"",TODAY()-J149))</f>
        <v/>
      </c>
      <c r="N149" s="25">
        <f>IF(G149="Completed",0,IF(ISBLANK(K149),"",K149-TODAY()))</f>
        <v/>
      </c>
      <c r="O149" s="25">
        <f>IF(G149="Completed","Completed",IF(ISBLANK(N149),"",IF(N149&lt;0,"Overdue",IF(N149&lt;7,"At Risk","On Time"))))</f>
        <v/>
      </c>
      <c r="P149" s="21" t="n"/>
      <c r="Q149" s="21" t="n"/>
      <c r="R149" s="24" t="n"/>
      <c r="S149" s="21" t="n"/>
      <c r="T149" s="21" t="n"/>
      <c r="U149" s="21" t="n"/>
      <c r="V149" s="21" t="n"/>
      <c r="W149" s="21" t="n"/>
      <c r="X149" s="21" t="n"/>
    </row>
    <row r="150">
      <c r="A150" s="20" t="inlineStr">
        <is>
          <t>ACT-128</t>
        </is>
      </c>
      <c r="B150" s="21" t="n"/>
      <c r="C150" s="21" t="n"/>
      <c r="D150" s="21" t="n"/>
      <c r="E150" s="21" t="n"/>
      <c r="F150" s="21" t="n"/>
      <c r="G150" s="21" t="n"/>
      <c r="H150" s="21" t="n"/>
      <c r="I150" s="21" t="n"/>
      <c r="J150" s="21" t="n"/>
      <c r="K150" s="21" t="n"/>
      <c r="L150" s="21" t="n"/>
      <c r="M150" s="25">
        <f>IF(G150="Completed",IF(ISBLANK(L150),"",L150-J150),IF(ISBLANK(J150),"",TODAY()-J150))</f>
        <v/>
      </c>
      <c r="N150" s="25">
        <f>IF(G150="Completed",0,IF(ISBLANK(K150),"",K150-TODAY()))</f>
        <v/>
      </c>
      <c r="O150" s="25">
        <f>IF(G150="Completed","Completed",IF(ISBLANK(N150),"",IF(N150&lt;0,"Overdue",IF(N150&lt;7,"At Risk","On Time"))))</f>
        <v/>
      </c>
      <c r="P150" s="21" t="n"/>
      <c r="Q150" s="21" t="n"/>
      <c r="R150" s="24" t="n"/>
      <c r="S150" s="21" t="n"/>
      <c r="T150" s="21" t="n"/>
      <c r="U150" s="21" t="n"/>
      <c r="V150" s="21" t="n"/>
      <c r="W150" s="21" t="n"/>
      <c r="X150" s="21" t="n"/>
    </row>
    <row r="151">
      <c r="A151" s="20" t="inlineStr">
        <is>
          <t>ACT-129</t>
        </is>
      </c>
      <c r="B151" s="21" t="n"/>
      <c r="C151" s="21" t="n"/>
      <c r="D151" s="21" t="n"/>
      <c r="E151" s="21" t="n"/>
      <c r="F151" s="21" t="n"/>
      <c r="G151" s="21" t="n"/>
      <c r="H151" s="21" t="n"/>
      <c r="I151" s="21" t="n"/>
      <c r="J151" s="21" t="n"/>
      <c r="K151" s="21" t="n"/>
      <c r="L151" s="21" t="n"/>
      <c r="M151" s="25">
        <f>IF(G151="Completed",IF(ISBLANK(L151),"",L151-J151),IF(ISBLANK(J151),"",TODAY()-J151))</f>
        <v/>
      </c>
      <c r="N151" s="25">
        <f>IF(G151="Completed",0,IF(ISBLANK(K151),"",K151-TODAY()))</f>
        <v/>
      </c>
      <c r="O151" s="25">
        <f>IF(G151="Completed","Completed",IF(ISBLANK(N151),"",IF(N151&lt;0,"Overdue",IF(N151&lt;7,"At Risk","On Time"))))</f>
        <v/>
      </c>
      <c r="P151" s="21" t="n"/>
      <c r="Q151" s="21" t="n"/>
      <c r="R151" s="24" t="n"/>
      <c r="S151" s="21" t="n"/>
      <c r="T151" s="21" t="n"/>
      <c r="U151" s="21" t="n"/>
      <c r="V151" s="21" t="n"/>
      <c r="W151" s="21" t="n"/>
      <c r="X151" s="21" t="n"/>
    </row>
    <row r="152">
      <c r="A152" s="20" t="inlineStr">
        <is>
          <t>ACT-130</t>
        </is>
      </c>
      <c r="B152" s="21" t="n"/>
      <c r="C152" s="21" t="n"/>
      <c r="D152" s="21" t="n"/>
      <c r="E152" s="21" t="n"/>
      <c r="F152" s="21" t="n"/>
      <c r="G152" s="21" t="n"/>
      <c r="H152" s="21" t="n"/>
      <c r="I152" s="21" t="n"/>
      <c r="J152" s="21" t="n"/>
      <c r="K152" s="21" t="n"/>
      <c r="L152" s="21" t="n"/>
      <c r="M152" s="25">
        <f>IF(G152="Completed",IF(ISBLANK(L152),"",L152-J152),IF(ISBLANK(J152),"",TODAY()-J152))</f>
        <v/>
      </c>
      <c r="N152" s="25">
        <f>IF(G152="Completed",0,IF(ISBLANK(K152),"",K152-TODAY()))</f>
        <v/>
      </c>
      <c r="O152" s="25">
        <f>IF(G152="Completed","Completed",IF(ISBLANK(N152),"",IF(N152&lt;0,"Overdue",IF(N152&lt;7,"At Risk","On Time"))))</f>
        <v/>
      </c>
      <c r="P152" s="21" t="n"/>
      <c r="Q152" s="21" t="n"/>
      <c r="R152" s="24" t="n"/>
      <c r="S152" s="21" t="n"/>
      <c r="T152" s="21" t="n"/>
      <c r="U152" s="21" t="n"/>
      <c r="V152" s="21" t="n"/>
      <c r="W152" s="21" t="n"/>
      <c r="X152" s="21" t="n"/>
    </row>
    <row r="153">
      <c r="A153" s="20" t="inlineStr">
        <is>
          <t>ACT-131</t>
        </is>
      </c>
      <c r="B153" s="21" t="n"/>
      <c r="C153" s="21" t="n"/>
      <c r="D153" s="21" t="n"/>
      <c r="E153" s="21" t="n"/>
      <c r="F153" s="21" t="n"/>
      <c r="G153" s="21" t="n"/>
      <c r="H153" s="21" t="n"/>
      <c r="I153" s="21" t="n"/>
      <c r="J153" s="21" t="n"/>
      <c r="K153" s="21" t="n"/>
      <c r="L153" s="21" t="n"/>
      <c r="M153" s="25">
        <f>IF(G153="Completed",IF(ISBLANK(L153),"",L153-J153),IF(ISBLANK(J153),"",TODAY()-J153))</f>
        <v/>
      </c>
      <c r="N153" s="25">
        <f>IF(G153="Completed",0,IF(ISBLANK(K153),"",K153-TODAY()))</f>
        <v/>
      </c>
      <c r="O153" s="25">
        <f>IF(G153="Completed","Completed",IF(ISBLANK(N153),"",IF(N153&lt;0,"Overdue",IF(N153&lt;7,"At Risk","On Time"))))</f>
        <v/>
      </c>
      <c r="P153" s="21" t="n"/>
      <c r="Q153" s="21" t="n"/>
      <c r="R153" s="24" t="n"/>
      <c r="S153" s="21" t="n"/>
      <c r="T153" s="21" t="n"/>
      <c r="U153" s="21" t="n"/>
      <c r="V153" s="21" t="n"/>
      <c r="W153" s="21" t="n"/>
      <c r="X153" s="21" t="n"/>
    </row>
    <row r="154">
      <c r="A154" s="20" t="inlineStr">
        <is>
          <t>ACT-132</t>
        </is>
      </c>
      <c r="B154" s="21" t="n"/>
      <c r="C154" s="21" t="n"/>
      <c r="D154" s="21" t="n"/>
      <c r="E154" s="21" t="n"/>
      <c r="F154" s="21" t="n"/>
      <c r="G154" s="21" t="n"/>
      <c r="H154" s="21" t="n"/>
      <c r="I154" s="21" t="n"/>
      <c r="J154" s="21" t="n"/>
      <c r="K154" s="21" t="n"/>
      <c r="L154" s="21" t="n"/>
      <c r="M154" s="25">
        <f>IF(G154="Completed",IF(ISBLANK(L154),"",L154-J154),IF(ISBLANK(J154),"",TODAY()-J154))</f>
        <v/>
      </c>
      <c r="N154" s="25">
        <f>IF(G154="Completed",0,IF(ISBLANK(K154),"",K154-TODAY()))</f>
        <v/>
      </c>
      <c r="O154" s="25">
        <f>IF(G154="Completed","Completed",IF(ISBLANK(N154),"",IF(N154&lt;0,"Overdue",IF(N154&lt;7,"At Risk","On Time"))))</f>
        <v/>
      </c>
      <c r="P154" s="21" t="n"/>
      <c r="Q154" s="21" t="n"/>
      <c r="R154" s="24" t="n"/>
      <c r="S154" s="21" t="n"/>
      <c r="T154" s="21" t="n"/>
      <c r="U154" s="21" t="n"/>
      <c r="V154" s="21" t="n"/>
      <c r="W154" s="21" t="n"/>
      <c r="X154" s="21" t="n"/>
    </row>
    <row r="155">
      <c r="A155" s="20" t="inlineStr">
        <is>
          <t>ACT-133</t>
        </is>
      </c>
      <c r="B155" s="21" t="n"/>
      <c r="C155" s="21" t="n"/>
      <c r="D155" s="21" t="n"/>
      <c r="E155" s="21" t="n"/>
      <c r="F155" s="21" t="n"/>
      <c r="G155" s="21" t="n"/>
      <c r="H155" s="21" t="n"/>
      <c r="I155" s="21" t="n"/>
      <c r="J155" s="21" t="n"/>
      <c r="K155" s="21" t="n"/>
      <c r="L155" s="21" t="n"/>
      <c r="M155" s="25">
        <f>IF(G155="Completed",IF(ISBLANK(L155),"",L155-J155),IF(ISBLANK(J155),"",TODAY()-J155))</f>
        <v/>
      </c>
      <c r="N155" s="25">
        <f>IF(G155="Completed",0,IF(ISBLANK(K155),"",K155-TODAY()))</f>
        <v/>
      </c>
      <c r="O155" s="25">
        <f>IF(G155="Completed","Completed",IF(ISBLANK(N155),"",IF(N155&lt;0,"Overdue",IF(N155&lt;7,"At Risk","On Time"))))</f>
        <v/>
      </c>
      <c r="P155" s="21" t="n"/>
      <c r="Q155" s="21" t="n"/>
      <c r="R155" s="24" t="n"/>
      <c r="S155" s="21" t="n"/>
      <c r="T155" s="21" t="n"/>
      <c r="U155" s="21" t="n"/>
      <c r="V155" s="21" t="n"/>
      <c r="W155" s="21" t="n"/>
      <c r="X155" s="21" t="n"/>
    </row>
    <row r="156">
      <c r="A156" s="20" t="inlineStr">
        <is>
          <t>ACT-134</t>
        </is>
      </c>
      <c r="B156" s="21" t="n"/>
      <c r="C156" s="21" t="n"/>
      <c r="D156" s="21" t="n"/>
      <c r="E156" s="21" t="n"/>
      <c r="F156" s="21" t="n"/>
      <c r="G156" s="21" t="n"/>
      <c r="H156" s="21" t="n"/>
      <c r="I156" s="21" t="n"/>
      <c r="J156" s="21" t="n"/>
      <c r="K156" s="21" t="n"/>
      <c r="L156" s="21" t="n"/>
      <c r="M156" s="25">
        <f>IF(G156="Completed",IF(ISBLANK(L156),"",L156-J156),IF(ISBLANK(J156),"",TODAY()-J156))</f>
        <v/>
      </c>
      <c r="N156" s="25">
        <f>IF(G156="Completed",0,IF(ISBLANK(K156),"",K156-TODAY()))</f>
        <v/>
      </c>
      <c r="O156" s="25">
        <f>IF(G156="Completed","Completed",IF(ISBLANK(N156),"",IF(N156&lt;0,"Overdue",IF(N156&lt;7,"At Risk","On Time"))))</f>
        <v/>
      </c>
      <c r="P156" s="21" t="n"/>
      <c r="Q156" s="21" t="n"/>
      <c r="R156" s="24" t="n"/>
      <c r="S156" s="21" t="n"/>
      <c r="T156" s="21" t="n"/>
      <c r="U156" s="21" t="n"/>
      <c r="V156" s="21" t="n"/>
      <c r="W156" s="21" t="n"/>
      <c r="X156" s="21" t="n"/>
    </row>
    <row r="157">
      <c r="A157" s="20" t="inlineStr">
        <is>
          <t>ACT-135</t>
        </is>
      </c>
      <c r="B157" s="21" t="n"/>
      <c r="C157" s="21" t="n"/>
      <c r="D157" s="21" t="n"/>
      <c r="E157" s="21" t="n"/>
      <c r="F157" s="21" t="n"/>
      <c r="G157" s="21" t="n"/>
      <c r="H157" s="21" t="n"/>
      <c r="I157" s="21" t="n"/>
      <c r="J157" s="21" t="n"/>
      <c r="K157" s="21" t="n"/>
      <c r="L157" s="21" t="n"/>
      <c r="M157" s="25">
        <f>IF(G157="Completed",IF(ISBLANK(L157),"",L157-J157),IF(ISBLANK(J157),"",TODAY()-J157))</f>
        <v/>
      </c>
      <c r="N157" s="25">
        <f>IF(G157="Completed",0,IF(ISBLANK(K157),"",K157-TODAY()))</f>
        <v/>
      </c>
      <c r="O157" s="25">
        <f>IF(G157="Completed","Completed",IF(ISBLANK(N157),"",IF(N157&lt;0,"Overdue",IF(N157&lt;7,"At Risk","On Time"))))</f>
        <v/>
      </c>
      <c r="P157" s="21" t="n"/>
      <c r="Q157" s="21" t="n"/>
      <c r="R157" s="24" t="n"/>
      <c r="S157" s="21" t="n"/>
      <c r="T157" s="21" t="n"/>
      <c r="U157" s="21" t="n"/>
      <c r="V157" s="21" t="n"/>
      <c r="W157" s="21" t="n"/>
      <c r="X157" s="21" t="n"/>
    </row>
    <row r="158">
      <c r="A158" s="20" t="inlineStr">
        <is>
          <t>ACT-136</t>
        </is>
      </c>
      <c r="B158" s="21" t="n"/>
      <c r="C158" s="21" t="n"/>
      <c r="D158" s="21" t="n"/>
      <c r="E158" s="21" t="n"/>
      <c r="F158" s="21" t="n"/>
      <c r="G158" s="21" t="n"/>
      <c r="H158" s="21" t="n"/>
      <c r="I158" s="21" t="n"/>
      <c r="J158" s="21" t="n"/>
      <c r="K158" s="21" t="n"/>
      <c r="L158" s="21" t="n"/>
      <c r="M158" s="25">
        <f>IF(G158="Completed",IF(ISBLANK(L158),"",L158-J158),IF(ISBLANK(J158),"",TODAY()-J158))</f>
        <v/>
      </c>
      <c r="N158" s="25">
        <f>IF(G158="Completed",0,IF(ISBLANK(K158),"",K158-TODAY()))</f>
        <v/>
      </c>
      <c r="O158" s="25">
        <f>IF(G158="Completed","Completed",IF(ISBLANK(N158),"",IF(N158&lt;0,"Overdue",IF(N158&lt;7,"At Risk","On Time"))))</f>
        <v/>
      </c>
      <c r="P158" s="21" t="n"/>
      <c r="Q158" s="21" t="n"/>
      <c r="R158" s="24" t="n"/>
      <c r="S158" s="21" t="n"/>
      <c r="T158" s="21" t="n"/>
      <c r="U158" s="21" t="n"/>
      <c r="V158" s="21" t="n"/>
      <c r="W158" s="21" t="n"/>
      <c r="X158" s="21" t="n"/>
    </row>
    <row r="159">
      <c r="A159" s="20" t="inlineStr">
        <is>
          <t>ACT-137</t>
        </is>
      </c>
      <c r="B159" s="21" t="n"/>
      <c r="C159" s="21" t="n"/>
      <c r="D159" s="21" t="n"/>
      <c r="E159" s="21" t="n"/>
      <c r="F159" s="21" t="n"/>
      <c r="G159" s="21" t="n"/>
      <c r="H159" s="21" t="n"/>
      <c r="I159" s="21" t="n"/>
      <c r="J159" s="21" t="n"/>
      <c r="K159" s="21" t="n"/>
      <c r="L159" s="21" t="n"/>
      <c r="M159" s="25">
        <f>IF(G159="Completed",IF(ISBLANK(L159),"",L159-J159),IF(ISBLANK(J159),"",TODAY()-J159))</f>
        <v/>
      </c>
      <c r="N159" s="25">
        <f>IF(G159="Completed",0,IF(ISBLANK(K159),"",K159-TODAY()))</f>
        <v/>
      </c>
      <c r="O159" s="25">
        <f>IF(G159="Completed","Completed",IF(ISBLANK(N159),"",IF(N159&lt;0,"Overdue",IF(N159&lt;7,"At Risk","On Time"))))</f>
        <v/>
      </c>
      <c r="P159" s="21" t="n"/>
      <c r="Q159" s="21" t="n"/>
      <c r="R159" s="24" t="n"/>
      <c r="S159" s="21" t="n"/>
      <c r="T159" s="21" t="n"/>
      <c r="U159" s="21" t="n"/>
      <c r="V159" s="21" t="n"/>
      <c r="W159" s="21" t="n"/>
      <c r="X159" s="21" t="n"/>
    </row>
    <row r="160">
      <c r="A160" s="20" t="inlineStr">
        <is>
          <t>ACT-138</t>
        </is>
      </c>
      <c r="B160" s="21" t="n"/>
      <c r="C160" s="21" t="n"/>
      <c r="D160" s="21" t="n"/>
      <c r="E160" s="21" t="n"/>
      <c r="F160" s="21" t="n"/>
      <c r="G160" s="21" t="n"/>
      <c r="H160" s="21" t="n"/>
      <c r="I160" s="21" t="n"/>
      <c r="J160" s="21" t="n"/>
      <c r="K160" s="21" t="n"/>
      <c r="L160" s="21" t="n"/>
      <c r="M160" s="25">
        <f>IF(G160="Completed",IF(ISBLANK(L160),"",L160-J160),IF(ISBLANK(J160),"",TODAY()-J160))</f>
        <v/>
      </c>
      <c r="N160" s="25">
        <f>IF(G160="Completed",0,IF(ISBLANK(K160),"",K160-TODAY()))</f>
        <v/>
      </c>
      <c r="O160" s="25">
        <f>IF(G160="Completed","Completed",IF(ISBLANK(N160),"",IF(N160&lt;0,"Overdue",IF(N160&lt;7,"At Risk","On Time"))))</f>
        <v/>
      </c>
      <c r="P160" s="21" t="n"/>
      <c r="Q160" s="21" t="n"/>
      <c r="R160" s="24" t="n"/>
      <c r="S160" s="21" t="n"/>
      <c r="T160" s="21" t="n"/>
      <c r="U160" s="21" t="n"/>
      <c r="V160" s="21" t="n"/>
      <c r="W160" s="21" t="n"/>
      <c r="X160" s="21" t="n"/>
    </row>
    <row r="161">
      <c r="A161" s="20" t="inlineStr">
        <is>
          <t>ACT-139</t>
        </is>
      </c>
      <c r="B161" s="21" t="n"/>
      <c r="C161" s="21" t="n"/>
      <c r="D161" s="21" t="n"/>
      <c r="E161" s="21" t="n"/>
      <c r="F161" s="21" t="n"/>
      <c r="G161" s="21" t="n"/>
      <c r="H161" s="21" t="n"/>
      <c r="I161" s="21" t="n"/>
      <c r="J161" s="21" t="n"/>
      <c r="K161" s="21" t="n"/>
      <c r="L161" s="21" t="n"/>
      <c r="M161" s="25">
        <f>IF(G161="Completed",IF(ISBLANK(L161),"",L161-J161),IF(ISBLANK(J161),"",TODAY()-J161))</f>
        <v/>
      </c>
      <c r="N161" s="25">
        <f>IF(G161="Completed",0,IF(ISBLANK(K161),"",K161-TODAY()))</f>
        <v/>
      </c>
      <c r="O161" s="25">
        <f>IF(G161="Completed","Completed",IF(ISBLANK(N161),"",IF(N161&lt;0,"Overdue",IF(N161&lt;7,"At Risk","On Time"))))</f>
        <v/>
      </c>
      <c r="P161" s="21" t="n"/>
      <c r="Q161" s="21" t="n"/>
      <c r="R161" s="24" t="n"/>
      <c r="S161" s="21" t="n"/>
      <c r="T161" s="21" t="n"/>
      <c r="U161" s="21" t="n"/>
      <c r="V161" s="21" t="n"/>
      <c r="W161" s="21" t="n"/>
      <c r="X161" s="21" t="n"/>
    </row>
    <row r="162">
      <c r="A162" s="20" t="inlineStr">
        <is>
          <t>ACT-140</t>
        </is>
      </c>
      <c r="B162" s="21" t="n"/>
      <c r="C162" s="21" t="n"/>
      <c r="D162" s="21" t="n"/>
      <c r="E162" s="21" t="n"/>
      <c r="F162" s="21" t="n"/>
      <c r="G162" s="21" t="n"/>
      <c r="H162" s="21" t="n"/>
      <c r="I162" s="21" t="n"/>
      <c r="J162" s="21" t="n"/>
      <c r="K162" s="21" t="n"/>
      <c r="L162" s="21" t="n"/>
      <c r="M162" s="25">
        <f>IF(G162="Completed",IF(ISBLANK(L162),"",L162-J162),IF(ISBLANK(J162),"",TODAY()-J162))</f>
        <v/>
      </c>
      <c r="N162" s="25">
        <f>IF(G162="Completed",0,IF(ISBLANK(K162),"",K162-TODAY()))</f>
        <v/>
      </c>
      <c r="O162" s="25">
        <f>IF(G162="Completed","Completed",IF(ISBLANK(N162),"",IF(N162&lt;0,"Overdue",IF(N162&lt;7,"At Risk","On Time"))))</f>
        <v/>
      </c>
      <c r="P162" s="21" t="n"/>
      <c r="Q162" s="21" t="n"/>
      <c r="R162" s="24" t="n"/>
      <c r="S162" s="21" t="n"/>
      <c r="T162" s="21" t="n"/>
      <c r="U162" s="21" t="n"/>
      <c r="V162" s="21" t="n"/>
      <c r="W162" s="21" t="n"/>
      <c r="X162" s="21" t="n"/>
    </row>
    <row r="163">
      <c r="A163" s="20" t="inlineStr">
        <is>
          <t>ACT-141</t>
        </is>
      </c>
      <c r="B163" s="21" t="n"/>
      <c r="C163" s="21" t="n"/>
      <c r="D163" s="21" t="n"/>
      <c r="E163" s="21" t="n"/>
      <c r="F163" s="21" t="n"/>
      <c r="G163" s="21" t="n"/>
      <c r="H163" s="21" t="n"/>
      <c r="I163" s="21" t="n"/>
      <c r="J163" s="21" t="n"/>
      <c r="K163" s="21" t="n"/>
      <c r="L163" s="21" t="n"/>
      <c r="M163" s="25">
        <f>IF(G163="Completed",IF(ISBLANK(L163),"",L163-J163),IF(ISBLANK(J163),"",TODAY()-J163))</f>
        <v/>
      </c>
      <c r="N163" s="25">
        <f>IF(G163="Completed",0,IF(ISBLANK(K163),"",K163-TODAY()))</f>
        <v/>
      </c>
      <c r="O163" s="25">
        <f>IF(G163="Completed","Completed",IF(ISBLANK(N163),"",IF(N163&lt;0,"Overdue",IF(N163&lt;7,"At Risk","On Time"))))</f>
        <v/>
      </c>
      <c r="P163" s="21" t="n"/>
      <c r="Q163" s="21" t="n"/>
      <c r="R163" s="24" t="n"/>
      <c r="S163" s="21" t="n"/>
      <c r="T163" s="21" t="n"/>
      <c r="U163" s="21" t="n"/>
      <c r="V163" s="21" t="n"/>
      <c r="W163" s="21" t="n"/>
      <c r="X163" s="21" t="n"/>
    </row>
    <row r="164">
      <c r="A164" s="20" t="inlineStr">
        <is>
          <t>ACT-142</t>
        </is>
      </c>
      <c r="B164" s="21" t="n"/>
      <c r="C164" s="21" t="n"/>
      <c r="D164" s="21" t="n"/>
      <c r="E164" s="21" t="n"/>
      <c r="F164" s="21" t="n"/>
      <c r="G164" s="21" t="n"/>
      <c r="H164" s="21" t="n"/>
      <c r="I164" s="21" t="n"/>
      <c r="J164" s="21" t="n"/>
      <c r="K164" s="21" t="n"/>
      <c r="L164" s="21" t="n"/>
      <c r="M164" s="25">
        <f>IF(G164="Completed",IF(ISBLANK(L164),"",L164-J164),IF(ISBLANK(J164),"",TODAY()-J164))</f>
        <v/>
      </c>
      <c r="N164" s="25">
        <f>IF(G164="Completed",0,IF(ISBLANK(K164),"",K164-TODAY()))</f>
        <v/>
      </c>
      <c r="O164" s="25">
        <f>IF(G164="Completed","Completed",IF(ISBLANK(N164),"",IF(N164&lt;0,"Overdue",IF(N164&lt;7,"At Risk","On Time"))))</f>
        <v/>
      </c>
      <c r="P164" s="21" t="n"/>
      <c r="Q164" s="21" t="n"/>
      <c r="R164" s="24" t="n"/>
      <c r="S164" s="21" t="n"/>
      <c r="T164" s="21" t="n"/>
      <c r="U164" s="21" t="n"/>
      <c r="V164" s="21" t="n"/>
      <c r="W164" s="21" t="n"/>
      <c r="X164" s="21" t="n"/>
    </row>
    <row r="165">
      <c r="A165" s="20" t="inlineStr">
        <is>
          <t>ACT-143</t>
        </is>
      </c>
      <c r="B165" s="21" t="n"/>
      <c r="C165" s="21" t="n"/>
      <c r="D165" s="21" t="n"/>
      <c r="E165" s="21" t="n"/>
      <c r="F165" s="21" t="n"/>
      <c r="G165" s="21" t="n"/>
      <c r="H165" s="21" t="n"/>
      <c r="I165" s="21" t="n"/>
      <c r="J165" s="21" t="n"/>
      <c r="K165" s="21" t="n"/>
      <c r="L165" s="21" t="n"/>
      <c r="M165" s="25">
        <f>IF(G165="Completed",IF(ISBLANK(L165),"",L165-J165),IF(ISBLANK(J165),"",TODAY()-J165))</f>
        <v/>
      </c>
      <c r="N165" s="25">
        <f>IF(G165="Completed",0,IF(ISBLANK(K165),"",K165-TODAY()))</f>
        <v/>
      </c>
      <c r="O165" s="25">
        <f>IF(G165="Completed","Completed",IF(ISBLANK(N165),"",IF(N165&lt;0,"Overdue",IF(N165&lt;7,"At Risk","On Time"))))</f>
        <v/>
      </c>
      <c r="P165" s="21" t="n"/>
      <c r="Q165" s="21" t="n"/>
      <c r="R165" s="24" t="n"/>
      <c r="S165" s="21" t="n"/>
      <c r="T165" s="21" t="n"/>
      <c r="U165" s="21" t="n"/>
      <c r="V165" s="21" t="n"/>
      <c r="W165" s="21" t="n"/>
      <c r="X165" s="21" t="n"/>
    </row>
    <row r="166">
      <c r="A166" s="20" t="inlineStr">
        <is>
          <t>ACT-144</t>
        </is>
      </c>
      <c r="B166" s="21" t="n"/>
      <c r="C166" s="21" t="n"/>
      <c r="D166" s="21" t="n"/>
      <c r="E166" s="21" t="n"/>
      <c r="F166" s="21" t="n"/>
      <c r="G166" s="21" t="n"/>
      <c r="H166" s="21" t="n"/>
      <c r="I166" s="21" t="n"/>
      <c r="J166" s="21" t="n"/>
      <c r="K166" s="21" t="n"/>
      <c r="L166" s="21" t="n"/>
      <c r="M166" s="25">
        <f>IF(G166="Completed",IF(ISBLANK(L166),"",L166-J166),IF(ISBLANK(J166),"",TODAY()-J166))</f>
        <v/>
      </c>
      <c r="N166" s="25">
        <f>IF(G166="Completed",0,IF(ISBLANK(K166),"",K166-TODAY()))</f>
        <v/>
      </c>
      <c r="O166" s="25">
        <f>IF(G166="Completed","Completed",IF(ISBLANK(N166),"",IF(N166&lt;0,"Overdue",IF(N166&lt;7,"At Risk","On Time"))))</f>
        <v/>
      </c>
      <c r="P166" s="21" t="n"/>
      <c r="Q166" s="21" t="n"/>
      <c r="R166" s="24" t="n"/>
      <c r="S166" s="21" t="n"/>
      <c r="T166" s="21" t="n"/>
      <c r="U166" s="21" t="n"/>
      <c r="V166" s="21" t="n"/>
      <c r="W166" s="21" t="n"/>
      <c r="X166" s="21" t="n"/>
    </row>
    <row r="167">
      <c r="A167" s="20" t="inlineStr">
        <is>
          <t>ACT-145</t>
        </is>
      </c>
      <c r="B167" s="21" t="n"/>
      <c r="C167" s="21" t="n"/>
      <c r="D167" s="21" t="n"/>
      <c r="E167" s="21" t="n"/>
      <c r="F167" s="21" t="n"/>
      <c r="G167" s="21" t="n"/>
      <c r="H167" s="21" t="n"/>
      <c r="I167" s="21" t="n"/>
      <c r="J167" s="21" t="n"/>
      <c r="K167" s="21" t="n"/>
      <c r="L167" s="21" t="n"/>
      <c r="M167" s="25">
        <f>IF(G167="Completed",IF(ISBLANK(L167),"",L167-J167),IF(ISBLANK(J167),"",TODAY()-J167))</f>
        <v/>
      </c>
      <c r="N167" s="25">
        <f>IF(G167="Completed",0,IF(ISBLANK(K167),"",K167-TODAY()))</f>
        <v/>
      </c>
      <c r="O167" s="25">
        <f>IF(G167="Completed","Completed",IF(ISBLANK(N167),"",IF(N167&lt;0,"Overdue",IF(N167&lt;7,"At Risk","On Time"))))</f>
        <v/>
      </c>
      <c r="P167" s="21" t="n"/>
      <c r="Q167" s="21" t="n"/>
      <c r="R167" s="24" t="n"/>
      <c r="S167" s="21" t="n"/>
      <c r="T167" s="21" t="n"/>
      <c r="U167" s="21" t="n"/>
      <c r="V167" s="21" t="n"/>
      <c r="W167" s="21" t="n"/>
      <c r="X167" s="21" t="n"/>
    </row>
    <row r="168">
      <c r="A168" s="20" t="inlineStr">
        <is>
          <t>ACT-146</t>
        </is>
      </c>
      <c r="B168" s="21" t="n"/>
      <c r="C168" s="21" t="n"/>
      <c r="D168" s="21" t="n"/>
      <c r="E168" s="21" t="n"/>
      <c r="F168" s="21" t="n"/>
      <c r="G168" s="21" t="n"/>
      <c r="H168" s="21" t="n"/>
      <c r="I168" s="21" t="n"/>
      <c r="J168" s="21" t="n"/>
      <c r="K168" s="21" t="n"/>
      <c r="L168" s="21" t="n"/>
      <c r="M168" s="25">
        <f>IF(G168="Completed",IF(ISBLANK(L168),"",L168-J168),IF(ISBLANK(J168),"",TODAY()-J168))</f>
        <v/>
      </c>
      <c r="N168" s="25">
        <f>IF(G168="Completed",0,IF(ISBLANK(K168),"",K168-TODAY()))</f>
        <v/>
      </c>
      <c r="O168" s="25">
        <f>IF(G168="Completed","Completed",IF(ISBLANK(N168),"",IF(N168&lt;0,"Overdue",IF(N168&lt;7,"At Risk","On Time"))))</f>
        <v/>
      </c>
      <c r="P168" s="21" t="n"/>
      <c r="Q168" s="21" t="n"/>
      <c r="R168" s="24" t="n"/>
      <c r="S168" s="21" t="n"/>
      <c r="T168" s="21" t="n"/>
      <c r="U168" s="21" t="n"/>
      <c r="V168" s="21" t="n"/>
      <c r="W168" s="21" t="n"/>
      <c r="X168" s="21" t="n"/>
    </row>
    <row r="169">
      <c r="A169" s="20" t="inlineStr">
        <is>
          <t>ACT-147</t>
        </is>
      </c>
      <c r="B169" s="21" t="n"/>
      <c r="C169" s="21" t="n"/>
      <c r="D169" s="21" t="n"/>
      <c r="E169" s="21" t="n"/>
      <c r="F169" s="21" t="n"/>
      <c r="G169" s="21" t="n"/>
      <c r="H169" s="21" t="n"/>
      <c r="I169" s="21" t="n"/>
      <c r="J169" s="21" t="n"/>
      <c r="K169" s="21" t="n"/>
      <c r="L169" s="21" t="n"/>
      <c r="M169" s="25">
        <f>IF(G169="Completed",IF(ISBLANK(L169),"",L169-J169),IF(ISBLANK(J169),"",TODAY()-J169))</f>
        <v/>
      </c>
      <c r="N169" s="25">
        <f>IF(G169="Completed",0,IF(ISBLANK(K169),"",K169-TODAY()))</f>
        <v/>
      </c>
      <c r="O169" s="25">
        <f>IF(G169="Completed","Completed",IF(ISBLANK(N169),"",IF(N169&lt;0,"Overdue",IF(N169&lt;7,"At Risk","On Time"))))</f>
        <v/>
      </c>
      <c r="P169" s="21" t="n"/>
      <c r="Q169" s="21" t="n"/>
      <c r="R169" s="24" t="n"/>
      <c r="S169" s="21" t="n"/>
      <c r="T169" s="21" t="n"/>
      <c r="U169" s="21" t="n"/>
      <c r="V169" s="21" t="n"/>
      <c r="W169" s="21" t="n"/>
      <c r="X169" s="21" t="n"/>
    </row>
    <row r="170">
      <c r="A170" s="20" t="inlineStr">
        <is>
          <t>ACT-148</t>
        </is>
      </c>
      <c r="B170" s="21" t="n"/>
      <c r="C170" s="21" t="n"/>
      <c r="D170" s="21" t="n"/>
      <c r="E170" s="21" t="n"/>
      <c r="F170" s="21" t="n"/>
      <c r="G170" s="21" t="n"/>
      <c r="H170" s="21" t="n"/>
      <c r="I170" s="21" t="n"/>
      <c r="J170" s="21" t="n"/>
      <c r="K170" s="21" t="n"/>
      <c r="L170" s="21" t="n"/>
      <c r="M170" s="25">
        <f>IF(G170="Completed",IF(ISBLANK(L170),"",L170-J170),IF(ISBLANK(J170),"",TODAY()-J170))</f>
        <v/>
      </c>
      <c r="N170" s="25">
        <f>IF(G170="Completed",0,IF(ISBLANK(K170),"",K170-TODAY()))</f>
        <v/>
      </c>
      <c r="O170" s="25">
        <f>IF(G170="Completed","Completed",IF(ISBLANK(N170),"",IF(N170&lt;0,"Overdue",IF(N170&lt;7,"At Risk","On Time"))))</f>
        <v/>
      </c>
      <c r="P170" s="21" t="n"/>
      <c r="Q170" s="21" t="n"/>
      <c r="R170" s="24" t="n"/>
      <c r="S170" s="21" t="n"/>
      <c r="T170" s="21" t="n"/>
      <c r="U170" s="21" t="n"/>
      <c r="V170" s="21" t="n"/>
      <c r="W170" s="21" t="n"/>
      <c r="X170" s="21" t="n"/>
    </row>
    <row r="171">
      <c r="A171" s="20" t="inlineStr">
        <is>
          <t>ACT-149</t>
        </is>
      </c>
      <c r="B171" s="21" t="n"/>
      <c r="C171" s="21" t="n"/>
      <c r="D171" s="21" t="n"/>
      <c r="E171" s="21" t="n"/>
      <c r="F171" s="21" t="n"/>
      <c r="G171" s="21" t="n"/>
      <c r="H171" s="21" t="n"/>
      <c r="I171" s="21" t="n"/>
      <c r="J171" s="21" t="n"/>
      <c r="K171" s="21" t="n"/>
      <c r="L171" s="21" t="n"/>
      <c r="M171" s="25">
        <f>IF(G171="Completed",IF(ISBLANK(L171),"",L171-J171),IF(ISBLANK(J171),"",TODAY()-J171))</f>
        <v/>
      </c>
      <c r="N171" s="25">
        <f>IF(G171="Completed",0,IF(ISBLANK(K171),"",K171-TODAY()))</f>
        <v/>
      </c>
      <c r="O171" s="25">
        <f>IF(G171="Completed","Completed",IF(ISBLANK(N171),"",IF(N171&lt;0,"Overdue",IF(N171&lt;7,"At Risk","On Time"))))</f>
        <v/>
      </c>
      <c r="P171" s="21" t="n"/>
      <c r="Q171" s="21" t="n"/>
      <c r="R171" s="24" t="n"/>
      <c r="S171" s="21" t="n"/>
      <c r="T171" s="21" t="n"/>
      <c r="U171" s="21" t="n"/>
      <c r="V171" s="21" t="n"/>
      <c r="W171" s="21" t="n"/>
      <c r="X171" s="21" t="n"/>
    </row>
    <row r="172">
      <c r="A172" s="20" t="inlineStr">
        <is>
          <t>ACT-150</t>
        </is>
      </c>
      <c r="B172" s="21" t="n"/>
      <c r="C172" s="21" t="n"/>
      <c r="D172" s="21" t="n"/>
      <c r="E172" s="21" t="n"/>
      <c r="F172" s="21" t="n"/>
      <c r="G172" s="21" t="n"/>
      <c r="H172" s="21" t="n"/>
      <c r="I172" s="21" t="n"/>
      <c r="J172" s="21" t="n"/>
      <c r="K172" s="21" t="n"/>
      <c r="L172" s="21" t="n"/>
      <c r="M172" s="25">
        <f>IF(G172="Completed",IF(ISBLANK(L172),"",L172-J172),IF(ISBLANK(J172),"",TODAY()-J172))</f>
        <v/>
      </c>
      <c r="N172" s="25">
        <f>IF(G172="Completed",0,IF(ISBLANK(K172),"",K172-TODAY()))</f>
        <v/>
      </c>
      <c r="O172" s="25">
        <f>IF(G172="Completed","Completed",IF(ISBLANK(N172),"",IF(N172&lt;0,"Overdue",IF(N172&lt;7,"At Risk","On Time"))))</f>
        <v/>
      </c>
      <c r="P172" s="21" t="n"/>
      <c r="Q172" s="21" t="n"/>
      <c r="R172" s="24" t="n"/>
      <c r="S172" s="21" t="n"/>
      <c r="T172" s="21" t="n"/>
      <c r="U172" s="21" t="n"/>
      <c r="V172" s="21" t="n"/>
      <c r="W172" s="21" t="n"/>
      <c r="X172" s="21" t="n"/>
    </row>
    <row r="173">
      <c r="A173" s="20" t="inlineStr">
        <is>
          <t>ACT-151</t>
        </is>
      </c>
      <c r="B173" s="21" t="n"/>
      <c r="C173" s="21" t="n"/>
      <c r="D173" s="21" t="n"/>
      <c r="E173" s="21" t="n"/>
      <c r="F173" s="21" t="n"/>
      <c r="G173" s="21" t="n"/>
      <c r="H173" s="21" t="n"/>
      <c r="I173" s="21" t="n"/>
      <c r="J173" s="21" t="n"/>
      <c r="K173" s="21" t="n"/>
      <c r="L173" s="21" t="n"/>
      <c r="M173" s="25">
        <f>IF(G173="Completed",IF(ISBLANK(L173),"",L173-J173),IF(ISBLANK(J173),"",TODAY()-J173))</f>
        <v/>
      </c>
      <c r="N173" s="25">
        <f>IF(G173="Completed",0,IF(ISBLANK(K173),"",K173-TODAY()))</f>
        <v/>
      </c>
      <c r="O173" s="25">
        <f>IF(G173="Completed","Completed",IF(ISBLANK(N173),"",IF(N173&lt;0,"Overdue",IF(N173&lt;7,"At Risk","On Time"))))</f>
        <v/>
      </c>
      <c r="P173" s="21" t="n"/>
      <c r="Q173" s="21" t="n"/>
      <c r="R173" s="24" t="n"/>
      <c r="S173" s="21" t="n"/>
      <c r="T173" s="21" t="n"/>
      <c r="U173" s="21" t="n"/>
      <c r="V173" s="21" t="n"/>
      <c r="W173" s="21" t="n"/>
      <c r="X173" s="21" t="n"/>
    </row>
    <row r="174">
      <c r="A174" s="20" t="inlineStr">
        <is>
          <t>ACT-152</t>
        </is>
      </c>
      <c r="B174" s="21" t="n"/>
      <c r="C174" s="21" t="n"/>
      <c r="D174" s="21" t="n"/>
      <c r="E174" s="21" t="n"/>
      <c r="F174" s="21" t="n"/>
      <c r="G174" s="21" t="n"/>
      <c r="H174" s="21" t="n"/>
      <c r="I174" s="21" t="n"/>
      <c r="J174" s="21" t="n"/>
      <c r="K174" s="21" t="n"/>
      <c r="L174" s="21" t="n"/>
      <c r="M174" s="25">
        <f>IF(G174="Completed",IF(ISBLANK(L174),"",L174-J174),IF(ISBLANK(J174),"",TODAY()-J174))</f>
        <v/>
      </c>
      <c r="N174" s="25">
        <f>IF(G174="Completed",0,IF(ISBLANK(K174),"",K174-TODAY()))</f>
        <v/>
      </c>
      <c r="O174" s="25">
        <f>IF(G174="Completed","Completed",IF(ISBLANK(N174),"",IF(N174&lt;0,"Overdue",IF(N174&lt;7,"At Risk","On Time"))))</f>
        <v/>
      </c>
      <c r="P174" s="21" t="n"/>
      <c r="Q174" s="21" t="n"/>
      <c r="R174" s="24" t="n"/>
      <c r="S174" s="21" t="n"/>
      <c r="T174" s="21" t="n"/>
      <c r="U174" s="21" t="n"/>
      <c r="V174" s="21" t="n"/>
      <c r="W174" s="21" t="n"/>
      <c r="X174" s="21" t="n"/>
    </row>
    <row r="175">
      <c r="A175" s="20" t="inlineStr">
        <is>
          <t>ACT-153</t>
        </is>
      </c>
      <c r="B175" s="21" t="n"/>
      <c r="C175" s="21" t="n"/>
      <c r="D175" s="21" t="n"/>
      <c r="E175" s="21" t="n"/>
      <c r="F175" s="21" t="n"/>
      <c r="G175" s="21" t="n"/>
      <c r="H175" s="21" t="n"/>
      <c r="I175" s="21" t="n"/>
      <c r="J175" s="21" t="n"/>
      <c r="K175" s="21" t="n"/>
      <c r="L175" s="21" t="n"/>
      <c r="M175" s="25">
        <f>IF(G175="Completed",IF(ISBLANK(L175),"",L175-J175),IF(ISBLANK(J175),"",TODAY()-J175))</f>
        <v/>
      </c>
      <c r="N175" s="25">
        <f>IF(G175="Completed",0,IF(ISBLANK(K175),"",K175-TODAY()))</f>
        <v/>
      </c>
      <c r="O175" s="25">
        <f>IF(G175="Completed","Completed",IF(ISBLANK(N175),"",IF(N175&lt;0,"Overdue",IF(N175&lt;7,"At Risk","On Time"))))</f>
        <v/>
      </c>
      <c r="P175" s="21" t="n"/>
      <c r="Q175" s="21" t="n"/>
      <c r="R175" s="24" t="n"/>
      <c r="S175" s="21" t="n"/>
      <c r="T175" s="21" t="n"/>
      <c r="U175" s="21" t="n"/>
      <c r="V175" s="21" t="n"/>
      <c r="W175" s="21" t="n"/>
      <c r="X175" s="21" t="n"/>
    </row>
    <row r="176">
      <c r="A176" s="20" t="inlineStr">
        <is>
          <t>ACT-154</t>
        </is>
      </c>
      <c r="B176" s="21" t="n"/>
      <c r="C176" s="21" t="n"/>
      <c r="D176" s="21" t="n"/>
      <c r="E176" s="21" t="n"/>
      <c r="F176" s="21" t="n"/>
      <c r="G176" s="21" t="n"/>
      <c r="H176" s="21" t="n"/>
      <c r="I176" s="21" t="n"/>
      <c r="J176" s="21" t="n"/>
      <c r="K176" s="21" t="n"/>
      <c r="L176" s="21" t="n"/>
      <c r="M176" s="25">
        <f>IF(G176="Completed",IF(ISBLANK(L176),"",L176-J176),IF(ISBLANK(J176),"",TODAY()-J176))</f>
        <v/>
      </c>
      <c r="N176" s="25">
        <f>IF(G176="Completed",0,IF(ISBLANK(K176),"",K176-TODAY()))</f>
        <v/>
      </c>
      <c r="O176" s="25">
        <f>IF(G176="Completed","Completed",IF(ISBLANK(N176),"",IF(N176&lt;0,"Overdue",IF(N176&lt;7,"At Risk","On Time"))))</f>
        <v/>
      </c>
      <c r="P176" s="21" t="n"/>
      <c r="Q176" s="21" t="n"/>
      <c r="R176" s="24" t="n"/>
      <c r="S176" s="21" t="n"/>
      <c r="T176" s="21" t="n"/>
      <c r="U176" s="21" t="n"/>
      <c r="V176" s="21" t="n"/>
      <c r="W176" s="21" t="n"/>
      <c r="X176" s="21" t="n"/>
    </row>
    <row r="177">
      <c r="A177" s="20" t="inlineStr">
        <is>
          <t>ACT-155</t>
        </is>
      </c>
      <c r="B177" s="21" t="n"/>
      <c r="C177" s="21" t="n"/>
      <c r="D177" s="21" t="n"/>
      <c r="E177" s="21" t="n"/>
      <c r="F177" s="21" t="n"/>
      <c r="G177" s="21" t="n"/>
      <c r="H177" s="21" t="n"/>
      <c r="I177" s="21" t="n"/>
      <c r="J177" s="21" t="n"/>
      <c r="K177" s="21" t="n"/>
      <c r="L177" s="21" t="n"/>
      <c r="M177" s="25">
        <f>IF(G177="Completed",IF(ISBLANK(L177),"",L177-J177),IF(ISBLANK(J177),"",TODAY()-J177))</f>
        <v/>
      </c>
      <c r="N177" s="25">
        <f>IF(G177="Completed",0,IF(ISBLANK(K177),"",K177-TODAY()))</f>
        <v/>
      </c>
      <c r="O177" s="25">
        <f>IF(G177="Completed","Completed",IF(ISBLANK(N177),"",IF(N177&lt;0,"Overdue",IF(N177&lt;7,"At Risk","On Time"))))</f>
        <v/>
      </c>
      <c r="P177" s="21" t="n"/>
      <c r="Q177" s="21" t="n"/>
      <c r="R177" s="24" t="n"/>
      <c r="S177" s="21" t="n"/>
      <c r="T177" s="21" t="n"/>
      <c r="U177" s="21" t="n"/>
      <c r="V177" s="21" t="n"/>
      <c r="W177" s="21" t="n"/>
      <c r="X177" s="21" t="n"/>
    </row>
    <row r="178">
      <c r="A178" s="20" t="inlineStr">
        <is>
          <t>ACT-156</t>
        </is>
      </c>
      <c r="B178" s="21" t="n"/>
      <c r="C178" s="21" t="n"/>
      <c r="D178" s="21" t="n"/>
      <c r="E178" s="21" t="n"/>
      <c r="F178" s="21" t="n"/>
      <c r="G178" s="21" t="n"/>
      <c r="H178" s="21" t="n"/>
      <c r="I178" s="21" t="n"/>
      <c r="J178" s="21" t="n"/>
      <c r="K178" s="21" t="n"/>
      <c r="L178" s="21" t="n"/>
      <c r="M178" s="25">
        <f>IF(G178="Completed",IF(ISBLANK(L178),"",L178-J178),IF(ISBLANK(J178),"",TODAY()-J178))</f>
        <v/>
      </c>
      <c r="N178" s="25">
        <f>IF(G178="Completed",0,IF(ISBLANK(K178),"",K178-TODAY()))</f>
        <v/>
      </c>
      <c r="O178" s="25">
        <f>IF(G178="Completed","Completed",IF(ISBLANK(N178),"",IF(N178&lt;0,"Overdue",IF(N178&lt;7,"At Risk","On Time"))))</f>
        <v/>
      </c>
      <c r="P178" s="21" t="n"/>
      <c r="Q178" s="21" t="n"/>
      <c r="R178" s="24" t="n"/>
      <c r="S178" s="21" t="n"/>
      <c r="T178" s="21" t="n"/>
      <c r="U178" s="21" t="n"/>
      <c r="V178" s="21" t="n"/>
      <c r="W178" s="21" t="n"/>
      <c r="X178" s="21" t="n"/>
    </row>
    <row r="179">
      <c r="A179" s="20" t="inlineStr">
        <is>
          <t>ACT-157</t>
        </is>
      </c>
      <c r="B179" s="21" t="n"/>
      <c r="C179" s="21" t="n"/>
      <c r="D179" s="21" t="n"/>
      <c r="E179" s="21" t="n"/>
      <c r="F179" s="21" t="n"/>
      <c r="G179" s="21" t="n"/>
      <c r="H179" s="21" t="n"/>
      <c r="I179" s="21" t="n"/>
      <c r="J179" s="21" t="n"/>
      <c r="K179" s="21" t="n"/>
      <c r="L179" s="21" t="n"/>
      <c r="M179" s="25">
        <f>IF(G179="Completed",IF(ISBLANK(L179),"",L179-J179),IF(ISBLANK(J179),"",TODAY()-J179))</f>
        <v/>
      </c>
      <c r="N179" s="25">
        <f>IF(G179="Completed",0,IF(ISBLANK(K179),"",K179-TODAY()))</f>
        <v/>
      </c>
      <c r="O179" s="25">
        <f>IF(G179="Completed","Completed",IF(ISBLANK(N179),"",IF(N179&lt;0,"Overdue",IF(N179&lt;7,"At Risk","On Time"))))</f>
        <v/>
      </c>
      <c r="P179" s="21" t="n"/>
      <c r="Q179" s="21" t="n"/>
      <c r="R179" s="24" t="n"/>
      <c r="S179" s="21" t="n"/>
      <c r="T179" s="21" t="n"/>
      <c r="U179" s="21" t="n"/>
      <c r="V179" s="21" t="n"/>
      <c r="W179" s="21" t="n"/>
      <c r="X179" s="21" t="n"/>
    </row>
    <row r="180">
      <c r="A180" s="20" t="inlineStr">
        <is>
          <t>ACT-158</t>
        </is>
      </c>
      <c r="B180" s="21" t="n"/>
      <c r="C180" s="21" t="n"/>
      <c r="D180" s="21" t="n"/>
      <c r="E180" s="21" t="n"/>
      <c r="F180" s="21" t="n"/>
      <c r="G180" s="21" t="n"/>
      <c r="H180" s="21" t="n"/>
      <c r="I180" s="21" t="n"/>
      <c r="J180" s="21" t="n"/>
      <c r="K180" s="21" t="n"/>
      <c r="L180" s="21" t="n"/>
      <c r="M180" s="25">
        <f>IF(G180="Completed",IF(ISBLANK(L180),"",L180-J180),IF(ISBLANK(J180),"",TODAY()-J180))</f>
        <v/>
      </c>
      <c r="N180" s="25">
        <f>IF(G180="Completed",0,IF(ISBLANK(K180),"",K180-TODAY()))</f>
        <v/>
      </c>
      <c r="O180" s="25">
        <f>IF(G180="Completed","Completed",IF(ISBLANK(N180),"",IF(N180&lt;0,"Overdue",IF(N180&lt;7,"At Risk","On Time"))))</f>
        <v/>
      </c>
      <c r="P180" s="21" t="n"/>
      <c r="Q180" s="21" t="n"/>
      <c r="R180" s="24" t="n"/>
      <c r="S180" s="21" t="n"/>
      <c r="T180" s="21" t="n"/>
      <c r="U180" s="21" t="n"/>
      <c r="V180" s="21" t="n"/>
      <c r="W180" s="21" t="n"/>
      <c r="X180" s="21" t="n"/>
    </row>
    <row r="181">
      <c r="A181" s="20" t="inlineStr">
        <is>
          <t>ACT-159</t>
        </is>
      </c>
      <c r="B181" s="21" t="n"/>
      <c r="C181" s="21" t="n"/>
      <c r="D181" s="21" t="n"/>
      <c r="E181" s="21" t="n"/>
      <c r="F181" s="21" t="n"/>
      <c r="G181" s="21" t="n"/>
      <c r="H181" s="21" t="n"/>
      <c r="I181" s="21" t="n"/>
      <c r="J181" s="21" t="n"/>
      <c r="K181" s="21" t="n"/>
      <c r="L181" s="21" t="n"/>
      <c r="M181" s="25">
        <f>IF(G181="Completed",IF(ISBLANK(L181),"",L181-J181),IF(ISBLANK(J181),"",TODAY()-J181))</f>
        <v/>
      </c>
      <c r="N181" s="25">
        <f>IF(G181="Completed",0,IF(ISBLANK(K181),"",K181-TODAY()))</f>
        <v/>
      </c>
      <c r="O181" s="25">
        <f>IF(G181="Completed","Completed",IF(ISBLANK(N181),"",IF(N181&lt;0,"Overdue",IF(N181&lt;7,"At Risk","On Time"))))</f>
        <v/>
      </c>
      <c r="P181" s="21" t="n"/>
      <c r="Q181" s="21" t="n"/>
      <c r="R181" s="24" t="n"/>
      <c r="S181" s="21" t="n"/>
      <c r="T181" s="21" t="n"/>
      <c r="U181" s="21" t="n"/>
      <c r="V181" s="21" t="n"/>
      <c r="W181" s="21" t="n"/>
      <c r="X181" s="21" t="n"/>
    </row>
    <row r="182">
      <c r="A182" s="20" t="inlineStr">
        <is>
          <t>ACT-160</t>
        </is>
      </c>
      <c r="B182" s="21" t="n"/>
      <c r="C182" s="21" t="n"/>
      <c r="D182" s="21" t="n"/>
      <c r="E182" s="21" t="n"/>
      <c r="F182" s="21" t="n"/>
      <c r="G182" s="21" t="n"/>
      <c r="H182" s="21" t="n"/>
      <c r="I182" s="21" t="n"/>
      <c r="J182" s="21" t="n"/>
      <c r="K182" s="21" t="n"/>
      <c r="L182" s="21" t="n"/>
      <c r="M182" s="25">
        <f>IF(G182="Completed",IF(ISBLANK(L182),"",L182-J182),IF(ISBLANK(J182),"",TODAY()-J182))</f>
        <v/>
      </c>
      <c r="N182" s="25">
        <f>IF(G182="Completed",0,IF(ISBLANK(K182),"",K182-TODAY()))</f>
        <v/>
      </c>
      <c r="O182" s="25">
        <f>IF(G182="Completed","Completed",IF(ISBLANK(N182),"",IF(N182&lt;0,"Overdue",IF(N182&lt;7,"At Risk","On Time"))))</f>
        <v/>
      </c>
      <c r="P182" s="21" t="n"/>
      <c r="Q182" s="21" t="n"/>
      <c r="R182" s="24" t="n"/>
      <c r="S182" s="21" t="n"/>
      <c r="T182" s="21" t="n"/>
      <c r="U182" s="21" t="n"/>
      <c r="V182" s="21" t="n"/>
      <c r="W182" s="21" t="n"/>
      <c r="X182" s="21" t="n"/>
    </row>
    <row r="183">
      <c r="A183" s="20" t="inlineStr">
        <is>
          <t>ACT-161</t>
        </is>
      </c>
      <c r="B183" s="21" t="n"/>
      <c r="C183" s="21" t="n"/>
      <c r="D183" s="21" t="n"/>
      <c r="E183" s="21" t="n"/>
      <c r="F183" s="21" t="n"/>
      <c r="G183" s="21" t="n"/>
      <c r="H183" s="21" t="n"/>
      <c r="I183" s="21" t="n"/>
      <c r="J183" s="21" t="n"/>
      <c r="K183" s="21" t="n"/>
      <c r="L183" s="21" t="n"/>
      <c r="M183" s="25">
        <f>IF(G183="Completed",IF(ISBLANK(L183),"",L183-J183),IF(ISBLANK(J183),"",TODAY()-J183))</f>
        <v/>
      </c>
      <c r="N183" s="25">
        <f>IF(G183="Completed",0,IF(ISBLANK(K183),"",K183-TODAY()))</f>
        <v/>
      </c>
      <c r="O183" s="25">
        <f>IF(G183="Completed","Completed",IF(ISBLANK(N183),"",IF(N183&lt;0,"Overdue",IF(N183&lt;7,"At Risk","On Time"))))</f>
        <v/>
      </c>
      <c r="P183" s="21" t="n"/>
      <c r="Q183" s="21" t="n"/>
      <c r="R183" s="24" t="n"/>
      <c r="S183" s="21" t="n"/>
      <c r="T183" s="21" t="n"/>
      <c r="U183" s="21" t="n"/>
      <c r="V183" s="21" t="n"/>
      <c r="W183" s="21" t="n"/>
      <c r="X183" s="21" t="n"/>
    </row>
    <row r="184">
      <c r="A184" s="20" t="inlineStr">
        <is>
          <t>ACT-162</t>
        </is>
      </c>
      <c r="B184" s="21" t="n"/>
      <c r="C184" s="21" t="n"/>
      <c r="D184" s="21" t="n"/>
      <c r="E184" s="21" t="n"/>
      <c r="F184" s="21" t="n"/>
      <c r="G184" s="21" t="n"/>
      <c r="H184" s="21" t="n"/>
      <c r="I184" s="21" t="n"/>
      <c r="J184" s="21" t="n"/>
      <c r="K184" s="21" t="n"/>
      <c r="L184" s="21" t="n"/>
      <c r="M184" s="25">
        <f>IF(G184="Completed",IF(ISBLANK(L184),"",L184-J184),IF(ISBLANK(J184),"",TODAY()-J184))</f>
        <v/>
      </c>
      <c r="N184" s="25">
        <f>IF(G184="Completed",0,IF(ISBLANK(K184),"",K184-TODAY()))</f>
        <v/>
      </c>
      <c r="O184" s="25">
        <f>IF(G184="Completed","Completed",IF(ISBLANK(N184),"",IF(N184&lt;0,"Overdue",IF(N184&lt;7,"At Risk","On Time"))))</f>
        <v/>
      </c>
      <c r="P184" s="21" t="n"/>
      <c r="Q184" s="21" t="n"/>
      <c r="R184" s="24" t="n"/>
      <c r="S184" s="21" t="n"/>
      <c r="T184" s="21" t="n"/>
      <c r="U184" s="21" t="n"/>
      <c r="V184" s="21" t="n"/>
      <c r="W184" s="21" t="n"/>
      <c r="X184" s="21" t="n"/>
    </row>
    <row r="185">
      <c r="A185" s="20" t="inlineStr">
        <is>
          <t>ACT-163</t>
        </is>
      </c>
      <c r="B185" s="21" t="n"/>
      <c r="C185" s="21" t="n"/>
      <c r="D185" s="21" t="n"/>
      <c r="E185" s="21" t="n"/>
      <c r="F185" s="21" t="n"/>
      <c r="G185" s="21" t="n"/>
      <c r="H185" s="21" t="n"/>
      <c r="I185" s="21" t="n"/>
      <c r="J185" s="21" t="n"/>
      <c r="K185" s="21" t="n"/>
      <c r="L185" s="21" t="n"/>
      <c r="M185" s="25">
        <f>IF(G185="Completed",IF(ISBLANK(L185),"",L185-J185),IF(ISBLANK(J185),"",TODAY()-J185))</f>
        <v/>
      </c>
      <c r="N185" s="25">
        <f>IF(G185="Completed",0,IF(ISBLANK(K185),"",K185-TODAY()))</f>
        <v/>
      </c>
      <c r="O185" s="25">
        <f>IF(G185="Completed","Completed",IF(ISBLANK(N185),"",IF(N185&lt;0,"Overdue",IF(N185&lt;7,"At Risk","On Time"))))</f>
        <v/>
      </c>
      <c r="P185" s="21" t="n"/>
      <c r="Q185" s="21" t="n"/>
      <c r="R185" s="24" t="n"/>
      <c r="S185" s="21" t="n"/>
      <c r="T185" s="21" t="n"/>
      <c r="U185" s="21" t="n"/>
      <c r="V185" s="21" t="n"/>
      <c r="W185" s="21" t="n"/>
      <c r="X185" s="21" t="n"/>
    </row>
    <row r="186">
      <c r="A186" s="20" t="inlineStr">
        <is>
          <t>ACT-164</t>
        </is>
      </c>
      <c r="B186" s="21" t="n"/>
      <c r="C186" s="21" t="n"/>
      <c r="D186" s="21" t="n"/>
      <c r="E186" s="21" t="n"/>
      <c r="F186" s="21" t="n"/>
      <c r="G186" s="21" t="n"/>
      <c r="H186" s="21" t="n"/>
      <c r="I186" s="21" t="n"/>
      <c r="J186" s="21" t="n"/>
      <c r="K186" s="21" t="n"/>
      <c r="L186" s="21" t="n"/>
      <c r="M186" s="25">
        <f>IF(G186="Completed",IF(ISBLANK(L186),"",L186-J186),IF(ISBLANK(J186),"",TODAY()-J186))</f>
        <v/>
      </c>
      <c r="N186" s="25">
        <f>IF(G186="Completed",0,IF(ISBLANK(K186),"",K186-TODAY()))</f>
        <v/>
      </c>
      <c r="O186" s="25">
        <f>IF(G186="Completed","Completed",IF(ISBLANK(N186),"",IF(N186&lt;0,"Overdue",IF(N186&lt;7,"At Risk","On Time"))))</f>
        <v/>
      </c>
      <c r="P186" s="21" t="n"/>
      <c r="Q186" s="21" t="n"/>
      <c r="R186" s="24" t="n"/>
      <c r="S186" s="21" t="n"/>
      <c r="T186" s="21" t="n"/>
      <c r="U186" s="21" t="n"/>
      <c r="V186" s="21" t="n"/>
      <c r="W186" s="21" t="n"/>
      <c r="X186" s="21" t="n"/>
    </row>
    <row r="187">
      <c r="A187" s="20" t="inlineStr">
        <is>
          <t>ACT-165</t>
        </is>
      </c>
      <c r="B187" s="21" t="n"/>
      <c r="C187" s="21" t="n"/>
      <c r="D187" s="21" t="n"/>
      <c r="E187" s="21" t="n"/>
      <c r="F187" s="21" t="n"/>
      <c r="G187" s="21" t="n"/>
      <c r="H187" s="21" t="n"/>
      <c r="I187" s="21" t="n"/>
      <c r="J187" s="21" t="n"/>
      <c r="K187" s="21" t="n"/>
      <c r="L187" s="21" t="n"/>
      <c r="M187" s="25">
        <f>IF(G187="Completed",IF(ISBLANK(L187),"",L187-J187),IF(ISBLANK(J187),"",TODAY()-J187))</f>
        <v/>
      </c>
      <c r="N187" s="25">
        <f>IF(G187="Completed",0,IF(ISBLANK(K187),"",K187-TODAY()))</f>
        <v/>
      </c>
      <c r="O187" s="25">
        <f>IF(G187="Completed","Completed",IF(ISBLANK(N187),"",IF(N187&lt;0,"Overdue",IF(N187&lt;7,"At Risk","On Time"))))</f>
        <v/>
      </c>
      <c r="P187" s="21" t="n"/>
      <c r="Q187" s="21" t="n"/>
      <c r="R187" s="24" t="n"/>
      <c r="S187" s="21" t="n"/>
      <c r="T187" s="21" t="n"/>
      <c r="U187" s="21" t="n"/>
      <c r="V187" s="21" t="n"/>
      <c r="W187" s="21" t="n"/>
      <c r="X187" s="21" t="n"/>
    </row>
    <row r="188">
      <c r="A188" s="20" t="inlineStr">
        <is>
          <t>ACT-166</t>
        </is>
      </c>
      <c r="B188" s="21" t="n"/>
      <c r="C188" s="21" t="n"/>
      <c r="D188" s="21" t="n"/>
      <c r="E188" s="21" t="n"/>
      <c r="F188" s="21" t="n"/>
      <c r="G188" s="21" t="n"/>
      <c r="H188" s="21" t="n"/>
      <c r="I188" s="21" t="n"/>
      <c r="J188" s="21" t="n"/>
      <c r="K188" s="21" t="n"/>
      <c r="L188" s="21" t="n"/>
      <c r="M188" s="25">
        <f>IF(G188="Completed",IF(ISBLANK(L188),"",L188-J188),IF(ISBLANK(J188),"",TODAY()-J188))</f>
        <v/>
      </c>
      <c r="N188" s="25">
        <f>IF(G188="Completed",0,IF(ISBLANK(K188),"",K188-TODAY()))</f>
        <v/>
      </c>
      <c r="O188" s="25">
        <f>IF(G188="Completed","Completed",IF(ISBLANK(N188),"",IF(N188&lt;0,"Overdue",IF(N188&lt;7,"At Risk","On Time"))))</f>
        <v/>
      </c>
      <c r="P188" s="21" t="n"/>
      <c r="Q188" s="21" t="n"/>
      <c r="R188" s="24" t="n"/>
      <c r="S188" s="21" t="n"/>
      <c r="T188" s="21" t="n"/>
      <c r="U188" s="21" t="n"/>
      <c r="V188" s="21" t="n"/>
      <c r="W188" s="21" t="n"/>
      <c r="X188" s="21" t="n"/>
    </row>
    <row r="189">
      <c r="A189" s="20" t="inlineStr">
        <is>
          <t>ACT-167</t>
        </is>
      </c>
      <c r="B189" s="21" t="n"/>
      <c r="C189" s="21" t="n"/>
      <c r="D189" s="21" t="n"/>
      <c r="E189" s="21" t="n"/>
      <c r="F189" s="21" t="n"/>
      <c r="G189" s="21" t="n"/>
      <c r="H189" s="21" t="n"/>
      <c r="I189" s="21" t="n"/>
      <c r="J189" s="21" t="n"/>
      <c r="K189" s="21" t="n"/>
      <c r="L189" s="21" t="n"/>
      <c r="M189" s="25">
        <f>IF(G189="Completed",IF(ISBLANK(L189),"",L189-J189),IF(ISBLANK(J189),"",TODAY()-J189))</f>
        <v/>
      </c>
      <c r="N189" s="25">
        <f>IF(G189="Completed",0,IF(ISBLANK(K189),"",K189-TODAY()))</f>
        <v/>
      </c>
      <c r="O189" s="25">
        <f>IF(G189="Completed","Completed",IF(ISBLANK(N189),"",IF(N189&lt;0,"Overdue",IF(N189&lt;7,"At Risk","On Time"))))</f>
        <v/>
      </c>
      <c r="P189" s="21" t="n"/>
      <c r="Q189" s="21" t="n"/>
      <c r="R189" s="24" t="n"/>
      <c r="S189" s="21" t="n"/>
      <c r="T189" s="21" t="n"/>
      <c r="U189" s="21" t="n"/>
      <c r="V189" s="21" t="n"/>
      <c r="W189" s="21" t="n"/>
      <c r="X189" s="21" t="n"/>
    </row>
    <row r="190">
      <c r="A190" s="20" t="inlineStr">
        <is>
          <t>ACT-168</t>
        </is>
      </c>
      <c r="B190" s="21" t="n"/>
      <c r="C190" s="21" t="n"/>
      <c r="D190" s="21" t="n"/>
      <c r="E190" s="21" t="n"/>
      <c r="F190" s="21" t="n"/>
      <c r="G190" s="21" t="n"/>
      <c r="H190" s="21" t="n"/>
      <c r="I190" s="21" t="n"/>
      <c r="J190" s="21" t="n"/>
      <c r="K190" s="21" t="n"/>
      <c r="L190" s="21" t="n"/>
      <c r="M190" s="25">
        <f>IF(G190="Completed",IF(ISBLANK(L190),"",L190-J190),IF(ISBLANK(J190),"",TODAY()-J190))</f>
        <v/>
      </c>
      <c r="N190" s="25">
        <f>IF(G190="Completed",0,IF(ISBLANK(K190),"",K190-TODAY()))</f>
        <v/>
      </c>
      <c r="O190" s="25">
        <f>IF(G190="Completed","Completed",IF(ISBLANK(N190),"",IF(N190&lt;0,"Overdue",IF(N190&lt;7,"At Risk","On Time"))))</f>
        <v/>
      </c>
      <c r="P190" s="21" t="n"/>
      <c r="Q190" s="21" t="n"/>
      <c r="R190" s="24" t="n"/>
      <c r="S190" s="21" t="n"/>
      <c r="T190" s="21" t="n"/>
      <c r="U190" s="21" t="n"/>
      <c r="V190" s="21" t="n"/>
      <c r="W190" s="21" t="n"/>
      <c r="X190" s="21" t="n"/>
    </row>
    <row r="191">
      <c r="A191" s="20" t="inlineStr">
        <is>
          <t>ACT-169</t>
        </is>
      </c>
      <c r="B191" s="21" t="n"/>
      <c r="C191" s="21" t="n"/>
      <c r="D191" s="21" t="n"/>
      <c r="E191" s="21" t="n"/>
      <c r="F191" s="21" t="n"/>
      <c r="G191" s="21" t="n"/>
      <c r="H191" s="21" t="n"/>
      <c r="I191" s="21" t="n"/>
      <c r="J191" s="21" t="n"/>
      <c r="K191" s="21" t="n"/>
      <c r="L191" s="21" t="n"/>
      <c r="M191" s="25">
        <f>IF(G191="Completed",IF(ISBLANK(L191),"",L191-J191),IF(ISBLANK(J191),"",TODAY()-J191))</f>
        <v/>
      </c>
      <c r="N191" s="25">
        <f>IF(G191="Completed",0,IF(ISBLANK(K191),"",K191-TODAY()))</f>
        <v/>
      </c>
      <c r="O191" s="25">
        <f>IF(G191="Completed","Completed",IF(ISBLANK(N191),"",IF(N191&lt;0,"Overdue",IF(N191&lt;7,"At Risk","On Time"))))</f>
        <v/>
      </c>
      <c r="P191" s="21" t="n"/>
      <c r="Q191" s="21" t="n"/>
      <c r="R191" s="24" t="n"/>
      <c r="S191" s="21" t="n"/>
      <c r="T191" s="21" t="n"/>
      <c r="U191" s="21" t="n"/>
      <c r="V191" s="21" t="n"/>
      <c r="W191" s="21" t="n"/>
      <c r="X191" s="21" t="n"/>
    </row>
    <row r="192">
      <c r="A192" s="20" t="inlineStr">
        <is>
          <t>ACT-170</t>
        </is>
      </c>
      <c r="B192" s="21" t="n"/>
      <c r="C192" s="21" t="n"/>
      <c r="D192" s="21" t="n"/>
      <c r="E192" s="21" t="n"/>
      <c r="F192" s="21" t="n"/>
      <c r="G192" s="21" t="n"/>
      <c r="H192" s="21" t="n"/>
      <c r="I192" s="21" t="n"/>
      <c r="J192" s="21" t="n"/>
      <c r="K192" s="21" t="n"/>
      <c r="L192" s="21" t="n"/>
      <c r="M192" s="25">
        <f>IF(G192="Completed",IF(ISBLANK(L192),"",L192-J192),IF(ISBLANK(J192),"",TODAY()-J192))</f>
        <v/>
      </c>
      <c r="N192" s="25">
        <f>IF(G192="Completed",0,IF(ISBLANK(K192),"",K192-TODAY()))</f>
        <v/>
      </c>
      <c r="O192" s="25">
        <f>IF(G192="Completed","Completed",IF(ISBLANK(N192),"",IF(N192&lt;0,"Overdue",IF(N192&lt;7,"At Risk","On Time"))))</f>
        <v/>
      </c>
      <c r="P192" s="21" t="n"/>
      <c r="Q192" s="21" t="n"/>
      <c r="R192" s="24" t="n"/>
      <c r="S192" s="21" t="n"/>
      <c r="T192" s="21" t="n"/>
      <c r="U192" s="21" t="n"/>
      <c r="V192" s="21" t="n"/>
      <c r="W192" s="21" t="n"/>
      <c r="X192" s="21" t="n"/>
    </row>
    <row r="193">
      <c r="A193" s="20" t="inlineStr">
        <is>
          <t>ACT-171</t>
        </is>
      </c>
      <c r="B193" s="21" t="n"/>
      <c r="C193" s="21" t="n"/>
      <c r="D193" s="21" t="n"/>
      <c r="E193" s="21" t="n"/>
      <c r="F193" s="21" t="n"/>
      <c r="G193" s="21" t="n"/>
      <c r="H193" s="21" t="n"/>
      <c r="I193" s="21" t="n"/>
      <c r="J193" s="21" t="n"/>
      <c r="K193" s="21" t="n"/>
      <c r="L193" s="21" t="n"/>
      <c r="M193" s="25">
        <f>IF(G193="Completed",IF(ISBLANK(L193),"",L193-J193),IF(ISBLANK(J193),"",TODAY()-J193))</f>
        <v/>
      </c>
      <c r="N193" s="25">
        <f>IF(G193="Completed",0,IF(ISBLANK(K193),"",K193-TODAY()))</f>
        <v/>
      </c>
      <c r="O193" s="25">
        <f>IF(G193="Completed","Completed",IF(ISBLANK(N193),"",IF(N193&lt;0,"Overdue",IF(N193&lt;7,"At Risk","On Time"))))</f>
        <v/>
      </c>
      <c r="P193" s="21" t="n"/>
      <c r="Q193" s="21" t="n"/>
      <c r="R193" s="24" t="n"/>
      <c r="S193" s="21" t="n"/>
      <c r="T193" s="21" t="n"/>
      <c r="U193" s="21" t="n"/>
      <c r="V193" s="21" t="n"/>
      <c r="W193" s="21" t="n"/>
      <c r="X193" s="21" t="n"/>
    </row>
    <row r="194">
      <c r="A194" s="20" t="inlineStr">
        <is>
          <t>ACT-172</t>
        </is>
      </c>
      <c r="B194" s="21" t="n"/>
      <c r="C194" s="21" t="n"/>
      <c r="D194" s="21" t="n"/>
      <c r="E194" s="21" t="n"/>
      <c r="F194" s="21" t="n"/>
      <c r="G194" s="21" t="n"/>
      <c r="H194" s="21" t="n"/>
      <c r="I194" s="21" t="n"/>
      <c r="J194" s="21" t="n"/>
      <c r="K194" s="21" t="n"/>
      <c r="L194" s="21" t="n"/>
      <c r="M194" s="25">
        <f>IF(G194="Completed",IF(ISBLANK(L194),"",L194-J194),IF(ISBLANK(J194),"",TODAY()-J194))</f>
        <v/>
      </c>
      <c r="N194" s="25">
        <f>IF(G194="Completed",0,IF(ISBLANK(K194),"",K194-TODAY()))</f>
        <v/>
      </c>
      <c r="O194" s="25">
        <f>IF(G194="Completed","Completed",IF(ISBLANK(N194),"",IF(N194&lt;0,"Overdue",IF(N194&lt;7,"At Risk","On Time"))))</f>
        <v/>
      </c>
      <c r="P194" s="21" t="n"/>
      <c r="Q194" s="21" t="n"/>
      <c r="R194" s="24" t="n"/>
      <c r="S194" s="21" t="n"/>
      <c r="T194" s="21" t="n"/>
      <c r="U194" s="21" t="n"/>
      <c r="V194" s="21" t="n"/>
      <c r="W194" s="21" t="n"/>
      <c r="X194" s="21" t="n"/>
    </row>
    <row r="195">
      <c r="A195" s="20" t="inlineStr">
        <is>
          <t>ACT-173</t>
        </is>
      </c>
      <c r="B195" s="21" t="n"/>
      <c r="C195" s="21" t="n"/>
      <c r="D195" s="21" t="n"/>
      <c r="E195" s="21" t="n"/>
      <c r="F195" s="21" t="n"/>
      <c r="G195" s="21" t="n"/>
      <c r="H195" s="21" t="n"/>
      <c r="I195" s="21" t="n"/>
      <c r="J195" s="21" t="n"/>
      <c r="K195" s="21" t="n"/>
      <c r="L195" s="21" t="n"/>
      <c r="M195" s="25">
        <f>IF(G195="Completed",IF(ISBLANK(L195),"",L195-J195),IF(ISBLANK(J195),"",TODAY()-J195))</f>
        <v/>
      </c>
      <c r="N195" s="25">
        <f>IF(G195="Completed",0,IF(ISBLANK(K195),"",K195-TODAY()))</f>
        <v/>
      </c>
      <c r="O195" s="25">
        <f>IF(G195="Completed","Completed",IF(ISBLANK(N195),"",IF(N195&lt;0,"Overdue",IF(N195&lt;7,"At Risk","On Time"))))</f>
        <v/>
      </c>
      <c r="P195" s="21" t="n"/>
      <c r="Q195" s="21" t="n"/>
      <c r="R195" s="24" t="n"/>
      <c r="S195" s="21" t="n"/>
      <c r="T195" s="21" t="n"/>
      <c r="U195" s="21" t="n"/>
      <c r="V195" s="21" t="n"/>
      <c r="W195" s="21" t="n"/>
      <c r="X195" s="21" t="n"/>
    </row>
    <row r="196">
      <c r="A196" s="20" t="inlineStr">
        <is>
          <t>ACT-174</t>
        </is>
      </c>
      <c r="B196" s="21" t="n"/>
      <c r="C196" s="21" t="n"/>
      <c r="D196" s="21" t="n"/>
      <c r="E196" s="21" t="n"/>
      <c r="F196" s="21" t="n"/>
      <c r="G196" s="21" t="n"/>
      <c r="H196" s="21" t="n"/>
      <c r="I196" s="21" t="n"/>
      <c r="J196" s="21" t="n"/>
      <c r="K196" s="21" t="n"/>
      <c r="L196" s="21" t="n"/>
      <c r="M196" s="25">
        <f>IF(G196="Completed",IF(ISBLANK(L196),"",L196-J196),IF(ISBLANK(J196),"",TODAY()-J196))</f>
        <v/>
      </c>
      <c r="N196" s="25">
        <f>IF(G196="Completed",0,IF(ISBLANK(K196),"",K196-TODAY()))</f>
        <v/>
      </c>
      <c r="O196" s="25">
        <f>IF(G196="Completed","Completed",IF(ISBLANK(N196),"",IF(N196&lt;0,"Overdue",IF(N196&lt;7,"At Risk","On Time"))))</f>
        <v/>
      </c>
      <c r="P196" s="21" t="n"/>
      <c r="Q196" s="21" t="n"/>
      <c r="R196" s="24" t="n"/>
      <c r="S196" s="21" t="n"/>
      <c r="T196" s="21" t="n"/>
      <c r="U196" s="21" t="n"/>
      <c r="V196" s="21" t="n"/>
      <c r="W196" s="21" t="n"/>
      <c r="X196" s="21" t="n"/>
    </row>
    <row r="197">
      <c r="A197" s="20" t="inlineStr">
        <is>
          <t>ACT-175</t>
        </is>
      </c>
      <c r="B197" s="21" t="n"/>
      <c r="C197" s="21" t="n"/>
      <c r="D197" s="21" t="n"/>
      <c r="E197" s="21" t="n"/>
      <c r="F197" s="21" t="n"/>
      <c r="G197" s="21" t="n"/>
      <c r="H197" s="21" t="n"/>
      <c r="I197" s="21" t="n"/>
      <c r="J197" s="21" t="n"/>
      <c r="K197" s="21" t="n"/>
      <c r="L197" s="21" t="n"/>
      <c r="M197" s="25">
        <f>IF(G197="Completed",IF(ISBLANK(L197),"",L197-J197),IF(ISBLANK(J197),"",TODAY()-J197))</f>
        <v/>
      </c>
      <c r="N197" s="25">
        <f>IF(G197="Completed",0,IF(ISBLANK(K197),"",K197-TODAY()))</f>
        <v/>
      </c>
      <c r="O197" s="25">
        <f>IF(G197="Completed","Completed",IF(ISBLANK(N197),"",IF(N197&lt;0,"Overdue",IF(N197&lt;7,"At Risk","On Time"))))</f>
        <v/>
      </c>
      <c r="P197" s="21" t="n"/>
      <c r="Q197" s="21" t="n"/>
      <c r="R197" s="24" t="n"/>
      <c r="S197" s="21" t="n"/>
      <c r="T197" s="21" t="n"/>
      <c r="U197" s="21" t="n"/>
      <c r="V197" s="21" t="n"/>
      <c r="W197" s="21" t="n"/>
      <c r="X197" s="21" t="n"/>
    </row>
    <row r="198">
      <c r="A198" s="20" t="inlineStr">
        <is>
          <t>ACT-176</t>
        </is>
      </c>
      <c r="B198" s="21" t="n"/>
      <c r="C198" s="21" t="n"/>
      <c r="D198" s="21" t="n"/>
      <c r="E198" s="21" t="n"/>
      <c r="F198" s="21" t="n"/>
      <c r="G198" s="21" t="n"/>
      <c r="H198" s="21" t="n"/>
      <c r="I198" s="21" t="n"/>
      <c r="J198" s="21" t="n"/>
      <c r="K198" s="21" t="n"/>
      <c r="L198" s="21" t="n"/>
      <c r="M198" s="25">
        <f>IF(G198="Completed",IF(ISBLANK(L198),"",L198-J198),IF(ISBLANK(J198),"",TODAY()-J198))</f>
        <v/>
      </c>
      <c r="N198" s="25">
        <f>IF(G198="Completed",0,IF(ISBLANK(K198),"",K198-TODAY()))</f>
        <v/>
      </c>
      <c r="O198" s="25">
        <f>IF(G198="Completed","Completed",IF(ISBLANK(N198),"",IF(N198&lt;0,"Overdue",IF(N198&lt;7,"At Risk","On Time"))))</f>
        <v/>
      </c>
      <c r="P198" s="21" t="n"/>
      <c r="Q198" s="21" t="n"/>
      <c r="R198" s="24" t="n"/>
      <c r="S198" s="21" t="n"/>
      <c r="T198" s="21" t="n"/>
      <c r="U198" s="21" t="n"/>
      <c r="V198" s="21" t="n"/>
      <c r="W198" s="21" t="n"/>
      <c r="X198" s="21" t="n"/>
    </row>
    <row r="199">
      <c r="A199" s="20" t="inlineStr">
        <is>
          <t>ACT-177</t>
        </is>
      </c>
      <c r="B199" s="21" t="n"/>
      <c r="C199" s="21" t="n"/>
      <c r="D199" s="21" t="n"/>
      <c r="E199" s="21" t="n"/>
      <c r="F199" s="21" t="n"/>
      <c r="G199" s="21" t="n"/>
      <c r="H199" s="21" t="n"/>
      <c r="I199" s="21" t="n"/>
      <c r="J199" s="21" t="n"/>
      <c r="K199" s="21" t="n"/>
      <c r="L199" s="21" t="n"/>
      <c r="M199" s="25">
        <f>IF(G199="Completed",IF(ISBLANK(L199),"",L199-J199),IF(ISBLANK(J199),"",TODAY()-J199))</f>
        <v/>
      </c>
      <c r="N199" s="25">
        <f>IF(G199="Completed",0,IF(ISBLANK(K199),"",K199-TODAY()))</f>
        <v/>
      </c>
      <c r="O199" s="25">
        <f>IF(G199="Completed","Completed",IF(ISBLANK(N199),"",IF(N199&lt;0,"Overdue",IF(N199&lt;7,"At Risk","On Time"))))</f>
        <v/>
      </c>
      <c r="P199" s="21" t="n"/>
      <c r="Q199" s="21" t="n"/>
      <c r="R199" s="24" t="n"/>
      <c r="S199" s="21" t="n"/>
      <c r="T199" s="21" t="n"/>
      <c r="U199" s="21" t="n"/>
      <c r="V199" s="21" t="n"/>
      <c r="W199" s="21" t="n"/>
      <c r="X199" s="21" t="n"/>
    </row>
    <row r="200">
      <c r="A200" s="20" t="inlineStr">
        <is>
          <t>ACT-178</t>
        </is>
      </c>
      <c r="B200" s="21" t="n"/>
      <c r="C200" s="21" t="n"/>
      <c r="D200" s="21" t="n"/>
      <c r="E200" s="21" t="n"/>
      <c r="F200" s="21" t="n"/>
      <c r="G200" s="21" t="n"/>
      <c r="H200" s="21" t="n"/>
      <c r="I200" s="21" t="n"/>
      <c r="J200" s="21" t="n"/>
      <c r="K200" s="21" t="n"/>
      <c r="L200" s="21" t="n"/>
      <c r="M200" s="25">
        <f>IF(G200="Completed",IF(ISBLANK(L200),"",L200-J200),IF(ISBLANK(J200),"",TODAY()-J200))</f>
        <v/>
      </c>
      <c r="N200" s="25">
        <f>IF(G200="Completed",0,IF(ISBLANK(K200),"",K200-TODAY()))</f>
        <v/>
      </c>
      <c r="O200" s="25">
        <f>IF(G200="Completed","Completed",IF(ISBLANK(N200),"",IF(N200&lt;0,"Overdue",IF(N200&lt;7,"At Risk","On Time"))))</f>
        <v/>
      </c>
      <c r="P200" s="21" t="n"/>
      <c r="Q200" s="21" t="n"/>
      <c r="R200" s="24" t="n"/>
      <c r="S200" s="21" t="n"/>
      <c r="T200" s="21" t="n"/>
      <c r="U200" s="21" t="n"/>
      <c r="V200" s="21" t="n"/>
      <c r="W200" s="21" t="n"/>
      <c r="X200" s="21" t="n"/>
    </row>
    <row r="201">
      <c r="A201" s="20" t="inlineStr">
        <is>
          <t>ACT-179</t>
        </is>
      </c>
      <c r="B201" s="21" t="n"/>
      <c r="C201" s="21" t="n"/>
      <c r="D201" s="21" t="n"/>
      <c r="E201" s="21" t="n"/>
      <c r="F201" s="21" t="n"/>
      <c r="G201" s="21" t="n"/>
      <c r="H201" s="21" t="n"/>
      <c r="I201" s="21" t="n"/>
      <c r="J201" s="21" t="n"/>
      <c r="K201" s="21" t="n"/>
      <c r="L201" s="21" t="n"/>
      <c r="M201" s="25">
        <f>IF(G201="Completed",IF(ISBLANK(L201),"",L201-J201),IF(ISBLANK(J201),"",TODAY()-J201))</f>
        <v/>
      </c>
      <c r="N201" s="25">
        <f>IF(G201="Completed",0,IF(ISBLANK(K201),"",K201-TODAY()))</f>
        <v/>
      </c>
      <c r="O201" s="25">
        <f>IF(G201="Completed","Completed",IF(ISBLANK(N201),"",IF(N201&lt;0,"Overdue",IF(N201&lt;7,"At Risk","On Time"))))</f>
        <v/>
      </c>
      <c r="P201" s="21" t="n"/>
      <c r="Q201" s="21" t="n"/>
      <c r="R201" s="24" t="n"/>
      <c r="S201" s="21" t="n"/>
      <c r="T201" s="21" t="n"/>
      <c r="U201" s="21" t="n"/>
      <c r="V201" s="21" t="n"/>
      <c r="W201" s="21" t="n"/>
      <c r="X201" s="21" t="n"/>
    </row>
    <row r="202">
      <c r="A202" s="20" t="inlineStr">
        <is>
          <t>ACT-180</t>
        </is>
      </c>
      <c r="B202" s="21" t="n"/>
      <c r="C202" s="21" t="n"/>
      <c r="D202" s="21" t="n"/>
      <c r="E202" s="21" t="n"/>
      <c r="F202" s="21" t="n"/>
      <c r="G202" s="21" t="n"/>
      <c r="H202" s="21" t="n"/>
      <c r="I202" s="21" t="n"/>
      <c r="J202" s="21" t="n"/>
      <c r="K202" s="21" t="n"/>
      <c r="L202" s="21" t="n"/>
      <c r="M202" s="25">
        <f>IF(G202="Completed",IF(ISBLANK(L202),"",L202-J202),IF(ISBLANK(J202),"",TODAY()-J202))</f>
        <v/>
      </c>
      <c r="N202" s="25">
        <f>IF(G202="Completed",0,IF(ISBLANK(K202),"",K202-TODAY()))</f>
        <v/>
      </c>
      <c r="O202" s="25">
        <f>IF(G202="Completed","Completed",IF(ISBLANK(N202),"",IF(N202&lt;0,"Overdue",IF(N202&lt;7,"At Risk","On Time"))))</f>
        <v/>
      </c>
      <c r="P202" s="21" t="n"/>
      <c r="Q202" s="21" t="n"/>
      <c r="R202" s="24" t="n"/>
      <c r="S202" s="21" t="n"/>
      <c r="T202" s="21" t="n"/>
      <c r="U202" s="21" t="n"/>
      <c r="V202" s="21" t="n"/>
      <c r="W202" s="21" t="n"/>
      <c r="X202" s="21" t="n"/>
    </row>
    <row r="203">
      <c r="A203" s="20" t="inlineStr">
        <is>
          <t>ACT-181</t>
        </is>
      </c>
      <c r="B203" s="21" t="n"/>
      <c r="C203" s="21" t="n"/>
      <c r="D203" s="21" t="n"/>
      <c r="E203" s="21" t="n"/>
      <c r="F203" s="21" t="n"/>
      <c r="G203" s="21" t="n"/>
      <c r="H203" s="21" t="n"/>
      <c r="I203" s="21" t="n"/>
      <c r="J203" s="21" t="n"/>
      <c r="K203" s="21" t="n"/>
      <c r="L203" s="21" t="n"/>
      <c r="M203" s="25">
        <f>IF(G203="Completed",IF(ISBLANK(L203),"",L203-J203),IF(ISBLANK(J203),"",TODAY()-J203))</f>
        <v/>
      </c>
      <c r="N203" s="25">
        <f>IF(G203="Completed",0,IF(ISBLANK(K203),"",K203-TODAY()))</f>
        <v/>
      </c>
      <c r="O203" s="25">
        <f>IF(G203="Completed","Completed",IF(ISBLANK(N203),"",IF(N203&lt;0,"Overdue",IF(N203&lt;7,"At Risk","On Time"))))</f>
        <v/>
      </c>
      <c r="P203" s="21" t="n"/>
      <c r="Q203" s="21" t="n"/>
      <c r="R203" s="24" t="n"/>
      <c r="S203" s="21" t="n"/>
      <c r="T203" s="21" t="n"/>
      <c r="U203" s="21" t="n"/>
      <c r="V203" s="21" t="n"/>
      <c r="W203" s="21" t="n"/>
      <c r="X203" s="21" t="n"/>
    </row>
    <row r="204">
      <c r="A204" s="20" t="inlineStr">
        <is>
          <t>ACT-182</t>
        </is>
      </c>
      <c r="B204" s="21" t="n"/>
      <c r="C204" s="21" t="n"/>
      <c r="D204" s="21" t="n"/>
      <c r="E204" s="21" t="n"/>
      <c r="F204" s="21" t="n"/>
      <c r="G204" s="21" t="n"/>
      <c r="H204" s="21" t="n"/>
      <c r="I204" s="21" t="n"/>
      <c r="J204" s="21" t="n"/>
      <c r="K204" s="21" t="n"/>
      <c r="L204" s="21" t="n"/>
      <c r="M204" s="25">
        <f>IF(G204="Completed",IF(ISBLANK(L204),"",L204-J204),IF(ISBLANK(J204),"",TODAY()-J204))</f>
        <v/>
      </c>
      <c r="N204" s="25">
        <f>IF(G204="Completed",0,IF(ISBLANK(K204),"",K204-TODAY()))</f>
        <v/>
      </c>
      <c r="O204" s="25">
        <f>IF(G204="Completed","Completed",IF(ISBLANK(N204),"",IF(N204&lt;0,"Overdue",IF(N204&lt;7,"At Risk","On Time"))))</f>
        <v/>
      </c>
      <c r="P204" s="21" t="n"/>
      <c r="Q204" s="21" t="n"/>
      <c r="R204" s="24" t="n"/>
      <c r="S204" s="21" t="n"/>
      <c r="T204" s="21" t="n"/>
      <c r="U204" s="21" t="n"/>
      <c r="V204" s="21" t="n"/>
      <c r="W204" s="21" t="n"/>
      <c r="X204" s="21" t="n"/>
    </row>
    <row r="205">
      <c r="A205" s="20" t="inlineStr">
        <is>
          <t>ACT-183</t>
        </is>
      </c>
      <c r="B205" s="21" t="n"/>
      <c r="C205" s="21" t="n"/>
      <c r="D205" s="21" t="n"/>
      <c r="E205" s="21" t="n"/>
      <c r="F205" s="21" t="n"/>
      <c r="G205" s="21" t="n"/>
      <c r="H205" s="21" t="n"/>
      <c r="I205" s="21" t="n"/>
      <c r="J205" s="21" t="n"/>
      <c r="K205" s="21" t="n"/>
      <c r="L205" s="21" t="n"/>
      <c r="M205" s="25">
        <f>IF(G205="Completed",IF(ISBLANK(L205),"",L205-J205),IF(ISBLANK(J205),"",TODAY()-J205))</f>
        <v/>
      </c>
      <c r="N205" s="25">
        <f>IF(G205="Completed",0,IF(ISBLANK(K205),"",K205-TODAY()))</f>
        <v/>
      </c>
      <c r="O205" s="25">
        <f>IF(G205="Completed","Completed",IF(ISBLANK(N205),"",IF(N205&lt;0,"Overdue",IF(N205&lt;7,"At Risk","On Time"))))</f>
        <v/>
      </c>
      <c r="P205" s="21" t="n"/>
      <c r="Q205" s="21" t="n"/>
      <c r="R205" s="24" t="n"/>
      <c r="S205" s="21" t="n"/>
      <c r="T205" s="21" t="n"/>
      <c r="U205" s="21" t="n"/>
      <c r="V205" s="21" t="n"/>
      <c r="W205" s="21" t="n"/>
      <c r="X205" s="21" t="n"/>
    </row>
    <row r="206">
      <c r="A206" s="20" t="inlineStr">
        <is>
          <t>ACT-184</t>
        </is>
      </c>
      <c r="B206" s="21" t="n"/>
      <c r="C206" s="21" t="n"/>
      <c r="D206" s="21" t="n"/>
      <c r="E206" s="21" t="n"/>
      <c r="F206" s="21" t="n"/>
      <c r="G206" s="21" t="n"/>
      <c r="H206" s="21" t="n"/>
      <c r="I206" s="21" t="n"/>
      <c r="J206" s="21" t="n"/>
      <c r="K206" s="21" t="n"/>
      <c r="L206" s="21" t="n"/>
      <c r="M206" s="25">
        <f>IF(G206="Completed",IF(ISBLANK(L206),"",L206-J206),IF(ISBLANK(J206),"",TODAY()-J206))</f>
        <v/>
      </c>
      <c r="N206" s="25">
        <f>IF(G206="Completed",0,IF(ISBLANK(K206),"",K206-TODAY()))</f>
        <v/>
      </c>
      <c r="O206" s="25">
        <f>IF(G206="Completed","Completed",IF(ISBLANK(N206),"",IF(N206&lt;0,"Overdue",IF(N206&lt;7,"At Risk","On Time"))))</f>
        <v/>
      </c>
      <c r="P206" s="21" t="n"/>
      <c r="Q206" s="21" t="n"/>
      <c r="R206" s="24" t="n"/>
      <c r="S206" s="21" t="n"/>
      <c r="T206" s="21" t="n"/>
      <c r="U206" s="21" t="n"/>
      <c r="V206" s="21" t="n"/>
      <c r="W206" s="21" t="n"/>
      <c r="X206" s="21" t="n"/>
    </row>
    <row r="207">
      <c r="A207" s="20" t="inlineStr">
        <is>
          <t>ACT-185</t>
        </is>
      </c>
      <c r="B207" s="21" t="n"/>
      <c r="C207" s="21" t="n"/>
      <c r="D207" s="21" t="n"/>
      <c r="E207" s="21" t="n"/>
      <c r="F207" s="21" t="n"/>
      <c r="G207" s="21" t="n"/>
      <c r="H207" s="21" t="n"/>
      <c r="I207" s="21" t="n"/>
      <c r="J207" s="21" t="n"/>
      <c r="K207" s="21" t="n"/>
      <c r="L207" s="21" t="n"/>
      <c r="M207" s="25">
        <f>IF(G207="Completed",IF(ISBLANK(L207),"",L207-J207),IF(ISBLANK(J207),"",TODAY()-J207))</f>
        <v/>
      </c>
      <c r="N207" s="25">
        <f>IF(G207="Completed",0,IF(ISBLANK(K207),"",K207-TODAY()))</f>
        <v/>
      </c>
      <c r="O207" s="25">
        <f>IF(G207="Completed","Completed",IF(ISBLANK(N207),"",IF(N207&lt;0,"Overdue",IF(N207&lt;7,"At Risk","On Time"))))</f>
        <v/>
      </c>
      <c r="P207" s="21" t="n"/>
      <c r="Q207" s="21" t="n"/>
      <c r="R207" s="24" t="n"/>
      <c r="S207" s="21" t="n"/>
      <c r="T207" s="21" t="n"/>
      <c r="U207" s="21" t="n"/>
      <c r="V207" s="21" t="n"/>
      <c r="W207" s="21" t="n"/>
      <c r="X207" s="21" t="n"/>
    </row>
    <row r="208">
      <c r="A208" s="20" t="inlineStr">
        <is>
          <t>ACT-186</t>
        </is>
      </c>
      <c r="B208" s="21" t="n"/>
      <c r="C208" s="21" t="n"/>
      <c r="D208" s="21" t="n"/>
      <c r="E208" s="21" t="n"/>
      <c r="F208" s="21" t="n"/>
      <c r="G208" s="21" t="n"/>
      <c r="H208" s="21" t="n"/>
      <c r="I208" s="21" t="n"/>
      <c r="J208" s="21" t="n"/>
      <c r="K208" s="21" t="n"/>
      <c r="L208" s="21" t="n"/>
      <c r="M208" s="25">
        <f>IF(G208="Completed",IF(ISBLANK(L208),"",L208-J208),IF(ISBLANK(J208),"",TODAY()-J208))</f>
        <v/>
      </c>
      <c r="N208" s="25">
        <f>IF(G208="Completed",0,IF(ISBLANK(K208),"",K208-TODAY()))</f>
        <v/>
      </c>
      <c r="O208" s="25">
        <f>IF(G208="Completed","Completed",IF(ISBLANK(N208),"",IF(N208&lt;0,"Overdue",IF(N208&lt;7,"At Risk","On Time"))))</f>
        <v/>
      </c>
      <c r="P208" s="21" t="n"/>
      <c r="Q208" s="21" t="n"/>
      <c r="R208" s="24" t="n"/>
      <c r="S208" s="21" t="n"/>
      <c r="T208" s="21" t="n"/>
      <c r="U208" s="21" t="n"/>
      <c r="V208" s="21" t="n"/>
      <c r="W208" s="21" t="n"/>
      <c r="X208" s="21" t="n"/>
    </row>
    <row r="209">
      <c r="A209" s="20" t="inlineStr">
        <is>
          <t>ACT-187</t>
        </is>
      </c>
      <c r="B209" s="21" t="n"/>
      <c r="C209" s="21" t="n"/>
      <c r="D209" s="21" t="n"/>
      <c r="E209" s="21" t="n"/>
      <c r="F209" s="21" t="n"/>
      <c r="G209" s="21" t="n"/>
      <c r="H209" s="21" t="n"/>
      <c r="I209" s="21" t="n"/>
      <c r="J209" s="21" t="n"/>
      <c r="K209" s="21" t="n"/>
      <c r="L209" s="21" t="n"/>
      <c r="M209" s="25">
        <f>IF(G209="Completed",IF(ISBLANK(L209),"",L209-J209),IF(ISBLANK(J209),"",TODAY()-J209))</f>
        <v/>
      </c>
      <c r="N209" s="25">
        <f>IF(G209="Completed",0,IF(ISBLANK(K209),"",K209-TODAY()))</f>
        <v/>
      </c>
      <c r="O209" s="25">
        <f>IF(G209="Completed","Completed",IF(ISBLANK(N209),"",IF(N209&lt;0,"Overdue",IF(N209&lt;7,"At Risk","On Time"))))</f>
        <v/>
      </c>
      <c r="P209" s="21" t="n"/>
      <c r="Q209" s="21" t="n"/>
      <c r="R209" s="24" t="n"/>
      <c r="S209" s="21" t="n"/>
      <c r="T209" s="21" t="n"/>
      <c r="U209" s="21" t="n"/>
      <c r="V209" s="21" t="n"/>
      <c r="W209" s="21" t="n"/>
      <c r="X209" s="21" t="n"/>
    </row>
    <row r="210">
      <c r="A210" s="20" t="inlineStr">
        <is>
          <t>ACT-188</t>
        </is>
      </c>
      <c r="B210" s="21" t="n"/>
      <c r="C210" s="21" t="n"/>
      <c r="D210" s="21" t="n"/>
      <c r="E210" s="21" t="n"/>
      <c r="F210" s="21" t="n"/>
      <c r="G210" s="21" t="n"/>
      <c r="H210" s="21" t="n"/>
      <c r="I210" s="21" t="n"/>
      <c r="J210" s="21" t="n"/>
      <c r="K210" s="21" t="n"/>
      <c r="L210" s="21" t="n"/>
      <c r="M210" s="25">
        <f>IF(G210="Completed",IF(ISBLANK(L210),"",L210-J210),IF(ISBLANK(J210),"",TODAY()-J210))</f>
        <v/>
      </c>
      <c r="N210" s="25">
        <f>IF(G210="Completed",0,IF(ISBLANK(K210),"",K210-TODAY()))</f>
        <v/>
      </c>
      <c r="O210" s="25">
        <f>IF(G210="Completed","Completed",IF(ISBLANK(N210),"",IF(N210&lt;0,"Overdue",IF(N210&lt;7,"At Risk","On Time"))))</f>
        <v/>
      </c>
      <c r="P210" s="21" t="n"/>
      <c r="Q210" s="21" t="n"/>
      <c r="R210" s="24" t="n"/>
      <c r="S210" s="21" t="n"/>
      <c r="T210" s="21" t="n"/>
      <c r="U210" s="21" t="n"/>
      <c r="V210" s="21" t="n"/>
      <c r="W210" s="21" t="n"/>
      <c r="X210" s="21" t="n"/>
    </row>
    <row r="211">
      <c r="A211" s="20" t="inlineStr">
        <is>
          <t>ACT-189</t>
        </is>
      </c>
      <c r="B211" s="21" t="n"/>
      <c r="C211" s="21" t="n"/>
      <c r="D211" s="21" t="n"/>
      <c r="E211" s="21" t="n"/>
      <c r="F211" s="21" t="n"/>
      <c r="G211" s="21" t="n"/>
      <c r="H211" s="21" t="n"/>
      <c r="I211" s="21" t="n"/>
      <c r="J211" s="21" t="n"/>
      <c r="K211" s="21" t="n"/>
      <c r="L211" s="21" t="n"/>
      <c r="M211" s="25">
        <f>IF(G211="Completed",IF(ISBLANK(L211),"",L211-J211),IF(ISBLANK(J211),"",TODAY()-J211))</f>
        <v/>
      </c>
      <c r="N211" s="25">
        <f>IF(G211="Completed",0,IF(ISBLANK(K211),"",K211-TODAY()))</f>
        <v/>
      </c>
      <c r="O211" s="25">
        <f>IF(G211="Completed","Completed",IF(ISBLANK(N211),"",IF(N211&lt;0,"Overdue",IF(N211&lt;7,"At Risk","On Time"))))</f>
        <v/>
      </c>
      <c r="P211" s="21" t="n"/>
      <c r="Q211" s="21" t="n"/>
      <c r="R211" s="24" t="n"/>
      <c r="S211" s="21" t="n"/>
      <c r="T211" s="21" t="n"/>
      <c r="U211" s="21" t="n"/>
      <c r="V211" s="21" t="n"/>
      <c r="W211" s="21" t="n"/>
      <c r="X211" s="21" t="n"/>
    </row>
    <row r="212">
      <c r="A212" s="20" t="inlineStr">
        <is>
          <t>ACT-190</t>
        </is>
      </c>
      <c r="B212" s="21" t="n"/>
      <c r="C212" s="21" t="n"/>
      <c r="D212" s="21" t="n"/>
      <c r="E212" s="21" t="n"/>
      <c r="F212" s="21" t="n"/>
      <c r="G212" s="21" t="n"/>
      <c r="H212" s="21" t="n"/>
      <c r="I212" s="21" t="n"/>
      <c r="J212" s="21" t="n"/>
      <c r="K212" s="21" t="n"/>
      <c r="L212" s="21" t="n"/>
      <c r="M212" s="25">
        <f>IF(G212="Completed",IF(ISBLANK(L212),"",L212-J212),IF(ISBLANK(J212),"",TODAY()-J212))</f>
        <v/>
      </c>
      <c r="N212" s="25">
        <f>IF(G212="Completed",0,IF(ISBLANK(K212),"",K212-TODAY()))</f>
        <v/>
      </c>
      <c r="O212" s="25">
        <f>IF(G212="Completed","Completed",IF(ISBLANK(N212),"",IF(N212&lt;0,"Overdue",IF(N212&lt;7,"At Risk","On Time"))))</f>
        <v/>
      </c>
      <c r="P212" s="21" t="n"/>
      <c r="Q212" s="21" t="n"/>
      <c r="R212" s="24" t="n"/>
      <c r="S212" s="21" t="n"/>
      <c r="T212" s="21" t="n"/>
      <c r="U212" s="21" t="n"/>
      <c r="V212" s="21" t="n"/>
      <c r="W212" s="21" t="n"/>
      <c r="X212" s="21" t="n"/>
    </row>
    <row r="213">
      <c r="A213" s="20" t="inlineStr">
        <is>
          <t>ACT-191</t>
        </is>
      </c>
      <c r="B213" s="21" t="n"/>
      <c r="C213" s="21" t="n"/>
      <c r="D213" s="21" t="n"/>
      <c r="E213" s="21" t="n"/>
      <c r="F213" s="21" t="n"/>
      <c r="G213" s="21" t="n"/>
      <c r="H213" s="21" t="n"/>
      <c r="I213" s="21" t="n"/>
      <c r="J213" s="21" t="n"/>
      <c r="K213" s="21" t="n"/>
      <c r="L213" s="21" t="n"/>
      <c r="M213" s="25">
        <f>IF(G213="Completed",IF(ISBLANK(L213),"",L213-J213),IF(ISBLANK(J213),"",TODAY()-J213))</f>
        <v/>
      </c>
      <c r="N213" s="25">
        <f>IF(G213="Completed",0,IF(ISBLANK(K213),"",K213-TODAY()))</f>
        <v/>
      </c>
      <c r="O213" s="25">
        <f>IF(G213="Completed","Completed",IF(ISBLANK(N213),"",IF(N213&lt;0,"Overdue",IF(N213&lt;7,"At Risk","On Time"))))</f>
        <v/>
      </c>
      <c r="P213" s="21" t="n"/>
      <c r="Q213" s="21" t="n"/>
      <c r="R213" s="24" t="n"/>
      <c r="S213" s="21" t="n"/>
      <c r="T213" s="21" t="n"/>
      <c r="U213" s="21" t="n"/>
      <c r="V213" s="21" t="n"/>
      <c r="W213" s="21" t="n"/>
      <c r="X213" s="21" t="n"/>
    </row>
    <row r="214">
      <c r="A214" s="20" t="inlineStr">
        <is>
          <t>ACT-192</t>
        </is>
      </c>
      <c r="B214" s="21" t="n"/>
      <c r="C214" s="21" t="n"/>
      <c r="D214" s="21" t="n"/>
      <c r="E214" s="21" t="n"/>
      <c r="F214" s="21" t="n"/>
      <c r="G214" s="21" t="n"/>
      <c r="H214" s="21" t="n"/>
      <c r="I214" s="21" t="n"/>
      <c r="J214" s="21" t="n"/>
      <c r="K214" s="21" t="n"/>
      <c r="L214" s="21" t="n"/>
      <c r="M214" s="25">
        <f>IF(G214="Completed",IF(ISBLANK(L214),"",L214-J214),IF(ISBLANK(J214),"",TODAY()-J214))</f>
        <v/>
      </c>
      <c r="N214" s="25">
        <f>IF(G214="Completed",0,IF(ISBLANK(K214),"",K214-TODAY()))</f>
        <v/>
      </c>
      <c r="O214" s="25">
        <f>IF(G214="Completed","Completed",IF(ISBLANK(N214),"",IF(N214&lt;0,"Overdue",IF(N214&lt;7,"At Risk","On Time"))))</f>
        <v/>
      </c>
      <c r="P214" s="21" t="n"/>
      <c r="Q214" s="21" t="n"/>
      <c r="R214" s="24" t="n"/>
      <c r="S214" s="21" t="n"/>
      <c r="T214" s="21" t="n"/>
      <c r="U214" s="21" t="n"/>
      <c r="V214" s="21" t="n"/>
      <c r="W214" s="21" t="n"/>
      <c r="X214" s="21" t="n"/>
    </row>
    <row r="215">
      <c r="A215" s="20" t="inlineStr">
        <is>
          <t>ACT-193</t>
        </is>
      </c>
      <c r="B215" s="21" t="n"/>
      <c r="C215" s="21" t="n"/>
      <c r="D215" s="21" t="n"/>
      <c r="E215" s="21" t="n"/>
      <c r="F215" s="21" t="n"/>
      <c r="G215" s="21" t="n"/>
      <c r="H215" s="21" t="n"/>
      <c r="I215" s="21" t="n"/>
      <c r="J215" s="21" t="n"/>
      <c r="K215" s="21" t="n"/>
      <c r="L215" s="21" t="n"/>
      <c r="M215" s="25">
        <f>IF(G215="Completed",IF(ISBLANK(L215),"",L215-J215),IF(ISBLANK(J215),"",TODAY()-J215))</f>
        <v/>
      </c>
      <c r="N215" s="25">
        <f>IF(G215="Completed",0,IF(ISBLANK(K215),"",K215-TODAY()))</f>
        <v/>
      </c>
      <c r="O215" s="25">
        <f>IF(G215="Completed","Completed",IF(ISBLANK(N215),"",IF(N215&lt;0,"Overdue",IF(N215&lt;7,"At Risk","On Time"))))</f>
        <v/>
      </c>
      <c r="P215" s="21" t="n"/>
      <c r="Q215" s="21" t="n"/>
      <c r="R215" s="24" t="n"/>
      <c r="S215" s="21" t="n"/>
      <c r="T215" s="21" t="n"/>
      <c r="U215" s="21" t="n"/>
      <c r="V215" s="21" t="n"/>
      <c r="W215" s="21" t="n"/>
      <c r="X215" s="21" t="n"/>
    </row>
    <row r="216">
      <c r="A216" s="20" t="inlineStr">
        <is>
          <t>ACT-194</t>
        </is>
      </c>
      <c r="B216" s="21" t="n"/>
      <c r="C216" s="21" t="n"/>
      <c r="D216" s="21" t="n"/>
      <c r="E216" s="21" t="n"/>
      <c r="F216" s="21" t="n"/>
      <c r="G216" s="21" t="n"/>
      <c r="H216" s="21" t="n"/>
      <c r="I216" s="21" t="n"/>
      <c r="J216" s="21" t="n"/>
      <c r="K216" s="21" t="n"/>
      <c r="L216" s="21" t="n"/>
      <c r="M216" s="25">
        <f>IF(G216="Completed",IF(ISBLANK(L216),"",L216-J216),IF(ISBLANK(J216),"",TODAY()-J216))</f>
        <v/>
      </c>
      <c r="N216" s="25">
        <f>IF(G216="Completed",0,IF(ISBLANK(K216),"",K216-TODAY()))</f>
        <v/>
      </c>
      <c r="O216" s="25">
        <f>IF(G216="Completed","Completed",IF(ISBLANK(N216),"",IF(N216&lt;0,"Overdue",IF(N216&lt;7,"At Risk","On Time"))))</f>
        <v/>
      </c>
      <c r="P216" s="21" t="n"/>
      <c r="Q216" s="21" t="n"/>
      <c r="R216" s="24" t="n"/>
      <c r="S216" s="21" t="n"/>
      <c r="T216" s="21" t="n"/>
      <c r="U216" s="21" t="n"/>
      <c r="V216" s="21" t="n"/>
      <c r="W216" s="21" t="n"/>
      <c r="X216" s="21" t="n"/>
    </row>
    <row r="217">
      <c r="A217" s="20" t="inlineStr">
        <is>
          <t>ACT-195</t>
        </is>
      </c>
      <c r="B217" s="21" t="n"/>
      <c r="C217" s="21" t="n"/>
      <c r="D217" s="21" t="n"/>
      <c r="E217" s="21" t="n"/>
      <c r="F217" s="21" t="n"/>
      <c r="G217" s="21" t="n"/>
      <c r="H217" s="21" t="n"/>
      <c r="I217" s="21" t="n"/>
      <c r="J217" s="21" t="n"/>
      <c r="K217" s="21" t="n"/>
      <c r="L217" s="21" t="n"/>
      <c r="M217" s="25">
        <f>IF(G217="Completed",IF(ISBLANK(L217),"",L217-J217),IF(ISBLANK(J217),"",TODAY()-J217))</f>
        <v/>
      </c>
      <c r="N217" s="25">
        <f>IF(G217="Completed",0,IF(ISBLANK(K217),"",K217-TODAY()))</f>
        <v/>
      </c>
      <c r="O217" s="25">
        <f>IF(G217="Completed","Completed",IF(ISBLANK(N217),"",IF(N217&lt;0,"Overdue",IF(N217&lt;7,"At Risk","On Time"))))</f>
        <v/>
      </c>
      <c r="P217" s="21" t="n"/>
      <c r="Q217" s="21" t="n"/>
      <c r="R217" s="24" t="n"/>
      <c r="S217" s="21" t="n"/>
      <c r="T217" s="21" t="n"/>
      <c r="U217" s="21" t="n"/>
      <c r="V217" s="21" t="n"/>
      <c r="W217" s="21" t="n"/>
      <c r="X217" s="21" t="n"/>
    </row>
    <row r="218">
      <c r="A218" s="20" t="inlineStr">
        <is>
          <t>ACT-196</t>
        </is>
      </c>
      <c r="B218" s="21" t="n"/>
      <c r="C218" s="21" t="n"/>
      <c r="D218" s="21" t="n"/>
      <c r="E218" s="21" t="n"/>
      <c r="F218" s="21" t="n"/>
      <c r="G218" s="21" t="n"/>
      <c r="H218" s="21" t="n"/>
      <c r="I218" s="21" t="n"/>
      <c r="J218" s="21" t="n"/>
      <c r="K218" s="21" t="n"/>
      <c r="L218" s="21" t="n"/>
      <c r="M218" s="25">
        <f>IF(G218="Completed",IF(ISBLANK(L218),"",L218-J218),IF(ISBLANK(J218),"",TODAY()-J218))</f>
        <v/>
      </c>
      <c r="N218" s="25">
        <f>IF(G218="Completed",0,IF(ISBLANK(K218),"",K218-TODAY()))</f>
        <v/>
      </c>
      <c r="O218" s="25">
        <f>IF(G218="Completed","Completed",IF(ISBLANK(N218),"",IF(N218&lt;0,"Overdue",IF(N218&lt;7,"At Risk","On Time"))))</f>
        <v/>
      </c>
      <c r="P218" s="21" t="n"/>
      <c r="Q218" s="21" t="n"/>
      <c r="R218" s="24" t="n"/>
      <c r="S218" s="21" t="n"/>
      <c r="T218" s="21" t="n"/>
      <c r="U218" s="21" t="n"/>
      <c r="V218" s="21" t="n"/>
      <c r="W218" s="21" t="n"/>
      <c r="X218" s="21" t="n"/>
    </row>
    <row r="219">
      <c r="A219" s="20" t="inlineStr">
        <is>
          <t>ACT-197</t>
        </is>
      </c>
      <c r="B219" s="21" t="n"/>
      <c r="C219" s="21" t="n"/>
      <c r="D219" s="21" t="n"/>
      <c r="E219" s="21" t="n"/>
      <c r="F219" s="21" t="n"/>
      <c r="G219" s="21" t="n"/>
      <c r="H219" s="21" t="n"/>
      <c r="I219" s="21" t="n"/>
      <c r="J219" s="21" t="n"/>
      <c r="K219" s="21" t="n"/>
      <c r="L219" s="21" t="n"/>
      <c r="M219" s="25">
        <f>IF(G219="Completed",IF(ISBLANK(L219),"",L219-J219),IF(ISBLANK(J219),"",TODAY()-J219))</f>
        <v/>
      </c>
      <c r="N219" s="25">
        <f>IF(G219="Completed",0,IF(ISBLANK(K219),"",K219-TODAY()))</f>
        <v/>
      </c>
      <c r="O219" s="25">
        <f>IF(G219="Completed","Completed",IF(ISBLANK(N219),"",IF(N219&lt;0,"Overdue",IF(N219&lt;7,"At Risk","On Time"))))</f>
        <v/>
      </c>
      <c r="P219" s="21" t="n"/>
      <c r="Q219" s="21" t="n"/>
      <c r="R219" s="24" t="n"/>
      <c r="S219" s="21" t="n"/>
      <c r="T219" s="21" t="n"/>
      <c r="U219" s="21" t="n"/>
      <c r="V219" s="21" t="n"/>
      <c r="W219" s="21" t="n"/>
      <c r="X219" s="21" t="n"/>
    </row>
    <row r="220">
      <c r="A220" s="20" t="inlineStr">
        <is>
          <t>ACT-198</t>
        </is>
      </c>
      <c r="B220" s="21" t="n"/>
      <c r="C220" s="21" t="n"/>
      <c r="D220" s="21" t="n"/>
      <c r="E220" s="21" t="n"/>
      <c r="F220" s="21" t="n"/>
      <c r="G220" s="21" t="n"/>
      <c r="H220" s="21" t="n"/>
      <c r="I220" s="21" t="n"/>
      <c r="J220" s="21" t="n"/>
      <c r="K220" s="21" t="n"/>
      <c r="L220" s="21" t="n"/>
      <c r="M220" s="25">
        <f>IF(G220="Completed",IF(ISBLANK(L220),"",L220-J220),IF(ISBLANK(J220),"",TODAY()-J220))</f>
        <v/>
      </c>
      <c r="N220" s="25">
        <f>IF(G220="Completed",0,IF(ISBLANK(K220),"",K220-TODAY()))</f>
        <v/>
      </c>
      <c r="O220" s="25">
        <f>IF(G220="Completed","Completed",IF(ISBLANK(N220),"",IF(N220&lt;0,"Overdue",IF(N220&lt;7,"At Risk","On Time"))))</f>
        <v/>
      </c>
      <c r="P220" s="21" t="n"/>
      <c r="Q220" s="21" t="n"/>
      <c r="R220" s="24" t="n"/>
      <c r="S220" s="21" t="n"/>
      <c r="T220" s="21" t="n"/>
      <c r="U220" s="21" t="n"/>
      <c r="V220" s="21" t="n"/>
      <c r="W220" s="21" t="n"/>
      <c r="X220" s="21" t="n"/>
    </row>
    <row r="221">
      <c r="A221" s="20" t="inlineStr">
        <is>
          <t>ACT-199</t>
        </is>
      </c>
      <c r="B221" s="21" t="n"/>
      <c r="C221" s="21" t="n"/>
      <c r="D221" s="21" t="n"/>
      <c r="E221" s="21" t="n"/>
      <c r="F221" s="21" t="n"/>
      <c r="G221" s="21" t="n"/>
      <c r="H221" s="21" t="n"/>
      <c r="I221" s="21" t="n"/>
      <c r="J221" s="21" t="n"/>
      <c r="K221" s="21" t="n"/>
      <c r="L221" s="21" t="n"/>
      <c r="M221" s="25">
        <f>IF(G221="Completed",IF(ISBLANK(L221),"",L221-J221),IF(ISBLANK(J221),"",TODAY()-J221))</f>
        <v/>
      </c>
      <c r="N221" s="25">
        <f>IF(G221="Completed",0,IF(ISBLANK(K221),"",K221-TODAY()))</f>
        <v/>
      </c>
      <c r="O221" s="25">
        <f>IF(G221="Completed","Completed",IF(ISBLANK(N221),"",IF(N221&lt;0,"Overdue",IF(N221&lt;7,"At Risk","On Time"))))</f>
        <v/>
      </c>
      <c r="P221" s="21" t="n"/>
      <c r="Q221" s="21" t="n"/>
      <c r="R221" s="24" t="n"/>
      <c r="S221" s="21" t="n"/>
      <c r="T221" s="21" t="n"/>
      <c r="U221" s="21" t="n"/>
      <c r="V221" s="21" t="n"/>
      <c r="W221" s="21" t="n"/>
      <c r="X221" s="21" t="n"/>
    </row>
    <row r="222">
      <c r="A222" s="20" t="inlineStr">
        <is>
          <t>ACT-200</t>
        </is>
      </c>
      <c r="B222" s="21" t="n"/>
      <c r="C222" s="21" t="n"/>
      <c r="D222" s="21" t="n"/>
      <c r="E222" s="21" t="n"/>
      <c r="F222" s="21" t="n"/>
      <c r="G222" s="21" t="n"/>
      <c r="H222" s="21" t="n"/>
      <c r="I222" s="21" t="n"/>
      <c r="J222" s="21" t="n"/>
      <c r="K222" s="21" t="n"/>
      <c r="L222" s="21" t="n"/>
      <c r="M222" s="25">
        <f>IF(G222="Completed",IF(ISBLANK(L222),"",L222-J222),IF(ISBLANK(J222),"",TODAY()-J222))</f>
        <v/>
      </c>
      <c r="N222" s="25">
        <f>IF(G222="Completed",0,IF(ISBLANK(K222),"",K222-TODAY()))</f>
        <v/>
      </c>
      <c r="O222" s="25">
        <f>IF(G222="Completed","Completed",IF(ISBLANK(N222),"",IF(N222&lt;0,"Overdue",IF(N222&lt;7,"At Risk","On Time"))))</f>
        <v/>
      </c>
      <c r="P222" s="21" t="n"/>
      <c r="Q222" s="21" t="n"/>
      <c r="R222" s="24" t="n"/>
      <c r="S222" s="21" t="n"/>
      <c r="T222" s="21" t="n"/>
      <c r="U222" s="21" t="n"/>
      <c r="V222" s="21" t="n"/>
      <c r="W222" s="21" t="n"/>
      <c r="X222" s="21" t="n"/>
    </row>
  </sheetData>
  <mergeCells count="2">
    <mergeCell ref="A21:X21"/>
    <mergeCell ref="A1:X1"/>
  </mergeCells>
  <dataValidations count="5">
    <dataValidation sqref="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showDropDown="0" showInputMessage="0" showErrorMessage="0" allowBlank="0" type="list">
      <formula1>"Gap Analysis,Risk Register,Audit Finding,Management Review,Incident,Other"</formula1>
    </dataValidation>
    <dataValidation sqref="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showDropDown="0" showInputMessage="0" showErrorMessage="0" allowBlank="0" type="list">
      <formula1>"Investigation,Remediation,Documentation,Training,Process Change,Tool Implementation,Review,Other"</formula1>
    </dataValidation>
    <dataValidation sqref="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showDropDown="0" showInputMessage="0" showErrorMessage="0" allowBlank="0" type="list">
      <formula1>"Critical,High,Medium,Low"</formula1>
    </dataValidation>
    <dataValidation sqref="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showDropDown="0" showInputMessage="0" showErrorMessage="0" allowBlank="0" type="list">
      <formula1>"Not Started,In Progress,Blocked,Pending Review,Completed,Cancelled"</formula1>
    </dataValidation>
    <dataValidation sqref="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4"/>
  <sheetViews>
    <sheetView workbookViewId="0">
      <pane ySplit="18" topLeftCell="A19" activePane="bottomLeft" state="frozen"/>
      <selection pane="bottomLeft" activeCell="A1" sqref="A1"/>
    </sheetView>
  </sheetViews>
  <sheetFormatPr baseColWidth="8" defaultRowHeight="15"/>
  <cols>
    <col width="12" customWidth="1" min="1" max="1"/>
    <col width="20" customWidth="1" min="2" max="2"/>
    <col width="30" customWidth="1" min="3" max="3"/>
    <col width="22" customWidth="1" min="4" max="4"/>
    <col width="25" customWidth="1" min="5" max="5"/>
    <col width="14"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4" customWidth="1" min="15" max="15"/>
    <col width="35" customWidth="1" min="16" max="16"/>
    <col width="14" customWidth="1" min="17" max="17"/>
    <col width="14" customWidth="1" min="18" max="18"/>
    <col width="16" customWidth="1" min="19" max="19"/>
    <col width="30" customWidth="1" min="20" max="20"/>
  </cols>
  <sheetData>
    <row r="1" ht="40" customHeight="1">
      <c r="A1" s="1" t="inlineStr">
        <is>
          <t>AUDIT &amp; COMPLIANCE LOG
Record of all audits, assessments, and compliance reviews</t>
        </is>
      </c>
    </row>
    <row r="3">
      <c r="A3" s="10" t="inlineStr">
        <is>
          <t>Audit Summary</t>
        </is>
      </c>
    </row>
    <row r="4">
      <c r="A4" s="7" t="inlineStr">
        <is>
          <t>Audit Type</t>
        </is>
      </c>
      <c r="B4" s="7" t="inlineStr">
        <is>
          <t>Total Audits</t>
        </is>
      </c>
      <c r="C4" s="7" t="inlineStr">
        <is>
          <t>Open Findings</t>
        </is>
      </c>
      <c r="D4" s="7" t="inlineStr">
        <is>
          <t>Closed Findings</t>
        </is>
      </c>
      <c r="E4" s="7" t="inlineStr">
        <is>
          <t>Avg Time to Close</t>
        </is>
      </c>
      <c r="F4" s="7" t="inlineStr">
        <is>
          <t>Compliance Rate</t>
        </is>
      </c>
    </row>
    <row r="5">
      <c r="A5" s="8" t="inlineStr">
        <is>
          <t>Internal Audit</t>
        </is>
      </c>
      <c r="B5" s="8">
        <f>COUNTIF(B19:B118,"Internal Audit")</f>
        <v/>
      </c>
      <c r="C5" s="4" t="n"/>
      <c r="D5" s="4" t="n"/>
      <c r="E5" s="4" t="n"/>
      <c r="F5" s="4" t="n"/>
    </row>
    <row r="6">
      <c r="A6" s="8" t="inlineStr">
        <is>
          <t>External Audit</t>
        </is>
      </c>
      <c r="B6" s="14">
        <f>COUNTIF(B19:B118,"External Audit")</f>
        <v/>
      </c>
      <c r="C6" s="4" t="n"/>
      <c r="D6" s="4" t="n"/>
      <c r="E6" s="4" t="n"/>
      <c r="F6" s="4" t="n"/>
    </row>
    <row r="7">
      <c r="A7" s="8" t="inlineStr">
        <is>
          <t>Self-Assessment</t>
        </is>
      </c>
      <c r="B7" s="14">
        <f>COUNTIF(B19:B118,"Self-Assessment")</f>
        <v/>
      </c>
      <c r="C7" s="4" t="n"/>
      <c r="D7" s="4" t="n"/>
      <c r="E7" s="4" t="n"/>
      <c r="F7" s="4" t="n"/>
    </row>
    <row r="8">
      <c r="A8" s="8" t="inlineStr">
        <is>
          <t>Vendor Audit</t>
        </is>
      </c>
      <c r="B8" s="14">
        <f>COUNTIF(B19:B118,"Vendor Audit")</f>
        <v/>
      </c>
      <c r="C8" s="4" t="n"/>
      <c r="D8" s="4" t="n"/>
      <c r="E8" s="4" t="n"/>
      <c r="F8" s="4" t="n"/>
    </row>
    <row r="9">
      <c r="A9" s="8" t="inlineStr">
        <is>
          <t>Regulatory Inspection</t>
        </is>
      </c>
      <c r="B9" s="14">
        <f>COUNTIF(B19:B118,"Regulatory Inspection")</f>
        <v/>
      </c>
      <c r="C9" s="4" t="n"/>
      <c r="D9" s="4" t="n"/>
      <c r="E9" s="4" t="n"/>
      <c r="F9" s="4" t="n"/>
    </row>
    <row r="10">
      <c r="A10" s="11" t="inlineStr">
        <is>
          <t>TOTAL</t>
        </is>
      </c>
      <c r="B10" s="11">
        <f>SUM(B5:B9)</f>
        <v/>
      </c>
      <c r="C10" s="11">
        <f>SUM(C5:C9)</f>
        <v/>
      </c>
      <c r="D10" s="11">
        <f>SUM(D5:D9)</f>
        <v/>
      </c>
      <c r="E10" s="11">
        <f>AVERAGE(E5:E9)</f>
        <v/>
      </c>
      <c r="F10" s="11">
        <f>AVERAGE(F5:F9)</f>
        <v/>
      </c>
    </row>
    <row r="13">
      <c r="A13" s="10" t="inlineStr">
        <is>
          <t>AUDIT REGISTER</t>
        </is>
      </c>
    </row>
    <row r="14">
      <c r="A14" s="7" t="inlineStr">
        <is>
          <t>Audit ID</t>
        </is>
      </c>
      <c r="B14" s="7" t="inlineStr">
        <is>
          <t>Audit Type</t>
        </is>
      </c>
      <c r="C14" s="7" t="inlineStr">
        <is>
          <t>Audit Scope</t>
        </is>
      </c>
      <c r="D14" s="7" t="inlineStr">
        <is>
          <t>Assessment Area</t>
        </is>
      </c>
      <c r="E14" s="7" t="inlineStr">
        <is>
          <t>Auditor/Assessor</t>
        </is>
      </c>
      <c r="F14" s="7" t="inlineStr">
        <is>
          <t>Audit Date</t>
        </is>
      </c>
      <c r="G14" s="7" t="inlineStr">
        <is>
          <t>Audit Report Date</t>
        </is>
      </c>
      <c r="H14" s="7" t="inlineStr">
        <is>
          <t>Total Findings</t>
        </is>
      </c>
      <c r="I14" s="7" t="inlineStr">
        <is>
          <t>Critical Findings</t>
        </is>
      </c>
      <c r="J14" s="7" t="inlineStr">
        <is>
          <t>High Findings</t>
        </is>
      </c>
      <c r="K14" s="7" t="inlineStr">
        <is>
          <t>Medium Findings</t>
        </is>
      </c>
      <c r="L14" s="7" t="inlineStr">
        <is>
          <t>Low Findings</t>
        </is>
      </c>
      <c r="M14" s="7" t="inlineStr">
        <is>
          <t>Open Findings</t>
        </is>
      </c>
      <c r="N14" s="7" t="inlineStr">
        <is>
          <t>Closed Findings</t>
        </is>
      </c>
      <c r="O14" s="7" t="inlineStr">
        <is>
          <t>Compliance Score</t>
        </is>
      </c>
      <c r="P14" s="7" t="inlineStr">
        <is>
          <t>Report Location</t>
        </is>
      </c>
      <c r="Q14" s="7" t="inlineStr">
        <is>
          <t>Follow-up Required</t>
        </is>
      </c>
      <c r="R14" s="7" t="inlineStr">
        <is>
          <t>Follow-up Date</t>
        </is>
      </c>
      <c r="S14" s="7" t="inlineStr">
        <is>
          <t>Status</t>
        </is>
      </c>
      <c r="T14" s="7" t="inlineStr">
        <is>
          <t>Notes</t>
        </is>
      </c>
    </row>
    <row r="15">
      <c r="A15" s="20" t="inlineStr">
        <is>
          <t>AUD-001</t>
        </is>
      </c>
      <c r="B15" s="21" t="n"/>
      <c r="C15" s="21" t="n"/>
      <c r="D15" s="21" t="n"/>
      <c r="E15" s="21" t="n"/>
      <c r="F15" s="21" t="n"/>
      <c r="G15" s="21" t="n"/>
      <c r="H15" s="21" t="n"/>
      <c r="I15" s="21" t="n"/>
      <c r="J15" s="21" t="n"/>
      <c r="K15" s="21" t="n"/>
      <c r="L15" s="21" t="n"/>
      <c r="M15" s="21" t="n"/>
      <c r="N15" s="21" t="n"/>
      <c r="O15" s="24" t="n"/>
      <c r="P15" s="21" t="n"/>
      <c r="Q15" s="21" t="n"/>
      <c r="R15" s="21" t="n"/>
      <c r="S15" s="21" t="n"/>
      <c r="T15" s="21" t="n"/>
    </row>
    <row r="16">
      <c r="A16" s="20" t="inlineStr">
        <is>
          <t>AUD-002</t>
        </is>
      </c>
      <c r="B16" s="21" t="n"/>
      <c r="C16" s="21" t="n"/>
      <c r="D16" s="21" t="n"/>
      <c r="E16" s="21" t="n"/>
      <c r="F16" s="21" t="n"/>
      <c r="G16" s="21" t="n"/>
      <c r="H16" s="21" t="n"/>
      <c r="I16" s="21" t="n"/>
      <c r="J16" s="21" t="n"/>
      <c r="K16" s="21" t="n"/>
      <c r="L16" s="21" t="n"/>
      <c r="M16" s="21" t="n"/>
      <c r="N16" s="21" t="n"/>
      <c r="O16" s="24" t="n"/>
      <c r="P16" s="21" t="n"/>
      <c r="Q16" s="21" t="n"/>
      <c r="R16" s="21" t="n"/>
      <c r="S16" s="21" t="n"/>
      <c r="T16" s="21" t="n"/>
    </row>
    <row r="17">
      <c r="A17" s="20" t="inlineStr">
        <is>
          <t>AUD-003</t>
        </is>
      </c>
      <c r="B17" s="21" t="n"/>
      <c r="C17" s="21" t="n"/>
      <c r="D17" s="21" t="n"/>
      <c r="E17" s="21" t="n"/>
      <c r="F17" s="21" t="n"/>
      <c r="G17" s="21" t="n"/>
      <c r="H17" s="21" t="n"/>
      <c r="I17" s="21" t="n"/>
      <c r="J17" s="21" t="n"/>
      <c r="K17" s="21" t="n"/>
      <c r="L17" s="21" t="n"/>
      <c r="M17" s="21" t="n"/>
      <c r="N17" s="21" t="n"/>
      <c r="O17" s="24" t="n"/>
      <c r="P17" s="21" t="n"/>
      <c r="Q17" s="21" t="n"/>
      <c r="R17" s="21" t="n"/>
      <c r="S17" s="21" t="n"/>
      <c r="T17" s="21" t="n"/>
    </row>
    <row r="18">
      <c r="A18" s="20" t="inlineStr">
        <is>
          <t>AUD-004</t>
        </is>
      </c>
      <c r="B18" s="21" t="n"/>
      <c r="C18" s="21" t="n"/>
      <c r="D18" s="21" t="n"/>
      <c r="E18" s="21" t="n"/>
      <c r="F18" s="21" t="n"/>
      <c r="G18" s="21" t="n"/>
      <c r="H18" s="21" t="n"/>
      <c r="I18" s="21" t="n"/>
      <c r="J18" s="21" t="n"/>
      <c r="K18" s="21" t="n"/>
      <c r="L18" s="21" t="n"/>
      <c r="M18" s="21" t="n"/>
      <c r="N18" s="21" t="n"/>
      <c r="O18" s="24" t="n"/>
      <c r="P18" s="21" t="n"/>
      <c r="Q18" s="21" t="n"/>
      <c r="R18" s="21" t="n"/>
      <c r="S18" s="21" t="n"/>
      <c r="T18" s="21" t="n"/>
    </row>
    <row r="19">
      <c r="A19" s="20" t="inlineStr">
        <is>
          <t>AUD-005</t>
        </is>
      </c>
      <c r="B19" s="21" t="n"/>
      <c r="C19" s="21" t="n"/>
      <c r="D19" s="21" t="n"/>
      <c r="E19" s="21" t="n"/>
      <c r="F19" s="21" t="n"/>
      <c r="G19" s="21" t="n"/>
      <c r="H19" s="21" t="n"/>
      <c r="I19" s="21" t="n"/>
      <c r="J19" s="21" t="n"/>
      <c r="K19" s="21" t="n"/>
      <c r="L19" s="21" t="n"/>
      <c r="M19" s="21" t="n"/>
      <c r="N19" s="21" t="n"/>
      <c r="O19" s="24" t="n"/>
      <c r="P19" s="21" t="n"/>
      <c r="Q19" s="21" t="n"/>
      <c r="R19" s="21" t="n"/>
      <c r="S19" s="21" t="n"/>
      <c r="T19" s="21" t="n"/>
    </row>
    <row r="20">
      <c r="A20" s="20" t="inlineStr">
        <is>
          <t>AUD-006</t>
        </is>
      </c>
      <c r="B20" s="21" t="n"/>
      <c r="C20" s="21" t="n"/>
      <c r="D20" s="21" t="n"/>
      <c r="E20" s="21" t="n"/>
      <c r="F20" s="21" t="n"/>
      <c r="G20" s="21" t="n"/>
      <c r="H20" s="21" t="n"/>
      <c r="I20" s="21" t="n"/>
      <c r="J20" s="21" t="n"/>
      <c r="K20" s="21" t="n"/>
      <c r="L20" s="21" t="n"/>
      <c r="M20" s="21" t="n"/>
      <c r="N20" s="21" t="n"/>
      <c r="O20" s="24" t="n"/>
      <c r="P20" s="21" t="n"/>
      <c r="Q20" s="21" t="n"/>
      <c r="R20" s="21" t="n"/>
      <c r="S20" s="21" t="n"/>
      <c r="T20" s="21" t="n"/>
    </row>
    <row r="21">
      <c r="A21" s="20" t="inlineStr">
        <is>
          <t>AUD-007</t>
        </is>
      </c>
      <c r="B21" s="21" t="n"/>
      <c r="C21" s="21" t="n"/>
      <c r="D21" s="21" t="n"/>
      <c r="E21" s="21" t="n"/>
      <c r="F21" s="21" t="n"/>
      <c r="G21" s="21" t="n"/>
      <c r="H21" s="21" t="n"/>
      <c r="I21" s="21" t="n"/>
      <c r="J21" s="21" t="n"/>
      <c r="K21" s="21" t="n"/>
      <c r="L21" s="21" t="n"/>
      <c r="M21" s="21" t="n"/>
      <c r="N21" s="21" t="n"/>
      <c r="O21" s="24" t="n"/>
      <c r="P21" s="21" t="n"/>
      <c r="Q21" s="21" t="n"/>
      <c r="R21" s="21" t="n"/>
      <c r="S21" s="21" t="n"/>
      <c r="T21" s="21" t="n"/>
    </row>
    <row r="22">
      <c r="A22" s="20" t="inlineStr">
        <is>
          <t>AUD-008</t>
        </is>
      </c>
      <c r="B22" s="21" t="n"/>
      <c r="C22" s="21" t="n"/>
      <c r="D22" s="21" t="n"/>
      <c r="E22" s="21" t="n"/>
      <c r="F22" s="21" t="n"/>
      <c r="G22" s="21" t="n"/>
      <c r="H22" s="21" t="n"/>
      <c r="I22" s="21" t="n"/>
      <c r="J22" s="21" t="n"/>
      <c r="K22" s="21" t="n"/>
      <c r="L22" s="21" t="n"/>
      <c r="M22" s="21" t="n"/>
      <c r="N22" s="21" t="n"/>
      <c r="O22" s="24" t="n"/>
      <c r="P22" s="21" t="n"/>
      <c r="Q22" s="21" t="n"/>
      <c r="R22" s="21" t="n"/>
      <c r="S22" s="21" t="n"/>
      <c r="T22" s="21" t="n"/>
    </row>
    <row r="23">
      <c r="A23" s="20" t="inlineStr">
        <is>
          <t>AUD-009</t>
        </is>
      </c>
      <c r="B23" s="21" t="n"/>
      <c r="C23" s="21" t="n"/>
      <c r="D23" s="21" t="n"/>
      <c r="E23" s="21" t="n"/>
      <c r="F23" s="21" t="n"/>
      <c r="G23" s="21" t="n"/>
      <c r="H23" s="21" t="n"/>
      <c r="I23" s="21" t="n"/>
      <c r="J23" s="21" t="n"/>
      <c r="K23" s="21" t="n"/>
      <c r="L23" s="21" t="n"/>
      <c r="M23" s="21" t="n"/>
      <c r="N23" s="21" t="n"/>
      <c r="O23" s="24" t="n"/>
      <c r="P23" s="21" t="n"/>
      <c r="Q23" s="21" t="n"/>
      <c r="R23" s="21" t="n"/>
      <c r="S23" s="21" t="n"/>
      <c r="T23" s="21" t="n"/>
    </row>
    <row r="24">
      <c r="A24" s="20" t="inlineStr">
        <is>
          <t>AUD-010</t>
        </is>
      </c>
      <c r="B24" s="21" t="n"/>
      <c r="C24" s="21" t="n"/>
      <c r="D24" s="21" t="n"/>
      <c r="E24" s="21" t="n"/>
      <c r="F24" s="21" t="n"/>
      <c r="G24" s="21" t="n"/>
      <c r="H24" s="21" t="n"/>
      <c r="I24" s="21" t="n"/>
      <c r="J24" s="21" t="n"/>
      <c r="K24" s="21" t="n"/>
      <c r="L24" s="21" t="n"/>
      <c r="M24" s="21" t="n"/>
      <c r="N24" s="21" t="n"/>
      <c r="O24" s="24" t="n"/>
      <c r="P24" s="21" t="n"/>
      <c r="Q24" s="21" t="n"/>
      <c r="R24" s="21" t="n"/>
      <c r="S24" s="21" t="n"/>
      <c r="T24" s="21" t="n"/>
    </row>
    <row r="25">
      <c r="A25" s="20" t="inlineStr">
        <is>
          <t>AUD-011</t>
        </is>
      </c>
      <c r="B25" s="21" t="n"/>
      <c r="C25" s="21" t="n"/>
      <c r="D25" s="21" t="n"/>
      <c r="E25" s="21" t="n"/>
      <c r="F25" s="21" t="n"/>
      <c r="G25" s="21" t="n"/>
      <c r="H25" s="21" t="n"/>
      <c r="I25" s="21" t="n"/>
      <c r="J25" s="21" t="n"/>
      <c r="K25" s="21" t="n"/>
      <c r="L25" s="21" t="n"/>
      <c r="M25" s="21" t="n"/>
      <c r="N25" s="21" t="n"/>
      <c r="O25" s="24" t="n"/>
      <c r="P25" s="21" t="n"/>
      <c r="Q25" s="21" t="n"/>
      <c r="R25" s="21" t="n"/>
      <c r="S25" s="21" t="n"/>
      <c r="T25" s="21" t="n"/>
    </row>
    <row r="26">
      <c r="A26" s="20" t="inlineStr">
        <is>
          <t>AUD-012</t>
        </is>
      </c>
      <c r="B26" s="21" t="n"/>
      <c r="C26" s="21" t="n"/>
      <c r="D26" s="21" t="n"/>
      <c r="E26" s="21" t="n"/>
      <c r="F26" s="21" t="n"/>
      <c r="G26" s="21" t="n"/>
      <c r="H26" s="21" t="n"/>
      <c r="I26" s="21" t="n"/>
      <c r="J26" s="21" t="n"/>
      <c r="K26" s="21" t="n"/>
      <c r="L26" s="21" t="n"/>
      <c r="M26" s="21" t="n"/>
      <c r="N26" s="21" t="n"/>
      <c r="O26" s="24" t="n"/>
      <c r="P26" s="21" t="n"/>
      <c r="Q26" s="21" t="n"/>
      <c r="R26" s="21" t="n"/>
      <c r="S26" s="21" t="n"/>
      <c r="T26" s="21" t="n"/>
    </row>
    <row r="27">
      <c r="A27" s="20" t="inlineStr">
        <is>
          <t>AUD-013</t>
        </is>
      </c>
      <c r="B27" s="21" t="n"/>
      <c r="C27" s="21" t="n"/>
      <c r="D27" s="21" t="n"/>
      <c r="E27" s="21" t="n"/>
      <c r="F27" s="21" t="n"/>
      <c r="G27" s="21" t="n"/>
      <c r="H27" s="21" t="n"/>
      <c r="I27" s="21" t="n"/>
      <c r="J27" s="21" t="n"/>
      <c r="K27" s="21" t="n"/>
      <c r="L27" s="21" t="n"/>
      <c r="M27" s="21" t="n"/>
      <c r="N27" s="21" t="n"/>
      <c r="O27" s="24" t="n"/>
      <c r="P27" s="21" t="n"/>
      <c r="Q27" s="21" t="n"/>
      <c r="R27" s="21" t="n"/>
      <c r="S27" s="21" t="n"/>
      <c r="T27" s="21" t="n"/>
    </row>
    <row r="28">
      <c r="A28" s="20" t="inlineStr">
        <is>
          <t>AUD-014</t>
        </is>
      </c>
      <c r="B28" s="21" t="n"/>
      <c r="C28" s="21" t="n"/>
      <c r="D28" s="21" t="n"/>
      <c r="E28" s="21" t="n"/>
      <c r="F28" s="21" t="n"/>
      <c r="G28" s="21" t="n"/>
      <c r="H28" s="21" t="n"/>
      <c r="I28" s="21" t="n"/>
      <c r="J28" s="21" t="n"/>
      <c r="K28" s="21" t="n"/>
      <c r="L28" s="21" t="n"/>
      <c r="M28" s="21" t="n"/>
      <c r="N28" s="21" t="n"/>
      <c r="O28" s="24" t="n"/>
      <c r="P28" s="21" t="n"/>
      <c r="Q28" s="21" t="n"/>
      <c r="R28" s="21" t="n"/>
      <c r="S28" s="21" t="n"/>
      <c r="T28" s="21" t="n"/>
    </row>
    <row r="29">
      <c r="A29" s="20" t="inlineStr">
        <is>
          <t>AUD-015</t>
        </is>
      </c>
      <c r="B29" s="21" t="n"/>
      <c r="C29" s="21" t="n"/>
      <c r="D29" s="21" t="n"/>
      <c r="E29" s="21" t="n"/>
      <c r="F29" s="21" t="n"/>
      <c r="G29" s="21" t="n"/>
      <c r="H29" s="21" t="n"/>
      <c r="I29" s="21" t="n"/>
      <c r="J29" s="21" t="n"/>
      <c r="K29" s="21" t="n"/>
      <c r="L29" s="21" t="n"/>
      <c r="M29" s="21" t="n"/>
      <c r="N29" s="21" t="n"/>
      <c r="O29" s="24" t="n"/>
      <c r="P29" s="21" t="n"/>
      <c r="Q29" s="21" t="n"/>
      <c r="R29" s="21" t="n"/>
      <c r="S29" s="21" t="n"/>
      <c r="T29" s="21" t="n"/>
    </row>
    <row r="30">
      <c r="A30" s="20" t="inlineStr">
        <is>
          <t>AUD-016</t>
        </is>
      </c>
      <c r="B30" s="21" t="n"/>
      <c r="C30" s="21" t="n"/>
      <c r="D30" s="21" t="n"/>
      <c r="E30" s="21" t="n"/>
      <c r="F30" s="21" t="n"/>
      <c r="G30" s="21" t="n"/>
      <c r="H30" s="21" t="n"/>
      <c r="I30" s="21" t="n"/>
      <c r="J30" s="21" t="n"/>
      <c r="K30" s="21" t="n"/>
      <c r="L30" s="21" t="n"/>
      <c r="M30" s="21" t="n"/>
      <c r="N30" s="21" t="n"/>
      <c r="O30" s="24" t="n"/>
      <c r="P30" s="21" t="n"/>
      <c r="Q30" s="21" t="n"/>
      <c r="R30" s="21" t="n"/>
      <c r="S30" s="21" t="n"/>
      <c r="T30" s="21" t="n"/>
    </row>
    <row r="31">
      <c r="A31" s="20" t="inlineStr">
        <is>
          <t>AUD-017</t>
        </is>
      </c>
      <c r="B31" s="21" t="n"/>
      <c r="C31" s="21" t="n"/>
      <c r="D31" s="21" t="n"/>
      <c r="E31" s="21" t="n"/>
      <c r="F31" s="21" t="n"/>
      <c r="G31" s="21" t="n"/>
      <c r="H31" s="21" t="n"/>
      <c r="I31" s="21" t="n"/>
      <c r="J31" s="21" t="n"/>
      <c r="K31" s="21" t="n"/>
      <c r="L31" s="21" t="n"/>
      <c r="M31" s="21" t="n"/>
      <c r="N31" s="21" t="n"/>
      <c r="O31" s="24" t="n"/>
      <c r="P31" s="21" t="n"/>
      <c r="Q31" s="21" t="n"/>
      <c r="R31" s="21" t="n"/>
      <c r="S31" s="21" t="n"/>
      <c r="T31" s="21" t="n"/>
    </row>
    <row r="32">
      <c r="A32" s="20" t="inlineStr">
        <is>
          <t>AUD-018</t>
        </is>
      </c>
      <c r="B32" s="21" t="n"/>
      <c r="C32" s="21" t="n"/>
      <c r="D32" s="21" t="n"/>
      <c r="E32" s="21" t="n"/>
      <c r="F32" s="21" t="n"/>
      <c r="G32" s="21" t="n"/>
      <c r="H32" s="21" t="n"/>
      <c r="I32" s="21" t="n"/>
      <c r="J32" s="21" t="n"/>
      <c r="K32" s="21" t="n"/>
      <c r="L32" s="21" t="n"/>
      <c r="M32" s="21" t="n"/>
      <c r="N32" s="21" t="n"/>
      <c r="O32" s="24" t="n"/>
      <c r="P32" s="21" t="n"/>
      <c r="Q32" s="21" t="n"/>
      <c r="R32" s="21" t="n"/>
      <c r="S32" s="21" t="n"/>
      <c r="T32" s="21" t="n"/>
    </row>
    <row r="33">
      <c r="A33" s="20" t="inlineStr">
        <is>
          <t>AUD-019</t>
        </is>
      </c>
      <c r="B33" s="21" t="n"/>
      <c r="C33" s="21" t="n"/>
      <c r="D33" s="21" t="n"/>
      <c r="E33" s="21" t="n"/>
      <c r="F33" s="21" t="n"/>
      <c r="G33" s="21" t="n"/>
      <c r="H33" s="21" t="n"/>
      <c r="I33" s="21" t="n"/>
      <c r="J33" s="21" t="n"/>
      <c r="K33" s="21" t="n"/>
      <c r="L33" s="21" t="n"/>
      <c r="M33" s="21" t="n"/>
      <c r="N33" s="21" t="n"/>
      <c r="O33" s="24" t="n"/>
      <c r="P33" s="21" t="n"/>
      <c r="Q33" s="21" t="n"/>
      <c r="R33" s="21" t="n"/>
      <c r="S33" s="21" t="n"/>
      <c r="T33" s="21" t="n"/>
    </row>
    <row r="34">
      <c r="A34" s="20" t="inlineStr">
        <is>
          <t>AUD-020</t>
        </is>
      </c>
      <c r="B34" s="21" t="n"/>
      <c r="C34" s="21" t="n"/>
      <c r="D34" s="21" t="n"/>
      <c r="E34" s="21" t="n"/>
      <c r="F34" s="21" t="n"/>
      <c r="G34" s="21" t="n"/>
      <c r="H34" s="21" t="n"/>
      <c r="I34" s="21" t="n"/>
      <c r="J34" s="21" t="n"/>
      <c r="K34" s="21" t="n"/>
      <c r="L34" s="21" t="n"/>
      <c r="M34" s="21" t="n"/>
      <c r="N34" s="21" t="n"/>
      <c r="O34" s="24" t="n"/>
      <c r="P34" s="21" t="n"/>
      <c r="Q34" s="21" t="n"/>
      <c r="R34" s="21" t="n"/>
      <c r="S34" s="21" t="n"/>
      <c r="T34" s="21" t="n"/>
    </row>
    <row r="35">
      <c r="A35" s="20" t="inlineStr">
        <is>
          <t>AUD-021</t>
        </is>
      </c>
      <c r="B35" s="21" t="n"/>
      <c r="C35" s="21" t="n"/>
      <c r="D35" s="21" t="n"/>
      <c r="E35" s="21" t="n"/>
      <c r="F35" s="21" t="n"/>
      <c r="G35" s="21" t="n"/>
      <c r="H35" s="21" t="n"/>
      <c r="I35" s="21" t="n"/>
      <c r="J35" s="21" t="n"/>
      <c r="K35" s="21" t="n"/>
      <c r="L35" s="21" t="n"/>
      <c r="M35" s="21" t="n"/>
      <c r="N35" s="21" t="n"/>
      <c r="O35" s="24" t="n"/>
      <c r="P35" s="21" t="n"/>
      <c r="Q35" s="21" t="n"/>
      <c r="R35" s="21" t="n"/>
      <c r="S35" s="21" t="n"/>
      <c r="T35" s="21" t="n"/>
    </row>
    <row r="36">
      <c r="A36" s="20" t="inlineStr">
        <is>
          <t>AUD-022</t>
        </is>
      </c>
      <c r="B36" s="21" t="n"/>
      <c r="C36" s="21" t="n"/>
      <c r="D36" s="21" t="n"/>
      <c r="E36" s="21" t="n"/>
      <c r="F36" s="21" t="n"/>
      <c r="G36" s="21" t="n"/>
      <c r="H36" s="21" t="n"/>
      <c r="I36" s="21" t="n"/>
      <c r="J36" s="21" t="n"/>
      <c r="K36" s="21" t="n"/>
      <c r="L36" s="21" t="n"/>
      <c r="M36" s="21" t="n"/>
      <c r="N36" s="21" t="n"/>
      <c r="O36" s="24" t="n"/>
      <c r="P36" s="21" t="n"/>
      <c r="Q36" s="21" t="n"/>
      <c r="R36" s="21" t="n"/>
      <c r="S36" s="21" t="n"/>
      <c r="T36" s="21" t="n"/>
    </row>
    <row r="37">
      <c r="A37" s="20" t="inlineStr">
        <is>
          <t>AUD-023</t>
        </is>
      </c>
      <c r="B37" s="21" t="n"/>
      <c r="C37" s="21" t="n"/>
      <c r="D37" s="21" t="n"/>
      <c r="E37" s="21" t="n"/>
      <c r="F37" s="21" t="n"/>
      <c r="G37" s="21" t="n"/>
      <c r="H37" s="21" t="n"/>
      <c r="I37" s="21" t="n"/>
      <c r="J37" s="21" t="n"/>
      <c r="K37" s="21" t="n"/>
      <c r="L37" s="21" t="n"/>
      <c r="M37" s="21" t="n"/>
      <c r="N37" s="21" t="n"/>
      <c r="O37" s="24" t="n"/>
      <c r="P37" s="21" t="n"/>
      <c r="Q37" s="21" t="n"/>
      <c r="R37" s="21" t="n"/>
      <c r="S37" s="21" t="n"/>
      <c r="T37" s="21" t="n"/>
    </row>
    <row r="38">
      <c r="A38" s="20" t="inlineStr">
        <is>
          <t>AUD-024</t>
        </is>
      </c>
      <c r="B38" s="21" t="n"/>
      <c r="C38" s="21" t="n"/>
      <c r="D38" s="21" t="n"/>
      <c r="E38" s="21" t="n"/>
      <c r="F38" s="21" t="n"/>
      <c r="G38" s="21" t="n"/>
      <c r="H38" s="21" t="n"/>
      <c r="I38" s="21" t="n"/>
      <c r="J38" s="21" t="n"/>
      <c r="K38" s="21" t="n"/>
      <c r="L38" s="21" t="n"/>
      <c r="M38" s="21" t="n"/>
      <c r="N38" s="21" t="n"/>
      <c r="O38" s="24" t="n"/>
      <c r="P38" s="21" t="n"/>
      <c r="Q38" s="21" t="n"/>
      <c r="R38" s="21" t="n"/>
      <c r="S38" s="21" t="n"/>
      <c r="T38" s="21" t="n"/>
    </row>
    <row r="39">
      <c r="A39" s="20" t="inlineStr">
        <is>
          <t>AUD-025</t>
        </is>
      </c>
      <c r="B39" s="21" t="n"/>
      <c r="C39" s="21" t="n"/>
      <c r="D39" s="21" t="n"/>
      <c r="E39" s="21" t="n"/>
      <c r="F39" s="21" t="n"/>
      <c r="G39" s="21" t="n"/>
      <c r="H39" s="21" t="n"/>
      <c r="I39" s="21" t="n"/>
      <c r="J39" s="21" t="n"/>
      <c r="K39" s="21" t="n"/>
      <c r="L39" s="21" t="n"/>
      <c r="M39" s="21" t="n"/>
      <c r="N39" s="21" t="n"/>
      <c r="O39" s="24" t="n"/>
      <c r="P39" s="21" t="n"/>
      <c r="Q39" s="21" t="n"/>
      <c r="R39" s="21" t="n"/>
      <c r="S39" s="21" t="n"/>
      <c r="T39" s="21" t="n"/>
    </row>
    <row r="40">
      <c r="A40" s="20" t="inlineStr">
        <is>
          <t>AUD-026</t>
        </is>
      </c>
      <c r="B40" s="21" t="n"/>
      <c r="C40" s="21" t="n"/>
      <c r="D40" s="21" t="n"/>
      <c r="E40" s="21" t="n"/>
      <c r="F40" s="21" t="n"/>
      <c r="G40" s="21" t="n"/>
      <c r="H40" s="21" t="n"/>
      <c r="I40" s="21" t="n"/>
      <c r="J40" s="21" t="n"/>
      <c r="K40" s="21" t="n"/>
      <c r="L40" s="21" t="n"/>
      <c r="M40" s="21" t="n"/>
      <c r="N40" s="21" t="n"/>
      <c r="O40" s="24" t="n"/>
      <c r="P40" s="21" t="n"/>
      <c r="Q40" s="21" t="n"/>
      <c r="R40" s="21" t="n"/>
      <c r="S40" s="21" t="n"/>
      <c r="T40" s="21" t="n"/>
    </row>
    <row r="41">
      <c r="A41" s="20" t="inlineStr">
        <is>
          <t>AUD-027</t>
        </is>
      </c>
      <c r="B41" s="21" t="n"/>
      <c r="C41" s="21" t="n"/>
      <c r="D41" s="21" t="n"/>
      <c r="E41" s="21" t="n"/>
      <c r="F41" s="21" t="n"/>
      <c r="G41" s="21" t="n"/>
      <c r="H41" s="21" t="n"/>
      <c r="I41" s="21" t="n"/>
      <c r="J41" s="21" t="n"/>
      <c r="K41" s="21" t="n"/>
      <c r="L41" s="21" t="n"/>
      <c r="M41" s="21" t="n"/>
      <c r="N41" s="21" t="n"/>
      <c r="O41" s="24" t="n"/>
      <c r="P41" s="21" t="n"/>
      <c r="Q41" s="21" t="n"/>
      <c r="R41" s="21" t="n"/>
      <c r="S41" s="21" t="n"/>
      <c r="T41" s="21" t="n"/>
    </row>
    <row r="42">
      <c r="A42" s="20" t="inlineStr">
        <is>
          <t>AUD-028</t>
        </is>
      </c>
      <c r="B42" s="21" t="n"/>
      <c r="C42" s="21" t="n"/>
      <c r="D42" s="21" t="n"/>
      <c r="E42" s="21" t="n"/>
      <c r="F42" s="21" t="n"/>
      <c r="G42" s="21" t="n"/>
      <c r="H42" s="21" t="n"/>
      <c r="I42" s="21" t="n"/>
      <c r="J42" s="21" t="n"/>
      <c r="K42" s="21" t="n"/>
      <c r="L42" s="21" t="n"/>
      <c r="M42" s="21" t="n"/>
      <c r="N42" s="21" t="n"/>
      <c r="O42" s="24" t="n"/>
      <c r="P42" s="21" t="n"/>
      <c r="Q42" s="21" t="n"/>
      <c r="R42" s="21" t="n"/>
      <c r="S42" s="21" t="n"/>
      <c r="T42" s="21" t="n"/>
    </row>
    <row r="43">
      <c r="A43" s="20" t="inlineStr">
        <is>
          <t>AUD-029</t>
        </is>
      </c>
      <c r="B43" s="21" t="n"/>
      <c r="C43" s="21" t="n"/>
      <c r="D43" s="21" t="n"/>
      <c r="E43" s="21" t="n"/>
      <c r="F43" s="21" t="n"/>
      <c r="G43" s="21" t="n"/>
      <c r="H43" s="21" t="n"/>
      <c r="I43" s="21" t="n"/>
      <c r="J43" s="21" t="n"/>
      <c r="K43" s="21" t="n"/>
      <c r="L43" s="21" t="n"/>
      <c r="M43" s="21" t="n"/>
      <c r="N43" s="21" t="n"/>
      <c r="O43" s="24" t="n"/>
      <c r="P43" s="21" t="n"/>
      <c r="Q43" s="21" t="n"/>
      <c r="R43" s="21" t="n"/>
      <c r="S43" s="21" t="n"/>
      <c r="T43" s="21" t="n"/>
    </row>
    <row r="44">
      <c r="A44" s="20" t="inlineStr">
        <is>
          <t>AUD-030</t>
        </is>
      </c>
      <c r="B44" s="21" t="n"/>
      <c r="C44" s="21" t="n"/>
      <c r="D44" s="21" t="n"/>
      <c r="E44" s="21" t="n"/>
      <c r="F44" s="21" t="n"/>
      <c r="G44" s="21" t="n"/>
      <c r="H44" s="21" t="n"/>
      <c r="I44" s="21" t="n"/>
      <c r="J44" s="21" t="n"/>
      <c r="K44" s="21" t="n"/>
      <c r="L44" s="21" t="n"/>
      <c r="M44" s="21" t="n"/>
      <c r="N44" s="21" t="n"/>
      <c r="O44" s="24" t="n"/>
      <c r="P44" s="21" t="n"/>
      <c r="Q44" s="21" t="n"/>
      <c r="R44" s="21" t="n"/>
      <c r="S44" s="21" t="n"/>
      <c r="T44" s="21" t="n"/>
    </row>
    <row r="45">
      <c r="A45" s="20" t="inlineStr">
        <is>
          <t>AUD-031</t>
        </is>
      </c>
      <c r="B45" s="21" t="n"/>
      <c r="C45" s="21" t="n"/>
      <c r="D45" s="21" t="n"/>
      <c r="E45" s="21" t="n"/>
      <c r="F45" s="21" t="n"/>
      <c r="G45" s="21" t="n"/>
      <c r="H45" s="21" t="n"/>
      <c r="I45" s="21" t="n"/>
      <c r="J45" s="21" t="n"/>
      <c r="K45" s="21" t="n"/>
      <c r="L45" s="21" t="n"/>
      <c r="M45" s="21" t="n"/>
      <c r="N45" s="21" t="n"/>
      <c r="O45" s="24" t="n"/>
      <c r="P45" s="21" t="n"/>
      <c r="Q45" s="21" t="n"/>
      <c r="R45" s="21" t="n"/>
      <c r="S45" s="21" t="n"/>
      <c r="T45" s="21" t="n"/>
    </row>
    <row r="46">
      <c r="A46" s="20" t="inlineStr">
        <is>
          <t>AUD-032</t>
        </is>
      </c>
      <c r="B46" s="21" t="n"/>
      <c r="C46" s="21" t="n"/>
      <c r="D46" s="21" t="n"/>
      <c r="E46" s="21" t="n"/>
      <c r="F46" s="21" t="n"/>
      <c r="G46" s="21" t="n"/>
      <c r="H46" s="21" t="n"/>
      <c r="I46" s="21" t="n"/>
      <c r="J46" s="21" t="n"/>
      <c r="K46" s="21" t="n"/>
      <c r="L46" s="21" t="n"/>
      <c r="M46" s="21" t="n"/>
      <c r="N46" s="21" t="n"/>
      <c r="O46" s="24" t="n"/>
      <c r="P46" s="21" t="n"/>
      <c r="Q46" s="21" t="n"/>
      <c r="R46" s="21" t="n"/>
      <c r="S46" s="21" t="n"/>
      <c r="T46" s="21" t="n"/>
    </row>
    <row r="47">
      <c r="A47" s="20" t="inlineStr">
        <is>
          <t>AUD-033</t>
        </is>
      </c>
      <c r="B47" s="21" t="n"/>
      <c r="C47" s="21" t="n"/>
      <c r="D47" s="21" t="n"/>
      <c r="E47" s="21" t="n"/>
      <c r="F47" s="21" t="n"/>
      <c r="G47" s="21" t="n"/>
      <c r="H47" s="21" t="n"/>
      <c r="I47" s="21" t="n"/>
      <c r="J47" s="21" t="n"/>
      <c r="K47" s="21" t="n"/>
      <c r="L47" s="21" t="n"/>
      <c r="M47" s="21" t="n"/>
      <c r="N47" s="21" t="n"/>
      <c r="O47" s="24" t="n"/>
      <c r="P47" s="21" t="n"/>
      <c r="Q47" s="21" t="n"/>
      <c r="R47" s="21" t="n"/>
      <c r="S47" s="21" t="n"/>
      <c r="T47" s="21" t="n"/>
    </row>
    <row r="48">
      <c r="A48" s="20" t="inlineStr">
        <is>
          <t>AUD-034</t>
        </is>
      </c>
      <c r="B48" s="21" t="n"/>
      <c r="C48" s="21" t="n"/>
      <c r="D48" s="21" t="n"/>
      <c r="E48" s="21" t="n"/>
      <c r="F48" s="21" t="n"/>
      <c r="G48" s="21" t="n"/>
      <c r="H48" s="21" t="n"/>
      <c r="I48" s="21" t="n"/>
      <c r="J48" s="21" t="n"/>
      <c r="K48" s="21" t="n"/>
      <c r="L48" s="21" t="n"/>
      <c r="M48" s="21" t="n"/>
      <c r="N48" s="21" t="n"/>
      <c r="O48" s="24" t="n"/>
      <c r="P48" s="21" t="n"/>
      <c r="Q48" s="21" t="n"/>
      <c r="R48" s="21" t="n"/>
      <c r="S48" s="21" t="n"/>
      <c r="T48" s="21" t="n"/>
    </row>
    <row r="49">
      <c r="A49" s="20" t="inlineStr">
        <is>
          <t>AUD-035</t>
        </is>
      </c>
      <c r="B49" s="21" t="n"/>
      <c r="C49" s="21" t="n"/>
      <c r="D49" s="21" t="n"/>
      <c r="E49" s="21" t="n"/>
      <c r="F49" s="21" t="n"/>
      <c r="G49" s="21" t="n"/>
      <c r="H49" s="21" t="n"/>
      <c r="I49" s="21" t="n"/>
      <c r="J49" s="21" t="n"/>
      <c r="K49" s="21" t="n"/>
      <c r="L49" s="21" t="n"/>
      <c r="M49" s="21" t="n"/>
      <c r="N49" s="21" t="n"/>
      <c r="O49" s="24" t="n"/>
      <c r="P49" s="21" t="n"/>
      <c r="Q49" s="21" t="n"/>
      <c r="R49" s="21" t="n"/>
      <c r="S49" s="21" t="n"/>
      <c r="T49" s="21" t="n"/>
    </row>
    <row r="50">
      <c r="A50" s="20" t="inlineStr">
        <is>
          <t>AUD-036</t>
        </is>
      </c>
      <c r="B50" s="21" t="n"/>
      <c r="C50" s="21" t="n"/>
      <c r="D50" s="21" t="n"/>
      <c r="E50" s="21" t="n"/>
      <c r="F50" s="21" t="n"/>
      <c r="G50" s="21" t="n"/>
      <c r="H50" s="21" t="n"/>
      <c r="I50" s="21" t="n"/>
      <c r="J50" s="21" t="n"/>
      <c r="K50" s="21" t="n"/>
      <c r="L50" s="21" t="n"/>
      <c r="M50" s="21" t="n"/>
      <c r="N50" s="21" t="n"/>
      <c r="O50" s="24" t="n"/>
      <c r="P50" s="21" t="n"/>
      <c r="Q50" s="21" t="n"/>
      <c r="R50" s="21" t="n"/>
      <c r="S50" s="21" t="n"/>
      <c r="T50" s="21" t="n"/>
    </row>
    <row r="51">
      <c r="A51" s="20" t="inlineStr">
        <is>
          <t>AUD-037</t>
        </is>
      </c>
      <c r="B51" s="21" t="n"/>
      <c r="C51" s="21" t="n"/>
      <c r="D51" s="21" t="n"/>
      <c r="E51" s="21" t="n"/>
      <c r="F51" s="21" t="n"/>
      <c r="G51" s="21" t="n"/>
      <c r="H51" s="21" t="n"/>
      <c r="I51" s="21" t="n"/>
      <c r="J51" s="21" t="n"/>
      <c r="K51" s="21" t="n"/>
      <c r="L51" s="21" t="n"/>
      <c r="M51" s="21" t="n"/>
      <c r="N51" s="21" t="n"/>
      <c r="O51" s="24" t="n"/>
      <c r="P51" s="21" t="n"/>
      <c r="Q51" s="21" t="n"/>
      <c r="R51" s="21" t="n"/>
      <c r="S51" s="21" t="n"/>
      <c r="T51" s="21" t="n"/>
    </row>
    <row r="52">
      <c r="A52" s="20" t="inlineStr">
        <is>
          <t>AUD-038</t>
        </is>
      </c>
      <c r="B52" s="21" t="n"/>
      <c r="C52" s="21" t="n"/>
      <c r="D52" s="21" t="n"/>
      <c r="E52" s="21" t="n"/>
      <c r="F52" s="21" t="n"/>
      <c r="G52" s="21" t="n"/>
      <c r="H52" s="21" t="n"/>
      <c r="I52" s="21" t="n"/>
      <c r="J52" s="21" t="n"/>
      <c r="K52" s="21" t="n"/>
      <c r="L52" s="21" t="n"/>
      <c r="M52" s="21" t="n"/>
      <c r="N52" s="21" t="n"/>
      <c r="O52" s="24" t="n"/>
      <c r="P52" s="21" t="n"/>
      <c r="Q52" s="21" t="n"/>
      <c r="R52" s="21" t="n"/>
      <c r="S52" s="21" t="n"/>
      <c r="T52" s="21" t="n"/>
    </row>
    <row r="53">
      <c r="A53" s="20" t="inlineStr">
        <is>
          <t>AUD-039</t>
        </is>
      </c>
      <c r="B53" s="21" t="n"/>
      <c r="C53" s="21" t="n"/>
      <c r="D53" s="21" t="n"/>
      <c r="E53" s="21" t="n"/>
      <c r="F53" s="21" t="n"/>
      <c r="G53" s="21" t="n"/>
      <c r="H53" s="21" t="n"/>
      <c r="I53" s="21" t="n"/>
      <c r="J53" s="21" t="n"/>
      <c r="K53" s="21" t="n"/>
      <c r="L53" s="21" t="n"/>
      <c r="M53" s="21" t="n"/>
      <c r="N53" s="21" t="n"/>
      <c r="O53" s="24" t="n"/>
      <c r="P53" s="21" t="n"/>
      <c r="Q53" s="21" t="n"/>
      <c r="R53" s="21" t="n"/>
      <c r="S53" s="21" t="n"/>
      <c r="T53" s="21" t="n"/>
    </row>
    <row r="54">
      <c r="A54" s="20" t="inlineStr">
        <is>
          <t>AUD-040</t>
        </is>
      </c>
      <c r="B54" s="21" t="n"/>
      <c r="C54" s="21" t="n"/>
      <c r="D54" s="21" t="n"/>
      <c r="E54" s="21" t="n"/>
      <c r="F54" s="21" t="n"/>
      <c r="G54" s="21" t="n"/>
      <c r="H54" s="21" t="n"/>
      <c r="I54" s="21" t="n"/>
      <c r="J54" s="21" t="n"/>
      <c r="K54" s="21" t="n"/>
      <c r="L54" s="21" t="n"/>
      <c r="M54" s="21" t="n"/>
      <c r="N54" s="21" t="n"/>
      <c r="O54" s="24" t="n"/>
      <c r="P54" s="21" t="n"/>
      <c r="Q54" s="21" t="n"/>
      <c r="R54" s="21" t="n"/>
      <c r="S54" s="21" t="n"/>
      <c r="T54" s="21" t="n"/>
    </row>
    <row r="55">
      <c r="A55" s="20" t="inlineStr">
        <is>
          <t>AUD-041</t>
        </is>
      </c>
      <c r="B55" s="21" t="n"/>
      <c r="C55" s="21" t="n"/>
      <c r="D55" s="21" t="n"/>
      <c r="E55" s="21" t="n"/>
      <c r="F55" s="21" t="n"/>
      <c r="G55" s="21" t="n"/>
      <c r="H55" s="21" t="n"/>
      <c r="I55" s="21" t="n"/>
      <c r="J55" s="21" t="n"/>
      <c r="K55" s="21" t="n"/>
      <c r="L55" s="21" t="n"/>
      <c r="M55" s="21" t="n"/>
      <c r="N55" s="21" t="n"/>
      <c r="O55" s="24" t="n"/>
      <c r="P55" s="21" t="n"/>
      <c r="Q55" s="21" t="n"/>
      <c r="R55" s="21" t="n"/>
      <c r="S55" s="21" t="n"/>
      <c r="T55" s="21" t="n"/>
    </row>
    <row r="56">
      <c r="A56" s="20" t="inlineStr">
        <is>
          <t>AUD-042</t>
        </is>
      </c>
      <c r="B56" s="21" t="n"/>
      <c r="C56" s="21" t="n"/>
      <c r="D56" s="21" t="n"/>
      <c r="E56" s="21" t="n"/>
      <c r="F56" s="21" t="n"/>
      <c r="G56" s="21" t="n"/>
      <c r="H56" s="21" t="n"/>
      <c r="I56" s="21" t="n"/>
      <c r="J56" s="21" t="n"/>
      <c r="K56" s="21" t="n"/>
      <c r="L56" s="21" t="n"/>
      <c r="M56" s="21" t="n"/>
      <c r="N56" s="21" t="n"/>
      <c r="O56" s="24" t="n"/>
      <c r="P56" s="21" t="n"/>
      <c r="Q56" s="21" t="n"/>
      <c r="R56" s="21" t="n"/>
      <c r="S56" s="21" t="n"/>
      <c r="T56" s="21" t="n"/>
    </row>
    <row r="57">
      <c r="A57" s="20" t="inlineStr">
        <is>
          <t>AUD-043</t>
        </is>
      </c>
      <c r="B57" s="21" t="n"/>
      <c r="C57" s="21" t="n"/>
      <c r="D57" s="21" t="n"/>
      <c r="E57" s="21" t="n"/>
      <c r="F57" s="21" t="n"/>
      <c r="G57" s="21" t="n"/>
      <c r="H57" s="21" t="n"/>
      <c r="I57" s="21" t="n"/>
      <c r="J57" s="21" t="n"/>
      <c r="K57" s="21" t="n"/>
      <c r="L57" s="21" t="n"/>
      <c r="M57" s="21" t="n"/>
      <c r="N57" s="21" t="n"/>
      <c r="O57" s="24" t="n"/>
      <c r="P57" s="21" t="n"/>
      <c r="Q57" s="21" t="n"/>
      <c r="R57" s="21" t="n"/>
      <c r="S57" s="21" t="n"/>
      <c r="T57" s="21" t="n"/>
    </row>
    <row r="58">
      <c r="A58" s="20" t="inlineStr">
        <is>
          <t>AUD-044</t>
        </is>
      </c>
      <c r="B58" s="21" t="n"/>
      <c r="C58" s="21" t="n"/>
      <c r="D58" s="21" t="n"/>
      <c r="E58" s="21" t="n"/>
      <c r="F58" s="21" t="n"/>
      <c r="G58" s="21" t="n"/>
      <c r="H58" s="21" t="n"/>
      <c r="I58" s="21" t="n"/>
      <c r="J58" s="21" t="n"/>
      <c r="K58" s="21" t="n"/>
      <c r="L58" s="21" t="n"/>
      <c r="M58" s="21" t="n"/>
      <c r="N58" s="21" t="n"/>
      <c r="O58" s="24" t="n"/>
      <c r="P58" s="21" t="n"/>
      <c r="Q58" s="21" t="n"/>
      <c r="R58" s="21" t="n"/>
      <c r="S58" s="21" t="n"/>
      <c r="T58" s="21" t="n"/>
    </row>
    <row r="59">
      <c r="A59" s="20" t="inlineStr">
        <is>
          <t>AUD-045</t>
        </is>
      </c>
      <c r="B59" s="21" t="n"/>
      <c r="C59" s="21" t="n"/>
      <c r="D59" s="21" t="n"/>
      <c r="E59" s="21" t="n"/>
      <c r="F59" s="21" t="n"/>
      <c r="G59" s="21" t="n"/>
      <c r="H59" s="21" t="n"/>
      <c r="I59" s="21" t="n"/>
      <c r="J59" s="21" t="n"/>
      <c r="K59" s="21" t="n"/>
      <c r="L59" s="21" t="n"/>
      <c r="M59" s="21" t="n"/>
      <c r="N59" s="21" t="n"/>
      <c r="O59" s="24" t="n"/>
      <c r="P59" s="21" t="n"/>
      <c r="Q59" s="21" t="n"/>
      <c r="R59" s="21" t="n"/>
      <c r="S59" s="21" t="n"/>
      <c r="T59" s="21" t="n"/>
    </row>
    <row r="60">
      <c r="A60" s="20" t="inlineStr">
        <is>
          <t>AUD-046</t>
        </is>
      </c>
      <c r="B60" s="21" t="n"/>
      <c r="C60" s="21" t="n"/>
      <c r="D60" s="21" t="n"/>
      <c r="E60" s="21" t="n"/>
      <c r="F60" s="21" t="n"/>
      <c r="G60" s="21" t="n"/>
      <c r="H60" s="21" t="n"/>
      <c r="I60" s="21" t="n"/>
      <c r="J60" s="21" t="n"/>
      <c r="K60" s="21" t="n"/>
      <c r="L60" s="21" t="n"/>
      <c r="M60" s="21" t="n"/>
      <c r="N60" s="21" t="n"/>
      <c r="O60" s="24" t="n"/>
      <c r="P60" s="21" t="n"/>
      <c r="Q60" s="21" t="n"/>
      <c r="R60" s="21" t="n"/>
      <c r="S60" s="21" t="n"/>
      <c r="T60" s="21" t="n"/>
    </row>
    <row r="61">
      <c r="A61" s="20" t="inlineStr">
        <is>
          <t>AUD-047</t>
        </is>
      </c>
      <c r="B61" s="21" t="n"/>
      <c r="C61" s="21" t="n"/>
      <c r="D61" s="21" t="n"/>
      <c r="E61" s="21" t="n"/>
      <c r="F61" s="21" t="n"/>
      <c r="G61" s="21" t="n"/>
      <c r="H61" s="21" t="n"/>
      <c r="I61" s="21" t="n"/>
      <c r="J61" s="21" t="n"/>
      <c r="K61" s="21" t="n"/>
      <c r="L61" s="21" t="n"/>
      <c r="M61" s="21" t="n"/>
      <c r="N61" s="21" t="n"/>
      <c r="O61" s="24" t="n"/>
      <c r="P61" s="21" t="n"/>
      <c r="Q61" s="21" t="n"/>
      <c r="R61" s="21" t="n"/>
      <c r="S61" s="21" t="n"/>
      <c r="T61" s="21" t="n"/>
    </row>
    <row r="62">
      <c r="A62" s="20" t="inlineStr">
        <is>
          <t>AUD-048</t>
        </is>
      </c>
      <c r="B62" s="21" t="n"/>
      <c r="C62" s="21" t="n"/>
      <c r="D62" s="21" t="n"/>
      <c r="E62" s="21" t="n"/>
      <c r="F62" s="21" t="n"/>
      <c r="G62" s="21" t="n"/>
      <c r="H62" s="21" t="n"/>
      <c r="I62" s="21" t="n"/>
      <c r="J62" s="21" t="n"/>
      <c r="K62" s="21" t="n"/>
      <c r="L62" s="21" t="n"/>
      <c r="M62" s="21" t="n"/>
      <c r="N62" s="21" t="n"/>
      <c r="O62" s="24" t="n"/>
      <c r="P62" s="21" t="n"/>
      <c r="Q62" s="21" t="n"/>
      <c r="R62" s="21" t="n"/>
      <c r="S62" s="21" t="n"/>
      <c r="T62" s="21" t="n"/>
    </row>
    <row r="63">
      <c r="A63" s="20" t="inlineStr">
        <is>
          <t>AUD-049</t>
        </is>
      </c>
      <c r="B63" s="21" t="n"/>
      <c r="C63" s="21" t="n"/>
      <c r="D63" s="21" t="n"/>
      <c r="E63" s="21" t="n"/>
      <c r="F63" s="21" t="n"/>
      <c r="G63" s="21" t="n"/>
      <c r="H63" s="21" t="n"/>
      <c r="I63" s="21" t="n"/>
      <c r="J63" s="21" t="n"/>
      <c r="K63" s="21" t="n"/>
      <c r="L63" s="21" t="n"/>
      <c r="M63" s="21" t="n"/>
      <c r="N63" s="21" t="n"/>
      <c r="O63" s="24" t="n"/>
      <c r="P63" s="21" t="n"/>
      <c r="Q63" s="21" t="n"/>
      <c r="R63" s="21" t="n"/>
      <c r="S63" s="21" t="n"/>
      <c r="T63" s="21" t="n"/>
    </row>
    <row r="64">
      <c r="A64" s="20" t="inlineStr">
        <is>
          <t>AUD-050</t>
        </is>
      </c>
      <c r="B64" s="21" t="n"/>
      <c r="C64" s="21" t="n"/>
      <c r="D64" s="21" t="n"/>
      <c r="E64" s="21" t="n"/>
      <c r="F64" s="21" t="n"/>
      <c r="G64" s="21" t="n"/>
      <c r="H64" s="21" t="n"/>
      <c r="I64" s="21" t="n"/>
      <c r="J64" s="21" t="n"/>
      <c r="K64" s="21" t="n"/>
      <c r="L64" s="21" t="n"/>
      <c r="M64" s="21" t="n"/>
      <c r="N64" s="21" t="n"/>
      <c r="O64" s="24" t="n"/>
      <c r="P64" s="21" t="n"/>
      <c r="Q64" s="21" t="n"/>
      <c r="R64" s="21" t="n"/>
      <c r="S64" s="21" t="n"/>
      <c r="T64" s="21" t="n"/>
    </row>
    <row r="65">
      <c r="A65" s="20" t="inlineStr">
        <is>
          <t>AUD-051</t>
        </is>
      </c>
      <c r="B65" s="21" t="n"/>
      <c r="C65" s="21" t="n"/>
      <c r="D65" s="21" t="n"/>
      <c r="E65" s="21" t="n"/>
      <c r="F65" s="21" t="n"/>
      <c r="G65" s="21" t="n"/>
      <c r="H65" s="21" t="n"/>
      <c r="I65" s="21" t="n"/>
      <c r="J65" s="21" t="n"/>
      <c r="K65" s="21" t="n"/>
      <c r="L65" s="21" t="n"/>
      <c r="M65" s="21" t="n"/>
      <c r="N65" s="21" t="n"/>
      <c r="O65" s="24" t="n"/>
      <c r="P65" s="21" t="n"/>
      <c r="Q65" s="21" t="n"/>
      <c r="R65" s="21" t="n"/>
      <c r="S65" s="21" t="n"/>
      <c r="T65" s="21" t="n"/>
    </row>
    <row r="66">
      <c r="A66" s="20" t="inlineStr">
        <is>
          <t>AUD-052</t>
        </is>
      </c>
      <c r="B66" s="21" t="n"/>
      <c r="C66" s="21" t="n"/>
      <c r="D66" s="21" t="n"/>
      <c r="E66" s="21" t="n"/>
      <c r="F66" s="21" t="n"/>
      <c r="G66" s="21" t="n"/>
      <c r="H66" s="21" t="n"/>
      <c r="I66" s="21" t="n"/>
      <c r="J66" s="21" t="n"/>
      <c r="K66" s="21" t="n"/>
      <c r="L66" s="21" t="n"/>
      <c r="M66" s="21" t="n"/>
      <c r="N66" s="21" t="n"/>
      <c r="O66" s="24" t="n"/>
      <c r="P66" s="21" t="n"/>
      <c r="Q66" s="21" t="n"/>
      <c r="R66" s="21" t="n"/>
      <c r="S66" s="21" t="n"/>
      <c r="T66" s="21" t="n"/>
    </row>
    <row r="67">
      <c r="A67" s="20" t="inlineStr">
        <is>
          <t>AUD-053</t>
        </is>
      </c>
      <c r="B67" s="21" t="n"/>
      <c r="C67" s="21" t="n"/>
      <c r="D67" s="21" t="n"/>
      <c r="E67" s="21" t="n"/>
      <c r="F67" s="21" t="n"/>
      <c r="G67" s="21" t="n"/>
      <c r="H67" s="21" t="n"/>
      <c r="I67" s="21" t="n"/>
      <c r="J67" s="21" t="n"/>
      <c r="K67" s="21" t="n"/>
      <c r="L67" s="21" t="n"/>
      <c r="M67" s="21" t="n"/>
      <c r="N67" s="21" t="n"/>
      <c r="O67" s="24" t="n"/>
      <c r="P67" s="21" t="n"/>
      <c r="Q67" s="21" t="n"/>
      <c r="R67" s="21" t="n"/>
      <c r="S67" s="21" t="n"/>
      <c r="T67" s="21" t="n"/>
    </row>
    <row r="68">
      <c r="A68" s="20" t="inlineStr">
        <is>
          <t>AUD-054</t>
        </is>
      </c>
      <c r="B68" s="21" t="n"/>
      <c r="C68" s="21" t="n"/>
      <c r="D68" s="21" t="n"/>
      <c r="E68" s="21" t="n"/>
      <c r="F68" s="21" t="n"/>
      <c r="G68" s="21" t="n"/>
      <c r="H68" s="21" t="n"/>
      <c r="I68" s="21" t="n"/>
      <c r="J68" s="21" t="n"/>
      <c r="K68" s="21" t="n"/>
      <c r="L68" s="21" t="n"/>
      <c r="M68" s="21" t="n"/>
      <c r="N68" s="21" t="n"/>
      <c r="O68" s="24" t="n"/>
      <c r="P68" s="21" t="n"/>
      <c r="Q68" s="21" t="n"/>
      <c r="R68" s="21" t="n"/>
      <c r="S68" s="21" t="n"/>
      <c r="T68" s="21" t="n"/>
    </row>
    <row r="69">
      <c r="A69" s="20" t="inlineStr">
        <is>
          <t>AUD-055</t>
        </is>
      </c>
      <c r="B69" s="21" t="n"/>
      <c r="C69" s="21" t="n"/>
      <c r="D69" s="21" t="n"/>
      <c r="E69" s="21" t="n"/>
      <c r="F69" s="21" t="n"/>
      <c r="G69" s="21" t="n"/>
      <c r="H69" s="21" t="n"/>
      <c r="I69" s="21" t="n"/>
      <c r="J69" s="21" t="n"/>
      <c r="K69" s="21" t="n"/>
      <c r="L69" s="21" t="n"/>
      <c r="M69" s="21" t="n"/>
      <c r="N69" s="21" t="n"/>
      <c r="O69" s="24" t="n"/>
      <c r="P69" s="21" t="n"/>
      <c r="Q69" s="21" t="n"/>
      <c r="R69" s="21" t="n"/>
      <c r="S69" s="21" t="n"/>
      <c r="T69" s="21" t="n"/>
    </row>
    <row r="70">
      <c r="A70" s="20" t="inlineStr">
        <is>
          <t>AUD-056</t>
        </is>
      </c>
      <c r="B70" s="21" t="n"/>
      <c r="C70" s="21" t="n"/>
      <c r="D70" s="21" t="n"/>
      <c r="E70" s="21" t="n"/>
      <c r="F70" s="21" t="n"/>
      <c r="G70" s="21" t="n"/>
      <c r="H70" s="21" t="n"/>
      <c r="I70" s="21" t="n"/>
      <c r="J70" s="21" t="n"/>
      <c r="K70" s="21" t="n"/>
      <c r="L70" s="21" t="n"/>
      <c r="M70" s="21" t="n"/>
      <c r="N70" s="21" t="n"/>
      <c r="O70" s="24" t="n"/>
      <c r="P70" s="21" t="n"/>
      <c r="Q70" s="21" t="n"/>
      <c r="R70" s="21" t="n"/>
      <c r="S70" s="21" t="n"/>
      <c r="T70" s="21" t="n"/>
    </row>
    <row r="71">
      <c r="A71" s="20" t="inlineStr">
        <is>
          <t>AUD-057</t>
        </is>
      </c>
      <c r="B71" s="21" t="n"/>
      <c r="C71" s="21" t="n"/>
      <c r="D71" s="21" t="n"/>
      <c r="E71" s="21" t="n"/>
      <c r="F71" s="21" t="n"/>
      <c r="G71" s="21" t="n"/>
      <c r="H71" s="21" t="n"/>
      <c r="I71" s="21" t="n"/>
      <c r="J71" s="21" t="n"/>
      <c r="K71" s="21" t="n"/>
      <c r="L71" s="21" t="n"/>
      <c r="M71" s="21" t="n"/>
      <c r="N71" s="21" t="n"/>
      <c r="O71" s="24" t="n"/>
      <c r="P71" s="21" t="n"/>
      <c r="Q71" s="21" t="n"/>
      <c r="R71" s="21" t="n"/>
      <c r="S71" s="21" t="n"/>
      <c r="T71" s="21" t="n"/>
    </row>
    <row r="72">
      <c r="A72" s="20" t="inlineStr">
        <is>
          <t>AUD-058</t>
        </is>
      </c>
      <c r="B72" s="21" t="n"/>
      <c r="C72" s="21" t="n"/>
      <c r="D72" s="21" t="n"/>
      <c r="E72" s="21" t="n"/>
      <c r="F72" s="21" t="n"/>
      <c r="G72" s="21" t="n"/>
      <c r="H72" s="21" t="n"/>
      <c r="I72" s="21" t="n"/>
      <c r="J72" s="21" t="n"/>
      <c r="K72" s="21" t="n"/>
      <c r="L72" s="21" t="n"/>
      <c r="M72" s="21" t="n"/>
      <c r="N72" s="21" t="n"/>
      <c r="O72" s="24" t="n"/>
      <c r="P72" s="21" t="n"/>
      <c r="Q72" s="21" t="n"/>
      <c r="R72" s="21" t="n"/>
      <c r="S72" s="21" t="n"/>
      <c r="T72" s="21" t="n"/>
    </row>
    <row r="73">
      <c r="A73" s="20" t="inlineStr">
        <is>
          <t>AUD-059</t>
        </is>
      </c>
      <c r="B73" s="21" t="n"/>
      <c r="C73" s="21" t="n"/>
      <c r="D73" s="21" t="n"/>
      <c r="E73" s="21" t="n"/>
      <c r="F73" s="21" t="n"/>
      <c r="G73" s="21" t="n"/>
      <c r="H73" s="21" t="n"/>
      <c r="I73" s="21" t="n"/>
      <c r="J73" s="21" t="n"/>
      <c r="K73" s="21" t="n"/>
      <c r="L73" s="21" t="n"/>
      <c r="M73" s="21" t="n"/>
      <c r="N73" s="21" t="n"/>
      <c r="O73" s="24" t="n"/>
      <c r="P73" s="21" t="n"/>
      <c r="Q73" s="21" t="n"/>
      <c r="R73" s="21" t="n"/>
      <c r="S73" s="21" t="n"/>
      <c r="T73" s="21" t="n"/>
    </row>
    <row r="74">
      <c r="A74" s="20" t="inlineStr">
        <is>
          <t>AUD-060</t>
        </is>
      </c>
      <c r="B74" s="21" t="n"/>
      <c r="C74" s="21" t="n"/>
      <c r="D74" s="21" t="n"/>
      <c r="E74" s="21" t="n"/>
      <c r="F74" s="21" t="n"/>
      <c r="G74" s="21" t="n"/>
      <c r="H74" s="21" t="n"/>
      <c r="I74" s="21" t="n"/>
      <c r="J74" s="21" t="n"/>
      <c r="K74" s="21" t="n"/>
      <c r="L74" s="21" t="n"/>
      <c r="M74" s="21" t="n"/>
      <c r="N74" s="21" t="n"/>
      <c r="O74" s="24" t="n"/>
      <c r="P74" s="21" t="n"/>
      <c r="Q74" s="21" t="n"/>
      <c r="R74" s="21" t="n"/>
      <c r="S74" s="21" t="n"/>
      <c r="T74" s="21" t="n"/>
    </row>
    <row r="75">
      <c r="A75" s="20" t="inlineStr">
        <is>
          <t>AUD-061</t>
        </is>
      </c>
      <c r="B75" s="21" t="n"/>
      <c r="C75" s="21" t="n"/>
      <c r="D75" s="21" t="n"/>
      <c r="E75" s="21" t="n"/>
      <c r="F75" s="21" t="n"/>
      <c r="G75" s="21" t="n"/>
      <c r="H75" s="21" t="n"/>
      <c r="I75" s="21" t="n"/>
      <c r="J75" s="21" t="n"/>
      <c r="K75" s="21" t="n"/>
      <c r="L75" s="21" t="n"/>
      <c r="M75" s="21" t="n"/>
      <c r="N75" s="21" t="n"/>
      <c r="O75" s="24" t="n"/>
      <c r="P75" s="21" t="n"/>
      <c r="Q75" s="21" t="n"/>
      <c r="R75" s="21" t="n"/>
      <c r="S75" s="21" t="n"/>
      <c r="T75" s="21" t="n"/>
    </row>
    <row r="76">
      <c r="A76" s="20" t="inlineStr">
        <is>
          <t>AUD-062</t>
        </is>
      </c>
      <c r="B76" s="21" t="n"/>
      <c r="C76" s="21" t="n"/>
      <c r="D76" s="21" t="n"/>
      <c r="E76" s="21" t="n"/>
      <c r="F76" s="21" t="n"/>
      <c r="G76" s="21" t="n"/>
      <c r="H76" s="21" t="n"/>
      <c r="I76" s="21" t="n"/>
      <c r="J76" s="21" t="n"/>
      <c r="K76" s="21" t="n"/>
      <c r="L76" s="21" t="n"/>
      <c r="M76" s="21" t="n"/>
      <c r="N76" s="21" t="n"/>
      <c r="O76" s="24" t="n"/>
      <c r="P76" s="21" t="n"/>
      <c r="Q76" s="21" t="n"/>
      <c r="R76" s="21" t="n"/>
      <c r="S76" s="21" t="n"/>
      <c r="T76" s="21" t="n"/>
    </row>
    <row r="77">
      <c r="A77" s="20" t="inlineStr">
        <is>
          <t>AUD-063</t>
        </is>
      </c>
      <c r="B77" s="21" t="n"/>
      <c r="C77" s="21" t="n"/>
      <c r="D77" s="21" t="n"/>
      <c r="E77" s="21" t="n"/>
      <c r="F77" s="21" t="n"/>
      <c r="G77" s="21" t="n"/>
      <c r="H77" s="21" t="n"/>
      <c r="I77" s="21" t="n"/>
      <c r="J77" s="21" t="n"/>
      <c r="K77" s="21" t="n"/>
      <c r="L77" s="21" t="n"/>
      <c r="M77" s="21" t="n"/>
      <c r="N77" s="21" t="n"/>
      <c r="O77" s="24" t="n"/>
      <c r="P77" s="21" t="n"/>
      <c r="Q77" s="21" t="n"/>
      <c r="R77" s="21" t="n"/>
      <c r="S77" s="21" t="n"/>
      <c r="T77" s="21" t="n"/>
    </row>
    <row r="78">
      <c r="A78" s="20" t="inlineStr">
        <is>
          <t>AUD-064</t>
        </is>
      </c>
      <c r="B78" s="21" t="n"/>
      <c r="C78" s="21" t="n"/>
      <c r="D78" s="21" t="n"/>
      <c r="E78" s="21" t="n"/>
      <c r="F78" s="21" t="n"/>
      <c r="G78" s="21" t="n"/>
      <c r="H78" s="21" t="n"/>
      <c r="I78" s="21" t="n"/>
      <c r="J78" s="21" t="n"/>
      <c r="K78" s="21" t="n"/>
      <c r="L78" s="21" t="n"/>
      <c r="M78" s="21" t="n"/>
      <c r="N78" s="21" t="n"/>
      <c r="O78" s="24" t="n"/>
      <c r="P78" s="21" t="n"/>
      <c r="Q78" s="21" t="n"/>
      <c r="R78" s="21" t="n"/>
      <c r="S78" s="21" t="n"/>
      <c r="T78" s="21" t="n"/>
    </row>
    <row r="79">
      <c r="A79" s="20" t="inlineStr">
        <is>
          <t>AUD-065</t>
        </is>
      </c>
      <c r="B79" s="21" t="n"/>
      <c r="C79" s="21" t="n"/>
      <c r="D79" s="21" t="n"/>
      <c r="E79" s="21" t="n"/>
      <c r="F79" s="21" t="n"/>
      <c r="G79" s="21" t="n"/>
      <c r="H79" s="21" t="n"/>
      <c r="I79" s="21" t="n"/>
      <c r="J79" s="21" t="n"/>
      <c r="K79" s="21" t="n"/>
      <c r="L79" s="21" t="n"/>
      <c r="M79" s="21" t="n"/>
      <c r="N79" s="21" t="n"/>
      <c r="O79" s="24" t="n"/>
      <c r="P79" s="21" t="n"/>
      <c r="Q79" s="21" t="n"/>
      <c r="R79" s="21" t="n"/>
      <c r="S79" s="21" t="n"/>
      <c r="T79" s="21" t="n"/>
    </row>
    <row r="80">
      <c r="A80" s="20" t="inlineStr">
        <is>
          <t>AUD-066</t>
        </is>
      </c>
      <c r="B80" s="21" t="n"/>
      <c r="C80" s="21" t="n"/>
      <c r="D80" s="21" t="n"/>
      <c r="E80" s="21" t="n"/>
      <c r="F80" s="21" t="n"/>
      <c r="G80" s="21" t="n"/>
      <c r="H80" s="21" t="n"/>
      <c r="I80" s="21" t="n"/>
      <c r="J80" s="21" t="n"/>
      <c r="K80" s="21" t="n"/>
      <c r="L80" s="21" t="n"/>
      <c r="M80" s="21" t="n"/>
      <c r="N80" s="21" t="n"/>
      <c r="O80" s="24" t="n"/>
      <c r="P80" s="21" t="n"/>
      <c r="Q80" s="21" t="n"/>
      <c r="R80" s="21" t="n"/>
      <c r="S80" s="21" t="n"/>
      <c r="T80" s="21" t="n"/>
    </row>
    <row r="81">
      <c r="A81" s="20" t="inlineStr">
        <is>
          <t>AUD-067</t>
        </is>
      </c>
      <c r="B81" s="21" t="n"/>
      <c r="C81" s="21" t="n"/>
      <c r="D81" s="21" t="n"/>
      <c r="E81" s="21" t="n"/>
      <c r="F81" s="21" t="n"/>
      <c r="G81" s="21" t="n"/>
      <c r="H81" s="21" t="n"/>
      <c r="I81" s="21" t="n"/>
      <c r="J81" s="21" t="n"/>
      <c r="K81" s="21" t="n"/>
      <c r="L81" s="21" t="n"/>
      <c r="M81" s="21" t="n"/>
      <c r="N81" s="21" t="n"/>
      <c r="O81" s="24" t="n"/>
      <c r="P81" s="21" t="n"/>
      <c r="Q81" s="21" t="n"/>
      <c r="R81" s="21" t="n"/>
      <c r="S81" s="21" t="n"/>
      <c r="T81" s="21" t="n"/>
    </row>
    <row r="82">
      <c r="A82" s="20" t="inlineStr">
        <is>
          <t>AUD-068</t>
        </is>
      </c>
      <c r="B82" s="21" t="n"/>
      <c r="C82" s="21" t="n"/>
      <c r="D82" s="21" t="n"/>
      <c r="E82" s="21" t="n"/>
      <c r="F82" s="21" t="n"/>
      <c r="G82" s="21" t="n"/>
      <c r="H82" s="21" t="n"/>
      <c r="I82" s="21" t="n"/>
      <c r="J82" s="21" t="n"/>
      <c r="K82" s="21" t="n"/>
      <c r="L82" s="21" t="n"/>
      <c r="M82" s="21" t="n"/>
      <c r="N82" s="21" t="n"/>
      <c r="O82" s="24" t="n"/>
      <c r="P82" s="21" t="n"/>
      <c r="Q82" s="21" t="n"/>
      <c r="R82" s="21" t="n"/>
      <c r="S82" s="21" t="n"/>
      <c r="T82" s="21" t="n"/>
    </row>
    <row r="83">
      <c r="A83" s="20" t="inlineStr">
        <is>
          <t>AUD-069</t>
        </is>
      </c>
      <c r="B83" s="21" t="n"/>
      <c r="C83" s="21" t="n"/>
      <c r="D83" s="21" t="n"/>
      <c r="E83" s="21" t="n"/>
      <c r="F83" s="21" t="n"/>
      <c r="G83" s="21" t="n"/>
      <c r="H83" s="21" t="n"/>
      <c r="I83" s="21" t="n"/>
      <c r="J83" s="21" t="n"/>
      <c r="K83" s="21" t="n"/>
      <c r="L83" s="21" t="n"/>
      <c r="M83" s="21" t="n"/>
      <c r="N83" s="21" t="n"/>
      <c r="O83" s="24" t="n"/>
      <c r="P83" s="21" t="n"/>
      <c r="Q83" s="21" t="n"/>
      <c r="R83" s="21" t="n"/>
      <c r="S83" s="21" t="n"/>
      <c r="T83" s="21" t="n"/>
    </row>
    <row r="84">
      <c r="A84" s="20" t="inlineStr">
        <is>
          <t>AUD-070</t>
        </is>
      </c>
      <c r="B84" s="21" t="n"/>
      <c r="C84" s="21" t="n"/>
      <c r="D84" s="21" t="n"/>
      <c r="E84" s="21" t="n"/>
      <c r="F84" s="21" t="n"/>
      <c r="G84" s="21" t="n"/>
      <c r="H84" s="21" t="n"/>
      <c r="I84" s="21" t="n"/>
      <c r="J84" s="21" t="n"/>
      <c r="K84" s="21" t="n"/>
      <c r="L84" s="21" t="n"/>
      <c r="M84" s="21" t="n"/>
      <c r="N84" s="21" t="n"/>
      <c r="O84" s="24" t="n"/>
      <c r="P84" s="21" t="n"/>
      <c r="Q84" s="21" t="n"/>
      <c r="R84" s="21" t="n"/>
      <c r="S84" s="21" t="n"/>
      <c r="T84" s="21" t="n"/>
    </row>
    <row r="85">
      <c r="A85" s="20" t="inlineStr">
        <is>
          <t>AUD-071</t>
        </is>
      </c>
      <c r="B85" s="21" t="n"/>
      <c r="C85" s="21" t="n"/>
      <c r="D85" s="21" t="n"/>
      <c r="E85" s="21" t="n"/>
      <c r="F85" s="21" t="n"/>
      <c r="G85" s="21" t="n"/>
      <c r="H85" s="21" t="n"/>
      <c r="I85" s="21" t="n"/>
      <c r="J85" s="21" t="n"/>
      <c r="K85" s="21" t="n"/>
      <c r="L85" s="21" t="n"/>
      <c r="M85" s="21" t="n"/>
      <c r="N85" s="21" t="n"/>
      <c r="O85" s="24" t="n"/>
      <c r="P85" s="21" t="n"/>
      <c r="Q85" s="21" t="n"/>
      <c r="R85" s="21" t="n"/>
      <c r="S85" s="21" t="n"/>
      <c r="T85" s="21" t="n"/>
    </row>
    <row r="86">
      <c r="A86" s="20" t="inlineStr">
        <is>
          <t>AUD-072</t>
        </is>
      </c>
      <c r="B86" s="21" t="n"/>
      <c r="C86" s="21" t="n"/>
      <c r="D86" s="21" t="n"/>
      <c r="E86" s="21" t="n"/>
      <c r="F86" s="21" t="n"/>
      <c r="G86" s="21" t="n"/>
      <c r="H86" s="21" t="n"/>
      <c r="I86" s="21" t="n"/>
      <c r="J86" s="21" t="n"/>
      <c r="K86" s="21" t="n"/>
      <c r="L86" s="21" t="n"/>
      <c r="M86" s="21" t="n"/>
      <c r="N86" s="21" t="n"/>
      <c r="O86" s="24" t="n"/>
      <c r="P86" s="21" t="n"/>
      <c r="Q86" s="21" t="n"/>
      <c r="R86" s="21" t="n"/>
      <c r="S86" s="21" t="n"/>
      <c r="T86" s="21" t="n"/>
    </row>
    <row r="87">
      <c r="A87" s="20" t="inlineStr">
        <is>
          <t>AUD-073</t>
        </is>
      </c>
      <c r="B87" s="21" t="n"/>
      <c r="C87" s="21" t="n"/>
      <c r="D87" s="21" t="n"/>
      <c r="E87" s="21" t="n"/>
      <c r="F87" s="21" t="n"/>
      <c r="G87" s="21" t="n"/>
      <c r="H87" s="21" t="n"/>
      <c r="I87" s="21" t="n"/>
      <c r="J87" s="21" t="n"/>
      <c r="K87" s="21" t="n"/>
      <c r="L87" s="21" t="n"/>
      <c r="M87" s="21" t="n"/>
      <c r="N87" s="21" t="n"/>
      <c r="O87" s="24" t="n"/>
      <c r="P87" s="21" t="n"/>
      <c r="Q87" s="21" t="n"/>
      <c r="R87" s="21" t="n"/>
      <c r="S87" s="21" t="n"/>
      <c r="T87" s="21" t="n"/>
    </row>
    <row r="88">
      <c r="A88" s="20" t="inlineStr">
        <is>
          <t>AUD-074</t>
        </is>
      </c>
      <c r="B88" s="21" t="n"/>
      <c r="C88" s="21" t="n"/>
      <c r="D88" s="21" t="n"/>
      <c r="E88" s="21" t="n"/>
      <c r="F88" s="21" t="n"/>
      <c r="G88" s="21" t="n"/>
      <c r="H88" s="21" t="n"/>
      <c r="I88" s="21" t="n"/>
      <c r="J88" s="21" t="n"/>
      <c r="K88" s="21" t="n"/>
      <c r="L88" s="21" t="n"/>
      <c r="M88" s="21" t="n"/>
      <c r="N88" s="21" t="n"/>
      <c r="O88" s="24" t="n"/>
      <c r="P88" s="21" t="n"/>
      <c r="Q88" s="21" t="n"/>
      <c r="R88" s="21" t="n"/>
      <c r="S88" s="21" t="n"/>
      <c r="T88" s="21" t="n"/>
    </row>
    <row r="89">
      <c r="A89" s="20" t="inlineStr">
        <is>
          <t>AUD-075</t>
        </is>
      </c>
      <c r="B89" s="21" t="n"/>
      <c r="C89" s="21" t="n"/>
      <c r="D89" s="21" t="n"/>
      <c r="E89" s="21" t="n"/>
      <c r="F89" s="21" t="n"/>
      <c r="G89" s="21" t="n"/>
      <c r="H89" s="21" t="n"/>
      <c r="I89" s="21" t="n"/>
      <c r="J89" s="21" t="n"/>
      <c r="K89" s="21" t="n"/>
      <c r="L89" s="21" t="n"/>
      <c r="M89" s="21" t="n"/>
      <c r="N89" s="21" t="n"/>
      <c r="O89" s="24" t="n"/>
      <c r="P89" s="21" t="n"/>
      <c r="Q89" s="21" t="n"/>
      <c r="R89" s="21" t="n"/>
      <c r="S89" s="21" t="n"/>
      <c r="T89" s="21" t="n"/>
    </row>
    <row r="90">
      <c r="A90" s="20" t="inlineStr">
        <is>
          <t>AUD-076</t>
        </is>
      </c>
      <c r="B90" s="21" t="n"/>
      <c r="C90" s="21" t="n"/>
      <c r="D90" s="21" t="n"/>
      <c r="E90" s="21" t="n"/>
      <c r="F90" s="21" t="n"/>
      <c r="G90" s="21" t="n"/>
      <c r="H90" s="21" t="n"/>
      <c r="I90" s="21" t="n"/>
      <c r="J90" s="21" t="n"/>
      <c r="K90" s="21" t="n"/>
      <c r="L90" s="21" t="n"/>
      <c r="M90" s="21" t="n"/>
      <c r="N90" s="21" t="n"/>
      <c r="O90" s="24" t="n"/>
      <c r="P90" s="21" t="n"/>
      <c r="Q90" s="21" t="n"/>
      <c r="R90" s="21" t="n"/>
      <c r="S90" s="21" t="n"/>
      <c r="T90" s="21" t="n"/>
    </row>
    <row r="91">
      <c r="A91" s="20" t="inlineStr">
        <is>
          <t>AUD-077</t>
        </is>
      </c>
      <c r="B91" s="21" t="n"/>
      <c r="C91" s="21" t="n"/>
      <c r="D91" s="21" t="n"/>
      <c r="E91" s="21" t="n"/>
      <c r="F91" s="21" t="n"/>
      <c r="G91" s="21" t="n"/>
      <c r="H91" s="21" t="n"/>
      <c r="I91" s="21" t="n"/>
      <c r="J91" s="21" t="n"/>
      <c r="K91" s="21" t="n"/>
      <c r="L91" s="21" t="n"/>
      <c r="M91" s="21" t="n"/>
      <c r="N91" s="21" t="n"/>
      <c r="O91" s="24" t="n"/>
      <c r="P91" s="21" t="n"/>
      <c r="Q91" s="21" t="n"/>
      <c r="R91" s="21" t="n"/>
      <c r="S91" s="21" t="n"/>
      <c r="T91" s="21" t="n"/>
    </row>
    <row r="92">
      <c r="A92" s="20" t="inlineStr">
        <is>
          <t>AUD-078</t>
        </is>
      </c>
      <c r="B92" s="21" t="n"/>
      <c r="C92" s="21" t="n"/>
      <c r="D92" s="21" t="n"/>
      <c r="E92" s="21" t="n"/>
      <c r="F92" s="21" t="n"/>
      <c r="G92" s="21" t="n"/>
      <c r="H92" s="21" t="n"/>
      <c r="I92" s="21" t="n"/>
      <c r="J92" s="21" t="n"/>
      <c r="K92" s="21" t="n"/>
      <c r="L92" s="21" t="n"/>
      <c r="M92" s="21" t="n"/>
      <c r="N92" s="21" t="n"/>
      <c r="O92" s="24" t="n"/>
      <c r="P92" s="21" t="n"/>
      <c r="Q92" s="21" t="n"/>
      <c r="R92" s="21" t="n"/>
      <c r="S92" s="21" t="n"/>
      <c r="T92" s="21" t="n"/>
    </row>
    <row r="93">
      <c r="A93" s="20" t="inlineStr">
        <is>
          <t>AUD-079</t>
        </is>
      </c>
      <c r="B93" s="21" t="n"/>
      <c r="C93" s="21" t="n"/>
      <c r="D93" s="21" t="n"/>
      <c r="E93" s="21" t="n"/>
      <c r="F93" s="21" t="n"/>
      <c r="G93" s="21" t="n"/>
      <c r="H93" s="21" t="n"/>
      <c r="I93" s="21" t="n"/>
      <c r="J93" s="21" t="n"/>
      <c r="K93" s="21" t="n"/>
      <c r="L93" s="21" t="n"/>
      <c r="M93" s="21" t="n"/>
      <c r="N93" s="21" t="n"/>
      <c r="O93" s="24" t="n"/>
      <c r="P93" s="21" t="n"/>
      <c r="Q93" s="21" t="n"/>
      <c r="R93" s="21" t="n"/>
      <c r="S93" s="21" t="n"/>
      <c r="T93" s="21" t="n"/>
    </row>
    <row r="94">
      <c r="A94" s="20" t="inlineStr">
        <is>
          <t>AUD-080</t>
        </is>
      </c>
      <c r="B94" s="21" t="n"/>
      <c r="C94" s="21" t="n"/>
      <c r="D94" s="21" t="n"/>
      <c r="E94" s="21" t="n"/>
      <c r="F94" s="21" t="n"/>
      <c r="G94" s="21" t="n"/>
      <c r="H94" s="21" t="n"/>
      <c r="I94" s="21" t="n"/>
      <c r="J94" s="21" t="n"/>
      <c r="K94" s="21" t="n"/>
      <c r="L94" s="21" t="n"/>
      <c r="M94" s="21" t="n"/>
      <c r="N94" s="21" t="n"/>
      <c r="O94" s="24" t="n"/>
      <c r="P94" s="21" t="n"/>
      <c r="Q94" s="21" t="n"/>
      <c r="R94" s="21" t="n"/>
      <c r="S94" s="21" t="n"/>
      <c r="T94" s="21" t="n"/>
    </row>
    <row r="95">
      <c r="A95" s="20" t="inlineStr">
        <is>
          <t>AUD-081</t>
        </is>
      </c>
      <c r="B95" s="21" t="n"/>
      <c r="C95" s="21" t="n"/>
      <c r="D95" s="21" t="n"/>
      <c r="E95" s="21" t="n"/>
      <c r="F95" s="21" t="n"/>
      <c r="G95" s="21" t="n"/>
      <c r="H95" s="21" t="n"/>
      <c r="I95" s="21" t="n"/>
      <c r="J95" s="21" t="n"/>
      <c r="K95" s="21" t="n"/>
      <c r="L95" s="21" t="n"/>
      <c r="M95" s="21" t="n"/>
      <c r="N95" s="21" t="n"/>
      <c r="O95" s="24" t="n"/>
      <c r="P95" s="21" t="n"/>
      <c r="Q95" s="21" t="n"/>
      <c r="R95" s="21" t="n"/>
      <c r="S95" s="21" t="n"/>
      <c r="T95" s="21" t="n"/>
    </row>
    <row r="96">
      <c r="A96" s="20" t="inlineStr">
        <is>
          <t>AUD-082</t>
        </is>
      </c>
      <c r="B96" s="21" t="n"/>
      <c r="C96" s="21" t="n"/>
      <c r="D96" s="21" t="n"/>
      <c r="E96" s="21" t="n"/>
      <c r="F96" s="21" t="n"/>
      <c r="G96" s="21" t="n"/>
      <c r="H96" s="21" t="n"/>
      <c r="I96" s="21" t="n"/>
      <c r="J96" s="21" t="n"/>
      <c r="K96" s="21" t="n"/>
      <c r="L96" s="21" t="n"/>
      <c r="M96" s="21" t="n"/>
      <c r="N96" s="21" t="n"/>
      <c r="O96" s="24" t="n"/>
      <c r="P96" s="21" t="n"/>
      <c r="Q96" s="21" t="n"/>
      <c r="R96" s="21" t="n"/>
      <c r="S96" s="21" t="n"/>
      <c r="T96" s="21" t="n"/>
    </row>
    <row r="97">
      <c r="A97" s="20" t="inlineStr">
        <is>
          <t>AUD-083</t>
        </is>
      </c>
      <c r="B97" s="21" t="n"/>
      <c r="C97" s="21" t="n"/>
      <c r="D97" s="21" t="n"/>
      <c r="E97" s="21" t="n"/>
      <c r="F97" s="21" t="n"/>
      <c r="G97" s="21" t="n"/>
      <c r="H97" s="21" t="n"/>
      <c r="I97" s="21" t="n"/>
      <c r="J97" s="21" t="n"/>
      <c r="K97" s="21" t="n"/>
      <c r="L97" s="21" t="n"/>
      <c r="M97" s="21" t="n"/>
      <c r="N97" s="21" t="n"/>
      <c r="O97" s="24" t="n"/>
      <c r="P97" s="21" t="n"/>
      <c r="Q97" s="21" t="n"/>
      <c r="R97" s="21" t="n"/>
      <c r="S97" s="21" t="n"/>
      <c r="T97" s="21" t="n"/>
    </row>
    <row r="98">
      <c r="A98" s="20" t="inlineStr">
        <is>
          <t>AUD-084</t>
        </is>
      </c>
      <c r="B98" s="21" t="n"/>
      <c r="C98" s="21" t="n"/>
      <c r="D98" s="21" t="n"/>
      <c r="E98" s="21" t="n"/>
      <c r="F98" s="21" t="n"/>
      <c r="G98" s="21" t="n"/>
      <c r="H98" s="21" t="n"/>
      <c r="I98" s="21" t="n"/>
      <c r="J98" s="21" t="n"/>
      <c r="K98" s="21" t="n"/>
      <c r="L98" s="21" t="n"/>
      <c r="M98" s="21" t="n"/>
      <c r="N98" s="21" t="n"/>
      <c r="O98" s="24" t="n"/>
      <c r="P98" s="21" t="n"/>
      <c r="Q98" s="21" t="n"/>
      <c r="R98" s="21" t="n"/>
      <c r="S98" s="21" t="n"/>
      <c r="T98" s="21" t="n"/>
    </row>
    <row r="99">
      <c r="A99" s="20" t="inlineStr">
        <is>
          <t>AUD-085</t>
        </is>
      </c>
      <c r="B99" s="21" t="n"/>
      <c r="C99" s="21" t="n"/>
      <c r="D99" s="21" t="n"/>
      <c r="E99" s="21" t="n"/>
      <c r="F99" s="21" t="n"/>
      <c r="G99" s="21" t="n"/>
      <c r="H99" s="21" t="n"/>
      <c r="I99" s="21" t="n"/>
      <c r="J99" s="21" t="n"/>
      <c r="K99" s="21" t="n"/>
      <c r="L99" s="21" t="n"/>
      <c r="M99" s="21" t="n"/>
      <c r="N99" s="21" t="n"/>
      <c r="O99" s="24" t="n"/>
      <c r="P99" s="21" t="n"/>
      <c r="Q99" s="21" t="n"/>
      <c r="R99" s="21" t="n"/>
      <c r="S99" s="21" t="n"/>
      <c r="T99" s="21" t="n"/>
    </row>
    <row r="100">
      <c r="A100" s="20" t="inlineStr">
        <is>
          <t>AUD-086</t>
        </is>
      </c>
      <c r="B100" s="21" t="n"/>
      <c r="C100" s="21" t="n"/>
      <c r="D100" s="21" t="n"/>
      <c r="E100" s="21" t="n"/>
      <c r="F100" s="21" t="n"/>
      <c r="G100" s="21" t="n"/>
      <c r="H100" s="21" t="n"/>
      <c r="I100" s="21" t="n"/>
      <c r="J100" s="21" t="n"/>
      <c r="K100" s="21" t="n"/>
      <c r="L100" s="21" t="n"/>
      <c r="M100" s="21" t="n"/>
      <c r="N100" s="21" t="n"/>
      <c r="O100" s="24" t="n"/>
      <c r="P100" s="21" t="n"/>
      <c r="Q100" s="21" t="n"/>
      <c r="R100" s="21" t="n"/>
      <c r="S100" s="21" t="n"/>
      <c r="T100" s="21" t="n"/>
    </row>
    <row r="101">
      <c r="A101" s="20" t="inlineStr">
        <is>
          <t>AUD-087</t>
        </is>
      </c>
      <c r="B101" s="21" t="n"/>
      <c r="C101" s="21" t="n"/>
      <c r="D101" s="21" t="n"/>
      <c r="E101" s="21" t="n"/>
      <c r="F101" s="21" t="n"/>
      <c r="G101" s="21" t="n"/>
      <c r="H101" s="21" t="n"/>
      <c r="I101" s="21" t="n"/>
      <c r="J101" s="21" t="n"/>
      <c r="K101" s="21" t="n"/>
      <c r="L101" s="21" t="n"/>
      <c r="M101" s="21" t="n"/>
      <c r="N101" s="21" t="n"/>
      <c r="O101" s="24" t="n"/>
      <c r="P101" s="21" t="n"/>
      <c r="Q101" s="21" t="n"/>
      <c r="R101" s="21" t="n"/>
      <c r="S101" s="21" t="n"/>
      <c r="T101" s="21" t="n"/>
    </row>
    <row r="102">
      <c r="A102" s="20" t="inlineStr">
        <is>
          <t>AUD-088</t>
        </is>
      </c>
      <c r="B102" s="21" t="n"/>
      <c r="C102" s="21" t="n"/>
      <c r="D102" s="21" t="n"/>
      <c r="E102" s="21" t="n"/>
      <c r="F102" s="21" t="n"/>
      <c r="G102" s="21" t="n"/>
      <c r="H102" s="21" t="n"/>
      <c r="I102" s="21" t="n"/>
      <c r="J102" s="21" t="n"/>
      <c r="K102" s="21" t="n"/>
      <c r="L102" s="21" t="n"/>
      <c r="M102" s="21" t="n"/>
      <c r="N102" s="21" t="n"/>
      <c r="O102" s="24" t="n"/>
      <c r="P102" s="21" t="n"/>
      <c r="Q102" s="21" t="n"/>
      <c r="R102" s="21" t="n"/>
      <c r="S102" s="21" t="n"/>
      <c r="T102" s="21" t="n"/>
    </row>
    <row r="103">
      <c r="A103" s="20" t="inlineStr">
        <is>
          <t>AUD-089</t>
        </is>
      </c>
      <c r="B103" s="21" t="n"/>
      <c r="C103" s="21" t="n"/>
      <c r="D103" s="21" t="n"/>
      <c r="E103" s="21" t="n"/>
      <c r="F103" s="21" t="n"/>
      <c r="G103" s="21" t="n"/>
      <c r="H103" s="21" t="n"/>
      <c r="I103" s="21" t="n"/>
      <c r="J103" s="21" t="n"/>
      <c r="K103" s="21" t="n"/>
      <c r="L103" s="21" t="n"/>
      <c r="M103" s="21" t="n"/>
      <c r="N103" s="21" t="n"/>
      <c r="O103" s="24" t="n"/>
      <c r="P103" s="21" t="n"/>
      <c r="Q103" s="21" t="n"/>
      <c r="R103" s="21" t="n"/>
      <c r="S103" s="21" t="n"/>
      <c r="T103" s="21" t="n"/>
    </row>
    <row r="104">
      <c r="A104" s="20" t="inlineStr">
        <is>
          <t>AUD-090</t>
        </is>
      </c>
      <c r="B104" s="21" t="n"/>
      <c r="C104" s="21" t="n"/>
      <c r="D104" s="21" t="n"/>
      <c r="E104" s="21" t="n"/>
      <c r="F104" s="21" t="n"/>
      <c r="G104" s="21" t="n"/>
      <c r="H104" s="21" t="n"/>
      <c r="I104" s="21" t="n"/>
      <c r="J104" s="21" t="n"/>
      <c r="K104" s="21" t="n"/>
      <c r="L104" s="21" t="n"/>
      <c r="M104" s="21" t="n"/>
      <c r="N104" s="21" t="n"/>
      <c r="O104" s="24" t="n"/>
      <c r="P104" s="21" t="n"/>
      <c r="Q104" s="21" t="n"/>
      <c r="R104" s="21" t="n"/>
      <c r="S104" s="21" t="n"/>
      <c r="T104" s="21" t="n"/>
    </row>
    <row r="105">
      <c r="A105" s="20" t="inlineStr">
        <is>
          <t>AUD-091</t>
        </is>
      </c>
      <c r="B105" s="21" t="n"/>
      <c r="C105" s="21" t="n"/>
      <c r="D105" s="21" t="n"/>
      <c r="E105" s="21" t="n"/>
      <c r="F105" s="21" t="n"/>
      <c r="G105" s="21" t="n"/>
      <c r="H105" s="21" t="n"/>
      <c r="I105" s="21" t="n"/>
      <c r="J105" s="21" t="n"/>
      <c r="K105" s="21" t="n"/>
      <c r="L105" s="21" t="n"/>
      <c r="M105" s="21" t="n"/>
      <c r="N105" s="21" t="n"/>
      <c r="O105" s="24" t="n"/>
      <c r="P105" s="21" t="n"/>
      <c r="Q105" s="21" t="n"/>
      <c r="R105" s="21" t="n"/>
      <c r="S105" s="21" t="n"/>
      <c r="T105" s="21" t="n"/>
    </row>
    <row r="106">
      <c r="A106" s="20" t="inlineStr">
        <is>
          <t>AUD-092</t>
        </is>
      </c>
      <c r="B106" s="21" t="n"/>
      <c r="C106" s="21" t="n"/>
      <c r="D106" s="21" t="n"/>
      <c r="E106" s="21" t="n"/>
      <c r="F106" s="21" t="n"/>
      <c r="G106" s="21" t="n"/>
      <c r="H106" s="21" t="n"/>
      <c r="I106" s="21" t="n"/>
      <c r="J106" s="21" t="n"/>
      <c r="K106" s="21" t="n"/>
      <c r="L106" s="21" t="n"/>
      <c r="M106" s="21" t="n"/>
      <c r="N106" s="21" t="n"/>
      <c r="O106" s="24" t="n"/>
      <c r="P106" s="21" t="n"/>
      <c r="Q106" s="21" t="n"/>
      <c r="R106" s="21" t="n"/>
      <c r="S106" s="21" t="n"/>
      <c r="T106" s="21" t="n"/>
    </row>
    <row r="107">
      <c r="A107" s="20" t="inlineStr">
        <is>
          <t>AUD-093</t>
        </is>
      </c>
      <c r="B107" s="21" t="n"/>
      <c r="C107" s="21" t="n"/>
      <c r="D107" s="21" t="n"/>
      <c r="E107" s="21" t="n"/>
      <c r="F107" s="21" t="n"/>
      <c r="G107" s="21" t="n"/>
      <c r="H107" s="21" t="n"/>
      <c r="I107" s="21" t="n"/>
      <c r="J107" s="21" t="n"/>
      <c r="K107" s="21" t="n"/>
      <c r="L107" s="21" t="n"/>
      <c r="M107" s="21" t="n"/>
      <c r="N107" s="21" t="n"/>
      <c r="O107" s="24" t="n"/>
      <c r="P107" s="21" t="n"/>
      <c r="Q107" s="21" t="n"/>
      <c r="R107" s="21" t="n"/>
      <c r="S107" s="21" t="n"/>
      <c r="T107" s="21" t="n"/>
    </row>
    <row r="108">
      <c r="A108" s="20" t="inlineStr">
        <is>
          <t>AUD-094</t>
        </is>
      </c>
      <c r="B108" s="21" t="n"/>
      <c r="C108" s="21" t="n"/>
      <c r="D108" s="21" t="n"/>
      <c r="E108" s="21" t="n"/>
      <c r="F108" s="21" t="n"/>
      <c r="G108" s="21" t="n"/>
      <c r="H108" s="21" t="n"/>
      <c r="I108" s="21" t="n"/>
      <c r="J108" s="21" t="n"/>
      <c r="K108" s="21" t="n"/>
      <c r="L108" s="21" t="n"/>
      <c r="M108" s="21" t="n"/>
      <c r="N108" s="21" t="n"/>
      <c r="O108" s="24" t="n"/>
      <c r="P108" s="21" t="n"/>
      <c r="Q108" s="21" t="n"/>
      <c r="R108" s="21" t="n"/>
      <c r="S108" s="21" t="n"/>
      <c r="T108" s="21" t="n"/>
    </row>
    <row r="109">
      <c r="A109" s="20" t="inlineStr">
        <is>
          <t>AUD-095</t>
        </is>
      </c>
      <c r="B109" s="21" t="n"/>
      <c r="C109" s="21" t="n"/>
      <c r="D109" s="21" t="n"/>
      <c r="E109" s="21" t="n"/>
      <c r="F109" s="21" t="n"/>
      <c r="G109" s="21" t="n"/>
      <c r="H109" s="21" t="n"/>
      <c r="I109" s="21" t="n"/>
      <c r="J109" s="21" t="n"/>
      <c r="K109" s="21" t="n"/>
      <c r="L109" s="21" t="n"/>
      <c r="M109" s="21" t="n"/>
      <c r="N109" s="21" t="n"/>
      <c r="O109" s="24" t="n"/>
      <c r="P109" s="21" t="n"/>
      <c r="Q109" s="21" t="n"/>
      <c r="R109" s="21" t="n"/>
      <c r="S109" s="21" t="n"/>
      <c r="T109" s="21" t="n"/>
    </row>
    <row r="110">
      <c r="A110" s="20" t="inlineStr">
        <is>
          <t>AUD-096</t>
        </is>
      </c>
      <c r="B110" s="21" t="n"/>
      <c r="C110" s="21" t="n"/>
      <c r="D110" s="21" t="n"/>
      <c r="E110" s="21" t="n"/>
      <c r="F110" s="21" t="n"/>
      <c r="G110" s="21" t="n"/>
      <c r="H110" s="21" t="n"/>
      <c r="I110" s="21" t="n"/>
      <c r="J110" s="21" t="n"/>
      <c r="K110" s="21" t="n"/>
      <c r="L110" s="21" t="n"/>
      <c r="M110" s="21" t="n"/>
      <c r="N110" s="21" t="n"/>
      <c r="O110" s="24" t="n"/>
      <c r="P110" s="21" t="n"/>
      <c r="Q110" s="21" t="n"/>
      <c r="R110" s="21" t="n"/>
      <c r="S110" s="21" t="n"/>
      <c r="T110" s="21" t="n"/>
    </row>
    <row r="111">
      <c r="A111" s="20" t="inlineStr">
        <is>
          <t>AUD-097</t>
        </is>
      </c>
      <c r="B111" s="21" t="n"/>
      <c r="C111" s="21" t="n"/>
      <c r="D111" s="21" t="n"/>
      <c r="E111" s="21" t="n"/>
      <c r="F111" s="21" t="n"/>
      <c r="G111" s="21" t="n"/>
      <c r="H111" s="21" t="n"/>
      <c r="I111" s="21" t="n"/>
      <c r="J111" s="21" t="n"/>
      <c r="K111" s="21" t="n"/>
      <c r="L111" s="21" t="n"/>
      <c r="M111" s="21" t="n"/>
      <c r="N111" s="21" t="n"/>
      <c r="O111" s="24" t="n"/>
      <c r="P111" s="21" t="n"/>
      <c r="Q111" s="21" t="n"/>
      <c r="R111" s="21" t="n"/>
      <c r="S111" s="21" t="n"/>
      <c r="T111" s="21" t="n"/>
    </row>
    <row r="112">
      <c r="A112" s="20" t="inlineStr">
        <is>
          <t>AUD-098</t>
        </is>
      </c>
      <c r="B112" s="21" t="n"/>
      <c r="C112" s="21" t="n"/>
      <c r="D112" s="21" t="n"/>
      <c r="E112" s="21" t="n"/>
      <c r="F112" s="21" t="n"/>
      <c r="G112" s="21" t="n"/>
      <c r="H112" s="21" t="n"/>
      <c r="I112" s="21" t="n"/>
      <c r="J112" s="21" t="n"/>
      <c r="K112" s="21" t="n"/>
      <c r="L112" s="21" t="n"/>
      <c r="M112" s="21" t="n"/>
      <c r="N112" s="21" t="n"/>
      <c r="O112" s="24" t="n"/>
      <c r="P112" s="21" t="n"/>
      <c r="Q112" s="21" t="n"/>
      <c r="R112" s="21" t="n"/>
      <c r="S112" s="21" t="n"/>
      <c r="T112" s="21" t="n"/>
    </row>
    <row r="113">
      <c r="A113" s="20" t="inlineStr">
        <is>
          <t>AUD-099</t>
        </is>
      </c>
      <c r="B113" s="21" t="n"/>
      <c r="C113" s="21" t="n"/>
      <c r="D113" s="21" t="n"/>
      <c r="E113" s="21" t="n"/>
      <c r="F113" s="21" t="n"/>
      <c r="G113" s="21" t="n"/>
      <c r="H113" s="21" t="n"/>
      <c r="I113" s="21" t="n"/>
      <c r="J113" s="21" t="n"/>
      <c r="K113" s="21" t="n"/>
      <c r="L113" s="21" t="n"/>
      <c r="M113" s="21" t="n"/>
      <c r="N113" s="21" t="n"/>
      <c r="O113" s="24" t="n"/>
      <c r="P113" s="21" t="n"/>
      <c r="Q113" s="21" t="n"/>
      <c r="R113" s="21" t="n"/>
      <c r="S113" s="21" t="n"/>
      <c r="T113" s="21" t="n"/>
    </row>
    <row r="114">
      <c r="A114" s="20" t="inlineStr">
        <is>
          <t>AUD-100</t>
        </is>
      </c>
      <c r="B114" s="21" t="n"/>
      <c r="C114" s="21" t="n"/>
      <c r="D114" s="21" t="n"/>
      <c r="E114" s="21" t="n"/>
      <c r="F114" s="21" t="n"/>
      <c r="G114" s="21" t="n"/>
      <c r="H114" s="21" t="n"/>
      <c r="I114" s="21" t="n"/>
      <c r="J114" s="21" t="n"/>
      <c r="K114" s="21" t="n"/>
      <c r="L114" s="21" t="n"/>
      <c r="M114" s="21" t="n"/>
      <c r="N114" s="21" t="n"/>
      <c r="O114" s="24" t="n"/>
      <c r="P114" s="21" t="n"/>
      <c r="Q114" s="21" t="n"/>
      <c r="R114" s="21" t="n"/>
      <c r="S114" s="21" t="n"/>
      <c r="T114" s="21" t="n"/>
    </row>
  </sheetData>
  <mergeCells count="2">
    <mergeCell ref="A1:T1"/>
    <mergeCell ref="A13:T13"/>
  </mergeCells>
  <dataValidations count="4">
    <dataValidation sqref="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"Internal,External,Self-Assessment,Vendor,Regulatory,Penetration Test,Compliance Scan"</formula1>
    </dataValidation>
    <dataValidation sqref="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"All,Data Transmission,Data Storage,Authentication,Key Management"</formula1>
    </dataValidation>
    <dataValidation sqref="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showDropDown="0" showInputMessage="0" showErrorMessage="0" allowBlank="0" type="list">
      <formula1>"Yes,No"</formula1>
    </dataValidation>
    <dataValidation sqref="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howDropDown="0" showInputMessage="0" showErrorMessage="0" allowBlank="0" type="list">
      <formula1>"Scheduled,In Progress,Complete,Follow-up Required"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Dashboard Summary</t>
        </is>
      </c>
    </row>
    <row r="4">
      <c r="A4" s="3" t="inlineStr">
        <is>
          <t>Assessment Document</t>
        </is>
      </c>
      <c r="B4" s="4" t="inlineStr">
        <is>
          <t>ISMS-IMP-A.8.24.5 - Compliance Summary Dashboard</t>
        </is>
      </c>
    </row>
    <row r="5">
      <c r="A5" s="3" t="inlineStr">
        <is>
          <t>Assessment Period</t>
        </is>
      </c>
      <c r="B5" s="4" t="inlineStr"/>
    </row>
    <row r="6">
      <c r="A6" s="3" t="inlineStr">
        <is>
          <t>Portfolio Compliance (Average)</t>
        </is>
      </c>
      <c r="B6" s="9">
        <f>'Executive Dashboard'!C29</f>
        <v/>
      </c>
    </row>
    <row r="7">
      <c r="A7" s="3" t="inlineStr">
        <is>
          <t>Dashboard Status</t>
        </is>
      </c>
      <c r="B7" s="4" t="inlineStr"/>
    </row>
    <row r="10">
      <c r="A10" s="27" t="inlineStr">
        <is>
          <t>ASSESSMENT COMPLETED BY</t>
        </is>
      </c>
    </row>
    <row r="11">
      <c r="A11" s="3" t="inlineStr">
        <is>
          <t>Name:</t>
        </is>
      </c>
      <c r="B11" s="4" t="n"/>
    </row>
    <row r="12">
      <c r="A12" s="3" t="inlineStr">
        <is>
          <t>Role/Title:</t>
        </is>
      </c>
      <c r="B12" s="4" t="n"/>
    </row>
    <row r="13">
      <c r="A13" s="3" t="inlineStr">
        <is>
          <t>Department:</t>
        </is>
      </c>
      <c r="B13" s="4" t="n"/>
    </row>
    <row r="14">
      <c r="A14" s="3" t="inlineStr">
        <is>
          <t>Email:</t>
        </is>
      </c>
      <c r="B14" s="4" t="n"/>
    </row>
    <row r="15">
      <c r="A15" s="3" t="inlineStr">
        <is>
          <t>Date:</t>
        </is>
      </c>
      <c r="B15" s="4" t="n"/>
    </row>
    <row r="18">
      <c r="A18" s="27" t="inlineStr">
        <is>
          <t>REVIEWED BY (INFORMATION SECURITY OFFICER)</t>
        </is>
      </c>
    </row>
    <row r="19">
      <c r="A19" s="3" t="inlineStr">
        <is>
          <t>Name:</t>
        </is>
      </c>
      <c r="B19" s="4" t="n"/>
    </row>
    <row r="20">
      <c r="A20" s="3" t="inlineStr">
        <is>
          <t>Date:</t>
        </is>
      </c>
      <c r="B20" s="4" t="n"/>
    </row>
    <row r="21">
      <c r="A21" s="3" t="inlineStr">
        <is>
          <t>Review Notes:</t>
        </is>
      </c>
      <c r="B21" s="4" t="n"/>
    </row>
    <row r="24">
      <c r="A24" s="28" t="inlineStr">
        <is>
          <t>APPROVED BY (CISO)</t>
        </is>
      </c>
    </row>
    <row r="25">
      <c r="A25" s="3" t="inlineStr">
        <is>
          <t>Name:</t>
        </is>
      </c>
      <c r="B25" s="4" t="n"/>
    </row>
    <row r="26">
      <c r="A26" s="3" t="inlineStr">
        <is>
          <t>Date:</t>
        </is>
      </c>
      <c r="B26" s="4" t="n"/>
    </row>
    <row r="27">
      <c r="A27" s="3" t="inlineStr">
        <is>
          <t>Approval Decision:</t>
        </is>
      </c>
      <c r="B27" s="4" t="n"/>
    </row>
    <row r="28">
      <c r="A28" s="3" t="inlineStr">
        <is>
          <t>Conditions/Notes:</t>
        </is>
      </c>
      <c r="B28" s="4" t="n"/>
    </row>
    <row r="31">
      <c r="A31" s="10" t="inlineStr">
        <is>
          <t>NEXT REVIEW DETAILS</t>
        </is>
      </c>
    </row>
    <row r="32">
      <c r="A32" s="3" t="inlineStr">
        <is>
          <t>Next Review Date:</t>
        </is>
      </c>
      <c r="B32" s="4" t="n"/>
    </row>
    <row r="33">
      <c r="A33" s="3" t="inlineStr">
        <is>
          <t>Review Responsible:</t>
        </is>
      </c>
      <c r="B33" s="4" t="n"/>
    </row>
    <row r="34">
      <c r="A34" s="3" t="inlineStr">
        <is>
          <t>Special Considerations:</t>
        </is>
      </c>
      <c r="B34" s="4" t="n"/>
    </row>
  </sheetData>
  <mergeCells count="20">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 ref="B19:E19"/>
    <mergeCell ref="A31:E31"/>
    <mergeCell ref="B28:E28"/>
    <mergeCell ref="B34:E3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2026-01-31T02:16:42Z</dcterms:created>
  <dcterms:modified xmlns:dcterms="http://purl.org/dc/terms/" xmlns:xsi="http://www.w3.org/2001/XMLSchema-instance" xsi:type="dcterms:W3CDTF">2026-01-31T02:16:43Z</dcterms:modified>
</cp:coreProperties>
</file>