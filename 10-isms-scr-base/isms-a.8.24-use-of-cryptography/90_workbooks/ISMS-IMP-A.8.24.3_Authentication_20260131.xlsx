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2" borderId="0" applyAlignment="1" pivotButton="0" quotePrefix="0" xfId="0">
      <alignment horizontal="center" vertical="center"/>
    </xf>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wrapText="1"/>
    </xf>
    <xf numFmtId="0" fontId="1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Assessment
ISO/IEC 27001:2022 - Control A.8.24: Use of Cryptography</t>
        </is>
      </c>
    </row>
    <row r="3">
      <c r="A3" s="2" t="inlineStr">
        <is>
          <t>Document Information</t>
        </is>
      </c>
    </row>
    <row r="4">
      <c r="A4" s="3" t="inlineStr">
        <is>
          <t>Document ID</t>
        </is>
      </c>
      <c r="B4" t="inlineStr">
        <is>
          <t>ISMS-IMP-A.8.24.3</t>
        </is>
      </c>
    </row>
    <row r="5">
      <c r="A5" s="3" t="inlineStr">
        <is>
          <t>Assessment Area</t>
        </is>
      </c>
      <c r="B5" t="inlineStr">
        <is>
          <t>Authentication Cryptographic Controls</t>
        </is>
      </c>
    </row>
    <row r="6">
      <c r="A6" s="3" t="inlineStr">
        <is>
          <t>Related Policy</t>
        </is>
      </c>
      <c r="B6" t="inlineStr">
        <is>
          <t>ISMS-POL-A.8.24-S2.5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(1–5) for applicable authentication methods</t>
        </is>
      </c>
    </row>
    <row r="15">
      <c r="A15" t="inlineStr">
        <is>
          <t>2. Use dropdown menus for standardized entries (Status, Auth Method, Algorithm, etc.)</t>
        </is>
      </c>
    </row>
    <row r="16">
      <c r="A16" t="inlineStr">
        <is>
          <t>3. Fill in yellow-highlighted cells with your information</t>
        </is>
      </c>
    </row>
    <row r="17">
      <c r="A17" t="inlineStr">
        <is>
          <t>4. If Status = Partial or Non-Compliant, complete the Exception/Deviation section</t>
        </is>
      </c>
    </row>
    <row r="18">
      <c r="A18" t="inlineStr">
        <is>
          <t>5. Document password policies, MFA implementations, certificate usage, and SSO configurations</t>
        </is>
      </c>
    </row>
    <row r="19">
      <c r="A19" t="inlineStr">
        <is>
          <t>6. Provide evidence location/path for each implementation entry</t>
        </is>
      </c>
    </row>
    <row r="20">
      <c r="A20" t="inlineStr">
        <is>
          <t>7. Summary Dashboard auto-calculates compliance statistics per authentication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Password policy documentation</t>
        </is>
      </c>
    </row>
    <row r="34">
      <c r="A34" t="inlineStr">
        <is>
          <t>✓ Active Directory Group Policy Objects (GPO)</t>
        </is>
      </c>
    </row>
    <row r="35">
      <c r="A35" t="inlineStr">
        <is>
          <t>✓ MFA enrollment reports</t>
        </is>
      </c>
    </row>
    <row r="36">
      <c r="A36" t="inlineStr">
        <is>
          <t>✓ Certificate authority configurations</t>
        </is>
      </c>
    </row>
    <row r="37">
      <c r="A37" t="inlineStr">
        <is>
          <t>✓ PKI infrastructure documentation</t>
        </is>
      </c>
    </row>
    <row r="38">
      <c r="A38" t="inlineStr">
        <is>
          <t>✓ SSO/SAML configuration screenshots</t>
        </is>
      </c>
    </row>
    <row r="39">
      <c r="A39" t="inlineStr">
        <is>
          <t>✓ Identity provider (IdP) settings</t>
        </is>
      </c>
    </row>
    <row r="40">
      <c r="A40" t="inlineStr">
        <is>
          <t>✓ Service account inventory</t>
        </is>
      </c>
    </row>
    <row r="41">
      <c r="A41" t="inlineStr">
        <is>
          <t>✓ Authentication logs and audit trails</t>
        </is>
      </c>
    </row>
    <row r="42">
      <c r="A42" t="inlineStr">
        <is>
          <t>✓ Password hash algorithm verification</t>
        </is>
      </c>
    </row>
    <row r="43">
      <c r="A43" t="inlineStr">
        <is>
          <t>✓ Account lockout policy screenshots</t>
        </is>
      </c>
    </row>
    <row r="44">
      <c r="A44" t="inlineStr">
        <is>
          <t>✓ MFA bypass exception approvals</t>
        </is>
      </c>
    </row>
    <row r="45">
      <c r="A45" t="inlineStr">
        <is>
          <t>✓ Federation trust relationships</t>
        </is>
      </c>
    </row>
    <row r="46">
      <c r="A46" t="inlineStr">
        <is>
          <t>✓ Privilege access management (PAM)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40" customHeight="1">
      <c r="A1" s="1" t="inlineStr">
        <is>
          <t>1. PASSWORD SECURITY - PASSWORD AUTHENTICATION CONTROLS
Policy Requirement: Passwords MUST be hashed using approved algorithms (bcrypt, Argon2, PBKDF2, scrypt). Minimum 12 characters, complexity requirements enforced (Policy Section 2.5.1)</t>
        </is>
      </c>
    </row>
    <row r="3" ht="30" customHeight="1">
      <c r="A3" s="11" t="inlineStr">
        <is>
          <t>Does your organization use password-based authentication for any systems or applications?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Min Password Length</t>
        </is>
      </c>
      <c r="S6" s="5" t="inlineStr">
        <is>
          <t>Complexity Enforced</t>
        </is>
      </c>
      <c r="T6" s="5" t="inlineStr">
        <is>
          <t>Password Expiry</t>
        </is>
      </c>
      <c r="U6" s="5" t="inlineStr">
        <is>
          <t>Password History</t>
        </is>
      </c>
      <c r="V6" s="5" t="inlineStr">
        <is>
          <t>Account Lockout</t>
        </is>
      </c>
      <c r="W6" s="5" t="inlineStr">
        <is>
          <t>Password Strength Meter</t>
        </is>
      </c>
      <c r="X6" s="5" t="inlineStr">
        <is>
          <t>Default Passwords</t>
        </is>
      </c>
    </row>
    <row r="7">
      <c r="A7" s="12" t="inlineStr">
        <is>
          <t>Example: Production HR System - Workday</t>
        </is>
      </c>
      <c r="B7" s="12" t="inlineStr">
        <is>
          <t>Password</t>
        </is>
      </c>
      <c r="C7" s="12" t="inlineStr">
        <is>
          <t>End User</t>
        </is>
      </c>
      <c r="D7" s="12" t="inlineStr">
        <is>
          <t>Confidential</t>
        </is>
      </c>
      <c r="E7" s="12" t="inlineStr">
        <is>
          <t>bcrypt</t>
        </is>
      </c>
      <c r="F7" s="12" t="inlineStr">
        <is>
          <t>Properly Hashed</t>
        </is>
      </c>
      <c r="G7" s="12" t="inlineStr">
        <is>
          <t>Strong (≥14 chars)</t>
        </is>
      </c>
      <c r="H7" s="12" t="inlineStr">
        <is>
          <t>✅ Compliant</t>
        </is>
      </c>
      <c r="I7" s="12" t="inlineStr">
        <is>
          <t>/evidence/auth/workday-password-policy.pdf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≥14 chars</t>
        </is>
      </c>
      <c r="S7" s="12" t="inlineStr">
        <is>
          <t>Yes</t>
        </is>
      </c>
      <c r="T7" s="12" t="inlineStr">
        <is>
          <t>90 days</t>
        </is>
      </c>
      <c r="U7" s="12" t="inlineStr">
        <is>
          <t>≥10 passwords</t>
        </is>
      </c>
      <c r="V7" s="12" t="inlineStr">
        <is>
          <t>Yes</t>
        </is>
      </c>
      <c r="W7" s="12" t="inlineStr">
        <is>
          <t>Yes</t>
        </is>
      </c>
      <c r="X7" s="12" t="inlineStr">
        <is>
          <t>Changed</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1. PASSWORD SECURITY CHECKLIST</t>
        </is>
      </c>
    </row>
    <row r="23">
      <c r="A23" s="3" t="inlineStr">
        <is>
          <t>☐</t>
        </is>
      </c>
      <c r="B23" s="3" t="inlineStr">
        <is>
          <t>Requirement</t>
        </is>
      </c>
      <c r="C23" s="3" t="inlineStr">
        <is>
          <t>Status</t>
        </is>
      </c>
    </row>
    <row r="24">
      <c r="A24" t="inlineStr">
        <is>
          <t>☐</t>
        </is>
      </c>
      <c r="B24" t="inlineStr">
        <is>
          <t>Passwords hashed with approved algorithm (bcrypt, Argon2, PBKDF2, scrypt)</t>
        </is>
      </c>
      <c r="C24" s="4" t="n"/>
    </row>
    <row r="25">
      <c r="A25" t="inlineStr">
        <is>
          <t>☐</t>
        </is>
      </c>
      <c r="B25" t="inlineStr">
        <is>
          <t>Passwords NOT stored in plaintext anywhere</t>
        </is>
      </c>
      <c r="C25" s="4" t="n"/>
    </row>
    <row r="26">
      <c r="A26" t="inlineStr">
        <is>
          <t>☐</t>
        </is>
      </c>
      <c r="B26" t="inlineStr">
        <is>
          <t>Passwords NOT stored with reversible encryption</t>
        </is>
      </c>
      <c r="C26" s="4" t="n"/>
    </row>
    <row r="27">
      <c r="A27" t="inlineStr">
        <is>
          <t>☐</t>
        </is>
      </c>
      <c r="B27" t="inlineStr">
        <is>
          <t>Password hashes salted (unique salt per user)</t>
        </is>
      </c>
      <c r="C27" s="4" t="n"/>
    </row>
    <row r="28">
      <c r="A28" t="inlineStr">
        <is>
          <t>☐</t>
        </is>
      </c>
      <c r="B28" t="inlineStr">
        <is>
          <t>Minimum password length ≥12 characters</t>
        </is>
      </c>
      <c r="C28" s="4" t="n"/>
    </row>
    <row r="29">
      <c r="A29" t="inlineStr">
        <is>
          <t>☐</t>
        </is>
      </c>
      <c r="B29" t="inlineStr">
        <is>
          <t>Recommended password length ≥14 characters</t>
        </is>
      </c>
      <c r="C29" s="4" t="n"/>
    </row>
    <row r="30">
      <c r="A30" t="inlineStr">
        <is>
          <t>☐</t>
        </is>
      </c>
      <c r="B30" t="inlineStr">
        <is>
          <t>Complexity requirements enforced (uppercase, lowercase, numbers, symbols)</t>
        </is>
      </c>
      <c r="C30" s="4" t="n"/>
    </row>
    <row r="31">
      <c r="A31" t="inlineStr">
        <is>
          <t>☐</t>
        </is>
      </c>
      <c r="B31" t="inlineStr">
        <is>
          <t>Password expiration policy: 90 days maximum (or risk-based)</t>
        </is>
      </c>
      <c r="C31" s="4" t="n"/>
    </row>
    <row r="32">
      <c r="A32" t="inlineStr">
        <is>
          <t>☐</t>
        </is>
      </c>
      <c r="B32" t="inlineStr">
        <is>
          <t>Password history enforced (minimum 10 previous passwords)</t>
        </is>
      </c>
      <c r="C32" s="4" t="n"/>
    </row>
    <row r="33">
      <c r="A33" t="inlineStr">
        <is>
          <t>☐</t>
        </is>
      </c>
      <c r="B33" t="inlineStr">
        <is>
          <t>Account lockout after failed attempts (5-10 attempts)</t>
        </is>
      </c>
      <c r="C33" s="4" t="n"/>
    </row>
    <row r="34">
      <c r="A34" t="inlineStr">
        <is>
          <t>☐</t>
        </is>
      </c>
      <c r="B34" t="inlineStr">
        <is>
          <t>Lockout duration or CAPTCHA implemented</t>
        </is>
      </c>
      <c r="C34" s="4" t="n"/>
    </row>
    <row r="35">
      <c r="A35" t="inlineStr">
        <is>
          <t>☐</t>
        </is>
      </c>
      <c r="B35" t="inlineStr">
        <is>
          <t>Common/weak passwords blocked (breach database check)</t>
        </is>
      </c>
      <c r="C35" s="4" t="n"/>
    </row>
    <row r="36">
      <c r="A36" t="inlineStr">
        <is>
          <t>☐</t>
        </is>
      </c>
      <c r="B36" t="inlineStr">
        <is>
          <t>Default/vendor passwords changed before production</t>
        </is>
      </c>
      <c r="C36" s="4" t="n"/>
    </row>
    <row r="37">
      <c r="A37" t="inlineStr">
        <is>
          <t>☐</t>
        </is>
      </c>
      <c r="B37" t="inlineStr">
        <is>
          <t>Password strength meter provided to users</t>
        </is>
      </c>
      <c r="C37" s="4" t="n"/>
    </row>
    <row r="38">
      <c r="A38" t="inlineStr">
        <is>
          <t>☐</t>
        </is>
      </c>
      <c r="B38" t="inlineStr">
        <is>
          <t>Password reset process secure (no email plaintext passwords)</t>
        </is>
      </c>
      <c r="C38" s="4" t="n"/>
    </row>
    <row r="39">
      <c r="A39" t="inlineStr">
        <is>
          <t>☐</t>
        </is>
      </c>
      <c r="B39" t="inlineStr">
        <is>
          <t>Temporary passwords expire after first use</t>
        </is>
      </c>
      <c r="C39" s="4" t="n"/>
    </row>
    <row r="40">
      <c r="A40" t="inlineStr">
        <is>
          <t>☐</t>
        </is>
      </c>
      <c r="B40" t="inlineStr">
        <is>
          <t>Passwords not displayed during entry (masked)</t>
        </is>
      </c>
      <c r="C40" s="4" t="n"/>
    </row>
    <row r="41">
      <c r="A41" t="inlineStr">
        <is>
          <t>☐</t>
        </is>
      </c>
      <c r="B41" t="inlineStr">
        <is>
          <t>Failed login attempts logged</t>
        </is>
      </c>
      <c r="C41" s="4" t="n"/>
    </row>
    <row r="42">
      <c r="A42" t="inlineStr">
        <is>
          <t>☐</t>
        </is>
      </c>
      <c r="B42" t="inlineStr">
        <is>
          <t>Password policy documented and communicated</t>
        </is>
      </c>
      <c r="C42" s="4" t="n"/>
    </row>
    <row r="43">
      <c r="A43" t="inlineStr">
        <is>
          <t>☐</t>
        </is>
      </c>
      <c r="B43" t="inlineStr">
        <is>
          <t>Privileged accounts require stronger passwords (≥14 characters)</t>
        </is>
      </c>
      <c r="C43" s="4" t="n"/>
    </row>
    <row r="44">
      <c r="A44" s="3" t="inlineStr">
        <is>
          <t>Checklist Score:</t>
        </is>
      </c>
      <c r="B44" s="15">
        <f>COUNTIF(C24:C43,"Yes")/COUNTA(C24:C43)*100&amp;"%"</f>
        <v/>
      </c>
    </row>
    <row r="46">
      <c r="A46" s="14" t="inlineStr">
        <is>
          <t>APPROVED PASSWORD HASHING ALGORITHMS</t>
        </is>
      </c>
    </row>
    <row r="47">
      <c r="A47" s="5" t="inlineStr">
        <is>
          <t>Algorithm</t>
        </is>
      </c>
      <c r="B47" s="5" t="inlineStr">
        <is>
          <t>Work Factor</t>
        </is>
      </c>
      <c r="C47" s="5" t="inlineStr">
        <is>
          <t>Salt Required</t>
        </is>
      </c>
      <c r="D47" s="5" t="inlineStr">
        <is>
          <t>Security Level</t>
        </is>
      </c>
      <c r="E47" s="5"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4" t="inlineStr">
        <is>
          <t>PASSWORD COMPLEXITY STANDARDS</t>
        </is>
      </c>
    </row>
    <row r="54">
      <c r="A54" s="5" t="inlineStr">
        <is>
          <t>Account Type</t>
        </is>
      </c>
      <c r="B54" s="5" t="inlineStr">
        <is>
          <t>Min Length</t>
        </is>
      </c>
      <c r="C54" s="5" t="inlineStr">
        <is>
          <t>Complexity</t>
        </is>
      </c>
      <c r="D54" s="5" t="inlineStr">
        <is>
          <t>Expiry</t>
        </is>
      </c>
      <c r="E54" s="5"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16" t="inlineStr">
        <is>
          <t>EXCEPTION / DEVIATION DOCUMENTATION (Complete if Status = Partial or Non-Compliant)</t>
        </is>
      </c>
    </row>
    <row r="62">
      <c r="A62" s="3" t="inlineStr">
        <is>
          <t>Formal exception request submitted:</t>
        </is>
      </c>
      <c r="B62" s="13" t="n"/>
    </row>
    <row r="63">
      <c r="A63" s="3" t="inlineStr">
        <is>
          <t>Exception ID:</t>
        </is>
      </c>
      <c r="B63" s="13" t="n"/>
    </row>
    <row r="64">
      <c r="A64" s="3" t="inlineStr">
        <is>
          <t>Risk acceptance documented:</t>
        </is>
      </c>
      <c r="B64" s="13" t="n"/>
    </row>
    <row r="65">
      <c r="A65" s="3" t="inlineStr">
        <is>
          <t>Risk ID:</t>
        </is>
      </c>
      <c r="B65" s="13" t="n"/>
    </row>
    <row r="66">
      <c r="A66" s="3" t="inlineStr">
        <is>
          <t>Compensating Controls (summary):</t>
        </is>
      </c>
      <c r="B66" s="13" t="n"/>
    </row>
    <row r="67">
      <c r="A67" s="3" t="inlineStr">
        <is>
          <t>☐ Enhanced monitoring and alerting</t>
        </is>
      </c>
      <c r="B67" s="13" t="n"/>
    </row>
    <row r="68">
      <c r="A68" s="3" t="inlineStr">
        <is>
          <t>☐ Network segmentation / restricted access</t>
        </is>
      </c>
      <c r="B68" s="13" t="n"/>
    </row>
    <row r="69">
      <c r="A69" s="3" t="inlineStr">
        <is>
          <t>☐ Additional authentication factor</t>
        </is>
      </c>
      <c r="B69" s="13" t="n"/>
    </row>
    <row r="70">
      <c r="A70" s="3" t="inlineStr">
        <is>
          <t>☐ Manual approval process</t>
        </is>
      </c>
      <c r="B70" s="13" t="n"/>
    </row>
    <row r="71">
      <c r="A71" s="3" t="inlineStr">
        <is>
          <t>☐ Increased audit frequency</t>
        </is>
      </c>
      <c r="B71" s="13" t="n"/>
    </row>
    <row r="72">
      <c r="A72" s="3" t="inlineStr">
        <is>
          <t>☐ Time-limited exception (expiry date required)</t>
        </is>
      </c>
      <c r="B72" s="13" t="n"/>
    </row>
    <row r="73">
      <c r="A73" s="3" t="inlineStr">
        <is>
          <t>☐ Other (describe):</t>
        </is>
      </c>
      <c r="B73" s="13" t="n"/>
    </row>
    <row r="75">
      <c r="A75" s="14" t="inlineStr">
        <is>
          <t>ADDITIONAL NOTES / COMMENTS</t>
        </is>
      </c>
    </row>
    <row r="76">
      <c r="A76" s="17" t="n"/>
    </row>
    <row r="77"/>
    <row r="78"/>
    <row r="79"/>
    <row r="80"/>
    <row r="81"/>
    <row r="82"/>
    <row r="83"/>
    <row r="84"/>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2 B64" showDropDown="0" showInputMessage="0" showErrorMessage="0" allowBlank="0" type="list">
      <formula1>"Yes,No"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40" customHeight="1">
      <c r="A1" s="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row>
    <row r="3" ht="30" customHeight="1">
      <c r="A3" s="11" t="inlineStr">
        <is>
          <t>Does your organization require multi-factor authentication for any systems or user types?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MFA Factor Type</t>
        </is>
      </c>
      <c r="S6" s="5" t="inlineStr">
        <is>
          <t>MFA Enrollment Rate</t>
        </is>
      </c>
      <c r="T6" s="5" t="inlineStr">
        <is>
          <t>MFA Enforcement</t>
        </is>
      </c>
      <c r="U6" s="5" t="inlineStr">
        <is>
          <t>Backup MFA Method</t>
        </is>
      </c>
      <c r="V6" s="5" t="inlineStr">
        <is>
          <t>MFA Bypass Allowed</t>
        </is>
      </c>
      <c r="W6" s="5" t="inlineStr">
        <is>
          <t>Passwordless Option</t>
        </is>
      </c>
    </row>
    <row r="7">
      <c r="A7" s="12" t="inlineStr">
        <is>
          <t>Example: AWS Production Account</t>
        </is>
      </c>
      <c r="B7" s="12" t="inlineStr">
        <is>
          <t>MFA</t>
        </is>
      </c>
      <c r="C7" s="12" t="inlineStr">
        <is>
          <t>Administrator</t>
        </is>
      </c>
      <c r="D7" s="12" t="inlineStr">
        <is>
          <t>Restricted</t>
        </is>
      </c>
      <c r="E7" s="12" t="inlineStr">
        <is>
          <t>TOTP</t>
        </is>
      </c>
      <c r="F7" s="12" t="inlineStr">
        <is>
          <t>Encrypted</t>
        </is>
      </c>
      <c r="G7" s="12" t="inlineStr">
        <is>
          <t>N/A</t>
        </is>
      </c>
      <c r="H7" s="12" t="inlineStr">
        <is>
          <t>✅ Compliant</t>
        </is>
      </c>
      <c r="I7" s="12" t="inlineStr">
        <is>
          <t>/evidence/auth/aws-mfa-config.pdf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TOTP (Authenticator App)</t>
        </is>
      </c>
      <c r="S7" s="12" t="inlineStr">
        <is>
          <t>100%</t>
        </is>
      </c>
      <c r="T7" s="12" t="inlineStr">
        <is>
          <t>Required</t>
        </is>
      </c>
      <c r="U7" s="12" t="inlineStr">
        <is>
          <t>Yes</t>
        </is>
      </c>
      <c r="V7" s="12" t="inlineStr">
        <is>
          <t>Never</t>
        </is>
      </c>
      <c r="W7" s="12" t="inlineStr">
        <is>
          <t>Available</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MULTI CHECKLIST</t>
        </is>
      </c>
    </row>
    <row r="23">
      <c r="A23" s="3" t="inlineStr">
        <is>
          <t>☐</t>
        </is>
      </c>
      <c r="B23" s="3" t="inlineStr">
        <is>
          <t>Requirement</t>
        </is>
      </c>
      <c r="C23" s="3" t="inlineStr">
        <is>
          <t>Status</t>
        </is>
      </c>
    </row>
    <row r="24">
      <c r="A24" t="inlineStr">
        <is>
          <t>☐</t>
        </is>
      </c>
      <c r="B24" t="inlineStr">
        <is>
          <t>MFA required for all administrative/privileged access</t>
        </is>
      </c>
      <c r="C24" s="4" t="n"/>
    </row>
    <row r="25">
      <c r="A25" t="inlineStr">
        <is>
          <t>☐</t>
        </is>
      </c>
      <c r="B25" t="inlineStr">
        <is>
          <t>MFA required for remote access (VPN, RDP, SSH)</t>
        </is>
      </c>
      <c r="C25" s="4" t="n"/>
    </row>
    <row r="26">
      <c r="A26" t="inlineStr">
        <is>
          <t>☐</t>
        </is>
      </c>
      <c r="B26" t="inlineStr">
        <is>
          <t>MFA required for access to Confidential/Restricted data</t>
        </is>
      </c>
      <c r="C26" s="4" t="n"/>
    </row>
    <row r="27">
      <c r="A27" t="inlineStr">
        <is>
          <t>☐</t>
        </is>
      </c>
      <c r="B27" t="inlineStr">
        <is>
          <t>MFA required for cloud service access (AWS, Azure, GCP, M365)</t>
        </is>
      </c>
      <c r="C27" s="4" t="n"/>
    </row>
    <row r="28">
      <c r="A28" t="inlineStr">
        <is>
          <t>☐</t>
        </is>
      </c>
      <c r="B28" t="inlineStr">
        <is>
          <t>MFA enrollment mandatory for all users</t>
        </is>
      </c>
      <c r="C28" s="4" t="n"/>
    </row>
    <row r="29">
      <c r="A29" t="inlineStr">
        <is>
          <t>☐</t>
        </is>
      </c>
      <c r="B29" t="inlineStr">
        <is>
          <t>TOTP (time-based one-time password) supported</t>
        </is>
      </c>
      <c r="C29" s="4" t="n"/>
    </row>
    <row r="30">
      <c r="A30" t="inlineStr">
        <is>
          <t>☐</t>
        </is>
      </c>
      <c r="B30" t="inlineStr">
        <is>
          <t>Push notification MFA supported</t>
        </is>
      </c>
      <c r="C30" s="4" t="n"/>
    </row>
    <row r="31">
      <c r="A31" t="inlineStr">
        <is>
          <t>☐</t>
        </is>
      </c>
      <c r="B31" t="inlineStr">
        <is>
          <t>Hardware security keys (FIDO2/WebAuthn) supported</t>
        </is>
      </c>
      <c r="C31" s="4" t="n"/>
    </row>
    <row r="32">
      <c r="A32" t="inlineStr">
        <is>
          <t>☐</t>
        </is>
      </c>
      <c r="B32" t="inlineStr">
        <is>
          <t>SMS-based MFA deprecated or phased out</t>
        </is>
      </c>
      <c r="C32" s="4" t="n"/>
    </row>
    <row r="33">
      <c r="A33" t="inlineStr">
        <is>
          <t>☐</t>
        </is>
      </c>
      <c r="B33" t="inlineStr">
        <is>
          <t>Biometric authentication available (where appropriate)</t>
        </is>
      </c>
      <c r="C33" s="4" t="n"/>
    </row>
    <row r="34">
      <c r="A34" t="inlineStr">
        <is>
          <t>☐</t>
        </is>
      </c>
      <c r="B34" t="inlineStr">
        <is>
          <t>Backup MFA methods configured for each user</t>
        </is>
      </c>
      <c r="C34" s="4" t="n"/>
    </row>
    <row r="35">
      <c r="A35" t="inlineStr">
        <is>
          <t>☐</t>
        </is>
      </c>
      <c r="B35" t="inlineStr">
        <is>
          <t>MFA bypass requests logged and approved</t>
        </is>
      </c>
      <c r="C35" s="4" t="n"/>
    </row>
    <row r="36">
      <c r="A36" t="inlineStr">
        <is>
          <t>☐</t>
        </is>
      </c>
      <c r="B36" t="inlineStr">
        <is>
          <t>MFA fatigue/prompt bombing protections implemented</t>
        </is>
      </c>
      <c r="C36" s="4" t="n"/>
    </row>
    <row r="37">
      <c r="A37" t="inlineStr">
        <is>
          <t>☐</t>
        </is>
      </c>
      <c r="B37" t="inlineStr">
        <is>
          <t>Device trust/registration for MFA</t>
        </is>
      </c>
      <c r="C37" s="4" t="n"/>
    </row>
    <row r="38">
      <c r="A38" t="inlineStr">
        <is>
          <t>☐</t>
        </is>
      </c>
      <c r="B38" t="inlineStr">
        <is>
          <t>MFA enrollment monitoring and alerts</t>
        </is>
      </c>
      <c r="C38" s="4" t="n"/>
    </row>
    <row r="39">
      <c r="A39" t="inlineStr">
        <is>
          <t>☐</t>
        </is>
      </c>
      <c r="B39" t="inlineStr">
        <is>
          <t>MFA recovery process documented</t>
        </is>
      </c>
      <c r="C39" s="4" t="n"/>
    </row>
    <row r="40">
      <c r="A40" t="inlineStr">
        <is>
          <t>☐</t>
        </is>
      </c>
      <c r="B40" t="inlineStr">
        <is>
          <t>Passwordless authentication option available</t>
        </is>
      </c>
      <c r="C40" s="4" t="n"/>
    </row>
    <row r="41">
      <c r="A41" t="inlineStr">
        <is>
          <t>☐</t>
        </is>
      </c>
      <c r="B41" t="inlineStr">
        <is>
          <t>MFA audit logs retained and reviewed</t>
        </is>
      </c>
      <c r="C41" s="4" t="n"/>
    </row>
    <row r="42">
      <c r="A42" t="inlineStr">
        <is>
          <t>☐</t>
        </is>
      </c>
      <c r="B42" t="inlineStr">
        <is>
          <t>Adaptive/risk-based MFA implemented</t>
        </is>
      </c>
      <c r="C42" s="4" t="n"/>
    </row>
    <row r="43">
      <c r="A43" s="3" t="inlineStr">
        <is>
          <t>Checklist Score:</t>
        </is>
      </c>
      <c r="B43" s="15">
        <f>COUNTIF(C24:C42,"Yes")/COUNTA(C24:C42)*100&amp;"%"</f>
        <v/>
      </c>
    </row>
    <row r="45">
      <c r="A45" s="14" t="inlineStr">
        <is>
          <t>MFA FACTOR SECURITY COMPARISON</t>
        </is>
      </c>
    </row>
    <row r="46">
      <c r="A46" s="5" t="inlineStr">
        <is>
          <t>MFA Factor</t>
        </is>
      </c>
      <c r="B46" s="5" t="inlineStr">
        <is>
          <t>Security Level</t>
        </is>
      </c>
      <c r="C46" s="5" t="inlineStr">
        <is>
          <t>Phishing Resistant</t>
        </is>
      </c>
      <c r="D46" s="5" t="inlineStr">
        <is>
          <t>User Convenience</t>
        </is>
      </c>
      <c r="E46" s="5"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4" t="inlineStr">
        <is>
          <t>MFA IMPLEMENTATION PRIORITIES</t>
        </is>
      </c>
    </row>
    <row r="55">
      <c r="A55" s="5" t="inlineStr">
        <is>
          <t>Priority</t>
        </is>
      </c>
      <c r="B55" s="5" t="inlineStr">
        <is>
          <t>Account Type</t>
        </is>
      </c>
      <c r="C55" s="5" t="inlineStr">
        <is>
          <t>MFA Requirement</t>
        </is>
      </c>
      <c r="D55" s="5"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40" customHeight="1">
      <c r="A1" s="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row>
    <row r="3" ht="30" customHeight="1">
      <c r="A3" s="11" t="inlineStr">
        <is>
          <t>Does your organization use digital certificates for authentication (client certificates, smart cards, machine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Key Algorithm</t>
        </is>
      </c>
      <c r="U6" s="5" t="inlineStr">
        <is>
          <t>Certificate Validity</t>
        </is>
      </c>
      <c r="V6" s="5" t="inlineStr">
        <is>
          <t>CRL/OCSP Configured</t>
        </is>
      </c>
      <c r="W6" s="5" t="inlineStr">
        <is>
          <t>Smart Card Required</t>
        </is>
      </c>
      <c r="X6" s="5" t="inlineStr">
        <is>
          <t>PIV/CAC Compliant</t>
        </is>
      </c>
    </row>
    <row r="7">
      <c r="A7" s="12" t="inlineStr">
        <is>
          <t>Example: VPN Gateway - Cisco ASA</t>
        </is>
      </c>
      <c r="B7" s="12" t="inlineStr">
        <is>
          <t>Certificate</t>
        </is>
      </c>
      <c r="C7" s="12" t="inlineStr">
        <is>
          <t>End User</t>
        </is>
      </c>
      <c r="D7" s="12" t="inlineStr">
        <is>
          <t>Confidential</t>
        </is>
      </c>
      <c r="E7" s="12" t="inlineStr">
        <is>
          <t>RSA-3072</t>
        </is>
      </c>
      <c r="F7" s="12" t="inlineStr">
        <is>
          <t>Encrypted</t>
        </is>
      </c>
      <c r="G7" s="12" t="inlineStr">
        <is>
          <t>N/A</t>
        </is>
      </c>
      <c r="H7" s="12" t="inlineStr">
        <is>
          <t>✅ Compliant</t>
        </is>
      </c>
      <c r="I7" s="12" t="inlineStr">
        <is>
          <t>/evidence/auth/vpn-cert-config.pdf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Client Certificate</t>
        </is>
      </c>
      <c r="S7" s="12" t="inlineStr">
        <is>
          <t>Internal CA</t>
        </is>
      </c>
      <c r="T7" s="12" t="inlineStr">
        <is>
          <t>RSA-3072</t>
        </is>
      </c>
      <c r="U7" s="12" t="inlineStr">
        <is>
          <t>≤1 year</t>
        </is>
      </c>
      <c r="V7" s="12" t="inlineStr">
        <is>
          <t>Yes</t>
        </is>
      </c>
      <c r="W7" s="12" t="inlineStr">
        <is>
          <t>No</t>
        </is>
      </c>
      <c r="X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3. CERTIFICATE CHECKLIST</t>
        </is>
      </c>
    </row>
    <row r="23">
      <c r="A23" s="3" t="inlineStr">
        <is>
          <t>☐</t>
        </is>
      </c>
      <c r="B23" s="3" t="inlineStr">
        <is>
          <t>Requirement</t>
        </is>
      </c>
      <c r="C23" s="3" t="inlineStr">
        <is>
          <t>Status</t>
        </is>
      </c>
    </row>
    <row r="24">
      <c r="A24" t="inlineStr">
        <is>
          <t>☐</t>
        </is>
      </c>
      <c r="B24" t="inlineStr">
        <is>
          <t>Certificates issued from trusted CA (internal PKI or public CA)</t>
        </is>
      </c>
      <c r="C24" s="4" t="n"/>
    </row>
    <row r="25">
      <c r="A25" t="inlineStr">
        <is>
          <t>☐</t>
        </is>
      </c>
      <c r="B25" t="inlineStr">
        <is>
          <t>Certificate-based auth required for service accounts</t>
        </is>
      </c>
      <c r="C25" s="4" t="n"/>
    </row>
    <row r="26">
      <c r="A26" t="inlineStr">
        <is>
          <t>☐</t>
        </is>
      </c>
      <c r="B26" t="inlineStr">
        <is>
          <t>Certificate-based auth required for automated processes</t>
        </is>
      </c>
      <c r="C26" s="4" t="n"/>
    </row>
    <row r="27">
      <c r="A27" t="inlineStr">
        <is>
          <t>☐</t>
        </is>
      </c>
      <c r="B27" t="inlineStr">
        <is>
          <t>Client certificates used for VPN/remote access</t>
        </is>
      </c>
      <c r="C27" s="4" t="n"/>
    </row>
    <row r="28">
      <c r="A28" t="inlineStr">
        <is>
          <t>☐</t>
        </is>
      </c>
      <c r="B28" t="inlineStr">
        <is>
          <t>Smart cards issued for privileged users</t>
        </is>
      </c>
      <c r="C28" s="4" t="n"/>
    </row>
    <row r="29">
      <c r="A29" t="inlineStr">
        <is>
          <t>☐</t>
        </is>
      </c>
      <c r="B29" t="inlineStr">
        <is>
          <t>Machine/device certificates for endpoint authentication</t>
        </is>
      </c>
      <c r="C29" s="4" t="n"/>
    </row>
    <row r="30">
      <c r="A30" t="inlineStr">
        <is>
          <t>☐</t>
        </is>
      </c>
      <c r="B30" t="inlineStr">
        <is>
          <t>Certificate validity ≤2 years (1 year preferred)</t>
        </is>
      </c>
      <c r="C30" s="4" t="n"/>
    </row>
    <row r="31">
      <c r="A31" t="inlineStr">
        <is>
          <t>☐</t>
        </is>
      </c>
      <c r="B31" t="inlineStr">
        <is>
          <t>Certificate revocation checking enabled (CRL/OCSP)</t>
        </is>
      </c>
      <c r="C31" s="4" t="n"/>
    </row>
    <row r="32">
      <c r="A32" t="inlineStr">
        <is>
          <t>☐</t>
        </is>
      </c>
      <c r="B32" t="inlineStr">
        <is>
          <t>Certificate pinning implemented for critical services</t>
        </is>
      </c>
      <c r="C32" s="4" t="n"/>
    </row>
    <row r="33">
      <c r="A33" t="inlineStr">
        <is>
          <t>☐</t>
        </is>
      </c>
      <c r="B33" t="inlineStr">
        <is>
          <t>Private keys stored in HSM/TPM/smart card</t>
        </is>
      </c>
      <c r="C33" s="4" t="n"/>
    </row>
    <row r="34">
      <c r="A34" t="inlineStr">
        <is>
          <t>☐</t>
        </is>
      </c>
      <c r="B34" t="inlineStr">
        <is>
          <t>Private keys never exported in plaintext</t>
        </is>
      </c>
      <c r="C34" s="4" t="n"/>
    </row>
    <row r="35">
      <c r="A35" t="inlineStr">
        <is>
          <t>☐</t>
        </is>
      </c>
      <c r="B35" t="inlineStr">
        <is>
          <t>Certificate enrollment process documented</t>
        </is>
      </c>
      <c r="C35" s="4" t="n"/>
    </row>
    <row r="36">
      <c r="A36" t="inlineStr">
        <is>
          <t>☐</t>
        </is>
      </c>
      <c r="B36" t="inlineStr">
        <is>
          <t>Certificate inventory maintained</t>
        </is>
      </c>
      <c r="C36" s="4" t="n"/>
    </row>
    <row r="37">
      <c r="A37" t="inlineStr">
        <is>
          <t>☐</t>
        </is>
      </c>
      <c r="B37" t="inlineStr">
        <is>
          <t>Certificate expiration monitoring configured</t>
        </is>
      </c>
      <c r="C37" s="4" t="n"/>
    </row>
    <row r="38">
      <c r="A38" t="inlineStr">
        <is>
          <t>☐</t>
        </is>
      </c>
      <c r="B38" t="inlineStr">
        <is>
          <t>Mutual TLS (mTLS) implemented for API authentication</t>
        </is>
      </c>
      <c r="C38" s="4" t="n"/>
    </row>
    <row r="39">
      <c r="A39" t="inlineStr">
        <is>
          <t>☐</t>
        </is>
      </c>
      <c r="B39" t="inlineStr">
        <is>
          <t>PIV/CAC compliance (government/high-security)</t>
        </is>
      </c>
      <c r="C39" s="4" t="n"/>
    </row>
    <row r="40">
      <c r="A40" t="inlineStr">
        <is>
          <t>☐</t>
        </is>
      </c>
      <c r="B40" t="inlineStr">
        <is>
          <t>Certificate-based SSH authentication enabled</t>
        </is>
      </c>
      <c r="C40" s="4" t="n"/>
    </row>
    <row r="41">
      <c r="A41" t="inlineStr">
        <is>
          <t>☐</t>
        </is>
      </c>
      <c r="B41" t="inlineStr">
        <is>
          <t>Certificate revocation process tested</t>
        </is>
      </c>
      <c r="C41" s="4" t="n"/>
    </row>
    <row r="42">
      <c r="A42" s="3" t="inlineStr">
        <is>
          <t>Checklist Score:</t>
        </is>
      </c>
      <c r="B42" s="15">
        <f>COUNTIF(C24:C41,"Yes")/COUNTA(C24:C41)*100&amp;"%"</f>
        <v/>
      </c>
    </row>
    <row r="44">
      <c r="A44" s="14" t="inlineStr">
        <is>
          <t>CERTIFICATE AUTHENTICATION USE CASES</t>
        </is>
      </c>
    </row>
    <row r="45">
      <c r="A45" s="5" t="inlineStr">
        <is>
          <t>Use Case</t>
        </is>
      </c>
      <c r="B45" s="5" t="inlineStr">
        <is>
          <t>Certificate Type</t>
        </is>
      </c>
      <c r="C45" s="5" t="inlineStr">
        <is>
          <t>Key Algorithm</t>
        </is>
      </c>
      <c r="D45" s="5" t="inlineStr">
        <is>
          <t>Validity</t>
        </is>
      </c>
      <c r="E45" s="5"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4" t="inlineStr">
        <is>
          <t>PKI INFRASTRUCTURE CHECKLIST</t>
        </is>
      </c>
    </row>
    <row r="55">
      <c r="A55" s="5" t="inlineStr">
        <is>
          <t>Component</t>
        </is>
      </c>
      <c r="B55" s="5" t="inlineStr">
        <is>
          <t>Requirement</t>
        </is>
      </c>
      <c r="C55" s="5" t="inlineStr">
        <is>
          <t>Implementation Status</t>
        </is>
      </c>
    </row>
    <row r="56">
      <c r="A56" s="8" t="inlineStr">
        <is>
          <t>Root CA</t>
        </is>
      </c>
      <c r="B56" s="8" t="inlineStr">
        <is>
          <t>Offline, HSM-protected</t>
        </is>
      </c>
      <c r="C56" s="13" t="inlineStr"/>
    </row>
    <row r="57">
      <c r="A57" s="8" t="inlineStr">
        <is>
          <t>Issuing CA</t>
        </is>
      </c>
      <c r="B57" s="8" t="inlineStr">
        <is>
          <t>Online, HSM-protected</t>
        </is>
      </c>
      <c r="C57" s="13" t="inlineStr"/>
    </row>
    <row r="58">
      <c r="A58" s="8" t="inlineStr">
        <is>
          <t>Registration Authority</t>
        </is>
      </c>
      <c r="B58" s="8" t="inlineStr">
        <is>
          <t>Enrollment process automation</t>
        </is>
      </c>
      <c r="C58" s="13" t="inlineStr"/>
    </row>
    <row r="59">
      <c r="A59" s="8" t="inlineStr">
        <is>
          <t>CRL Distribution</t>
        </is>
      </c>
      <c r="B59" s="8" t="inlineStr">
        <is>
          <t>HTTP/LDAP accessible</t>
        </is>
      </c>
      <c r="C59" s="13" t="inlineStr"/>
    </row>
    <row r="60">
      <c r="A60" s="8" t="inlineStr">
        <is>
          <t>OCSP Responder</t>
        </is>
      </c>
      <c r="B60" s="8" t="inlineStr">
        <is>
          <t>Real-time revocation checking</t>
        </is>
      </c>
      <c r="C60" s="13" t="inlineStr"/>
    </row>
    <row r="61">
      <c r="A61" s="8" t="inlineStr">
        <is>
          <t>Certificate Templates</t>
        </is>
      </c>
      <c r="B61" s="8" t="inlineStr">
        <is>
          <t>Standardized certificate profiles</t>
        </is>
      </c>
      <c r="C61" s="13" t="inlineStr"/>
    </row>
    <row r="62">
      <c r="A62" s="8" t="inlineStr">
        <is>
          <t>Auto-enrollment</t>
        </is>
      </c>
      <c r="B62" s="8" t="inlineStr">
        <is>
          <t>User/machine certificate automation</t>
        </is>
      </c>
      <c r="C62" s="13" t="inlineStr"/>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"Yes,No,N/A"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40" customHeight="1">
      <c r="A1" s="1" t="inlineStr">
        <is>
          <t>4. SERVICE ACCOUNTS - NON-HUMAN AUTHENTICATION
Policy Requirement: Service accounts MUST use certificate-based authentication or long random passwords (≥20 characters). Password expiry disabled with monitoring. MFA or certificate preferred (Policy Section 2.5.4)</t>
        </is>
      </c>
    </row>
    <row r="3" ht="30" customHeight="1">
      <c r="A3" s="11" t="inlineStr">
        <is>
          <t>Does your organization use service accounts for application-to-application or automated process authentication?</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Service Account Type</t>
        </is>
      </c>
      <c r="S6" s="5" t="inlineStr">
        <is>
          <t>Auth Method</t>
        </is>
      </c>
      <c r="T6" s="5" t="inlineStr">
        <is>
          <t>Password Rotation</t>
        </is>
      </c>
      <c r="U6" s="5" t="inlineStr">
        <is>
          <t>Privileged Account</t>
        </is>
      </c>
      <c r="V6" s="5" t="inlineStr">
        <is>
          <t>Account Monitoring</t>
        </is>
      </c>
      <c r="W6" s="5" t="inlineStr">
        <is>
          <t>Interactive Login</t>
        </is>
      </c>
      <c r="X6" s="5" t="inlineStr">
        <is>
          <t>Least Privilege</t>
        </is>
      </c>
    </row>
    <row r="7">
      <c r="A7" s="12" t="inlineStr">
        <is>
          <t>Example: Database Service Account - SQL_SVC</t>
        </is>
      </c>
      <c r="B7" s="12" t="inlineStr">
        <is>
          <t>Service Account</t>
        </is>
      </c>
      <c r="C7" s="12" t="inlineStr">
        <is>
          <t>Service Account</t>
        </is>
      </c>
      <c r="D7" s="12" t="inlineStr">
        <is>
          <t>Restricted</t>
        </is>
      </c>
      <c r="E7" s="12" t="inlineStr">
        <is>
          <t>Certificate</t>
        </is>
      </c>
      <c r="F7" s="12" t="inlineStr">
        <is>
          <t>Encrypted</t>
        </is>
      </c>
      <c r="G7" s="12" t="inlineStr">
        <is>
          <t>N/A</t>
        </is>
      </c>
      <c r="H7" s="12" t="inlineStr">
        <is>
          <t>✅ Compliant</t>
        </is>
      </c>
      <c r="I7" s="12" t="inlineStr">
        <is>
          <t>/evidence/auth/sqlsvc-cert.pdf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Database Service</t>
        </is>
      </c>
      <c r="S7" s="12" t="inlineStr">
        <is>
          <t>Certificate</t>
        </is>
      </c>
      <c r="T7" s="12" t="inlineStr">
        <is>
          <t>Never (Monitored)</t>
        </is>
      </c>
      <c r="U7" s="12" t="inlineStr">
        <is>
          <t>Yes</t>
        </is>
      </c>
      <c r="V7" s="12" t="inlineStr">
        <is>
          <t>Yes</t>
        </is>
      </c>
      <c r="W7" s="12" t="inlineStr">
        <is>
          <t>Disabled</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SERVICE ACCOUNTS CHECKLIST</t>
        </is>
      </c>
    </row>
    <row r="23">
      <c r="A23" s="3" t="inlineStr">
        <is>
          <t>☐</t>
        </is>
      </c>
      <c r="B23" s="3" t="inlineStr">
        <is>
          <t>Requirement</t>
        </is>
      </c>
      <c r="C23" s="3" t="inlineStr">
        <is>
          <t>Status</t>
        </is>
      </c>
    </row>
    <row r="24">
      <c r="A24" t="inlineStr">
        <is>
          <t>☐</t>
        </is>
      </c>
      <c r="B24" t="inlineStr">
        <is>
          <t>Service account inventory maintained and up to date</t>
        </is>
      </c>
      <c r="C24" s="4" t="n"/>
    </row>
    <row r="25">
      <c r="A25" t="inlineStr">
        <is>
          <t>☐</t>
        </is>
      </c>
      <c r="B25" t="inlineStr">
        <is>
          <t>Certificate-based authentication used (preferred)</t>
        </is>
      </c>
      <c r="C25" s="4" t="n"/>
    </row>
    <row r="26">
      <c r="A26" t="inlineStr">
        <is>
          <t>☐</t>
        </is>
      </c>
      <c r="B26" t="inlineStr">
        <is>
          <t>Managed identities used for cloud services (AWS IAM, Azure MI)</t>
        </is>
      </c>
      <c r="C26" s="4" t="n"/>
    </row>
    <row r="27">
      <c r="A27" t="inlineStr">
        <is>
          <t>☐</t>
        </is>
      </c>
      <c r="B27" t="inlineStr">
        <is>
          <t>Long random passwords (≥20 characters) if certificate not available</t>
        </is>
      </c>
      <c r="C27" s="4" t="n"/>
    </row>
    <row r="28">
      <c r="A28" t="inlineStr">
        <is>
          <t>☐</t>
        </is>
      </c>
      <c r="B28" t="inlineStr">
        <is>
          <t>Password expiry disabled with compensating monitoring</t>
        </is>
      </c>
      <c r="C28" s="4" t="n"/>
    </row>
    <row r="29">
      <c r="A29" t="inlineStr">
        <is>
          <t>☐</t>
        </is>
      </c>
      <c r="B29" t="inlineStr">
        <is>
          <t>Service account passwords stored in secrets vault</t>
        </is>
      </c>
      <c r="C29" s="4" t="n"/>
    </row>
    <row r="30">
      <c r="A30" t="inlineStr">
        <is>
          <t>☐</t>
        </is>
      </c>
      <c r="B30" t="inlineStr">
        <is>
          <t>Service account passwords NEVER hardcoded in code</t>
        </is>
      </c>
      <c r="C30" s="4" t="n"/>
    </row>
    <row r="31">
      <c r="A31" t="inlineStr">
        <is>
          <t>☐</t>
        </is>
      </c>
      <c r="B31" t="inlineStr">
        <is>
          <t>Service account passwords NEVER in configuration files</t>
        </is>
      </c>
      <c r="C31" s="4" t="n"/>
    </row>
    <row r="32">
      <c r="A32" t="inlineStr">
        <is>
          <t>☐</t>
        </is>
      </c>
      <c r="B32" t="inlineStr">
        <is>
          <t>Interactive login disabled for service accounts</t>
        </is>
      </c>
      <c r="C32" s="4" t="n"/>
    </row>
    <row r="33">
      <c r="A33" t="inlineStr">
        <is>
          <t>☐</t>
        </is>
      </c>
      <c r="B33" t="inlineStr">
        <is>
          <t>Service accounts follow least privilege principle</t>
        </is>
      </c>
      <c r="C33" s="4" t="n"/>
    </row>
    <row r="34">
      <c r="A34" t="inlineStr">
        <is>
          <t>☐</t>
        </is>
      </c>
      <c r="B34" t="inlineStr">
        <is>
          <t>Service account usage logged and monitored</t>
        </is>
      </c>
      <c r="C34" s="4" t="n"/>
    </row>
    <row r="35">
      <c r="A35" t="inlineStr">
        <is>
          <t>☐</t>
        </is>
      </c>
      <c r="B35" t="inlineStr">
        <is>
          <t>Service account activity anomaly detection configured</t>
        </is>
      </c>
      <c r="C35" s="4" t="n"/>
    </row>
    <row r="36">
      <c r="A36" t="inlineStr">
        <is>
          <t>☐</t>
        </is>
      </c>
      <c r="B36" t="inlineStr">
        <is>
          <t>Privileged service accounts require additional controls</t>
        </is>
      </c>
      <c r="C36" s="4" t="n"/>
    </row>
    <row r="37">
      <c r="A37" t="inlineStr">
        <is>
          <t>☐</t>
        </is>
      </c>
      <c r="B37" t="inlineStr">
        <is>
          <t>Service account ownership documented</t>
        </is>
      </c>
      <c r="C37" s="4" t="n"/>
    </row>
    <row r="38">
      <c r="A38" t="inlineStr">
        <is>
          <t>☐</t>
        </is>
      </c>
      <c r="B38" t="inlineStr">
        <is>
          <t>Unused service accounts disabled/removed</t>
        </is>
      </c>
      <c r="C38" s="4" t="n"/>
    </row>
    <row r="39">
      <c r="A39" t="inlineStr">
        <is>
          <t>☐</t>
        </is>
      </c>
      <c r="B39" t="inlineStr">
        <is>
          <t>Service account naming convention followed</t>
        </is>
      </c>
      <c r="C39" s="4" t="n"/>
    </row>
    <row r="40">
      <c r="A40" t="inlineStr">
        <is>
          <t>☐</t>
        </is>
      </c>
      <c r="B40" t="inlineStr">
        <is>
          <t>Service account access reviewed quarterly</t>
        </is>
      </c>
      <c r="C40" s="4" t="n"/>
    </row>
    <row r="41">
      <c r="A41" t="inlineStr">
        <is>
          <t>☐</t>
        </is>
      </c>
      <c r="B41" t="inlineStr">
        <is>
          <t>Credential rotation tested in non-production</t>
        </is>
      </c>
      <c r="C41" s="4" t="n"/>
    </row>
    <row r="42">
      <c r="A42" t="inlineStr">
        <is>
          <t>☐</t>
        </is>
      </c>
      <c r="B42" t="inlineStr">
        <is>
          <t>Break-glass procedures for service account failures</t>
        </is>
      </c>
      <c r="C42" s="4" t="n"/>
    </row>
    <row r="43">
      <c r="A43" s="3" t="inlineStr">
        <is>
          <t>Checklist Score:</t>
        </is>
      </c>
      <c r="B43" s="15">
        <f>COUNTIF(C24:C42,"Yes")/COUNTA(C24:C42)*100&amp;"%"</f>
        <v/>
      </c>
    </row>
    <row r="45">
      <c r="A45" s="14" t="inlineStr">
        <is>
          <t>SERVICE ACCOUNT AUTHENTICATION METHODS</t>
        </is>
      </c>
    </row>
    <row r="46">
      <c r="A46" s="5" t="inlineStr">
        <is>
          <t>Authentication Method</t>
        </is>
      </c>
      <c r="B46" s="5" t="inlineStr">
        <is>
          <t>Security Level</t>
        </is>
      </c>
      <c r="C46" s="5" t="inlineStr">
        <is>
          <t>Use Case</t>
        </is>
      </c>
      <c r="D46" s="5"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4" t="inlineStr">
        <is>
          <t>SERVICE ACCOUNT LIFECYCLE MANAGEMENT</t>
        </is>
      </c>
    </row>
    <row r="55">
      <c r="A55" s="5" t="inlineStr">
        <is>
          <t>Lifecycle Stage</t>
        </is>
      </c>
      <c r="B55" s="5" t="inlineStr">
        <is>
          <t>Actions</t>
        </is>
      </c>
      <c r="C55" s="5" t="inlineStr">
        <is>
          <t>Responsible Role</t>
        </is>
      </c>
      <c r="D55" s="5"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16" t="inlineStr">
        <is>
          <t>EXCEPTION / DEVIATION DOCUMENTATION (Complete if Status = Partial or Non-Compliant)</t>
        </is>
      </c>
    </row>
    <row r="65">
      <c r="A65" s="3" t="inlineStr">
        <is>
          <t>Formal exception request submitted:</t>
        </is>
      </c>
      <c r="B65" s="13" t="n"/>
    </row>
    <row r="66">
      <c r="A66" s="3" t="inlineStr">
        <is>
          <t>Exception ID:</t>
        </is>
      </c>
      <c r="B66" s="13" t="n"/>
    </row>
    <row r="67">
      <c r="A67" s="3" t="inlineStr">
        <is>
          <t>Risk acceptance documented:</t>
        </is>
      </c>
      <c r="B67" s="13" t="n"/>
    </row>
    <row r="68">
      <c r="A68" s="3" t="inlineStr">
        <is>
          <t>Risk ID:</t>
        </is>
      </c>
      <c r="B68" s="13" t="n"/>
    </row>
    <row r="69">
      <c r="A69" s="3" t="inlineStr">
        <is>
          <t>Compensating Controls (summary):</t>
        </is>
      </c>
      <c r="B69" s="13" t="n"/>
    </row>
    <row r="70">
      <c r="A70" s="3" t="inlineStr">
        <is>
          <t>☐ Enhanced monitoring and alerting</t>
        </is>
      </c>
      <c r="B70" s="13" t="n"/>
    </row>
    <row r="71">
      <c r="A71" s="3" t="inlineStr">
        <is>
          <t>☐ Network segmentation / restricted access</t>
        </is>
      </c>
      <c r="B71" s="13" t="n"/>
    </row>
    <row r="72">
      <c r="A72" s="3" t="inlineStr">
        <is>
          <t>☐ Additional authentication factor</t>
        </is>
      </c>
      <c r="B72" s="13" t="n"/>
    </row>
    <row r="73">
      <c r="A73" s="3" t="inlineStr">
        <is>
          <t>☐ Manual approval process</t>
        </is>
      </c>
      <c r="B73" s="13" t="n"/>
    </row>
    <row r="74">
      <c r="A74" s="3" t="inlineStr">
        <is>
          <t>☐ Increased audit frequency</t>
        </is>
      </c>
      <c r="B74" s="13" t="n"/>
    </row>
    <row r="75">
      <c r="A75" s="3" t="inlineStr">
        <is>
          <t>☐ Time-limited exception (expiry date required)</t>
        </is>
      </c>
      <c r="B75" s="13" t="n"/>
    </row>
    <row r="76">
      <c r="A76" s="3" t="inlineStr">
        <is>
          <t>☐ Other (describe):</t>
        </is>
      </c>
      <c r="B76" s="13" t="n"/>
    </row>
    <row r="78">
      <c r="A78" s="14" t="inlineStr">
        <is>
          <t>ADDITIONAL NOTES / COMMENTS</t>
        </is>
      </c>
    </row>
    <row r="79">
      <c r="A79" s="17" t="n"/>
    </row>
    <row r="80"/>
    <row r="81"/>
    <row r="82"/>
    <row r="83"/>
    <row r="84"/>
    <row r="85"/>
    <row r="86"/>
    <row r="87"/>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showDropDown="0" showInputMessage="0" showErrorMessage="0" allowBlank="0" type="list">
      <formula1>"Yes,No,N/A"</formula1>
    </dataValidation>
    <dataValidation sqref="B65 B67" showDropDown="0" showInputMessage="0" showErrorMessage="0" allowBlank="0" type="list">
      <formula1>"Yes,No"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40" customHeight="1">
      <c r="A1" s="1" t="inlineStr">
        <is>
          <t>5. SSO &amp; FEDERATION - CENTRALIZED AUTHENTICATION
Policy Requirement: SSO/Federation REQUIRED using SAML 2.0, OAuth 2.0/OIDC, or WS-Federation. Identity Provider (IdP) must enforce strong authentication and MFA (Policy Section 2.5.5)</t>
        </is>
      </c>
    </row>
    <row r="3" ht="30" customHeight="1">
      <c r="A3" s="11" t="inlineStr">
        <is>
          <t>Does your organization use Single Sign-On (SSO) or federated authentication for applications and services?</t>
        </is>
      </c>
    </row>
    <row r="4">
      <c r="A4" s="3" t="inlineStr">
        <is>
          <t>Response:</t>
        </is>
      </c>
      <c r="B4" s="4" t="n"/>
    </row>
    <row r="6">
      <c r="A6" s="5" t="inlineStr">
        <is>
          <t>System/Application</t>
        </is>
      </c>
      <c r="B6" s="5" t="inlineStr">
        <is>
          <t>Authentication Method</t>
        </is>
      </c>
      <c r="C6" s="5" t="inlineStr">
        <is>
          <t>User Type</t>
        </is>
      </c>
      <c r="D6" s="5" t="inlineStr">
        <is>
          <t>Data Classification</t>
        </is>
      </c>
      <c r="E6" s="5" t="inlineStr">
        <is>
          <t>Cryptographic Algorithm</t>
        </is>
      </c>
      <c r="F6" s="5" t="inlineStr">
        <is>
          <t>Hash/Encryption Status</t>
        </is>
      </c>
      <c r="G6" s="5" t="inlineStr">
        <is>
          <t>Password Complexity</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SSO Protocol</t>
        </is>
      </c>
      <c r="S6" s="5" t="inlineStr">
        <is>
          <t>Identity Provider</t>
        </is>
      </c>
      <c r="T6" s="5" t="inlineStr">
        <is>
          <t>MFA at IdP</t>
        </is>
      </c>
      <c r="U6" s="5" t="inlineStr">
        <is>
          <t>Just-In-Time Provisioning</t>
        </is>
      </c>
      <c r="V6" s="5" t="inlineStr">
        <is>
          <t>Session Timeout</t>
        </is>
      </c>
      <c r="W6" s="5" t="inlineStr">
        <is>
          <t>Certificate Validation</t>
        </is>
      </c>
      <c r="X6" s="5" t="inlineStr">
        <is>
          <t>Token Encryption</t>
        </is>
      </c>
    </row>
    <row r="7">
      <c r="A7" s="12" t="inlineStr">
        <is>
          <t>Example: Office 365 SSO - Azure AD</t>
        </is>
      </c>
      <c r="B7" s="12" t="inlineStr">
        <is>
          <t>SSO</t>
        </is>
      </c>
      <c r="C7" s="12" t="inlineStr">
        <is>
          <t>End User</t>
        </is>
      </c>
      <c r="D7" s="12" t="inlineStr">
        <is>
          <t>Confidential</t>
        </is>
      </c>
      <c r="E7" s="12" t="inlineStr">
        <is>
          <t>SHA-256</t>
        </is>
      </c>
      <c r="F7" s="12" t="inlineStr">
        <is>
          <t>Encrypted</t>
        </is>
      </c>
      <c r="G7" s="12" t="inlineStr">
        <is>
          <t>N/A</t>
        </is>
      </c>
      <c r="H7" s="12" t="inlineStr">
        <is>
          <t>✅ Compliant</t>
        </is>
      </c>
      <c r="I7" s="12" t="inlineStr">
        <is>
          <t>/evidence/auth/o365-sso-config.pdf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SAML 2.0</t>
        </is>
      </c>
      <c r="S7" s="12" t="inlineStr">
        <is>
          <t>Azure AD</t>
        </is>
      </c>
      <c r="T7" s="12" t="inlineStr">
        <is>
          <t>Yes</t>
        </is>
      </c>
      <c r="U7" s="12" t="inlineStr">
        <is>
          <t>Enabled</t>
        </is>
      </c>
      <c r="V7" s="12" t="inlineStr">
        <is>
          <t>≤1 hour</t>
        </is>
      </c>
      <c r="W7" s="12" t="inlineStr">
        <is>
          <t>Yes</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SSO &amp; FEDERATION CHECKLIST</t>
        </is>
      </c>
    </row>
    <row r="23">
      <c r="A23" s="3" t="inlineStr">
        <is>
          <t>☐</t>
        </is>
      </c>
      <c r="B23" s="3" t="inlineStr">
        <is>
          <t>Requirement</t>
        </is>
      </c>
      <c r="C23" s="3" t="inlineStr">
        <is>
          <t>Status</t>
        </is>
      </c>
    </row>
    <row r="24">
      <c r="A24" t="inlineStr">
        <is>
          <t>☐</t>
        </is>
      </c>
      <c r="B24" t="inlineStr">
        <is>
          <t>SSO implemented for all compatible applications</t>
        </is>
      </c>
      <c r="C24" s="4" t="n"/>
    </row>
    <row r="25">
      <c r="A25" t="inlineStr">
        <is>
          <t>☐</t>
        </is>
      </c>
      <c r="B25" t="inlineStr">
        <is>
          <t>SAML 2.0, OAuth 2.0/OIDC, or WS-Federation protocols used</t>
        </is>
      </c>
      <c r="C25" s="4" t="n"/>
    </row>
    <row r="26">
      <c r="A26" t="inlineStr">
        <is>
          <t>☐</t>
        </is>
      </c>
      <c r="B26" t="inlineStr">
        <is>
          <t>Centralized Identity Provider (IdP) configured</t>
        </is>
      </c>
      <c r="C26" s="4" t="n"/>
    </row>
    <row r="27">
      <c r="A27" t="inlineStr">
        <is>
          <t>☐</t>
        </is>
      </c>
      <c r="B27" t="inlineStr">
        <is>
          <t>MFA enforced at IdP level</t>
        </is>
      </c>
      <c r="C27" s="4" t="n"/>
    </row>
    <row r="28">
      <c r="A28" t="inlineStr">
        <is>
          <t>☐</t>
        </is>
      </c>
      <c r="B28" t="inlineStr">
        <is>
          <t>SAML assertions signed and encrypted</t>
        </is>
      </c>
      <c r="C28" s="4" t="n"/>
    </row>
    <row r="29">
      <c r="A29" t="inlineStr">
        <is>
          <t>☐</t>
        </is>
      </c>
      <c r="B29" t="inlineStr">
        <is>
          <t>Certificate-based trust established (SAML metadata)</t>
        </is>
      </c>
      <c r="C29" s="4" t="n"/>
    </row>
    <row r="30">
      <c r="A30" t="inlineStr">
        <is>
          <t>☐</t>
        </is>
      </c>
      <c r="B30" t="inlineStr">
        <is>
          <t>Token lifetime/expiration configured (≤1 hour access token)</t>
        </is>
      </c>
      <c r="C30" s="4" t="n"/>
    </row>
    <row r="31">
      <c r="A31" t="inlineStr">
        <is>
          <t>☐</t>
        </is>
      </c>
      <c r="B31" t="inlineStr">
        <is>
          <t>Refresh token rotation implemented</t>
        </is>
      </c>
      <c r="C31" s="4" t="n"/>
    </row>
    <row r="32">
      <c r="A32" t="inlineStr">
        <is>
          <t>☐</t>
        </is>
      </c>
      <c r="B32" t="inlineStr">
        <is>
          <t>Just-in-time (JIT) user provisioning configured</t>
        </is>
      </c>
      <c r="C32" s="4" t="n"/>
    </row>
    <row r="33">
      <c r="A33" t="inlineStr">
        <is>
          <t>☐</t>
        </is>
      </c>
      <c r="B33" t="inlineStr">
        <is>
          <t>Attribute/claim mapping documented</t>
        </is>
      </c>
      <c r="C33" s="4" t="n"/>
    </row>
    <row r="34">
      <c r="A34" t="inlineStr">
        <is>
          <t>☐</t>
        </is>
      </c>
      <c r="B34" t="inlineStr">
        <is>
          <t>SSO session timeout configured (≤8 hours)</t>
        </is>
      </c>
      <c r="C34" s="4" t="n"/>
    </row>
    <row r="35">
      <c r="A35" t="inlineStr">
        <is>
          <t>☐</t>
        </is>
      </c>
      <c r="B35" t="inlineStr">
        <is>
          <t>Conditional access policies implemented</t>
        </is>
      </c>
      <c r="C35" s="4" t="n"/>
    </row>
    <row r="36">
      <c r="A36" t="inlineStr">
        <is>
          <t>☐</t>
        </is>
      </c>
      <c r="B36" t="inlineStr">
        <is>
          <t>Device compliance checks before SSO access</t>
        </is>
      </c>
      <c r="C36" s="4" t="n"/>
    </row>
    <row r="37">
      <c r="A37" t="inlineStr">
        <is>
          <t>☐</t>
        </is>
      </c>
      <c r="B37" t="inlineStr">
        <is>
          <t>SSO authentication logs centralized</t>
        </is>
      </c>
      <c r="C37" s="4" t="n"/>
    </row>
    <row r="38">
      <c r="A38" t="inlineStr">
        <is>
          <t>☐</t>
        </is>
      </c>
      <c r="B38" t="inlineStr">
        <is>
          <t>SSO bypass/backdoor disabled</t>
        </is>
      </c>
      <c r="C38" s="4" t="n"/>
    </row>
    <row r="39">
      <c r="A39" t="inlineStr">
        <is>
          <t>☐</t>
        </is>
      </c>
      <c r="B39" t="inlineStr">
        <is>
          <t>Federation trust relationships documented</t>
        </is>
      </c>
      <c r="C39" s="4" t="n"/>
    </row>
    <row r="40">
      <c r="A40" t="inlineStr">
        <is>
          <t>☐</t>
        </is>
      </c>
      <c r="B40" t="inlineStr">
        <is>
          <t>External federation partners vetted and approved</t>
        </is>
      </c>
      <c r="C40" s="4" t="n"/>
    </row>
    <row r="41">
      <c r="A41" t="inlineStr">
        <is>
          <t>☐</t>
        </is>
      </c>
      <c r="B41" t="inlineStr">
        <is>
          <t>SSO failover/redundancy configured</t>
        </is>
      </c>
      <c r="C41" s="4" t="n"/>
    </row>
    <row r="42">
      <c r="A42" t="inlineStr">
        <is>
          <t>☐</t>
        </is>
      </c>
      <c r="B42" t="inlineStr">
        <is>
          <t>IdP high availability implemented</t>
        </is>
      </c>
      <c r="C42" s="4" t="n"/>
    </row>
    <row r="43">
      <c r="A43" t="inlineStr">
        <is>
          <t>☐</t>
        </is>
      </c>
      <c r="B43" t="inlineStr">
        <is>
          <t>Privileged access management (PAM) integrated with SSO</t>
        </is>
      </c>
      <c r="C43" s="4" t="n"/>
    </row>
    <row r="44">
      <c r="A44" s="3" t="inlineStr">
        <is>
          <t>Checklist Score:</t>
        </is>
      </c>
      <c r="B44" s="15">
        <f>COUNTIF(C24:C43,"Yes")/COUNTA(C24:C43)*100&amp;"%"</f>
        <v/>
      </c>
    </row>
    <row r="46">
      <c r="A46" s="14" t="inlineStr">
        <is>
          <t>SSO PROTOCOL COMPARISON</t>
        </is>
      </c>
    </row>
    <row r="47">
      <c r="A47" s="5" t="inlineStr">
        <is>
          <t>Protocol</t>
        </is>
      </c>
      <c r="B47" s="5" t="inlineStr">
        <is>
          <t>Use Case</t>
        </is>
      </c>
      <c r="C47" s="5" t="inlineStr">
        <is>
          <t>Security Features</t>
        </is>
      </c>
      <c r="D47" s="5" t="inlineStr">
        <is>
          <t>Token Type</t>
        </is>
      </c>
      <c r="E47" s="5"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4" t="inlineStr">
        <is>
          <t>IDENTITY PROVIDER SECURITY CHECKLIST</t>
        </is>
      </c>
    </row>
    <row r="54">
      <c r="A54" s="5" t="inlineStr">
        <is>
          <t>Requirement</t>
        </is>
      </c>
      <c r="B54" s="5" t="inlineStr">
        <is>
          <t>Implementation Status</t>
        </is>
      </c>
      <c r="C54" s="5"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4" t="inlineStr">
        <is>
          <t>TOKEN LIFETIME BEST PRACTICES</t>
        </is>
      </c>
    </row>
    <row r="65">
      <c r="A65" s="5" t="inlineStr">
        <is>
          <t>Token Type</t>
        </is>
      </c>
      <c r="B65" s="5" t="inlineStr">
        <is>
          <t>Recommended Lifetime</t>
        </is>
      </c>
      <c r="C65" s="5" t="inlineStr">
        <is>
          <t>Maximum Lifetime</t>
        </is>
      </c>
      <c r="D65" s="5"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16" t="inlineStr">
        <is>
          <t>EXCEPTION / DEVIATION DOCUMENTATION (Complete if Status = Partial or Non-Compliant)</t>
        </is>
      </c>
    </row>
    <row r="73">
      <c r="A73" s="3" t="inlineStr">
        <is>
          <t>Formal exception request submitted:</t>
        </is>
      </c>
      <c r="B73" s="13" t="n"/>
    </row>
    <row r="74">
      <c r="A74" s="3" t="inlineStr">
        <is>
          <t>Exception ID:</t>
        </is>
      </c>
      <c r="B74" s="13" t="n"/>
    </row>
    <row r="75">
      <c r="A75" s="3" t="inlineStr">
        <is>
          <t>Risk acceptance documented:</t>
        </is>
      </c>
      <c r="B75" s="13" t="n"/>
    </row>
    <row r="76">
      <c r="A76" s="3" t="inlineStr">
        <is>
          <t>Risk ID:</t>
        </is>
      </c>
      <c r="B76" s="13" t="n"/>
    </row>
    <row r="77">
      <c r="A77" s="3" t="inlineStr">
        <is>
          <t>Compensating Controls (summary):</t>
        </is>
      </c>
      <c r="B77" s="13" t="n"/>
    </row>
    <row r="78">
      <c r="A78" s="3" t="inlineStr">
        <is>
          <t>☐ Enhanced monitoring and alerting</t>
        </is>
      </c>
      <c r="B78" s="13" t="n"/>
    </row>
    <row r="79">
      <c r="A79" s="3" t="inlineStr">
        <is>
          <t>☐ Network segmentation / restricted access</t>
        </is>
      </c>
      <c r="B79" s="13" t="n"/>
    </row>
    <row r="80">
      <c r="A80" s="3" t="inlineStr">
        <is>
          <t>☐ Additional authentication factor</t>
        </is>
      </c>
      <c r="B80" s="13" t="n"/>
    </row>
    <row r="81">
      <c r="A81" s="3" t="inlineStr">
        <is>
          <t>☐ Manual approval process</t>
        </is>
      </c>
      <c r="B81" s="13" t="n"/>
    </row>
    <row r="82">
      <c r="A82" s="3" t="inlineStr">
        <is>
          <t>☐ Increased audit frequency</t>
        </is>
      </c>
      <c r="B82" s="13" t="n"/>
    </row>
    <row r="83">
      <c r="A83" s="3" t="inlineStr">
        <is>
          <t>☐ Time-limited exception (expiry date required)</t>
        </is>
      </c>
      <c r="B83" s="13" t="n"/>
    </row>
    <row r="84">
      <c r="A84" s="3" t="inlineStr">
        <is>
          <t>☐ Other (describe):</t>
        </is>
      </c>
      <c r="B84" s="13" t="n"/>
    </row>
    <row r="86">
      <c r="A86" s="14" t="inlineStr">
        <is>
          <t>ADDITIONAL NOTES / COMMENTS</t>
        </is>
      </c>
    </row>
    <row r="87">
      <c r="A87" s="17" t="n"/>
    </row>
    <row r="88"/>
    <row r="89"/>
    <row r="90"/>
    <row r="91"/>
    <row r="92"/>
    <row r="93"/>
    <row r="94"/>
    <row r="95"/>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73 B75" showDropDown="0" showInputMessage="0" showErrorMessage="0" allowBlank="0" type="list">
      <formula1>"Yes,No"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AUTHENTICATION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Password Security</t>
        </is>
      </c>
      <c r="B4">
        <f>COUNTA('1. Password Security'!H8:H20)</f>
        <v/>
      </c>
      <c r="C4">
        <f>COUNTIF('1. Password Security'!H8:H20,"✅*")</f>
        <v/>
      </c>
      <c r="D4">
        <f>COUNTIF('1. Password Security'!H8:H20,"⚠️*")</f>
        <v/>
      </c>
      <c r="E4">
        <f>COUNTIF('1. Password Security'!H8:H20,"❌*")</f>
        <v/>
      </c>
      <c r="F4">
        <f>COUNTIF('1. Password Security'!H8:H20,"N/A")</f>
        <v/>
      </c>
      <c r="G4">
        <f>IF((B4-F4)=0,"0%",ROUND(C4/(B4-F4)*100,1)&amp;"%")</f>
        <v/>
      </c>
    </row>
    <row r="5">
      <c r="A5" t="inlineStr">
        <is>
          <t>2. Multi-Factor Authentication</t>
        </is>
      </c>
      <c r="B5">
        <f>COUNTA('2. Multi-Factor Authentication'!H8:H20)</f>
        <v/>
      </c>
      <c r="C5">
        <f>COUNTIF('2. Multi-Factor Authentication'!H8:H20,"✅*")</f>
        <v/>
      </c>
      <c r="D5">
        <f>COUNTIF('2. Multi-Factor Authentication'!H8:H20,"⚠️*")</f>
        <v/>
      </c>
      <c r="E5">
        <f>COUNTIF('2. Multi-Factor Authentication'!H8:H20,"❌*")</f>
        <v/>
      </c>
      <c r="F5">
        <f>COUNTIF('2. Multi-Factor Authentication'!H8:H20,"N/A")</f>
        <v/>
      </c>
      <c r="G5">
        <f>IF((B5-F5)=0,"0%",ROUND(C5/(B5-F5)*100,1)&amp;"%")</f>
        <v/>
      </c>
    </row>
    <row r="6">
      <c r="A6" t="inlineStr">
        <is>
          <t>3. Certificate-Based Auth</t>
        </is>
      </c>
      <c r="B6">
        <f>COUNTA('3. Certificate-Based Auth'!H8:H20)</f>
        <v/>
      </c>
      <c r="C6">
        <f>COUNTIF('3. Certificate-Based Auth'!H8:H20,"✅*")</f>
        <v/>
      </c>
      <c r="D6">
        <f>COUNTIF('3. Certificate-Based Auth'!H8:H20,"⚠️*")</f>
        <v/>
      </c>
      <c r="E6">
        <f>COUNTIF('3. Certificate-Based Auth'!H8:H20,"❌*")</f>
        <v/>
      </c>
      <c r="F6">
        <f>COUNTIF('3. Certificate-Based Auth'!H8:H20,"N/A")</f>
        <v/>
      </c>
      <c r="G6">
        <f>IF((B6-F6)=0,"0%",ROUND(C6/(B6-F6)*100,1)&amp;"%")</f>
        <v/>
      </c>
    </row>
    <row r="7">
      <c r="A7" t="inlineStr">
        <is>
          <t>4. Service Accounts</t>
        </is>
      </c>
      <c r="B7">
        <f>COUNTA('4. Service Accounts'!H8:H20)</f>
        <v/>
      </c>
      <c r="C7">
        <f>COUNTIF('4. Service Accounts'!H8:H20,"✅*")</f>
        <v/>
      </c>
      <c r="D7">
        <f>COUNTIF('4. Service Accounts'!H8:H20,"⚠️*")</f>
        <v/>
      </c>
      <c r="E7">
        <f>COUNTIF('4. Service Accounts'!H8:H20,"❌*")</f>
        <v/>
      </c>
      <c r="F7">
        <f>COUNTIF('4. Service Accounts'!H8:H20,"N/A")</f>
        <v/>
      </c>
      <c r="G7">
        <f>IF((B7-F7)=0,"0%",ROUND(C7/(B7-F7)*100,1)&amp;"%")</f>
        <v/>
      </c>
    </row>
    <row r="8">
      <c r="A8" t="inlineStr">
        <is>
          <t>5. SSO &amp; Federation</t>
        </is>
      </c>
      <c r="B8">
        <f>COUNTA('5. SSO &amp; Federation'!H8:H20)</f>
        <v/>
      </c>
      <c r="C8">
        <f>COUNTIF('5. SSO &amp; Federation'!H8:H20,"✅*")</f>
        <v/>
      </c>
      <c r="D8">
        <f>COUNTIF('5. SSO &amp; Federation'!H8:H20,"⚠️*")</f>
        <v/>
      </c>
      <c r="E8">
        <f>COUNTIF('5. SSO &amp; Federation'!H8:H20,"❌*")</f>
        <v/>
      </c>
      <c r="F8">
        <f>COUNTIF('5. SSO &amp; Federation'!H8:H20,"N/A")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AUTHENTICATION METHOD DISTRIBUTION</t>
        </is>
      </c>
    </row>
    <row r="13">
      <c r="A13" s="5" t="inlineStr">
        <is>
          <t>Authentication Method</t>
        </is>
      </c>
      <c r="B13" s="5" t="inlineStr">
        <is>
          <t>Count</t>
        </is>
      </c>
      <c r="C13" s="5" t="inlineStr">
        <is>
          <t>Percentage</t>
        </is>
      </c>
      <c r="D13" s="5" t="inlineStr">
        <is>
          <t>Security Rating</t>
        </is>
      </c>
    </row>
    <row r="14">
      <c r="A14" t="inlineStr">
        <is>
          <t>Password Only</t>
        </is>
      </c>
      <c r="B14" s="20" t="n"/>
      <c r="C14">
        <f>IF(SUM(B14:B14)=0,"0%",ROUND(B14/SUM(B$14:B$14)*100,1)&amp;"%")</f>
        <v/>
      </c>
      <c r="D14" t="inlineStr">
        <is>
          <t>LOW RISK ⚠️</t>
        </is>
      </c>
    </row>
    <row r="15">
      <c r="A15" t="inlineStr">
        <is>
          <t>Password + MFA</t>
        </is>
      </c>
      <c r="B15" s="20" t="n"/>
      <c r="C15">
        <f>IF(SUM(B14:B15)=0,"0%",ROUND(B15/SUM(B$14:B$15)*100,1)&amp;"%")</f>
        <v/>
      </c>
      <c r="D15" t="inlineStr">
        <is>
          <t>Good ✅</t>
        </is>
      </c>
    </row>
    <row r="16">
      <c r="A16" t="inlineStr">
        <is>
          <t>Certificate-based</t>
        </is>
      </c>
      <c r="B16" s="20" t="n"/>
      <c r="C16">
        <f>IF(SUM(B14:B16)=0,"0%",ROUND(B16/SUM(B$14:B$16)*100,1)&amp;"%")</f>
        <v/>
      </c>
      <c r="D16" t="inlineStr">
        <is>
          <t>Excellent ✅</t>
        </is>
      </c>
    </row>
    <row r="17">
      <c r="A17" t="inlineStr">
        <is>
          <t>SSO + MFA</t>
        </is>
      </c>
      <c r="B17" s="20" t="n"/>
      <c r="C17">
        <f>IF(SUM(B14:B17)=0,"0%",ROUND(B17/SUM(B$14:B$17)*100,1)&amp;"%")</f>
        <v/>
      </c>
      <c r="D17" t="inlineStr">
        <is>
          <t>Excellent ✅</t>
        </is>
      </c>
    </row>
    <row r="18">
      <c r="A18" t="inlineStr">
        <is>
          <t>Biometric + MFA</t>
        </is>
      </c>
      <c r="B18" s="20" t="n"/>
      <c r="C18">
        <f>IF(SUM(B14:B18)=0,"0%",ROUND(B18/SUM(B$14:B$18)*100,1)&amp;"%")</f>
        <v/>
      </c>
      <c r="D18" t="inlineStr">
        <is>
          <t>Excellent ✅</t>
        </is>
      </c>
    </row>
    <row r="19">
      <c r="A19" t="inlineStr">
        <is>
          <t>Legacy/Weak</t>
        </is>
      </c>
      <c r="B19" s="20" t="n"/>
      <c r="C19">
        <f>IF(SUM(B14:B19)=0,"0%",ROUND(B19/SUM(B$14:B$19)*100,1)&amp;"%")</f>
        <v/>
      </c>
      <c r="D19" t="inlineStr">
        <is>
          <t>CRITICAL RISK ❌</t>
        </is>
      </c>
    </row>
    <row r="22">
      <c r="A22" s="19" t="inlineStr">
        <is>
          <t>MFA ADOPTION METRICS</t>
        </is>
      </c>
    </row>
    <row r="23">
      <c r="A23" s="5" t="inlineStr">
        <is>
          <t>User Type</t>
        </is>
      </c>
      <c r="B23" s="5" t="inlineStr">
        <is>
          <t>Total Users</t>
        </is>
      </c>
      <c r="C23" s="5" t="inlineStr">
        <is>
          <t>MFA Enrolled</t>
        </is>
      </c>
      <c r="D23" s="5" t="inlineStr">
        <is>
          <t>Enrollment %</t>
        </is>
      </c>
      <c r="E23" s="5" t="inlineStr">
        <is>
          <t>MFA Enforcement</t>
        </is>
      </c>
    </row>
    <row r="24">
      <c r="A24" t="inlineStr">
        <is>
          <t>Administrators</t>
        </is>
      </c>
      <c r="B24" s="20" t="n"/>
      <c r="C24" s="20" t="n"/>
      <c r="D24">
        <f>IF(B24&gt;0,C24/B24*100&amp;"%","N/A")</f>
        <v/>
      </c>
      <c r="E24" s="20" t="n"/>
    </row>
    <row r="25">
      <c r="A25" t="inlineStr">
        <is>
          <t>Remote Users</t>
        </is>
      </c>
      <c r="B25" s="20" t="n"/>
      <c r="C25" s="20" t="n"/>
      <c r="D25">
        <f>IF(B25&gt;0,C25/B25*100&amp;"%","N/A")</f>
        <v/>
      </c>
      <c r="E25" s="20" t="n"/>
    </row>
    <row r="26">
      <c r="A26" t="inlineStr">
        <is>
          <t>Internal Users</t>
        </is>
      </c>
      <c r="B26" s="20" t="n"/>
      <c r="C26" s="20" t="n"/>
      <c r="D26">
        <f>IF(B26&gt;0,C26/B26*100&amp;"%","N/A")</f>
        <v/>
      </c>
      <c r="E26" s="20" t="n"/>
    </row>
    <row r="27">
      <c r="A27" t="inlineStr">
        <is>
          <t>External Users</t>
        </is>
      </c>
      <c r="B27" s="20" t="n"/>
      <c r="C27" s="20" t="n"/>
      <c r="D27">
        <f>IF(B27&gt;0,C27/B27*100&amp;"%","N/A")</f>
        <v/>
      </c>
      <c r="E27" s="20" t="n"/>
    </row>
    <row r="28">
      <c r="A28" t="inlineStr">
        <is>
          <t>Service Accounts</t>
        </is>
      </c>
      <c r="B28" s="20" t="n"/>
      <c r="C28" s="20" t="n"/>
      <c r="D28">
        <f>IF(B28&gt;0,C28/B28*100&amp;"%","N/A")</f>
        <v/>
      </c>
      <c r="E28" s="20" t="n"/>
    </row>
    <row r="31">
      <c r="A31" s="19" t="inlineStr">
        <is>
          <t>PASSWORD SECURITY METRICS</t>
        </is>
      </c>
    </row>
    <row r="32">
      <c r="A32" s="5" t="inlineStr">
        <is>
          <t>Password Metric</t>
        </is>
      </c>
      <c r="B32" s="5" t="inlineStr">
        <is>
          <t>Count</t>
        </is>
      </c>
      <c r="C32" s="5" t="inlineStr">
        <is>
          <t>Percentage</t>
        </is>
      </c>
      <c r="D32" s="5" t="inlineStr">
        <is>
          <t>Compliance Status</t>
        </is>
      </c>
    </row>
    <row r="33">
      <c r="A33" t="inlineStr">
        <is>
          <t>Hashed with Approved Algorithm</t>
        </is>
      </c>
      <c r="B33" s="20" t="n"/>
      <c r="C33">
        <f>IF(SUM(B33:B33)=0,"0%",ROUND(B33/SUM(B$33:B$33)*100,1)&amp;"%")</f>
        <v/>
      </c>
      <c r="D33" t="inlineStr">
        <is>
          <t>✅ Compliant</t>
        </is>
      </c>
    </row>
    <row r="34">
      <c r="A34" t="inlineStr">
        <is>
          <t>Plaintext Storage</t>
        </is>
      </c>
      <c r="B34" s="20" t="n"/>
      <c r="C34">
        <f>IF(SUM(B33:B34)=0,"0%",ROUND(B34/SUM(B$33:B$34)*100,1)&amp;"%")</f>
        <v/>
      </c>
      <c r="D34" t="inlineStr">
        <is>
          <t>❌ CRITICAL</t>
        </is>
      </c>
    </row>
    <row r="35">
      <c r="A35" t="inlineStr">
        <is>
          <t>Weak Hashing (MD5/SHA-1)</t>
        </is>
      </c>
      <c r="B35" s="20" t="n"/>
      <c r="C35">
        <f>IF(SUM(B33:B35)=0,"0%",ROUND(B35/SUM(B$33:B$35)*100,1)&amp;"%")</f>
        <v/>
      </c>
      <c r="D35" t="inlineStr">
        <is>
          <t>❌ Non-Compliant</t>
        </is>
      </c>
    </row>
    <row r="36">
      <c r="A36" t="inlineStr">
        <is>
          <t>Min Length ≥14 chars</t>
        </is>
      </c>
      <c r="B36" s="20" t="n"/>
      <c r="C36">
        <f>IF(SUM(B33:B36)=0,"0%",ROUND(B36/SUM(B$33:B$36)*100,1)&amp;"%")</f>
        <v/>
      </c>
      <c r="D36" t="inlineStr">
        <is>
          <t>✅ Recommended</t>
        </is>
      </c>
    </row>
    <row r="37">
      <c r="A37" t="inlineStr">
        <is>
          <t>Min Length 12-13 chars</t>
        </is>
      </c>
      <c r="B37" s="20" t="n"/>
      <c r="C37">
        <f>IF(SUM(B33:B37)=0,"0%",ROUND(B37/SUM(B$33:B$37)*100,1)&amp;"%")</f>
        <v/>
      </c>
      <c r="D37" t="inlineStr">
        <is>
          <t>⚠️ Adequate</t>
        </is>
      </c>
    </row>
    <row r="38">
      <c r="A38" t="inlineStr">
        <is>
          <t>Min Length &lt;12 chars</t>
        </is>
      </c>
      <c r="B38" s="20" t="n"/>
      <c r="C38">
        <f>IF(SUM(B33:B38)=0,"0%",ROUND(B38/SUM(B$33:B$38)*100,1)&amp;"%")</f>
        <v/>
      </c>
      <c r="D38" t="inlineStr">
        <is>
          <t>❌ Weak</t>
        </is>
      </c>
    </row>
    <row r="39">
      <c r="A39" t="inlineStr">
        <is>
          <t>Account Lockout Enabled</t>
        </is>
      </c>
      <c r="B39" s="20" t="n"/>
      <c r="C39">
        <f>IF(SUM(B33:B39)=0,"0%",ROUND(B39/SUM(B$33:B$39)*100,1)&amp;"%")</f>
        <v/>
      </c>
      <c r="D39" t="inlineStr">
        <is>
          <t>✅ Required</t>
        </is>
      </c>
    </row>
    <row r="40">
      <c r="A40" t="inlineStr">
        <is>
          <t>Password Expiry Configured</t>
        </is>
      </c>
      <c r="B40" s="20" t="n"/>
      <c r="C40">
        <f>IF(SUM(B33:B40)=0,"0%",ROUND(B40/SUM(B$33:B$40)*100,1)&amp;"%")</f>
        <v/>
      </c>
      <c r="D40" t="inlineStr">
        <is>
          <t>✅ Required</t>
        </is>
      </c>
    </row>
    <row r="43">
      <c r="A43" s="19" t="inlineStr">
        <is>
          <t>SERVICE ACCOUNT SECURITY</t>
        </is>
      </c>
    </row>
    <row r="44">
      <c r="A44" s="5" t="inlineStr">
        <is>
          <t>Service Account Metric</t>
        </is>
      </c>
      <c r="B44" s="5" t="inlineStr">
        <is>
          <t>Count</t>
        </is>
      </c>
      <c r="C44" s="5" t="inlineStr">
        <is>
          <t>Status</t>
        </is>
      </c>
    </row>
    <row r="45">
      <c r="A45" t="inlineStr">
        <is>
          <t>Total Service Accounts</t>
        </is>
      </c>
      <c r="B45" s="20" t="n"/>
      <c r="C45" t="inlineStr"/>
    </row>
    <row r="46">
      <c r="A46" t="inlineStr">
        <is>
          <t>Certificate-based Auth</t>
        </is>
      </c>
      <c r="B46" s="20" t="n"/>
      <c r="C46" t="inlineStr">
        <is>
          <t>✅</t>
        </is>
      </c>
    </row>
    <row r="47">
      <c r="A47" t="inlineStr">
        <is>
          <t>Long Password (≥20 chars)</t>
        </is>
      </c>
      <c r="B47" s="20" t="n"/>
      <c r="C47" t="inlineStr">
        <is>
          <t>✅</t>
        </is>
      </c>
    </row>
    <row r="48">
      <c r="A48" t="inlineStr">
        <is>
          <t>Weak Password (&lt;20 chars)</t>
        </is>
      </c>
      <c r="B48" s="20" t="n"/>
      <c r="C48" t="inlineStr">
        <is>
          <t>❌</t>
        </is>
      </c>
    </row>
    <row r="49">
      <c r="A49" t="inlineStr">
        <is>
          <t>Interactive Login Disabled</t>
        </is>
      </c>
      <c r="B49" s="20" t="n"/>
      <c r="C49" t="inlineStr">
        <is>
          <t>✅</t>
        </is>
      </c>
    </row>
    <row r="50">
      <c r="A50" t="inlineStr">
        <is>
          <t>Stored in Secrets Vault</t>
        </is>
      </c>
      <c r="B50" s="20" t="n"/>
      <c r="C50" t="inlineStr">
        <is>
          <t>✅</t>
        </is>
      </c>
    </row>
    <row r="51">
      <c r="A51" t="inlineStr">
        <is>
          <t>Privileged Accounts</t>
        </is>
      </c>
      <c r="B51" s="20" t="n"/>
      <c r="C51" t="inlineStr">
        <is>
          <t>⚠️</t>
        </is>
      </c>
    </row>
    <row r="54">
      <c r="A54" s="19" t="inlineStr">
        <is>
          <t>SSO COVERAGE ANALYSIS</t>
        </is>
      </c>
    </row>
    <row r="55">
      <c r="A55" s="5" t="inlineStr">
        <is>
          <t>SSO Metric</t>
        </is>
      </c>
      <c r="B55" s="5" t="inlineStr">
        <is>
          <t>Count</t>
        </is>
      </c>
      <c r="C55" s="5" t="inlineStr">
        <is>
          <t>Status</t>
        </is>
      </c>
    </row>
    <row r="56">
      <c r="A56" t="inlineStr">
        <is>
          <t>Applications with SSO</t>
        </is>
      </c>
      <c r="B56" s="20" t="n"/>
      <c r="C56" t="inlineStr"/>
    </row>
    <row r="57">
      <c r="A57" t="inlineStr">
        <is>
          <t>SAML 2.0 Implementations</t>
        </is>
      </c>
      <c r="B57" s="20" t="n"/>
      <c r="C57" t="inlineStr"/>
    </row>
    <row r="58">
      <c r="A58" t="inlineStr">
        <is>
          <t>OAuth 2.0/OIDC Implementations</t>
        </is>
      </c>
      <c r="B58" s="20" t="n"/>
      <c r="C58" t="inlineStr"/>
    </row>
    <row r="59">
      <c r="A59" t="inlineStr">
        <is>
          <t>MFA Required at IdP</t>
        </is>
      </c>
      <c r="B59" s="20" t="n"/>
      <c r="C59" t="inlineStr">
        <is>
          <t>✅</t>
        </is>
      </c>
    </row>
    <row r="60">
      <c r="A60" t="inlineStr">
        <is>
          <t>Legacy Protocols (LDAP/Kerberos)</t>
        </is>
      </c>
      <c r="B60" s="20" t="n"/>
      <c r="C60" t="inlineStr">
        <is>
          <t>⚠️</t>
        </is>
      </c>
    </row>
    <row r="61">
      <c r="A61" t="inlineStr">
        <is>
          <t>JIT Provisioning Enabled</t>
        </is>
      </c>
      <c r="B61" s="20" t="n"/>
      <c r="C61" t="inlineStr">
        <is>
          <t>✅</t>
        </is>
      </c>
    </row>
    <row r="64">
      <c r="A64" s="21" t="inlineStr">
        <is>
          <t>OVERALL AUTHENTICATION SECURITY SCORE</t>
        </is>
      </c>
    </row>
    <row r="65">
      <c r="A65" s="3" t="inlineStr">
        <is>
          <t>Component</t>
        </is>
      </c>
      <c r="B65" s="3" t="inlineStr">
        <is>
          <t>Weight</t>
        </is>
      </c>
      <c r="C65" s="3" t="inlineStr">
        <is>
          <t>Score</t>
        </is>
      </c>
      <c r="D65" s="3" t="inlineStr">
        <is>
          <t>Weighted Score</t>
        </is>
      </c>
    </row>
    <row r="66">
      <c r="A66" t="inlineStr">
        <is>
          <t>Password Security (20%)</t>
        </is>
      </c>
      <c r="B66" t="inlineStr">
        <is>
          <t>0.20</t>
        </is>
      </c>
      <c r="C66" s="20" t="n"/>
      <c r="D66">
        <f>C66*B66</f>
        <v/>
      </c>
    </row>
    <row r="67">
      <c r="A67" t="inlineStr">
        <is>
          <t>MFA Coverage (30%)</t>
        </is>
      </c>
      <c r="B67" t="inlineStr">
        <is>
          <t>0.30</t>
        </is>
      </c>
      <c r="C67" s="20" t="n"/>
      <c r="D67">
        <f>C67*B67</f>
        <v/>
      </c>
    </row>
    <row r="68">
      <c r="A68" t="inlineStr">
        <is>
          <t>Certificate Auth (15%)</t>
        </is>
      </c>
      <c r="B68" t="inlineStr">
        <is>
          <t>0.15</t>
        </is>
      </c>
      <c r="C68" s="20" t="n"/>
      <c r="D68">
        <f>C68*B68</f>
        <v/>
      </c>
    </row>
    <row r="69">
      <c r="A69" t="inlineStr">
        <is>
          <t>Service Accounts (15%)</t>
        </is>
      </c>
      <c r="B69" t="inlineStr">
        <is>
          <t>0.15</t>
        </is>
      </c>
      <c r="C69" s="20" t="n"/>
      <c r="D69">
        <f>C69*B69</f>
        <v/>
      </c>
    </row>
    <row r="70">
      <c r="A70" t="inlineStr">
        <is>
          <t>SSO &amp; Federation (20%)</t>
        </is>
      </c>
      <c r="B70" t="inlineStr">
        <is>
          <t>0.20</t>
        </is>
      </c>
      <c r="C70" s="20" t="n"/>
      <c r="D70">
        <f>C70*B70</f>
        <v/>
      </c>
    </row>
    <row r="71">
      <c r="A71" s="3" t="inlineStr">
        <is>
          <t>TOTAL WEIGHTED SCORE:</t>
        </is>
      </c>
      <c r="D71" s="18">
        <f>SUM(D66:D70)*100&amp;"%"</f>
        <v/>
      </c>
    </row>
    <row r="72">
      <c r="A72" s="3" t="inlineStr">
        <is>
          <t>Security Posture Rating:</t>
        </is>
      </c>
      <c r="B72" s="20" t="n"/>
    </row>
    <row r="75">
      <c r="A75" s="22" t="inlineStr">
        <is>
          <t>CRITICAL GAPS REQUIRING IMMEDIATE ATTENTION</t>
        </is>
      </c>
    </row>
    <row r="76">
      <c r="A76" s="5" t="inlineStr">
        <is>
          <t>Priority</t>
        </is>
      </c>
      <c r="B76" s="5" t="inlineStr">
        <is>
          <t>Assessment Area</t>
        </is>
      </c>
      <c r="C76" s="5" t="inlineStr">
        <is>
          <t>Gap Description</t>
        </is>
      </c>
      <c r="D76" s="5" t="inlineStr">
        <is>
          <t>Risk Level</t>
        </is>
      </c>
      <c r="E76" s="5" t="inlineStr">
        <is>
          <t>Responsible Person</t>
        </is>
      </c>
      <c r="F76" s="5" t="inlineStr">
        <is>
          <t>Target Date</t>
        </is>
      </c>
      <c r="G76" s="5" t="inlineStr">
        <is>
          <t>Status</t>
        </is>
      </c>
    </row>
    <row r="77">
      <c r="A77" s="20" t="n"/>
      <c r="B77" s="13" t="n"/>
      <c r="C77" s="13" t="n"/>
      <c r="D77" s="13" t="n"/>
      <c r="E77" s="13" t="n"/>
      <c r="F77" s="20" t="n"/>
      <c r="G77" s="20" t="n"/>
    </row>
    <row r="78">
      <c r="A78" s="20" t="n"/>
      <c r="B78" s="13" t="n"/>
      <c r="C78" s="13" t="n"/>
      <c r="D78" s="13" t="n"/>
      <c r="E78" s="13" t="n"/>
      <c r="F78" s="20" t="n"/>
      <c r="G78" s="20" t="n"/>
    </row>
    <row r="79">
      <c r="A79" s="20" t="n"/>
      <c r="B79" s="13" t="n"/>
      <c r="C79" s="13" t="n"/>
      <c r="D79" s="13" t="n"/>
      <c r="E79" s="13" t="n"/>
      <c r="F79" s="20" t="n"/>
      <c r="G79" s="20" t="n"/>
    </row>
    <row r="80">
      <c r="A80" s="20" t="n"/>
      <c r="B80" s="13" t="n"/>
      <c r="C80" s="13" t="n"/>
      <c r="D80" s="13" t="n"/>
      <c r="E80" s="13" t="n"/>
      <c r="F80" s="20" t="n"/>
      <c r="G80" s="20" t="n"/>
    </row>
    <row r="81">
      <c r="A81" s="20" t="n"/>
      <c r="B81" s="13" t="n"/>
      <c r="C81" s="13" t="n"/>
      <c r="D81" s="13" t="n"/>
      <c r="E81" s="13" t="n"/>
      <c r="F81" s="20" t="n"/>
      <c r="G81" s="20" t="n"/>
    </row>
    <row r="82">
      <c r="A82" s="20" t="n"/>
      <c r="B82" s="13" t="n"/>
      <c r="C82" s="13" t="n"/>
      <c r="D82" s="13" t="n"/>
      <c r="E82" s="13" t="n"/>
      <c r="F82" s="20" t="n"/>
      <c r="G82" s="20" t="n"/>
    </row>
    <row r="83">
      <c r="A83" s="20" t="n"/>
      <c r="B83" s="13" t="n"/>
      <c r="C83" s="13" t="n"/>
      <c r="D83" s="13" t="n"/>
      <c r="E83" s="13" t="n"/>
      <c r="F83" s="20" t="n"/>
      <c r="G83" s="20" t="n"/>
    </row>
    <row r="84">
      <c r="A84" s="20" t="n"/>
      <c r="B84" s="13" t="n"/>
      <c r="C84" s="13" t="n"/>
      <c r="D84" s="13" t="n"/>
      <c r="E84" s="13" t="n"/>
      <c r="F84" s="20" t="n"/>
      <c r="G84" s="20" t="n"/>
    </row>
  </sheetData>
  <mergeCells count="8">
    <mergeCell ref="A31:D31"/>
    <mergeCell ref="A1:G1"/>
    <mergeCell ref="A12:D12"/>
    <mergeCell ref="A64:D64"/>
    <mergeCell ref="A22:E22"/>
    <mergeCell ref="A43:C43"/>
    <mergeCell ref="A54:C54"/>
    <mergeCell ref="A75:G75"/>
  </mergeCells>
  <dataValidations count="3">
    <dataValidation sqref="A77 A78 A79 A80 A81 A82 A83 A84" showDropDown="0" showInputMessage="0" showErrorMessage="0" allowBlank="0" type="list">
      <formula1>"High,Medium,Low"</formula1>
    </dataValidation>
    <dataValidation sqref="D77 D78 D79 D80 D81 D82 D83 D84" showDropDown="0" showInputMessage="0" showErrorMessage="0" allowBlank="0" type="list">
      <formula1>"Critical,High,Medium,Low"</formula1>
    </dataValidation>
    <dataValidation sqref="G77 G78 G79 G80 G81 G82 G83 G84" showDropDown="0" showInputMessage="0" showErrorMessage="0" allowBlank="0" type="list">
      <formula1>"Open,In Progress,Resolved,Closed"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ISMS-IMP-A.8.24.3 - Authentication Assessment</t>
        </is>
      </c>
    </row>
    <row r="5">
      <c r="A5" s="3" t="inlineStr">
        <is>
          <t>Assessment Period</t>
        </is>
      </c>
      <c r="B5" s="13" t="inlineStr"/>
    </row>
    <row r="6">
      <c r="A6" s="3" t="inlineStr">
        <is>
          <t>Overall Compliance Rate</t>
        </is>
      </c>
      <c r="B6" s="13">
        <f>'Summary Dashboard'!G8</f>
        <v/>
      </c>
    </row>
    <row r="7">
      <c r="A7" s="3" t="inlineStr">
        <is>
          <t>Assessment Status</t>
        </is>
      </c>
      <c r="B7" s="13" t="inlineStr"/>
    </row>
    <row r="10">
      <c r="A10" s="25"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5" t="inlineStr">
        <is>
          <t>REVIEWED BY (INFORMATION SECURITY OFFICER)</t>
        </is>
      </c>
    </row>
    <row r="19">
      <c r="A19" s="3" t="inlineStr">
        <is>
          <t>Name:</t>
        </is>
      </c>
      <c r="B19" s="13" t="n"/>
    </row>
    <row r="20">
      <c r="A20" s="3" t="inlineStr">
        <is>
          <t>Date:</t>
        </is>
      </c>
      <c r="B20" s="13" t="n"/>
    </row>
    <row r="21">
      <c r="A21" s="3" t="inlineStr">
        <is>
          <t>Review Notes:</t>
        </is>
      </c>
      <c r="B21" s="13" t="n"/>
    </row>
    <row r="24">
      <c r="A24" s="26" t="inlineStr">
        <is>
          <t>APPROVED BY (CISO)</t>
        </is>
      </c>
    </row>
    <row r="25">
      <c r="A25" s="3" t="inlineStr">
        <is>
          <t>Name:</t>
        </is>
      </c>
      <c r="B25" s="13" t="n"/>
    </row>
    <row r="26">
      <c r="A26" s="3" t="inlineStr">
        <is>
          <t>Date:</t>
        </is>
      </c>
      <c r="B26" s="13" t="n"/>
    </row>
    <row r="27">
      <c r="A27" s="3" t="inlineStr">
        <is>
          <t>Approval Decision:</t>
        </is>
      </c>
      <c r="B27" s="13" t="n"/>
    </row>
    <row r="28">
      <c r="A28" s="3" t="inlineStr">
        <is>
          <t>Conditions/Notes:</t>
        </is>
      </c>
      <c r="B28" s="13" t="n"/>
    </row>
    <row r="31">
      <c r="A31" s="14" t="inlineStr">
        <is>
          <t>NEXT REVIEW DETAILS</t>
        </is>
      </c>
    </row>
    <row r="32">
      <c r="A32" s="3" t="inlineStr">
        <is>
          <t>Next Review Date:</t>
        </is>
      </c>
      <c r="B32" s="13" t="n"/>
    </row>
    <row r="33">
      <c r="A33" s="3" t="inlineStr">
        <is>
          <t>Review Responsible:</t>
        </is>
      </c>
      <c r="B33" s="13" t="n"/>
    </row>
    <row r="34">
      <c r="A34" s="3" t="inlineStr">
        <is>
          <t>Special Considerations:</t>
        </is>
      </c>
      <c r="B34" s="13"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2026-01-31T02:16:42Z</dcterms:created>
  <dcterms:modified xmlns:dcterms="http://purl.org/dc/terms/" xmlns:xsi="http://www.w3.org/2001/XMLSchema-instance" xsi:type="dcterms:W3CDTF">2026-01-31T02:16:42Z</dcterms:modified>
</cp:coreProperties>
</file>