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0" fillId="2"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Assessment Area</t>
        </is>
      </c>
      <c r="B5" t="inlineStr">
        <is>
          <t>Key Management Cryptographic Controls</t>
        </is>
      </c>
    </row>
    <row r="6">
      <c r="A6" s="3" t="inlineStr">
        <is>
          <t>Related Policy</t>
        </is>
      </c>
      <c r="B6" t="inlineStr">
        <is>
          <t>ISMS-POL-A.8.24-S2.4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(1–5) for applicable key management areas</t>
        </is>
      </c>
    </row>
    <row r="15">
      <c r="A15" t="inlineStr">
        <is>
          <t>2. Use dropdown menus for standardized entries (Status, Key Type, Algorithm, Storage Method, etc.)</t>
        </is>
      </c>
    </row>
    <row r="16">
      <c r="A16" t="inlineStr">
        <is>
          <t>3. Fill in yellow-highlighted cells with your information</t>
        </is>
      </c>
    </row>
    <row r="17">
      <c r="A17" t="inlineStr">
        <is>
          <t>4. If Status = Partial or Non-Compliant, complete the Exception/Deviation section</t>
        </is>
      </c>
    </row>
    <row r="18">
      <c r="A18" t="inlineStr">
        <is>
          <t>5. Document key lifecycle details for each cryptographic system</t>
        </is>
      </c>
    </row>
    <row r="19">
      <c r="A19" t="inlineStr">
        <is>
          <t>6. Provide evidence location/path for each implementation entry</t>
        </is>
      </c>
    </row>
    <row r="20">
      <c r="A20" t="inlineStr">
        <is>
          <t>7. Summary Dashboard auto-calculates compliance statistics per key management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Key generation audit logs</t>
        </is>
      </c>
    </row>
    <row r="34">
      <c r="A34" t="inlineStr">
        <is>
          <t>✓ HSM configuration and initialization records</t>
        </is>
      </c>
    </row>
    <row r="35">
      <c r="A35" t="inlineStr">
        <is>
          <t>✓ KMS architecture diagrams</t>
        </is>
      </c>
    </row>
    <row r="36">
      <c r="A36" t="inlineStr">
        <is>
          <t>✓ Key rotation schedules and logs</t>
        </is>
      </c>
    </row>
    <row r="37">
      <c r="A37" t="inlineStr">
        <is>
          <t>✓ Key backup and recovery procedures</t>
        </is>
      </c>
    </row>
    <row r="38">
      <c r="A38" t="inlineStr">
        <is>
          <t>✓ Key escrow agreements</t>
        </is>
      </c>
    </row>
    <row r="39">
      <c r="A39" t="inlineStr">
        <is>
          <t>✓ Certificate lifecycle management reports</t>
        </is>
      </c>
    </row>
    <row r="40">
      <c r="A40" t="inlineStr">
        <is>
          <t>✓ Certificate Authority (CA) audit reports</t>
        </is>
      </c>
    </row>
    <row r="41">
      <c r="A41" t="inlineStr">
        <is>
          <t>✓ Key ceremony documentation</t>
        </is>
      </c>
    </row>
    <row r="42">
      <c r="A42" t="inlineStr">
        <is>
          <t>✓ Cryptographic module validation certificates (FIPS 140-2/3)</t>
        </is>
      </c>
    </row>
    <row r="43">
      <c r="A43" t="inlineStr">
        <is>
          <t>✓ Key usage and access logs</t>
        </is>
      </c>
    </row>
    <row r="44">
      <c r="A44" t="inlineStr">
        <is>
          <t>✓ Key destruction records</t>
        </is>
      </c>
    </row>
    <row r="45">
      <c r="A45" t="inlineStr">
        <is>
          <t>✓ Algorithm compliance verification reports</t>
        </is>
      </c>
    </row>
    <row r="46">
      <c r="A46" t="inlineStr">
        <is>
          <t>✓ Third-party key management audit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3"/>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40" customHeight="1">
      <c r="A1" s="1" t="inlineStr">
        <is>
          <t>1. KEY GENERATION - CRYPTOGRAPHIC KEY CREATION
Policy Requirement: Cryptographic keys MUST be generated using approved algorithms with cryptographically secure random number generators (Policy Section 2.4.1)</t>
        </is>
      </c>
    </row>
    <row r="3" ht="30" customHeight="1">
      <c r="A3" s="11" t="inlineStr">
        <is>
          <t>Does your organization generate cryptographic keys for encryption, signing, or authentication purposes?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Random Number Generator</t>
        </is>
      </c>
      <c r="S6" s="5" t="inlineStr">
        <is>
          <t>Generation Location</t>
        </is>
      </c>
      <c r="T6" s="5" t="inlineStr">
        <is>
          <t>Key Ceremony Performed</t>
        </is>
      </c>
      <c r="U6" s="5" t="inlineStr">
        <is>
          <t>Entropy Source Verified</t>
        </is>
      </c>
      <c r="V6" s="5" t="inlineStr">
        <is>
          <t>Generation Audit Log</t>
        </is>
      </c>
    </row>
    <row r="7">
      <c r="A7" s="12" t="inlineStr">
        <is>
          <t>Example: Production Database Encryption - FINDB01</t>
        </is>
      </c>
      <c r="B7" s="12" t="inlineStr">
        <is>
          <t>Data Encryption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/evidence/key-mgmt/FINDB01-key-generation-log.pdf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RNG</t>
        </is>
      </c>
      <c r="S7" s="12" t="inlineStr">
        <is>
          <t>HSM</t>
        </is>
      </c>
      <c r="T7" s="12" t="inlineStr">
        <is>
          <t>Yes</t>
        </is>
      </c>
      <c r="U7" s="12" t="inlineStr">
        <is>
          <t>Yes</t>
        </is>
      </c>
      <c r="V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2">
      <c r="A22" s="14" t="inlineStr">
        <is>
          <t>1. KEY GENERATION CHECKLIST</t>
        </is>
      </c>
    </row>
    <row r="23">
      <c r="A23" s="3" t="inlineStr">
        <is>
          <t>☐</t>
        </is>
      </c>
      <c r="B23" s="3" t="inlineStr">
        <is>
          <t>Requirement</t>
        </is>
      </c>
      <c r="C23" s="3" t="inlineStr">
        <is>
          <t>Status</t>
        </is>
      </c>
    </row>
    <row r="24">
      <c r="A24" t="inlineStr">
        <is>
          <t>☐</t>
        </is>
      </c>
      <c r="B24" t="inlineStr">
        <is>
          <t>Approved algorithms only (AES-256, RSA ≥3072, Ed25519, ECDSA P-256+)</t>
        </is>
      </c>
      <c r="C24" s="4" t="n"/>
    </row>
    <row r="25">
      <c r="A25" t="inlineStr">
        <is>
          <t>☐</t>
        </is>
      </c>
      <c r="B25" t="inlineStr">
        <is>
          <t>Cryptographically secure random number generator (CSRNG) used</t>
        </is>
      </c>
      <c r="C25" s="4" t="n"/>
    </row>
    <row r="26">
      <c r="A26" t="inlineStr">
        <is>
          <t>☐</t>
        </is>
      </c>
      <c r="B26" t="inlineStr">
        <is>
          <t>FIPS 140-2 Level 2+ validated cryptographic module (production)</t>
        </is>
      </c>
      <c r="C26" s="4" t="n"/>
    </row>
    <row r="27">
      <c r="A27" t="inlineStr">
        <is>
          <t>☐</t>
        </is>
      </c>
      <c r="B27" t="inlineStr">
        <is>
          <t>Key generation performed in secure environment (HSM/KMS/TPM)</t>
        </is>
      </c>
      <c r="C27" s="4" t="n"/>
    </row>
    <row r="28">
      <c r="A28" t="inlineStr">
        <is>
          <t>☐</t>
        </is>
      </c>
      <c r="B28" t="inlineStr">
        <is>
          <t>Weak algorithms prohibited (DES, 3DES, MD5, SHA-1, RSA &lt;2048)</t>
        </is>
      </c>
      <c r="C28" s="4" t="n"/>
    </row>
    <row r="29">
      <c r="A29" t="inlineStr">
        <is>
          <t>☐</t>
        </is>
      </c>
      <c r="B29" t="inlineStr">
        <is>
          <t>Key ceremony documented for master/root keys</t>
        </is>
      </c>
      <c r="C29" s="4" t="n"/>
    </row>
    <row r="30">
      <c r="A30" t="inlineStr">
        <is>
          <t>☐</t>
        </is>
      </c>
      <c r="B30" t="inlineStr">
        <is>
          <t>Dual control/split knowledge for critical key generation</t>
        </is>
      </c>
      <c r="C30" s="4" t="n"/>
    </row>
    <row r="31">
      <c r="A31" t="inlineStr">
        <is>
          <t>☐</t>
        </is>
      </c>
      <c r="B31" t="inlineStr">
        <is>
          <t>Key generation audit logging enabled</t>
        </is>
      </c>
      <c r="C31" s="4" t="n"/>
    </row>
    <row r="32">
      <c r="A32" t="inlineStr">
        <is>
          <t>☐</t>
        </is>
      </c>
      <c r="B32" t="inlineStr">
        <is>
          <t>Generated keys never exposed in plaintext outside secure boundary</t>
        </is>
      </c>
      <c r="C32" s="4" t="n"/>
    </row>
    <row r="33">
      <c r="A33" t="inlineStr">
        <is>
          <t>☐</t>
        </is>
      </c>
      <c r="B33" t="inlineStr">
        <is>
          <t>Entropy source quality verified and tested</t>
        </is>
      </c>
      <c r="C33" s="4" t="n"/>
    </row>
    <row r="34">
      <c r="A34" t="inlineStr">
        <is>
          <t>☐</t>
        </is>
      </c>
      <c r="B34" t="inlineStr">
        <is>
          <t>Key generation procedures documented</t>
        </is>
      </c>
      <c r="C34" s="4" t="n"/>
    </row>
    <row r="35">
      <c r="A35" t="inlineStr">
        <is>
          <t>☐</t>
        </is>
      </c>
      <c r="B35" t="inlineStr">
        <is>
          <t>Key metadata tracked (creation date, purpose, owner, classification)</t>
        </is>
      </c>
      <c r="C35" s="4" t="n"/>
    </row>
    <row r="36">
      <c r="A36" t="inlineStr">
        <is>
          <t>☐</t>
        </is>
      </c>
      <c r="B36" t="inlineStr">
        <is>
          <t>Test/development keys distinct from production keys</t>
        </is>
      </c>
      <c r="C36" s="4" t="n"/>
    </row>
    <row r="37">
      <c r="A37" t="inlineStr">
        <is>
          <t>☐</t>
        </is>
      </c>
      <c r="B37" t="inlineStr">
        <is>
          <t>Default/vendor keys replaced before production use</t>
        </is>
      </c>
      <c r="C37" s="4" t="n"/>
    </row>
    <row r="38">
      <c r="A38" s="3" t="inlineStr">
        <is>
          <t>Checklist Score:</t>
        </is>
      </c>
      <c r="B38" s="15">
        <f>COUNTIF(C24:C37,"Yes")/COUNTA(C24:C37)*100&amp;"%"</f>
        <v/>
      </c>
    </row>
    <row r="40">
      <c r="A40" s="14" t="inlineStr">
        <is>
          <t>APPROVED ALGORITHMS BY USE CASE</t>
        </is>
      </c>
    </row>
    <row r="41">
      <c r="A41" s="5" t="inlineStr">
        <is>
          <t>Use Case</t>
        </is>
      </c>
      <c r="B41" s="5" t="inlineStr">
        <is>
          <t>Minimum Algorithm</t>
        </is>
      </c>
      <c r="C41" s="5" t="inlineStr">
        <is>
          <t>Key Length</t>
        </is>
      </c>
      <c r="D41" s="5" t="inlineStr">
        <is>
          <t>Notes</t>
        </is>
      </c>
    </row>
    <row r="42">
      <c r="A42" s="8" t="inlineStr">
        <is>
          <t>Symmetric Encryption (Data at Rest)</t>
        </is>
      </c>
      <c r="B42" s="8" t="inlineStr">
        <is>
          <t>AES</t>
        </is>
      </c>
      <c r="C42" s="8" t="inlineStr">
        <is>
          <t>256 bits</t>
        </is>
      </c>
      <c r="D42" s="8" t="inlineStr">
        <is>
          <t>AES-256-GCM preferred</t>
        </is>
      </c>
    </row>
    <row r="43">
      <c r="A43" s="8" t="inlineStr">
        <is>
          <t>Symmetric Encryption (Data in Transit)</t>
        </is>
      </c>
      <c r="B43" s="8" t="inlineStr">
        <is>
          <t>AES, ChaCha20</t>
        </is>
      </c>
      <c r="C43" s="8" t="inlineStr">
        <is>
          <t>256 bits</t>
        </is>
      </c>
      <c r="D43" s="8" t="inlineStr">
        <is>
          <t>ChaCha20-Poly1305 for mobile</t>
        </is>
      </c>
    </row>
    <row r="44">
      <c r="A44" s="8" t="inlineStr">
        <is>
          <t>Asymmetric Encryption</t>
        </is>
      </c>
      <c r="B44" s="8" t="inlineStr">
        <is>
          <t>RSA, ECDH</t>
        </is>
      </c>
      <c r="C44" s="8" t="inlineStr">
        <is>
          <t>RSA ≥3072, ECDH P-256+</t>
        </is>
      </c>
      <c r="D44" s="8" t="inlineStr">
        <is>
          <t>RSA-4096 for long-term</t>
        </is>
      </c>
    </row>
    <row r="45">
      <c r="A45" s="8" t="inlineStr">
        <is>
          <t>Digital Signatures</t>
        </is>
      </c>
      <c r="B45" s="8" t="inlineStr">
        <is>
          <t>RSA, Ed25519, ECDSA</t>
        </is>
      </c>
      <c r="C45" s="8" t="inlineStr">
        <is>
          <t>RSA ≥3072, Ed25519, ECDSA P-256+</t>
        </is>
      </c>
      <c r="D45" s="8" t="inlineStr">
        <is>
          <t>Ed25519 preferred for new systems</t>
        </is>
      </c>
    </row>
    <row r="46">
      <c r="A46" s="8" t="inlineStr">
        <is>
          <t>Key Exchange</t>
        </is>
      </c>
      <c r="B46" s="8" t="inlineStr">
        <is>
          <t>ECDH, RSA</t>
        </is>
      </c>
      <c r="C46" s="8" t="inlineStr">
        <is>
          <t>ECDH P-256+, RSA ≥3072</t>
        </is>
      </c>
      <c r="D46" s="8" t="inlineStr">
        <is>
          <t>Use ephemeral keys for PFS</t>
        </is>
      </c>
    </row>
    <row r="47">
      <c r="A47" s="8" t="inlineStr">
        <is>
          <t>Hashing</t>
        </is>
      </c>
      <c r="B47" s="8" t="inlineStr">
        <is>
          <t>SHA-256, SHA-384, SHA-512</t>
        </is>
      </c>
      <c r="C47" s="8" t="inlineStr">
        <is>
          <t>N/A (output size)</t>
        </is>
      </c>
      <c r="D47" s="8" t="inlineStr">
        <is>
          <t>SHA-256 minimum</t>
        </is>
      </c>
    </row>
    <row r="48">
      <c r="A48" s="8" t="inlineStr">
        <is>
          <t>HMAC</t>
        </is>
      </c>
      <c r="B48" s="8" t="inlineStr">
        <is>
          <t>HMAC-SHA256</t>
        </is>
      </c>
      <c r="C48" s="8" t="inlineStr">
        <is>
          <t>≥256 bits</t>
        </is>
      </c>
      <c r="D48" s="8" t="inlineStr">
        <is>
          <t>For message authentication</t>
        </is>
      </c>
    </row>
    <row r="50">
      <c r="A50" s="16" t="inlineStr">
        <is>
          <t>EXCEPTION / DEVIATION DOCUMENTATION (Complete if Status = Partial or Non-Compliant)</t>
        </is>
      </c>
    </row>
    <row r="51">
      <c r="A51" s="3" t="inlineStr">
        <is>
          <t>Formal exception request submitted:</t>
        </is>
      </c>
      <c r="B51" s="13" t="n"/>
    </row>
    <row r="52">
      <c r="A52" s="3" t="inlineStr">
        <is>
          <t>Exception ID:</t>
        </is>
      </c>
      <c r="B52" s="13" t="n"/>
    </row>
    <row r="53">
      <c r="A53" s="3" t="inlineStr">
        <is>
          <t>Risk acceptance documented:</t>
        </is>
      </c>
      <c r="B53" s="13" t="n"/>
    </row>
    <row r="54">
      <c r="A54" s="3" t="inlineStr">
        <is>
          <t>Risk ID:</t>
        </is>
      </c>
      <c r="B54" s="13" t="n"/>
    </row>
    <row r="55">
      <c r="A55" s="3" t="inlineStr">
        <is>
          <t>Compensating Controls (summary):</t>
        </is>
      </c>
      <c r="B55" s="13" t="n"/>
    </row>
    <row r="56">
      <c r="A56" s="3" t="inlineStr">
        <is>
          <t>☐ Enhanced monitoring and alerting</t>
        </is>
      </c>
      <c r="B56" s="13" t="n"/>
    </row>
    <row r="57">
      <c r="A57" s="3" t="inlineStr">
        <is>
          <t>☐ Restricted network access / air-gapped systems</t>
        </is>
      </c>
      <c r="B57" s="13" t="n"/>
    </row>
    <row r="58">
      <c r="A58" s="3" t="inlineStr">
        <is>
          <t>☐ Additional encryption layer</t>
        </is>
      </c>
      <c r="B58" s="13" t="n"/>
    </row>
    <row r="59">
      <c r="A59" s="3" t="inlineStr">
        <is>
          <t>☐ Manual key management procedures</t>
        </is>
      </c>
      <c r="B59" s="13" t="n"/>
    </row>
    <row r="60">
      <c r="A60" s="3" t="inlineStr">
        <is>
          <t>☐ Increased audit frequency</t>
        </is>
      </c>
      <c r="B60" s="13" t="n"/>
    </row>
    <row r="61">
      <c r="A61" s="3" t="inlineStr">
        <is>
          <t>☐ Physical security controls</t>
        </is>
      </c>
      <c r="B61" s="13" t="n"/>
    </row>
    <row r="62">
      <c r="A62" s="3" t="inlineStr">
        <is>
          <t>☐ Other (describe):</t>
        </is>
      </c>
      <c r="B62" s="13" t="n"/>
    </row>
    <row r="64">
      <c r="A64" s="14" t="inlineStr">
        <is>
          <t>ADDITIONAL NOTES / COMMENTS</t>
        </is>
      </c>
    </row>
    <row r="65">
      <c r="A65" s="17" t="n"/>
    </row>
    <row r="66"/>
    <row r="67"/>
    <row r="68"/>
    <row r="69"/>
    <row r="70"/>
    <row r="71"/>
    <row r="72"/>
    <row r="73"/>
  </sheetData>
  <mergeCells count="17">
    <mergeCell ref="A64:V64"/>
    <mergeCell ref="B59:D59"/>
    <mergeCell ref="B54:D54"/>
    <mergeCell ref="B60:D60"/>
    <mergeCell ref="B61:D61"/>
    <mergeCell ref="A1:V1"/>
    <mergeCell ref="B57:D57"/>
    <mergeCell ref="B56:D56"/>
    <mergeCell ref="B58:D58"/>
    <mergeCell ref="B52:D52"/>
    <mergeCell ref="A50:V50"/>
    <mergeCell ref="B53:D53"/>
    <mergeCell ref="A3:V3"/>
    <mergeCell ref="B62:D62"/>
    <mergeCell ref="A65:V73"/>
    <mergeCell ref="B55:D55"/>
    <mergeCell ref="B51:D51"/>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showDropDown="0" showInputMessage="0" showErrorMessage="0" allowBlank="0" type="list">
      <formula1>"Yes,No,N/A"</formula1>
    </dataValidation>
    <dataValidation sqref="B51 B53" showDropDown="0" showInputMessage="0" showErrorMessage="0" allowBlank="0" type="list">
      <formula1>"Yes,No"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40" customHeight="1">
      <c r="A1" s="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row>
    <row r="3" ht="30" customHeight="1">
      <c r="A3" s="11" t="inlineStr">
        <is>
          <t>Does your organization store cryptographic keys that require protection?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HSM/KMS Model</t>
        </is>
      </c>
      <c r="S6" s="5" t="inlineStr">
        <is>
          <t>FIPS 140 Level</t>
        </is>
      </c>
      <c r="T6" s="5" t="inlineStr">
        <is>
          <t>Access Control Method</t>
        </is>
      </c>
      <c r="U6" s="5" t="inlineStr">
        <is>
          <t>Encryption at Rest</t>
        </is>
      </c>
      <c r="V6" s="5" t="inlineStr">
        <is>
          <t>Physical Security</t>
        </is>
      </c>
      <c r="W6" s="5" t="inlineStr">
        <is>
          <t>Key Backup Exists</t>
        </is>
      </c>
    </row>
    <row r="7">
      <c r="A7" s="12" t="inlineStr">
        <is>
          <t>Example: Azure Key Vault - App1 Keys</t>
        </is>
      </c>
      <c r="B7" s="12" t="inlineStr">
        <is>
          <t>Key Encryption Key</t>
        </is>
      </c>
      <c r="C7" s="12" t="inlineStr">
        <is>
          <t>RSA-4096</t>
        </is>
      </c>
      <c r="D7" s="12" t="inlineStr">
        <is>
          <t>4096</t>
        </is>
      </c>
      <c r="E7" s="12" t="inlineStr">
        <is>
          <t>Cloud KMS</t>
        </is>
      </c>
      <c r="F7" s="12" t="inlineStr">
        <is>
          <t>Confidential</t>
        </is>
      </c>
      <c r="G7" s="12" t="inlineStr">
        <is>
          <t>Active</t>
        </is>
      </c>
      <c r="H7" s="12" t="inlineStr">
        <is>
          <t>✅ Compliant</t>
        </is>
      </c>
      <c r="I7" s="12" t="inlineStr">
        <is>
          <t>/evidence/key-mgmt/app1-kv-config.pdf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Azure Key Vault</t>
        </is>
      </c>
      <c r="S7" s="12" t="inlineStr">
        <is>
          <t>Level 2</t>
        </is>
      </c>
      <c r="T7" s="12" t="inlineStr">
        <is>
          <t>MFA Required</t>
        </is>
      </c>
      <c r="U7" s="12" t="inlineStr">
        <is>
          <t>Yes</t>
        </is>
      </c>
      <c r="V7" s="12" t="inlineStr">
        <is>
          <t>Cloud Provider</t>
        </is>
      </c>
      <c r="W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KEY STORAGE CHECKLIST</t>
        </is>
      </c>
    </row>
    <row r="23">
      <c r="A23" s="3" t="inlineStr">
        <is>
          <t>☐</t>
        </is>
      </c>
      <c r="B23" s="3" t="inlineStr">
        <is>
          <t>Requirement</t>
        </is>
      </c>
      <c r="C23" s="3" t="inlineStr">
        <is>
          <t>Status</t>
        </is>
      </c>
    </row>
    <row r="24">
      <c r="A24" t="inlineStr">
        <is>
          <t>☐</t>
        </is>
      </c>
      <c r="B24" t="inlineStr">
        <is>
          <t>Production keys stored in HSM, cloud KMS, or TPM</t>
        </is>
      </c>
      <c r="C24" s="4" t="n"/>
    </row>
    <row r="25">
      <c r="A25" t="inlineStr">
        <is>
          <t>☐</t>
        </is>
      </c>
      <c r="B25" t="inlineStr">
        <is>
          <t>FIPS 140-2 Level 2+ (or FIPS 140-3 equivalent) for production</t>
        </is>
      </c>
      <c r="C25" s="4" t="n"/>
    </row>
    <row r="26">
      <c r="A26" t="inlineStr">
        <is>
          <t>☐</t>
        </is>
      </c>
      <c r="B26" t="inlineStr">
        <is>
          <t>Keys encrypted when stored (key encryption keys protected by HSM)</t>
        </is>
      </c>
      <c r="C26" s="4" t="n"/>
    </row>
    <row r="27">
      <c r="A27" t="inlineStr">
        <is>
          <t>☐</t>
        </is>
      </c>
      <c r="B27" t="inlineStr">
        <is>
          <t>Keys never stored in plaintext files or code repositories</t>
        </is>
      </c>
      <c r="C27" s="4" t="n"/>
    </row>
    <row r="28">
      <c r="A28" t="inlineStr">
        <is>
          <t>☐</t>
        </is>
      </c>
      <c r="B28" t="inlineStr">
        <is>
          <t>Keys never stored in application configuration files</t>
        </is>
      </c>
      <c r="C28" s="4" t="n"/>
    </row>
    <row r="29">
      <c r="A29" t="inlineStr">
        <is>
          <t>☐</t>
        </is>
      </c>
      <c r="B29" t="inlineStr">
        <is>
          <t>Keys never stored in environment variables (production)</t>
        </is>
      </c>
      <c r="C29" s="4" t="n"/>
    </row>
    <row r="30">
      <c r="A30" t="inlineStr">
        <is>
          <t>☐</t>
        </is>
      </c>
      <c r="B30" t="inlineStr">
        <is>
          <t>Keys never stored in databases without encryption</t>
        </is>
      </c>
      <c r="C30" s="4" t="n"/>
    </row>
    <row r="31">
      <c r="A31" t="inlineStr">
        <is>
          <t>☐</t>
        </is>
      </c>
      <c r="B31" t="inlineStr">
        <is>
          <t>Access to keys restricted by role-based access control (RBAC)</t>
        </is>
      </c>
      <c r="C31" s="4" t="n"/>
    </row>
    <row r="32">
      <c r="A32" t="inlineStr">
        <is>
          <t>☐</t>
        </is>
      </c>
      <c r="B32" t="inlineStr">
        <is>
          <t>Multi-factor authentication required for key access</t>
        </is>
      </c>
      <c r="C32" s="4" t="n"/>
    </row>
    <row r="33">
      <c r="A33" t="inlineStr">
        <is>
          <t>☐</t>
        </is>
      </c>
      <c r="B33" t="inlineStr">
        <is>
          <t>Dual control/split knowledge for master keys</t>
        </is>
      </c>
      <c r="C33" s="4" t="n"/>
    </row>
    <row r="34">
      <c r="A34" t="inlineStr">
        <is>
          <t>☐</t>
        </is>
      </c>
      <c r="B34" t="inlineStr">
        <is>
          <t>Key access logged and monitored</t>
        </is>
      </c>
      <c r="C34" s="4" t="n"/>
    </row>
    <row r="35">
      <c r="A35" t="inlineStr">
        <is>
          <t>☐</t>
        </is>
      </c>
      <c r="B35" t="inlineStr">
        <is>
          <t>Keys physically secured (locked facilities, tamper-evident HSMs)</t>
        </is>
      </c>
      <c r="C35" s="4" t="n"/>
    </row>
    <row r="36">
      <c r="A36" t="inlineStr">
        <is>
          <t>☐</t>
        </is>
      </c>
      <c r="B36" t="inlineStr">
        <is>
          <t>Key storage location geographically documented</t>
        </is>
      </c>
      <c r="C36" s="4" t="n"/>
    </row>
    <row r="37">
      <c r="A37" t="inlineStr">
        <is>
          <t>☐</t>
        </is>
      </c>
      <c r="B37" t="inlineStr">
        <is>
          <t>Keys stored separately from encrypted data</t>
        </is>
      </c>
      <c r="C37" s="4" t="n"/>
    </row>
    <row r="38">
      <c r="A38" t="inlineStr">
        <is>
          <t>☐</t>
        </is>
      </c>
      <c r="B38" t="inlineStr">
        <is>
          <t>Backup keys stored with equal or greater security</t>
        </is>
      </c>
      <c r="C38" s="4" t="n"/>
    </row>
    <row r="39">
      <c r="A39" t="inlineStr">
        <is>
          <t>☐</t>
        </is>
      </c>
      <c r="B39" t="inlineStr">
        <is>
          <t>Key export restricted and logged</t>
        </is>
      </c>
      <c r="C39" s="4" t="n"/>
    </row>
    <row r="40">
      <c r="A40" t="inlineStr">
        <is>
          <t>☐</t>
        </is>
      </c>
      <c r="B40" t="inlineStr">
        <is>
          <t>Unused/obsolete keys securely destroyed</t>
        </is>
      </c>
      <c r="C40" s="4" t="n"/>
    </row>
    <row r="41">
      <c r="A41" s="3" t="inlineStr">
        <is>
          <t>Checklist Score:</t>
        </is>
      </c>
      <c r="B41" s="15">
        <f>COUNTIF(C24:C40,"Yes")/COUNTA(C24:C40)*100&amp;"%"</f>
        <v/>
      </c>
    </row>
    <row r="43">
      <c r="A43" s="14" t="inlineStr">
        <is>
          <t>APPROVED KEY STORAGE SOLUTIONS</t>
        </is>
      </c>
    </row>
    <row r="44">
      <c r="A44" s="5" t="inlineStr">
        <is>
          <t>Solution Type</t>
        </is>
      </c>
      <c r="B44" s="5" t="inlineStr">
        <is>
          <t>Examples</t>
        </is>
      </c>
      <c r="C44" s="5" t="inlineStr">
        <is>
          <t>FIPS 140-2 Level</t>
        </is>
      </c>
      <c r="D44" s="5"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Enhanced monitoring and alerting</t>
        </is>
      </c>
      <c r="B57" s="13" t="n"/>
    </row>
    <row r="58">
      <c r="A58" s="3" t="inlineStr">
        <is>
          <t>☐ Restricted network access / air-gapped systems</t>
        </is>
      </c>
      <c r="B58" s="13" t="n"/>
    </row>
    <row r="59">
      <c r="A59" s="3" t="inlineStr">
        <is>
          <t>☐ Additional encryption layer</t>
        </is>
      </c>
      <c r="B59" s="13" t="n"/>
    </row>
    <row r="60">
      <c r="A60" s="3" t="inlineStr">
        <is>
          <t>☐ Manual key management procedures</t>
        </is>
      </c>
      <c r="B60" s="13" t="n"/>
    </row>
    <row r="61">
      <c r="A61" s="3" t="inlineStr">
        <is>
          <t>☐ Increased audit frequency</t>
        </is>
      </c>
      <c r="B61" s="13" t="n"/>
    </row>
    <row r="62">
      <c r="A62" s="3" t="inlineStr">
        <is>
          <t>☐ Physical security controls</t>
        </is>
      </c>
      <c r="B62" s="13" t="n"/>
    </row>
    <row r="63">
      <c r="A63" s="3" t="inlineStr">
        <is>
          <t>☐ Other (describe):</t>
        </is>
      </c>
      <c r="B63" s="13" t="n"/>
    </row>
    <row r="65">
      <c r="A65" s="14" t="inlineStr">
        <is>
          <t>ADDITIONAL NOTES / COMMENTS</t>
        </is>
      </c>
    </row>
    <row r="66">
      <c r="A66" s="17" t="n"/>
    </row>
    <row r="67"/>
    <row r="68"/>
    <row r="69"/>
    <row r="70"/>
    <row r="71"/>
    <row r="72"/>
    <row r="73"/>
    <row r="74"/>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showDropDown="0" showInputMessage="0" showErrorMessage="0" allowBlank="0" type="list">
      <formula1>"Yes,No,N/A"</formula1>
    </dataValidation>
    <dataValidation sqref="B52 B54" showDropDown="0" showInputMessage="0" showErrorMessage="0" allowBlank="0" type="list">
      <formula1>"Yes,No"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40" customHeight="1">
      <c r="A1" s="1" t="inlineStr">
        <is>
          <t>3. KEY ROTATION - CRYPTOGRAPHIC KEY LIFECYCLE MANAGEMENT
Policy Requirement: Cryptographic keys MUST be rotated according to defined schedules: Encryption keys annually, signing keys biennially, session keys hourly/daily (Policy Section 2.4.3)</t>
        </is>
      </c>
    </row>
    <row r="3" ht="30" customHeight="1">
      <c r="A3" s="11" t="inlineStr">
        <is>
          <t>Does your organization have a key rotation policy and implementation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Rotation Schedule</t>
        </is>
      </c>
      <c r="S6" s="5" t="inlineStr">
        <is>
          <t>Last Rotation Date</t>
        </is>
      </c>
      <c r="T6" s="5" t="inlineStr">
        <is>
          <t>Next Rotation Due</t>
        </is>
      </c>
      <c r="U6" s="5" t="inlineStr">
        <is>
          <t>Automated Rotation</t>
        </is>
      </c>
      <c r="V6" s="5" t="inlineStr">
        <is>
          <t>Rotation Tested</t>
        </is>
      </c>
      <c r="W6" s="5" t="inlineStr">
        <is>
          <t>Re-encryption Required</t>
        </is>
      </c>
    </row>
    <row r="7">
      <c r="A7" s="12" t="inlineStr">
        <is>
          <t>Example: API Signing Keys</t>
        </is>
      </c>
      <c r="B7" s="12" t="inlineStr">
        <is>
          <t>Signing Key</t>
        </is>
      </c>
      <c r="C7" s="12" t="inlineStr">
        <is>
          <t>RSA-3072</t>
        </is>
      </c>
      <c r="D7" s="12" t="inlineStr">
        <is>
          <t>3072</t>
        </is>
      </c>
      <c r="E7" s="12" t="inlineStr">
        <is>
          <t>Cloud KMS</t>
        </is>
      </c>
      <c r="F7" s="12" t="inlineStr">
        <is>
          <t>Confidential</t>
        </is>
      </c>
      <c r="G7" s="12" t="inlineStr">
        <is>
          <t>Active</t>
        </is>
      </c>
      <c r="H7" s="12" t="inlineStr">
        <is>
          <t>✅ Compliant</t>
        </is>
      </c>
      <c r="I7" s="12" t="inlineStr">
        <is>
          <t>/evidence/key-mgmt/api-key-rotation.pdf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Quarterly</t>
        </is>
      </c>
      <c r="S7" s="12" t="inlineStr">
        <is>
          <t>2024-10-01</t>
        </is>
      </c>
      <c r="T7" s="12" t="inlineStr">
        <is>
          <t>2025-01-01</t>
        </is>
      </c>
      <c r="U7" s="12" t="inlineStr">
        <is>
          <t>Yes</t>
        </is>
      </c>
      <c r="V7" s="12" t="inlineStr">
        <is>
          <t>Yes</t>
        </is>
      </c>
      <c r="W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3. KEY ROTATION CHECKLIST</t>
        </is>
      </c>
    </row>
    <row r="23">
      <c r="A23" s="3" t="inlineStr">
        <is>
          <t>☐</t>
        </is>
      </c>
      <c r="B23" s="3" t="inlineStr">
        <is>
          <t>Requirement</t>
        </is>
      </c>
      <c r="C23" s="3" t="inlineStr">
        <is>
          <t>Status</t>
        </is>
      </c>
    </row>
    <row r="24">
      <c r="A24" t="inlineStr">
        <is>
          <t>☐</t>
        </is>
      </c>
      <c r="B24" t="inlineStr">
        <is>
          <t>Key rotation policy documented and approved</t>
        </is>
      </c>
      <c r="C24" s="4" t="n"/>
    </row>
    <row r="25">
      <c r="A25" t="inlineStr">
        <is>
          <t>☐</t>
        </is>
      </c>
      <c r="B25" t="inlineStr">
        <is>
          <t>Encryption keys (data at rest) rotated annually minimum</t>
        </is>
      </c>
      <c r="C25" s="4" t="n"/>
    </row>
    <row r="26">
      <c r="A26" t="inlineStr">
        <is>
          <t>☐</t>
        </is>
      </c>
      <c r="B26" t="inlineStr">
        <is>
          <t>Signing keys rotated biennially minimum</t>
        </is>
      </c>
      <c r="C26" s="4" t="n"/>
    </row>
    <row r="27">
      <c r="A27" t="inlineStr">
        <is>
          <t>☐</t>
        </is>
      </c>
      <c r="B27" t="inlineStr">
        <is>
          <t>Session keys rotated hourly/daily</t>
        </is>
      </c>
      <c r="C27" s="4" t="n"/>
    </row>
    <row r="28">
      <c r="A28" t="inlineStr">
        <is>
          <t>☐</t>
        </is>
      </c>
      <c r="B28" t="inlineStr">
        <is>
          <t>Master keys rotated every 1-3 years</t>
        </is>
      </c>
      <c r="C28" s="4" t="n"/>
    </row>
    <row r="29">
      <c r="A29" t="inlineStr">
        <is>
          <t>☐</t>
        </is>
      </c>
      <c r="B29" t="inlineStr">
        <is>
          <t>Key rotation automated where possible</t>
        </is>
      </c>
      <c r="C29" s="4" t="n"/>
    </row>
    <row r="30">
      <c r="A30" t="inlineStr">
        <is>
          <t>☐</t>
        </is>
      </c>
      <c r="B30" t="inlineStr">
        <is>
          <t>Key rotation triggers defined (time, usage, compromise)</t>
        </is>
      </c>
      <c r="C30" s="4" t="n"/>
    </row>
    <row r="31">
      <c r="A31" t="inlineStr">
        <is>
          <t>☐</t>
        </is>
      </c>
      <c r="B31" t="inlineStr">
        <is>
          <t>Data re-encryption performed after key rotation</t>
        </is>
      </c>
      <c r="C31" s="4" t="n"/>
    </row>
    <row r="32">
      <c r="A32" t="inlineStr">
        <is>
          <t>☐</t>
        </is>
      </c>
      <c r="B32" t="inlineStr">
        <is>
          <t>Old keys retained for decryption (with restricted access)</t>
        </is>
      </c>
      <c r="C32" s="4" t="n"/>
    </row>
    <row r="33">
      <c r="A33" t="inlineStr">
        <is>
          <t>☐</t>
        </is>
      </c>
      <c r="B33" t="inlineStr">
        <is>
          <t>Key version tracking implemented</t>
        </is>
      </c>
      <c r="C33" s="4" t="n"/>
    </row>
    <row r="34">
      <c r="A34" t="inlineStr">
        <is>
          <t>☐</t>
        </is>
      </c>
      <c r="B34" t="inlineStr">
        <is>
          <t>Rotation procedures tested in non-production</t>
        </is>
      </c>
      <c r="C34" s="4" t="n"/>
    </row>
    <row r="35">
      <c r="A35" t="inlineStr">
        <is>
          <t>☐</t>
        </is>
      </c>
      <c r="B35" t="inlineStr">
        <is>
          <t>Rotation audit logs maintained</t>
        </is>
      </c>
      <c r="C35" s="4" t="n"/>
    </row>
    <row r="36">
      <c r="A36" t="inlineStr">
        <is>
          <t>☐</t>
        </is>
      </c>
      <c r="B36" t="inlineStr">
        <is>
          <t>Emergency rotation procedure documented</t>
        </is>
      </c>
      <c r="C36" s="4" t="n"/>
    </row>
    <row r="37">
      <c r="A37" t="inlineStr">
        <is>
          <t>☐</t>
        </is>
      </c>
      <c r="B37" t="inlineStr">
        <is>
          <t>Rotation scheduling prevents service disruption</t>
        </is>
      </c>
      <c r="C37" s="4" t="n"/>
    </row>
    <row r="38">
      <c r="A38" t="inlineStr">
        <is>
          <t>☐</t>
        </is>
      </c>
      <c r="B38" t="inlineStr">
        <is>
          <t>Key rotation monitored and alerts configured</t>
        </is>
      </c>
      <c r="C38" s="4" t="n"/>
    </row>
    <row r="39">
      <c r="A39" t="inlineStr">
        <is>
          <t>☐</t>
        </is>
      </c>
      <c r="B39" t="inlineStr">
        <is>
          <t>Cryptoperiod limits enforced (max key usage duration)</t>
        </is>
      </c>
      <c r="C39" s="4" t="n"/>
    </row>
    <row r="40">
      <c r="A40" s="3" t="inlineStr">
        <is>
          <t>Checklist Score:</t>
        </is>
      </c>
      <c r="B40" s="15">
        <f>COUNTIF(C24:C39,"Yes")/COUNTA(C24:C39)*100&amp;"%"</f>
        <v/>
      </c>
    </row>
    <row r="42">
      <c r="A42" s="14" t="inlineStr">
        <is>
          <t>ROTATION SCHEDULE BY KEY TYPE</t>
        </is>
      </c>
    </row>
    <row r="43">
      <c r="A43" s="5" t="inlineStr">
        <is>
          <t>Key Type</t>
        </is>
      </c>
      <c r="B43" s="5" t="inlineStr">
        <is>
          <t>Minimum Rotation Frequency</t>
        </is>
      </c>
      <c r="C43" s="5" t="inlineStr">
        <is>
          <t>Recommended Frequency</t>
        </is>
      </c>
      <c r="D43" s="5"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16" t="inlineStr">
        <is>
          <t>EXCEPTION / DEVIATION DOCUMENTATION (Complete if Status = Partial or Non-Compliant)</t>
        </is>
      </c>
    </row>
    <row r="55">
      <c r="A55" s="3" t="inlineStr">
        <is>
          <t>Formal exception request submitted:</t>
        </is>
      </c>
      <c r="B55" s="13" t="n"/>
    </row>
    <row r="56">
      <c r="A56" s="3" t="inlineStr">
        <is>
          <t>Exception ID:</t>
        </is>
      </c>
      <c r="B56" s="13" t="n"/>
    </row>
    <row r="57">
      <c r="A57" s="3" t="inlineStr">
        <is>
          <t>Risk acceptance documented:</t>
        </is>
      </c>
      <c r="B57" s="13" t="n"/>
    </row>
    <row r="58">
      <c r="A58" s="3" t="inlineStr">
        <is>
          <t>Risk ID:</t>
        </is>
      </c>
      <c r="B58" s="13" t="n"/>
    </row>
    <row r="59">
      <c r="A59" s="3" t="inlineStr">
        <is>
          <t>Compensating Controls (summary):</t>
        </is>
      </c>
      <c r="B59" s="13" t="n"/>
    </row>
    <row r="60">
      <c r="A60" s="3" t="inlineStr">
        <is>
          <t>☐ Enhanced monitoring and alerting</t>
        </is>
      </c>
      <c r="B60" s="13" t="n"/>
    </row>
    <row r="61">
      <c r="A61" s="3" t="inlineStr">
        <is>
          <t>☐ Restricted network access / air-gapped systems</t>
        </is>
      </c>
      <c r="B61" s="13" t="n"/>
    </row>
    <row r="62">
      <c r="A62" s="3" t="inlineStr">
        <is>
          <t>☐ Additional encryption layer</t>
        </is>
      </c>
      <c r="B62" s="13" t="n"/>
    </row>
    <row r="63">
      <c r="A63" s="3" t="inlineStr">
        <is>
          <t>☐ Manual key management procedures</t>
        </is>
      </c>
      <c r="B63" s="13" t="n"/>
    </row>
    <row r="64">
      <c r="A64" s="3" t="inlineStr">
        <is>
          <t>☐ Increased audit frequency</t>
        </is>
      </c>
      <c r="B64" s="13" t="n"/>
    </row>
    <row r="65">
      <c r="A65" s="3" t="inlineStr">
        <is>
          <t>☐ Physical security controls</t>
        </is>
      </c>
      <c r="B65" s="13" t="n"/>
    </row>
    <row r="66">
      <c r="A66" s="3" t="inlineStr">
        <is>
          <t>☐ Other (describe):</t>
        </is>
      </c>
      <c r="B66" s="13" t="n"/>
    </row>
    <row r="68">
      <c r="A68" s="14" t="inlineStr">
        <is>
          <t>ADDITIONAL NOTES / COMMENTS</t>
        </is>
      </c>
    </row>
    <row r="69">
      <c r="A69" s="17" t="n"/>
    </row>
    <row r="70"/>
    <row r="71"/>
    <row r="72"/>
    <row r="73"/>
    <row r="74"/>
    <row r="75"/>
    <row r="76"/>
    <row r="77"/>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showDropDown="0" showInputMessage="0" showErrorMessage="0" allowBlank="0" type="list">
      <formula1>"Yes,No,N/A"</formula1>
    </dataValidation>
    <dataValidation sqref="B55 B57" showDropDown="0" showInputMessage="0" showErrorMessage="0" allowBlank="0" type="list">
      <formula1>"Yes,No"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"Yes,No,N/A"</formula1>
    </dataValidation>
    <dataValidation sqref="W8 W9 W10 W11 W12 W13 W14 W15 W16 W17 W18 W19 W20" showDropDown="0" showInputMessage="0" showErrorMessage="0" allowBlank="0" type="list">
      <formula1>"Yes,No,In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40" customHeight="1">
      <c r="A1" s="1" t="inlineStr">
        <is>
          <t>4. KEY BACKUP &amp; RECOVERY - BUSINESS CONTINUITY
Policy Requirement: Cryptographic keys MUST have documented backup and recovery procedures. Backup keys stored with equal or greater security than production keys (Policy Section 2.4.4)</t>
        </is>
      </c>
    </row>
    <row r="3" ht="30" customHeight="1">
      <c r="A3" s="11" t="inlineStr">
        <is>
          <t>Does your organization maintain backup and recovery procedures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Backup Method</t>
        </is>
      </c>
      <c r="S6" s="5" t="inlineStr">
        <is>
          <t>Backup Encryption</t>
        </is>
      </c>
      <c r="T6" s="5" t="inlineStr">
        <is>
          <t>Backup Location</t>
        </is>
      </c>
      <c r="U6" s="5" t="inlineStr">
        <is>
          <t>Recovery Tested</t>
        </is>
      </c>
      <c r="V6" s="5" t="inlineStr">
        <is>
          <t>Last Recovery Test</t>
        </is>
      </c>
      <c r="W6" s="5" t="inlineStr">
        <is>
          <t>RTO (Recovery Time)</t>
        </is>
      </c>
      <c r="X6" s="5" t="inlineStr">
        <is>
          <t>Escrow Agreement</t>
        </is>
      </c>
    </row>
    <row r="7">
      <c r="A7" s="12" t="inlineStr">
        <is>
          <t>Example: Master Encryption Key Backup</t>
        </is>
      </c>
      <c r="B7" s="12" t="inlineStr">
        <is>
          <t>Master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/evidence/key-mgmt/master-key-backup.pdf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Backup</t>
        </is>
      </c>
      <c r="S7" s="12" t="inlineStr">
        <is>
          <t>Yes</t>
        </is>
      </c>
      <c r="T7" s="12" t="inlineStr">
        <is>
          <t>Offsite Secure Vault</t>
        </is>
      </c>
      <c r="U7" s="12" t="inlineStr">
        <is>
          <t>Yes</t>
        </is>
      </c>
      <c r="V7" s="12" t="inlineStr">
        <is>
          <t>2024-06-15</t>
        </is>
      </c>
      <c r="W7" s="12" t="inlineStr">
        <is>
          <t>&lt;1 hour</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KEY BACKUP &amp; RECOVERY CHECKLIST</t>
        </is>
      </c>
    </row>
    <row r="23">
      <c r="A23" s="3" t="inlineStr">
        <is>
          <t>☐</t>
        </is>
      </c>
      <c r="B23" s="3" t="inlineStr">
        <is>
          <t>Requirement</t>
        </is>
      </c>
      <c r="C23" s="3" t="inlineStr">
        <is>
          <t>Status</t>
        </is>
      </c>
    </row>
    <row r="24">
      <c r="A24" t="inlineStr">
        <is>
          <t>☐</t>
        </is>
      </c>
      <c r="B24" t="inlineStr">
        <is>
          <t>Key backup and recovery procedures documented</t>
        </is>
      </c>
      <c r="C24" s="4" t="n"/>
    </row>
    <row r="25">
      <c r="A25" t="inlineStr">
        <is>
          <t>☐</t>
        </is>
      </c>
      <c r="B25" t="inlineStr">
        <is>
          <t>All critical keys have backup copies</t>
        </is>
      </c>
      <c r="C25" s="4" t="n"/>
    </row>
    <row r="26">
      <c r="A26" t="inlineStr">
        <is>
          <t>☐</t>
        </is>
      </c>
      <c r="B26" t="inlineStr">
        <is>
          <t>Backup keys encrypted with equal or stronger encryption</t>
        </is>
      </c>
      <c r="C26" s="4" t="n"/>
    </row>
    <row r="27">
      <c r="A27" t="inlineStr">
        <is>
          <t>☐</t>
        </is>
      </c>
      <c r="B27" t="inlineStr">
        <is>
          <t>Backup keys stored separately from production keys</t>
        </is>
      </c>
      <c r="C27" s="4" t="n"/>
    </row>
    <row r="28">
      <c r="A28" t="inlineStr">
        <is>
          <t>☐</t>
        </is>
      </c>
      <c r="B28" t="inlineStr">
        <is>
          <t>Geographic separation of backup keys (offsite/different region)</t>
        </is>
      </c>
      <c r="C28" s="4" t="n"/>
    </row>
    <row r="29">
      <c r="A29" t="inlineStr">
        <is>
          <t>☐</t>
        </is>
      </c>
      <c r="B29" t="inlineStr">
        <is>
          <t>Backup key access restricted (dual control/escrow)</t>
        </is>
      </c>
      <c r="C29" s="4" t="n"/>
    </row>
    <row r="30">
      <c r="A30" t="inlineStr">
        <is>
          <t>☐</t>
        </is>
      </c>
      <c r="B30" t="inlineStr">
        <is>
          <t>Key recovery procedures tested quarterly</t>
        </is>
      </c>
      <c r="C30" s="4" t="n"/>
    </row>
    <row r="31">
      <c r="A31" t="inlineStr">
        <is>
          <t>☐</t>
        </is>
      </c>
      <c r="B31" t="inlineStr">
        <is>
          <t>Recovery time objective (RTO) defined and documented</t>
        </is>
      </c>
      <c r="C31" s="4" t="n"/>
    </row>
    <row r="32">
      <c r="A32" t="inlineStr">
        <is>
          <t>☐</t>
        </is>
      </c>
      <c r="B32" t="inlineStr">
        <is>
          <t>Recovery point objective (RPO) defined and documented</t>
        </is>
      </c>
      <c r="C32" s="4" t="n"/>
    </row>
    <row r="33">
      <c r="A33" t="inlineStr">
        <is>
          <t>☐</t>
        </is>
      </c>
      <c r="B33" t="inlineStr">
        <is>
          <t>Key escrow agreements in place (where required)</t>
        </is>
      </c>
      <c r="C33" s="4" t="n"/>
    </row>
    <row r="34">
      <c r="A34" t="inlineStr">
        <is>
          <t>☐</t>
        </is>
      </c>
      <c r="B34" t="inlineStr">
        <is>
          <t>Split knowledge/dual control for backup key recovery</t>
        </is>
      </c>
      <c r="C34" s="4" t="n"/>
    </row>
    <row r="35">
      <c r="A35" t="inlineStr">
        <is>
          <t>☐</t>
        </is>
      </c>
      <c r="B35" t="inlineStr">
        <is>
          <t>Backup key inventory maintained and audited</t>
        </is>
      </c>
      <c r="C35" s="4" t="n"/>
    </row>
    <row r="36">
      <c r="A36" t="inlineStr">
        <is>
          <t>☐</t>
        </is>
      </c>
      <c r="B36" t="inlineStr">
        <is>
          <t>Backup keys versioned and synchronized with production</t>
        </is>
      </c>
      <c r="C36" s="4" t="n"/>
    </row>
    <row r="37">
      <c r="A37" t="inlineStr">
        <is>
          <t>☐</t>
        </is>
      </c>
      <c r="B37" t="inlineStr">
        <is>
          <t>Emergency recovery procedures documented</t>
        </is>
      </c>
      <c r="C37" s="4" t="n"/>
    </row>
    <row r="38">
      <c r="A38" t="inlineStr">
        <is>
          <t>☐</t>
        </is>
      </c>
      <c r="B38" t="inlineStr">
        <is>
          <t>Key recovery audit logging enabled</t>
        </is>
      </c>
      <c r="C38" s="4" t="n"/>
    </row>
    <row r="39">
      <c r="A39" t="inlineStr">
        <is>
          <t>☐</t>
        </is>
      </c>
      <c r="B39" t="inlineStr">
        <is>
          <t>Backup keys updated when production keys rotate</t>
        </is>
      </c>
      <c r="C39" s="4" t="n"/>
    </row>
    <row r="40">
      <c r="A40" t="inlineStr">
        <is>
          <t>☐</t>
        </is>
      </c>
      <c r="B40" t="inlineStr">
        <is>
          <t>Cloud KMS backup to different region/account</t>
        </is>
      </c>
      <c r="C40" s="4" t="n"/>
    </row>
    <row r="41">
      <c r="A41" t="inlineStr">
        <is>
          <t>☐</t>
        </is>
      </c>
      <c r="B41" t="inlineStr">
        <is>
          <t>HSM backup cards stored in secure facility</t>
        </is>
      </c>
      <c r="C41" s="4" t="n"/>
    </row>
    <row r="42">
      <c r="A42" s="3" t="inlineStr">
        <is>
          <t>Checklist Score:</t>
        </is>
      </c>
      <c r="B42" s="15">
        <f>COUNTIF(C24:C41,"Yes")/COUNTA(C24:C41)*100&amp;"%"</f>
        <v/>
      </c>
    </row>
    <row r="44">
      <c r="A44" s="14" t="inlineStr">
        <is>
          <t>BACKUP STRATEGIES BY KEY TYPE</t>
        </is>
      </c>
    </row>
    <row r="45">
      <c r="A45" s="5" t="inlineStr">
        <is>
          <t>Key Type</t>
        </is>
      </c>
      <c r="B45" s="5" t="inlineStr">
        <is>
          <t>Recommended Backup Method</t>
        </is>
      </c>
      <c r="C45" s="5" t="inlineStr">
        <is>
          <t>Storage Location</t>
        </is>
      </c>
      <c r="D45" s="5"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Enhanced monitoring and alerting</t>
        </is>
      </c>
      <c r="B59" s="13" t="n"/>
    </row>
    <row r="60">
      <c r="A60" s="3" t="inlineStr">
        <is>
          <t>☐ Restricted network access / air-gapped systems</t>
        </is>
      </c>
      <c r="B60" s="13" t="n"/>
    </row>
    <row r="61">
      <c r="A61" s="3" t="inlineStr">
        <is>
          <t>☐ Additional encryption layer</t>
        </is>
      </c>
      <c r="B61" s="13" t="n"/>
    </row>
    <row r="62">
      <c r="A62" s="3" t="inlineStr">
        <is>
          <t>☐ Manual key management procedures</t>
        </is>
      </c>
      <c r="B62" s="13" t="n"/>
    </row>
    <row r="63">
      <c r="A63" s="3" t="inlineStr">
        <is>
          <t>☐ Increased audit frequency</t>
        </is>
      </c>
      <c r="B63" s="13" t="n"/>
    </row>
    <row r="64">
      <c r="A64" s="3" t="inlineStr">
        <is>
          <t>☐ Physical security controls</t>
        </is>
      </c>
      <c r="B64" s="13" t="n"/>
    </row>
    <row r="65">
      <c r="A65" s="3" t="inlineStr">
        <is>
          <t>☐ Other (describe):</t>
        </is>
      </c>
      <c r="B65" s="13" t="n"/>
    </row>
    <row r="67">
      <c r="A67" s="14" t="inlineStr">
        <is>
          <t>ADDITIONAL NOTES / COMMENTS</t>
        </is>
      </c>
    </row>
    <row r="68">
      <c r="A68" s="17" t="n"/>
    </row>
    <row r="69"/>
    <row r="70"/>
    <row r="71"/>
    <row r="72"/>
    <row r="73"/>
    <row r="74"/>
    <row r="75"/>
    <row r="76"/>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54 B56" showDropDown="0" showInputMessage="0" showErrorMessage="0" allowBlank="0" type="list">
      <formula1>"Yes,No"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"Yes,No,Scheduled,N/A"</formula1>
    </dataValidation>
    <dataValidation sqref="S8 S9 S10 S11 S12 S13 S14 S15 S16 S17 S18 S19 S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89"/>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40" customHeight="1">
      <c r="A1" s="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row>
    <row r="3" ht="30" customHeight="1">
      <c r="A3" s="11" t="inlineStr">
        <is>
          <t>Does your organization use digital certificates for TLS/SSL, code signing, email signing, or authentication?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Certificate Validity</t>
        </is>
      </c>
      <c r="U6" s="5" t="inlineStr">
        <is>
          <t>Expiration Date</t>
        </is>
      </c>
      <c r="V6" s="5" t="inlineStr">
        <is>
          <t>Auto-Renewal</t>
        </is>
      </c>
      <c r="W6" s="5" t="inlineStr">
        <is>
          <t>Revocation Method</t>
        </is>
      </c>
      <c r="X6" s="5" t="inlineStr">
        <is>
          <t>Monitoring Enabled</t>
        </is>
      </c>
    </row>
    <row r="7">
      <c r="A7" s="12" t="inlineStr">
        <is>
          <t>Example: Production Web Server TLS</t>
        </is>
      </c>
      <c r="B7" s="12" t="inlineStr">
        <is>
          <t>Certificate</t>
        </is>
      </c>
      <c r="C7" s="12" t="inlineStr">
        <is>
          <t>RSA-2048</t>
        </is>
      </c>
      <c r="D7" s="12" t="inlineStr">
        <is>
          <t>2048</t>
        </is>
      </c>
      <c r="E7" s="12" t="inlineStr">
        <is>
          <t>TPM</t>
        </is>
      </c>
      <c r="F7" s="12" t="inlineStr">
        <is>
          <t>Public</t>
        </is>
      </c>
      <c r="G7" s="12" t="inlineStr">
        <is>
          <t>Active</t>
        </is>
      </c>
      <c r="H7" s="12" t="inlineStr">
        <is>
          <t>✅ Compliant</t>
        </is>
      </c>
      <c r="I7" s="12" t="inlineStr">
        <is>
          <t>/evidence/key-mgmt/web-tls-cert.pdf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TLS/SSL Server</t>
        </is>
      </c>
      <c r="S7" s="12" t="inlineStr">
        <is>
          <t>Let's Encrypt</t>
        </is>
      </c>
      <c r="T7" s="12" t="inlineStr">
        <is>
          <t>≤90 days</t>
        </is>
      </c>
      <c r="U7" s="12" t="inlineStr">
        <is>
          <t>2025-03-15</t>
        </is>
      </c>
      <c r="V7" s="12" t="inlineStr">
        <is>
          <t>Yes</t>
        </is>
      </c>
      <c r="W7" s="12" t="inlineStr">
        <is>
          <t>OCSP</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CERTIFICATE MANAGEMENT CHECKLIST</t>
        </is>
      </c>
    </row>
    <row r="23">
      <c r="A23" s="3" t="inlineStr">
        <is>
          <t>☐</t>
        </is>
      </c>
      <c r="B23" s="3" t="inlineStr">
        <is>
          <t>Requirement</t>
        </is>
      </c>
      <c r="C23" s="3" t="inlineStr">
        <is>
          <t>Status</t>
        </is>
      </c>
    </row>
    <row r="24">
      <c r="A24" t="inlineStr">
        <is>
          <t>☐</t>
        </is>
      </c>
      <c r="B24" t="inlineStr">
        <is>
          <t>Certificates issued from trusted public CA (for external services)</t>
        </is>
      </c>
      <c r="C24" s="4" t="n"/>
    </row>
    <row r="25">
      <c r="A25" t="inlineStr">
        <is>
          <t>☐</t>
        </is>
      </c>
      <c r="B25" t="inlineStr">
        <is>
          <t>Internal CA infrastructure properly secured (for internal services)</t>
        </is>
      </c>
      <c r="C25" s="4" t="n"/>
    </row>
    <row r="26">
      <c r="A26" t="inlineStr">
        <is>
          <t>☐</t>
        </is>
      </c>
      <c r="B26" t="inlineStr">
        <is>
          <t>Certificate validity ≤397 days (public TLS certificates)</t>
        </is>
      </c>
      <c r="C26" s="4" t="n"/>
    </row>
    <row r="27">
      <c r="A27" t="inlineStr">
        <is>
          <t>☐</t>
        </is>
      </c>
      <c r="B27" t="inlineStr">
        <is>
          <t>Certificate validity ≤90 days preferred (automated renewal)</t>
        </is>
      </c>
      <c r="C27" s="4" t="n"/>
    </row>
    <row r="28">
      <c r="A28" t="inlineStr">
        <is>
          <t>☐</t>
        </is>
      </c>
      <c r="B28" t="inlineStr">
        <is>
          <t>Self-signed certificates NOT used in production</t>
        </is>
      </c>
      <c r="C28" s="4" t="n"/>
    </row>
    <row r="29">
      <c r="A29" t="inlineStr">
        <is>
          <t>☐</t>
        </is>
      </c>
      <c r="B29" t="inlineStr">
        <is>
          <t>Certificate inventory maintained and up to date</t>
        </is>
      </c>
      <c r="C29" s="4" t="n"/>
    </row>
    <row r="30">
      <c r="A30" t="inlineStr">
        <is>
          <t>☐</t>
        </is>
      </c>
      <c r="B30" t="inlineStr">
        <is>
          <t>Certificate expiration monitoring implemented</t>
        </is>
      </c>
      <c r="C30" s="4" t="n"/>
    </row>
    <row r="31">
      <c r="A31" t="inlineStr">
        <is>
          <t>☐</t>
        </is>
      </c>
      <c r="B31" t="inlineStr">
        <is>
          <t>Alerts configured for 30/60/90 days before expiration</t>
        </is>
      </c>
      <c r="C31" s="4" t="n"/>
    </row>
    <row r="32">
      <c r="A32" t="inlineStr">
        <is>
          <t>☐</t>
        </is>
      </c>
      <c r="B32" t="inlineStr">
        <is>
          <t>Automated certificate renewal configured</t>
        </is>
      </c>
      <c r="C32" s="4" t="n"/>
    </row>
    <row r="33">
      <c r="A33" t="inlineStr">
        <is>
          <t>☐</t>
        </is>
      </c>
      <c r="B33" t="inlineStr">
        <is>
          <t>Certificate renewal tested in non-production</t>
        </is>
      </c>
      <c r="C33" s="4" t="n"/>
    </row>
    <row r="34">
      <c r="A34" t="inlineStr">
        <is>
          <t>☐</t>
        </is>
      </c>
      <c r="B34" t="inlineStr">
        <is>
          <t>Certificate revocation procedures documented</t>
        </is>
      </c>
      <c r="C34" s="4" t="n"/>
    </row>
    <row r="35">
      <c r="A35" t="inlineStr">
        <is>
          <t>☐</t>
        </is>
      </c>
      <c r="B35" t="inlineStr">
        <is>
          <t>CRL or OCSP configured for revocation checking</t>
        </is>
      </c>
      <c r="C35" s="4" t="n"/>
    </row>
    <row r="36">
      <c r="A36" t="inlineStr">
        <is>
          <t>☐</t>
        </is>
      </c>
      <c r="B36" t="inlineStr">
        <is>
          <t>Compromised certificate revocation within 24 hours</t>
        </is>
      </c>
      <c r="C36" s="4" t="n"/>
    </row>
    <row r="37">
      <c r="A37" t="inlineStr">
        <is>
          <t>☐</t>
        </is>
      </c>
      <c r="B37" t="inlineStr">
        <is>
          <t>Certificate private keys stored securely (HSM/KMS preferred)</t>
        </is>
      </c>
      <c r="C37" s="4" t="n"/>
    </row>
    <row r="38">
      <c r="A38" t="inlineStr">
        <is>
          <t>☐</t>
        </is>
      </c>
      <c r="B38" t="inlineStr">
        <is>
          <t>Certificate private keys never shared across systems</t>
        </is>
      </c>
      <c r="C38" s="4" t="n"/>
    </row>
    <row r="39">
      <c r="A39" t="inlineStr">
        <is>
          <t>☐</t>
        </is>
      </c>
      <c r="B39" t="inlineStr">
        <is>
          <t>Wildcard certificates use documented and restricted</t>
        </is>
      </c>
      <c r="C39" s="4" t="n"/>
    </row>
    <row r="40">
      <c r="A40" t="inlineStr">
        <is>
          <t>☐</t>
        </is>
      </c>
      <c r="B40" t="inlineStr">
        <is>
          <t>Certificate signing requests (CSR) process documented</t>
        </is>
      </c>
      <c r="C40" s="4" t="n"/>
    </row>
    <row r="41">
      <c r="A41" t="inlineStr">
        <is>
          <t>☐</t>
        </is>
      </c>
      <c r="B41" t="inlineStr">
        <is>
          <t>Certificate audit logs maintained</t>
        </is>
      </c>
      <c r="C41" s="4" t="n"/>
    </row>
    <row r="42">
      <c r="A42" t="inlineStr">
        <is>
          <t>☐</t>
        </is>
      </c>
      <c r="B42" t="inlineStr">
        <is>
          <t>Code signing certificates protected with hardware tokens</t>
        </is>
      </c>
      <c r="C42" s="4" t="n"/>
    </row>
    <row r="43">
      <c r="A43" t="inlineStr">
        <is>
          <t>☐</t>
        </is>
      </c>
      <c r="B43" t="inlineStr">
        <is>
          <t>Email certificates (S/MIME) issued per user</t>
        </is>
      </c>
      <c r="C43" s="4" t="n"/>
    </row>
    <row r="44">
      <c r="A44" s="3" t="inlineStr">
        <is>
          <t>Checklist Score:</t>
        </is>
      </c>
      <c r="B44" s="15">
        <f>COUNTIF(C24:C43,"Yes")/COUNTA(C24:C43)*100&amp;"%"</f>
        <v/>
      </c>
    </row>
    <row r="46">
      <c r="A46" s="14" t="inlineStr">
        <is>
          <t>CERTIFICATE VALIDITY STANDARDS</t>
        </is>
      </c>
    </row>
    <row r="47">
      <c r="A47" s="5" t="inlineStr">
        <is>
          <t>Certificate Type</t>
        </is>
      </c>
      <c r="B47" s="5" t="inlineStr">
        <is>
          <t>Maximum Validity</t>
        </is>
      </c>
      <c r="C47" s="5" t="inlineStr">
        <is>
          <t>Recommended Validity</t>
        </is>
      </c>
      <c r="D47" s="5" t="inlineStr">
        <is>
          <t>Renewal Process</t>
        </is>
      </c>
    </row>
    <row r="48">
      <c r="A48" s="8" t="inlineStr">
        <is>
          <t>Public TLS/SSL</t>
        </is>
      </c>
      <c r="B48" s="8" t="inlineStr">
        <is>
          <t>397 days (13 months)</t>
        </is>
      </c>
      <c r="C48" s="8" t="inlineStr">
        <is>
          <t>90 days</t>
        </is>
      </c>
      <c r="D48" s="8" t="inlineStr">
        <is>
          <t>ACME/Let's Encrypt automated</t>
        </is>
      </c>
    </row>
    <row r="49">
      <c r="A49" s="8" t="inlineStr">
        <is>
          <t>Internal TLS/SSL</t>
        </is>
      </c>
      <c r="B49" s="8" t="inlineStr">
        <is>
          <t>2 years</t>
        </is>
      </c>
      <c r="C49" s="8" t="inlineStr">
        <is>
          <t>1 year</t>
        </is>
      </c>
      <c r="D49" s="8" t="inlineStr">
        <is>
          <t>Internal CA automated</t>
        </is>
      </c>
    </row>
    <row r="50">
      <c r="A50" s="8" t="inlineStr">
        <is>
          <t>Code Signing</t>
        </is>
      </c>
      <c r="B50" s="8" t="inlineStr">
        <is>
          <t>3 years</t>
        </is>
      </c>
      <c r="C50" s="8" t="inlineStr">
        <is>
          <t>1 year</t>
        </is>
      </c>
      <c r="D50" s="8" t="inlineStr">
        <is>
          <t>Manual with hardware token</t>
        </is>
      </c>
    </row>
    <row r="51">
      <c r="A51" s="8" t="inlineStr">
        <is>
          <t>Email (S/MIME)</t>
        </is>
      </c>
      <c r="B51" s="8" t="inlineStr">
        <is>
          <t>2 years</t>
        </is>
      </c>
      <c r="C51" s="8" t="inlineStr">
        <is>
          <t>1 year</t>
        </is>
      </c>
      <c r="D51" s="8" t="inlineStr">
        <is>
          <t>PKI automated or manual</t>
        </is>
      </c>
    </row>
    <row r="52">
      <c r="A52" s="8" t="inlineStr">
        <is>
          <t>Client Authentication</t>
        </is>
      </c>
      <c r="B52" s="8" t="inlineStr">
        <is>
          <t>2 years</t>
        </is>
      </c>
      <c r="C52" s="8" t="inlineStr">
        <is>
          <t>1 year</t>
        </is>
      </c>
      <c r="D52" s="8" t="inlineStr">
        <is>
          <t>PKI automated</t>
        </is>
      </c>
    </row>
    <row r="53">
      <c r="A53" s="8" t="inlineStr">
        <is>
          <t>Root CA</t>
        </is>
      </c>
      <c r="B53" s="8" t="inlineStr">
        <is>
          <t>20 years</t>
        </is>
      </c>
      <c r="C53" s="8" t="inlineStr">
        <is>
          <t>10 years</t>
        </is>
      </c>
      <c r="D53" s="8" t="inlineStr">
        <is>
          <t>Manual with ceremony</t>
        </is>
      </c>
    </row>
    <row r="54">
      <c r="A54" s="8" t="inlineStr">
        <is>
          <t>Intermediate CA</t>
        </is>
      </c>
      <c r="B54" s="8" t="inlineStr">
        <is>
          <t>10 years</t>
        </is>
      </c>
      <c r="C54" s="8" t="inlineStr">
        <is>
          <t>5 years</t>
        </is>
      </c>
      <c r="D54" s="8" t="inlineStr">
        <is>
          <t>Manual with ceremony</t>
        </is>
      </c>
    </row>
    <row r="56">
      <c r="A56" s="14" t="inlineStr">
        <is>
          <t>CERTIFICATE LIFECYCLE STAGES</t>
        </is>
      </c>
    </row>
    <row r="57">
      <c r="A57" s="5" t="inlineStr">
        <is>
          <t>Stage</t>
        </is>
      </c>
      <c r="B57" s="5" t="inlineStr">
        <is>
          <t>Actions</t>
        </is>
      </c>
      <c r="C57" s="5" t="inlineStr">
        <is>
          <t>Responsible Role</t>
        </is>
      </c>
      <c r="D57" s="5" t="inlineStr">
        <is>
          <t>Documentation Required</t>
        </is>
      </c>
    </row>
    <row r="58">
      <c r="A58" s="8" t="inlineStr">
        <is>
          <t>Request</t>
        </is>
      </c>
      <c r="B58" s="8" t="inlineStr">
        <is>
          <t>Generate CSR, validate domain/identity</t>
        </is>
      </c>
      <c r="C58" s="8" t="inlineStr">
        <is>
          <t>System Owner</t>
        </is>
      </c>
      <c r="D58" s="8" t="inlineStr">
        <is>
          <t>CSR details, approval</t>
        </is>
      </c>
    </row>
    <row r="59">
      <c r="A59" s="8" t="inlineStr">
        <is>
          <t>Issuance</t>
        </is>
      </c>
      <c r="B59" s="8" t="inlineStr">
        <is>
          <t>CA validation, certificate generation</t>
        </is>
      </c>
      <c r="C59" s="8" t="inlineStr">
        <is>
          <t>CA Admin</t>
        </is>
      </c>
      <c r="D59" s="8" t="inlineStr">
        <is>
          <t>Issuance record, validation log</t>
        </is>
      </c>
    </row>
    <row r="60">
      <c r="A60" s="8" t="inlineStr">
        <is>
          <t>Installation</t>
        </is>
      </c>
      <c r="B60" s="8" t="inlineStr">
        <is>
          <t>Deploy certificate to service</t>
        </is>
      </c>
      <c r="C60" s="8" t="inlineStr">
        <is>
          <t>System Admin</t>
        </is>
      </c>
      <c r="D60" s="8" t="inlineStr">
        <is>
          <t>Deployment log, verification</t>
        </is>
      </c>
    </row>
    <row r="61">
      <c r="A61" s="8" t="inlineStr">
        <is>
          <t>Monitoring</t>
        </is>
      </c>
      <c r="B61" s="8" t="inlineStr">
        <is>
          <t>Track expiration, validate configuration</t>
        </is>
      </c>
      <c r="C61" s="8" t="inlineStr">
        <is>
          <t>Security Team</t>
        </is>
      </c>
      <c r="D61" s="8" t="inlineStr">
        <is>
          <t>Monitoring dashboard</t>
        </is>
      </c>
    </row>
    <row r="62">
      <c r="A62" s="8" t="inlineStr">
        <is>
          <t>Renewal</t>
        </is>
      </c>
      <c r="B62" s="8" t="inlineStr">
        <is>
          <t>Generate new CSR, request renewal</t>
        </is>
      </c>
      <c r="C62" s="8" t="inlineStr">
        <is>
          <t>System Owner</t>
        </is>
      </c>
      <c r="D62" s="8" t="inlineStr">
        <is>
          <t>Renewal approval, testing</t>
        </is>
      </c>
    </row>
    <row r="63">
      <c r="A63" s="8" t="inlineStr">
        <is>
          <t>Revocation</t>
        </is>
      </c>
      <c r="B63" s="8" t="inlineStr">
        <is>
          <t>Revoke compromised/obsolete certificate</t>
        </is>
      </c>
      <c r="C63" s="8" t="inlineStr">
        <is>
          <t>CA Admin</t>
        </is>
      </c>
      <c r="D63" s="8" t="inlineStr">
        <is>
          <t>Incident record, revocation log</t>
        </is>
      </c>
    </row>
    <row r="64">
      <c r="A64" s="8" t="inlineStr">
        <is>
          <t>Archival</t>
        </is>
      </c>
      <c r="B64" s="8" t="inlineStr">
        <is>
          <t>Archive expired certificates</t>
        </is>
      </c>
      <c r="C64" s="8" t="inlineStr">
        <is>
          <t>Security Team</t>
        </is>
      </c>
      <c r="D64" s="8" t="inlineStr">
        <is>
          <t>Archive log, retention period</t>
        </is>
      </c>
    </row>
    <row r="66">
      <c r="A66" s="16" t="inlineStr">
        <is>
          <t>EXCEPTION / DEVIATION DOCUMENTATION (Complete if Status = Partial or Non-Compliant)</t>
        </is>
      </c>
    </row>
    <row r="67">
      <c r="A67" s="3" t="inlineStr">
        <is>
          <t>Formal exception request submitted:</t>
        </is>
      </c>
      <c r="B67" s="13" t="n"/>
    </row>
    <row r="68">
      <c r="A68" s="3" t="inlineStr">
        <is>
          <t>Exception ID:</t>
        </is>
      </c>
      <c r="B68" s="13" t="n"/>
    </row>
    <row r="69">
      <c r="A69" s="3" t="inlineStr">
        <is>
          <t>Risk acceptance documented:</t>
        </is>
      </c>
      <c r="B69" s="13" t="n"/>
    </row>
    <row r="70">
      <c r="A70" s="3" t="inlineStr">
        <is>
          <t>Risk ID:</t>
        </is>
      </c>
      <c r="B70" s="13" t="n"/>
    </row>
    <row r="71">
      <c r="A71" s="3" t="inlineStr">
        <is>
          <t>Compensating Controls (summary):</t>
        </is>
      </c>
      <c r="B71" s="13" t="n"/>
    </row>
    <row r="72">
      <c r="A72" s="3" t="inlineStr">
        <is>
          <t>☐ Enhanced monitoring and alerting</t>
        </is>
      </c>
      <c r="B72" s="13" t="n"/>
    </row>
    <row r="73">
      <c r="A73" s="3" t="inlineStr">
        <is>
          <t>☐ Restricted network access / air-gapped systems</t>
        </is>
      </c>
      <c r="B73" s="13" t="n"/>
    </row>
    <row r="74">
      <c r="A74" s="3" t="inlineStr">
        <is>
          <t>☐ Additional encryption layer</t>
        </is>
      </c>
      <c r="B74" s="13" t="n"/>
    </row>
    <row r="75">
      <c r="A75" s="3" t="inlineStr">
        <is>
          <t>☐ Manual key management procedures</t>
        </is>
      </c>
      <c r="B75" s="13" t="n"/>
    </row>
    <row r="76">
      <c r="A76" s="3" t="inlineStr">
        <is>
          <t>☐ Increased audit frequency</t>
        </is>
      </c>
      <c r="B76" s="13" t="n"/>
    </row>
    <row r="77">
      <c r="A77" s="3" t="inlineStr">
        <is>
          <t>☐ Physical security controls</t>
        </is>
      </c>
      <c r="B77" s="13" t="n"/>
    </row>
    <row r="78">
      <c r="A78" s="3" t="inlineStr">
        <is>
          <t>☐ Other (describe):</t>
        </is>
      </c>
      <c r="B78" s="13" t="n"/>
    </row>
    <row r="80">
      <c r="A80" s="14" t="inlineStr">
        <is>
          <t>ADDITIONAL NOTES / COMMENTS</t>
        </is>
      </c>
    </row>
    <row r="81">
      <c r="A81" s="17" t="n"/>
    </row>
    <row r="82"/>
    <row r="83"/>
    <row r="84"/>
    <row r="85"/>
    <row r="86"/>
    <row r="87"/>
    <row r="88"/>
    <row r="89"/>
  </sheetData>
  <mergeCells count="17">
    <mergeCell ref="B72:D72"/>
    <mergeCell ref="A3:X3"/>
    <mergeCell ref="B67:D67"/>
    <mergeCell ref="B76:D76"/>
    <mergeCell ref="B71:D71"/>
    <mergeCell ref="A81:X89"/>
    <mergeCell ref="B73:D73"/>
    <mergeCell ref="B74:D74"/>
    <mergeCell ref="B70:D70"/>
    <mergeCell ref="B68:D68"/>
    <mergeCell ref="A1:X1"/>
    <mergeCell ref="B75:D75"/>
    <mergeCell ref="B77:D77"/>
    <mergeCell ref="A66:X66"/>
    <mergeCell ref="B78:D78"/>
    <mergeCell ref="A80:X80"/>
    <mergeCell ref="B69:D69"/>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7 B69" showDropDown="0" showInputMessage="0" showErrorMessage="0" allowBlank="0" type="list">
      <formula1>"Yes,No"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8"/>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KEY MANAGEMENT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Key Generation</t>
        </is>
      </c>
      <c r="B4">
        <f>COUNTA('1. Key Generation'!H8:H20)</f>
        <v/>
      </c>
      <c r="C4">
        <f>COUNTIF('1. Key Generation'!H8:H20,"✅*")</f>
        <v/>
      </c>
      <c r="D4">
        <f>COUNTIF('1. Key Generation'!H8:H20,"⚠️*")</f>
        <v/>
      </c>
      <c r="E4">
        <f>COUNTIF('1. Key Generation'!H8:H20,"❌*")</f>
        <v/>
      </c>
      <c r="F4">
        <f>COUNTIF('1. Key Generation'!H8:H20,"N/A")</f>
        <v/>
      </c>
      <c r="G4">
        <f>IF((B4-F4)=0,"0%",ROUND(C4/(B4-F4)*100,1)&amp;"%")</f>
        <v/>
      </c>
    </row>
    <row r="5">
      <c r="A5" t="inlineStr">
        <is>
          <t>2. Key Storage</t>
        </is>
      </c>
      <c r="B5">
        <f>COUNTA('2. Key Storage'!H8:H20)</f>
        <v/>
      </c>
      <c r="C5">
        <f>COUNTIF('2. Key Storage'!H8:H20,"✅*")</f>
        <v/>
      </c>
      <c r="D5">
        <f>COUNTIF('2. Key Storage'!H8:H20,"⚠️*")</f>
        <v/>
      </c>
      <c r="E5">
        <f>COUNTIF('2. Key Storage'!H8:H20,"❌*")</f>
        <v/>
      </c>
      <c r="F5">
        <f>COUNTIF('2. Key Storage'!H8:H20,"N/A")</f>
        <v/>
      </c>
      <c r="G5">
        <f>IF((B5-F5)=0,"0%",ROUND(C5/(B5-F5)*100,1)&amp;"%")</f>
        <v/>
      </c>
    </row>
    <row r="6">
      <c r="A6" t="inlineStr">
        <is>
          <t>3. Key Rotation</t>
        </is>
      </c>
      <c r="B6">
        <f>COUNTA('3. Key Rotation'!H8:H20)</f>
        <v/>
      </c>
      <c r="C6">
        <f>COUNTIF('3. Key Rotation'!H8:H20,"✅*")</f>
        <v/>
      </c>
      <c r="D6">
        <f>COUNTIF('3. Key Rotation'!H8:H20,"⚠️*")</f>
        <v/>
      </c>
      <c r="E6">
        <f>COUNTIF('3. Key Rotation'!H8:H20,"❌*")</f>
        <v/>
      </c>
      <c r="F6">
        <f>COUNTIF('3. Key Rotation'!H8:H20,"N/A")</f>
        <v/>
      </c>
      <c r="G6">
        <f>IF((B6-F6)=0,"0%",ROUND(C6/(B6-F6)*100,1)&amp;"%")</f>
        <v/>
      </c>
    </row>
    <row r="7">
      <c r="A7" t="inlineStr">
        <is>
          <t>4. Key Backup &amp; Recovery</t>
        </is>
      </c>
      <c r="B7">
        <f>COUNTA('4. Key Backup &amp; Recovery'!H8:H20)</f>
        <v/>
      </c>
      <c r="C7">
        <f>COUNTIF('4. Key Backup &amp; Recovery'!H8:H20,"✅*")</f>
        <v/>
      </c>
      <c r="D7">
        <f>COUNTIF('4. Key Backup &amp; Recovery'!H8:H20,"⚠️*")</f>
        <v/>
      </c>
      <c r="E7">
        <f>COUNTIF('4. Key Backup &amp; Recovery'!H8:H20,"❌*")</f>
        <v/>
      </c>
      <c r="F7">
        <f>COUNTIF('4. Key Backup &amp; Recovery'!H8:H20,"N/A")</f>
        <v/>
      </c>
      <c r="G7">
        <f>IF((B7-F7)=0,"0%",ROUND(C7/(B7-F7)*100,1)&amp;"%")</f>
        <v/>
      </c>
    </row>
    <row r="8">
      <c r="A8" t="inlineStr">
        <is>
          <t>5. Certificate Management</t>
        </is>
      </c>
      <c r="B8">
        <f>COUNTA('5. Certificate Management'!H8:H20)</f>
        <v/>
      </c>
      <c r="C8">
        <f>COUNTIF('5. Certificate Management'!H8:H20,"✅*")</f>
        <v/>
      </c>
      <c r="D8">
        <f>COUNTIF('5. Certificate Management'!H8:H20,"⚠️*")</f>
        <v/>
      </c>
      <c r="E8">
        <f>COUNTIF('5. Certificate Management'!H8:H20,"❌*")</f>
        <v/>
      </c>
      <c r="F8">
        <f>COUNTIF('5. Certificate Management'!H8:H20,"N/A")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KEY MANAGEMENT MATURITY BY AREA</t>
        </is>
      </c>
    </row>
    <row r="13">
      <c r="A13" s="5" t="inlineStr">
        <is>
          <t>Key Management Area</t>
        </is>
      </c>
      <c r="B13" s="5" t="inlineStr">
        <is>
          <t>Checklist Score</t>
        </is>
      </c>
      <c r="C13" s="5" t="inlineStr">
        <is>
          <t>Maturity Level</t>
        </is>
      </c>
    </row>
    <row r="14">
      <c r="A14" t="inlineStr">
        <is>
          <t>Key Generation</t>
        </is>
      </c>
      <c r="B14" s="20" t="n"/>
      <c r="C14">
        <f>IF(B14&gt;=90%,"Advanced",IF(B14&gt;=70%,"Intermediate","Basic"))</f>
        <v/>
      </c>
    </row>
    <row r="15">
      <c r="A15" t="inlineStr">
        <is>
          <t>Key Storage</t>
        </is>
      </c>
      <c r="B15" s="20" t="n"/>
      <c r="C15">
        <f>IF(B15&gt;=90%,"Advanced",IF(B15&gt;=70%,"Intermediate","Basic"))</f>
        <v/>
      </c>
    </row>
    <row r="16">
      <c r="A16" t="inlineStr">
        <is>
          <t>Key Rotation</t>
        </is>
      </c>
      <c r="B16" s="20" t="n"/>
      <c r="C16">
        <f>IF(B16&gt;=90%,"Advanced",IF(B16&gt;=70%,"Intermediate","Basic"))</f>
        <v/>
      </c>
    </row>
    <row r="17">
      <c r="A17" t="inlineStr">
        <is>
          <t>Key Backup &amp; Recovery</t>
        </is>
      </c>
      <c r="B17" s="20" t="n"/>
      <c r="C17">
        <f>IF(B17&gt;=90%,"Advanced",IF(B17&gt;=70%,"Intermediate","Basic"))</f>
        <v/>
      </c>
    </row>
    <row r="18">
      <c r="A18" t="inlineStr">
        <is>
          <t>Certificate Management</t>
        </is>
      </c>
      <c r="B18" s="20" t="n"/>
      <c r="C18">
        <f>IF(B18&gt;=90%,"Advanced",IF(B18&gt;=70%,"Intermediate","Basic"))</f>
        <v/>
      </c>
    </row>
    <row r="21">
      <c r="A21" s="19" t="inlineStr">
        <is>
          <t>ALGORITHM DISTRIBUTION ANALYSIS</t>
        </is>
      </c>
    </row>
    <row r="22">
      <c r="A22" s="5" t="inlineStr">
        <is>
          <t>Algorithm Type</t>
        </is>
      </c>
      <c r="B22" s="5" t="inlineStr">
        <is>
          <t>Count</t>
        </is>
      </c>
      <c r="C22" s="5" t="inlineStr">
        <is>
          <t>Percentage</t>
        </is>
      </c>
      <c r="D22" s="5" t="inlineStr">
        <is>
          <t>Compliance Status</t>
        </is>
      </c>
    </row>
    <row r="23">
      <c r="A23" t="inlineStr">
        <is>
          <t>AES-256</t>
        </is>
      </c>
      <c r="B23" s="20" t="n"/>
      <c r="C23">
        <f>IF(SUM(B23:B23)=0,"0%",ROUND(B23/SUM(B$23:B$23)*100,1)&amp;"%")</f>
        <v/>
      </c>
      <c r="D23" t="inlineStr">
        <is>
          <t>Approved</t>
        </is>
      </c>
    </row>
    <row r="24">
      <c r="A24" t="inlineStr">
        <is>
          <t>AES-128</t>
        </is>
      </c>
      <c r="B24" s="20" t="n"/>
      <c r="C24">
        <f>IF(SUM(B23:B24)=0,"0%",ROUND(B24/SUM(B$23:B$24)*100,1)&amp;"%")</f>
        <v/>
      </c>
      <c r="D24" t="inlineStr">
        <is>
          <t>Approved</t>
        </is>
      </c>
    </row>
    <row r="25">
      <c r="A25" t="inlineStr">
        <is>
          <t>RSA-4096</t>
        </is>
      </c>
      <c r="B25" s="20" t="n"/>
      <c r="C25">
        <f>IF(SUM(B23:B25)=0,"0%",ROUND(B25/SUM(B$23:B$25)*100,1)&amp;"%")</f>
        <v/>
      </c>
      <c r="D25" t="inlineStr">
        <is>
          <t>Approved</t>
        </is>
      </c>
    </row>
    <row r="26">
      <c r="A26" t="inlineStr">
        <is>
          <t>RSA-3072</t>
        </is>
      </c>
      <c r="B26" s="20" t="n"/>
      <c r="C26">
        <f>IF(SUM(B23:B26)=0,"0%",ROUND(B26/SUM(B$23:B$26)*100,1)&amp;"%")</f>
        <v/>
      </c>
      <c r="D26" t="inlineStr">
        <is>
          <t>Approved</t>
        </is>
      </c>
    </row>
    <row r="27">
      <c r="A27" t="inlineStr">
        <is>
          <t>RSA-2048</t>
        </is>
      </c>
      <c r="B27" s="20" t="n"/>
      <c r="C27">
        <f>IF(SUM(B23:B27)=0,"0%",ROUND(B27/SUM(B$23:B$27)*100,1)&amp;"%")</f>
        <v/>
      </c>
      <c r="D27" t="inlineStr">
        <is>
          <t>Minimum (Legacy)</t>
        </is>
      </c>
    </row>
    <row r="28">
      <c r="A28" t="inlineStr">
        <is>
          <t>Ed25519</t>
        </is>
      </c>
      <c r="B28" s="20" t="n"/>
      <c r="C28">
        <f>IF(SUM(B23:B28)=0,"0%",ROUND(B28/SUM(B$23:B$28)*100,1)&amp;"%")</f>
        <v/>
      </c>
      <c r="D28" t="inlineStr">
        <is>
          <t>Approved</t>
        </is>
      </c>
    </row>
    <row r="29">
      <c r="A29" t="inlineStr">
        <is>
          <t>ECDSA P-256+</t>
        </is>
      </c>
      <c r="B29" s="20" t="n"/>
      <c r="C29">
        <f>IF(SUM(B23:B29)=0,"0%",ROUND(B29/SUM(B$23:B$29)*100,1)&amp;"%")</f>
        <v/>
      </c>
      <c r="D29" t="inlineStr">
        <is>
          <t>Approved</t>
        </is>
      </c>
    </row>
    <row r="30">
      <c r="A30" t="inlineStr">
        <is>
          <t>ChaCha20</t>
        </is>
      </c>
      <c r="B30" s="20" t="n"/>
      <c r="C30">
        <f>IF(SUM(B23:B30)=0,"0%",ROUND(B30/SUM(B$23:B$30)*100,1)&amp;"%")</f>
        <v/>
      </c>
      <c r="D30" t="inlineStr">
        <is>
          <t>Approved</t>
        </is>
      </c>
    </row>
    <row r="31">
      <c r="A31" t="inlineStr">
        <is>
          <t>Weak/Legacy</t>
        </is>
      </c>
      <c r="B31" s="20" t="n"/>
      <c r="C31">
        <f>IF(SUM(B23:B31)=0,"0%",ROUND(B31/SUM(B$23:B$31)*100,1)&amp;"%")</f>
        <v/>
      </c>
      <c r="D31" t="inlineStr">
        <is>
          <t>NON-COMPLIANT</t>
        </is>
      </c>
    </row>
    <row r="34">
      <c r="A34" s="19" t="inlineStr">
        <is>
          <t>STORAGE METHOD DISTRIBUTION</t>
        </is>
      </c>
    </row>
    <row r="35">
      <c r="A35" s="5" t="inlineStr">
        <is>
          <t>Storage Method</t>
        </is>
      </c>
      <c r="B35" s="5" t="inlineStr">
        <is>
          <t>Count</t>
        </is>
      </c>
      <c r="C35" s="5" t="inlineStr">
        <is>
          <t>Percentage</t>
        </is>
      </c>
      <c r="D35" s="5" t="inlineStr">
        <is>
          <t>Security Rating</t>
        </is>
      </c>
    </row>
    <row r="36">
      <c r="A36" t="inlineStr">
        <is>
          <t>HSM</t>
        </is>
      </c>
      <c r="B36" s="20" t="n"/>
      <c r="C36">
        <f>IF(SUM(B36:B36)=0,"0%",ROUND(B36/SUM(B$36:B$36)*100,1)&amp;"%")</f>
        <v/>
      </c>
      <c r="D36" t="inlineStr">
        <is>
          <t>Highest</t>
        </is>
      </c>
    </row>
    <row r="37">
      <c r="A37" t="inlineStr">
        <is>
          <t>Cloud KMS</t>
        </is>
      </c>
      <c r="B37" s="20" t="n"/>
      <c r="C37">
        <f>IF(SUM(B36:B37)=0,"0%",ROUND(B37/SUM(B$36:B$37)*100,1)&amp;"%")</f>
        <v/>
      </c>
      <c r="D37" t="inlineStr">
        <is>
          <t>High</t>
        </is>
      </c>
    </row>
    <row r="38">
      <c r="A38" t="inlineStr">
        <is>
          <t>TPM</t>
        </is>
      </c>
      <c r="B38" s="20" t="n"/>
      <c r="C38">
        <f>IF(SUM(B36:B38)=0,"0%",ROUND(B38/SUM(B$36:B$38)*100,1)&amp;"%")</f>
        <v/>
      </c>
      <c r="D38" t="inlineStr">
        <is>
          <t>High</t>
        </is>
      </c>
    </row>
    <row r="39">
      <c r="A39" t="inlineStr">
        <is>
          <t>Software Keystore</t>
        </is>
      </c>
      <c r="B39" s="20" t="n"/>
      <c r="C39">
        <f>IF(SUM(B36:B39)=0,"0%",ROUND(B39/SUM(B$36:B$39)*100,1)&amp;"%")</f>
        <v/>
      </c>
      <c r="D39" t="inlineStr">
        <is>
          <t>Medium</t>
        </is>
      </c>
    </row>
    <row r="40">
      <c r="A40" t="inlineStr">
        <is>
          <t>Vault</t>
        </is>
      </c>
      <c r="B40" s="20" t="n"/>
      <c r="C40">
        <f>IF(SUM(B36:B40)=0,"0%",ROUND(B40/SUM(B$36:B$40)*100,1)&amp;"%")</f>
        <v/>
      </c>
      <c r="D40" t="inlineStr">
        <is>
          <t>Medium</t>
        </is>
      </c>
    </row>
    <row r="41">
      <c r="A41" t="inlineStr">
        <is>
          <t>File-based</t>
        </is>
      </c>
      <c r="B41" s="20" t="n"/>
      <c r="C41">
        <f>IF(SUM(B36:B41)=0,"0%",ROUND(B41/SUM(B$36:B$41)*100,1)&amp;"%")</f>
        <v/>
      </c>
      <c r="D41" t="inlineStr">
        <is>
          <t>LOW RISK</t>
        </is>
      </c>
    </row>
    <row r="42">
      <c r="A42" t="inlineStr">
        <is>
          <t>Database</t>
        </is>
      </c>
      <c r="B42" s="20" t="n"/>
      <c r="C42">
        <f>IF(SUM(B36:B42)=0,"0%",ROUND(B42/SUM(B$36:B$42)*100,1)&amp;"%")</f>
        <v/>
      </c>
      <c r="D42" t="inlineStr">
        <is>
          <t>LOW RISK</t>
        </is>
      </c>
    </row>
    <row r="45">
      <c r="A45" s="19" t="inlineStr">
        <is>
          <t>KEY ROTATION COVERAGE</t>
        </is>
      </c>
    </row>
    <row r="46">
      <c r="A46" s="5" t="inlineStr">
        <is>
          <t>Rotation Schedule</t>
        </is>
      </c>
      <c r="B46" s="5" t="inlineStr">
        <is>
          <t>Count</t>
        </is>
      </c>
      <c r="C46" s="5" t="inlineStr">
        <is>
          <t>Percentage</t>
        </is>
      </c>
      <c r="D46" s="5" t="inlineStr">
        <is>
          <t>Compliance Status</t>
        </is>
      </c>
    </row>
    <row r="47">
      <c r="A47" t="inlineStr">
        <is>
          <t>Automated</t>
        </is>
      </c>
      <c r="B47" s="20" t="n"/>
      <c r="C47" s="20" t="n"/>
      <c r="D47" t="inlineStr">
        <is>
          <t>Optimal</t>
        </is>
      </c>
    </row>
    <row r="48">
      <c r="A48" t="inlineStr">
        <is>
          <t>Manual (Scheduled)</t>
        </is>
      </c>
      <c r="B48" s="20" t="n"/>
      <c r="C48" s="20" t="n"/>
      <c r="D48" t="inlineStr">
        <is>
          <t>Acceptable</t>
        </is>
      </c>
    </row>
    <row r="49">
      <c r="A49" t="inlineStr">
        <is>
          <t>Never / Not Configured</t>
        </is>
      </c>
      <c r="B49" s="20" t="n"/>
      <c r="C49" s="20" t="n"/>
      <c r="D49" t="inlineStr">
        <is>
          <t>NON-COMPLIANT</t>
        </is>
      </c>
    </row>
    <row r="52">
      <c r="A52" s="19" t="inlineStr">
        <is>
          <t>CERTIFICATE MANAGEMENT HEALTH</t>
        </is>
      </c>
    </row>
    <row r="53">
      <c r="A53" s="5" t="inlineStr">
        <is>
          <t>Certificate Metric</t>
        </is>
      </c>
      <c r="B53" s="5" t="inlineStr">
        <is>
          <t>Count</t>
        </is>
      </c>
      <c r="C53" s="5" t="inlineStr">
        <is>
          <t>Status</t>
        </is>
      </c>
    </row>
    <row r="54">
      <c r="A54" t="inlineStr">
        <is>
          <t>Total Certificates</t>
        </is>
      </c>
      <c r="B54" s="20" t="n"/>
      <c r="C54" t="inlineStr"/>
    </row>
    <row r="55">
      <c r="A55" t="inlineStr">
        <is>
          <t>Valid Certificates (≤397 days)</t>
        </is>
      </c>
      <c r="B55" s="20" t="n"/>
      <c r="C55" t="inlineStr"/>
    </row>
    <row r="56">
      <c r="A56" t="inlineStr">
        <is>
          <t>Expired Certificates</t>
        </is>
      </c>
      <c r="B56" s="20" t="n"/>
      <c r="C56" t="inlineStr">
        <is>
          <t>❌</t>
        </is>
      </c>
    </row>
    <row r="57">
      <c r="A57" t="inlineStr">
        <is>
          <t>Non-Compliant (&gt;397 days)</t>
        </is>
      </c>
      <c r="B57" s="20" t="n"/>
      <c r="C57" t="inlineStr">
        <is>
          <t>❌</t>
        </is>
      </c>
    </row>
    <row r="58">
      <c r="A58" t="inlineStr">
        <is>
          <t>Auto-Renewal Enabled</t>
        </is>
      </c>
      <c r="B58" s="20" t="n"/>
      <c r="C58" t="inlineStr"/>
    </row>
    <row r="59">
      <c r="A59" t="inlineStr">
        <is>
          <t>Self-Signed (Non-Compliant)</t>
        </is>
      </c>
      <c r="B59" s="20" t="n"/>
      <c r="C59" t="inlineStr">
        <is>
          <t>❌</t>
        </is>
      </c>
    </row>
    <row r="60">
      <c r="A60" t="inlineStr">
        <is>
          <t>Certificates Expiring &lt;30 days</t>
        </is>
      </c>
      <c r="B60" s="20" t="n"/>
      <c r="C60" t="inlineStr">
        <is>
          <t>⚠️</t>
        </is>
      </c>
    </row>
    <row r="63">
      <c r="A63" s="19" t="inlineStr">
        <is>
          <t>FIPS 140-2 VALIDATION STATUS</t>
        </is>
      </c>
    </row>
    <row r="64">
      <c r="A64" s="5" t="inlineStr">
        <is>
          <t>FIPS Validation Level</t>
        </is>
      </c>
      <c r="B64" s="5" t="inlineStr">
        <is>
          <t>Count</t>
        </is>
      </c>
      <c r="C64" s="5" t="inlineStr">
        <is>
          <t>Percentage</t>
        </is>
      </c>
      <c r="D64" s="5" t="inlineStr">
        <is>
          <t>Requirement Met</t>
        </is>
      </c>
    </row>
    <row r="65">
      <c r="A65" t="inlineStr">
        <is>
          <t>Level 4</t>
        </is>
      </c>
      <c r="B65" s="20" t="n"/>
      <c r="C65">
        <f>IF(SUM(B65:B65)=0,"0%",ROUND(B65/SUM(B$65:B$65)*100,1)&amp;"%")</f>
        <v/>
      </c>
      <c r="D65" t="inlineStr">
        <is>
          <t>Highest Security</t>
        </is>
      </c>
    </row>
    <row r="66">
      <c r="A66" t="inlineStr">
        <is>
          <t>Level 3</t>
        </is>
      </c>
      <c r="B66" s="20" t="n"/>
      <c r="C66">
        <f>IF(SUM(B65:B66)=0,"0%",ROUND(B66/SUM(B$65:B$66)*100,1)&amp;"%")</f>
        <v/>
      </c>
      <c r="D66" t="inlineStr">
        <is>
          <t>High Security</t>
        </is>
      </c>
    </row>
    <row r="67">
      <c r="A67" t="inlineStr">
        <is>
          <t>Level 2</t>
        </is>
      </c>
      <c r="B67" s="20" t="n"/>
      <c r="C67">
        <f>IF(SUM(B65:B67)=0,"0%",ROUND(B67/SUM(B$65:B$67)*100,1)&amp;"%")</f>
        <v/>
      </c>
      <c r="D67" t="inlineStr">
        <is>
          <t>Production Minimum</t>
        </is>
      </c>
    </row>
    <row r="68">
      <c r="A68" t="inlineStr">
        <is>
          <t>Level 1</t>
        </is>
      </c>
      <c r="B68" s="20" t="n"/>
      <c r="C68">
        <f>IF(SUM(B65:B68)=0,"0%",ROUND(B68/SUM(B$65:B$68)*100,1)&amp;"%")</f>
        <v/>
      </c>
      <c r="D68" t="inlineStr">
        <is>
          <t>Below Requirement</t>
        </is>
      </c>
    </row>
    <row r="69">
      <c r="A69" t="inlineStr">
        <is>
          <t>Not Validated</t>
        </is>
      </c>
      <c r="B69" s="20" t="n"/>
      <c r="C69">
        <f>IF(SUM(B65:B69)=0,"0%",ROUND(B69/SUM(B$65:B$69)*100,1)&amp;"%")</f>
        <v/>
      </c>
      <c r="D69" t="inlineStr">
        <is>
          <t>NON-COMPLIANT</t>
        </is>
      </c>
    </row>
    <row r="72">
      <c r="A72" s="21" t="inlineStr">
        <is>
          <t>CRITICAL GAPS REQUIRING IMMEDIATE ATTENTION</t>
        </is>
      </c>
    </row>
    <row r="73">
      <c r="A73" s="5" t="inlineStr">
        <is>
          <t>Priority</t>
        </is>
      </c>
      <c r="B73" s="5" t="inlineStr">
        <is>
          <t>Assessment Area</t>
        </is>
      </c>
      <c r="C73" s="5" t="inlineStr">
        <is>
          <t>Gap Description</t>
        </is>
      </c>
      <c r="D73" s="5" t="inlineStr">
        <is>
          <t>Responsible Person</t>
        </is>
      </c>
      <c r="E73" s="5" t="inlineStr">
        <is>
          <t>Target Date</t>
        </is>
      </c>
      <c r="F73" s="5" t="inlineStr">
        <is>
          <t>Status</t>
        </is>
      </c>
    </row>
    <row r="74">
      <c r="A74" s="20" t="n"/>
      <c r="B74" s="13" t="n"/>
      <c r="C74" s="13" t="n"/>
      <c r="D74" s="13" t="n"/>
      <c r="E74" s="13" t="n"/>
      <c r="F74" s="20" t="n"/>
    </row>
    <row r="75">
      <c r="A75" s="20" t="n"/>
      <c r="B75" s="13" t="n"/>
      <c r="C75" s="13" t="n"/>
      <c r="D75" s="13" t="n"/>
      <c r="E75" s="13" t="n"/>
      <c r="F75" s="20" t="n"/>
    </row>
    <row r="76">
      <c r="A76" s="20" t="n"/>
      <c r="B76" s="13" t="n"/>
      <c r="C76" s="13" t="n"/>
      <c r="D76" s="13" t="n"/>
      <c r="E76" s="13" t="n"/>
      <c r="F76" s="20" t="n"/>
    </row>
    <row r="77">
      <c r="A77" s="20" t="n"/>
      <c r="B77" s="13" t="n"/>
      <c r="C77" s="13" t="n"/>
      <c r="D77" s="13" t="n"/>
      <c r="E77" s="13" t="n"/>
      <c r="F77" s="20" t="n"/>
    </row>
    <row r="78">
      <c r="A78" s="20" t="n"/>
      <c r="B78" s="13" t="n"/>
      <c r="C78" s="13" t="n"/>
      <c r="D78" s="13" t="n"/>
      <c r="E78" s="13" t="n"/>
      <c r="F78" s="20" t="n"/>
    </row>
    <row r="79">
      <c r="A79" s="20" t="n"/>
      <c r="B79" s="13" t="n"/>
      <c r="C79" s="13" t="n"/>
      <c r="D79" s="13" t="n"/>
      <c r="E79" s="13" t="n"/>
      <c r="F79" s="20" t="n"/>
    </row>
    <row r="80">
      <c r="A80" s="20" t="n"/>
      <c r="B80" s="13" t="n"/>
      <c r="C80" s="13" t="n"/>
      <c r="D80" s="13" t="n"/>
      <c r="E80" s="13" t="n"/>
      <c r="F80" s="20" t="n"/>
    </row>
    <row r="81">
      <c r="A81" s="20" t="n"/>
      <c r="B81" s="13" t="n"/>
      <c r="C81" s="13" t="n"/>
      <c r="D81" s="13" t="n"/>
      <c r="E81" s="13" t="n"/>
      <c r="F81" s="20" t="n"/>
    </row>
    <row r="83">
      <c r="A83" s="19" t="inlineStr">
        <is>
          <t>RISK SUMMARY BY DATA CLASSIFICATION</t>
        </is>
      </c>
    </row>
    <row r="84">
      <c r="A84" s="5" t="inlineStr">
        <is>
          <t>Data Classification</t>
        </is>
      </c>
      <c r="B84" s="5" t="inlineStr">
        <is>
          <t>Keys/Certs Managed</t>
        </is>
      </c>
      <c r="C84" s="5" t="inlineStr">
        <is>
          <t>Compliant</t>
        </is>
      </c>
      <c r="D84" s="5" t="inlineStr">
        <is>
          <t>Non-Compliant</t>
        </is>
      </c>
      <c r="E84" s="5" t="inlineStr">
        <is>
          <t>Risk Level</t>
        </is>
      </c>
    </row>
    <row r="85">
      <c r="A85" t="inlineStr">
        <is>
          <t>Restricted</t>
        </is>
      </c>
      <c r="B85" s="20" t="n"/>
      <c r="C85" s="20" t="n"/>
      <c r="D85" s="20" t="n"/>
      <c r="E85">
        <f>IF(D85&gt;0,"HIGH",IF(C85/B85&lt;0.9,"MEDIUM","LOW"))</f>
        <v/>
      </c>
    </row>
    <row r="86">
      <c r="A86" t="inlineStr">
        <is>
          <t>Confidential</t>
        </is>
      </c>
      <c r="B86" s="20" t="n"/>
      <c r="C86" s="20" t="n"/>
      <c r="D86" s="20" t="n"/>
      <c r="E86">
        <f>IF(D86&gt;0,"HIGH",IF(C86/B86&lt;0.9,"MEDIUM","LOW"))</f>
        <v/>
      </c>
    </row>
    <row r="87">
      <c r="A87" t="inlineStr">
        <is>
          <t>Internal</t>
        </is>
      </c>
      <c r="B87" s="20" t="n"/>
      <c r="C87" s="20" t="n"/>
      <c r="D87" s="20" t="n"/>
      <c r="E87">
        <f>IF(D87&gt;0,"HIGH",IF(C87/B87&lt;0.9,"MEDIUM","LOW"))</f>
        <v/>
      </c>
    </row>
    <row r="88">
      <c r="A88" t="inlineStr">
        <is>
          <t>Public</t>
        </is>
      </c>
      <c r="B88" s="20" t="n"/>
      <c r="C88" s="20" t="n"/>
      <c r="D88" s="20" t="n"/>
      <c r="E88">
        <f>IF(D88&gt;0,"HIGH",IF(C88/B88&lt;0.9,"MEDIUM","LOW"))</f>
        <v/>
      </c>
    </row>
    <row r="91">
      <c r="A91" s="19" t="inlineStr">
        <is>
          <t>KEY BACKUP COVERAGE</t>
        </is>
      </c>
    </row>
    <row r="92">
      <c r="A92" s="5" t="inlineStr">
        <is>
          <t>Backup Status</t>
        </is>
      </c>
      <c r="B92" s="5" t="inlineStr">
        <is>
          <t>Count</t>
        </is>
      </c>
      <c r="C92" s="5" t="inlineStr">
        <is>
          <t>Percentage</t>
        </is>
      </c>
    </row>
    <row r="93">
      <c r="A93" t="inlineStr">
        <is>
          <t>Backed Up</t>
        </is>
      </c>
      <c r="B93" s="20" t="n"/>
      <c r="C93">
        <f>IF(SUM(B93:B93)=0,"0%",ROUND(B93/SUM(B$93:B$93)*100,1)&amp;"%")</f>
        <v/>
      </c>
    </row>
    <row r="94">
      <c r="A94" t="inlineStr">
        <is>
          <t>Not Backed Up</t>
        </is>
      </c>
      <c r="B94" s="20" t="n"/>
      <c r="C94">
        <f>IF(SUM(B93:B94)=0,"0%",ROUND(B94/SUM(B$93:B$94)*100,1)&amp;"%")</f>
        <v/>
      </c>
    </row>
    <row r="95">
      <c r="A95" t="inlineStr">
        <is>
          <t>Recovery Tested</t>
        </is>
      </c>
      <c r="B95" s="20" t="n"/>
      <c r="C95">
        <f>IF(SUM(B93:B95)=0,"0%",ROUND(B95/SUM(B$93:B$95)*100,1)&amp;"%")</f>
        <v/>
      </c>
    </row>
    <row r="96">
      <c r="A96" t="inlineStr">
        <is>
          <t>Recovery Not Tested</t>
        </is>
      </c>
      <c r="B96" s="20" t="n"/>
      <c r="C96">
        <f>IF(SUM(B93:B96)=0,"0%",ROUND(B96/SUM(B$93:B$96)*100,1)&amp;"%")</f>
        <v/>
      </c>
    </row>
    <row r="99">
      <c r="A99" s="22" t="inlineStr">
        <is>
          <t>OVERALL ASSESSMENT SUMMARY</t>
        </is>
      </c>
    </row>
    <row r="100">
      <c r="A100" s="3" t="inlineStr">
        <is>
          <t>OVERALL KEY MANAGEMENT COMPLIANCE:</t>
        </is>
      </c>
      <c r="B100" s="18">
        <f>'Summary Dashboard'!G9</f>
        <v/>
      </c>
    </row>
    <row r="101">
      <c r="A101" s="3" t="inlineStr">
        <is>
          <t>Assessment Status:</t>
        </is>
      </c>
      <c r="B101" s="20" t="n"/>
    </row>
    <row r="103">
      <c r="A103" s="3" t="inlineStr">
        <is>
          <t>Key Findings Summary:</t>
        </is>
      </c>
    </row>
    <row r="104">
      <c r="A104" s="17" t="n"/>
    </row>
    <row r="105"/>
    <row r="106"/>
    <row r="107"/>
    <row r="108"/>
  </sheetData>
  <mergeCells count="12">
    <mergeCell ref="A83:E83"/>
    <mergeCell ref="A1:G1"/>
    <mergeCell ref="A104:E108"/>
    <mergeCell ref="A45:C45"/>
    <mergeCell ref="A34:D34"/>
    <mergeCell ref="A21:D21"/>
    <mergeCell ref="A99:E99"/>
    <mergeCell ref="A91:C91"/>
    <mergeCell ref="A63:D63"/>
    <mergeCell ref="A12:C12"/>
    <mergeCell ref="A72:F72"/>
    <mergeCell ref="A52:C52"/>
  </mergeCells>
  <dataValidations count="3">
    <dataValidation sqref="A74 A75 A76 A77 A78 A79 A80 A81" showDropDown="0" showInputMessage="0" showErrorMessage="0" allowBlank="0" type="list">
      <formula1>"High,Medium,Low"</formula1>
    </dataValidation>
    <dataValidation sqref="F74 F75 F76 F77 F78 F79 F80 F81" showDropDown="0" showInputMessage="0" showErrorMessage="0" allowBlank="0" type="list">
      <formula1>"Open,In Progress,Resolved,Closed"</formula1>
    </dataValidation>
    <dataValidation sqref="B101" showDropDown="0" showInputMessage="0" showErrorMessage="0" allowBlank="0" type="list">
      <formula1>"Excellent (≥95%),Good (90-94%),Adequate (80-89%),Needs Improvement (70-79%),Critical (&lt;70%)"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ISMS-IMP-A.8.24.4 - Key Management Assessment</t>
        </is>
      </c>
    </row>
    <row r="5">
      <c r="A5" s="3" t="inlineStr">
        <is>
          <t>Assessment Period</t>
        </is>
      </c>
      <c r="B5" s="13" t="inlineStr"/>
    </row>
    <row r="6">
      <c r="A6" s="3" t="inlineStr">
        <is>
          <t>Overall Compliance Rate</t>
        </is>
      </c>
      <c r="B6" s="13">
        <f>'Summary Dashboard'!G8</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5" t="inlineStr">
        <is>
          <t>REVIEWED BY (INFORMATION SECURITY OFFICER)</t>
        </is>
      </c>
    </row>
    <row r="19">
      <c r="A19" s="3" t="inlineStr">
        <is>
          <t>Name:</t>
        </is>
      </c>
      <c r="B19" s="13" t="n"/>
    </row>
    <row r="20">
      <c r="A20" s="3" t="inlineStr">
        <is>
          <t>Date:</t>
        </is>
      </c>
      <c r="B20" s="13" t="n"/>
    </row>
    <row r="21">
      <c r="A21" s="3" t="inlineStr">
        <is>
          <t>Review Notes:</t>
        </is>
      </c>
      <c r="B21" s="13" t="n"/>
    </row>
    <row r="24">
      <c r="A24" s="26" t="inlineStr">
        <is>
          <t>APPROVED BY (CISO)</t>
        </is>
      </c>
    </row>
    <row r="25">
      <c r="A25" s="3" t="inlineStr">
        <is>
          <t>Name:</t>
        </is>
      </c>
      <c r="B25" s="13" t="n"/>
    </row>
    <row r="26">
      <c r="A26" s="3" t="inlineStr">
        <is>
          <t>Date:</t>
        </is>
      </c>
      <c r="B26" s="13" t="n"/>
    </row>
    <row r="27">
      <c r="A27" s="3" t="inlineStr">
        <is>
          <t>Approval Decision:</t>
        </is>
      </c>
      <c r="B27" s="13" t="n"/>
    </row>
    <row r="28">
      <c r="A28" s="3" t="inlineStr">
        <is>
          <t>Conditions/Notes:</t>
        </is>
      </c>
      <c r="B28" s="13" t="n"/>
    </row>
    <row r="31">
      <c r="A31" s="14" t="inlineStr">
        <is>
          <t>NEXT REVIEW DETAILS</t>
        </is>
      </c>
    </row>
    <row r="32">
      <c r="A32" s="3" t="inlineStr">
        <is>
          <t>Next Review Date:</t>
        </is>
      </c>
      <c r="B32" s="13" t="n"/>
    </row>
    <row r="33">
      <c r="A33" s="3" t="inlineStr">
        <is>
          <t>Review Responsible:</t>
        </is>
      </c>
      <c r="B33" s="13" t="n"/>
    </row>
    <row r="34">
      <c r="A34" s="3" t="inlineStr">
        <is>
          <t>Special Considerations:</t>
        </is>
      </c>
      <c r="B34" s="13"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2026-01-31T02:16:42Z</dcterms:created>
  <dcterms:modified xmlns:dcterms="http://purl.org/dc/terms/" xmlns:xsi="http://www.w3.org/2001/XMLSchema-instance" xsi:type="dcterms:W3CDTF">2026-01-31T02:16:42Z</dcterms:modified>
</cp:coreProperties>
</file>