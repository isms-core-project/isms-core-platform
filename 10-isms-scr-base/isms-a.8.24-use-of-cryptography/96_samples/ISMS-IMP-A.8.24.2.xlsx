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greg/Downloads/"/>
    </mc:Choice>
  </mc:AlternateContent>
  <xr:revisionPtr revIDLastSave="0" documentId="8_{B0CE6437-CD69-6442-BB4D-88F2C9C12B09}" xr6:coauthVersionLast="47" xr6:coauthVersionMax="47" xr10:uidLastSave="{00000000-0000-0000-0000-000000000000}"/>
  <bookViews>
    <workbookView xWindow="0" yWindow="600" windowWidth="38400" windowHeight="19660" xr2:uid="{00000000-000D-0000-FFFF-FFFF00000000}"/>
  </bookViews>
  <sheets>
    <sheet name="Instructions &amp; Legend" sheetId="1" r:id="rId1"/>
    <sheet name="1. Mobile Devices" sheetId="2" r:id="rId2"/>
    <sheet name="2. Laptops &amp; Workstations" sheetId="3" r:id="rId3"/>
    <sheet name="3. Servers" sheetId="4" r:id="rId4"/>
    <sheet name="4. Databases" sheetId="5" r:id="rId5"/>
    <sheet name="5. Cloud Storage" sheetId="6" r:id="rId6"/>
    <sheet name="6. Backups" sheetId="7" r:id="rId7"/>
    <sheet name="7. Removable Media" sheetId="8" r:id="rId8"/>
    <sheet name="Summary Dashboard" sheetId="9" r:id="rId9"/>
    <sheet name="Evidence Register" sheetId="10" r:id="rId10"/>
    <sheet name="Approval Sign-Off" sheetId="11" r:id="rId1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9" i="9" l="1"/>
  <c r="B28" i="9"/>
  <c r="B27" i="9"/>
  <c r="B26" i="9"/>
  <c r="C27" i="9" s="1"/>
  <c r="B25" i="9"/>
  <c r="B24" i="9"/>
  <c r="C29" i="9" s="1"/>
  <c r="F10" i="9"/>
  <c r="E10" i="9"/>
  <c r="D10" i="9"/>
  <c r="C10" i="9"/>
  <c r="B10" i="9"/>
  <c r="G10" i="9" s="1"/>
  <c r="F9" i="9"/>
  <c r="E9" i="9"/>
  <c r="D9" i="9"/>
  <c r="C9" i="9"/>
  <c r="B9" i="9"/>
  <c r="G9" i="9" s="1"/>
  <c r="F8" i="9"/>
  <c r="E8" i="9"/>
  <c r="D8" i="9"/>
  <c r="C8" i="9"/>
  <c r="B8" i="9"/>
  <c r="G8" i="9" s="1"/>
  <c r="F7" i="9"/>
  <c r="G7" i="9" s="1"/>
  <c r="E7" i="9"/>
  <c r="D7" i="9"/>
  <c r="C7" i="9"/>
  <c r="B7" i="9"/>
  <c r="F6" i="9"/>
  <c r="E6" i="9"/>
  <c r="D6" i="9"/>
  <c r="C6" i="9"/>
  <c r="B6" i="9"/>
  <c r="G6" i="9" s="1"/>
  <c r="F5" i="9"/>
  <c r="E5" i="9"/>
  <c r="D5" i="9"/>
  <c r="C5" i="9"/>
  <c r="B5" i="9"/>
  <c r="G5" i="9" s="1"/>
  <c r="F4" i="9"/>
  <c r="F11" i="9" s="1"/>
  <c r="E4" i="9"/>
  <c r="E11" i="9" s="1"/>
  <c r="D4" i="9"/>
  <c r="D11" i="9" s="1"/>
  <c r="C4" i="9"/>
  <c r="C11" i="9" s="1"/>
  <c r="B4" i="9"/>
  <c r="B11" i="9" s="1"/>
  <c r="B36" i="8"/>
  <c r="B36" i="7"/>
  <c r="B36" i="6"/>
  <c r="B36" i="5"/>
  <c r="B36" i="4"/>
  <c r="B35" i="3"/>
  <c r="B34" i="2"/>
  <c r="G11" i="9" l="1"/>
  <c r="G4" i="9"/>
  <c r="C26" i="9"/>
  <c r="C24" i="9"/>
  <c r="C28" i="9"/>
  <c r="C25" i="9"/>
</calcChain>
</file>

<file path=xl/sharedStrings.xml><?xml version="1.0" encoding="utf-8"?>
<sst xmlns="http://schemas.openxmlformats.org/spreadsheetml/2006/main" count="1698" uniqueCount="785">
  <si>
    <t>ISMS-IMP-A.8.24.2 – Data Storage Assessment
ISO/IEC 27001:2022 - Control A.8.24: Use of Cryptography</t>
  </si>
  <si>
    <t>Document Information</t>
  </si>
  <si>
    <t>Document ID</t>
  </si>
  <si>
    <t>ISMS-IMP-A.8.24.2</t>
  </si>
  <si>
    <t>Assessment Area</t>
  </si>
  <si>
    <t>Data Storage Cryptographic Controls</t>
  </si>
  <si>
    <t>Related Policy</t>
  </si>
  <si>
    <t>ISMS-POL-A.8.24-S2.3</t>
  </si>
  <si>
    <t>Version</t>
  </si>
  <si>
    <t>1.0</t>
  </si>
  <si>
    <t>Assessment Date</t>
  </si>
  <si>
    <t>Completed By</t>
  </si>
  <si>
    <t>Organization</t>
  </si>
  <si>
    <t>Review Cycle</t>
  </si>
  <si>
    <t>Quarterly</t>
  </si>
  <si>
    <t>HOW TO USE THIS WORKBOOK</t>
  </si>
  <si>
    <t>1. Complete each worksheet tab (1–7) for applicable storage systems</t>
  </si>
  <si>
    <t>2. Use dropdown menus for standardized entries (Status, Encryption Type, Algorithm, etc.)</t>
  </si>
  <si>
    <t>3. Fill in yellow-highlighted cells with your information</t>
  </si>
  <si>
    <t>4. If Status = Partial or Non-Compliant, complete the Exception/Deviation section</t>
  </si>
  <si>
    <t>5. Document key management details for each encrypted storage system</t>
  </si>
  <si>
    <t>6. Provide evidence location/path for each implementation entry</t>
  </si>
  <si>
    <t>7. Summary Dashboard auto-calculates compliance statistics per storage type</t>
  </si>
  <si>
    <t>8. Maintain the Evidence Register for audit traceability</t>
  </si>
  <si>
    <t>9. Obtain final approval and sign-off in the Approval Sign-Off sheet</t>
  </si>
  <si>
    <t>STATUS LEGEND</t>
  </si>
  <si>
    <t>Symbol</t>
  </si>
  <si>
    <t>Status</t>
  </si>
  <si>
    <t>Description</t>
  </si>
  <si>
    <t>✅</t>
  </si>
  <si>
    <t>Compliant</t>
  </si>
  <si>
    <t>Fully meets policy requirements</t>
  </si>
  <si>
    <t>⚠️</t>
  </si>
  <si>
    <t>Partial</t>
  </si>
  <si>
    <t>Some requirements met, gaps exist</t>
  </si>
  <si>
    <t>❌</t>
  </si>
  <si>
    <t>Non-Compliant</t>
  </si>
  <si>
    <t>Does not meet policy requirements</t>
  </si>
  <si>
    <t>N/A</t>
  </si>
  <si>
    <t>Not Applicable</t>
  </si>
  <si>
    <t>Requirement does not apply</t>
  </si>
  <si>
    <t>ACCEPTABLE EVIDENCE (examples)</t>
  </si>
  <si>
    <t>✓ Encryption configuration screenshots</t>
  </si>
  <si>
    <t>✓ BitLocker/FileVault/LUKS status reports</t>
  </si>
  <si>
    <t>✓ Database TDE (Transparent Data Encryption) configuration</t>
  </si>
  <si>
    <t>✓ Cloud encryption settings documentation</t>
  </si>
  <si>
    <t>✓ Key management system inventory</t>
  </si>
  <si>
    <t>✓ Backup encryption verification reports</t>
  </si>
  <si>
    <t>✓ Mobile device management (MDM) compliance reports</t>
  </si>
  <si>
    <t>✓ Storage vendor encryption specifications</t>
  </si>
  <si>
    <t>✓ Disk encryption audit logs</t>
  </si>
  <si>
    <t>✓ Certificate/key rotation logs</t>
  </si>
  <si>
    <t>✓ Hardware Security Module (HSM) integration docs</t>
  </si>
  <si>
    <t>1. MOBILE DEVICES - DATA AT REST ENCRYPTION
Policy Requirement: Mobile devices storing organizational data MUST use full device encryption (Policy Section 2.3.1)</t>
  </si>
  <si>
    <t>Does your organization issue or allow mobile devices (smartphones, tablets) that store organizational data?</t>
  </si>
  <si>
    <t>Response:</t>
  </si>
  <si>
    <t>Storage System/Device</t>
  </si>
  <si>
    <t>Data Classification</t>
  </si>
  <si>
    <t>Encryption Status</t>
  </si>
  <si>
    <t>Encryption Type</t>
  </si>
  <si>
    <t>Algorithm &amp; Key Size</t>
  </si>
  <si>
    <t>Key Management Method</t>
  </si>
  <si>
    <t>Key Rotation Enabled</t>
  </si>
  <si>
    <t>Evidence Location</t>
  </si>
  <si>
    <t>Gap Description</t>
  </si>
  <si>
    <t>Remediation Needed</t>
  </si>
  <si>
    <t>Exception ID</t>
  </si>
  <si>
    <t>Risk ID</t>
  </si>
  <si>
    <t>Compensating Controls</t>
  </si>
  <si>
    <t>Responsible Person</t>
  </si>
  <si>
    <t>Target Date</t>
  </si>
  <si>
    <t>Budget Required</t>
  </si>
  <si>
    <t>Example: Production SQL Server 2019 - FINDB01</t>
  </si>
  <si>
    <t>Restricted</t>
  </si>
  <si>
    <t>Encrypted</t>
  </si>
  <si>
    <t>Database TDE</t>
  </si>
  <si>
    <t>AES-256</t>
  </si>
  <si>
    <t>HSM</t>
  </si>
  <si>
    <t>Yes</t>
  </si>
  <si>
    <t>✅ Compliant</t>
  </si>
  <si>
    <t>/evidence/databases/FINDB01-TDE-config.pdf</t>
  </si>
  <si>
    <t>None</t>
  </si>
  <si>
    <t>No</t>
  </si>
  <si>
    <t>Corporate iPhones (500 units)</t>
  </si>
  <si>
    <t>Confidential</t>
  </si>
  <si>
    <t>iOS FileVault</t>
  </si>
  <si>
    <t>Hardware-backed</t>
  </si>
  <si>
    <t>MDM - MobileIron</t>
  </si>
  <si>
    <t>MDM compliance report</t>
  </si>
  <si>
    <t>Android Devices (300 units)</t>
  </si>
  <si>
    <t>Android FDE</t>
  </si>
  <si>
    <t>MDM - Workspace ONE</t>
  </si>
  <si>
    <t>Workspace ONE dashboard</t>
  </si>
  <si>
    <t>Corporate iPads (200 units)</t>
  </si>
  <si>
    <t>MDM - Jamf Pro</t>
  </si>
  <si>
    <t>Jamf compliance scan</t>
  </si>
  <si>
    <t>Executive iPhones</t>
  </si>
  <si>
    <t>iOS + Container</t>
  </si>
  <si>
    <t>Hardware + App</t>
  </si>
  <si>
    <t>MDM + App wrapping</t>
  </si>
  <si>
    <t>Executive device audit</t>
  </si>
  <si>
    <t>BYOD iPhones (enrolled)</t>
  </si>
  <si>
    <t>Internal</t>
  </si>
  <si>
    <t>Containerization</t>
  </si>
  <si>
    <t>App-level</t>
  </si>
  <si>
    <t>MDM container only</t>
  </si>
  <si>
    <t>⚠️ Partial</t>
  </si>
  <si>
    <t>BYOD policy docs</t>
  </si>
  <si>
    <t>Increase enrollment</t>
  </si>
  <si>
    <t>BYOD Android (enrolled)</t>
  </si>
  <si>
    <t>BYOD enrollment report</t>
  </si>
  <si>
    <t>Training needed</t>
  </si>
  <si>
    <t>Test Devices (50 units)</t>
  </si>
  <si>
    <t>Public</t>
  </si>
  <si>
    <t>Various/None</t>
  </si>
  <si>
    <t>Mixed/None</t>
  </si>
  <si>
    <t>Various</t>
  </si>
  <si>
    <t>No central management</t>
  </si>
  <si>
    <t>❌ Non-Compliant</t>
  </si>
  <si>
    <t>Test device inventory</t>
  </si>
  <si>
    <t>Enroll in MDM or decommission</t>
  </si>
  <si>
    <t>Legacy Tablets</t>
  </si>
  <si>
    <t>No encryption</t>
  </si>
  <si>
    <t>No management</t>
  </si>
  <si>
    <t>Legacy device list</t>
  </si>
  <si>
    <t>Replace or decommission</t>
  </si>
  <si>
    <t>1. MOBILE DEVICES ENCRYPTION CHECKLIST</t>
  </si>
  <si>
    <t>☐</t>
  </si>
  <si>
    <t>Requirement</t>
  </si>
  <si>
    <t>iOS devices: FileVault/built-in encryption enabled</t>
  </si>
  <si>
    <t>Android devices: Full device encryption enabled</t>
  </si>
  <si>
    <t>MDM policy enforces encryption</t>
  </si>
  <si>
    <t>Encryption status verified via MDM reporting</t>
  </si>
  <si>
    <t>PIN/password/biometric required for device unlock</t>
  </si>
  <si>
    <t>Remote wipe capability configured</t>
  </si>
  <si>
    <t>Encryption cannot be disabled by user</t>
  </si>
  <si>
    <t>BYOD devices meet encryption requirements</t>
  </si>
  <si>
    <t>Lost/stolen device procedure includes encryption verification</t>
  </si>
  <si>
    <t>Regular compliance audits performed (quarterly minimum)</t>
  </si>
  <si>
    <t>Checklist Score:</t>
  </si>
  <si>
    <t>EXCEPTION / DEVIATION DOCUMENTATION (Complete if Status = Partial or Non-Compliant)</t>
  </si>
  <si>
    <t>Formal exception request submitted:</t>
  </si>
  <si>
    <t>Exception ID:</t>
  </si>
  <si>
    <t>Risk acceptance documented:</t>
  </si>
  <si>
    <t>Risk ID:</t>
  </si>
  <si>
    <t>Compensating Controls (summary):</t>
  </si>
  <si>
    <t>☐ Physical security controls (locked facility, restricted access)</t>
  </si>
  <si>
    <t>☐ Network segmentation / air-gapped systems</t>
  </si>
  <si>
    <t>☐ Enhanced monitoring / DLP controls</t>
  </si>
  <si>
    <t>☐ Restricted user access / privileged access management</t>
  </si>
  <si>
    <t>☐ Data minimization / reduced storage scope</t>
  </si>
  <si>
    <t>☐ Other (describe):</t>
  </si>
  <si>
    <t>ADDITIONAL NOTES / COMMENTS</t>
  </si>
  <si>
    <t>2. LAPTOPS &amp; WORKSTATIONS - DATA AT REST ENCRYPTION
Policy Requirement: Laptops and workstations storing sensitive data MUST use full disk encryption (Policy Section 2.3.2)</t>
  </si>
  <si>
    <t>Does your organization have laptops or workstations that store organizational data locally?</t>
  </si>
  <si>
    <t>Windows 11 Laptops (800 units)</t>
  </si>
  <si>
    <t>BitLocker</t>
  </si>
  <si>
    <t>Full Disk</t>
  </si>
  <si>
    <t>AES-256-XTS</t>
  </si>
  <si>
    <t>AD + Intune recovery</t>
  </si>
  <si>
    <t>Annual</t>
  </si>
  <si>
    <t>BitLocker compliance dashboard</t>
  </si>
  <si>
    <t>MacBook Pro (400 units)</t>
  </si>
  <si>
    <t>FileVault 2</t>
  </si>
  <si>
    <t>MDM escrowed keys</t>
  </si>
  <si>
    <t>Jamf encryption report</t>
  </si>
  <si>
    <t>MacBook Air (250 units)</t>
  </si>
  <si>
    <t>Linux Workstations (100 units)</t>
  </si>
  <si>
    <t>LUKS</t>
  </si>
  <si>
    <t>Manual key backup</t>
  </si>
  <si>
    <t>Linux asset inventory</t>
  </si>
  <si>
    <t>Centralize key management</t>
  </si>
  <si>
    <t>Executive Laptops</t>
  </si>
  <si>
    <t>BitLocker + TPM 2.0</t>
  </si>
  <si>
    <t>Full Disk + TPM</t>
  </si>
  <si>
    <t>Intune + Hardware TPM</t>
  </si>
  <si>
    <t>Executive device report</t>
  </si>
  <si>
    <t>Developer MacBooks</t>
  </si>
  <si>
    <t>MDM managed</t>
  </si>
  <si>
    <t>Dev team device audit</t>
  </si>
  <si>
    <t>Windows 10 Desktops (500 units)</t>
  </si>
  <si>
    <t>AD recovery</t>
  </si>
  <si>
    <t>SCCM compliance</t>
  </si>
  <si>
    <t>Contractor Laptops (80 units)</t>
  </si>
  <si>
    <t>Mixed</t>
  </si>
  <si>
    <t>No enforcement</t>
  </si>
  <si>
    <t>Contractor device list</t>
  </si>
  <si>
    <t>Enforce encryption policy</t>
  </si>
  <si>
    <t>Legacy Desktops (50 units)</t>
  </si>
  <si>
    <t>Legacy hardware list</t>
  </si>
  <si>
    <t>Upgrade or decommission</t>
  </si>
  <si>
    <t>2. LAPTOPS &amp; WORKSTATIONS ENCRYPTION CHECKLIST</t>
  </si>
  <si>
    <t>Windows: BitLocker enabled and configured</t>
  </si>
  <si>
    <t>macOS: FileVault 2 enabled</t>
  </si>
  <si>
    <t>Linux: LUKS/dm-crypt configured</t>
  </si>
  <si>
    <t>TPM 2.0 utilized for key storage (where available)</t>
  </si>
  <si>
    <t>Pre-boot authentication required</t>
  </si>
  <si>
    <t>Recovery keys securely escrowed</t>
  </si>
  <si>
    <t>Encryption status monitored centrally</t>
  </si>
  <si>
    <t>Users cannot disable encryption</t>
  </si>
  <si>
    <t>Encryption applied before device deployment</t>
  </si>
  <si>
    <t>Hibernate/sleep mode protected</t>
  </si>
  <si>
    <t>External storage auto-encryption policy enforced</t>
  </si>
  <si>
    <t>3. SERVERS - DATA AT REST ENCRYPTION
Policy Requirement: Servers storing sensitive data MUST implement appropriate encryption at rest (Policy Section 2.3.3)</t>
  </si>
  <si>
    <t>Does your organization operate servers (physical or virtual) that store sensitive organizational data?</t>
  </si>
  <si>
    <t>Production Linux (150 units)</t>
  </si>
  <si>
    <t>LUKS + dm-crypt</t>
  </si>
  <si>
    <t>Ansible Vault</t>
  </si>
  <si>
    <t>Server encryption audit</t>
  </si>
  <si>
    <t>Production Windows (100 units)</t>
  </si>
  <si>
    <t>MBAM + AD</t>
  </si>
  <si>
    <t>BitLocker server status</t>
  </si>
  <si>
    <t>VMware VMs (300 units)</t>
  </si>
  <si>
    <t>VM Encryption</t>
  </si>
  <si>
    <t>VMDK-level</t>
  </si>
  <si>
    <t>vCenter + KMS</t>
  </si>
  <si>
    <t>vSphere encryption report</t>
  </si>
  <si>
    <t>Hyper-V VMs (150 units)</t>
  </si>
  <si>
    <t>Shielded VMs</t>
  </si>
  <si>
    <t>VM-level</t>
  </si>
  <si>
    <t>SCVMM + GuardedHost</t>
  </si>
  <si>
    <t>Hyper-V audit</t>
  </si>
  <si>
    <t>Docker Hosts (80 units)</t>
  </si>
  <si>
    <t>Host LUKS</t>
  </si>
  <si>
    <t>Host disk</t>
  </si>
  <si>
    <t>Ansible managed</t>
  </si>
  <si>
    <t>Docker host inventory</t>
  </si>
  <si>
    <t>Kubernetes Nodes (120 units)</t>
  </si>
  <si>
    <t>etcd encryption</t>
  </si>
  <si>
    <t>etcd + disk</t>
  </si>
  <si>
    <t>AES-256-GCM</t>
  </si>
  <si>
    <t>K8s secrets + LUKS</t>
  </si>
  <si>
    <t>K8s encryption config</t>
  </si>
  <si>
    <t>Development Servers (50 units)</t>
  </si>
  <si>
    <t>Manual</t>
  </si>
  <si>
    <t>Dev server list</t>
  </si>
  <si>
    <t>Automate key rotation</t>
  </si>
  <si>
    <t>Legacy Unix Servers (20 units)</t>
  </si>
  <si>
    <t>Legacy server inventory</t>
  </si>
  <si>
    <t>Migrate or decommission</t>
  </si>
  <si>
    <t>3. SERVERS ENCRYPTION CHECKLIST</t>
  </si>
  <si>
    <t>OS-level encryption enabled (LUKS, BitLocker, etc.)</t>
  </si>
  <si>
    <t>Storage volume/LUN encryption configured</t>
  </si>
  <si>
    <t>Virtual machine disk encryption enabled</t>
  </si>
  <si>
    <t>Key management solution integrated</t>
  </si>
  <si>
    <t>Encryption keys stored separately from encrypted data</t>
  </si>
  <si>
    <t>SAN/NAS encryption enabled (if applicable)</t>
  </si>
  <si>
    <t>Self-encrypting drives (SED) utilized where appropriate</t>
  </si>
  <si>
    <t>Boot volumes encrypted</t>
  </si>
  <si>
    <t>Temporary/swap space encrypted</t>
  </si>
  <si>
    <t>Encryption status monitoring automated</t>
  </si>
  <si>
    <t>Key rotation procedures documented and implemented</t>
  </si>
  <si>
    <t>HSM integration for key protection (production systems)</t>
  </si>
  <si>
    <t>4. DATABASES - DATA AT REST ENCRYPTION
Policy Requirement: Databases containing sensitive data MUST implement Transparent Data Encryption or equivalent (Policy Section 2.3.4)</t>
  </si>
  <si>
    <t>Does your organization operate databases that store sensitive or regulated data?</t>
  </si>
  <si>
    <t>PostgreSQL Production (10 nodes)</t>
  </si>
  <si>
    <t>TDE - pgcrypto</t>
  </si>
  <si>
    <t>Transparent</t>
  </si>
  <si>
    <t>AWS KMS</t>
  </si>
  <si>
    <t>Yes - Quarterly</t>
  </si>
  <si>
    <t>PostgreSQL TDE status</t>
  </si>
  <si>
    <t>MySQL Customer DB (12 nodes)</t>
  </si>
  <si>
    <t>InnoDB TDE</t>
  </si>
  <si>
    <t>AES-256-CBC</t>
  </si>
  <si>
    <t>Azure Key Vault</t>
  </si>
  <si>
    <t>MySQL encryption audit</t>
  </si>
  <si>
    <t>SQL Server Finance (8 nodes)</t>
  </si>
  <si>
    <t>TDE + Always Encrypted</t>
  </si>
  <si>
    <t>Transparent + Column</t>
  </si>
  <si>
    <t>HSM-backed keys</t>
  </si>
  <si>
    <t>SQL Server DMV reports</t>
  </si>
  <si>
    <t>MongoDB Analytics (6 nodes)</t>
  </si>
  <si>
    <t>Encrypted Storage Engine</t>
  </si>
  <si>
    <t>At-rest</t>
  </si>
  <si>
    <t>Self-managed keyfile</t>
  </si>
  <si>
    <t>MongoDB config audit</t>
  </si>
  <si>
    <t>Implement KMS rotation</t>
  </si>
  <si>
    <t>Redis Cache Cluster</t>
  </si>
  <si>
    <t>RDB/AOF Encryption</t>
  </si>
  <si>
    <t>Snapshot</t>
  </si>
  <si>
    <t>Key in config</t>
  </si>
  <si>
    <t>Redis configuration</t>
  </si>
  <si>
    <t>Move keys to KMS</t>
  </si>
  <si>
    <t>Oracle Enterprise (4 nodes)</t>
  </si>
  <si>
    <t>TDE - Advanced Security</t>
  </si>
  <si>
    <t>AES-192</t>
  </si>
  <si>
    <t>Manual key management</t>
  </si>
  <si>
    <t>Oracle TDE audit</t>
  </si>
  <si>
    <t>Upgrade to AES-256 + HSM</t>
  </si>
  <si>
    <t>Cassandra Cluster (8 nodes)</t>
  </si>
  <si>
    <t>At-rest Encryption</t>
  </si>
  <si>
    <t>SSTable</t>
  </si>
  <si>
    <t>JKS keystore</t>
  </si>
  <si>
    <t>Cassandra encryption.yaml</t>
  </si>
  <si>
    <t>MariaDB Prod (6 nodes)</t>
  </si>
  <si>
    <t>File-based keys</t>
  </si>
  <si>
    <t>MariaDB encryption status</t>
  </si>
  <si>
    <t>Implement KMS</t>
  </si>
  <si>
    <t>DynamoDB Tables</t>
  </si>
  <si>
    <t>AWS managed</t>
  </si>
  <si>
    <t>Server-side</t>
  </si>
  <si>
    <t>Yes - Automatic</t>
  </si>
  <si>
    <t>DynamoDB encryption config</t>
  </si>
  <si>
    <t>Test Databases</t>
  </si>
  <si>
    <t>Test DB inventory</t>
  </si>
  <si>
    <t>Implement encryption</t>
  </si>
  <si>
    <t>4. DATABASES ENCRYPTION CHECKLIST</t>
  </si>
  <si>
    <t>TDE (Transparent Data Encryption) enabled</t>
  </si>
  <si>
    <t>Encryption at column level for sensitive fields (if applicable)</t>
  </si>
  <si>
    <t>Encryption at tablespace level configured</t>
  </si>
  <si>
    <t>Database backup files encrypted</t>
  </si>
  <si>
    <t>Transaction logs encrypted</t>
  </si>
  <si>
    <t>Encryption keys managed via KMS/HSM</t>
  </si>
  <si>
    <t>Master encryption key rotated per policy</t>
  </si>
  <si>
    <t>Encryption does not significantly impact performance</t>
  </si>
  <si>
    <t>Application-layer encryption for PII/PHI (if TDE unavailable)</t>
  </si>
  <si>
    <t>Encryption status verified in database audit logs</t>
  </si>
  <si>
    <t>Development/test databases use encryption for prod data</t>
  </si>
  <si>
    <t>Database snapshots/clones encrypted</t>
  </si>
  <si>
    <t>Technology-Specific Notes / Examples</t>
  </si>
  <si>
    <t>SQL Server:</t>
  </si>
  <si>
    <t>TDE, Always Encrypted</t>
  </si>
  <si>
    <t>Oracle:</t>
  </si>
  <si>
    <t>TDE, DBMS_CRYPTO</t>
  </si>
  <si>
    <t>PostgreSQL:</t>
  </si>
  <si>
    <t>pgcrypto, LUKS volume encryption</t>
  </si>
  <si>
    <t>MySQL:</t>
  </si>
  <si>
    <t>InnoDB encryption, file-level encryption</t>
  </si>
  <si>
    <t>MongoDB:</t>
  </si>
  <si>
    <t>Cassandra:</t>
  </si>
  <si>
    <t>Transparent data encryption</t>
  </si>
  <si>
    <t>5. CLOUD STORAGE - DATA AT REST ENCRYPTION
Policy Requirement: Cloud storage MUST use provider encryption with customer-managed keys where available (Policy Section 2.3.5)</t>
  </si>
  <si>
    <t>Does your organization store data in cloud storage services (object storage, block storage, file storage)?</t>
  </si>
  <si>
    <t>AWS S3 Production</t>
  </si>
  <si>
    <t>SSE-KMS</t>
  </si>
  <si>
    <t>S3 bucket encryption audit</t>
  </si>
  <si>
    <t>Azure Blob Storage</t>
  </si>
  <si>
    <t>SSE with Customer Keys</t>
  </si>
  <si>
    <t>Azure Storage encryption</t>
  </si>
  <si>
    <t>GCP Cloud Storage</t>
  </si>
  <si>
    <t>CMEK</t>
  </si>
  <si>
    <t>Cloud KMS</t>
  </si>
  <si>
    <t>GCS encryption config</t>
  </si>
  <si>
    <t>AWS EBS Volumes</t>
  </si>
  <si>
    <t>EBS Encryption</t>
  </si>
  <si>
    <t>Block-level</t>
  </si>
  <si>
    <t>EBS encryption status</t>
  </si>
  <si>
    <t>Azure Managed Disks</t>
  </si>
  <si>
    <t>SSE + Customer Keys</t>
  </si>
  <si>
    <t>Disk-level</t>
  </si>
  <si>
    <t>Managed Disk encryption</t>
  </si>
  <si>
    <t>GCP Persistent Disks</t>
  </si>
  <si>
    <t>Persistent Disk config</t>
  </si>
  <si>
    <t>AWS EFS File Systems</t>
  </si>
  <si>
    <t>EFS Encryption</t>
  </si>
  <si>
    <t>File-level</t>
  </si>
  <si>
    <t>EFS encryption status</t>
  </si>
  <si>
    <t>OneDrive for Business</t>
  </si>
  <si>
    <t>Microsoft-managed</t>
  </si>
  <si>
    <t>Microsoft managed</t>
  </si>
  <si>
    <t>OneDrive admin report</t>
  </si>
  <si>
    <t>SharePoint Online</t>
  </si>
  <si>
    <t>SharePoint encryption</t>
  </si>
  <si>
    <t>Dropbox Business</t>
  </si>
  <si>
    <t>Dropbox-managed</t>
  </si>
  <si>
    <t>Dropbox managed</t>
  </si>
  <si>
    <t>Dropbox admin console</t>
  </si>
  <si>
    <t>5. CLOUD STORAGE ENCRYPTION CHECKLIST</t>
  </si>
  <si>
    <t>Server-side encryption (SSE) enabled by default</t>
  </si>
  <si>
    <t>Customer-managed keys (CMK) configured</t>
  </si>
  <si>
    <t>Client-side encryption implemented for highly sensitive data</t>
  </si>
  <si>
    <t>Encryption key location documented (region/jurisdiction)</t>
  </si>
  <si>
    <t>Cloud KMS integrated (AWS KMS, Azure Key Vault, GCP KMS)</t>
  </si>
  <si>
    <t>Automatic key rotation enabled</t>
  </si>
  <si>
    <t>Encryption validated via cloud audit logs</t>
  </si>
  <si>
    <t>Data encrypted before upload (for maximum sensitivity)</t>
  </si>
  <si>
    <t>Bucket/container policies enforce encryption</t>
  </si>
  <si>
    <t>Cross-region replication maintains encryption</t>
  </si>
  <si>
    <t>Cloud backup snapshots encrypted</t>
  </si>
  <si>
    <t>Compliance certifications verified (SOC 2, ISO 27001)</t>
  </si>
  <si>
    <t>AWS:</t>
  </si>
  <si>
    <t>S3 SSE-KMS, EBS encryption, RDS encryption</t>
  </si>
  <si>
    <t>Azure:</t>
  </si>
  <si>
    <t>Storage Service Encryption, Azure Disk Encryption</t>
  </si>
  <si>
    <t>GCP:</t>
  </si>
  <si>
    <t>Default encryption at rest, CMEK</t>
  </si>
  <si>
    <t>Others:</t>
  </si>
  <si>
    <t>Document specific provider controls</t>
  </si>
  <si>
    <t>6. BACKUPS - DATA AT REST ENCRYPTION
Policy Requirement: Backup media and backup data MUST be encrypted with strong cryptography (Policy Section 2.3.6)</t>
  </si>
  <si>
    <t>Does your organization perform backups of systems, databases, or files?</t>
  </si>
  <si>
    <t>Veeam Backup Production</t>
  </si>
  <si>
    <t>Encrypted backups</t>
  </si>
  <si>
    <t>Full backup</t>
  </si>
  <si>
    <t>Veeam password + KMS</t>
  </si>
  <si>
    <t>Veeam backup reports</t>
  </si>
  <si>
    <t>Commvault Enterprise</t>
  </si>
  <si>
    <t>Commvault key manager</t>
  </si>
  <si>
    <t>Commvault encryption audit</t>
  </si>
  <si>
    <t>AWS Backup</t>
  </si>
  <si>
    <t>AWS managed encryption</t>
  </si>
  <si>
    <t>Backup vaults</t>
  </si>
  <si>
    <t>AWS Backup config</t>
  </si>
  <si>
    <t>Azure Backup</t>
  </si>
  <si>
    <t>Azure-managed</t>
  </si>
  <si>
    <t>Recovery vaults</t>
  </si>
  <si>
    <t>Azure Backup reports</t>
  </si>
  <si>
    <t>Database Backup (SQL)</t>
  </si>
  <si>
    <t>TDE backup encryption</t>
  </si>
  <si>
    <t>Native backup</t>
  </si>
  <si>
    <t>SQL certificate</t>
  </si>
  <si>
    <t>SQL backup audit</t>
  </si>
  <si>
    <t>File Server Backup</t>
  </si>
  <si>
    <t>Encrypted tapes</t>
  </si>
  <si>
    <t>Tape backup</t>
  </si>
  <si>
    <t>Tape library encryption</t>
  </si>
  <si>
    <t>Tape library logs</t>
  </si>
  <si>
    <t>Offsite Backup (Iron Mountain)</t>
  </si>
  <si>
    <t>Encrypted media</t>
  </si>
  <si>
    <t>Physical tapes</t>
  </si>
  <si>
    <t>Key escrow</t>
  </si>
  <si>
    <t>Iron Mountain inventory</t>
  </si>
  <si>
    <t>Personal Backup (Time Machine)</t>
  </si>
  <si>
    <t>FileVault encrypted</t>
  </si>
  <si>
    <t>Disk backup</t>
  </si>
  <si>
    <t>User-managed</t>
  </si>
  <si>
    <t>Backup policy</t>
  </si>
  <si>
    <t>Enforce corporate backup</t>
  </si>
  <si>
    <t>Legacy Backup System</t>
  </si>
  <si>
    <t>Legacy backup inventory</t>
  </si>
  <si>
    <t>Migrate to encrypted solution</t>
  </si>
  <si>
    <t>6. BACKUPS ENCRYPTION CHECKLIST</t>
  </si>
  <si>
    <t>Full backup encryption enabled</t>
  </si>
  <si>
    <t>Incremental/differential backups encrypted</t>
  </si>
  <si>
    <t>Backup encryption configured before first backup</t>
  </si>
  <si>
    <t>Backup encryption keys managed separately from backup data</t>
  </si>
  <si>
    <t>Offsite/cloud backup storage encrypted in transit AND at rest</t>
  </si>
  <si>
    <t>Tape backups encrypted (if applicable)</t>
  </si>
  <si>
    <t>Virtual machine backups encrypted</t>
  </si>
  <si>
    <t>Database backup encryption independent of TDE</t>
  </si>
  <si>
    <t>Backup restoration tested with encryption</t>
  </si>
  <si>
    <t>Backup encryption key recovery procedure documented</t>
  </si>
  <si>
    <t>Long-term archive backups maintain encryption</t>
  </si>
  <si>
    <t>Backup logs do not expose sensitive data in plaintext</t>
  </si>
  <si>
    <t>Agent-based:</t>
  </si>
  <si>
    <t>Veeam, Commvault, Veritas</t>
  </si>
  <si>
    <t>Cloud-native:</t>
  </si>
  <si>
    <t>AWS Backup, Azure Backup</t>
  </si>
  <si>
    <t>Database-native:</t>
  </si>
  <si>
    <t>RMAN (Oracle), SQL Server Backup</t>
  </si>
  <si>
    <t>File-level:</t>
  </si>
  <si>
    <t>rsync + GPG, Duplicati</t>
  </si>
  <si>
    <t>Container:</t>
  </si>
  <si>
    <t>Velero with encryption</t>
  </si>
  <si>
    <t>7. REMOVABLE MEDIA - DATA AT REST ENCRYPTION
Policy Requirement: Removable media storing organizational data MUST be encrypted (Policy Section 2.3.7)</t>
  </si>
  <si>
    <t>Does your organization use removable media (USB drives, external disks, optical media) to store or transport data?</t>
  </si>
  <si>
    <t>Encrypted USB Drives (IronKey)</t>
  </si>
  <si>
    <t>Hardware encrypted</t>
  </si>
  <si>
    <t>Full device</t>
  </si>
  <si>
    <t>Hardware-based</t>
  </si>
  <si>
    <t>IronKey deployment list</t>
  </si>
  <si>
    <t>Encrypted USB Drives (Kingston)</t>
  </si>
  <si>
    <t>Hardware keypad</t>
  </si>
  <si>
    <t>Kingston inventory</t>
  </si>
  <si>
    <t>BitLocker To Go USB</t>
  </si>
  <si>
    <t>BitLocker To Go</t>
  </si>
  <si>
    <t>BitLocker To Go policy</t>
  </si>
  <si>
    <t>External HDDs (encrypted)</t>
  </si>
  <si>
    <t>Full disk</t>
  </si>
  <si>
    <t>Hardware PIN</t>
  </si>
  <si>
    <t>External HDD inventory</t>
  </si>
  <si>
    <t>Corporate SD Cards</t>
  </si>
  <si>
    <t>VeraCrypt</t>
  </si>
  <si>
    <t>Container</t>
  </si>
  <si>
    <t>User password</t>
  </si>
  <si>
    <t>SD card policy</t>
  </si>
  <si>
    <t>Enforce hardware encryption</t>
  </si>
  <si>
    <t>DVD/CD Media (archived)</t>
  </si>
  <si>
    <t>Password-protected</t>
  </si>
  <si>
    <t>Document password</t>
  </si>
  <si>
    <t>Optical media inventory</t>
  </si>
  <si>
    <t>Phase out optical media</t>
  </si>
  <si>
    <t>Standard USB Drives</t>
  </si>
  <si>
    <t>USB policy violation logs</t>
  </si>
  <si>
    <t>Block standard USB via GPO</t>
  </si>
  <si>
    <t>Personal USB Drives</t>
  </si>
  <si>
    <t>Blocked by policy</t>
  </si>
  <si>
    <t>DLP USB blocking rules</t>
  </si>
  <si>
    <t>7. REMOVABLE MEDIA ENCRYPTION CHECKLIST</t>
  </si>
  <si>
    <t>USB drive encryption mandatory via policy</t>
  </si>
  <si>
    <t>External hard drive encryption enforced</t>
  </si>
  <si>
    <t>BitLocker To Go / FileVault / LUKS configured</t>
  </si>
  <si>
    <t>Hardware-encrypted USB drives procured</t>
  </si>
  <si>
    <t>Unencrypted removable media blocked by endpoint policy</t>
  </si>
  <si>
    <t>Media encryption verified before data transfer</t>
  </si>
  <si>
    <t>Encrypted optical media (DVD/CD) procedures documented</t>
  </si>
  <si>
    <t>Lost removable media incident response includes encryption check</t>
  </si>
  <si>
    <t>Media disposal/destruction procedures enforce encryption verification</t>
  </si>
  <si>
    <t>Approved removable media inventory maintained</t>
  </si>
  <si>
    <t>Encryption exceptions require formal approval</t>
  </si>
  <si>
    <t>Regular compliance audits of removable media usage</t>
  </si>
  <si>
    <t>Windows:</t>
  </si>
  <si>
    <t>macOS:</t>
  </si>
  <si>
    <t>FileVault encrypted volumes</t>
  </si>
  <si>
    <t>Linux:</t>
  </si>
  <si>
    <t>LUKS containers</t>
  </si>
  <si>
    <t>Cross-platform:</t>
  </si>
  <si>
    <t>Hardware:</t>
  </si>
  <si>
    <t>IronKey, Kingston Encrypted USB</t>
  </si>
  <si>
    <t>Enterprise:</t>
  </si>
  <si>
    <t>Symantec Endpoint Encryption</t>
  </si>
  <si>
    <t>DATA STORAGE ASSESSMENT - COMPLIANCE SUMMARY</t>
  </si>
  <si>
    <t>Total Items</t>
  </si>
  <si>
    <t>Compliance %</t>
  </si>
  <si>
    <t>1. Mobile Devices</t>
  </si>
  <si>
    <t>2. Laptops &amp; Workstations</t>
  </si>
  <si>
    <t>3. Servers</t>
  </si>
  <si>
    <t>4. Databases</t>
  </si>
  <si>
    <t>5. Cloud Storage</t>
  </si>
  <si>
    <t>6. Backups</t>
  </si>
  <si>
    <t>7. Removable Media</t>
  </si>
  <si>
    <t>TOTAL</t>
  </si>
  <si>
    <t>ENCRYPTION COVERAGE BY DATA CLASSIFICATION</t>
  </si>
  <si>
    <t>Systems Assessed</t>
  </si>
  <si>
    <t>Unencrypted</t>
  </si>
  <si>
    <t>Coverage %</t>
  </si>
  <si>
    <t>KEY MANAGEMENT SUMMARY</t>
  </si>
  <si>
    <t>Count</t>
  </si>
  <si>
    <t>Percentage</t>
  </si>
  <si>
    <t>TPM</t>
  </si>
  <si>
    <t>Software-based</t>
  </si>
  <si>
    <t>Vendor-managed</t>
  </si>
  <si>
    <t>CRITICAL GAPS REQUIRING IMMEDIATE ATTENTION</t>
  </si>
  <si>
    <t>Priority</t>
  </si>
  <si>
    <t>EVIDENCE REGISTER</t>
  </si>
  <si>
    <t>List all evidence files/documents referenced in this assessment (audit traceability).</t>
  </si>
  <si>
    <t>Evidence ID</t>
  </si>
  <si>
    <t>Evidence Type</t>
  </si>
  <si>
    <t>Location/Path</t>
  </si>
  <si>
    <t>Date Collected</t>
  </si>
  <si>
    <t>Collected By</t>
  </si>
  <si>
    <t>Verification Status</t>
  </si>
  <si>
    <t>EV-001</t>
  </si>
  <si>
    <t>EV-002</t>
  </si>
  <si>
    <t>EV-003</t>
  </si>
  <si>
    <t>EV-004</t>
  </si>
  <si>
    <t>EV-005</t>
  </si>
  <si>
    <t>EVD-824.2-001</t>
  </si>
  <si>
    <t>MDM Compliance Report - Mobile Devices</t>
  </si>
  <si>
    <t>Compliance Report</t>
  </si>
  <si>
    <t>MobileIron/Reports</t>
  </si>
  <si>
    <t>2026-01-10</t>
  </si>
  <si>
    <t>IT Admin</t>
  </si>
  <si>
    <t>2 years</t>
  </si>
  <si>
    <t>Current</t>
  </si>
  <si>
    <t>EVD-824.2-002</t>
  </si>
  <si>
    <t>iOS Encryption Policy Configuration</t>
  </si>
  <si>
    <t>Configuration Doc</t>
  </si>
  <si>
    <t>SharePoint/MDM/iOS</t>
  </si>
  <si>
    <t>Security Team</t>
  </si>
  <si>
    <t>3 years</t>
  </si>
  <si>
    <t>EVD-824.2-003</t>
  </si>
  <si>
    <t>Android Encryption Compliance Scan</t>
  </si>
  <si>
    <t>Scan Report</t>
  </si>
  <si>
    <t>Workspace ONE/Scans</t>
  </si>
  <si>
    <t>2026-01-09</t>
  </si>
  <si>
    <t>1 year</t>
  </si>
  <si>
    <t>EVD-824.2-004</t>
  </si>
  <si>
    <t>BYOD Policy Document v2.1</t>
  </si>
  <si>
    <t>Policy</t>
  </si>
  <si>
    <t>SharePoint/Policies/BYOD</t>
  </si>
  <si>
    <t>2025-06-01</t>
  </si>
  <si>
    <t>HR &amp; Security</t>
  </si>
  <si>
    <t>5 years</t>
  </si>
  <si>
    <t>EVD-824.2-005</t>
  </si>
  <si>
    <t>BitLocker Deployment Status Report</t>
  </si>
  <si>
    <t>Deployment Report</t>
  </si>
  <si>
    <t>Intune/Reports</t>
  </si>
  <si>
    <t>Windows Admin</t>
  </si>
  <si>
    <t>EVD-824.2-006</t>
  </si>
  <si>
    <t>FileVault 2 Compliance - Mac Fleet</t>
  </si>
  <si>
    <t>Jamf/Encryption</t>
  </si>
  <si>
    <t>Mac Admin</t>
  </si>
  <si>
    <t>EVD-824.2-007</t>
  </si>
  <si>
    <t>BitLocker Recovery Key Escrow Audit</t>
  </si>
  <si>
    <t>Audit Report</t>
  </si>
  <si>
    <t>AD/BitLocker-Keys</t>
  </si>
  <si>
    <t>2025-12-15</t>
  </si>
  <si>
    <t>EVD-824.2-008</t>
  </si>
  <si>
    <t>Linux LUKS Encryption Standards</t>
  </si>
  <si>
    <t>Technical Standard</t>
  </si>
  <si>
    <t>SharePoint/Standards</t>
  </si>
  <si>
    <t>2025-08-01</t>
  </si>
  <si>
    <t>Linux Team</t>
  </si>
  <si>
    <t>EVD-824.2-009</t>
  </si>
  <si>
    <t>Server Encryption Audit Q4 2025</t>
  </si>
  <si>
    <t>SharePoint/Audits/Servers</t>
  </si>
  <si>
    <t>2025-12-20</t>
  </si>
  <si>
    <t>Internal Audit</t>
  </si>
  <si>
    <t>7 years</t>
  </si>
  <si>
    <t>EVD-824.2-010</t>
  </si>
  <si>
    <t>VMware VM Encryption Configuration</t>
  </si>
  <si>
    <t>Config Export</t>
  </si>
  <si>
    <t>vCenter/Configs</t>
  </si>
  <si>
    <t>2026-01-08</t>
  </si>
  <si>
    <t>VMware Admin</t>
  </si>
  <si>
    <t>EVD-824.2-011</t>
  </si>
  <si>
    <t>Kubernetes etcd Encryption Config</t>
  </si>
  <si>
    <t>YAML Config</t>
  </si>
  <si>
    <t>Git/k8s/encryption</t>
  </si>
  <si>
    <t>2025-11-15</t>
  </si>
  <si>
    <t>K8s Admin</t>
  </si>
  <si>
    <t>EVD-824.2-012</t>
  </si>
  <si>
    <t>PostgreSQL TDE Implementation Guide</t>
  </si>
  <si>
    <t>Technical Doc</t>
  </si>
  <si>
    <t>Confluence/Database/PG</t>
  </si>
  <si>
    <t>2025-09-20</t>
  </si>
  <si>
    <t>DBA Team</t>
  </si>
  <si>
    <t>EVD-824.2-013</t>
  </si>
  <si>
    <t>MySQL TDE Status Report</t>
  </si>
  <si>
    <t>Status Report</t>
  </si>
  <si>
    <t>SharePoint/DBA/MySQL</t>
  </si>
  <si>
    <t>EVD-824.2-014</t>
  </si>
  <si>
    <t>SQL Server TDE Configuration Audit</t>
  </si>
  <si>
    <t>SQL-Audit/TDE</t>
  </si>
  <si>
    <t>2025-12-10</t>
  </si>
  <si>
    <t>EVD-824.2-015</t>
  </si>
  <si>
    <t>AWS KMS Key Policy - Databases</t>
  </si>
  <si>
    <t>Policy Doc</t>
  </si>
  <si>
    <t>AWS/KMS/Policies</t>
  </si>
  <si>
    <t>2025-10-15</t>
  </si>
  <si>
    <t>Cloud Team</t>
  </si>
  <si>
    <t>EVD-824.2-016</t>
  </si>
  <si>
    <t>MongoDB Encryption at Rest Config</t>
  </si>
  <si>
    <t>Config File</t>
  </si>
  <si>
    <t>Git/mongodb/encryption</t>
  </si>
  <si>
    <t>2025-11-01</t>
  </si>
  <si>
    <t>EVD-824.2-017</t>
  </si>
  <si>
    <t>S3 Bucket Encryption Compliance</t>
  </si>
  <si>
    <t>AWS/S3/Encryption</t>
  </si>
  <si>
    <t>EVD-824.2-018</t>
  </si>
  <si>
    <t>Azure Storage Encryption Config</t>
  </si>
  <si>
    <t>Config Screenshot</t>
  </si>
  <si>
    <t>Azure/Storage/Security</t>
  </si>
  <si>
    <t>EVD-824.2-019</t>
  </si>
  <si>
    <t>GCP CMEK Configuration Guide</t>
  </si>
  <si>
    <t>Technical Guide</t>
  </si>
  <si>
    <t>GCP/Security/CMEK</t>
  </si>
  <si>
    <t>2025-10-01</t>
  </si>
  <si>
    <t>EVD-824.2-020</t>
  </si>
  <si>
    <t>EBS Volume Encryption Status</t>
  </si>
  <si>
    <t>AWS/EC2/EBS</t>
  </si>
  <si>
    <t>EVD-824.2-021</t>
  </si>
  <si>
    <t>Veeam Backup Encryption Settings</t>
  </si>
  <si>
    <t>Veeam/Config</t>
  </si>
  <si>
    <t>Backup Team</t>
  </si>
  <si>
    <t>EVD-824.2-022</t>
  </si>
  <si>
    <t>AWS Backup Vault Encryption</t>
  </si>
  <si>
    <t>Screenshot</t>
  </si>
  <si>
    <t>AWS/Backup/Config</t>
  </si>
  <si>
    <t>EVD-824.2-023</t>
  </si>
  <si>
    <t>Backup Encryption Policy v3.0</t>
  </si>
  <si>
    <t>SharePoint/Policies/Backup</t>
  </si>
  <si>
    <t>2025-07-01</t>
  </si>
  <si>
    <t>EVD-824.2-024</t>
  </si>
  <si>
    <t>Tape Encryption Key Escrow Procedure</t>
  </si>
  <si>
    <t>Procedure</t>
  </si>
  <si>
    <t>SharePoint/Procedures</t>
  </si>
  <si>
    <t>2025-09-15</t>
  </si>
  <si>
    <t>EVD-824.2-025</t>
  </si>
  <si>
    <t>IronKey USB Deployment List</t>
  </si>
  <si>
    <t>Inventory</t>
  </si>
  <si>
    <t>SharePoint/Inventory/USB</t>
  </si>
  <si>
    <t>EVD-824.2-026</t>
  </si>
  <si>
    <t>Removable Media Policy v2.5</t>
  </si>
  <si>
    <t>SharePoint/Policies/Media</t>
  </si>
  <si>
    <t>EVD-824.2-027</t>
  </si>
  <si>
    <t>DLP USB Blocking Configuration</t>
  </si>
  <si>
    <t>GPO Export</t>
  </si>
  <si>
    <t>AD/GPO/DLP</t>
  </si>
  <si>
    <t>2025-11-20</t>
  </si>
  <si>
    <t>EVD-824.2-028</t>
  </si>
  <si>
    <t>Encrypted USB Vendor Comparison</t>
  </si>
  <si>
    <t>Analysis Doc</t>
  </si>
  <si>
    <t>SharePoint/Procurement</t>
  </si>
  <si>
    <t>2025-10-10</t>
  </si>
  <si>
    <t>IT Procurement</t>
  </si>
  <si>
    <t>EV-034</t>
  </si>
  <si>
    <t>EV-035</t>
  </si>
  <si>
    <t>EV-036</t>
  </si>
  <si>
    <t>EV-037</t>
  </si>
  <si>
    <t>EV-038</t>
  </si>
  <si>
    <t>EV-039</t>
  </si>
  <si>
    <t>EV-040</t>
  </si>
  <si>
    <t>EV-041</t>
  </si>
  <si>
    <t>EV-042</t>
  </si>
  <si>
    <t>EV-043</t>
  </si>
  <si>
    <t>EV-044</t>
  </si>
  <si>
    <t>EV-045</t>
  </si>
  <si>
    <t>EV-046</t>
  </si>
  <si>
    <t>EV-047</t>
  </si>
  <si>
    <t>EV-048</t>
  </si>
  <si>
    <t>EV-049</t>
  </si>
  <si>
    <t>EV-050</t>
  </si>
  <si>
    <t>EV-051</t>
  </si>
  <si>
    <t>EV-052</t>
  </si>
  <si>
    <t>EV-053</t>
  </si>
  <si>
    <t>EV-054</t>
  </si>
  <si>
    <t>EV-055</t>
  </si>
  <si>
    <t>EV-056</t>
  </si>
  <si>
    <t>EV-057</t>
  </si>
  <si>
    <t>EV-058</t>
  </si>
  <si>
    <t>EV-059</t>
  </si>
  <si>
    <t>EV-060</t>
  </si>
  <si>
    <t>EV-061</t>
  </si>
  <si>
    <t>EV-062</t>
  </si>
  <si>
    <t>EV-063</t>
  </si>
  <si>
    <t>EV-064</t>
  </si>
  <si>
    <t>EV-065</t>
  </si>
  <si>
    <t>EV-066</t>
  </si>
  <si>
    <t>EV-067</t>
  </si>
  <si>
    <t>EV-068</t>
  </si>
  <si>
    <t>EV-069</t>
  </si>
  <si>
    <t>EV-070</t>
  </si>
  <si>
    <t>EV-071</t>
  </si>
  <si>
    <t>EV-072</t>
  </si>
  <si>
    <t>EV-073</t>
  </si>
  <si>
    <t>EV-074</t>
  </si>
  <si>
    <t>EV-075</t>
  </si>
  <si>
    <t>EV-076</t>
  </si>
  <si>
    <t>EV-077</t>
  </si>
  <si>
    <t>EV-078</t>
  </si>
  <si>
    <t>EV-079</t>
  </si>
  <si>
    <t>EV-080</t>
  </si>
  <si>
    <t>EV-081</t>
  </si>
  <si>
    <t>EV-082</t>
  </si>
  <si>
    <t>EV-083</t>
  </si>
  <si>
    <t>EV-084</t>
  </si>
  <si>
    <t>EV-085</t>
  </si>
  <si>
    <t>EV-086</t>
  </si>
  <si>
    <t>EV-087</t>
  </si>
  <si>
    <t>EV-088</t>
  </si>
  <si>
    <t>EV-089</t>
  </si>
  <si>
    <t>EV-090</t>
  </si>
  <si>
    <t>EV-091</t>
  </si>
  <si>
    <t>EV-092</t>
  </si>
  <si>
    <t>EV-093</t>
  </si>
  <si>
    <t>EV-094</t>
  </si>
  <si>
    <t>EV-095</t>
  </si>
  <si>
    <t>EV-096</t>
  </si>
  <si>
    <t>EV-097</t>
  </si>
  <si>
    <t>EV-098</t>
  </si>
  <si>
    <t>EV-099</t>
  </si>
  <si>
    <t>EV-100</t>
  </si>
  <si>
    <t>ASSESSMENT APPROVAL AND SIGN-OFF</t>
  </si>
  <si>
    <t>Assessment Summary</t>
  </si>
  <si>
    <t>Assessment Document</t>
  </si>
  <si>
    <t>ISMS-IMP-A.8.24.2 - Data Storage Assessment</t>
  </si>
  <si>
    <t>Assessment Period</t>
  </si>
  <si>
    <t>Emily Rodriguez</t>
  </si>
  <si>
    <t>Overall Compliance Rate</t>
  </si>
  <si>
    <t>Security Analyst</t>
  </si>
  <si>
    <t>Assessment Status</t>
  </si>
  <si>
    <t>Information Security</t>
  </si>
  <si>
    <t>emily.rodriguez@company.com</t>
  </si>
  <si>
    <t>2026-01-13</t>
  </si>
  <si>
    <t>ASSESSMENT COMPLETED BY</t>
  </si>
  <si>
    <t>Name:</t>
  </si>
  <si>
    <t>Role/Title:</t>
  </si>
  <si>
    <t>Department:</t>
  </si>
  <si>
    <t>Email:</t>
  </si>
  <si>
    <t>David Park</t>
  </si>
  <si>
    <t>Date:</t>
  </si>
  <si>
    <t>2026-01-15</t>
  </si>
  <si>
    <t>Encryption coverage is comprehensive across storage systems. Legacy database encryption requires attention.</t>
  </si>
  <si>
    <t>APPROVED BY (CISO)</t>
  </si>
  <si>
    <t>Approval Decision:</t>
  </si>
  <si>
    <t>Michael Chen</t>
  </si>
  <si>
    <t>2026-01-16</t>
  </si>
  <si>
    <t>Storage encryption controls meet requirements. Priority: Legacy backup system migration.</t>
  </si>
  <si>
    <t>Jennifer Williams</t>
  </si>
  <si>
    <t>2026-01-18</t>
  </si>
  <si>
    <t>Approved with conditions</t>
  </si>
  <si>
    <t>Approved pending Q2 2026 completion of MongoDB KMS integration and legacy backup migration.</t>
  </si>
  <si>
    <t>2026-04-13</t>
  </si>
  <si>
    <t>Q2 2026 reassessment focusing on database encryption standardization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</si>
</sst>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4"/>
      <color rgb="FFFFFFFF"/>
      <name val="Calibri"/>
      <family val="2"/>
    </font>
    <font>
      <b/>
      <sz val="12"/>
      <name val="Calibri"/>
      <family val="2"/>
    </font>
    <font>
      <b/>
      <sz val="11"/>
      <name val="Calibri"/>
      <family val="2"/>
    </font>
    <font>
      <b/>
      <sz val="10"/>
      <name val="Calibri"/>
      <family val="2"/>
    </font>
    <font>
      <b/>
      <sz val="11"/>
      <name val="Calibri"/>
      <family val="2"/>
    </font>
    <font>
      <i/>
      <sz val="11"/>
      <color rgb="FF808080"/>
      <name val="Calibri"/>
      <family val="2"/>
    </font>
    <font>
      <b/>
      <sz val="11"/>
      <color rgb="FF0000FF"/>
      <name val="Calibri"/>
      <family val="2"/>
    </font>
    <font>
      <b/>
      <sz val="11"/>
      <color rgb="FFFFFFFF"/>
      <name val="Calibri"/>
      <family val="2"/>
    </font>
    <font>
      <b/>
      <sz val="12"/>
      <color rgb="FF0000FF"/>
      <name val="Calibri"/>
      <family val="2"/>
    </font>
    <font>
      <b/>
      <sz val="12"/>
      <color rgb="FFFFFFFF"/>
      <name val="Calibri"/>
      <family val="2"/>
    </font>
    <font>
      <i/>
      <sz val="11"/>
      <name val="Calibri"/>
      <family val="2"/>
    </font>
    <font>
      <sz val="11"/>
      <color rgb="FF808080"/>
      <name val="Calibri"/>
      <family val="2"/>
    </font>
    <font>
      <b/>
      <sz val="11"/>
      <color rgb="FFFFFFFF"/>
      <name val="Calibri"/>
      <family val="2"/>
    </font>
  </fonts>
  <fills count="10">
    <fill>
      <patternFill patternType="none"/>
    </fill>
    <fill>
      <patternFill patternType="gray125"/>
    </fill>
    <fill>
      <patternFill patternType="solid">
        <fgColor rgb="FF003366"/>
        <bgColor rgb="FF003366"/>
      </patternFill>
    </fill>
    <fill>
      <patternFill patternType="solid">
        <fgColor rgb="FFFFFFCC"/>
        <bgColor rgb="FFFFFFCC"/>
      </patternFill>
    </fill>
    <fill>
      <patternFill patternType="solid">
        <fgColor rgb="FFD9D9D9"/>
        <bgColor rgb="FFD9D9D9"/>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C00000"/>
        <bgColor rgb="FFC00000"/>
      </patternFill>
    </fill>
    <fill>
      <patternFill patternType="solid">
        <fgColor rgb="FF4472C4"/>
        <bgColor rgb="FF4472C4"/>
      </patternFill>
    </fill>
  </fills>
  <borders count="11">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39">
    <xf numFmtId="0" fontId="0" fillId="0" borderId="0" xfId="0"/>
    <xf numFmtId="0" fontId="2" fillId="0" borderId="0" xfId="0" applyFont="1"/>
    <xf numFmtId="0" fontId="3" fillId="0" borderId="0" xfId="0" applyFont="1"/>
    <xf numFmtId="0" fontId="0" fillId="3" borderId="1" xfId="0" applyFill="1" applyBorder="1"/>
    <xf numFmtId="0" fontId="4" fillId="4" borderId="1" xfId="0" applyFont="1" applyFill="1" applyBorder="1" applyAlignment="1">
      <alignment horizontal="center" vertical="center" wrapText="1"/>
    </xf>
    <xf numFmtId="0" fontId="0" fillId="0" borderId="1" xfId="0" applyBorder="1"/>
    <xf numFmtId="0" fontId="0" fillId="5" borderId="1" xfId="0" applyFill="1" applyBorder="1" applyAlignment="1">
      <alignment horizontal="left" vertical="center" wrapText="1"/>
    </xf>
    <xf numFmtId="0" fontId="0" fillId="0" borderId="1" xfId="0" applyBorder="1" applyAlignment="1">
      <alignment horizontal="left" vertical="center" wrapText="1"/>
    </xf>
    <xf numFmtId="0" fontId="0" fillId="6" borderId="1" xfId="0" applyFill="1" applyBorder="1" applyAlignment="1">
      <alignment horizontal="left" vertical="center" wrapText="1"/>
    </xf>
    <xf numFmtId="0" fontId="0" fillId="7" borderId="1" xfId="0" applyFill="1" applyBorder="1" applyAlignment="1">
      <alignment horizontal="left" vertical="center" wrapText="1"/>
    </xf>
    <xf numFmtId="0" fontId="6" fillId="0" borderId="0" xfId="0" applyFont="1" applyAlignment="1">
      <alignment horizontal="left" vertical="center" wrapText="1"/>
    </xf>
    <xf numFmtId="0" fontId="0" fillId="3" borderId="1" xfId="0" applyFill="1" applyBorder="1" applyAlignment="1">
      <alignment horizontal="left" vertical="center" wrapText="1"/>
    </xf>
    <xf numFmtId="0" fontId="5" fillId="0" borderId="0" xfId="0" applyFont="1"/>
    <xf numFmtId="0" fontId="7" fillId="0" borderId="0" xfId="0" applyFont="1"/>
    <xf numFmtId="0" fontId="0" fillId="0" borderId="0" xfId="0" applyAlignment="1">
      <alignment horizontal="left" vertical="center" wrapText="1"/>
    </xf>
    <xf numFmtId="0" fontId="9" fillId="0" borderId="0" xfId="0" applyFont="1"/>
    <xf numFmtId="0" fontId="0" fillId="3" borderId="0" xfId="0" applyFill="1"/>
    <xf numFmtId="0" fontId="12" fillId="0" borderId="0" xfId="0" applyFont="1"/>
    <xf numFmtId="0" fontId="1" fillId="2" borderId="0" xfId="0" applyFont="1" applyFill="1" applyAlignment="1">
      <alignment horizontal="center" vertical="center" wrapText="1"/>
    </xf>
    <xf numFmtId="0" fontId="0" fillId="0" borderId="0" xfId="0"/>
    <xf numFmtId="0" fontId="0" fillId="3" borderId="1" xfId="0" applyFill="1" applyBorder="1" applyAlignment="1">
      <alignment horizontal="left" vertical="center" wrapText="1"/>
    </xf>
    <xf numFmtId="0" fontId="0" fillId="0" borderId="4" xfId="0" applyBorder="1"/>
    <xf numFmtId="0" fontId="0" fillId="0" borderId="5" xfId="0" applyBorder="1"/>
    <xf numFmtId="0" fontId="5" fillId="0" borderId="0" xfId="0" applyFont="1" applyAlignment="1">
      <alignment horizontal="left" vertical="center" wrapText="1"/>
    </xf>
    <xf numFmtId="0" fontId="0" fillId="3" borderId="1" xfId="0" applyFill="1" applyBorder="1" applyAlignment="1">
      <alignment horizontal="left" vertical="top"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8" fillId="8" borderId="0" xfId="0" applyFont="1" applyFill="1" applyAlignment="1">
      <alignment horizontal="center" vertical="center"/>
    </xf>
    <xf numFmtId="0" fontId="2" fillId="0" borderId="0" xfId="0" applyFont="1" applyAlignment="1">
      <alignment horizontal="center" vertical="center"/>
    </xf>
    <xf numFmtId="0" fontId="10" fillId="8" borderId="0" xfId="0" applyFont="1" applyFill="1" applyAlignment="1">
      <alignment horizontal="center" vertical="center"/>
    </xf>
    <xf numFmtId="0" fontId="11" fillId="0" borderId="0" xfId="0" applyFont="1" applyAlignment="1">
      <alignment horizontal="left" vertical="center"/>
    </xf>
    <xf numFmtId="0" fontId="8" fillId="9" borderId="0" xfId="0" applyFont="1" applyFill="1" applyAlignment="1">
      <alignment horizontal="center" vertical="center" wrapText="1"/>
    </xf>
    <xf numFmtId="0" fontId="13"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3"/>
  <sheetViews>
    <sheetView tabSelected="1" workbookViewId="0">
      <pane ySplit="3" topLeftCell="A4" activePane="bottomLeft" state="frozen"/>
      <selection pane="bottomLeft" sqref="A1:G1"/>
    </sheetView>
  </sheetViews>
  <sheetFormatPr baseColWidth="10" defaultColWidth="8.83203125" defaultRowHeight="15" x14ac:dyDescent="0.2"/>
  <cols>
    <col min="1" max="1" width="28" customWidth="1"/>
    <col min="2" max="2" width="45" customWidth="1"/>
    <col min="3" max="3" width="70" customWidth="1"/>
  </cols>
  <sheetData>
    <row r="1" spans="1:7" ht="40" customHeight="1" x14ac:dyDescent="0.2">
      <c r="A1" s="18" t="s">
        <v>0</v>
      </c>
      <c r="B1" s="19"/>
      <c r="C1" s="19"/>
      <c r="D1" s="19"/>
      <c r="E1" s="19"/>
      <c r="F1" s="19"/>
      <c r="G1" s="19"/>
    </row>
    <row r="3" spans="1:7" ht="16" x14ac:dyDescent="0.2">
      <c r="A3" s="1" t="s">
        <v>1</v>
      </c>
    </row>
    <row r="4" spans="1:7" x14ac:dyDescent="0.2">
      <c r="A4" s="2" t="s">
        <v>2</v>
      </c>
      <c r="B4" t="s">
        <v>3</v>
      </c>
    </row>
    <row r="5" spans="1:7" x14ac:dyDescent="0.2">
      <c r="A5" s="2" t="s">
        <v>4</v>
      </c>
      <c r="B5" t="s">
        <v>5</v>
      </c>
    </row>
    <row r="6" spans="1:7" x14ac:dyDescent="0.2">
      <c r="A6" s="2" t="s">
        <v>6</v>
      </c>
      <c r="B6" t="s">
        <v>7</v>
      </c>
    </row>
    <row r="7" spans="1:7" x14ac:dyDescent="0.2">
      <c r="A7" s="2" t="s">
        <v>8</v>
      </c>
      <c r="B7" t="s">
        <v>9</v>
      </c>
    </row>
    <row r="8" spans="1:7" x14ac:dyDescent="0.2">
      <c r="A8" s="2" t="s">
        <v>10</v>
      </c>
      <c r="B8" s="3"/>
    </row>
    <row r="9" spans="1:7" x14ac:dyDescent="0.2">
      <c r="A9" s="2" t="s">
        <v>11</v>
      </c>
      <c r="B9" s="3"/>
    </row>
    <row r="10" spans="1:7" x14ac:dyDescent="0.2">
      <c r="A10" s="2" t="s">
        <v>12</v>
      </c>
      <c r="B10" s="3"/>
    </row>
    <row r="11" spans="1:7" x14ac:dyDescent="0.2">
      <c r="A11" s="2" t="s">
        <v>13</v>
      </c>
      <c r="B11" t="s">
        <v>14</v>
      </c>
    </row>
    <row r="13" spans="1:7" ht="16" x14ac:dyDescent="0.2">
      <c r="A13" s="1" t="s">
        <v>15</v>
      </c>
    </row>
    <row r="14" spans="1:7" x14ac:dyDescent="0.2">
      <c r="A14" t="s">
        <v>16</v>
      </c>
    </row>
    <row r="15" spans="1:7" x14ac:dyDescent="0.2">
      <c r="A15" t="s">
        <v>17</v>
      </c>
    </row>
    <row r="16" spans="1:7" x14ac:dyDescent="0.2">
      <c r="A16" t="s">
        <v>18</v>
      </c>
    </row>
    <row r="17" spans="1:3" x14ac:dyDescent="0.2">
      <c r="A17" t="s">
        <v>19</v>
      </c>
    </row>
    <row r="18" spans="1:3" x14ac:dyDescent="0.2">
      <c r="A18" t="s">
        <v>20</v>
      </c>
    </row>
    <row r="19" spans="1:3" x14ac:dyDescent="0.2">
      <c r="A19" t="s">
        <v>21</v>
      </c>
    </row>
    <row r="20" spans="1:3" x14ac:dyDescent="0.2">
      <c r="A20" t="s">
        <v>22</v>
      </c>
    </row>
    <row r="21" spans="1:3" x14ac:dyDescent="0.2">
      <c r="A21" t="s">
        <v>23</v>
      </c>
    </row>
    <row r="22" spans="1:3" x14ac:dyDescent="0.2">
      <c r="A22" t="s">
        <v>24</v>
      </c>
    </row>
    <row r="24" spans="1:3" ht="16" x14ac:dyDescent="0.2">
      <c r="A24" s="1" t="s">
        <v>25</v>
      </c>
    </row>
    <row r="25" spans="1:3" x14ac:dyDescent="0.2">
      <c r="A25" s="4" t="s">
        <v>26</v>
      </c>
      <c r="B25" s="4" t="s">
        <v>27</v>
      </c>
      <c r="C25" s="4" t="s">
        <v>28</v>
      </c>
    </row>
    <row r="26" spans="1:3" ht="16" x14ac:dyDescent="0.2">
      <c r="A26" s="5" t="s">
        <v>29</v>
      </c>
      <c r="B26" s="6" t="s">
        <v>30</v>
      </c>
      <c r="C26" s="7" t="s">
        <v>31</v>
      </c>
    </row>
    <row r="27" spans="1:3" ht="16" x14ac:dyDescent="0.2">
      <c r="A27" s="5" t="s">
        <v>32</v>
      </c>
      <c r="B27" s="8" t="s">
        <v>33</v>
      </c>
      <c r="C27" s="7" t="s">
        <v>34</v>
      </c>
    </row>
    <row r="28" spans="1:3" ht="16" x14ac:dyDescent="0.2">
      <c r="A28" s="5" t="s">
        <v>35</v>
      </c>
      <c r="B28" s="9" t="s">
        <v>36</v>
      </c>
      <c r="C28" s="7" t="s">
        <v>37</v>
      </c>
    </row>
    <row r="29" spans="1:3" ht="16" x14ac:dyDescent="0.2">
      <c r="A29" s="5" t="s">
        <v>38</v>
      </c>
      <c r="B29" s="7" t="s">
        <v>39</v>
      </c>
      <c r="C29" s="7" t="s">
        <v>40</v>
      </c>
    </row>
    <row r="32" spans="1:3" ht="16" x14ac:dyDescent="0.2">
      <c r="A32" s="1" t="s">
        <v>41</v>
      </c>
    </row>
    <row r="33" spans="1:1" x14ac:dyDescent="0.2">
      <c r="A33" t="s">
        <v>42</v>
      </c>
    </row>
    <row r="34" spans="1:1" x14ac:dyDescent="0.2">
      <c r="A34" t="s">
        <v>43</v>
      </c>
    </row>
    <row r="35" spans="1:1" x14ac:dyDescent="0.2">
      <c r="A35" t="s">
        <v>44</v>
      </c>
    </row>
    <row r="36" spans="1:1" x14ac:dyDescent="0.2">
      <c r="A36" t="s">
        <v>45</v>
      </c>
    </row>
    <row r="37" spans="1:1" x14ac:dyDescent="0.2">
      <c r="A37" t="s">
        <v>46</v>
      </c>
    </row>
    <row r="38" spans="1:1" x14ac:dyDescent="0.2">
      <c r="A38" t="s">
        <v>47</v>
      </c>
    </row>
    <row r="39" spans="1:1" x14ac:dyDescent="0.2">
      <c r="A39" t="s">
        <v>48</v>
      </c>
    </row>
    <row r="40" spans="1:1" x14ac:dyDescent="0.2">
      <c r="A40" t="s">
        <v>49</v>
      </c>
    </row>
    <row r="41" spans="1:1" x14ac:dyDescent="0.2">
      <c r="A41" t="s">
        <v>50</v>
      </c>
    </row>
    <row r="42" spans="1:1" x14ac:dyDescent="0.2">
      <c r="A42" t="s">
        <v>51</v>
      </c>
    </row>
    <row r="43" spans="1:1" x14ac:dyDescent="0.2">
      <c r="A43" t="s">
        <v>52</v>
      </c>
    </row>
  </sheetData>
  <mergeCells count="1">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8"/>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60" customWidth="1"/>
    <col min="3" max="3" width="15" customWidth="1"/>
    <col min="4" max="4" width="20" customWidth="1"/>
    <col min="5" max="5" width="18" customWidth="1"/>
    <col min="6" max="6" width="22" customWidth="1"/>
    <col min="7" max="7" width="16" customWidth="1"/>
    <col min="8" max="8" width="15" customWidth="1"/>
    <col min="9" max="9" width="28" customWidth="1"/>
    <col min="10" max="10" width="30" customWidth="1"/>
    <col min="11" max="13" width="14" customWidth="1"/>
    <col min="14" max="14" width="30" customWidth="1"/>
    <col min="15" max="15" width="20" customWidth="1"/>
    <col min="16" max="16" width="14" customWidth="1"/>
    <col min="17" max="17" width="15" customWidth="1"/>
  </cols>
  <sheetData>
    <row r="1" spans="1:17" ht="40" customHeight="1" x14ac:dyDescent="0.2">
      <c r="A1" s="18" t="s">
        <v>53</v>
      </c>
      <c r="B1" s="19"/>
      <c r="C1" s="19"/>
      <c r="D1" s="19"/>
      <c r="E1" s="19"/>
      <c r="F1" s="19"/>
      <c r="G1" s="19"/>
      <c r="H1" s="19"/>
      <c r="I1" s="19"/>
      <c r="J1" s="19"/>
      <c r="K1" s="19"/>
      <c r="L1" s="19"/>
      <c r="M1" s="19"/>
      <c r="N1" s="19"/>
      <c r="O1" s="19"/>
      <c r="P1" s="19"/>
      <c r="Q1" s="19"/>
    </row>
    <row r="3" spans="1:17" ht="30" customHeight="1" x14ac:dyDescent="0.2">
      <c r="A3" s="23" t="s">
        <v>54</v>
      </c>
      <c r="B3" s="19"/>
      <c r="C3" s="19"/>
      <c r="D3" s="19"/>
      <c r="E3" s="19"/>
      <c r="F3" s="19"/>
      <c r="G3" s="19"/>
      <c r="H3" s="19"/>
      <c r="I3" s="19"/>
      <c r="J3" s="19"/>
      <c r="K3" s="19"/>
      <c r="L3" s="19"/>
      <c r="M3" s="19"/>
      <c r="N3" s="19"/>
      <c r="O3" s="19"/>
      <c r="P3" s="19"/>
      <c r="Q3" s="19"/>
    </row>
    <row r="4" spans="1:17" x14ac:dyDescent="0.2">
      <c r="A4" s="2" t="s">
        <v>55</v>
      </c>
      <c r="B4" s="3"/>
    </row>
    <row r="6" spans="1:17" ht="30" x14ac:dyDescent="0.2">
      <c r="A6" s="4" t="s">
        <v>56</v>
      </c>
      <c r="B6" s="4" t="s">
        <v>57</v>
      </c>
      <c r="C6" s="4" t="s">
        <v>58</v>
      </c>
      <c r="D6" s="4" t="s">
        <v>59</v>
      </c>
      <c r="E6" s="4" t="s">
        <v>60</v>
      </c>
      <c r="F6" s="4" t="s">
        <v>61</v>
      </c>
      <c r="G6" s="4" t="s">
        <v>62</v>
      </c>
      <c r="H6" s="4" t="s">
        <v>27</v>
      </c>
      <c r="I6" s="4" t="s">
        <v>63</v>
      </c>
      <c r="J6" s="4" t="s">
        <v>64</v>
      </c>
      <c r="K6" s="4" t="s">
        <v>65</v>
      </c>
      <c r="L6" s="4" t="s">
        <v>66</v>
      </c>
      <c r="M6" s="4" t="s">
        <v>67</v>
      </c>
      <c r="N6" s="4" t="s">
        <v>68</v>
      </c>
      <c r="O6" s="4" t="s">
        <v>69</v>
      </c>
      <c r="P6" s="4" t="s">
        <v>70</v>
      </c>
      <c r="Q6" s="4" t="s">
        <v>71</v>
      </c>
    </row>
    <row r="7" spans="1:17" ht="32" x14ac:dyDescent="0.2">
      <c r="A7" s="10" t="s">
        <v>72</v>
      </c>
      <c r="B7" s="10" t="s">
        <v>73</v>
      </c>
      <c r="C7" s="10" t="s">
        <v>74</v>
      </c>
      <c r="D7" s="10" t="s">
        <v>75</v>
      </c>
      <c r="E7" s="10" t="s">
        <v>76</v>
      </c>
      <c r="F7" s="10" t="s">
        <v>77</v>
      </c>
      <c r="G7" s="10" t="s">
        <v>78</v>
      </c>
      <c r="H7" s="10" t="s">
        <v>79</v>
      </c>
      <c r="I7" s="10" t="s">
        <v>80</v>
      </c>
      <c r="J7" s="10" t="s">
        <v>81</v>
      </c>
      <c r="K7" s="10" t="s">
        <v>82</v>
      </c>
      <c r="L7" s="10" t="s">
        <v>38</v>
      </c>
      <c r="M7" s="10" t="s">
        <v>38</v>
      </c>
      <c r="N7" s="10" t="s">
        <v>38</v>
      </c>
      <c r="O7" s="10" t="s">
        <v>38</v>
      </c>
      <c r="P7" s="10" t="s">
        <v>38</v>
      </c>
      <c r="Q7" s="10" t="s">
        <v>82</v>
      </c>
    </row>
    <row r="8" spans="1:17" ht="16" x14ac:dyDescent="0.2">
      <c r="A8" s="11" t="s">
        <v>83</v>
      </c>
      <c r="B8" s="11" t="s">
        <v>84</v>
      </c>
      <c r="C8" s="11" t="s">
        <v>85</v>
      </c>
      <c r="D8" s="11" t="s">
        <v>86</v>
      </c>
      <c r="E8" s="11" t="s">
        <v>76</v>
      </c>
      <c r="F8" s="11" t="s">
        <v>87</v>
      </c>
      <c r="G8" s="11" t="s">
        <v>78</v>
      </c>
      <c r="H8" s="11" t="s">
        <v>79</v>
      </c>
      <c r="I8" s="11" t="s">
        <v>88</v>
      </c>
      <c r="J8" s="11"/>
      <c r="K8" s="11" t="s">
        <v>82</v>
      </c>
      <c r="L8" s="11"/>
      <c r="M8" s="11"/>
      <c r="N8" s="11"/>
      <c r="O8" s="11"/>
      <c r="P8" s="11"/>
      <c r="Q8" s="11"/>
    </row>
    <row r="9" spans="1:17" ht="16" x14ac:dyDescent="0.2">
      <c r="A9" s="11" t="s">
        <v>89</v>
      </c>
      <c r="B9" s="11" t="s">
        <v>84</v>
      </c>
      <c r="C9" s="11" t="s">
        <v>90</v>
      </c>
      <c r="D9" s="11" t="s">
        <v>86</v>
      </c>
      <c r="E9" s="11" t="s">
        <v>76</v>
      </c>
      <c r="F9" s="11" t="s">
        <v>91</v>
      </c>
      <c r="G9" s="11" t="s">
        <v>78</v>
      </c>
      <c r="H9" s="11" t="s">
        <v>79</v>
      </c>
      <c r="I9" s="11" t="s">
        <v>92</v>
      </c>
      <c r="J9" s="11"/>
      <c r="K9" s="11" t="s">
        <v>82</v>
      </c>
      <c r="L9" s="11"/>
      <c r="M9" s="11"/>
      <c r="N9" s="11"/>
      <c r="O9" s="11"/>
      <c r="P9" s="11"/>
      <c r="Q9" s="11"/>
    </row>
    <row r="10" spans="1:17" ht="16" x14ac:dyDescent="0.2">
      <c r="A10" s="11" t="s">
        <v>93</v>
      </c>
      <c r="B10" s="11" t="s">
        <v>84</v>
      </c>
      <c r="C10" s="11" t="s">
        <v>85</v>
      </c>
      <c r="D10" s="11" t="s">
        <v>86</v>
      </c>
      <c r="E10" s="11" t="s">
        <v>76</v>
      </c>
      <c r="F10" s="11" t="s">
        <v>94</v>
      </c>
      <c r="G10" s="11" t="s">
        <v>78</v>
      </c>
      <c r="H10" s="11" t="s">
        <v>79</v>
      </c>
      <c r="I10" s="11" t="s">
        <v>95</v>
      </c>
      <c r="J10" s="11"/>
      <c r="K10" s="11" t="s">
        <v>82</v>
      </c>
      <c r="L10" s="11"/>
      <c r="M10" s="11"/>
      <c r="N10" s="11"/>
      <c r="O10" s="11"/>
      <c r="P10" s="11"/>
      <c r="Q10" s="11"/>
    </row>
    <row r="11" spans="1:17" ht="16" x14ac:dyDescent="0.2">
      <c r="A11" s="11" t="s">
        <v>96</v>
      </c>
      <c r="B11" s="11" t="s">
        <v>73</v>
      </c>
      <c r="C11" s="11" t="s">
        <v>97</v>
      </c>
      <c r="D11" s="11" t="s">
        <v>98</v>
      </c>
      <c r="E11" s="11" t="s">
        <v>76</v>
      </c>
      <c r="F11" s="11" t="s">
        <v>99</v>
      </c>
      <c r="G11" s="11" t="s">
        <v>78</v>
      </c>
      <c r="H11" s="11" t="s">
        <v>79</v>
      </c>
      <c r="I11" s="11" t="s">
        <v>100</v>
      </c>
      <c r="J11" s="11"/>
      <c r="K11" s="11" t="s">
        <v>82</v>
      </c>
      <c r="L11" s="11"/>
      <c r="M11" s="11"/>
      <c r="N11" s="11"/>
      <c r="O11" s="11"/>
      <c r="P11" s="11"/>
      <c r="Q11" s="11"/>
    </row>
    <row r="12" spans="1:17" ht="16" x14ac:dyDescent="0.2">
      <c r="A12" s="11" t="s">
        <v>101</v>
      </c>
      <c r="B12" s="11" t="s">
        <v>102</v>
      </c>
      <c r="C12" s="11" t="s">
        <v>103</v>
      </c>
      <c r="D12" s="11" t="s">
        <v>104</v>
      </c>
      <c r="E12" s="11" t="s">
        <v>76</v>
      </c>
      <c r="F12" s="11" t="s">
        <v>105</v>
      </c>
      <c r="G12" s="11" t="s">
        <v>78</v>
      </c>
      <c r="H12" s="11" t="s">
        <v>106</v>
      </c>
      <c r="I12" s="11" t="s">
        <v>107</v>
      </c>
      <c r="J12" s="11" t="s">
        <v>108</v>
      </c>
      <c r="K12" s="11" t="s">
        <v>78</v>
      </c>
      <c r="L12" s="11"/>
      <c r="M12" s="11"/>
      <c r="N12" s="11"/>
      <c r="O12" s="11"/>
      <c r="P12" s="11"/>
      <c r="Q12" s="11"/>
    </row>
    <row r="13" spans="1:17" ht="16" x14ac:dyDescent="0.2">
      <c r="A13" s="11" t="s">
        <v>109</v>
      </c>
      <c r="B13" s="11" t="s">
        <v>102</v>
      </c>
      <c r="C13" s="11" t="s">
        <v>103</v>
      </c>
      <c r="D13" s="11" t="s">
        <v>104</v>
      </c>
      <c r="E13" s="11" t="s">
        <v>76</v>
      </c>
      <c r="F13" s="11" t="s">
        <v>105</v>
      </c>
      <c r="G13" s="11" t="s">
        <v>78</v>
      </c>
      <c r="H13" s="11" t="s">
        <v>106</v>
      </c>
      <c r="I13" s="11" t="s">
        <v>110</v>
      </c>
      <c r="J13" s="11" t="s">
        <v>111</v>
      </c>
      <c r="K13" s="11" t="s">
        <v>78</v>
      </c>
      <c r="L13" s="11"/>
      <c r="M13" s="11"/>
      <c r="N13" s="11"/>
      <c r="O13" s="11"/>
      <c r="P13" s="11"/>
      <c r="Q13" s="11"/>
    </row>
    <row r="14" spans="1:17" ht="32" x14ac:dyDescent="0.2">
      <c r="A14" s="11" t="s">
        <v>112</v>
      </c>
      <c r="B14" s="11" t="s">
        <v>113</v>
      </c>
      <c r="C14" s="11" t="s">
        <v>114</v>
      </c>
      <c r="D14" s="11" t="s">
        <v>115</v>
      </c>
      <c r="E14" s="11" t="s">
        <v>116</v>
      </c>
      <c r="F14" s="11" t="s">
        <v>117</v>
      </c>
      <c r="G14" s="11" t="s">
        <v>82</v>
      </c>
      <c r="H14" s="11" t="s">
        <v>118</v>
      </c>
      <c r="I14" s="11" t="s">
        <v>119</v>
      </c>
      <c r="J14" s="11" t="s">
        <v>120</v>
      </c>
      <c r="K14" s="11" t="s">
        <v>78</v>
      </c>
      <c r="L14" s="11"/>
      <c r="M14" s="11"/>
      <c r="N14" s="11"/>
      <c r="O14" s="11"/>
      <c r="P14" s="11"/>
      <c r="Q14" s="11"/>
    </row>
    <row r="15" spans="1:17" ht="32" x14ac:dyDescent="0.2">
      <c r="A15" s="11" t="s">
        <v>121</v>
      </c>
      <c r="B15" s="11" t="s">
        <v>102</v>
      </c>
      <c r="C15" s="11" t="s">
        <v>122</v>
      </c>
      <c r="D15" s="11" t="s">
        <v>81</v>
      </c>
      <c r="E15" s="11" t="s">
        <v>81</v>
      </c>
      <c r="F15" s="11" t="s">
        <v>123</v>
      </c>
      <c r="G15" s="11" t="s">
        <v>82</v>
      </c>
      <c r="H15" s="11" t="s">
        <v>118</v>
      </c>
      <c r="I15" s="11" t="s">
        <v>124</v>
      </c>
      <c r="J15" s="11" t="s">
        <v>125</v>
      </c>
      <c r="K15" s="11" t="s">
        <v>78</v>
      </c>
      <c r="L15" s="11"/>
      <c r="M15" s="11"/>
      <c r="N15" s="11"/>
      <c r="O15" s="11"/>
      <c r="P15" s="11"/>
      <c r="Q15" s="11"/>
    </row>
    <row r="16" spans="1:17" x14ac:dyDescent="0.2">
      <c r="A16" s="11"/>
      <c r="B16" s="11"/>
      <c r="C16" s="11"/>
      <c r="D16" s="11"/>
      <c r="E16" s="11"/>
      <c r="F16" s="11"/>
      <c r="G16" s="11"/>
      <c r="H16" s="11"/>
      <c r="I16" s="11"/>
      <c r="J16" s="11"/>
      <c r="K16" s="11"/>
      <c r="L16" s="11"/>
      <c r="M16" s="11"/>
      <c r="N16" s="11"/>
      <c r="O16" s="11"/>
      <c r="P16" s="11"/>
      <c r="Q16" s="11"/>
    </row>
    <row r="17" spans="1:17" x14ac:dyDescent="0.2">
      <c r="A17" s="11"/>
      <c r="B17" s="11"/>
      <c r="C17" s="11"/>
      <c r="D17" s="11"/>
      <c r="E17" s="11"/>
      <c r="F17" s="11"/>
      <c r="G17" s="11"/>
      <c r="H17" s="11"/>
      <c r="I17" s="11"/>
      <c r="J17" s="11"/>
      <c r="K17" s="11"/>
      <c r="L17" s="11"/>
      <c r="M17" s="11"/>
      <c r="N17" s="11"/>
      <c r="O17" s="11"/>
      <c r="P17" s="11"/>
      <c r="Q17" s="11"/>
    </row>
    <row r="18" spans="1:17" x14ac:dyDescent="0.2">
      <c r="A18" s="11"/>
      <c r="B18" s="11"/>
      <c r="C18" s="11"/>
      <c r="D18" s="11"/>
      <c r="E18" s="11"/>
      <c r="F18" s="11"/>
      <c r="G18" s="11"/>
      <c r="H18" s="11"/>
      <c r="I18" s="11"/>
      <c r="J18" s="11"/>
      <c r="K18" s="11"/>
      <c r="L18" s="11"/>
      <c r="M18" s="11"/>
      <c r="N18" s="11"/>
      <c r="O18" s="11"/>
      <c r="P18" s="11"/>
      <c r="Q18" s="11"/>
    </row>
    <row r="19" spans="1:17" x14ac:dyDescent="0.2">
      <c r="A19" s="11"/>
      <c r="B19" s="11"/>
      <c r="C19" s="11"/>
      <c r="D19" s="11"/>
      <c r="E19" s="11"/>
      <c r="F19" s="11"/>
      <c r="G19" s="11"/>
      <c r="H19" s="11"/>
      <c r="I19" s="11"/>
      <c r="J19" s="11"/>
      <c r="K19" s="11"/>
      <c r="L19" s="11"/>
      <c r="M19" s="11"/>
      <c r="N19" s="11"/>
      <c r="O19" s="11"/>
      <c r="P19" s="11"/>
      <c r="Q19" s="11"/>
    </row>
    <row r="20" spans="1:17" x14ac:dyDescent="0.2">
      <c r="A20" s="11"/>
      <c r="B20" s="11"/>
      <c r="C20" s="11"/>
      <c r="D20" s="11"/>
      <c r="E20" s="11"/>
      <c r="F20" s="11"/>
      <c r="G20" s="11"/>
      <c r="H20" s="11"/>
      <c r="I20" s="11"/>
      <c r="J20" s="11"/>
      <c r="K20" s="11"/>
      <c r="L20" s="11"/>
      <c r="M20" s="11"/>
      <c r="N20" s="11"/>
      <c r="O20" s="11"/>
      <c r="P20" s="11"/>
      <c r="Q20" s="11"/>
    </row>
    <row r="22" spans="1:17" x14ac:dyDescent="0.2">
      <c r="A22" s="12" t="s">
        <v>126</v>
      </c>
    </row>
    <row r="23" spans="1:17" x14ac:dyDescent="0.2">
      <c r="A23" s="2" t="s">
        <v>127</v>
      </c>
      <c r="B23" s="2" t="s">
        <v>128</v>
      </c>
      <c r="C23" s="2" t="s">
        <v>27</v>
      </c>
    </row>
    <row r="24" spans="1:17" x14ac:dyDescent="0.2">
      <c r="A24" t="s">
        <v>127</v>
      </c>
      <c r="B24" t="s">
        <v>129</v>
      </c>
      <c r="C24" s="3"/>
    </row>
    <row r="25" spans="1:17" x14ac:dyDescent="0.2">
      <c r="A25" t="s">
        <v>127</v>
      </c>
      <c r="B25" t="s">
        <v>130</v>
      </c>
      <c r="C25" s="3"/>
    </row>
    <row r="26" spans="1:17" x14ac:dyDescent="0.2">
      <c r="A26" t="s">
        <v>127</v>
      </c>
      <c r="B26" t="s">
        <v>131</v>
      </c>
      <c r="C26" s="3"/>
    </row>
    <row r="27" spans="1:17" x14ac:dyDescent="0.2">
      <c r="A27" t="s">
        <v>127</v>
      </c>
      <c r="B27" t="s">
        <v>132</v>
      </c>
      <c r="C27" s="3"/>
    </row>
    <row r="28" spans="1:17" x14ac:dyDescent="0.2">
      <c r="A28" t="s">
        <v>127</v>
      </c>
      <c r="B28" t="s">
        <v>133</v>
      </c>
      <c r="C28" s="3"/>
    </row>
    <row r="29" spans="1:17" x14ac:dyDescent="0.2">
      <c r="A29" t="s">
        <v>127</v>
      </c>
      <c r="B29" t="s">
        <v>134</v>
      </c>
      <c r="C29" s="3"/>
    </row>
    <row r="30" spans="1:17" x14ac:dyDescent="0.2">
      <c r="A30" t="s">
        <v>127</v>
      </c>
      <c r="B30" t="s">
        <v>135</v>
      </c>
      <c r="C30" s="3"/>
    </row>
    <row r="31" spans="1:17" x14ac:dyDescent="0.2">
      <c r="A31" t="s">
        <v>127</v>
      </c>
      <c r="B31" t="s">
        <v>136</v>
      </c>
      <c r="C31" s="3"/>
    </row>
    <row r="32" spans="1:17" x14ac:dyDescent="0.2">
      <c r="A32" t="s">
        <v>127</v>
      </c>
      <c r="B32" t="s">
        <v>137</v>
      </c>
      <c r="C32" s="3"/>
    </row>
    <row r="33" spans="1:17" x14ac:dyDescent="0.2">
      <c r="A33" t="s">
        <v>127</v>
      </c>
      <c r="B33" t="s">
        <v>138</v>
      </c>
      <c r="C33" s="3"/>
    </row>
    <row r="34" spans="1:17" x14ac:dyDescent="0.2">
      <c r="A34" s="2" t="s">
        <v>139</v>
      </c>
      <c r="B34" s="13" t="e">
        <f>COUNTIF(C24:C33,"Yes")/COUNTA(C24:C33)*100&amp;"%"</f>
        <v>#DIV/0!</v>
      </c>
    </row>
    <row r="36" spans="1:17" x14ac:dyDescent="0.2">
      <c r="A36" s="33" t="s">
        <v>140</v>
      </c>
      <c r="B36" s="19"/>
      <c r="C36" s="19"/>
      <c r="D36" s="19"/>
      <c r="E36" s="19"/>
      <c r="F36" s="19"/>
      <c r="G36" s="19"/>
      <c r="H36" s="19"/>
      <c r="I36" s="19"/>
      <c r="J36" s="19"/>
      <c r="K36" s="19"/>
      <c r="L36" s="19"/>
      <c r="M36" s="19"/>
      <c r="N36" s="19"/>
      <c r="O36" s="19"/>
      <c r="P36" s="19"/>
      <c r="Q36" s="19"/>
    </row>
    <row r="37" spans="1:17" x14ac:dyDescent="0.2">
      <c r="A37" s="2" t="s">
        <v>141</v>
      </c>
      <c r="B37" s="20"/>
      <c r="C37" s="21"/>
      <c r="D37" s="22"/>
    </row>
    <row r="38" spans="1:17" x14ac:dyDescent="0.2">
      <c r="A38" s="2" t="s">
        <v>142</v>
      </c>
      <c r="B38" s="20"/>
      <c r="C38" s="21"/>
      <c r="D38" s="22"/>
    </row>
    <row r="39" spans="1:17" x14ac:dyDescent="0.2">
      <c r="A39" s="2" t="s">
        <v>143</v>
      </c>
      <c r="B39" s="20"/>
      <c r="C39" s="21"/>
      <c r="D39" s="22"/>
    </row>
    <row r="40" spans="1:17" x14ac:dyDescent="0.2">
      <c r="A40" s="2" t="s">
        <v>144</v>
      </c>
      <c r="B40" s="20"/>
      <c r="C40" s="21"/>
      <c r="D40" s="22"/>
    </row>
    <row r="41" spans="1:17" x14ac:dyDescent="0.2">
      <c r="A41" s="2" t="s">
        <v>145</v>
      </c>
      <c r="B41" s="20"/>
      <c r="C41" s="21"/>
      <c r="D41" s="22"/>
    </row>
    <row r="42" spans="1:17" x14ac:dyDescent="0.2">
      <c r="A42" s="2" t="s">
        <v>146</v>
      </c>
      <c r="B42" s="20"/>
      <c r="C42" s="21"/>
      <c r="D42" s="22"/>
    </row>
    <row r="43" spans="1:17" x14ac:dyDescent="0.2">
      <c r="A43" s="2" t="s">
        <v>147</v>
      </c>
      <c r="B43" s="20"/>
      <c r="C43" s="21"/>
      <c r="D43" s="22"/>
    </row>
    <row r="44" spans="1:17" x14ac:dyDescent="0.2">
      <c r="A44" s="2" t="s">
        <v>148</v>
      </c>
      <c r="B44" s="20"/>
      <c r="C44" s="21"/>
      <c r="D44" s="22"/>
    </row>
    <row r="45" spans="1:17" x14ac:dyDescent="0.2">
      <c r="A45" s="2" t="s">
        <v>149</v>
      </c>
      <c r="B45" s="20"/>
      <c r="C45" s="21"/>
      <c r="D45" s="22"/>
    </row>
    <row r="46" spans="1:17" x14ac:dyDescent="0.2">
      <c r="A46" s="2" t="s">
        <v>150</v>
      </c>
      <c r="B46" s="20"/>
      <c r="C46" s="21"/>
      <c r="D46" s="22"/>
    </row>
    <row r="47" spans="1:17" x14ac:dyDescent="0.2">
      <c r="A47" s="2" t="s">
        <v>151</v>
      </c>
      <c r="B47" s="20"/>
      <c r="C47" s="21"/>
      <c r="D47" s="22"/>
    </row>
    <row r="49" spans="1:17" x14ac:dyDescent="0.2">
      <c r="A49" s="32" t="s">
        <v>152</v>
      </c>
      <c r="B49" s="19"/>
      <c r="C49" s="19"/>
      <c r="D49" s="19"/>
      <c r="E49" s="19"/>
      <c r="F49" s="19"/>
      <c r="G49" s="19"/>
      <c r="H49" s="19"/>
      <c r="I49" s="19"/>
      <c r="J49" s="19"/>
      <c r="K49" s="19"/>
      <c r="L49" s="19"/>
      <c r="M49" s="19"/>
      <c r="N49" s="19"/>
      <c r="O49" s="19"/>
      <c r="P49" s="19"/>
      <c r="Q49" s="19"/>
    </row>
    <row r="50" spans="1:17" x14ac:dyDescent="0.2">
      <c r="A50" s="24"/>
      <c r="B50" s="25"/>
      <c r="C50" s="25"/>
      <c r="D50" s="25"/>
      <c r="E50" s="25"/>
      <c r="F50" s="25"/>
      <c r="G50" s="25"/>
      <c r="H50" s="25"/>
      <c r="I50" s="25"/>
      <c r="J50" s="25"/>
      <c r="K50" s="25"/>
      <c r="L50" s="25"/>
      <c r="M50" s="25"/>
      <c r="N50" s="25"/>
      <c r="O50" s="25"/>
      <c r="P50" s="25"/>
      <c r="Q50" s="26"/>
    </row>
    <row r="51" spans="1:17" x14ac:dyDescent="0.2">
      <c r="A51" s="27"/>
      <c r="B51" s="19"/>
      <c r="C51" s="19"/>
      <c r="D51" s="19"/>
      <c r="E51" s="19"/>
      <c r="F51" s="19"/>
      <c r="G51" s="19"/>
      <c r="H51" s="19"/>
      <c r="I51" s="19"/>
      <c r="J51" s="19"/>
      <c r="K51" s="19"/>
      <c r="L51" s="19"/>
      <c r="M51" s="19"/>
      <c r="N51" s="19"/>
      <c r="O51" s="19"/>
      <c r="P51" s="19"/>
      <c r="Q51" s="28"/>
    </row>
    <row r="52" spans="1:17" x14ac:dyDescent="0.2">
      <c r="A52" s="27"/>
      <c r="B52" s="19"/>
      <c r="C52" s="19"/>
      <c r="D52" s="19"/>
      <c r="E52" s="19"/>
      <c r="F52" s="19"/>
      <c r="G52" s="19"/>
      <c r="H52" s="19"/>
      <c r="I52" s="19"/>
      <c r="J52" s="19"/>
      <c r="K52" s="19"/>
      <c r="L52" s="19"/>
      <c r="M52" s="19"/>
      <c r="N52" s="19"/>
      <c r="O52" s="19"/>
      <c r="P52" s="19"/>
      <c r="Q52" s="28"/>
    </row>
    <row r="53" spans="1:17" x14ac:dyDescent="0.2">
      <c r="A53" s="27"/>
      <c r="B53" s="19"/>
      <c r="C53" s="19"/>
      <c r="D53" s="19"/>
      <c r="E53" s="19"/>
      <c r="F53" s="19"/>
      <c r="G53" s="19"/>
      <c r="H53" s="19"/>
      <c r="I53" s="19"/>
      <c r="J53" s="19"/>
      <c r="K53" s="19"/>
      <c r="L53" s="19"/>
      <c r="M53" s="19"/>
      <c r="N53" s="19"/>
      <c r="O53" s="19"/>
      <c r="P53" s="19"/>
      <c r="Q53" s="28"/>
    </row>
    <row r="54" spans="1:17" x14ac:dyDescent="0.2">
      <c r="A54" s="27"/>
      <c r="B54" s="19"/>
      <c r="C54" s="19"/>
      <c r="D54" s="19"/>
      <c r="E54" s="19"/>
      <c r="F54" s="19"/>
      <c r="G54" s="19"/>
      <c r="H54" s="19"/>
      <c r="I54" s="19"/>
      <c r="J54" s="19"/>
      <c r="K54" s="19"/>
      <c r="L54" s="19"/>
      <c r="M54" s="19"/>
      <c r="N54" s="19"/>
      <c r="O54" s="19"/>
      <c r="P54" s="19"/>
      <c r="Q54" s="28"/>
    </row>
    <row r="55" spans="1:17" x14ac:dyDescent="0.2">
      <c r="A55" s="27"/>
      <c r="B55" s="19"/>
      <c r="C55" s="19"/>
      <c r="D55" s="19"/>
      <c r="E55" s="19"/>
      <c r="F55" s="19"/>
      <c r="G55" s="19"/>
      <c r="H55" s="19"/>
      <c r="I55" s="19"/>
      <c r="J55" s="19"/>
      <c r="K55" s="19"/>
      <c r="L55" s="19"/>
      <c r="M55" s="19"/>
      <c r="N55" s="19"/>
      <c r="O55" s="19"/>
      <c r="P55" s="19"/>
      <c r="Q55" s="28"/>
    </row>
    <row r="56" spans="1:17" x14ac:dyDescent="0.2">
      <c r="A56" s="27"/>
      <c r="B56" s="19"/>
      <c r="C56" s="19"/>
      <c r="D56" s="19"/>
      <c r="E56" s="19"/>
      <c r="F56" s="19"/>
      <c r="G56" s="19"/>
      <c r="H56" s="19"/>
      <c r="I56" s="19"/>
      <c r="J56" s="19"/>
      <c r="K56" s="19"/>
      <c r="L56" s="19"/>
      <c r="M56" s="19"/>
      <c r="N56" s="19"/>
      <c r="O56" s="19"/>
      <c r="P56" s="19"/>
      <c r="Q56" s="28"/>
    </row>
    <row r="57" spans="1:17" x14ac:dyDescent="0.2">
      <c r="A57" s="27"/>
      <c r="B57" s="19"/>
      <c r="C57" s="19"/>
      <c r="D57" s="19"/>
      <c r="E57" s="19"/>
      <c r="F57" s="19"/>
      <c r="G57" s="19"/>
      <c r="H57" s="19"/>
      <c r="I57" s="19"/>
      <c r="J57" s="19"/>
      <c r="K57" s="19"/>
      <c r="L57" s="19"/>
      <c r="M57" s="19"/>
      <c r="N57" s="19"/>
      <c r="O57" s="19"/>
      <c r="P57" s="19"/>
      <c r="Q57" s="28"/>
    </row>
    <row r="58" spans="1:17" x14ac:dyDescent="0.2">
      <c r="A58" s="29"/>
      <c r="B58" s="30"/>
      <c r="C58" s="30"/>
      <c r="D58" s="30"/>
      <c r="E58" s="30"/>
      <c r="F58" s="30"/>
      <c r="G58" s="30"/>
      <c r="H58" s="30"/>
      <c r="I58" s="30"/>
      <c r="J58" s="30"/>
      <c r="K58" s="30"/>
      <c r="L58" s="30"/>
      <c r="M58" s="30"/>
      <c r="N58" s="30"/>
      <c r="O58" s="30"/>
      <c r="P58" s="30"/>
      <c r="Q58" s="31"/>
    </row>
  </sheetData>
  <mergeCells count="16">
    <mergeCell ref="A1:Q1"/>
    <mergeCell ref="A49:Q49"/>
    <mergeCell ref="A36:Q36"/>
    <mergeCell ref="A50:Q58"/>
    <mergeCell ref="B40:D40"/>
    <mergeCell ref="B44:D44"/>
    <mergeCell ref="B39:D39"/>
    <mergeCell ref="B43:D43"/>
    <mergeCell ref="B42:D42"/>
    <mergeCell ref="B47:D47"/>
    <mergeCell ref="B37:D37"/>
    <mergeCell ref="A3:Q3"/>
    <mergeCell ref="B45:D45"/>
    <mergeCell ref="B41:D41"/>
    <mergeCell ref="B46:D46"/>
    <mergeCell ref="B38:D38"/>
  </mergeCells>
  <dataValidations count="9">
    <dataValidation type="list" sqref="B8 B9 B10 B11 B12 B13 B14 B15 B16 B17 B18 B19 B20" xr:uid="{00000000-0002-0000-0100-000000000000}">
      <formula1>"Public,Internal,Confidential,Restricted,N/A"</formula1>
    </dataValidation>
    <dataValidation type="list" sqref="C8 C9 C10 C11 C12 C13 C14 C15 C16 C17 C18 C19 C20" xr:uid="{00000000-0002-0000-0100-000001000000}">
      <formula1>"Encrypted,Not Encrypted,Partially Encrypted"</formula1>
    </dataValidation>
    <dataValidation type="list" sqref="D8 D9 D10 D11 D12 D13 D14 D15 D16 D17 D18 D19 D20" xr:uid="{00000000-0002-0000-0100-000002000000}">
      <formula1>"Full Disk,File-level,Database TDE,Volume,Container,Application-level,Hardware-based,N/A"</formula1>
    </dataValidation>
    <dataValidation type="list" sqref="F8 F9 F10 F11 F12 F13 F14 F15 F16 F17 F18 F19 F20" xr:uid="{00000000-0002-0000-0100-000003000000}">
      <formula1>"HSM,Cloud KMS,TPM,Software-based,Manual,Vendor-managed,N/A"</formula1>
    </dataValidation>
    <dataValidation type="list" sqref="G8:G20 C24:C33" xr:uid="{00000000-0002-0000-0100-000004000000}">
      <formula1>"Yes,No,N/A"</formula1>
    </dataValidation>
    <dataValidation type="list" sqref="H8 H9 H10 H11 H12 H13 H14 H15 H16 H17 H18 H19 H20" xr:uid="{00000000-0002-0000-0100-000005000000}">
      <formula1>"✅ Compliant,⚠️ Partial,❌ Non-Compliant,N/A"</formula1>
    </dataValidation>
    <dataValidation type="list" sqref="K8:K20 B37 B39" xr:uid="{00000000-0002-0000-0100-000006000000}">
      <formula1>"Yes,No"</formula1>
    </dataValidation>
    <dataValidation type="list" sqref="Q8 Q9 Q10 Q11 Q12 Q13 Q14 Q15 Q16 Q17 Q18 Q19 Q20" xr:uid="{00000000-0002-0000-0100-000007000000}">
      <formula1>"Yes,No,Unknown"</formula1>
    </dataValidation>
    <dataValidation type="list" sqref="B4" xr:uid="{00000000-0002-0000-0100-000008000000}">
      <formula1>"Yes,No,Not Applicable"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59"/>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60" customWidth="1"/>
    <col min="3" max="3" width="15" customWidth="1"/>
    <col min="4" max="4" width="20" customWidth="1"/>
    <col min="5" max="5" width="18" customWidth="1"/>
    <col min="6" max="6" width="22" customWidth="1"/>
    <col min="7" max="7" width="16" customWidth="1"/>
    <col min="8" max="8" width="15" customWidth="1"/>
    <col min="9" max="9" width="28" customWidth="1"/>
    <col min="10" max="10" width="30" customWidth="1"/>
    <col min="11" max="13" width="14" customWidth="1"/>
    <col min="14" max="14" width="30" customWidth="1"/>
    <col min="15" max="15" width="20" customWidth="1"/>
    <col min="16" max="16" width="14" customWidth="1"/>
    <col min="17" max="17" width="15" customWidth="1"/>
  </cols>
  <sheetData>
    <row r="1" spans="1:17" ht="40" customHeight="1" x14ac:dyDescent="0.2">
      <c r="A1" s="18" t="s">
        <v>153</v>
      </c>
      <c r="B1" s="19"/>
      <c r="C1" s="19"/>
      <c r="D1" s="19"/>
      <c r="E1" s="19"/>
      <c r="F1" s="19"/>
      <c r="G1" s="19"/>
      <c r="H1" s="19"/>
      <c r="I1" s="19"/>
      <c r="J1" s="19"/>
      <c r="K1" s="19"/>
      <c r="L1" s="19"/>
      <c r="M1" s="19"/>
      <c r="N1" s="19"/>
      <c r="O1" s="19"/>
      <c r="P1" s="19"/>
      <c r="Q1" s="19"/>
    </row>
    <row r="3" spans="1:17" ht="30" customHeight="1" x14ac:dyDescent="0.2">
      <c r="A3" s="23" t="s">
        <v>154</v>
      </c>
      <c r="B3" s="19"/>
      <c r="C3" s="19"/>
      <c r="D3" s="19"/>
      <c r="E3" s="19"/>
      <c r="F3" s="19"/>
      <c r="G3" s="19"/>
      <c r="H3" s="19"/>
      <c r="I3" s="19"/>
      <c r="J3" s="19"/>
      <c r="K3" s="19"/>
      <c r="L3" s="19"/>
      <c r="M3" s="19"/>
      <c r="N3" s="19"/>
      <c r="O3" s="19"/>
      <c r="P3" s="19"/>
      <c r="Q3" s="19"/>
    </row>
    <row r="4" spans="1:17" x14ac:dyDescent="0.2">
      <c r="A4" s="2" t="s">
        <v>55</v>
      </c>
      <c r="B4" s="3"/>
    </row>
    <row r="6" spans="1:17" ht="30" x14ac:dyDescent="0.2">
      <c r="A6" s="4" t="s">
        <v>56</v>
      </c>
      <c r="B6" s="4" t="s">
        <v>57</v>
      </c>
      <c r="C6" s="4" t="s">
        <v>58</v>
      </c>
      <c r="D6" s="4" t="s">
        <v>59</v>
      </c>
      <c r="E6" s="4" t="s">
        <v>60</v>
      </c>
      <c r="F6" s="4" t="s">
        <v>61</v>
      </c>
      <c r="G6" s="4" t="s">
        <v>62</v>
      </c>
      <c r="H6" s="4" t="s">
        <v>27</v>
      </c>
      <c r="I6" s="4" t="s">
        <v>63</v>
      </c>
      <c r="J6" s="4" t="s">
        <v>64</v>
      </c>
      <c r="K6" s="4" t="s">
        <v>65</v>
      </c>
      <c r="L6" s="4" t="s">
        <v>66</v>
      </c>
      <c r="M6" s="4" t="s">
        <v>67</v>
      </c>
      <c r="N6" s="4" t="s">
        <v>68</v>
      </c>
      <c r="O6" s="4" t="s">
        <v>69</v>
      </c>
      <c r="P6" s="4" t="s">
        <v>70</v>
      </c>
      <c r="Q6" s="4" t="s">
        <v>71</v>
      </c>
    </row>
    <row r="7" spans="1:17" ht="32" x14ac:dyDescent="0.2">
      <c r="A7" s="10" t="s">
        <v>72</v>
      </c>
      <c r="B7" s="10" t="s">
        <v>73</v>
      </c>
      <c r="C7" s="10" t="s">
        <v>74</v>
      </c>
      <c r="D7" s="10" t="s">
        <v>75</v>
      </c>
      <c r="E7" s="10" t="s">
        <v>76</v>
      </c>
      <c r="F7" s="10" t="s">
        <v>77</v>
      </c>
      <c r="G7" s="10" t="s">
        <v>78</v>
      </c>
      <c r="H7" s="10" t="s">
        <v>79</v>
      </c>
      <c r="I7" s="10" t="s">
        <v>80</v>
      </c>
      <c r="J7" s="10" t="s">
        <v>81</v>
      </c>
      <c r="K7" s="10" t="s">
        <v>82</v>
      </c>
      <c r="L7" s="10" t="s">
        <v>38</v>
      </c>
      <c r="M7" s="10" t="s">
        <v>38</v>
      </c>
      <c r="N7" s="10" t="s">
        <v>38</v>
      </c>
      <c r="O7" s="10" t="s">
        <v>38</v>
      </c>
      <c r="P7" s="10" t="s">
        <v>38</v>
      </c>
      <c r="Q7" s="10" t="s">
        <v>82</v>
      </c>
    </row>
    <row r="8" spans="1:17" ht="16" x14ac:dyDescent="0.2">
      <c r="A8" s="11" t="s">
        <v>155</v>
      </c>
      <c r="B8" s="11" t="s">
        <v>84</v>
      </c>
      <c r="C8" s="11" t="s">
        <v>156</v>
      </c>
      <c r="D8" s="11" t="s">
        <v>157</v>
      </c>
      <c r="E8" s="11" t="s">
        <v>158</v>
      </c>
      <c r="F8" s="11" t="s">
        <v>159</v>
      </c>
      <c r="G8" s="11" t="s">
        <v>160</v>
      </c>
      <c r="H8" s="11" t="s">
        <v>79</v>
      </c>
      <c r="I8" s="11" t="s">
        <v>161</v>
      </c>
      <c r="J8" s="11"/>
      <c r="K8" s="11" t="s">
        <v>82</v>
      </c>
      <c r="L8" s="11"/>
      <c r="M8" s="11"/>
      <c r="N8" s="11"/>
      <c r="O8" s="11"/>
      <c r="P8" s="11"/>
      <c r="Q8" s="11"/>
    </row>
    <row r="9" spans="1:17" ht="16" x14ac:dyDescent="0.2">
      <c r="A9" s="11" t="s">
        <v>162</v>
      </c>
      <c r="B9" s="11" t="s">
        <v>84</v>
      </c>
      <c r="C9" s="11" t="s">
        <v>163</v>
      </c>
      <c r="D9" s="11" t="s">
        <v>157</v>
      </c>
      <c r="E9" s="11" t="s">
        <v>158</v>
      </c>
      <c r="F9" s="11" t="s">
        <v>164</v>
      </c>
      <c r="G9" s="11" t="s">
        <v>160</v>
      </c>
      <c r="H9" s="11" t="s">
        <v>79</v>
      </c>
      <c r="I9" s="11" t="s">
        <v>165</v>
      </c>
      <c r="J9" s="11"/>
      <c r="K9" s="11" t="s">
        <v>82</v>
      </c>
      <c r="L9" s="11"/>
      <c r="M9" s="11"/>
      <c r="N9" s="11"/>
      <c r="O9" s="11"/>
      <c r="P9" s="11"/>
      <c r="Q9" s="11"/>
    </row>
    <row r="10" spans="1:17" ht="16" x14ac:dyDescent="0.2">
      <c r="A10" s="11" t="s">
        <v>166</v>
      </c>
      <c r="B10" s="11" t="s">
        <v>84</v>
      </c>
      <c r="C10" s="11" t="s">
        <v>163</v>
      </c>
      <c r="D10" s="11" t="s">
        <v>157</v>
      </c>
      <c r="E10" s="11" t="s">
        <v>158</v>
      </c>
      <c r="F10" s="11" t="s">
        <v>164</v>
      </c>
      <c r="G10" s="11" t="s">
        <v>160</v>
      </c>
      <c r="H10" s="11" t="s">
        <v>79</v>
      </c>
      <c r="I10" s="11" t="s">
        <v>165</v>
      </c>
      <c r="J10" s="11"/>
      <c r="K10" s="11" t="s">
        <v>82</v>
      </c>
      <c r="L10" s="11"/>
      <c r="M10" s="11"/>
      <c r="N10" s="11"/>
      <c r="O10" s="11"/>
      <c r="P10" s="11"/>
      <c r="Q10" s="11"/>
    </row>
    <row r="11" spans="1:17" ht="16" x14ac:dyDescent="0.2">
      <c r="A11" s="11" t="s">
        <v>167</v>
      </c>
      <c r="B11" s="11" t="s">
        <v>102</v>
      </c>
      <c r="C11" s="11" t="s">
        <v>168</v>
      </c>
      <c r="D11" s="11" t="s">
        <v>157</v>
      </c>
      <c r="E11" s="11" t="s">
        <v>158</v>
      </c>
      <c r="F11" s="11" t="s">
        <v>169</v>
      </c>
      <c r="G11" s="11" t="s">
        <v>160</v>
      </c>
      <c r="H11" s="11" t="s">
        <v>106</v>
      </c>
      <c r="I11" s="11" t="s">
        <v>170</v>
      </c>
      <c r="J11" s="11" t="s">
        <v>171</v>
      </c>
      <c r="K11" s="11" t="s">
        <v>78</v>
      </c>
      <c r="L11" s="11"/>
      <c r="M11" s="11"/>
      <c r="N11" s="11"/>
      <c r="O11" s="11"/>
      <c r="P11" s="11"/>
      <c r="Q11" s="11"/>
    </row>
    <row r="12" spans="1:17" ht="32" x14ac:dyDescent="0.2">
      <c r="A12" s="11" t="s">
        <v>172</v>
      </c>
      <c r="B12" s="11" t="s">
        <v>73</v>
      </c>
      <c r="C12" s="11" t="s">
        <v>173</v>
      </c>
      <c r="D12" s="11" t="s">
        <v>174</v>
      </c>
      <c r="E12" s="11" t="s">
        <v>158</v>
      </c>
      <c r="F12" s="11" t="s">
        <v>175</v>
      </c>
      <c r="G12" s="11" t="s">
        <v>14</v>
      </c>
      <c r="H12" s="11" t="s">
        <v>79</v>
      </c>
      <c r="I12" s="11" t="s">
        <v>176</v>
      </c>
      <c r="J12" s="11"/>
      <c r="K12" s="11" t="s">
        <v>82</v>
      </c>
      <c r="L12" s="11"/>
      <c r="M12" s="11"/>
      <c r="N12" s="11"/>
      <c r="O12" s="11"/>
      <c r="P12" s="11"/>
      <c r="Q12" s="11"/>
    </row>
    <row r="13" spans="1:17" ht="16" x14ac:dyDescent="0.2">
      <c r="A13" s="11" t="s">
        <v>177</v>
      </c>
      <c r="B13" s="11" t="s">
        <v>84</v>
      </c>
      <c r="C13" s="11" t="s">
        <v>163</v>
      </c>
      <c r="D13" s="11" t="s">
        <v>157</v>
      </c>
      <c r="E13" s="11" t="s">
        <v>158</v>
      </c>
      <c r="F13" s="11" t="s">
        <v>178</v>
      </c>
      <c r="G13" s="11" t="s">
        <v>160</v>
      </c>
      <c r="H13" s="11" t="s">
        <v>79</v>
      </c>
      <c r="I13" s="11" t="s">
        <v>179</v>
      </c>
      <c r="J13" s="11"/>
      <c r="K13" s="11" t="s">
        <v>82</v>
      </c>
      <c r="L13" s="11"/>
      <c r="M13" s="11"/>
      <c r="N13" s="11"/>
      <c r="O13" s="11"/>
      <c r="P13" s="11"/>
      <c r="Q13" s="11"/>
    </row>
    <row r="14" spans="1:17" ht="16" x14ac:dyDescent="0.2">
      <c r="A14" s="11" t="s">
        <v>180</v>
      </c>
      <c r="B14" s="11" t="s">
        <v>102</v>
      </c>
      <c r="C14" s="11" t="s">
        <v>156</v>
      </c>
      <c r="D14" s="11" t="s">
        <v>157</v>
      </c>
      <c r="E14" s="11" t="s">
        <v>76</v>
      </c>
      <c r="F14" s="11" t="s">
        <v>181</v>
      </c>
      <c r="G14" s="11" t="s">
        <v>160</v>
      </c>
      <c r="H14" s="11" t="s">
        <v>79</v>
      </c>
      <c r="I14" s="11" t="s">
        <v>182</v>
      </c>
      <c r="J14" s="11"/>
      <c r="K14" s="11" t="s">
        <v>82</v>
      </c>
      <c r="L14" s="11"/>
      <c r="M14" s="11"/>
      <c r="N14" s="11"/>
      <c r="O14" s="11"/>
      <c r="P14" s="11"/>
      <c r="Q14" s="11"/>
    </row>
    <row r="15" spans="1:17" ht="32" x14ac:dyDescent="0.2">
      <c r="A15" s="11" t="s">
        <v>183</v>
      </c>
      <c r="B15" s="11" t="s">
        <v>102</v>
      </c>
      <c r="C15" s="11" t="s">
        <v>114</v>
      </c>
      <c r="D15" s="11" t="s">
        <v>184</v>
      </c>
      <c r="E15" s="11" t="s">
        <v>116</v>
      </c>
      <c r="F15" s="11" t="s">
        <v>185</v>
      </c>
      <c r="G15" s="11" t="s">
        <v>82</v>
      </c>
      <c r="H15" s="11" t="s">
        <v>118</v>
      </c>
      <c r="I15" s="11" t="s">
        <v>186</v>
      </c>
      <c r="J15" s="11" t="s">
        <v>187</v>
      </c>
      <c r="K15" s="11" t="s">
        <v>78</v>
      </c>
      <c r="L15" s="11"/>
      <c r="M15" s="11"/>
      <c r="N15" s="11"/>
      <c r="O15" s="11"/>
      <c r="P15" s="11"/>
      <c r="Q15" s="11"/>
    </row>
    <row r="16" spans="1:17" ht="32" x14ac:dyDescent="0.2">
      <c r="A16" s="11" t="s">
        <v>188</v>
      </c>
      <c r="B16" s="11" t="s">
        <v>102</v>
      </c>
      <c r="C16" s="11" t="s">
        <v>122</v>
      </c>
      <c r="D16" s="11" t="s">
        <v>81</v>
      </c>
      <c r="E16" s="11" t="s">
        <v>81</v>
      </c>
      <c r="F16" s="11" t="s">
        <v>81</v>
      </c>
      <c r="G16" s="11" t="s">
        <v>82</v>
      </c>
      <c r="H16" s="11" t="s">
        <v>118</v>
      </c>
      <c r="I16" s="11" t="s">
        <v>189</v>
      </c>
      <c r="J16" s="11" t="s">
        <v>190</v>
      </c>
      <c r="K16" s="11" t="s">
        <v>78</v>
      </c>
      <c r="L16" s="11"/>
      <c r="M16" s="11"/>
      <c r="N16" s="11"/>
      <c r="O16" s="11"/>
      <c r="P16" s="11"/>
      <c r="Q16" s="11"/>
    </row>
    <row r="17" spans="1:17" x14ac:dyDescent="0.2">
      <c r="A17" s="11"/>
      <c r="B17" s="11"/>
      <c r="C17" s="11"/>
      <c r="D17" s="11"/>
      <c r="E17" s="11"/>
      <c r="F17" s="11"/>
      <c r="G17" s="11"/>
      <c r="H17" s="11"/>
      <c r="I17" s="11"/>
      <c r="J17" s="11"/>
      <c r="K17" s="11"/>
      <c r="L17" s="11"/>
      <c r="M17" s="11"/>
      <c r="N17" s="11"/>
      <c r="O17" s="11"/>
      <c r="P17" s="11"/>
      <c r="Q17" s="11"/>
    </row>
    <row r="18" spans="1:17" x14ac:dyDescent="0.2">
      <c r="A18" s="11"/>
      <c r="B18" s="11"/>
      <c r="C18" s="11"/>
      <c r="D18" s="11"/>
      <c r="E18" s="11"/>
      <c r="F18" s="11"/>
      <c r="G18" s="11"/>
      <c r="H18" s="11"/>
      <c r="I18" s="11"/>
      <c r="J18" s="11"/>
      <c r="K18" s="11"/>
      <c r="L18" s="11"/>
      <c r="M18" s="11"/>
      <c r="N18" s="11"/>
      <c r="O18" s="11"/>
      <c r="P18" s="11"/>
      <c r="Q18" s="11"/>
    </row>
    <row r="19" spans="1:17" x14ac:dyDescent="0.2">
      <c r="A19" s="11"/>
      <c r="B19" s="11"/>
      <c r="C19" s="11"/>
      <c r="D19" s="11"/>
      <c r="E19" s="11"/>
      <c r="F19" s="11"/>
      <c r="G19" s="11"/>
      <c r="H19" s="11"/>
      <c r="I19" s="11"/>
      <c r="J19" s="11"/>
      <c r="K19" s="11"/>
      <c r="L19" s="11"/>
      <c r="M19" s="11"/>
      <c r="N19" s="11"/>
      <c r="O19" s="11"/>
      <c r="P19" s="11"/>
      <c r="Q19" s="11"/>
    </row>
    <row r="20" spans="1:17" x14ac:dyDescent="0.2">
      <c r="A20" s="11"/>
      <c r="B20" s="11"/>
      <c r="C20" s="11"/>
      <c r="D20" s="11"/>
      <c r="E20" s="11"/>
      <c r="F20" s="11"/>
      <c r="G20" s="11"/>
      <c r="H20" s="11"/>
      <c r="I20" s="11"/>
      <c r="J20" s="11"/>
      <c r="K20" s="11"/>
      <c r="L20" s="11"/>
      <c r="M20" s="11"/>
      <c r="N20" s="11"/>
      <c r="O20" s="11"/>
      <c r="P20" s="11"/>
      <c r="Q20" s="11"/>
    </row>
    <row r="22" spans="1:17" x14ac:dyDescent="0.2">
      <c r="A22" s="12" t="s">
        <v>191</v>
      </c>
    </row>
    <row r="23" spans="1:17" x14ac:dyDescent="0.2">
      <c r="A23" s="2" t="s">
        <v>127</v>
      </c>
      <c r="B23" s="2" t="s">
        <v>128</v>
      </c>
      <c r="C23" s="2" t="s">
        <v>27</v>
      </c>
    </row>
    <row r="24" spans="1:17" x14ac:dyDescent="0.2">
      <c r="A24" t="s">
        <v>127</v>
      </c>
      <c r="B24" t="s">
        <v>192</v>
      </c>
      <c r="C24" s="3"/>
    </row>
    <row r="25" spans="1:17" x14ac:dyDescent="0.2">
      <c r="A25" t="s">
        <v>127</v>
      </c>
      <c r="B25" t="s">
        <v>193</v>
      </c>
      <c r="C25" s="3"/>
    </row>
    <row r="26" spans="1:17" x14ac:dyDescent="0.2">
      <c r="A26" t="s">
        <v>127</v>
      </c>
      <c r="B26" t="s">
        <v>194</v>
      </c>
      <c r="C26" s="3"/>
    </row>
    <row r="27" spans="1:17" x14ac:dyDescent="0.2">
      <c r="A27" t="s">
        <v>127</v>
      </c>
      <c r="B27" t="s">
        <v>195</v>
      </c>
      <c r="C27" s="3"/>
    </row>
    <row r="28" spans="1:17" x14ac:dyDescent="0.2">
      <c r="A28" t="s">
        <v>127</v>
      </c>
      <c r="B28" t="s">
        <v>196</v>
      </c>
      <c r="C28" s="3"/>
    </row>
    <row r="29" spans="1:17" x14ac:dyDescent="0.2">
      <c r="A29" t="s">
        <v>127</v>
      </c>
      <c r="B29" t="s">
        <v>197</v>
      </c>
      <c r="C29" s="3"/>
    </row>
    <row r="30" spans="1:17" x14ac:dyDescent="0.2">
      <c r="A30" t="s">
        <v>127</v>
      </c>
      <c r="B30" t="s">
        <v>198</v>
      </c>
      <c r="C30" s="3"/>
    </row>
    <row r="31" spans="1:17" x14ac:dyDescent="0.2">
      <c r="A31" t="s">
        <v>127</v>
      </c>
      <c r="B31" t="s">
        <v>199</v>
      </c>
      <c r="C31" s="3"/>
    </row>
    <row r="32" spans="1:17" x14ac:dyDescent="0.2">
      <c r="A32" t="s">
        <v>127</v>
      </c>
      <c r="B32" t="s">
        <v>200</v>
      </c>
      <c r="C32" s="3"/>
    </row>
    <row r="33" spans="1:17" x14ac:dyDescent="0.2">
      <c r="A33" t="s">
        <v>127</v>
      </c>
      <c r="B33" t="s">
        <v>201</v>
      </c>
      <c r="C33" s="3"/>
    </row>
    <row r="34" spans="1:17" x14ac:dyDescent="0.2">
      <c r="A34" t="s">
        <v>127</v>
      </c>
      <c r="B34" t="s">
        <v>202</v>
      </c>
      <c r="C34" s="3"/>
    </row>
    <row r="35" spans="1:17" x14ac:dyDescent="0.2">
      <c r="A35" s="2" t="s">
        <v>139</v>
      </c>
      <c r="B35" s="13" t="e">
        <f>COUNTIF(C24:C34,"Yes")/COUNTA(C24:C34)*100&amp;"%"</f>
        <v>#DIV/0!</v>
      </c>
    </row>
    <row r="37" spans="1:17" x14ac:dyDescent="0.2">
      <c r="A37" s="33" t="s">
        <v>140</v>
      </c>
      <c r="B37" s="19"/>
      <c r="C37" s="19"/>
      <c r="D37" s="19"/>
      <c r="E37" s="19"/>
      <c r="F37" s="19"/>
      <c r="G37" s="19"/>
      <c r="H37" s="19"/>
      <c r="I37" s="19"/>
      <c r="J37" s="19"/>
      <c r="K37" s="19"/>
      <c r="L37" s="19"/>
      <c r="M37" s="19"/>
      <c r="N37" s="19"/>
      <c r="O37" s="19"/>
      <c r="P37" s="19"/>
      <c r="Q37" s="19"/>
    </row>
    <row r="38" spans="1:17" x14ac:dyDescent="0.2">
      <c r="A38" s="2" t="s">
        <v>141</v>
      </c>
      <c r="B38" s="20"/>
      <c r="C38" s="21"/>
      <c r="D38" s="22"/>
    </row>
    <row r="39" spans="1:17" x14ac:dyDescent="0.2">
      <c r="A39" s="2" t="s">
        <v>142</v>
      </c>
      <c r="B39" s="20"/>
      <c r="C39" s="21"/>
      <c r="D39" s="22"/>
    </row>
    <row r="40" spans="1:17" x14ac:dyDescent="0.2">
      <c r="A40" s="2" t="s">
        <v>143</v>
      </c>
      <c r="B40" s="20"/>
      <c r="C40" s="21"/>
      <c r="D40" s="22"/>
    </row>
    <row r="41" spans="1:17" x14ac:dyDescent="0.2">
      <c r="A41" s="2" t="s">
        <v>144</v>
      </c>
      <c r="B41" s="20"/>
      <c r="C41" s="21"/>
      <c r="D41" s="22"/>
    </row>
    <row r="42" spans="1:17" x14ac:dyDescent="0.2">
      <c r="A42" s="2" t="s">
        <v>145</v>
      </c>
      <c r="B42" s="20"/>
      <c r="C42" s="21"/>
      <c r="D42" s="22"/>
    </row>
    <row r="43" spans="1:17" x14ac:dyDescent="0.2">
      <c r="A43" s="2" t="s">
        <v>146</v>
      </c>
      <c r="B43" s="20"/>
      <c r="C43" s="21"/>
      <c r="D43" s="22"/>
    </row>
    <row r="44" spans="1:17" x14ac:dyDescent="0.2">
      <c r="A44" s="2" t="s">
        <v>147</v>
      </c>
      <c r="B44" s="20"/>
      <c r="C44" s="21"/>
      <c r="D44" s="22"/>
    </row>
    <row r="45" spans="1:17" x14ac:dyDescent="0.2">
      <c r="A45" s="2" t="s">
        <v>148</v>
      </c>
      <c r="B45" s="20"/>
      <c r="C45" s="21"/>
      <c r="D45" s="22"/>
    </row>
    <row r="46" spans="1:17" x14ac:dyDescent="0.2">
      <c r="A46" s="2" t="s">
        <v>149</v>
      </c>
      <c r="B46" s="20"/>
      <c r="C46" s="21"/>
      <c r="D46" s="22"/>
    </row>
    <row r="47" spans="1:17" x14ac:dyDescent="0.2">
      <c r="A47" s="2" t="s">
        <v>150</v>
      </c>
      <c r="B47" s="20"/>
      <c r="C47" s="21"/>
      <c r="D47" s="22"/>
    </row>
    <row r="48" spans="1:17" x14ac:dyDescent="0.2">
      <c r="A48" s="2" t="s">
        <v>151</v>
      </c>
      <c r="B48" s="20"/>
      <c r="C48" s="21"/>
      <c r="D48" s="22"/>
    </row>
    <row r="50" spans="1:17" x14ac:dyDescent="0.2">
      <c r="A50" s="32" t="s">
        <v>152</v>
      </c>
      <c r="B50" s="19"/>
      <c r="C50" s="19"/>
      <c r="D50" s="19"/>
      <c r="E50" s="19"/>
      <c r="F50" s="19"/>
      <c r="G50" s="19"/>
      <c r="H50" s="19"/>
      <c r="I50" s="19"/>
      <c r="J50" s="19"/>
      <c r="K50" s="19"/>
      <c r="L50" s="19"/>
      <c r="M50" s="19"/>
      <c r="N50" s="19"/>
      <c r="O50" s="19"/>
      <c r="P50" s="19"/>
      <c r="Q50" s="19"/>
    </row>
    <row r="51" spans="1:17" x14ac:dyDescent="0.2">
      <c r="A51" s="24"/>
      <c r="B51" s="25"/>
      <c r="C51" s="25"/>
      <c r="D51" s="25"/>
      <c r="E51" s="25"/>
      <c r="F51" s="25"/>
      <c r="G51" s="25"/>
      <c r="H51" s="25"/>
      <c r="I51" s="25"/>
      <c r="J51" s="25"/>
      <c r="K51" s="25"/>
      <c r="L51" s="25"/>
      <c r="M51" s="25"/>
      <c r="N51" s="25"/>
      <c r="O51" s="25"/>
      <c r="P51" s="25"/>
      <c r="Q51" s="26"/>
    </row>
    <row r="52" spans="1:17" x14ac:dyDescent="0.2">
      <c r="A52" s="27"/>
      <c r="B52" s="19"/>
      <c r="C52" s="19"/>
      <c r="D52" s="19"/>
      <c r="E52" s="19"/>
      <c r="F52" s="19"/>
      <c r="G52" s="19"/>
      <c r="H52" s="19"/>
      <c r="I52" s="19"/>
      <c r="J52" s="19"/>
      <c r="K52" s="19"/>
      <c r="L52" s="19"/>
      <c r="M52" s="19"/>
      <c r="N52" s="19"/>
      <c r="O52" s="19"/>
      <c r="P52" s="19"/>
      <c r="Q52" s="28"/>
    </row>
    <row r="53" spans="1:17" x14ac:dyDescent="0.2">
      <c r="A53" s="27"/>
      <c r="B53" s="19"/>
      <c r="C53" s="19"/>
      <c r="D53" s="19"/>
      <c r="E53" s="19"/>
      <c r="F53" s="19"/>
      <c r="G53" s="19"/>
      <c r="H53" s="19"/>
      <c r="I53" s="19"/>
      <c r="J53" s="19"/>
      <c r="K53" s="19"/>
      <c r="L53" s="19"/>
      <c r="M53" s="19"/>
      <c r="N53" s="19"/>
      <c r="O53" s="19"/>
      <c r="P53" s="19"/>
      <c r="Q53" s="28"/>
    </row>
    <row r="54" spans="1:17" x14ac:dyDescent="0.2">
      <c r="A54" s="27"/>
      <c r="B54" s="19"/>
      <c r="C54" s="19"/>
      <c r="D54" s="19"/>
      <c r="E54" s="19"/>
      <c r="F54" s="19"/>
      <c r="G54" s="19"/>
      <c r="H54" s="19"/>
      <c r="I54" s="19"/>
      <c r="J54" s="19"/>
      <c r="K54" s="19"/>
      <c r="L54" s="19"/>
      <c r="M54" s="19"/>
      <c r="N54" s="19"/>
      <c r="O54" s="19"/>
      <c r="P54" s="19"/>
      <c r="Q54" s="28"/>
    </row>
    <row r="55" spans="1:17" x14ac:dyDescent="0.2">
      <c r="A55" s="27"/>
      <c r="B55" s="19"/>
      <c r="C55" s="19"/>
      <c r="D55" s="19"/>
      <c r="E55" s="19"/>
      <c r="F55" s="19"/>
      <c r="G55" s="19"/>
      <c r="H55" s="19"/>
      <c r="I55" s="19"/>
      <c r="J55" s="19"/>
      <c r="K55" s="19"/>
      <c r="L55" s="19"/>
      <c r="M55" s="19"/>
      <c r="N55" s="19"/>
      <c r="O55" s="19"/>
      <c r="P55" s="19"/>
      <c r="Q55" s="28"/>
    </row>
    <row r="56" spans="1:17" x14ac:dyDescent="0.2">
      <c r="A56" s="27"/>
      <c r="B56" s="19"/>
      <c r="C56" s="19"/>
      <c r="D56" s="19"/>
      <c r="E56" s="19"/>
      <c r="F56" s="19"/>
      <c r="G56" s="19"/>
      <c r="H56" s="19"/>
      <c r="I56" s="19"/>
      <c r="J56" s="19"/>
      <c r="K56" s="19"/>
      <c r="L56" s="19"/>
      <c r="M56" s="19"/>
      <c r="N56" s="19"/>
      <c r="O56" s="19"/>
      <c r="P56" s="19"/>
      <c r="Q56" s="28"/>
    </row>
    <row r="57" spans="1:17" x14ac:dyDescent="0.2">
      <c r="A57" s="27"/>
      <c r="B57" s="19"/>
      <c r="C57" s="19"/>
      <c r="D57" s="19"/>
      <c r="E57" s="19"/>
      <c r="F57" s="19"/>
      <c r="G57" s="19"/>
      <c r="H57" s="19"/>
      <c r="I57" s="19"/>
      <c r="J57" s="19"/>
      <c r="K57" s="19"/>
      <c r="L57" s="19"/>
      <c r="M57" s="19"/>
      <c r="N57" s="19"/>
      <c r="O57" s="19"/>
      <c r="P57" s="19"/>
      <c r="Q57" s="28"/>
    </row>
    <row r="58" spans="1:17" x14ac:dyDescent="0.2">
      <c r="A58" s="27"/>
      <c r="B58" s="19"/>
      <c r="C58" s="19"/>
      <c r="D58" s="19"/>
      <c r="E58" s="19"/>
      <c r="F58" s="19"/>
      <c r="G58" s="19"/>
      <c r="H58" s="19"/>
      <c r="I58" s="19"/>
      <c r="J58" s="19"/>
      <c r="K58" s="19"/>
      <c r="L58" s="19"/>
      <c r="M58" s="19"/>
      <c r="N58" s="19"/>
      <c r="O58" s="19"/>
      <c r="P58" s="19"/>
      <c r="Q58" s="28"/>
    </row>
    <row r="59" spans="1:17" x14ac:dyDescent="0.2">
      <c r="A59" s="29"/>
      <c r="B59" s="30"/>
      <c r="C59" s="30"/>
      <c r="D59" s="30"/>
      <c r="E59" s="30"/>
      <c r="F59" s="30"/>
      <c r="G59" s="30"/>
      <c r="H59" s="30"/>
      <c r="I59" s="30"/>
      <c r="J59" s="30"/>
      <c r="K59" s="30"/>
      <c r="L59" s="30"/>
      <c r="M59" s="30"/>
      <c r="N59" s="30"/>
      <c r="O59" s="30"/>
      <c r="P59" s="30"/>
      <c r="Q59" s="31"/>
    </row>
  </sheetData>
  <mergeCells count="16">
    <mergeCell ref="A1:Q1"/>
    <mergeCell ref="A37:Q37"/>
    <mergeCell ref="A50:Q50"/>
    <mergeCell ref="B48:D48"/>
    <mergeCell ref="B40:D40"/>
    <mergeCell ref="A51:Q59"/>
    <mergeCell ref="B44:D44"/>
    <mergeCell ref="B43:D43"/>
    <mergeCell ref="B42:D42"/>
    <mergeCell ref="B47:D47"/>
    <mergeCell ref="A3:Q3"/>
    <mergeCell ref="B45:D45"/>
    <mergeCell ref="B41:D41"/>
    <mergeCell ref="B46:D46"/>
    <mergeCell ref="B39:D39"/>
    <mergeCell ref="B38:D38"/>
  </mergeCells>
  <dataValidations count="9">
    <dataValidation type="list" sqref="B8 B9 B10 B11 B12 B13 B14 B15 B16 B17 B18 B19 B20" xr:uid="{00000000-0002-0000-0200-000000000000}">
      <formula1>"Public,Internal,Confidential,Restricted,N/A"</formula1>
    </dataValidation>
    <dataValidation type="list" sqref="C8 C9 C10 C11 C12 C13 C14 C15 C16 C17 C18 C19 C20" xr:uid="{00000000-0002-0000-0200-000001000000}">
      <formula1>"Encrypted,Not Encrypted,Partially Encrypted"</formula1>
    </dataValidation>
    <dataValidation type="list" sqref="D8 D9 D10 D11 D12 D13 D14 D15 D16 D17 D18 D19 D20" xr:uid="{00000000-0002-0000-0200-000002000000}">
      <formula1>"Full Disk,File-level,Database TDE,Volume,Container,Application-level,Hardware-based,N/A"</formula1>
    </dataValidation>
    <dataValidation type="list" sqref="F8 F9 F10 F11 F12 F13 F14 F15 F16 F17 F18 F19 F20" xr:uid="{00000000-0002-0000-0200-000003000000}">
      <formula1>"HSM,Cloud KMS,TPM,Software-based,Manual,Vendor-managed,N/A"</formula1>
    </dataValidation>
    <dataValidation type="list" sqref="G8:G20 C24:C34" xr:uid="{00000000-0002-0000-0200-000004000000}">
      <formula1>"Yes,No,N/A"</formula1>
    </dataValidation>
    <dataValidation type="list" sqref="H8 H9 H10 H11 H12 H13 H14 H15 H16 H17 H18 H19 H20" xr:uid="{00000000-0002-0000-0200-000005000000}">
      <formula1>"✅ Compliant,⚠️ Partial,❌ Non-Compliant,N/A"</formula1>
    </dataValidation>
    <dataValidation type="list" sqref="K8:K20 B38 B40" xr:uid="{00000000-0002-0000-0200-000006000000}">
      <formula1>"Yes,No"</formula1>
    </dataValidation>
    <dataValidation type="list" sqref="Q8 Q9 Q10 Q11 Q12 Q13 Q14 Q15 Q16 Q17 Q18 Q19 Q20" xr:uid="{00000000-0002-0000-0200-000007000000}">
      <formula1>"Yes,No,Unknown"</formula1>
    </dataValidation>
    <dataValidation type="list" sqref="B4" xr:uid="{00000000-0002-0000-0200-000008000000}">
      <formula1>"Yes,No,Not Applicable"</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60"/>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60" customWidth="1"/>
    <col min="3" max="3" width="15" customWidth="1"/>
    <col min="4" max="4" width="20" customWidth="1"/>
    <col min="5" max="5" width="18" customWidth="1"/>
    <col min="6" max="6" width="22" customWidth="1"/>
    <col min="7" max="7" width="16" customWidth="1"/>
    <col min="8" max="8" width="15" customWidth="1"/>
    <col min="9" max="9" width="28" customWidth="1"/>
    <col min="10" max="10" width="30" customWidth="1"/>
    <col min="11" max="13" width="14" customWidth="1"/>
    <col min="14" max="14" width="30" customWidth="1"/>
    <col min="15" max="15" width="20" customWidth="1"/>
    <col min="16" max="16" width="14" customWidth="1"/>
    <col min="17" max="17" width="15" customWidth="1"/>
  </cols>
  <sheetData>
    <row r="1" spans="1:17" ht="40" customHeight="1" x14ac:dyDescent="0.2">
      <c r="A1" s="18" t="s">
        <v>203</v>
      </c>
      <c r="B1" s="19"/>
      <c r="C1" s="19"/>
      <c r="D1" s="19"/>
      <c r="E1" s="19"/>
      <c r="F1" s="19"/>
      <c r="G1" s="19"/>
      <c r="H1" s="19"/>
      <c r="I1" s="19"/>
      <c r="J1" s="19"/>
      <c r="K1" s="19"/>
      <c r="L1" s="19"/>
      <c r="M1" s="19"/>
      <c r="N1" s="19"/>
      <c r="O1" s="19"/>
      <c r="P1" s="19"/>
      <c r="Q1" s="19"/>
    </row>
    <row r="3" spans="1:17" ht="30" customHeight="1" x14ac:dyDescent="0.2">
      <c r="A3" s="23" t="s">
        <v>204</v>
      </c>
      <c r="B3" s="19"/>
      <c r="C3" s="19"/>
      <c r="D3" s="19"/>
      <c r="E3" s="19"/>
      <c r="F3" s="19"/>
      <c r="G3" s="19"/>
      <c r="H3" s="19"/>
      <c r="I3" s="19"/>
      <c r="J3" s="19"/>
      <c r="K3" s="19"/>
      <c r="L3" s="19"/>
      <c r="M3" s="19"/>
      <c r="N3" s="19"/>
      <c r="O3" s="19"/>
      <c r="P3" s="19"/>
      <c r="Q3" s="19"/>
    </row>
    <row r="4" spans="1:17" x14ac:dyDescent="0.2">
      <c r="A4" s="2" t="s">
        <v>55</v>
      </c>
      <c r="B4" s="3"/>
    </row>
    <row r="6" spans="1:17" ht="30" x14ac:dyDescent="0.2">
      <c r="A6" s="4" t="s">
        <v>56</v>
      </c>
      <c r="B6" s="4" t="s">
        <v>57</v>
      </c>
      <c r="C6" s="4" t="s">
        <v>58</v>
      </c>
      <c r="D6" s="4" t="s">
        <v>59</v>
      </c>
      <c r="E6" s="4" t="s">
        <v>60</v>
      </c>
      <c r="F6" s="4" t="s">
        <v>61</v>
      </c>
      <c r="G6" s="4" t="s">
        <v>62</v>
      </c>
      <c r="H6" s="4" t="s">
        <v>27</v>
      </c>
      <c r="I6" s="4" t="s">
        <v>63</v>
      </c>
      <c r="J6" s="4" t="s">
        <v>64</v>
      </c>
      <c r="K6" s="4" t="s">
        <v>65</v>
      </c>
      <c r="L6" s="4" t="s">
        <v>66</v>
      </c>
      <c r="M6" s="4" t="s">
        <v>67</v>
      </c>
      <c r="N6" s="4" t="s">
        <v>68</v>
      </c>
      <c r="O6" s="4" t="s">
        <v>69</v>
      </c>
      <c r="P6" s="4" t="s">
        <v>70</v>
      </c>
      <c r="Q6" s="4" t="s">
        <v>71</v>
      </c>
    </row>
    <row r="7" spans="1:17" ht="32" x14ac:dyDescent="0.2">
      <c r="A7" s="10" t="s">
        <v>72</v>
      </c>
      <c r="B7" s="10" t="s">
        <v>73</v>
      </c>
      <c r="C7" s="10" t="s">
        <v>74</v>
      </c>
      <c r="D7" s="10" t="s">
        <v>75</v>
      </c>
      <c r="E7" s="10" t="s">
        <v>76</v>
      </c>
      <c r="F7" s="10" t="s">
        <v>77</v>
      </c>
      <c r="G7" s="10" t="s">
        <v>78</v>
      </c>
      <c r="H7" s="10" t="s">
        <v>79</v>
      </c>
      <c r="I7" s="10" t="s">
        <v>80</v>
      </c>
      <c r="J7" s="10" t="s">
        <v>81</v>
      </c>
      <c r="K7" s="10" t="s">
        <v>82</v>
      </c>
      <c r="L7" s="10" t="s">
        <v>38</v>
      </c>
      <c r="M7" s="10" t="s">
        <v>38</v>
      </c>
      <c r="N7" s="10" t="s">
        <v>38</v>
      </c>
      <c r="O7" s="10" t="s">
        <v>38</v>
      </c>
      <c r="P7" s="10" t="s">
        <v>38</v>
      </c>
      <c r="Q7" s="10" t="s">
        <v>82</v>
      </c>
    </row>
    <row r="8" spans="1:17" ht="16" x14ac:dyDescent="0.2">
      <c r="A8" s="11" t="s">
        <v>205</v>
      </c>
      <c r="B8" s="11" t="s">
        <v>73</v>
      </c>
      <c r="C8" s="11" t="s">
        <v>206</v>
      </c>
      <c r="D8" s="11" t="s">
        <v>157</v>
      </c>
      <c r="E8" s="11" t="s">
        <v>158</v>
      </c>
      <c r="F8" s="11" t="s">
        <v>207</v>
      </c>
      <c r="G8" s="11" t="s">
        <v>160</v>
      </c>
      <c r="H8" s="11" t="s">
        <v>79</v>
      </c>
      <c r="I8" s="11" t="s">
        <v>208</v>
      </c>
      <c r="J8" s="11"/>
      <c r="K8" s="11" t="s">
        <v>82</v>
      </c>
      <c r="L8" s="11"/>
      <c r="M8" s="11"/>
      <c r="N8" s="11"/>
      <c r="O8" s="11"/>
      <c r="P8" s="11"/>
      <c r="Q8" s="11"/>
    </row>
    <row r="9" spans="1:17" ht="16" x14ac:dyDescent="0.2">
      <c r="A9" s="11" t="s">
        <v>209</v>
      </c>
      <c r="B9" s="11" t="s">
        <v>73</v>
      </c>
      <c r="C9" s="11" t="s">
        <v>156</v>
      </c>
      <c r="D9" s="11" t="s">
        <v>157</v>
      </c>
      <c r="E9" s="11" t="s">
        <v>158</v>
      </c>
      <c r="F9" s="11" t="s">
        <v>210</v>
      </c>
      <c r="G9" s="11" t="s">
        <v>160</v>
      </c>
      <c r="H9" s="11" t="s">
        <v>79</v>
      </c>
      <c r="I9" s="11" t="s">
        <v>211</v>
      </c>
      <c r="J9" s="11"/>
      <c r="K9" s="11" t="s">
        <v>82</v>
      </c>
      <c r="L9" s="11"/>
      <c r="M9" s="11"/>
      <c r="N9" s="11"/>
      <c r="O9" s="11"/>
      <c r="P9" s="11"/>
      <c r="Q9" s="11"/>
    </row>
    <row r="10" spans="1:17" ht="16" x14ac:dyDescent="0.2">
      <c r="A10" s="11" t="s">
        <v>212</v>
      </c>
      <c r="B10" s="11" t="s">
        <v>84</v>
      </c>
      <c r="C10" s="11" t="s">
        <v>213</v>
      </c>
      <c r="D10" s="11" t="s">
        <v>214</v>
      </c>
      <c r="E10" s="11" t="s">
        <v>158</v>
      </c>
      <c r="F10" s="11" t="s">
        <v>215</v>
      </c>
      <c r="G10" s="11" t="s">
        <v>160</v>
      </c>
      <c r="H10" s="11" t="s">
        <v>79</v>
      </c>
      <c r="I10" s="11" t="s">
        <v>216</v>
      </c>
      <c r="J10" s="11"/>
      <c r="K10" s="11" t="s">
        <v>82</v>
      </c>
      <c r="L10" s="11"/>
      <c r="M10" s="11"/>
      <c r="N10" s="11"/>
      <c r="O10" s="11"/>
      <c r="P10" s="11"/>
      <c r="Q10" s="11"/>
    </row>
    <row r="11" spans="1:17" ht="16" x14ac:dyDescent="0.2">
      <c r="A11" s="11" t="s">
        <v>217</v>
      </c>
      <c r="B11" s="11" t="s">
        <v>84</v>
      </c>
      <c r="C11" s="11" t="s">
        <v>218</v>
      </c>
      <c r="D11" s="11" t="s">
        <v>219</v>
      </c>
      <c r="E11" s="11" t="s">
        <v>76</v>
      </c>
      <c r="F11" s="11" t="s">
        <v>220</v>
      </c>
      <c r="G11" s="11" t="s">
        <v>160</v>
      </c>
      <c r="H11" s="11" t="s">
        <v>79</v>
      </c>
      <c r="I11" s="11" t="s">
        <v>221</v>
      </c>
      <c r="J11" s="11"/>
      <c r="K11" s="11" t="s">
        <v>82</v>
      </c>
      <c r="L11" s="11"/>
      <c r="M11" s="11"/>
      <c r="N11" s="11"/>
      <c r="O11" s="11"/>
      <c r="P11" s="11"/>
      <c r="Q11" s="11"/>
    </row>
    <row r="12" spans="1:17" ht="16" x14ac:dyDescent="0.2">
      <c r="A12" s="11" t="s">
        <v>222</v>
      </c>
      <c r="B12" s="11" t="s">
        <v>102</v>
      </c>
      <c r="C12" s="11" t="s">
        <v>223</v>
      </c>
      <c r="D12" s="11" t="s">
        <v>224</v>
      </c>
      <c r="E12" s="11" t="s">
        <v>76</v>
      </c>
      <c r="F12" s="11" t="s">
        <v>225</v>
      </c>
      <c r="G12" s="11" t="s">
        <v>160</v>
      </c>
      <c r="H12" s="11" t="s">
        <v>79</v>
      </c>
      <c r="I12" s="11" t="s">
        <v>226</v>
      </c>
      <c r="J12" s="11"/>
      <c r="K12" s="11" t="s">
        <v>82</v>
      </c>
      <c r="L12" s="11"/>
      <c r="M12" s="11"/>
      <c r="N12" s="11"/>
      <c r="O12" s="11"/>
      <c r="P12" s="11"/>
      <c r="Q12" s="11"/>
    </row>
    <row r="13" spans="1:17" ht="16" x14ac:dyDescent="0.2">
      <c r="A13" s="11" t="s">
        <v>227</v>
      </c>
      <c r="B13" s="11" t="s">
        <v>84</v>
      </c>
      <c r="C13" s="11" t="s">
        <v>228</v>
      </c>
      <c r="D13" s="11" t="s">
        <v>229</v>
      </c>
      <c r="E13" s="11" t="s">
        <v>230</v>
      </c>
      <c r="F13" s="11" t="s">
        <v>231</v>
      </c>
      <c r="G13" s="11" t="s">
        <v>14</v>
      </c>
      <c r="H13" s="11" t="s">
        <v>79</v>
      </c>
      <c r="I13" s="11" t="s">
        <v>232</v>
      </c>
      <c r="J13" s="11"/>
      <c r="K13" s="11" t="s">
        <v>82</v>
      </c>
      <c r="L13" s="11"/>
      <c r="M13" s="11"/>
      <c r="N13" s="11"/>
      <c r="O13" s="11"/>
      <c r="P13" s="11"/>
      <c r="Q13" s="11"/>
    </row>
    <row r="14" spans="1:17" ht="16" x14ac:dyDescent="0.2">
      <c r="A14" s="11" t="s">
        <v>233</v>
      </c>
      <c r="B14" s="11" t="s">
        <v>102</v>
      </c>
      <c r="C14" s="11" t="s">
        <v>168</v>
      </c>
      <c r="D14" s="11" t="s">
        <v>157</v>
      </c>
      <c r="E14" s="11" t="s">
        <v>76</v>
      </c>
      <c r="F14" s="11" t="s">
        <v>234</v>
      </c>
      <c r="G14" s="11" t="s">
        <v>160</v>
      </c>
      <c r="H14" s="11" t="s">
        <v>106</v>
      </c>
      <c r="I14" s="11" t="s">
        <v>235</v>
      </c>
      <c r="J14" s="11" t="s">
        <v>236</v>
      </c>
      <c r="K14" s="11" t="s">
        <v>78</v>
      </c>
      <c r="L14" s="11"/>
      <c r="M14" s="11"/>
      <c r="N14" s="11"/>
      <c r="O14" s="11"/>
      <c r="P14" s="11"/>
      <c r="Q14" s="11"/>
    </row>
    <row r="15" spans="1:17" ht="32" x14ac:dyDescent="0.2">
      <c r="A15" s="11" t="s">
        <v>237</v>
      </c>
      <c r="B15" s="11" t="s">
        <v>102</v>
      </c>
      <c r="C15" s="11" t="s">
        <v>122</v>
      </c>
      <c r="D15" s="11" t="s">
        <v>81</v>
      </c>
      <c r="E15" s="11" t="s">
        <v>81</v>
      </c>
      <c r="F15" s="11" t="s">
        <v>81</v>
      </c>
      <c r="G15" s="11" t="s">
        <v>82</v>
      </c>
      <c r="H15" s="11" t="s">
        <v>118</v>
      </c>
      <c r="I15" s="11" t="s">
        <v>238</v>
      </c>
      <c r="J15" s="11" t="s">
        <v>239</v>
      </c>
      <c r="K15" s="11" t="s">
        <v>78</v>
      </c>
      <c r="L15" s="11"/>
      <c r="M15" s="11"/>
      <c r="N15" s="11"/>
      <c r="O15" s="11"/>
      <c r="P15" s="11"/>
      <c r="Q15" s="11"/>
    </row>
    <row r="16" spans="1:17" x14ac:dyDescent="0.2">
      <c r="A16" s="11"/>
      <c r="B16" s="11"/>
      <c r="C16" s="11"/>
      <c r="D16" s="11"/>
      <c r="E16" s="11"/>
      <c r="F16" s="11"/>
      <c r="G16" s="11"/>
      <c r="H16" s="11"/>
      <c r="I16" s="11"/>
      <c r="J16" s="11"/>
      <c r="K16" s="11"/>
      <c r="L16" s="11"/>
      <c r="M16" s="11"/>
      <c r="N16" s="11"/>
      <c r="O16" s="11"/>
      <c r="P16" s="11"/>
      <c r="Q16" s="11"/>
    </row>
    <row r="17" spans="1:17" x14ac:dyDescent="0.2">
      <c r="A17" s="11"/>
      <c r="B17" s="11"/>
      <c r="C17" s="11"/>
      <c r="D17" s="11"/>
      <c r="E17" s="11"/>
      <c r="F17" s="11"/>
      <c r="G17" s="11"/>
      <c r="H17" s="11"/>
      <c r="I17" s="11"/>
      <c r="J17" s="11"/>
      <c r="K17" s="11"/>
      <c r="L17" s="11"/>
      <c r="M17" s="11"/>
      <c r="N17" s="11"/>
      <c r="O17" s="11"/>
      <c r="P17" s="11"/>
      <c r="Q17" s="11"/>
    </row>
    <row r="18" spans="1:17" x14ac:dyDescent="0.2">
      <c r="A18" s="11"/>
      <c r="B18" s="11"/>
      <c r="C18" s="11"/>
      <c r="D18" s="11"/>
      <c r="E18" s="11"/>
      <c r="F18" s="11"/>
      <c r="G18" s="11"/>
      <c r="H18" s="11"/>
      <c r="I18" s="11"/>
      <c r="J18" s="11"/>
      <c r="K18" s="11"/>
      <c r="L18" s="11"/>
      <c r="M18" s="11"/>
      <c r="N18" s="11"/>
      <c r="O18" s="11"/>
      <c r="P18" s="11"/>
      <c r="Q18" s="11"/>
    </row>
    <row r="19" spans="1:17" x14ac:dyDescent="0.2">
      <c r="A19" s="11"/>
      <c r="B19" s="11"/>
      <c r="C19" s="11"/>
      <c r="D19" s="11"/>
      <c r="E19" s="11"/>
      <c r="F19" s="11"/>
      <c r="G19" s="11"/>
      <c r="H19" s="11"/>
      <c r="I19" s="11"/>
      <c r="J19" s="11"/>
      <c r="K19" s="11"/>
      <c r="L19" s="11"/>
      <c r="M19" s="11"/>
      <c r="N19" s="11"/>
      <c r="O19" s="11"/>
      <c r="P19" s="11"/>
      <c r="Q19" s="11"/>
    </row>
    <row r="20" spans="1:17" x14ac:dyDescent="0.2">
      <c r="A20" s="11"/>
      <c r="B20" s="11"/>
      <c r="C20" s="11"/>
      <c r="D20" s="11"/>
      <c r="E20" s="11"/>
      <c r="F20" s="11"/>
      <c r="G20" s="11"/>
      <c r="H20" s="11"/>
      <c r="I20" s="11"/>
      <c r="J20" s="11"/>
      <c r="K20" s="11"/>
      <c r="L20" s="11"/>
      <c r="M20" s="11"/>
      <c r="N20" s="11"/>
      <c r="O20" s="11"/>
      <c r="P20" s="11"/>
      <c r="Q20" s="11"/>
    </row>
    <row r="22" spans="1:17" x14ac:dyDescent="0.2">
      <c r="A22" s="12" t="s">
        <v>240</v>
      </c>
    </row>
    <row r="23" spans="1:17" x14ac:dyDescent="0.2">
      <c r="A23" s="2" t="s">
        <v>127</v>
      </c>
      <c r="B23" s="2" t="s">
        <v>128</v>
      </c>
      <c r="C23" s="2" t="s">
        <v>27</v>
      </c>
    </row>
    <row r="24" spans="1:17" x14ac:dyDescent="0.2">
      <c r="A24" t="s">
        <v>127</v>
      </c>
      <c r="B24" t="s">
        <v>241</v>
      </c>
      <c r="C24" s="3"/>
    </row>
    <row r="25" spans="1:17" x14ac:dyDescent="0.2">
      <c r="A25" t="s">
        <v>127</v>
      </c>
      <c r="B25" t="s">
        <v>242</v>
      </c>
      <c r="C25" s="3"/>
    </row>
    <row r="26" spans="1:17" x14ac:dyDescent="0.2">
      <c r="A26" t="s">
        <v>127</v>
      </c>
      <c r="B26" t="s">
        <v>243</v>
      </c>
      <c r="C26" s="3"/>
    </row>
    <row r="27" spans="1:17" x14ac:dyDescent="0.2">
      <c r="A27" t="s">
        <v>127</v>
      </c>
      <c r="B27" t="s">
        <v>244</v>
      </c>
      <c r="C27" s="3"/>
    </row>
    <row r="28" spans="1:17" x14ac:dyDescent="0.2">
      <c r="A28" t="s">
        <v>127</v>
      </c>
      <c r="B28" t="s">
        <v>245</v>
      </c>
      <c r="C28" s="3"/>
    </row>
    <row r="29" spans="1:17" x14ac:dyDescent="0.2">
      <c r="A29" t="s">
        <v>127</v>
      </c>
      <c r="B29" t="s">
        <v>246</v>
      </c>
      <c r="C29" s="3"/>
    </row>
    <row r="30" spans="1:17" x14ac:dyDescent="0.2">
      <c r="A30" t="s">
        <v>127</v>
      </c>
      <c r="B30" t="s">
        <v>247</v>
      </c>
      <c r="C30" s="3"/>
    </row>
    <row r="31" spans="1:17" x14ac:dyDescent="0.2">
      <c r="A31" t="s">
        <v>127</v>
      </c>
      <c r="B31" t="s">
        <v>248</v>
      </c>
      <c r="C31" s="3"/>
    </row>
    <row r="32" spans="1:17" x14ac:dyDescent="0.2">
      <c r="A32" t="s">
        <v>127</v>
      </c>
      <c r="B32" t="s">
        <v>249</v>
      </c>
      <c r="C32" s="3"/>
    </row>
    <row r="33" spans="1:17" x14ac:dyDescent="0.2">
      <c r="A33" t="s">
        <v>127</v>
      </c>
      <c r="B33" t="s">
        <v>250</v>
      </c>
      <c r="C33" s="3"/>
    </row>
    <row r="34" spans="1:17" x14ac:dyDescent="0.2">
      <c r="A34" t="s">
        <v>127</v>
      </c>
      <c r="B34" t="s">
        <v>251</v>
      </c>
      <c r="C34" s="3"/>
    </row>
    <row r="35" spans="1:17" x14ac:dyDescent="0.2">
      <c r="A35" t="s">
        <v>127</v>
      </c>
      <c r="B35" t="s">
        <v>252</v>
      </c>
      <c r="C35" s="3"/>
    </row>
    <row r="36" spans="1:17" x14ac:dyDescent="0.2">
      <c r="A36" s="2" t="s">
        <v>139</v>
      </c>
      <c r="B36" s="13" t="e">
        <f>COUNTIF(C24:C35,"Yes")/COUNTA(C24:C35)*100&amp;"%"</f>
        <v>#DIV/0!</v>
      </c>
    </row>
    <row r="38" spans="1:17" x14ac:dyDescent="0.2">
      <c r="A38" s="33" t="s">
        <v>140</v>
      </c>
      <c r="B38" s="19"/>
      <c r="C38" s="19"/>
      <c r="D38" s="19"/>
      <c r="E38" s="19"/>
      <c r="F38" s="19"/>
      <c r="G38" s="19"/>
      <c r="H38" s="19"/>
      <c r="I38" s="19"/>
      <c r="J38" s="19"/>
      <c r="K38" s="19"/>
      <c r="L38" s="19"/>
      <c r="M38" s="19"/>
      <c r="N38" s="19"/>
      <c r="O38" s="19"/>
      <c r="P38" s="19"/>
      <c r="Q38" s="19"/>
    </row>
    <row r="39" spans="1:17" x14ac:dyDescent="0.2">
      <c r="A39" s="2" t="s">
        <v>141</v>
      </c>
      <c r="B39" s="20"/>
      <c r="C39" s="21"/>
      <c r="D39" s="22"/>
    </row>
    <row r="40" spans="1:17" x14ac:dyDescent="0.2">
      <c r="A40" s="2" t="s">
        <v>142</v>
      </c>
      <c r="B40" s="20"/>
      <c r="C40" s="21"/>
      <c r="D40" s="22"/>
    </row>
    <row r="41" spans="1:17" x14ac:dyDescent="0.2">
      <c r="A41" s="2" t="s">
        <v>143</v>
      </c>
      <c r="B41" s="20"/>
      <c r="C41" s="21"/>
      <c r="D41" s="22"/>
    </row>
    <row r="42" spans="1:17" x14ac:dyDescent="0.2">
      <c r="A42" s="2" t="s">
        <v>144</v>
      </c>
      <c r="B42" s="20"/>
      <c r="C42" s="21"/>
      <c r="D42" s="22"/>
    </row>
    <row r="43" spans="1:17" x14ac:dyDescent="0.2">
      <c r="A43" s="2" t="s">
        <v>145</v>
      </c>
      <c r="B43" s="20"/>
      <c r="C43" s="21"/>
      <c r="D43" s="22"/>
    </row>
    <row r="44" spans="1:17" x14ac:dyDescent="0.2">
      <c r="A44" s="2" t="s">
        <v>146</v>
      </c>
      <c r="B44" s="20"/>
      <c r="C44" s="21"/>
      <c r="D44" s="22"/>
    </row>
    <row r="45" spans="1:17" x14ac:dyDescent="0.2">
      <c r="A45" s="2" t="s">
        <v>147</v>
      </c>
      <c r="B45" s="20"/>
      <c r="C45" s="21"/>
      <c r="D45" s="22"/>
    </row>
    <row r="46" spans="1:17" x14ac:dyDescent="0.2">
      <c r="A46" s="2" t="s">
        <v>148</v>
      </c>
      <c r="B46" s="20"/>
      <c r="C46" s="21"/>
      <c r="D46" s="22"/>
    </row>
    <row r="47" spans="1:17" x14ac:dyDescent="0.2">
      <c r="A47" s="2" t="s">
        <v>149</v>
      </c>
      <c r="B47" s="20"/>
      <c r="C47" s="21"/>
      <c r="D47" s="22"/>
    </row>
    <row r="48" spans="1:17" x14ac:dyDescent="0.2">
      <c r="A48" s="2" t="s">
        <v>150</v>
      </c>
      <c r="B48" s="20"/>
      <c r="C48" s="21"/>
      <c r="D48" s="22"/>
    </row>
    <row r="49" spans="1:17" x14ac:dyDescent="0.2">
      <c r="A49" s="2" t="s">
        <v>151</v>
      </c>
      <c r="B49" s="20"/>
      <c r="C49" s="21"/>
      <c r="D49" s="22"/>
    </row>
    <row r="51" spans="1:17" x14ac:dyDescent="0.2">
      <c r="A51" s="32" t="s">
        <v>152</v>
      </c>
      <c r="B51" s="19"/>
      <c r="C51" s="19"/>
      <c r="D51" s="19"/>
      <c r="E51" s="19"/>
      <c r="F51" s="19"/>
      <c r="G51" s="19"/>
      <c r="H51" s="19"/>
      <c r="I51" s="19"/>
      <c r="J51" s="19"/>
      <c r="K51" s="19"/>
      <c r="L51" s="19"/>
      <c r="M51" s="19"/>
      <c r="N51" s="19"/>
      <c r="O51" s="19"/>
      <c r="P51" s="19"/>
      <c r="Q51" s="19"/>
    </row>
    <row r="52" spans="1:17" x14ac:dyDescent="0.2">
      <c r="A52" s="24"/>
      <c r="B52" s="25"/>
      <c r="C52" s="25"/>
      <c r="D52" s="25"/>
      <c r="E52" s="25"/>
      <c r="F52" s="25"/>
      <c r="G52" s="25"/>
      <c r="H52" s="25"/>
      <c r="I52" s="25"/>
      <c r="J52" s="25"/>
      <c r="K52" s="25"/>
      <c r="L52" s="25"/>
      <c r="M52" s="25"/>
      <c r="N52" s="25"/>
      <c r="O52" s="25"/>
      <c r="P52" s="25"/>
      <c r="Q52" s="26"/>
    </row>
    <row r="53" spans="1:17" x14ac:dyDescent="0.2">
      <c r="A53" s="27"/>
      <c r="B53" s="19"/>
      <c r="C53" s="19"/>
      <c r="D53" s="19"/>
      <c r="E53" s="19"/>
      <c r="F53" s="19"/>
      <c r="G53" s="19"/>
      <c r="H53" s="19"/>
      <c r="I53" s="19"/>
      <c r="J53" s="19"/>
      <c r="K53" s="19"/>
      <c r="L53" s="19"/>
      <c r="M53" s="19"/>
      <c r="N53" s="19"/>
      <c r="O53" s="19"/>
      <c r="P53" s="19"/>
      <c r="Q53" s="28"/>
    </row>
    <row r="54" spans="1:17" x14ac:dyDescent="0.2">
      <c r="A54" s="27"/>
      <c r="B54" s="19"/>
      <c r="C54" s="19"/>
      <c r="D54" s="19"/>
      <c r="E54" s="19"/>
      <c r="F54" s="19"/>
      <c r="G54" s="19"/>
      <c r="H54" s="19"/>
      <c r="I54" s="19"/>
      <c r="J54" s="19"/>
      <c r="K54" s="19"/>
      <c r="L54" s="19"/>
      <c r="M54" s="19"/>
      <c r="N54" s="19"/>
      <c r="O54" s="19"/>
      <c r="P54" s="19"/>
      <c r="Q54" s="28"/>
    </row>
    <row r="55" spans="1:17" x14ac:dyDescent="0.2">
      <c r="A55" s="27"/>
      <c r="B55" s="19"/>
      <c r="C55" s="19"/>
      <c r="D55" s="19"/>
      <c r="E55" s="19"/>
      <c r="F55" s="19"/>
      <c r="G55" s="19"/>
      <c r="H55" s="19"/>
      <c r="I55" s="19"/>
      <c r="J55" s="19"/>
      <c r="K55" s="19"/>
      <c r="L55" s="19"/>
      <c r="M55" s="19"/>
      <c r="N55" s="19"/>
      <c r="O55" s="19"/>
      <c r="P55" s="19"/>
      <c r="Q55" s="28"/>
    </row>
    <row r="56" spans="1:17" x14ac:dyDescent="0.2">
      <c r="A56" s="27"/>
      <c r="B56" s="19"/>
      <c r="C56" s="19"/>
      <c r="D56" s="19"/>
      <c r="E56" s="19"/>
      <c r="F56" s="19"/>
      <c r="G56" s="19"/>
      <c r="H56" s="19"/>
      <c r="I56" s="19"/>
      <c r="J56" s="19"/>
      <c r="K56" s="19"/>
      <c r="L56" s="19"/>
      <c r="M56" s="19"/>
      <c r="N56" s="19"/>
      <c r="O56" s="19"/>
      <c r="P56" s="19"/>
      <c r="Q56" s="28"/>
    </row>
    <row r="57" spans="1:17" x14ac:dyDescent="0.2">
      <c r="A57" s="27"/>
      <c r="B57" s="19"/>
      <c r="C57" s="19"/>
      <c r="D57" s="19"/>
      <c r="E57" s="19"/>
      <c r="F57" s="19"/>
      <c r="G57" s="19"/>
      <c r="H57" s="19"/>
      <c r="I57" s="19"/>
      <c r="J57" s="19"/>
      <c r="K57" s="19"/>
      <c r="L57" s="19"/>
      <c r="M57" s="19"/>
      <c r="N57" s="19"/>
      <c r="O57" s="19"/>
      <c r="P57" s="19"/>
      <c r="Q57" s="28"/>
    </row>
    <row r="58" spans="1:17" x14ac:dyDescent="0.2">
      <c r="A58" s="27"/>
      <c r="B58" s="19"/>
      <c r="C58" s="19"/>
      <c r="D58" s="19"/>
      <c r="E58" s="19"/>
      <c r="F58" s="19"/>
      <c r="G58" s="19"/>
      <c r="H58" s="19"/>
      <c r="I58" s="19"/>
      <c r="J58" s="19"/>
      <c r="K58" s="19"/>
      <c r="L58" s="19"/>
      <c r="M58" s="19"/>
      <c r="N58" s="19"/>
      <c r="O58" s="19"/>
      <c r="P58" s="19"/>
      <c r="Q58" s="28"/>
    </row>
    <row r="59" spans="1:17" x14ac:dyDescent="0.2">
      <c r="A59" s="27"/>
      <c r="B59" s="19"/>
      <c r="C59" s="19"/>
      <c r="D59" s="19"/>
      <c r="E59" s="19"/>
      <c r="F59" s="19"/>
      <c r="G59" s="19"/>
      <c r="H59" s="19"/>
      <c r="I59" s="19"/>
      <c r="J59" s="19"/>
      <c r="K59" s="19"/>
      <c r="L59" s="19"/>
      <c r="M59" s="19"/>
      <c r="N59" s="19"/>
      <c r="O59" s="19"/>
      <c r="P59" s="19"/>
      <c r="Q59" s="28"/>
    </row>
    <row r="60" spans="1:17" x14ac:dyDescent="0.2">
      <c r="A60" s="29"/>
      <c r="B60" s="30"/>
      <c r="C60" s="30"/>
      <c r="D60" s="30"/>
      <c r="E60" s="30"/>
      <c r="F60" s="30"/>
      <c r="G60" s="30"/>
      <c r="H60" s="30"/>
      <c r="I60" s="30"/>
      <c r="J60" s="30"/>
      <c r="K60" s="30"/>
      <c r="L60" s="30"/>
      <c r="M60" s="30"/>
      <c r="N60" s="30"/>
      <c r="O60" s="30"/>
      <c r="P60" s="30"/>
      <c r="Q60" s="31"/>
    </row>
  </sheetData>
  <mergeCells count="16">
    <mergeCell ref="A1:Q1"/>
    <mergeCell ref="B48:D48"/>
    <mergeCell ref="A52:Q60"/>
    <mergeCell ref="B49:D49"/>
    <mergeCell ref="B40:D40"/>
    <mergeCell ref="A38:Q38"/>
    <mergeCell ref="B44:D44"/>
    <mergeCell ref="A51:Q51"/>
    <mergeCell ref="B43:D43"/>
    <mergeCell ref="B39:D39"/>
    <mergeCell ref="B42:D42"/>
    <mergeCell ref="B47:D47"/>
    <mergeCell ref="A3:Q3"/>
    <mergeCell ref="B45:D45"/>
    <mergeCell ref="B41:D41"/>
    <mergeCell ref="B46:D46"/>
  </mergeCells>
  <dataValidations count="9">
    <dataValidation type="list" sqref="B8 B9 B10 B11 B12 B13 B14 B15 B16 B17 B18 B19 B20" xr:uid="{00000000-0002-0000-0300-000000000000}">
      <formula1>"Public,Internal,Confidential,Restricted,N/A"</formula1>
    </dataValidation>
    <dataValidation type="list" sqref="C8 C9 C10 C11 C12 C13 C14 C15 C16 C17 C18 C19 C20" xr:uid="{00000000-0002-0000-0300-000001000000}">
      <formula1>"Encrypted,Not Encrypted,Partially Encrypted"</formula1>
    </dataValidation>
    <dataValidation type="list" sqref="D8 D9 D10 D11 D12 D13 D14 D15 D16 D17 D18 D19 D20" xr:uid="{00000000-0002-0000-0300-000002000000}">
      <formula1>"Full Disk,File-level,Database TDE,Volume,Container,Application-level,Hardware-based,N/A"</formula1>
    </dataValidation>
    <dataValidation type="list" sqref="F8 F9 F10 F11 F12 F13 F14 F15 F16 F17 F18 F19 F20" xr:uid="{00000000-0002-0000-0300-000003000000}">
      <formula1>"HSM,Cloud KMS,TPM,Software-based,Manual,Vendor-managed,N/A"</formula1>
    </dataValidation>
    <dataValidation type="list" sqref="G8:G20 C24:C35" xr:uid="{00000000-0002-0000-0300-000004000000}">
      <formula1>"Yes,No,N/A"</formula1>
    </dataValidation>
    <dataValidation type="list" sqref="H8 H9 H10 H11 H12 H13 H14 H15 H16 H17 H18 H19 H20" xr:uid="{00000000-0002-0000-0300-000005000000}">
      <formula1>"✅ Compliant,⚠️ Partial,❌ Non-Compliant,N/A"</formula1>
    </dataValidation>
    <dataValidation type="list" sqref="K8:K20 B39 B41" xr:uid="{00000000-0002-0000-0300-000006000000}">
      <formula1>"Yes,No"</formula1>
    </dataValidation>
    <dataValidation type="list" sqref="Q8 Q9 Q10 Q11 Q12 Q13 Q14 Q15 Q16 Q17 Q18 Q19 Q20" xr:uid="{00000000-0002-0000-0300-000007000000}">
      <formula1>"Yes,No,Unknown"</formula1>
    </dataValidation>
    <dataValidation type="list" sqref="B4" xr:uid="{00000000-0002-0000-0300-000008000000}">
      <formula1>"Yes,No,Not Applicable"</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68"/>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60" customWidth="1"/>
    <col min="3" max="3" width="15" customWidth="1"/>
    <col min="4" max="4" width="20" customWidth="1"/>
    <col min="5" max="5" width="18" customWidth="1"/>
    <col min="6" max="6" width="22" customWidth="1"/>
    <col min="7" max="7" width="16" customWidth="1"/>
    <col min="8" max="8" width="15" customWidth="1"/>
    <col min="9" max="9" width="28" customWidth="1"/>
    <col min="10" max="10" width="30" customWidth="1"/>
    <col min="11" max="13" width="14" customWidth="1"/>
    <col min="14" max="14" width="30" customWidth="1"/>
    <col min="15" max="15" width="20" customWidth="1"/>
    <col min="16" max="16" width="14" customWidth="1"/>
    <col min="17" max="17" width="15" customWidth="1"/>
  </cols>
  <sheetData>
    <row r="1" spans="1:17" ht="40" customHeight="1" x14ac:dyDescent="0.2">
      <c r="A1" s="18" t="s">
        <v>253</v>
      </c>
      <c r="B1" s="19"/>
      <c r="C1" s="19"/>
      <c r="D1" s="19"/>
      <c r="E1" s="19"/>
      <c r="F1" s="19"/>
      <c r="G1" s="19"/>
      <c r="H1" s="19"/>
      <c r="I1" s="19"/>
      <c r="J1" s="19"/>
      <c r="K1" s="19"/>
      <c r="L1" s="19"/>
      <c r="M1" s="19"/>
      <c r="N1" s="19"/>
      <c r="O1" s="19"/>
      <c r="P1" s="19"/>
      <c r="Q1" s="19"/>
    </row>
    <row r="3" spans="1:17" ht="30" customHeight="1" x14ac:dyDescent="0.2">
      <c r="A3" s="23" t="s">
        <v>254</v>
      </c>
      <c r="B3" s="19"/>
      <c r="C3" s="19"/>
      <c r="D3" s="19"/>
      <c r="E3" s="19"/>
      <c r="F3" s="19"/>
      <c r="G3" s="19"/>
      <c r="H3" s="19"/>
      <c r="I3" s="19"/>
      <c r="J3" s="19"/>
      <c r="K3" s="19"/>
      <c r="L3" s="19"/>
      <c r="M3" s="19"/>
      <c r="N3" s="19"/>
      <c r="O3" s="19"/>
      <c r="P3" s="19"/>
      <c r="Q3" s="19"/>
    </row>
    <row r="4" spans="1:17" x14ac:dyDescent="0.2">
      <c r="A4" s="2" t="s">
        <v>55</v>
      </c>
      <c r="B4" s="3"/>
    </row>
    <row r="6" spans="1:17" ht="30" x14ac:dyDescent="0.2">
      <c r="A6" s="4" t="s">
        <v>56</v>
      </c>
      <c r="B6" s="4" t="s">
        <v>57</v>
      </c>
      <c r="C6" s="4" t="s">
        <v>58</v>
      </c>
      <c r="D6" s="4" t="s">
        <v>59</v>
      </c>
      <c r="E6" s="4" t="s">
        <v>60</v>
      </c>
      <c r="F6" s="4" t="s">
        <v>61</v>
      </c>
      <c r="G6" s="4" t="s">
        <v>62</v>
      </c>
      <c r="H6" s="4" t="s">
        <v>27</v>
      </c>
      <c r="I6" s="4" t="s">
        <v>63</v>
      </c>
      <c r="J6" s="4" t="s">
        <v>64</v>
      </c>
      <c r="K6" s="4" t="s">
        <v>65</v>
      </c>
      <c r="L6" s="4" t="s">
        <v>66</v>
      </c>
      <c r="M6" s="4" t="s">
        <v>67</v>
      </c>
      <c r="N6" s="4" t="s">
        <v>68</v>
      </c>
      <c r="O6" s="4" t="s">
        <v>69</v>
      </c>
      <c r="P6" s="4" t="s">
        <v>70</v>
      </c>
      <c r="Q6" s="4" t="s">
        <v>71</v>
      </c>
    </row>
    <row r="7" spans="1:17" ht="32" x14ac:dyDescent="0.2">
      <c r="A7" s="10" t="s">
        <v>72</v>
      </c>
      <c r="B7" s="10" t="s">
        <v>73</v>
      </c>
      <c r="C7" s="10" t="s">
        <v>74</v>
      </c>
      <c r="D7" s="10" t="s">
        <v>75</v>
      </c>
      <c r="E7" s="10" t="s">
        <v>76</v>
      </c>
      <c r="F7" s="10" t="s">
        <v>77</v>
      </c>
      <c r="G7" s="10" t="s">
        <v>78</v>
      </c>
      <c r="H7" s="10" t="s">
        <v>79</v>
      </c>
      <c r="I7" s="10" t="s">
        <v>80</v>
      </c>
      <c r="J7" s="10" t="s">
        <v>81</v>
      </c>
      <c r="K7" s="10" t="s">
        <v>82</v>
      </c>
      <c r="L7" s="10" t="s">
        <v>38</v>
      </c>
      <c r="M7" s="10" t="s">
        <v>38</v>
      </c>
      <c r="N7" s="10" t="s">
        <v>38</v>
      </c>
      <c r="O7" s="10" t="s">
        <v>38</v>
      </c>
      <c r="P7" s="10" t="s">
        <v>38</v>
      </c>
      <c r="Q7" s="10" t="s">
        <v>82</v>
      </c>
    </row>
    <row r="8" spans="1:17" ht="16" x14ac:dyDescent="0.2">
      <c r="A8" s="11" t="s">
        <v>255</v>
      </c>
      <c r="B8" s="11" t="s">
        <v>73</v>
      </c>
      <c r="C8" s="11" t="s">
        <v>256</v>
      </c>
      <c r="D8" s="11" t="s">
        <v>257</v>
      </c>
      <c r="E8" s="11" t="s">
        <v>230</v>
      </c>
      <c r="F8" s="11" t="s">
        <v>258</v>
      </c>
      <c r="G8" s="11" t="s">
        <v>259</v>
      </c>
      <c r="H8" s="11" t="s">
        <v>79</v>
      </c>
      <c r="I8" s="11" t="s">
        <v>260</v>
      </c>
      <c r="J8" s="11"/>
      <c r="K8" s="11" t="s">
        <v>82</v>
      </c>
      <c r="L8" s="11"/>
      <c r="M8" s="11"/>
      <c r="N8" s="11"/>
      <c r="O8" s="11"/>
      <c r="P8" s="11"/>
      <c r="Q8" s="11"/>
    </row>
    <row r="9" spans="1:17" ht="16" x14ac:dyDescent="0.2">
      <c r="A9" s="11" t="s">
        <v>261</v>
      </c>
      <c r="B9" s="11" t="s">
        <v>84</v>
      </c>
      <c r="C9" s="11" t="s">
        <v>262</v>
      </c>
      <c r="D9" s="11" t="s">
        <v>257</v>
      </c>
      <c r="E9" s="11" t="s">
        <v>263</v>
      </c>
      <c r="F9" s="11" t="s">
        <v>264</v>
      </c>
      <c r="G9" s="11" t="s">
        <v>259</v>
      </c>
      <c r="H9" s="11" t="s">
        <v>79</v>
      </c>
      <c r="I9" s="11" t="s">
        <v>265</v>
      </c>
      <c r="J9" s="11"/>
      <c r="K9" s="11" t="s">
        <v>82</v>
      </c>
      <c r="L9" s="11"/>
      <c r="M9" s="11"/>
      <c r="N9" s="11"/>
      <c r="O9" s="11"/>
      <c r="P9" s="11"/>
      <c r="Q9" s="11"/>
    </row>
    <row r="10" spans="1:17" ht="32" x14ac:dyDescent="0.2">
      <c r="A10" s="11" t="s">
        <v>266</v>
      </c>
      <c r="B10" s="11" t="s">
        <v>73</v>
      </c>
      <c r="C10" s="11" t="s">
        <v>267</v>
      </c>
      <c r="D10" s="11" t="s">
        <v>268</v>
      </c>
      <c r="E10" s="11" t="s">
        <v>76</v>
      </c>
      <c r="F10" s="11" t="s">
        <v>269</v>
      </c>
      <c r="G10" s="11" t="s">
        <v>259</v>
      </c>
      <c r="H10" s="11" t="s">
        <v>79</v>
      </c>
      <c r="I10" s="11" t="s">
        <v>270</v>
      </c>
      <c r="J10" s="11"/>
      <c r="K10" s="11" t="s">
        <v>82</v>
      </c>
      <c r="L10" s="11"/>
      <c r="M10" s="11"/>
      <c r="N10" s="11"/>
      <c r="O10" s="11"/>
      <c r="P10" s="11"/>
      <c r="Q10" s="11"/>
    </row>
    <row r="11" spans="1:17" ht="32" x14ac:dyDescent="0.2">
      <c r="A11" s="11" t="s">
        <v>271</v>
      </c>
      <c r="B11" s="11" t="s">
        <v>102</v>
      </c>
      <c r="C11" s="11" t="s">
        <v>272</v>
      </c>
      <c r="D11" s="11" t="s">
        <v>273</v>
      </c>
      <c r="E11" s="11" t="s">
        <v>230</v>
      </c>
      <c r="F11" s="11" t="s">
        <v>274</v>
      </c>
      <c r="G11" s="11" t="s">
        <v>82</v>
      </c>
      <c r="H11" s="11" t="s">
        <v>106</v>
      </c>
      <c r="I11" s="11" t="s">
        <v>275</v>
      </c>
      <c r="J11" s="11" t="s">
        <v>276</v>
      </c>
      <c r="K11" s="11" t="s">
        <v>78</v>
      </c>
      <c r="L11" s="11"/>
      <c r="M11" s="11"/>
      <c r="N11" s="11"/>
      <c r="O11" s="11"/>
      <c r="P11" s="11"/>
      <c r="Q11" s="11"/>
    </row>
    <row r="12" spans="1:17" ht="32" x14ac:dyDescent="0.2">
      <c r="A12" s="11" t="s">
        <v>277</v>
      </c>
      <c r="B12" s="11" t="s">
        <v>102</v>
      </c>
      <c r="C12" s="11" t="s">
        <v>278</v>
      </c>
      <c r="D12" s="11" t="s">
        <v>279</v>
      </c>
      <c r="E12" s="11" t="s">
        <v>76</v>
      </c>
      <c r="F12" s="11" t="s">
        <v>280</v>
      </c>
      <c r="G12" s="11" t="s">
        <v>82</v>
      </c>
      <c r="H12" s="11" t="s">
        <v>106</v>
      </c>
      <c r="I12" s="11" t="s">
        <v>281</v>
      </c>
      <c r="J12" s="11" t="s">
        <v>282</v>
      </c>
      <c r="K12" s="11" t="s">
        <v>78</v>
      </c>
      <c r="L12" s="11"/>
      <c r="M12" s="11"/>
      <c r="N12" s="11"/>
      <c r="O12" s="11"/>
      <c r="P12" s="11"/>
      <c r="Q12" s="11"/>
    </row>
    <row r="13" spans="1:17" ht="32" x14ac:dyDescent="0.2">
      <c r="A13" s="11" t="s">
        <v>283</v>
      </c>
      <c r="B13" s="11" t="s">
        <v>84</v>
      </c>
      <c r="C13" s="11" t="s">
        <v>284</v>
      </c>
      <c r="D13" s="11" t="s">
        <v>257</v>
      </c>
      <c r="E13" s="11" t="s">
        <v>285</v>
      </c>
      <c r="F13" s="11" t="s">
        <v>286</v>
      </c>
      <c r="G13" s="11" t="s">
        <v>82</v>
      </c>
      <c r="H13" s="11" t="s">
        <v>106</v>
      </c>
      <c r="I13" s="11" t="s">
        <v>287</v>
      </c>
      <c r="J13" s="11" t="s">
        <v>288</v>
      </c>
      <c r="K13" s="11" t="s">
        <v>78</v>
      </c>
      <c r="L13" s="11"/>
      <c r="M13" s="11"/>
      <c r="N13" s="11"/>
      <c r="O13" s="11"/>
      <c r="P13" s="11"/>
      <c r="Q13" s="11"/>
    </row>
    <row r="14" spans="1:17" ht="16" x14ac:dyDescent="0.2">
      <c r="A14" s="11" t="s">
        <v>289</v>
      </c>
      <c r="B14" s="11" t="s">
        <v>84</v>
      </c>
      <c r="C14" s="11" t="s">
        <v>290</v>
      </c>
      <c r="D14" s="11" t="s">
        <v>291</v>
      </c>
      <c r="E14" s="11" t="s">
        <v>76</v>
      </c>
      <c r="F14" s="11" t="s">
        <v>292</v>
      </c>
      <c r="G14" s="11" t="s">
        <v>234</v>
      </c>
      <c r="H14" s="11" t="s">
        <v>106</v>
      </c>
      <c r="I14" s="11" t="s">
        <v>293</v>
      </c>
      <c r="J14" s="11" t="s">
        <v>236</v>
      </c>
      <c r="K14" s="11" t="s">
        <v>78</v>
      </c>
      <c r="L14" s="11"/>
      <c r="M14" s="11"/>
      <c r="N14" s="11"/>
      <c r="O14" s="11"/>
      <c r="P14" s="11"/>
      <c r="Q14" s="11"/>
    </row>
    <row r="15" spans="1:17" ht="16" x14ac:dyDescent="0.2">
      <c r="A15" s="11" t="s">
        <v>294</v>
      </c>
      <c r="B15" s="11" t="s">
        <v>84</v>
      </c>
      <c r="C15" s="11" t="s">
        <v>262</v>
      </c>
      <c r="D15" s="11" t="s">
        <v>257</v>
      </c>
      <c r="E15" s="11" t="s">
        <v>76</v>
      </c>
      <c r="F15" s="11" t="s">
        <v>295</v>
      </c>
      <c r="G15" s="11" t="s">
        <v>234</v>
      </c>
      <c r="H15" s="11" t="s">
        <v>106</v>
      </c>
      <c r="I15" s="11" t="s">
        <v>296</v>
      </c>
      <c r="J15" s="11" t="s">
        <v>297</v>
      </c>
      <c r="K15" s="11" t="s">
        <v>78</v>
      </c>
      <c r="L15" s="11"/>
      <c r="M15" s="11"/>
      <c r="N15" s="11"/>
      <c r="O15" s="11"/>
      <c r="P15" s="11"/>
      <c r="Q15" s="11"/>
    </row>
    <row r="16" spans="1:17" ht="16" x14ac:dyDescent="0.2">
      <c r="A16" s="11" t="s">
        <v>298</v>
      </c>
      <c r="B16" s="11" t="s">
        <v>84</v>
      </c>
      <c r="C16" s="11" t="s">
        <v>299</v>
      </c>
      <c r="D16" s="11" t="s">
        <v>300</v>
      </c>
      <c r="E16" s="11" t="s">
        <v>76</v>
      </c>
      <c r="F16" s="11" t="s">
        <v>258</v>
      </c>
      <c r="G16" s="11" t="s">
        <v>301</v>
      </c>
      <c r="H16" s="11" t="s">
        <v>79</v>
      </c>
      <c r="I16" s="11" t="s">
        <v>302</v>
      </c>
      <c r="J16" s="11"/>
      <c r="K16" s="11" t="s">
        <v>82</v>
      </c>
      <c r="L16" s="11"/>
      <c r="M16" s="11"/>
      <c r="N16" s="11"/>
      <c r="O16" s="11"/>
      <c r="P16" s="11"/>
      <c r="Q16" s="11"/>
    </row>
    <row r="17" spans="1:17" ht="32" x14ac:dyDescent="0.2">
      <c r="A17" s="11" t="s">
        <v>303</v>
      </c>
      <c r="B17" s="11" t="s">
        <v>113</v>
      </c>
      <c r="C17" s="11" t="s">
        <v>81</v>
      </c>
      <c r="D17" s="11" t="s">
        <v>81</v>
      </c>
      <c r="E17" s="11" t="s">
        <v>81</v>
      </c>
      <c r="F17" s="11" t="s">
        <v>81</v>
      </c>
      <c r="G17" s="11" t="s">
        <v>82</v>
      </c>
      <c r="H17" s="11" t="s">
        <v>118</v>
      </c>
      <c r="I17" s="11" t="s">
        <v>304</v>
      </c>
      <c r="J17" s="11" t="s">
        <v>305</v>
      </c>
      <c r="K17" s="11" t="s">
        <v>78</v>
      </c>
      <c r="L17" s="11"/>
      <c r="M17" s="11"/>
      <c r="N17" s="11"/>
      <c r="O17" s="11"/>
      <c r="P17" s="11"/>
      <c r="Q17" s="11"/>
    </row>
    <row r="18" spans="1:17" x14ac:dyDescent="0.2">
      <c r="A18" s="11"/>
      <c r="B18" s="11"/>
      <c r="C18" s="11"/>
      <c r="D18" s="11"/>
      <c r="E18" s="11"/>
      <c r="F18" s="11"/>
      <c r="G18" s="11"/>
      <c r="H18" s="11"/>
      <c r="I18" s="11"/>
      <c r="J18" s="11"/>
      <c r="K18" s="11"/>
      <c r="L18" s="11"/>
      <c r="M18" s="11"/>
      <c r="N18" s="11"/>
      <c r="O18" s="11"/>
      <c r="P18" s="11"/>
      <c r="Q18" s="11"/>
    </row>
    <row r="19" spans="1:17" x14ac:dyDescent="0.2">
      <c r="A19" s="11"/>
      <c r="B19" s="11"/>
      <c r="C19" s="11"/>
      <c r="D19" s="11"/>
      <c r="E19" s="11"/>
      <c r="F19" s="11"/>
      <c r="G19" s="11"/>
      <c r="H19" s="11"/>
      <c r="I19" s="11"/>
      <c r="J19" s="11"/>
      <c r="K19" s="11"/>
      <c r="L19" s="11"/>
      <c r="M19" s="11"/>
      <c r="N19" s="11"/>
      <c r="O19" s="11"/>
      <c r="P19" s="11"/>
      <c r="Q19" s="11"/>
    </row>
    <row r="20" spans="1:17" x14ac:dyDescent="0.2">
      <c r="A20" s="11"/>
      <c r="B20" s="11"/>
      <c r="C20" s="11"/>
      <c r="D20" s="11"/>
      <c r="E20" s="11"/>
      <c r="F20" s="11"/>
      <c r="G20" s="11"/>
      <c r="H20" s="11"/>
      <c r="I20" s="11"/>
      <c r="J20" s="11"/>
      <c r="K20" s="11"/>
      <c r="L20" s="11"/>
      <c r="M20" s="11"/>
      <c r="N20" s="11"/>
      <c r="O20" s="11"/>
      <c r="P20" s="11"/>
      <c r="Q20" s="11"/>
    </row>
    <row r="22" spans="1:17" x14ac:dyDescent="0.2">
      <c r="A22" s="12" t="s">
        <v>306</v>
      </c>
    </row>
    <row r="23" spans="1:17" x14ac:dyDescent="0.2">
      <c r="A23" s="2" t="s">
        <v>127</v>
      </c>
      <c r="B23" s="2" t="s">
        <v>128</v>
      </c>
      <c r="C23" s="2" t="s">
        <v>27</v>
      </c>
    </row>
    <row r="24" spans="1:17" x14ac:dyDescent="0.2">
      <c r="A24" t="s">
        <v>127</v>
      </c>
      <c r="B24" t="s">
        <v>307</v>
      </c>
      <c r="C24" s="3"/>
    </row>
    <row r="25" spans="1:17" x14ac:dyDescent="0.2">
      <c r="A25" t="s">
        <v>127</v>
      </c>
      <c r="B25" t="s">
        <v>308</v>
      </c>
      <c r="C25" s="3"/>
    </row>
    <row r="26" spans="1:17" x14ac:dyDescent="0.2">
      <c r="A26" t="s">
        <v>127</v>
      </c>
      <c r="B26" t="s">
        <v>309</v>
      </c>
      <c r="C26" s="3"/>
    </row>
    <row r="27" spans="1:17" x14ac:dyDescent="0.2">
      <c r="A27" t="s">
        <v>127</v>
      </c>
      <c r="B27" t="s">
        <v>310</v>
      </c>
      <c r="C27" s="3"/>
    </row>
    <row r="28" spans="1:17" x14ac:dyDescent="0.2">
      <c r="A28" t="s">
        <v>127</v>
      </c>
      <c r="B28" t="s">
        <v>311</v>
      </c>
      <c r="C28" s="3"/>
    </row>
    <row r="29" spans="1:17" x14ac:dyDescent="0.2">
      <c r="A29" t="s">
        <v>127</v>
      </c>
      <c r="B29" t="s">
        <v>312</v>
      </c>
      <c r="C29" s="3"/>
    </row>
    <row r="30" spans="1:17" x14ac:dyDescent="0.2">
      <c r="A30" t="s">
        <v>127</v>
      </c>
      <c r="B30" t="s">
        <v>313</v>
      </c>
      <c r="C30" s="3"/>
    </row>
    <row r="31" spans="1:17" x14ac:dyDescent="0.2">
      <c r="A31" t="s">
        <v>127</v>
      </c>
      <c r="B31" t="s">
        <v>314</v>
      </c>
      <c r="C31" s="3"/>
    </row>
    <row r="32" spans="1:17" x14ac:dyDescent="0.2">
      <c r="A32" t="s">
        <v>127</v>
      </c>
      <c r="B32" t="s">
        <v>315</v>
      </c>
      <c r="C32" s="3"/>
    </row>
    <row r="33" spans="1:17" x14ac:dyDescent="0.2">
      <c r="A33" t="s">
        <v>127</v>
      </c>
      <c r="B33" t="s">
        <v>316</v>
      </c>
      <c r="C33" s="3"/>
    </row>
    <row r="34" spans="1:17" x14ac:dyDescent="0.2">
      <c r="A34" t="s">
        <v>127</v>
      </c>
      <c r="B34" t="s">
        <v>317</v>
      </c>
      <c r="C34" s="3"/>
    </row>
    <row r="35" spans="1:17" x14ac:dyDescent="0.2">
      <c r="A35" t="s">
        <v>127</v>
      </c>
      <c r="B35" t="s">
        <v>318</v>
      </c>
      <c r="C35" s="3"/>
    </row>
    <row r="36" spans="1:17" x14ac:dyDescent="0.2">
      <c r="A36" s="2" t="s">
        <v>139</v>
      </c>
      <c r="B36" s="13" t="e">
        <f>COUNTIF(C24:C35,"Yes")/COUNTA(C24:C35)*100&amp;"%"</f>
        <v>#DIV/0!</v>
      </c>
    </row>
    <row r="38" spans="1:17" x14ac:dyDescent="0.2">
      <c r="A38" s="12" t="s">
        <v>319</v>
      </c>
    </row>
    <row r="39" spans="1:17" ht="16" x14ac:dyDescent="0.2">
      <c r="A39" s="2" t="s">
        <v>320</v>
      </c>
      <c r="B39" s="14" t="s">
        <v>321</v>
      </c>
    </row>
    <row r="40" spans="1:17" ht="16" x14ac:dyDescent="0.2">
      <c r="A40" s="2" t="s">
        <v>322</v>
      </c>
      <c r="B40" s="14" t="s">
        <v>323</v>
      </c>
    </row>
    <row r="41" spans="1:17" ht="16" x14ac:dyDescent="0.2">
      <c r="A41" s="2" t="s">
        <v>324</v>
      </c>
      <c r="B41" s="14" t="s">
        <v>325</v>
      </c>
    </row>
    <row r="42" spans="1:17" ht="16" x14ac:dyDescent="0.2">
      <c r="A42" s="2" t="s">
        <v>326</v>
      </c>
      <c r="B42" s="14" t="s">
        <v>327</v>
      </c>
    </row>
    <row r="43" spans="1:17" ht="16" x14ac:dyDescent="0.2">
      <c r="A43" s="2" t="s">
        <v>328</v>
      </c>
      <c r="B43" s="14" t="s">
        <v>272</v>
      </c>
    </row>
    <row r="44" spans="1:17" ht="16" x14ac:dyDescent="0.2">
      <c r="A44" s="2" t="s">
        <v>329</v>
      </c>
      <c r="B44" s="14" t="s">
        <v>330</v>
      </c>
    </row>
    <row r="46" spans="1:17" x14ac:dyDescent="0.2">
      <c r="A46" s="33" t="s">
        <v>140</v>
      </c>
      <c r="B46" s="19"/>
      <c r="C46" s="19"/>
      <c r="D46" s="19"/>
      <c r="E46" s="19"/>
      <c r="F46" s="19"/>
      <c r="G46" s="19"/>
      <c r="H46" s="19"/>
      <c r="I46" s="19"/>
      <c r="J46" s="19"/>
      <c r="K46" s="19"/>
      <c r="L46" s="19"/>
      <c r="M46" s="19"/>
      <c r="N46" s="19"/>
      <c r="O46" s="19"/>
      <c r="P46" s="19"/>
      <c r="Q46" s="19"/>
    </row>
    <row r="47" spans="1:17" x14ac:dyDescent="0.2">
      <c r="A47" s="2" t="s">
        <v>141</v>
      </c>
      <c r="B47" s="20"/>
      <c r="C47" s="21"/>
      <c r="D47" s="22"/>
    </row>
    <row r="48" spans="1:17" x14ac:dyDescent="0.2">
      <c r="A48" s="2" t="s">
        <v>142</v>
      </c>
      <c r="B48" s="20"/>
      <c r="C48" s="21"/>
      <c r="D48" s="22"/>
    </row>
    <row r="49" spans="1:17" x14ac:dyDescent="0.2">
      <c r="A49" s="2" t="s">
        <v>143</v>
      </c>
      <c r="B49" s="20"/>
      <c r="C49" s="21"/>
      <c r="D49" s="22"/>
    </row>
    <row r="50" spans="1:17" x14ac:dyDescent="0.2">
      <c r="A50" s="2" t="s">
        <v>144</v>
      </c>
      <c r="B50" s="20"/>
      <c r="C50" s="21"/>
      <c r="D50" s="22"/>
    </row>
    <row r="51" spans="1:17" x14ac:dyDescent="0.2">
      <c r="A51" s="2" t="s">
        <v>145</v>
      </c>
      <c r="B51" s="20"/>
      <c r="C51" s="21"/>
      <c r="D51" s="22"/>
    </row>
    <row r="52" spans="1:17" x14ac:dyDescent="0.2">
      <c r="A52" s="2" t="s">
        <v>146</v>
      </c>
      <c r="B52" s="20"/>
      <c r="C52" s="21"/>
      <c r="D52" s="22"/>
    </row>
    <row r="53" spans="1:17" x14ac:dyDescent="0.2">
      <c r="A53" s="2" t="s">
        <v>147</v>
      </c>
      <c r="B53" s="20"/>
      <c r="C53" s="21"/>
      <c r="D53" s="22"/>
    </row>
    <row r="54" spans="1:17" x14ac:dyDescent="0.2">
      <c r="A54" s="2" t="s">
        <v>148</v>
      </c>
      <c r="B54" s="20"/>
      <c r="C54" s="21"/>
      <c r="D54" s="22"/>
    </row>
    <row r="55" spans="1:17" x14ac:dyDescent="0.2">
      <c r="A55" s="2" t="s">
        <v>149</v>
      </c>
      <c r="B55" s="20"/>
      <c r="C55" s="21"/>
      <c r="D55" s="22"/>
    </row>
    <row r="56" spans="1:17" x14ac:dyDescent="0.2">
      <c r="A56" s="2" t="s">
        <v>150</v>
      </c>
      <c r="B56" s="20"/>
      <c r="C56" s="21"/>
      <c r="D56" s="22"/>
    </row>
    <row r="57" spans="1:17" x14ac:dyDescent="0.2">
      <c r="A57" s="2" t="s">
        <v>151</v>
      </c>
      <c r="B57" s="20"/>
      <c r="C57" s="21"/>
      <c r="D57" s="22"/>
    </row>
    <row r="59" spans="1:17" x14ac:dyDescent="0.2">
      <c r="A59" s="32" t="s">
        <v>152</v>
      </c>
      <c r="B59" s="19"/>
      <c r="C59" s="19"/>
      <c r="D59" s="19"/>
      <c r="E59" s="19"/>
      <c r="F59" s="19"/>
      <c r="G59" s="19"/>
      <c r="H59" s="19"/>
      <c r="I59" s="19"/>
      <c r="J59" s="19"/>
      <c r="K59" s="19"/>
      <c r="L59" s="19"/>
      <c r="M59" s="19"/>
      <c r="N59" s="19"/>
      <c r="O59" s="19"/>
      <c r="P59" s="19"/>
      <c r="Q59" s="19"/>
    </row>
    <row r="60" spans="1:17" x14ac:dyDescent="0.2">
      <c r="A60" s="24"/>
      <c r="B60" s="25"/>
      <c r="C60" s="25"/>
      <c r="D60" s="25"/>
      <c r="E60" s="25"/>
      <c r="F60" s="25"/>
      <c r="G60" s="25"/>
      <c r="H60" s="25"/>
      <c r="I60" s="25"/>
      <c r="J60" s="25"/>
      <c r="K60" s="25"/>
      <c r="L60" s="25"/>
      <c r="M60" s="25"/>
      <c r="N60" s="25"/>
      <c r="O60" s="25"/>
      <c r="P60" s="25"/>
      <c r="Q60" s="26"/>
    </row>
    <row r="61" spans="1:17" x14ac:dyDescent="0.2">
      <c r="A61" s="27"/>
      <c r="B61" s="19"/>
      <c r="C61" s="19"/>
      <c r="D61" s="19"/>
      <c r="E61" s="19"/>
      <c r="F61" s="19"/>
      <c r="G61" s="19"/>
      <c r="H61" s="19"/>
      <c r="I61" s="19"/>
      <c r="J61" s="19"/>
      <c r="K61" s="19"/>
      <c r="L61" s="19"/>
      <c r="M61" s="19"/>
      <c r="N61" s="19"/>
      <c r="O61" s="19"/>
      <c r="P61" s="19"/>
      <c r="Q61" s="28"/>
    </row>
    <row r="62" spans="1:17" x14ac:dyDescent="0.2">
      <c r="A62" s="27"/>
      <c r="B62" s="19"/>
      <c r="C62" s="19"/>
      <c r="D62" s="19"/>
      <c r="E62" s="19"/>
      <c r="F62" s="19"/>
      <c r="G62" s="19"/>
      <c r="H62" s="19"/>
      <c r="I62" s="19"/>
      <c r="J62" s="19"/>
      <c r="K62" s="19"/>
      <c r="L62" s="19"/>
      <c r="M62" s="19"/>
      <c r="N62" s="19"/>
      <c r="O62" s="19"/>
      <c r="P62" s="19"/>
      <c r="Q62" s="28"/>
    </row>
    <row r="63" spans="1:17" x14ac:dyDescent="0.2">
      <c r="A63" s="27"/>
      <c r="B63" s="19"/>
      <c r="C63" s="19"/>
      <c r="D63" s="19"/>
      <c r="E63" s="19"/>
      <c r="F63" s="19"/>
      <c r="G63" s="19"/>
      <c r="H63" s="19"/>
      <c r="I63" s="19"/>
      <c r="J63" s="19"/>
      <c r="K63" s="19"/>
      <c r="L63" s="19"/>
      <c r="M63" s="19"/>
      <c r="N63" s="19"/>
      <c r="O63" s="19"/>
      <c r="P63" s="19"/>
      <c r="Q63" s="28"/>
    </row>
    <row r="64" spans="1:17" x14ac:dyDescent="0.2">
      <c r="A64" s="27"/>
      <c r="B64" s="19"/>
      <c r="C64" s="19"/>
      <c r="D64" s="19"/>
      <c r="E64" s="19"/>
      <c r="F64" s="19"/>
      <c r="G64" s="19"/>
      <c r="H64" s="19"/>
      <c r="I64" s="19"/>
      <c r="J64" s="19"/>
      <c r="K64" s="19"/>
      <c r="L64" s="19"/>
      <c r="M64" s="19"/>
      <c r="N64" s="19"/>
      <c r="O64" s="19"/>
      <c r="P64" s="19"/>
      <c r="Q64" s="28"/>
    </row>
    <row r="65" spans="1:17" x14ac:dyDescent="0.2">
      <c r="A65" s="27"/>
      <c r="B65" s="19"/>
      <c r="C65" s="19"/>
      <c r="D65" s="19"/>
      <c r="E65" s="19"/>
      <c r="F65" s="19"/>
      <c r="G65" s="19"/>
      <c r="H65" s="19"/>
      <c r="I65" s="19"/>
      <c r="J65" s="19"/>
      <c r="K65" s="19"/>
      <c r="L65" s="19"/>
      <c r="M65" s="19"/>
      <c r="N65" s="19"/>
      <c r="O65" s="19"/>
      <c r="P65" s="19"/>
      <c r="Q65" s="28"/>
    </row>
    <row r="66" spans="1:17" x14ac:dyDescent="0.2">
      <c r="A66" s="27"/>
      <c r="B66" s="19"/>
      <c r="C66" s="19"/>
      <c r="D66" s="19"/>
      <c r="E66" s="19"/>
      <c r="F66" s="19"/>
      <c r="G66" s="19"/>
      <c r="H66" s="19"/>
      <c r="I66" s="19"/>
      <c r="J66" s="19"/>
      <c r="K66" s="19"/>
      <c r="L66" s="19"/>
      <c r="M66" s="19"/>
      <c r="N66" s="19"/>
      <c r="O66" s="19"/>
      <c r="P66" s="19"/>
      <c r="Q66" s="28"/>
    </row>
    <row r="67" spans="1:17" x14ac:dyDescent="0.2">
      <c r="A67" s="27"/>
      <c r="B67" s="19"/>
      <c r="C67" s="19"/>
      <c r="D67" s="19"/>
      <c r="E67" s="19"/>
      <c r="F67" s="19"/>
      <c r="G67" s="19"/>
      <c r="H67" s="19"/>
      <c r="I67" s="19"/>
      <c r="J67" s="19"/>
      <c r="K67" s="19"/>
      <c r="L67" s="19"/>
      <c r="M67" s="19"/>
      <c r="N67" s="19"/>
      <c r="O67" s="19"/>
      <c r="P67" s="19"/>
      <c r="Q67" s="28"/>
    </row>
    <row r="68" spans="1:17" x14ac:dyDescent="0.2">
      <c r="A68" s="29"/>
      <c r="B68" s="30"/>
      <c r="C68" s="30"/>
      <c r="D68" s="30"/>
      <c r="E68" s="30"/>
      <c r="F68" s="30"/>
      <c r="G68" s="30"/>
      <c r="H68" s="30"/>
      <c r="I68" s="30"/>
      <c r="J68" s="30"/>
      <c r="K68" s="30"/>
      <c r="L68" s="30"/>
      <c r="M68" s="30"/>
      <c r="N68" s="30"/>
      <c r="O68" s="30"/>
      <c r="P68" s="30"/>
      <c r="Q68" s="31"/>
    </row>
  </sheetData>
  <mergeCells count="16">
    <mergeCell ref="A1:Q1"/>
    <mergeCell ref="B55:D55"/>
    <mergeCell ref="B51:D51"/>
    <mergeCell ref="B47:D47"/>
    <mergeCell ref="B48:D48"/>
    <mergeCell ref="A46:Q46"/>
    <mergeCell ref="A59:Q59"/>
    <mergeCell ref="A60:Q68"/>
    <mergeCell ref="B56:D56"/>
    <mergeCell ref="B52:D52"/>
    <mergeCell ref="B53:D53"/>
    <mergeCell ref="B54:D54"/>
    <mergeCell ref="A3:Q3"/>
    <mergeCell ref="B57:D57"/>
    <mergeCell ref="B49:D49"/>
    <mergeCell ref="B50:D50"/>
  </mergeCells>
  <dataValidations count="9">
    <dataValidation type="list" sqref="B8 B9 B10 B11 B12 B13 B14 B15 B16 B17 B18 B19 B20" xr:uid="{00000000-0002-0000-0400-000000000000}">
      <formula1>"Public,Internal,Confidential,Restricted,N/A"</formula1>
    </dataValidation>
    <dataValidation type="list" sqref="C8 C9 C10 C11 C12 C13 C14 C15 C16 C17 C18 C19 C20" xr:uid="{00000000-0002-0000-0400-000001000000}">
      <formula1>"Encrypted,Not Encrypted,Partially Encrypted"</formula1>
    </dataValidation>
    <dataValidation type="list" sqref="D8 D9 D10 D11 D12 D13 D14 D15 D16 D17 D18 D19 D20" xr:uid="{00000000-0002-0000-0400-000002000000}">
      <formula1>"Full Disk,File-level,Database TDE,Volume,Container,Application-level,Hardware-based,N/A"</formula1>
    </dataValidation>
    <dataValidation type="list" sqref="F8 F9 F10 F11 F12 F13 F14 F15 F16 F17 F18 F19 F20" xr:uid="{00000000-0002-0000-0400-000003000000}">
      <formula1>"HSM,Cloud KMS,TPM,Software-based,Manual,Vendor-managed,N/A"</formula1>
    </dataValidation>
    <dataValidation type="list" sqref="G8:G20 C24:C35" xr:uid="{00000000-0002-0000-0400-000004000000}">
      <formula1>"Yes,No,N/A"</formula1>
    </dataValidation>
    <dataValidation type="list" sqref="H8 H9 H10 H11 H12 H13 H14 H15 H16 H17 H18 H19 H20" xr:uid="{00000000-0002-0000-0400-000005000000}">
      <formula1>"✅ Compliant,⚠️ Partial,❌ Non-Compliant,N/A"</formula1>
    </dataValidation>
    <dataValidation type="list" sqref="K8:K20 B47 B49" xr:uid="{00000000-0002-0000-0400-000006000000}">
      <formula1>"Yes,No"</formula1>
    </dataValidation>
    <dataValidation type="list" sqref="Q8 Q9 Q10 Q11 Q12 Q13 Q14 Q15 Q16 Q17 Q18 Q19 Q20" xr:uid="{00000000-0002-0000-0400-000007000000}">
      <formula1>"Yes,No,Unknown"</formula1>
    </dataValidation>
    <dataValidation type="list" sqref="B4" xr:uid="{00000000-0002-0000-0400-000008000000}">
      <formula1>"Yes,No,Not Applicable"</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66"/>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60" customWidth="1"/>
    <col min="3" max="3" width="15" customWidth="1"/>
    <col min="4" max="4" width="20" customWidth="1"/>
    <col min="5" max="5" width="18" customWidth="1"/>
    <col min="6" max="6" width="22" customWidth="1"/>
    <col min="7" max="7" width="16" customWidth="1"/>
    <col min="8" max="8" width="15" customWidth="1"/>
    <col min="9" max="9" width="28" customWidth="1"/>
    <col min="10" max="10" width="30" customWidth="1"/>
    <col min="11" max="13" width="14" customWidth="1"/>
    <col min="14" max="14" width="30" customWidth="1"/>
    <col min="15" max="15" width="20" customWidth="1"/>
    <col min="16" max="16" width="14" customWidth="1"/>
    <col min="17" max="17" width="15" customWidth="1"/>
  </cols>
  <sheetData>
    <row r="1" spans="1:17" ht="40" customHeight="1" x14ac:dyDescent="0.2">
      <c r="A1" s="18" t="s">
        <v>331</v>
      </c>
      <c r="B1" s="19"/>
      <c r="C1" s="19"/>
      <c r="D1" s="19"/>
      <c r="E1" s="19"/>
      <c r="F1" s="19"/>
      <c r="G1" s="19"/>
      <c r="H1" s="19"/>
      <c r="I1" s="19"/>
      <c r="J1" s="19"/>
      <c r="K1" s="19"/>
      <c r="L1" s="19"/>
      <c r="M1" s="19"/>
      <c r="N1" s="19"/>
      <c r="O1" s="19"/>
      <c r="P1" s="19"/>
      <c r="Q1" s="19"/>
    </row>
    <row r="3" spans="1:17" ht="30" customHeight="1" x14ac:dyDescent="0.2">
      <c r="A3" s="23" t="s">
        <v>332</v>
      </c>
      <c r="B3" s="19"/>
      <c r="C3" s="19"/>
      <c r="D3" s="19"/>
      <c r="E3" s="19"/>
      <c r="F3" s="19"/>
      <c r="G3" s="19"/>
      <c r="H3" s="19"/>
      <c r="I3" s="19"/>
      <c r="J3" s="19"/>
      <c r="K3" s="19"/>
      <c r="L3" s="19"/>
      <c r="M3" s="19"/>
      <c r="N3" s="19"/>
      <c r="O3" s="19"/>
      <c r="P3" s="19"/>
      <c r="Q3" s="19"/>
    </row>
    <row r="4" spans="1:17" x14ac:dyDescent="0.2">
      <c r="A4" s="2" t="s">
        <v>55</v>
      </c>
      <c r="B4" s="3"/>
    </row>
    <row r="6" spans="1:17" ht="30" x14ac:dyDescent="0.2">
      <c r="A6" s="4" t="s">
        <v>56</v>
      </c>
      <c r="B6" s="4" t="s">
        <v>57</v>
      </c>
      <c r="C6" s="4" t="s">
        <v>58</v>
      </c>
      <c r="D6" s="4" t="s">
        <v>59</v>
      </c>
      <c r="E6" s="4" t="s">
        <v>60</v>
      </c>
      <c r="F6" s="4" t="s">
        <v>61</v>
      </c>
      <c r="G6" s="4" t="s">
        <v>62</v>
      </c>
      <c r="H6" s="4" t="s">
        <v>27</v>
      </c>
      <c r="I6" s="4" t="s">
        <v>63</v>
      </c>
      <c r="J6" s="4" t="s">
        <v>64</v>
      </c>
      <c r="K6" s="4" t="s">
        <v>65</v>
      </c>
      <c r="L6" s="4" t="s">
        <v>66</v>
      </c>
      <c r="M6" s="4" t="s">
        <v>67</v>
      </c>
      <c r="N6" s="4" t="s">
        <v>68</v>
      </c>
      <c r="O6" s="4" t="s">
        <v>69</v>
      </c>
      <c r="P6" s="4" t="s">
        <v>70</v>
      </c>
      <c r="Q6" s="4" t="s">
        <v>71</v>
      </c>
    </row>
    <row r="7" spans="1:17" ht="32" x14ac:dyDescent="0.2">
      <c r="A7" s="10" t="s">
        <v>72</v>
      </c>
      <c r="B7" s="10" t="s">
        <v>73</v>
      </c>
      <c r="C7" s="10" t="s">
        <v>74</v>
      </c>
      <c r="D7" s="10" t="s">
        <v>75</v>
      </c>
      <c r="E7" s="10" t="s">
        <v>76</v>
      </c>
      <c r="F7" s="10" t="s">
        <v>77</v>
      </c>
      <c r="G7" s="10" t="s">
        <v>78</v>
      </c>
      <c r="H7" s="10" t="s">
        <v>79</v>
      </c>
      <c r="I7" s="10" t="s">
        <v>80</v>
      </c>
      <c r="J7" s="10" t="s">
        <v>81</v>
      </c>
      <c r="K7" s="10" t="s">
        <v>82</v>
      </c>
      <c r="L7" s="10" t="s">
        <v>38</v>
      </c>
      <c r="M7" s="10" t="s">
        <v>38</v>
      </c>
      <c r="N7" s="10" t="s">
        <v>38</v>
      </c>
      <c r="O7" s="10" t="s">
        <v>38</v>
      </c>
      <c r="P7" s="10" t="s">
        <v>38</v>
      </c>
      <c r="Q7" s="10" t="s">
        <v>82</v>
      </c>
    </row>
    <row r="8" spans="1:17" ht="16" x14ac:dyDescent="0.2">
      <c r="A8" s="11" t="s">
        <v>333</v>
      </c>
      <c r="B8" s="11" t="s">
        <v>84</v>
      </c>
      <c r="C8" s="11" t="s">
        <v>334</v>
      </c>
      <c r="D8" s="11" t="s">
        <v>300</v>
      </c>
      <c r="E8" s="11" t="s">
        <v>230</v>
      </c>
      <c r="F8" s="11" t="s">
        <v>258</v>
      </c>
      <c r="G8" s="11" t="s">
        <v>301</v>
      </c>
      <c r="H8" s="11" t="s">
        <v>79</v>
      </c>
      <c r="I8" s="11" t="s">
        <v>335</v>
      </c>
      <c r="J8" s="11"/>
      <c r="K8" s="11" t="s">
        <v>82</v>
      </c>
      <c r="L8" s="11"/>
      <c r="M8" s="11"/>
      <c r="N8" s="11"/>
      <c r="O8" s="11"/>
      <c r="P8" s="11"/>
      <c r="Q8" s="11"/>
    </row>
    <row r="9" spans="1:17" ht="32" x14ac:dyDescent="0.2">
      <c r="A9" s="11" t="s">
        <v>336</v>
      </c>
      <c r="B9" s="11" t="s">
        <v>84</v>
      </c>
      <c r="C9" s="11" t="s">
        <v>337</v>
      </c>
      <c r="D9" s="11" t="s">
        <v>300</v>
      </c>
      <c r="E9" s="11" t="s">
        <v>76</v>
      </c>
      <c r="F9" s="11" t="s">
        <v>264</v>
      </c>
      <c r="G9" s="11" t="s">
        <v>301</v>
      </c>
      <c r="H9" s="11" t="s">
        <v>79</v>
      </c>
      <c r="I9" s="11" t="s">
        <v>338</v>
      </c>
      <c r="J9" s="11"/>
      <c r="K9" s="11" t="s">
        <v>82</v>
      </c>
      <c r="L9" s="11"/>
      <c r="M9" s="11"/>
      <c r="N9" s="11"/>
      <c r="O9" s="11"/>
      <c r="P9" s="11"/>
      <c r="Q9" s="11"/>
    </row>
    <row r="10" spans="1:17" ht="16" x14ac:dyDescent="0.2">
      <c r="A10" s="11" t="s">
        <v>339</v>
      </c>
      <c r="B10" s="11" t="s">
        <v>84</v>
      </c>
      <c r="C10" s="11" t="s">
        <v>340</v>
      </c>
      <c r="D10" s="11" t="s">
        <v>300</v>
      </c>
      <c r="E10" s="11" t="s">
        <v>230</v>
      </c>
      <c r="F10" s="11" t="s">
        <v>341</v>
      </c>
      <c r="G10" s="11" t="s">
        <v>301</v>
      </c>
      <c r="H10" s="11" t="s">
        <v>79</v>
      </c>
      <c r="I10" s="11" t="s">
        <v>342</v>
      </c>
      <c r="J10" s="11"/>
      <c r="K10" s="11" t="s">
        <v>82</v>
      </c>
      <c r="L10" s="11"/>
      <c r="M10" s="11"/>
      <c r="N10" s="11"/>
      <c r="O10" s="11"/>
      <c r="P10" s="11"/>
      <c r="Q10" s="11"/>
    </row>
    <row r="11" spans="1:17" ht="16" x14ac:dyDescent="0.2">
      <c r="A11" s="11" t="s">
        <v>343</v>
      </c>
      <c r="B11" s="11" t="s">
        <v>73</v>
      </c>
      <c r="C11" s="11" t="s">
        <v>344</v>
      </c>
      <c r="D11" s="11" t="s">
        <v>345</v>
      </c>
      <c r="E11" s="11" t="s">
        <v>158</v>
      </c>
      <c r="F11" s="11" t="s">
        <v>258</v>
      </c>
      <c r="G11" s="11" t="s">
        <v>301</v>
      </c>
      <c r="H11" s="11" t="s">
        <v>79</v>
      </c>
      <c r="I11" s="11" t="s">
        <v>346</v>
      </c>
      <c r="J11" s="11"/>
      <c r="K11" s="11" t="s">
        <v>82</v>
      </c>
      <c r="L11" s="11"/>
      <c r="M11" s="11"/>
      <c r="N11" s="11"/>
      <c r="O11" s="11"/>
      <c r="P11" s="11"/>
      <c r="Q11" s="11"/>
    </row>
    <row r="12" spans="1:17" ht="32" x14ac:dyDescent="0.2">
      <c r="A12" s="11" t="s">
        <v>347</v>
      </c>
      <c r="B12" s="11" t="s">
        <v>73</v>
      </c>
      <c r="C12" s="11" t="s">
        <v>348</v>
      </c>
      <c r="D12" s="11" t="s">
        <v>349</v>
      </c>
      <c r="E12" s="11" t="s">
        <v>158</v>
      </c>
      <c r="F12" s="11" t="s">
        <v>264</v>
      </c>
      <c r="G12" s="11" t="s">
        <v>301</v>
      </c>
      <c r="H12" s="11" t="s">
        <v>79</v>
      </c>
      <c r="I12" s="11" t="s">
        <v>350</v>
      </c>
      <c r="J12" s="11"/>
      <c r="K12" s="11" t="s">
        <v>82</v>
      </c>
      <c r="L12" s="11"/>
      <c r="M12" s="11"/>
      <c r="N12" s="11"/>
      <c r="O12" s="11"/>
      <c r="P12" s="11"/>
      <c r="Q12" s="11"/>
    </row>
    <row r="13" spans="1:17" ht="16" x14ac:dyDescent="0.2">
      <c r="A13" s="11" t="s">
        <v>351</v>
      </c>
      <c r="B13" s="11" t="s">
        <v>73</v>
      </c>
      <c r="C13" s="11" t="s">
        <v>340</v>
      </c>
      <c r="D13" s="11" t="s">
        <v>349</v>
      </c>
      <c r="E13" s="11" t="s">
        <v>158</v>
      </c>
      <c r="F13" s="11" t="s">
        <v>341</v>
      </c>
      <c r="G13" s="11" t="s">
        <v>301</v>
      </c>
      <c r="H13" s="11" t="s">
        <v>79</v>
      </c>
      <c r="I13" s="11" t="s">
        <v>352</v>
      </c>
      <c r="J13" s="11"/>
      <c r="K13" s="11" t="s">
        <v>82</v>
      </c>
      <c r="L13" s="11"/>
      <c r="M13" s="11"/>
      <c r="N13" s="11"/>
      <c r="O13" s="11"/>
      <c r="P13" s="11"/>
      <c r="Q13" s="11"/>
    </row>
    <row r="14" spans="1:17" ht="16" x14ac:dyDescent="0.2">
      <c r="A14" s="11" t="s">
        <v>353</v>
      </c>
      <c r="B14" s="11" t="s">
        <v>84</v>
      </c>
      <c r="C14" s="11" t="s">
        <v>354</v>
      </c>
      <c r="D14" s="11" t="s">
        <v>355</v>
      </c>
      <c r="E14" s="11" t="s">
        <v>230</v>
      </c>
      <c r="F14" s="11" t="s">
        <v>258</v>
      </c>
      <c r="G14" s="11" t="s">
        <v>301</v>
      </c>
      <c r="H14" s="11" t="s">
        <v>79</v>
      </c>
      <c r="I14" s="11" t="s">
        <v>356</v>
      </c>
      <c r="J14" s="11"/>
      <c r="K14" s="11" t="s">
        <v>82</v>
      </c>
      <c r="L14" s="11"/>
      <c r="M14" s="11"/>
      <c r="N14" s="11"/>
      <c r="O14" s="11"/>
      <c r="P14" s="11"/>
      <c r="Q14" s="11"/>
    </row>
    <row r="15" spans="1:17" ht="32" x14ac:dyDescent="0.2">
      <c r="A15" s="11" t="s">
        <v>357</v>
      </c>
      <c r="B15" s="11" t="s">
        <v>84</v>
      </c>
      <c r="C15" s="11" t="s">
        <v>358</v>
      </c>
      <c r="D15" s="11" t="s">
        <v>300</v>
      </c>
      <c r="E15" s="11" t="s">
        <v>76</v>
      </c>
      <c r="F15" s="11" t="s">
        <v>359</v>
      </c>
      <c r="G15" s="11" t="s">
        <v>301</v>
      </c>
      <c r="H15" s="11" t="s">
        <v>79</v>
      </c>
      <c r="I15" s="11" t="s">
        <v>360</v>
      </c>
      <c r="J15" s="11"/>
      <c r="K15" s="11" t="s">
        <v>82</v>
      </c>
      <c r="L15" s="11"/>
      <c r="M15" s="11"/>
      <c r="N15" s="11"/>
      <c r="O15" s="11"/>
      <c r="P15" s="11"/>
      <c r="Q15" s="11"/>
    </row>
    <row r="16" spans="1:17" ht="32" x14ac:dyDescent="0.2">
      <c r="A16" s="11" t="s">
        <v>361</v>
      </c>
      <c r="B16" s="11" t="s">
        <v>84</v>
      </c>
      <c r="C16" s="11" t="s">
        <v>358</v>
      </c>
      <c r="D16" s="11" t="s">
        <v>300</v>
      </c>
      <c r="E16" s="11" t="s">
        <v>76</v>
      </c>
      <c r="F16" s="11" t="s">
        <v>359</v>
      </c>
      <c r="G16" s="11" t="s">
        <v>301</v>
      </c>
      <c r="H16" s="11" t="s">
        <v>79</v>
      </c>
      <c r="I16" s="11" t="s">
        <v>362</v>
      </c>
      <c r="J16" s="11"/>
      <c r="K16" s="11" t="s">
        <v>82</v>
      </c>
      <c r="L16" s="11"/>
      <c r="M16" s="11"/>
      <c r="N16" s="11"/>
      <c r="O16" s="11"/>
      <c r="P16" s="11"/>
      <c r="Q16" s="11"/>
    </row>
    <row r="17" spans="1:17" ht="32" x14ac:dyDescent="0.2">
      <c r="A17" s="11" t="s">
        <v>363</v>
      </c>
      <c r="B17" s="11" t="s">
        <v>102</v>
      </c>
      <c r="C17" s="11" t="s">
        <v>364</v>
      </c>
      <c r="D17" s="11" t="s">
        <v>300</v>
      </c>
      <c r="E17" s="11" t="s">
        <v>76</v>
      </c>
      <c r="F17" s="11" t="s">
        <v>365</v>
      </c>
      <c r="G17" s="11" t="s">
        <v>301</v>
      </c>
      <c r="H17" s="11" t="s">
        <v>79</v>
      </c>
      <c r="I17" s="11" t="s">
        <v>366</v>
      </c>
      <c r="J17" s="11"/>
      <c r="K17" s="11" t="s">
        <v>82</v>
      </c>
      <c r="L17" s="11"/>
      <c r="M17" s="11"/>
      <c r="N17" s="11"/>
      <c r="O17" s="11"/>
      <c r="P17" s="11"/>
      <c r="Q17" s="11"/>
    </row>
    <row r="18" spans="1:17" x14ac:dyDescent="0.2">
      <c r="A18" s="11"/>
      <c r="B18" s="11"/>
      <c r="C18" s="11"/>
      <c r="D18" s="11"/>
      <c r="E18" s="11"/>
      <c r="F18" s="11"/>
      <c r="G18" s="11"/>
      <c r="H18" s="11"/>
      <c r="I18" s="11"/>
      <c r="J18" s="11"/>
      <c r="K18" s="11"/>
      <c r="L18" s="11"/>
      <c r="M18" s="11"/>
      <c r="N18" s="11"/>
      <c r="O18" s="11"/>
      <c r="P18" s="11"/>
      <c r="Q18" s="11"/>
    </row>
    <row r="19" spans="1:17" x14ac:dyDescent="0.2">
      <c r="A19" s="11"/>
      <c r="B19" s="11"/>
      <c r="C19" s="11"/>
      <c r="D19" s="11"/>
      <c r="E19" s="11"/>
      <c r="F19" s="11"/>
      <c r="G19" s="11"/>
      <c r="H19" s="11"/>
      <c r="I19" s="11"/>
      <c r="J19" s="11"/>
      <c r="K19" s="11"/>
      <c r="L19" s="11"/>
      <c r="M19" s="11"/>
      <c r="N19" s="11"/>
      <c r="O19" s="11"/>
      <c r="P19" s="11"/>
      <c r="Q19" s="11"/>
    </row>
    <row r="20" spans="1:17" x14ac:dyDescent="0.2">
      <c r="A20" s="11"/>
      <c r="B20" s="11"/>
      <c r="C20" s="11"/>
      <c r="D20" s="11"/>
      <c r="E20" s="11"/>
      <c r="F20" s="11"/>
      <c r="G20" s="11"/>
      <c r="H20" s="11"/>
      <c r="I20" s="11"/>
      <c r="J20" s="11"/>
      <c r="K20" s="11"/>
      <c r="L20" s="11"/>
      <c r="M20" s="11"/>
      <c r="N20" s="11"/>
      <c r="O20" s="11"/>
      <c r="P20" s="11"/>
      <c r="Q20" s="11"/>
    </row>
    <row r="22" spans="1:17" x14ac:dyDescent="0.2">
      <c r="A22" s="12" t="s">
        <v>367</v>
      </c>
    </row>
    <row r="23" spans="1:17" x14ac:dyDescent="0.2">
      <c r="A23" s="2" t="s">
        <v>127</v>
      </c>
      <c r="B23" s="2" t="s">
        <v>128</v>
      </c>
      <c r="C23" s="2" t="s">
        <v>27</v>
      </c>
    </row>
    <row r="24" spans="1:17" x14ac:dyDescent="0.2">
      <c r="A24" t="s">
        <v>127</v>
      </c>
      <c r="B24" t="s">
        <v>368</v>
      </c>
      <c r="C24" s="3"/>
    </row>
    <row r="25" spans="1:17" x14ac:dyDescent="0.2">
      <c r="A25" t="s">
        <v>127</v>
      </c>
      <c r="B25" t="s">
        <v>369</v>
      </c>
      <c r="C25" s="3"/>
    </row>
    <row r="26" spans="1:17" x14ac:dyDescent="0.2">
      <c r="A26" t="s">
        <v>127</v>
      </c>
      <c r="B26" t="s">
        <v>370</v>
      </c>
      <c r="C26" s="3"/>
    </row>
    <row r="27" spans="1:17" x14ac:dyDescent="0.2">
      <c r="A27" t="s">
        <v>127</v>
      </c>
      <c r="B27" t="s">
        <v>371</v>
      </c>
      <c r="C27" s="3"/>
    </row>
    <row r="28" spans="1:17" x14ac:dyDescent="0.2">
      <c r="A28" t="s">
        <v>127</v>
      </c>
      <c r="B28" t="s">
        <v>372</v>
      </c>
      <c r="C28" s="3"/>
    </row>
    <row r="29" spans="1:17" x14ac:dyDescent="0.2">
      <c r="A29" t="s">
        <v>127</v>
      </c>
      <c r="B29" t="s">
        <v>373</v>
      </c>
      <c r="C29" s="3"/>
    </row>
    <row r="30" spans="1:17" x14ac:dyDescent="0.2">
      <c r="A30" t="s">
        <v>127</v>
      </c>
      <c r="B30" t="s">
        <v>374</v>
      </c>
      <c r="C30" s="3"/>
    </row>
    <row r="31" spans="1:17" x14ac:dyDescent="0.2">
      <c r="A31" t="s">
        <v>127</v>
      </c>
      <c r="B31" t="s">
        <v>375</v>
      </c>
      <c r="C31" s="3"/>
    </row>
    <row r="32" spans="1:17" x14ac:dyDescent="0.2">
      <c r="A32" t="s">
        <v>127</v>
      </c>
      <c r="B32" t="s">
        <v>376</v>
      </c>
      <c r="C32" s="3"/>
    </row>
    <row r="33" spans="1:17" x14ac:dyDescent="0.2">
      <c r="A33" t="s">
        <v>127</v>
      </c>
      <c r="B33" t="s">
        <v>377</v>
      </c>
      <c r="C33" s="3"/>
    </row>
    <row r="34" spans="1:17" x14ac:dyDescent="0.2">
      <c r="A34" t="s">
        <v>127</v>
      </c>
      <c r="B34" t="s">
        <v>378</v>
      </c>
      <c r="C34" s="3"/>
    </row>
    <row r="35" spans="1:17" x14ac:dyDescent="0.2">
      <c r="A35" t="s">
        <v>127</v>
      </c>
      <c r="B35" t="s">
        <v>379</v>
      </c>
      <c r="C35" s="3"/>
    </row>
    <row r="36" spans="1:17" x14ac:dyDescent="0.2">
      <c r="A36" s="2" t="s">
        <v>139</v>
      </c>
      <c r="B36" s="13" t="e">
        <f>COUNTIF(C24:C35,"Yes")/COUNTA(C24:C35)*100&amp;"%"</f>
        <v>#DIV/0!</v>
      </c>
    </row>
    <row r="38" spans="1:17" x14ac:dyDescent="0.2">
      <c r="A38" s="12" t="s">
        <v>319</v>
      </c>
    </row>
    <row r="39" spans="1:17" ht="16" x14ac:dyDescent="0.2">
      <c r="A39" s="2" t="s">
        <v>380</v>
      </c>
      <c r="B39" s="14" t="s">
        <v>381</v>
      </c>
    </row>
    <row r="40" spans="1:17" ht="16" x14ac:dyDescent="0.2">
      <c r="A40" s="2" t="s">
        <v>382</v>
      </c>
      <c r="B40" s="14" t="s">
        <v>383</v>
      </c>
    </row>
    <row r="41" spans="1:17" ht="16" x14ac:dyDescent="0.2">
      <c r="A41" s="2" t="s">
        <v>384</v>
      </c>
      <c r="B41" s="14" t="s">
        <v>385</v>
      </c>
    </row>
    <row r="42" spans="1:17" ht="16" x14ac:dyDescent="0.2">
      <c r="A42" s="2" t="s">
        <v>386</v>
      </c>
      <c r="B42" s="14" t="s">
        <v>387</v>
      </c>
    </row>
    <row r="44" spans="1:17" x14ac:dyDescent="0.2">
      <c r="A44" s="33" t="s">
        <v>140</v>
      </c>
      <c r="B44" s="19"/>
      <c r="C44" s="19"/>
      <c r="D44" s="19"/>
      <c r="E44" s="19"/>
      <c r="F44" s="19"/>
      <c r="G44" s="19"/>
      <c r="H44" s="19"/>
      <c r="I44" s="19"/>
      <c r="J44" s="19"/>
      <c r="K44" s="19"/>
      <c r="L44" s="19"/>
      <c r="M44" s="19"/>
      <c r="N44" s="19"/>
      <c r="O44" s="19"/>
      <c r="P44" s="19"/>
      <c r="Q44" s="19"/>
    </row>
    <row r="45" spans="1:17" x14ac:dyDescent="0.2">
      <c r="A45" s="2" t="s">
        <v>141</v>
      </c>
      <c r="B45" s="20"/>
      <c r="C45" s="21"/>
      <c r="D45" s="22"/>
    </row>
    <row r="46" spans="1:17" x14ac:dyDescent="0.2">
      <c r="A46" s="2" t="s">
        <v>142</v>
      </c>
      <c r="B46" s="20"/>
      <c r="C46" s="21"/>
      <c r="D46" s="22"/>
    </row>
    <row r="47" spans="1:17" x14ac:dyDescent="0.2">
      <c r="A47" s="2" t="s">
        <v>143</v>
      </c>
      <c r="B47" s="20"/>
      <c r="C47" s="21"/>
      <c r="D47" s="22"/>
    </row>
    <row r="48" spans="1:17" x14ac:dyDescent="0.2">
      <c r="A48" s="2" t="s">
        <v>144</v>
      </c>
      <c r="B48" s="20"/>
      <c r="C48" s="21"/>
      <c r="D48" s="22"/>
    </row>
    <row r="49" spans="1:17" x14ac:dyDescent="0.2">
      <c r="A49" s="2" t="s">
        <v>145</v>
      </c>
      <c r="B49" s="20"/>
      <c r="C49" s="21"/>
      <c r="D49" s="22"/>
    </row>
    <row r="50" spans="1:17" x14ac:dyDescent="0.2">
      <c r="A50" s="2" t="s">
        <v>146</v>
      </c>
      <c r="B50" s="20"/>
      <c r="C50" s="21"/>
      <c r="D50" s="22"/>
    </row>
    <row r="51" spans="1:17" x14ac:dyDescent="0.2">
      <c r="A51" s="2" t="s">
        <v>147</v>
      </c>
      <c r="B51" s="20"/>
      <c r="C51" s="21"/>
      <c r="D51" s="22"/>
    </row>
    <row r="52" spans="1:17" x14ac:dyDescent="0.2">
      <c r="A52" s="2" t="s">
        <v>148</v>
      </c>
      <c r="B52" s="20"/>
      <c r="C52" s="21"/>
      <c r="D52" s="22"/>
    </row>
    <row r="53" spans="1:17" x14ac:dyDescent="0.2">
      <c r="A53" s="2" t="s">
        <v>149</v>
      </c>
      <c r="B53" s="20"/>
      <c r="C53" s="21"/>
      <c r="D53" s="22"/>
    </row>
    <row r="54" spans="1:17" x14ac:dyDescent="0.2">
      <c r="A54" s="2" t="s">
        <v>150</v>
      </c>
      <c r="B54" s="20"/>
      <c r="C54" s="21"/>
      <c r="D54" s="22"/>
    </row>
    <row r="55" spans="1:17" x14ac:dyDescent="0.2">
      <c r="A55" s="2" t="s">
        <v>151</v>
      </c>
      <c r="B55" s="20"/>
      <c r="C55" s="21"/>
      <c r="D55" s="22"/>
    </row>
    <row r="57" spans="1:17" x14ac:dyDescent="0.2">
      <c r="A57" s="32" t="s">
        <v>152</v>
      </c>
      <c r="B57" s="19"/>
      <c r="C57" s="19"/>
      <c r="D57" s="19"/>
      <c r="E57" s="19"/>
      <c r="F57" s="19"/>
      <c r="G57" s="19"/>
      <c r="H57" s="19"/>
      <c r="I57" s="19"/>
      <c r="J57" s="19"/>
      <c r="K57" s="19"/>
      <c r="L57" s="19"/>
      <c r="M57" s="19"/>
      <c r="N57" s="19"/>
      <c r="O57" s="19"/>
      <c r="P57" s="19"/>
      <c r="Q57" s="19"/>
    </row>
    <row r="58" spans="1:17" x14ac:dyDescent="0.2">
      <c r="A58" s="24"/>
      <c r="B58" s="25"/>
      <c r="C58" s="25"/>
      <c r="D58" s="25"/>
      <c r="E58" s="25"/>
      <c r="F58" s="25"/>
      <c r="G58" s="25"/>
      <c r="H58" s="25"/>
      <c r="I58" s="25"/>
      <c r="J58" s="25"/>
      <c r="K58" s="25"/>
      <c r="L58" s="25"/>
      <c r="M58" s="25"/>
      <c r="N58" s="25"/>
      <c r="O58" s="25"/>
      <c r="P58" s="25"/>
      <c r="Q58" s="26"/>
    </row>
    <row r="59" spans="1:17" x14ac:dyDescent="0.2">
      <c r="A59" s="27"/>
      <c r="B59" s="19"/>
      <c r="C59" s="19"/>
      <c r="D59" s="19"/>
      <c r="E59" s="19"/>
      <c r="F59" s="19"/>
      <c r="G59" s="19"/>
      <c r="H59" s="19"/>
      <c r="I59" s="19"/>
      <c r="J59" s="19"/>
      <c r="K59" s="19"/>
      <c r="L59" s="19"/>
      <c r="M59" s="19"/>
      <c r="N59" s="19"/>
      <c r="O59" s="19"/>
      <c r="P59" s="19"/>
      <c r="Q59" s="28"/>
    </row>
    <row r="60" spans="1:17" x14ac:dyDescent="0.2">
      <c r="A60" s="27"/>
      <c r="B60" s="19"/>
      <c r="C60" s="19"/>
      <c r="D60" s="19"/>
      <c r="E60" s="19"/>
      <c r="F60" s="19"/>
      <c r="G60" s="19"/>
      <c r="H60" s="19"/>
      <c r="I60" s="19"/>
      <c r="J60" s="19"/>
      <c r="K60" s="19"/>
      <c r="L60" s="19"/>
      <c r="M60" s="19"/>
      <c r="N60" s="19"/>
      <c r="O60" s="19"/>
      <c r="P60" s="19"/>
      <c r="Q60" s="28"/>
    </row>
    <row r="61" spans="1:17" x14ac:dyDescent="0.2">
      <c r="A61" s="27"/>
      <c r="B61" s="19"/>
      <c r="C61" s="19"/>
      <c r="D61" s="19"/>
      <c r="E61" s="19"/>
      <c r="F61" s="19"/>
      <c r="G61" s="19"/>
      <c r="H61" s="19"/>
      <c r="I61" s="19"/>
      <c r="J61" s="19"/>
      <c r="K61" s="19"/>
      <c r="L61" s="19"/>
      <c r="M61" s="19"/>
      <c r="N61" s="19"/>
      <c r="O61" s="19"/>
      <c r="P61" s="19"/>
      <c r="Q61" s="28"/>
    </row>
    <row r="62" spans="1:17" x14ac:dyDescent="0.2">
      <c r="A62" s="27"/>
      <c r="B62" s="19"/>
      <c r="C62" s="19"/>
      <c r="D62" s="19"/>
      <c r="E62" s="19"/>
      <c r="F62" s="19"/>
      <c r="G62" s="19"/>
      <c r="H62" s="19"/>
      <c r="I62" s="19"/>
      <c r="J62" s="19"/>
      <c r="K62" s="19"/>
      <c r="L62" s="19"/>
      <c r="M62" s="19"/>
      <c r="N62" s="19"/>
      <c r="O62" s="19"/>
      <c r="P62" s="19"/>
      <c r="Q62" s="28"/>
    </row>
    <row r="63" spans="1:17" x14ac:dyDescent="0.2">
      <c r="A63" s="27"/>
      <c r="B63" s="19"/>
      <c r="C63" s="19"/>
      <c r="D63" s="19"/>
      <c r="E63" s="19"/>
      <c r="F63" s="19"/>
      <c r="G63" s="19"/>
      <c r="H63" s="19"/>
      <c r="I63" s="19"/>
      <c r="J63" s="19"/>
      <c r="K63" s="19"/>
      <c r="L63" s="19"/>
      <c r="M63" s="19"/>
      <c r="N63" s="19"/>
      <c r="O63" s="19"/>
      <c r="P63" s="19"/>
      <c r="Q63" s="28"/>
    </row>
    <row r="64" spans="1:17" x14ac:dyDescent="0.2">
      <c r="A64" s="27"/>
      <c r="B64" s="19"/>
      <c r="C64" s="19"/>
      <c r="D64" s="19"/>
      <c r="E64" s="19"/>
      <c r="F64" s="19"/>
      <c r="G64" s="19"/>
      <c r="H64" s="19"/>
      <c r="I64" s="19"/>
      <c r="J64" s="19"/>
      <c r="K64" s="19"/>
      <c r="L64" s="19"/>
      <c r="M64" s="19"/>
      <c r="N64" s="19"/>
      <c r="O64" s="19"/>
      <c r="P64" s="19"/>
      <c r="Q64" s="28"/>
    </row>
    <row r="65" spans="1:17" x14ac:dyDescent="0.2">
      <c r="A65" s="27"/>
      <c r="B65" s="19"/>
      <c r="C65" s="19"/>
      <c r="D65" s="19"/>
      <c r="E65" s="19"/>
      <c r="F65" s="19"/>
      <c r="G65" s="19"/>
      <c r="H65" s="19"/>
      <c r="I65" s="19"/>
      <c r="J65" s="19"/>
      <c r="K65" s="19"/>
      <c r="L65" s="19"/>
      <c r="M65" s="19"/>
      <c r="N65" s="19"/>
      <c r="O65" s="19"/>
      <c r="P65" s="19"/>
      <c r="Q65" s="28"/>
    </row>
    <row r="66" spans="1:17" x14ac:dyDescent="0.2">
      <c r="A66" s="29"/>
      <c r="B66" s="30"/>
      <c r="C66" s="30"/>
      <c r="D66" s="30"/>
      <c r="E66" s="30"/>
      <c r="F66" s="30"/>
      <c r="G66" s="30"/>
      <c r="H66" s="30"/>
      <c r="I66" s="30"/>
      <c r="J66" s="30"/>
      <c r="K66" s="30"/>
      <c r="L66" s="30"/>
      <c r="M66" s="30"/>
      <c r="N66" s="30"/>
      <c r="O66" s="30"/>
      <c r="P66" s="30"/>
      <c r="Q66" s="31"/>
    </row>
  </sheetData>
  <mergeCells count="16">
    <mergeCell ref="A1:Q1"/>
    <mergeCell ref="B48:D48"/>
    <mergeCell ref="A58:Q66"/>
    <mergeCell ref="A44:Q44"/>
    <mergeCell ref="B47:D47"/>
    <mergeCell ref="B54:D54"/>
    <mergeCell ref="A3:Q3"/>
    <mergeCell ref="B46:D46"/>
    <mergeCell ref="B45:D45"/>
    <mergeCell ref="B49:D49"/>
    <mergeCell ref="B50:D50"/>
    <mergeCell ref="A57:Q57"/>
    <mergeCell ref="B52:D52"/>
    <mergeCell ref="B53:D53"/>
    <mergeCell ref="B55:D55"/>
    <mergeCell ref="B51:D51"/>
  </mergeCells>
  <dataValidations count="9">
    <dataValidation type="list" sqref="B8 B9 B10 B11 B12 B13 B14 B15 B16 B17 B18 B19 B20" xr:uid="{00000000-0002-0000-0500-000000000000}">
      <formula1>"Public,Internal,Confidential,Restricted,N/A"</formula1>
    </dataValidation>
    <dataValidation type="list" sqref="C8 C9 C10 C11 C12 C13 C14 C15 C16 C17 C18 C19 C20" xr:uid="{00000000-0002-0000-0500-000001000000}">
      <formula1>"Encrypted,Not Encrypted,Partially Encrypted"</formula1>
    </dataValidation>
    <dataValidation type="list" sqref="D8 D9 D10 D11 D12 D13 D14 D15 D16 D17 D18 D19 D20" xr:uid="{00000000-0002-0000-0500-000002000000}">
      <formula1>"Full Disk,File-level,Database TDE,Volume,Container,Application-level,Hardware-based,N/A"</formula1>
    </dataValidation>
    <dataValidation type="list" sqref="F8 F9 F10 F11 F12 F13 F14 F15 F16 F17 F18 F19 F20" xr:uid="{00000000-0002-0000-0500-000003000000}">
      <formula1>"HSM,Cloud KMS,TPM,Software-based,Manual,Vendor-managed,N/A"</formula1>
    </dataValidation>
    <dataValidation type="list" sqref="G8:G20 C24:C35" xr:uid="{00000000-0002-0000-0500-000004000000}">
      <formula1>"Yes,No,N/A"</formula1>
    </dataValidation>
    <dataValidation type="list" sqref="H8 H9 H10 H11 H12 H13 H14 H15 H16 H17 H18 H19 H20" xr:uid="{00000000-0002-0000-0500-000005000000}">
      <formula1>"✅ Compliant,⚠️ Partial,❌ Non-Compliant,N/A"</formula1>
    </dataValidation>
    <dataValidation type="list" sqref="K8:K20 B45 B47" xr:uid="{00000000-0002-0000-0500-000006000000}">
      <formula1>"Yes,No"</formula1>
    </dataValidation>
    <dataValidation type="list" sqref="Q8 Q9 Q10 Q11 Q12 Q13 Q14 Q15 Q16 Q17 Q18 Q19 Q20" xr:uid="{00000000-0002-0000-0500-000007000000}">
      <formula1>"Yes,No,Unknown"</formula1>
    </dataValidation>
    <dataValidation type="list" sqref="B4" xr:uid="{00000000-0002-0000-0500-000008000000}">
      <formula1>"Yes,No,Not Applicable"</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67"/>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60" customWidth="1"/>
    <col min="3" max="3" width="15" customWidth="1"/>
    <col min="4" max="4" width="20" customWidth="1"/>
    <col min="5" max="5" width="18" customWidth="1"/>
    <col min="6" max="6" width="22" customWidth="1"/>
    <col min="7" max="7" width="16" customWidth="1"/>
    <col min="8" max="8" width="15" customWidth="1"/>
    <col min="9" max="9" width="28" customWidth="1"/>
    <col min="10" max="10" width="30" customWidth="1"/>
    <col min="11" max="13" width="14" customWidth="1"/>
    <col min="14" max="14" width="30" customWidth="1"/>
    <col min="15" max="15" width="20" customWidth="1"/>
    <col min="16" max="16" width="14" customWidth="1"/>
    <col min="17" max="17" width="15" customWidth="1"/>
  </cols>
  <sheetData>
    <row r="1" spans="1:17" ht="40" customHeight="1" x14ac:dyDescent="0.2">
      <c r="A1" s="18" t="s">
        <v>388</v>
      </c>
      <c r="B1" s="19"/>
      <c r="C1" s="19"/>
      <c r="D1" s="19"/>
      <c r="E1" s="19"/>
      <c r="F1" s="19"/>
      <c r="G1" s="19"/>
      <c r="H1" s="19"/>
      <c r="I1" s="19"/>
      <c r="J1" s="19"/>
      <c r="K1" s="19"/>
      <c r="L1" s="19"/>
      <c r="M1" s="19"/>
      <c r="N1" s="19"/>
      <c r="O1" s="19"/>
      <c r="P1" s="19"/>
      <c r="Q1" s="19"/>
    </row>
    <row r="3" spans="1:17" ht="30" customHeight="1" x14ac:dyDescent="0.2">
      <c r="A3" s="23" t="s">
        <v>389</v>
      </c>
      <c r="B3" s="19"/>
      <c r="C3" s="19"/>
      <c r="D3" s="19"/>
      <c r="E3" s="19"/>
      <c r="F3" s="19"/>
      <c r="G3" s="19"/>
      <c r="H3" s="19"/>
      <c r="I3" s="19"/>
      <c r="J3" s="19"/>
      <c r="K3" s="19"/>
      <c r="L3" s="19"/>
      <c r="M3" s="19"/>
      <c r="N3" s="19"/>
      <c r="O3" s="19"/>
      <c r="P3" s="19"/>
      <c r="Q3" s="19"/>
    </row>
    <row r="4" spans="1:17" x14ac:dyDescent="0.2">
      <c r="A4" s="2" t="s">
        <v>55</v>
      </c>
      <c r="B4" s="3"/>
    </row>
    <row r="6" spans="1:17" ht="30" x14ac:dyDescent="0.2">
      <c r="A6" s="4" t="s">
        <v>56</v>
      </c>
      <c r="B6" s="4" t="s">
        <v>57</v>
      </c>
      <c r="C6" s="4" t="s">
        <v>58</v>
      </c>
      <c r="D6" s="4" t="s">
        <v>59</v>
      </c>
      <c r="E6" s="4" t="s">
        <v>60</v>
      </c>
      <c r="F6" s="4" t="s">
        <v>61</v>
      </c>
      <c r="G6" s="4" t="s">
        <v>62</v>
      </c>
      <c r="H6" s="4" t="s">
        <v>27</v>
      </c>
      <c r="I6" s="4" t="s">
        <v>63</v>
      </c>
      <c r="J6" s="4" t="s">
        <v>64</v>
      </c>
      <c r="K6" s="4" t="s">
        <v>65</v>
      </c>
      <c r="L6" s="4" t="s">
        <v>66</v>
      </c>
      <c r="M6" s="4" t="s">
        <v>67</v>
      </c>
      <c r="N6" s="4" t="s">
        <v>68</v>
      </c>
      <c r="O6" s="4" t="s">
        <v>69</v>
      </c>
      <c r="P6" s="4" t="s">
        <v>70</v>
      </c>
      <c r="Q6" s="4" t="s">
        <v>71</v>
      </c>
    </row>
    <row r="7" spans="1:17" ht="32" x14ac:dyDescent="0.2">
      <c r="A7" s="10" t="s">
        <v>72</v>
      </c>
      <c r="B7" s="10" t="s">
        <v>73</v>
      </c>
      <c r="C7" s="10" t="s">
        <v>74</v>
      </c>
      <c r="D7" s="10" t="s">
        <v>75</v>
      </c>
      <c r="E7" s="10" t="s">
        <v>76</v>
      </c>
      <c r="F7" s="10" t="s">
        <v>77</v>
      </c>
      <c r="G7" s="10" t="s">
        <v>78</v>
      </c>
      <c r="H7" s="10" t="s">
        <v>79</v>
      </c>
      <c r="I7" s="10" t="s">
        <v>80</v>
      </c>
      <c r="J7" s="10" t="s">
        <v>81</v>
      </c>
      <c r="K7" s="10" t="s">
        <v>82</v>
      </c>
      <c r="L7" s="10" t="s">
        <v>38</v>
      </c>
      <c r="M7" s="10" t="s">
        <v>38</v>
      </c>
      <c r="N7" s="10" t="s">
        <v>38</v>
      </c>
      <c r="O7" s="10" t="s">
        <v>38</v>
      </c>
      <c r="P7" s="10" t="s">
        <v>38</v>
      </c>
      <c r="Q7" s="10" t="s">
        <v>82</v>
      </c>
    </row>
    <row r="8" spans="1:17" ht="32" x14ac:dyDescent="0.2">
      <c r="A8" s="11" t="s">
        <v>390</v>
      </c>
      <c r="B8" s="11" t="s">
        <v>73</v>
      </c>
      <c r="C8" s="11" t="s">
        <v>391</v>
      </c>
      <c r="D8" s="11" t="s">
        <v>392</v>
      </c>
      <c r="E8" s="11" t="s">
        <v>76</v>
      </c>
      <c r="F8" s="11" t="s">
        <v>393</v>
      </c>
      <c r="G8" s="11" t="s">
        <v>160</v>
      </c>
      <c r="H8" s="11" t="s">
        <v>79</v>
      </c>
      <c r="I8" s="11" t="s">
        <v>394</v>
      </c>
      <c r="J8" s="11"/>
      <c r="K8" s="11" t="s">
        <v>82</v>
      </c>
      <c r="L8" s="11"/>
      <c r="M8" s="11"/>
      <c r="N8" s="11"/>
      <c r="O8" s="11"/>
      <c r="P8" s="11"/>
      <c r="Q8" s="11"/>
    </row>
    <row r="9" spans="1:17" ht="32" x14ac:dyDescent="0.2">
      <c r="A9" s="11" t="s">
        <v>395</v>
      </c>
      <c r="B9" s="11" t="s">
        <v>73</v>
      </c>
      <c r="C9" s="11" t="s">
        <v>391</v>
      </c>
      <c r="D9" s="11" t="s">
        <v>392</v>
      </c>
      <c r="E9" s="11" t="s">
        <v>76</v>
      </c>
      <c r="F9" s="11" t="s">
        <v>396</v>
      </c>
      <c r="G9" s="11" t="s">
        <v>160</v>
      </c>
      <c r="H9" s="11" t="s">
        <v>79</v>
      </c>
      <c r="I9" s="11" t="s">
        <v>397</v>
      </c>
      <c r="J9" s="11"/>
      <c r="K9" s="11" t="s">
        <v>82</v>
      </c>
      <c r="L9" s="11"/>
      <c r="M9" s="11"/>
      <c r="N9" s="11"/>
      <c r="O9" s="11"/>
      <c r="P9" s="11"/>
      <c r="Q9" s="11"/>
    </row>
    <row r="10" spans="1:17" ht="32" x14ac:dyDescent="0.2">
      <c r="A10" s="11" t="s">
        <v>398</v>
      </c>
      <c r="B10" s="11" t="s">
        <v>84</v>
      </c>
      <c r="C10" s="11" t="s">
        <v>399</v>
      </c>
      <c r="D10" s="11" t="s">
        <v>400</v>
      </c>
      <c r="E10" s="11" t="s">
        <v>230</v>
      </c>
      <c r="F10" s="11" t="s">
        <v>258</v>
      </c>
      <c r="G10" s="11" t="s">
        <v>301</v>
      </c>
      <c r="H10" s="11" t="s">
        <v>79</v>
      </c>
      <c r="I10" s="11" t="s">
        <v>401</v>
      </c>
      <c r="J10" s="11"/>
      <c r="K10" s="11" t="s">
        <v>82</v>
      </c>
      <c r="L10" s="11"/>
      <c r="M10" s="11"/>
      <c r="N10" s="11"/>
      <c r="O10" s="11"/>
      <c r="P10" s="11"/>
      <c r="Q10" s="11"/>
    </row>
    <row r="11" spans="1:17" ht="16" x14ac:dyDescent="0.2">
      <c r="A11" s="11" t="s">
        <v>402</v>
      </c>
      <c r="B11" s="11" t="s">
        <v>84</v>
      </c>
      <c r="C11" s="11" t="s">
        <v>403</v>
      </c>
      <c r="D11" s="11" t="s">
        <v>404</v>
      </c>
      <c r="E11" s="11" t="s">
        <v>76</v>
      </c>
      <c r="F11" s="11" t="s">
        <v>264</v>
      </c>
      <c r="G11" s="11" t="s">
        <v>301</v>
      </c>
      <c r="H11" s="11" t="s">
        <v>79</v>
      </c>
      <c r="I11" s="11" t="s">
        <v>405</v>
      </c>
      <c r="J11" s="11"/>
      <c r="K11" s="11" t="s">
        <v>82</v>
      </c>
      <c r="L11" s="11"/>
      <c r="M11" s="11"/>
      <c r="N11" s="11"/>
      <c r="O11" s="11"/>
      <c r="P11" s="11"/>
      <c r="Q11" s="11"/>
    </row>
    <row r="12" spans="1:17" ht="32" x14ac:dyDescent="0.2">
      <c r="A12" s="11" t="s">
        <v>406</v>
      </c>
      <c r="B12" s="11" t="s">
        <v>73</v>
      </c>
      <c r="C12" s="11" t="s">
        <v>407</v>
      </c>
      <c r="D12" s="11" t="s">
        <v>408</v>
      </c>
      <c r="E12" s="11" t="s">
        <v>76</v>
      </c>
      <c r="F12" s="11" t="s">
        <v>409</v>
      </c>
      <c r="G12" s="11" t="s">
        <v>160</v>
      </c>
      <c r="H12" s="11" t="s">
        <v>79</v>
      </c>
      <c r="I12" s="11" t="s">
        <v>410</v>
      </c>
      <c r="J12" s="11"/>
      <c r="K12" s="11" t="s">
        <v>82</v>
      </c>
      <c r="L12" s="11"/>
      <c r="M12" s="11"/>
      <c r="N12" s="11"/>
      <c r="O12" s="11"/>
      <c r="P12" s="11"/>
      <c r="Q12" s="11"/>
    </row>
    <row r="13" spans="1:17" ht="16" x14ac:dyDescent="0.2">
      <c r="A13" s="11" t="s">
        <v>411</v>
      </c>
      <c r="B13" s="11" t="s">
        <v>84</v>
      </c>
      <c r="C13" s="11" t="s">
        <v>412</v>
      </c>
      <c r="D13" s="11" t="s">
        <v>413</v>
      </c>
      <c r="E13" s="11" t="s">
        <v>76</v>
      </c>
      <c r="F13" s="11" t="s">
        <v>414</v>
      </c>
      <c r="G13" s="11" t="s">
        <v>160</v>
      </c>
      <c r="H13" s="11" t="s">
        <v>79</v>
      </c>
      <c r="I13" s="11" t="s">
        <v>415</v>
      </c>
      <c r="J13" s="11"/>
      <c r="K13" s="11" t="s">
        <v>82</v>
      </c>
      <c r="L13" s="11"/>
      <c r="M13" s="11"/>
      <c r="N13" s="11"/>
      <c r="O13" s="11"/>
      <c r="P13" s="11"/>
      <c r="Q13" s="11"/>
    </row>
    <row r="14" spans="1:17" ht="16" x14ac:dyDescent="0.2">
      <c r="A14" s="11" t="s">
        <v>416</v>
      </c>
      <c r="B14" s="11" t="s">
        <v>73</v>
      </c>
      <c r="C14" s="11" t="s">
        <v>417</v>
      </c>
      <c r="D14" s="11" t="s">
        <v>418</v>
      </c>
      <c r="E14" s="11" t="s">
        <v>76</v>
      </c>
      <c r="F14" s="11" t="s">
        <v>419</v>
      </c>
      <c r="G14" s="11" t="s">
        <v>160</v>
      </c>
      <c r="H14" s="11" t="s">
        <v>79</v>
      </c>
      <c r="I14" s="11" t="s">
        <v>420</v>
      </c>
      <c r="J14" s="11"/>
      <c r="K14" s="11" t="s">
        <v>82</v>
      </c>
      <c r="L14" s="11"/>
      <c r="M14" s="11"/>
      <c r="N14" s="11"/>
      <c r="O14" s="11"/>
      <c r="P14" s="11"/>
      <c r="Q14" s="11"/>
    </row>
    <row r="15" spans="1:17" ht="32" x14ac:dyDescent="0.2">
      <c r="A15" s="11" t="s">
        <v>421</v>
      </c>
      <c r="B15" s="11" t="s">
        <v>102</v>
      </c>
      <c r="C15" s="11" t="s">
        <v>422</v>
      </c>
      <c r="D15" s="11" t="s">
        <v>423</v>
      </c>
      <c r="E15" s="11" t="s">
        <v>76</v>
      </c>
      <c r="F15" s="11" t="s">
        <v>424</v>
      </c>
      <c r="G15" s="11" t="s">
        <v>82</v>
      </c>
      <c r="H15" s="11" t="s">
        <v>106</v>
      </c>
      <c r="I15" s="11" t="s">
        <v>425</v>
      </c>
      <c r="J15" s="11" t="s">
        <v>426</v>
      </c>
      <c r="K15" s="11" t="s">
        <v>78</v>
      </c>
      <c r="L15" s="11"/>
      <c r="M15" s="11"/>
      <c r="N15" s="11"/>
      <c r="O15" s="11"/>
      <c r="P15" s="11"/>
      <c r="Q15" s="11"/>
    </row>
    <row r="16" spans="1:17" ht="32" x14ac:dyDescent="0.2">
      <c r="A16" s="11" t="s">
        <v>427</v>
      </c>
      <c r="B16" s="11" t="s">
        <v>102</v>
      </c>
      <c r="C16" s="11" t="s">
        <v>122</v>
      </c>
      <c r="D16" s="11" t="s">
        <v>81</v>
      </c>
      <c r="E16" s="11" t="s">
        <v>81</v>
      </c>
      <c r="F16" s="11" t="s">
        <v>81</v>
      </c>
      <c r="G16" s="11" t="s">
        <v>82</v>
      </c>
      <c r="H16" s="11" t="s">
        <v>118</v>
      </c>
      <c r="I16" s="11" t="s">
        <v>428</v>
      </c>
      <c r="J16" s="11" t="s">
        <v>429</v>
      </c>
      <c r="K16" s="11" t="s">
        <v>78</v>
      </c>
      <c r="L16" s="11"/>
      <c r="M16" s="11"/>
      <c r="N16" s="11"/>
      <c r="O16" s="11"/>
      <c r="P16" s="11"/>
      <c r="Q16" s="11"/>
    </row>
    <row r="17" spans="1:17" x14ac:dyDescent="0.2">
      <c r="A17" s="11"/>
      <c r="B17" s="11"/>
      <c r="C17" s="11"/>
      <c r="D17" s="11"/>
      <c r="E17" s="11"/>
      <c r="F17" s="11"/>
      <c r="G17" s="11"/>
      <c r="H17" s="11"/>
      <c r="I17" s="11"/>
      <c r="J17" s="11"/>
      <c r="K17" s="11"/>
      <c r="L17" s="11"/>
      <c r="M17" s="11"/>
      <c r="N17" s="11"/>
      <c r="O17" s="11"/>
      <c r="P17" s="11"/>
      <c r="Q17" s="11"/>
    </row>
    <row r="18" spans="1:17" x14ac:dyDescent="0.2">
      <c r="A18" s="11"/>
      <c r="B18" s="11"/>
      <c r="C18" s="11"/>
      <c r="D18" s="11"/>
      <c r="E18" s="11"/>
      <c r="F18" s="11"/>
      <c r="G18" s="11"/>
      <c r="H18" s="11"/>
      <c r="I18" s="11"/>
      <c r="J18" s="11"/>
      <c r="K18" s="11"/>
      <c r="L18" s="11"/>
      <c r="M18" s="11"/>
      <c r="N18" s="11"/>
      <c r="O18" s="11"/>
      <c r="P18" s="11"/>
      <c r="Q18" s="11"/>
    </row>
    <row r="19" spans="1:17" x14ac:dyDescent="0.2">
      <c r="A19" s="11"/>
      <c r="B19" s="11"/>
      <c r="C19" s="11"/>
      <c r="D19" s="11"/>
      <c r="E19" s="11"/>
      <c r="F19" s="11"/>
      <c r="G19" s="11"/>
      <c r="H19" s="11"/>
      <c r="I19" s="11"/>
      <c r="J19" s="11"/>
      <c r="K19" s="11"/>
      <c r="L19" s="11"/>
      <c r="M19" s="11"/>
      <c r="N19" s="11"/>
      <c r="O19" s="11"/>
      <c r="P19" s="11"/>
      <c r="Q19" s="11"/>
    </row>
    <row r="20" spans="1:17" x14ac:dyDescent="0.2">
      <c r="A20" s="11"/>
      <c r="B20" s="11"/>
      <c r="C20" s="11"/>
      <c r="D20" s="11"/>
      <c r="E20" s="11"/>
      <c r="F20" s="11"/>
      <c r="G20" s="11"/>
      <c r="H20" s="11"/>
      <c r="I20" s="11"/>
      <c r="J20" s="11"/>
      <c r="K20" s="11"/>
      <c r="L20" s="11"/>
      <c r="M20" s="11"/>
      <c r="N20" s="11"/>
      <c r="O20" s="11"/>
      <c r="P20" s="11"/>
      <c r="Q20" s="11"/>
    </row>
    <row r="22" spans="1:17" x14ac:dyDescent="0.2">
      <c r="A22" s="12" t="s">
        <v>430</v>
      </c>
    </row>
    <row r="23" spans="1:17" x14ac:dyDescent="0.2">
      <c r="A23" s="2" t="s">
        <v>127</v>
      </c>
      <c r="B23" s="2" t="s">
        <v>128</v>
      </c>
      <c r="C23" s="2" t="s">
        <v>27</v>
      </c>
    </row>
    <row r="24" spans="1:17" x14ac:dyDescent="0.2">
      <c r="A24" t="s">
        <v>127</v>
      </c>
      <c r="B24" t="s">
        <v>431</v>
      </c>
      <c r="C24" s="3"/>
    </row>
    <row r="25" spans="1:17" x14ac:dyDescent="0.2">
      <c r="A25" t="s">
        <v>127</v>
      </c>
      <c r="B25" t="s">
        <v>432</v>
      </c>
      <c r="C25" s="3"/>
    </row>
    <row r="26" spans="1:17" x14ac:dyDescent="0.2">
      <c r="A26" t="s">
        <v>127</v>
      </c>
      <c r="B26" t="s">
        <v>433</v>
      </c>
      <c r="C26" s="3"/>
    </row>
    <row r="27" spans="1:17" x14ac:dyDescent="0.2">
      <c r="A27" t="s">
        <v>127</v>
      </c>
      <c r="B27" t="s">
        <v>434</v>
      </c>
      <c r="C27" s="3"/>
    </row>
    <row r="28" spans="1:17" x14ac:dyDescent="0.2">
      <c r="A28" t="s">
        <v>127</v>
      </c>
      <c r="B28" t="s">
        <v>435</v>
      </c>
      <c r="C28" s="3"/>
    </row>
    <row r="29" spans="1:17" x14ac:dyDescent="0.2">
      <c r="A29" t="s">
        <v>127</v>
      </c>
      <c r="B29" t="s">
        <v>436</v>
      </c>
      <c r="C29" s="3"/>
    </row>
    <row r="30" spans="1:17" x14ac:dyDescent="0.2">
      <c r="A30" t="s">
        <v>127</v>
      </c>
      <c r="B30" t="s">
        <v>437</v>
      </c>
      <c r="C30" s="3"/>
    </row>
    <row r="31" spans="1:17" x14ac:dyDescent="0.2">
      <c r="A31" t="s">
        <v>127</v>
      </c>
      <c r="B31" t="s">
        <v>438</v>
      </c>
      <c r="C31" s="3"/>
    </row>
    <row r="32" spans="1:17" x14ac:dyDescent="0.2">
      <c r="A32" t="s">
        <v>127</v>
      </c>
      <c r="B32" t="s">
        <v>439</v>
      </c>
      <c r="C32" s="3"/>
    </row>
    <row r="33" spans="1:17" x14ac:dyDescent="0.2">
      <c r="A33" t="s">
        <v>127</v>
      </c>
      <c r="B33" t="s">
        <v>440</v>
      </c>
      <c r="C33" s="3"/>
    </row>
    <row r="34" spans="1:17" x14ac:dyDescent="0.2">
      <c r="A34" t="s">
        <v>127</v>
      </c>
      <c r="B34" t="s">
        <v>441</v>
      </c>
      <c r="C34" s="3"/>
    </row>
    <row r="35" spans="1:17" x14ac:dyDescent="0.2">
      <c r="A35" t="s">
        <v>127</v>
      </c>
      <c r="B35" t="s">
        <v>442</v>
      </c>
      <c r="C35" s="3"/>
    </row>
    <row r="36" spans="1:17" x14ac:dyDescent="0.2">
      <c r="A36" s="2" t="s">
        <v>139</v>
      </c>
      <c r="B36" s="13" t="e">
        <f>COUNTIF(C24:C35,"Yes")/COUNTA(C24:C35)*100&amp;"%"</f>
        <v>#DIV/0!</v>
      </c>
    </row>
    <row r="38" spans="1:17" x14ac:dyDescent="0.2">
      <c r="A38" s="12" t="s">
        <v>319</v>
      </c>
    </row>
    <row r="39" spans="1:17" ht="16" x14ac:dyDescent="0.2">
      <c r="A39" s="2" t="s">
        <v>443</v>
      </c>
      <c r="B39" s="14" t="s">
        <v>444</v>
      </c>
    </row>
    <row r="40" spans="1:17" ht="16" x14ac:dyDescent="0.2">
      <c r="A40" s="2" t="s">
        <v>445</v>
      </c>
      <c r="B40" s="14" t="s">
        <v>446</v>
      </c>
    </row>
    <row r="41" spans="1:17" ht="16" x14ac:dyDescent="0.2">
      <c r="A41" s="2" t="s">
        <v>447</v>
      </c>
      <c r="B41" s="14" t="s">
        <v>448</v>
      </c>
    </row>
    <row r="42" spans="1:17" ht="16" x14ac:dyDescent="0.2">
      <c r="A42" s="2" t="s">
        <v>449</v>
      </c>
      <c r="B42" s="14" t="s">
        <v>450</v>
      </c>
    </row>
    <row r="43" spans="1:17" ht="16" x14ac:dyDescent="0.2">
      <c r="A43" s="2" t="s">
        <v>451</v>
      </c>
      <c r="B43" s="14" t="s">
        <v>452</v>
      </c>
    </row>
    <row r="45" spans="1:17" x14ac:dyDescent="0.2">
      <c r="A45" s="33" t="s">
        <v>140</v>
      </c>
      <c r="B45" s="19"/>
      <c r="C45" s="19"/>
      <c r="D45" s="19"/>
      <c r="E45" s="19"/>
      <c r="F45" s="19"/>
      <c r="G45" s="19"/>
      <c r="H45" s="19"/>
      <c r="I45" s="19"/>
      <c r="J45" s="19"/>
      <c r="K45" s="19"/>
      <c r="L45" s="19"/>
      <c r="M45" s="19"/>
      <c r="N45" s="19"/>
      <c r="O45" s="19"/>
      <c r="P45" s="19"/>
      <c r="Q45" s="19"/>
    </row>
    <row r="46" spans="1:17" x14ac:dyDescent="0.2">
      <c r="A46" s="2" t="s">
        <v>141</v>
      </c>
      <c r="B46" s="20"/>
      <c r="C46" s="21"/>
      <c r="D46" s="22"/>
    </row>
    <row r="47" spans="1:17" x14ac:dyDescent="0.2">
      <c r="A47" s="2" t="s">
        <v>142</v>
      </c>
      <c r="B47" s="20"/>
      <c r="C47" s="21"/>
      <c r="D47" s="22"/>
    </row>
    <row r="48" spans="1:17" x14ac:dyDescent="0.2">
      <c r="A48" s="2" t="s">
        <v>143</v>
      </c>
      <c r="B48" s="20"/>
      <c r="C48" s="21"/>
      <c r="D48" s="22"/>
    </row>
    <row r="49" spans="1:17" x14ac:dyDescent="0.2">
      <c r="A49" s="2" t="s">
        <v>144</v>
      </c>
      <c r="B49" s="20"/>
      <c r="C49" s="21"/>
      <c r="D49" s="22"/>
    </row>
    <row r="50" spans="1:17" x14ac:dyDescent="0.2">
      <c r="A50" s="2" t="s">
        <v>145</v>
      </c>
      <c r="B50" s="20"/>
      <c r="C50" s="21"/>
      <c r="D50" s="22"/>
    </row>
    <row r="51" spans="1:17" x14ac:dyDescent="0.2">
      <c r="A51" s="2" t="s">
        <v>146</v>
      </c>
      <c r="B51" s="20"/>
      <c r="C51" s="21"/>
      <c r="D51" s="22"/>
    </row>
    <row r="52" spans="1:17" x14ac:dyDescent="0.2">
      <c r="A52" s="2" t="s">
        <v>147</v>
      </c>
      <c r="B52" s="20"/>
      <c r="C52" s="21"/>
      <c r="D52" s="22"/>
    </row>
    <row r="53" spans="1:17" x14ac:dyDescent="0.2">
      <c r="A53" s="2" t="s">
        <v>148</v>
      </c>
      <c r="B53" s="20"/>
      <c r="C53" s="21"/>
      <c r="D53" s="22"/>
    </row>
    <row r="54" spans="1:17" x14ac:dyDescent="0.2">
      <c r="A54" s="2" t="s">
        <v>149</v>
      </c>
      <c r="B54" s="20"/>
      <c r="C54" s="21"/>
      <c r="D54" s="22"/>
    </row>
    <row r="55" spans="1:17" x14ac:dyDescent="0.2">
      <c r="A55" s="2" t="s">
        <v>150</v>
      </c>
      <c r="B55" s="20"/>
      <c r="C55" s="21"/>
      <c r="D55" s="22"/>
    </row>
    <row r="56" spans="1:17" x14ac:dyDescent="0.2">
      <c r="A56" s="2" t="s">
        <v>151</v>
      </c>
      <c r="B56" s="20"/>
      <c r="C56" s="21"/>
      <c r="D56" s="22"/>
    </row>
    <row r="58" spans="1:17" x14ac:dyDescent="0.2">
      <c r="A58" s="32" t="s">
        <v>152</v>
      </c>
      <c r="B58" s="19"/>
      <c r="C58" s="19"/>
      <c r="D58" s="19"/>
      <c r="E58" s="19"/>
      <c r="F58" s="19"/>
      <c r="G58" s="19"/>
      <c r="H58" s="19"/>
      <c r="I58" s="19"/>
      <c r="J58" s="19"/>
      <c r="K58" s="19"/>
      <c r="L58" s="19"/>
      <c r="M58" s="19"/>
      <c r="N58" s="19"/>
      <c r="O58" s="19"/>
      <c r="P58" s="19"/>
      <c r="Q58" s="19"/>
    </row>
    <row r="59" spans="1:17" x14ac:dyDescent="0.2">
      <c r="A59" s="24"/>
      <c r="B59" s="25"/>
      <c r="C59" s="25"/>
      <c r="D59" s="25"/>
      <c r="E59" s="25"/>
      <c r="F59" s="25"/>
      <c r="G59" s="25"/>
      <c r="H59" s="25"/>
      <c r="I59" s="25"/>
      <c r="J59" s="25"/>
      <c r="K59" s="25"/>
      <c r="L59" s="25"/>
      <c r="M59" s="25"/>
      <c r="N59" s="25"/>
      <c r="O59" s="25"/>
      <c r="P59" s="25"/>
      <c r="Q59" s="26"/>
    </row>
    <row r="60" spans="1:17" x14ac:dyDescent="0.2">
      <c r="A60" s="27"/>
      <c r="B60" s="19"/>
      <c r="C60" s="19"/>
      <c r="D60" s="19"/>
      <c r="E60" s="19"/>
      <c r="F60" s="19"/>
      <c r="G60" s="19"/>
      <c r="H60" s="19"/>
      <c r="I60" s="19"/>
      <c r="J60" s="19"/>
      <c r="K60" s="19"/>
      <c r="L60" s="19"/>
      <c r="M60" s="19"/>
      <c r="N60" s="19"/>
      <c r="O60" s="19"/>
      <c r="P60" s="19"/>
      <c r="Q60" s="28"/>
    </row>
    <row r="61" spans="1:17" x14ac:dyDescent="0.2">
      <c r="A61" s="27"/>
      <c r="B61" s="19"/>
      <c r="C61" s="19"/>
      <c r="D61" s="19"/>
      <c r="E61" s="19"/>
      <c r="F61" s="19"/>
      <c r="G61" s="19"/>
      <c r="H61" s="19"/>
      <c r="I61" s="19"/>
      <c r="J61" s="19"/>
      <c r="K61" s="19"/>
      <c r="L61" s="19"/>
      <c r="M61" s="19"/>
      <c r="N61" s="19"/>
      <c r="O61" s="19"/>
      <c r="P61" s="19"/>
      <c r="Q61" s="28"/>
    </row>
    <row r="62" spans="1:17" x14ac:dyDescent="0.2">
      <c r="A62" s="27"/>
      <c r="B62" s="19"/>
      <c r="C62" s="19"/>
      <c r="D62" s="19"/>
      <c r="E62" s="19"/>
      <c r="F62" s="19"/>
      <c r="G62" s="19"/>
      <c r="H62" s="19"/>
      <c r="I62" s="19"/>
      <c r="J62" s="19"/>
      <c r="K62" s="19"/>
      <c r="L62" s="19"/>
      <c r="M62" s="19"/>
      <c r="N62" s="19"/>
      <c r="O62" s="19"/>
      <c r="P62" s="19"/>
      <c r="Q62" s="28"/>
    </row>
    <row r="63" spans="1:17" x14ac:dyDescent="0.2">
      <c r="A63" s="27"/>
      <c r="B63" s="19"/>
      <c r="C63" s="19"/>
      <c r="D63" s="19"/>
      <c r="E63" s="19"/>
      <c r="F63" s="19"/>
      <c r="G63" s="19"/>
      <c r="H63" s="19"/>
      <c r="I63" s="19"/>
      <c r="J63" s="19"/>
      <c r="K63" s="19"/>
      <c r="L63" s="19"/>
      <c r="M63" s="19"/>
      <c r="N63" s="19"/>
      <c r="O63" s="19"/>
      <c r="P63" s="19"/>
      <c r="Q63" s="28"/>
    </row>
    <row r="64" spans="1:17" x14ac:dyDescent="0.2">
      <c r="A64" s="27"/>
      <c r="B64" s="19"/>
      <c r="C64" s="19"/>
      <c r="D64" s="19"/>
      <c r="E64" s="19"/>
      <c r="F64" s="19"/>
      <c r="G64" s="19"/>
      <c r="H64" s="19"/>
      <c r="I64" s="19"/>
      <c r="J64" s="19"/>
      <c r="K64" s="19"/>
      <c r="L64" s="19"/>
      <c r="M64" s="19"/>
      <c r="N64" s="19"/>
      <c r="O64" s="19"/>
      <c r="P64" s="19"/>
      <c r="Q64" s="28"/>
    </row>
    <row r="65" spans="1:17" x14ac:dyDescent="0.2">
      <c r="A65" s="27"/>
      <c r="B65" s="19"/>
      <c r="C65" s="19"/>
      <c r="D65" s="19"/>
      <c r="E65" s="19"/>
      <c r="F65" s="19"/>
      <c r="G65" s="19"/>
      <c r="H65" s="19"/>
      <c r="I65" s="19"/>
      <c r="J65" s="19"/>
      <c r="K65" s="19"/>
      <c r="L65" s="19"/>
      <c r="M65" s="19"/>
      <c r="N65" s="19"/>
      <c r="O65" s="19"/>
      <c r="P65" s="19"/>
      <c r="Q65" s="28"/>
    </row>
    <row r="66" spans="1:17" x14ac:dyDescent="0.2">
      <c r="A66" s="27"/>
      <c r="B66" s="19"/>
      <c r="C66" s="19"/>
      <c r="D66" s="19"/>
      <c r="E66" s="19"/>
      <c r="F66" s="19"/>
      <c r="G66" s="19"/>
      <c r="H66" s="19"/>
      <c r="I66" s="19"/>
      <c r="J66" s="19"/>
      <c r="K66" s="19"/>
      <c r="L66" s="19"/>
      <c r="M66" s="19"/>
      <c r="N66" s="19"/>
      <c r="O66" s="19"/>
      <c r="P66" s="19"/>
      <c r="Q66" s="28"/>
    </row>
    <row r="67" spans="1:17" x14ac:dyDescent="0.2">
      <c r="A67" s="29"/>
      <c r="B67" s="30"/>
      <c r="C67" s="30"/>
      <c r="D67" s="30"/>
      <c r="E67" s="30"/>
      <c r="F67" s="30"/>
      <c r="G67" s="30"/>
      <c r="H67" s="30"/>
      <c r="I67" s="30"/>
      <c r="J67" s="30"/>
      <c r="K67" s="30"/>
      <c r="L67" s="30"/>
      <c r="M67" s="30"/>
      <c r="N67" s="30"/>
      <c r="O67" s="30"/>
      <c r="P67" s="30"/>
      <c r="Q67" s="31"/>
    </row>
  </sheetData>
  <mergeCells count="16">
    <mergeCell ref="A59:Q67"/>
    <mergeCell ref="A1:Q1"/>
    <mergeCell ref="B55:D55"/>
    <mergeCell ref="B51:D51"/>
    <mergeCell ref="A45:Q45"/>
    <mergeCell ref="B48:D48"/>
    <mergeCell ref="A58:Q58"/>
    <mergeCell ref="B47:D47"/>
    <mergeCell ref="B54:D54"/>
    <mergeCell ref="A3:Q3"/>
    <mergeCell ref="B46:D46"/>
    <mergeCell ref="B49:D49"/>
    <mergeCell ref="B50:D50"/>
    <mergeCell ref="B56:D56"/>
    <mergeCell ref="B52:D52"/>
    <mergeCell ref="B53:D53"/>
  </mergeCells>
  <dataValidations count="9">
    <dataValidation type="list" sqref="B8 B9 B10 B11 B12 B13 B14 B15 B16 B17 B18 B19 B20" xr:uid="{00000000-0002-0000-0600-000000000000}">
      <formula1>"Public,Internal,Confidential,Restricted,N/A"</formula1>
    </dataValidation>
    <dataValidation type="list" sqref="C8 C9 C10 C11 C12 C13 C14 C15 C16 C17 C18 C19 C20" xr:uid="{00000000-0002-0000-0600-000001000000}">
      <formula1>"Encrypted,Not Encrypted,Partially Encrypted"</formula1>
    </dataValidation>
    <dataValidation type="list" sqref="D8 D9 D10 D11 D12 D13 D14 D15 D16 D17 D18 D19 D20" xr:uid="{00000000-0002-0000-0600-000002000000}">
      <formula1>"Full Disk,File-level,Database TDE,Volume,Container,Application-level,Hardware-based,N/A"</formula1>
    </dataValidation>
    <dataValidation type="list" sqref="F8 F9 F10 F11 F12 F13 F14 F15 F16 F17 F18 F19 F20" xr:uid="{00000000-0002-0000-0600-000003000000}">
      <formula1>"HSM,Cloud KMS,TPM,Software-based,Manual,Vendor-managed,N/A"</formula1>
    </dataValidation>
    <dataValidation type="list" sqref="G8:G20 C24:C35" xr:uid="{00000000-0002-0000-0600-000004000000}">
      <formula1>"Yes,No,N/A"</formula1>
    </dataValidation>
    <dataValidation type="list" sqref="H8 H9 H10 H11 H12 H13 H14 H15 H16 H17 H18 H19 H20" xr:uid="{00000000-0002-0000-0600-000005000000}">
      <formula1>"✅ Compliant,⚠️ Partial,❌ Non-Compliant,N/A"</formula1>
    </dataValidation>
    <dataValidation type="list" sqref="K8:K20 B46 B48" xr:uid="{00000000-0002-0000-0600-000006000000}">
      <formula1>"Yes,No"</formula1>
    </dataValidation>
    <dataValidation type="list" sqref="Q8 Q9 Q10 Q11 Q12 Q13 Q14 Q15 Q16 Q17 Q18 Q19 Q20" xr:uid="{00000000-0002-0000-0600-000007000000}">
      <formula1>"Yes,No,Unknown"</formula1>
    </dataValidation>
    <dataValidation type="list" sqref="B4" xr:uid="{00000000-0002-0000-0600-000008000000}">
      <formula1>"Yes,No,Not Applicable"</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68"/>
  <sheetViews>
    <sheetView workbookViewId="0">
      <pane ySplit="6" topLeftCell="A7" activePane="bottomLeft" state="frozen"/>
      <selection pane="bottomLeft"/>
    </sheetView>
  </sheetViews>
  <sheetFormatPr baseColWidth="10" defaultColWidth="8.83203125" defaultRowHeight="15" x14ac:dyDescent="0.2"/>
  <cols>
    <col min="1" max="1" width="30" customWidth="1"/>
    <col min="2" max="2" width="60" customWidth="1"/>
    <col min="3" max="3" width="15" customWidth="1"/>
    <col min="4" max="4" width="20" customWidth="1"/>
    <col min="5" max="5" width="18" customWidth="1"/>
    <col min="6" max="6" width="22" customWidth="1"/>
    <col min="7" max="7" width="16" customWidth="1"/>
    <col min="8" max="8" width="15" customWidth="1"/>
    <col min="9" max="9" width="28" customWidth="1"/>
    <col min="10" max="10" width="30" customWidth="1"/>
    <col min="11" max="13" width="14" customWidth="1"/>
    <col min="14" max="14" width="30" customWidth="1"/>
    <col min="15" max="15" width="20" customWidth="1"/>
    <col min="16" max="16" width="14" customWidth="1"/>
    <col min="17" max="17" width="15" customWidth="1"/>
  </cols>
  <sheetData>
    <row r="1" spans="1:17" ht="40" customHeight="1" x14ac:dyDescent="0.2">
      <c r="A1" s="18" t="s">
        <v>453</v>
      </c>
      <c r="B1" s="19"/>
      <c r="C1" s="19"/>
      <c r="D1" s="19"/>
      <c r="E1" s="19"/>
      <c r="F1" s="19"/>
      <c r="G1" s="19"/>
      <c r="H1" s="19"/>
      <c r="I1" s="19"/>
      <c r="J1" s="19"/>
      <c r="K1" s="19"/>
      <c r="L1" s="19"/>
      <c r="M1" s="19"/>
      <c r="N1" s="19"/>
      <c r="O1" s="19"/>
      <c r="P1" s="19"/>
      <c r="Q1" s="19"/>
    </row>
    <row r="3" spans="1:17" ht="30" customHeight="1" x14ac:dyDescent="0.2">
      <c r="A3" s="23" t="s">
        <v>454</v>
      </c>
      <c r="B3" s="19"/>
      <c r="C3" s="19"/>
      <c r="D3" s="19"/>
      <c r="E3" s="19"/>
      <c r="F3" s="19"/>
      <c r="G3" s="19"/>
      <c r="H3" s="19"/>
      <c r="I3" s="19"/>
      <c r="J3" s="19"/>
      <c r="K3" s="19"/>
      <c r="L3" s="19"/>
      <c r="M3" s="19"/>
      <c r="N3" s="19"/>
      <c r="O3" s="19"/>
      <c r="P3" s="19"/>
      <c r="Q3" s="19"/>
    </row>
    <row r="4" spans="1:17" x14ac:dyDescent="0.2">
      <c r="A4" s="2" t="s">
        <v>55</v>
      </c>
      <c r="B4" s="3"/>
    </row>
    <row r="6" spans="1:17" ht="30" x14ac:dyDescent="0.2">
      <c r="A6" s="4" t="s">
        <v>56</v>
      </c>
      <c r="B6" s="4" t="s">
        <v>57</v>
      </c>
      <c r="C6" s="4" t="s">
        <v>58</v>
      </c>
      <c r="D6" s="4" t="s">
        <v>59</v>
      </c>
      <c r="E6" s="4" t="s">
        <v>60</v>
      </c>
      <c r="F6" s="4" t="s">
        <v>61</v>
      </c>
      <c r="G6" s="4" t="s">
        <v>62</v>
      </c>
      <c r="H6" s="4" t="s">
        <v>27</v>
      </c>
      <c r="I6" s="4" t="s">
        <v>63</v>
      </c>
      <c r="J6" s="4" t="s">
        <v>64</v>
      </c>
      <c r="K6" s="4" t="s">
        <v>65</v>
      </c>
      <c r="L6" s="4" t="s">
        <v>66</v>
      </c>
      <c r="M6" s="4" t="s">
        <v>67</v>
      </c>
      <c r="N6" s="4" t="s">
        <v>68</v>
      </c>
      <c r="O6" s="4" t="s">
        <v>69</v>
      </c>
      <c r="P6" s="4" t="s">
        <v>70</v>
      </c>
      <c r="Q6" s="4" t="s">
        <v>71</v>
      </c>
    </row>
    <row r="7" spans="1:17" ht="32" x14ac:dyDescent="0.2">
      <c r="A7" s="10" t="s">
        <v>72</v>
      </c>
      <c r="B7" s="10" t="s">
        <v>73</v>
      </c>
      <c r="C7" s="10" t="s">
        <v>74</v>
      </c>
      <c r="D7" s="10" t="s">
        <v>75</v>
      </c>
      <c r="E7" s="10" t="s">
        <v>76</v>
      </c>
      <c r="F7" s="10" t="s">
        <v>77</v>
      </c>
      <c r="G7" s="10" t="s">
        <v>78</v>
      </c>
      <c r="H7" s="10" t="s">
        <v>79</v>
      </c>
      <c r="I7" s="10" t="s">
        <v>80</v>
      </c>
      <c r="J7" s="10" t="s">
        <v>81</v>
      </c>
      <c r="K7" s="10" t="s">
        <v>82</v>
      </c>
      <c r="L7" s="10" t="s">
        <v>38</v>
      </c>
      <c r="M7" s="10" t="s">
        <v>38</v>
      </c>
      <c r="N7" s="10" t="s">
        <v>38</v>
      </c>
      <c r="O7" s="10" t="s">
        <v>38</v>
      </c>
      <c r="P7" s="10" t="s">
        <v>38</v>
      </c>
      <c r="Q7" s="10" t="s">
        <v>82</v>
      </c>
    </row>
    <row r="8" spans="1:17" ht="32" x14ac:dyDescent="0.2">
      <c r="A8" s="11" t="s">
        <v>455</v>
      </c>
      <c r="B8" s="11" t="s">
        <v>84</v>
      </c>
      <c r="C8" s="11" t="s">
        <v>456</v>
      </c>
      <c r="D8" s="11" t="s">
        <v>457</v>
      </c>
      <c r="E8" s="11" t="s">
        <v>76</v>
      </c>
      <c r="F8" s="11" t="s">
        <v>458</v>
      </c>
      <c r="G8" s="11" t="s">
        <v>38</v>
      </c>
      <c r="H8" s="11" t="s">
        <v>79</v>
      </c>
      <c r="I8" s="11" t="s">
        <v>459</v>
      </c>
      <c r="J8" s="11"/>
      <c r="K8" s="11" t="s">
        <v>82</v>
      </c>
      <c r="L8" s="11"/>
      <c r="M8" s="11"/>
      <c r="N8" s="11"/>
      <c r="O8" s="11"/>
      <c r="P8" s="11"/>
      <c r="Q8" s="11"/>
    </row>
    <row r="9" spans="1:17" ht="32" x14ac:dyDescent="0.2">
      <c r="A9" s="11" t="s">
        <v>460</v>
      </c>
      <c r="B9" s="11" t="s">
        <v>84</v>
      </c>
      <c r="C9" s="11" t="s">
        <v>456</v>
      </c>
      <c r="D9" s="11" t="s">
        <v>457</v>
      </c>
      <c r="E9" s="11" t="s">
        <v>76</v>
      </c>
      <c r="F9" s="11" t="s">
        <v>461</v>
      </c>
      <c r="G9" s="11" t="s">
        <v>38</v>
      </c>
      <c r="H9" s="11" t="s">
        <v>79</v>
      </c>
      <c r="I9" s="11" t="s">
        <v>462</v>
      </c>
      <c r="J9" s="11"/>
      <c r="K9" s="11" t="s">
        <v>82</v>
      </c>
      <c r="L9" s="11"/>
      <c r="M9" s="11"/>
      <c r="N9" s="11"/>
      <c r="O9" s="11"/>
      <c r="P9" s="11"/>
      <c r="Q9" s="11"/>
    </row>
    <row r="10" spans="1:17" ht="16" x14ac:dyDescent="0.2">
      <c r="A10" s="11" t="s">
        <v>463</v>
      </c>
      <c r="B10" s="11" t="s">
        <v>102</v>
      </c>
      <c r="C10" s="11" t="s">
        <v>464</v>
      </c>
      <c r="D10" s="11" t="s">
        <v>457</v>
      </c>
      <c r="E10" s="11" t="s">
        <v>76</v>
      </c>
      <c r="F10" s="11" t="s">
        <v>181</v>
      </c>
      <c r="G10" s="11" t="s">
        <v>38</v>
      </c>
      <c r="H10" s="11" t="s">
        <v>79</v>
      </c>
      <c r="I10" s="11" t="s">
        <v>465</v>
      </c>
      <c r="J10" s="11"/>
      <c r="K10" s="11" t="s">
        <v>82</v>
      </c>
      <c r="L10" s="11"/>
      <c r="M10" s="11"/>
      <c r="N10" s="11"/>
      <c r="O10" s="11"/>
      <c r="P10" s="11"/>
      <c r="Q10" s="11"/>
    </row>
    <row r="11" spans="1:17" ht="32" x14ac:dyDescent="0.2">
      <c r="A11" s="11" t="s">
        <v>466</v>
      </c>
      <c r="B11" s="11" t="s">
        <v>84</v>
      </c>
      <c r="C11" s="11" t="s">
        <v>456</v>
      </c>
      <c r="D11" s="11" t="s">
        <v>467</v>
      </c>
      <c r="E11" s="11" t="s">
        <v>76</v>
      </c>
      <c r="F11" s="11" t="s">
        <v>468</v>
      </c>
      <c r="G11" s="11" t="s">
        <v>38</v>
      </c>
      <c r="H11" s="11" t="s">
        <v>79</v>
      </c>
      <c r="I11" s="11" t="s">
        <v>469</v>
      </c>
      <c r="J11" s="11"/>
      <c r="K11" s="11" t="s">
        <v>82</v>
      </c>
      <c r="L11" s="11"/>
      <c r="M11" s="11"/>
      <c r="N11" s="11"/>
      <c r="O11" s="11"/>
      <c r="P11" s="11"/>
      <c r="Q11" s="11"/>
    </row>
    <row r="12" spans="1:17" ht="16" x14ac:dyDescent="0.2">
      <c r="A12" s="11" t="s">
        <v>470</v>
      </c>
      <c r="B12" s="11" t="s">
        <v>102</v>
      </c>
      <c r="C12" s="11" t="s">
        <v>471</v>
      </c>
      <c r="D12" s="11" t="s">
        <v>472</v>
      </c>
      <c r="E12" s="11" t="s">
        <v>76</v>
      </c>
      <c r="F12" s="11" t="s">
        <v>473</v>
      </c>
      <c r="G12" s="11" t="s">
        <v>38</v>
      </c>
      <c r="H12" s="11" t="s">
        <v>106</v>
      </c>
      <c r="I12" s="11" t="s">
        <v>474</v>
      </c>
      <c r="J12" s="11" t="s">
        <v>475</v>
      </c>
      <c r="K12" s="11" t="s">
        <v>78</v>
      </c>
      <c r="L12" s="11"/>
      <c r="M12" s="11"/>
      <c r="N12" s="11"/>
      <c r="O12" s="11"/>
      <c r="P12" s="11"/>
      <c r="Q12" s="11"/>
    </row>
    <row r="13" spans="1:17" ht="32" x14ac:dyDescent="0.2">
      <c r="A13" s="11" t="s">
        <v>476</v>
      </c>
      <c r="B13" s="11" t="s">
        <v>102</v>
      </c>
      <c r="C13" s="11" t="s">
        <v>477</v>
      </c>
      <c r="D13" s="11" t="s">
        <v>355</v>
      </c>
      <c r="E13" s="11" t="s">
        <v>116</v>
      </c>
      <c r="F13" s="11" t="s">
        <v>478</v>
      </c>
      <c r="G13" s="11" t="s">
        <v>38</v>
      </c>
      <c r="H13" s="11" t="s">
        <v>106</v>
      </c>
      <c r="I13" s="11" t="s">
        <v>479</v>
      </c>
      <c r="J13" s="11" t="s">
        <v>480</v>
      </c>
      <c r="K13" s="11" t="s">
        <v>78</v>
      </c>
      <c r="L13" s="11"/>
      <c r="M13" s="11"/>
      <c r="N13" s="11"/>
      <c r="O13" s="11"/>
      <c r="P13" s="11"/>
      <c r="Q13" s="11"/>
    </row>
    <row r="14" spans="1:17" ht="32" x14ac:dyDescent="0.2">
      <c r="A14" s="11" t="s">
        <v>481</v>
      </c>
      <c r="B14" s="11" t="s">
        <v>113</v>
      </c>
      <c r="C14" s="11" t="s">
        <v>122</v>
      </c>
      <c r="D14" s="11" t="s">
        <v>81</v>
      </c>
      <c r="E14" s="11" t="s">
        <v>81</v>
      </c>
      <c r="F14" s="11" t="s">
        <v>81</v>
      </c>
      <c r="G14" s="11" t="s">
        <v>38</v>
      </c>
      <c r="H14" s="11" t="s">
        <v>118</v>
      </c>
      <c r="I14" s="11" t="s">
        <v>482</v>
      </c>
      <c r="J14" s="11" t="s">
        <v>483</v>
      </c>
      <c r="K14" s="11" t="s">
        <v>78</v>
      </c>
      <c r="L14" s="11"/>
      <c r="M14" s="11"/>
      <c r="N14" s="11"/>
      <c r="O14" s="11"/>
      <c r="P14" s="11"/>
      <c r="Q14" s="11"/>
    </row>
    <row r="15" spans="1:17" ht="16" x14ac:dyDescent="0.2">
      <c r="A15" s="11" t="s">
        <v>484</v>
      </c>
      <c r="B15" s="11" t="s">
        <v>38</v>
      </c>
      <c r="C15" s="11" t="s">
        <v>485</v>
      </c>
      <c r="D15" s="11" t="s">
        <v>38</v>
      </c>
      <c r="E15" s="11" t="s">
        <v>38</v>
      </c>
      <c r="F15" s="11" t="s">
        <v>38</v>
      </c>
      <c r="G15" s="11" t="s">
        <v>38</v>
      </c>
      <c r="H15" s="11" t="s">
        <v>79</v>
      </c>
      <c r="I15" s="11" t="s">
        <v>486</v>
      </c>
      <c r="J15" s="11"/>
      <c r="K15" s="11" t="s">
        <v>82</v>
      </c>
      <c r="L15" s="11"/>
      <c r="M15" s="11"/>
      <c r="N15" s="11"/>
      <c r="O15" s="11"/>
      <c r="P15" s="11"/>
      <c r="Q15" s="11"/>
    </row>
    <row r="16" spans="1:17" x14ac:dyDescent="0.2">
      <c r="A16" s="11"/>
      <c r="B16" s="11"/>
      <c r="C16" s="11"/>
      <c r="D16" s="11"/>
      <c r="E16" s="11"/>
      <c r="F16" s="11"/>
      <c r="G16" s="11"/>
      <c r="H16" s="11"/>
      <c r="I16" s="11"/>
      <c r="J16" s="11"/>
      <c r="K16" s="11"/>
      <c r="L16" s="11"/>
      <c r="M16" s="11"/>
      <c r="N16" s="11"/>
      <c r="O16" s="11"/>
      <c r="P16" s="11"/>
      <c r="Q16" s="11"/>
    </row>
    <row r="17" spans="1:17" x14ac:dyDescent="0.2">
      <c r="A17" s="11"/>
      <c r="B17" s="11"/>
      <c r="C17" s="11"/>
      <c r="D17" s="11"/>
      <c r="E17" s="11"/>
      <c r="F17" s="11"/>
      <c r="G17" s="11"/>
      <c r="H17" s="11"/>
      <c r="I17" s="11"/>
      <c r="J17" s="11"/>
      <c r="K17" s="11"/>
      <c r="L17" s="11"/>
      <c r="M17" s="11"/>
      <c r="N17" s="11"/>
      <c r="O17" s="11"/>
      <c r="P17" s="11"/>
      <c r="Q17" s="11"/>
    </row>
    <row r="18" spans="1:17" x14ac:dyDescent="0.2">
      <c r="A18" s="11"/>
      <c r="B18" s="11"/>
      <c r="C18" s="11"/>
      <c r="D18" s="11"/>
      <c r="E18" s="11"/>
      <c r="F18" s="11"/>
      <c r="G18" s="11"/>
      <c r="H18" s="11"/>
      <c r="I18" s="11"/>
      <c r="J18" s="11"/>
      <c r="K18" s="11"/>
      <c r="L18" s="11"/>
      <c r="M18" s="11"/>
      <c r="N18" s="11"/>
      <c r="O18" s="11"/>
      <c r="P18" s="11"/>
      <c r="Q18" s="11"/>
    </row>
    <row r="19" spans="1:17" x14ac:dyDescent="0.2">
      <c r="A19" s="11"/>
      <c r="B19" s="11"/>
      <c r="C19" s="11"/>
      <c r="D19" s="11"/>
      <c r="E19" s="11"/>
      <c r="F19" s="11"/>
      <c r="G19" s="11"/>
      <c r="H19" s="11"/>
      <c r="I19" s="11"/>
      <c r="J19" s="11"/>
      <c r="K19" s="11"/>
      <c r="L19" s="11"/>
      <c r="M19" s="11"/>
      <c r="N19" s="11"/>
      <c r="O19" s="11"/>
      <c r="P19" s="11"/>
      <c r="Q19" s="11"/>
    </row>
    <row r="20" spans="1:17" x14ac:dyDescent="0.2">
      <c r="A20" s="11"/>
      <c r="B20" s="11"/>
      <c r="C20" s="11"/>
      <c r="D20" s="11"/>
      <c r="E20" s="11"/>
      <c r="F20" s="11"/>
      <c r="G20" s="11"/>
      <c r="H20" s="11"/>
      <c r="I20" s="11"/>
      <c r="J20" s="11"/>
      <c r="K20" s="11"/>
      <c r="L20" s="11"/>
      <c r="M20" s="11"/>
      <c r="N20" s="11"/>
      <c r="O20" s="11"/>
      <c r="P20" s="11"/>
      <c r="Q20" s="11"/>
    </row>
    <row r="22" spans="1:17" x14ac:dyDescent="0.2">
      <c r="A22" s="12" t="s">
        <v>487</v>
      </c>
    </row>
    <row r="23" spans="1:17" x14ac:dyDescent="0.2">
      <c r="A23" s="2" t="s">
        <v>127</v>
      </c>
      <c r="B23" s="2" t="s">
        <v>128</v>
      </c>
      <c r="C23" s="2" t="s">
        <v>27</v>
      </c>
    </row>
    <row r="24" spans="1:17" x14ac:dyDescent="0.2">
      <c r="A24" t="s">
        <v>127</v>
      </c>
      <c r="B24" t="s">
        <v>488</v>
      </c>
      <c r="C24" s="3"/>
    </row>
    <row r="25" spans="1:17" x14ac:dyDescent="0.2">
      <c r="A25" t="s">
        <v>127</v>
      </c>
      <c r="B25" t="s">
        <v>489</v>
      </c>
      <c r="C25" s="3"/>
    </row>
    <row r="26" spans="1:17" x14ac:dyDescent="0.2">
      <c r="A26" t="s">
        <v>127</v>
      </c>
      <c r="B26" t="s">
        <v>490</v>
      </c>
      <c r="C26" s="3"/>
    </row>
    <row r="27" spans="1:17" x14ac:dyDescent="0.2">
      <c r="A27" t="s">
        <v>127</v>
      </c>
      <c r="B27" t="s">
        <v>491</v>
      </c>
      <c r="C27" s="3"/>
    </row>
    <row r="28" spans="1:17" x14ac:dyDescent="0.2">
      <c r="A28" t="s">
        <v>127</v>
      </c>
      <c r="B28" t="s">
        <v>492</v>
      </c>
      <c r="C28" s="3"/>
    </row>
    <row r="29" spans="1:17" x14ac:dyDescent="0.2">
      <c r="A29" t="s">
        <v>127</v>
      </c>
      <c r="B29" t="s">
        <v>493</v>
      </c>
      <c r="C29" s="3"/>
    </row>
    <row r="30" spans="1:17" x14ac:dyDescent="0.2">
      <c r="A30" t="s">
        <v>127</v>
      </c>
      <c r="B30" t="s">
        <v>494</v>
      </c>
      <c r="C30" s="3"/>
    </row>
    <row r="31" spans="1:17" x14ac:dyDescent="0.2">
      <c r="A31" t="s">
        <v>127</v>
      </c>
      <c r="B31" t="s">
        <v>495</v>
      </c>
      <c r="C31" s="3"/>
    </row>
    <row r="32" spans="1:17" x14ac:dyDescent="0.2">
      <c r="A32" t="s">
        <v>127</v>
      </c>
      <c r="B32" t="s">
        <v>496</v>
      </c>
      <c r="C32" s="3"/>
    </row>
    <row r="33" spans="1:17" x14ac:dyDescent="0.2">
      <c r="A33" t="s">
        <v>127</v>
      </c>
      <c r="B33" t="s">
        <v>497</v>
      </c>
      <c r="C33" s="3"/>
    </row>
    <row r="34" spans="1:17" x14ac:dyDescent="0.2">
      <c r="A34" t="s">
        <v>127</v>
      </c>
      <c r="B34" t="s">
        <v>498</v>
      </c>
      <c r="C34" s="3"/>
    </row>
    <row r="35" spans="1:17" x14ac:dyDescent="0.2">
      <c r="A35" t="s">
        <v>127</v>
      </c>
      <c r="B35" t="s">
        <v>499</v>
      </c>
      <c r="C35" s="3"/>
    </row>
    <row r="36" spans="1:17" x14ac:dyDescent="0.2">
      <c r="A36" s="2" t="s">
        <v>139</v>
      </c>
      <c r="B36" s="13" t="e">
        <f>COUNTIF(C24:C35,"Yes")/COUNTA(C24:C35)*100&amp;"%"</f>
        <v>#DIV/0!</v>
      </c>
    </row>
    <row r="38" spans="1:17" x14ac:dyDescent="0.2">
      <c r="A38" s="12" t="s">
        <v>319</v>
      </c>
    </row>
    <row r="39" spans="1:17" ht="16" x14ac:dyDescent="0.2">
      <c r="A39" s="2" t="s">
        <v>500</v>
      </c>
      <c r="B39" s="14" t="s">
        <v>464</v>
      </c>
    </row>
    <row r="40" spans="1:17" ht="16" x14ac:dyDescent="0.2">
      <c r="A40" s="2" t="s">
        <v>501</v>
      </c>
      <c r="B40" s="14" t="s">
        <v>502</v>
      </c>
    </row>
    <row r="41" spans="1:17" ht="16" x14ac:dyDescent="0.2">
      <c r="A41" s="2" t="s">
        <v>503</v>
      </c>
      <c r="B41" s="14" t="s">
        <v>504</v>
      </c>
    </row>
    <row r="42" spans="1:17" ht="16" x14ac:dyDescent="0.2">
      <c r="A42" s="2" t="s">
        <v>505</v>
      </c>
      <c r="B42" s="14" t="s">
        <v>471</v>
      </c>
    </row>
    <row r="43" spans="1:17" ht="16" x14ac:dyDescent="0.2">
      <c r="A43" s="2" t="s">
        <v>506</v>
      </c>
      <c r="B43" s="14" t="s">
        <v>507</v>
      </c>
    </row>
    <row r="44" spans="1:17" ht="16" x14ac:dyDescent="0.2">
      <c r="A44" s="2" t="s">
        <v>508</v>
      </c>
      <c r="B44" s="14" t="s">
        <v>509</v>
      </c>
    </row>
    <row r="46" spans="1:17" x14ac:dyDescent="0.2">
      <c r="A46" s="33" t="s">
        <v>140</v>
      </c>
      <c r="B46" s="19"/>
      <c r="C46" s="19"/>
      <c r="D46" s="19"/>
      <c r="E46" s="19"/>
      <c r="F46" s="19"/>
      <c r="G46" s="19"/>
      <c r="H46" s="19"/>
      <c r="I46" s="19"/>
      <c r="J46" s="19"/>
      <c r="K46" s="19"/>
      <c r="L46" s="19"/>
      <c r="M46" s="19"/>
      <c r="N46" s="19"/>
      <c r="O46" s="19"/>
      <c r="P46" s="19"/>
      <c r="Q46" s="19"/>
    </row>
    <row r="47" spans="1:17" x14ac:dyDescent="0.2">
      <c r="A47" s="2" t="s">
        <v>141</v>
      </c>
      <c r="B47" s="20"/>
      <c r="C47" s="21"/>
      <c r="D47" s="22"/>
    </row>
    <row r="48" spans="1:17" x14ac:dyDescent="0.2">
      <c r="A48" s="2" t="s">
        <v>142</v>
      </c>
      <c r="B48" s="20"/>
      <c r="C48" s="21"/>
      <c r="D48" s="22"/>
    </row>
    <row r="49" spans="1:17" x14ac:dyDescent="0.2">
      <c r="A49" s="2" t="s">
        <v>143</v>
      </c>
      <c r="B49" s="20"/>
      <c r="C49" s="21"/>
      <c r="D49" s="22"/>
    </row>
    <row r="50" spans="1:17" x14ac:dyDescent="0.2">
      <c r="A50" s="2" t="s">
        <v>144</v>
      </c>
      <c r="B50" s="20"/>
      <c r="C50" s="21"/>
      <c r="D50" s="22"/>
    </row>
    <row r="51" spans="1:17" x14ac:dyDescent="0.2">
      <c r="A51" s="2" t="s">
        <v>145</v>
      </c>
      <c r="B51" s="20"/>
      <c r="C51" s="21"/>
      <c r="D51" s="22"/>
    </row>
    <row r="52" spans="1:17" x14ac:dyDescent="0.2">
      <c r="A52" s="2" t="s">
        <v>146</v>
      </c>
      <c r="B52" s="20"/>
      <c r="C52" s="21"/>
      <c r="D52" s="22"/>
    </row>
    <row r="53" spans="1:17" x14ac:dyDescent="0.2">
      <c r="A53" s="2" t="s">
        <v>147</v>
      </c>
      <c r="B53" s="20"/>
      <c r="C53" s="21"/>
      <c r="D53" s="22"/>
    </row>
    <row r="54" spans="1:17" x14ac:dyDescent="0.2">
      <c r="A54" s="2" t="s">
        <v>148</v>
      </c>
      <c r="B54" s="20"/>
      <c r="C54" s="21"/>
      <c r="D54" s="22"/>
    </row>
    <row r="55" spans="1:17" x14ac:dyDescent="0.2">
      <c r="A55" s="2" t="s">
        <v>149</v>
      </c>
      <c r="B55" s="20"/>
      <c r="C55" s="21"/>
      <c r="D55" s="22"/>
    </row>
    <row r="56" spans="1:17" x14ac:dyDescent="0.2">
      <c r="A56" s="2" t="s">
        <v>150</v>
      </c>
      <c r="B56" s="20"/>
      <c r="C56" s="21"/>
      <c r="D56" s="22"/>
    </row>
    <row r="57" spans="1:17" x14ac:dyDescent="0.2">
      <c r="A57" s="2" t="s">
        <v>151</v>
      </c>
      <c r="B57" s="20"/>
      <c r="C57" s="21"/>
      <c r="D57" s="22"/>
    </row>
    <row r="59" spans="1:17" x14ac:dyDescent="0.2">
      <c r="A59" s="32" t="s">
        <v>152</v>
      </c>
      <c r="B59" s="19"/>
      <c r="C59" s="19"/>
      <c r="D59" s="19"/>
      <c r="E59" s="19"/>
      <c r="F59" s="19"/>
      <c r="G59" s="19"/>
      <c r="H59" s="19"/>
      <c r="I59" s="19"/>
      <c r="J59" s="19"/>
      <c r="K59" s="19"/>
      <c r="L59" s="19"/>
      <c r="M59" s="19"/>
      <c r="N59" s="19"/>
      <c r="O59" s="19"/>
      <c r="P59" s="19"/>
      <c r="Q59" s="19"/>
    </row>
    <row r="60" spans="1:17" x14ac:dyDescent="0.2">
      <c r="A60" s="24"/>
      <c r="B60" s="25"/>
      <c r="C60" s="25"/>
      <c r="D60" s="25"/>
      <c r="E60" s="25"/>
      <c r="F60" s="25"/>
      <c r="G60" s="25"/>
      <c r="H60" s="25"/>
      <c r="I60" s="25"/>
      <c r="J60" s="25"/>
      <c r="K60" s="25"/>
      <c r="L60" s="25"/>
      <c r="M60" s="25"/>
      <c r="N60" s="25"/>
      <c r="O60" s="25"/>
      <c r="P60" s="25"/>
      <c r="Q60" s="26"/>
    </row>
    <row r="61" spans="1:17" x14ac:dyDescent="0.2">
      <c r="A61" s="27"/>
      <c r="B61" s="19"/>
      <c r="C61" s="19"/>
      <c r="D61" s="19"/>
      <c r="E61" s="19"/>
      <c r="F61" s="19"/>
      <c r="G61" s="19"/>
      <c r="H61" s="19"/>
      <c r="I61" s="19"/>
      <c r="J61" s="19"/>
      <c r="K61" s="19"/>
      <c r="L61" s="19"/>
      <c r="M61" s="19"/>
      <c r="N61" s="19"/>
      <c r="O61" s="19"/>
      <c r="P61" s="19"/>
      <c r="Q61" s="28"/>
    </row>
    <row r="62" spans="1:17" x14ac:dyDescent="0.2">
      <c r="A62" s="27"/>
      <c r="B62" s="19"/>
      <c r="C62" s="19"/>
      <c r="D62" s="19"/>
      <c r="E62" s="19"/>
      <c r="F62" s="19"/>
      <c r="G62" s="19"/>
      <c r="H62" s="19"/>
      <c r="I62" s="19"/>
      <c r="J62" s="19"/>
      <c r="K62" s="19"/>
      <c r="L62" s="19"/>
      <c r="M62" s="19"/>
      <c r="N62" s="19"/>
      <c r="O62" s="19"/>
      <c r="P62" s="19"/>
      <c r="Q62" s="28"/>
    </row>
    <row r="63" spans="1:17" x14ac:dyDescent="0.2">
      <c r="A63" s="27"/>
      <c r="B63" s="19"/>
      <c r="C63" s="19"/>
      <c r="D63" s="19"/>
      <c r="E63" s="19"/>
      <c r="F63" s="19"/>
      <c r="G63" s="19"/>
      <c r="H63" s="19"/>
      <c r="I63" s="19"/>
      <c r="J63" s="19"/>
      <c r="K63" s="19"/>
      <c r="L63" s="19"/>
      <c r="M63" s="19"/>
      <c r="N63" s="19"/>
      <c r="O63" s="19"/>
      <c r="P63" s="19"/>
      <c r="Q63" s="28"/>
    </row>
    <row r="64" spans="1:17" x14ac:dyDescent="0.2">
      <c r="A64" s="27"/>
      <c r="B64" s="19"/>
      <c r="C64" s="19"/>
      <c r="D64" s="19"/>
      <c r="E64" s="19"/>
      <c r="F64" s="19"/>
      <c r="G64" s="19"/>
      <c r="H64" s="19"/>
      <c r="I64" s="19"/>
      <c r="J64" s="19"/>
      <c r="K64" s="19"/>
      <c r="L64" s="19"/>
      <c r="M64" s="19"/>
      <c r="N64" s="19"/>
      <c r="O64" s="19"/>
      <c r="P64" s="19"/>
      <c r="Q64" s="28"/>
    </row>
    <row r="65" spans="1:17" x14ac:dyDescent="0.2">
      <c r="A65" s="27"/>
      <c r="B65" s="19"/>
      <c r="C65" s="19"/>
      <c r="D65" s="19"/>
      <c r="E65" s="19"/>
      <c r="F65" s="19"/>
      <c r="G65" s="19"/>
      <c r="H65" s="19"/>
      <c r="I65" s="19"/>
      <c r="J65" s="19"/>
      <c r="K65" s="19"/>
      <c r="L65" s="19"/>
      <c r="M65" s="19"/>
      <c r="N65" s="19"/>
      <c r="O65" s="19"/>
      <c r="P65" s="19"/>
      <c r="Q65" s="28"/>
    </row>
    <row r="66" spans="1:17" x14ac:dyDescent="0.2">
      <c r="A66" s="27"/>
      <c r="B66" s="19"/>
      <c r="C66" s="19"/>
      <c r="D66" s="19"/>
      <c r="E66" s="19"/>
      <c r="F66" s="19"/>
      <c r="G66" s="19"/>
      <c r="H66" s="19"/>
      <c r="I66" s="19"/>
      <c r="J66" s="19"/>
      <c r="K66" s="19"/>
      <c r="L66" s="19"/>
      <c r="M66" s="19"/>
      <c r="N66" s="19"/>
      <c r="O66" s="19"/>
      <c r="P66" s="19"/>
      <c r="Q66" s="28"/>
    </row>
    <row r="67" spans="1:17" x14ac:dyDescent="0.2">
      <c r="A67" s="27"/>
      <c r="B67" s="19"/>
      <c r="C67" s="19"/>
      <c r="D67" s="19"/>
      <c r="E67" s="19"/>
      <c r="F67" s="19"/>
      <c r="G67" s="19"/>
      <c r="H67" s="19"/>
      <c r="I67" s="19"/>
      <c r="J67" s="19"/>
      <c r="K67" s="19"/>
      <c r="L67" s="19"/>
      <c r="M67" s="19"/>
      <c r="N67" s="19"/>
      <c r="O67" s="19"/>
      <c r="P67" s="19"/>
      <c r="Q67" s="28"/>
    </row>
    <row r="68" spans="1:17" x14ac:dyDescent="0.2">
      <c r="A68" s="29"/>
      <c r="B68" s="30"/>
      <c r="C68" s="30"/>
      <c r="D68" s="30"/>
      <c r="E68" s="30"/>
      <c r="F68" s="30"/>
      <c r="G68" s="30"/>
      <c r="H68" s="30"/>
      <c r="I68" s="30"/>
      <c r="J68" s="30"/>
      <c r="K68" s="30"/>
      <c r="L68" s="30"/>
      <c r="M68" s="30"/>
      <c r="N68" s="30"/>
      <c r="O68" s="30"/>
      <c r="P68" s="30"/>
      <c r="Q68" s="31"/>
    </row>
  </sheetData>
  <mergeCells count="16">
    <mergeCell ref="A1:Q1"/>
    <mergeCell ref="B55:D55"/>
    <mergeCell ref="B51:D51"/>
    <mergeCell ref="B47:D47"/>
    <mergeCell ref="B48:D48"/>
    <mergeCell ref="A46:Q46"/>
    <mergeCell ref="A59:Q59"/>
    <mergeCell ref="A60:Q68"/>
    <mergeCell ref="B56:D56"/>
    <mergeCell ref="B52:D52"/>
    <mergeCell ref="B53:D53"/>
    <mergeCell ref="B54:D54"/>
    <mergeCell ref="A3:Q3"/>
    <mergeCell ref="B57:D57"/>
    <mergeCell ref="B49:D49"/>
    <mergeCell ref="B50:D50"/>
  </mergeCells>
  <dataValidations count="9">
    <dataValidation type="list" sqref="B8 B9 B10 B11 B12 B13 B14 B15 B16 B17 B18 B19 B20" xr:uid="{00000000-0002-0000-0700-000000000000}">
      <formula1>"Public,Internal,Confidential,Restricted,N/A"</formula1>
    </dataValidation>
    <dataValidation type="list" sqref="C8 C9 C10 C11 C12 C13 C14 C15 C16 C17 C18 C19 C20" xr:uid="{00000000-0002-0000-0700-000001000000}">
      <formula1>"Encrypted,Not Encrypted,Partially Encrypted"</formula1>
    </dataValidation>
    <dataValidation type="list" sqref="D8 D9 D10 D11 D12 D13 D14 D15 D16 D17 D18 D19 D20" xr:uid="{00000000-0002-0000-0700-000002000000}">
      <formula1>"Full Disk,File-level,Database TDE,Volume,Container,Application-level,Hardware-based,N/A"</formula1>
    </dataValidation>
    <dataValidation type="list" sqref="F8 F9 F10 F11 F12 F13 F14 F15 F16 F17 F18 F19 F20" xr:uid="{00000000-0002-0000-0700-000003000000}">
      <formula1>"HSM,Cloud KMS,TPM,Software-based,Manual,Vendor-managed,N/A"</formula1>
    </dataValidation>
    <dataValidation type="list" sqref="G8:G20 C24:C35" xr:uid="{00000000-0002-0000-0700-000004000000}">
      <formula1>"Yes,No,N/A"</formula1>
    </dataValidation>
    <dataValidation type="list" sqref="H8 H9 H10 H11 H12 H13 H14 H15 H16 H17 H18 H19 H20" xr:uid="{00000000-0002-0000-0700-000005000000}">
      <formula1>"✅ Compliant,⚠️ Partial,❌ Non-Compliant,N/A"</formula1>
    </dataValidation>
    <dataValidation type="list" sqref="K8:K20 B47 B49" xr:uid="{00000000-0002-0000-0700-000006000000}">
      <formula1>"Yes,No"</formula1>
    </dataValidation>
    <dataValidation type="list" sqref="Q8 Q9 Q10 Q11 Q12 Q13 Q14 Q15 Q16 Q17 Q18 Q19 Q20" xr:uid="{00000000-0002-0000-0700-000007000000}">
      <formula1>"Yes,No,Unknown"</formula1>
    </dataValidation>
    <dataValidation type="list" sqref="B4" xr:uid="{00000000-0002-0000-0700-000008000000}">
      <formula1>"Yes,No,Not Applicable"</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38"/>
  <sheetViews>
    <sheetView workbookViewId="0">
      <pane ySplit="3" topLeftCell="A4" activePane="bottomLeft" state="frozen"/>
      <selection pane="bottomLeft"/>
    </sheetView>
  </sheetViews>
  <sheetFormatPr baseColWidth="10" defaultColWidth="8.83203125" defaultRowHeight="15" x14ac:dyDescent="0.2"/>
  <cols>
    <col min="1" max="1" width="30" customWidth="1"/>
    <col min="2" max="7" width="15" customWidth="1"/>
  </cols>
  <sheetData>
    <row r="1" spans="1:7" ht="30" customHeight="1" x14ac:dyDescent="0.2">
      <c r="A1" s="18" t="s">
        <v>510</v>
      </c>
      <c r="B1" s="19"/>
      <c r="C1" s="19"/>
      <c r="D1" s="19"/>
      <c r="E1" s="19"/>
      <c r="F1" s="19"/>
      <c r="G1" s="19"/>
    </row>
    <row r="3" spans="1:7" x14ac:dyDescent="0.2">
      <c r="A3" s="4" t="s">
        <v>4</v>
      </c>
      <c r="B3" s="4" t="s">
        <v>511</v>
      </c>
      <c r="C3" s="4" t="s">
        <v>30</v>
      </c>
      <c r="D3" s="4" t="s">
        <v>33</v>
      </c>
      <c r="E3" s="4" t="s">
        <v>36</v>
      </c>
      <c r="F3" s="4" t="s">
        <v>38</v>
      </c>
      <c r="G3" s="4" t="s">
        <v>512</v>
      </c>
    </row>
    <row r="4" spans="1:7" x14ac:dyDescent="0.2">
      <c r="A4" t="s">
        <v>513</v>
      </c>
      <c r="B4">
        <f>COUNTA('1. Mobile Devices'!H8:H20)</f>
        <v>8</v>
      </c>
      <c r="C4">
        <f>COUNTIF('1. Mobile Devices'!H8:H20,"✅*")</f>
        <v>4</v>
      </c>
      <c r="D4">
        <f>COUNTIF('1. Mobile Devices'!H8:H20,"⚠️*")</f>
        <v>2</v>
      </c>
      <c r="E4">
        <f>COUNTIF('1. Mobile Devices'!H8:H20,"❌*")</f>
        <v>2</v>
      </c>
      <c r="F4">
        <f>COUNTIF('1. Mobile Devices'!H8:H20,"N/A")</f>
        <v>0</v>
      </c>
      <c r="G4" t="str">
        <f t="shared" ref="G4:G11" si="0">IF((B4-F4)=0,"0%",ROUND(C4/(B4-F4)*100,1)&amp;"%")</f>
        <v>50%</v>
      </c>
    </row>
    <row r="5" spans="1:7" x14ac:dyDescent="0.2">
      <c r="A5" t="s">
        <v>514</v>
      </c>
      <c r="B5">
        <f>COUNTA('2. Laptops &amp; Workstations'!H8:H20)</f>
        <v>9</v>
      </c>
      <c r="C5">
        <f>COUNTIF('2. Laptops &amp; Workstations'!H8:H20,"✅*")</f>
        <v>6</v>
      </c>
      <c r="D5">
        <f>COUNTIF('2. Laptops &amp; Workstations'!H8:H20,"⚠️*")</f>
        <v>1</v>
      </c>
      <c r="E5">
        <f>COUNTIF('2. Laptops &amp; Workstations'!H8:H20,"❌*")</f>
        <v>2</v>
      </c>
      <c r="F5">
        <f>COUNTIF('2. Laptops &amp; Workstations'!H8:H20,"N/A")</f>
        <v>0</v>
      </c>
      <c r="G5" t="str">
        <f t="shared" si="0"/>
        <v>66.7%</v>
      </c>
    </row>
    <row r="6" spans="1:7" x14ac:dyDescent="0.2">
      <c r="A6" t="s">
        <v>515</v>
      </c>
      <c r="B6">
        <f>COUNTA('3. Servers'!H8:H20)</f>
        <v>8</v>
      </c>
      <c r="C6">
        <f>COUNTIF('3. Servers'!H8:H20,"✅*")</f>
        <v>6</v>
      </c>
      <c r="D6">
        <f>COUNTIF('3. Servers'!H8:H20,"⚠️*")</f>
        <v>1</v>
      </c>
      <c r="E6">
        <f>COUNTIF('3. Servers'!H8:H20,"❌*")</f>
        <v>1</v>
      </c>
      <c r="F6">
        <f>COUNTIF('3. Servers'!H8:H20,"N/A")</f>
        <v>0</v>
      </c>
      <c r="G6" t="str">
        <f t="shared" si="0"/>
        <v>75%</v>
      </c>
    </row>
    <row r="7" spans="1:7" x14ac:dyDescent="0.2">
      <c r="A7" t="s">
        <v>516</v>
      </c>
      <c r="B7">
        <f>COUNTA('4. Databases'!H8:H20)</f>
        <v>10</v>
      </c>
      <c r="C7">
        <f>COUNTIF('4. Databases'!H8:H20,"✅*")</f>
        <v>4</v>
      </c>
      <c r="D7">
        <f>COUNTIF('4. Databases'!H8:H20,"⚠️*")</f>
        <v>5</v>
      </c>
      <c r="E7">
        <f>COUNTIF('4. Databases'!H8:H20,"❌*")</f>
        <v>1</v>
      </c>
      <c r="F7">
        <f>COUNTIF('4. Databases'!H8:H20,"N/A")</f>
        <v>0</v>
      </c>
      <c r="G7" t="str">
        <f t="shared" si="0"/>
        <v>40%</v>
      </c>
    </row>
    <row r="8" spans="1:7" x14ac:dyDescent="0.2">
      <c r="A8" t="s">
        <v>517</v>
      </c>
      <c r="B8">
        <f>COUNTA('5. Cloud Storage'!H8:H20)</f>
        <v>10</v>
      </c>
      <c r="C8">
        <f>COUNTIF('5. Cloud Storage'!H8:H20,"✅*")</f>
        <v>10</v>
      </c>
      <c r="D8">
        <f>COUNTIF('5. Cloud Storage'!H8:H20,"⚠️*")</f>
        <v>0</v>
      </c>
      <c r="E8">
        <f>COUNTIF('5. Cloud Storage'!H8:H20,"❌*")</f>
        <v>0</v>
      </c>
      <c r="F8">
        <f>COUNTIF('5. Cloud Storage'!H8:H20,"N/A")</f>
        <v>0</v>
      </c>
      <c r="G8" t="str">
        <f t="shared" si="0"/>
        <v>100%</v>
      </c>
    </row>
    <row r="9" spans="1:7" x14ac:dyDescent="0.2">
      <c r="A9" t="s">
        <v>518</v>
      </c>
      <c r="B9">
        <f>COUNTA('6. Backups'!H8:H20)</f>
        <v>9</v>
      </c>
      <c r="C9">
        <f>COUNTIF('6. Backups'!H8:H20,"✅*")</f>
        <v>7</v>
      </c>
      <c r="D9">
        <f>COUNTIF('6. Backups'!H8:H20,"⚠️*")</f>
        <v>1</v>
      </c>
      <c r="E9">
        <f>COUNTIF('6. Backups'!H8:H20,"❌*")</f>
        <v>1</v>
      </c>
      <c r="F9">
        <f>COUNTIF('6. Backups'!H8:H20,"N/A")</f>
        <v>0</v>
      </c>
      <c r="G9" t="str">
        <f t="shared" si="0"/>
        <v>77.8%</v>
      </c>
    </row>
    <row r="10" spans="1:7" x14ac:dyDescent="0.2">
      <c r="A10" t="s">
        <v>519</v>
      </c>
      <c r="B10">
        <f>COUNTA('7. Removable Media'!H8:H20)</f>
        <v>8</v>
      </c>
      <c r="C10">
        <f>COUNTIF('7. Removable Media'!H8:H20,"✅*")</f>
        <v>5</v>
      </c>
      <c r="D10">
        <f>COUNTIF('7. Removable Media'!H8:H20,"⚠️*")</f>
        <v>2</v>
      </c>
      <c r="E10">
        <f>COUNTIF('7. Removable Media'!H8:H20,"❌*")</f>
        <v>1</v>
      </c>
      <c r="F10">
        <f>COUNTIF('7. Removable Media'!H8:H20,"N/A")</f>
        <v>0</v>
      </c>
      <c r="G10" t="str">
        <f t="shared" si="0"/>
        <v>62.5%</v>
      </c>
    </row>
    <row r="11" spans="1:7" ht="16" x14ac:dyDescent="0.2">
      <c r="A11" s="2" t="s">
        <v>520</v>
      </c>
      <c r="B11" s="2">
        <f>SUM(B4:B10)</f>
        <v>62</v>
      </c>
      <c r="C11" s="2">
        <f>SUM(C4:C10)</f>
        <v>42</v>
      </c>
      <c r="D11" s="2">
        <f>SUM(D4:D10)</f>
        <v>12</v>
      </c>
      <c r="E11" s="2">
        <f>SUM(E4:E10)</f>
        <v>8</v>
      </c>
      <c r="F11" s="2">
        <f>SUM(F4:F10)</f>
        <v>0</v>
      </c>
      <c r="G11" s="15" t="str">
        <f t="shared" si="0"/>
        <v>67.7%</v>
      </c>
    </row>
    <row r="14" spans="1:7" ht="16" x14ac:dyDescent="0.2">
      <c r="A14" s="34" t="s">
        <v>521</v>
      </c>
      <c r="B14" s="19"/>
      <c r="C14" s="19"/>
      <c r="D14" s="19"/>
      <c r="E14" s="19"/>
    </row>
    <row r="15" spans="1:7" x14ac:dyDescent="0.2">
      <c r="A15" s="4" t="s">
        <v>57</v>
      </c>
      <c r="B15" s="4" t="s">
        <v>522</v>
      </c>
      <c r="C15" s="4" t="s">
        <v>74</v>
      </c>
      <c r="D15" s="4" t="s">
        <v>523</v>
      </c>
      <c r="E15" s="4" t="s">
        <v>524</v>
      </c>
    </row>
    <row r="16" spans="1:7" x14ac:dyDescent="0.2">
      <c r="A16" s="16" t="s">
        <v>73</v>
      </c>
      <c r="B16" s="11"/>
      <c r="C16" s="11"/>
      <c r="D16" s="11"/>
      <c r="E16" s="11"/>
    </row>
    <row r="17" spans="1:6" x14ac:dyDescent="0.2">
      <c r="A17" s="16" t="s">
        <v>84</v>
      </c>
      <c r="B17" s="11"/>
      <c r="C17" s="11"/>
      <c r="D17" s="11"/>
      <c r="E17" s="11"/>
    </row>
    <row r="18" spans="1:6" x14ac:dyDescent="0.2">
      <c r="A18" s="16" t="s">
        <v>102</v>
      </c>
      <c r="B18" s="11"/>
      <c r="C18" s="11"/>
      <c r="D18" s="11"/>
      <c r="E18" s="11"/>
    </row>
    <row r="19" spans="1:6" x14ac:dyDescent="0.2">
      <c r="A19" s="16" t="s">
        <v>113</v>
      </c>
      <c r="B19" s="11"/>
      <c r="C19" s="11"/>
      <c r="D19" s="11"/>
      <c r="E19" s="11"/>
    </row>
    <row r="22" spans="1:6" ht="16" x14ac:dyDescent="0.2">
      <c r="A22" s="34" t="s">
        <v>525</v>
      </c>
      <c r="B22" s="19"/>
      <c r="C22" s="19"/>
    </row>
    <row r="23" spans="1:6" x14ac:dyDescent="0.2">
      <c r="A23" s="4" t="s">
        <v>61</v>
      </c>
      <c r="B23" s="4" t="s">
        <v>526</v>
      </c>
      <c r="C23" s="4" t="s">
        <v>527</v>
      </c>
    </row>
    <row r="24" spans="1:6" x14ac:dyDescent="0.2">
      <c r="A24" t="s">
        <v>77</v>
      </c>
      <c r="B24">
        <f>COUNTIF('1. Mobile Devices'!F8:F20,"HSM")+COUNTIF('2. Laptops &amp; Workstations'!F8:F20,"HSM")+COUNTIF('3. Servers'!F8:F20,"HSM")+COUNTIF('4. Databases'!F8:F20,"HSM")+COUNTIF('5. Cloud Storage'!F8:F20,"HSM")+COUNTIF('6. Backups'!F8:F20,"HSM")+COUNTIF('7. Removable Media'!F8:F20,"HSM")</f>
        <v>0</v>
      </c>
      <c r="C24" t="str">
        <f>IF(SUM(B24:B24)=0,"0%",ROUND(B24/SUM(B$24:B$24)*100,1)&amp;"%")</f>
        <v>0%</v>
      </c>
    </row>
    <row r="25" spans="1:6" x14ac:dyDescent="0.2">
      <c r="A25" t="s">
        <v>341</v>
      </c>
      <c r="B25">
        <f>COUNTIF('1. Mobile Devices'!F8:F20,"Cloud KMS")+COUNTIF('2. Laptops &amp; Workstations'!F8:F20,"Cloud KMS")+COUNTIF('3. Servers'!F8:F20,"Cloud KMS")+COUNTIF('4. Databases'!F8:F20,"Cloud KMS")+COUNTIF('5. Cloud Storage'!F8:F20,"Cloud KMS")+COUNTIF('6. Backups'!F8:F20,"Cloud KMS")+COUNTIF('7. Removable Media'!F8:F20,"Cloud KMS")</f>
        <v>2</v>
      </c>
      <c r="C25" t="str">
        <f>IF(SUM(B24:B25)=0,"0%",ROUND(B25/SUM(B$24:B$25)*100,1)&amp;"%")</f>
        <v>100%</v>
      </c>
    </row>
    <row r="26" spans="1:6" x14ac:dyDescent="0.2">
      <c r="A26" t="s">
        <v>528</v>
      </c>
      <c r="B26">
        <f>COUNTIF('1. Mobile Devices'!F8:F20,"TPM")+COUNTIF('2. Laptops &amp; Workstations'!F8:F20,"TPM")+COUNTIF('3. Servers'!F8:F20,"TPM")+COUNTIF('4. Databases'!F8:F20,"TPM")+COUNTIF('5. Cloud Storage'!F8:F20,"TPM")+COUNTIF('6. Backups'!F8:F20,"TPM")+COUNTIF('7. Removable Media'!F8:F20,"TPM")</f>
        <v>0</v>
      </c>
      <c r="C26" t="str">
        <f>IF(SUM(B24:B26)=0,"0%",ROUND(B26/SUM(B$24:B$26)*100,1)&amp;"%")</f>
        <v>0%</v>
      </c>
    </row>
    <row r="27" spans="1:6" x14ac:dyDescent="0.2">
      <c r="A27" t="s">
        <v>529</v>
      </c>
      <c r="B27">
        <f>COUNTIF('1. Mobile Devices'!F8:F20,"Software-based")+COUNTIF('2. Laptops &amp; Workstations'!F8:F20,"Software-based")+COUNTIF('3. Servers'!F8:F20,"Software-based")+COUNTIF('4. Databases'!F8:F20,"Software-based")+COUNTIF('5. Cloud Storage'!F8:F20,"Software-based")+COUNTIF('6. Backups'!F8:F20,"Software-based")+COUNTIF('7. Removable Media'!F8:F20,"Software-based")</f>
        <v>0</v>
      </c>
      <c r="C27" t="str">
        <f>IF(SUM(B24:B27)=0,"0%",ROUND(B27/SUM(B$24:B$27)*100,1)&amp;"%")</f>
        <v>0%</v>
      </c>
    </row>
    <row r="28" spans="1:6" x14ac:dyDescent="0.2">
      <c r="A28" t="s">
        <v>234</v>
      </c>
      <c r="B28">
        <f>COUNTIF('1. Mobile Devices'!F8:F20,"Manual")+COUNTIF('2. Laptops &amp; Workstations'!F8:F20,"Manual")+COUNTIF('3. Servers'!F8:F20,"Manual")+COUNTIF('4. Databases'!F8:F20,"Manual")+COUNTIF('5. Cloud Storage'!F8:F20,"Manual")+COUNTIF('6. Backups'!F8:F20,"Manual")+COUNTIF('7. Removable Media'!F8:F20,"Manual")</f>
        <v>1</v>
      </c>
      <c r="C28" t="str">
        <f>IF(SUM(B24:B28)=0,"0%",ROUND(B28/SUM(B$24:B$28)*100,1)&amp;"%")</f>
        <v>33.3%</v>
      </c>
    </row>
    <row r="29" spans="1:6" x14ac:dyDescent="0.2">
      <c r="A29" t="s">
        <v>530</v>
      </c>
      <c r="B29">
        <f>COUNTIF('1. Mobile Devices'!F8:F20,"Vendor-managed")+COUNTIF('2. Laptops &amp; Workstations'!F8:F20,"Vendor-managed")+COUNTIF('3. Servers'!F8:F20,"Vendor-managed")+COUNTIF('4. Databases'!F8:F20,"Vendor-managed")+COUNTIF('5. Cloud Storage'!F8:F20,"Vendor-managed")+COUNTIF('6. Backups'!F8:F20,"Vendor-managed")+COUNTIF('7. Removable Media'!F8:F20,"Vendor-managed")</f>
        <v>0</v>
      </c>
      <c r="C29" t="str">
        <f>IF(SUM(B24:B29)=0,"0%",ROUND(B29/SUM(B$24:B$29)*100,1)&amp;"%")</f>
        <v>0%</v>
      </c>
    </row>
    <row r="32" spans="1:6" ht="16" x14ac:dyDescent="0.2">
      <c r="A32" s="35" t="s">
        <v>531</v>
      </c>
      <c r="B32" s="19"/>
      <c r="C32" s="19"/>
      <c r="D32" s="19"/>
      <c r="E32" s="19"/>
      <c r="F32" s="19"/>
    </row>
    <row r="33" spans="1:6" x14ac:dyDescent="0.2">
      <c r="A33" s="4" t="s">
        <v>532</v>
      </c>
      <c r="B33" s="4" t="s">
        <v>4</v>
      </c>
      <c r="C33" s="4" t="s">
        <v>64</v>
      </c>
      <c r="D33" s="4" t="s">
        <v>69</v>
      </c>
      <c r="E33" s="4" t="s">
        <v>70</v>
      </c>
      <c r="F33" s="4" t="s">
        <v>27</v>
      </c>
    </row>
    <row r="34" spans="1:6" x14ac:dyDescent="0.2">
      <c r="A34" s="3"/>
      <c r="B34" s="11"/>
      <c r="C34" s="11"/>
      <c r="D34" s="11"/>
      <c r="E34" s="11"/>
      <c r="F34" s="11"/>
    </row>
    <row r="35" spans="1:6" x14ac:dyDescent="0.2">
      <c r="A35" s="3"/>
      <c r="B35" s="11"/>
      <c r="C35" s="11"/>
      <c r="D35" s="11"/>
      <c r="E35" s="11"/>
      <c r="F35" s="11"/>
    </row>
    <row r="36" spans="1:6" x14ac:dyDescent="0.2">
      <c r="A36" s="3"/>
      <c r="B36" s="11"/>
      <c r="C36" s="11"/>
      <c r="D36" s="11"/>
      <c r="E36" s="11"/>
      <c r="F36" s="11"/>
    </row>
    <row r="37" spans="1:6" x14ac:dyDescent="0.2">
      <c r="A37" s="3"/>
      <c r="B37" s="11"/>
      <c r="C37" s="11"/>
      <c r="D37" s="11"/>
      <c r="E37" s="11"/>
      <c r="F37" s="11"/>
    </row>
    <row r="38" spans="1:6" x14ac:dyDescent="0.2">
      <c r="A38" s="3"/>
      <c r="B38" s="11"/>
      <c r="C38" s="11"/>
      <c r="D38" s="11"/>
      <c r="E38" s="11"/>
      <c r="F38" s="11"/>
    </row>
  </sheetData>
  <mergeCells count="4">
    <mergeCell ref="A22:C22"/>
    <mergeCell ref="A1:G1"/>
    <mergeCell ref="A32:F32"/>
    <mergeCell ref="A14:E14"/>
  </mergeCells>
  <dataValidations count="2">
    <dataValidation type="list" sqref="A34 A35 A36 A37 A38" xr:uid="{00000000-0002-0000-0800-000000000000}">
      <formula1>"High,Medium,Low"</formula1>
    </dataValidation>
    <dataValidation type="list" sqref="F34 F35 F36 F37 F38" xr:uid="{00000000-0002-0000-0800-000001000000}">
      <formula1>"Not started,In progress,Completed,Blocked"</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04"/>
  <sheetViews>
    <sheetView workbookViewId="0">
      <pane ySplit="4" topLeftCell="A5" activePane="bottomLeft" state="frozen"/>
      <selection pane="bottomLeft"/>
    </sheetView>
  </sheetViews>
  <sheetFormatPr baseColWidth="10" defaultColWidth="8.83203125" defaultRowHeight="15" x14ac:dyDescent="0.2"/>
  <cols>
    <col min="1" max="1" width="15" customWidth="1"/>
    <col min="2" max="2" width="25" customWidth="1"/>
    <col min="3" max="3" width="22" customWidth="1"/>
    <col min="4" max="4" width="40" customWidth="1"/>
    <col min="5" max="5" width="45" customWidth="1"/>
    <col min="6" max="6" width="16" customWidth="1"/>
    <col min="7" max="7" width="20" customWidth="1"/>
    <col min="8" max="8" width="22" customWidth="1"/>
  </cols>
  <sheetData>
    <row r="1" spans="1:9" ht="30" customHeight="1" x14ac:dyDescent="0.2">
      <c r="A1" s="18" t="s">
        <v>533</v>
      </c>
      <c r="B1" s="19"/>
      <c r="C1" s="19"/>
      <c r="D1" s="19"/>
      <c r="E1" s="19"/>
      <c r="F1" s="19"/>
      <c r="G1" s="19"/>
      <c r="H1" s="19"/>
    </row>
    <row r="2" spans="1:9" x14ac:dyDescent="0.2">
      <c r="A2" s="36" t="s">
        <v>534</v>
      </c>
      <c r="B2" s="19"/>
      <c r="C2" s="19"/>
      <c r="D2" s="19"/>
      <c r="E2" s="19"/>
      <c r="F2" s="19"/>
      <c r="G2" s="19"/>
      <c r="H2" s="19"/>
    </row>
    <row r="4" spans="1:9" x14ac:dyDescent="0.2">
      <c r="A4" s="4" t="s">
        <v>535</v>
      </c>
      <c r="B4" s="4" t="s">
        <v>4</v>
      </c>
      <c r="C4" s="4" t="s">
        <v>536</v>
      </c>
      <c r="D4" s="4" t="s">
        <v>28</v>
      </c>
      <c r="E4" s="4" t="s">
        <v>537</v>
      </c>
      <c r="F4" s="4" t="s">
        <v>538</v>
      </c>
      <c r="G4" s="4" t="s">
        <v>539</v>
      </c>
      <c r="H4" s="4" t="s">
        <v>540</v>
      </c>
    </row>
    <row r="5" spans="1:9" x14ac:dyDescent="0.2">
      <c r="A5" s="17" t="s">
        <v>541</v>
      </c>
      <c r="B5" s="11"/>
      <c r="C5" s="11"/>
      <c r="D5" s="11"/>
      <c r="E5" s="11"/>
      <c r="F5" s="11"/>
      <c r="G5" s="11"/>
      <c r="H5" s="11"/>
    </row>
    <row r="6" spans="1:9" x14ac:dyDescent="0.2">
      <c r="A6" s="17" t="s">
        <v>542</v>
      </c>
      <c r="B6" s="11"/>
      <c r="C6" s="11"/>
      <c r="D6" s="11"/>
      <c r="E6" s="11"/>
      <c r="F6" s="11"/>
      <c r="G6" s="11"/>
      <c r="H6" s="11"/>
    </row>
    <row r="7" spans="1:9" x14ac:dyDescent="0.2">
      <c r="A7" s="17" t="s">
        <v>543</v>
      </c>
      <c r="B7" s="11"/>
      <c r="C7" s="11"/>
      <c r="D7" s="11"/>
      <c r="E7" s="11"/>
      <c r="F7" s="11"/>
      <c r="G7" s="11"/>
      <c r="H7" s="11"/>
    </row>
    <row r="8" spans="1:9" x14ac:dyDescent="0.2">
      <c r="A8" s="17" t="s">
        <v>544</v>
      </c>
      <c r="B8" s="11"/>
      <c r="C8" s="11"/>
      <c r="D8" s="11"/>
      <c r="E8" s="11"/>
      <c r="F8" s="11"/>
      <c r="G8" s="11"/>
      <c r="H8" s="11"/>
    </row>
    <row r="9" spans="1:9" x14ac:dyDescent="0.2">
      <c r="A9" s="17" t="s">
        <v>545</v>
      </c>
      <c r="B9" s="11"/>
      <c r="C9" s="11"/>
      <c r="D9" s="11"/>
      <c r="E9" s="11"/>
      <c r="F9" s="11"/>
      <c r="G9" s="11"/>
      <c r="H9" s="11"/>
    </row>
    <row r="10" spans="1:9" ht="32" x14ac:dyDescent="0.2">
      <c r="A10" s="17" t="s">
        <v>546</v>
      </c>
      <c r="B10" s="11" t="s">
        <v>547</v>
      </c>
      <c r="C10" s="11" t="s">
        <v>548</v>
      </c>
      <c r="D10" s="11" t="s">
        <v>513</v>
      </c>
      <c r="E10" s="11" t="s">
        <v>549</v>
      </c>
      <c r="F10" s="11" t="s">
        <v>550</v>
      </c>
      <c r="G10" s="11" t="s">
        <v>551</v>
      </c>
      <c r="H10" s="11" t="s">
        <v>552</v>
      </c>
      <c r="I10" t="s">
        <v>553</v>
      </c>
    </row>
    <row r="11" spans="1:9" ht="32" x14ac:dyDescent="0.2">
      <c r="A11" s="17" t="s">
        <v>554</v>
      </c>
      <c r="B11" s="11" t="s">
        <v>555</v>
      </c>
      <c r="C11" s="11" t="s">
        <v>556</v>
      </c>
      <c r="D11" s="11" t="s">
        <v>513</v>
      </c>
      <c r="E11" s="11" t="s">
        <v>557</v>
      </c>
      <c r="F11" s="11" t="s">
        <v>550</v>
      </c>
      <c r="G11" s="11" t="s">
        <v>558</v>
      </c>
      <c r="H11" s="11" t="s">
        <v>559</v>
      </c>
      <c r="I11" t="s">
        <v>553</v>
      </c>
    </row>
    <row r="12" spans="1:9" ht="32" x14ac:dyDescent="0.2">
      <c r="A12" s="17" t="s">
        <v>560</v>
      </c>
      <c r="B12" s="11" t="s">
        <v>561</v>
      </c>
      <c r="C12" s="11" t="s">
        <v>562</v>
      </c>
      <c r="D12" s="11" t="s">
        <v>513</v>
      </c>
      <c r="E12" s="11" t="s">
        <v>563</v>
      </c>
      <c r="F12" s="11" t="s">
        <v>564</v>
      </c>
      <c r="G12" s="11" t="s">
        <v>551</v>
      </c>
      <c r="H12" s="11" t="s">
        <v>565</v>
      </c>
      <c r="I12" t="s">
        <v>553</v>
      </c>
    </row>
    <row r="13" spans="1:9" ht="16" x14ac:dyDescent="0.2">
      <c r="A13" s="17" t="s">
        <v>566</v>
      </c>
      <c r="B13" s="11" t="s">
        <v>567</v>
      </c>
      <c r="C13" s="11" t="s">
        <v>568</v>
      </c>
      <c r="D13" s="11" t="s">
        <v>513</v>
      </c>
      <c r="E13" s="11" t="s">
        <v>569</v>
      </c>
      <c r="F13" s="11" t="s">
        <v>570</v>
      </c>
      <c r="G13" s="11" t="s">
        <v>571</v>
      </c>
      <c r="H13" s="11" t="s">
        <v>572</v>
      </c>
      <c r="I13" t="s">
        <v>553</v>
      </c>
    </row>
    <row r="14" spans="1:9" ht="32" x14ac:dyDescent="0.2">
      <c r="A14" s="17" t="s">
        <v>573</v>
      </c>
      <c r="B14" s="11" t="s">
        <v>574</v>
      </c>
      <c r="C14" s="11" t="s">
        <v>575</v>
      </c>
      <c r="D14" s="11" t="s">
        <v>514</v>
      </c>
      <c r="E14" s="11" t="s">
        <v>576</v>
      </c>
      <c r="F14" s="11" t="s">
        <v>550</v>
      </c>
      <c r="G14" s="11" t="s">
        <v>577</v>
      </c>
      <c r="H14" s="11" t="s">
        <v>552</v>
      </c>
      <c r="I14" t="s">
        <v>553</v>
      </c>
    </row>
    <row r="15" spans="1:9" ht="32" x14ac:dyDescent="0.2">
      <c r="A15" s="17" t="s">
        <v>578</v>
      </c>
      <c r="B15" s="11" t="s">
        <v>579</v>
      </c>
      <c r="C15" s="11" t="s">
        <v>548</v>
      </c>
      <c r="D15" s="11" t="s">
        <v>514</v>
      </c>
      <c r="E15" s="11" t="s">
        <v>580</v>
      </c>
      <c r="F15" s="11" t="s">
        <v>550</v>
      </c>
      <c r="G15" s="11" t="s">
        <v>581</v>
      </c>
      <c r="H15" s="11" t="s">
        <v>552</v>
      </c>
      <c r="I15" t="s">
        <v>553</v>
      </c>
    </row>
    <row r="16" spans="1:9" ht="32" x14ac:dyDescent="0.2">
      <c r="A16" s="17" t="s">
        <v>582</v>
      </c>
      <c r="B16" s="11" t="s">
        <v>583</v>
      </c>
      <c r="C16" s="11" t="s">
        <v>584</v>
      </c>
      <c r="D16" s="11" t="s">
        <v>514</v>
      </c>
      <c r="E16" s="11" t="s">
        <v>585</v>
      </c>
      <c r="F16" s="11" t="s">
        <v>586</v>
      </c>
      <c r="G16" s="11" t="s">
        <v>558</v>
      </c>
      <c r="H16" s="11" t="s">
        <v>559</v>
      </c>
      <c r="I16" t="s">
        <v>553</v>
      </c>
    </row>
    <row r="17" spans="1:9" ht="32" x14ac:dyDescent="0.2">
      <c r="A17" s="17" t="s">
        <v>587</v>
      </c>
      <c r="B17" s="11" t="s">
        <v>588</v>
      </c>
      <c r="C17" s="11" t="s">
        <v>589</v>
      </c>
      <c r="D17" s="11" t="s">
        <v>514</v>
      </c>
      <c r="E17" s="11" t="s">
        <v>590</v>
      </c>
      <c r="F17" s="11" t="s">
        <v>591</v>
      </c>
      <c r="G17" s="11" t="s">
        <v>592</v>
      </c>
      <c r="H17" s="11" t="s">
        <v>572</v>
      </c>
      <c r="I17" t="s">
        <v>553</v>
      </c>
    </row>
    <row r="18" spans="1:9" ht="32" x14ac:dyDescent="0.2">
      <c r="A18" s="17" t="s">
        <v>593</v>
      </c>
      <c r="B18" s="11" t="s">
        <v>594</v>
      </c>
      <c r="C18" s="11" t="s">
        <v>584</v>
      </c>
      <c r="D18" s="11" t="s">
        <v>515</v>
      </c>
      <c r="E18" s="11" t="s">
        <v>595</v>
      </c>
      <c r="F18" s="11" t="s">
        <v>596</v>
      </c>
      <c r="G18" s="11" t="s">
        <v>597</v>
      </c>
      <c r="H18" s="11" t="s">
        <v>598</v>
      </c>
      <c r="I18" t="s">
        <v>553</v>
      </c>
    </row>
    <row r="19" spans="1:9" ht="32" x14ac:dyDescent="0.2">
      <c r="A19" s="17" t="s">
        <v>599</v>
      </c>
      <c r="B19" s="11" t="s">
        <v>600</v>
      </c>
      <c r="C19" s="11" t="s">
        <v>601</v>
      </c>
      <c r="D19" s="11" t="s">
        <v>515</v>
      </c>
      <c r="E19" s="11" t="s">
        <v>602</v>
      </c>
      <c r="F19" s="11" t="s">
        <v>603</v>
      </c>
      <c r="G19" s="11" t="s">
        <v>604</v>
      </c>
      <c r="H19" s="11" t="s">
        <v>552</v>
      </c>
      <c r="I19" t="s">
        <v>553</v>
      </c>
    </row>
    <row r="20" spans="1:9" ht="32" x14ac:dyDescent="0.2">
      <c r="A20" s="17" t="s">
        <v>605</v>
      </c>
      <c r="B20" s="11" t="s">
        <v>606</v>
      </c>
      <c r="C20" s="11" t="s">
        <v>607</v>
      </c>
      <c r="D20" s="11" t="s">
        <v>515</v>
      </c>
      <c r="E20" s="11" t="s">
        <v>608</v>
      </c>
      <c r="F20" s="11" t="s">
        <v>609</v>
      </c>
      <c r="G20" s="11" t="s">
        <v>610</v>
      </c>
      <c r="H20" s="11" t="s">
        <v>552</v>
      </c>
      <c r="I20" t="s">
        <v>553</v>
      </c>
    </row>
    <row r="21" spans="1:9" ht="32" x14ac:dyDescent="0.2">
      <c r="A21" s="17" t="s">
        <v>611</v>
      </c>
      <c r="B21" s="11" t="s">
        <v>612</v>
      </c>
      <c r="C21" s="11" t="s">
        <v>613</v>
      </c>
      <c r="D21" s="11" t="s">
        <v>516</v>
      </c>
      <c r="E21" s="11" t="s">
        <v>614</v>
      </c>
      <c r="F21" s="11" t="s">
        <v>615</v>
      </c>
      <c r="G21" s="11" t="s">
        <v>616</v>
      </c>
      <c r="H21" s="11" t="s">
        <v>559</v>
      </c>
      <c r="I21" t="s">
        <v>553</v>
      </c>
    </row>
    <row r="22" spans="1:9" ht="16" x14ac:dyDescent="0.2">
      <c r="A22" s="17" t="s">
        <v>617</v>
      </c>
      <c r="B22" s="11" t="s">
        <v>618</v>
      </c>
      <c r="C22" s="11" t="s">
        <v>619</v>
      </c>
      <c r="D22" s="11" t="s">
        <v>516</v>
      </c>
      <c r="E22" s="11" t="s">
        <v>620</v>
      </c>
      <c r="F22" s="11" t="s">
        <v>564</v>
      </c>
      <c r="G22" s="11" t="s">
        <v>616</v>
      </c>
      <c r="H22" s="11" t="s">
        <v>552</v>
      </c>
      <c r="I22" t="s">
        <v>553</v>
      </c>
    </row>
    <row r="23" spans="1:9" ht="32" x14ac:dyDescent="0.2">
      <c r="A23" s="17" t="s">
        <v>621</v>
      </c>
      <c r="B23" s="11" t="s">
        <v>622</v>
      </c>
      <c r="C23" s="11" t="s">
        <v>584</v>
      </c>
      <c r="D23" s="11" t="s">
        <v>516</v>
      </c>
      <c r="E23" s="11" t="s">
        <v>623</v>
      </c>
      <c r="F23" s="11" t="s">
        <v>624</v>
      </c>
      <c r="G23" s="11" t="s">
        <v>616</v>
      </c>
      <c r="H23" s="11" t="s">
        <v>559</v>
      </c>
      <c r="I23" t="s">
        <v>553</v>
      </c>
    </row>
    <row r="24" spans="1:9" ht="32" x14ac:dyDescent="0.2">
      <c r="A24" s="17" t="s">
        <v>625</v>
      </c>
      <c r="B24" s="11" t="s">
        <v>626</v>
      </c>
      <c r="C24" s="11" t="s">
        <v>627</v>
      </c>
      <c r="D24" s="11" t="s">
        <v>516</v>
      </c>
      <c r="E24" s="11" t="s">
        <v>628</v>
      </c>
      <c r="F24" s="11" t="s">
        <v>629</v>
      </c>
      <c r="G24" s="11" t="s">
        <v>630</v>
      </c>
      <c r="H24" s="11" t="s">
        <v>559</v>
      </c>
      <c r="I24" t="s">
        <v>553</v>
      </c>
    </row>
    <row r="25" spans="1:9" ht="32" x14ac:dyDescent="0.2">
      <c r="A25" s="17" t="s">
        <v>631</v>
      </c>
      <c r="B25" s="11" t="s">
        <v>632</v>
      </c>
      <c r="C25" s="11" t="s">
        <v>633</v>
      </c>
      <c r="D25" s="11" t="s">
        <v>516</v>
      </c>
      <c r="E25" s="11" t="s">
        <v>634</v>
      </c>
      <c r="F25" s="11" t="s">
        <v>635</v>
      </c>
      <c r="G25" s="11" t="s">
        <v>616</v>
      </c>
      <c r="H25" s="11" t="s">
        <v>552</v>
      </c>
      <c r="I25" t="s">
        <v>553</v>
      </c>
    </row>
    <row r="26" spans="1:9" ht="32" x14ac:dyDescent="0.2">
      <c r="A26" s="17" t="s">
        <v>636</v>
      </c>
      <c r="B26" s="11" t="s">
        <v>637</v>
      </c>
      <c r="C26" s="11" t="s">
        <v>548</v>
      </c>
      <c r="D26" s="11" t="s">
        <v>517</v>
      </c>
      <c r="E26" s="11" t="s">
        <v>638</v>
      </c>
      <c r="F26" s="11" t="s">
        <v>550</v>
      </c>
      <c r="G26" s="11" t="s">
        <v>630</v>
      </c>
      <c r="H26" s="11" t="s">
        <v>552</v>
      </c>
      <c r="I26" t="s">
        <v>553</v>
      </c>
    </row>
    <row r="27" spans="1:9" ht="32" x14ac:dyDescent="0.2">
      <c r="A27" s="17" t="s">
        <v>639</v>
      </c>
      <c r="B27" s="11" t="s">
        <v>640</v>
      </c>
      <c r="C27" s="11" t="s">
        <v>641</v>
      </c>
      <c r="D27" s="11" t="s">
        <v>517</v>
      </c>
      <c r="E27" s="11" t="s">
        <v>642</v>
      </c>
      <c r="F27" s="11" t="s">
        <v>550</v>
      </c>
      <c r="G27" s="11" t="s">
        <v>630</v>
      </c>
      <c r="H27" s="11" t="s">
        <v>552</v>
      </c>
      <c r="I27" t="s">
        <v>553</v>
      </c>
    </row>
    <row r="28" spans="1:9" ht="16" x14ac:dyDescent="0.2">
      <c r="A28" s="17" t="s">
        <v>643</v>
      </c>
      <c r="B28" s="11" t="s">
        <v>644</v>
      </c>
      <c r="C28" s="11" t="s">
        <v>645</v>
      </c>
      <c r="D28" s="11" t="s">
        <v>517</v>
      </c>
      <c r="E28" s="11" t="s">
        <v>646</v>
      </c>
      <c r="F28" s="11" t="s">
        <v>647</v>
      </c>
      <c r="G28" s="11" t="s">
        <v>630</v>
      </c>
      <c r="H28" s="11" t="s">
        <v>559</v>
      </c>
      <c r="I28" t="s">
        <v>553</v>
      </c>
    </row>
    <row r="29" spans="1:9" ht="16" x14ac:dyDescent="0.2">
      <c r="A29" s="17" t="s">
        <v>648</v>
      </c>
      <c r="B29" s="11" t="s">
        <v>649</v>
      </c>
      <c r="C29" s="11" t="s">
        <v>619</v>
      </c>
      <c r="D29" s="11" t="s">
        <v>517</v>
      </c>
      <c r="E29" s="11" t="s">
        <v>650</v>
      </c>
      <c r="F29" s="11" t="s">
        <v>564</v>
      </c>
      <c r="G29" s="11" t="s">
        <v>630</v>
      </c>
      <c r="H29" s="11" t="s">
        <v>565</v>
      </c>
      <c r="I29" t="s">
        <v>553</v>
      </c>
    </row>
    <row r="30" spans="1:9" ht="32" x14ac:dyDescent="0.2">
      <c r="A30" s="17" t="s">
        <v>651</v>
      </c>
      <c r="B30" s="11" t="s">
        <v>652</v>
      </c>
      <c r="C30" s="11" t="s">
        <v>601</v>
      </c>
      <c r="D30" s="11" t="s">
        <v>518</v>
      </c>
      <c r="E30" s="11" t="s">
        <v>653</v>
      </c>
      <c r="F30" s="11" t="s">
        <v>603</v>
      </c>
      <c r="G30" s="11" t="s">
        <v>654</v>
      </c>
      <c r="H30" s="11" t="s">
        <v>552</v>
      </c>
      <c r="I30" t="s">
        <v>553</v>
      </c>
    </row>
    <row r="31" spans="1:9" ht="16" x14ac:dyDescent="0.2">
      <c r="A31" s="17" t="s">
        <v>655</v>
      </c>
      <c r="B31" s="11" t="s">
        <v>656</v>
      </c>
      <c r="C31" s="11" t="s">
        <v>657</v>
      </c>
      <c r="D31" s="11" t="s">
        <v>518</v>
      </c>
      <c r="E31" s="11" t="s">
        <v>658</v>
      </c>
      <c r="F31" s="11" t="s">
        <v>550</v>
      </c>
      <c r="G31" s="11" t="s">
        <v>630</v>
      </c>
      <c r="H31" s="11" t="s">
        <v>552</v>
      </c>
      <c r="I31" t="s">
        <v>553</v>
      </c>
    </row>
    <row r="32" spans="1:9" ht="16" x14ac:dyDescent="0.2">
      <c r="A32" s="17" t="s">
        <v>659</v>
      </c>
      <c r="B32" s="11" t="s">
        <v>660</v>
      </c>
      <c r="C32" s="11" t="s">
        <v>568</v>
      </c>
      <c r="D32" s="11" t="s">
        <v>518</v>
      </c>
      <c r="E32" s="11" t="s">
        <v>661</v>
      </c>
      <c r="F32" s="11" t="s">
        <v>662</v>
      </c>
      <c r="G32" s="11" t="s">
        <v>558</v>
      </c>
      <c r="H32" s="11" t="s">
        <v>572</v>
      </c>
      <c r="I32" t="s">
        <v>553</v>
      </c>
    </row>
    <row r="33" spans="1:9" ht="32" x14ac:dyDescent="0.2">
      <c r="A33" s="17" t="s">
        <v>663</v>
      </c>
      <c r="B33" s="11" t="s">
        <v>664</v>
      </c>
      <c r="C33" s="11" t="s">
        <v>665</v>
      </c>
      <c r="D33" s="11" t="s">
        <v>518</v>
      </c>
      <c r="E33" s="11" t="s">
        <v>666</v>
      </c>
      <c r="F33" s="11" t="s">
        <v>667</v>
      </c>
      <c r="G33" s="11" t="s">
        <v>654</v>
      </c>
      <c r="H33" s="11" t="s">
        <v>572</v>
      </c>
      <c r="I33" t="s">
        <v>553</v>
      </c>
    </row>
    <row r="34" spans="1:9" ht="16" x14ac:dyDescent="0.2">
      <c r="A34" s="17" t="s">
        <v>668</v>
      </c>
      <c r="B34" s="11" t="s">
        <v>669</v>
      </c>
      <c r="C34" s="11" t="s">
        <v>670</v>
      </c>
      <c r="D34" s="11" t="s">
        <v>519</v>
      </c>
      <c r="E34" s="11" t="s">
        <v>671</v>
      </c>
      <c r="F34" s="11" t="s">
        <v>603</v>
      </c>
      <c r="G34" s="11" t="s">
        <v>551</v>
      </c>
      <c r="H34" s="11" t="s">
        <v>552</v>
      </c>
      <c r="I34" t="s">
        <v>553</v>
      </c>
    </row>
    <row r="35" spans="1:9" ht="16" x14ac:dyDescent="0.2">
      <c r="A35" s="17" t="s">
        <v>672</v>
      </c>
      <c r="B35" s="11" t="s">
        <v>673</v>
      </c>
      <c r="C35" s="11" t="s">
        <v>568</v>
      </c>
      <c r="D35" s="11" t="s">
        <v>519</v>
      </c>
      <c r="E35" s="11" t="s">
        <v>674</v>
      </c>
      <c r="F35" s="11" t="s">
        <v>591</v>
      </c>
      <c r="G35" s="11" t="s">
        <v>558</v>
      </c>
      <c r="H35" s="11" t="s">
        <v>572</v>
      </c>
      <c r="I35" t="s">
        <v>553</v>
      </c>
    </row>
    <row r="36" spans="1:9" ht="32" x14ac:dyDescent="0.2">
      <c r="A36" s="17" t="s">
        <v>675</v>
      </c>
      <c r="B36" s="11" t="s">
        <v>676</v>
      </c>
      <c r="C36" s="11" t="s">
        <v>677</v>
      </c>
      <c r="D36" s="11" t="s">
        <v>519</v>
      </c>
      <c r="E36" s="11" t="s">
        <v>678</v>
      </c>
      <c r="F36" s="11" t="s">
        <v>679</v>
      </c>
      <c r="G36" s="11" t="s">
        <v>558</v>
      </c>
      <c r="H36" s="11" t="s">
        <v>552</v>
      </c>
      <c r="I36" t="s">
        <v>553</v>
      </c>
    </row>
    <row r="37" spans="1:9" ht="32" x14ac:dyDescent="0.2">
      <c r="A37" s="17" t="s">
        <v>680</v>
      </c>
      <c r="B37" s="11" t="s">
        <v>681</v>
      </c>
      <c r="C37" s="11" t="s">
        <v>682</v>
      </c>
      <c r="D37" s="11" t="s">
        <v>519</v>
      </c>
      <c r="E37" s="11" t="s">
        <v>683</v>
      </c>
      <c r="F37" s="11" t="s">
        <v>684</v>
      </c>
      <c r="G37" s="11" t="s">
        <v>685</v>
      </c>
      <c r="H37" s="11" t="s">
        <v>559</v>
      </c>
      <c r="I37" t="s">
        <v>553</v>
      </c>
    </row>
    <row r="38" spans="1:9" x14ac:dyDescent="0.2">
      <c r="A38" s="17" t="s">
        <v>686</v>
      </c>
      <c r="B38" s="11"/>
      <c r="C38" s="11"/>
      <c r="D38" s="11"/>
      <c r="E38" s="11"/>
      <c r="F38" s="11"/>
      <c r="G38" s="11"/>
      <c r="H38" s="11"/>
    </row>
    <row r="39" spans="1:9" x14ac:dyDescent="0.2">
      <c r="A39" s="17" t="s">
        <v>687</v>
      </c>
      <c r="B39" s="11"/>
      <c r="C39" s="11"/>
      <c r="D39" s="11"/>
      <c r="E39" s="11"/>
      <c r="F39" s="11"/>
      <c r="G39" s="11"/>
      <c r="H39" s="11"/>
    </row>
    <row r="40" spans="1:9" x14ac:dyDescent="0.2">
      <c r="A40" s="17" t="s">
        <v>688</v>
      </c>
      <c r="B40" s="11"/>
      <c r="C40" s="11"/>
      <c r="D40" s="11"/>
      <c r="E40" s="11"/>
      <c r="F40" s="11"/>
      <c r="G40" s="11"/>
      <c r="H40" s="11"/>
    </row>
    <row r="41" spans="1:9" x14ac:dyDescent="0.2">
      <c r="A41" s="17" t="s">
        <v>689</v>
      </c>
      <c r="B41" s="11"/>
      <c r="C41" s="11"/>
      <c r="D41" s="11"/>
      <c r="E41" s="11"/>
      <c r="F41" s="11"/>
      <c r="G41" s="11"/>
      <c r="H41" s="11"/>
    </row>
    <row r="42" spans="1:9" x14ac:dyDescent="0.2">
      <c r="A42" s="17" t="s">
        <v>690</v>
      </c>
      <c r="B42" s="11"/>
      <c r="C42" s="11"/>
      <c r="D42" s="11"/>
      <c r="E42" s="11"/>
      <c r="F42" s="11"/>
      <c r="G42" s="11"/>
      <c r="H42" s="11"/>
    </row>
    <row r="43" spans="1:9" x14ac:dyDescent="0.2">
      <c r="A43" s="17" t="s">
        <v>691</v>
      </c>
      <c r="B43" s="11"/>
      <c r="C43" s="11"/>
      <c r="D43" s="11"/>
      <c r="E43" s="11"/>
      <c r="F43" s="11"/>
      <c r="G43" s="11"/>
      <c r="H43" s="11"/>
    </row>
    <row r="44" spans="1:9" x14ac:dyDescent="0.2">
      <c r="A44" s="17" t="s">
        <v>692</v>
      </c>
      <c r="B44" s="11"/>
      <c r="C44" s="11"/>
      <c r="D44" s="11"/>
      <c r="E44" s="11"/>
      <c r="F44" s="11"/>
      <c r="G44" s="11"/>
      <c r="H44" s="11"/>
    </row>
    <row r="45" spans="1:9" x14ac:dyDescent="0.2">
      <c r="A45" s="17" t="s">
        <v>693</v>
      </c>
      <c r="B45" s="11"/>
      <c r="C45" s="11"/>
      <c r="D45" s="11"/>
      <c r="E45" s="11"/>
      <c r="F45" s="11"/>
      <c r="G45" s="11"/>
      <c r="H45" s="11"/>
    </row>
    <row r="46" spans="1:9" x14ac:dyDescent="0.2">
      <c r="A46" s="17" t="s">
        <v>694</v>
      </c>
      <c r="B46" s="11"/>
      <c r="C46" s="11"/>
      <c r="D46" s="11"/>
      <c r="E46" s="11"/>
      <c r="F46" s="11"/>
      <c r="G46" s="11"/>
      <c r="H46" s="11"/>
    </row>
    <row r="47" spans="1:9" x14ac:dyDescent="0.2">
      <c r="A47" s="17" t="s">
        <v>695</v>
      </c>
      <c r="B47" s="11"/>
      <c r="C47" s="11"/>
      <c r="D47" s="11"/>
      <c r="E47" s="11"/>
      <c r="F47" s="11"/>
      <c r="G47" s="11"/>
      <c r="H47" s="11"/>
    </row>
    <row r="48" spans="1:9" x14ac:dyDescent="0.2">
      <c r="A48" s="17" t="s">
        <v>696</v>
      </c>
      <c r="B48" s="11"/>
      <c r="C48" s="11"/>
      <c r="D48" s="11"/>
      <c r="E48" s="11"/>
      <c r="F48" s="11"/>
      <c r="G48" s="11"/>
      <c r="H48" s="11"/>
    </row>
    <row r="49" spans="1:8" x14ac:dyDescent="0.2">
      <c r="A49" s="17" t="s">
        <v>697</v>
      </c>
      <c r="B49" s="11"/>
      <c r="C49" s="11"/>
      <c r="D49" s="11"/>
      <c r="E49" s="11"/>
      <c r="F49" s="11"/>
      <c r="G49" s="11"/>
      <c r="H49" s="11"/>
    </row>
    <row r="50" spans="1:8" x14ac:dyDescent="0.2">
      <c r="A50" s="17" t="s">
        <v>698</v>
      </c>
      <c r="B50" s="11"/>
      <c r="C50" s="11"/>
      <c r="D50" s="11"/>
      <c r="E50" s="11"/>
      <c r="F50" s="11"/>
      <c r="G50" s="11"/>
      <c r="H50" s="11"/>
    </row>
    <row r="51" spans="1:8" x14ac:dyDescent="0.2">
      <c r="A51" s="17" t="s">
        <v>699</v>
      </c>
      <c r="B51" s="11"/>
      <c r="C51" s="11"/>
      <c r="D51" s="11"/>
      <c r="E51" s="11"/>
      <c r="F51" s="11"/>
      <c r="G51" s="11"/>
      <c r="H51" s="11"/>
    </row>
    <row r="52" spans="1:8" x14ac:dyDescent="0.2">
      <c r="A52" s="17" t="s">
        <v>700</v>
      </c>
      <c r="B52" s="11"/>
      <c r="C52" s="11"/>
      <c r="D52" s="11"/>
      <c r="E52" s="11"/>
      <c r="F52" s="11"/>
      <c r="G52" s="11"/>
      <c r="H52" s="11"/>
    </row>
    <row r="53" spans="1:8" x14ac:dyDescent="0.2">
      <c r="A53" s="17" t="s">
        <v>701</v>
      </c>
      <c r="B53" s="11"/>
      <c r="C53" s="11"/>
      <c r="D53" s="11"/>
      <c r="E53" s="11"/>
      <c r="F53" s="11"/>
      <c r="G53" s="11"/>
      <c r="H53" s="11"/>
    </row>
    <row r="54" spans="1:8" x14ac:dyDescent="0.2">
      <c r="A54" s="17" t="s">
        <v>702</v>
      </c>
      <c r="B54" s="11"/>
      <c r="C54" s="11"/>
      <c r="D54" s="11"/>
      <c r="E54" s="11"/>
      <c r="F54" s="11"/>
      <c r="G54" s="11"/>
      <c r="H54" s="11"/>
    </row>
    <row r="55" spans="1:8" x14ac:dyDescent="0.2">
      <c r="A55" s="17" t="s">
        <v>703</v>
      </c>
      <c r="B55" s="11"/>
      <c r="C55" s="11"/>
      <c r="D55" s="11"/>
      <c r="E55" s="11"/>
      <c r="F55" s="11"/>
      <c r="G55" s="11"/>
      <c r="H55" s="11"/>
    </row>
    <row r="56" spans="1:8" x14ac:dyDescent="0.2">
      <c r="A56" s="17" t="s">
        <v>704</v>
      </c>
      <c r="B56" s="11"/>
      <c r="C56" s="11"/>
      <c r="D56" s="11"/>
      <c r="E56" s="11"/>
      <c r="F56" s="11"/>
      <c r="G56" s="11"/>
      <c r="H56" s="11"/>
    </row>
    <row r="57" spans="1:8" x14ac:dyDescent="0.2">
      <c r="A57" s="17" t="s">
        <v>705</v>
      </c>
      <c r="B57" s="11"/>
      <c r="C57" s="11"/>
      <c r="D57" s="11"/>
      <c r="E57" s="11"/>
      <c r="F57" s="11"/>
      <c r="G57" s="11"/>
      <c r="H57" s="11"/>
    </row>
    <row r="58" spans="1:8" x14ac:dyDescent="0.2">
      <c r="A58" s="17" t="s">
        <v>706</v>
      </c>
      <c r="B58" s="11"/>
      <c r="C58" s="11"/>
      <c r="D58" s="11"/>
      <c r="E58" s="11"/>
      <c r="F58" s="11"/>
      <c r="G58" s="11"/>
      <c r="H58" s="11"/>
    </row>
    <row r="59" spans="1:8" x14ac:dyDescent="0.2">
      <c r="A59" s="17" t="s">
        <v>707</v>
      </c>
      <c r="B59" s="11"/>
      <c r="C59" s="11"/>
      <c r="D59" s="11"/>
      <c r="E59" s="11"/>
      <c r="F59" s="11"/>
      <c r="G59" s="11"/>
      <c r="H59" s="11"/>
    </row>
    <row r="60" spans="1:8" x14ac:dyDescent="0.2">
      <c r="A60" s="17" t="s">
        <v>708</v>
      </c>
      <c r="B60" s="11"/>
      <c r="C60" s="11"/>
      <c r="D60" s="11"/>
      <c r="E60" s="11"/>
      <c r="F60" s="11"/>
      <c r="G60" s="11"/>
      <c r="H60" s="11"/>
    </row>
    <row r="61" spans="1:8" x14ac:dyDescent="0.2">
      <c r="A61" s="17" t="s">
        <v>709</v>
      </c>
      <c r="B61" s="11"/>
      <c r="C61" s="11"/>
      <c r="D61" s="11"/>
      <c r="E61" s="11"/>
      <c r="F61" s="11"/>
      <c r="G61" s="11"/>
      <c r="H61" s="11"/>
    </row>
    <row r="62" spans="1:8" x14ac:dyDescent="0.2">
      <c r="A62" s="17" t="s">
        <v>710</v>
      </c>
      <c r="B62" s="11"/>
      <c r="C62" s="11"/>
      <c r="D62" s="11"/>
      <c r="E62" s="11"/>
      <c r="F62" s="11"/>
      <c r="G62" s="11"/>
      <c r="H62" s="11"/>
    </row>
    <row r="63" spans="1:8" x14ac:dyDescent="0.2">
      <c r="A63" s="17" t="s">
        <v>711</v>
      </c>
      <c r="B63" s="11"/>
      <c r="C63" s="11"/>
      <c r="D63" s="11"/>
      <c r="E63" s="11"/>
      <c r="F63" s="11"/>
      <c r="G63" s="11"/>
      <c r="H63" s="11"/>
    </row>
    <row r="64" spans="1:8" x14ac:dyDescent="0.2">
      <c r="A64" s="17" t="s">
        <v>712</v>
      </c>
      <c r="B64" s="11"/>
      <c r="C64" s="11"/>
      <c r="D64" s="11"/>
      <c r="E64" s="11"/>
      <c r="F64" s="11"/>
      <c r="G64" s="11"/>
      <c r="H64" s="11"/>
    </row>
    <row r="65" spans="1:8" x14ac:dyDescent="0.2">
      <c r="A65" s="17" t="s">
        <v>713</v>
      </c>
      <c r="B65" s="11"/>
      <c r="C65" s="11"/>
      <c r="D65" s="11"/>
      <c r="E65" s="11"/>
      <c r="F65" s="11"/>
      <c r="G65" s="11"/>
      <c r="H65" s="11"/>
    </row>
    <row r="66" spans="1:8" x14ac:dyDescent="0.2">
      <c r="A66" s="17" t="s">
        <v>714</v>
      </c>
      <c r="B66" s="11"/>
      <c r="C66" s="11"/>
      <c r="D66" s="11"/>
      <c r="E66" s="11"/>
      <c r="F66" s="11"/>
      <c r="G66" s="11"/>
      <c r="H66" s="11"/>
    </row>
    <row r="67" spans="1:8" x14ac:dyDescent="0.2">
      <c r="A67" s="17" t="s">
        <v>715</v>
      </c>
      <c r="B67" s="11"/>
      <c r="C67" s="11"/>
      <c r="D67" s="11"/>
      <c r="E67" s="11"/>
      <c r="F67" s="11"/>
      <c r="G67" s="11"/>
      <c r="H67" s="11"/>
    </row>
    <row r="68" spans="1:8" x14ac:dyDescent="0.2">
      <c r="A68" s="17" t="s">
        <v>716</v>
      </c>
      <c r="B68" s="11"/>
      <c r="C68" s="11"/>
      <c r="D68" s="11"/>
      <c r="E68" s="11"/>
      <c r="F68" s="11"/>
      <c r="G68" s="11"/>
      <c r="H68" s="11"/>
    </row>
    <row r="69" spans="1:8" x14ac:dyDescent="0.2">
      <c r="A69" s="17" t="s">
        <v>717</v>
      </c>
      <c r="B69" s="11"/>
      <c r="C69" s="11"/>
      <c r="D69" s="11"/>
      <c r="E69" s="11"/>
      <c r="F69" s="11"/>
      <c r="G69" s="11"/>
      <c r="H69" s="11"/>
    </row>
    <row r="70" spans="1:8" x14ac:dyDescent="0.2">
      <c r="A70" s="17" t="s">
        <v>718</v>
      </c>
      <c r="B70" s="11"/>
      <c r="C70" s="11"/>
      <c r="D70" s="11"/>
      <c r="E70" s="11"/>
      <c r="F70" s="11"/>
      <c r="G70" s="11"/>
      <c r="H70" s="11"/>
    </row>
    <row r="71" spans="1:8" x14ac:dyDescent="0.2">
      <c r="A71" s="17" t="s">
        <v>719</v>
      </c>
      <c r="B71" s="11"/>
      <c r="C71" s="11"/>
      <c r="D71" s="11"/>
      <c r="E71" s="11"/>
      <c r="F71" s="11"/>
      <c r="G71" s="11"/>
      <c r="H71" s="11"/>
    </row>
    <row r="72" spans="1:8" x14ac:dyDescent="0.2">
      <c r="A72" s="17" t="s">
        <v>720</v>
      </c>
      <c r="B72" s="11"/>
      <c r="C72" s="11"/>
      <c r="D72" s="11"/>
      <c r="E72" s="11"/>
      <c r="F72" s="11"/>
      <c r="G72" s="11"/>
      <c r="H72" s="11"/>
    </row>
    <row r="73" spans="1:8" x14ac:dyDescent="0.2">
      <c r="A73" s="17" t="s">
        <v>721</v>
      </c>
      <c r="B73" s="11"/>
      <c r="C73" s="11"/>
      <c r="D73" s="11"/>
      <c r="E73" s="11"/>
      <c r="F73" s="11"/>
      <c r="G73" s="11"/>
      <c r="H73" s="11"/>
    </row>
    <row r="74" spans="1:8" x14ac:dyDescent="0.2">
      <c r="A74" s="17" t="s">
        <v>722</v>
      </c>
      <c r="B74" s="11"/>
      <c r="C74" s="11"/>
      <c r="D74" s="11"/>
      <c r="E74" s="11"/>
      <c r="F74" s="11"/>
      <c r="G74" s="11"/>
      <c r="H74" s="11"/>
    </row>
    <row r="75" spans="1:8" x14ac:dyDescent="0.2">
      <c r="A75" s="17" t="s">
        <v>723</v>
      </c>
      <c r="B75" s="11"/>
      <c r="C75" s="11"/>
      <c r="D75" s="11"/>
      <c r="E75" s="11"/>
      <c r="F75" s="11"/>
      <c r="G75" s="11"/>
      <c r="H75" s="11"/>
    </row>
    <row r="76" spans="1:8" x14ac:dyDescent="0.2">
      <c r="A76" s="17" t="s">
        <v>724</v>
      </c>
      <c r="B76" s="11"/>
      <c r="C76" s="11"/>
      <c r="D76" s="11"/>
      <c r="E76" s="11"/>
      <c r="F76" s="11"/>
      <c r="G76" s="11"/>
      <c r="H76" s="11"/>
    </row>
    <row r="77" spans="1:8" x14ac:dyDescent="0.2">
      <c r="A77" s="17" t="s">
        <v>725</v>
      </c>
      <c r="B77" s="11"/>
      <c r="C77" s="11"/>
      <c r="D77" s="11"/>
      <c r="E77" s="11"/>
      <c r="F77" s="11"/>
      <c r="G77" s="11"/>
      <c r="H77" s="11"/>
    </row>
    <row r="78" spans="1:8" x14ac:dyDescent="0.2">
      <c r="A78" s="17" t="s">
        <v>726</v>
      </c>
      <c r="B78" s="11"/>
      <c r="C78" s="11"/>
      <c r="D78" s="11"/>
      <c r="E78" s="11"/>
      <c r="F78" s="11"/>
      <c r="G78" s="11"/>
      <c r="H78" s="11"/>
    </row>
    <row r="79" spans="1:8" x14ac:dyDescent="0.2">
      <c r="A79" s="17" t="s">
        <v>727</v>
      </c>
      <c r="B79" s="11"/>
      <c r="C79" s="11"/>
      <c r="D79" s="11"/>
      <c r="E79" s="11"/>
      <c r="F79" s="11"/>
      <c r="G79" s="11"/>
      <c r="H79" s="11"/>
    </row>
    <row r="80" spans="1:8" x14ac:dyDescent="0.2">
      <c r="A80" s="17" t="s">
        <v>728</v>
      </c>
      <c r="B80" s="11"/>
      <c r="C80" s="11"/>
      <c r="D80" s="11"/>
      <c r="E80" s="11"/>
      <c r="F80" s="11"/>
      <c r="G80" s="11"/>
      <c r="H80" s="11"/>
    </row>
    <row r="81" spans="1:8" x14ac:dyDescent="0.2">
      <c r="A81" s="17" t="s">
        <v>729</v>
      </c>
      <c r="B81" s="11"/>
      <c r="C81" s="11"/>
      <c r="D81" s="11"/>
      <c r="E81" s="11"/>
      <c r="F81" s="11"/>
      <c r="G81" s="11"/>
      <c r="H81" s="11"/>
    </row>
    <row r="82" spans="1:8" x14ac:dyDescent="0.2">
      <c r="A82" s="17" t="s">
        <v>730</v>
      </c>
      <c r="B82" s="11"/>
      <c r="C82" s="11"/>
      <c r="D82" s="11"/>
      <c r="E82" s="11"/>
      <c r="F82" s="11"/>
      <c r="G82" s="11"/>
      <c r="H82" s="11"/>
    </row>
    <row r="83" spans="1:8" x14ac:dyDescent="0.2">
      <c r="A83" s="17" t="s">
        <v>731</v>
      </c>
      <c r="B83" s="11"/>
      <c r="C83" s="11"/>
      <c r="D83" s="11"/>
      <c r="E83" s="11"/>
      <c r="F83" s="11"/>
      <c r="G83" s="11"/>
      <c r="H83" s="11"/>
    </row>
    <row r="84" spans="1:8" x14ac:dyDescent="0.2">
      <c r="A84" s="17" t="s">
        <v>732</v>
      </c>
      <c r="B84" s="11"/>
      <c r="C84" s="11"/>
      <c r="D84" s="11"/>
      <c r="E84" s="11"/>
      <c r="F84" s="11"/>
      <c r="G84" s="11"/>
      <c r="H84" s="11"/>
    </row>
    <row r="85" spans="1:8" x14ac:dyDescent="0.2">
      <c r="A85" s="17" t="s">
        <v>733</v>
      </c>
      <c r="B85" s="11"/>
      <c r="C85" s="11"/>
      <c r="D85" s="11"/>
      <c r="E85" s="11"/>
      <c r="F85" s="11"/>
      <c r="G85" s="11"/>
      <c r="H85" s="11"/>
    </row>
    <row r="86" spans="1:8" x14ac:dyDescent="0.2">
      <c r="A86" s="17" t="s">
        <v>734</v>
      </c>
      <c r="B86" s="11"/>
      <c r="C86" s="11"/>
      <c r="D86" s="11"/>
      <c r="E86" s="11"/>
      <c r="F86" s="11"/>
      <c r="G86" s="11"/>
      <c r="H86" s="11"/>
    </row>
    <row r="87" spans="1:8" x14ac:dyDescent="0.2">
      <c r="A87" s="17" t="s">
        <v>735</v>
      </c>
      <c r="B87" s="11"/>
      <c r="C87" s="11"/>
      <c r="D87" s="11"/>
      <c r="E87" s="11"/>
      <c r="F87" s="11"/>
      <c r="G87" s="11"/>
      <c r="H87" s="11"/>
    </row>
    <row r="88" spans="1:8" x14ac:dyDescent="0.2">
      <c r="A88" s="17" t="s">
        <v>736</v>
      </c>
      <c r="B88" s="11"/>
      <c r="C88" s="11"/>
      <c r="D88" s="11"/>
      <c r="E88" s="11"/>
      <c r="F88" s="11"/>
      <c r="G88" s="11"/>
      <c r="H88" s="11"/>
    </row>
    <row r="89" spans="1:8" x14ac:dyDescent="0.2">
      <c r="A89" s="17" t="s">
        <v>737</v>
      </c>
      <c r="B89" s="11"/>
      <c r="C89" s="11"/>
      <c r="D89" s="11"/>
      <c r="E89" s="11"/>
      <c r="F89" s="11"/>
      <c r="G89" s="11"/>
      <c r="H89" s="11"/>
    </row>
    <row r="90" spans="1:8" x14ac:dyDescent="0.2">
      <c r="A90" s="17" t="s">
        <v>738</v>
      </c>
      <c r="B90" s="11"/>
      <c r="C90" s="11"/>
      <c r="D90" s="11"/>
      <c r="E90" s="11"/>
      <c r="F90" s="11"/>
      <c r="G90" s="11"/>
      <c r="H90" s="11"/>
    </row>
    <row r="91" spans="1:8" x14ac:dyDescent="0.2">
      <c r="A91" s="17" t="s">
        <v>739</v>
      </c>
      <c r="B91" s="11"/>
      <c r="C91" s="11"/>
      <c r="D91" s="11"/>
      <c r="E91" s="11"/>
      <c r="F91" s="11"/>
      <c r="G91" s="11"/>
      <c r="H91" s="11"/>
    </row>
    <row r="92" spans="1:8" x14ac:dyDescent="0.2">
      <c r="A92" s="17" t="s">
        <v>740</v>
      </c>
      <c r="B92" s="11"/>
      <c r="C92" s="11"/>
      <c r="D92" s="11"/>
      <c r="E92" s="11"/>
      <c r="F92" s="11"/>
      <c r="G92" s="11"/>
      <c r="H92" s="11"/>
    </row>
    <row r="93" spans="1:8" x14ac:dyDescent="0.2">
      <c r="A93" s="17" t="s">
        <v>741</v>
      </c>
      <c r="B93" s="11"/>
      <c r="C93" s="11"/>
      <c r="D93" s="11"/>
      <c r="E93" s="11"/>
      <c r="F93" s="11"/>
      <c r="G93" s="11"/>
      <c r="H93" s="11"/>
    </row>
    <row r="94" spans="1:8" x14ac:dyDescent="0.2">
      <c r="A94" s="17" t="s">
        <v>742</v>
      </c>
      <c r="B94" s="11"/>
      <c r="C94" s="11"/>
      <c r="D94" s="11"/>
      <c r="E94" s="11"/>
      <c r="F94" s="11"/>
      <c r="G94" s="11"/>
      <c r="H94" s="11"/>
    </row>
    <row r="95" spans="1:8" x14ac:dyDescent="0.2">
      <c r="A95" s="17" t="s">
        <v>743</v>
      </c>
      <c r="B95" s="11"/>
      <c r="C95" s="11"/>
      <c r="D95" s="11"/>
      <c r="E95" s="11"/>
      <c r="F95" s="11"/>
      <c r="G95" s="11"/>
      <c r="H95" s="11"/>
    </row>
    <row r="96" spans="1:8" x14ac:dyDescent="0.2">
      <c r="A96" s="17" t="s">
        <v>744</v>
      </c>
      <c r="B96" s="11"/>
      <c r="C96" s="11"/>
      <c r="D96" s="11"/>
      <c r="E96" s="11"/>
      <c r="F96" s="11"/>
      <c r="G96" s="11"/>
      <c r="H96" s="11"/>
    </row>
    <row r="97" spans="1:8" x14ac:dyDescent="0.2">
      <c r="A97" s="17" t="s">
        <v>745</v>
      </c>
      <c r="B97" s="11"/>
      <c r="C97" s="11"/>
      <c r="D97" s="11"/>
      <c r="E97" s="11"/>
      <c r="F97" s="11"/>
      <c r="G97" s="11"/>
      <c r="H97" s="11"/>
    </row>
    <row r="98" spans="1:8" x14ac:dyDescent="0.2">
      <c r="A98" s="17" t="s">
        <v>746</v>
      </c>
      <c r="B98" s="11"/>
      <c r="C98" s="11"/>
      <c r="D98" s="11"/>
      <c r="E98" s="11"/>
      <c r="F98" s="11"/>
      <c r="G98" s="11"/>
      <c r="H98" s="11"/>
    </row>
    <row r="99" spans="1:8" x14ac:dyDescent="0.2">
      <c r="A99" s="17" t="s">
        <v>747</v>
      </c>
      <c r="B99" s="11"/>
      <c r="C99" s="11"/>
      <c r="D99" s="11"/>
      <c r="E99" s="11"/>
      <c r="F99" s="11"/>
      <c r="G99" s="11"/>
      <c r="H99" s="11"/>
    </row>
    <row r="100" spans="1:8" x14ac:dyDescent="0.2">
      <c r="A100" s="17" t="s">
        <v>748</v>
      </c>
      <c r="B100" s="11"/>
      <c r="C100" s="11"/>
      <c r="D100" s="11"/>
      <c r="E100" s="11"/>
      <c r="F100" s="11"/>
      <c r="G100" s="11"/>
      <c r="H100" s="11"/>
    </row>
    <row r="101" spans="1:8" x14ac:dyDescent="0.2">
      <c r="A101" s="17" t="s">
        <v>749</v>
      </c>
      <c r="B101" s="11"/>
      <c r="C101" s="11"/>
      <c r="D101" s="11"/>
      <c r="E101" s="11"/>
      <c r="F101" s="11"/>
      <c r="G101" s="11"/>
      <c r="H101" s="11"/>
    </row>
    <row r="102" spans="1:8" x14ac:dyDescent="0.2">
      <c r="A102" s="17" t="s">
        <v>750</v>
      </c>
      <c r="B102" s="11"/>
      <c r="C102" s="11"/>
      <c r="D102" s="11"/>
      <c r="E102" s="11"/>
      <c r="F102" s="11"/>
      <c r="G102" s="11"/>
      <c r="H102" s="11"/>
    </row>
    <row r="103" spans="1:8" x14ac:dyDescent="0.2">
      <c r="A103" s="17" t="s">
        <v>751</v>
      </c>
      <c r="B103" s="11"/>
      <c r="C103" s="11"/>
      <c r="D103" s="11"/>
      <c r="E103" s="11"/>
      <c r="F103" s="11"/>
      <c r="G103" s="11"/>
      <c r="H103" s="11"/>
    </row>
    <row r="104" spans="1:8" x14ac:dyDescent="0.2">
      <c r="A104" s="17" t="s">
        <v>752</v>
      </c>
      <c r="B104" s="11"/>
      <c r="C104" s="11"/>
      <c r="D104" s="11"/>
      <c r="E104" s="11"/>
      <c r="F104" s="11"/>
      <c r="G104" s="11"/>
      <c r="H104" s="11"/>
    </row>
  </sheetData>
  <mergeCells count="2">
    <mergeCell ref="A2:H2"/>
    <mergeCell ref="A1:H1"/>
  </mergeCells>
  <dataValidations count="2">
    <dataValidation type="list"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xr:uid="{00000000-0002-0000-0900-000000000000}">
      <formula1>"Configuration file,Screenshot,Encryption report,MDM report,Audit log,Key management record,Backup verification,Vendor documentation,Compliance certificate,Other"</formula1>
    </dataValidation>
    <dataValidation type="list"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xr:uid="{00000000-0002-0000-0900-000001000000}">
      <formula1>"Verified,Pending verification,Not verified,Requires update"</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38"/>
  <sheetViews>
    <sheetView workbookViewId="0">
      <pane ySplit="2" topLeftCell="A3" activePane="bottomLeft" state="frozen"/>
      <selection pane="bottomLeft"/>
    </sheetView>
  </sheetViews>
  <sheetFormatPr baseColWidth="10" defaultColWidth="8.83203125" defaultRowHeight="15" x14ac:dyDescent="0.2"/>
  <cols>
    <col min="1" max="1" width="28" customWidth="1"/>
    <col min="2" max="2" width="30" customWidth="1"/>
    <col min="3" max="5" width="18" customWidth="1"/>
  </cols>
  <sheetData>
    <row r="1" spans="1:5" ht="30" customHeight="1" x14ac:dyDescent="0.2">
      <c r="A1" s="18" t="s">
        <v>753</v>
      </c>
      <c r="B1" s="19"/>
      <c r="C1" s="19"/>
      <c r="D1" s="19"/>
      <c r="E1" s="19"/>
    </row>
    <row r="3" spans="1:5" ht="16" x14ac:dyDescent="0.2">
      <c r="A3" s="1" t="s">
        <v>754</v>
      </c>
    </row>
    <row r="4" spans="1:5" ht="32" x14ac:dyDescent="0.2">
      <c r="A4" s="2" t="s">
        <v>755</v>
      </c>
      <c r="B4" s="11" t="s">
        <v>756</v>
      </c>
    </row>
    <row r="5" spans="1:5" ht="16" x14ac:dyDescent="0.2">
      <c r="A5" s="2" t="s">
        <v>757</v>
      </c>
      <c r="B5" s="11" t="s">
        <v>758</v>
      </c>
    </row>
    <row r="6" spans="1:5" ht="16" x14ac:dyDescent="0.2">
      <c r="A6" s="2" t="s">
        <v>759</v>
      </c>
      <c r="B6" s="11" t="s">
        <v>760</v>
      </c>
    </row>
    <row r="7" spans="1:5" ht="16" x14ac:dyDescent="0.2">
      <c r="A7" s="2" t="s">
        <v>761</v>
      </c>
      <c r="B7" s="11" t="s">
        <v>762</v>
      </c>
    </row>
    <row r="8" spans="1:5" x14ac:dyDescent="0.2">
      <c r="B8" t="s">
        <v>763</v>
      </c>
    </row>
    <row r="9" spans="1:5" x14ac:dyDescent="0.2">
      <c r="B9" t="s">
        <v>764</v>
      </c>
    </row>
    <row r="10" spans="1:5" x14ac:dyDescent="0.2">
      <c r="A10" s="37" t="s">
        <v>765</v>
      </c>
      <c r="B10" s="19"/>
      <c r="C10" s="19"/>
      <c r="D10" s="19"/>
      <c r="E10" s="19"/>
    </row>
    <row r="11" spans="1:5" x14ac:dyDescent="0.2">
      <c r="A11" s="2" t="s">
        <v>766</v>
      </c>
      <c r="B11" s="20"/>
      <c r="C11" s="21"/>
      <c r="D11" s="21"/>
      <c r="E11" s="22"/>
    </row>
    <row r="12" spans="1:5" x14ac:dyDescent="0.2">
      <c r="A12" s="2" t="s">
        <v>767</v>
      </c>
      <c r="B12" s="20"/>
      <c r="C12" s="21"/>
      <c r="D12" s="21"/>
      <c r="E12" s="22"/>
    </row>
    <row r="13" spans="1:5" x14ac:dyDescent="0.2">
      <c r="A13" s="2" t="s">
        <v>768</v>
      </c>
      <c r="B13" s="20"/>
      <c r="C13" s="21"/>
      <c r="D13" s="21"/>
      <c r="E13" s="22"/>
    </row>
    <row r="14" spans="1:5" x14ac:dyDescent="0.2">
      <c r="A14" s="2" t="s">
        <v>769</v>
      </c>
      <c r="B14" s="20" t="s">
        <v>770</v>
      </c>
      <c r="C14" s="21"/>
      <c r="D14" s="21"/>
      <c r="E14" s="22"/>
    </row>
    <row r="15" spans="1:5" x14ac:dyDescent="0.2">
      <c r="A15" s="2" t="s">
        <v>771</v>
      </c>
      <c r="B15" s="20" t="s">
        <v>772</v>
      </c>
      <c r="C15" s="21"/>
      <c r="D15" s="21"/>
      <c r="E15" s="22"/>
    </row>
    <row r="16" spans="1:5" x14ac:dyDescent="0.2">
      <c r="B16" t="s">
        <v>773</v>
      </c>
    </row>
    <row r="18" spans="1:5" x14ac:dyDescent="0.2">
      <c r="A18" s="38" t="s">
        <v>774</v>
      </c>
      <c r="B18" s="19"/>
      <c r="C18" s="19"/>
      <c r="D18" s="19"/>
      <c r="E18" s="19"/>
    </row>
    <row r="19" spans="1:5" x14ac:dyDescent="0.2">
      <c r="A19" s="2" t="s">
        <v>766</v>
      </c>
      <c r="B19" s="20"/>
      <c r="C19" s="21"/>
      <c r="D19" s="21"/>
      <c r="E19" s="22"/>
    </row>
    <row r="20" spans="1:5" x14ac:dyDescent="0.2">
      <c r="A20" s="2" t="s">
        <v>771</v>
      </c>
      <c r="B20" s="20"/>
      <c r="C20" s="21"/>
      <c r="D20" s="21"/>
      <c r="E20" s="22"/>
    </row>
    <row r="21" spans="1:5" x14ac:dyDescent="0.2">
      <c r="A21" s="2" t="s">
        <v>775</v>
      </c>
      <c r="B21" s="20" t="s">
        <v>776</v>
      </c>
      <c r="C21" s="21"/>
      <c r="D21" s="21"/>
      <c r="E21" s="22"/>
    </row>
    <row r="22" spans="1:5" x14ac:dyDescent="0.2">
      <c r="B22" t="s">
        <v>777</v>
      </c>
    </row>
    <row r="23" spans="1:5" x14ac:dyDescent="0.2">
      <c r="B23" t="s">
        <v>778</v>
      </c>
    </row>
    <row r="28" spans="1:5" x14ac:dyDescent="0.2">
      <c r="B28" t="s">
        <v>779</v>
      </c>
    </row>
    <row r="29" spans="1:5" x14ac:dyDescent="0.2">
      <c r="B29" t="s">
        <v>780</v>
      </c>
    </row>
    <row r="30" spans="1:5" x14ac:dyDescent="0.2">
      <c r="B30" t="s">
        <v>781</v>
      </c>
    </row>
    <row r="31" spans="1:5" x14ac:dyDescent="0.2">
      <c r="B31" t="s">
        <v>782</v>
      </c>
    </row>
    <row r="36" spans="2:2" x14ac:dyDescent="0.2">
      <c r="B36" t="s">
        <v>783</v>
      </c>
    </row>
    <row r="37" spans="2:2" x14ac:dyDescent="0.2">
      <c r="B37" t="s">
        <v>770</v>
      </c>
    </row>
    <row r="38" spans="2:2" x14ac:dyDescent="0.2">
      <c r="B38" t="s">
        <v>784</v>
      </c>
    </row>
  </sheetData>
  <mergeCells count="11">
    <mergeCell ref="A1:E1"/>
    <mergeCell ref="B11:E11"/>
    <mergeCell ref="B19:E19"/>
    <mergeCell ref="B20:E20"/>
    <mergeCell ref="A18:E18"/>
    <mergeCell ref="B14:E14"/>
    <mergeCell ref="B12:E12"/>
    <mergeCell ref="B13:E13"/>
    <mergeCell ref="A10:E10"/>
    <mergeCell ref="B21:E21"/>
    <mergeCell ref="B15:E15"/>
  </mergeCells>
  <dataValidations count="2">
    <dataValidation type="list" sqref="B7" xr:uid="{00000000-0002-0000-0A00-000000000000}">
      <formula1>"Draft,Final,Requires remediation,Re-assessment required"</formula1>
    </dataValidation>
    <dataValidation type="list" sqref="B21" xr:uid="{00000000-0002-0000-0A00-000001000000}">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Instructions &amp; Legend</vt:lpstr>
      <vt:lpstr>1. Mobile Devices</vt:lpstr>
      <vt:lpstr>2. Laptops &amp; Workstations</vt:lpstr>
      <vt:lpstr>3. Servers</vt:lpstr>
      <vt:lpstr>4. Databases</vt:lpstr>
      <vt:lpstr>5. Cloud Storage</vt:lpstr>
      <vt:lpstr>6. Backups</vt:lpstr>
      <vt:lpstr>7. Removable Media</vt:lpstr>
      <vt:lpstr>Summary Dashboard</vt:lpstr>
      <vt:lpstr>Evidence Register</vt:lpstr>
      <vt:lpstr>Approval Sign-Off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Gregory Griffin</cp:lastModifiedBy>
  <dcterms:created xsi:type="dcterms:W3CDTF">2026-01-13T22:05:37Z</dcterms:created>
  <dcterms:modified xsi:type="dcterms:W3CDTF">2026-01-13T22:07:26Z</dcterms:modified>
</cp:coreProperties>
</file>