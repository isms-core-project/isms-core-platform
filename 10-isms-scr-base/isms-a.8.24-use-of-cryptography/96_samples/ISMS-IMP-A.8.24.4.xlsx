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19741553-A605-4B48-8DF3-00D6A418EEF3}" xr6:coauthVersionLast="47" xr6:coauthVersionMax="47" xr10:uidLastSave="{00000000-0000-0000-0000-000000000000}"/>
  <bookViews>
    <workbookView xWindow="0" yWindow="600" windowWidth="38400" windowHeight="19660" xr2:uid="{00000000-000D-0000-FFFF-FFFF00000000}"/>
  </bookViews>
  <sheets>
    <sheet name="Instructions &amp; Legend" sheetId="1" r:id="rId1"/>
    <sheet name="1. Key Generation" sheetId="2" r:id="rId2"/>
    <sheet name="2. Key Storage" sheetId="3" r:id="rId3"/>
    <sheet name="3. Key Rotation" sheetId="4" r:id="rId4"/>
    <sheet name="4. Key Backup &amp; Recovery" sheetId="5" r:id="rId5"/>
    <sheet name="5. Certificate Management" sheetId="6" r:id="rId6"/>
    <sheet name="Summary Dashboard" sheetId="7" r:id="rId7"/>
    <sheet name="Evidence Register" sheetId="8" r:id="rId8"/>
    <sheet name="Approval Sign-Off"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6" i="7" l="1"/>
  <c r="C95" i="7"/>
  <c r="C94" i="7"/>
  <c r="C93" i="7"/>
  <c r="E88" i="7"/>
  <c r="E87" i="7"/>
  <c r="E86" i="7"/>
  <c r="E85" i="7"/>
  <c r="C69" i="7"/>
  <c r="C68" i="7"/>
  <c r="C67" i="7"/>
  <c r="C66" i="7"/>
  <c r="C65" i="7"/>
  <c r="C42" i="7"/>
  <c r="C41" i="7"/>
  <c r="C40" i="7"/>
  <c r="C39" i="7"/>
  <c r="C38" i="7"/>
  <c r="C37" i="7"/>
  <c r="C36" i="7"/>
  <c r="C31" i="7"/>
  <c r="C30" i="7"/>
  <c r="C29" i="7"/>
  <c r="C28" i="7"/>
  <c r="C27" i="7"/>
  <c r="C26" i="7"/>
  <c r="C25" i="7"/>
  <c r="C24" i="7"/>
  <c r="C23" i="7"/>
  <c r="C18" i="7"/>
  <c r="C17" i="7"/>
  <c r="C16" i="7"/>
  <c r="C15" i="7"/>
  <c r="C14" i="7"/>
  <c r="F8" i="7"/>
  <c r="E8" i="7"/>
  <c r="D8" i="7"/>
  <c r="C8" i="7"/>
  <c r="B8" i="7"/>
  <c r="G8" i="7" s="1"/>
  <c r="G7" i="7"/>
  <c r="F7" i="7"/>
  <c r="E7" i="7"/>
  <c r="D7" i="7"/>
  <c r="C7" i="7"/>
  <c r="B7" i="7"/>
  <c r="F6" i="7"/>
  <c r="G6" i="7" s="1"/>
  <c r="E6" i="7"/>
  <c r="D6" i="7"/>
  <c r="C6" i="7"/>
  <c r="B6" i="7"/>
  <c r="F5" i="7"/>
  <c r="E5" i="7"/>
  <c r="E9" i="7" s="1"/>
  <c r="D5" i="7"/>
  <c r="D9" i="7" s="1"/>
  <c r="C5" i="7"/>
  <c r="B5" i="7"/>
  <c r="G5" i="7" s="1"/>
  <c r="F4" i="7"/>
  <c r="F9" i="7" s="1"/>
  <c r="E4" i="7"/>
  <c r="D4" i="7"/>
  <c r="C4" i="7"/>
  <c r="C9" i="7" s="1"/>
  <c r="B4" i="7"/>
  <c r="B9" i="7" s="1"/>
  <c r="B44" i="6"/>
  <c r="B42" i="5"/>
  <c r="B40" i="4"/>
  <c r="B41" i="3"/>
  <c r="B38" i="2"/>
  <c r="G9" i="7" l="1"/>
  <c r="B100" i="7" s="1"/>
  <c r="G4" i="7"/>
</calcChain>
</file>

<file path=xl/sharedStrings.xml><?xml version="1.0" encoding="utf-8"?>
<sst xmlns="http://schemas.openxmlformats.org/spreadsheetml/2006/main" count="1665" uniqueCount="937">
  <si>
    <t>ISMS-IMP-A.8.24.4 – Key Management Assessment
ISO/IEC 27001:2022 - Control A.8.24: Use of Cryptography</t>
  </si>
  <si>
    <t>Document Information</t>
  </si>
  <si>
    <t>Document ID</t>
  </si>
  <si>
    <t>ISMS-IMP-A.8.24.4</t>
  </si>
  <si>
    <t>Assessment Area</t>
  </si>
  <si>
    <t>Key Management Cryptographic Controls</t>
  </si>
  <si>
    <t>Related Policy</t>
  </si>
  <si>
    <t>ISMS-POL-A.8.24-S2.4</t>
  </si>
  <si>
    <t>Version</t>
  </si>
  <si>
    <t>1.0</t>
  </si>
  <si>
    <t>Assessment Date</t>
  </si>
  <si>
    <t>Completed By</t>
  </si>
  <si>
    <t>Organization</t>
  </si>
  <si>
    <t>Review Cycle</t>
  </si>
  <si>
    <t>Quarterly</t>
  </si>
  <si>
    <t>HOW TO USE THIS WORKBOOK</t>
  </si>
  <si>
    <t>1. Complete each worksheet tab (1–5) for applicable key management areas</t>
  </si>
  <si>
    <t>2. Use dropdown menus for standardized entries (Status, Key Type, Algorithm, Storage Method, etc.)</t>
  </si>
  <si>
    <t>3. Fill in yellow-highlighted cells with your information</t>
  </si>
  <si>
    <t>4. If Status = Partial or Non-Compliant, complete the Exception/Deviation section</t>
  </si>
  <si>
    <t>5. Document key lifecycle details for each cryptographic system</t>
  </si>
  <si>
    <t>6. Provide evidence location/path for each implementation entry</t>
  </si>
  <si>
    <t>7. Summary Dashboard auto-calculates compliance statistics per key management area</t>
  </si>
  <si>
    <t>8. Maintain the Evidence Register for audit traceability</t>
  </si>
  <si>
    <t>9. Obtain final approval and sign-off in the Approval Sign-Off sheet</t>
  </si>
  <si>
    <t>STATUS LEGEND</t>
  </si>
  <si>
    <t>Symbol</t>
  </si>
  <si>
    <t>Status</t>
  </si>
  <si>
    <t>Description</t>
  </si>
  <si>
    <t>✅</t>
  </si>
  <si>
    <t>Compliant</t>
  </si>
  <si>
    <t>Fully meets policy requirements</t>
  </si>
  <si>
    <t>⚠️</t>
  </si>
  <si>
    <t>Partial</t>
  </si>
  <si>
    <t>Some requirements met, gaps exist</t>
  </si>
  <si>
    <t>❌</t>
  </si>
  <si>
    <t>Non-Compliant</t>
  </si>
  <si>
    <t>Does not meet policy requirements</t>
  </si>
  <si>
    <t>N/A</t>
  </si>
  <si>
    <t>Not Applicable</t>
  </si>
  <si>
    <t>Requirement does not apply</t>
  </si>
  <si>
    <t>ACCEPTABLE EVIDENCE (examples)</t>
  </si>
  <si>
    <t>✓ Key generation audit logs</t>
  </si>
  <si>
    <t>✓ HSM configuration and initialization records</t>
  </si>
  <si>
    <t>✓ KMS architecture diagrams</t>
  </si>
  <si>
    <t>✓ Key rotation schedules and logs</t>
  </si>
  <si>
    <t>✓ Key backup and recovery procedures</t>
  </si>
  <si>
    <t>✓ Key escrow agreements</t>
  </si>
  <si>
    <t>✓ Certificate lifecycle management reports</t>
  </si>
  <si>
    <t>✓ Certificate Authority (CA) audit reports</t>
  </si>
  <si>
    <t>✓ Key ceremony documentation</t>
  </si>
  <si>
    <t>✓ Cryptographic module validation certificates (FIPS 140-2/3)</t>
  </si>
  <si>
    <t>✓ Key usage and access logs</t>
  </si>
  <si>
    <t>✓ Key destruction records</t>
  </si>
  <si>
    <t>✓ Algorithm compliance verification reports</t>
  </si>
  <si>
    <t>✓ Third-party key management audit reports</t>
  </si>
  <si>
    <t>1. KEY GENERATION - CRYPTOGRAPHIC KEY CREATION
Policy Requirement: Cryptographic keys MUST be generated using approved algorithms with cryptographically secure random number generators (Policy Section 2.4.1)</t>
  </si>
  <si>
    <t>Does your organization generate cryptographic keys for encryption, signing, or authentication purposes?</t>
  </si>
  <si>
    <t>Response:</t>
  </si>
  <si>
    <t>System/Service</t>
  </si>
  <si>
    <t>Key Type</t>
  </si>
  <si>
    <t>Algorithm</t>
  </si>
  <si>
    <t>Key Length (bits)</t>
  </si>
  <si>
    <t>Storage Method</t>
  </si>
  <si>
    <t>Data Classification</t>
  </si>
  <si>
    <t>Lifecycle Stage</t>
  </si>
  <si>
    <t>Evidence Location</t>
  </si>
  <si>
    <t>Gap Description</t>
  </si>
  <si>
    <t>Remediation Needed</t>
  </si>
  <si>
    <t>Exception ID</t>
  </si>
  <si>
    <t>Risk ID</t>
  </si>
  <si>
    <t>Compensating Controls</t>
  </si>
  <si>
    <t>Responsible Person</t>
  </si>
  <si>
    <t>Target Date</t>
  </si>
  <si>
    <t>Budget Required</t>
  </si>
  <si>
    <t>Random Number Generator</t>
  </si>
  <si>
    <t>Generation Location</t>
  </si>
  <si>
    <t>Key Ceremony Performed</t>
  </si>
  <si>
    <t>Entropy Source Verified</t>
  </si>
  <si>
    <t>Generation Audit Log</t>
  </si>
  <si>
    <t>Example: Production Database Encryption - FINDB01</t>
  </si>
  <si>
    <t>Data Encryption Key</t>
  </si>
  <si>
    <t>AES-256</t>
  </si>
  <si>
    <t>256</t>
  </si>
  <si>
    <t>HSM</t>
  </si>
  <si>
    <t>Restricted</t>
  </si>
  <si>
    <t>Active</t>
  </si>
  <si>
    <t>✅ Compliant</t>
  </si>
  <si>
    <t>/evidence/key-mgmt/FINDB01-key-generation-log.pdf</t>
  </si>
  <si>
    <t>None</t>
  </si>
  <si>
    <t>No</t>
  </si>
  <si>
    <t>HSM RNG</t>
  </si>
  <si>
    <t>Yes</t>
  </si>
  <si>
    <t>TLS Certificates (Public)</t>
  </si>
  <si>
    <t>Public-facing services</t>
  </si>
  <si>
    <t>RSA</t>
  </si>
  <si>
    <t>4096 bits</t>
  </si>
  <si>
    <t>Let's Encrypt / DigiCert</t>
  </si>
  <si>
    <t>Public</t>
  </si>
  <si>
    <t>Certificate inventory</t>
  </si>
  <si>
    <t>Database Encryption Keys</t>
  </si>
  <si>
    <t>Data-at-rest protection</t>
  </si>
  <si>
    <t>AES</t>
  </si>
  <si>
    <t>256 bits</t>
  </si>
  <si>
    <t>AWS KMS / Azure Key Vault</t>
  </si>
  <si>
    <t>KMS key inventory</t>
  </si>
  <si>
    <t>API Signing Keys (JWT)</t>
  </si>
  <si>
    <t>API authentication</t>
  </si>
  <si>
    <t>ECDSA P-256</t>
  </si>
  <si>
    <t>HashiCorp Vault</t>
  </si>
  <si>
    <t>Confidential</t>
  </si>
  <si>
    <t>Vault key audit</t>
  </si>
  <si>
    <t>SSH Host Keys</t>
  </si>
  <si>
    <t>Server authentication</t>
  </si>
  <si>
    <t>Ed25519</t>
  </si>
  <si>
    <t>Ansible automated</t>
  </si>
  <si>
    <t>Internal</t>
  </si>
  <si>
    <t>SSH key inventory</t>
  </si>
  <si>
    <t>Code Signing Keys</t>
  </si>
  <si>
    <t>Software release signing</t>
  </si>
  <si>
    <t>YubiKey HSM</t>
  </si>
  <si>
    <t>Code signing logs</t>
  </si>
  <si>
    <t>Symmetric Encryption Keys</t>
  </si>
  <si>
    <t>Application encryption</t>
  </si>
  <si>
    <t>Cloud KMS</t>
  </si>
  <si>
    <t>Application key docs</t>
  </si>
  <si>
    <t>Legacy DES Keys</t>
  </si>
  <si>
    <t>Legacy system (deprecated)</t>
  </si>
  <si>
    <t>DES</t>
  </si>
  <si>
    <t>56 bits</t>
  </si>
  <si>
    <t>File-based</t>
  </si>
  <si>
    <t>Deprecated</t>
  </si>
  <si>
    <t>❌ Non-Compliant</t>
  </si>
  <si>
    <t>Legacy system docs</t>
  </si>
  <si>
    <t>Migrate to AES-256</t>
  </si>
  <si>
    <t>Key Encryption Keys (KEK)</t>
  </si>
  <si>
    <t>Key wrapping</t>
  </si>
  <si>
    <t>HSM-backed</t>
  </si>
  <si>
    <t>HSM audit logs</t>
  </si>
  <si>
    <t>Master Encryption Keys</t>
  </si>
  <si>
    <t>Top-level keys</t>
  </si>
  <si>
    <t>Hardware HSM</t>
  </si>
  <si>
    <t>HSM key ceremony docs</t>
  </si>
  <si>
    <t>1. KEY GENERATION CHECKLIST</t>
  </si>
  <si>
    <t>☐</t>
  </si>
  <si>
    <t>Requirement</t>
  </si>
  <si>
    <t>Approved algorithms only (AES-256, RSA ≥3072, Ed25519, ECDSA P-256+)</t>
  </si>
  <si>
    <t>Cryptographically secure random number generator (CSRNG) used</t>
  </si>
  <si>
    <t>FIPS 140-2 Level 2+ validated cryptographic module (production)</t>
  </si>
  <si>
    <t>Key generation performed in secure environment (HSM/KMS/TPM)</t>
  </si>
  <si>
    <t>Weak algorithms prohibited (DES, 3DES, MD5, SHA-1, RSA &lt;2048)</t>
  </si>
  <si>
    <t>Key ceremony documented for master/root keys</t>
  </si>
  <si>
    <t>Dual control/split knowledge for critical key generation</t>
  </si>
  <si>
    <t>Key generation audit logging enabled</t>
  </si>
  <si>
    <t>Generated keys never exposed in plaintext outside secure boundary</t>
  </si>
  <si>
    <t>Entropy source quality verified and tested</t>
  </si>
  <si>
    <t>Key generation procedures documented</t>
  </si>
  <si>
    <t>Key metadata tracked (creation date, purpose, owner, classification)</t>
  </si>
  <si>
    <t>Test/development keys distinct from production keys</t>
  </si>
  <si>
    <t>Default/vendor keys replaced before production use</t>
  </si>
  <si>
    <t>Checklist Score:</t>
  </si>
  <si>
    <t>APPROVED ALGORITHMS BY USE CASE</t>
  </si>
  <si>
    <t>Use Case</t>
  </si>
  <si>
    <t>Minimum Algorithm</t>
  </si>
  <si>
    <t>Key Length</t>
  </si>
  <si>
    <t>Notes</t>
  </si>
  <si>
    <t>Symmetric Encryption (Data at Rest)</t>
  </si>
  <si>
    <t>AES-256-GCM preferred</t>
  </si>
  <si>
    <t>Symmetric Encryption (Data in Transit)</t>
  </si>
  <si>
    <t>AES, ChaCha20</t>
  </si>
  <si>
    <t>ChaCha20-Poly1305 for mobile</t>
  </si>
  <si>
    <t>Asymmetric Encryption</t>
  </si>
  <si>
    <t>RSA, ECDH</t>
  </si>
  <si>
    <t>RSA ≥3072, ECDH P-256+</t>
  </si>
  <si>
    <t>RSA-4096 for long-term</t>
  </si>
  <si>
    <t>Digital Signatures</t>
  </si>
  <si>
    <t>RSA, Ed25519, ECDSA</t>
  </si>
  <si>
    <t>RSA ≥3072, Ed25519, ECDSA P-256+</t>
  </si>
  <si>
    <t>Ed25519 preferred for new systems</t>
  </si>
  <si>
    <t>Key Exchange</t>
  </si>
  <si>
    <t>ECDH, RSA</t>
  </si>
  <si>
    <t>ECDH P-256+, RSA ≥3072</t>
  </si>
  <si>
    <t>Use ephemeral keys for PFS</t>
  </si>
  <si>
    <t>Hashing</t>
  </si>
  <si>
    <t>SHA-256, SHA-384, SHA-512</t>
  </si>
  <si>
    <t>N/A (output size)</t>
  </si>
  <si>
    <t>SHA-256 minimum</t>
  </si>
  <si>
    <t>HMAC</t>
  </si>
  <si>
    <t>HMAC-SHA256</t>
  </si>
  <si>
    <t>≥256 bits</t>
  </si>
  <si>
    <t>For message authentication</t>
  </si>
  <si>
    <t>EXCEPTION / DEVIATION DOCUMENTATION (Complete if Status = Partial or Non-Compliant)</t>
  </si>
  <si>
    <t>Formal exception request submitted:</t>
  </si>
  <si>
    <t>Exception ID:</t>
  </si>
  <si>
    <t>Risk acceptance documented:</t>
  </si>
  <si>
    <t>Risk ID:</t>
  </si>
  <si>
    <t>Compensating Controls (summary):</t>
  </si>
  <si>
    <t>☐ Enhanced monitoring and alerting</t>
  </si>
  <si>
    <t>☐ Restricted network access / air-gapped systems</t>
  </si>
  <si>
    <t>☐ Additional encryption layer</t>
  </si>
  <si>
    <t>☐ Manual key management procedures</t>
  </si>
  <si>
    <t>☐ Increased audit frequency</t>
  </si>
  <si>
    <t>☐ Physical security controls</t>
  </si>
  <si>
    <t>☐ Other (describe):</t>
  </si>
  <si>
    <t>ADDITIONAL NOTES / COMMENTS</t>
  </si>
  <si>
    <t>2. KEY STORAGE - SECURE KEY PROTECTION
Policy Requirement: Cryptographic keys MUST be stored in hardware security modules (HSM), cloud KMS, or TPM for production systems. Software keystores permitted only for non-production with documented risk acceptance (Policy Section 2.4.2)</t>
  </si>
  <si>
    <t>Does your organization store cryptographic keys that require protection?</t>
  </si>
  <si>
    <t>HSM/KMS Model</t>
  </si>
  <si>
    <t>FIPS 140 Level</t>
  </si>
  <si>
    <t>Access Control Method</t>
  </si>
  <si>
    <t>Encryption at Rest</t>
  </si>
  <si>
    <t>Physical Security</t>
  </si>
  <si>
    <t>Key Backup Exists</t>
  </si>
  <si>
    <t>Example: Azure Key Vault - App1 Keys</t>
  </si>
  <si>
    <t>Key Encryption Key</t>
  </si>
  <si>
    <t>RSA-4096</t>
  </si>
  <si>
    <t>4096</t>
  </si>
  <si>
    <t>/evidence/key-mgmt/app1-kv-config.pdf</t>
  </si>
  <si>
    <t>Azure Key Vault</t>
  </si>
  <si>
    <t>Level 2</t>
  </si>
  <si>
    <t>MFA Required</t>
  </si>
  <si>
    <t>Cloud Provider</t>
  </si>
  <si>
    <t>Production TLS Keys</t>
  </si>
  <si>
    <t>TLS private keys</t>
  </si>
  <si>
    <t>AWS ACM / Azure Key Vault</t>
  </si>
  <si>
    <t>ACM configuration</t>
  </si>
  <si>
    <t>Database Master Keys</t>
  </si>
  <si>
    <t>DB encryption keys</t>
  </si>
  <si>
    <t>Azure Key Vault + HSM</t>
  </si>
  <si>
    <t>Key Vault access logs</t>
  </si>
  <si>
    <t>Application Secrets</t>
  </si>
  <si>
    <t>API keys, passwords</t>
  </si>
  <si>
    <t>Various</t>
  </si>
  <si>
    <t>256+ bits</t>
  </si>
  <si>
    <t>Encrypted at rest</t>
  </si>
  <si>
    <t>Vault access policies</t>
  </si>
  <si>
    <t>Kubernetes Secrets</t>
  </si>
  <si>
    <t>K8s application secrets</t>
  </si>
  <si>
    <t>Varies</t>
  </si>
  <si>
    <t>etcd encrypted</t>
  </si>
  <si>
    <t>etcd encryption</t>
  </si>
  <si>
    <t>K8s encryption config</t>
  </si>
  <si>
    <t>Software signing</t>
  </si>
  <si>
    <t>Hardware device</t>
  </si>
  <si>
    <t>HSM access logs</t>
  </si>
  <si>
    <t>SSH Private Keys</t>
  </si>
  <si>
    <t>User authentication</t>
  </si>
  <si>
    <t>User ~/.ssh/</t>
  </si>
  <si>
    <t>Filesystem + passphrase</t>
  </si>
  <si>
    <t>⚠️ Partial</t>
  </si>
  <si>
    <t>Endpoint scan results</t>
  </si>
  <si>
    <t>Enforce passphrase policy</t>
  </si>
  <si>
    <t>Service Account Keys</t>
  </si>
  <si>
    <t>GCP service accounts</t>
  </si>
  <si>
    <t>2048 bits</t>
  </si>
  <si>
    <t>GCP Secret Manager</t>
  </si>
  <si>
    <t>Encrypted</t>
  </si>
  <si>
    <t>GCP audit logs</t>
  </si>
  <si>
    <t>Backup Encryption Keys</t>
  </si>
  <si>
    <t>Backup protection</t>
  </si>
  <si>
    <t>Key escrow service</t>
  </si>
  <si>
    <t>Secure escrow</t>
  </si>
  <si>
    <t>Escrow audit trail</t>
  </si>
  <si>
    <t>Development Keys (local)</t>
  </si>
  <si>
    <t>Dev environment</t>
  </si>
  <si>
    <t>Local filesystem</t>
  </si>
  <si>
    <t>Unprotected</t>
  </si>
  <si>
    <t>Dev key audit</t>
  </si>
  <si>
    <t>Implement Vault for dev</t>
  </si>
  <si>
    <t>2. KEY STORAGE CHECKLIST</t>
  </si>
  <si>
    <t>Production keys stored in HSM, cloud KMS, or TPM</t>
  </si>
  <si>
    <t>FIPS 140-2 Level 2+ (or FIPS 140-3 equivalent) for production</t>
  </si>
  <si>
    <t>Keys encrypted when stored (key encryption keys protected by HSM)</t>
  </si>
  <si>
    <t>Keys never stored in plaintext files or code repositories</t>
  </si>
  <si>
    <t>Keys never stored in application configuration files</t>
  </si>
  <si>
    <t>Keys never stored in environment variables (production)</t>
  </si>
  <si>
    <t>Keys never stored in databases without encryption</t>
  </si>
  <si>
    <t>Access to keys restricted by role-based access control (RBAC)</t>
  </si>
  <si>
    <t>Multi-factor authentication required for key access</t>
  </si>
  <si>
    <t>Dual control/split knowledge for master keys</t>
  </si>
  <si>
    <t>Key access logged and monitored</t>
  </si>
  <si>
    <t>Keys physically secured (locked facilities, tamper-evident HSMs)</t>
  </si>
  <si>
    <t>Key storage location geographically documented</t>
  </si>
  <si>
    <t>Keys stored separately from encrypted data</t>
  </si>
  <si>
    <t>Backup keys stored with equal or greater security</t>
  </si>
  <si>
    <t>Key export restricted and logged</t>
  </si>
  <si>
    <t>Unused/obsolete keys securely destroyed</t>
  </si>
  <si>
    <t>APPROVED KEY STORAGE SOLUTIONS</t>
  </si>
  <si>
    <t>Solution Type</t>
  </si>
  <si>
    <t>Examples</t>
  </si>
  <si>
    <t>FIPS 140-2 Level</t>
  </si>
  <si>
    <t>Thales Luna, Entrust nShield, Utimaco</t>
  </si>
  <si>
    <t>Level 3/4</t>
  </si>
  <si>
    <t>High-security production</t>
  </si>
  <si>
    <t>Cloud HSM</t>
  </si>
  <si>
    <t>AWS CloudHSM, Azure Dedicated HSM</t>
  </si>
  <si>
    <t>Level 3</t>
  </si>
  <si>
    <t>Cloud-native high-security</t>
  </si>
  <si>
    <t>AWS KMS, Azure Key Vault, GCP Cloud KMS</t>
  </si>
  <si>
    <t>Level 2/3</t>
  </si>
  <si>
    <t>General cloud workloads</t>
  </si>
  <si>
    <t>TPM</t>
  </si>
  <si>
    <t>TPM 2.0 (various vendors)</t>
  </si>
  <si>
    <t>Endpoint/device keys</t>
  </si>
  <si>
    <t>Software Vault</t>
  </si>
  <si>
    <t>HashiCorp Vault, CyberArk</t>
  </si>
  <si>
    <t>Non-production acceptable</t>
  </si>
  <si>
    <t>3. KEY ROTATION - CRYPTOGRAPHIC KEY LIFECYCLE MANAGEMENT
Policy Requirement: Cryptographic keys MUST be rotated according to defined schedules: Encryption keys annually, signing keys biennially, session keys hourly/daily (Policy Section 2.4.3)</t>
  </si>
  <si>
    <t>Does your organization have a key rotation policy and implementation for cryptographic keys?</t>
  </si>
  <si>
    <t>Rotation Schedule</t>
  </si>
  <si>
    <t>Last Rotation Date</t>
  </si>
  <si>
    <t>Next Rotation Due</t>
  </si>
  <si>
    <t>Automated Rotation</t>
  </si>
  <si>
    <t>Rotation Tested</t>
  </si>
  <si>
    <t>Re-encryption Required</t>
  </si>
  <si>
    <t>Example: API Signing Keys</t>
  </si>
  <si>
    <t>Signing Key</t>
  </si>
  <si>
    <t>RSA-3072</t>
  </si>
  <si>
    <t>3072</t>
  </si>
  <si>
    <t>/evidence/key-mgmt/api-key-rotation.pdf</t>
  </si>
  <si>
    <t>2024-10-01</t>
  </si>
  <si>
    <t>2025-01-01</t>
  </si>
  <si>
    <t>TLS Certificates</t>
  </si>
  <si>
    <t>Public TLS certs</t>
  </si>
  <si>
    <t>Automated (Let's Encrypt)</t>
  </si>
  <si>
    <t>90 days</t>
  </si>
  <si>
    <t>Auto-renewal logs</t>
  </si>
  <si>
    <t>DB master keys</t>
  </si>
  <si>
    <t>Manual rotation process</t>
  </si>
  <si>
    <t>365 days</t>
  </si>
  <si>
    <t>KMS rotation schedule</t>
  </si>
  <si>
    <t>Automate rotation</t>
  </si>
  <si>
    <t>API Keys (Customer)</t>
  </si>
  <si>
    <t>Customer API access</t>
  </si>
  <si>
    <t>Random</t>
  </si>
  <si>
    <t>Vault auto-rotation</t>
  </si>
  <si>
    <t>180 days</t>
  </si>
  <si>
    <t>Vault rotation logs</t>
  </si>
  <si>
    <t>JWT Signing Keys</t>
  </si>
  <si>
    <t>Token signing</t>
  </si>
  <si>
    <t>ECDSA</t>
  </si>
  <si>
    <t>Automated rotation</t>
  </si>
  <si>
    <t>API gateway logs</t>
  </si>
  <si>
    <t>GCP Service Keys</t>
  </si>
  <si>
    <t>Service account keys</t>
  </si>
  <si>
    <t>Automated</t>
  </si>
  <si>
    <t>GCP IAM audit</t>
  </si>
  <si>
    <t>Azure Storage Keys</t>
  </si>
  <si>
    <t>Storage account access</t>
  </si>
  <si>
    <t>Manual</t>
  </si>
  <si>
    <t>Never rotated</t>
  </si>
  <si>
    <t>Azure Storage audit</t>
  </si>
  <si>
    <t>Enable auto-rotation</t>
  </si>
  <si>
    <t>Server host keys</t>
  </si>
  <si>
    <t>No rotation policy</t>
  </si>
  <si>
    <t>Implement rotation policy</t>
  </si>
  <si>
    <t>Encryption Keys (Apps)</t>
  </si>
  <si>
    <t>Application-level</t>
  </si>
  <si>
    <t>Automated via Vault</t>
  </si>
  <si>
    <t>Application key logs</t>
  </si>
  <si>
    <t>3. KEY ROTATION CHECKLIST</t>
  </si>
  <si>
    <t>Key rotation policy documented and approved</t>
  </si>
  <si>
    <t>Encryption keys (data at rest) rotated annually minimum</t>
  </si>
  <si>
    <t>Signing keys rotated biennially minimum</t>
  </si>
  <si>
    <t>Session keys rotated hourly/daily</t>
  </si>
  <si>
    <t>Master keys rotated every 1-3 years</t>
  </si>
  <si>
    <t>Key rotation automated where possible</t>
  </si>
  <si>
    <t>Key rotation triggers defined (time, usage, compromise)</t>
  </si>
  <si>
    <t>Data re-encryption performed after key rotation</t>
  </si>
  <si>
    <t>Old keys retained for decryption (with restricted access)</t>
  </si>
  <si>
    <t>Key version tracking implemented</t>
  </si>
  <si>
    <t>Rotation procedures tested in non-production</t>
  </si>
  <si>
    <t>Rotation audit logs maintained</t>
  </si>
  <si>
    <t>Emergency rotation procedure documented</t>
  </si>
  <si>
    <t>Rotation scheduling prevents service disruption</t>
  </si>
  <si>
    <t>Key rotation monitored and alerts configured</t>
  </si>
  <si>
    <t>Cryptoperiod limits enforced (max key usage duration)</t>
  </si>
  <si>
    <t>ROTATION SCHEDULE BY KEY TYPE</t>
  </si>
  <si>
    <t>Minimum Rotation Frequency</t>
  </si>
  <si>
    <t>Recommended Frequency</t>
  </si>
  <si>
    <t>Trigger Events</t>
  </si>
  <si>
    <t>Master Encryption Key</t>
  </si>
  <si>
    <t>1 year</t>
  </si>
  <si>
    <t>Compromise, personnel change</t>
  </si>
  <si>
    <t>High volume usage, compromise</t>
  </si>
  <si>
    <t>Master key rotation, compromise</t>
  </si>
  <si>
    <t>2 years</t>
  </si>
  <si>
    <t>Certificate expiry, compromise</t>
  </si>
  <si>
    <t>Session Key</t>
  </si>
  <si>
    <t>24 hours</t>
  </si>
  <si>
    <t>1 hour</t>
  </si>
  <si>
    <t>Session end, compromise</t>
  </si>
  <si>
    <t>API Key</t>
  </si>
  <si>
    <t>30-90 days</t>
  </si>
  <si>
    <t>Personnel change, compromise</t>
  </si>
  <si>
    <t>TLS/SSL Certificate Private Key</t>
  </si>
  <si>
    <t>Certificate validity</t>
  </si>
  <si>
    <t>Annual</t>
  </si>
  <si>
    <t>Certificate renewal, compromise</t>
  </si>
  <si>
    <t>SSH Key</t>
  </si>
  <si>
    <t>Database TDE Key</t>
  </si>
  <si>
    <t>Compliance requirement, compromise</t>
  </si>
  <si>
    <t>4. KEY BACKUP &amp; RECOVERY - BUSINESS CONTINUITY
Policy Requirement: Cryptographic keys MUST have documented backup and recovery procedures. Backup keys stored with equal or greater security than production keys (Policy Section 2.4.4)</t>
  </si>
  <si>
    <t>Does your organization maintain backup and recovery procedures for cryptographic keys?</t>
  </si>
  <si>
    <t>Backup Method</t>
  </si>
  <si>
    <t>Backup Encryption</t>
  </si>
  <si>
    <t>Backup Location</t>
  </si>
  <si>
    <t>Recovery Tested</t>
  </si>
  <si>
    <t>Last Recovery Test</t>
  </si>
  <si>
    <t>RTO (Recovery Time)</t>
  </si>
  <si>
    <t>Escrow Agreement</t>
  </si>
  <si>
    <t>Example: Master Encryption Key Backup</t>
  </si>
  <si>
    <t>Master Key</t>
  </si>
  <si>
    <t>/evidence/key-mgmt/master-key-backup.pdf</t>
  </si>
  <si>
    <t>HSM Backup</t>
  </si>
  <si>
    <t>Offsite Secure Vault</t>
  </si>
  <si>
    <t>2024-06-15</t>
  </si>
  <si>
    <t>&lt;1 hour</t>
  </si>
  <si>
    <t>HSM Master Keys</t>
  </si>
  <si>
    <t>Hardware HSM keys</t>
  </si>
  <si>
    <t>M of N key ceremony</t>
  </si>
  <si>
    <t>Secure key ceremony</t>
  </si>
  <si>
    <t>Key ceremony documentation</t>
  </si>
  <si>
    <t>KMS backup + escrow</t>
  </si>
  <si>
    <t>Cloud KMS backup</t>
  </si>
  <si>
    <t>KMS backup policies</t>
  </si>
  <si>
    <t>BitLocker Recovery Keys</t>
  </si>
  <si>
    <t>Disk encryption recovery</t>
  </si>
  <si>
    <t>Active Directory escrow</t>
  </si>
  <si>
    <t>AD recovery key store</t>
  </si>
  <si>
    <t>BitLocker recovery audit</t>
  </si>
  <si>
    <t>FileVault Recovery Keys</t>
  </si>
  <si>
    <t>Mac disk encryption</t>
  </si>
  <si>
    <t>MDM escrow</t>
  </si>
  <si>
    <t>Jamf Pro escrow</t>
  </si>
  <si>
    <t>MDM recovery key audit</t>
  </si>
  <si>
    <t>Backup system keys</t>
  </si>
  <si>
    <t>Secure key escrow service</t>
  </si>
  <si>
    <t>Iron Mountain escrow</t>
  </si>
  <si>
    <t>Escrow service SLA</t>
  </si>
  <si>
    <t>HSM + offline backup</t>
  </si>
  <si>
    <t>Secure offline storage</t>
  </si>
  <si>
    <t>Backup key audit</t>
  </si>
  <si>
    <t>Root CA Keys</t>
  </si>
  <si>
    <t>PKI root keys</t>
  </si>
  <si>
    <t>Offline HSM + safe</t>
  </si>
  <si>
    <t>Air-gapped HSM</t>
  </si>
  <si>
    <t>CA key ceremony docs</t>
  </si>
  <si>
    <t>Personal SSH Keys</t>
  </si>
  <si>
    <t>User SSH keys</t>
  </si>
  <si>
    <t>No backup</t>
  </si>
  <si>
    <t>User responsibility</t>
  </si>
  <si>
    <t>User key management policy</t>
  </si>
  <si>
    <t>Centralized key management</t>
  </si>
  <si>
    <t>4. KEY BACKUP &amp; RECOVERY CHECKLIST</t>
  </si>
  <si>
    <t>Key backup and recovery procedures documented</t>
  </si>
  <si>
    <t>All critical keys have backup copies</t>
  </si>
  <si>
    <t>Backup keys encrypted with equal or stronger encryption</t>
  </si>
  <si>
    <t>Backup keys stored separately from production keys</t>
  </si>
  <si>
    <t>Geographic separation of backup keys (offsite/different region)</t>
  </si>
  <si>
    <t>Backup key access restricted (dual control/escrow)</t>
  </si>
  <si>
    <t>Key recovery procedures tested quarterly</t>
  </si>
  <si>
    <t>Recovery time objective (RTO) defined and documented</t>
  </si>
  <si>
    <t>Recovery point objective (RPO) defined and documented</t>
  </si>
  <si>
    <t>Key escrow agreements in place (where required)</t>
  </si>
  <si>
    <t>Split knowledge/dual control for backup key recovery</t>
  </si>
  <si>
    <t>Backup key inventory maintained and audited</t>
  </si>
  <si>
    <t>Backup keys versioned and synchronized with production</t>
  </si>
  <si>
    <t>Emergency recovery procedures documented</t>
  </si>
  <si>
    <t>Key recovery audit logging enabled</t>
  </si>
  <si>
    <t>Backup keys updated when production keys rotate</t>
  </si>
  <si>
    <t>Cloud KMS backup to different region/account</t>
  </si>
  <si>
    <t>HSM backup cards stored in secure facility</t>
  </si>
  <si>
    <t>BACKUP STRATEGIES BY KEY TYPE</t>
  </si>
  <si>
    <t>Recommended Backup Method</t>
  </si>
  <si>
    <t>Storage Location</t>
  </si>
  <si>
    <t>Recovery Testing Frequency</t>
  </si>
  <si>
    <t>Master Keys</t>
  </si>
  <si>
    <t>HSM backup card + escrow</t>
  </si>
  <si>
    <t>Offsite secure vault</t>
  </si>
  <si>
    <t>Annually</t>
  </si>
  <si>
    <t>Encryption Keys</t>
  </si>
  <si>
    <t>KMS automated backup</t>
  </si>
  <si>
    <t>Different region/account</t>
  </si>
  <si>
    <t>Certificate Private Keys</t>
  </si>
  <si>
    <t>Encrypted file backup</t>
  </si>
  <si>
    <t>Secure file storage</t>
  </si>
  <si>
    <t>Semi-annually</t>
  </si>
  <si>
    <t>SSH Keys</t>
  </si>
  <si>
    <t>Encrypted backup + key management system</t>
  </si>
  <si>
    <t>Secrets vault</t>
  </si>
  <si>
    <t>API Keys</t>
  </si>
  <si>
    <t>Secrets management system</t>
  </si>
  <si>
    <t>Multi-region vault</t>
  </si>
  <si>
    <t>Database TDE Keys</t>
  </si>
  <si>
    <t>Native database backup + KMS</t>
  </si>
  <si>
    <t>Encrypted backup storage</t>
  </si>
  <si>
    <t>5. CERTIFICATE MANAGEMENT - DIGITAL CERTIFICATE LIFECYCLE
Policy Requirement: Digital certificates MUST be issued from trusted Certificate Authorities. Certificate lifecycle management includes issuance, renewal, revocation, and expiration monitoring (Policy Section 2.4.5)</t>
  </si>
  <si>
    <t>Does your organization use digital certificates for TLS/SSL, code signing, email signing, or authentication?</t>
  </si>
  <si>
    <t>Certificate Type</t>
  </si>
  <si>
    <t>Issuing CA</t>
  </si>
  <si>
    <t>Certificate Validity</t>
  </si>
  <si>
    <t>Expiration Date</t>
  </si>
  <si>
    <t>Auto-Renewal</t>
  </si>
  <si>
    <t>Revocation Method</t>
  </si>
  <si>
    <t>Monitoring Enabled</t>
  </si>
  <si>
    <t>Example: Production Web Server TLS</t>
  </si>
  <si>
    <t>Certificate</t>
  </si>
  <si>
    <t>RSA-2048</t>
  </si>
  <si>
    <t>2048</t>
  </si>
  <si>
    <t>/evidence/key-mgmt/web-tls-cert.pdf</t>
  </si>
  <si>
    <t>TLS/SSL Server</t>
  </si>
  <si>
    <t>Let's Encrypt</t>
  </si>
  <si>
    <t>≤90 days</t>
  </si>
  <si>
    <t>2025-03-15</t>
  </si>
  <si>
    <t>OCSP</t>
  </si>
  <si>
    <t>Public TLS Certificates</t>
  </si>
  <si>
    <t>External services</t>
  </si>
  <si>
    <t>RSA/ECDSA</t>
  </si>
  <si>
    <t>2048-4096 bits</t>
  </si>
  <si>
    <t>Let's Encrypt + DigiCert</t>
  </si>
  <si>
    <t>Certificate inventory system</t>
  </si>
  <si>
    <t>Internal PKI Certificates</t>
  </si>
  <si>
    <t>Internal services</t>
  </si>
  <si>
    <t>Internal CA</t>
  </si>
  <si>
    <t>AD Certificate Services</t>
  </si>
  <si>
    <t>Client Authentication Certs</t>
  </si>
  <si>
    <t>User/device auth</t>
  </si>
  <si>
    <t>Internal PKI + MDM</t>
  </si>
  <si>
    <t>PKI audit logs</t>
  </si>
  <si>
    <t>Code Signing Certificates</t>
  </si>
  <si>
    <t>DigiCert EV</t>
  </si>
  <si>
    <t>Code signing inventory</t>
  </si>
  <si>
    <t>S/MIME Certificates</t>
  </si>
  <si>
    <t>Email encryption</t>
  </si>
  <si>
    <t>Public CA + Internal</t>
  </si>
  <si>
    <t>S/MIME deployment report</t>
  </si>
  <si>
    <t>Increase adoption to 100%</t>
  </si>
  <si>
    <t>VPN Certificates</t>
  </si>
  <si>
    <t>VPN authentication</t>
  </si>
  <si>
    <t>Internal PKI</t>
  </si>
  <si>
    <t>VPN certificate audit</t>
  </si>
  <si>
    <t>IoT Device Certificates</t>
  </si>
  <si>
    <t>IoT authentication</t>
  </si>
  <si>
    <t>Internal IoT CA</t>
  </si>
  <si>
    <t>IoT PKI documentation</t>
  </si>
  <si>
    <t>Certificate Expiry Monitoring</t>
  </si>
  <si>
    <t>Proactive monitoring</t>
  </si>
  <si>
    <t>Automated monitoring (30/7 days)</t>
  </si>
  <si>
    <t>Monitoring dashboard</t>
  </si>
  <si>
    <t>Legacy Self-Signed Certs</t>
  </si>
  <si>
    <t>Legacy systems</t>
  </si>
  <si>
    <t>1024 bits</t>
  </si>
  <si>
    <t>Self-signed</t>
  </si>
  <si>
    <t>Legacy cert inventory</t>
  </si>
  <si>
    <t>Replace with proper PKI</t>
  </si>
  <si>
    <t>5. CERTIFICATE MANAGEMENT CHECKLIST</t>
  </si>
  <si>
    <t>Certificates issued from trusted public CA (for external services)</t>
  </si>
  <si>
    <t>Internal CA infrastructure properly secured (for internal services)</t>
  </si>
  <si>
    <t>Certificate validity ≤397 days (public TLS certificates)</t>
  </si>
  <si>
    <t>Certificate validity ≤90 days preferred (automated renewal)</t>
  </si>
  <si>
    <t>Self-signed certificates NOT used in production</t>
  </si>
  <si>
    <t>Certificate inventory maintained and up to date</t>
  </si>
  <si>
    <t>Certificate expiration monitoring implemented</t>
  </si>
  <si>
    <t>Alerts configured for 30/60/90 days before expiration</t>
  </si>
  <si>
    <t>Automated certificate renewal configured</t>
  </si>
  <si>
    <t>Certificate renewal tested in non-production</t>
  </si>
  <si>
    <t>Certificate revocation procedures documented</t>
  </si>
  <si>
    <t>CRL or OCSP configured for revocation checking</t>
  </si>
  <si>
    <t>Compromised certificate revocation within 24 hours</t>
  </si>
  <si>
    <t>Certificate private keys stored securely (HSM/KMS preferred)</t>
  </si>
  <si>
    <t>Certificate private keys never shared across systems</t>
  </si>
  <si>
    <t>Wildcard certificates use documented and restricted</t>
  </si>
  <si>
    <t>Certificate signing requests (CSR) process documented</t>
  </si>
  <si>
    <t>Certificate audit logs maintained</t>
  </si>
  <si>
    <t>Code signing certificates protected with hardware tokens</t>
  </si>
  <si>
    <t>Email certificates (S/MIME) issued per user</t>
  </si>
  <si>
    <t>CERTIFICATE VALIDITY STANDARDS</t>
  </si>
  <si>
    <t>Maximum Validity</t>
  </si>
  <si>
    <t>Recommended Validity</t>
  </si>
  <si>
    <t>Renewal Process</t>
  </si>
  <si>
    <t>Public TLS/SSL</t>
  </si>
  <si>
    <t>397 days (13 months)</t>
  </si>
  <si>
    <t>ACME/Let's Encrypt automated</t>
  </si>
  <si>
    <t>Internal TLS/SSL</t>
  </si>
  <si>
    <t>Internal CA automated</t>
  </si>
  <si>
    <t>Code Signing</t>
  </si>
  <si>
    <t>3 years</t>
  </si>
  <si>
    <t>Manual with hardware token</t>
  </si>
  <si>
    <t>Email (S/MIME)</t>
  </si>
  <si>
    <t>PKI automated or manual</t>
  </si>
  <si>
    <t>Client Authentication</t>
  </si>
  <si>
    <t>PKI automated</t>
  </si>
  <si>
    <t>Root CA</t>
  </si>
  <si>
    <t>20 years</t>
  </si>
  <si>
    <t>10 years</t>
  </si>
  <si>
    <t>Manual with ceremony</t>
  </si>
  <si>
    <t>Intermediate CA</t>
  </si>
  <si>
    <t>5 years</t>
  </si>
  <si>
    <t>CERTIFICATE LIFECYCLE STAGES</t>
  </si>
  <si>
    <t>Stage</t>
  </si>
  <si>
    <t>Actions</t>
  </si>
  <si>
    <t>Responsible Role</t>
  </si>
  <si>
    <t>Documentation Required</t>
  </si>
  <si>
    <t>Request</t>
  </si>
  <si>
    <t>Generate CSR, validate domain/identity</t>
  </si>
  <si>
    <t>System Owner</t>
  </si>
  <si>
    <t>CSR details, approval</t>
  </si>
  <si>
    <t>Issuance</t>
  </si>
  <si>
    <t>CA validation, certificate generation</t>
  </si>
  <si>
    <t>CA Admin</t>
  </si>
  <si>
    <t>Issuance record, validation log</t>
  </si>
  <si>
    <t>Installation</t>
  </si>
  <si>
    <t>Deploy certificate to service</t>
  </si>
  <si>
    <t>System Admin</t>
  </si>
  <si>
    <t>Deployment log, verification</t>
  </si>
  <si>
    <t>Monitoring</t>
  </si>
  <si>
    <t>Track expiration, validate configuration</t>
  </si>
  <si>
    <t>Security Team</t>
  </si>
  <si>
    <t>Renewal</t>
  </si>
  <si>
    <t>Generate new CSR, request renewal</t>
  </si>
  <si>
    <t>Renewal approval, testing</t>
  </si>
  <si>
    <t>Revocation</t>
  </si>
  <si>
    <t>Revoke compromised/obsolete certificate</t>
  </si>
  <si>
    <t>Incident record, revocation log</t>
  </si>
  <si>
    <t>Archival</t>
  </si>
  <si>
    <t>Archive expired certificates</t>
  </si>
  <si>
    <t>Archive log, retention period</t>
  </si>
  <si>
    <t>KEY MANAGEMENT ASSESSMENT - COMPLIANCE SUMMARY</t>
  </si>
  <si>
    <t>Total Items</t>
  </si>
  <si>
    <t>Compliance %</t>
  </si>
  <si>
    <t>1. Key Generation</t>
  </si>
  <si>
    <t>2. Key Storage</t>
  </si>
  <si>
    <t>3. Key Rotation</t>
  </si>
  <si>
    <t>4. Key Backup &amp; Recovery</t>
  </si>
  <si>
    <t>5. Certificate Management</t>
  </si>
  <si>
    <t>TOTAL</t>
  </si>
  <si>
    <t>KEY MANAGEMENT MATURITY BY AREA</t>
  </si>
  <si>
    <t>Key Management Area</t>
  </si>
  <si>
    <t>Checklist Score</t>
  </si>
  <si>
    <t>Maturity Level</t>
  </si>
  <si>
    <t>Key Generation</t>
  </si>
  <si>
    <t>Key Storage</t>
  </si>
  <si>
    <t>Key Rotation</t>
  </si>
  <si>
    <t>Key Backup &amp; Recovery</t>
  </si>
  <si>
    <t>Certificate Management</t>
  </si>
  <si>
    <t>ALGORITHM DISTRIBUTION ANALYSIS</t>
  </si>
  <si>
    <t>Algorithm Type</t>
  </si>
  <si>
    <t>Count</t>
  </si>
  <si>
    <t>Percentage</t>
  </si>
  <si>
    <t>Compliance Status</t>
  </si>
  <si>
    <t>Approved</t>
  </si>
  <si>
    <t>AES-128</t>
  </si>
  <si>
    <t>Minimum (Legacy)</t>
  </si>
  <si>
    <t>ECDSA P-256+</t>
  </si>
  <si>
    <t>ChaCha20</t>
  </si>
  <si>
    <t>Weak/Legacy</t>
  </si>
  <si>
    <t>NON-COMPLIANT</t>
  </si>
  <si>
    <t>STORAGE METHOD DISTRIBUTION</t>
  </si>
  <si>
    <t>Security Rating</t>
  </si>
  <si>
    <t>Highest</t>
  </si>
  <si>
    <t>High</t>
  </si>
  <si>
    <t>Software Keystore</t>
  </si>
  <si>
    <t>Medium</t>
  </si>
  <si>
    <t>Vault</t>
  </si>
  <si>
    <t>LOW RISK</t>
  </si>
  <si>
    <t>Database</t>
  </si>
  <si>
    <t>KEY ROTATION COVERAGE</t>
  </si>
  <si>
    <t>Optimal</t>
  </si>
  <si>
    <t>Manual (Scheduled)</t>
  </si>
  <si>
    <t>Acceptable</t>
  </si>
  <si>
    <t>Never / Not Configured</t>
  </si>
  <si>
    <t>CERTIFICATE MANAGEMENT HEALTH</t>
  </si>
  <si>
    <t>Certificate Metric</t>
  </si>
  <si>
    <t>Total Certificates</t>
  </si>
  <si>
    <t>Valid Certificates (≤397 days)</t>
  </si>
  <si>
    <t>Expired Certificates</t>
  </si>
  <si>
    <t>Non-Compliant (&gt;397 days)</t>
  </si>
  <si>
    <t>Auto-Renewal Enabled</t>
  </si>
  <si>
    <t>Self-Signed (Non-Compliant)</t>
  </si>
  <si>
    <t>Certificates Expiring &lt;30 days</t>
  </si>
  <si>
    <t>FIPS 140-2 VALIDATION STATUS</t>
  </si>
  <si>
    <t>FIPS Validation Level</t>
  </si>
  <si>
    <t>Requirement Met</t>
  </si>
  <si>
    <t>Level 4</t>
  </si>
  <si>
    <t>Highest Security</t>
  </si>
  <si>
    <t>High Security</t>
  </si>
  <si>
    <t>Production Minimum</t>
  </si>
  <si>
    <t>Level 1</t>
  </si>
  <si>
    <t>Below Requirement</t>
  </si>
  <si>
    <t>Not Validated</t>
  </si>
  <si>
    <t>CRITICAL GAPS REQUIRING IMMEDIATE ATTENTION</t>
  </si>
  <si>
    <t>Priority</t>
  </si>
  <si>
    <t>RISK SUMMARY BY DATA CLASSIFICATION</t>
  </si>
  <si>
    <t>Keys/Certs Managed</t>
  </si>
  <si>
    <t>Risk Level</t>
  </si>
  <si>
    <t>KEY BACKUP COVERAGE</t>
  </si>
  <si>
    <t>Backup Status</t>
  </si>
  <si>
    <t>Backed Up</t>
  </si>
  <si>
    <t>Not Backed Up</t>
  </si>
  <si>
    <t>Recovery Not Tested</t>
  </si>
  <si>
    <t>OVERALL ASSESSMENT SUMMARY</t>
  </si>
  <si>
    <t>OVERALL KEY MANAGEMENT COMPLIANCE:</t>
  </si>
  <si>
    <t>Assessment Status:</t>
  </si>
  <si>
    <t>Key Findings Summary:</t>
  </si>
  <si>
    <t>EVIDENCE REGISTER</t>
  </si>
  <si>
    <t>List all evidence files/documents referenced in this assessment (audit traceability).</t>
  </si>
  <si>
    <t>Evidence ID</t>
  </si>
  <si>
    <t>Evidence Type</t>
  </si>
  <si>
    <t>Location/Path</t>
  </si>
  <si>
    <t>Date Collected</t>
  </si>
  <si>
    <t>Collected By</t>
  </si>
  <si>
    <t>Verification Status</t>
  </si>
  <si>
    <t>EV-001</t>
  </si>
  <si>
    <t>EV-002</t>
  </si>
  <si>
    <t>EV-003</t>
  </si>
  <si>
    <t>EV-004</t>
  </si>
  <si>
    <t>EV-005</t>
  </si>
  <si>
    <t>EVD-824.4-001</t>
  </si>
  <si>
    <t>Key Generation Standard v2.0</t>
  </si>
  <si>
    <t>Standard Document</t>
  </si>
  <si>
    <t>SharePoint/Standards/Keys</t>
  </si>
  <si>
    <t>2025-09-01</t>
  </si>
  <si>
    <t>Current</t>
  </si>
  <si>
    <t>EVD-824.4-002</t>
  </si>
  <si>
    <t>AWS KMS Key Policy Documentation</t>
  </si>
  <si>
    <t>Policy Document</t>
  </si>
  <si>
    <t>AWS/KMS/Policies</t>
  </si>
  <si>
    <t>2026-01-10</t>
  </si>
  <si>
    <t>Cloud Team</t>
  </si>
  <si>
    <t>EVD-824.4-003</t>
  </si>
  <si>
    <t>HashiCorp Vault Key Audit Report</t>
  </si>
  <si>
    <t>Audit Report</t>
  </si>
  <si>
    <t>Vault/Audit/Q4-2025</t>
  </si>
  <si>
    <t>2025-12-20</t>
  </si>
  <si>
    <t>EVD-824.4-004</t>
  </si>
  <si>
    <t>Code Signing Key Ceremony Documentation</t>
  </si>
  <si>
    <t>Ceremony Doc</t>
  </si>
  <si>
    <t>SharePoint/Ceremonies/Code-Signing</t>
  </si>
  <si>
    <t>2025-08-15</t>
  </si>
  <si>
    <t>DevOps Team</t>
  </si>
  <si>
    <t>7 years</t>
  </si>
  <si>
    <t>EVD-824.4-005</t>
  </si>
  <si>
    <t>YubiKey HSM Deployment Guide</t>
  </si>
  <si>
    <t>Technical Guide</t>
  </si>
  <si>
    <t>SharePoint/Guides/HSM</t>
  </si>
  <si>
    <t>2025-10-01</t>
  </si>
  <si>
    <t>EVD-824.4-006</t>
  </si>
  <si>
    <t>AWS ACM Configuration Screenshot</t>
  </si>
  <si>
    <t>Screenshot</t>
  </si>
  <si>
    <t>SharePoint/Evidence/ACM</t>
  </si>
  <si>
    <t>EVD-824.4-007</t>
  </si>
  <si>
    <t>Azure Key Vault Access Policies</t>
  </si>
  <si>
    <t>Config Export</t>
  </si>
  <si>
    <t>Azure/KeyVault/Policies</t>
  </si>
  <si>
    <t>EVD-824.4-008</t>
  </si>
  <si>
    <t>Vault Access Control Policies</t>
  </si>
  <si>
    <t>Vault/Policies</t>
  </si>
  <si>
    <t>2025-11-15</t>
  </si>
  <si>
    <t>EVD-824.4-009</t>
  </si>
  <si>
    <t>Kubernetes etcd Encryption Configuration</t>
  </si>
  <si>
    <t>Config File</t>
  </si>
  <si>
    <t>Git/k8s/etcd-encryption</t>
  </si>
  <si>
    <t>2025-11-20</t>
  </si>
  <si>
    <t>Platform Team</t>
  </si>
  <si>
    <t>EVD-824.4-010</t>
  </si>
  <si>
    <t>SSH Key Passphrase Enforcement Policy</t>
  </si>
  <si>
    <t>Policy</t>
  </si>
  <si>
    <t>SharePoint/Policies/SSH</t>
  </si>
  <si>
    <t>EVD-824.4-011</t>
  </si>
  <si>
    <t>TLS Certificate Auto-Renewal Logs</t>
  </si>
  <si>
    <t>Log File</t>
  </si>
  <si>
    <t>CertBot/Logs/2025</t>
  </si>
  <si>
    <t>DevOps</t>
  </si>
  <si>
    <t>EVD-824.4-012</t>
  </si>
  <si>
    <t>Key Rotation Schedule Q1 2026</t>
  </si>
  <si>
    <t>Schedule Document</t>
  </si>
  <si>
    <t>SharePoint/Schedules/Keys</t>
  </si>
  <si>
    <t>2026-01-08</t>
  </si>
  <si>
    <t>EVD-824.4-013</t>
  </si>
  <si>
    <t>Vault Key Rotation Configuration</t>
  </si>
  <si>
    <t>Vault/Config/Rotation</t>
  </si>
  <si>
    <t>2025-12-01</t>
  </si>
  <si>
    <t>EVD-824.4-014</t>
  </si>
  <si>
    <t>Azure Storage Key Rotation Remediation Plan</t>
  </si>
  <si>
    <t>Remediation Plan</t>
  </si>
  <si>
    <t>SharePoint/Projects/Azure-Keys</t>
  </si>
  <si>
    <t>2026-01-05</t>
  </si>
  <si>
    <t>EVD-824.4-015</t>
  </si>
  <si>
    <t>HSM Master Key Ceremony Procedure</t>
  </si>
  <si>
    <t>Procedure Document</t>
  </si>
  <si>
    <t>SharePoint/Procedures/HSM</t>
  </si>
  <si>
    <t>2025-07-01</t>
  </si>
  <si>
    <t>EVD-824.4-016</t>
  </si>
  <si>
    <t>BitLocker Recovery Key Escrow Audit</t>
  </si>
  <si>
    <t>AD/BitLocker/Audit</t>
  </si>
  <si>
    <t>2025-12-15</t>
  </si>
  <si>
    <t>Windows Team</t>
  </si>
  <si>
    <t>EVD-824.4-017</t>
  </si>
  <si>
    <t>Jamf Pro FileVault Key Escrow Config</t>
  </si>
  <si>
    <t>Config Screenshot</t>
  </si>
  <si>
    <t>Jamf/FileVault/Config</t>
  </si>
  <si>
    <t>2026-01-09</t>
  </si>
  <si>
    <t>Mac Team</t>
  </si>
  <si>
    <t>EVD-824.4-018</t>
  </si>
  <si>
    <t>Root CA Key Ceremony Documentation</t>
  </si>
  <si>
    <t>PKI/Root-CA/Ceremony</t>
  </si>
  <si>
    <t>EVD-824.4-019</t>
  </si>
  <si>
    <t>Certificate Inventory System Export</t>
  </si>
  <si>
    <t>Inventory Export</t>
  </si>
  <si>
    <t>CertManager/Inventory</t>
  </si>
  <si>
    <t>EVD-824.4-020</t>
  </si>
  <si>
    <t>Internal PKI Architecture Documentation</t>
  </si>
  <si>
    <t>Architecture Doc</t>
  </si>
  <si>
    <t>SharePoint/Architecture/PKI</t>
  </si>
  <si>
    <t>2025-09-20</t>
  </si>
  <si>
    <t>Security Architect</t>
  </si>
  <si>
    <t>EVD-824.4-021</t>
  </si>
  <si>
    <t>Certificate Expiry Monitoring Dashboard</t>
  </si>
  <si>
    <t>Dashboard Screenshot</t>
  </si>
  <si>
    <t>SharePoint/Evidence/Cert-Monitor</t>
  </si>
  <si>
    <t>EVD-824.4-022</t>
  </si>
  <si>
    <t>S/MIME Deployment Status Report</t>
  </si>
  <si>
    <t>Status Report</t>
  </si>
  <si>
    <t>SharePoint/Reports/SMIME</t>
  </si>
  <si>
    <t>Email Team</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</si>
  <si>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</si>
  <si>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</si>
  <si>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</si>
  <si>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</si>
  <si>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</si>
  <si>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</si>
  <si>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</si>
  <si>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</si>
  <si>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</si>
  <si>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</si>
  <si>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</si>
  <si>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</si>
  <si>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</si>
  <si>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</si>
  <si>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</si>
  <si>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</si>
  <si>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</si>
  <si>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</si>
  <si>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</si>
  <si>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</si>
  <si>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</si>
  <si>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</si>
  <si>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</si>
  <si>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</si>
  <si>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</si>
  <si>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</si>
  <si>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</si>
  <si>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</si>
  <si>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</si>
  <si>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</si>
  <si>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</si>
  <si>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</si>
  <si>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</si>
  <si>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</si>
  <si>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</si>
  <si>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</si>
  <si>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</si>
  <si>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</si>
  <si>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</si>
  <si>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</si>
  <si>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</si>
  <si>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</si>
  <si>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</si>
  <si>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</si>
  <si>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</si>
  <si>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</si>
  <si>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</si>
  <si>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</si>
  <si>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</si>
  <si>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</si>
  <si>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</si>
  <si>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</si>
  <si>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</si>
  <si>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</si>
  <si>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</si>
  <si>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</si>
  <si>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</si>
  <si>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</si>
  <si>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</si>
  <si>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</si>
  <si>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</si>
  <si>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</si>
  <si>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</si>
  <si>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</si>
  <si>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</si>
  <si>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</si>
  <si>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</si>
  <si>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</si>
  <si>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</si>
  <si>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</si>
  <si>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</si>
  <si>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</si>
  <si>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</si>
  <si>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ASSESSMENT APPROVAL AND SIGN-OFF</t>
  </si>
  <si>
    <t>Assessment Summary</t>
  </si>
  <si>
    <t>Assessment Document</t>
  </si>
  <si>
    <t>ISMS-IMP-A.8.24.4 - Key Management Assessment</t>
  </si>
  <si>
    <t>Assessment Period</t>
  </si>
  <si>
    <t>Robert Kim</t>
  </si>
  <si>
    <t>Overall Compliance Rate</t>
  </si>
  <si>
    <t>Cryptography Specialist</t>
  </si>
  <si>
    <t>Assessment Status</t>
  </si>
  <si>
    <t>Information Security</t>
  </si>
  <si>
    <t>robert.kim@company.com</t>
  </si>
  <si>
    <t>2026-01-13</t>
  </si>
  <si>
    <t>ASSESSMENT COMPLETED BY</t>
  </si>
  <si>
    <t>Name:</t>
  </si>
  <si>
    <t>Role/Title:</t>
  </si>
  <si>
    <t>Department:</t>
  </si>
  <si>
    <t>Email:</t>
  </si>
  <si>
    <t>Patricia Lopez</t>
  </si>
  <si>
    <t>Date:</t>
  </si>
  <si>
    <t>2026-01-15</t>
  </si>
  <si>
    <t>Key management lifecycle controls are comprehensive. Legacy DES keys and Azure storage key rotation require immediate attention.</t>
  </si>
  <si>
    <t>REVIEWED BY (INFORMATION SECURITY OFFICER)</t>
  </si>
  <si>
    <t>Review Notes:</t>
  </si>
  <si>
    <t>Michael Chen</t>
  </si>
  <si>
    <t>2026-01-16</t>
  </si>
  <si>
    <t>Strong key management posture. Automated rotation coverage is good. Legacy system migration is priority.</t>
  </si>
  <si>
    <t>APPROVED BY (CISO)</t>
  </si>
  <si>
    <t>Approval Decision:</t>
  </si>
  <si>
    <t>Conditions/Notes:</t>
  </si>
  <si>
    <t>Jennifer Williams</t>
  </si>
  <si>
    <t>2026-01-18</t>
  </si>
  <si>
    <t>Approved with conditions</t>
  </si>
  <si>
    <t>NEXT REVIEW DETAILS</t>
  </si>
  <si>
    <t>Next Review Date:</t>
  </si>
  <si>
    <t>Review Responsible:</t>
  </si>
  <si>
    <t>Special Considerations:</t>
  </si>
  <si>
    <t>2026-04-13</t>
  </si>
  <si>
    <t>Q2 2026 reassessment focusing on automated key rotation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</si>
</sst>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Calibri"/>
      <family val="2"/>
    </font>
    <font>
      <b/>
      <sz val="12"/>
      <name val="Calibri"/>
      <family val="2"/>
    </font>
    <font>
      <b/>
      <sz val="11"/>
      <name val="Calibri"/>
      <family val="2"/>
    </font>
    <font>
      <b/>
      <sz val="10"/>
      <name val="Calibri"/>
      <family val="2"/>
    </font>
    <font>
      <b/>
      <sz val="11"/>
      <name val="Calibri"/>
      <family val="2"/>
    </font>
    <font>
      <i/>
      <sz val="11"/>
      <color rgb="FF808080"/>
      <name val="Calibri"/>
      <family val="2"/>
    </font>
    <font>
      <b/>
      <sz val="11"/>
      <color rgb="FF0000FF"/>
      <name val="Calibri"/>
      <family val="2"/>
    </font>
    <font>
      <b/>
      <sz val="11"/>
      <color rgb="FFFFFFFF"/>
      <name val="Calibri"/>
      <family val="2"/>
    </font>
    <font>
      <b/>
      <sz val="12"/>
      <color rgb="FF0000FF"/>
      <name val="Calibri"/>
      <family val="2"/>
    </font>
    <font>
      <b/>
      <sz val="12"/>
      <color rgb="FFFFFFFF"/>
      <name val="Calibri"/>
      <family val="2"/>
    </font>
    <font>
      <i/>
      <sz val="11"/>
      <name val="Calibri"/>
      <family val="2"/>
    </font>
    <font>
      <sz val="11"/>
      <color rgb="FF808080"/>
      <name val="Calibri"/>
      <family val="2"/>
    </font>
    <font>
      <b/>
      <sz val="11"/>
      <color rgb="FFFFFFFF"/>
      <name val="Calibri"/>
      <family val="2"/>
    </font>
  </fonts>
  <fills count="10">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C00000"/>
        <bgColor rgb="FFC00000"/>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0" fontId="0" fillId="3" borderId="1" xfId="0" applyFill="1" applyBorder="1"/>
    <xf numFmtId="0" fontId="4" fillId="4" borderId="1" xfId="0" applyFont="1" applyFill="1"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6" fillId="0" borderId="0" xfId="0" applyFont="1" applyAlignment="1">
      <alignment horizontal="left" vertical="center" wrapText="1"/>
    </xf>
    <xf numFmtId="0" fontId="0" fillId="3" borderId="1" xfId="0" applyFill="1" applyBorder="1" applyAlignment="1">
      <alignment horizontal="left" vertical="center" wrapText="1"/>
    </xf>
    <xf numFmtId="0" fontId="5" fillId="0" borderId="0" xfId="0" applyFont="1"/>
    <xf numFmtId="0" fontId="7" fillId="0" borderId="0" xfId="0" applyFont="1"/>
    <xf numFmtId="0" fontId="9" fillId="0" borderId="0" xfId="0" applyFont="1"/>
    <xf numFmtId="0" fontId="0" fillId="3" borderId="0" xfId="0" applyFill="1"/>
    <xf numFmtId="0" fontId="12" fillId="0" borderId="0" xfId="0" applyFont="1"/>
    <xf numFmtId="0" fontId="1" fillId="2" borderId="0" xfId="0" applyFont="1" applyFill="1" applyAlignment="1">
      <alignment horizontal="center" vertical="center" wrapText="1"/>
    </xf>
    <xf numFmtId="0" fontId="0" fillId="0" borderId="0" xfId="0"/>
    <xf numFmtId="0" fontId="5" fillId="0" borderId="0" xfId="0" applyFont="1"/>
    <xf numFmtId="0" fontId="0" fillId="3" borderId="1" xfId="0" applyFill="1" applyBorder="1" applyAlignment="1">
      <alignment horizontal="left" vertical="center" wrapText="1"/>
    </xf>
    <xf numFmtId="0" fontId="0" fillId="0" borderId="4" xfId="0" applyBorder="1"/>
    <xf numFmtId="0" fontId="0" fillId="0" borderId="5" xfId="0" applyBorder="1"/>
    <xf numFmtId="0" fontId="8" fillId="8" borderId="0" xfId="0" applyFont="1" applyFill="1" applyAlignment="1">
      <alignment horizontal="center" vertical="center"/>
    </xf>
    <xf numFmtId="0" fontId="5" fillId="0" borderId="0" xfId="0" applyFont="1" applyAlignment="1">
      <alignment horizontal="left" vertical="center" wrapText="1"/>
    </xf>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applyAlignment="1">
      <alignment horizontal="center" vertical="center"/>
    </xf>
    <xf numFmtId="0" fontId="10" fillId="2" borderId="0" xfId="0" applyFont="1" applyFill="1" applyAlignment="1">
      <alignment horizontal="center" vertical="center"/>
    </xf>
    <xf numFmtId="0" fontId="10" fillId="8" borderId="0" xfId="0" applyFont="1" applyFill="1" applyAlignment="1">
      <alignment horizontal="center" vertical="center"/>
    </xf>
    <xf numFmtId="0" fontId="11" fillId="0" borderId="0" xfId="0" applyFont="1" applyAlignment="1">
      <alignment horizontal="left" vertical="center"/>
    </xf>
    <xf numFmtId="0" fontId="13" fillId="2" borderId="0" xfId="0" applyFont="1" applyFill="1" applyAlignment="1">
      <alignment horizontal="center" vertical="center"/>
    </xf>
    <xf numFmtId="0" fontId="8" fillId="9"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workbookViewId="0">
      <pane ySplit="3" topLeftCell="A4" activePane="bottomLeft" state="frozen"/>
      <selection pane="bottomLeft" sqref="A1:G1"/>
    </sheetView>
  </sheetViews>
  <sheetFormatPr baseColWidth="10" defaultColWidth="8.83203125" defaultRowHeight="15" x14ac:dyDescent="0.2"/>
  <cols>
    <col min="1" max="1" width="28" customWidth="1"/>
    <col min="2" max="2" width="45" customWidth="1"/>
    <col min="3" max="3" width="70" customWidth="1"/>
  </cols>
  <sheetData>
    <row r="1" spans="1:7" ht="40" customHeight="1" x14ac:dyDescent="0.2">
      <c r="A1" s="17" t="s">
        <v>0</v>
      </c>
      <c r="B1" s="18"/>
      <c r="C1" s="18"/>
      <c r="D1" s="18"/>
      <c r="E1" s="18"/>
      <c r="F1" s="18"/>
      <c r="G1" s="18"/>
    </row>
    <row r="3" spans="1:7" ht="16" x14ac:dyDescent="0.2">
      <c r="A3" s="1" t="s">
        <v>1</v>
      </c>
    </row>
    <row r="4" spans="1:7" x14ac:dyDescent="0.2">
      <c r="A4" s="2" t="s">
        <v>2</v>
      </c>
      <c r="B4" t="s">
        <v>3</v>
      </c>
    </row>
    <row r="5" spans="1:7" x14ac:dyDescent="0.2">
      <c r="A5" s="2" t="s">
        <v>4</v>
      </c>
      <c r="B5" t="s">
        <v>5</v>
      </c>
    </row>
    <row r="6" spans="1:7" x14ac:dyDescent="0.2">
      <c r="A6" s="2" t="s">
        <v>6</v>
      </c>
      <c r="B6" t="s">
        <v>7</v>
      </c>
    </row>
    <row r="7" spans="1:7" x14ac:dyDescent="0.2">
      <c r="A7" s="2" t="s">
        <v>8</v>
      </c>
      <c r="B7" t="s">
        <v>9</v>
      </c>
    </row>
    <row r="8" spans="1:7" x14ac:dyDescent="0.2">
      <c r="A8" s="2" t="s">
        <v>10</v>
      </c>
      <c r="B8" s="3"/>
    </row>
    <row r="9" spans="1:7" x14ac:dyDescent="0.2">
      <c r="A9" s="2" t="s">
        <v>11</v>
      </c>
      <c r="B9" s="3"/>
    </row>
    <row r="10" spans="1:7" x14ac:dyDescent="0.2">
      <c r="A10" s="2" t="s">
        <v>12</v>
      </c>
      <c r="B10" s="3"/>
    </row>
    <row r="11" spans="1:7" x14ac:dyDescent="0.2">
      <c r="A11" s="2" t="s">
        <v>13</v>
      </c>
      <c r="B11" t="s">
        <v>14</v>
      </c>
    </row>
    <row r="13" spans="1:7" ht="16" x14ac:dyDescent="0.2">
      <c r="A13" s="1" t="s">
        <v>15</v>
      </c>
    </row>
    <row r="14" spans="1:7" x14ac:dyDescent="0.2">
      <c r="A14" t="s">
        <v>16</v>
      </c>
    </row>
    <row r="15" spans="1:7" x14ac:dyDescent="0.2">
      <c r="A15" t="s">
        <v>17</v>
      </c>
    </row>
    <row r="16" spans="1:7" x14ac:dyDescent="0.2">
      <c r="A16" t="s">
        <v>18</v>
      </c>
    </row>
    <row r="17" spans="1:3" x14ac:dyDescent="0.2">
      <c r="A17" t="s">
        <v>19</v>
      </c>
    </row>
    <row r="18" spans="1:3" x14ac:dyDescent="0.2">
      <c r="A18" t="s">
        <v>20</v>
      </c>
    </row>
    <row r="19" spans="1:3" x14ac:dyDescent="0.2">
      <c r="A19" t="s">
        <v>21</v>
      </c>
    </row>
    <row r="20" spans="1:3" x14ac:dyDescent="0.2">
      <c r="A20" t="s">
        <v>22</v>
      </c>
    </row>
    <row r="21" spans="1:3" x14ac:dyDescent="0.2">
      <c r="A21" t="s">
        <v>23</v>
      </c>
    </row>
    <row r="22" spans="1:3" x14ac:dyDescent="0.2">
      <c r="A22" t="s">
        <v>24</v>
      </c>
    </row>
    <row r="24" spans="1:3" ht="16" x14ac:dyDescent="0.2">
      <c r="A24" s="1" t="s">
        <v>25</v>
      </c>
    </row>
    <row r="25" spans="1:3" x14ac:dyDescent="0.2">
      <c r="A25" s="4" t="s">
        <v>26</v>
      </c>
      <c r="B25" s="4" t="s">
        <v>27</v>
      </c>
      <c r="C25" s="4" t="s">
        <v>28</v>
      </c>
    </row>
    <row r="26" spans="1:3" ht="16" x14ac:dyDescent="0.2">
      <c r="A26" s="5" t="s">
        <v>29</v>
      </c>
      <c r="B26" s="6" t="s">
        <v>30</v>
      </c>
      <c r="C26" s="7" t="s">
        <v>31</v>
      </c>
    </row>
    <row r="27" spans="1:3" ht="16" x14ac:dyDescent="0.2">
      <c r="A27" s="5" t="s">
        <v>32</v>
      </c>
      <c r="B27" s="8" t="s">
        <v>33</v>
      </c>
      <c r="C27" s="7" t="s">
        <v>34</v>
      </c>
    </row>
    <row r="28" spans="1:3" ht="16" x14ac:dyDescent="0.2">
      <c r="A28" s="5" t="s">
        <v>35</v>
      </c>
      <c r="B28" s="9" t="s">
        <v>36</v>
      </c>
      <c r="C28" s="7" t="s">
        <v>37</v>
      </c>
    </row>
    <row r="29" spans="1:3" ht="16" x14ac:dyDescent="0.2">
      <c r="A29" s="5" t="s">
        <v>38</v>
      </c>
      <c r="B29" s="7" t="s">
        <v>39</v>
      </c>
      <c r="C29" s="7" t="s">
        <v>40</v>
      </c>
    </row>
    <row r="32" spans="1:3" ht="16" x14ac:dyDescent="0.2">
      <c r="A32" s="1" t="s">
        <v>41</v>
      </c>
    </row>
    <row r="33" spans="1:1" x14ac:dyDescent="0.2">
      <c r="A33" t="s">
        <v>42</v>
      </c>
    </row>
    <row r="34" spans="1:1" x14ac:dyDescent="0.2">
      <c r="A34" t="s">
        <v>43</v>
      </c>
    </row>
    <row r="35" spans="1:1" x14ac:dyDescent="0.2">
      <c r="A35" t="s">
        <v>44</v>
      </c>
    </row>
    <row r="36" spans="1:1" x14ac:dyDescent="0.2">
      <c r="A36" t="s">
        <v>45</v>
      </c>
    </row>
    <row r="37" spans="1:1" x14ac:dyDescent="0.2">
      <c r="A37" t="s">
        <v>46</v>
      </c>
    </row>
    <row r="38" spans="1:1" x14ac:dyDescent="0.2">
      <c r="A38" t="s">
        <v>47</v>
      </c>
    </row>
    <row r="39" spans="1:1" x14ac:dyDescent="0.2">
      <c r="A39" t="s">
        <v>48</v>
      </c>
    </row>
    <row r="40" spans="1:1" x14ac:dyDescent="0.2">
      <c r="A40" t="s">
        <v>49</v>
      </c>
    </row>
    <row r="41" spans="1:1" x14ac:dyDescent="0.2">
      <c r="A41" t="s">
        <v>50</v>
      </c>
    </row>
    <row r="42" spans="1:1" x14ac:dyDescent="0.2">
      <c r="A42" t="s">
        <v>51</v>
      </c>
    </row>
    <row r="43" spans="1:1" x14ac:dyDescent="0.2">
      <c r="A43" t="s">
        <v>52</v>
      </c>
    </row>
    <row r="44" spans="1:1" x14ac:dyDescent="0.2">
      <c r="A44" t="s">
        <v>53</v>
      </c>
    </row>
    <row r="45" spans="1:1" x14ac:dyDescent="0.2">
      <c r="A45" t="s">
        <v>54</v>
      </c>
    </row>
    <row r="46" spans="1:1" x14ac:dyDescent="0.2">
      <c r="A46" t="s">
        <v>55</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3"/>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5" customWidth="1"/>
    <col min="19" max="19" width="20" customWidth="1"/>
    <col min="20" max="22" width="16" customWidth="1"/>
  </cols>
  <sheetData>
    <row r="1" spans="1:22" ht="40" customHeight="1" x14ac:dyDescent="0.2">
      <c r="A1" s="17" t="s">
        <v>56</v>
      </c>
      <c r="B1" s="18"/>
      <c r="C1" s="18"/>
      <c r="D1" s="18"/>
      <c r="E1" s="18"/>
      <c r="F1" s="18"/>
      <c r="G1" s="18"/>
      <c r="H1" s="18"/>
      <c r="I1" s="18"/>
      <c r="J1" s="18"/>
      <c r="K1" s="18"/>
      <c r="L1" s="18"/>
      <c r="M1" s="18"/>
      <c r="N1" s="18"/>
      <c r="O1" s="18"/>
      <c r="P1" s="18"/>
      <c r="Q1" s="18"/>
      <c r="R1" s="18"/>
      <c r="S1" s="18"/>
      <c r="T1" s="18"/>
      <c r="U1" s="18"/>
      <c r="V1" s="18"/>
    </row>
    <row r="3" spans="1:22" ht="30" customHeight="1" x14ac:dyDescent="0.2">
      <c r="A3" s="24" t="s">
        <v>57</v>
      </c>
      <c r="B3" s="18"/>
      <c r="C3" s="18"/>
      <c r="D3" s="18"/>
      <c r="E3" s="18"/>
      <c r="F3" s="18"/>
      <c r="G3" s="18"/>
      <c r="H3" s="18"/>
      <c r="I3" s="18"/>
      <c r="J3" s="18"/>
      <c r="K3" s="18"/>
      <c r="L3" s="18"/>
      <c r="M3" s="18"/>
      <c r="N3" s="18"/>
      <c r="O3" s="18"/>
      <c r="P3" s="18"/>
      <c r="Q3" s="18"/>
      <c r="R3" s="18"/>
      <c r="S3" s="18"/>
      <c r="T3" s="18"/>
      <c r="U3" s="18"/>
      <c r="V3" s="18"/>
    </row>
    <row r="4" spans="1:22" x14ac:dyDescent="0.2">
      <c r="A4" s="2" t="s">
        <v>58</v>
      </c>
      <c r="B4" s="3"/>
    </row>
    <row r="6" spans="1:22"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75</v>
      </c>
      <c r="S6" s="4" t="s">
        <v>76</v>
      </c>
      <c r="T6" s="4" t="s">
        <v>77</v>
      </c>
      <c r="U6" s="4" t="s">
        <v>78</v>
      </c>
      <c r="V6" s="4" t="s">
        <v>79</v>
      </c>
    </row>
    <row r="7" spans="1:22" ht="32" x14ac:dyDescent="0.2">
      <c r="A7" s="10" t="s">
        <v>80</v>
      </c>
      <c r="B7" s="10" t="s">
        <v>81</v>
      </c>
      <c r="C7" s="10" t="s">
        <v>82</v>
      </c>
      <c r="D7" s="10" t="s">
        <v>83</v>
      </c>
      <c r="E7" s="10" t="s">
        <v>84</v>
      </c>
      <c r="F7" s="10" t="s">
        <v>85</v>
      </c>
      <c r="G7" s="10" t="s">
        <v>86</v>
      </c>
      <c r="H7" s="10" t="s">
        <v>87</v>
      </c>
      <c r="I7" s="10" t="s">
        <v>88</v>
      </c>
      <c r="J7" s="10" t="s">
        <v>89</v>
      </c>
      <c r="K7" s="10" t="s">
        <v>90</v>
      </c>
      <c r="L7" s="10" t="s">
        <v>38</v>
      </c>
      <c r="M7" s="10" t="s">
        <v>38</v>
      </c>
      <c r="N7" s="10" t="s">
        <v>38</v>
      </c>
      <c r="O7" s="10" t="s">
        <v>38</v>
      </c>
      <c r="P7" s="10" t="s">
        <v>38</v>
      </c>
      <c r="Q7" s="10" t="s">
        <v>90</v>
      </c>
      <c r="R7" s="10" t="s">
        <v>91</v>
      </c>
      <c r="S7" s="10" t="s">
        <v>84</v>
      </c>
      <c r="T7" s="10" t="s">
        <v>92</v>
      </c>
      <c r="U7" s="10" t="s">
        <v>92</v>
      </c>
      <c r="V7" s="10" t="s">
        <v>92</v>
      </c>
    </row>
    <row r="8" spans="1:22" ht="16" x14ac:dyDescent="0.2">
      <c r="A8" s="11" t="s">
        <v>93</v>
      </c>
      <c r="B8" s="11" t="s">
        <v>94</v>
      </c>
      <c r="C8" s="11" t="s">
        <v>95</v>
      </c>
      <c r="D8" s="11" t="s">
        <v>96</v>
      </c>
      <c r="E8" s="11" t="s">
        <v>97</v>
      </c>
      <c r="F8" s="11" t="s">
        <v>98</v>
      </c>
      <c r="G8" s="11" t="s">
        <v>86</v>
      </c>
      <c r="H8" s="11" t="s">
        <v>87</v>
      </c>
      <c r="I8" s="11" t="s">
        <v>99</v>
      </c>
      <c r="J8" s="11"/>
      <c r="K8" s="11" t="s">
        <v>90</v>
      </c>
      <c r="L8" s="11"/>
      <c r="M8" s="11"/>
      <c r="N8" s="11"/>
      <c r="O8" s="11"/>
      <c r="P8" s="11"/>
      <c r="Q8" s="11"/>
      <c r="R8" s="11"/>
      <c r="S8" s="11"/>
      <c r="T8" s="11"/>
      <c r="U8" s="11"/>
      <c r="V8" s="11"/>
    </row>
    <row r="9" spans="1:22" ht="16" x14ac:dyDescent="0.2">
      <c r="A9" s="11" t="s">
        <v>100</v>
      </c>
      <c r="B9" s="11" t="s">
        <v>101</v>
      </c>
      <c r="C9" s="11" t="s">
        <v>102</v>
      </c>
      <c r="D9" s="11" t="s">
        <v>103</v>
      </c>
      <c r="E9" s="11" t="s">
        <v>104</v>
      </c>
      <c r="F9" s="11" t="s">
        <v>85</v>
      </c>
      <c r="G9" s="11" t="s">
        <v>86</v>
      </c>
      <c r="H9" s="11" t="s">
        <v>87</v>
      </c>
      <c r="I9" s="11" t="s">
        <v>105</v>
      </c>
      <c r="J9" s="11"/>
      <c r="K9" s="11" t="s">
        <v>90</v>
      </c>
      <c r="L9" s="11"/>
      <c r="M9" s="11"/>
      <c r="N9" s="11"/>
      <c r="O9" s="11"/>
      <c r="P9" s="11"/>
      <c r="Q9" s="11"/>
      <c r="R9" s="11"/>
      <c r="S9" s="11"/>
      <c r="T9" s="11"/>
      <c r="U9" s="11"/>
      <c r="V9" s="11"/>
    </row>
    <row r="10" spans="1:22" ht="16" x14ac:dyDescent="0.2">
      <c r="A10" s="11" t="s">
        <v>106</v>
      </c>
      <c r="B10" s="11" t="s">
        <v>107</v>
      </c>
      <c r="C10" s="11" t="s">
        <v>108</v>
      </c>
      <c r="D10" s="11" t="s">
        <v>103</v>
      </c>
      <c r="E10" s="11" t="s">
        <v>109</v>
      </c>
      <c r="F10" s="11" t="s">
        <v>110</v>
      </c>
      <c r="G10" s="11" t="s">
        <v>86</v>
      </c>
      <c r="H10" s="11" t="s">
        <v>87</v>
      </c>
      <c r="I10" s="11" t="s">
        <v>111</v>
      </c>
      <c r="J10" s="11"/>
      <c r="K10" s="11" t="s">
        <v>90</v>
      </c>
      <c r="L10" s="11"/>
      <c r="M10" s="11"/>
      <c r="N10" s="11"/>
      <c r="O10" s="11"/>
      <c r="P10" s="11"/>
      <c r="Q10" s="11"/>
      <c r="R10" s="11"/>
      <c r="S10" s="11"/>
      <c r="T10" s="11"/>
      <c r="U10" s="11"/>
      <c r="V10" s="11"/>
    </row>
    <row r="11" spans="1:22" ht="16" x14ac:dyDescent="0.2">
      <c r="A11" s="11" t="s">
        <v>112</v>
      </c>
      <c r="B11" s="11" t="s">
        <v>113</v>
      </c>
      <c r="C11" s="11" t="s">
        <v>114</v>
      </c>
      <c r="D11" s="11" t="s">
        <v>103</v>
      </c>
      <c r="E11" s="11" t="s">
        <v>115</v>
      </c>
      <c r="F11" s="11" t="s">
        <v>116</v>
      </c>
      <c r="G11" s="11" t="s">
        <v>86</v>
      </c>
      <c r="H11" s="11" t="s">
        <v>87</v>
      </c>
      <c r="I11" s="11" t="s">
        <v>117</v>
      </c>
      <c r="J11" s="11"/>
      <c r="K11" s="11" t="s">
        <v>90</v>
      </c>
      <c r="L11" s="11"/>
      <c r="M11" s="11"/>
      <c r="N11" s="11"/>
      <c r="O11" s="11"/>
      <c r="P11" s="11"/>
      <c r="Q11" s="11"/>
      <c r="R11" s="11"/>
      <c r="S11" s="11"/>
      <c r="T11" s="11"/>
      <c r="U11" s="11"/>
      <c r="V11" s="11"/>
    </row>
    <row r="12" spans="1:22" ht="16" x14ac:dyDescent="0.2">
      <c r="A12" s="11" t="s">
        <v>118</v>
      </c>
      <c r="B12" s="11" t="s">
        <v>119</v>
      </c>
      <c r="C12" s="11" t="s">
        <v>95</v>
      </c>
      <c r="D12" s="11" t="s">
        <v>96</v>
      </c>
      <c r="E12" s="11" t="s">
        <v>120</v>
      </c>
      <c r="F12" s="11" t="s">
        <v>85</v>
      </c>
      <c r="G12" s="11" t="s">
        <v>86</v>
      </c>
      <c r="H12" s="11" t="s">
        <v>87</v>
      </c>
      <c r="I12" s="11" t="s">
        <v>121</v>
      </c>
      <c r="J12" s="11"/>
      <c r="K12" s="11" t="s">
        <v>90</v>
      </c>
      <c r="L12" s="11"/>
      <c r="M12" s="11"/>
      <c r="N12" s="11"/>
      <c r="O12" s="11"/>
      <c r="P12" s="11"/>
      <c r="Q12" s="11"/>
      <c r="R12" s="11"/>
      <c r="S12" s="11"/>
      <c r="T12" s="11"/>
      <c r="U12" s="11"/>
      <c r="V12" s="11"/>
    </row>
    <row r="13" spans="1:22" ht="16" x14ac:dyDescent="0.2">
      <c r="A13" s="11" t="s">
        <v>122</v>
      </c>
      <c r="B13" s="11" t="s">
        <v>123</v>
      </c>
      <c r="C13" s="11" t="s">
        <v>102</v>
      </c>
      <c r="D13" s="11" t="s">
        <v>103</v>
      </c>
      <c r="E13" s="11" t="s">
        <v>124</v>
      </c>
      <c r="F13" s="11" t="s">
        <v>110</v>
      </c>
      <c r="G13" s="11" t="s">
        <v>86</v>
      </c>
      <c r="H13" s="11" t="s">
        <v>87</v>
      </c>
      <c r="I13" s="11" t="s">
        <v>125</v>
      </c>
      <c r="J13" s="11"/>
      <c r="K13" s="11" t="s">
        <v>90</v>
      </c>
      <c r="L13" s="11"/>
      <c r="M13" s="11"/>
      <c r="N13" s="11"/>
      <c r="O13" s="11"/>
      <c r="P13" s="11"/>
      <c r="Q13" s="11"/>
      <c r="R13" s="11"/>
      <c r="S13" s="11"/>
      <c r="T13" s="11"/>
      <c r="U13" s="11"/>
      <c r="V13" s="11"/>
    </row>
    <row r="14" spans="1:22" ht="32" x14ac:dyDescent="0.2">
      <c r="A14" s="11" t="s">
        <v>126</v>
      </c>
      <c r="B14" s="11" t="s">
        <v>127</v>
      </c>
      <c r="C14" s="11" t="s">
        <v>128</v>
      </c>
      <c r="D14" s="11" t="s">
        <v>129</v>
      </c>
      <c r="E14" s="11" t="s">
        <v>130</v>
      </c>
      <c r="F14" s="11" t="s">
        <v>110</v>
      </c>
      <c r="G14" s="11" t="s">
        <v>131</v>
      </c>
      <c r="H14" s="11" t="s">
        <v>132</v>
      </c>
      <c r="I14" s="11" t="s">
        <v>133</v>
      </c>
      <c r="J14" s="11" t="s">
        <v>134</v>
      </c>
      <c r="K14" s="11" t="s">
        <v>92</v>
      </c>
      <c r="L14" s="11"/>
      <c r="M14" s="11"/>
      <c r="N14" s="11"/>
      <c r="O14" s="11"/>
      <c r="P14" s="11"/>
      <c r="Q14" s="11"/>
      <c r="R14" s="11"/>
      <c r="S14" s="11"/>
      <c r="T14" s="11"/>
      <c r="U14" s="11"/>
      <c r="V14" s="11"/>
    </row>
    <row r="15" spans="1:22" ht="16" x14ac:dyDescent="0.2">
      <c r="A15" s="11" t="s">
        <v>135</v>
      </c>
      <c r="B15" s="11" t="s">
        <v>136</v>
      </c>
      <c r="C15" s="11" t="s">
        <v>102</v>
      </c>
      <c r="D15" s="11" t="s">
        <v>103</v>
      </c>
      <c r="E15" s="11" t="s">
        <v>137</v>
      </c>
      <c r="F15" s="11" t="s">
        <v>85</v>
      </c>
      <c r="G15" s="11" t="s">
        <v>86</v>
      </c>
      <c r="H15" s="11" t="s">
        <v>87</v>
      </c>
      <c r="I15" s="11" t="s">
        <v>138</v>
      </c>
      <c r="J15" s="11"/>
      <c r="K15" s="11" t="s">
        <v>90</v>
      </c>
      <c r="L15" s="11"/>
      <c r="M15" s="11"/>
      <c r="N15" s="11"/>
      <c r="O15" s="11"/>
      <c r="P15" s="11"/>
      <c r="Q15" s="11"/>
      <c r="R15" s="11"/>
      <c r="S15" s="11"/>
      <c r="T15" s="11"/>
      <c r="U15" s="11"/>
      <c r="V15" s="11"/>
    </row>
    <row r="16" spans="1:22" ht="16" x14ac:dyDescent="0.2">
      <c r="A16" s="11" t="s">
        <v>139</v>
      </c>
      <c r="B16" s="11" t="s">
        <v>140</v>
      </c>
      <c r="C16" s="11" t="s">
        <v>102</v>
      </c>
      <c r="D16" s="11" t="s">
        <v>103</v>
      </c>
      <c r="E16" s="11" t="s">
        <v>141</v>
      </c>
      <c r="F16" s="11" t="s">
        <v>85</v>
      </c>
      <c r="G16" s="11" t="s">
        <v>86</v>
      </c>
      <c r="H16" s="11" t="s">
        <v>87</v>
      </c>
      <c r="I16" s="11" t="s">
        <v>142</v>
      </c>
      <c r="J16" s="11"/>
      <c r="K16" s="11" t="s">
        <v>90</v>
      </c>
      <c r="L16" s="11"/>
      <c r="M16" s="11"/>
      <c r="N16" s="11"/>
      <c r="O16" s="11"/>
      <c r="P16" s="11"/>
      <c r="Q16" s="11"/>
      <c r="R16" s="11"/>
      <c r="S16" s="11"/>
      <c r="T16" s="11"/>
      <c r="U16" s="11"/>
      <c r="V16" s="11"/>
    </row>
    <row r="17" spans="1:22" x14ac:dyDescent="0.2">
      <c r="A17" s="11"/>
      <c r="B17" s="11"/>
      <c r="C17" s="11"/>
      <c r="D17" s="11"/>
      <c r="E17" s="11"/>
      <c r="F17" s="11"/>
      <c r="G17" s="11"/>
      <c r="H17" s="11"/>
      <c r="I17" s="11"/>
      <c r="J17" s="11"/>
      <c r="K17" s="11"/>
      <c r="L17" s="11"/>
      <c r="M17" s="11"/>
      <c r="N17" s="11"/>
      <c r="O17" s="11"/>
      <c r="P17" s="11"/>
      <c r="Q17" s="11"/>
      <c r="R17" s="11"/>
      <c r="S17" s="11"/>
      <c r="T17" s="11"/>
      <c r="U17" s="11"/>
      <c r="V17" s="11"/>
    </row>
    <row r="18" spans="1:22" x14ac:dyDescent="0.2">
      <c r="A18" s="11"/>
      <c r="B18" s="11"/>
      <c r="C18" s="11"/>
      <c r="D18" s="11"/>
      <c r="E18" s="11"/>
      <c r="F18" s="11"/>
      <c r="G18" s="11"/>
      <c r="H18" s="11"/>
      <c r="I18" s="11"/>
      <c r="J18" s="11"/>
      <c r="K18" s="11"/>
      <c r="L18" s="11"/>
      <c r="M18" s="11"/>
      <c r="N18" s="11"/>
      <c r="O18" s="11"/>
      <c r="P18" s="11"/>
      <c r="Q18" s="11"/>
      <c r="R18" s="11"/>
      <c r="S18" s="11"/>
      <c r="T18" s="11"/>
      <c r="U18" s="11"/>
      <c r="V18" s="11"/>
    </row>
    <row r="19" spans="1:22" x14ac:dyDescent="0.2">
      <c r="A19" s="11"/>
      <c r="B19" s="11"/>
      <c r="C19" s="11"/>
      <c r="D19" s="11"/>
      <c r="E19" s="11"/>
      <c r="F19" s="11"/>
      <c r="G19" s="11"/>
      <c r="H19" s="11"/>
      <c r="I19" s="11"/>
      <c r="J19" s="11"/>
      <c r="K19" s="11"/>
      <c r="L19" s="11"/>
      <c r="M19" s="11"/>
      <c r="N19" s="11"/>
      <c r="O19" s="11"/>
      <c r="P19" s="11"/>
      <c r="Q19" s="11"/>
      <c r="R19" s="11"/>
      <c r="S19" s="11"/>
      <c r="T19" s="11"/>
      <c r="U19" s="11"/>
      <c r="V19" s="11"/>
    </row>
    <row r="20" spans="1:22" x14ac:dyDescent="0.2">
      <c r="A20" s="11"/>
      <c r="B20" s="11"/>
      <c r="C20" s="11"/>
      <c r="D20" s="11"/>
      <c r="E20" s="11"/>
      <c r="F20" s="11"/>
      <c r="G20" s="11"/>
      <c r="H20" s="11"/>
      <c r="I20" s="11"/>
      <c r="J20" s="11"/>
      <c r="K20" s="11"/>
      <c r="L20" s="11"/>
      <c r="M20" s="11"/>
      <c r="N20" s="11"/>
      <c r="O20" s="11"/>
      <c r="P20" s="11"/>
      <c r="Q20" s="11"/>
      <c r="R20" s="11"/>
      <c r="S20" s="11"/>
      <c r="T20" s="11"/>
      <c r="U20" s="11"/>
      <c r="V20" s="11"/>
    </row>
    <row r="22" spans="1:22" x14ac:dyDescent="0.2">
      <c r="A22" s="12" t="s">
        <v>143</v>
      </c>
    </row>
    <row r="23" spans="1:22" x14ac:dyDescent="0.2">
      <c r="A23" s="2" t="s">
        <v>144</v>
      </c>
      <c r="B23" s="2" t="s">
        <v>145</v>
      </c>
      <c r="C23" s="2" t="s">
        <v>27</v>
      </c>
    </row>
    <row r="24" spans="1:22" x14ac:dyDescent="0.2">
      <c r="A24" t="s">
        <v>144</v>
      </c>
      <c r="B24" t="s">
        <v>146</v>
      </c>
      <c r="C24" s="3"/>
    </row>
    <row r="25" spans="1:22" x14ac:dyDescent="0.2">
      <c r="A25" t="s">
        <v>144</v>
      </c>
      <c r="B25" t="s">
        <v>147</v>
      </c>
      <c r="C25" s="3"/>
    </row>
    <row r="26" spans="1:22" x14ac:dyDescent="0.2">
      <c r="A26" t="s">
        <v>144</v>
      </c>
      <c r="B26" t="s">
        <v>148</v>
      </c>
      <c r="C26" s="3"/>
    </row>
    <row r="27" spans="1:22" x14ac:dyDescent="0.2">
      <c r="A27" t="s">
        <v>144</v>
      </c>
      <c r="B27" t="s">
        <v>149</v>
      </c>
      <c r="C27" s="3"/>
    </row>
    <row r="28" spans="1:22" x14ac:dyDescent="0.2">
      <c r="A28" t="s">
        <v>144</v>
      </c>
      <c r="B28" t="s">
        <v>150</v>
      </c>
      <c r="C28" s="3"/>
    </row>
    <row r="29" spans="1:22" x14ac:dyDescent="0.2">
      <c r="A29" t="s">
        <v>144</v>
      </c>
      <c r="B29" t="s">
        <v>151</v>
      </c>
      <c r="C29" s="3"/>
    </row>
    <row r="30" spans="1:22" x14ac:dyDescent="0.2">
      <c r="A30" t="s">
        <v>144</v>
      </c>
      <c r="B30" t="s">
        <v>152</v>
      </c>
      <c r="C30" s="3"/>
    </row>
    <row r="31" spans="1:22" x14ac:dyDescent="0.2">
      <c r="A31" t="s">
        <v>144</v>
      </c>
      <c r="B31" t="s">
        <v>153</v>
      </c>
      <c r="C31" s="3"/>
    </row>
    <row r="32" spans="1:22" x14ac:dyDescent="0.2">
      <c r="A32" t="s">
        <v>144</v>
      </c>
      <c r="B32" t="s">
        <v>154</v>
      </c>
      <c r="C32" s="3"/>
    </row>
    <row r="33" spans="1:4" x14ac:dyDescent="0.2">
      <c r="A33" t="s">
        <v>144</v>
      </c>
      <c r="B33" t="s">
        <v>155</v>
      </c>
      <c r="C33" s="3"/>
    </row>
    <row r="34" spans="1:4" x14ac:dyDescent="0.2">
      <c r="A34" t="s">
        <v>144</v>
      </c>
      <c r="B34" t="s">
        <v>156</v>
      </c>
      <c r="C34" s="3"/>
    </row>
    <row r="35" spans="1:4" x14ac:dyDescent="0.2">
      <c r="A35" t="s">
        <v>144</v>
      </c>
      <c r="B35" t="s">
        <v>157</v>
      </c>
      <c r="C35" s="3"/>
    </row>
    <row r="36" spans="1:4" x14ac:dyDescent="0.2">
      <c r="A36" t="s">
        <v>144</v>
      </c>
      <c r="B36" t="s">
        <v>158</v>
      </c>
      <c r="C36" s="3"/>
    </row>
    <row r="37" spans="1:4" x14ac:dyDescent="0.2">
      <c r="A37" t="s">
        <v>144</v>
      </c>
      <c r="B37" t="s">
        <v>159</v>
      </c>
      <c r="C37" s="3"/>
    </row>
    <row r="38" spans="1:4" x14ac:dyDescent="0.2">
      <c r="A38" s="2" t="s">
        <v>160</v>
      </c>
      <c r="B38" s="13" t="e">
        <f>COUNTIF(C24:C37,"Yes")/COUNTA(C24:C37)*100&amp;"%"</f>
        <v>#DIV/0!</v>
      </c>
    </row>
    <row r="40" spans="1:4" x14ac:dyDescent="0.2">
      <c r="A40" s="12" t="s">
        <v>161</v>
      </c>
    </row>
    <row r="41" spans="1:4" x14ac:dyDescent="0.2">
      <c r="A41" s="4" t="s">
        <v>162</v>
      </c>
      <c r="B41" s="4" t="s">
        <v>163</v>
      </c>
      <c r="C41" s="4" t="s">
        <v>164</v>
      </c>
      <c r="D41" s="4" t="s">
        <v>165</v>
      </c>
    </row>
    <row r="42" spans="1:4" ht="32" x14ac:dyDescent="0.2">
      <c r="A42" s="7" t="s">
        <v>166</v>
      </c>
      <c r="B42" s="7" t="s">
        <v>102</v>
      </c>
      <c r="C42" s="7" t="s">
        <v>103</v>
      </c>
      <c r="D42" s="7" t="s">
        <v>167</v>
      </c>
    </row>
    <row r="43" spans="1:4" ht="48" x14ac:dyDescent="0.2">
      <c r="A43" s="7" t="s">
        <v>168</v>
      </c>
      <c r="B43" s="7" t="s">
        <v>169</v>
      </c>
      <c r="C43" s="7" t="s">
        <v>103</v>
      </c>
      <c r="D43" s="7" t="s">
        <v>170</v>
      </c>
    </row>
    <row r="44" spans="1:4" ht="32" x14ac:dyDescent="0.2">
      <c r="A44" s="7" t="s">
        <v>171</v>
      </c>
      <c r="B44" s="7" t="s">
        <v>172</v>
      </c>
      <c r="C44" s="7" t="s">
        <v>173</v>
      </c>
      <c r="D44" s="7" t="s">
        <v>174</v>
      </c>
    </row>
    <row r="45" spans="1:4" ht="32" x14ac:dyDescent="0.2">
      <c r="A45" s="7" t="s">
        <v>175</v>
      </c>
      <c r="B45" s="7" t="s">
        <v>176</v>
      </c>
      <c r="C45" s="7" t="s">
        <v>177</v>
      </c>
      <c r="D45" s="7" t="s">
        <v>178</v>
      </c>
    </row>
    <row r="46" spans="1:4" ht="32" x14ac:dyDescent="0.2">
      <c r="A46" s="7" t="s">
        <v>179</v>
      </c>
      <c r="B46" s="7" t="s">
        <v>180</v>
      </c>
      <c r="C46" s="7" t="s">
        <v>181</v>
      </c>
      <c r="D46" s="7" t="s">
        <v>182</v>
      </c>
    </row>
    <row r="47" spans="1:4" ht="16" x14ac:dyDescent="0.2">
      <c r="A47" s="7" t="s">
        <v>183</v>
      </c>
      <c r="B47" s="7" t="s">
        <v>184</v>
      </c>
      <c r="C47" s="7" t="s">
        <v>185</v>
      </c>
      <c r="D47" s="7" t="s">
        <v>186</v>
      </c>
    </row>
    <row r="48" spans="1:4" ht="32" x14ac:dyDescent="0.2">
      <c r="A48" s="7" t="s">
        <v>187</v>
      </c>
      <c r="B48" s="7" t="s">
        <v>188</v>
      </c>
      <c r="C48" s="7" t="s">
        <v>189</v>
      </c>
      <c r="D48" s="7" t="s">
        <v>190</v>
      </c>
    </row>
    <row r="50" spans="1:22" x14ac:dyDescent="0.2">
      <c r="A50" s="23" t="s">
        <v>191</v>
      </c>
      <c r="B50" s="18"/>
      <c r="C50" s="18"/>
      <c r="D50" s="18"/>
      <c r="E50" s="18"/>
      <c r="F50" s="18"/>
      <c r="G50" s="18"/>
      <c r="H50" s="18"/>
      <c r="I50" s="18"/>
      <c r="J50" s="18"/>
      <c r="K50" s="18"/>
      <c r="L50" s="18"/>
      <c r="M50" s="18"/>
      <c r="N50" s="18"/>
      <c r="O50" s="18"/>
      <c r="P50" s="18"/>
      <c r="Q50" s="18"/>
      <c r="R50" s="18"/>
      <c r="S50" s="18"/>
      <c r="T50" s="18"/>
      <c r="U50" s="18"/>
      <c r="V50" s="18"/>
    </row>
    <row r="51" spans="1:22" x14ac:dyDescent="0.2">
      <c r="A51" s="2" t="s">
        <v>192</v>
      </c>
      <c r="B51" s="20"/>
      <c r="C51" s="21"/>
      <c r="D51" s="22"/>
    </row>
    <row r="52" spans="1:22" x14ac:dyDescent="0.2">
      <c r="A52" s="2" t="s">
        <v>193</v>
      </c>
      <c r="B52" s="20"/>
      <c r="C52" s="21"/>
      <c r="D52" s="22"/>
    </row>
    <row r="53" spans="1:22" x14ac:dyDescent="0.2">
      <c r="A53" s="2" t="s">
        <v>194</v>
      </c>
      <c r="B53" s="20"/>
      <c r="C53" s="21"/>
      <c r="D53" s="22"/>
    </row>
    <row r="54" spans="1:22" x14ac:dyDescent="0.2">
      <c r="A54" s="2" t="s">
        <v>195</v>
      </c>
      <c r="B54" s="20"/>
      <c r="C54" s="21"/>
      <c r="D54" s="22"/>
    </row>
    <row r="55" spans="1:22" x14ac:dyDescent="0.2">
      <c r="A55" s="2" t="s">
        <v>196</v>
      </c>
      <c r="B55" s="20"/>
      <c r="C55" s="21"/>
      <c r="D55" s="22"/>
    </row>
    <row r="56" spans="1:22" x14ac:dyDescent="0.2">
      <c r="A56" s="2" t="s">
        <v>197</v>
      </c>
      <c r="B56" s="20"/>
      <c r="C56" s="21"/>
      <c r="D56" s="22"/>
    </row>
    <row r="57" spans="1:22" x14ac:dyDescent="0.2">
      <c r="A57" s="2" t="s">
        <v>198</v>
      </c>
      <c r="B57" s="20"/>
      <c r="C57" s="21"/>
      <c r="D57" s="22"/>
    </row>
    <row r="58" spans="1:22" x14ac:dyDescent="0.2">
      <c r="A58" s="2" t="s">
        <v>199</v>
      </c>
      <c r="B58" s="20"/>
      <c r="C58" s="21"/>
      <c r="D58" s="22"/>
    </row>
    <row r="59" spans="1:22" x14ac:dyDescent="0.2">
      <c r="A59" s="2" t="s">
        <v>200</v>
      </c>
      <c r="B59" s="20"/>
      <c r="C59" s="21"/>
      <c r="D59" s="22"/>
    </row>
    <row r="60" spans="1:22" x14ac:dyDescent="0.2">
      <c r="A60" s="2" t="s">
        <v>201</v>
      </c>
      <c r="B60" s="20"/>
      <c r="C60" s="21"/>
      <c r="D60" s="22"/>
    </row>
    <row r="61" spans="1:22" x14ac:dyDescent="0.2">
      <c r="A61" s="2" t="s">
        <v>202</v>
      </c>
      <c r="B61" s="20"/>
      <c r="C61" s="21"/>
      <c r="D61" s="22"/>
    </row>
    <row r="62" spans="1:22" x14ac:dyDescent="0.2">
      <c r="A62" s="2" t="s">
        <v>203</v>
      </c>
      <c r="B62" s="20"/>
      <c r="C62" s="21"/>
      <c r="D62" s="22"/>
    </row>
    <row r="64" spans="1:22" x14ac:dyDescent="0.2">
      <c r="A64" s="19" t="s">
        <v>204</v>
      </c>
      <c r="B64" s="18"/>
      <c r="C64" s="18"/>
      <c r="D64" s="18"/>
      <c r="E64" s="18"/>
      <c r="F64" s="18"/>
      <c r="G64" s="18"/>
      <c r="H64" s="18"/>
      <c r="I64" s="18"/>
      <c r="J64" s="18"/>
      <c r="K64" s="18"/>
      <c r="L64" s="18"/>
      <c r="M64" s="18"/>
      <c r="N64" s="18"/>
      <c r="O64" s="18"/>
      <c r="P64" s="18"/>
      <c r="Q64" s="18"/>
      <c r="R64" s="18"/>
      <c r="S64" s="18"/>
      <c r="T64" s="18"/>
      <c r="U64" s="18"/>
      <c r="V64" s="18"/>
    </row>
    <row r="65" spans="1:22" x14ac:dyDescent="0.2">
      <c r="A65" s="25"/>
      <c r="B65" s="26"/>
      <c r="C65" s="26"/>
      <c r="D65" s="26"/>
      <c r="E65" s="26"/>
      <c r="F65" s="26"/>
      <c r="G65" s="26"/>
      <c r="H65" s="26"/>
      <c r="I65" s="26"/>
      <c r="J65" s="26"/>
      <c r="K65" s="26"/>
      <c r="L65" s="26"/>
      <c r="M65" s="26"/>
      <c r="N65" s="26"/>
      <c r="O65" s="26"/>
      <c r="P65" s="26"/>
      <c r="Q65" s="26"/>
      <c r="R65" s="26"/>
      <c r="S65" s="26"/>
      <c r="T65" s="26"/>
      <c r="U65" s="26"/>
      <c r="V65" s="27"/>
    </row>
    <row r="66" spans="1:22" x14ac:dyDescent="0.2">
      <c r="A66" s="28"/>
      <c r="B66" s="18"/>
      <c r="C66" s="18"/>
      <c r="D66" s="18"/>
      <c r="E66" s="18"/>
      <c r="F66" s="18"/>
      <c r="G66" s="18"/>
      <c r="H66" s="18"/>
      <c r="I66" s="18"/>
      <c r="J66" s="18"/>
      <c r="K66" s="18"/>
      <c r="L66" s="18"/>
      <c r="M66" s="18"/>
      <c r="N66" s="18"/>
      <c r="O66" s="18"/>
      <c r="P66" s="18"/>
      <c r="Q66" s="18"/>
      <c r="R66" s="18"/>
      <c r="S66" s="18"/>
      <c r="T66" s="18"/>
      <c r="U66" s="18"/>
      <c r="V66" s="29"/>
    </row>
    <row r="67" spans="1:22" x14ac:dyDescent="0.2">
      <c r="A67" s="28"/>
      <c r="B67" s="18"/>
      <c r="C67" s="18"/>
      <c r="D67" s="18"/>
      <c r="E67" s="18"/>
      <c r="F67" s="18"/>
      <c r="G67" s="18"/>
      <c r="H67" s="18"/>
      <c r="I67" s="18"/>
      <c r="J67" s="18"/>
      <c r="K67" s="18"/>
      <c r="L67" s="18"/>
      <c r="M67" s="18"/>
      <c r="N67" s="18"/>
      <c r="O67" s="18"/>
      <c r="P67" s="18"/>
      <c r="Q67" s="18"/>
      <c r="R67" s="18"/>
      <c r="S67" s="18"/>
      <c r="T67" s="18"/>
      <c r="U67" s="18"/>
      <c r="V67" s="29"/>
    </row>
    <row r="68" spans="1:22" x14ac:dyDescent="0.2">
      <c r="A68" s="28"/>
      <c r="B68" s="18"/>
      <c r="C68" s="18"/>
      <c r="D68" s="18"/>
      <c r="E68" s="18"/>
      <c r="F68" s="18"/>
      <c r="G68" s="18"/>
      <c r="H68" s="18"/>
      <c r="I68" s="18"/>
      <c r="J68" s="18"/>
      <c r="K68" s="18"/>
      <c r="L68" s="18"/>
      <c r="M68" s="18"/>
      <c r="N68" s="18"/>
      <c r="O68" s="18"/>
      <c r="P68" s="18"/>
      <c r="Q68" s="18"/>
      <c r="R68" s="18"/>
      <c r="S68" s="18"/>
      <c r="T68" s="18"/>
      <c r="U68" s="18"/>
      <c r="V68" s="29"/>
    </row>
    <row r="69" spans="1:22" x14ac:dyDescent="0.2">
      <c r="A69" s="28"/>
      <c r="B69" s="18"/>
      <c r="C69" s="18"/>
      <c r="D69" s="18"/>
      <c r="E69" s="18"/>
      <c r="F69" s="18"/>
      <c r="G69" s="18"/>
      <c r="H69" s="18"/>
      <c r="I69" s="18"/>
      <c r="J69" s="18"/>
      <c r="K69" s="18"/>
      <c r="L69" s="18"/>
      <c r="M69" s="18"/>
      <c r="N69" s="18"/>
      <c r="O69" s="18"/>
      <c r="P69" s="18"/>
      <c r="Q69" s="18"/>
      <c r="R69" s="18"/>
      <c r="S69" s="18"/>
      <c r="T69" s="18"/>
      <c r="U69" s="18"/>
      <c r="V69" s="29"/>
    </row>
    <row r="70" spans="1:22" x14ac:dyDescent="0.2">
      <c r="A70" s="28"/>
      <c r="B70" s="18"/>
      <c r="C70" s="18"/>
      <c r="D70" s="18"/>
      <c r="E70" s="18"/>
      <c r="F70" s="18"/>
      <c r="G70" s="18"/>
      <c r="H70" s="18"/>
      <c r="I70" s="18"/>
      <c r="J70" s="18"/>
      <c r="K70" s="18"/>
      <c r="L70" s="18"/>
      <c r="M70" s="18"/>
      <c r="N70" s="18"/>
      <c r="O70" s="18"/>
      <c r="P70" s="18"/>
      <c r="Q70" s="18"/>
      <c r="R70" s="18"/>
      <c r="S70" s="18"/>
      <c r="T70" s="18"/>
      <c r="U70" s="18"/>
      <c r="V70" s="29"/>
    </row>
    <row r="71" spans="1:22" x14ac:dyDescent="0.2">
      <c r="A71" s="28"/>
      <c r="B71" s="18"/>
      <c r="C71" s="18"/>
      <c r="D71" s="18"/>
      <c r="E71" s="18"/>
      <c r="F71" s="18"/>
      <c r="G71" s="18"/>
      <c r="H71" s="18"/>
      <c r="I71" s="18"/>
      <c r="J71" s="18"/>
      <c r="K71" s="18"/>
      <c r="L71" s="18"/>
      <c r="M71" s="18"/>
      <c r="N71" s="18"/>
      <c r="O71" s="18"/>
      <c r="P71" s="18"/>
      <c r="Q71" s="18"/>
      <c r="R71" s="18"/>
      <c r="S71" s="18"/>
      <c r="T71" s="18"/>
      <c r="U71" s="18"/>
      <c r="V71" s="29"/>
    </row>
    <row r="72" spans="1:22" x14ac:dyDescent="0.2">
      <c r="A72" s="28"/>
      <c r="B72" s="18"/>
      <c r="C72" s="18"/>
      <c r="D72" s="18"/>
      <c r="E72" s="18"/>
      <c r="F72" s="18"/>
      <c r="G72" s="18"/>
      <c r="H72" s="18"/>
      <c r="I72" s="18"/>
      <c r="J72" s="18"/>
      <c r="K72" s="18"/>
      <c r="L72" s="18"/>
      <c r="M72" s="18"/>
      <c r="N72" s="18"/>
      <c r="O72" s="18"/>
      <c r="P72" s="18"/>
      <c r="Q72" s="18"/>
      <c r="R72" s="18"/>
      <c r="S72" s="18"/>
      <c r="T72" s="18"/>
      <c r="U72" s="18"/>
      <c r="V72" s="29"/>
    </row>
    <row r="73" spans="1:22" x14ac:dyDescent="0.2">
      <c r="A73" s="30"/>
      <c r="B73" s="31"/>
      <c r="C73" s="31"/>
      <c r="D73" s="31"/>
      <c r="E73" s="31"/>
      <c r="F73" s="31"/>
      <c r="G73" s="31"/>
      <c r="H73" s="31"/>
      <c r="I73" s="31"/>
      <c r="J73" s="31"/>
      <c r="K73" s="31"/>
      <c r="L73" s="31"/>
      <c r="M73" s="31"/>
      <c r="N73" s="31"/>
      <c r="O73" s="31"/>
      <c r="P73" s="31"/>
      <c r="Q73" s="31"/>
      <c r="R73" s="31"/>
      <c r="S73" s="31"/>
      <c r="T73" s="31"/>
      <c r="U73" s="31"/>
      <c r="V73" s="32"/>
    </row>
  </sheetData>
  <mergeCells count="17">
    <mergeCell ref="A65:V73"/>
    <mergeCell ref="B55:D55"/>
    <mergeCell ref="B51:D51"/>
    <mergeCell ref="A1:V1"/>
    <mergeCell ref="B57:D57"/>
    <mergeCell ref="B56:D56"/>
    <mergeCell ref="B58:D58"/>
    <mergeCell ref="B52:D52"/>
    <mergeCell ref="A50:V50"/>
    <mergeCell ref="B53:D53"/>
    <mergeCell ref="A3:V3"/>
    <mergeCell ref="A64:V64"/>
    <mergeCell ref="B59:D59"/>
    <mergeCell ref="B54:D54"/>
    <mergeCell ref="B60:D60"/>
    <mergeCell ref="B61:D61"/>
    <mergeCell ref="B62:D62"/>
  </mergeCells>
  <dataValidations count="13">
    <dataValidation type="list" sqref="B8 B9 B10 B11 B12 B13 B14 B15 B16 B17 B18 B19 B20" xr:uid="{00000000-0002-0000-0100-000000000000}">
      <formula1>"Encryption Key,Signing Key,Authentication Key,Certificate,Master Key,Data Encryption Key,Key Encryption Key,Session Key,N/A"</formula1>
    </dataValidation>
    <dataValidation type="list" sqref="C8 C9 C10 C11 C12 C13 C14 C15 C16 C17 C18 C19 C20" xr:uid="{00000000-0002-0000-0100-000001000000}">
      <formula1>"AES-256,AES-128,RSA-4096,RSA-3072,RSA-2048,Ed25519,ECDSA P-256,ECDSA P-384,ChaCha20,Other,N/A"</formula1>
    </dataValidation>
    <dataValidation type="list" sqref="D8 D9 D10 D11 D12 D13 D14 D15 D16 D17 D18 D19 D20" xr:uid="{00000000-0002-0000-0100-000002000000}">
      <formula1>"256,384,512,2048,3072,4096,8192,N/A"</formula1>
    </dataValidation>
    <dataValidation type="list" sqref="E8 E9 E10 E11 E12 E13 E14 E15 E16 E17 E18 E19 E20" xr:uid="{00000000-0002-0000-0100-000003000000}">
      <formula1>"HSM,Cloud KMS,TPM,Software Keystore,File-based,Database,Smart Card,Vault,N/A"</formula1>
    </dataValidation>
    <dataValidation type="list" sqref="F8 F9 F10 F11 F12 F13 F14 F15 F16 F17 F18 F19 F20" xr:uid="{00000000-0002-0000-0100-000004000000}">
      <formula1>"Public,Internal,Confidential,Restricted,N/A"</formula1>
    </dataValidation>
    <dataValidation type="list" sqref="G8 G9 G10 G11 G12 G13 G14 G15 G16 G17 G18 G19 G20" xr:uid="{00000000-0002-0000-0100-000005000000}">
      <formula1>"Active,Suspended,Archived,Destroyed,Pending Rotation,N/A"</formula1>
    </dataValidation>
    <dataValidation type="list" sqref="H8 H9 H10 H11 H12 H13 H14 H15 H16 H17 H18 H19 H20" xr:uid="{00000000-0002-0000-0100-000006000000}">
      <formula1>"✅ Compliant,⚠️ Partial,❌ Non-Compliant,N/A"</formula1>
    </dataValidation>
    <dataValidation type="list" sqref="K8:K20 B51 B53" xr:uid="{00000000-0002-0000-0100-000007000000}">
      <formula1>"Yes,No"</formula1>
    </dataValidation>
    <dataValidation type="list" sqref="Q8 Q9 Q10 Q11 Q12 Q13 Q14 Q15 Q16 Q17 Q18 Q19 Q20" xr:uid="{00000000-0002-0000-0100-000008000000}">
      <formula1>"Yes,No,Unknown"</formula1>
    </dataValidation>
    <dataValidation type="list" sqref="B4" xr:uid="{00000000-0002-0000-0100-000009000000}">
      <formula1>"Yes,No,Not Applicable"</formula1>
    </dataValidation>
    <dataValidation type="list" sqref="C24:C37 T8:V20" xr:uid="{00000000-0002-0000-0100-00000A000000}">
      <formula1>"Yes,No,N/A"</formula1>
    </dataValidation>
    <dataValidation type="list" sqref="R8 R9 R10 R11 R12 R13 R14 R15 R16 R17 R18 R19 R20" xr:uid="{00000000-0002-0000-0100-00000C000000}">
      <formula1>"Hardware RNG,OS Crypto RNG,HSM RNG,TPM RNG,FIPS 140-2 Validated,NIST SP 800-90A,Non-compliant,N/A"</formula1>
    </dataValidation>
    <dataValidation type="list" sqref="S8 S9 S10 S11 S12 S13 S14 S15 S16 S17 S18 S19 S20" xr:uid="{00000000-0002-0000-0100-00000D000000}">
      <formula1>"HSM,KMS,TPM,Local System,Cloud Service,Smart Card,N/A"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4"/>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5" customWidth="1"/>
    <col min="19" max="19" width="16" customWidth="1"/>
    <col min="20" max="20" width="22" customWidth="1"/>
    <col min="21" max="21" width="16" customWidth="1"/>
    <col min="22" max="22" width="20" customWidth="1"/>
    <col min="23" max="23" width="16" customWidth="1"/>
  </cols>
  <sheetData>
    <row r="1" spans="1:23" ht="40" customHeight="1" x14ac:dyDescent="0.2">
      <c r="A1" s="17" t="s">
        <v>205</v>
      </c>
      <c r="B1" s="18"/>
      <c r="C1" s="18"/>
      <c r="D1" s="18"/>
      <c r="E1" s="18"/>
      <c r="F1" s="18"/>
      <c r="G1" s="18"/>
      <c r="H1" s="18"/>
      <c r="I1" s="18"/>
      <c r="J1" s="18"/>
      <c r="K1" s="18"/>
      <c r="L1" s="18"/>
      <c r="M1" s="18"/>
      <c r="N1" s="18"/>
      <c r="O1" s="18"/>
      <c r="P1" s="18"/>
      <c r="Q1" s="18"/>
      <c r="R1" s="18"/>
      <c r="S1" s="18"/>
      <c r="T1" s="18"/>
      <c r="U1" s="18"/>
      <c r="V1" s="18"/>
      <c r="W1" s="18"/>
    </row>
    <row r="3" spans="1:23" ht="30" customHeight="1" x14ac:dyDescent="0.2">
      <c r="A3" s="24" t="s">
        <v>206</v>
      </c>
      <c r="B3" s="18"/>
      <c r="C3" s="18"/>
      <c r="D3" s="18"/>
      <c r="E3" s="18"/>
      <c r="F3" s="18"/>
      <c r="G3" s="18"/>
      <c r="H3" s="18"/>
      <c r="I3" s="18"/>
      <c r="J3" s="18"/>
      <c r="K3" s="18"/>
      <c r="L3" s="18"/>
      <c r="M3" s="18"/>
      <c r="N3" s="18"/>
      <c r="O3" s="18"/>
      <c r="P3" s="18"/>
      <c r="Q3" s="18"/>
      <c r="R3" s="18"/>
      <c r="S3" s="18"/>
      <c r="T3" s="18"/>
      <c r="U3" s="18"/>
      <c r="V3" s="18"/>
      <c r="W3" s="18"/>
    </row>
    <row r="4" spans="1:23" x14ac:dyDescent="0.2">
      <c r="A4" s="2" t="s">
        <v>58</v>
      </c>
      <c r="B4" s="3"/>
    </row>
    <row r="6" spans="1:23"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207</v>
      </c>
      <c r="S6" s="4" t="s">
        <v>208</v>
      </c>
      <c r="T6" s="4" t="s">
        <v>209</v>
      </c>
      <c r="U6" s="4" t="s">
        <v>210</v>
      </c>
      <c r="V6" s="4" t="s">
        <v>211</v>
      </c>
      <c r="W6" s="4" t="s">
        <v>212</v>
      </c>
    </row>
    <row r="7" spans="1:23" ht="32" x14ac:dyDescent="0.2">
      <c r="A7" s="10" t="s">
        <v>213</v>
      </c>
      <c r="B7" s="10" t="s">
        <v>214</v>
      </c>
      <c r="C7" s="10" t="s">
        <v>215</v>
      </c>
      <c r="D7" s="10" t="s">
        <v>216</v>
      </c>
      <c r="E7" s="10" t="s">
        <v>124</v>
      </c>
      <c r="F7" s="10" t="s">
        <v>110</v>
      </c>
      <c r="G7" s="10" t="s">
        <v>86</v>
      </c>
      <c r="H7" s="10" t="s">
        <v>87</v>
      </c>
      <c r="I7" s="10" t="s">
        <v>217</v>
      </c>
      <c r="J7" s="10" t="s">
        <v>89</v>
      </c>
      <c r="K7" s="10" t="s">
        <v>90</v>
      </c>
      <c r="L7" s="10" t="s">
        <v>38</v>
      </c>
      <c r="M7" s="10" t="s">
        <v>38</v>
      </c>
      <c r="N7" s="10" t="s">
        <v>38</v>
      </c>
      <c r="O7" s="10" t="s">
        <v>38</v>
      </c>
      <c r="P7" s="10" t="s">
        <v>38</v>
      </c>
      <c r="Q7" s="10" t="s">
        <v>90</v>
      </c>
      <c r="R7" s="10" t="s">
        <v>218</v>
      </c>
      <c r="S7" s="10" t="s">
        <v>219</v>
      </c>
      <c r="T7" s="10" t="s">
        <v>220</v>
      </c>
      <c r="U7" s="10" t="s">
        <v>92</v>
      </c>
      <c r="V7" s="10" t="s">
        <v>221</v>
      </c>
      <c r="W7" s="10" t="s">
        <v>92</v>
      </c>
    </row>
    <row r="8" spans="1:23" ht="16" x14ac:dyDescent="0.2">
      <c r="A8" s="11" t="s">
        <v>222</v>
      </c>
      <c r="B8" s="11" t="s">
        <v>223</v>
      </c>
      <c r="C8" s="11" t="s">
        <v>95</v>
      </c>
      <c r="D8" s="11" t="s">
        <v>96</v>
      </c>
      <c r="E8" s="11" t="s">
        <v>224</v>
      </c>
      <c r="F8" s="11" t="s">
        <v>98</v>
      </c>
      <c r="G8" s="11" t="s">
        <v>137</v>
      </c>
      <c r="H8" s="11" t="s">
        <v>87</v>
      </c>
      <c r="I8" s="11" t="s">
        <v>225</v>
      </c>
      <c r="J8" s="11"/>
      <c r="K8" s="11" t="s">
        <v>90</v>
      </c>
      <c r="L8" s="11"/>
      <c r="M8" s="11"/>
      <c r="N8" s="11"/>
      <c r="O8" s="11"/>
      <c r="P8" s="11"/>
      <c r="Q8" s="11"/>
      <c r="R8" s="11"/>
      <c r="S8" s="11"/>
      <c r="T8" s="11"/>
      <c r="U8" s="11"/>
      <c r="V8" s="11"/>
      <c r="W8" s="11"/>
    </row>
    <row r="9" spans="1:23" ht="16" x14ac:dyDescent="0.2">
      <c r="A9" s="11" t="s">
        <v>226</v>
      </c>
      <c r="B9" s="11" t="s">
        <v>227</v>
      </c>
      <c r="C9" s="11" t="s">
        <v>102</v>
      </c>
      <c r="D9" s="11" t="s">
        <v>103</v>
      </c>
      <c r="E9" s="11" t="s">
        <v>228</v>
      </c>
      <c r="F9" s="11" t="s">
        <v>85</v>
      </c>
      <c r="G9" s="11" t="s">
        <v>137</v>
      </c>
      <c r="H9" s="11" t="s">
        <v>87</v>
      </c>
      <c r="I9" s="11" t="s">
        <v>229</v>
      </c>
      <c r="J9" s="11"/>
      <c r="K9" s="11" t="s">
        <v>90</v>
      </c>
      <c r="L9" s="11"/>
      <c r="M9" s="11"/>
      <c r="N9" s="11"/>
      <c r="O9" s="11"/>
      <c r="P9" s="11"/>
      <c r="Q9" s="11"/>
      <c r="R9" s="11"/>
      <c r="S9" s="11"/>
      <c r="T9" s="11"/>
      <c r="U9" s="11"/>
      <c r="V9" s="11"/>
      <c r="W9" s="11"/>
    </row>
    <row r="10" spans="1:23" ht="16" x14ac:dyDescent="0.2">
      <c r="A10" s="11" t="s">
        <v>230</v>
      </c>
      <c r="B10" s="11" t="s">
        <v>231</v>
      </c>
      <c r="C10" s="11" t="s">
        <v>232</v>
      </c>
      <c r="D10" s="11" t="s">
        <v>233</v>
      </c>
      <c r="E10" s="11" t="s">
        <v>109</v>
      </c>
      <c r="F10" s="11" t="s">
        <v>110</v>
      </c>
      <c r="G10" s="11" t="s">
        <v>234</v>
      </c>
      <c r="H10" s="11" t="s">
        <v>87</v>
      </c>
      <c r="I10" s="11" t="s">
        <v>235</v>
      </c>
      <c r="J10" s="11"/>
      <c r="K10" s="11" t="s">
        <v>90</v>
      </c>
      <c r="L10" s="11"/>
      <c r="M10" s="11"/>
      <c r="N10" s="11"/>
      <c r="O10" s="11"/>
      <c r="P10" s="11"/>
      <c r="Q10" s="11"/>
      <c r="R10" s="11"/>
      <c r="S10" s="11"/>
      <c r="T10" s="11"/>
      <c r="U10" s="11"/>
      <c r="V10" s="11"/>
      <c r="W10" s="11"/>
    </row>
    <row r="11" spans="1:23" ht="16" x14ac:dyDescent="0.2">
      <c r="A11" s="11" t="s">
        <v>236</v>
      </c>
      <c r="B11" s="11" t="s">
        <v>237</v>
      </c>
      <c r="C11" s="11" t="s">
        <v>232</v>
      </c>
      <c r="D11" s="11" t="s">
        <v>238</v>
      </c>
      <c r="E11" s="11" t="s">
        <v>239</v>
      </c>
      <c r="F11" s="11" t="s">
        <v>116</v>
      </c>
      <c r="G11" s="11" t="s">
        <v>240</v>
      </c>
      <c r="H11" s="11" t="s">
        <v>87</v>
      </c>
      <c r="I11" s="11" t="s">
        <v>241</v>
      </c>
      <c r="J11" s="11"/>
      <c r="K11" s="11" t="s">
        <v>90</v>
      </c>
      <c r="L11" s="11"/>
      <c r="M11" s="11"/>
      <c r="N11" s="11"/>
      <c r="O11" s="11"/>
      <c r="P11" s="11"/>
      <c r="Q11" s="11"/>
      <c r="R11" s="11"/>
      <c r="S11" s="11"/>
      <c r="T11" s="11"/>
      <c r="U11" s="11"/>
      <c r="V11" s="11"/>
      <c r="W11" s="11"/>
    </row>
    <row r="12" spans="1:23" ht="16" x14ac:dyDescent="0.2">
      <c r="A12" s="11" t="s">
        <v>118</v>
      </c>
      <c r="B12" s="11" t="s">
        <v>242</v>
      </c>
      <c r="C12" s="11" t="s">
        <v>95</v>
      </c>
      <c r="D12" s="11" t="s">
        <v>96</v>
      </c>
      <c r="E12" s="11" t="s">
        <v>120</v>
      </c>
      <c r="F12" s="11" t="s">
        <v>85</v>
      </c>
      <c r="G12" s="11" t="s">
        <v>243</v>
      </c>
      <c r="H12" s="11" t="s">
        <v>87</v>
      </c>
      <c r="I12" s="11" t="s">
        <v>244</v>
      </c>
      <c r="J12" s="11"/>
      <c r="K12" s="11" t="s">
        <v>90</v>
      </c>
      <c r="L12" s="11"/>
      <c r="M12" s="11"/>
      <c r="N12" s="11"/>
      <c r="O12" s="11"/>
      <c r="P12" s="11"/>
      <c r="Q12" s="11"/>
      <c r="R12" s="11"/>
      <c r="S12" s="11"/>
      <c r="T12" s="11"/>
      <c r="U12" s="11"/>
      <c r="V12" s="11"/>
      <c r="W12" s="11"/>
    </row>
    <row r="13" spans="1:23" ht="32" x14ac:dyDescent="0.2">
      <c r="A13" s="11" t="s">
        <v>245</v>
      </c>
      <c r="B13" s="11" t="s">
        <v>246</v>
      </c>
      <c r="C13" s="11" t="s">
        <v>114</v>
      </c>
      <c r="D13" s="11" t="s">
        <v>103</v>
      </c>
      <c r="E13" s="11" t="s">
        <v>247</v>
      </c>
      <c r="F13" s="11" t="s">
        <v>116</v>
      </c>
      <c r="G13" s="11" t="s">
        <v>248</v>
      </c>
      <c r="H13" s="11" t="s">
        <v>249</v>
      </c>
      <c r="I13" s="11" t="s">
        <v>250</v>
      </c>
      <c r="J13" s="11" t="s">
        <v>251</v>
      </c>
      <c r="K13" s="11" t="s">
        <v>92</v>
      </c>
      <c r="L13" s="11"/>
      <c r="M13" s="11"/>
      <c r="N13" s="11"/>
      <c r="O13" s="11"/>
      <c r="P13" s="11"/>
      <c r="Q13" s="11"/>
      <c r="R13" s="11"/>
      <c r="S13" s="11"/>
      <c r="T13" s="11"/>
      <c r="U13" s="11"/>
      <c r="V13" s="11"/>
      <c r="W13" s="11"/>
    </row>
    <row r="14" spans="1:23" ht="16" x14ac:dyDescent="0.2">
      <c r="A14" s="11" t="s">
        <v>252</v>
      </c>
      <c r="B14" s="11" t="s">
        <v>253</v>
      </c>
      <c r="C14" s="11" t="s">
        <v>95</v>
      </c>
      <c r="D14" s="11" t="s">
        <v>254</v>
      </c>
      <c r="E14" s="11" t="s">
        <v>255</v>
      </c>
      <c r="F14" s="11" t="s">
        <v>110</v>
      </c>
      <c r="G14" s="11" t="s">
        <v>256</v>
      </c>
      <c r="H14" s="11" t="s">
        <v>87</v>
      </c>
      <c r="I14" s="11" t="s">
        <v>257</v>
      </c>
      <c r="J14" s="11"/>
      <c r="K14" s="11" t="s">
        <v>90</v>
      </c>
      <c r="L14" s="11"/>
      <c r="M14" s="11"/>
      <c r="N14" s="11"/>
      <c r="O14" s="11"/>
      <c r="P14" s="11"/>
      <c r="Q14" s="11"/>
      <c r="R14" s="11"/>
      <c r="S14" s="11"/>
      <c r="T14" s="11"/>
      <c r="U14" s="11"/>
      <c r="V14" s="11"/>
      <c r="W14" s="11"/>
    </row>
    <row r="15" spans="1:23" ht="16" x14ac:dyDescent="0.2">
      <c r="A15" s="11" t="s">
        <v>258</v>
      </c>
      <c r="B15" s="11" t="s">
        <v>259</v>
      </c>
      <c r="C15" s="11" t="s">
        <v>102</v>
      </c>
      <c r="D15" s="11" t="s">
        <v>103</v>
      </c>
      <c r="E15" s="11" t="s">
        <v>260</v>
      </c>
      <c r="F15" s="11" t="s">
        <v>85</v>
      </c>
      <c r="G15" s="11" t="s">
        <v>261</v>
      </c>
      <c r="H15" s="11" t="s">
        <v>87</v>
      </c>
      <c r="I15" s="11" t="s">
        <v>262</v>
      </c>
      <c r="J15" s="11"/>
      <c r="K15" s="11" t="s">
        <v>90</v>
      </c>
      <c r="L15" s="11"/>
      <c r="M15" s="11"/>
      <c r="N15" s="11"/>
      <c r="O15" s="11"/>
      <c r="P15" s="11"/>
      <c r="Q15" s="11"/>
      <c r="R15" s="11"/>
      <c r="S15" s="11"/>
      <c r="T15" s="11"/>
      <c r="U15" s="11"/>
      <c r="V15" s="11"/>
      <c r="W15" s="11"/>
    </row>
    <row r="16" spans="1:23" ht="32" x14ac:dyDescent="0.2">
      <c r="A16" s="11" t="s">
        <v>263</v>
      </c>
      <c r="B16" s="11" t="s">
        <v>264</v>
      </c>
      <c r="C16" s="11" t="s">
        <v>232</v>
      </c>
      <c r="D16" s="11" t="s">
        <v>238</v>
      </c>
      <c r="E16" s="11" t="s">
        <v>265</v>
      </c>
      <c r="F16" s="11" t="s">
        <v>116</v>
      </c>
      <c r="G16" s="11" t="s">
        <v>266</v>
      </c>
      <c r="H16" s="11" t="s">
        <v>132</v>
      </c>
      <c r="I16" s="11" t="s">
        <v>267</v>
      </c>
      <c r="J16" s="11" t="s">
        <v>268</v>
      </c>
      <c r="K16" s="11" t="s">
        <v>92</v>
      </c>
      <c r="L16" s="11"/>
      <c r="M16" s="11"/>
      <c r="N16" s="11"/>
      <c r="O16" s="11"/>
      <c r="P16" s="11"/>
      <c r="Q16" s="11"/>
      <c r="R16" s="11"/>
      <c r="S16" s="11"/>
      <c r="T16" s="11"/>
      <c r="U16" s="11"/>
      <c r="V16" s="11"/>
      <c r="W16" s="11"/>
    </row>
    <row r="17" spans="1:23" x14ac:dyDescent="0.2">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
      <c r="A20" s="11"/>
      <c r="B20" s="11"/>
      <c r="C20" s="11"/>
      <c r="D20" s="11"/>
      <c r="E20" s="11"/>
      <c r="F20" s="11"/>
      <c r="G20" s="11"/>
      <c r="H20" s="11"/>
      <c r="I20" s="11"/>
      <c r="J20" s="11"/>
      <c r="K20" s="11"/>
      <c r="L20" s="11"/>
      <c r="M20" s="11"/>
      <c r="N20" s="11"/>
      <c r="O20" s="11"/>
      <c r="P20" s="11"/>
      <c r="Q20" s="11"/>
      <c r="R20" s="11"/>
      <c r="S20" s="11"/>
      <c r="T20" s="11"/>
      <c r="U20" s="11"/>
      <c r="V20" s="11"/>
      <c r="W20" s="11"/>
    </row>
    <row r="22" spans="1:23" x14ac:dyDescent="0.2">
      <c r="A22" s="12" t="s">
        <v>269</v>
      </c>
    </row>
    <row r="23" spans="1:23" x14ac:dyDescent="0.2">
      <c r="A23" s="2" t="s">
        <v>144</v>
      </c>
      <c r="B23" s="2" t="s">
        <v>145</v>
      </c>
      <c r="C23" s="2" t="s">
        <v>27</v>
      </c>
    </row>
    <row r="24" spans="1:23" x14ac:dyDescent="0.2">
      <c r="A24" t="s">
        <v>144</v>
      </c>
      <c r="B24" t="s">
        <v>270</v>
      </c>
      <c r="C24" s="3"/>
    </row>
    <row r="25" spans="1:23" x14ac:dyDescent="0.2">
      <c r="A25" t="s">
        <v>144</v>
      </c>
      <c r="B25" t="s">
        <v>271</v>
      </c>
      <c r="C25" s="3"/>
    </row>
    <row r="26" spans="1:23" x14ac:dyDescent="0.2">
      <c r="A26" t="s">
        <v>144</v>
      </c>
      <c r="B26" t="s">
        <v>272</v>
      </c>
      <c r="C26" s="3"/>
    </row>
    <row r="27" spans="1:23" x14ac:dyDescent="0.2">
      <c r="A27" t="s">
        <v>144</v>
      </c>
      <c r="B27" t="s">
        <v>273</v>
      </c>
      <c r="C27" s="3"/>
    </row>
    <row r="28" spans="1:23" x14ac:dyDescent="0.2">
      <c r="A28" t="s">
        <v>144</v>
      </c>
      <c r="B28" t="s">
        <v>274</v>
      </c>
      <c r="C28" s="3"/>
    </row>
    <row r="29" spans="1:23" x14ac:dyDescent="0.2">
      <c r="A29" t="s">
        <v>144</v>
      </c>
      <c r="B29" t="s">
        <v>275</v>
      </c>
      <c r="C29" s="3"/>
    </row>
    <row r="30" spans="1:23" x14ac:dyDescent="0.2">
      <c r="A30" t="s">
        <v>144</v>
      </c>
      <c r="B30" t="s">
        <v>276</v>
      </c>
      <c r="C30" s="3"/>
    </row>
    <row r="31" spans="1:23" x14ac:dyDescent="0.2">
      <c r="A31" t="s">
        <v>144</v>
      </c>
      <c r="B31" t="s">
        <v>277</v>
      </c>
      <c r="C31" s="3"/>
    </row>
    <row r="32" spans="1:23" x14ac:dyDescent="0.2">
      <c r="A32" t="s">
        <v>144</v>
      </c>
      <c r="B32" t="s">
        <v>278</v>
      </c>
      <c r="C32" s="3"/>
    </row>
    <row r="33" spans="1:4" x14ac:dyDescent="0.2">
      <c r="A33" t="s">
        <v>144</v>
      </c>
      <c r="B33" t="s">
        <v>279</v>
      </c>
      <c r="C33" s="3"/>
    </row>
    <row r="34" spans="1:4" x14ac:dyDescent="0.2">
      <c r="A34" t="s">
        <v>144</v>
      </c>
      <c r="B34" t="s">
        <v>280</v>
      </c>
      <c r="C34" s="3"/>
    </row>
    <row r="35" spans="1:4" x14ac:dyDescent="0.2">
      <c r="A35" t="s">
        <v>144</v>
      </c>
      <c r="B35" t="s">
        <v>281</v>
      </c>
      <c r="C35" s="3"/>
    </row>
    <row r="36" spans="1:4" x14ac:dyDescent="0.2">
      <c r="A36" t="s">
        <v>144</v>
      </c>
      <c r="B36" t="s">
        <v>282</v>
      </c>
      <c r="C36" s="3"/>
    </row>
    <row r="37" spans="1:4" x14ac:dyDescent="0.2">
      <c r="A37" t="s">
        <v>144</v>
      </c>
      <c r="B37" t="s">
        <v>283</v>
      </c>
      <c r="C37" s="3"/>
    </row>
    <row r="38" spans="1:4" x14ac:dyDescent="0.2">
      <c r="A38" t="s">
        <v>144</v>
      </c>
      <c r="B38" t="s">
        <v>284</v>
      </c>
      <c r="C38" s="3"/>
    </row>
    <row r="39" spans="1:4" x14ac:dyDescent="0.2">
      <c r="A39" t="s">
        <v>144</v>
      </c>
      <c r="B39" t="s">
        <v>285</v>
      </c>
      <c r="C39" s="3"/>
    </row>
    <row r="40" spans="1:4" x14ac:dyDescent="0.2">
      <c r="A40" t="s">
        <v>144</v>
      </c>
      <c r="B40" t="s">
        <v>286</v>
      </c>
      <c r="C40" s="3"/>
    </row>
    <row r="41" spans="1:4" x14ac:dyDescent="0.2">
      <c r="A41" s="2" t="s">
        <v>160</v>
      </c>
      <c r="B41" s="13" t="e">
        <f>COUNTIF(C24:C40,"Yes")/COUNTA(C24:C40)*100&amp;"%"</f>
        <v>#DIV/0!</v>
      </c>
    </row>
    <row r="43" spans="1:4" x14ac:dyDescent="0.2">
      <c r="A43" s="12" t="s">
        <v>287</v>
      </c>
    </row>
    <row r="44" spans="1:4" x14ac:dyDescent="0.2">
      <c r="A44" s="4" t="s">
        <v>288</v>
      </c>
      <c r="B44" s="4" t="s">
        <v>289</v>
      </c>
      <c r="C44" s="4" t="s">
        <v>290</v>
      </c>
      <c r="D44" s="4" t="s">
        <v>162</v>
      </c>
    </row>
    <row r="45" spans="1:4" ht="32" x14ac:dyDescent="0.2">
      <c r="A45" s="7" t="s">
        <v>141</v>
      </c>
      <c r="B45" s="7" t="s">
        <v>291</v>
      </c>
      <c r="C45" s="7" t="s">
        <v>292</v>
      </c>
      <c r="D45" s="7" t="s">
        <v>293</v>
      </c>
    </row>
    <row r="46" spans="1:4" ht="32" x14ac:dyDescent="0.2">
      <c r="A46" s="7" t="s">
        <v>294</v>
      </c>
      <c r="B46" s="7" t="s">
        <v>295</v>
      </c>
      <c r="C46" s="7" t="s">
        <v>296</v>
      </c>
      <c r="D46" s="7" t="s">
        <v>297</v>
      </c>
    </row>
    <row r="47" spans="1:4" ht="32" x14ac:dyDescent="0.2">
      <c r="A47" s="7" t="s">
        <v>124</v>
      </c>
      <c r="B47" s="7" t="s">
        <v>298</v>
      </c>
      <c r="C47" s="7" t="s">
        <v>299</v>
      </c>
      <c r="D47" s="7" t="s">
        <v>300</v>
      </c>
    </row>
    <row r="48" spans="1:4" ht="32" x14ac:dyDescent="0.2">
      <c r="A48" s="7" t="s">
        <v>301</v>
      </c>
      <c r="B48" s="7" t="s">
        <v>302</v>
      </c>
      <c r="C48" s="7" t="s">
        <v>219</v>
      </c>
      <c r="D48" s="7" t="s">
        <v>303</v>
      </c>
    </row>
    <row r="49" spans="1:23" ht="32" x14ac:dyDescent="0.2">
      <c r="A49" s="7" t="s">
        <v>304</v>
      </c>
      <c r="B49" s="7" t="s">
        <v>305</v>
      </c>
      <c r="C49" s="7" t="s">
        <v>238</v>
      </c>
      <c r="D49" s="7" t="s">
        <v>306</v>
      </c>
    </row>
    <row r="51" spans="1:23" x14ac:dyDescent="0.2">
      <c r="A51" s="23" t="s">
        <v>191</v>
      </c>
      <c r="B51" s="18"/>
      <c r="C51" s="18"/>
      <c r="D51" s="18"/>
      <c r="E51" s="18"/>
      <c r="F51" s="18"/>
      <c r="G51" s="18"/>
      <c r="H51" s="18"/>
      <c r="I51" s="18"/>
      <c r="J51" s="18"/>
      <c r="K51" s="18"/>
      <c r="L51" s="18"/>
      <c r="M51" s="18"/>
      <c r="N51" s="18"/>
      <c r="O51" s="18"/>
      <c r="P51" s="18"/>
      <c r="Q51" s="18"/>
      <c r="R51" s="18"/>
      <c r="S51" s="18"/>
      <c r="T51" s="18"/>
      <c r="U51" s="18"/>
      <c r="V51" s="18"/>
      <c r="W51" s="18"/>
    </row>
    <row r="52" spans="1:23" x14ac:dyDescent="0.2">
      <c r="A52" s="2" t="s">
        <v>192</v>
      </c>
      <c r="B52" s="20"/>
      <c r="C52" s="21"/>
      <c r="D52" s="22"/>
    </row>
    <row r="53" spans="1:23" x14ac:dyDescent="0.2">
      <c r="A53" s="2" t="s">
        <v>193</v>
      </c>
      <c r="B53" s="20"/>
      <c r="C53" s="21"/>
      <c r="D53" s="22"/>
    </row>
    <row r="54" spans="1:23" x14ac:dyDescent="0.2">
      <c r="A54" s="2" t="s">
        <v>194</v>
      </c>
      <c r="B54" s="20"/>
      <c r="C54" s="21"/>
      <c r="D54" s="22"/>
    </row>
    <row r="55" spans="1:23" x14ac:dyDescent="0.2">
      <c r="A55" s="2" t="s">
        <v>195</v>
      </c>
      <c r="B55" s="20"/>
      <c r="C55" s="21"/>
      <c r="D55" s="22"/>
    </row>
    <row r="56" spans="1:23" x14ac:dyDescent="0.2">
      <c r="A56" s="2" t="s">
        <v>196</v>
      </c>
      <c r="B56" s="20"/>
      <c r="C56" s="21"/>
      <c r="D56" s="22"/>
    </row>
    <row r="57" spans="1:23" x14ac:dyDescent="0.2">
      <c r="A57" s="2" t="s">
        <v>197</v>
      </c>
      <c r="B57" s="20"/>
      <c r="C57" s="21"/>
      <c r="D57" s="22"/>
    </row>
    <row r="58" spans="1:23" x14ac:dyDescent="0.2">
      <c r="A58" s="2" t="s">
        <v>198</v>
      </c>
      <c r="B58" s="20"/>
      <c r="C58" s="21"/>
      <c r="D58" s="22"/>
    </row>
    <row r="59" spans="1:23" x14ac:dyDescent="0.2">
      <c r="A59" s="2" t="s">
        <v>199</v>
      </c>
      <c r="B59" s="20"/>
      <c r="C59" s="21"/>
      <c r="D59" s="22"/>
    </row>
    <row r="60" spans="1:23" x14ac:dyDescent="0.2">
      <c r="A60" s="2" t="s">
        <v>200</v>
      </c>
      <c r="B60" s="20"/>
      <c r="C60" s="21"/>
      <c r="D60" s="22"/>
    </row>
    <row r="61" spans="1:23" x14ac:dyDescent="0.2">
      <c r="A61" s="2" t="s">
        <v>201</v>
      </c>
      <c r="B61" s="20"/>
      <c r="C61" s="21"/>
      <c r="D61" s="22"/>
    </row>
    <row r="62" spans="1:23" x14ac:dyDescent="0.2">
      <c r="A62" s="2" t="s">
        <v>202</v>
      </c>
      <c r="B62" s="20"/>
      <c r="C62" s="21"/>
      <c r="D62" s="22"/>
    </row>
    <row r="63" spans="1:23" x14ac:dyDescent="0.2">
      <c r="A63" s="2" t="s">
        <v>203</v>
      </c>
      <c r="B63" s="20"/>
      <c r="C63" s="21"/>
      <c r="D63" s="22"/>
    </row>
    <row r="65" spans="1:23" x14ac:dyDescent="0.2">
      <c r="A65" s="19" t="s">
        <v>204</v>
      </c>
      <c r="B65" s="18"/>
      <c r="C65" s="18"/>
      <c r="D65" s="18"/>
      <c r="E65" s="18"/>
      <c r="F65" s="18"/>
      <c r="G65" s="18"/>
      <c r="H65" s="18"/>
      <c r="I65" s="18"/>
      <c r="J65" s="18"/>
      <c r="K65" s="18"/>
      <c r="L65" s="18"/>
      <c r="M65" s="18"/>
      <c r="N65" s="18"/>
      <c r="O65" s="18"/>
      <c r="P65" s="18"/>
      <c r="Q65" s="18"/>
      <c r="R65" s="18"/>
      <c r="S65" s="18"/>
      <c r="T65" s="18"/>
      <c r="U65" s="18"/>
      <c r="V65" s="18"/>
      <c r="W65" s="18"/>
    </row>
    <row r="66" spans="1:23" x14ac:dyDescent="0.2">
      <c r="A66" s="25"/>
      <c r="B66" s="26"/>
      <c r="C66" s="26"/>
      <c r="D66" s="26"/>
      <c r="E66" s="26"/>
      <c r="F66" s="26"/>
      <c r="G66" s="26"/>
      <c r="H66" s="26"/>
      <c r="I66" s="26"/>
      <c r="J66" s="26"/>
      <c r="K66" s="26"/>
      <c r="L66" s="26"/>
      <c r="M66" s="26"/>
      <c r="N66" s="26"/>
      <c r="O66" s="26"/>
      <c r="P66" s="26"/>
      <c r="Q66" s="26"/>
      <c r="R66" s="26"/>
      <c r="S66" s="26"/>
      <c r="T66" s="26"/>
      <c r="U66" s="26"/>
      <c r="V66" s="26"/>
      <c r="W66" s="27"/>
    </row>
    <row r="67" spans="1:23" x14ac:dyDescent="0.2">
      <c r="A67" s="28"/>
      <c r="B67" s="18"/>
      <c r="C67" s="18"/>
      <c r="D67" s="18"/>
      <c r="E67" s="18"/>
      <c r="F67" s="18"/>
      <c r="G67" s="18"/>
      <c r="H67" s="18"/>
      <c r="I67" s="18"/>
      <c r="J67" s="18"/>
      <c r="K67" s="18"/>
      <c r="L67" s="18"/>
      <c r="M67" s="18"/>
      <c r="N67" s="18"/>
      <c r="O67" s="18"/>
      <c r="P67" s="18"/>
      <c r="Q67" s="18"/>
      <c r="R67" s="18"/>
      <c r="S67" s="18"/>
      <c r="T67" s="18"/>
      <c r="U67" s="18"/>
      <c r="V67" s="18"/>
      <c r="W67" s="29"/>
    </row>
    <row r="68" spans="1:23" x14ac:dyDescent="0.2">
      <c r="A68" s="28"/>
      <c r="B68" s="18"/>
      <c r="C68" s="18"/>
      <c r="D68" s="18"/>
      <c r="E68" s="18"/>
      <c r="F68" s="18"/>
      <c r="G68" s="18"/>
      <c r="H68" s="18"/>
      <c r="I68" s="18"/>
      <c r="J68" s="18"/>
      <c r="K68" s="18"/>
      <c r="L68" s="18"/>
      <c r="M68" s="18"/>
      <c r="N68" s="18"/>
      <c r="O68" s="18"/>
      <c r="P68" s="18"/>
      <c r="Q68" s="18"/>
      <c r="R68" s="18"/>
      <c r="S68" s="18"/>
      <c r="T68" s="18"/>
      <c r="U68" s="18"/>
      <c r="V68" s="18"/>
      <c r="W68" s="29"/>
    </row>
    <row r="69" spans="1:23" x14ac:dyDescent="0.2">
      <c r="A69" s="28"/>
      <c r="B69" s="18"/>
      <c r="C69" s="18"/>
      <c r="D69" s="18"/>
      <c r="E69" s="18"/>
      <c r="F69" s="18"/>
      <c r="G69" s="18"/>
      <c r="H69" s="18"/>
      <c r="I69" s="18"/>
      <c r="J69" s="18"/>
      <c r="K69" s="18"/>
      <c r="L69" s="18"/>
      <c r="M69" s="18"/>
      <c r="N69" s="18"/>
      <c r="O69" s="18"/>
      <c r="P69" s="18"/>
      <c r="Q69" s="18"/>
      <c r="R69" s="18"/>
      <c r="S69" s="18"/>
      <c r="T69" s="18"/>
      <c r="U69" s="18"/>
      <c r="V69" s="18"/>
      <c r="W69" s="29"/>
    </row>
    <row r="70" spans="1:23" x14ac:dyDescent="0.2">
      <c r="A70" s="28"/>
      <c r="B70" s="18"/>
      <c r="C70" s="18"/>
      <c r="D70" s="18"/>
      <c r="E70" s="18"/>
      <c r="F70" s="18"/>
      <c r="G70" s="18"/>
      <c r="H70" s="18"/>
      <c r="I70" s="18"/>
      <c r="J70" s="18"/>
      <c r="K70" s="18"/>
      <c r="L70" s="18"/>
      <c r="M70" s="18"/>
      <c r="N70" s="18"/>
      <c r="O70" s="18"/>
      <c r="P70" s="18"/>
      <c r="Q70" s="18"/>
      <c r="R70" s="18"/>
      <c r="S70" s="18"/>
      <c r="T70" s="18"/>
      <c r="U70" s="18"/>
      <c r="V70" s="18"/>
      <c r="W70" s="29"/>
    </row>
    <row r="71" spans="1:23" x14ac:dyDescent="0.2">
      <c r="A71" s="28"/>
      <c r="B71" s="18"/>
      <c r="C71" s="18"/>
      <c r="D71" s="18"/>
      <c r="E71" s="18"/>
      <c r="F71" s="18"/>
      <c r="G71" s="18"/>
      <c r="H71" s="18"/>
      <c r="I71" s="18"/>
      <c r="J71" s="18"/>
      <c r="K71" s="18"/>
      <c r="L71" s="18"/>
      <c r="M71" s="18"/>
      <c r="N71" s="18"/>
      <c r="O71" s="18"/>
      <c r="P71" s="18"/>
      <c r="Q71" s="18"/>
      <c r="R71" s="18"/>
      <c r="S71" s="18"/>
      <c r="T71" s="18"/>
      <c r="U71" s="18"/>
      <c r="V71" s="18"/>
      <c r="W71" s="29"/>
    </row>
    <row r="72" spans="1:23" x14ac:dyDescent="0.2">
      <c r="A72" s="28"/>
      <c r="B72" s="18"/>
      <c r="C72" s="18"/>
      <c r="D72" s="18"/>
      <c r="E72" s="18"/>
      <c r="F72" s="18"/>
      <c r="G72" s="18"/>
      <c r="H72" s="18"/>
      <c r="I72" s="18"/>
      <c r="J72" s="18"/>
      <c r="K72" s="18"/>
      <c r="L72" s="18"/>
      <c r="M72" s="18"/>
      <c r="N72" s="18"/>
      <c r="O72" s="18"/>
      <c r="P72" s="18"/>
      <c r="Q72" s="18"/>
      <c r="R72" s="18"/>
      <c r="S72" s="18"/>
      <c r="T72" s="18"/>
      <c r="U72" s="18"/>
      <c r="V72" s="18"/>
      <c r="W72" s="29"/>
    </row>
    <row r="73" spans="1:23" x14ac:dyDescent="0.2">
      <c r="A73" s="28"/>
      <c r="B73" s="18"/>
      <c r="C73" s="18"/>
      <c r="D73" s="18"/>
      <c r="E73" s="18"/>
      <c r="F73" s="18"/>
      <c r="G73" s="18"/>
      <c r="H73" s="18"/>
      <c r="I73" s="18"/>
      <c r="J73" s="18"/>
      <c r="K73" s="18"/>
      <c r="L73" s="18"/>
      <c r="M73" s="18"/>
      <c r="N73" s="18"/>
      <c r="O73" s="18"/>
      <c r="P73" s="18"/>
      <c r="Q73" s="18"/>
      <c r="R73" s="18"/>
      <c r="S73" s="18"/>
      <c r="T73" s="18"/>
      <c r="U73" s="18"/>
      <c r="V73" s="18"/>
      <c r="W73" s="29"/>
    </row>
    <row r="74" spans="1:23" x14ac:dyDescent="0.2">
      <c r="A74" s="30"/>
      <c r="B74" s="31"/>
      <c r="C74" s="31"/>
      <c r="D74" s="31"/>
      <c r="E74" s="31"/>
      <c r="F74" s="31"/>
      <c r="G74" s="31"/>
      <c r="H74" s="31"/>
      <c r="I74" s="31"/>
      <c r="J74" s="31"/>
      <c r="K74" s="31"/>
      <c r="L74" s="31"/>
      <c r="M74" s="31"/>
      <c r="N74" s="31"/>
      <c r="O74" s="31"/>
      <c r="P74" s="31"/>
      <c r="Q74" s="31"/>
      <c r="R74" s="31"/>
      <c r="S74" s="31"/>
      <c r="T74" s="31"/>
      <c r="U74" s="31"/>
      <c r="V74" s="31"/>
      <c r="W74" s="32"/>
    </row>
  </sheetData>
  <mergeCells count="17">
    <mergeCell ref="A66:W74"/>
    <mergeCell ref="B57:D57"/>
    <mergeCell ref="A3:W3"/>
    <mergeCell ref="B56:D56"/>
    <mergeCell ref="B58:D58"/>
    <mergeCell ref="B52:D52"/>
    <mergeCell ref="B53:D53"/>
    <mergeCell ref="B62:D62"/>
    <mergeCell ref="A65:W65"/>
    <mergeCell ref="B55:D55"/>
    <mergeCell ref="B54:D54"/>
    <mergeCell ref="A51:W51"/>
    <mergeCell ref="B59:D59"/>
    <mergeCell ref="A1:W1"/>
    <mergeCell ref="B60:D60"/>
    <mergeCell ref="B63:D63"/>
    <mergeCell ref="B61:D61"/>
  </mergeCells>
  <dataValidations count="14">
    <dataValidation type="list" sqref="B8 B9 B10 B11 B12 B13 B14 B15 B16 B17 B18 B19 B20" xr:uid="{00000000-0002-0000-0200-000000000000}">
      <formula1>"Encryption Key,Signing Key,Authentication Key,Certificate,Master Key,Data Encryption Key,Key Encryption Key,Session Key,N/A"</formula1>
    </dataValidation>
    <dataValidation type="list" sqref="C8 C9 C10 C11 C12 C13 C14 C15 C16 C17 C18 C19 C20" xr:uid="{00000000-0002-0000-0200-000001000000}">
      <formula1>"AES-256,AES-128,RSA-4096,RSA-3072,RSA-2048,Ed25519,ECDSA P-256,ECDSA P-384,ChaCha20,Other,N/A"</formula1>
    </dataValidation>
    <dataValidation type="list" sqref="D8 D9 D10 D11 D12 D13 D14 D15 D16 D17 D18 D19 D20" xr:uid="{00000000-0002-0000-0200-000002000000}">
      <formula1>"256,384,512,2048,3072,4096,8192,N/A"</formula1>
    </dataValidation>
    <dataValidation type="list" sqref="E8 E9 E10 E11 E12 E13 E14 E15 E16 E17 E18 E19 E20" xr:uid="{00000000-0002-0000-0200-000003000000}">
      <formula1>"HSM,Cloud KMS,TPM,Software Keystore,File-based,Database,Smart Card,Vault,N/A"</formula1>
    </dataValidation>
    <dataValidation type="list" sqref="F8 F9 F10 F11 F12 F13 F14 F15 F16 F17 F18 F19 F20" xr:uid="{00000000-0002-0000-0200-000004000000}">
      <formula1>"Public,Internal,Confidential,Restricted,N/A"</formula1>
    </dataValidation>
    <dataValidation type="list" sqref="G8 G9 G10 G11 G12 G13 G14 G15 G16 G17 G18 G19 G20" xr:uid="{00000000-0002-0000-0200-000005000000}">
      <formula1>"Active,Suspended,Archived,Destroyed,Pending Rotation,N/A"</formula1>
    </dataValidation>
    <dataValidation type="list" sqref="H8 H9 H10 H11 H12 H13 H14 H15 H16 H17 H18 H19 H20" xr:uid="{00000000-0002-0000-0200-000006000000}">
      <formula1>"✅ Compliant,⚠️ Partial,❌ Non-Compliant,N/A"</formula1>
    </dataValidation>
    <dataValidation type="list" sqref="K8:K20 B52 B54" xr:uid="{00000000-0002-0000-0200-000007000000}">
      <formula1>"Yes,No"</formula1>
    </dataValidation>
    <dataValidation type="list" sqref="Q8 Q9 Q10 Q11 Q12 Q13 Q14 Q15 Q16 Q17 Q18 Q19 Q20" xr:uid="{00000000-0002-0000-0200-000008000000}">
      <formula1>"Yes,No,Unknown"</formula1>
    </dataValidation>
    <dataValidation type="list" sqref="B4" xr:uid="{00000000-0002-0000-0200-000009000000}">
      <formula1>"Yes,No,Not Applicable"</formula1>
    </dataValidation>
    <dataValidation type="list" sqref="C24:C40 U8:U20 W8:W20" xr:uid="{00000000-0002-0000-0200-00000A000000}">
      <formula1>"Yes,No,N/A"</formula1>
    </dataValidation>
    <dataValidation type="list" sqref="S8 S9 S10 S11 S12 S13 S14 S15 S16 S17 S18 S19 S20" xr:uid="{00000000-0002-0000-0200-00000C000000}">
      <formula1>"Level 1,Level 2,Level 3,Level 4,Not Validated,N/A"</formula1>
    </dataValidation>
    <dataValidation type="list" sqref="T8 T9 T10 T11 T12 T13 T14 T15 T16 T17 T18 T19 T20" xr:uid="{00000000-0002-0000-0200-00000D000000}">
      <formula1>"Role-based,Certificate-based,MFA Required,PIN/Password,Smart Card,Dual Control,N/A"</formula1>
    </dataValidation>
    <dataValidation type="list" sqref="V8 V9 V10 V11 V12 V13 V14 V15 V16 V17 V18 V19 V20" xr:uid="{00000000-0002-0000-0200-00000E000000}">
      <formula1>"Locked Data Center,Secure Room,Tamper-evident,Cloud Provider,Inadequate,N/A"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0" customWidth="1"/>
    <col min="19" max="22" width="16" customWidth="1"/>
    <col min="23" max="23" width="18" customWidth="1"/>
  </cols>
  <sheetData>
    <row r="1" spans="1:23" ht="40" customHeight="1" x14ac:dyDescent="0.2">
      <c r="A1" s="17" t="s">
        <v>307</v>
      </c>
      <c r="B1" s="18"/>
      <c r="C1" s="18"/>
      <c r="D1" s="18"/>
      <c r="E1" s="18"/>
      <c r="F1" s="18"/>
      <c r="G1" s="18"/>
      <c r="H1" s="18"/>
      <c r="I1" s="18"/>
      <c r="J1" s="18"/>
      <c r="K1" s="18"/>
      <c r="L1" s="18"/>
      <c r="M1" s="18"/>
      <c r="N1" s="18"/>
      <c r="O1" s="18"/>
      <c r="P1" s="18"/>
      <c r="Q1" s="18"/>
      <c r="R1" s="18"/>
      <c r="S1" s="18"/>
      <c r="T1" s="18"/>
      <c r="U1" s="18"/>
      <c r="V1" s="18"/>
      <c r="W1" s="18"/>
    </row>
    <row r="3" spans="1:23" ht="30" customHeight="1" x14ac:dyDescent="0.2">
      <c r="A3" s="24" t="s">
        <v>308</v>
      </c>
      <c r="B3" s="18"/>
      <c r="C3" s="18"/>
      <c r="D3" s="18"/>
      <c r="E3" s="18"/>
      <c r="F3" s="18"/>
      <c r="G3" s="18"/>
      <c r="H3" s="18"/>
      <c r="I3" s="18"/>
      <c r="J3" s="18"/>
      <c r="K3" s="18"/>
      <c r="L3" s="18"/>
      <c r="M3" s="18"/>
      <c r="N3" s="18"/>
      <c r="O3" s="18"/>
      <c r="P3" s="18"/>
      <c r="Q3" s="18"/>
      <c r="R3" s="18"/>
      <c r="S3" s="18"/>
      <c r="T3" s="18"/>
      <c r="U3" s="18"/>
      <c r="V3" s="18"/>
      <c r="W3" s="18"/>
    </row>
    <row r="4" spans="1:23" x14ac:dyDescent="0.2">
      <c r="A4" s="2" t="s">
        <v>58</v>
      </c>
      <c r="B4" s="3"/>
    </row>
    <row r="6" spans="1:23"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309</v>
      </c>
      <c r="S6" s="4" t="s">
        <v>310</v>
      </c>
      <c r="T6" s="4" t="s">
        <v>311</v>
      </c>
      <c r="U6" s="4" t="s">
        <v>312</v>
      </c>
      <c r="V6" s="4" t="s">
        <v>313</v>
      </c>
      <c r="W6" s="4" t="s">
        <v>314</v>
      </c>
    </row>
    <row r="7" spans="1:23" ht="32" x14ac:dyDescent="0.2">
      <c r="A7" s="10" t="s">
        <v>315</v>
      </c>
      <c r="B7" s="10" t="s">
        <v>316</v>
      </c>
      <c r="C7" s="10" t="s">
        <v>317</v>
      </c>
      <c r="D7" s="10" t="s">
        <v>318</v>
      </c>
      <c r="E7" s="10" t="s">
        <v>124</v>
      </c>
      <c r="F7" s="10" t="s">
        <v>110</v>
      </c>
      <c r="G7" s="10" t="s">
        <v>86</v>
      </c>
      <c r="H7" s="10" t="s">
        <v>87</v>
      </c>
      <c r="I7" s="10" t="s">
        <v>319</v>
      </c>
      <c r="J7" s="10" t="s">
        <v>89</v>
      </c>
      <c r="K7" s="10" t="s">
        <v>90</v>
      </c>
      <c r="L7" s="10" t="s">
        <v>38</v>
      </c>
      <c r="M7" s="10" t="s">
        <v>38</v>
      </c>
      <c r="N7" s="10" t="s">
        <v>38</v>
      </c>
      <c r="O7" s="10" t="s">
        <v>38</v>
      </c>
      <c r="P7" s="10" t="s">
        <v>38</v>
      </c>
      <c r="Q7" s="10" t="s">
        <v>90</v>
      </c>
      <c r="R7" s="10" t="s">
        <v>14</v>
      </c>
      <c r="S7" s="10" t="s">
        <v>320</v>
      </c>
      <c r="T7" s="10" t="s">
        <v>321</v>
      </c>
      <c r="U7" s="10" t="s">
        <v>92</v>
      </c>
      <c r="V7" s="10" t="s">
        <v>92</v>
      </c>
      <c r="W7" s="10" t="s">
        <v>90</v>
      </c>
    </row>
    <row r="8" spans="1:23" ht="16" x14ac:dyDescent="0.2">
      <c r="A8" s="11" t="s">
        <v>322</v>
      </c>
      <c r="B8" s="11" t="s">
        <v>323</v>
      </c>
      <c r="C8" s="11" t="s">
        <v>95</v>
      </c>
      <c r="D8" s="11" t="s">
        <v>96</v>
      </c>
      <c r="E8" s="11" t="s">
        <v>324</v>
      </c>
      <c r="F8" s="11" t="s">
        <v>98</v>
      </c>
      <c r="G8" s="11" t="s">
        <v>325</v>
      </c>
      <c r="H8" s="11" t="s">
        <v>87</v>
      </c>
      <c r="I8" s="11" t="s">
        <v>326</v>
      </c>
      <c r="J8" s="11"/>
      <c r="K8" s="11" t="s">
        <v>90</v>
      </c>
      <c r="L8" s="11"/>
      <c r="M8" s="11"/>
      <c r="N8" s="11"/>
      <c r="O8" s="11"/>
      <c r="P8" s="11"/>
      <c r="Q8" s="11"/>
      <c r="R8" s="11"/>
      <c r="S8" s="11"/>
      <c r="T8" s="11"/>
      <c r="U8" s="11"/>
      <c r="V8" s="11"/>
      <c r="W8" s="11"/>
    </row>
    <row r="9" spans="1:23" ht="16" x14ac:dyDescent="0.2">
      <c r="A9" s="11" t="s">
        <v>100</v>
      </c>
      <c r="B9" s="11" t="s">
        <v>327</v>
      </c>
      <c r="C9" s="11" t="s">
        <v>102</v>
      </c>
      <c r="D9" s="11" t="s">
        <v>103</v>
      </c>
      <c r="E9" s="11" t="s">
        <v>328</v>
      </c>
      <c r="F9" s="11" t="s">
        <v>85</v>
      </c>
      <c r="G9" s="11" t="s">
        <v>329</v>
      </c>
      <c r="H9" s="11" t="s">
        <v>249</v>
      </c>
      <c r="I9" s="11" t="s">
        <v>330</v>
      </c>
      <c r="J9" s="11" t="s">
        <v>331</v>
      </c>
      <c r="K9" s="11" t="s">
        <v>92</v>
      </c>
      <c r="L9" s="11"/>
      <c r="M9" s="11"/>
      <c r="N9" s="11"/>
      <c r="O9" s="11"/>
      <c r="P9" s="11"/>
      <c r="Q9" s="11"/>
      <c r="R9" s="11"/>
      <c r="S9" s="11"/>
      <c r="T9" s="11"/>
      <c r="U9" s="11"/>
      <c r="V9" s="11"/>
      <c r="W9" s="11"/>
    </row>
    <row r="10" spans="1:23" ht="16" x14ac:dyDescent="0.2">
      <c r="A10" s="11" t="s">
        <v>332</v>
      </c>
      <c r="B10" s="11" t="s">
        <v>333</v>
      </c>
      <c r="C10" s="11" t="s">
        <v>334</v>
      </c>
      <c r="D10" s="11" t="s">
        <v>103</v>
      </c>
      <c r="E10" s="11" t="s">
        <v>335</v>
      </c>
      <c r="F10" s="11" t="s">
        <v>110</v>
      </c>
      <c r="G10" s="11" t="s">
        <v>336</v>
      </c>
      <c r="H10" s="11" t="s">
        <v>87</v>
      </c>
      <c r="I10" s="11" t="s">
        <v>337</v>
      </c>
      <c r="J10" s="11"/>
      <c r="K10" s="11" t="s">
        <v>90</v>
      </c>
      <c r="L10" s="11"/>
      <c r="M10" s="11"/>
      <c r="N10" s="11"/>
      <c r="O10" s="11"/>
      <c r="P10" s="11"/>
      <c r="Q10" s="11"/>
      <c r="R10" s="11"/>
      <c r="S10" s="11"/>
      <c r="T10" s="11"/>
      <c r="U10" s="11"/>
      <c r="V10" s="11"/>
      <c r="W10" s="11"/>
    </row>
    <row r="11" spans="1:23" ht="16" x14ac:dyDescent="0.2">
      <c r="A11" s="11" t="s">
        <v>338</v>
      </c>
      <c r="B11" s="11" t="s">
        <v>339</v>
      </c>
      <c r="C11" s="11" t="s">
        <v>340</v>
      </c>
      <c r="D11" s="11" t="s">
        <v>103</v>
      </c>
      <c r="E11" s="11" t="s">
        <v>341</v>
      </c>
      <c r="F11" s="11" t="s">
        <v>110</v>
      </c>
      <c r="G11" s="11" t="s">
        <v>336</v>
      </c>
      <c r="H11" s="11" t="s">
        <v>87</v>
      </c>
      <c r="I11" s="11" t="s">
        <v>342</v>
      </c>
      <c r="J11" s="11"/>
      <c r="K11" s="11" t="s">
        <v>90</v>
      </c>
      <c r="L11" s="11"/>
      <c r="M11" s="11"/>
      <c r="N11" s="11"/>
      <c r="O11" s="11"/>
      <c r="P11" s="11"/>
      <c r="Q11" s="11"/>
      <c r="R11" s="11"/>
      <c r="S11" s="11"/>
      <c r="T11" s="11"/>
      <c r="U11" s="11"/>
      <c r="V11" s="11"/>
      <c r="W11" s="11"/>
    </row>
    <row r="12" spans="1:23" ht="16" x14ac:dyDescent="0.2">
      <c r="A12" s="11" t="s">
        <v>343</v>
      </c>
      <c r="B12" s="11" t="s">
        <v>344</v>
      </c>
      <c r="C12" s="11" t="s">
        <v>95</v>
      </c>
      <c r="D12" s="11" t="s">
        <v>254</v>
      </c>
      <c r="E12" s="11" t="s">
        <v>345</v>
      </c>
      <c r="F12" s="11" t="s">
        <v>110</v>
      </c>
      <c r="G12" s="11" t="s">
        <v>325</v>
      </c>
      <c r="H12" s="11" t="s">
        <v>87</v>
      </c>
      <c r="I12" s="11" t="s">
        <v>346</v>
      </c>
      <c r="J12" s="11"/>
      <c r="K12" s="11" t="s">
        <v>90</v>
      </c>
      <c r="L12" s="11"/>
      <c r="M12" s="11"/>
      <c r="N12" s="11"/>
      <c r="O12" s="11"/>
      <c r="P12" s="11"/>
      <c r="Q12" s="11"/>
      <c r="R12" s="11"/>
      <c r="S12" s="11"/>
      <c r="T12" s="11"/>
      <c r="U12" s="11"/>
      <c r="V12" s="11"/>
      <c r="W12" s="11"/>
    </row>
    <row r="13" spans="1:23" ht="32" x14ac:dyDescent="0.2">
      <c r="A13" s="11" t="s">
        <v>347</v>
      </c>
      <c r="B13" s="11" t="s">
        <v>348</v>
      </c>
      <c r="C13" s="11" t="s">
        <v>102</v>
      </c>
      <c r="D13" s="11" t="s">
        <v>103</v>
      </c>
      <c r="E13" s="11" t="s">
        <v>349</v>
      </c>
      <c r="F13" s="11" t="s">
        <v>110</v>
      </c>
      <c r="G13" s="11" t="s">
        <v>350</v>
      </c>
      <c r="H13" s="11" t="s">
        <v>132</v>
      </c>
      <c r="I13" s="11" t="s">
        <v>351</v>
      </c>
      <c r="J13" s="11" t="s">
        <v>352</v>
      </c>
      <c r="K13" s="11" t="s">
        <v>92</v>
      </c>
      <c r="L13" s="11"/>
      <c r="M13" s="11"/>
      <c r="N13" s="11"/>
      <c r="O13" s="11"/>
      <c r="P13" s="11"/>
      <c r="Q13" s="11"/>
      <c r="R13" s="11"/>
      <c r="S13" s="11"/>
      <c r="T13" s="11"/>
      <c r="U13" s="11"/>
      <c r="V13" s="11"/>
      <c r="W13" s="11"/>
    </row>
    <row r="14" spans="1:23" ht="16" x14ac:dyDescent="0.2">
      <c r="A14" s="11" t="s">
        <v>112</v>
      </c>
      <c r="B14" s="11" t="s">
        <v>353</v>
      </c>
      <c r="C14" s="11" t="s">
        <v>114</v>
      </c>
      <c r="D14" s="11" t="s">
        <v>103</v>
      </c>
      <c r="E14" s="11" t="s">
        <v>349</v>
      </c>
      <c r="F14" s="11" t="s">
        <v>116</v>
      </c>
      <c r="G14" s="11" t="s">
        <v>354</v>
      </c>
      <c r="H14" s="11" t="s">
        <v>249</v>
      </c>
      <c r="I14" s="11" t="s">
        <v>117</v>
      </c>
      <c r="J14" s="11" t="s">
        <v>355</v>
      </c>
      <c r="K14" s="11" t="s">
        <v>92</v>
      </c>
      <c r="L14" s="11"/>
      <c r="M14" s="11"/>
      <c r="N14" s="11"/>
      <c r="O14" s="11"/>
      <c r="P14" s="11"/>
      <c r="Q14" s="11"/>
      <c r="R14" s="11"/>
      <c r="S14" s="11"/>
      <c r="T14" s="11"/>
      <c r="U14" s="11"/>
      <c r="V14" s="11"/>
      <c r="W14" s="11"/>
    </row>
    <row r="15" spans="1:23" ht="16" x14ac:dyDescent="0.2">
      <c r="A15" s="11" t="s">
        <v>356</v>
      </c>
      <c r="B15" s="11" t="s">
        <v>357</v>
      </c>
      <c r="C15" s="11" t="s">
        <v>102</v>
      </c>
      <c r="D15" s="11" t="s">
        <v>103</v>
      </c>
      <c r="E15" s="11" t="s">
        <v>358</v>
      </c>
      <c r="F15" s="11" t="s">
        <v>110</v>
      </c>
      <c r="G15" s="11" t="s">
        <v>336</v>
      </c>
      <c r="H15" s="11" t="s">
        <v>87</v>
      </c>
      <c r="I15" s="11" t="s">
        <v>359</v>
      </c>
      <c r="J15" s="11"/>
      <c r="K15" s="11" t="s">
        <v>90</v>
      </c>
      <c r="L15" s="11"/>
      <c r="M15" s="11"/>
      <c r="N15" s="11"/>
      <c r="O15" s="11"/>
      <c r="P15" s="11"/>
      <c r="Q15" s="11"/>
      <c r="R15" s="11"/>
      <c r="S15" s="11"/>
      <c r="T15" s="11"/>
      <c r="U15" s="11"/>
      <c r="V15" s="11"/>
      <c r="W15" s="11"/>
    </row>
    <row r="16" spans="1:23" x14ac:dyDescent="0.2">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2">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
      <c r="A20" s="11"/>
      <c r="B20" s="11"/>
      <c r="C20" s="11"/>
      <c r="D20" s="11"/>
      <c r="E20" s="11"/>
      <c r="F20" s="11"/>
      <c r="G20" s="11"/>
      <c r="H20" s="11"/>
      <c r="I20" s="11"/>
      <c r="J20" s="11"/>
      <c r="K20" s="11"/>
      <c r="L20" s="11"/>
      <c r="M20" s="11"/>
      <c r="N20" s="11"/>
      <c r="O20" s="11"/>
      <c r="P20" s="11"/>
      <c r="Q20" s="11"/>
      <c r="R20" s="11"/>
      <c r="S20" s="11"/>
      <c r="T20" s="11"/>
      <c r="U20" s="11"/>
      <c r="V20" s="11"/>
      <c r="W20" s="11"/>
    </row>
    <row r="22" spans="1:23" x14ac:dyDescent="0.2">
      <c r="A22" s="12" t="s">
        <v>360</v>
      </c>
    </row>
    <row r="23" spans="1:23" x14ac:dyDescent="0.2">
      <c r="A23" s="2" t="s">
        <v>144</v>
      </c>
      <c r="B23" s="2" t="s">
        <v>145</v>
      </c>
      <c r="C23" s="2" t="s">
        <v>27</v>
      </c>
    </row>
    <row r="24" spans="1:23" x14ac:dyDescent="0.2">
      <c r="A24" t="s">
        <v>144</v>
      </c>
      <c r="B24" t="s">
        <v>361</v>
      </c>
      <c r="C24" s="3"/>
    </row>
    <row r="25" spans="1:23" x14ac:dyDescent="0.2">
      <c r="A25" t="s">
        <v>144</v>
      </c>
      <c r="B25" t="s">
        <v>362</v>
      </c>
      <c r="C25" s="3"/>
    </row>
    <row r="26" spans="1:23" x14ac:dyDescent="0.2">
      <c r="A26" t="s">
        <v>144</v>
      </c>
      <c r="B26" t="s">
        <v>363</v>
      </c>
      <c r="C26" s="3"/>
    </row>
    <row r="27" spans="1:23" x14ac:dyDescent="0.2">
      <c r="A27" t="s">
        <v>144</v>
      </c>
      <c r="B27" t="s">
        <v>364</v>
      </c>
      <c r="C27" s="3"/>
    </row>
    <row r="28" spans="1:23" x14ac:dyDescent="0.2">
      <c r="A28" t="s">
        <v>144</v>
      </c>
      <c r="B28" t="s">
        <v>365</v>
      </c>
      <c r="C28" s="3"/>
    </row>
    <row r="29" spans="1:23" x14ac:dyDescent="0.2">
      <c r="A29" t="s">
        <v>144</v>
      </c>
      <c r="B29" t="s">
        <v>366</v>
      </c>
      <c r="C29" s="3"/>
    </row>
    <row r="30" spans="1:23" x14ac:dyDescent="0.2">
      <c r="A30" t="s">
        <v>144</v>
      </c>
      <c r="B30" t="s">
        <v>367</v>
      </c>
      <c r="C30" s="3"/>
    </row>
    <row r="31" spans="1:23" x14ac:dyDescent="0.2">
      <c r="A31" t="s">
        <v>144</v>
      </c>
      <c r="B31" t="s">
        <v>368</v>
      </c>
      <c r="C31" s="3"/>
    </row>
    <row r="32" spans="1:23" x14ac:dyDescent="0.2">
      <c r="A32" t="s">
        <v>144</v>
      </c>
      <c r="B32" t="s">
        <v>369</v>
      </c>
      <c r="C32" s="3"/>
    </row>
    <row r="33" spans="1:4" x14ac:dyDescent="0.2">
      <c r="A33" t="s">
        <v>144</v>
      </c>
      <c r="B33" t="s">
        <v>370</v>
      </c>
      <c r="C33" s="3"/>
    </row>
    <row r="34" spans="1:4" x14ac:dyDescent="0.2">
      <c r="A34" t="s">
        <v>144</v>
      </c>
      <c r="B34" t="s">
        <v>371</v>
      </c>
      <c r="C34" s="3"/>
    </row>
    <row r="35" spans="1:4" x14ac:dyDescent="0.2">
      <c r="A35" t="s">
        <v>144</v>
      </c>
      <c r="B35" t="s">
        <v>372</v>
      </c>
      <c r="C35" s="3"/>
    </row>
    <row r="36" spans="1:4" x14ac:dyDescent="0.2">
      <c r="A36" t="s">
        <v>144</v>
      </c>
      <c r="B36" t="s">
        <v>373</v>
      </c>
      <c r="C36" s="3"/>
    </row>
    <row r="37" spans="1:4" x14ac:dyDescent="0.2">
      <c r="A37" t="s">
        <v>144</v>
      </c>
      <c r="B37" t="s">
        <v>374</v>
      </c>
      <c r="C37" s="3"/>
    </row>
    <row r="38" spans="1:4" x14ac:dyDescent="0.2">
      <c r="A38" t="s">
        <v>144</v>
      </c>
      <c r="B38" t="s">
        <v>375</v>
      </c>
      <c r="C38" s="3"/>
    </row>
    <row r="39" spans="1:4" x14ac:dyDescent="0.2">
      <c r="A39" t="s">
        <v>144</v>
      </c>
      <c r="B39" t="s">
        <v>376</v>
      </c>
      <c r="C39" s="3"/>
    </row>
    <row r="40" spans="1:4" x14ac:dyDescent="0.2">
      <c r="A40" s="2" t="s">
        <v>160</v>
      </c>
      <c r="B40" s="13" t="e">
        <f>COUNTIF(C24:C39,"Yes")/COUNTA(C24:C39)*100&amp;"%"</f>
        <v>#DIV/0!</v>
      </c>
    </row>
    <row r="42" spans="1:4" x14ac:dyDescent="0.2">
      <c r="A42" s="12" t="s">
        <v>377</v>
      </c>
    </row>
    <row r="43" spans="1:4" x14ac:dyDescent="0.2">
      <c r="A43" s="4" t="s">
        <v>60</v>
      </c>
      <c r="B43" s="4" t="s">
        <v>378</v>
      </c>
      <c r="C43" s="4" t="s">
        <v>379</v>
      </c>
      <c r="D43" s="4" t="s">
        <v>380</v>
      </c>
    </row>
    <row r="44" spans="1:4" ht="32" x14ac:dyDescent="0.2">
      <c r="A44" s="7" t="s">
        <v>381</v>
      </c>
      <c r="B44" s="7" t="s">
        <v>382</v>
      </c>
      <c r="C44" s="7" t="s">
        <v>382</v>
      </c>
      <c r="D44" s="7" t="s">
        <v>383</v>
      </c>
    </row>
    <row r="45" spans="1:4" ht="32" x14ac:dyDescent="0.2">
      <c r="A45" s="7" t="s">
        <v>81</v>
      </c>
      <c r="B45" s="7" t="s">
        <v>382</v>
      </c>
      <c r="C45" s="7" t="s">
        <v>325</v>
      </c>
      <c r="D45" s="7" t="s">
        <v>384</v>
      </c>
    </row>
    <row r="46" spans="1:4" ht="48" x14ac:dyDescent="0.2">
      <c r="A46" s="7" t="s">
        <v>214</v>
      </c>
      <c r="B46" s="7" t="s">
        <v>382</v>
      </c>
      <c r="C46" s="7" t="s">
        <v>382</v>
      </c>
      <c r="D46" s="7" t="s">
        <v>385</v>
      </c>
    </row>
    <row r="47" spans="1:4" ht="32" x14ac:dyDescent="0.2">
      <c r="A47" s="7" t="s">
        <v>316</v>
      </c>
      <c r="B47" s="7" t="s">
        <v>386</v>
      </c>
      <c r="C47" s="7" t="s">
        <v>382</v>
      </c>
      <c r="D47" s="7" t="s">
        <v>387</v>
      </c>
    </row>
    <row r="48" spans="1:4" ht="32" x14ac:dyDescent="0.2">
      <c r="A48" s="7" t="s">
        <v>388</v>
      </c>
      <c r="B48" s="7" t="s">
        <v>389</v>
      </c>
      <c r="C48" s="7" t="s">
        <v>390</v>
      </c>
      <c r="D48" s="7" t="s">
        <v>391</v>
      </c>
    </row>
    <row r="49" spans="1:23" ht="32" x14ac:dyDescent="0.2">
      <c r="A49" s="7" t="s">
        <v>392</v>
      </c>
      <c r="B49" s="7" t="s">
        <v>325</v>
      </c>
      <c r="C49" s="7" t="s">
        <v>393</v>
      </c>
      <c r="D49" s="7" t="s">
        <v>394</v>
      </c>
    </row>
    <row r="50" spans="1:23" ht="32" x14ac:dyDescent="0.2">
      <c r="A50" s="7" t="s">
        <v>395</v>
      </c>
      <c r="B50" s="7" t="s">
        <v>396</v>
      </c>
      <c r="C50" s="7" t="s">
        <v>397</v>
      </c>
      <c r="D50" s="7" t="s">
        <v>398</v>
      </c>
    </row>
    <row r="51" spans="1:23" ht="32" x14ac:dyDescent="0.2">
      <c r="A51" s="7" t="s">
        <v>399</v>
      </c>
      <c r="B51" s="7" t="s">
        <v>382</v>
      </c>
      <c r="C51" s="7" t="s">
        <v>325</v>
      </c>
      <c r="D51" s="7" t="s">
        <v>394</v>
      </c>
    </row>
    <row r="52" spans="1:23" ht="48" x14ac:dyDescent="0.2">
      <c r="A52" s="7" t="s">
        <v>400</v>
      </c>
      <c r="B52" s="7" t="s">
        <v>382</v>
      </c>
      <c r="C52" s="7" t="s">
        <v>382</v>
      </c>
      <c r="D52" s="7" t="s">
        <v>401</v>
      </c>
    </row>
    <row r="54" spans="1:23" x14ac:dyDescent="0.2">
      <c r="A54" s="23" t="s">
        <v>191</v>
      </c>
      <c r="B54" s="18"/>
      <c r="C54" s="18"/>
      <c r="D54" s="18"/>
      <c r="E54" s="18"/>
      <c r="F54" s="18"/>
      <c r="G54" s="18"/>
      <c r="H54" s="18"/>
      <c r="I54" s="18"/>
      <c r="J54" s="18"/>
      <c r="K54" s="18"/>
      <c r="L54" s="18"/>
      <c r="M54" s="18"/>
      <c r="N54" s="18"/>
      <c r="O54" s="18"/>
      <c r="P54" s="18"/>
      <c r="Q54" s="18"/>
      <c r="R54" s="18"/>
      <c r="S54" s="18"/>
      <c r="T54" s="18"/>
      <c r="U54" s="18"/>
      <c r="V54" s="18"/>
      <c r="W54" s="18"/>
    </row>
    <row r="55" spans="1:23" x14ac:dyDescent="0.2">
      <c r="A55" s="2" t="s">
        <v>192</v>
      </c>
      <c r="B55" s="20"/>
      <c r="C55" s="21"/>
      <c r="D55" s="22"/>
    </row>
    <row r="56" spans="1:23" x14ac:dyDescent="0.2">
      <c r="A56" s="2" t="s">
        <v>193</v>
      </c>
      <c r="B56" s="20"/>
      <c r="C56" s="21"/>
      <c r="D56" s="22"/>
    </row>
    <row r="57" spans="1:23" x14ac:dyDescent="0.2">
      <c r="A57" s="2" t="s">
        <v>194</v>
      </c>
      <c r="B57" s="20"/>
      <c r="C57" s="21"/>
      <c r="D57" s="22"/>
    </row>
    <row r="58" spans="1:23" x14ac:dyDescent="0.2">
      <c r="A58" s="2" t="s">
        <v>195</v>
      </c>
      <c r="B58" s="20"/>
      <c r="C58" s="21"/>
      <c r="D58" s="22"/>
    </row>
    <row r="59" spans="1:23" x14ac:dyDescent="0.2">
      <c r="A59" s="2" t="s">
        <v>196</v>
      </c>
      <c r="B59" s="20"/>
      <c r="C59" s="21"/>
      <c r="D59" s="22"/>
    </row>
    <row r="60" spans="1:23" x14ac:dyDescent="0.2">
      <c r="A60" s="2" t="s">
        <v>197</v>
      </c>
      <c r="B60" s="20"/>
      <c r="C60" s="21"/>
      <c r="D60" s="22"/>
    </row>
    <row r="61" spans="1:23" x14ac:dyDescent="0.2">
      <c r="A61" s="2" t="s">
        <v>198</v>
      </c>
      <c r="B61" s="20"/>
      <c r="C61" s="21"/>
      <c r="D61" s="22"/>
    </row>
    <row r="62" spans="1:23" x14ac:dyDescent="0.2">
      <c r="A62" s="2" t="s">
        <v>199</v>
      </c>
      <c r="B62" s="20"/>
      <c r="C62" s="21"/>
      <c r="D62" s="22"/>
    </row>
    <row r="63" spans="1:23" x14ac:dyDescent="0.2">
      <c r="A63" s="2" t="s">
        <v>200</v>
      </c>
      <c r="B63" s="20"/>
      <c r="C63" s="21"/>
      <c r="D63" s="22"/>
    </row>
    <row r="64" spans="1:23" x14ac:dyDescent="0.2">
      <c r="A64" s="2" t="s">
        <v>201</v>
      </c>
      <c r="B64" s="20"/>
      <c r="C64" s="21"/>
      <c r="D64" s="22"/>
    </row>
    <row r="65" spans="1:23" x14ac:dyDescent="0.2">
      <c r="A65" s="2" t="s">
        <v>202</v>
      </c>
      <c r="B65" s="20"/>
      <c r="C65" s="21"/>
      <c r="D65" s="22"/>
    </row>
    <row r="66" spans="1:23" x14ac:dyDescent="0.2">
      <c r="A66" s="2" t="s">
        <v>203</v>
      </c>
      <c r="B66" s="20"/>
      <c r="C66" s="21"/>
      <c r="D66" s="22"/>
    </row>
    <row r="68" spans="1:23" x14ac:dyDescent="0.2">
      <c r="A68" s="19" t="s">
        <v>204</v>
      </c>
      <c r="B68" s="18"/>
      <c r="C68" s="18"/>
      <c r="D68" s="18"/>
      <c r="E68" s="18"/>
      <c r="F68" s="18"/>
      <c r="G68" s="18"/>
      <c r="H68" s="18"/>
      <c r="I68" s="18"/>
      <c r="J68" s="18"/>
      <c r="K68" s="18"/>
      <c r="L68" s="18"/>
      <c r="M68" s="18"/>
      <c r="N68" s="18"/>
      <c r="O68" s="18"/>
      <c r="P68" s="18"/>
      <c r="Q68" s="18"/>
      <c r="R68" s="18"/>
      <c r="S68" s="18"/>
      <c r="T68" s="18"/>
      <c r="U68" s="18"/>
      <c r="V68" s="18"/>
      <c r="W68" s="18"/>
    </row>
    <row r="69" spans="1:23" x14ac:dyDescent="0.2">
      <c r="A69" s="25"/>
      <c r="B69" s="26"/>
      <c r="C69" s="26"/>
      <c r="D69" s="26"/>
      <c r="E69" s="26"/>
      <c r="F69" s="26"/>
      <c r="G69" s="26"/>
      <c r="H69" s="26"/>
      <c r="I69" s="26"/>
      <c r="J69" s="26"/>
      <c r="K69" s="26"/>
      <c r="L69" s="26"/>
      <c r="M69" s="26"/>
      <c r="N69" s="26"/>
      <c r="O69" s="26"/>
      <c r="P69" s="26"/>
      <c r="Q69" s="26"/>
      <c r="R69" s="26"/>
      <c r="S69" s="26"/>
      <c r="T69" s="26"/>
      <c r="U69" s="26"/>
      <c r="V69" s="26"/>
      <c r="W69" s="27"/>
    </row>
    <row r="70" spans="1:23" x14ac:dyDescent="0.2">
      <c r="A70" s="28"/>
      <c r="B70" s="18"/>
      <c r="C70" s="18"/>
      <c r="D70" s="18"/>
      <c r="E70" s="18"/>
      <c r="F70" s="18"/>
      <c r="G70" s="18"/>
      <c r="H70" s="18"/>
      <c r="I70" s="18"/>
      <c r="J70" s="18"/>
      <c r="K70" s="18"/>
      <c r="L70" s="18"/>
      <c r="M70" s="18"/>
      <c r="N70" s="18"/>
      <c r="O70" s="18"/>
      <c r="P70" s="18"/>
      <c r="Q70" s="18"/>
      <c r="R70" s="18"/>
      <c r="S70" s="18"/>
      <c r="T70" s="18"/>
      <c r="U70" s="18"/>
      <c r="V70" s="18"/>
      <c r="W70" s="29"/>
    </row>
    <row r="71" spans="1:23" x14ac:dyDescent="0.2">
      <c r="A71" s="28"/>
      <c r="B71" s="18"/>
      <c r="C71" s="18"/>
      <c r="D71" s="18"/>
      <c r="E71" s="18"/>
      <c r="F71" s="18"/>
      <c r="G71" s="18"/>
      <c r="H71" s="18"/>
      <c r="I71" s="18"/>
      <c r="J71" s="18"/>
      <c r="K71" s="18"/>
      <c r="L71" s="18"/>
      <c r="M71" s="18"/>
      <c r="N71" s="18"/>
      <c r="O71" s="18"/>
      <c r="P71" s="18"/>
      <c r="Q71" s="18"/>
      <c r="R71" s="18"/>
      <c r="S71" s="18"/>
      <c r="T71" s="18"/>
      <c r="U71" s="18"/>
      <c r="V71" s="18"/>
      <c r="W71" s="29"/>
    </row>
    <row r="72" spans="1:23" x14ac:dyDescent="0.2">
      <c r="A72" s="28"/>
      <c r="B72" s="18"/>
      <c r="C72" s="18"/>
      <c r="D72" s="18"/>
      <c r="E72" s="18"/>
      <c r="F72" s="18"/>
      <c r="G72" s="18"/>
      <c r="H72" s="18"/>
      <c r="I72" s="18"/>
      <c r="J72" s="18"/>
      <c r="K72" s="18"/>
      <c r="L72" s="18"/>
      <c r="M72" s="18"/>
      <c r="N72" s="18"/>
      <c r="O72" s="18"/>
      <c r="P72" s="18"/>
      <c r="Q72" s="18"/>
      <c r="R72" s="18"/>
      <c r="S72" s="18"/>
      <c r="T72" s="18"/>
      <c r="U72" s="18"/>
      <c r="V72" s="18"/>
      <c r="W72" s="29"/>
    </row>
    <row r="73" spans="1:23" x14ac:dyDescent="0.2">
      <c r="A73" s="28"/>
      <c r="B73" s="18"/>
      <c r="C73" s="18"/>
      <c r="D73" s="18"/>
      <c r="E73" s="18"/>
      <c r="F73" s="18"/>
      <c r="G73" s="18"/>
      <c r="H73" s="18"/>
      <c r="I73" s="18"/>
      <c r="J73" s="18"/>
      <c r="K73" s="18"/>
      <c r="L73" s="18"/>
      <c r="M73" s="18"/>
      <c r="N73" s="18"/>
      <c r="O73" s="18"/>
      <c r="P73" s="18"/>
      <c r="Q73" s="18"/>
      <c r="R73" s="18"/>
      <c r="S73" s="18"/>
      <c r="T73" s="18"/>
      <c r="U73" s="18"/>
      <c r="V73" s="18"/>
      <c r="W73" s="29"/>
    </row>
    <row r="74" spans="1:23" x14ac:dyDescent="0.2">
      <c r="A74" s="28"/>
      <c r="B74" s="18"/>
      <c r="C74" s="18"/>
      <c r="D74" s="18"/>
      <c r="E74" s="18"/>
      <c r="F74" s="18"/>
      <c r="G74" s="18"/>
      <c r="H74" s="18"/>
      <c r="I74" s="18"/>
      <c r="J74" s="18"/>
      <c r="K74" s="18"/>
      <c r="L74" s="18"/>
      <c r="M74" s="18"/>
      <c r="N74" s="18"/>
      <c r="O74" s="18"/>
      <c r="P74" s="18"/>
      <c r="Q74" s="18"/>
      <c r="R74" s="18"/>
      <c r="S74" s="18"/>
      <c r="T74" s="18"/>
      <c r="U74" s="18"/>
      <c r="V74" s="18"/>
      <c r="W74" s="29"/>
    </row>
    <row r="75" spans="1:23" x14ac:dyDescent="0.2">
      <c r="A75" s="28"/>
      <c r="B75" s="18"/>
      <c r="C75" s="18"/>
      <c r="D75" s="18"/>
      <c r="E75" s="18"/>
      <c r="F75" s="18"/>
      <c r="G75" s="18"/>
      <c r="H75" s="18"/>
      <c r="I75" s="18"/>
      <c r="J75" s="18"/>
      <c r="K75" s="18"/>
      <c r="L75" s="18"/>
      <c r="M75" s="18"/>
      <c r="N75" s="18"/>
      <c r="O75" s="18"/>
      <c r="P75" s="18"/>
      <c r="Q75" s="18"/>
      <c r="R75" s="18"/>
      <c r="S75" s="18"/>
      <c r="T75" s="18"/>
      <c r="U75" s="18"/>
      <c r="V75" s="18"/>
      <c r="W75" s="29"/>
    </row>
    <row r="76" spans="1:23" x14ac:dyDescent="0.2">
      <c r="A76" s="28"/>
      <c r="B76" s="18"/>
      <c r="C76" s="18"/>
      <c r="D76" s="18"/>
      <c r="E76" s="18"/>
      <c r="F76" s="18"/>
      <c r="G76" s="18"/>
      <c r="H76" s="18"/>
      <c r="I76" s="18"/>
      <c r="J76" s="18"/>
      <c r="K76" s="18"/>
      <c r="L76" s="18"/>
      <c r="M76" s="18"/>
      <c r="N76" s="18"/>
      <c r="O76" s="18"/>
      <c r="P76" s="18"/>
      <c r="Q76" s="18"/>
      <c r="R76" s="18"/>
      <c r="S76" s="18"/>
      <c r="T76" s="18"/>
      <c r="U76" s="18"/>
      <c r="V76" s="18"/>
      <c r="W76" s="29"/>
    </row>
    <row r="77" spans="1:23" x14ac:dyDescent="0.2">
      <c r="A77" s="30"/>
      <c r="B77" s="31"/>
      <c r="C77" s="31"/>
      <c r="D77" s="31"/>
      <c r="E77" s="31"/>
      <c r="F77" s="31"/>
      <c r="G77" s="31"/>
      <c r="H77" s="31"/>
      <c r="I77" s="31"/>
      <c r="J77" s="31"/>
      <c r="K77" s="31"/>
      <c r="L77" s="31"/>
      <c r="M77" s="31"/>
      <c r="N77" s="31"/>
      <c r="O77" s="31"/>
      <c r="P77" s="31"/>
      <c r="Q77" s="31"/>
      <c r="R77" s="31"/>
      <c r="S77" s="31"/>
      <c r="T77" s="31"/>
      <c r="U77" s="31"/>
      <c r="V77" s="31"/>
      <c r="W77" s="32"/>
    </row>
  </sheetData>
  <mergeCells count="17">
    <mergeCell ref="A69:W77"/>
    <mergeCell ref="B65:D65"/>
    <mergeCell ref="B62:D62"/>
    <mergeCell ref="B55:D55"/>
    <mergeCell ref="B64:D64"/>
    <mergeCell ref="A68:W68"/>
    <mergeCell ref="B59:D59"/>
    <mergeCell ref="A1:W1"/>
    <mergeCell ref="B60:D60"/>
    <mergeCell ref="B66:D66"/>
    <mergeCell ref="B63:D63"/>
    <mergeCell ref="B61:D61"/>
    <mergeCell ref="B57:D57"/>
    <mergeCell ref="A3:W3"/>
    <mergeCell ref="B56:D56"/>
    <mergeCell ref="A54:W54"/>
    <mergeCell ref="B58:D58"/>
  </mergeCells>
  <dataValidations count="13">
    <dataValidation type="list" sqref="B8 B9 B10 B11 B12 B13 B14 B15 B16 B17 B18 B19 B20" xr:uid="{00000000-0002-0000-0300-000000000000}">
      <formula1>"Encryption Key,Signing Key,Authentication Key,Certificate,Master Key,Data Encryption Key,Key Encryption Key,Session Key,N/A"</formula1>
    </dataValidation>
    <dataValidation type="list" sqref="C8 C9 C10 C11 C12 C13 C14 C15 C16 C17 C18 C19 C20" xr:uid="{00000000-0002-0000-0300-000001000000}">
      <formula1>"AES-256,AES-128,RSA-4096,RSA-3072,RSA-2048,Ed25519,ECDSA P-256,ECDSA P-384,ChaCha20,Other,N/A"</formula1>
    </dataValidation>
    <dataValidation type="list" sqref="D8 D9 D10 D11 D12 D13 D14 D15 D16 D17 D18 D19 D20" xr:uid="{00000000-0002-0000-0300-000002000000}">
      <formula1>"256,384,512,2048,3072,4096,8192,N/A"</formula1>
    </dataValidation>
    <dataValidation type="list" sqref="E8 E9 E10 E11 E12 E13 E14 E15 E16 E17 E18 E19 E20" xr:uid="{00000000-0002-0000-0300-000003000000}">
      <formula1>"HSM,Cloud KMS,TPM,Software Keystore,File-based,Database,Smart Card,Vault,N/A"</formula1>
    </dataValidation>
    <dataValidation type="list" sqref="F8 F9 F10 F11 F12 F13 F14 F15 F16 F17 F18 F19 F20" xr:uid="{00000000-0002-0000-0300-000004000000}">
      <formula1>"Public,Internal,Confidential,Restricted,N/A"</formula1>
    </dataValidation>
    <dataValidation type="list" sqref="G8 G9 G10 G11 G12 G13 G14 G15 G16 G17 G18 G19 G20" xr:uid="{00000000-0002-0000-0300-000005000000}">
      <formula1>"Active,Suspended,Archived,Destroyed,Pending Rotation,N/A"</formula1>
    </dataValidation>
    <dataValidation type="list" sqref="H8 H9 H10 H11 H12 H13 H14 H15 H16 H17 H18 H19 H20" xr:uid="{00000000-0002-0000-0300-000006000000}">
      <formula1>"✅ Compliant,⚠️ Partial,❌ Non-Compliant,N/A"</formula1>
    </dataValidation>
    <dataValidation type="list" sqref="K8:K20 B55 B57" xr:uid="{00000000-0002-0000-0300-000007000000}">
      <formula1>"Yes,No"</formula1>
    </dataValidation>
    <dataValidation type="list" sqref="Q8 Q9 Q10 Q11 Q12 Q13 Q14 Q15 Q16 Q17 Q18 Q19 Q20" xr:uid="{00000000-0002-0000-0300-000008000000}">
      <formula1>"Yes,No,Unknown"</formula1>
    </dataValidation>
    <dataValidation type="list" sqref="B4" xr:uid="{00000000-0002-0000-0300-000009000000}">
      <formula1>"Yes,No,Not Applicable"</formula1>
    </dataValidation>
    <dataValidation type="list" sqref="C24:C39 U8:V20" xr:uid="{00000000-0002-0000-0300-00000A000000}">
      <formula1>"Yes,No,N/A"</formula1>
    </dataValidation>
    <dataValidation type="list" sqref="R8 R9 R10 R11 R12 R13 R14 R15 R16 R17 R18 R19 R20" xr:uid="{00000000-0002-0000-0300-00000C000000}">
      <formula1>"Hourly,Daily,Weekly,Monthly,Quarterly,Annually,Biennially,On Compromise,Never,N/A"</formula1>
    </dataValidation>
    <dataValidation type="list" sqref="W8 W9 W10 W11 W12 W13 W14 W15 W16 W17 W18 W19 W20" xr:uid="{00000000-0002-0000-0300-00000E000000}">
      <formula1>"Yes,No,In Progress,N/A"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76"/>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16" customWidth="1"/>
    <col min="20" max="20" width="22" customWidth="1"/>
    <col min="21" max="22" width="16" customWidth="1"/>
    <col min="23" max="23" width="18" customWidth="1"/>
    <col min="24" max="24" width="16" customWidth="1"/>
  </cols>
  <sheetData>
    <row r="1" spans="1:24" ht="40" customHeight="1" x14ac:dyDescent="0.2">
      <c r="A1" s="17" t="s">
        <v>402</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4" t="s">
        <v>403</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404</v>
      </c>
      <c r="S6" s="4" t="s">
        <v>405</v>
      </c>
      <c r="T6" s="4" t="s">
        <v>406</v>
      </c>
      <c r="U6" s="4" t="s">
        <v>407</v>
      </c>
      <c r="V6" s="4" t="s">
        <v>408</v>
      </c>
      <c r="W6" s="4" t="s">
        <v>409</v>
      </c>
      <c r="X6" s="4" t="s">
        <v>410</v>
      </c>
    </row>
    <row r="7" spans="1:24" ht="32" x14ac:dyDescent="0.2">
      <c r="A7" s="10" t="s">
        <v>411</v>
      </c>
      <c r="B7" s="10" t="s">
        <v>412</v>
      </c>
      <c r="C7" s="10" t="s">
        <v>82</v>
      </c>
      <c r="D7" s="10" t="s">
        <v>83</v>
      </c>
      <c r="E7" s="10" t="s">
        <v>84</v>
      </c>
      <c r="F7" s="10" t="s">
        <v>85</v>
      </c>
      <c r="G7" s="10" t="s">
        <v>86</v>
      </c>
      <c r="H7" s="10" t="s">
        <v>87</v>
      </c>
      <c r="I7" s="10" t="s">
        <v>413</v>
      </c>
      <c r="J7" s="10" t="s">
        <v>89</v>
      </c>
      <c r="K7" s="10" t="s">
        <v>90</v>
      </c>
      <c r="L7" s="10" t="s">
        <v>38</v>
      </c>
      <c r="M7" s="10" t="s">
        <v>38</v>
      </c>
      <c r="N7" s="10" t="s">
        <v>38</v>
      </c>
      <c r="O7" s="10" t="s">
        <v>38</v>
      </c>
      <c r="P7" s="10" t="s">
        <v>38</v>
      </c>
      <c r="Q7" s="10" t="s">
        <v>90</v>
      </c>
      <c r="R7" s="10" t="s">
        <v>414</v>
      </c>
      <c r="S7" s="10" t="s">
        <v>92</v>
      </c>
      <c r="T7" s="10" t="s">
        <v>415</v>
      </c>
      <c r="U7" s="10" t="s">
        <v>92</v>
      </c>
      <c r="V7" s="10" t="s">
        <v>416</v>
      </c>
      <c r="W7" s="10" t="s">
        <v>417</v>
      </c>
      <c r="X7" s="10" t="s">
        <v>92</v>
      </c>
    </row>
    <row r="8" spans="1:24" ht="16" x14ac:dyDescent="0.2">
      <c r="A8" s="11" t="s">
        <v>418</v>
      </c>
      <c r="B8" s="11" t="s">
        <v>419</v>
      </c>
      <c r="C8" s="11" t="s">
        <v>102</v>
      </c>
      <c r="D8" s="11" t="s">
        <v>103</v>
      </c>
      <c r="E8" s="11" t="s">
        <v>420</v>
      </c>
      <c r="F8" s="11" t="s">
        <v>85</v>
      </c>
      <c r="G8" s="11" t="s">
        <v>421</v>
      </c>
      <c r="H8" s="11" t="s">
        <v>87</v>
      </c>
      <c r="I8" s="11" t="s">
        <v>422</v>
      </c>
      <c r="J8" s="11"/>
      <c r="K8" s="11" t="s">
        <v>90</v>
      </c>
      <c r="L8" s="11"/>
      <c r="M8" s="11"/>
      <c r="N8" s="11"/>
      <c r="O8" s="11"/>
      <c r="P8" s="11"/>
      <c r="Q8" s="11"/>
      <c r="R8" s="11"/>
      <c r="S8" s="11"/>
      <c r="T8" s="11"/>
      <c r="U8" s="11"/>
      <c r="V8" s="11"/>
      <c r="W8" s="11"/>
      <c r="X8" s="11"/>
    </row>
    <row r="9" spans="1:24" ht="16" x14ac:dyDescent="0.2">
      <c r="A9" s="11" t="s">
        <v>226</v>
      </c>
      <c r="B9" s="11" t="s">
        <v>227</v>
      </c>
      <c r="C9" s="11" t="s">
        <v>102</v>
      </c>
      <c r="D9" s="11" t="s">
        <v>103</v>
      </c>
      <c r="E9" s="11" t="s">
        <v>423</v>
      </c>
      <c r="F9" s="11" t="s">
        <v>85</v>
      </c>
      <c r="G9" s="11" t="s">
        <v>424</v>
      </c>
      <c r="H9" s="11" t="s">
        <v>87</v>
      </c>
      <c r="I9" s="11" t="s">
        <v>425</v>
      </c>
      <c r="J9" s="11"/>
      <c r="K9" s="11" t="s">
        <v>90</v>
      </c>
      <c r="L9" s="11"/>
      <c r="M9" s="11"/>
      <c r="N9" s="11"/>
      <c r="O9" s="11"/>
      <c r="P9" s="11"/>
      <c r="Q9" s="11"/>
      <c r="R9" s="11"/>
      <c r="S9" s="11"/>
      <c r="T9" s="11"/>
      <c r="U9" s="11"/>
      <c r="V9" s="11"/>
      <c r="W9" s="11"/>
      <c r="X9" s="11"/>
    </row>
    <row r="10" spans="1:24" ht="16" x14ac:dyDescent="0.2">
      <c r="A10" s="11" t="s">
        <v>426</v>
      </c>
      <c r="B10" s="11" t="s">
        <v>427</v>
      </c>
      <c r="C10" s="11" t="s">
        <v>102</v>
      </c>
      <c r="D10" s="11" t="s">
        <v>103</v>
      </c>
      <c r="E10" s="11" t="s">
        <v>428</v>
      </c>
      <c r="F10" s="11" t="s">
        <v>85</v>
      </c>
      <c r="G10" s="11" t="s">
        <v>429</v>
      </c>
      <c r="H10" s="11" t="s">
        <v>87</v>
      </c>
      <c r="I10" s="11" t="s">
        <v>430</v>
      </c>
      <c r="J10" s="11"/>
      <c r="K10" s="11" t="s">
        <v>90</v>
      </c>
      <c r="L10" s="11"/>
      <c r="M10" s="11"/>
      <c r="N10" s="11"/>
      <c r="O10" s="11"/>
      <c r="P10" s="11"/>
      <c r="Q10" s="11"/>
      <c r="R10" s="11"/>
      <c r="S10" s="11"/>
      <c r="T10" s="11"/>
      <c r="U10" s="11"/>
      <c r="V10" s="11"/>
      <c r="W10" s="11"/>
      <c r="X10" s="11"/>
    </row>
    <row r="11" spans="1:24" ht="16" x14ac:dyDescent="0.2">
      <c r="A11" s="11" t="s">
        <v>431</v>
      </c>
      <c r="B11" s="11" t="s">
        <v>432</v>
      </c>
      <c r="C11" s="11" t="s">
        <v>102</v>
      </c>
      <c r="D11" s="11" t="s">
        <v>103</v>
      </c>
      <c r="E11" s="11" t="s">
        <v>433</v>
      </c>
      <c r="F11" s="11" t="s">
        <v>85</v>
      </c>
      <c r="G11" s="11" t="s">
        <v>434</v>
      </c>
      <c r="H11" s="11" t="s">
        <v>87</v>
      </c>
      <c r="I11" s="11" t="s">
        <v>435</v>
      </c>
      <c r="J11" s="11"/>
      <c r="K11" s="11" t="s">
        <v>90</v>
      </c>
      <c r="L11" s="11"/>
      <c r="M11" s="11"/>
      <c r="N11" s="11"/>
      <c r="O11" s="11"/>
      <c r="P11" s="11"/>
      <c r="Q11" s="11"/>
      <c r="R11" s="11"/>
      <c r="S11" s="11"/>
      <c r="T11" s="11"/>
      <c r="U11" s="11"/>
      <c r="V11" s="11"/>
      <c r="W11" s="11"/>
      <c r="X11" s="11"/>
    </row>
    <row r="12" spans="1:24" ht="16" x14ac:dyDescent="0.2">
      <c r="A12" s="11" t="s">
        <v>258</v>
      </c>
      <c r="B12" s="11" t="s">
        <v>436</v>
      </c>
      <c r="C12" s="11" t="s">
        <v>102</v>
      </c>
      <c r="D12" s="11" t="s">
        <v>103</v>
      </c>
      <c r="E12" s="11" t="s">
        <v>437</v>
      </c>
      <c r="F12" s="11" t="s">
        <v>85</v>
      </c>
      <c r="G12" s="11" t="s">
        <v>438</v>
      </c>
      <c r="H12" s="11" t="s">
        <v>87</v>
      </c>
      <c r="I12" s="11" t="s">
        <v>439</v>
      </c>
      <c r="J12" s="11"/>
      <c r="K12" s="11" t="s">
        <v>90</v>
      </c>
      <c r="L12" s="11"/>
      <c r="M12" s="11"/>
      <c r="N12" s="11"/>
      <c r="O12" s="11"/>
      <c r="P12" s="11"/>
      <c r="Q12" s="11"/>
      <c r="R12" s="11"/>
      <c r="S12" s="11"/>
      <c r="T12" s="11"/>
      <c r="U12" s="11"/>
      <c r="V12" s="11"/>
      <c r="W12" s="11"/>
      <c r="X12" s="11"/>
    </row>
    <row r="13" spans="1:24" ht="16" x14ac:dyDescent="0.2">
      <c r="A13" s="11" t="s">
        <v>118</v>
      </c>
      <c r="B13" s="11" t="s">
        <v>242</v>
      </c>
      <c r="C13" s="11" t="s">
        <v>95</v>
      </c>
      <c r="D13" s="11" t="s">
        <v>96</v>
      </c>
      <c r="E13" s="11" t="s">
        <v>440</v>
      </c>
      <c r="F13" s="11" t="s">
        <v>85</v>
      </c>
      <c r="G13" s="11" t="s">
        <v>441</v>
      </c>
      <c r="H13" s="11" t="s">
        <v>87</v>
      </c>
      <c r="I13" s="11" t="s">
        <v>442</v>
      </c>
      <c r="J13" s="11"/>
      <c r="K13" s="11" t="s">
        <v>90</v>
      </c>
      <c r="L13" s="11"/>
      <c r="M13" s="11"/>
      <c r="N13" s="11"/>
      <c r="O13" s="11"/>
      <c r="P13" s="11"/>
      <c r="Q13" s="11"/>
      <c r="R13" s="11"/>
      <c r="S13" s="11"/>
      <c r="T13" s="11"/>
      <c r="U13" s="11"/>
      <c r="V13" s="11"/>
      <c r="W13" s="11"/>
      <c r="X13" s="11"/>
    </row>
    <row r="14" spans="1:24" ht="16" x14ac:dyDescent="0.2">
      <c r="A14" s="11" t="s">
        <v>443</v>
      </c>
      <c r="B14" s="11" t="s">
        <v>444</v>
      </c>
      <c r="C14" s="11" t="s">
        <v>95</v>
      </c>
      <c r="D14" s="11" t="s">
        <v>96</v>
      </c>
      <c r="E14" s="11" t="s">
        <v>445</v>
      </c>
      <c r="F14" s="11" t="s">
        <v>85</v>
      </c>
      <c r="G14" s="11" t="s">
        <v>446</v>
      </c>
      <c r="H14" s="11" t="s">
        <v>87</v>
      </c>
      <c r="I14" s="11" t="s">
        <v>447</v>
      </c>
      <c r="J14" s="11"/>
      <c r="K14" s="11" t="s">
        <v>90</v>
      </c>
      <c r="L14" s="11"/>
      <c r="M14" s="11"/>
      <c r="N14" s="11"/>
      <c r="O14" s="11"/>
      <c r="P14" s="11"/>
      <c r="Q14" s="11"/>
      <c r="R14" s="11"/>
      <c r="S14" s="11"/>
      <c r="T14" s="11"/>
      <c r="U14" s="11"/>
      <c r="V14" s="11"/>
      <c r="W14" s="11"/>
      <c r="X14" s="11"/>
    </row>
    <row r="15" spans="1:24" ht="16" x14ac:dyDescent="0.2">
      <c r="A15" s="11" t="s">
        <v>448</v>
      </c>
      <c r="B15" s="11" t="s">
        <v>449</v>
      </c>
      <c r="C15" s="11" t="s">
        <v>232</v>
      </c>
      <c r="D15" s="11" t="s">
        <v>238</v>
      </c>
      <c r="E15" s="11" t="s">
        <v>450</v>
      </c>
      <c r="F15" s="11" t="s">
        <v>116</v>
      </c>
      <c r="G15" s="11" t="s">
        <v>451</v>
      </c>
      <c r="H15" s="11" t="s">
        <v>249</v>
      </c>
      <c r="I15" s="11" t="s">
        <v>452</v>
      </c>
      <c r="J15" s="11" t="s">
        <v>453</v>
      </c>
      <c r="K15" s="11" t="s">
        <v>92</v>
      </c>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454</v>
      </c>
    </row>
    <row r="23" spans="1:24" x14ac:dyDescent="0.2">
      <c r="A23" s="2" t="s">
        <v>144</v>
      </c>
      <c r="B23" s="2" t="s">
        <v>145</v>
      </c>
      <c r="C23" s="2" t="s">
        <v>27</v>
      </c>
    </row>
    <row r="24" spans="1:24" x14ac:dyDescent="0.2">
      <c r="A24" t="s">
        <v>144</v>
      </c>
      <c r="B24" t="s">
        <v>455</v>
      </c>
      <c r="C24" s="3"/>
    </row>
    <row r="25" spans="1:24" x14ac:dyDescent="0.2">
      <c r="A25" t="s">
        <v>144</v>
      </c>
      <c r="B25" t="s">
        <v>456</v>
      </c>
      <c r="C25" s="3"/>
    </row>
    <row r="26" spans="1:24" x14ac:dyDescent="0.2">
      <c r="A26" t="s">
        <v>144</v>
      </c>
      <c r="B26" t="s">
        <v>457</v>
      </c>
      <c r="C26" s="3"/>
    </row>
    <row r="27" spans="1:24" x14ac:dyDescent="0.2">
      <c r="A27" t="s">
        <v>144</v>
      </c>
      <c r="B27" t="s">
        <v>458</v>
      </c>
      <c r="C27" s="3"/>
    </row>
    <row r="28" spans="1:24" x14ac:dyDescent="0.2">
      <c r="A28" t="s">
        <v>144</v>
      </c>
      <c r="B28" t="s">
        <v>459</v>
      </c>
      <c r="C28" s="3"/>
    </row>
    <row r="29" spans="1:24" x14ac:dyDescent="0.2">
      <c r="A29" t="s">
        <v>144</v>
      </c>
      <c r="B29" t="s">
        <v>460</v>
      </c>
      <c r="C29" s="3"/>
    </row>
    <row r="30" spans="1:24" x14ac:dyDescent="0.2">
      <c r="A30" t="s">
        <v>144</v>
      </c>
      <c r="B30" t="s">
        <v>461</v>
      </c>
      <c r="C30" s="3"/>
    </row>
    <row r="31" spans="1:24" x14ac:dyDescent="0.2">
      <c r="A31" t="s">
        <v>144</v>
      </c>
      <c r="B31" t="s">
        <v>462</v>
      </c>
      <c r="C31" s="3"/>
    </row>
    <row r="32" spans="1:24" x14ac:dyDescent="0.2">
      <c r="A32" t="s">
        <v>144</v>
      </c>
      <c r="B32" t="s">
        <v>463</v>
      </c>
      <c r="C32" s="3"/>
    </row>
    <row r="33" spans="1:4" x14ac:dyDescent="0.2">
      <c r="A33" t="s">
        <v>144</v>
      </c>
      <c r="B33" t="s">
        <v>464</v>
      </c>
      <c r="C33" s="3"/>
    </row>
    <row r="34" spans="1:4" x14ac:dyDescent="0.2">
      <c r="A34" t="s">
        <v>144</v>
      </c>
      <c r="B34" t="s">
        <v>465</v>
      </c>
      <c r="C34" s="3"/>
    </row>
    <row r="35" spans="1:4" x14ac:dyDescent="0.2">
      <c r="A35" t="s">
        <v>144</v>
      </c>
      <c r="B35" t="s">
        <v>466</v>
      </c>
      <c r="C35" s="3"/>
    </row>
    <row r="36" spans="1:4" x14ac:dyDescent="0.2">
      <c r="A36" t="s">
        <v>144</v>
      </c>
      <c r="B36" t="s">
        <v>467</v>
      </c>
      <c r="C36" s="3"/>
    </row>
    <row r="37" spans="1:4" x14ac:dyDescent="0.2">
      <c r="A37" t="s">
        <v>144</v>
      </c>
      <c r="B37" t="s">
        <v>468</v>
      </c>
      <c r="C37" s="3"/>
    </row>
    <row r="38" spans="1:4" x14ac:dyDescent="0.2">
      <c r="A38" t="s">
        <v>144</v>
      </c>
      <c r="B38" t="s">
        <v>469</v>
      </c>
      <c r="C38" s="3"/>
    </row>
    <row r="39" spans="1:4" x14ac:dyDescent="0.2">
      <c r="A39" t="s">
        <v>144</v>
      </c>
      <c r="B39" t="s">
        <v>470</v>
      </c>
      <c r="C39" s="3"/>
    </row>
    <row r="40" spans="1:4" x14ac:dyDescent="0.2">
      <c r="A40" t="s">
        <v>144</v>
      </c>
      <c r="B40" t="s">
        <v>471</v>
      </c>
      <c r="C40" s="3"/>
    </row>
    <row r="41" spans="1:4" x14ac:dyDescent="0.2">
      <c r="A41" t="s">
        <v>144</v>
      </c>
      <c r="B41" t="s">
        <v>472</v>
      </c>
      <c r="C41" s="3"/>
    </row>
    <row r="42" spans="1:4" x14ac:dyDescent="0.2">
      <c r="A42" s="2" t="s">
        <v>160</v>
      </c>
      <c r="B42" s="13" t="e">
        <f>COUNTIF(C24:C41,"Yes")/COUNTA(C24:C41)*100&amp;"%"</f>
        <v>#DIV/0!</v>
      </c>
    </row>
    <row r="44" spans="1:4" x14ac:dyDescent="0.2">
      <c r="A44" s="12" t="s">
        <v>473</v>
      </c>
    </row>
    <row r="45" spans="1:4" ht="30" x14ac:dyDescent="0.2">
      <c r="A45" s="4" t="s">
        <v>60</v>
      </c>
      <c r="B45" s="4" t="s">
        <v>474</v>
      </c>
      <c r="C45" s="4" t="s">
        <v>475</v>
      </c>
      <c r="D45" s="4" t="s">
        <v>476</v>
      </c>
    </row>
    <row r="46" spans="1:4" ht="16" x14ac:dyDescent="0.2">
      <c r="A46" s="7" t="s">
        <v>477</v>
      </c>
      <c r="B46" s="7" t="s">
        <v>478</v>
      </c>
      <c r="C46" s="7" t="s">
        <v>479</v>
      </c>
      <c r="D46" s="7" t="s">
        <v>480</v>
      </c>
    </row>
    <row r="47" spans="1:4" ht="16" x14ac:dyDescent="0.2">
      <c r="A47" s="7" t="s">
        <v>481</v>
      </c>
      <c r="B47" s="7" t="s">
        <v>482</v>
      </c>
      <c r="C47" s="7" t="s">
        <v>483</v>
      </c>
      <c r="D47" s="7" t="s">
        <v>14</v>
      </c>
    </row>
    <row r="48" spans="1:4" ht="16" x14ac:dyDescent="0.2">
      <c r="A48" s="7" t="s">
        <v>484</v>
      </c>
      <c r="B48" s="7" t="s">
        <v>485</v>
      </c>
      <c r="C48" s="7" t="s">
        <v>486</v>
      </c>
      <c r="D48" s="7" t="s">
        <v>487</v>
      </c>
    </row>
    <row r="49" spans="1:24" ht="16" x14ac:dyDescent="0.2">
      <c r="A49" s="7" t="s">
        <v>488</v>
      </c>
      <c r="B49" s="7" t="s">
        <v>489</v>
      </c>
      <c r="C49" s="7" t="s">
        <v>490</v>
      </c>
      <c r="D49" s="7" t="s">
        <v>480</v>
      </c>
    </row>
    <row r="50" spans="1:24" ht="16" x14ac:dyDescent="0.2">
      <c r="A50" s="7" t="s">
        <v>491</v>
      </c>
      <c r="B50" s="7" t="s">
        <v>492</v>
      </c>
      <c r="C50" s="7" t="s">
        <v>493</v>
      </c>
      <c r="D50" s="7" t="s">
        <v>14</v>
      </c>
    </row>
    <row r="51" spans="1:24" ht="32" x14ac:dyDescent="0.2">
      <c r="A51" s="7" t="s">
        <v>494</v>
      </c>
      <c r="B51" s="7" t="s">
        <v>495</v>
      </c>
      <c r="C51" s="7" t="s">
        <v>496</v>
      </c>
      <c r="D51" s="7" t="s">
        <v>14</v>
      </c>
    </row>
    <row r="53" spans="1:24" x14ac:dyDescent="0.2">
      <c r="A53" s="23" t="s">
        <v>191</v>
      </c>
      <c r="B53" s="18"/>
      <c r="C53" s="18"/>
      <c r="D53" s="18"/>
      <c r="E53" s="18"/>
      <c r="F53" s="18"/>
      <c r="G53" s="18"/>
      <c r="H53" s="18"/>
      <c r="I53" s="18"/>
      <c r="J53" s="18"/>
      <c r="K53" s="18"/>
      <c r="L53" s="18"/>
      <c r="M53" s="18"/>
      <c r="N53" s="18"/>
      <c r="O53" s="18"/>
      <c r="P53" s="18"/>
      <c r="Q53" s="18"/>
      <c r="R53" s="18"/>
      <c r="S53" s="18"/>
      <c r="T53" s="18"/>
      <c r="U53" s="18"/>
      <c r="V53" s="18"/>
      <c r="W53" s="18"/>
      <c r="X53" s="18"/>
    </row>
    <row r="54" spans="1:24" x14ac:dyDescent="0.2">
      <c r="A54" s="2" t="s">
        <v>192</v>
      </c>
      <c r="B54" s="20"/>
      <c r="C54" s="21"/>
      <c r="D54" s="22"/>
    </row>
    <row r="55" spans="1:24" x14ac:dyDescent="0.2">
      <c r="A55" s="2" t="s">
        <v>193</v>
      </c>
      <c r="B55" s="20"/>
      <c r="C55" s="21"/>
      <c r="D55" s="22"/>
    </row>
    <row r="56" spans="1:24" x14ac:dyDescent="0.2">
      <c r="A56" s="2" t="s">
        <v>194</v>
      </c>
      <c r="B56" s="20"/>
      <c r="C56" s="21"/>
      <c r="D56" s="22"/>
    </row>
    <row r="57" spans="1:24" x14ac:dyDescent="0.2">
      <c r="A57" s="2" t="s">
        <v>195</v>
      </c>
      <c r="B57" s="20"/>
      <c r="C57" s="21"/>
      <c r="D57" s="22"/>
    </row>
    <row r="58" spans="1:24" x14ac:dyDescent="0.2">
      <c r="A58" s="2" t="s">
        <v>196</v>
      </c>
      <c r="B58" s="20"/>
      <c r="C58" s="21"/>
      <c r="D58" s="22"/>
    </row>
    <row r="59" spans="1:24" x14ac:dyDescent="0.2">
      <c r="A59" s="2" t="s">
        <v>197</v>
      </c>
      <c r="B59" s="20"/>
      <c r="C59" s="21"/>
      <c r="D59" s="22"/>
    </row>
    <row r="60" spans="1:24" x14ac:dyDescent="0.2">
      <c r="A60" s="2" t="s">
        <v>198</v>
      </c>
      <c r="B60" s="20"/>
      <c r="C60" s="21"/>
      <c r="D60" s="22"/>
    </row>
    <row r="61" spans="1:24" x14ac:dyDescent="0.2">
      <c r="A61" s="2" t="s">
        <v>199</v>
      </c>
      <c r="B61" s="20"/>
      <c r="C61" s="21"/>
      <c r="D61" s="22"/>
    </row>
    <row r="62" spans="1:24" x14ac:dyDescent="0.2">
      <c r="A62" s="2" t="s">
        <v>200</v>
      </c>
      <c r="B62" s="20"/>
      <c r="C62" s="21"/>
      <c r="D62" s="22"/>
    </row>
    <row r="63" spans="1:24" x14ac:dyDescent="0.2">
      <c r="A63" s="2" t="s">
        <v>201</v>
      </c>
      <c r="B63" s="20"/>
      <c r="C63" s="21"/>
      <c r="D63" s="22"/>
    </row>
    <row r="64" spans="1:24" x14ac:dyDescent="0.2">
      <c r="A64" s="2" t="s">
        <v>202</v>
      </c>
      <c r="B64" s="20"/>
      <c r="C64" s="21"/>
      <c r="D64" s="22"/>
    </row>
    <row r="65" spans="1:24" x14ac:dyDescent="0.2">
      <c r="A65" s="2" t="s">
        <v>203</v>
      </c>
      <c r="B65" s="20"/>
      <c r="C65" s="21"/>
      <c r="D65" s="22"/>
    </row>
    <row r="67" spans="1:24" x14ac:dyDescent="0.2">
      <c r="A67" s="19" t="s">
        <v>204</v>
      </c>
      <c r="B67" s="18"/>
      <c r="C67" s="18"/>
      <c r="D67" s="18"/>
      <c r="E67" s="18"/>
      <c r="F67" s="18"/>
      <c r="G67" s="18"/>
      <c r="H67" s="18"/>
      <c r="I67" s="18"/>
      <c r="J67" s="18"/>
      <c r="K67" s="18"/>
      <c r="L67" s="18"/>
      <c r="M67" s="18"/>
      <c r="N67" s="18"/>
      <c r="O67" s="18"/>
      <c r="P67" s="18"/>
      <c r="Q67" s="18"/>
      <c r="R67" s="18"/>
      <c r="S67" s="18"/>
      <c r="T67" s="18"/>
      <c r="U67" s="18"/>
      <c r="V67" s="18"/>
      <c r="W67" s="18"/>
      <c r="X67" s="18"/>
    </row>
    <row r="68" spans="1:24" x14ac:dyDescent="0.2">
      <c r="A68" s="25"/>
      <c r="B68" s="26"/>
      <c r="C68" s="26"/>
      <c r="D68" s="26"/>
      <c r="E68" s="26"/>
      <c r="F68" s="26"/>
      <c r="G68" s="26"/>
      <c r="H68" s="26"/>
      <c r="I68" s="26"/>
      <c r="J68" s="26"/>
      <c r="K68" s="26"/>
      <c r="L68" s="26"/>
      <c r="M68" s="26"/>
      <c r="N68" s="26"/>
      <c r="O68" s="26"/>
      <c r="P68" s="26"/>
      <c r="Q68" s="26"/>
      <c r="R68" s="26"/>
      <c r="S68" s="26"/>
      <c r="T68" s="26"/>
      <c r="U68" s="26"/>
      <c r="V68" s="26"/>
      <c r="W68" s="26"/>
      <c r="X68" s="27"/>
    </row>
    <row r="69" spans="1:24" x14ac:dyDescent="0.2">
      <c r="A69" s="28"/>
      <c r="B69" s="18"/>
      <c r="C69" s="18"/>
      <c r="D69" s="18"/>
      <c r="E69" s="18"/>
      <c r="F69" s="18"/>
      <c r="G69" s="18"/>
      <c r="H69" s="18"/>
      <c r="I69" s="18"/>
      <c r="J69" s="18"/>
      <c r="K69" s="18"/>
      <c r="L69" s="18"/>
      <c r="M69" s="18"/>
      <c r="N69" s="18"/>
      <c r="O69" s="18"/>
      <c r="P69" s="18"/>
      <c r="Q69" s="18"/>
      <c r="R69" s="18"/>
      <c r="S69" s="18"/>
      <c r="T69" s="18"/>
      <c r="U69" s="18"/>
      <c r="V69" s="18"/>
      <c r="W69" s="18"/>
      <c r="X69" s="29"/>
    </row>
    <row r="70" spans="1:24" x14ac:dyDescent="0.2">
      <c r="A70" s="28"/>
      <c r="B70" s="18"/>
      <c r="C70" s="18"/>
      <c r="D70" s="18"/>
      <c r="E70" s="18"/>
      <c r="F70" s="18"/>
      <c r="G70" s="18"/>
      <c r="H70" s="18"/>
      <c r="I70" s="18"/>
      <c r="J70" s="18"/>
      <c r="K70" s="18"/>
      <c r="L70" s="18"/>
      <c r="M70" s="18"/>
      <c r="N70" s="18"/>
      <c r="O70" s="18"/>
      <c r="P70" s="18"/>
      <c r="Q70" s="18"/>
      <c r="R70" s="18"/>
      <c r="S70" s="18"/>
      <c r="T70" s="18"/>
      <c r="U70" s="18"/>
      <c r="V70" s="18"/>
      <c r="W70" s="18"/>
      <c r="X70" s="29"/>
    </row>
    <row r="71" spans="1:24" x14ac:dyDescent="0.2">
      <c r="A71" s="28"/>
      <c r="B71" s="18"/>
      <c r="C71" s="18"/>
      <c r="D71" s="18"/>
      <c r="E71" s="18"/>
      <c r="F71" s="18"/>
      <c r="G71" s="18"/>
      <c r="H71" s="18"/>
      <c r="I71" s="18"/>
      <c r="J71" s="18"/>
      <c r="K71" s="18"/>
      <c r="L71" s="18"/>
      <c r="M71" s="18"/>
      <c r="N71" s="18"/>
      <c r="O71" s="18"/>
      <c r="P71" s="18"/>
      <c r="Q71" s="18"/>
      <c r="R71" s="18"/>
      <c r="S71" s="18"/>
      <c r="T71" s="18"/>
      <c r="U71" s="18"/>
      <c r="V71" s="18"/>
      <c r="W71" s="18"/>
      <c r="X71" s="29"/>
    </row>
    <row r="72" spans="1:24" x14ac:dyDescent="0.2">
      <c r="A72" s="28"/>
      <c r="B72" s="18"/>
      <c r="C72" s="18"/>
      <c r="D72" s="18"/>
      <c r="E72" s="18"/>
      <c r="F72" s="18"/>
      <c r="G72" s="18"/>
      <c r="H72" s="18"/>
      <c r="I72" s="18"/>
      <c r="J72" s="18"/>
      <c r="K72" s="18"/>
      <c r="L72" s="18"/>
      <c r="M72" s="18"/>
      <c r="N72" s="18"/>
      <c r="O72" s="18"/>
      <c r="P72" s="18"/>
      <c r="Q72" s="18"/>
      <c r="R72" s="18"/>
      <c r="S72" s="18"/>
      <c r="T72" s="18"/>
      <c r="U72" s="18"/>
      <c r="V72" s="18"/>
      <c r="W72" s="18"/>
      <c r="X72" s="29"/>
    </row>
    <row r="73" spans="1:24" x14ac:dyDescent="0.2">
      <c r="A73" s="28"/>
      <c r="B73" s="18"/>
      <c r="C73" s="18"/>
      <c r="D73" s="18"/>
      <c r="E73" s="18"/>
      <c r="F73" s="18"/>
      <c r="G73" s="18"/>
      <c r="H73" s="18"/>
      <c r="I73" s="18"/>
      <c r="J73" s="18"/>
      <c r="K73" s="18"/>
      <c r="L73" s="18"/>
      <c r="M73" s="18"/>
      <c r="N73" s="18"/>
      <c r="O73" s="18"/>
      <c r="P73" s="18"/>
      <c r="Q73" s="18"/>
      <c r="R73" s="18"/>
      <c r="S73" s="18"/>
      <c r="T73" s="18"/>
      <c r="U73" s="18"/>
      <c r="V73" s="18"/>
      <c r="W73" s="18"/>
      <c r="X73" s="29"/>
    </row>
    <row r="74" spans="1:24" x14ac:dyDescent="0.2">
      <c r="A74" s="28"/>
      <c r="B74" s="18"/>
      <c r="C74" s="18"/>
      <c r="D74" s="18"/>
      <c r="E74" s="18"/>
      <c r="F74" s="18"/>
      <c r="G74" s="18"/>
      <c r="H74" s="18"/>
      <c r="I74" s="18"/>
      <c r="J74" s="18"/>
      <c r="K74" s="18"/>
      <c r="L74" s="18"/>
      <c r="M74" s="18"/>
      <c r="N74" s="18"/>
      <c r="O74" s="18"/>
      <c r="P74" s="18"/>
      <c r="Q74" s="18"/>
      <c r="R74" s="18"/>
      <c r="S74" s="18"/>
      <c r="T74" s="18"/>
      <c r="U74" s="18"/>
      <c r="V74" s="18"/>
      <c r="W74" s="18"/>
      <c r="X74" s="29"/>
    </row>
    <row r="75" spans="1:24" x14ac:dyDescent="0.2">
      <c r="A75" s="28"/>
      <c r="B75" s="18"/>
      <c r="C75" s="18"/>
      <c r="D75" s="18"/>
      <c r="E75" s="18"/>
      <c r="F75" s="18"/>
      <c r="G75" s="18"/>
      <c r="H75" s="18"/>
      <c r="I75" s="18"/>
      <c r="J75" s="18"/>
      <c r="K75" s="18"/>
      <c r="L75" s="18"/>
      <c r="M75" s="18"/>
      <c r="N75" s="18"/>
      <c r="O75" s="18"/>
      <c r="P75" s="18"/>
      <c r="Q75" s="18"/>
      <c r="R75" s="18"/>
      <c r="S75" s="18"/>
      <c r="T75" s="18"/>
      <c r="U75" s="18"/>
      <c r="V75" s="18"/>
      <c r="W75" s="18"/>
      <c r="X75" s="29"/>
    </row>
    <row r="76" spans="1:24" x14ac:dyDescent="0.2">
      <c r="A76" s="30"/>
      <c r="B76" s="31"/>
      <c r="C76" s="31"/>
      <c r="D76" s="31"/>
      <c r="E76" s="31"/>
      <c r="F76" s="31"/>
      <c r="G76" s="31"/>
      <c r="H76" s="31"/>
      <c r="I76" s="31"/>
      <c r="J76" s="31"/>
      <c r="K76" s="31"/>
      <c r="L76" s="31"/>
      <c r="M76" s="31"/>
      <c r="N76" s="31"/>
      <c r="O76" s="31"/>
      <c r="P76" s="31"/>
      <c r="Q76" s="31"/>
      <c r="R76" s="31"/>
      <c r="S76" s="31"/>
      <c r="T76" s="31"/>
      <c r="U76" s="31"/>
      <c r="V76" s="31"/>
      <c r="W76" s="31"/>
      <c r="X76" s="32"/>
    </row>
  </sheetData>
  <mergeCells count="17">
    <mergeCell ref="A68:X76"/>
    <mergeCell ref="B56:D56"/>
    <mergeCell ref="B58:D58"/>
    <mergeCell ref="B65:D65"/>
    <mergeCell ref="A1:X1"/>
    <mergeCell ref="B62:D62"/>
    <mergeCell ref="B55:D55"/>
    <mergeCell ref="B54:D54"/>
    <mergeCell ref="B64:D64"/>
    <mergeCell ref="A67:X67"/>
    <mergeCell ref="A3:X3"/>
    <mergeCell ref="B59:D59"/>
    <mergeCell ref="A53:X53"/>
    <mergeCell ref="B60:D60"/>
    <mergeCell ref="B63:D63"/>
    <mergeCell ref="B61:D61"/>
    <mergeCell ref="B57:D57"/>
  </mergeCells>
  <dataValidations count="13">
    <dataValidation type="list" sqref="B8 B9 B10 B11 B12 B13 B14 B15 B16 B17 B18 B19 B20" xr:uid="{00000000-0002-0000-0400-000000000000}">
      <formula1>"Encryption Key,Signing Key,Authentication Key,Certificate,Master Key,Data Encryption Key,Key Encryption Key,Session Key,N/A"</formula1>
    </dataValidation>
    <dataValidation type="list" sqref="C8 C9 C10 C11 C12 C13 C14 C15 C16 C17 C18 C19 C20" xr:uid="{00000000-0002-0000-0400-000001000000}">
      <formula1>"AES-256,AES-128,RSA-4096,RSA-3072,RSA-2048,Ed25519,ECDSA P-256,ECDSA P-384,ChaCha20,Other,N/A"</formula1>
    </dataValidation>
    <dataValidation type="list" sqref="D8 D9 D10 D11 D12 D13 D14 D15 D16 D17 D18 D19 D20" xr:uid="{00000000-0002-0000-0400-000002000000}">
      <formula1>"256,384,512,2048,3072,4096,8192,N/A"</formula1>
    </dataValidation>
    <dataValidation type="list" sqref="E8 E9 E10 E11 E12 E13 E14 E15 E16 E17 E18 E19 E20" xr:uid="{00000000-0002-0000-0400-000003000000}">
      <formula1>"HSM,Cloud KMS,TPM,Software Keystore,File-based,Database,Smart Card,Vault,N/A"</formula1>
    </dataValidation>
    <dataValidation type="list" sqref="F8 F9 F10 F11 F12 F13 F14 F15 F16 F17 F18 F19 F20" xr:uid="{00000000-0002-0000-0400-000004000000}">
      <formula1>"Public,Internal,Confidential,Restricted,N/A"</formula1>
    </dataValidation>
    <dataValidation type="list" sqref="G8 G9 G10 G11 G12 G13 G14 G15 G16 G17 G18 G19 G20" xr:uid="{00000000-0002-0000-0400-000005000000}">
      <formula1>"Active,Suspended,Archived,Destroyed,Pending Rotation,N/A"</formula1>
    </dataValidation>
    <dataValidation type="list" sqref="H8 H9 H10 H11 H12 H13 H14 H15 H16 H17 H18 H19 H20" xr:uid="{00000000-0002-0000-0400-000006000000}">
      <formula1>"✅ Compliant,⚠️ Partial,❌ Non-Compliant,N/A"</formula1>
    </dataValidation>
    <dataValidation type="list" sqref="K8:K20 B54 B56" xr:uid="{00000000-0002-0000-0400-000007000000}">
      <formula1>"Yes,No"</formula1>
    </dataValidation>
    <dataValidation type="list" sqref="Q8 Q9 Q10 Q11 Q12 Q13 Q14 Q15 Q16 Q17 Q18 Q19 Q20" xr:uid="{00000000-0002-0000-0400-000008000000}">
      <formula1>"Yes,No,Unknown"</formula1>
    </dataValidation>
    <dataValidation type="list" sqref="B4" xr:uid="{00000000-0002-0000-0400-000009000000}">
      <formula1>"Yes,No,Not Applicable"</formula1>
    </dataValidation>
    <dataValidation type="list" sqref="C24:C41 S8:S20 X8:X20" xr:uid="{00000000-0002-0000-0400-00000A000000}">
      <formula1>"Yes,No,N/A"</formula1>
    </dataValidation>
    <dataValidation type="list" sqref="R8 R9 R10 R11 R12 R13 R14 R15 R16 R17 R18 R19 R20" xr:uid="{00000000-0002-0000-0400-00000C000000}">
      <formula1>"HSM Backup,KMS Backup,Encrypted File,Key Escrow,Split Knowledge,Cloud Backup,No Backup,N/A"</formula1>
    </dataValidation>
    <dataValidation type="list" sqref="U8 U9 U10 U11 U12 U13 U14 U15 U16 U17 U18 U19 U20" xr:uid="{00000000-0002-0000-0400-00000D000000}">
      <formula1>"Yes,No,Scheduled,N/A"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89"/>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25" customWidth="1"/>
    <col min="20" max="22" width="16" customWidth="1"/>
    <col min="23" max="23" width="20" customWidth="1"/>
    <col min="24" max="24" width="16" customWidth="1"/>
  </cols>
  <sheetData>
    <row r="1" spans="1:24" ht="40" customHeight="1" x14ac:dyDescent="0.2">
      <c r="A1" s="17" t="s">
        <v>497</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4" t="s">
        <v>498</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499</v>
      </c>
      <c r="S6" s="4" t="s">
        <v>500</v>
      </c>
      <c r="T6" s="4" t="s">
        <v>501</v>
      </c>
      <c r="U6" s="4" t="s">
        <v>502</v>
      </c>
      <c r="V6" s="4" t="s">
        <v>503</v>
      </c>
      <c r="W6" s="4" t="s">
        <v>504</v>
      </c>
      <c r="X6" s="4" t="s">
        <v>505</v>
      </c>
    </row>
    <row r="7" spans="1:24" ht="32" x14ac:dyDescent="0.2">
      <c r="A7" s="10" t="s">
        <v>506</v>
      </c>
      <c r="B7" s="10" t="s">
        <v>507</v>
      </c>
      <c r="C7" s="10" t="s">
        <v>508</v>
      </c>
      <c r="D7" s="10" t="s">
        <v>509</v>
      </c>
      <c r="E7" s="10" t="s">
        <v>301</v>
      </c>
      <c r="F7" s="10" t="s">
        <v>98</v>
      </c>
      <c r="G7" s="10" t="s">
        <v>86</v>
      </c>
      <c r="H7" s="10" t="s">
        <v>87</v>
      </c>
      <c r="I7" s="10" t="s">
        <v>510</v>
      </c>
      <c r="J7" s="10" t="s">
        <v>89</v>
      </c>
      <c r="K7" s="10" t="s">
        <v>90</v>
      </c>
      <c r="L7" s="10" t="s">
        <v>38</v>
      </c>
      <c r="M7" s="10" t="s">
        <v>38</v>
      </c>
      <c r="N7" s="10" t="s">
        <v>38</v>
      </c>
      <c r="O7" s="10" t="s">
        <v>38</v>
      </c>
      <c r="P7" s="10" t="s">
        <v>38</v>
      </c>
      <c r="Q7" s="10" t="s">
        <v>90</v>
      </c>
      <c r="R7" s="10" t="s">
        <v>511</v>
      </c>
      <c r="S7" s="10" t="s">
        <v>512</v>
      </c>
      <c r="T7" s="10" t="s">
        <v>513</v>
      </c>
      <c r="U7" s="10" t="s">
        <v>514</v>
      </c>
      <c r="V7" s="10" t="s">
        <v>92</v>
      </c>
      <c r="W7" s="10" t="s">
        <v>515</v>
      </c>
      <c r="X7" s="10" t="s">
        <v>92</v>
      </c>
    </row>
    <row r="8" spans="1:24" ht="16" x14ac:dyDescent="0.2">
      <c r="A8" s="11" t="s">
        <v>516</v>
      </c>
      <c r="B8" s="11" t="s">
        <v>517</v>
      </c>
      <c r="C8" s="11" t="s">
        <v>518</v>
      </c>
      <c r="D8" s="11" t="s">
        <v>519</v>
      </c>
      <c r="E8" s="11" t="s">
        <v>520</v>
      </c>
      <c r="F8" s="11" t="s">
        <v>98</v>
      </c>
      <c r="G8" s="11" t="s">
        <v>86</v>
      </c>
      <c r="H8" s="11" t="s">
        <v>87</v>
      </c>
      <c r="I8" s="11" t="s">
        <v>521</v>
      </c>
      <c r="J8" s="11"/>
      <c r="K8" s="11" t="s">
        <v>90</v>
      </c>
      <c r="L8" s="11"/>
      <c r="M8" s="11"/>
      <c r="N8" s="11"/>
      <c r="O8" s="11"/>
      <c r="P8" s="11"/>
      <c r="Q8" s="11"/>
      <c r="R8" s="11"/>
      <c r="S8" s="11"/>
      <c r="T8" s="11"/>
      <c r="U8" s="11"/>
      <c r="V8" s="11"/>
      <c r="W8" s="11"/>
      <c r="X8" s="11"/>
    </row>
    <row r="9" spans="1:24" ht="16" x14ac:dyDescent="0.2">
      <c r="A9" s="11" t="s">
        <v>522</v>
      </c>
      <c r="B9" s="11" t="s">
        <v>523</v>
      </c>
      <c r="C9" s="11" t="s">
        <v>95</v>
      </c>
      <c r="D9" s="11" t="s">
        <v>254</v>
      </c>
      <c r="E9" s="11" t="s">
        <v>524</v>
      </c>
      <c r="F9" s="11" t="s">
        <v>116</v>
      </c>
      <c r="G9" s="11" t="s">
        <v>86</v>
      </c>
      <c r="H9" s="11" t="s">
        <v>87</v>
      </c>
      <c r="I9" s="11" t="s">
        <v>525</v>
      </c>
      <c r="J9" s="11"/>
      <c r="K9" s="11" t="s">
        <v>90</v>
      </c>
      <c r="L9" s="11"/>
      <c r="M9" s="11"/>
      <c r="N9" s="11"/>
      <c r="O9" s="11"/>
      <c r="P9" s="11"/>
      <c r="Q9" s="11"/>
      <c r="R9" s="11"/>
      <c r="S9" s="11"/>
      <c r="T9" s="11"/>
      <c r="U9" s="11"/>
      <c r="V9" s="11"/>
      <c r="W9" s="11"/>
      <c r="X9" s="11"/>
    </row>
    <row r="10" spans="1:24" ht="16" x14ac:dyDescent="0.2">
      <c r="A10" s="11" t="s">
        <v>526</v>
      </c>
      <c r="B10" s="11" t="s">
        <v>527</v>
      </c>
      <c r="C10" s="11" t="s">
        <v>518</v>
      </c>
      <c r="D10" s="11" t="s">
        <v>519</v>
      </c>
      <c r="E10" s="11" t="s">
        <v>528</v>
      </c>
      <c r="F10" s="11" t="s">
        <v>116</v>
      </c>
      <c r="G10" s="11" t="s">
        <v>86</v>
      </c>
      <c r="H10" s="11" t="s">
        <v>87</v>
      </c>
      <c r="I10" s="11" t="s">
        <v>529</v>
      </c>
      <c r="J10" s="11"/>
      <c r="K10" s="11" t="s">
        <v>90</v>
      </c>
      <c r="L10" s="11"/>
      <c r="M10" s="11"/>
      <c r="N10" s="11"/>
      <c r="O10" s="11"/>
      <c r="P10" s="11"/>
      <c r="Q10" s="11"/>
      <c r="R10" s="11"/>
      <c r="S10" s="11"/>
      <c r="T10" s="11"/>
      <c r="U10" s="11"/>
      <c r="V10" s="11"/>
      <c r="W10" s="11"/>
      <c r="X10" s="11"/>
    </row>
    <row r="11" spans="1:24" ht="16" x14ac:dyDescent="0.2">
      <c r="A11" s="11" t="s">
        <v>530</v>
      </c>
      <c r="B11" s="11" t="s">
        <v>242</v>
      </c>
      <c r="C11" s="11" t="s">
        <v>95</v>
      </c>
      <c r="D11" s="11" t="s">
        <v>96</v>
      </c>
      <c r="E11" s="11" t="s">
        <v>531</v>
      </c>
      <c r="F11" s="11" t="s">
        <v>85</v>
      </c>
      <c r="G11" s="11" t="s">
        <v>86</v>
      </c>
      <c r="H11" s="11" t="s">
        <v>87</v>
      </c>
      <c r="I11" s="11" t="s">
        <v>532</v>
      </c>
      <c r="J11" s="11"/>
      <c r="K11" s="11" t="s">
        <v>90</v>
      </c>
      <c r="L11" s="11"/>
      <c r="M11" s="11"/>
      <c r="N11" s="11"/>
      <c r="O11" s="11"/>
      <c r="P11" s="11"/>
      <c r="Q11" s="11"/>
      <c r="R11" s="11"/>
      <c r="S11" s="11"/>
      <c r="T11" s="11"/>
      <c r="U11" s="11"/>
      <c r="V11" s="11"/>
      <c r="W11" s="11"/>
      <c r="X11" s="11"/>
    </row>
    <row r="12" spans="1:24" ht="16" x14ac:dyDescent="0.2">
      <c r="A12" s="11" t="s">
        <v>533</v>
      </c>
      <c r="B12" s="11" t="s">
        <v>534</v>
      </c>
      <c r="C12" s="11" t="s">
        <v>95</v>
      </c>
      <c r="D12" s="11" t="s">
        <v>254</v>
      </c>
      <c r="E12" s="11" t="s">
        <v>535</v>
      </c>
      <c r="F12" s="11" t="s">
        <v>116</v>
      </c>
      <c r="G12" s="11" t="s">
        <v>86</v>
      </c>
      <c r="H12" s="11" t="s">
        <v>249</v>
      </c>
      <c r="I12" s="11" t="s">
        <v>536</v>
      </c>
      <c r="J12" s="11" t="s">
        <v>537</v>
      </c>
      <c r="K12" s="11" t="s">
        <v>92</v>
      </c>
      <c r="L12" s="11"/>
      <c r="M12" s="11"/>
      <c r="N12" s="11"/>
      <c r="O12" s="11"/>
      <c r="P12" s="11"/>
      <c r="Q12" s="11"/>
      <c r="R12" s="11"/>
      <c r="S12" s="11"/>
      <c r="T12" s="11"/>
      <c r="U12" s="11"/>
      <c r="V12" s="11"/>
      <c r="W12" s="11"/>
      <c r="X12" s="11"/>
    </row>
    <row r="13" spans="1:24" ht="16" x14ac:dyDescent="0.2">
      <c r="A13" s="11" t="s">
        <v>538</v>
      </c>
      <c r="B13" s="11" t="s">
        <v>539</v>
      </c>
      <c r="C13" s="11" t="s">
        <v>518</v>
      </c>
      <c r="D13" s="11" t="s">
        <v>519</v>
      </c>
      <c r="E13" s="11" t="s">
        <v>540</v>
      </c>
      <c r="F13" s="11" t="s">
        <v>116</v>
      </c>
      <c r="G13" s="11" t="s">
        <v>86</v>
      </c>
      <c r="H13" s="11" t="s">
        <v>87</v>
      </c>
      <c r="I13" s="11" t="s">
        <v>541</v>
      </c>
      <c r="J13" s="11"/>
      <c r="K13" s="11" t="s">
        <v>90</v>
      </c>
      <c r="L13" s="11"/>
      <c r="M13" s="11"/>
      <c r="N13" s="11"/>
      <c r="O13" s="11"/>
      <c r="P13" s="11"/>
      <c r="Q13" s="11"/>
      <c r="R13" s="11"/>
      <c r="S13" s="11"/>
      <c r="T13" s="11"/>
      <c r="U13" s="11"/>
      <c r="V13" s="11"/>
      <c r="W13" s="11"/>
      <c r="X13" s="11"/>
    </row>
    <row r="14" spans="1:24" ht="16" x14ac:dyDescent="0.2">
      <c r="A14" s="11" t="s">
        <v>542</v>
      </c>
      <c r="B14" s="11" t="s">
        <v>543</v>
      </c>
      <c r="C14" s="11" t="s">
        <v>340</v>
      </c>
      <c r="D14" s="11" t="s">
        <v>103</v>
      </c>
      <c r="E14" s="11" t="s">
        <v>544</v>
      </c>
      <c r="F14" s="11" t="s">
        <v>116</v>
      </c>
      <c r="G14" s="11" t="s">
        <v>86</v>
      </c>
      <c r="H14" s="11" t="s">
        <v>87</v>
      </c>
      <c r="I14" s="11" t="s">
        <v>545</v>
      </c>
      <c r="J14" s="11"/>
      <c r="K14" s="11" t="s">
        <v>90</v>
      </c>
      <c r="L14" s="11"/>
      <c r="M14" s="11"/>
      <c r="N14" s="11"/>
      <c r="O14" s="11"/>
      <c r="P14" s="11"/>
      <c r="Q14" s="11"/>
      <c r="R14" s="11"/>
      <c r="S14" s="11"/>
      <c r="T14" s="11"/>
      <c r="U14" s="11"/>
      <c r="V14" s="11"/>
      <c r="W14" s="11"/>
      <c r="X14" s="11"/>
    </row>
    <row r="15" spans="1:24" ht="32" x14ac:dyDescent="0.2">
      <c r="A15" s="11" t="s">
        <v>546</v>
      </c>
      <c r="B15" s="11" t="s">
        <v>547</v>
      </c>
      <c r="C15" s="11" t="s">
        <v>38</v>
      </c>
      <c r="D15" s="11" t="s">
        <v>38</v>
      </c>
      <c r="E15" s="11" t="s">
        <v>548</v>
      </c>
      <c r="F15" s="11" t="s">
        <v>38</v>
      </c>
      <c r="G15" s="11" t="s">
        <v>86</v>
      </c>
      <c r="H15" s="11" t="s">
        <v>87</v>
      </c>
      <c r="I15" s="11" t="s">
        <v>549</v>
      </c>
      <c r="J15" s="11"/>
      <c r="K15" s="11" t="s">
        <v>90</v>
      </c>
      <c r="L15" s="11"/>
      <c r="M15" s="11"/>
      <c r="N15" s="11"/>
      <c r="O15" s="11"/>
      <c r="P15" s="11"/>
      <c r="Q15" s="11"/>
      <c r="R15" s="11"/>
      <c r="S15" s="11"/>
      <c r="T15" s="11"/>
      <c r="U15" s="11"/>
      <c r="V15" s="11"/>
      <c r="W15" s="11"/>
      <c r="X15" s="11"/>
    </row>
    <row r="16" spans="1:24" ht="32" x14ac:dyDescent="0.2">
      <c r="A16" s="11" t="s">
        <v>550</v>
      </c>
      <c r="B16" s="11" t="s">
        <v>551</v>
      </c>
      <c r="C16" s="11" t="s">
        <v>95</v>
      </c>
      <c r="D16" s="11" t="s">
        <v>552</v>
      </c>
      <c r="E16" s="11" t="s">
        <v>553</v>
      </c>
      <c r="F16" s="11" t="s">
        <v>116</v>
      </c>
      <c r="G16" s="11" t="s">
        <v>131</v>
      </c>
      <c r="H16" s="11" t="s">
        <v>132</v>
      </c>
      <c r="I16" s="11" t="s">
        <v>554</v>
      </c>
      <c r="J16" s="11" t="s">
        <v>555</v>
      </c>
      <c r="K16" s="11" t="s">
        <v>92</v>
      </c>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556</v>
      </c>
    </row>
    <row r="23" spans="1:24" x14ac:dyDescent="0.2">
      <c r="A23" s="2" t="s">
        <v>144</v>
      </c>
      <c r="B23" s="2" t="s">
        <v>145</v>
      </c>
      <c r="C23" s="2" t="s">
        <v>27</v>
      </c>
    </row>
    <row r="24" spans="1:24" x14ac:dyDescent="0.2">
      <c r="A24" t="s">
        <v>144</v>
      </c>
      <c r="B24" t="s">
        <v>557</v>
      </c>
      <c r="C24" s="3"/>
    </row>
    <row r="25" spans="1:24" x14ac:dyDescent="0.2">
      <c r="A25" t="s">
        <v>144</v>
      </c>
      <c r="B25" t="s">
        <v>558</v>
      </c>
      <c r="C25" s="3"/>
    </row>
    <row r="26" spans="1:24" x14ac:dyDescent="0.2">
      <c r="A26" t="s">
        <v>144</v>
      </c>
      <c r="B26" t="s">
        <v>559</v>
      </c>
      <c r="C26" s="3"/>
    </row>
    <row r="27" spans="1:24" x14ac:dyDescent="0.2">
      <c r="A27" t="s">
        <v>144</v>
      </c>
      <c r="B27" t="s">
        <v>560</v>
      </c>
      <c r="C27" s="3"/>
    </row>
    <row r="28" spans="1:24" x14ac:dyDescent="0.2">
      <c r="A28" t="s">
        <v>144</v>
      </c>
      <c r="B28" t="s">
        <v>561</v>
      </c>
      <c r="C28" s="3"/>
    </row>
    <row r="29" spans="1:24" x14ac:dyDescent="0.2">
      <c r="A29" t="s">
        <v>144</v>
      </c>
      <c r="B29" t="s">
        <v>562</v>
      </c>
      <c r="C29" s="3"/>
    </row>
    <row r="30" spans="1:24" x14ac:dyDescent="0.2">
      <c r="A30" t="s">
        <v>144</v>
      </c>
      <c r="B30" t="s">
        <v>563</v>
      </c>
      <c r="C30" s="3"/>
    </row>
    <row r="31" spans="1:24" x14ac:dyDescent="0.2">
      <c r="A31" t="s">
        <v>144</v>
      </c>
      <c r="B31" t="s">
        <v>564</v>
      </c>
      <c r="C31" s="3"/>
    </row>
    <row r="32" spans="1:24" x14ac:dyDescent="0.2">
      <c r="A32" t="s">
        <v>144</v>
      </c>
      <c r="B32" t="s">
        <v>565</v>
      </c>
      <c r="C32" s="3"/>
    </row>
    <row r="33" spans="1:4" x14ac:dyDescent="0.2">
      <c r="A33" t="s">
        <v>144</v>
      </c>
      <c r="B33" t="s">
        <v>566</v>
      </c>
      <c r="C33" s="3"/>
    </row>
    <row r="34" spans="1:4" x14ac:dyDescent="0.2">
      <c r="A34" t="s">
        <v>144</v>
      </c>
      <c r="B34" t="s">
        <v>567</v>
      </c>
      <c r="C34" s="3"/>
    </row>
    <row r="35" spans="1:4" x14ac:dyDescent="0.2">
      <c r="A35" t="s">
        <v>144</v>
      </c>
      <c r="B35" t="s">
        <v>568</v>
      </c>
      <c r="C35" s="3"/>
    </row>
    <row r="36" spans="1:4" x14ac:dyDescent="0.2">
      <c r="A36" t="s">
        <v>144</v>
      </c>
      <c r="B36" t="s">
        <v>569</v>
      </c>
      <c r="C36" s="3"/>
    </row>
    <row r="37" spans="1:4" x14ac:dyDescent="0.2">
      <c r="A37" t="s">
        <v>144</v>
      </c>
      <c r="B37" t="s">
        <v>570</v>
      </c>
      <c r="C37" s="3"/>
    </row>
    <row r="38" spans="1:4" x14ac:dyDescent="0.2">
      <c r="A38" t="s">
        <v>144</v>
      </c>
      <c r="B38" t="s">
        <v>571</v>
      </c>
      <c r="C38" s="3"/>
    </row>
    <row r="39" spans="1:4" x14ac:dyDescent="0.2">
      <c r="A39" t="s">
        <v>144</v>
      </c>
      <c r="B39" t="s">
        <v>572</v>
      </c>
      <c r="C39" s="3"/>
    </row>
    <row r="40" spans="1:4" x14ac:dyDescent="0.2">
      <c r="A40" t="s">
        <v>144</v>
      </c>
      <c r="B40" t="s">
        <v>573</v>
      </c>
      <c r="C40" s="3"/>
    </row>
    <row r="41" spans="1:4" x14ac:dyDescent="0.2">
      <c r="A41" t="s">
        <v>144</v>
      </c>
      <c r="B41" t="s">
        <v>574</v>
      </c>
      <c r="C41" s="3"/>
    </row>
    <row r="42" spans="1:4" x14ac:dyDescent="0.2">
      <c r="A42" t="s">
        <v>144</v>
      </c>
      <c r="B42" t="s">
        <v>575</v>
      </c>
      <c r="C42" s="3"/>
    </row>
    <row r="43" spans="1:4" x14ac:dyDescent="0.2">
      <c r="A43" t="s">
        <v>144</v>
      </c>
      <c r="B43" t="s">
        <v>576</v>
      </c>
      <c r="C43" s="3"/>
    </row>
    <row r="44" spans="1:4" x14ac:dyDescent="0.2">
      <c r="A44" s="2" t="s">
        <v>160</v>
      </c>
      <c r="B44" s="13" t="e">
        <f>COUNTIF(C24:C43,"Yes")/COUNTA(C24:C43)*100&amp;"%"</f>
        <v>#DIV/0!</v>
      </c>
    </row>
    <row r="46" spans="1:4" x14ac:dyDescent="0.2">
      <c r="A46" s="12" t="s">
        <v>577</v>
      </c>
    </row>
    <row r="47" spans="1:4" x14ac:dyDescent="0.2">
      <c r="A47" s="4" t="s">
        <v>499</v>
      </c>
      <c r="B47" s="4" t="s">
        <v>578</v>
      </c>
      <c r="C47" s="4" t="s">
        <v>579</v>
      </c>
      <c r="D47" s="4" t="s">
        <v>580</v>
      </c>
    </row>
    <row r="48" spans="1:4" ht="32" x14ac:dyDescent="0.2">
      <c r="A48" s="7" t="s">
        <v>581</v>
      </c>
      <c r="B48" s="7" t="s">
        <v>582</v>
      </c>
      <c r="C48" s="7" t="s">
        <v>325</v>
      </c>
      <c r="D48" s="7" t="s">
        <v>583</v>
      </c>
    </row>
    <row r="49" spans="1:4" ht="32" x14ac:dyDescent="0.2">
      <c r="A49" s="7" t="s">
        <v>584</v>
      </c>
      <c r="B49" s="7" t="s">
        <v>386</v>
      </c>
      <c r="C49" s="7" t="s">
        <v>382</v>
      </c>
      <c r="D49" s="7" t="s">
        <v>585</v>
      </c>
    </row>
    <row r="50" spans="1:4" ht="32" x14ac:dyDescent="0.2">
      <c r="A50" s="7" t="s">
        <v>586</v>
      </c>
      <c r="B50" s="7" t="s">
        <v>587</v>
      </c>
      <c r="C50" s="7" t="s">
        <v>382</v>
      </c>
      <c r="D50" s="7" t="s">
        <v>588</v>
      </c>
    </row>
    <row r="51" spans="1:4" ht="32" x14ac:dyDescent="0.2">
      <c r="A51" s="7" t="s">
        <v>589</v>
      </c>
      <c r="B51" s="7" t="s">
        <v>386</v>
      </c>
      <c r="C51" s="7" t="s">
        <v>382</v>
      </c>
      <c r="D51" s="7" t="s">
        <v>590</v>
      </c>
    </row>
    <row r="52" spans="1:4" ht="16" x14ac:dyDescent="0.2">
      <c r="A52" s="7" t="s">
        <v>591</v>
      </c>
      <c r="B52" s="7" t="s">
        <v>386</v>
      </c>
      <c r="C52" s="7" t="s">
        <v>382</v>
      </c>
      <c r="D52" s="7" t="s">
        <v>592</v>
      </c>
    </row>
    <row r="53" spans="1:4" ht="32" x14ac:dyDescent="0.2">
      <c r="A53" s="7" t="s">
        <v>593</v>
      </c>
      <c r="B53" s="7" t="s">
        <v>594</v>
      </c>
      <c r="C53" s="7" t="s">
        <v>595</v>
      </c>
      <c r="D53" s="7" t="s">
        <v>596</v>
      </c>
    </row>
    <row r="54" spans="1:4" ht="32" x14ac:dyDescent="0.2">
      <c r="A54" s="7" t="s">
        <v>597</v>
      </c>
      <c r="B54" s="7" t="s">
        <v>595</v>
      </c>
      <c r="C54" s="7" t="s">
        <v>598</v>
      </c>
      <c r="D54" s="7" t="s">
        <v>596</v>
      </c>
    </row>
    <row r="56" spans="1:4" x14ac:dyDescent="0.2">
      <c r="A56" s="12" t="s">
        <v>599</v>
      </c>
    </row>
    <row r="57" spans="1:4" ht="30" x14ac:dyDescent="0.2">
      <c r="A57" s="4" t="s">
        <v>600</v>
      </c>
      <c r="B57" s="4" t="s">
        <v>601</v>
      </c>
      <c r="C57" s="4" t="s">
        <v>602</v>
      </c>
      <c r="D57" s="4" t="s">
        <v>603</v>
      </c>
    </row>
    <row r="58" spans="1:4" ht="32" x14ac:dyDescent="0.2">
      <c r="A58" s="7" t="s">
        <v>604</v>
      </c>
      <c r="B58" s="7" t="s">
        <v>605</v>
      </c>
      <c r="C58" s="7" t="s">
        <v>606</v>
      </c>
      <c r="D58" s="7" t="s">
        <v>607</v>
      </c>
    </row>
    <row r="59" spans="1:4" ht="32" x14ac:dyDescent="0.2">
      <c r="A59" s="7" t="s">
        <v>608</v>
      </c>
      <c r="B59" s="7" t="s">
        <v>609</v>
      </c>
      <c r="C59" s="7" t="s">
        <v>610</v>
      </c>
      <c r="D59" s="7" t="s">
        <v>611</v>
      </c>
    </row>
    <row r="60" spans="1:4" ht="32" x14ac:dyDescent="0.2">
      <c r="A60" s="7" t="s">
        <v>612</v>
      </c>
      <c r="B60" s="7" t="s">
        <v>613</v>
      </c>
      <c r="C60" s="7" t="s">
        <v>614</v>
      </c>
      <c r="D60" s="7" t="s">
        <v>615</v>
      </c>
    </row>
    <row r="61" spans="1:4" ht="32" x14ac:dyDescent="0.2">
      <c r="A61" s="7" t="s">
        <v>616</v>
      </c>
      <c r="B61" s="7" t="s">
        <v>617</v>
      </c>
      <c r="C61" s="7" t="s">
        <v>618</v>
      </c>
      <c r="D61" s="7" t="s">
        <v>549</v>
      </c>
    </row>
    <row r="62" spans="1:4" ht="32" x14ac:dyDescent="0.2">
      <c r="A62" s="7" t="s">
        <v>619</v>
      </c>
      <c r="B62" s="7" t="s">
        <v>620</v>
      </c>
      <c r="C62" s="7" t="s">
        <v>606</v>
      </c>
      <c r="D62" s="7" t="s">
        <v>621</v>
      </c>
    </row>
    <row r="63" spans="1:4" ht="32" x14ac:dyDescent="0.2">
      <c r="A63" s="7" t="s">
        <v>622</v>
      </c>
      <c r="B63" s="7" t="s">
        <v>623</v>
      </c>
      <c r="C63" s="7" t="s">
        <v>610</v>
      </c>
      <c r="D63" s="7" t="s">
        <v>624</v>
      </c>
    </row>
    <row r="64" spans="1:4" ht="32" x14ac:dyDescent="0.2">
      <c r="A64" s="7" t="s">
        <v>625</v>
      </c>
      <c r="B64" s="7" t="s">
        <v>626</v>
      </c>
      <c r="C64" s="7" t="s">
        <v>618</v>
      </c>
      <c r="D64" s="7" t="s">
        <v>627</v>
      </c>
    </row>
    <row r="66" spans="1:24" x14ac:dyDescent="0.2">
      <c r="A66" s="23" t="s">
        <v>191</v>
      </c>
      <c r="B66" s="18"/>
      <c r="C66" s="18"/>
      <c r="D66" s="18"/>
      <c r="E66" s="18"/>
      <c r="F66" s="18"/>
      <c r="G66" s="18"/>
      <c r="H66" s="18"/>
      <c r="I66" s="18"/>
      <c r="J66" s="18"/>
      <c r="K66" s="18"/>
      <c r="L66" s="18"/>
      <c r="M66" s="18"/>
      <c r="N66" s="18"/>
      <c r="O66" s="18"/>
      <c r="P66" s="18"/>
      <c r="Q66" s="18"/>
      <c r="R66" s="18"/>
      <c r="S66" s="18"/>
      <c r="T66" s="18"/>
      <c r="U66" s="18"/>
      <c r="V66" s="18"/>
      <c r="W66" s="18"/>
      <c r="X66" s="18"/>
    </row>
    <row r="67" spans="1:24" x14ac:dyDescent="0.2">
      <c r="A67" s="2" t="s">
        <v>192</v>
      </c>
      <c r="B67" s="20"/>
      <c r="C67" s="21"/>
      <c r="D67" s="22"/>
    </row>
    <row r="68" spans="1:24" x14ac:dyDescent="0.2">
      <c r="A68" s="2" t="s">
        <v>193</v>
      </c>
      <c r="B68" s="20"/>
      <c r="C68" s="21"/>
      <c r="D68" s="22"/>
    </row>
    <row r="69" spans="1:24" x14ac:dyDescent="0.2">
      <c r="A69" s="2" t="s">
        <v>194</v>
      </c>
      <c r="B69" s="20"/>
      <c r="C69" s="21"/>
      <c r="D69" s="22"/>
    </row>
    <row r="70" spans="1:24" x14ac:dyDescent="0.2">
      <c r="A70" s="2" t="s">
        <v>195</v>
      </c>
      <c r="B70" s="20"/>
      <c r="C70" s="21"/>
      <c r="D70" s="22"/>
    </row>
    <row r="71" spans="1:24" x14ac:dyDescent="0.2">
      <c r="A71" s="2" t="s">
        <v>196</v>
      </c>
      <c r="B71" s="20"/>
      <c r="C71" s="21"/>
      <c r="D71" s="22"/>
    </row>
    <row r="72" spans="1:24" x14ac:dyDescent="0.2">
      <c r="A72" s="2" t="s">
        <v>197</v>
      </c>
      <c r="B72" s="20"/>
      <c r="C72" s="21"/>
      <c r="D72" s="22"/>
    </row>
    <row r="73" spans="1:24" x14ac:dyDescent="0.2">
      <c r="A73" s="2" t="s">
        <v>198</v>
      </c>
      <c r="B73" s="20"/>
      <c r="C73" s="21"/>
      <c r="D73" s="22"/>
    </row>
    <row r="74" spans="1:24" x14ac:dyDescent="0.2">
      <c r="A74" s="2" t="s">
        <v>199</v>
      </c>
      <c r="B74" s="20"/>
      <c r="C74" s="21"/>
      <c r="D74" s="22"/>
    </row>
    <row r="75" spans="1:24" x14ac:dyDescent="0.2">
      <c r="A75" s="2" t="s">
        <v>200</v>
      </c>
      <c r="B75" s="20"/>
      <c r="C75" s="21"/>
      <c r="D75" s="22"/>
    </row>
    <row r="76" spans="1:24" x14ac:dyDescent="0.2">
      <c r="A76" s="2" t="s">
        <v>201</v>
      </c>
      <c r="B76" s="20"/>
      <c r="C76" s="21"/>
      <c r="D76" s="22"/>
    </row>
    <row r="77" spans="1:24" x14ac:dyDescent="0.2">
      <c r="A77" s="2" t="s">
        <v>202</v>
      </c>
      <c r="B77" s="20"/>
      <c r="C77" s="21"/>
      <c r="D77" s="22"/>
    </row>
    <row r="78" spans="1:24" x14ac:dyDescent="0.2">
      <c r="A78" s="2" t="s">
        <v>203</v>
      </c>
      <c r="B78" s="20"/>
      <c r="C78" s="21"/>
      <c r="D78" s="22"/>
    </row>
    <row r="80" spans="1:24" x14ac:dyDescent="0.2">
      <c r="A80" s="19" t="s">
        <v>204</v>
      </c>
      <c r="B80" s="18"/>
      <c r="C80" s="18"/>
      <c r="D80" s="18"/>
      <c r="E80" s="18"/>
      <c r="F80" s="18"/>
      <c r="G80" s="18"/>
      <c r="H80" s="18"/>
      <c r="I80" s="18"/>
      <c r="J80" s="18"/>
      <c r="K80" s="18"/>
      <c r="L80" s="18"/>
      <c r="M80" s="18"/>
      <c r="N80" s="18"/>
      <c r="O80" s="18"/>
      <c r="P80" s="18"/>
      <c r="Q80" s="18"/>
      <c r="R80" s="18"/>
      <c r="S80" s="18"/>
      <c r="T80" s="18"/>
      <c r="U80" s="18"/>
      <c r="V80" s="18"/>
      <c r="W80" s="18"/>
      <c r="X80" s="18"/>
    </row>
    <row r="81" spans="1:24" x14ac:dyDescent="0.2">
      <c r="A81" s="25"/>
      <c r="B81" s="26"/>
      <c r="C81" s="26"/>
      <c r="D81" s="26"/>
      <c r="E81" s="26"/>
      <c r="F81" s="26"/>
      <c r="G81" s="26"/>
      <c r="H81" s="26"/>
      <c r="I81" s="26"/>
      <c r="J81" s="26"/>
      <c r="K81" s="26"/>
      <c r="L81" s="26"/>
      <c r="M81" s="26"/>
      <c r="N81" s="26"/>
      <c r="O81" s="26"/>
      <c r="P81" s="26"/>
      <c r="Q81" s="26"/>
      <c r="R81" s="26"/>
      <c r="S81" s="26"/>
      <c r="T81" s="26"/>
      <c r="U81" s="26"/>
      <c r="V81" s="26"/>
      <c r="W81" s="26"/>
      <c r="X81" s="27"/>
    </row>
    <row r="82" spans="1:24" x14ac:dyDescent="0.2">
      <c r="A82" s="28"/>
      <c r="B82" s="18"/>
      <c r="C82" s="18"/>
      <c r="D82" s="18"/>
      <c r="E82" s="18"/>
      <c r="F82" s="18"/>
      <c r="G82" s="18"/>
      <c r="H82" s="18"/>
      <c r="I82" s="18"/>
      <c r="J82" s="18"/>
      <c r="K82" s="18"/>
      <c r="L82" s="18"/>
      <c r="M82" s="18"/>
      <c r="N82" s="18"/>
      <c r="O82" s="18"/>
      <c r="P82" s="18"/>
      <c r="Q82" s="18"/>
      <c r="R82" s="18"/>
      <c r="S82" s="18"/>
      <c r="T82" s="18"/>
      <c r="U82" s="18"/>
      <c r="V82" s="18"/>
      <c r="W82" s="18"/>
      <c r="X82" s="29"/>
    </row>
    <row r="83" spans="1:24" x14ac:dyDescent="0.2">
      <c r="A83" s="28"/>
      <c r="B83" s="18"/>
      <c r="C83" s="18"/>
      <c r="D83" s="18"/>
      <c r="E83" s="18"/>
      <c r="F83" s="18"/>
      <c r="G83" s="18"/>
      <c r="H83" s="18"/>
      <c r="I83" s="18"/>
      <c r="J83" s="18"/>
      <c r="K83" s="18"/>
      <c r="L83" s="18"/>
      <c r="M83" s="18"/>
      <c r="N83" s="18"/>
      <c r="O83" s="18"/>
      <c r="P83" s="18"/>
      <c r="Q83" s="18"/>
      <c r="R83" s="18"/>
      <c r="S83" s="18"/>
      <c r="T83" s="18"/>
      <c r="U83" s="18"/>
      <c r="V83" s="18"/>
      <c r="W83" s="18"/>
      <c r="X83" s="29"/>
    </row>
    <row r="84" spans="1:24" x14ac:dyDescent="0.2">
      <c r="A84" s="28"/>
      <c r="B84" s="18"/>
      <c r="C84" s="18"/>
      <c r="D84" s="18"/>
      <c r="E84" s="18"/>
      <c r="F84" s="18"/>
      <c r="G84" s="18"/>
      <c r="H84" s="18"/>
      <c r="I84" s="18"/>
      <c r="J84" s="18"/>
      <c r="K84" s="18"/>
      <c r="L84" s="18"/>
      <c r="M84" s="18"/>
      <c r="N84" s="18"/>
      <c r="O84" s="18"/>
      <c r="P84" s="18"/>
      <c r="Q84" s="18"/>
      <c r="R84" s="18"/>
      <c r="S84" s="18"/>
      <c r="T84" s="18"/>
      <c r="U84" s="18"/>
      <c r="V84" s="18"/>
      <c r="W84" s="18"/>
      <c r="X84" s="29"/>
    </row>
    <row r="85" spans="1:24" x14ac:dyDescent="0.2">
      <c r="A85" s="28"/>
      <c r="B85" s="18"/>
      <c r="C85" s="18"/>
      <c r="D85" s="18"/>
      <c r="E85" s="18"/>
      <c r="F85" s="18"/>
      <c r="G85" s="18"/>
      <c r="H85" s="18"/>
      <c r="I85" s="18"/>
      <c r="J85" s="18"/>
      <c r="K85" s="18"/>
      <c r="L85" s="18"/>
      <c r="M85" s="18"/>
      <c r="N85" s="18"/>
      <c r="O85" s="18"/>
      <c r="P85" s="18"/>
      <c r="Q85" s="18"/>
      <c r="R85" s="18"/>
      <c r="S85" s="18"/>
      <c r="T85" s="18"/>
      <c r="U85" s="18"/>
      <c r="V85" s="18"/>
      <c r="W85" s="18"/>
      <c r="X85" s="29"/>
    </row>
    <row r="86" spans="1:24" x14ac:dyDescent="0.2">
      <c r="A86" s="28"/>
      <c r="B86" s="18"/>
      <c r="C86" s="18"/>
      <c r="D86" s="18"/>
      <c r="E86" s="18"/>
      <c r="F86" s="18"/>
      <c r="G86" s="18"/>
      <c r="H86" s="18"/>
      <c r="I86" s="18"/>
      <c r="J86" s="18"/>
      <c r="K86" s="18"/>
      <c r="L86" s="18"/>
      <c r="M86" s="18"/>
      <c r="N86" s="18"/>
      <c r="O86" s="18"/>
      <c r="P86" s="18"/>
      <c r="Q86" s="18"/>
      <c r="R86" s="18"/>
      <c r="S86" s="18"/>
      <c r="T86" s="18"/>
      <c r="U86" s="18"/>
      <c r="V86" s="18"/>
      <c r="W86" s="18"/>
      <c r="X86" s="29"/>
    </row>
    <row r="87" spans="1:24" x14ac:dyDescent="0.2">
      <c r="A87" s="28"/>
      <c r="B87" s="18"/>
      <c r="C87" s="18"/>
      <c r="D87" s="18"/>
      <c r="E87" s="18"/>
      <c r="F87" s="18"/>
      <c r="G87" s="18"/>
      <c r="H87" s="18"/>
      <c r="I87" s="18"/>
      <c r="J87" s="18"/>
      <c r="K87" s="18"/>
      <c r="L87" s="18"/>
      <c r="M87" s="18"/>
      <c r="N87" s="18"/>
      <c r="O87" s="18"/>
      <c r="P87" s="18"/>
      <c r="Q87" s="18"/>
      <c r="R87" s="18"/>
      <c r="S87" s="18"/>
      <c r="T87" s="18"/>
      <c r="U87" s="18"/>
      <c r="V87" s="18"/>
      <c r="W87" s="18"/>
      <c r="X87" s="29"/>
    </row>
    <row r="88" spans="1:24" x14ac:dyDescent="0.2">
      <c r="A88" s="28"/>
      <c r="B88" s="18"/>
      <c r="C88" s="18"/>
      <c r="D88" s="18"/>
      <c r="E88" s="18"/>
      <c r="F88" s="18"/>
      <c r="G88" s="18"/>
      <c r="H88" s="18"/>
      <c r="I88" s="18"/>
      <c r="J88" s="18"/>
      <c r="K88" s="18"/>
      <c r="L88" s="18"/>
      <c r="M88" s="18"/>
      <c r="N88" s="18"/>
      <c r="O88" s="18"/>
      <c r="P88" s="18"/>
      <c r="Q88" s="18"/>
      <c r="R88" s="18"/>
      <c r="S88" s="18"/>
      <c r="T88" s="18"/>
      <c r="U88" s="18"/>
      <c r="V88" s="18"/>
      <c r="W88" s="18"/>
      <c r="X88" s="29"/>
    </row>
    <row r="89" spans="1:24" x14ac:dyDescent="0.2">
      <c r="A89" s="30"/>
      <c r="B89" s="31"/>
      <c r="C89" s="31"/>
      <c r="D89" s="31"/>
      <c r="E89" s="31"/>
      <c r="F89" s="31"/>
      <c r="G89" s="31"/>
      <c r="H89" s="31"/>
      <c r="I89" s="31"/>
      <c r="J89" s="31"/>
      <c r="K89" s="31"/>
      <c r="L89" s="31"/>
      <c r="M89" s="31"/>
      <c r="N89" s="31"/>
      <c r="O89" s="31"/>
      <c r="P89" s="31"/>
      <c r="Q89" s="31"/>
      <c r="R89" s="31"/>
      <c r="S89" s="31"/>
      <c r="T89" s="31"/>
      <c r="U89" s="31"/>
      <c r="V89" s="31"/>
      <c r="W89" s="31"/>
      <c r="X89" s="32"/>
    </row>
  </sheetData>
  <mergeCells count="17">
    <mergeCell ref="A1:X1"/>
    <mergeCell ref="B75:D75"/>
    <mergeCell ref="B77:D77"/>
    <mergeCell ref="A66:X66"/>
    <mergeCell ref="B78:D78"/>
    <mergeCell ref="B69:D69"/>
    <mergeCell ref="A81:X89"/>
    <mergeCell ref="B73:D73"/>
    <mergeCell ref="B74:D74"/>
    <mergeCell ref="B70:D70"/>
    <mergeCell ref="B68:D68"/>
    <mergeCell ref="A80:X80"/>
    <mergeCell ref="B72:D72"/>
    <mergeCell ref="A3:X3"/>
    <mergeCell ref="B67:D67"/>
    <mergeCell ref="B76:D76"/>
    <mergeCell ref="B71:D71"/>
  </mergeCells>
  <dataValidations count="14">
    <dataValidation type="list" sqref="B8 B9 B10 B11 B12 B13 B14 B15 B16 B17 B18 B19 B20" xr:uid="{00000000-0002-0000-0500-000000000000}">
      <formula1>"Encryption Key,Signing Key,Authentication Key,Certificate,Master Key,Data Encryption Key,Key Encryption Key,Session Key,N/A"</formula1>
    </dataValidation>
    <dataValidation type="list" sqref="C8 C9 C10 C11 C12 C13 C14 C15 C16 C17 C18 C19 C20" xr:uid="{00000000-0002-0000-0500-000001000000}">
      <formula1>"AES-256,AES-128,RSA-4096,RSA-3072,RSA-2048,Ed25519,ECDSA P-256,ECDSA P-384,ChaCha20,Other,N/A"</formula1>
    </dataValidation>
    <dataValidation type="list" sqref="D8 D9 D10 D11 D12 D13 D14 D15 D16 D17 D18 D19 D20" xr:uid="{00000000-0002-0000-0500-000002000000}">
      <formula1>"256,384,512,2048,3072,4096,8192,N/A"</formula1>
    </dataValidation>
    <dataValidation type="list" sqref="E8 E9 E10 E11 E12 E13 E14 E15 E16 E17 E18 E19 E20" xr:uid="{00000000-0002-0000-0500-000003000000}">
      <formula1>"HSM,Cloud KMS,TPM,Software Keystore,File-based,Database,Smart Card,Vault,N/A"</formula1>
    </dataValidation>
    <dataValidation type="list" sqref="F8 F9 F10 F11 F12 F13 F14 F15 F16 F17 F18 F19 F20" xr:uid="{00000000-0002-0000-0500-000004000000}">
      <formula1>"Public,Internal,Confidential,Restricted,N/A"</formula1>
    </dataValidation>
    <dataValidation type="list" sqref="G8 G9 G10 G11 G12 G13 G14 G15 G16 G17 G18 G19 G20" xr:uid="{00000000-0002-0000-0500-000005000000}">
      <formula1>"Active,Suspended,Archived,Destroyed,Pending Rotation,N/A"</formula1>
    </dataValidation>
    <dataValidation type="list" sqref="H8 H9 H10 H11 H12 H13 H14 H15 H16 H17 H18 H19 H20" xr:uid="{00000000-0002-0000-0500-000006000000}">
      <formula1>"✅ Compliant,⚠️ Partial,❌ Non-Compliant,N/A"</formula1>
    </dataValidation>
    <dataValidation type="list" sqref="K8:K20 B67 B69" xr:uid="{00000000-0002-0000-0500-000007000000}">
      <formula1>"Yes,No"</formula1>
    </dataValidation>
    <dataValidation type="list" sqref="Q8 Q9 Q10 Q11 Q12 Q13 Q14 Q15 Q16 Q17 Q18 Q19 Q20" xr:uid="{00000000-0002-0000-0500-000008000000}">
      <formula1>"Yes,No,Unknown"</formula1>
    </dataValidation>
    <dataValidation type="list" sqref="B4" xr:uid="{00000000-0002-0000-0500-000009000000}">
      <formula1>"Yes,No,Not Applicable"</formula1>
    </dataValidation>
    <dataValidation type="list" sqref="C24:C43 V8:V20 X8:X20" xr:uid="{00000000-0002-0000-0500-00000A000000}">
      <formula1>"Yes,No,N/A"</formula1>
    </dataValidation>
    <dataValidation type="list" sqref="R8 R9 R10 R11 R12 R13 R14 R15 R16 R17 R18 R19 R20" xr:uid="{00000000-0002-0000-0500-00000C000000}">
      <formula1>"TLS/SSL Server,TLS/SSL Client,Code Signing,Email (S/MIME),User Authentication,CA Certificate,Wildcard,SAN,Self-signed,N/A"</formula1>
    </dataValidation>
    <dataValidation type="list" sqref="T8 T9 T10 T11 T12 T13 T14 T15 T16 T17 T18 T19 T20" xr:uid="{00000000-0002-0000-0500-00000D000000}">
      <formula1>"≤90 days,91-180 days,181-365 days,366-397 days,&gt;397 days (non-compliant),Expired,N/A"</formula1>
    </dataValidation>
    <dataValidation type="list" sqref="W8 W9 W10 W11 W12 W13 W14 W15 W16 W17 W18 W19 W20" xr:uid="{00000000-0002-0000-0500-00000E000000}">
      <formula1>"CRL,OCSP,OCSP Stapling,Not Configured,N/A"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8"/>
  <sheetViews>
    <sheetView workbookViewId="0">
      <pane ySplit="3" topLeftCell="A4" activePane="bottomLeft" state="frozen"/>
      <selection pane="bottomLeft"/>
    </sheetView>
  </sheetViews>
  <sheetFormatPr baseColWidth="10" defaultColWidth="8.83203125" defaultRowHeight="15" x14ac:dyDescent="0.2"/>
  <cols>
    <col min="1" max="1" width="30" customWidth="1"/>
    <col min="2" max="7" width="15" customWidth="1"/>
  </cols>
  <sheetData>
    <row r="1" spans="1:7" ht="30" customHeight="1" x14ac:dyDescent="0.2">
      <c r="A1" s="17" t="s">
        <v>628</v>
      </c>
      <c r="B1" s="18"/>
      <c r="C1" s="18"/>
      <c r="D1" s="18"/>
      <c r="E1" s="18"/>
      <c r="F1" s="18"/>
      <c r="G1" s="18"/>
    </row>
    <row r="3" spans="1:7" x14ac:dyDescent="0.2">
      <c r="A3" s="4" t="s">
        <v>4</v>
      </c>
      <c r="B3" s="4" t="s">
        <v>629</v>
      </c>
      <c r="C3" s="4" t="s">
        <v>30</v>
      </c>
      <c r="D3" s="4" t="s">
        <v>33</v>
      </c>
      <c r="E3" s="4" t="s">
        <v>36</v>
      </c>
      <c r="F3" s="4" t="s">
        <v>38</v>
      </c>
      <c r="G3" s="4" t="s">
        <v>630</v>
      </c>
    </row>
    <row r="4" spans="1:7" x14ac:dyDescent="0.2">
      <c r="A4" t="s">
        <v>631</v>
      </c>
      <c r="B4">
        <f>COUNTA('1. Key Generation'!H8:H20)</f>
        <v>9</v>
      </c>
      <c r="C4">
        <f>COUNTIF('1. Key Generation'!H8:H20,"✅*")</f>
        <v>8</v>
      </c>
      <c r="D4">
        <f>COUNTIF('1. Key Generation'!H8:H20,"⚠️*")</f>
        <v>0</v>
      </c>
      <c r="E4">
        <f>COUNTIF('1. Key Generation'!H8:H20,"❌*")</f>
        <v>1</v>
      </c>
      <c r="F4">
        <f>COUNTIF('1. Key Generation'!H8:H20,"N/A")</f>
        <v>0</v>
      </c>
      <c r="G4" t="str">
        <f t="shared" ref="G4:G9" si="0">IF((B4-F4)=0,"0%",ROUND(C4/(B4-F4)*100,1)&amp;"%")</f>
        <v>88.9%</v>
      </c>
    </row>
    <row r="5" spans="1:7" x14ac:dyDescent="0.2">
      <c r="A5" t="s">
        <v>632</v>
      </c>
      <c r="B5">
        <f>COUNTA('2. Key Storage'!H8:H20)</f>
        <v>9</v>
      </c>
      <c r="C5">
        <f>COUNTIF('2. Key Storage'!H8:H20,"✅*")</f>
        <v>7</v>
      </c>
      <c r="D5">
        <f>COUNTIF('2. Key Storage'!H8:H20,"⚠️*")</f>
        <v>1</v>
      </c>
      <c r="E5">
        <f>COUNTIF('2. Key Storage'!H8:H20,"❌*")</f>
        <v>1</v>
      </c>
      <c r="F5">
        <f>COUNTIF('2. Key Storage'!H8:H20,"N/A")</f>
        <v>0</v>
      </c>
      <c r="G5" t="str">
        <f t="shared" si="0"/>
        <v>77.8%</v>
      </c>
    </row>
    <row r="6" spans="1:7" x14ac:dyDescent="0.2">
      <c r="A6" t="s">
        <v>633</v>
      </c>
      <c r="B6">
        <f>COUNTA('3. Key Rotation'!H8:H20)</f>
        <v>8</v>
      </c>
      <c r="C6">
        <f>COUNTIF('3. Key Rotation'!H8:H20,"✅*")</f>
        <v>5</v>
      </c>
      <c r="D6">
        <f>COUNTIF('3. Key Rotation'!H8:H20,"⚠️*")</f>
        <v>2</v>
      </c>
      <c r="E6">
        <f>COUNTIF('3. Key Rotation'!H8:H20,"❌*")</f>
        <v>1</v>
      </c>
      <c r="F6">
        <f>COUNTIF('3. Key Rotation'!H8:H20,"N/A")</f>
        <v>0</v>
      </c>
      <c r="G6" t="str">
        <f t="shared" si="0"/>
        <v>62.5%</v>
      </c>
    </row>
    <row r="7" spans="1:7" x14ac:dyDescent="0.2">
      <c r="A7" t="s">
        <v>634</v>
      </c>
      <c r="B7">
        <f>COUNTA('4. Key Backup &amp; Recovery'!H8:H20)</f>
        <v>8</v>
      </c>
      <c r="C7">
        <f>COUNTIF('4. Key Backup &amp; Recovery'!H8:H20,"✅*")</f>
        <v>7</v>
      </c>
      <c r="D7">
        <f>COUNTIF('4. Key Backup &amp; Recovery'!H8:H20,"⚠️*")</f>
        <v>1</v>
      </c>
      <c r="E7">
        <f>COUNTIF('4. Key Backup &amp; Recovery'!H8:H20,"❌*")</f>
        <v>0</v>
      </c>
      <c r="F7">
        <f>COUNTIF('4. Key Backup &amp; Recovery'!H8:H20,"N/A")</f>
        <v>0</v>
      </c>
      <c r="G7" t="str">
        <f t="shared" si="0"/>
        <v>87.5%</v>
      </c>
    </row>
    <row r="8" spans="1:7" x14ac:dyDescent="0.2">
      <c r="A8" t="s">
        <v>635</v>
      </c>
      <c r="B8">
        <f>COUNTA('5. Certificate Management'!H8:H20)</f>
        <v>9</v>
      </c>
      <c r="C8">
        <f>COUNTIF('5. Certificate Management'!H8:H20,"✅*")</f>
        <v>7</v>
      </c>
      <c r="D8">
        <f>COUNTIF('5. Certificate Management'!H8:H20,"⚠️*")</f>
        <v>1</v>
      </c>
      <c r="E8">
        <f>COUNTIF('5. Certificate Management'!H8:H20,"❌*")</f>
        <v>1</v>
      </c>
      <c r="F8">
        <f>COUNTIF('5. Certificate Management'!H8:H20,"N/A")</f>
        <v>0</v>
      </c>
      <c r="G8" t="str">
        <f t="shared" si="0"/>
        <v>77.8%</v>
      </c>
    </row>
    <row r="9" spans="1:7" ht="16" x14ac:dyDescent="0.2">
      <c r="A9" s="2" t="s">
        <v>636</v>
      </c>
      <c r="B9" s="2">
        <f>SUM(B4:B8)</f>
        <v>43</v>
      </c>
      <c r="C9" s="2">
        <f>SUM(C4:C8)</f>
        <v>34</v>
      </c>
      <c r="D9" s="2">
        <f>SUM(D4:D8)</f>
        <v>5</v>
      </c>
      <c r="E9" s="2">
        <f>SUM(E4:E8)</f>
        <v>4</v>
      </c>
      <c r="F9" s="2">
        <f>SUM(F4:F8)</f>
        <v>0</v>
      </c>
      <c r="G9" s="14" t="str">
        <f t="shared" si="0"/>
        <v>79.1%</v>
      </c>
    </row>
    <row r="12" spans="1:7" ht="16" x14ac:dyDescent="0.2">
      <c r="A12" s="33" t="s">
        <v>637</v>
      </c>
      <c r="B12" s="18"/>
      <c r="C12" s="18"/>
    </row>
    <row r="13" spans="1:7" x14ac:dyDescent="0.2">
      <c r="A13" s="4" t="s">
        <v>638</v>
      </c>
      <c r="B13" s="4" t="s">
        <v>639</v>
      </c>
      <c r="C13" s="4" t="s">
        <v>640</v>
      </c>
    </row>
    <row r="14" spans="1:7" x14ac:dyDescent="0.2">
      <c r="A14" t="s">
        <v>641</v>
      </c>
      <c r="B14" s="15"/>
      <c r="C14" t="str">
        <f>IF(B14&gt;=90%,"Advanced",IF(B14&gt;=70%,"Intermediate","Basic"))</f>
        <v>Basic</v>
      </c>
    </row>
    <row r="15" spans="1:7" x14ac:dyDescent="0.2">
      <c r="A15" t="s">
        <v>642</v>
      </c>
      <c r="B15" s="15"/>
      <c r="C15" t="str">
        <f>IF(B15&gt;=90%,"Advanced",IF(B15&gt;=70%,"Intermediate","Basic"))</f>
        <v>Basic</v>
      </c>
    </row>
    <row r="16" spans="1:7" x14ac:dyDescent="0.2">
      <c r="A16" t="s">
        <v>643</v>
      </c>
      <c r="B16" s="15"/>
      <c r="C16" t="str">
        <f>IF(B16&gt;=90%,"Advanced",IF(B16&gt;=70%,"Intermediate","Basic"))</f>
        <v>Basic</v>
      </c>
    </row>
    <row r="17" spans="1:4" x14ac:dyDescent="0.2">
      <c r="A17" t="s">
        <v>644</v>
      </c>
      <c r="B17" s="15"/>
      <c r="C17" t="str">
        <f>IF(B17&gt;=90%,"Advanced",IF(B17&gt;=70%,"Intermediate","Basic"))</f>
        <v>Basic</v>
      </c>
    </row>
    <row r="18" spans="1:4" x14ac:dyDescent="0.2">
      <c r="A18" t="s">
        <v>645</v>
      </c>
      <c r="B18" s="15"/>
      <c r="C18" t="str">
        <f>IF(B18&gt;=90%,"Advanced",IF(B18&gt;=70%,"Intermediate","Basic"))</f>
        <v>Basic</v>
      </c>
    </row>
    <row r="21" spans="1:4" ht="16" x14ac:dyDescent="0.2">
      <c r="A21" s="33" t="s">
        <v>646</v>
      </c>
      <c r="B21" s="18"/>
      <c r="C21" s="18"/>
      <c r="D21" s="18"/>
    </row>
    <row r="22" spans="1:4" x14ac:dyDescent="0.2">
      <c r="A22" s="4" t="s">
        <v>647</v>
      </c>
      <c r="B22" s="4" t="s">
        <v>648</v>
      </c>
      <c r="C22" s="4" t="s">
        <v>649</v>
      </c>
      <c r="D22" s="4" t="s">
        <v>650</v>
      </c>
    </row>
    <row r="23" spans="1:4" x14ac:dyDescent="0.2">
      <c r="A23" t="s">
        <v>82</v>
      </c>
      <c r="B23" s="15"/>
      <c r="C23" t="str">
        <f>IF(SUM(B23:B23)=0,"0%",ROUND(B23/SUM(B$23:B$23)*100,1)&amp;"%")</f>
        <v>0%</v>
      </c>
      <c r="D23" t="s">
        <v>651</v>
      </c>
    </row>
    <row r="24" spans="1:4" x14ac:dyDescent="0.2">
      <c r="A24" t="s">
        <v>652</v>
      </c>
      <c r="B24" s="15"/>
      <c r="C24" t="str">
        <f>IF(SUM(B23:B24)=0,"0%",ROUND(B24/SUM(B$23:B$24)*100,1)&amp;"%")</f>
        <v>0%</v>
      </c>
      <c r="D24" t="s">
        <v>651</v>
      </c>
    </row>
    <row r="25" spans="1:4" x14ac:dyDescent="0.2">
      <c r="A25" t="s">
        <v>215</v>
      </c>
      <c r="B25" s="15"/>
      <c r="C25" t="str">
        <f>IF(SUM(B23:B25)=0,"0%",ROUND(B25/SUM(B$23:B$25)*100,1)&amp;"%")</f>
        <v>0%</v>
      </c>
      <c r="D25" t="s">
        <v>651</v>
      </c>
    </row>
    <row r="26" spans="1:4" x14ac:dyDescent="0.2">
      <c r="A26" t="s">
        <v>317</v>
      </c>
      <c r="B26" s="15"/>
      <c r="C26" t="str">
        <f>IF(SUM(B23:B26)=0,"0%",ROUND(B26/SUM(B$23:B$26)*100,1)&amp;"%")</f>
        <v>0%</v>
      </c>
      <c r="D26" t="s">
        <v>651</v>
      </c>
    </row>
    <row r="27" spans="1:4" x14ac:dyDescent="0.2">
      <c r="A27" t="s">
        <v>508</v>
      </c>
      <c r="B27" s="15"/>
      <c r="C27" t="str">
        <f>IF(SUM(B23:B27)=0,"0%",ROUND(B27/SUM(B$23:B$27)*100,1)&amp;"%")</f>
        <v>0%</v>
      </c>
      <c r="D27" t="s">
        <v>653</v>
      </c>
    </row>
    <row r="28" spans="1:4" x14ac:dyDescent="0.2">
      <c r="A28" t="s">
        <v>114</v>
      </c>
      <c r="B28" s="15"/>
      <c r="C28" t="str">
        <f>IF(SUM(B23:B28)=0,"0%",ROUND(B28/SUM(B$23:B$28)*100,1)&amp;"%")</f>
        <v>0%</v>
      </c>
      <c r="D28" t="s">
        <v>651</v>
      </c>
    </row>
    <row r="29" spans="1:4" x14ac:dyDescent="0.2">
      <c r="A29" t="s">
        <v>654</v>
      </c>
      <c r="B29" s="15"/>
      <c r="C29" t="str">
        <f>IF(SUM(B23:B29)=0,"0%",ROUND(B29/SUM(B$23:B$29)*100,1)&amp;"%")</f>
        <v>0%</v>
      </c>
      <c r="D29" t="s">
        <v>651</v>
      </c>
    </row>
    <row r="30" spans="1:4" x14ac:dyDescent="0.2">
      <c r="A30" t="s">
        <v>655</v>
      </c>
      <c r="B30" s="15"/>
      <c r="C30" t="str">
        <f>IF(SUM(B23:B30)=0,"0%",ROUND(B30/SUM(B$23:B$30)*100,1)&amp;"%")</f>
        <v>0%</v>
      </c>
      <c r="D30" t="s">
        <v>651</v>
      </c>
    </row>
    <row r="31" spans="1:4" x14ac:dyDescent="0.2">
      <c r="A31" t="s">
        <v>656</v>
      </c>
      <c r="B31" s="15"/>
      <c r="C31" t="str">
        <f>IF(SUM(B23:B31)=0,"0%",ROUND(B31/SUM(B$23:B$31)*100,1)&amp;"%")</f>
        <v>0%</v>
      </c>
      <c r="D31" t="s">
        <v>657</v>
      </c>
    </row>
    <row r="34" spans="1:4" ht="16" x14ac:dyDescent="0.2">
      <c r="A34" s="33" t="s">
        <v>658</v>
      </c>
      <c r="B34" s="18"/>
      <c r="C34" s="18"/>
      <c r="D34" s="18"/>
    </row>
    <row r="35" spans="1:4" x14ac:dyDescent="0.2">
      <c r="A35" s="4" t="s">
        <v>63</v>
      </c>
      <c r="B35" s="4" t="s">
        <v>648</v>
      </c>
      <c r="C35" s="4" t="s">
        <v>649</v>
      </c>
      <c r="D35" s="4" t="s">
        <v>659</v>
      </c>
    </row>
    <row r="36" spans="1:4" x14ac:dyDescent="0.2">
      <c r="A36" t="s">
        <v>84</v>
      </c>
      <c r="B36" s="15"/>
      <c r="C36" t="str">
        <f>IF(SUM(B36:B36)=0,"0%",ROUND(B36/SUM(B$36:B$36)*100,1)&amp;"%")</f>
        <v>0%</v>
      </c>
      <c r="D36" t="s">
        <v>660</v>
      </c>
    </row>
    <row r="37" spans="1:4" x14ac:dyDescent="0.2">
      <c r="A37" t="s">
        <v>124</v>
      </c>
      <c r="B37" s="15"/>
      <c r="C37" t="str">
        <f>IF(SUM(B36:B37)=0,"0%",ROUND(B37/SUM(B$36:B$37)*100,1)&amp;"%")</f>
        <v>0%</v>
      </c>
      <c r="D37" t="s">
        <v>661</v>
      </c>
    </row>
    <row r="38" spans="1:4" x14ac:dyDescent="0.2">
      <c r="A38" t="s">
        <v>301</v>
      </c>
      <c r="B38" s="15"/>
      <c r="C38" t="str">
        <f>IF(SUM(B36:B38)=0,"0%",ROUND(B38/SUM(B$36:B$38)*100,1)&amp;"%")</f>
        <v>0%</v>
      </c>
      <c r="D38" t="s">
        <v>661</v>
      </c>
    </row>
    <row r="39" spans="1:4" x14ac:dyDescent="0.2">
      <c r="A39" t="s">
        <v>662</v>
      </c>
      <c r="B39" s="15"/>
      <c r="C39" t="str">
        <f>IF(SUM(B36:B39)=0,"0%",ROUND(B39/SUM(B$36:B$39)*100,1)&amp;"%")</f>
        <v>0%</v>
      </c>
      <c r="D39" t="s">
        <v>663</v>
      </c>
    </row>
    <row r="40" spans="1:4" x14ac:dyDescent="0.2">
      <c r="A40" t="s">
        <v>664</v>
      </c>
      <c r="B40" s="15"/>
      <c r="C40" t="str">
        <f>IF(SUM(B36:B40)=0,"0%",ROUND(B40/SUM(B$36:B$40)*100,1)&amp;"%")</f>
        <v>0%</v>
      </c>
      <c r="D40" t="s">
        <v>663</v>
      </c>
    </row>
    <row r="41" spans="1:4" x14ac:dyDescent="0.2">
      <c r="A41" t="s">
        <v>130</v>
      </c>
      <c r="B41" s="15"/>
      <c r="C41" t="str">
        <f>IF(SUM(B36:B41)=0,"0%",ROUND(B41/SUM(B$36:B$41)*100,1)&amp;"%")</f>
        <v>0%</v>
      </c>
      <c r="D41" t="s">
        <v>665</v>
      </c>
    </row>
    <row r="42" spans="1:4" x14ac:dyDescent="0.2">
      <c r="A42" t="s">
        <v>666</v>
      </c>
      <c r="B42" s="15"/>
      <c r="C42" t="str">
        <f>IF(SUM(B36:B42)=0,"0%",ROUND(B42/SUM(B$36:B$42)*100,1)&amp;"%")</f>
        <v>0%</v>
      </c>
      <c r="D42" t="s">
        <v>665</v>
      </c>
    </row>
    <row r="45" spans="1:4" ht="16" x14ac:dyDescent="0.2">
      <c r="A45" s="33" t="s">
        <v>667</v>
      </c>
      <c r="B45" s="18"/>
      <c r="C45" s="18"/>
    </row>
    <row r="46" spans="1:4" x14ac:dyDescent="0.2">
      <c r="A46" s="4" t="s">
        <v>309</v>
      </c>
      <c r="B46" s="4" t="s">
        <v>648</v>
      </c>
      <c r="C46" s="4" t="s">
        <v>649</v>
      </c>
      <c r="D46" s="4" t="s">
        <v>650</v>
      </c>
    </row>
    <row r="47" spans="1:4" x14ac:dyDescent="0.2">
      <c r="A47" t="s">
        <v>345</v>
      </c>
      <c r="B47" s="15"/>
      <c r="C47" s="15"/>
      <c r="D47" t="s">
        <v>668</v>
      </c>
    </row>
    <row r="48" spans="1:4" x14ac:dyDescent="0.2">
      <c r="A48" t="s">
        <v>669</v>
      </c>
      <c r="B48" s="15"/>
      <c r="C48" s="15"/>
      <c r="D48" t="s">
        <v>670</v>
      </c>
    </row>
    <row r="49" spans="1:4" x14ac:dyDescent="0.2">
      <c r="A49" t="s">
        <v>671</v>
      </c>
      <c r="B49" s="15"/>
      <c r="C49" s="15"/>
      <c r="D49" t="s">
        <v>657</v>
      </c>
    </row>
    <row r="52" spans="1:4" ht="16" x14ac:dyDescent="0.2">
      <c r="A52" s="33" t="s">
        <v>672</v>
      </c>
      <c r="B52" s="18"/>
      <c r="C52" s="18"/>
    </row>
    <row r="53" spans="1:4" x14ac:dyDescent="0.2">
      <c r="A53" s="4" t="s">
        <v>673</v>
      </c>
      <c r="B53" s="4" t="s">
        <v>648</v>
      </c>
      <c r="C53" s="4" t="s">
        <v>27</v>
      </c>
    </row>
    <row r="54" spans="1:4" x14ac:dyDescent="0.2">
      <c r="A54" t="s">
        <v>674</v>
      </c>
      <c r="B54" s="15"/>
    </row>
    <row r="55" spans="1:4" x14ac:dyDescent="0.2">
      <c r="A55" t="s">
        <v>675</v>
      </c>
      <c r="B55" s="15"/>
    </row>
    <row r="56" spans="1:4" x14ac:dyDescent="0.2">
      <c r="A56" t="s">
        <v>676</v>
      </c>
      <c r="B56" s="15"/>
      <c r="C56" t="s">
        <v>35</v>
      </c>
    </row>
    <row r="57" spans="1:4" x14ac:dyDescent="0.2">
      <c r="A57" t="s">
        <v>677</v>
      </c>
      <c r="B57" s="15"/>
      <c r="C57" t="s">
        <v>35</v>
      </c>
    </row>
    <row r="58" spans="1:4" x14ac:dyDescent="0.2">
      <c r="A58" t="s">
        <v>678</v>
      </c>
      <c r="B58" s="15"/>
    </row>
    <row r="59" spans="1:4" x14ac:dyDescent="0.2">
      <c r="A59" t="s">
        <v>679</v>
      </c>
      <c r="B59" s="15"/>
      <c r="C59" t="s">
        <v>35</v>
      </c>
    </row>
    <row r="60" spans="1:4" x14ac:dyDescent="0.2">
      <c r="A60" t="s">
        <v>680</v>
      </c>
      <c r="B60" s="15"/>
      <c r="C60" t="s">
        <v>32</v>
      </c>
    </row>
    <row r="63" spans="1:4" ht="16" x14ac:dyDescent="0.2">
      <c r="A63" s="33" t="s">
        <v>681</v>
      </c>
      <c r="B63" s="18"/>
      <c r="C63" s="18"/>
      <c r="D63" s="18"/>
    </row>
    <row r="64" spans="1:4" x14ac:dyDescent="0.2">
      <c r="A64" s="4" t="s">
        <v>682</v>
      </c>
      <c r="B64" s="4" t="s">
        <v>648</v>
      </c>
      <c r="C64" s="4" t="s">
        <v>649</v>
      </c>
      <c r="D64" s="4" t="s">
        <v>683</v>
      </c>
    </row>
    <row r="65" spans="1:6" x14ac:dyDescent="0.2">
      <c r="A65" t="s">
        <v>684</v>
      </c>
      <c r="B65" s="15"/>
      <c r="C65" t="str">
        <f>IF(SUM(B65:B65)=0,"0%",ROUND(B65/SUM(B$65:B$65)*100,1)&amp;"%")</f>
        <v>0%</v>
      </c>
      <c r="D65" t="s">
        <v>685</v>
      </c>
    </row>
    <row r="66" spans="1:6" x14ac:dyDescent="0.2">
      <c r="A66" t="s">
        <v>296</v>
      </c>
      <c r="B66" s="15"/>
      <c r="C66" t="str">
        <f>IF(SUM(B65:B66)=0,"0%",ROUND(B66/SUM(B$65:B$66)*100,1)&amp;"%")</f>
        <v>0%</v>
      </c>
      <c r="D66" t="s">
        <v>686</v>
      </c>
    </row>
    <row r="67" spans="1:6" x14ac:dyDescent="0.2">
      <c r="A67" t="s">
        <v>219</v>
      </c>
      <c r="B67" s="15"/>
      <c r="C67" t="str">
        <f>IF(SUM(B65:B67)=0,"0%",ROUND(B67/SUM(B$65:B$67)*100,1)&amp;"%")</f>
        <v>0%</v>
      </c>
      <c r="D67" t="s">
        <v>687</v>
      </c>
    </row>
    <row r="68" spans="1:6" x14ac:dyDescent="0.2">
      <c r="A68" t="s">
        <v>688</v>
      </c>
      <c r="B68" s="15"/>
      <c r="C68" t="str">
        <f>IF(SUM(B65:B68)=0,"0%",ROUND(B68/SUM(B$65:B$68)*100,1)&amp;"%")</f>
        <v>0%</v>
      </c>
      <c r="D68" t="s">
        <v>689</v>
      </c>
    </row>
    <row r="69" spans="1:6" x14ac:dyDescent="0.2">
      <c r="A69" t="s">
        <v>690</v>
      </c>
      <c r="B69" s="15"/>
      <c r="C69" t="str">
        <f>IF(SUM(B65:B69)=0,"0%",ROUND(B69/SUM(B$65:B$69)*100,1)&amp;"%")</f>
        <v>0%</v>
      </c>
      <c r="D69" t="s">
        <v>657</v>
      </c>
    </row>
    <row r="72" spans="1:6" ht="16" x14ac:dyDescent="0.2">
      <c r="A72" s="35" t="s">
        <v>691</v>
      </c>
      <c r="B72" s="18"/>
      <c r="C72" s="18"/>
      <c r="D72" s="18"/>
      <c r="E72" s="18"/>
      <c r="F72" s="18"/>
    </row>
    <row r="73" spans="1:6" x14ac:dyDescent="0.2">
      <c r="A73" s="4" t="s">
        <v>692</v>
      </c>
      <c r="B73" s="4" t="s">
        <v>4</v>
      </c>
      <c r="C73" s="4" t="s">
        <v>67</v>
      </c>
      <c r="D73" s="4" t="s">
        <v>72</v>
      </c>
      <c r="E73" s="4" t="s">
        <v>73</v>
      </c>
      <c r="F73" s="4" t="s">
        <v>27</v>
      </c>
    </row>
    <row r="74" spans="1:6" x14ac:dyDescent="0.2">
      <c r="A74" s="15"/>
      <c r="B74" s="11"/>
      <c r="C74" s="11"/>
      <c r="D74" s="11"/>
      <c r="E74" s="11"/>
      <c r="F74" s="15"/>
    </row>
    <row r="75" spans="1:6" x14ac:dyDescent="0.2">
      <c r="A75" s="15"/>
      <c r="B75" s="11"/>
      <c r="C75" s="11"/>
      <c r="D75" s="11"/>
      <c r="E75" s="11"/>
      <c r="F75" s="15"/>
    </row>
    <row r="76" spans="1:6" x14ac:dyDescent="0.2">
      <c r="A76" s="15"/>
      <c r="B76" s="11"/>
      <c r="C76" s="11"/>
      <c r="D76" s="11"/>
      <c r="E76" s="11"/>
      <c r="F76" s="15"/>
    </row>
    <row r="77" spans="1:6" x14ac:dyDescent="0.2">
      <c r="A77" s="15"/>
      <c r="B77" s="11"/>
      <c r="C77" s="11"/>
      <c r="D77" s="11"/>
      <c r="E77" s="11"/>
      <c r="F77" s="15"/>
    </row>
    <row r="78" spans="1:6" x14ac:dyDescent="0.2">
      <c r="A78" s="15"/>
      <c r="B78" s="11"/>
      <c r="C78" s="11"/>
      <c r="D78" s="11"/>
      <c r="E78" s="11"/>
      <c r="F78" s="15"/>
    </row>
    <row r="79" spans="1:6" x14ac:dyDescent="0.2">
      <c r="A79" s="15"/>
      <c r="B79" s="11"/>
      <c r="C79" s="11"/>
      <c r="D79" s="11"/>
      <c r="E79" s="11"/>
      <c r="F79" s="15"/>
    </row>
    <row r="80" spans="1:6" x14ac:dyDescent="0.2">
      <c r="A80" s="15"/>
      <c r="B80" s="11"/>
      <c r="C80" s="11"/>
      <c r="D80" s="11"/>
      <c r="E80" s="11"/>
      <c r="F80" s="15"/>
    </row>
    <row r="81" spans="1:6" x14ac:dyDescent="0.2">
      <c r="A81" s="15"/>
      <c r="B81" s="11"/>
      <c r="C81" s="11"/>
      <c r="D81" s="11"/>
      <c r="E81" s="11"/>
      <c r="F81" s="15"/>
    </row>
    <row r="83" spans="1:6" ht="16" x14ac:dyDescent="0.2">
      <c r="A83" s="33" t="s">
        <v>693</v>
      </c>
      <c r="B83" s="18"/>
      <c r="C83" s="18"/>
      <c r="D83" s="18"/>
      <c r="E83" s="18"/>
    </row>
    <row r="84" spans="1:6" ht="30" x14ac:dyDescent="0.2">
      <c r="A84" s="4" t="s">
        <v>64</v>
      </c>
      <c r="B84" s="4" t="s">
        <v>694</v>
      </c>
      <c r="C84" s="4" t="s">
        <v>30</v>
      </c>
      <c r="D84" s="4" t="s">
        <v>36</v>
      </c>
      <c r="E84" s="4" t="s">
        <v>695</v>
      </c>
    </row>
    <row r="85" spans="1:6" x14ac:dyDescent="0.2">
      <c r="A85" t="s">
        <v>85</v>
      </c>
      <c r="B85" s="15"/>
      <c r="C85" s="15"/>
      <c r="D85" s="15"/>
      <c r="E85" t="e">
        <f>IF(D85&gt;0,"HIGH",IF(C85/B85&lt;0.9,"MEDIUM","LOW"))</f>
        <v>#DIV/0!</v>
      </c>
    </row>
    <row r="86" spans="1:6" x14ac:dyDescent="0.2">
      <c r="A86" t="s">
        <v>110</v>
      </c>
      <c r="B86" s="15"/>
      <c r="C86" s="15"/>
      <c r="D86" s="15"/>
      <c r="E86" t="e">
        <f>IF(D86&gt;0,"HIGH",IF(C86/B86&lt;0.9,"MEDIUM","LOW"))</f>
        <v>#DIV/0!</v>
      </c>
    </row>
    <row r="87" spans="1:6" x14ac:dyDescent="0.2">
      <c r="A87" t="s">
        <v>116</v>
      </c>
      <c r="B87" s="15"/>
      <c r="C87" s="15"/>
      <c r="D87" s="15"/>
      <c r="E87" t="e">
        <f>IF(D87&gt;0,"HIGH",IF(C87/B87&lt;0.9,"MEDIUM","LOW"))</f>
        <v>#DIV/0!</v>
      </c>
    </row>
    <row r="88" spans="1:6" x14ac:dyDescent="0.2">
      <c r="A88" t="s">
        <v>98</v>
      </c>
      <c r="B88" s="15"/>
      <c r="C88" s="15"/>
      <c r="D88" s="15"/>
      <c r="E88" t="e">
        <f>IF(D88&gt;0,"HIGH",IF(C88/B88&lt;0.9,"MEDIUM","LOW"))</f>
        <v>#DIV/0!</v>
      </c>
    </row>
    <row r="91" spans="1:6" ht="16" x14ac:dyDescent="0.2">
      <c r="A91" s="33" t="s">
        <v>696</v>
      </c>
      <c r="B91" s="18"/>
      <c r="C91" s="18"/>
    </row>
    <row r="92" spans="1:6" x14ac:dyDescent="0.2">
      <c r="A92" s="4" t="s">
        <v>697</v>
      </c>
      <c r="B92" s="4" t="s">
        <v>648</v>
      </c>
      <c r="C92" s="4" t="s">
        <v>649</v>
      </c>
    </row>
    <row r="93" spans="1:6" x14ac:dyDescent="0.2">
      <c r="A93" t="s">
        <v>698</v>
      </c>
      <c r="B93" s="15"/>
      <c r="C93" t="str">
        <f>IF(SUM(B93:B93)=0,"0%",ROUND(B93/SUM(B$93:B$93)*100,1)&amp;"%")</f>
        <v>0%</v>
      </c>
    </row>
    <row r="94" spans="1:6" x14ac:dyDescent="0.2">
      <c r="A94" t="s">
        <v>699</v>
      </c>
      <c r="B94" s="15"/>
      <c r="C94" t="str">
        <f>IF(SUM(B93:B94)=0,"0%",ROUND(B94/SUM(B$93:B$94)*100,1)&amp;"%")</f>
        <v>0%</v>
      </c>
    </row>
    <row r="95" spans="1:6" x14ac:dyDescent="0.2">
      <c r="A95" t="s">
        <v>407</v>
      </c>
      <c r="B95" s="15"/>
      <c r="C95" t="str">
        <f>IF(SUM(B93:B95)=0,"0%",ROUND(B95/SUM(B$93:B$95)*100,1)&amp;"%")</f>
        <v>0%</v>
      </c>
    </row>
    <row r="96" spans="1:6" x14ac:dyDescent="0.2">
      <c r="A96" t="s">
        <v>700</v>
      </c>
      <c r="B96" s="15"/>
      <c r="C96" t="str">
        <f>IF(SUM(B93:B96)=0,"0%",ROUND(B96/SUM(B$93:B$96)*100,1)&amp;"%")</f>
        <v>0%</v>
      </c>
    </row>
    <row r="99" spans="1:5" ht="16" x14ac:dyDescent="0.2">
      <c r="A99" s="34" t="s">
        <v>701</v>
      </c>
      <c r="B99" s="18"/>
      <c r="C99" s="18"/>
      <c r="D99" s="18"/>
      <c r="E99" s="18"/>
    </row>
    <row r="100" spans="1:5" ht="16" x14ac:dyDescent="0.2">
      <c r="A100" s="2" t="s">
        <v>702</v>
      </c>
      <c r="B100" s="14" t="str">
        <f>'Summary Dashboard'!G9</f>
        <v>79.1%</v>
      </c>
    </row>
    <row r="101" spans="1:5" x14ac:dyDescent="0.2">
      <c r="A101" s="2" t="s">
        <v>703</v>
      </c>
      <c r="B101" s="15"/>
    </row>
    <row r="103" spans="1:5" x14ac:dyDescent="0.2">
      <c r="A103" s="2" t="s">
        <v>704</v>
      </c>
    </row>
    <row r="104" spans="1:5" x14ac:dyDescent="0.2">
      <c r="A104" s="25"/>
      <c r="B104" s="26"/>
      <c r="C104" s="26"/>
      <c r="D104" s="26"/>
      <c r="E104" s="27"/>
    </row>
    <row r="105" spans="1:5" x14ac:dyDescent="0.2">
      <c r="A105" s="28"/>
      <c r="B105" s="18"/>
      <c r="C105" s="18"/>
      <c r="D105" s="18"/>
      <c r="E105" s="29"/>
    </row>
    <row r="106" spans="1:5" x14ac:dyDescent="0.2">
      <c r="A106" s="28"/>
      <c r="B106" s="18"/>
      <c r="C106" s="18"/>
      <c r="D106" s="18"/>
      <c r="E106" s="29"/>
    </row>
    <row r="107" spans="1:5" x14ac:dyDescent="0.2">
      <c r="A107" s="28"/>
      <c r="B107" s="18"/>
      <c r="C107" s="18"/>
      <c r="D107" s="18"/>
      <c r="E107" s="29"/>
    </row>
    <row r="108" spans="1:5" x14ac:dyDescent="0.2">
      <c r="A108" s="30"/>
      <c r="B108" s="31"/>
      <c r="C108" s="31"/>
      <c r="D108" s="31"/>
      <c r="E108" s="32"/>
    </row>
  </sheetData>
  <mergeCells count="12">
    <mergeCell ref="A83:E83"/>
    <mergeCell ref="A1:G1"/>
    <mergeCell ref="A104:E108"/>
    <mergeCell ref="A45:C45"/>
    <mergeCell ref="A34:D34"/>
    <mergeCell ref="A21:D21"/>
    <mergeCell ref="A99:E99"/>
    <mergeCell ref="A91:C91"/>
    <mergeCell ref="A63:D63"/>
    <mergeCell ref="A12:C12"/>
    <mergeCell ref="A72:F72"/>
    <mergeCell ref="A52:C52"/>
  </mergeCells>
  <dataValidations count="3">
    <dataValidation type="list" sqref="A74 A75 A76 A77 A78 A79 A80 A81" xr:uid="{00000000-0002-0000-0600-000000000000}">
      <formula1>"High,Medium,Low"</formula1>
    </dataValidation>
    <dataValidation type="list" sqref="F74 F75 F76 F77 F78 F79 F80 F81" xr:uid="{00000000-0002-0000-0600-000001000000}">
      <formula1>"Open,In Progress,Resolved,Closed"</formula1>
    </dataValidation>
    <dataValidation type="list" sqref="B101" xr:uid="{00000000-0002-0000-0600-000002000000}">
      <formula1>"Excellent (≥95%),Good (90-94%),Adequate (80-89%),Needs Improvement (70-79%),Critical (&lt;70%)"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4"/>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2" customWidth="1"/>
    <col min="4" max="4" width="40" customWidth="1"/>
    <col min="5" max="5" width="45" customWidth="1"/>
    <col min="6" max="6" width="16" customWidth="1"/>
    <col min="7" max="7" width="20" customWidth="1"/>
    <col min="8" max="8" width="22" customWidth="1"/>
  </cols>
  <sheetData>
    <row r="1" spans="1:9" ht="30" customHeight="1" x14ac:dyDescent="0.2">
      <c r="A1" s="17" t="s">
        <v>705</v>
      </c>
      <c r="B1" s="18"/>
      <c r="C1" s="18"/>
      <c r="D1" s="18"/>
      <c r="E1" s="18"/>
      <c r="F1" s="18"/>
      <c r="G1" s="18"/>
      <c r="H1" s="18"/>
    </row>
    <row r="2" spans="1:9" x14ac:dyDescent="0.2">
      <c r="A2" s="36" t="s">
        <v>706</v>
      </c>
      <c r="B2" s="18"/>
      <c r="C2" s="18"/>
      <c r="D2" s="18"/>
      <c r="E2" s="18"/>
      <c r="F2" s="18"/>
      <c r="G2" s="18"/>
      <c r="H2" s="18"/>
    </row>
    <row r="4" spans="1:9" x14ac:dyDescent="0.2">
      <c r="A4" s="4" t="s">
        <v>707</v>
      </c>
      <c r="B4" s="4" t="s">
        <v>4</v>
      </c>
      <c r="C4" s="4" t="s">
        <v>708</v>
      </c>
      <c r="D4" s="4" t="s">
        <v>28</v>
      </c>
      <c r="E4" s="4" t="s">
        <v>709</v>
      </c>
      <c r="F4" s="4" t="s">
        <v>710</v>
      </c>
      <c r="G4" s="4" t="s">
        <v>711</v>
      </c>
      <c r="H4" s="4" t="s">
        <v>712</v>
      </c>
    </row>
    <row r="5" spans="1:9" x14ac:dyDescent="0.2">
      <c r="A5" s="16" t="s">
        <v>713</v>
      </c>
      <c r="B5" s="11"/>
      <c r="C5" s="11"/>
      <c r="D5" s="11"/>
      <c r="E5" s="11"/>
      <c r="F5" s="11"/>
      <c r="G5" s="11"/>
      <c r="H5" s="11"/>
    </row>
    <row r="6" spans="1:9" x14ac:dyDescent="0.2">
      <c r="A6" s="16" t="s">
        <v>714</v>
      </c>
      <c r="B6" s="11"/>
      <c r="C6" s="11"/>
      <c r="D6" s="11"/>
      <c r="E6" s="11"/>
      <c r="F6" s="11"/>
      <c r="G6" s="11"/>
      <c r="H6" s="11"/>
    </row>
    <row r="7" spans="1:9" x14ac:dyDescent="0.2">
      <c r="A7" s="16" t="s">
        <v>715</v>
      </c>
      <c r="B7" s="11"/>
      <c r="C7" s="11"/>
      <c r="D7" s="11"/>
      <c r="E7" s="11"/>
      <c r="F7" s="11"/>
      <c r="G7" s="11"/>
      <c r="H7" s="11"/>
    </row>
    <row r="8" spans="1:9" x14ac:dyDescent="0.2">
      <c r="A8" s="16" t="s">
        <v>716</v>
      </c>
      <c r="B8" s="11"/>
      <c r="C8" s="11"/>
      <c r="D8" s="11"/>
      <c r="E8" s="11"/>
      <c r="F8" s="11"/>
      <c r="G8" s="11"/>
      <c r="H8" s="11"/>
    </row>
    <row r="9" spans="1:9" x14ac:dyDescent="0.2">
      <c r="A9" s="16" t="s">
        <v>717</v>
      </c>
      <c r="B9" s="11"/>
      <c r="C9" s="11"/>
      <c r="D9" s="11"/>
      <c r="E9" s="11"/>
      <c r="F9" s="11"/>
      <c r="G9" s="11"/>
      <c r="H9" s="11"/>
    </row>
    <row r="10" spans="1:9" ht="16" x14ac:dyDescent="0.2">
      <c r="A10" s="16" t="s">
        <v>718</v>
      </c>
      <c r="B10" s="11" t="s">
        <v>719</v>
      </c>
      <c r="C10" s="11" t="s">
        <v>720</v>
      </c>
      <c r="D10" s="11" t="s">
        <v>631</v>
      </c>
      <c r="E10" s="11" t="s">
        <v>721</v>
      </c>
      <c r="F10" s="11" t="s">
        <v>722</v>
      </c>
      <c r="G10" s="11" t="s">
        <v>618</v>
      </c>
      <c r="H10" s="11" t="s">
        <v>598</v>
      </c>
      <c r="I10" t="s">
        <v>723</v>
      </c>
    </row>
    <row r="11" spans="1:9" ht="32" x14ac:dyDescent="0.2">
      <c r="A11" s="16" t="s">
        <v>724</v>
      </c>
      <c r="B11" s="11" t="s">
        <v>725</v>
      </c>
      <c r="C11" s="11" t="s">
        <v>726</v>
      </c>
      <c r="D11" s="11" t="s">
        <v>631</v>
      </c>
      <c r="E11" s="11" t="s">
        <v>727</v>
      </c>
      <c r="F11" s="11" t="s">
        <v>728</v>
      </c>
      <c r="G11" s="11" t="s">
        <v>729</v>
      </c>
      <c r="H11" s="11" t="s">
        <v>587</v>
      </c>
      <c r="I11" t="s">
        <v>723</v>
      </c>
    </row>
    <row r="12" spans="1:9" ht="32" x14ac:dyDescent="0.2">
      <c r="A12" s="16" t="s">
        <v>730</v>
      </c>
      <c r="B12" s="11" t="s">
        <v>731</v>
      </c>
      <c r="C12" s="11" t="s">
        <v>732</v>
      </c>
      <c r="D12" s="11" t="s">
        <v>631</v>
      </c>
      <c r="E12" s="11" t="s">
        <v>733</v>
      </c>
      <c r="F12" s="11" t="s">
        <v>734</v>
      </c>
      <c r="G12" s="11" t="s">
        <v>618</v>
      </c>
      <c r="H12" s="11" t="s">
        <v>587</v>
      </c>
      <c r="I12" t="s">
        <v>723</v>
      </c>
    </row>
    <row r="13" spans="1:9" ht="32" x14ac:dyDescent="0.2">
      <c r="A13" s="16" t="s">
        <v>735</v>
      </c>
      <c r="B13" s="11" t="s">
        <v>736</v>
      </c>
      <c r="C13" s="11" t="s">
        <v>737</v>
      </c>
      <c r="D13" s="11" t="s">
        <v>631</v>
      </c>
      <c r="E13" s="11" t="s">
        <v>738</v>
      </c>
      <c r="F13" s="11" t="s">
        <v>739</v>
      </c>
      <c r="G13" s="11" t="s">
        <v>740</v>
      </c>
      <c r="H13" s="11" t="s">
        <v>741</v>
      </c>
      <c r="I13" t="s">
        <v>723</v>
      </c>
    </row>
    <row r="14" spans="1:9" ht="32" x14ac:dyDescent="0.2">
      <c r="A14" s="16" t="s">
        <v>742</v>
      </c>
      <c r="B14" s="11" t="s">
        <v>743</v>
      </c>
      <c r="C14" s="11" t="s">
        <v>744</v>
      </c>
      <c r="D14" s="11" t="s">
        <v>631</v>
      </c>
      <c r="E14" s="11" t="s">
        <v>745</v>
      </c>
      <c r="F14" s="11" t="s">
        <v>746</v>
      </c>
      <c r="G14" s="11" t="s">
        <v>618</v>
      </c>
      <c r="H14" s="11" t="s">
        <v>587</v>
      </c>
      <c r="I14" t="s">
        <v>723</v>
      </c>
    </row>
    <row r="15" spans="1:9" ht="32" x14ac:dyDescent="0.2">
      <c r="A15" s="16" t="s">
        <v>747</v>
      </c>
      <c r="B15" s="11" t="s">
        <v>748</v>
      </c>
      <c r="C15" s="11" t="s">
        <v>749</v>
      </c>
      <c r="D15" s="11" t="s">
        <v>632</v>
      </c>
      <c r="E15" s="11" t="s">
        <v>750</v>
      </c>
      <c r="F15" s="11" t="s">
        <v>728</v>
      </c>
      <c r="G15" s="11" t="s">
        <v>729</v>
      </c>
      <c r="H15" s="11" t="s">
        <v>386</v>
      </c>
      <c r="I15" t="s">
        <v>723</v>
      </c>
    </row>
    <row r="16" spans="1:9" ht="16" x14ac:dyDescent="0.2">
      <c r="A16" s="16" t="s">
        <v>751</v>
      </c>
      <c r="B16" s="11" t="s">
        <v>752</v>
      </c>
      <c r="C16" s="11" t="s">
        <v>753</v>
      </c>
      <c r="D16" s="11" t="s">
        <v>632</v>
      </c>
      <c r="E16" s="11" t="s">
        <v>754</v>
      </c>
      <c r="F16" s="11" t="s">
        <v>728</v>
      </c>
      <c r="G16" s="11" t="s">
        <v>729</v>
      </c>
      <c r="H16" s="11" t="s">
        <v>587</v>
      </c>
      <c r="I16" t="s">
        <v>723</v>
      </c>
    </row>
    <row r="17" spans="1:9" ht="16" x14ac:dyDescent="0.2">
      <c r="A17" s="16" t="s">
        <v>755</v>
      </c>
      <c r="B17" s="11" t="s">
        <v>756</v>
      </c>
      <c r="C17" s="11" t="s">
        <v>726</v>
      </c>
      <c r="D17" s="11" t="s">
        <v>632</v>
      </c>
      <c r="E17" s="11" t="s">
        <v>757</v>
      </c>
      <c r="F17" s="11" t="s">
        <v>758</v>
      </c>
      <c r="G17" s="11" t="s">
        <v>618</v>
      </c>
      <c r="H17" s="11" t="s">
        <v>587</v>
      </c>
      <c r="I17" t="s">
        <v>723</v>
      </c>
    </row>
    <row r="18" spans="1:9" ht="32" x14ac:dyDescent="0.2">
      <c r="A18" s="16" t="s">
        <v>759</v>
      </c>
      <c r="B18" s="11" t="s">
        <v>760</v>
      </c>
      <c r="C18" s="11" t="s">
        <v>761</v>
      </c>
      <c r="D18" s="11" t="s">
        <v>632</v>
      </c>
      <c r="E18" s="11" t="s">
        <v>762</v>
      </c>
      <c r="F18" s="11" t="s">
        <v>763</v>
      </c>
      <c r="G18" s="11" t="s">
        <v>764</v>
      </c>
      <c r="H18" s="11" t="s">
        <v>386</v>
      </c>
      <c r="I18" t="s">
        <v>723</v>
      </c>
    </row>
    <row r="19" spans="1:9" ht="32" x14ac:dyDescent="0.2">
      <c r="A19" s="16" t="s">
        <v>765</v>
      </c>
      <c r="B19" s="11" t="s">
        <v>766</v>
      </c>
      <c r="C19" s="11" t="s">
        <v>767</v>
      </c>
      <c r="D19" s="11" t="s">
        <v>632</v>
      </c>
      <c r="E19" s="11" t="s">
        <v>768</v>
      </c>
      <c r="F19" s="11" t="s">
        <v>722</v>
      </c>
      <c r="G19" s="11" t="s">
        <v>618</v>
      </c>
      <c r="H19" s="11" t="s">
        <v>598</v>
      </c>
      <c r="I19" t="s">
        <v>723</v>
      </c>
    </row>
    <row r="20" spans="1:9" ht="32" x14ac:dyDescent="0.2">
      <c r="A20" s="16" t="s">
        <v>769</v>
      </c>
      <c r="B20" s="11" t="s">
        <v>770</v>
      </c>
      <c r="C20" s="11" t="s">
        <v>771</v>
      </c>
      <c r="D20" s="11" t="s">
        <v>633</v>
      </c>
      <c r="E20" s="11" t="s">
        <v>772</v>
      </c>
      <c r="F20" s="11" t="s">
        <v>728</v>
      </c>
      <c r="G20" s="11" t="s">
        <v>773</v>
      </c>
      <c r="H20" s="11" t="s">
        <v>382</v>
      </c>
      <c r="I20" t="s">
        <v>723</v>
      </c>
    </row>
    <row r="21" spans="1:9" ht="32" x14ac:dyDescent="0.2">
      <c r="A21" s="16" t="s">
        <v>774</v>
      </c>
      <c r="B21" s="11" t="s">
        <v>775</v>
      </c>
      <c r="C21" s="11" t="s">
        <v>776</v>
      </c>
      <c r="D21" s="11" t="s">
        <v>633</v>
      </c>
      <c r="E21" s="11" t="s">
        <v>777</v>
      </c>
      <c r="F21" s="11" t="s">
        <v>778</v>
      </c>
      <c r="G21" s="11" t="s">
        <v>618</v>
      </c>
      <c r="H21" s="11" t="s">
        <v>386</v>
      </c>
      <c r="I21" t="s">
        <v>723</v>
      </c>
    </row>
    <row r="22" spans="1:9" ht="32" x14ac:dyDescent="0.2">
      <c r="A22" s="16" t="s">
        <v>779</v>
      </c>
      <c r="B22" s="11" t="s">
        <v>780</v>
      </c>
      <c r="C22" s="11" t="s">
        <v>761</v>
      </c>
      <c r="D22" s="11" t="s">
        <v>633</v>
      </c>
      <c r="E22" s="11" t="s">
        <v>781</v>
      </c>
      <c r="F22" s="11" t="s">
        <v>782</v>
      </c>
      <c r="G22" s="11" t="s">
        <v>618</v>
      </c>
      <c r="H22" s="11" t="s">
        <v>386</v>
      </c>
      <c r="I22" t="s">
        <v>723</v>
      </c>
    </row>
    <row r="23" spans="1:9" ht="32" x14ac:dyDescent="0.2">
      <c r="A23" s="16" t="s">
        <v>783</v>
      </c>
      <c r="B23" s="11" t="s">
        <v>784</v>
      </c>
      <c r="C23" s="11" t="s">
        <v>785</v>
      </c>
      <c r="D23" s="11" t="s">
        <v>633</v>
      </c>
      <c r="E23" s="11" t="s">
        <v>786</v>
      </c>
      <c r="F23" s="11" t="s">
        <v>787</v>
      </c>
      <c r="G23" s="11" t="s">
        <v>729</v>
      </c>
      <c r="H23" s="11" t="s">
        <v>587</v>
      </c>
      <c r="I23" t="s">
        <v>723</v>
      </c>
    </row>
    <row r="24" spans="1:9" ht="32" x14ac:dyDescent="0.2">
      <c r="A24" s="16" t="s">
        <v>788</v>
      </c>
      <c r="B24" s="11" t="s">
        <v>789</v>
      </c>
      <c r="C24" s="11" t="s">
        <v>790</v>
      </c>
      <c r="D24" s="11" t="s">
        <v>634</v>
      </c>
      <c r="E24" s="11" t="s">
        <v>791</v>
      </c>
      <c r="F24" s="11" t="s">
        <v>792</v>
      </c>
      <c r="G24" s="11" t="s">
        <v>618</v>
      </c>
      <c r="H24" s="11" t="s">
        <v>741</v>
      </c>
      <c r="I24" t="s">
        <v>723</v>
      </c>
    </row>
    <row r="25" spans="1:9" ht="32" x14ac:dyDescent="0.2">
      <c r="A25" s="16" t="s">
        <v>793</v>
      </c>
      <c r="B25" s="11" t="s">
        <v>794</v>
      </c>
      <c r="C25" s="11" t="s">
        <v>732</v>
      </c>
      <c r="D25" s="11" t="s">
        <v>634</v>
      </c>
      <c r="E25" s="11" t="s">
        <v>795</v>
      </c>
      <c r="F25" s="11" t="s">
        <v>796</v>
      </c>
      <c r="G25" s="11" t="s">
        <v>797</v>
      </c>
      <c r="H25" s="11" t="s">
        <v>587</v>
      </c>
      <c r="I25" t="s">
        <v>723</v>
      </c>
    </row>
    <row r="26" spans="1:9" ht="32" x14ac:dyDescent="0.2">
      <c r="A26" s="16" t="s">
        <v>798</v>
      </c>
      <c r="B26" s="11" t="s">
        <v>799</v>
      </c>
      <c r="C26" s="11" t="s">
        <v>800</v>
      </c>
      <c r="D26" s="11" t="s">
        <v>634</v>
      </c>
      <c r="E26" s="11" t="s">
        <v>801</v>
      </c>
      <c r="F26" s="11" t="s">
        <v>802</v>
      </c>
      <c r="G26" s="11" t="s">
        <v>803</v>
      </c>
      <c r="H26" s="11" t="s">
        <v>386</v>
      </c>
      <c r="I26" t="s">
        <v>723</v>
      </c>
    </row>
    <row r="27" spans="1:9" ht="32" x14ac:dyDescent="0.2">
      <c r="A27" s="16" t="s">
        <v>804</v>
      </c>
      <c r="B27" s="11" t="s">
        <v>805</v>
      </c>
      <c r="C27" s="11" t="s">
        <v>737</v>
      </c>
      <c r="D27" s="11" t="s">
        <v>634</v>
      </c>
      <c r="E27" s="11" t="s">
        <v>806</v>
      </c>
      <c r="F27" s="11" t="s">
        <v>416</v>
      </c>
      <c r="G27" s="11" t="s">
        <v>618</v>
      </c>
      <c r="H27" s="11" t="s">
        <v>595</v>
      </c>
      <c r="I27" t="s">
        <v>723</v>
      </c>
    </row>
    <row r="28" spans="1:9" ht="32" x14ac:dyDescent="0.2">
      <c r="A28" s="16" t="s">
        <v>807</v>
      </c>
      <c r="B28" s="11" t="s">
        <v>808</v>
      </c>
      <c r="C28" s="11" t="s">
        <v>809</v>
      </c>
      <c r="D28" s="11" t="s">
        <v>635</v>
      </c>
      <c r="E28" s="11" t="s">
        <v>810</v>
      </c>
      <c r="F28" s="11" t="s">
        <v>728</v>
      </c>
      <c r="G28" s="11" t="s">
        <v>618</v>
      </c>
      <c r="H28" s="11" t="s">
        <v>386</v>
      </c>
      <c r="I28" t="s">
        <v>723</v>
      </c>
    </row>
    <row r="29" spans="1:9" ht="32" x14ac:dyDescent="0.2">
      <c r="A29" s="16" t="s">
        <v>811</v>
      </c>
      <c r="B29" s="11" t="s">
        <v>812</v>
      </c>
      <c r="C29" s="11" t="s">
        <v>813</v>
      </c>
      <c r="D29" s="11" t="s">
        <v>635</v>
      </c>
      <c r="E29" s="11" t="s">
        <v>814</v>
      </c>
      <c r="F29" s="11" t="s">
        <v>815</v>
      </c>
      <c r="G29" s="11" t="s">
        <v>816</v>
      </c>
      <c r="H29" s="11" t="s">
        <v>598</v>
      </c>
      <c r="I29" t="s">
        <v>723</v>
      </c>
    </row>
    <row r="30" spans="1:9" ht="32" x14ac:dyDescent="0.2">
      <c r="A30" s="16" t="s">
        <v>817</v>
      </c>
      <c r="B30" s="11" t="s">
        <v>818</v>
      </c>
      <c r="C30" s="11" t="s">
        <v>819</v>
      </c>
      <c r="D30" s="11" t="s">
        <v>635</v>
      </c>
      <c r="E30" s="11" t="s">
        <v>820</v>
      </c>
      <c r="F30" s="11" t="s">
        <v>802</v>
      </c>
      <c r="G30" s="11" t="s">
        <v>618</v>
      </c>
      <c r="H30" s="11" t="s">
        <v>382</v>
      </c>
      <c r="I30" t="s">
        <v>723</v>
      </c>
    </row>
    <row r="31" spans="1:9" ht="32" x14ac:dyDescent="0.2">
      <c r="A31" s="16" t="s">
        <v>821</v>
      </c>
      <c r="B31" s="11" t="s">
        <v>822</v>
      </c>
      <c r="C31" s="11" t="s">
        <v>823</v>
      </c>
      <c r="D31" s="11" t="s">
        <v>635</v>
      </c>
      <c r="E31" s="11" t="s">
        <v>824</v>
      </c>
      <c r="F31" s="11" t="s">
        <v>778</v>
      </c>
      <c r="G31" s="11" t="s">
        <v>825</v>
      </c>
      <c r="H31" s="11" t="s">
        <v>386</v>
      </c>
      <c r="I31" t="s">
        <v>723</v>
      </c>
    </row>
    <row r="32" spans="1:9" x14ac:dyDescent="0.2">
      <c r="A32" s="16" t="s">
        <v>826</v>
      </c>
      <c r="B32" s="11"/>
      <c r="C32" s="11"/>
      <c r="D32" s="11"/>
      <c r="E32" s="11"/>
      <c r="F32" s="11"/>
      <c r="G32" s="11"/>
      <c r="H32" s="11"/>
    </row>
    <row r="33" spans="1:8" x14ac:dyDescent="0.2">
      <c r="A33" s="16" t="s">
        <v>827</v>
      </c>
      <c r="B33" s="11"/>
      <c r="C33" s="11"/>
      <c r="D33" s="11"/>
      <c r="E33" s="11"/>
      <c r="F33" s="11"/>
      <c r="G33" s="11"/>
      <c r="H33" s="11"/>
    </row>
    <row r="34" spans="1:8" x14ac:dyDescent="0.2">
      <c r="A34" s="16" t="s">
        <v>828</v>
      </c>
      <c r="B34" s="11"/>
      <c r="C34" s="11"/>
      <c r="D34" s="11"/>
      <c r="E34" s="11"/>
      <c r="F34" s="11"/>
      <c r="G34" s="11"/>
      <c r="H34" s="11"/>
    </row>
    <row r="35" spans="1:8" x14ac:dyDescent="0.2">
      <c r="A35" s="16" t="s">
        <v>829</v>
      </c>
      <c r="B35" s="11"/>
      <c r="C35" s="11"/>
      <c r="D35" s="11"/>
      <c r="E35" s="11"/>
      <c r="F35" s="11"/>
      <c r="G35" s="11"/>
      <c r="H35" s="11"/>
    </row>
    <row r="36" spans="1:8" x14ac:dyDescent="0.2">
      <c r="A36" s="16" t="s">
        <v>830</v>
      </c>
      <c r="B36" s="11"/>
      <c r="C36" s="11"/>
      <c r="D36" s="11"/>
      <c r="E36" s="11"/>
      <c r="F36" s="11"/>
      <c r="G36" s="11"/>
      <c r="H36" s="11"/>
    </row>
    <row r="37" spans="1:8" x14ac:dyDescent="0.2">
      <c r="A37" s="16" t="s">
        <v>831</v>
      </c>
      <c r="B37" s="11"/>
      <c r="C37" s="11"/>
      <c r="D37" s="11"/>
      <c r="E37" s="11"/>
      <c r="F37" s="11"/>
      <c r="G37" s="11"/>
      <c r="H37" s="11"/>
    </row>
    <row r="38" spans="1:8" x14ac:dyDescent="0.2">
      <c r="A38" s="16" t="s">
        <v>832</v>
      </c>
      <c r="B38" s="11"/>
      <c r="C38" s="11"/>
      <c r="D38" s="11"/>
      <c r="E38" s="11"/>
      <c r="F38" s="11"/>
      <c r="G38" s="11"/>
      <c r="H38" s="11"/>
    </row>
    <row r="39" spans="1:8" x14ac:dyDescent="0.2">
      <c r="A39" s="16" t="s">
        <v>833</v>
      </c>
      <c r="B39" s="11"/>
      <c r="C39" s="11"/>
      <c r="D39" s="11"/>
      <c r="E39" s="11"/>
      <c r="F39" s="11"/>
      <c r="G39" s="11"/>
      <c r="H39" s="11"/>
    </row>
    <row r="40" spans="1:8" x14ac:dyDescent="0.2">
      <c r="A40" s="16" t="s">
        <v>834</v>
      </c>
      <c r="B40" s="11"/>
      <c r="C40" s="11"/>
      <c r="D40" s="11"/>
      <c r="E40" s="11"/>
      <c r="F40" s="11"/>
      <c r="G40" s="11"/>
      <c r="H40" s="11"/>
    </row>
    <row r="41" spans="1:8" x14ac:dyDescent="0.2">
      <c r="A41" s="16" t="s">
        <v>835</v>
      </c>
      <c r="B41" s="11"/>
      <c r="C41" s="11"/>
      <c r="D41" s="11"/>
      <c r="E41" s="11"/>
      <c r="F41" s="11"/>
      <c r="G41" s="11"/>
      <c r="H41" s="11"/>
    </row>
    <row r="42" spans="1:8" x14ac:dyDescent="0.2">
      <c r="A42" s="16" t="s">
        <v>836</v>
      </c>
      <c r="B42" s="11"/>
      <c r="C42" s="11"/>
      <c r="D42" s="11"/>
      <c r="E42" s="11"/>
      <c r="F42" s="11"/>
      <c r="G42" s="11"/>
      <c r="H42" s="11"/>
    </row>
    <row r="43" spans="1:8" x14ac:dyDescent="0.2">
      <c r="A43" s="16" t="s">
        <v>837</v>
      </c>
      <c r="B43" s="11"/>
      <c r="C43" s="11"/>
      <c r="D43" s="11"/>
      <c r="E43" s="11"/>
      <c r="F43" s="11"/>
      <c r="G43" s="11"/>
      <c r="H43" s="11"/>
    </row>
    <row r="44" spans="1:8" x14ac:dyDescent="0.2">
      <c r="A44" s="16" t="s">
        <v>838</v>
      </c>
      <c r="B44" s="11"/>
      <c r="C44" s="11"/>
      <c r="D44" s="11"/>
      <c r="E44" s="11"/>
      <c r="F44" s="11"/>
      <c r="G44" s="11"/>
      <c r="H44" s="11"/>
    </row>
    <row r="45" spans="1:8" x14ac:dyDescent="0.2">
      <c r="A45" s="16" t="s">
        <v>839</v>
      </c>
      <c r="B45" s="11"/>
      <c r="C45" s="11"/>
      <c r="D45" s="11"/>
      <c r="E45" s="11"/>
      <c r="F45" s="11"/>
      <c r="G45" s="11"/>
      <c r="H45" s="11"/>
    </row>
    <row r="46" spans="1:8" x14ac:dyDescent="0.2">
      <c r="A46" s="16" t="s">
        <v>840</v>
      </c>
      <c r="B46" s="11"/>
      <c r="C46" s="11"/>
      <c r="D46" s="11"/>
      <c r="E46" s="11"/>
      <c r="F46" s="11"/>
      <c r="G46" s="11"/>
      <c r="H46" s="11"/>
    </row>
    <row r="47" spans="1:8" x14ac:dyDescent="0.2">
      <c r="A47" s="16" t="s">
        <v>841</v>
      </c>
      <c r="B47" s="11"/>
      <c r="C47" s="11"/>
      <c r="D47" s="11"/>
      <c r="E47" s="11"/>
      <c r="F47" s="11"/>
      <c r="G47" s="11"/>
      <c r="H47" s="11"/>
    </row>
    <row r="48" spans="1:8" x14ac:dyDescent="0.2">
      <c r="A48" s="16" t="s">
        <v>842</v>
      </c>
      <c r="B48" s="11"/>
      <c r="C48" s="11"/>
      <c r="D48" s="11"/>
      <c r="E48" s="11"/>
      <c r="F48" s="11"/>
      <c r="G48" s="11"/>
      <c r="H48" s="11"/>
    </row>
    <row r="49" spans="1:8" x14ac:dyDescent="0.2">
      <c r="A49" s="16" t="s">
        <v>843</v>
      </c>
      <c r="B49" s="11"/>
      <c r="C49" s="11"/>
      <c r="D49" s="11"/>
      <c r="E49" s="11"/>
      <c r="F49" s="11"/>
      <c r="G49" s="11"/>
      <c r="H49" s="11"/>
    </row>
    <row r="50" spans="1:8" x14ac:dyDescent="0.2">
      <c r="A50" s="16" t="s">
        <v>844</v>
      </c>
      <c r="B50" s="11"/>
      <c r="C50" s="11"/>
      <c r="D50" s="11"/>
      <c r="E50" s="11"/>
      <c r="F50" s="11"/>
      <c r="G50" s="11"/>
      <c r="H50" s="11"/>
    </row>
    <row r="51" spans="1:8" x14ac:dyDescent="0.2">
      <c r="A51" s="16" t="s">
        <v>845</v>
      </c>
      <c r="B51" s="11"/>
      <c r="C51" s="11"/>
      <c r="D51" s="11"/>
      <c r="E51" s="11"/>
      <c r="F51" s="11"/>
      <c r="G51" s="11"/>
      <c r="H51" s="11"/>
    </row>
    <row r="52" spans="1:8" x14ac:dyDescent="0.2">
      <c r="A52" s="16" t="s">
        <v>846</v>
      </c>
      <c r="B52" s="11"/>
      <c r="C52" s="11"/>
      <c r="D52" s="11"/>
      <c r="E52" s="11"/>
      <c r="F52" s="11"/>
      <c r="G52" s="11"/>
      <c r="H52" s="11"/>
    </row>
    <row r="53" spans="1:8" x14ac:dyDescent="0.2">
      <c r="A53" s="16" t="s">
        <v>847</v>
      </c>
      <c r="B53" s="11"/>
      <c r="C53" s="11"/>
      <c r="D53" s="11"/>
      <c r="E53" s="11"/>
      <c r="F53" s="11"/>
      <c r="G53" s="11"/>
      <c r="H53" s="11"/>
    </row>
    <row r="54" spans="1:8" x14ac:dyDescent="0.2">
      <c r="A54" s="16" t="s">
        <v>848</v>
      </c>
      <c r="B54" s="11"/>
      <c r="C54" s="11"/>
      <c r="D54" s="11"/>
      <c r="E54" s="11"/>
      <c r="F54" s="11"/>
      <c r="G54" s="11"/>
      <c r="H54" s="11"/>
    </row>
    <row r="55" spans="1:8" x14ac:dyDescent="0.2">
      <c r="A55" s="16" t="s">
        <v>849</v>
      </c>
      <c r="B55" s="11"/>
      <c r="C55" s="11"/>
      <c r="D55" s="11"/>
      <c r="E55" s="11"/>
      <c r="F55" s="11"/>
      <c r="G55" s="11"/>
      <c r="H55" s="11"/>
    </row>
    <row r="56" spans="1:8" x14ac:dyDescent="0.2">
      <c r="A56" s="16" t="s">
        <v>850</v>
      </c>
      <c r="B56" s="11"/>
      <c r="C56" s="11"/>
      <c r="D56" s="11"/>
      <c r="E56" s="11"/>
      <c r="F56" s="11"/>
      <c r="G56" s="11"/>
      <c r="H56" s="11"/>
    </row>
    <row r="57" spans="1:8" x14ac:dyDescent="0.2">
      <c r="A57" s="16" t="s">
        <v>851</v>
      </c>
      <c r="B57" s="11"/>
      <c r="C57" s="11"/>
      <c r="D57" s="11"/>
      <c r="E57" s="11"/>
      <c r="F57" s="11"/>
      <c r="G57" s="11"/>
      <c r="H57" s="11"/>
    </row>
    <row r="58" spans="1:8" x14ac:dyDescent="0.2">
      <c r="A58" s="16" t="s">
        <v>852</v>
      </c>
      <c r="B58" s="11"/>
      <c r="C58" s="11"/>
      <c r="D58" s="11"/>
      <c r="E58" s="11"/>
      <c r="F58" s="11"/>
      <c r="G58" s="11"/>
      <c r="H58" s="11"/>
    </row>
    <row r="59" spans="1:8" x14ac:dyDescent="0.2">
      <c r="A59" s="16" t="s">
        <v>853</v>
      </c>
      <c r="B59" s="11"/>
      <c r="C59" s="11"/>
      <c r="D59" s="11"/>
      <c r="E59" s="11"/>
      <c r="F59" s="11"/>
      <c r="G59" s="11"/>
      <c r="H59" s="11"/>
    </row>
    <row r="60" spans="1:8" x14ac:dyDescent="0.2">
      <c r="A60" s="16" t="s">
        <v>854</v>
      </c>
      <c r="B60" s="11"/>
      <c r="C60" s="11"/>
      <c r="D60" s="11"/>
      <c r="E60" s="11"/>
      <c r="F60" s="11"/>
      <c r="G60" s="11"/>
      <c r="H60" s="11"/>
    </row>
    <row r="61" spans="1:8" x14ac:dyDescent="0.2">
      <c r="A61" s="16" t="s">
        <v>855</v>
      </c>
      <c r="B61" s="11"/>
      <c r="C61" s="11"/>
      <c r="D61" s="11"/>
      <c r="E61" s="11"/>
      <c r="F61" s="11"/>
      <c r="G61" s="11"/>
      <c r="H61" s="11"/>
    </row>
    <row r="62" spans="1:8" x14ac:dyDescent="0.2">
      <c r="A62" s="16" t="s">
        <v>856</v>
      </c>
      <c r="B62" s="11"/>
      <c r="C62" s="11"/>
      <c r="D62" s="11"/>
      <c r="E62" s="11"/>
      <c r="F62" s="11"/>
      <c r="G62" s="11"/>
      <c r="H62" s="11"/>
    </row>
    <row r="63" spans="1:8" x14ac:dyDescent="0.2">
      <c r="A63" s="16" t="s">
        <v>857</v>
      </c>
      <c r="B63" s="11"/>
      <c r="C63" s="11"/>
      <c r="D63" s="11"/>
      <c r="E63" s="11"/>
      <c r="F63" s="11"/>
      <c r="G63" s="11"/>
      <c r="H63" s="11"/>
    </row>
    <row r="64" spans="1:8" x14ac:dyDescent="0.2">
      <c r="A64" s="16" t="s">
        <v>858</v>
      </c>
      <c r="B64" s="11"/>
      <c r="C64" s="11"/>
      <c r="D64" s="11"/>
      <c r="E64" s="11"/>
      <c r="F64" s="11"/>
      <c r="G64" s="11"/>
      <c r="H64" s="11"/>
    </row>
    <row r="65" spans="1:8" x14ac:dyDescent="0.2">
      <c r="A65" s="16" t="s">
        <v>859</v>
      </c>
      <c r="B65" s="11"/>
      <c r="C65" s="11"/>
      <c r="D65" s="11"/>
      <c r="E65" s="11"/>
      <c r="F65" s="11"/>
      <c r="G65" s="11"/>
      <c r="H65" s="11"/>
    </row>
    <row r="66" spans="1:8" x14ac:dyDescent="0.2">
      <c r="A66" s="16" t="s">
        <v>860</v>
      </c>
      <c r="B66" s="11"/>
      <c r="C66" s="11"/>
      <c r="D66" s="11"/>
      <c r="E66" s="11"/>
      <c r="F66" s="11"/>
      <c r="G66" s="11"/>
      <c r="H66" s="11"/>
    </row>
    <row r="67" spans="1:8" x14ac:dyDescent="0.2">
      <c r="A67" s="16" t="s">
        <v>861</v>
      </c>
      <c r="B67" s="11"/>
      <c r="C67" s="11"/>
      <c r="D67" s="11"/>
      <c r="E67" s="11"/>
      <c r="F67" s="11"/>
      <c r="G67" s="11"/>
      <c r="H67" s="11"/>
    </row>
    <row r="68" spans="1:8" x14ac:dyDescent="0.2">
      <c r="A68" s="16" t="s">
        <v>862</v>
      </c>
      <c r="B68" s="11"/>
      <c r="C68" s="11"/>
      <c r="D68" s="11"/>
      <c r="E68" s="11"/>
      <c r="F68" s="11"/>
      <c r="G68" s="11"/>
      <c r="H68" s="11"/>
    </row>
    <row r="69" spans="1:8" x14ac:dyDescent="0.2">
      <c r="A69" s="16" t="s">
        <v>863</v>
      </c>
      <c r="B69" s="11"/>
      <c r="C69" s="11"/>
      <c r="D69" s="11"/>
      <c r="E69" s="11"/>
      <c r="F69" s="11"/>
      <c r="G69" s="11"/>
      <c r="H69" s="11"/>
    </row>
    <row r="70" spans="1:8" x14ac:dyDescent="0.2">
      <c r="A70" s="16" t="s">
        <v>864</v>
      </c>
      <c r="B70" s="11"/>
      <c r="C70" s="11"/>
      <c r="D70" s="11"/>
      <c r="E70" s="11"/>
      <c r="F70" s="11"/>
      <c r="G70" s="11"/>
      <c r="H70" s="11"/>
    </row>
    <row r="71" spans="1:8" x14ac:dyDescent="0.2">
      <c r="A71" s="16" t="s">
        <v>865</v>
      </c>
      <c r="B71" s="11"/>
      <c r="C71" s="11"/>
      <c r="D71" s="11"/>
      <c r="E71" s="11"/>
      <c r="F71" s="11"/>
      <c r="G71" s="11"/>
      <c r="H71" s="11"/>
    </row>
    <row r="72" spans="1:8" x14ac:dyDescent="0.2">
      <c r="A72" s="16" t="s">
        <v>866</v>
      </c>
      <c r="B72" s="11"/>
      <c r="C72" s="11"/>
      <c r="D72" s="11"/>
      <c r="E72" s="11"/>
      <c r="F72" s="11"/>
      <c r="G72" s="11"/>
      <c r="H72" s="11"/>
    </row>
    <row r="73" spans="1:8" x14ac:dyDescent="0.2">
      <c r="A73" s="16" t="s">
        <v>867</v>
      </c>
      <c r="B73" s="11"/>
      <c r="C73" s="11"/>
      <c r="D73" s="11"/>
      <c r="E73" s="11"/>
      <c r="F73" s="11"/>
      <c r="G73" s="11"/>
      <c r="H73" s="11"/>
    </row>
    <row r="74" spans="1:8" x14ac:dyDescent="0.2">
      <c r="A74" s="16" t="s">
        <v>868</v>
      </c>
      <c r="B74" s="11"/>
      <c r="C74" s="11"/>
      <c r="D74" s="11"/>
      <c r="E74" s="11"/>
      <c r="F74" s="11"/>
      <c r="G74" s="11"/>
      <c r="H74" s="11"/>
    </row>
    <row r="75" spans="1:8" x14ac:dyDescent="0.2">
      <c r="A75" s="16" t="s">
        <v>869</v>
      </c>
      <c r="B75" s="11"/>
      <c r="C75" s="11"/>
      <c r="D75" s="11"/>
      <c r="E75" s="11"/>
      <c r="F75" s="11"/>
      <c r="G75" s="11"/>
      <c r="H75" s="11"/>
    </row>
    <row r="76" spans="1:8" x14ac:dyDescent="0.2">
      <c r="A76" s="16" t="s">
        <v>870</v>
      </c>
      <c r="B76" s="11"/>
      <c r="C76" s="11"/>
      <c r="D76" s="11"/>
      <c r="E76" s="11"/>
      <c r="F76" s="11"/>
      <c r="G76" s="11"/>
      <c r="H76" s="11"/>
    </row>
    <row r="77" spans="1:8" x14ac:dyDescent="0.2">
      <c r="A77" s="16" t="s">
        <v>871</v>
      </c>
      <c r="B77" s="11"/>
      <c r="C77" s="11"/>
      <c r="D77" s="11"/>
      <c r="E77" s="11"/>
      <c r="F77" s="11"/>
      <c r="G77" s="11"/>
      <c r="H77" s="11"/>
    </row>
    <row r="78" spans="1:8" x14ac:dyDescent="0.2">
      <c r="A78" s="16" t="s">
        <v>872</v>
      </c>
      <c r="B78" s="11"/>
      <c r="C78" s="11"/>
      <c r="D78" s="11"/>
      <c r="E78" s="11"/>
      <c r="F78" s="11"/>
      <c r="G78" s="11"/>
      <c r="H78" s="11"/>
    </row>
    <row r="79" spans="1:8" x14ac:dyDescent="0.2">
      <c r="A79" s="16" t="s">
        <v>873</v>
      </c>
      <c r="B79" s="11"/>
      <c r="C79" s="11"/>
      <c r="D79" s="11"/>
      <c r="E79" s="11"/>
      <c r="F79" s="11"/>
      <c r="G79" s="11"/>
      <c r="H79" s="11"/>
    </row>
    <row r="80" spans="1:8" x14ac:dyDescent="0.2">
      <c r="A80" s="16" t="s">
        <v>874</v>
      </c>
      <c r="B80" s="11"/>
      <c r="C80" s="11"/>
      <c r="D80" s="11"/>
      <c r="E80" s="11"/>
      <c r="F80" s="11"/>
      <c r="G80" s="11"/>
      <c r="H80" s="11"/>
    </row>
    <row r="81" spans="1:8" x14ac:dyDescent="0.2">
      <c r="A81" s="16" t="s">
        <v>875</v>
      </c>
      <c r="B81" s="11"/>
      <c r="C81" s="11"/>
      <c r="D81" s="11"/>
      <c r="E81" s="11"/>
      <c r="F81" s="11"/>
      <c r="G81" s="11"/>
      <c r="H81" s="11"/>
    </row>
    <row r="82" spans="1:8" x14ac:dyDescent="0.2">
      <c r="A82" s="16" t="s">
        <v>876</v>
      </c>
      <c r="B82" s="11"/>
      <c r="C82" s="11"/>
      <c r="D82" s="11"/>
      <c r="E82" s="11"/>
      <c r="F82" s="11"/>
      <c r="G82" s="11"/>
      <c r="H82" s="11"/>
    </row>
    <row r="83" spans="1:8" x14ac:dyDescent="0.2">
      <c r="A83" s="16" t="s">
        <v>877</v>
      </c>
      <c r="B83" s="11"/>
      <c r="C83" s="11"/>
      <c r="D83" s="11"/>
      <c r="E83" s="11"/>
      <c r="F83" s="11"/>
      <c r="G83" s="11"/>
      <c r="H83" s="11"/>
    </row>
    <row r="84" spans="1:8" x14ac:dyDescent="0.2">
      <c r="A84" s="16" t="s">
        <v>878</v>
      </c>
      <c r="B84" s="11"/>
      <c r="C84" s="11"/>
      <c r="D84" s="11"/>
      <c r="E84" s="11"/>
      <c r="F84" s="11"/>
      <c r="G84" s="11"/>
      <c r="H84" s="11"/>
    </row>
    <row r="85" spans="1:8" x14ac:dyDescent="0.2">
      <c r="A85" s="16" t="s">
        <v>879</v>
      </c>
      <c r="B85" s="11"/>
      <c r="C85" s="11"/>
      <c r="D85" s="11"/>
      <c r="E85" s="11"/>
      <c r="F85" s="11"/>
      <c r="G85" s="11"/>
      <c r="H85" s="11"/>
    </row>
    <row r="86" spans="1:8" x14ac:dyDescent="0.2">
      <c r="A86" s="16" t="s">
        <v>880</v>
      </c>
      <c r="B86" s="11"/>
      <c r="C86" s="11"/>
      <c r="D86" s="11"/>
      <c r="E86" s="11"/>
      <c r="F86" s="11"/>
      <c r="G86" s="11"/>
      <c r="H86" s="11"/>
    </row>
    <row r="87" spans="1:8" x14ac:dyDescent="0.2">
      <c r="A87" s="16" t="s">
        <v>881</v>
      </c>
      <c r="B87" s="11"/>
      <c r="C87" s="11"/>
      <c r="D87" s="11"/>
      <c r="E87" s="11"/>
      <c r="F87" s="11"/>
      <c r="G87" s="11"/>
      <c r="H87" s="11"/>
    </row>
    <row r="88" spans="1:8" x14ac:dyDescent="0.2">
      <c r="A88" s="16" t="s">
        <v>882</v>
      </c>
      <c r="B88" s="11"/>
      <c r="C88" s="11"/>
      <c r="D88" s="11"/>
      <c r="E88" s="11"/>
      <c r="F88" s="11"/>
      <c r="G88" s="11"/>
      <c r="H88" s="11"/>
    </row>
    <row r="89" spans="1:8" x14ac:dyDescent="0.2">
      <c r="A89" s="16" t="s">
        <v>883</v>
      </c>
      <c r="B89" s="11"/>
      <c r="C89" s="11"/>
      <c r="D89" s="11"/>
      <c r="E89" s="11"/>
      <c r="F89" s="11"/>
      <c r="G89" s="11"/>
      <c r="H89" s="11"/>
    </row>
    <row r="90" spans="1:8" x14ac:dyDescent="0.2">
      <c r="A90" s="16" t="s">
        <v>884</v>
      </c>
      <c r="B90" s="11"/>
      <c r="C90" s="11"/>
      <c r="D90" s="11"/>
      <c r="E90" s="11"/>
      <c r="F90" s="11"/>
      <c r="G90" s="11"/>
      <c r="H90" s="11"/>
    </row>
    <row r="91" spans="1:8" x14ac:dyDescent="0.2">
      <c r="A91" s="16" t="s">
        <v>885</v>
      </c>
      <c r="B91" s="11"/>
      <c r="C91" s="11"/>
      <c r="D91" s="11"/>
      <c r="E91" s="11"/>
      <c r="F91" s="11"/>
      <c r="G91" s="11"/>
      <c r="H91" s="11"/>
    </row>
    <row r="92" spans="1:8" x14ac:dyDescent="0.2">
      <c r="A92" s="16" t="s">
        <v>886</v>
      </c>
      <c r="B92" s="11"/>
      <c r="C92" s="11"/>
      <c r="D92" s="11"/>
      <c r="E92" s="11"/>
      <c r="F92" s="11"/>
      <c r="G92" s="11"/>
      <c r="H92" s="11"/>
    </row>
    <row r="93" spans="1:8" x14ac:dyDescent="0.2">
      <c r="A93" s="16" t="s">
        <v>887</v>
      </c>
      <c r="B93" s="11"/>
      <c r="C93" s="11"/>
      <c r="D93" s="11"/>
      <c r="E93" s="11"/>
      <c r="F93" s="11"/>
      <c r="G93" s="11"/>
      <c r="H93" s="11"/>
    </row>
    <row r="94" spans="1:8" x14ac:dyDescent="0.2">
      <c r="A94" s="16" t="s">
        <v>888</v>
      </c>
      <c r="B94" s="11"/>
      <c r="C94" s="11"/>
      <c r="D94" s="11"/>
      <c r="E94" s="11"/>
      <c r="F94" s="11"/>
      <c r="G94" s="11"/>
      <c r="H94" s="11"/>
    </row>
    <row r="95" spans="1:8" x14ac:dyDescent="0.2">
      <c r="A95" s="16" t="s">
        <v>889</v>
      </c>
      <c r="B95" s="11"/>
      <c r="C95" s="11"/>
      <c r="D95" s="11"/>
      <c r="E95" s="11"/>
      <c r="F95" s="11"/>
      <c r="G95" s="11"/>
      <c r="H95" s="11"/>
    </row>
    <row r="96" spans="1:8" x14ac:dyDescent="0.2">
      <c r="A96" s="16" t="s">
        <v>890</v>
      </c>
      <c r="B96" s="11"/>
      <c r="C96" s="11"/>
      <c r="D96" s="11"/>
      <c r="E96" s="11"/>
      <c r="F96" s="11"/>
      <c r="G96" s="11"/>
      <c r="H96" s="11"/>
    </row>
    <row r="97" spans="1:8" x14ac:dyDescent="0.2">
      <c r="A97" s="16" t="s">
        <v>891</v>
      </c>
      <c r="B97" s="11"/>
      <c r="C97" s="11"/>
      <c r="D97" s="11"/>
      <c r="E97" s="11"/>
      <c r="F97" s="11"/>
      <c r="G97" s="11"/>
      <c r="H97" s="11"/>
    </row>
    <row r="98" spans="1:8" x14ac:dyDescent="0.2">
      <c r="A98" s="16" t="s">
        <v>892</v>
      </c>
      <c r="B98" s="11"/>
      <c r="C98" s="11"/>
      <c r="D98" s="11"/>
      <c r="E98" s="11"/>
      <c r="F98" s="11"/>
      <c r="G98" s="11"/>
      <c r="H98" s="11"/>
    </row>
    <row r="99" spans="1:8" x14ac:dyDescent="0.2">
      <c r="A99" s="16" t="s">
        <v>893</v>
      </c>
      <c r="B99" s="11"/>
      <c r="C99" s="11"/>
      <c r="D99" s="11"/>
      <c r="E99" s="11"/>
      <c r="F99" s="11"/>
      <c r="G99" s="11"/>
      <c r="H99" s="11"/>
    </row>
    <row r="100" spans="1:8" x14ac:dyDescent="0.2">
      <c r="A100" s="16" t="s">
        <v>894</v>
      </c>
      <c r="B100" s="11"/>
      <c r="C100" s="11"/>
      <c r="D100" s="11"/>
      <c r="E100" s="11"/>
      <c r="F100" s="11"/>
      <c r="G100" s="11"/>
      <c r="H100" s="11"/>
    </row>
    <row r="101" spans="1:8" x14ac:dyDescent="0.2">
      <c r="A101" s="16" t="s">
        <v>895</v>
      </c>
      <c r="B101" s="11"/>
      <c r="C101" s="11"/>
      <c r="D101" s="11"/>
      <c r="E101" s="11"/>
      <c r="F101" s="11"/>
      <c r="G101" s="11"/>
      <c r="H101" s="11"/>
    </row>
    <row r="102" spans="1:8" x14ac:dyDescent="0.2">
      <c r="A102" s="16" t="s">
        <v>896</v>
      </c>
      <c r="B102" s="11"/>
      <c r="C102" s="11"/>
      <c r="D102" s="11"/>
      <c r="E102" s="11"/>
      <c r="F102" s="11"/>
      <c r="G102" s="11"/>
      <c r="H102" s="11"/>
    </row>
    <row r="103" spans="1:8" x14ac:dyDescent="0.2">
      <c r="A103" s="16" t="s">
        <v>897</v>
      </c>
      <c r="B103" s="11"/>
      <c r="C103" s="11"/>
      <c r="D103" s="11"/>
      <c r="E103" s="11"/>
      <c r="F103" s="11"/>
      <c r="G103" s="11"/>
      <c r="H103" s="11"/>
    </row>
    <row r="104" spans="1:8" x14ac:dyDescent="0.2">
      <c r="A104" s="16" t="s">
        <v>898</v>
      </c>
      <c r="B104" s="11"/>
      <c r="C104" s="11"/>
      <c r="D104" s="11"/>
      <c r="E104" s="11"/>
      <c r="F104" s="11"/>
      <c r="G104" s="11"/>
      <c r="H104" s="11"/>
    </row>
  </sheetData>
  <mergeCells count="2">
    <mergeCell ref="A2:H2"/>
    <mergeCell ref="A1:H1"/>
  </mergeCells>
  <dataValidations count="2">
    <dataValidation type="list"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xr:uid="{00000000-0002-0000-0700-000000000000}">
      <formula1>"Key generation log,HSM configuration,KMS architecture,Rotation log,Backup procedure,Recovery test,Certificate inventory,CA audit report,FIPS certificate,Key ceremony record,Access log,Destruction record,Algorithm verification,Third-party audit,Other"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700-000001000000}">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8"/>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17" t="s">
        <v>899</v>
      </c>
      <c r="B1" s="18"/>
      <c r="C1" s="18"/>
      <c r="D1" s="18"/>
      <c r="E1" s="18"/>
    </row>
    <row r="3" spans="1:5" ht="16" x14ac:dyDescent="0.2">
      <c r="A3" s="1" t="s">
        <v>900</v>
      </c>
    </row>
    <row r="4" spans="1:5" ht="32" x14ac:dyDescent="0.2">
      <c r="A4" s="2" t="s">
        <v>901</v>
      </c>
      <c r="B4" s="11" t="s">
        <v>902</v>
      </c>
    </row>
    <row r="5" spans="1:5" ht="16" x14ac:dyDescent="0.2">
      <c r="A5" s="2" t="s">
        <v>903</v>
      </c>
      <c r="B5" s="11" t="s">
        <v>904</v>
      </c>
    </row>
    <row r="6" spans="1:5" ht="16" x14ac:dyDescent="0.2">
      <c r="A6" s="2" t="s">
        <v>905</v>
      </c>
      <c r="B6" s="11" t="s">
        <v>906</v>
      </c>
    </row>
    <row r="7" spans="1:5" ht="16" x14ac:dyDescent="0.2">
      <c r="A7" s="2" t="s">
        <v>907</v>
      </c>
      <c r="B7" s="11" t="s">
        <v>908</v>
      </c>
    </row>
    <row r="8" spans="1:5" x14ac:dyDescent="0.2">
      <c r="B8" t="s">
        <v>909</v>
      </c>
    </row>
    <row r="9" spans="1:5" x14ac:dyDescent="0.2">
      <c r="B9" t="s">
        <v>910</v>
      </c>
    </row>
    <row r="10" spans="1:5" x14ac:dyDescent="0.2">
      <c r="A10" s="38" t="s">
        <v>911</v>
      </c>
      <c r="B10" s="18"/>
      <c r="C10" s="18"/>
      <c r="D10" s="18"/>
      <c r="E10" s="18"/>
    </row>
    <row r="11" spans="1:5" x14ac:dyDescent="0.2">
      <c r="A11" s="2" t="s">
        <v>912</v>
      </c>
      <c r="B11" s="20"/>
      <c r="C11" s="21"/>
      <c r="D11" s="21"/>
      <c r="E11" s="22"/>
    </row>
    <row r="12" spans="1:5" x14ac:dyDescent="0.2">
      <c r="A12" s="2" t="s">
        <v>913</v>
      </c>
      <c r="B12" s="20"/>
      <c r="C12" s="21"/>
      <c r="D12" s="21"/>
      <c r="E12" s="22"/>
    </row>
    <row r="13" spans="1:5" x14ac:dyDescent="0.2">
      <c r="A13" s="2" t="s">
        <v>914</v>
      </c>
      <c r="B13" s="20"/>
      <c r="C13" s="21"/>
      <c r="D13" s="21"/>
      <c r="E13" s="22"/>
    </row>
    <row r="14" spans="1:5" x14ac:dyDescent="0.2">
      <c r="A14" s="2" t="s">
        <v>915</v>
      </c>
      <c r="B14" s="20" t="s">
        <v>916</v>
      </c>
      <c r="C14" s="21"/>
      <c r="D14" s="21"/>
      <c r="E14" s="22"/>
    </row>
    <row r="15" spans="1:5" x14ac:dyDescent="0.2">
      <c r="A15" s="2" t="s">
        <v>917</v>
      </c>
      <c r="B15" s="20" t="s">
        <v>918</v>
      </c>
      <c r="C15" s="21"/>
      <c r="D15" s="21"/>
      <c r="E15" s="22"/>
    </row>
    <row r="16" spans="1:5" x14ac:dyDescent="0.2">
      <c r="B16" t="s">
        <v>919</v>
      </c>
    </row>
    <row r="18" spans="1:5" x14ac:dyDescent="0.2">
      <c r="A18" s="38" t="s">
        <v>920</v>
      </c>
      <c r="B18" s="18"/>
      <c r="C18" s="18"/>
      <c r="D18" s="18"/>
      <c r="E18" s="18"/>
    </row>
    <row r="19" spans="1:5" x14ac:dyDescent="0.2">
      <c r="A19" s="2" t="s">
        <v>912</v>
      </c>
      <c r="B19" s="20"/>
      <c r="C19" s="21"/>
      <c r="D19" s="21"/>
      <c r="E19" s="22"/>
    </row>
    <row r="20" spans="1:5" x14ac:dyDescent="0.2">
      <c r="A20" s="2" t="s">
        <v>917</v>
      </c>
      <c r="B20" s="20"/>
      <c r="C20" s="21"/>
      <c r="D20" s="21"/>
      <c r="E20" s="22"/>
    </row>
    <row r="21" spans="1:5" x14ac:dyDescent="0.2">
      <c r="A21" s="2" t="s">
        <v>921</v>
      </c>
      <c r="B21" s="20" t="s">
        <v>922</v>
      </c>
      <c r="C21" s="21"/>
      <c r="D21" s="21"/>
      <c r="E21" s="22"/>
    </row>
    <row r="22" spans="1:5" x14ac:dyDescent="0.2">
      <c r="B22" t="s">
        <v>923</v>
      </c>
    </row>
    <row r="23" spans="1:5" x14ac:dyDescent="0.2">
      <c r="B23" t="s">
        <v>924</v>
      </c>
    </row>
    <row r="24" spans="1:5" x14ac:dyDescent="0.2">
      <c r="A24" s="37" t="s">
        <v>925</v>
      </c>
      <c r="B24" s="18"/>
      <c r="C24" s="18"/>
      <c r="D24" s="18"/>
      <c r="E24" s="18"/>
    </row>
    <row r="25" spans="1:5" x14ac:dyDescent="0.2">
      <c r="A25" s="2" t="s">
        <v>912</v>
      </c>
      <c r="B25" s="20"/>
      <c r="C25" s="21"/>
      <c r="D25" s="21"/>
      <c r="E25" s="22"/>
    </row>
    <row r="26" spans="1:5" x14ac:dyDescent="0.2">
      <c r="A26" s="2" t="s">
        <v>917</v>
      </c>
      <c r="B26" s="20"/>
      <c r="C26" s="21"/>
      <c r="D26" s="21"/>
      <c r="E26" s="22"/>
    </row>
    <row r="27" spans="1:5" x14ac:dyDescent="0.2">
      <c r="A27" s="2" t="s">
        <v>926</v>
      </c>
      <c r="B27" s="20"/>
      <c r="C27" s="21"/>
      <c r="D27" s="21"/>
      <c r="E27" s="22"/>
    </row>
    <row r="28" spans="1:5" x14ac:dyDescent="0.2">
      <c r="A28" s="2" t="s">
        <v>927</v>
      </c>
      <c r="B28" s="20" t="s">
        <v>928</v>
      </c>
      <c r="C28" s="21"/>
      <c r="D28" s="21"/>
      <c r="E28" s="22"/>
    </row>
    <row r="29" spans="1:5" x14ac:dyDescent="0.2">
      <c r="B29" t="s">
        <v>929</v>
      </c>
    </row>
    <row r="30" spans="1:5" x14ac:dyDescent="0.2">
      <c r="B30" t="s">
        <v>930</v>
      </c>
    </row>
    <row r="31" spans="1:5" x14ac:dyDescent="0.2">
      <c r="A31" s="19" t="s">
        <v>931</v>
      </c>
      <c r="B31" s="18"/>
      <c r="C31" s="18"/>
      <c r="D31" s="18"/>
      <c r="E31" s="18"/>
    </row>
    <row r="32" spans="1:5" x14ac:dyDescent="0.2">
      <c r="A32" s="2" t="s">
        <v>932</v>
      </c>
      <c r="B32" s="20"/>
      <c r="C32" s="21"/>
      <c r="D32" s="21"/>
      <c r="E32" s="22"/>
    </row>
    <row r="33" spans="1:5" x14ac:dyDescent="0.2">
      <c r="A33" s="2" t="s">
        <v>933</v>
      </c>
      <c r="B33" s="20"/>
      <c r="C33" s="21"/>
      <c r="D33" s="21"/>
      <c r="E33" s="22"/>
    </row>
    <row r="34" spans="1:5" x14ac:dyDescent="0.2">
      <c r="A34" s="2" t="s">
        <v>934</v>
      </c>
      <c r="B34" s="20"/>
      <c r="C34" s="21"/>
      <c r="D34" s="21"/>
      <c r="E34" s="22"/>
    </row>
    <row r="36" spans="1:5" x14ac:dyDescent="0.2">
      <c r="B36" t="s">
        <v>935</v>
      </c>
    </row>
    <row r="37" spans="1:5" x14ac:dyDescent="0.2">
      <c r="B37" t="s">
        <v>916</v>
      </c>
    </row>
    <row r="38" spans="1:5" x14ac:dyDescent="0.2">
      <c r="B38" t="s">
        <v>936</v>
      </c>
    </row>
  </sheetData>
  <mergeCells count="20">
    <mergeCell ref="B19:E19"/>
    <mergeCell ref="A31:E31"/>
    <mergeCell ref="B28:E28"/>
    <mergeCell ref="B34:E34"/>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s>
  <dataValidations count="2">
    <dataValidation type="list" sqref="B7" xr:uid="{00000000-0002-0000-0800-000000000000}">
      <formula1>"Draft,Final,Requires remediation,Re-assessment required"</formula1>
    </dataValidation>
    <dataValidation type="list" sqref="B27" xr:uid="{00000000-0002-0000-08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 &amp; Legend</vt:lpstr>
      <vt:lpstr>1. Key Generation</vt:lpstr>
      <vt:lpstr>2. Key Storage</vt:lpstr>
      <vt:lpstr>3. Key Rotation</vt:lpstr>
      <vt:lpstr>4. Key Backup &amp; Recovery</vt:lpstr>
      <vt:lpstr>5. Certificate Management</vt:lpstr>
      <vt:lpstr>Summary Dashboard</vt:lpstr>
      <vt:lpstr>Evidence Register</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2026-01-13T22:05:38Z</dcterms:created>
  <dcterms:modified xsi:type="dcterms:W3CDTF">2026-01-13T22:07:00Z</dcterms:modified>
</cp:coreProperties>
</file>