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Historical_Utilization" sheetId="2" state="visible" r:id="rId2"/>
    <sheet xmlns:r="http://schemas.openxmlformats.org/officeDocument/2006/relationships" name="Trend_Analysis" sheetId="3" state="visible" r:id="rId3"/>
    <sheet xmlns:r="http://schemas.openxmlformats.org/officeDocument/2006/relationships" name="Capacity_Forecasts" sheetId="4" state="visible" r:id="rId4"/>
    <sheet xmlns:r="http://schemas.openxmlformats.org/officeDocument/2006/relationships" name="Capacity_Exhaustion" sheetId="5" state="visible" r:id="rId5"/>
    <sheet xmlns:r="http://schemas.openxmlformats.org/officeDocument/2006/relationships" name="Planned_Expansions" sheetId="6" state="visible" r:id="rId6"/>
    <sheet xmlns:r="http://schemas.openxmlformats.org/officeDocument/2006/relationships" name="Forecast_Accuracy" sheetId="7" state="visible" r:id="rId7"/>
    <sheet xmlns:r="http://schemas.openxmlformats.org/officeDocument/2006/relationships" name="Budget_Planning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40" customHeight="1">
      <c r="A1" s="1" t="inlineStr">
        <is>
          <t>ISMS-IMP-A.8.6.2 – Capacity Forecasts and Planning Assessment</t>
        </is>
      </c>
    </row>
    <row r="2">
      <c r="A2" s="2" t="inlineStr">
        <is>
          <t>ISO/IEC 27001:2022 - Control A.8.6: Capacity Management</t>
        </is>
      </c>
    </row>
    <row r="4">
      <c r="A4" s="3" t="inlineStr">
        <is>
          <t>Document ID:</t>
        </is>
      </c>
      <c r="B4" t="inlineStr">
        <is>
          <t>ISMS-IMP-A.8.6.2</t>
        </is>
      </c>
    </row>
    <row r="5">
      <c r="A5" s="3" t="inlineStr">
        <is>
          <t>Assessment Area:</t>
        </is>
      </c>
      <c r="B5" t="inlineStr">
        <is>
          <t>Capacity Forecasting and Planning</t>
        </is>
      </c>
    </row>
    <row r="6">
      <c r="A6" s="3" t="inlineStr">
        <is>
          <t>Related Policy:</t>
        </is>
      </c>
      <c r="B6" t="inlineStr">
        <is>
          <t>ISMS-POL-A.8.6-S2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20" customWidth="1" min="4" max="4"/>
    <col width="30" customWidth="1" min="5" max="5"/>
    <col width="25" customWidth="1" min="6" max="6"/>
  </cols>
  <sheetData>
    <row r="1">
      <c r="A1" s="1" t="inlineStr">
        <is>
          <t>HISTORICAL CAPACITY UTILIZATION DATA</t>
        </is>
      </c>
    </row>
    <row r="3">
      <c r="A3" s="5" t="inlineStr">
        <is>
          <t>Month/Date</t>
        </is>
      </c>
      <c r="B3" s="5" t="inlineStr">
        <is>
          <t>Resource Name</t>
        </is>
      </c>
      <c r="C3" s="5" t="inlineStr">
        <is>
          <t>Utilization (%)</t>
        </is>
      </c>
      <c r="D3" s="5" t="inlineStr">
        <is>
          <t>Peak Utilization (%)</t>
        </is>
      </c>
      <c r="E3" s="5" t="inlineStr">
        <is>
          <t>Notes</t>
        </is>
      </c>
      <c r="F3" s="5" t="inlineStr">
        <is>
          <t>Data Source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CAPACITY TREND ANALYSIS</t>
        </is>
      </c>
    </row>
    <row r="3">
      <c r="A3" s="5" t="inlineStr">
        <is>
          <t>Resource Name</t>
        </is>
      </c>
      <c r="B3" s="5" t="inlineStr">
        <is>
          <t>Trend Method</t>
        </is>
      </c>
      <c r="C3" s="5" t="inlineStr">
        <is>
          <t>Growth Rate (% per month)</t>
        </is>
      </c>
      <c r="D3" s="5" t="inlineStr">
        <is>
          <t>R-Squared</t>
        </is>
      </c>
      <c r="E3" s="5" t="inlineStr">
        <is>
          <t>Seasonal Pattern</t>
        </is>
      </c>
      <c r="F3" s="5" t="inlineStr">
        <is>
          <t>Notes</t>
        </is>
      </c>
      <c r="G3" s="5" t="inlineStr">
        <is>
          <t>Analyst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FORECASTS (6 and 12 Months)</t>
        </is>
      </c>
    </row>
    <row r="3">
      <c r="A3" s="5" t="inlineStr">
        <is>
          <t>Resource Name</t>
        </is>
      </c>
      <c r="B3" s="5" t="inlineStr">
        <is>
          <t>Current Utilization (%)</t>
        </is>
      </c>
      <c r="C3" s="5" t="inlineStr">
        <is>
          <t>Growth Rate (%/month)</t>
        </is>
      </c>
      <c r="D3" s="5" t="inlineStr">
        <is>
          <t>6-Month Forecast (%)</t>
        </is>
      </c>
      <c r="E3" s="5" t="inlineStr">
        <is>
          <t>12-Month Forecast (%)</t>
        </is>
      </c>
      <c r="F3" s="5" t="inlineStr">
        <is>
          <t>24-Month Forecast (%)</t>
        </is>
      </c>
      <c r="G3" s="5" t="inlineStr">
        <is>
          <t>Confidence</t>
        </is>
      </c>
      <c r="H3" s="5" t="inlineStr">
        <is>
          <t>Assumptions</t>
        </is>
      </c>
      <c r="I3" s="5" t="inlineStr">
        <is>
          <t>Forecast Date</t>
        </is>
      </c>
    </row>
    <row r="4">
      <c r="D4">
        <f>B4+(C4*6)</f>
        <v/>
      </c>
      <c r="E4">
        <f>B4+(C4*12)</f>
        <v/>
      </c>
      <c r="F4">
        <f>B4+(C4*24)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EXHAUSTION PROJECTIONS</t>
        </is>
      </c>
    </row>
    <row r="3">
      <c r="A3" s="5" t="inlineStr">
        <is>
          <t>Resource Name</t>
        </is>
      </c>
      <c r="B3" s="5" t="inlineStr">
        <is>
          <t>Current (%)</t>
        </is>
      </c>
      <c r="C3" s="5" t="inlineStr">
        <is>
          <t>Threshold (%)</t>
        </is>
      </c>
      <c r="D3" s="5" t="inlineStr">
        <is>
          <t>Growth Rate (%/mo)</t>
        </is>
      </c>
      <c r="E3" s="5" t="inlineStr">
        <is>
          <t>Months to Threshold</t>
        </is>
      </c>
      <c r="F3" s="5" t="inlineStr">
        <is>
          <t>Exhaustion Date</t>
        </is>
      </c>
      <c r="G3" s="5" t="inlineStr">
        <is>
          <t>Urgency</t>
        </is>
      </c>
      <c r="H3" s="5" t="inlineStr">
        <is>
          <t>Action Required</t>
        </is>
      </c>
    </row>
    <row r="4">
      <c r="E4">
        <f>IF(AND(B4&lt;&gt;"",C4&lt;&gt;"",D4&lt;&gt;"",D4&gt;0),(C4-B4)/D4,"")</f>
        <v/>
      </c>
      <c r="F4">
        <f>IF(E4&lt;&gt;"",TODAY()+(E4*30),"")</f>
        <v/>
      </c>
      <c r="G4">
        <f>IF(E4="","No Risk",IF(E4&lt;=0,"CRITICAL",IF(E4&lt;=3,"Immediate (0-3mo)",IF(E4&lt;=6,"Short-term (3-6mo)",IF(E4&lt;=12,"Medium-term (6-12mo)","Long-term (&gt;12mo)")))))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CAPACITY EXPANSIONS</t>
        </is>
      </c>
    </row>
    <row r="3">
      <c r="A3" s="5" t="inlineStr">
        <is>
          <t>Resource Name</t>
        </is>
      </c>
      <c r="B3" s="5" t="inlineStr">
        <is>
          <t>Current Capacity</t>
        </is>
      </c>
      <c r="C3" s="5" t="inlineStr">
        <is>
          <t>Expansion Amount</t>
        </is>
      </c>
      <c r="D3" s="5" t="inlineStr">
        <is>
          <t>New Total Capacity</t>
        </is>
      </c>
      <c r="E3" s="5" t="inlineStr">
        <is>
          <t>Planned Date</t>
        </is>
      </c>
      <c r="F3" s="5" t="inlineStr">
        <is>
          <t>Lead Time (days)</t>
        </is>
      </c>
      <c r="G3" s="5" t="inlineStr">
        <is>
          <t>Status</t>
        </is>
      </c>
      <c r="H3" s="5" t="inlineStr">
        <is>
          <t>Cost Estimate</t>
        </is>
      </c>
      <c r="I3" s="5" t="inlineStr">
        <is>
          <t>Approval Status</t>
        </is>
      </c>
      <c r="J3" s="5" t="inlineStr">
        <is>
          <t>Owner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ACCURACY VALIDATION</t>
        </is>
      </c>
    </row>
    <row r="3">
      <c r="A3" s="5" t="inlineStr">
        <is>
          <t>Resource Name</t>
        </is>
      </c>
      <c r="B3" s="5" t="inlineStr">
        <is>
          <t>Forecast Date</t>
        </is>
      </c>
      <c r="C3" s="5" t="inlineStr">
        <is>
          <t>Forecasted Value</t>
        </is>
      </c>
      <c r="D3" s="5" t="inlineStr">
        <is>
          <t>Actual Value</t>
        </is>
      </c>
      <c r="E3" s="5" t="inlineStr">
        <is>
          <t>Absolute Error</t>
        </is>
      </c>
      <c r="F3" s="5" t="inlineStr">
        <is>
          <t>Percentage Error (%)</t>
        </is>
      </c>
      <c r="G3" s="5" t="inlineStr">
        <is>
          <t>Accuracy Rating</t>
        </is>
      </c>
      <c r="H3" s="5" t="inlineStr">
        <is>
          <t>Lessons Learned</t>
        </is>
      </c>
    </row>
    <row r="4">
      <c r="E4">
        <f>ABS(C4-D4)</f>
        <v/>
      </c>
      <c r="F4">
        <f>IF(D4&lt;&gt;"",ABS((C4-D4)/D4)*100,"")</f>
        <v/>
      </c>
      <c r="G4">
        <f>IF(F4="","",IF(F4&lt;=5,"Excellent",IF(F4&lt;=10,"Good",IF(F4&lt;=15,"Acceptable","Poor"))))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BUDGET PLANNING</t>
        </is>
      </c>
    </row>
    <row r="3">
      <c r="A3" s="5" t="inlineStr">
        <is>
          <t>Resource/Project</t>
        </is>
      </c>
      <c r="B3" s="5" t="inlineStr">
        <is>
          <t>Quarter</t>
        </is>
      </c>
      <c r="C3" s="5" t="inlineStr">
        <is>
          <t>CapEx ($)</t>
        </is>
      </c>
      <c r="D3" s="5" t="inlineStr">
        <is>
          <t>OpEx ($/month)</t>
        </is>
      </c>
      <c r="E3" s="5" t="inlineStr">
        <is>
          <t>3-Year TCO ($)</t>
        </is>
      </c>
      <c r="F3" s="5" t="inlineStr">
        <is>
          <t>Approval Status</t>
        </is>
      </c>
      <c r="G3" s="5" t="inlineStr">
        <is>
          <t>Notes</t>
        </is>
      </c>
    </row>
    <row r="4">
      <c r="E4">
        <f>C4+(D4*12*3)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REGISTER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Location/File Path</t>
        </is>
      </c>
      <c r="E3" s="5" t="inlineStr">
        <is>
          <t>Date Created</t>
        </is>
      </c>
      <c r="F3" s="5" t="inlineStr">
        <is>
          <t>Related Sheet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APPROVAL AND SIGN-OFF</t>
        </is>
      </c>
    </row>
    <row r="4">
      <c r="A4" s="2" t="inlineStr">
        <is>
          <t>FORECAST SUMMARY</t>
        </is>
      </c>
    </row>
    <row r="5">
      <c r="A5" s="3" t="inlineStr">
        <is>
          <t>Assessment Date:</t>
        </is>
      </c>
      <c r="B5" s="4" t="inlineStr">
        <is>
          <t>[USER INPUT]</t>
        </is>
      </c>
    </row>
    <row r="6">
      <c r="A6" s="3" t="inlineStr">
        <is>
          <t>Forecast Period:</t>
        </is>
      </c>
      <c r="B6" s="4" t="inlineStr">
        <is>
          <t>[e.g., Q1 2026 - Q4 2026]</t>
        </is>
      </c>
    </row>
    <row r="7">
      <c r="A7" s="3" t="inlineStr">
        <is>
          <t>Resources Forecasted:</t>
        </is>
      </c>
      <c r="B7" s="4" t="inlineStr">
        <is>
          <t>[Count]</t>
        </is>
      </c>
    </row>
    <row r="8">
      <c r="A8" s="3" t="inlineStr">
        <is>
          <t>Resources Requiring Expansion:</t>
        </is>
      </c>
      <c r="B8" s="4" t="inlineStr">
        <is>
          <t>[Count]</t>
        </is>
      </c>
    </row>
    <row r="9">
      <c r="A9" s="3" t="inlineStr">
        <is>
          <t>Total Budget Impact:</t>
        </is>
      </c>
      <c r="B9" s="4" t="inlineStr">
        <is>
          <t>[$ Amount]</t>
        </is>
      </c>
    </row>
    <row r="12">
      <c r="A12" s="2" t="inlineStr">
        <is>
          <t>APPROVAL SIGNATURES</t>
        </is>
      </c>
    </row>
    <row r="13">
      <c r="A13" s="5" t="inlineStr">
        <is>
          <t>Role</t>
        </is>
      </c>
      <c r="B13" s="5" t="inlineStr">
        <is>
          <t>Name</t>
        </is>
      </c>
      <c r="C13" s="5" t="inlineStr">
        <is>
          <t>Signature/Approval</t>
        </is>
      </c>
      <c r="D13" s="5" t="inlineStr">
        <is>
          <t>Date</t>
        </is>
      </c>
    </row>
    <row r="14">
      <c r="A14" t="inlineStr">
        <is>
          <t>Completed By (Capacity Planning Team)</t>
        </is>
      </c>
      <c r="B14" s="4" t="n"/>
      <c r="C14" s="4" t="n"/>
      <c r="D14" s="4" t="n"/>
    </row>
    <row r="15">
      <c r="A15" t="inlineStr">
        <is>
          <t>Reviewed By (Infrastructure Manager)</t>
        </is>
      </c>
      <c r="B15" s="4" t="n"/>
      <c r="C15" s="4" t="n"/>
      <c r="D15" s="4" t="n"/>
    </row>
    <row r="16">
      <c r="A16" t="inlineStr">
        <is>
          <t>Approved By (IT Director/CIO)</t>
        </is>
      </c>
      <c r="B16" s="4" t="n"/>
      <c r="C16" s="4" t="n"/>
      <c r="D16" s="4" t="n"/>
    </row>
    <row r="17">
      <c r="A17" t="inlineStr">
        <is>
          <t>Approved By (CFO - Budget Approval)</t>
        </is>
      </c>
      <c r="B17" s="4" t="n"/>
      <c r="C17" s="4" t="n"/>
      <c r="D17" s="4" t="n"/>
    </row>
  </sheetData>
  <mergeCells count="3">
    <mergeCell ref="A1:D1"/>
    <mergeCell ref="A12:D12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2026-01-31T02:16:46Z</dcterms:created>
  <dcterms:modified xmlns:dcterms="http://purl.org/dc/terms/" xmlns:xsi="http://www.w3.org/2001/XMLSchema-instance" xsi:type="dcterms:W3CDTF">2026-01-31T02:16:46Z</dcterms:modified>
</cp:coreProperties>
</file>