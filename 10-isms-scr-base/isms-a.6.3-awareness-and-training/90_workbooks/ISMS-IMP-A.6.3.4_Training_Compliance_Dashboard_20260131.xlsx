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ecutive_Summary" sheetId="2" state="visible" r:id="rId2"/>
    <sheet xmlns:r="http://schemas.openxmlformats.org/officeDocument/2006/relationships" name="Compliance_Metrics" sheetId="3" state="visible" r:id="rId3"/>
    <sheet xmlns:r="http://schemas.openxmlformats.org/officeDocument/2006/relationships" name="Effectiveness_Metrics" sheetId="4" state="visible" r:id="rId4"/>
    <sheet xmlns:r="http://schemas.openxmlformats.org/officeDocument/2006/relationships" name="Trend_Analysis" sheetId="5" state="visible" r:id="rId5"/>
    <sheet xmlns:r="http://schemas.openxmlformats.org/officeDocument/2006/relationships" name="Risk_Heatmap" sheetId="6" state="visible" r:id="rId6"/>
    <sheet xmlns:r="http://schemas.openxmlformats.org/officeDocument/2006/relationships" name="Audit_Evidence" sheetId="7" state="visible" r:id="rId7"/>
    <sheet xmlns:r="http://schemas.openxmlformats.org/officeDocument/2006/relationships" name="Management_Review_Input" sheetId="8" state="visible" r:id="rId8"/>
    <sheet xmlns:r="http://schemas.openxmlformats.org/officeDocument/2006/relationships" name="KPI_Definitions" sheetId="9" state="visible" r:id="rId9"/>
    <sheet xmlns:r="http://schemas.openxmlformats.org/officeDocument/2006/relationships" name="Data_Sources" sheetId="10" state="visible" r:id="rId10"/>
    <sheet xmlns:r="http://schemas.openxmlformats.org/officeDocument/2006/relationships" name="Evidence_Register" sheetId="11" state="visible" r:id="rId11"/>
    <sheet xmlns:r="http://schemas.openxmlformats.org/officeDocument/2006/relationships" name="Dashboard" sheetId="12" state="visible" r:id="rId12"/>
    <sheet xmlns:r="http://schemas.openxmlformats.org/officeDocument/2006/relationships" name="Approval_Sign_Off" sheetId="13" state="visible" r:id="rId1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4"/>
    </font>
    <font>
      <b val="1"/>
      <sz val="12"/>
    </font>
    <font>
      <b val="1"/>
    </font>
    <font>
      <name val="Calibri"/>
      <b val="1"/>
      <sz val="10"/>
    </font>
    <font>
      <i val="1"/>
    </font>
    <font>
      <b val="1"/>
      <sz val="11"/>
    </font>
    <font>
      <color rgb="00808080"/>
    </font>
    <font>
      <b val="1"/>
      <color rgb="000000FF"/>
      <sz val="14"/>
    </font>
    <font>
      <b val="1"/>
      <color rgb="000000FF"/>
    </font>
    <font>
      <b val="1"/>
      <color rgb="00FFFFFF"/>
      <sz val="11"/>
    </font>
  </fonts>
  <fills count="9">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0" fillId="4" borderId="1" pivotButton="0" quotePrefix="0" xfId="0"/>
    <xf numFmtId="0" fontId="0" fillId="0" borderId="1" pivotButton="0" quotePrefix="0" xfId="0"/>
    <xf numFmtId="0" fontId="0" fillId="5" borderId="1" pivotButton="0" quotePrefix="0" xfId="0"/>
    <xf numFmtId="0" fontId="0" fillId="6" borderId="1" pivotButton="0" quotePrefix="0" xfId="0"/>
    <xf numFmtId="0" fontId="4" fillId="7" borderId="1" applyAlignment="1" pivotButton="0" quotePrefix="0" xfId="0">
      <alignment horizontal="center" vertical="center" wrapText="1"/>
    </xf>
    <xf numFmtId="0" fontId="2" fillId="3" borderId="1" pivotButton="0" quotePrefix="0" xfId="0"/>
    <xf numFmtId="0" fontId="0" fillId="3" borderId="1" applyAlignment="1" pivotButton="0" quotePrefix="0" xfId="0">
      <alignment horizontal="left" vertical="center" wrapText="1"/>
    </xf>
    <xf numFmtId="0" fontId="3" fillId="3" borderId="1" applyAlignment="1" pivotButton="0" quotePrefix="0" xfId="0">
      <alignment horizontal="left" vertical="center" wrapText="1"/>
    </xf>
    <xf numFmtId="0" fontId="5" fillId="0" borderId="0" pivotButton="0" quotePrefix="0" xfId="0"/>
    <xf numFmtId="0" fontId="6" fillId="0" borderId="0" pivotButton="0" quotePrefix="0" xfId="0"/>
    <xf numFmtId="0" fontId="0" fillId="3" borderId="1" applyAlignment="1" pivotButton="0" quotePrefix="0" xfId="0">
      <alignment horizontal="left" vertical="top" wrapText="1"/>
    </xf>
    <xf numFmtId="0" fontId="7" fillId="0" borderId="0" pivotButton="0" quotePrefix="0" xfId="0"/>
    <xf numFmtId="0" fontId="8" fillId="0" borderId="0" pivotButton="0" quotePrefix="0" xfId="0"/>
    <xf numFmtId="0" fontId="9" fillId="0" borderId="0" pivotButton="0" quotePrefix="0" xfId="0"/>
    <xf numFmtId="0" fontId="10" fillId="8" borderId="0" applyAlignment="1" pivotButton="0" quotePrefix="0" xfId="0">
      <alignment horizontal="center" vertical="center"/>
    </xf>
    <xf numFmtId="0" fontId="10"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0" customWidth="1" min="1" max="1"/>
    <col width="50" customWidth="1" min="2" max="2"/>
  </cols>
  <sheetData>
    <row r="1" ht="40" customHeight="1">
      <c r="A1" s="1" t="inlineStr">
        <is>
          <t>ISMS-IMP-A.6.3.4 - Training Compliance Dashboard
ISO/IEC 27001:2022 - Control A.6.3: Information Security Awareness, Education and Training</t>
        </is>
      </c>
    </row>
    <row r="3">
      <c r="A3" s="2" t="inlineStr">
        <is>
          <t>Document Information</t>
        </is>
      </c>
    </row>
    <row r="4">
      <c r="A4" s="3" t="inlineStr">
        <is>
          <t>Document ID</t>
        </is>
      </c>
      <c r="B4" t="inlineStr">
        <is>
          <t>ISMS-IMP-A.6.3.4</t>
        </is>
      </c>
    </row>
    <row r="5">
      <c r="A5" s="3" t="inlineStr">
        <is>
          <t>Assessment Area</t>
        </is>
      </c>
      <c r="B5" t="inlineStr">
        <is>
          <t>Training Program Effectiveness and Compliance Reporting</t>
        </is>
      </c>
    </row>
    <row r="6">
      <c r="A6" s="3" t="inlineStr">
        <is>
          <t>Related Policy</t>
        </is>
      </c>
      <c r="B6" t="inlineStr">
        <is>
          <t>ISMS-POL-A.6.3, Sections 3-4</t>
        </is>
      </c>
    </row>
    <row r="7">
      <c r="A7" s="3" t="inlineStr">
        <is>
          <t>Version</t>
        </is>
      </c>
      <c r="B7" t="inlineStr">
        <is>
          <t>1.0</t>
        </is>
      </c>
    </row>
    <row r="8">
      <c r="A8" s="3" t="inlineStr">
        <is>
          <t>Reporting Period</t>
        </is>
      </c>
      <c r="B8" s="4" t="inlineStr"/>
    </row>
    <row r="9">
      <c r="A9" s="3" t="inlineStr">
        <is>
          <t>Prepared By</t>
        </is>
      </c>
      <c r="B9" s="4" t="inlineStr"/>
    </row>
    <row r="10">
      <c r="A10" s="3" t="inlineStr">
        <is>
          <t>Review Cycle</t>
        </is>
      </c>
      <c r="B10" t="inlineStr">
        <is>
          <t>Monthly reporting + Quarterly management review</t>
        </is>
      </c>
    </row>
    <row r="12">
      <c r="A12" s="2" t="inlineStr">
        <is>
          <t>HOW TO USE THIS WORKBOOK</t>
        </is>
      </c>
    </row>
    <row r="13">
      <c r="A13" t="inlineStr">
        <is>
          <t>1. Populate Compliance_Metrics with data from IMP-A.6.3.3 workbook.</t>
        </is>
      </c>
    </row>
    <row r="14">
      <c r="A14" t="inlineStr">
        <is>
          <t>2. Update Effectiveness_Metrics quarterly.</t>
        </is>
      </c>
    </row>
    <row r="15">
      <c r="A15" t="inlineStr">
        <is>
          <t>3. Maintain Trend_Analysis with monthly data points.</t>
        </is>
      </c>
    </row>
    <row r="16">
      <c r="A16" t="inlineStr">
        <is>
          <t>4. Update Risk_Heatmap based on current compliance status.</t>
        </is>
      </c>
    </row>
    <row r="17">
      <c r="A17" t="inlineStr">
        <is>
          <t>5. Verify Audit_Evidence checklist completeness.</t>
        </is>
      </c>
    </row>
    <row r="18">
      <c r="A18" t="inlineStr">
        <is>
          <t>6. Prepare Management_Review_Input before management meetings.</t>
        </is>
      </c>
    </row>
    <row r="19">
      <c r="A19" t="inlineStr">
        <is>
          <t>7. Review KPI_Definitions for metric understanding.</t>
        </is>
      </c>
    </row>
    <row r="20">
      <c r="A20" t="inlineStr">
        <is>
          <t>8. Document data refresh schedules in Data_Sources.</t>
        </is>
      </c>
    </row>
    <row r="21">
      <c r="A21" t="inlineStr">
        <is>
          <t>9. Present Executive_Summary to leadership.</t>
        </is>
      </c>
    </row>
    <row r="22">
      <c r="A22" t="inlineStr">
        <is>
          <t>10. Complete Approval_Sign_Off for attestation.</t>
        </is>
      </c>
    </row>
    <row r="24">
      <c r="A24" s="2" t="inlineStr">
        <is>
          <t>TRAFFIC LIGHT LEGEND</t>
        </is>
      </c>
    </row>
    <row r="25">
      <c r="A25" s="5" t="inlineStr">
        <is>
          <t>Green</t>
        </is>
      </c>
      <c r="B25" s="6" t="inlineStr">
        <is>
          <t>≥95% compliance, &lt;5% click rate</t>
        </is>
      </c>
    </row>
    <row r="26">
      <c r="A26" s="7" t="inlineStr">
        <is>
          <t>Yellow</t>
        </is>
      </c>
      <c r="B26" s="6" t="inlineStr">
        <is>
          <t>85-94% compliance, 5-15% click rate</t>
        </is>
      </c>
    </row>
    <row r="27">
      <c r="A27" s="8" t="inlineStr">
        <is>
          <t>Red</t>
        </is>
      </c>
      <c r="B27" s="6" t="inlineStr">
        <is>
          <t>&lt;85% compliance, &gt;15% click rate</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0" customWidth="1" min="1" max="1"/>
    <col width="25" customWidth="1" min="2" max="2"/>
    <col width="20" customWidth="1" min="3" max="3"/>
    <col width="40" customWidth="1" min="4" max="4"/>
  </cols>
  <sheetData>
    <row r="1" ht="40" customHeight="1">
      <c r="A1" s="1" t="inlineStr">
        <is>
          <t>EXECUTIVE SUMMARY
High-level compliance status for leadership</t>
        </is>
      </c>
    </row>
    <row r="3">
      <c r="A3" s="2" t="inlineStr">
        <is>
          <t>KEY METRICS</t>
        </is>
      </c>
    </row>
    <row r="4">
      <c r="A4" s="9" t="inlineStr">
        <is>
          <t>Metric</t>
        </is>
      </c>
      <c r="B4" s="9" t="inlineStr">
        <is>
          <t>Current Value</t>
        </is>
      </c>
      <c r="C4" s="9" t="inlineStr">
        <is>
          <t>Target</t>
        </is>
      </c>
    </row>
    <row r="5">
      <c r="A5" s="6" t="inlineStr">
        <is>
          <t>Overall Completion Rate</t>
        </is>
      </c>
      <c r="B5" s="10" t="inlineStr"/>
      <c r="C5" s="6" t="inlineStr">
        <is>
          <t>Target: ≥95%</t>
        </is>
      </c>
    </row>
    <row r="6">
      <c r="A6" s="6" t="inlineStr">
        <is>
          <t>On-Time Completion Rate</t>
        </is>
      </c>
      <c r="B6" s="10" t="inlineStr"/>
      <c r="C6" s="6" t="inlineStr">
        <is>
          <t>Target: ≥90%</t>
        </is>
      </c>
    </row>
    <row r="7">
      <c r="A7" s="6" t="inlineStr">
        <is>
          <t>Average Assessment Score</t>
        </is>
      </c>
      <c r="B7" s="10" t="inlineStr"/>
      <c r="C7" s="6" t="inlineStr">
        <is>
          <t>Target: ≥80%</t>
        </is>
      </c>
    </row>
    <row r="8">
      <c r="A8" s="6" t="inlineStr">
        <is>
          <t>Phishing Click Rate</t>
        </is>
      </c>
      <c r="B8" s="10" t="inlineStr"/>
      <c r="C8" s="6" t="inlineStr">
        <is>
          <t>Target: ≤5%</t>
        </is>
      </c>
    </row>
    <row r="9">
      <c r="A9" s="6" t="inlineStr">
        <is>
          <t>Phishing Report Rate</t>
        </is>
      </c>
      <c r="B9" s="10" t="inlineStr"/>
      <c r="C9" s="6" t="inlineStr">
        <is>
          <t>Target: ≥70%</t>
        </is>
      </c>
    </row>
    <row r="10">
      <c r="A10" s="6" t="inlineStr">
        <is>
          <t>Active Remediation Cases</t>
        </is>
      </c>
      <c r="B10" s="10" t="inlineStr"/>
      <c r="C10" s="6" t="inlineStr">
        <is>
          <t>Target: Minimized</t>
        </is>
      </c>
    </row>
    <row r="13">
      <c r="A13" s="2" t="inlineStr">
        <is>
          <t>COMPLIANCE STATUS</t>
        </is>
      </c>
    </row>
    <row r="14">
      <c r="A14" s="3" t="inlineStr">
        <is>
          <t>Overall Status:</t>
        </is>
      </c>
      <c r="B14" s="4" t="n"/>
    </row>
    <row r="17">
      <c r="A17" s="2" t="inlineStr">
        <is>
          <t>TOP 5 RISK AREAS</t>
        </is>
      </c>
    </row>
    <row r="18">
      <c r="A18" s="9" t="inlineStr">
        <is>
          <t>Priority</t>
        </is>
      </c>
      <c r="B18" s="9" t="inlineStr">
        <is>
          <t>Risk Area</t>
        </is>
      </c>
      <c r="C18" s="9" t="inlineStr">
        <is>
          <t>Current Status</t>
        </is>
      </c>
      <c r="D18" s="9" t="inlineStr">
        <is>
          <t>Action Required</t>
        </is>
      </c>
    </row>
    <row r="19">
      <c r="A19" s="6" t="n">
        <v>1</v>
      </c>
      <c r="B19" s="4" t="n"/>
      <c r="C19" s="4" t="n"/>
      <c r="D19" s="4" t="n"/>
    </row>
    <row r="20">
      <c r="A20" s="6" t="n">
        <v>2</v>
      </c>
      <c r="B20" s="4" t="n"/>
      <c r="C20" s="4" t="n"/>
      <c r="D20" s="4" t="n"/>
    </row>
    <row r="21">
      <c r="A21" s="6" t="n">
        <v>3</v>
      </c>
      <c r="B21" s="4" t="n"/>
      <c r="C21" s="4" t="n"/>
      <c r="D21" s="4" t="n"/>
    </row>
    <row r="22">
      <c r="A22" s="6" t="n">
        <v>4</v>
      </c>
      <c r="B22" s="4" t="n"/>
      <c r="C22" s="4" t="n"/>
      <c r="D22" s="4" t="n"/>
    </row>
    <row r="23">
      <c r="A23" s="6" t="n">
        <v>5</v>
      </c>
      <c r="B23" s="4" t="n"/>
      <c r="C23" s="4" t="n"/>
      <c r="D23" s="4" t="n"/>
    </row>
    <row r="26">
      <c r="A26" s="2" t="inlineStr">
        <is>
          <t>KEY ACHIEVEMENTS THIS PERIOD</t>
        </is>
      </c>
    </row>
    <row r="27">
      <c r="A27" t="inlineStr">
        <is>
          <t>1.</t>
        </is>
      </c>
      <c r="B27" s="4" t="n"/>
    </row>
    <row r="28">
      <c r="A28" t="inlineStr">
        <is>
          <t>2.</t>
        </is>
      </c>
      <c r="B28" s="4" t="n"/>
    </row>
    <row r="29">
      <c r="A29" t="inlineStr">
        <is>
          <t>3.</t>
        </is>
      </c>
      <c r="B29" s="4" t="n"/>
    </row>
  </sheetData>
  <mergeCells count="4">
    <mergeCell ref="B29:D29"/>
    <mergeCell ref="B27:D27"/>
    <mergeCell ref="A1:F1"/>
    <mergeCell ref="B28:D28"/>
  </mergeCells>
  <dataValidations count="1">
    <dataValidation sqref="B14" showDropDown="0" showInputMessage="0" showErrorMessage="0" allowBlank="0" type="list">
      <formula1>"Green - Compliant,Yellow - Minor Gaps,Red - Significant Gaps"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pane ySplit="3" topLeftCell="A4" activePane="bottomLeft" state="frozen"/>
      <selection pane="bottomLeft" activeCell="A1" sqref="A1"/>
    </sheetView>
  </sheetViews>
  <sheetFormatPr baseColWidth="8" defaultRowHeight="15"/>
  <cols>
    <col width="25" customWidth="1" min="1" max="1"/>
    <col width="15" customWidth="1" min="2" max="2"/>
    <col width="18" customWidth="1" min="3" max="3"/>
    <col width="12" customWidth="1" min="4" max="4"/>
    <col width="15" customWidth="1" min="5" max="5"/>
    <col width="15" customWidth="1" min="6" max="6"/>
    <col width="15" customWidth="1" min="7" max="7"/>
    <col width="15" customWidth="1" min="8" max="8"/>
    <col width="18" customWidth="1" min="9" max="9"/>
    <col width="18" customWidth="1" min="10" max="10"/>
  </cols>
  <sheetData>
    <row r="1" ht="40" customHeight="1">
      <c r="A1" s="1" t="inlineStr">
        <is>
          <t>COMPLIANCE METRICS
Detailed compliance breakdowns</t>
        </is>
      </c>
    </row>
    <row r="3">
      <c r="A3" s="9" t="inlineStr">
        <is>
          <t>Category</t>
        </is>
      </c>
      <c r="B3" s="9" t="inlineStr">
        <is>
          <t>Total_Population</t>
        </is>
      </c>
      <c r="C3" s="9" t="inlineStr">
        <is>
          <t>Training_Required</t>
        </is>
      </c>
      <c r="D3" s="9" t="inlineStr">
        <is>
          <t>Completed</t>
        </is>
      </c>
      <c r="E3" s="9" t="inlineStr">
        <is>
          <t>Completion_Rate</t>
        </is>
      </c>
      <c r="F3" s="9" t="inlineStr">
        <is>
          <t>On_Time_Rate</t>
        </is>
      </c>
      <c r="G3" s="9" t="inlineStr">
        <is>
          <t>Average_Score</t>
        </is>
      </c>
      <c r="H3" s="9" t="inlineStr">
        <is>
          <t>Overdue_Count</t>
        </is>
      </c>
      <c r="I3" s="9" t="inlineStr">
        <is>
          <t>Remediation_Active</t>
        </is>
      </c>
      <c r="J3" s="9" t="inlineStr">
        <is>
          <t>Compliance_Status</t>
        </is>
      </c>
    </row>
    <row r="4">
      <c r="A4" s="11" t="n"/>
      <c r="B4" s="11" t="n"/>
      <c r="C4" s="11" t="n"/>
      <c r="D4" s="11" t="n"/>
      <c r="E4" s="12">
        <f>IF(C4=0,"N/A",ROUND(D4/C4*100,1)&amp;"%")</f>
        <v/>
      </c>
      <c r="F4" s="11" t="n"/>
      <c r="G4" s="11" t="n"/>
      <c r="H4" s="11" t="n"/>
      <c r="I4" s="11" t="n"/>
      <c r="J4" s="11" t="n"/>
    </row>
    <row r="5">
      <c r="A5" s="11" t="n"/>
      <c r="B5" s="11" t="n"/>
      <c r="C5" s="11" t="n"/>
      <c r="D5" s="11" t="n"/>
      <c r="E5" s="12">
        <f>IF(C5=0,"N/A",ROUND(D5/C5*100,1)&amp;"%")</f>
        <v/>
      </c>
      <c r="F5" s="11" t="n"/>
      <c r="G5" s="11" t="n"/>
      <c r="H5" s="11" t="n"/>
      <c r="I5" s="11" t="n"/>
      <c r="J5" s="11" t="n"/>
    </row>
    <row r="6">
      <c r="A6" s="11" t="n"/>
      <c r="B6" s="11" t="n"/>
      <c r="C6" s="11" t="n"/>
      <c r="D6" s="11" t="n"/>
      <c r="E6" s="12">
        <f>IF(C6=0,"N/A",ROUND(D6/C6*100,1)&amp;"%")</f>
        <v/>
      </c>
      <c r="F6" s="11" t="n"/>
      <c r="G6" s="11" t="n"/>
      <c r="H6" s="11" t="n"/>
      <c r="I6" s="11" t="n"/>
      <c r="J6" s="11" t="n"/>
    </row>
    <row r="7">
      <c r="A7" s="11" t="n"/>
      <c r="B7" s="11" t="n"/>
      <c r="C7" s="11" t="n"/>
      <c r="D7" s="11" t="n"/>
      <c r="E7" s="12">
        <f>IF(C7=0,"N/A",ROUND(D7/C7*100,1)&amp;"%")</f>
        <v/>
      </c>
      <c r="F7" s="11" t="n"/>
      <c r="G7" s="11" t="n"/>
      <c r="H7" s="11" t="n"/>
      <c r="I7" s="11" t="n"/>
      <c r="J7" s="11" t="n"/>
    </row>
    <row r="8">
      <c r="A8" s="11" t="n"/>
      <c r="B8" s="11" t="n"/>
      <c r="C8" s="11" t="n"/>
      <c r="D8" s="11" t="n"/>
      <c r="E8" s="12">
        <f>IF(C8=0,"N/A",ROUND(D8/C8*100,1)&amp;"%")</f>
        <v/>
      </c>
      <c r="F8" s="11" t="n"/>
      <c r="G8" s="11" t="n"/>
      <c r="H8" s="11" t="n"/>
      <c r="I8" s="11" t="n"/>
      <c r="J8" s="11" t="n"/>
    </row>
    <row r="9">
      <c r="A9" s="11" t="n"/>
      <c r="B9" s="11" t="n"/>
      <c r="C9" s="11" t="n"/>
      <c r="D9" s="11" t="n"/>
      <c r="E9" s="12">
        <f>IF(C9=0,"N/A",ROUND(D9/C9*100,1)&amp;"%")</f>
        <v/>
      </c>
      <c r="F9" s="11" t="n"/>
      <c r="G9" s="11" t="n"/>
      <c r="H9" s="11" t="n"/>
      <c r="I9" s="11" t="n"/>
      <c r="J9" s="11" t="n"/>
    </row>
    <row r="10">
      <c r="A10" s="11" t="n"/>
      <c r="B10" s="11" t="n"/>
      <c r="C10" s="11" t="n"/>
      <c r="D10" s="11" t="n"/>
      <c r="E10" s="12">
        <f>IF(C10=0,"N/A",ROUND(D10/C10*100,1)&amp;"%")</f>
        <v/>
      </c>
      <c r="F10" s="11" t="n"/>
      <c r="G10" s="11" t="n"/>
      <c r="H10" s="11" t="n"/>
      <c r="I10" s="11" t="n"/>
      <c r="J10" s="11" t="n"/>
    </row>
    <row r="11">
      <c r="A11" s="11" t="n"/>
      <c r="B11" s="11" t="n"/>
      <c r="C11" s="11" t="n"/>
      <c r="D11" s="11" t="n"/>
      <c r="E11" s="12">
        <f>IF(C11=0,"N/A",ROUND(D11/C11*100,1)&amp;"%")</f>
        <v/>
      </c>
      <c r="F11" s="11" t="n"/>
      <c r="G11" s="11" t="n"/>
      <c r="H11" s="11" t="n"/>
      <c r="I11" s="11" t="n"/>
      <c r="J11" s="11" t="n"/>
    </row>
    <row r="12">
      <c r="A12" s="11" t="n"/>
      <c r="B12" s="11" t="n"/>
      <c r="C12" s="11" t="n"/>
      <c r="D12" s="11" t="n"/>
      <c r="E12" s="12">
        <f>IF(C12=0,"N/A",ROUND(D12/C12*100,1)&amp;"%")</f>
        <v/>
      </c>
      <c r="F12" s="11" t="n"/>
      <c r="G12" s="11" t="n"/>
      <c r="H12" s="11" t="n"/>
      <c r="I12" s="11" t="n"/>
      <c r="J12" s="11" t="n"/>
    </row>
    <row r="13">
      <c r="A13" s="11" t="n"/>
      <c r="B13" s="11" t="n"/>
      <c r="C13" s="11" t="n"/>
      <c r="D13" s="11" t="n"/>
      <c r="E13" s="12">
        <f>IF(C13=0,"N/A",ROUND(D13/C13*100,1)&amp;"%")</f>
        <v/>
      </c>
      <c r="F13" s="11" t="n"/>
      <c r="G13" s="11" t="n"/>
      <c r="H13" s="11" t="n"/>
      <c r="I13" s="11" t="n"/>
      <c r="J13" s="11" t="n"/>
    </row>
    <row r="14">
      <c r="A14" s="11" t="n"/>
      <c r="B14" s="11" t="n"/>
      <c r="C14" s="11" t="n"/>
      <c r="D14" s="11" t="n"/>
      <c r="E14" s="12">
        <f>IF(C14=0,"N/A",ROUND(D14/C14*100,1)&amp;"%")</f>
        <v/>
      </c>
      <c r="F14" s="11" t="n"/>
      <c r="G14" s="11" t="n"/>
      <c r="H14" s="11" t="n"/>
      <c r="I14" s="11" t="n"/>
      <c r="J14" s="11" t="n"/>
    </row>
    <row r="15">
      <c r="A15" s="11" t="n"/>
      <c r="B15" s="11" t="n"/>
      <c r="C15" s="11" t="n"/>
      <c r="D15" s="11" t="n"/>
      <c r="E15" s="12">
        <f>IF(C15=0,"N/A",ROUND(D15/C15*100,1)&amp;"%")</f>
        <v/>
      </c>
      <c r="F15" s="11" t="n"/>
      <c r="G15" s="11" t="n"/>
      <c r="H15" s="11" t="n"/>
      <c r="I15" s="11" t="n"/>
      <c r="J15" s="11" t="n"/>
    </row>
    <row r="16">
      <c r="A16" s="11" t="n"/>
      <c r="B16" s="11" t="n"/>
      <c r="C16" s="11" t="n"/>
      <c r="D16" s="11" t="n"/>
      <c r="E16" s="12">
        <f>IF(C16=0,"N/A",ROUND(D16/C16*100,1)&amp;"%")</f>
        <v/>
      </c>
      <c r="F16" s="11" t="n"/>
      <c r="G16" s="11" t="n"/>
      <c r="H16" s="11" t="n"/>
      <c r="I16" s="11" t="n"/>
      <c r="J16" s="11" t="n"/>
    </row>
    <row r="17">
      <c r="A17" s="11" t="n"/>
      <c r="B17" s="11" t="n"/>
      <c r="C17" s="11" t="n"/>
      <c r="D17" s="11" t="n"/>
      <c r="E17" s="12">
        <f>IF(C17=0,"N/A",ROUND(D17/C17*100,1)&amp;"%")</f>
        <v/>
      </c>
      <c r="F17" s="11" t="n"/>
      <c r="G17" s="11" t="n"/>
      <c r="H17" s="11" t="n"/>
      <c r="I17" s="11" t="n"/>
      <c r="J17" s="11" t="n"/>
    </row>
    <row r="18">
      <c r="A18" s="11" t="n"/>
      <c r="B18" s="11" t="n"/>
      <c r="C18" s="11" t="n"/>
      <c r="D18" s="11" t="n"/>
      <c r="E18" s="12">
        <f>IF(C18=0,"N/A",ROUND(D18/C18*100,1)&amp;"%")</f>
        <v/>
      </c>
      <c r="F18" s="11" t="n"/>
      <c r="G18" s="11" t="n"/>
      <c r="H18" s="11" t="n"/>
      <c r="I18" s="11" t="n"/>
      <c r="J18" s="11" t="n"/>
    </row>
    <row r="19">
      <c r="A19" s="11" t="n"/>
      <c r="B19" s="11" t="n"/>
      <c r="C19" s="11" t="n"/>
      <c r="D19" s="11" t="n"/>
      <c r="E19" s="12">
        <f>IF(C19=0,"N/A",ROUND(D19/C19*100,1)&amp;"%")</f>
        <v/>
      </c>
      <c r="F19" s="11" t="n"/>
      <c r="G19" s="11" t="n"/>
      <c r="H19" s="11" t="n"/>
      <c r="I19" s="11" t="n"/>
      <c r="J19" s="11" t="n"/>
    </row>
    <row r="20">
      <c r="A20" s="11" t="n"/>
      <c r="B20" s="11" t="n"/>
      <c r="C20" s="11" t="n"/>
      <c r="D20" s="11" t="n"/>
      <c r="E20" s="12">
        <f>IF(C20=0,"N/A",ROUND(D20/C20*100,1)&amp;"%")</f>
        <v/>
      </c>
      <c r="F20" s="11" t="n"/>
      <c r="G20" s="11" t="n"/>
      <c r="H20" s="11" t="n"/>
      <c r="I20" s="11" t="n"/>
      <c r="J20" s="11" t="n"/>
    </row>
    <row r="21">
      <c r="A21" s="11" t="n"/>
      <c r="B21" s="11" t="n"/>
      <c r="C21" s="11" t="n"/>
      <c r="D21" s="11" t="n"/>
      <c r="E21" s="12">
        <f>IF(C21=0,"N/A",ROUND(D21/C21*100,1)&amp;"%")</f>
        <v/>
      </c>
      <c r="F21" s="11" t="n"/>
      <c r="G21" s="11" t="n"/>
      <c r="H21" s="11" t="n"/>
      <c r="I21" s="11" t="n"/>
      <c r="J21" s="11" t="n"/>
    </row>
    <row r="22">
      <c r="A22" s="11" t="n"/>
      <c r="B22" s="11" t="n"/>
      <c r="C22" s="11" t="n"/>
      <c r="D22" s="11" t="n"/>
      <c r="E22" s="12">
        <f>IF(C22=0,"N/A",ROUND(D22/C22*100,1)&amp;"%")</f>
        <v/>
      </c>
      <c r="F22" s="11" t="n"/>
      <c r="G22" s="11" t="n"/>
      <c r="H22" s="11" t="n"/>
      <c r="I22" s="11" t="n"/>
      <c r="J22" s="11" t="n"/>
    </row>
    <row r="23">
      <c r="A23" s="11" t="n"/>
      <c r="B23" s="11" t="n"/>
      <c r="C23" s="11" t="n"/>
      <c r="D23" s="11" t="n"/>
      <c r="E23" s="12">
        <f>IF(C23=0,"N/A",ROUND(D23/C23*100,1)&amp;"%")</f>
        <v/>
      </c>
      <c r="F23" s="11" t="n"/>
      <c r="G23" s="11" t="n"/>
      <c r="H23" s="11" t="n"/>
      <c r="I23" s="11" t="n"/>
      <c r="J23" s="11" t="n"/>
    </row>
    <row r="24">
      <c r="A24" s="11" t="n"/>
      <c r="B24" s="11" t="n"/>
      <c r="C24" s="11" t="n"/>
      <c r="D24" s="11" t="n"/>
      <c r="E24" s="12">
        <f>IF(C24=0,"N/A",ROUND(D24/C24*100,1)&amp;"%")</f>
        <v/>
      </c>
      <c r="F24" s="11" t="n"/>
      <c r="G24" s="11" t="n"/>
      <c r="H24" s="11" t="n"/>
      <c r="I24" s="11" t="n"/>
      <c r="J24" s="11" t="n"/>
    </row>
    <row r="25">
      <c r="A25" s="11" t="n"/>
      <c r="B25" s="11" t="n"/>
      <c r="C25" s="11" t="n"/>
      <c r="D25" s="11" t="n"/>
      <c r="E25" s="12">
        <f>IF(C25=0,"N/A",ROUND(D25/C25*100,1)&amp;"%")</f>
        <v/>
      </c>
      <c r="F25" s="11" t="n"/>
      <c r="G25" s="11" t="n"/>
      <c r="H25" s="11" t="n"/>
      <c r="I25" s="11" t="n"/>
      <c r="J25" s="11" t="n"/>
    </row>
    <row r="26">
      <c r="A26" s="11" t="n"/>
      <c r="B26" s="11" t="n"/>
      <c r="C26" s="11" t="n"/>
      <c r="D26" s="11" t="n"/>
      <c r="E26" s="12">
        <f>IF(C26=0,"N/A",ROUND(D26/C26*100,1)&amp;"%")</f>
        <v/>
      </c>
      <c r="F26" s="11" t="n"/>
      <c r="G26" s="11" t="n"/>
      <c r="H26" s="11" t="n"/>
      <c r="I26" s="11" t="n"/>
      <c r="J26" s="11" t="n"/>
    </row>
    <row r="27">
      <c r="A27" s="11" t="n"/>
      <c r="B27" s="11" t="n"/>
      <c r="C27" s="11" t="n"/>
      <c r="D27" s="11" t="n"/>
      <c r="E27" s="12">
        <f>IF(C27=0,"N/A",ROUND(D27/C27*100,1)&amp;"%")</f>
        <v/>
      </c>
      <c r="F27" s="11" t="n"/>
      <c r="G27" s="11" t="n"/>
      <c r="H27" s="11" t="n"/>
      <c r="I27" s="11" t="n"/>
      <c r="J27" s="11" t="n"/>
    </row>
    <row r="28">
      <c r="A28" s="11" t="n"/>
      <c r="B28" s="11" t="n"/>
      <c r="C28" s="11" t="n"/>
      <c r="D28" s="11" t="n"/>
      <c r="E28" s="12">
        <f>IF(C28=0,"N/A",ROUND(D28/C28*100,1)&amp;"%")</f>
        <v/>
      </c>
      <c r="F28" s="11" t="n"/>
      <c r="G28" s="11" t="n"/>
      <c r="H28" s="11" t="n"/>
      <c r="I28" s="11" t="n"/>
      <c r="J28" s="11" t="n"/>
    </row>
    <row r="29">
      <c r="A29" s="11" t="n"/>
      <c r="B29" s="11" t="n"/>
      <c r="C29" s="11" t="n"/>
      <c r="D29" s="11" t="n"/>
      <c r="E29" s="12">
        <f>IF(C29=0,"N/A",ROUND(D29/C29*100,1)&amp;"%")</f>
        <v/>
      </c>
      <c r="F29" s="11" t="n"/>
      <c r="G29" s="11" t="n"/>
      <c r="H29" s="11" t="n"/>
      <c r="I29" s="11" t="n"/>
      <c r="J29" s="11" t="n"/>
    </row>
    <row r="30">
      <c r="A30" s="11" t="n"/>
      <c r="B30" s="11" t="n"/>
      <c r="C30" s="11" t="n"/>
      <c r="D30" s="11" t="n"/>
      <c r="E30" s="12">
        <f>IF(C30=0,"N/A",ROUND(D30/C30*100,1)&amp;"%")</f>
        <v/>
      </c>
      <c r="F30" s="11" t="n"/>
      <c r="G30" s="11" t="n"/>
      <c r="H30" s="11" t="n"/>
      <c r="I30" s="11" t="n"/>
      <c r="J30" s="11" t="n"/>
    </row>
    <row r="31">
      <c r="A31" s="11" t="n"/>
      <c r="B31" s="11" t="n"/>
      <c r="C31" s="11" t="n"/>
      <c r="D31" s="11" t="n"/>
      <c r="E31" s="12">
        <f>IF(C31=0,"N/A",ROUND(D31/C31*100,1)&amp;"%")</f>
        <v/>
      </c>
      <c r="F31" s="11" t="n"/>
      <c r="G31" s="11" t="n"/>
      <c r="H31" s="11" t="n"/>
      <c r="I31" s="11" t="n"/>
      <c r="J31" s="11" t="n"/>
    </row>
    <row r="32">
      <c r="A32" s="11" t="n"/>
      <c r="B32" s="11" t="n"/>
      <c r="C32" s="11" t="n"/>
      <c r="D32" s="11" t="n"/>
      <c r="E32" s="12">
        <f>IF(C32=0,"N/A",ROUND(D32/C32*100,1)&amp;"%")</f>
        <v/>
      </c>
      <c r="F32" s="11" t="n"/>
      <c r="G32" s="11" t="n"/>
      <c r="H32" s="11" t="n"/>
      <c r="I32" s="11" t="n"/>
      <c r="J32" s="11" t="n"/>
    </row>
    <row r="33">
      <c r="A33" s="11" t="n"/>
      <c r="B33" s="11" t="n"/>
      <c r="C33" s="11" t="n"/>
      <c r="D33" s="11" t="n"/>
      <c r="E33" s="12">
        <f>IF(C33=0,"N/A",ROUND(D33/C33*100,1)&amp;"%")</f>
        <v/>
      </c>
      <c r="F33" s="11" t="n"/>
      <c r="G33" s="11" t="n"/>
      <c r="H33" s="11" t="n"/>
      <c r="I33" s="11" t="n"/>
      <c r="J33" s="11" t="n"/>
    </row>
  </sheetData>
  <mergeCells count="1">
    <mergeCell ref="A1:J1"/>
  </mergeCells>
  <dataValidations count="1">
    <dataValidation sqref="J4 J5 J6 J7 J8 J9 J10 J11 J12 J13 J14 J15 J16 J17 J18 J19 J20 J21 J22 J23 J24 J25 J26 J27 J28 J29 J30 J31 J32 J33" showDropDown="0" showInputMessage="0" showErrorMessage="0" allowBlank="0" type="list">
      <formula1>"Green,Yellow,Red"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workbookViewId="0">
      <pane ySplit="3" topLeftCell="A4" activePane="bottomLeft" state="frozen"/>
      <selection pane="bottomLeft" activeCell="A1" sqref="A1"/>
    </sheetView>
  </sheetViews>
  <sheetFormatPr baseColWidth="8" defaultRowHeight="15"/>
  <cols>
    <col width="18" customWidth="1" min="1" max="1"/>
    <col width="30" customWidth="1" min="2" max="2"/>
    <col width="15" customWidth="1" min="3" max="3"/>
    <col width="15" customWidth="1" min="4" max="4"/>
    <col width="15" customWidth="1" min="5" max="5"/>
    <col width="15" customWidth="1" min="6" max="6"/>
    <col width="18" customWidth="1" min="7" max="7"/>
    <col width="30" customWidth="1" min="8" max="8"/>
    <col width="40" customWidth="1" min="9" max="9"/>
  </cols>
  <sheetData>
    <row r="1" ht="40" customHeight="1">
      <c r="A1" s="1" t="inlineStr">
        <is>
          <t>EFFECTIVENESS METRICS
Measure training impact on security behavior</t>
        </is>
      </c>
    </row>
    <row r="3">
      <c r="A3" s="9" t="inlineStr">
        <is>
          <t>Metric_Category</t>
        </is>
      </c>
      <c r="B3" s="9" t="inlineStr">
        <is>
          <t>Metric_Name</t>
        </is>
      </c>
      <c r="C3" s="9" t="inlineStr">
        <is>
          <t>Baseline_Value</t>
        </is>
      </c>
      <c r="D3" s="9" t="inlineStr">
        <is>
          <t>Current_Value</t>
        </is>
      </c>
      <c r="E3" s="9" t="inlineStr">
        <is>
          <t>Target_Value</t>
        </is>
      </c>
      <c r="F3" s="9" t="inlineStr">
        <is>
          <t>Trend_Direction</t>
        </is>
      </c>
      <c r="G3" s="9" t="inlineStr">
        <is>
          <t>Period_Comparison</t>
        </is>
      </c>
      <c r="H3" s="9" t="inlineStr">
        <is>
          <t>Data_Source</t>
        </is>
      </c>
      <c r="I3" s="9" t="inlineStr">
        <is>
          <t>Notes</t>
        </is>
      </c>
    </row>
    <row r="4">
      <c r="A4" s="6" t="inlineStr">
        <is>
          <t>Behavior</t>
        </is>
      </c>
      <c r="B4" s="6" t="inlineStr">
        <is>
          <t>Phishing Click Rate</t>
        </is>
      </c>
      <c r="C4" s="4" t="n"/>
      <c r="D4" s="4" t="n"/>
      <c r="E4" s="6" t="inlineStr">
        <is>
          <t>≤5%</t>
        </is>
      </c>
      <c r="F4" s="4" t="n"/>
      <c r="G4" s="4" t="n"/>
      <c r="H4" s="6" t="inlineStr">
        <is>
          <t>IMP-A.6.3.3 Simulation_Results</t>
        </is>
      </c>
      <c r="I4" s="4" t="n"/>
    </row>
    <row r="5">
      <c r="A5" s="6" t="inlineStr">
        <is>
          <t>Behavior</t>
        </is>
      </c>
      <c r="B5" s="6" t="inlineStr">
        <is>
          <t>Phishing Report Rate</t>
        </is>
      </c>
      <c r="C5" s="4" t="n"/>
      <c r="D5" s="4" t="n"/>
      <c r="E5" s="6" t="inlineStr">
        <is>
          <t>≥70%</t>
        </is>
      </c>
      <c r="F5" s="4" t="n"/>
      <c r="G5" s="4" t="n"/>
      <c r="H5" s="6" t="inlineStr">
        <is>
          <t>IMP-A.6.3.3 Simulation_Results</t>
        </is>
      </c>
      <c r="I5" s="4" t="n"/>
    </row>
    <row r="6">
      <c r="A6" s="6" t="inlineStr">
        <is>
          <t>Behavior</t>
        </is>
      </c>
      <c r="B6" s="6" t="inlineStr">
        <is>
          <t>Credential Submission Rate</t>
        </is>
      </c>
      <c r="C6" s="4" t="n"/>
      <c r="D6" s="4" t="n"/>
      <c r="E6" s="6" t="inlineStr">
        <is>
          <t>≤1%</t>
        </is>
      </c>
      <c r="F6" s="4" t="n"/>
      <c r="G6" s="4" t="n"/>
      <c r="H6" s="6" t="inlineStr">
        <is>
          <t>IMP-A.6.3.3 Simulation_Results</t>
        </is>
      </c>
      <c r="I6" s="4" t="n"/>
    </row>
    <row r="7">
      <c r="A7" s="6" t="inlineStr">
        <is>
          <t>Knowledge</t>
        </is>
      </c>
      <c r="B7" s="6" t="inlineStr">
        <is>
          <t>First-Attempt Pass Rate</t>
        </is>
      </c>
      <c r="C7" s="4" t="n"/>
      <c r="D7" s="4" t="n"/>
      <c r="E7" s="6" t="inlineStr">
        <is>
          <t>≥85%</t>
        </is>
      </c>
      <c r="F7" s="4" t="n"/>
      <c r="G7" s="4" t="n"/>
      <c r="H7" s="6" t="inlineStr">
        <is>
          <t>IMP-A.6.3.3 Assessment_Results</t>
        </is>
      </c>
      <c r="I7" s="4" t="n"/>
    </row>
    <row r="8">
      <c r="A8" s="6" t="inlineStr">
        <is>
          <t>Knowledge</t>
        </is>
      </c>
      <c r="B8" s="6" t="inlineStr">
        <is>
          <t>Average Assessment Score</t>
        </is>
      </c>
      <c r="C8" s="4" t="n"/>
      <c r="D8" s="4" t="n"/>
      <c r="E8" s="6" t="inlineStr">
        <is>
          <t>≥80%</t>
        </is>
      </c>
      <c r="F8" s="4" t="n"/>
      <c r="G8" s="4" t="n"/>
      <c r="H8" s="6" t="inlineStr">
        <is>
          <t>IMP-A.6.3.3 Assessment_Results</t>
        </is>
      </c>
      <c r="I8" s="4" t="n"/>
    </row>
    <row r="9">
      <c r="A9" s="6" t="inlineStr">
        <is>
          <t>Knowledge</t>
        </is>
      </c>
      <c r="B9" s="6" t="inlineStr">
        <is>
          <t>Remediation Success Rate</t>
        </is>
      </c>
      <c r="C9" s="4" t="n"/>
      <c r="D9" s="4" t="n"/>
      <c r="E9" s="6" t="inlineStr">
        <is>
          <t>≥95%</t>
        </is>
      </c>
      <c r="F9" s="4" t="n"/>
      <c r="G9" s="4" t="n"/>
      <c r="H9" s="6" t="inlineStr">
        <is>
          <t>IMP-A.6.3.3 Remediation_Tracking</t>
        </is>
      </c>
      <c r="I9" s="4" t="n"/>
    </row>
    <row r="10">
      <c r="A10" s="6" t="inlineStr">
        <is>
          <t>Compliance</t>
        </is>
      </c>
      <c r="B10" s="6" t="inlineStr">
        <is>
          <t>On-Time Completion Rate</t>
        </is>
      </c>
      <c r="C10" s="4" t="n"/>
      <c r="D10" s="4" t="n"/>
      <c r="E10" s="6" t="inlineStr">
        <is>
          <t>≥90%</t>
        </is>
      </c>
      <c r="F10" s="4" t="n"/>
      <c r="G10" s="4" t="n"/>
      <c r="H10" s="6" t="inlineStr">
        <is>
          <t>IMP-A.6.3.3 Completion_Tracking</t>
        </is>
      </c>
      <c r="I10" s="4" t="n"/>
    </row>
    <row r="11">
      <c r="A11" s="6" t="inlineStr">
        <is>
          <t>Compliance</t>
        </is>
      </c>
      <c r="B11" s="6" t="inlineStr">
        <is>
          <t>Annual Training Completion</t>
        </is>
      </c>
      <c r="C11" s="4" t="n"/>
      <c r="D11" s="4" t="n"/>
      <c r="E11" s="6" t="inlineStr">
        <is>
          <t>100%</t>
        </is>
      </c>
      <c r="F11" s="4" t="n"/>
      <c r="G11" s="4" t="n"/>
      <c r="H11" s="6" t="inlineStr">
        <is>
          <t>IMP-A.6.3.3 Completion_Tracking</t>
        </is>
      </c>
      <c r="I11" s="4" t="n"/>
    </row>
    <row r="12">
      <c r="A12" s="6" t="inlineStr">
        <is>
          <t>Risk</t>
        </is>
      </c>
      <c r="B12" s="6" t="inlineStr">
        <is>
          <t>Training-Related Incidents</t>
        </is>
      </c>
      <c r="C12" s="4" t="n"/>
      <c r="D12" s="4" t="n"/>
      <c r="E12" s="6" t="inlineStr">
        <is>
          <t>Decreasing</t>
        </is>
      </c>
      <c r="F12" s="4" t="n"/>
      <c r="G12" s="4" t="n"/>
      <c r="H12" s="6" t="inlineStr">
        <is>
          <t>Incident Management System</t>
        </is>
      </c>
      <c r="I12" s="4" t="n"/>
    </row>
    <row r="13">
      <c r="A13" s="6" t="inlineStr">
        <is>
          <t>Risk</t>
        </is>
      </c>
      <c r="B13" s="6" t="inlineStr">
        <is>
          <t>Policy Violations (Training Gap)</t>
        </is>
      </c>
      <c r="C13" s="4" t="n"/>
      <c r="D13" s="4" t="n"/>
      <c r="E13" s="6" t="inlineStr">
        <is>
          <t>Decreasing</t>
        </is>
      </c>
      <c r="F13" s="4" t="n"/>
      <c r="G13" s="4" t="n"/>
      <c r="H13" s="6" t="inlineStr">
        <is>
          <t>Policy Violation Log</t>
        </is>
      </c>
      <c r="I13" s="4" t="n"/>
    </row>
    <row r="14">
      <c r="A14" s="4" t="n"/>
      <c r="B14" s="4" t="n"/>
      <c r="C14" s="4" t="n"/>
      <c r="D14" s="4" t="n"/>
      <c r="E14" s="4" t="n"/>
      <c r="F14" s="4" t="n"/>
      <c r="G14" s="4" t="n"/>
      <c r="H14" s="4" t="n"/>
      <c r="I14" s="4" t="n"/>
    </row>
    <row r="15">
      <c r="A15" s="4" t="n"/>
      <c r="B15" s="4" t="n"/>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row r="19">
      <c r="A19" s="4" t="n"/>
      <c r="B19" s="4" t="n"/>
      <c r="C19" s="4" t="n"/>
      <c r="D19" s="4" t="n"/>
      <c r="E19" s="4" t="n"/>
      <c r="F19" s="4" t="n"/>
      <c r="G19" s="4" t="n"/>
      <c r="H19" s="4" t="n"/>
      <c r="I19" s="4" t="n"/>
    </row>
    <row r="20">
      <c r="A20" s="4" t="n"/>
      <c r="B20" s="4" t="n"/>
      <c r="C20" s="4" t="n"/>
      <c r="D20" s="4" t="n"/>
      <c r="E20" s="4" t="n"/>
      <c r="F20" s="4" t="n"/>
      <c r="G20" s="4" t="n"/>
      <c r="H20" s="4" t="n"/>
      <c r="I20" s="4" t="n"/>
    </row>
    <row r="21">
      <c r="A21" s="4" t="n"/>
      <c r="B21" s="4" t="n"/>
      <c r="C21" s="4" t="n"/>
      <c r="D21" s="4" t="n"/>
      <c r="E21" s="4" t="n"/>
      <c r="F21" s="4" t="n"/>
      <c r="G21" s="4" t="n"/>
      <c r="H21" s="4" t="n"/>
      <c r="I21" s="4" t="n"/>
    </row>
    <row r="22">
      <c r="A22" s="4" t="n"/>
      <c r="B22" s="4" t="n"/>
      <c r="C22" s="4" t="n"/>
      <c r="D22" s="4" t="n"/>
      <c r="E22" s="4" t="n"/>
      <c r="F22" s="4" t="n"/>
      <c r="G22" s="4" t="n"/>
      <c r="H22" s="4" t="n"/>
      <c r="I22" s="4" t="n"/>
    </row>
    <row r="23">
      <c r="A23" s="4" t="n"/>
      <c r="B23" s="4" t="n"/>
      <c r="C23" s="4" t="n"/>
      <c r="D23" s="4" t="n"/>
      <c r="E23" s="4" t="n"/>
      <c r="F23" s="4" t="n"/>
      <c r="G23" s="4" t="n"/>
      <c r="H23" s="4" t="n"/>
      <c r="I23" s="4" t="n"/>
    </row>
  </sheetData>
  <mergeCells count="1">
    <mergeCell ref="A1:I1"/>
  </mergeCells>
  <dataValidations count="1">
    <dataValidation sqref="F4 F5 F6 F7 F8 F9 F10 F11 F12 F13 F14 F15 F16 F17 F18 F19 F20 F21 F22 F23" showDropDown="0" showInputMessage="0" showErrorMessage="0" allowBlank="0" type="list">
      <formula1>"↑ Improving,→ Stable,↓ Declining,↑ Worsening"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8" customWidth="1" min="5" max="5"/>
    <col width="18" customWidth="1" min="6" max="6"/>
    <col width="15" customWidth="1" min="7" max="7"/>
    <col width="18" customWidth="1" min="8" max="8"/>
    <col width="15" customWidth="1" min="9" max="9"/>
  </cols>
  <sheetData>
    <row r="1" ht="40" customHeight="1">
      <c r="A1" s="1" t="inlineStr">
        <is>
          <t>TREND ANALYSIS
Historical performance tracking</t>
        </is>
      </c>
    </row>
    <row r="3">
      <c r="A3" s="9" t="inlineStr">
        <is>
          <t>Period</t>
        </is>
      </c>
      <c r="B3" s="9" t="inlineStr">
        <is>
          <t>Completion_Rate</t>
        </is>
      </c>
      <c r="C3" s="9" t="inlineStr">
        <is>
          <t>On_Time_Rate</t>
        </is>
      </c>
      <c r="D3" s="9" t="inlineStr">
        <is>
          <t>Average_Score</t>
        </is>
      </c>
      <c r="E3" s="9" t="inlineStr">
        <is>
          <t>Phishing_Click_Rate</t>
        </is>
      </c>
      <c r="F3" s="9" t="inlineStr">
        <is>
          <t>Phishing_Report_Rate</t>
        </is>
      </c>
      <c r="G3" s="9" t="inlineStr">
        <is>
          <t>Incident_Count</t>
        </is>
      </c>
      <c r="H3" s="9" t="inlineStr">
        <is>
          <t>Remediation_Count</t>
        </is>
      </c>
      <c r="I3" s="9" t="inlineStr">
        <is>
          <t>Compliance_Score</t>
        </is>
      </c>
    </row>
    <row r="4">
      <c r="A4" s="6" t="inlineStr">
        <is>
          <t>Jan</t>
        </is>
      </c>
      <c r="B4" s="4" t="n"/>
      <c r="C4" s="4" t="n"/>
      <c r="D4" s="4" t="n"/>
      <c r="E4" s="4" t="n"/>
      <c r="F4" s="4" t="n"/>
      <c r="G4" s="4" t="n"/>
      <c r="H4" s="4" t="n"/>
      <c r="I4" s="4" t="n"/>
    </row>
    <row r="5">
      <c r="A5" s="6" t="inlineStr">
        <is>
          <t>Feb</t>
        </is>
      </c>
      <c r="B5" s="4" t="n"/>
      <c r="C5" s="4" t="n"/>
      <c r="D5" s="4" t="n"/>
      <c r="E5" s="4" t="n"/>
      <c r="F5" s="4" t="n"/>
      <c r="G5" s="4" t="n"/>
      <c r="H5" s="4" t="n"/>
      <c r="I5" s="4" t="n"/>
    </row>
    <row r="6">
      <c r="A6" s="6" t="inlineStr">
        <is>
          <t>Mar</t>
        </is>
      </c>
      <c r="B6" s="4" t="n"/>
      <c r="C6" s="4" t="n"/>
      <c r="D6" s="4" t="n"/>
      <c r="E6" s="4" t="n"/>
      <c r="F6" s="4" t="n"/>
      <c r="G6" s="4" t="n"/>
      <c r="H6" s="4" t="n"/>
      <c r="I6" s="4" t="n"/>
    </row>
    <row r="7">
      <c r="A7" s="6" t="inlineStr">
        <is>
          <t>Apr</t>
        </is>
      </c>
      <c r="B7" s="4" t="n"/>
      <c r="C7" s="4" t="n"/>
      <c r="D7" s="4" t="n"/>
      <c r="E7" s="4" t="n"/>
      <c r="F7" s="4" t="n"/>
      <c r="G7" s="4" t="n"/>
      <c r="H7" s="4" t="n"/>
      <c r="I7" s="4" t="n"/>
    </row>
    <row r="8">
      <c r="A8" s="6" t="inlineStr">
        <is>
          <t>May</t>
        </is>
      </c>
      <c r="B8" s="4" t="n"/>
      <c r="C8" s="4" t="n"/>
      <c r="D8" s="4" t="n"/>
      <c r="E8" s="4" t="n"/>
      <c r="F8" s="4" t="n"/>
      <c r="G8" s="4" t="n"/>
      <c r="H8" s="4" t="n"/>
      <c r="I8" s="4" t="n"/>
    </row>
    <row r="9">
      <c r="A9" s="6" t="inlineStr">
        <is>
          <t>Jun</t>
        </is>
      </c>
      <c r="B9" s="4" t="n"/>
      <c r="C9" s="4" t="n"/>
      <c r="D9" s="4" t="n"/>
      <c r="E9" s="4" t="n"/>
      <c r="F9" s="4" t="n"/>
      <c r="G9" s="4" t="n"/>
      <c r="H9" s="4" t="n"/>
      <c r="I9" s="4" t="n"/>
    </row>
    <row r="10">
      <c r="A10" s="6" t="inlineStr">
        <is>
          <t>Jul</t>
        </is>
      </c>
      <c r="B10" s="4" t="n"/>
      <c r="C10" s="4" t="n"/>
      <c r="D10" s="4" t="n"/>
      <c r="E10" s="4" t="n"/>
      <c r="F10" s="4" t="n"/>
      <c r="G10" s="4" t="n"/>
      <c r="H10" s="4" t="n"/>
      <c r="I10" s="4" t="n"/>
    </row>
    <row r="11">
      <c r="A11" s="6" t="inlineStr">
        <is>
          <t>Aug</t>
        </is>
      </c>
      <c r="B11" s="4" t="n"/>
      <c r="C11" s="4" t="n"/>
      <c r="D11" s="4" t="n"/>
      <c r="E11" s="4" t="n"/>
      <c r="F11" s="4" t="n"/>
      <c r="G11" s="4" t="n"/>
      <c r="H11" s="4" t="n"/>
      <c r="I11" s="4" t="n"/>
    </row>
    <row r="12">
      <c r="A12" s="6" t="inlineStr">
        <is>
          <t>Sep</t>
        </is>
      </c>
      <c r="B12" s="4" t="n"/>
      <c r="C12" s="4" t="n"/>
      <c r="D12" s="4" t="n"/>
      <c r="E12" s="4" t="n"/>
      <c r="F12" s="4" t="n"/>
      <c r="G12" s="4" t="n"/>
      <c r="H12" s="4" t="n"/>
      <c r="I12" s="4" t="n"/>
    </row>
    <row r="13">
      <c r="A13" s="6" t="inlineStr">
        <is>
          <t>Oct</t>
        </is>
      </c>
      <c r="B13" s="4" t="n"/>
      <c r="C13" s="4" t="n"/>
      <c r="D13" s="4" t="n"/>
      <c r="E13" s="4" t="n"/>
      <c r="F13" s="4" t="n"/>
      <c r="G13" s="4" t="n"/>
      <c r="H13" s="4" t="n"/>
      <c r="I13" s="4" t="n"/>
    </row>
    <row r="14">
      <c r="A14" s="6" t="inlineStr">
        <is>
          <t>Nov</t>
        </is>
      </c>
      <c r="B14" s="4" t="n"/>
      <c r="C14" s="4" t="n"/>
      <c r="D14" s="4" t="n"/>
      <c r="E14" s="4" t="n"/>
      <c r="F14" s="4" t="n"/>
      <c r="G14" s="4" t="n"/>
      <c r="H14" s="4" t="n"/>
      <c r="I14" s="4" t="n"/>
    </row>
    <row r="15">
      <c r="A15" s="6" t="inlineStr">
        <is>
          <t>Dec</t>
        </is>
      </c>
      <c r="B15" s="4" t="n"/>
      <c r="C15" s="4" t="n"/>
      <c r="D15" s="4" t="n"/>
      <c r="E15" s="4" t="n"/>
      <c r="F15" s="4" t="n"/>
      <c r="G15" s="4" t="n"/>
      <c r="H15" s="4" t="n"/>
      <c r="I15" s="4" t="n"/>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workbookViewId="0">
      <pane ySplit="5" topLeftCell="A6" activePane="bottomLeft" state="frozen"/>
      <selection pane="bottomLeft" activeCell="A1" sqref="A1"/>
    </sheetView>
  </sheetViews>
  <sheetFormatPr baseColWidth="8" defaultRowHeight="15"/>
  <cols>
    <col width="25" customWidth="1" min="1" max="1"/>
    <col width="15" customWidth="1" min="2" max="2"/>
    <col width="15" customWidth="1" min="3" max="3"/>
    <col width="15" customWidth="1" min="4" max="4"/>
    <col width="15" customWidth="1" min="5" max="5"/>
    <col width="15" customWidth="1" min="6" max="6"/>
    <col width="12" customWidth="1" min="7" max="7"/>
    <col width="40" customWidth="1" min="8" max="8"/>
  </cols>
  <sheetData>
    <row r="1" ht="40" customHeight="1">
      <c r="A1" s="1" t="inlineStr">
        <is>
          <t>RISK HEATMAP
Visual risk identification for training gaps</t>
        </is>
      </c>
    </row>
    <row r="3">
      <c r="A3" s="13" t="inlineStr">
        <is>
          <t>Risk Scoring: 0=None, 1=Low, 2=Medium, 3=High</t>
        </is>
      </c>
    </row>
    <row r="5">
      <c r="A5" s="9" t="inlineStr">
        <is>
          <t>Entity</t>
        </is>
      </c>
      <c r="B5" s="9" t="inlineStr">
        <is>
          <t>Overdue_Risk</t>
        </is>
      </c>
      <c r="C5" s="9" t="inlineStr">
        <is>
          <t>Assessment_Risk</t>
        </is>
      </c>
      <c r="D5" s="9" t="inlineStr">
        <is>
          <t>Simulation_Risk</t>
        </is>
      </c>
      <c r="E5" s="9" t="inlineStr">
        <is>
          <t>Incident_Risk</t>
        </is>
      </c>
      <c r="F5" s="9" t="inlineStr">
        <is>
          <t>Combined_Risk</t>
        </is>
      </c>
      <c r="G5" s="9" t="inlineStr">
        <is>
          <t>Priority_Rank</t>
        </is>
      </c>
      <c r="H5" s="9" t="inlineStr">
        <is>
          <t>Recommended_Action</t>
        </is>
      </c>
    </row>
    <row r="6">
      <c r="A6" s="4" t="n"/>
      <c r="B6" s="4" t="n"/>
      <c r="C6" s="4" t="n"/>
      <c r="D6" s="4" t="n"/>
      <c r="E6" s="4" t="n"/>
      <c r="F6" s="4">
        <f>IF(SUM(B6:E6)&gt;=8,"Critical",IF(SUM(B6:E6)&gt;=5,"High",IF(SUM(B6:E6)&gt;=2,"Medium","Low")))</f>
        <v/>
      </c>
      <c r="G6" s="4" t="n"/>
      <c r="H6" s="4" t="n"/>
    </row>
    <row r="7">
      <c r="A7" s="4" t="n"/>
      <c r="B7" s="4" t="n"/>
      <c r="C7" s="4" t="n"/>
      <c r="D7" s="4" t="n"/>
      <c r="E7" s="4" t="n"/>
      <c r="F7" s="4">
        <f>IF(SUM(B7:E7)&gt;=8,"Critical",IF(SUM(B7:E7)&gt;=5,"High",IF(SUM(B7:E7)&gt;=2,"Medium","Low")))</f>
        <v/>
      </c>
      <c r="G7" s="4" t="n"/>
      <c r="H7" s="4" t="n"/>
    </row>
    <row r="8">
      <c r="A8" s="4" t="n"/>
      <c r="B8" s="4" t="n"/>
      <c r="C8" s="4" t="n"/>
      <c r="D8" s="4" t="n"/>
      <c r="E8" s="4" t="n"/>
      <c r="F8" s="4">
        <f>IF(SUM(B8:E8)&gt;=8,"Critical",IF(SUM(B8:E8)&gt;=5,"High",IF(SUM(B8:E8)&gt;=2,"Medium","Low")))</f>
        <v/>
      </c>
      <c r="G8" s="4" t="n"/>
      <c r="H8" s="4" t="n"/>
    </row>
    <row r="9">
      <c r="A9" s="4" t="n"/>
      <c r="B9" s="4" t="n"/>
      <c r="C9" s="4" t="n"/>
      <c r="D9" s="4" t="n"/>
      <c r="E9" s="4" t="n"/>
      <c r="F9" s="4">
        <f>IF(SUM(B9:E9)&gt;=8,"Critical",IF(SUM(B9:E9)&gt;=5,"High",IF(SUM(B9:E9)&gt;=2,"Medium","Low")))</f>
        <v/>
      </c>
      <c r="G9" s="4" t="n"/>
      <c r="H9" s="4" t="n"/>
    </row>
    <row r="10">
      <c r="A10" s="4" t="n"/>
      <c r="B10" s="4" t="n"/>
      <c r="C10" s="4" t="n"/>
      <c r="D10" s="4" t="n"/>
      <c r="E10" s="4" t="n"/>
      <c r="F10" s="4">
        <f>IF(SUM(B10:E10)&gt;=8,"Critical",IF(SUM(B10:E10)&gt;=5,"High",IF(SUM(B10:E10)&gt;=2,"Medium","Low")))</f>
        <v/>
      </c>
      <c r="G10" s="4" t="n"/>
      <c r="H10" s="4" t="n"/>
    </row>
    <row r="11">
      <c r="A11" s="4" t="n"/>
      <c r="B11" s="4" t="n"/>
      <c r="C11" s="4" t="n"/>
      <c r="D11" s="4" t="n"/>
      <c r="E11" s="4" t="n"/>
      <c r="F11" s="4">
        <f>IF(SUM(B11:E11)&gt;=8,"Critical",IF(SUM(B11:E11)&gt;=5,"High",IF(SUM(B11:E11)&gt;=2,"Medium","Low")))</f>
        <v/>
      </c>
      <c r="G11" s="4" t="n"/>
      <c r="H11" s="4" t="n"/>
    </row>
    <row r="12">
      <c r="A12" s="4" t="n"/>
      <c r="B12" s="4" t="n"/>
      <c r="C12" s="4" t="n"/>
      <c r="D12" s="4" t="n"/>
      <c r="E12" s="4" t="n"/>
      <c r="F12" s="4">
        <f>IF(SUM(B12:E12)&gt;=8,"Critical",IF(SUM(B12:E12)&gt;=5,"High",IF(SUM(B12:E12)&gt;=2,"Medium","Low")))</f>
        <v/>
      </c>
      <c r="G12" s="4" t="n"/>
      <c r="H12" s="4" t="n"/>
    </row>
    <row r="13">
      <c r="A13" s="4" t="n"/>
      <c r="B13" s="4" t="n"/>
      <c r="C13" s="4" t="n"/>
      <c r="D13" s="4" t="n"/>
      <c r="E13" s="4" t="n"/>
      <c r="F13" s="4">
        <f>IF(SUM(B13:E13)&gt;=8,"Critical",IF(SUM(B13:E13)&gt;=5,"High",IF(SUM(B13:E13)&gt;=2,"Medium","Low")))</f>
        <v/>
      </c>
      <c r="G13" s="4" t="n"/>
      <c r="H13" s="4" t="n"/>
    </row>
    <row r="14">
      <c r="A14" s="4" t="n"/>
      <c r="B14" s="4" t="n"/>
      <c r="C14" s="4" t="n"/>
      <c r="D14" s="4" t="n"/>
      <c r="E14" s="4" t="n"/>
      <c r="F14" s="4">
        <f>IF(SUM(B14:E14)&gt;=8,"Critical",IF(SUM(B14:E14)&gt;=5,"High",IF(SUM(B14:E14)&gt;=2,"Medium","Low")))</f>
        <v/>
      </c>
      <c r="G14" s="4" t="n"/>
      <c r="H14" s="4" t="n"/>
    </row>
    <row r="15">
      <c r="A15" s="4" t="n"/>
      <c r="B15" s="4" t="n"/>
      <c r="C15" s="4" t="n"/>
      <c r="D15" s="4" t="n"/>
      <c r="E15" s="4" t="n"/>
      <c r="F15" s="4">
        <f>IF(SUM(B15:E15)&gt;=8,"Critical",IF(SUM(B15:E15)&gt;=5,"High",IF(SUM(B15:E15)&gt;=2,"Medium","Low")))</f>
        <v/>
      </c>
      <c r="G15" s="4" t="n"/>
      <c r="H15" s="4" t="n"/>
    </row>
    <row r="16">
      <c r="A16" s="4" t="n"/>
      <c r="B16" s="4" t="n"/>
      <c r="C16" s="4" t="n"/>
      <c r="D16" s="4" t="n"/>
      <c r="E16" s="4" t="n"/>
      <c r="F16" s="4">
        <f>IF(SUM(B16:E16)&gt;=8,"Critical",IF(SUM(B16:E16)&gt;=5,"High",IF(SUM(B16:E16)&gt;=2,"Medium","Low")))</f>
        <v/>
      </c>
      <c r="G16" s="4" t="n"/>
      <c r="H16" s="4" t="n"/>
    </row>
    <row r="17">
      <c r="A17" s="4" t="n"/>
      <c r="B17" s="4" t="n"/>
      <c r="C17" s="4" t="n"/>
      <c r="D17" s="4" t="n"/>
      <c r="E17" s="4" t="n"/>
      <c r="F17" s="4">
        <f>IF(SUM(B17:E17)&gt;=8,"Critical",IF(SUM(B17:E17)&gt;=5,"High",IF(SUM(B17:E17)&gt;=2,"Medium","Low")))</f>
        <v/>
      </c>
      <c r="G17" s="4" t="n"/>
      <c r="H17" s="4" t="n"/>
    </row>
    <row r="18">
      <c r="A18" s="4" t="n"/>
      <c r="B18" s="4" t="n"/>
      <c r="C18" s="4" t="n"/>
      <c r="D18" s="4" t="n"/>
      <c r="E18" s="4" t="n"/>
      <c r="F18" s="4">
        <f>IF(SUM(B18:E18)&gt;=8,"Critical",IF(SUM(B18:E18)&gt;=5,"High",IF(SUM(B18:E18)&gt;=2,"Medium","Low")))</f>
        <v/>
      </c>
      <c r="G18" s="4" t="n"/>
      <c r="H18" s="4" t="n"/>
    </row>
    <row r="19">
      <c r="A19" s="4" t="n"/>
      <c r="B19" s="4" t="n"/>
      <c r="C19" s="4" t="n"/>
      <c r="D19" s="4" t="n"/>
      <c r="E19" s="4" t="n"/>
      <c r="F19" s="4">
        <f>IF(SUM(B19:E19)&gt;=8,"Critical",IF(SUM(B19:E19)&gt;=5,"High",IF(SUM(B19:E19)&gt;=2,"Medium","Low")))</f>
        <v/>
      </c>
      <c r="G19" s="4" t="n"/>
      <c r="H19" s="4" t="n"/>
    </row>
    <row r="20">
      <c r="A20" s="4" t="n"/>
      <c r="B20" s="4" t="n"/>
      <c r="C20" s="4" t="n"/>
      <c r="D20" s="4" t="n"/>
      <c r="E20" s="4" t="n"/>
      <c r="F20" s="4">
        <f>IF(SUM(B20:E20)&gt;=8,"Critical",IF(SUM(B20:E20)&gt;=5,"High",IF(SUM(B20:E20)&gt;=2,"Medium","Low")))</f>
        <v/>
      </c>
      <c r="G20" s="4" t="n"/>
      <c r="H20" s="4" t="n"/>
    </row>
    <row r="21">
      <c r="A21" s="4" t="n"/>
      <c r="B21" s="4" t="n"/>
      <c r="C21" s="4" t="n"/>
      <c r="D21" s="4" t="n"/>
      <c r="E21" s="4" t="n"/>
      <c r="F21" s="4">
        <f>IF(SUM(B21:E21)&gt;=8,"Critical",IF(SUM(B21:E21)&gt;=5,"High",IF(SUM(B21:E21)&gt;=2,"Medium","Low")))</f>
        <v/>
      </c>
      <c r="G21" s="4" t="n"/>
      <c r="H21" s="4" t="n"/>
    </row>
    <row r="22">
      <c r="A22" s="4" t="n"/>
      <c r="B22" s="4" t="n"/>
      <c r="C22" s="4" t="n"/>
      <c r="D22" s="4" t="n"/>
      <c r="E22" s="4" t="n"/>
      <c r="F22" s="4">
        <f>IF(SUM(B22:E22)&gt;=8,"Critical",IF(SUM(B22:E22)&gt;=5,"High",IF(SUM(B22:E22)&gt;=2,"Medium","Low")))</f>
        <v/>
      </c>
      <c r="G22" s="4" t="n"/>
      <c r="H22" s="4" t="n"/>
    </row>
    <row r="23">
      <c r="A23" s="4" t="n"/>
      <c r="B23" s="4" t="n"/>
      <c r="C23" s="4" t="n"/>
      <c r="D23" s="4" t="n"/>
      <c r="E23" s="4" t="n"/>
      <c r="F23" s="4">
        <f>IF(SUM(B23:E23)&gt;=8,"Critical",IF(SUM(B23:E23)&gt;=5,"High",IF(SUM(B23:E23)&gt;=2,"Medium","Low")))</f>
        <v/>
      </c>
      <c r="G23" s="4" t="n"/>
      <c r="H23" s="4" t="n"/>
    </row>
    <row r="24">
      <c r="A24" s="4" t="n"/>
      <c r="B24" s="4" t="n"/>
      <c r="C24" s="4" t="n"/>
      <c r="D24" s="4" t="n"/>
      <c r="E24" s="4" t="n"/>
      <c r="F24" s="4">
        <f>IF(SUM(B24:E24)&gt;=8,"Critical",IF(SUM(B24:E24)&gt;=5,"High",IF(SUM(B24:E24)&gt;=2,"Medium","Low")))</f>
        <v/>
      </c>
      <c r="G24" s="4" t="n"/>
      <c r="H24" s="4" t="n"/>
    </row>
    <row r="25">
      <c r="A25" s="4" t="n"/>
      <c r="B25" s="4" t="n"/>
      <c r="C25" s="4" t="n"/>
      <c r="D25" s="4" t="n"/>
      <c r="E25" s="4" t="n"/>
      <c r="F25" s="4">
        <f>IF(SUM(B25:E25)&gt;=8,"Critical",IF(SUM(B25:E25)&gt;=5,"High",IF(SUM(B25:E25)&gt;=2,"Medium","Low")))</f>
        <v/>
      </c>
      <c r="G25" s="4" t="n"/>
      <c r="H25" s="4" t="n"/>
    </row>
  </sheetData>
  <mergeCells count="1">
    <mergeCell ref="A1:H1"/>
  </mergeCells>
  <dataValidations count="2">
    <dataValidation sqref="B6 B7 B8 B9 B10 B11 B12 B13 B14 B15 B16 B17 B18 B19 B20 B21 B22 B23 B24 B25 C6 C7 C8 C9 C10 C11 C12 C13 C14 C15 C16 C17 C18 C19 C20 C21 C22 C23 C24 C25 D6 D7 D8 D9 D10 D11 D12 D13 D14 D15 D16 D17 D18 D19 D20 D21 D22 D23 D24 D25 E6 E7 E8 E9 E10 E11 E12 E13 E14 E15 E16 E17 E18 E19 E20 E21 E22 E23 E24 E25" showDropDown="0" showInputMessage="0" showErrorMessage="0" allowBlank="0" type="list">
      <formula1>"0,1,2,3"</formula1>
    </dataValidation>
    <dataValidation sqref="F6 F7 F8 F9 F10 F11 F12 F13 F14 F15 F16 F17 F18 F19 F20 F21 F22 F23 F24 F25" showDropDown="0" showInputMessage="0" showErrorMessage="0" allowBlank="0" type="list">
      <formula1>"Low,Medium,High,Critical"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5" customWidth="1" min="1" max="1"/>
    <col width="40" customWidth="1" min="2" max="2"/>
    <col width="20" customWidth="1" min="3" max="3"/>
    <col width="15" customWidth="1" min="4" max="4"/>
    <col width="35" customWidth="1" min="5" max="5"/>
    <col width="12" customWidth="1" min="6" max="6"/>
    <col width="20" customWidth="1" min="7" max="7"/>
    <col width="40" customWidth="1" min="8" max="8"/>
  </cols>
  <sheetData>
    <row r="1" ht="40" customHeight="1">
      <c r="A1" s="1" t="inlineStr">
        <is>
          <t>AUDIT EVIDENCE CHECKLIST
Evidence status for audit readiness</t>
        </is>
      </c>
    </row>
    <row r="3">
      <c r="A3" s="9" t="inlineStr">
        <is>
          <t>Evidence_Category</t>
        </is>
      </c>
      <c r="B3" s="9" t="inlineStr">
        <is>
          <t>Evidence_Item</t>
        </is>
      </c>
      <c r="C3" s="9" t="inlineStr">
        <is>
          <t>Required_For</t>
        </is>
      </c>
      <c r="D3" s="9" t="inlineStr">
        <is>
          <t>Status</t>
        </is>
      </c>
      <c r="E3" s="9" t="inlineStr">
        <is>
          <t>Location</t>
        </is>
      </c>
      <c r="F3" s="9" t="inlineStr">
        <is>
          <t>Last_Updated</t>
        </is>
      </c>
      <c r="G3" s="9" t="inlineStr">
        <is>
          <t>Responsible_Party</t>
        </is>
      </c>
      <c r="H3" s="9" t="inlineStr">
        <is>
          <t>Notes</t>
        </is>
      </c>
    </row>
    <row r="4">
      <c r="A4" s="6" t="inlineStr">
        <is>
          <t>Stage 1</t>
        </is>
      </c>
      <c r="B4" s="6" t="inlineStr">
        <is>
          <t>Training Policy (ISMS-POL-A.6.3)</t>
        </is>
      </c>
      <c r="C4" s="6" t="inlineStr">
        <is>
          <t>ISO 27001 A.6.3</t>
        </is>
      </c>
      <c r="D4" s="4" t="n"/>
      <c r="E4" s="4" t="n"/>
      <c r="F4" s="4" t="n"/>
      <c r="G4" s="6" t="inlineStr">
        <is>
          <t>CISO</t>
        </is>
      </c>
      <c r="H4" s="4" t="n"/>
    </row>
    <row r="5">
      <c r="A5" s="6" t="inlineStr">
        <is>
          <t>Stage 1</t>
        </is>
      </c>
      <c r="B5" s="6" t="inlineStr">
        <is>
          <t>Training Needs Assessment (IMP-A.6.3.1)</t>
        </is>
      </c>
      <c r="C5" s="6" t="inlineStr">
        <is>
          <t>ISO 27001 A.6.3</t>
        </is>
      </c>
      <c r="D5" s="4" t="n"/>
      <c r="E5" s="4" t="n"/>
      <c r="F5" s="4" t="n"/>
      <c r="G5" s="6" t="inlineStr">
        <is>
          <t>ISO/Training Manager</t>
        </is>
      </c>
      <c r="H5" s="4" t="n"/>
    </row>
    <row r="6">
      <c r="A6" s="6" t="inlineStr">
        <is>
          <t>Stage 1</t>
        </is>
      </c>
      <c r="B6" s="6" t="inlineStr">
        <is>
          <t>Training Curriculum Catalog (IMP-A.6.3.2)</t>
        </is>
      </c>
      <c r="C6" s="6" t="inlineStr">
        <is>
          <t>ISO 27001 A.6.3</t>
        </is>
      </c>
      <c r="D6" s="4" t="n"/>
      <c r="E6" s="4" t="n"/>
      <c r="F6" s="4" t="n"/>
      <c r="G6" s="6" t="inlineStr">
        <is>
          <t>Training Manager</t>
        </is>
      </c>
      <c r="H6" s="4" t="n"/>
    </row>
    <row r="7">
      <c r="A7" s="6" t="inlineStr">
        <is>
          <t>Stage 1</t>
        </is>
      </c>
      <c r="B7" s="6" t="inlineStr">
        <is>
          <t>Role-to-Training Matrix</t>
        </is>
      </c>
      <c r="C7" s="6" t="inlineStr">
        <is>
          <t>ISO 27001 A.6.3</t>
        </is>
      </c>
      <c r="D7" s="4" t="n"/>
      <c r="E7" s="4" t="n"/>
      <c r="F7" s="4" t="n"/>
      <c r="G7" s="6" t="inlineStr">
        <is>
          <t>HR/Security</t>
        </is>
      </c>
      <c r="H7" s="4" t="n"/>
    </row>
    <row r="8">
      <c r="A8" s="6" t="inlineStr">
        <is>
          <t>Stage 1</t>
        </is>
      </c>
      <c r="B8" s="6" t="inlineStr">
        <is>
          <t>Training Delivery Standards</t>
        </is>
      </c>
      <c r="C8" s="6" t="inlineStr">
        <is>
          <t>ISO 27001 A.6.3</t>
        </is>
      </c>
      <c r="D8" s="4" t="n"/>
      <c r="E8" s="4" t="n"/>
      <c r="F8" s="4" t="n"/>
      <c r="G8" s="6" t="inlineStr">
        <is>
          <t>Training Manager</t>
        </is>
      </c>
      <c r="H8" s="4" t="n"/>
    </row>
    <row r="9">
      <c r="A9" s="6" t="inlineStr">
        <is>
          <t>Stage 2</t>
        </is>
      </c>
      <c r="B9" s="6" t="inlineStr">
        <is>
          <t>Training Completion Records</t>
        </is>
      </c>
      <c r="C9" s="6" t="inlineStr">
        <is>
          <t>ISO 27001 Cl.7.2(d)</t>
        </is>
      </c>
      <c r="D9" s="4" t="n"/>
      <c r="E9" s="4" t="n"/>
      <c r="F9" s="4" t="n"/>
      <c r="G9" s="6" t="inlineStr">
        <is>
          <t>HR/LMS Admin</t>
        </is>
      </c>
      <c r="H9" s="4" t="n"/>
    </row>
    <row r="10">
      <c r="A10" s="6" t="inlineStr">
        <is>
          <t>Stage 2</t>
        </is>
      </c>
      <c r="B10" s="6" t="inlineStr">
        <is>
          <t>Assessment Results and Scores</t>
        </is>
      </c>
      <c r="C10" s="6" t="inlineStr">
        <is>
          <t>ISO 27001 Cl.7.2(d)</t>
        </is>
      </c>
      <c r="D10" s="4" t="n"/>
      <c r="E10" s="4" t="n"/>
      <c r="F10" s="4" t="n"/>
      <c r="G10" s="6" t="inlineStr">
        <is>
          <t>LMS Admin</t>
        </is>
      </c>
      <c r="H10" s="4" t="n"/>
    </row>
    <row r="11">
      <c r="A11" s="6" t="inlineStr">
        <is>
          <t>Stage 2</t>
        </is>
      </c>
      <c r="B11" s="6" t="inlineStr">
        <is>
          <t>Phishing Simulation Results</t>
        </is>
      </c>
      <c r="C11" s="6" t="inlineStr">
        <is>
          <t>ISO 27001 A.6.3</t>
        </is>
      </c>
      <c r="D11" s="4" t="n"/>
      <c r="E11" s="4" t="n"/>
      <c r="F11" s="4" t="n"/>
      <c r="G11" s="6" t="inlineStr">
        <is>
          <t>Security Team</t>
        </is>
      </c>
      <c r="H11" s="4" t="n"/>
    </row>
    <row r="12">
      <c r="A12" s="6" t="inlineStr">
        <is>
          <t>Stage 2</t>
        </is>
      </c>
      <c r="B12" s="6" t="inlineStr">
        <is>
          <t>Remediation Tracking Records</t>
        </is>
      </c>
      <c r="C12" s="6" t="inlineStr">
        <is>
          <t>ISO 27001 A.6.3</t>
        </is>
      </c>
      <c r="D12" s="4" t="n"/>
      <c r="E12" s="4" t="n"/>
      <c r="F12" s="4" t="n"/>
      <c r="G12" s="6" t="inlineStr">
        <is>
          <t>HR/Security</t>
        </is>
      </c>
      <c r="H12" s="4" t="n"/>
    </row>
    <row r="13">
      <c r="A13" s="6" t="inlineStr">
        <is>
          <t>Stage 2</t>
        </is>
      </c>
      <c r="B13" s="6" t="inlineStr">
        <is>
          <t>Compliance Reports (Monthly)</t>
        </is>
      </c>
      <c r="C13" s="6" t="inlineStr">
        <is>
          <t>ISO 27001 Cl.9.1</t>
        </is>
      </c>
      <c r="D13" s="4" t="n"/>
      <c r="E13" s="4" t="n"/>
      <c r="F13" s="4" t="n"/>
      <c r="G13" s="6" t="inlineStr">
        <is>
          <t>ISO</t>
        </is>
      </c>
      <c r="H13" s="4" t="n"/>
    </row>
    <row r="14">
      <c r="A14" s="6" t="inlineStr">
        <is>
          <t>Stage 2</t>
        </is>
      </c>
      <c r="B14" s="6" t="inlineStr">
        <is>
          <t>Effectiveness Metrics (Quarterly)</t>
        </is>
      </c>
      <c r="C14" s="6" t="inlineStr">
        <is>
          <t>ISO 27001 Cl.9.1</t>
        </is>
      </c>
      <c r="D14" s="4" t="n"/>
      <c r="E14" s="4" t="n"/>
      <c r="F14" s="4" t="n"/>
      <c r="G14" s="6" t="inlineStr">
        <is>
          <t>ISO</t>
        </is>
      </c>
      <c r="H14" s="4" t="n"/>
    </row>
    <row r="15">
      <c r="A15" s="6" t="inlineStr">
        <is>
          <t>Stage 2</t>
        </is>
      </c>
      <c r="B15" s="6" t="inlineStr">
        <is>
          <t>Management Review Minutes</t>
        </is>
      </c>
      <c r="C15" s="6" t="inlineStr">
        <is>
          <t>ISO 27001 Cl.9.3</t>
        </is>
      </c>
      <c r="D15" s="4" t="n"/>
      <c r="E15" s="4" t="n"/>
      <c r="F15" s="4" t="n"/>
      <c r="G15" s="6" t="inlineStr">
        <is>
          <t>CISO</t>
        </is>
      </c>
      <c r="H15" s="4" t="n"/>
    </row>
    <row r="16">
      <c r="A16" s="6" t="inlineStr">
        <is>
          <t>Stage 2</t>
        </is>
      </c>
      <c r="B16" s="6" t="inlineStr">
        <is>
          <t>Training Program Review Records</t>
        </is>
      </c>
      <c r="C16" s="6" t="inlineStr">
        <is>
          <t>ISO 27001 Cl.10.1</t>
        </is>
      </c>
      <c r="D16" s="4" t="n"/>
      <c r="E16" s="4" t="n"/>
      <c r="F16" s="4" t="n"/>
      <c r="G16" s="6" t="inlineStr">
        <is>
          <t>Training Manager</t>
        </is>
      </c>
      <c r="H16" s="4" t="n"/>
    </row>
  </sheetData>
  <mergeCells count="1">
    <mergeCell ref="A1:H1"/>
  </mergeCells>
  <dataValidations count="1">
    <dataValidation sqref="D4 D5 D6 D7 D8 D9 D10 D11 D12 D13 D14 D15 D16" showDropDown="0" showInputMessage="0" showErrorMessage="0" allowBlank="0" type="list">
      <formula1>"Available,Partial,Missing"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100" customWidth="1" min="1" max="1"/>
  </cols>
  <sheetData>
    <row r="1" ht="40" customHeight="1">
      <c r="A1" s="1" t="inlineStr">
        <is>
          <t>MANAGEMENT REVIEW INPUT
Prepared input for management review meetings</t>
        </is>
      </c>
    </row>
    <row r="3">
      <c r="A3" s="14" t="inlineStr">
        <is>
          <t>1. TRAINING PROGRAM STATUS SUMMARY</t>
        </is>
      </c>
    </row>
    <row r="4" ht="40" customHeight="1">
      <c r="A4" s="15" t="n"/>
    </row>
    <row r="5" ht="40" customHeight="1">
      <c r="A5" s="15" t="n"/>
    </row>
    <row r="6" ht="40" customHeight="1">
      <c r="A6" s="15" t="n"/>
    </row>
    <row r="7" ht="40" customHeight="1">
      <c r="A7" s="15" t="n"/>
    </row>
    <row r="8" ht="40" customHeight="1">
      <c r="A8" s="15" t="n"/>
    </row>
    <row r="10">
      <c r="A10" s="14" t="inlineStr">
        <is>
          <t>2. EFFECTIVENESS ASSESSMENT</t>
        </is>
      </c>
    </row>
    <row r="11" ht="40" customHeight="1">
      <c r="A11" s="15" t="n"/>
    </row>
    <row r="12" ht="40" customHeight="1">
      <c r="A12" s="15" t="n"/>
    </row>
    <row r="13" ht="40" customHeight="1">
      <c r="A13" s="15" t="n"/>
    </row>
    <row r="14" ht="40" customHeight="1">
      <c r="A14" s="15" t="n"/>
    </row>
    <row r="15" ht="40" customHeight="1">
      <c r="A15" s="15" t="n"/>
    </row>
    <row r="17">
      <c r="A17" s="14" t="inlineStr">
        <is>
          <t>3. NON-CONFORMITIES AND CORRECTIVE ACTIONS</t>
        </is>
      </c>
    </row>
    <row r="18" ht="40" customHeight="1">
      <c r="A18" s="15" t="n"/>
    </row>
    <row r="19" ht="40" customHeight="1">
      <c r="A19" s="15" t="n"/>
    </row>
    <row r="20" ht="40" customHeight="1">
      <c r="A20" s="15" t="n"/>
    </row>
    <row r="21" ht="40" customHeight="1">
      <c r="A21" s="15" t="n"/>
    </row>
    <row r="22" ht="40" customHeight="1">
      <c r="A22" s="15" t="n"/>
    </row>
    <row r="24">
      <c r="A24" s="14" t="inlineStr">
        <is>
          <t>4. RESOURCE REQUIREMENTS</t>
        </is>
      </c>
    </row>
    <row r="25" ht="40" customHeight="1">
      <c r="A25" s="15" t="n"/>
    </row>
    <row r="26" ht="40" customHeight="1">
      <c r="A26" s="15" t="n"/>
    </row>
    <row r="27" ht="40" customHeight="1">
      <c r="A27" s="15" t="n"/>
    </row>
    <row r="28" ht="40" customHeight="1">
      <c r="A28" s="15" t="n"/>
    </row>
    <row r="30">
      <c r="A30" s="14" t="inlineStr">
        <is>
          <t>5. RECOMMENDATIONS FOR IMPROVEMENT</t>
        </is>
      </c>
    </row>
    <row r="31" ht="40" customHeight="1">
      <c r="A31" s="15" t="n"/>
    </row>
    <row r="32" ht="40" customHeight="1">
      <c r="A32" s="15" t="n"/>
    </row>
    <row r="33" ht="40" customHeight="1">
      <c r="A33" s="15" t="n"/>
    </row>
    <row r="34" ht="40" customHeight="1">
      <c r="A34" s="15" t="n"/>
    </row>
    <row r="36">
      <c r="A36" s="14" t="inlineStr">
        <is>
          <t>6. CHANGES AFFECTING TRAINING PROGRAM</t>
        </is>
      </c>
    </row>
    <row r="37" ht="40" customHeight="1">
      <c r="A37" s="15" t="n"/>
    </row>
    <row r="38" ht="40" customHeight="1">
      <c r="A38" s="15" t="n"/>
    </row>
    <row r="39" ht="40" customHeight="1">
      <c r="A39" s="15" t="n"/>
    </row>
    <row r="40" ht="40" customHeight="1">
      <c r="A40" s="15" t="n"/>
    </row>
  </sheetData>
  <mergeCells count="28">
    <mergeCell ref="A37:F37"/>
    <mergeCell ref="A27:F27"/>
    <mergeCell ref="A12:F12"/>
    <mergeCell ref="A18:F18"/>
    <mergeCell ref="A26:F26"/>
    <mergeCell ref="A21:F21"/>
    <mergeCell ref="A33:F33"/>
    <mergeCell ref="A14:F14"/>
    <mergeCell ref="A5:F5"/>
    <mergeCell ref="A32:F32"/>
    <mergeCell ref="A8:F8"/>
    <mergeCell ref="A22:F22"/>
    <mergeCell ref="A4:F4"/>
    <mergeCell ref="A20:F20"/>
    <mergeCell ref="A38:F38"/>
    <mergeCell ref="A28:F28"/>
    <mergeCell ref="A13:F13"/>
    <mergeCell ref="A19:F19"/>
    <mergeCell ref="A31:F31"/>
    <mergeCell ref="A34:F34"/>
    <mergeCell ref="A40:F40"/>
    <mergeCell ref="A39:F39"/>
    <mergeCell ref="A15:F15"/>
    <mergeCell ref="A11:F11"/>
    <mergeCell ref="A1:F1"/>
    <mergeCell ref="A6:F6"/>
    <mergeCell ref="A7:F7"/>
    <mergeCell ref="A25:F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50" customWidth="1" min="3" max="3"/>
    <col width="35" customWidth="1" min="4" max="4"/>
    <col width="15" customWidth="1" min="5" max="5"/>
    <col width="20" customWidth="1" min="6" max="6"/>
  </cols>
  <sheetData>
    <row r="1" ht="40" customHeight="1">
      <c r="A1" s="1" t="inlineStr">
        <is>
          <t>KPI DEFINITIONS
Reference for all metrics and KPIs</t>
        </is>
      </c>
    </row>
    <row r="3">
      <c r="A3" s="9" t="inlineStr">
        <is>
          <t>KPI_ID</t>
        </is>
      </c>
      <c r="B3" s="9" t="inlineStr">
        <is>
          <t>KPI_Name</t>
        </is>
      </c>
      <c r="C3" s="9" t="inlineStr">
        <is>
          <t>Definition</t>
        </is>
      </c>
      <c r="D3" s="9" t="inlineStr">
        <is>
          <t>Calculation_Method</t>
        </is>
      </c>
      <c r="E3" s="9" t="inlineStr">
        <is>
          <t>Target_Value</t>
        </is>
      </c>
      <c r="F3" s="9" t="inlineStr">
        <is>
          <t>Measurement_Frequency</t>
        </is>
      </c>
    </row>
    <row r="4">
      <c r="A4" s="6" t="inlineStr">
        <is>
          <t>KPI-001</t>
        </is>
      </c>
      <c r="B4" s="6" t="inlineStr">
        <is>
          <t>Training Completion Rate</t>
        </is>
      </c>
      <c r="C4" s="6" t="inlineStr">
        <is>
          <t>Percentage of required training completed</t>
        </is>
      </c>
      <c r="D4" s="6" t="inlineStr">
        <is>
          <t>(Completed / Required) × 100</t>
        </is>
      </c>
      <c r="E4" s="6" t="inlineStr">
        <is>
          <t>≥95%</t>
        </is>
      </c>
      <c r="F4" s="6" t="inlineStr">
        <is>
          <t>Monthly</t>
        </is>
      </c>
    </row>
    <row r="5">
      <c r="A5" s="6" t="inlineStr">
        <is>
          <t>KPI-002</t>
        </is>
      </c>
      <c r="B5" s="6" t="inlineStr">
        <is>
          <t>On-Time Completion Rate</t>
        </is>
      </c>
      <c r="C5" s="6" t="inlineStr">
        <is>
          <t>Percentage completed before due date</t>
        </is>
      </c>
      <c r="D5" s="6" t="inlineStr">
        <is>
          <t>(On-Time / Completed) × 100</t>
        </is>
      </c>
      <c r="E5" s="6" t="inlineStr">
        <is>
          <t>≥90%</t>
        </is>
      </c>
      <c r="F5" s="6" t="inlineStr">
        <is>
          <t>Monthly</t>
        </is>
      </c>
    </row>
    <row r="6">
      <c r="A6" s="6" t="inlineStr">
        <is>
          <t>KPI-003</t>
        </is>
      </c>
      <c r="B6" s="6" t="inlineStr">
        <is>
          <t>Assessment Pass Rate</t>
        </is>
      </c>
      <c r="C6" s="6" t="inlineStr">
        <is>
          <t>First-attempt pass rate</t>
        </is>
      </c>
      <c r="D6" s="6" t="inlineStr">
        <is>
          <t>(Passed First Attempt / Total) × 100</t>
        </is>
      </c>
      <c r="E6" s="6" t="inlineStr">
        <is>
          <t>≥85%</t>
        </is>
      </c>
      <c r="F6" s="6" t="inlineStr">
        <is>
          <t>Monthly</t>
        </is>
      </c>
    </row>
    <row r="7">
      <c r="A7" s="6" t="inlineStr">
        <is>
          <t>KPI-004</t>
        </is>
      </c>
      <c r="B7" s="6" t="inlineStr">
        <is>
          <t>Phishing Click Rate</t>
        </is>
      </c>
      <c r="C7" s="6" t="inlineStr">
        <is>
          <t>Percentage clicking simulation links</t>
        </is>
      </c>
      <c r="D7" s="6" t="inlineStr">
        <is>
          <t>(Clicked / Sent) × 100</t>
        </is>
      </c>
      <c r="E7" s="6" t="inlineStr">
        <is>
          <t>≤5%</t>
        </is>
      </c>
      <c r="F7" s="6" t="inlineStr">
        <is>
          <t>Per Campaign</t>
        </is>
      </c>
    </row>
    <row r="8">
      <c r="A8" s="6" t="inlineStr">
        <is>
          <t>KPI-005</t>
        </is>
      </c>
      <c r="B8" s="6" t="inlineStr">
        <is>
          <t>Phishing Report Rate</t>
        </is>
      </c>
      <c r="C8" s="6" t="inlineStr">
        <is>
          <t>Percentage reporting suspicious emails</t>
        </is>
      </c>
      <c r="D8" s="6" t="inlineStr">
        <is>
          <t>(Reported / Sent) × 100</t>
        </is>
      </c>
      <c r="E8" s="6" t="inlineStr">
        <is>
          <t>≥70%</t>
        </is>
      </c>
      <c r="F8" s="6" t="inlineStr">
        <is>
          <t>Per Campaign</t>
        </is>
      </c>
    </row>
    <row r="9">
      <c r="A9" s="6" t="inlineStr">
        <is>
          <t>KPI-006</t>
        </is>
      </c>
      <c r="B9" s="6" t="inlineStr">
        <is>
          <t>Remediation Success Rate</t>
        </is>
      </c>
      <c r="C9" s="6" t="inlineStr">
        <is>
          <t>Percentage passing remediation training</t>
        </is>
      </c>
      <c r="D9" s="6" t="inlineStr">
        <is>
          <t>(Remediation Passed / Assigned) × 100</t>
        </is>
      </c>
      <c r="E9" s="6" t="inlineStr">
        <is>
          <t>≥95%</t>
        </is>
      </c>
      <c r="F9" s="6" t="inlineStr">
        <is>
          <t>Monthly</t>
        </is>
      </c>
    </row>
    <row r="10">
      <c r="A10" s="6" t="inlineStr">
        <is>
          <t>KPI-007</t>
        </is>
      </c>
      <c r="B10" s="6" t="inlineStr">
        <is>
          <t>Training Currency</t>
        </is>
      </c>
      <c r="C10" s="6" t="inlineStr">
        <is>
          <t>Percentage with current/non-expired training</t>
        </is>
      </c>
      <c r="D10" s="6" t="inlineStr">
        <is>
          <t>(Current / Total Required) × 100</t>
        </is>
      </c>
      <c r="E10" s="6" t="inlineStr">
        <is>
          <t>≥95%</t>
        </is>
      </c>
      <c r="F10" s="6" t="inlineStr">
        <is>
          <t>Monthly</t>
        </is>
      </c>
    </row>
    <row r="11">
      <c r="A11" s="6" t="inlineStr">
        <is>
          <t>KPI-008</t>
        </is>
      </c>
      <c r="B11" s="6" t="inlineStr">
        <is>
          <t>Average Assessment Score</t>
        </is>
      </c>
      <c r="C11" s="6" t="inlineStr">
        <is>
          <t>Mean score across all assessments</t>
        </is>
      </c>
      <c r="D11" s="6" t="inlineStr">
        <is>
          <t>AVG(Assessment_Score)</t>
        </is>
      </c>
      <c r="E11" s="6" t="inlineStr">
        <is>
          <t>≥80%</t>
        </is>
      </c>
      <c r="F11" s="6" t="inlineStr">
        <is>
          <t>Quarterly</t>
        </is>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
  <sheetViews>
    <sheetView workbookViewId="0">
      <pane ySplit="3" topLeftCell="A4" activePane="bottomLeft" state="frozen"/>
      <selection pane="bottomLeft" activeCell="A1" sqref="A1"/>
    </sheetView>
  </sheetViews>
  <sheetFormatPr baseColWidth="8" defaultRowHeight="15"/>
  <cols>
    <col width="30" customWidth="1" min="1" max="1"/>
    <col width="25" customWidth="1" min="2" max="2"/>
    <col width="25" customWidth="1" min="3" max="3"/>
    <col width="18" customWidth="1" min="4" max="4"/>
    <col width="12" customWidth="1" min="5" max="5"/>
    <col width="20" customWidth="1" min="6" max="6"/>
    <col width="30" customWidth="1" min="7" max="7"/>
  </cols>
  <sheetData>
    <row r="1" ht="40" customHeight="1">
      <c r="A1" s="1" t="inlineStr">
        <is>
          <t>DATA SOURCES
Document data inputs and refresh procedures</t>
        </is>
      </c>
    </row>
    <row r="3">
      <c r="A3" s="9" t="inlineStr">
        <is>
          <t>Data_Element</t>
        </is>
      </c>
      <c r="B3" s="9" t="inlineStr">
        <is>
          <t>Source_System</t>
        </is>
      </c>
      <c r="C3" s="9" t="inlineStr">
        <is>
          <t>Source_Sheet</t>
        </is>
      </c>
      <c r="D3" s="9" t="inlineStr">
        <is>
          <t>Refresh_Frequency</t>
        </is>
      </c>
      <c r="E3" s="9" t="inlineStr">
        <is>
          <t>Last_Refresh</t>
        </is>
      </c>
      <c r="F3" s="9" t="inlineStr">
        <is>
          <t>Responsible_Party</t>
        </is>
      </c>
      <c r="G3" s="9" t="inlineStr">
        <is>
          <t>Validation_Method</t>
        </is>
      </c>
    </row>
    <row r="4">
      <c r="A4" s="6" t="inlineStr">
        <is>
          <t>Personnel List</t>
        </is>
      </c>
      <c r="B4" s="6" t="inlineStr">
        <is>
          <t>HRIS</t>
        </is>
      </c>
      <c r="C4" s="6" t="inlineStr">
        <is>
          <t>IMP-A.6.3.3 Personnel_Register</t>
        </is>
      </c>
      <c r="D4" s="6" t="inlineStr">
        <is>
          <t>Weekly</t>
        </is>
      </c>
      <c r="E4" s="4" t="n"/>
      <c r="F4" s="4" t="n"/>
      <c r="G4" s="4" t="n"/>
    </row>
    <row r="5">
      <c r="A5" s="6" t="inlineStr">
        <is>
          <t>Completion Records</t>
        </is>
      </c>
      <c r="B5" s="6" t="inlineStr">
        <is>
          <t>LMS</t>
        </is>
      </c>
      <c r="C5" s="6" t="inlineStr">
        <is>
          <t>IMP-A.6.3.3 Completion_Tracking</t>
        </is>
      </c>
      <c r="D5" s="6" t="inlineStr">
        <is>
          <t>Daily</t>
        </is>
      </c>
      <c r="E5" s="4" t="n"/>
      <c r="F5" s="4" t="n"/>
      <c r="G5" s="4" t="n"/>
    </row>
    <row r="6">
      <c r="A6" s="6" t="inlineStr">
        <is>
          <t>Assessment Scores</t>
        </is>
      </c>
      <c r="B6" s="6" t="inlineStr">
        <is>
          <t>LMS</t>
        </is>
      </c>
      <c r="C6" s="6" t="inlineStr">
        <is>
          <t>IMP-A.6.3.3 Assessment_Results</t>
        </is>
      </c>
      <c r="D6" s="6" t="inlineStr">
        <is>
          <t>Daily</t>
        </is>
      </c>
      <c r="E6" s="4" t="n"/>
      <c r="F6" s="4" t="n"/>
      <c r="G6" s="4" t="n"/>
    </row>
    <row r="7">
      <c r="A7" s="6" t="inlineStr">
        <is>
          <t>Simulation Results</t>
        </is>
      </c>
      <c r="B7" s="6" t="inlineStr">
        <is>
          <t>Phishing Platform</t>
        </is>
      </c>
      <c r="C7" s="6" t="inlineStr">
        <is>
          <t>IMP-A.6.3.3 Simulation_Results</t>
        </is>
      </c>
      <c r="D7" s="6" t="inlineStr">
        <is>
          <t>Per Campaign</t>
        </is>
      </c>
      <c r="E7" s="4" t="n"/>
      <c r="F7" s="4" t="n"/>
      <c r="G7" s="4" t="n"/>
    </row>
    <row r="8">
      <c r="A8" s="6" t="inlineStr">
        <is>
          <t>Remediation Status</t>
        </is>
      </c>
      <c r="B8" s="6" t="inlineStr">
        <is>
          <t>LMS/Manual</t>
        </is>
      </c>
      <c r="C8" s="6" t="inlineStr">
        <is>
          <t>IMP-A.6.3.3 Remediation_Tracking</t>
        </is>
      </c>
      <c r="D8" s="6" t="inlineStr">
        <is>
          <t>Weekly</t>
        </is>
      </c>
      <c r="E8" s="4" t="n"/>
      <c r="F8" s="4" t="n"/>
      <c r="G8" s="4" t="n"/>
    </row>
    <row r="9">
      <c r="A9" s="6" t="inlineStr">
        <is>
          <t>Incident Data</t>
        </is>
      </c>
      <c r="B9" s="6" t="inlineStr">
        <is>
          <t>SIEM/Ticketing</t>
        </is>
      </c>
      <c r="C9" s="6" t="inlineStr">
        <is>
          <t>Incident Management System</t>
        </is>
      </c>
      <c r="D9" s="6" t="inlineStr">
        <is>
          <t>Monthly</t>
        </is>
      </c>
      <c r="E9" s="4" t="n"/>
      <c r="F9" s="4" t="n"/>
      <c r="G9" s="4" t="n"/>
    </row>
    <row r="10">
      <c r="A10" s="4" t="n"/>
      <c r="B10" s="4" t="n"/>
      <c r="C10" s="4" t="n"/>
      <c r="D10" s="4" t="n"/>
      <c r="E10" s="4" t="n"/>
      <c r="F10" s="4" t="n"/>
      <c r="G10" s="4" t="n"/>
    </row>
    <row r="11">
      <c r="A11" s="4" t="n"/>
      <c r="B11" s="4" t="n"/>
      <c r="C11" s="4" t="n"/>
      <c r="D11" s="4" t="n"/>
      <c r="E11" s="4" t="n"/>
      <c r="F11" s="4" t="n"/>
      <c r="G11" s="4" t="n"/>
    </row>
    <row r="12">
      <c r="A12" s="4" t="n"/>
      <c r="B12" s="4" t="n"/>
      <c r="C12" s="4" t="n"/>
      <c r="D12" s="4" t="n"/>
      <c r="E12" s="4" t="n"/>
      <c r="F12" s="4" t="n"/>
      <c r="G12" s="4" t="n"/>
    </row>
    <row r="13">
      <c r="A13" s="4" t="n"/>
      <c r="B13" s="4" t="n"/>
      <c r="C13" s="4" t="n"/>
      <c r="D13" s="4" t="n"/>
      <c r="E13" s="4" t="n"/>
      <c r="F13" s="4" t="n"/>
      <c r="G13" s="4" t="n"/>
    </row>
    <row r="14">
      <c r="A14" s="4" t="n"/>
      <c r="B14" s="4" t="n"/>
      <c r="C14" s="4" t="n"/>
      <c r="D14" s="4" t="n"/>
      <c r="E14" s="4" t="n"/>
      <c r="F14" s="4" t="n"/>
      <c r="G14" s="4" t="n"/>
    </row>
    <row r="15">
      <c r="A15" s="4" t="n"/>
      <c r="B15" s="4" t="n"/>
      <c r="C15" s="4" t="n"/>
      <c r="D15" s="4" t="n"/>
      <c r="E15" s="4" t="n"/>
      <c r="F15" s="4" t="n"/>
      <c r="G15" s="4" t="n"/>
    </row>
    <row r="16">
      <c r="A16" s="4" t="n"/>
      <c r="B16" s="4" t="n"/>
      <c r="C16" s="4" t="n"/>
      <c r="D16" s="4" t="n"/>
      <c r="E16" s="4" t="n"/>
      <c r="F16" s="4" t="n"/>
      <c r="G16" s="4" t="n"/>
    </row>
    <row r="17">
      <c r="A17" s="4" t="n"/>
      <c r="B17" s="4" t="n"/>
      <c r="C17" s="4" t="n"/>
      <c r="D17" s="4" t="n"/>
      <c r="E17" s="4" t="n"/>
      <c r="F17" s="4" t="n"/>
      <c r="G17" s="4" t="n"/>
    </row>
    <row r="18">
      <c r="A18" s="4" t="n"/>
      <c r="B18" s="4" t="n"/>
      <c r="C18" s="4" t="n"/>
      <c r="D18" s="4" t="n"/>
      <c r="E18" s="4" t="n"/>
      <c r="F18" s="4" t="n"/>
      <c r="G18" s="4" t="n"/>
    </row>
    <row r="19">
      <c r="A19" s="4" t="n"/>
      <c r="B19" s="4" t="n"/>
      <c r="C19" s="4" t="n"/>
      <c r="D19" s="4" t="n"/>
      <c r="E19" s="4" t="n"/>
      <c r="F19" s="4" t="n"/>
      <c r="G19" s="4" t="n"/>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0" customHeight="1">
      <c r="A1" s="1" t="inlineStr">
        <is>
          <t>EVIDENCE REGISTER</t>
        </is>
      </c>
    </row>
    <row r="3">
      <c r="A3" s="9" t="inlineStr">
        <is>
          <t>Evidence_ID</t>
        </is>
      </c>
      <c r="B3" s="9" t="inlineStr">
        <is>
          <t>Evidence_Type</t>
        </is>
      </c>
      <c r="C3" s="9" t="inlineStr">
        <is>
          <t>Description</t>
        </is>
      </c>
      <c r="D3" s="9" t="inlineStr">
        <is>
          <t>Location</t>
        </is>
      </c>
      <c r="E3" s="9" t="inlineStr">
        <is>
          <t>Date_Collected</t>
        </is>
      </c>
      <c r="F3" s="9" t="inlineStr">
        <is>
          <t>Collected_By</t>
        </is>
      </c>
      <c r="G3" s="9" t="inlineStr">
        <is>
          <t>Status</t>
        </is>
      </c>
      <c r="H3" s="9" t="inlineStr">
        <is>
          <t>Notes</t>
        </is>
      </c>
    </row>
    <row r="4">
      <c r="A4" s="16" t="inlineStr">
        <is>
          <t>EV-001</t>
        </is>
      </c>
      <c r="B4" s="11" t="n"/>
      <c r="C4" s="11" t="n"/>
      <c r="D4" s="11" t="n"/>
      <c r="E4" s="11" t="n"/>
      <c r="F4" s="11" t="n"/>
      <c r="G4" s="11" t="n"/>
      <c r="H4" s="11" t="n"/>
    </row>
    <row r="5">
      <c r="A5" s="16" t="inlineStr">
        <is>
          <t>EV-002</t>
        </is>
      </c>
      <c r="B5" s="11" t="n"/>
      <c r="C5" s="11" t="n"/>
      <c r="D5" s="11" t="n"/>
      <c r="E5" s="11" t="n"/>
      <c r="F5" s="11" t="n"/>
      <c r="G5" s="11" t="n"/>
      <c r="H5" s="11" t="n"/>
    </row>
    <row r="6">
      <c r="A6" s="16" t="inlineStr">
        <is>
          <t>EV-003</t>
        </is>
      </c>
      <c r="B6" s="11" t="n"/>
      <c r="C6" s="11" t="n"/>
      <c r="D6" s="11" t="n"/>
      <c r="E6" s="11" t="n"/>
      <c r="F6" s="11" t="n"/>
      <c r="G6" s="11" t="n"/>
      <c r="H6" s="11" t="n"/>
    </row>
    <row r="7">
      <c r="A7" s="16" t="inlineStr">
        <is>
          <t>EV-004</t>
        </is>
      </c>
      <c r="B7" s="11" t="n"/>
      <c r="C7" s="11" t="n"/>
      <c r="D7" s="11" t="n"/>
      <c r="E7" s="11" t="n"/>
      <c r="F7" s="11" t="n"/>
      <c r="G7" s="11" t="n"/>
      <c r="H7" s="11" t="n"/>
    </row>
    <row r="8">
      <c r="A8" s="16" t="inlineStr">
        <is>
          <t>EV-005</t>
        </is>
      </c>
      <c r="B8" s="11" t="n"/>
      <c r="C8" s="11" t="n"/>
      <c r="D8" s="11" t="n"/>
      <c r="E8" s="11" t="n"/>
      <c r="F8" s="11" t="n"/>
      <c r="G8" s="11" t="n"/>
      <c r="H8" s="11" t="n"/>
    </row>
    <row r="9">
      <c r="A9" s="16" t="inlineStr">
        <is>
          <t>EV-006</t>
        </is>
      </c>
      <c r="B9" s="11" t="n"/>
      <c r="C9" s="11" t="n"/>
      <c r="D9" s="11" t="n"/>
      <c r="E9" s="11" t="n"/>
      <c r="F9" s="11" t="n"/>
      <c r="G9" s="11" t="n"/>
      <c r="H9" s="11" t="n"/>
    </row>
    <row r="10">
      <c r="A10" s="16" t="inlineStr">
        <is>
          <t>EV-007</t>
        </is>
      </c>
      <c r="B10" s="11" t="n"/>
      <c r="C10" s="11" t="n"/>
      <c r="D10" s="11" t="n"/>
      <c r="E10" s="11" t="n"/>
      <c r="F10" s="11" t="n"/>
      <c r="G10" s="11" t="n"/>
      <c r="H10" s="11" t="n"/>
    </row>
    <row r="11">
      <c r="A11" s="16" t="inlineStr">
        <is>
          <t>EV-008</t>
        </is>
      </c>
      <c r="B11" s="11" t="n"/>
      <c r="C11" s="11" t="n"/>
      <c r="D11" s="11" t="n"/>
      <c r="E11" s="11" t="n"/>
      <c r="F11" s="11" t="n"/>
      <c r="G11" s="11" t="n"/>
      <c r="H11" s="11" t="n"/>
    </row>
    <row r="12">
      <c r="A12" s="16" t="inlineStr">
        <is>
          <t>EV-009</t>
        </is>
      </c>
      <c r="B12" s="11" t="n"/>
      <c r="C12" s="11" t="n"/>
      <c r="D12" s="11" t="n"/>
      <c r="E12" s="11" t="n"/>
      <c r="F12" s="11" t="n"/>
      <c r="G12" s="11" t="n"/>
      <c r="H12" s="11" t="n"/>
    </row>
    <row r="13">
      <c r="A13" s="16" t="inlineStr">
        <is>
          <t>EV-010</t>
        </is>
      </c>
      <c r="B13" s="11" t="n"/>
      <c r="C13" s="11" t="n"/>
      <c r="D13" s="11" t="n"/>
      <c r="E13" s="11" t="n"/>
      <c r="F13" s="11" t="n"/>
      <c r="G13" s="11" t="n"/>
      <c r="H13" s="11" t="n"/>
    </row>
    <row r="14">
      <c r="A14" s="16" t="inlineStr">
        <is>
          <t>EV-011</t>
        </is>
      </c>
      <c r="B14" s="11" t="n"/>
      <c r="C14" s="11" t="n"/>
      <c r="D14" s="11" t="n"/>
      <c r="E14" s="11" t="n"/>
      <c r="F14" s="11" t="n"/>
      <c r="G14" s="11" t="n"/>
      <c r="H14" s="11" t="n"/>
    </row>
    <row r="15">
      <c r="A15" s="16" t="inlineStr">
        <is>
          <t>EV-012</t>
        </is>
      </c>
      <c r="B15" s="11" t="n"/>
      <c r="C15" s="11" t="n"/>
      <c r="D15" s="11" t="n"/>
      <c r="E15" s="11" t="n"/>
      <c r="F15" s="11" t="n"/>
      <c r="G15" s="11" t="n"/>
      <c r="H15" s="11" t="n"/>
    </row>
    <row r="16">
      <c r="A16" s="16" t="inlineStr">
        <is>
          <t>EV-013</t>
        </is>
      </c>
      <c r="B16" s="11" t="n"/>
      <c r="C16" s="11" t="n"/>
      <c r="D16" s="11" t="n"/>
      <c r="E16" s="11" t="n"/>
      <c r="F16" s="11" t="n"/>
      <c r="G16" s="11" t="n"/>
      <c r="H16" s="11" t="n"/>
    </row>
    <row r="17">
      <c r="A17" s="16" t="inlineStr">
        <is>
          <t>EV-014</t>
        </is>
      </c>
      <c r="B17" s="11" t="n"/>
      <c r="C17" s="11" t="n"/>
      <c r="D17" s="11" t="n"/>
      <c r="E17" s="11" t="n"/>
      <c r="F17" s="11" t="n"/>
      <c r="G17" s="11" t="n"/>
      <c r="H17" s="11" t="n"/>
    </row>
    <row r="18">
      <c r="A18" s="16" t="inlineStr">
        <is>
          <t>EV-015</t>
        </is>
      </c>
      <c r="B18" s="11" t="n"/>
      <c r="C18" s="11" t="n"/>
      <c r="D18" s="11" t="n"/>
      <c r="E18" s="11" t="n"/>
      <c r="F18" s="11" t="n"/>
      <c r="G18" s="11" t="n"/>
      <c r="H18" s="11" t="n"/>
    </row>
    <row r="19">
      <c r="A19" s="16" t="inlineStr">
        <is>
          <t>EV-016</t>
        </is>
      </c>
      <c r="B19" s="11" t="n"/>
      <c r="C19" s="11" t="n"/>
      <c r="D19" s="11" t="n"/>
      <c r="E19" s="11" t="n"/>
      <c r="F19" s="11" t="n"/>
      <c r="G19" s="11" t="n"/>
      <c r="H19" s="11" t="n"/>
    </row>
    <row r="20">
      <c r="A20" s="16" t="inlineStr">
        <is>
          <t>EV-017</t>
        </is>
      </c>
      <c r="B20" s="11" t="n"/>
      <c r="C20" s="11" t="n"/>
      <c r="D20" s="11" t="n"/>
      <c r="E20" s="11" t="n"/>
      <c r="F20" s="11" t="n"/>
      <c r="G20" s="11" t="n"/>
      <c r="H20" s="11" t="n"/>
    </row>
    <row r="21">
      <c r="A21" s="16" t="inlineStr">
        <is>
          <t>EV-018</t>
        </is>
      </c>
      <c r="B21" s="11" t="n"/>
      <c r="C21" s="11" t="n"/>
      <c r="D21" s="11" t="n"/>
      <c r="E21" s="11" t="n"/>
      <c r="F21" s="11" t="n"/>
      <c r="G21" s="11" t="n"/>
      <c r="H21" s="11" t="n"/>
    </row>
    <row r="22">
      <c r="A22" s="16" t="inlineStr">
        <is>
          <t>EV-019</t>
        </is>
      </c>
      <c r="B22" s="11" t="n"/>
      <c r="C22" s="11" t="n"/>
      <c r="D22" s="11" t="n"/>
      <c r="E22" s="11" t="n"/>
      <c r="F22" s="11" t="n"/>
      <c r="G22" s="11" t="n"/>
      <c r="H22" s="11" t="n"/>
    </row>
    <row r="23">
      <c r="A23" s="16" t="inlineStr">
        <is>
          <t>EV-020</t>
        </is>
      </c>
      <c r="B23" s="11" t="n"/>
      <c r="C23" s="11" t="n"/>
      <c r="D23" s="11" t="n"/>
      <c r="E23" s="11" t="n"/>
      <c r="F23" s="11" t="n"/>
      <c r="G23" s="11" t="n"/>
      <c r="H23" s="11" t="n"/>
    </row>
    <row r="24">
      <c r="A24" s="16" t="inlineStr">
        <is>
          <t>EV-021</t>
        </is>
      </c>
      <c r="B24" s="11" t="n"/>
      <c r="C24" s="11" t="n"/>
      <c r="D24" s="11" t="n"/>
      <c r="E24" s="11" t="n"/>
      <c r="F24" s="11" t="n"/>
      <c r="G24" s="11" t="n"/>
      <c r="H24" s="11" t="n"/>
    </row>
    <row r="25">
      <c r="A25" s="16" t="inlineStr">
        <is>
          <t>EV-022</t>
        </is>
      </c>
      <c r="B25" s="11" t="n"/>
      <c r="C25" s="11" t="n"/>
      <c r="D25" s="11" t="n"/>
      <c r="E25" s="11" t="n"/>
      <c r="F25" s="11" t="n"/>
      <c r="G25" s="11" t="n"/>
      <c r="H25" s="11" t="n"/>
    </row>
    <row r="26">
      <c r="A26" s="16" t="inlineStr">
        <is>
          <t>EV-023</t>
        </is>
      </c>
      <c r="B26" s="11" t="n"/>
      <c r="C26" s="11" t="n"/>
      <c r="D26" s="11" t="n"/>
      <c r="E26" s="11" t="n"/>
      <c r="F26" s="11" t="n"/>
      <c r="G26" s="11" t="n"/>
      <c r="H26" s="11" t="n"/>
    </row>
    <row r="27">
      <c r="A27" s="16" t="inlineStr">
        <is>
          <t>EV-024</t>
        </is>
      </c>
      <c r="B27" s="11" t="n"/>
      <c r="C27" s="11" t="n"/>
      <c r="D27" s="11" t="n"/>
      <c r="E27" s="11" t="n"/>
      <c r="F27" s="11" t="n"/>
      <c r="G27" s="11" t="n"/>
      <c r="H27" s="11" t="n"/>
    </row>
    <row r="28">
      <c r="A28" s="16" t="inlineStr">
        <is>
          <t>EV-025</t>
        </is>
      </c>
      <c r="B28" s="11" t="n"/>
      <c r="C28" s="11" t="n"/>
      <c r="D28" s="11" t="n"/>
      <c r="E28" s="11" t="n"/>
      <c r="F28" s="11" t="n"/>
      <c r="G28" s="11" t="n"/>
      <c r="H28" s="11" t="n"/>
    </row>
    <row r="29">
      <c r="A29" s="16" t="inlineStr">
        <is>
          <t>EV-026</t>
        </is>
      </c>
      <c r="B29" s="11" t="n"/>
      <c r="C29" s="11" t="n"/>
      <c r="D29" s="11" t="n"/>
      <c r="E29" s="11" t="n"/>
      <c r="F29" s="11" t="n"/>
      <c r="G29" s="11" t="n"/>
      <c r="H29" s="11" t="n"/>
    </row>
    <row r="30">
      <c r="A30" s="16" t="inlineStr">
        <is>
          <t>EV-027</t>
        </is>
      </c>
      <c r="B30" s="11" t="n"/>
      <c r="C30" s="11" t="n"/>
      <c r="D30" s="11" t="n"/>
      <c r="E30" s="11" t="n"/>
      <c r="F30" s="11" t="n"/>
      <c r="G30" s="11" t="n"/>
      <c r="H30" s="11" t="n"/>
    </row>
    <row r="31">
      <c r="A31" s="16" t="inlineStr">
        <is>
          <t>EV-028</t>
        </is>
      </c>
      <c r="B31" s="11" t="n"/>
      <c r="C31" s="11" t="n"/>
      <c r="D31" s="11" t="n"/>
      <c r="E31" s="11" t="n"/>
      <c r="F31" s="11" t="n"/>
      <c r="G31" s="11" t="n"/>
      <c r="H31" s="11" t="n"/>
    </row>
    <row r="32">
      <c r="A32" s="16" t="inlineStr">
        <is>
          <t>EV-029</t>
        </is>
      </c>
      <c r="B32" s="11" t="n"/>
      <c r="C32" s="11" t="n"/>
      <c r="D32" s="11" t="n"/>
      <c r="E32" s="11" t="n"/>
      <c r="F32" s="11" t="n"/>
      <c r="G32" s="11" t="n"/>
      <c r="H32" s="11" t="n"/>
    </row>
    <row r="33">
      <c r="A33" s="16" t="inlineStr">
        <is>
          <t>EV-030</t>
        </is>
      </c>
      <c r="B33" s="11" t="n"/>
      <c r="C33" s="11" t="n"/>
      <c r="D33" s="11" t="n"/>
      <c r="E33" s="11" t="n"/>
      <c r="F33" s="11" t="n"/>
      <c r="G33" s="11" t="n"/>
      <c r="H33" s="11" t="n"/>
    </row>
    <row r="34">
      <c r="A34" s="16" t="inlineStr">
        <is>
          <t>EV-031</t>
        </is>
      </c>
      <c r="B34" s="11" t="n"/>
      <c r="C34" s="11" t="n"/>
      <c r="D34" s="11" t="n"/>
      <c r="E34" s="11" t="n"/>
      <c r="F34" s="11" t="n"/>
      <c r="G34" s="11" t="n"/>
      <c r="H34" s="11" t="n"/>
    </row>
    <row r="35">
      <c r="A35" s="16" t="inlineStr">
        <is>
          <t>EV-032</t>
        </is>
      </c>
      <c r="B35" s="11" t="n"/>
      <c r="C35" s="11" t="n"/>
      <c r="D35" s="11" t="n"/>
      <c r="E35" s="11" t="n"/>
      <c r="F35" s="11" t="n"/>
      <c r="G35" s="11" t="n"/>
      <c r="H35" s="11" t="n"/>
    </row>
    <row r="36">
      <c r="A36" s="16" t="inlineStr">
        <is>
          <t>EV-033</t>
        </is>
      </c>
      <c r="B36" s="11" t="n"/>
      <c r="C36" s="11" t="n"/>
      <c r="D36" s="11" t="n"/>
      <c r="E36" s="11" t="n"/>
      <c r="F36" s="11" t="n"/>
      <c r="G36" s="11" t="n"/>
      <c r="H36" s="11" t="n"/>
    </row>
    <row r="37">
      <c r="A37" s="16" t="inlineStr">
        <is>
          <t>EV-034</t>
        </is>
      </c>
      <c r="B37" s="11" t="n"/>
      <c r="C37" s="11" t="n"/>
      <c r="D37" s="11" t="n"/>
      <c r="E37" s="11" t="n"/>
      <c r="F37" s="11" t="n"/>
      <c r="G37" s="11" t="n"/>
      <c r="H37" s="11" t="n"/>
    </row>
    <row r="38">
      <c r="A38" s="16" t="inlineStr">
        <is>
          <t>EV-035</t>
        </is>
      </c>
      <c r="B38" s="11" t="n"/>
      <c r="C38" s="11" t="n"/>
      <c r="D38" s="11" t="n"/>
      <c r="E38" s="11" t="n"/>
      <c r="F38" s="11" t="n"/>
      <c r="G38" s="11" t="n"/>
      <c r="H38" s="11" t="n"/>
    </row>
    <row r="39">
      <c r="A39" s="16" t="inlineStr">
        <is>
          <t>EV-036</t>
        </is>
      </c>
      <c r="B39" s="11" t="n"/>
      <c r="C39" s="11" t="n"/>
      <c r="D39" s="11" t="n"/>
      <c r="E39" s="11" t="n"/>
      <c r="F39" s="11" t="n"/>
      <c r="G39" s="11" t="n"/>
      <c r="H39" s="11" t="n"/>
    </row>
    <row r="40">
      <c r="A40" s="16" t="inlineStr">
        <is>
          <t>EV-037</t>
        </is>
      </c>
      <c r="B40" s="11" t="n"/>
      <c r="C40" s="11" t="n"/>
      <c r="D40" s="11" t="n"/>
      <c r="E40" s="11" t="n"/>
      <c r="F40" s="11" t="n"/>
      <c r="G40" s="11" t="n"/>
      <c r="H40" s="11" t="n"/>
    </row>
    <row r="41">
      <c r="A41" s="16" t="inlineStr">
        <is>
          <t>EV-038</t>
        </is>
      </c>
      <c r="B41" s="11" t="n"/>
      <c r="C41" s="11" t="n"/>
      <c r="D41" s="11" t="n"/>
      <c r="E41" s="11" t="n"/>
      <c r="F41" s="11" t="n"/>
      <c r="G41" s="11" t="n"/>
      <c r="H41" s="11" t="n"/>
    </row>
    <row r="42">
      <c r="A42" s="16" t="inlineStr">
        <is>
          <t>EV-039</t>
        </is>
      </c>
      <c r="B42" s="11" t="n"/>
      <c r="C42" s="11" t="n"/>
      <c r="D42" s="11" t="n"/>
      <c r="E42" s="11" t="n"/>
      <c r="F42" s="11" t="n"/>
      <c r="G42" s="11" t="n"/>
      <c r="H42" s="11" t="n"/>
    </row>
    <row r="43">
      <c r="A43" s="16" t="inlineStr">
        <is>
          <t>EV-040</t>
        </is>
      </c>
      <c r="B43" s="11" t="n"/>
      <c r="C43" s="11" t="n"/>
      <c r="D43" s="11" t="n"/>
      <c r="E43" s="11" t="n"/>
      <c r="F43" s="11" t="n"/>
      <c r="G43" s="11" t="n"/>
      <c r="H43" s="11" t="n"/>
    </row>
    <row r="44">
      <c r="A44" s="16" t="inlineStr">
        <is>
          <t>EV-041</t>
        </is>
      </c>
      <c r="B44" s="11" t="n"/>
      <c r="C44" s="11" t="n"/>
      <c r="D44" s="11" t="n"/>
      <c r="E44" s="11" t="n"/>
      <c r="F44" s="11" t="n"/>
      <c r="G44" s="11" t="n"/>
      <c r="H44" s="11" t="n"/>
    </row>
    <row r="45">
      <c r="A45" s="16" t="inlineStr">
        <is>
          <t>EV-042</t>
        </is>
      </c>
      <c r="B45" s="11" t="n"/>
      <c r="C45" s="11" t="n"/>
      <c r="D45" s="11" t="n"/>
      <c r="E45" s="11" t="n"/>
      <c r="F45" s="11" t="n"/>
      <c r="G45" s="11" t="n"/>
      <c r="H45" s="11" t="n"/>
    </row>
    <row r="46">
      <c r="A46" s="16" t="inlineStr">
        <is>
          <t>EV-043</t>
        </is>
      </c>
      <c r="B46" s="11" t="n"/>
      <c r="C46" s="11" t="n"/>
      <c r="D46" s="11" t="n"/>
      <c r="E46" s="11" t="n"/>
      <c r="F46" s="11" t="n"/>
      <c r="G46" s="11" t="n"/>
      <c r="H46" s="11" t="n"/>
    </row>
    <row r="47">
      <c r="A47" s="16" t="inlineStr">
        <is>
          <t>EV-044</t>
        </is>
      </c>
      <c r="B47" s="11" t="n"/>
      <c r="C47" s="11" t="n"/>
      <c r="D47" s="11" t="n"/>
      <c r="E47" s="11" t="n"/>
      <c r="F47" s="11" t="n"/>
      <c r="G47" s="11" t="n"/>
      <c r="H47" s="11" t="n"/>
    </row>
    <row r="48">
      <c r="A48" s="16" t="inlineStr">
        <is>
          <t>EV-045</t>
        </is>
      </c>
      <c r="B48" s="11" t="n"/>
      <c r="C48" s="11" t="n"/>
      <c r="D48" s="11" t="n"/>
      <c r="E48" s="11" t="n"/>
      <c r="F48" s="11" t="n"/>
      <c r="G48" s="11" t="n"/>
      <c r="H48" s="11" t="n"/>
    </row>
    <row r="49">
      <c r="A49" s="16" t="inlineStr">
        <is>
          <t>EV-046</t>
        </is>
      </c>
      <c r="B49" s="11" t="n"/>
      <c r="C49" s="11" t="n"/>
      <c r="D49" s="11" t="n"/>
      <c r="E49" s="11" t="n"/>
      <c r="F49" s="11" t="n"/>
      <c r="G49" s="11" t="n"/>
      <c r="H49" s="11" t="n"/>
    </row>
    <row r="50">
      <c r="A50" s="16" t="inlineStr">
        <is>
          <t>EV-047</t>
        </is>
      </c>
      <c r="B50" s="11" t="n"/>
      <c r="C50" s="11" t="n"/>
      <c r="D50" s="11" t="n"/>
      <c r="E50" s="11" t="n"/>
      <c r="F50" s="11" t="n"/>
      <c r="G50" s="11" t="n"/>
      <c r="H50" s="11" t="n"/>
    </row>
    <row r="51">
      <c r="A51" s="16" t="inlineStr">
        <is>
          <t>EV-048</t>
        </is>
      </c>
      <c r="B51" s="11" t="n"/>
      <c r="C51" s="11" t="n"/>
      <c r="D51" s="11" t="n"/>
      <c r="E51" s="11" t="n"/>
      <c r="F51" s="11" t="n"/>
      <c r="G51" s="11" t="n"/>
      <c r="H51" s="11" t="n"/>
    </row>
    <row r="52">
      <c r="A52" s="16" t="inlineStr">
        <is>
          <t>EV-049</t>
        </is>
      </c>
      <c r="B52" s="11" t="n"/>
      <c r="C52" s="11" t="n"/>
      <c r="D52" s="11" t="n"/>
      <c r="E52" s="11" t="n"/>
      <c r="F52" s="11" t="n"/>
      <c r="G52" s="11" t="n"/>
      <c r="H52" s="11" t="n"/>
    </row>
    <row r="53">
      <c r="A53" s="16" t="inlineStr">
        <is>
          <t>EV-050</t>
        </is>
      </c>
      <c r="B53" s="11" t="n"/>
      <c r="C53" s="11" t="n"/>
      <c r="D53" s="11" t="n"/>
      <c r="E53" s="11" t="n"/>
      <c r="F53" s="11" t="n"/>
      <c r="G53" s="11" t="n"/>
      <c r="H53" s="11" t="n"/>
    </row>
  </sheetData>
  <mergeCells count="1">
    <mergeCell ref="A1:H1"/>
  </mergeCells>
  <dataValidations count="1">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"Verified,Pending,Requires update,Not available"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5" customWidth="1" min="1" max="1"/>
    <col width="20" customWidth="1" min="2" max="2"/>
  </cols>
  <sheetData>
    <row r="1" ht="30" customHeight="1">
      <c r="A1" s="1" t="inlineStr">
        <is>
          <t>TRAINING COMPLIANCE DASHBOARD</t>
        </is>
      </c>
    </row>
    <row r="3">
      <c r="A3" s="2" t="inlineStr">
        <is>
          <t>Compliance Summary (from Compliance_Metrics)</t>
        </is>
      </c>
    </row>
    <row r="4">
      <c r="A4" s="3" t="inlineStr">
        <is>
          <t>Total Completion Rate</t>
        </is>
      </c>
      <c r="B4" s="17">
        <f>AVERAGE(Compliance_Metrics!E4:E33)</f>
        <v/>
      </c>
    </row>
    <row r="5">
      <c r="A5" s="3" t="inlineStr">
        <is>
          <t>Total Overdue Count</t>
        </is>
      </c>
      <c r="B5" s="17">
        <f>SUM(Compliance_Metrics!H4:H33)</f>
        <v/>
      </c>
    </row>
    <row r="6">
      <c r="A6" s="3" t="inlineStr">
        <is>
          <t>Departments with Gaps</t>
        </is>
      </c>
      <c r="B6" s="17">
        <f>COUNTIF(Compliance_Metrics!J4:J33,"&lt;&gt;Green")</f>
        <v/>
      </c>
    </row>
    <row r="9">
      <c r="A9" s="2" t="inlineStr">
        <is>
          <t>Effectiveness Summary (from Effectiveness_Metrics)</t>
        </is>
      </c>
    </row>
    <row r="10">
      <c r="A10" s="3" t="inlineStr">
        <is>
          <t>Metrics Meeting Target</t>
        </is>
      </c>
      <c r="B10" s="18">
        <f>COUNTIF(Effectiveness_Metrics!F4:F20,"*Improving*")+COUNTIF(Effectiveness_Metrics!F4:F20,"*Stable*")</f>
        <v/>
      </c>
    </row>
    <row r="11">
      <c r="A11" s="3" t="inlineStr">
        <is>
          <t>Metrics Below Target</t>
        </is>
      </c>
      <c r="B11" s="18">
        <f>COUNTIF(Effectiveness_Metrics!F4:F20,"*Declining*")+COUNTIF(Effectiveness_Metrics!F4:F20,"*Worsening*")</f>
        <v/>
      </c>
    </row>
    <row r="14">
      <c r="A14" s="2" t="inlineStr">
        <is>
          <t>Audit Readiness (from Audit_Evidence)</t>
        </is>
      </c>
    </row>
    <row r="15">
      <c r="A15" s="3" t="inlineStr">
        <is>
          <t>Evidence Available</t>
        </is>
      </c>
      <c r="B15" s="18">
        <f>COUNTIF(Audit_Evidence!D4:D20,"Available")</f>
        <v/>
      </c>
    </row>
    <row r="16">
      <c r="A16" s="3" t="inlineStr">
        <is>
          <t>Evidence Partial</t>
        </is>
      </c>
      <c r="B16" s="18">
        <f>COUNTIF(Audit_Evidence!D4:D20,"Partial")</f>
        <v/>
      </c>
    </row>
    <row r="17">
      <c r="A17" s="3" t="inlineStr">
        <is>
          <t>Evidence Missing</t>
        </is>
      </c>
      <c r="B17" s="18">
        <f>COUNTIF(Audit_Evidence!D4:D20,"Missing")</f>
        <v/>
      </c>
    </row>
    <row r="20">
      <c r="A20" s="2" t="inlineStr">
        <is>
          <t>Risk Summary (from Risk_Heatmap)</t>
        </is>
      </c>
    </row>
    <row r="21">
      <c r="A21" s="3" t="inlineStr">
        <is>
          <t>Critical Risk Areas</t>
        </is>
      </c>
      <c r="B21" s="18">
        <f>COUNTIF(Risk_Heatmap!F6:F25,"Critical")</f>
        <v/>
      </c>
    </row>
    <row r="22">
      <c r="A22" s="3" t="inlineStr">
        <is>
          <t>High Risk Areas</t>
        </is>
      </c>
      <c r="B22" s="18">
        <f>COUNTIF(Risk_Heatmap!F6:F25,"High")</f>
        <v/>
      </c>
    </row>
    <row r="23">
      <c r="A23" s="3" t="inlineStr">
        <is>
          <t>Medium Risk Areas</t>
        </is>
      </c>
      <c r="B23" s="18">
        <f>COUNTIF(Risk_Heatmap!F6:F25,"Medium")</f>
        <v/>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8" customWidth="1" min="1" max="1"/>
    <col width="30" customWidth="1" min="2" max="2"/>
  </cols>
  <sheetData>
    <row r="1" ht="30" customHeight="1">
      <c r="A1" s="1" t="inlineStr">
        <is>
          <t>QUARTERLY ATTESTATION AND SIGN-OFF</t>
        </is>
      </c>
    </row>
    <row r="3">
      <c r="A3" s="2" t="inlineStr">
        <is>
          <t>Reporting Period</t>
        </is>
      </c>
    </row>
    <row r="4">
      <c r="A4" s="3" t="inlineStr">
        <is>
          <t>Quarter/Period</t>
        </is>
      </c>
      <c r="B4" s="4" t="inlineStr"/>
    </row>
    <row r="5">
      <c r="A5" s="3" t="inlineStr">
        <is>
          <t>Report Date</t>
        </is>
      </c>
      <c r="B5" s="4" t="inlineStr"/>
    </row>
    <row r="6">
      <c r="A6" s="3" t="inlineStr">
        <is>
          <t>Overall Compliance Status</t>
        </is>
      </c>
      <c r="B6" s="4" t="inlineStr"/>
    </row>
    <row r="9">
      <c r="A9" s="19" t="inlineStr">
        <is>
          <t>PREPARED BY (Information Security Officer)</t>
        </is>
      </c>
    </row>
    <row r="10">
      <c r="A10" s="3" t="inlineStr">
        <is>
          <t>Name:</t>
        </is>
      </c>
      <c r="B10" s="4" t="n"/>
    </row>
    <row r="11">
      <c r="A11" s="3" t="inlineStr">
        <is>
          <t>Date:</t>
        </is>
      </c>
      <c r="B11" s="4" t="n"/>
    </row>
    <row r="12">
      <c r="A12" s="3" t="inlineStr">
        <is>
          <t>Signature:</t>
        </is>
      </c>
      <c r="B12" s="4" t="n"/>
    </row>
    <row r="15">
      <c r="A15" s="19" t="inlineStr">
        <is>
          <t>REVIEWED BY (HR Director)</t>
        </is>
      </c>
    </row>
    <row r="16">
      <c r="A16" s="3" t="inlineStr">
        <is>
          <t>Name:</t>
        </is>
      </c>
      <c r="B16" s="4" t="n"/>
    </row>
    <row r="17">
      <c r="A17" s="3" t="inlineStr">
        <is>
          <t>Date:</t>
        </is>
      </c>
      <c r="B17" s="4" t="n"/>
    </row>
    <row r="18">
      <c r="A18" s="3" t="inlineStr">
        <is>
          <t>Signature:</t>
        </is>
      </c>
      <c r="B18" s="4" t="n"/>
    </row>
    <row r="21">
      <c r="A21" s="20" t="inlineStr">
        <is>
          <t>APPROVED BY (CISO)</t>
        </is>
      </c>
    </row>
    <row r="22">
      <c r="A22" s="3" t="inlineStr">
        <is>
          <t>Name:</t>
        </is>
      </c>
      <c r="B22" s="4" t="n"/>
    </row>
    <row r="23">
      <c r="A23" s="3" t="inlineStr">
        <is>
          <t>Date:</t>
        </is>
      </c>
      <c r="B23" s="4" t="n"/>
    </row>
    <row r="24">
      <c r="A24" s="3" t="inlineStr">
        <is>
          <t>Signature:</t>
        </is>
      </c>
      <c r="B24" s="4" t="n"/>
    </row>
    <row r="27">
      <c r="A27" s="3" t="inlineStr">
        <is>
          <t>Next Review Date:</t>
        </is>
      </c>
      <c r="B27" s="4" t="n"/>
    </row>
  </sheetData>
  <mergeCells count="14">
    <mergeCell ref="A21:E21"/>
    <mergeCell ref="B17:E17"/>
    <mergeCell ref="B18:E18"/>
    <mergeCell ref="B23:E23"/>
    <mergeCell ref="B27:E27"/>
    <mergeCell ref="B12:E12"/>
    <mergeCell ref="A15:E15"/>
    <mergeCell ref="B16:E16"/>
    <mergeCell ref="A1:E1"/>
    <mergeCell ref="B11:E11"/>
    <mergeCell ref="B24:E24"/>
    <mergeCell ref="B10:E10"/>
    <mergeCell ref="A9:E9"/>
    <mergeCell ref="B22:E22"/>
  </mergeCells>
  <dataValidations count="1">
    <dataValidation sqref="B6" showDropDown="0" showInputMessage="0" showErrorMessage="0" allowBlank="0" type="list">
      <formula1>"Compliant,Minor Gaps,Significant Gaps"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2026-01-31T18:25:18Z</dcterms:created>
  <dcterms:modified xmlns:dcterms="http://purl.org/dc/terms/" xmlns:xsi="http://www.w3.org/2001/XMLSchema-instance" xsi:type="dcterms:W3CDTF">2026-01-31T18:25:18Z</dcterms:modified>
</cp:coreProperties>
</file>