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Master_Compliance_Matrix" sheetId="2" state="visible" r:id="rId2"/>
    <sheet xmlns:r="http://schemas.openxmlformats.org/officeDocument/2006/relationships" name="A81_Device_Compliance" sheetId="3" state="visible" r:id="rId3"/>
    <sheet xmlns:r="http://schemas.openxmlformats.org/officeDocument/2006/relationships" name="A87_Protection_Compliance" sheetId="4" state="visible" r:id="rId4"/>
    <sheet xmlns:r="http://schemas.openxmlformats.org/officeDocument/2006/relationships" name="A818_Utility_Compliance" sheetId="5" state="visible" r:id="rId5"/>
    <sheet xmlns:r="http://schemas.openxmlformats.org/officeDocument/2006/relationships" name="A819_Software_Compliance" sheetId="6" state="visible" r:id="rId6"/>
    <sheet xmlns:r="http://schemas.openxmlformats.org/officeDocument/2006/relationships" name="Risk_Prioritization" sheetId="7" state="visible" r:id="rId7"/>
    <sheet xmlns:r="http://schemas.openxmlformats.org/officeDocument/2006/relationships" name="Remediation_Tracking" sheetId="8" state="visible" r:id="rId8"/>
    <sheet xmlns:r="http://schemas.openxmlformats.org/officeDocument/2006/relationships" name="Trend_Analysis" sheetId="9" state="visible" r:id="rId9"/>
    <sheet xmlns:r="http://schemas.openxmlformats.org/officeDocument/2006/relationships" name="Evidence_Register" sheetId="10" state="visible" r:id="rId10"/>
    <sheet xmlns:r="http://schemas.openxmlformats.org/officeDocument/2006/relationships" name="Approval_Sign_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sz val="1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00B050"/>
        <bgColor rgb="0000B05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40" customHeight="1">
      <c r="A1" s="1" t="inlineStr">
        <is>
          <t>ISMS-IMP-A.8.1-7-18-19.5
ISO/IEC 27001:2022 - Controls A.8.1, A.8.7, A.8.18, A.8.19: Endpoint Security</t>
        </is>
      </c>
    </row>
    <row r="2">
      <c r="A2" s="2" t="inlineStr">
        <is>
          <t>Master Compliance: A.8.1, A.8.7, A.8.18, A.8.19 Combined</t>
        </is>
      </c>
    </row>
    <row r="4">
      <c r="A4" s="3" t="inlineStr">
        <is>
          <t>Document ID:</t>
        </is>
      </c>
      <c r="B4" t="inlineStr">
        <is>
          <t>ISMS-IMP-A.8.1-7-18-19.S5</t>
        </is>
      </c>
    </row>
    <row r="5">
      <c r="A5" s="3" t="inlineStr">
        <is>
          <t>Workbook:</t>
        </is>
      </c>
      <c r="B5" t="inlineStr">
        <is>
          <t>Compliance Matrix</t>
        </is>
      </c>
    </row>
    <row r="6">
      <c r="A6" s="3" t="inlineStr">
        <is>
          <t>Version:</t>
        </is>
      </c>
      <c r="B6" t="inlineStr">
        <is>
          <t>1.0</t>
        </is>
      </c>
    </row>
    <row r="7">
      <c r="A7" s="3" t="inlineStr">
        <is>
          <t>Generated:</t>
        </is>
      </c>
      <c r="B7" t="inlineStr">
        <is>
          <t>31.01.2026 03:16</t>
        </is>
      </c>
    </row>
    <row r="10">
      <c r="A10" s="2" t="inlineStr">
        <is>
          <t>📋 PURPOSE</t>
        </is>
      </c>
    </row>
    <row r="11" ht="80" customHeight="1">
      <c r="A11" s="4" t="inlineStr">
        <is>
          <t>This workbook consolidates compliance assessment across all four endpoint security controls:
• A.8.1 User Endpoint Devices (inventory, baselines, encryption, MDM)
• A.8.7 Protection Against Malware (coverage, effectiveness, incidents)
• A.8.18 Use of Privileged Utility Programs (access controls, approvals, auditing)
• A.8.19 Installation of Software (approved software, unauthorized detection, app control)
Master compliance matrix shows per-endpoint status across all controls, enabling risk prioritization based on combined gaps (e.g., unencrypted + unprotected + unauthorized software = critical risk).</t>
        </is>
      </c>
    </row>
    <row r="12"/>
    <row r="13"/>
    <row r="14"/>
  </sheetData>
  <mergeCells count="4">
    <mergeCell ref="A2:F2"/>
    <mergeCell ref="A11:F14"/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6" customWidth="1" min="9" max="9"/>
    <col width="16" customWidth="1" min="10" max="10"/>
    <col width="20" customWidth="1" min="11" max="11"/>
    <col width="30" customWidth="1" min="12" max="12"/>
  </cols>
  <sheetData>
    <row r="1">
      <c r="A1" s="1" t="inlineStr">
        <is>
          <t>MASTER ENDPOINT SECURITY COMPLIANCE MATRIX</t>
        </is>
      </c>
    </row>
    <row r="2">
      <c r="A2" s="2" t="inlineStr">
        <is>
          <t>Per-endpoint compliance across A.8.1, A.8.7, A.8.18, A.8.19 with combined risk score</t>
        </is>
      </c>
    </row>
    <row r="4">
      <c r="A4" s="5" t="inlineStr">
        <is>
          <t>Device ID</t>
        </is>
      </c>
      <c r="B4" s="5" t="inlineStr">
        <is>
          <t>Hostname</t>
        </is>
      </c>
      <c r="C4" s="5" t="inlineStr">
        <is>
          <t>Device Type</t>
        </is>
      </c>
      <c r="D4" s="5" t="inlineStr">
        <is>
          <t>A.8.1 Compliance</t>
        </is>
      </c>
      <c r="E4" s="5" t="inlineStr">
        <is>
          <t>A.8.7 Compliance</t>
        </is>
      </c>
      <c r="F4" s="5" t="inlineStr">
        <is>
          <t>A.8.18 Compliance</t>
        </is>
      </c>
      <c r="G4" s="5" t="inlineStr">
        <is>
          <t>A.8.19 Compliance</t>
        </is>
      </c>
      <c r="H4" s="5" t="inlineStr">
        <is>
          <t>Overall Score</t>
        </is>
      </c>
      <c r="I4" s="5" t="inlineStr">
        <is>
          <t>Combined Risk</t>
        </is>
      </c>
      <c r="J4" s="5" t="inlineStr">
        <is>
          <t>Critical Gaps</t>
        </is>
      </c>
      <c r="K4" s="5" t="inlineStr">
        <is>
          <t>Remediation Priority</t>
        </is>
      </c>
      <c r="L4" s="5" t="inlineStr">
        <is>
          <t>Notes</t>
        </is>
      </c>
    </row>
    <row r="5">
      <c r="A5" t="inlineStr">
        <is>
          <t>EP-1001</t>
        </is>
      </c>
      <c r="B5" s="6" t="n"/>
      <c r="C5" s="6" t="n"/>
      <c r="D5" s="6" t="n"/>
      <c r="E5" s="6" t="n"/>
      <c r="F5" s="6" t="n"/>
      <c r="G5" s="6" t="n"/>
      <c r="H5">
        <f>AVERAGE(D5:G5)</f>
        <v/>
      </c>
      <c r="I5" s="6" t="n"/>
      <c r="J5" s="6" t="n"/>
      <c r="K5">
        <f>IF(H5&lt;50,"🔴 Critical",IF(H5&lt;75,"🟠 High",IF(H5&lt;90,"🟡 Medium","🟢 Low")))</f>
        <v/>
      </c>
      <c r="L5" s="6" t="n"/>
    </row>
    <row r="6">
      <c r="A6" t="inlineStr">
        <is>
          <t>EP-1002</t>
        </is>
      </c>
      <c r="B6" s="6" t="n"/>
      <c r="C6" s="6" t="n"/>
      <c r="D6" s="6" t="n"/>
      <c r="E6" s="6" t="n"/>
      <c r="F6" s="6" t="n"/>
      <c r="G6" s="6" t="n"/>
      <c r="H6">
        <f>AVERAGE(D6:G6)</f>
        <v/>
      </c>
      <c r="I6" s="6" t="n"/>
      <c r="J6" s="6" t="n"/>
      <c r="K6">
        <f>IF(H6&lt;50,"🔴 Critical",IF(H6&lt;75,"🟠 High",IF(H6&lt;90,"🟡 Medium","🟢 Low")))</f>
        <v/>
      </c>
      <c r="L6" s="6" t="n"/>
    </row>
    <row r="7">
      <c r="A7" t="inlineStr">
        <is>
          <t>EP-1003</t>
        </is>
      </c>
      <c r="B7" s="6" t="n"/>
      <c r="C7" s="6" t="n"/>
      <c r="D7" s="6" t="n"/>
      <c r="E7" s="6" t="n"/>
      <c r="F7" s="6" t="n"/>
      <c r="G7" s="6" t="n"/>
      <c r="H7">
        <f>AVERAGE(D7:G7)</f>
        <v/>
      </c>
      <c r="I7" s="6" t="n"/>
      <c r="J7" s="6" t="n"/>
      <c r="K7">
        <f>IF(H7&lt;50,"🔴 Critical",IF(H7&lt;75,"🟠 High",IF(H7&lt;90,"🟡 Medium","🟢 Low")))</f>
        <v/>
      </c>
      <c r="L7" s="6" t="n"/>
    </row>
    <row r="8">
      <c r="A8" t="inlineStr">
        <is>
          <t>EP-1004</t>
        </is>
      </c>
      <c r="B8" s="6" t="n"/>
      <c r="C8" s="6" t="n"/>
      <c r="D8" s="6" t="n"/>
      <c r="E8" s="6" t="n"/>
      <c r="F8" s="6" t="n"/>
      <c r="G8" s="6" t="n"/>
      <c r="H8">
        <f>AVERAGE(D8:G8)</f>
        <v/>
      </c>
      <c r="I8" s="6" t="n"/>
      <c r="J8" s="6" t="n"/>
      <c r="K8">
        <f>IF(H8&lt;50,"🔴 Critical",IF(H8&lt;75,"🟠 High",IF(H8&lt;90,"🟡 Medium","🟢 Low")))</f>
        <v/>
      </c>
      <c r="L8" s="6" t="n"/>
    </row>
    <row r="9">
      <c r="A9" t="inlineStr">
        <is>
          <t>EP-1005</t>
        </is>
      </c>
      <c r="B9" s="6" t="n"/>
      <c r="C9" s="6" t="n"/>
      <c r="D9" s="6" t="n"/>
      <c r="E9" s="6" t="n"/>
      <c r="F9" s="6" t="n"/>
      <c r="G9" s="6" t="n"/>
      <c r="H9">
        <f>AVERAGE(D9:G9)</f>
        <v/>
      </c>
      <c r="I9" s="6" t="n"/>
      <c r="J9" s="6" t="n"/>
      <c r="K9">
        <f>IF(H9&lt;50,"🔴 Critical",IF(H9&lt;75,"🟠 High",IF(H9&lt;90,"🟡 Medium","🟢 Low")))</f>
        <v/>
      </c>
      <c r="L9" s="6" t="n"/>
    </row>
    <row r="10">
      <c r="A10" t="inlineStr">
        <is>
          <t>EP-1006</t>
        </is>
      </c>
      <c r="B10" s="6" t="n"/>
      <c r="C10" s="6" t="n"/>
      <c r="D10" s="6" t="n"/>
      <c r="E10" s="6" t="n"/>
      <c r="F10" s="6" t="n"/>
      <c r="G10" s="6" t="n"/>
      <c r="H10">
        <f>AVERAGE(D10:G10)</f>
        <v/>
      </c>
      <c r="I10" s="6" t="n"/>
      <c r="J10" s="6" t="n"/>
      <c r="K10">
        <f>IF(H10&lt;50,"🔴 Critical",IF(H10&lt;75,"🟠 High",IF(H10&lt;90,"🟡 Medium","🟢 Low")))</f>
        <v/>
      </c>
      <c r="L10" s="6" t="n"/>
    </row>
    <row r="11">
      <c r="A11" t="inlineStr">
        <is>
          <t>EP-1007</t>
        </is>
      </c>
      <c r="B11" s="6" t="n"/>
      <c r="C11" s="6" t="n"/>
      <c r="D11" s="6" t="n"/>
      <c r="E11" s="6" t="n"/>
      <c r="F11" s="6" t="n"/>
      <c r="G11" s="6" t="n"/>
      <c r="H11">
        <f>AVERAGE(D11:G11)</f>
        <v/>
      </c>
      <c r="I11" s="6" t="n"/>
      <c r="J11" s="6" t="n"/>
      <c r="K11">
        <f>IF(H11&lt;50,"🔴 Critical",IF(H11&lt;75,"🟠 High",IF(H11&lt;90,"🟡 Medium","🟢 Low")))</f>
        <v/>
      </c>
      <c r="L11" s="6" t="n"/>
    </row>
    <row r="12">
      <c r="A12" t="inlineStr">
        <is>
          <t>EP-1008</t>
        </is>
      </c>
      <c r="B12" s="6" t="n"/>
      <c r="C12" s="6" t="n"/>
      <c r="D12" s="6" t="n"/>
      <c r="E12" s="6" t="n"/>
      <c r="F12" s="6" t="n"/>
      <c r="G12" s="6" t="n"/>
      <c r="H12">
        <f>AVERAGE(D12:G12)</f>
        <v/>
      </c>
      <c r="I12" s="6" t="n"/>
      <c r="J12" s="6" t="n"/>
      <c r="K12">
        <f>IF(H12&lt;50,"🔴 Critical",IF(H12&lt;75,"🟠 High",IF(H12&lt;90,"🟡 Medium","🟢 Low")))</f>
        <v/>
      </c>
      <c r="L12" s="6" t="n"/>
    </row>
    <row r="13">
      <c r="A13" t="inlineStr">
        <is>
          <t>EP-1009</t>
        </is>
      </c>
      <c r="B13" s="6" t="n"/>
      <c r="C13" s="6" t="n"/>
      <c r="D13" s="6" t="n"/>
      <c r="E13" s="6" t="n"/>
      <c r="F13" s="6" t="n"/>
      <c r="G13" s="6" t="n"/>
      <c r="H13">
        <f>AVERAGE(D13:G13)</f>
        <v/>
      </c>
      <c r="I13" s="6" t="n"/>
      <c r="J13" s="6" t="n"/>
      <c r="K13">
        <f>IF(H13&lt;50,"🔴 Critical",IF(H13&lt;75,"🟠 High",IF(H13&lt;90,"🟡 Medium","🟢 Low")))</f>
        <v/>
      </c>
      <c r="L13" s="6" t="n"/>
    </row>
    <row r="14">
      <c r="A14" t="inlineStr">
        <is>
          <t>EP-1010</t>
        </is>
      </c>
      <c r="B14" s="6" t="n"/>
      <c r="C14" s="6" t="n"/>
      <c r="D14" s="6" t="n"/>
      <c r="E14" s="6" t="n"/>
      <c r="F14" s="6" t="n"/>
      <c r="G14" s="6" t="n"/>
      <c r="H14">
        <f>AVERAGE(D14:G14)</f>
        <v/>
      </c>
      <c r="I14" s="6" t="n"/>
      <c r="J14" s="6" t="n"/>
      <c r="K14">
        <f>IF(H14&lt;50,"🔴 Critical",IF(H14&lt;75,"🟠 High",IF(H14&lt;90,"🟡 Medium","🟢 Low")))</f>
        <v/>
      </c>
      <c r="L14" s="6" t="n"/>
    </row>
    <row r="15">
      <c r="A15" t="inlineStr">
        <is>
          <t>EP-1011</t>
        </is>
      </c>
      <c r="B15" s="6" t="n"/>
      <c r="C15" s="6" t="n"/>
      <c r="D15" s="6" t="n"/>
      <c r="E15" s="6" t="n"/>
      <c r="F15" s="6" t="n"/>
      <c r="G15" s="6" t="n"/>
      <c r="H15">
        <f>AVERAGE(D15:G15)</f>
        <v/>
      </c>
      <c r="I15" s="6" t="n"/>
      <c r="J15" s="6" t="n"/>
      <c r="K15">
        <f>IF(H15&lt;50,"🔴 Critical",IF(H15&lt;75,"🟠 High",IF(H15&lt;90,"🟡 Medium","🟢 Low")))</f>
        <v/>
      </c>
      <c r="L15" s="6" t="n"/>
    </row>
    <row r="16">
      <c r="A16" t="inlineStr">
        <is>
          <t>EP-1012</t>
        </is>
      </c>
      <c r="B16" s="6" t="n"/>
      <c r="C16" s="6" t="n"/>
      <c r="D16" s="6" t="n"/>
      <c r="E16" s="6" t="n"/>
      <c r="F16" s="6" t="n"/>
      <c r="G16" s="6" t="n"/>
      <c r="H16">
        <f>AVERAGE(D16:G16)</f>
        <v/>
      </c>
      <c r="I16" s="6" t="n"/>
      <c r="J16" s="6" t="n"/>
      <c r="K16">
        <f>IF(H16&lt;50,"🔴 Critical",IF(H16&lt;75,"🟠 High",IF(H16&lt;90,"🟡 Medium","🟢 Low")))</f>
        <v/>
      </c>
      <c r="L16" s="6" t="n"/>
    </row>
    <row r="17">
      <c r="A17" t="inlineStr">
        <is>
          <t>EP-1013</t>
        </is>
      </c>
      <c r="B17" s="6" t="n"/>
      <c r="C17" s="6" t="n"/>
      <c r="D17" s="6" t="n"/>
      <c r="E17" s="6" t="n"/>
      <c r="F17" s="6" t="n"/>
      <c r="G17" s="6" t="n"/>
      <c r="H17">
        <f>AVERAGE(D17:G17)</f>
        <v/>
      </c>
      <c r="I17" s="6" t="n"/>
      <c r="J17" s="6" t="n"/>
      <c r="K17">
        <f>IF(H17&lt;50,"🔴 Critical",IF(H17&lt;75,"🟠 High",IF(H17&lt;90,"🟡 Medium","🟢 Low")))</f>
        <v/>
      </c>
      <c r="L17" s="6" t="n"/>
    </row>
    <row r="18">
      <c r="A18" t="inlineStr">
        <is>
          <t>EP-1014</t>
        </is>
      </c>
      <c r="B18" s="6" t="n"/>
      <c r="C18" s="6" t="n"/>
      <c r="D18" s="6" t="n"/>
      <c r="E18" s="6" t="n"/>
      <c r="F18" s="6" t="n"/>
      <c r="G18" s="6" t="n"/>
      <c r="H18">
        <f>AVERAGE(D18:G18)</f>
        <v/>
      </c>
      <c r="I18" s="6" t="n"/>
      <c r="J18" s="6" t="n"/>
      <c r="K18">
        <f>IF(H18&lt;50,"🔴 Critical",IF(H18&lt;75,"🟠 High",IF(H18&lt;90,"🟡 Medium","🟢 Low")))</f>
        <v/>
      </c>
      <c r="L18" s="6" t="n"/>
    </row>
    <row r="19">
      <c r="A19" t="inlineStr">
        <is>
          <t>EP-1015</t>
        </is>
      </c>
      <c r="B19" s="6" t="n"/>
      <c r="C19" s="6" t="n"/>
      <c r="D19" s="6" t="n"/>
      <c r="E19" s="6" t="n"/>
      <c r="F19" s="6" t="n"/>
      <c r="G19" s="6" t="n"/>
      <c r="H19">
        <f>AVERAGE(D19:G19)</f>
        <v/>
      </c>
      <c r="I19" s="6" t="n"/>
      <c r="J19" s="6" t="n"/>
      <c r="K19">
        <f>IF(H19&lt;50,"🔴 Critical",IF(H19&lt;75,"🟠 High",IF(H19&lt;90,"🟡 Medium","🟢 Low")))</f>
        <v/>
      </c>
      <c r="L19" s="6" t="n"/>
    </row>
    <row r="20">
      <c r="A20" t="inlineStr">
        <is>
          <t>EP-1016</t>
        </is>
      </c>
      <c r="B20" s="6" t="n"/>
      <c r="C20" s="6" t="n"/>
      <c r="D20" s="6" t="n"/>
      <c r="E20" s="6" t="n"/>
      <c r="F20" s="6" t="n"/>
      <c r="G20" s="6" t="n"/>
      <c r="H20">
        <f>AVERAGE(D20:G20)</f>
        <v/>
      </c>
      <c r="I20" s="6" t="n"/>
      <c r="J20" s="6" t="n"/>
      <c r="K20">
        <f>IF(H20&lt;50,"🔴 Critical",IF(H20&lt;75,"🟠 High",IF(H20&lt;90,"🟡 Medium","🟢 Low")))</f>
        <v/>
      </c>
      <c r="L20" s="6" t="n"/>
    </row>
    <row r="21">
      <c r="A21" t="inlineStr">
        <is>
          <t>EP-1017</t>
        </is>
      </c>
      <c r="B21" s="6" t="n"/>
      <c r="C21" s="6" t="n"/>
      <c r="D21" s="6" t="n"/>
      <c r="E21" s="6" t="n"/>
      <c r="F21" s="6" t="n"/>
      <c r="G21" s="6" t="n"/>
      <c r="H21">
        <f>AVERAGE(D21:G21)</f>
        <v/>
      </c>
      <c r="I21" s="6" t="n"/>
      <c r="J21" s="6" t="n"/>
      <c r="K21">
        <f>IF(H21&lt;50,"🔴 Critical",IF(H21&lt;75,"🟠 High",IF(H21&lt;90,"🟡 Medium","🟢 Low")))</f>
        <v/>
      </c>
      <c r="L21" s="6" t="n"/>
    </row>
    <row r="22">
      <c r="A22" t="inlineStr">
        <is>
          <t>EP-1018</t>
        </is>
      </c>
      <c r="B22" s="6" t="n"/>
      <c r="C22" s="6" t="n"/>
      <c r="D22" s="6" t="n"/>
      <c r="E22" s="6" t="n"/>
      <c r="F22" s="6" t="n"/>
      <c r="G22" s="6" t="n"/>
      <c r="H22">
        <f>AVERAGE(D22:G22)</f>
        <v/>
      </c>
      <c r="I22" s="6" t="n"/>
      <c r="J22" s="6" t="n"/>
      <c r="K22">
        <f>IF(H22&lt;50,"🔴 Critical",IF(H22&lt;75,"🟠 High",IF(H22&lt;90,"🟡 Medium","🟢 Low")))</f>
        <v/>
      </c>
      <c r="L22" s="6" t="n"/>
    </row>
    <row r="23">
      <c r="A23" t="inlineStr">
        <is>
          <t>EP-1019</t>
        </is>
      </c>
      <c r="B23" s="6" t="n"/>
      <c r="C23" s="6" t="n"/>
      <c r="D23" s="6" t="n"/>
      <c r="E23" s="6" t="n"/>
      <c r="F23" s="6" t="n"/>
      <c r="G23" s="6" t="n"/>
      <c r="H23">
        <f>AVERAGE(D23:G23)</f>
        <v/>
      </c>
      <c r="I23" s="6" t="n"/>
      <c r="J23" s="6" t="n"/>
      <c r="K23">
        <f>IF(H23&lt;50,"🔴 Critical",IF(H23&lt;75,"🟠 High",IF(H23&lt;90,"🟡 Medium","🟢 Low")))</f>
        <v/>
      </c>
      <c r="L23" s="6" t="n"/>
    </row>
    <row r="24">
      <c r="A24" t="inlineStr">
        <is>
          <t>EP-1020</t>
        </is>
      </c>
      <c r="B24" s="6" t="n"/>
      <c r="C24" s="6" t="n"/>
      <c r="D24" s="6" t="n"/>
      <c r="E24" s="6" t="n"/>
      <c r="F24" s="6" t="n"/>
      <c r="G24" s="6" t="n"/>
      <c r="H24">
        <f>AVERAGE(D24:G24)</f>
        <v/>
      </c>
      <c r="I24" s="6" t="n"/>
      <c r="J24" s="6" t="n"/>
      <c r="K24">
        <f>IF(H24&lt;50,"🔴 Critical",IF(H24&lt;75,"🟠 High",IF(H24&lt;90,"🟡 Medium","🟢 Low")))</f>
        <v/>
      </c>
      <c r="L24" s="6" t="n"/>
    </row>
    <row r="25">
      <c r="A25" t="inlineStr">
        <is>
          <t>EP-1021</t>
        </is>
      </c>
      <c r="B25" s="6" t="n"/>
      <c r="C25" s="6" t="n"/>
      <c r="D25" s="6" t="n"/>
      <c r="E25" s="6" t="n"/>
      <c r="F25" s="6" t="n"/>
      <c r="G25" s="6" t="n"/>
      <c r="H25">
        <f>AVERAGE(D25:G25)</f>
        <v/>
      </c>
      <c r="I25" s="6" t="n"/>
      <c r="J25" s="6" t="n"/>
      <c r="K25">
        <f>IF(H25&lt;50,"🔴 Critical",IF(H25&lt;75,"🟠 High",IF(H25&lt;90,"🟡 Medium","🟢 Low")))</f>
        <v/>
      </c>
      <c r="L25" s="6" t="n"/>
    </row>
    <row r="26">
      <c r="A26" t="inlineStr">
        <is>
          <t>EP-1022</t>
        </is>
      </c>
      <c r="B26" s="6" t="n"/>
      <c r="C26" s="6" t="n"/>
      <c r="D26" s="6" t="n"/>
      <c r="E26" s="6" t="n"/>
      <c r="F26" s="6" t="n"/>
      <c r="G26" s="6" t="n"/>
      <c r="H26">
        <f>AVERAGE(D26:G26)</f>
        <v/>
      </c>
      <c r="I26" s="6" t="n"/>
      <c r="J26" s="6" t="n"/>
      <c r="K26">
        <f>IF(H26&lt;50,"🔴 Critical",IF(H26&lt;75,"🟠 High",IF(H26&lt;90,"🟡 Medium","🟢 Low")))</f>
        <v/>
      </c>
      <c r="L26" s="6" t="n"/>
    </row>
    <row r="27">
      <c r="A27" t="inlineStr">
        <is>
          <t>EP-1023</t>
        </is>
      </c>
      <c r="B27" s="6" t="n"/>
      <c r="C27" s="6" t="n"/>
      <c r="D27" s="6" t="n"/>
      <c r="E27" s="6" t="n"/>
      <c r="F27" s="6" t="n"/>
      <c r="G27" s="6" t="n"/>
      <c r="H27">
        <f>AVERAGE(D27:G27)</f>
        <v/>
      </c>
      <c r="I27" s="6" t="n"/>
      <c r="J27" s="6" t="n"/>
      <c r="K27">
        <f>IF(H27&lt;50,"🔴 Critical",IF(H27&lt;75,"🟠 High",IF(H27&lt;90,"🟡 Medium","🟢 Low")))</f>
        <v/>
      </c>
      <c r="L27" s="6" t="n"/>
    </row>
    <row r="28">
      <c r="A28" t="inlineStr">
        <is>
          <t>EP-1024</t>
        </is>
      </c>
      <c r="B28" s="6" t="n"/>
      <c r="C28" s="6" t="n"/>
      <c r="D28" s="6" t="n"/>
      <c r="E28" s="6" t="n"/>
      <c r="F28" s="6" t="n"/>
      <c r="G28" s="6" t="n"/>
      <c r="H28">
        <f>AVERAGE(D28:G28)</f>
        <v/>
      </c>
      <c r="I28" s="6" t="n"/>
      <c r="J28" s="6" t="n"/>
      <c r="K28">
        <f>IF(H28&lt;50,"🔴 Critical",IF(H28&lt;75,"🟠 High",IF(H28&lt;90,"🟡 Medium","🟢 Low")))</f>
        <v/>
      </c>
      <c r="L28" s="6" t="n"/>
    </row>
    <row r="29">
      <c r="A29" t="inlineStr">
        <is>
          <t>EP-1025</t>
        </is>
      </c>
      <c r="B29" s="6" t="n"/>
      <c r="C29" s="6" t="n"/>
      <c r="D29" s="6" t="n"/>
      <c r="E29" s="6" t="n"/>
      <c r="F29" s="6" t="n"/>
      <c r="G29" s="6" t="n"/>
      <c r="H29">
        <f>AVERAGE(D29:G29)</f>
        <v/>
      </c>
      <c r="I29" s="6" t="n"/>
      <c r="J29" s="6" t="n"/>
      <c r="K29">
        <f>IF(H29&lt;50,"🔴 Critical",IF(H29&lt;75,"🟠 High",IF(H29&lt;90,"🟡 Medium","🟢 Low")))</f>
        <v/>
      </c>
      <c r="L29" s="6" t="n"/>
    </row>
    <row r="30">
      <c r="A30" t="inlineStr">
        <is>
          <t>EP-1026</t>
        </is>
      </c>
      <c r="B30" s="6" t="n"/>
      <c r="C30" s="6" t="n"/>
      <c r="D30" s="6" t="n"/>
      <c r="E30" s="6" t="n"/>
      <c r="F30" s="6" t="n"/>
      <c r="G30" s="6" t="n"/>
      <c r="H30">
        <f>AVERAGE(D30:G30)</f>
        <v/>
      </c>
      <c r="I30" s="6" t="n"/>
      <c r="J30" s="6" t="n"/>
      <c r="K30">
        <f>IF(H30&lt;50,"🔴 Critical",IF(H30&lt;75,"🟠 High",IF(H30&lt;90,"🟡 Medium","🟢 Low")))</f>
        <v/>
      </c>
      <c r="L30" s="6" t="n"/>
    </row>
    <row r="31">
      <c r="A31" t="inlineStr">
        <is>
          <t>EP-1027</t>
        </is>
      </c>
      <c r="B31" s="6" t="n"/>
      <c r="C31" s="6" t="n"/>
      <c r="D31" s="6" t="n"/>
      <c r="E31" s="6" t="n"/>
      <c r="F31" s="6" t="n"/>
      <c r="G31" s="6" t="n"/>
      <c r="H31">
        <f>AVERAGE(D31:G31)</f>
        <v/>
      </c>
      <c r="I31" s="6" t="n"/>
      <c r="J31" s="6" t="n"/>
      <c r="K31">
        <f>IF(H31&lt;50,"🔴 Critical",IF(H31&lt;75,"🟠 High",IF(H31&lt;90,"🟡 Medium","🟢 Low")))</f>
        <v/>
      </c>
      <c r="L31" s="6" t="n"/>
    </row>
    <row r="32">
      <c r="A32" t="inlineStr">
        <is>
          <t>EP-1028</t>
        </is>
      </c>
      <c r="B32" s="6" t="n"/>
      <c r="C32" s="6" t="n"/>
      <c r="D32" s="6" t="n"/>
      <c r="E32" s="6" t="n"/>
      <c r="F32" s="6" t="n"/>
      <c r="G32" s="6" t="n"/>
      <c r="H32">
        <f>AVERAGE(D32:G32)</f>
        <v/>
      </c>
      <c r="I32" s="6" t="n"/>
      <c r="J32" s="6" t="n"/>
      <c r="K32">
        <f>IF(H32&lt;50,"🔴 Critical",IF(H32&lt;75,"🟠 High",IF(H32&lt;90,"🟡 Medium","🟢 Low")))</f>
        <v/>
      </c>
      <c r="L32" s="6" t="n"/>
    </row>
    <row r="33">
      <c r="A33" t="inlineStr">
        <is>
          <t>EP-1029</t>
        </is>
      </c>
      <c r="B33" s="6" t="n"/>
      <c r="C33" s="6" t="n"/>
      <c r="D33" s="6" t="n"/>
      <c r="E33" s="6" t="n"/>
      <c r="F33" s="6" t="n"/>
      <c r="G33" s="6" t="n"/>
      <c r="H33">
        <f>AVERAGE(D33:G33)</f>
        <v/>
      </c>
      <c r="I33" s="6" t="n"/>
      <c r="J33" s="6" t="n"/>
      <c r="K33">
        <f>IF(H33&lt;50,"🔴 Critical",IF(H33&lt;75,"🟠 High",IF(H33&lt;90,"🟡 Medium","🟢 Low")))</f>
        <v/>
      </c>
      <c r="L33" s="6" t="n"/>
    </row>
    <row r="34">
      <c r="A34" t="inlineStr">
        <is>
          <t>EP-1030</t>
        </is>
      </c>
      <c r="B34" s="6" t="n"/>
      <c r="C34" s="6" t="n"/>
      <c r="D34" s="6" t="n"/>
      <c r="E34" s="6" t="n"/>
      <c r="F34" s="6" t="n"/>
      <c r="G34" s="6" t="n"/>
      <c r="H34">
        <f>AVERAGE(D34:G34)</f>
        <v/>
      </c>
      <c r="I34" s="6" t="n"/>
      <c r="J34" s="6" t="n"/>
      <c r="K34">
        <f>IF(H34&lt;50,"🔴 Critical",IF(H34&lt;75,"🟠 High",IF(H34&lt;90,"🟡 Medium","🟢 Low")))</f>
        <v/>
      </c>
      <c r="L34" s="6" t="n"/>
    </row>
    <row r="35">
      <c r="A35" t="inlineStr">
        <is>
          <t>EP-1031</t>
        </is>
      </c>
      <c r="B35" s="6" t="n"/>
      <c r="C35" s="6" t="n"/>
      <c r="D35" s="6" t="n"/>
      <c r="E35" s="6" t="n"/>
      <c r="F35" s="6" t="n"/>
      <c r="G35" s="6" t="n"/>
      <c r="H35">
        <f>AVERAGE(D35:G35)</f>
        <v/>
      </c>
      <c r="I35" s="6" t="n"/>
      <c r="J35" s="6" t="n"/>
      <c r="K35">
        <f>IF(H35&lt;50,"🔴 Critical",IF(H35&lt;75,"🟠 High",IF(H35&lt;90,"🟡 Medium","🟢 Low")))</f>
        <v/>
      </c>
      <c r="L35" s="6" t="n"/>
    </row>
    <row r="36">
      <c r="A36" t="inlineStr">
        <is>
          <t>EP-1032</t>
        </is>
      </c>
      <c r="B36" s="6" t="n"/>
      <c r="C36" s="6" t="n"/>
      <c r="D36" s="6" t="n"/>
      <c r="E36" s="6" t="n"/>
      <c r="F36" s="6" t="n"/>
      <c r="G36" s="6" t="n"/>
      <c r="H36">
        <f>AVERAGE(D36:G36)</f>
        <v/>
      </c>
      <c r="I36" s="6" t="n"/>
      <c r="J36" s="6" t="n"/>
      <c r="K36">
        <f>IF(H36&lt;50,"🔴 Critical",IF(H36&lt;75,"🟠 High",IF(H36&lt;90,"🟡 Medium","🟢 Low")))</f>
        <v/>
      </c>
      <c r="L36" s="6" t="n"/>
    </row>
    <row r="37">
      <c r="A37" t="inlineStr">
        <is>
          <t>EP-1033</t>
        </is>
      </c>
      <c r="B37" s="6" t="n"/>
      <c r="C37" s="6" t="n"/>
      <c r="D37" s="6" t="n"/>
      <c r="E37" s="6" t="n"/>
      <c r="F37" s="6" t="n"/>
      <c r="G37" s="6" t="n"/>
      <c r="H37">
        <f>AVERAGE(D37:G37)</f>
        <v/>
      </c>
      <c r="I37" s="6" t="n"/>
      <c r="J37" s="6" t="n"/>
      <c r="K37">
        <f>IF(H37&lt;50,"🔴 Critical",IF(H37&lt;75,"🟠 High",IF(H37&lt;90,"🟡 Medium","🟢 Low")))</f>
        <v/>
      </c>
      <c r="L37" s="6" t="n"/>
    </row>
    <row r="38">
      <c r="A38" t="inlineStr">
        <is>
          <t>EP-1034</t>
        </is>
      </c>
      <c r="B38" s="6" t="n"/>
      <c r="C38" s="6" t="n"/>
      <c r="D38" s="6" t="n"/>
      <c r="E38" s="6" t="n"/>
      <c r="F38" s="6" t="n"/>
      <c r="G38" s="6" t="n"/>
      <c r="H38">
        <f>AVERAGE(D38:G38)</f>
        <v/>
      </c>
      <c r="I38" s="6" t="n"/>
      <c r="J38" s="6" t="n"/>
      <c r="K38">
        <f>IF(H38&lt;50,"🔴 Critical",IF(H38&lt;75,"🟠 High",IF(H38&lt;90,"🟡 Medium","🟢 Low")))</f>
        <v/>
      </c>
      <c r="L38" s="6" t="n"/>
    </row>
    <row r="39">
      <c r="A39" t="inlineStr">
        <is>
          <t>EP-1035</t>
        </is>
      </c>
      <c r="B39" s="6" t="n"/>
      <c r="C39" s="6" t="n"/>
      <c r="D39" s="6" t="n"/>
      <c r="E39" s="6" t="n"/>
      <c r="F39" s="6" t="n"/>
      <c r="G39" s="6" t="n"/>
      <c r="H39">
        <f>AVERAGE(D39:G39)</f>
        <v/>
      </c>
      <c r="I39" s="6" t="n"/>
      <c r="J39" s="6" t="n"/>
      <c r="K39">
        <f>IF(H39&lt;50,"🔴 Critical",IF(H39&lt;75,"🟠 High",IF(H39&lt;90,"🟡 Medium","🟢 Low")))</f>
        <v/>
      </c>
      <c r="L39" s="6" t="n"/>
    </row>
    <row r="40">
      <c r="A40" t="inlineStr">
        <is>
          <t>EP-1036</t>
        </is>
      </c>
      <c r="B40" s="6" t="n"/>
      <c r="C40" s="6" t="n"/>
      <c r="D40" s="6" t="n"/>
      <c r="E40" s="6" t="n"/>
      <c r="F40" s="6" t="n"/>
      <c r="G40" s="6" t="n"/>
      <c r="H40">
        <f>AVERAGE(D40:G40)</f>
        <v/>
      </c>
      <c r="I40" s="6" t="n"/>
      <c r="J40" s="6" t="n"/>
      <c r="K40">
        <f>IF(H40&lt;50,"🔴 Critical",IF(H40&lt;75,"🟠 High",IF(H40&lt;90,"🟡 Medium","🟢 Low")))</f>
        <v/>
      </c>
      <c r="L40" s="6" t="n"/>
    </row>
    <row r="41">
      <c r="A41" t="inlineStr">
        <is>
          <t>EP-1037</t>
        </is>
      </c>
      <c r="B41" s="6" t="n"/>
      <c r="C41" s="6" t="n"/>
      <c r="D41" s="6" t="n"/>
      <c r="E41" s="6" t="n"/>
      <c r="F41" s="6" t="n"/>
      <c r="G41" s="6" t="n"/>
      <c r="H41">
        <f>AVERAGE(D41:G41)</f>
        <v/>
      </c>
      <c r="I41" s="6" t="n"/>
      <c r="J41" s="6" t="n"/>
      <c r="K41">
        <f>IF(H41&lt;50,"🔴 Critical",IF(H41&lt;75,"🟠 High",IF(H41&lt;90,"🟡 Medium","🟢 Low")))</f>
        <v/>
      </c>
      <c r="L41" s="6" t="n"/>
    </row>
    <row r="42">
      <c r="A42" t="inlineStr">
        <is>
          <t>EP-1038</t>
        </is>
      </c>
      <c r="B42" s="6" t="n"/>
      <c r="C42" s="6" t="n"/>
      <c r="D42" s="6" t="n"/>
      <c r="E42" s="6" t="n"/>
      <c r="F42" s="6" t="n"/>
      <c r="G42" s="6" t="n"/>
      <c r="H42">
        <f>AVERAGE(D42:G42)</f>
        <v/>
      </c>
      <c r="I42" s="6" t="n"/>
      <c r="J42" s="6" t="n"/>
      <c r="K42">
        <f>IF(H42&lt;50,"🔴 Critical",IF(H42&lt;75,"🟠 High",IF(H42&lt;90,"🟡 Medium","🟢 Low")))</f>
        <v/>
      </c>
      <c r="L42" s="6" t="n"/>
    </row>
    <row r="43">
      <c r="A43" t="inlineStr">
        <is>
          <t>EP-1039</t>
        </is>
      </c>
      <c r="B43" s="6" t="n"/>
      <c r="C43" s="6" t="n"/>
      <c r="D43" s="6" t="n"/>
      <c r="E43" s="6" t="n"/>
      <c r="F43" s="6" t="n"/>
      <c r="G43" s="6" t="n"/>
      <c r="H43">
        <f>AVERAGE(D43:G43)</f>
        <v/>
      </c>
      <c r="I43" s="6" t="n"/>
      <c r="J43" s="6" t="n"/>
      <c r="K43">
        <f>IF(H43&lt;50,"🔴 Critical",IF(H43&lt;75,"🟠 High",IF(H43&lt;90,"🟡 Medium","🟢 Low")))</f>
        <v/>
      </c>
      <c r="L43" s="6" t="n"/>
    </row>
    <row r="44">
      <c r="A44" t="inlineStr">
        <is>
          <t>EP-1040</t>
        </is>
      </c>
      <c r="B44" s="6" t="n"/>
      <c r="C44" s="6" t="n"/>
      <c r="D44" s="6" t="n"/>
      <c r="E44" s="6" t="n"/>
      <c r="F44" s="6" t="n"/>
      <c r="G44" s="6" t="n"/>
      <c r="H44">
        <f>AVERAGE(D44:G44)</f>
        <v/>
      </c>
      <c r="I44" s="6" t="n"/>
      <c r="J44" s="6" t="n"/>
      <c r="K44">
        <f>IF(H44&lt;50,"🔴 Critical",IF(H44&lt;75,"🟠 High",IF(H44&lt;90,"🟡 Medium","🟢 Low")))</f>
        <v/>
      </c>
      <c r="L44" s="6" t="n"/>
    </row>
    <row r="45">
      <c r="A45" t="inlineStr">
        <is>
          <t>EP-1041</t>
        </is>
      </c>
      <c r="B45" s="6" t="n"/>
      <c r="C45" s="6" t="n"/>
      <c r="D45" s="6" t="n"/>
      <c r="E45" s="6" t="n"/>
      <c r="F45" s="6" t="n"/>
      <c r="G45" s="6" t="n"/>
      <c r="H45">
        <f>AVERAGE(D45:G45)</f>
        <v/>
      </c>
      <c r="I45" s="6" t="n"/>
      <c r="J45" s="6" t="n"/>
      <c r="K45">
        <f>IF(H45&lt;50,"🔴 Critical",IF(H45&lt;75,"🟠 High",IF(H45&lt;90,"🟡 Medium","🟢 Low")))</f>
        <v/>
      </c>
      <c r="L45" s="6" t="n"/>
    </row>
    <row r="46">
      <c r="A46" t="inlineStr">
        <is>
          <t>EP-1042</t>
        </is>
      </c>
      <c r="B46" s="6" t="n"/>
      <c r="C46" s="6" t="n"/>
      <c r="D46" s="6" t="n"/>
      <c r="E46" s="6" t="n"/>
      <c r="F46" s="6" t="n"/>
      <c r="G46" s="6" t="n"/>
      <c r="H46">
        <f>AVERAGE(D46:G46)</f>
        <v/>
      </c>
      <c r="I46" s="6" t="n"/>
      <c r="J46" s="6" t="n"/>
      <c r="K46">
        <f>IF(H46&lt;50,"🔴 Critical",IF(H46&lt;75,"🟠 High",IF(H46&lt;90,"🟡 Medium","🟢 Low")))</f>
        <v/>
      </c>
      <c r="L46" s="6" t="n"/>
    </row>
    <row r="47">
      <c r="A47" t="inlineStr">
        <is>
          <t>EP-1043</t>
        </is>
      </c>
      <c r="B47" s="6" t="n"/>
      <c r="C47" s="6" t="n"/>
      <c r="D47" s="6" t="n"/>
      <c r="E47" s="6" t="n"/>
      <c r="F47" s="6" t="n"/>
      <c r="G47" s="6" t="n"/>
      <c r="H47">
        <f>AVERAGE(D47:G47)</f>
        <v/>
      </c>
      <c r="I47" s="6" t="n"/>
      <c r="J47" s="6" t="n"/>
      <c r="K47">
        <f>IF(H47&lt;50,"🔴 Critical",IF(H47&lt;75,"🟠 High",IF(H47&lt;90,"🟡 Medium","🟢 Low")))</f>
        <v/>
      </c>
      <c r="L47" s="6" t="n"/>
    </row>
    <row r="48">
      <c r="A48" t="inlineStr">
        <is>
          <t>EP-1044</t>
        </is>
      </c>
      <c r="B48" s="6" t="n"/>
      <c r="C48" s="6" t="n"/>
      <c r="D48" s="6" t="n"/>
      <c r="E48" s="6" t="n"/>
      <c r="F48" s="6" t="n"/>
      <c r="G48" s="6" t="n"/>
      <c r="H48">
        <f>AVERAGE(D48:G48)</f>
        <v/>
      </c>
      <c r="I48" s="6" t="n"/>
      <c r="J48" s="6" t="n"/>
      <c r="K48">
        <f>IF(H48&lt;50,"🔴 Critical",IF(H48&lt;75,"🟠 High",IF(H48&lt;90,"🟡 Medium","🟢 Low")))</f>
        <v/>
      </c>
      <c r="L48" s="6" t="n"/>
    </row>
    <row r="49">
      <c r="A49" t="inlineStr">
        <is>
          <t>EP-1045</t>
        </is>
      </c>
      <c r="B49" s="6" t="n"/>
      <c r="C49" s="6" t="n"/>
      <c r="D49" s="6" t="n"/>
      <c r="E49" s="6" t="n"/>
      <c r="F49" s="6" t="n"/>
      <c r="G49" s="6" t="n"/>
      <c r="H49">
        <f>AVERAGE(D49:G49)</f>
        <v/>
      </c>
      <c r="I49" s="6" t="n"/>
      <c r="J49" s="6" t="n"/>
      <c r="K49">
        <f>IF(H49&lt;50,"🔴 Critical",IF(H49&lt;75,"🟠 High",IF(H49&lt;90,"🟡 Medium","🟢 Low")))</f>
        <v/>
      </c>
      <c r="L49" s="6" t="n"/>
    </row>
    <row r="50">
      <c r="A50" t="inlineStr">
        <is>
          <t>EP-1046</t>
        </is>
      </c>
      <c r="B50" s="6" t="n"/>
      <c r="C50" s="6" t="n"/>
      <c r="D50" s="6" t="n"/>
      <c r="E50" s="6" t="n"/>
      <c r="F50" s="6" t="n"/>
      <c r="G50" s="6" t="n"/>
      <c r="H50">
        <f>AVERAGE(D50:G50)</f>
        <v/>
      </c>
      <c r="I50" s="6" t="n"/>
      <c r="J50" s="6" t="n"/>
      <c r="K50">
        <f>IF(H50&lt;50,"🔴 Critical",IF(H50&lt;75,"🟠 High",IF(H50&lt;90,"🟡 Medium","🟢 Low")))</f>
        <v/>
      </c>
      <c r="L50" s="6" t="n"/>
    </row>
    <row r="51">
      <c r="A51" t="inlineStr">
        <is>
          <t>EP-1047</t>
        </is>
      </c>
      <c r="B51" s="6" t="n"/>
      <c r="C51" s="6" t="n"/>
      <c r="D51" s="6" t="n"/>
      <c r="E51" s="6" t="n"/>
      <c r="F51" s="6" t="n"/>
      <c r="G51" s="6" t="n"/>
      <c r="H51">
        <f>AVERAGE(D51:G51)</f>
        <v/>
      </c>
      <c r="I51" s="6" t="n"/>
      <c r="J51" s="6" t="n"/>
      <c r="K51">
        <f>IF(H51&lt;50,"🔴 Critical",IF(H51&lt;75,"🟠 High",IF(H51&lt;90,"🟡 Medium","🟢 Low")))</f>
        <v/>
      </c>
      <c r="L51" s="6" t="n"/>
    </row>
    <row r="52">
      <c r="A52" t="inlineStr">
        <is>
          <t>EP-1048</t>
        </is>
      </c>
      <c r="B52" s="6" t="n"/>
      <c r="C52" s="6" t="n"/>
      <c r="D52" s="6" t="n"/>
      <c r="E52" s="6" t="n"/>
      <c r="F52" s="6" t="n"/>
      <c r="G52" s="6" t="n"/>
      <c r="H52">
        <f>AVERAGE(D52:G52)</f>
        <v/>
      </c>
      <c r="I52" s="6" t="n"/>
      <c r="J52" s="6" t="n"/>
      <c r="K52">
        <f>IF(H52&lt;50,"🔴 Critical",IF(H52&lt;75,"🟠 High",IF(H52&lt;90,"🟡 Medium","🟢 Low")))</f>
        <v/>
      </c>
      <c r="L52" s="6" t="n"/>
    </row>
    <row r="53">
      <c r="A53" t="inlineStr">
        <is>
          <t>EP-1049</t>
        </is>
      </c>
      <c r="B53" s="6" t="n"/>
      <c r="C53" s="6" t="n"/>
      <c r="D53" s="6" t="n"/>
      <c r="E53" s="6" t="n"/>
      <c r="F53" s="6" t="n"/>
      <c r="G53" s="6" t="n"/>
      <c r="H53">
        <f>AVERAGE(D53:G53)</f>
        <v/>
      </c>
      <c r="I53" s="6" t="n"/>
      <c r="J53" s="6" t="n"/>
      <c r="K53">
        <f>IF(H53&lt;50,"🔴 Critical",IF(H53&lt;75,"🟠 High",IF(H53&lt;90,"🟡 Medium","🟢 Low")))</f>
        <v/>
      </c>
      <c r="L53" s="6" t="n"/>
    </row>
    <row r="54">
      <c r="A54" t="inlineStr">
        <is>
          <t>EP-1050</t>
        </is>
      </c>
      <c r="B54" s="6" t="n"/>
      <c r="C54" s="6" t="n"/>
      <c r="D54" s="6" t="n"/>
      <c r="E54" s="6" t="n"/>
      <c r="F54" s="6" t="n"/>
      <c r="G54" s="6" t="n"/>
      <c r="H54">
        <f>AVERAGE(D54:G54)</f>
        <v/>
      </c>
      <c r="I54" s="6" t="n"/>
      <c r="J54" s="6" t="n"/>
      <c r="K54">
        <f>IF(H54&lt;50,"🔴 Critical",IF(H54&lt;75,"🟠 High",IF(H54&lt;90,"🟡 Medium","🟢 Low")))</f>
        <v/>
      </c>
      <c r="L54" s="6" t="n"/>
    </row>
    <row r="57">
      <c r="A57" s="2" t="inlineStr">
        <is>
          <t>📊 OVERALL COMPLIANCE SUMMARY</t>
        </is>
      </c>
    </row>
    <row r="58">
      <c r="A58" s="3" t="inlineStr">
        <is>
          <t>Average Overall Score:</t>
        </is>
      </c>
      <c r="B58" s="7">
        <f>AVERAGE(H5:H54)&amp;"%"</f>
        <v/>
      </c>
    </row>
    <row r="59">
      <c r="A59" t="inlineStr">
        <is>
          <t>🔴 Critical Priority:</t>
        </is>
      </c>
      <c r="B59">
        <f>COUNTIF(K5:K54,"🔴 Critical")</f>
        <v/>
      </c>
    </row>
    <row r="60">
      <c r="A60" t="inlineStr">
        <is>
          <t>🟠 High Priority:</t>
        </is>
      </c>
      <c r="B60">
        <f>COUNTIF(K5:K54,"🟠 High")</f>
        <v/>
      </c>
    </row>
  </sheetData>
  <mergeCells count="3">
    <mergeCell ref="A2:L2"/>
    <mergeCell ref="A57:C57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A.8.1 COMPLIANCE DETAIL</t>
        </is>
      </c>
    </row>
    <row r="4">
      <c r="A4" s="5" t="inlineStr">
        <is>
          <t>Device ID</t>
        </is>
      </c>
      <c r="B4" s="5" t="inlineStr">
        <is>
          <t>Hostname</t>
        </is>
      </c>
      <c r="C4" s="5" t="inlineStr">
        <is>
          <t>Compliance %</t>
        </is>
      </c>
      <c r="D4" s="5" t="inlineStr">
        <is>
          <t>Status</t>
        </is>
      </c>
      <c r="E4" s="5" t="inlineStr">
        <is>
          <t>Gaps</t>
        </is>
      </c>
      <c r="F4" s="5" t="inlineStr">
        <is>
          <t>Notes</t>
        </is>
      </c>
    </row>
    <row r="5">
      <c r="A5" t="inlineStr">
        <is>
          <t>EP-1001</t>
        </is>
      </c>
      <c r="B5" s="6" t="n"/>
      <c r="C5" s="6" t="n"/>
      <c r="D5" s="6" t="n"/>
      <c r="E5" s="6" t="n"/>
      <c r="F5" s="6" t="n"/>
    </row>
    <row r="6">
      <c r="A6" t="inlineStr">
        <is>
          <t>EP-1002</t>
        </is>
      </c>
      <c r="B6" s="6" t="n"/>
      <c r="C6" s="6" t="n"/>
      <c r="D6" s="6" t="n"/>
      <c r="E6" s="6" t="n"/>
      <c r="F6" s="6" t="n"/>
    </row>
    <row r="7">
      <c r="A7" t="inlineStr">
        <is>
          <t>EP-1003</t>
        </is>
      </c>
      <c r="B7" s="6" t="n"/>
      <c r="C7" s="6" t="n"/>
      <c r="D7" s="6" t="n"/>
      <c r="E7" s="6" t="n"/>
      <c r="F7" s="6" t="n"/>
    </row>
    <row r="8">
      <c r="A8" t="inlineStr">
        <is>
          <t>EP-1004</t>
        </is>
      </c>
      <c r="B8" s="6" t="n"/>
      <c r="C8" s="6" t="n"/>
      <c r="D8" s="6" t="n"/>
      <c r="E8" s="6" t="n"/>
      <c r="F8" s="6" t="n"/>
    </row>
    <row r="9">
      <c r="A9" t="inlineStr">
        <is>
          <t>EP-1005</t>
        </is>
      </c>
      <c r="B9" s="6" t="n"/>
      <c r="C9" s="6" t="n"/>
      <c r="D9" s="6" t="n"/>
      <c r="E9" s="6" t="n"/>
      <c r="F9" s="6" t="n"/>
    </row>
    <row r="10">
      <c r="A10" t="inlineStr">
        <is>
          <t>EP-1006</t>
        </is>
      </c>
      <c r="B10" s="6" t="n"/>
      <c r="C10" s="6" t="n"/>
      <c r="D10" s="6" t="n"/>
      <c r="E10" s="6" t="n"/>
      <c r="F10" s="6" t="n"/>
    </row>
    <row r="11">
      <c r="A11" t="inlineStr">
        <is>
          <t>EP-1007</t>
        </is>
      </c>
      <c r="B11" s="6" t="n"/>
      <c r="C11" s="6" t="n"/>
      <c r="D11" s="6" t="n"/>
      <c r="E11" s="6" t="n"/>
      <c r="F11" s="6" t="n"/>
    </row>
    <row r="12">
      <c r="A12" t="inlineStr">
        <is>
          <t>EP-1008</t>
        </is>
      </c>
      <c r="B12" s="6" t="n"/>
      <c r="C12" s="6" t="n"/>
      <c r="D12" s="6" t="n"/>
      <c r="E12" s="6" t="n"/>
      <c r="F12" s="6" t="n"/>
    </row>
    <row r="13">
      <c r="A13" t="inlineStr">
        <is>
          <t>EP-1009</t>
        </is>
      </c>
      <c r="B13" s="6" t="n"/>
      <c r="C13" s="6" t="n"/>
      <c r="D13" s="6" t="n"/>
      <c r="E13" s="6" t="n"/>
      <c r="F13" s="6" t="n"/>
    </row>
    <row r="14">
      <c r="A14" t="inlineStr">
        <is>
          <t>EP-1010</t>
        </is>
      </c>
      <c r="B14" s="6" t="n"/>
      <c r="C14" s="6" t="n"/>
      <c r="D14" s="6" t="n"/>
      <c r="E14" s="6" t="n"/>
      <c r="F14" s="6" t="n"/>
    </row>
    <row r="15">
      <c r="A15" t="inlineStr">
        <is>
          <t>EP-1011</t>
        </is>
      </c>
      <c r="B15" s="6" t="n"/>
      <c r="C15" s="6" t="n"/>
      <c r="D15" s="6" t="n"/>
      <c r="E15" s="6" t="n"/>
      <c r="F15" s="6" t="n"/>
    </row>
    <row r="16">
      <c r="A16" t="inlineStr">
        <is>
          <t>EP-1012</t>
        </is>
      </c>
      <c r="B16" s="6" t="n"/>
      <c r="C16" s="6" t="n"/>
      <c r="D16" s="6" t="n"/>
      <c r="E16" s="6" t="n"/>
      <c r="F16" s="6" t="n"/>
    </row>
    <row r="17">
      <c r="A17" t="inlineStr">
        <is>
          <t>EP-1013</t>
        </is>
      </c>
      <c r="B17" s="6" t="n"/>
      <c r="C17" s="6" t="n"/>
      <c r="D17" s="6" t="n"/>
      <c r="E17" s="6" t="n"/>
      <c r="F17" s="6" t="n"/>
    </row>
    <row r="18">
      <c r="A18" t="inlineStr">
        <is>
          <t>EP-1014</t>
        </is>
      </c>
      <c r="B18" s="6" t="n"/>
      <c r="C18" s="6" t="n"/>
      <c r="D18" s="6" t="n"/>
      <c r="E18" s="6" t="n"/>
      <c r="F18" s="6" t="n"/>
    </row>
    <row r="19">
      <c r="A19" t="inlineStr">
        <is>
          <t>EP-1015</t>
        </is>
      </c>
      <c r="B19" s="6" t="n"/>
      <c r="C19" s="6" t="n"/>
      <c r="D19" s="6" t="n"/>
      <c r="E19" s="6" t="n"/>
      <c r="F19" s="6" t="n"/>
    </row>
    <row r="20">
      <c r="A20" t="inlineStr">
        <is>
          <t>EP-1016</t>
        </is>
      </c>
      <c r="B20" s="6" t="n"/>
      <c r="C20" s="6" t="n"/>
      <c r="D20" s="6" t="n"/>
      <c r="E20" s="6" t="n"/>
      <c r="F20" s="6" t="n"/>
    </row>
    <row r="21">
      <c r="A21" t="inlineStr">
        <is>
          <t>EP-1017</t>
        </is>
      </c>
      <c r="B21" s="6" t="n"/>
      <c r="C21" s="6" t="n"/>
      <c r="D21" s="6" t="n"/>
      <c r="E21" s="6" t="n"/>
      <c r="F21" s="6" t="n"/>
    </row>
    <row r="22">
      <c r="A22" t="inlineStr">
        <is>
          <t>EP-1018</t>
        </is>
      </c>
      <c r="B22" s="6" t="n"/>
      <c r="C22" s="6" t="n"/>
      <c r="D22" s="6" t="n"/>
      <c r="E22" s="6" t="n"/>
      <c r="F22" s="6" t="n"/>
    </row>
    <row r="23">
      <c r="A23" t="inlineStr">
        <is>
          <t>EP-1019</t>
        </is>
      </c>
      <c r="B23" s="6" t="n"/>
      <c r="C23" s="6" t="n"/>
      <c r="D23" s="6" t="n"/>
      <c r="E23" s="6" t="n"/>
      <c r="F23" s="6" t="n"/>
    </row>
    <row r="24">
      <c r="A24" t="inlineStr">
        <is>
          <t>EP-1020</t>
        </is>
      </c>
      <c r="B24" s="6" t="n"/>
      <c r="C24" s="6" t="n"/>
      <c r="D24" s="6" t="n"/>
      <c r="E24" s="6" t="n"/>
      <c r="F24" s="6" t="n"/>
    </row>
    <row r="25">
      <c r="A25" t="inlineStr">
        <is>
          <t>EP-1021</t>
        </is>
      </c>
      <c r="B25" s="6" t="n"/>
      <c r="C25" s="6" t="n"/>
      <c r="D25" s="6" t="n"/>
      <c r="E25" s="6" t="n"/>
      <c r="F25" s="6" t="n"/>
    </row>
    <row r="26">
      <c r="A26" t="inlineStr">
        <is>
          <t>EP-1022</t>
        </is>
      </c>
      <c r="B26" s="6" t="n"/>
      <c r="C26" s="6" t="n"/>
      <c r="D26" s="6" t="n"/>
      <c r="E26" s="6" t="n"/>
      <c r="F26" s="6" t="n"/>
    </row>
    <row r="27">
      <c r="A27" t="inlineStr">
        <is>
          <t>EP-1023</t>
        </is>
      </c>
      <c r="B27" s="6" t="n"/>
      <c r="C27" s="6" t="n"/>
      <c r="D27" s="6" t="n"/>
      <c r="E27" s="6" t="n"/>
      <c r="F27" s="6" t="n"/>
    </row>
    <row r="28">
      <c r="A28" t="inlineStr">
        <is>
          <t>EP-1024</t>
        </is>
      </c>
      <c r="B28" s="6" t="n"/>
      <c r="C28" s="6" t="n"/>
      <c r="D28" s="6" t="n"/>
      <c r="E28" s="6" t="n"/>
      <c r="F28" s="6" t="n"/>
    </row>
    <row r="29">
      <c r="A29" t="inlineStr">
        <is>
          <t>EP-1025</t>
        </is>
      </c>
      <c r="B29" s="6" t="n"/>
      <c r="C29" s="6" t="n"/>
      <c r="D29" s="6" t="n"/>
      <c r="E29" s="6" t="n"/>
      <c r="F29" s="6" t="n"/>
    </row>
    <row r="30">
      <c r="A30" t="inlineStr">
        <is>
          <t>EP-1026</t>
        </is>
      </c>
      <c r="B30" s="6" t="n"/>
      <c r="C30" s="6" t="n"/>
      <c r="D30" s="6" t="n"/>
      <c r="E30" s="6" t="n"/>
      <c r="F30" s="6" t="n"/>
    </row>
    <row r="31">
      <c r="A31" t="inlineStr">
        <is>
          <t>EP-1027</t>
        </is>
      </c>
      <c r="B31" s="6" t="n"/>
      <c r="C31" s="6" t="n"/>
      <c r="D31" s="6" t="n"/>
      <c r="E31" s="6" t="n"/>
      <c r="F31" s="6" t="n"/>
    </row>
    <row r="32">
      <c r="A32" t="inlineStr">
        <is>
          <t>EP-1028</t>
        </is>
      </c>
      <c r="B32" s="6" t="n"/>
      <c r="C32" s="6" t="n"/>
      <c r="D32" s="6" t="n"/>
      <c r="E32" s="6" t="n"/>
      <c r="F32" s="6" t="n"/>
    </row>
    <row r="33">
      <c r="A33" t="inlineStr">
        <is>
          <t>EP-1029</t>
        </is>
      </c>
      <c r="B33" s="6" t="n"/>
      <c r="C33" s="6" t="n"/>
      <c r="D33" s="6" t="n"/>
      <c r="E33" s="6" t="n"/>
      <c r="F33" s="6" t="n"/>
    </row>
    <row r="34">
      <c r="A34" t="inlineStr">
        <is>
          <t>EP-1030</t>
        </is>
      </c>
      <c r="B34" s="6" t="n"/>
      <c r="C34" s="6" t="n"/>
      <c r="D34" s="6" t="n"/>
      <c r="E34" s="6" t="n"/>
      <c r="F34" s="6" t="n"/>
    </row>
    <row r="35">
      <c r="A35" t="inlineStr">
        <is>
          <t>EP-1031</t>
        </is>
      </c>
      <c r="B35" s="6" t="n"/>
      <c r="C35" s="6" t="n"/>
      <c r="D35" s="6" t="n"/>
      <c r="E35" s="6" t="n"/>
      <c r="F35" s="6" t="n"/>
    </row>
    <row r="36">
      <c r="A36" t="inlineStr">
        <is>
          <t>EP-1032</t>
        </is>
      </c>
      <c r="B36" s="6" t="n"/>
      <c r="C36" s="6" t="n"/>
      <c r="D36" s="6" t="n"/>
      <c r="E36" s="6" t="n"/>
      <c r="F36" s="6" t="n"/>
    </row>
    <row r="37">
      <c r="A37" t="inlineStr">
        <is>
          <t>EP-1033</t>
        </is>
      </c>
      <c r="B37" s="6" t="n"/>
      <c r="C37" s="6" t="n"/>
      <c r="D37" s="6" t="n"/>
      <c r="E37" s="6" t="n"/>
      <c r="F37" s="6" t="n"/>
    </row>
    <row r="38">
      <c r="A38" t="inlineStr">
        <is>
          <t>EP-1034</t>
        </is>
      </c>
      <c r="B38" s="6" t="n"/>
      <c r="C38" s="6" t="n"/>
      <c r="D38" s="6" t="n"/>
      <c r="E38" s="6" t="n"/>
      <c r="F38" s="6" t="n"/>
    </row>
    <row r="39">
      <c r="A39" t="inlineStr">
        <is>
          <t>EP-1035</t>
        </is>
      </c>
      <c r="B39" s="6" t="n"/>
      <c r="C39" s="6" t="n"/>
      <c r="D39" s="6" t="n"/>
      <c r="E39" s="6" t="n"/>
      <c r="F39" s="6" t="n"/>
    </row>
    <row r="40">
      <c r="A40" t="inlineStr">
        <is>
          <t>EP-1036</t>
        </is>
      </c>
      <c r="B40" s="6" t="n"/>
      <c r="C40" s="6" t="n"/>
      <c r="D40" s="6" t="n"/>
      <c r="E40" s="6" t="n"/>
      <c r="F40" s="6" t="n"/>
    </row>
    <row r="41">
      <c r="A41" t="inlineStr">
        <is>
          <t>EP-1037</t>
        </is>
      </c>
      <c r="B41" s="6" t="n"/>
      <c r="C41" s="6" t="n"/>
      <c r="D41" s="6" t="n"/>
      <c r="E41" s="6" t="n"/>
      <c r="F41" s="6" t="n"/>
    </row>
    <row r="42">
      <c r="A42" t="inlineStr">
        <is>
          <t>EP-1038</t>
        </is>
      </c>
      <c r="B42" s="6" t="n"/>
      <c r="C42" s="6" t="n"/>
      <c r="D42" s="6" t="n"/>
      <c r="E42" s="6" t="n"/>
      <c r="F42" s="6" t="n"/>
    </row>
    <row r="43">
      <c r="A43" t="inlineStr">
        <is>
          <t>EP-1039</t>
        </is>
      </c>
      <c r="B43" s="6" t="n"/>
      <c r="C43" s="6" t="n"/>
      <c r="D43" s="6" t="n"/>
      <c r="E43" s="6" t="n"/>
      <c r="F43" s="6" t="n"/>
    </row>
    <row r="44">
      <c r="A44" t="inlineStr">
        <is>
          <t>EP-1040</t>
        </is>
      </c>
      <c r="B44" s="6" t="n"/>
      <c r="C44" s="6" t="n"/>
      <c r="D44" s="6" t="n"/>
      <c r="E44" s="6" t="n"/>
      <c r="F44" s="6" t="n"/>
    </row>
    <row r="45">
      <c r="A45" t="inlineStr">
        <is>
          <t>EP-1041</t>
        </is>
      </c>
      <c r="B45" s="6" t="n"/>
      <c r="C45" s="6" t="n"/>
      <c r="D45" s="6" t="n"/>
      <c r="E45" s="6" t="n"/>
      <c r="F45" s="6" t="n"/>
    </row>
    <row r="46">
      <c r="A46" t="inlineStr">
        <is>
          <t>EP-1042</t>
        </is>
      </c>
      <c r="B46" s="6" t="n"/>
      <c r="C46" s="6" t="n"/>
      <c r="D46" s="6" t="n"/>
      <c r="E46" s="6" t="n"/>
      <c r="F46" s="6" t="n"/>
    </row>
    <row r="47">
      <c r="A47" t="inlineStr">
        <is>
          <t>EP-1043</t>
        </is>
      </c>
      <c r="B47" s="6" t="n"/>
      <c r="C47" s="6" t="n"/>
      <c r="D47" s="6" t="n"/>
      <c r="E47" s="6" t="n"/>
      <c r="F47" s="6" t="n"/>
    </row>
    <row r="48">
      <c r="A48" t="inlineStr">
        <is>
          <t>EP-1044</t>
        </is>
      </c>
      <c r="B48" s="6" t="n"/>
      <c r="C48" s="6" t="n"/>
      <c r="D48" s="6" t="n"/>
      <c r="E48" s="6" t="n"/>
      <c r="F48" s="6" t="n"/>
    </row>
    <row r="49">
      <c r="A49" t="inlineStr">
        <is>
          <t>EP-1045</t>
        </is>
      </c>
      <c r="B49" s="6" t="n"/>
      <c r="C49" s="6" t="n"/>
      <c r="D49" s="6" t="n"/>
      <c r="E49" s="6" t="n"/>
      <c r="F49" s="6" t="n"/>
    </row>
    <row r="50">
      <c r="A50" t="inlineStr">
        <is>
          <t>EP-1046</t>
        </is>
      </c>
      <c r="B50" s="6" t="n"/>
      <c r="C50" s="6" t="n"/>
      <c r="D50" s="6" t="n"/>
      <c r="E50" s="6" t="n"/>
      <c r="F50" s="6" t="n"/>
    </row>
    <row r="51">
      <c r="A51" t="inlineStr">
        <is>
          <t>EP-1047</t>
        </is>
      </c>
      <c r="B51" s="6" t="n"/>
      <c r="C51" s="6" t="n"/>
      <c r="D51" s="6" t="n"/>
      <c r="E51" s="6" t="n"/>
      <c r="F51" s="6" t="n"/>
    </row>
    <row r="52">
      <c r="A52" t="inlineStr">
        <is>
          <t>EP-1048</t>
        </is>
      </c>
      <c r="B52" s="6" t="n"/>
      <c r="C52" s="6" t="n"/>
      <c r="D52" s="6" t="n"/>
      <c r="E52" s="6" t="n"/>
      <c r="F52" s="6" t="n"/>
    </row>
    <row r="53">
      <c r="A53" t="inlineStr">
        <is>
          <t>EP-1049</t>
        </is>
      </c>
      <c r="B53" s="6" t="n"/>
      <c r="C53" s="6" t="n"/>
      <c r="D53" s="6" t="n"/>
      <c r="E53" s="6" t="n"/>
      <c r="F53" s="6" t="n"/>
    </row>
    <row r="54">
      <c r="A54" t="inlineStr">
        <is>
          <t>EP-1050</t>
        </is>
      </c>
      <c r="B54" s="6" t="n"/>
      <c r="C54" s="6" t="n"/>
      <c r="D54" s="6" t="n"/>
      <c r="E54" s="6" t="n"/>
      <c r="F54" s="6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A.8.7 COMPLIANCE DETAIL</t>
        </is>
      </c>
    </row>
    <row r="4">
      <c r="A4" s="5" t="inlineStr">
        <is>
          <t>Device ID</t>
        </is>
      </c>
      <c r="B4" s="5" t="inlineStr">
        <is>
          <t>Hostname</t>
        </is>
      </c>
      <c r="C4" s="5" t="inlineStr">
        <is>
          <t>Compliance %</t>
        </is>
      </c>
      <c r="D4" s="5" t="inlineStr">
        <is>
          <t>Status</t>
        </is>
      </c>
      <c r="E4" s="5" t="inlineStr">
        <is>
          <t>Gaps</t>
        </is>
      </c>
      <c r="F4" s="5" t="inlineStr">
        <is>
          <t>Notes</t>
        </is>
      </c>
    </row>
    <row r="5">
      <c r="A5" t="inlineStr">
        <is>
          <t>EP-1001</t>
        </is>
      </c>
      <c r="B5" s="6" t="n"/>
      <c r="C5" s="6" t="n"/>
      <c r="D5" s="6" t="n"/>
      <c r="E5" s="6" t="n"/>
      <c r="F5" s="6" t="n"/>
    </row>
    <row r="6">
      <c r="A6" t="inlineStr">
        <is>
          <t>EP-1002</t>
        </is>
      </c>
      <c r="B6" s="6" t="n"/>
      <c r="C6" s="6" t="n"/>
      <c r="D6" s="6" t="n"/>
      <c r="E6" s="6" t="n"/>
      <c r="F6" s="6" t="n"/>
    </row>
    <row r="7">
      <c r="A7" t="inlineStr">
        <is>
          <t>EP-1003</t>
        </is>
      </c>
      <c r="B7" s="6" t="n"/>
      <c r="C7" s="6" t="n"/>
      <c r="D7" s="6" t="n"/>
      <c r="E7" s="6" t="n"/>
      <c r="F7" s="6" t="n"/>
    </row>
    <row r="8">
      <c r="A8" t="inlineStr">
        <is>
          <t>EP-1004</t>
        </is>
      </c>
      <c r="B8" s="6" t="n"/>
      <c r="C8" s="6" t="n"/>
      <c r="D8" s="6" t="n"/>
      <c r="E8" s="6" t="n"/>
      <c r="F8" s="6" t="n"/>
    </row>
    <row r="9">
      <c r="A9" t="inlineStr">
        <is>
          <t>EP-1005</t>
        </is>
      </c>
      <c r="B9" s="6" t="n"/>
      <c r="C9" s="6" t="n"/>
      <c r="D9" s="6" t="n"/>
      <c r="E9" s="6" t="n"/>
      <c r="F9" s="6" t="n"/>
    </row>
    <row r="10">
      <c r="A10" t="inlineStr">
        <is>
          <t>EP-1006</t>
        </is>
      </c>
      <c r="B10" s="6" t="n"/>
      <c r="C10" s="6" t="n"/>
      <c r="D10" s="6" t="n"/>
      <c r="E10" s="6" t="n"/>
      <c r="F10" s="6" t="n"/>
    </row>
    <row r="11">
      <c r="A11" t="inlineStr">
        <is>
          <t>EP-1007</t>
        </is>
      </c>
      <c r="B11" s="6" t="n"/>
      <c r="C11" s="6" t="n"/>
      <c r="D11" s="6" t="n"/>
      <c r="E11" s="6" t="n"/>
      <c r="F11" s="6" t="n"/>
    </row>
    <row r="12">
      <c r="A12" t="inlineStr">
        <is>
          <t>EP-1008</t>
        </is>
      </c>
      <c r="B12" s="6" t="n"/>
      <c r="C12" s="6" t="n"/>
      <c r="D12" s="6" t="n"/>
      <c r="E12" s="6" t="n"/>
      <c r="F12" s="6" t="n"/>
    </row>
    <row r="13">
      <c r="A13" t="inlineStr">
        <is>
          <t>EP-1009</t>
        </is>
      </c>
      <c r="B13" s="6" t="n"/>
      <c r="C13" s="6" t="n"/>
      <c r="D13" s="6" t="n"/>
      <c r="E13" s="6" t="n"/>
      <c r="F13" s="6" t="n"/>
    </row>
    <row r="14">
      <c r="A14" t="inlineStr">
        <is>
          <t>EP-1010</t>
        </is>
      </c>
      <c r="B14" s="6" t="n"/>
      <c r="C14" s="6" t="n"/>
      <c r="D14" s="6" t="n"/>
      <c r="E14" s="6" t="n"/>
      <c r="F14" s="6" t="n"/>
    </row>
    <row r="15">
      <c r="A15" t="inlineStr">
        <is>
          <t>EP-1011</t>
        </is>
      </c>
      <c r="B15" s="6" t="n"/>
      <c r="C15" s="6" t="n"/>
      <c r="D15" s="6" t="n"/>
      <c r="E15" s="6" t="n"/>
      <c r="F15" s="6" t="n"/>
    </row>
    <row r="16">
      <c r="A16" t="inlineStr">
        <is>
          <t>EP-1012</t>
        </is>
      </c>
      <c r="B16" s="6" t="n"/>
      <c r="C16" s="6" t="n"/>
      <c r="D16" s="6" t="n"/>
      <c r="E16" s="6" t="n"/>
      <c r="F16" s="6" t="n"/>
    </row>
    <row r="17">
      <c r="A17" t="inlineStr">
        <is>
          <t>EP-1013</t>
        </is>
      </c>
      <c r="B17" s="6" t="n"/>
      <c r="C17" s="6" t="n"/>
      <c r="D17" s="6" t="n"/>
      <c r="E17" s="6" t="n"/>
      <c r="F17" s="6" t="n"/>
    </row>
    <row r="18">
      <c r="A18" t="inlineStr">
        <is>
          <t>EP-1014</t>
        </is>
      </c>
      <c r="B18" s="6" t="n"/>
      <c r="C18" s="6" t="n"/>
      <c r="D18" s="6" t="n"/>
      <c r="E18" s="6" t="n"/>
      <c r="F18" s="6" t="n"/>
    </row>
    <row r="19">
      <c r="A19" t="inlineStr">
        <is>
          <t>EP-1015</t>
        </is>
      </c>
      <c r="B19" s="6" t="n"/>
      <c r="C19" s="6" t="n"/>
      <c r="D19" s="6" t="n"/>
      <c r="E19" s="6" t="n"/>
      <c r="F19" s="6" t="n"/>
    </row>
    <row r="20">
      <c r="A20" t="inlineStr">
        <is>
          <t>EP-1016</t>
        </is>
      </c>
      <c r="B20" s="6" t="n"/>
      <c r="C20" s="6" t="n"/>
      <c r="D20" s="6" t="n"/>
      <c r="E20" s="6" t="n"/>
      <c r="F20" s="6" t="n"/>
    </row>
    <row r="21">
      <c r="A21" t="inlineStr">
        <is>
          <t>EP-1017</t>
        </is>
      </c>
      <c r="B21" s="6" t="n"/>
      <c r="C21" s="6" t="n"/>
      <c r="D21" s="6" t="n"/>
      <c r="E21" s="6" t="n"/>
      <c r="F21" s="6" t="n"/>
    </row>
    <row r="22">
      <c r="A22" t="inlineStr">
        <is>
          <t>EP-1018</t>
        </is>
      </c>
      <c r="B22" s="6" t="n"/>
      <c r="C22" s="6" t="n"/>
      <c r="D22" s="6" t="n"/>
      <c r="E22" s="6" t="n"/>
      <c r="F22" s="6" t="n"/>
    </row>
    <row r="23">
      <c r="A23" t="inlineStr">
        <is>
          <t>EP-1019</t>
        </is>
      </c>
      <c r="B23" s="6" t="n"/>
      <c r="C23" s="6" t="n"/>
      <c r="D23" s="6" t="n"/>
      <c r="E23" s="6" t="n"/>
      <c r="F23" s="6" t="n"/>
    </row>
    <row r="24">
      <c r="A24" t="inlineStr">
        <is>
          <t>EP-1020</t>
        </is>
      </c>
      <c r="B24" s="6" t="n"/>
      <c r="C24" s="6" t="n"/>
      <c r="D24" s="6" t="n"/>
      <c r="E24" s="6" t="n"/>
      <c r="F24" s="6" t="n"/>
    </row>
    <row r="25">
      <c r="A25" t="inlineStr">
        <is>
          <t>EP-1021</t>
        </is>
      </c>
      <c r="B25" s="6" t="n"/>
      <c r="C25" s="6" t="n"/>
      <c r="D25" s="6" t="n"/>
      <c r="E25" s="6" t="n"/>
      <c r="F25" s="6" t="n"/>
    </row>
    <row r="26">
      <c r="A26" t="inlineStr">
        <is>
          <t>EP-1022</t>
        </is>
      </c>
      <c r="B26" s="6" t="n"/>
      <c r="C26" s="6" t="n"/>
      <c r="D26" s="6" t="n"/>
      <c r="E26" s="6" t="n"/>
      <c r="F26" s="6" t="n"/>
    </row>
    <row r="27">
      <c r="A27" t="inlineStr">
        <is>
          <t>EP-1023</t>
        </is>
      </c>
      <c r="B27" s="6" t="n"/>
      <c r="C27" s="6" t="n"/>
      <c r="D27" s="6" t="n"/>
      <c r="E27" s="6" t="n"/>
      <c r="F27" s="6" t="n"/>
    </row>
    <row r="28">
      <c r="A28" t="inlineStr">
        <is>
          <t>EP-1024</t>
        </is>
      </c>
      <c r="B28" s="6" t="n"/>
      <c r="C28" s="6" t="n"/>
      <c r="D28" s="6" t="n"/>
      <c r="E28" s="6" t="n"/>
      <c r="F28" s="6" t="n"/>
    </row>
    <row r="29">
      <c r="A29" t="inlineStr">
        <is>
          <t>EP-1025</t>
        </is>
      </c>
      <c r="B29" s="6" t="n"/>
      <c r="C29" s="6" t="n"/>
      <c r="D29" s="6" t="n"/>
      <c r="E29" s="6" t="n"/>
      <c r="F29" s="6" t="n"/>
    </row>
    <row r="30">
      <c r="A30" t="inlineStr">
        <is>
          <t>EP-1026</t>
        </is>
      </c>
      <c r="B30" s="6" t="n"/>
      <c r="C30" s="6" t="n"/>
      <c r="D30" s="6" t="n"/>
      <c r="E30" s="6" t="n"/>
      <c r="F30" s="6" t="n"/>
    </row>
    <row r="31">
      <c r="A31" t="inlineStr">
        <is>
          <t>EP-1027</t>
        </is>
      </c>
      <c r="B31" s="6" t="n"/>
      <c r="C31" s="6" t="n"/>
      <c r="D31" s="6" t="n"/>
      <c r="E31" s="6" t="n"/>
      <c r="F31" s="6" t="n"/>
    </row>
    <row r="32">
      <c r="A32" t="inlineStr">
        <is>
          <t>EP-1028</t>
        </is>
      </c>
      <c r="B32" s="6" t="n"/>
      <c r="C32" s="6" t="n"/>
      <c r="D32" s="6" t="n"/>
      <c r="E32" s="6" t="n"/>
      <c r="F32" s="6" t="n"/>
    </row>
    <row r="33">
      <c r="A33" t="inlineStr">
        <is>
          <t>EP-1029</t>
        </is>
      </c>
      <c r="B33" s="6" t="n"/>
      <c r="C33" s="6" t="n"/>
      <c r="D33" s="6" t="n"/>
      <c r="E33" s="6" t="n"/>
      <c r="F33" s="6" t="n"/>
    </row>
    <row r="34">
      <c r="A34" t="inlineStr">
        <is>
          <t>EP-1030</t>
        </is>
      </c>
      <c r="B34" s="6" t="n"/>
      <c r="C34" s="6" t="n"/>
      <c r="D34" s="6" t="n"/>
      <c r="E34" s="6" t="n"/>
      <c r="F34" s="6" t="n"/>
    </row>
    <row r="35">
      <c r="A35" t="inlineStr">
        <is>
          <t>EP-1031</t>
        </is>
      </c>
      <c r="B35" s="6" t="n"/>
      <c r="C35" s="6" t="n"/>
      <c r="D35" s="6" t="n"/>
      <c r="E35" s="6" t="n"/>
      <c r="F35" s="6" t="n"/>
    </row>
    <row r="36">
      <c r="A36" t="inlineStr">
        <is>
          <t>EP-1032</t>
        </is>
      </c>
      <c r="B36" s="6" t="n"/>
      <c r="C36" s="6" t="n"/>
      <c r="D36" s="6" t="n"/>
      <c r="E36" s="6" t="n"/>
      <c r="F36" s="6" t="n"/>
    </row>
    <row r="37">
      <c r="A37" t="inlineStr">
        <is>
          <t>EP-1033</t>
        </is>
      </c>
      <c r="B37" s="6" t="n"/>
      <c r="C37" s="6" t="n"/>
      <c r="D37" s="6" t="n"/>
      <c r="E37" s="6" t="n"/>
      <c r="F37" s="6" t="n"/>
    </row>
    <row r="38">
      <c r="A38" t="inlineStr">
        <is>
          <t>EP-1034</t>
        </is>
      </c>
      <c r="B38" s="6" t="n"/>
      <c r="C38" s="6" t="n"/>
      <c r="D38" s="6" t="n"/>
      <c r="E38" s="6" t="n"/>
      <c r="F38" s="6" t="n"/>
    </row>
    <row r="39">
      <c r="A39" t="inlineStr">
        <is>
          <t>EP-1035</t>
        </is>
      </c>
      <c r="B39" s="6" t="n"/>
      <c r="C39" s="6" t="n"/>
      <c r="D39" s="6" t="n"/>
      <c r="E39" s="6" t="n"/>
      <c r="F39" s="6" t="n"/>
    </row>
    <row r="40">
      <c r="A40" t="inlineStr">
        <is>
          <t>EP-1036</t>
        </is>
      </c>
      <c r="B40" s="6" t="n"/>
      <c r="C40" s="6" t="n"/>
      <c r="D40" s="6" t="n"/>
      <c r="E40" s="6" t="n"/>
      <c r="F40" s="6" t="n"/>
    </row>
    <row r="41">
      <c r="A41" t="inlineStr">
        <is>
          <t>EP-1037</t>
        </is>
      </c>
      <c r="B41" s="6" t="n"/>
      <c r="C41" s="6" t="n"/>
      <c r="D41" s="6" t="n"/>
      <c r="E41" s="6" t="n"/>
      <c r="F41" s="6" t="n"/>
    </row>
    <row r="42">
      <c r="A42" t="inlineStr">
        <is>
          <t>EP-1038</t>
        </is>
      </c>
      <c r="B42" s="6" t="n"/>
      <c r="C42" s="6" t="n"/>
      <c r="D42" s="6" t="n"/>
      <c r="E42" s="6" t="n"/>
      <c r="F42" s="6" t="n"/>
    </row>
    <row r="43">
      <c r="A43" t="inlineStr">
        <is>
          <t>EP-1039</t>
        </is>
      </c>
      <c r="B43" s="6" t="n"/>
      <c r="C43" s="6" t="n"/>
      <c r="D43" s="6" t="n"/>
      <c r="E43" s="6" t="n"/>
      <c r="F43" s="6" t="n"/>
    </row>
    <row r="44">
      <c r="A44" t="inlineStr">
        <is>
          <t>EP-1040</t>
        </is>
      </c>
      <c r="B44" s="6" t="n"/>
      <c r="C44" s="6" t="n"/>
      <c r="D44" s="6" t="n"/>
      <c r="E44" s="6" t="n"/>
      <c r="F44" s="6" t="n"/>
    </row>
    <row r="45">
      <c r="A45" t="inlineStr">
        <is>
          <t>EP-1041</t>
        </is>
      </c>
      <c r="B45" s="6" t="n"/>
      <c r="C45" s="6" t="n"/>
      <c r="D45" s="6" t="n"/>
      <c r="E45" s="6" t="n"/>
      <c r="F45" s="6" t="n"/>
    </row>
    <row r="46">
      <c r="A46" t="inlineStr">
        <is>
          <t>EP-1042</t>
        </is>
      </c>
      <c r="B46" s="6" t="n"/>
      <c r="C46" s="6" t="n"/>
      <c r="D46" s="6" t="n"/>
      <c r="E46" s="6" t="n"/>
      <c r="F46" s="6" t="n"/>
    </row>
    <row r="47">
      <c r="A47" t="inlineStr">
        <is>
          <t>EP-1043</t>
        </is>
      </c>
      <c r="B47" s="6" t="n"/>
      <c r="C47" s="6" t="n"/>
      <c r="D47" s="6" t="n"/>
      <c r="E47" s="6" t="n"/>
      <c r="F47" s="6" t="n"/>
    </row>
    <row r="48">
      <c r="A48" t="inlineStr">
        <is>
          <t>EP-1044</t>
        </is>
      </c>
      <c r="B48" s="6" t="n"/>
      <c r="C48" s="6" t="n"/>
      <c r="D48" s="6" t="n"/>
      <c r="E48" s="6" t="n"/>
      <c r="F48" s="6" t="n"/>
    </row>
    <row r="49">
      <c r="A49" t="inlineStr">
        <is>
          <t>EP-1045</t>
        </is>
      </c>
      <c r="B49" s="6" t="n"/>
      <c r="C49" s="6" t="n"/>
      <c r="D49" s="6" t="n"/>
      <c r="E49" s="6" t="n"/>
      <c r="F49" s="6" t="n"/>
    </row>
    <row r="50">
      <c r="A50" t="inlineStr">
        <is>
          <t>EP-1046</t>
        </is>
      </c>
      <c r="B50" s="6" t="n"/>
      <c r="C50" s="6" t="n"/>
      <c r="D50" s="6" t="n"/>
      <c r="E50" s="6" t="n"/>
      <c r="F50" s="6" t="n"/>
    </row>
    <row r="51">
      <c r="A51" t="inlineStr">
        <is>
          <t>EP-1047</t>
        </is>
      </c>
      <c r="B51" s="6" t="n"/>
      <c r="C51" s="6" t="n"/>
      <c r="D51" s="6" t="n"/>
      <c r="E51" s="6" t="n"/>
      <c r="F51" s="6" t="n"/>
    </row>
    <row r="52">
      <c r="A52" t="inlineStr">
        <is>
          <t>EP-1048</t>
        </is>
      </c>
      <c r="B52" s="6" t="n"/>
      <c r="C52" s="6" t="n"/>
      <c r="D52" s="6" t="n"/>
      <c r="E52" s="6" t="n"/>
      <c r="F52" s="6" t="n"/>
    </row>
    <row r="53">
      <c r="A53" t="inlineStr">
        <is>
          <t>EP-1049</t>
        </is>
      </c>
      <c r="B53" s="6" t="n"/>
      <c r="C53" s="6" t="n"/>
      <c r="D53" s="6" t="n"/>
      <c r="E53" s="6" t="n"/>
      <c r="F53" s="6" t="n"/>
    </row>
    <row r="54">
      <c r="A54" t="inlineStr">
        <is>
          <t>EP-1050</t>
        </is>
      </c>
      <c r="B54" s="6" t="n"/>
      <c r="C54" s="6" t="n"/>
      <c r="D54" s="6" t="n"/>
      <c r="E54" s="6" t="n"/>
      <c r="F54" s="6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A.8.18 COMPLIANCE DETAIL</t>
        </is>
      </c>
    </row>
    <row r="4">
      <c r="A4" s="5" t="inlineStr">
        <is>
          <t>Device ID</t>
        </is>
      </c>
      <c r="B4" s="5" t="inlineStr">
        <is>
          <t>Hostname</t>
        </is>
      </c>
      <c r="C4" s="5" t="inlineStr">
        <is>
          <t>Compliance %</t>
        </is>
      </c>
      <c r="D4" s="5" t="inlineStr">
        <is>
          <t>Status</t>
        </is>
      </c>
      <c r="E4" s="5" t="inlineStr">
        <is>
          <t>Gaps</t>
        </is>
      </c>
      <c r="F4" s="5" t="inlineStr">
        <is>
          <t>Notes</t>
        </is>
      </c>
    </row>
    <row r="5">
      <c r="A5" t="inlineStr">
        <is>
          <t>EP-1001</t>
        </is>
      </c>
      <c r="B5" s="6" t="n"/>
      <c r="C5" s="6" t="n"/>
      <c r="D5" s="6" t="n"/>
      <c r="E5" s="6" t="n"/>
      <c r="F5" s="6" t="n"/>
    </row>
    <row r="6">
      <c r="A6" t="inlineStr">
        <is>
          <t>EP-1002</t>
        </is>
      </c>
      <c r="B6" s="6" t="n"/>
      <c r="C6" s="6" t="n"/>
      <c r="D6" s="6" t="n"/>
      <c r="E6" s="6" t="n"/>
      <c r="F6" s="6" t="n"/>
    </row>
    <row r="7">
      <c r="A7" t="inlineStr">
        <is>
          <t>EP-1003</t>
        </is>
      </c>
      <c r="B7" s="6" t="n"/>
      <c r="C7" s="6" t="n"/>
      <c r="D7" s="6" t="n"/>
      <c r="E7" s="6" t="n"/>
      <c r="F7" s="6" t="n"/>
    </row>
    <row r="8">
      <c r="A8" t="inlineStr">
        <is>
          <t>EP-1004</t>
        </is>
      </c>
      <c r="B8" s="6" t="n"/>
      <c r="C8" s="6" t="n"/>
      <c r="D8" s="6" t="n"/>
      <c r="E8" s="6" t="n"/>
      <c r="F8" s="6" t="n"/>
    </row>
    <row r="9">
      <c r="A9" t="inlineStr">
        <is>
          <t>EP-1005</t>
        </is>
      </c>
      <c r="B9" s="6" t="n"/>
      <c r="C9" s="6" t="n"/>
      <c r="D9" s="6" t="n"/>
      <c r="E9" s="6" t="n"/>
      <c r="F9" s="6" t="n"/>
    </row>
    <row r="10">
      <c r="A10" t="inlineStr">
        <is>
          <t>EP-1006</t>
        </is>
      </c>
      <c r="B10" s="6" t="n"/>
      <c r="C10" s="6" t="n"/>
      <c r="D10" s="6" t="n"/>
      <c r="E10" s="6" t="n"/>
      <c r="F10" s="6" t="n"/>
    </row>
    <row r="11">
      <c r="A11" t="inlineStr">
        <is>
          <t>EP-1007</t>
        </is>
      </c>
      <c r="B11" s="6" t="n"/>
      <c r="C11" s="6" t="n"/>
      <c r="D11" s="6" t="n"/>
      <c r="E11" s="6" t="n"/>
      <c r="F11" s="6" t="n"/>
    </row>
    <row r="12">
      <c r="A12" t="inlineStr">
        <is>
          <t>EP-1008</t>
        </is>
      </c>
      <c r="B12" s="6" t="n"/>
      <c r="C12" s="6" t="n"/>
      <c r="D12" s="6" t="n"/>
      <c r="E12" s="6" t="n"/>
      <c r="F12" s="6" t="n"/>
    </row>
    <row r="13">
      <c r="A13" t="inlineStr">
        <is>
          <t>EP-1009</t>
        </is>
      </c>
      <c r="B13" s="6" t="n"/>
      <c r="C13" s="6" t="n"/>
      <c r="D13" s="6" t="n"/>
      <c r="E13" s="6" t="n"/>
      <c r="F13" s="6" t="n"/>
    </row>
    <row r="14">
      <c r="A14" t="inlineStr">
        <is>
          <t>EP-1010</t>
        </is>
      </c>
      <c r="B14" s="6" t="n"/>
      <c r="C14" s="6" t="n"/>
      <c r="D14" s="6" t="n"/>
      <c r="E14" s="6" t="n"/>
      <c r="F14" s="6" t="n"/>
    </row>
    <row r="15">
      <c r="A15" t="inlineStr">
        <is>
          <t>EP-1011</t>
        </is>
      </c>
      <c r="B15" s="6" t="n"/>
      <c r="C15" s="6" t="n"/>
      <c r="D15" s="6" t="n"/>
      <c r="E15" s="6" t="n"/>
      <c r="F15" s="6" t="n"/>
    </row>
    <row r="16">
      <c r="A16" t="inlineStr">
        <is>
          <t>EP-1012</t>
        </is>
      </c>
      <c r="B16" s="6" t="n"/>
      <c r="C16" s="6" t="n"/>
      <c r="D16" s="6" t="n"/>
      <c r="E16" s="6" t="n"/>
      <c r="F16" s="6" t="n"/>
    </row>
    <row r="17">
      <c r="A17" t="inlineStr">
        <is>
          <t>EP-1013</t>
        </is>
      </c>
      <c r="B17" s="6" t="n"/>
      <c r="C17" s="6" t="n"/>
      <c r="D17" s="6" t="n"/>
      <c r="E17" s="6" t="n"/>
      <c r="F17" s="6" t="n"/>
    </row>
    <row r="18">
      <c r="A18" t="inlineStr">
        <is>
          <t>EP-1014</t>
        </is>
      </c>
      <c r="B18" s="6" t="n"/>
      <c r="C18" s="6" t="n"/>
      <c r="D18" s="6" t="n"/>
      <c r="E18" s="6" t="n"/>
      <c r="F18" s="6" t="n"/>
    </row>
    <row r="19">
      <c r="A19" t="inlineStr">
        <is>
          <t>EP-1015</t>
        </is>
      </c>
      <c r="B19" s="6" t="n"/>
      <c r="C19" s="6" t="n"/>
      <c r="D19" s="6" t="n"/>
      <c r="E19" s="6" t="n"/>
      <c r="F19" s="6" t="n"/>
    </row>
    <row r="20">
      <c r="A20" t="inlineStr">
        <is>
          <t>EP-1016</t>
        </is>
      </c>
      <c r="B20" s="6" t="n"/>
      <c r="C20" s="6" t="n"/>
      <c r="D20" s="6" t="n"/>
      <c r="E20" s="6" t="n"/>
      <c r="F20" s="6" t="n"/>
    </row>
    <row r="21">
      <c r="A21" t="inlineStr">
        <is>
          <t>EP-1017</t>
        </is>
      </c>
      <c r="B21" s="6" t="n"/>
      <c r="C21" s="6" t="n"/>
      <c r="D21" s="6" t="n"/>
      <c r="E21" s="6" t="n"/>
      <c r="F21" s="6" t="n"/>
    </row>
    <row r="22">
      <c r="A22" t="inlineStr">
        <is>
          <t>EP-1018</t>
        </is>
      </c>
      <c r="B22" s="6" t="n"/>
      <c r="C22" s="6" t="n"/>
      <c r="D22" s="6" t="n"/>
      <c r="E22" s="6" t="n"/>
      <c r="F22" s="6" t="n"/>
    </row>
    <row r="23">
      <c r="A23" t="inlineStr">
        <is>
          <t>EP-1019</t>
        </is>
      </c>
      <c r="B23" s="6" t="n"/>
      <c r="C23" s="6" t="n"/>
      <c r="D23" s="6" t="n"/>
      <c r="E23" s="6" t="n"/>
      <c r="F23" s="6" t="n"/>
    </row>
    <row r="24">
      <c r="A24" t="inlineStr">
        <is>
          <t>EP-1020</t>
        </is>
      </c>
      <c r="B24" s="6" t="n"/>
      <c r="C24" s="6" t="n"/>
      <c r="D24" s="6" t="n"/>
      <c r="E24" s="6" t="n"/>
      <c r="F24" s="6" t="n"/>
    </row>
    <row r="25">
      <c r="A25" t="inlineStr">
        <is>
          <t>EP-1021</t>
        </is>
      </c>
      <c r="B25" s="6" t="n"/>
      <c r="C25" s="6" t="n"/>
      <c r="D25" s="6" t="n"/>
      <c r="E25" s="6" t="n"/>
      <c r="F25" s="6" t="n"/>
    </row>
    <row r="26">
      <c r="A26" t="inlineStr">
        <is>
          <t>EP-1022</t>
        </is>
      </c>
      <c r="B26" s="6" t="n"/>
      <c r="C26" s="6" t="n"/>
      <c r="D26" s="6" t="n"/>
      <c r="E26" s="6" t="n"/>
      <c r="F26" s="6" t="n"/>
    </row>
    <row r="27">
      <c r="A27" t="inlineStr">
        <is>
          <t>EP-1023</t>
        </is>
      </c>
      <c r="B27" s="6" t="n"/>
      <c r="C27" s="6" t="n"/>
      <c r="D27" s="6" t="n"/>
      <c r="E27" s="6" t="n"/>
      <c r="F27" s="6" t="n"/>
    </row>
    <row r="28">
      <c r="A28" t="inlineStr">
        <is>
          <t>EP-1024</t>
        </is>
      </c>
      <c r="B28" s="6" t="n"/>
      <c r="C28" s="6" t="n"/>
      <c r="D28" s="6" t="n"/>
      <c r="E28" s="6" t="n"/>
      <c r="F28" s="6" t="n"/>
    </row>
    <row r="29">
      <c r="A29" t="inlineStr">
        <is>
          <t>EP-1025</t>
        </is>
      </c>
      <c r="B29" s="6" t="n"/>
      <c r="C29" s="6" t="n"/>
      <c r="D29" s="6" t="n"/>
      <c r="E29" s="6" t="n"/>
      <c r="F29" s="6" t="n"/>
    </row>
    <row r="30">
      <c r="A30" t="inlineStr">
        <is>
          <t>EP-1026</t>
        </is>
      </c>
      <c r="B30" s="6" t="n"/>
      <c r="C30" s="6" t="n"/>
      <c r="D30" s="6" t="n"/>
      <c r="E30" s="6" t="n"/>
      <c r="F30" s="6" t="n"/>
    </row>
    <row r="31">
      <c r="A31" t="inlineStr">
        <is>
          <t>EP-1027</t>
        </is>
      </c>
      <c r="B31" s="6" t="n"/>
      <c r="C31" s="6" t="n"/>
      <c r="D31" s="6" t="n"/>
      <c r="E31" s="6" t="n"/>
      <c r="F31" s="6" t="n"/>
    </row>
    <row r="32">
      <c r="A32" t="inlineStr">
        <is>
          <t>EP-1028</t>
        </is>
      </c>
      <c r="B32" s="6" t="n"/>
      <c r="C32" s="6" t="n"/>
      <c r="D32" s="6" t="n"/>
      <c r="E32" s="6" t="n"/>
      <c r="F32" s="6" t="n"/>
    </row>
    <row r="33">
      <c r="A33" t="inlineStr">
        <is>
          <t>EP-1029</t>
        </is>
      </c>
      <c r="B33" s="6" t="n"/>
      <c r="C33" s="6" t="n"/>
      <c r="D33" s="6" t="n"/>
      <c r="E33" s="6" t="n"/>
      <c r="F33" s="6" t="n"/>
    </row>
    <row r="34">
      <c r="A34" t="inlineStr">
        <is>
          <t>EP-1030</t>
        </is>
      </c>
      <c r="B34" s="6" t="n"/>
      <c r="C34" s="6" t="n"/>
      <c r="D34" s="6" t="n"/>
      <c r="E34" s="6" t="n"/>
      <c r="F34" s="6" t="n"/>
    </row>
    <row r="35">
      <c r="A35" t="inlineStr">
        <is>
          <t>EP-1031</t>
        </is>
      </c>
      <c r="B35" s="6" t="n"/>
      <c r="C35" s="6" t="n"/>
      <c r="D35" s="6" t="n"/>
      <c r="E35" s="6" t="n"/>
      <c r="F35" s="6" t="n"/>
    </row>
    <row r="36">
      <c r="A36" t="inlineStr">
        <is>
          <t>EP-1032</t>
        </is>
      </c>
      <c r="B36" s="6" t="n"/>
      <c r="C36" s="6" t="n"/>
      <c r="D36" s="6" t="n"/>
      <c r="E36" s="6" t="n"/>
      <c r="F36" s="6" t="n"/>
    </row>
    <row r="37">
      <c r="A37" t="inlineStr">
        <is>
          <t>EP-1033</t>
        </is>
      </c>
      <c r="B37" s="6" t="n"/>
      <c r="C37" s="6" t="n"/>
      <c r="D37" s="6" t="n"/>
      <c r="E37" s="6" t="n"/>
      <c r="F37" s="6" t="n"/>
    </row>
    <row r="38">
      <c r="A38" t="inlineStr">
        <is>
          <t>EP-1034</t>
        </is>
      </c>
      <c r="B38" s="6" t="n"/>
      <c r="C38" s="6" t="n"/>
      <c r="D38" s="6" t="n"/>
      <c r="E38" s="6" t="n"/>
      <c r="F38" s="6" t="n"/>
    </row>
    <row r="39">
      <c r="A39" t="inlineStr">
        <is>
          <t>EP-1035</t>
        </is>
      </c>
      <c r="B39" s="6" t="n"/>
      <c r="C39" s="6" t="n"/>
      <c r="D39" s="6" t="n"/>
      <c r="E39" s="6" t="n"/>
      <c r="F39" s="6" t="n"/>
    </row>
    <row r="40">
      <c r="A40" t="inlineStr">
        <is>
          <t>EP-1036</t>
        </is>
      </c>
      <c r="B40" s="6" t="n"/>
      <c r="C40" s="6" t="n"/>
      <c r="D40" s="6" t="n"/>
      <c r="E40" s="6" t="n"/>
      <c r="F40" s="6" t="n"/>
    </row>
    <row r="41">
      <c r="A41" t="inlineStr">
        <is>
          <t>EP-1037</t>
        </is>
      </c>
      <c r="B41" s="6" t="n"/>
      <c r="C41" s="6" t="n"/>
      <c r="D41" s="6" t="n"/>
      <c r="E41" s="6" t="n"/>
      <c r="F41" s="6" t="n"/>
    </row>
    <row r="42">
      <c r="A42" t="inlineStr">
        <is>
          <t>EP-1038</t>
        </is>
      </c>
      <c r="B42" s="6" t="n"/>
      <c r="C42" s="6" t="n"/>
      <c r="D42" s="6" t="n"/>
      <c r="E42" s="6" t="n"/>
      <c r="F42" s="6" t="n"/>
    </row>
    <row r="43">
      <c r="A43" t="inlineStr">
        <is>
          <t>EP-1039</t>
        </is>
      </c>
      <c r="B43" s="6" t="n"/>
      <c r="C43" s="6" t="n"/>
      <c r="D43" s="6" t="n"/>
      <c r="E43" s="6" t="n"/>
      <c r="F43" s="6" t="n"/>
    </row>
    <row r="44">
      <c r="A44" t="inlineStr">
        <is>
          <t>EP-1040</t>
        </is>
      </c>
      <c r="B44" s="6" t="n"/>
      <c r="C44" s="6" t="n"/>
      <c r="D44" s="6" t="n"/>
      <c r="E44" s="6" t="n"/>
      <c r="F44" s="6" t="n"/>
    </row>
    <row r="45">
      <c r="A45" t="inlineStr">
        <is>
          <t>EP-1041</t>
        </is>
      </c>
      <c r="B45" s="6" t="n"/>
      <c r="C45" s="6" t="n"/>
      <c r="D45" s="6" t="n"/>
      <c r="E45" s="6" t="n"/>
      <c r="F45" s="6" t="n"/>
    </row>
    <row r="46">
      <c r="A46" t="inlineStr">
        <is>
          <t>EP-1042</t>
        </is>
      </c>
      <c r="B46" s="6" t="n"/>
      <c r="C46" s="6" t="n"/>
      <c r="D46" s="6" t="n"/>
      <c r="E46" s="6" t="n"/>
      <c r="F46" s="6" t="n"/>
    </row>
    <row r="47">
      <c r="A47" t="inlineStr">
        <is>
          <t>EP-1043</t>
        </is>
      </c>
      <c r="B47" s="6" t="n"/>
      <c r="C47" s="6" t="n"/>
      <c r="D47" s="6" t="n"/>
      <c r="E47" s="6" t="n"/>
      <c r="F47" s="6" t="n"/>
    </row>
    <row r="48">
      <c r="A48" t="inlineStr">
        <is>
          <t>EP-1044</t>
        </is>
      </c>
      <c r="B48" s="6" t="n"/>
      <c r="C48" s="6" t="n"/>
      <c r="D48" s="6" t="n"/>
      <c r="E48" s="6" t="n"/>
      <c r="F48" s="6" t="n"/>
    </row>
    <row r="49">
      <c r="A49" t="inlineStr">
        <is>
          <t>EP-1045</t>
        </is>
      </c>
      <c r="B49" s="6" t="n"/>
      <c r="C49" s="6" t="n"/>
      <c r="D49" s="6" t="n"/>
      <c r="E49" s="6" t="n"/>
      <c r="F49" s="6" t="n"/>
    </row>
    <row r="50">
      <c r="A50" t="inlineStr">
        <is>
          <t>EP-1046</t>
        </is>
      </c>
      <c r="B50" s="6" t="n"/>
      <c r="C50" s="6" t="n"/>
      <c r="D50" s="6" t="n"/>
      <c r="E50" s="6" t="n"/>
      <c r="F50" s="6" t="n"/>
    </row>
    <row r="51">
      <c r="A51" t="inlineStr">
        <is>
          <t>EP-1047</t>
        </is>
      </c>
      <c r="B51" s="6" t="n"/>
      <c r="C51" s="6" t="n"/>
      <c r="D51" s="6" t="n"/>
      <c r="E51" s="6" t="n"/>
      <c r="F51" s="6" t="n"/>
    </row>
    <row r="52">
      <c r="A52" t="inlineStr">
        <is>
          <t>EP-1048</t>
        </is>
      </c>
      <c r="B52" s="6" t="n"/>
      <c r="C52" s="6" t="n"/>
      <c r="D52" s="6" t="n"/>
      <c r="E52" s="6" t="n"/>
      <c r="F52" s="6" t="n"/>
    </row>
    <row r="53">
      <c r="A53" t="inlineStr">
        <is>
          <t>EP-1049</t>
        </is>
      </c>
      <c r="B53" s="6" t="n"/>
      <c r="C53" s="6" t="n"/>
      <c r="D53" s="6" t="n"/>
      <c r="E53" s="6" t="n"/>
      <c r="F53" s="6" t="n"/>
    </row>
    <row r="54">
      <c r="A54" t="inlineStr">
        <is>
          <t>EP-1050</t>
        </is>
      </c>
      <c r="B54" s="6" t="n"/>
      <c r="C54" s="6" t="n"/>
      <c r="D54" s="6" t="n"/>
      <c r="E54" s="6" t="n"/>
      <c r="F54" s="6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A.8.19 COMPLIANCE DETAIL</t>
        </is>
      </c>
    </row>
    <row r="4">
      <c r="A4" s="5" t="inlineStr">
        <is>
          <t>Device ID</t>
        </is>
      </c>
      <c r="B4" s="5" t="inlineStr">
        <is>
          <t>Hostname</t>
        </is>
      </c>
      <c r="C4" s="5" t="inlineStr">
        <is>
          <t>Compliance %</t>
        </is>
      </c>
      <c r="D4" s="5" t="inlineStr">
        <is>
          <t>Status</t>
        </is>
      </c>
      <c r="E4" s="5" t="inlineStr">
        <is>
          <t>Gaps</t>
        </is>
      </c>
      <c r="F4" s="5" t="inlineStr">
        <is>
          <t>Notes</t>
        </is>
      </c>
    </row>
    <row r="5">
      <c r="A5" t="inlineStr">
        <is>
          <t>EP-1001</t>
        </is>
      </c>
      <c r="B5" s="6" t="n"/>
      <c r="C5" s="6" t="n"/>
      <c r="D5" s="6" t="n"/>
      <c r="E5" s="6" t="n"/>
      <c r="F5" s="6" t="n"/>
    </row>
    <row r="6">
      <c r="A6" t="inlineStr">
        <is>
          <t>EP-1002</t>
        </is>
      </c>
      <c r="B6" s="6" t="n"/>
      <c r="C6" s="6" t="n"/>
      <c r="D6" s="6" t="n"/>
      <c r="E6" s="6" t="n"/>
      <c r="F6" s="6" t="n"/>
    </row>
    <row r="7">
      <c r="A7" t="inlineStr">
        <is>
          <t>EP-1003</t>
        </is>
      </c>
      <c r="B7" s="6" t="n"/>
      <c r="C7" s="6" t="n"/>
      <c r="D7" s="6" t="n"/>
      <c r="E7" s="6" t="n"/>
      <c r="F7" s="6" t="n"/>
    </row>
    <row r="8">
      <c r="A8" t="inlineStr">
        <is>
          <t>EP-1004</t>
        </is>
      </c>
      <c r="B8" s="6" t="n"/>
      <c r="C8" s="6" t="n"/>
      <c r="D8" s="6" t="n"/>
      <c r="E8" s="6" t="n"/>
      <c r="F8" s="6" t="n"/>
    </row>
    <row r="9">
      <c r="A9" t="inlineStr">
        <is>
          <t>EP-1005</t>
        </is>
      </c>
      <c r="B9" s="6" t="n"/>
      <c r="C9" s="6" t="n"/>
      <c r="D9" s="6" t="n"/>
      <c r="E9" s="6" t="n"/>
      <c r="F9" s="6" t="n"/>
    </row>
    <row r="10">
      <c r="A10" t="inlineStr">
        <is>
          <t>EP-1006</t>
        </is>
      </c>
      <c r="B10" s="6" t="n"/>
      <c r="C10" s="6" t="n"/>
      <c r="D10" s="6" t="n"/>
      <c r="E10" s="6" t="n"/>
      <c r="F10" s="6" t="n"/>
    </row>
    <row r="11">
      <c r="A11" t="inlineStr">
        <is>
          <t>EP-1007</t>
        </is>
      </c>
      <c r="B11" s="6" t="n"/>
      <c r="C11" s="6" t="n"/>
      <c r="D11" s="6" t="n"/>
      <c r="E11" s="6" t="n"/>
      <c r="F11" s="6" t="n"/>
    </row>
    <row r="12">
      <c r="A12" t="inlineStr">
        <is>
          <t>EP-1008</t>
        </is>
      </c>
      <c r="B12" s="6" t="n"/>
      <c r="C12" s="6" t="n"/>
      <c r="D12" s="6" t="n"/>
      <c r="E12" s="6" t="n"/>
      <c r="F12" s="6" t="n"/>
    </row>
    <row r="13">
      <c r="A13" t="inlineStr">
        <is>
          <t>EP-1009</t>
        </is>
      </c>
      <c r="B13" s="6" t="n"/>
      <c r="C13" s="6" t="n"/>
      <c r="D13" s="6" t="n"/>
      <c r="E13" s="6" t="n"/>
      <c r="F13" s="6" t="n"/>
    </row>
    <row r="14">
      <c r="A14" t="inlineStr">
        <is>
          <t>EP-1010</t>
        </is>
      </c>
      <c r="B14" s="6" t="n"/>
      <c r="C14" s="6" t="n"/>
      <c r="D14" s="6" t="n"/>
      <c r="E14" s="6" t="n"/>
      <c r="F14" s="6" t="n"/>
    </row>
    <row r="15">
      <c r="A15" t="inlineStr">
        <is>
          <t>EP-1011</t>
        </is>
      </c>
      <c r="B15" s="6" t="n"/>
      <c r="C15" s="6" t="n"/>
      <c r="D15" s="6" t="n"/>
      <c r="E15" s="6" t="n"/>
      <c r="F15" s="6" t="n"/>
    </row>
    <row r="16">
      <c r="A16" t="inlineStr">
        <is>
          <t>EP-1012</t>
        </is>
      </c>
      <c r="B16" s="6" t="n"/>
      <c r="C16" s="6" t="n"/>
      <c r="D16" s="6" t="n"/>
      <c r="E16" s="6" t="n"/>
      <c r="F16" s="6" t="n"/>
    </row>
    <row r="17">
      <c r="A17" t="inlineStr">
        <is>
          <t>EP-1013</t>
        </is>
      </c>
      <c r="B17" s="6" t="n"/>
      <c r="C17" s="6" t="n"/>
      <c r="D17" s="6" t="n"/>
      <c r="E17" s="6" t="n"/>
      <c r="F17" s="6" t="n"/>
    </row>
    <row r="18">
      <c r="A18" t="inlineStr">
        <is>
          <t>EP-1014</t>
        </is>
      </c>
      <c r="B18" s="6" t="n"/>
      <c r="C18" s="6" t="n"/>
      <c r="D18" s="6" t="n"/>
      <c r="E18" s="6" t="n"/>
      <c r="F18" s="6" t="n"/>
    </row>
    <row r="19">
      <c r="A19" t="inlineStr">
        <is>
          <t>EP-1015</t>
        </is>
      </c>
      <c r="B19" s="6" t="n"/>
      <c r="C19" s="6" t="n"/>
      <c r="D19" s="6" t="n"/>
      <c r="E19" s="6" t="n"/>
      <c r="F19" s="6" t="n"/>
    </row>
    <row r="20">
      <c r="A20" t="inlineStr">
        <is>
          <t>EP-1016</t>
        </is>
      </c>
      <c r="B20" s="6" t="n"/>
      <c r="C20" s="6" t="n"/>
      <c r="D20" s="6" t="n"/>
      <c r="E20" s="6" t="n"/>
      <c r="F20" s="6" t="n"/>
    </row>
    <row r="21">
      <c r="A21" t="inlineStr">
        <is>
          <t>EP-1017</t>
        </is>
      </c>
      <c r="B21" s="6" t="n"/>
      <c r="C21" s="6" t="n"/>
      <c r="D21" s="6" t="n"/>
      <c r="E21" s="6" t="n"/>
      <c r="F21" s="6" t="n"/>
    </row>
    <row r="22">
      <c r="A22" t="inlineStr">
        <is>
          <t>EP-1018</t>
        </is>
      </c>
      <c r="B22" s="6" t="n"/>
      <c r="C22" s="6" t="n"/>
      <c r="D22" s="6" t="n"/>
      <c r="E22" s="6" t="n"/>
      <c r="F22" s="6" t="n"/>
    </row>
    <row r="23">
      <c r="A23" t="inlineStr">
        <is>
          <t>EP-1019</t>
        </is>
      </c>
      <c r="B23" s="6" t="n"/>
      <c r="C23" s="6" t="n"/>
      <c r="D23" s="6" t="n"/>
      <c r="E23" s="6" t="n"/>
      <c r="F23" s="6" t="n"/>
    </row>
    <row r="24">
      <c r="A24" t="inlineStr">
        <is>
          <t>EP-1020</t>
        </is>
      </c>
      <c r="B24" s="6" t="n"/>
      <c r="C24" s="6" t="n"/>
      <c r="D24" s="6" t="n"/>
      <c r="E24" s="6" t="n"/>
      <c r="F24" s="6" t="n"/>
    </row>
    <row r="25">
      <c r="A25" t="inlineStr">
        <is>
          <t>EP-1021</t>
        </is>
      </c>
      <c r="B25" s="6" t="n"/>
      <c r="C25" s="6" t="n"/>
      <c r="D25" s="6" t="n"/>
      <c r="E25" s="6" t="n"/>
      <c r="F25" s="6" t="n"/>
    </row>
    <row r="26">
      <c r="A26" t="inlineStr">
        <is>
          <t>EP-1022</t>
        </is>
      </c>
      <c r="B26" s="6" t="n"/>
      <c r="C26" s="6" t="n"/>
      <c r="D26" s="6" t="n"/>
      <c r="E26" s="6" t="n"/>
      <c r="F26" s="6" t="n"/>
    </row>
    <row r="27">
      <c r="A27" t="inlineStr">
        <is>
          <t>EP-1023</t>
        </is>
      </c>
      <c r="B27" s="6" t="n"/>
      <c r="C27" s="6" t="n"/>
      <c r="D27" s="6" t="n"/>
      <c r="E27" s="6" t="n"/>
      <c r="F27" s="6" t="n"/>
    </row>
    <row r="28">
      <c r="A28" t="inlineStr">
        <is>
          <t>EP-1024</t>
        </is>
      </c>
      <c r="B28" s="6" t="n"/>
      <c r="C28" s="6" t="n"/>
      <c r="D28" s="6" t="n"/>
      <c r="E28" s="6" t="n"/>
      <c r="F28" s="6" t="n"/>
    </row>
    <row r="29">
      <c r="A29" t="inlineStr">
        <is>
          <t>EP-1025</t>
        </is>
      </c>
      <c r="B29" s="6" t="n"/>
      <c r="C29" s="6" t="n"/>
      <c r="D29" s="6" t="n"/>
      <c r="E29" s="6" t="n"/>
      <c r="F29" s="6" t="n"/>
    </row>
    <row r="30">
      <c r="A30" t="inlineStr">
        <is>
          <t>EP-1026</t>
        </is>
      </c>
      <c r="B30" s="6" t="n"/>
      <c r="C30" s="6" t="n"/>
      <c r="D30" s="6" t="n"/>
      <c r="E30" s="6" t="n"/>
      <c r="F30" s="6" t="n"/>
    </row>
    <row r="31">
      <c r="A31" t="inlineStr">
        <is>
          <t>EP-1027</t>
        </is>
      </c>
      <c r="B31" s="6" t="n"/>
      <c r="C31" s="6" t="n"/>
      <c r="D31" s="6" t="n"/>
      <c r="E31" s="6" t="n"/>
      <c r="F31" s="6" t="n"/>
    </row>
    <row r="32">
      <c r="A32" t="inlineStr">
        <is>
          <t>EP-1028</t>
        </is>
      </c>
      <c r="B32" s="6" t="n"/>
      <c r="C32" s="6" t="n"/>
      <c r="D32" s="6" t="n"/>
      <c r="E32" s="6" t="n"/>
      <c r="F32" s="6" t="n"/>
    </row>
    <row r="33">
      <c r="A33" t="inlineStr">
        <is>
          <t>EP-1029</t>
        </is>
      </c>
      <c r="B33" s="6" t="n"/>
      <c r="C33" s="6" t="n"/>
      <c r="D33" s="6" t="n"/>
      <c r="E33" s="6" t="n"/>
      <c r="F33" s="6" t="n"/>
    </row>
    <row r="34">
      <c r="A34" t="inlineStr">
        <is>
          <t>EP-1030</t>
        </is>
      </c>
      <c r="B34" s="6" t="n"/>
      <c r="C34" s="6" t="n"/>
      <c r="D34" s="6" t="n"/>
      <c r="E34" s="6" t="n"/>
      <c r="F34" s="6" t="n"/>
    </row>
    <row r="35">
      <c r="A35" t="inlineStr">
        <is>
          <t>EP-1031</t>
        </is>
      </c>
      <c r="B35" s="6" t="n"/>
      <c r="C35" s="6" t="n"/>
      <c r="D35" s="6" t="n"/>
      <c r="E35" s="6" t="n"/>
      <c r="F35" s="6" t="n"/>
    </row>
    <row r="36">
      <c r="A36" t="inlineStr">
        <is>
          <t>EP-1032</t>
        </is>
      </c>
      <c r="B36" s="6" t="n"/>
      <c r="C36" s="6" t="n"/>
      <c r="D36" s="6" t="n"/>
      <c r="E36" s="6" t="n"/>
      <c r="F36" s="6" t="n"/>
    </row>
    <row r="37">
      <c r="A37" t="inlineStr">
        <is>
          <t>EP-1033</t>
        </is>
      </c>
      <c r="B37" s="6" t="n"/>
      <c r="C37" s="6" t="n"/>
      <c r="D37" s="6" t="n"/>
      <c r="E37" s="6" t="n"/>
      <c r="F37" s="6" t="n"/>
    </row>
    <row r="38">
      <c r="A38" t="inlineStr">
        <is>
          <t>EP-1034</t>
        </is>
      </c>
      <c r="B38" s="6" t="n"/>
      <c r="C38" s="6" t="n"/>
      <c r="D38" s="6" t="n"/>
      <c r="E38" s="6" t="n"/>
      <c r="F38" s="6" t="n"/>
    </row>
    <row r="39">
      <c r="A39" t="inlineStr">
        <is>
          <t>EP-1035</t>
        </is>
      </c>
      <c r="B39" s="6" t="n"/>
      <c r="C39" s="6" t="n"/>
      <c r="D39" s="6" t="n"/>
      <c r="E39" s="6" t="n"/>
      <c r="F39" s="6" t="n"/>
    </row>
    <row r="40">
      <c r="A40" t="inlineStr">
        <is>
          <t>EP-1036</t>
        </is>
      </c>
      <c r="B40" s="6" t="n"/>
      <c r="C40" s="6" t="n"/>
      <c r="D40" s="6" t="n"/>
      <c r="E40" s="6" t="n"/>
      <c r="F40" s="6" t="n"/>
    </row>
    <row r="41">
      <c r="A41" t="inlineStr">
        <is>
          <t>EP-1037</t>
        </is>
      </c>
      <c r="B41" s="6" t="n"/>
      <c r="C41" s="6" t="n"/>
      <c r="D41" s="6" t="n"/>
      <c r="E41" s="6" t="n"/>
      <c r="F41" s="6" t="n"/>
    </row>
    <row r="42">
      <c r="A42" t="inlineStr">
        <is>
          <t>EP-1038</t>
        </is>
      </c>
      <c r="B42" s="6" t="n"/>
      <c r="C42" s="6" t="n"/>
      <c r="D42" s="6" t="n"/>
      <c r="E42" s="6" t="n"/>
      <c r="F42" s="6" t="n"/>
    </row>
    <row r="43">
      <c r="A43" t="inlineStr">
        <is>
          <t>EP-1039</t>
        </is>
      </c>
      <c r="B43" s="6" t="n"/>
      <c r="C43" s="6" t="n"/>
      <c r="D43" s="6" t="n"/>
      <c r="E43" s="6" t="n"/>
      <c r="F43" s="6" t="n"/>
    </row>
    <row r="44">
      <c r="A44" t="inlineStr">
        <is>
          <t>EP-1040</t>
        </is>
      </c>
      <c r="B44" s="6" t="n"/>
      <c r="C44" s="6" t="n"/>
      <c r="D44" s="6" t="n"/>
      <c r="E44" s="6" t="n"/>
      <c r="F44" s="6" t="n"/>
    </row>
    <row r="45">
      <c r="A45" t="inlineStr">
        <is>
          <t>EP-1041</t>
        </is>
      </c>
      <c r="B45" s="6" t="n"/>
      <c r="C45" s="6" t="n"/>
      <c r="D45" s="6" t="n"/>
      <c r="E45" s="6" t="n"/>
      <c r="F45" s="6" t="n"/>
    </row>
    <row r="46">
      <c r="A46" t="inlineStr">
        <is>
          <t>EP-1042</t>
        </is>
      </c>
      <c r="B46" s="6" t="n"/>
      <c r="C46" s="6" t="n"/>
      <c r="D46" s="6" t="n"/>
      <c r="E46" s="6" t="n"/>
      <c r="F46" s="6" t="n"/>
    </row>
    <row r="47">
      <c r="A47" t="inlineStr">
        <is>
          <t>EP-1043</t>
        </is>
      </c>
      <c r="B47" s="6" t="n"/>
      <c r="C47" s="6" t="n"/>
      <c r="D47" s="6" t="n"/>
      <c r="E47" s="6" t="n"/>
      <c r="F47" s="6" t="n"/>
    </row>
    <row r="48">
      <c r="A48" t="inlineStr">
        <is>
          <t>EP-1044</t>
        </is>
      </c>
      <c r="B48" s="6" t="n"/>
      <c r="C48" s="6" t="n"/>
      <c r="D48" s="6" t="n"/>
      <c r="E48" s="6" t="n"/>
      <c r="F48" s="6" t="n"/>
    </row>
    <row r="49">
      <c r="A49" t="inlineStr">
        <is>
          <t>EP-1045</t>
        </is>
      </c>
      <c r="B49" s="6" t="n"/>
      <c r="C49" s="6" t="n"/>
      <c r="D49" s="6" t="n"/>
      <c r="E49" s="6" t="n"/>
      <c r="F49" s="6" t="n"/>
    </row>
    <row r="50">
      <c r="A50" t="inlineStr">
        <is>
          <t>EP-1046</t>
        </is>
      </c>
      <c r="B50" s="6" t="n"/>
      <c r="C50" s="6" t="n"/>
      <c r="D50" s="6" t="n"/>
      <c r="E50" s="6" t="n"/>
      <c r="F50" s="6" t="n"/>
    </row>
    <row r="51">
      <c r="A51" t="inlineStr">
        <is>
          <t>EP-1047</t>
        </is>
      </c>
      <c r="B51" s="6" t="n"/>
      <c r="C51" s="6" t="n"/>
      <c r="D51" s="6" t="n"/>
      <c r="E51" s="6" t="n"/>
      <c r="F51" s="6" t="n"/>
    </row>
    <row r="52">
      <c r="A52" t="inlineStr">
        <is>
          <t>EP-1048</t>
        </is>
      </c>
      <c r="B52" s="6" t="n"/>
      <c r="C52" s="6" t="n"/>
      <c r="D52" s="6" t="n"/>
      <c r="E52" s="6" t="n"/>
      <c r="F52" s="6" t="n"/>
    </row>
    <row r="53">
      <c r="A53" t="inlineStr">
        <is>
          <t>EP-1049</t>
        </is>
      </c>
      <c r="B53" s="6" t="n"/>
      <c r="C53" s="6" t="n"/>
      <c r="D53" s="6" t="n"/>
      <c r="E53" s="6" t="n"/>
      <c r="F53" s="6" t="n"/>
    </row>
    <row r="54">
      <c r="A54" t="inlineStr">
        <is>
          <t>EP-1050</t>
        </is>
      </c>
      <c r="B54" s="6" t="n"/>
      <c r="C54" s="6" t="n"/>
      <c r="D54" s="6" t="n"/>
      <c r="E54" s="6" t="n"/>
      <c r="F54" s="6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RISK PRIORITIZATION MATRIX</t>
        </is>
      </c>
    </row>
    <row r="4">
      <c r="A4" s="5" t="inlineStr">
        <is>
          <t>Device ID</t>
        </is>
      </c>
      <c r="B4" s="5" t="inlineStr">
        <is>
          <t>Hostname</t>
        </is>
      </c>
      <c r="C4" s="5" t="inlineStr">
        <is>
          <t>Combined Gaps</t>
        </is>
      </c>
      <c r="D4" s="5" t="inlineStr">
        <is>
          <t>Risk Score</t>
        </is>
      </c>
      <c r="E4" s="5" t="inlineStr">
        <is>
          <t>Business Impact</t>
        </is>
      </c>
      <c r="F4" s="5" t="inlineStr">
        <is>
          <t>Remediation Difficulty</t>
        </is>
      </c>
      <c r="G4" s="5" t="inlineStr">
        <is>
          <t>Priority</t>
        </is>
      </c>
      <c r="H4" s="5" t="inlineStr">
        <is>
          <t>Notes</t>
        </is>
      </c>
    </row>
    <row r="5">
      <c r="A5" t="inlineStr">
        <is>
          <t>EP-1001</t>
        </is>
      </c>
      <c r="B5" s="6" t="n"/>
      <c r="C5" s="6" t="n"/>
      <c r="D5" s="6" t="n"/>
      <c r="E5" s="6" t="n"/>
      <c r="F5" s="6" t="n"/>
      <c r="G5" s="6" t="n"/>
      <c r="H5" s="6" t="n"/>
    </row>
    <row r="6">
      <c r="A6" t="inlineStr">
        <is>
          <t>EP-1002</t>
        </is>
      </c>
      <c r="B6" s="6" t="n"/>
      <c r="C6" s="6" t="n"/>
      <c r="D6" s="6" t="n"/>
      <c r="E6" s="6" t="n"/>
      <c r="F6" s="6" t="n"/>
      <c r="G6" s="6" t="n"/>
      <c r="H6" s="6" t="n"/>
    </row>
    <row r="7">
      <c r="A7" t="inlineStr">
        <is>
          <t>EP-1003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t="inlineStr">
        <is>
          <t>EP-1004</t>
        </is>
      </c>
      <c r="B8" s="6" t="n"/>
      <c r="C8" s="6" t="n"/>
      <c r="D8" s="6" t="n"/>
      <c r="E8" s="6" t="n"/>
      <c r="F8" s="6" t="n"/>
      <c r="G8" s="6" t="n"/>
      <c r="H8" s="6" t="n"/>
    </row>
    <row r="9">
      <c r="A9" t="inlineStr">
        <is>
          <t>EP-1005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t="inlineStr">
        <is>
          <t>EP-1006</t>
        </is>
      </c>
      <c r="B10" s="6" t="n"/>
      <c r="C10" s="6" t="n"/>
      <c r="D10" s="6" t="n"/>
      <c r="E10" s="6" t="n"/>
      <c r="F10" s="6" t="n"/>
      <c r="G10" s="6" t="n"/>
      <c r="H10" s="6" t="n"/>
    </row>
    <row r="11">
      <c r="A11" t="inlineStr">
        <is>
          <t>EP-1007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t="inlineStr">
        <is>
          <t>EP-1008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t="inlineStr">
        <is>
          <t>EP-1009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t="inlineStr">
        <is>
          <t>EP-1010</t>
        </is>
      </c>
      <c r="B14" s="6" t="n"/>
      <c r="C14" s="6" t="n"/>
      <c r="D14" s="6" t="n"/>
      <c r="E14" s="6" t="n"/>
      <c r="F14" s="6" t="n"/>
      <c r="G14" s="6" t="n"/>
      <c r="H14" s="6" t="n"/>
    </row>
    <row r="15">
      <c r="A15" t="inlineStr">
        <is>
          <t>EP-1011</t>
        </is>
      </c>
      <c r="B15" s="6" t="n"/>
      <c r="C15" s="6" t="n"/>
      <c r="D15" s="6" t="n"/>
      <c r="E15" s="6" t="n"/>
      <c r="F15" s="6" t="n"/>
      <c r="G15" s="6" t="n"/>
      <c r="H15" s="6" t="n"/>
    </row>
    <row r="16">
      <c r="A16" t="inlineStr">
        <is>
          <t>EP-1012</t>
        </is>
      </c>
      <c r="B16" s="6" t="n"/>
      <c r="C16" s="6" t="n"/>
      <c r="D16" s="6" t="n"/>
      <c r="E16" s="6" t="n"/>
      <c r="F16" s="6" t="n"/>
      <c r="G16" s="6" t="n"/>
      <c r="H16" s="6" t="n"/>
    </row>
    <row r="17">
      <c r="A17" t="inlineStr">
        <is>
          <t>EP-1013</t>
        </is>
      </c>
      <c r="B17" s="6" t="n"/>
      <c r="C17" s="6" t="n"/>
      <c r="D17" s="6" t="n"/>
      <c r="E17" s="6" t="n"/>
      <c r="F17" s="6" t="n"/>
      <c r="G17" s="6" t="n"/>
      <c r="H17" s="6" t="n"/>
    </row>
    <row r="18">
      <c r="A18" t="inlineStr">
        <is>
          <t>EP-1014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t="inlineStr">
        <is>
          <t>EP-1015</t>
        </is>
      </c>
      <c r="B19" s="6" t="n"/>
      <c r="C19" s="6" t="n"/>
      <c r="D19" s="6" t="n"/>
      <c r="E19" s="6" t="n"/>
      <c r="F19" s="6" t="n"/>
      <c r="G19" s="6" t="n"/>
      <c r="H19" s="6" t="n"/>
    </row>
    <row r="20">
      <c r="A20" t="inlineStr">
        <is>
          <t>EP-1016</t>
        </is>
      </c>
      <c r="B20" s="6" t="n"/>
      <c r="C20" s="6" t="n"/>
      <c r="D20" s="6" t="n"/>
      <c r="E20" s="6" t="n"/>
      <c r="F20" s="6" t="n"/>
      <c r="G20" s="6" t="n"/>
      <c r="H20" s="6" t="n"/>
    </row>
    <row r="21">
      <c r="A21" t="inlineStr">
        <is>
          <t>EP-1017</t>
        </is>
      </c>
      <c r="B21" s="6" t="n"/>
      <c r="C21" s="6" t="n"/>
      <c r="D21" s="6" t="n"/>
      <c r="E21" s="6" t="n"/>
      <c r="F21" s="6" t="n"/>
      <c r="G21" s="6" t="n"/>
      <c r="H21" s="6" t="n"/>
    </row>
    <row r="22">
      <c r="A22" t="inlineStr">
        <is>
          <t>EP-1018</t>
        </is>
      </c>
      <c r="B22" s="6" t="n"/>
      <c r="C22" s="6" t="n"/>
      <c r="D22" s="6" t="n"/>
      <c r="E22" s="6" t="n"/>
      <c r="F22" s="6" t="n"/>
      <c r="G22" s="6" t="n"/>
      <c r="H22" s="6" t="n"/>
    </row>
    <row r="23">
      <c r="A23" t="inlineStr">
        <is>
          <t>EP-1019</t>
        </is>
      </c>
      <c r="B23" s="6" t="n"/>
      <c r="C23" s="6" t="n"/>
      <c r="D23" s="6" t="n"/>
      <c r="E23" s="6" t="n"/>
      <c r="F23" s="6" t="n"/>
      <c r="G23" s="6" t="n"/>
      <c r="H23" s="6" t="n"/>
    </row>
    <row r="24">
      <c r="A24" t="inlineStr">
        <is>
          <t>EP-1020</t>
        </is>
      </c>
      <c r="B24" s="6" t="n"/>
      <c r="C24" s="6" t="n"/>
      <c r="D24" s="6" t="n"/>
      <c r="E24" s="6" t="n"/>
      <c r="F24" s="6" t="n"/>
      <c r="G24" s="6" t="n"/>
      <c r="H24" s="6" t="n"/>
    </row>
    <row r="25">
      <c r="A25" t="inlineStr">
        <is>
          <t>EP-1021</t>
        </is>
      </c>
      <c r="B25" s="6" t="n"/>
      <c r="C25" s="6" t="n"/>
      <c r="D25" s="6" t="n"/>
      <c r="E25" s="6" t="n"/>
      <c r="F25" s="6" t="n"/>
      <c r="G25" s="6" t="n"/>
      <c r="H25" s="6" t="n"/>
    </row>
    <row r="26">
      <c r="A26" t="inlineStr">
        <is>
          <t>EP-1022</t>
        </is>
      </c>
      <c r="B26" s="6" t="n"/>
      <c r="C26" s="6" t="n"/>
      <c r="D26" s="6" t="n"/>
      <c r="E26" s="6" t="n"/>
      <c r="F26" s="6" t="n"/>
      <c r="G26" s="6" t="n"/>
      <c r="H26" s="6" t="n"/>
    </row>
    <row r="27">
      <c r="A27" t="inlineStr">
        <is>
          <t>EP-1023</t>
        </is>
      </c>
      <c r="B27" s="6" t="n"/>
      <c r="C27" s="6" t="n"/>
      <c r="D27" s="6" t="n"/>
      <c r="E27" s="6" t="n"/>
      <c r="F27" s="6" t="n"/>
      <c r="G27" s="6" t="n"/>
      <c r="H27" s="6" t="n"/>
    </row>
    <row r="28">
      <c r="A28" t="inlineStr">
        <is>
          <t>EP-1024</t>
        </is>
      </c>
      <c r="B28" s="6" t="n"/>
      <c r="C28" s="6" t="n"/>
      <c r="D28" s="6" t="n"/>
      <c r="E28" s="6" t="n"/>
      <c r="F28" s="6" t="n"/>
      <c r="G28" s="6" t="n"/>
      <c r="H28" s="6" t="n"/>
    </row>
    <row r="29">
      <c r="A29" t="inlineStr">
        <is>
          <t>EP-1025</t>
        </is>
      </c>
      <c r="B29" s="6" t="n"/>
      <c r="C29" s="6" t="n"/>
      <c r="D29" s="6" t="n"/>
      <c r="E29" s="6" t="n"/>
      <c r="F29" s="6" t="n"/>
      <c r="G29" s="6" t="n"/>
      <c r="H29" s="6" t="n"/>
    </row>
    <row r="30">
      <c r="A30" t="inlineStr">
        <is>
          <t>EP-1026</t>
        </is>
      </c>
      <c r="B30" s="6" t="n"/>
      <c r="C30" s="6" t="n"/>
      <c r="D30" s="6" t="n"/>
      <c r="E30" s="6" t="n"/>
      <c r="F30" s="6" t="n"/>
      <c r="G30" s="6" t="n"/>
      <c r="H30" s="6" t="n"/>
    </row>
    <row r="31">
      <c r="A31" t="inlineStr">
        <is>
          <t>EP-1027</t>
        </is>
      </c>
      <c r="B31" s="6" t="n"/>
      <c r="C31" s="6" t="n"/>
      <c r="D31" s="6" t="n"/>
      <c r="E31" s="6" t="n"/>
      <c r="F31" s="6" t="n"/>
      <c r="G31" s="6" t="n"/>
      <c r="H31" s="6" t="n"/>
    </row>
    <row r="32">
      <c r="A32" t="inlineStr">
        <is>
          <t>EP-1028</t>
        </is>
      </c>
      <c r="B32" s="6" t="n"/>
      <c r="C32" s="6" t="n"/>
      <c r="D32" s="6" t="n"/>
      <c r="E32" s="6" t="n"/>
      <c r="F32" s="6" t="n"/>
      <c r="G32" s="6" t="n"/>
      <c r="H32" s="6" t="n"/>
    </row>
    <row r="33">
      <c r="A33" t="inlineStr">
        <is>
          <t>EP-1029</t>
        </is>
      </c>
      <c r="B33" s="6" t="n"/>
      <c r="C33" s="6" t="n"/>
      <c r="D33" s="6" t="n"/>
      <c r="E33" s="6" t="n"/>
      <c r="F33" s="6" t="n"/>
      <c r="G33" s="6" t="n"/>
      <c r="H33" s="6" t="n"/>
    </row>
    <row r="34">
      <c r="A34" t="inlineStr">
        <is>
          <t>EP-1030</t>
        </is>
      </c>
      <c r="B34" s="6" t="n"/>
      <c r="C34" s="6" t="n"/>
      <c r="D34" s="6" t="n"/>
      <c r="E34" s="6" t="n"/>
      <c r="F34" s="6" t="n"/>
      <c r="G34" s="6" t="n"/>
      <c r="H34" s="6" t="n"/>
    </row>
    <row r="35">
      <c r="A35" t="inlineStr">
        <is>
          <t>EP-1031</t>
        </is>
      </c>
      <c r="B35" s="6" t="n"/>
      <c r="C35" s="6" t="n"/>
      <c r="D35" s="6" t="n"/>
      <c r="E35" s="6" t="n"/>
      <c r="F35" s="6" t="n"/>
      <c r="G35" s="6" t="n"/>
      <c r="H35" s="6" t="n"/>
    </row>
    <row r="36">
      <c r="A36" t="inlineStr">
        <is>
          <t>EP-1032</t>
        </is>
      </c>
      <c r="B36" s="6" t="n"/>
      <c r="C36" s="6" t="n"/>
      <c r="D36" s="6" t="n"/>
      <c r="E36" s="6" t="n"/>
      <c r="F36" s="6" t="n"/>
      <c r="G36" s="6" t="n"/>
      <c r="H36" s="6" t="n"/>
    </row>
    <row r="37">
      <c r="A37" t="inlineStr">
        <is>
          <t>EP-1033</t>
        </is>
      </c>
      <c r="B37" s="6" t="n"/>
      <c r="C37" s="6" t="n"/>
      <c r="D37" s="6" t="n"/>
      <c r="E37" s="6" t="n"/>
      <c r="F37" s="6" t="n"/>
      <c r="G37" s="6" t="n"/>
      <c r="H37" s="6" t="n"/>
    </row>
    <row r="38">
      <c r="A38" t="inlineStr">
        <is>
          <t>EP-1034</t>
        </is>
      </c>
      <c r="B38" s="6" t="n"/>
      <c r="C38" s="6" t="n"/>
      <c r="D38" s="6" t="n"/>
      <c r="E38" s="6" t="n"/>
      <c r="F38" s="6" t="n"/>
      <c r="G38" s="6" t="n"/>
      <c r="H38" s="6" t="n"/>
    </row>
    <row r="39">
      <c r="A39" t="inlineStr">
        <is>
          <t>EP-1035</t>
        </is>
      </c>
      <c r="B39" s="6" t="n"/>
      <c r="C39" s="6" t="n"/>
      <c r="D39" s="6" t="n"/>
      <c r="E39" s="6" t="n"/>
      <c r="F39" s="6" t="n"/>
      <c r="G39" s="6" t="n"/>
      <c r="H39" s="6" t="n"/>
    </row>
    <row r="40">
      <c r="A40" t="inlineStr">
        <is>
          <t>EP-1036</t>
        </is>
      </c>
      <c r="B40" s="6" t="n"/>
      <c r="C40" s="6" t="n"/>
      <c r="D40" s="6" t="n"/>
      <c r="E40" s="6" t="n"/>
      <c r="F40" s="6" t="n"/>
      <c r="G40" s="6" t="n"/>
      <c r="H40" s="6" t="n"/>
    </row>
    <row r="41">
      <c r="A41" t="inlineStr">
        <is>
          <t>EP-1037</t>
        </is>
      </c>
      <c r="B41" s="6" t="n"/>
      <c r="C41" s="6" t="n"/>
      <c r="D41" s="6" t="n"/>
      <c r="E41" s="6" t="n"/>
      <c r="F41" s="6" t="n"/>
      <c r="G41" s="6" t="n"/>
      <c r="H41" s="6" t="n"/>
    </row>
    <row r="42">
      <c r="A42" t="inlineStr">
        <is>
          <t>EP-1038</t>
        </is>
      </c>
      <c r="B42" s="6" t="n"/>
      <c r="C42" s="6" t="n"/>
      <c r="D42" s="6" t="n"/>
      <c r="E42" s="6" t="n"/>
      <c r="F42" s="6" t="n"/>
      <c r="G42" s="6" t="n"/>
      <c r="H42" s="6" t="n"/>
    </row>
    <row r="43">
      <c r="A43" t="inlineStr">
        <is>
          <t>EP-1039</t>
        </is>
      </c>
      <c r="B43" s="6" t="n"/>
      <c r="C43" s="6" t="n"/>
      <c r="D43" s="6" t="n"/>
      <c r="E43" s="6" t="n"/>
      <c r="F43" s="6" t="n"/>
      <c r="G43" s="6" t="n"/>
      <c r="H43" s="6" t="n"/>
    </row>
    <row r="44">
      <c r="A44" t="inlineStr">
        <is>
          <t>EP-1040</t>
        </is>
      </c>
      <c r="B44" s="6" t="n"/>
      <c r="C44" s="6" t="n"/>
      <c r="D44" s="6" t="n"/>
      <c r="E44" s="6" t="n"/>
      <c r="F44" s="6" t="n"/>
      <c r="G44" s="6" t="n"/>
      <c r="H44" s="6" t="n"/>
    </row>
    <row r="45">
      <c r="A45" t="inlineStr">
        <is>
          <t>EP-1041</t>
        </is>
      </c>
      <c r="B45" s="6" t="n"/>
      <c r="C45" s="6" t="n"/>
      <c r="D45" s="6" t="n"/>
      <c r="E45" s="6" t="n"/>
      <c r="F45" s="6" t="n"/>
      <c r="G45" s="6" t="n"/>
      <c r="H45" s="6" t="n"/>
    </row>
    <row r="46">
      <c r="A46" t="inlineStr">
        <is>
          <t>EP-1042</t>
        </is>
      </c>
      <c r="B46" s="6" t="n"/>
      <c r="C46" s="6" t="n"/>
      <c r="D46" s="6" t="n"/>
      <c r="E46" s="6" t="n"/>
      <c r="F46" s="6" t="n"/>
      <c r="G46" s="6" t="n"/>
      <c r="H46" s="6" t="n"/>
    </row>
    <row r="47">
      <c r="A47" t="inlineStr">
        <is>
          <t>EP-1043</t>
        </is>
      </c>
      <c r="B47" s="6" t="n"/>
      <c r="C47" s="6" t="n"/>
      <c r="D47" s="6" t="n"/>
      <c r="E47" s="6" t="n"/>
      <c r="F47" s="6" t="n"/>
      <c r="G47" s="6" t="n"/>
      <c r="H47" s="6" t="n"/>
    </row>
    <row r="48">
      <c r="A48" t="inlineStr">
        <is>
          <t>EP-1044</t>
        </is>
      </c>
      <c r="B48" s="6" t="n"/>
      <c r="C48" s="6" t="n"/>
      <c r="D48" s="6" t="n"/>
      <c r="E48" s="6" t="n"/>
      <c r="F48" s="6" t="n"/>
      <c r="G48" s="6" t="n"/>
      <c r="H48" s="6" t="n"/>
    </row>
    <row r="49">
      <c r="A49" t="inlineStr">
        <is>
          <t>EP-1045</t>
        </is>
      </c>
      <c r="B49" s="6" t="n"/>
      <c r="C49" s="6" t="n"/>
      <c r="D49" s="6" t="n"/>
      <c r="E49" s="6" t="n"/>
      <c r="F49" s="6" t="n"/>
      <c r="G49" s="6" t="n"/>
      <c r="H49" s="6" t="n"/>
    </row>
    <row r="50">
      <c r="A50" t="inlineStr">
        <is>
          <t>EP-1046</t>
        </is>
      </c>
      <c r="B50" s="6" t="n"/>
      <c r="C50" s="6" t="n"/>
      <c r="D50" s="6" t="n"/>
      <c r="E50" s="6" t="n"/>
      <c r="F50" s="6" t="n"/>
      <c r="G50" s="6" t="n"/>
      <c r="H50" s="6" t="n"/>
    </row>
    <row r="51">
      <c r="A51" t="inlineStr">
        <is>
          <t>EP-1047</t>
        </is>
      </c>
      <c r="B51" s="6" t="n"/>
      <c r="C51" s="6" t="n"/>
      <c r="D51" s="6" t="n"/>
      <c r="E51" s="6" t="n"/>
      <c r="F51" s="6" t="n"/>
      <c r="G51" s="6" t="n"/>
      <c r="H51" s="6" t="n"/>
    </row>
    <row r="52">
      <c r="A52" t="inlineStr">
        <is>
          <t>EP-1048</t>
        </is>
      </c>
      <c r="B52" s="6" t="n"/>
      <c r="C52" s="6" t="n"/>
      <c r="D52" s="6" t="n"/>
      <c r="E52" s="6" t="n"/>
      <c r="F52" s="6" t="n"/>
      <c r="G52" s="6" t="n"/>
      <c r="H52" s="6" t="n"/>
    </row>
    <row r="53">
      <c r="A53" t="inlineStr">
        <is>
          <t>EP-1049</t>
        </is>
      </c>
      <c r="B53" s="6" t="n"/>
      <c r="C53" s="6" t="n"/>
      <c r="D53" s="6" t="n"/>
      <c r="E53" s="6" t="n"/>
      <c r="F53" s="6" t="n"/>
      <c r="G53" s="6" t="n"/>
      <c r="H53" s="6" t="n"/>
    </row>
    <row r="54">
      <c r="A54" t="inlineStr">
        <is>
          <t>EP-1050</t>
        </is>
      </c>
      <c r="B54" s="6" t="n"/>
      <c r="C54" s="6" t="n"/>
      <c r="D54" s="6" t="n"/>
      <c r="E54" s="6" t="n"/>
      <c r="F54" s="6" t="n"/>
      <c r="G54" s="6" t="n"/>
      <c r="H54" s="6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REMEDIATION TRACKING</t>
        </is>
      </c>
    </row>
    <row r="4">
      <c r="A4" s="5" t="inlineStr">
        <is>
          <t>Remediation ID</t>
        </is>
      </c>
      <c r="B4" s="5" t="inlineStr">
        <is>
          <t>Device ID</t>
        </is>
      </c>
      <c r="C4" s="5" t="inlineStr">
        <is>
          <t>Control</t>
        </is>
      </c>
      <c r="D4" s="5" t="inlineStr">
        <is>
          <t>Gap</t>
        </is>
      </c>
      <c r="E4" s="5" t="inlineStr">
        <is>
          <t>Severity</t>
        </is>
      </c>
      <c r="F4" s="5" t="inlineStr">
        <is>
          <t>Remediation Plan</t>
        </is>
      </c>
      <c r="G4" s="5" t="inlineStr">
        <is>
          <t>Owner</t>
        </is>
      </c>
      <c r="H4" s="5" t="inlineStr">
        <is>
          <t>Due Date</t>
        </is>
      </c>
      <c r="I4" s="5" t="inlineStr">
        <is>
          <t>Status</t>
        </is>
      </c>
      <c r="J4" s="5" t="inlineStr">
        <is>
          <t>Completion %</t>
        </is>
      </c>
      <c r="K4" s="5" t="inlineStr">
        <is>
          <t>Notes</t>
        </is>
      </c>
    </row>
    <row r="5">
      <c r="A5" s="3" t="inlineStr">
        <is>
          <t>REM-0001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>
      <c r="A6" s="3" t="inlineStr">
        <is>
          <t>REM-0002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3" t="inlineStr">
        <is>
          <t>REM-0003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3" t="inlineStr">
        <is>
          <t>REM-0004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3" t="inlineStr">
        <is>
          <t>REM-0005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3" t="inlineStr">
        <is>
          <t>REM-0006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3" t="inlineStr">
        <is>
          <t>REM-0007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3" t="inlineStr">
        <is>
          <t>REM-0008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3" t="inlineStr">
        <is>
          <t>REM-0009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3" t="inlineStr">
        <is>
          <t>REM-0010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3" t="inlineStr">
        <is>
          <t>REM-0011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3" t="inlineStr">
        <is>
          <t>REM-0012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3" t="inlineStr">
        <is>
          <t>REM-0013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3" t="inlineStr">
        <is>
          <t>REM-0014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3" t="inlineStr">
        <is>
          <t>REM-0015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>
      <c r="A20" s="3" t="inlineStr">
        <is>
          <t>REM-0016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3" t="inlineStr">
        <is>
          <t>REM-0017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>
      <c r="A22" s="3" t="inlineStr">
        <is>
          <t>REM-0018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3" t="inlineStr">
        <is>
          <t>REM-0019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3" t="inlineStr">
        <is>
          <t>REM-0020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>
      <c r="A25" s="3" t="inlineStr">
        <is>
          <t>REM-0021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>
      <c r="A26" s="3" t="inlineStr">
        <is>
          <t>REM-0022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3" t="inlineStr">
        <is>
          <t>REM-0023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>
      <c r="A28" s="3" t="inlineStr">
        <is>
          <t>REM-0024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>
      <c r="A29" s="3" t="inlineStr">
        <is>
          <t>REM-0025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3" t="inlineStr">
        <is>
          <t>REM-0026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3" t="inlineStr">
        <is>
          <t>REM-0027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</row>
    <row r="32">
      <c r="A32" s="3" t="inlineStr">
        <is>
          <t>REM-0028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3" t="inlineStr">
        <is>
          <t>REM-0029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</row>
    <row r="34">
      <c r="A34" s="3" t="inlineStr">
        <is>
          <t>REM-0030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>
      <c r="A35" s="3" t="inlineStr">
        <is>
          <t>REM-0031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3" t="inlineStr">
        <is>
          <t>REM-0032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>
      <c r="A37" s="3" t="inlineStr">
        <is>
          <t>REM-0033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</row>
    <row r="38">
      <c r="A38" s="3" t="inlineStr">
        <is>
          <t>REM-0034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3" t="inlineStr">
        <is>
          <t>REM-0035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3" t="inlineStr">
        <is>
          <t>REM-0036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3" t="inlineStr">
        <is>
          <t>REM-0037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3" t="inlineStr">
        <is>
          <t>REM-0038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>
      <c r="A43" s="3" t="inlineStr">
        <is>
          <t>REM-0039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3" t="inlineStr">
        <is>
          <t>REM-0040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>
      <c r="A45" s="3" t="inlineStr">
        <is>
          <t>REM-0041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3" t="inlineStr">
        <is>
          <t>REM-0042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3" t="inlineStr">
        <is>
          <t>REM-0043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</row>
    <row r="48">
      <c r="A48" s="3" t="inlineStr">
        <is>
          <t>REM-0044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3" t="inlineStr">
        <is>
          <t>REM-0045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</row>
    <row r="50">
      <c r="A50" s="3" t="inlineStr">
        <is>
          <t>REM-0046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</row>
    <row r="51">
      <c r="A51" s="3" t="inlineStr">
        <is>
          <t>REM-0047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3" t="inlineStr">
        <is>
          <t>REM-0048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</row>
    <row r="53">
      <c r="A53" s="3" t="inlineStr">
        <is>
          <t>REM-0049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3" t="inlineStr">
        <is>
          <t>REM-0050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</row>
    <row r="55">
      <c r="A55" s="3" t="inlineStr">
        <is>
          <t>REM-0051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</row>
    <row r="56">
      <c r="A56" s="3" t="inlineStr">
        <is>
          <t>REM-0052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3" t="inlineStr">
        <is>
          <t>REM-0053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</row>
    <row r="58">
      <c r="A58" s="3" t="inlineStr">
        <is>
          <t>REM-0054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>
      <c r="A59" s="3" t="inlineStr">
        <is>
          <t>REM-0055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</row>
    <row r="60">
      <c r="A60" s="3" t="inlineStr">
        <is>
          <t>REM-0056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3" t="inlineStr">
        <is>
          <t>REM-0057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3" t="inlineStr">
        <is>
          <t>REM-0058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3">
      <c r="A63" s="3" t="inlineStr">
        <is>
          <t>REM-0059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</row>
    <row r="64">
      <c r="A64" s="3" t="inlineStr">
        <is>
          <t>REM-0060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3" t="inlineStr">
        <is>
          <t>REM-0061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3" t="inlineStr">
        <is>
          <t>REM-0062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</row>
    <row r="67">
      <c r="A67" s="3" t="inlineStr">
        <is>
          <t>REM-0063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3" t="inlineStr">
        <is>
          <t>REM-0064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</row>
    <row r="69">
      <c r="A69" s="3" t="inlineStr">
        <is>
          <t>REM-0065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3" t="inlineStr">
        <is>
          <t>REM-0066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</row>
    <row r="71">
      <c r="A71" s="3" t="inlineStr">
        <is>
          <t>REM-0067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3" t="inlineStr">
        <is>
          <t>REM-0068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3" t="inlineStr">
        <is>
          <t>REM-0069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3" t="inlineStr">
        <is>
          <t>REM-0070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</row>
    <row r="75">
      <c r="A75" s="3" t="inlineStr">
        <is>
          <t>REM-0071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</row>
    <row r="76">
      <c r="A76" s="3" t="inlineStr">
        <is>
          <t>REM-0072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</row>
    <row r="77">
      <c r="A77" s="3" t="inlineStr">
        <is>
          <t>REM-0073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3" t="inlineStr">
        <is>
          <t>REM-0074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</row>
    <row r="79">
      <c r="A79" s="3" t="inlineStr">
        <is>
          <t>REM-0075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</row>
    <row r="80">
      <c r="A80" s="3" t="inlineStr">
        <is>
          <t>REM-0076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>
      <c r="A81" s="3" t="inlineStr">
        <is>
          <t>REM-0077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</row>
    <row r="82">
      <c r="A82" s="3" t="inlineStr">
        <is>
          <t>REM-0078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</row>
    <row r="83">
      <c r="A83" s="3" t="inlineStr">
        <is>
          <t>REM-0079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3" t="inlineStr">
        <is>
          <t>REM-0080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</row>
    <row r="85">
      <c r="A85" s="3" t="inlineStr">
        <is>
          <t>REM-0081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A86" s="3" t="inlineStr">
        <is>
          <t>REM-0082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</row>
    <row r="87">
      <c r="A87" s="3" t="inlineStr">
        <is>
          <t>REM-0083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3" t="inlineStr">
        <is>
          <t>REM-0084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3" t="inlineStr">
        <is>
          <t>REM-0085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  <row r="90">
      <c r="A90" s="3" t="inlineStr">
        <is>
          <t>REM-0086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</row>
    <row r="91">
      <c r="A91" s="3" t="inlineStr">
        <is>
          <t>REM-0087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</row>
    <row r="92">
      <c r="A92" s="3" t="inlineStr">
        <is>
          <t>REM-0088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</row>
    <row r="93">
      <c r="A93" s="3" t="inlineStr">
        <is>
          <t>REM-0089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4">
      <c r="A94" s="3" t="inlineStr">
        <is>
          <t>REM-0090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</row>
    <row r="95">
      <c r="A95" s="3" t="inlineStr">
        <is>
          <t>REM-0091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A96" s="3" t="inlineStr">
        <is>
          <t>REM-0092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</row>
    <row r="97">
      <c r="A97" s="3" t="inlineStr">
        <is>
          <t>REM-0093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A98" s="3" t="inlineStr">
        <is>
          <t>REM-0094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</row>
    <row r="99">
      <c r="A99" s="3" t="inlineStr">
        <is>
          <t>REM-0095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A100" s="3" t="inlineStr">
        <is>
          <t>REM-0096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</row>
    <row r="101">
      <c r="A101" s="3" t="inlineStr">
        <is>
          <t>REM-0097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A102" s="3" t="inlineStr">
        <is>
          <t>REM-0098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</row>
    <row r="103">
      <c r="A103" s="3" t="inlineStr">
        <is>
          <t>REM-0099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</row>
    <row r="104">
      <c r="A104" s="3" t="inlineStr">
        <is>
          <t>REM-0100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COMPLIANCE TREND ANALYSIS</t>
        </is>
      </c>
    </row>
    <row r="4">
      <c r="A4" s="5" t="inlineStr">
        <is>
          <t>Assessment Date</t>
        </is>
      </c>
      <c r="B4" s="5" t="inlineStr">
        <is>
          <t>A.8.1 Score</t>
        </is>
      </c>
      <c r="C4" s="5" t="inlineStr">
        <is>
          <t>A.8.7 Score</t>
        </is>
      </c>
      <c r="D4" s="5" t="inlineStr">
        <is>
          <t>A.8.18 Score</t>
        </is>
      </c>
      <c r="E4" s="5" t="inlineStr">
        <is>
          <t>A.8.19 Score</t>
        </is>
      </c>
      <c r="F4" s="5" t="inlineStr">
        <is>
          <t>Overall Score</t>
        </is>
      </c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</cols>
  <sheetData>
    <row r="1">
      <c r="A1" s="1" t="inlineStr">
        <is>
          <t>EVIDENCE REGISTER</t>
        </is>
      </c>
    </row>
    <row r="4">
      <c r="A4" s="5" t="inlineStr">
        <is>
          <t>Evidence ID</t>
        </is>
      </c>
      <c r="B4" s="5" t="inlineStr">
        <is>
          <t>Type</t>
        </is>
      </c>
      <c r="C4" s="5" t="inlineStr">
        <is>
          <t>Description</t>
        </is>
      </c>
      <c r="D4" s="5" t="inlineStr">
        <is>
          <t>Control</t>
        </is>
      </c>
      <c r="E4" s="5" t="inlineStr">
        <is>
          <t>Worksheet</t>
        </is>
      </c>
      <c r="F4" s="5" t="inlineStr">
        <is>
          <t>Location</t>
        </is>
      </c>
      <c r="G4" s="5" t="inlineStr">
        <is>
          <t>Date</t>
        </is>
      </c>
      <c r="H4" s="5" t="inlineStr">
        <is>
          <t>Collected By</t>
        </is>
      </c>
      <c r="I4" s="5" t="inlineStr">
        <is>
          <t>Status</t>
        </is>
      </c>
      <c r="J4" s="5" t="inlineStr">
        <is>
          <t>Notes</t>
        </is>
      </c>
    </row>
    <row r="5">
      <c r="A5" s="3" t="inlineStr">
        <is>
          <t>EVD-001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3" t="inlineStr">
        <is>
          <t>EVD-002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3" t="inlineStr">
        <is>
          <t>EVD-003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3" t="inlineStr">
        <is>
          <t>EVD-004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3" t="inlineStr">
        <is>
          <t>EVD-005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3" t="inlineStr">
        <is>
          <t>EVD-006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3" t="inlineStr">
        <is>
          <t>EVD-007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3" t="inlineStr">
        <is>
          <t>EVD-008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3" t="inlineStr">
        <is>
          <t>EVD-009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3" t="inlineStr">
        <is>
          <t>EVD-010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3" t="inlineStr">
        <is>
          <t>EVD-011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3" t="inlineStr">
        <is>
          <t>EVD-012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3" t="inlineStr">
        <is>
          <t>EVD-013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3" t="inlineStr">
        <is>
          <t>EVD-014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3" t="inlineStr">
        <is>
          <t>EVD-015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3" t="inlineStr">
        <is>
          <t>EVD-016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3" t="inlineStr">
        <is>
          <t>EVD-017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3" t="inlineStr">
        <is>
          <t>EVD-018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3" t="inlineStr">
        <is>
          <t>EVD-019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3" t="inlineStr">
        <is>
          <t>EVD-020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3" t="inlineStr">
        <is>
          <t>EVD-021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3" t="inlineStr">
        <is>
          <t>EVD-022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3" t="inlineStr">
        <is>
          <t>EVD-023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3" t="inlineStr">
        <is>
          <t>EVD-024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3" t="inlineStr">
        <is>
          <t>EVD-025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3" t="inlineStr">
        <is>
          <t>EVD-026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3" t="inlineStr">
        <is>
          <t>EVD-027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3" t="inlineStr">
        <is>
          <t>EVD-028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3" t="inlineStr">
        <is>
          <t>EVD-029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3" t="inlineStr">
        <is>
          <t>EVD-030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3" t="inlineStr">
        <is>
          <t>EVD-031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3" t="inlineStr">
        <is>
          <t>EVD-032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3" t="inlineStr">
        <is>
          <t>EVD-033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3" t="inlineStr">
        <is>
          <t>EVD-034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3" t="inlineStr">
        <is>
          <t>EVD-035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3" t="inlineStr">
        <is>
          <t>EVD-036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3" t="inlineStr">
        <is>
          <t>EVD-037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3" t="inlineStr">
        <is>
          <t>EVD-038</t>
        </is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3" t="inlineStr">
        <is>
          <t>EVD-039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3" t="inlineStr">
        <is>
          <t>EVD-040</t>
        </is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3" t="inlineStr">
        <is>
          <t>EVD-041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3" t="inlineStr">
        <is>
          <t>EVD-042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3" t="inlineStr">
        <is>
          <t>EVD-043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3" t="inlineStr">
        <is>
          <t>EVD-044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3" t="inlineStr">
        <is>
          <t>EVD-045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3" t="inlineStr">
        <is>
          <t>EVD-046</t>
        </is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3" t="inlineStr">
        <is>
          <t>EVD-047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3" t="inlineStr">
        <is>
          <t>EVD-048</t>
        </is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3" t="inlineStr">
        <is>
          <t>EVD-049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3" t="inlineStr">
        <is>
          <t>EVD-050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3" t="inlineStr">
        <is>
          <t>EVD-051</t>
        </is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3" t="inlineStr">
        <is>
          <t>EVD-052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3" t="inlineStr">
        <is>
          <t>EVD-053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3" t="inlineStr">
        <is>
          <t>EVD-054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3" t="inlineStr">
        <is>
          <t>EVD-055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3" t="inlineStr">
        <is>
          <t>EVD-056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3" t="inlineStr">
        <is>
          <t>EVD-057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3" t="inlineStr">
        <is>
          <t>EVD-058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3" t="inlineStr">
        <is>
          <t>EVD-059</t>
        </is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3" t="inlineStr">
        <is>
          <t>EVD-060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3" t="inlineStr">
        <is>
          <t>EVD-061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3" t="inlineStr">
        <is>
          <t>EVD-062</t>
        </is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3" t="inlineStr">
        <is>
          <t>EVD-063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3" t="inlineStr">
        <is>
          <t>EVD-064</t>
        </is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3" t="inlineStr">
        <is>
          <t>EVD-065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3" t="inlineStr">
        <is>
          <t>EVD-066</t>
        </is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3" t="inlineStr">
        <is>
          <t>EVD-067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3" t="inlineStr">
        <is>
          <t>EVD-068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3" t="inlineStr">
        <is>
          <t>EVD-069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3" t="inlineStr">
        <is>
          <t>EVD-070</t>
        </is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3" t="inlineStr">
        <is>
          <t>EVD-071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3" t="inlineStr">
        <is>
          <t>EVD-072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3" t="inlineStr">
        <is>
          <t>EVD-073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3" t="inlineStr">
        <is>
          <t>EVD-074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3" t="inlineStr">
        <is>
          <t>EVD-075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3" t="inlineStr">
        <is>
          <t>EVD-076</t>
        </is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3" t="inlineStr">
        <is>
          <t>EVD-077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3" t="inlineStr">
        <is>
          <t>EVD-078</t>
        </is>
      </c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3" t="inlineStr">
        <is>
          <t>EVD-079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3" t="inlineStr">
        <is>
          <t>EVD-080</t>
        </is>
      </c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3" t="inlineStr">
        <is>
          <t>EVD-081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3" t="inlineStr">
        <is>
          <t>EVD-082</t>
        </is>
      </c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3" t="inlineStr">
        <is>
          <t>EVD-083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3" t="inlineStr">
        <is>
          <t>EVD-084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3" t="inlineStr">
        <is>
          <t>EVD-085</t>
        </is>
      </c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3" t="inlineStr">
        <is>
          <t>EVD-086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3" t="inlineStr">
        <is>
          <t>EVD-087</t>
        </is>
      </c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3" t="inlineStr">
        <is>
          <t>EVD-088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3" t="inlineStr">
        <is>
          <t>EVD-089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3" t="inlineStr">
        <is>
          <t>EVD-090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3" t="inlineStr">
        <is>
          <t>EVD-091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3" t="inlineStr">
        <is>
          <t>EVD-092</t>
        </is>
      </c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3" t="inlineStr">
        <is>
          <t>EVD-093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3" t="inlineStr">
        <is>
          <t>EVD-094</t>
        </is>
      </c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3" t="inlineStr">
        <is>
          <t>EVD-095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3" t="inlineStr">
        <is>
          <t>EVD-096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3" t="inlineStr">
        <is>
          <t>EVD-097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3" t="inlineStr">
        <is>
          <t>EVD-098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3" t="inlineStr">
        <is>
          <t>EVD-099</t>
        </is>
      </c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3" t="inlineStr">
        <is>
          <t>EVD-100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APPROVAL &amp; SIGN-OFF</t>
        </is>
      </c>
    </row>
    <row r="4">
      <c r="A4" s="3" t="inlineStr">
        <is>
          <t>Overall Compliance Score:</t>
        </is>
      </c>
      <c r="B4">
        <f>Master_Compliance_Matrix!B58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2026-01-31T02:16:20Z</dcterms:created>
  <dcterms:modified xmlns:dcterms="http://purl.org/dc/terms/" xmlns:xsi="http://www.w3.org/2001/XMLSchema-instance" xsi:type="dcterms:W3CDTF">2026-01-31T02:16:20Z</dcterms:modified>
</cp:coreProperties>
</file>