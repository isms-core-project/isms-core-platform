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ntrol_Scores" sheetId="3" state="visible" r:id="rId3"/>
    <sheet xmlns:r="http://schemas.openxmlformats.org/officeDocument/2006/relationships" name="Critical_Gaps" sheetId="4" state="visible" r:id="rId4"/>
    <sheet xmlns:r="http://schemas.openxmlformats.org/officeDocument/2006/relationships" name="Remediation_Status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Evidenc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b val="1"/>
    </font>
    <font>
      <name val="Calibri"/>
      <b val="1"/>
      <sz val="18"/>
    </font>
    <font>
      <name val="Calibri"/>
      <b val="1"/>
      <sz val="11"/>
    </font>
    <font>
      <b val="1"/>
      <color rgb="00C00000"/>
      <sz val="14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EXECUTIVE DASHBOARD - ENDPOINT SECURITY</t>
        </is>
      </c>
    </row>
    <row r="2">
      <c r="A2" s="2" t="inlineStr">
        <is>
          <t>Consolidated Metrics: A.8.1, A.8.7, A.8.18, A.8.19</t>
        </is>
      </c>
    </row>
    <row r="4">
      <c r="A4" s="3" t="inlineStr">
        <is>
          <t>Document ID:</t>
        </is>
      </c>
      <c r="B4" t="inlineStr">
        <is>
          <t>ISMS-IMP-A.8.1-7-18-19.S6</t>
        </is>
      </c>
    </row>
    <row r="5">
      <c r="A5" s="3" t="inlineStr">
        <is>
          <t>Workbook:</t>
        </is>
      </c>
      <c r="B5" t="inlineStr">
        <is>
          <t>Executive Dashboard</t>
        </is>
      </c>
    </row>
    <row r="6">
      <c r="A6" s="3" t="inlineStr">
        <is>
          <t>Generated:</t>
        </is>
      </c>
      <c r="B6" t="inlineStr">
        <is>
          <t>31.01.2026 03:16</t>
        </is>
      </c>
    </row>
    <row r="9">
      <c r="A9" s="2" t="inlineStr">
        <is>
          <t>⚠ PREREQUISITES</t>
        </is>
      </c>
    </row>
    <row r="10">
      <c r="A10" t="inlineStr">
        <is>
          <t>1. Run normalize_a81-7-18-19_assessments.py FIRST</t>
        </is>
      </c>
    </row>
    <row r="11">
      <c r="A11" t="inlineStr">
        <is>
          <t>2. Ensure normalized workbooks exist:</t>
        </is>
      </c>
    </row>
    <row r="12">
      <c r="A12" t="inlineStr">
        <is>
          <t xml:space="preserve">   • ISMS-IMP-A.8.1-7-18-19.S1.xlsx</t>
        </is>
      </c>
    </row>
    <row r="13">
      <c r="A13" t="inlineStr">
        <is>
          <t xml:space="preserve">   • ISMS-IMP-A.8.1-7-18-19.S2.xlsx</t>
        </is>
      </c>
    </row>
    <row r="14">
      <c r="A14" t="inlineStr">
        <is>
          <t xml:space="preserve">   • ISMS-IMP-A.8.1-7-18-19.S3.xlsx</t>
        </is>
      </c>
    </row>
    <row r="15">
      <c r="A15" t="inlineStr">
        <is>
          <t xml:space="preserve">   • ISMS-IMP-A.8.1-7-18-19.S4.xlsx</t>
        </is>
      </c>
    </row>
    <row r="16">
      <c r="A16" t="inlineStr">
        <is>
          <t xml:space="preserve">   • ISMS-IMP-A.8.1-7-18-19.S5.xlsx</t>
        </is>
      </c>
    </row>
    <row r="17">
      <c r="A17" t="inlineStr">
        <is>
          <t>3. This dashboard links to those workbooks</t>
        </is>
      </c>
    </row>
  </sheetData>
  <mergeCells count="11">
    <mergeCell ref="A2:F2"/>
    <mergeCell ref="A11:F11"/>
    <mergeCell ref="A16:F16"/>
    <mergeCell ref="A10:F10"/>
    <mergeCell ref="A13:F13"/>
    <mergeCell ref="A14:F14"/>
    <mergeCell ref="A1:F1"/>
    <mergeCell ref="A9:F9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EXECUTIVE SUMMARY - ENDPOINT SECURITY POSTURE</t>
        </is>
      </c>
    </row>
    <row r="2">
      <c r="A2" s="2" t="inlineStr">
        <is>
          <t>Assessment Date: January 31, 2026</t>
        </is>
      </c>
    </row>
    <row r="4">
      <c r="A4" s="2" t="inlineStr">
        <is>
          <t>🎯 OVERALL ENDPOINT SECURITY SCORE</t>
        </is>
      </c>
    </row>
    <row r="5" ht="40" customHeight="1">
      <c r="A5" s="4">
        <f>[ISMS-IMP-A.8.1-7-18-19.S5.xlsx]Master_Compliance_Matrix!B58</f>
        <v/>
      </c>
    </row>
    <row r="7">
      <c r="A7" s="2" t="inlineStr">
        <is>
          <t>📊 CONTROL SCORES</t>
        </is>
      </c>
    </row>
    <row r="8">
      <c r="A8" s="5" t="inlineStr">
        <is>
          <t>A.8.1 User Endpoint Devices</t>
        </is>
      </c>
      <c r="B8" s="4">
        <f>[ISMS-IMP-A.8.1-7-18-19.S1.xlsx]Baseline_Compliance!B58</f>
        <v/>
      </c>
    </row>
    <row r="9">
      <c r="A9" s="5" t="inlineStr">
        <is>
          <t>A.8.7 Protection Against Malware</t>
        </is>
      </c>
      <c r="B9" s="4">
        <f>[ISMS-IMP-A.8.1-7-18-19.S2.xlsx]Coverage_Analysis!B59</f>
        <v/>
      </c>
    </row>
    <row r="10">
      <c r="A10" s="5" t="inlineStr">
        <is>
          <t>A.8.18 Use of Privileged Utilities</t>
        </is>
      </c>
      <c r="B10" s="4">
        <f>[ISMS-IMP-A.8.1-7-18-19.S4.xlsx]Access_Controls!B58</f>
        <v/>
      </c>
    </row>
    <row r="11">
      <c r="A11" s="5" t="inlineStr">
        <is>
          <t>A.8.19 Installation of Software</t>
        </is>
      </c>
      <c r="B11" s="4">
        <f>[ISMS-IMP-A.8.1-7-18-19.S3.xlsx]Application_Control!B58</f>
        <v/>
      </c>
    </row>
    <row r="13">
      <c r="A13" s="2" t="inlineStr">
        <is>
          <t>🔴 CRITICAL METRICS</t>
        </is>
      </c>
    </row>
    <row r="14">
      <c r="A14" s="5" t="inlineStr">
        <is>
          <t>Unprotected Endpoints</t>
        </is>
      </c>
      <c r="B14" s="6">
        <f>[ISMS-IMP-A.8.1-7-18-19.S2.xlsx]Coverage_Analysis!B60</f>
        <v/>
      </c>
    </row>
    <row r="15">
      <c r="A15" s="5" t="inlineStr">
        <is>
          <t>Unauthorized Software Detections</t>
        </is>
      </c>
      <c r="B15" s="6">
        <f>[ISMS-IMP-A.8.1-7-18-19.S3.xlsx]Unauthorized_Software!B107</f>
        <v/>
      </c>
    </row>
    <row r="16">
      <c r="A16" s="5" t="inlineStr">
        <is>
          <t>Critical Gaps</t>
        </is>
      </c>
      <c r="B16" s="6">
        <f>[ISMS-IMP-A.8.1-7-18-19.S5.xlsx]Master_Compliance_Matrix!B59</f>
        <v/>
      </c>
    </row>
  </sheetData>
  <mergeCells count="6">
    <mergeCell ref="A4:B4"/>
    <mergeCell ref="A2:F2"/>
    <mergeCell ref="A13:F13"/>
    <mergeCell ref="A1:F1"/>
    <mergeCell ref="A5:B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CONTROL SCORES DETAIL</t>
        </is>
      </c>
    </row>
    <row r="4">
      <c r="A4" s="7" t="inlineStr">
        <is>
          <t>Control</t>
        </is>
      </c>
      <c r="B4" s="7" t="inlineStr">
        <is>
          <t>Score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Gap</t>
        </is>
      </c>
      <c r="F4" s="7" t="inlineStr">
        <is>
          <t>Priority</t>
        </is>
      </c>
    </row>
    <row r="5">
      <c r="A5" t="inlineStr">
        <is>
          <t>A.8.1 User Endpoint Devices</t>
        </is>
      </c>
      <c r="B5">
        <f>[ISMS-IMP-A.8.1-7-18-19.S1.xlsx]Baseline_Compliance!B58</f>
        <v/>
      </c>
      <c r="C5" t="inlineStr">
        <is>
          <t>95%</t>
        </is>
      </c>
      <c r="D5">
        <f>IF(B5&gt;=C5,"✅ Met","❌ Below Target")</f>
        <v/>
      </c>
      <c r="E5">
        <f>C5-B5</f>
        <v/>
      </c>
      <c r="F5">
        <f>IF(E5&gt;10,"🔴 High","🟢 Low")</f>
        <v/>
      </c>
    </row>
    <row r="6">
      <c r="A6" t="inlineStr">
        <is>
          <t>A.8.7 Protection Against Malware</t>
        </is>
      </c>
      <c r="B6">
        <f>[ISMS-IMP-A.8.1-7-18-19.S2.xlsx]Coverage_Analysis!B59</f>
        <v/>
      </c>
      <c r="C6" t="inlineStr">
        <is>
          <t>98%</t>
        </is>
      </c>
      <c r="D6">
        <f>IF(B6&gt;=C6,"✅ Met","❌ Below Target")</f>
        <v/>
      </c>
      <c r="E6">
        <f>C6-B6</f>
        <v/>
      </c>
      <c r="F6">
        <f>IF(E6&gt;10,"🔴 High","🟢 Low")</f>
        <v/>
      </c>
    </row>
    <row r="7">
      <c r="A7" t="inlineStr">
        <is>
          <t>A.8.18 Use of Privileged Utilities</t>
        </is>
      </c>
      <c r="B7">
        <f>[ISMS-IMP-A.8.1-7-18-19.S4.xlsx]Access_Controls!B58</f>
        <v/>
      </c>
      <c r="C7" t="inlineStr">
        <is>
          <t>90%</t>
        </is>
      </c>
      <c r="D7">
        <f>IF(B7&gt;=C7,"✅ Met","❌ Below Target")</f>
        <v/>
      </c>
      <c r="E7">
        <f>C7-B7</f>
        <v/>
      </c>
      <c r="F7">
        <f>IF(E7&gt;10,"🔴 High","🟢 Low")</f>
        <v/>
      </c>
    </row>
    <row r="8">
      <c r="A8" t="inlineStr">
        <is>
          <t>A.8.19 Installation of Software</t>
        </is>
      </c>
      <c r="B8">
        <f>[ISMS-IMP-A.8.1-7-18-19.S3.xlsx]Application_Control!B58</f>
        <v/>
      </c>
      <c r="C8" t="inlineStr">
        <is>
          <t>90%</t>
        </is>
      </c>
      <c r="D8">
        <f>IF(B8&gt;=C8,"✅ Met","❌ Below Target")</f>
        <v/>
      </c>
      <c r="E8">
        <f>C8-B8</f>
        <v/>
      </c>
      <c r="F8">
        <f>IF(E8&gt;10,"🔴 High","🟢 Low")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CRITICAL GAPS REQUIRING IMMEDIATE ATTENTION</t>
        </is>
      </c>
    </row>
    <row r="4">
      <c r="A4" s="7" t="inlineStr">
        <is>
          <t>Gap ID</t>
        </is>
      </c>
      <c r="B4" s="7" t="inlineStr">
        <is>
          <t>Control</t>
        </is>
      </c>
      <c r="C4" s="7" t="inlineStr">
        <is>
          <t>Description</t>
        </is>
      </c>
      <c r="D4" s="7" t="inlineStr">
        <is>
          <t>Affected Count</t>
        </is>
      </c>
      <c r="E4" s="7" t="inlineStr">
        <is>
          <t>Risk</t>
        </is>
      </c>
      <c r="F4" s="7" t="inlineStr">
        <is>
          <t>Due Date</t>
        </is>
      </c>
    </row>
    <row r="5">
      <c r="A5" t="inlineStr">
        <is>
          <t>GAP-001</t>
        </is>
      </c>
      <c r="B5" s="8" t="n"/>
      <c r="C5" s="8" t="n"/>
      <c r="D5" s="8" t="n"/>
      <c r="E5" s="8" t="n"/>
      <c r="F5" s="8" t="n"/>
    </row>
    <row r="6">
      <c r="A6" t="inlineStr">
        <is>
          <t>GAP-002</t>
        </is>
      </c>
      <c r="B6" s="8" t="n"/>
      <c r="C6" s="8" t="n"/>
      <c r="D6" s="8" t="n"/>
      <c r="E6" s="8" t="n"/>
      <c r="F6" s="8" t="n"/>
    </row>
    <row r="7">
      <c r="A7" t="inlineStr">
        <is>
          <t>GAP-003</t>
        </is>
      </c>
      <c r="B7" s="8" t="n"/>
      <c r="C7" s="8" t="n"/>
      <c r="D7" s="8" t="n"/>
      <c r="E7" s="8" t="n"/>
      <c r="F7" s="8" t="n"/>
    </row>
    <row r="8">
      <c r="A8" t="inlineStr">
        <is>
          <t>GAP-004</t>
        </is>
      </c>
      <c r="B8" s="8" t="n"/>
      <c r="C8" s="8" t="n"/>
      <c r="D8" s="8" t="n"/>
      <c r="E8" s="8" t="n"/>
      <c r="F8" s="8" t="n"/>
    </row>
    <row r="9">
      <c r="A9" t="inlineStr">
        <is>
          <t>GAP-005</t>
        </is>
      </c>
      <c r="B9" s="8" t="n"/>
      <c r="C9" s="8" t="n"/>
      <c r="D9" s="8" t="n"/>
      <c r="E9" s="8" t="n"/>
      <c r="F9" s="8" t="n"/>
    </row>
    <row r="10">
      <c r="A10" t="inlineStr">
        <is>
          <t>GAP-006</t>
        </is>
      </c>
      <c r="B10" s="8" t="n"/>
      <c r="C10" s="8" t="n"/>
      <c r="D10" s="8" t="n"/>
      <c r="E10" s="8" t="n"/>
      <c r="F10" s="8" t="n"/>
    </row>
    <row r="11">
      <c r="A11" t="inlineStr">
        <is>
          <t>GAP-007</t>
        </is>
      </c>
      <c r="B11" s="8" t="n"/>
      <c r="C11" s="8" t="n"/>
      <c r="D11" s="8" t="n"/>
      <c r="E11" s="8" t="n"/>
      <c r="F11" s="8" t="n"/>
    </row>
    <row r="12">
      <c r="A12" t="inlineStr">
        <is>
          <t>GAP-008</t>
        </is>
      </c>
      <c r="B12" s="8" t="n"/>
      <c r="C12" s="8" t="n"/>
      <c r="D12" s="8" t="n"/>
      <c r="E12" s="8" t="n"/>
      <c r="F12" s="8" t="n"/>
    </row>
    <row r="13">
      <c r="A13" t="inlineStr">
        <is>
          <t>GAP-009</t>
        </is>
      </c>
      <c r="B13" s="8" t="n"/>
      <c r="C13" s="8" t="n"/>
      <c r="D13" s="8" t="n"/>
      <c r="E13" s="8" t="n"/>
      <c r="F13" s="8" t="n"/>
    </row>
    <row r="14">
      <c r="A14" t="inlineStr">
        <is>
          <t>GAP-010</t>
        </is>
      </c>
      <c r="B14" s="8" t="n"/>
      <c r="C14" s="8" t="n"/>
      <c r="D14" s="8" t="n"/>
      <c r="E14" s="8" t="n"/>
      <c r="F14" s="8" t="n"/>
    </row>
    <row r="15">
      <c r="A15" t="inlineStr">
        <is>
          <t>GAP-011</t>
        </is>
      </c>
      <c r="B15" s="8" t="n"/>
      <c r="C15" s="8" t="n"/>
      <c r="D15" s="8" t="n"/>
      <c r="E15" s="8" t="n"/>
      <c r="F15" s="8" t="n"/>
    </row>
    <row r="16">
      <c r="A16" t="inlineStr">
        <is>
          <t>GAP-012</t>
        </is>
      </c>
      <c r="B16" s="8" t="n"/>
      <c r="C16" s="8" t="n"/>
      <c r="D16" s="8" t="n"/>
      <c r="E16" s="8" t="n"/>
      <c r="F16" s="8" t="n"/>
    </row>
    <row r="17">
      <c r="A17" t="inlineStr">
        <is>
          <t>GAP-013</t>
        </is>
      </c>
      <c r="B17" s="8" t="n"/>
      <c r="C17" s="8" t="n"/>
      <c r="D17" s="8" t="n"/>
      <c r="E17" s="8" t="n"/>
      <c r="F17" s="8" t="n"/>
    </row>
    <row r="18">
      <c r="A18" t="inlineStr">
        <is>
          <t>GAP-014</t>
        </is>
      </c>
      <c r="B18" s="8" t="n"/>
      <c r="C18" s="8" t="n"/>
      <c r="D18" s="8" t="n"/>
      <c r="E18" s="8" t="n"/>
      <c r="F18" s="8" t="n"/>
    </row>
    <row r="19">
      <c r="A19" t="inlineStr">
        <is>
          <t>GAP-015</t>
        </is>
      </c>
      <c r="B19" s="8" t="n"/>
      <c r="C19" s="8" t="n"/>
      <c r="D19" s="8" t="n"/>
      <c r="E19" s="8" t="n"/>
      <c r="F19" s="8" t="n"/>
    </row>
    <row r="20">
      <c r="A20" t="inlineStr">
        <is>
          <t>GAP-016</t>
        </is>
      </c>
      <c r="B20" s="8" t="n"/>
      <c r="C20" s="8" t="n"/>
      <c r="D20" s="8" t="n"/>
      <c r="E20" s="8" t="n"/>
      <c r="F20" s="8" t="n"/>
    </row>
    <row r="21">
      <c r="A21" t="inlineStr">
        <is>
          <t>GAP-017</t>
        </is>
      </c>
      <c r="B21" s="8" t="n"/>
      <c r="C21" s="8" t="n"/>
      <c r="D21" s="8" t="n"/>
      <c r="E21" s="8" t="n"/>
      <c r="F21" s="8" t="n"/>
    </row>
    <row r="22">
      <c r="A22" t="inlineStr">
        <is>
          <t>GAP-018</t>
        </is>
      </c>
      <c r="B22" s="8" t="n"/>
      <c r="C22" s="8" t="n"/>
      <c r="D22" s="8" t="n"/>
      <c r="E22" s="8" t="n"/>
      <c r="F22" s="8" t="n"/>
    </row>
    <row r="23">
      <c r="A23" t="inlineStr">
        <is>
          <t>GAP-019</t>
        </is>
      </c>
      <c r="B23" s="8" t="n"/>
      <c r="C23" s="8" t="n"/>
      <c r="D23" s="8" t="n"/>
      <c r="E23" s="8" t="n"/>
      <c r="F23" s="8" t="n"/>
    </row>
    <row r="24">
      <c r="A24" t="inlineStr">
        <is>
          <t>GAP-020</t>
        </is>
      </c>
      <c r="B24" s="8" t="n"/>
      <c r="C24" s="8" t="n"/>
      <c r="D24" s="8" t="n"/>
      <c r="E24" s="8" t="n"/>
      <c r="F24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REMEDIATION STATUS &amp; PROGRESS</t>
        </is>
      </c>
    </row>
    <row r="4">
      <c r="A4" s="3" t="inlineStr">
        <is>
          <t>Total Gaps Identified:</t>
        </is>
      </c>
      <c r="B4">
        <f>[ISMS-IMP-A.8.1-7-18-19.S5.xlsx]Remediation_Tracking!B107</f>
        <v/>
      </c>
    </row>
    <row r="5">
      <c r="A5" t="inlineStr">
        <is>
          <t>Gaps Closed:</t>
        </is>
      </c>
      <c r="B5">
        <f>[ISMS-IMP-A.8.1-7-18-19.S5.xlsx]Remediation_Tracking!B108</f>
        <v/>
      </c>
    </row>
    <row r="6">
      <c r="A6" t="inlineStr">
        <is>
          <t>Closure Rate:</t>
        </is>
      </c>
      <c r="B6" s="9">
        <f>IF(B4&gt;0,B5/B4*100,0)&amp;"%"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TREND ANALYSIS</t>
        </is>
      </c>
    </row>
    <row r="4">
      <c r="A4" s="3" t="inlineStr">
        <is>
          <t>Month</t>
        </is>
      </c>
      <c r="B4" s="3" t="inlineStr">
        <is>
          <t>Overall Score</t>
        </is>
      </c>
      <c r="C4" s="3" t="inlineStr">
        <is>
          <t>A.8.1</t>
        </is>
      </c>
      <c r="D4" s="3" t="inlineStr">
        <is>
          <t>A.8.7</t>
        </is>
      </c>
      <c r="E4" s="3" t="inlineStr">
        <is>
          <t>A.8.18</t>
        </is>
      </c>
      <c r="F4" s="3" t="inlineStr">
        <is>
          <t>A.8.19</t>
        </is>
      </c>
    </row>
    <row r="5">
      <c r="A5">
        <f>[ISMS-IMP-A.8.1-7-18-19.S5.xlsx]Trend_Analysis!A5</f>
        <v/>
      </c>
      <c r="B5">
        <f>[ISMS-IMP-A.8.1-7-18-19.S5.xlsx]Trend_Analysis!F5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EVIDENCE COLLECTION SUMMARY</t>
        </is>
      </c>
    </row>
    <row r="4">
      <c r="A4" s="3" t="inlineStr">
        <is>
          <t>A.8.1 Evidence Entries</t>
        </is>
      </c>
      <c r="B4">
        <f>[ISMS-IMP-A.8.1-7-18-19.S1.xlsx]Evidence_Register!B107</f>
        <v/>
      </c>
    </row>
    <row r="5">
      <c r="A5" s="3" t="inlineStr">
        <is>
          <t>A.8.7 Evidence Entries</t>
        </is>
      </c>
      <c r="B5">
        <f>[ISMS-IMP-A.8.1-7-18-19.S2.xlsx]Evidence_Register!B107</f>
        <v/>
      </c>
    </row>
    <row r="6">
      <c r="A6" s="3" t="inlineStr">
        <is>
          <t>A.8.18 Evidence Entries</t>
        </is>
      </c>
      <c r="B6">
        <f>[ISMS-IMP-A.8.1-7-18-19.S4.xlsx]Evidence_Register!B107</f>
        <v/>
      </c>
    </row>
    <row r="7">
      <c r="A7" s="3" t="inlineStr">
        <is>
          <t>A.8.19 Evidence Entries</t>
        </is>
      </c>
      <c r="B7">
        <f>[ISMS-IMP-A.8.1-7-18-19.S3.xlsx]Evidence_Register!B107</f>
        <v/>
      </c>
    </row>
    <row r="9">
      <c r="A9" s="10" t="inlineStr">
        <is>
          <t>Total Evidence Collected:</t>
        </is>
      </c>
      <c r="B9" s="10">
        <f>SUM(B4:B7)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2026-01-31T02:16:20Z</dcterms:created>
  <dcterms:modified xmlns:dcterms="http://purl.org/dc/terms/" xmlns:xsi="http://www.w3.org/2001/XMLSchema-instance" xsi:type="dcterms:W3CDTF">2026-01-31T02:16:20Z</dcterms:modified>
</cp:coreProperties>
</file>