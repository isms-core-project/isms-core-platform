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pproved_Software" sheetId="2" state="visible" r:id="rId2"/>
    <sheet xmlns:r="http://schemas.openxmlformats.org/officeDocument/2006/relationships" name="Software_Inventory" sheetId="3" state="visible" r:id="rId3"/>
    <sheet xmlns:r="http://schemas.openxmlformats.org/officeDocument/2006/relationships" name="Unauthorized_Software" sheetId="4" state="visible" r:id="rId4"/>
    <sheet xmlns:r="http://schemas.openxmlformats.org/officeDocument/2006/relationships" name="Application_Control" sheetId="5" state="visible" r:id="rId5"/>
    <sheet xmlns:r="http://schemas.openxmlformats.org/officeDocument/2006/relationships" name="Change_Control" sheetId="6" state="visible" r:id="rId6"/>
    <sheet xmlns:r="http://schemas.openxmlformats.org/officeDocument/2006/relationships" name="Vulnerability_Management" sheetId="7" state="visible" r:id="rId7"/>
    <sheet xmlns:r="http://schemas.openxmlformats.org/officeDocument/2006/relationships" name="Licensing_Compliance" sheetId="8" state="visible" r:id="rId8"/>
    <sheet xmlns:r="http://schemas.openxmlformats.org/officeDocument/2006/relationships" name="Capability_Requirements" sheetId="9" state="visible" r:id="rId9"/>
    <sheet xmlns:r="http://schemas.openxmlformats.org/officeDocument/2006/relationships" name="Evidence_Register" sheetId="10" state="visible" r:id="rId10"/>
    <sheet xmlns:r="http://schemas.openxmlformats.org/officeDocument/2006/relationships" name="Gap_Analysis" sheetId="11" state="visible" r:id="rId11"/>
    <sheet xmlns:r="http://schemas.openxmlformats.org/officeDocument/2006/relationships" name="Approval_Sign_Off" sheetId="12" state="visible" r:id="rId1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4"/>
    </font>
    <font>
      <name val="Calibri"/>
      <b val="1"/>
      <color rgb="00FFFFFF"/>
      <sz val="11"/>
    </font>
    <font>
      <b val="1"/>
    </font>
    <font>
      <name val="Calibri"/>
      <b val="1"/>
      <sz val="10"/>
    </font>
    <font>
      <name val="Calibri"/>
      <b val="1"/>
      <color rgb="00FFFFFF"/>
      <sz val="10"/>
    </font>
    <font>
      <b val="1"/>
      <sz val="11"/>
    </font>
  </fonts>
  <fills count="11">
    <fill>
      <patternFill/>
    </fill>
    <fill>
      <patternFill patternType="gray125"/>
    </fill>
    <fill>
      <patternFill patternType="solid">
        <fgColor rgb="005B9BD5"/>
        <bgColor rgb="005B9BD5"/>
      </patternFill>
    </fill>
    <fill>
      <patternFill patternType="solid">
        <fgColor rgb="0070AD47"/>
        <bgColor rgb="0070AD47"/>
      </patternFill>
    </fill>
    <fill>
      <patternFill patternType="solid">
        <fgColor rgb="00D9D9D9"/>
        <bgColor rgb="00D9D9D9"/>
      </patternFill>
    </fill>
    <fill>
      <patternFill patternType="solid">
        <fgColor rgb="00C6EFCE"/>
        <bgColor rgb="00C6EFCE"/>
      </patternFill>
    </fill>
    <fill>
      <patternFill patternType="solid">
        <fgColor rgb="00FFFFCC"/>
        <bgColor rgb="00FFFFCC"/>
      </patternFill>
    </fill>
    <fill>
      <patternFill patternType="solid">
        <fgColor rgb="00FFC7CE"/>
        <bgColor rgb="00FFC7CE"/>
      </patternFill>
    </fill>
    <fill>
      <patternFill patternType="solid">
        <fgColor rgb="00C00000"/>
        <bgColor rgb="00C00000"/>
      </patternFill>
    </fill>
    <fill>
      <patternFill patternType="solid">
        <fgColor rgb="00FF6666"/>
        <bgColor rgb="00FF6666"/>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pivotButton="0" quotePrefix="0" xfId="0"/>
    <xf numFmtId="0" fontId="0" fillId="0" borderId="0" applyAlignment="1" pivotButton="0" quotePrefix="0" xfId="0">
      <alignment horizontal="left" vertical="top" wrapText="1"/>
    </xf>
    <xf numFmtId="0" fontId="4" fillId="4" borderId="1" applyAlignment="1" pivotButton="0" quotePrefix="0" xfId="0">
      <alignment horizontal="center" vertical="center" wrapText="1"/>
    </xf>
    <xf numFmtId="0" fontId="0" fillId="0" borderId="1" pivotButton="0" quotePrefix="0" xfId="0"/>
    <xf numFmtId="0" fontId="0" fillId="5" borderId="1" pivotButton="0" quotePrefix="0" xfId="0"/>
    <xf numFmtId="0" fontId="0" fillId="6" borderId="1" pivotButton="0" quotePrefix="0" xfId="0"/>
    <xf numFmtId="0" fontId="0" fillId="7" borderId="1" pivotButton="0" quotePrefix="0" xfId="0"/>
    <xf numFmtId="0" fontId="5" fillId="8" borderId="1" pivotButton="0" quotePrefix="0" xfId="0"/>
    <xf numFmtId="0" fontId="0" fillId="9" borderId="1" pivotButton="0" quotePrefix="0" xfId="0"/>
    <xf numFmtId="0" fontId="3" fillId="0" borderId="1" pivotButton="0" quotePrefix="0" xfId="0"/>
    <xf numFmtId="0" fontId="0" fillId="10" borderId="1" applyAlignment="1" pivotButton="0" quotePrefix="0" xfId="0">
      <alignment horizontal="left" vertical="center" wrapText="1"/>
    </xf>
    <xf numFmtId="0" fontId="6" fillId="0" borderId="0" pivotButton="0" quotePrefix="0" xfId="0"/>
    <xf numFmtId="0" fontId="0"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35" customWidth="1" min="1" max="1"/>
    <col width="60" customWidth="1" min="2" max="2"/>
  </cols>
  <sheetData>
    <row r="1" ht="40" customHeight="1">
      <c r="A1" s="1" t="inlineStr">
        <is>
          <t>ISMS-IMP-A.8.1-7-18-19.3
ISO/IEC 27001:2022 - Controls A.8.1, A.8.7, A.8.18, A.8.19: Endpoint Security</t>
        </is>
      </c>
    </row>
    <row r="2">
      <c r="A2" s="2" t="inlineStr">
        <is>
          <t>ISO/IEC 27001:2022 - Control A.8.19 (Installation of Software on Operational Systems)</t>
        </is>
      </c>
    </row>
    <row r="4">
      <c r="A4" s="3" t="inlineStr">
        <is>
          <t>Document ID:</t>
        </is>
      </c>
      <c r="B4" t="inlineStr">
        <is>
          <t>ISMS-IMP-A.8.1-7-18-19.S3</t>
        </is>
      </c>
    </row>
    <row r="5">
      <c r="A5" s="3" t="inlineStr">
        <is>
          <t>Workbook:</t>
        </is>
      </c>
      <c r="B5" t="inlineStr">
        <is>
          <t>Software Controls Assessment</t>
        </is>
      </c>
    </row>
    <row r="6">
      <c r="A6" s="3" t="inlineStr">
        <is>
          <t>Version:</t>
        </is>
      </c>
      <c r="B6" t="inlineStr">
        <is>
          <t>1.0</t>
        </is>
      </c>
    </row>
    <row r="7">
      <c r="A7" s="3" t="inlineStr">
        <is>
          <t>Generated:</t>
        </is>
      </c>
      <c r="B7" t="inlineStr">
        <is>
          <t>31.01.2026 03:16</t>
        </is>
      </c>
    </row>
    <row r="8">
      <c r="A8" s="3" t="inlineStr">
        <is>
          <t>Assessment Period:</t>
        </is>
      </c>
      <c r="B8" t="inlineStr">
        <is>
          <t>[To be completed by assessor]</t>
        </is>
      </c>
    </row>
    <row r="9">
      <c r="A9" s="3" t="inlineStr">
        <is>
          <t>Assessor:</t>
        </is>
      </c>
      <c r="B9" t="inlineStr">
        <is>
          <t>[Name]</t>
        </is>
      </c>
    </row>
    <row r="11">
      <c r="A11" s="2" t="inlineStr">
        <is>
          <t>📋 PURPOSE</t>
        </is>
      </c>
    </row>
    <row r="12" ht="110" customHeight="1">
      <c r="A12" s="4" t="inlineStr">
        <is>
          <t>This workbook provides comprehensive assessment of software installation controls and application management for compliance with ISO/IEC 27001:2022 Control A.8.19.
The assessment evaluates:
• Approved software list (master catalog of authorized software)
• Software approval process and governance
• Unauthorized software detection and remediation
• Application control deployment (AppLocker, WDAC, whitelisting)
• Change control integration for software installations
• Software vulnerability management and patching
• License compliance and cost management</t>
        </is>
      </c>
    </row>
    <row r="13"/>
    <row r="14"/>
    <row r="15"/>
    <row r="16"/>
    <row r="17"/>
    <row r="18"/>
    <row r="20">
      <c r="A20" s="2" t="inlineStr">
        <is>
          <t>🎨 STATUS LEGEND</t>
        </is>
      </c>
    </row>
    <row r="21">
      <c r="A21" s="5" t="inlineStr">
        <is>
          <t>Status/Severity</t>
        </is>
      </c>
      <c r="B21" s="5" t="inlineStr">
        <is>
          <t>Meaning</t>
        </is>
      </c>
      <c r="C21" s="5" t="inlineStr">
        <is>
          <t>Color</t>
        </is>
      </c>
    </row>
    <row r="22">
      <c r="A22" s="6" t="inlineStr">
        <is>
          <t>{CHECK} Approved / Compliant</t>
        </is>
      </c>
      <c r="B22" s="6" t="inlineStr">
        <is>
          <t>Software approved for use, license compliant</t>
        </is>
      </c>
      <c r="C22" s="7" t="inlineStr">
        <is>
          <t>█████</t>
        </is>
      </c>
    </row>
    <row r="23">
      <c r="A23" s="6" t="inlineStr">
        <is>
          <t>⏳ Pending Approval</t>
        </is>
      </c>
      <c r="B23" s="6" t="inlineStr">
        <is>
          <t>Approval request submitted, pending review</t>
        </is>
      </c>
      <c r="C23" s="8" t="inlineStr">
        <is>
          <t>█████</t>
        </is>
      </c>
    </row>
    <row r="24">
      <c r="A24" s="6" t="inlineStr">
        <is>
          <t>{XMARK} Unauthorized / Rejected</t>
        </is>
      </c>
      <c r="B24" s="6" t="inlineStr">
        <is>
          <t>Software not approved or explicitly rejected</t>
        </is>
      </c>
      <c r="C24" s="9" t="inlineStr">
        <is>
          <t>█████</t>
        </is>
      </c>
    </row>
    <row r="25">
      <c r="A25" s="6" t="inlineStr">
        <is>
          <t>🔴 Critical Severity</t>
        </is>
      </c>
      <c r="B25" s="6" t="inlineStr">
        <is>
          <t>Critical gap requiring immediate remediation (7 days)</t>
        </is>
      </c>
      <c r="C25" s="10" t="inlineStr">
        <is>
          <t>█████</t>
        </is>
      </c>
    </row>
    <row r="26">
      <c r="A26" s="6" t="inlineStr">
        <is>
          <t>🟠 High Severity</t>
        </is>
      </c>
      <c r="B26" s="6" t="inlineStr">
        <is>
          <t>High-priority gap requiring remediation (30 days)</t>
        </is>
      </c>
      <c r="C26" s="11" t="inlineStr">
        <is>
          <t>█████</t>
        </is>
      </c>
    </row>
    <row r="27">
      <c r="A27" s="6" t="inlineStr">
        <is>
          <t>🟡 Medium Severity</t>
        </is>
      </c>
      <c r="B27" s="6" t="inlineStr">
        <is>
          <t>Medium-priority gap (60 days)</t>
        </is>
      </c>
      <c r="C27" s="8" t="inlineStr">
        <is>
          <t>█████</t>
        </is>
      </c>
    </row>
    <row r="28">
      <c r="A28" s="6" t="inlineStr">
        <is>
          <t>🟢 Low Severity</t>
        </is>
      </c>
      <c r="B28" s="6" t="inlineStr">
        <is>
          <t>Low-priority gap (90 days)</t>
        </is>
      </c>
      <c r="C28" s="7" t="inlineStr">
        <is>
          <t>█████</t>
        </is>
      </c>
    </row>
    <row r="30">
      <c r="A30" s="2" t="inlineStr">
        <is>
          <t>🎯 TARGET METRICS (per POL-S5)</t>
        </is>
      </c>
    </row>
    <row r="31">
      <c r="A31" s="5" t="inlineStr">
        <is>
          <t>Metric</t>
        </is>
      </c>
      <c r="B31" s="5" t="inlineStr">
        <is>
          <t>Target</t>
        </is>
      </c>
    </row>
    <row r="32">
      <c r="A32" s="12" t="inlineStr">
        <is>
          <t>Approved Software List Maintained</t>
        </is>
      </c>
      <c r="B32" s="6" t="inlineStr">
        <is>
          <t>Yes (Annual Review)</t>
        </is>
      </c>
    </row>
    <row r="33">
      <c r="A33" s="12" t="inlineStr">
        <is>
          <t>Software Approval Process Compliance</t>
        </is>
      </c>
      <c r="B33" s="6" t="inlineStr">
        <is>
          <t>100%</t>
        </is>
      </c>
    </row>
    <row r="34">
      <c r="A34" s="12" t="inlineStr">
        <is>
          <t>Unauthorized Software Rate</t>
        </is>
      </c>
      <c r="B34" s="6" t="inlineStr">
        <is>
          <t>&lt;1%</t>
        </is>
      </c>
    </row>
    <row r="35">
      <c r="A35" s="12" t="inlineStr">
        <is>
          <t>Application Control Deployment</t>
        </is>
      </c>
      <c r="B35" s="6" t="inlineStr">
        <is>
          <t>≥90% Endpoints</t>
        </is>
      </c>
    </row>
    <row r="36">
      <c r="A36" s="12" t="inlineStr">
        <is>
          <t>Change Control Integration</t>
        </is>
      </c>
      <c r="B36" s="6" t="inlineStr">
        <is>
          <t>100% Installations</t>
        </is>
      </c>
    </row>
    <row r="37">
      <c r="A37" s="12" t="inlineStr">
        <is>
          <t>Critical Patches (Software)</t>
        </is>
      </c>
      <c r="B37" s="6" t="inlineStr">
        <is>
          <t>≥95% within 7 days</t>
        </is>
      </c>
    </row>
    <row r="38">
      <c r="A38" s="12" t="inlineStr">
        <is>
          <t>High Patches (Software)</t>
        </is>
      </c>
      <c r="B38" s="6" t="inlineStr">
        <is>
          <t>≥90% within 30 days</t>
        </is>
      </c>
    </row>
    <row r="39">
      <c r="A39" s="12" t="inlineStr">
        <is>
          <t>License Compliance</t>
        </is>
      </c>
      <c r="B39" s="6" t="inlineStr">
        <is>
          <t>100%</t>
        </is>
      </c>
    </row>
  </sheetData>
  <mergeCells count="6">
    <mergeCell ref="A2:F2"/>
    <mergeCell ref="A11:F11"/>
    <mergeCell ref="A1:F1"/>
    <mergeCell ref="A12:F18"/>
    <mergeCell ref="A20:F20"/>
    <mergeCell ref="A30:F3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17"/>
  <sheetViews>
    <sheetView workbookViewId="0">
      <selection activeCell="A1" sqref="A1"/>
    </sheetView>
  </sheetViews>
  <sheetFormatPr baseColWidth="8" defaultRowHeight="15"/>
  <cols>
    <col width="12" customWidth="1" min="1" max="1"/>
    <col width="30" customWidth="1" min="2" max="2"/>
    <col width="20" customWidth="1" min="3" max="3"/>
    <col width="12" customWidth="1" min="4" max="4"/>
    <col width="25" customWidth="1" min="5" max="5"/>
    <col width="20" customWidth="1" min="6" max="6"/>
    <col width="35" customWidth="1" min="7" max="7"/>
    <col width="15" customWidth="1" min="8" max="8"/>
    <col width="20" customWidth="1" min="9" max="9"/>
    <col width="15" customWidth="1" min="10" max="10"/>
    <col width="15" customWidth="1" min="11" max="11"/>
    <col width="25" customWidth="1" min="12" max="12"/>
    <col width="30" customWidth="1" min="13" max="13"/>
  </cols>
  <sheetData>
    <row r="1">
      <c r="A1" s="1" t="inlineStr">
        <is>
          <t>APPROVED SOFTWARE CATALOG</t>
        </is>
      </c>
    </row>
    <row r="2">
      <c r="A2" s="2" t="inlineStr">
        <is>
          <t>Master list of approved software applications (annual review required)</t>
        </is>
      </c>
    </row>
    <row r="4">
      <c r="A4" s="5" t="inlineStr">
        <is>
          <t>Software ID</t>
        </is>
      </c>
      <c r="B4" s="5" t="inlineStr">
        <is>
          <t>Software Name</t>
        </is>
      </c>
      <c r="C4" s="5" t="inlineStr">
        <is>
          <t>Vendor</t>
        </is>
      </c>
      <c r="D4" s="5" t="inlineStr">
        <is>
          <t>Version</t>
        </is>
      </c>
      <c r="E4" s="5" t="inlineStr">
        <is>
          <t>Category</t>
        </is>
      </c>
      <c r="F4" s="5" t="inlineStr">
        <is>
          <t>Type</t>
        </is>
      </c>
      <c r="G4" s="5" t="inlineStr">
        <is>
          <t>Business Justification</t>
        </is>
      </c>
      <c r="H4" s="5" t="inlineStr">
        <is>
          <t>Approval Date</t>
        </is>
      </c>
      <c r="I4" s="5" t="inlineStr">
        <is>
          <t>Approved By</t>
        </is>
      </c>
      <c r="J4" s="5" t="inlineStr">
        <is>
          <t>Review Date</t>
        </is>
      </c>
      <c r="K4" s="5" t="inlineStr">
        <is>
          <t>Risk Level</t>
        </is>
      </c>
      <c r="L4" s="5" t="inlineStr">
        <is>
          <t>Deployment Method</t>
        </is>
      </c>
      <c r="M4" s="5" t="inlineStr">
        <is>
          <t>Notes</t>
        </is>
      </c>
    </row>
    <row r="5">
      <c r="A5" s="3" t="inlineStr">
        <is>
          <t>SW-0001</t>
        </is>
      </c>
      <c r="B5" s="13" t="n"/>
      <c r="C5" s="13" t="n"/>
      <c r="D5" s="13" t="n"/>
      <c r="E5" s="13" t="n"/>
      <c r="F5" s="13" t="n"/>
      <c r="G5" s="13" t="n"/>
      <c r="H5" s="13" t="n"/>
      <c r="I5" s="13" t="n"/>
      <c r="J5" s="13" t="n"/>
      <c r="K5" s="13" t="n"/>
      <c r="L5" s="13" t="n"/>
      <c r="M5" s="13" t="n"/>
    </row>
    <row r="6">
      <c r="A6" s="3" t="inlineStr">
        <is>
          <t>SW-0002</t>
        </is>
      </c>
      <c r="B6" s="13" t="n"/>
      <c r="C6" s="13" t="n"/>
      <c r="D6" s="13" t="n"/>
      <c r="E6" s="13" t="n"/>
      <c r="F6" s="13" t="n"/>
      <c r="G6" s="13" t="n"/>
      <c r="H6" s="13" t="n"/>
      <c r="I6" s="13" t="n"/>
      <c r="J6" s="13" t="n"/>
      <c r="K6" s="13" t="n"/>
      <c r="L6" s="13" t="n"/>
      <c r="M6" s="13" t="n"/>
    </row>
    <row r="7">
      <c r="A7" s="3" t="inlineStr">
        <is>
          <t>SW-0003</t>
        </is>
      </c>
      <c r="B7" s="13" t="n"/>
      <c r="C7" s="13" t="n"/>
      <c r="D7" s="13" t="n"/>
      <c r="E7" s="13" t="n"/>
      <c r="F7" s="13" t="n"/>
      <c r="G7" s="13" t="n"/>
      <c r="H7" s="13" t="n"/>
      <c r="I7" s="13" t="n"/>
      <c r="J7" s="13" t="n"/>
      <c r="K7" s="13" t="n"/>
      <c r="L7" s="13" t="n"/>
      <c r="M7" s="13" t="n"/>
    </row>
    <row r="8">
      <c r="A8" s="3" t="inlineStr">
        <is>
          <t>SW-0004</t>
        </is>
      </c>
      <c r="B8" s="13" t="n"/>
      <c r="C8" s="13" t="n"/>
      <c r="D8" s="13" t="n"/>
      <c r="E8" s="13" t="n"/>
      <c r="F8" s="13" t="n"/>
      <c r="G8" s="13" t="n"/>
      <c r="H8" s="13" t="n"/>
      <c r="I8" s="13" t="n"/>
      <c r="J8" s="13" t="n"/>
      <c r="K8" s="13" t="n"/>
      <c r="L8" s="13" t="n"/>
      <c r="M8" s="13" t="n"/>
    </row>
    <row r="9">
      <c r="A9" s="3" t="inlineStr">
        <is>
          <t>SW-0005</t>
        </is>
      </c>
      <c r="B9" s="13" t="n"/>
      <c r="C9" s="13" t="n"/>
      <c r="D9" s="13" t="n"/>
      <c r="E9" s="13" t="n"/>
      <c r="F9" s="13" t="n"/>
      <c r="G9" s="13" t="n"/>
      <c r="H9" s="13" t="n"/>
      <c r="I9" s="13" t="n"/>
      <c r="J9" s="13" t="n"/>
      <c r="K9" s="13" t="n"/>
      <c r="L9" s="13" t="n"/>
      <c r="M9" s="13" t="n"/>
    </row>
    <row r="10">
      <c r="A10" s="3" t="inlineStr">
        <is>
          <t>SW-0006</t>
        </is>
      </c>
      <c r="B10" s="13" t="n"/>
      <c r="C10" s="13" t="n"/>
      <c r="D10" s="13" t="n"/>
      <c r="E10" s="13" t="n"/>
      <c r="F10" s="13" t="n"/>
      <c r="G10" s="13" t="n"/>
      <c r="H10" s="13" t="n"/>
      <c r="I10" s="13" t="n"/>
      <c r="J10" s="13" t="n"/>
      <c r="K10" s="13" t="n"/>
      <c r="L10" s="13" t="n"/>
      <c r="M10" s="13" t="n"/>
    </row>
    <row r="11">
      <c r="A11" s="3" t="inlineStr">
        <is>
          <t>SW-0007</t>
        </is>
      </c>
      <c r="B11" s="13" t="n"/>
      <c r="C11" s="13" t="n"/>
      <c r="D11" s="13" t="n"/>
      <c r="E11" s="13" t="n"/>
      <c r="F11" s="13" t="n"/>
      <c r="G11" s="13" t="n"/>
      <c r="H11" s="13" t="n"/>
      <c r="I11" s="13" t="n"/>
      <c r="J11" s="13" t="n"/>
      <c r="K11" s="13" t="n"/>
      <c r="L11" s="13" t="n"/>
      <c r="M11" s="13" t="n"/>
    </row>
    <row r="12">
      <c r="A12" s="3" t="inlineStr">
        <is>
          <t>SW-0008</t>
        </is>
      </c>
      <c r="B12" s="13" t="n"/>
      <c r="C12" s="13" t="n"/>
      <c r="D12" s="13" t="n"/>
      <c r="E12" s="13" t="n"/>
      <c r="F12" s="13" t="n"/>
      <c r="G12" s="13" t="n"/>
      <c r="H12" s="13" t="n"/>
      <c r="I12" s="13" t="n"/>
      <c r="J12" s="13" t="n"/>
      <c r="K12" s="13" t="n"/>
      <c r="L12" s="13" t="n"/>
      <c r="M12" s="13" t="n"/>
    </row>
    <row r="13">
      <c r="A13" s="3" t="inlineStr">
        <is>
          <t>SW-0009</t>
        </is>
      </c>
      <c r="B13" s="13" t="n"/>
      <c r="C13" s="13" t="n"/>
      <c r="D13" s="13" t="n"/>
      <c r="E13" s="13" t="n"/>
      <c r="F13" s="13" t="n"/>
      <c r="G13" s="13" t="n"/>
      <c r="H13" s="13" t="n"/>
      <c r="I13" s="13" t="n"/>
      <c r="J13" s="13" t="n"/>
      <c r="K13" s="13" t="n"/>
      <c r="L13" s="13" t="n"/>
      <c r="M13" s="13" t="n"/>
    </row>
    <row r="14">
      <c r="A14" s="3" t="inlineStr">
        <is>
          <t>SW-0010</t>
        </is>
      </c>
      <c r="B14" s="13" t="n"/>
      <c r="C14" s="13" t="n"/>
      <c r="D14" s="13" t="n"/>
      <c r="E14" s="13" t="n"/>
      <c r="F14" s="13" t="n"/>
      <c r="G14" s="13" t="n"/>
      <c r="H14" s="13" t="n"/>
      <c r="I14" s="13" t="n"/>
      <c r="J14" s="13" t="n"/>
      <c r="K14" s="13" t="n"/>
      <c r="L14" s="13" t="n"/>
      <c r="M14" s="13" t="n"/>
    </row>
    <row r="15">
      <c r="A15" s="3" t="inlineStr">
        <is>
          <t>SW-0011</t>
        </is>
      </c>
      <c r="B15" s="13" t="n"/>
      <c r="C15" s="13" t="n"/>
      <c r="D15" s="13" t="n"/>
      <c r="E15" s="13" t="n"/>
      <c r="F15" s="13" t="n"/>
      <c r="G15" s="13" t="n"/>
      <c r="H15" s="13" t="n"/>
      <c r="I15" s="13" t="n"/>
      <c r="J15" s="13" t="n"/>
      <c r="K15" s="13" t="n"/>
      <c r="L15" s="13" t="n"/>
      <c r="M15" s="13" t="n"/>
    </row>
    <row r="16">
      <c r="A16" s="3" t="inlineStr">
        <is>
          <t>SW-0012</t>
        </is>
      </c>
      <c r="B16" s="13" t="n"/>
      <c r="C16" s="13" t="n"/>
      <c r="D16" s="13" t="n"/>
      <c r="E16" s="13" t="n"/>
      <c r="F16" s="13" t="n"/>
      <c r="G16" s="13" t="n"/>
      <c r="H16" s="13" t="n"/>
      <c r="I16" s="13" t="n"/>
      <c r="J16" s="13" t="n"/>
      <c r="K16" s="13" t="n"/>
      <c r="L16" s="13" t="n"/>
      <c r="M16" s="13" t="n"/>
    </row>
    <row r="17">
      <c r="A17" s="3" t="inlineStr">
        <is>
          <t>SW-0013</t>
        </is>
      </c>
      <c r="B17" s="13" t="n"/>
      <c r="C17" s="13" t="n"/>
      <c r="D17" s="13" t="n"/>
      <c r="E17" s="13" t="n"/>
      <c r="F17" s="13" t="n"/>
      <c r="G17" s="13" t="n"/>
      <c r="H17" s="13" t="n"/>
      <c r="I17" s="13" t="n"/>
      <c r="J17" s="13" t="n"/>
      <c r="K17" s="13" t="n"/>
      <c r="L17" s="13" t="n"/>
      <c r="M17" s="13" t="n"/>
    </row>
    <row r="18">
      <c r="A18" s="3" t="inlineStr">
        <is>
          <t>SW-0014</t>
        </is>
      </c>
      <c r="B18" s="13" t="n"/>
      <c r="C18" s="13" t="n"/>
      <c r="D18" s="13" t="n"/>
      <c r="E18" s="13" t="n"/>
      <c r="F18" s="13" t="n"/>
      <c r="G18" s="13" t="n"/>
      <c r="H18" s="13" t="n"/>
      <c r="I18" s="13" t="n"/>
      <c r="J18" s="13" t="n"/>
      <c r="K18" s="13" t="n"/>
      <c r="L18" s="13" t="n"/>
      <c r="M18" s="13" t="n"/>
    </row>
    <row r="19">
      <c r="A19" s="3" t="inlineStr">
        <is>
          <t>SW-0015</t>
        </is>
      </c>
      <c r="B19" s="13" t="n"/>
      <c r="C19" s="13" t="n"/>
      <c r="D19" s="13" t="n"/>
      <c r="E19" s="13" t="n"/>
      <c r="F19" s="13" t="n"/>
      <c r="G19" s="13" t="n"/>
      <c r="H19" s="13" t="n"/>
      <c r="I19" s="13" t="n"/>
      <c r="J19" s="13" t="n"/>
      <c r="K19" s="13" t="n"/>
      <c r="L19" s="13" t="n"/>
      <c r="M19" s="13" t="n"/>
    </row>
    <row r="20">
      <c r="A20" s="3" t="inlineStr">
        <is>
          <t>SW-0016</t>
        </is>
      </c>
      <c r="B20" s="13" t="n"/>
      <c r="C20" s="13" t="n"/>
      <c r="D20" s="13" t="n"/>
      <c r="E20" s="13" t="n"/>
      <c r="F20" s="13" t="n"/>
      <c r="G20" s="13" t="n"/>
      <c r="H20" s="13" t="n"/>
      <c r="I20" s="13" t="n"/>
      <c r="J20" s="13" t="n"/>
      <c r="K20" s="13" t="n"/>
      <c r="L20" s="13" t="n"/>
      <c r="M20" s="13" t="n"/>
    </row>
    <row r="21">
      <c r="A21" s="3" t="inlineStr">
        <is>
          <t>SW-0017</t>
        </is>
      </c>
      <c r="B21" s="13" t="n"/>
      <c r="C21" s="13" t="n"/>
      <c r="D21" s="13" t="n"/>
      <c r="E21" s="13" t="n"/>
      <c r="F21" s="13" t="n"/>
      <c r="G21" s="13" t="n"/>
      <c r="H21" s="13" t="n"/>
      <c r="I21" s="13" t="n"/>
      <c r="J21" s="13" t="n"/>
      <c r="K21" s="13" t="n"/>
      <c r="L21" s="13" t="n"/>
      <c r="M21" s="13" t="n"/>
    </row>
    <row r="22">
      <c r="A22" s="3" t="inlineStr">
        <is>
          <t>SW-0018</t>
        </is>
      </c>
      <c r="B22" s="13" t="n"/>
      <c r="C22" s="13" t="n"/>
      <c r="D22" s="13" t="n"/>
      <c r="E22" s="13" t="n"/>
      <c r="F22" s="13" t="n"/>
      <c r="G22" s="13" t="n"/>
      <c r="H22" s="13" t="n"/>
      <c r="I22" s="13" t="n"/>
      <c r="J22" s="13" t="n"/>
      <c r="K22" s="13" t="n"/>
      <c r="L22" s="13" t="n"/>
      <c r="M22" s="13" t="n"/>
    </row>
    <row r="23">
      <c r="A23" s="3" t="inlineStr">
        <is>
          <t>SW-0019</t>
        </is>
      </c>
      <c r="B23" s="13" t="n"/>
      <c r="C23" s="13" t="n"/>
      <c r="D23" s="13" t="n"/>
      <c r="E23" s="13" t="n"/>
      <c r="F23" s="13" t="n"/>
      <c r="G23" s="13" t="n"/>
      <c r="H23" s="13" t="n"/>
      <c r="I23" s="13" t="n"/>
      <c r="J23" s="13" t="n"/>
      <c r="K23" s="13" t="n"/>
      <c r="L23" s="13" t="n"/>
      <c r="M23" s="13" t="n"/>
    </row>
    <row r="24">
      <c r="A24" s="3" t="inlineStr">
        <is>
          <t>SW-0020</t>
        </is>
      </c>
      <c r="B24" s="13" t="n"/>
      <c r="C24" s="13" t="n"/>
      <c r="D24" s="13" t="n"/>
      <c r="E24" s="13" t="n"/>
      <c r="F24" s="13" t="n"/>
      <c r="G24" s="13" t="n"/>
      <c r="H24" s="13" t="n"/>
      <c r="I24" s="13" t="n"/>
      <c r="J24" s="13" t="n"/>
      <c r="K24" s="13" t="n"/>
      <c r="L24" s="13" t="n"/>
      <c r="M24" s="13" t="n"/>
    </row>
    <row r="25">
      <c r="A25" s="3" t="inlineStr">
        <is>
          <t>SW-0021</t>
        </is>
      </c>
      <c r="B25" s="13" t="n"/>
      <c r="C25" s="13" t="n"/>
      <c r="D25" s="13" t="n"/>
      <c r="E25" s="13" t="n"/>
      <c r="F25" s="13" t="n"/>
      <c r="G25" s="13" t="n"/>
      <c r="H25" s="13" t="n"/>
      <c r="I25" s="13" t="n"/>
      <c r="J25" s="13" t="n"/>
      <c r="K25" s="13" t="n"/>
      <c r="L25" s="13" t="n"/>
      <c r="M25" s="13" t="n"/>
    </row>
    <row r="26">
      <c r="A26" s="3" t="inlineStr">
        <is>
          <t>SW-0022</t>
        </is>
      </c>
      <c r="B26" s="13" t="n"/>
      <c r="C26" s="13" t="n"/>
      <c r="D26" s="13" t="n"/>
      <c r="E26" s="13" t="n"/>
      <c r="F26" s="13" t="n"/>
      <c r="G26" s="13" t="n"/>
      <c r="H26" s="13" t="n"/>
      <c r="I26" s="13" t="n"/>
      <c r="J26" s="13" t="n"/>
      <c r="K26" s="13" t="n"/>
      <c r="L26" s="13" t="n"/>
      <c r="M26" s="13" t="n"/>
    </row>
    <row r="27">
      <c r="A27" s="3" t="inlineStr">
        <is>
          <t>SW-0023</t>
        </is>
      </c>
      <c r="B27" s="13" t="n"/>
      <c r="C27" s="13" t="n"/>
      <c r="D27" s="13" t="n"/>
      <c r="E27" s="13" t="n"/>
      <c r="F27" s="13" t="n"/>
      <c r="G27" s="13" t="n"/>
      <c r="H27" s="13" t="n"/>
      <c r="I27" s="13" t="n"/>
      <c r="J27" s="13" t="n"/>
      <c r="K27" s="13" t="n"/>
      <c r="L27" s="13" t="n"/>
      <c r="M27" s="13" t="n"/>
    </row>
    <row r="28">
      <c r="A28" s="3" t="inlineStr">
        <is>
          <t>SW-0024</t>
        </is>
      </c>
      <c r="B28" s="13" t="n"/>
      <c r="C28" s="13" t="n"/>
      <c r="D28" s="13" t="n"/>
      <c r="E28" s="13" t="n"/>
      <c r="F28" s="13" t="n"/>
      <c r="G28" s="13" t="n"/>
      <c r="H28" s="13" t="n"/>
      <c r="I28" s="13" t="n"/>
      <c r="J28" s="13" t="n"/>
      <c r="K28" s="13" t="n"/>
      <c r="L28" s="13" t="n"/>
      <c r="M28" s="13" t="n"/>
    </row>
    <row r="29">
      <c r="A29" s="3" t="inlineStr">
        <is>
          <t>SW-0025</t>
        </is>
      </c>
      <c r="B29" s="13" t="n"/>
      <c r="C29" s="13" t="n"/>
      <c r="D29" s="13" t="n"/>
      <c r="E29" s="13" t="n"/>
      <c r="F29" s="13" t="n"/>
      <c r="G29" s="13" t="n"/>
      <c r="H29" s="13" t="n"/>
      <c r="I29" s="13" t="n"/>
      <c r="J29" s="13" t="n"/>
      <c r="K29" s="13" t="n"/>
      <c r="L29" s="13" t="n"/>
      <c r="M29" s="13" t="n"/>
    </row>
    <row r="30">
      <c r="A30" s="3" t="inlineStr">
        <is>
          <t>SW-0026</t>
        </is>
      </c>
      <c r="B30" s="13" t="n"/>
      <c r="C30" s="13" t="n"/>
      <c r="D30" s="13" t="n"/>
      <c r="E30" s="13" t="n"/>
      <c r="F30" s="13" t="n"/>
      <c r="G30" s="13" t="n"/>
      <c r="H30" s="13" t="n"/>
      <c r="I30" s="13" t="n"/>
      <c r="J30" s="13" t="n"/>
      <c r="K30" s="13" t="n"/>
      <c r="L30" s="13" t="n"/>
      <c r="M30" s="13" t="n"/>
    </row>
    <row r="31">
      <c r="A31" s="3" t="inlineStr">
        <is>
          <t>SW-0027</t>
        </is>
      </c>
      <c r="B31" s="13" t="n"/>
      <c r="C31" s="13" t="n"/>
      <c r="D31" s="13" t="n"/>
      <c r="E31" s="13" t="n"/>
      <c r="F31" s="13" t="n"/>
      <c r="G31" s="13" t="n"/>
      <c r="H31" s="13" t="n"/>
      <c r="I31" s="13" t="n"/>
      <c r="J31" s="13" t="n"/>
      <c r="K31" s="13" t="n"/>
      <c r="L31" s="13" t="n"/>
      <c r="M31" s="13" t="n"/>
    </row>
    <row r="32">
      <c r="A32" s="3" t="inlineStr">
        <is>
          <t>SW-0028</t>
        </is>
      </c>
      <c r="B32" s="13" t="n"/>
      <c r="C32" s="13" t="n"/>
      <c r="D32" s="13" t="n"/>
      <c r="E32" s="13" t="n"/>
      <c r="F32" s="13" t="n"/>
      <c r="G32" s="13" t="n"/>
      <c r="H32" s="13" t="n"/>
      <c r="I32" s="13" t="n"/>
      <c r="J32" s="13" t="n"/>
      <c r="K32" s="13" t="n"/>
      <c r="L32" s="13" t="n"/>
      <c r="M32" s="13" t="n"/>
    </row>
    <row r="33">
      <c r="A33" s="3" t="inlineStr">
        <is>
          <t>SW-0029</t>
        </is>
      </c>
      <c r="B33" s="13" t="n"/>
      <c r="C33" s="13" t="n"/>
      <c r="D33" s="13" t="n"/>
      <c r="E33" s="13" t="n"/>
      <c r="F33" s="13" t="n"/>
      <c r="G33" s="13" t="n"/>
      <c r="H33" s="13" t="n"/>
      <c r="I33" s="13" t="n"/>
      <c r="J33" s="13" t="n"/>
      <c r="K33" s="13" t="n"/>
      <c r="L33" s="13" t="n"/>
      <c r="M33" s="13" t="n"/>
    </row>
    <row r="34">
      <c r="A34" s="3" t="inlineStr">
        <is>
          <t>SW-0030</t>
        </is>
      </c>
      <c r="B34" s="13" t="n"/>
      <c r="C34" s="13" t="n"/>
      <c r="D34" s="13" t="n"/>
      <c r="E34" s="13" t="n"/>
      <c r="F34" s="13" t="n"/>
      <c r="G34" s="13" t="n"/>
      <c r="H34" s="13" t="n"/>
      <c r="I34" s="13" t="n"/>
      <c r="J34" s="13" t="n"/>
      <c r="K34" s="13" t="n"/>
      <c r="L34" s="13" t="n"/>
      <c r="M34" s="13" t="n"/>
    </row>
    <row r="35">
      <c r="A35" s="3" t="inlineStr">
        <is>
          <t>SW-0031</t>
        </is>
      </c>
      <c r="B35" s="13" t="n"/>
      <c r="C35" s="13" t="n"/>
      <c r="D35" s="13" t="n"/>
      <c r="E35" s="13" t="n"/>
      <c r="F35" s="13" t="n"/>
      <c r="G35" s="13" t="n"/>
      <c r="H35" s="13" t="n"/>
      <c r="I35" s="13" t="n"/>
      <c r="J35" s="13" t="n"/>
      <c r="K35" s="13" t="n"/>
      <c r="L35" s="13" t="n"/>
      <c r="M35" s="13" t="n"/>
    </row>
    <row r="36">
      <c r="A36" s="3" t="inlineStr">
        <is>
          <t>SW-0032</t>
        </is>
      </c>
      <c r="B36" s="13" t="n"/>
      <c r="C36" s="13" t="n"/>
      <c r="D36" s="13" t="n"/>
      <c r="E36" s="13" t="n"/>
      <c r="F36" s="13" t="n"/>
      <c r="G36" s="13" t="n"/>
      <c r="H36" s="13" t="n"/>
      <c r="I36" s="13" t="n"/>
      <c r="J36" s="13" t="n"/>
      <c r="K36" s="13" t="n"/>
      <c r="L36" s="13" t="n"/>
      <c r="M36" s="13" t="n"/>
    </row>
    <row r="37">
      <c r="A37" s="3" t="inlineStr">
        <is>
          <t>SW-0033</t>
        </is>
      </c>
      <c r="B37" s="13" t="n"/>
      <c r="C37" s="13" t="n"/>
      <c r="D37" s="13" t="n"/>
      <c r="E37" s="13" t="n"/>
      <c r="F37" s="13" t="n"/>
      <c r="G37" s="13" t="n"/>
      <c r="H37" s="13" t="n"/>
      <c r="I37" s="13" t="n"/>
      <c r="J37" s="13" t="n"/>
      <c r="K37" s="13" t="n"/>
      <c r="L37" s="13" t="n"/>
      <c r="M37" s="13" t="n"/>
    </row>
    <row r="38">
      <c r="A38" s="3" t="inlineStr">
        <is>
          <t>SW-0034</t>
        </is>
      </c>
      <c r="B38" s="13" t="n"/>
      <c r="C38" s="13" t="n"/>
      <c r="D38" s="13" t="n"/>
      <c r="E38" s="13" t="n"/>
      <c r="F38" s="13" t="n"/>
      <c r="G38" s="13" t="n"/>
      <c r="H38" s="13" t="n"/>
      <c r="I38" s="13" t="n"/>
      <c r="J38" s="13" t="n"/>
      <c r="K38" s="13" t="n"/>
      <c r="L38" s="13" t="n"/>
      <c r="M38" s="13" t="n"/>
    </row>
    <row r="39">
      <c r="A39" s="3" t="inlineStr">
        <is>
          <t>SW-0035</t>
        </is>
      </c>
      <c r="B39" s="13" t="n"/>
      <c r="C39" s="13" t="n"/>
      <c r="D39" s="13" t="n"/>
      <c r="E39" s="13" t="n"/>
      <c r="F39" s="13" t="n"/>
      <c r="G39" s="13" t="n"/>
      <c r="H39" s="13" t="n"/>
      <c r="I39" s="13" t="n"/>
      <c r="J39" s="13" t="n"/>
      <c r="K39" s="13" t="n"/>
      <c r="L39" s="13" t="n"/>
      <c r="M39" s="13" t="n"/>
    </row>
    <row r="40">
      <c r="A40" s="3" t="inlineStr">
        <is>
          <t>SW-0036</t>
        </is>
      </c>
      <c r="B40" s="13" t="n"/>
      <c r="C40" s="13" t="n"/>
      <c r="D40" s="13" t="n"/>
      <c r="E40" s="13" t="n"/>
      <c r="F40" s="13" t="n"/>
      <c r="G40" s="13" t="n"/>
      <c r="H40" s="13" t="n"/>
      <c r="I40" s="13" t="n"/>
      <c r="J40" s="13" t="n"/>
      <c r="K40" s="13" t="n"/>
      <c r="L40" s="13" t="n"/>
      <c r="M40" s="13" t="n"/>
    </row>
    <row r="41">
      <c r="A41" s="3" t="inlineStr">
        <is>
          <t>SW-0037</t>
        </is>
      </c>
      <c r="B41" s="13" t="n"/>
      <c r="C41" s="13" t="n"/>
      <c r="D41" s="13" t="n"/>
      <c r="E41" s="13" t="n"/>
      <c r="F41" s="13" t="n"/>
      <c r="G41" s="13" t="n"/>
      <c r="H41" s="13" t="n"/>
      <c r="I41" s="13" t="n"/>
      <c r="J41" s="13" t="n"/>
      <c r="K41" s="13" t="n"/>
      <c r="L41" s="13" t="n"/>
      <c r="M41" s="13" t="n"/>
    </row>
    <row r="42">
      <c r="A42" s="3" t="inlineStr">
        <is>
          <t>SW-0038</t>
        </is>
      </c>
      <c r="B42" s="13" t="n"/>
      <c r="C42" s="13" t="n"/>
      <c r="D42" s="13" t="n"/>
      <c r="E42" s="13" t="n"/>
      <c r="F42" s="13" t="n"/>
      <c r="G42" s="13" t="n"/>
      <c r="H42" s="13" t="n"/>
      <c r="I42" s="13" t="n"/>
      <c r="J42" s="13" t="n"/>
      <c r="K42" s="13" t="n"/>
      <c r="L42" s="13" t="n"/>
      <c r="M42" s="13" t="n"/>
    </row>
    <row r="43">
      <c r="A43" s="3" t="inlineStr">
        <is>
          <t>SW-0039</t>
        </is>
      </c>
      <c r="B43" s="13" t="n"/>
      <c r="C43" s="13" t="n"/>
      <c r="D43" s="13" t="n"/>
      <c r="E43" s="13" t="n"/>
      <c r="F43" s="13" t="n"/>
      <c r="G43" s="13" t="n"/>
      <c r="H43" s="13" t="n"/>
      <c r="I43" s="13" t="n"/>
      <c r="J43" s="13" t="n"/>
      <c r="K43" s="13" t="n"/>
      <c r="L43" s="13" t="n"/>
      <c r="M43" s="13" t="n"/>
    </row>
    <row r="44">
      <c r="A44" s="3" t="inlineStr">
        <is>
          <t>SW-0040</t>
        </is>
      </c>
      <c r="B44" s="13" t="n"/>
      <c r="C44" s="13" t="n"/>
      <c r="D44" s="13" t="n"/>
      <c r="E44" s="13" t="n"/>
      <c r="F44" s="13" t="n"/>
      <c r="G44" s="13" t="n"/>
      <c r="H44" s="13" t="n"/>
      <c r="I44" s="13" t="n"/>
      <c r="J44" s="13" t="n"/>
      <c r="K44" s="13" t="n"/>
      <c r="L44" s="13" t="n"/>
      <c r="M44" s="13" t="n"/>
    </row>
    <row r="45">
      <c r="A45" s="3" t="inlineStr">
        <is>
          <t>SW-0041</t>
        </is>
      </c>
      <c r="B45" s="13" t="n"/>
      <c r="C45" s="13" t="n"/>
      <c r="D45" s="13" t="n"/>
      <c r="E45" s="13" t="n"/>
      <c r="F45" s="13" t="n"/>
      <c r="G45" s="13" t="n"/>
      <c r="H45" s="13" t="n"/>
      <c r="I45" s="13" t="n"/>
      <c r="J45" s="13" t="n"/>
      <c r="K45" s="13" t="n"/>
      <c r="L45" s="13" t="n"/>
      <c r="M45" s="13" t="n"/>
    </row>
    <row r="46">
      <c r="A46" s="3" t="inlineStr">
        <is>
          <t>SW-0042</t>
        </is>
      </c>
      <c r="B46" s="13" t="n"/>
      <c r="C46" s="13" t="n"/>
      <c r="D46" s="13" t="n"/>
      <c r="E46" s="13" t="n"/>
      <c r="F46" s="13" t="n"/>
      <c r="G46" s="13" t="n"/>
      <c r="H46" s="13" t="n"/>
      <c r="I46" s="13" t="n"/>
      <c r="J46" s="13" t="n"/>
      <c r="K46" s="13" t="n"/>
      <c r="L46" s="13" t="n"/>
      <c r="M46" s="13" t="n"/>
    </row>
    <row r="47">
      <c r="A47" s="3" t="inlineStr">
        <is>
          <t>SW-0043</t>
        </is>
      </c>
      <c r="B47" s="13" t="n"/>
      <c r="C47" s="13" t="n"/>
      <c r="D47" s="13" t="n"/>
      <c r="E47" s="13" t="n"/>
      <c r="F47" s="13" t="n"/>
      <c r="G47" s="13" t="n"/>
      <c r="H47" s="13" t="n"/>
      <c r="I47" s="13" t="n"/>
      <c r="J47" s="13" t="n"/>
      <c r="K47" s="13" t="n"/>
      <c r="L47" s="13" t="n"/>
      <c r="M47" s="13" t="n"/>
    </row>
    <row r="48">
      <c r="A48" s="3" t="inlineStr">
        <is>
          <t>SW-0044</t>
        </is>
      </c>
      <c r="B48" s="13" t="n"/>
      <c r="C48" s="13" t="n"/>
      <c r="D48" s="13" t="n"/>
      <c r="E48" s="13" t="n"/>
      <c r="F48" s="13" t="n"/>
      <c r="G48" s="13" t="n"/>
      <c r="H48" s="13" t="n"/>
      <c r="I48" s="13" t="n"/>
      <c r="J48" s="13" t="n"/>
      <c r="K48" s="13" t="n"/>
      <c r="L48" s="13" t="n"/>
      <c r="M48" s="13" t="n"/>
    </row>
    <row r="49">
      <c r="A49" s="3" t="inlineStr">
        <is>
          <t>SW-0045</t>
        </is>
      </c>
      <c r="B49" s="13" t="n"/>
      <c r="C49" s="13" t="n"/>
      <c r="D49" s="13" t="n"/>
      <c r="E49" s="13" t="n"/>
      <c r="F49" s="13" t="n"/>
      <c r="G49" s="13" t="n"/>
      <c r="H49" s="13" t="n"/>
      <c r="I49" s="13" t="n"/>
      <c r="J49" s="13" t="n"/>
      <c r="K49" s="13" t="n"/>
      <c r="L49" s="13" t="n"/>
      <c r="M49" s="13" t="n"/>
    </row>
    <row r="50">
      <c r="A50" s="3" t="inlineStr">
        <is>
          <t>SW-0046</t>
        </is>
      </c>
      <c r="B50" s="13" t="n"/>
      <c r="C50" s="13" t="n"/>
      <c r="D50" s="13" t="n"/>
      <c r="E50" s="13" t="n"/>
      <c r="F50" s="13" t="n"/>
      <c r="G50" s="13" t="n"/>
      <c r="H50" s="13" t="n"/>
      <c r="I50" s="13" t="n"/>
      <c r="J50" s="13" t="n"/>
      <c r="K50" s="13" t="n"/>
      <c r="L50" s="13" t="n"/>
      <c r="M50" s="13" t="n"/>
    </row>
    <row r="51">
      <c r="A51" s="3" t="inlineStr">
        <is>
          <t>SW-0047</t>
        </is>
      </c>
      <c r="B51" s="13" t="n"/>
      <c r="C51" s="13" t="n"/>
      <c r="D51" s="13" t="n"/>
      <c r="E51" s="13" t="n"/>
      <c r="F51" s="13" t="n"/>
      <c r="G51" s="13" t="n"/>
      <c r="H51" s="13" t="n"/>
      <c r="I51" s="13" t="n"/>
      <c r="J51" s="13" t="n"/>
      <c r="K51" s="13" t="n"/>
      <c r="L51" s="13" t="n"/>
      <c r="M51" s="13" t="n"/>
    </row>
    <row r="52">
      <c r="A52" s="3" t="inlineStr">
        <is>
          <t>SW-0048</t>
        </is>
      </c>
      <c r="B52" s="13" t="n"/>
      <c r="C52" s="13" t="n"/>
      <c r="D52" s="13" t="n"/>
      <c r="E52" s="13" t="n"/>
      <c r="F52" s="13" t="n"/>
      <c r="G52" s="13" t="n"/>
      <c r="H52" s="13" t="n"/>
      <c r="I52" s="13" t="n"/>
      <c r="J52" s="13" t="n"/>
      <c r="K52" s="13" t="n"/>
      <c r="L52" s="13" t="n"/>
      <c r="M52" s="13" t="n"/>
    </row>
    <row r="53">
      <c r="A53" s="3" t="inlineStr">
        <is>
          <t>SW-0049</t>
        </is>
      </c>
      <c r="B53" s="13" t="n"/>
      <c r="C53" s="13" t="n"/>
      <c r="D53" s="13" t="n"/>
      <c r="E53" s="13" t="n"/>
      <c r="F53" s="13" t="n"/>
      <c r="G53" s="13" t="n"/>
      <c r="H53" s="13" t="n"/>
      <c r="I53" s="13" t="n"/>
      <c r="J53" s="13" t="n"/>
      <c r="K53" s="13" t="n"/>
      <c r="L53" s="13" t="n"/>
      <c r="M53" s="13" t="n"/>
    </row>
    <row r="54">
      <c r="A54" s="3" t="inlineStr">
        <is>
          <t>SW-0050</t>
        </is>
      </c>
      <c r="B54" s="13" t="n"/>
      <c r="C54" s="13" t="n"/>
      <c r="D54" s="13" t="n"/>
      <c r="E54" s="13" t="n"/>
      <c r="F54" s="13" t="n"/>
      <c r="G54" s="13" t="n"/>
      <c r="H54" s="13" t="n"/>
      <c r="I54" s="13" t="n"/>
      <c r="J54" s="13" t="n"/>
      <c r="K54" s="13" t="n"/>
      <c r="L54" s="13" t="n"/>
      <c r="M54" s="13" t="n"/>
    </row>
    <row r="55">
      <c r="A55" s="3" t="inlineStr">
        <is>
          <t>SW-0051</t>
        </is>
      </c>
      <c r="B55" s="13" t="n"/>
      <c r="C55" s="13" t="n"/>
      <c r="D55" s="13" t="n"/>
      <c r="E55" s="13" t="n"/>
      <c r="F55" s="13" t="n"/>
      <c r="G55" s="13" t="n"/>
      <c r="H55" s="13" t="n"/>
      <c r="I55" s="13" t="n"/>
      <c r="J55" s="13" t="n"/>
      <c r="K55" s="13" t="n"/>
      <c r="L55" s="13" t="n"/>
      <c r="M55" s="13" t="n"/>
    </row>
    <row r="56">
      <c r="A56" s="3" t="inlineStr">
        <is>
          <t>SW-0052</t>
        </is>
      </c>
      <c r="B56" s="13" t="n"/>
      <c r="C56" s="13" t="n"/>
      <c r="D56" s="13" t="n"/>
      <c r="E56" s="13" t="n"/>
      <c r="F56" s="13" t="n"/>
      <c r="G56" s="13" t="n"/>
      <c r="H56" s="13" t="n"/>
      <c r="I56" s="13" t="n"/>
      <c r="J56" s="13" t="n"/>
      <c r="K56" s="13" t="n"/>
      <c r="L56" s="13" t="n"/>
      <c r="M56" s="13" t="n"/>
    </row>
    <row r="57">
      <c r="A57" s="3" t="inlineStr">
        <is>
          <t>SW-0053</t>
        </is>
      </c>
      <c r="B57" s="13" t="n"/>
      <c r="C57" s="13" t="n"/>
      <c r="D57" s="13" t="n"/>
      <c r="E57" s="13" t="n"/>
      <c r="F57" s="13" t="n"/>
      <c r="G57" s="13" t="n"/>
      <c r="H57" s="13" t="n"/>
      <c r="I57" s="13" t="n"/>
      <c r="J57" s="13" t="n"/>
      <c r="K57" s="13" t="n"/>
      <c r="L57" s="13" t="n"/>
      <c r="M57" s="13" t="n"/>
    </row>
    <row r="58">
      <c r="A58" s="3" t="inlineStr">
        <is>
          <t>SW-0054</t>
        </is>
      </c>
      <c r="B58" s="13" t="n"/>
      <c r="C58" s="13" t="n"/>
      <c r="D58" s="13" t="n"/>
      <c r="E58" s="13" t="n"/>
      <c r="F58" s="13" t="n"/>
      <c r="G58" s="13" t="n"/>
      <c r="H58" s="13" t="n"/>
      <c r="I58" s="13" t="n"/>
      <c r="J58" s="13" t="n"/>
      <c r="K58" s="13" t="n"/>
      <c r="L58" s="13" t="n"/>
      <c r="M58" s="13" t="n"/>
    </row>
    <row r="59">
      <c r="A59" s="3" t="inlineStr">
        <is>
          <t>SW-0055</t>
        </is>
      </c>
      <c r="B59" s="13" t="n"/>
      <c r="C59" s="13" t="n"/>
      <c r="D59" s="13" t="n"/>
      <c r="E59" s="13" t="n"/>
      <c r="F59" s="13" t="n"/>
      <c r="G59" s="13" t="n"/>
      <c r="H59" s="13" t="n"/>
      <c r="I59" s="13" t="n"/>
      <c r="J59" s="13" t="n"/>
      <c r="K59" s="13" t="n"/>
      <c r="L59" s="13" t="n"/>
      <c r="M59" s="13" t="n"/>
    </row>
    <row r="60">
      <c r="A60" s="3" t="inlineStr">
        <is>
          <t>SW-0056</t>
        </is>
      </c>
      <c r="B60" s="13" t="n"/>
      <c r="C60" s="13" t="n"/>
      <c r="D60" s="13" t="n"/>
      <c r="E60" s="13" t="n"/>
      <c r="F60" s="13" t="n"/>
      <c r="G60" s="13" t="n"/>
      <c r="H60" s="13" t="n"/>
      <c r="I60" s="13" t="n"/>
      <c r="J60" s="13" t="n"/>
      <c r="K60" s="13" t="n"/>
      <c r="L60" s="13" t="n"/>
      <c r="M60" s="13" t="n"/>
    </row>
    <row r="61">
      <c r="A61" s="3" t="inlineStr">
        <is>
          <t>SW-0057</t>
        </is>
      </c>
      <c r="B61" s="13" t="n"/>
      <c r="C61" s="13" t="n"/>
      <c r="D61" s="13" t="n"/>
      <c r="E61" s="13" t="n"/>
      <c r="F61" s="13" t="n"/>
      <c r="G61" s="13" t="n"/>
      <c r="H61" s="13" t="n"/>
      <c r="I61" s="13" t="n"/>
      <c r="J61" s="13" t="n"/>
      <c r="K61" s="13" t="n"/>
      <c r="L61" s="13" t="n"/>
      <c r="M61" s="13" t="n"/>
    </row>
    <row r="62">
      <c r="A62" s="3" t="inlineStr">
        <is>
          <t>SW-0058</t>
        </is>
      </c>
      <c r="B62" s="13" t="n"/>
      <c r="C62" s="13" t="n"/>
      <c r="D62" s="13" t="n"/>
      <c r="E62" s="13" t="n"/>
      <c r="F62" s="13" t="n"/>
      <c r="G62" s="13" t="n"/>
      <c r="H62" s="13" t="n"/>
      <c r="I62" s="13" t="n"/>
      <c r="J62" s="13" t="n"/>
      <c r="K62" s="13" t="n"/>
      <c r="L62" s="13" t="n"/>
      <c r="M62" s="13" t="n"/>
    </row>
    <row r="63">
      <c r="A63" s="3" t="inlineStr">
        <is>
          <t>SW-0059</t>
        </is>
      </c>
      <c r="B63" s="13" t="n"/>
      <c r="C63" s="13" t="n"/>
      <c r="D63" s="13" t="n"/>
      <c r="E63" s="13" t="n"/>
      <c r="F63" s="13" t="n"/>
      <c r="G63" s="13" t="n"/>
      <c r="H63" s="13" t="n"/>
      <c r="I63" s="13" t="n"/>
      <c r="J63" s="13" t="n"/>
      <c r="K63" s="13" t="n"/>
      <c r="L63" s="13" t="n"/>
      <c r="M63" s="13" t="n"/>
    </row>
    <row r="64">
      <c r="A64" s="3" t="inlineStr">
        <is>
          <t>SW-0060</t>
        </is>
      </c>
      <c r="B64" s="13" t="n"/>
      <c r="C64" s="13" t="n"/>
      <c r="D64" s="13" t="n"/>
      <c r="E64" s="13" t="n"/>
      <c r="F64" s="13" t="n"/>
      <c r="G64" s="13" t="n"/>
      <c r="H64" s="13" t="n"/>
      <c r="I64" s="13" t="n"/>
      <c r="J64" s="13" t="n"/>
      <c r="K64" s="13" t="n"/>
      <c r="L64" s="13" t="n"/>
      <c r="M64" s="13" t="n"/>
    </row>
    <row r="65">
      <c r="A65" s="3" t="inlineStr">
        <is>
          <t>SW-0061</t>
        </is>
      </c>
      <c r="B65" s="13" t="n"/>
      <c r="C65" s="13" t="n"/>
      <c r="D65" s="13" t="n"/>
      <c r="E65" s="13" t="n"/>
      <c r="F65" s="13" t="n"/>
      <c r="G65" s="13" t="n"/>
      <c r="H65" s="13" t="n"/>
      <c r="I65" s="13" t="n"/>
      <c r="J65" s="13" t="n"/>
      <c r="K65" s="13" t="n"/>
      <c r="L65" s="13" t="n"/>
      <c r="M65" s="13" t="n"/>
    </row>
    <row r="66">
      <c r="A66" s="3" t="inlineStr">
        <is>
          <t>SW-0062</t>
        </is>
      </c>
      <c r="B66" s="13" t="n"/>
      <c r="C66" s="13" t="n"/>
      <c r="D66" s="13" t="n"/>
      <c r="E66" s="13" t="n"/>
      <c r="F66" s="13" t="n"/>
      <c r="G66" s="13" t="n"/>
      <c r="H66" s="13" t="n"/>
      <c r="I66" s="13" t="n"/>
      <c r="J66" s="13" t="n"/>
      <c r="K66" s="13" t="n"/>
      <c r="L66" s="13" t="n"/>
      <c r="M66" s="13" t="n"/>
    </row>
    <row r="67">
      <c r="A67" s="3" t="inlineStr">
        <is>
          <t>SW-0063</t>
        </is>
      </c>
      <c r="B67" s="13" t="n"/>
      <c r="C67" s="13" t="n"/>
      <c r="D67" s="13" t="n"/>
      <c r="E67" s="13" t="n"/>
      <c r="F67" s="13" t="n"/>
      <c r="G67" s="13" t="n"/>
      <c r="H67" s="13" t="n"/>
      <c r="I67" s="13" t="n"/>
      <c r="J67" s="13" t="n"/>
      <c r="K67" s="13" t="n"/>
      <c r="L67" s="13" t="n"/>
      <c r="M67" s="13" t="n"/>
    </row>
    <row r="68">
      <c r="A68" s="3" t="inlineStr">
        <is>
          <t>SW-0064</t>
        </is>
      </c>
      <c r="B68" s="13" t="n"/>
      <c r="C68" s="13" t="n"/>
      <c r="D68" s="13" t="n"/>
      <c r="E68" s="13" t="n"/>
      <c r="F68" s="13" t="n"/>
      <c r="G68" s="13" t="n"/>
      <c r="H68" s="13" t="n"/>
      <c r="I68" s="13" t="n"/>
      <c r="J68" s="13" t="n"/>
      <c r="K68" s="13" t="n"/>
      <c r="L68" s="13" t="n"/>
      <c r="M68" s="13" t="n"/>
    </row>
    <row r="69">
      <c r="A69" s="3" t="inlineStr">
        <is>
          <t>SW-0065</t>
        </is>
      </c>
      <c r="B69" s="13" t="n"/>
      <c r="C69" s="13" t="n"/>
      <c r="D69" s="13" t="n"/>
      <c r="E69" s="13" t="n"/>
      <c r="F69" s="13" t="n"/>
      <c r="G69" s="13" t="n"/>
      <c r="H69" s="13" t="n"/>
      <c r="I69" s="13" t="n"/>
      <c r="J69" s="13" t="n"/>
      <c r="K69" s="13" t="n"/>
      <c r="L69" s="13" t="n"/>
      <c r="M69" s="13" t="n"/>
    </row>
    <row r="70">
      <c r="A70" s="3" t="inlineStr">
        <is>
          <t>SW-0066</t>
        </is>
      </c>
      <c r="B70" s="13" t="n"/>
      <c r="C70" s="13" t="n"/>
      <c r="D70" s="13" t="n"/>
      <c r="E70" s="13" t="n"/>
      <c r="F70" s="13" t="n"/>
      <c r="G70" s="13" t="n"/>
      <c r="H70" s="13" t="n"/>
      <c r="I70" s="13" t="n"/>
      <c r="J70" s="13" t="n"/>
      <c r="K70" s="13" t="n"/>
      <c r="L70" s="13" t="n"/>
      <c r="M70" s="13" t="n"/>
    </row>
    <row r="71">
      <c r="A71" s="3" t="inlineStr">
        <is>
          <t>SW-0067</t>
        </is>
      </c>
      <c r="B71" s="13" t="n"/>
      <c r="C71" s="13" t="n"/>
      <c r="D71" s="13" t="n"/>
      <c r="E71" s="13" t="n"/>
      <c r="F71" s="13" t="n"/>
      <c r="G71" s="13" t="n"/>
      <c r="H71" s="13" t="n"/>
      <c r="I71" s="13" t="n"/>
      <c r="J71" s="13" t="n"/>
      <c r="K71" s="13" t="n"/>
      <c r="L71" s="13" t="n"/>
      <c r="M71" s="13" t="n"/>
    </row>
    <row r="72">
      <c r="A72" s="3" t="inlineStr">
        <is>
          <t>SW-0068</t>
        </is>
      </c>
      <c r="B72" s="13" t="n"/>
      <c r="C72" s="13" t="n"/>
      <c r="D72" s="13" t="n"/>
      <c r="E72" s="13" t="n"/>
      <c r="F72" s="13" t="n"/>
      <c r="G72" s="13" t="n"/>
      <c r="H72" s="13" t="n"/>
      <c r="I72" s="13" t="n"/>
      <c r="J72" s="13" t="n"/>
      <c r="K72" s="13" t="n"/>
      <c r="L72" s="13" t="n"/>
      <c r="M72" s="13" t="n"/>
    </row>
    <row r="73">
      <c r="A73" s="3" t="inlineStr">
        <is>
          <t>SW-0069</t>
        </is>
      </c>
      <c r="B73" s="13" t="n"/>
      <c r="C73" s="13" t="n"/>
      <c r="D73" s="13" t="n"/>
      <c r="E73" s="13" t="n"/>
      <c r="F73" s="13" t="n"/>
      <c r="G73" s="13" t="n"/>
      <c r="H73" s="13" t="n"/>
      <c r="I73" s="13" t="n"/>
      <c r="J73" s="13" t="n"/>
      <c r="K73" s="13" t="n"/>
      <c r="L73" s="13" t="n"/>
      <c r="M73" s="13" t="n"/>
    </row>
    <row r="74">
      <c r="A74" s="3" t="inlineStr">
        <is>
          <t>SW-0070</t>
        </is>
      </c>
      <c r="B74" s="13" t="n"/>
      <c r="C74" s="13" t="n"/>
      <c r="D74" s="13" t="n"/>
      <c r="E74" s="13" t="n"/>
      <c r="F74" s="13" t="n"/>
      <c r="G74" s="13" t="n"/>
      <c r="H74" s="13" t="n"/>
      <c r="I74" s="13" t="n"/>
      <c r="J74" s="13" t="n"/>
      <c r="K74" s="13" t="n"/>
      <c r="L74" s="13" t="n"/>
      <c r="M74" s="13" t="n"/>
    </row>
    <row r="75">
      <c r="A75" s="3" t="inlineStr">
        <is>
          <t>SW-0071</t>
        </is>
      </c>
      <c r="B75" s="13" t="n"/>
      <c r="C75" s="13" t="n"/>
      <c r="D75" s="13" t="n"/>
      <c r="E75" s="13" t="n"/>
      <c r="F75" s="13" t="n"/>
      <c r="G75" s="13" t="n"/>
      <c r="H75" s="13" t="n"/>
      <c r="I75" s="13" t="n"/>
      <c r="J75" s="13" t="n"/>
      <c r="K75" s="13" t="n"/>
      <c r="L75" s="13" t="n"/>
      <c r="M75" s="13" t="n"/>
    </row>
    <row r="76">
      <c r="A76" s="3" t="inlineStr">
        <is>
          <t>SW-0072</t>
        </is>
      </c>
      <c r="B76" s="13" t="n"/>
      <c r="C76" s="13" t="n"/>
      <c r="D76" s="13" t="n"/>
      <c r="E76" s="13" t="n"/>
      <c r="F76" s="13" t="n"/>
      <c r="G76" s="13" t="n"/>
      <c r="H76" s="13" t="n"/>
      <c r="I76" s="13" t="n"/>
      <c r="J76" s="13" t="n"/>
      <c r="K76" s="13" t="n"/>
      <c r="L76" s="13" t="n"/>
      <c r="M76" s="13" t="n"/>
    </row>
    <row r="77">
      <c r="A77" s="3" t="inlineStr">
        <is>
          <t>SW-0073</t>
        </is>
      </c>
      <c r="B77" s="13" t="n"/>
      <c r="C77" s="13" t="n"/>
      <c r="D77" s="13" t="n"/>
      <c r="E77" s="13" t="n"/>
      <c r="F77" s="13" t="n"/>
      <c r="G77" s="13" t="n"/>
      <c r="H77" s="13" t="n"/>
      <c r="I77" s="13" t="n"/>
      <c r="J77" s="13" t="n"/>
      <c r="K77" s="13" t="n"/>
      <c r="L77" s="13" t="n"/>
      <c r="M77" s="13" t="n"/>
    </row>
    <row r="78">
      <c r="A78" s="3" t="inlineStr">
        <is>
          <t>SW-0074</t>
        </is>
      </c>
      <c r="B78" s="13" t="n"/>
      <c r="C78" s="13" t="n"/>
      <c r="D78" s="13" t="n"/>
      <c r="E78" s="13" t="n"/>
      <c r="F78" s="13" t="n"/>
      <c r="G78" s="13" t="n"/>
      <c r="H78" s="13" t="n"/>
      <c r="I78" s="13" t="n"/>
      <c r="J78" s="13" t="n"/>
      <c r="K78" s="13" t="n"/>
      <c r="L78" s="13" t="n"/>
      <c r="M78" s="13" t="n"/>
    </row>
    <row r="79">
      <c r="A79" s="3" t="inlineStr">
        <is>
          <t>SW-0075</t>
        </is>
      </c>
      <c r="B79" s="13" t="n"/>
      <c r="C79" s="13" t="n"/>
      <c r="D79" s="13" t="n"/>
      <c r="E79" s="13" t="n"/>
      <c r="F79" s="13" t="n"/>
      <c r="G79" s="13" t="n"/>
      <c r="H79" s="13" t="n"/>
      <c r="I79" s="13" t="n"/>
      <c r="J79" s="13" t="n"/>
      <c r="K79" s="13" t="n"/>
      <c r="L79" s="13" t="n"/>
      <c r="M79" s="13" t="n"/>
    </row>
    <row r="80">
      <c r="A80" s="3" t="inlineStr">
        <is>
          <t>SW-0076</t>
        </is>
      </c>
      <c r="B80" s="13" t="n"/>
      <c r="C80" s="13" t="n"/>
      <c r="D80" s="13" t="n"/>
      <c r="E80" s="13" t="n"/>
      <c r="F80" s="13" t="n"/>
      <c r="G80" s="13" t="n"/>
      <c r="H80" s="13" t="n"/>
      <c r="I80" s="13" t="n"/>
      <c r="J80" s="13" t="n"/>
      <c r="K80" s="13" t="n"/>
      <c r="L80" s="13" t="n"/>
      <c r="M80" s="13" t="n"/>
    </row>
    <row r="81">
      <c r="A81" s="3" t="inlineStr">
        <is>
          <t>SW-0077</t>
        </is>
      </c>
      <c r="B81" s="13" t="n"/>
      <c r="C81" s="13" t="n"/>
      <c r="D81" s="13" t="n"/>
      <c r="E81" s="13" t="n"/>
      <c r="F81" s="13" t="n"/>
      <c r="G81" s="13" t="n"/>
      <c r="H81" s="13" t="n"/>
      <c r="I81" s="13" t="n"/>
      <c r="J81" s="13" t="n"/>
      <c r="K81" s="13" t="n"/>
      <c r="L81" s="13" t="n"/>
      <c r="M81" s="13" t="n"/>
    </row>
    <row r="82">
      <c r="A82" s="3" t="inlineStr">
        <is>
          <t>SW-0078</t>
        </is>
      </c>
      <c r="B82" s="13" t="n"/>
      <c r="C82" s="13" t="n"/>
      <c r="D82" s="13" t="n"/>
      <c r="E82" s="13" t="n"/>
      <c r="F82" s="13" t="n"/>
      <c r="G82" s="13" t="n"/>
      <c r="H82" s="13" t="n"/>
      <c r="I82" s="13" t="n"/>
      <c r="J82" s="13" t="n"/>
      <c r="K82" s="13" t="n"/>
      <c r="L82" s="13" t="n"/>
      <c r="M82" s="13" t="n"/>
    </row>
    <row r="83">
      <c r="A83" s="3" t="inlineStr">
        <is>
          <t>SW-0079</t>
        </is>
      </c>
      <c r="B83" s="13" t="n"/>
      <c r="C83" s="13" t="n"/>
      <c r="D83" s="13" t="n"/>
      <c r="E83" s="13" t="n"/>
      <c r="F83" s="13" t="n"/>
      <c r="G83" s="13" t="n"/>
      <c r="H83" s="13" t="n"/>
      <c r="I83" s="13" t="n"/>
      <c r="J83" s="13" t="n"/>
      <c r="K83" s="13" t="n"/>
      <c r="L83" s="13" t="n"/>
      <c r="M83" s="13" t="n"/>
    </row>
    <row r="84">
      <c r="A84" s="3" t="inlineStr">
        <is>
          <t>SW-0080</t>
        </is>
      </c>
      <c r="B84" s="13" t="n"/>
      <c r="C84" s="13" t="n"/>
      <c r="D84" s="13" t="n"/>
      <c r="E84" s="13" t="n"/>
      <c r="F84" s="13" t="n"/>
      <c r="G84" s="13" t="n"/>
      <c r="H84" s="13" t="n"/>
      <c r="I84" s="13" t="n"/>
      <c r="J84" s="13" t="n"/>
      <c r="K84" s="13" t="n"/>
      <c r="L84" s="13" t="n"/>
      <c r="M84" s="13" t="n"/>
    </row>
    <row r="85">
      <c r="A85" s="3" t="inlineStr">
        <is>
          <t>SW-0081</t>
        </is>
      </c>
      <c r="B85" s="13" t="n"/>
      <c r="C85" s="13" t="n"/>
      <c r="D85" s="13" t="n"/>
      <c r="E85" s="13" t="n"/>
      <c r="F85" s="13" t="n"/>
      <c r="G85" s="13" t="n"/>
      <c r="H85" s="13" t="n"/>
      <c r="I85" s="13" t="n"/>
      <c r="J85" s="13" t="n"/>
      <c r="K85" s="13" t="n"/>
      <c r="L85" s="13" t="n"/>
      <c r="M85" s="13" t="n"/>
    </row>
    <row r="86">
      <c r="A86" s="3" t="inlineStr">
        <is>
          <t>SW-0082</t>
        </is>
      </c>
      <c r="B86" s="13" t="n"/>
      <c r="C86" s="13" t="n"/>
      <c r="D86" s="13" t="n"/>
      <c r="E86" s="13" t="n"/>
      <c r="F86" s="13" t="n"/>
      <c r="G86" s="13" t="n"/>
      <c r="H86" s="13" t="n"/>
      <c r="I86" s="13" t="n"/>
      <c r="J86" s="13" t="n"/>
      <c r="K86" s="13" t="n"/>
      <c r="L86" s="13" t="n"/>
      <c r="M86" s="13" t="n"/>
    </row>
    <row r="87">
      <c r="A87" s="3" t="inlineStr">
        <is>
          <t>SW-0083</t>
        </is>
      </c>
      <c r="B87" s="13" t="n"/>
      <c r="C87" s="13" t="n"/>
      <c r="D87" s="13" t="n"/>
      <c r="E87" s="13" t="n"/>
      <c r="F87" s="13" t="n"/>
      <c r="G87" s="13" t="n"/>
      <c r="H87" s="13" t="n"/>
      <c r="I87" s="13" t="n"/>
      <c r="J87" s="13" t="n"/>
      <c r="K87" s="13" t="n"/>
      <c r="L87" s="13" t="n"/>
      <c r="M87" s="13" t="n"/>
    </row>
    <row r="88">
      <c r="A88" s="3" t="inlineStr">
        <is>
          <t>SW-0084</t>
        </is>
      </c>
      <c r="B88" s="13" t="n"/>
      <c r="C88" s="13" t="n"/>
      <c r="D88" s="13" t="n"/>
      <c r="E88" s="13" t="n"/>
      <c r="F88" s="13" t="n"/>
      <c r="G88" s="13" t="n"/>
      <c r="H88" s="13" t="n"/>
      <c r="I88" s="13" t="n"/>
      <c r="J88" s="13" t="n"/>
      <c r="K88" s="13" t="n"/>
      <c r="L88" s="13" t="n"/>
      <c r="M88" s="13" t="n"/>
    </row>
    <row r="89">
      <c r="A89" s="3" t="inlineStr">
        <is>
          <t>SW-0085</t>
        </is>
      </c>
      <c r="B89" s="13" t="n"/>
      <c r="C89" s="13" t="n"/>
      <c r="D89" s="13" t="n"/>
      <c r="E89" s="13" t="n"/>
      <c r="F89" s="13" t="n"/>
      <c r="G89" s="13" t="n"/>
      <c r="H89" s="13" t="n"/>
      <c r="I89" s="13" t="n"/>
      <c r="J89" s="13" t="n"/>
      <c r="K89" s="13" t="n"/>
      <c r="L89" s="13" t="n"/>
      <c r="M89" s="13" t="n"/>
    </row>
    <row r="90">
      <c r="A90" s="3" t="inlineStr">
        <is>
          <t>SW-0086</t>
        </is>
      </c>
      <c r="B90" s="13" t="n"/>
      <c r="C90" s="13" t="n"/>
      <c r="D90" s="13" t="n"/>
      <c r="E90" s="13" t="n"/>
      <c r="F90" s="13" t="n"/>
      <c r="G90" s="13" t="n"/>
      <c r="H90" s="13" t="n"/>
      <c r="I90" s="13" t="n"/>
      <c r="J90" s="13" t="n"/>
      <c r="K90" s="13" t="n"/>
      <c r="L90" s="13" t="n"/>
      <c r="M90" s="13" t="n"/>
    </row>
    <row r="91">
      <c r="A91" s="3" t="inlineStr">
        <is>
          <t>SW-0087</t>
        </is>
      </c>
      <c r="B91" s="13" t="n"/>
      <c r="C91" s="13" t="n"/>
      <c r="D91" s="13" t="n"/>
      <c r="E91" s="13" t="n"/>
      <c r="F91" s="13" t="n"/>
      <c r="G91" s="13" t="n"/>
      <c r="H91" s="13" t="n"/>
      <c r="I91" s="13" t="n"/>
      <c r="J91" s="13" t="n"/>
      <c r="K91" s="13" t="n"/>
      <c r="L91" s="13" t="n"/>
      <c r="M91" s="13" t="n"/>
    </row>
    <row r="92">
      <c r="A92" s="3" t="inlineStr">
        <is>
          <t>SW-0088</t>
        </is>
      </c>
      <c r="B92" s="13" t="n"/>
      <c r="C92" s="13" t="n"/>
      <c r="D92" s="13" t="n"/>
      <c r="E92" s="13" t="n"/>
      <c r="F92" s="13" t="n"/>
      <c r="G92" s="13" t="n"/>
      <c r="H92" s="13" t="n"/>
      <c r="I92" s="13" t="n"/>
      <c r="J92" s="13" t="n"/>
      <c r="K92" s="13" t="n"/>
      <c r="L92" s="13" t="n"/>
      <c r="M92" s="13" t="n"/>
    </row>
    <row r="93">
      <c r="A93" s="3" t="inlineStr">
        <is>
          <t>SW-0089</t>
        </is>
      </c>
      <c r="B93" s="13" t="n"/>
      <c r="C93" s="13" t="n"/>
      <c r="D93" s="13" t="n"/>
      <c r="E93" s="13" t="n"/>
      <c r="F93" s="13" t="n"/>
      <c r="G93" s="13" t="n"/>
      <c r="H93" s="13" t="n"/>
      <c r="I93" s="13" t="n"/>
      <c r="J93" s="13" t="n"/>
      <c r="K93" s="13" t="n"/>
      <c r="L93" s="13" t="n"/>
      <c r="M93" s="13" t="n"/>
    </row>
    <row r="94">
      <c r="A94" s="3" t="inlineStr">
        <is>
          <t>SW-0090</t>
        </is>
      </c>
      <c r="B94" s="13" t="n"/>
      <c r="C94" s="13" t="n"/>
      <c r="D94" s="13" t="n"/>
      <c r="E94" s="13" t="n"/>
      <c r="F94" s="13" t="n"/>
      <c r="G94" s="13" t="n"/>
      <c r="H94" s="13" t="n"/>
      <c r="I94" s="13" t="n"/>
      <c r="J94" s="13" t="n"/>
      <c r="K94" s="13" t="n"/>
      <c r="L94" s="13" t="n"/>
      <c r="M94" s="13" t="n"/>
    </row>
    <row r="95">
      <c r="A95" s="3" t="inlineStr">
        <is>
          <t>SW-0091</t>
        </is>
      </c>
      <c r="B95" s="13" t="n"/>
      <c r="C95" s="13" t="n"/>
      <c r="D95" s="13" t="n"/>
      <c r="E95" s="13" t="n"/>
      <c r="F95" s="13" t="n"/>
      <c r="G95" s="13" t="n"/>
      <c r="H95" s="13" t="n"/>
      <c r="I95" s="13" t="n"/>
      <c r="J95" s="13" t="n"/>
      <c r="K95" s="13" t="n"/>
      <c r="L95" s="13" t="n"/>
      <c r="M95" s="13" t="n"/>
    </row>
    <row r="96">
      <c r="A96" s="3" t="inlineStr">
        <is>
          <t>SW-0092</t>
        </is>
      </c>
      <c r="B96" s="13" t="n"/>
      <c r="C96" s="13" t="n"/>
      <c r="D96" s="13" t="n"/>
      <c r="E96" s="13" t="n"/>
      <c r="F96" s="13" t="n"/>
      <c r="G96" s="13" t="n"/>
      <c r="H96" s="13" t="n"/>
      <c r="I96" s="13" t="n"/>
      <c r="J96" s="13" t="n"/>
      <c r="K96" s="13" t="n"/>
      <c r="L96" s="13" t="n"/>
      <c r="M96" s="13" t="n"/>
    </row>
    <row r="97">
      <c r="A97" s="3" t="inlineStr">
        <is>
          <t>SW-0093</t>
        </is>
      </c>
      <c r="B97" s="13" t="n"/>
      <c r="C97" s="13" t="n"/>
      <c r="D97" s="13" t="n"/>
      <c r="E97" s="13" t="n"/>
      <c r="F97" s="13" t="n"/>
      <c r="G97" s="13" t="n"/>
      <c r="H97" s="13" t="n"/>
      <c r="I97" s="13" t="n"/>
      <c r="J97" s="13" t="n"/>
      <c r="K97" s="13" t="n"/>
      <c r="L97" s="13" t="n"/>
      <c r="M97" s="13" t="n"/>
    </row>
    <row r="98">
      <c r="A98" s="3" t="inlineStr">
        <is>
          <t>SW-0094</t>
        </is>
      </c>
      <c r="B98" s="13" t="n"/>
      <c r="C98" s="13" t="n"/>
      <c r="D98" s="13" t="n"/>
      <c r="E98" s="13" t="n"/>
      <c r="F98" s="13" t="n"/>
      <c r="G98" s="13" t="n"/>
      <c r="H98" s="13" t="n"/>
      <c r="I98" s="13" t="n"/>
      <c r="J98" s="13" t="n"/>
      <c r="K98" s="13" t="n"/>
      <c r="L98" s="13" t="n"/>
      <c r="M98" s="13" t="n"/>
    </row>
    <row r="99">
      <c r="A99" s="3" t="inlineStr">
        <is>
          <t>SW-0095</t>
        </is>
      </c>
      <c r="B99" s="13" t="n"/>
      <c r="C99" s="13" t="n"/>
      <c r="D99" s="13" t="n"/>
      <c r="E99" s="13" t="n"/>
      <c r="F99" s="13" t="n"/>
      <c r="G99" s="13" t="n"/>
      <c r="H99" s="13" t="n"/>
      <c r="I99" s="13" t="n"/>
      <c r="J99" s="13" t="n"/>
      <c r="K99" s="13" t="n"/>
      <c r="L99" s="13" t="n"/>
      <c r="M99" s="13" t="n"/>
    </row>
    <row r="100">
      <c r="A100" s="3" t="inlineStr">
        <is>
          <t>SW-0096</t>
        </is>
      </c>
      <c r="B100" s="13" t="n"/>
      <c r="C100" s="13" t="n"/>
      <c r="D100" s="13" t="n"/>
      <c r="E100" s="13" t="n"/>
      <c r="F100" s="13" t="n"/>
      <c r="G100" s="13" t="n"/>
      <c r="H100" s="13" t="n"/>
      <c r="I100" s="13" t="n"/>
      <c r="J100" s="13" t="n"/>
      <c r="K100" s="13" t="n"/>
      <c r="L100" s="13" t="n"/>
      <c r="M100" s="13" t="n"/>
    </row>
    <row r="101">
      <c r="A101" s="3" t="inlineStr">
        <is>
          <t>SW-0097</t>
        </is>
      </c>
      <c r="B101" s="13" t="n"/>
      <c r="C101" s="13" t="n"/>
      <c r="D101" s="13" t="n"/>
      <c r="E101" s="13" t="n"/>
      <c r="F101" s="13" t="n"/>
      <c r="G101" s="13" t="n"/>
      <c r="H101" s="13" t="n"/>
      <c r="I101" s="13" t="n"/>
      <c r="J101" s="13" t="n"/>
      <c r="K101" s="13" t="n"/>
      <c r="L101" s="13" t="n"/>
      <c r="M101" s="13" t="n"/>
    </row>
    <row r="102">
      <c r="A102" s="3" t="inlineStr">
        <is>
          <t>SW-0098</t>
        </is>
      </c>
      <c r="B102" s="13" t="n"/>
      <c r="C102" s="13" t="n"/>
      <c r="D102" s="13" t="n"/>
      <c r="E102" s="13" t="n"/>
      <c r="F102" s="13" t="n"/>
      <c r="G102" s="13" t="n"/>
      <c r="H102" s="13" t="n"/>
      <c r="I102" s="13" t="n"/>
      <c r="J102" s="13" t="n"/>
      <c r="K102" s="13" t="n"/>
      <c r="L102" s="13" t="n"/>
      <c r="M102" s="13" t="n"/>
    </row>
    <row r="103">
      <c r="A103" s="3" t="inlineStr">
        <is>
          <t>SW-0099</t>
        </is>
      </c>
      <c r="B103" s="13" t="n"/>
      <c r="C103" s="13" t="n"/>
      <c r="D103" s="13" t="n"/>
      <c r="E103" s="13" t="n"/>
      <c r="F103" s="13" t="n"/>
      <c r="G103" s="13" t="n"/>
      <c r="H103" s="13" t="n"/>
      <c r="I103" s="13" t="n"/>
      <c r="J103" s="13" t="n"/>
      <c r="K103" s="13" t="n"/>
      <c r="L103" s="13" t="n"/>
      <c r="M103" s="13" t="n"/>
    </row>
    <row r="104">
      <c r="A104" s="3" t="inlineStr">
        <is>
          <t>SW-0100</t>
        </is>
      </c>
      <c r="B104" s="13" t="n"/>
      <c r="C104" s="13" t="n"/>
      <c r="D104" s="13" t="n"/>
      <c r="E104" s="13" t="n"/>
      <c r="F104" s="13" t="n"/>
      <c r="G104" s="13" t="n"/>
      <c r="H104" s="13" t="n"/>
      <c r="I104" s="13" t="n"/>
      <c r="J104" s="13" t="n"/>
      <c r="K104" s="13" t="n"/>
      <c r="L104" s="13" t="n"/>
      <c r="M104" s="13" t="n"/>
    </row>
    <row r="105">
      <c r="A105" s="3" t="inlineStr">
        <is>
          <t>SW-0101</t>
        </is>
      </c>
      <c r="B105" s="13" t="n"/>
      <c r="C105" s="13" t="n"/>
      <c r="D105" s="13" t="n"/>
      <c r="E105" s="13" t="n"/>
      <c r="F105" s="13" t="n"/>
      <c r="G105" s="13" t="n"/>
      <c r="H105" s="13" t="n"/>
      <c r="I105" s="13" t="n"/>
      <c r="J105" s="13" t="n"/>
      <c r="K105" s="13" t="n"/>
      <c r="L105" s="13" t="n"/>
      <c r="M105" s="13" t="n"/>
    </row>
    <row r="106">
      <c r="A106" s="3" t="inlineStr">
        <is>
          <t>SW-0102</t>
        </is>
      </c>
      <c r="B106" s="13" t="n"/>
      <c r="C106" s="13" t="n"/>
      <c r="D106" s="13" t="n"/>
      <c r="E106" s="13" t="n"/>
      <c r="F106" s="13" t="n"/>
      <c r="G106" s="13" t="n"/>
      <c r="H106" s="13" t="n"/>
      <c r="I106" s="13" t="n"/>
      <c r="J106" s="13" t="n"/>
      <c r="K106" s="13" t="n"/>
      <c r="L106" s="13" t="n"/>
      <c r="M106" s="13" t="n"/>
    </row>
    <row r="107">
      <c r="A107" s="3" t="inlineStr">
        <is>
          <t>SW-0103</t>
        </is>
      </c>
      <c r="B107" s="13" t="n"/>
      <c r="C107" s="13" t="n"/>
      <c r="D107" s="13" t="n"/>
      <c r="E107" s="13" t="n"/>
      <c r="F107" s="13" t="n"/>
      <c r="G107" s="13" t="n"/>
      <c r="H107" s="13" t="n"/>
      <c r="I107" s="13" t="n"/>
      <c r="J107" s="13" t="n"/>
      <c r="K107" s="13" t="n"/>
      <c r="L107" s="13" t="n"/>
      <c r="M107" s="13" t="n"/>
    </row>
    <row r="108">
      <c r="A108" s="3" t="inlineStr">
        <is>
          <t>SW-0104</t>
        </is>
      </c>
      <c r="B108" s="13" t="n"/>
      <c r="C108" s="13" t="n"/>
      <c r="D108" s="13" t="n"/>
      <c r="E108" s="13" t="n"/>
      <c r="F108" s="13" t="n"/>
      <c r="G108" s="13" t="n"/>
      <c r="H108" s="13" t="n"/>
      <c r="I108" s="13" t="n"/>
      <c r="J108" s="13" t="n"/>
      <c r="K108" s="13" t="n"/>
      <c r="L108" s="13" t="n"/>
      <c r="M108" s="13" t="n"/>
    </row>
    <row r="109">
      <c r="A109" s="3" t="inlineStr">
        <is>
          <t>SW-0105</t>
        </is>
      </c>
      <c r="B109" s="13" t="n"/>
      <c r="C109" s="13" t="n"/>
      <c r="D109" s="13" t="n"/>
      <c r="E109" s="13" t="n"/>
      <c r="F109" s="13" t="n"/>
      <c r="G109" s="13" t="n"/>
      <c r="H109" s="13" t="n"/>
      <c r="I109" s="13" t="n"/>
      <c r="J109" s="13" t="n"/>
      <c r="K109" s="13" t="n"/>
      <c r="L109" s="13" t="n"/>
      <c r="M109" s="13" t="n"/>
    </row>
    <row r="110">
      <c r="A110" s="3" t="inlineStr">
        <is>
          <t>SW-0106</t>
        </is>
      </c>
      <c r="B110" s="13" t="n"/>
      <c r="C110" s="13" t="n"/>
      <c r="D110" s="13" t="n"/>
      <c r="E110" s="13" t="n"/>
      <c r="F110" s="13" t="n"/>
      <c r="G110" s="13" t="n"/>
      <c r="H110" s="13" t="n"/>
      <c r="I110" s="13" t="n"/>
      <c r="J110" s="13" t="n"/>
      <c r="K110" s="13" t="n"/>
      <c r="L110" s="13" t="n"/>
      <c r="M110" s="13" t="n"/>
    </row>
    <row r="111">
      <c r="A111" s="3" t="inlineStr">
        <is>
          <t>SW-0107</t>
        </is>
      </c>
      <c r="B111" s="13" t="n"/>
      <c r="C111" s="13" t="n"/>
      <c r="D111" s="13" t="n"/>
      <c r="E111" s="13" t="n"/>
      <c r="F111" s="13" t="n"/>
      <c r="G111" s="13" t="n"/>
      <c r="H111" s="13" t="n"/>
      <c r="I111" s="13" t="n"/>
      <c r="J111" s="13" t="n"/>
      <c r="K111" s="13" t="n"/>
      <c r="L111" s="13" t="n"/>
      <c r="M111" s="13" t="n"/>
    </row>
    <row r="112">
      <c r="A112" s="3" t="inlineStr">
        <is>
          <t>SW-0108</t>
        </is>
      </c>
      <c r="B112" s="13" t="n"/>
      <c r="C112" s="13" t="n"/>
      <c r="D112" s="13" t="n"/>
      <c r="E112" s="13" t="n"/>
      <c r="F112" s="13" t="n"/>
      <c r="G112" s="13" t="n"/>
      <c r="H112" s="13" t="n"/>
      <c r="I112" s="13" t="n"/>
      <c r="J112" s="13" t="n"/>
      <c r="K112" s="13" t="n"/>
      <c r="L112" s="13" t="n"/>
      <c r="M112" s="13" t="n"/>
    </row>
    <row r="113">
      <c r="A113" s="3" t="inlineStr">
        <is>
          <t>SW-0109</t>
        </is>
      </c>
      <c r="B113" s="13" t="n"/>
      <c r="C113" s="13" t="n"/>
      <c r="D113" s="13" t="n"/>
      <c r="E113" s="13" t="n"/>
      <c r="F113" s="13" t="n"/>
      <c r="G113" s="13" t="n"/>
      <c r="H113" s="13" t="n"/>
      <c r="I113" s="13" t="n"/>
      <c r="J113" s="13" t="n"/>
      <c r="K113" s="13" t="n"/>
      <c r="L113" s="13" t="n"/>
      <c r="M113" s="13" t="n"/>
    </row>
    <row r="114">
      <c r="A114" s="3" t="inlineStr">
        <is>
          <t>SW-0110</t>
        </is>
      </c>
      <c r="B114" s="13" t="n"/>
      <c r="C114" s="13" t="n"/>
      <c r="D114" s="13" t="n"/>
      <c r="E114" s="13" t="n"/>
      <c r="F114" s="13" t="n"/>
      <c r="G114" s="13" t="n"/>
      <c r="H114" s="13" t="n"/>
      <c r="I114" s="13" t="n"/>
      <c r="J114" s="13" t="n"/>
      <c r="K114" s="13" t="n"/>
      <c r="L114" s="13" t="n"/>
      <c r="M114" s="13" t="n"/>
    </row>
    <row r="115">
      <c r="A115" s="3" t="inlineStr">
        <is>
          <t>SW-0111</t>
        </is>
      </c>
      <c r="B115" s="13" t="n"/>
      <c r="C115" s="13" t="n"/>
      <c r="D115" s="13" t="n"/>
      <c r="E115" s="13" t="n"/>
      <c r="F115" s="13" t="n"/>
      <c r="G115" s="13" t="n"/>
      <c r="H115" s="13" t="n"/>
      <c r="I115" s="13" t="n"/>
      <c r="J115" s="13" t="n"/>
      <c r="K115" s="13" t="n"/>
      <c r="L115" s="13" t="n"/>
      <c r="M115" s="13" t="n"/>
    </row>
    <row r="116">
      <c r="A116" s="3" t="inlineStr">
        <is>
          <t>SW-0112</t>
        </is>
      </c>
      <c r="B116" s="13" t="n"/>
      <c r="C116" s="13" t="n"/>
      <c r="D116" s="13" t="n"/>
      <c r="E116" s="13" t="n"/>
      <c r="F116" s="13" t="n"/>
      <c r="G116" s="13" t="n"/>
      <c r="H116" s="13" t="n"/>
      <c r="I116" s="13" t="n"/>
      <c r="J116" s="13" t="n"/>
      <c r="K116" s="13" t="n"/>
      <c r="L116" s="13" t="n"/>
      <c r="M116" s="13" t="n"/>
    </row>
    <row r="117">
      <c r="A117" s="3" t="inlineStr">
        <is>
          <t>SW-0113</t>
        </is>
      </c>
      <c r="B117" s="13" t="n"/>
      <c r="C117" s="13" t="n"/>
      <c r="D117" s="13" t="n"/>
      <c r="E117" s="13" t="n"/>
      <c r="F117" s="13" t="n"/>
      <c r="G117" s="13" t="n"/>
      <c r="H117" s="13" t="n"/>
      <c r="I117" s="13" t="n"/>
      <c r="J117" s="13" t="n"/>
      <c r="K117" s="13" t="n"/>
      <c r="L117" s="13" t="n"/>
      <c r="M117" s="13" t="n"/>
    </row>
    <row r="118">
      <c r="A118" s="3" t="inlineStr">
        <is>
          <t>SW-0114</t>
        </is>
      </c>
      <c r="B118" s="13" t="n"/>
      <c r="C118" s="13" t="n"/>
      <c r="D118" s="13" t="n"/>
      <c r="E118" s="13" t="n"/>
      <c r="F118" s="13" t="n"/>
      <c r="G118" s="13" t="n"/>
      <c r="H118" s="13" t="n"/>
      <c r="I118" s="13" t="n"/>
      <c r="J118" s="13" t="n"/>
      <c r="K118" s="13" t="n"/>
      <c r="L118" s="13" t="n"/>
      <c r="M118" s="13" t="n"/>
    </row>
    <row r="119">
      <c r="A119" s="3" t="inlineStr">
        <is>
          <t>SW-0115</t>
        </is>
      </c>
      <c r="B119" s="13" t="n"/>
      <c r="C119" s="13" t="n"/>
      <c r="D119" s="13" t="n"/>
      <c r="E119" s="13" t="n"/>
      <c r="F119" s="13" t="n"/>
      <c r="G119" s="13" t="n"/>
      <c r="H119" s="13" t="n"/>
      <c r="I119" s="13" t="n"/>
      <c r="J119" s="13" t="n"/>
      <c r="K119" s="13" t="n"/>
      <c r="L119" s="13" t="n"/>
      <c r="M119" s="13" t="n"/>
    </row>
    <row r="120">
      <c r="A120" s="3" t="inlineStr">
        <is>
          <t>SW-0116</t>
        </is>
      </c>
      <c r="B120" s="13" t="n"/>
      <c r="C120" s="13" t="n"/>
      <c r="D120" s="13" t="n"/>
      <c r="E120" s="13" t="n"/>
      <c r="F120" s="13" t="n"/>
      <c r="G120" s="13" t="n"/>
      <c r="H120" s="13" t="n"/>
      <c r="I120" s="13" t="n"/>
      <c r="J120" s="13" t="n"/>
      <c r="K120" s="13" t="n"/>
      <c r="L120" s="13" t="n"/>
      <c r="M120" s="13" t="n"/>
    </row>
    <row r="121">
      <c r="A121" s="3" t="inlineStr">
        <is>
          <t>SW-0117</t>
        </is>
      </c>
      <c r="B121" s="13" t="n"/>
      <c r="C121" s="13" t="n"/>
      <c r="D121" s="13" t="n"/>
      <c r="E121" s="13" t="n"/>
      <c r="F121" s="13" t="n"/>
      <c r="G121" s="13" t="n"/>
      <c r="H121" s="13" t="n"/>
      <c r="I121" s="13" t="n"/>
      <c r="J121" s="13" t="n"/>
      <c r="K121" s="13" t="n"/>
      <c r="L121" s="13" t="n"/>
      <c r="M121" s="13" t="n"/>
    </row>
    <row r="122">
      <c r="A122" s="3" t="inlineStr">
        <is>
          <t>SW-0118</t>
        </is>
      </c>
      <c r="B122" s="13" t="n"/>
      <c r="C122" s="13" t="n"/>
      <c r="D122" s="13" t="n"/>
      <c r="E122" s="13" t="n"/>
      <c r="F122" s="13" t="n"/>
      <c r="G122" s="13" t="n"/>
      <c r="H122" s="13" t="n"/>
      <c r="I122" s="13" t="n"/>
      <c r="J122" s="13" t="n"/>
      <c r="K122" s="13" t="n"/>
      <c r="L122" s="13" t="n"/>
      <c r="M122" s="13" t="n"/>
    </row>
    <row r="123">
      <c r="A123" s="3" t="inlineStr">
        <is>
          <t>SW-0119</t>
        </is>
      </c>
      <c r="B123" s="13" t="n"/>
      <c r="C123" s="13" t="n"/>
      <c r="D123" s="13" t="n"/>
      <c r="E123" s="13" t="n"/>
      <c r="F123" s="13" t="n"/>
      <c r="G123" s="13" t="n"/>
      <c r="H123" s="13" t="n"/>
      <c r="I123" s="13" t="n"/>
      <c r="J123" s="13" t="n"/>
      <c r="K123" s="13" t="n"/>
      <c r="L123" s="13" t="n"/>
      <c r="M123" s="13" t="n"/>
    </row>
    <row r="124">
      <c r="A124" s="3" t="inlineStr">
        <is>
          <t>SW-0120</t>
        </is>
      </c>
      <c r="B124" s="13" t="n"/>
      <c r="C124" s="13" t="n"/>
      <c r="D124" s="13" t="n"/>
      <c r="E124" s="13" t="n"/>
      <c r="F124" s="13" t="n"/>
      <c r="G124" s="13" t="n"/>
      <c r="H124" s="13" t="n"/>
      <c r="I124" s="13" t="n"/>
      <c r="J124" s="13" t="n"/>
      <c r="K124" s="13" t="n"/>
      <c r="L124" s="13" t="n"/>
      <c r="M124" s="13" t="n"/>
    </row>
    <row r="125">
      <c r="A125" s="3" t="inlineStr">
        <is>
          <t>SW-0121</t>
        </is>
      </c>
      <c r="B125" s="13" t="n"/>
      <c r="C125" s="13" t="n"/>
      <c r="D125" s="13" t="n"/>
      <c r="E125" s="13" t="n"/>
      <c r="F125" s="13" t="n"/>
      <c r="G125" s="13" t="n"/>
      <c r="H125" s="13" t="n"/>
      <c r="I125" s="13" t="n"/>
      <c r="J125" s="13" t="n"/>
      <c r="K125" s="13" t="n"/>
      <c r="L125" s="13" t="n"/>
      <c r="M125" s="13" t="n"/>
    </row>
    <row r="126">
      <c r="A126" s="3" t="inlineStr">
        <is>
          <t>SW-0122</t>
        </is>
      </c>
      <c r="B126" s="13" t="n"/>
      <c r="C126" s="13" t="n"/>
      <c r="D126" s="13" t="n"/>
      <c r="E126" s="13" t="n"/>
      <c r="F126" s="13" t="n"/>
      <c r="G126" s="13" t="n"/>
      <c r="H126" s="13" t="n"/>
      <c r="I126" s="13" t="n"/>
      <c r="J126" s="13" t="n"/>
      <c r="K126" s="13" t="n"/>
      <c r="L126" s="13" t="n"/>
      <c r="M126" s="13" t="n"/>
    </row>
    <row r="127">
      <c r="A127" s="3" t="inlineStr">
        <is>
          <t>SW-0123</t>
        </is>
      </c>
      <c r="B127" s="13" t="n"/>
      <c r="C127" s="13" t="n"/>
      <c r="D127" s="13" t="n"/>
      <c r="E127" s="13" t="n"/>
      <c r="F127" s="13" t="n"/>
      <c r="G127" s="13" t="n"/>
      <c r="H127" s="13" t="n"/>
      <c r="I127" s="13" t="n"/>
      <c r="J127" s="13" t="n"/>
      <c r="K127" s="13" t="n"/>
      <c r="L127" s="13" t="n"/>
      <c r="M127" s="13" t="n"/>
    </row>
    <row r="128">
      <c r="A128" s="3" t="inlineStr">
        <is>
          <t>SW-0124</t>
        </is>
      </c>
      <c r="B128" s="13" t="n"/>
      <c r="C128" s="13" t="n"/>
      <c r="D128" s="13" t="n"/>
      <c r="E128" s="13" t="n"/>
      <c r="F128" s="13" t="n"/>
      <c r="G128" s="13" t="n"/>
      <c r="H128" s="13" t="n"/>
      <c r="I128" s="13" t="n"/>
      <c r="J128" s="13" t="n"/>
      <c r="K128" s="13" t="n"/>
      <c r="L128" s="13" t="n"/>
      <c r="M128" s="13" t="n"/>
    </row>
    <row r="129">
      <c r="A129" s="3" t="inlineStr">
        <is>
          <t>SW-0125</t>
        </is>
      </c>
      <c r="B129" s="13" t="n"/>
      <c r="C129" s="13" t="n"/>
      <c r="D129" s="13" t="n"/>
      <c r="E129" s="13" t="n"/>
      <c r="F129" s="13" t="n"/>
      <c r="G129" s="13" t="n"/>
      <c r="H129" s="13" t="n"/>
      <c r="I129" s="13" t="n"/>
      <c r="J129" s="13" t="n"/>
      <c r="K129" s="13" t="n"/>
      <c r="L129" s="13" t="n"/>
      <c r="M129" s="13" t="n"/>
    </row>
    <row r="130">
      <c r="A130" s="3" t="inlineStr">
        <is>
          <t>SW-0126</t>
        </is>
      </c>
      <c r="B130" s="13" t="n"/>
      <c r="C130" s="13" t="n"/>
      <c r="D130" s="13" t="n"/>
      <c r="E130" s="13" t="n"/>
      <c r="F130" s="13" t="n"/>
      <c r="G130" s="13" t="n"/>
      <c r="H130" s="13" t="n"/>
      <c r="I130" s="13" t="n"/>
      <c r="J130" s="13" t="n"/>
      <c r="K130" s="13" t="n"/>
      <c r="L130" s="13" t="n"/>
      <c r="M130" s="13" t="n"/>
    </row>
    <row r="131">
      <c r="A131" s="3" t="inlineStr">
        <is>
          <t>SW-0127</t>
        </is>
      </c>
      <c r="B131" s="13" t="n"/>
      <c r="C131" s="13" t="n"/>
      <c r="D131" s="13" t="n"/>
      <c r="E131" s="13" t="n"/>
      <c r="F131" s="13" t="n"/>
      <c r="G131" s="13" t="n"/>
      <c r="H131" s="13" t="n"/>
      <c r="I131" s="13" t="n"/>
      <c r="J131" s="13" t="n"/>
      <c r="K131" s="13" t="n"/>
      <c r="L131" s="13" t="n"/>
      <c r="M131" s="13" t="n"/>
    </row>
    <row r="132">
      <c r="A132" s="3" t="inlineStr">
        <is>
          <t>SW-0128</t>
        </is>
      </c>
      <c r="B132" s="13" t="n"/>
      <c r="C132" s="13" t="n"/>
      <c r="D132" s="13" t="n"/>
      <c r="E132" s="13" t="n"/>
      <c r="F132" s="13" t="n"/>
      <c r="G132" s="13" t="n"/>
      <c r="H132" s="13" t="n"/>
      <c r="I132" s="13" t="n"/>
      <c r="J132" s="13" t="n"/>
      <c r="K132" s="13" t="n"/>
      <c r="L132" s="13" t="n"/>
      <c r="M132" s="13" t="n"/>
    </row>
    <row r="133">
      <c r="A133" s="3" t="inlineStr">
        <is>
          <t>SW-0129</t>
        </is>
      </c>
      <c r="B133" s="13" t="n"/>
      <c r="C133" s="13" t="n"/>
      <c r="D133" s="13" t="n"/>
      <c r="E133" s="13" t="n"/>
      <c r="F133" s="13" t="n"/>
      <c r="G133" s="13" t="n"/>
      <c r="H133" s="13" t="n"/>
      <c r="I133" s="13" t="n"/>
      <c r="J133" s="13" t="n"/>
      <c r="K133" s="13" t="n"/>
      <c r="L133" s="13" t="n"/>
      <c r="M133" s="13" t="n"/>
    </row>
    <row r="134">
      <c r="A134" s="3" t="inlineStr">
        <is>
          <t>SW-0130</t>
        </is>
      </c>
      <c r="B134" s="13" t="n"/>
      <c r="C134" s="13" t="n"/>
      <c r="D134" s="13" t="n"/>
      <c r="E134" s="13" t="n"/>
      <c r="F134" s="13" t="n"/>
      <c r="G134" s="13" t="n"/>
      <c r="H134" s="13" t="n"/>
      <c r="I134" s="13" t="n"/>
      <c r="J134" s="13" t="n"/>
      <c r="K134" s="13" t="n"/>
      <c r="L134" s="13" t="n"/>
      <c r="M134" s="13" t="n"/>
    </row>
    <row r="135">
      <c r="A135" s="3" t="inlineStr">
        <is>
          <t>SW-0131</t>
        </is>
      </c>
      <c r="B135" s="13" t="n"/>
      <c r="C135" s="13" t="n"/>
      <c r="D135" s="13" t="n"/>
      <c r="E135" s="13" t="n"/>
      <c r="F135" s="13" t="n"/>
      <c r="G135" s="13" t="n"/>
      <c r="H135" s="13" t="n"/>
      <c r="I135" s="13" t="n"/>
      <c r="J135" s="13" t="n"/>
      <c r="K135" s="13" t="n"/>
      <c r="L135" s="13" t="n"/>
      <c r="M135" s="13" t="n"/>
    </row>
    <row r="136">
      <c r="A136" s="3" t="inlineStr">
        <is>
          <t>SW-0132</t>
        </is>
      </c>
      <c r="B136" s="13" t="n"/>
      <c r="C136" s="13" t="n"/>
      <c r="D136" s="13" t="n"/>
      <c r="E136" s="13" t="n"/>
      <c r="F136" s="13" t="n"/>
      <c r="G136" s="13" t="n"/>
      <c r="H136" s="13" t="n"/>
      <c r="I136" s="13" t="n"/>
      <c r="J136" s="13" t="n"/>
      <c r="K136" s="13" t="n"/>
      <c r="L136" s="13" t="n"/>
      <c r="M136" s="13" t="n"/>
    </row>
    <row r="137">
      <c r="A137" s="3" t="inlineStr">
        <is>
          <t>SW-0133</t>
        </is>
      </c>
      <c r="B137" s="13" t="n"/>
      <c r="C137" s="13" t="n"/>
      <c r="D137" s="13" t="n"/>
      <c r="E137" s="13" t="n"/>
      <c r="F137" s="13" t="n"/>
      <c r="G137" s="13" t="n"/>
      <c r="H137" s="13" t="n"/>
      <c r="I137" s="13" t="n"/>
      <c r="J137" s="13" t="n"/>
      <c r="K137" s="13" t="n"/>
      <c r="L137" s="13" t="n"/>
      <c r="M137" s="13" t="n"/>
    </row>
    <row r="138">
      <c r="A138" s="3" t="inlineStr">
        <is>
          <t>SW-0134</t>
        </is>
      </c>
      <c r="B138" s="13" t="n"/>
      <c r="C138" s="13" t="n"/>
      <c r="D138" s="13" t="n"/>
      <c r="E138" s="13" t="n"/>
      <c r="F138" s="13" t="n"/>
      <c r="G138" s="13" t="n"/>
      <c r="H138" s="13" t="n"/>
      <c r="I138" s="13" t="n"/>
      <c r="J138" s="13" t="n"/>
      <c r="K138" s="13" t="n"/>
      <c r="L138" s="13" t="n"/>
      <c r="M138" s="13" t="n"/>
    </row>
    <row r="139">
      <c r="A139" s="3" t="inlineStr">
        <is>
          <t>SW-0135</t>
        </is>
      </c>
      <c r="B139" s="13" t="n"/>
      <c r="C139" s="13" t="n"/>
      <c r="D139" s="13" t="n"/>
      <c r="E139" s="13" t="n"/>
      <c r="F139" s="13" t="n"/>
      <c r="G139" s="13" t="n"/>
      <c r="H139" s="13" t="n"/>
      <c r="I139" s="13" t="n"/>
      <c r="J139" s="13" t="n"/>
      <c r="K139" s="13" t="n"/>
      <c r="L139" s="13" t="n"/>
      <c r="M139" s="13" t="n"/>
    </row>
    <row r="140">
      <c r="A140" s="3" t="inlineStr">
        <is>
          <t>SW-0136</t>
        </is>
      </c>
      <c r="B140" s="13" t="n"/>
      <c r="C140" s="13" t="n"/>
      <c r="D140" s="13" t="n"/>
      <c r="E140" s="13" t="n"/>
      <c r="F140" s="13" t="n"/>
      <c r="G140" s="13" t="n"/>
      <c r="H140" s="13" t="n"/>
      <c r="I140" s="13" t="n"/>
      <c r="J140" s="13" t="n"/>
      <c r="K140" s="13" t="n"/>
      <c r="L140" s="13" t="n"/>
      <c r="M140" s="13" t="n"/>
    </row>
    <row r="141">
      <c r="A141" s="3" t="inlineStr">
        <is>
          <t>SW-0137</t>
        </is>
      </c>
      <c r="B141" s="13" t="n"/>
      <c r="C141" s="13" t="n"/>
      <c r="D141" s="13" t="n"/>
      <c r="E141" s="13" t="n"/>
      <c r="F141" s="13" t="n"/>
      <c r="G141" s="13" t="n"/>
      <c r="H141" s="13" t="n"/>
      <c r="I141" s="13" t="n"/>
      <c r="J141" s="13" t="n"/>
      <c r="K141" s="13" t="n"/>
      <c r="L141" s="13" t="n"/>
      <c r="M141" s="13" t="n"/>
    </row>
    <row r="142">
      <c r="A142" s="3" t="inlineStr">
        <is>
          <t>SW-0138</t>
        </is>
      </c>
      <c r="B142" s="13" t="n"/>
      <c r="C142" s="13" t="n"/>
      <c r="D142" s="13" t="n"/>
      <c r="E142" s="13" t="n"/>
      <c r="F142" s="13" t="n"/>
      <c r="G142" s="13" t="n"/>
      <c r="H142" s="13" t="n"/>
      <c r="I142" s="13" t="n"/>
      <c r="J142" s="13" t="n"/>
      <c r="K142" s="13" t="n"/>
      <c r="L142" s="13" t="n"/>
      <c r="M142" s="13" t="n"/>
    </row>
    <row r="143">
      <c r="A143" s="3" t="inlineStr">
        <is>
          <t>SW-0139</t>
        </is>
      </c>
      <c r="B143" s="13" t="n"/>
      <c r="C143" s="13" t="n"/>
      <c r="D143" s="13" t="n"/>
      <c r="E143" s="13" t="n"/>
      <c r="F143" s="13" t="n"/>
      <c r="G143" s="13" t="n"/>
      <c r="H143" s="13" t="n"/>
      <c r="I143" s="13" t="n"/>
      <c r="J143" s="13" t="n"/>
      <c r="K143" s="13" t="n"/>
      <c r="L143" s="13" t="n"/>
      <c r="M143" s="13" t="n"/>
    </row>
    <row r="144">
      <c r="A144" s="3" t="inlineStr">
        <is>
          <t>SW-0140</t>
        </is>
      </c>
      <c r="B144" s="13" t="n"/>
      <c r="C144" s="13" t="n"/>
      <c r="D144" s="13" t="n"/>
      <c r="E144" s="13" t="n"/>
      <c r="F144" s="13" t="n"/>
      <c r="G144" s="13" t="n"/>
      <c r="H144" s="13" t="n"/>
      <c r="I144" s="13" t="n"/>
      <c r="J144" s="13" t="n"/>
      <c r="K144" s="13" t="n"/>
      <c r="L144" s="13" t="n"/>
      <c r="M144" s="13" t="n"/>
    </row>
    <row r="145">
      <c r="A145" s="3" t="inlineStr">
        <is>
          <t>SW-0141</t>
        </is>
      </c>
      <c r="B145" s="13" t="n"/>
      <c r="C145" s="13" t="n"/>
      <c r="D145" s="13" t="n"/>
      <c r="E145" s="13" t="n"/>
      <c r="F145" s="13" t="n"/>
      <c r="G145" s="13" t="n"/>
      <c r="H145" s="13" t="n"/>
      <c r="I145" s="13" t="n"/>
      <c r="J145" s="13" t="n"/>
      <c r="K145" s="13" t="n"/>
      <c r="L145" s="13" t="n"/>
      <c r="M145" s="13" t="n"/>
    </row>
    <row r="146">
      <c r="A146" s="3" t="inlineStr">
        <is>
          <t>SW-0142</t>
        </is>
      </c>
      <c r="B146" s="13" t="n"/>
      <c r="C146" s="13" t="n"/>
      <c r="D146" s="13" t="n"/>
      <c r="E146" s="13" t="n"/>
      <c r="F146" s="13" t="n"/>
      <c r="G146" s="13" t="n"/>
      <c r="H146" s="13" t="n"/>
      <c r="I146" s="13" t="n"/>
      <c r="J146" s="13" t="n"/>
      <c r="K146" s="13" t="n"/>
      <c r="L146" s="13" t="n"/>
      <c r="M146" s="13" t="n"/>
    </row>
    <row r="147">
      <c r="A147" s="3" t="inlineStr">
        <is>
          <t>SW-0143</t>
        </is>
      </c>
      <c r="B147" s="13" t="n"/>
      <c r="C147" s="13" t="n"/>
      <c r="D147" s="13" t="n"/>
      <c r="E147" s="13" t="n"/>
      <c r="F147" s="13" t="n"/>
      <c r="G147" s="13" t="n"/>
      <c r="H147" s="13" t="n"/>
      <c r="I147" s="13" t="n"/>
      <c r="J147" s="13" t="n"/>
      <c r="K147" s="13" t="n"/>
      <c r="L147" s="13" t="n"/>
      <c r="M147" s="13" t="n"/>
    </row>
    <row r="148">
      <c r="A148" s="3" t="inlineStr">
        <is>
          <t>SW-0144</t>
        </is>
      </c>
      <c r="B148" s="13" t="n"/>
      <c r="C148" s="13" t="n"/>
      <c r="D148" s="13" t="n"/>
      <c r="E148" s="13" t="n"/>
      <c r="F148" s="13" t="n"/>
      <c r="G148" s="13" t="n"/>
      <c r="H148" s="13" t="n"/>
      <c r="I148" s="13" t="n"/>
      <c r="J148" s="13" t="n"/>
      <c r="K148" s="13" t="n"/>
      <c r="L148" s="13" t="n"/>
      <c r="M148" s="13" t="n"/>
    </row>
    <row r="149">
      <c r="A149" s="3" t="inlineStr">
        <is>
          <t>SW-0145</t>
        </is>
      </c>
      <c r="B149" s="13" t="n"/>
      <c r="C149" s="13" t="n"/>
      <c r="D149" s="13" t="n"/>
      <c r="E149" s="13" t="n"/>
      <c r="F149" s="13" t="n"/>
      <c r="G149" s="13" t="n"/>
      <c r="H149" s="13" t="n"/>
      <c r="I149" s="13" t="n"/>
      <c r="J149" s="13" t="n"/>
      <c r="K149" s="13" t="n"/>
      <c r="L149" s="13" t="n"/>
      <c r="M149" s="13" t="n"/>
    </row>
    <row r="150">
      <c r="A150" s="3" t="inlineStr">
        <is>
          <t>SW-0146</t>
        </is>
      </c>
      <c r="B150" s="13" t="n"/>
      <c r="C150" s="13" t="n"/>
      <c r="D150" s="13" t="n"/>
      <c r="E150" s="13" t="n"/>
      <c r="F150" s="13" t="n"/>
      <c r="G150" s="13" t="n"/>
      <c r="H150" s="13" t="n"/>
      <c r="I150" s="13" t="n"/>
      <c r="J150" s="13" t="n"/>
      <c r="K150" s="13" t="n"/>
      <c r="L150" s="13" t="n"/>
      <c r="M150" s="13" t="n"/>
    </row>
    <row r="151">
      <c r="A151" s="3" t="inlineStr">
        <is>
          <t>SW-0147</t>
        </is>
      </c>
      <c r="B151" s="13" t="n"/>
      <c r="C151" s="13" t="n"/>
      <c r="D151" s="13" t="n"/>
      <c r="E151" s="13" t="n"/>
      <c r="F151" s="13" t="n"/>
      <c r="G151" s="13" t="n"/>
      <c r="H151" s="13" t="n"/>
      <c r="I151" s="13" t="n"/>
      <c r="J151" s="13" t="n"/>
      <c r="K151" s="13" t="n"/>
      <c r="L151" s="13" t="n"/>
      <c r="M151" s="13" t="n"/>
    </row>
    <row r="152">
      <c r="A152" s="3" t="inlineStr">
        <is>
          <t>SW-0148</t>
        </is>
      </c>
      <c r="B152" s="13" t="n"/>
      <c r="C152" s="13" t="n"/>
      <c r="D152" s="13" t="n"/>
      <c r="E152" s="13" t="n"/>
      <c r="F152" s="13" t="n"/>
      <c r="G152" s="13" t="n"/>
      <c r="H152" s="13" t="n"/>
      <c r="I152" s="13" t="n"/>
      <c r="J152" s="13" t="n"/>
      <c r="K152" s="13" t="n"/>
      <c r="L152" s="13" t="n"/>
      <c r="M152" s="13" t="n"/>
    </row>
    <row r="153">
      <c r="A153" s="3" t="inlineStr">
        <is>
          <t>SW-0149</t>
        </is>
      </c>
      <c r="B153" s="13" t="n"/>
      <c r="C153" s="13" t="n"/>
      <c r="D153" s="13" t="n"/>
      <c r="E153" s="13" t="n"/>
      <c r="F153" s="13" t="n"/>
      <c r="G153" s="13" t="n"/>
      <c r="H153" s="13" t="n"/>
      <c r="I153" s="13" t="n"/>
      <c r="J153" s="13" t="n"/>
      <c r="K153" s="13" t="n"/>
      <c r="L153" s="13" t="n"/>
      <c r="M153" s="13" t="n"/>
    </row>
    <row r="154">
      <c r="A154" s="3" t="inlineStr">
        <is>
          <t>SW-0150</t>
        </is>
      </c>
      <c r="B154" s="13" t="n"/>
      <c r="C154" s="13" t="n"/>
      <c r="D154" s="13" t="n"/>
      <c r="E154" s="13" t="n"/>
      <c r="F154" s="13" t="n"/>
      <c r="G154" s="13" t="n"/>
      <c r="H154" s="13" t="n"/>
      <c r="I154" s="13" t="n"/>
      <c r="J154" s="13" t="n"/>
      <c r="K154" s="13" t="n"/>
      <c r="L154" s="13" t="n"/>
      <c r="M154" s="13" t="n"/>
    </row>
    <row r="155">
      <c r="A155" s="3" t="inlineStr">
        <is>
          <t>SW-0151</t>
        </is>
      </c>
      <c r="B155" s="13" t="n"/>
      <c r="C155" s="13" t="n"/>
      <c r="D155" s="13" t="n"/>
      <c r="E155" s="13" t="n"/>
      <c r="F155" s="13" t="n"/>
      <c r="G155" s="13" t="n"/>
      <c r="H155" s="13" t="n"/>
      <c r="I155" s="13" t="n"/>
      <c r="J155" s="13" t="n"/>
      <c r="K155" s="13" t="n"/>
      <c r="L155" s="13" t="n"/>
      <c r="M155" s="13" t="n"/>
    </row>
    <row r="156">
      <c r="A156" s="3" t="inlineStr">
        <is>
          <t>SW-0152</t>
        </is>
      </c>
      <c r="B156" s="13" t="n"/>
      <c r="C156" s="13" t="n"/>
      <c r="D156" s="13" t="n"/>
      <c r="E156" s="13" t="n"/>
      <c r="F156" s="13" t="n"/>
      <c r="G156" s="13" t="n"/>
      <c r="H156" s="13" t="n"/>
      <c r="I156" s="13" t="n"/>
      <c r="J156" s="13" t="n"/>
      <c r="K156" s="13" t="n"/>
      <c r="L156" s="13" t="n"/>
      <c r="M156" s="13" t="n"/>
    </row>
    <row r="157">
      <c r="A157" s="3" t="inlineStr">
        <is>
          <t>SW-0153</t>
        </is>
      </c>
      <c r="B157" s="13" t="n"/>
      <c r="C157" s="13" t="n"/>
      <c r="D157" s="13" t="n"/>
      <c r="E157" s="13" t="n"/>
      <c r="F157" s="13" t="n"/>
      <c r="G157" s="13" t="n"/>
      <c r="H157" s="13" t="n"/>
      <c r="I157" s="13" t="n"/>
      <c r="J157" s="13" t="n"/>
      <c r="K157" s="13" t="n"/>
      <c r="L157" s="13" t="n"/>
      <c r="M157" s="13" t="n"/>
    </row>
    <row r="158">
      <c r="A158" s="3" t="inlineStr">
        <is>
          <t>SW-0154</t>
        </is>
      </c>
      <c r="B158" s="13" t="n"/>
      <c r="C158" s="13" t="n"/>
      <c r="D158" s="13" t="n"/>
      <c r="E158" s="13" t="n"/>
      <c r="F158" s="13" t="n"/>
      <c r="G158" s="13" t="n"/>
      <c r="H158" s="13" t="n"/>
      <c r="I158" s="13" t="n"/>
      <c r="J158" s="13" t="n"/>
      <c r="K158" s="13" t="n"/>
      <c r="L158" s="13" t="n"/>
      <c r="M158" s="13" t="n"/>
    </row>
    <row r="159">
      <c r="A159" s="3" t="inlineStr">
        <is>
          <t>SW-0155</t>
        </is>
      </c>
      <c r="B159" s="13" t="n"/>
      <c r="C159" s="13" t="n"/>
      <c r="D159" s="13" t="n"/>
      <c r="E159" s="13" t="n"/>
      <c r="F159" s="13" t="n"/>
      <c r="G159" s="13" t="n"/>
      <c r="H159" s="13" t="n"/>
      <c r="I159" s="13" t="n"/>
      <c r="J159" s="13" t="n"/>
      <c r="K159" s="13" t="n"/>
      <c r="L159" s="13" t="n"/>
      <c r="M159" s="13" t="n"/>
    </row>
    <row r="160">
      <c r="A160" s="3" t="inlineStr">
        <is>
          <t>SW-0156</t>
        </is>
      </c>
      <c r="B160" s="13" t="n"/>
      <c r="C160" s="13" t="n"/>
      <c r="D160" s="13" t="n"/>
      <c r="E160" s="13" t="n"/>
      <c r="F160" s="13" t="n"/>
      <c r="G160" s="13" t="n"/>
      <c r="H160" s="13" t="n"/>
      <c r="I160" s="13" t="n"/>
      <c r="J160" s="13" t="n"/>
      <c r="K160" s="13" t="n"/>
      <c r="L160" s="13" t="n"/>
      <c r="M160" s="13" t="n"/>
    </row>
    <row r="161">
      <c r="A161" s="3" t="inlineStr">
        <is>
          <t>SW-0157</t>
        </is>
      </c>
      <c r="B161" s="13" t="n"/>
      <c r="C161" s="13" t="n"/>
      <c r="D161" s="13" t="n"/>
      <c r="E161" s="13" t="n"/>
      <c r="F161" s="13" t="n"/>
      <c r="G161" s="13" t="n"/>
      <c r="H161" s="13" t="n"/>
      <c r="I161" s="13" t="n"/>
      <c r="J161" s="13" t="n"/>
      <c r="K161" s="13" t="n"/>
      <c r="L161" s="13" t="n"/>
      <c r="M161" s="13" t="n"/>
    </row>
    <row r="162">
      <c r="A162" s="3" t="inlineStr">
        <is>
          <t>SW-0158</t>
        </is>
      </c>
      <c r="B162" s="13" t="n"/>
      <c r="C162" s="13" t="n"/>
      <c r="D162" s="13" t="n"/>
      <c r="E162" s="13" t="n"/>
      <c r="F162" s="13" t="n"/>
      <c r="G162" s="13" t="n"/>
      <c r="H162" s="13" t="n"/>
      <c r="I162" s="13" t="n"/>
      <c r="J162" s="13" t="n"/>
      <c r="K162" s="13" t="n"/>
      <c r="L162" s="13" t="n"/>
      <c r="M162" s="13" t="n"/>
    </row>
    <row r="163">
      <c r="A163" s="3" t="inlineStr">
        <is>
          <t>SW-0159</t>
        </is>
      </c>
      <c r="B163" s="13" t="n"/>
      <c r="C163" s="13" t="n"/>
      <c r="D163" s="13" t="n"/>
      <c r="E163" s="13" t="n"/>
      <c r="F163" s="13" t="n"/>
      <c r="G163" s="13" t="n"/>
      <c r="H163" s="13" t="n"/>
      <c r="I163" s="13" t="n"/>
      <c r="J163" s="13" t="n"/>
      <c r="K163" s="13" t="n"/>
      <c r="L163" s="13" t="n"/>
      <c r="M163" s="13" t="n"/>
    </row>
    <row r="164">
      <c r="A164" s="3" t="inlineStr">
        <is>
          <t>SW-0160</t>
        </is>
      </c>
      <c r="B164" s="13" t="n"/>
      <c r="C164" s="13" t="n"/>
      <c r="D164" s="13" t="n"/>
      <c r="E164" s="13" t="n"/>
      <c r="F164" s="13" t="n"/>
      <c r="G164" s="13" t="n"/>
      <c r="H164" s="13" t="n"/>
      <c r="I164" s="13" t="n"/>
      <c r="J164" s="13" t="n"/>
      <c r="K164" s="13" t="n"/>
      <c r="L164" s="13" t="n"/>
      <c r="M164" s="13" t="n"/>
    </row>
    <row r="165">
      <c r="A165" s="3" t="inlineStr">
        <is>
          <t>SW-0161</t>
        </is>
      </c>
      <c r="B165" s="13" t="n"/>
      <c r="C165" s="13" t="n"/>
      <c r="D165" s="13" t="n"/>
      <c r="E165" s="13" t="n"/>
      <c r="F165" s="13" t="n"/>
      <c r="G165" s="13" t="n"/>
      <c r="H165" s="13" t="n"/>
      <c r="I165" s="13" t="n"/>
      <c r="J165" s="13" t="n"/>
      <c r="K165" s="13" t="n"/>
      <c r="L165" s="13" t="n"/>
      <c r="M165" s="13" t="n"/>
    </row>
    <row r="166">
      <c r="A166" s="3" t="inlineStr">
        <is>
          <t>SW-0162</t>
        </is>
      </c>
      <c r="B166" s="13" t="n"/>
      <c r="C166" s="13" t="n"/>
      <c r="D166" s="13" t="n"/>
      <c r="E166" s="13" t="n"/>
      <c r="F166" s="13" t="n"/>
      <c r="G166" s="13" t="n"/>
      <c r="H166" s="13" t="n"/>
      <c r="I166" s="13" t="n"/>
      <c r="J166" s="13" t="n"/>
      <c r="K166" s="13" t="n"/>
      <c r="L166" s="13" t="n"/>
      <c r="M166" s="13" t="n"/>
    </row>
    <row r="167">
      <c r="A167" s="3" t="inlineStr">
        <is>
          <t>SW-0163</t>
        </is>
      </c>
      <c r="B167" s="13" t="n"/>
      <c r="C167" s="13" t="n"/>
      <c r="D167" s="13" t="n"/>
      <c r="E167" s="13" t="n"/>
      <c r="F167" s="13" t="n"/>
      <c r="G167" s="13" t="n"/>
      <c r="H167" s="13" t="n"/>
      <c r="I167" s="13" t="n"/>
      <c r="J167" s="13" t="n"/>
      <c r="K167" s="13" t="n"/>
      <c r="L167" s="13" t="n"/>
      <c r="M167" s="13" t="n"/>
    </row>
    <row r="168">
      <c r="A168" s="3" t="inlineStr">
        <is>
          <t>SW-0164</t>
        </is>
      </c>
      <c r="B168" s="13" t="n"/>
      <c r="C168" s="13" t="n"/>
      <c r="D168" s="13" t="n"/>
      <c r="E168" s="13" t="n"/>
      <c r="F168" s="13" t="n"/>
      <c r="G168" s="13" t="n"/>
      <c r="H168" s="13" t="n"/>
      <c r="I168" s="13" t="n"/>
      <c r="J168" s="13" t="n"/>
      <c r="K168" s="13" t="n"/>
      <c r="L168" s="13" t="n"/>
      <c r="M168" s="13" t="n"/>
    </row>
    <row r="169">
      <c r="A169" s="3" t="inlineStr">
        <is>
          <t>SW-0165</t>
        </is>
      </c>
      <c r="B169" s="13" t="n"/>
      <c r="C169" s="13" t="n"/>
      <c r="D169" s="13" t="n"/>
      <c r="E169" s="13" t="n"/>
      <c r="F169" s="13" t="n"/>
      <c r="G169" s="13" t="n"/>
      <c r="H169" s="13" t="n"/>
      <c r="I169" s="13" t="n"/>
      <c r="J169" s="13" t="n"/>
      <c r="K169" s="13" t="n"/>
      <c r="L169" s="13" t="n"/>
      <c r="M169" s="13" t="n"/>
    </row>
    <row r="170">
      <c r="A170" s="3" t="inlineStr">
        <is>
          <t>SW-0166</t>
        </is>
      </c>
      <c r="B170" s="13" t="n"/>
      <c r="C170" s="13" t="n"/>
      <c r="D170" s="13" t="n"/>
      <c r="E170" s="13" t="n"/>
      <c r="F170" s="13" t="n"/>
      <c r="G170" s="13" t="n"/>
      <c r="H170" s="13" t="n"/>
      <c r="I170" s="13" t="n"/>
      <c r="J170" s="13" t="n"/>
      <c r="K170" s="13" t="n"/>
      <c r="L170" s="13" t="n"/>
      <c r="M170" s="13" t="n"/>
    </row>
    <row r="171">
      <c r="A171" s="3" t="inlineStr">
        <is>
          <t>SW-0167</t>
        </is>
      </c>
      <c r="B171" s="13" t="n"/>
      <c r="C171" s="13" t="n"/>
      <c r="D171" s="13" t="n"/>
      <c r="E171" s="13" t="n"/>
      <c r="F171" s="13" t="n"/>
      <c r="G171" s="13" t="n"/>
      <c r="H171" s="13" t="n"/>
      <c r="I171" s="13" t="n"/>
      <c r="J171" s="13" t="n"/>
      <c r="K171" s="13" t="n"/>
      <c r="L171" s="13" t="n"/>
      <c r="M171" s="13" t="n"/>
    </row>
    <row r="172">
      <c r="A172" s="3" t="inlineStr">
        <is>
          <t>SW-0168</t>
        </is>
      </c>
      <c r="B172" s="13" t="n"/>
      <c r="C172" s="13" t="n"/>
      <c r="D172" s="13" t="n"/>
      <c r="E172" s="13" t="n"/>
      <c r="F172" s="13" t="n"/>
      <c r="G172" s="13" t="n"/>
      <c r="H172" s="13" t="n"/>
      <c r="I172" s="13" t="n"/>
      <c r="J172" s="13" t="n"/>
      <c r="K172" s="13" t="n"/>
      <c r="L172" s="13" t="n"/>
      <c r="M172" s="13" t="n"/>
    </row>
    <row r="173">
      <c r="A173" s="3" t="inlineStr">
        <is>
          <t>SW-0169</t>
        </is>
      </c>
      <c r="B173" s="13" t="n"/>
      <c r="C173" s="13" t="n"/>
      <c r="D173" s="13" t="n"/>
      <c r="E173" s="13" t="n"/>
      <c r="F173" s="13" t="n"/>
      <c r="G173" s="13" t="n"/>
      <c r="H173" s="13" t="n"/>
      <c r="I173" s="13" t="n"/>
      <c r="J173" s="13" t="n"/>
      <c r="K173" s="13" t="n"/>
      <c r="L173" s="13" t="n"/>
      <c r="M173" s="13" t="n"/>
    </row>
    <row r="174">
      <c r="A174" s="3" t="inlineStr">
        <is>
          <t>SW-0170</t>
        </is>
      </c>
      <c r="B174" s="13" t="n"/>
      <c r="C174" s="13" t="n"/>
      <c r="D174" s="13" t="n"/>
      <c r="E174" s="13" t="n"/>
      <c r="F174" s="13" t="n"/>
      <c r="G174" s="13" t="n"/>
      <c r="H174" s="13" t="n"/>
      <c r="I174" s="13" t="n"/>
      <c r="J174" s="13" t="n"/>
      <c r="K174" s="13" t="n"/>
      <c r="L174" s="13" t="n"/>
      <c r="M174" s="13" t="n"/>
    </row>
    <row r="175">
      <c r="A175" s="3" t="inlineStr">
        <is>
          <t>SW-0171</t>
        </is>
      </c>
      <c r="B175" s="13" t="n"/>
      <c r="C175" s="13" t="n"/>
      <c r="D175" s="13" t="n"/>
      <c r="E175" s="13" t="n"/>
      <c r="F175" s="13" t="n"/>
      <c r="G175" s="13" t="n"/>
      <c r="H175" s="13" t="n"/>
      <c r="I175" s="13" t="n"/>
      <c r="J175" s="13" t="n"/>
      <c r="K175" s="13" t="n"/>
      <c r="L175" s="13" t="n"/>
      <c r="M175" s="13" t="n"/>
    </row>
    <row r="176">
      <c r="A176" s="3" t="inlineStr">
        <is>
          <t>SW-0172</t>
        </is>
      </c>
      <c r="B176" s="13" t="n"/>
      <c r="C176" s="13" t="n"/>
      <c r="D176" s="13" t="n"/>
      <c r="E176" s="13" t="n"/>
      <c r="F176" s="13" t="n"/>
      <c r="G176" s="13" t="n"/>
      <c r="H176" s="13" t="n"/>
      <c r="I176" s="13" t="n"/>
      <c r="J176" s="13" t="n"/>
      <c r="K176" s="13" t="n"/>
      <c r="L176" s="13" t="n"/>
      <c r="M176" s="13" t="n"/>
    </row>
    <row r="177">
      <c r="A177" s="3" t="inlineStr">
        <is>
          <t>SW-0173</t>
        </is>
      </c>
      <c r="B177" s="13" t="n"/>
      <c r="C177" s="13" t="n"/>
      <c r="D177" s="13" t="n"/>
      <c r="E177" s="13" t="n"/>
      <c r="F177" s="13" t="n"/>
      <c r="G177" s="13" t="n"/>
      <c r="H177" s="13" t="n"/>
      <c r="I177" s="13" t="n"/>
      <c r="J177" s="13" t="n"/>
      <c r="K177" s="13" t="n"/>
      <c r="L177" s="13" t="n"/>
      <c r="M177" s="13" t="n"/>
    </row>
    <row r="178">
      <c r="A178" s="3" t="inlineStr">
        <is>
          <t>SW-0174</t>
        </is>
      </c>
      <c r="B178" s="13" t="n"/>
      <c r="C178" s="13" t="n"/>
      <c r="D178" s="13" t="n"/>
      <c r="E178" s="13" t="n"/>
      <c r="F178" s="13" t="n"/>
      <c r="G178" s="13" t="n"/>
      <c r="H178" s="13" t="n"/>
      <c r="I178" s="13" t="n"/>
      <c r="J178" s="13" t="n"/>
      <c r="K178" s="13" t="n"/>
      <c r="L178" s="13" t="n"/>
      <c r="M178" s="13" t="n"/>
    </row>
    <row r="179">
      <c r="A179" s="3" t="inlineStr">
        <is>
          <t>SW-0175</t>
        </is>
      </c>
      <c r="B179" s="13" t="n"/>
      <c r="C179" s="13" t="n"/>
      <c r="D179" s="13" t="n"/>
      <c r="E179" s="13" t="n"/>
      <c r="F179" s="13" t="n"/>
      <c r="G179" s="13" t="n"/>
      <c r="H179" s="13" t="n"/>
      <c r="I179" s="13" t="n"/>
      <c r="J179" s="13" t="n"/>
      <c r="K179" s="13" t="n"/>
      <c r="L179" s="13" t="n"/>
      <c r="M179" s="13" t="n"/>
    </row>
    <row r="180">
      <c r="A180" s="3" t="inlineStr">
        <is>
          <t>SW-0176</t>
        </is>
      </c>
      <c r="B180" s="13" t="n"/>
      <c r="C180" s="13" t="n"/>
      <c r="D180" s="13" t="n"/>
      <c r="E180" s="13" t="n"/>
      <c r="F180" s="13" t="n"/>
      <c r="G180" s="13" t="n"/>
      <c r="H180" s="13" t="n"/>
      <c r="I180" s="13" t="n"/>
      <c r="J180" s="13" t="n"/>
      <c r="K180" s="13" t="n"/>
      <c r="L180" s="13" t="n"/>
      <c r="M180" s="13" t="n"/>
    </row>
    <row r="181">
      <c r="A181" s="3" t="inlineStr">
        <is>
          <t>SW-0177</t>
        </is>
      </c>
      <c r="B181" s="13" t="n"/>
      <c r="C181" s="13" t="n"/>
      <c r="D181" s="13" t="n"/>
      <c r="E181" s="13" t="n"/>
      <c r="F181" s="13" t="n"/>
      <c r="G181" s="13" t="n"/>
      <c r="H181" s="13" t="n"/>
      <c r="I181" s="13" t="n"/>
      <c r="J181" s="13" t="n"/>
      <c r="K181" s="13" t="n"/>
      <c r="L181" s="13" t="n"/>
      <c r="M181" s="13" t="n"/>
    </row>
    <row r="182">
      <c r="A182" s="3" t="inlineStr">
        <is>
          <t>SW-0178</t>
        </is>
      </c>
      <c r="B182" s="13" t="n"/>
      <c r="C182" s="13" t="n"/>
      <c r="D182" s="13" t="n"/>
      <c r="E182" s="13" t="n"/>
      <c r="F182" s="13" t="n"/>
      <c r="G182" s="13" t="n"/>
      <c r="H182" s="13" t="n"/>
      <c r="I182" s="13" t="n"/>
      <c r="J182" s="13" t="n"/>
      <c r="K182" s="13" t="n"/>
      <c r="L182" s="13" t="n"/>
      <c r="M182" s="13" t="n"/>
    </row>
    <row r="183">
      <c r="A183" s="3" t="inlineStr">
        <is>
          <t>SW-0179</t>
        </is>
      </c>
      <c r="B183" s="13" t="n"/>
      <c r="C183" s="13" t="n"/>
      <c r="D183" s="13" t="n"/>
      <c r="E183" s="13" t="n"/>
      <c r="F183" s="13" t="n"/>
      <c r="G183" s="13" t="n"/>
      <c r="H183" s="13" t="n"/>
      <c r="I183" s="13" t="n"/>
      <c r="J183" s="13" t="n"/>
      <c r="K183" s="13" t="n"/>
      <c r="L183" s="13" t="n"/>
      <c r="M183" s="13" t="n"/>
    </row>
    <row r="184">
      <c r="A184" s="3" t="inlineStr">
        <is>
          <t>SW-0180</t>
        </is>
      </c>
      <c r="B184" s="13" t="n"/>
      <c r="C184" s="13" t="n"/>
      <c r="D184" s="13" t="n"/>
      <c r="E184" s="13" t="n"/>
      <c r="F184" s="13" t="n"/>
      <c r="G184" s="13" t="n"/>
      <c r="H184" s="13" t="n"/>
      <c r="I184" s="13" t="n"/>
      <c r="J184" s="13" t="n"/>
      <c r="K184" s="13" t="n"/>
      <c r="L184" s="13" t="n"/>
      <c r="M184" s="13" t="n"/>
    </row>
    <row r="185">
      <c r="A185" s="3" t="inlineStr">
        <is>
          <t>SW-0181</t>
        </is>
      </c>
      <c r="B185" s="13" t="n"/>
      <c r="C185" s="13" t="n"/>
      <c r="D185" s="13" t="n"/>
      <c r="E185" s="13" t="n"/>
      <c r="F185" s="13" t="n"/>
      <c r="G185" s="13" t="n"/>
      <c r="H185" s="13" t="n"/>
      <c r="I185" s="13" t="n"/>
      <c r="J185" s="13" t="n"/>
      <c r="K185" s="13" t="n"/>
      <c r="L185" s="13" t="n"/>
      <c r="M185" s="13" t="n"/>
    </row>
    <row r="186">
      <c r="A186" s="3" t="inlineStr">
        <is>
          <t>SW-0182</t>
        </is>
      </c>
      <c r="B186" s="13" t="n"/>
      <c r="C186" s="13" t="n"/>
      <c r="D186" s="13" t="n"/>
      <c r="E186" s="13" t="n"/>
      <c r="F186" s="13" t="n"/>
      <c r="G186" s="13" t="n"/>
      <c r="H186" s="13" t="n"/>
      <c r="I186" s="13" t="n"/>
      <c r="J186" s="13" t="n"/>
      <c r="K186" s="13" t="n"/>
      <c r="L186" s="13" t="n"/>
      <c r="M186" s="13" t="n"/>
    </row>
    <row r="187">
      <c r="A187" s="3" t="inlineStr">
        <is>
          <t>SW-0183</t>
        </is>
      </c>
      <c r="B187" s="13" t="n"/>
      <c r="C187" s="13" t="n"/>
      <c r="D187" s="13" t="n"/>
      <c r="E187" s="13" t="n"/>
      <c r="F187" s="13" t="n"/>
      <c r="G187" s="13" t="n"/>
      <c r="H187" s="13" t="n"/>
      <c r="I187" s="13" t="n"/>
      <c r="J187" s="13" t="n"/>
      <c r="K187" s="13" t="n"/>
      <c r="L187" s="13" t="n"/>
      <c r="M187" s="13" t="n"/>
    </row>
    <row r="188">
      <c r="A188" s="3" t="inlineStr">
        <is>
          <t>SW-0184</t>
        </is>
      </c>
      <c r="B188" s="13" t="n"/>
      <c r="C188" s="13" t="n"/>
      <c r="D188" s="13" t="n"/>
      <c r="E188" s="13" t="n"/>
      <c r="F188" s="13" t="n"/>
      <c r="G188" s="13" t="n"/>
      <c r="H188" s="13" t="n"/>
      <c r="I188" s="13" t="n"/>
      <c r="J188" s="13" t="n"/>
      <c r="K188" s="13" t="n"/>
      <c r="L188" s="13" t="n"/>
      <c r="M188" s="13" t="n"/>
    </row>
    <row r="189">
      <c r="A189" s="3" t="inlineStr">
        <is>
          <t>SW-0185</t>
        </is>
      </c>
      <c r="B189" s="13" t="n"/>
      <c r="C189" s="13" t="n"/>
      <c r="D189" s="13" t="n"/>
      <c r="E189" s="13" t="n"/>
      <c r="F189" s="13" t="n"/>
      <c r="G189" s="13" t="n"/>
      <c r="H189" s="13" t="n"/>
      <c r="I189" s="13" t="n"/>
      <c r="J189" s="13" t="n"/>
      <c r="K189" s="13" t="n"/>
      <c r="L189" s="13" t="n"/>
      <c r="M189" s="13" t="n"/>
    </row>
    <row r="190">
      <c r="A190" s="3" t="inlineStr">
        <is>
          <t>SW-0186</t>
        </is>
      </c>
      <c r="B190" s="13" t="n"/>
      <c r="C190" s="13" t="n"/>
      <c r="D190" s="13" t="n"/>
      <c r="E190" s="13" t="n"/>
      <c r="F190" s="13" t="n"/>
      <c r="G190" s="13" t="n"/>
      <c r="H190" s="13" t="n"/>
      <c r="I190" s="13" t="n"/>
      <c r="J190" s="13" t="n"/>
      <c r="K190" s="13" t="n"/>
      <c r="L190" s="13" t="n"/>
      <c r="M190" s="13" t="n"/>
    </row>
    <row r="191">
      <c r="A191" s="3" t="inlineStr">
        <is>
          <t>SW-0187</t>
        </is>
      </c>
      <c r="B191" s="13" t="n"/>
      <c r="C191" s="13" t="n"/>
      <c r="D191" s="13" t="n"/>
      <c r="E191" s="13" t="n"/>
      <c r="F191" s="13" t="n"/>
      <c r="G191" s="13" t="n"/>
      <c r="H191" s="13" t="n"/>
      <c r="I191" s="13" t="n"/>
      <c r="J191" s="13" t="n"/>
      <c r="K191" s="13" t="n"/>
      <c r="L191" s="13" t="n"/>
      <c r="M191" s="13" t="n"/>
    </row>
    <row r="192">
      <c r="A192" s="3" t="inlineStr">
        <is>
          <t>SW-0188</t>
        </is>
      </c>
      <c r="B192" s="13" t="n"/>
      <c r="C192" s="13" t="n"/>
      <c r="D192" s="13" t="n"/>
      <c r="E192" s="13" t="n"/>
      <c r="F192" s="13" t="n"/>
      <c r="G192" s="13" t="n"/>
      <c r="H192" s="13" t="n"/>
      <c r="I192" s="13" t="n"/>
      <c r="J192" s="13" t="n"/>
      <c r="K192" s="13" t="n"/>
      <c r="L192" s="13" t="n"/>
      <c r="M192" s="13" t="n"/>
    </row>
    <row r="193">
      <c r="A193" s="3" t="inlineStr">
        <is>
          <t>SW-0189</t>
        </is>
      </c>
      <c r="B193" s="13" t="n"/>
      <c r="C193" s="13" t="n"/>
      <c r="D193" s="13" t="n"/>
      <c r="E193" s="13" t="n"/>
      <c r="F193" s="13" t="n"/>
      <c r="G193" s="13" t="n"/>
      <c r="H193" s="13" t="n"/>
      <c r="I193" s="13" t="n"/>
      <c r="J193" s="13" t="n"/>
      <c r="K193" s="13" t="n"/>
      <c r="L193" s="13" t="n"/>
      <c r="M193" s="13" t="n"/>
    </row>
    <row r="194">
      <c r="A194" s="3" t="inlineStr">
        <is>
          <t>SW-0190</t>
        </is>
      </c>
      <c r="B194" s="13" t="n"/>
      <c r="C194" s="13" t="n"/>
      <c r="D194" s="13" t="n"/>
      <c r="E194" s="13" t="n"/>
      <c r="F194" s="13" t="n"/>
      <c r="G194" s="13" t="n"/>
      <c r="H194" s="13" t="n"/>
      <c r="I194" s="13" t="n"/>
      <c r="J194" s="13" t="n"/>
      <c r="K194" s="13" t="n"/>
      <c r="L194" s="13" t="n"/>
      <c r="M194" s="13" t="n"/>
    </row>
    <row r="195">
      <c r="A195" s="3" t="inlineStr">
        <is>
          <t>SW-0191</t>
        </is>
      </c>
      <c r="B195" s="13" t="n"/>
      <c r="C195" s="13" t="n"/>
      <c r="D195" s="13" t="n"/>
      <c r="E195" s="13" t="n"/>
      <c r="F195" s="13" t="n"/>
      <c r="G195" s="13" t="n"/>
      <c r="H195" s="13" t="n"/>
      <c r="I195" s="13" t="n"/>
      <c r="J195" s="13" t="n"/>
      <c r="K195" s="13" t="n"/>
      <c r="L195" s="13" t="n"/>
      <c r="M195" s="13" t="n"/>
    </row>
    <row r="196">
      <c r="A196" s="3" t="inlineStr">
        <is>
          <t>SW-0192</t>
        </is>
      </c>
      <c r="B196" s="13" t="n"/>
      <c r="C196" s="13" t="n"/>
      <c r="D196" s="13" t="n"/>
      <c r="E196" s="13" t="n"/>
      <c r="F196" s="13" t="n"/>
      <c r="G196" s="13" t="n"/>
      <c r="H196" s="13" t="n"/>
      <c r="I196" s="13" t="n"/>
      <c r="J196" s="13" t="n"/>
      <c r="K196" s="13" t="n"/>
      <c r="L196" s="13" t="n"/>
      <c r="M196" s="13" t="n"/>
    </row>
    <row r="197">
      <c r="A197" s="3" t="inlineStr">
        <is>
          <t>SW-0193</t>
        </is>
      </c>
      <c r="B197" s="13" t="n"/>
      <c r="C197" s="13" t="n"/>
      <c r="D197" s="13" t="n"/>
      <c r="E197" s="13" t="n"/>
      <c r="F197" s="13" t="n"/>
      <c r="G197" s="13" t="n"/>
      <c r="H197" s="13" t="n"/>
      <c r="I197" s="13" t="n"/>
      <c r="J197" s="13" t="n"/>
      <c r="K197" s="13" t="n"/>
      <c r="L197" s="13" t="n"/>
      <c r="M197" s="13" t="n"/>
    </row>
    <row r="198">
      <c r="A198" s="3" t="inlineStr">
        <is>
          <t>SW-0194</t>
        </is>
      </c>
      <c r="B198" s="13" t="n"/>
      <c r="C198" s="13" t="n"/>
      <c r="D198" s="13" t="n"/>
      <c r="E198" s="13" t="n"/>
      <c r="F198" s="13" t="n"/>
      <c r="G198" s="13" t="n"/>
      <c r="H198" s="13" t="n"/>
      <c r="I198" s="13" t="n"/>
      <c r="J198" s="13" t="n"/>
      <c r="K198" s="13" t="n"/>
      <c r="L198" s="13" t="n"/>
      <c r="M198" s="13" t="n"/>
    </row>
    <row r="199">
      <c r="A199" s="3" t="inlineStr">
        <is>
          <t>SW-0195</t>
        </is>
      </c>
      <c r="B199" s="13" t="n"/>
      <c r="C199" s="13" t="n"/>
      <c r="D199" s="13" t="n"/>
      <c r="E199" s="13" t="n"/>
      <c r="F199" s="13" t="n"/>
      <c r="G199" s="13" t="n"/>
      <c r="H199" s="13" t="n"/>
      <c r="I199" s="13" t="n"/>
      <c r="J199" s="13" t="n"/>
      <c r="K199" s="13" t="n"/>
      <c r="L199" s="13" t="n"/>
      <c r="M199" s="13" t="n"/>
    </row>
    <row r="200">
      <c r="A200" s="3" t="inlineStr">
        <is>
          <t>SW-0196</t>
        </is>
      </c>
      <c r="B200" s="13" t="n"/>
      <c r="C200" s="13" t="n"/>
      <c r="D200" s="13" t="n"/>
      <c r="E200" s="13" t="n"/>
      <c r="F200" s="13" t="n"/>
      <c r="G200" s="13" t="n"/>
      <c r="H200" s="13" t="n"/>
      <c r="I200" s="13" t="n"/>
      <c r="J200" s="13" t="n"/>
      <c r="K200" s="13" t="n"/>
      <c r="L200" s="13" t="n"/>
      <c r="M200" s="13" t="n"/>
    </row>
    <row r="201">
      <c r="A201" s="3" t="inlineStr">
        <is>
          <t>SW-0197</t>
        </is>
      </c>
      <c r="B201" s="13" t="n"/>
      <c r="C201" s="13" t="n"/>
      <c r="D201" s="13" t="n"/>
      <c r="E201" s="13" t="n"/>
      <c r="F201" s="13" t="n"/>
      <c r="G201" s="13" t="n"/>
      <c r="H201" s="13" t="n"/>
      <c r="I201" s="13" t="n"/>
      <c r="J201" s="13" t="n"/>
      <c r="K201" s="13" t="n"/>
      <c r="L201" s="13" t="n"/>
      <c r="M201" s="13" t="n"/>
    </row>
    <row r="202">
      <c r="A202" s="3" t="inlineStr">
        <is>
          <t>SW-0198</t>
        </is>
      </c>
      <c r="B202" s="13" t="n"/>
      <c r="C202" s="13" t="n"/>
      <c r="D202" s="13" t="n"/>
      <c r="E202" s="13" t="n"/>
      <c r="F202" s="13" t="n"/>
      <c r="G202" s="13" t="n"/>
      <c r="H202" s="13" t="n"/>
      <c r="I202" s="13" t="n"/>
      <c r="J202" s="13" t="n"/>
      <c r="K202" s="13" t="n"/>
      <c r="L202" s="13" t="n"/>
      <c r="M202" s="13" t="n"/>
    </row>
    <row r="203">
      <c r="A203" s="3" t="inlineStr">
        <is>
          <t>SW-0199</t>
        </is>
      </c>
      <c r="B203" s="13" t="n"/>
      <c r="C203" s="13" t="n"/>
      <c r="D203" s="13" t="n"/>
      <c r="E203" s="13" t="n"/>
      <c r="F203" s="13" t="n"/>
      <c r="G203" s="13" t="n"/>
      <c r="H203" s="13" t="n"/>
      <c r="I203" s="13" t="n"/>
      <c r="J203" s="13" t="n"/>
      <c r="K203" s="13" t="n"/>
      <c r="L203" s="13" t="n"/>
      <c r="M203" s="13" t="n"/>
    </row>
    <row r="204">
      <c r="A204" s="3" t="inlineStr">
        <is>
          <t>SW-0200</t>
        </is>
      </c>
      <c r="B204" s="13" t="n"/>
      <c r="C204" s="13" t="n"/>
      <c r="D204" s="13" t="n"/>
      <c r="E204" s="13" t="n"/>
      <c r="F204" s="13" t="n"/>
      <c r="G204" s="13" t="n"/>
      <c r="H204" s="13" t="n"/>
      <c r="I204" s="13" t="n"/>
      <c r="J204" s="13" t="n"/>
      <c r="K204" s="13" t="n"/>
      <c r="L204" s="13" t="n"/>
      <c r="M204" s="13" t="n"/>
    </row>
    <row r="207">
      <c r="A207" s="2" t="inlineStr">
        <is>
          <t>📊 APPROVED SOFTWARE SUMMARY</t>
        </is>
      </c>
    </row>
    <row r="208">
      <c r="A208" t="inlineStr">
        <is>
          <t>Total Approved Software:</t>
        </is>
      </c>
      <c r="B208" s="14">
        <f>COUNTA(B5:B204)</f>
        <v/>
      </c>
    </row>
    <row r="209">
      <c r="A209" t="inlineStr">
        <is>
          <t>Last List Review Date:</t>
        </is>
      </c>
      <c r="B209" s="13" t="n"/>
    </row>
    <row r="211">
      <c r="A211" s="3" t="inlineStr">
        <is>
          <t>By Category:</t>
        </is>
      </c>
    </row>
    <row r="212">
      <c r="A212" t="inlineStr">
        <is>
          <t>💼 Business Application:</t>
        </is>
      </c>
      <c r="B212">
        <f>COUNTIF(E5:E204,"💼 Business Application")</f>
        <v/>
      </c>
    </row>
    <row r="213">
      <c r="A213" t="inlineStr">
        <is>
          <t>🛠️ Development Tool:</t>
        </is>
      </c>
      <c r="B213">
        <f>COUNTIF(E5:E204,"🛠️ Development Tool")</f>
        <v/>
      </c>
    </row>
    <row r="214">
      <c r="A214" t="inlineStr">
        <is>
          <t>🔒 Security Software:</t>
        </is>
      </c>
      <c r="B214">
        <f>COUNTIF(E5:E204,"🔒 Security Software")</f>
        <v/>
      </c>
    </row>
    <row r="215">
      <c r="A215" t="inlineStr">
        <is>
          <t>📊 Analytics/BI:</t>
        </is>
      </c>
      <c r="B215">
        <f>COUNTIF(E5:E204,"📊 Analytics/BI")</f>
        <v/>
      </c>
    </row>
    <row r="216">
      <c r="A216" t="inlineStr">
        <is>
          <t>💬 Communication:</t>
        </is>
      </c>
      <c r="B216">
        <f>COUNTIF(E5:E204,"💬 Communication")</f>
        <v/>
      </c>
    </row>
    <row r="217">
      <c r="A217" t="inlineStr">
        <is>
          <t>☁️ Cloud Service:</t>
        </is>
      </c>
      <c r="B217">
        <f>COUNTIF(E5:E204,"☁️ Cloud Service")</f>
        <v/>
      </c>
    </row>
  </sheetData>
  <mergeCells count="3">
    <mergeCell ref="A2:M2"/>
    <mergeCell ref="A207:C207"/>
    <mergeCell ref="A1:M1"/>
  </mergeCells>
  <dataValidations count="4">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showDropDown="0" showInputMessage="0" showErrorMessage="0" allowBlank="0" type="list">
      <formula1>"💼 Business Application,🛠️ Development Tool,🔒 Security Software,📊 Analytics/BI,💬 Communication,☁️ Cloud Service,🎨 Creative/Design,🗄️ Database,Other"</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showDropDown="0" showInputMessage="0" showErrorMessage="0" allowBlank="0" type="list">
      <formula1>"Desktop Application,Web Application,SaaS,Mobile App,Browser Extension,Command-Line Tool,Library/Framework,Plugin,Other"</formula1>
    </dataValidation>
    <dataValidation sqref="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showDropDown="0" showInputMessage="0" showErrorMessage="0" allowBlank="0" type="list">
      <formula1>"📦 SCCM/Intune,🌐 Self-Service Portal,👤 User Installation,💾 Manual Install,☁️ Cloud Deployment,Other"</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showDropDown="0" showInputMessage="0" showErrorMessage="0" allowBlank="0" type="list">
      <formula1>"🔴 Critical,🟠 High,🟡 Medium,🟢 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10"/>
  <sheetViews>
    <sheetView workbookViewId="0">
      <selection activeCell="A1" sqref="A1"/>
    </sheetView>
  </sheetViews>
  <sheetFormatPr baseColWidth="8" defaultRowHeight="15"/>
  <cols>
    <col width="12" customWidth="1" min="1" max="1"/>
    <col width="20" customWidth="1" min="2" max="2"/>
    <col width="35" customWidth="1" min="3" max="3"/>
    <col width="12" customWidth="1" min="4" max="4"/>
    <col width="20" customWidth="1" min="5" max="5"/>
    <col width="15" customWidth="1" min="6" max="6"/>
    <col width="25" customWidth="1" min="7" max="7"/>
    <col width="12" customWidth="1" min="8" max="8"/>
    <col width="20" customWidth="1" min="9" max="9"/>
    <col width="30" customWidth="1" min="10" max="10"/>
  </cols>
  <sheetData>
    <row r="1">
      <c r="A1" s="1" t="inlineStr">
        <is>
          <t>INSTALLED SOFTWARE INVENTORY</t>
        </is>
      </c>
    </row>
    <row r="2">
      <c r="A2" s="2" t="inlineStr">
        <is>
          <t>Software actually installed on endpoints (from SCCM/Intune/Jamf inventory)</t>
        </is>
      </c>
    </row>
    <row r="4">
      <c r="A4" s="5" t="inlineStr">
        <is>
          <t>Device ID</t>
        </is>
      </c>
      <c r="B4" s="5" t="inlineStr">
        <is>
          <t>Hostname</t>
        </is>
      </c>
      <c r="C4" s="5" t="inlineStr">
        <is>
          <t>Software Name</t>
        </is>
      </c>
      <c r="D4" s="5" t="inlineStr">
        <is>
          <t>Version</t>
        </is>
      </c>
      <c r="E4" s="5" t="inlineStr">
        <is>
          <t>Vendor</t>
        </is>
      </c>
      <c r="F4" s="5" t="inlineStr">
        <is>
          <t>Installation Date</t>
        </is>
      </c>
      <c r="G4" s="5" t="inlineStr">
        <is>
          <t>Installation Method</t>
        </is>
      </c>
      <c r="H4" s="5" t="inlineStr">
        <is>
          <t>Approved</t>
        </is>
      </c>
      <c r="I4" s="5" t="inlineStr">
        <is>
          <t>Approval Reference</t>
        </is>
      </c>
      <c r="J4" s="5" t="inlineStr">
        <is>
          <t>Notes</t>
        </is>
      </c>
    </row>
    <row r="5">
      <c r="A5" s="13" t="n"/>
      <c r="B5" s="13" t="n"/>
      <c r="C5" s="13" t="n"/>
      <c r="D5" s="13" t="n"/>
      <c r="E5" s="13" t="n"/>
      <c r="F5" s="13" t="n"/>
      <c r="G5" s="13" t="n"/>
      <c r="H5" s="13" t="n"/>
      <c r="I5" s="13" t="n"/>
      <c r="J5" s="13" t="n"/>
    </row>
    <row r="6">
      <c r="A6" s="13" t="n"/>
      <c r="B6" s="13" t="n"/>
      <c r="C6" s="13" t="n"/>
      <c r="D6" s="13" t="n"/>
      <c r="E6" s="13" t="n"/>
      <c r="F6" s="13" t="n"/>
      <c r="G6" s="13" t="n"/>
      <c r="H6" s="13" t="n"/>
      <c r="I6" s="13" t="n"/>
      <c r="J6" s="13" t="n"/>
    </row>
    <row r="7">
      <c r="A7" s="13" t="n"/>
      <c r="B7" s="13" t="n"/>
      <c r="C7" s="13" t="n"/>
      <c r="D7" s="13" t="n"/>
      <c r="E7" s="13" t="n"/>
      <c r="F7" s="13" t="n"/>
      <c r="G7" s="13" t="n"/>
      <c r="H7" s="13" t="n"/>
      <c r="I7" s="13" t="n"/>
      <c r="J7" s="13" t="n"/>
    </row>
    <row r="8">
      <c r="A8" s="13" t="n"/>
      <c r="B8" s="13" t="n"/>
      <c r="C8" s="13" t="n"/>
      <c r="D8" s="13" t="n"/>
      <c r="E8" s="13" t="n"/>
      <c r="F8" s="13" t="n"/>
      <c r="G8" s="13" t="n"/>
      <c r="H8" s="13" t="n"/>
      <c r="I8" s="13" t="n"/>
      <c r="J8" s="13" t="n"/>
    </row>
    <row r="9">
      <c r="A9" s="13" t="n"/>
      <c r="B9" s="13" t="n"/>
      <c r="C9" s="13" t="n"/>
      <c r="D9" s="13" t="n"/>
      <c r="E9" s="13" t="n"/>
      <c r="F9" s="13" t="n"/>
      <c r="G9" s="13" t="n"/>
      <c r="H9" s="13" t="n"/>
      <c r="I9" s="13" t="n"/>
      <c r="J9" s="13" t="n"/>
    </row>
    <row r="10">
      <c r="A10" s="13" t="n"/>
      <c r="B10" s="13" t="n"/>
      <c r="C10" s="13" t="n"/>
      <c r="D10" s="13" t="n"/>
      <c r="E10" s="13" t="n"/>
      <c r="F10" s="13" t="n"/>
      <c r="G10" s="13" t="n"/>
      <c r="H10" s="13" t="n"/>
      <c r="I10" s="13" t="n"/>
      <c r="J10" s="13" t="n"/>
    </row>
    <row r="11">
      <c r="A11" s="13" t="n"/>
      <c r="B11" s="13" t="n"/>
      <c r="C11" s="13" t="n"/>
      <c r="D11" s="13" t="n"/>
      <c r="E11" s="13" t="n"/>
      <c r="F11" s="13" t="n"/>
      <c r="G11" s="13" t="n"/>
      <c r="H11" s="13" t="n"/>
      <c r="I11" s="13" t="n"/>
      <c r="J11" s="13" t="n"/>
    </row>
    <row r="12">
      <c r="A12" s="13" t="n"/>
      <c r="B12" s="13" t="n"/>
      <c r="C12" s="13" t="n"/>
      <c r="D12" s="13" t="n"/>
      <c r="E12" s="13" t="n"/>
      <c r="F12" s="13" t="n"/>
      <c r="G12" s="13" t="n"/>
      <c r="H12" s="13" t="n"/>
      <c r="I12" s="13" t="n"/>
      <c r="J12" s="13" t="n"/>
    </row>
    <row r="13">
      <c r="A13" s="13" t="n"/>
      <c r="B13" s="13" t="n"/>
      <c r="C13" s="13" t="n"/>
      <c r="D13" s="13" t="n"/>
      <c r="E13" s="13" t="n"/>
      <c r="F13" s="13" t="n"/>
      <c r="G13" s="13" t="n"/>
      <c r="H13" s="13" t="n"/>
      <c r="I13" s="13" t="n"/>
      <c r="J13" s="13" t="n"/>
    </row>
    <row r="14">
      <c r="A14" s="13" t="n"/>
      <c r="B14" s="13" t="n"/>
      <c r="C14" s="13" t="n"/>
      <c r="D14" s="13" t="n"/>
      <c r="E14" s="13" t="n"/>
      <c r="F14" s="13" t="n"/>
      <c r="G14" s="13" t="n"/>
      <c r="H14" s="13" t="n"/>
      <c r="I14" s="13" t="n"/>
      <c r="J14" s="13" t="n"/>
    </row>
    <row r="15">
      <c r="A15" s="13" t="n"/>
      <c r="B15" s="13" t="n"/>
      <c r="C15" s="13" t="n"/>
      <c r="D15" s="13" t="n"/>
      <c r="E15" s="13" t="n"/>
      <c r="F15" s="13" t="n"/>
      <c r="G15" s="13" t="n"/>
      <c r="H15" s="13" t="n"/>
      <c r="I15" s="13" t="n"/>
      <c r="J15" s="13" t="n"/>
    </row>
    <row r="16">
      <c r="A16" s="13" t="n"/>
      <c r="B16" s="13" t="n"/>
      <c r="C16" s="13" t="n"/>
      <c r="D16" s="13" t="n"/>
      <c r="E16" s="13" t="n"/>
      <c r="F16" s="13" t="n"/>
      <c r="G16" s="13" t="n"/>
      <c r="H16" s="13" t="n"/>
      <c r="I16" s="13" t="n"/>
      <c r="J16" s="13" t="n"/>
    </row>
    <row r="17">
      <c r="A17" s="13" t="n"/>
      <c r="B17" s="13" t="n"/>
      <c r="C17" s="13" t="n"/>
      <c r="D17" s="13" t="n"/>
      <c r="E17" s="13" t="n"/>
      <c r="F17" s="13" t="n"/>
      <c r="G17" s="13" t="n"/>
      <c r="H17" s="13" t="n"/>
      <c r="I17" s="13" t="n"/>
      <c r="J17" s="13" t="n"/>
    </row>
    <row r="18">
      <c r="A18" s="13" t="n"/>
      <c r="B18" s="13" t="n"/>
      <c r="C18" s="13" t="n"/>
      <c r="D18" s="13" t="n"/>
      <c r="E18" s="13" t="n"/>
      <c r="F18" s="13" t="n"/>
      <c r="G18" s="13" t="n"/>
      <c r="H18" s="13" t="n"/>
      <c r="I18" s="13" t="n"/>
      <c r="J18" s="13" t="n"/>
    </row>
    <row r="19">
      <c r="A19" s="13" t="n"/>
      <c r="B19" s="13" t="n"/>
      <c r="C19" s="13" t="n"/>
      <c r="D19" s="13" t="n"/>
      <c r="E19" s="13" t="n"/>
      <c r="F19" s="13" t="n"/>
      <c r="G19" s="13" t="n"/>
      <c r="H19" s="13" t="n"/>
      <c r="I19" s="13" t="n"/>
      <c r="J19" s="13" t="n"/>
    </row>
    <row r="20">
      <c r="A20" s="13" t="n"/>
      <c r="B20" s="13" t="n"/>
      <c r="C20" s="13" t="n"/>
      <c r="D20" s="13" t="n"/>
      <c r="E20" s="13" t="n"/>
      <c r="F20" s="13" t="n"/>
      <c r="G20" s="13" t="n"/>
      <c r="H20" s="13" t="n"/>
      <c r="I20" s="13" t="n"/>
      <c r="J20" s="13" t="n"/>
    </row>
    <row r="21">
      <c r="A21" s="13" t="n"/>
      <c r="B21" s="13" t="n"/>
      <c r="C21" s="13" t="n"/>
      <c r="D21" s="13" t="n"/>
      <c r="E21" s="13" t="n"/>
      <c r="F21" s="13" t="n"/>
      <c r="G21" s="13" t="n"/>
      <c r="H21" s="13" t="n"/>
      <c r="I21" s="13" t="n"/>
      <c r="J21" s="13" t="n"/>
    </row>
    <row r="22">
      <c r="A22" s="13" t="n"/>
      <c r="B22" s="13" t="n"/>
      <c r="C22" s="13" t="n"/>
      <c r="D22" s="13" t="n"/>
      <c r="E22" s="13" t="n"/>
      <c r="F22" s="13" t="n"/>
      <c r="G22" s="13" t="n"/>
      <c r="H22" s="13" t="n"/>
      <c r="I22" s="13" t="n"/>
      <c r="J22" s="13" t="n"/>
    </row>
    <row r="23">
      <c r="A23" s="13" t="n"/>
      <c r="B23" s="13" t="n"/>
      <c r="C23" s="13" t="n"/>
      <c r="D23" s="13" t="n"/>
      <c r="E23" s="13" t="n"/>
      <c r="F23" s="13" t="n"/>
      <c r="G23" s="13" t="n"/>
      <c r="H23" s="13" t="n"/>
      <c r="I23" s="13" t="n"/>
      <c r="J23" s="13" t="n"/>
    </row>
    <row r="24">
      <c r="A24" s="13" t="n"/>
      <c r="B24" s="13" t="n"/>
      <c r="C24" s="13" t="n"/>
      <c r="D24" s="13" t="n"/>
      <c r="E24" s="13" t="n"/>
      <c r="F24" s="13" t="n"/>
      <c r="G24" s="13" t="n"/>
      <c r="H24" s="13" t="n"/>
      <c r="I24" s="13" t="n"/>
      <c r="J24" s="13" t="n"/>
    </row>
    <row r="25">
      <c r="A25" s="13" t="n"/>
      <c r="B25" s="13" t="n"/>
      <c r="C25" s="13" t="n"/>
      <c r="D25" s="13" t="n"/>
      <c r="E25" s="13" t="n"/>
      <c r="F25" s="13" t="n"/>
      <c r="G25" s="13" t="n"/>
      <c r="H25" s="13" t="n"/>
      <c r="I25" s="13" t="n"/>
      <c r="J25" s="13" t="n"/>
    </row>
    <row r="26">
      <c r="A26" s="13" t="n"/>
      <c r="B26" s="13" t="n"/>
      <c r="C26" s="13" t="n"/>
      <c r="D26" s="13" t="n"/>
      <c r="E26" s="13" t="n"/>
      <c r="F26" s="13" t="n"/>
      <c r="G26" s="13" t="n"/>
      <c r="H26" s="13" t="n"/>
      <c r="I26" s="13" t="n"/>
      <c r="J26" s="13" t="n"/>
    </row>
    <row r="27">
      <c r="A27" s="13" t="n"/>
      <c r="B27" s="13" t="n"/>
      <c r="C27" s="13" t="n"/>
      <c r="D27" s="13" t="n"/>
      <c r="E27" s="13" t="n"/>
      <c r="F27" s="13" t="n"/>
      <c r="G27" s="13" t="n"/>
      <c r="H27" s="13" t="n"/>
      <c r="I27" s="13" t="n"/>
      <c r="J27" s="13" t="n"/>
    </row>
    <row r="28">
      <c r="A28" s="13" t="n"/>
      <c r="B28" s="13" t="n"/>
      <c r="C28" s="13" t="n"/>
      <c r="D28" s="13" t="n"/>
      <c r="E28" s="13" t="n"/>
      <c r="F28" s="13" t="n"/>
      <c r="G28" s="13" t="n"/>
      <c r="H28" s="13" t="n"/>
      <c r="I28" s="13" t="n"/>
      <c r="J28" s="13" t="n"/>
    </row>
    <row r="29">
      <c r="A29" s="13" t="n"/>
      <c r="B29" s="13" t="n"/>
      <c r="C29" s="13" t="n"/>
      <c r="D29" s="13" t="n"/>
      <c r="E29" s="13" t="n"/>
      <c r="F29" s="13" t="n"/>
      <c r="G29" s="13" t="n"/>
      <c r="H29" s="13" t="n"/>
      <c r="I29" s="13" t="n"/>
      <c r="J29" s="13" t="n"/>
    </row>
    <row r="30">
      <c r="A30" s="13" t="n"/>
      <c r="B30" s="13" t="n"/>
      <c r="C30" s="13" t="n"/>
      <c r="D30" s="13" t="n"/>
      <c r="E30" s="13" t="n"/>
      <c r="F30" s="13" t="n"/>
      <c r="G30" s="13" t="n"/>
      <c r="H30" s="13" t="n"/>
      <c r="I30" s="13" t="n"/>
      <c r="J30" s="13" t="n"/>
    </row>
    <row r="31">
      <c r="A31" s="13" t="n"/>
      <c r="B31" s="13" t="n"/>
      <c r="C31" s="13" t="n"/>
      <c r="D31" s="13" t="n"/>
      <c r="E31" s="13" t="n"/>
      <c r="F31" s="13" t="n"/>
      <c r="G31" s="13" t="n"/>
      <c r="H31" s="13" t="n"/>
      <c r="I31" s="13" t="n"/>
      <c r="J31" s="13" t="n"/>
    </row>
    <row r="32">
      <c r="A32" s="13" t="n"/>
      <c r="B32" s="13" t="n"/>
      <c r="C32" s="13" t="n"/>
      <c r="D32" s="13" t="n"/>
      <c r="E32" s="13" t="n"/>
      <c r="F32" s="13" t="n"/>
      <c r="G32" s="13" t="n"/>
      <c r="H32" s="13" t="n"/>
      <c r="I32" s="13" t="n"/>
      <c r="J32" s="13" t="n"/>
    </row>
    <row r="33">
      <c r="A33" s="13" t="n"/>
      <c r="B33" s="13" t="n"/>
      <c r="C33" s="13" t="n"/>
      <c r="D33" s="13" t="n"/>
      <c r="E33" s="13" t="n"/>
      <c r="F33" s="13" t="n"/>
      <c r="G33" s="13" t="n"/>
      <c r="H33" s="13" t="n"/>
      <c r="I33" s="13" t="n"/>
      <c r="J33" s="13" t="n"/>
    </row>
    <row r="34">
      <c r="A34" s="13" t="n"/>
      <c r="B34" s="13" t="n"/>
      <c r="C34" s="13" t="n"/>
      <c r="D34" s="13" t="n"/>
      <c r="E34" s="13" t="n"/>
      <c r="F34" s="13" t="n"/>
      <c r="G34" s="13" t="n"/>
      <c r="H34" s="13" t="n"/>
      <c r="I34" s="13" t="n"/>
      <c r="J34" s="13" t="n"/>
    </row>
    <row r="35">
      <c r="A35" s="13" t="n"/>
      <c r="B35" s="13" t="n"/>
      <c r="C35" s="13" t="n"/>
      <c r="D35" s="13" t="n"/>
      <c r="E35" s="13" t="n"/>
      <c r="F35" s="13" t="n"/>
      <c r="G35" s="13" t="n"/>
      <c r="H35" s="13" t="n"/>
      <c r="I35" s="13" t="n"/>
      <c r="J35" s="13" t="n"/>
    </row>
    <row r="36">
      <c r="A36" s="13" t="n"/>
      <c r="B36" s="13" t="n"/>
      <c r="C36" s="13" t="n"/>
      <c r="D36" s="13" t="n"/>
      <c r="E36" s="13" t="n"/>
      <c r="F36" s="13" t="n"/>
      <c r="G36" s="13" t="n"/>
      <c r="H36" s="13" t="n"/>
      <c r="I36" s="13" t="n"/>
      <c r="J36" s="13" t="n"/>
    </row>
    <row r="37">
      <c r="A37" s="13" t="n"/>
      <c r="B37" s="13" t="n"/>
      <c r="C37" s="13" t="n"/>
      <c r="D37" s="13" t="n"/>
      <c r="E37" s="13" t="n"/>
      <c r="F37" s="13" t="n"/>
      <c r="G37" s="13" t="n"/>
      <c r="H37" s="13" t="n"/>
      <c r="I37" s="13" t="n"/>
      <c r="J37" s="13" t="n"/>
    </row>
    <row r="38">
      <c r="A38" s="13" t="n"/>
      <c r="B38" s="13" t="n"/>
      <c r="C38" s="13" t="n"/>
      <c r="D38" s="13" t="n"/>
      <c r="E38" s="13" t="n"/>
      <c r="F38" s="13" t="n"/>
      <c r="G38" s="13" t="n"/>
      <c r="H38" s="13" t="n"/>
      <c r="I38" s="13" t="n"/>
      <c r="J38" s="13" t="n"/>
    </row>
    <row r="39">
      <c r="A39" s="13" t="n"/>
      <c r="B39" s="13" t="n"/>
      <c r="C39" s="13" t="n"/>
      <c r="D39" s="13" t="n"/>
      <c r="E39" s="13" t="n"/>
      <c r="F39" s="13" t="n"/>
      <c r="G39" s="13" t="n"/>
      <c r="H39" s="13" t="n"/>
      <c r="I39" s="13" t="n"/>
      <c r="J39" s="13" t="n"/>
    </row>
    <row r="40">
      <c r="A40" s="13" t="n"/>
      <c r="B40" s="13" t="n"/>
      <c r="C40" s="13" t="n"/>
      <c r="D40" s="13" t="n"/>
      <c r="E40" s="13" t="n"/>
      <c r="F40" s="13" t="n"/>
      <c r="G40" s="13" t="n"/>
      <c r="H40" s="13" t="n"/>
      <c r="I40" s="13" t="n"/>
      <c r="J40" s="13" t="n"/>
    </row>
    <row r="41">
      <c r="A41" s="13" t="n"/>
      <c r="B41" s="13" t="n"/>
      <c r="C41" s="13" t="n"/>
      <c r="D41" s="13" t="n"/>
      <c r="E41" s="13" t="n"/>
      <c r="F41" s="13" t="n"/>
      <c r="G41" s="13" t="n"/>
      <c r="H41" s="13" t="n"/>
      <c r="I41" s="13" t="n"/>
      <c r="J41" s="13" t="n"/>
    </row>
    <row r="42">
      <c r="A42" s="13" t="n"/>
      <c r="B42" s="13" t="n"/>
      <c r="C42" s="13" t="n"/>
      <c r="D42" s="13" t="n"/>
      <c r="E42" s="13" t="n"/>
      <c r="F42" s="13" t="n"/>
      <c r="G42" s="13" t="n"/>
      <c r="H42" s="13" t="n"/>
      <c r="I42" s="13" t="n"/>
      <c r="J42" s="13" t="n"/>
    </row>
    <row r="43">
      <c r="A43" s="13" t="n"/>
      <c r="B43" s="13" t="n"/>
      <c r="C43" s="13" t="n"/>
      <c r="D43" s="13" t="n"/>
      <c r="E43" s="13" t="n"/>
      <c r="F43" s="13" t="n"/>
      <c r="G43" s="13" t="n"/>
      <c r="H43" s="13" t="n"/>
      <c r="I43" s="13" t="n"/>
      <c r="J43" s="13" t="n"/>
    </row>
    <row r="44">
      <c r="A44" s="13" t="n"/>
      <c r="B44" s="13" t="n"/>
      <c r="C44" s="13" t="n"/>
      <c r="D44" s="13" t="n"/>
      <c r="E44" s="13" t="n"/>
      <c r="F44" s="13" t="n"/>
      <c r="G44" s="13" t="n"/>
      <c r="H44" s="13" t="n"/>
      <c r="I44" s="13" t="n"/>
      <c r="J44" s="13" t="n"/>
    </row>
    <row r="45">
      <c r="A45" s="13" t="n"/>
      <c r="B45" s="13" t="n"/>
      <c r="C45" s="13" t="n"/>
      <c r="D45" s="13" t="n"/>
      <c r="E45" s="13" t="n"/>
      <c r="F45" s="13" t="n"/>
      <c r="G45" s="13" t="n"/>
      <c r="H45" s="13" t="n"/>
      <c r="I45" s="13" t="n"/>
      <c r="J45" s="13" t="n"/>
    </row>
    <row r="46">
      <c r="A46" s="13" t="n"/>
      <c r="B46" s="13" t="n"/>
      <c r="C46" s="13" t="n"/>
      <c r="D46" s="13" t="n"/>
      <c r="E46" s="13" t="n"/>
      <c r="F46" s="13" t="n"/>
      <c r="G46" s="13" t="n"/>
      <c r="H46" s="13" t="n"/>
      <c r="I46" s="13" t="n"/>
      <c r="J46" s="13" t="n"/>
    </row>
    <row r="47">
      <c r="A47" s="13" t="n"/>
      <c r="B47" s="13" t="n"/>
      <c r="C47" s="13" t="n"/>
      <c r="D47" s="13" t="n"/>
      <c r="E47" s="13" t="n"/>
      <c r="F47" s="13" t="n"/>
      <c r="G47" s="13" t="n"/>
      <c r="H47" s="13" t="n"/>
      <c r="I47" s="13" t="n"/>
      <c r="J47" s="13" t="n"/>
    </row>
    <row r="48">
      <c r="A48" s="13" t="n"/>
      <c r="B48" s="13" t="n"/>
      <c r="C48" s="13" t="n"/>
      <c r="D48" s="13" t="n"/>
      <c r="E48" s="13" t="n"/>
      <c r="F48" s="13" t="n"/>
      <c r="G48" s="13" t="n"/>
      <c r="H48" s="13" t="n"/>
      <c r="I48" s="13" t="n"/>
      <c r="J48" s="13" t="n"/>
    </row>
    <row r="49">
      <c r="A49" s="13" t="n"/>
      <c r="B49" s="13" t="n"/>
      <c r="C49" s="13" t="n"/>
      <c r="D49" s="13" t="n"/>
      <c r="E49" s="13" t="n"/>
      <c r="F49" s="13" t="n"/>
      <c r="G49" s="13" t="n"/>
      <c r="H49" s="13" t="n"/>
      <c r="I49" s="13" t="n"/>
      <c r="J49" s="13" t="n"/>
    </row>
    <row r="50">
      <c r="A50" s="13" t="n"/>
      <c r="B50" s="13" t="n"/>
      <c r="C50" s="13" t="n"/>
      <c r="D50" s="13" t="n"/>
      <c r="E50" s="13" t="n"/>
      <c r="F50" s="13" t="n"/>
      <c r="G50" s="13" t="n"/>
      <c r="H50" s="13" t="n"/>
      <c r="I50" s="13" t="n"/>
      <c r="J50" s="13" t="n"/>
    </row>
    <row r="51">
      <c r="A51" s="13" t="n"/>
      <c r="B51" s="13" t="n"/>
      <c r="C51" s="13" t="n"/>
      <c r="D51" s="13" t="n"/>
      <c r="E51" s="13" t="n"/>
      <c r="F51" s="13" t="n"/>
      <c r="G51" s="13" t="n"/>
      <c r="H51" s="13" t="n"/>
      <c r="I51" s="13" t="n"/>
      <c r="J51" s="13" t="n"/>
    </row>
    <row r="52">
      <c r="A52" s="13" t="n"/>
      <c r="B52" s="13" t="n"/>
      <c r="C52" s="13" t="n"/>
      <c r="D52" s="13" t="n"/>
      <c r="E52" s="13" t="n"/>
      <c r="F52" s="13" t="n"/>
      <c r="G52" s="13" t="n"/>
      <c r="H52" s="13" t="n"/>
      <c r="I52" s="13" t="n"/>
      <c r="J52" s="13" t="n"/>
    </row>
    <row r="53">
      <c r="A53" s="13" t="n"/>
      <c r="B53" s="13" t="n"/>
      <c r="C53" s="13" t="n"/>
      <c r="D53" s="13" t="n"/>
      <c r="E53" s="13" t="n"/>
      <c r="F53" s="13" t="n"/>
      <c r="G53" s="13" t="n"/>
      <c r="H53" s="13" t="n"/>
      <c r="I53" s="13" t="n"/>
      <c r="J53" s="13" t="n"/>
    </row>
    <row r="54">
      <c r="A54" s="13" t="n"/>
      <c r="B54" s="13" t="n"/>
      <c r="C54" s="13" t="n"/>
      <c r="D54" s="13" t="n"/>
      <c r="E54" s="13" t="n"/>
      <c r="F54" s="13" t="n"/>
      <c r="G54" s="13" t="n"/>
      <c r="H54" s="13" t="n"/>
      <c r="I54" s="13" t="n"/>
      <c r="J54" s="13" t="n"/>
    </row>
    <row r="55">
      <c r="A55" s="13" t="n"/>
      <c r="B55" s="13" t="n"/>
      <c r="C55" s="13" t="n"/>
      <c r="D55" s="13" t="n"/>
      <c r="E55" s="13" t="n"/>
      <c r="F55" s="13" t="n"/>
      <c r="G55" s="13" t="n"/>
      <c r="H55" s="13" t="n"/>
      <c r="I55" s="13" t="n"/>
      <c r="J55" s="13" t="n"/>
    </row>
    <row r="56">
      <c r="A56" s="13" t="n"/>
      <c r="B56" s="13" t="n"/>
      <c r="C56" s="13" t="n"/>
      <c r="D56" s="13" t="n"/>
      <c r="E56" s="13" t="n"/>
      <c r="F56" s="13" t="n"/>
      <c r="G56" s="13" t="n"/>
      <c r="H56" s="13" t="n"/>
      <c r="I56" s="13" t="n"/>
      <c r="J56" s="13" t="n"/>
    </row>
    <row r="57">
      <c r="A57" s="13" t="n"/>
      <c r="B57" s="13" t="n"/>
      <c r="C57" s="13" t="n"/>
      <c r="D57" s="13" t="n"/>
      <c r="E57" s="13" t="n"/>
      <c r="F57" s="13" t="n"/>
      <c r="G57" s="13" t="n"/>
      <c r="H57" s="13" t="n"/>
      <c r="I57" s="13" t="n"/>
      <c r="J57" s="13" t="n"/>
    </row>
    <row r="58">
      <c r="A58" s="13" t="n"/>
      <c r="B58" s="13" t="n"/>
      <c r="C58" s="13" t="n"/>
      <c r="D58" s="13" t="n"/>
      <c r="E58" s="13" t="n"/>
      <c r="F58" s="13" t="n"/>
      <c r="G58" s="13" t="n"/>
      <c r="H58" s="13" t="n"/>
      <c r="I58" s="13" t="n"/>
      <c r="J58" s="13" t="n"/>
    </row>
    <row r="59">
      <c r="A59" s="13" t="n"/>
      <c r="B59" s="13" t="n"/>
      <c r="C59" s="13" t="n"/>
      <c r="D59" s="13" t="n"/>
      <c r="E59" s="13" t="n"/>
      <c r="F59" s="13" t="n"/>
      <c r="G59" s="13" t="n"/>
      <c r="H59" s="13" t="n"/>
      <c r="I59" s="13" t="n"/>
      <c r="J59" s="13" t="n"/>
    </row>
    <row r="60">
      <c r="A60" s="13" t="n"/>
      <c r="B60" s="13" t="n"/>
      <c r="C60" s="13" t="n"/>
      <c r="D60" s="13" t="n"/>
      <c r="E60" s="13" t="n"/>
      <c r="F60" s="13" t="n"/>
      <c r="G60" s="13" t="n"/>
      <c r="H60" s="13" t="n"/>
      <c r="I60" s="13" t="n"/>
      <c r="J60" s="13" t="n"/>
    </row>
    <row r="61">
      <c r="A61" s="13" t="n"/>
      <c r="B61" s="13" t="n"/>
      <c r="C61" s="13" t="n"/>
      <c r="D61" s="13" t="n"/>
      <c r="E61" s="13" t="n"/>
      <c r="F61" s="13" t="n"/>
      <c r="G61" s="13" t="n"/>
      <c r="H61" s="13" t="n"/>
      <c r="I61" s="13" t="n"/>
      <c r="J61" s="13" t="n"/>
    </row>
    <row r="62">
      <c r="A62" s="13" t="n"/>
      <c r="B62" s="13" t="n"/>
      <c r="C62" s="13" t="n"/>
      <c r="D62" s="13" t="n"/>
      <c r="E62" s="13" t="n"/>
      <c r="F62" s="13" t="n"/>
      <c r="G62" s="13" t="n"/>
      <c r="H62" s="13" t="n"/>
      <c r="I62" s="13" t="n"/>
      <c r="J62" s="13" t="n"/>
    </row>
    <row r="63">
      <c r="A63" s="13" t="n"/>
      <c r="B63" s="13" t="n"/>
      <c r="C63" s="13" t="n"/>
      <c r="D63" s="13" t="n"/>
      <c r="E63" s="13" t="n"/>
      <c r="F63" s="13" t="n"/>
      <c r="G63" s="13" t="n"/>
      <c r="H63" s="13" t="n"/>
      <c r="I63" s="13" t="n"/>
      <c r="J63" s="13" t="n"/>
    </row>
    <row r="64">
      <c r="A64" s="13" t="n"/>
      <c r="B64" s="13" t="n"/>
      <c r="C64" s="13" t="n"/>
      <c r="D64" s="13" t="n"/>
      <c r="E64" s="13" t="n"/>
      <c r="F64" s="13" t="n"/>
      <c r="G64" s="13" t="n"/>
      <c r="H64" s="13" t="n"/>
      <c r="I64" s="13" t="n"/>
      <c r="J64" s="13" t="n"/>
    </row>
    <row r="65">
      <c r="A65" s="13" t="n"/>
      <c r="B65" s="13" t="n"/>
      <c r="C65" s="13" t="n"/>
      <c r="D65" s="13" t="n"/>
      <c r="E65" s="13" t="n"/>
      <c r="F65" s="13" t="n"/>
      <c r="G65" s="13" t="n"/>
      <c r="H65" s="13" t="n"/>
      <c r="I65" s="13" t="n"/>
      <c r="J65" s="13" t="n"/>
    </row>
    <row r="66">
      <c r="A66" s="13" t="n"/>
      <c r="B66" s="13" t="n"/>
      <c r="C66" s="13" t="n"/>
      <c r="D66" s="13" t="n"/>
      <c r="E66" s="13" t="n"/>
      <c r="F66" s="13" t="n"/>
      <c r="G66" s="13" t="n"/>
      <c r="H66" s="13" t="n"/>
      <c r="I66" s="13" t="n"/>
      <c r="J66" s="13" t="n"/>
    </row>
    <row r="67">
      <c r="A67" s="13" t="n"/>
      <c r="B67" s="13" t="n"/>
      <c r="C67" s="13" t="n"/>
      <c r="D67" s="13" t="n"/>
      <c r="E67" s="13" t="n"/>
      <c r="F67" s="13" t="n"/>
      <c r="G67" s="13" t="n"/>
      <c r="H67" s="13" t="n"/>
      <c r="I67" s="13" t="n"/>
      <c r="J67" s="13" t="n"/>
    </row>
    <row r="68">
      <c r="A68" s="13" t="n"/>
      <c r="B68" s="13" t="n"/>
      <c r="C68" s="13" t="n"/>
      <c r="D68" s="13" t="n"/>
      <c r="E68" s="13" t="n"/>
      <c r="F68" s="13" t="n"/>
      <c r="G68" s="13" t="n"/>
      <c r="H68" s="13" t="n"/>
      <c r="I68" s="13" t="n"/>
      <c r="J68" s="13" t="n"/>
    </row>
    <row r="69">
      <c r="A69" s="13" t="n"/>
      <c r="B69" s="13" t="n"/>
      <c r="C69" s="13" t="n"/>
      <c r="D69" s="13" t="n"/>
      <c r="E69" s="13" t="n"/>
      <c r="F69" s="13" t="n"/>
      <c r="G69" s="13" t="n"/>
      <c r="H69" s="13" t="n"/>
      <c r="I69" s="13" t="n"/>
      <c r="J69" s="13" t="n"/>
    </row>
    <row r="70">
      <c r="A70" s="13" t="n"/>
      <c r="B70" s="13" t="n"/>
      <c r="C70" s="13" t="n"/>
      <c r="D70" s="13" t="n"/>
      <c r="E70" s="13" t="n"/>
      <c r="F70" s="13" t="n"/>
      <c r="G70" s="13" t="n"/>
      <c r="H70" s="13" t="n"/>
      <c r="I70" s="13" t="n"/>
      <c r="J70" s="13" t="n"/>
    </row>
    <row r="71">
      <c r="A71" s="13" t="n"/>
      <c r="B71" s="13" t="n"/>
      <c r="C71" s="13" t="n"/>
      <c r="D71" s="13" t="n"/>
      <c r="E71" s="13" t="n"/>
      <c r="F71" s="13" t="n"/>
      <c r="G71" s="13" t="n"/>
      <c r="H71" s="13" t="n"/>
      <c r="I71" s="13" t="n"/>
      <c r="J71" s="13" t="n"/>
    </row>
    <row r="72">
      <c r="A72" s="13" t="n"/>
      <c r="B72" s="13" t="n"/>
      <c r="C72" s="13" t="n"/>
      <c r="D72" s="13" t="n"/>
      <c r="E72" s="13" t="n"/>
      <c r="F72" s="13" t="n"/>
      <c r="G72" s="13" t="n"/>
      <c r="H72" s="13" t="n"/>
      <c r="I72" s="13" t="n"/>
      <c r="J72" s="13" t="n"/>
    </row>
    <row r="73">
      <c r="A73" s="13" t="n"/>
      <c r="B73" s="13" t="n"/>
      <c r="C73" s="13" t="n"/>
      <c r="D73" s="13" t="n"/>
      <c r="E73" s="13" t="n"/>
      <c r="F73" s="13" t="n"/>
      <c r="G73" s="13" t="n"/>
      <c r="H73" s="13" t="n"/>
      <c r="I73" s="13" t="n"/>
      <c r="J73" s="13" t="n"/>
    </row>
    <row r="74">
      <c r="A74" s="13" t="n"/>
      <c r="B74" s="13" t="n"/>
      <c r="C74" s="13" t="n"/>
      <c r="D74" s="13" t="n"/>
      <c r="E74" s="13" t="n"/>
      <c r="F74" s="13" t="n"/>
      <c r="G74" s="13" t="n"/>
      <c r="H74" s="13" t="n"/>
      <c r="I74" s="13" t="n"/>
      <c r="J74" s="13" t="n"/>
    </row>
    <row r="75">
      <c r="A75" s="13" t="n"/>
      <c r="B75" s="13" t="n"/>
      <c r="C75" s="13" t="n"/>
      <c r="D75" s="13" t="n"/>
      <c r="E75" s="13" t="n"/>
      <c r="F75" s="13" t="n"/>
      <c r="G75" s="13" t="n"/>
      <c r="H75" s="13" t="n"/>
      <c r="I75" s="13" t="n"/>
      <c r="J75" s="13" t="n"/>
    </row>
    <row r="76">
      <c r="A76" s="13" t="n"/>
      <c r="B76" s="13" t="n"/>
      <c r="C76" s="13" t="n"/>
      <c r="D76" s="13" t="n"/>
      <c r="E76" s="13" t="n"/>
      <c r="F76" s="13" t="n"/>
      <c r="G76" s="13" t="n"/>
      <c r="H76" s="13" t="n"/>
      <c r="I76" s="13" t="n"/>
      <c r="J76" s="13" t="n"/>
    </row>
    <row r="77">
      <c r="A77" s="13" t="n"/>
      <c r="B77" s="13" t="n"/>
      <c r="C77" s="13" t="n"/>
      <c r="D77" s="13" t="n"/>
      <c r="E77" s="13" t="n"/>
      <c r="F77" s="13" t="n"/>
      <c r="G77" s="13" t="n"/>
      <c r="H77" s="13" t="n"/>
      <c r="I77" s="13" t="n"/>
      <c r="J77" s="13" t="n"/>
    </row>
    <row r="78">
      <c r="A78" s="13" t="n"/>
      <c r="B78" s="13" t="n"/>
      <c r="C78" s="13" t="n"/>
      <c r="D78" s="13" t="n"/>
      <c r="E78" s="13" t="n"/>
      <c r="F78" s="13" t="n"/>
      <c r="G78" s="13" t="n"/>
      <c r="H78" s="13" t="n"/>
      <c r="I78" s="13" t="n"/>
      <c r="J78" s="13" t="n"/>
    </row>
    <row r="79">
      <c r="A79" s="13" t="n"/>
      <c r="B79" s="13" t="n"/>
      <c r="C79" s="13" t="n"/>
      <c r="D79" s="13" t="n"/>
      <c r="E79" s="13" t="n"/>
      <c r="F79" s="13" t="n"/>
      <c r="G79" s="13" t="n"/>
      <c r="H79" s="13" t="n"/>
      <c r="I79" s="13" t="n"/>
      <c r="J79" s="13" t="n"/>
    </row>
    <row r="80">
      <c r="A80" s="13" t="n"/>
      <c r="B80" s="13" t="n"/>
      <c r="C80" s="13" t="n"/>
      <c r="D80" s="13" t="n"/>
      <c r="E80" s="13" t="n"/>
      <c r="F80" s="13" t="n"/>
      <c r="G80" s="13" t="n"/>
      <c r="H80" s="13" t="n"/>
      <c r="I80" s="13" t="n"/>
      <c r="J80" s="13" t="n"/>
    </row>
    <row r="81">
      <c r="A81" s="13" t="n"/>
      <c r="B81" s="13" t="n"/>
      <c r="C81" s="13" t="n"/>
      <c r="D81" s="13" t="n"/>
      <c r="E81" s="13" t="n"/>
      <c r="F81" s="13" t="n"/>
      <c r="G81" s="13" t="n"/>
      <c r="H81" s="13" t="n"/>
      <c r="I81" s="13" t="n"/>
      <c r="J81" s="13" t="n"/>
    </row>
    <row r="82">
      <c r="A82" s="13" t="n"/>
      <c r="B82" s="13" t="n"/>
      <c r="C82" s="13" t="n"/>
      <c r="D82" s="13" t="n"/>
      <c r="E82" s="13" t="n"/>
      <c r="F82" s="13" t="n"/>
      <c r="G82" s="13" t="n"/>
      <c r="H82" s="13" t="n"/>
      <c r="I82" s="13" t="n"/>
      <c r="J82" s="13" t="n"/>
    </row>
    <row r="83">
      <c r="A83" s="13" t="n"/>
      <c r="B83" s="13" t="n"/>
      <c r="C83" s="13" t="n"/>
      <c r="D83" s="13" t="n"/>
      <c r="E83" s="13" t="n"/>
      <c r="F83" s="13" t="n"/>
      <c r="G83" s="13" t="n"/>
      <c r="H83" s="13" t="n"/>
      <c r="I83" s="13" t="n"/>
      <c r="J83" s="13" t="n"/>
    </row>
    <row r="84">
      <c r="A84" s="13" t="n"/>
      <c r="B84" s="13" t="n"/>
      <c r="C84" s="13" t="n"/>
      <c r="D84" s="13" t="n"/>
      <c r="E84" s="13" t="n"/>
      <c r="F84" s="13" t="n"/>
      <c r="G84" s="13" t="n"/>
      <c r="H84" s="13" t="n"/>
      <c r="I84" s="13" t="n"/>
      <c r="J84" s="13" t="n"/>
    </row>
    <row r="85">
      <c r="A85" s="13" t="n"/>
      <c r="B85" s="13" t="n"/>
      <c r="C85" s="13" t="n"/>
      <c r="D85" s="13" t="n"/>
      <c r="E85" s="13" t="n"/>
      <c r="F85" s="13" t="n"/>
      <c r="G85" s="13" t="n"/>
      <c r="H85" s="13" t="n"/>
      <c r="I85" s="13" t="n"/>
      <c r="J85" s="13" t="n"/>
    </row>
    <row r="86">
      <c r="A86" s="13" t="n"/>
      <c r="B86" s="13" t="n"/>
      <c r="C86" s="13" t="n"/>
      <c r="D86" s="13" t="n"/>
      <c r="E86" s="13" t="n"/>
      <c r="F86" s="13" t="n"/>
      <c r="G86" s="13" t="n"/>
      <c r="H86" s="13" t="n"/>
      <c r="I86" s="13" t="n"/>
      <c r="J86" s="13" t="n"/>
    </row>
    <row r="87">
      <c r="A87" s="13" t="n"/>
      <c r="B87" s="13" t="n"/>
      <c r="C87" s="13" t="n"/>
      <c r="D87" s="13" t="n"/>
      <c r="E87" s="13" t="n"/>
      <c r="F87" s="13" t="n"/>
      <c r="G87" s="13" t="n"/>
      <c r="H87" s="13" t="n"/>
      <c r="I87" s="13" t="n"/>
      <c r="J87" s="13" t="n"/>
    </row>
    <row r="88">
      <c r="A88" s="13" t="n"/>
      <c r="B88" s="13" t="n"/>
      <c r="C88" s="13" t="n"/>
      <c r="D88" s="13" t="n"/>
      <c r="E88" s="13" t="n"/>
      <c r="F88" s="13" t="n"/>
      <c r="G88" s="13" t="n"/>
      <c r="H88" s="13" t="n"/>
      <c r="I88" s="13" t="n"/>
      <c r="J88" s="13" t="n"/>
    </row>
    <row r="89">
      <c r="A89" s="13" t="n"/>
      <c r="B89" s="13" t="n"/>
      <c r="C89" s="13" t="n"/>
      <c r="D89" s="13" t="n"/>
      <c r="E89" s="13" t="n"/>
      <c r="F89" s="13" t="n"/>
      <c r="G89" s="13" t="n"/>
      <c r="H89" s="13" t="n"/>
      <c r="I89" s="13" t="n"/>
      <c r="J89" s="13" t="n"/>
    </row>
    <row r="90">
      <c r="A90" s="13" t="n"/>
      <c r="B90" s="13" t="n"/>
      <c r="C90" s="13" t="n"/>
      <c r="D90" s="13" t="n"/>
      <c r="E90" s="13" t="n"/>
      <c r="F90" s="13" t="n"/>
      <c r="G90" s="13" t="n"/>
      <c r="H90" s="13" t="n"/>
      <c r="I90" s="13" t="n"/>
      <c r="J90" s="13" t="n"/>
    </row>
    <row r="91">
      <c r="A91" s="13" t="n"/>
      <c r="B91" s="13" t="n"/>
      <c r="C91" s="13" t="n"/>
      <c r="D91" s="13" t="n"/>
      <c r="E91" s="13" t="n"/>
      <c r="F91" s="13" t="n"/>
      <c r="G91" s="13" t="n"/>
      <c r="H91" s="13" t="n"/>
      <c r="I91" s="13" t="n"/>
      <c r="J91" s="13" t="n"/>
    </row>
    <row r="92">
      <c r="A92" s="13" t="n"/>
      <c r="B92" s="13" t="n"/>
      <c r="C92" s="13" t="n"/>
      <c r="D92" s="13" t="n"/>
      <c r="E92" s="13" t="n"/>
      <c r="F92" s="13" t="n"/>
      <c r="G92" s="13" t="n"/>
      <c r="H92" s="13" t="n"/>
      <c r="I92" s="13" t="n"/>
      <c r="J92" s="13" t="n"/>
    </row>
    <row r="93">
      <c r="A93" s="13" t="n"/>
      <c r="B93" s="13" t="n"/>
      <c r="C93" s="13" t="n"/>
      <c r="D93" s="13" t="n"/>
      <c r="E93" s="13" t="n"/>
      <c r="F93" s="13" t="n"/>
      <c r="G93" s="13" t="n"/>
      <c r="H93" s="13" t="n"/>
      <c r="I93" s="13" t="n"/>
      <c r="J93" s="13" t="n"/>
    </row>
    <row r="94">
      <c r="A94" s="13" t="n"/>
      <c r="B94" s="13" t="n"/>
      <c r="C94" s="13" t="n"/>
      <c r="D94" s="13" t="n"/>
      <c r="E94" s="13" t="n"/>
      <c r="F94" s="13" t="n"/>
      <c r="G94" s="13" t="n"/>
      <c r="H94" s="13" t="n"/>
      <c r="I94" s="13" t="n"/>
      <c r="J94" s="13" t="n"/>
    </row>
    <row r="95">
      <c r="A95" s="13" t="n"/>
      <c r="B95" s="13" t="n"/>
      <c r="C95" s="13" t="n"/>
      <c r="D95" s="13" t="n"/>
      <c r="E95" s="13" t="n"/>
      <c r="F95" s="13" t="n"/>
      <c r="G95" s="13" t="n"/>
      <c r="H95" s="13" t="n"/>
      <c r="I95" s="13" t="n"/>
      <c r="J95" s="13" t="n"/>
    </row>
    <row r="96">
      <c r="A96" s="13" t="n"/>
      <c r="B96" s="13" t="n"/>
      <c r="C96" s="13" t="n"/>
      <c r="D96" s="13" t="n"/>
      <c r="E96" s="13" t="n"/>
      <c r="F96" s="13" t="n"/>
      <c r="G96" s="13" t="n"/>
      <c r="H96" s="13" t="n"/>
      <c r="I96" s="13" t="n"/>
      <c r="J96" s="13" t="n"/>
    </row>
    <row r="97">
      <c r="A97" s="13" t="n"/>
      <c r="B97" s="13" t="n"/>
      <c r="C97" s="13" t="n"/>
      <c r="D97" s="13" t="n"/>
      <c r="E97" s="13" t="n"/>
      <c r="F97" s="13" t="n"/>
      <c r="G97" s="13" t="n"/>
      <c r="H97" s="13" t="n"/>
      <c r="I97" s="13" t="n"/>
      <c r="J97" s="13" t="n"/>
    </row>
    <row r="98">
      <c r="A98" s="13" t="n"/>
      <c r="B98" s="13" t="n"/>
      <c r="C98" s="13" t="n"/>
      <c r="D98" s="13" t="n"/>
      <c r="E98" s="13" t="n"/>
      <c r="F98" s="13" t="n"/>
      <c r="G98" s="13" t="n"/>
      <c r="H98" s="13" t="n"/>
      <c r="I98" s="13" t="n"/>
      <c r="J98" s="13" t="n"/>
    </row>
    <row r="99">
      <c r="A99" s="13" t="n"/>
      <c r="B99" s="13" t="n"/>
      <c r="C99" s="13" t="n"/>
      <c r="D99" s="13" t="n"/>
      <c r="E99" s="13" t="n"/>
      <c r="F99" s="13" t="n"/>
      <c r="G99" s="13" t="n"/>
      <c r="H99" s="13" t="n"/>
      <c r="I99" s="13" t="n"/>
      <c r="J99" s="13" t="n"/>
    </row>
    <row r="100">
      <c r="A100" s="13" t="n"/>
      <c r="B100" s="13" t="n"/>
      <c r="C100" s="13" t="n"/>
      <c r="D100" s="13" t="n"/>
      <c r="E100" s="13" t="n"/>
      <c r="F100" s="13" t="n"/>
      <c r="G100" s="13" t="n"/>
      <c r="H100" s="13" t="n"/>
      <c r="I100" s="13" t="n"/>
      <c r="J100" s="13" t="n"/>
    </row>
    <row r="101">
      <c r="A101" s="13" t="n"/>
      <c r="B101" s="13" t="n"/>
      <c r="C101" s="13" t="n"/>
      <c r="D101" s="13" t="n"/>
      <c r="E101" s="13" t="n"/>
      <c r="F101" s="13" t="n"/>
      <c r="G101" s="13" t="n"/>
      <c r="H101" s="13" t="n"/>
      <c r="I101" s="13" t="n"/>
      <c r="J101" s="13" t="n"/>
    </row>
    <row r="102">
      <c r="A102" s="13" t="n"/>
      <c r="B102" s="13" t="n"/>
      <c r="C102" s="13" t="n"/>
      <c r="D102" s="13" t="n"/>
      <c r="E102" s="13" t="n"/>
      <c r="F102" s="13" t="n"/>
      <c r="G102" s="13" t="n"/>
      <c r="H102" s="13" t="n"/>
      <c r="I102" s="13" t="n"/>
      <c r="J102" s="13" t="n"/>
    </row>
    <row r="103">
      <c r="A103" s="13" t="n"/>
      <c r="B103" s="13" t="n"/>
      <c r="C103" s="13" t="n"/>
      <c r="D103" s="13" t="n"/>
      <c r="E103" s="13" t="n"/>
      <c r="F103" s="13" t="n"/>
      <c r="G103" s="13" t="n"/>
      <c r="H103" s="13" t="n"/>
      <c r="I103" s="13" t="n"/>
      <c r="J103" s="13" t="n"/>
    </row>
    <row r="104">
      <c r="A104" s="13" t="n"/>
      <c r="B104" s="13" t="n"/>
      <c r="C104" s="13" t="n"/>
      <c r="D104" s="13" t="n"/>
      <c r="E104" s="13" t="n"/>
      <c r="F104" s="13" t="n"/>
      <c r="G104" s="13" t="n"/>
      <c r="H104" s="13" t="n"/>
      <c r="I104" s="13" t="n"/>
      <c r="J104" s="13" t="n"/>
    </row>
    <row r="105">
      <c r="A105" s="13" t="n"/>
      <c r="B105" s="13" t="n"/>
      <c r="C105" s="13" t="n"/>
      <c r="D105" s="13" t="n"/>
      <c r="E105" s="13" t="n"/>
      <c r="F105" s="13" t="n"/>
      <c r="G105" s="13" t="n"/>
      <c r="H105" s="13" t="n"/>
      <c r="I105" s="13" t="n"/>
      <c r="J105" s="13" t="n"/>
    </row>
    <row r="106">
      <c r="A106" s="13" t="n"/>
      <c r="B106" s="13" t="n"/>
      <c r="C106" s="13" t="n"/>
      <c r="D106" s="13" t="n"/>
      <c r="E106" s="13" t="n"/>
      <c r="F106" s="13" t="n"/>
      <c r="G106" s="13" t="n"/>
      <c r="H106" s="13" t="n"/>
      <c r="I106" s="13" t="n"/>
      <c r="J106" s="13" t="n"/>
    </row>
    <row r="107">
      <c r="A107" s="13" t="n"/>
      <c r="B107" s="13" t="n"/>
      <c r="C107" s="13" t="n"/>
      <c r="D107" s="13" t="n"/>
      <c r="E107" s="13" t="n"/>
      <c r="F107" s="13" t="n"/>
      <c r="G107" s="13" t="n"/>
      <c r="H107" s="13" t="n"/>
      <c r="I107" s="13" t="n"/>
      <c r="J107" s="13" t="n"/>
    </row>
    <row r="108">
      <c r="A108" s="13" t="n"/>
      <c r="B108" s="13" t="n"/>
      <c r="C108" s="13" t="n"/>
      <c r="D108" s="13" t="n"/>
      <c r="E108" s="13" t="n"/>
      <c r="F108" s="13" t="n"/>
      <c r="G108" s="13" t="n"/>
      <c r="H108" s="13" t="n"/>
      <c r="I108" s="13" t="n"/>
      <c r="J108" s="13" t="n"/>
    </row>
    <row r="109">
      <c r="A109" s="13" t="n"/>
      <c r="B109" s="13" t="n"/>
      <c r="C109" s="13" t="n"/>
      <c r="D109" s="13" t="n"/>
      <c r="E109" s="13" t="n"/>
      <c r="F109" s="13" t="n"/>
      <c r="G109" s="13" t="n"/>
      <c r="H109" s="13" t="n"/>
      <c r="I109" s="13" t="n"/>
      <c r="J109" s="13" t="n"/>
    </row>
    <row r="110">
      <c r="A110" s="13" t="n"/>
      <c r="B110" s="13" t="n"/>
      <c r="C110" s="13" t="n"/>
      <c r="D110" s="13" t="n"/>
      <c r="E110" s="13" t="n"/>
      <c r="F110" s="13" t="n"/>
      <c r="G110" s="13" t="n"/>
      <c r="H110" s="13" t="n"/>
      <c r="I110" s="13" t="n"/>
      <c r="J110" s="13" t="n"/>
    </row>
    <row r="111">
      <c r="A111" s="13" t="n"/>
      <c r="B111" s="13" t="n"/>
      <c r="C111" s="13" t="n"/>
      <c r="D111" s="13" t="n"/>
      <c r="E111" s="13" t="n"/>
      <c r="F111" s="13" t="n"/>
      <c r="G111" s="13" t="n"/>
      <c r="H111" s="13" t="n"/>
      <c r="I111" s="13" t="n"/>
      <c r="J111" s="13" t="n"/>
    </row>
    <row r="112">
      <c r="A112" s="13" t="n"/>
      <c r="B112" s="13" t="n"/>
      <c r="C112" s="13" t="n"/>
      <c r="D112" s="13" t="n"/>
      <c r="E112" s="13" t="n"/>
      <c r="F112" s="13" t="n"/>
      <c r="G112" s="13" t="n"/>
      <c r="H112" s="13" t="n"/>
      <c r="I112" s="13" t="n"/>
      <c r="J112" s="13" t="n"/>
    </row>
    <row r="113">
      <c r="A113" s="13" t="n"/>
      <c r="B113" s="13" t="n"/>
      <c r="C113" s="13" t="n"/>
      <c r="D113" s="13" t="n"/>
      <c r="E113" s="13" t="n"/>
      <c r="F113" s="13" t="n"/>
      <c r="G113" s="13" t="n"/>
      <c r="H113" s="13" t="n"/>
      <c r="I113" s="13" t="n"/>
      <c r="J113" s="13" t="n"/>
    </row>
    <row r="114">
      <c r="A114" s="13" t="n"/>
      <c r="B114" s="13" t="n"/>
      <c r="C114" s="13" t="n"/>
      <c r="D114" s="13" t="n"/>
      <c r="E114" s="13" t="n"/>
      <c r="F114" s="13" t="n"/>
      <c r="G114" s="13" t="n"/>
      <c r="H114" s="13" t="n"/>
      <c r="I114" s="13" t="n"/>
      <c r="J114" s="13" t="n"/>
    </row>
    <row r="115">
      <c r="A115" s="13" t="n"/>
      <c r="B115" s="13" t="n"/>
      <c r="C115" s="13" t="n"/>
      <c r="D115" s="13" t="n"/>
      <c r="E115" s="13" t="n"/>
      <c r="F115" s="13" t="n"/>
      <c r="G115" s="13" t="n"/>
      <c r="H115" s="13" t="n"/>
      <c r="I115" s="13" t="n"/>
      <c r="J115" s="13" t="n"/>
    </row>
    <row r="116">
      <c r="A116" s="13" t="n"/>
      <c r="B116" s="13" t="n"/>
      <c r="C116" s="13" t="n"/>
      <c r="D116" s="13" t="n"/>
      <c r="E116" s="13" t="n"/>
      <c r="F116" s="13" t="n"/>
      <c r="G116" s="13" t="n"/>
      <c r="H116" s="13" t="n"/>
      <c r="I116" s="13" t="n"/>
      <c r="J116" s="13" t="n"/>
    </row>
    <row r="117">
      <c r="A117" s="13" t="n"/>
      <c r="B117" s="13" t="n"/>
      <c r="C117" s="13" t="n"/>
      <c r="D117" s="13" t="n"/>
      <c r="E117" s="13" t="n"/>
      <c r="F117" s="13" t="n"/>
      <c r="G117" s="13" t="n"/>
      <c r="H117" s="13" t="n"/>
      <c r="I117" s="13" t="n"/>
      <c r="J117" s="13" t="n"/>
    </row>
    <row r="118">
      <c r="A118" s="13" t="n"/>
      <c r="B118" s="13" t="n"/>
      <c r="C118" s="13" t="n"/>
      <c r="D118" s="13" t="n"/>
      <c r="E118" s="13" t="n"/>
      <c r="F118" s="13" t="n"/>
      <c r="G118" s="13" t="n"/>
      <c r="H118" s="13" t="n"/>
      <c r="I118" s="13" t="n"/>
      <c r="J118" s="13" t="n"/>
    </row>
    <row r="119">
      <c r="A119" s="13" t="n"/>
      <c r="B119" s="13" t="n"/>
      <c r="C119" s="13" t="n"/>
      <c r="D119" s="13" t="n"/>
      <c r="E119" s="13" t="n"/>
      <c r="F119" s="13" t="n"/>
      <c r="G119" s="13" t="n"/>
      <c r="H119" s="13" t="n"/>
      <c r="I119" s="13" t="n"/>
      <c r="J119" s="13" t="n"/>
    </row>
    <row r="120">
      <c r="A120" s="13" t="n"/>
      <c r="B120" s="13" t="n"/>
      <c r="C120" s="13" t="n"/>
      <c r="D120" s="13" t="n"/>
      <c r="E120" s="13" t="n"/>
      <c r="F120" s="13" t="n"/>
      <c r="G120" s="13" t="n"/>
      <c r="H120" s="13" t="n"/>
      <c r="I120" s="13" t="n"/>
      <c r="J120" s="13" t="n"/>
    </row>
    <row r="121">
      <c r="A121" s="13" t="n"/>
      <c r="B121" s="13" t="n"/>
      <c r="C121" s="13" t="n"/>
      <c r="D121" s="13" t="n"/>
      <c r="E121" s="13" t="n"/>
      <c r="F121" s="13" t="n"/>
      <c r="G121" s="13" t="n"/>
      <c r="H121" s="13" t="n"/>
      <c r="I121" s="13" t="n"/>
      <c r="J121" s="13" t="n"/>
    </row>
    <row r="122">
      <c r="A122" s="13" t="n"/>
      <c r="B122" s="13" t="n"/>
      <c r="C122" s="13" t="n"/>
      <c r="D122" s="13" t="n"/>
      <c r="E122" s="13" t="n"/>
      <c r="F122" s="13" t="n"/>
      <c r="G122" s="13" t="n"/>
      <c r="H122" s="13" t="n"/>
      <c r="I122" s="13" t="n"/>
      <c r="J122" s="13" t="n"/>
    </row>
    <row r="123">
      <c r="A123" s="13" t="n"/>
      <c r="B123" s="13" t="n"/>
      <c r="C123" s="13" t="n"/>
      <c r="D123" s="13" t="n"/>
      <c r="E123" s="13" t="n"/>
      <c r="F123" s="13" t="n"/>
      <c r="G123" s="13" t="n"/>
      <c r="H123" s="13" t="n"/>
      <c r="I123" s="13" t="n"/>
      <c r="J123" s="13" t="n"/>
    </row>
    <row r="124">
      <c r="A124" s="13" t="n"/>
      <c r="B124" s="13" t="n"/>
      <c r="C124" s="13" t="n"/>
      <c r="D124" s="13" t="n"/>
      <c r="E124" s="13" t="n"/>
      <c r="F124" s="13" t="n"/>
      <c r="G124" s="13" t="n"/>
      <c r="H124" s="13" t="n"/>
      <c r="I124" s="13" t="n"/>
      <c r="J124" s="13" t="n"/>
    </row>
    <row r="125">
      <c r="A125" s="13" t="n"/>
      <c r="B125" s="13" t="n"/>
      <c r="C125" s="13" t="n"/>
      <c r="D125" s="13" t="n"/>
      <c r="E125" s="13" t="n"/>
      <c r="F125" s="13" t="n"/>
      <c r="G125" s="13" t="n"/>
      <c r="H125" s="13" t="n"/>
      <c r="I125" s="13" t="n"/>
      <c r="J125" s="13" t="n"/>
    </row>
    <row r="126">
      <c r="A126" s="13" t="n"/>
      <c r="B126" s="13" t="n"/>
      <c r="C126" s="13" t="n"/>
      <c r="D126" s="13" t="n"/>
      <c r="E126" s="13" t="n"/>
      <c r="F126" s="13" t="n"/>
      <c r="G126" s="13" t="n"/>
      <c r="H126" s="13" t="n"/>
      <c r="I126" s="13" t="n"/>
      <c r="J126" s="13" t="n"/>
    </row>
    <row r="127">
      <c r="A127" s="13" t="n"/>
      <c r="B127" s="13" t="n"/>
      <c r="C127" s="13" t="n"/>
      <c r="D127" s="13" t="n"/>
      <c r="E127" s="13" t="n"/>
      <c r="F127" s="13" t="n"/>
      <c r="G127" s="13" t="n"/>
      <c r="H127" s="13" t="n"/>
      <c r="I127" s="13" t="n"/>
      <c r="J127" s="13" t="n"/>
    </row>
    <row r="128">
      <c r="A128" s="13" t="n"/>
      <c r="B128" s="13" t="n"/>
      <c r="C128" s="13" t="n"/>
      <c r="D128" s="13" t="n"/>
      <c r="E128" s="13" t="n"/>
      <c r="F128" s="13" t="n"/>
      <c r="G128" s="13" t="n"/>
      <c r="H128" s="13" t="n"/>
      <c r="I128" s="13" t="n"/>
      <c r="J128" s="13" t="n"/>
    </row>
    <row r="129">
      <c r="A129" s="13" t="n"/>
      <c r="B129" s="13" t="n"/>
      <c r="C129" s="13" t="n"/>
      <c r="D129" s="13" t="n"/>
      <c r="E129" s="13" t="n"/>
      <c r="F129" s="13" t="n"/>
      <c r="G129" s="13" t="n"/>
      <c r="H129" s="13" t="n"/>
      <c r="I129" s="13" t="n"/>
      <c r="J129" s="13" t="n"/>
    </row>
    <row r="130">
      <c r="A130" s="13" t="n"/>
      <c r="B130" s="13" t="n"/>
      <c r="C130" s="13" t="n"/>
      <c r="D130" s="13" t="n"/>
      <c r="E130" s="13" t="n"/>
      <c r="F130" s="13" t="n"/>
      <c r="G130" s="13" t="n"/>
      <c r="H130" s="13" t="n"/>
      <c r="I130" s="13" t="n"/>
      <c r="J130" s="13" t="n"/>
    </row>
    <row r="131">
      <c r="A131" s="13" t="n"/>
      <c r="B131" s="13" t="n"/>
      <c r="C131" s="13" t="n"/>
      <c r="D131" s="13" t="n"/>
      <c r="E131" s="13" t="n"/>
      <c r="F131" s="13" t="n"/>
      <c r="G131" s="13" t="n"/>
      <c r="H131" s="13" t="n"/>
      <c r="I131" s="13" t="n"/>
      <c r="J131" s="13" t="n"/>
    </row>
    <row r="132">
      <c r="A132" s="13" t="n"/>
      <c r="B132" s="13" t="n"/>
      <c r="C132" s="13" t="n"/>
      <c r="D132" s="13" t="n"/>
      <c r="E132" s="13" t="n"/>
      <c r="F132" s="13" t="n"/>
      <c r="G132" s="13" t="n"/>
      <c r="H132" s="13" t="n"/>
      <c r="I132" s="13" t="n"/>
      <c r="J132" s="13" t="n"/>
    </row>
    <row r="133">
      <c r="A133" s="13" t="n"/>
      <c r="B133" s="13" t="n"/>
      <c r="C133" s="13" t="n"/>
      <c r="D133" s="13" t="n"/>
      <c r="E133" s="13" t="n"/>
      <c r="F133" s="13" t="n"/>
      <c r="G133" s="13" t="n"/>
      <c r="H133" s="13" t="n"/>
      <c r="I133" s="13" t="n"/>
      <c r="J133" s="13" t="n"/>
    </row>
    <row r="134">
      <c r="A134" s="13" t="n"/>
      <c r="B134" s="13" t="n"/>
      <c r="C134" s="13" t="n"/>
      <c r="D134" s="13" t="n"/>
      <c r="E134" s="13" t="n"/>
      <c r="F134" s="13" t="n"/>
      <c r="G134" s="13" t="n"/>
      <c r="H134" s="13" t="n"/>
      <c r="I134" s="13" t="n"/>
      <c r="J134" s="13" t="n"/>
    </row>
    <row r="135">
      <c r="A135" s="13" t="n"/>
      <c r="B135" s="13" t="n"/>
      <c r="C135" s="13" t="n"/>
      <c r="D135" s="13" t="n"/>
      <c r="E135" s="13" t="n"/>
      <c r="F135" s="13" t="n"/>
      <c r="G135" s="13" t="n"/>
      <c r="H135" s="13" t="n"/>
      <c r="I135" s="13" t="n"/>
      <c r="J135" s="13" t="n"/>
    </row>
    <row r="136">
      <c r="A136" s="13" t="n"/>
      <c r="B136" s="13" t="n"/>
      <c r="C136" s="13" t="n"/>
      <c r="D136" s="13" t="n"/>
      <c r="E136" s="13" t="n"/>
      <c r="F136" s="13" t="n"/>
      <c r="G136" s="13" t="n"/>
      <c r="H136" s="13" t="n"/>
      <c r="I136" s="13" t="n"/>
      <c r="J136" s="13" t="n"/>
    </row>
    <row r="137">
      <c r="A137" s="13" t="n"/>
      <c r="B137" s="13" t="n"/>
      <c r="C137" s="13" t="n"/>
      <c r="D137" s="13" t="n"/>
      <c r="E137" s="13" t="n"/>
      <c r="F137" s="13" t="n"/>
      <c r="G137" s="13" t="n"/>
      <c r="H137" s="13" t="n"/>
      <c r="I137" s="13" t="n"/>
      <c r="J137" s="13" t="n"/>
    </row>
    <row r="138">
      <c r="A138" s="13" t="n"/>
      <c r="B138" s="13" t="n"/>
      <c r="C138" s="13" t="n"/>
      <c r="D138" s="13" t="n"/>
      <c r="E138" s="13" t="n"/>
      <c r="F138" s="13" t="n"/>
      <c r="G138" s="13" t="n"/>
      <c r="H138" s="13" t="n"/>
      <c r="I138" s="13" t="n"/>
      <c r="J138" s="13" t="n"/>
    </row>
    <row r="139">
      <c r="A139" s="13" t="n"/>
      <c r="B139" s="13" t="n"/>
      <c r="C139" s="13" t="n"/>
      <c r="D139" s="13" t="n"/>
      <c r="E139" s="13" t="n"/>
      <c r="F139" s="13" t="n"/>
      <c r="G139" s="13" t="n"/>
      <c r="H139" s="13" t="n"/>
      <c r="I139" s="13" t="n"/>
      <c r="J139" s="13" t="n"/>
    </row>
    <row r="140">
      <c r="A140" s="13" t="n"/>
      <c r="B140" s="13" t="n"/>
      <c r="C140" s="13" t="n"/>
      <c r="D140" s="13" t="n"/>
      <c r="E140" s="13" t="n"/>
      <c r="F140" s="13" t="n"/>
      <c r="G140" s="13" t="n"/>
      <c r="H140" s="13" t="n"/>
      <c r="I140" s="13" t="n"/>
      <c r="J140" s="13" t="n"/>
    </row>
    <row r="141">
      <c r="A141" s="13" t="n"/>
      <c r="B141" s="13" t="n"/>
      <c r="C141" s="13" t="n"/>
      <c r="D141" s="13" t="n"/>
      <c r="E141" s="13" t="n"/>
      <c r="F141" s="13" t="n"/>
      <c r="G141" s="13" t="n"/>
      <c r="H141" s="13" t="n"/>
      <c r="I141" s="13" t="n"/>
      <c r="J141" s="13" t="n"/>
    </row>
    <row r="142">
      <c r="A142" s="13" t="n"/>
      <c r="B142" s="13" t="n"/>
      <c r="C142" s="13" t="n"/>
      <c r="D142" s="13" t="n"/>
      <c r="E142" s="13" t="n"/>
      <c r="F142" s="13" t="n"/>
      <c r="G142" s="13" t="n"/>
      <c r="H142" s="13" t="n"/>
      <c r="I142" s="13" t="n"/>
      <c r="J142" s="13" t="n"/>
    </row>
    <row r="143">
      <c r="A143" s="13" t="n"/>
      <c r="B143" s="13" t="n"/>
      <c r="C143" s="13" t="n"/>
      <c r="D143" s="13" t="n"/>
      <c r="E143" s="13" t="n"/>
      <c r="F143" s="13" t="n"/>
      <c r="G143" s="13" t="n"/>
      <c r="H143" s="13" t="n"/>
      <c r="I143" s="13" t="n"/>
      <c r="J143" s="13" t="n"/>
    </row>
    <row r="144">
      <c r="A144" s="13" t="n"/>
      <c r="B144" s="13" t="n"/>
      <c r="C144" s="13" t="n"/>
      <c r="D144" s="13" t="n"/>
      <c r="E144" s="13" t="n"/>
      <c r="F144" s="13" t="n"/>
      <c r="G144" s="13" t="n"/>
      <c r="H144" s="13" t="n"/>
      <c r="I144" s="13" t="n"/>
      <c r="J144" s="13" t="n"/>
    </row>
    <row r="145">
      <c r="A145" s="13" t="n"/>
      <c r="B145" s="13" t="n"/>
      <c r="C145" s="13" t="n"/>
      <c r="D145" s="13" t="n"/>
      <c r="E145" s="13" t="n"/>
      <c r="F145" s="13" t="n"/>
      <c r="G145" s="13" t="n"/>
      <c r="H145" s="13" t="n"/>
      <c r="I145" s="13" t="n"/>
      <c r="J145" s="13" t="n"/>
    </row>
    <row r="146">
      <c r="A146" s="13" t="n"/>
      <c r="B146" s="13" t="n"/>
      <c r="C146" s="13" t="n"/>
      <c r="D146" s="13" t="n"/>
      <c r="E146" s="13" t="n"/>
      <c r="F146" s="13" t="n"/>
      <c r="G146" s="13" t="n"/>
      <c r="H146" s="13" t="n"/>
      <c r="I146" s="13" t="n"/>
      <c r="J146" s="13" t="n"/>
    </row>
    <row r="147">
      <c r="A147" s="13" t="n"/>
      <c r="B147" s="13" t="n"/>
      <c r="C147" s="13" t="n"/>
      <c r="D147" s="13" t="n"/>
      <c r="E147" s="13" t="n"/>
      <c r="F147" s="13" t="n"/>
      <c r="G147" s="13" t="n"/>
      <c r="H147" s="13" t="n"/>
      <c r="I147" s="13" t="n"/>
      <c r="J147" s="13" t="n"/>
    </row>
    <row r="148">
      <c r="A148" s="13" t="n"/>
      <c r="B148" s="13" t="n"/>
      <c r="C148" s="13" t="n"/>
      <c r="D148" s="13" t="n"/>
      <c r="E148" s="13" t="n"/>
      <c r="F148" s="13" t="n"/>
      <c r="G148" s="13" t="n"/>
      <c r="H148" s="13" t="n"/>
      <c r="I148" s="13" t="n"/>
      <c r="J148" s="13" t="n"/>
    </row>
    <row r="149">
      <c r="A149" s="13" t="n"/>
      <c r="B149" s="13" t="n"/>
      <c r="C149" s="13" t="n"/>
      <c r="D149" s="13" t="n"/>
      <c r="E149" s="13" t="n"/>
      <c r="F149" s="13" t="n"/>
      <c r="G149" s="13" t="n"/>
      <c r="H149" s="13" t="n"/>
      <c r="I149" s="13" t="n"/>
      <c r="J149" s="13" t="n"/>
    </row>
    <row r="150">
      <c r="A150" s="13" t="n"/>
      <c r="B150" s="13" t="n"/>
      <c r="C150" s="13" t="n"/>
      <c r="D150" s="13" t="n"/>
      <c r="E150" s="13" t="n"/>
      <c r="F150" s="13" t="n"/>
      <c r="G150" s="13" t="n"/>
      <c r="H150" s="13" t="n"/>
      <c r="I150" s="13" t="n"/>
      <c r="J150" s="13" t="n"/>
    </row>
    <row r="151">
      <c r="A151" s="13" t="n"/>
      <c r="B151" s="13" t="n"/>
      <c r="C151" s="13" t="n"/>
      <c r="D151" s="13" t="n"/>
      <c r="E151" s="13" t="n"/>
      <c r="F151" s="13" t="n"/>
      <c r="G151" s="13" t="n"/>
      <c r="H151" s="13" t="n"/>
      <c r="I151" s="13" t="n"/>
      <c r="J151" s="13" t="n"/>
    </row>
    <row r="152">
      <c r="A152" s="13" t="n"/>
      <c r="B152" s="13" t="n"/>
      <c r="C152" s="13" t="n"/>
      <c r="D152" s="13" t="n"/>
      <c r="E152" s="13" t="n"/>
      <c r="F152" s="13" t="n"/>
      <c r="G152" s="13" t="n"/>
      <c r="H152" s="13" t="n"/>
      <c r="I152" s="13" t="n"/>
      <c r="J152" s="13" t="n"/>
    </row>
    <row r="153">
      <c r="A153" s="13" t="n"/>
      <c r="B153" s="13" t="n"/>
      <c r="C153" s="13" t="n"/>
      <c r="D153" s="13" t="n"/>
      <c r="E153" s="13" t="n"/>
      <c r="F153" s="13" t="n"/>
      <c r="G153" s="13" t="n"/>
      <c r="H153" s="13" t="n"/>
      <c r="I153" s="13" t="n"/>
      <c r="J153" s="13" t="n"/>
    </row>
    <row r="154">
      <c r="A154" s="13" t="n"/>
      <c r="B154" s="13" t="n"/>
      <c r="C154" s="13" t="n"/>
      <c r="D154" s="13" t="n"/>
      <c r="E154" s="13" t="n"/>
      <c r="F154" s="13" t="n"/>
      <c r="G154" s="13" t="n"/>
      <c r="H154" s="13" t="n"/>
      <c r="I154" s="13" t="n"/>
      <c r="J154" s="13" t="n"/>
    </row>
    <row r="155">
      <c r="A155" s="13" t="n"/>
      <c r="B155" s="13" t="n"/>
      <c r="C155" s="13" t="n"/>
      <c r="D155" s="13" t="n"/>
      <c r="E155" s="13" t="n"/>
      <c r="F155" s="13" t="n"/>
      <c r="G155" s="13" t="n"/>
      <c r="H155" s="13" t="n"/>
      <c r="I155" s="13" t="n"/>
      <c r="J155" s="13" t="n"/>
    </row>
    <row r="156">
      <c r="A156" s="13" t="n"/>
      <c r="B156" s="13" t="n"/>
      <c r="C156" s="13" t="n"/>
      <c r="D156" s="13" t="n"/>
      <c r="E156" s="13" t="n"/>
      <c r="F156" s="13" t="n"/>
      <c r="G156" s="13" t="n"/>
      <c r="H156" s="13" t="n"/>
      <c r="I156" s="13" t="n"/>
      <c r="J156" s="13" t="n"/>
    </row>
    <row r="157">
      <c r="A157" s="13" t="n"/>
      <c r="B157" s="13" t="n"/>
      <c r="C157" s="13" t="n"/>
      <c r="D157" s="13" t="n"/>
      <c r="E157" s="13" t="n"/>
      <c r="F157" s="13" t="n"/>
      <c r="G157" s="13" t="n"/>
      <c r="H157" s="13" t="n"/>
      <c r="I157" s="13" t="n"/>
      <c r="J157" s="13" t="n"/>
    </row>
    <row r="158">
      <c r="A158" s="13" t="n"/>
      <c r="B158" s="13" t="n"/>
      <c r="C158" s="13" t="n"/>
      <c r="D158" s="13" t="n"/>
      <c r="E158" s="13" t="n"/>
      <c r="F158" s="13" t="n"/>
      <c r="G158" s="13" t="n"/>
      <c r="H158" s="13" t="n"/>
      <c r="I158" s="13" t="n"/>
      <c r="J158" s="13" t="n"/>
    </row>
    <row r="159">
      <c r="A159" s="13" t="n"/>
      <c r="B159" s="13" t="n"/>
      <c r="C159" s="13" t="n"/>
      <c r="D159" s="13" t="n"/>
      <c r="E159" s="13" t="n"/>
      <c r="F159" s="13" t="n"/>
      <c r="G159" s="13" t="n"/>
      <c r="H159" s="13" t="n"/>
      <c r="I159" s="13" t="n"/>
      <c r="J159" s="13" t="n"/>
    </row>
    <row r="160">
      <c r="A160" s="13" t="n"/>
      <c r="B160" s="13" t="n"/>
      <c r="C160" s="13" t="n"/>
      <c r="D160" s="13" t="n"/>
      <c r="E160" s="13" t="n"/>
      <c r="F160" s="13" t="n"/>
      <c r="G160" s="13" t="n"/>
      <c r="H160" s="13" t="n"/>
      <c r="I160" s="13" t="n"/>
      <c r="J160" s="13" t="n"/>
    </row>
    <row r="161">
      <c r="A161" s="13" t="n"/>
      <c r="B161" s="13" t="n"/>
      <c r="C161" s="13" t="n"/>
      <c r="D161" s="13" t="n"/>
      <c r="E161" s="13" t="n"/>
      <c r="F161" s="13" t="n"/>
      <c r="G161" s="13" t="n"/>
      <c r="H161" s="13" t="n"/>
      <c r="I161" s="13" t="n"/>
      <c r="J161" s="13" t="n"/>
    </row>
    <row r="162">
      <c r="A162" s="13" t="n"/>
      <c r="B162" s="13" t="n"/>
      <c r="C162" s="13" t="n"/>
      <c r="D162" s="13" t="n"/>
      <c r="E162" s="13" t="n"/>
      <c r="F162" s="13" t="n"/>
      <c r="G162" s="13" t="n"/>
      <c r="H162" s="13" t="n"/>
      <c r="I162" s="13" t="n"/>
      <c r="J162" s="13" t="n"/>
    </row>
    <row r="163">
      <c r="A163" s="13" t="n"/>
      <c r="B163" s="13" t="n"/>
      <c r="C163" s="13" t="n"/>
      <c r="D163" s="13" t="n"/>
      <c r="E163" s="13" t="n"/>
      <c r="F163" s="13" t="n"/>
      <c r="G163" s="13" t="n"/>
      <c r="H163" s="13" t="n"/>
      <c r="I163" s="13" t="n"/>
      <c r="J163" s="13" t="n"/>
    </row>
    <row r="164">
      <c r="A164" s="13" t="n"/>
      <c r="B164" s="13" t="n"/>
      <c r="C164" s="13" t="n"/>
      <c r="D164" s="13" t="n"/>
      <c r="E164" s="13" t="n"/>
      <c r="F164" s="13" t="n"/>
      <c r="G164" s="13" t="n"/>
      <c r="H164" s="13" t="n"/>
      <c r="I164" s="13" t="n"/>
      <c r="J164" s="13" t="n"/>
    </row>
    <row r="165">
      <c r="A165" s="13" t="n"/>
      <c r="B165" s="13" t="n"/>
      <c r="C165" s="13" t="n"/>
      <c r="D165" s="13" t="n"/>
      <c r="E165" s="13" t="n"/>
      <c r="F165" s="13" t="n"/>
      <c r="G165" s="13" t="n"/>
      <c r="H165" s="13" t="n"/>
      <c r="I165" s="13" t="n"/>
      <c r="J165" s="13" t="n"/>
    </row>
    <row r="166">
      <c r="A166" s="13" t="n"/>
      <c r="B166" s="13" t="n"/>
      <c r="C166" s="13" t="n"/>
      <c r="D166" s="13" t="n"/>
      <c r="E166" s="13" t="n"/>
      <c r="F166" s="13" t="n"/>
      <c r="G166" s="13" t="n"/>
      <c r="H166" s="13" t="n"/>
      <c r="I166" s="13" t="n"/>
      <c r="J166" s="13" t="n"/>
    </row>
    <row r="167">
      <c r="A167" s="13" t="n"/>
      <c r="B167" s="13" t="n"/>
      <c r="C167" s="13" t="n"/>
      <c r="D167" s="13" t="n"/>
      <c r="E167" s="13" t="n"/>
      <c r="F167" s="13" t="n"/>
      <c r="G167" s="13" t="n"/>
      <c r="H167" s="13" t="n"/>
      <c r="I167" s="13" t="n"/>
      <c r="J167" s="13" t="n"/>
    </row>
    <row r="168">
      <c r="A168" s="13" t="n"/>
      <c r="B168" s="13" t="n"/>
      <c r="C168" s="13" t="n"/>
      <c r="D168" s="13" t="n"/>
      <c r="E168" s="13" t="n"/>
      <c r="F168" s="13" t="n"/>
      <c r="G168" s="13" t="n"/>
      <c r="H168" s="13" t="n"/>
      <c r="I168" s="13" t="n"/>
      <c r="J168" s="13" t="n"/>
    </row>
    <row r="169">
      <c r="A169" s="13" t="n"/>
      <c r="B169" s="13" t="n"/>
      <c r="C169" s="13" t="n"/>
      <c r="D169" s="13" t="n"/>
      <c r="E169" s="13" t="n"/>
      <c r="F169" s="13" t="n"/>
      <c r="G169" s="13" t="n"/>
      <c r="H169" s="13" t="n"/>
      <c r="I169" s="13" t="n"/>
      <c r="J169" s="13" t="n"/>
    </row>
    <row r="170">
      <c r="A170" s="13" t="n"/>
      <c r="B170" s="13" t="n"/>
      <c r="C170" s="13" t="n"/>
      <c r="D170" s="13" t="n"/>
      <c r="E170" s="13" t="n"/>
      <c r="F170" s="13" t="n"/>
      <c r="G170" s="13" t="n"/>
      <c r="H170" s="13" t="n"/>
      <c r="I170" s="13" t="n"/>
      <c r="J170" s="13" t="n"/>
    </row>
    <row r="171">
      <c r="A171" s="13" t="n"/>
      <c r="B171" s="13" t="n"/>
      <c r="C171" s="13" t="n"/>
      <c r="D171" s="13" t="n"/>
      <c r="E171" s="13" t="n"/>
      <c r="F171" s="13" t="n"/>
      <c r="G171" s="13" t="n"/>
      <c r="H171" s="13" t="n"/>
      <c r="I171" s="13" t="n"/>
      <c r="J171" s="13" t="n"/>
    </row>
    <row r="172">
      <c r="A172" s="13" t="n"/>
      <c r="B172" s="13" t="n"/>
      <c r="C172" s="13" t="n"/>
      <c r="D172" s="13" t="n"/>
      <c r="E172" s="13" t="n"/>
      <c r="F172" s="13" t="n"/>
      <c r="G172" s="13" t="n"/>
      <c r="H172" s="13" t="n"/>
      <c r="I172" s="13" t="n"/>
      <c r="J172" s="13" t="n"/>
    </row>
    <row r="173">
      <c r="A173" s="13" t="n"/>
      <c r="B173" s="13" t="n"/>
      <c r="C173" s="13" t="n"/>
      <c r="D173" s="13" t="n"/>
      <c r="E173" s="13" t="n"/>
      <c r="F173" s="13" t="n"/>
      <c r="G173" s="13" t="n"/>
      <c r="H173" s="13" t="n"/>
      <c r="I173" s="13" t="n"/>
      <c r="J173" s="13" t="n"/>
    </row>
    <row r="174">
      <c r="A174" s="13" t="n"/>
      <c r="B174" s="13" t="n"/>
      <c r="C174" s="13" t="n"/>
      <c r="D174" s="13" t="n"/>
      <c r="E174" s="13" t="n"/>
      <c r="F174" s="13" t="n"/>
      <c r="G174" s="13" t="n"/>
      <c r="H174" s="13" t="n"/>
      <c r="I174" s="13" t="n"/>
      <c r="J174" s="13" t="n"/>
    </row>
    <row r="175">
      <c r="A175" s="13" t="n"/>
      <c r="B175" s="13" t="n"/>
      <c r="C175" s="13" t="n"/>
      <c r="D175" s="13" t="n"/>
      <c r="E175" s="13" t="n"/>
      <c r="F175" s="13" t="n"/>
      <c r="G175" s="13" t="n"/>
      <c r="H175" s="13" t="n"/>
      <c r="I175" s="13" t="n"/>
      <c r="J175" s="13" t="n"/>
    </row>
    <row r="176">
      <c r="A176" s="13" t="n"/>
      <c r="B176" s="13" t="n"/>
      <c r="C176" s="13" t="n"/>
      <c r="D176" s="13" t="n"/>
      <c r="E176" s="13" t="n"/>
      <c r="F176" s="13" t="n"/>
      <c r="G176" s="13" t="n"/>
      <c r="H176" s="13" t="n"/>
      <c r="I176" s="13" t="n"/>
      <c r="J176" s="13" t="n"/>
    </row>
    <row r="177">
      <c r="A177" s="13" t="n"/>
      <c r="B177" s="13" t="n"/>
      <c r="C177" s="13" t="n"/>
      <c r="D177" s="13" t="n"/>
      <c r="E177" s="13" t="n"/>
      <c r="F177" s="13" t="n"/>
      <c r="G177" s="13" t="n"/>
      <c r="H177" s="13" t="n"/>
      <c r="I177" s="13" t="n"/>
      <c r="J177" s="13" t="n"/>
    </row>
    <row r="178">
      <c r="A178" s="13" t="n"/>
      <c r="B178" s="13" t="n"/>
      <c r="C178" s="13" t="n"/>
      <c r="D178" s="13" t="n"/>
      <c r="E178" s="13" t="n"/>
      <c r="F178" s="13" t="n"/>
      <c r="G178" s="13" t="n"/>
      <c r="H178" s="13" t="n"/>
      <c r="I178" s="13" t="n"/>
      <c r="J178" s="13" t="n"/>
    </row>
    <row r="179">
      <c r="A179" s="13" t="n"/>
      <c r="B179" s="13" t="n"/>
      <c r="C179" s="13" t="n"/>
      <c r="D179" s="13" t="n"/>
      <c r="E179" s="13" t="n"/>
      <c r="F179" s="13" t="n"/>
      <c r="G179" s="13" t="n"/>
      <c r="H179" s="13" t="n"/>
      <c r="I179" s="13" t="n"/>
      <c r="J179" s="13" t="n"/>
    </row>
    <row r="180">
      <c r="A180" s="13" t="n"/>
      <c r="B180" s="13" t="n"/>
      <c r="C180" s="13" t="n"/>
      <c r="D180" s="13" t="n"/>
      <c r="E180" s="13" t="n"/>
      <c r="F180" s="13" t="n"/>
      <c r="G180" s="13" t="n"/>
      <c r="H180" s="13" t="n"/>
      <c r="I180" s="13" t="n"/>
      <c r="J180" s="13" t="n"/>
    </row>
    <row r="181">
      <c r="A181" s="13" t="n"/>
      <c r="B181" s="13" t="n"/>
      <c r="C181" s="13" t="n"/>
      <c r="D181" s="13" t="n"/>
      <c r="E181" s="13" t="n"/>
      <c r="F181" s="13" t="n"/>
      <c r="G181" s="13" t="n"/>
      <c r="H181" s="13" t="n"/>
      <c r="I181" s="13" t="n"/>
      <c r="J181" s="13" t="n"/>
    </row>
    <row r="182">
      <c r="A182" s="13" t="n"/>
      <c r="B182" s="13" t="n"/>
      <c r="C182" s="13" t="n"/>
      <c r="D182" s="13" t="n"/>
      <c r="E182" s="13" t="n"/>
      <c r="F182" s="13" t="n"/>
      <c r="G182" s="13" t="n"/>
      <c r="H182" s="13" t="n"/>
      <c r="I182" s="13" t="n"/>
      <c r="J182" s="13" t="n"/>
    </row>
    <row r="183">
      <c r="A183" s="13" t="n"/>
      <c r="B183" s="13" t="n"/>
      <c r="C183" s="13" t="n"/>
      <c r="D183" s="13" t="n"/>
      <c r="E183" s="13" t="n"/>
      <c r="F183" s="13" t="n"/>
      <c r="G183" s="13" t="n"/>
      <c r="H183" s="13" t="n"/>
      <c r="I183" s="13" t="n"/>
      <c r="J183" s="13" t="n"/>
    </row>
    <row r="184">
      <c r="A184" s="13" t="n"/>
      <c r="B184" s="13" t="n"/>
      <c r="C184" s="13" t="n"/>
      <c r="D184" s="13" t="n"/>
      <c r="E184" s="13" t="n"/>
      <c r="F184" s="13" t="n"/>
      <c r="G184" s="13" t="n"/>
      <c r="H184" s="13" t="n"/>
      <c r="I184" s="13" t="n"/>
      <c r="J184" s="13" t="n"/>
    </row>
    <row r="185">
      <c r="A185" s="13" t="n"/>
      <c r="B185" s="13" t="n"/>
      <c r="C185" s="13" t="n"/>
      <c r="D185" s="13" t="n"/>
      <c r="E185" s="13" t="n"/>
      <c r="F185" s="13" t="n"/>
      <c r="G185" s="13" t="n"/>
      <c r="H185" s="13" t="n"/>
      <c r="I185" s="13" t="n"/>
      <c r="J185" s="13" t="n"/>
    </row>
    <row r="186">
      <c r="A186" s="13" t="n"/>
      <c r="B186" s="13" t="n"/>
      <c r="C186" s="13" t="n"/>
      <c r="D186" s="13" t="n"/>
      <c r="E186" s="13" t="n"/>
      <c r="F186" s="13" t="n"/>
      <c r="G186" s="13" t="n"/>
      <c r="H186" s="13" t="n"/>
      <c r="I186" s="13" t="n"/>
      <c r="J186" s="13" t="n"/>
    </row>
    <row r="187">
      <c r="A187" s="13" t="n"/>
      <c r="B187" s="13" t="n"/>
      <c r="C187" s="13" t="n"/>
      <c r="D187" s="13" t="n"/>
      <c r="E187" s="13" t="n"/>
      <c r="F187" s="13" t="n"/>
      <c r="G187" s="13" t="n"/>
      <c r="H187" s="13" t="n"/>
      <c r="I187" s="13" t="n"/>
      <c r="J187" s="13" t="n"/>
    </row>
    <row r="188">
      <c r="A188" s="13" t="n"/>
      <c r="B188" s="13" t="n"/>
      <c r="C188" s="13" t="n"/>
      <c r="D188" s="13" t="n"/>
      <c r="E188" s="13" t="n"/>
      <c r="F188" s="13" t="n"/>
      <c r="G188" s="13" t="n"/>
      <c r="H188" s="13" t="n"/>
      <c r="I188" s="13" t="n"/>
      <c r="J188" s="13" t="n"/>
    </row>
    <row r="189">
      <c r="A189" s="13" t="n"/>
      <c r="B189" s="13" t="n"/>
      <c r="C189" s="13" t="n"/>
      <c r="D189" s="13" t="n"/>
      <c r="E189" s="13" t="n"/>
      <c r="F189" s="13" t="n"/>
      <c r="G189" s="13" t="n"/>
      <c r="H189" s="13" t="n"/>
      <c r="I189" s="13" t="n"/>
      <c r="J189" s="13" t="n"/>
    </row>
    <row r="190">
      <c r="A190" s="13" t="n"/>
      <c r="B190" s="13" t="n"/>
      <c r="C190" s="13" t="n"/>
      <c r="D190" s="13" t="n"/>
      <c r="E190" s="13" t="n"/>
      <c r="F190" s="13" t="n"/>
      <c r="G190" s="13" t="n"/>
      <c r="H190" s="13" t="n"/>
      <c r="I190" s="13" t="n"/>
      <c r="J190" s="13" t="n"/>
    </row>
    <row r="191">
      <c r="A191" s="13" t="n"/>
      <c r="B191" s="13" t="n"/>
      <c r="C191" s="13" t="n"/>
      <c r="D191" s="13" t="n"/>
      <c r="E191" s="13" t="n"/>
      <c r="F191" s="13" t="n"/>
      <c r="G191" s="13" t="n"/>
      <c r="H191" s="13" t="n"/>
      <c r="I191" s="13" t="n"/>
      <c r="J191" s="13" t="n"/>
    </row>
    <row r="192">
      <c r="A192" s="13" t="n"/>
      <c r="B192" s="13" t="n"/>
      <c r="C192" s="13" t="n"/>
      <c r="D192" s="13" t="n"/>
      <c r="E192" s="13" t="n"/>
      <c r="F192" s="13" t="n"/>
      <c r="G192" s="13" t="n"/>
      <c r="H192" s="13" t="n"/>
      <c r="I192" s="13" t="n"/>
      <c r="J192" s="13" t="n"/>
    </row>
    <row r="193">
      <c r="A193" s="13" t="n"/>
      <c r="B193" s="13" t="n"/>
      <c r="C193" s="13" t="n"/>
      <c r="D193" s="13" t="n"/>
      <c r="E193" s="13" t="n"/>
      <c r="F193" s="13" t="n"/>
      <c r="G193" s="13" t="n"/>
      <c r="H193" s="13" t="n"/>
      <c r="I193" s="13" t="n"/>
      <c r="J193" s="13" t="n"/>
    </row>
    <row r="194">
      <c r="A194" s="13" t="n"/>
      <c r="B194" s="13" t="n"/>
      <c r="C194" s="13" t="n"/>
      <c r="D194" s="13" t="n"/>
      <c r="E194" s="13" t="n"/>
      <c r="F194" s="13" t="n"/>
      <c r="G194" s="13" t="n"/>
      <c r="H194" s="13" t="n"/>
      <c r="I194" s="13" t="n"/>
      <c r="J194" s="13" t="n"/>
    </row>
    <row r="195">
      <c r="A195" s="13" t="n"/>
      <c r="B195" s="13" t="n"/>
      <c r="C195" s="13" t="n"/>
      <c r="D195" s="13" t="n"/>
      <c r="E195" s="13" t="n"/>
      <c r="F195" s="13" t="n"/>
      <c r="G195" s="13" t="n"/>
      <c r="H195" s="13" t="n"/>
      <c r="I195" s="13" t="n"/>
      <c r="J195" s="13" t="n"/>
    </row>
    <row r="196">
      <c r="A196" s="13" t="n"/>
      <c r="B196" s="13" t="n"/>
      <c r="C196" s="13" t="n"/>
      <c r="D196" s="13" t="n"/>
      <c r="E196" s="13" t="n"/>
      <c r="F196" s="13" t="n"/>
      <c r="G196" s="13" t="n"/>
      <c r="H196" s="13" t="n"/>
      <c r="I196" s="13" t="n"/>
      <c r="J196" s="13" t="n"/>
    </row>
    <row r="197">
      <c r="A197" s="13" t="n"/>
      <c r="B197" s="13" t="n"/>
      <c r="C197" s="13" t="n"/>
      <c r="D197" s="13" t="n"/>
      <c r="E197" s="13" t="n"/>
      <c r="F197" s="13" t="n"/>
      <c r="G197" s="13" t="n"/>
      <c r="H197" s="13" t="n"/>
      <c r="I197" s="13" t="n"/>
      <c r="J197" s="13" t="n"/>
    </row>
    <row r="198">
      <c r="A198" s="13" t="n"/>
      <c r="B198" s="13" t="n"/>
      <c r="C198" s="13" t="n"/>
      <c r="D198" s="13" t="n"/>
      <c r="E198" s="13" t="n"/>
      <c r="F198" s="13" t="n"/>
      <c r="G198" s="13" t="n"/>
      <c r="H198" s="13" t="n"/>
      <c r="I198" s="13" t="n"/>
      <c r="J198" s="13" t="n"/>
    </row>
    <row r="199">
      <c r="A199" s="13" t="n"/>
      <c r="B199" s="13" t="n"/>
      <c r="C199" s="13" t="n"/>
      <c r="D199" s="13" t="n"/>
      <c r="E199" s="13" t="n"/>
      <c r="F199" s="13" t="n"/>
      <c r="G199" s="13" t="n"/>
      <c r="H199" s="13" t="n"/>
      <c r="I199" s="13" t="n"/>
      <c r="J199" s="13" t="n"/>
    </row>
    <row r="200">
      <c r="A200" s="13" t="n"/>
      <c r="B200" s="13" t="n"/>
      <c r="C200" s="13" t="n"/>
      <c r="D200" s="13" t="n"/>
      <c r="E200" s="13" t="n"/>
      <c r="F200" s="13" t="n"/>
      <c r="G200" s="13" t="n"/>
      <c r="H200" s="13" t="n"/>
      <c r="I200" s="13" t="n"/>
      <c r="J200" s="13" t="n"/>
    </row>
    <row r="201">
      <c r="A201" s="13" t="n"/>
      <c r="B201" s="13" t="n"/>
      <c r="C201" s="13" t="n"/>
      <c r="D201" s="13" t="n"/>
      <c r="E201" s="13" t="n"/>
      <c r="F201" s="13" t="n"/>
      <c r="G201" s="13" t="n"/>
      <c r="H201" s="13" t="n"/>
      <c r="I201" s="13" t="n"/>
      <c r="J201" s="13" t="n"/>
    </row>
    <row r="202">
      <c r="A202" s="13" t="n"/>
      <c r="B202" s="13" t="n"/>
      <c r="C202" s="13" t="n"/>
      <c r="D202" s="13" t="n"/>
      <c r="E202" s="13" t="n"/>
      <c r="F202" s="13" t="n"/>
      <c r="G202" s="13" t="n"/>
      <c r="H202" s="13" t="n"/>
      <c r="I202" s="13" t="n"/>
      <c r="J202" s="13" t="n"/>
    </row>
    <row r="203">
      <c r="A203" s="13" t="n"/>
      <c r="B203" s="13" t="n"/>
      <c r="C203" s="13" t="n"/>
      <c r="D203" s="13" t="n"/>
      <c r="E203" s="13" t="n"/>
      <c r="F203" s="13" t="n"/>
      <c r="G203" s="13" t="n"/>
      <c r="H203" s="13" t="n"/>
      <c r="I203" s="13" t="n"/>
      <c r="J203" s="13" t="n"/>
    </row>
    <row r="204">
      <c r="A204" s="13" t="n"/>
      <c r="B204" s="13" t="n"/>
      <c r="C204" s="13" t="n"/>
      <c r="D204" s="13" t="n"/>
      <c r="E204" s="13" t="n"/>
      <c r="F204" s="13" t="n"/>
      <c r="G204" s="13" t="n"/>
      <c r="H204" s="13" t="n"/>
      <c r="I204" s="13" t="n"/>
      <c r="J204" s="13" t="n"/>
    </row>
    <row r="205">
      <c r="A205" s="13" t="n"/>
      <c r="B205" s="13" t="n"/>
      <c r="C205" s="13" t="n"/>
      <c r="D205" s="13" t="n"/>
      <c r="E205" s="13" t="n"/>
      <c r="F205" s="13" t="n"/>
      <c r="G205" s="13" t="n"/>
      <c r="H205" s="13" t="n"/>
      <c r="I205" s="13" t="n"/>
      <c r="J205" s="13" t="n"/>
    </row>
    <row r="206">
      <c r="A206" s="13" t="n"/>
      <c r="B206" s="13" t="n"/>
      <c r="C206" s="13" t="n"/>
      <c r="D206" s="13" t="n"/>
      <c r="E206" s="13" t="n"/>
      <c r="F206" s="13" t="n"/>
      <c r="G206" s="13" t="n"/>
      <c r="H206" s="13" t="n"/>
      <c r="I206" s="13" t="n"/>
      <c r="J206" s="13" t="n"/>
    </row>
    <row r="207">
      <c r="A207" s="13" t="n"/>
      <c r="B207" s="13" t="n"/>
      <c r="C207" s="13" t="n"/>
      <c r="D207" s="13" t="n"/>
      <c r="E207" s="13" t="n"/>
      <c r="F207" s="13" t="n"/>
      <c r="G207" s="13" t="n"/>
      <c r="H207" s="13" t="n"/>
      <c r="I207" s="13" t="n"/>
      <c r="J207" s="13" t="n"/>
    </row>
    <row r="208">
      <c r="A208" s="13" t="n"/>
      <c r="B208" s="13" t="n"/>
      <c r="C208" s="13" t="n"/>
      <c r="D208" s="13" t="n"/>
      <c r="E208" s="13" t="n"/>
      <c r="F208" s="13" t="n"/>
      <c r="G208" s="13" t="n"/>
      <c r="H208" s="13" t="n"/>
      <c r="I208" s="13" t="n"/>
      <c r="J208" s="13" t="n"/>
    </row>
    <row r="209">
      <c r="A209" s="13" t="n"/>
      <c r="B209" s="13" t="n"/>
      <c r="C209" s="13" t="n"/>
      <c r="D209" s="13" t="n"/>
      <c r="E209" s="13" t="n"/>
      <c r="F209" s="13" t="n"/>
      <c r="G209" s="13" t="n"/>
      <c r="H209" s="13" t="n"/>
      <c r="I209" s="13" t="n"/>
      <c r="J209" s="13" t="n"/>
    </row>
    <row r="210">
      <c r="A210" s="13" t="n"/>
      <c r="B210" s="13" t="n"/>
      <c r="C210" s="13" t="n"/>
      <c r="D210" s="13" t="n"/>
      <c r="E210" s="13" t="n"/>
      <c r="F210" s="13" t="n"/>
      <c r="G210" s="13" t="n"/>
      <c r="H210" s="13" t="n"/>
      <c r="I210" s="13" t="n"/>
      <c r="J210" s="13" t="n"/>
    </row>
    <row r="211">
      <c r="A211" s="13" t="n"/>
      <c r="B211" s="13" t="n"/>
      <c r="C211" s="13" t="n"/>
      <c r="D211" s="13" t="n"/>
      <c r="E211" s="13" t="n"/>
      <c r="F211" s="13" t="n"/>
      <c r="G211" s="13" t="n"/>
      <c r="H211" s="13" t="n"/>
      <c r="I211" s="13" t="n"/>
      <c r="J211" s="13" t="n"/>
    </row>
    <row r="212">
      <c r="A212" s="13" t="n"/>
      <c r="B212" s="13" t="n"/>
      <c r="C212" s="13" t="n"/>
      <c r="D212" s="13" t="n"/>
      <c r="E212" s="13" t="n"/>
      <c r="F212" s="13" t="n"/>
      <c r="G212" s="13" t="n"/>
      <c r="H212" s="13" t="n"/>
      <c r="I212" s="13" t="n"/>
      <c r="J212" s="13" t="n"/>
    </row>
    <row r="213">
      <c r="A213" s="13" t="n"/>
      <c r="B213" s="13" t="n"/>
      <c r="C213" s="13" t="n"/>
      <c r="D213" s="13" t="n"/>
      <c r="E213" s="13" t="n"/>
      <c r="F213" s="13" t="n"/>
      <c r="G213" s="13" t="n"/>
      <c r="H213" s="13" t="n"/>
      <c r="I213" s="13" t="n"/>
      <c r="J213" s="13" t="n"/>
    </row>
    <row r="214">
      <c r="A214" s="13" t="n"/>
      <c r="B214" s="13" t="n"/>
      <c r="C214" s="13" t="n"/>
      <c r="D214" s="13" t="n"/>
      <c r="E214" s="13" t="n"/>
      <c r="F214" s="13" t="n"/>
      <c r="G214" s="13" t="n"/>
      <c r="H214" s="13" t="n"/>
      <c r="I214" s="13" t="n"/>
      <c r="J214" s="13" t="n"/>
    </row>
    <row r="215">
      <c r="A215" s="13" t="n"/>
      <c r="B215" s="13" t="n"/>
      <c r="C215" s="13" t="n"/>
      <c r="D215" s="13" t="n"/>
      <c r="E215" s="13" t="n"/>
      <c r="F215" s="13" t="n"/>
      <c r="G215" s="13" t="n"/>
      <c r="H215" s="13" t="n"/>
      <c r="I215" s="13" t="n"/>
      <c r="J215" s="13" t="n"/>
    </row>
    <row r="216">
      <c r="A216" s="13" t="n"/>
      <c r="B216" s="13" t="n"/>
      <c r="C216" s="13" t="n"/>
      <c r="D216" s="13" t="n"/>
      <c r="E216" s="13" t="n"/>
      <c r="F216" s="13" t="n"/>
      <c r="G216" s="13" t="n"/>
      <c r="H216" s="13" t="n"/>
      <c r="I216" s="13" t="n"/>
      <c r="J216" s="13" t="n"/>
    </row>
    <row r="217">
      <c r="A217" s="13" t="n"/>
      <c r="B217" s="13" t="n"/>
      <c r="C217" s="13" t="n"/>
      <c r="D217" s="13" t="n"/>
      <c r="E217" s="13" t="n"/>
      <c r="F217" s="13" t="n"/>
      <c r="G217" s="13" t="n"/>
      <c r="H217" s="13" t="n"/>
      <c r="I217" s="13" t="n"/>
      <c r="J217" s="13" t="n"/>
    </row>
    <row r="218">
      <c r="A218" s="13" t="n"/>
      <c r="B218" s="13" t="n"/>
      <c r="C218" s="13" t="n"/>
      <c r="D218" s="13" t="n"/>
      <c r="E218" s="13" t="n"/>
      <c r="F218" s="13" t="n"/>
      <c r="G218" s="13" t="n"/>
      <c r="H218" s="13" t="n"/>
      <c r="I218" s="13" t="n"/>
      <c r="J218" s="13" t="n"/>
    </row>
    <row r="219">
      <c r="A219" s="13" t="n"/>
      <c r="B219" s="13" t="n"/>
      <c r="C219" s="13" t="n"/>
      <c r="D219" s="13" t="n"/>
      <c r="E219" s="13" t="n"/>
      <c r="F219" s="13" t="n"/>
      <c r="G219" s="13" t="n"/>
      <c r="H219" s="13" t="n"/>
      <c r="I219" s="13" t="n"/>
      <c r="J219" s="13" t="n"/>
    </row>
    <row r="220">
      <c r="A220" s="13" t="n"/>
      <c r="B220" s="13" t="n"/>
      <c r="C220" s="13" t="n"/>
      <c r="D220" s="13" t="n"/>
      <c r="E220" s="13" t="n"/>
      <c r="F220" s="13" t="n"/>
      <c r="G220" s="13" t="n"/>
      <c r="H220" s="13" t="n"/>
      <c r="I220" s="13" t="n"/>
      <c r="J220" s="13" t="n"/>
    </row>
    <row r="221">
      <c r="A221" s="13" t="n"/>
      <c r="B221" s="13" t="n"/>
      <c r="C221" s="13" t="n"/>
      <c r="D221" s="13" t="n"/>
      <c r="E221" s="13" t="n"/>
      <c r="F221" s="13" t="n"/>
      <c r="G221" s="13" t="n"/>
      <c r="H221" s="13" t="n"/>
      <c r="I221" s="13" t="n"/>
      <c r="J221" s="13" t="n"/>
    </row>
    <row r="222">
      <c r="A222" s="13" t="n"/>
      <c r="B222" s="13" t="n"/>
      <c r="C222" s="13" t="n"/>
      <c r="D222" s="13" t="n"/>
      <c r="E222" s="13" t="n"/>
      <c r="F222" s="13" t="n"/>
      <c r="G222" s="13" t="n"/>
      <c r="H222" s="13" t="n"/>
      <c r="I222" s="13" t="n"/>
      <c r="J222" s="13" t="n"/>
    </row>
    <row r="223">
      <c r="A223" s="13" t="n"/>
      <c r="B223" s="13" t="n"/>
      <c r="C223" s="13" t="n"/>
      <c r="D223" s="13" t="n"/>
      <c r="E223" s="13" t="n"/>
      <c r="F223" s="13" t="n"/>
      <c r="G223" s="13" t="n"/>
      <c r="H223" s="13" t="n"/>
      <c r="I223" s="13" t="n"/>
      <c r="J223" s="13" t="n"/>
    </row>
    <row r="224">
      <c r="A224" s="13" t="n"/>
      <c r="B224" s="13" t="n"/>
      <c r="C224" s="13" t="n"/>
      <c r="D224" s="13" t="n"/>
      <c r="E224" s="13" t="n"/>
      <c r="F224" s="13" t="n"/>
      <c r="G224" s="13" t="n"/>
      <c r="H224" s="13" t="n"/>
      <c r="I224" s="13" t="n"/>
      <c r="J224" s="13" t="n"/>
    </row>
    <row r="225">
      <c r="A225" s="13" t="n"/>
      <c r="B225" s="13" t="n"/>
      <c r="C225" s="13" t="n"/>
      <c r="D225" s="13" t="n"/>
      <c r="E225" s="13" t="n"/>
      <c r="F225" s="13" t="n"/>
      <c r="G225" s="13" t="n"/>
      <c r="H225" s="13" t="n"/>
      <c r="I225" s="13" t="n"/>
      <c r="J225" s="13" t="n"/>
    </row>
    <row r="226">
      <c r="A226" s="13" t="n"/>
      <c r="B226" s="13" t="n"/>
      <c r="C226" s="13" t="n"/>
      <c r="D226" s="13" t="n"/>
      <c r="E226" s="13" t="n"/>
      <c r="F226" s="13" t="n"/>
      <c r="G226" s="13" t="n"/>
      <c r="H226" s="13" t="n"/>
      <c r="I226" s="13" t="n"/>
      <c r="J226" s="13" t="n"/>
    </row>
    <row r="227">
      <c r="A227" s="13" t="n"/>
      <c r="B227" s="13" t="n"/>
      <c r="C227" s="13" t="n"/>
      <c r="D227" s="13" t="n"/>
      <c r="E227" s="13" t="n"/>
      <c r="F227" s="13" t="n"/>
      <c r="G227" s="13" t="n"/>
      <c r="H227" s="13" t="n"/>
      <c r="I227" s="13" t="n"/>
      <c r="J227" s="13" t="n"/>
    </row>
    <row r="228">
      <c r="A228" s="13" t="n"/>
      <c r="B228" s="13" t="n"/>
      <c r="C228" s="13" t="n"/>
      <c r="D228" s="13" t="n"/>
      <c r="E228" s="13" t="n"/>
      <c r="F228" s="13" t="n"/>
      <c r="G228" s="13" t="n"/>
      <c r="H228" s="13" t="n"/>
      <c r="I228" s="13" t="n"/>
      <c r="J228" s="13" t="n"/>
    </row>
    <row r="229">
      <c r="A229" s="13" t="n"/>
      <c r="B229" s="13" t="n"/>
      <c r="C229" s="13" t="n"/>
      <c r="D229" s="13" t="n"/>
      <c r="E229" s="13" t="n"/>
      <c r="F229" s="13" t="n"/>
      <c r="G229" s="13" t="n"/>
      <c r="H229" s="13" t="n"/>
      <c r="I229" s="13" t="n"/>
      <c r="J229" s="13" t="n"/>
    </row>
    <row r="230">
      <c r="A230" s="13" t="n"/>
      <c r="B230" s="13" t="n"/>
      <c r="C230" s="13" t="n"/>
      <c r="D230" s="13" t="n"/>
      <c r="E230" s="13" t="n"/>
      <c r="F230" s="13" t="n"/>
      <c r="G230" s="13" t="n"/>
      <c r="H230" s="13" t="n"/>
      <c r="I230" s="13" t="n"/>
      <c r="J230" s="13" t="n"/>
    </row>
    <row r="231">
      <c r="A231" s="13" t="n"/>
      <c r="B231" s="13" t="n"/>
      <c r="C231" s="13" t="n"/>
      <c r="D231" s="13" t="n"/>
      <c r="E231" s="13" t="n"/>
      <c r="F231" s="13" t="n"/>
      <c r="G231" s="13" t="n"/>
      <c r="H231" s="13" t="n"/>
      <c r="I231" s="13" t="n"/>
      <c r="J231" s="13" t="n"/>
    </row>
    <row r="232">
      <c r="A232" s="13" t="n"/>
      <c r="B232" s="13" t="n"/>
      <c r="C232" s="13" t="n"/>
      <c r="D232" s="13" t="n"/>
      <c r="E232" s="13" t="n"/>
      <c r="F232" s="13" t="n"/>
      <c r="G232" s="13" t="n"/>
      <c r="H232" s="13" t="n"/>
      <c r="I232" s="13" t="n"/>
      <c r="J232" s="13" t="n"/>
    </row>
    <row r="233">
      <c r="A233" s="13" t="n"/>
      <c r="B233" s="13" t="n"/>
      <c r="C233" s="13" t="n"/>
      <c r="D233" s="13" t="n"/>
      <c r="E233" s="13" t="n"/>
      <c r="F233" s="13" t="n"/>
      <c r="G233" s="13" t="n"/>
      <c r="H233" s="13" t="n"/>
      <c r="I233" s="13" t="n"/>
      <c r="J233" s="13" t="n"/>
    </row>
    <row r="234">
      <c r="A234" s="13" t="n"/>
      <c r="B234" s="13" t="n"/>
      <c r="C234" s="13" t="n"/>
      <c r="D234" s="13" t="n"/>
      <c r="E234" s="13" t="n"/>
      <c r="F234" s="13" t="n"/>
      <c r="G234" s="13" t="n"/>
      <c r="H234" s="13" t="n"/>
      <c r="I234" s="13" t="n"/>
      <c r="J234" s="13" t="n"/>
    </row>
    <row r="235">
      <c r="A235" s="13" t="n"/>
      <c r="B235" s="13" t="n"/>
      <c r="C235" s="13" t="n"/>
      <c r="D235" s="13" t="n"/>
      <c r="E235" s="13" t="n"/>
      <c r="F235" s="13" t="n"/>
      <c r="G235" s="13" t="n"/>
      <c r="H235" s="13" t="n"/>
      <c r="I235" s="13" t="n"/>
      <c r="J235" s="13" t="n"/>
    </row>
    <row r="236">
      <c r="A236" s="13" t="n"/>
      <c r="B236" s="13" t="n"/>
      <c r="C236" s="13" t="n"/>
      <c r="D236" s="13" t="n"/>
      <c r="E236" s="13" t="n"/>
      <c r="F236" s="13" t="n"/>
      <c r="G236" s="13" t="n"/>
      <c r="H236" s="13" t="n"/>
      <c r="I236" s="13" t="n"/>
      <c r="J236" s="13" t="n"/>
    </row>
    <row r="237">
      <c r="A237" s="13" t="n"/>
      <c r="B237" s="13" t="n"/>
      <c r="C237" s="13" t="n"/>
      <c r="D237" s="13" t="n"/>
      <c r="E237" s="13" t="n"/>
      <c r="F237" s="13" t="n"/>
      <c r="G237" s="13" t="n"/>
      <c r="H237" s="13" t="n"/>
      <c r="I237" s="13" t="n"/>
      <c r="J237" s="13" t="n"/>
    </row>
    <row r="238">
      <c r="A238" s="13" t="n"/>
      <c r="B238" s="13" t="n"/>
      <c r="C238" s="13" t="n"/>
      <c r="D238" s="13" t="n"/>
      <c r="E238" s="13" t="n"/>
      <c r="F238" s="13" t="n"/>
      <c r="G238" s="13" t="n"/>
      <c r="H238" s="13" t="n"/>
      <c r="I238" s="13" t="n"/>
      <c r="J238" s="13" t="n"/>
    </row>
    <row r="239">
      <c r="A239" s="13" t="n"/>
      <c r="B239" s="13" t="n"/>
      <c r="C239" s="13" t="n"/>
      <c r="D239" s="13" t="n"/>
      <c r="E239" s="13" t="n"/>
      <c r="F239" s="13" t="n"/>
      <c r="G239" s="13" t="n"/>
      <c r="H239" s="13" t="n"/>
      <c r="I239" s="13" t="n"/>
      <c r="J239" s="13" t="n"/>
    </row>
    <row r="240">
      <c r="A240" s="13" t="n"/>
      <c r="B240" s="13" t="n"/>
      <c r="C240" s="13" t="n"/>
      <c r="D240" s="13" t="n"/>
      <c r="E240" s="13" t="n"/>
      <c r="F240" s="13" t="n"/>
      <c r="G240" s="13" t="n"/>
      <c r="H240" s="13" t="n"/>
      <c r="I240" s="13" t="n"/>
      <c r="J240" s="13" t="n"/>
    </row>
    <row r="241">
      <c r="A241" s="13" t="n"/>
      <c r="B241" s="13" t="n"/>
      <c r="C241" s="13" t="n"/>
      <c r="D241" s="13" t="n"/>
      <c r="E241" s="13" t="n"/>
      <c r="F241" s="13" t="n"/>
      <c r="G241" s="13" t="n"/>
      <c r="H241" s="13" t="n"/>
      <c r="I241" s="13" t="n"/>
      <c r="J241" s="13" t="n"/>
    </row>
    <row r="242">
      <c r="A242" s="13" t="n"/>
      <c r="B242" s="13" t="n"/>
      <c r="C242" s="13" t="n"/>
      <c r="D242" s="13" t="n"/>
      <c r="E242" s="13" t="n"/>
      <c r="F242" s="13" t="n"/>
      <c r="G242" s="13" t="n"/>
      <c r="H242" s="13" t="n"/>
      <c r="I242" s="13" t="n"/>
      <c r="J242" s="13" t="n"/>
    </row>
    <row r="243">
      <c r="A243" s="13" t="n"/>
      <c r="B243" s="13" t="n"/>
      <c r="C243" s="13" t="n"/>
      <c r="D243" s="13" t="n"/>
      <c r="E243" s="13" t="n"/>
      <c r="F243" s="13" t="n"/>
      <c r="G243" s="13" t="n"/>
      <c r="H243" s="13" t="n"/>
      <c r="I243" s="13" t="n"/>
      <c r="J243" s="13" t="n"/>
    </row>
    <row r="244">
      <c r="A244" s="13" t="n"/>
      <c r="B244" s="13" t="n"/>
      <c r="C244" s="13" t="n"/>
      <c r="D244" s="13" t="n"/>
      <c r="E244" s="13" t="n"/>
      <c r="F244" s="13" t="n"/>
      <c r="G244" s="13" t="n"/>
      <c r="H244" s="13" t="n"/>
      <c r="I244" s="13" t="n"/>
      <c r="J244" s="13" t="n"/>
    </row>
    <row r="245">
      <c r="A245" s="13" t="n"/>
      <c r="B245" s="13" t="n"/>
      <c r="C245" s="13" t="n"/>
      <c r="D245" s="13" t="n"/>
      <c r="E245" s="13" t="n"/>
      <c r="F245" s="13" t="n"/>
      <c r="G245" s="13" t="n"/>
      <c r="H245" s="13" t="n"/>
      <c r="I245" s="13" t="n"/>
      <c r="J245" s="13" t="n"/>
    </row>
    <row r="246">
      <c r="A246" s="13" t="n"/>
      <c r="B246" s="13" t="n"/>
      <c r="C246" s="13" t="n"/>
      <c r="D246" s="13" t="n"/>
      <c r="E246" s="13" t="n"/>
      <c r="F246" s="13" t="n"/>
      <c r="G246" s="13" t="n"/>
      <c r="H246" s="13" t="n"/>
      <c r="I246" s="13" t="n"/>
      <c r="J246" s="13" t="n"/>
    </row>
    <row r="247">
      <c r="A247" s="13" t="n"/>
      <c r="B247" s="13" t="n"/>
      <c r="C247" s="13" t="n"/>
      <c r="D247" s="13" t="n"/>
      <c r="E247" s="13" t="n"/>
      <c r="F247" s="13" t="n"/>
      <c r="G247" s="13" t="n"/>
      <c r="H247" s="13" t="n"/>
      <c r="I247" s="13" t="n"/>
      <c r="J247" s="13" t="n"/>
    </row>
    <row r="248">
      <c r="A248" s="13" t="n"/>
      <c r="B248" s="13" t="n"/>
      <c r="C248" s="13" t="n"/>
      <c r="D248" s="13" t="n"/>
      <c r="E248" s="13" t="n"/>
      <c r="F248" s="13" t="n"/>
      <c r="G248" s="13" t="n"/>
      <c r="H248" s="13" t="n"/>
      <c r="I248" s="13" t="n"/>
      <c r="J248" s="13" t="n"/>
    </row>
    <row r="249">
      <c r="A249" s="13" t="n"/>
      <c r="B249" s="13" t="n"/>
      <c r="C249" s="13" t="n"/>
      <c r="D249" s="13" t="n"/>
      <c r="E249" s="13" t="n"/>
      <c r="F249" s="13" t="n"/>
      <c r="G249" s="13" t="n"/>
      <c r="H249" s="13" t="n"/>
      <c r="I249" s="13" t="n"/>
      <c r="J249" s="13" t="n"/>
    </row>
    <row r="250">
      <c r="A250" s="13" t="n"/>
      <c r="B250" s="13" t="n"/>
      <c r="C250" s="13" t="n"/>
      <c r="D250" s="13" t="n"/>
      <c r="E250" s="13" t="n"/>
      <c r="F250" s="13" t="n"/>
      <c r="G250" s="13" t="n"/>
      <c r="H250" s="13" t="n"/>
      <c r="I250" s="13" t="n"/>
      <c r="J250" s="13" t="n"/>
    </row>
    <row r="251">
      <c r="A251" s="13" t="n"/>
      <c r="B251" s="13" t="n"/>
      <c r="C251" s="13" t="n"/>
      <c r="D251" s="13" t="n"/>
      <c r="E251" s="13" t="n"/>
      <c r="F251" s="13" t="n"/>
      <c r="G251" s="13" t="n"/>
      <c r="H251" s="13" t="n"/>
      <c r="I251" s="13" t="n"/>
      <c r="J251" s="13" t="n"/>
    </row>
    <row r="252">
      <c r="A252" s="13" t="n"/>
      <c r="B252" s="13" t="n"/>
      <c r="C252" s="13" t="n"/>
      <c r="D252" s="13" t="n"/>
      <c r="E252" s="13" t="n"/>
      <c r="F252" s="13" t="n"/>
      <c r="G252" s="13" t="n"/>
      <c r="H252" s="13" t="n"/>
      <c r="I252" s="13" t="n"/>
      <c r="J252" s="13" t="n"/>
    </row>
    <row r="253">
      <c r="A253" s="13" t="n"/>
      <c r="B253" s="13" t="n"/>
      <c r="C253" s="13" t="n"/>
      <c r="D253" s="13" t="n"/>
      <c r="E253" s="13" t="n"/>
      <c r="F253" s="13" t="n"/>
      <c r="G253" s="13" t="n"/>
      <c r="H253" s="13" t="n"/>
      <c r="I253" s="13" t="n"/>
      <c r="J253" s="13" t="n"/>
    </row>
    <row r="254">
      <c r="A254" s="13" t="n"/>
      <c r="B254" s="13" t="n"/>
      <c r="C254" s="13" t="n"/>
      <c r="D254" s="13" t="n"/>
      <c r="E254" s="13" t="n"/>
      <c r="F254" s="13" t="n"/>
      <c r="G254" s="13" t="n"/>
      <c r="H254" s="13" t="n"/>
      <c r="I254" s="13" t="n"/>
      <c r="J254" s="13" t="n"/>
    </row>
    <row r="255">
      <c r="A255" s="13" t="n"/>
      <c r="B255" s="13" t="n"/>
      <c r="C255" s="13" t="n"/>
      <c r="D255" s="13" t="n"/>
      <c r="E255" s="13" t="n"/>
      <c r="F255" s="13" t="n"/>
      <c r="G255" s="13" t="n"/>
      <c r="H255" s="13" t="n"/>
      <c r="I255" s="13" t="n"/>
      <c r="J255" s="13" t="n"/>
    </row>
    <row r="256">
      <c r="A256" s="13" t="n"/>
      <c r="B256" s="13" t="n"/>
      <c r="C256" s="13" t="n"/>
      <c r="D256" s="13" t="n"/>
      <c r="E256" s="13" t="n"/>
      <c r="F256" s="13" t="n"/>
      <c r="G256" s="13" t="n"/>
      <c r="H256" s="13" t="n"/>
      <c r="I256" s="13" t="n"/>
      <c r="J256" s="13" t="n"/>
    </row>
    <row r="257">
      <c r="A257" s="13" t="n"/>
      <c r="B257" s="13" t="n"/>
      <c r="C257" s="13" t="n"/>
      <c r="D257" s="13" t="n"/>
      <c r="E257" s="13" t="n"/>
      <c r="F257" s="13" t="n"/>
      <c r="G257" s="13" t="n"/>
      <c r="H257" s="13" t="n"/>
      <c r="I257" s="13" t="n"/>
      <c r="J257" s="13" t="n"/>
    </row>
    <row r="258">
      <c r="A258" s="13" t="n"/>
      <c r="B258" s="13" t="n"/>
      <c r="C258" s="13" t="n"/>
      <c r="D258" s="13" t="n"/>
      <c r="E258" s="13" t="n"/>
      <c r="F258" s="13" t="n"/>
      <c r="G258" s="13" t="n"/>
      <c r="H258" s="13" t="n"/>
      <c r="I258" s="13" t="n"/>
      <c r="J258" s="13" t="n"/>
    </row>
    <row r="259">
      <c r="A259" s="13" t="n"/>
      <c r="B259" s="13" t="n"/>
      <c r="C259" s="13" t="n"/>
      <c r="D259" s="13" t="n"/>
      <c r="E259" s="13" t="n"/>
      <c r="F259" s="13" t="n"/>
      <c r="G259" s="13" t="n"/>
      <c r="H259" s="13" t="n"/>
      <c r="I259" s="13" t="n"/>
      <c r="J259" s="13" t="n"/>
    </row>
    <row r="260">
      <c r="A260" s="13" t="n"/>
      <c r="B260" s="13" t="n"/>
      <c r="C260" s="13" t="n"/>
      <c r="D260" s="13" t="n"/>
      <c r="E260" s="13" t="n"/>
      <c r="F260" s="13" t="n"/>
      <c r="G260" s="13" t="n"/>
      <c r="H260" s="13" t="n"/>
      <c r="I260" s="13" t="n"/>
      <c r="J260" s="13" t="n"/>
    </row>
    <row r="261">
      <c r="A261" s="13" t="n"/>
      <c r="B261" s="13" t="n"/>
      <c r="C261" s="13" t="n"/>
      <c r="D261" s="13" t="n"/>
      <c r="E261" s="13" t="n"/>
      <c r="F261" s="13" t="n"/>
      <c r="G261" s="13" t="n"/>
      <c r="H261" s="13" t="n"/>
      <c r="I261" s="13" t="n"/>
      <c r="J261" s="13" t="n"/>
    </row>
    <row r="262">
      <c r="A262" s="13" t="n"/>
      <c r="B262" s="13" t="n"/>
      <c r="C262" s="13" t="n"/>
      <c r="D262" s="13" t="n"/>
      <c r="E262" s="13" t="n"/>
      <c r="F262" s="13" t="n"/>
      <c r="G262" s="13" t="n"/>
      <c r="H262" s="13" t="n"/>
      <c r="I262" s="13" t="n"/>
      <c r="J262" s="13" t="n"/>
    </row>
    <row r="263">
      <c r="A263" s="13" t="n"/>
      <c r="B263" s="13" t="n"/>
      <c r="C263" s="13" t="n"/>
      <c r="D263" s="13" t="n"/>
      <c r="E263" s="13" t="n"/>
      <c r="F263" s="13" t="n"/>
      <c r="G263" s="13" t="n"/>
      <c r="H263" s="13" t="n"/>
      <c r="I263" s="13" t="n"/>
      <c r="J263" s="13" t="n"/>
    </row>
    <row r="264">
      <c r="A264" s="13" t="n"/>
      <c r="B264" s="13" t="n"/>
      <c r="C264" s="13" t="n"/>
      <c r="D264" s="13" t="n"/>
      <c r="E264" s="13" t="n"/>
      <c r="F264" s="13" t="n"/>
      <c r="G264" s="13" t="n"/>
      <c r="H264" s="13" t="n"/>
      <c r="I264" s="13" t="n"/>
      <c r="J264" s="13" t="n"/>
    </row>
    <row r="265">
      <c r="A265" s="13" t="n"/>
      <c r="B265" s="13" t="n"/>
      <c r="C265" s="13" t="n"/>
      <c r="D265" s="13" t="n"/>
      <c r="E265" s="13" t="n"/>
      <c r="F265" s="13" t="n"/>
      <c r="G265" s="13" t="n"/>
      <c r="H265" s="13" t="n"/>
      <c r="I265" s="13" t="n"/>
      <c r="J265" s="13" t="n"/>
    </row>
    <row r="266">
      <c r="A266" s="13" t="n"/>
      <c r="B266" s="13" t="n"/>
      <c r="C266" s="13" t="n"/>
      <c r="D266" s="13" t="n"/>
      <c r="E266" s="13" t="n"/>
      <c r="F266" s="13" t="n"/>
      <c r="G266" s="13" t="n"/>
      <c r="H266" s="13" t="n"/>
      <c r="I266" s="13" t="n"/>
      <c r="J266" s="13" t="n"/>
    </row>
    <row r="267">
      <c r="A267" s="13" t="n"/>
      <c r="B267" s="13" t="n"/>
      <c r="C267" s="13" t="n"/>
      <c r="D267" s="13" t="n"/>
      <c r="E267" s="13" t="n"/>
      <c r="F267" s="13" t="n"/>
      <c r="G267" s="13" t="n"/>
      <c r="H267" s="13" t="n"/>
      <c r="I267" s="13" t="n"/>
      <c r="J267" s="13" t="n"/>
    </row>
    <row r="268">
      <c r="A268" s="13" t="n"/>
      <c r="B268" s="13" t="n"/>
      <c r="C268" s="13" t="n"/>
      <c r="D268" s="13" t="n"/>
      <c r="E268" s="13" t="n"/>
      <c r="F268" s="13" t="n"/>
      <c r="G268" s="13" t="n"/>
      <c r="H268" s="13" t="n"/>
      <c r="I268" s="13" t="n"/>
      <c r="J268" s="13" t="n"/>
    </row>
    <row r="269">
      <c r="A269" s="13" t="n"/>
      <c r="B269" s="13" t="n"/>
      <c r="C269" s="13" t="n"/>
      <c r="D269" s="13" t="n"/>
      <c r="E269" s="13" t="n"/>
      <c r="F269" s="13" t="n"/>
      <c r="G269" s="13" t="n"/>
      <c r="H269" s="13" t="n"/>
      <c r="I269" s="13" t="n"/>
      <c r="J269" s="13" t="n"/>
    </row>
    <row r="270">
      <c r="A270" s="13" t="n"/>
      <c r="B270" s="13" t="n"/>
      <c r="C270" s="13" t="n"/>
      <c r="D270" s="13" t="n"/>
      <c r="E270" s="13" t="n"/>
      <c r="F270" s="13" t="n"/>
      <c r="G270" s="13" t="n"/>
      <c r="H270" s="13" t="n"/>
      <c r="I270" s="13" t="n"/>
      <c r="J270" s="13" t="n"/>
    </row>
    <row r="271">
      <c r="A271" s="13" t="n"/>
      <c r="B271" s="13" t="n"/>
      <c r="C271" s="13" t="n"/>
      <c r="D271" s="13" t="n"/>
      <c r="E271" s="13" t="n"/>
      <c r="F271" s="13" t="n"/>
      <c r="G271" s="13" t="n"/>
      <c r="H271" s="13" t="n"/>
      <c r="I271" s="13" t="n"/>
      <c r="J271" s="13" t="n"/>
    </row>
    <row r="272">
      <c r="A272" s="13" t="n"/>
      <c r="B272" s="13" t="n"/>
      <c r="C272" s="13" t="n"/>
      <c r="D272" s="13" t="n"/>
      <c r="E272" s="13" t="n"/>
      <c r="F272" s="13" t="n"/>
      <c r="G272" s="13" t="n"/>
      <c r="H272" s="13" t="n"/>
      <c r="I272" s="13" t="n"/>
      <c r="J272" s="13" t="n"/>
    </row>
    <row r="273">
      <c r="A273" s="13" t="n"/>
      <c r="B273" s="13" t="n"/>
      <c r="C273" s="13" t="n"/>
      <c r="D273" s="13" t="n"/>
      <c r="E273" s="13" t="n"/>
      <c r="F273" s="13" t="n"/>
      <c r="G273" s="13" t="n"/>
      <c r="H273" s="13" t="n"/>
      <c r="I273" s="13" t="n"/>
      <c r="J273" s="13" t="n"/>
    </row>
    <row r="274">
      <c r="A274" s="13" t="n"/>
      <c r="B274" s="13" t="n"/>
      <c r="C274" s="13" t="n"/>
      <c r="D274" s="13" t="n"/>
      <c r="E274" s="13" t="n"/>
      <c r="F274" s="13" t="n"/>
      <c r="G274" s="13" t="n"/>
      <c r="H274" s="13" t="n"/>
      <c r="I274" s="13" t="n"/>
      <c r="J274" s="13" t="n"/>
    </row>
    <row r="275">
      <c r="A275" s="13" t="n"/>
      <c r="B275" s="13" t="n"/>
      <c r="C275" s="13" t="n"/>
      <c r="D275" s="13" t="n"/>
      <c r="E275" s="13" t="n"/>
      <c r="F275" s="13" t="n"/>
      <c r="G275" s="13" t="n"/>
      <c r="H275" s="13" t="n"/>
      <c r="I275" s="13" t="n"/>
      <c r="J275" s="13" t="n"/>
    </row>
    <row r="276">
      <c r="A276" s="13" t="n"/>
      <c r="B276" s="13" t="n"/>
      <c r="C276" s="13" t="n"/>
      <c r="D276" s="13" t="n"/>
      <c r="E276" s="13" t="n"/>
      <c r="F276" s="13" t="n"/>
      <c r="G276" s="13" t="n"/>
      <c r="H276" s="13" t="n"/>
      <c r="I276" s="13" t="n"/>
      <c r="J276" s="13" t="n"/>
    </row>
    <row r="277">
      <c r="A277" s="13" t="n"/>
      <c r="B277" s="13" t="n"/>
      <c r="C277" s="13" t="n"/>
      <c r="D277" s="13" t="n"/>
      <c r="E277" s="13" t="n"/>
      <c r="F277" s="13" t="n"/>
      <c r="G277" s="13" t="n"/>
      <c r="H277" s="13" t="n"/>
      <c r="I277" s="13" t="n"/>
      <c r="J277" s="13" t="n"/>
    </row>
    <row r="278">
      <c r="A278" s="13" t="n"/>
      <c r="B278" s="13" t="n"/>
      <c r="C278" s="13" t="n"/>
      <c r="D278" s="13" t="n"/>
      <c r="E278" s="13" t="n"/>
      <c r="F278" s="13" t="n"/>
      <c r="G278" s="13" t="n"/>
      <c r="H278" s="13" t="n"/>
      <c r="I278" s="13" t="n"/>
      <c r="J278" s="13" t="n"/>
    </row>
    <row r="279">
      <c r="A279" s="13" t="n"/>
      <c r="B279" s="13" t="n"/>
      <c r="C279" s="13" t="n"/>
      <c r="D279" s="13" t="n"/>
      <c r="E279" s="13" t="n"/>
      <c r="F279" s="13" t="n"/>
      <c r="G279" s="13" t="n"/>
      <c r="H279" s="13" t="n"/>
      <c r="I279" s="13" t="n"/>
      <c r="J279" s="13" t="n"/>
    </row>
    <row r="280">
      <c r="A280" s="13" t="n"/>
      <c r="B280" s="13" t="n"/>
      <c r="C280" s="13" t="n"/>
      <c r="D280" s="13" t="n"/>
      <c r="E280" s="13" t="n"/>
      <c r="F280" s="13" t="n"/>
      <c r="G280" s="13" t="n"/>
      <c r="H280" s="13" t="n"/>
      <c r="I280" s="13" t="n"/>
      <c r="J280" s="13" t="n"/>
    </row>
    <row r="281">
      <c r="A281" s="13" t="n"/>
      <c r="B281" s="13" t="n"/>
      <c r="C281" s="13" t="n"/>
      <c r="D281" s="13" t="n"/>
      <c r="E281" s="13" t="n"/>
      <c r="F281" s="13" t="n"/>
      <c r="G281" s="13" t="n"/>
      <c r="H281" s="13" t="n"/>
      <c r="I281" s="13" t="n"/>
      <c r="J281" s="13" t="n"/>
    </row>
    <row r="282">
      <c r="A282" s="13" t="n"/>
      <c r="B282" s="13" t="n"/>
      <c r="C282" s="13" t="n"/>
      <c r="D282" s="13" t="n"/>
      <c r="E282" s="13" t="n"/>
      <c r="F282" s="13" t="n"/>
      <c r="G282" s="13" t="n"/>
      <c r="H282" s="13" t="n"/>
      <c r="I282" s="13" t="n"/>
      <c r="J282" s="13" t="n"/>
    </row>
    <row r="283">
      <c r="A283" s="13" t="n"/>
      <c r="B283" s="13" t="n"/>
      <c r="C283" s="13" t="n"/>
      <c r="D283" s="13" t="n"/>
      <c r="E283" s="13" t="n"/>
      <c r="F283" s="13" t="n"/>
      <c r="G283" s="13" t="n"/>
      <c r="H283" s="13" t="n"/>
      <c r="I283" s="13" t="n"/>
      <c r="J283" s="13" t="n"/>
    </row>
    <row r="284">
      <c r="A284" s="13" t="n"/>
      <c r="B284" s="13" t="n"/>
      <c r="C284" s="13" t="n"/>
      <c r="D284" s="13" t="n"/>
      <c r="E284" s="13" t="n"/>
      <c r="F284" s="13" t="n"/>
      <c r="G284" s="13" t="n"/>
      <c r="H284" s="13" t="n"/>
      <c r="I284" s="13" t="n"/>
      <c r="J284" s="13" t="n"/>
    </row>
    <row r="285">
      <c r="A285" s="13" t="n"/>
      <c r="B285" s="13" t="n"/>
      <c r="C285" s="13" t="n"/>
      <c r="D285" s="13" t="n"/>
      <c r="E285" s="13" t="n"/>
      <c r="F285" s="13" t="n"/>
      <c r="G285" s="13" t="n"/>
      <c r="H285" s="13" t="n"/>
      <c r="I285" s="13" t="n"/>
      <c r="J285" s="13" t="n"/>
    </row>
    <row r="286">
      <c r="A286" s="13" t="n"/>
      <c r="B286" s="13" t="n"/>
      <c r="C286" s="13" t="n"/>
      <c r="D286" s="13" t="n"/>
      <c r="E286" s="13" t="n"/>
      <c r="F286" s="13" t="n"/>
      <c r="G286" s="13" t="n"/>
      <c r="H286" s="13" t="n"/>
      <c r="I286" s="13" t="n"/>
      <c r="J286" s="13" t="n"/>
    </row>
    <row r="287">
      <c r="A287" s="13" t="n"/>
      <c r="B287" s="13" t="n"/>
      <c r="C287" s="13" t="n"/>
      <c r="D287" s="13" t="n"/>
      <c r="E287" s="13" t="n"/>
      <c r="F287" s="13" t="n"/>
      <c r="G287" s="13" t="n"/>
      <c r="H287" s="13" t="n"/>
      <c r="I287" s="13" t="n"/>
      <c r="J287" s="13" t="n"/>
    </row>
    <row r="288">
      <c r="A288" s="13" t="n"/>
      <c r="B288" s="13" t="n"/>
      <c r="C288" s="13" t="n"/>
      <c r="D288" s="13" t="n"/>
      <c r="E288" s="13" t="n"/>
      <c r="F288" s="13" t="n"/>
      <c r="G288" s="13" t="n"/>
      <c r="H288" s="13" t="n"/>
      <c r="I288" s="13" t="n"/>
      <c r="J288" s="13" t="n"/>
    </row>
    <row r="289">
      <c r="A289" s="13" t="n"/>
      <c r="B289" s="13" t="n"/>
      <c r="C289" s="13" t="n"/>
      <c r="D289" s="13" t="n"/>
      <c r="E289" s="13" t="n"/>
      <c r="F289" s="13" t="n"/>
      <c r="G289" s="13" t="n"/>
      <c r="H289" s="13" t="n"/>
      <c r="I289" s="13" t="n"/>
      <c r="J289" s="13" t="n"/>
    </row>
    <row r="290">
      <c r="A290" s="13" t="n"/>
      <c r="B290" s="13" t="n"/>
      <c r="C290" s="13" t="n"/>
      <c r="D290" s="13" t="n"/>
      <c r="E290" s="13" t="n"/>
      <c r="F290" s="13" t="n"/>
      <c r="G290" s="13" t="n"/>
      <c r="H290" s="13" t="n"/>
      <c r="I290" s="13" t="n"/>
      <c r="J290" s="13" t="n"/>
    </row>
    <row r="291">
      <c r="A291" s="13" t="n"/>
      <c r="B291" s="13" t="n"/>
      <c r="C291" s="13" t="n"/>
      <c r="D291" s="13" t="n"/>
      <c r="E291" s="13" t="n"/>
      <c r="F291" s="13" t="n"/>
      <c r="G291" s="13" t="n"/>
      <c r="H291" s="13" t="n"/>
      <c r="I291" s="13" t="n"/>
      <c r="J291" s="13" t="n"/>
    </row>
    <row r="292">
      <c r="A292" s="13" t="n"/>
      <c r="B292" s="13" t="n"/>
      <c r="C292" s="13" t="n"/>
      <c r="D292" s="13" t="n"/>
      <c r="E292" s="13" t="n"/>
      <c r="F292" s="13" t="n"/>
      <c r="G292" s="13" t="n"/>
      <c r="H292" s="13" t="n"/>
      <c r="I292" s="13" t="n"/>
      <c r="J292" s="13" t="n"/>
    </row>
    <row r="293">
      <c r="A293" s="13" t="n"/>
      <c r="B293" s="13" t="n"/>
      <c r="C293" s="13" t="n"/>
      <c r="D293" s="13" t="n"/>
      <c r="E293" s="13" t="n"/>
      <c r="F293" s="13" t="n"/>
      <c r="G293" s="13" t="n"/>
      <c r="H293" s="13" t="n"/>
      <c r="I293" s="13" t="n"/>
      <c r="J293" s="13" t="n"/>
    </row>
    <row r="294">
      <c r="A294" s="13" t="n"/>
      <c r="B294" s="13" t="n"/>
      <c r="C294" s="13" t="n"/>
      <c r="D294" s="13" t="n"/>
      <c r="E294" s="13" t="n"/>
      <c r="F294" s="13" t="n"/>
      <c r="G294" s="13" t="n"/>
      <c r="H294" s="13" t="n"/>
      <c r="I294" s="13" t="n"/>
      <c r="J294" s="13" t="n"/>
    </row>
    <row r="295">
      <c r="A295" s="13" t="n"/>
      <c r="B295" s="13" t="n"/>
      <c r="C295" s="13" t="n"/>
      <c r="D295" s="13" t="n"/>
      <c r="E295" s="13" t="n"/>
      <c r="F295" s="13" t="n"/>
      <c r="G295" s="13" t="n"/>
      <c r="H295" s="13" t="n"/>
      <c r="I295" s="13" t="n"/>
      <c r="J295" s="13" t="n"/>
    </row>
    <row r="296">
      <c r="A296" s="13" t="n"/>
      <c r="B296" s="13" t="n"/>
      <c r="C296" s="13" t="n"/>
      <c r="D296" s="13" t="n"/>
      <c r="E296" s="13" t="n"/>
      <c r="F296" s="13" t="n"/>
      <c r="G296" s="13" t="n"/>
      <c r="H296" s="13" t="n"/>
      <c r="I296" s="13" t="n"/>
      <c r="J296" s="13" t="n"/>
    </row>
    <row r="297">
      <c r="A297" s="13" t="n"/>
      <c r="B297" s="13" t="n"/>
      <c r="C297" s="13" t="n"/>
      <c r="D297" s="13" t="n"/>
      <c r="E297" s="13" t="n"/>
      <c r="F297" s="13" t="n"/>
      <c r="G297" s="13" t="n"/>
      <c r="H297" s="13" t="n"/>
      <c r="I297" s="13" t="n"/>
      <c r="J297" s="13" t="n"/>
    </row>
    <row r="298">
      <c r="A298" s="13" t="n"/>
      <c r="B298" s="13" t="n"/>
      <c r="C298" s="13" t="n"/>
      <c r="D298" s="13" t="n"/>
      <c r="E298" s="13" t="n"/>
      <c r="F298" s="13" t="n"/>
      <c r="G298" s="13" t="n"/>
      <c r="H298" s="13" t="n"/>
      <c r="I298" s="13" t="n"/>
      <c r="J298" s="13" t="n"/>
    </row>
    <row r="299">
      <c r="A299" s="13" t="n"/>
      <c r="B299" s="13" t="n"/>
      <c r="C299" s="13" t="n"/>
      <c r="D299" s="13" t="n"/>
      <c r="E299" s="13" t="n"/>
      <c r="F299" s="13" t="n"/>
      <c r="G299" s="13" t="n"/>
      <c r="H299" s="13" t="n"/>
      <c r="I299" s="13" t="n"/>
      <c r="J299" s="13" t="n"/>
    </row>
    <row r="300">
      <c r="A300" s="13" t="n"/>
      <c r="B300" s="13" t="n"/>
      <c r="C300" s="13" t="n"/>
      <c r="D300" s="13" t="n"/>
      <c r="E300" s="13" t="n"/>
      <c r="F300" s="13" t="n"/>
      <c r="G300" s="13" t="n"/>
      <c r="H300" s="13" t="n"/>
      <c r="I300" s="13" t="n"/>
      <c r="J300" s="13" t="n"/>
    </row>
    <row r="301">
      <c r="A301" s="13" t="n"/>
      <c r="B301" s="13" t="n"/>
      <c r="C301" s="13" t="n"/>
      <c r="D301" s="13" t="n"/>
      <c r="E301" s="13" t="n"/>
      <c r="F301" s="13" t="n"/>
      <c r="G301" s="13" t="n"/>
      <c r="H301" s="13" t="n"/>
      <c r="I301" s="13" t="n"/>
      <c r="J301" s="13" t="n"/>
    </row>
    <row r="302">
      <c r="A302" s="13" t="n"/>
      <c r="B302" s="13" t="n"/>
      <c r="C302" s="13" t="n"/>
      <c r="D302" s="13" t="n"/>
      <c r="E302" s="13" t="n"/>
      <c r="F302" s="13" t="n"/>
      <c r="G302" s="13" t="n"/>
      <c r="H302" s="13" t="n"/>
      <c r="I302" s="13" t="n"/>
      <c r="J302" s="13" t="n"/>
    </row>
    <row r="303">
      <c r="A303" s="13" t="n"/>
      <c r="B303" s="13" t="n"/>
      <c r="C303" s="13" t="n"/>
      <c r="D303" s="13" t="n"/>
      <c r="E303" s="13" t="n"/>
      <c r="F303" s="13" t="n"/>
      <c r="G303" s="13" t="n"/>
      <c r="H303" s="13" t="n"/>
      <c r="I303" s="13" t="n"/>
      <c r="J303" s="13" t="n"/>
    </row>
    <row r="304">
      <c r="A304" s="13" t="n"/>
      <c r="B304" s="13" t="n"/>
      <c r="C304" s="13" t="n"/>
      <c r="D304" s="13" t="n"/>
      <c r="E304" s="13" t="n"/>
      <c r="F304" s="13" t="n"/>
      <c r="G304" s="13" t="n"/>
      <c r="H304" s="13" t="n"/>
      <c r="I304" s="13" t="n"/>
      <c r="J304" s="13" t="n"/>
    </row>
    <row r="305">
      <c r="A305" s="13" t="n"/>
      <c r="B305" s="13" t="n"/>
      <c r="C305" s="13" t="n"/>
      <c r="D305" s="13" t="n"/>
      <c r="E305" s="13" t="n"/>
      <c r="F305" s="13" t="n"/>
      <c r="G305" s="13" t="n"/>
      <c r="H305" s="13" t="n"/>
      <c r="I305" s="13" t="n"/>
      <c r="J305" s="13" t="n"/>
    </row>
    <row r="306">
      <c r="A306" s="13" t="n"/>
      <c r="B306" s="13" t="n"/>
      <c r="C306" s="13" t="n"/>
      <c r="D306" s="13" t="n"/>
      <c r="E306" s="13" t="n"/>
      <c r="F306" s="13" t="n"/>
      <c r="G306" s="13" t="n"/>
      <c r="H306" s="13" t="n"/>
      <c r="I306" s="13" t="n"/>
      <c r="J306" s="13" t="n"/>
    </row>
    <row r="307">
      <c r="A307" s="13" t="n"/>
      <c r="B307" s="13" t="n"/>
      <c r="C307" s="13" t="n"/>
      <c r="D307" s="13" t="n"/>
      <c r="E307" s="13" t="n"/>
      <c r="F307" s="13" t="n"/>
      <c r="G307" s="13" t="n"/>
      <c r="H307" s="13" t="n"/>
      <c r="I307" s="13" t="n"/>
      <c r="J307" s="13" t="n"/>
    </row>
    <row r="308">
      <c r="A308" s="13" t="n"/>
      <c r="B308" s="13" t="n"/>
      <c r="C308" s="13" t="n"/>
      <c r="D308" s="13" t="n"/>
      <c r="E308" s="13" t="n"/>
      <c r="F308" s="13" t="n"/>
      <c r="G308" s="13" t="n"/>
      <c r="H308" s="13" t="n"/>
      <c r="I308" s="13" t="n"/>
      <c r="J308" s="13" t="n"/>
    </row>
    <row r="309">
      <c r="A309" s="13" t="n"/>
      <c r="B309" s="13" t="n"/>
      <c r="C309" s="13" t="n"/>
      <c r="D309" s="13" t="n"/>
      <c r="E309" s="13" t="n"/>
      <c r="F309" s="13" t="n"/>
      <c r="G309" s="13" t="n"/>
      <c r="H309" s="13" t="n"/>
      <c r="I309" s="13" t="n"/>
      <c r="J309" s="13" t="n"/>
    </row>
    <row r="310">
      <c r="A310" s="13" t="n"/>
      <c r="B310" s="13" t="n"/>
      <c r="C310" s="13" t="n"/>
      <c r="D310" s="13" t="n"/>
      <c r="E310" s="13" t="n"/>
      <c r="F310" s="13" t="n"/>
      <c r="G310" s="13" t="n"/>
      <c r="H310" s="13" t="n"/>
      <c r="I310" s="13" t="n"/>
      <c r="J310" s="13" t="n"/>
    </row>
    <row r="311">
      <c r="A311" s="13" t="n"/>
      <c r="B311" s="13" t="n"/>
      <c r="C311" s="13" t="n"/>
      <c r="D311" s="13" t="n"/>
      <c r="E311" s="13" t="n"/>
      <c r="F311" s="13" t="n"/>
      <c r="G311" s="13" t="n"/>
      <c r="H311" s="13" t="n"/>
      <c r="I311" s="13" t="n"/>
      <c r="J311" s="13" t="n"/>
    </row>
    <row r="312">
      <c r="A312" s="13" t="n"/>
      <c r="B312" s="13" t="n"/>
      <c r="C312" s="13" t="n"/>
      <c r="D312" s="13" t="n"/>
      <c r="E312" s="13" t="n"/>
      <c r="F312" s="13" t="n"/>
      <c r="G312" s="13" t="n"/>
      <c r="H312" s="13" t="n"/>
      <c r="I312" s="13" t="n"/>
      <c r="J312" s="13" t="n"/>
    </row>
    <row r="313">
      <c r="A313" s="13" t="n"/>
      <c r="B313" s="13" t="n"/>
      <c r="C313" s="13" t="n"/>
      <c r="D313" s="13" t="n"/>
      <c r="E313" s="13" t="n"/>
      <c r="F313" s="13" t="n"/>
      <c r="G313" s="13" t="n"/>
      <c r="H313" s="13" t="n"/>
      <c r="I313" s="13" t="n"/>
      <c r="J313" s="13" t="n"/>
    </row>
    <row r="314">
      <c r="A314" s="13" t="n"/>
      <c r="B314" s="13" t="n"/>
      <c r="C314" s="13" t="n"/>
      <c r="D314" s="13" t="n"/>
      <c r="E314" s="13" t="n"/>
      <c r="F314" s="13" t="n"/>
      <c r="G314" s="13" t="n"/>
      <c r="H314" s="13" t="n"/>
      <c r="I314" s="13" t="n"/>
      <c r="J314" s="13" t="n"/>
    </row>
    <row r="315">
      <c r="A315" s="13" t="n"/>
      <c r="B315" s="13" t="n"/>
      <c r="C315" s="13" t="n"/>
      <c r="D315" s="13" t="n"/>
      <c r="E315" s="13" t="n"/>
      <c r="F315" s="13" t="n"/>
      <c r="G315" s="13" t="n"/>
      <c r="H315" s="13" t="n"/>
      <c r="I315" s="13" t="n"/>
      <c r="J315" s="13" t="n"/>
    </row>
    <row r="316">
      <c r="A316" s="13" t="n"/>
      <c r="B316" s="13" t="n"/>
      <c r="C316" s="13" t="n"/>
      <c r="D316" s="13" t="n"/>
      <c r="E316" s="13" t="n"/>
      <c r="F316" s="13" t="n"/>
      <c r="G316" s="13" t="n"/>
      <c r="H316" s="13" t="n"/>
      <c r="I316" s="13" t="n"/>
      <c r="J316" s="13" t="n"/>
    </row>
    <row r="317">
      <c r="A317" s="13" t="n"/>
      <c r="B317" s="13" t="n"/>
      <c r="C317" s="13" t="n"/>
      <c r="D317" s="13" t="n"/>
      <c r="E317" s="13" t="n"/>
      <c r="F317" s="13" t="n"/>
      <c r="G317" s="13" t="n"/>
      <c r="H317" s="13" t="n"/>
      <c r="I317" s="13" t="n"/>
      <c r="J317" s="13" t="n"/>
    </row>
    <row r="318">
      <c r="A318" s="13" t="n"/>
      <c r="B318" s="13" t="n"/>
      <c r="C318" s="13" t="n"/>
      <c r="D318" s="13" t="n"/>
      <c r="E318" s="13" t="n"/>
      <c r="F318" s="13" t="n"/>
      <c r="G318" s="13" t="n"/>
      <c r="H318" s="13" t="n"/>
      <c r="I318" s="13" t="n"/>
      <c r="J318" s="13" t="n"/>
    </row>
    <row r="319">
      <c r="A319" s="13" t="n"/>
      <c r="B319" s="13" t="n"/>
      <c r="C319" s="13" t="n"/>
      <c r="D319" s="13" t="n"/>
      <c r="E319" s="13" t="n"/>
      <c r="F319" s="13" t="n"/>
      <c r="G319" s="13" t="n"/>
      <c r="H319" s="13" t="n"/>
      <c r="I319" s="13" t="n"/>
      <c r="J319" s="13" t="n"/>
    </row>
    <row r="320">
      <c r="A320" s="13" t="n"/>
      <c r="B320" s="13" t="n"/>
      <c r="C320" s="13" t="n"/>
      <c r="D320" s="13" t="n"/>
      <c r="E320" s="13" t="n"/>
      <c r="F320" s="13" t="n"/>
      <c r="G320" s="13" t="n"/>
      <c r="H320" s="13" t="n"/>
      <c r="I320" s="13" t="n"/>
      <c r="J320" s="13" t="n"/>
    </row>
    <row r="321">
      <c r="A321" s="13" t="n"/>
      <c r="B321" s="13" t="n"/>
      <c r="C321" s="13" t="n"/>
      <c r="D321" s="13" t="n"/>
      <c r="E321" s="13" t="n"/>
      <c r="F321" s="13" t="n"/>
      <c r="G321" s="13" t="n"/>
      <c r="H321" s="13" t="n"/>
      <c r="I321" s="13" t="n"/>
      <c r="J321" s="13" t="n"/>
    </row>
    <row r="322">
      <c r="A322" s="13" t="n"/>
      <c r="B322" s="13" t="n"/>
      <c r="C322" s="13" t="n"/>
      <c r="D322" s="13" t="n"/>
      <c r="E322" s="13" t="n"/>
      <c r="F322" s="13" t="n"/>
      <c r="G322" s="13" t="n"/>
      <c r="H322" s="13" t="n"/>
      <c r="I322" s="13" t="n"/>
      <c r="J322" s="13" t="n"/>
    </row>
    <row r="323">
      <c r="A323" s="13" t="n"/>
      <c r="B323" s="13" t="n"/>
      <c r="C323" s="13" t="n"/>
      <c r="D323" s="13" t="n"/>
      <c r="E323" s="13" t="n"/>
      <c r="F323" s="13" t="n"/>
      <c r="G323" s="13" t="n"/>
      <c r="H323" s="13" t="n"/>
      <c r="I323" s="13" t="n"/>
      <c r="J323" s="13" t="n"/>
    </row>
    <row r="324">
      <c r="A324" s="13" t="n"/>
      <c r="B324" s="13" t="n"/>
      <c r="C324" s="13" t="n"/>
      <c r="D324" s="13" t="n"/>
      <c r="E324" s="13" t="n"/>
      <c r="F324" s="13" t="n"/>
      <c r="G324" s="13" t="n"/>
      <c r="H324" s="13" t="n"/>
      <c r="I324" s="13" t="n"/>
      <c r="J324" s="13" t="n"/>
    </row>
    <row r="325">
      <c r="A325" s="13" t="n"/>
      <c r="B325" s="13" t="n"/>
      <c r="C325" s="13" t="n"/>
      <c r="D325" s="13" t="n"/>
      <c r="E325" s="13" t="n"/>
      <c r="F325" s="13" t="n"/>
      <c r="G325" s="13" t="n"/>
      <c r="H325" s="13" t="n"/>
      <c r="I325" s="13" t="n"/>
      <c r="J325" s="13" t="n"/>
    </row>
    <row r="326">
      <c r="A326" s="13" t="n"/>
      <c r="B326" s="13" t="n"/>
      <c r="C326" s="13" t="n"/>
      <c r="D326" s="13" t="n"/>
      <c r="E326" s="13" t="n"/>
      <c r="F326" s="13" t="n"/>
      <c r="G326" s="13" t="n"/>
      <c r="H326" s="13" t="n"/>
      <c r="I326" s="13" t="n"/>
      <c r="J326" s="13" t="n"/>
    </row>
    <row r="327">
      <c r="A327" s="13" t="n"/>
      <c r="B327" s="13" t="n"/>
      <c r="C327" s="13" t="n"/>
      <c r="D327" s="13" t="n"/>
      <c r="E327" s="13" t="n"/>
      <c r="F327" s="13" t="n"/>
      <c r="G327" s="13" t="n"/>
      <c r="H327" s="13" t="n"/>
      <c r="I327" s="13" t="n"/>
      <c r="J327" s="13" t="n"/>
    </row>
    <row r="328">
      <c r="A328" s="13" t="n"/>
      <c r="B328" s="13" t="n"/>
      <c r="C328" s="13" t="n"/>
      <c r="D328" s="13" t="n"/>
      <c r="E328" s="13" t="n"/>
      <c r="F328" s="13" t="n"/>
      <c r="G328" s="13" t="n"/>
      <c r="H328" s="13" t="n"/>
      <c r="I328" s="13" t="n"/>
      <c r="J328" s="13" t="n"/>
    </row>
    <row r="329">
      <c r="A329" s="13" t="n"/>
      <c r="B329" s="13" t="n"/>
      <c r="C329" s="13" t="n"/>
      <c r="D329" s="13" t="n"/>
      <c r="E329" s="13" t="n"/>
      <c r="F329" s="13" t="n"/>
      <c r="G329" s="13" t="n"/>
      <c r="H329" s="13" t="n"/>
      <c r="I329" s="13" t="n"/>
      <c r="J329" s="13" t="n"/>
    </row>
    <row r="330">
      <c r="A330" s="13" t="n"/>
      <c r="B330" s="13" t="n"/>
      <c r="C330" s="13" t="n"/>
      <c r="D330" s="13" t="n"/>
      <c r="E330" s="13" t="n"/>
      <c r="F330" s="13" t="n"/>
      <c r="G330" s="13" t="n"/>
      <c r="H330" s="13" t="n"/>
      <c r="I330" s="13" t="n"/>
      <c r="J330" s="13" t="n"/>
    </row>
    <row r="331">
      <c r="A331" s="13" t="n"/>
      <c r="B331" s="13" t="n"/>
      <c r="C331" s="13" t="n"/>
      <c r="D331" s="13" t="n"/>
      <c r="E331" s="13" t="n"/>
      <c r="F331" s="13" t="n"/>
      <c r="G331" s="13" t="n"/>
      <c r="H331" s="13" t="n"/>
      <c r="I331" s="13" t="n"/>
      <c r="J331" s="13" t="n"/>
    </row>
    <row r="332">
      <c r="A332" s="13" t="n"/>
      <c r="B332" s="13" t="n"/>
      <c r="C332" s="13" t="n"/>
      <c r="D332" s="13" t="n"/>
      <c r="E332" s="13" t="n"/>
      <c r="F332" s="13" t="n"/>
      <c r="G332" s="13" t="n"/>
      <c r="H332" s="13" t="n"/>
      <c r="I332" s="13" t="n"/>
      <c r="J332" s="13" t="n"/>
    </row>
    <row r="333">
      <c r="A333" s="13" t="n"/>
      <c r="B333" s="13" t="n"/>
      <c r="C333" s="13" t="n"/>
      <c r="D333" s="13" t="n"/>
      <c r="E333" s="13" t="n"/>
      <c r="F333" s="13" t="n"/>
      <c r="G333" s="13" t="n"/>
      <c r="H333" s="13" t="n"/>
      <c r="I333" s="13" t="n"/>
      <c r="J333" s="13" t="n"/>
    </row>
    <row r="334">
      <c r="A334" s="13" t="n"/>
      <c r="B334" s="13" t="n"/>
      <c r="C334" s="13" t="n"/>
      <c r="D334" s="13" t="n"/>
      <c r="E334" s="13" t="n"/>
      <c r="F334" s="13" t="n"/>
      <c r="G334" s="13" t="n"/>
      <c r="H334" s="13" t="n"/>
      <c r="I334" s="13" t="n"/>
      <c r="J334" s="13" t="n"/>
    </row>
    <row r="335">
      <c r="A335" s="13" t="n"/>
      <c r="B335" s="13" t="n"/>
      <c r="C335" s="13" t="n"/>
      <c r="D335" s="13" t="n"/>
      <c r="E335" s="13" t="n"/>
      <c r="F335" s="13" t="n"/>
      <c r="G335" s="13" t="n"/>
      <c r="H335" s="13" t="n"/>
      <c r="I335" s="13" t="n"/>
      <c r="J335" s="13" t="n"/>
    </row>
    <row r="336">
      <c r="A336" s="13" t="n"/>
      <c r="B336" s="13" t="n"/>
      <c r="C336" s="13" t="n"/>
      <c r="D336" s="13" t="n"/>
      <c r="E336" s="13" t="n"/>
      <c r="F336" s="13" t="n"/>
      <c r="G336" s="13" t="n"/>
      <c r="H336" s="13" t="n"/>
      <c r="I336" s="13" t="n"/>
      <c r="J336" s="13" t="n"/>
    </row>
    <row r="337">
      <c r="A337" s="13" t="n"/>
      <c r="B337" s="13" t="n"/>
      <c r="C337" s="13" t="n"/>
      <c r="D337" s="13" t="n"/>
      <c r="E337" s="13" t="n"/>
      <c r="F337" s="13" t="n"/>
      <c r="G337" s="13" t="n"/>
      <c r="H337" s="13" t="n"/>
      <c r="I337" s="13" t="n"/>
      <c r="J337" s="13" t="n"/>
    </row>
    <row r="338">
      <c r="A338" s="13" t="n"/>
      <c r="B338" s="13" t="n"/>
      <c r="C338" s="13" t="n"/>
      <c r="D338" s="13" t="n"/>
      <c r="E338" s="13" t="n"/>
      <c r="F338" s="13" t="n"/>
      <c r="G338" s="13" t="n"/>
      <c r="H338" s="13" t="n"/>
      <c r="I338" s="13" t="n"/>
      <c r="J338" s="13" t="n"/>
    </row>
    <row r="339">
      <c r="A339" s="13" t="n"/>
      <c r="B339" s="13" t="n"/>
      <c r="C339" s="13" t="n"/>
      <c r="D339" s="13" t="n"/>
      <c r="E339" s="13" t="n"/>
      <c r="F339" s="13" t="n"/>
      <c r="G339" s="13" t="n"/>
      <c r="H339" s="13" t="n"/>
      <c r="I339" s="13" t="n"/>
      <c r="J339" s="13" t="n"/>
    </row>
    <row r="340">
      <c r="A340" s="13" t="n"/>
      <c r="B340" s="13" t="n"/>
      <c r="C340" s="13" t="n"/>
      <c r="D340" s="13" t="n"/>
      <c r="E340" s="13" t="n"/>
      <c r="F340" s="13" t="n"/>
      <c r="G340" s="13" t="n"/>
      <c r="H340" s="13" t="n"/>
      <c r="I340" s="13" t="n"/>
      <c r="J340" s="13" t="n"/>
    </row>
    <row r="341">
      <c r="A341" s="13" t="n"/>
      <c r="B341" s="13" t="n"/>
      <c r="C341" s="13" t="n"/>
      <c r="D341" s="13" t="n"/>
      <c r="E341" s="13" t="n"/>
      <c r="F341" s="13" t="n"/>
      <c r="G341" s="13" t="n"/>
      <c r="H341" s="13" t="n"/>
      <c r="I341" s="13" t="n"/>
      <c r="J341" s="13" t="n"/>
    </row>
    <row r="342">
      <c r="A342" s="13" t="n"/>
      <c r="B342" s="13" t="n"/>
      <c r="C342" s="13" t="n"/>
      <c r="D342" s="13" t="n"/>
      <c r="E342" s="13" t="n"/>
      <c r="F342" s="13" t="n"/>
      <c r="G342" s="13" t="n"/>
      <c r="H342" s="13" t="n"/>
      <c r="I342" s="13" t="n"/>
      <c r="J342" s="13" t="n"/>
    </row>
    <row r="343">
      <c r="A343" s="13" t="n"/>
      <c r="B343" s="13" t="n"/>
      <c r="C343" s="13" t="n"/>
      <c r="D343" s="13" t="n"/>
      <c r="E343" s="13" t="n"/>
      <c r="F343" s="13" t="n"/>
      <c r="G343" s="13" t="n"/>
      <c r="H343" s="13" t="n"/>
      <c r="I343" s="13" t="n"/>
      <c r="J343" s="13" t="n"/>
    </row>
    <row r="344">
      <c r="A344" s="13" t="n"/>
      <c r="B344" s="13" t="n"/>
      <c r="C344" s="13" t="n"/>
      <c r="D344" s="13" t="n"/>
      <c r="E344" s="13" t="n"/>
      <c r="F344" s="13" t="n"/>
      <c r="G344" s="13" t="n"/>
      <c r="H344" s="13" t="n"/>
      <c r="I344" s="13" t="n"/>
      <c r="J344" s="13" t="n"/>
    </row>
    <row r="345">
      <c r="A345" s="13" t="n"/>
      <c r="B345" s="13" t="n"/>
      <c r="C345" s="13" t="n"/>
      <c r="D345" s="13" t="n"/>
      <c r="E345" s="13" t="n"/>
      <c r="F345" s="13" t="n"/>
      <c r="G345" s="13" t="n"/>
      <c r="H345" s="13" t="n"/>
      <c r="I345" s="13" t="n"/>
      <c r="J345" s="13" t="n"/>
    </row>
    <row r="346">
      <c r="A346" s="13" t="n"/>
      <c r="B346" s="13" t="n"/>
      <c r="C346" s="13" t="n"/>
      <c r="D346" s="13" t="n"/>
      <c r="E346" s="13" t="n"/>
      <c r="F346" s="13" t="n"/>
      <c r="G346" s="13" t="n"/>
      <c r="H346" s="13" t="n"/>
      <c r="I346" s="13" t="n"/>
      <c r="J346" s="13" t="n"/>
    </row>
    <row r="347">
      <c r="A347" s="13" t="n"/>
      <c r="B347" s="13" t="n"/>
      <c r="C347" s="13" t="n"/>
      <c r="D347" s="13" t="n"/>
      <c r="E347" s="13" t="n"/>
      <c r="F347" s="13" t="n"/>
      <c r="G347" s="13" t="n"/>
      <c r="H347" s="13" t="n"/>
      <c r="I347" s="13" t="n"/>
      <c r="J347" s="13" t="n"/>
    </row>
    <row r="348">
      <c r="A348" s="13" t="n"/>
      <c r="B348" s="13" t="n"/>
      <c r="C348" s="13" t="n"/>
      <c r="D348" s="13" t="n"/>
      <c r="E348" s="13" t="n"/>
      <c r="F348" s="13" t="n"/>
      <c r="G348" s="13" t="n"/>
      <c r="H348" s="13" t="n"/>
      <c r="I348" s="13" t="n"/>
      <c r="J348" s="13" t="n"/>
    </row>
    <row r="349">
      <c r="A349" s="13" t="n"/>
      <c r="B349" s="13" t="n"/>
      <c r="C349" s="13" t="n"/>
      <c r="D349" s="13" t="n"/>
      <c r="E349" s="13" t="n"/>
      <c r="F349" s="13" t="n"/>
      <c r="G349" s="13" t="n"/>
      <c r="H349" s="13" t="n"/>
      <c r="I349" s="13" t="n"/>
      <c r="J349" s="13" t="n"/>
    </row>
    <row r="350">
      <c r="A350" s="13" t="n"/>
      <c r="B350" s="13" t="n"/>
      <c r="C350" s="13" t="n"/>
      <c r="D350" s="13" t="n"/>
      <c r="E350" s="13" t="n"/>
      <c r="F350" s="13" t="n"/>
      <c r="G350" s="13" t="n"/>
      <c r="H350" s="13" t="n"/>
      <c r="I350" s="13" t="n"/>
      <c r="J350" s="13" t="n"/>
    </row>
    <row r="351">
      <c r="A351" s="13" t="n"/>
      <c r="B351" s="13" t="n"/>
      <c r="C351" s="13" t="n"/>
      <c r="D351" s="13" t="n"/>
      <c r="E351" s="13" t="n"/>
      <c r="F351" s="13" t="n"/>
      <c r="G351" s="13" t="n"/>
      <c r="H351" s="13" t="n"/>
      <c r="I351" s="13" t="n"/>
      <c r="J351" s="13" t="n"/>
    </row>
    <row r="352">
      <c r="A352" s="13" t="n"/>
      <c r="B352" s="13" t="n"/>
      <c r="C352" s="13" t="n"/>
      <c r="D352" s="13" t="n"/>
      <c r="E352" s="13" t="n"/>
      <c r="F352" s="13" t="n"/>
      <c r="G352" s="13" t="n"/>
      <c r="H352" s="13" t="n"/>
      <c r="I352" s="13" t="n"/>
      <c r="J352" s="13" t="n"/>
    </row>
    <row r="353">
      <c r="A353" s="13" t="n"/>
      <c r="B353" s="13" t="n"/>
      <c r="C353" s="13" t="n"/>
      <c r="D353" s="13" t="n"/>
      <c r="E353" s="13" t="n"/>
      <c r="F353" s="13" t="n"/>
      <c r="G353" s="13" t="n"/>
      <c r="H353" s="13" t="n"/>
      <c r="I353" s="13" t="n"/>
      <c r="J353" s="13" t="n"/>
    </row>
    <row r="354">
      <c r="A354" s="13" t="n"/>
      <c r="B354" s="13" t="n"/>
      <c r="C354" s="13" t="n"/>
      <c r="D354" s="13" t="n"/>
      <c r="E354" s="13" t="n"/>
      <c r="F354" s="13" t="n"/>
      <c r="G354" s="13" t="n"/>
      <c r="H354" s="13" t="n"/>
      <c r="I354" s="13" t="n"/>
      <c r="J354" s="13" t="n"/>
    </row>
    <row r="355">
      <c r="A355" s="13" t="n"/>
      <c r="B355" s="13" t="n"/>
      <c r="C355" s="13" t="n"/>
      <c r="D355" s="13" t="n"/>
      <c r="E355" s="13" t="n"/>
      <c r="F355" s="13" t="n"/>
      <c r="G355" s="13" t="n"/>
      <c r="H355" s="13" t="n"/>
      <c r="I355" s="13" t="n"/>
      <c r="J355" s="13" t="n"/>
    </row>
    <row r="356">
      <c r="A356" s="13" t="n"/>
      <c r="B356" s="13" t="n"/>
      <c r="C356" s="13" t="n"/>
      <c r="D356" s="13" t="n"/>
      <c r="E356" s="13" t="n"/>
      <c r="F356" s="13" t="n"/>
      <c r="G356" s="13" t="n"/>
      <c r="H356" s="13" t="n"/>
      <c r="I356" s="13" t="n"/>
      <c r="J356" s="13" t="n"/>
    </row>
    <row r="357">
      <c r="A357" s="13" t="n"/>
      <c r="B357" s="13" t="n"/>
      <c r="C357" s="13" t="n"/>
      <c r="D357" s="13" t="n"/>
      <c r="E357" s="13" t="n"/>
      <c r="F357" s="13" t="n"/>
      <c r="G357" s="13" t="n"/>
      <c r="H357" s="13" t="n"/>
      <c r="I357" s="13" t="n"/>
      <c r="J357" s="13" t="n"/>
    </row>
    <row r="358">
      <c r="A358" s="13" t="n"/>
      <c r="B358" s="13" t="n"/>
      <c r="C358" s="13" t="n"/>
      <c r="D358" s="13" t="n"/>
      <c r="E358" s="13" t="n"/>
      <c r="F358" s="13" t="n"/>
      <c r="G358" s="13" t="n"/>
      <c r="H358" s="13" t="n"/>
      <c r="I358" s="13" t="n"/>
      <c r="J358" s="13" t="n"/>
    </row>
    <row r="359">
      <c r="A359" s="13" t="n"/>
      <c r="B359" s="13" t="n"/>
      <c r="C359" s="13" t="n"/>
      <c r="D359" s="13" t="n"/>
      <c r="E359" s="13" t="n"/>
      <c r="F359" s="13" t="n"/>
      <c r="G359" s="13" t="n"/>
      <c r="H359" s="13" t="n"/>
      <c r="I359" s="13" t="n"/>
      <c r="J359" s="13" t="n"/>
    </row>
    <row r="360">
      <c r="A360" s="13" t="n"/>
      <c r="B360" s="13" t="n"/>
      <c r="C360" s="13" t="n"/>
      <c r="D360" s="13" t="n"/>
      <c r="E360" s="13" t="n"/>
      <c r="F360" s="13" t="n"/>
      <c r="G360" s="13" t="n"/>
      <c r="H360" s="13" t="n"/>
      <c r="I360" s="13" t="n"/>
      <c r="J360" s="13" t="n"/>
    </row>
    <row r="361">
      <c r="A361" s="13" t="n"/>
      <c r="B361" s="13" t="n"/>
      <c r="C361" s="13" t="n"/>
      <c r="D361" s="13" t="n"/>
      <c r="E361" s="13" t="n"/>
      <c r="F361" s="13" t="n"/>
      <c r="G361" s="13" t="n"/>
      <c r="H361" s="13" t="n"/>
      <c r="I361" s="13" t="n"/>
      <c r="J361" s="13" t="n"/>
    </row>
    <row r="362">
      <c r="A362" s="13" t="n"/>
      <c r="B362" s="13" t="n"/>
      <c r="C362" s="13" t="n"/>
      <c r="D362" s="13" t="n"/>
      <c r="E362" s="13" t="n"/>
      <c r="F362" s="13" t="n"/>
      <c r="G362" s="13" t="n"/>
      <c r="H362" s="13" t="n"/>
      <c r="I362" s="13" t="n"/>
      <c r="J362" s="13" t="n"/>
    </row>
    <row r="363">
      <c r="A363" s="13" t="n"/>
      <c r="B363" s="13" t="n"/>
      <c r="C363" s="13" t="n"/>
      <c r="D363" s="13" t="n"/>
      <c r="E363" s="13" t="n"/>
      <c r="F363" s="13" t="n"/>
      <c r="G363" s="13" t="n"/>
      <c r="H363" s="13" t="n"/>
      <c r="I363" s="13" t="n"/>
      <c r="J363" s="13" t="n"/>
    </row>
    <row r="364">
      <c r="A364" s="13" t="n"/>
      <c r="B364" s="13" t="n"/>
      <c r="C364" s="13" t="n"/>
      <c r="D364" s="13" t="n"/>
      <c r="E364" s="13" t="n"/>
      <c r="F364" s="13" t="n"/>
      <c r="G364" s="13" t="n"/>
      <c r="H364" s="13" t="n"/>
      <c r="I364" s="13" t="n"/>
      <c r="J364" s="13" t="n"/>
    </row>
    <row r="365">
      <c r="A365" s="13" t="n"/>
      <c r="B365" s="13" t="n"/>
      <c r="C365" s="13" t="n"/>
      <c r="D365" s="13" t="n"/>
      <c r="E365" s="13" t="n"/>
      <c r="F365" s="13" t="n"/>
      <c r="G365" s="13" t="n"/>
      <c r="H365" s="13" t="n"/>
      <c r="I365" s="13" t="n"/>
      <c r="J365" s="13" t="n"/>
    </row>
    <row r="366">
      <c r="A366" s="13" t="n"/>
      <c r="B366" s="13" t="n"/>
      <c r="C366" s="13" t="n"/>
      <c r="D366" s="13" t="n"/>
      <c r="E366" s="13" t="n"/>
      <c r="F366" s="13" t="n"/>
      <c r="G366" s="13" t="n"/>
      <c r="H366" s="13" t="n"/>
      <c r="I366" s="13" t="n"/>
      <c r="J366" s="13" t="n"/>
    </row>
    <row r="367">
      <c r="A367" s="13" t="n"/>
      <c r="B367" s="13" t="n"/>
      <c r="C367" s="13" t="n"/>
      <c r="D367" s="13" t="n"/>
      <c r="E367" s="13" t="n"/>
      <c r="F367" s="13" t="n"/>
      <c r="G367" s="13" t="n"/>
      <c r="H367" s="13" t="n"/>
      <c r="I367" s="13" t="n"/>
      <c r="J367" s="13" t="n"/>
    </row>
    <row r="368">
      <c r="A368" s="13" t="n"/>
      <c r="B368" s="13" t="n"/>
      <c r="C368" s="13" t="n"/>
      <c r="D368" s="13" t="n"/>
      <c r="E368" s="13" t="n"/>
      <c r="F368" s="13" t="n"/>
      <c r="G368" s="13" t="n"/>
      <c r="H368" s="13" t="n"/>
      <c r="I368" s="13" t="n"/>
      <c r="J368" s="13" t="n"/>
    </row>
    <row r="369">
      <c r="A369" s="13" t="n"/>
      <c r="B369" s="13" t="n"/>
      <c r="C369" s="13" t="n"/>
      <c r="D369" s="13" t="n"/>
      <c r="E369" s="13" t="n"/>
      <c r="F369" s="13" t="n"/>
      <c r="G369" s="13" t="n"/>
      <c r="H369" s="13" t="n"/>
      <c r="I369" s="13" t="n"/>
      <c r="J369" s="13" t="n"/>
    </row>
    <row r="370">
      <c r="A370" s="13" t="n"/>
      <c r="B370" s="13" t="n"/>
      <c r="C370" s="13" t="n"/>
      <c r="D370" s="13" t="n"/>
      <c r="E370" s="13" t="n"/>
      <c r="F370" s="13" t="n"/>
      <c r="G370" s="13" t="n"/>
      <c r="H370" s="13" t="n"/>
      <c r="I370" s="13" t="n"/>
      <c r="J370" s="13" t="n"/>
    </row>
    <row r="371">
      <c r="A371" s="13" t="n"/>
      <c r="B371" s="13" t="n"/>
      <c r="C371" s="13" t="n"/>
      <c r="D371" s="13" t="n"/>
      <c r="E371" s="13" t="n"/>
      <c r="F371" s="13" t="n"/>
      <c r="G371" s="13" t="n"/>
      <c r="H371" s="13" t="n"/>
      <c r="I371" s="13" t="n"/>
      <c r="J371" s="13" t="n"/>
    </row>
    <row r="372">
      <c r="A372" s="13" t="n"/>
      <c r="B372" s="13" t="n"/>
      <c r="C372" s="13" t="n"/>
      <c r="D372" s="13" t="n"/>
      <c r="E372" s="13" t="n"/>
      <c r="F372" s="13" t="n"/>
      <c r="G372" s="13" t="n"/>
      <c r="H372" s="13" t="n"/>
      <c r="I372" s="13" t="n"/>
      <c r="J372" s="13" t="n"/>
    </row>
    <row r="373">
      <c r="A373" s="13" t="n"/>
      <c r="B373" s="13" t="n"/>
      <c r="C373" s="13" t="n"/>
      <c r="D373" s="13" t="n"/>
      <c r="E373" s="13" t="n"/>
      <c r="F373" s="13" t="n"/>
      <c r="G373" s="13" t="n"/>
      <c r="H373" s="13" t="n"/>
      <c r="I373" s="13" t="n"/>
      <c r="J373" s="13" t="n"/>
    </row>
    <row r="374">
      <c r="A374" s="13" t="n"/>
      <c r="B374" s="13" t="n"/>
      <c r="C374" s="13" t="n"/>
      <c r="D374" s="13" t="n"/>
      <c r="E374" s="13" t="n"/>
      <c r="F374" s="13" t="n"/>
      <c r="G374" s="13" t="n"/>
      <c r="H374" s="13" t="n"/>
      <c r="I374" s="13" t="n"/>
      <c r="J374" s="13" t="n"/>
    </row>
    <row r="375">
      <c r="A375" s="13" t="n"/>
      <c r="B375" s="13" t="n"/>
      <c r="C375" s="13" t="n"/>
      <c r="D375" s="13" t="n"/>
      <c r="E375" s="13" t="n"/>
      <c r="F375" s="13" t="n"/>
      <c r="G375" s="13" t="n"/>
      <c r="H375" s="13" t="n"/>
      <c r="I375" s="13" t="n"/>
      <c r="J375" s="13" t="n"/>
    </row>
    <row r="376">
      <c r="A376" s="13" t="n"/>
      <c r="B376" s="13" t="n"/>
      <c r="C376" s="13" t="n"/>
      <c r="D376" s="13" t="n"/>
      <c r="E376" s="13" t="n"/>
      <c r="F376" s="13" t="n"/>
      <c r="G376" s="13" t="n"/>
      <c r="H376" s="13" t="n"/>
      <c r="I376" s="13" t="n"/>
      <c r="J376" s="13" t="n"/>
    </row>
    <row r="377">
      <c r="A377" s="13" t="n"/>
      <c r="B377" s="13" t="n"/>
      <c r="C377" s="13" t="n"/>
      <c r="D377" s="13" t="n"/>
      <c r="E377" s="13" t="n"/>
      <c r="F377" s="13" t="n"/>
      <c r="G377" s="13" t="n"/>
      <c r="H377" s="13" t="n"/>
      <c r="I377" s="13" t="n"/>
      <c r="J377" s="13" t="n"/>
    </row>
    <row r="378">
      <c r="A378" s="13" t="n"/>
      <c r="B378" s="13" t="n"/>
      <c r="C378" s="13" t="n"/>
      <c r="D378" s="13" t="n"/>
      <c r="E378" s="13" t="n"/>
      <c r="F378" s="13" t="n"/>
      <c r="G378" s="13" t="n"/>
      <c r="H378" s="13" t="n"/>
      <c r="I378" s="13" t="n"/>
      <c r="J378" s="13" t="n"/>
    </row>
    <row r="379">
      <c r="A379" s="13" t="n"/>
      <c r="B379" s="13" t="n"/>
      <c r="C379" s="13" t="n"/>
      <c r="D379" s="13" t="n"/>
      <c r="E379" s="13" t="n"/>
      <c r="F379" s="13" t="n"/>
      <c r="G379" s="13" t="n"/>
      <c r="H379" s="13" t="n"/>
      <c r="I379" s="13" t="n"/>
      <c r="J379" s="13" t="n"/>
    </row>
    <row r="380">
      <c r="A380" s="13" t="n"/>
      <c r="B380" s="13" t="n"/>
      <c r="C380" s="13" t="n"/>
      <c r="D380" s="13" t="n"/>
      <c r="E380" s="13" t="n"/>
      <c r="F380" s="13" t="n"/>
      <c r="G380" s="13" t="n"/>
      <c r="H380" s="13" t="n"/>
      <c r="I380" s="13" t="n"/>
      <c r="J380" s="13" t="n"/>
    </row>
    <row r="381">
      <c r="A381" s="13" t="n"/>
      <c r="B381" s="13" t="n"/>
      <c r="C381" s="13" t="n"/>
      <c r="D381" s="13" t="n"/>
      <c r="E381" s="13" t="n"/>
      <c r="F381" s="13" t="n"/>
      <c r="G381" s="13" t="n"/>
      <c r="H381" s="13" t="n"/>
      <c r="I381" s="13" t="n"/>
      <c r="J381" s="13" t="n"/>
    </row>
    <row r="382">
      <c r="A382" s="13" t="n"/>
      <c r="B382" s="13" t="n"/>
      <c r="C382" s="13" t="n"/>
      <c r="D382" s="13" t="n"/>
      <c r="E382" s="13" t="n"/>
      <c r="F382" s="13" t="n"/>
      <c r="G382" s="13" t="n"/>
      <c r="H382" s="13" t="n"/>
      <c r="I382" s="13" t="n"/>
      <c r="J382" s="13" t="n"/>
    </row>
    <row r="383">
      <c r="A383" s="13" t="n"/>
      <c r="B383" s="13" t="n"/>
      <c r="C383" s="13" t="n"/>
      <c r="D383" s="13" t="n"/>
      <c r="E383" s="13" t="n"/>
      <c r="F383" s="13" t="n"/>
      <c r="G383" s="13" t="n"/>
      <c r="H383" s="13" t="n"/>
      <c r="I383" s="13" t="n"/>
      <c r="J383" s="13" t="n"/>
    </row>
    <row r="384">
      <c r="A384" s="13" t="n"/>
      <c r="B384" s="13" t="n"/>
      <c r="C384" s="13" t="n"/>
      <c r="D384" s="13" t="n"/>
      <c r="E384" s="13" t="n"/>
      <c r="F384" s="13" t="n"/>
      <c r="G384" s="13" t="n"/>
      <c r="H384" s="13" t="n"/>
      <c r="I384" s="13" t="n"/>
      <c r="J384" s="13" t="n"/>
    </row>
    <row r="385">
      <c r="A385" s="13" t="n"/>
      <c r="B385" s="13" t="n"/>
      <c r="C385" s="13" t="n"/>
      <c r="D385" s="13" t="n"/>
      <c r="E385" s="13" t="n"/>
      <c r="F385" s="13" t="n"/>
      <c r="G385" s="13" t="n"/>
      <c r="H385" s="13" t="n"/>
      <c r="I385" s="13" t="n"/>
      <c r="J385" s="13" t="n"/>
    </row>
    <row r="386">
      <c r="A386" s="13" t="n"/>
      <c r="B386" s="13" t="n"/>
      <c r="C386" s="13" t="n"/>
      <c r="D386" s="13" t="n"/>
      <c r="E386" s="13" t="n"/>
      <c r="F386" s="13" t="n"/>
      <c r="G386" s="13" t="n"/>
      <c r="H386" s="13" t="n"/>
      <c r="I386" s="13" t="n"/>
      <c r="J386" s="13" t="n"/>
    </row>
    <row r="387">
      <c r="A387" s="13" t="n"/>
      <c r="B387" s="13" t="n"/>
      <c r="C387" s="13" t="n"/>
      <c r="D387" s="13" t="n"/>
      <c r="E387" s="13" t="n"/>
      <c r="F387" s="13" t="n"/>
      <c r="G387" s="13" t="n"/>
      <c r="H387" s="13" t="n"/>
      <c r="I387" s="13" t="n"/>
      <c r="J387" s="13" t="n"/>
    </row>
    <row r="388">
      <c r="A388" s="13" t="n"/>
      <c r="B388" s="13" t="n"/>
      <c r="C388" s="13" t="n"/>
      <c r="D388" s="13" t="n"/>
      <c r="E388" s="13" t="n"/>
      <c r="F388" s="13" t="n"/>
      <c r="G388" s="13" t="n"/>
      <c r="H388" s="13" t="n"/>
      <c r="I388" s="13" t="n"/>
      <c r="J388" s="13" t="n"/>
    </row>
    <row r="389">
      <c r="A389" s="13" t="n"/>
      <c r="B389" s="13" t="n"/>
      <c r="C389" s="13" t="n"/>
      <c r="D389" s="13" t="n"/>
      <c r="E389" s="13" t="n"/>
      <c r="F389" s="13" t="n"/>
      <c r="G389" s="13" t="n"/>
      <c r="H389" s="13" t="n"/>
      <c r="I389" s="13" t="n"/>
      <c r="J389" s="13" t="n"/>
    </row>
    <row r="390">
      <c r="A390" s="13" t="n"/>
      <c r="B390" s="13" t="n"/>
      <c r="C390" s="13" t="n"/>
      <c r="D390" s="13" t="n"/>
      <c r="E390" s="13" t="n"/>
      <c r="F390" s="13" t="n"/>
      <c r="G390" s="13" t="n"/>
      <c r="H390" s="13" t="n"/>
      <c r="I390" s="13" t="n"/>
      <c r="J390" s="13" t="n"/>
    </row>
    <row r="391">
      <c r="A391" s="13" t="n"/>
      <c r="B391" s="13" t="n"/>
      <c r="C391" s="13" t="n"/>
      <c r="D391" s="13" t="n"/>
      <c r="E391" s="13" t="n"/>
      <c r="F391" s="13" t="n"/>
      <c r="G391" s="13" t="n"/>
      <c r="H391" s="13" t="n"/>
      <c r="I391" s="13" t="n"/>
      <c r="J391" s="13" t="n"/>
    </row>
    <row r="392">
      <c r="A392" s="13" t="n"/>
      <c r="B392" s="13" t="n"/>
      <c r="C392" s="13" t="n"/>
      <c r="D392" s="13" t="n"/>
      <c r="E392" s="13" t="n"/>
      <c r="F392" s="13" t="n"/>
      <c r="G392" s="13" t="n"/>
      <c r="H392" s="13" t="n"/>
      <c r="I392" s="13" t="n"/>
      <c r="J392" s="13" t="n"/>
    </row>
    <row r="393">
      <c r="A393" s="13" t="n"/>
      <c r="B393" s="13" t="n"/>
      <c r="C393" s="13" t="n"/>
      <c r="D393" s="13" t="n"/>
      <c r="E393" s="13" t="n"/>
      <c r="F393" s="13" t="n"/>
      <c r="G393" s="13" t="n"/>
      <c r="H393" s="13" t="n"/>
      <c r="I393" s="13" t="n"/>
      <c r="J393" s="13" t="n"/>
    </row>
    <row r="394">
      <c r="A394" s="13" t="n"/>
      <c r="B394" s="13" t="n"/>
      <c r="C394" s="13" t="n"/>
      <c r="D394" s="13" t="n"/>
      <c r="E394" s="13" t="n"/>
      <c r="F394" s="13" t="n"/>
      <c r="G394" s="13" t="n"/>
      <c r="H394" s="13" t="n"/>
      <c r="I394" s="13" t="n"/>
      <c r="J394" s="13" t="n"/>
    </row>
    <row r="395">
      <c r="A395" s="13" t="n"/>
      <c r="B395" s="13" t="n"/>
      <c r="C395" s="13" t="n"/>
      <c r="D395" s="13" t="n"/>
      <c r="E395" s="13" t="n"/>
      <c r="F395" s="13" t="n"/>
      <c r="G395" s="13" t="n"/>
      <c r="H395" s="13" t="n"/>
      <c r="I395" s="13" t="n"/>
      <c r="J395" s="13" t="n"/>
    </row>
    <row r="396">
      <c r="A396" s="13" t="n"/>
      <c r="B396" s="13" t="n"/>
      <c r="C396" s="13" t="n"/>
      <c r="D396" s="13" t="n"/>
      <c r="E396" s="13" t="n"/>
      <c r="F396" s="13" t="n"/>
      <c r="G396" s="13" t="n"/>
      <c r="H396" s="13" t="n"/>
      <c r="I396" s="13" t="n"/>
      <c r="J396" s="13" t="n"/>
    </row>
    <row r="397">
      <c r="A397" s="13" t="n"/>
      <c r="B397" s="13" t="n"/>
      <c r="C397" s="13" t="n"/>
      <c r="D397" s="13" t="n"/>
      <c r="E397" s="13" t="n"/>
      <c r="F397" s="13" t="n"/>
      <c r="G397" s="13" t="n"/>
      <c r="H397" s="13" t="n"/>
      <c r="I397" s="13" t="n"/>
      <c r="J397" s="13" t="n"/>
    </row>
    <row r="398">
      <c r="A398" s="13" t="n"/>
      <c r="B398" s="13" t="n"/>
      <c r="C398" s="13" t="n"/>
      <c r="D398" s="13" t="n"/>
      <c r="E398" s="13" t="n"/>
      <c r="F398" s="13" t="n"/>
      <c r="G398" s="13" t="n"/>
      <c r="H398" s="13" t="n"/>
      <c r="I398" s="13" t="n"/>
      <c r="J398" s="13" t="n"/>
    </row>
    <row r="399">
      <c r="A399" s="13" t="n"/>
      <c r="B399" s="13" t="n"/>
      <c r="C399" s="13" t="n"/>
      <c r="D399" s="13" t="n"/>
      <c r="E399" s="13" t="n"/>
      <c r="F399" s="13" t="n"/>
      <c r="G399" s="13" t="n"/>
      <c r="H399" s="13" t="n"/>
      <c r="I399" s="13" t="n"/>
      <c r="J399" s="13" t="n"/>
    </row>
    <row r="400">
      <c r="A400" s="13" t="n"/>
      <c r="B400" s="13" t="n"/>
      <c r="C400" s="13" t="n"/>
      <c r="D400" s="13" t="n"/>
      <c r="E400" s="13" t="n"/>
      <c r="F400" s="13" t="n"/>
      <c r="G400" s="13" t="n"/>
      <c r="H400" s="13" t="n"/>
      <c r="I400" s="13" t="n"/>
      <c r="J400" s="13" t="n"/>
    </row>
    <row r="401">
      <c r="A401" s="13" t="n"/>
      <c r="B401" s="13" t="n"/>
      <c r="C401" s="13" t="n"/>
      <c r="D401" s="13" t="n"/>
      <c r="E401" s="13" t="n"/>
      <c r="F401" s="13" t="n"/>
      <c r="G401" s="13" t="n"/>
      <c r="H401" s="13" t="n"/>
      <c r="I401" s="13" t="n"/>
      <c r="J401" s="13" t="n"/>
    </row>
    <row r="402">
      <c r="A402" s="13" t="n"/>
      <c r="B402" s="13" t="n"/>
      <c r="C402" s="13" t="n"/>
      <c r="D402" s="13" t="n"/>
      <c r="E402" s="13" t="n"/>
      <c r="F402" s="13" t="n"/>
      <c r="G402" s="13" t="n"/>
      <c r="H402" s="13" t="n"/>
      <c r="I402" s="13" t="n"/>
      <c r="J402" s="13" t="n"/>
    </row>
    <row r="403">
      <c r="A403" s="13" t="n"/>
      <c r="B403" s="13" t="n"/>
      <c r="C403" s="13" t="n"/>
      <c r="D403" s="13" t="n"/>
      <c r="E403" s="13" t="n"/>
      <c r="F403" s="13" t="n"/>
      <c r="G403" s="13" t="n"/>
      <c r="H403" s="13" t="n"/>
      <c r="I403" s="13" t="n"/>
      <c r="J403" s="13" t="n"/>
    </row>
    <row r="404">
      <c r="A404" s="13" t="n"/>
      <c r="B404" s="13" t="n"/>
      <c r="C404" s="13" t="n"/>
      <c r="D404" s="13" t="n"/>
      <c r="E404" s="13" t="n"/>
      <c r="F404" s="13" t="n"/>
      <c r="G404" s="13" t="n"/>
      <c r="H404" s="13" t="n"/>
      <c r="I404" s="13" t="n"/>
      <c r="J404" s="13" t="n"/>
    </row>
    <row r="405">
      <c r="A405" s="13" t="n"/>
      <c r="B405" s="13" t="n"/>
      <c r="C405" s="13" t="n"/>
      <c r="D405" s="13" t="n"/>
      <c r="E405" s="13" t="n"/>
      <c r="F405" s="13" t="n"/>
      <c r="G405" s="13" t="n"/>
      <c r="H405" s="13" t="n"/>
      <c r="I405" s="13" t="n"/>
      <c r="J405" s="13" t="n"/>
    </row>
    <row r="406">
      <c r="A406" s="13" t="n"/>
      <c r="B406" s="13" t="n"/>
      <c r="C406" s="13" t="n"/>
      <c r="D406" s="13" t="n"/>
      <c r="E406" s="13" t="n"/>
      <c r="F406" s="13" t="n"/>
      <c r="G406" s="13" t="n"/>
      <c r="H406" s="13" t="n"/>
      <c r="I406" s="13" t="n"/>
      <c r="J406" s="13" t="n"/>
    </row>
    <row r="407">
      <c r="A407" s="13" t="n"/>
      <c r="B407" s="13" t="n"/>
      <c r="C407" s="13" t="n"/>
      <c r="D407" s="13" t="n"/>
      <c r="E407" s="13" t="n"/>
      <c r="F407" s="13" t="n"/>
      <c r="G407" s="13" t="n"/>
      <c r="H407" s="13" t="n"/>
      <c r="I407" s="13" t="n"/>
      <c r="J407" s="13" t="n"/>
    </row>
    <row r="408">
      <c r="A408" s="13" t="n"/>
      <c r="B408" s="13" t="n"/>
      <c r="C408" s="13" t="n"/>
      <c r="D408" s="13" t="n"/>
      <c r="E408" s="13" t="n"/>
      <c r="F408" s="13" t="n"/>
      <c r="G408" s="13" t="n"/>
      <c r="H408" s="13" t="n"/>
      <c r="I408" s="13" t="n"/>
      <c r="J408" s="13" t="n"/>
    </row>
    <row r="409">
      <c r="A409" s="13" t="n"/>
      <c r="B409" s="13" t="n"/>
      <c r="C409" s="13" t="n"/>
      <c r="D409" s="13" t="n"/>
      <c r="E409" s="13" t="n"/>
      <c r="F409" s="13" t="n"/>
      <c r="G409" s="13" t="n"/>
      <c r="H409" s="13" t="n"/>
      <c r="I409" s="13" t="n"/>
      <c r="J409" s="13" t="n"/>
    </row>
    <row r="410">
      <c r="A410" s="13" t="n"/>
      <c r="B410" s="13" t="n"/>
      <c r="C410" s="13" t="n"/>
      <c r="D410" s="13" t="n"/>
      <c r="E410" s="13" t="n"/>
      <c r="F410" s="13" t="n"/>
      <c r="G410" s="13" t="n"/>
      <c r="H410" s="13" t="n"/>
      <c r="I410" s="13" t="n"/>
      <c r="J410" s="13" t="n"/>
    </row>
    <row r="411">
      <c r="A411" s="13" t="n"/>
      <c r="B411" s="13" t="n"/>
      <c r="C411" s="13" t="n"/>
      <c r="D411" s="13" t="n"/>
      <c r="E411" s="13" t="n"/>
      <c r="F411" s="13" t="n"/>
      <c r="G411" s="13" t="n"/>
      <c r="H411" s="13" t="n"/>
      <c r="I411" s="13" t="n"/>
      <c r="J411" s="13" t="n"/>
    </row>
    <row r="412">
      <c r="A412" s="13" t="n"/>
      <c r="B412" s="13" t="n"/>
      <c r="C412" s="13" t="n"/>
      <c r="D412" s="13" t="n"/>
      <c r="E412" s="13" t="n"/>
      <c r="F412" s="13" t="n"/>
      <c r="G412" s="13" t="n"/>
      <c r="H412" s="13" t="n"/>
      <c r="I412" s="13" t="n"/>
      <c r="J412" s="13" t="n"/>
    </row>
    <row r="413">
      <c r="A413" s="13" t="n"/>
      <c r="B413" s="13" t="n"/>
      <c r="C413" s="13" t="n"/>
      <c r="D413" s="13" t="n"/>
      <c r="E413" s="13" t="n"/>
      <c r="F413" s="13" t="n"/>
      <c r="G413" s="13" t="n"/>
      <c r="H413" s="13" t="n"/>
      <c r="I413" s="13" t="n"/>
      <c r="J413" s="13" t="n"/>
    </row>
    <row r="414">
      <c r="A414" s="13" t="n"/>
      <c r="B414" s="13" t="n"/>
      <c r="C414" s="13" t="n"/>
      <c r="D414" s="13" t="n"/>
      <c r="E414" s="13" t="n"/>
      <c r="F414" s="13" t="n"/>
      <c r="G414" s="13" t="n"/>
      <c r="H414" s="13" t="n"/>
      <c r="I414" s="13" t="n"/>
      <c r="J414" s="13" t="n"/>
    </row>
    <row r="415">
      <c r="A415" s="13" t="n"/>
      <c r="B415" s="13" t="n"/>
      <c r="C415" s="13" t="n"/>
      <c r="D415" s="13" t="n"/>
      <c r="E415" s="13" t="n"/>
      <c r="F415" s="13" t="n"/>
      <c r="G415" s="13" t="n"/>
      <c r="H415" s="13" t="n"/>
      <c r="I415" s="13" t="n"/>
      <c r="J415" s="13" t="n"/>
    </row>
    <row r="416">
      <c r="A416" s="13" t="n"/>
      <c r="B416" s="13" t="n"/>
      <c r="C416" s="13" t="n"/>
      <c r="D416" s="13" t="n"/>
      <c r="E416" s="13" t="n"/>
      <c r="F416" s="13" t="n"/>
      <c r="G416" s="13" t="n"/>
      <c r="H416" s="13" t="n"/>
      <c r="I416" s="13" t="n"/>
      <c r="J416" s="13" t="n"/>
    </row>
    <row r="417">
      <c r="A417" s="13" t="n"/>
      <c r="B417" s="13" t="n"/>
      <c r="C417" s="13" t="n"/>
      <c r="D417" s="13" t="n"/>
      <c r="E417" s="13" t="n"/>
      <c r="F417" s="13" t="n"/>
      <c r="G417" s="13" t="n"/>
      <c r="H417" s="13" t="n"/>
      <c r="I417" s="13" t="n"/>
      <c r="J417" s="13" t="n"/>
    </row>
    <row r="418">
      <c r="A418" s="13" t="n"/>
      <c r="B418" s="13" t="n"/>
      <c r="C418" s="13" t="n"/>
      <c r="D418" s="13" t="n"/>
      <c r="E418" s="13" t="n"/>
      <c r="F418" s="13" t="n"/>
      <c r="G418" s="13" t="n"/>
      <c r="H418" s="13" t="n"/>
      <c r="I418" s="13" t="n"/>
      <c r="J418" s="13" t="n"/>
    </row>
    <row r="419">
      <c r="A419" s="13" t="n"/>
      <c r="B419" s="13" t="n"/>
      <c r="C419" s="13" t="n"/>
      <c r="D419" s="13" t="n"/>
      <c r="E419" s="13" t="n"/>
      <c r="F419" s="13" t="n"/>
      <c r="G419" s="13" t="n"/>
      <c r="H419" s="13" t="n"/>
      <c r="I419" s="13" t="n"/>
      <c r="J419" s="13" t="n"/>
    </row>
    <row r="420">
      <c r="A420" s="13" t="n"/>
      <c r="B420" s="13" t="n"/>
      <c r="C420" s="13" t="n"/>
      <c r="D420" s="13" t="n"/>
      <c r="E420" s="13" t="n"/>
      <c r="F420" s="13" t="n"/>
      <c r="G420" s="13" t="n"/>
      <c r="H420" s="13" t="n"/>
      <c r="I420" s="13" t="n"/>
      <c r="J420" s="13" t="n"/>
    </row>
    <row r="421">
      <c r="A421" s="13" t="n"/>
      <c r="B421" s="13" t="n"/>
      <c r="C421" s="13" t="n"/>
      <c r="D421" s="13" t="n"/>
      <c r="E421" s="13" t="n"/>
      <c r="F421" s="13" t="n"/>
      <c r="G421" s="13" t="n"/>
      <c r="H421" s="13" t="n"/>
      <c r="I421" s="13" t="n"/>
      <c r="J421" s="13" t="n"/>
    </row>
    <row r="422">
      <c r="A422" s="13" t="n"/>
      <c r="B422" s="13" t="n"/>
      <c r="C422" s="13" t="n"/>
      <c r="D422" s="13" t="n"/>
      <c r="E422" s="13" t="n"/>
      <c r="F422" s="13" t="n"/>
      <c r="G422" s="13" t="n"/>
      <c r="H422" s="13" t="n"/>
      <c r="I422" s="13" t="n"/>
      <c r="J422" s="13" t="n"/>
    </row>
    <row r="423">
      <c r="A423" s="13" t="n"/>
      <c r="B423" s="13" t="n"/>
      <c r="C423" s="13" t="n"/>
      <c r="D423" s="13" t="n"/>
      <c r="E423" s="13" t="n"/>
      <c r="F423" s="13" t="n"/>
      <c r="G423" s="13" t="n"/>
      <c r="H423" s="13" t="n"/>
      <c r="I423" s="13" t="n"/>
      <c r="J423" s="13" t="n"/>
    </row>
    <row r="424">
      <c r="A424" s="13" t="n"/>
      <c r="B424" s="13" t="n"/>
      <c r="C424" s="13" t="n"/>
      <c r="D424" s="13" t="n"/>
      <c r="E424" s="13" t="n"/>
      <c r="F424" s="13" t="n"/>
      <c r="G424" s="13" t="n"/>
      <c r="H424" s="13" t="n"/>
      <c r="I424" s="13" t="n"/>
      <c r="J424" s="13" t="n"/>
    </row>
    <row r="425">
      <c r="A425" s="13" t="n"/>
      <c r="B425" s="13" t="n"/>
      <c r="C425" s="13" t="n"/>
      <c r="D425" s="13" t="n"/>
      <c r="E425" s="13" t="n"/>
      <c r="F425" s="13" t="n"/>
      <c r="G425" s="13" t="n"/>
      <c r="H425" s="13" t="n"/>
      <c r="I425" s="13" t="n"/>
      <c r="J425" s="13" t="n"/>
    </row>
    <row r="426">
      <c r="A426" s="13" t="n"/>
      <c r="B426" s="13" t="n"/>
      <c r="C426" s="13" t="n"/>
      <c r="D426" s="13" t="n"/>
      <c r="E426" s="13" t="n"/>
      <c r="F426" s="13" t="n"/>
      <c r="G426" s="13" t="n"/>
      <c r="H426" s="13" t="n"/>
      <c r="I426" s="13" t="n"/>
      <c r="J426" s="13" t="n"/>
    </row>
    <row r="427">
      <c r="A427" s="13" t="n"/>
      <c r="B427" s="13" t="n"/>
      <c r="C427" s="13" t="n"/>
      <c r="D427" s="13" t="n"/>
      <c r="E427" s="13" t="n"/>
      <c r="F427" s="13" t="n"/>
      <c r="G427" s="13" t="n"/>
      <c r="H427" s="13" t="n"/>
      <c r="I427" s="13" t="n"/>
      <c r="J427" s="13" t="n"/>
    </row>
    <row r="428">
      <c r="A428" s="13" t="n"/>
      <c r="B428" s="13" t="n"/>
      <c r="C428" s="13" t="n"/>
      <c r="D428" s="13" t="n"/>
      <c r="E428" s="13" t="n"/>
      <c r="F428" s="13" t="n"/>
      <c r="G428" s="13" t="n"/>
      <c r="H428" s="13" t="n"/>
      <c r="I428" s="13" t="n"/>
      <c r="J428" s="13" t="n"/>
    </row>
    <row r="429">
      <c r="A429" s="13" t="n"/>
      <c r="B429" s="13" t="n"/>
      <c r="C429" s="13" t="n"/>
      <c r="D429" s="13" t="n"/>
      <c r="E429" s="13" t="n"/>
      <c r="F429" s="13" t="n"/>
      <c r="G429" s="13" t="n"/>
      <c r="H429" s="13" t="n"/>
      <c r="I429" s="13" t="n"/>
      <c r="J429" s="13" t="n"/>
    </row>
    <row r="430">
      <c r="A430" s="13" t="n"/>
      <c r="B430" s="13" t="n"/>
      <c r="C430" s="13" t="n"/>
      <c r="D430" s="13" t="n"/>
      <c r="E430" s="13" t="n"/>
      <c r="F430" s="13" t="n"/>
      <c r="G430" s="13" t="n"/>
      <c r="H430" s="13" t="n"/>
      <c r="I430" s="13" t="n"/>
      <c r="J430" s="13" t="n"/>
    </row>
    <row r="431">
      <c r="A431" s="13" t="n"/>
      <c r="B431" s="13" t="n"/>
      <c r="C431" s="13" t="n"/>
      <c r="D431" s="13" t="n"/>
      <c r="E431" s="13" t="n"/>
      <c r="F431" s="13" t="n"/>
      <c r="G431" s="13" t="n"/>
      <c r="H431" s="13" t="n"/>
      <c r="I431" s="13" t="n"/>
      <c r="J431" s="13" t="n"/>
    </row>
    <row r="432">
      <c r="A432" s="13" t="n"/>
      <c r="B432" s="13" t="n"/>
      <c r="C432" s="13" t="n"/>
      <c r="D432" s="13" t="n"/>
      <c r="E432" s="13" t="n"/>
      <c r="F432" s="13" t="n"/>
      <c r="G432" s="13" t="n"/>
      <c r="H432" s="13" t="n"/>
      <c r="I432" s="13" t="n"/>
      <c r="J432" s="13" t="n"/>
    </row>
    <row r="433">
      <c r="A433" s="13" t="n"/>
      <c r="B433" s="13" t="n"/>
      <c r="C433" s="13" t="n"/>
      <c r="D433" s="13" t="n"/>
      <c r="E433" s="13" t="n"/>
      <c r="F433" s="13" t="n"/>
      <c r="G433" s="13" t="n"/>
      <c r="H433" s="13" t="n"/>
      <c r="I433" s="13" t="n"/>
      <c r="J433" s="13" t="n"/>
    </row>
    <row r="434">
      <c r="A434" s="13" t="n"/>
      <c r="B434" s="13" t="n"/>
      <c r="C434" s="13" t="n"/>
      <c r="D434" s="13" t="n"/>
      <c r="E434" s="13" t="n"/>
      <c r="F434" s="13" t="n"/>
      <c r="G434" s="13" t="n"/>
      <c r="H434" s="13" t="n"/>
      <c r="I434" s="13" t="n"/>
      <c r="J434" s="13" t="n"/>
    </row>
    <row r="435">
      <c r="A435" s="13" t="n"/>
      <c r="B435" s="13" t="n"/>
      <c r="C435" s="13" t="n"/>
      <c r="D435" s="13" t="n"/>
      <c r="E435" s="13" t="n"/>
      <c r="F435" s="13" t="n"/>
      <c r="G435" s="13" t="n"/>
      <c r="H435" s="13" t="n"/>
      <c r="I435" s="13" t="n"/>
      <c r="J435" s="13" t="n"/>
    </row>
    <row r="436">
      <c r="A436" s="13" t="n"/>
      <c r="B436" s="13" t="n"/>
      <c r="C436" s="13" t="n"/>
      <c r="D436" s="13" t="n"/>
      <c r="E436" s="13" t="n"/>
      <c r="F436" s="13" t="n"/>
      <c r="G436" s="13" t="n"/>
      <c r="H436" s="13" t="n"/>
      <c r="I436" s="13" t="n"/>
      <c r="J436" s="13" t="n"/>
    </row>
    <row r="437">
      <c r="A437" s="13" t="n"/>
      <c r="B437" s="13" t="n"/>
      <c r="C437" s="13" t="n"/>
      <c r="D437" s="13" t="n"/>
      <c r="E437" s="13" t="n"/>
      <c r="F437" s="13" t="n"/>
      <c r="G437" s="13" t="n"/>
      <c r="H437" s="13" t="n"/>
      <c r="I437" s="13" t="n"/>
      <c r="J437" s="13" t="n"/>
    </row>
    <row r="438">
      <c r="A438" s="13" t="n"/>
      <c r="B438" s="13" t="n"/>
      <c r="C438" s="13" t="n"/>
      <c r="D438" s="13" t="n"/>
      <c r="E438" s="13" t="n"/>
      <c r="F438" s="13" t="n"/>
      <c r="G438" s="13" t="n"/>
      <c r="H438" s="13" t="n"/>
      <c r="I438" s="13" t="n"/>
      <c r="J438" s="13" t="n"/>
    </row>
    <row r="439">
      <c r="A439" s="13" t="n"/>
      <c r="B439" s="13" t="n"/>
      <c r="C439" s="13" t="n"/>
      <c r="D439" s="13" t="n"/>
      <c r="E439" s="13" t="n"/>
      <c r="F439" s="13" t="n"/>
      <c r="G439" s="13" t="n"/>
      <c r="H439" s="13" t="n"/>
      <c r="I439" s="13" t="n"/>
      <c r="J439" s="13" t="n"/>
    </row>
    <row r="440">
      <c r="A440" s="13" t="n"/>
      <c r="B440" s="13" t="n"/>
      <c r="C440" s="13" t="n"/>
      <c r="D440" s="13" t="n"/>
      <c r="E440" s="13" t="n"/>
      <c r="F440" s="13" t="n"/>
      <c r="G440" s="13" t="n"/>
      <c r="H440" s="13" t="n"/>
      <c r="I440" s="13" t="n"/>
      <c r="J440" s="13" t="n"/>
    </row>
    <row r="441">
      <c r="A441" s="13" t="n"/>
      <c r="B441" s="13" t="n"/>
      <c r="C441" s="13" t="n"/>
      <c r="D441" s="13" t="n"/>
      <c r="E441" s="13" t="n"/>
      <c r="F441" s="13" t="n"/>
      <c r="G441" s="13" t="n"/>
      <c r="H441" s="13" t="n"/>
      <c r="I441" s="13" t="n"/>
      <c r="J441" s="13" t="n"/>
    </row>
    <row r="442">
      <c r="A442" s="13" t="n"/>
      <c r="B442" s="13" t="n"/>
      <c r="C442" s="13" t="n"/>
      <c r="D442" s="13" t="n"/>
      <c r="E442" s="13" t="n"/>
      <c r="F442" s="13" t="n"/>
      <c r="G442" s="13" t="n"/>
      <c r="H442" s="13" t="n"/>
      <c r="I442" s="13" t="n"/>
      <c r="J442" s="13" t="n"/>
    </row>
    <row r="443">
      <c r="A443" s="13" t="n"/>
      <c r="B443" s="13" t="n"/>
      <c r="C443" s="13" t="n"/>
      <c r="D443" s="13" t="n"/>
      <c r="E443" s="13" t="n"/>
      <c r="F443" s="13" t="n"/>
      <c r="G443" s="13" t="n"/>
      <c r="H443" s="13" t="n"/>
      <c r="I443" s="13" t="n"/>
      <c r="J443" s="13" t="n"/>
    </row>
    <row r="444">
      <c r="A444" s="13" t="n"/>
      <c r="B444" s="13" t="n"/>
      <c r="C444" s="13" t="n"/>
      <c r="D444" s="13" t="n"/>
      <c r="E444" s="13" t="n"/>
      <c r="F444" s="13" t="n"/>
      <c r="G444" s="13" t="n"/>
      <c r="H444" s="13" t="n"/>
      <c r="I444" s="13" t="n"/>
      <c r="J444" s="13" t="n"/>
    </row>
    <row r="445">
      <c r="A445" s="13" t="n"/>
      <c r="B445" s="13" t="n"/>
      <c r="C445" s="13" t="n"/>
      <c r="D445" s="13" t="n"/>
      <c r="E445" s="13" t="n"/>
      <c r="F445" s="13" t="n"/>
      <c r="G445" s="13" t="n"/>
      <c r="H445" s="13" t="n"/>
      <c r="I445" s="13" t="n"/>
      <c r="J445" s="13" t="n"/>
    </row>
    <row r="446">
      <c r="A446" s="13" t="n"/>
      <c r="B446" s="13" t="n"/>
      <c r="C446" s="13" t="n"/>
      <c r="D446" s="13" t="n"/>
      <c r="E446" s="13" t="n"/>
      <c r="F446" s="13" t="n"/>
      <c r="G446" s="13" t="n"/>
      <c r="H446" s="13" t="n"/>
      <c r="I446" s="13" t="n"/>
      <c r="J446" s="13" t="n"/>
    </row>
    <row r="447">
      <c r="A447" s="13" t="n"/>
      <c r="B447" s="13" t="n"/>
      <c r="C447" s="13" t="n"/>
      <c r="D447" s="13" t="n"/>
      <c r="E447" s="13" t="n"/>
      <c r="F447" s="13" t="n"/>
      <c r="G447" s="13" t="n"/>
      <c r="H447" s="13" t="n"/>
      <c r="I447" s="13" t="n"/>
      <c r="J447" s="13" t="n"/>
    </row>
    <row r="448">
      <c r="A448" s="13" t="n"/>
      <c r="B448" s="13" t="n"/>
      <c r="C448" s="13" t="n"/>
      <c r="D448" s="13" t="n"/>
      <c r="E448" s="13" t="n"/>
      <c r="F448" s="13" t="n"/>
      <c r="G448" s="13" t="n"/>
      <c r="H448" s="13" t="n"/>
      <c r="I448" s="13" t="n"/>
      <c r="J448" s="13" t="n"/>
    </row>
    <row r="449">
      <c r="A449" s="13" t="n"/>
      <c r="B449" s="13" t="n"/>
      <c r="C449" s="13" t="n"/>
      <c r="D449" s="13" t="n"/>
      <c r="E449" s="13" t="n"/>
      <c r="F449" s="13" t="n"/>
      <c r="G449" s="13" t="n"/>
      <c r="H449" s="13" t="n"/>
      <c r="I449" s="13" t="n"/>
      <c r="J449" s="13" t="n"/>
    </row>
    <row r="450">
      <c r="A450" s="13" t="n"/>
      <c r="B450" s="13" t="n"/>
      <c r="C450" s="13" t="n"/>
      <c r="D450" s="13" t="n"/>
      <c r="E450" s="13" t="n"/>
      <c r="F450" s="13" t="n"/>
      <c r="G450" s="13" t="n"/>
      <c r="H450" s="13" t="n"/>
      <c r="I450" s="13" t="n"/>
      <c r="J450" s="13" t="n"/>
    </row>
    <row r="451">
      <c r="A451" s="13" t="n"/>
      <c r="B451" s="13" t="n"/>
      <c r="C451" s="13" t="n"/>
      <c r="D451" s="13" t="n"/>
      <c r="E451" s="13" t="n"/>
      <c r="F451" s="13" t="n"/>
      <c r="G451" s="13" t="n"/>
      <c r="H451" s="13" t="n"/>
      <c r="I451" s="13" t="n"/>
      <c r="J451" s="13" t="n"/>
    </row>
    <row r="452">
      <c r="A452" s="13" t="n"/>
      <c r="B452" s="13" t="n"/>
      <c r="C452" s="13" t="n"/>
      <c r="D452" s="13" t="n"/>
      <c r="E452" s="13" t="n"/>
      <c r="F452" s="13" t="n"/>
      <c r="G452" s="13" t="n"/>
      <c r="H452" s="13" t="n"/>
      <c r="I452" s="13" t="n"/>
      <c r="J452" s="13" t="n"/>
    </row>
    <row r="453">
      <c r="A453" s="13" t="n"/>
      <c r="B453" s="13" t="n"/>
      <c r="C453" s="13" t="n"/>
      <c r="D453" s="13" t="n"/>
      <c r="E453" s="13" t="n"/>
      <c r="F453" s="13" t="n"/>
      <c r="G453" s="13" t="n"/>
      <c r="H453" s="13" t="n"/>
      <c r="I453" s="13" t="n"/>
      <c r="J453" s="13" t="n"/>
    </row>
    <row r="454">
      <c r="A454" s="13" t="n"/>
      <c r="B454" s="13" t="n"/>
      <c r="C454" s="13" t="n"/>
      <c r="D454" s="13" t="n"/>
      <c r="E454" s="13" t="n"/>
      <c r="F454" s="13" t="n"/>
      <c r="G454" s="13" t="n"/>
      <c r="H454" s="13" t="n"/>
      <c r="I454" s="13" t="n"/>
      <c r="J454" s="13" t="n"/>
    </row>
    <row r="455">
      <c r="A455" s="13" t="n"/>
      <c r="B455" s="13" t="n"/>
      <c r="C455" s="13" t="n"/>
      <c r="D455" s="13" t="n"/>
      <c r="E455" s="13" t="n"/>
      <c r="F455" s="13" t="n"/>
      <c r="G455" s="13" t="n"/>
      <c r="H455" s="13" t="n"/>
      <c r="I455" s="13" t="n"/>
      <c r="J455" s="13" t="n"/>
    </row>
    <row r="456">
      <c r="A456" s="13" t="n"/>
      <c r="B456" s="13" t="n"/>
      <c r="C456" s="13" t="n"/>
      <c r="D456" s="13" t="n"/>
      <c r="E456" s="13" t="n"/>
      <c r="F456" s="13" t="n"/>
      <c r="G456" s="13" t="n"/>
      <c r="H456" s="13" t="n"/>
      <c r="I456" s="13" t="n"/>
      <c r="J456" s="13" t="n"/>
    </row>
    <row r="457">
      <c r="A457" s="13" t="n"/>
      <c r="B457" s="13" t="n"/>
      <c r="C457" s="13" t="n"/>
      <c r="D457" s="13" t="n"/>
      <c r="E457" s="13" t="n"/>
      <c r="F457" s="13" t="n"/>
      <c r="G457" s="13" t="n"/>
      <c r="H457" s="13" t="n"/>
      <c r="I457" s="13" t="n"/>
      <c r="J457" s="13" t="n"/>
    </row>
    <row r="458">
      <c r="A458" s="13" t="n"/>
      <c r="B458" s="13" t="n"/>
      <c r="C458" s="13" t="n"/>
      <c r="D458" s="13" t="n"/>
      <c r="E458" s="13" t="n"/>
      <c r="F458" s="13" t="n"/>
      <c r="G458" s="13" t="n"/>
      <c r="H458" s="13" t="n"/>
      <c r="I458" s="13" t="n"/>
      <c r="J458" s="13" t="n"/>
    </row>
    <row r="459">
      <c r="A459" s="13" t="n"/>
      <c r="B459" s="13" t="n"/>
      <c r="C459" s="13" t="n"/>
      <c r="D459" s="13" t="n"/>
      <c r="E459" s="13" t="n"/>
      <c r="F459" s="13" t="n"/>
      <c r="G459" s="13" t="n"/>
      <c r="H459" s="13" t="n"/>
      <c r="I459" s="13" t="n"/>
      <c r="J459" s="13" t="n"/>
    </row>
    <row r="460">
      <c r="A460" s="13" t="n"/>
      <c r="B460" s="13" t="n"/>
      <c r="C460" s="13" t="n"/>
      <c r="D460" s="13" t="n"/>
      <c r="E460" s="13" t="n"/>
      <c r="F460" s="13" t="n"/>
      <c r="G460" s="13" t="n"/>
      <c r="H460" s="13" t="n"/>
      <c r="I460" s="13" t="n"/>
      <c r="J460" s="13" t="n"/>
    </row>
    <row r="461">
      <c r="A461" s="13" t="n"/>
      <c r="B461" s="13" t="n"/>
      <c r="C461" s="13" t="n"/>
      <c r="D461" s="13" t="n"/>
      <c r="E461" s="13" t="n"/>
      <c r="F461" s="13" t="n"/>
      <c r="G461" s="13" t="n"/>
      <c r="H461" s="13" t="n"/>
      <c r="I461" s="13" t="n"/>
      <c r="J461" s="13" t="n"/>
    </row>
    <row r="462">
      <c r="A462" s="13" t="n"/>
      <c r="B462" s="13" t="n"/>
      <c r="C462" s="13" t="n"/>
      <c r="D462" s="13" t="n"/>
      <c r="E462" s="13" t="n"/>
      <c r="F462" s="13" t="n"/>
      <c r="G462" s="13" t="n"/>
      <c r="H462" s="13" t="n"/>
      <c r="I462" s="13" t="n"/>
      <c r="J462" s="13" t="n"/>
    </row>
    <row r="463">
      <c r="A463" s="13" t="n"/>
      <c r="B463" s="13" t="n"/>
      <c r="C463" s="13" t="n"/>
      <c r="D463" s="13" t="n"/>
      <c r="E463" s="13" t="n"/>
      <c r="F463" s="13" t="n"/>
      <c r="G463" s="13" t="n"/>
      <c r="H463" s="13" t="n"/>
      <c r="I463" s="13" t="n"/>
      <c r="J463" s="13" t="n"/>
    </row>
    <row r="464">
      <c r="A464" s="13" t="n"/>
      <c r="B464" s="13" t="n"/>
      <c r="C464" s="13" t="n"/>
      <c r="D464" s="13" t="n"/>
      <c r="E464" s="13" t="n"/>
      <c r="F464" s="13" t="n"/>
      <c r="G464" s="13" t="n"/>
      <c r="H464" s="13" t="n"/>
      <c r="I464" s="13" t="n"/>
      <c r="J464" s="13" t="n"/>
    </row>
    <row r="465">
      <c r="A465" s="13" t="n"/>
      <c r="B465" s="13" t="n"/>
      <c r="C465" s="13" t="n"/>
      <c r="D465" s="13" t="n"/>
      <c r="E465" s="13" t="n"/>
      <c r="F465" s="13" t="n"/>
      <c r="G465" s="13" t="n"/>
      <c r="H465" s="13" t="n"/>
      <c r="I465" s="13" t="n"/>
      <c r="J465" s="13" t="n"/>
    </row>
    <row r="466">
      <c r="A466" s="13" t="n"/>
      <c r="B466" s="13" t="n"/>
      <c r="C466" s="13" t="n"/>
      <c r="D466" s="13" t="n"/>
      <c r="E466" s="13" t="n"/>
      <c r="F466" s="13" t="n"/>
      <c r="G466" s="13" t="n"/>
      <c r="H466" s="13" t="n"/>
      <c r="I466" s="13" t="n"/>
      <c r="J466" s="13" t="n"/>
    </row>
    <row r="467">
      <c r="A467" s="13" t="n"/>
      <c r="B467" s="13" t="n"/>
      <c r="C467" s="13" t="n"/>
      <c r="D467" s="13" t="n"/>
      <c r="E467" s="13" t="n"/>
      <c r="F467" s="13" t="n"/>
      <c r="G467" s="13" t="n"/>
      <c r="H467" s="13" t="n"/>
      <c r="I467" s="13" t="n"/>
      <c r="J467" s="13" t="n"/>
    </row>
    <row r="468">
      <c r="A468" s="13" t="n"/>
      <c r="B468" s="13" t="n"/>
      <c r="C468" s="13" t="n"/>
      <c r="D468" s="13" t="n"/>
      <c r="E468" s="13" t="n"/>
      <c r="F468" s="13" t="n"/>
      <c r="G468" s="13" t="n"/>
      <c r="H468" s="13" t="n"/>
      <c r="I468" s="13" t="n"/>
      <c r="J468" s="13" t="n"/>
    </row>
    <row r="469">
      <c r="A469" s="13" t="n"/>
      <c r="B469" s="13" t="n"/>
      <c r="C469" s="13" t="n"/>
      <c r="D469" s="13" t="n"/>
      <c r="E469" s="13" t="n"/>
      <c r="F469" s="13" t="n"/>
      <c r="G469" s="13" t="n"/>
      <c r="H469" s="13" t="n"/>
      <c r="I469" s="13" t="n"/>
      <c r="J469" s="13" t="n"/>
    </row>
    <row r="470">
      <c r="A470" s="13" t="n"/>
      <c r="B470" s="13" t="n"/>
      <c r="C470" s="13" t="n"/>
      <c r="D470" s="13" t="n"/>
      <c r="E470" s="13" t="n"/>
      <c r="F470" s="13" t="n"/>
      <c r="G470" s="13" t="n"/>
      <c r="H470" s="13" t="n"/>
      <c r="I470" s="13" t="n"/>
      <c r="J470" s="13" t="n"/>
    </row>
    <row r="471">
      <c r="A471" s="13" t="n"/>
      <c r="B471" s="13" t="n"/>
      <c r="C471" s="13" t="n"/>
      <c r="D471" s="13" t="n"/>
      <c r="E471" s="13" t="n"/>
      <c r="F471" s="13" t="n"/>
      <c r="G471" s="13" t="n"/>
      <c r="H471" s="13" t="n"/>
      <c r="I471" s="13" t="n"/>
      <c r="J471" s="13" t="n"/>
    </row>
    <row r="472">
      <c r="A472" s="13" t="n"/>
      <c r="B472" s="13" t="n"/>
      <c r="C472" s="13" t="n"/>
      <c r="D472" s="13" t="n"/>
      <c r="E472" s="13" t="n"/>
      <c r="F472" s="13" t="n"/>
      <c r="G472" s="13" t="n"/>
      <c r="H472" s="13" t="n"/>
      <c r="I472" s="13" t="n"/>
      <c r="J472" s="13" t="n"/>
    </row>
    <row r="473">
      <c r="A473" s="13" t="n"/>
      <c r="B473" s="13" t="n"/>
      <c r="C473" s="13" t="n"/>
      <c r="D473" s="13" t="n"/>
      <c r="E473" s="13" t="n"/>
      <c r="F473" s="13" t="n"/>
      <c r="G473" s="13" t="n"/>
      <c r="H473" s="13" t="n"/>
      <c r="I473" s="13" t="n"/>
      <c r="J473" s="13" t="n"/>
    </row>
    <row r="474">
      <c r="A474" s="13" t="n"/>
      <c r="B474" s="13" t="n"/>
      <c r="C474" s="13" t="n"/>
      <c r="D474" s="13" t="n"/>
      <c r="E474" s="13" t="n"/>
      <c r="F474" s="13" t="n"/>
      <c r="G474" s="13" t="n"/>
      <c r="H474" s="13" t="n"/>
      <c r="I474" s="13" t="n"/>
      <c r="J474" s="13" t="n"/>
    </row>
    <row r="475">
      <c r="A475" s="13" t="n"/>
      <c r="B475" s="13" t="n"/>
      <c r="C475" s="13" t="n"/>
      <c r="D475" s="13" t="n"/>
      <c r="E475" s="13" t="n"/>
      <c r="F475" s="13" t="n"/>
      <c r="G475" s="13" t="n"/>
      <c r="H475" s="13" t="n"/>
      <c r="I475" s="13" t="n"/>
      <c r="J475" s="13" t="n"/>
    </row>
    <row r="476">
      <c r="A476" s="13" t="n"/>
      <c r="B476" s="13" t="n"/>
      <c r="C476" s="13" t="n"/>
      <c r="D476" s="13" t="n"/>
      <c r="E476" s="13" t="n"/>
      <c r="F476" s="13" t="n"/>
      <c r="G476" s="13" t="n"/>
      <c r="H476" s="13" t="n"/>
      <c r="I476" s="13" t="n"/>
      <c r="J476" s="13" t="n"/>
    </row>
    <row r="477">
      <c r="A477" s="13" t="n"/>
      <c r="B477" s="13" t="n"/>
      <c r="C477" s="13" t="n"/>
      <c r="D477" s="13" t="n"/>
      <c r="E477" s="13" t="n"/>
      <c r="F477" s="13" t="n"/>
      <c r="G477" s="13" t="n"/>
      <c r="H477" s="13" t="n"/>
      <c r="I477" s="13" t="n"/>
      <c r="J477" s="13" t="n"/>
    </row>
    <row r="478">
      <c r="A478" s="13" t="n"/>
      <c r="B478" s="13" t="n"/>
      <c r="C478" s="13" t="n"/>
      <c r="D478" s="13" t="n"/>
      <c r="E478" s="13" t="n"/>
      <c r="F478" s="13" t="n"/>
      <c r="G478" s="13" t="n"/>
      <c r="H478" s="13" t="n"/>
      <c r="I478" s="13" t="n"/>
      <c r="J478" s="13" t="n"/>
    </row>
    <row r="479">
      <c r="A479" s="13" t="n"/>
      <c r="B479" s="13" t="n"/>
      <c r="C479" s="13" t="n"/>
      <c r="D479" s="13" t="n"/>
      <c r="E479" s="13" t="n"/>
      <c r="F479" s="13" t="n"/>
      <c r="G479" s="13" t="n"/>
      <c r="H479" s="13" t="n"/>
      <c r="I479" s="13" t="n"/>
      <c r="J479" s="13" t="n"/>
    </row>
    <row r="480">
      <c r="A480" s="13" t="n"/>
      <c r="B480" s="13" t="n"/>
      <c r="C480" s="13" t="n"/>
      <c r="D480" s="13" t="n"/>
      <c r="E480" s="13" t="n"/>
      <c r="F480" s="13" t="n"/>
      <c r="G480" s="13" t="n"/>
      <c r="H480" s="13" t="n"/>
      <c r="I480" s="13" t="n"/>
      <c r="J480" s="13" t="n"/>
    </row>
    <row r="481">
      <c r="A481" s="13" t="n"/>
      <c r="B481" s="13" t="n"/>
      <c r="C481" s="13" t="n"/>
      <c r="D481" s="13" t="n"/>
      <c r="E481" s="13" t="n"/>
      <c r="F481" s="13" t="n"/>
      <c r="G481" s="13" t="n"/>
      <c r="H481" s="13" t="n"/>
      <c r="I481" s="13" t="n"/>
      <c r="J481" s="13" t="n"/>
    </row>
    <row r="482">
      <c r="A482" s="13" t="n"/>
      <c r="B482" s="13" t="n"/>
      <c r="C482" s="13" t="n"/>
      <c r="D482" s="13" t="n"/>
      <c r="E482" s="13" t="n"/>
      <c r="F482" s="13" t="n"/>
      <c r="G482" s="13" t="n"/>
      <c r="H482" s="13" t="n"/>
      <c r="I482" s="13" t="n"/>
      <c r="J482" s="13" t="n"/>
    </row>
    <row r="483">
      <c r="A483" s="13" t="n"/>
      <c r="B483" s="13" t="n"/>
      <c r="C483" s="13" t="n"/>
      <c r="D483" s="13" t="n"/>
      <c r="E483" s="13" t="n"/>
      <c r="F483" s="13" t="n"/>
      <c r="G483" s="13" t="n"/>
      <c r="H483" s="13" t="n"/>
      <c r="I483" s="13" t="n"/>
      <c r="J483" s="13" t="n"/>
    </row>
    <row r="484">
      <c r="A484" s="13" t="n"/>
      <c r="B484" s="13" t="n"/>
      <c r="C484" s="13" t="n"/>
      <c r="D484" s="13" t="n"/>
      <c r="E484" s="13" t="n"/>
      <c r="F484" s="13" t="n"/>
      <c r="G484" s="13" t="n"/>
      <c r="H484" s="13" t="n"/>
      <c r="I484" s="13" t="n"/>
      <c r="J484" s="13" t="n"/>
    </row>
    <row r="485">
      <c r="A485" s="13" t="n"/>
      <c r="B485" s="13" t="n"/>
      <c r="C485" s="13" t="n"/>
      <c r="D485" s="13" t="n"/>
      <c r="E485" s="13" t="n"/>
      <c r="F485" s="13" t="n"/>
      <c r="G485" s="13" t="n"/>
      <c r="H485" s="13" t="n"/>
      <c r="I485" s="13" t="n"/>
      <c r="J485" s="13" t="n"/>
    </row>
    <row r="486">
      <c r="A486" s="13" t="n"/>
      <c r="B486" s="13" t="n"/>
      <c r="C486" s="13" t="n"/>
      <c r="D486" s="13" t="n"/>
      <c r="E486" s="13" t="n"/>
      <c r="F486" s="13" t="n"/>
      <c r="G486" s="13" t="n"/>
      <c r="H486" s="13" t="n"/>
      <c r="I486" s="13" t="n"/>
      <c r="J486" s="13" t="n"/>
    </row>
    <row r="487">
      <c r="A487" s="13" t="n"/>
      <c r="B487" s="13" t="n"/>
      <c r="C487" s="13" t="n"/>
      <c r="D487" s="13" t="n"/>
      <c r="E487" s="13" t="n"/>
      <c r="F487" s="13" t="n"/>
      <c r="G487" s="13" t="n"/>
      <c r="H487" s="13" t="n"/>
      <c r="I487" s="13" t="n"/>
      <c r="J487" s="13" t="n"/>
    </row>
    <row r="488">
      <c r="A488" s="13" t="n"/>
      <c r="B488" s="13" t="n"/>
      <c r="C488" s="13" t="n"/>
      <c r="D488" s="13" t="n"/>
      <c r="E488" s="13" t="n"/>
      <c r="F488" s="13" t="n"/>
      <c r="G488" s="13" t="n"/>
      <c r="H488" s="13" t="n"/>
      <c r="I488" s="13" t="n"/>
      <c r="J488" s="13" t="n"/>
    </row>
    <row r="489">
      <c r="A489" s="13" t="n"/>
      <c r="B489" s="13" t="n"/>
      <c r="C489" s="13" t="n"/>
      <c r="D489" s="13" t="n"/>
      <c r="E489" s="13" t="n"/>
      <c r="F489" s="13" t="n"/>
      <c r="G489" s="13" t="n"/>
      <c r="H489" s="13" t="n"/>
      <c r="I489" s="13" t="n"/>
      <c r="J489" s="13" t="n"/>
    </row>
    <row r="490">
      <c r="A490" s="13" t="n"/>
      <c r="B490" s="13" t="n"/>
      <c r="C490" s="13" t="n"/>
      <c r="D490" s="13" t="n"/>
      <c r="E490" s="13" t="n"/>
      <c r="F490" s="13" t="n"/>
      <c r="G490" s="13" t="n"/>
      <c r="H490" s="13" t="n"/>
      <c r="I490" s="13" t="n"/>
      <c r="J490" s="13" t="n"/>
    </row>
    <row r="491">
      <c r="A491" s="13" t="n"/>
      <c r="B491" s="13" t="n"/>
      <c r="C491" s="13" t="n"/>
      <c r="D491" s="13" t="n"/>
      <c r="E491" s="13" t="n"/>
      <c r="F491" s="13" t="n"/>
      <c r="G491" s="13" t="n"/>
      <c r="H491" s="13" t="n"/>
      <c r="I491" s="13" t="n"/>
      <c r="J491" s="13" t="n"/>
    </row>
    <row r="492">
      <c r="A492" s="13" t="n"/>
      <c r="B492" s="13" t="n"/>
      <c r="C492" s="13" t="n"/>
      <c r="D492" s="13" t="n"/>
      <c r="E492" s="13" t="n"/>
      <c r="F492" s="13" t="n"/>
      <c r="G492" s="13" t="n"/>
      <c r="H492" s="13" t="n"/>
      <c r="I492" s="13" t="n"/>
      <c r="J492" s="13" t="n"/>
    </row>
    <row r="493">
      <c r="A493" s="13" t="n"/>
      <c r="B493" s="13" t="n"/>
      <c r="C493" s="13" t="n"/>
      <c r="D493" s="13" t="n"/>
      <c r="E493" s="13" t="n"/>
      <c r="F493" s="13" t="n"/>
      <c r="G493" s="13" t="n"/>
      <c r="H493" s="13" t="n"/>
      <c r="I493" s="13" t="n"/>
      <c r="J493" s="13" t="n"/>
    </row>
    <row r="494">
      <c r="A494" s="13" t="n"/>
      <c r="B494" s="13" t="n"/>
      <c r="C494" s="13" t="n"/>
      <c r="D494" s="13" t="n"/>
      <c r="E494" s="13" t="n"/>
      <c r="F494" s="13" t="n"/>
      <c r="G494" s="13" t="n"/>
      <c r="H494" s="13" t="n"/>
      <c r="I494" s="13" t="n"/>
      <c r="J494" s="13" t="n"/>
    </row>
    <row r="495">
      <c r="A495" s="13" t="n"/>
      <c r="B495" s="13" t="n"/>
      <c r="C495" s="13" t="n"/>
      <c r="D495" s="13" t="n"/>
      <c r="E495" s="13" t="n"/>
      <c r="F495" s="13" t="n"/>
      <c r="G495" s="13" t="n"/>
      <c r="H495" s="13" t="n"/>
      <c r="I495" s="13" t="n"/>
      <c r="J495" s="13" t="n"/>
    </row>
    <row r="496">
      <c r="A496" s="13" t="n"/>
      <c r="B496" s="13" t="n"/>
      <c r="C496" s="13" t="n"/>
      <c r="D496" s="13" t="n"/>
      <c r="E496" s="13" t="n"/>
      <c r="F496" s="13" t="n"/>
      <c r="G496" s="13" t="n"/>
      <c r="H496" s="13" t="n"/>
      <c r="I496" s="13" t="n"/>
      <c r="J496" s="13" t="n"/>
    </row>
    <row r="497">
      <c r="A497" s="13" t="n"/>
      <c r="B497" s="13" t="n"/>
      <c r="C497" s="13" t="n"/>
      <c r="D497" s="13" t="n"/>
      <c r="E497" s="13" t="n"/>
      <c r="F497" s="13" t="n"/>
      <c r="G497" s="13" t="n"/>
      <c r="H497" s="13" t="n"/>
      <c r="I497" s="13" t="n"/>
      <c r="J497" s="13" t="n"/>
    </row>
    <row r="498">
      <c r="A498" s="13" t="n"/>
      <c r="B498" s="13" t="n"/>
      <c r="C498" s="13" t="n"/>
      <c r="D498" s="13" t="n"/>
      <c r="E498" s="13" t="n"/>
      <c r="F498" s="13" t="n"/>
      <c r="G498" s="13" t="n"/>
      <c r="H498" s="13" t="n"/>
      <c r="I498" s="13" t="n"/>
      <c r="J498" s="13" t="n"/>
    </row>
    <row r="499">
      <c r="A499" s="13" t="n"/>
      <c r="B499" s="13" t="n"/>
      <c r="C499" s="13" t="n"/>
      <c r="D499" s="13" t="n"/>
      <c r="E499" s="13" t="n"/>
      <c r="F499" s="13" t="n"/>
      <c r="G499" s="13" t="n"/>
      <c r="H499" s="13" t="n"/>
      <c r="I499" s="13" t="n"/>
      <c r="J499" s="13" t="n"/>
    </row>
    <row r="500">
      <c r="A500" s="13" t="n"/>
      <c r="B500" s="13" t="n"/>
      <c r="C500" s="13" t="n"/>
      <c r="D500" s="13" t="n"/>
      <c r="E500" s="13" t="n"/>
      <c r="F500" s="13" t="n"/>
      <c r="G500" s="13" t="n"/>
      <c r="H500" s="13" t="n"/>
      <c r="I500" s="13" t="n"/>
      <c r="J500" s="13" t="n"/>
    </row>
    <row r="501">
      <c r="A501" s="13" t="n"/>
      <c r="B501" s="13" t="n"/>
      <c r="C501" s="13" t="n"/>
      <c r="D501" s="13" t="n"/>
      <c r="E501" s="13" t="n"/>
      <c r="F501" s="13" t="n"/>
      <c r="G501" s="13" t="n"/>
      <c r="H501" s="13" t="n"/>
      <c r="I501" s="13" t="n"/>
      <c r="J501" s="13" t="n"/>
    </row>
    <row r="502">
      <c r="A502" s="13" t="n"/>
      <c r="B502" s="13" t="n"/>
      <c r="C502" s="13" t="n"/>
      <c r="D502" s="13" t="n"/>
      <c r="E502" s="13" t="n"/>
      <c r="F502" s="13" t="n"/>
      <c r="G502" s="13" t="n"/>
      <c r="H502" s="13" t="n"/>
      <c r="I502" s="13" t="n"/>
      <c r="J502" s="13" t="n"/>
    </row>
    <row r="503">
      <c r="A503" s="13" t="n"/>
      <c r="B503" s="13" t="n"/>
      <c r="C503" s="13" t="n"/>
      <c r="D503" s="13" t="n"/>
      <c r="E503" s="13" t="n"/>
      <c r="F503" s="13" t="n"/>
      <c r="G503" s="13" t="n"/>
      <c r="H503" s="13" t="n"/>
      <c r="I503" s="13" t="n"/>
      <c r="J503" s="13" t="n"/>
    </row>
    <row r="504">
      <c r="A504" s="13" t="n"/>
      <c r="B504" s="13" t="n"/>
      <c r="C504" s="13" t="n"/>
      <c r="D504" s="13" t="n"/>
      <c r="E504" s="13" t="n"/>
      <c r="F504" s="13" t="n"/>
      <c r="G504" s="13" t="n"/>
      <c r="H504" s="13" t="n"/>
      <c r="I504" s="13" t="n"/>
      <c r="J504" s="13" t="n"/>
    </row>
    <row r="507">
      <c r="A507" s="2" t="inlineStr">
        <is>
          <t>📊 SOFTWARE INVENTORY SUMMARY</t>
        </is>
      </c>
    </row>
    <row r="508">
      <c r="A508" t="inlineStr">
        <is>
          <t>Total Installed Software:</t>
        </is>
      </c>
      <c r="B508">
        <f>COUNTA(C5:C504)</f>
        <v/>
      </c>
    </row>
    <row r="509">
      <c r="A509" t="inlineStr">
        <is>
          <t>Unique Software Titles:</t>
        </is>
      </c>
      <c r="B509">
        <f>SUMPRODUCT(1/COUNTIF(C5:C504,C5:C504&amp;""))</f>
        <v/>
      </c>
    </row>
    <row r="510">
      <c r="A510" t="inlineStr">
        <is>
          <t>Unique Devices:</t>
        </is>
      </c>
      <c r="B510">
        <f>SUMPRODUCT(1/COUNTIF(B5:B504,B5:B504&amp;""))</f>
        <v/>
      </c>
    </row>
  </sheetData>
  <mergeCells count="3">
    <mergeCell ref="A1:J1"/>
    <mergeCell ref="A507:C507"/>
    <mergeCell ref="A2:J2"/>
  </mergeCells>
  <dataValidations count="2">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showDropDown="0" showInputMessage="0" showErrorMessage="0" allowBlank="0" type="list">
      <formula1>"Yes,No"</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showDropDown="0" showInputMessage="0" showErrorMessage="0" allowBlank="0" type="list">
      <formula1>"📦 SCCM/Intune,🌐 Self-Service Portal,👤 User Installation,💾 Manual Install,☁️ Cloud Deployment,Other"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4"/>
  <sheetViews>
    <sheetView workbookViewId="0">
      <selection activeCell="A1" sqref="A1"/>
    </sheetView>
  </sheetViews>
  <sheetFormatPr baseColWidth="8" defaultRowHeight="15"/>
  <cols>
    <col width="15" customWidth="1" min="1" max="1"/>
    <col width="15" customWidth="1" min="2" max="2"/>
    <col width="12" customWidth="1" min="3" max="3"/>
    <col width="20" customWidth="1" min="4" max="4"/>
    <col width="30" customWidth="1" min="5" max="5"/>
    <col width="20" customWidth="1" min="6" max="6"/>
    <col width="18" customWidth="1" min="7" max="7"/>
    <col width="30" customWidth="1" min="8" max="8"/>
    <col width="15" customWidth="1" min="9" max="9"/>
    <col width="25" customWidth="1" min="10" max="10"/>
    <col width="30" customWidth="1" min="11" max="11"/>
  </cols>
  <sheetData>
    <row r="1">
      <c r="A1" s="1" t="inlineStr">
        <is>
          <t>UNAUTHORIZED SOFTWARE DETECTION &amp; REMEDIATION</t>
        </is>
      </c>
    </row>
    <row r="2">
      <c r="A2" s="2" t="inlineStr">
        <is>
          <t>Software NOT in approved list - detection, risk assessment, remediation tracking</t>
        </is>
      </c>
    </row>
    <row r="4">
      <c r="A4" s="5" t="inlineStr">
        <is>
          <t>Detection ID</t>
        </is>
      </c>
      <c r="B4" s="5" t="inlineStr">
        <is>
          <t>Detection Date</t>
        </is>
      </c>
      <c r="C4" s="5" t="inlineStr">
        <is>
          <t>Device ID</t>
        </is>
      </c>
      <c r="D4" s="5" t="inlineStr">
        <is>
          <t>Hostname</t>
        </is>
      </c>
      <c r="E4" s="5" t="inlineStr">
        <is>
          <t>Software Name</t>
        </is>
      </c>
      <c r="F4" s="5" t="inlineStr">
        <is>
          <t>Vendor</t>
        </is>
      </c>
      <c r="G4" s="5" t="inlineStr">
        <is>
          <t>Risk Assessment</t>
        </is>
      </c>
      <c r="H4" s="5" t="inlineStr">
        <is>
          <t>Remediation Action</t>
        </is>
      </c>
      <c r="I4" s="5" t="inlineStr">
        <is>
          <t>Remediation Date</t>
        </is>
      </c>
      <c r="J4" s="5" t="inlineStr">
        <is>
          <t>Remediation Status</t>
        </is>
      </c>
      <c r="K4" s="5" t="inlineStr">
        <is>
          <t>Notes</t>
        </is>
      </c>
    </row>
    <row r="5">
      <c r="A5" s="3" t="inlineStr">
        <is>
          <t>UNAUTH-0001</t>
        </is>
      </c>
      <c r="B5" s="13" t="n"/>
      <c r="C5" s="13" t="n"/>
      <c r="D5" s="13" t="n"/>
      <c r="E5" s="13" t="n"/>
      <c r="F5" s="13" t="n"/>
      <c r="G5" s="13" t="n"/>
      <c r="H5" s="13" t="n"/>
      <c r="I5" s="13" t="n"/>
      <c r="J5" s="13" t="n"/>
      <c r="K5" s="13" t="n"/>
    </row>
    <row r="6">
      <c r="A6" s="3" t="inlineStr">
        <is>
          <t>UNAUTH-0002</t>
        </is>
      </c>
      <c r="B6" s="13" t="n"/>
      <c r="C6" s="13" t="n"/>
      <c r="D6" s="13" t="n"/>
      <c r="E6" s="13" t="n"/>
      <c r="F6" s="13" t="n"/>
      <c r="G6" s="13" t="n"/>
      <c r="H6" s="13" t="n"/>
      <c r="I6" s="13" t="n"/>
      <c r="J6" s="13" t="n"/>
      <c r="K6" s="13" t="n"/>
    </row>
    <row r="7">
      <c r="A7" s="3" t="inlineStr">
        <is>
          <t>UNAUTH-0003</t>
        </is>
      </c>
      <c r="B7" s="13" t="n"/>
      <c r="C7" s="13" t="n"/>
      <c r="D7" s="13" t="n"/>
      <c r="E7" s="13" t="n"/>
      <c r="F7" s="13" t="n"/>
      <c r="G7" s="13" t="n"/>
      <c r="H7" s="13" t="n"/>
      <c r="I7" s="13" t="n"/>
      <c r="J7" s="13" t="n"/>
      <c r="K7" s="13" t="n"/>
    </row>
    <row r="8">
      <c r="A8" s="3" t="inlineStr">
        <is>
          <t>UNAUTH-0004</t>
        </is>
      </c>
      <c r="B8" s="13" t="n"/>
      <c r="C8" s="13" t="n"/>
      <c r="D8" s="13" t="n"/>
      <c r="E8" s="13" t="n"/>
      <c r="F8" s="13" t="n"/>
      <c r="G8" s="13" t="n"/>
      <c r="H8" s="13" t="n"/>
      <c r="I8" s="13" t="n"/>
      <c r="J8" s="13" t="n"/>
      <c r="K8" s="13" t="n"/>
    </row>
    <row r="9">
      <c r="A9" s="3" t="inlineStr">
        <is>
          <t>UNAUTH-0005</t>
        </is>
      </c>
      <c r="B9" s="13" t="n"/>
      <c r="C9" s="13" t="n"/>
      <c r="D9" s="13" t="n"/>
      <c r="E9" s="13" t="n"/>
      <c r="F9" s="13" t="n"/>
      <c r="G9" s="13" t="n"/>
      <c r="H9" s="13" t="n"/>
      <c r="I9" s="13" t="n"/>
      <c r="J9" s="13" t="n"/>
      <c r="K9" s="13" t="n"/>
    </row>
    <row r="10">
      <c r="A10" s="3" t="inlineStr">
        <is>
          <t>UNAUTH-0006</t>
        </is>
      </c>
      <c r="B10" s="13" t="n"/>
      <c r="C10" s="13" t="n"/>
      <c r="D10" s="13" t="n"/>
      <c r="E10" s="13" t="n"/>
      <c r="F10" s="13" t="n"/>
      <c r="G10" s="13" t="n"/>
      <c r="H10" s="13" t="n"/>
      <c r="I10" s="13" t="n"/>
      <c r="J10" s="13" t="n"/>
      <c r="K10" s="13" t="n"/>
    </row>
    <row r="11">
      <c r="A11" s="3" t="inlineStr">
        <is>
          <t>UNAUTH-0007</t>
        </is>
      </c>
      <c r="B11" s="13" t="n"/>
      <c r="C11" s="13" t="n"/>
      <c r="D11" s="13" t="n"/>
      <c r="E11" s="13" t="n"/>
      <c r="F11" s="13" t="n"/>
      <c r="G11" s="13" t="n"/>
      <c r="H11" s="13" t="n"/>
      <c r="I11" s="13" t="n"/>
      <c r="J11" s="13" t="n"/>
      <c r="K11" s="13" t="n"/>
    </row>
    <row r="12">
      <c r="A12" s="3" t="inlineStr">
        <is>
          <t>UNAUTH-0008</t>
        </is>
      </c>
      <c r="B12" s="13" t="n"/>
      <c r="C12" s="13" t="n"/>
      <c r="D12" s="13" t="n"/>
      <c r="E12" s="13" t="n"/>
      <c r="F12" s="13" t="n"/>
      <c r="G12" s="13" t="n"/>
      <c r="H12" s="13" t="n"/>
      <c r="I12" s="13" t="n"/>
      <c r="J12" s="13" t="n"/>
      <c r="K12" s="13" t="n"/>
    </row>
    <row r="13">
      <c r="A13" s="3" t="inlineStr">
        <is>
          <t>UNAUTH-0009</t>
        </is>
      </c>
      <c r="B13" s="13" t="n"/>
      <c r="C13" s="13" t="n"/>
      <c r="D13" s="13" t="n"/>
      <c r="E13" s="13" t="n"/>
      <c r="F13" s="13" t="n"/>
      <c r="G13" s="13" t="n"/>
      <c r="H13" s="13" t="n"/>
      <c r="I13" s="13" t="n"/>
      <c r="J13" s="13" t="n"/>
      <c r="K13" s="13" t="n"/>
    </row>
    <row r="14">
      <c r="A14" s="3" t="inlineStr">
        <is>
          <t>UNAUTH-0010</t>
        </is>
      </c>
      <c r="B14" s="13" t="n"/>
      <c r="C14" s="13" t="n"/>
      <c r="D14" s="13" t="n"/>
      <c r="E14" s="13" t="n"/>
      <c r="F14" s="13" t="n"/>
      <c r="G14" s="13" t="n"/>
      <c r="H14" s="13" t="n"/>
      <c r="I14" s="13" t="n"/>
      <c r="J14" s="13" t="n"/>
      <c r="K14" s="13" t="n"/>
    </row>
    <row r="15">
      <c r="A15" s="3" t="inlineStr">
        <is>
          <t>UNAUTH-0011</t>
        </is>
      </c>
      <c r="B15" s="13" t="n"/>
      <c r="C15" s="13" t="n"/>
      <c r="D15" s="13" t="n"/>
      <c r="E15" s="13" t="n"/>
      <c r="F15" s="13" t="n"/>
      <c r="G15" s="13" t="n"/>
      <c r="H15" s="13" t="n"/>
      <c r="I15" s="13" t="n"/>
      <c r="J15" s="13" t="n"/>
      <c r="K15" s="13" t="n"/>
    </row>
    <row r="16">
      <c r="A16" s="3" t="inlineStr">
        <is>
          <t>UNAUTH-0012</t>
        </is>
      </c>
      <c r="B16" s="13" t="n"/>
      <c r="C16" s="13" t="n"/>
      <c r="D16" s="13" t="n"/>
      <c r="E16" s="13" t="n"/>
      <c r="F16" s="13" t="n"/>
      <c r="G16" s="13" t="n"/>
      <c r="H16" s="13" t="n"/>
      <c r="I16" s="13" t="n"/>
      <c r="J16" s="13" t="n"/>
      <c r="K16" s="13" t="n"/>
    </row>
    <row r="17">
      <c r="A17" s="3" t="inlineStr">
        <is>
          <t>UNAUTH-0013</t>
        </is>
      </c>
      <c r="B17" s="13" t="n"/>
      <c r="C17" s="13" t="n"/>
      <c r="D17" s="13" t="n"/>
      <c r="E17" s="13" t="n"/>
      <c r="F17" s="13" t="n"/>
      <c r="G17" s="13" t="n"/>
      <c r="H17" s="13" t="n"/>
      <c r="I17" s="13" t="n"/>
      <c r="J17" s="13" t="n"/>
      <c r="K17" s="13" t="n"/>
    </row>
    <row r="18">
      <c r="A18" s="3" t="inlineStr">
        <is>
          <t>UNAUTH-0014</t>
        </is>
      </c>
      <c r="B18" s="13" t="n"/>
      <c r="C18" s="13" t="n"/>
      <c r="D18" s="13" t="n"/>
      <c r="E18" s="13" t="n"/>
      <c r="F18" s="13" t="n"/>
      <c r="G18" s="13" t="n"/>
      <c r="H18" s="13" t="n"/>
      <c r="I18" s="13" t="n"/>
      <c r="J18" s="13" t="n"/>
      <c r="K18" s="13" t="n"/>
    </row>
    <row r="19">
      <c r="A19" s="3" t="inlineStr">
        <is>
          <t>UNAUTH-0015</t>
        </is>
      </c>
      <c r="B19" s="13" t="n"/>
      <c r="C19" s="13" t="n"/>
      <c r="D19" s="13" t="n"/>
      <c r="E19" s="13" t="n"/>
      <c r="F19" s="13" t="n"/>
      <c r="G19" s="13" t="n"/>
      <c r="H19" s="13" t="n"/>
      <c r="I19" s="13" t="n"/>
      <c r="J19" s="13" t="n"/>
      <c r="K19" s="13" t="n"/>
    </row>
    <row r="20">
      <c r="A20" s="3" t="inlineStr">
        <is>
          <t>UNAUTH-0016</t>
        </is>
      </c>
      <c r="B20" s="13" t="n"/>
      <c r="C20" s="13" t="n"/>
      <c r="D20" s="13" t="n"/>
      <c r="E20" s="13" t="n"/>
      <c r="F20" s="13" t="n"/>
      <c r="G20" s="13" t="n"/>
      <c r="H20" s="13" t="n"/>
      <c r="I20" s="13" t="n"/>
      <c r="J20" s="13" t="n"/>
      <c r="K20" s="13" t="n"/>
    </row>
    <row r="21">
      <c r="A21" s="3" t="inlineStr">
        <is>
          <t>UNAUTH-0017</t>
        </is>
      </c>
      <c r="B21" s="13" t="n"/>
      <c r="C21" s="13" t="n"/>
      <c r="D21" s="13" t="n"/>
      <c r="E21" s="13" t="n"/>
      <c r="F21" s="13" t="n"/>
      <c r="G21" s="13" t="n"/>
      <c r="H21" s="13" t="n"/>
      <c r="I21" s="13" t="n"/>
      <c r="J21" s="13" t="n"/>
      <c r="K21" s="13" t="n"/>
    </row>
    <row r="22">
      <c r="A22" s="3" t="inlineStr">
        <is>
          <t>UNAUTH-0018</t>
        </is>
      </c>
      <c r="B22" s="13" t="n"/>
      <c r="C22" s="13" t="n"/>
      <c r="D22" s="13" t="n"/>
      <c r="E22" s="13" t="n"/>
      <c r="F22" s="13" t="n"/>
      <c r="G22" s="13" t="n"/>
      <c r="H22" s="13" t="n"/>
      <c r="I22" s="13" t="n"/>
      <c r="J22" s="13" t="n"/>
      <c r="K22" s="13" t="n"/>
    </row>
    <row r="23">
      <c r="A23" s="3" t="inlineStr">
        <is>
          <t>UNAUTH-0019</t>
        </is>
      </c>
      <c r="B23" s="13" t="n"/>
      <c r="C23" s="13" t="n"/>
      <c r="D23" s="13" t="n"/>
      <c r="E23" s="13" t="n"/>
      <c r="F23" s="13" t="n"/>
      <c r="G23" s="13" t="n"/>
      <c r="H23" s="13" t="n"/>
      <c r="I23" s="13" t="n"/>
      <c r="J23" s="13" t="n"/>
      <c r="K23" s="13" t="n"/>
    </row>
    <row r="24">
      <c r="A24" s="3" t="inlineStr">
        <is>
          <t>UNAUTH-0020</t>
        </is>
      </c>
      <c r="B24" s="13" t="n"/>
      <c r="C24" s="13" t="n"/>
      <c r="D24" s="13" t="n"/>
      <c r="E24" s="13" t="n"/>
      <c r="F24" s="13" t="n"/>
      <c r="G24" s="13" t="n"/>
      <c r="H24" s="13" t="n"/>
      <c r="I24" s="13" t="n"/>
      <c r="J24" s="13" t="n"/>
      <c r="K24" s="13" t="n"/>
    </row>
    <row r="25">
      <c r="A25" s="3" t="inlineStr">
        <is>
          <t>UNAUTH-0021</t>
        </is>
      </c>
      <c r="B25" s="13" t="n"/>
      <c r="C25" s="13" t="n"/>
      <c r="D25" s="13" t="n"/>
      <c r="E25" s="13" t="n"/>
      <c r="F25" s="13" t="n"/>
      <c r="G25" s="13" t="n"/>
      <c r="H25" s="13" t="n"/>
      <c r="I25" s="13" t="n"/>
      <c r="J25" s="13" t="n"/>
      <c r="K25" s="13" t="n"/>
    </row>
    <row r="26">
      <c r="A26" s="3" t="inlineStr">
        <is>
          <t>UNAUTH-0022</t>
        </is>
      </c>
      <c r="B26" s="13" t="n"/>
      <c r="C26" s="13" t="n"/>
      <c r="D26" s="13" t="n"/>
      <c r="E26" s="13" t="n"/>
      <c r="F26" s="13" t="n"/>
      <c r="G26" s="13" t="n"/>
      <c r="H26" s="13" t="n"/>
      <c r="I26" s="13" t="n"/>
      <c r="J26" s="13" t="n"/>
      <c r="K26" s="13" t="n"/>
    </row>
    <row r="27">
      <c r="A27" s="3" t="inlineStr">
        <is>
          <t>UNAUTH-0023</t>
        </is>
      </c>
      <c r="B27" s="13" t="n"/>
      <c r="C27" s="13" t="n"/>
      <c r="D27" s="13" t="n"/>
      <c r="E27" s="13" t="n"/>
      <c r="F27" s="13" t="n"/>
      <c r="G27" s="13" t="n"/>
      <c r="H27" s="13" t="n"/>
      <c r="I27" s="13" t="n"/>
      <c r="J27" s="13" t="n"/>
      <c r="K27" s="13" t="n"/>
    </row>
    <row r="28">
      <c r="A28" s="3" t="inlineStr">
        <is>
          <t>UNAUTH-0024</t>
        </is>
      </c>
      <c r="B28" s="13" t="n"/>
      <c r="C28" s="13" t="n"/>
      <c r="D28" s="13" t="n"/>
      <c r="E28" s="13" t="n"/>
      <c r="F28" s="13" t="n"/>
      <c r="G28" s="13" t="n"/>
      <c r="H28" s="13" t="n"/>
      <c r="I28" s="13" t="n"/>
      <c r="J28" s="13" t="n"/>
      <c r="K28" s="13" t="n"/>
    </row>
    <row r="29">
      <c r="A29" s="3" t="inlineStr">
        <is>
          <t>UNAUTH-0025</t>
        </is>
      </c>
      <c r="B29" s="13" t="n"/>
      <c r="C29" s="13" t="n"/>
      <c r="D29" s="13" t="n"/>
      <c r="E29" s="13" t="n"/>
      <c r="F29" s="13" t="n"/>
      <c r="G29" s="13" t="n"/>
      <c r="H29" s="13" t="n"/>
      <c r="I29" s="13" t="n"/>
      <c r="J29" s="13" t="n"/>
      <c r="K29" s="13" t="n"/>
    </row>
    <row r="30">
      <c r="A30" s="3" t="inlineStr">
        <is>
          <t>UNAUTH-0026</t>
        </is>
      </c>
      <c r="B30" s="13" t="n"/>
      <c r="C30" s="13" t="n"/>
      <c r="D30" s="13" t="n"/>
      <c r="E30" s="13" t="n"/>
      <c r="F30" s="13" t="n"/>
      <c r="G30" s="13" t="n"/>
      <c r="H30" s="13" t="n"/>
      <c r="I30" s="13" t="n"/>
      <c r="J30" s="13" t="n"/>
      <c r="K30" s="13" t="n"/>
    </row>
    <row r="31">
      <c r="A31" s="3" t="inlineStr">
        <is>
          <t>UNAUTH-0027</t>
        </is>
      </c>
      <c r="B31" s="13" t="n"/>
      <c r="C31" s="13" t="n"/>
      <c r="D31" s="13" t="n"/>
      <c r="E31" s="13" t="n"/>
      <c r="F31" s="13" t="n"/>
      <c r="G31" s="13" t="n"/>
      <c r="H31" s="13" t="n"/>
      <c r="I31" s="13" t="n"/>
      <c r="J31" s="13" t="n"/>
      <c r="K31" s="13" t="n"/>
    </row>
    <row r="32">
      <c r="A32" s="3" t="inlineStr">
        <is>
          <t>UNAUTH-0028</t>
        </is>
      </c>
      <c r="B32" s="13" t="n"/>
      <c r="C32" s="13" t="n"/>
      <c r="D32" s="13" t="n"/>
      <c r="E32" s="13" t="n"/>
      <c r="F32" s="13" t="n"/>
      <c r="G32" s="13" t="n"/>
      <c r="H32" s="13" t="n"/>
      <c r="I32" s="13" t="n"/>
      <c r="J32" s="13" t="n"/>
      <c r="K32" s="13" t="n"/>
    </row>
    <row r="33">
      <c r="A33" s="3" t="inlineStr">
        <is>
          <t>UNAUTH-0029</t>
        </is>
      </c>
      <c r="B33" s="13" t="n"/>
      <c r="C33" s="13" t="n"/>
      <c r="D33" s="13" t="n"/>
      <c r="E33" s="13" t="n"/>
      <c r="F33" s="13" t="n"/>
      <c r="G33" s="13" t="n"/>
      <c r="H33" s="13" t="n"/>
      <c r="I33" s="13" t="n"/>
      <c r="J33" s="13" t="n"/>
      <c r="K33" s="13" t="n"/>
    </row>
    <row r="34">
      <c r="A34" s="3" t="inlineStr">
        <is>
          <t>UNAUTH-0030</t>
        </is>
      </c>
      <c r="B34" s="13" t="n"/>
      <c r="C34" s="13" t="n"/>
      <c r="D34" s="13" t="n"/>
      <c r="E34" s="13" t="n"/>
      <c r="F34" s="13" t="n"/>
      <c r="G34" s="13" t="n"/>
      <c r="H34" s="13" t="n"/>
      <c r="I34" s="13" t="n"/>
      <c r="J34" s="13" t="n"/>
      <c r="K34" s="13" t="n"/>
    </row>
    <row r="35">
      <c r="A35" s="3" t="inlineStr">
        <is>
          <t>UNAUTH-0031</t>
        </is>
      </c>
      <c r="B35" s="13" t="n"/>
      <c r="C35" s="13" t="n"/>
      <c r="D35" s="13" t="n"/>
      <c r="E35" s="13" t="n"/>
      <c r="F35" s="13" t="n"/>
      <c r="G35" s="13" t="n"/>
      <c r="H35" s="13" t="n"/>
      <c r="I35" s="13" t="n"/>
      <c r="J35" s="13" t="n"/>
      <c r="K35" s="13" t="n"/>
    </row>
    <row r="36">
      <c r="A36" s="3" t="inlineStr">
        <is>
          <t>UNAUTH-0032</t>
        </is>
      </c>
      <c r="B36" s="13" t="n"/>
      <c r="C36" s="13" t="n"/>
      <c r="D36" s="13" t="n"/>
      <c r="E36" s="13" t="n"/>
      <c r="F36" s="13" t="n"/>
      <c r="G36" s="13" t="n"/>
      <c r="H36" s="13" t="n"/>
      <c r="I36" s="13" t="n"/>
      <c r="J36" s="13" t="n"/>
      <c r="K36" s="13" t="n"/>
    </row>
    <row r="37">
      <c r="A37" s="3" t="inlineStr">
        <is>
          <t>UNAUTH-0033</t>
        </is>
      </c>
      <c r="B37" s="13" t="n"/>
      <c r="C37" s="13" t="n"/>
      <c r="D37" s="13" t="n"/>
      <c r="E37" s="13" t="n"/>
      <c r="F37" s="13" t="n"/>
      <c r="G37" s="13" t="n"/>
      <c r="H37" s="13" t="n"/>
      <c r="I37" s="13" t="n"/>
      <c r="J37" s="13" t="n"/>
      <c r="K37" s="13" t="n"/>
    </row>
    <row r="38">
      <c r="A38" s="3" t="inlineStr">
        <is>
          <t>UNAUTH-0034</t>
        </is>
      </c>
      <c r="B38" s="13" t="n"/>
      <c r="C38" s="13" t="n"/>
      <c r="D38" s="13" t="n"/>
      <c r="E38" s="13" t="n"/>
      <c r="F38" s="13" t="n"/>
      <c r="G38" s="13" t="n"/>
      <c r="H38" s="13" t="n"/>
      <c r="I38" s="13" t="n"/>
      <c r="J38" s="13" t="n"/>
      <c r="K38" s="13" t="n"/>
    </row>
    <row r="39">
      <c r="A39" s="3" t="inlineStr">
        <is>
          <t>UNAUTH-0035</t>
        </is>
      </c>
      <c r="B39" s="13" t="n"/>
      <c r="C39" s="13" t="n"/>
      <c r="D39" s="13" t="n"/>
      <c r="E39" s="13" t="n"/>
      <c r="F39" s="13" t="n"/>
      <c r="G39" s="13" t="n"/>
      <c r="H39" s="13" t="n"/>
      <c r="I39" s="13" t="n"/>
      <c r="J39" s="13" t="n"/>
      <c r="K39" s="13" t="n"/>
    </row>
    <row r="40">
      <c r="A40" s="3" t="inlineStr">
        <is>
          <t>UNAUTH-0036</t>
        </is>
      </c>
      <c r="B40" s="13" t="n"/>
      <c r="C40" s="13" t="n"/>
      <c r="D40" s="13" t="n"/>
      <c r="E40" s="13" t="n"/>
      <c r="F40" s="13" t="n"/>
      <c r="G40" s="13" t="n"/>
      <c r="H40" s="13" t="n"/>
      <c r="I40" s="13" t="n"/>
      <c r="J40" s="13" t="n"/>
      <c r="K40" s="13" t="n"/>
    </row>
    <row r="41">
      <c r="A41" s="3" t="inlineStr">
        <is>
          <t>UNAUTH-0037</t>
        </is>
      </c>
      <c r="B41" s="13" t="n"/>
      <c r="C41" s="13" t="n"/>
      <c r="D41" s="13" t="n"/>
      <c r="E41" s="13" t="n"/>
      <c r="F41" s="13" t="n"/>
      <c r="G41" s="13" t="n"/>
      <c r="H41" s="13" t="n"/>
      <c r="I41" s="13" t="n"/>
      <c r="J41" s="13" t="n"/>
      <c r="K41" s="13" t="n"/>
    </row>
    <row r="42">
      <c r="A42" s="3" t="inlineStr">
        <is>
          <t>UNAUTH-0038</t>
        </is>
      </c>
      <c r="B42" s="13" t="n"/>
      <c r="C42" s="13" t="n"/>
      <c r="D42" s="13" t="n"/>
      <c r="E42" s="13" t="n"/>
      <c r="F42" s="13" t="n"/>
      <c r="G42" s="13" t="n"/>
      <c r="H42" s="13" t="n"/>
      <c r="I42" s="13" t="n"/>
      <c r="J42" s="13" t="n"/>
      <c r="K42" s="13" t="n"/>
    </row>
    <row r="43">
      <c r="A43" s="3" t="inlineStr">
        <is>
          <t>UNAUTH-0039</t>
        </is>
      </c>
      <c r="B43" s="13" t="n"/>
      <c r="C43" s="13" t="n"/>
      <c r="D43" s="13" t="n"/>
      <c r="E43" s="13" t="n"/>
      <c r="F43" s="13" t="n"/>
      <c r="G43" s="13" t="n"/>
      <c r="H43" s="13" t="n"/>
      <c r="I43" s="13" t="n"/>
      <c r="J43" s="13" t="n"/>
      <c r="K43" s="13" t="n"/>
    </row>
    <row r="44">
      <c r="A44" s="3" t="inlineStr">
        <is>
          <t>UNAUTH-0040</t>
        </is>
      </c>
      <c r="B44" s="13" t="n"/>
      <c r="C44" s="13" t="n"/>
      <c r="D44" s="13" t="n"/>
      <c r="E44" s="13" t="n"/>
      <c r="F44" s="13" t="n"/>
      <c r="G44" s="13" t="n"/>
      <c r="H44" s="13" t="n"/>
      <c r="I44" s="13" t="n"/>
      <c r="J44" s="13" t="n"/>
      <c r="K44" s="13" t="n"/>
    </row>
    <row r="45">
      <c r="A45" s="3" t="inlineStr">
        <is>
          <t>UNAUTH-0041</t>
        </is>
      </c>
      <c r="B45" s="13" t="n"/>
      <c r="C45" s="13" t="n"/>
      <c r="D45" s="13" t="n"/>
      <c r="E45" s="13" t="n"/>
      <c r="F45" s="13" t="n"/>
      <c r="G45" s="13" t="n"/>
      <c r="H45" s="13" t="n"/>
      <c r="I45" s="13" t="n"/>
      <c r="J45" s="13" t="n"/>
      <c r="K45" s="13" t="n"/>
    </row>
    <row r="46">
      <c r="A46" s="3" t="inlineStr">
        <is>
          <t>UNAUTH-0042</t>
        </is>
      </c>
      <c r="B46" s="13" t="n"/>
      <c r="C46" s="13" t="n"/>
      <c r="D46" s="13" t="n"/>
      <c r="E46" s="13" t="n"/>
      <c r="F46" s="13" t="n"/>
      <c r="G46" s="13" t="n"/>
      <c r="H46" s="13" t="n"/>
      <c r="I46" s="13" t="n"/>
      <c r="J46" s="13" t="n"/>
      <c r="K46" s="13" t="n"/>
    </row>
    <row r="47">
      <c r="A47" s="3" t="inlineStr">
        <is>
          <t>UNAUTH-0043</t>
        </is>
      </c>
      <c r="B47" s="13" t="n"/>
      <c r="C47" s="13" t="n"/>
      <c r="D47" s="13" t="n"/>
      <c r="E47" s="13" t="n"/>
      <c r="F47" s="13" t="n"/>
      <c r="G47" s="13" t="n"/>
      <c r="H47" s="13" t="n"/>
      <c r="I47" s="13" t="n"/>
      <c r="J47" s="13" t="n"/>
      <c r="K47" s="13" t="n"/>
    </row>
    <row r="48">
      <c r="A48" s="3" t="inlineStr">
        <is>
          <t>UNAUTH-0044</t>
        </is>
      </c>
      <c r="B48" s="13" t="n"/>
      <c r="C48" s="13" t="n"/>
      <c r="D48" s="13" t="n"/>
      <c r="E48" s="13" t="n"/>
      <c r="F48" s="13" t="n"/>
      <c r="G48" s="13" t="n"/>
      <c r="H48" s="13" t="n"/>
      <c r="I48" s="13" t="n"/>
      <c r="J48" s="13" t="n"/>
      <c r="K48" s="13" t="n"/>
    </row>
    <row r="49">
      <c r="A49" s="3" t="inlineStr">
        <is>
          <t>UNAUTH-0045</t>
        </is>
      </c>
      <c r="B49" s="13" t="n"/>
      <c r="C49" s="13" t="n"/>
      <c r="D49" s="13" t="n"/>
      <c r="E49" s="13" t="n"/>
      <c r="F49" s="13" t="n"/>
      <c r="G49" s="13" t="n"/>
      <c r="H49" s="13" t="n"/>
      <c r="I49" s="13" t="n"/>
      <c r="J49" s="13" t="n"/>
      <c r="K49" s="13" t="n"/>
    </row>
    <row r="50">
      <c r="A50" s="3" t="inlineStr">
        <is>
          <t>UNAUTH-0046</t>
        </is>
      </c>
      <c r="B50" s="13" t="n"/>
      <c r="C50" s="13" t="n"/>
      <c r="D50" s="13" t="n"/>
      <c r="E50" s="13" t="n"/>
      <c r="F50" s="13" t="n"/>
      <c r="G50" s="13" t="n"/>
      <c r="H50" s="13" t="n"/>
      <c r="I50" s="13" t="n"/>
      <c r="J50" s="13" t="n"/>
      <c r="K50" s="13" t="n"/>
    </row>
    <row r="51">
      <c r="A51" s="3" t="inlineStr">
        <is>
          <t>UNAUTH-0047</t>
        </is>
      </c>
      <c r="B51" s="13" t="n"/>
      <c r="C51" s="13" t="n"/>
      <c r="D51" s="13" t="n"/>
      <c r="E51" s="13" t="n"/>
      <c r="F51" s="13" t="n"/>
      <c r="G51" s="13" t="n"/>
      <c r="H51" s="13" t="n"/>
      <c r="I51" s="13" t="n"/>
      <c r="J51" s="13" t="n"/>
      <c r="K51" s="13" t="n"/>
    </row>
    <row r="52">
      <c r="A52" s="3" t="inlineStr">
        <is>
          <t>UNAUTH-0048</t>
        </is>
      </c>
      <c r="B52" s="13" t="n"/>
      <c r="C52" s="13" t="n"/>
      <c r="D52" s="13" t="n"/>
      <c r="E52" s="13" t="n"/>
      <c r="F52" s="13" t="n"/>
      <c r="G52" s="13" t="n"/>
      <c r="H52" s="13" t="n"/>
      <c r="I52" s="13" t="n"/>
      <c r="J52" s="13" t="n"/>
      <c r="K52" s="13" t="n"/>
    </row>
    <row r="53">
      <c r="A53" s="3" t="inlineStr">
        <is>
          <t>UNAUTH-0049</t>
        </is>
      </c>
      <c r="B53" s="13" t="n"/>
      <c r="C53" s="13" t="n"/>
      <c r="D53" s="13" t="n"/>
      <c r="E53" s="13" t="n"/>
      <c r="F53" s="13" t="n"/>
      <c r="G53" s="13" t="n"/>
      <c r="H53" s="13" t="n"/>
      <c r="I53" s="13" t="n"/>
      <c r="J53" s="13" t="n"/>
      <c r="K53" s="13" t="n"/>
    </row>
    <row r="54">
      <c r="A54" s="3" t="inlineStr">
        <is>
          <t>UNAUTH-0050</t>
        </is>
      </c>
      <c r="B54" s="13" t="n"/>
      <c r="C54" s="13" t="n"/>
      <c r="D54" s="13" t="n"/>
      <c r="E54" s="13" t="n"/>
      <c r="F54" s="13" t="n"/>
      <c r="G54" s="13" t="n"/>
      <c r="H54" s="13" t="n"/>
      <c r="I54" s="13" t="n"/>
      <c r="J54" s="13" t="n"/>
      <c r="K54" s="13" t="n"/>
    </row>
    <row r="55">
      <c r="A55" s="3" t="inlineStr">
        <is>
          <t>UNAUTH-0051</t>
        </is>
      </c>
      <c r="B55" s="13" t="n"/>
      <c r="C55" s="13" t="n"/>
      <c r="D55" s="13" t="n"/>
      <c r="E55" s="13" t="n"/>
      <c r="F55" s="13" t="n"/>
      <c r="G55" s="13" t="n"/>
      <c r="H55" s="13" t="n"/>
      <c r="I55" s="13" t="n"/>
      <c r="J55" s="13" t="n"/>
      <c r="K55" s="13" t="n"/>
    </row>
    <row r="56">
      <c r="A56" s="3" t="inlineStr">
        <is>
          <t>UNAUTH-0052</t>
        </is>
      </c>
      <c r="B56" s="13" t="n"/>
      <c r="C56" s="13" t="n"/>
      <c r="D56" s="13" t="n"/>
      <c r="E56" s="13" t="n"/>
      <c r="F56" s="13" t="n"/>
      <c r="G56" s="13" t="n"/>
      <c r="H56" s="13" t="n"/>
      <c r="I56" s="13" t="n"/>
      <c r="J56" s="13" t="n"/>
      <c r="K56" s="13" t="n"/>
    </row>
    <row r="57">
      <c r="A57" s="3" t="inlineStr">
        <is>
          <t>UNAUTH-0053</t>
        </is>
      </c>
      <c r="B57" s="13" t="n"/>
      <c r="C57" s="13" t="n"/>
      <c r="D57" s="13" t="n"/>
      <c r="E57" s="13" t="n"/>
      <c r="F57" s="13" t="n"/>
      <c r="G57" s="13" t="n"/>
      <c r="H57" s="13" t="n"/>
      <c r="I57" s="13" t="n"/>
      <c r="J57" s="13" t="n"/>
      <c r="K57" s="13" t="n"/>
    </row>
    <row r="58">
      <c r="A58" s="3" t="inlineStr">
        <is>
          <t>UNAUTH-0054</t>
        </is>
      </c>
      <c r="B58" s="13" t="n"/>
      <c r="C58" s="13" t="n"/>
      <c r="D58" s="13" t="n"/>
      <c r="E58" s="13" t="n"/>
      <c r="F58" s="13" t="n"/>
      <c r="G58" s="13" t="n"/>
      <c r="H58" s="13" t="n"/>
      <c r="I58" s="13" t="n"/>
      <c r="J58" s="13" t="n"/>
      <c r="K58" s="13" t="n"/>
    </row>
    <row r="59">
      <c r="A59" s="3" t="inlineStr">
        <is>
          <t>UNAUTH-0055</t>
        </is>
      </c>
      <c r="B59" s="13" t="n"/>
      <c r="C59" s="13" t="n"/>
      <c r="D59" s="13" t="n"/>
      <c r="E59" s="13" t="n"/>
      <c r="F59" s="13" t="n"/>
      <c r="G59" s="13" t="n"/>
      <c r="H59" s="13" t="n"/>
      <c r="I59" s="13" t="n"/>
      <c r="J59" s="13" t="n"/>
      <c r="K59" s="13" t="n"/>
    </row>
    <row r="60">
      <c r="A60" s="3" t="inlineStr">
        <is>
          <t>UNAUTH-0056</t>
        </is>
      </c>
      <c r="B60" s="13" t="n"/>
      <c r="C60" s="13" t="n"/>
      <c r="D60" s="13" t="n"/>
      <c r="E60" s="13" t="n"/>
      <c r="F60" s="13" t="n"/>
      <c r="G60" s="13" t="n"/>
      <c r="H60" s="13" t="n"/>
      <c r="I60" s="13" t="n"/>
      <c r="J60" s="13" t="n"/>
      <c r="K60" s="13" t="n"/>
    </row>
    <row r="61">
      <c r="A61" s="3" t="inlineStr">
        <is>
          <t>UNAUTH-0057</t>
        </is>
      </c>
      <c r="B61" s="13" t="n"/>
      <c r="C61" s="13" t="n"/>
      <c r="D61" s="13" t="n"/>
      <c r="E61" s="13" t="n"/>
      <c r="F61" s="13" t="n"/>
      <c r="G61" s="13" t="n"/>
      <c r="H61" s="13" t="n"/>
      <c r="I61" s="13" t="n"/>
      <c r="J61" s="13" t="n"/>
      <c r="K61" s="13" t="n"/>
    </row>
    <row r="62">
      <c r="A62" s="3" t="inlineStr">
        <is>
          <t>UNAUTH-0058</t>
        </is>
      </c>
      <c r="B62" s="13" t="n"/>
      <c r="C62" s="13" t="n"/>
      <c r="D62" s="13" t="n"/>
      <c r="E62" s="13" t="n"/>
      <c r="F62" s="13" t="n"/>
      <c r="G62" s="13" t="n"/>
      <c r="H62" s="13" t="n"/>
      <c r="I62" s="13" t="n"/>
      <c r="J62" s="13" t="n"/>
      <c r="K62" s="13" t="n"/>
    </row>
    <row r="63">
      <c r="A63" s="3" t="inlineStr">
        <is>
          <t>UNAUTH-0059</t>
        </is>
      </c>
      <c r="B63" s="13" t="n"/>
      <c r="C63" s="13" t="n"/>
      <c r="D63" s="13" t="n"/>
      <c r="E63" s="13" t="n"/>
      <c r="F63" s="13" t="n"/>
      <c r="G63" s="13" t="n"/>
      <c r="H63" s="13" t="n"/>
      <c r="I63" s="13" t="n"/>
      <c r="J63" s="13" t="n"/>
      <c r="K63" s="13" t="n"/>
    </row>
    <row r="64">
      <c r="A64" s="3" t="inlineStr">
        <is>
          <t>UNAUTH-0060</t>
        </is>
      </c>
      <c r="B64" s="13" t="n"/>
      <c r="C64" s="13" t="n"/>
      <c r="D64" s="13" t="n"/>
      <c r="E64" s="13" t="n"/>
      <c r="F64" s="13" t="n"/>
      <c r="G64" s="13" t="n"/>
      <c r="H64" s="13" t="n"/>
      <c r="I64" s="13" t="n"/>
      <c r="J64" s="13" t="n"/>
      <c r="K64" s="13" t="n"/>
    </row>
    <row r="65">
      <c r="A65" s="3" t="inlineStr">
        <is>
          <t>UNAUTH-0061</t>
        </is>
      </c>
      <c r="B65" s="13" t="n"/>
      <c r="C65" s="13" t="n"/>
      <c r="D65" s="13" t="n"/>
      <c r="E65" s="13" t="n"/>
      <c r="F65" s="13" t="n"/>
      <c r="G65" s="13" t="n"/>
      <c r="H65" s="13" t="n"/>
      <c r="I65" s="13" t="n"/>
      <c r="J65" s="13" t="n"/>
      <c r="K65" s="13" t="n"/>
    </row>
    <row r="66">
      <c r="A66" s="3" t="inlineStr">
        <is>
          <t>UNAUTH-0062</t>
        </is>
      </c>
      <c r="B66" s="13" t="n"/>
      <c r="C66" s="13" t="n"/>
      <c r="D66" s="13" t="n"/>
      <c r="E66" s="13" t="n"/>
      <c r="F66" s="13" t="n"/>
      <c r="G66" s="13" t="n"/>
      <c r="H66" s="13" t="n"/>
      <c r="I66" s="13" t="n"/>
      <c r="J66" s="13" t="n"/>
      <c r="K66" s="13" t="n"/>
    </row>
    <row r="67">
      <c r="A67" s="3" t="inlineStr">
        <is>
          <t>UNAUTH-0063</t>
        </is>
      </c>
      <c r="B67" s="13" t="n"/>
      <c r="C67" s="13" t="n"/>
      <c r="D67" s="13" t="n"/>
      <c r="E67" s="13" t="n"/>
      <c r="F67" s="13" t="n"/>
      <c r="G67" s="13" t="n"/>
      <c r="H67" s="13" t="n"/>
      <c r="I67" s="13" t="n"/>
      <c r="J67" s="13" t="n"/>
      <c r="K67" s="13" t="n"/>
    </row>
    <row r="68">
      <c r="A68" s="3" t="inlineStr">
        <is>
          <t>UNAUTH-0064</t>
        </is>
      </c>
      <c r="B68" s="13" t="n"/>
      <c r="C68" s="13" t="n"/>
      <c r="D68" s="13" t="n"/>
      <c r="E68" s="13" t="n"/>
      <c r="F68" s="13" t="n"/>
      <c r="G68" s="13" t="n"/>
      <c r="H68" s="13" t="n"/>
      <c r="I68" s="13" t="n"/>
      <c r="J68" s="13" t="n"/>
      <c r="K68" s="13" t="n"/>
    </row>
    <row r="69">
      <c r="A69" s="3" t="inlineStr">
        <is>
          <t>UNAUTH-0065</t>
        </is>
      </c>
      <c r="B69" s="13" t="n"/>
      <c r="C69" s="13" t="n"/>
      <c r="D69" s="13" t="n"/>
      <c r="E69" s="13" t="n"/>
      <c r="F69" s="13" t="n"/>
      <c r="G69" s="13" t="n"/>
      <c r="H69" s="13" t="n"/>
      <c r="I69" s="13" t="n"/>
      <c r="J69" s="13" t="n"/>
      <c r="K69" s="13" t="n"/>
    </row>
    <row r="70">
      <c r="A70" s="3" t="inlineStr">
        <is>
          <t>UNAUTH-0066</t>
        </is>
      </c>
      <c r="B70" s="13" t="n"/>
      <c r="C70" s="13" t="n"/>
      <c r="D70" s="13" t="n"/>
      <c r="E70" s="13" t="n"/>
      <c r="F70" s="13" t="n"/>
      <c r="G70" s="13" t="n"/>
      <c r="H70" s="13" t="n"/>
      <c r="I70" s="13" t="n"/>
      <c r="J70" s="13" t="n"/>
      <c r="K70" s="13" t="n"/>
    </row>
    <row r="71">
      <c r="A71" s="3" t="inlineStr">
        <is>
          <t>UNAUTH-0067</t>
        </is>
      </c>
      <c r="B71" s="13" t="n"/>
      <c r="C71" s="13" t="n"/>
      <c r="D71" s="13" t="n"/>
      <c r="E71" s="13" t="n"/>
      <c r="F71" s="13" t="n"/>
      <c r="G71" s="13" t="n"/>
      <c r="H71" s="13" t="n"/>
      <c r="I71" s="13" t="n"/>
      <c r="J71" s="13" t="n"/>
      <c r="K71" s="13" t="n"/>
    </row>
    <row r="72">
      <c r="A72" s="3" t="inlineStr">
        <is>
          <t>UNAUTH-0068</t>
        </is>
      </c>
      <c r="B72" s="13" t="n"/>
      <c r="C72" s="13" t="n"/>
      <c r="D72" s="13" t="n"/>
      <c r="E72" s="13" t="n"/>
      <c r="F72" s="13" t="n"/>
      <c r="G72" s="13" t="n"/>
      <c r="H72" s="13" t="n"/>
      <c r="I72" s="13" t="n"/>
      <c r="J72" s="13" t="n"/>
      <c r="K72" s="13" t="n"/>
    </row>
    <row r="73">
      <c r="A73" s="3" t="inlineStr">
        <is>
          <t>UNAUTH-0069</t>
        </is>
      </c>
      <c r="B73" s="13" t="n"/>
      <c r="C73" s="13" t="n"/>
      <c r="D73" s="13" t="n"/>
      <c r="E73" s="13" t="n"/>
      <c r="F73" s="13" t="n"/>
      <c r="G73" s="13" t="n"/>
      <c r="H73" s="13" t="n"/>
      <c r="I73" s="13" t="n"/>
      <c r="J73" s="13" t="n"/>
      <c r="K73" s="13" t="n"/>
    </row>
    <row r="74">
      <c r="A74" s="3" t="inlineStr">
        <is>
          <t>UNAUTH-0070</t>
        </is>
      </c>
      <c r="B74" s="13" t="n"/>
      <c r="C74" s="13" t="n"/>
      <c r="D74" s="13" t="n"/>
      <c r="E74" s="13" t="n"/>
      <c r="F74" s="13" t="n"/>
      <c r="G74" s="13" t="n"/>
      <c r="H74" s="13" t="n"/>
      <c r="I74" s="13" t="n"/>
      <c r="J74" s="13" t="n"/>
      <c r="K74" s="13" t="n"/>
    </row>
    <row r="75">
      <c r="A75" s="3" t="inlineStr">
        <is>
          <t>UNAUTH-0071</t>
        </is>
      </c>
      <c r="B75" s="13" t="n"/>
      <c r="C75" s="13" t="n"/>
      <c r="D75" s="13" t="n"/>
      <c r="E75" s="13" t="n"/>
      <c r="F75" s="13" t="n"/>
      <c r="G75" s="13" t="n"/>
      <c r="H75" s="13" t="n"/>
      <c r="I75" s="13" t="n"/>
      <c r="J75" s="13" t="n"/>
      <c r="K75" s="13" t="n"/>
    </row>
    <row r="76">
      <c r="A76" s="3" t="inlineStr">
        <is>
          <t>UNAUTH-0072</t>
        </is>
      </c>
      <c r="B76" s="13" t="n"/>
      <c r="C76" s="13" t="n"/>
      <c r="D76" s="13" t="n"/>
      <c r="E76" s="13" t="n"/>
      <c r="F76" s="13" t="n"/>
      <c r="G76" s="13" t="n"/>
      <c r="H76" s="13" t="n"/>
      <c r="I76" s="13" t="n"/>
      <c r="J76" s="13" t="n"/>
      <c r="K76" s="13" t="n"/>
    </row>
    <row r="77">
      <c r="A77" s="3" t="inlineStr">
        <is>
          <t>UNAUTH-0073</t>
        </is>
      </c>
      <c r="B77" s="13" t="n"/>
      <c r="C77" s="13" t="n"/>
      <c r="D77" s="13" t="n"/>
      <c r="E77" s="13" t="n"/>
      <c r="F77" s="13" t="n"/>
      <c r="G77" s="13" t="n"/>
      <c r="H77" s="13" t="n"/>
      <c r="I77" s="13" t="n"/>
      <c r="J77" s="13" t="n"/>
      <c r="K77" s="13" t="n"/>
    </row>
    <row r="78">
      <c r="A78" s="3" t="inlineStr">
        <is>
          <t>UNAUTH-0074</t>
        </is>
      </c>
      <c r="B78" s="13" t="n"/>
      <c r="C78" s="13" t="n"/>
      <c r="D78" s="13" t="n"/>
      <c r="E78" s="13" t="n"/>
      <c r="F78" s="13" t="n"/>
      <c r="G78" s="13" t="n"/>
      <c r="H78" s="13" t="n"/>
      <c r="I78" s="13" t="n"/>
      <c r="J78" s="13" t="n"/>
      <c r="K78" s="13" t="n"/>
    </row>
    <row r="79">
      <c r="A79" s="3" t="inlineStr">
        <is>
          <t>UNAUTH-0075</t>
        </is>
      </c>
      <c r="B79" s="13" t="n"/>
      <c r="C79" s="13" t="n"/>
      <c r="D79" s="13" t="n"/>
      <c r="E79" s="13" t="n"/>
      <c r="F79" s="13" t="n"/>
      <c r="G79" s="13" t="n"/>
      <c r="H79" s="13" t="n"/>
      <c r="I79" s="13" t="n"/>
      <c r="J79" s="13" t="n"/>
      <c r="K79" s="13" t="n"/>
    </row>
    <row r="80">
      <c r="A80" s="3" t="inlineStr">
        <is>
          <t>UNAUTH-0076</t>
        </is>
      </c>
      <c r="B80" s="13" t="n"/>
      <c r="C80" s="13" t="n"/>
      <c r="D80" s="13" t="n"/>
      <c r="E80" s="13" t="n"/>
      <c r="F80" s="13" t="n"/>
      <c r="G80" s="13" t="n"/>
      <c r="H80" s="13" t="n"/>
      <c r="I80" s="13" t="n"/>
      <c r="J80" s="13" t="n"/>
      <c r="K80" s="13" t="n"/>
    </row>
    <row r="81">
      <c r="A81" s="3" t="inlineStr">
        <is>
          <t>UNAUTH-0077</t>
        </is>
      </c>
      <c r="B81" s="13" t="n"/>
      <c r="C81" s="13" t="n"/>
      <c r="D81" s="13" t="n"/>
      <c r="E81" s="13" t="n"/>
      <c r="F81" s="13" t="n"/>
      <c r="G81" s="13" t="n"/>
      <c r="H81" s="13" t="n"/>
      <c r="I81" s="13" t="n"/>
      <c r="J81" s="13" t="n"/>
      <c r="K81" s="13" t="n"/>
    </row>
    <row r="82">
      <c r="A82" s="3" t="inlineStr">
        <is>
          <t>UNAUTH-0078</t>
        </is>
      </c>
      <c r="B82" s="13" t="n"/>
      <c r="C82" s="13" t="n"/>
      <c r="D82" s="13" t="n"/>
      <c r="E82" s="13" t="n"/>
      <c r="F82" s="13" t="n"/>
      <c r="G82" s="13" t="n"/>
      <c r="H82" s="13" t="n"/>
      <c r="I82" s="13" t="n"/>
      <c r="J82" s="13" t="n"/>
      <c r="K82" s="13" t="n"/>
    </row>
    <row r="83">
      <c r="A83" s="3" t="inlineStr">
        <is>
          <t>UNAUTH-0079</t>
        </is>
      </c>
      <c r="B83" s="13" t="n"/>
      <c r="C83" s="13" t="n"/>
      <c r="D83" s="13" t="n"/>
      <c r="E83" s="13" t="n"/>
      <c r="F83" s="13" t="n"/>
      <c r="G83" s="13" t="n"/>
      <c r="H83" s="13" t="n"/>
      <c r="I83" s="13" t="n"/>
      <c r="J83" s="13" t="n"/>
      <c r="K83" s="13" t="n"/>
    </row>
    <row r="84">
      <c r="A84" s="3" t="inlineStr">
        <is>
          <t>UNAUTH-0080</t>
        </is>
      </c>
      <c r="B84" s="13" t="n"/>
      <c r="C84" s="13" t="n"/>
      <c r="D84" s="13" t="n"/>
      <c r="E84" s="13" t="n"/>
      <c r="F84" s="13" t="n"/>
      <c r="G84" s="13" t="n"/>
      <c r="H84" s="13" t="n"/>
      <c r="I84" s="13" t="n"/>
      <c r="J84" s="13" t="n"/>
      <c r="K84" s="13" t="n"/>
    </row>
    <row r="85">
      <c r="A85" s="3" t="inlineStr">
        <is>
          <t>UNAUTH-0081</t>
        </is>
      </c>
      <c r="B85" s="13" t="n"/>
      <c r="C85" s="13" t="n"/>
      <c r="D85" s="13" t="n"/>
      <c r="E85" s="13" t="n"/>
      <c r="F85" s="13" t="n"/>
      <c r="G85" s="13" t="n"/>
      <c r="H85" s="13" t="n"/>
      <c r="I85" s="13" t="n"/>
      <c r="J85" s="13" t="n"/>
      <c r="K85" s="13" t="n"/>
    </row>
    <row r="86">
      <c r="A86" s="3" t="inlineStr">
        <is>
          <t>UNAUTH-0082</t>
        </is>
      </c>
      <c r="B86" s="13" t="n"/>
      <c r="C86" s="13" t="n"/>
      <c r="D86" s="13" t="n"/>
      <c r="E86" s="13" t="n"/>
      <c r="F86" s="13" t="n"/>
      <c r="G86" s="13" t="n"/>
      <c r="H86" s="13" t="n"/>
      <c r="I86" s="13" t="n"/>
      <c r="J86" s="13" t="n"/>
      <c r="K86" s="13" t="n"/>
    </row>
    <row r="87">
      <c r="A87" s="3" t="inlineStr">
        <is>
          <t>UNAUTH-0083</t>
        </is>
      </c>
      <c r="B87" s="13" t="n"/>
      <c r="C87" s="13" t="n"/>
      <c r="D87" s="13" t="n"/>
      <c r="E87" s="13" t="n"/>
      <c r="F87" s="13" t="n"/>
      <c r="G87" s="13" t="n"/>
      <c r="H87" s="13" t="n"/>
      <c r="I87" s="13" t="n"/>
      <c r="J87" s="13" t="n"/>
      <c r="K87" s="13" t="n"/>
    </row>
    <row r="88">
      <c r="A88" s="3" t="inlineStr">
        <is>
          <t>UNAUTH-0084</t>
        </is>
      </c>
      <c r="B88" s="13" t="n"/>
      <c r="C88" s="13" t="n"/>
      <c r="D88" s="13" t="n"/>
      <c r="E88" s="13" t="n"/>
      <c r="F88" s="13" t="n"/>
      <c r="G88" s="13" t="n"/>
      <c r="H88" s="13" t="n"/>
      <c r="I88" s="13" t="n"/>
      <c r="J88" s="13" t="n"/>
      <c r="K88" s="13" t="n"/>
    </row>
    <row r="89">
      <c r="A89" s="3" t="inlineStr">
        <is>
          <t>UNAUTH-0085</t>
        </is>
      </c>
      <c r="B89" s="13" t="n"/>
      <c r="C89" s="13" t="n"/>
      <c r="D89" s="13" t="n"/>
      <c r="E89" s="13" t="n"/>
      <c r="F89" s="13" t="n"/>
      <c r="G89" s="13" t="n"/>
      <c r="H89" s="13" t="n"/>
      <c r="I89" s="13" t="n"/>
      <c r="J89" s="13" t="n"/>
      <c r="K89" s="13" t="n"/>
    </row>
    <row r="90">
      <c r="A90" s="3" t="inlineStr">
        <is>
          <t>UNAUTH-0086</t>
        </is>
      </c>
      <c r="B90" s="13" t="n"/>
      <c r="C90" s="13" t="n"/>
      <c r="D90" s="13" t="n"/>
      <c r="E90" s="13" t="n"/>
      <c r="F90" s="13" t="n"/>
      <c r="G90" s="13" t="n"/>
      <c r="H90" s="13" t="n"/>
      <c r="I90" s="13" t="n"/>
      <c r="J90" s="13" t="n"/>
      <c r="K90" s="13" t="n"/>
    </row>
    <row r="91">
      <c r="A91" s="3" t="inlineStr">
        <is>
          <t>UNAUTH-0087</t>
        </is>
      </c>
      <c r="B91" s="13" t="n"/>
      <c r="C91" s="13" t="n"/>
      <c r="D91" s="13" t="n"/>
      <c r="E91" s="13" t="n"/>
      <c r="F91" s="13" t="n"/>
      <c r="G91" s="13" t="n"/>
      <c r="H91" s="13" t="n"/>
      <c r="I91" s="13" t="n"/>
      <c r="J91" s="13" t="n"/>
      <c r="K91" s="13" t="n"/>
    </row>
    <row r="92">
      <c r="A92" s="3" t="inlineStr">
        <is>
          <t>UNAUTH-0088</t>
        </is>
      </c>
      <c r="B92" s="13" t="n"/>
      <c r="C92" s="13" t="n"/>
      <c r="D92" s="13" t="n"/>
      <c r="E92" s="13" t="n"/>
      <c r="F92" s="13" t="n"/>
      <c r="G92" s="13" t="n"/>
      <c r="H92" s="13" t="n"/>
      <c r="I92" s="13" t="n"/>
      <c r="J92" s="13" t="n"/>
      <c r="K92" s="13" t="n"/>
    </row>
    <row r="93">
      <c r="A93" s="3" t="inlineStr">
        <is>
          <t>UNAUTH-0089</t>
        </is>
      </c>
      <c r="B93" s="13" t="n"/>
      <c r="C93" s="13" t="n"/>
      <c r="D93" s="13" t="n"/>
      <c r="E93" s="13" t="n"/>
      <c r="F93" s="13" t="n"/>
      <c r="G93" s="13" t="n"/>
      <c r="H93" s="13" t="n"/>
      <c r="I93" s="13" t="n"/>
      <c r="J93" s="13" t="n"/>
      <c r="K93" s="13" t="n"/>
    </row>
    <row r="94">
      <c r="A94" s="3" t="inlineStr">
        <is>
          <t>UNAUTH-0090</t>
        </is>
      </c>
      <c r="B94" s="13" t="n"/>
      <c r="C94" s="13" t="n"/>
      <c r="D94" s="13" t="n"/>
      <c r="E94" s="13" t="n"/>
      <c r="F94" s="13" t="n"/>
      <c r="G94" s="13" t="n"/>
      <c r="H94" s="13" t="n"/>
      <c r="I94" s="13" t="n"/>
      <c r="J94" s="13" t="n"/>
      <c r="K94" s="13" t="n"/>
    </row>
    <row r="95">
      <c r="A95" s="3" t="inlineStr">
        <is>
          <t>UNAUTH-0091</t>
        </is>
      </c>
      <c r="B95" s="13" t="n"/>
      <c r="C95" s="13" t="n"/>
      <c r="D95" s="13" t="n"/>
      <c r="E95" s="13" t="n"/>
      <c r="F95" s="13" t="n"/>
      <c r="G95" s="13" t="n"/>
      <c r="H95" s="13" t="n"/>
      <c r="I95" s="13" t="n"/>
      <c r="J95" s="13" t="n"/>
      <c r="K95" s="13" t="n"/>
    </row>
    <row r="96">
      <c r="A96" s="3" t="inlineStr">
        <is>
          <t>UNAUTH-0092</t>
        </is>
      </c>
      <c r="B96" s="13" t="n"/>
      <c r="C96" s="13" t="n"/>
      <c r="D96" s="13" t="n"/>
      <c r="E96" s="13" t="n"/>
      <c r="F96" s="13" t="n"/>
      <c r="G96" s="13" t="n"/>
      <c r="H96" s="13" t="n"/>
      <c r="I96" s="13" t="n"/>
      <c r="J96" s="13" t="n"/>
      <c r="K96" s="13" t="n"/>
    </row>
    <row r="97">
      <c r="A97" s="3" t="inlineStr">
        <is>
          <t>UNAUTH-0093</t>
        </is>
      </c>
      <c r="B97" s="13" t="n"/>
      <c r="C97" s="13" t="n"/>
      <c r="D97" s="13" t="n"/>
      <c r="E97" s="13" t="n"/>
      <c r="F97" s="13" t="n"/>
      <c r="G97" s="13" t="n"/>
      <c r="H97" s="13" t="n"/>
      <c r="I97" s="13" t="n"/>
      <c r="J97" s="13" t="n"/>
      <c r="K97" s="13" t="n"/>
    </row>
    <row r="98">
      <c r="A98" s="3" t="inlineStr">
        <is>
          <t>UNAUTH-0094</t>
        </is>
      </c>
      <c r="B98" s="13" t="n"/>
      <c r="C98" s="13" t="n"/>
      <c r="D98" s="13" t="n"/>
      <c r="E98" s="13" t="n"/>
      <c r="F98" s="13" t="n"/>
      <c r="G98" s="13" t="n"/>
      <c r="H98" s="13" t="n"/>
      <c r="I98" s="13" t="n"/>
      <c r="J98" s="13" t="n"/>
      <c r="K98" s="13" t="n"/>
    </row>
    <row r="99">
      <c r="A99" s="3" t="inlineStr">
        <is>
          <t>UNAUTH-0095</t>
        </is>
      </c>
      <c r="B99" s="13" t="n"/>
      <c r="C99" s="13" t="n"/>
      <c r="D99" s="13" t="n"/>
      <c r="E99" s="13" t="n"/>
      <c r="F99" s="13" t="n"/>
      <c r="G99" s="13" t="n"/>
      <c r="H99" s="13" t="n"/>
      <c r="I99" s="13" t="n"/>
      <c r="J99" s="13" t="n"/>
      <c r="K99" s="13" t="n"/>
    </row>
    <row r="100">
      <c r="A100" s="3" t="inlineStr">
        <is>
          <t>UNAUTH-0096</t>
        </is>
      </c>
      <c r="B100" s="13" t="n"/>
      <c r="C100" s="13" t="n"/>
      <c r="D100" s="13" t="n"/>
      <c r="E100" s="13" t="n"/>
      <c r="F100" s="13" t="n"/>
      <c r="G100" s="13" t="n"/>
      <c r="H100" s="13" t="n"/>
      <c r="I100" s="13" t="n"/>
      <c r="J100" s="13" t="n"/>
      <c r="K100" s="13" t="n"/>
    </row>
    <row r="101">
      <c r="A101" s="3" t="inlineStr">
        <is>
          <t>UNAUTH-0097</t>
        </is>
      </c>
      <c r="B101" s="13" t="n"/>
      <c r="C101" s="13" t="n"/>
      <c r="D101" s="13" t="n"/>
      <c r="E101" s="13" t="n"/>
      <c r="F101" s="13" t="n"/>
      <c r="G101" s="13" t="n"/>
      <c r="H101" s="13" t="n"/>
      <c r="I101" s="13" t="n"/>
      <c r="J101" s="13" t="n"/>
      <c r="K101" s="13" t="n"/>
    </row>
    <row r="102">
      <c r="A102" s="3" t="inlineStr">
        <is>
          <t>UNAUTH-0098</t>
        </is>
      </c>
      <c r="B102" s="13" t="n"/>
      <c r="C102" s="13" t="n"/>
      <c r="D102" s="13" t="n"/>
      <c r="E102" s="13" t="n"/>
      <c r="F102" s="13" t="n"/>
      <c r="G102" s="13" t="n"/>
      <c r="H102" s="13" t="n"/>
      <c r="I102" s="13" t="n"/>
      <c r="J102" s="13" t="n"/>
      <c r="K102" s="13" t="n"/>
    </row>
    <row r="103">
      <c r="A103" s="3" t="inlineStr">
        <is>
          <t>UNAUTH-0099</t>
        </is>
      </c>
      <c r="B103" s="13" t="n"/>
      <c r="C103" s="13" t="n"/>
      <c r="D103" s="13" t="n"/>
      <c r="E103" s="13" t="n"/>
      <c r="F103" s="13" t="n"/>
      <c r="G103" s="13" t="n"/>
      <c r="H103" s="13" t="n"/>
      <c r="I103" s="13" t="n"/>
      <c r="J103" s="13" t="n"/>
      <c r="K103" s="13" t="n"/>
    </row>
    <row r="104">
      <c r="A104" s="3" t="inlineStr">
        <is>
          <t>UNAUTH-0100</t>
        </is>
      </c>
      <c r="B104" s="13" t="n"/>
      <c r="C104" s="13" t="n"/>
      <c r="D104" s="13" t="n"/>
      <c r="E104" s="13" t="n"/>
      <c r="F104" s="13" t="n"/>
      <c r="G104" s="13" t="n"/>
      <c r="H104" s="13" t="n"/>
      <c r="I104" s="13" t="n"/>
      <c r="J104" s="13" t="n"/>
      <c r="K104" s="13" t="n"/>
    </row>
    <row r="107">
      <c r="A107" s="2" t="inlineStr">
        <is>
          <t>📊 UNAUTHORIZED SOFTWARE SUMMARY</t>
        </is>
      </c>
    </row>
    <row r="108">
      <c r="A108" t="inlineStr">
        <is>
          <t>Total Unauthorized Detections:</t>
        </is>
      </c>
      <c r="B108">
        <f>COUNTA(B5:B104)</f>
        <v/>
      </c>
    </row>
    <row r="109">
      <c r="A109" t="inlineStr">
        <is>
          <t>✅ Remediated:</t>
        </is>
      </c>
      <c r="B109">
        <f>COUNTIF(J5:J104,"✅ Removed")+COUNTIF(J5:J104,"✅ Approved Retroactively")</f>
        <v/>
      </c>
    </row>
    <row r="110">
      <c r="A110" t="inlineStr">
        <is>
          <t>Remediation Rate:</t>
        </is>
      </c>
      <c r="B110" s="14">
        <f>IF(B108&gt;0,B109/B108*100,0)&amp;"%"</f>
        <v/>
      </c>
    </row>
    <row r="112">
      <c r="A112" s="3" t="inlineStr">
        <is>
          <t>By Risk Level:</t>
        </is>
      </c>
    </row>
    <row r="113">
      <c r="A113" t="inlineStr">
        <is>
          <t>🔴 Critical:</t>
        </is>
      </c>
      <c r="B113">
        <f>COUNTIF(G5:G104,"🔴 Critical")</f>
        <v/>
      </c>
    </row>
    <row r="114">
      <c r="A114" t="inlineStr">
        <is>
          <t>🟠 High:</t>
        </is>
      </c>
      <c r="B114">
        <f>COUNTIF(G5:G104,"🟠 High")</f>
        <v/>
      </c>
    </row>
  </sheetData>
  <mergeCells count="3">
    <mergeCell ref="A2:K2"/>
    <mergeCell ref="A1:K1"/>
    <mergeCell ref="A107:C107"/>
  </mergeCells>
  <dataValidations count="101">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 Critical,🟠 High,🟡 Medium,🟢 Low"</formula1>
    </dataValidation>
    <dataValidation sqref="J5" showDropDown="0" showInputMessage="0" showErrorMessage="0" allowBlank="0" type="list">
      <formula1>"⏳ Pending,🔄 In Progress,✅ Removed,✅ Approved Retroactively,❌ Unresolved"</formula1>
    </dataValidation>
    <dataValidation sqref="J6" showDropDown="0" showInputMessage="0" showErrorMessage="0" allowBlank="0" type="list">
      <formula1>"⏳ Pending,🔄 In Progress,✅ Removed,✅ Approved Retroactively,❌ Unresolved"</formula1>
    </dataValidation>
    <dataValidation sqref="J7" showDropDown="0" showInputMessage="0" showErrorMessage="0" allowBlank="0" type="list">
      <formula1>"⏳ Pending,🔄 In Progress,✅ Removed,✅ Approved Retroactively,❌ Unresolved"</formula1>
    </dataValidation>
    <dataValidation sqref="J8" showDropDown="0" showInputMessage="0" showErrorMessage="0" allowBlank="0" type="list">
      <formula1>"⏳ Pending,🔄 In Progress,✅ Removed,✅ Approved Retroactively,❌ Unresolved"</formula1>
    </dataValidation>
    <dataValidation sqref="J9" showDropDown="0" showInputMessage="0" showErrorMessage="0" allowBlank="0" type="list">
      <formula1>"⏳ Pending,🔄 In Progress,✅ Removed,✅ Approved Retroactively,❌ Unresolved"</formula1>
    </dataValidation>
    <dataValidation sqref="J10" showDropDown="0" showInputMessage="0" showErrorMessage="0" allowBlank="0" type="list">
      <formula1>"⏳ Pending,🔄 In Progress,✅ Removed,✅ Approved Retroactively,❌ Unresolved"</formula1>
    </dataValidation>
    <dataValidation sqref="J11" showDropDown="0" showInputMessage="0" showErrorMessage="0" allowBlank="0" type="list">
      <formula1>"⏳ Pending,🔄 In Progress,✅ Removed,✅ Approved Retroactively,❌ Unresolved"</formula1>
    </dataValidation>
    <dataValidation sqref="J12" showDropDown="0" showInputMessage="0" showErrorMessage="0" allowBlank="0" type="list">
      <formula1>"⏳ Pending,🔄 In Progress,✅ Removed,✅ Approved Retroactively,❌ Unresolved"</formula1>
    </dataValidation>
    <dataValidation sqref="J13" showDropDown="0" showInputMessage="0" showErrorMessage="0" allowBlank="0" type="list">
      <formula1>"⏳ Pending,🔄 In Progress,✅ Removed,✅ Approved Retroactively,❌ Unresolved"</formula1>
    </dataValidation>
    <dataValidation sqref="J14" showDropDown="0" showInputMessage="0" showErrorMessage="0" allowBlank="0" type="list">
      <formula1>"⏳ Pending,🔄 In Progress,✅ Removed,✅ Approved Retroactively,❌ Unresolved"</formula1>
    </dataValidation>
    <dataValidation sqref="J15" showDropDown="0" showInputMessage="0" showErrorMessage="0" allowBlank="0" type="list">
      <formula1>"⏳ Pending,🔄 In Progress,✅ Removed,✅ Approved Retroactively,❌ Unresolved"</formula1>
    </dataValidation>
    <dataValidation sqref="J16" showDropDown="0" showInputMessage="0" showErrorMessage="0" allowBlank="0" type="list">
      <formula1>"⏳ Pending,🔄 In Progress,✅ Removed,✅ Approved Retroactively,❌ Unresolved"</formula1>
    </dataValidation>
    <dataValidation sqref="J17" showDropDown="0" showInputMessage="0" showErrorMessage="0" allowBlank="0" type="list">
      <formula1>"⏳ Pending,🔄 In Progress,✅ Removed,✅ Approved Retroactively,❌ Unresolved"</formula1>
    </dataValidation>
    <dataValidation sqref="J18" showDropDown="0" showInputMessage="0" showErrorMessage="0" allowBlank="0" type="list">
      <formula1>"⏳ Pending,🔄 In Progress,✅ Removed,✅ Approved Retroactively,❌ Unresolved"</formula1>
    </dataValidation>
    <dataValidation sqref="J19" showDropDown="0" showInputMessage="0" showErrorMessage="0" allowBlank="0" type="list">
      <formula1>"⏳ Pending,🔄 In Progress,✅ Removed,✅ Approved Retroactively,❌ Unresolved"</formula1>
    </dataValidation>
    <dataValidation sqref="J20" showDropDown="0" showInputMessage="0" showErrorMessage="0" allowBlank="0" type="list">
      <formula1>"⏳ Pending,🔄 In Progress,✅ Removed,✅ Approved Retroactively,❌ Unresolved"</formula1>
    </dataValidation>
    <dataValidation sqref="J21" showDropDown="0" showInputMessage="0" showErrorMessage="0" allowBlank="0" type="list">
      <formula1>"⏳ Pending,🔄 In Progress,✅ Removed,✅ Approved Retroactively,❌ Unresolved"</formula1>
    </dataValidation>
    <dataValidation sqref="J22" showDropDown="0" showInputMessage="0" showErrorMessage="0" allowBlank="0" type="list">
      <formula1>"⏳ Pending,🔄 In Progress,✅ Removed,✅ Approved Retroactively,❌ Unresolved"</formula1>
    </dataValidation>
    <dataValidation sqref="J23" showDropDown="0" showInputMessage="0" showErrorMessage="0" allowBlank="0" type="list">
      <formula1>"⏳ Pending,🔄 In Progress,✅ Removed,✅ Approved Retroactively,❌ Unresolved"</formula1>
    </dataValidation>
    <dataValidation sqref="J24" showDropDown="0" showInputMessage="0" showErrorMessage="0" allowBlank="0" type="list">
      <formula1>"⏳ Pending,🔄 In Progress,✅ Removed,✅ Approved Retroactively,❌ Unresolved"</formula1>
    </dataValidation>
    <dataValidation sqref="J25" showDropDown="0" showInputMessage="0" showErrorMessage="0" allowBlank="0" type="list">
      <formula1>"⏳ Pending,🔄 In Progress,✅ Removed,✅ Approved Retroactively,❌ Unresolved"</formula1>
    </dataValidation>
    <dataValidation sqref="J26" showDropDown="0" showInputMessage="0" showErrorMessage="0" allowBlank="0" type="list">
      <formula1>"⏳ Pending,🔄 In Progress,✅ Removed,✅ Approved Retroactively,❌ Unresolved"</formula1>
    </dataValidation>
    <dataValidation sqref="J27" showDropDown="0" showInputMessage="0" showErrorMessage="0" allowBlank="0" type="list">
      <formula1>"⏳ Pending,🔄 In Progress,✅ Removed,✅ Approved Retroactively,❌ Unresolved"</formula1>
    </dataValidation>
    <dataValidation sqref="J28" showDropDown="0" showInputMessage="0" showErrorMessage="0" allowBlank="0" type="list">
      <formula1>"⏳ Pending,🔄 In Progress,✅ Removed,✅ Approved Retroactively,❌ Unresolved"</formula1>
    </dataValidation>
    <dataValidation sqref="J29" showDropDown="0" showInputMessage="0" showErrorMessage="0" allowBlank="0" type="list">
      <formula1>"⏳ Pending,🔄 In Progress,✅ Removed,✅ Approved Retroactively,❌ Unresolved"</formula1>
    </dataValidation>
    <dataValidation sqref="J30" showDropDown="0" showInputMessage="0" showErrorMessage="0" allowBlank="0" type="list">
      <formula1>"⏳ Pending,🔄 In Progress,✅ Removed,✅ Approved Retroactively,❌ Unresolved"</formula1>
    </dataValidation>
    <dataValidation sqref="J31" showDropDown="0" showInputMessage="0" showErrorMessage="0" allowBlank="0" type="list">
      <formula1>"⏳ Pending,🔄 In Progress,✅ Removed,✅ Approved Retroactively,❌ Unresolved"</formula1>
    </dataValidation>
    <dataValidation sqref="J32" showDropDown="0" showInputMessage="0" showErrorMessage="0" allowBlank="0" type="list">
      <formula1>"⏳ Pending,🔄 In Progress,✅ Removed,✅ Approved Retroactively,❌ Unresolved"</formula1>
    </dataValidation>
    <dataValidation sqref="J33" showDropDown="0" showInputMessage="0" showErrorMessage="0" allowBlank="0" type="list">
      <formula1>"⏳ Pending,🔄 In Progress,✅ Removed,✅ Approved Retroactively,❌ Unresolved"</formula1>
    </dataValidation>
    <dataValidation sqref="J34" showDropDown="0" showInputMessage="0" showErrorMessage="0" allowBlank="0" type="list">
      <formula1>"⏳ Pending,🔄 In Progress,✅ Removed,✅ Approved Retroactively,❌ Unresolved"</formula1>
    </dataValidation>
    <dataValidation sqref="J35" showDropDown="0" showInputMessage="0" showErrorMessage="0" allowBlank="0" type="list">
      <formula1>"⏳ Pending,🔄 In Progress,✅ Removed,✅ Approved Retroactively,❌ Unresolved"</formula1>
    </dataValidation>
    <dataValidation sqref="J36" showDropDown="0" showInputMessage="0" showErrorMessage="0" allowBlank="0" type="list">
      <formula1>"⏳ Pending,🔄 In Progress,✅ Removed,✅ Approved Retroactively,❌ Unresolved"</formula1>
    </dataValidation>
    <dataValidation sqref="J37" showDropDown="0" showInputMessage="0" showErrorMessage="0" allowBlank="0" type="list">
      <formula1>"⏳ Pending,🔄 In Progress,✅ Removed,✅ Approved Retroactively,❌ Unresolved"</formula1>
    </dataValidation>
    <dataValidation sqref="J38" showDropDown="0" showInputMessage="0" showErrorMessage="0" allowBlank="0" type="list">
      <formula1>"⏳ Pending,🔄 In Progress,✅ Removed,✅ Approved Retroactively,❌ Unresolved"</formula1>
    </dataValidation>
    <dataValidation sqref="J39" showDropDown="0" showInputMessage="0" showErrorMessage="0" allowBlank="0" type="list">
      <formula1>"⏳ Pending,🔄 In Progress,✅ Removed,✅ Approved Retroactively,❌ Unresolved"</formula1>
    </dataValidation>
    <dataValidation sqref="J40" showDropDown="0" showInputMessage="0" showErrorMessage="0" allowBlank="0" type="list">
      <formula1>"⏳ Pending,🔄 In Progress,✅ Removed,✅ Approved Retroactively,❌ Unresolved"</formula1>
    </dataValidation>
    <dataValidation sqref="J41" showDropDown="0" showInputMessage="0" showErrorMessage="0" allowBlank="0" type="list">
      <formula1>"⏳ Pending,🔄 In Progress,✅ Removed,✅ Approved Retroactively,❌ Unresolved"</formula1>
    </dataValidation>
    <dataValidation sqref="J42" showDropDown="0" showInputMessage="0" showErrorMessage="0" allowBlank="0" type="list">
      <formula1>"⏳ Pending,🔄 In Progress,✅ Removed,✅ Approved Retroactively,❌ Unresolved"</formula1>
    </dataValidation>
    <dataValidation sqref="J43" showDropDown="0" showInputMessage="0" showErrorMessage="0" allowBlank="0" type="list">
      <formula1>"⏳ Pending,🔄 In Progress,✅ Removed,✅ Approved Retroactively,❌ Unresolved"</formula1>
    </dataValidation>
    <dataValidation sqref="J44" showDropDown="0" showInputMessage="0" showErrorMessage="0" allowBlank="0" type="list">
      <formula1>"⏳ Pending,🔄 In Progress,✅ Removed,✅ Approved Retroactively,❌ Unresolved"</formula1>
    </dataValidation>
    <dataValidation sqref="J45" showDropDown="0" showInputMessage="0" showErrorMessage="0" allowBlank="0" type="list">
      <formula1>"⏳ Pending,🔄 In Progress,✅ Removed,✅ Approved Retroactively,❌ Unresolved"</formula1>
    </dataValidation>
    <dataValidation sqref="J46" showDropDown="0" showInputMessage="0" showErrorMessage="0" allowBlank="0" type="list">
      <formula1>"⏳ Pending,🔄 In Progress,✅ Removed,✅ Approved Retroactively,❌ Unresolved"</formula1>
    </dataValidation>
    <dataValidation sqref="J47" showDropDown="0" showInputMessage="0" showErrorMessage="0" allowBlank="0" type="list">
      <formula1>"⏳ Pending,🔄 In Progress,✅ Removed,✅ Approved Retroactively,❌ Unresolved"</formula1>
    </dataValidation>
    <dataValidation sqref="J48" showDropDown="0" showInputMessage="0" showErrorMessage="0" allowBlank="0" type="list">
      <formula1>"⏳ Pending,🔄 In Progress,✅ Removed,✅ Approved Retroactively,❌ Unresolved"</formula1>
    </dataValidation>
    <dataValidation sqref="J49" showDropDown="0" showInputMessage="0" showErrorMessage="0" allowBlank="0" type="list">
      <formula1>"⏳ Pending,🔄 In Progress,✅ Removed,✅ Approved Retroactively,❌ Unresolved"</formula1>
    </dataValidation>
    <dataValidation sqref="J50" showDropDown="0" showInputMessage="0" showErrorMessage="0" allowBlank="0" type="list">
      <formula1>"⏳ Pending,🔄 In Progress,✅ Removed,✅ Approved Retroactively,❌ Unresolved"</formula1>
    </dataValidation>
    <dataValidation sqref="J51" showDropDown="0" showInputMessage="0" showErrorMessage="0" allowBlank="0" type="list">
      <formula1>"⏳ Pending,🔄 In Progress,✅ Removed,✅ Approved Retroactively,❌ Unresolved"</formula1>
    </dataValidation>
    <dataValidation sqref="J52" showDropDown="0" showInputMessage="0" showErrorMessage="0" allowBlank="0" type="list">
      <formula1>"⏳ Pending,🔄 In Progress,✅ Removed,✅ Approved Retroactively,❌ Unresolved"</formula1>
    </dataValidation>
    <dataValidation sqref="J53" showDropDown="0" showInputMessage="0" showErrorMessage="0" allowBlank="0" type="list">
      <formula1>"⏳ Pending,🔄 In Progress,✅ Removed,✅ Approved Retroactively,❌ Unresolved"</formula1>
    </dataValidation>
    <dataValidation sqref="J54" showDropDown="0" showInputMessage="0" showErrorMessage="0" allowBlank="0" type="list">
      <formula1>"⏳ Pending,🔄 In Progress,✅ Removed,✅ Approved Retroactively,❌ Unresolved"</formula1>
    </dataValidation>
    <dataValidation sqref="J55" showDropDown="0" showInputMessage="0" showErrorMessage="0" allowBlank="0" type="list">
      <formula1>"⏳ Pending,🔄 In Progress,✅ Removed,✅ Approved Retroactively,❌ Unresolved"</formula1>
    </dataValidation>
    <dataValidation sqref="J56" showDropDown="0" showInputMessage="0" showErrorMessage="0" allowBlank="0" type="list">
      <formula1>"⏳ Pending,🔄 In Progress,✅ Removed,✅ Approved Retroactively,❌ Unresolved"</formula1>
    </dataValidation>
    <dataValidation sqref="J57" showDropDown="0" showInputMessage="0" showErrorMessage="0" allowBlank="0" type="list">
      <formula1>"⏳ Pending,🔄 In Progress,✅ Removed,✅ Approved Retroactively,❌ Unresolved"</formula1>
    </dataValidation>
    <dataValidation sqref="J58" showDropDown="0" showInputMessage="0" showErrorMessage="0" allowBlank="0" type="list">
      <formula1>"⏳ Pending,🔄 In Progress,✅ Removed,✅ Approved Retroactively,❌ Unresolved"</formula1>
    </dataValidation>
    <dataValidation sqref="J59" showDropDown="0" showInputMessage="0" showErrorMessage="0" allowBlank="0" type="list">
      <formula1>"⏳ Pending,🔄 In Progress,✅ Removed,✅ Approved Retroactively,❌ Unresolved"</formula1>
    </dataValidation>
    <dataValidation sqref="J60" showDropDown="0" showInputMessage="0" showErrorMessage="0" allowBlank="0" type="list">
      <formula1>"⏳ Pending,🔄 In Progress,✅ Removed,✅ Approved Retroactively,❌ Unresolved"</formula1>
    </dataValidation>
    <dataValidation sqref="J61" showDropDown="0" showInputMessage="0" showErrorMessage="0" allowBlank="0" type="list">
      <formula1>"⏳ Pending,🔄 In Progress,✅ Removed,✅ Approved Retroactively,❌ Unresolved"</formula1>
    </dataValidation>
    <dataValidation sqref="J62" showDropDown="0" showInputMessage="0" showErrorMessage="0" allowBlank="0" type="list">
      <formula1>"⏳ Pending,🔄 In Progress,✅ Removed,✅ Approved Retroactively,❌ Unresolved"</formula1>
    </dataValidation>
    <dataValidation sqref="J63" showDropDown="0" showInputMessage="0" showErrorMessage="0" allowBlank="0" type="list">
      <formula1>"⏳ Pending,🔄 In Progress,✅ Removed,✅ Approved Retroactively,❌ Unresolved"</formula1>
    </dataValidation>
    <dataValidation sqref="J64" showDropDown="0" showInputMessage="0" showErrorMessage="0" allowBlank="0" type="list">
      <formula1>"⏳ Pending,🔄 In Progress,✅ Removed,✅ Approved Retroactively,❌ Unresolved"</formula1>
    </dataValidation>
    <dataValidation sqref="J65" showDropDown="0" showInputMessage="0" showErrorMessage="0" allowBlank="0" type="list">
      <formula1>"⏳ Pending,🔄 In Progress,✅ Removed,✅ Approved Retroactively,❌ Unresolved"</formula1>
    </dataValidation>
    <dataValidation sqref="J66" showDropDown="0" showInputMessage="0" showErrorMessage="0" allowBlank="0" type="list">
      <formula1>"⏳ Pending,🔄 In Progress,✅ Removed,✅ Approved Retroactively,❌ Unresolved"</formula1>
    </dataValidation>
    <dataValidation sqref="J67" showDropDown="0" showInputMessage="0" showErrorMessage="0" allowBlank="0" type="list">
      <formula1>"⏳ Pending,🔄 In Progress,✅ Removed,✅ Approved Retroactively,❌ Unresolved"</formula1>
    </dataValidation>
    <dataValidation sqref="J68" showDropDown="0" showInputMessage="0" showErrorMessage="0" allowBlank="0" type="list">
      <formula1>"⏳ Pending,🔄 In Progress,✅ Removed,✅ Approved Retroactively,❌ Unresolved"</formula1>
    </dataValidation>
    <dataValidation sqref="J69" showDropDown="0" showInputMessage="0" showErrorMessage="0" allowBlank="0" type="list">
      <formula1>"⏳ Pending,🔄 In Progress,✅ Removed,✅ Approved Retroactively,❌ Unresolved"</formula1>
    </dataValidation>
    <dataValidation sqref="J70" showDropDown="0" showInputMessage="0" showErrorMessage="0" allowBlank="0" type="list">
      <formula1>"⏳ Pending,🔄 In Progress,✅ Removed,✅ Approved Retroactively,❌ Unresolved"</formula1>
    </dataValidation>
    <dataValidation sqref="J71" showDropDown="0" showInputMessage="0" showErrorMessage="0" allowBlank="0" type="list">
      <formula1>"⏳ Pending,🔄 In Progress,✅ Removed,✅ Approved Retroactively,❌ Unresolved"</formula1>
    </dataValidation>
    <dataValidation sqref="J72" showDropDown="0" showInputMessage="0" showErrorMessage="0" allowBlank="0" type="list">
      <formula1>"⏳ Pending,🔄 In Progress,✅ Removed,✅ Approved Retroactively,❌ Unresolved"</formula1>
    </dataValidation>
    <dataValidation sqref="J73" showDropDown="0" showInputMessage="0" showErrorMessage="0" allowBlank="0" type="list">
      <formula1>"⏳ Pending,🔄 In Progress,✅ Removed,✅ Approved Retroactively,❌ Unresolved"</formula1>
    </dataValidation>
    <dataValidation sqref="J74" showDropDown="0" showInputMessage="0" showErrorMessage="0" allowBlank="0" type="list">
      <formula1>"⏳ Pending,🔄 In Progress,✅ Removed,✅ Approved Retroactively,❌ Unresolved"</formula1>
    </dataValidation>
    <dataValidation sqref="J75" showDropDown="0" showInputMessage="0" showErrorMessage="0" allowBlank="0" type="list">
      <formula1>"⏳ Pending,🔄 In Progress,✅ Removed,✅ Approved Retroactively,❌ Unresolved"</formula1>
    </dataValidation>
    <dataValidation sqref="J76" showDropDown="0" showInputMessage="0" showErrorMessage="0" allowBlank="0" type="list">
      <formula1>"⏳ Pending,🔄 In Progress,✅ Removed,✅ Approved Retroactively,❌ Unresolved"</formula1>
    </dataValidation>
    <dataValidation sqref="J77" showDropDown="0" showInputMessage="0" showErrorMessage="0" allowBlank="0" type="list">
      <formula1>"⏳ Pending,🔄 In Progress,✅ Removed,✅ Approved Retroactively,❌ Unresolved"</formula1>
    </dataValidation>
    <dataValidation sqref="J78" showDropDown="0" showInputMessage="0" showErrorMessage="0" allowBlank="0" type="list">
      <formula1>"⏳ Pending,🔄 In Progress,✅ Removed,✅ Approved Retroactively,❌ Unresolved"</formula1>
    </dataValidation>
    <dataValidation sqref="J79" showDropDown="0" showInputMessage="0" showErrorMessage="0" allowBlank="0" type="list">
      <formula1>"⏳ Pending,🔄 In Progress,✅ Removed,✅ Approved Retroactively,❌ Unresolved"</formula1>
    </dataValidation>
    <dataValidation sqref="J80" showDropDown="0" showInputMessage="0" showErrorMessage="0" allowBlank="0" type="list">
      <formula1>"⏳ Pending,🔄 In Progress,✅ Removed,✅ Approved Retroactively,❌ Unresolved"</formula1>
    </dataValidation>
    <dataValidation sqref="J81" showDropDown="0" showInputMessage="0" showErrorMessage="0" allowBlank="0" type="list">
      <formula1>"⏳ Pending,🔄 In Progress,✅ Removed,✅ Approved Retroactively,❌ Unresolved"</formula1>
    </dataValidation>
    <dataValidation sqref="J82" showDropDown="0" showInputMessage="0" showErrorMessage="0" allowBlank="0" type="list">
      <formula1>"⏳ Pending,🔄 In Progress,✅ Removed,✅ Approved Retroactively,❌ Unresolved"</formula1>
    </dataValidation>
    <dataValidation sqref="J83" showDropDown="0" showInputMessage="0" showErrorMessage="0" allowBlank="0" type="list">
      <formula1>"⏳ Pending,🔄 In Progress,✅ Removed,✅ Approved Retroactively,❌ Unresolved"</formula1>
    </dataValidation>
    <dataValidation sqref="J84" showDropDown="0" showInputMessage="0" showErrorMessage="0" allowBlank="0" type="list">
      <formula1>"⏳ Pending,🔄 In Progress,✅ Removed,✅ Approved Retroactively,❌ Unresolved"</formula1>
    </dataValidation>
    <dataValidation sqref="J85" showDropDown="0" showInputMessage="0" showErrorMessage="0" allowBlank="0" type="list">
      <formula1>"⏳ Pending,🔄 In Progress,✅ Removed,✅ Approved Retroactively,❌ Unresolved"</formula1>
    </dataValidation>
    <dataValidation sqref="J86" showDropDown="0" showInputMessage="0" showErrorMessage="0" allowBlank="0" type="list">
      <formula1>"⏳ Pending,🔄 In Progress,✅ Removed,✅ Approved Retroactively,❌ Unresolved"</formula1>
    </dataValidation>
    <dataValidation sqref="J87" showDropDown="0" showInputMessage="0" showErrorMessage="0" allowBlank="0" type="list">
      <formula1>"⏳ Pending,🔄 In Progress,✅ Removed,✅ Approved Retroactively,❌ Unresolved"</formula1>
    </dataValidation>
    <dataValidation sqref="J88" showDropDown="0" showInputMessage="0" showErrorMessage="0" allowBlank="0" type="list">
      <formula1>"⏳ Pending,🔄 In Progress,✅ Removed,✅ Approved Retroactively,❌ Unresolved"</formula1>
    </dataValidation>
    <dataValidation sqref="J89" showDropDown="0" showInputMessage="0" showErrorMessage="0" allowBlank="0" type="list">
      <formula1>"⏳ Pending,🔄 In Progress,✅ Removed,✅ Approved Retroactively,❌ Unresolved"</formula1>
    </dataValidation>
    <dataValidation sqref="J90" showDropDown="0" showInputMessage="0" showErrorMessage="0" allowBlank="0" type="list">
      <formula1>"⏳ Pending,🔄 In Progress,✅ Removed,✅ Approved Retroactively,❌ Unresolved"</formula1>
    </dataValidation>
    <dataValidation sqref="J91" showDropDown="0" showInputMessage="0" showErrorMessage="0" allowBlank="0" type="list">
      <formula1>"⏳ Pending,🔄 In Progress,✅ Removed,✅ Approved Retroactively,❌ Unresolved"</formula1>
    </dataValidation>
    <dataValidation sqref="J92" showDropDown="0" showInputMessage="0" showErrorMessage="0" allowBlank="0" type="list">
      <formula1>"⏳ Pending,🔄 In Progress,✅ Removed,✅ Approved Retroactively,❌ Unresolved"</formula1>
    </dataValidation>
    <dataValidation sqref="J93" showDropDown="0" showInputMessage="0" showErrorMessage="0" allowBlank="0" type="list">
      <formula1>"⏳ Pending,🔄 In Progress,✅ Removed,✅ Approved Retroactively,❌ Unresolved"</formula1>
    </dataValidation>
    <dataValidation sqref="J94" showDropDown="0" showInputMessage="0" showErrorMessage="0" allowBlank="0" type="list">
      <formula1>"⏳ Pending,🔄 In Progress,✅ Removed,✅ Approved Retroactively,❌ Unresolved"</formula1>
    </dataValidation>
    <dataValidation sqref="J95" showDropDown="0" showInputMessage="0" showErrorMessage="0" allowBlank="0" type="list">
      <formula1>"⏳ Pending,🔄 In Progress,✅ Removed,✅ Approved Retroactively,❌ Unresolved"</formula1>
    </dataValidation>
    <dataValidation sqref="J96" showDropDown="0" showInputMessage="0" showErrorMessage="0" allowBlank="0" type="list">
      <formula1>"⏳ Pending,🔄 In Progress,✅ Removed,✅ Approved Retroactively,❌ Unresolved"</formula1>
    </dataValidation>
    <dataValidation sqref="J97" showDropDown="0" showInputMessage="0" showErrorMessage="0" allowBlank="0" type="list">
      <formula1>"⏳ Pending,🔄 In Progress,✅ Removed,✅ Approved Retroactively,❌ Unresolved"</formula1>
    </dataValidation>
    <dataValidation sqref="J98" showDropDown="0" showInputMessage="0" showErrorMessage="0" allowBlank="0" type="list">
      <formula1>"⏳ Pending,🔄 In Progress,✅ Removed,✅ Approved Retroactively,❌ Unresolved"</formula1>
    </dataValidation>
    <dataValidation sqref="J99" showDropDown="0" showInputMessage="0" showErrorMessage="0" allowBlank="0" type="list">
      <formula1>"⏳ Pending,🔄 In Progress,✅ Removed,✅ Approved Retroactively,❌ Unresolved"</formula1>
    </dataValidation>
    <dataValidation sqref="J100" showDropDown="0" showInputMessage="0" showErrorMessage="0" allowBlank="0" type="list">
      <formula1>"⏳ Pending,🔄 In Progress,✅ Removed,✅ Approved Retroactively,❌ Unresolved"</formula1>
    </dataValidation>
    <dataValidation sqref="J101" showDropDown="0" showInputMessage="0" showErrorMessage="0" allowBlank="0" type="list">
      <formula1>"⏳ Pending,🔄 In Progress,✅ Removed,✅ Approved Retroactively,❌ Unresolved"</formula1>
    </dataValidation>
    <dataValidation sqref="J102" showDropDown="0" showInputMessage="0" showErrorMessage="0" allowBlank="0" type="list">
      <formula1>"⏳ Pending,🔄 In Progress,✅ Removed,✅ Approved Retroactively,❌ Unresolved"</formula1>
    </dataValidation>
    <dataValidation sqref="J103" showDropDown="0" showInputMessage="0" showErrorMessage="0" allowBlank="0" type="list">
      <formula1>"⏳ Pending,🔄 In Progress,✅ Removed,✅ Approved Retroactively,❌ Unresolved"</formula1>
    </dataValidation>
    <dataValidation sqref="J104" showDropDown="0" showInputMessage="0" showErrorMessage="0" allowBlank="0" type="list">
      <formula1>"⏳ Pending,🔄 In Progress,✅ Removed,✅ Approved Retroactively,❌ Unresolved"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0"/>
  <sheetViews>
    <sheetView workbookViewId="0">
      <selection activeCell="A1" sqref="A1"/>
    </sheetView>
  </sheetViews>
  <sheetFormatPr baseColWidth="8" defaultRowHeight="15"/>
  <cols>
    <col width="12" customWidth="1" min="1" max="1"/>
    <col width="20" customWidth="1" min="2" max="2"/>
    <col width="18" customWidth="1" min="3" max="3"/>
    <col width="25" customWidth="1" min="4" max="4"/>
    <col width="25" customWidth="1" min="5" max="5"/>
    <col width="20" customWidth="1" min="6" max="6"/>
    <col width="18" customWidth="1" min="7" max="7"/>
    <col width="22" customWidth="1" min="8" max="8"/>
    <col width="20" customWidth="1" min="9" max="9"/>
    <col width="30" customWidth="1" min="10" max="10"/>
  </cols>
  <sheetData>
    <row r="1">
      <c r="A1" s="1" t="inlineStr">
        <is>
          <t>APPLICATION CONTROL DEPLOYMENT</t>
        </is>
      </c>
    </row>
    <row r="2">
      <c r="A2" s="2" t="inlineStr">
        <is>
          <t>AppLocker, WDAC, application whitelisting deployment and enforcement status</t>
        </is>
      </c>
    </row>
    <row r="4">
      <c r="A4" s="5" t="inlineStr">
        <is>
          <t>Device ID</t>
        </is>
      </c>
      <c r="B4" s="5" t="inlineStr">
        <is>
          <t>Hostname</t>
        </is>
      </c>
      <c r="C4" s="5" t="inlineStr">
        <is>
          <t>Device Type</t>
        </is>
      </c>
      <c r="D4" s="5" t="inlineStr">
        <is>
          <t>Control Technology</t>
        </is>
      </c>
      <c r="E4" s="5" t="inlineStr">
        <is>
          <t>Policy Name</t>
        </is>
      </c>
      <c r="F4" s="5" t="inlineStr">
        <is>
          <t>Enforcement Mode</t>
        </is>
      </c>
      <c r="G4" s="5" t="inlineStr">
        <is>
          <t>Last Policy Update</t>
        </is>
      </c>
      <c r="H4" s="5" t="inlineStr">
        <is>
          <t>Blocked Executions (30d)</t>
        </is>
      </c>
      <c r="I4" s="5" t="inlineStr">
        <is>
          <t>Status</t>
        </is>
      </c>
      <c r="J4" s="5" t="inlineStr">
        <is>
          <t>Notes</t>
        </is>
      </c>
    </row>
    <row r="5">
      <c r="A5" t="inlineStr">
        <is>
          <t>EP-1001</t>
        </is>
      </c>
      <c r="B5" s="13" t="n"/>
      <c r="C5" s="13" t="n"/>
      <c r="D5" s="13" t="n"/>
      <c r="E5" s="13" t="n"/>
      <c r="F5" s="13" t="n"/>
      <c r="G5" s="13" t="n"/>
      <c r="H5" s="13" t="n"/>
      <c r="I5" s="13" t="n"/>
      <c r="J5" s="13" t="n"/>
    </row>
    <row r="6">
      <c r="A6" t="inlineStr">
        <is>
          <t>EP-1002</t>
        </is>
      </c>
      <c r="B6" s="13" t="n"/>
      <c r="C6" s="13" t="n"/>
      <c r="D6" s="13" t="n"/>
      <c r="E6" s="13" t="n"/>
      <c r="F6" s="13" t="n"/>
      <c r="G6" s="13" t="n"/>
      <c r="H6" s="13" t="n"/>
      <c r="I6" s="13" t="n"/>
      <c r="J6" s="13" t="n"/>
    </row>
    <row r="7">
      <c r="A7" t="inlineStr">
        <is>
          <t>EP-1003</t>
        </is>
      </c>
      <c r="B7" s="13" t="n"/>
      <c r="C7" s="13" t="n"/>
      <c r="D7" s="13" t="n"/>
      <c r="E7" s="13" t="n"/>
      <c r="F7" s="13" t="n"/>
      <c r="G7" s="13" t="n"/>
      <c r="H7" s="13" t="n"/>
      <c r="I7" s="13" t="n"/>
      <c r="J7" s="13" t="n"/>
    </row>
    <row r="8">
      <c r="A8" t="inlineStr">
        <is>
          <t>EP-1004</t>
        </is>
      </c>
      <c r="B8" s="13" t="n"/>
      <c r="C8" s="13" t="n"/>
      <c r="D8" s="13" t="n"/>
      <c r="E8" s="13" t="n"/>
      <c r="F8" s="13" t="n"/>
      <c r="G8" s="13" t="n"/>
      <c r="H8" s="13" t="n"/>
      <c r="I8" s="13" t="n"/>
      <c r="J8" s="13" t="n"/>
    </row>
    <row r="9">
      <c r="A9" t="inlineStr">
        <is>
          <t>EP-1005</t>
        </is>
      </c>
      <c r="B9" s="13" t="n"/>
      <c r="C9" s="13" t="n"/>
      <c r="D9" s="13" t="n"/>
      <c r="E9" s="13" t="n"/>
      <c r="F9" s="13" t="n"/>
      <c r="G9" s="13" t="n"/>
      <c r="H9" s="13" t="n"/>
      <c r="I9" s="13" t="n"/>
      <c r="J9" s="13" t="n"/>
    </row>
    <row r="10">
      <c r="A10" t="inlineStr">
        <is>
          <t>EP-1006</t>
        </is>
      </c>
      <c r="B10" s="13" t="n"/>
      <c r="C10" s="13" t="n"/>
      <c r="D10" s="13" t="n"/>
      <c r="E10" s="13" t="n"/>
      <c r="F10" s="13" t="n"/>
      <c r="G10" s="13" t="n"/>
      <c r="H10" s="13" t="n"/>
      <c r="I10" s="13" t="n"/>
      <c r="J10" s="13" t="n"/>
    </row>
    <row r="11">
      <c r="A11" t="inlineStr">
        <is>
          <t>EP-1007</t>
        </is>
      </c>
      <c r="B11" s="13" t="n"/>
      <c r="C11" s="13" t="n"/>
      <c r="D11" s="13" t="n"/>
      <c r="E11" s="13" t="n"/>
      <c r="F11" s="13" t="n"/>
      <c r="G11" s="13" t="n"/>
      <c r="H11" s="13" t="n"/>
      <c r="I11" s="13" t="n"/>
      <c r="J11" s="13" t="n"/>
    </row>
    <row r="12">
      <c r="A12" t="inlineStr">
        <is>
          <t>EP-1008</t>
        </is>
      </c>
      <c r="B12" s="13" t="n"/>
      <c r="C12" s="13" t="n"/>
      <c r="D12" s="13" t="n"/>
      <c r="E12" s="13" t="n"/>
      <c r="F12" s="13" t="n"/>
      <c r="G12" s="13" t="n"/>
      <c r="H12" s="13" t="n"/>
      <c r="I12" s="13" t="n"/>
      <c r="J12" s="13" t="n"/>
    </row>
    <row r="13">
      <c r="A13" t="inlineStr">
        <is>
          <t>EP-1009</t>
        </is>
      </c>
      <c r="B13" s="13" t="n"/>
      <c r="C13" s="13" t="n"/>
      <c r="D13" s="13" t="n"/>
      <c r="E13" s="13" t="n"/>
      <c r="F13" s="13" t="n"/>
      <c r="G13" s="13" t="n"/>
      <c r="H13" s="13" t="n"/>
      <c r="I13" s="13" t="n"/>
      <c r="J13" s="13" t="n"/>
    </row>
    <row r="14">
      <c r="A14" t="inlineStr">
        <is>
          <t>EP-1010</t>
        </is>
      </c>
      <c r="B14" s="13" t="n"/>
      <c r="C14" s="13" t="n"/>
      <c r="D14" s="13" t="n"/>
      <c r="E14" s="13" t="n"/>
      <c r="F14" s="13" t="n"/>
      <c r="G14" s="13" t="n"/>
      <c r="H14" s="13" t="n"/>
      <c r="I14" s="13" t="n"/>
      <c r="J14" s="13" t="n"/>
    </row>
    <row r="15">
      <c r="A15" t="inlineStr">
        <is>
          <t>EP-1011</t>
        </is>
      </c>
      <c r="B15" s="13" t="n"/>
      <c r="C15" s="13" t="n"/>
      <c r="D15" s="13" t="n"/>
      <c r="E15" s="13" t="n"/>
      <c r="F15" s="13" t="n"/>
      <c r="G15" s="13" t="n"/>
      <c r="H15" s="13" t="n"/>
      <c r="I15" s="13" t="n"/>
      <c r="J15" s="13" t="n"/>
    </row>
    <row r="16">
      <c r="A16" t="inlineStr">
        <is>
          <t>EP-1012</t>
        </is>
      </c>
      <c r="B16" s="13" t="n"/>
      <c r="C16" s="13" t="n"/>
      <c r="D16" s="13" t="n"/>
      <c r="E16" s="13" t="n"/>
      <c r="F16" s="13" t="n"/>
      <c r="G16" s="13" t="n"/>
      <c r="H16" s="13" t="n"/>
      <c r="I16" s="13" t="n"/>
      <c r="J16" s="13" t="n"/>
    </row>
    <row r="17">
      <c r="A17" t="inlineStr">
        <is>
          <t>EP-1013</t>
        </is>
      </c>
      <c r="B17" s="13" t="n"/>
      <c r="C17" s="13" t="n"/>
      <c r="D17" s="13" t="n"/>
      <c r="E17" s="13" t="n"/>
      <c r="F17" s="13" t="n"/>
      <c r="G17" s="13" t="n"/>
      <c r="H17" s="13" t="n"/>
      <c r="I17" s="13" t="n"/>
      <c r="J17" s="13" t="n"/>
    </row>
    <row r="18">
      <c r="A18" t="inlineStr">
        <is>
          <t>EP-1014</t>
        </is>
      </c>
      <c r="B18" s="13" t="n"/>
      <c r="C18" s="13" t="n"/>
      <c r="D18" s="13" t="n"/>
      <c r="E18" s="13" t="n"/>
      <c r="F18" s="13" t="n"/>
      <c r="G18" s="13" t="n"/>
      <c r="H18" s="13" t="n"/>
      <c r="I18" s="13" t="n"/>
      <c r="J18" s="13" t="n"/>
    </row>
    <row r="19">
      <c r="A19" t="inlineStr">
        <is>
          <t>EP-1015</t>
        </is>
      </c>
      <c r="B19" s="13" t="n"/>
      <c r="C19" s="13" t="n"/>
      <c r="D19" s="13" t="n"/>
      <c r="E19" s="13" t="n"/>
      <c r="F19" s="13" t="n"/>
      <c r="G19" s="13" t="n"/>
      <c r="H19" s="13" t="n"/>
      <c r="I19" s="13" t="n"/>
      <c r="J19" s="13" t="n"/>
    </row>
    <row r="20">
      <c r="A20" t="inlineStr">
        <is>
          <t>EP-1016</t>
        </is>
      </c>
      <c r="B20" s="13" t="n"/>
      <c r="C20" s="13" t="n"/>
      <c r="D20" s="13" t="n"/>
      <c r="E20" s="13" t="n"/>
      <c r="F20" s="13" t="n"/>
      <c r="G20" s="13" t="n"/>
      <c r="H20" s="13" t="n"/>
      <c r="I20" s="13" t="n"/>
      <c r="J20" s="13" t="n"/>
    </row>
    <row r="21">
      <c r="A21" t="inlineStr">
        <is>
          <t>EP-1017</t>
        </is>
      </c>
      <c r="B21" s="13" t="n"/>
      <c r="C21" s="13" t="n"/>
      <c r="D21" s="13" t="n"/>
      <c r="E21" s="13" t="n"/>
      <c r="F21" s="13" t="n"/>
      <c r="G21" s="13" t="n"/>
      <c r="H21" s="13" t="n"/>
      <c r="I21" s="13" t="n"/>
      <c r="J21" s="13" t="n"/>
    </row>
    <row r="22">
      <c r="A22" t="inlineStr">
        <is>
          <t>EP-1018</t>
        </is>
      </c>
      <c r="B22" s="13" t="n"/>
      <c r="C22" s="13" t="n"/>
      <c r="D22" s="13" t="n"/>
      <c r="E22" s="13" t="n"/>
      <c r="F22" s="13" t="n"/>
      <c r="G22" s="13" t="n"/>
      <c r="H22" s="13" t="n"/>
      <c r="I22" s="13" t="n"/>
      <c r="J22" s="13" t="n"/>
    </row>
    <row r="23">
      <c r="A23" t="inlineStr">
        <is>
          <t>EP-1019</t>
        </is>
      </c>
      <c r="B23" s="13" t="n"/>
      <c r="C23" s="13" t="n"/>
      <c r="D23" s="13" t="n"/>
      <c r="E23" s="13" t="n"/>
      <c r="F23" s="13" t="n"/>
      <c r="G23" s="13" t="n"/>
      <c r="H23" s="13" t="n"/>
      <c r="I23" s="13" t="n"/>
      <c r="J23" s="13" t="n"/>
    </row>
    <row r="24">
      <c r="A24" t="inlineStr">
        <is>
          <t>EP-1020</t>
        </is>
      </c>
      <c r="B24" s="13" t="n"/>
      <c r="C24" s="13" t="n"/>
      <c r="D24" s="13" t="n"/>
      <c r="E24" s="13" t="n"/>
      <c r="F24" s="13" t="n"/>
      <c r="G24" s="13" t="n"/>
      <c r="H24" s="13" t="n"/>
      <c r="I24" s="13" t="n"/>
      <c r="J24" s="13" t="n"/>
    </row>
    <row r="25">
      <c r="A25" t="inlineStr">
        <is>
          <t>EP-1021</t>
        </is>
      </c>
      <c r="B25" s="13" t="n"/>
      <c r="C25" s="13" t="n"/>
      <c r="D25" s="13" t="n"/>
      <c r="E25" s="13" t="n"/>
      <c r="F25" s="13" t="n"/>
      <c r="G25" s="13" t="n"/>
      <c r="H25" s="13" t="n"/>
      <c r="I25" s="13" t="n"/>
      <c r="J25" s="13" t="n"/>
    </row>
    <row r="26">
      <c r="A26" t="inlineStr">
        <is>
          <t>EP-1022</t>
        </is>
      </c>
      <c r="B26" s="13" t="n"/>
      <c r="C26" s="13" t="n"/>
      <c r="D26" s="13" t="n"/>
      <c r="E26" s="13" t="n"/>
      <c r="F26" s="13" t="n"/>
      <c r="G26" s="13" t="n"/>
      <c r="H26" s="13" t="n"/>
      <c r="I26" s="13" t="n"/>
      <c r="J26" s="13" t="n"/>
    </row>
    <row r="27">
      <c r="A27" t="inlineStr">
        <is>
          <t>EP-1023</t>
        </is>
      </c>
      <c r="B27" s="13" t="n"/>
      <c r="C27" s="13" t="n"/>
      <c r="D27" s="13" t="n"/>
      <c r="E27" s="13" t="n"/>
      <c r="F27" s="13" t="n"/>
      <c r="G27" s="13" t="n"/>
      <c r="H27" s="13" t="n"/>
      <c r="I27" s="13" t="n"/>
      <c r="J27" s="13" t="n"/>
    </row>
    <row r="28">
      <c r="A28" t="inlineStr">
        <is>
          <t>EP-1024</t>
        </is>
      </c>
      <c r="B28" s="13" t="n"/>
      <c r="C28" s="13" t="n"/>
      <c r="D28" s="13" t="n"/>
      <c r="E28" s="13" t="n"/>
      <c r="F28" s="13" t="n"/>
      <c r="G28" s="13" t="n"/>
      <c r="H28" s="13" t="n"/>
      <c r="I28" s="13" t="n"/>
      <c r="J28" s="13" t="n"/>
    </row>
    <row r="29">
      <c r="A29" t="inlineStr">
        <is>
          <t>EP-1025</t>
        </is>
      </c>
      <c r="B29" s="13" t="n"/>
      <c r="C29" s="13" t="n"/>
      <c r="D29" s="13" t="n"/>
      <c r="E29" s="13" t="n"/>
      <c r="F29" s="13" t="n"/>
      <c r="G29" s="13" t="n"/>
      <c r="H29" s="13" t="n"/>
      <c r="I29" s="13" t="n"/>
      <c r="J29" s="13" t="n"/>
    </row>
    <row r="30">
      <c r="A30" t="inlineStr">
        <is>
          <t>EP-1026</t>
        </is>
      </c>
      <c r="B30" s="13" t="n"/>
      <c r="C30" s="13" t="n"/>
      <c r="D30" s="13" t="n"/>
      <c r="E30" s="13" t="n"/>
      <c r="F30" s="13" t="n"/>
      <c r="G30" s="13" t="n"/>
      <c r="H30" s="13" t="n"/>
      <c r="I30" s="13" t="n"/>
      <c r="J30" s="13" t="n"/>
    </row>
    <row r="31">
      <c r="A31" t="inlineStr">
        <is>
          <t>EP-1027</t>
        </is>
      </c>
      <c r="B31" s="13" t="n"/>
      <c r="C31" s="13" t="n"/>
      <c r="D31" s="13" t="n"/>
      <c r="E31" s="13" t="n"/>
      <c r="F31" s="13" t="n"/>
      <c r="G31" s="13" t="n"/>
      <c r="H31" s="13" t="n"/>
      <c r="I31" s="13" t="n"/>
      <c r="J31" s="13" t="n"/>
    </row>
    <row r="32">
      <c r="A32" t="inlineStr">
        <is>
          <t>EP-1028</t>
        </is>
      </c>
      <c r="B32" s="13" t="n"/>
      <c r="C32" s="13" t="n"/>
      <c r="D32" s="13" t="n"/>
      <c r="E32" s="13" t="n"/>
      <c r="F32" s="13" t="n"/>
      <c r="G32" s="13" t="n"/>
      <c r="H32" s="13" t="n"/>
      <c r="I32" s="13" t="n"/>
      <c r="J32" s="13" t="n"/>
    </row>
    <row r="33">
      <c r="A33" t="inlineStr">
        <is>
          <t>EP-1029</t>
        </is>
      </c>
      <c r="B33" s="13" t="n"/>
      <c r="C33" s="13" t="n"/>
      <c r="D33" s="13" t="n"/>
      <c r="E33" s="13" t="n"/>
      <c r="F33" s="13" t="n"/>
      <c r="G33" s="13" t="n"/>
      <c r="H33" s="13" t="n"/>
      <c r="I33" s="13" t="n"/>
      <c r="J33" s="13" t="n"/>
    </row>
    <row r="34">
      <c r="A34" t="inlineStr">
        <is>
          <t>EP-1030</t>
        </is>
      </c>
      <c r="B34" s="13" t="n"/>
      <c r="C34" s="13" t="n"/>
      <c r="D34" s="13" t="n"/>
      <c r="E34" s="13" t="n"/>
      <c r="F34" s="13" t="n"/>
      <c r="G34" s="13" t="n"/>
      <c r="H34" s="13" t="n"/>
      <c r="I34" s="13" t="n"/>
      <c r="J34" s="13" t="n"/>
    </row>
    <row r="35">
      <c r="A35" t="inlineStr">
        <is>
          <t>EP-1031</t>
        </is>
      </c>
      <c r="B35" s="13" t="n"/>
      <c r="C35" s="13" t="n"/>
      <c r="D35" s="13" t="n"/>
      <c r="E35" s="13" t="n"/>
      <c r="F35" s="13" t="n"/>
      <c r="G35" s="13" t="n"/>
      <c r="H35" s="13" t="n"/>
      <c r="I35" s="13" t="n"/>
      <c r="J35" s="13" t="n"/>
    </row>
    <row r="36">
      <c r="A36" t="inlineStr">
        <is>
          <t>EP-1032</t>
        </is>
      </c>
      <c r="B36" s="13" t="n"/>
      <c r="C36" s="13" t="n"/>
      <c r="D36" s="13" t="n"/>
      <c r="E36" s="13" t="n"/>
      <c r="F36" s="13" t="n"/>
      <c r="G36" s="13" t="n"/>
      <c r="H36" s="13" t="n"/>
      <c r="I36" s="13" t="n"/>
      <c r="J36" s="13" t="n"/>
    </row>
    <row r="37">
      <c r="A37" t="inlineStr">
        <is>
          <t>EP-1033</t>
        </is>
      </c>
      <c r="B37" s="13" t="n"/>
      <c r="C37" s="13" t="n"/>
      <c r="D37" s="13" t="n"/>
      <c r="E37" s="13" t="n"/>
      <c r="F37" s="13" t="n"/>
      <c r="G37" s="13" t="n"/>
      <c r="H37" s="13" t="n"/>
      <c r="I37" s="13" t="n"/>
      <c r="J37" s="13" t="n"/>
    </row>
    <row r="38">
      <c r="A38" t="inlineStr">
        <is>
          <t>EP-1034</t>
        </is>
      </c>
      <c r="B38" s="13" t="n"/>
      <c r="C38" s="13" t="n"/>
      <c r="D38" s="13" t="n"/>
      <c r="E38" s="13" t="n"/>
      <c r="F38" s="13" t="n"/>
      <c r="G38" s="13" t="n"/>
      <c r="H38" s="13" t="n"/>
      <c r="I38" s="13" t="n"/>
      <c r="J38" s="13" t="n"/>
    </row>
    <row r="39">
      <c r="A39" t="inlineStr">
        <is>
          <t>EP-1035</t>
        </is>
      </c>
      <c r="B39" s="13" t="n"/>
      <c r="C39" s="13" t="n"/>
      <c r="D39" s="13" t="n"/>
      <c r="E39" s="13" t="n"/>
      <c r="F39" s="13" t="n"/>
      <c r="G39" s="13" t="n"/>
      <c r="H39" s="13" t="n"/>
      <c r="I39" s="13" t="n"/>
      <c r="J39" s="13" t="n"/>
    </row>
    <row r="40">
      <c r="A40" t="inlineStr">
        <is>
          <t>EP-1036</t>
        </is>
      </c>
      <c r="B40" s="13" t="n"/>
      <c r="C40" s="13" t="n"/>
      <c r="D40" s="13" t="n"/>
      <c r="E40" s="13" t="n"/>
      <c r="F40" s="13" t="n"/>
      <c r="G40" s="13" t="n"/>
      <c r="H40" s="13" t="n"/>
      <c r="I40" s="13" t="n"/>
      <c r="J40" s="13" t="n"/>
    </row>
    <row r="41">
      <c r="A41" t="inlineStr">
        <is>
          <t>EP-1037</t>
        </is>
      </c>
      <c r="B41" s="13" t="n"/>
      <c r="C41" s="13" t="n"/>
      <c r="D41" s="13" t="n"/>
      <c r="E41" s="13" t="n"/>
      <c r="F41" s="13" t="n"/>
      <c r="G41" s="13" t="n"/>
      <c r="H41" s="13" t="n"/>
      <c r="I41" s="13" t="n"/>
      <c r="J41" s="13" t="n"/>
    </row>
    <row r="42">
      <c r="A42" t="inlineStr">
        <is>
          <t>EP-1038</t>
        </is>
      </c>
      <c r="B42" s="13" t="n"/>
      <c r="C42" s="13" t="n"/>
      <c r="D42" s="13" t="n"/>
      <c r="E42" s="13" t="n"/>
      <c r="F42" s="13" t="n"/>
      <c r="G42" s="13" t="n"/>
      <c r="H42" s="13" t="n"/>
      <c r="I42" s="13" t="n"/>
      <c r="J42" s="13" t="n"/>
    </row>
    <row r="43">
      <c r="A43" t="inlineStr">
        <is>
          <t>EP-1039</t>
        </is>
      </c>
      <c r="B43" s="13" t="n"/>
      <c r="C43" s="13" t="n"/>
      <c r="D43" s="13" t="n"/>
      <c r="E43" s="13" t="n"/>
      <c r="F43" s="13" t="n"/>
      <c r="G43" s="13" t="n"/>
      <c r="H43" s="13" t="n"/>
      <c r="I43" s="13" t="n"/>
      <c r="J43" s="13" t="n"/>
    </row>
    <row r="44">
      <c r="A44" t="inlineStr">
        <is>
          <t>EP-1040</t>
        </is>
      </c>
      <c r="B44" s="13" t="n"/>
      <c r="C44" s="13" t="n"/>
      <c r="D44" s="13" t="n"/>
      <c r="E44" s="13" t="n"/>
      <c r="F44" s="13" t="n"/>
      <c r="G44" s="13" t="n"/>
      <c r="H44" s="13" t="n"/>
      <c r="I44" s="13" t="n"/>
      <c r="J44" s="13" t="n"/>
    </row>
    <row r="45">
      <c r="A45" t="inlineStr">
        <is>
          <t>EP-1041</t>
        </is>
      </c>
      <c r="B45" s="13" t="n"/>
      <c r="C45" s="13" t="n"/>
      <c r="D45" s="13" t="n"/>
      <c r="E45" s="13" t="n"/>
      <c r="F45" s="13" t="n"/>
      <c r="G45" s="13" t="n"/>
      <c r="H45" s="13" t="n"/>
      <c r="I45" s="13" t="n"/>
      <c r="J45" s="13" t="n"/>
    </row>
    <row r="46">
      <c r="A46" t="inlineStr">
        <is>
          <t>EP-1042</t>
        </is>
      </c>
      <c r="B46" s="13" t="n"/>
      <c r="C46" s="13" t="n"/>
      <c r="D46" s="13" t="n"/>
      <c r="E46" s="13" t="n"/>
      <c r="F46" s="13" t="n"/>
      <c r="G46" s="13" t="n"/>
      <c r="H46" s="13" t="n"/>
      <c r="I46" s="13" t="n"/>
      <c r="J46" s="13" t="n"/>
    </row>
    <row r="47">
      <c r="A47" t="inlineStr">
        <is>
          <t>EP-1043</t>
        </is>
      </c>
      <c r="B47" s="13" t="n"/>
      <c r="C47" s="13" t="n"/>
      <c r="D47" s="13" t="n"/>
      <c r="E47" s="13" t="n"/>
      <c r="F47" s="13" t="n"/>
      <c r="G47" s="13" t="n"/>
      <c r="H47" s="13" t="n"/>
      <c r="I47" s="13" t="n"/>
      <c r="J47" s="13" t="n"/>
    </row>
    <row r="48">
      <c r="A48" t="inlineStr">
        <is>
          <t>EP-1044</t>
        </is>
      </c>
      <c r="B48" s="13" t="n"/>
      <c r="C48" s="13" t="n"/>
      <c r="D48" s="13" t="n"/>
      <c r="E48" s="13" t="n"/>
      <c r="F48" s="13" t="n"/>
      <c r="G48" s="13" t="n"/>
      <c r="H48" s="13" t="n"/>
      <c r="I48" s="13" t="n"/>
      <c r="J48" s="13" t="n"/>
    </row>
    <row r="49">
      <c r="A49" t="inlineStr">
        <is>
          <t>EP-1045</t>
        </is>
      </c>
      <c r="B49" s="13" t="n"/>
      <c r="C49" s="13" t="n"/>
      <c r="D49" s="13" t="n"/>
      <c r="E49" s="13" t="n"/>
      <c r="F49" s="13" t="n"/>
      <c r="G49" s="13" t="n"/>
      <c r="H49" s="13" t="n"/>
      <c r="I49" s="13" t="n"/>
      <c r="J49" s="13" t="n"/>
    </row>
    <row r="50">
      <c r="A50" t="inlineStr">
        <is>
          <t>EP-1046</t>
        </is>
      </c>
      <c r="B50" s="13" t="n"/>
      <c r="C50" s="13" t="n"/>
      <c r="D50" s="13" t="n"/>
      <c r="E50" s="13" t="n"/>
      <c r="F50" s="13" t="n"/>
      <c r="G50" s="13" t="n"/>
      <c r="H50" s="13" t="n"/>
      <c r="I50" s="13" t="n"/>
      <c r="J50" s="13" t="n"/>
    </row>
    <row r="51">
      <c r="A51" t="inlineStr">
        <is>
          <t>EP-1047</t>
        </is>
      </c>
      <c r="B51" s="13" t="n"/>
      <c r="C51" s="13" t="n"/>
      <c r="D51" s="13" t="n"/>
      <c r="E51" s="13" t="n"/>
      <c r="F51" s="13" t="n"/>
      <c r="G51" s="13" t="n"/>
      <c r="H51" s="13" t="n"/>
      <c r="I51" s="13" t="n"/>
      <c r="J51" s="13" t="n"/>
    </row>
    <row r="52">
      <c r="A52" t="inlineStr">
        <is>
          <t>EP-1048</t>
        </is>
      </c>
      <c r="B52" s="13" t="n"/>
      <c r="C52" s="13" t="n"/>
      <c r="D52" s="13" t="n"/>
      <c r="E52" s="13" t="n"/>
      <c r="F52" s="13" t="n"/>
      <c r="G52" s="13" t="n"/>
      <c r="H52" s="13" t="n"/>
      <c r="I52" s="13" t="n"/>
      <c r="J52" s="13" t="n"/>
    </row>
    <row r="53">
      <c r="A53" t="inlineStr">
        <is>
          <t>EP-1049</t>
        </is>
      </c>
      <c r="B53" s="13" t="n"/>
      <c r="C53" s="13" t="n"/>
      <c r="D53" s="13" t="n"/>
      <c r="E53" s="13" t="n"/>
      <c r="F53" s="13" t="n"/>
      <c r="G53" s="13" t="n"/>
      <c r="H53" s="13" t="n"/>
      <c r="I53" s="13" t="n"/>
      <c r="J53" s="13" t="n"/>
    </row>
    <row r="54">
      <c r="A54" t="inlineStr">
        <is>
          <t>EP-1050</t>
        </is>
      </c>
      <c r="B54" s="13" t="n"/>
      <c r="C54" s="13" t="n"/>
      <c r="D54" s="13" t="n"/>
      <c r="E54" s="13" t="n"/>
      <c r="F54" s="13" t="n"/>
      <c r="G54" s="13" t="n"/>
      <c r="H54" s="13" t="n"/>
      <c r="I54" s="13" t="n"/>
      <c r="J54" s="13" t="n"/>
    </row>
    <row r="57">
      <c r="A57" s="2" t="inlineStr">
        <is>
          <t>📊 APPLICATION CONTROL SUMMARY</t>
        </is>
      </c>
    </row>
    <row r="58">
      <c r="A58" t="inlineStr">
        <is>
          <t>Total Endpoints Assessed:</t>
        </is>
      </c>
      <c r="B58">
        <f>COUNTA(B5:B54)</f>
        <v/>
      </c>
    </row>
    <row r="59">
      <c r="A59" t="inlineStr">
        <is>
          <t>✅ Enforced:</t>
        </is>
      </c>
      <c r="B59">
        <f>COUNTIF(I5:I54,"✅ Enforced")</f>
        <v/>
      </c>
    </row>
    <row r="60">
      <c r="A60" t="inlineStr">
        <is>
          <t>Deployment Rate:</t>
        </is>
      </c>
      <c r="B60" s="14">
        <f>IF(B58&gt;0,B59/B58*100,0)&amp;"%"</f>
        <v/>
      </c>
    </row>
  </sheetData>
  <mergeCells count="3">
    <mergeCell ref="A1:J1"/>
    <mergeCell ref="A57:C57"/>
    <mergeCell ref="A2:J2"/>
  </mergeCells>
  <dataValidations count="101">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 Enforced,⚠️ Audit Mode,❌ Not Configured,N/A"</formula1>
    </dataValidation>
    <dataValidation sqref="D5" showDropDown="0" showInputMessage="0" showErrorMessage="0" allowBlank="0" type="list">
      <formula1>"AppLocker,WDAC,Gatekeeper (macOS),Application Whitelist,None,Other"</formula1>
    </dataValidation>
    <dataValidation sqref="F5" showDropDown="0" showInputMessage="0" showErrorMessage="0" allowBlank="0" type="list">
      <formula1>"✅ Enforce,⚠️ Audit Only,❌ Not Configured"</formula1>
    </dataValidation>
    <dataValidation sqref="D6" showDropDown="0" showInputMessage="0" showErrorMessage="0" allowBlank="0" type="list">
      <formula1>"AppLocker,WDAC,Gatekeeper (macOS),Application Whitelist,None,Other"</formula1>
    </dataValidation>
    <dataValidation sqref="F6" showDropDown="0" showInputMessage="0" showErrorMessage="0" allowBlank="0" type="list">
      <formula1>"✅ Enforce,⚠️ Audit Only,❌ Not Configured"</formula1>
    </dataValidation>
    <dataValidation sqref="D7" showDropDown="0" showInputMessage="0" showErrorMessage="0" allowBlank="0" type="list">
      <formula1>"AppLocker,WDAC,Gatekeeper (macOS),Application Whitelist,None,Other"</formula1>
    </dataValidation>
    <dataValidation sqref="F7" showDropDown="0" showInputMessage="0" showErrorMessage="0" allowBlank="0" type="list">
      <formula1>"✅ Enforce,⚠️ Audit Only,❌ Not Configured"</formula1>
    </dataValidation>
    <dataValidation sqref="D8" showDropDown="0" showInputMessage="0" showErrorMessage="0" allowBlank="0" type="list">
      <formula1>"AppLocker,WDAC,Gatekeeper (macOS),Application Whitelist,None,Other"</formula1>
    </dataValidation>
    <dataValidation sqref="F8" showDropDown="0" showInputMessage="0" showErrorMessage="0" allowBlank="0" type="list">
      <formula1>"✅ Enforce,⚠️ Audit Only,❌ Not Configured"</formula1>
    </dataValidation>
    <dataValidation sqref="D9" showDropDown="0" showInputMessage="0" showErrorMessage="0" allowBlank="0" type="list">
      <formula1>"AppLocker,WDAC,Gatekeeper (macOS),Application Whitelist,None,Other"</formula1>
    </dataValidation>
    <dataValidation sqref="F9" showDropDown="0" showInputMessage="0" showErrorMessage="0" allowBlank="0" type="list">
      <formula1>"✅ Enforce,⚠️ Audit Only,❌ Not Configured"</formula1>
    </dataValidation>
    <dataValidation sqref="D10" showDropDown="0" showInputMessage="0" showErrorMessage="0" allowBlank="0" type="list">
      <formula1>"AppLocker,WDAC,Gatekeeper (macOS),Application Whitelist,None,Other"</formula1>
    </dataValidation>
    <dataValidation sqref="F10" showDropDown="0" showInputMessage="0" showErrorMessage="0" allowBlank="0" type="list">
      <formula1>"✅ Enforce,⚠️ Audit Only,❌ Not Configured"</formula1>
    </dataValidation>
    <dataValidation sqref="D11" showDropDown="0" showInputMessage="0" showErrorMessage="0" allowBlank="0" type="list">
      <formula1>"AppLocker,WDAC,Gatekeeper (macOS),Application Whitelist,None,Other"</formula1>
    </dataValidation>
    <dataValidation sqref="F11" showDropDown="0" showInputMessage="0" showErrorMessage="0" allowBlank="0" type="list">
      <formula1>"✅ Enforce,⚠️ Audit Only,❌ Not Configured"</formula1>
    </dataValidation>
    <dataValidation sqref="D12" showDropDown="0" showInputMessage="0" showErrorMessage="0" allowBlank="0" type="list">
      <formula1>"AppLocker,WDAC,Gatekeeper (macOS),Application Whitelist,None,Other"</formula1>
    </dataValidation>
    <dataValidation sqref="F12" showDropDown="0" showInputMessage="0" showErrorMessage="0" allowBlank="0" type="list">
      <formula1>"✅ Enforce,⚠️ Audit Only,❌ Not Configured"</formula1>
    </dataValidation>
    <dataValidation sqref="D13" showDropDown="0" showInputMessage="0" showErrorMessage="0" allowBlank="0" type="list">
      <formula1>"AppLocker,WDAC,Gatekeeper (macOS),Application Whitelist,None,Other"</formula1>
    </dataValidation>
    <dataValidation sqref="F13" showDropDown="0" showInputMessage="0" showErrorMessage="0" allowBlank="0" type="list">
      <formula1>"✅ Enforce,⚠️ Audit Only,❌ Not Configured"</formula1>
    </dataValidation>
    <dataValidation sqref="D14" showDropDown="0" showInputMessage="0" showErrorMessage="0" allowBlank="0" type="list">
      <formula1>"AppLocker,WDAC,Gatekeeper (macOS),Application Whitelist,None,Other"</formula1>
    </dataValidation>
    <dataValidation sqref="F14" showDropDown="0" showInputMessage="0" showErrorMessage="0" allowBlank="0" type="list">
      <formula1>"✅ Enforce,⚠️ Audit Only,❌ Not Configured"</formula1>
    </dataValidation>
    <dataValidation sqref="D15" showDropDown="0" showInputMessage="0" showErrorMessage="0" allowBlank="0" type="list">
      <formula1>"AppLocker,WDAC,Gatekeeper (macOS),Application Whitelist,None,Other"</formula1>
    </dataValidation>
    <dataValidation sqref="F15" showDropDown="0" showInputMessage="0" showErrorMessage="0" allowBlank="0" type="list">
      <formula1>"✅ Enforce,⚠️ Audit Only,❌ Not Configured"</formula1>
    </dataValidation>
    <dataValidation sqref="D16" showDropDown="0" showInputMessage="0" showErrorMessage="0" allowBlank="0" type="list">
      <formula1>"AppLocker,WDAC,Gatekeeper (macOS),Application Whitelist,None,Other"</formula1>
    </dataValidation>
    <dataValidation sqref="F16" showDropDown="0" showInputMessage="0" showErrorMessage="0" allowBlank="0" type="list">
      <formula1>"✅ Enforce,⚠️ Audit Only,❌ Not Configured"</formula1>
    </dataValidation>
    <dataValidation sqref="D17" showDropDown="0" showInputMessage="0" showErrorMessage="0" allowBlank="0" type="list">
      <formula1>"AppLocker,WDAC,Gatekeeper (macOS),Application Whitelist,None,Other"</formula1>
    </dataValidation>
    <dataValidation sqref="F17" showDropDown="0" showInputMessage="0" showErrorMessage="0" allowBlank="0" type="list">
      <formula1>"✅ Enforce,⚠️ Audit Only,❌ Not Configured"</formula1>
    </dataValidation>
    <dataValidation sqref="D18" showDropDown="0" showInputMessage="0" showErrorMessage="0" allowBlank="0" type="list">
      <formula1>"AppLocker,WDAC,Gatekeeper (macOS),Application Whitelist,None,Other"</formula1>
    </dataValidation>
    <dataValidation sqref="F18" showDropDown="0" showInputMessage="0" showErrorMessage="0" allowBlank="0" type="list">
      <formula1>"✅ Enforce,⚠️ Audit Only,❌ Not Configured"</formula1>
    </dataValidation>
    <dataValidation sqref="D19" showDropDown="0" showInputMessage="0" showErrorMessage="0" allowBlank="0" type="list">
      <formula1>"AppLocker,WDAC,Gatekeeper (macOS),Application Whitelist,None,Other"</formula1>
    </dataValidation>
    <dataValidation sqref="F19" showDropDown="0" showInputMessage="0" showErrorMessage="0" allowBlank="0" type="list">
      <formula1>"✅ Enforce,⚠️ Audit Only,❌ Not Configured"</formula1>
    </dataValidation>
    <dataValidation sqref="D20" showDropDown="0" showInputMessage="0" showErrorMessage="0" allowBlank="0" type="list">
      <formula1>"AppLocker,WDAC,Gatekeeper (macOS),Application Whitelist,None,Other"</formula1>
    </dataValidation>
    <dataValidation sqref="F20" showDropDown="0" showInputMessage="0" showErrorMessage="0" allowBlank="0" type="list">
      <formula1>"✅ Enforce,⚠️ Audit Only,❌ Not Configured"</formula1>
    </dataValidation>
    <dataValidation sqref="D21" showDropDown="0" showInputMessage="0" showErrorMessage="0" allowBlank="0" type="list">
      <formula1>"AppLocker,WDAC,Gatekeeper (macOS),Application Whitelist,None,Other"</formula1>
    </dataValidation>
    <dataValidation sqref="F21" showDropDown="0" showInputMessage="0" showErrorMessage="0" allowBlank="0" type="list">
      <formula1>"✅ Enforce,⚠️ Audit Only,❌ Not Configured"</formula1>
    </dataValidation>
    <dataValidation sqref="D22" showDropDown="0" showInputMessage="0" showErrorMessage="0" allowBlank="0" type="list">
      <formula1>"AppLocker,WDAC,Gatekeeper (macOS),Application Whitelist,None,Other"</formula1>
    </dataValidation>
    <dataValidation sqref="F22" showDropDown="0" showInputMessage="0" showErrorMessage="0" allowBlank="0" type="list">
      <formula1>"✅ Enforce,⚠️ Audit Only,❌ Not Configured"</formula1>
    </dataValidation>
    <dataValidation sqref="D23" showDropDown="0" showInputMessage="0" showErrorMessage="0" allowBlank="0" type="list">
      <formula1>"AppLocker,WDAC,Gatekeeper (macOS),Application Whitelist,None,Other"</formula1>
    </dataValidation>
    <dataValidation sqref="F23" showDropDown="0" showInputMessage="0" showErrorMessage="0" allowBlank="0" type="list">
      <formula1>"✅ Enforce,⚠️ Audit Only,❌ Not Configured"</formula1>
    </dataValidation>
    <dataValidation sqref="D24" showDropDown="0" showInputMessage="0" showErrorMessage="0" allowBlank="0" type="list">
      <formula1>"AppLocker,WDAC,Gatekeeper (macOS),Application Whitelist,None,Other"</formula1>
    </dataValidation>
    <dataValidation sqref="F24" showDropDown="0" showInputMessage="0" showErrorMessage="0" allowBlank="0" type="list">
      <formula1>"✅ Enforce,⚠️ Audit Only,❌ Not Configured"</formula1>
    </dataValidation>
    <dataValidation sqref="D25" showDropDown="0" showInputMessage="0" showErrorMessage="0" allowBlank="0" type="list">
      <formula1>"AppLocker,WDAC,Gatekeeper (macOS),Application Whitelist,None,Other"</formula1>
    </dataValidation>
    <dataValidation sqref="F25" showDropDown="0" showInputMessage="0" showErrorMessage="0" allowBlank="0" type="list">
      <formula1>"✅ Enforce,⚠️ Audit Only,❌ Not Configured"</formula1>
    </dataValidation>
    <dataValidation sqref="D26" showDropDown="0" showInputMessage="0" showErrorMessage="0" allowBlank="0" type="list">
      <formula1>"AppLocker,WDAC,Gatekeeper (macOS),Application Whitelist,None,Other"</formula1>
    </dataValidation>
    <dataValidation sqref="F26" showDropDown="0" showInputMessage="0" showErrorMessage="0" allowBlank="0" type="list">
      <formula1>"✅ Enforce,⚠️ Audit Only,❌ Not Configured"</formula1>
    </dataValidation>
    <dataValidation sqref="D27" showDropDown="0" showInputMessage="0" showErrorMessage="0" allowBlank="0" type="list">
      <formula1>"AppLocker,WDAC,Gatekeeper (macOS),Application Whitelist,None,Other"</formula1>
    </dataValidation>
    <dataValidation sqref="F27" showDropDown="0" showInputMessage="0" showErrorMessage="0" allowBlank="0" type="list">
      <formula1>"✅ Enforce,⚠️ Audit Only,❌ Not Configured"</formula1>
    </dataValidation>
    <dataValidation sqref="D28" showDropDown="0" showInputMessage="0" showErrorMessage="0" allowBlank="0" type="list">
      <formula1>"AppLocker,WDAC,Gatekeeper (macOS),Application Whitelist,None,Other"</formula1>
    </dataValidation>
    <dataValidation sqref="F28" showDropDown="0" showInputMessage="0" showErrorMessage="0" allowBlank="0" type="list">
      <formula1>"✅ Enforce,⚠️ Audit Only,❌ Not Configured"</formula1>
    </dataValidation>
    <dataValidation sqref="D29" showDropDown="0" showInputMessage="0" showErrorMessage="0" allowBlank="0" type="list">
      <formula1>"AppLocker,WDAC,Gatekeeper (macOS),Application Whitelist,None,Other"</formula1>
    </dataValidation>
    <dataValidation sqref="F29" showDropDown="0" showInputMessage="0" showErrorMessage="0" allowBlank="0" type="list">
      <formula1>"✅ Enforce,⚠️ Audit Only,❌ Not Configured"</formula1>
    </dataValidation>
    <dataValidation sqref="D30" showDropDown="0" showInputMessage="0" showErrorMessage="0" allowBlank="0" type="list">
      <formula1>"AppLocker,WDAC,Gatekeeper (macOS),Application Whitelist,None,Other"</formula1>
    </dataValidation>
    <dataValidation sqref="F30" showDropDown="0" showInputMessage="0" showErrorMessage="0" allowBlank="0" type="list">
      <formula1>"✅ Enforce,⚠️ Audit Only,❌ Not Configured"</formula1>
    </dataValidation>
    <dataValidation sqref="D31" showDropDown="0" showInputMessage="0" showErrorMessage="0" allowBlank="0" type="list">
      <formula1>"AppLocker,WDAC,Gatekeeper (macOS),Application Whitelist,None,Other"</formula1>
    </dataValidation>
    <dataValidation sqref="F31" showDropDown="0" showInputMessage="0" showErrorMessage="0" allowBlank="0" type="list">
      <formula1>"✅ Enforce,⚠️ Audit Only,❌ Not Configured"</formula1>
    </dataValidation>
    <dataValidation sqref="D32" showDropDown="0" showInputMessage="0" showErrorMessage="0" allowBlank="0" type="list">
      <formula1>"AppLocker,WDAC,Gatekeeper (macOS),Application Whitelist,None,Other"</formula1>
    </dataValidation>
    <dataValidation sqref="F32" showDropDown="0" showInputMessage="0" showErrorMessage="0" allowBlank="0" type="list">
      <formula1>"✅ Enforce,⚠️ Audit Only,❌ Not Configured"</formula1>
    </dataValidation>
    <dataValidation sqref="D33" showDropDown="0" showInputMessage="0" showErrorMessage="0" allowBlank="0" type="list">
      <formula1>"AppLocker,WDAC,Gatekeeper (macOS),Application Whitelist,None,Other"</formula1>
    </dataValidation>
    <dataValidation sqref="F33" showDropDown="0" showInputMessage="0" showErrorMessage="0" allowBlank="0" type="list">
      <formula1>"✅ Enforce,⚠️ Audit Only,❌ Not Configured"</formula1>
    </dataValidation>
    <dataValidation sqref="D34" showDropDown="0" showInputMessage="0" showErrorMessage="0" allowBlank="0" type="list">
      <formula1>"AppLocker,WDAC,Gatekeeper (macOS),Application Whitelist,None,Other"</formula1>
    </dataValidation>
    <dataValidation sqref="F34" showDropDown="0" showInputMessage="0" showErrorMessage="0" allowBlank="0" type="list">
      <formula1>"✅ Enforce,⚠️ Audit Only,❌ Not Configured"</formula1>
    </dataValidation>
    <dataValidation sqref="D35" showDropDown="0" showInputMessage="0" showErrorMessage="0" allowBlank="0" type="list">
      <formula1>"AppLocker,WDAC,Gatekeeper (macOS),Application Whitelist,None,Other"</formula1>
    </dataValidation>
    <dataValidation sqref="F35" showDropDown="0" showInputMessage="0" showErrorMessage="0" allowBlank="0" type="list">
      <formula1>"✅ Enforce,⚠️ Audit Only,❌ Not Configured"</formula1>
    </dataValidation>
    <dataValidation sqref="D36" showDropDown="0" showInputMessage="0" showErrorMessage="0" allowBlank="0" type="list">
      <formula1>"AppLocker,WDAC,Gatekeeper (macOS),Application Whitelist,None,Other"</formula1>
    </dataValidation>
    <dataValidation sqref="F36" showDropDown="0" showInputMessage="0" showErrorMessage="0" allowBlank="0" type="list">
      <formula1>"✅ Enforce,⚠️ Audit Only,❌ Not Configured"</formula1>
    </dataValidation>
    <dataValidation sqref="D37" showDropDown="0" showInputMessage="0" showErrorMessage="0" allowBlank="0" type="list">
      <formula1>"AppLocker,WDAC,Gatekeeper (macOS),Application Whitelist,None,Other"</formula1>
    </dataValidation>
    <dataValidation sqref="F37" showDropDown="0" showInputMessage="0" showErrorMessage="0" allowBlank="0" type="list">
      <formula1>"✅ Enforce,⚠️ Audit Only,❌ Not Configured"</formula1>
    </dataValidation>
    <dataValidation sqref="D38" showDropDown="0" showInputMessage="0" showErrorMessage="0" allowBlank="0" type="list">
      <formula1>"AppLocker,WDAC,Gatekeeper (macOS),Application Whitelist,None,Other"</formula1>
    </dataValidation>
    <dataValidation sqref="F38" showDropDown="0" showInputMessage="0" showErrorMessage="0" allowBlank="0" type="list">
      <formula1>"✅ Enforce,⚠️ Audit Only,❌ Not Configured"</formula1>
    </dataValidation>
    <dataValidation sqref="D39" showDropDown="0" showInputMessage="0" showErrorMessage="0" allowBlank="0" type="list">
      <formula1>"AppLocker,WDAC,Gatekeeper (macOS),Application Whitelist,None,Other"</formula1>
    </dataValidation>
    <dataValidation sqref="F39" showDropDown="0" showInputMessage="0" showErrorMessage="0" allowBlank="0" type="list">
      <formula1>"✅ Enforce,⚠️ Audit Only,❌ Not Configured"</formula1>
    </dataValidation>
    <dataValidation sqref="D40" showDropDown="0" showInputMessage="0" showErrorMessage="0" allowBlank="0" type="list">
      <formula1>"AppLocker,WDAC,Gatekeeper (macOS),Application Whitelist,None,Other"</formula1>
    </dataValidation>
    <dataValidation sqref="F40" showDropDown="0" showInputMessage="0" showErrorMessage="0" allowBlank="0" type="list">
      <formula1>"✅ Enforce,⚠️ Audit Only,❌ Not Configured"</formula1>
    </dataValidation>
    <dataValidation sqref="D41" showDropDown="0" showInputMessage="0" showErrorMessage="0" allowBlank="0" type="list">
      <formula1>"AppLocker,WDAC,Gatekeeper (macOS),Application Whitelist,None,Other"</formula1>
    </dataValidation>
    <dataValidation sqref="F41" showDropDown="0" showInputMessage="0" showErrorMessage="0" allowBlank="0" type="list">
      <formula1>"✅ Enforce,⚠️ Audit Only,❌ Not Configured"</formula1>
    </dataValidation>
    <dataValidation sqref="D42" showDropDown="0" showInputMessage="0" showErrorMessage="0" allowBlank="0" type="list">
      <formula1>"AppLocker,WDAC,Gatekeeper (macOS),Application Whitelist,None,Other"</formula1>
    </dataValidation>
    <dataValidation sqref="F42" showDropDown="0" showInputMessage="0" showErrorMessage="0" allowBlank="0" type="list">
      <formula1>"✅ Enforce,⚠️ Audit Only,❌ Not Configured"</formula1>
    </dataValidation>
    <dataValidation sqref="D43" showDropDown="0" showInputMessage="0" showErrorMessage="0" allowBlank="0" type="list">
      <formula1>"AppLocker,WDAC,Gatekeeper (macOS),Application Whitelist,None,Other"</formula1>
    </dataValidation>
    <dataValidation sqref="F43" showDropDown="0" showInputMessage="0" showErrorMessage="0" allowBlank="0" type="list">
      <formula1>"✅ Enforce,⚠️ Audit Only,❌ Not Configured"</formula1>
    </dataValidation>
    <dataValidation sqref="D44" showDropDown="0" showInputMessage="0" showErrorMessage="0" allowBlank="0" type="list">
      <formula1>"AppLocker,WDAC,Gatekeeper (macOS),Application Whitelist,None,Other"</formula1>
    </dataValidation>
    <dataValidation sqref="F44" showDropDown="0" showInputMessage="0" showErrorMessage="0" allowBlank="0" type="list">
      <formula1>"✅ Enforce,⚠️ Audit Only,❌ Not Configured"</formula1>
    </dataValidation>
    <dataValidation sqref="D45" showDropDown="0" showInputMessage="0" showErrorMessage="0" allowBlank="0" type="list">
      <formula1>"AppLocker,WDAC,Gatekeeper (macOS),Application Whitelist,None,Other"</formula1>
    </dataValidation>
    <dataValidation sqref="F45" showDropDown="0" showInputMessage="0" showErrorMessage="0" allowBlank="0" type="list">
      <formula1>"✅ Enforce,⚠️ Audit Only,❌ Not Configured"</formula1>
    </dataValidation>
    <dataValidation sqref="D46" showDropDown="0" showInputMessage="0" showErrorMessage="0" allowBlank="0" type="list">
      <formula1>"AppLocker,WDAC,Gatekeeper (macOS),Application Whitelist,None,Other"</formula1>
    </dataValidation>
    <dataValidation sqref="F46" showDropDown="0" showInputMessage="0" showErrorMessage="0" allowBlank="0" type="list">
      <formula1>"✅ Enforce,⚠️ Audit Only,❌ Not Configured"</formula1>
    </dataValidation>
    <dataValidation sqref="D47" showDropDown="0" showInputMessage="0" showErrorMessage="0" allowBlank="0" type="list">
      <formula1>"AppLocker,WDAC,Gatekeeper (macOS),Application Whitelist,None,Other"</formula1>
    </dataValidation>
    <dataValidation sqref="F47" showDropDown="0" showInputMessage="0" showErrorMessage="0" allowBlank="0" type="list">
      <formula1>"✅ Enforce,⚠️ Audit Only,❌ Not Configured"</formula1>
    </dataValidation>
    <dataValidation sqref="D48" showDropDown="0" showInputMessage="0" showErrorMessage="0" allowBlank="0" type="list">
      <formula1>"AppLocker,WDAC,Gatekeeper (macOS),Application Whitelist,None,Other"</formula1>
    </dataValidation>
    <dataValidation sqref="F48" showDropDown="0" showInputMessage="0" showErrorMessage="0" allowBlank="0" type="list">
      <formula1>"✅ Enforce,⚠️ Audit Only,❌ Not Configured"</formula1>
    </dataValidation>
    <dataValidation sqref="D49" showDropDown="0" showInputMessage="0" showErrorMessage="0" allowBlank="0" type="list">
      <formula1>"AppLocker,WDAC,Gatekeeper (macOS),Application Whitelist,None,Other"</formula1>
    </dataValidation>
    <dataValidation sqref="F49" showDropDown="0" showInputMessage="0" showErrorMessage="0" allowBlank="0" type="list">
      <formula1>"✅ Enforce,⚠️ Audit Only,❌ Not Configured"</formula1>
    </dataValidation>
    <dataValidation sqref="D50" showDropDown="0" showInputMessage="0" showErrorMessage="0" allowBlank="0" type="list">
      <formula1>"AppLocker,WDAC,Gatekeeper (macOS),Application Whitelist,None,Other"</formula1>
    </dataValidation>
    <dataValidation sqref="F50" showDropDown="0" showInputMessage="0" showErrorMessage="0" allowBlank="0" type="list">
      <formula1>"✅ Enforce,⚠️ Audit Only,❌ Not Configured"</formula1>
    </dataValidation>
    <dataValidation sqref="D51" showDropDown="0" showInputMessage="0" showErrorMessage="0" allowBlank="0" type="list">
      <formula1>"AppLocker,WDAC,Gatekeeper (macOS),Application Whitelist,None,Other"</formula1>
    </dataValidation>
    <dataValidation sqref="F51" showDropDown="0" showInputMessage="0" showErrorMessage="0" allowBlank="0" type="list">
      <formula1>"✅ Enforce,⚠️ Audit Only,❌ Not Configured"</formula1>
    </dataValidation>
    <dataValidation sqref="D52" showDropDown="0" showInputMessage="0" showErrorMessage="0" allowBlank="0" type="list">
      <formula1>"AppLocker,WDAC,Gatekeeper (macOS),Application Whitelist,None,Other"</formula1>
    </dataValidation>
    <dataValidation sqref="F52" showDropDown="0" showInputMessage="0" showErrorMessage="0" allowBlank="0" type="list">
      <formula1>"✅ Enforce,⚠️ Audit Only,❌ Not Configured"</formula1>
    </dataValidation>
    <dataValidation sqref="D53" showDropDown="0" showInputMessage="0" showErrorMessage="0" allowBlank="0" type="list">
      <formula1>"AppLocker,WDAC,Gatekeeper (macOS),Application Whitelist,None,Other"</formula1>
    </dataValidation>
    <dataValidation sqref="F53" showDropDown="0" showInputMessage="0" showErrorMessage="0" allowBlank="0" type="list">
      <formula1>"✅ Enforce,⚠️ Audit Only,❌ Not Configured"</formula1>
    </dataValidation>
    <dataValidation sqref="D54" showDropDown="0" showInputMessage="0" showErrorMessage="0" allowBlank="0" type="list">
      <formula1>"AppLocker,WDAC,Gatekeeper (macOS),Application Whitelist,None,Other"</formula1>
    </dataValidation>
    <dataValidation sqref="F54" showDropDown="0" showInputMessage="0" showErrorMessage="0" allowBlank="0" type="list">
      <formula1>"✅ Enforce,⚠️ Audit Only,❌ Not Configured"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11"/>
  <sheetViews>
    <sheetView workbookViewId="0">
      <selection activeCell="A1" sqref="A1"/>
    </sheetView>
  </sheetViews>
  <sheetFormatPr baseColWidth="8" defaultRowHeight="15"/>
  <cols>
    <col width="15" customWidth="1" min="1" max="1"/>
    <col width="15" customWidth="1" min="2" max="2"/>
    <col width="30" customWidth="1" min="3" max="3"/>
    <col width="12" customWidth="1" min="4" max="4"/>
    <col width="18" customWidth="1" min="5" max="5"/>
    <col width="20" customWidth="1" min="6" max="6"/>
    <col width="18" customWidth="1" min="7" max="7"/>
    <col width="18" customWidth="1" min="8" max="8"/>
    <col width="18" customWidth="1" min="9" max="9"/>
    <col width="20" customWidth="1" min="10" max="10"/>
    <col width="20" customWidth="1" min="11" max="11"/>
    <col width="30" customWidth="1" min="12" max="12"/>
  </cols>
  <sheetData>
    <row r="1">
      <c r="A1" s="1" t="inlineStr">
        <is>
          <t>SOFTWARE INSTALLATION CHANGE CONTROL</t>
        </is>
      </c>
    </row>
    <row r="2">
      <c r="A2" s="2" t="inlineStr">
        <is>
          <t>Change control integration for software installations - 100% compliance required</t>
        </is>
      </c>
    </row>
    <row r="4">
      <c r="A4" s="5" t="inlineStr">
        <is>
          <t>Change ID</t>
        </is>
      </c>
      <c r="B4" s="5" t="inlineStr">
        <is>
          <t>Change Date</t>
        </is>
      </c>
      <c r="C4" s="5" t="inlineStr">
        <is>
          <t>Software Name</t>
        </is>
      </c>
      <c r="D4" s="5" t="inlineStr">
        <is>
          <t>Version</t>
        </is>
      </c>
      <c r="E4" s="5" t="inlineStr">
        <is>
          <t>Affected Devices</t>
        </is>
      </c>
      <c r="F4" s="5" t="inlineStr">
        <is>
          <t>Change Type</t>
        </is>
      </c>
      <c r="G4" s="5" t="inlineStr">
        <is>
          <t>Testing Completed</t>
        </is>
      </c>
      <c r="H4" s="5" t="inlineStr">
        <is>
          <t>Rollback Plan</t>
        </is>
      </c>
      <c r="I4" s="5" t="inlineStr">
        <is>
          <t>Implementer</t>
        </is>
      </c>
      <c r="J4" s="5" t="inlineStr">
        <is>
          <t>Approval Reference</t>
        </is>
      </c>
      <c r="K4" s="5" t="inlineStr">
        <is>
          <t>Change Status</t>
        </is>
      </c>
      <c r="L4" s="5" t="inlineStr">
        <is>
          <t>Notes</t>
        </is>
      </c>
    </row>
    <row r="5">
      <c r="A5" s="3" t="inlineStr">
        <is>
          <t>CHG-00001</t>
        </is>
      </c>
      <c r="B5" s="13" t="n"/>
      <c r="C5" s="13" t="n"/>
      <c r="D5" s="13" t="n"/>
      <c r="E5" s="13" t="n"/>
      <c r="F5" s="13" t="n"/>
      <c r="G5" s="13" t="n"/>
      <c r="H5" s="13" t="n"/>
      <c r="I5" s="13" t="n"/>
      <c r="J5" s="13" t="n"/>
      <c r="K5" s="13" t="n"/>
      <c r="L5" s="13" t="n"/>
    </row>
    <row r="6">
      <c r="A6" s="3" t="inlineStr">
        <is>
          <t>CHG-00002</t>
        </is>
      </c>
      <c r="B6" s="13" t="n"/>
      <c r="C6" s="13" t="n"/>
      <c r="D6" s="13" t="n"/>
      <c r="E6" s="13" t="n"/>
      <c r="F6" s="13" t="n"/>
      <c r="G6" s="13" t="n"/>
      <c r="H6" s="13" t="n"/>
      <c r="I6" s="13" t="n"/>
      <c r="J6" s="13" t="n"/>
      <c r="K6" s="13" t="n"/>
      <c r="L6" s="13" t="n"/>
    </row>
    <row r="7">
      <c r="A7" s="3" t="inlineStr">
        <is>
          <t>CHG-00003</t>
        </is>
      </c>
      <c r="B7" s="13" t="n"/>
      <c r="C7" s="13" t="n"/>
      <c r="D7" s="13" t="n"/>
      <c r="E7" s="13" t="n"/>
      <c r="F7" s="13" t="n"/>
      <c r="G7" s="13" t="n"/>
      <c r="H7" s="13" t="n"/>
      <c r="I7" s="13" t="n"/>
      <c r="J7" s="13" t="n"/>
      <c r="K7" s="13" t="n"/>
      <c r="L7" s="13" t="n"/>
    </row>
    <row r="8">
      <c r="A8" s="3" t="inlineStr">
        <is>
          <t>CHG-00004</t>
        </is>
      </c>
      <c r="B8" s="13" t="n"/>
      <c r="C8" s="13" t="n"/>
      <c r="D8" s="13" t="n"/>
      <c r="E8" s="13" t="n"/>
      <c r="F8" s="13" t="n"/>
      <c r="G8" s="13" t="n"/>
      <c r="H8" s="13" t="n"/>
      <c r="I8" s="13" t="n"/>
      <c r="J8" s="13" t="n"/>
      <c r="K8" s="13" t="n"/>
      <c r="L8" s="13" t="n"/>
    </row>
    <row r="9">
      <c r="A9" s="3" t="inlineStr">
        <is>
          <t>CHG-00005</t>
        </is>
      </c>
      <c r="B9" s="13" t="n"/>
      <c r="C9" s="13" t="n"/>
      <c r="D9" s="13" t="n"/>
      <c r="E9" s="13" t="n"/>
      <c r="F9" s="13" t="n"/>
      <c r="G9" s="13" t="n"/>
      <c r="H9" s="13" t="n"/>
      <c r="I9" s="13" t="n"/>
      <c r="J9" s="13" t="n"/>
      <c r="K9" s="13" t="n"/>
      <c r="L9" s="13" t="n"/>
    </row>
    <row r="10">
      <c r="A10" s="3" t="inlineStr">
        <is>
          <t>CHG-00006</t>
        </is>
      </c>
      <c r="B10" s="13" t="n"/>
      <c r="C10" s="13" t="n"/>
      <c r="D10" s="13" t="n"/>
      <c r="E10" s="13" t="n"/>
      <c r="F10" s="13" t="n"/>
      <c r="G10" s="13" t="n"/>
      <c r="H10" s="13" t="n"/>
      <c r="I10" s="13" t="n"/>
      <c r="J10" s="13" t="n"/>
      <c r="K10" s="13" t="n"/>
      <c r="L10" s="13" t="n"/>
    </row>
    <row r="11">
      <c r="A11" s="3" t="inlineStr">
        <is>
          <t>CHG-00007</t>
        </is>
      </c>
      <c r="B11" s="13" t="n"/>
      <c r="C11" s="13" t="n"/>
      <c r="D11" s="13" t="n"/>
      <c r="E11" s="13" t="n"/>
      <c r="F11" s="13" t="n"/>
      <c r="G11" s="13" t="n"/>
      <c r="H11" s="13" t="n"/>
      <c r="I11" s="13" t="n"/>
      <c r="J11" s="13" t="n"/>
      <c r="K11" s="13" t="n"/>
      <c r="L11" s="13" t="n"/>
    </row>
    <row r="12">
      <c r="A12" s="3" t="inlineStr">
        <is>
          <t>CHG-00008</t>
        </is>
      </c>
      <c r="B12" s="13" t="n"/>
      <c r="C12" s="13" t="n"/>
      <c r="D12" s="13" t="n"/>
      <c r="E12" s="13" t="n"/>
      <c r="F12" s="13" t="n"/>
      <c r="G12" s="13" t="n"/>
      <c r="H12" s="13" t="n"/>
      <c r="I12" s="13" t="n"/>
      <c r="J12" s="13" t="n"/>
      <c r="K12" s="13" t="n"/>
      <c r="L12" s="13" t="n"/>
    </row>
    <row r="13">
      <c r="A13" s="3" t="inlineStr">
        <is>
          <t>CHG-00009</t>
        </is>
      </c>
      <c r="B13" s="13" t="n"/>
      <c r="C13" s="13" t="n"/>
      <c r="D13" s="13" t="n"/>
      <c r="E13" s="13" t="n"/>
      <c r="F13" s="13" t="n"/>
      <c r="G13" s="13" t="n"/>
      <c r="H13" s="13" t="n"/>
      <c r="I13" s="13" t="n"/>
      <c r="J13" s="13" t="n"/>
      <c r="K13" s="13" t="n"/>
      <c r="L13" s="13" t="n"/>
    </row>
    <row r="14">
      <c r="A14" s="3" t="inlineStr">
        <is>
          <t>CHG-00010</t>
        </is>
      </c>
      <c r="B14" s="13" t="n"/>
      <c r="C14" s="13" t="n"/>
      <c r="D14" s="13" t="n"/>
      <c r="E14" s="13" t="n"/>
      <c r="F14" s="13" t="n"/>
      <c r="G14" s="13" t="n"/>
      <c r="H14" s="13" t="n"/>
      <c r="I14" s="13" t="n"/>
      <c r="J14" s="13" t="n"/>
      <c r="K14" s="13" t="n"/>
      <c r="L14" s="13" t="n"/>
    </row>
    <row r="15">
      <c r="A15" s="3" t="inlineStr">
        <is>
          <t>CHG-00011</t>
        </is>
      </c>
      <c r="B15" s="13" t="n"/>
      <c r="C15" s="13" t="n"/>
      <c r="D15" s="13" t="n"/>
      <c r="E15" s="13" t="n"/>
      <c r="F15" s="13" t="n"/>
      <c r="G15" s="13" t="n"/>
      <c r="H15" s="13" t="n"/>
      <c r="I15" s="13" t="n"/>
      <c r="J15" s="13" t="n"/>
      <c r="K15" s="13" t="n"/>
      <c r="L15" s="13" t="n"/>
    </row>
    <row r="16">
      <c r="A16" s="3" t="inlineStr">
        <is>
          <t>CHG-00012</t>
        </is>
      </c>
      <c r="B16" s="13" t="n"/>
      <c r="C16" s="13" t="n"/>
      <c r="D16" s="13" t="n"/>
      <c r="E16" s="13" t="n"/>
      <c r="F16" s="13" t="n"/>
      <c r="G16" s="13" t="n"/>
      <c r="H16" s="13" t="n"/>
      <c r="I16" s="13" t="n"/>
      <c r="J16" s="13" t="n"/>
      <c r="K16" s="13" t="n"/>
      <c r="L16" s="13" t="n"/>
    </row>
    <row r="17">
      <c r="A17" s="3" t="inlineStr">
        <is>
          <t>CHG-00013</t>
        </is>
      </c>
      <c r="B17" s="13" t="n"/>
      <c r="C17" s="13" t="n"/>
      <c r="D17" s="13" t="n"/>
      <c r="E17" s="13" t="n"/>
      <c r="F17" s="13" t="n"/>
      <c r="G17" s="13" t="n"/>
      <c r="H17" s="13" t="n"/>
      <c r="I17" s="13" t="n"/>
      <c r="J17" s="13" t="n"/>
      <c r="K17" s="13" t="n"/>
      <c r="L17" s="13" t="n"/>
    </row>
    <row r="18">
      <c r="A18" s="3" t="inlineStr">
        <is>
          <t>CHG-00014</t>
        </is>
      </c>
      <c r="B18" s="13" t="n"/>
      <c r="C18" s="13" t="n"/>
      <c r="D18" s="13" t="n"/>
      <c r="E18" s="13" t="n"/>
      <c r="F18" s="13" t="n"/>
      <c r="G18" s="13" t="n"/>
      <c r="H18" s="13" t="n"/>
      <c r="I18" s="13" t="n"/>
      <c r="J18" s="13" t="n"/>
      <c r="K18" s="13" t="n"/>
      <c r="L18" s="13" t="n"/>
    </row>
    <row r="19">
      <c r="A19" s="3" t="inlineStr">
        <is>
          <t>CHG-00015</t>
        </is>
      </c>
      <c r="B19" s="13" t="n"/>
      <c r="C19" s="13" t="n"/>
      <c r="D19" s="13" t="n"/>
      <c r="E19" s="13" t="n"/>
      <c r="F19" s="13" t="n"/>
      <c r="G19" s="13" t="n"/>
      <c r="H19" s="13" t="n"/>
      <c r="I19" s="13" t="n"/>
      <c r="J19" s="13" t="n"/>
      <c r="K19" s="13" t="n"/>
      <c r="L19" s="13" t="n"/>
    </row>
    <row r="20">
      <c r="A20" s="3" t="inlineStr">
        <is>
          <t>CHG-00016</t>
        </is>
      </c>
      <c r="B20" s="13" t="n"/>
      <c r="C20" s="13" t="n"/>
      <c r="D20" s="13" t="n"/>
      <c r="E20" s="13" t="n"/>
      <c r="F20" s="13" t="n"/>
      <c r="G20" s="13" t="n"/>
      <c r="H20" s="13" t="n"/>
      <c r="I20" s="13" t="n"/>
      <c r="J20" s="13" t="n"/>
      <c r="K20" s="13" t="n"/>
      <c r="L20" s="13" t="n"/>
    </row>
    <row r="21">
      <c r="A21" s="3" t="inlineStr">
        <is>
          <t>CHG-00017</t>
        </is>
      </c>
      <c r="B21" s="13" t="n"/>
      <c r="C21" s="13" t="n"/>
      <c r="D21" s="13" t="n"/>
      <c r="E21" s="13" t="n"/>
      <c r="F21" s="13" t="n"/>
      <c r="G21" s="13" t="n"/>
      <c r="H21" s="13" t="n"/>
      <c r="I21" s="13" t="n"/>
      <c r="J21" s="13" t="n"/>
      <c r="K21" s="13" t="n"/>
      <c r="L21" s="13" t="n"/>
    </row>
    <row r="22">
      <c r="A22" s="3" t="inlineStr">
        <is>
          <t>CHG-00018</t>
        </is>
      </c>
      <c r="B22" s="13" t="n"/>
      <c r="C22" s="13" t="n"/>
      <c r="D22" s="13" t="n"/>
      <c r="E22" s="13" t="n"/>
      <c r="F22" s="13" t="n"/>
      <c r="G22" s="13" t="n"/>
      <c r="H22" s="13" t="n"/>
      <c r="I22" s="13" t="n"/>
      <c r="J22" s="13" t="n"/>
      <c r="K22" s="13" t="n"/>
      <c r="L22" s="13" t="n"/>
    </row>
    <row r="23">
      <c r="A23" s="3" t="inlineStr">
        <is>
          <t>CHG-00019</t>
        </is>
      </c>
      <c r="B23" s="13" t="n"/>
      <c r="C23" s="13" t="n"/>
      <c r="D23" s="13" t="n"/>
      <c r="E23" s="13" t="n"/>
      <c r="F23" s="13" t="n"/>
      <c r="G23" s="13" t="n"/>
      <c r="H23" s="13" t="n"/>
      <c r="I23" s="13" t="n"/>
      <c r="J23" s="13" t="n"/>
      <c r="K23" s="13" t="n"/>
      <c r="L23" s="13" t="n"/>
    </row>
    <row r="24">
      <c r="A24" s="3" t="inlineStr">
        <is>
          <t>CHG-00020</t>
        </is>
      </c>
      <c r="B24" s="13" t="n"/>
      <c r="C24" s="13" t="n"/>
      <c r="D24" s="13" t="n"/>
      <c r="E24" s="13" t="n"/>
      <c r="F24" s="13" t="n"/>
      <c r="G24" s="13" t="n"/>
      <c r="H24" s="13" t="n"/>
      <c r="I24" s="13" t="n"/>
      <c r="J24" s="13" t="n"/>
      <c r="K24" s="13" t="n"/>
      <c r="L24" s="13" t="n"/>
    </row>
    <row r="25">
      <c r="A25" s="3" t="inlineStr">
        <is>
          <t>CHG-00021</t>
        </is>
      </c>
      <c r="B25" s="13" t="n"/>
      <c r="C25" s="13" t="n"/>
      <c r="D25" s="13" t="n"/>
      <c r="E25" s="13" t="n"/>
      <c r="F25" s="13" t="n"/>
      <c r="G25" s="13" t="n"/>
      <c r="H25" s="13" t="n"/>
      <c r="I25" s="13" t="n"/>
      <c r="J25" s="13" t="n"/>
      <c r="K25" s="13" t="n"/>
      <c r="L25" s="13" t="n"/>
    </row>
    <row r="26">
      <c r="A26" s="3" t="inlineStr">
        <is>
          <t>CHG-00022</t>
        </is>
      </c>
      <c r="B26" s="13" t="n"/>
      <c r="C26" s="13" t="n"/>
      <c r="D26" s="13" t="n"/>
      <c r="E26" s="13" t="n"/>
      <c r="F26" s="13" t="n"/>
      <c r="G26" s="13" t="n"/>
      <c r="H26" s="13" t="n"/>
      <c r="I26" s="13" t="n"/>
      <c r="J26" s="13" t="n"/>
      <c r="K26" s="13" t="n"/>
      <c r="L26" s="13" t="n"/>
    </row>
    <row r="27">
      <c r="A27" s="3" t="inlineStr">
        <is>
          <t>CHG-00023</t>
        </is>
      </c>
      <c r="B27" s="13" t="n"/>
      <c r="C27" s="13" t="n"/>
      <c r="D27" s="13" t="n"/>
      <c r="E27" s="13" t="n"/>
      <c r="F27" s="13" t="n"/>
      <c r="G27" s="13" t="n"/>
      <c r="H27" s="13" t="n"/>
      <c r="I27" s="13" t="n"/>
      <c r="J27" s="13" t="n"/>
      <c r="K27" s="13" t="n"/>
      <c r="L27" s="13" t="n"/>
    </row>
    <row r="28">
      <c r="A28" s="3" t="inlineStr">
        <is>
          <t>CHG-00024</t>
        </is>
      </c>
      <c r="B28" s="13" t="n"/>
      <c r="C28" s="13" t="n"/>
      <c r="D28" s="13" t="n"/>
      <c r="E28" s="13" t="n"/>
      <c r="F28" s="13" t="n"/>
      <c r="G28" s="13" t="n"/>
      <c r="H28" s="13" t="n"/>
      <c r="I28" s="13" t="n"/>
      <c r="J28" s="13" t="n"/>
      <c r="K28" s="13" t="n"/>
      <c r="L28" s="13" t="n"/>
    </row>
    <row r="29">
      <c r="A29" s="3" t="inlineStr">
        <is>
          <t>CHG-00025</t>
        </is>
      </c>
      <c r="B29" s="13" t="n"/>
      <c r="C29" s="13" t="n"/>
      <c r="D29" s="13" t="n"/>
      <c r="E29" s="13" t="n"/>
      <c r="F29" s="13" t="n"/>
      <c r="G29" s="13" t="n"/>
      <c r="H29" s="13" t="n"/>
      <c r="I29" s="13" t="n"/>
      <c r="J29" s="13" t="n"/>
      <c r="K29" s="13" t="n"/>
      <c r="L29" s="13" t="n"/>
    </row>
    <row r="30">
      <c r="A30" s="3" t="inlineStr">
        <is>
          <t>CHG-00026</t>
        </is>
      </c>
      <c r="B30" s="13" t="n"/>
      <c r="C30" s="13" t="n"/>
      <c r="D30" s="13" t="n"/>
      <c r="E30" s="13" t="n"/>
      <c r="F30" s="13" t="n"/>
      <c r="G30" s="13" t="n"/>
      <c r="H30" s="13" t="n"/>
      <c r="I30" s="13" t="n"/>
      <c r="J30" s="13" t="n"/>
      <c r="K30" s="13" t="n"/>
      <c r="L30" s="13" t="n"/>
    </row>
    <row r="31">
      <c r="A31" s="3" t="inlineStr">
        <is>
          <t>CHG-00027</t>
        </is>
      </c>
      <c r="B31" s="13" t="n"/>
      <c r="C31" s="13" t="n"/>
      <c r="D31" s="13" t="n"/>
      <c r="E31" s="13" t="n"/>
      <c r="F31" s="13" t="n"/>
      <c r="G31" s="13" t="n"/>
      <c r="H31" s="13" t="n"/>
      <c r="I31" s="13" t="n"/>
      <c r="J31" s="13" t="n"/>
      <c r="K31" s="13" t="n"/>
      <c r="L31" s="13" t="n"/>
    </row>
    <row r="32">
      <c r="A32" s="3" t="inlineStr">
        <is>
          <t>CHG-00028</t>
        </is>
      </c>
      <c r="B32" s="13" t="n"/>
      <c r="C32" s="13" t="n"/>
      <c r="D32" s="13" t="n"/>
      <c r="E32" s="13" t="n"/>
      <c r="F32" s="13" t="n"/>
      <c r="G32" s="13" t="n"/>
      <c r="H32" s="13" t="n"/>
      <c r="I32" s="13" t="n"/>
      <c r="J32" s="13" t="n"/>
      <c r="K32" s="13" t="n"/>
      <c r="L32" s="13" t="n"/>
    </row>
    <row r="33">
      <c r="A33" s="3" t="inlineStr">
        <is>
          <t>CHG-00029</t>
        </is>
      </c>
      <c r="B33" s="13" t="n"/>
      <c r="C33" s="13" t="n"/>
      <c r="D33" s="13" t="n"/>
      <c r="E33" s="13" t="n"/>
      <c r="F33" s="13" t="n"/>
      <c r="G33" s="13" t="n"/>
      <c r="H33" s="13" t="n"/>
      <c r="I33" s="13" t="n"/>
      <c r="J33" s="13" t="n"/>
      <c r="K33" s="13" t="n"/>
      <c r="L33" s="13" t="n"/>
    </row>
    <row r="34">
      <c r="A34" s="3" t="inlineStr">
        <is>
          <t>CHG-00030</t>
        </is>
      </c>
      <c r="B34" s="13" t="n"/>
      <c r="C34" s="13" t="n"/>
      <c r="D34" s="13" t="n"/>
      <c r="E34" s="13" t="n"/>
      <c r="F34" s="13" t="n"/>
      <c r="G34" s="13" t="n"/>
      <c r="H34" s="13" t="n"/>
      <c r="I34" s="13" t="n"/>
      <c r="J34" s="13" t="n"/>
      <c r="K34" s="13" t="n"/>
      <c r="L34" s="13" t="n"/>
    </row>
    <row r="35">
      <c r="A35" s="3" t="inlineStr">
        <is>
          <t>CHG-00031</t>
        </is>
      </c>
      <c r="B35" s="13" t="n"/>
      <c r="C35" s="13" t="n"/>
      <c r="D35" s="13" t="n"/>
      <c r="E35" s="13" t="n"/>
      <c r="F35" s="13" t="n"/>
      <c r="G35" s="13" t="n"/>
      <c r="H35" s="13" t="n"/>
      <c r="I35" s="13" t="n"/>
      <c r="J35" s="13" t="n"/>
      <c r="K35" s="13" t="n"/>
      <c r="L35" s="13" t="n"/>
    </row>
    <row r="36">
      <c r="A36" s="3" t="inlineStr">
        <is>
          <t>CHG-00032</t>
        </is>
      </c>
      <c r="B36" s="13" t="n"/>
      <c r="C36" s="13" t="n"/>
      <c r="D36" s="13" t="n"/>
      <c r="E36" s="13" t="n"/>
      <c r="F36" s="13" t="n"/>
      <c r="G36" s="13" t="n"/>
      <c r="H36" s="13" t="n"/>
      <c r="I36" s="13" t="n"/>
      <c r="J36" s="13" t="n"/>
      <c r="K36" s="13" t="n"/>
      <c r="L36" s="13" t="n"/>
    </row>
    <row r="37">
      <c r="A37" s="3" t="inlineStr">
        <is>
          <t>CHG-00033</t>
        </is>
      </c>
      <c r="B37" s="13" t="n"/>
      <c r="C37" s="13" t="n"/>
      <c r="D37" s="13" t="n"/>
      <c r="E37" s="13" t="n"/>
      <c r="F37" s="13" t="n"/>
      <c r="G37" s="13" t="n"/>
      <c r="H37" s="13" t="n"/>
      <c r="I37" s="13" t="n"/>
      <c r="J37" s="13" t="n"/>
      <c r="K37" s="13" t="n"/>
      <c r="L37" s="13" t="n"/>
    </row>
    <row r="38">
      <c r="A38" s="3" t="inlineStr">
        <is>
          <t>CHG-00034</t>
        </is>
      </c>
      <c r="B38" s="13" t="n"/>
      <c r="C38" s="13" t="n"/>
      <c r="D38" s="13" t="n"/>
      <c r="E38" s="13" t="n"/>
      <c r="F38" s="13" t="n"/>
      <c r="G38" s="13" t="n"/>
      <c r="H38" s="13" t="n"/>
      <c r="I38" s="13" t="n"/>
      <c r="J38" s="13" t="n"/>
      <c r="K38" s="13" t="n"/>
      <c r="L38" s="13" t="n"/>
    </row>
    <row r="39">
      <c r="A39" s="3" t="inlineStr">
        <is>
          <t>CHG-00035</t>
        </is>
      </c>
      <c r="B39" s="13" t="n"/>
      <c r="C39" s="13" t="n"/>
      <c r="D39" s="13" t="n"/>
      <c r="E39" s="13" t="n"/>
      <c r="F39" s="13" t="n"/>
      <c r="G39" s="13" t="n"/>
      <c r="H39" s="13" t="n"/>
      <c r="I39" s="13" t="n"/>
      <c r="J39" s="13" t="n"/>
      <c r="K39" s="13" t="n"/>
      <c r="L39" s="13" t="n"/>
    </row>
    <row r="40">
      <c r="A40" s="3" t="inlineStr">
        <is>
          <t>CHG-00036</t>
        </is>
      </c>
      <c r="B40" s="13" t="n"/>
      <c r="C40" s="13" t="n"/>
      <c r="D40" s="13" t="n"/>
      <c r="E40" s="13" t="n"/>
      <c r="F40" s="13" t="n"/>
      <c r="G40" s="13" t="n"/>
      <c r="H40" s="13" t="n"/>
      <c r="I40" s="13" t="n"/>
      <c r="J40" s="13" t="n"/>
      <c r="K40" s="13" t="n"/>
      <c r="L40" s="13" t="n"/>
    </row>
    <row r="41">
      <c r="A41" s="3" t="inlineStr">
        <is>
          <t>CHG-00037</t>
        </is>
      </c>
      <c r="B41" s="13" t="n"/>
      <c r="C41" s="13" t="n"/>
      <c r="D41" s="13" t="n"/>
      <c r="E41" s="13" t="n"/>
      <c r="F41" s="13" t="n"/>
      <c r="G41" s="13" t="n"/>
      <c r="H41" s="13" t="n"/>
      <c r="I41" s="13" t="n"/>
      <c r="J41" s="13" t="n"/>
      <c r="K41" s="13" t="n"/>
      <c r="L41" s="13" t="n"/>
    </row>
    <row r="42">
      <c r="A42" s="3" t="inlineStr">
        <is>
          <t>CHG-00038</t>
        </is>
      </c>
      <c r="B42" s="13" t="n"/>
      <c r="C42" s="13" t="n"/>
      <c r="D42" s="13" t="n"/>
      <c r="E42" s="13" t="n"/>
      <c r="F42" s="13" t="n"/>
      <c r="G42" s="13" t="n"/>
      <c r="H42" s="13" t="n"/>
      <c r="I42" s="13" t="n"/>
      <c r="J42" s="13" t="n"/>
      <c r="K42" s="13" t="n"/>
      <c r="L42" s="13" t="n"/>
    </row>
    <row r="43">
      <c r="A43" s="3" t="inlineStr">
        <is>
          <t>CHG-00039</t>
        </is>
      </c>
      <c r="B43" s="13" t="n"/>
      <c r="C43" s="13" t="n"/>
      <c r="D43" s="13" t="n"/>
      <c r="E43" s="13" t="n"/>
      <c r="F43" s="13" t="n"/>
      <c r="G43" s="13" t="n"/>
      <c r="H43" s="13" t="n"/>
      <c r="I43" s="13" t="n"/>
      <c r="J43" s="13" t="n"/>
      <c r="K43" s="13" t="n"/>
      <c r="L43" s="13" t="n"/>
    </row>
    <row r="44">
      <c r="A44" s="3" t="inlineStr">
        <is>
          <t>CHG-00040</t>
        </is>
      </c>
      <c r="B44" s="13" t="n"/>
      <c r="C44" s="13" t="n"/>
      <c r="D44" s="13" t="n"/>
      <c r="E44" s="13" t="n"/>
      <c r="F44" s="13" t="n"/>
      <c r="G44" s="13" t="n"/>
      <c r="H44" s="13" t="n"/>
      <c r="I44" s="13" t="n"/>
      <c r="J44" s="13" t="n"/>
      <c r="K44" s="13" t="n"/>
      <c r="L44" s="13" t="n"/>
    </row>
    <row r="45">
      <c r="A45" s="3" t="inlineStr">
        <is>
          <t>CHG-00041</t>
        </is>
      </c>
      <c r="B45" s="13" t="n"/>
      <c r="C45" s="13" t="n"/>
      <c r="D45" s="13" t="n"/>
      <c r="E45" s="13" t="n"/>
      <c r="F45" s="13" t="n"/>
      <c r="G45" s="13" t="n"/>
      <c r="H45" s="13" t="n"/>
      <c r="I45" s="13" t="n"/>
      <c r="J45" s="13" t="n"/>
      <c r="K45" s="13" t="n"/>
      <c r="L45" s="13" t="n"/>
    </row>
    <row r="46">
      <c r="A46" s="3" t="inlineStr">
        <is>
          <t>CHG-00042</t>
        </is>
      </c>
      <c r="B46" s="13" t="n"/>
      <c r="C46" s="13" t="n"/>
      <c r="D46" s="13" t="n"/>
      <c r="E46" s="13" t="n"/>
      <c r="F46" s="13" t="n"/>
      <c r="G46" s="13" t="n"/>
      <c r="H46" s="13" t="n"/>
      <c r="I46" s="13" t="n"/>
      <c r="J46" s="13" t="n"/>
      <c r="K46" s="13" t="n"/>
      <c r="L46" s="13" t="n"/>
    </row>
    <row r="47">
      <c r="A47" s="3" t="inlineStr">
        <is>
          <t>CHG-00043</t>
        </is>
      </c>
      <c r="B47" s="13" t="n"/>
      <c r="C47" s="13" t="n"/>
      <c r="D47" s="13" t="n"/>
      <c r="E47" s="13" t="n"/>
      <c r="F47" s="13" t="n"/>
      <c r="G47" s="13" t="n"/>
      <c r="H47" s="13" t="n"/>
      <c r="I47" s="13" t="n"/>
      <c r="J47" s="13" t="n"/>
      <c r="K47" s="13" t="n"/>
      <c r="L47" s="13" t="n"/>
    </row>
    <row r="48">
      <c r="A48" s="3" t="inlineStr">
        <is>
          <t>CHG-00044</t>
        </is>
      </c>
      <c r="B48" s="13" t="n"/>
      <c r="C48" s="13" t="n"/>
      <c r="D48" s="13" t="n"/>
      <c r="E48" s="13" t="n"/>
      <c r="F48" s="13" t="n"/>
      <c r="G48" s="13" t="n"/>
      <c r="H48" s="13" t="n"/>
      <c r="I48" s="13" t="n"/>
      <c r="J48" s="13" t="n"/>
      <c r="K48" s="13" t="n"/>
      <c r="L48" s="13" t="n"/>
    </row>
    <row r="49">
      <c r="A49" s="3" t="inlineStr">
        <is>
          <t>CHG-00045</t>
        </is>
      </c>
      <c r="B49" s="13" t="n"/>
      <c r="C49" s="13" t="n"/>
      <c r="D49" s="13" t="n"/>
      <c r="E49" s="13" t="n"/>
      <c r="F49" s="13" t="n"/>
      <c r="G49" s="13" t="n"/>
      <c r="H49" s="13" t="n"/>
      <c r="I49" s="13" t="n"/>
      <c r="J49" s="13" t="n"/>
      <c r="K49" s="13" t="n"/>
      <c r="L49" s="13" t="n"/>
    </row>
    <row r="50">
      <c r="A50" s="3" t="inlineStr">
        <is>
          <t>CHG-00046</t>
        </is>
      </c>
      <c r="B50" s="13" t="n"/>
      <c r="C50" s="13" t="n"/>
      <c r="D50" s="13" t="n"/>
      <c r="E50" s="13" t="n"/>
      <c r="F50" s="13" t="n"/>
      <c r="G50" s="13" t="n"/>
      <c r="H50" s="13" t="n"/>
      <c r="I50" s="13" t="n"/>
      <c r="J50" s="13" t="n"/>
      <c r="K50" s="13" t="n"/>
      <c r="L50" s="13" t="n"/>
    </row>
    <row r="51">
      <c r="A51" s="3" t="inlineStr">
        <is>
          <t>CHG-00047</t>
        </is>
      </c>
      <c r="B51" s="13" t="n"/>
      <c r="C51" s="13" t="n"/>
      <c r="D51" s="13" t="n"/>
      <c r="E51" s="13" t="n"/>
      <c r="F51" s="13" t="n"/>
      <c r="G51" s="13" t="n"/>
      <c r="H51" s="13" t="n"/>
      <c r="I51" s="13" t="n"/>
      <c r="J51" s="13" t="n"/>
      <c r="K51" s="13" t="n"/>
      <c r="L51" s="13" t="n"/>
    </row>
    <row r="52">
      <c r="A52" s="3" t="inlineStr">
        <is>
          <t>CHG-00048</t>
        </is>
      </c>
      <c r="B52" s="13" t="n"/>
      <c r="C52" s="13" t="n"/>
      <c r="D52" s="13" t="n"/>
      <c r="E52" s="13" t="n"/>
      <c r="F52" s="13" t="n"/>
      <c r="G52" s="13" t="n"/>
      <c r="H52" s="13" t="n"/>
      <c r="I52" s="13" t="n"/>
      <c r="J52" s="13" t="n"/>
      <c r="K52" s="13" t="n"/>
      <c r="L52" s="13" t="n"/>
    </row>
    <row r="53">
      <c r="A53" s="3" t="inlineStr">
        <is>
          <t>CHG-00049</t>
        </is>
      </c>
      <c r="B53" s="13" t="n"/>
      <c r="C53" s="13" t="n"/>
      <c r="D53" s="13" t="n"/>
      <c r="E53" s="13" t="n"/>
      <c r="F53" s="13" t="n"/>
      <c r="G53" s="13" t="n"/>
      <c r="H53" s="13" t="n"/>
      <c r="I53" s="13" t="n"/>
      <c r="J53" s="13" t="n"/>
      <c r="K53" s="13" t="n"/>
      <c r="L53" s="13" t="n"/>
    </row>
    <row r="54">
      <c r="A54" s="3" t="inlineStr">
        <is>
          <t>CHG-00050</t>
        </is>
      </c>
      <c r="B54" s="13" t="n"/>
      <c r="C54" s="13" t="n"/>
      <c r="D54" s="13" t="n"/>
      <c r="E54" s="13" t="n"/>
      <c r="F54" s="13" t="n"/>
      <c r="G54" s="13" t="n"/>
      <c r="H54" s="13" t="n"/>
      <c r="I54" s="13" t="n"/>
      <c r="J54" s="13" t="n"/>
      <c r="K54" s="13" t="n"/>
      <c r="L54" s="13" t="n"/>
    </row>
    <row r="55">
      <c r="A55" s="3" t="inlineStr">
        <is>
          <t>CHG-00051</t>
        </is>
      </c>
      <c r="B55" s="13" t="n"/>
      <c r="C55" s="13" t="n"/>
      <c r="D55" s="13" t="n"/>
      <c r="E55" s="13" t="n"/>
      <c r="F55" s="13" t="n"/>
      <c r="G55" s="13" t="n"/>
      <c r="H55" s="13" t="n"/>
      <c r="I55" s="13" t="n"/>
      <c r="J55" s="13" t="n"/>
      <c r="K55" s="13" t="n"/>
      <c r="L55" s="13" t="n"/>
    </row>
    <row r="56">
      <c r="A56" s="3" t="inlineStr">
        <is>
          <t>CHG-00052</t>
        </is>
      </c>
      <c r="B56" s="13" t="n"/>
      <c r="C56" s="13" t="n"/>
      <c r="D56" s="13" t="n"/>
      <c r="E56" s="13" t="n"/>
      <c r="F56" s="13" t="n"/>
      <c r="G56" s="13" t="n"/>
      <c r="H56" s="13" t="n"/>
      <c r="I56" s="13" t="n"/>
      <c r="J56" s="13" t="n"/>
      <c r="K56" s="13" t="n"/>
      <c r="L56" s="13" t="n"/>
    </row>
    <row r="57">
      <c r="A57" s="3" t="inlineStr">
        <is>
          <t>CHG-00053</t>
        </is>
      </c>
      <c r="B57" s="13" t="n"/>
      <c r="C57" s="13" t="n"/>
      <c r="D57" s="13" t="n"/>
      <c r="E57" s="13" t="n"/>
      <c r="F57" s="13" t="n"/>
      <c r="G57" s="13" t="n"/>
      <c r="H57" s="13" t="n"/>
      <c r="I57" s="13" t="n"/>
      <c r="J57" s="13" t="n"/>
      <c r="K57" s="13" t="n"/>
      <c r="L57" s="13" t="n"/>
    </row>
    <row r="58">
      <c r="A58" s="3" t="inlineStr">
        <is>
          <t>CHG-00054</t>
        </is>
      </c>
      <c r="B58" s="13" t="n"/>
      <c r="C58" s="13" t="n"/>
      <c r="D58" s="13" t="n"/>
      <c r="E58" s="13" t="n"/>
      <c r="F58" s="13" t="n"/>
      <c r="G58" s="13" t="n"/>
      <c r="H58" s="13" t="n"/>
      <c r="I58" s="13" t="n"/>
      <c r="J58" s="13" t="n"/>
      <c r="K58" s="13" t="n"/>
      <c r="L58" s="13" t="n"/>
    </row>
    <row r="59">
      <c r="A59" s="3" t="inlineStr">
        <is>
          <t>CHG-00055</t>
        </is>
      </c>
      <c r="B59" s="13" t="n"/>
      <c r="C59" s="13" t="n"/>
      <c r="D59" s="13" t="n"/>
      <c r="E59" s="13" t="n"/>
      <c r="F59" s="13" t="n"/>
      <c r="G59" s="13" t="n"/>
      <c r="H59" s="13" t="n"/>
      <c r="I59" s="13" t="n"/>
      <c r="J59" s="13" t="n"/>
      <c r="K59" s="13" t="n"/>
      <c r="L59" s="13" t="n"/>
    </row>
    <row r="60">
      <c r="A60" s="3" t="inlineStr">
        <is>
          <t>CHG-00056</t>
        </is>
      </c>
      <c r="B60" s="13" t="n"/>
      <c r="C60" s="13" t="n"/>
      <c r="D60" s="13" t="n"/>
      <c r="E60" s="13" t="n"/>
      <c r="F60" s="13" t="n"/>
      <c r="G60" s="13" t="n"/>
      <c r="H60" s="13" t="n"/>
      <c r="I60" s="13" t="n"/>
      <c r="J60" s="13" t="n"/>
      <c r="K60" s="13" t="n"/>
      <c r="L60" s="13" t="n"/>
    </row>
    <row r="61">
      <c r="A61" s="3" t="inlineStr">
        <is>
          <t>CHG-00057</t>
        </is>
      </c>
      <c r="B61" s="13" t="n"/>
      <c r="C61" s="13" t="n"/>
      <c r="D61" s="13" t="n"/>
      <c r="E61" s="13" t="n"/>
      <c r="F61" s="13" t="n"/>
      <c r="G61" s="13" t="n"/>
      <c r="H61" s="13" t="n"/>
      <c r="I61" s="13" t="n"/>
      <c r="J61" s="13" t="n"/>
      <c r="K61" s="13" t="n"/>
      <c r="L61" s="13" t="n"/>
    </row>
    <row r="62">
      <c r="A62" s="3" t="inlineStr">
        <is>
          <t>CHG-00058</t>
        </is>
      </c>
      <c r="B62" s="13" t="n"/>
      <c r="C62" s="13" t="n"/>
      <c r="D62" s="13" t="n"/>
      <c r="E62" s="13" t="n"/>
      <c r="F62" s="13" t="n"/>
      <c r="G62" s="13" t="n"/>
      <c r="H62" s="13" t="n"/>
      <c r="I62" s="13" t="n"/>
      <c r="J62" s="13" t="n"/>
      <c r="K62" s="13" t="n"/>
      <c r="L62" s="13" t="n"/>
    </row>
    <row r="63">
      <c r="A63" s="3" t="inlineStr">
        <is>
          <t>CHG-00059</t>
        </is>
      </c>
      <c r="B63" s="13" t="n"/>
      <c r="C63" s="13" t="n"/>
      <c r="D63" s="13" t="n"/>
      <c r="E63" s="13" t="n"/>
      <c r="F63" s="13" t="n"/>
      <c r="G63" s="13" t="n"/>
      <c r="H63" s="13" t="n"/>
      <c r="I63" s="13" t="n"/>
      <c r="J63" s="13" t="n"/>
      <c r="K63" s="13" t="n"/>
      <c r="L63" s="13" t="n"/>
    </row>
    <row r="64">
      <c r="A64" s="3" t="inlineStr">
        <is>
          <t>CHG-00060</t>
        </is>
      </c>
      <c r="B64" s="13" t="n"/>
      <c r="C64" s="13" t="n"/>
      <c r="D64" s="13" t="n"/>
      <c r="E64" s="13" t="n"/>
      <c r="F64" s="13" t="n"/>
      <c r="G64" s="13" t="n"/>
      <c r="H64" s="13" t="n"/>
      <c r="I64" s="13" t="n"/>
      <c r="J64" s="13" t="n"/>
      <c r="K64" s="13" t="n"/>
      <c r="L64" s="13" t="n"/>
    </row>
    <row r="65">
      <c r="A65" s="3" t="inlineStr">
        <is>
          <t>CHG-00061</t>
        </is>
      </c>
      <c r="B65" s="13" t="n"/>
      <c r="C65" s="13" t="n"/>
      <c r="D65" s="13" t="n"/>
      <c r="E65" s="13" t="n"/>
      <c r="F65" s="13" t="n"/>
      <c r="G65" s="13" t="n"/>
      <c r="H65" s="13" t="n"/>
      <c r="I65" s="13" t="n"/>
      <c r="J65" s="13" t="n"/>
      <c r="K65" s="13" t="n"/>
      <c r="L65" s="13" t="n"/>
    </row>
    <row r="66">
      <c r="A66" s="3" t="inlineStr">
        <is>
          <t>CHG-00062</t>
        </is>
      </c>
      <c r="B66" s="13" t="n"/>
      <c r="C66" s="13" t="n"/>
      <c r="D66" s="13" t="n"/>
      <c r="E66" s="13" t="n"/>
      <c r="F66" s="13" t="n"/>
      <c r="G66" s="13" t="n"/>
      <c r="H66" s="13" t="n"/>
      <c r="I66" s="13" t="n"/>
      <c r="J66" s="13" t="n"/>
      <c r="K66" s="13" t="n"/>
      <c r="L66" s="13" t="n"/>
    </row>
    <row r="67">
      <c r="A67" s="3" t="inlineStr">
        <is>
          <t>CHG-00063</t>
        </is>
      </c>
      <c r="B67" s="13" t="n"/>
      <c r="C67" s="13" t="n"/>
      <c r="D67" s="13" t="n"/>
      <c r="E67" s="13" t="n"/>
      <c r="F67" s="13" t="n"/>
      <c r="G67" s="13" t="n"/>
      <c r="H67" s="13" t="n"/>
      <c r="I67" s="13" t="n"/>
      <c r="J67" s="13" t="n"/>
      <c r="K67" s="13" t="n"/>
      <c r="L67" s="13" t="n"/>
    </row>
    <row r="68">
      <c r="A68" s="3" t="inlineStr">
        <is>
          <t>CHG-00064</t>
        </is>
      </c>
      <c r="B68" s="13" t="n"/>
      <c r="C68" s="13" t="n"/>
      <c r="D68" s="13" t="n"/>
      <c r="E68" s="13" t="n"/>
      <c r="F68" s="13" t="n"/>
      <c r="G68" s="13" t="n"/>
      <c r="H68" s="13" t="n"/>
      <c r="I68" s="13" t="n"/>
      <c r="J68" s="13" t="n"/>
      <c r="K68" s="13" t="n"/>
      <c r="L68" s="13" t="n"/>
    </row>
    <row r="69">
      <c r="A69" s="3" t="inlineStr">
        <is>
          <t>CHG-00065</t>
        </is>
      </c>
      <c r="B69" s="13" t="n"/>
      <c r="C69" s="13" t="n"/>
      <c r="D69" s="13" t="n"/>
      <c r="E69" s="13" t="n"/>
      <c r="F69" s="13" t="n"/>
      <c r="G69" s="13" t="n"/>
      <c r="H69" s="13" t="n"/>
      <c r="I69" s="13" t="n"/>
      <c r="J69" s="13" t="n"/>
      <c r="K69" s="13" t="n"/>
      <c r="L69" s="13" t="n"/>
    </row>
    <row r="70">
      <c r="A70" s="3" t="inlineStr">
        <is>
          <t>CHG-00066</t>
        </is>
      </c>
      <c r="B70" s="13" t="n"/>
      <c r="C70" s="13" t="n"/>
      <c r="D70" s="13" t="n"/>
      <c r="E70" s="13" t="n"/>
      <c r="F70" s="13" t="n"/>
      <c r="G70" s="13" t="n"/>
      <c r="H70" s="13" t="n"/>
      <c r="I70" s="13" t="n"/>
      <c r="J70" s="13" t="n"/>
      <c r="K70" s="13" t="n"/>
      <c r="L70" s="13" t="n"/>
    </row>
    <row r="71">
      <c r="A71" s="3" t="inlineStr">
        <is>
          <t>CHG-00067</t>
        </is>
      </c>
      <c r="B71" s="13" t="n"/>
      <c r="C71" s="13" t="n"/>
      <c r="D71" s="13" t="n"/>
      <c r="E71" s="13" t="n"/>
      <c r="F71" s="13" t="n"/>
      <c r="G71" s="13" t="n"/>
      <c r="H71" s="13" t="n"/>
      <c r="I71" s="13" t="n"/>
      <c r="J71" s="13" t="n"/>
      <c r="K71" s="13" t="n"/>
      <c r="L71" s="13" t="n"/>
    </row>
    <row r="72">
      <c r="A72" s="3" t="inlineStr">
        <is>
          <t>CHG-00068</t>
        </is>
      </c>
      <c r="B72" s="13" t="n"/>
      <c r="C72" s="13" t="n"/>
      <c r="D72" s="13" t="n"/>
      <c r="E72" s="13" t="n"/>
      <c r="F72" s="13" t="n"/>
      <c r="G72" s="13" t="n"/>
      <c r="H72" s="13" t="n"/>
      <c r="I72" s="13" t="n"/>
      <c r="J72" s="13" t="n"/>
      <c r="K72" s="13" t="n"/>
      <c r="L72" s="13" t="n"/>
    </row>
    <row r="73">
      <c r="A73" s="3" t="inlineStr">
        <is>
          <t>CHG-00069</t>
        </is>
      </c>
      <c r="B73" s="13" t="n"/>
      <c r="C73" s="13" t="n"/>
      <c r="D73" s="13" t="n"/>
      <c r="E73" s="13" t="n"/>
      <c r="F73" s="13" t="n"/>
      <c r="G73" s="13" t="n"/>
      <c r="H73" s="13" t="n"/>
      <c r="I73" s="13" t="n"/>
      <c r="J73" s="13" t="n"/>
      <c r="K73" s="13" t="n"/>
      <c r="L73" s="13" t="n"/>
    </row>
    <row r="74">
      <c r="A74" s="3" t="inlineStr">
        <is>
          <t>CHG-00070</t>
        </is>
      </c>
      <c r="B74" s="13" t="n"/>
      <c r="C74" s="13" t="n"/>
      <c r="D74" s="13" t="n"/>
      <c r="E74" s="13" t="n"/>
      <c r="F74" s="13" t="n"/>
      <c r="G74" s="13" t="n"/>
      <c r="H74" s="13" t="n"/>
      <c r="I74" s="13" t="n"/>
      <c r="J74" s="13" t="n"/>
      <c r="K74" s="13" t="n"/>
      <c r="L74" s="13" t="n"/>
    </row>
    <row r="75">
      <c r="A75" s="3" t="inlineStr">
        <is>
          <t>CHG-00071</t>
        </is>
      </c>
      <c r="B75" s="13" t="n"/>
      <c r="C75" s="13" t="n"/>
      <c r="D75" s="13" t="n"/>
      <c r="E75" s="13" t="n"/>
      <c r="F75" s="13" t="n"/>
      <c r="G75" s="13" t="n"/>
      <c r="H75" s="13" t="n"/>
      <c r="I75" s="13" t="n"/>
      <c r="J75" s="13" t="n"/>
      <c r="K75" s="13" t="n"/>
      <c r="L75" s="13" t="n"/>
    </row>
    <row r="76">
      <c r="A76" s="3" t="inlineStr">
        <is>
          <t>CHG-00072</t>
        </is>
      </c>
      <c r="B76" s="13" t="n"/>
      <c r="C76" s="13" t="n"/>
      <c r="D76" s="13" t="n"/>
      <c r="E76" s="13" t="n"/>
      <c r="F76" s="13" t="n"/>
      <c r="G76" s="13" t="n"/>
      <c r="H76" s="13" t="n"/>
      <c r="I76" s="13" t="n"/>
      <c r="J76" s="13" t="n"/>
      <c r="K76" s="13" t="n"/>
      <c r="L76" s="13" t="n"/>
    </row>
    <row r="77">
      <c r="A77" s="3" t="inlineStr">
        <is>
          <t>CHG-00073</t>
        </is>
      </c>
      <c r="B77" s="13" t="n"/>
      <c r="C77" s="13" t="n"/>
      <c r="D77" s="13" t="n"/>
      <c r="E77" s="13" t="n"/>
      <c r="F77" s="13" t="n"/>
      <c r="G77" s="13" t="n"/>
      <c r="H77" s="13" t="n"/>
      <c r="I77" s="13" t="n"/>
      <c r="J77" s="13" t="n"/>
      <c r="K77" s="13" t="n"/>
      <c r="L77" s="13" t="n"/>
    </row>
    <row r="78">
      <c r="A78" s="3" t="inlineStr">
        <is>
          <t>CHG-00074</t>
        </is>
      </c>
      <c r="B78" s="13" t="n"/>
      <c r="C78" s="13" t="n"/>
      <c r="D78" s="13" t="n"/>
      <c r="E78" s="13" t="n"/>
      <c r="F78" s="13" t="n"/>
      <c r="G78" s="13" t="n"/>
      <c r="H78" s="13" t="n"/>
      <c r="I78" s="13" t="n"/>
      <c r="J78" s="13" t="n"/>
      <c r="K78" s="13" t="n"/>
      <c r="L78" s="13" t="n"/>
    </row>
    <row r="79">
      <c r="A79" s="3" t="inlineStr">
        <is>
          <t>CHG-00075</t>
        </is>
      </c>
      <c r="B79" s="13" t="n"/>
      <c r="C79" s="13" t="n"/>
      <c r="D79" s="13" t="n"/>
      <c r="E79" s="13" t="n"/>
      <c r="F79" s="13" t="n"/>
      <c r="G79" s="13" t="n"/>
      <c r="H79" s="13" t="n"/>
      <c r="I79" s="13" t="n"/>
      <c r="J79" s="13" t="n"/>
      <c r="K79" s="13" t="n"/>
      <c r="L79" s="13" t="n"/>
    </row>
    <row r="80">
      <c r="A80" s="3" t="inlineStr">
        <is>
          <t>CHG-00076</t>
        </is>
      </c>
      <c r="B80" s="13" t="n"/>
      <c r="C80" s="13" t="n"/>
      <c r="D80" s="13" t="n"/>
      <c r="E80" s="13" t="n"/>
      <c r="F80" s="13" t="n"/>
      <c r="G80" s="13" t="n"/>
      <c r="H80" s="13" t="n"/>
      <c r="I80" s="13" t="n"/>
      <c r="J80" s="13" t="n"/>
      <c r="K80" s="13" t="n"/>
      <c r="L80" s="13" t="n"/>
    </row>
    <row r="81">
      <c r="A81" s="3" t="inlineStr">
        <is>
          <t>CHG-00077</t>
        </is>
      </c>
      <c r="B81" s="13" t="n"/>
      <c r="C81" s="13" t="n"/>
      <c r="D81" s="13" t="n"/>
      <c r="E81" s="13" t="n"/>
      <c r="F81" s="13" t="n"/>
      <c r="G81" s="13" t="n"/>
      <c r="H81" s="13" t="n"/>
      <c r="I81" s="13" t="n"/>
      <c r="J81" s="13" t="n"/>
      <c r="K81" s="13" t="n"/>
      <c r="L81" s="13" t="n"/>
    </row>
    <row r="82">
      <c r="A82" s="3" t="inlineStr">
        <is>
          <t>CHG-00078</t>
        </is>
      </c>
      <c r="B82" s="13" t="n"/>
      <c r="C82" s="13" t="n"/>
      <c r="D82" s="13" t="n"/>
      <c r="E82" s="13" t="n"/>
      <c r="F82" s="13" t="n"/>
      <c r="G82" s="13" t="n"/>
      <c r="H82" s="13" t="n"/>
      <c r="I82" s="13" t="n"/>
      <c r="J82" s="13" t="n"/>
      <c r="K82" s="13" t="n"/>
      <c r="L82" s="13" t="n"/>
    </row>
    <row r="83">
      <c r="A83" s="3" t="inlineStr">
        <is>
          <t>CHG-00079</t>
        </is>
      </c>
      <c r="B83" s="13" t="n"/>
      <c r="C83" s="13" t="n"/>
      <c r="D83" s="13" t="n"/>
      <c r="E83" s="13" t="n"/>
      <c r="F83" s="13" t="n"/>
      <c r="G83" s="13" t="n"/>
      <c r="H83" s="13" t="n"/>
      <c r="I83" s="13" t="n"/>
      <c r="J83" s="13" t="n"/>
      <c r="K83" s="13" t="n"/>
      <c r="L83" s="13" t="n"/>
    </row>
    <row r="84">
      <c r="A84" s="3" t="inlineStr">
        <is>
          <t>CHG-00080</t>
        </is>
      </c>
      <c r="B84" s="13" t="n"/>
      <c r="C84" s="13" t="n"/>
      <c r="D84" s="13" t="n"/>
      <c r="E84" s="13" t="n"/>
      <c r="F84" s="13" t="n"/>
      <c r="G84" s="13" t="n"/>
      <c r="H84" s="13" t="n"/>
      <c r="I84" s="13" t="n"/>
      <c r="J84" s="13" t="n"/>
      <c r="K84" s="13" t="n"/>
      <c r="L84" s="13" t="n"/>
    </row>
    <row r="85">
      <c r="A85" s="3" t="inlineStr">
        <is>
          <t>CHG-00081</t>
        </is>
      </c>
      <c r="B85" s="13" t="n"/>
      <c r="C85" s="13" t="n"/>
      <c r="D85" s="13" t="n"/>
      <c r="E85" s="13" t="n"/>
      <c r="F85" s="13" t="n"/>
      <c r="G85" s="13" t="n"/>
      <c r="H85" s="13" t="n"/>
      <c r="I85" s="13" t="n"/>
      <c r="J85" s="13" t="n"/>
      <c r="K85" s="13" t="n"/>
      <c r="L85" s="13" t="n"/>
    </row>
    <row r="86">
      <c r="A86" s="3" t="inlineStr">
        <is>
          <t>CHG-00082</t>
        </is>
      </c>
      <c r="B86" s="13" t="n"/>
      <c r="C86" s="13" t="n"/>
      <c r="D86" s="13" t="n"/>
      <c r="E86" s="13" t="n"/>
      <c r="F86" s="13" t="n"/>
      <c r="G86" s="13" t="n"/>
      <c r="H86" s="13" t="n"/>
      <c r="I86" s="13" t="n"/>
      <c r="J86" s="13" t="n"/>
      <c r="K86" s="13" t="n"/>
      <c r="L86" s="13" t="n"/>
    </row>
    <row r="87">
      <c r="A87" s="3" t="inlineStr">
        <is>
          <t>CHG-00083</t>
        </is>
      </c>
      <c r="B87" s="13" t="n"/>
      <c r="C87" s="13" t="n"/>
      <c r="D87" s="13" t="n"/>
      <c r="E87" s="13" t="n"/>
      <c r="F87" s="13" t="n"/>
      <c r="G87" s="13" t="n"/>
      <c r="H87" s="13" t="n"/>
      <c r="I87" s="13" t="n"/>
      <c r="J87" s="13" t="n"/>
      <c r="K87" s="13" t="n"/>
      <c r="L87" s="13" t="n"/>
    </row>
    <row r="88">
      <c r="A88" s="3" t="inlineStr">
        <is>
          <t>CHG-00084</t>
        </is>
      </c>
      <c r="B88" s="13" t="n"/>
      <c r="C88" s="13" t="n"/>
      <c r="D88" s="13" t="n"/>
      <c r="E88" s="13" t="n"/>
      <c r="F88" s="13" t="n"/>
      <c r="G88" s="13" t="n"/>
      <c r="H88" s="13" t="n"/>
      <c r="I88" s="13" t="n"/>
      <c r="J88" s="13" t="n"/>
      <c r="K88" s="13" t="n"/>
      <c r="L88" s="13" t="n"/>
    </row>
    <row r="89">
      <c r="A89" s="3" t="inlineStr">
        <is>
          <t>CHG-00085</t>
        </is>
      </c>
      <c r="B89" s="13" t="n"/>
      <c r="C89" s="13" t="n"/>
      <c r="D89" s="13" t="n"/>
      <c r="E89" s="13" t="n"/>
      <c r="F89" s="13" t="n"/>
      <c r="G89" s="13" t="n"/>
      <c r="H89" s="13" t="n"/>
      <c r="I89" s="13" t="n"/>
      <c r="J89" s="13" t="n"/>
      <c r="K89" s="13" t="n"/>
      <c r="L89" s="13" t="n"/>
    </row>
    <row r="90">
      <c r="A90" s="3" t="inlineStr">
        <is>
          <t>CHG-00086</t>
        </is>
      </c>
      <c r="B90" s="13" t="n"/>
      <c r="C90" s="13" t="n"/>
      <c r="D90" s="13" t="n"/>
      <c r="E90" s="13" t="n"/>
      <c r="F90" s="13" t="n"/>
      <c r="G90" s="13" t="n"/>
      <c r="H90" s="13" t="n"/>
      <c r="I90" s="13" t="n"/>
      <c r="J90" s="13" t="n"/>
      <c r="K90" s="13" t="n"/>
      <c r="L90" s="13" t="n"/>
    </row>
    <row r="91">
      <c r="A91" s="3" t="inlineStr">
        <is>
          <t>CHG-00087</t>
        </is>
      </c>
      <c r="B91" s="13" t="n"/>
      <c r="C91" s="13" t="n"/>
      <c r="D91" s="13" t="n"/>
      <c r="E91" s="13" t="n"/>
      <c r="F91" s="13" t="n"/>
      <c r="G91" s="13" t="n"/>
      <c r="H91" s="13" t="n"/>
      <c r="I91" s="13" t="n"/>
      <c r="J91" s="13" t="n"/>
      <c r="K91" s="13" t="n"/>
      <c r="L91" s="13" t="n"/>
    </row>
    <row r="92">
      <c r="A92" s="3" t="inlineStr">
        <is>
          <t>CHG-00088</t>
        </is>
      </c>
      <c r="B92" s="13" t="n"/>
      <c r="C92" s="13" t="n"/>
      <c r="D92" s="13" t="n"/>
      <c r="E92" s="13" t="n"/>
      <c r="F92" s="13" t="n"/>
      <c r="G92" s="13" t="n"/>
      <c r="H92" s="13" t="n"/>
      <c r="I92" s="13" t="n"/>
      <c r="J92" s="13" t="n"/>
      <c r="K92" s="13" t="n"/>
      <c r="L92" s="13" t="n"/>
    </row>
    <row r="93">
      <c r="A93" s="3" t="inlineStr">
        <is>
          <t>CHG-00089</t>
        </is>
      </c>
      <c r="B93" s="13" t="n"/>
      <c r="C93" s="13" t="n"/>
      <c r="D93" s="13" t="n"/>
      <c r="E93" s="13" t="n"/>
      <c r="F93" s="13" t="n"/>
      <c r="G93" s="13" t="n"/>
      <c r="H93" s="13" t="n"/>
      <c r="I93" s="13" t="n"/>
      <c r="J93" s="13" t="n"/>
      <c r="K93" s="13" t="n"/>
      <c r="L93" s="13" t="n"/>
    </row>
    <row r="94">
      <c r="A94" s="3" t="inlineStr">
        <is>
          <t>CHG-00090</t>
        </is>
      </c>
      <c r="B94" s="13" t="n"/>
      <c r="C94" s="13" t="n"/>
      <c r="D94" s="13" t="n"/>
      <c r="E94" s="13" t="n"/>
      <c r="F94" s="13" t="n"/>
      <c r="G94" s="13" t="n"/>
      <c r="H94" s="13" t="n"/>
      <c r="I94" s="13" t="n"/>
      <c r="J94" s="13" t="n"/>
      <c r="K94" s="13" t="n"/>
      <c r="L94" s="13" t="n"/>
    </row>
    <row r="95">
      <c r="A95" s="3" t="inlineStr">
        <is>
          <t>CHG-00091</t>
        </is>
      </c>
      <c r="B95" s="13" t="n"/>
      <c r="C95" s="13" t="n"/>
      <c r="D95" s="13" t="n"/>
      <c r="E95" s="13" t="n"/>
      <c r="F95" s="13" t="n"/>
      <c r="G95" s="13" t="n"/>
      <c r="H95" s="13" t="n"/>
      <c r="I95" s="13" t="n"/>
      <c r="J95" s="13" t="n"/>
      <c r="K95" s="13" t="n"/>
      <c r="L95" s="13" t="n"/>
    </row>
    <row r="96">
      <c r="A96" s="3" t="inlineStr">
        <is>
          <t>CHG-00092</t>
        </is>
      </c>
      <c r="B96" s="13" t="n"/>
      <c r="C96" s="13" t="n"/>
      <c r="D96" s="13" t="n"/>
      <c r="E96" s="13" t="n"/>
      <c r="F96" s="13" t="n"/>
      <c r="G96" s="13" t="n"/>
      <c r="H96" s="13" t="n"/>
      <c r="I96" s="13" t="n"/>
      <c r="J96" s="13" t="n"/>
      <c r="K96" s="13" t="n"/>
      <c r="L96" s="13" t="n"/>
    </row>
    <row r="97">
      <c r="A97" s="3" t="inlineStr">
        <is>
          <t>CHG-00093</t>
        </is>
      </c>
      <c r="B97" s="13" t="n"/>
      <c r="C97" s="13" t="n"/>
      <c r="D97" s="13" t="n"/>
      <c r="E97" s="13" t="n"/>
      <c r="F97" s="13" t="n"/>
      <c r="G97" s="13" t="n"/>
      <c r="H97" s="13" t="n"/>
      <c r="I97" s="13" t="n"/>
      <c r="J97" s="13" t="n"/>
      <c r="K97" s="13" t="n"/>
      <c r="L97" s="13" t="n"/>
    </row>
    <row r="98">
      <c r="A98" s="3" t="inlineStr">
        <is>
          <t>CHG-00094</t>
        </is>
      </c>
      <c r="B98" s="13" t="n"/>
      <c r="C98" s="13" t="n"/>
      <c r="D98" s="13" t="n"/>
      <c r="E98" s="13" t="n"/>
      <c r="F98" s="13" t="n"/>
      <c r="G98" s="13" t="n"/>
      <c r="H98" s="13" t="n"/>
      <c r="I98" s="13" t="n"/>
      <c r="J98" s="13" t="n"/>
      <c r="K98" s="13" t="n"/>
      <c r="L98" s="13" t="n"/>
    </row>
    <row r="99">
      <c r="A99" s="3" t="inlineStr">
        <is>
          <t>CHG-00095</t>
        </is>
      </c>
      <c r="B99" s="13" t="n"/>
      <c r="C99" s="13" t="n"/>
      <c r="D99" s="13" t="n"/>
      <c r="E99" s="13" t="n"/>
      <c r="F99" s="13" t="n"/>
      <c r="G99" s="13" t="n"/>
      <c r="H99" s="13" t="n"/>
      <c r="I99" s="13" t="n"/>
      <c r="J99" s="13" t="n"/>
      <c r="K99" s="13" t="n"/>
      <c r="L99" s="13" t="n"/>
    </row>
    <row r="100">
      <c r="A100" s="3" t="inlineStr">
        <is>
          <t>CHG-00096</t>
        </is>
      </c>
      <c r="B100" s="13" t="n"/>
      <c r="C100" s="13" t="n"/>
      <c r="D100" s="13" t="n"/>
      <c r="E100" s="13" t="n"/>
      <c r="F100" s="13" t="n"/>
      <c r="G100" s="13" t="n"/>
      <c r="H100" s="13" t="n"/>
      <c r="I100" s="13" t="n"/>
      <c r="J100" s="13" t="n"/>
      <c r="K100" s="13" t="n"/>
      <c r="L100" s="13" t="n"/>
    </row>
    <row r="101">
      <c r="A101" s="3" t="inlineStr">
        <is>
          <t>CHG-00097</t>
        </is>
      </c>
      <c r="B101" s="13" t="n"/>
      <c r="C101" s="13" t="n"/>
      <c r="D101" s="13" t="n"/>
      <c r="E101" s="13" t="n"/>
      <c r="F101" s="13" t="n"/>
      <c r="G101" s="13" t="n"/>
      <c r="H101" s="13" t="n"/>
      <c r="I101" s="13" t="n"/>
      <c r="J101" s="13" t="n"/>
      <c r="K101" s="13" t="n"/>
      <c r="L101" s="13" t="n"/>
    </row>
    <row r="102">
      <c r="A102" s="3" t="inlineStr">
        <is>
          <t>CHG-00098</t>
        </is>
      </c>
      <c r="B102" s="13" t="n"/>
      <c r="C102" s="13" t="n"/>
      <c r="D102" s="13" t="n"/>
      <c r="E102" s="13" t="n"/>
      <c r="F102" s="13" t="n"/>
      <c r="G102" s="13" t="n"/>
      <c r="H102" s="13" t="n"/>
      <c r="I102" s="13" t="n"/>
      <c r="J102" s="13" t="n"/>
      <c r="K102" s="13" t="n"/>
      <c r="L102" s="13" t="n"/>
    </row>
    <row r="103">
      <c r="A103" s="3" t="inlineStr">
        <is>
          <t>CHG-00099</t>
        </is>
      </c>
      <c r="B103" s="13" t="n"/>
      <c r="C103" s="13" t="n"/>
      <c r="D103" s="13" t="n"/>
      <c r="E103" s="13" t="n"/>
      <c r="F103" s="13" t="n"/>
      <c r="G103" s="13" t="n"/>
      <c r="H103" s="13" t="n"/>
      <c r="I103" s="13" t="n"/>
      <c r="J103" s="13" t="n"/>
      <c r="K103" s="13" t="n"/>
      <c r="L103" s="13" t="n"/>
    </row>
    <row r="104">
      <c r="A104" s="3" t="inlineStr">
        <is>
          <t>CHG-00100</t>
        </is>
      </c>
      <c r="B104" s="13" t="n"/>
      <c r="C104" s="13" t="n"/>
      <c r="D104" s="13" t="n"/>
      <c r="E104" s="13" t="n"/>
      <c r="F104" s="13" t="n"/>
      <c r="G104" s="13" t="n"/>
      <c r="H104" s="13" t="n"/>
      <c r="I104" s="13" t="n"/>
      <c r="J104" s="13" t="n"/>
      <c r="K104" s="13" t="n"/>
      <c r="L104" s="13" t="n"/>
    </row>
    <row r="107">
      <c r="A107" s="2" t="inlineStr">
        <is>
          <t>📊 CHANGE CONTROL SUMMARY</t>
        </is>
      </c>
    </row>
    <row r="108">
      <c r="A108" t="inlineStr">
        <is>
          <t>Total Changes:</t>
        </is>
      </c>
      <c r="B108">
        <f>COUNTA(B5:B104)</f>
        <v/>
      </c>
    </row>
    <row r="109">
      <c r="A109" t="inlineStr">
        <is>
          <t>✅ Implemented:</t>
        </is>
      </c>
      <c r="B109">
        <f>COUNTIF(K5:K104,"✅ Implemented")</f>
        <v/>
      </c>
    </row>
    <row r="110">
      <c r="A110" t="inlineStr">
        <is>
          <t>Changes with Testing:</t>
        </is>
      </c>
      <c r="B110">
        <f>COUNTIF(G5:G104,"Yes")</f>
        <v/>
      </c>
    </row>
    <row r="111">
      <c r="A111" t="inlineStr">
        <is>
          <t>Testing Compliance:</t>
        </is>
      </c>
      <c r="B111">
        <f>IF(B108&gt;0,B110/B108*100,0)&amp;"%"</f>
        <v/>
      </c>
    </row>
  </sheetData>
  <mergeCells count="3">
    <mergeCell ref="A2:L2"/>
    <mergeCell ref="A1:L1"/>
    <mergeCell ref="A107:C107"/>
  </mergeCells>
  <dataValidations count="102">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"Yes,No,N/A"</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 Approved,⏳ Pending Approval,🔄 In Progress,✅ Implemented,❌ Rejected"</formula1>
    </dataValidation>
    <dataValidation sqref="F5" showDropDown="0" showInputMessage="0" showErrorMessage="0" allowBlank="0" type="list">
      <formula1>"New Installation,Upgrade,Patch,Removal,Configuration Change"</formula1>
    </dataValidation>
    <dataValidation sqref="F6" showDropDown="0" showInputMessage="0" showErrorMessage="0" allowBlank="0" type="list">
      <formula1>"New Installation,Upgrade,Patch,Removal,Configuration Change"</formula1>
    </dataValidation>
    <dataValidation sqref="F7" showDropDown="0" showInputMessage="0" showErrorMessage="0" allowBlank="0" type="list">
      <formula1>"New Installation,Upgrade,Patch,Removal,Configuration Change"</formula1>
    </dataValidation>
    <dataValidation sqref="F8" showDropDown="0" showInputMessage="0" showErrorMessage="0" allowBlank="0" type="list">
      <formula1>"New Installation,Upgrade,Patch,Removal,Configuration Change"</formula1>
    </dataValidation>
    <dataValidation sqref="F9" showDropDown="0" showInputMessage="0" showErrorMessage="0" allowBlank="0" type="list">
      <formula1>"New Installation,Upgrade,Patch,Removal,Configuration Change"</formula1>
    </dataValidation>
    <dataValidation sqref="F10" showDropDown="0" showInputMessage="0" showErrorMessage="0" allowBlank="0" type="list">
      <formula1>"New Installation,Upgrade,Patch,Removal,Configuration Change"</formula1>
    </dataValidation>
    <dataValidation sqref="F11" showDropDown="0" showInputMessage="0" showErrorMessage="0" allowBlank="0" type="list">
      <formula1>"New Installation,Upgrade,Patch,Removal,Configuration Change"</formula1>
    </dataValidation>
    <dataValidation sqref="F12" showDropDown="0" showInputMessage="0" showErrorMessage="0" allowBlank="0" type="list">
      <formula1>"New Installation,Upgrade,Patch,Removal,Configuration Change"</formula1>
    </dataValidation>
    <dataValidation sqref="F13" showDropDown="0" showInputMessage="0" showErrorMessage="0" allowBlank="0" type="list">
      <formula1>"New Installation,Upgrade,Patch,Removal,Configuration Change"</formula1>
    </dataValidation>
    <dataValidation sqref="F14" showDropDown="0" showInputMessage="0" showErrorMessage="0" allowBlank="0" type="list">
      <formula1>"New Installation,Upgrade,Patch,Removal,Configuration Change"</formula1>
    </dataValidation>
    <dataValidation sqref="F15" showDropDown="0" showInputMessage="0" showErrorMessage="0" allowBlank="0" type="list">
      <formula1>"New Installation,Upgrade,Patch,Removal,Configuration Change"</formula1>
    </dataValidation>
    <dataValidation sqref="F16" showDropDown="0" showInputMessage="0" showErrorMessage="0" allowBlank="0" type="list">
      <formula1>"New Installation,Upgrade,Patch,Removal,Configuration Change"</formula1>
    </dataValidation>
    <dataValidation sqref="F17" showDropDown="0" showInputMessage="0" showErrorMessage="0" allowBlank="0" type="list">
      <formula1>"New Installation,Upgrade,Patch,Removal,Configuration Change"</formula1>
    </dataValidation>
    <dataValidation sqref="F18" showDropDown="0" showInputMessage="0" showErrorMessage="0" allowBlank="0" type="list">
      <formula1>"New Installation,Upgrade,Patch,Removal,Configuration Change"</formula1>
    </dataValidation>
    <dataValidation sqref="F19" showDropDown="0" showInputMessage="0" showErrorMessage="0" allowBlank="0" type="list">
      <formula1>"New Installation,Upgrade,Patch,Removal,Configuration Change"</formula1>
    </dataValidation>
    <dataValidation sqref="F20" showDropDown="0" showInputMessage="0" showErrorMessage="0" allowBlank="0" type="list">
      <formula1>"New Installation,Upgrade,Patch,Removal,Configuration Change"</formula1>
    </dataValidation>
    <dataValidation sqref="F21" showDropDown="0" showInputMessage="0" showErrorMessage="0" allowBlank="0" type="list">
      <formula1>"New Installation,Upgrade,Patch,Removal,Configuration Change"</formula1>
    </dataValidation>
    <dataValidation sqref="F22" showDropDown="0" showInputMessage="0" showErrorMessage="0" allowBlank="0" type="list">
      <formula1>"New Installation,Upgrade,Patch,Removal,Configuration Change"</formula1>
    </dataValidation>
    <dataValidation sqref="F23" showDropDown="0" showInputMessage="0" showErrorMessage="0" allowBlank="0" type="list">
      <formula1>"New Installation,Upgrade,Patch,Removal,Configuration Change"</formula1>
    </dataValidation>
    <dataValidation sqref="F24" showDropDown="0" showInputMessage="0" showErrorMessage="0" allowBlank="0" type="list">
      <formula1>"New Installation,Upgrade,Patch,Removal,Configuration Change"</formula1>
    </dataValidation>
    <dataValidation sqref="F25" showDropDown="0" showInputMessage="0" showErrorMessage="0" allowBlank="0" type="list">
      <formula1>"New Installation,Upgrade,Patch,Removal,Configuration Change"</formula1>
    </dataValidation>
    <dataValidation sqref="F26" showDropDown="0" showInputMessage="0" showErrorMessage="0" allowBlank="0" type="list">
      <formula1>"New Installation,Upgrade,Patch,Removal,Configuration Change"</formula1>
    </dataValidation>
    <dataValidation sqref="F27" showDropDown="0" showInputMessage="0" showErrorMessage="0" allowBlank="0" type="list">
      <formula1>"New Installation,Upgrade,Patch,Removal,Configuration Change"</formula1>
    </dataValidation>
    <dataValidation sqref="F28" showDropDown="0" showInputMessage="0" showErrorMessage="0" allowBlank="0" type="list">
      <formula1>"New Installation,Upgrade,Patch,Removal,Configuration Change"</formula1>
    </dataValidation>
    <dataValidation sqref="F29" showDropDown="0" showInputMessage="0" showErrorMessage="0" allowBlank="0" type="list">
      <formula1>"New Installation,Upgrade,Patch,Removal,Configuration Change"</formula1>
    </dataValidation>
    <dataValidation sqref="F30" showDropDown="0" showInputMessage="0" showErrorMessage="0" allowBlank="0" type="list">
      <formula1>"New Installation,Upgrade,Patch,Removal,Configuration Change"</formula1>
    </dataValidation>
    <dataValidation sqref="F31" showDropDown="0" showInputMessage="0" showErrorMessage="0" allowBlank="0" type="list">
      <formula1>"New Installation,Upgrade,Patch,Removal,Configuration Change"</formula1>
    </dataValidation>
    <dataValidation sqref="F32" showDropDown="0" showInputMessage="0" showErrorMessage="0" allowBlank="0" type="list">
      <formula1>"New Installation,Upgrade,Patch,Removal,Configuration Change"</formula1>
    </dataValidation>
    <dataValidation sqref="F33" showDropDown="0" showInputMessage="0" showErrorMessage="0" allowBlank="0" type="list">
      <formula1>"New Installation,Upgrade,Patch,Removal,Configuration Change"</formula1>
    </dataValidation>
    <dataValidation sqref="F34" showDropDown="0" showInputMessage="0" showErrorMessage="0" allowBlank="0" type="list">
      <formula1>"New Installation,Upgrade,Patch,Removal,Configuration Change"</formula1>
    </dataValidation>
    <dataValidation sqref="F35" showDropDown="0" showInputMessage="0" showErrorMessage="0" allowBlank="0" type="list">
      <formula1>"New Installation,Upgrade,Patch,Removal,Configuration Change"</formula1>
    </dataValidation>
    <dataValidation sqref="F36" showDropDown="0" showInputMessage="0" showErrorMessage="0" allowBlank="0" type="list">
      <formula1>"New Installation,Upgrade,Patch,Removal,Configuration Change"</formula1>
    </dataValidation>
    <dataValidation sqref="F37" showDropDown="0" showInputMessage="0" showErrorMessage="0" allowBlank="0" type="list">
      <formula1>"New Installation,Upgrade,Patch,Removal,Configuration Change"</formula1>
    </dataValidation>
    <dataValidation sqref="F38" showDropDown="0" showInputMessage="0" showErrorMessage="0" allowBlank="0" type="list">
      <formula1>"New Installation,Upgrade,Patch,Removal,Configuration Change"</formula1>
    </dataValidation>
    <dataValidation sqref="F39" showDropDown="0" showInputMessage="0" showErrorMessage="0" allowBlank="0" type="list">
      <formula1>"New Installation,Upgrade,Patch,Removal,Configuration Change"</formula1>
    </dataValidation>
    <dataValidation sqref="F40" showDropDown="0" showInputMessage="0" showErrorMessage="0" allowBlank="0" type="list">
      <formula1>"New Installation,Upgrade,Patch,Removal,Configuration Change"</formula1>
    </dataValidation>
    <dataValidation sqref="F41" showDropDown="0" showInputMessage="0" showErrorMessage="0" allowBlank="0" type="list">
      <formula1>"New Installation,Upgrade,Patch,Removal,Configuration Change"</formula1>
    </dataValidation>
    <dataValidation sqref="F42" showDropDown="0" showInputMessage="0" showErrorMessage="0" allowBlank="0" type="list">
      <formula1>"New Installation,Upgrade,Patch,Removal,Configuration Change"</formula1>
    </dataValidation>
    <dataValidation sqref="F43" showDropDown="0" showInputMessage="0" showErrorMessage="0" allowBlank="0" type="list">
      <formula1>"New Installation,Upgrade,Patch,Removal,Configuration Change"</formula1>
    </dataValidation>
    <dataValidation sqref="F44" showDropDown="0" showInputMessage="0" showErrorMessage="0" allowBlank="0" type="list">
      <formula1>"New Installation,Upgrade,Patch,Removal,Configuration Change"</formula1>
    </dataValidation>
    <dataValidation sqref="F45" showDropDown="0" showInputMessage="0" showErrorMessage="0" allowBlank="0" type="list">
      <formula1>"New Installation,Upgrade,Patch,Removal,Configuration Change"</formula1>
    </dataValidation>
    <dataValidation sqref="F46" showDropDown="0" showInputMessage="0" showErrorMessage="0" allowBlank="0" type="list">
      <formula1>"New Installation,Upgrade,Patch,Removal,Configuration Change"</formula1>
    </dataValidation>
    <dataValidation sqref="F47" showDropDown="0" showInputMessage="0" showErrorMessage="0" allowBlank="0" type="list">
      <formula1>"New Installation,Upgrade,Patch,Removal,Configuration Change"</formula1>
    </dataValidation>
    <dataValidation sqref="F48" showDropDown="0" showInputMessage="0" showErrorMessage="0" allowBlank="0" type="list">
      <formula1>"New Installation,Upgrade,Patch,Removal,Configuration Change"</formula1>
    </dataValidation>
    <dataValidation sqref="F49" showDropDown="0" showInputMessage="0" showErrorMessage="0" allowBlank="0" type="list">
      <formula1>"New Installation,Upgrade,Patch,Removal,Configuration Change"</formula1>
    </dataValidation>
    <dataValidation sqref="F50" showDropDown="0" showInputMessage="0" showErrorMessage="0" allowBlank="0" type="list">
      <formula1>"New Installation,Upgrade,Patch,Removal,Configuration Change"</formula1>
    </dataValidation>
    <dataValidation sqref="F51" showDropDown="0" showInputMessage="0" showErrorMessage="0" allowBlank="0" type="list">
      <formula1>"New Installation,Upgrade,Patch,Removal,Configuration Change"</formula1>
    </dataValidation>
    <dataValidation sqref="F52" showDropDown="0" showInputMessage="0" showErrorMessage="0" allowBlank="0" type="list">
      <formula1>"New Installation,Upgrade,Patch,Removal,Configuration Change"</formula1>
    </dataValidation>
    <dataValidation sqref="F53" showDropDown="0" showInputMessage="0" showErrorMessage="0" allowBlank="0" type="list">
      <formula1>"New Installation,Upgrade,Patch,Removal,Configuration Change"</formula1>
    </dataValidation>
    <dataValidation sqref="F54" showDropDown="0" showInputMessage="0" showErrorMessage="0" allowBlank="0" type="list">
      <formula1>"New Installation,Upgrade,Patch,Removal,Configuration Change"</formula1>
    </dataValidation>
    <dataValidation sqref="F55" showDropDown="0" showInputMessage="0" showErrorMessage="0" allowBlank="0" type="list">
      <formula1>"New Installation,Upgrade,Patch,Removal,Configuration Change"</formula1>
    </dataValidation>
    <dataValidation sqref="F56" showDropDown="0" showInputMessage="0" showErrorMessage="0" allowBlank="0" type="list">
      <formula1>"New Installation,Upgrade,Patch,Removal,Configuration Change"</formula1>
    </dataValidation>
    <dataValidation sqref="F57" showDropDown="0" showInputMessage="0" showErrorMessage="0" allowBlank="0" type="list">
      <formula1>"New Installation,Upgrade,Patch,Removal,Configuration Change"</formula1>
    </dataValidation>
    <dataValidation sqref="F58" showDropDown="0" showInputMessage="0" showErrorMessage="0" allowBlank="0" type="list">
      <formula1>"New Installation,Upgrade,Patch,Removal,Configuration Change"</formula1>
    </dataValidation>
    <dataValidation sqref="F59" showDropDown="0" showInputMessage="0" showErrorMessage="0" allowBlank="0" type="list">
      <formula1>"New Installation,Upgrade,Patch,Removal,Configuration Change"</formula1>
    </dataValidation>
    <dataValidation sqref="F60" showDropDown="0" showInputMessage="0" showErrorMessage="0" allowBlank="0" type="list">
      <formula1>"New Installation,Upgrade,Patch,Removal,Configuration Change"</formula1>
    </dataValidation>
    <dataValidation sqref="F61" showDropDown="0" showInputMessage="0" showErrorMessage="0" allowBlank="0" type="list">
      <formula1>"New Installation,Upgrade,Patch,Removal,Configuration Change"</formula1>
    </dataValidation>
    <dataValidation sqref="F62" showDropDown="0" showInputMessage="0" showErrorMessage="0" allowBlank="0" type="list">
      <formula1>"New Installation,Upgrade,Patch,Removal,Configuration Change"</formula1>
    </dataValidation>
    <dataValidation sqref="F63" showDropDown="0" showInputMessage="0" showErrorMessage="0" allowBlank="0" type="list">
      <formula1>"New Installation,Upgrade,Patch,Removal,Configuration Change"</formula1>
    </dataValidation>
    <dataValidation sqref="F64" showDropDown="0" showInputMessage="0" showErrorMessage="0" allowBlank="0" type="list">
      <formula1>"New Installation,Upgrade,Patch,Removal,Configuration Change"</formula1>
    </dataValidation>
    <dataValidation sqref="F65" showDropDown="0" showInputMessage="0" showErrorMessage="0" allowBlank="0" type="list">
      <formula1>"New Installation,Upgrade,Patch,Removal,Configuration Change"</formula1>
    </dataValidation>
    <dataValidation sqref="F66" showDropDown="0" showInputMessage="0" showErrorMessage="0" allowBlank="0" type="list">
      <formula1>"New Installation,Upgrade,Patch,Removal,Configuration Change"</formula1>
    </dataValidation>
    <dataValidation sqref="F67" showDropDown="0" showInputMessage="0" showErrorMessage="0" allowBlank="0" type="list">
      <formula1>"New Installation,Upgrade,Patch,Removal,Configuration Change"</formula1>
    </dataValidation>
    <dataValidation sqref="F68" showDropDown="0" showInputMessage="0" showErrorMessage="0" allowBlank="0" type="list">
      <formula1>"New Installation,Upgrade,Patch,Removal,Configuration Change"</formula1>
    </dataValidation>
    <dataValidation sqref="F69" showDropDown="0" showInputMessage="0" showErrorMessage="0" allowBlank="0" type="list">
      <formula1>"New Installation,Upgrade,Patch,Removal,Configuration Change"</formula1>
    </dataValidation>
    <dataValidation sqref="F70" showDropDown="0" showInputMessage="0" showErrorMessage="0" allowBlank="0" type="list">
      <formula1>"New Installation,Upgrade,Patch,Removal,Configuration Change"</formula1>
    </dataValidation>
    <dataValidation sqref="F71" showDropDown="0" showInputMessage="0" showErrorMessage="0" allowBlank="0" type="list">
      <formula1>"New Installation,Upgrade,Patch,Removal,Configuration Change"</formula1>
    </dataValidation>
    <dataValidation sqref="F72" showDropDown="0" showInputMessage="0" showErrorMessage="0" allowBlank="0" type="list">
      <formula1>"New Installation,Upgrade,Patch,Removal,Configuration Change"</formula1>
    </dataValidation>
    <dataValidation sqref="F73" showDropDown="0" showInputMessage="0" showErrorMessage="0" allowBlank="0" type="list">
      <formula1>"New Installation,Upgrade,Patch,Removal,Configuration Change"</formula1>
    </dataValidation>
    <dataValidation sqref="F74" showDropDown="0" showInputMessage="0" showErrorMessage="0" allowBlank="0" type="list">
      <formula1>"New Installation,Upgrade,Patch,Removal,Configuration Change"</formula1>
    </dataValidation>
    <dataValidation sqref="F75" showDropDown="0" showInputMessage="0" showErrorMessage="0" allowBlank="0" type="list">
      <formula1>"New Installation,Upgrade,Patch,Removal,Configuration Change"</formula1>
    </dataValidation>
    <dataValidation sqref="F76" showDropDown="0" showInputMessage="0" showErrorMessage="0" allowBlank="0" type="list">
      <formula1>"New Installation,Upgrade,Patch,Removal,Configuration Change"</formula1>
    </dataValidation>
    <dataValidation sqref="F77" showDropDown="0" showInputMessage="0" showErrorMessage="0" allowBlank="0" type="list">
      <formula1>"New Installation,Upgrade,Patch,Removal,Configuration Change"</formula1>
    </dataValidation>
    <dataValidation sqref="F78" showDropDown="0" showInputMessage="0" showErrorMessage="0" allowBlank="0" type="list">
      <formula1>"New Installation,Upgrade,Patch,Removal,Configuration Change"</formula1>
    </dataValidation>
    <dataValidation sqref="F79" showDropDown="0" showInputMessage="0" showErrorMessage="0" allowBlank="0" type="list">
      <formula1>"New Installation,Upgrade,Patch,Removal,Configuration Change"</formula1>
    </dataValidation>
    <dataValidation sqref="F80" showDropDown="0" showInputMessage="0" showErrorMessage="0" allowBlank="0" type="list">
      <formula1>"New Installation,Upgrade,Patch,Removal,Configuration Change"</formula1>
    </dataValidation>
    <dataValidation sqref="F81" showDropDown="0" showInputMessage="0" showErrorMessage="0" allowBlank="0" type="list">
      <formula1>"New Installation,Upgrade,Patch,Removal,Configuration Change"</formula1>
    </dataValidation>
    <dataValidation sqref="F82" showDropDown="0" showInputMessage="0" showErrorMessage="0" allowBlank="0" type="list">
      <formula1>"New Installation,Upgrade,Patch,Removal,Configuration Change"</formula1>
    </dataValidation>
    <dataValidation sqref="F83" showDropDown="0" showInputMessage="0" showErrorMessage="0" allowBlank="0" type="list">
      <formula1>"New Installation,Upgrade,Patch,Removal,Configuration Change"</formula1>
    </dataValidation>
    <dataValidation sqref="F84" showDropDown="0" showInputMessage="0" showErrorMessage="0" allowBlank="0" type="list">
      <formula1>"New Installation,Upgrade,Patch,Removal,Configuration Change"</formula1>
    </dataValidation>
    <dataValidation sqref="F85" showDropDown="0" showInputMessage="0" showErrorMessage="0" allowBlank="0" type="list">
      <formula1>"New Installation,Upgrade,Patch,Removal,Configuration Change"</formula1>
    </dataValidation>
    <dataValidation sqref="F86" showDropDown="0" showInputMessage="0" showErrorMessage="0" allowBlank="0" type="list">
      <formula1>"New Installation,Upgrade,Patch,Removal,Configuration Change"</formula1>
    </dataValidation>
    <dataValidation sqref="F87" showDropDown="0" showInputMessage="0" showErrorMessage="0" allowBlank="0" type="list">
      <formula1>"New Installation,Upgrade,Patch,Removal,Configuration Change"</formula1>
    </dataValidation>
    <dataValidation sqref="F88" showDropDown="0" showInputMessage="0" showErrorMessage="0" allowBlank="0" type="list">
      <formula1>"New Installation,Upgrade,Patch,Removal,Configuration Change"</formula1>
    </dataValidation>
    <dataValidation sqref="F89" showDropDown="0" showInputMessage="0" showErrorMessage="0" allowBlank="0" type="list">
      <formula1>"New Installation,Upgrade,Patch,Removal,Configuration Change"</formula1>
    </dataValidation>
    <dataValidation sqref="F90" showDropDown="0" showInputMessage="0" showErrorMessage="0" allowBlank="0" type="list">
      <formula1>"New Installation,Upgrade,Patch,Removal,Configuration Change"</formula1>
    </dataValidation>
    <dataValidation sqref="F91" showDropDown="0" showInputMessage="0" showErrorMessage="0" allowBlank="0" type="list">
      <formula1>"New Installation,Upgrade,Patch,Removal,Configuration Change"</formula1>
    </dataValidation>
    <dataValidation sqref="F92" showDropDown="0" showInputMessage="0" showErrorMessage="0" allowBlank="0" type="list">
      <formula1>"New Installation,Upgrade,Patch,Removal,Configuration Change"</formula1>
    </dataValidation>
    <dataValidation sqref="F93" showDropDown="0" showInputMessage="0" showErrorMessage="0" allowBlank="0" type="list">
      <formula1>"New Installation,Upgrade,Patch,Removal,Configuration Change"</formula1>
    </dataValidation>
    <dataValidation sqref="F94" showDropDown="0" showInputMessage="0" showErrorMessage="0" allowBlank="0" type="list">
      <formula1>"New Installation,Upgrade,Patch,Removal,Configuration Change"</formula1>
    </dataValidation>
    <dataValidation sqref="F95" showDropDown="0" showInputMessage="0" showErrorMessage="0" allowBlank="0" type="list">
      <formula1>"New Installation,Upgrade,Patch,Removal,Configuration Change"</formula1>
    </dataValidation>
    <dataValidation sqref="F96" showDropDown="0" showInputMessage="0" showErrorMessage="0" allowBlank="0" type="list">
      <formula1>"New Installation,Upgrade,Patch,Removal,Configuration Change"</formula1>
    </dataValidation>
    <dataValidation sqref="F97" showDropDown="0" showInputMessage="0" showErrorMessage="0" allowBlank="0" type="list">
      <formula1>"New Installation,Upgrade,Patch,Removal,Configuration Change"</formula1>
    </dataValidation>
    <dataValidation sqref="F98" showDropDown="0" showInputMessage="0" showErrorMessage="0" allowBlank="0" type="list">
      <formula1>"New Installation,Upgrade,Patch,Removal,Configuration Change"</formula1>
    </dataValidation>
    <dataValidation sqref="F99" showDropDown="0" showInputMessage="0" showErrorMessage="0" allowBlank="0" type="list">
      <formula1>"New Installation,Upgrade,Patch,Removal,Configuration Change"</formula1>
    </dataValidation>
    <dataValidation sqref="F100" showDropDown="0" showInputMessage="0" showErrorMessage="0" allowBlank="0" type="list">
      <formula1>"New Installation,Upgrade,Patch,Removal,Configuration Change"</formula1>
    </dataValidation>
    <dataValidation sqref="F101" showDropDown="0" showInputMessage="0" showErrorMessage="0" allowBlank="0" type="list">
      <formula1>"New Installation,Upgrade,Patch,Removal,Configuration Change"</formula1>
    </dataValidation>
    <dataValidation sqref="F102" showDropDown="0" showInputMessage="0" showErrorMessage="0" allowBlank="0" type="list">
      <formula1>"New Installation,Upgrade,Patch,Removal,Configuration Change"</formula1>
    </dataValidation>
    <dataValidation sqref="F103" showDropDown="0" showInputMessage="0" showErrorMessage="0" allowBlank="0" type="list">
      <formula1>"New Installation,Upgrade,Patch,Removal,Configuration Change"</formula1>
    </dataValidation>
    <dataValidation sqref="F104" showDropDown="0" showInputMessage="0" showErrorMessage="0" allowBlank="0" type="list">
      <formula1>"New Installation,Upgrade,Patch,Removal,Configuration Change"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11"/>
  <sheetViews>
    <sheetView workbookViewId="0">
      <selection activeCell="A1" sqref="A1"/>
    </sheetView>
  </sheetViews>
  <sheetFormatPr baseColWidth="8" defaultRowHeight="15"/>
  <cols>
    <col width="15" customWidth="1" min="1" max="1"/>
    <col width="30" customWidth="1" min="2" max="2"/>
    <col width="15" customWidth="1" min="3" max="3"/>
    <col width="18" customWidth="1" min="4" max="4"/>
    <col width="15" customWidth="1" min="5" max="5"/>
    <col width="15" customWidth="1" min="6" max="6"/>
    <col width="15" customWidth="1" min="7" max="7"/>
    <col width="18" customWidth="1" min="8" max="8"/>
    <col width="15" customWidth="1" min="9" max="9"/>
    <col width="18" customWidth="1" min="10" max="10"/>
    <col width="30" customWidth="1" min="11" max="11"/>
  </cols>
  <sheetData>
    <row r="1">
      <c r="A1" s="1" t="inlineStr">
        <is>
          <t>SOFTWARE VULNERABILITY &amp; PATCH MANAGEMENT</t>
        </is>
      </c>
    </row>
    <row r="2">
      <c r="A2" s="2" t="inlineStr">
        <is>
          <t>Software vulnerabilities, patch status, SLA compliance tracking</t>
        </is>
      </c>
    </row>
    <row r="4">
      <c r="A4" s="5" t="inlineStr">
        <is>
          <t>Vulnerability ID</t>
        </is>
      </c>
      <c r="B4" s="5" t="inlineStr">
        <is>
          <t>Software Name</t>
        </is>
      </c>
      <c r="C4" s="5" t="inlineStr">
        <is>
          <t>Version Affected</t>
        </is>
      </c>
      <c r="D4" s="5" t="inlineStr">
        <is>
          <t>CVE ID</t>
        </is>
      </c>
      <c r="E4" s="5" t="inlineStr">
        <is>
          <t>Severity</t>
        </is>
      </c>
      <c r="F4" s="5" t="inlineStr">
        <is>
          <t>Discovery Date</t>
        </is>
      </c>
      <c r="G4" s="5" t="inlineStr">
        <is>
          <t>Patch Available</t>
        </is>
      </c>
      <c r="H4" s="5" t="inlineStr">
        <is>
          <t>Patch Status</t>
        </is>
      </c>
      <c r="I4" s="5" t="inlineStr">
        <is>
          <t>Patch Date</t>
        </is>
      </c>
      <c r="J4" s="5" t="inlineStr">
        <is>
          <t>SLA Compliance</t>
        </is>
      </c>
      <c r="K4" s="5" t="inlineStr">
        <is>
          <t>Notes</t>
        </is>
      </c>
    </row>
    <row r="5">
      <c r="A5" s="3" t="inlineStr">
        <is>
          <t>VULN-0001</t>
        </is>
      </c>
      <c r="B5" s="13" t="n"/>
      <c r="C5" s="13" t="n"/>
      <c r="D5" s="13" t="n"/>
      <c r="E5" s="13" t="n"/>
      <c r="F5" s="13" t="n"/>
      <c r="G5" s="13" t="n"/>
      <c r="H5" s="13" t="n"/>
      <c r="I5" s="13" t="n"/>
      <c r="J5" s="13">
        <f>IF(E5="🔴 Critical",IF(I5-F5&lt;=7,"✅ Met","❌ Missed"),IF(E5="🟠 High",IF(I5-F5&lt;=30,"✅ Met","❌ Missed"),"N/A"))</f>
        <v/>
      </c>
      <c r="K5" s="13" t="n"/>
    </row>
    <row r="6">
      <c r="A6" s="3" t="inlineStr">
        <is>
          <t>VULN-0002</t>
        </is>
      </c>
      <c r="B6" s="13" t="n"/>
      <c r="C6" s="13" t="n"/>
      <c r="D6" s="13" t="n"/>
      <c r="E6" s="13" t="n"/>
      <c r="F6" s="13" t="n"/>
      <c r="G6" s="13" t="n"/>
      <c r="H6" s="13" t="n"/>
      <c r="I6" s="13" t="n"/>
      <c r="J6" s="13">
        <f>IF(E6="🔴 Critical",IF(I6-F6&lt;=7,"✅ Met","❌ Missed"),IF(E6="🟠 High",IF(I6-F6&lt;=30,"✅ Met","❌ Missed"),"N/A"))</f>
        <v/>
      </c>
      <c r="K6" s="13" t="n"/>
    </row>
    <row r="7">
      <c r="A7" s="3" t="inlineStr">
        <is>
          <t>VULN-0003</t>
        </is>
      </c>
      <c r="B7" s="13" t="n"/>
      <c r="C7" s="13" t="n"/>
      <c r="D7" s="13" t="n"/>
      <c r="E7" s="13" t="n"/>
      <c r="F7" s="13" t="n"/>
      <c r="G7" s="13" t="n"/>
      <c r="H7" s="13" t="n"/>
      <c r="I7" s="13" t="n"/>
      <c r="J7" s="13">
        <f>IF(E7="🔴 Critical",IF(I7-F7&lt;=7,"✅ Met","❌ Missed"),IF(E7="🟠 High",IF(I7-F7&lt;=30,"✅ Met","❌ Missed"),"N/A"))</f>
        <v/>
      </c>
      <c r="K7" s="13" t="n"/>
    </row>
    <row r="8">
      <c r="A8" s="3" t="inlineStr">
        <is>
          <t>VULN-0004</t>
        </is>
      </c>
      <c r="B8" s="13" t="n"/>
      <c r="C8" s="13" t="n"/>
      <c r="D8" s="13" t="n"/>
      <c r="E8" s="13" t="n"/>
      <c r="F8" s="13" t="n"/>
      <c r="G8" s="13" t="n"/>
      <c r="H8" s="13" t="n"/>
      <c r="I8" s="13" t="n"/>
      <c r="J8" s="13">
        <f>IF(E8="🔴 Critical",IF(I8-F8&lt;=7,"✅ Met","❌ Missed"),IF(E8="🟠 High",IF(I8-F8&lt;=30,"✅ Met","❌ Missed"),"N/A"))</f>
        <v/>
      </c>
      <c r="K8" s="13" t="n"/>
    </row>
    <row r="9">
      <c r="A9" s="3" t="inlineStr">
        <is>
          <t>VULN-0005</t>
        </is>
      </c>
      <c r="B9" s="13" t="n"/>
      <c r="C9" s="13" t="n"/>
      <c r="D9" s="13" t="n"/>
      <c r="E9" s="13" t="n"/>
      <c r="F9" s="13" t="n"/>
      <c r="G9" s="13" t="n"/>
      <c r="H9" s="13" t="n"/>
      <c r="I9" s="13" t="n"/>
      <c r="J9" s="13">
        <f>IF(E9="🔴 Critical",IF(I9-F9&lt;=7,"✅ Met","❌ Missed"),IF(E9="🟠 High",IF(I9-F9&lt;=30,"✅ Met","❌ Missed"),"N/A"))</f>
        <v/>
      </c>
      <c r="K9" s="13" t="n"/>
    </row>
    <row r="10">
      <c r="A10" s="3" t="inlineStr">
        <is>
          <t>VULN-0006</t>
        </is>
      </c>
      <c r="B10" s="13" t="n"/>
      <c r="C10" s="13" t="n"/>
      <c r="D10" s="13" t="n"/>
      <c r="E10" s="13" t="n"/>
      <c r="F10" s="13" t="n"/>
      <c r="G10" s="13" t="n"/>
      <c r="H10" s="13" t="n"/>
      <c r="I10" s="13" t="n"/>
      <c r="J10" s="13">
        <f>IF(E10="🔴 Critical",IF(I10-F10&lt;=7,"✅ Met","❌ Missed"),IF(E10="🟠 High",IF(I10-F10&lt;=30,"✅ Met","❌ Missed"),"N/A"))</f>
        <v/>
      </c>
      <c r="K10" s="13" t="n"/>
    </row>
    <row r="11">
      <c r="A11" s="3" t="inlineStr">
        <is>
          <t>VULN-0007</t>
        </is>
      </c>
      <c r="B11" s="13" t="n"/>
      <c r="C11" s="13" t="n"/>
      <c r="D11" s="13" t="n"/>
      <c r="E11" s="13" t="n"/>
      <c r="F11" s="13" t="n"/>
      <c r="G11" s="13" t="n"/>
      <c r="H11" s="13" t="n"/>
      <c r="I11" s="13" t="n"/>
      <c r="J11" s="13">
        <f>IF(E11="🔴 Critical",IF(I11-F11&lt;=7,"✅ Met","❌ Missed"),IF(E11="🟠 High",IF(I11-F11&lt;=30,"✅ Met","❌ Missed"),"N/A"))</f>
        <v/>
      </c>
      <c r="K11" s="13" t="n"/>
    </row>
    <row r="12">
      <c r="A12" s="3" t="inlineStr">
        <is>
          <t>VULN-0008</t>
        </is>
      </c>
      <c r="B12" s="13" t="n"/>
      <c r="C12" s="13" t="n"/>
      <c r="D12" s="13" t="n"/>
      <c r="E12" s="13" t="n"/>
      <c r="F12" s="13" t="n"/>
      <c r="G12" s="13" t="n"/>
      <c r="H12" s="13" t="n"/>
      <c r="I12" s="13" t="n"/>
      <c r="J12" s="13">
        <f>IF(E12="🔴 Critical",IF(I12-F12&lt;=7,"✅ Met","❌ Missed"),IF(E12="🟠 High",IF(I12-F12&lt;=30,"✅ Met","❌ Missed"),"N/A"))</f>
        <v/>
      </c>
      <c r="K12" s="13" t="n"/>
    </row>
    <row r="13">
      <c r="A13" s="3" t="inlineStr">
        <is>
          <t>VULN-0009</t>
        </is>
      </c>
      <c r="B13" s="13" t="n"/>
      <c r="C13" s="13" t="n"/>
      <c r="D13" s="13" t="n"/>
      <c r="E13" s="13" t="n"/>
      <c r="F13" s="13" t="n"/>
      <c r="G13" s="13" t="n"/>
      <c r="H13" s="13" t="n"/>
      <c r="I13" s="13" t="n"/>
      <c r="J13" s="13">
        <f>IF(E13="🔴 Critical",IF(I13-F13&lt;=7,"✅ Met","❌ Missed"),IF(E13="🟠 High",IF(I13-F13&lt;=30,"✅ Met","❌ Missed"),"N/A"))</f>
        <v/>
      </c>
      <c r="K13" s="13" t="n"/>
    </row>
    <row r="14">
      <c r="A14" s="3" t="inlineStr">
        <is>
          <t>VULN-0010</t>
        </is>
      </c>
      <c r="B14" s="13" t="n"/>
      <c r="C14" s="13" t="n"/>
      <c r="D14" s="13" t="n"/>
      <c r="E14" s="13" t="n"/>
      <c r="F14" s="13" t="n"/>
      <c r="G14" s="13" t="n"/>
      <c r="H14" s="13" t="n"/>
      <c r="I14" s="13" t="n"/>
      <c r="J14" s="13">
        <f>IF(E14="🔴 Critical",IF(I14-F14&lt;=7,"✅ Met","❌ Missed"),IF(E14="🟠 High",IF(I14-F14&lt;=30,"✅ Met","❌ Missed"),"N/A"))</f>
        <v/>
      </c>
      <c r="K14" s="13" t="n"/>
    </row>
    <row r="15">
      <c r="A15" s="3" t="inlineStr">
        <is>
          <t>VULN-0011</t>
        </is>
      </c>
      <c r="B15" s="13" t="n"/>
      <c r="C15" s="13" t="n"/>
      <c r="D15" s="13" t="n"/>
      <c r="E15" s="13" t="n"/>
      <c r="F15" s="13" t="n"/>
      <c r="G15" s="13" t="n"/>
      <c r="H15" s="13" t="n"/>
      <c r="I15" s="13" t="n"/>
      <c r="J15" s="13">
        <f>IF(E15="🔴 Critical",IF(I15-F15&lt;=7,"✅ Met","❌ Missed"),IF(E15="🟠 High",IF(I15-F15&lt;=30,"✅ Met","❌ Missed"),"N/A"))</f>
        <v/>
      </c>
      <c r="K15" s="13" t="n"/>
    </row>
    <row r="16">
      <c r="A16" s="3" t="inlineStr">
        <is>
          <t>VULN-0012</t>
        </is>
      </c>
      <c r="B16" s="13" t="n"/>
      <c r="C16" s="13" t="n"/>
      <c r="D16" s="13" t="n"/>
      <c r="E16" s="13" t="n"/>
      <c r="F16" s="13" t="n"/>
      <c r="G16" s="13" t="n"/>
      <c r="H16" s="13" t="n"/>
      <c r="I16" s="13" t="n"/>
      <c r="J16" s="13">
        <f>IF(E16="🔴 Critical",IF(I16-F16&lt;=7,"✅ Met","❌ Missed"),IF(E16="🟠 High",IF(I16-F16&lt;=30,"✅ Met","❌ Missed"),"N/A"))</f>
        <v/>
      </c>
      <c r="K16" s="13" t="n"/>
    </row>
    <row r="17">
      <c r="A17" s="3" t="inlineStr">
        <is>
          <t>VULN-0013</t>
        </is>
      </c>
      <c r="B17" s="13" t="n"/>
      <c r="C17" s="13" t="n"/>
      <c r="D17" s="13" t="n"/>
      <c r="E17" s="13" t="n"/>
      <c r="F17" s="13" t="n"/>
      <c r="G17" s="13" t="n"/>
      <c r="H17" s="13" t="n"/>
      <c r="I17" s="13" t="n"/>
      <c r="J17" s="13">
        <f>IF(E17="🔴 Critical",IF(I17-F17&lt;=7,"✅ Met","❌ Missed"),IF(E17="🟠 High",IF(I17-F17&lt;=30,"✅ Met","❌ Missed"),"N/A"))</f>
        <v/>
      </c>
      <c r="K17" s="13" t="n"/>
    </row>
    <row r="18">
      <c r="A18" s="3" t="inlineStr">
        <is>
          <t>VULN-0014</t>
        </is>
      </c>
      <c r="B18" s="13" t="n"/>
      <c r="C18" s="13" t="n"/>
      <c r="D18" s="13" t="n"/>
      <c r="E18" s="13" t="n"/>
      <c r="F18" s="13" t="n"/>
      <c r="G18" s="13" t="n"/>
      <c r="H18" s="13" t="n"/>
      <c r="I18" s="13" t="n"/>
      <c r="J18" s="13">
        <f>IF(E18="🔴 Critical",IF(I18-F18&lt;=7,"✅ Met","❌ Missed"),IF(E18="🟠 High",IF(I18-F18&lt;=30,"✅ Met","❌ Missed"),"N/A"))</f>
        <v/>
      </c>
      <c r="K18" s="13" t="n"/>
    </row>
    <row r="19">
      <c r="A19" s="3" t="inlineStr">
        <is>
          <t>VULN-0015</t>
        </is>
      </c>
      <c r="B19" s="13" t="n"/>
      <c r="C19" s="13" t="n"/>
      <c r="D19" s="13" t="n"/>
      <c r="E19" s="13" t="n"/>
      <c r="F19" s="13" t="n"/>
      <c r="G19" s="13" t="n"/>
      <c r="H19" s="13" t="n"/>
      <c r="I19" s="13" t="n"/>
      <c r="J19" s="13">
        <f>IF(E19="🔴 Critical",IF(I19-F19&lt;=7,"✅ Met","❌ Missed"),IF(E19="🟠 High",IF(I19-F19&lt;=30,"✅ Met","❌ Missed"),"N/A"))</f>
        <v/>
      </c>
      <c r="K19" s="13" t="n"/>
    </row>
    <row r="20">
      <c r="A20" s="3" t="inlineStr">
        <is>
          <t>VULN-0016</t>
        </is>
      </c>
      <c r="B20" s="13" t="n"/>
      <c r="C20" s="13" t="n"/>
      <c r="D20" s="13" t="n"/>
      <c r="E20" s="13" t="n"/>
      <c r="F20" s="13" t="n"/>
      <c r="G20" s="13" t="n"/>
      <c r="H20" s="13" t="n"/>
      <c r="I20" s="13" t="n"/>
      <c r="J20" s="13">
        <f>IF(E20="🔴 Critical",IF(I20-F20&lt;=7,"✅ Met","❌ Missed"),IF(E20="🟠 High",IF(I20-F20&lt;=30,"✅ Met","❌ Missed"),"N/A"))</f>
        <v/>
      </c>
      <c r="K20" s="13" t="n"/>
    </row>
    <row r="21">
      <c r="A21" s="3" t="inlineStr">
        <is>
          <t>VULN-0017</t>
        </is>
      </c>
      <c r="B21" s="13" t="n"/>
      <c r="C21" s="13" t="n"/>
      <c r="D21" s="13" t="n"/>
      <c r="E21" s="13" t="n"/>
      <c r="F21" s="13" t="n"/>
      <c r="G21" s="13" t="n"/>
      <c r="H21" s="13" t="n"/>
      <c r="I21" s="13" t="n"/>
      <c r="J21" s="13">
        <f>IF(E21="🔴 Critical",IF(I21-F21&lt;=7,"✅ Met","❌ Missed"),IF(E21="🟠 High",IF(I21-F21&lt;=30,"✅ Met","❌ Missed"),"N/A"))</f>
        <v/>
      </c>
      <c r="K21" s="13" t="n"/>
    </row>
    <row r="22">
      <c r="A22" s="3" t="inlineStr">
        <is>
          <t>VULN-0018</t>
        </is>
      </c>
      <c r="B22" s="13" t="n"/>
      <c r="C22" s="13" t="n"/>
      <c r="D22" s="13" t="n"/>
      <c r="E22" s="13" t="n"/>
      <c r="F22" s="13" t="n"/>
      <c r="G22" s="13" t="n"/>
      <c r="H22" s="13" t="n"/>
      <c r="I22" s="13" t="n"/>
      <c r="J22" s="13">
        <f>IF(E22="🔴 Critical",IF(I22-F22&lt;=7,"✅ Met","❌ Missed"),IF(E22="🟠 High",IF(I22-F22&lt;=30,"✅ Met","❌ Missed"),"N/A"))</f>
        <v/>
      </c>
      <c r="K22" s="13" t="n"/>
    </row>
    <row r="23">
      <c r="A23" s="3" t="inlineStr">
        <is>
          <t>VULN-0019</t>
        </is>
      </c>
      <c r="B23" s="13" t="n"/>
      <c r="C23" s="13" t="n"/>
      <c r="D23" s="13" t="n"/>
      <c r="E23" s="13" t="n"/>
      <c r="F23" s="13" t="n"/>
      <c r="G23" s="13" t="n"/>
      <c r="H23" s="13" t="n"/>
      <c r="I23" s="13" t="n"/>
      <c r="J23" s="13">
        <f>IF(E23="🔴 Critical",IF(I23-F23&lt;=7,"✅ Met","❌ Missed"),IF(E23="🟠 High",IF(I23-F23&lt;=30,"✅ Met","❌ Missed"),"N/A"))</f>
        <v/>
      </c>
      <c r="K23" s="13" t="n"/>
    </row>
    <row r="24">
      <c r="A24" s="3" t="inlineStr">
        <is>
          <t>VULN-0020</t>
        </is>
      </c>
      <c r="B24" s="13" t="n"/>
      <c r="C24" s="13" t="n"/>
      <c r="D24" s="13" t="n"/>
      <c r="E24" s="13" t="n"/>
      <c r="F24" s="13" t="n"/>
      <c r="G24" s="13" t="n"/>
      <c r="H24" s="13" t="n"/>
      <c r="I24" s="13" t="n"/>
      <c r="J24" s="13">
        <f>IF(E24="🔴 Critical",IF(I24-F24&lt;=7,"✅ Met","❌ Missed"),IF(E24="🟠 High",IF(I24-F24&lt;=30,"✅ Met","❌ Missed"),"N/A"))</f>
        <v/>
      </c>
      <c r="K24" s="13" t="n"/>
    </row>
    <row r="25">
      <c r="A25" s="3" t="inlineStr">
        <is>
          <t>VULN-0021</t>
        </is>
      </c>
      <c r="B25" s="13" t="n"/>
      <c r="C25" s="13" t="n"/>
      <c r="D25" s="13" t="n"/>
      <c r="E25" s="13" t="n"/>
      <c r="F25" s="13" t="n"/>
      <c r="G25" s="13" t="n"/>
      <c r="H25" s="13" t="n"/>
      <c r="I25" s="13" t="n"/>
      <c r="J25" s="13">
        <f>IF(E25="🔴 Critical",IF(I25-F25&lt;=7,"✅ Met","❌ Missed"),IF(E25="🟠 High",IF(I25-F25&lt;=30,"✅ Met","❌ Missed"),"N/A"))</f>
        <v/>
      </c>
      <c r="K25" s="13" t="n"/>
    </row>
    <row r="26">
      <c r="A26" s="3" t="inlineStr">
        <is>
          <t>VULN-0022</t>
        </is>
      </c>
      <c r="B26" s="13" t="n"/>
      <c r="C26" s="13" t="n"/>
      <c r="D26" s="13" t="n"/>
      <c r="E26" s="13" t="n"/>
      <c r="F26" s="13" t="n"/>
      <c r="G26" s="13" t="n"/>
      <c r="H26" s="13" t="n"/>
      <c r="I26" s="13" t="n"/>
      <c r="J26" s="13">
        <f>IF(E26="🔴 Critical",IF(I26-F26&lt;=7,"✅ Met","❌ Missed"),IF(E26="🟠 High",IF(I26-F26&lt;=30,"✅ Met","❌ Missed"),"N/A"))</f>
        <v/>
      </c>
      <c r="K26" s="13" t="n"/>
    </row>
    <row r="27">
      <c r="A27" s="3" t="inlineStr">
        <is>
          <t>VULN-0023</t>
        </is>
      </c>
      <c r="B27" s="13" t="n"/>
      <c r="C27" s="13" t="n"/>
      <c r="D27" s="13" t="n"/>
      <c r="E27" s="13" t="n"/>
      <c r="F27" s="13" t="n"/>
      <c r="G27" s="13" t="n"/>
      <c r="H27" s="13" t="n"/>
      <c r="I27" s="13" t="n"/>
      <c r="J27" s="13">
        <f>IF(E27="🔴 Critical",IF(I27-F27&lt;=7,"✅ Met","❌ Missed"),IF(E27="🟠 High",IF(I27-F27&lt;=30,"✅ Met","❌ Missed"),"N/A"))</f>
        <v/>
      </c>
      <c r="K27" s="13" t="n"/>
    </row>
    <row r="28">
      <c r="A28" s="3" t="inlineStr">
        <is>
          <t>VULN-0024</t>
        </is>
      </c>
      <c r="B28" s="13" t="n"/>
      <c r="C28" s="13" t="n"/>
      <c r="D28" s="13" t="n"/>
      <c r="E28" s="13" t="n"/>
      <c r="F28" s="13" t="n"/>
      <c r="G28" s="13" t="n"/>
      <c r="H28" s="13" t="n"/>
      <c r="I28" s="13" t="n"/>
      <c r="J28" s="13">
        <f>IF(E28="🔴 Critical",IF(I28-F28&lt;=7,"✅ Met","❌ Missed"),IF(E28="🟠 High",IF(I28-F28&lt;=30,"✅ Met","❌ Missed"),"N/A"))</f>
        <v/>
      </c>
      <c r="K28" s="13" t="n"/>
    </row>
    <row r="29">
      <c r="A29" s="3" t="inlineStr">
        <is>
          <t>VULN-0025</t>
        </is>
      </c>
      <c r="B29" s="13" t="n"/>
      <c r="C29" s="13" t="n"/>
      <c r="D29" s="13" t="n"/>
      <c r="E29" s="13" t="n"/>
      <c r="F29" s="13" t="n"/>
      <c r="G29" s="13" t="n"/>
      <c r="H29" s="13" t="n"/>
      <c r="I29" s="13" t="n"/>
      <c r="J29" s="13">
        <f>IF(E29="🔴 Critical",IF(I29-F29&lt;=7,"✅ Met","❌ Missed"),IF(E29="🟠 High",IF(I29-F29&lt;=30,"✅ Met","❌ Missed"),"N/A"))</f>
        <v/>
      </c>
      <c r="K29" s="13" t="n"/>
    </row>
    <row r="30">
      <c r="A30" s="3" t="inlineStr">
        <is>
          <t>VULN-0026</t>
        </is>
      </c>
      <c r="B30" s="13" t="n"/>
      <c r="C30" s="13" t="n"/>
      <c r="D30" s="13" t="n"/>
      <c r="E30" s="13" t="n"/>
      <c r="F30" s="13" t="n"/>
      <c r="G30" s="13" t="n"/>
      <c r="H30" s="13" t="n"/>
      <c r="I30" s="13" t="n"/>
      <c r="J30" s="13">
        <f>IF(E30="🔴 Critical",IF(I30-F30&lt;=7,"✅ Met","❌ Missed"),IF(E30="🟠 High",IF(I30-F30&lt;=30,"✅ Met","❌ Missed"),"N/A"))</f>
        <v/>
      </c>
      <c r="K30" s="13" t="n"/>
    </row>
    <row r="31">
      <c r="A31" s="3" t="inlineStr">
        <is>
          <t>VULN-0027</t>
        </is>
      </c>
      <c r="B31" s="13" t="n"/>
      <c r="C31" s="13" t="n"/>
      <c r="D31" s="13" t="n"/>
      <c r="E31" s="13" t="n"/>
      <c r="F31" s="13" t="n"/>
      <c r="G31" s="13" t="n"/>
      <c r="H31" s="13" t="n"/>
      <c r="I31" s="13" t="n"/>
      <c r="J31" s="13">
        <f>IF(E31="🔴 Critical",IF(I31-F31&lt;=7,"✅ Met","❌ Missed"),IF(E31="🟠 High",IF(I31-F31&lt;=30,"✅ Met","❌ Missed"),"N/A"))</f>
        <v/>
      </c>
      <c r="K31" s="13" t="n"/>
    </row>
    <row r="32">
      <c r="A32" s="3" t="inlineStr">
        <is>
          <t>VULN-0028</t>
        </is>
      </c>
      <c r="B32" s="13" t="n"/>
      <c r="C32" s="13" t="n"/>
      <c r="D32" s="13" t="n"/>
      <c r="E32" s="13" t="n"/>
      <c r="F32" s="13" t="n"/>
      <c r="G32" s="13" t="n"/>
      <c r="H32" s="13" t="n"/>
      <c r="I32" s="13" t="n"/>
      <c r="J32" s="13">
        <f>IF(E32="🔴 Critical",IF(I32-F32&lt;=7,"✅ Met","❌ Missed"),IF(E32="🟠 High",IF(I32-F32&lt;=30,"✅ Met","❌ Missed"),"N/A"))</f>
        <v/>
      </c>
      <c r="K32" s="13" t="n"/>
    </row>
    <row r="33">
      <c r="A33" s="3" t="inlineStr">
        <is>
          <t>VULN-0029</t>
        </is>
      </c>
      <c r="B33" s="13" t="n"/>
      <c r="C33" s="13" t="n"/>
      <c r="D33" s="13" t="n"/>
      <c r="E33" s="13" t="n"/>
      <c r="F33" s="13" t="n"/>
      <c r="G33" s="13" t="n"/>
      <c r="H33" s="13" t="n"/>
      <c r="I33" s="13" t="n"/>
      <c r="J33" s="13">
        <f>IF(E33="🔴 Critical",IF(I33-F33&lt;=7,"✅ Met","❌ Missed"),IF(E33="🟠 High",IF(I33-F33&lt;=30,"✅ Met","❌ Missed"),"N/A"))</f>
        <v/>
      </c>
      <c r="K33" s="13" t="n"/>
    </row>
    <row r="34">
      <c r="A34" s="3" t="inlineStr">
        <is>
          <t>VULN-0030</t>
        </is>
      </c>
      <c r="B34" s="13" t="n"/>
      <c r="C34" s="13" t="n"/>
      <c r="D34" s="13" t="n"/>
      <c r="E34" s="13" t="n"/>
      <c r="F34" s="13" t="n"/>
      <c r="G34" s="13" t="n"/>
      <c r="H34" s="13" t="n"/>
      <c r="I34" s="13" t="n"/>
      <c r="J34" s="13">
        <f>IF(E34="🔴 Critical",IF(I34-F34&lt;=7,"✅ Met","❌ Missed"),IF(E34="🟠 High",IF(I34-F34&lt;=30,"✅ Met","❌ Missed"),"N/A"))</f>
        <v/>
      </c>
      <c r="K34" s="13" t="n"/>
    </row>
    <row r="35">
      <c r="A35" s="3" t="inlineStr">
        <is>
          <t>VULN-0031</t>
        </is>
      </c>
      <c r="B35" s="13" t="n"/>
      <c r="C35" s="13" t="n"/>
      <c r="D35" s="13" t="n"/>
      <c r="E35" s="13" t="n"/>
      <c r="F35" s="13" t="n"/>
      <c r="G35" s="13" t="n"/>
      <c r="H35" s="13" t="n"/>
      <c r="I35" s="13" t="n"/>
      <c r="J35" s="13">
        <f>IF(E35="🔴 Critical",IF(I35-F35&lt;=7,"✅ Met","❌ Missed"),IF(E35="🟠 High",IF(I35-F35&lt;=30,"✅ Met","❌ Missed"),"N/A"))</f>
        <v/>
      </c>
      <c r="K35" s="13" t="n"/>
    </row>
    <row r="36">
      <c r="A36" s="3" t="inlineStr">
        <is>
          <t>VULN-0032</t>
        </is>
      </c>
      <c r="B36" s="13" t="n"/>
      <c r="C36" s="13" t="n"/>
      <c r="D36" s="13" t="n"/>
      <c r="E36" s="13" t="n"/>
      <c r="F36" s="13" t="n"/>
      <c r="G36" s="13" t="n"/>
      <c r="H36" s="13" t="n"/>
      <c r="I36" s="13" t="n"/>
      <c r="J36" s="13">
        <f>IF(E36="🔴 Critical",IF(I36-F36&lt;=7,"✅ Met","❌ Missed"),IF(E36="🟠 High",IF(I36-F36&lt;=30,"✅ Met","❌ Missed"),"N/A"))</f>
        <v/>
      </c>
      <c r="K36" s="13" t="n"/>
    </row>
    <row r="37">
      <c r="A37" s="3" t="inlineStr">
        <is>
          <t>VULN-0033</t>
        </is>
      </c>
      <c r="B37" s="13" t="n"/>
      <c r="C37" s="13" t="n"/>
      <c r="D37" s="13" t="n"/>
      <c r="E37" s="13" t="n"/>
      <c r="F37" s="13" t="n"/>
      <c r="G37" s="13" t="n"/>
      <c r="H37" s="13" t="n"/>
      <c r="I37" s="13" t="n"/>
      <c r="J37" s="13">
        <f>IF(E37="🔴 Critical",IF(I37-F37&lt;=7,"✅ Met","❌ Missed"),IF(E37="🟠 High",IF(I37-F37&lt;=30,"✅ Met","❌ Missed"),"N/A"))</f>
        <v/>
      </c>
      <c r="K37" s="13" t="n"/>
    </row>
    <row r="38">
      <c r="A38" s="3" t="inlineStr">
        <is>
          <t>VULN-0034</t>
        </is>
      </c>
      <c r="B38" s="13" t="n"/>
      <c r="C38" s="13" t="n"/>
      <c r="D38" s="13" t="n"/>
      <c r="E38" s="13" t="n"/>
      <c r="F38" s="13" t="n"/>
      <c r="G38" s="13" t="n"/>
      <c r="H38" s="13" t="n"/>
      <c r="I38" s="13" t="n"/>
      <c r="J38" s="13">
        <f>IF(E38="🔴 Critical",IF(I38-F38&lt;=7,"✅ Met","❌ Missed"),IF(E38="🟠 High",IF(I38-F38&lt;=30,"✅ Met","❌ Missed"),"N/A"))</f>
        <v/>
      </c>
      <c r="K38" s="13" t="n"/>
    </row>
    <row r="39">
      <c r="A39" s="3" t="inlineStr">
        <is>
          <t>VULN-0035</t>
        </is>
      </c>
      <c r="B39" s="13" t="n"/>
      <c r="C39" s="13" t="n"/>
      <c r="D39" s="13" t="n"/>
      <c r="E39" s="13" t="n"/>
      <c r="F39" s="13" t="n"/>
      <c r="G39" s="13" t="n"/>
      <c r="H39" s="13" t="n"/>
      <c r="I39" s="13" t="n"/>
      <c r="J39" s="13">
        <f>IF(E39="🔴 Critical",IF(I39-F39&lt;=7,"✅ Met","❌ Missed"),IF(E39="🟠 High",IF(I39-F39&lt;=30,"✅ Met","❌ Missed"),"N/A"))</f>
        <v/>
      </c>
      <c r="K39" s="13" t="n"/>
    </row>
    <row r="40">
      <c r="A40" s="3" t="inlineStr">
        <is>
          <t>VULN-0036</t>
        </is>
      </c>
      <c r="B40" s="13" t="n"/>
      <c r="C40" s="13" t="n"/>
      <c r="D40" s="13" t="n"/>
      <c r="E40" s="13" t="n"/>
      <c r="F40" s="13" t="n"/>
      <c r="G40" s="13" t="n"/>
      <c r="H40" s="13" t="n"/>
      <c r="I40" s="13" t="n"/>
      <c r="J40" s="13">
        <f>IF(E40="🔴 Critical",IF(I40-F40&lt;=7,"✅ Met","❌ Missed"),IF(E40="🟠 High",IF(I40-F40&lt;=30,"✅ Met","❌ Missed"),"N/A"))</f>
        <v/>
      </c>
      <c r="K40" s="13" t="n"/>
    </row>
    <row r="41">
      <c r="A41" s="3" t="inlineStr">
        <is>
          <t>VULN-0037</t>
        </is>
      </c>
      <c r="B41" s="13" t="n"/>
      <c r="C41" s="13" t="n"/>
      <c r="D41" s="13" t="n"/>
      <c r="E41" s="13" t="n"/>
      <c r="F41" s="13" t="n"/>
      <c r="G41" s="13" t="n"/>
      <c r="H41" s="13" t="n"/>
      <c r="I41" s="13" t="n"/>
      <c r="J41" s="13">
        <f>IF(E41="🔴 Critical",IF(I41-F41&lt;=7,"✅ Met","❌ Missed"),IF(E41="🟠 High",IF(I41-F41&lt;=30,"✅ Met","❌ Missed"),"N/A"))</f>
        <v/>
      </c>
      <c r="K41" s="13" t="n"/>
    </row>
    <row r="42">
      <c r="A42" s="3" t="inlineStr">
        <is>
          <t>VULN-0038</t>
        </is>
      </c>
      <c r="B42" s="13" t="n"/>
      <c r="C42" s="13" t="n"/>
      <c r="D42" s="13" t="n"/>
      <c r="E42" s="13" t="n"/>
      <c r="F42" s="13" t="n"/>
      <c r="G42" s="13" t="n"/>
      <c r="H42" s="13" t="n"/>
      <c r="I42" s="13" t="n"/>
      <c r="J42" s="13">
        <f>IF(E42="🔴 Critical",IF(I42-F42&lt;=7,"✅ Met","❌ Missed"),IF(E42="🟠 High",IF(I42-F42&lt;=30,"✅ Met","❌ Missed"),"N/A"))</f>
        <v/>
      </c>
      <c r="K42" s="13" t="n"/>
    </row>
    <row r="43">
      <c r="A43" s="3" t="inlineStr">
        <is>
          <t>VULN-0039</t>
        </is>
      </c>
      <c r="B43" s="13" t="n"/>
      <c r="C43" s="13" t="n"/>
      <c r="D43" s="13" t="n"/>
      <c r="E43" s="13" t="n"/>
      <c r="F43" s="13" t="n"/>
      <c r="G43" s="13" t="n"/>
      <c r="H43" s="13" t="n"/>
      <c r="I43" s="13" t="n"/>
      <c r="J43" s="13">
        <f>IF(E43="🔴 Critical",IF(I43-F43&lt;=7,"✅ Met","❌ Missed"),IF(E43="🟠 High",IF(I43-F43&lt;=30,"✅ Met","❌ Missed"),"N/A"))</f>
        <v/>
      </c>
      <c r="K43" s="13" t="n"/>
    </row>
    <row r="44">
      <c r="A44" s="3" t="inlineStr">
        <is>
          <t>VULN-0040</t>
        </is>
      </c>
      <c r="B44" s="13" t="n"/>
      <c r="C44" s="13" t="n"/>
      <c r="D44" s="13" t="n"/>
      <c r="E44" s="13" t="n"/>
      <c r="F44" s="13" t="n"/>
      <c r="G44" s="13" t="n"/>
      <c r="H44" s="13" t="n"/>
      <c r="I44" s="13" t="n"/>
      <c r="J44" s="13">
        <f>IF(E44="🔴 Critical",IF(I44-F44&lt;=7,"✅ Met","❌ Missed"),IF(E44="🟠 High",IF(I44-F44&lt;=30,"✅ Met","❌ Missed"),"N/A"))</f>
        <v/>
      </c>
      <c r="K44" s="13" t="n"/>
    </row>
    <row r="45">
      <c r="A45" s="3" t="inlineStr">
        <is>
          <t>VULN-0041</t>
        </is>
      </c>
      <c r="B45" s="13" t="n"/>
      <c r="C45" s="13" t="n"/>
      <c r="D45" s="13" t="n"/>
      <c r="E45" s="13" t="n"/>
      <c r="F45" s="13" t="n"/>
      <c r="G45" s="13" t="n"/>
      <c r="H45" s="13" t="n"/>
      <c r="I45" s="13" t="n"/>
      <c r="J45" s="13">
        <f>IF(E45="🔴 Critical",IF(I45-F45&lt;=7,"✅ Met","❌ Missed"),IF(E45="🟠 High",IF(I45-F45&lt;=30,"✅ Met","❌ Missed"),"N/A"))</f>
        <v/>
      </c>
      <c r="K45" s="13" t="n"/>
    </row>
    <row r="46">
      <c r="A46" s="3" t="inlineStr">
        <is>
          <t>VULN-0042</t>
        </is>
      </c>
      <c r="B46" s="13" t="n"/>
      <c r="C46" s="13" t="n"/>
      <c r="D46" s="13" t="n"/>
      <c r="E46" s="13" t="n"/>
      <c r="F46" s="13" t="n"/>
      <c r="G46" s="13" t="n"/>
      <c r="H46" s="13" t="n"/>
      <c r="I46" s="13" t="n"/>
      <c r="J46" s="13">
        <f>IF(E46="🔴 Critical",IF(I46-F46&lt;=7,"✅ Met","❌ Missed"),IF(E46="🟠 High",IF(I46-F46&lt;=30,"✅ Met","❌ Missed"),"N/A"))</f>
        <v/>
      </c>
      <c r="K46" s="13" t="n"/>
    </row>
    <row r="47">
      <c r="A47" s="3" t="inlineStr">
        <is>
          <t>VULN-0043</t>
        </is>
      </c>
      <c r="B47" s="13" t="n"/>
      <c r="C47" s="13" t="n"/>
      <c r="D47" s="13" t="n"/>
      <c r="E47" s="13" t="n"/>
      <c r="F47" s="13" t="n"/>
      <c r="G47" s="13" t="n"/>
      <c r="H47" s="13" t="n"/>
      <c r="I47" s="13" t="n"/>
      <c r="J47" s="13">
        <f>IF(E47="🔴 Critical",IF(I47-F47&lt;=7,"✅ Met","❌ Missed"),IF(E47="🟠 High",IF(I47-F47&lt;=30,"✅ Met","❌ Missed"),"N/A"))</f>
        <v/>
      </c>
      <c r="K47" s="13" t="n"/>
    </row>
    <row r="48">
      <c r="A48" s="3" t="inlineStr">
        <is>
          <t>VULN-0044</t>
        </is>
      </c>
      <c r="B48" s="13" t="n"/>
      <c r="C48" s="13" t="n"/>
      <c r="D48" s="13" t="n"/>
      <c r="E48" s="13" t="n"/>
      <c r="F48" s="13" t="n"/>
      <c r="G48" s="13" t="n"/>
      <c r="H48" s="13" t="n"/>
      <c r="I48" s="13" t="n"/>
      <c r="J48" s="13">
        <f>IF(E48="🔴 Critical",IF(I48-F48&lt;=7,"✅ Met","❌ Missed"),IF(E48="🟠 High",IF(I48-F48&lt;=30,"✅ Met","❌ Missed"),"N/A"))</f>
        <v/>
      </c>
      <c r="K48" s="13" t="n"/>
    </row>
    <row r="49">
      <c r="A49" s="3" t="inlineStr">
        <is>
          <t>VULN-0045</t>
        </is>
      </c>
      <c r="B49" s="13" t="n"/>
      <c r="C49" s="13" t="n"/>
      <c r="D49" s="13" t="n"/>
      <c r="E49" s="13" t="n"/>
      <c r="F49" s="13" t="n"/>
      <c r="G49" s="13" t="n"/>
      <c r="H49" s="13" t="n"/>
      <c r="I49" s="13" t="n"/>
      <c r="J49" s="13">
        <f>IF(E49="🔴 Critical",IF(I49-F49&lt;=7,"✅ Met","❌ Missed"),IF(E49="🟠 High",IF(I49-F49&lt;=30,"✅ Met","❌ Missed"),"N/A"))</f>
        <v/>
      </c>
      <c r="K49" s="13" t="n"/>
    </row>
    <row r="50">
      <c r="A50" s="3" t="inlineStr">
        <is>
          <t>VULN-0046</t>
        </is>
      </c>
      <c r="B50" s="13" t="n"/>
      <c r="C50" s="13" t="n"/>
      <c r="D50" s="13" t="n"/>
      <c r="E50" s="13" t="n"/>
      <c r="F50" s="13" t="n"/>
      <c r="G50" s="13" t="n"/>
      <c r="H50" s="13" t="n"/>
      <c r="I50" s="13" t="n"/>
      <c r="J50" s="13">
        <f>IF(E50="🔴 Critical",IF(I50-F50&lt;=7,"✅ Met","❌ Missed"),IF(E50="🟠 High",IF(I50-F50&lt;=30,"✅ Met","❌ Missed"),"N/A"))</f>
        <v/>
      </c>
      <c r="K50" s="13" t="n"/>
    </row>
    <row r="51">
      <c r="A51" s="3" t="inlineStr">
        <is>
          <t>VULN-0047</t>
        </is>
      </c>
      <c r="B51" s="13" t="n"/>
      <c r="C51" s="13" t="n"/>
      <c r="D51" s="13" t="n"/>
      <c r="E51" s="13" t="n"/>
      <c r="F51" s="13" t="n"/>
      <c r="G51" s="13" t="n"/>
      <c r="H51" s="13" t="n"/>
      <c r="I51" s="13" t="n"/>
      <c r="J51" s="13">
        <f>IF(E51="🔴 Critical",IF(I51-F51&lt;=7,"✅ Met","❌ Missed"),IF(E51="🟠 High",IF(I51-F51&lt;=30,"✅ Met","❌ Missed"),"N/A"))</f>
        <v/>
      </c>
      <c r="K51" s="13" t="n"/>
    </row>
    <row r="52">
      <c r="A52" s="3" t="inlineStr">
        <is>
          <t>VULN-0048</t>
        </is>
      </c>
      <c r="B52" s="13" t="n"/>
      <c r="C52" s="13" t="n"/>
      <c r="D52" s="13" t="n"/>
      <c r="E52" s="13" t="n"/>
      <c r="F52" s="13" t="n"/>
      <c r="G52" s="13" t="n"/>
      <c r="H52" s="13" t="n"/>
      <c r="I52" s="13" t="n"/>
      <c r="J52" s="13">
        <f>IF(E52="🔴 Critical",IF(I52-F52&lt;=7,"✅ Met","❌ Missed"),IF(E52="🟠 High",IF(I52-F52&lt;=30,"✅ Met","❌ Missed"),"N/A"))</f>
        <v/>
      </c>
      <c r="K52" s="13" t="n"/>
    </row>
    <row r="53">
      <c r="A53" s="3" t="inlineStr">
        <is>
          <t>VULN-0049</t>
        </is>
      </c>
      <c r="B53" s="13" t="n"/>
      <c r="C53" s="13" t="n"/>
      <c r="D53" s="13" t="n"/>
      <c r="E53" s="13" t="n"/>
      <c r="F53" s="13" t="n"/>
      <c r="G53" s="13" t="n"/>
      <c r="H53" s="13" t="n"/>
      <c r="I53" s="13" t="n"/>
      <c r="J53" s="13">
        <f>IF(E53="🔴 Critical",IF(I53-F53&lt;=7,"✅ Met","❌ Missed"),IF(E53="🟠 High",IF(I53-F53&lt;=30,"✅ Met","❌ Missed"),"N/A"))</f>
        <v/>
      </c>
      <c r="K53" s="13" t="n"/>
    </row>
    <row r="54">
      <c r="A54" s="3" t="inlineStr">
        <is>
          <t>VULN-0050</t>
        </is>
      </c>
      <c r="B54" s="13" t="n"/>
      <c r="C54" s="13" t="n"/>
      <c r="D54" s="13" t="n"/>
      <c r="E54" s="13" t="n"/>
      <c r="F54" s="13" t="n"/>
      <c r="G54" s="13" t="n"/>
      <c r="H54" s="13" t="n"/>
      <c r="I54" s="13" t="n"/>
      <c r="J54" s="13">
        <f>IF(E54="🔴 Critical",IF(I54-F54&lt;=7,"✅ Met","❌ Missed"),IF(E54="🟠 High",IF(I54-F54&lt;=30,"✅ Met","❌ Missed"),"N/A"))</f>
        <v/>
      </c>
      <c r="K54" s="13" t="n"/>
    </row>
    <row r="55">
      <c r="A55" s="3" t="inlineStr">
        <is>
          <t>VULN-0051</t>
        </is>
      </c>
      <c r="B55" s="13" t="n"/>
      <c r="C55" s="13" t="n"/>
      <c r="D55" s="13" t="n"/>
      <c r="E55" s="13" t="n"/>
      <c r="F55" s="13" t="n"/>
      <c r="G55" s="13" t="n"/>
      <c r="H55" s="13" t="n"/>
      <c r="I55" s="13" t="n"/>
      <c r="J55" s="13">
        <f>IF(E55="🔴 Critical",IF(I55-F55&lt;=7,"✅ Met","❌ Missed"),IF(E55="🟠 High",IF(I55-F55&lt;=30,"✅ Met","❌ Missed"),"N/A"))</f>
        <v/>
      </c>
      <c r="K55" s="13" t="n"/>
    </row>
    <row r="56">
      <c r="A56" s="3" t="inlineStr">
        <is>
          <t>VULN-0052</t>
        </is>
      </c>
      <c r="B56" s="13" t="n"/>
      <c r="C56" s="13" t="n"/>
      <c r="D56" s="13" t="n"/>
      <c r="E56" s="13" t="n"/>
      <c r="F56" s="13" t="n"/>
      <c r="G56" s="13" t="n"/>
      <c r="H56" s="13" t="n"/>
      <c r="I56" s="13" t="n"/>
      <c r="J56" s="13">
        <f>IF(E56="🔴 Critical",IF(I56-F56&lt;=7,"✅ Met","❌ Missed"),IF(E56="🟠 High",IF(I56-F56&lt;=30,"✅ Met","❌ Missed"),"N/A"))</f>
        <v/>
      </c>
      <c r="K56" s="13" t="n"/>
    </row>
    <row r="57">
      <c r="A57" s="3" t="inlineStr">
        <is>
          <t>VULN-0053</t>
        </is>
      </c>
      <c r="B57" s="13" t="n"/>
      <c r="C57" s="13" t="n"/>
      <c r="D57" s="13" t="n"/>
      <c r="E57" s="13" t="n"/>
      <c r="F57" s="13" t="n"/>
      <c r="G57" s="13" t="n"/>
      <c r="H57" s="13" t="n"/>
      <c r="I57" s="13" t="n"/>
      <c r="J57" s="13">
        <f>IF(E57="🔴 Critical",IF(I57-F57&lt;=7,"✅ Met","❌ Missed"),IF(E57="🟠 High",IF(I57-F57&lt;=30,"✅ Met","❌ Missed"),"N/A"))</f>
        <v/>
      </c>
      <c r="K57" s="13" t="n"/>
    </row>
    <row r="58">
      <c r="A58" s="3" t="inlineStr">
        <is>
          <t>VULN-0054</t>
        </is>
      </c>
      <c r="B58" s="13" t="n"/>
      <c r="C58" s="13" t="n"/>
      <c r="D58" s="13" t="n"/>
      <c r="E58" s="13" t="n"/>
      <c r="F58" s="13" t="n"/>
      <c r="G58" s="13" t="n"/>
      <c r="H58" s="13" t="n"/>
      <c r="I58" s="13" t="n"/>
      <c r="J58" s="13">
        <f>IF(E58="🔴 Critical",IF(I58-F58&lt;=7,"✅ Met","❌ Missed"),IF(E58="🟠 High",IF(I58-F58&lt;=30,"✅ Met","❌ Missed"),"N/A"))</f>
        <v/>
      </c>
      <c r="K58" s="13" t="n"/>
    </row>
    <row r="59">
      <c r="A59" s="3" t="inlineStr">
        <is>
          <t>VULN-0055</t>
        </is>
      </c>
      <c r="B59" s="13" t="n"/>
      <c r="C59" s="13" t="n"/>
      <c r="D59" s="13" t="n"/>
      <c r="E59" s="13" t="n"/>
      <c r="F59" s="13" t="n"/>
      <c r="G59" s="13" t="n"/>
      <c r="H59" s="13" t="n"/>
      <c r="I59" s="13" t="n"/>
      <c r="J59" s="13">
        <f>IF(E59="🔴 Critical",IF(I59-F59&lt;=7,"✅ Met","❌ Missed"),IF(E59="🟠 High",IF(I59-F59&lt;=30,"✅ Met","❌ Missed"),"N/A"))</f>
        <v/>
      </c>
      <c r="K59" s="13" t="n"/>
    </row>
    <row r="60">
      <c r="A60" s="3" t="inlineStr">
        <is>
          <t>VULN-0056</t>
        </is>
      </c>
      <c r="B60" s="13" t="n"/>
      <c r="C60" s="13" t="n"/>
      <c r="D60" s="13" t="n"/>
      <c r="E60" s="13" t="n"/>
      <c r="F60" s="13" t="n"/>
      <c r="G60" s="13" t="n"/>
      <c r="H60" s="13" t="n"/>
      <c r="I60" s="13" t="n"/>
      <c r="J60" s="13">
        <f>IF(E60="🔴 Critical",IF(I60-F60&lt;=7,"✅ Met","❌ Missed"),IF(E60="🟠 High",IF(I60-F60&lt;=30,"✅ Met","❌ Missed"),"N/A"))</f>
        <v/>
      </c>
      <c r="K60" s="13" t="n"/>
    </row>
    <row r="61">
      <c r="A61" s="3" t="inlineStr">
        <is>
          <t>VULN-0057</t>
        </is>
      </c>
      <c r="B61" s="13" t="n"/>
      <c r="C61" s="13" t="n"/>
      <c r="D61" s="13" t="n"/>
      <c r="E61" s="13" t="n"/>
      <c r="F61" s="13" t="n"/>
      <c r="G61" s="13" t="n"/>
      <c r="H61" s="13" t="n"/>
      <c r="I61" s="13" t="n"/>
      <c r="J61" s="13">
        <f>IF(E61="🔴 Critical",IF(I61-F61&lt;=7,"✅ Met","❌ Missed"),IF(E61="🟠 High",IF(I61-F61&lt;=30,"✅ Met","❌ Missed"),"N/A"))</f>
        <v/>
      </c>
      <c r="K61" s="13" t="n"/>
    </row>
    <row r="62">
      <c r="A62" s="3" t="inlineStr">
        <is>
          <t>VULN-0058</t>
        </is>
      </c>
      <c r="B62" s="13" t="n"/>
      <c r="C62" s="13" t="n"/>
      <c r="D62" s="13" t="n"/>
      <c r="E62" s="13" t="n"/>
      <c r="F62" s="13" t="n"/>
      <c r="G62" s="13" t="n"/>
      <c r="H62" s="13" t="n"/>
      <c r="I62" s="13" t="n"/>
      <c r="J62" s="13">
        <f>IF(E62="🔴 Critical",IF(I62-F62&lt;=7,"✅ Met","❌ Missed"),IF(E62="🟠 High",IF(I62-F62&lt;=30,"✅ Met","❌ Missed"),"N/A"))</f>
        <v/>
      </c>
      <c r="K62" s="13" t="n"/>
    </row>
    <row r="63">
      <c r="A63" s="3" t="inlineStr">
        <is>
          <t>VULN-0059</t>
        </is>
      </c>
      <c r="B63" s="13" t="n"/>
      <c r="C63" s="13" t="n"/>
      <c r="D63" s="13" t="n"/>
      <c r="E63" s="13" t="n"/>
      <c r="F63" s="13" t="n"/>
      <c r="G63" s="13" t="n"/>
      <c r="H63" s="13" t="n"/>
      <c r="I63" s="13" t="n"/>
      <c r="J63" s="13">
        <f>IF(E63="🔴 Critical",IF(I63-F63&lt;=7,"✅ Met","❌ Missed"),IF(E63="🟠 High",IF(I63-F63&lt;=30,"✅ Met","❌ Missed"),"N/A"))</f>
        <v/>
      </c>
      <c r="K63" s="13" t="n"/>
    </row>
    <row r="64">
      <c r="A64" s="3" t="inlineStr">
        <is>
          <t>VULN-0060</t>
        </is>
      </c>
      <c r="B64" s="13" t="n"/>
      <c r="C64" s="13" t="n"/>
      <c r="D64" s="13" t="n"/>
      <c r="E64" s="13" t="n"/>
      <c r="F64" s="13" t="n"/>
      <c r="G64" s="13" t="n"/>
      <c r="H64" s="13" t="n"/>
      <c r="I64" s="13" t="n"/>
      <c r="J64" s="13">
        <f>IF(E64="🔴 Critical",IF(I64-F64&lt;=7,"✅ Met","❌ Missed"),IF(E64="🟠 High",IF(I64-F64&lt;=30,"✅ Met","❌ Missed"),"N/A"))</f>
        <v/>
      </c>
      <c r="K64" s="13" t="n"/>
    </row>
    <row r="65">
      <c r="A65" s="3" t="inlineStr">
        <is>
          <t>VULN-0061</t>
        </is>
      </c>
      <c r="B65" s="13" t="n"/>
      <c r="C65" s="13" t="n"/>
      <c r="D65" s="13" t="n"/>
      <c r="E65" s="13" t="n"/>
      <c r="F65" s="13" t="n"/>
      <c r="G65" s="13" t="n"/>
      <c r="H65" s="13" t="n"/>
      <c r="I65" s="13" t="n"/>
      <c r="J65" s="13">
        <f>IF(E65="🔴 Critical",IF(I65-F65&lt;=7,"✅ Met","❌ Missed"),IF(E65="🟠 High",IF(I65-F65&lt;=30,"✅ Met","❌ Missed"),"N/A"))</f>
        <v/>
      </c>
      <c r="K65" s="13" t="n"/>
    </row>
    <row r="66">
      <c r="A66" s="3" t="inlineStr">
        <is>
          <t>VULN-0062</t>
        </is>
      </c>
      <c r="B66" s="13" t="n"/>
      <c r="C66" s="13" t="n"/>
      <c r="D66" s="13" t="n"/>
      <c r="E66" s="13" t="n"/>
      <c r="F66" s="13" t="n"/>
      <c r="G66" s="13" t="n"/>
      <c r="H66" s="13" t="n"/>
      <c r="I66" s="13" t="n"/>
      <c r="J66" s="13">
        <f>IF(E66="🔴 Critical",IF(I66-F66&lt;=7,"✅ Met","❌ Missed"),IF(E66="🟠 High",IF(I66-F66&lt;=30,"✅ Met","❌ Missed"),"N/A"))</f>
        <v/>
      </c>
      <c r="K66" s="13" t="n"/>
    </row>
    <row r="67">
      <c r="A67" s="3" t="inlineStr">
        <is>
          <t>VULN-0063</t>
        </is>
      </c>
      <c r="B67" s="13" t="n"/>
      <c r="C67" s="13" t="n"/>
      <c r="D67" s="13" t="n"/>
      <c r="E67" s="13" t="n"/>
      <c r="F67" s="13" t="n"/>
      <c r="G67" s="13" t="n"/>
      <c r="H67" s="13" t="n"/>
      <c r="I67" s="13" t="n"/>
      <c r="J67" s="13">
        <f>IF(E67="🔴 Critical",IF(I67-F67&lt;=7,"✅ Met","❌ Missed"),IF(E67="🟠 High",IF(I67-F67&lt;=30,"✅ Met","❌ Missed"),"N/A"))</f>
        <v/>
      </c>
      <c r="K67" s="13" t="n"/>
    </row>
    <row r="68">
      <c r="A68" s="3" t="inlineStr">
        <is>
          <t>VULN-0064</t>
        </is>
      </c>
      <c r="B68" s="13" t="n"/>
      <c r="C68" s="13" t="n"/>
      <c r="D68" s="13" t="n"/>
      <c r="E68" s="13" t="n"/>
      <c r="F68" s="13" t="n"/>
      <c r="G68" s="13" t="n"/>
      <c r="H68" s="13" t="n"/>
      <c r="I68" s="13" t="n"/>
      <c r="J68" s="13">
        <f>IF(E68="🔴 Critical",IF(I68-F68&lt;=7,"✅ Met","❌ Missed"),IF(E68="🟠 High",IF(I68-F68&lt;=30,"✅ Met","❌ Missed"),"N/A"))</f>
        <v/>
      </c>
      <c r="K68" s="13" t="n"/>
    </row>
    <row r="69">
      <c r="A69" s="3" t="inlineStr">
        <is>
          <t>VULN-0065</t>
        </is>
      </c>
      <c r="B69" s="13" t="n"/>
      <c r="C69" s="13" t="n"/>
      <c r="D69" s="13" t="n"/>
      <c r="E69" s="13" t="n"/>
      <c r="F69" s="13" t="n"/>
      <c r="G69" s="13" t="n"/>
      <c r="H69" s="13" t="n"/>
      <c r="I69" s="13" t="n"/>
      <c r="J69" s="13">
        <f>IF(E69="🔴 Critical",IF(I69-F69&lt;=7,"✅ Met","❌ Missed"),IF(E69="🟠 High",IF(I69-F69&lt;=30,"✅ Met","❌ Missed"),"N/A"))</f>
        <v/>
      </c>
      <c r="K69" s="13" t="n"/>
    </row>
    <row r="70">
      <c r="A70" s="3" t="inlineStr">
        <is>
          <t>VULN-0066</t>
        </is>
      </c>
      <c r="B70" s="13" t="n"/>
      <c r="C70" s="13" t="n"/>
      <c r="D70" s="13" t="n"/>
      <c r="E70" s="13" t="n"/>
      <c r="F70" s="13" t="n"/>
      <c r="G70" s="13" t="n"/>
      <c r="H70" s="13" t="n"/>
      <c r="I70" s="13" t="n"/>
      <c r="J70" s="13">
        <f>IF(E70="🔴 Critical",IF(I70-F70&lt;=7,"✅ Met","❌ Missed"),IF(E70="🟠 High",IF(I70-F70&lt;=30,"✅ Met","❌ Missed"),"N/A"))</f>
        <v/>
      </c>
      <c r="K70" s="13" t="n"/>
    </row>
    <row r="71">
      <c r="A71" s="3" t="inlineStr">
        <is>
          <t>VULN-0067</t>
        </is>
      </c>
      <c r="B71" s="13" t="n"/>
      <c r="C71" s="13" t="n"/>
      <c r="D71" s="13" t="n"/>
      <c r="E71" s="13" t="n"/>
      <c r="F71" s="13" t="n"/>
      <c r="G71" s="13" t="n"/>
      <c r="H71" s="13" t="n"/>
      <c r="I71" s="13" t="n"/>
      <c r="J71" s="13">
        <f>IF(E71="🔴 Critical",IF(I71-F71&lt;=7,"✅ Met","❌ Missed"),IF(E71="🟠 High",IF(I71-F71&lt;=30,"✅ Met","❌ Missed"),"N/A"))</f>
        <v/>
      </c>
      <c r="K71" s="13" t="n"/>
    </row>
    <row r="72">
      <c r="A72" s="3" t="inlineStr">
        <is>
          <t>VULN-0068</t>
        </is>
      </c>
      <c r="B72" s="13" t="n"/>
      <c r="C72" s="13" t="n"/>
      <c r="D72" s="13" t="n"/>
      <c r="E72" s="13" t="n"/>
      <c r="F72" s="13" t="n"/>
      <c r="G72" s="13" t="n"/>
      <c r="H72" s="13" t="n"/>
      <c r="I72" s="13" t="n"/>
      <c r="J72" s="13">
        <f>IF(E72="🔴 Critical",IF(I72-F72&lt;=7,"✅ Met","❌ Missed"),IF(E72="🟠 High",IF(I72-F72&lt;=30,"✅ Met","❌ Missed"),"N/A"))</f>
        <v/>
      </c>
      <c r="K72" s="13" t="n"/>
    </row>
    <row r="73">
      <c r="A73" s="3" t="inlineStr">
        <is>
          <t>VULN-0069</t>
        </is>
      </c>
      <c r="B73" s="13" t="n"/>
      <c r="C73" s="13" t="n"/>
      <c r="D73" s="13" t="n"/>
      <c r="E73" s="13" t="n"/>
      <c r="F73" s="13" t="n"/>
      <c r="G73" s="13" t="n"/>
      <c r="H73" s="13" t="n"/>
      <c r="I73" s="13" t="n"/>
      <c r="J73" s="13">
        <f>IF(E73="🔴 Critical",IF(I73-F73&lt;=7,"✅ Met","❌ Missed"),IF(E73="🟠 High",IF(I73-F73&lt;=30,"✅ Met","❌ Missed"),"N/A"))</f>
        <v/>
      </c>
      <c r="K73" s="13" t="n"/>
    </row>
    <row r="74">
      <c r="A74" s="3" t="inlineStr">
        <is>
          <t>VULN-0070</t>
        </is>
      </c>
      <c r="B74" s="13" t="n"/>
      <c r="C74" s="13" t="n"/>
      <c r="D74" s="13" t="n"/>
      <c r="E74" s="13" t="n"/>
      <c r="F74" s="13" t="n"/>
      <c r="G74" s="13" t="n"/>
      <c r="H74" s="13" t="n"/>
      <c r="I74" s="13" t="n"/>
      <c r="J74" s="13">
        <f>IF(E74="🔴 Critical",IF(I74-F74&lt;=7,"✅ Met","❌ Missed"),IF(E74="🟠 High",IF(I74-F74&lt;=30,"✅ Met","❌ Missed"),"N/A"))</f>
        <v/>
      </c>
      <c r="K74" s="13" t="n"/>
    </row>
    <row r="75">
      <c r="A75" s="3" t="inlineStr">
        <is>
          <t>VULN-0071</t>
        </is>
      </c>
      <c r="B75" s="13" t="n"/>
      <c r="C75" s="13" t="n"/>
      <c r="D75" s="13" t="n"/>
      <c r="E75" s="13" t="n"/>
      <c r="F75" s="13" t="n"/>
      <c r="G75" s="13" t="n"/>
      <c r="H75" s="13" t="n"/>
      <c r="I75" s="13" t="n"/>
      <c r="J75" s="13">
        <f>IF(E75="🔴 Critical",IF(I75-F75&lt;=7,"✅ Met","❌ Missed"),IF(E75="🟠 High",IF(I75-F75&lt;=30,"✅ Met","❌ Missed"),"N/A"))</f>
        <v/>
      </c>
      <c r="K75" s="13" t="n"/>
    </row>
    <row r="76">
      <c r="A76" s="3" t="inlineStr">
        <is>
          <t>VULN-0072</t>
        </is>
      </c>
      <c r="B76" s="13" t="n"/>
      <c r="C76" s="13" t="n"/>
      <c r="D76" s="13" t="n"/>
      <c r="E76" s="13" t="n"/>
      <c r="F76" s="13" t="n"/>
      <c r="G76" s="13" t="n"/>
      <c r="H76" s="13" t="n"/>
      <c r="I76" s="13" t="n"/>
      <c r="J76" s="13">
        <f>IF(E76="🔴 Critical",IF(I76-F76&lt;=7,"✅ Met","❌ Missed"),IF(E76="🟠 High",IF(I76-F76&lt;=30,"✅ Met","❌ Missed"),"N/A"))</f>
        <v/>
      </c>
      <c r="K76" s="13" t="n"/>
    </row>
    <row r="77">
      <c r="A77" s="3" t="inlineStr">
        <is>
          <t>VULN-0073</t>
        </is>
      </c>
      <c r="B77" s="13" t="n"/>
      <c r="C77" s="13" t="n"/>
      <c r="D77" s="13" t="n"/>
      <c r="E77" s="13" t="n"/>
      <c r="F77" s="13" t="n"/>
      <c r="G77" s="13" t="n"/>
      <c r="H77" s="13" t="n"/>
      <c r="I77" s="13" t="n"/>
      <c r="J77" s="13">
        <f>IF(E77="🔴 Critical",IF(I77-F77&lt;=7,"✅ Met","❌ Missed"),IF(E77="🟠 High",IF(I77-F77&lt;=30,"✅ Met","❌ Missed"),"N/A"))</f>
        <v/>
      </c>
      <c r="K77" s="13" t="n"/>
    </row>
    <row r="78">
      <c r="A78" s="3" t="inlineStr">
        <is>
          <t>VULN-0074</t>
        </is>
      </c>
      <c r="B78" s="13" t="n"/>
      <c r="C78" s="13" t="n"/>
      <c r="D78" s="13" t="n"/>
      <c r="E78" s="13" t="n"/>
      <c r="F78" s="13" t="n"/>
      <c r="G78" s="13" t="n"/>
      <c r="H78" s="13" t="n"/>
      <c r="I78" s="13" t="n"/>
      <c r="J78" s="13">
        <f>IF(E78="🔴 Critical",IF(I78-F78&lt;=7,"✅ Met","❌ Missed"),IF(E78="🟠 High",IF(I78-F78&lt;=30,"✅ Met","❌ Missed"),"N/A"))</f>
        <v/>
      </c>
      <c r="K78" s="13" t="n"/>
    </row>
    <row r="79">
      <c r="A79" s="3" t="inlineStr">
        <is>
          <t>VULN-0075</t>
        </is>
      </c>
      <c r="B79" s="13" t="n"/>
      <c r="C79" s="13" t="n"/>
      <c r="D79" s="13" t="n"/>
      <c r="E79" s="13" t="n"/>
      <c r="F79" s="13" t="n"/>
      <c r="G79" s="13" t="n"/>
      <c r="H79" s="13" t="n"/>
      <c r="I79" s="13" t="n"/>
      <c r="J79" s="13">
        <f>IF(E79="🔴 Critical",IF(I79-F79&lt;=7,"✅ Met","❌ Missed"),IF(E79="🟠 High",IF(I79-F79&lt;=30,"✅ Met","❌ Missed"),"N/A"))</f>
        <v/>
      </c>
      <c r="K79" s="13" t="n"/>
    </row>
    <row r="80">
      <c r="A80" s="3" t="inlineStr">
        <is>
          <t>VULN-0076</t>
        </is>
      </c>
      <c r="B80" s="13" t="n"/>
      <c r="C80" s="13" t="n"/>
      <c r="D80" s="13" t="n"/>
      <c r="E80" s="13" t="n"/>
      <c r="F80" s="13" t="n"/>
      <c r="G80" s="13" t="n"/>
      <c r="H80" s="13" t="n"/>
      <c r="I80" s="13" t="n"/>
      <c r="J80" s="13">
        <f>IF(E80="🔴 Critical",IF(I80-F80&lt;=7,"✅ Met","❌ Missed"),IF(E80="🟠 High",IF(I80-F80&lt;=30,"✅ Met","❌ Missed"),"N/A"))</f>
        <v/>
      </c>
      <c r="K80" s="13" t="n"/>
    </row>
    <row r="81">
      <c r="A81" s="3" t="inlineStr">
        <is>
          <t>VULN-0077</t>
        </is>
      </c>
      <c r="B81" s="13" t="n"/>
      <c r="C81" s="13" t="n"/>
      <c r="D81" s="13" t="n"/>
      <c r="E81" s="13" t="n"/>
      <c r="F81" s="13" t="n"/>
      <c r="G81" s="13" t="n"/>
      <c r="H81" s="13" t="n"/>
      <c r="I81" s="13" t="n"/>
      <c r="J81" s="13">
        <f>IF(E81="🔴 Critical",IF(I81-F81&lt;=7,"✅ Met","❌ Missed"),IF(E81="🟠 High",IF(I81-F81&lt;=30,"✅ Met","❌ Missed"),"N/A"))</f>
        <v/>
      </c>
      <c r="K81" s="13" t="n"/>
    </row>
    <row r="82">
      <c r="A82" s="3" t="inlineStr">
        <is>
          <t>VULN-0078</t>
        </is>
      </c>
      <c r="B82" s="13" t="n"/>
      <c r="C82" s="13" t="n"/>
      <c r="D82" s="13" t="n"/>
      <c r="E82" s="13" t="n"/>
      <c r="F82" s="13" t="n"/>
      <c r="G82" s="13" t="n"/>
      <c r="H82" s="13" t="n"/>
      <c r="I82" s="13" t="n"/>
      <c r="J82" s="13">
        <f>IF(E82="🔴 Critical",IF(I82-F82&lt;=7,"✅ Met","❌ Missed"),IF(E82="🟠 High",IF(I82-F82&lt;=30,"✅ Met","❌ Missed"),"N/A"))</f>
        <v/>
      </c>
      <c r="K82" s="13" t="n"/>
    </row>
    <row r="83">
      <c r="A83" s="3" t="inlineStr">
        <is>
          <t>VULN-0079</t>
        </is>
      </c>
      <c r="B83" s="13" t="n"/>
      <c r="C83" s="13" t="n"/>
      <c r="D83" s="13" t="n"/>
      <c r="E83" s="13" t="n"/>
      <c r="F83" s="13" t="n"/>
      <c r="G83" s="13" t="n"/>
      <c r="H83" s="13" t="n"/>
      <c r="I83" s="13" t="n"/>
      <c r="J83" s="13">
        <f>IF(E83="🔴 Critical",IF(I83-F83&lt;=7,"✅ Met","❌ Missed"),IF(E83="🟠 High",IF(I83-F83&lt;=30,"✅ Met","❌ Missed"),"N/A"))</f>
        <v/>
      </c>
      <c r="K83" s="13" t="n"/>
    </row>
    <row r="84">
      <c r="A84" s="3" t="inlineStr">
        <is>
          <t>VULN-0080</t>
        </is>
      </c>
      <c r="B84" s="13" t="n"/>
      <c r="C84" s="13" t="n"/>
      <c r="D84" s="13" t="n"/>
      <c r="E84" s="13" t="n"/>
      <c r="F84" s="13" t="n"/>
      <c r="G84" s="13" t="n"/>
      <c r="H84" s="13" t="n"/>
      <c r="I84" s="13" t="n"/>
      <c r="J84" s="13">
        <f>IF(E84="🔴 Critical",IF(I84-F84&lt;=7,"✅ Met","❌ Missed"),IF(E84="🟠 High",IF(I84-F84&lt;=30,"✅ Met","❌ Missed"),"N/A"))</f>
        <v/>
      </c>
      <c r="K84" s="13" t="n"/>
    </row>
    <row r="85">
      <c r="A85" s="3" t="inlineStr">
        <is>
          <t>VULN-0081</t>
        </is>
      </c>
      <c r="B85" s="13" t="n"/>
      <c r="C85" s="13" t="n"/>
      <c r="D85" s="13" t="n"/>
      <c r="E85" s="13" t="n"/>
      <c r="F85" s="13" t="n"/>
      <c r="G85" s="13" t="n"/>
      <c r="H85" s="13" t="n"/>
      <c r="I85" s="13" t="n"/>
      <c r="J85" s="13">
        <f>IF(E85="🔴 Critical",IF(I85-F85&lt;=7,"✅ Met","❌ Missed"),IF(E85="🟠 High",IF(I85-F85&lt;=30,"✅ Met","❌ Missed"),"N/A"))</f>
        <v/>
      </c>
      <c r="K85" s="13" t="n"/>
    </row>
    <row r="86">
      <c r="A86" s="3" t="inlineStr">
        <is>
          <t>VULN-0082</t>
        </is>
      </c>
      <c r="B86" s="13" t="n"/>
      <c r="C86" s="13" t="n"/>
      <c r="D86" s="13" t="n"/>
      <c r="E86" s="13" t="n"/>
      <c r="F86" s="13" t="n"/>
      <c r="G86" s="13" t="n"/>
      <c r="H86" s="13" t="n"/>
      <c r="I86" s="13" t="n"/>
      <c r="J86" s="13">
        <f>IF(E86="🔴 Critical",IF(I86-F86&lt;=7,"✅ Met","❌ Missed"),IF(E86="🟠 High",IF(I86-F86&lt;=30,"✅ Met","❌ Missed"),"N/A"))</f>
        <v/>
      </c>
      <c r="K86" s="13" t="n"/>
    </row>
    <row r="87">
      <c r="A87" s="3" t="inlineStr">
        <is>
          <t>VULN-0083</t>
        </is>
      </c>
      <c r="B87" s="13" t="n"/>
      <c r="C87" s="13" t="n"/>
      <c r="D87" s="13" t="n"/>
      <c r="E87" s="13" t="n"/>
      <c r="F87" s="13" t="n"/>
      <c r="G87" s="13" t="n"/>
      <c r="H87" s="13" t="n"/>
      <c r="I87" s="13" t="n"/>
      <c r="J87" s="13">
        <f>IF(E87="🔴 Critical",IF(I87-F87&lt;=7,"✅ Met","❌ Missed"),IF(E87="🟠 High",IF(I87-F87&lt;=30,"✅ Met","❌ Missed"),"N/A"))</f>
        <v/>
      </c>
      <c r="K87" s="13" t="n"/>
    </row>
    <row r="88">
      <c r="A88" s="3" t="inlineStr">
        <is>
          <t>VULN-0084</t>
        </is>
      </c>
      <c r="B88" s="13" t="n"/>
      <c r="C88" s="13" t="n"/>
      <c r="D88" s="13" t="n"/>
      <c r="E88" s="13" t="n"/>
      <c r="F88" s="13" t="n"/>
      <c r="G88" s="13" t="n"/>
      <c r="H88" s="13" t="n"/>
      <c r="I88" s="13" t="n"/>
      <c r="J88" s="13">
        <f>IF(E88="🔴 Critical",IF(I88-F88&lt;=7,"✅ Met","❌ Missed"),IF(E88="🟠 High",IF(I88-F88&lt;=30,"✅ Met","❌ Missed"),"N/A"))</f>
        <v/>
      </c>
      <c r="K88" s="13" t="n"/>
    </row>
    <row r="89">
      <c r="A89" s="3" t="inlineStr">
        <is>
          <t>VULN-0085</t>
        </is>
      </c>
      <c r="B89" s="13" t="n"/>
      <c r="C89" s="13" t="n"/>
      <c r="D89" s="13" t="n"/>
      <c r="E89" s="13" t="n"/>
      <c r="F89" s="13" t="n"/>
      <c r="G89" s="13" t="n"/>
      <c r="H89" s="13" t="n"/>
      <c r="I89" s="13" t="n"/>
      <c r="J89" s="13">
        <f>IF(E89="🔴 Critical",IF(I89-F89&lt;=7,"✅ Met","❌ Missed"),IF(E89="🟠 High",IF(I89-F89&lt;=30,"✅ Met","❌ Missed"),"N/A"))</f>
        <v/>
      </c>
      <c r="K89" s="13" t="n"/>
    </row>
    <row r="90">
      <c r="A90" s="3" t="inlineStr">
        <is>
          <t>VULN-0086</t>
        </is>
      </c>
      <c r="B90" s="13" t="n"/>
      <c r="C90" s="13" t="n"/>
      <c r="D90" s="13" t="n"/>
      <c r="E90" s="13" t="n"/>
      <c r="F90" s="13" t="n"/>
      <c r="G90" s="13" t="n"/>
      <c r="H90" s="13" t="n"/>
      <c r="I90" s="13" t="n"/>
      <c r="J90" s="13">
        <f>IF(E90="🔴 Critical",IF(I90-F90&lt;=7,"✅ Met","❌ Missed"),IF(E90="🟠 High",IF(I90-F90&lt;=30,"✅ Met","❌ Missed"),"N/A"))</f>
        <v/>
      </c>
      <c r="K90" s="13" t="n"/>
    </row>
    <row r="91">
      <c r="A91" s="3" t="inlineStr">
        <is>
          <t>VULN-0087</t>
        </is>
      </c>
      <c r="B91" s="13" t="n"/>
      <c r="C91" s="13" t="n"/>
      <c r="D91" s="13" t="n"/>
      <c r="E91" s="13" t="n"/>
      <c r="F91" s="13" t="n"/>
      <c r="G91" s="13" t="n"/>
      <c r="H91" s="13" t="n"/>
      <c r="I91" s="13" t="n"/>
      <c r="J91" s="13">
        <f>IF(E91="🔴 Critical",IF(I91-F91&lt;=7,"✅ Met","❌ Missed"),IF(E91="🟠 High",IF(I91-F91&lt;=30,"✅ Met","❌ Missed"),"N/A"))</f>
        <v/>
      </c>
      <c r="K91" s="13" t="n"/>
    </row>
    <row r="92">
      <c r="A92" s="3" t="inlineStr">
        <is>
          <t>VULN-0088</t>
        </is>
      </c>
      <c r="B92" s="13" t="n"/>
      <c r="C92" s="13" t="n"/>
      <c r="D92" s="13" t="n"/>
      <c r="E92" s="13" t="n"/>
      <c r="F92" s="13" t="n"/>
      <c r="G92" s="13" t="n"/>
      <c r="H92" s="13" t="n"/>
      <c r="I92" s="13" t="n"/>
      <c r="J92" s="13">
        <f>IF(E92="🔴 Critical",IF(I92-F92&lt;=7,"✅ Met","❌ Missed"),IF(E92="🟠 High",IF(I92-F92&lt;=30,"✅ Met","❌ Missed"),"N/A"))</f>
        <v/>
      </c>
      <c r="K92" s="13" t="n"/>
    </row>
    <row r="93">
      <c r="A93" s="3" t="inlineStr">
        <is>
          <t>VULN-0089</t>
        </is>
      </c>
      <c r="B93" s="13" t="n"/>
      <c r="C93" s="13" t="n"/>
      <c r="D93" s="13" t="n"/>
      <c r="E93" s="13" t="n"/>
      <c r="F93" s="13" t="n"/>
      <c r="G93" s="13" t="n"/>
      <c r="H93" s="13" t="n"/>
      <c r="I93" s="13" t="n"/>
      <c r="J93" s="13">
        <f>IF(E93="🔴 Critical",IF(I93-F93&lt;=7,"✅ Met","❌ Missed"),IF(E93="🟠 High",IF(I93-F93&lt;=30,"✅ Met","❌ Missed"),"N/A"))</f>
        <v/>
      </c>
      <c r="K93" s="13" t="n"/>
    </row>
    <row r="94">
      <c r="A94" s="3" t="inlineStr">
        <is>
          <t>VULN-0090</t>
        </is>
      </c>
      <c r="B94" s="13" t="n"/>
      <c r="C94" s="13" t="n"/>
      <c r="D94" s="13" t="n"/>
      <c r="E94" s="13" t="n"/>
      <c r="F94" s="13" t="n"/>
      <c r="G94" s="13" t="n"/>
      <c r="H94" s="13" t="n"/>
      <c r="I94" s="13" t="n"/>
      <c r="J94" s="13">
        <f>IF(E94="🔴 Critical",IF(I94-F94&lt;=7,"✅ Met","❌ Missed"),IF(E94="🟠 High",IF(I94-F94&lt;=30,"✅ Met","❌ Missed"),"N/A"))</f>
        <v/>
      </c>
      <c r="K94" s="13" t="n"/>
    </row>
    <row r="95">
      <c r="A95" s="3" t="inlineStr">
        <is>
          <t>VULN-0091</t>
        </is>
      </c>
      <c r="B95" s="13" t="n"/>
      <c r="C95" s="13" t="n"/>
      <c r="D95" s="13" t="n"/>
      <c r="E95" s="13" t="n"/>
      <c r="F95" s="13" t="n"/>
      <c r="G95" s="13" t="n"/>
      <c r="H95" s="13" t="n"/>
      <c r="I95" s="13" t="n"/>
      <c r="J95" s="13">
        <f>IF(E95="🔴 Critical",IF(I95-F95&lt;=7,"✅ Met","❌ Missed"),IF(E95="🟠 High",IF(I95-F95&lt;=30,"✅ Met","❌ Missed"),"N/A"))</f>
        <v/>
      </c>
      <c r="K95" s="13" t="n"/>
    </row>
    <row r="96">
      <c r="A96" s="3" t="inlineStr">
        <is>
          <t>VULN-0092</t>
        </is>
      </c>
      <c r="B96" s="13" t="n"/>
      <c r="C96" s="13" t="n"/>
      <c r="D96" s="13" t="n"/>
      <c r="E96" s="13" t="n"/>
      <c r="F96" s="13" t="n"/>
      <c r="G96" s="13" t="n"/>
      <c r="H96" s="13" t="n"/>
      <c r="I96" s="13" t="n"/>
      <c r="J96" s="13">
        <f>IF(E96="🔴 Critical",IF(I96-F96&lt;=7,"✅ Met","❌ Missed"),IF(E96="🟠 High",IF(I96-F96&lt;=30,"✅ Met","❌ Missed"),"N/A"))</f>
        <v/>
      </c>
      <c r="K96" s="13" t="n"/>
    </row>
    <row r="97">
      <c r="A97" s="3" t="inlineStr">
        <is>
          <t>VULN-0093</t>
        </is>
      </c>
      <c r="B97" s="13" t="n"/>
      <c r="C97" s="13" t="n"/>
      <c r="D97" s="13" t="n"/>
      <c r="E97" s="13" t="n"/>
      <c r="F97" s="13" t="n"/>
      <c r="G97" s="13" t="n"/>
      <c r="H97" s="13" t="n"/>
      <c r="I97" s="13" t="n"/>
      <c r="J97" s="13">
        <f>IF(E97="🔴 Critical",IF(I97-F97&lt;=7,"✅ Met","❌ Missed"),IF(E97="🟠 High",IF(I97-F97&lt;=30,"✅ Met","❌ Missed"),"N/A"))</f>
        <v/>
      </c>
      <c r="K97" s="13" t="n"/>
    </row>
    <row r="98">
      <c r="A98" s="3" t="inlineStr">
        <is>
          <t>VULN-0094</t>
        </is>
      </c>
      <c r="B98" s="13" t="n"/>
      <c r="C98" s="13" t="n"/>
      <c r="D98" s="13" t="n"/>
      <c r="E98" s="13" t="n"/>
      <c r="F98" s="13" t="n"/>
      <c r="G98" s="13" t="n"/>
      <c r="H98" s="13" t="n"/>
      <c r="I98" s="13" t="n"/>
      <c r="J98" s="13">
        <f>IF(E98="🔴 Critical",IF(I98-F98&lt;=7,"✅ Met","❌ Missed"),IF(E98="🟠 High",IF(I98-F98&lt;=30,"✅ Met","❌ Missed"),"N/A"))</f>
        <v/>
      </c>
      <c r="K98" s="13" t="n"/>
    </row>
    <row r="99">
      <c r="A99" s="3" t="inlineStr">
        <is>
          <t>VULN-0095</t>
        </is>
      </c>
      <c r="B99" s="13" t="n"/>
      <c r="C99" s="13" t="n"/>
      <c r="D99" s="13" t="n"/>
      <c r="E99" s="13" t="n"/>
      <c r="F99" s="13" t="n"/>
      <c r="G99" s="13" t="n"/>
      <c r="H99" s="13" t="n"/>
      <c r="I99" s="13" t="n"/>
      <c r="J99" s="13">
        <f>IF(E99="🔴 Critical",IF(I99-F99&lt;=7,"✅ Met","❌ Missed"),IF(E99="🟠 High",IF(I99-F99&lt;=30,"✅ Met","❌ Missed"),"N/A"))</f>
        <v/>
      </c>
      <c r="K99" s="13" t="n"/>
    </row>
    <row r="100">
      <c r="A100" s="3" t="inlineStr">
        <is>
          <t>VULN-0096</t>
        </is>
      </c>
      <c r="B100" s="13" t="n"/>
      <c r="C100" s="13" t="n"/>
      <c r="D100" s="13" t="n"/>
      <c r="E100" s="13" t="n"/>
      <c r="F100" s="13" t="n"/>
      <c r="G100" s="13" t="n"/>
      <c r="H100" s="13" t="n"/>
      <c r="I100" s="13" t="n"/>
      <c r="J100" s="13">
        <f>IF(E100="🔴 Critical",IF(I100-F100&lt;=7,"✅ Met","❌ Missed"),IF(E100="🟠 High",IF(I100-F100&lt;=30,"✅ Met","❌ Missed"),"N/A"))</f>
        <v/>
      </c>
      <c r="K100" s="13" t="n"/>
    </row>
    <row r="101">
      <c r="A101" s="3" t="inlineStr">
        <is>
          <t>VULN-0097</t>
        </is>
      </c>
      <c r="B101" s="13" t="n"/>
      <c r="C101" s="13" t="n"/>
      <c r="D101" s="13" t="n"/>
      <c r="E101" s="13" t="n"/>
      <c r="F101" s="13" t="n"/>
      <c r="G101" s="13" t="n"/>
      <c r="H101" s="13" t="n"/>
      <c r="I101" s="13" t="n"/>
      <c r="J101" s="13">
        <f>IF(E101="🔴 Critical",IF(I101-F101&lt;=7,"✅ Met","❌ Missed"),IF(E101="🟠 High",IF(I101-F101&lt;=30,"✅ Met","❌ Missed"),"N/A"))</f>
        <v/>
      </c>
      <c r="K101" s="13" t="n"/>
    </row>
    <row r="102">
      <c r="A102" s="3" t="inlineStr">
        <is>
          <t>VULN-0098</t>
        </is>
      </c>
      <c r="B102" s="13" t="n"/>
      <c r="C102" s="13" t="n"/>
      <c r="D102" s="13" t="n"/>
      <c r="E102" s="13" t="n"/>
      <c r="F102" s="13" t="n"/>
      <c r="G102" s="13" t="n"/>
      <c r="H102" s="13" t="n"/>
      <c r="I102" s="13" t="n"/>
      <c r="J102" s="13">
        <f>IF(E102="🔴 Critical",IF(I102-F102&lt;=7,"✅ Met","❌ Missed"),IF(E102="🟠 High",IF(I102-F102&lt;=30,"✅ Met","❌ Missed"),"N/A"))</f>
        <v/>
      </c>
      <c r="K102" s="13" t="n"/>
    </row>
    <row r="103">
      <c r="A103" s="3" t="inlineStr">
        <is>
          <t>VULN-0099</t>
        </is>
      </c>
      <c r="B103" s="13" t="n"/>
      <c r="C103" s="13" t="n"/>
      <c r="D103" s="13" t="n"/>
      <c r="E103" s="13" t="n"/>
      <c r="F103" s="13" t="n"/>
      <c r="G103" s="13" t="n"/>
      <c r="H103" s="13" t="n"/>
      <c r="I103" s="13" t="n"/>
      <c r="J103" s="13">
        <f>IF(E103="🔴 Critical",IF(I103-F103&lt;=7,"✅ Met","❌ Missed"),IF(E103="🟠 High",IF(I103-F103&lt;=30,"✅ Met","❌ Missed"),"N/A"))</f>
        <v/>
      </c>
      <c r="K103" s="13" t="n"/>
    </row>
    <row r="104">
      <c r="A104" s="3" t="inlineStr">
        <is>
          <t>VULN-0100</t>
        </is>
      </c>
      <c r="B104" s="13" t="n"/>
      <c r="C104" s="13" t="n"/>
      <c r="D104" s="13" t="n"/>
      <c r="E104" s="13" t="n"/>
      <c r="F104" s="13" t="n"/>
      <c r="G104" s="13" t="n"/>
      <c r="H104" s="13" t="n"/>
      <c r="I104" s="13" t="n"/>
      <c r="J104" s="13">
        <f>IF(E104="🔴 Critical",IF(I104-F104&lt;=7,"✅ Met","❌ Missed"),IF(E104="🟠 High",IF(I104-F104&lt;=30,"✅ Met","❌ Missed"),"N/A"))</f>
        <v/>
      </c>
      <c r="K104" s="13" t="n"/>
    </row>
    <row r="107">
      <c r="A107" s="2" t="inlineStr">
        <is>
          <t>📊 VULNERABILITY SUMMARY</t>
        </is>
      </c>
    </row>
    <row r="108">
      <c r="A108" t="inlineStr">
        <is>
          <t>Total Vulnerabilities:</t>
        </is>
      </c>
      <c r="B108">
        <f>COUNTA(B5:B104)</f>
        <v/>
      </c>
    </row>
    <row r="109">
      <c r="A109" t="inlineStr">
        <is>
          <t>🔴 Critical:</t>
        </is>
      </c>
      <c r="B109">
        <f>COUNTIF(E5:E104,"🔴 Critical")</f>
        <v/>
      </c>
    </row>
    <row r="110">
      <c r="A110" t="inlineStr">
        <is>
          <t>✅ Patched:</t>
        </is>
      </c>
      <c r="B110">
        <f>COUNTIF(H5:H104,"✅ Patched")</f>
        <v/>
      </c>
    </row>
    <row r="111">
      <c r="A111" t="inlineStr">
        <is>
          <t>SLA Compliance Rate:</t>
        </is>
      </c>
      <c r="B111">
        <f>IF(COUNTA(J5:J104)&gt;0,COUNTIF(J5:J104,"✅ Met")/COUNTA(J5:J104)*100,0)&amp;"%"</f>
        <v/>
      </c>
    </row>
  </sheetData>
  <mergeCells count="3">
    <mergeCell ref="A2:K2"/>
    <mergeCell ref="A1:K1"/>
    <mergeCell ref="A107:C107"/>
  </mergeCells>
  <dataValidations count="3">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"Yes,No"</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 Critical,🟠 High,🟡 Medium,🟢 Low,ℹ️ Informational"</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Patched,⏳ Pending,❌ Vulnerable,N/A"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1"/>
  <sheetViews>
    <sheetView workbookViewId="0">
      <selection activeCell="A1" sqref="A1"/>
    </sheetView>
  </sheetViews>
  <sheetFormatPr baseColWidth="8" defaultRowHeight="15"/>
  <cols>
    <col width="30" customWidth="1" min="1" max="1"/>
    <col width="20" customWidth="1" min="2" max="2"/>
    <col width="18" customWidth="1" min="3" max="3"/>
    <col width="18" customWidth="1" min="4" max="4"/>
    <col width="18" customWidth="1" min="5" max="5"/>
    <col width="18" customWidth="1" min="6" max="6"/>
    <col width="20" customWidth="1" min="7" max="7"/>
    <col width="15" customWidth="1" min="8" max="8"/>
    <col width="18" customWidth="1" min="9" max="9"/>
    <col width="30" customWidth="1" min="10" max="10"/>
  </cols>
  <sheetData>
    <row r="1">
      <c r="A1" s="1" t="inlineStr">
        <is>
          <t>SOFTWARE LICENSING COMPLIANCE</t>
        </is>
      </c>
    </row>
    <row r="2">
      <c r="A2" s="2" t="inlineStr">
        <is>
          <t>License counts vs. deployments, compliance status, cost management</t>
        </is>
      </c>
    </row>
    <row r="4">
      <c r="A4" s="5" t="inlineStr">
        <is>
          <t>Software Name</t>
        </is>
      </c>
      <c r="B4" s="5" t="inlineStr">
        <is>
          <t>Vendor</t>
        </is>
      </c>
      <c r="C4" s="5" t="inlineStr">
        <is>
          <t>License Type</t>
        </is>
      </c>
      <c r="D4" s="5" t="inlineStr">
        <is>
          <t>Licenses Purchased</t>
        </is>
      </c>
      <c r="E4" s="5" t="inlineStr">
        <is>
          <t>Licenses Deployed</t>
        </is>
      </c>
      <c r="F4" s="5" t="inlineStr">
        <is>
          <t>Licenses Available</t>
        </is>
      </c>
      <c r="G4" s="5" t="inlineStr">
        <is>
          <t>Compliance Status</t>
        </is>
      </c>
      <c r="H4" s="5" t="inlineStr">
        <is>
          <t>Annual Cost</t>
        </is>
      </c>
      <c r="I4" s="5" t="inlineStr">
        <is>
          <t>License Expiration</t>
        </is>
      </c>
      <c r="J4" s="5" t="inlineStr">
        <is>
          <t>Notes</t>
        </is>
      </c>
    </row>
    <row r="5">
      <c r="A5" s="13" t="n"/>
      <c r="B5" s="13" t="n"/>
      <c r="C5" s="13" t="n"/>
      <c r="D5" s="13" t="n"/>
      <c r="E5" s="13" t="n"/>
      <c r="F5" s="13">
        <f>D5-E5</f>
        <v/>
      </c>
      <c r="G5" s="13">
        <f>IF(E5&lt;=D5,"✅ Compliant",IF(E5&gt;D5,"⚠ Over-Deployed","❓ Unknown"))</f>
        <v/>
      </c>
      <c r="H5" s="13" t="n"/>
      <c r="I5" s="13" t="n"/>
      <c r="J5" s="13" t="n"/>
    </row>
    <row r="6">
      <c r="A6" s="13" t="n"/>
      <c r="B6" s="13" t="n"/>
      <c r="C6" s="13" t="n"/>
      <c r="D6" s="13" t="n"/>
      <c r="E6" s="13" t="n"/>
      <c r="F6" s="13">
        <f>D6-E6</f>
        <v/>
      </c>
      <c r="G6" s="13">
        <f>IF(E6&lt;=D6,"✅ Compliant",IF(E6&gt;D6,"⚠ Over-Deployed","❓ Unknown"))</f>
        <v/>
      </c>
      <c r="H6" s="13" t="n"/>
      <c r="I6" s="13" t="n"/>
      <c r="J6" s="13" t="n"/>
    </row>
    <row r="7">
      <c r="A7" s="13" t="n"/>
      <c r="B7" s="13" t="n"/>
      <c r="C7" s="13" t="n"/>
      <c r="D7" s="13" t="n"/>
      <c r="E7" s="13" t="n"/>
      <c r="F7" s="13">
        <f>D7-E7</f>
        <v/>
      </c>
      <c r="G7" s="13">
        <f>IF(E7&lt;=D7,"✅ Compliant",IF(E7&gt;D7,"⚠ Over-Deployed","❓ Unknown"))</f>
        <v/>
      </c>
      <c r="H7" s="13" t="n"/>
      <c r="I7" s="13" t="n"/>
      <c r="J7" s="13" t="n"/>
    </row>
    <row r="8">
      <c r="A8" s="13" t="n"/>
      <c r="B8" s="13" t="n"/>
      <c r="C8" s="13" t="n"/>
      <c r="D8" s="13" t="n"/>
      <c r="E8" s="13" t="n"/>
      <c r="F8" s="13">
        <f>D8-E8</f>
        <v/>
      </c>
      <c r="G8" s="13">
        <f>IF(E8&lt;=D8,"✅ Compliant",IF(E8&gt;D8,"⚠ Over-Deployed","❓ Unknown"))</f>
        <v/>
      </c>
      <c r="H8" s="13" t="n"/>
      <c r="I8" s="13" t="n"/>
      <c r="J8" s="13" t="n"/>
    </row>
    <row r="9">
      <c r="A9" s="13" t="n"/>
      <c r="B9" s="13" t="n"/>
      <c r="C9" s="13" t="n"/>
      <c r="D9" s="13" t="n"/>
      <c r="E9" s="13" t="n"/>
      <c r="F9" s="13">
        <f>D9-E9</f>
        <v/>
      </c>
      <c r="G9" s="13">
        <f>IF(E9&lt;=D9,"✅ Compliant",IF(E9&gt;D9,"⚠ Over-Deployed","❓ Unknown"))</f>
        <v/>
      </c>
      <c r="H9" s="13" t="n"/>
      <c r="I9" s="13" t="n"/>
      <c r="J9" s="13" t="n"/>
    </row>
    <row r="10">
      <c r="A10" s="13" t="n"/>
      <c r="B10" s="13" t="n"/>
      <c r="C10" s="13" t="n"/>
      <c r="D10" s="13" t="n"/>
      <c r="E10" s="13" t="n"/>
      <c r="F10" s="13">
        <f>D10-E10</f>
        <v/>
      </c>
      <c r="G10" s="13">
        <f>IF(E10&lt;=D10,"✅ Compliant",IF(E10&gt;D10,"⚠ Over-Deployed","❓ Unknown"))</f>
        <v/>
      </c>
      <c r="H10" s="13" t="n"/>
      <c r="I10" s="13" t="n"/>
      <c r="J10" s="13" t="n"/>
    </row>
    <row r="11">
      <c r="A11" s="13" t="n"/>
      <c r="B11" s="13" t="n"/>
      <c r="C11" s="13" t="n"/>
      <c r="D11" s="13" t="n"/>
      <c r="E11" s="13" t="n"/>
      <c r="F11" s="13">
        <f>D11-E11</f>
        <v/>
      </c>
      <c r="G11" s="13">
        <f>IF(E11&lt;=D11,"✅ Compliant",IF(E11&gt;D11,"⚠ Over-Deployed","❓ Unknown"))</f>
        <v/>
      </c>
      <c r="H11" s="13" t="n"/>
      <c r="I11" s="13" t="n"/>
      <c r="J11" s="13" t="n"/>
    </row>
    <row r="12">
      <c r="A12" s="13" t="n"/>
      <c r="B12" s="13" t="n"/>
      <c r="C12" s="13" t="n"/>
      <c r="D12" s="13" t="n"/>
      <c r="E12" s="13" t="n"/>
      <c r="F12" s="13">
        <f>D12-E12</f>
        <v/>
      </c>
      <c r="G12" s="13">
        <f>IF(E12&lt;=D12,"✅ Compliant",IF(E12&gt;D12,"⚠ Over-Deployed","❓ Unknown"))</f>
        <v/>
      </c>
      <c r="H12" s="13" t="n"/>
      <c r="I12" s="13" t="n"/>
      <c r="J12" s="13" t="n"/>
    </row>
    <row r="13">
      <c r="A13" s="13" t="n"/>
      <c r="B13" s="13" t="n"/>
      <c r="C13" s="13" t="n"/>
      <c r="D13" s="13" t="n"/>
      <c r="E13" s="13" t="n"/>
      <c r="F13" s="13">
        <f>D13-E13</f>
        <v/>
      </c>
      <c r="G13" s="13">
        <f>IF(E13&lt;=D13,"✅ Compliant",IF(E13&gt;D13,"⚠ Over-Deployed","❓ Unknown"))</f>
        <v/>
      </c>
      <c r="H13" s="13" t="n"/>
      <c r="I13" s="13" t="n"/>
      <c r="J13" s="13" t="n"/>
    </row>
    <row r="14">
      <c r="A14" s="13" t="n"/>
      <c r="B14" s="13" t="n"/>
      <c r="C14" s="13" t="n"/>
      <c r="D14" s="13" t="n"/>
      <c r="E14" s="13" t="n"/>
      <c r="F14" s="13">
        <f>D14-E14</f>
        <v/>
      </c>
      <c r="G14" s="13">
        <f>IF(E14&lt;=D14,"✅ Compliant",IF(E14&gt;D14,"⚠ Over-Deployed","❓ Unknown"))</f>
        <v/>
      </c>
      <c r="H14" s="13" t="n"/>
      <c r="I14" s="13" t="n"/>
      <c r="J14" s="13" t="n"/>
    </row>
    <row r="15">
      <c r="A15" s="13" t="n"/>
      <c r="B15" s="13" t="n"/>
      <c r="C15" s="13" t="n"/>
      <c r="D15" s="13" t="n"/>
      <c r="E15" s="13" t="n"/>
      <c r="F15" s="13">
        <f>D15-E15</f>
        <v/>
      </c>
      <c r="G15" s="13">
        <f>IF(E15&lt;=D15,"✅ Compliant",IF(E15&gt;D15,"⚠ Over-Deployed","❓ Unknown"))</f>
        <v/>
      </c>
      <c r="H15" s="13" t="n"/>
      <c r="I15" s="13" t="n"/>
      <c r="J15" s="13" t="n"/>
    </row>
    <row r="16">
      <c r="A16" s="13" t="n"/>
      <c r="B16" s="13" t="n"/>
      <c r="C16" s="13" t="n"/>
      <c r="D16" s="13" t="n"/>
      <c r="E16" s="13" t="n"/>
      <c r="F16" s="13">
        <f>D16-E16</f>
        <v/>
      </c>
      <c r="G16" s="13">
        <f>IF(E16&lt;=D16,"✅ Compliant",IF(E16&gt;D16,"⚠ Over-Deployed","❓ Unknown"))</f>
        <v/>
      </c>
      <c r="H16" s="13" t="n"/>
      <c r="I16" s="13" t="n"/>
      <c r="J16" s="13" t="n"/>
    </row>
    <row r="17">
      <c r="A17" s="13" t="n"/>
      <c r="B17" s="13" t="n"/>
      <c r="C17" s="13" t="n"/>
      <c r="D17" s="13" t="n"/>
      <c r="E17" s="13" t="n"/>
      <c r="F17" s="13">
        <f>D17-E17</f>
        <v/>
      </c>
      <c r="G17" s="13">
        <f>IF(E17&lt;=D17,"✅ Compliant",IF(E17&gt;D17,"⚠ Over-Deployed","❓ Unknown"))</f>
        <v/>
      </c>
      <c r="H17" s="13" t="n"/>
      <c r="I17" s="13" t="n"/>
      <c r="J17" s="13" t="n"/>
    </row>
    <row r="18">
      <c r="A18" s="13" t="n"/>
      <c r="B18" s="13" t="n"/>
      <c r="C18" s="13" t="n"/>
      <c r="D18" s="13" t="n"/>
      <c r="E18" s="13" t="n"/>
      <c r="F18" s="13">
        <f>D18-E18</f>
        <v/>
      </c>
      <c r="G18" s="13">
        <f>IF(E18&lt;=D18,"✅ Compliant",IF(E18&gt;D18,"⚠ Over-Deployed","❓ Unknown"))</f>
        <v/>
      </c>
      <c r="H18" s="13" t="n"/>
      <c r="I18" s="13" t="n"/>
      <c r="J18" s="13" t="n"/>
    </row>
    <row r="19">
      <c r="A19" s="13" t="n"/>
      <c r="B19" s="13" t="n"/>
      <c r="C19" s="13" t="n"/>
      <c r="D19" s="13" t="n"/>
      <c r="E19" s="13" t="n"/>
      <c r="F19" s="13">
        <f>D19-E19</f>
        <v/>
      </c>
      <c r="G19" s="13">
        <f>IF(E19&lt;=D19,"✅ Compliant",IF(E19&gt;D19,"⚠ Over-Deployed","❓ Unknown"))</f>
        <v/>
      </c>
      <c r="H19" s="13" t="n"/>
      <c r="I19" s="13" t="n"/>
      <c r="J19" s="13" t="n"/>
    </row>
    <row r="20">
      <c r="A20" s="13" t="n"/>
      <c r="B20" s="13" t="n"/>
      <c r="C20" s="13" t="n"/>
      <c r="D20" s="13" t="n"/>
      <c r="E20" s="13" t="n"/>
      <c r="F20" s="13">
        <f>D20-E20</f>
        <v/>
      </c>
      <c r="G20" s="13">
        <f>IF(E20&lt;=D20,"✅ Compliant",IF(E20&gt;D20,"⚠ Over-Deployed","❓ Unknown"))</f>
        <v/>
      </c>
      <c r="H20" s="13" t="n"/>
      <c r="I20" s="13" t="n"/>
      <c r="J20" s="13" t="n"/>
    </row>
    <row r="21">
      <c r="A21" s="13" t="n"/>
      <c r="B21" s="13" t="n"/>
      <c r="C21" s="13" t="n"/>
      <c r="D21" s="13" t="n"/>
      <c r="E21" s="13" t="n"/>
      <c r="F21" s="13">
        <f>D21-E21</f>
        <v/>
      </c>
      <c r="G21" s="13">
        <f>IF(E21&lt;=D21,"✅ Compliant",IF(E21&gt;D21,"⚠ Over-Deployed","❓ Unknown"))</f>
        <v/>
      </c>
      <c r="H21" s="13" t="n"/>
      <c r="I21" s="13" t="n"/>
      <c r="J21" s="13" t="n"/>
    </row>
    <row r="22">
      <c r="A22" s="13" t="n"/>
      <c r="B22" s="13" t="n"/>
      <c r="C22" s="13" t="n"/>
      <c r="D22" s="13" t="n"/>
      <c r="E22" s="13" t="n"/>
      <c r="F22" s="13">
        <f>D22-E22</f>
        <v/>
      </c>
      <c r="G22" s="13">
        <f>IF(E22&lt;=D22,"✅ Compliant",IF(E22&gt;D22,"⚠ Over-Deployed","❓ Unknown"))</f>
        <v/>
      </c>
      <c r="H22" s="13" t="n"/>
      <c r="I22" s="13" t="n"/>
      <c r="J22" s="13" t="n"/>
    </row>
    <row r="23">
      <c r="A23" s="13" t="n"/>
      <c r="B23" s="13" t="n"/>
      <c r="C23" s="13" t="n"/>
      <c r="D23" s="13" t="n"/>
      <c r="E23" s="13" t="n"/>
      <c r="F23" s="13">
        <f>D23-E23</f>
        <v/>
      </c>
      <c r="G23" s="13">
        <f>IF(E23&lt;=D23,"✅ Compliant",IF(E23&gt;D23,"⚠ Over-Deployed","❓ Unknown"))</f>
        <v/>
      </c>
      <c r="H23" s="13" t="n"/>
      <c r="I23" s="13" t="n"/>
      <c r="J23" s="13" t="n"/>
    </row>
    <row r="24">
      <c r="A24" s="13" t="n"/>
      <c r="B24" s="13" t="n"/>
      <c r="C24" s="13" t="n"/>
      <c r="D24" s="13" t="n"/>
      <c r="E24" s="13" t="n"/>
      <c r="F24" s="13">
        <f>D24-E24</f>
        <v/>
      </c>
      <c r="G24" s="13">
        <f>IF(E24&lt;=D24,"✅ Compliant",IF(E24&gt;D24,"⚠ Over-Deployed","❓ Unknown"))</f>
        <v/>
      </c>
      <c r="H24" s="13" t="n"/>
      <c r="I24" s="13" t="n"/>
      <c r="J24" s="13" t="n"/>
    </row>
    <row r="25">
      <c r="A25" s="13" t="n"/>
      <c r="B25" s="13" t="n"/>
      <c r="C25" s="13" t="n"/>
      <c r="D25" s="13" t="n"/>
      <c r="E25" s="13" t="n"/>
      <c r="F25" s="13">
        <f>D25-E25</f>
        <v/>
      </c>
      <c r="G25" s="13">
        <f>IF(E25&lt;=D25,"✅ Compliant",IF(E25&gt;D25,"⚠ Over-Deployed","❓ Unknown"))</f>
        <v/>
      </c>
      <c r="H25" s="13" t="n"/>
      <c r="I25" s="13" t="n"/>
      <c r="J25" s="13" t="n"/>
    </row>
    <row r="26">
      <c r="A26" s="13" t="n"/>
      <c r="B26" s="13" t="n"/>
      <c r="C26" s="13" t="n"/>
      <c r="D26" s="13" t="n"/>
      <c r="E26" s="13" t="n"/>
      <c r="F26" s="13">
        <f>D26-E26</f>
        <v/>
      </c>
      <c r="G26" s="13">
        <f>IF(E26&lt;=D26,"✅ Compliant",IF(E26&gt;D26,"⚠ Over-Deployed","❓ Unknown"))</f>
        <v/>
      </c>
      <c r="H26" s="13" t="n"/>
      <c r="I26" s="13" t="n"/>
      <c r="J26" s="13" t="n"/>
    </row>
    <row r="27">
      <c r="A27" s="13" t="n"/>
      <c r="B27" s="13" t="n"/>
      <c r="C27" s="13" t="n"/>
      <c r="D27" s="13" t="n"/>
      <c r="E27" s="13" t="n"/>
      <c r="F27" s="13">
        <f>D27-E27</f>
        <v/>
      </c>
      <c r="G27" s="13">
        <f>IF(E27&lt;=D27,"✅ Compliant",IF(E27&gt;D27,"⚠ Over-Deployed","❓ Unknown"))</f>
        <v/>
      </c>
      <c r="H27" s="13" t="n"/>
      <c r="I27" s="13" t="n"/>
      <c r="J27" s="13" t="n"/>
    </row>
    <row r="28">
      <c r="A28" s="13" t="n"/>
      <c r="B28" s="13" t="n"/>
      <c r="C28" s="13" t="n"/>
      <c r="D28" s="13" t="n"/>
      <c r="E28" s="13" t="n"/>
      <c r="F28" s="13">
        <f>D28-E28</f>
        <v/>
      </c>
      <c r="G28" s="13">
        <f>IF(E28&lt;=D28,"✅ Compliant",IF(E28&gt;D28,"⚠ Over-Deployed","❓ Unknown"))</f>
        <v/>
      </c>
      <c r="H28" s="13" t="n"/>
      <c r="I28" s="13" t="n"/>
      <c r="J28" s="13" t="n"/>
    </row>
    <row r="29">
      <c r="A29" s="13" t="n"/>
      <c r="B29" s="13" t="n"/>
      <c r="C29" s="13" t="n"/>
      <c r="D29" s="13" t="n"/>
      <c r="E29" s="13" t="n"/>
      <c r="F29" s="13">
        <f>D29-E29</f>
        <v/>
      </c>
      <c r="G29" s="13">
        <f>IF(E29&lt;=D29,"✅ Compliant",IF(E29&gt;D29,"⚠ Over-Deployed","❓ Unknown"))</f>
        <v/>
      </c>
      <c r="H29" s="13" t="n"/>
      <c r="I29" s="13" t="n"/>
      <c r="J29" s="13" t="n"/>
    </row>
    <row r="30">
      <c r="A30" s="13" t="n"/>
      <c r="B30" s="13" t="n"/>
      <c r="C30" s="13" t="n"/>
      <c r="D30" s="13" t="n"/>
      <c r="E30" s="13" t="n"/>
      <c r="F30" s="13">
        <f>D30-E30</f>
        <v/>
      </c>
      <c r="G30" s="13">
        <f>IF(E30&lt;=D30,"✅ Compliant",IF(E30&gt;D30,"⚠ Over-Deployed","❓ Unknown"))</f>
        <v/>
      </c>
      <c r="H30" s="13" t="n"/>
      <c r="I30" s="13" t="n"/>
      <c r="J30" s="13" t="n"/>
    </row>
    <row r="31">
      <c r="A31" s="13" t="n"/>
      <c r="B31" s="13" t="n"/>
      <c r="C31" s="13" t="n"/>
      <c r="D31" s="13" t="n"/>
      <c r="E31" s="13" t="n"/>
      <c r="F31" s="13">
        <f>D31-E31</f>
        <v/>
      </c>
      <c r="G31" s="13">
        <f>IF(E31&lt;=D31,"✅ Compliant",IF(E31&gt;D31,"⚠ Over-Deployed","❓ Unknown"))</f>
        <v/>
      </c>
      <c r="H31" s="13" t="n"/>
      <c r="I31" s="13" t="n"/>
      <c r="J31" s="13" t="n"/>
    </row>
    <row r="32">
      <c r="A32" s="13" t="n"/>
      <c r="B32" s="13" t="n"/>
      <c r="C32" s="13" t="n"/>
      <c r="D32" s="13" t="n"/>
      <c r="E32" s="13" t="n"/>
      <c r="F32" s="13">
        <f>D32-E32</f>
        <v/>
      </c>
      <c r="G32" s="13">
        <f>IF(E32&lt;=D32,"✅ Compliant",IF(E32&gt;D32,"⚠ Over-Deployed","❓ Unknown"))</f>
        <v/>
      </c>
      <c r="H32" s="13" t="n"/>
      <c r="I32" s="13" t="n"/>
      <c r="J32" s="13" t="n"/>
    </row>
    <row r="33">
      <c r="A33" s="13" t="n"/>
      <c r="B33" s="13" t="n"/>
      <c r="C33" s="13" t="n"/>
      <c r="D33" s="13" t="n"/>
      <c r="E33" s="13" t="n"/>
      <c r="F33" s="13">
        <f>D33-E33</f>
        <v/>
      </c>
      <c r="G33" s="13">
        <f>IF(E33&lt;=D33,"✅ Compliant",IF(E33&gt;D33,"⚠ Over-Deployed","❓ Unknown"))</f>
        <v/>
      </c>
      <c r="H33" s="13" t="n"/>
      <c r="I33" s="13" t="n"/>
      <c r="J33" s="13" t="n"/>
    </row>
    <row r="34">
      <c r="A34" s="13" t="n"/>
      <c r="B34" s="13" t="n"/>
      <c r="C34" s="13" t="n"/>
      <c r="D34" s="13" t="n"/>
      <c r="E34" s="13" t="n"/>
      <c r="F34" s="13">
        <f>D34-E34</f>
        <v/>
      </c>
      <c r="G34" s="13">
        <f>IF(E34&lt;=D34,"✅ Compliant",IF(E34&gt;D34,"⚠ Over-Deployed","❓ Unknown"))</f>
        <v/>
      </c>
      <c r="H34" s="13" t="n"/>
      <c r="I34" s="13" t="n"/>
      <c r="J34" s="13" t="n"/>
    </row>
    <row r="35">
      <c r="A35" s="13" t="n"/>
      <c r="B35" s="13" t="n"/>
      <c r="C35" s="13" t="n"/>
      <c r="D35" s="13" t="n"/>
      <c r="E35" s="13" t="n"/>
      <c r="F35" s="13">
        <f>D35-E35</f>
        <v/>
      </c>
      <c r="G35" s="13">
        <f>IF(E35&lt;=D35,"✅ Compliant",IF(E35&gt;D35,"⚠ Over-Deployed","❓ Unknown"))</f>
        <v/>
      </c>
      <c r="H35" s="13" t="n"/>
      <c r="I35" s="13" t="n"/>
      <c r="J35" s="13" t="n"/>
    </row>
    <row r="36">
      <c r="A36" s="13" t="n"/>
      <c r="B36" s="13" t="n"/>
      <c r="C36" s="13" t="n"/>
      <c r="D36" s="13" t="n"/>
      <c r="E36" s="13" t="n"/>
      <c r="F36" s="13">
        <f>D36-E36</f>
        <v/>
      </c>
      <c r="G36" s="13">
        <f>IF(E36&lt;=D36,"✅ Compliant",IF(E36&gt;D36,"⚠ Over-Deployed","❓ Unknown"))</f>
        <v/>
      </c>
      <c r="H36" s="13" t="n"/>
      <c r="I36" s="13" t="n"/>
      <c r="J36" s="13" t="n"/>
    </row>
    <row r="37">
      <c r="A37" s="13" t="n"/>
      <c r="B37" s="13" t="n"/>
      <c r="C37" s="13" t="n"/>
      <c r="D37" s="13" t="n"/>
      <c r="E37" s="13" t="n"/>
      <c r="F37" s="13">
        <f>D37-E37</f>
        <v/>
      </c>
      <c r="G37" s="13">
        <f>IF(E37&lt;=D37,"✅ Compliant",IF(E37&gt;D37,"⚠ Over-Deployed","❓ Unknown"))</f>
        <v/>
      </c>
      <c r="H37" s="13" t="n"/>
      <c r="I37" s="13" t="n"/>
      <c r="J37" s="13" t="n"/>
    </row>
    <row r="38">
      <c r="A38" s="13" t="n"/>
      <c r="B38" s="13" t="n"/>
      <c r="C38" s="13" t="n"/>
      <c r="D38" s="13" t="n"/>
      <c r="E38" s="13" t="n"/>
      <c r="F38" s="13">
        <f>D38-E38</f>
        <v/>
      </c>
      <c r="G38" s="13">
        <f>IF(E38&lt;=D38,"✅ Compliant",IF(E38&gt;D38,"⚠ Over-Deployed","❓ Unknown"))</f>
        <v/>
      </c>
      <c r="H38" s="13" t="n"/>
      <c r="I38" s="13" t="n"/>
      <c r="J38" s="13" t="n"/>
    </row>
    <row r="39">
      <c r="A39" s="13" t="n"/>
      <c r="B39" s="13" t="n"/>
      <c r="C39" s="13" t="n"/>
      <c r="D39" s="13" t="n"/>
      <c r="E39" s="13" t="n"/>
      <c r="F39" s="13">
        <f>D39-E39</f>
        <v/>
      </c>
      <c r="G39" s="13">
        <f>IF(E39&lt;=D39,"✅ Compliant",IF(E39&gt;D39,"⚠ Over-Deployed","❓ Unknown"))</f>
        <v/>
      </c>
      <c r="H39" s="13" t="n"/>
      <c r="I39" s="13" t="n"/>
      <c r="J39" s="13" t="n"/>
    </row>
    <row r="40">
      <c r="A40" s="13" t="n"/>
      <c r="B40" s="13" t="n"/>
      <c r="C40" s="13" t="n"/>
      <c r="D40" s="13" t="n"/>
      <c r="E40" s="13" t="n"/>
      <c r="F40" s="13">
        <f>D40-E40</f>
        <v/>
      </c>
      <c r="G40" s="13">
        <f>IF(E40&lt;=D40,"✅ Compliant",IF(E40&gt;D40,"⚠ Over-Deployed","❓ Unknown"))</f>
        <v/>
      </c>
      <c r="H40" s="13" t="n"/>
      <c r="I40" s="13" t="n"/>
      <c r="J40" s="13" t="n"/>
    </row>
    <row r="41">
      <c r="A41" s="13" t="n"/>
      <c r="B41" s="13" t="n"/>
      <c r="C41" s="13" t="n"/>
      <c r="D41" s="13" t="n"/>
      <c r="E41" s="13" t="n"/>
      <c r="F41" s="13">
        <f>D41-E41</f>
        <v/>
      </c>
      <c r="G41" s="13">
        <f>IF(E41&lt;=D41,"✅ Compliant",IF(E41&gt;D41,"⚠ Over-Deployed","❓ Unknown"))</f>
        <v/>
      </c>
      <c r="H41" s="13" t="n"/>
      <c r="I41" s="13" t="n"/>
      <c r="J41" s="13" t="n"/>
    </row>
    <row r="42">
      <c r="A42" s="13" t="n"/>
      <c r="B42" s="13" t="n"/>
      <c r="C42" s="13" t="n"/>
      <c r="D42" s="13" t="n"/>
      <c r="E42" s="13" t="n"/>
      <c r="F42" s="13">
        <f>D42-E42</f>
        <v/>
      </c>
      <c r="G42" s="13">
        <f>IF(E42&lt;=D42,"✅ Compliant",IF(E42&gt;D42,"⚠ Over-Deployed","❓ Unknown"))</f>
        <v/>
      </c>
      <c r="H42" s="13" t="n"/>
      <c r="I42" s="13" t="n"/>
      <c r="J42" s="13" t="n"/>
    </row>
    <row r="43">
      <c r="A43" s="13" t="n"/>
      <c r="B43" s="13" t="n"/>
      <c r="C43" s="13" t="n"/>
      <c r="D43" s="13" t="n"/>
      <c r="E43" s="13" t="n"/>
      <c r="F43" s="13">
        <f>D43-E43</f>
        <v/>
      </c>
      <c r="G43" s="13">
        <f>IF(E43&lt;=D43,"✅ Compliant",IF(E43&gt;D43,"⚠ Over-Deployed","❓ Unknown"))</f>
        <v/>
      </c>
      <c r="H43" s="13" t="n"/>
      <c r="I43" s="13" t="n"/>
      <c r="J43" s="13" t="n"/>
    </row>
    <row r="44">
      <c r="A44" s="13" t="n"/>
      <c r="B44" s="13" t="n"/>
      <c r="C44" s="13" t="n"/>
      <c r="D44" s="13" t="n"/>
      <c r="E44" s="13" t="n"/>
      <c r="F44" s="13">
        <f>D44-E44</f>
        <v/>
      </c>
      <c r="G44" s="13">
        <f>IF(E44&lt;=D44,"✅ Compliant",IF(E44&gt;D44,"⚠ Over-Deployed","❓ Unknown"))</f>
        <v/>
      </c>
      <c r="H44" s="13" t="n"/>
      <c r="I44" s="13" t="n"/>
      <c r="J44" s="13" t="n"/>
    </row>
    <row r="45">
      <c r="A45" s="13" t="n"/>
      <c r="B45" s="13" t="n"/>
      <c r="C45" s="13" t="n"/>
      <c r="D45" s="13" t="n"/>
      <c r="E45" s="13" t="n"/>
      <c r="F45" s="13">
        <f>D45-E45</f>
        <v/>
      </c>
      <c r="G45" s="13">
        <f>IF(E45&lt;=D45,"✅ Compliant",IF(E45&gt;D45,"⚠ Over-Deployed","❓ Unknown"))</f>
        <v/>
      </c>
      <c r="H45" s="13" t="n"/>
      <c r="I45" s="13" t="n"/>
      <c r="J45" s="13" t="n"/>
    </row>
    <row r="46">
      <c r="A46" s="13" t="n"/>
      <c r="B46" s="13" t="n"/>
      <c r="C46" s="13" t="n"/>
      <c r="D46" s="13" t="n"/>
      <c r="E46" s="13" t="n"/>
      <c r="F46" s="13">
        <f>D46-E46</f>
        <v/>
      </c>
      <c r="G46" s="13">
        <f>IF(E46&lt;=D46,"✅ Compliant",IF(E46&gt;D46,"⚠ Over-Deployed","❓ Unknown"))</f>
        <v/>
      </c>
      <c r="H46" s="13" t="n"/>
      <c r="I46" s="13" t="n"/>
      <c r="J46" s="13" t="n"/>
    </row>
    <row r="47">
      <c r="A47" s="13" t="n"/>
      <c r="B47" s="13" t="n"/>
      <c r="C47" s="13" t="n"/>
      <c r="D47" s="13" t="n"/>
      <c r="E47" s="13" t="n"/>
      <c r="F47" s="13">
        <f>D47-E47</f>
        <v/>
      </c>
      <c r="G47" s="13">
        <f>IF(E47&lt;=D47,"✅ Compliant",IF(E47&gt;D47,"⚠ Over-Deployed","❓ Unknown"))</f>
        <v/>
      </c>
      <c r="H47" s="13" t="n"/>
      <c r="I47" s="13" t="n"/>
      <c r="J47" s="13" t="n"/>
    </row>
    <row r="48">
      <c r="A48" s="13" t="n"/>
      <c r="B48" s="13" t="n"/>
      <c r="C48" s="13" t="n"/>
      <c r="D48" s="13" t="n"/>
      <c r="E48" s="13" t="n"/>
      <c r="F48" s="13">
        <f>D48-E48</f>
        <v/>
      </c>
      <c r="G48" s="13">
        <f>IF(E48&lt;=D48,"✅ Compliant",IF(E48&gt;D48,"⚠ Over-Deployed","❓ Unknown"))</f>
        <v/>
      </c>
      <c r="H48" s="13" t="n"/>
      <c r="I48" s="13" t="n"/>
      <c r="J48" s="13" t="n"/>
    </row>
    <row r="49">
      <c r="A49" s="13" t="n"/>
      <c r="B49" s="13" t="n"/>
      <c r="C49" s="13" t="n"/>
      <c r="D49" s="13" t="n"/>
      <c r="E49" s="13" t="n"/>
      <c r="F49" s="13">
        <f>D49-E49</f>
        <v/>
      </c>
      <c r="G49" s="13">
        <f>IF(E49&lt;=D49,"✅ Compliant",IF(E49&gt;D49,"⚠ Over-Deployed","❓ Unknown"))</f>
        <v/>
      </c>
      <c r="H49" s="13" t="n"/>
      <c r="I49" s="13" t="n"/>
      <c r="J49" s="13" t="n"/>
    </row>
    <row r="50">
      <c r="A50" s="13" t="n"/>
      <c r="B50" s="13" t="n"/>
      <c r="C50" s="13" t="n"/>
      <c r="D50" s="13" t="n"/>
      <c r="E50" s="13" t="n"/>
      <c r="F50" s="13">
        <f>D50-E50</f>
        <v/>
      </c>
      <c r="G50" s="13">
        <f>IF(E50&lt;=D50,"✅ Compliant",IF(E50&gt;D50,"⚠ Over-Deployed","❓ Unknown"))</f>
        <v/>
      </c>
      <c r="H50" s="13" t="n"/>
      <c r="I50" s="13" t="n"/>
      <c r="J50" s="13" t="n"/>
    </row>
    <row r="51">
      <c r="A51" s="13" t="n"/>
      <c r="B51" s="13" t="n"/>
      <c r="C51" s="13" t="n"/>
      <c r="D51" s="13" t="n"/>
      <c r="E51" s="13" t="n"/>
      <c r="F51" s="13">
        <f>D51-E51</f>
        <v/>
      </c>
      <c r="G51" s="13">
        <f>IF(E51&lt;=D51,"✅ Compliant",IF(E51&gt;D51,"⚠ Over-Deployed","❓ Unknown"))</f>
        <v/>
      </c>
      <c r="H51" s="13" t="n"/>
      <c r="I51" s="13" t="n"/>
      <c r="J51" s="13" t="n"/>
    </row>
    <row r="52">
      <c r="A52" s="13" t="n"/>
      <c r="B52" s="13" t="n"/>
      <c r="C52" s="13" t="n"/>
      <c r="D52" s="13" t="n"/>
      <c r="E52" s="13" t="n"/>
      <c r="F52" s="13">
        <f>D52-E52</f>
        <v/>
      </c>
      <c r="G52" s="13">
        <f>IF(E52&lt;=D52,"✅ Compliant",IF(E52&gt;D52,"⚠ Over-Deployed","❓ Unknown"))</f>
        <v/>
      </c>
      <c r="H52" s="13" t="n"/>
      <c r="I52" s="13" t="n"/>
      <c r="J52" s="13" t="n"/>
    </row>
    <row r="53">
      <c r="A53" s="13" t="n"/>
      <c r="B53" s="13" t="n"/>
      <c r="C53" s="13" t="n"/>
      <c r="D53" s="13" t="n"/>
      <c r="E53" s="13" t="n"/>
      <c r="F53" s="13">
        <f>D53-E53</f>
        <v/>
      </c>
      <c r="G53" s="13">
        <f>IF(E53&lt;=D53,"✅ Compliant",IF(E53&gt;D53,"⚠ Over-Deployed","❓ Unknown"))</f>
        <v/>
      </c>
      <c r="H53" s="13" t="n"/>
      <c r="I53" s="13" t="n"/>
      <c r="J53" s="13" t="n"/>
    </row>
    <row r="54">
      <c r="A54" s="13" t="n"/>
      <c r="B54" s="13" t="n"/>
      <c r="C54" s="13" t="n"/>
      <c r="D54" s="13" t="n"/>
      <c r="E54" s="13" t="n"/>
      <c r="F54" s="13">
        <f>D54-E54</f>
        <v/>
      </c>
      <c r="G54" s="13">
        <f>IF(E54&lt;=D54,"✅ Compliant",IF(E54&gt;D54,"⚠ Over-Deployed","❓ Unknown"))</f>
        <v/>
      </c>
      <c r="H54" s="13" t="n"/>
      <c r="I54" s="13" t="n"/>
      <c r="J54" s="13" t="n"/>
    </row>
    <row r="55">
      <c r="A55" s="13" t="n"/>
      <c r="B55" s="13" t="n"/>
      <c r="C55" s="13" t="n"/>
      <c r="D55" s="13" t="n"/>
      <c r="E55" s="13" t="n"/>
      <c r="F55" s="13">
        <f>D55-E55</f>
        <v/>
      </c>
      <c r="G55" s="13">
        <f>IF(E55&lt;=D55,"✅ Compliant",IF(E55&gt;D55,"⚠ Over-Deployed","❓ Unknown"))</f>
        <v/>
      </c>
      <c r="H55" s="13" t="n"/>
      <c r="I55" s="13" t="n"/>
      <c r="J55" s="13" t="n"/>
    </row>
    <row r="56">
      <c r="A56" s="13" t="n"/>
      <c r="B56" s="13" t="n"/>
      <c r="C56" s="13" t="n"/>
      <c r="D56" s="13" t="n"/>
      <c r="E56" s="13" t="n"/>
      <c r="F56" s="13">
        <f>D56-E56</f>
        <v/>
      </c>
      <c r="G56" s="13">
        <f>IF(E56&lt;=D56,"✅ Compliant",IF(E56&gt;D56,"⚠ Over-Deployed","❓ Unknown"))</f>
        <v/>
      </c>
      <c r="H56" s="13" t="n"/>
      <c r="I56" s="13" t="n"/>
      <c r="J56" s="13" t="n"/>
    </row>
    <row r="57">
      <c r="A57" s="13" t="n"/>
      <c r="B57" s="13" t="n"/>
      <c r="C57" s="13" t="n"/>
      <c r="D57" s="13" t="n"/>
      <c r="E57" s="13" t="n"/>
      <c r="F57" s="13">
        <f>D57-E57</f>
        <v/>
      </c>
      <c r="G57" s="13">
        <f>IF(E57&lt;=D57,"✅ Compliant",IF(E57&gt;D57,"⚠ Over-Deployed","❓ Unknown"))</f>
        <v/>
      </c>
      <c r="H57" s="13" t="n"/>
      <c r="I57" s="13" t="n"/>
      <c r="J57" s="13" t="n"/>
    </row>
    <row r="58">
      <c r="A58" s="13" t="n"/>
      <c r="B58" s="13" t="n"/>
      <c r="C58" s="13" t="n"/>
      <c r="D58" s="13" t="n"/>
      <c r="E58" s="13" t="n"/>
      <c r="F58" s="13">
        <f>D58-E58</f>
        <v/>
      </c>
      <c r="G58" s="13">
        <f>IF(E58&lt;=D58,"✅ Compliant",IF(E58&gt;D58,"⚠ Over-Deployed","❓ Unknown"))</f>
        <v/>
      </c>
      <c r="H58" s="13" t="n"/>
      <c r="I58" s="13" t="n"/>
      <c r="J58" s="13" t="n"/>
    </row>
    <row r="59">
      <c r="A59" s="13" t="n"/>
      <c r="B59" s="13" t="n"/>
      <c r="C59" s="13" t="n"/>
      <c r="D59" s="13" t="n"/>
      <c r="E59" s="13" t="n"/>
      <c r="F59" s="13">
        <f>D59-E59</f>
        <v/>
      </c>
      <c r="G59" s="13">
        <f>IF(E59&lt;=D59,"✅ Compliant",IF(E59&gt;D59,"⚠ Over-Deployed","❓ Unknown"))</f>
        <v/>
      </c>
      <c r="H59" s="13" t="n"/>
      <c r="I59" s="13" t="n"/>
      <c r="J59" s="13" t="n"/>
    </row>
    <row r="60">
      <c r="A60" s="13" t="n"/>
      <c r="B60" s="13" t="n"/>
      <c r="C60" s="13" t="n"/>
      <c r="D60" s="13" t="n"/>
      <c r="E60" s="13" t="n"/>
      <c r="F60" s="13">
        <f>D60-E60</f>
        <v/>
      </c>
      <c r="G60" s="13">
        <f>IF(E60&lt;=D60,"✅ Compliant",IF(E60&gt;D60,"⚠ Over-Deployed","❓ Unknown"))</f>
        <v/>
      </c>
      <c r="H60" s="13" t="n"/>
      <c r="I60" s="13" t="n"/>
      <c r="J60" s="13" t="n"/>
    </row>
    <row r="61">
      <c r="A61" s="13" t="n"/>
      <c r="B61" s="13" t="n"/>
      <c r="C61" s="13" t="n"/>
      <c r="D61" s="13" t="n"/>
      <c r="E61" s="13" t="n"/>
      <c r="F61" s="13">
        <f>D61-E61</f>
        <v/>
      </c>
      <c r="G61" s="13">
        <f>IF(E61&lt;=D61,"✅ Compliant",IF(E61&gt;D61,"⚠ Over-Deployed","❓ Unknown"))</f>
        <v/>
      </c>
      <c r="H61" s="13" t="n"/>
      <c r="I61" s="13" t="n"/>
      <c r="J61" s="13" t="n"/>
    </row>
    <row r="62">
      <c r="A62" s="13" t="n"/>
      <c r="B62" s="13" t="n"/>
      <c r="C62" s="13" t="n"/>
      <c r="D62" s="13" t="n"/>
      <c r="E62" s="13" t="n"/>
      <c r="F62" s="13">
        <f>D62-E62</f>
        <v/>
      </c>
      <c r="G62" s="13">
        <f>IF(E62&lt;=D62,"✅ Compliant",IF(E62&gt;D62,"⚠ Over-Deployed","❓ Unknown"))</f>
        <v/>
      </c>
      <c r="H62" s="13" t="n"/>
      <c r="I62" s="13" t="n"/>
      <c r="J62" s="13" t="n"/>
    </row>
    <row r="63">
      <c r="A63" s="13" t="n"/>
      <c r="B63" s="13" t="n"/>
      <c r="C63" s="13" t="n"/>
      <c r="D63" s="13" t="n"/>
      <c r="E63" s="13" t="n"/>
      <c r="F63" s="13">
        <f>D63-E63</f>
        <v/>
      </c>
      <c r="G63" s="13">
        <f>IF(E63&lt;=D63,"✅ Compliant",IF(E63&gt;D63,"⚠ Over-Deployed","❓ Unknown"))</f>
        <v/>
      </c>
      <c r="H63" s="13" t="n"/>
      <c r="I63" s="13" t="n"/>
      <c r="J63" s="13" t="n"/>
    </row>
    <row r="64">
      <c r="A64" s="13" t="n"/>
      <c r="B64" s="13" t="n"/>
      <c r="C64" s="13" t="n"/>
      <c r="D64" s="13" t="n"/>
      <c r="E64" s="13" t="n"/>
      <c r="F64" s="13">
        <f>D64-E64</f>
        <v/>
      </c>
      <c r="G64" s="13">
        <f>IF(E64&lt;=D64,"✅ Compliant",IF(E64&gt;D64,"⚠ Over-Deployed","❓ Unknown"))</f>
        <v/>
      </c>
      <c r="H64" s="13" t="n"/>
      <c r="I64" s="13" t="n"/>
      <c r="J64" s="13" t="n"/>
    </row>
    <row r="65">
      <c r="A65" s="13" t="n"/>
      <c r="B65" s="13" t="n"/>
      <c r="C65" s="13" t="n"/>
      <c r="D65" s="13" t="n"/>
      <c r="E65" s="13" t="n"/>
      <c r="F65" s="13">
        <f>D65-E65</f>
        <v/>
      </c>
      <c r="G65" s="13">
        <f>IF(E65&lt;=D65,"✅ Compliant",IF(E65&gt;D65,"⚠ Over-Deployed","❓ Unknown"))</f>
        <v/>
      </c>
      <c r="H65" s="13" t="n"/>
      <c r="I65" s="13" t="n"/>
      <c r="J65" s="13" t="n"/>
    </row>
    <row r="66">
      <c r="A66" s="13" t="n"/>
      <c r="B66" s="13" t="n"/>
      <c r="C66" s="13" t="n"/>
      <c r="D66" s="13" t="n"/>
      <c r="E66" s="13" t="n"/>
      <c r="F66" s="13">
        <f>D66-E66</f>
        <v/>
      </c>
      <c r="G66" s="13">
        <f>IF(E66&lt;=D66,"✅ Compliant",IF(E66&gt;D66,"⚠ Over-Deployed","❓ Unknown"))</f>
        <v/>
      </c>
      <c r="H66" s="13" t="n"/>
      <c r="I66" s="13" t="n"/>
      <c r="J66" s="13" t="n"/>
    </row>
    <row r="67">
      <c r="A67" s="13" t="n"/>
      <c r="B67" s="13" t="n"/>
      <c r="C67" s="13" t="n"/>
      <c r="D67" s="13" t="n"/>
      <c r="E67" s="13" t="n"/>
      <c r="F67" s="13">
        <f>D67-E67</f>
        <v/>
      </c>
      <c r="G67" s="13">
        <f>IF(E67&lt;=D67,"✅ Compliant",IF(E67&gt;D67,"⚠ Over-Deployed","❓ Unknown"))</f>
        <v/>
      </c>
      <c r="H67" s="13" t="n"/>
      <c r="I67" s="13" t="n"/>
      <c r="J67" s="13" t="n"/>
    </row>
    <row r="68">
      <c r="A68" s="13" t="n"/>
      <c r="B68" s="13" t="n"/>
      <c r="C68" s="13" t="n"/>
      <c r="D68" s="13" t="n"/>
      <c r="E68" s="13" t="n"/>
      <c r="F68" s="13">
        <f>D68-E68</f>
        <v/>
      </c>
      <c r="G68" s="13">
        <f>IF(E68&lt;=D68,"✅ Compliant",IF(E68&gt;D68,"⚠ Over-Deployed","❓ Unknown"))</f>
        <v/>
      </c>
      <c r="H68" s="13" t="n"/>
      <c r="I68" s="13" t="n"/>
      <c r="J68" s="13" t="n"/>
    </row>
    <row r="69">
      <c r="A69" s="13" t="n"/>
      <c r="B69" s="13" t="n"/>
      <c r="C69" s="13" t="n"/>
      <c r="D69" s="13" t="n"/>
      <c r="E69" s="13" t="n"/>
      <c r="F69" s="13">
        <f>D69-E69</f>
        <v/>
      </c>
      <c r="G69" s="13">
        <f>IF(E69&lt;=D69,"✅ Compliant",IF(E69&gt;D69,"⚠ Over-Deployed","❓ Unknown"))</f>
        <v/>
      </c>
      <c r="H69" s="13" t="n"/>
      <c r="I69" s="13" t="n"/>
      <c r="J69" s="13" t="n"/>
    </row>
    <row r="70">
      <c r="A70" s="13" t="n"/>
      <c r="B70" s="13" t="n"/>
      <c r="C70" s="13" t="n"/>
      <c r="D70" s="13" t="n"/>
      <c r="E70" s="13" t="n"/>
      <c r="F70" s="13">
        <f>D70-E70</f>
        <v/>
      </c>
      <c r="G70" s="13">
        <f>IF(E70&lt;=D70,"✅ Compliant",IF(E70&gt;D70,"⚠ Over-Deployed","❓ Unknown"))</f>
        <v/>
      </c>
      <c r="H70" s="13" t="n"/>
      <c r="I70" s="13" t="n"/>
      <c r="J70" s="13" t="n"/>
    </row>
    <row r="71">
      <c r="A71" s="13" t="n"/>
      <c r="B71" s="13" t="n"/>
      <c r="C71" s="13" t="n"/>
      <c r="D71" s="13" t="n"/>
      <c r="E71" s="13" t="n"/>
      <c r="F71" s="13">
        <f>D71-E71</f>
        <v/>
      </c>
      <c r="G71" s="13">
        <f>IF(E71&lt;=D71,"✅ Compliant",IF(E71&gt;D71,"⚠ Over-Deployed","❓ Unknown"))</f>
        <v/>
      </c>
      <c r="H71" s="13" t="n"/>
      <c r="I71" s="13" t="n"/>
      <c r="J71" s="13" t="n"/>
    </row>
    <row r="72">
      <c r="A72" s="13" t="n"/>
      <c r="B72" s="13" t="n"/>
      <c r="C72" s="13" t="n"/>
      <c r="D72" s="13" t="n"/>
      <c r="E72" s="13" t="n"/>
      <c r="F72" s="13">
        <f>D72-E72</f>
        <v/>
      </c>
      <c r="G72" s="13">
        <f>IF(E72&lt;=D72,"✅ Compliant",IF(E72&gt;D72,"⚠ Over-Deployed","❓ Unknown"))</f>
        <v/>
      </c>
      <c r="H72" s="13" t="n"/>
      <c r="I72" s="13" t="n"/>
      <c r="J72" s="13" t="n"/>
    </row>
    <row r="73">
      <c r="A73" s="13" t="n"/>
      <c r="B73" s="13" t="n"/>
      <c r="C73" s="13" t="n"/>
      <c r="D73" s="13" t="n"/>
      <c r="E73" s="13" t="n"/>
      <c r="F73" s="13">
        <f>D73-E73</f>
        <v/>
      </c>
      <c r="G73" s="13">
        <f>IF(E73&lt;=D73,"✅ Compliant",IF(E73&gt;D73,"⚠ Over-Deployed","❓ Unknown"))</f>
        <v/>
      </c>
      <c r="H73" s="13" t="n"/>
      <c r="I73" s="13" t="n"/>
      <c r="J73" s="13" t="n"/>
    </row>
    <row r="74">
      <c r="A74" s="13" t="n"/>
      <c r="B74" s="13" t="n"/>
      <c r="C74" s="13" t="n"/>
      <c r="D74" s="13" t="n"/>
      <c r="E74" s="13" t="n"/>
      <c r="F74" s="13">
        <f>D74-E74</f>
        <v/>
      </c>
      <c r="G74" s="13">
        <f>IF(E74&lt;=D74,"✅ Compliant",IF(E74&gt;D74,"⚠ Over-Deployed","❓ Unknown"))</f>
        <v/>
      </c>
      <c r="H74" s="13" t="n"/>
      <c r="I74" s="13" t="n"/>
      <c r="J74" s="13" t="n"/>
    </row>
    <row r="75">
      <c r="A75" s="13" t="n"/>
      <c r="B75" s="13" t="n"/>
      <c r="C75" s="13" t="n"/>
      <c r="D75" s="13" t="n"/>
      <c r="E75" s="13" t="n"/>
      <c r="F75" s="13">
        <f>D75-E75</f>
        <v/>
      </c>
      <c r="G75" s="13">
        <f>IF(E75&lt;=D75,"✅ Compliant",IF(E75&gt;D75,"⚠ Over-Deployed","❓ Unknown"))</f>
        <v/>
      </c>
      <c r="H75" s="13" t="n"/>
      <c r="I75" s="13" t="n"/>
      <c r="J75" s="13" t="n"/>
    </row>
    <row r="76">
      <c r="A76" s="13" t="n"/>
      <c r="B76" s="13" t="n"/>
      <c r="C76" s="13" t="n"/>
      <c r="D76" s="13" t="n"/>
      <c r="E76" s="13" t="n"/>
      <c r="F76" s="13">
        <f>D76-E76</f>
        <v/>
      </c>
      <c r="G76" s="13">
        <f>IF(E76&lt;=D76,"✅ Compliant",IF(E76&gt;D76,"⚠ Over-Deployed","❓ Unknown"))</f>
        <v/>
      </c>
      <c r="H76" s="13" t="n"/>
      <c r="I76" s="13" t="n"/>
      <c r="J76" s="13" t="n"/>
    </row>
    <row r="77">
      <c r="A77" s="13" t="n"/>
      <c r="B77" s="13" t="n"/>
      <c r="C77" s="13" t="n"/>
      <c r="D77" s="13" t="n"/>
      <c r="E77" s="13" t="n"/>
      <c r="F77" s="13">
        <f>D77-E77</f>
        <v/>
      </c>
      <c r="G77" s="13">
        <f>IF(E77&lt;=D77,"✅ Compliant",IF(E77&gt;D77,"⚠ Over-Deployed","❓ Unknown"))</f>
        <v/>
      </c>
      <c r="H77" s="13" t="n"/>
      <c r="I77" s="13" t="n"/>
      <c r="J77" s="13" t="n"/>
    </row>
    <row r="78">
      <c r="A78" s="13" t="n"/>
      <c r="B78" s="13" t="n"/>
      <c r="C78" s="13" t="n"/>
      <c r="D78" s="13" t="n"/>
      <c r="E78" s="13" t="n"/>
      <c r="F78" s="13">
        <f>D78-E78</f>
        <v/>
      </c>
      <c r="G78" s="13">
        <f>IF(E78&lt;=D78,"✅ Compliant",IF(E78&gt;D78,"⚠ Over-Deployed","❓ Unknown"))</f>
        <v/>
      </c>
      <c r="H78" s="13" t="n"/>
      <c r="I78" s="13" t="n"/>
      <c r="J78" s="13" t="n"/>
    </row>
    <row r="79">
      <c r="A79" s="13" t="n"/>
      <c r="B79" s="13" t="n"/>
      <c r="C79" s="13" t="n"/>
      <c r="D79" s="13" t="n"/>
      <c r="E79" s="13" t="n"/>
      <c r="F79" s="13">
        <f>D79-E79</f>
        <v/>
      </c>
      <c r="G79" s="13">
        <f>IF(E79&lt;=D79,"✅ Compliant",IF(E79&gt;D79,"⚠ Over-Deployed","❓ Unknown"))</f>
        <v/>
      </c>
      <c r="H79" s="13" t="n"/>
      <c r="I79" s="13" t="n"/>
      <c r="J79" s="13" t="n"/>
    </row>
    <row r="80">
      <c r="A80" s="13" t="n"/>
      <c r="B80" s="13" t="n"/>
      <c r="C80" s="13" t="n"/>
      <c r="D80" s="13" t="n"/>
      <c r="E80" s="13" t="n"/>
      <c r="F80" s="13">
        <f>D80-E80</f>
        <v/>
      </c>
      <c r="G80" s="13">
        <f>IF(E80&lt;=D80,"✅ Compliant",IF(E80&gt;D80,"⚠ Over-Deployed","❓ Unknown"))</f>
        <v/>
      </c>
      <c r="H80" s="13" t="n"/>
      <c r="I80" s="13" t="n"/>
      <c r="J80" s="13" t="n"/>
    </row>
    <row r="81">
      <c r="A81" s="13" t="n"/>
      <c r="B81" s="13" t="n"/>
      <c r="C81" s="13" t="n"/>
      <c r="D81" s="13" t="n"/>
      <c r="E81" s="13" t="n"/>
      <c r="F81" s="13">
        <f>D81-E81</f>
        <v/>
      </c>
      <c r="G81" s="13">
        <f>IF(E81&lt;=D81,"✅ Compliant",IF(E81&gt;D81,"⚠ Over-Deployed","❓ Unknown"))</f>
        <v/>
      </c>
      <c r="H81" s="13" t="n"/>
      <c r="I81" s="13" t="n"/>
      <c r="J81" s="13" t="n"/>
    </row>
    <row r="82">
      <c r="A82" s="13" t="n"/>
      <c r="B82" s="13" t="n"/>
      <c r="C82" s="13" t="n"/>
      <c r="D82" s="13" t="n"/>
      <c r="E82" s="13" t="n"/>
      <c r="F82" s="13">
        <f>D82-E82</f>
        <v/>
      </c>
      <c r="G82" s="13">
        <f>IF(E82&lt;=D82,"✅ Compliant",IF(E82&gt;D82,"⚠ Over-Deployed","❓ Unknown"))</f>
        <v/>
      </c>
      <c r="H82" s="13" t="n"/>
      <c r="I82" s="13" t="n"/>
      <c r="J82" s="13" t="n"/>
    </row>
    <row r="83">
      <c r="A83" s="13" t="n"/>
      <c r="B83" s="13" t="n"/>
      <c r="C83" s="13" t="n"/>
      <c r="D83" s="13" t="n"/>
      <c r="E83" s="13" t="n"/>
      <c r="F83" s="13">
        <f>D83-E83</f>
        <v/>
      </c>
      <c r="G83" s="13">
        <f>IF(E83&lt;=D83,"✅ Compliant",IF(E83&gt;D83,"⚠ Over-Deployed","❓ Unknown"))</f>
        <v/>
      </c>
      <c r="H83" s="13" t="n"/>
      <c r="I83" s="13" t="n"/>
      <c r="J83" s="13" t="n"/>
    </row>
    <row r="84">
      <c r="A84" s="13" t="n"/>
      <c r="B84" s="13" t="n"/>
      <c r="C84" s="13" t="n"/>
      <c r="D84" s="13" t="n"/>
      <c r="E84" s="13" t="n"/>
      <c r="F84" s="13">
        <f>D84-E84</f>
        <v/>
      </c>
      <c r="G84" s="13">
        <f>IF(E84&lt;=D84,"✅ Compliant",IF(E84&gt;D84,"⚠ Over-Deployed","❓ Unknown"))</f>
        <v/>
      </c>
      <c r="H84" s="13" t="n"/>
      <c r="I84" s="13" t="n"/>
      <c r="J84" s="13" t="n"/>
    </row>
    <row r="85">
      <c r="A85" s="13" t="n"/>
      <c r="B85" s="13" t="n"/>
      <c r="C85" s="13" t="n"/>
      <c r="D85" s="13" t="n"/>
      <c r="E85" s="13" t="n"/>
      <c r="F85" s="13">
        <f>D85-E85</f>
        <v/>
      </c>
      <c r="G85" s="13">
        <f>IF(E85&lt;=D85,"✅ Compliant",IF(E85&gt;D85,"⚠ Over-Deployed","❓ Unknown"))</f>
        <v/>
      </c>
      <c r="H85" s="13" t="n"/>
      <c r="I85" s="13" t="n"/>
      <c r="J85" s="13" t="n"/>
    </row>
    <row r="86">
      <c r="A86" s="13" t="n"/>
      <c r="B86" s="13" t="n"/>
      <c r="C86" s="13" t="n"/>
      <c r="D86" s="13" t="n"/>
      <c r="E86" s="13" t="n"/>
      <c r="F86" s="13">
        <f>D86-E86</f>
        <v/>
      </c>
      <c r="G86" s="13">
        <f>IF(E86&lt;=D86,"✅ Compliant",IF(E86&gt;D86,"⚠ Over-Deployed","❓ Unknown"))</f>
        <v/>
      </c>
      <c r="H86" s="13" t="n"/>
      <c r="I86" s="13" t="n"/>
      <c r="J86" s="13" t="n"/>
    </row>
    <row r="87">
      <c r="A87" s="13" t="n"/>
      <c r="B87" s="13" t="n"/>
      <c r="C87" s="13" t="n"/>
      <c r="D87" s="13" t="n"/>
      <c r="E87" s="13" t="n"/>
      <c r="F87" s="13">
        <f>D87-E87</f>
        <v/>
      </c>
      <c r="G87" s="13">
        <f>IF(E87&lt;=D87,"✅ Compliant",IF(E87&gt;D87,"⚠ Over-Deployed","❓ Unknown"))</f>
        <v/>
      </c>
      <c r="H87" s="13" t="n"/>
      <c r="I87" s="13" t="n"/>
      <c r="J87" s="13" t="n"/>
    </row>
    <row r="88">
      <c r="A88" s="13" t="n"/>
      <c r="B88" s="13" t="n"/>
      <c r="C88" s="13" t="n"/>
      <c r="D88" s="13" t="n"/>
      <c r="E88" s="13" t="n"/>
      <c r="F88" s="13">
        <f>D88-E88</f>
        <v/>
      </c>
      <c r="G88" s="13">
        <f>IF(E88&lt;=D88,"✅ Compliant",IF(E88&gt;D88,"⚠ Over-Deployed","❓ Unknown"))</f>
        <v/>
      </c>
      <c r="H88" s="13" t="n"/>
      <c r="I88" s="13" t="n"/>
      <c r="J88" s="13" t="n"/>
    </row>
    <row r="89">
      <c r="A89" s="13" t="n"/>
      <c r="B89" s="13" t="n"/>
      <c r="C89" s="13" t="n"/>
      <c r="D89" s="13" t="n"/>
      <c r="E89" s="13" t="n"/>
      <c r="F89" s="13">
        <f>D89-E89</f>
        <v/>
      </c>
      <c r="G89" s="13">
        <f>IF(E89&lt;=D89,"✅ Compliant",IF(E89&gt;D89,"⚠ Over-Deployed","❓ Unknown"))</f>
        <v/>
      </c>
      <c r="H89" s="13" t="n"/>
      <c r="I89" s="13" t="n"/>
      <c r="J89" s="13" t="n"/>
    </row>
    <row r="90">
      <c r="A90" s="13" t="n"/>
      <c r="B90" s="13" t="n"/>
      <c r="C90" s="13" t="n"/>
      <c r="D90" s="13" t="n"/>
      <c r="E90" s="13" t="n"/>
      <c r="F90" s="13">
        <f>D90-E90</f>
        <v/>
      </c>
      <c r="G90" s="13">
        <f>IF(E90&lt;=D90,"✅ Compliant",IF(E90&gt;D90,"⚠ Over-Deployed","❓ Unknown"))</f>
        <v/>
      </c>
      <c r="H90" s="13" t="n"/>
      <c r="I90" s="13" t="n"/>
      <c r="J90" s="13" t="n"/>
    </row>
    <row r="91">
      <c r="A91" s="13" t="n"/>
      <c r="B91" s="13" t="n"/>
      <c r="C91" s="13" t="n"/>
      <c r="D91" s="13" t="n"/>
      <c r="E91" s="13" t="n"/>
      <c r="F91" s="13">
        <f>D91-E91</f>
        <v/>
      </c>
      <c r="G91" s="13">
        <f>IF(E91&lt;=D91,"✅ Compliant",IF(E91&gt;D91,"⚠ Over-Deployed","❓ Unknown"))</f>
        <v/>
      </c>
      <c r="H91" s="13" t="n"/>
      <c r="I91" s="13" t="n"/>
      <c r="J91" s="13" t="n"/>
    </row>
    <row r="92">
      <c r="A92" s="13" t="n"/>
      <c r="B92" s="13" t="n"/>
      <c r="C92" s="13" t="n"/>
      <c r="D92" s="13" t="n"/>
      <c r="E92" s="13" t="n"/>
      <c r="F92" s="13">
        <f>D92-E92</f>
        <v/>
      </c>
      <c r="G92" s="13">
        <f>IF(E92&lt;=D92,"✅ Compliant",IF(E92&gt;D92,"⚠ Over-Deployed","❓ Unknown"))</f>
        <v/>
      </c>
      <c r="H92" s="13" t="n"/>
      <c r="I92" s="13" t="n"/>
      <c r="J92" s="13" t="n"/>
    </row>
    <row r="93">
      <c r="A93" s="13" t="n"/>
      <c r="B93" s="13" t="n"/>
      <c r="C93" s="13" t="n"/>
      <c r="D93" s="13" t="n"/>
      <c r="E93" s="13" t="n"/>
      <c r="F93" s="13">
        <f>D93-E93</f>
        <v/>
      </c>
      <c r="G93" s="13">
        <f>IF(E93&lt;=D93,"✅ Compliant",IF(E93&gt;D93,"⚠ Over-Deployed","❓ Unknown"))</f>
        <v/>
      </c>
      <c r="H93" s="13" t="n"/>
      <c r="I93" s="13" t="n"/>
      <c r="J93" s="13" t="n"/>
    </row>
    <row r="94">
      <c r="A94" s="13" t="n"/>
      <c r="B94" s="13" t="n"/>
      <c r="C94" s="13" t="n"/>
      <c r="D94" s="13" t="n"/>
      <c r="E94" s="13" t="n"/>
      <c r="F94" s="13">
        <f>D94-E94</f>
        <v/>
      </c>
      <c r="G94" s="13">
        <f>IF(E94&lt;=D94,"✅ Compliant",IF(E94&gt;D94,"⚠ Over-Deployed","❓ Unknown"))</f>
        <v/>
      </c>
      <c r="H94" s="13" t="n"/>
      <c r="I94" s="13" t="n"/>
      <c r="J94" s="13" t="n"/>
    </row>
    <row r="95">
      <c r="A95" s="13" t="n"/>
      <c r="B95" s="13" t="n"/>
      <c r="C95" s="13" t="n"/>
      <c r="D95" s="13" t="n"/>
      <c r="E95" s="13" t="n"/>
      <c r="F95" s="13">
        <f>D95-E95</f>
        <v/>
      </c>
      <c r="G95" s="13">
        <f>IF(E95&lt;=D95,"✅ Compliant",IF(E95&gt;D95,"⚠ Over-Deployed","❓ Unknown"))</f>
        <v/>
      </c>
      <c r="H95" s="13" t="n"/>
      <c r="I95" s="13" t="n"/>
      <c r="J95" s="13" t="n"/>
    </row>
    <row r="96">
      <c r="A96" s="13" t="n"/>
      <c r="B96" s="13" t="n"/>
      <c r="C96" s="13" t="n"/>
      <c r="D96" s="13" t="n"/>
      <c r="E96" s="13" t="n"/>
      <c r="F96" s="13">
        <f>D96-E96</f>
        <v/>
      </c>
      <c r="G96" s="13">
        <f>IF(E96&lt;=D96,"✅ Compliant",IF(E96&gt;D96,"⚠ Over-Deployed","❓ Unknown"))</f>
        <v/>
      </c>
      <c r="H96" s="13" t="n"/>
      <c r="I96" s="13" t="n"/>
      <c r="J96" s="13" t="n"/>
    </row>
    <row r="97">
      <c r="A97" s="13" t="n"/>
      <c r="B97" s="13" t="n"/>
      <c r="C97" s="13" t="n"/>
      <c r="D97" s="13" t="n"/>
      <c r="E97" s="13" t="n"/>
      <c r="F97" s="13">
        <f>D97-E97</f>
        <v/>
      </c>
      <c r="G97" s="13">
        <f>IF(E97&lt;=D97,"✅ Compliant",IF(E97&gt;D97,"⚠ Over-Deployed","❓ Unknown"))</f>
        <v/>
      </c>
      <c r="H97" s="13" t="n"/>
      <c r="I97" s="13" t="n"/>
      <c r="J97" s="13" t="n"/>
    </row>
    <row r="98">
      <c r="A98" s="13" t="n"/>
      <c r="B98" s="13" t="n"/>
      <c r="C98" s="13" t="n"/>
      <c r="D98" s="13" t="n"/>
      <c r="E98" s="13" t="n"/>
      <c r="F98" s="13">
        <f>D98-E98</f>
        <v/>
      </c>
      <c r="G98" s="13">
        <f>IF(E98&lt;=D98,"✅ Compliant",IF(E98&gt;D98,"⚠ Over-Deployed","❓ Unknown"))</f>
        <v/>
      </c>
      <c r="H98" s="13" t="n"/>
      <c r="I98" s="13" t="n"/>
      <c r="J98" s="13" t="n"/>
    </row>
    <row r="99">
      <c r="A99" s="13" t="n"/>
      <c r="B99" s="13" t="n"/>
      <c r="C99" s="13" t="n"/>
      <c r="D99" s="13" t="n"/>
      <c r="E99" s="13" t="n"/>
      <c r="F99" s="13">
        <f>D99-E99</f>
        <v/>
      </c>
      <c r="G99" s="13">
        <f>IF(E99&lt;=D99,"✅ Compliant",IF(E99&gt;D99,"⚠ Over-Deployed","❓ Unknown"))</f>
        <v/>
      </c>
      <c r="H99" s="13" t="n"/>
      <c r="I99" s="13" t="n"/>
      <c r="J99" s="13" t="n"/>
    </row>
    <row r="100">
      <c r="A100" s="13" t="n"/>
      <c r="B100" s="13" t="n"/>
      <c r="C100" s="13" t="n"/>
      <c r="D100" s="13" t="n"/>
      <c r="E100" s="13" t="n"/>
      <c r="F100" s="13">
        <f>D100-E100</f>
        <v/>
      </c>
      <c r="G100" s="13">
        <f>IF(E100&lt;=D100,"✅ Compliant",IF(E100&gt;D100,"⚠ Over-Deployed","❓ Unknown"))</f>
        <v/>
      </c>
      <c r="H100" s="13" t="n"/>
      <c r="I100" s="13" t="n"/>
      <c r="J100" s="13" t="n"/>
    </row>
    <row r="101">
      <c r="A101" s="13" t="n"/>
      <c r="B101" s="13" t="n"/>
      <c r="C101" s="13" t="n"/>
      <c r="D101" s="13" t="n"/>
      <c r="E101" s="13" t="n"/>
      <c r="F101" s="13">
        <f>D101-E101</f>
        <v/>
      </c>
      <c r="G101" s="13">
        <f>IF(E101&lt;=D101,"✅ Compliant",IF(E101&gt;D101,"⚠ Over-Deployed","❓ Unknown"))</f>
        <v/>
      </c>
      <c r="H101" s="13" t="n"/>
      <c r="I101" s="13" t="n"/>
      <c r="J101" s="13" t="n"/>
    </row>
    <row r="102">
      <c r="A102" s="13" t="n"/>
      <c r="B102" s="13" t="n"/>
      <c r="C102" s="13" t="n"/>
      <c r="D102" s="13" t="n"/>
      <c r="E102" s="13" t="n"/>
      <c r="F102" s="13">
        <f>D102-E102</f>
        <v/>
      </c>
      <c r="G102" s="13">
        <f>IF(E102&lt;=D102,"✅ Compliant",IF(E102&gt;D102,"⚠ Over-Deployed","❓ Unknown"))</f>
        <v/>
      </c>
      <c r="H102" s="13" t="n"/>
      <c r="I102" s="13" t="n"/>
      <c r="J102" s="13" t="n"/>
    </row>
    <row r="103">
      <c r="A103" s="13" t="n"/>
      <c r="B103" s="13" t="n"/>
      <c r="C103" s="13" t="n"/>
      <c r="D103" s="13" t="n"/>
      <c r="E103" s="13" t="n"/>
      <c r="F103" s="13">
        <f>D103-E103</f>
        <v/>
      </c>
      <c r="G103" s="13">
        <f>IF(E103&lt;=D103,"✅ Compliant",IF(E103&gt;D103,"⚠ Over-Deployed","❓ Unknown"))</f>
        <v/>
      </c>
      <c r="H103" s="13" t="n"/>
      <c r="I103" s="13" t="n"/>
      <c r="J103" s="13" t="n"/>
    </row>
    <row r="104">
      <c r="A104" s="13" t="n"/>
      <c r="B104" s="13" t="n"/>
      <c r="C104" s="13" t="n"/>
      <c r="D104" s="13" t="n"/>
      <c r="E104" s="13" t="n"/>
      <c r="F104" s="13">
        <f>D104-E104</f>
        <v/>
      </c>
      <c r="G104" s="13">
        <f>IF(E104&lt;=D104,"✅ Compliant",IF(E104&gt;D104,"⚠ Over-Deployed","❓ Unknown"))</f>
        <v/>
      </c>
      <c r="H104" s="13" t="n"/>
      <c r="I104" s="13" t="n"/>
      <c r="J104" s="13" t="n"/>
    </row>
    <row r="107">
      <c r="A107" s="2" t="inlineStr">
        <is>
          <t>📊 LICENSE COMPLIANCE SUMMARY</t>
        </is>
      </c>
    </row>
    <row r="108">
      <c r="A108" t="inlineStr">
        <is>
          <t>Total Software Tracked:</t>
        </is>
      </c>
      <c r="B108">
        <f>COUNTA(A5:A104)</f>
        <v/>
      </c>
    </row>
    <row r="109">
      <c r="A109" t="inlineStr">
        <is>
          <t>✅ Compliant:</t>
        </is>
      </c>
      <c r="B109">
        <f>COUNTIF(G5:G104,"✅ Compliant")</f>
        <v/>
      </c>
    </row>
    <row r="110">
      <c r="A110" t="inlineStr">
        <is>
          <t>⚠ Over-Deployed:</t>
        </is>
      </c>
      <c r="B110">
        <f>COUNTIF(G5:G104,"⚠ Over-Deployed")</f>
        <v/>
      </c>
    </row>
    <row r="111">
      <c r="A111" t="inlineStr">
        <is>
          <t>Total Annual Cost:</t>
        </is>
      </c>
      <c r="B111" s="14">
        <f>SUM(H5:H104)</f>
        <v/>
      </c>
    </row>
  </sheetData>
  <mergeCells count="3">
    <mergeCell ref="A1:J1"/>
    <mergeCell ref="A107:C107"/>
    <mergeCell ref="A2:J2"/>
  </mergeCells>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"Commercial,Subscription,Open Source,Freeware,Trial,Custom,Unknown"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5" customWidth="1" min="1" max="1"/>
    <col width="60" customWidth="1" min="2" max="2"/>
    <col width="12" customWidth="1" min="3" max="3"/>
    <col width="25" customWidth="1" min="4" max="4"/>
    <col width="30" customWidth="1" min="5" max="5"/>
    <col width="15" customWidth="1" min="6" max="6"/>
  </cols>
  <sheetData>
    <row r="1">
      <c r="A1" s="1" t="inlineStr">
        <is>
          <t>CAPABILITY REQUIREMENTS MAPPING</t>
        </is>
      </c>
    </row>
    <row r="2">
      <c r="A2" s="2" t="inlineStr">
        <is>
          <t>A.8.19 Policy Requirements → Implementation (20 requirements)</t>
        </is>
      </c>
    </row>
    <row r="4">
      <c r="A4" s="5" t="inlineStr">
        <is>
          <t>Req ID</t>
        </is>
      </c>
      <c r="B4" s="5" t="inlineStr">
        <is>
          <t>Policy Requirement</t>
        </is>
      </c>
      <c r="C4" s="5" t="inlineStr">
        <is>
          <t>Implemented</t>
        </is>
      </c>
      <c r="D4" s="5" t="inlineStr">
        <is>
          <t>Evidence Reference</t>
        </is>
      </c>
      <c r="E4" s="5" t="inlineStr">
        <is>
          <t>Notes</t>
        </is>
      </c>
      <c r="F4" s="5" t="inlineStr">
        <is>
          <t>Status</t>
        </is>
      </c>
    </row>
    <row r="5">
      <c r="A5" s="12" t="inlineStr">
        <is>
          <t>REQ-A819-001</t>
        </is>
      </c>
      <c r="B5" s="15" t="inlineStr">
        <is>
          <t>Approved software list maintained and annually reviewed</t>
        </is>
      </c>
      <c r="C5" s="13" t="n"/>
      <c r="D5" s="13" t="n"/>
      <c r="E5" s="13" t="n"/>
      <c r="F5" s="13">
        <f>IF(C5="Yes","✅ Compliant",IF(C5="N/A","N/A","❌ Gap"))</f>
        <v/>
      </c>
    </row>
    <row r="6">
      <c r="A6" s="12" t="inlineStr">
        <is>
          <t>REQ-A819-002</t>
        </is>
      </c>
      <c r="B6" s="15" t="inlineStr">
        <is>
          <t>Software approval process documented and enforced</t>
        </is>
      </c>
      <c r="C6" s="13" t="n"/>
      <c r="D6" s="13" t="n"/>
      <c r="E6" s="13" t="n"/>
      <c r="F6" s="13">
        <f>IF(C6="Yes","✅ Compliant",IF(C6="N/A","N/A","❌ Gap"))</f>
        <v/>
      </c>
    </row>
    <row r="7">
      <c r="A7" s="12" t="inlineStr">
        <is>
          <t>REQ-A819-003</t>
        </is>
      </c>
      <c r="B7" s="15" t="inlineStr">
        <is>
          <t>Software approval includes security review</t>
        </is>
      </c>
      <c r="C7" s="13" t="n"/>
      <c r="D7" s="13" t="n"/>
      <c r="E7" s="13" t="n"/>
      <c r="F7" s="13">
        <f>IF(C7="Yes","✅ Compliant",IF(C7="N/A","N/A","❌ Gap"))</f>
        <v/>
      </c>
    </row>
    <row r="8">
      <c r="A8" s="12" t="inlineStr">
        <is>
          <t>REQ-A819-004</t>
        </is>
      </c>
      <c r="B8" s="15" t="inlineStr">
        <is>
          <t>Software approval includes business justification</t>
        </is>
      </c>
      <c r="C8" s="13" t="n"/>
      <c r="D8" s="13" t="n"/>
      <c r="E8" s="13" t="n"/>
      <c r="F8" s="13">
        <f>IF(C8="Yes","✅ Compliant",IF(C8="N/A","N/A","❌ Gap"))</f>
        <v/>
      </c>
    </row>
    <row r="9">
      <c r="A9" s="12" t="inlineStr">
        <is>
          <t>REQ-A819-005</t>
        </is>
      </c>
      <c r="B9" s="15" t="inlineStr">
        <is>
          <t>Unauthorized software detected daily</t>
        </is>
      </c>
      <c r="C9" s="13" t="n"/>
      <c r="D9" s="13" t="n"/>
      <c r="E9" s="13" t="n"/>
      <c r="F9" s="13">
        <f>IF(C9="Yes","✅ Compliant",IF(C9="N/A","N/A","❌ Gap"))</f>
        <v/>
      </c>
    </row>
    <row r="10">
      <c r="A10" s="12" t="inlineStr">
        <is>
          <t>REQ-A819-006</t>
        </is>
      </c>
      <c r="B10" s="15" t="inlineStr">
        <is>
          <t>Unauthorized software rate &lt;1%</t>
        </is>
      </c>
      <c r="C10" s="13" t="n"/>
      <c r="D10" s="13" t="n"/>
      <c r="E10" s="13" t="n"/>
      <c r="F10" s="13">
        <f>IF(C10="Yes","✅ Compliant",IF(C10="N/A","N/A","❌ Gap"))</f>
        <v/>
      </c>
    </row>
    <row r="11">
      <c r="A11" s="12" t="inlineStr">
        <is>
          <t>REQ-A819-007</t>
        </is>
      </c>
      <c r="B11" s="15" t="inlineStr">
        <is>
          <t>Unauthorized software remediated within 24 hours (high-risk)</t>
        </is>
      </c>
      <c r="C11" s="13" t="n"/>
      <c r="D11" s="13" t="n"/>
      <c r="E11" s="13" t="n"/>
      <c r="F11" s="13">
        <f>IF(C11="Yes","✅ Compliant",IF(C11="N/A","N/A","❌ Gap"))</f>
        <v/>
      </c>
    </row>
    <row r="12">
      <c r="A12" s="12" t="inlineStr">
        <is>
          <t>REQ-A819-008</t>
        </is>
      </c>
      <c r="B12" s="15" t="inlineStr">
        <is>
          <t>Application control deployed ≥90% endpoints</t>
        </is>
      </c>
      <c r="C12" s="13" t="n"/>
      <c r="D12" s="13" t="n"/>
      <c r="E12" s="13" t="n"/>
      <c r="F12" s="13">
        <f>IF(C12="Yes","✅ Compliant",IF(C12="N/A","N/A","❌ Gap"))</f>
        <v/>
      </c>
    </row>
    <row r="13">
      <c r="A13" s="12" t="inlineStr">
        <is>
          <t>REQ-A819-009</t>
        </is>
      </c>
      <c r="B13" s="15" t="inlineStr">
        <is>
          <t>Application control in enforcement mode (not audit)</t>
        </is>
      </c>
      <c r="C13" s="13" t="n"/>
      <c r="D13" s="13" t="n"/>
      <c r="E13" s="13" t="n"/>
      <c r="F13" s="13">
        <f>IF(C13="Yes","✅ Compliant",IF(C13="N/A","N/A","❌ Gap"))</f>
        <v/>
      </c>
    </row>
    <row r="14">
      <c r="A14" s="12" t="inlineStr">
        <is>
          <t>REQ-A819-010</t>
        </is>
      </c>
      <c r="B14" s="15" t="inlineStr">
        <is>
          <t>100% software installations via change control</t>
        </is>
      </c>
      <c r="C14" s="13" t="n"/>
      <c r="D14" s="13" t="n"/>
      <c r="E14" s="13" t="n"/>
      <c r="F14" s="13">
        <f>IF(C14="Yes","✅ Compliant",IF(C14="N/A","N/A","❌ Gap"))</f>
        <v/>
      </c>
    </row>
    <row r="15">
      <c r="A15" s="12" t="inlineStr">
        <is>
          <t>REQ-A819-011</t>
        </is>
      </c>
      <c r="B15" s="15" t="inlineStr">
        <is>
          <t>Change control includes testing</t>
        </is>
      </c>
      <c r="C15" s="13" t="n"/>
      <c r="D15" s="13" t="n"/>
      <c r="E15" s="13" t="n"/>
      <c r="F15" s="13">
        <f>IF(C15="Yes","✅ Compliant",IF(C15="N/A","N/A","❌ Gap"))</f>
        <v/>
      </c>
    </row>
    <row r="16">
      <c r="A16" s="12" t="inlineStr">
        <is>
          <t>REQ-A819-012</t>
        </is>
      </c>
      <c r="B16" s="15" t="inlineStr">
        <is>
          <t>Change control includes rollback plan</t>
        </is>
      </c>
      <c r="C16" s="13" t="n"/>
      <c r="D16" s="13" t="n"/>
      <c r="E16" s="13" t="n"/>
      <c r="F16" s="13">
        <f>IF(C16="Yes","✅ Compliant",IF(C16="N/A","N/A","❌ Gap"))</f>
        <v/>
      </c>
    </row>
    <row r="17">
      <c r="A17" s="12" t="inlineStr">
        <is>
          <t>REQ-A819-013</t>
        </is>
      </c>
      <c r="B17" s="15" t="inlineStr">
        <is>
          <t>Software vulnerabilities tracked</t>
        </is>
      </c>
      <c r="C17" s="13" t="n"/>
      <c r="D17" s="13" t="n"/>
      <c r="E17" s="13" t="n"/>
      <c r="F17" s="13">
        <f>IF(C17="Yes","✅ Compliant",IF(C17="N/A","N/A","❌ Gap"))</f>
        <v/>
      </c>
    </row>
    <row r="18">
      <c r="A18" s="12" t="inlineStr">
        <is>
          <t>REQ-A819-014</t>
        </is>
      </c>
      <c r="B18" s="15" t="inlineStr">
        <is>
          <t>Critical software patches within 7 days (≥95%)</t>
        </is>
      </c>
      <c r="C18" s="13" t="n"/>
      <c r="D18" s="13" t="n"/>
      <c r="E18" s="13" t="n"/>
      <c r="F18" s="13">
        <f>IF(C18="Yes","✅ Compliant",IF(C18="N/A","N/A","❌ Gap"))</f>
        <v/>
      </c>
    </row>
    <row r="19">
      <c r="A19" s="12" t="inlineStr">
        <is>
          <t>REQ-A819-015</t>
        </is>
      </c>
      <c r="B19" s="15" t="inlineStr">
        <is>
          <t>High software patches within 30 days (≥90%)</t>
        </is>
      </c>
      <c r="C19" s="13" t="n"/>
      <c r="D19" s="13" t="n"/>
      <c r="E19" s="13" t="n"/>
      <c r="F19" s="13">
        <f>IF(C19="Yes","✅ Compliant",IF(C19="N/A","N/A","❌ Gap"))</f>
        <v/>
      </c>
    </row>
    <row r="20">
      <c r="A20" s="12" t="inlineStr">
        <is>
          <t>REQ-A819-016</t>
        </is>
      </c>
      <c r="B20" s="15" t="inlineStr">
        <is>
          <t>Software licenses tracked</t>
        </is>
      </c>
      <c r="C20" s="13" t="n"/>
      <c r="D20" s="13" t="n"/>
      <c r="E20" s="13" t="n"/>
      <c r="F20" s="13">
        <f>IF(C20="Yes","✅ Compliant",IF(C20="N/A","N/A","❌ Gap"))</f>
        <v/>
      </c>
    </row>
    <row r="21">
      <c r="A21" s="12" t="inlineStr">
        <is>
          <t>REQ-A819-017</t>
        </is>
      </c>
      <c r="B21" s="15" t="inlineStr">
        <is>
          <t>License compliance 100%</t>
        </is>
      </c>
      <c r="C21" s="13" t="n"/>
      <c r="D21" s="13" t="n"/>
      <c r="E21" s="13" t="n"/>
      <c r="F21" s="13">
        <f>IF(C21="Yes","✅ Compliant",IF(C21="N/A","N/A","❌ Gap"))</f>
        <v/>
      </c>
    </row>
    <row r="22">
      <c r="A22" s="12" t="inlineStr">
        <is>
          <t>REQ-A819-018</t>
        </is>
      </c>
      <c r="B22" s="15" t="inlineStr">
        <is>
          <t>BYOD software installation restricted</t>
        </is>
      </c>
      <c r="C22" s="13" t="n"/>
      <c r="D22" s="13" t="n"/>
      <c r="E22" s="13" t="n"/>
      <c r="F22" s="13">
        <f>IF(C22="Yes","✅ Compliant",IF(C22="N/A","N/A","❌ Gap"))</f>
        <v/>
      </c>
    </row>
    <row r="23">
      <c r="A23" s="12" t="inlineStr">
        <is>
          <t>REQ-A819-019</t>
        </is>
      </c>
      <c r="B23" s="15" t="inlineStr">
        <is>
          <t>EOL software identified and tracked</t>
        </is>
      </c>
      <c r="C23" s="13" t="n"/>
      <c r="D23" s="13" t="n"/>
      <c r="E23" s="13" t="n"/>
      <c r="F23" s="13">
        <f>IF(C23="Yes","✅ Compliant",IF(C23="N/A","N/A","❌ Gap"))</f>
        <v/>
      </c>
    </row>
    <row r="24">
      <c r="A24" s="12" t="inlineStr">
        <is>
          <t>REQ-A819-020</t>
        </is>
      </c>
      <c r="B24" s="15" t="inlineStr">
        <is>
          <t>Quarterly software control effectiveness assessment</t>
        </is>
      </c>
      <c r="C24" s="13" t="n"/>
      <c r="D24" s="13" t="n"/>
      <c r="E24" s="13" t="n"/>
      <c r="F24" s="13">
        <f>IF(C24="Yes","✅ Compliant",IF(C24="N/A","N/A","❌ Gap"))</f>
        <v/>
      </c>
    </row>
  </sheetData>
  <mergeCells count="2">
    <mergeCell ref="A2:F2"/>
    <mergeCell ref="A1:F1"/>
  </mergeCells>
  <dataValidations count="1">
    <dataValidation sqref="C5 C6 C7 C8 C9 C10 C11 C12 C13 C14 C15 C16 C17 C18 C19 C20 C21 C22 C23 C24" showDropDown="0" showInputMessage="0" showErrorMessage="0" allowBlank="0" type="list">
      <formula1>"Yes,No,N/A"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04"/>
  <sheetViews>
    <sheetView workbookViewId="0">
      <selection activeCell="A1" sqref="A1"/>
    </sheetView>
  </sheetViews>
  <sheetFormatPr baseColWidth="8" defaultRowHeight="15"/>
  <cols>
    <col width="12" customWidth="1" min="1" max="1"/>
    <col width="20" customWidth="1" min="2" max="2"/>
    <col width="40" customWidth="1" min="3" max="3"/>
  </cols>
  <sheetData>
    <row r="1">
      <c r="A1" s="1" t="inlineStr">
        <is>
          <t>EVIDENCE REGISTER</t>
        </is>
      </c>
    </row>
    <row r="4">
      <c r="A4" s="5" t="inlineStr">
        <is>
          <t>Evidence ID</t>
        </is>
      </c>
      <c r="B4" s="5" t="inlineStr">
        <is>
          <t>Evidence Type</t>
        </is>
      </c>
      <c r="C4" s="5" t="inlineStr">
        <is>
          <t>Description</t>
        </is>
      </c>
      <c r="D4" s="5" t="inlineStr">
        <is>
          <t>Related Requirement</t>
        </is>
      </c>
      <c r="E4" s="5" t="inlineStr">
        <is>
          <t>Related Worksheet</t>
        </is>
      </c>
      <c r="F4" s="5" t="inlineStr">
        <is>
          <t>File Location</t>
        </is>
      </c>
      <c r="G4" s="5" t="inlineStr">
        <is>
          <t>Collection Date</t>
        </is>
      </c>
      <c r="H4" s="5" t="inlineStr">
        <is>
          <t>Collected By</t>
        </is>
      </c>
      <c r="I4" s="5" t="inlineStr">
        <is>
          <t>Verification Status</t>
        </is>
      </c>
      <c r="J4" s="5" t="inlineStr">
        <is>
          <t>Notes</t>
        </is>
      </c>
    </row>
    <row r="5">
      <c r="A5" s="3" t="inlineStr">
        <is>
          <t>EVD-001</t>
        </is>
      </c>
      <c r="B5" s="13" t="n"/>
      <c r="C5" s="13" t="n"/>
      <c r="D5" s="13" t="n"/>
      <c r="E5" s="13" t="n"/>
      <c r="F5" s="13" t="n"/>
      <c r="G5" s="13" t="n"/>
      <c r="H5" s="13" t="n"/>
      <c r="I5" s="13" t="n"/>
      <c r="J5" s="13" t="n"/>
    </row>
    <row r="6">
      <c r="A6" s="3" t="inlineStr">
        <is>
          <t>EVD-002</t>
        </is>
      </c>
      <c r="B6" s="13" t="n"/>
      <c r="C6" s="13" t="n"/>
      <c r="D6" s="13" t="n"/>
      <c r="E6" s="13" t="n"/>
      <c r="F6" s="13" t="n"/>
      <c r="G6" s="13" t="n"/>
      <c r="H6" s="13" t="n"/>
      <c r="I6" s="13" t="n"/>
      <c r="J6" s="13" t="n"/>
    </row>
    <row r="7">
      <c r="A7" s="3" t="inlineStr">
        <is>
          <t>EVD-003</t>
        </is>
      </c>
      <c r="B7" s="13" t="n"/>
      <c r="C7" s="13" t="n"/>
      <c r="D7" s="13" t="n"/>
      <c r="E7" s="13" t="n"/>
      <c r="F7" s="13" t="n"/>
      <c r="G7" s="13" t="n"/>
      <c r="H7" s="13" t="n"/>
      <c r="I7" s="13" t="n"/>
      <c r="J7" s="13" t="n"/>
    </row>
    <row r="8">
      <c r="A8" s="3" t="inlineStr">
        <is>
          <t>EVD-004</t>
        </is>
      </c>
      <c r="B8" s="13" t="n"/>
      <c r="C8" s="13" t="n"/>
      <c r="D8" s="13" t="n"/>
      <c r="E8" s="13" t="n"/>
      <c r="F8" s="13" t="n"/>
      <c r="G8" s="13" t="n"/>
      <c r="H8" s="13" t="n"/>
      <c r="I8" s="13" t="n"/>
      <c r="J8" s="13" t="n"/>
    </row>
    <row r="9">
      <c r="A9" s="3" t="inlineStr">
        <is>
          <t>EVD-005</t>
        </is>
      </c>
      <c r="B9" s="13" t="n"/>
      <c r="C9" s="13" t="n"/>
      <c r="D9" s="13" t="n"/>
      <c r="E9" s="13" t="n"/>
      <c r="F9" s="13" t="n"/>
      <c r="G9" s="13" t="n"/>
      <c r="H9" s="13" t="n"/>
      <c r="I9" s="13" t="n"/>
      <c r="J9" s="13" t="n"/>
    </row>
    <row r="10">
      <c r="A10" s="3" t="inlineStr">
        <is>
          <t>EVD-006</t>
        </is>
      </c>
      <c r="B10" s="13" t="n"/>
      <c r="C10" s="13" t="n"/>
      <c r="D10" s="13" t="n"/>
      <c r="E10" s="13" t="n"/>
      <c r="F10" s="13" t="n"/>
      <c r="G10" s="13" t="n"/>
      <c r="H10" s="13" t="n"/>
      <c r="I10" s="13" t="n"/>
      <c r="J10" s="13" t="n"/>
    </row>
    <row r="11">
      <c r="A11" s="3" t="inlineStr">
        <is>
          <t>EVD-007</t>
        </is>
      </c>
      <c r="B11" s="13" t="n"/>
      <c r="C11" s="13" t="n"/>
      <c r="D11" s="13" t="n"/>
      <c r="E11" s="13" t="n"/>
      <c r="F11" s="13" t="n"/>
      <c r="G11" s="13" t="n"/>
      <c r="H11" s="13" t="n"/>
      <c r="I11" s="13" t="n"/>
      <c r="J11" s="13" t="n"/>
    </row>
    <row r="12">
      <c r="A12" s="3" t="inlineStr">
        <is>
          <t>EVD-008</t>
        </is>
      </c>
      <c r="B12" s="13" t="n"/>
      <c r="C12" s="13" t="n"/>
      <c r="D12" s="13" t="n"/>
      <c r="E12" s="13" t="n"/>
      <c r="F12" s="13" t="n"/>
      <c r="G12" s="13" t="n"/>
      <c r="H12" s="13" t="n"/>
      <c r="I12" s="13" t="n"/>
      <c r="J12" s="13" t="n"/>
    </row>
    <row r="13">
      <c r="A13" s="3" t="inlineStr">
        <is>
          <t>EVD-009</t>
        </is>
      </c>
      <c r="B13" s="13" t="n"/>
      <c r="C13" s="13" t="n"/>
      <c r="D13" s="13" t="n"/>
      <c r="E13" s="13" t="n"/>
      <c r="F13" s="13" t="n"/>
      <c r="G13" s="13" t="n"/>
      <c r="H13" s="13" t="n"/>
      <c r="I13" s="13" t="n"/>
      <c r="J13" s="13" t="n"/>
    </row>
    <row r="14">
      <c r="A14" s="3" t="inlineStr">
        <is>
          <t>EVD-010</t>
        </is>
      </c>
      <c r="B14" s="13" t="n"/>
      <c r="C14" s="13" t="n"/>
      <c r="D14" s="13" t="n"/>
      <c r="E14" s="13" t="n"/>
      <c r="F14" s="13" t="n"/>
      <c r="G14" s="13" t="n"/>
      <c r="H14" s="13" t="n"/>
      <c r="I14" s="13" t="n"/>
      <c r="J14" s="13" t="n"/>
    </row>
    <row r="15">
      <c r="A15" s="3" t="inlineStr">
        <is>
          <t>EVD-011</t>
        </is>
      </c>
      <c r="B15" s="13" t="n"/>
      <c r="C15" s="13" t="n"/>
      <c r="D15" s="13" t="n"/>
      <c r="E15" s="13" t="n"/>
      <c r="F15" s="13" t="n"/>
      <c r="G15" s="13" t="n"/>
      <c r="H15" s="13" t="n"/>
      <c r="I15" s="13" t="n"/>
      <c r="J15" s="13" t="n"/>
    </row>
    <row r="16">
      <c r="A16" s="3" t="inlineStr">
        <is>
          <t>EVD-012</t>
        </is>
      </c>
      <c r="B16" s="13" t="n"/>
      <c r="C16" s="13" t="n"/>
      <c r="D16" s="13" t="n"/>
      <c r="E16" s="13" t="n"/>
      <c r="F16" s="13" t="n"/>
      <c r="G16" s="13" t="n"/>
      <c r="H16" s="13" t="n"/>
      <c r="I16" s="13" t="n"/>
      <c r="J16" s="13" t="n"/>
    </row>
    <row r="17">
      <c r="A17" s="3" t="inlineStr">
        <is>
          <t>EVD-013</t>
        </is>
      </c>
      <c r="B17" s="13" t="n"/>
      <c r="C17" s="13" t="n"/>
      <c r="D17" s="13" t="n"/>
      <c r="E17" s="13" t="n"/>
      <c r="F17" s="13" t="n"/>
      <c r="G17" s="13" t="n"/>
      <c r="H17" s="13" t="n"/>
      <c r="I17" s="13" t="n"/>
      <c r="J17" s="13" t="n"/>
    </row>
    <row r="18">
      <c r="A18" s="3" t="inlineStr">
        <is>
          <t>EVD-014</t>
        </is>
      </c>
      <c r="B18" s="13" t="n"/>
      <c r="C18" s="13" t="n"/>
      <c r="D18" s="13" t="n"/>
      <c r="E18" s="13" t="n"/>
      <c r="F18" s="13" t="n"/>
      <c r="G18" s="13" t="n"/>
      <c r="H18" s="13" t="n"/>
      <c r="I18" s="13" t="n"/>
      <c r="J18" s="13" t="n"/>
    </row>
    <row r="19">
      <c r="A19" s="3" t="inlineStr">
        <is>
          <t>EVD-015</t>
        </is>
      </c>
      <c r="B19" s="13" t="n"/>
      <c r="C19" s="13" t="n"/>
      <c r="D19" s="13" t="n"/>
      <c r="E19" s="13" t="n"/>
      <c r="F19" s="13" t="n"/>
      <c r="G19" s="13" t="n"/>
      <c r="H19" s="13" t="n"/>
      <c r="I19" s="13" t="n"/>
      <c r="J19" s="13" t="n"/>
    </row>
    <row r="20">
      <c r="A20" s="3" t="inlineStr">
        <is>
          <t>EVD-016</t>
        </is>
      </c>
      <c r="B20" s="13" t="n"/>
      <c r="C20" s="13" t="n"/>
      <c r="D20" s="13" t="n"/>
      <c r="E20" s="13" t="n"/>
      <c r="F20" s="13" t="n"/>
      <c r="G20" s="13" t="n"/>
      <c r="H20" s="13" t="n"/>
      <c r="I20" s="13" t="n"/>
      <c r="J20" s="13" t="n"/>
    </row>
    <row r="21">
      <c r="A21" s="3" t="inlineStr">
        <is>
          <t>EVD-017</t>
        </is>
      </c>
      <c r="B21" s="13" t="n"/>
      <c r="C21" s="13" t="n"/>
      <c r="D21" s="13" t="n"/>
      <c r="E21" s="13" t="n"/>
      <c r="F21" s="13" t="n"/>
      <c r="G21" s="13" t="n"/>
      <c r="H21" s="13" t="n"/>
      <c r="I21" s="13" t="n"/>
      <c r="J21" s="13" t="n"/>
    </row>
    <row r="22">
      <c r="A22" s="3" t="inlineStr">
        <is>
          <t>EVD-018</t>
        </is>
      </c>
      <c r="B22" s="13" t="n"/>
      <c r="C22" s="13" t="n"/>
      <c r="D22" s="13" t="n"/>
      <c r="E22" s="13" t="n"/>
      <c r="F22" s="13" t="n"/>
      <c r="G22" s="13" t="n"/>
      <c r="H22" s="13" t="n"/>
      <c r="I22" s="13" t="n"/>
      <c r="J22" s="13" t="n"/>
    </row>
    <row r="23">
      <c r="A23" s="3" t="inlineStr">
        <is>
          <t>EVD-019</t>
        </is>
      </c>
      <c r="B23" s="13" t="n"/>
      <c r="C23" s="13" t="n"/>
      <c r="D23" s="13" t="n"/>
      <c r="E23" s="13" t="n"/>
      <c r="F23" s="13" t="n"/>
      <c r="G23" s="13" t="n"/>
      <c r="H23" s="13" t="n"/>
      <c r="I23" s="13" t="n"/>
      <c r="J23" s="13" t="n"/>
    </row>
    <row r="24">
      <c r="A24" s="3" t="inlineStr">
        <is>
          <t>EVD-020</t>
        </is>
      </c>
      <c r="B24" s="13" t="n"/>
      <c r="C24" s="13" t="n"/>
      <c r="D24" s="13" t="n"/>
      <c r="E24" s="13" t="n"/>
      <c r="F24" s="13" t="n"/>
      <c r="G24" s="13" t="n"/>
      <c r="H24" s="13" t="n"/>
      <c r="I24" s="13" t="n"/>
      <c r="J24" s="13" t="n"/>
    </row>
    <row r="25">
      <c r="A25" s="3" t="inlineStr">
        <is>
          <t>EVD-021</t>
        </is>
      </c>
      <c r="B25" s="13" t="n"/>
      <c r="C25" s="13" t="n"/>
      <c r="D25" s="13" t="n"/>
      <c r="E25" s="13" t="n"/>
      <c r="F25" s="13" t="n"/>
      <c r="G25" s="13" t="n"/>
      <c r="H25" s="13" t="n"/>
      <c r="I25" s="13" t="n"/>
      <c r="J25" s="13" t="n"/>
    </row>
    <row r="26">
      <c r="A26" s="3" t="inlineStr">
        <is>
          <t>EVD-022</t>
        </is>
      </c>
      <c r="B26" s="13" t="n"/>
      <c r="C26" s="13" t="n"/>
      <c r="D26" s="13" t="n"/>
      <c r="E26" s="13" t="n"/>
      <c r="F26" s="13" t="n"/>
      <c r="G26" s="13" t="n"/>
      <c r="H26" s="13" t="n"/>
      <c r="I26" s="13" t="n"/>
      <c r="J26" s="13" t="n"/>
    </row>
    <row r="27">
      <c r="A27" s="3" t="inlineStr">
        <is>
          <t>EVD-023</t>
        </is>
      </c>
      <c r="B27" s="13" t="n"/>
      <c r="C27" s="13" t="n"/>
      <c r="D27" s="13" t="n"/>
      <c r="E27" s="13" t="n"/>
      <c r="F27" s="13" t="n"/>
      <c r="G27" s="13" t="n"/>
      <c r="H27" s="13" t="n"/>
      <c r="I27" s="13" t="n"/>
      <c r="J27" s="13" t="n"/>
    </row>
    <row r="28">
      <c r="A28" s="3" t="inlineStr">
        <is>
          <t>EVD-024</t>
        </is>
      </c>
      <c r="B28" s="13" t="n"/>
      <c r="C28" s="13" t="n"/>
      <c r="D28" s="13" t="n"/>
      <c r="E28" s="13" t="n"/>
      <c r="F28" s="13" t="n"/>
      <c r="G28" s="13" t="n"/>
      <c r="H28" s="13" t="n"/>
      <c r="I28" s="13" t="n"/>
      <c r="J28" s="13" t="n"/>
    </row>
    <row r="29">
      <c r="A29" s="3" t="inlineStr">
        <is>
          <t>EVD-025</t>
        </is>
      </c>
      <c r="B29" s="13" t="n"/>
      <c r="C29" s="13" t="n"/>
      <c r="D29" s="13" t="n"/>
      <c r="E29" s="13" t="n"/>
      <c r="F29" s="13" t="n"/>
      <c r="G29" s="13" t="n"/>
      <c r="H29" s="13" t="n"/>
      <c r="I29" s="13" t="n"/>
      <c r="J29" s="13" t="n"/>
    </row>
    <row r="30">
      <c r="A30" s="3" t="inlineStr">
        <is>
          <t>EVD-026</t>
        </is>
      </c>
      <c r="B30" s="13" t="n"/>
      <c r="C30" s="13" t="n"/>
      <c r="D30" s="13" t="n"/>
      <c r="E30" s="13" t="n"/>
      <c r="F30" s="13" t="n"/>
      <c r="G30" s="13" t="n"/>
      <c r="H30" s="13" t="n"/>
      <c r="I30" s="13" t="n"/>
      <c r="J30" s="13" t="n"/>
    </row>
    <row r="31">
      <c r="A31" s="3" t="inlineStr">
        <is>
          <t>EVD-027</t>
        </is>
      </c>
      <c r="B31" s="13" t="n"/>
      <c r="C31" s="13" t="n"/>
      <c r="D31" s="13" t="n"/>
      <c r="E31" s="13" t="n"/>
      <c r="F31" s="13" t="n"/>
      <c r="G31" s="13" t="n"/>
      <c r="H31" s="13" t="n"/>
      <c r="I31" s="13" t="n"/>
      <c r="J31" s="13" t="n"/>
    </row>
    <row r="32">
      <c r="A32" s="3" t="inlineStr">
        <is>
          <t>EVD-028</t>
        </is>
      </c>
      <c r="B32" s="13" t="n"/>
      <c r="C32" s="13" t="n"/>
      <c r="D32" s="13" t="n"/>
      <c r="E32" s="13" t="n"/>
      <c r="F32" s="13" t="n"/>
      <c r="G32" s="13" t="n"/>
      <c r="H32" s="13" t="n"/>
      <c r="I32" s="13" t="n"/>
      <c r="J32" s="13" t="n"/>
    </row>
    <row r="33">
      <c r="A33" s="3" t="inlineStr">
        <is>
          <t>EVD-029</t>
        </is>
      </c>
      <c r="B33" s="13" t="n"/>
      <c r="C33" s="13" t="n"/>
      <c r="D33" s="13" t="n"/>
      <c r="E33" s="13" t="n"/>
      <c r="F33" s="13" t="n"/>
      <c r="G33" s="13" t="n"/>
      <c r="H33" s="13" t="n"/>
      <c r="I33" s="13" t="n"/>
      <c r="J33" s="13" t="n"/>
    </row>
    <row r="34">
      <c r="A34" s="3" t="inlineStr">
        <is>
          <t>EVD-030</t>
        </is>
      </c>
      <c r="B34" s="13" t="n"/>
      <c r="C34" s="13" t="n"/>
      <c r="D34" s="13" t="n"/>
      <c r="E34" s="13" t="n"/>
      <c r="F34" s="13" t="n"/>
      <c r="G34" s="13" t="n"/>
      <c r="H34" s="13" t="n"/>
      <c r="I34" s="13" t="n"/>
      <c r="J34" s="13" t="n"/>
    </row>
    <row r="35">
      <c r="A35" s="3" t="inlineStr">
        <is>
          <t>EVD-031</t>
        </is>
      </c>
      <c r="B35" s="13" t="n"/>
      <c r="C35" s="13" t="n"/>
      <c r="D35" s="13" t="n"/>
      <c r="E35" s="13" t="n"/>
      <c r="F35" s="13" t="n"/>
      <c r="G35" s="13" t="n"/>
      <c r="H35" s="13" t="n"/>
      <c r="I35" s="13" t="n"/>
      <c r="J35" s="13" t="n"/>
    </row>
    <row r="36">
      <c r="A36" s="3" t="inlineStr">
        <is>
          <t>EVD-032</t>
        </is>
      </c>
      <c r="B36" s="13" t="n"/>
      <c r="C36" s="13" t="n"/>
      <c r="D36" s="13" t="n"/>
      <c r="E36" s="13" t="n"/>
      <c r="F36" s="13" t="n"/>
      <c r="G36" s="13" t="n"/>
      <c r="H36" s="13" t="n"/>
      <c r="I36" s="13" t="n"/>
      <c r="J36" s="13" t="n"/>
    </row>
    <row r="37">
      <c r="A37" s="3" t="inlineStr">
        <is>
          <t>EVD-033</t>
        </is>
      </c>
      <c r="B37" s="13" t="n"/>
      <c r="C37" s="13" t="n"/>
      <c r="D37" s="13" t="n"/>
      <c r="E37" s="13" t="n"/>
      <c r="F37" s="13" t="n"/>
      <c r="G37" s="13" t="n"/>
      <c r="H37" s="13" t="n"/>
      <c r="I37" s="13" t="n"/>
      <c r="J37" s="13" t="n"/>
    </row>
    <row r="38">
      <c r="A38" s="3" t="inlineStr">
        <is>
          <t>EVD-034</t>
        </is>
      </c>
      <c r="B38" s="13" t="n"/>
      <c r="C38" s="13" t="n"/>
      <c r="D38" s="13" t="n"/>
      <c r="E38" s="13" t="n"/>
      <c r="F38" s="13" t="n"/>
      <c r="G38" s="13" t="n"/>
      <c r="H38" s="13" t="n"/>
      <c r="I38" s="13" t="n"/>
      <c r="J38" s="13" t="n"/>
    </row>
    <row r="39">
      <c r="A39" s="3" t="inlineStr">
        <is>
          <t>EVD-035</t>
        </is>
      </c>
      <c r="B39" s="13" t="n"/>
      <c r="C39" s="13" t="n"/>
      <c r="D39" s="13" t="n"/>
      <c r="E39" s="13" t="n"/>
      <c r="F39" s="13" t="n"/>
      <c r="G39" s="13" t="n"/>
      <c r="H39" s="13" t="n"/>
      <c r="I39" s="13" t="n"/>
      <c r="J39" s="13" t="n"/>
    </row>
    <row r="40">
      <c r="A40" s="3" t="inlineStr">
        <is>
          <t>EVD-036</t>
        </is>
      </c>
      <c r="B40" s="13" t="n"/>
      <c r="C40" s="13" t="n"/>
      <c r="D40" s="13" t="n"/>
      <c r="E40" s="13" t="n"/>
      <c r="F40" s="13" t="n"/>
      <c r="G40" s="13" t="n"/>
      <c r="H40" s="13" t="n"/>
      <c r="I40" s="13" t="n"/>
      <c r="J40" s="13" t="n"/>
    </row>
    <row r="41">
      <c r="A41" s="3" t="inlineStr">
        <is>
          <t>EVD-037</t>
        </is>
      </c>
      <c r="B41" s="13" t="n"/>
      <c r="C41" s="13" t="n"/>
      <c r="D41" s="13" t="n"/>
      <c r="E41" s="13" t="n"/>
      <c r="F41" s="13" t="n"/>
      <c r="G41" s="13" t="n"/>
      <c r="H41" s="13" t="n"/>
      <c r="I41" s="13" t="n"/>
      <c r="J41" s="13" t="n"/>
    </row>
    <row r="42">
      <c r="A42" s="3" t="inlineStr">
        <is>
          <t>EVD-038</t>
        </is>
      </c>
      <c r="B42" s="13" t="n"/>
      <c r="C42" s="13" t="n"/>
      <c r="D42" s="13" t="n"/>
      <c r="E42" s="13" t="n"/>
      <c r="F42" s="13" t="n"/>
      <c r="G42" s="13" t="n"/>
      <c r="H42" s="13" t="n"/>
      <c r="I42" s="13" t="n"/>
      <c r="J42" s="13" t="n"/>
    </row>
    <row r="43">
      <c r="A43" s="3" t="inlineStr">
        <is>
          <t>EVD-039</t>
        </is>
      </c>
      <c r="B43" s="13" t="n"/>
      <c r="C43" s="13" t="n"/>
      <c r="D43" s="13" t="n"/>
      <c r="E43" s="13" t="n"/>
      <c r="F43" s="13" t="n"/>
      <c r="G43" s="13" t="n"/>
      <c r="H43" s="13" t="n"/>
      <c r="I43" s="13" t="n"/>
      <c r="J43" s="13" t="n"/>
    </row>
    <row r="44">
      <c r="A44" s="3" t="inlineStr">
        <is>
          <t>EVD-040</t>
        </is>
      </c>
      <c r="B44" s="13" t="n"/>
      <c r="C44" s="13" t="n"/>
      <c r="D44" s="13" t="n"/>
      <c r="E44" s="13" t="n"/>
      <c r="F44" s="13" t="n"/>
      <c r="G44" s="13" t="n"/>
      <c r="H44" s="13" t="n"/>
      <c r="I44" s="13" t="n"/>
      <c r="J44" s="13" t="n"/>
    </row>
    <row r="45">
      <c r="A45" s="3" t="inlineStr">
        <is>
          <t>EVD-041</t>
        </is>
      </c>
      <c r="B45" s="13" t="n"/>
      <c r="C45" s="13" t="n"/>
      <c r="D45" s="13" t="n"/>
      <c r="E45" s="13" t="n"/>
      <c r="F45" s="13" t="n"/>
      <c r="G45" s="13" t="n"/>
      <c r="H45" s="13" t="n"/>
      <c r="I45" s="13" t="n"/>
      <c r="J45" s="13" t="n"/>
    </row>
    <row r="46">
      <c r="A46" s="3" t="inlineStr">
        <is>
          <t>EVD-042</t>
        </is>
      </c>
      <c r="B46" s="13" t="n"/>
      <c r="C46" s="13" t="n"/>
      <c r="D46" s="13" t="n"/>
      <c r="E46" s="13" t="n"/>
      <c r="F46" s="13" t="n"/>
      <c r="G46" s="13" t="n"/>
      <c r="H46" s="13" t="n"/>
      <c r="I46" s="13" t="n"/>
      <c r="J46" s="13" t="n"/>
    </row>
    <row r="47">
      <c r="A47" s="3" t="inlineStr">
        <is>
          <t>EVD-043</t>
        </is>
      </c>
      <c r="B47" s="13" t="n"/>
      <c r="C47" s="13" t="n"/>
      <c r="D47" s="13" t="n"/>
      <c r="E47" s="13" t="n"/>
      <c r="F47" s="13" t="n"/>
      <c r="G47" s="13" t="n"/>
      <c r="H47" s="13" t="n"/>
      <c r="I47" s="13" t="n"/>
      <c r="J47" s="13" t="n"/>
    </row>
    <row r="48">
      <c r="A48" s="3" t="inlineStr">
        <is>
          <t>EVD-044</t>
        </is>
      </c>
      <c r="B48" s="13" t="n"/>
      <c r="C48" s="13" t="n"/>
      <c r="D48" s="13" t="n"/>
      <c r="E48" s="13" t="n"/>
      <c r="F48" s="13" t="n"/>
      <c r="G48" s="13" t="n"/>
      <c r="H48" s="13" t="n"/>
      <c r="I48" s="13" t="n"/>
      <c r="J48" s="13" t="n"/>
    </row>
    <row r="49">
      <c r="A49" s="3" t="inlineStr">
        <is>
          <t>EVD-045</t>
        </is>
      </c>
      <c r="B49" s="13" t="n"/>
      <c r="C49" s="13" t="n"/>
      <c r="D49" s="13" t="n"/>
      <c r="E49" s="13" t="n"/>
      <c r="F49" s="13" t="n"/>
      <c r="G49" s="13" t="n"/>
      <c r="H49" s="13" t="n"/>
      <c r="I49" s="13" t="n"/>
      <c r="J49" s="13" t="n"/>
    </row>
    <row r="50">
      <c r="A50" s="3" t="inlineStr">
        <is>
          <t>EVD-046</t>
        </is>
      </c>
      <c r="B50" s="13" t="n"/>
      <c r="C50" s="13" t="n"/>
      <c r="D50" s="13" t="n"/>
      <c r="E50" s="13" t="n"/>
      <c r="F50" s="13" t="n"/>
      <c r="G50" s="13" t="n"/>
      <c r="H50" s="13" t="n"/>
      <c r="I50" s="13" t="n"/>
      <c r="J50" s="13" t="n"/>
    </row>
    <row r="51">
      <c r="A51" s="3" t="inlineStr">
        <is>
          <t>EVD-047</t>
        </is>
      </c>
      <c r="B51" s="13" t="n"/>
      <c r="C51" s="13" t="n"/>
      <c r="D51" s="13" t="n"/>
      <c r="E51" s="13" t="n"/>
      <c r="F51" s="13" t="n"/>
      <c r="G51" s="13" t="n"/>
      <c r="H51" s="13" t="n"/>
      <c r="I51" s="13" t="n"/>
      <c r="J51" s="13" t="n"/>
    </row>
    <row r="52">
      <c r="A52" s="3" t="inlineStr">
        <is>
          <t>EVD-048</t>
        </is>
      </c>
      <c r="B52" s="13" t="n"/>
      <c r="C52" s="13" t="n"/>
      <c r="D52" s="13" t="n"/>
      <c r="E52" s="13" t="n"/>
      <c r="F52" s="13" t="n"/>
      <c r="G52" s="13" t="n"/>
      <c r="H52" s="13" t="n"/>
      <c r="I52" s="13" t="n"/>
      <c r="J52" s="13" t="n"/>
    </row>
    <row r="53">
      <c r="A53" s="3" t="inlineStr">
        <is>
          <t>EVD-049</t>
        </is>
      </c>
      <c r="B53" s="13" t="n"/>
      <c r="C53" s="13" t="n"/>
      <c r="D53" s="13" t="n"/>
      <c r="E53" s="13" t="n"/>
      <c r="F53" s="13" t="n"/>
      <c r="G53" s="13" t="n"/>
      <c r="H53" s="13" t="n"/>
      <c r="I53" s="13" t="n"/>
      <c r="J53" s="13" t="n"/>
    </row>
    <row r="54">
      <c r="A54" s="3" t="inlineStr">
        <is>
          <t>EVD-050</t>
        </is>
      </c>
      <c r="B54" s="13" t="n"/>
      <c r="C54" s="13" t="n"/>
      <c r="D54" s="13" t="n"/>
      <c r="E54" s="13" t="n"/>
      <c r="F54" s="13" t="n"/>
      <c r="G54" s="13" t="n"/>
      <c r="H54" s="13" t="n"/>
      <c r="I54" s="13" t="n"/>
      <c r="J54" s="13" t="n"/>
    </row>
    <row r="55">
      <c r="A55" s="3" t="inlineStr">
        <is>
          <t>EVD-051</t>
        </is>
      </c>
      <c r="B55" s="13" t="n"/>
      <c r="C55" s="13" t="n"/>
      <c r="D55" s="13" t="n"/>
      <c r="E55" s="13" t="n"/>
      <c r="F55" s="13" t="n"/>
      <c r="G55" s="13" t="n"/>
      <c r="H55" s="13" t="n"/>
      <c r="I55" s="13" t="n"/>
      <c r="J55" s="13" t="n"/>
    </row>
    <row r="56">
      <c r="A56" s="3" t="inlineStr">
        <is>
          <t>EVD-052</t>
        </is>
      </c>
      <c r="B56" s="13" t="n"/>
      <c r="C56" s="13" t="n"/>
      <c r="D56" s="13" t="n"/>
      <c r="E56" s="13" t="n"/>
      <c r="F56" s="13" t="n"/>
      <c r="G56" s="13" t="n"/>
      <c r="H56" s="13" t="n"/>
      <c r="I56" s="13" t="n"/>
      <c r="J56" s="13" t="n"/>
    </row>
    <row r="57">
      <c r="A57" s="3" t="inlineStr">
        <is>
          <t>EVD-053</t>
        </is>
      </c>
      <c r="B57" s="13" t="n"/>
      <c r="C57" s="13" t="n"/>
      <c r="D57" s="13" t="n"/>
      <c r="E57" s="13" t="n"/>
      <c r="F57" s="13" t="n"/>
      <c r="G57" s="13" t="n"/>
      <c r="H57" s="13" t="n"/>
      <c r="I57" s="13" t="n"/>
      <c r="J57" s="13" t="n"/>
    </row>
    <row r="58">
      <c r="A58" s="3" t="inlineStr">
        <is>
          <t>EVD-054</t>
        </is>
      </c>
      <c r="B58" s="13" t="n"/>
      <c r="C58" s="13" t="n"/>
      <c r="D58" s="13" t="n"/>
      <c r="E58" s="13" t="n"/>
      <c r="F58" s="13" t="n"/>
      <c r="G58" s="13" t="n"/>
      <c r="H58" s="13" t="n"/>
      <c r="I58" s="13" t="n"/>
      <c r="J58" s="13" t="n"/>
    </row>
    <row r="59">
      <c r="A59" s="3" t="inlineStr">
        <is>
          <t>EVD-055</t>
        </is>
      </c>
      <c r="B59" s="13" t="n"/>
      <c r="C59" s="13" t="n"/>
      <c r="D59" s="13" t="n"/>
      <c r="E59" s="13" t="n"/>
      <c r="F59" s="13" t="n"/>
      <c r="G59" s="13" t="n"/>
      <c r="H59" s="13" t="n"/>
      <c r="I59" s="13" t="n"/>
      <c r="J59" s="13" t="n"/>
    </row>
    <row r="60">
      <c r="A60" s="3" t="inlineStr">
        <is>
          <t>EVD-056</t>
        </is>
      </c>
      <c r="B60" s="13" t="n"/>
      <c r="C60" s="13" t="n"/>
      <c r="D60" s="13" t="n"/>
      <c r="E60" s="13" t="n"/>
      <c r="F60" s="13" t="n"/>
      <c r="G60" s="13" t="n"/>
      <c r="H60" s="13" t="n"/>
      <c r="I60" s="13" t="n"/>
      <c r="J60" s="13" t="n"/>
    </row>
    <row r="61">
      <c r="A61" s="3" t="inlineStr">
        <is>
          <t>EVD-057</t>
        </is>
      </c>
      <c r="B61" s="13" t="n"/>
      <c r="C61" s="13" t="n"/>
      <c r="D61" s="13" t="n"/>
      <c r="E61" s="13" t="n"/>
      <c r="F61" s="13" t="n"/>
      <c r="G61" s="13" t="n"/>
      <c r="H61" s="13" t="n"/>
      <c r="I61" s="13" t="n"/>
      <c r="J61" s="13" t="n"/>
    </row>
    <row r="62">
      <c r="A62" s="3" t="inlineStr">
        <is>
          <t>EVD-058</t>
        </is>
      </c>
      <c r="B62" s="13" t="n"/>
      <c r="C62" s="13" t="n"/>
      <c r="D62" s="13" t="n"/>
      <c r="E62" s="13" t="n"/>
      <c r="F62" s="13" t="n"/>
      <c r="G62" s="13" t="n"/>
      <c r="H62" s="13" t="n"/>
      <c r="I62" s="13" t="n"/>
      <c r="J62" s="13" t="n"/>
    </row>
    <row r="63">
      <c r="A63" s="3" t="inlineStr">
        <is>
          <t>EVD-059</t>
        </is>
      </c>
      <c r="B63" s="13" t="n"/>
      <c r="C63" s="13" t="n"/>
      <c r="D63" s="13" t="n"/>
      <c r="E63" s="13" t="n"/>
      <c r="F63" s="13" t="n"/>
      <c r="G63" s="13" t="n"/>
      <c r="H63" s="13" t="n"/>
      <c r="I63" s="13" t="n"/>
      <c r="J63" s="13" t="n"/>
    </row>
    <row r="64">
      <c r="A64" s="3" t="inlineStr">
        <is>
          <t>EVD-060</t>
        </is>
      </c>
      <c r="B64" s="13" t="n"/>
      <c r="C64" s="13" t="n"/>
      <c r="D64" s="13" t="n"/>
      <c r="E64" s="13" t="n"/>
      <c r="F64" s="13" t="n"/>
      <c r="G64" s="13" t="n"/>
      <c r="H64" s="13" t="n"/>
      <c r="I64" s="13" t="n"/>
      <c r="J64" s="13" t="n"/>
    </row>
    <row r="65">
      <c r="A65" s="3" t="inlineStr">
        <is>
          <t>EVD-061</t>
        </is>
      </c>
      <c r="B65" s="13" t="n"/>
      <c r="C65" s="13" t="n"/>
      <c r="D65" s="13" t="n"/>
      <c r="E65" s="13" t="n"/>
      <c r="F65" s="13" t="n"/>
      <c r="G65" s="13" t="n"/>
      <c r="H65" s="13" t="n"/>
      <c r="I65" s="13" t="n"/>
      <c r="J65" s="13" t="n"/>
    </row>
    <row r="66">
      <c r="A66" s="3" t="inlineStr">
        <is>
          <t>EVD-062</t>
        </is>
      </c>
      <c r="B66" s="13" t="n"/>
      <c r="C66" s="13" t="n"/>
      <c r="D66" s="13" t="n"/>
      <c r="E66" s="13" t="n"/>
      <c r="F66" s="13" t="n"/>
      <c r="G66" s="13" t="n"/>
      <c r="H66" s="13" t="n"/>
      <c r="I66" s="13" t="n"/>
      <c r="J66" s="13" t="n"/>
    </row>
    <row r="67">
      <c r="A67" s="3" t="inlineStr">
        <is>
          <t>EVD-063</t>
        </is>
      </c>
      <c r="B67" s="13" t="n"/>
      <c r="C67" s="13" t="n"/>
      <c r="D67" s="13" t="n"/>
      <c r="E67" s="13" t="n"/>
      <c r="F67" s="13" t="n"/>
      <c r="G67" s="13" t="n"/>
      <c r="H67" s="13" t="n"/>
      <c r="I67" s="13" t="n"/>
      <c r="J67" s="13" t="n"/>
    </row>
    <row r="68">
      <c r="A68" s="3" t="inlineStr">
        <is>
          <t>EVD-064</t>
        </is>
      </c>
      <c r="B68" s="13" t="n"/>
      <c r="C68" s="13" t="n"/>
      <c r="D68" s="13" t="n"/>
      <c r="E68" s="13" t="n"/>
      <c r="F68" s="13" t="n"/>
      <c r="G68" s="13" t="n"/>
      <c r="H68" s="13" t="n"/>
      <c r="I68" s="13" t="n"/>
      <c r="J68" s="13" t="n"/>
    </row>
    <row r="69">
      <c r="A69" s="3" t="inlineStr">
        <is>
          <t>EVD-065</t>
        </is>
      </c>
      <c r="B69" s="13" t="n"/>
      <c r="C69" s="13" t="n"/>
      <c r="D69" s="13" t="n"/>
      <c r="E69" s="13" t="n"/>
      <c r="F69" s="13" t="n"/>
      <c r="G69" s="13" t="n"/>
      <c r="H69" s="13" t="n"/>
      <c r="I69" s="13" t="n"/>
      <c r="J69" s="13" t="n"/>
    </row>
    <row r="70">
      <c r="A70" s="3" t="inlineStr">
        <is>
          <t>EVD-066</t>
        </is>
      </c>
      <c r="B70" s="13" t="n"/>
      <c r="C70" s="13" t="n"/>
      <c r="D70" s="13" t="n"/>
      <c r="E70" s="13" t="n"/>
      <c r="F70" s="13" t="n"/>
      <c r="G70" s="13" t="n"/>
      <c r="H70" s="13" t="n"/>
      <c r="I70" s="13" t="n"/>
      <c r="J70" s="13" t="n"/>
    </row>
    <row r="71">
      <c r="A71" s="3" t="inlineStr">
        <is>
          <t>EVD-067</t>
        </is>
      </c>
      <c r="B71" s="13" t="n"/>
      <c r="C71" s="13" t="n"/>
      <c r="D71" s="13" t="n"/>
      <c r="E71" s="13" t="n"/>
      <c r="F71" s="13" t="n"/>
      <c r="G71" s="13" t="n"/>
      <c r="H71" s="13" t="n"/>
      <c r="I71" s="13" t="n"/>
      <c r="J71" s="13" t="n"/>
    </row>
    <row r="72">
      <c r="A72" s="3" t="inlineStr">
        <is>
          <t>EVD-068</t>
        </is>
      </c>
      <c r="B72" s="13" t="n"/>
      <c r="C72" s="13" t="n"/>
      <c r="D72" s="13" t="n"/>
      <c r="E72" s="13" t="n"/>
      <c r="F72" s="13" t="n"/>
      <c r="G72" s="13" t="n"/>
      <c r="H72" s="13" t="n"/>
      <c r="I72" s="13" t="n"/>
      <c r="J72" s="13" t="n"/>
    </row>
    <row r="73">
      <c r="A73" s="3" t="inlineStr">
        <is>
          <t>EVD-069</t>
        </is>
      </c>
      <c r="B73" s="13" t="n"/>
      <c r="C73" s="13" t="n"/>
      <c r="D73" s="13" t="n"/>
      <c r="E73" s="13" t="n"/>
      <c r="F73" s="13" t="n"/>
      <c r="G73" s="13" t="n"/>
      <c r="H73" s="13" t="n"/>
      <c r="I73" s="13" t="n"/>
      <c r="J73" s="13" t="n"/>
    </row>
    <row r="74">
      <c r="A74" s="3" t="inlineStr">
        <is>
          <t>EVD-070</t>
        </is>
      </c>
      <c r="B74" s="13" t="n"/>
      <c r="C74" s="13" t="n"/>
      <c r="D74" s="13" t="n"/>
      <c r="E74" s="13" t="n"/>
      <c r="F74" s="13" t="n"/>
      <c r="G74" s="13" t="n"/>
      <c r="H74" s="13" t="n"/>
      <c r="I74" s="13" t="n"/>
      <c r="J74" s="13" t="n"/>
    </row>
    <row r="75">
      <c r="A75" s="3" t="inlineStr">
        <is>
          <t>EVD-071</t>
        </is>
      </c>
      <c r="B75" s="13" t="n"/>
      <c r="C75" s="13" t="n"/>
      <c r="D75" s="13" t="n"/>
      <c r="E75" s="13" t="n"/>
      <c r="F75" s="13" t="n"/>
      <c r="G75" s="13" t="n"/>
      <c r="H75" s="13" t="n"/>
      <c r="I75" s="13" t="n"/>
      <c r="J75" s="13" t="n"/>
    </row>
    <row r="76">
      <c r="A76" s="3" t="inlineStr">
        <is>
          <t>EVD-072</t>
        </is>
      </c>
      <c r="B76" s="13" t="n"/>
      <c r="C76" s="13" t="n"/>
      <c r="D76" s="13" t="n"/>
      <c r="E76" s="13" t="n"/>
      <c r="F76" s="13" t="n"/>
      <c r="G76" s="13" t="n"/>
      <c r="H76" s="13" t="n"/>
      <c r="I76" s="13" t="n"/>
      <c r="J76" s="13" t="n"/>
    </row>
    <row r="77">
      <c r="A77" s="3" t="inlineStr">
        <is>
          <t>EVD-073</t>
        </is>
      </c>
      <c r="B77" s="13" t="n"/>
      <c r="C77" s="13" t="n"/>
      <c r="D77" s="13" t="n"/>
      <c r="E77" s="13" t="n"/>
      <c r="F77" s="13" t="n"/>
      <c r="G77" s="13" t="n"/>
      <c r="H77" s="13" t="n"/>
      <c r="I77" s="13" t="n"/>
      <c r="J77" s="13" t="n"/>
    </row>
    <row r="78">
      <c r="A78" s="3" t="inlineStr">
        <is>
          <t>EVD-074</t>
        </is>
      </c>
      <c r="B78" s="13" t="n"/>
      <c r="C78" s="13" t="n"/>
      <c r="D78" s="13" t="n"/>
      <c r="E78" s="13" t="n"/>
      <c r="F78" s="13" t="n"/>
      <c r="G78" s="13" t="n"/>
      <c r="H78" s="13" t="n"/>
      <c r="I78" s="13" t="n"/>
      <c r="J78" s="13" t="n"/>
    </row>
    <row r="79">
      <c r="A79" s="3" t="inlineStr">
        <is>
          <t>EVD-075</t>
        </is>
      </c>
      <c r="B79" s="13" t="n"/>
      <c r="C79" s="13" t="n"/>
      <c r="D79" s="13" t="n"/>
      <c r="E79" s="13" t="n"/>
      <c r="F79" s="13" t="n"/>
      <c r="G79" s="13" t="n"/>
      <c r="H79" s="13" t="n"/>
      <c r="I79" s="13" t="n"/>
      <c r="J79" s="13" t="n"/>
    </row>
    <row r="80">
      <c r="A80" s="3" t="inlineStr">
        <is>
          <t>EVD-076</t>
        </is>
      </c>
      <c r="B80" s="13" t="n"/>
      <c r="C80" s="13" t="n"/>
      <c r="D80" s="13" t="n"/>
      <c r="E80" s="13" t="n"/>
      <c r="F80" s="13" t="n"/>
      <c r="G80" s="13" t="n"/>
      <c r="H80" s="13" t="n"/>
      <c r="I80" s="13" t="n"/>
      <c r="J80" s="13" t="n"/>
    </row>
    <row r="81">
      <c r="A81" s="3" t="inlineStr">
        <is>
          <t>EVD-077</t>
        </is>
      </c>
      <c r="B81" s="13" t="n"/>
      <c r="C81" s="13" t="n"/>
      <c r="D81" s="13" t="n"/>
      <c r="E81" s="13" t="n"/>
      <c r="F81" s="13" t="n"/>
      <c r="G81" s="13" t="n"/>
      <c r="H81" s="13" t="n"/>
      <c r="I81" s="13" t="n"/>
      <c r="J81" s="13" t="n"/>
    </row>
    <row r="82">
      <c r="A82" s="3" t="inlineStr">
        <is>
          <t>EVD-078</t>
        </is>
      </c>
      <c r="B82" s="13" t="n"/>
      <c r="C82" s="13" t="n"/>
      <c r="D82" s="13" t="n"/>
      <c r="E82" s="13" t="n"/>
      <c r="F82" s="13" t="n"/>
      <c r="G82" s="13" t="n"/>
      <c r="H82" s="13" t="n"/>
      <c r="I82" s="13" t="n"/>
      <c r="J82" s="13" t="n"/>
    </row>
    <row r="83">
      <c r="A83" s="3" t="inlineStr">
        <is>
          <t>EVD-079</t>
        </is>
      </c>
      <c r="B83" s="13" t="n"/>
      <c r="C83" s="13" t="n"/>
      <c r="D83" s="13" t="n"/>
      <c r="E83" s="13" t="n"/>
      <c r="F83" s="13" t="n"/>
      <c r="G83" s="13" t="n"/>
      <c r="H83" s="13" t="n"/>
      <c r="I83" s="13" t="n"/>
      <c r="J83" s="13" t="n"/>
    </row>
    <row r="84">
      <c r="A84" s="3" t="inlineStr">
        <is>
          <t>EVD-080</t>
        </is>
      </c>
      <c r="B84" s="13" t="n"/>
      <c r="C84" s="13" t="n"/>
      <c r="D84" s="13" t="n"/>
      <c r="E84" s="13" t="n"/>
      <c r="F84" s="13" t="n"/>
      <c r="G84" s="13" t="n"/>
      <c r="H84" s="13" t="n"/>
      <c r="I84" s="13" t="n"/>
      <c r="J84" s="13" t="n"/>
    </row>
    <row r="85">
      <c r="A85" s="3" t="inlineStr">
        <is>
          <t>EVD-081</t>
        </is>
      </c>
      <c r="B85" s="13" t="n"/>
      <c r="C85" s="13" t="n"/>
      <c r="D85" s="13" t="n"/>
      <c r="E85" s="13" t="n"/>
      <c r="F85" s="13" t="n"/>
      <c r="G85" s="13" t="n"/>
      <c r="H85" s="13" t="n"/>
      <c r="I85" s="13" t="n"/>
      <c r="J85" s="13" t="n"/>
    </row>
    <row r="86">
      <c r="A86" s="3" t="inlineStr">
        <is>
          <t>EVD-082</t>
        </is>
      </c>
      <c r="B86" s="13" t="n"/>
      <c r="C86" s="13" t="n"/>
      <c r="D86" s="13" t="n"/>
      <c r="E86" s="13" t="n"/>
      <c r="F86" s="13" t="n"/>
      <c r="G86" s="13" t="n"/>
      <c r="H86" s="13" t="n"/>
      <c r="I86" s="13" t="n"/>
      <c r="J86" s="13" t="n"/>
    </row>
    <row r="87">
      <c r="A87" s="3" t="inlineStr">
        <is>
          <t>EVD-083</t>
        </is>
      </c>
      <c r="B87" s="13" t="n"/>
      <c r="C87" s="13" t="n"/>
      <c r="D87" s="13" t="n"/>
      <c r="E87" s="13" t="n"/>
      <c r="F87" s="13" t="n"/>
      <c r="G87" s="13" t="n"/>
      <c r="H87" s="13" t="n"/>
      <c r="I87" s="13" t="n"/>
      <c r="J87" s="13" t="n"/>
    </row>
    <row r="88">
      <c r="A88" s="3" t="inlineStr">
        <is>
          <t>EVD-084</t>
        </is>
      </c>
      <c r="B88" s="13" t="n"/>
      <c r="C88" s="13" t="n"/>
      <c r="D88" s="13" t="n"/>
      <c r="E88" s="13" t="n"/>
      <c r="F88" s="13" t="n"/>
      <c r="G88" s="13" t="n"/>
      <c r="H88" s="13" t="n"/>
      <c r="I88" s="13" t="n"/>
      <c r="J88" s="13" t="n"/>
    </row>
    <row r="89">
      <c r="A89" s="3" t="inlineStr">
        <is>
          <t>EVD-085</t>
        </is>
      </c>
      <c r="B89" s="13" t="n"/>
      <c r="C89" s="13" t="n"/>
      <c r="D89" s="13" t="n"/>
      <c r="E89" s="13" t="n"/>
      <c r="F89" s="13" t="n"/>
      <c r="G89" s="13" t="n"/>
      <c r="H89" s="13" t="n"/>
      <c r="I89" s="13" t="n"/>
      <c r="J89" s="13" t="n"/>
    </row>
    <row r="90">
      <c r="A90" s="3" t="inlineStr">
        <is>
          <t>EVD-086</t>
        </is>
      </c>
      <c r="B90" s="13" t="n"/>
      <c r="C90" s="13" t="n"/>
      <c r="D90" s="13" t="n"/>
      <c r="E90" s="13" t="n"/>
      <c r="F90" s="13" t="n"/>
      <c r="G90" s="13" t="n"/>
      <c r="H90" s="13" t="n"/>
      <c r="I90" s="13" t="n"/>
      <c r="J90" s="13" t="n"/>
    </row>
    <row r="91">
      <c r="A91" s="3" t="inlineStr">
        <is>
          <t>EVD-087</t>
        </is>
      </c>
      <c r="B91" s="13" t="n"/>
      <c r="C91" s="13" t="n"/>
      <c r="D91" s="13" t="n"/>
      <c r="E91" s="13" t="n"/>
      <c r="F91" s="13" t="n"/>
      <c r="G91" s="13" t="n"/>
      <c r="H91" s="13" t="n"/>
      <c r="I91" s="13" t="n"/>
      <c r="J91" s="13" t="n"/>
    </row>
    <row r="92">
      <c r="A92" s="3" t="inlineStr">
        <is>
          <t>EVD-088</t>
        </is>
      </c>
      <c r="B92" s="13" t="n"/>
      <c r="C92" s="13" t="n"/>
      <c r="D92" s="13" t="n"/>
      <c r="E92" s="13" t="n"/>
      <c r="F92" s="13" t="n"/>
      <c r="G92" s="13" t="n"/>
      <c r="H92" s="13" t="n"/>
      <c r="I92" s="13" t="n"/>
      <c r="J92" s="13" t="n"/>
    </row>
    <row r="93">
      <c r="A93" s="3" t="inlineStr">
        <is>
          <t>EVD-089</t>
        </is>
      </c>
      <c r="B93" s="13" t="n"/>
      <c r="C93" s="13" t="n"/>
      <c r="D93" s="13" t="n"/>
      <c r="E93" s="13" t="n"/>
      <c r="F93" s="13" t="n"/>
      <c r="G93" s="13" t="n"/>
      <c r="H93" s="13" t="n"/>
      <c r="I93" s="13" t="n"/>
      <c r="J93" s="13" t="n"/>
    </row>
    <row r="94">
      <c r="A94" s="3" t="inlineStr">
        <is>
          <t>EVD-090</t>
        </is>
      </c>
      <c r="B94" s="13" t="n"/>
      <c r="C94" s="13" t="n"/>
      <c r="D94" s="13" t="n"/>
      <c r="E94" s="13" t="n"/>
      <c r="F94" s="13" t="n"/>
      <c r="G94" s="13" t="n"/>
      <c r="H94" s="13" t="n"/>
      <c r="I94" s="13" t="n"/>
      <c r="J94" s="13" t="n"/>
    </row>
    <row r="95">
      <c r="A95" s="3" t="inlineStr">
        <is>
          <t>EVD-091</t>
        </is>
      </c>
      <c r="B95" s="13" t="n"/>
      <c r="C95" s="13" t="n"/>
      <c r="D95" s="13" t="n"/>
      <c r="E95" s="13" t="n"/>
      <c r="F95" s="13" t="n"/>
      <c r="G95" s="13" t="n"/>
      <c r="H95" s="13" t="n"/>
      <c r="I95" s="13" t="n"/>
      <c r="J95" s="13" t="n"/>
    </row>
    <row r="96">
      <c r="A96" s="3" t="inlineStr">
        <is>
          <t>EVD-092</t>
        </is>
      </c>
      <c r="B96" s="13" t="n"/>
      <c r="C96" s="13" t="n"/>
      <c r="D96" s="13" t="n"/>
      <c r="E96" s="13" t="n"/>
      <c r="F96" s="13" t="n"/>
      <c r="G96" s="13" t="n"/>
      <c r="H96" s="13" t="n"/>
      <c r="I96" s="13" t="n"/>
      <c r="J96" s="13" t="n"/>
    </row>
    <row r="97">
      <c r="A97" s="3" t="inlineStr">
        <is>
          <t>EVD-093</t>
        </is>
      </c>
      <c r="B97" s="13" t="n"/>
      <c r="C97" s="13" t="n"/>
      <c r="D97" s="13" t="n"/>
      <c r="E97" s="13" t="n"/>
      <c r="F97" s="13" t="n"/>
      <c r="G97" s="13" t="n"/>
      <c r="H97" s="13" t="n"/>
      <c r="I97" s="13" t="n"/>
      <c r="J97" s="13" t="n"/>
    </row>
    <row r="98">
      <c r="A98" s="3" t="inlineStr">
        <is>
          <t>EVD-094</t>
        </is>
      </c>
      <c r="B98" s="13" t="n"/>
      <c r="C98" s="13" t="n"/>
      <c r="D98" s="13" t="n"/>
      <c r="E98" s="13" t="n"/>
      <c r="F98" s="13" t="n"/>
      <c r="G98" s="13" t="n"/>
      <c r="H98" s="13" t="n"/>
      <c r="I98" s="13" t="n"/>
      <c r="J98" s="13" t="n"/>
    </row>
    <row r="99">
      <c r="A99" s="3" t="inlineStr">
        <is>
          <t>EVD-095</t>
        </is>
      </c>
      <c r="B99" s="13" t="n"/>
      <c r="C99" s="13" t="n"/>
      <c r="D99" s="13" t="n"/>
      <c r="E99" s="13" t="n"/>
      <c r="F99" s="13" t="n"/>
      <c r="G99" s="13" t="n"/>
      <c r="H99" s="13" t="n"/>
      <c r="I99" s="13" t="n"/>
      <c r="J99" s="13" t="n"/>
    </row>
    <row r="100">
      <c r="A100" s="3" t="inlineStr">
        <is>
          <t>EVD-096</t>
        </is>
      </c>
      <c r="B100" s="13" t="n"/>
      <c r="C100" s="13" t="n"/>
      <c r="D100" s="13" t="n"/>
      <c r="E100" s="13" t="n"/>
      <c r="F100" s="13" t="n"/>
      <c r="G100" s="13" t="n"/>
      <c r="H100" s="13" t="n"/>
      <c r="I100" s="13" t="n"/>
      <c r="J100" s="13" t="n"/>
    </row>
    <row r="101">
      <c r="A101" s="3" t="inlineStr">
        <is>
          <t>EVD-097</t>
        </is>
      </c>
      <c r="B101" s="13" t="n"/>
      <c r="C101" s="13" t="n"/>
      <c r="D101" s="13" t="n"/>
      <c r="E101" s="13" t="n"/>
      <c r="F101" s="13" t="n"/>
      <c r="G101" s="13" t="n"/>
      <c r="H101" s="13" t="n"/>
      <c r="I101" s="13" t="n"/>
      <c r="J101" s="13" t="n"/>
    </row>
    <row r="102">
      <c r="A102" s="3" t="inlineStr">
        <is>
          <t>EVD-098</t>
        </is>
      </c>
      <c r="B102" s="13" t="n"/>
      <c r="C102" s="13" t="n"/>
      <c r="D102" s="13" t="n"/>
      <c r="E102" s="13" t="n"/>
      <c r="F102" s="13" t="n"/>
      <c r="G102" s="13" t="n"/>
      <c r="H102" s="13" t="n"/>
      <c r="I102" s="13" t="n"/>
      <c r="J102" s="13" t="n"/>
    </row>
    <row r="103">
      <c r="A103" s="3" t="inlineStr">
        <is>
          <t>EVD-099</t>
        </is>
      </c>
      <c r="B103" s="13" t="n"/>
      <c r="C103" s="13" t="n"/>
      <c r="D103" s="13" t="n"/>
      <c r="E103" s="13" t="n"/>
      <c r="F103" s="13" t="n"/>
      <c r="G103" s="13" t="n"/>
      <c r="H103" s="13" t="n"/>
      <c r="I103" s="13" t="n"/>
      <c r="J103" s="13" t="n"/>
    </row>
    <row r="104">
      <c r="A104" s="3" t="inlineStr">
        <is>
          <t>EVD-100</t>
        </is>
      </c>
      <c r="B104" s="13" t="n"/>
      <c r="C104" s="13" t="n"/>
      <c r="D104" s="13" t="n"/>
      <c r="E104" s="13" t="n"/>
      <c r="F104" s="13" t="n"/>
      <c r="G104" s="13" t="n"/>
      <c r="H104" s="13" t="n"/>
      <c r="I104" s="13" t="n"/>
      <c r="J104" s="13" t="n"/>
    </row>
  </sheetData>
  <mergeCells count="1">
    <mergeCell ref="A1:J1"/>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 Approval Record,📸 Screenshot,📊 Inventory Report,📜 License,📋 Policy,📁 Change Ticket,🔍 Scan Result,Other"</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0" type="list">
      <formula1>"✅ Verified,⏳ Pending,❌ Not Verified,⚠️ Needs Review"</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44"/>
  <sheetViews>
    <sheetView workbookViewId="0">
      <selection activeCell="A1" sqref="A1"/>
    </sheetView>
  </sheetViews>
  <sheetFormatPr baseColWidth="8" defaultRowHeight="15"/>
  <cols>
    <col width="12"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GAP ANALYSIS &amp; REMEDIATION TRACKING</t>
        </is>
      </c>
    </row>
    <row r="4">
      <c r="A4" s="5" t="inlineStr">
        <is>
          <t>Gap ID</t>
        </is>
      </c>
      <c r="B4" s="5" t="inlineStr">
        <is>
          <t>Gap Description</t>
        </is>
      </c>
      <c r="C4" s="5" t="inlineStr">
        <is>
          <t>Affected Software/Devices</t>
        </is>
      </c>
      <c r="D4" s="5" t="inlineStr">
        <is>
          <t>Related Requirement</t>
        </is>
      </c>
      <c r="E4" s="5" t="inlineStr">
        <is>
          <t>Severity</t>
        </is>
      </c>
      <c r="F4" s="5" t="inlineStr">
        <is>
          <t>Risk</t>
        </is>
      </c>
      <c r="G4" s="5" t="inlineStr">
        <is>
          <t>Root Cause</t>
        </is>
      </c>
      <c r="H4" s="5" t="inlineStr">
        <is>
          <t>Remediation Plan</t>
        </is>
      </c>
      <c r="I4" s="5" t="inlineStr">
        <is>
          <t>Owner</t>
        </is>
      </c>
      <c r="J4" s="5" t="inlineStr">
        <is>
          <t>Due Date</t>
        </is>
      </c>
      <c r="K4" s="5" t="inlineStr">
        <is>
          <t>Status</t>
        </is>
      </c>
      <c r="L4" s="5" t="inlineStr">
        <is>
          <t>Budget</t>
        </is>
      </c>
      <c r="M4" s="5" t="inlineStr">
        <is>
          <t>Notes</t>
        </is>
      </c>
    </row>
    <row r="5">
      <c r="A5" s="3" t="inlineStr">
        <is>
          <t>GAP-001</t>
        </is>
      </c>
      <c r="B5" s="13" t="n"/>
      <c r="C5" s="13" t="n"/>
      <c r="D5" s="13" t="n"/>
      <c r="E5" s="13" t="n"/>
      <c r="F5" s="13" t="n"/>
      <c r="G5" s="13" t="n"/>
      <c r="H5" s="13" t="n"/>
      <c r="I5" s="13" t="n"/>
      <c r="J5" s="13" t="n"/>
      <c r="K5" s="13" t="n"/>
      <c r="L5" s="13" t="n"/>
      <c r="M5" s="13" t="n"/>
    </row>
    <row r="6">
      <c r="A6" s="3" t="inlineStr">
        <is>
          <t>GAP-002</t>
        </is>
      </c>
      <c r="B6" s="13" t="n"/>
      <c r="C6" s="13" t="n"/>
      <c r="D6" s="13" t="n"/>
      <c r="E6" s="13" t="n"/>
      <c r="F6" s="13" t="n"/>
      <c r="G6" s="13" t="n"/>
      <c r="H6" s="13" t="n"/>
      <c r="I6" s="13" t="n"/>
      <c r="J6" s="13" t="n"/>
      <c r="K6" s="13" t="n"/>
      <c r="L6" s="13" t="n"/>
      <c r="M6" s="13" t="n"/>
    </row>
    <row r="7">
      <c r="A7" s="3" t="inlineStr">
        <is>
          <t>GAP-003</t>
        </is>
      </c>
      <c r="B7" s="13" t="n"/>
      <c r="C7" s="13" t="n"/>
      <c r="D7" s="13" t="n"/>
      <c r="E7" s="13" t="n"/>
      <c r="F7" s="13" t="n"/>
      <c r="G7" s="13" t="n"/>
      <c r="H7" s="13" t="n"/>
      <c r="I7" s="13" t="n"/>
      <c r="J7" s="13" t="n"/>
      <c r="K7" s="13" t="n"/>
      <c r="L7" s="13" t="n"/>
      <c r="M7" s="13" t="n"/>
    </row>
    <row r="8">
      <c r="A8" s="3" t="inlineStr">
        <is>
          <t>GAP-004</t>
        </is>
      </c>
      <c r="B8" s="13" t="n"/>
      <c r="C8" s="13" t="n"/>
      <c r="D8" s="13" t="n"/>
      <c r="E8" s="13" t="n"/>
      <c r="F8" s="13" t="n"/>
      <c r="G8" s="13" t="n"/>
      <c r="H8" s="13" t="n"/>
      <c r="I8" s="13" t="n"/>
      <c r="J8" s="13" t="n"/>
      <c r="K8" s="13" t="n"/>
      <c r="L8" s="13" t="n"/>
      <c r="M8" s="13" t="n"/>
    </row>
    <row r="9">
      <c r="A9" s="3" t="inlineStr">
        <is>
          <t>GAP-005</t>
        </is>
      </c>
      <c r="B9" s="13" t="n"/>
      <c r="C9" s="13" t="n"/>
      <c r="D9" s="13" t="n"/>
      <c r="E9" s="13" t="n"/>
      <c r="F9" s="13" t="n"/>
      <c r="G9" s="13" t="n"/>
      <c r="H9" s="13" t="n"/>
      <c r="I9" s="13" t="n"/>
      <c r="J9" s="13" t="n"/>
      <c r="K9" s="13" t="n"/>
      <c r="L9" s="13" t="n"/>
      <c r="M9" s="13" t="n"/>
    </row>
    <row r="10">
      <c r="A10" s="3" t="inlineStr">
        <is>
          <t>GAP-006</t>
        </is>
      </c>
      <c r="B10" s="13" t="n"/>
      <c r="C10" s="13" t="n"/>
      <c r="D10" s="13" t="n"/>
      <c r="E10" s="13" t="n"/>
      <c r="F10" s="13" t="n"/>
      <c r="G10" s="13" t="n"/>
      <c r="H10" s="13" t="n"/>
      <c r="I10" s="13" t="n"/>
      <c r="J10" s="13" t="n"/>
      <c r="K10" s="13" t="n"/>
      <c r="L10" s="13" t="n"/>
      <c r="M10" s="13" t="n"/>
    </row>
    <row r="11">
      <c r="A11" s="3" t="inlineStr">
        <is>
          <t>GAP-007</t>
        </is>
      </c>
      <c r="B11" s="13" t="n"/>
      <c r="C11" s="13" t="n"/>
      <c r="D11" s="13" t="n"/>
      <c r="E11" s="13" t="n"/>
      <c r="F11" s="13" t="n"/>
      <c r="G11" s="13" t="n"/>
      <c r="H11" s="13" t="n"/>
      <c r="I11" s="13" t="n"/>
      <c r="J11" s="13" t="n"/>
      <c r="K11" s="13" t="n"/>
      <c r="L11" s="13" t="n"/>
      <c r="M11" s="13" t="n"/>
    </row>
    <row r="12">
      <c r="A12" s="3" t="inlineStr">
        <is>
          <t>GAP-008</t>
        </is>
      </c>
      <c r="B12" s="13" t="n"/>
      <c r="C12" s="13" t="n"/>
      <c r="D12" s="13" t="n"/>
      <c r="E12" s="13" t="n"/>
      <c r="F12" s="13" t="n"/>
      <c r="G12" s="13" t="n"/>
      <c r="H12" s="13" t="n"/>
      <c r="I12" s="13" t="n"/>
      <c r="J12" s="13" t="n"/>
      <c r="K12" s="13" t="n"/>
      <c r="L12" s="13" t="n"/>
      <c r="M12" s="13" t="n"/>
    </row>
    <row r="13">
      <c r="A13" s="3" t="inlineStr">
        <is>
          <t>GAP-009</t>
        </is>
      </c>
      <c r="B13" s="13" t="n"/>
      <c r="C13" s="13" t="n"/>
      <c r="D13" s="13" t="n"/>
      <c r="E13" s="13" t="n"/>
      <c r="F13" s="13" t="n"/>
      <c r="G13" s="13" t="n"/>
      <c r="H13" s="13" t="n"/>
      <c r="I13" s="13" t="n"/>
      <c r="J13" s="13" t="n"/>
      <c r="K13" s="13" t="n"/>
      <c r="L13" s="13" t="n"/>
      <c r="M13" s="13" t="n"/>
    </row>
    <row r="14">
      <c r="A14" s="3" t="inlineStr">
        <is>
          <t>GAP-010</t>
        </is>
      </c>
      <c r="B14" s="13" t="n"/>
      <c r="C14" s="13" t="n"/>
      <c r="D14" s="13" t="n"/>
      <c r="E14" s="13" t="n"/>
      <c r="F14" s="13" t="n"/>
      <c r="G14" s="13" t="n"/>
      <c r="H14" s="13" t="n"/>
      <c r="I14" s="13" t="n"/>
      <c r="J14" s="13" t="n"/>
      <c r="K14" s="13" t="n"/>
      <c r="L14" s="13" t="n"/>
      <c r="M14" s="13" t="n"/>
    </row>
    <row r="15">
      <c r="A15" s="3" t="inlineStr">
        <is>
          <t>GAP-011</t>
        </is>
      </c>
      <c r="B15" s="13" t="n"/>
      <c r="C15" s="13" t="n"/>
      <c r="D15" s="13" t="n"/>
      <c r="E15" s="13" t="n"/>
      <c r="F15" s="13" t="n"/>
      <c r="G15" s="13" t="n"/>
      <c r="H15" s="13" t="n"/>
      <c r="I15" s="13" t="n"/>
      <c r="J15" s="13" t="n"/>
      <c r="K15" s="13" t="n"/>
      <c r="L15" s="13" t="n"/>
      <c r="M15" s="13" t="n"/>
    </row>
    <row r="16">
      <c r="A16" s="3" t="inlineStr">
        <is>
          <t>GAP-012</t>
        </is>
      </c>
      <c r="B16" s="13" t="n"/>
      <c r="C16" s="13" t="n"/>
      <c r="D16" s="13" t="n"/>
      <c r="E16" s="13" t="n"/>
      <c r="F16" s="13" t="n"/>
      <c r="G16" s="13" t="n"/>
      <c r="H16" s="13" t="n"/>
      <c r="I16" s="13" t="n"/>
      <c r="J16" s="13" t="n"/>
      <c r="K16" s="13" t="n"/>
      <c r="L16" s="13" t="n"/>
      <c r="M16" s="13" t="n"/>
    </row>
    <row r="17">
      <c r="A17" s="3" t="inlineStr">
        <is>
          <t>GAP-013</t>
        </is>
      </c>
      <c r="B17" s="13" t="n"/>
      <c r="C17" s="13" t="n"/>
      <c r="D17" s="13" t="n"/>
      <c r="E17" s="13" t="n"/>
      <c r="F17" s="13" t="n"/>
      <c r="G17" s="13" t="n"/>
      <c r="H17" s="13" t="n"/>
      <c r="I17" s="13" t="n"/>
      <c r="J17" s="13" t="n"/>
      <c r="K17" s="13" t="n"/>
      <c r="L17" s="13" t="n"/>
      <c r="M17" s="13" t="n"/>
    </row>
    <row r="18">
      <c r="A18" s="3" t="inlineStr">
        <is>
          <t>GAP-014</t>
        </is>
      </c>
      <c r="B18" s="13" t="n"/>
      <c r="C18" s="13" t="n"/>
      <c r="D18" s="13" t="n"/>
      <c r="E18" s="13" t="n"/>
      <c r="F18" s="13" t="n"/>
      <c r="G18" s="13" t="n"/>
      <c r="H18" s="13" t="n"/>
      <c r="I18" s="13" t="n"/>
      <c r="J18" s="13" t="n"/>
      <c r="K18" s="13" t="n"/>
      <c r="L18" s="13" t="n"/>
      <c r="M18" s="13" t="n"/>
    </row>
    <row r="19">
      <c r="A19" s="3" t="inlineStr">
        <is>
          <t>GAP-015</t>
        </is>
      </c>
      <c r="B19" s="13" t="n"/>
      <c r="C19" s="13" t="n"/>
      <c r="D19" s="13" t="n"/>
      <c r="E19" s="13" t="n"/>
      <c r="F19" s="13" t="n"/>
      <c r="G19" s="13" t="n"/>
      <c r="H19" s="13" t="n"/>
      <c r="I19" s="13" t="n"/>
      <c r="J19" s="13" t="n"/>
      <c r="K19" s="13" t="n"/>
      <c r="L19" s="13" t="n"/>
      <c r="M19" s="13" t="n"/>
    </row>
    <row r="20">
      <c r="A20" s="3" t="inlineStr">
        <is>
          <t>GAP-016</t>
        </is>
      </c>
      <c r="B20" s="13" t="n"/>
      <c r="C20" s="13" t="n"/>
      <c r="D20" s="13" t="n"/>
      <c r="E20" s="13" t="n"/>
      <c r="F20" s="13" t="n"/>
      <c r="G20" s="13" t="n"/>
      <c r="H20" s="13" t="n"/>
      <c r="I20" s="13" t="n"/>
      <c r="J20" s="13" t="n"/>
      <c r="K20" s="13" t="n"/>
      <c r="L20" s="13" t="n"/>
      <c r="M20" s="13" t="n"/>
    </row>
    <row r="21">
      <c r="A21" s="3" t="inlineStr">
        <is>
          <t>GAP-017</t>
        </is>
      </c>
      <c r="B21" s="13" t="n"/>
      <c r="C21" s="13" t="n"/>
      <c r="D21" s="13" t="n"/>
      <c r="E21" s="13" t="n"/>
      <c r="F21" s="13" t="n"/>
      <c r="G21" s="13" t="n"/>
      <c r="H21" s="13" t="n"/>
      <c r="I21" s="13" t="n"/>
      <c r="J21" s="13" t="n"/>
      <c r="K21" s="13" t="n"/>
      <c r="L21" s="13" t="n"/>
      <c r="M21" s="13" t="n"/>
    </row>
    <row r="22">
      <c r="A22" s="3" t="inlineStr">
        <is>
          <t>GAP-018</t>
        </is>
      </c>
      <c r="B22" s="13" t="n"/>
      <c r="C22" s="13" t="n"/>
      <c r="D22" s="13" t="n"/>
      <c r="E22" s="13" t="n"/>
      <c r="F22" s="13" t="n"/>
      <c r="G22" s="13" t="n"/>
      <c r="H22" s="13" t="n"/>
      <c r="I22" s="13" t="n"/>
      <c r="J22" s="13" t="n"/>
      <c r="K22" s="13" t="n"/>
      <c r="L22" s="13" t="n"/>
      <c r="M22" s="13" t="n"/>
    </row>
    <row r="23">
      <c r="A23" s="3" t="inlineStr">
        <is>
          <t>GAP-019</t>
        </is>
      </c>
      <c r="B23" s="13" t="n"/>
      <c r="C23" s="13" t="n"/>
      <c r="D23" s="13" t="n"/>
      <c r="E23" s="13" t="n"/>
      <c r="F23" s="13" t="n"/>
      <c r="G23" s="13" t="n"/>
      <c r="H23" s="13" t="n"/>
      <c r="I23" s="13" t="n"/>
      <c r="J23" s="13" t="n"/>
      <c r="K23" s="13" t="n"/>
      <c r="L23" s="13" t="n"/>
      <c r="M23" s="13" t="n"/>
    </row>
    <row r="24">
      <c r="A24" s="3" t="inlineStr">
        <is>
          <t>GAP-020</t>
        </is>
      </c>
      <c r="B24" s="13" t="n"/>
      <c r="C24" s="13" t="n"/>
      <c r="D24" s="13" t="n"/>
      <c r="E24" s="13" t="n"/>
      <c r="F24" s="13" t="n"/>
      <c r="G24" s="13" t="n"/>
      <c r="H24" s="13" t="n"/>
      <c r="I24" s="13" t="n"/>
      <c r="J24" s="13" t="n"/>
      <c r="K24" s="13" t="n"/>
      <c r="L24" s="13" t="n"/>
      <c r="M24" s="13" t="n"/>
    </row>
    <row r="25">
      <c r="A25" s="3" t="inlineStr">
        <is>
          <t>GAP-021</t>
        </is>
      </c>
      <c r="B25" s="13" t="n"/>
      <c r="C25" s="13" t="n"/>
      <c r="D25" s="13" t="n"/>
      <c r="E25" s="13" t="n"/>
      <c r="F25" s="13" t="n"/>
      <c r="G25" s="13" t="n"/>
      <c r="H25" s="13" t="n"/>
      <c r="I25" s="13" t="n"/>
      <c r="J25" s="13" t="n"/>
      <c r="K25" s="13" t="n"/>
      <c r="L25" s="13" t="n"/>
      <c r="M25" s="13" t="n"/>
    </row>
    <row r="26">
      <c r="A26" s="3" t="inlineStr">
        <is>
          <t>GAP-022</t>
        </is>
      </c>
      <c r="B26" s="13" t="n"/>
      <c r="C26" s="13" t="n"/>
      <c r="D26" s="13" t="n"/>
      <c r="E26" s="13" t="n"/>
      <c r="F26" s="13" t="n"/>
      <c r="G26" s="13" t="n"/>
      <c r="H26" s="13" t="n"/>
      <c r="I26" s="13" t="n"/>
      <c r="J26" s="13" t="n"/>
      <c r="K26" s="13" t="n"/>
      <c r="L26" s="13" t="n"/>
      <c r="M26" s="13" t="n"/>
    </row>
    <row r="27">
      <c r="A27" s="3" t="inlineStr">
        <is>
          <t>GAP-023</t>
        </is>
      </c>
      <c r="B27" s="13" t="n"/>
      <c r="C27" s="13" t="n"/>
      <c r="D27" s="13" t="n"/>
      <c r="E27" s="13" t="n"/>
      <c r="F27" s="13" t="n"/>
      <c r="G27" s="13" t="n"/>
      <c r="H27" s="13" t="n"/>
      <c r="I27" s="13" t="n"/>
      <c r="J27" s="13" t="n"/>
      <c r="K27" s="13" t="n"/>
      <c r="L27" s="13" t="n"/>
      <c r="M27" s="13" t="n"/>
    </row>
    <row r="28">
      <c r="A28" s="3" t="inlineStr">
        <is>
          <t>GAP-024</t>
        </is>
      </c>
      <c r="B28" s="13" t="n"/>
      <c r="C28" s="13" t="n"/>
      <c r="D28" s="13" t="n"/>
      <c r="E28" s="13" t="n"/>
      <c r="F28" s="13" t="n"/>
      <c r="G28" s="13" t="n"/>
      <c r="H28" s="13" t="n"/>
      <c r="I28" s="13" t="n"/>
      <c r="J28" s="13" t="n"/>
      <c r="K28" s="13" t="n"/>
      <c r="L28" s="13" t="n"/>
      <c r="M28" s="13" t="n"/>
    </row>
    <row r="29">
      <c r="A29" s="3" t="inlineStr">
        <is>
          <t>GAP-025</t>
        </is>
      </c>
      <c r="B29" s="13" t="n"/>
      <c r="C29" s="13" t="n"/>
      <c r="D29" s="13" t="n"/>
      <c r="E29" s="13" t="n"/>
      <c r="F29" s="13" t="n"/>
      <c r="G29" s="13" t="n"/>
      <c r="H29" s="13" t="n"/>
      <c r="I29" s="13" t="n"/>
      <c r="J29" s="13" t="n"/>
      <c r="K29" s="13" t="n"/>
      <c r="L29" s="13" t="n"/>
      <c r="M29" s="13" t="n"/>
    </row>
    <row r="30">
      <c r="A30" s="3" t="inlineStr">
        <is>
          <t>GAP-026</t>
        </is>
      </c>
      <c r="B30" s="13" t="n"/>
      <c r="C30" s="13" t="n"/>
      <c r="D30" s="13" t="n"/>
      <c r="E30" s="13" t="n"/>
      <c r="F30" s="13" t="n"/>
      <c r="G30" s="13" t="n"/>
      <c r="H30" s="13" t="n"/>
      <c r="I30" s="13" t="n"/>
      <c r="J30" s="13" t="n"/>
      <c r="K30" s="13" t="n"/>
      <c r="L30" s="13" t="n"/>
      <c r="M30" s="13" t="n"/>
    </row>
    <row r="31">
      <c r="A31" s="3" t="inlineStr">
        <is>
          <t>GAP-027</t>
        </is>
      </c>
      <c r="B31" s="13" t="n"/>
      <c r="C31" s="13" t="n"/>
      <c r="D31" s="13" t="n"/>
      <c r="E31" s="13" t="n"/>
      <c r="F31" s="13" t="n"/>
      <c r="G31" s="13" t="n"/>
      <c r="H31" s="13" t="n"/>
      <c r="I31" s="13" t="n"/>
      <c r="J31" s="13" t="n"/>
      <c r="K31" s="13" t="n"/>
      <c r="L31" s="13" t="n"/>
      <c r="M31" s="13" t="n"/>
    </row>
    <row r="32">
      <c r="A32" s="3" t="inlineStr">
        <is>
          <t>GAP-028</t>
        </is>
      </c>
      <c r="B32" s="13" t="n"/>
      <c r="C32" s="13" t="n"/>
      <c r="D32" s="13" t="n"/>
      <c r="E32" s="13" t="n"/>
      <c r="F32" s="13" t="n"/>
      <c r="G32" s="13" t="n"/>
      <c r="H32" s="13" t="n"/>
      <c r="I32" s="13" t="n"/>
      <c r="J32" s="13" t="n"/>
      <c r="K32" s="13" t="n"/>
      <c r="L32" s="13" t="n"/>
      <c r="M32" s="13" t="n"/>
    </row>
    <row r="33">
      <c r="A33" s="3" t="inlineStr">
        <is>
          <t>GAP-029</t>
        </is>
      </c>
      <c r="B33" s="13" t="n"/>
      <c r="C33" s="13" t="n"/>
      <c r="D33" s="13" t="n"/>
      <c r="E33" s="13" t="n"/>
      <c r="F33" s="13" t="n"/>
      <c r="G33" s="13" t="n"/>
      <c r="H33" s="13" t="n"/>
      <c r="I33" s="13" t="n"/>
      <c r="J33" s="13" t="n"/>
      <c r="K33" s="13" t="n"/>
      <c r="L33" s="13" t="n"/>
      <c r="M33" s="13" t="n"/>
    </row>
    <row r="34">
      <c r="A34" s="3" t="inlineStr">
        <is>
          <t>GAP-030</t>
        </is>
      </c>
      <c r="B34" s="13" t="n"/>
      <c r="C34" s="13" t="n"/>
      <c r="D34" s="13" t="n"/>
      <c r="E34" s="13" t="n"/>
      <c r="F34" s="13" t="n"/>
      <c r="G34" s="13" t="n"/>
      <c r="H34" s="13" t="n"/>
      <c r="I34" s="13" t="n"/>
      <c r="J34" s="13" t="n"/>
      <c r="K34" s="13" t="n"/>
      <c r="L34" s="13" t="n"/>
      <c r="M34" s="13" t="n"/>
    </row>
    <row r="35">
      <c r="A35" s="3" t="inlineStr">
        <is>
          <t>GAP-031</t>
        </is>
      </c>
      <c r="B35" s="13" t="n"/>
      <c r="C35" s="13" t="n"/>
      <c r="D35" s="13" t="n"/>
      <c r="E35" s="13" t="n"/>
      <c r="F35" s="13" t="n"/>
      <c r="G35" s="13" t="n"/>
      <c r="H35" s="13" t="n"/>
      <c r="I35" s="13" t="n"/>
      <c r="J35" s="13" t="n"/>
      <c r="K35" s="13" t="n"/>
      <c r="L35" s="13" t="n"/>
      <c r="M35" s="13" t="n"/>
    </row>
    <row r="36">
      <c r="A36" s="3" t="inlineStr">
        <is>
          <t>GAP-032</t>
        </is>
      </c>
      <c r="B36" s="13" t="n"/>
      <c r="C36" s="13" t="n"/>
      <c r="D36" s="13" t="n"/>
      <c r="E36" s="13" t="n"/>
      <c r="F36" s="13" t="n"/>
      <c r="G36" s="13" t="n"/>
      <c r="H36" s="13" t="n"/>
      <c r="I36" s="13" t="n"/>
      <c r="J36" s="13" t="n"/>
      <c r="K36" s="13" t="n"/>
      <c r="L36" s="13" t="n"/>
      <c r="M36" s="13" t="n"/>
    </row>
    <row r="37">
      <c r="A37" s="3" t="inlineStr">
        <is>
          <t>GAP-033</t>
        </is>
      </c>
      <c r="B37" s="13" t="n"/>
      <c r="C37" s="13" t="n"/>
      <c r="D37" s="13" t="n"/>
      <c r="E37" s="13" t="n"/>
      <c r="F37" s="13" t="n"/>
      <c r="G37" s="13" t="n"/>
      <c r="H37" s="13" t="n"/>
      <c r="I37" s="13" t="n"/>
      <c r="J37" s="13" t="n"/>
      <c r="K37" s="13" t="n"/>
      <c r="L37" s="13" t="n"/>
      <c r="M37" s="13" t="n"/>
    </row>
    <row r="38">
      <c r="A38" s="3" t="inlineStr">
        <is>
          <t>GAP-034</t>
        </is>
      </c>
      <c r="B38" s="13" t="n"/>
      <c r="C38" s="13" t="n"/>
      <c r="D38" s="13" t="n"/>
      <c r="E38" s="13" t="n"/>
      <c r="F38" s="13" t="n"/>
      <c r="G38" s="13" t="n"/>
      <c r="H38" s="13" t="n"/>
      <c r="I38" s="13" t="n"/>
      <c r="J38" s="13" t="n"/>
      <c r="K38" s="13" t="n"/>
      <c r="L38" s="13" t="n"/>
      <c r="M38" s="13" t="n"/>
    </row>
    <row r="39">
      <c r="A39" s="3" t="inlineStr">
        <is>
          <t>GAP-035</t>
        </is>
      </c>
      <c r="B39" s="13" t="n"/>
      <c r="C39" s="13" t="n"/>
      <c r="D39" s="13" t="n"/>
      <c r="E39" s="13" t="n"/>
      <c r="F39" s="13" t="n"/>
      <c r="G39" s="13" t="n"/>
      <c r="H39" s="13" t="n"/>
      <c r="I39" s="13" t="n"/>
      <c r="J39" s="13" t="n"/>
      <c r="K39" s="13" t="n"/>
      <c r="L39" s="13" t="n"/>
      <c r="M39" s="13" t="n"/>
    </row>
    <row r="40">
      <c r="A40" s="3" t="inlineStr">
        <is>
          <t>GAP-036</t>
        </is>
      </c>
      <c r="B40" s="13" t="n"/>
      <c r="C40" s="13" t="n"/>
      <c r="D40" s="13" t="n"/>
      <c r="E40" s="13" t="n"/>
      <c r="F40" s="13" t="n"/>
      <c r="G40" s="13" t="n"/>
      <c r="H40" s="13" t="n"/>
      <c r="I40" s="13" t="n"/>
      <c r="J40" s="13" t="n"/>
      <c r="K40" s="13" t="n"/>
      <c r="L40" s="13" t="n"/>
      <c r="M40" s="13" t="n"/>
    </row>
    <row r="41">
      <c r="A41" s="3" t="inlineStr">
        <is>
          <t>GAP-037</t>
        </is>
      </c>
      <c r="B41" s="13" t="n"/>
      <c r="C41" s="13" t="n"/>
      <c r="D41" s="13" t="n"/>
      <c r="E41" s="13" t="n"/>
      <c r="F41" s="13" t="n"/>
      <c r="G41" s="13" t="n"/>
      <c r="H41" s="13" t="n"/>
      <c r="I41" s="13" t="n"/>
      <c r="J41" s="13" t="n"/>
      <c r="K41" s="13" t="n"/>
      <c r="L41" s="13" t="n"/>
      <c r="M41" s="13" t="n"/>
    </row>
    <row r="42">
      <c r="A42" s="3" t="inlineStr">
        <is>
          <t>GAP-038</t>
        </is>
      </c>
      <c r="B42" s="13" t="n"/>
      <c r="C42" s="13" t="n"/>
      <c r="D42" s="13" t="n"/>
      <c r="E42" s="13" t="n"/>
      <c r="F42" s="13" t="n"/>
      <c r="G42" s="13" t="n"/>
      <c r="H42" s="13" t="n"/>
      <c r="I42" s="13" t="n"/>
      <c r="J42" s="13" t="n"/>
      <c r="K42" s="13" t="n"/>
      <c r="L42" s="13" t="n"/>
      <c r="M42" s="13" t="n"/>
    </row>
    <row r="43">
      <c r="A43" s="3" t="inlineStr">
        <is>
          <t>GAP-039</t>
        </is>
      </c>
      <c r="B43" s="13" t="n"/>
      <c r="C43" s="13" t="n"/>
      <c r="D43" s="13" t="n"/>
      <c r="E43" s="13" t="n"/>
      <c r="F43" s="13" t="n"/>
      <c r="G43" s="13" t="n"/>
      <c r="H43" s="13" t="n"/>
      <c r="I43" s="13" t="n"/>
      <c r="J43" s="13" t="n"/>
      <c r="K43" s="13" t="n"/>
      <c r="L43" s="13" t="n"/>
      <c r="M43" s="13" t="n"/>
    </row>
    <row r="44">
      <c r="A44" s="3" t="inlineStr">
        <is>
          <t>GAP-040</t>
        </is>
      </c>
      <c r="B44" s="13" t="n"/>
      <c r="C44" s="13" t="n"/>
      <c r="D44" s="13" t="n"/>
      <c r="E44" s="13" t="n"/>
      <c r="F44" s="13" t="n"/>
      <c r="G44" s="13" t="n"/>
      <c r="H44" s="13" t="n"/>
      <c r="I44" s="13" t="n"/>
      <c r="J44" s="13" t="n"/>
      <c r="K44" s="13" t="n"/>
      <c r="L44" s="13" t="n"/>
      <c r="M44" s="13" t="n"/>
    </row>
  </sheetData>
  <mergeCells count="1">
    <mergeCell ref="A1:M1"/>
  </mergeCells>
  <dataValidations count="2">
    <dataValidation sqref="E5 E6 E7 E8 E9 E10 E11 E12 E13 E14 E15 E16 E17 E18 E19 E20 E21 E22 E23 E24 E25 E26 E27 E28 E29 E30 E31 E32 E33 E34 E35 E36 E37 E38 E39 E40 E41 E42 E43 E44" showDropDown="0" showInputMessage="0" showErrorMessage="0" allowBlank="0" type="list">
      <formula1>"🔴 Critical,🟠 High,🟡 Medium,🟢 Low"</formula1>
    </dataValidation>
    <dataValidation sqref="K5 K6 K7 K8 K9 K10 K11 K12 K13 K14 K15 K16 K17 K18 K19 K20 K21 K22 K23 K24 K25 K26 K27 K28 K29 K30 K31 K32 K33 K34 K35 K36 K37 K38 K39 K40 K41 K42 K43 K44" showDropDown="0" showInputMessage="0" showErrorMessage="0" allowBlank="0" type="list">
      <formula1>"🔴 Open,🟡 In Progress,🟢 Resolved,✅ Closed,⏸️ On Hold"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25" customWidth="1" min="1" max="1"/>
    <col width="30" customWidth="1" min="2" max="2"/>
  </cols>
  <sheetData>
    <row r="1">
      <c r="A1" s="1" t="inlineStr">
        <is>
          <t>APPROVAL &amp; SIGN-OFF WORKFLOW</t>
        </is>
      </c>
    </row>
    <row r="2">
      <c r="A2" s="2" t="inlineStr">
        <is>
          <t>Three-level approval: Assessor → IT Operations Manager → CISO</t>
        </is>
      </c>
    </row>
    <row r="4">
      <c r="A4" s="3" t="inlineStr">
        <is>
          <t>Assessment Summary:</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2026-01-31T02:16:18Z</dcterms:created>
  <dcterms:modified xmlns:dcterms="http://purl.org/dc/terms/" xmlns:xsi="http://www.w3.org/2001/XMLSchema-instance" xsi:type="dcterms:W3CDTF">2026-01-31T02:16:19Z</dcterms:modified>
</cp:coreProperties>
</file>