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and_Legend" sheetId="1" state="visible" r:id="rId1"/>
    <sheet xmlns:r="http://schemas.openxmlformats.org/officeDocument/2006/relationships" name="Audit_Activity_Register" sheetId="2" state="visible" r:id="rId2"/>
    <sheet xmlns:r="http://schemas.openxmlformats.org/officeDocument/2006/relationships" name="Audit_Tool_Authorization" sheetId="3" state="visible" r:id="rId3"/>
    <sheet xmlns:r="http://schemas.openxmlformats.org/officeDocument/2006/relationships" name="Audit_Access_Tracking" sheetId="4" state="visible" r:id="rId4"/>
    <sheet xmlns:r="http://schemas.openxmlformats.org/officeDocument/2006/relationships" name="Disruption_Mitigation_Plans" sheetId="5" state="visible" r:id="rId5"/>
    <sheet xmlns:r="http://schemas.openxmlformats.org/officeDocument/2006/relationships" name="Audit_Evidence_Protection" sheetId="6" state="visible" r:id="rId6"/>
    <sheet xmlns:r="http://schemas.openxmlformats.org/officeDocument/2006/relationships" name="Summary_Dashboard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Approval_Sign_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3366"/>
      <sz val="14"/>
    </font>
    <font>
      <b val="1"/>
      <color rgb="00003366"/>
      <sz val="11"/>
    </font>
    <font>
      <b val="1"/>
      <sz val="11"/>
    </font>
    <font>
      <b val="1"/>
      <color rgb="00FFFFFF"/>
      <sz val="11"/>
    </font>
    <font>
      <b val="1"/>
      <sz val="12"/>
    </font>
    <font>
      <b val="1"/>
      <color rgb="00003366"/>
      <sz val="16"/>
    </font>
    <font>
      <i val="1"/>
    </font>
    <font>
      <b val="1"/>
      <color rgb="00C00000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ISMS-IMP-A.8.33-34.2 - Audit Activity Management Assessment</t>
        </is>
      </c>
    </row>
    <row r="2">
      <c r="A2" s="2" t="inlineStr">
        <is>
          <t>ISO/IEC 27001:2022 - Control A.8.34: Protection of Information Systems During Audit Testing</t>
        </is>
      </c>
    </row>
    <row r="3">
      <c r="A3" t="inlineStr"/>
    </row>
    <row r="4">
      <c r="A4" s="3" t="inlineStr">
        <is>
          <t>PURPOSE</t>
        </is>
      </c>
    </row>
    <row r="5">
      <c r="A5" t="inlineStr">
        <is>
          <t>This workbook tracks audit testing governance and system protection compliance including</t>
        </is>
      </c>
    </row>
    <row r="6">
      <c r="A6" t="inlineStr">
        <is>
          <t>audit activity register, tool authorization, access tracking, disruption mitigation, and evidence protection.</t>
        </is>
      </c>
    </row>
    <row r="7">
      <c r="A7" t="inlineStr"/>
    </row>
    <row r="8">
      <c r="A8" s="3" t="inlineStr">
        <is>
          <t>SHEETS</t>
        </is>
      </c>
    </row>
    <row r="9">
      <c r="A9" t="inlineStr">
        <is>
          <t>1. Instructions_and_Legend - This guidance sheet</t>
        </is>
      </c>
    </row>
    <row r="10">
      <c r="A10" t="inlineStr">
        <is>
          <t>2. Audit_Activity_Register - Registry of all planned and completed audit activities</t>
        </is>
      </c>
    </row>
    <row r="11">
      <c r="A11" t="inlineStr">
        <is>
          <t>3. Audit_Tool_Authorization - Governance of audit tools and testing techniques</t>
        </is>
      </c>
    </row>
    <row r="12">
      <c r="A12" t="inlineStr">
        <is>
          <t>4. Audit_Access_Tracking - Management of auditor access to systems and data</t>
        </is>
      </c>
    </row>
    <row r="13">
      <c r="A13" t="inlineStr">
        <is>
          <t>5. Disruption_Mitigation_Plans - Protection measures for production systems during testing</t>
        </is>
      </c>
    </row>
    <row r="14">
      <c r="A14" t="inlineStr">
        <is>
          <t>6. Audit_Evidence_Protection - Secure handling and retention of audit evidence</t>
        </is>
      </c>
    </row>
    <row r="15">
      <c r="A15" t="inlineStr">
        <is>
          <t>7. Summary_Dashboard - Executive overview of audit governance compliance</t>
        </is>
      </c>
    </row>
    <row r="16">
      <c r="A16" t="inlineStr">
        <is>
          <t>8. Evidence_Register - Documentation supporting assessment findings</t>
        </is>
      </c>
    </row>
    <row r="17">
      <c r="A17" t="inlineStr">
        <is>
          <t>9. Approval_Sign_Off - Three-level approval workflow</t>
        </is>
      </c>
    </row>
    <row r="18">
      <c r="A18" t="inlineStr"/>
    </row>
    <row r="19">
      <c r="A19" s="3" t="inlineStr">
        <is>
          <t>STATUS LEGEND</t>
        </is>
      </c>
    </row>
    <row r="20">
      <c r="A20" t="inlineStr">
        <is>
          <t>Compliant - Fully meets requirement</t>
        </is>
      </c>
    </row>
    <row r="21">
      <c r="A21" t="inlineStr">
        <is>
          <t>Partial - Partially meets requirement, improvement needed</t>
        </is>
      </c>
    </row>
    <row r="22">
      <c r="A22" t="inlineStr">
        <is>
          <t>Non-Compliant - Does not meet requirement</t>
        </is>
      </c>
    </row>
    <row r="23">
      <c r="A23" t="inlineStr">
        <is>
          <t>Planned - Implementation planned</t>
        </is>
      </c>
    </row>
    <row r="24">
      <c r="A24" t="inlineStr">
        <is>
          <t>N/A - Not Applicable</t>
        </is>
      </c>
    </row>
    <row r="25">
      <c r="A25" t="inlineStr"/>
    </row>
    <row r="26">
      <c r="A26" s="3" t="inlineStr">
        <is>
          <t>RISK LEVEL SCALE</t>
        </is>
      </c>
    </row>
    <row r="27">
      <c r="A27" t="inlineStr">
        <is>
          <t>High - Could cause significant disruption or data exposure (CISO + Business Owner approval)</t>
        </is>
      </c>
    </row>
    <row r="28">
      <c r="A28" t="inlineStr">
        <is>
          <t>Medium - Moderate risk to operations (IT Security Manager approval)</t>
        </is>
      </c>
    </row>
    <row r="29">
      <c r="A29" t="inlineStr">
        <is>
          <t>Low - Minimal risk, standard tools (Security Team approval)</t>
        </is>
      </c>
    </row>
    <row r="30">
      <c r="A30" t="inlineStr"/>
    </row>
    <row r="31">
      <c r="A31" t="inlineStr">
        <is>
          <t>Generated: 31.01.2026</t>
        </is>
      </c>
    </row>
    <row r="32">
      <c r="A32" t="inlineStr">
        <is>
          <t>Control Reference: ISO/IEC 27001:2022 - Control A.8.33-34: Testing and Audit Protection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50" customWidth="1" min="4" max="4"/>
    <col width="30" customWidth="1" min="5" max="5"/>
    <col width="25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8" customWidth="1" min="12" max="12"/>
    <col width="25" customWidth="1" min="13" max="13"/>
    <col width="12" customWidth="1" min="14" max="14"/>
    <col width="40" customWidth="1" min="15" max="15"/>
    <col width="30" customWidth="1" min="16" max="16"/>
    <col width="25" customWidth="1" min="17" max="17"/>
    <col width="12" customWidth="1" min="18" max="18"/>
    <col width="12" customWidth="1" min="19" max="19"/>
    <col width="35" customWidth="1" min="20" max="20"/>
    <col width="18" customWidth="1" min="21" max="21"/>
    <col width="40" customWidth="1" min="22" max="22"/>
  </cols>
  <sheetData>
    <row r="1">
      <c r="A1" s="4" t="inlineStr">
        <is>
          <t>AUDIT ACTIVITY REGISTER</t>
        </is>
      </c>
    </row>
    <row r="2">
      <c r="A2" t="inlineStr">
        <is>
          <t>Registry of all planned and completed audit activities</t>
        </is>
      </c>
    </row>
    <row r="4">
      <c r="A4" s="5" t="inlineStr">
        <is>
          <t>Audit_ID</t>
        </is>
      </c>
      <c r="B4" s="5" t="inlineStr">
        <is>
          <t>Audit_Name</t>
        </is>
      </c>
      <c r="C4" s="5" t="inlineStr">
        <is>
          <t>Audit_Type</t>
        </is>
      </c>
      <c r="D4" s="5" t="inlineStr">
        <is>
          <t>Audit_Scope</t>
        </is>
      </c>
      <c r="E4" s="5" t="inlineStr">
        <is>
          <t>Audit_Firm_Team</t>
        </is>
      </c>
      <c r="F4" s="5" t="inlineStr">
        <is>
          <t>Lead_Auditor</t>
        </is>
      </c>
      <c r="G4" s="5" t="inlineStr">
        <is>
          <t>Planned_Start</t>
        </is>
      </c>
      <c r="H4" s="5" t="inlineStr">
        <is>
          <t>Planned_End</t>
        </is>
      </c>
      <c r="I4" s="5" t="inlineStr">
        <is>
          <t>Actual_Start</t>
        </is>
      </c>
      <c r="J4" s="5" t="inlineStr">
        <is>
          <t>Actual_End</t>
        </is>
      </c>
      <c r="K4" s="5" t="inlineStr">
        <is>
          <t>Audit_Status</t>
        </is>
      </c>
      <c r="L4" s="5" t="inlineStr">
        <is>
          <t>Management_Approval</t>
        </is>
      </c>
      <c r="M4" s="5" t="inlineStr">
        <is>
          <t>Approver</t>
        </is>
      </c>
      <c r="N4" s="5" t="inlineStr">
        <is>
          <t>Approval_Date</t>
        </is>
      </c>
      <c r="O4" s="5" t="inlineStr">
        <is>
          <t>Systems_in_Scope</t>
        </is>
      </c>
      <c r="P4" s="5" t="inlineStr">
        <is>
          <t>Data_Access_Required</t>
        </is>
      </c>
      <c r="Q4" s="5" t="inlineStr">
        <is>
          <t>Testing_Type</t>
        </is>
      </c>
      <c r="R4" s="5" t="inlineStr">
        <is>
          <t>Findings_Count</t>
        </is>
      </c>
      <c r="S4" s="5" t="inlineStr">
        <is>
          <t>Critical_Findings</t>
        </is>
      </c>
      <c r="T4" s="5" t="inlineStr">
        <is>
          <t>Report_Location</t>
        </is>
      </c>
      <c r="U4" s="5" t="inlineStr">
        <is>
          <t>Follow_up_Status</t>
        </is>
      </c>
      <c r="V4" s="5" t="inlineStr">
        <is>
          <t>Notes</t>
        </is>
      </c>
    </row>
    <row r="5">
      <c r="A5" s="6" t="inlineStr">
        <is>
          <t>AUD-001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</row>
    <row r="6">
      <c r="A6" s="6" t="inlineStr">
        <is>
          <t>AUD-002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>
      <c r="A7" s="6" t="inlineStr">
        <is>
          <t>AUD-003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6" t="inlineStr">
        <is>
          <t>AUD-004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</row>
    <row r="9">
      <c r="A9" s="6" t="inlineStr">
        <is>
          <t>AUD-005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</row>
    <row r="10">
      <c r="A10" s="6" t="inlineStr">
        <is>
          <t>AUD-006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</row>
    <row r="11">
      <c r="A11" s="6" t="inlineStr">
        <is>
          <t>AUD-007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</row>
    <row r="12">
      <c r="A12" s="6" t="inlineStr">
        <is>
          <t>AUD-008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</row>
    <row r="13">
      <c r="A13" s="6" t="inlineStr">
        <is>
          <t>AUD-009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</row>
    <row r="14">
      <c r="A14" s="6" t="inlineStr">
        <is>
          <t>AUD-010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</row>
    <row r="15">
      <c r="A15" s="6" t="inlineStr">
        <is>
          <t>AUD-011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</row>
    <row r="16">
      <c r="A16" s="6" t="inlineStr">
        <is>
          <t>AUD-012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</row>
    <row r="17">
      <c r="A17" s="6" t="inlineStr">
        <is>
          <t>AUD-013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>
      <c r="A18" s="6" t="inlineStr">
        <is>
          <t>AUD-014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>
      <c r="A19" s="6" t="inlineStr">
        <is>
          <t>AUD-015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</row>
    <row r="20">
      <c r="A20" s="6" t="inlineStr">
        <is>
          <t>AUD-016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</row>
    <row r="21">
      <c r="A21" s="6" t="inlineStr">
        <is>
          <t>AUD-017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</row>
    <row r="22">
      <c r="A22" s="6" t="inlineStr">
        <is>
          <t>AUD-018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>
      <c r="A23" s="6" t="inlineStr">
        <is>
          <t>AUD-019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>
      <c r="A24" s="6" t="inlineStr">
        <is>
          <t>AUD-020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>
      <c r="A25" s="6" t="inlineStr">
        <is>
          <t>AUD-021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</row>
    <row r="26">
      <c r="A26" s="6" t="inlineStr">
        <is>
          <t>AUD-022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</row>
    <row r="27">
      <c r="A27" s="6" t="inlineStr">
        <is>
          <t>AUD-023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</row>
    <row r="28">
      <c r="A28" s="6" t="inlineStr">
        <is>
          <t>AUD-024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>
      <c r="A29" s="6" t="inlineStr">
        <is>
          <t>AUD-025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>
      <c r="A30" s="6" t="inlineStr">
        <is>
          <t>AUD-026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>
      <c r="A31" s="6" t="inlineStr">
        <is>
          <t>AUD-027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>
      <c r="A32" s="6" t="inlineStr">
        <is>
          <t>AUD-028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>
      <c r="A33" s="6" t="inlineStr">
        <is>
          <t>AUD-029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>
      <c r="A34" s="6" t="inlineStr">
        <is>
          <t>AUD-030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>
      <c r="A35" s="6" t="inlineStr">
        <is>
          <t>AUD-031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>
      <c r="A36" s="6" t="inlineStr">
        <is>
          <t>AUD-032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>
      <c r="A37" s="6" t="inlineStr">
        <is>
          <t>AUD-033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>
      <c r="A38" s="6" t="inlineStr">
        <is>
          <t>AUD-034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</row>
    <row r="39">
      <c r="A39" s="6" t="inlineStr">
        <is>
          <t>AUD-035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>
      <c r="A40" s="6" t="inlineStr">
        <is>
          <t>AUD-036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>
      <c r="A41" s="6" t="inlineStr">
        <is>
          <t>AUD-037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>
      <c r="A42" s="6" t="inlineStr">
        <is>
          <t>AUD-038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>
      <c r="A43" s="6" t="inlineStr">
        <is>
          <t>AUD-039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>
      <c r="A44" s="6" t="inlineStr">
        <is>
          <t>AUD-040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>
      <c r="A45" s="6" t="inlineStr">
        <is>
          <t>AUD-041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>
      <c r="A46" s="6" t="inlineStr">
        <is>
          <t>AUD-042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>
      <c r="A47" s="6" t="inlineStr">
        <is>
          <t>AUD-043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>
      <c r="A48" s="6" t="inlineStr">
        <is>
          <t>AUD-044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>
      <c r="A49" s="6" t="inlineStr">
        <is>
          <t>AUD-045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>
      <c r="A50" s="6" t="inlineStr">
        <is>
          <t>AUD-046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>
      <c r="A51" s="6" t="inlineStr">
        <is>
          <t>AUD-047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</row>
    <row r="52">
      <c r="A52" s="6" t="inlineStr">
        <is>
          <t>AUD-048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</row>
    <row r="53">
      <c r="A53" s="6" t="inlineStr">
        <is>
          <t>AUD-049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</row>
    <row r="54">
      <c r="A54" s="6" t="inlineStr">
        <is>
          <t>AUD-050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</row>
    <row r="57">
      <c r="A57" s="7" t="inlineStr">
        <is>
          <t>AUDIT STATISTICS</t>
        </is>
      </c>
    </row>
    <row r="59">
      <c r="A59" s="8" t="inlineStr">
        <is>
          <t>Total Audits</t>
        </is>
      </c>
      <c r="B59" s="8">
        <f>COUNTA(B5:B54)</f>
        <v/>
      </c>
    </row>
    <row r="60">
      <c r="A60" s="8" t="inlineStr">
        <is>
          <t>Planned Audits</t>
        </is>
      </c>
      <c r="B60" s="8">
        <f>COUNTIF(K5:K54,"Planned")</f>
        <v/>
      </c>
    </row>
    <row r="61">
      <c r="A61" s="8" t="inlineStr">
        <is>
          <t>In Progress</t>
        </is>
      </c>
      <c r="B61" s="8">
        <f>COUNTIF(K5:K54,"In Progress")</f>
        <v/>
      </c>
    </row>
    <row r="62">
      <c r="A62" s="8" t="inlineStr">
        <is>
          <t>Completed</t>
        </is>
      </c>
      <c r="B62" s="8">
        <f>COUNTIF(K5:K54,"Completed")</f>
        <v/>
      </c>
    </row>
    <row r="63">
      <c r="A63" s="8" t="inlineStr">
        <is>
          <t>Approved Audits</t>
        </is>
      </c>
      <c r="B63" s="8">
        <f>COUNTIF(L5:L54,"Approved")</f>
        <v/>
      </c>
    </row>
    <row r="64">
      <c r="A64" s="8" t="inlineStr">
        <is>
          <t>Pending Approval</t>
        </is>
      </c>
      <c r="B64" s="8">
        <f>COUNTIF(L5:L54,"Pending")</f>
        <v/>
      </c>
    </row>
    <row r="65">
      <c r="A65" s="8" t="inlineStr">
        <is>
          <t>Internal Audits</t>
        </is>
      </c>
      <c r="B65" s="8">
        <f>COUNTIF(C5:C54,"Internal")</f>
        <v/>
      </c>
    </row>
    <row r="66">
      <c r="A66" s="8" t="inlineStr">
        <is>
          <t>Penetration Tests</t>
        </is>
      </c>
      <c r="B66" s="8">
        <f>COUNTIF(C5:C54,"Penetration Test")</f>
        <v/>
      </c>
    </row>
    <row r="67">
      <c r="A67" s="8" t="inlineStr">
        <is>
          <t>Total Findings</t>
        </is>
      </c>
      <c r="B67" s="8">
        <f>SUM(R5:R54)</f>
        <v/>
      </c>
    </row>
    <row r="68">
      <c r="A68" s="8" t="inlineStr">
        <is>
          <t>Total Critical Findings</t>
        </is>
      </c>
      <c r="B68" s="8">
        <f>SUM(S5:S54)</f>
        <v/>
      </c>
    </row>
    <row r="69">
      <c r="A69" s="8" t="inlineStr">
        <is>
          <t>Open Follow-ups</t>
        </is>
      </c>
      <c r="B69" s="8">
        <f>COUNTIF(U5:U54,"Open")</f>
        <v/>
      </c>
    </row>
  </sheetData>
  <mergeCells count="1">
    <mergeCell ref="A1:V1"/>
  </mergeCells>
  <dataValidations count="5">
    <dataValidation sqref="C5:C54" showDropDown="0" showInputMessage="0" showErrorMessage="0" allowBlank="0" type="list">
      <formula1>"Internal,External-Financial,External-SOC2,Penetration Test,Vulnerability Assessment,Red Team,Regulatory,Compliance"</formula1>
    </dataValidation>
    <dataValidation sqref="K5:K54" showDropDown="0" showInputMessage="0" showErrorMessage="0" allowBlank="0" type="list">
      <formula1>"Planned,In Progress,Completed,Cancelled,On Hold"</formula1>
    </dataValidation>
    <dataValidation sqref="L5:L54" showDropDown="0" showInputMessage="0" showErrorMessage="0" allowBlank="0" type="list">
      <formula1>"Approved,Pending,Not Required"</formula1>
    </dataValidation>
    <dataValidation sqref="Q5:Q54" showDropDown="0" showInputMessage="0" showErrorMessage="0" allowBlank="0" type="list">
      <formula1>"Non-Invasive,Read-Only,Active Testing,Exploitation"</formula1>
    </dataValidation>
    <dataValidation sqref="U5:U54" showDropDown="0" showInputMessage="0" showErrorMessage="0" allowBlank="0" type="list">
      <formula1>"Open,In Progress,Closed"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5" customWidth="1" min="4" max="4"/>
    <col width="25" customWidth="1" min="5" max="5"/>
    <col width="25" customWidth="1" min="6" max="6"/>
    <col width="18" customWidth="1" min="7" max="7"/>
    <col width="12" customWidth="1" min="8" max="8"/>
    <col width="25" customWidth="1" min="9" max="9"/>
    <col width="15" customWidth="1" min="10" max="10"/>
    <col width="50" customWidth="1" min="11" max="11"/>
    <col width="40" customWidth="1" min="12" max="12"/>
    <col width="30" customWidth="1" min="13" max="13"/>
    <col width="35" customWidth="1" min="14" max="14"/>
    <col width="30" customWidth="1" min="15" max="15"/>
    <col width="12" customWidth="1" min="16" max="16"/>
    <col width="12" customWidth="1" min="17" max="17"/>
    <col width="12" customWidth="1" min="18" max="18"/>
    <col width="18" customWidth="1" min="19" max="19"/>
    <col width="12" customWidth="1" min="20" max="20"/>
    <col width="20" customWidth="1" min="21" max="21"/>
  </cols>
  <sheetData>
    <row r="1">
      <c r="A1" s="4" t="inlineStr">
        <is>
          <t>AUDIT TOOL AUTHORIZATION</t>
        </is>
      </c>
    </row>
    <row r="2">
      <c r="A2" t="inlineStr">
        <is>
          <t>Registry of authorized audit and testing tools</t>
        </is>
      </c>
    </row>
    <row r="4">
      <c r="A4" s="5" t="inlineStr">
        <is>
          <t>Tool_ID</t>
        </is>
      </c>
      <c r="B4" s="5" t="inlineStr">
        <is>
          <t>Tool_Name</t>
        </is>
      </c>
      <c r="C4" s="5" t="inlineStr">
        <is>
          <t>Tool_Version</t>
        </is>
      </c>
      <c r="D4" s="5" t="inlineStr">
        <is>
          <t>Tool_Category</t>
        </is>
      </c>
      <c r="E4" s="5" t="inlineStr">
        <is>
          <t>Vendor_Source</t>
        </is>
      </c>
      <c r="F4" s="5" t="inlineStr">
        <is>
          <t>Tool_Owner</t>
        </is>
      </c>
      <c r="G4" s="5" t="inlineStr">
        <is>
          <t>Authorization_Status</t>
        </is>
      </c>
      <c r="H4" s="5" t="inlineStr">
        <is>
          <t>Authorization_Date</t>
        </is>
      </c>
      <c r="I4" s="5" t="inlineStr">
        <is>
          <t>Authorized_By</t>
        </is>
      </c>
      <c r="J4" s="5" t="inlineStr">
        <is>
          <t>Risk_Level</t>
        </is>
      </c>
      <c r="K4" s="5" t="inlineStr">
        <is>
          <t>Authorized_Use_Cases</t>
        </is>
      </c>
      <c r="L4" s="5" t="inlineStr">
        <is>
          <t>Restrictions</t>
        </is>
      </c>
      <c r="M4" s="5" t="inlineStr">
        <is>
          <t>Required_Approvals</t>
        </is>
      </c>
      <c r="N4" s="5" t="inlineStr">
        <is>
          <t>Storage_Location</t>
        </is>
      </c>
      <c r="O4" s="5" t="inlineStr">
        <is>
          <t>Access_Restricted_To</t>
        </is>
      </c>
      <c r="P4" s="5" t="inlineStr">
        <is>
          <t>Last_Security_Review</t>
        </is>
      </c>
      <c r="Q4" s="5" t="inlineStr">
        <is>
          <t>Next_Review_Due</t>
        </is>
      </c>
      <c r="R4" s="5" t="inlineStr">
        <is>
          <t>Usage_Logging_Required</t>
        </is>
      </c>
      <c r="S4" s="5" t="inlineStr">
        <is>
          <t>License_Status</t>
        </is>
      </c>
      <c r="T4" s="5" t="inlineStr">
        <is>
          <t>License_Expiry</t>
        </is>
      </c>
      <c r="U4" s="5" t="inlineStr">
        <is>
          <t>Evidence_Reference</t>
        </is>
      </c>
    </row>
    <row r="5">
      <c r="A5" s="6" t="inlineStr">
        <is>
          <t>TOOL-001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6" t="inlineStr">
        <is>
          <t>TOOL-002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</row>
    <row r="7">
      <c r="A7" s="6" t="inlineStr">
        <is>
          <t>TOOL-003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6" t="inlineStr">
        <is>
          <t>TOOL-004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</row>
    <row r="9">
      <c r="A9" s="6" t="inlineStr">
        <is>
          <t>TOOL-005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6" t="inlineStr">
        <is>
          <t>TOOL-006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</row>
    <row r="11">
      <c r="A11" s="6" t="inlineStr">
        <is>
          <t>TOOL-007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6" t="inlineStr">
        <is>
          <t>TOOL-008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</row>
    <row r="13">
      <c r="A13" s="6" t="inlineStr">
        <is>
          <t>TOOL-009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6" t="inlineStr">
        <is>
          <t>TOOL-010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6" t="inlineStr">
        <is>
          <t>TOOL-011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</row>
    <row r="16">
      <c r="A16" s="6" t="inlineStr">
        <is>
          <t>TOOL-012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6" t="inlineStr">
        <is>
          <t>TOOL-013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6" t="inlineStr">
        <is>
          <t>TOOL-014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>
      <c r="A19" s="6" t="inlineStr">
        <is>
          <t>TOOL-015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</row>
    <row r="20">
      <c r="A20" s="6" t="inlineStr">
        <is>
          <t>TOOL-016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6" t="inlineStr">
        <is>
          <t>TOOL-017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6" t="inlineStr">
        <is>
          <t>TOOL-018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>
      <c r="A23" s="6" t="inlineStr">
        <is>
          <t>TOOL-019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6" t="inlineStr">
        <is>
          <t>TOOL-020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</row>
    <row r="25">
      <c r="A25" s="6" t="inlineStr">
        <is>
          <t>TOOL-021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6" t="inlineStr">
        <is>
          <t>TOOL-022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</row>
    <row r="27">
      <c r="A27" s="6" t="inlineStr">
        <is>
          <t>TOOL-023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6" t="inlineStr">
        <is>
          <t>TOOL-024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>
      <c r="A29" s="6" t="inlineStr">
        <is>
          <t>TOOL-025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6" t="inlineStr">
        <is>
          <t>TOOL-026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>
      <c r="A31" s="6" t="inlineStr">
        <is>
          <t>TOOL-027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</row>
    <row r="32">
      <c r="A32" s="6" t="inlineStr">
        <is>
          <t>TOOL-028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>
      <c r="A33" s="6" t="inlineStr">
        <is>
          <t>TOOL-029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</row>
    <row r="34">
      <c r="A34" s="6" t="inlineStr">
        <is>
          <t>TOOL-030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>
      <c r="A35" s="6" t="inlineStr">
        <is>
          <t>TOOL-031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</row>
    <row r="36">
      <c r="A36" s="6" t="inlineStr">
        <is>
          <t>TOOL-032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>
      <c r="A37" s="6" t="inlineStr">
        <is>
          <t>TOOL-033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</row>
    <row r="38">
      <c r="A38" s="6" t="inlineStr">
        <is>
          <t>TOOL-034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>
      <c r="A39" s="6" t="inlineStr">
        <is>
          <t>TOOL-035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</row>
    <row r="40">
      <c r="A40" s="6" t="inlineStr">
        <is>
          <t>TOOL-036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6" t="inlineStr">
        <is>
          <t>TOOL-037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</row>
    <row r="42">
      <c r="A42" s="6" t="inlineStr">
        <is>
          <t>TOOL-038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>
      <c r="A43" s="6" t="inlineStr">
        <is>
          <t>TOOL-039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</row>
    <row r="44">
      <c r="A44" s="6" t="inlineStr">
        <is>
          <t>TOOL-040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6" t="inlineStr">
        <is>
          <t>TOOL-041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</row>
    <row r="46">
      <c r="A46" s="6" t="inlineStr">
        <is>
          <t>TOOL-042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>
      <c r="A47" s="6" t="inlineStr">
        <is>
          <t>TOOL-043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</row>
    <row r="48">
      <c r="A48" s="6" t="inlineStr">
        <is>
          <t>TOOL-044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</row>
    <row r="49">
      <c r="A49" s="6" t="inlineStr">
        <is>
          <t>TOOL-045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</row>
    <row r="50">
      <c r="A50" s="6" t="inlineStr">
        <is>
          <t>TOOL-046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1">
      <c r="A51" s="6" t="inlineStr">
        <is>
          <t>TOOL-047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</row>
    <row r="52">
      <c r="A52" s="6" t="inlineStr">
        <is>
          <t>TOOL-048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</row>
    <row r="53">
      <c r="A53" s="6" t="inlineStr">
        <is>
          <t>TOOL-049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</row>
    <row r="54">
      <c r="A54" s="6" t="inlineStr">
        <is>
          <t>TOOL-050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</row>
    <row r="57">
      <c r="A57" s="7" t="inlineStr">
        <is>
          <t>TOOL RISK SUMMARY</t>
        </is>
      </c>
    </row>
    <row r="59">
      <c r="A59" s="8" t="inlineStr">
        <is>
          <t>Total Tools</t>
        </is>
      </c>
      <c r="B59" s="8">
        <f>COUNTA(B5:B54)</f>
        <v/>
      </c>
    </row>
    <row r="60">
      <c r="A60" s="8" t="inlineStr">
        <is>
          <t>Authorized Tools</t>
        </is>
      </c>
      <c r="B60" s="8">
        <f>COUNTIF(G5:G54,"Authorized")</f>
        <v/>
      </c>
    </row>
    <row r="61">
      <c r="A61" s="8" t="inlineStr">
        <is>
          <t>Pending Authorization</t>
        </is>
      </c>
      <c r="B61" s="8">
        <f>COUNTIF(G5:G54,"Pending")</f>
        <v/>
      </c>
    </row>
    <row r="62">
      <c r="A62" s="8" t="inlineStr">
        <is>
          <t>Unauthorized Tools</t>
        </is>
      </c>
      <c r="B62" s="8">
        <f>COUNTIF(G5:G54,"Unauthorized")</f>
        <v/>
      </c>
    </row>
    <row r="63">
      <c r="A63" s="8" t="inlineStr">
        <is>
          <t>Prohibited Tools</t>
        </is>
      </c>
      <c r="B63" s="8">
        <f>COUNTIF(G5:G54,"Prohibited")</f>
        <v/>
      </c>
    </row>
    <row r="64">
      <c r="A64" s="8" t="inlineStr">
        <is>
          <t>High Risk Tools</t>
        </is>
      </c>
      <c r="B64" s="8">
        <f>COUNTIF(J5:J54,"High")</f>
        <v/>
      </c>
    </row>
    <row r="65">
      <c r="A65" s="8" t="inlineStr">
        <is>
          <t>Medium Risk Tools</t>
        </is>
      </c>
      <c r="B65" s="8">
        <f>COUNTIF(J5:J54,"Medium")</f>
        <v/>
      </c>
    </row>
    <row r="66">
      <c r="A66" s="8" t="inlineStr">
        <is>
          <t>Low Risk Tools</t>
        </is>
      </c>
      <c r="B66" s="8">
        <f>COUNTIF(J5:J54,"Low")</f>
        <v/>
      </c>
    </row>
    <row r="67">
      <c r="A67" s="8" t="inlineStr">
        <is>
          <t>Expired Licenses</t>
        </is>
      </c>
      <c r="B67" s="8">
        <f>COUNTIF(S5:S54,"Expired")</f>
        <v/>
      </c>
    </row>
  </sheetData>
  <mergeCells count="1">
    <mergeCell ref="A1:U1"/>
  </mergeCells>
  <dataValidations count="5">
    <dataValidation sqref="D5:D54" showDropDown="0" showInputMessage="0" showErrorMessage="0" allowBlank="0" type="list">
      <formula1>"Vulnerability Scanner,Penetration Tool,Network Analyzer,Web App Scanner,Forensic Tool,Credential Tester,Exploitation Framework,Other"</formula1>
    </dataValidation>
    <dataValidation sqref="G5:G54" showDropDown="0" showInputMessage="0" showErrorMessage="0" allowBlank="0" type="list">
      <formula1>"Authorized,Pending,Unauthorized,Prohibited"</formula1>
    </dataValidation>
    <dataValidation sqref="J5:J54" showDropDown="0" showInputMessage="0" showErrorMessage="0" allowBlank="0" type="list">
      <formula1>"High,Medium,Low"</formula1>
    </dataValidation>
    <dataValidation sqref="R5:R54" showDropDown="0" showInputMessage="0" showErrorMessage="0" allowBlank="0" type="list">
      <formula1>"Yes,No"</formula1>
    </dataValidation>
    <dataValidation sqref="S5:S54" showDropDown="0" showInputMessage="0" showErrorMessage="0" allowBlank="0" type="list">
      <formula1>"Valid,Expired,N/A"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0" customWidth="1" min="4" max="4"/>
    <col width="20" customWidth="1" min="5" max="5"/>
    <col width="40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8" customWidth="1" min="13" max="13"/>
    <col width="25" customWidth="1" min="14" max="14"/>
    <col width="12" customWidth="1" min="15" max="15"/>
    <col width="12" customWidth="1" min="16" max="16"/>
    <col width="12" customWidth="1" min="17" max="17"/>
    <col width="25" customWidth="1" min="18" max="18"/>
    <col width="12" customWidth="1" min="19" max="19"/>
    <col width="25" customWidth="1" min="20" max="20"/>
    <col width="12" customWidth="1" min="21" max="21"/>
    <col width="20" customWidth="1" min="22" max="22"/>
    <col width="40" customWidth="1" min="23" max="23"/>
  </cols>
  <sheetData>
    <row r="1">
      <c r="A1" s="4" t="inlineStr">
        <is>
          <t>AUDIT ACCESS TRACKING</t>
        </is>
      </c>
    </row>
    <row r="2">
      <c r="A2" t="inlineStr">
        <is>
          <t>Registry of auditor access to systems and data</t>
        </is>
      </c>
    </row>
    <row r="4">
      <c r="A4" s="5" t="inlineStr">
        <is>
          <t>Access_ID</t>
        </is>
      </c>
      <c r="B4" s="5" t="inlineStr">
        <is>
          <t>Auditor_Name</t>
        </is>
      </c>
      <c r="C4" s="5" t="inlineStr">
        <is>
          <t>Auditor_Organization</t>
        </is>
      </c>
      <c r="D4" s="5" t="inlineStr">
        <is>
          <t>Associated_Audit</t>
        </is>
      </c>
      <c r="E4" s="5" t="inlineStr">
        <is>
          <t>Access_Type</t>
        </is>
      </c>
      <c r="F4" s="5" t="inlineStr">
        <is>
          <t>Systems_Accessed</t>
        </is>
      </c>
      <c r="G4" s="5" t="inlineStr">
        <is>
          <t>Data_Classification_Accessed</t>
        </is>
      </c>
      <c r="H4" s="5" t="inlineStr">
        <is>
          <t>Access_Requested_Date</t>
        </is>
      </c>
      <c r="I4" s="5" t="inlineStr">
        <is>
          <t>Access_Start_Date</t>
        </is>
      </c>
      <c r="J4" s="5" t="inlineStr">
        <is>
          <t>Access_End_Date</t>
        </is>
      </c>
      <c r="K4" s="5" t="inlineStr">
        <is>
          <t>Actual_Revocation_Date</t>
        </is>
      </c>
      <c r="L4" s="5" t="inlineStr">
        <is>
          <t>Access_Status</t>
        </is>
      </c>
      <c r="M4" s="5" t="inlineStr">
        <is>
          <t>Approval_Status</t>
        </is>
      </c>
      <c r="N4" s="5" t="inlineStr">
        <is>
          <t>Approver</t>
        </is>
      </c>
      <c r="O4" s="5" t="inlineStr">
        <is>
          <t>Approval_Date</t>
        </is>
      </c>
      <c r="P4" s="5" t="inlineStr">
        <is>
          <t>Access_Logging_Enabled</t>
        </is>
      </c>
      <c r="Q4" s="5" t="inlineStr">
        <is>
          <t>NDA_Signed</t>
        </is>
      </c>
      <c r="R4" s="5" t="inlineStr">
        <is>
          <t>NDA_Reference</t>
        </is>
      </c>
      <c r="S4" s="5" t="inlineStr">
        <is>
          <t>Supervision_Required</t>
        </is>
      </c>
      <c r="T4" s="5" t="inlineStr">
        <is>
          <t>Supervisor</t>
        </is>
      </c>
      <c r="U4" s="5" t="inlineStr">
        <is>
          <t>Multi_Factor_Auth_Required</t>
        </is>
      </c>
      <c r="V4" s="5" t="inlineStr">
        <is>
          <t>Revocation_Confirmation</t>
        </is>
      </c>
      <c r="W4" s="5" t="inlineStr">
        <is>
          <t>Notes</t>
        </is>
      </c>
    </row>
    <row r="5">
      <c r="A5" s="6" t="inlineStr">
        <is>
          <t>ACC-001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>
      <c r="A6" s="6" t="inlineStr">
        <is>
          <t>ACC-002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</row>
    <row r="7">
      <c r="A7" s="6" t="inlineStr">
        <is>
          <t>ACC-003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6" t="inlineStr">
        <is>
          <t>ACC-004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</row>
    <row r="9">
      <c r="A9" s="6" t="inlineStr">
        <is>
          <t>ACC-005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</row>
    <row r="10">
      <c r="A10" s="6" t="inlineStr">
        <is>
          <t>ACC-006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</row>
    <row r="11">
      <c r="A11" s="6" t="inlineStr">
        <is>
          <t>ACC-007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</row>
    <row r="12">
      <c r="A12" s="6" t="inlineStr">
        <is>
          <t>ACC-008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</row>
    <row r="13">
      <c r="A13" s="6" t="inlineStr">
        <is>
          <t>ACC-009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</row>
    <row r="14">
      <c r="A14" s="6" t="inlineStr">
        <is>
          <t>ACC-010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</row>
    <row r="15">
      <c r="A15" s="6" t="inlineStr">
        <is>
          <t>ACC-011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</row>
    <row r="16">
      <c r="A16" s="6" t="inlineStr">
        <is>
          <t>ACC-012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</row>
    <row r="17">
      <c r="A17" s="6" t="inlineStr">
        <is>
          <t>ACC-013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</row>
    <row r="18">
      <c r="A18" s="6" t="inlineStr">
        <is>
          <t>ACC-014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</row>
    <row r="19">
      <c r="A19" s="6" t="inlineStr">
        <is>
          <t>ACC-015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</row>
    <row r="20">
      <c r="A20" s="6" t="inlineStr">
        <is>
          <t>ACC-016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</row>
    <row r="21">
      <c r="A21" s="6" t="inlineStr">
        <is>
          <t>ACC-017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</row>
    <row r="22">
      <c r="A22" s="6" t="inlineStr">
        <is>
          <t>ACC-018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</row>
    <row r="23">
      <c r="A23" s="6" t="inlineStr">
        <is>
          <t>ACC-019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</row>
    <row r="24">
      <c r="A24" s="6" t="inlineStr">
        <is>
          <t>ACC-020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</row>
    <row r="25">
      <c r="A25" s="6" t="inlineStr">
        <is>
          <t>ACC-021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</row>
    <row r="26">
      <c r="A26" s="6" t="inlineStr">
        <is>
          <t>ACC-022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</row>
    <row r="27">
      <c r="A27" s="6" t="inlineStr">
        <is>
          <t>ACC-023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</row>
    <row r="28">
      <c r="A28" s="6" t="inlineStr">
        <is>
          <t>ACC-024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</row>
    <row r="29">
      <c r="A29" s="6" t="inlineStr">
        <is>
          <t>ACC-025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</row>
    <row r="30">
      <c r="A30" s="6" t="inlineStr">
        <is>
          <t>ACC-026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</row>
    <row r="31">
      <c r="A31" s="6" t="inlineStr">
        <is>
          <t>ACC-027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</row>
    <row r="32">
      <c r="A32" s="6" t="inlineStr">
        <is>
          <t>ACC-028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</row>
    <row r="33">
      <c r="A33" s="6" t="inlineStr">
        <is>
          <t>ACC-029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</row>
    <row r="34">
      <c r="A34" s="6" t="inlineStr">
        <is>
          <t>ACC-030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</row>
    <row r="35">
      <c r="A35" s="6" t="inlineStr">
        <is>
          <t>ACC-031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</row>
    <row r="36">
      <c r="A36" s="6" t="inlineStr">
        <is>
          <t>ACC-032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</row>
    <row r="37">
      <c r="A37" s="6" t="inlineStr">
        <is>
          <t>ACC-033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</row>
    <row r="38">
      <c r="A38" s="6" t="inlineStr">
        <is>
          <t>ACC-034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</row>
    <row r="39">
      <c r="A39" s="6" t="inlineStr">
        <is>
          <t>ACC-035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</row>
    <row r="40">
      <c r="A40" s="6" t="inlineStr">
        <is>
          <t>ACC-036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</row>
    <row r="41">
      <c r="A41" s="6" t="inlineStr">
        <is>
          <t>ACC-037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</row>
    <row r="42">
      <c r="A42" s="6" t="inlineStr">
        <is>
          <t>ACC-038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</row>
    <row r="43">
      <c r="A43" s="6" t="inlineStr">
        <is>
          <t>ACC-039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</row>
    <row r="44">
      <c r="A44" s="6" t="inlineStr">
        <is>
          <t>ACC-040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</row>
    <row r="45">
      <c r="A45" s="6" t="inlineStr">
        <is>
          <t>ACC-041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</row>
    <row r="46">
      <c r="A46" s="6" t="inlineStr">
        <is>
          <t>ACC-042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</row>
    <row r="47">
      <c r="A47" s="6" t="inlineStr">
        <is>
          <t>ACC-043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</row>
    <row r="48">
      <c r="A48" s="6" t="inlineStr">
        <is>
          <t>ACC-044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</row>
    <row r="49">
      <c r="A49" s="6" t="inlineStr">
        <is>
          <t>ACC-045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</row>
    <row r="50">
      <c r="A50" s="6" t="inlineStr">
        <is>
          <t>ACC-046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</row>
    <row r="51">
      <c r="A51" s="6" t="inlineStr">
        <is>
          <t>ACC-047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</row>
    <row r="52">
      <c r="A52" s="6" t="inlineStr">
        <is>
          <t>ACC-048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</row>
    <row r="53">
      <c r="A53" s="6" t="inlineStr">
        <is>
          <t>ACC-049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</row>
    <row r="54">
      <c r="A54" s="6" t="inlineStr">
        <is>
          <t>ACC-050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</row>
    <row r="55">
      <c r="A55" s="6" t="inlineStr">
        <is>
          <t>ACC-051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</row>
    <row r="56">
      <c r="A56" s="6" t="inlineStr">
        <is>
          <t>ACC-052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</row>
    <row r="57">
      <c r="A57" s="6" t="inlineStr">
        <is>
          <t>ACC-053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</row>
    <row r="58">
      <c r="A58" s="6" t="inlineStr">
        <is>
          <t>ACC-054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</row>
    <row r="59">
      <c r="A59" s="6" t="inlineStr">
        <is>
          <t>ACC-055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</row>
    <row r="60">
      <c r="A60" s="6" t="inlineStr">
        <is>
          <t>ACC-056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</row>
    <row r="61">
      <c r="A61" s="6" t="inlineStr">
        <is>
          <t>ACC-057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</row>
    <row r="62">
      <c r="A62" s="6" t="inlineStr">
        <is>
          <t>ACC-058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</row>
    <row r="63">
      <c r="A63" s="6" t="inlineStr">
        <is>
          <t>ACC-059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</row>
    <row r="64">
      <c r="A64" s="6" t="inlineStr">
        <is>
          <t>ACC-060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</row>
    <row r="65">
      <c r="A65" s="6" t="inlineStr">
        <is>
          <t>ACC-061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</row>
    <row r="66">
      <c r="A66" s="6" t="inlineStr">
        <is>
          <t>ACC-062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</row>
    <row r="67">
      <c r="A67" s="6" t="inlineStr">
        <is>
          <t>ACC-063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</row>
    <row r="68">
      <c r="A68" s="6" t="inlineStr">
        <is>
          <t>ACC-064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</row>
    <row r="69">
      <c r="A69" s="6" t="inlineStr">
        <is>
          <t>ACC-065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</row>
    <row r="70">
      <c r="A70" s="6" t="inlineStr">
        <is>
          <t>ACC-066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</row>
    <row r="71">
      <c r="A71" s="6" t="inlineStr">
        <is>
          <t>ACC-067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</row>
    <row r="72">
      <c r="A72" s="6" t="inlineStr">
        <is>
          <t>ACC-068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</row>
    <row r="73">
      <c r="A73" s="6" t="inlineStr">
        <is>
          <t>ACC-069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</row>
    <row r="74">
      <c r="A74" s="6" t="inlineStr">
        <is>
          <t>ACC-070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</row>
    <row r="75">
      <c r="A75" s="6" t="inlineStr">
        <is>
          <t>ACC-071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</row>
    <row r="76">
      <c r="A76" s="6" t="inlineStr">
        <is>
          <t>ACC-072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</row>
    <row r="77">
      <c r="A77" s="6" t="inlineStr">
        <is>
          <t>ACC-073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</row>
    <row r="78">
      <c r="A78" s="6" t="inlineStr">
        <is>
          <t>ACC-074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</row>
    <row r="79">
      <c r="A79" s="6" t="inlineStr">
        <is>
          <t>ACC-075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</row>
    <row r="80">
      <c r="A80" s="6" t="inlineStr">
        <is>
          <t>ACC-076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</row>
    <row r="81">
      <c r="A81" s="6" t="inlineStr">
        <is>
          <t>ACC-077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</row>
    <row r="82">
      <c r="A82" s="6" t="inlineStr">
        <is>
          <t>ACC-078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</row>
    <row r="83">
      <c r="A83" s="6" t="inlineStr">
        <is>
          <t>ACC-079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</row>
    <row r="84">
      <c r="A84" s="6" t="inlineStr">
        <is>
          <t>ACC-080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</row>
    <row r="85">
      <c r="A85" s="6" t="inlineStr">
        <is>
          <t>ACC-081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</row>
    <row r="86">
      <c r="A86" s="6" t="inlineStr">
        <is>
          <t>ACC-082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</row>
    <row r="87">
      <c r="A87" s="6" t="inlineStr">
        <is>
          <t>ACC-083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</row>
    <row r="88">
      <c r="A88" s="6" t="inlineStr">
        <is>
          <t>ACC-084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</row>
    <row r="89">
      <c r="A89" s="6" t="inlineStr">
        <is>
          <t>ACC-085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</row>
    <row r="90">
      <c r="A90" s="6" t="inlineStr">
        <is>
          <t>ACC-086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</row>
    <row r="91">
      <c r="A91" s="6" t="inlineStr">
        <is>
          <t>ACC-087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</row>
    <row r="92">
      <c r="A92" s="6" t="inlineStr">
        <is>
          <t>ACC-088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</row>
    <row r="93">
      <c r="A93" s="6" t="inlineStr">
        <is>
          <t>ACC-089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</row>
    <row r="94">
      <c r="A94" s="6" t="inlineStr">
        <is>
          <t>ACC-090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</row>
    <row r="95">
      <c r="A95" s="6" t="inlineStr">
        <is>
          <t>ACC-091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</row>
    <row r="96">
      <c r="A96" s="6" t="inlineStr">
        <is>
          <t>ACC-092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</row>
    <row r="97">
      <c r="A97" s="6" t="inlineStr">
        <is>
          <t>ACC-093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</row>
    <row r="98">
      <c r="A98" s="6" t="inlineStr">
        <is>
          <t>ACC-094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</row>
    <row r="99">
      <c r="A99" s="6" t="inlineStr">
        <is>
          <t>ACC-095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</row>
    <row r="100">
      <c r="A100" s="6" t="inlineStr">
        <is>
          <t>ACC-096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</row>
    <row r="101">
      <c r="A101" s="6" t="inlineStr">
        <is>
          <t>ACC-097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</row>
    <row r="102">
      <c r="A102" s="6" t="inlineStr">
        <is>
          <t>ACC-098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</row>
    <row r="103">
      <c r="A103" s="6" t="inlineStr">
        <is>
          <t>ACC-099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</row>
    <row r="104">
      <c r="A104" s="6" t="inlineStr">
        <is>
          <t>ACC-100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</row>
    <row r="107">
      <c r="A107" s="7" t="inlineStr">
        <is>
          <t>ACCESS STATISTICS</t>
        </is>
      </c>
    </row>
    <row r="109">
      <c r="A109" s="8" t="inlineStr">
        <is>
          <t>Total Access Grants</t>
        </is>
      </c>
      <c r="B109" s="8">
        <f>COUNTA(B5:B104)</f>
        <v/>
      </c>
    </row>
    <row r="110">
      <c r="A110" s="8" t="inlineStr">
        <is>
          <t>Active Access</t>
        </is>
      </c>
      <c r="B110" s="8">
        <f>COUNTIF(L5:L104,"Active")</f>
        <v/>
      </c>
    </row>
    <row r="111">
      <c r="A111" s="8" t="inlineStr">
        <is>
          <t>Revoked Access</t>
        </is>
      </c>
      <c r="B111" s="8">
        <f>COUNTIF(L5:L104,"Revoked")</f>
        <v/>
      </c>
    </row>
    <row r="112">
      <c r="A112" s="8" t="inlineStr">
        <is>
          <t>Expired Access</t>
        </is>
      </c>
      <c r="B112" s="8">
        <f>COUNTIF(L5:L104,"Expired")</f>
        <v/>
      </c>
    </row>
    <row r="113">
      <c r="A113" s="8" t="inlineStr">
        <is>
          <t>Approved Access</t>
        </is>
      </c>
      <c r="B113" s="8">
        <f>COUNTIF(M5:M104,"Approved")</f>
        <v/>
      </c>
    </row>
    <row r="114">
      <c r="A114" s="8" t="inlineStr">
        <is>
          <t>Pending Approval</t>
        </is>
      </c>
      <c r="B114" s="8">
        <f>COUNTIF(M5:M104,"Pending")</f>
        <v/>
      </c>
    </row>
    <row r="115">
      <c r="A115" s="8" t="inlineStr">
        <is>
          <t>Read-Only Access</t>
        </is>
      </c>
      <c r="B115" s="8">
        <f>COUNTIF(E5:E104,"Read-Only")</f>
        <v/>
      </c>
    </row>
    <row r="116">
      <c r="A116" s="8" t="inlineStr">
        <is>
          <t>Admin Access</t>
        </is>
      </c>
      <c r="B116" s="8">
        <f>COUNTIF(E5:E104,"Admin")</f>
        <v/>
      </c>
    </row>
    <row r="117">
      <c r="A117" s="8" t="inlineStr">
        <is>
          <t>Restricted Data Access</t>
        </is>
      </c>
      <c r="B117" s="8">
        <f>COUNTIF(G5:G104,"Restricted")</f>
        <v/>
      </c>
    </row>
    <row r="118">
      <c r="A118" s="8" t="inlineStr">
        <is>
          <t>NDA Coverage (Yes)</t>
        </is>
      </c>
      <c r="B118" s="8">
        <f>COUNTIF(Q5:Q104,"Yes")</f>
        <v/>
      </c>
    </row>
    <row r="119">
      <c r="A119" s="8" t="inlineStr">
        <is>
          <t>Access Logging (Yes)</t>
        </is>
      </c>
      <c r="B119" s="8">
        <f>COUNTIF(P5:P104,"Yes")</f>
        <v/>
      </c>
    </row>
    <row r="120">
      <c r="A120" s="8" t="inlineStr">
        <is>
          <t>MFA Required (Yes)</t>
        </is>
      </c>
      <c r="B120" s="8">
        <f>COUNTIF(U5:U104,"Yes")</f>
        <v/>
      </c>
    </row>
  </sheetData>
  <mergeCells count="1">
    <mergeCell ref="A1:W1"/>
  </mergeCells>
  <dataValidations count="6">
    <dataValidation sqref="E5:E104" showDropDown="0" showInputMessage="0" showErrorMessage="0" allowBlank="0" type="list">
      <formula1>"Read-Only,Read-Write,Admin,Physical,Remote-VPN"</formula1>
    </dataValidation>
    <dataValidation sqref="G5:G104" showDropDown="0" showInputMessage="0" showErrorMessage="0" allowBlank="0" type="list">
      <formula1>"Public,Internal,Confidential,Restricted"</formula1>
    </dataValidation>
    <dataValidation sqref="L5:L104" showDropDown="0" showInputMessage="0" showErrorMessage="0" allowBlank="0" type="list">
      <formula1>"Active,Revoked,Expired"</formula1>
    </dataValidation>
    <dataValidation sqref="M5:M104" showDropDown="0" showInputMessage="0" showErrorMessage="0" allowBlank="0" type="list">
      <formula1>"Approved,Pending,Denied"</formula1>
    </dataValidation>
    <dataValidation sqref="P5:P104" showDropDown="0" showInputMessage="0" showErrorMessage="0" allowBlank="0" type="list">
      <formula1>"Yes,Partial,No"</formula1>
    </dataValidation>
    <dataValidation sqref="Q5:Q104 S5:S104 U5:U104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5" customWidth="1" min="4" max="4"/>
    <col width="25" customWidth="1" min="5" max="5"/>
    <col width="30" customWidth="1" min="6" max="6"/>
    <col width="35" customWidth="1" min="7" max="7"/>
    <col width="50" customWidth="1" min="8" max="8"/>
    <col width="25" customWidth="1" min="9" max="9"/>
    <col width="15" customWidth="1" min="10" max="10"/>
    <col width="12" customWidth="1" min="11" max="11"/>
    <col width="15" customWidth="1" min="12" max="12"/>
    <col width="15" customWidth="1" min="13" max="13"/>
    <col width="35" customWidth="1" min="14" max="14"/>
    <col width="12" customWidth="1" min="15" max="15"/>
    <col width="25" customWidth="1" min="16" max="16"/>
    <col width="20" customWidth="1" min="17" max="17"/>
    <col width="25" customWidth="1" min="18" max="18"/>
    <col width="30" customWidth="1" min="19" max="19"/>
    <col width="35" customWidth="1" min="20" max="20"/>
    <col width="12" customWidth="1" min="21" max="21"/>
    <col width="12" customWidth="1" min="22" max="22"/>
    <col width="20" customWidth="1" min="23" max="23"/>
  </cols>
  <sheetData>
    <row r="1">
      <c r="A1" s="4" t="inlineStr">
        <is>
          <t>DISRUPTION MITIGATION PLANS</t>
        </is>
      </c>
    </row>
    <row r="2">
      <c r="A2" t="inlineStr">
        <is>
          <t>Protection measures for production systems during audit testing</t>
        </is>
      </c>
    </row>
    <row r="4">
      <c r="A4" s="5" t="inlineStr">
        <is>
          <t>System_ID</t>
        </is>
      </c>
      <c r="B4" s="5" t="inlineStr">
        <is>
          <t>System_Name</t>
        </is>
      </c>
      <c r="C4" s="5" t="inlineStr">
        <is>
          <t>System_Criticality</t>
        </is>
      </c>
      <c r="D4" s="5" t="inlineStr">
        <is>
          <t>Business_Owner</t>
        </is>
      </c>
      <c r="E4" s="5" t="inlineStr">
        <is>
          <t>Technical_Owner</t>
        </is>
      </c>
      <c r="F4" s="5" t="inlineStr">
        <is>
          <t>Associated_Audits</t>
        </is>
      </c>
      <c r="G4" s="5" t="inlineStr">
        <is>
          <t>Primary_Mitigation_Strategy</t>
        </is>
      </c>
      <c r="H4" s="5" t="inlineStr">
        <is>
          <t>Testing_Restrictions</t>
        </is>
      </c>
      <c r="I4" s="5" t="inlineStr">
        <is>
          <t>Permitted_Testing_Window</t>
        </is>
      </c>
      <c r="J4" s="5" t="inlineStr">
        <is>
          <t>Maximum_Test_Duration</t>
        </is>
      </c>
      <c r="K4" s="5" t="inlineStr">
        <is>
          <t>Backup_Required_Before_Test</t>
        </is>
      </c>
      <c r="L4" s="5" t="inlineStr">
        <is>
          <t>Recovery_Point_Objective</t>
        </is>
      </c>
      <c r="M4" s="5" t="inlineStr">
        <is>
          <t>Recovery_Time_Objective</t>
        </is>
      </c>
      <c r="N4" s="5" t="inlineStr">
        <is>
          <t>Rollback_Procedure_Location</t>
        </is>
      </c>
      <c r="O4" s="5" t="inlineStr">
        <is>
          <t>Rollback_Last_Tested</t>
        </is>
      </c>
      <c r="P4" s="5" t="inlineStr">
        <is>
          <t>Escalation_Contact</t>
        </is>
      </c>
      <c r="Q4" s="5" t="inlineStr">
        <is>
          <t>Escalation_Phone</t>
        </is>
      </c>
      <c r="R4" s="5" t="inlineStr">
        <is>
          <t>Secondary_Contact</t>
        </is>
      </c>
      <c r="S4" s="5" t="inlineStr">
        <is>
          <t>Monitoring_Enhancement</t>
        </is>
      </c>
      <c r="T4" s="5" t="inlineStr">
        <is>
          <t>Incident_Response_Plan</t>
        </is>
      </c>
      <c r="U4" s="5" t="inlineStr">
        <is>
          <t>Last_Mitigation_Review</t>
        </is>
      </c>
      <c r="V4" s="5" t="inlineStr">
        <is>
          <t>Review_Due_Date</t>
        </is>
      </c>
      <c r="W4" s="5" t="inlineStr">
        <is>
          <t>Evidence_Reference</t>
        </is>
      </c>
    </row>
    <row r="5">
      <c r="A5" s="6" t="inlineStr">
        <is>
          <t>SYS-001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>
      <c r="A6" s="6" t="inlineStr">
        <is>
          <t>SYS-002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</row>
    <row r="7">
      <c r="A7" s="6" t="inlineStr">
        <is>
          <t>SYS-003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6" t="inlineStr">
        <is>
          <t>SYS-004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</row>
    <row r="9">
      <c r="A9" s="6" t="inlineStr">
        <is>
          <t>SYS-005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</row>
    <row r="10">
      <c r="A10" s="6" t="inlineStr">
        <is>
          <t>SYS-006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</row>
    <row r="11">
      <c r="A11" s="6" t="inlineStr">
        <is>
          <t>SYS-007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</row>
    <row r="12">
      <c r="A12" s="6" t="inlineStr">
        <is>
          <t>SYS-008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</row>
    <row r="13">
      <c r="A13" s="6" t="inlineStr">
        <is>
          <t>SYS-009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</row>
    <row r="14">
      <c r="A14" s="6" t="inlineStr">
        <is>
          <t>SYS-010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</row>
    <row r="15">
      <c r="A15" s="6" t="inlineStr">
        <is>
          <t>SYS-011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</row>
    <row r="16">
      <c r="A16" s="6" t="inlineStr">
        <is>
          <t>SYS-012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</row>
    <row r="17">
      <c r="A17" s="6" t="inlineStr">
        <is>
          <t>SYS-013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</row>
    <row r="18">
      <c r="A18" s="6" t="inlineStr">
        <is>
          <t>SYS-014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</row>
    <row r="19">
      <c r="A19" s="6" t="inlineStr">
        <is>
          <t>SYS-015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</row>
    <row r="20">
      <c r="A20" s="6" t="inlineStr">
        <is>
          <t>SYS-016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</row>
    <row r="21">
      <c r="A21" s="6" t="inlineStr">
        <is>
          <t>SYS-017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</row>
    <row r="22">
      <c r="A22" s="6" t="inlineStr">
        <is>
          <t>SYS-018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</row>
    <row r="23">
      <c r="A23" s="6" t="inlineStr">
        <is>
          <t>SYS-019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</row>
    <row r="24">
      <c r="A24" s="6" t="inlineStr">
        <is>
          <t>SYS-020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</row>
    <row r="25">
      <c r="A25" s="6" t="inlineStr">
        <is>
          <t>SYS-021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</row>
    <row r="26">
      <c r="A26" s="6" t="inlineStr">
        <is>
          <t>SYS-022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</row>
    <row r="27">
      <c r="A27" s="6" t="inlineStr">
        <is>
          <t>SYS-023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</row>
    <row r="28">
      <c r="A28" s="6" t="inlineStr">
        <is>
          <t>SYS-024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</row>
    <row r="29">
      <c r="A29" s="6" t="inlineStr">
        <is>
          <t>SYS-025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</row>
    <row r="30">
      <c r="A30" s="6" t="inlineStr">
        <is>
          <t>SYS-026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</row>
    <row r="31">
      <c r="A31" s="6" t="inlineStr">
        <is>
          <t>SYS-027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</row>
    <row r="32">
      <c r="A32" s="6" t="inlineStr">
        <is>
          <t>SYS-028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</row>
    <row r="33">
      <c r="A33" s="6" t="inlineStr">
        <is>
          <t>SYS-029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</row>
    <row r="34">
      <c r="A34" s="6" t="inlineStr">
        <is>
          <t>SYS-030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</row>
    <row r="35">
      <c r="A35" s="6" t="inlineStr">
        <is>
          <t>SYS-031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</row>
    <row r="36">
      <c r="A36" s="6" t="inlineStr">
        <is>
          <t>SYS-032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</row>
    <row r="37">
      <c r="A37" s="6" t="inlineStr">
        <is>
          <t>SYS-033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</row>
    <row r="38">
      <c r="A38" s="6" t="inlineStr">
        <is>
          <t>SYS-034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</row>
    <row r="39">
      <c r="A39" s="6" t="inlineStr">
        <is>
          <t>SYS-035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</row>
    <row r="40">
      <c r="A40" s="6" t="inlineStr">
        <is>
          <t>SYS-036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</row>
    <row r="41">
      <c r="A41" s="6" t="inlineStr">
        <is>
          <t>SYS-037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</row>
    <row r="42">
      <c r="A42" s="6" t="inlineStr">
        <is>
          <t>SYS-038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</row>
    <row r="43">
      <c r="A43" s="6" t="inlineStr">
        <is>
          <t>SYS-039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</row>
    <row r="44">
      <c r="A44" s="6" t="inlineStr">
        <is>
          <t>SYS-040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</row>
    <row r="45">
      <c r="A45" s="6" t="inlineStr">
        <is>
          <t>SYS-041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</row>
    <row r="46">
      <c r="A46" s="6" t="inlineStr">
        <is>
          <t>SYS-042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</row>
    <row r="47">
      <c r="A47" s="6" t="inlineStr">
        <is>
          <t>SYS-043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</row>
    <row r="48">
      <c r="A48" s="6" t="inlineStr">
        <is>
          <t>SYS-044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</row>
    <row r="49">
      <c r="A49" s="6" t="inlineStr">
        <is>
          <t>SYS-045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</row>
    <row r="50">
      <c r="A50" s="6" t="inlineStr">
        <is>
          <t>SYS-046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</row>
    <row r="51">
      <c r="A51" s="6" t="inlineStr">
        <is>
          <t>SYS-047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</row>
    <row r="52">
      <c r="A52" s="6" t="inlineStr">
        <is>
          <t>SYS-048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</row>
    <row r="53">
      <c r="A53" s="6" t="inlineStr">
        <is>
          <t>SYS-049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</row>
    <row r="54">
      <c r="A54" s="6" t="inlineStr">
        <is>
          <t>SYS-050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</row>
    <row r="57">
      <c r="A57" s="7" t="inlineStr">
        <is>
          <t>MITIGATION STRATEGY SUMMARY</t>
        </is>
      </c>
    </row>
    <row r="59">
      <c r="A59" s="8" t="inlineStr">
        <is>
          <t>Staging First</t>
        </is>
      </c>
      <c r="B59" s="8">
        <f>COUNTIF(G5:G54,"Staging First")</f>
        <v/>
      </c>
    </row>
    <row r="60">
      <c r="A60" s="8" t="inlineStr">
        <is>
          <t>Off-Hours</t>
        </is>
      </c>
      <c r="B60" s="8">
        <f>COUNTIF(G5:G54,"Off-Hours")</f>
        <v/>
      </c>
    </row>
    <row r="61">
      <c r="A61" s="8" t="inlineStr">
        <is>
          <t>Rate Limiting</t>
        </is>
      </c>
      <c r="B61" s="8">
        <f>COUNTIF(G5:G54,"Rate Limiting")</f>
        <v/>
      </c>
    </row>
    <row r="62">
      <c r="A62" s="8" t="inlineStr">
        <is>
          <t>Scope Exclusion</t>
        </is>
      </c>
      <c r="B62" s="8">
        <f>COUNTIF(G5:G54,"Scope Exclusion")</f>
        <v/>
      </c>
    </row>
    <row r="63">
      <c r="A63" s="8" t="inlineStr">
        <is>
          <t>Enhanced Monitoring</t>
        </is>
      </c>
      <c r="B63" s="8">
        <f>COUNTIF(G5:G54,"Enhanced Monitoring")</f>
        <v/>
      </c>
    </row>
    <row r="64">
      <c r="A64" s="8" t="inlineStr">
        <is>
          <t>Standby Recovery</t>
        </is>
      </c>
      <c r="B64" s="8">
        <f>COUNTIF(G5:G54,"Standby Recovery")</f>
        <v/>
      </c>
    </row>
    <row r="65">
      <c r="A65" s="8" t="inlineStr">
        <is>
          <t>Read-Only Only</t>
        </is>
      </c>
      <c r="B65" s="8">
        <f>COUNTIF(G5:G54,"Read-Only Only")</f>
        <v/>
      </c>
    </row>
    <row r="66">
      <c r="A66" s="8" t="inlineStr">
        <is>
          <t>Multi-Strategy</t>
        </is>
      </c>
      <c r="B66" s="8">
        <f>COUNTIF(G5:G54,"Multi-Strategy")</f>
        <v/>
      </c>
    </row>
    <row r="68">
      <c r="A68" s="7" t="inlineStr">
        <is>
          <t>SYSTEM COVERAGE STATISTICS</t>
        </is>
      </c>
    </row>
    <row r="70">
      <c r="A70" s="8" t="inlineStr">
        <is>
          <t>Total Systems</t>
        </is>
      </c>
      <c r="B70" s="8">
        <f>COUNTA(B5:B54)</f>
        <v/>
      </c>
    </row>
    <row r="71">
      <c r="A71" s="8" t="inlineStr">
        <is>
          <t>Critical Systems</t>
        </is>
      </c>
      <c r="B71" s="8">
        <f>COUNTIF(C5:C54,"Critical")</f>
        <v/>
      </c>
    </row>
    <row r="72">
      <c r="A72" s="8" t="inlineStr">
        <is>
          <t>High Criticality</t>
        </is>
      </c>
      <c r="B72" s="8">
        <f>COUNTIF(C5:C54,"High")</f>
        <v/>
      </c>
    </row>
    <row r="73">
      <c r="A73" s="8" t="inlineStr">
        <is>
          <t>Medium Criticality</t>
        </is>
      </c>
      <c r="B73" s="8">
        <f>COUNTIF(C5:C54,"Medium")</f>
        <v/>
      </c>
    </row>
    <row r="74">
      <c r="A74" s="8" t="inlineStr">
        <is>
          <t>Low Criticality</t>
        </is>
      </c>
      <c r="B74" s="8">
        <f>COUNTIF(C5:C54,"Low")</f>
        <v/>
      </c>
    </row>
    <row r="75">
      <c r="A75" s="8" t="inlineStr">
        <is>
          <t>With Rollback Procedure</t>
        </is>
      </c>
      <c r="B75" s="8">
        <f>COUNTA(N5:N54)</f>
        <v/>
      </c>
    </row>
    <row r="76">
      <c r="A76" s="8" t="inlineStr">
        <is>
          <t>Backup Required</t>
        </is>
      </c>
      <c r="B76" s="8">
        <f>COUNTIF(K5:K54,"Yes")</f>
        <v/>
      </c>
    </row>
  </sheetData>
  <mergeCells count="1">
    <mergeCell ref="A1:W1"/>
  </mergeCells>
  <dataValidations count="3">
    <dataValidation sqref="C5:C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"Staging First,Off-Hours,Rate Limiting,Scope Exclusion,Enhanced Monitoring,Standby Recovery,Read-Only Only,Multi-Strategy"</formula1>
    </dataValidation>
    <dataValidation sqref="K5:K54" showDropDown="0" showInputMessage="0" showErrorMessage="0" allowBlank="0" type="list">
      <formula1>"Yes,No,Already Scheduled"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8" customWidth="1" min="4" max="4"/>
    <col width="40" customWidth="1" min="5" max="5"/>
    <col width="35" customWidth="1" min="6" max="6"/>
    <col width="35" customWidth="1" min="7" max="7"/>
    <col width="18" customWidth="1" min="8" max="8"/>
    <col width="18" customWidth="1" min="9" max="9"/>
    <col width="25" customWidth="1" min="10" max="10"/>
    <col width="40" customWidth="1" min="11" max="11"/>
    <col width="18" customWidth="1" min="12" max="12"/>
    <col width="25" customWidth="1" min="13" max="13"/>
    <col width="25" customWidth="1" min="14" max="14"/>
    <col width="25" customWidth="1" min="15" max="15"/>
    <col width="12" customWidth="1" min="16" max="16"/>
    <col width="40" customWidth="1" min="17" max="17"/>
    <col width="12" customWidth="1" min="18" max="18"/>
    <col width="25" customWidth="1" min="19" max="19"/>
    <col width="25" customWidth="1" min="20" max="20"/>
    <col width="12" customWidth="1" min="21" max="21"/>
    <col width="25" customWidth="1" min="22" max="22"/>
    <col width="20" customWidth="1" min="23" max="23"/>
  </cols>
  <sheetData>
    <row r="1">
      <c r="A1" s="4" t="inlineStr">
        <is>
          <t>AUDIT EVIDENCE PROTECTION</t>
        </is>
      </c>
    </row>
    <row r="2">
      <c r="A2" t="inlineStr">
        <is>
          <t>Secure handling and retention of audit evidence</t>
        </is>
      </c>
    </row>
    <row r="4">
      <c r="A4" s="5" t="inlineStr">
        <is>
          <t>Evidence_Category_ID</t>
        </is>
      </c>
      <c r="B4" s="5" t="inlineStr">
        <is>
          <t>Evidence_Category</t>
        </is>
      </c>
      <c r="C4" s="5" t="inlineStr">
        <is>
          <t>Evidence_Description</t>
        </is>
      </c>
      <c r="D4" s="5" t="inlineStr">
        <is>
          <t>Sensitivity_Classification</t>
        </is>
      </c>
      <c r="E4" s="5" t="inlineStr">
        <is>
          <t>Example_Documents</t>
        </is>
      </c>
      <c r="F4" s="5" t="inlineStr">
        <is>
          <t>Primary_Storage_Location</t>
        </is>
      </c>
      <c r="G4" s="5" t="inlineStr">
        <is>
          <t>Backup_Location</t>
        </is>
      </c>
      <c r="H4" s="5" t="inlineStr">
        <is>
          <t>Encryption_at_Rest</t>
        </is>
      </c>
      <c r="I4" s="5" t="inlineStr">
        <is>
          <t>Encryption_in_Transit</t>
        </is>
      </c>
      <c r="J4" s="5" t="inlineStr">
        <is>
          <t>Access_Control_Type</t>
        </is>
      </c>
      <c r="K4" s="5" t="inlineStr">
        <is>
          <t>Authorized_Accessors</t>
        </is>
      </c>
      <c r="L4" s="5" t="inlineStr">
        <is>
          <t>Retention_Period</t>
        </is>
      </c>
      <c r="M4" s="5" t="inlineStr">
        <is>
          <t>Retention_Start_Event</t>
        </is>
      </c>
      <c r="N4" s="5" t="inlineStr">
        <is>
          <t>Destruction_Method</t>
        </is>
      </c>
      <c r="O4" s="5" t="inlineStr">
        <is>
          <t>Destruction_Approval</t>
        </is>
      </c>
      <c r="P4" s="5" t="inlineStr">
        <is>
          <t>Chain_of_Custody_Required</t>
        </is>
      </c>
      <c r="Q4" s="5" t="inlineStr">
        <is>
          <t>Chain_of_Custody_Process</t>
        </is>
      </c>
      <c r="R4" s="5" t="inlineStr">
        <is>
          <t>Legal_Hold_Applicable</t>
        </is>
      </c>
      <c r="S4" s="5" t="inlineStr">
        <is>
          <t>Legal_Hold_Contact</t>
        </is>
      </c>
      <c r="T4" s="5" t="inlineStr">
        <is>
          <t>Integrity_Verification</t>
        </is>
      </c>
      <c r="U4" s="5" t="inlineStr">
        <is>
          <t>Last_Access_Review</t>
        </is>
      </c>
      <c r="V4" s="5" t="inlineStr">
        <is>
          <t>Evidence_Owner</t>
        </is>
      </c>
      <c r="W4" s="5" t="inlineStr">
        <is>
          <t>Evidence_Reference</t>
        </is>
      </c>
    </row>
    <row r="5">
      <c r="A5" s="6" t="inlineStr">
        <is>
          <t>EVCAT-001</t>
        </is>
      </c>
      <c r="B5" s="6" t="inlineStr">
        <is>
          <t>Penetration Test Reports</t>
        </is>
      </c>
      <c r="C5" s="6" t="inlineStr">
        <is>
          <t>Technical findings from pen tests</t>
        </is>
      </c>
      <c r="D5" s="6" t="inlineStr">
        <is>
          <t>Restricted</t>
        </is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>
      <c r="A6" s="6" t="inlineStr">
        <is>
          <t>EVCAT-002</t>
        </is>
      </c>
      <c r="B6" s="6" t="inlineStr">
        <is>
          <t>Vulnerability Scan Results</t>
        </is>
      </c>
      <c r="C6" s="6" t="inlineStr">
        <is>
          <t>Automated scanner outputs</t>
        </is>
      </c>
      <c r="D6" s="6" t="inlineStr">
        <is>
          <t>Confidential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</row>
    <row r="7">
      <c r="A7" s="6" t="inlineStr">
        <is>
          <t>EVCAT-003</t>
        </is>
      </c>
      <c r="B7" s="6" t="inlineStr">
        <is>
          <t>Audit Workpapers</t>
        </is>
      </c>
      <c r="C7" s="6" t="inlineStr">
        <is>
          <t>Supporting audit documentation</t>
        </is>
      </c>
      <c r="D7" s="6" t="inlineStr">
        <is>
          <t>Confidential</t>
        </is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6" t="inlineStr">
        <is>
          <t>EVCAT-004</t>
        </is>
      </c>
      <c r="B8" s="6" t="inlineStr">
        <is>
          <t>System Configurations</t>
        </is>
      </c>
      <c r="C8" s="6" t="inlineStr">
        <is>
          <t>Captured configs during audit</t>
        </is>
      </c>
      <c r="D8" s="6" t="inlineStr">
        <is>
          <t>Confidential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</row>
    <row r="9">
      <c r="A9" s="6" t="inlineStr">
        <is>
          <t>EVCAT-005</t>
        </is>
      </c>
      <c r="B9" s="6" t="inlineStr">
        <is>
          <t>Access Logs</t>
        </is>
      </c>
      <c r="C9" s="6" t="inlineStr">
        <is>
          <t>Records of auditor activity</t>
        </is>
      </c>
      <c r="D9" s="6" t="inlineStr">
        <is>
          <t>Internal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</row>
    <row r="10">
      <c r="A10" s="6" t="inlineStr">
        <is>
          <t>EVCAT-006</t>
        </is>
      </c>
      <c r="B10" s="6" t="inlineStr">
        <is>
          <t>Interview Notes</t>
        </is>
      </c>
      <c r="C10" s="6" t="inlineStr">
        <is>
          <t>Documented conversations</t>
        </is>
      </c>
      <c r="D10" s="6" t="inlineStr">
        <is>
          <t>Confidential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</row>
    <row r="11">
      <c r="A11" s="6" t="inlineStr">
        <is>
          <t>EVCAT-007</t>
        </is>
      </c>
      <c r="B11" s="6" t="inlineStr">
        <is>
          <t>Screenshots/Recordings</t>
        </is>
      </c>
      <c r="C11" s="6" t="inlineStr">
        <is>
          <t>Visual audit evidence</t>
        </is>
      </c>
      <c r="D11" s="6" t="inlineStr">
        <is>
          <t>Confidential</t>
        </is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</row>
    <row r="12">
      <c r="A12" s="6" t="inlineStr">
        <is>
          <t>EVCAT-008</t>
        </is>
      </c>
      <c r="B12" s="6" t="inlineStr">
        <is>
          <t>Final Audit Reports</t>
        </is>
      </c>
      <c r="C12" s="6" t="inlineStr">
        <is>
          <t>Published audit reports</t>
        </is>
      </c>
      <c r="D12" s="6" t="inlineStr">
        <is>
          <t>Confidential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</row>
    <row r="13">
      <c r="A13" s="6" t="inlineStr">
        <is>
          <t>EVCAT-009</t>
        </is>
      </c>
      <c r="B13" s="6" t="inlineStr">
        <is>
          <t>Remediation Evidence</t>
        </is>
      </c>
      <c r="C13" s="6" t="inlineStr">
        <is>
          <t>Proof of fix implementation</t>
        </is>
      </c>
      <c r="D13" s="6" t="inlineStr">
        <is>
          <t>Internal</t>
        </is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</row>
    <row r="14">
      <c r="A14" s="6" t="inlineStr">
        <is>
          <t>EVCAT-010</t>
        </is>
      </c>
      <c r="B14" s="6" t="inlineStr">
        <is>
          <t>Management Response</t>
        </is>
      </c>
      <c r="C14" s="6" t="inlineStr">
        <is>
          <t>Management's reply to findings</t>
        </is>
      </c>
      <c r="D14" s="6" t="inlineStr">
        <is>
          <t>Internal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</row>
    <row r="15">
      <c r="A15" s="6" t="inlineStr">
        <is>
          <t>EVCAT-011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</row>
    <row r="16">
      <c r="A16" s="6" t="inlineStr">
        <is>
          <t>EVCAT-012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</row>
    <row r="17">
      <c r="A17" s="6" t="inlineStr">
        <is>
          <t>EVCAT-013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</row>
    <row r="18">
      <c r="A18" s="6" t="inlineStr">
        <is>
          <t>EVCAT-014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</row>
    <row r="19">
      <c r="A19" s="6" t="inlineStr">
        <is>
          <t>EVCAT-015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</row>
    <row r="20">
      <c r="A20" s="6" t="inlineStr">
        <is>
          <t>EVCAT-016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</row>
    <row r="21">
      <c r="A21" s="6" t="inlineStr">
        <is>
          <t>EVCAT-017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</row>
    <row r="22">
      <c r="A22" s="6" t="inlineStr">
        <is>
          <t>EVCAT-018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</row>
    <row r="23">
      <c r="A23" s="6" t="inlineStr">
        <is>
          <t>EVCAT-019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</row>
    <row r="24">
      <c r="A24" s="6" t="inlineStr">
        <is>
          <t>EVCAT-020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</row>
    <row r="25">
      <c r="A25" s="6" t="inlineStr">
        <is>
          <t>EVCAT-021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</row>
    <row r="26">
      <c r="A26" s="6" t="inlineStr">
        <is>
          <t>EVCAT-022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</row>
    <row r="27">
      <c r="A27" s="6" t="inlineStr">
        <is>
          <t>EVCAT-023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</row>
    <row r="28">
      <c r="A28" s="6" t="inlineStr">
        <is>
          <t>EVCAT-024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</row>
    <row r="29">
      <c r="A29" s="6" t="inlineStr">
        <is>
          <t>EVCAT-025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</row>
    <row r="30">
      <c r="A30" s="6" t="inlineStr">
        <is>
          <t>EVCAT-026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</row>
    <row r="31">
      <c r="A31" s="6" t="inlineStr">
        <is>
          <t>EVCAT-027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</row>
    <row r="32">
      <c r="A32" s="6" t="inlineStr">
        <is>
          <t>EVCAT-028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</row>
    <row r="33">
      <c r="A33" s="6" t="inlineStr">
        <is>
          <t>EVCAT-029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</row>
    <row r="34">
      <c r="A34" s="6" t="inlineStr">
        <is>
          <t>EVCAT-030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</row>
    <row r="37">
      <c r="A37" s="7" t="inlineStr">
        <is>
          <t>PROTECTION STATISTICS</t>
        </is>
      </c>
    </row>
    <row r="39">
      <c r="A39" s="8" t="inlineStr">
        <is>
          <t>Total Evidence Categories</t>
        </is>
      </c>
      <c r="B39" s="8">
        <f>COUNTA(B5:B34)</f>
        <v/>
      </c>
    </row>
    <row r="40">
      <c r="A40" s="8" t="inlineStr">
        <is>
          <t>Restricted Categories</t>
        </is>
      </c>
      <c r="B40" s="8">
        <f>COUNTIF(D5:D34,"Restricted")</f>
        <v/>
      </c>
    </row>
    <row r="41">
      <c r="A41" s="8" t="inlineStr">
        <is>
          <t>Confidential Categories</t>
        </is>
      </c>
      <c r="B41" s="8">
        <f>COUNTIF(D5:D34,"Confidential")</f>
        <v/>
      </c>
    </row>
    <row r="42">
      <c r="A42" s="8" t="inlineStr">
        <is>
          <t>Encryption at Rest (AES-256)</t>
        </is>
      </c>
      <c r="B42" s="8">
        <f>COUNTIF(H5:H34,"AES-256")</f>
        <v/>
      </c>
    </row>
    <row r="43">
      <c r="A43" s="8" t="inlineStr">
        <is>
          <t>Encryption in Transit (TLS 1.3)</t>
        </is>
      </c>
      <c r="B43" s="8">
        <f>COUNTIF(I5:I34,"TLS 1.3")</f>
        <v/>
      </c>
    </row>
    <row r="44">
      <c r="A44" s="8" t="inlineStr">
        <is>
          <t>Chain of Custody Required</t>
        </is>
      </c>
      <c r="B44" s="8">
        <f>COUNTIF(P5:P34,"Yes")</f>
        <v/>
      </c>
    </row>
    <row r="45">
      <c r="A45" s="8" t="inlineStr">
        <is>
          <t>Legal Hold Applicable</t>
        </is>
      </c>
      <c r="B45" s="8">
        <f>COUNTIF(R5:R34,"Yes")</f>
        <v/>
      </c>
    </row>
  </sheetData>
  <mergeCells count="1">
    <mergeCell ref="A1:W1"/>
  </mergeCells>
  <dataValidations count="9">
    <dataValidation sqref="D5:D34" showDropDown="0" showInputMessage="0" showErrorMessage="0" allowBlank="0" type="list">
      <formula1>"Public,Internal,Confidential,Restricted"</formula1>
    </dataValidation>
    <dataValidation sqref="H5:H34" showDropDown="0" showInputMessage="0" showErrorMessage="0" allowBlank="0" type="list">
      <formula1>"AES-256,AES-128,BitLocker,None,Other"</formula1>
    </dataValidation>
    <dataValidation sqref="I5:I34" showDropDown="0" showInputMessage="0" showErrorMessage="0" allowBlank="0" type="list">
      <formula1>"TLS 1.3,TLS 1.2,VPN,None,Other"</formula1>
    </dataValidation>
    <dataValidation sqref="J5:J34" showDropDown="0" showInputMessage="0" showErrorMessage="0" allowBlank="0" type="list">
      <formula1>"RBAC,ACL,Individual Permissions,None"</formula1>
    </dataValidation>
    <dataValidation sqref="L5:L34" showDropDown="0" showInputMessage="0" showErrorMessage="0" allowBlank="0" type="list">
      <formula1>"1 Year,2 Years,3 Years,5 Years,7 Years,Permanent,Legal Hold"</formula1>
    </dataValidation>
    <dataValidation sqref="N5:N34" showDropDown="0" showInputMessage="0" showErrorMessage="0" allowBlank="0" type="list">
      <formula1>"Secure Delete,Shredding,Degaussing,Certified Destruction"</formula1>
    </dataValidation>
    <dataValidation sqref="P5:P34" showDropDown="0" showInputMessage="0" showErrorMessage="0" allowBlank="0" type="list">
      <formula1>"Yes,No"</formula1>
    </dataValidation>
    <dataValidation sqref="R5:R34" showDropDown="0" showInputMessage="0" showErrorMessage="0" allowBlank="0" type="list">
      <formula1>"Yes,No,Potentially"</formula1>
    </dataValidation>
    <dataValidation sqref="T5:T34" showDropDown="0" showInputMessage="0" showErrorMessage="0" allowBlank="0" type="list">
      <formula1>"Hashing,Digital Signatures,Checksums,None"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15" customWidth="1" min="4" max="4"/>
    <col width="20" customWidth="1" min="5" max="5"/>
    <col width="15" customWidth="1" min="6" max="6"/>
  </cols>
  <sheetData>
    <row r="1">
      <c r="A1" s="9" t="inlineStr">
        <is>
          <t>AUDIT ACTIVITY MANAGEMENT - SUMMARY DASHBOARD</t>
        </is>
      </c>
    </row>
    <row r="2">
      <c r="A2" s="10" t="inlineStr">
        <is>
          <t>Executive overview of audit governance compliance</t>
        </is>
      </c>
    </row>
    <row r="3">
      <c r="A3" t="inlineStr">
        <is>
          <t>Report Date: 31.01.2026</t>
        </is>
      </c>
    </row>
    <row r="5">
      <c r="A5" s="7" t="inlineStr">
        <is>
          <t>OVERALL COMPLIANCE SUMMARY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Target</t>
        </is>
      </c>
      <c r="D6" s="5" t="inlineStr">
        <is>
          <t>Status</t>
        </is>
      </c>
    </row>
    <row r="7">
      <c r="A7" s="8" t="inlineStr">
        <is>
          <t>Audit Authorization Rate</t>
        </is>
      </c>
      <c r="B7" s="6" t="inlineStr">
        <is>
          <t>[%]</t>
        </is>
      </c>
      <c r="C7" s="8" t="inlineStr">
        <is>
          <t>100%</t>
        </is>
      </c>
      <c r="D7" s="6" t="n"/>
    </row>
    <row r="8">
      <c r="A8" s="8" t="inlineStr">
        <is>
          <t>Tool Authorization Rate</t>
        </is>
      </c>
      <c r="B8" s="6" t="inlineStr">
        <is>
          <t>[%]</t>
        </is>
      </c>
      <c r="C8" s="8" t="inlineStr">
        <is>
          <t>100%</t>
        </is>
      </c>
      <c r="D8" s="6" t="n"/>
    </row>
    <row r="9">
      <c r="A9" s="8" t="inlineStr">
        <is>
          <t>Access Approval Rate</t>
        </is>
      </c>
      <c r="B9" s="6" t="inlineStr">
        <is>
          <t>[%]</t>
        </is>
      </c>
      <c r="C9" s="8" t="inlineStr">
        <is>
          <t>100%</t>
        </is>
      </c>
      <c r="D9" s="6" t="n"/>
    </row>
    <row r="10">
      <c r="A10" s="8" t="inlineStr">
        <is>
          <t>Access Revocation Timeliness</t>
        </is>
      </c>
      <c r="B10" s="6" t="inlineStr">
        <is>
          <t>[%]</t>
        </is>
      </c>
      <c r="C10" s="8" t="inlineStr">
        <is>
          <t>100%</t>
        </is>
      </c>
      <c r="D10" s="6" t="n"/>
    </row>
    <row r="11">
      <c r="A11" s="8" t="inlineStr">
        <is>
          <t>NDA Coverage</t>
        </is>
      </c>
      <c r="B11" s="6" t="inlineStr">
        <is>
          <t>[%]</t>
        </is>
      </c>
      <c r="C11" s="8" t="inlineStr">
        <is>
          <t>100%</t>
        </is>
      </c>
      <c r="D11" s="6" t="n"/>
    </row>
    <row r="12">
      <c r="A12" s="8" t="inlineStr">
        <is>
          <t>Access Logging Coverage</t>
        </is>
      </c>
      <c r="B12" s="6" t="inlineStr">
        <is>
          <t>[%]</t>
        </is>
      </c>
      <c r="C12" s="8" t="inlineStr">
        <is>
          <t>100%</t>
        </is>
      </c>
      <c r="D12" s="6" t="n"/>
    </row>
    <row r="13">
      <c r="A13" s="8" t="inlineStr">
        <is>
          <t>Critical System Mitigation Coverage</t>
        </is>
      </c>
      <c r="B13" s="6" t="inlineStr">
        <is>
          <t>[%]</t>
        </is>
      </c>
      <c r="C13" s="8" t="inlineStr">
        <is>
          <t>100%</t>
        </is>
      </c>
      <c r="D13" s="6" t="n"/>
    </row>
    <row r="14">
      <c r="A14" s="8" t="inlineStr">
        <is>
          <t>Evidence Encryption Rate</t>
        </is>
      </c>
      <c r="B14" s="6" t="inlineStr">
        <is>
          <t>[%]</t>
        </is>
      </c>
      <c r="C14" s="8" t="inlineStr">
        <is>
          <t>100%</t>
        </is>
      </c>
      <c r="D14" s="6" t="n"/>
    </row>
    <row r="17">
      <c r="A17" s="7" t="inlineStr">
        <is>
          <t>AUDIT ACTIVITY SUMMARY</t>
        </is>
      </c>
    </row>
    <row r="18">
      <c r="A18" s="5" t="inlineStr">
        <is>
          <t>Metric</t>
        </is>
      </c>
      <c r="B18" s="5" t="inlineStr">
        <is>
          <t>Count</t>
        </is>
      </c>
      <c r="C18" s="5" t="inlineStr">
        <is>
          <t>Status</t>
        </is>
      </c>
    </row>
    <row r="19">
      <c r="A19" s="8" t="inlineStr">
        <is>
          <t>Total Audits This Period</t>
        </is>
      </c>
      <c r="B19" s="6" t="inlineStr">
        <is>
          <t>[#]</t>
        </is>
      </c>
      <c r="C19" s="6" t="n"/>
    </row>
    <row r="20">
      <c r="A20" s="8" t="inlineStr">
        <is>
          <t>Completed Audits</t>
        </is>
      </c>
      <c r="B20" s="6" t="inlineStr">
        <is>
          <t>[#]</t>
        </is>
      </c>
      <c r="C20" s="6" t="n"/>
    </row>
    <row r="21">
      <c r="A21" s="8" t="inlineStr">
        <is>
          <t>In Progress Audits</t>
        </is>
      </c>
      <c r="B21" s="6" t="inlineStr">
        <is>
          <t>[#]</t>
        </is>
      </c>
      <c r="C21" s="6" t="n"/>
    </row>
    <row r="22">
      <c r="A22" s="8" t="inlineStr">
        <is>
          <t>Planned Audits</t>
        </is>
      </c>
      <c r="B22" s="6" t="inlineStr">
        <is>
          <t>[#]</t>
        </is>
      </c>
      <c r="C22" s="6" t="n"/>
    </row>
    <row r="23">
      <c r="A23" s="8" t="inlineStr">
        <is>
          <t>Total Findings</t>
        </is>
      </c>
      <c r="B23" s="6" t="inlineStr">
        <is>
          <t>[#]</t>
        </is>
      </c>
      <c r="C23" s="6" t="n"/>
    </row>
    <row r="24">
      <c r="A24" s="8" t="inlineStr">
        <is>
          <t>Critical/High Findings</t>
        </is>
      </c>
      <c r="B24" s="6" t="inlineStr">
        <is>
          <t>[#]</t>
        </is>
      </c>
      <c r="C24" s="6" t="n"/>
    </row>
    <row r="25">
      <c r="A25" s="8" t="inlineStr">
        <is>
          <t>Open Follow-ups</t>
        </is>
      </c>
      <c r="B25" s="6" t="inlineStr">
        <is>
          <t>[#]</t>
        </is>
      </c>
      <c r="C25" s="6" t="n"/>
    </row>
    <row r="28">
      <c r="A28" s="11" t="inlineStr">
        <is>
          <t>CRITICAL FINDINGS REQUIRING IMMEDIATE ATTENTION</t>
        </is>
      </c>
    </row>
    <row r="29">
      <c r="A29" s="12" t="inlineStr">
        <is>
          <t>Category</t>
        </is>
      </c>
      <c r="B29" s="12" t="inlineStr">
        <is>
          <t>Finding</t>
        </is>
      </c>
      <c r="C29" s="12" t="inlineStr">
        <is>
          <t>Count</t>
        </is>
      </c>
      <c r="D29" s="12" t="inlineStr">
        <is>
          <t>Severity</t>
        </is>
      </c>
      <c r="E29" s="12" t="inlineStr">
        <is>
          <t>Action Required</t>
        </is>
      </c>
    </row>
    <row r="30">
      <c r="A30" s="8" t="inlineStr">
        <is>
          <t>Unauthorized Audits</t>
        </is>
      </c>
      <c r="B30" s="8" t="inlineStr">
        <is>
          <t>Audits without approval</t>
        </is>
      </c>
      <c r="C30" s="6" t="inlineStr">
        <is>
          <t>[#]</t>
        </is>
      </c>
      <c r="D30" s="8" t="inlineStr">
        <is>
          <t>Critical</t>
        </is>
      </c>
      <c r="E30" s="8" t="inlineStr">
        <is>
          <t>Immediate</t>
        </is>
      </c>
    </row>
    <row r="31">
      <c r="A31" s="8" t="inlineStr">
        <is>
          <t>Unauthorized Tools</t>
        </is>
      </c>
      <c r="B31" s="8" t="inlineStr">
        <is>
          <t>Tools without authorization</t>
        </is>
      </c>
      <c r="C31" s="6" t="inlineStr">
        <is>
          <t>[#]</t>
        </is>
      </c>
      <c r="D31" s="8" t="inlineStr">
        <is>
          <t>Critical</t>
        </is>
      </c>
      <c r="E31" s="8" t="inlineStr">
        <is>
          <t>Immediate</t>
        </is>
      </c>
    </row>
    <row r="32">
      <c r="A32" s="8" t="inlineStr">
        <is>
          <t>Unapproved Access</t>
        </is>
      </c>
      <c r="B32" s="8" t="inlineStr">
        <is>
          <t>Auditor access without approval</t>
        </is>
      </c>
      <c r="C32" s="6" t="inlineStr">
        <is>
          <t>[#]</t>
        </is>
      </c>
      <c r="D32" s="8" t="inlineStr">
        <is>
          <t>High</t>
        </is>
      </c>
      <c r="E32" s="8" t="inlineStr">
        <is>
          <t>Urgent</t>
        </is>
      </c>
    </row>
    <row r="33">
      <c r="A33" s="8" t="inlineStr">
        <is>
          <t>Active Access Past End Date</t>
        </is>
      </c>
      <c r="B33" s="8" t="inlineStr">
        <is>
          <t>Access not revoked</t>
        </is>
      </c>
      <c r="C33" s="6" t="inlineStr">
        <is>
          <t>[#]</t>
        </is>
      </c>
      <c r="D33" s="8" t="inlineStr">
        <is>
          <t>High</t>
        </is>
      </c>
      <c r="E33" s="8" t="inlineStr">
        <is>
          <t>Urgent</t>
        </is>
      </c>
    </row>
    <row r="34">
      <c r="A34" s="8" t="inlineStr">
        <is>
          <t>Missing Mitigation Plans</t>
        </is>
      </c>
      <c r="B34" s="8" t="inlineStr">
        <is>
          <t>Critical systems without plans</t>
        </is>
      </c>
      <c r="C34" s="6" t="inlineStr">
        <is>
          <t>[#]</t>
        </is>
      </c>
      <c r="D34" s="8" t="inlineStr">
        <is>
          <t>High</t>
        </is>
      </c>
      <c r="E34" s="8" t="inlineStr">
        <is>
          <t>Priority</t>
        </is>
      </c>
    </row>
    <row r="35">
      <c r="A35" s="8" t="inlineStr">
        <is>
          <t>Unencrypted Evidence</t>
        </is>
      </c>
      <c r="B35" s="8" t="inlineStr">
        <is>
          <t>Sensitive evidence unprotected</t>
        </is>
      </c>
      <c r="C35" s="6" t="inlineStr">
        <is>
          <t>[#]</t>
        </is>
      </c>
      <c r="D35" s="8" t="inlineStr">
        <is>
          <t>Medium</t>
        </is>
      </c>
      <c r="E35" s="8" t="inlineStr">
        <is>
          <t>Plan</t>
        </is>
      </c>
    </row>
    <row r="36">
      <c r="A36" s="8" t="inlineStr">
        <is>
          <t>Overdue Reviews</t>
        </is>
      </c>
      <c r="B36" s="8" t="inlineStr">
        <is>
          <t>Reviews past due</t>
        </is>
      </c>
      <c r="C36" s="6" t="inlineStr">
        <is>
          <t>[#]</t>
        </is>
      </c>
      <c r="D36" s="8" t="inlineStr">
        <is>
          <t>Medium</t>
        </is>
      </c>
      <c r="E36" s="8" t="inlineStr">
        <is>
          <t>Plan</t>
        </is>
      </c>
    </row>
  </sheetData>
  <mergeCells count="1">
    <mergeCell ref="A1:F1"/>
  </mergeCells>
  <dataValidations count="1">
    <dataValidation sqref="D7:D15" showDropDown="0" showInputMessage="0" showErrorMessage="0" allowBlank="0" type="list">
      <formula1>"Compliant,Partial,Non-Compliant"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50" customWidth="1" min="4" max="4"/>
    <col width="25" customWidth="1" min="5" max="5"/>
    <col width="25" customWidth="1" min="6" max="6"/>
    <col width="40" customWidth="1" min="7" max="7"/>
    <col width="15" customWidth="1" min="8" max="8"/>
    <col width="25" customWidth="1" min="9" max="9"/>
    <col width="18" customWidth="1" min="10" max="10"/>
    <col width="25" customWidth="1" min="11" max="11"/>
    <col width="15" customWidth="1" min="12" max="12"/>
    <col width="18" customWidth="1" min="13" max="13"/>
    <col width="15" customWidth="1" min="14" max="14"/>
    <col width="18" customWidth="1" min="15" max="15"/>
    <col width="40" customWidth="1" min="16" max="16"/>
  </cols>
  <sheetData>
    <row r="1">
      <c r="A1" s="4" t="inlineStr">
        <is>
          <t>EVIDENCE REGISTER</t>
        </is>
      </c>
    </row>
    <row r="2">
      <c r="A2" t="inlineStr">
        <is>
          <t>Documentation supporting assessment findings (100 entries)</t>
        </is>
      </c>
    </row>
    <row r="4">
      <c r="A4" s="5" t="inlineStr">
        <is>
          <t>Evidence_ID</t>
        </is>
      </c>
      <c r="B4" s="5" t="inlineStr">
        <is>
          <t>Evidence_Type</t>
        </is>
      </c>
      <c r="C4" s="5" t="inlineStr">
        <is>
          <t>Evidence_Title</t>
        </is>
      </c>
      <c r="D4" s="5" t="inlineStr">
        <is>
          <t>Description</t>
        </is>
      </c>
      <c r="E4" s="5" t="inlineStr">
        <is>
          <t>Related_Assessment_Area</t>
        </is>
      </c>
      <c r="F4" s="5" t="inlineStr">
        <is>
          <t>Related_Finding_Control</t>
        </is>
      </c>
      <c r="G4" s="5" t="inlineStr">
        <is>
          <t>Document_Location</t>
        </is>
      </c>
      <c r="H4" s="5" t="inlineStr">
        <is>
          <t>Date_Collected</t>
        </is>
      </c>
      <c r="I4" s="5" t="inlineStr">
        <is>
          <t>Collected_By</t>
        </is>
      </c>
      <c r="J4" s="5" t="inlineStr">
        <is>
          <t>Verification_Status</t>
        </is>
      </c>
      <c r="K4" s="5" t="inlineStr">
        <is>
          <t>Verified_By</t>
        </is>
      </c>
      <c r="L4" s="5" t="inlineStr">
        <is>
          <t>Verification_Date</t>
        </is>
      </c>
      <c r="M4" s="5" t="inlineStr">
        <is>
          <t>Retention_Period</t>
        </is>
      </c>
      <c r="N4" s="5" t="inlineStr">
        <is>
          <t>Expiration_Date</t>
        </is>
      </c>
      <c r="O4" s="5" t="inlineStr">
        <is>
          <t>Confidentiality</t>
        </is>
      </c>
      <c r="P4" s="5" t="inlineStr">
        <is>
          <t>Auditor_Notes</t>
        </is>
      </c>
    </row>
    <row r="5">
      <c r="A5" s="6" t="inlineStr">
        <is>
          <t>EV-001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6" t="inlineStr">
        <is>
          <t>EV-002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6" t="inlineStr">
        <is>
          <t>EV-003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6" t="inlineStr">
        <is>
          <t>EV-004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6" t="inlineStr">
        <is>
          <t>EV-005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6" t="inlineStr">
        <is>
          <t>EV-006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6" t="inlineStr">
        <is>
          <t>EV-007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6" t="inlineStr">
        <is>
          <t>EV-008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6" t="inlineStr">
        <is>
          <t>EV-009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6" t="inlineStr">
        <is>
          <t>EV-010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inlineStr">
        <is>
          <t>EV-011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inlineStr">
        <is>
          <t>EV-012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inlineStr">
        <is>
          <t>EV-013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6" t="inlineStr">
        <is>
          <t>EV-014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6" t="inlineStr">
        <is>
          <t>EV-015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6" t="inlineStr">
        <is>
          <t>EV-016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6" t="inlineStr">
        <is>
          <t>EV-017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6" t="inlineStr">
        <is>
          <t>EV-018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6" t="inlineStr">
        <is>
          <t>EV-019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6" t="inlineStr">
        <is>
          <t>EV-020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6" t="inlineStr">
        <is>
          <t>EV-021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6" t="inlineStr">
        <is>
          <t>EV-022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6" t="inlineStr">
        <is>
          <t>EV-023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6" t="inlineStr">
        <is>
          <t>EV-024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6" t="inlineStr">
        <is>
          <t>EV-025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6" t="inlineStr">
        <is>
          <t>EV-026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6" t="inlineStr">
        <is>
          <t>EV-027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6" t="inlineStr">
        <is>
          <t>EV-028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6" t="inlineStr">
        <is>
          <t>EV-029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6" t="inlineStr">
        <is>
          <t>EV-030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>
      <c r="A35" s="6" t="inlineStr">
        <is>
          <t>EV-031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6" t="inlineStr">
        <is>
          <t>EV-032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>
      <c r="A37" s="6" t="inlineStr">
        <is>
          <t>EV-033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6" t="inlineStr">
        <is>
          <t>EV-034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6" t="inlineStr">
        <is>
          <t>EV-035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6" t="inlineStr">
        <is>
          <t>EV-036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6" t="inlineStr">
        <is>
          <t>EV-037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6" t="inlineStr">
        <is>
          <t>EV-038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>
      <c r="A43" s="6" t="inlineStr">
        <is>
          <t>EV-039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6" t="inlineStr">
        <is>
          <t>EV-040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>
      <c r="A45" s="6" t="inlineStr">
        <is>
          <t>EV-041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6" t="inlineStr">
        <is>
          <t>EV-042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</row>
    <row r="47">
      <c r="A47" s="6" t="inlineStr">
        <is>
          <t>EV-043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>
      <c r="A48" s="6" t="inlineStr">
        <is>
          <t>EV-044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6" t="inlineStr">
        <is>
          <t>EV-045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6" t="inlineStr">
        <is>
          <t>EV-046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6" t="inlineStr">
        <is>
          <t>EV-047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6" t="inlineStr">
        <is>
          <t>EV-048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6" t="inlineStr">
        <is>
          <t>EV-049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  <row r="54">
      <c r="A54" s="6" t="inlineStr">
        <is>
          <t>EV-050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</row>
    <row r="55">
      <c r="A55" s="6" t="inlineStr">
        <is>
          <t>EV-051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</row>
    <row r="56">
      <c r="A56" s="6" t="inlineStr">
        <is>
          <t>EV-052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</row>
    <row r="57">
      <c r="A57" s="6" t="inlineStr">
        <is>
          <t>EV-053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</row>
    <row r="58">
      <c r="A58" s="6" t="inlineStr">
        <is>
          <t>EV-054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</row>
    <row r="59">
      <c r="A59" s="6" t="inlineStr">
        <is>
          <t>EV-055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</row>
    <row r="60">
      <c r="A60" s="6" t="inlineStr">
        <is>
          <t>EV-056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</row>
    <row r="61">
      <c r="A61" s="6" t="inlineStr">
        <is>
          <t>EV-057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6" t="inlineStr">
        <is>
          <t>EV-058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</row>
    <row r="63">
      <c r="A63" s="6" t="inlineStr">
        <is>
          <t>EV-059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</row>
    <row r="64">
      <c r="A64" s="6" t="inlineStr">
        <is>
          <t>EV-060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</row>
    <row r="65">
      <c r="A65" s="6" t="inlineStr">
        <is>
          <t>EV-061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</row>
    <row r="66">
      <c r="A66" s="6" t="inlineStr">
        <is>
          <t>EV-062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</row>
    <row r="67">
      <c r="A67" s="6" t="inlineStr">
        <is>
          <t>EV-063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</row>
    <row r="68">
      <c r="A68" s="6" t="inlineStr">
        <is>
          <t>EV-064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</row>
    <row r="69">
      <c r="A69" s="6" t="inlineStr">
        <is>
          <t>EV-065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</row>
    <row r="70">
      <c r="A70" s="6" t="inlineStr">
        <is>
          <t>EV-066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</row>
    <row r="71">
      <c r="A71" s="6" t="inlineStr">
        <is>
          <t>EV-067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</row>
    <row r="72">
      <c r="A72" s="6" t="inlineStr">
        <is>
          <t>EV-068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</row>
    <row r="73">
      <c r="A73" s="6" t="inlineStr">
        <is>
          <t>EV-069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</row>
    <row r="74">
      <c r="A74" s="6" t="inlineStr">
        <is>
          <t>EV-070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</row>
    <row r="75">
      <c r="A75" s="6" t="inlineStr">
        <is>
          <t>EV-071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</row>
    <row r="76">
      <c r="A76" s="6" t="inlineStr">
        <is>
          <t>EV-072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</row>
    <row r="77">
      <c r="A77" s="6" t="inlineStr">
        <is>
          <t>EV-073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6" t="inlineStr">
        <is>
          <t>EV-074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</row>
    <row r="79">
      <c r="A79" s="6" t="inlineStr">
        <is>
          <t>EV-075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</row>
    <row r="80">
      <c r="A80" s="6" t="inlineStr">
        <is>
          <t>EV-076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</row>
    <row r="81">
      <c r="A81" s="6" t="inlineStr">
        <is>
          <t>EV-077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</row>
    <row r="82">
      <c r="A82" s="6" t="inlineStr">
        <is>
          <t>EV-078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</row>
    <row r="83">
      <c r="A83" s="6" t="inlineStr">
        <is>
          <t>EV-079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</row>
    <row r="84">
      <c r="A84" s="6" t="inlineStr">
        <is>
          <t>EV-080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</row>
    <row r="85">
      <c r="A85" s="6" t="inlineStr">
        <is>
          <t>EV-081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</row>
    <row r="86">
      <c r="A86" s="6" t="inlineStr">
        <is>
          <t>EV-082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</row>
    <row r="87">
      <c r="A87" s="6" t="inlineStr">
        <is>
          <t>EV-083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</row>
    <row r="88">
      <c r="A88" s="6" t="inlineStr">
        <is>
          <t>EV-084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</row>
    <row r="89">
      <c r="A89" s="6" t="inlineStr">
        <is>
          <t>EV-085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</row>
    <row r="90">
      <c r="A90" s="6" t="inlineStr">
        <is>
          <t>EV-086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</row>
    <row r="91">
      <c r="A91" s="6" t="inlineStr">
        <is>
          <t>EV-087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</row>
    <row r="92">
      <c r="A92" s="6" t="inlineStr">
        <is>
          <t>EV-088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</row>
    <row r="93">
      <c r="A93" s="6" t="inlineStr">
        <is>
          <t>EV-089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</row>
    <row r="94">
      <c r="A94" s="6" t="inlineStr">
        <is>
          <t>EV-090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</row>
    <row r="95">
      <c r="A95" s="6" t="inlineStr">
        <is>
          <t>EV-091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</row>
    <row r="96">
      <c r="A96" s="6" t="inlineStr">
        <is>
          <t>EV-092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</row>
    <row r="97">
      <c r="A97" s="6" t="inlineStr">
        <is>
          <t>EV-093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</row>
    <row r="98">
      <c r="A98" s="6" t="inlineStr">
        <is>
          <t>EV-094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</row>
    <row r="99">
      <c r="A99" s="6" t="inlineStr">
        <is>
          <t>EV-095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</row>
    <row r="100">
      <c r="A100" s="6" t="inlineStr">
        <is>
          <t>EV-096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</row>
    <row r="101">
      <c r="A101" s="6" t="inlineStr">
        <is>
          <t>EV-097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</row>
    <row r="102">
      <c r="A102" s="6" t="inlineStr">
        <is>
          <t>EV-098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</row>
    <row r="103">
      <c r="A103" s="6" t="inlineStr">
        <is>
          <t>EV-099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</row>
    <row r="104">
      <c r="A104" s="6" t="inlineStr">
        <is>
          <t>EV-100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</row>
    <row r="107">
      <c r="A107" s="7" t="inlineStr">
        <is>
          <t>EVIDENCE STATISTICS</t>
        </is>
      </c>
    </row>
    <row r="109">
      <c r="A109" s="8" t="inlineStr">
        <is>
          <t>Total Evidence Entries</t>
        </is>
      </c>
      <c r="B109" s="8">
        <f>COUNTA(B5:B104)</f>
        <v/>
      </c>
    </row>
    <row r="110">
      <c r="A110" s="8" t="inlineStr">
        <is>
          <t>Verified Evidence</t>
        </is>
      </c>
      <c r="B110" s="8">
        <f>COUNTIF(J5:J104,"Verified")</f>
        <v/>
      </c>
    </row>
    <row r="111">
      <c r="A111" s="8" t="inlineStr">
        <is>
          <t>Pending Verification</t>
        </is>
      </c>
      <c r="B111" s="8">
        <f>COUNTIF(J5:J104,"Pending")</f>
        <v/>
      </c>
    </row>
    <row r="112">
      <c r="A112" s="8" t="inlineStr">
        <is>
          <t>Evidence by Area - Audit Activity</t>
        </is>
      </c>
      <c r="B112" s="8">
        <f>COUNTIF(E5:E104,"Audit Activity")</f>
        <v/>
      </c>
    </row>
    <row r="113">
      <c r="A113" s="8" t="inlineStr">
        <is>
          <t>Evidence by Area - Tool Authorization</t>
        </is>
      </c>
      <c r="B113" s="8">
        <f>COUNTIF(E5:E104,"Tool Authorization")</f>
        <v/>
      </c>
    </row>
    <row r="114">
      <c r="A114" s="8" t="inlineStr">
        <is>
          <t>Evidence by Area - Access Tracking</t>
        </is>
      </c>
      <c r="B114" s="8">
        <f>COUNTIF(E5:E104,"Access Tracking")</f>
        <v/>
      </c>
    </row>
    <row r="115">
      <c r="A115" s="8" t="inlineStr">
        <is>
          <t>Evidence by Area - Disruption Mitigation</t>
        </is>
      </c>
      <c r="B115" s="8">
        <f>COUNTIF(E5:E104,"Disruption Mitigation")</f>
        <v/>
      </c>
    </row>
    <row r="116">
      <c r="A116" s="8" t="inlineStr">
        <is>
          <t>Evidence by Area - Evidence Protection</t>
        </is>
      </c>
      <c r="B116" s="8">
        <f>COUNTIF(E5:E104,"Evidence Protection")</f>
        <v/>
      </c>
    </row>
  </sheetData>
  <mergeCells count="1">
    <mergeCell ref="A1:P1"/>
  </mergeCells>
  <dataValidations count="5">
    <dataValidation sqref="B5:B104" showDropDown="0" showInputMessage="0" showErrorMessage="0" allowBlank="0" type="list">
      <formula1>"Policy Document,Authorization Record,Access Log,Mitigation Plan,Audit Report,Tool Documentation,Other"</formula1>
    </dataValidation>
    <dataValidation sqref="E5:E104" showDropDown="0" showInputMessage="0" showErrorMessage="0" allowBlank="0" type="list">
      <formula1>"Audit Activity,Tool Authorization,Access Tracking,Disruption Mitigation,Evidence Protection"</formula1>
    </dataValidation>
    <dataValidation sqref="J5:J104" showDropDown="0" showInputMessage="0" showErrorMessage="0" allowBlank="0" type="list">
      <formula1>"Verified,Pending,Not Verified"</formula1>
    </dataValidation>
    <dataValidation sqref="M5:M104" showDropDown="0" showInputMessage="0" showErrorMessage="0" allowBlank="0" type="list">
      <formula1>"1 Year,2 Years,3 Years,Permanent"</formula1>
    </dataValidation>
    <dataValidation sqref="O5:O104" showDropDown="0" showInputMessage="0" showErrorMessage="0" allowBlank="0" type="list">
      <formula1>"Public,Internal,Confidential,Restricted"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30" customWidth="1" min="4" max="4"/>
  </cols>
  <sheetData>
    <row r="1">
      <c r="A1" s="4" t="inlineStr">
        <is>
          <t>ASSESSMENT APPROVAL &amp; SIGN-OFF</t>
        </is>
      </c>
    </row>
    <row r="2">
      <c r="A2" t="inlineStr">
        <is>
          <t>Three-level approval workflow for audit activity management assessment</t>
        </is>
      </c>
    </row>
    <row r="4">
      <c r="A4" s="7" t="inlineStr">
        <is>
          <t>ASSESSMENT SUMMARY</t>
        </is>
      </c>
    </row>
    <row r="6">
      <c r="A6" s="13" t="inlineStr">
        <is>
          <t>Document ID:</t>
        </is>
      </c>
      <c r="B6" s="8" t="inlineStr">
        <is>
          <t>ISMS-IMP-A.8.33-34.2</t>
        </is>
      </c>
    </row>
    <row r="7">
      <c r="A7" s="13" t="inlineStr">
        <is>
          <t>Assessment Type:</t>
        </is>
      </c>
      <c r="B7" s="8" t="inlineStr">
        <is>
          <t>Audit Activity Management Assessment</t>
        </is>
      </c>
    </row>
    <row r="8">
      <c r="A8" s="13" t="inlineStr">
        <is>
          <t>Assessment Period:</t>
        </is>
      </c>
      <c r="B8" s="6" t="inlineStr">
        <is>
          <t>[USER INPUT]</t>
        </is>
      </c>
    </row>
    <row r="9">
      <c r="A9" s="13" t="inlineStr">
        <is>
          <t>Overall Compliance:</t>
        </is>
      </c>
      <c r="B9" s="8" t="inlineStr">
        <is>
          <t>[Formula from Summary_Dashboard]</t>
        </is>
      </c>
    </row>
    <row r="10">
      <c r="A10" s="13" t="inlineStr">
        <is>
          <t>Critical Findings:</t>
        </is>
      </c>
      <c r="B10" s="8" t="inlineStr">
        <is>
          <t>[Formula]</t>
        </is>
      </c>
    </row>
    <row r="11">
      <c r="A11" s="13" t="inlineStr">
        <is>
          <t>High Findings:</t>
        </is>
      </c>
      <c r="B11" s="8" t="inlineStr">
        <is>
          <t>[Formula]</t>
        </is>
      </c>
    </row>
    <row r="12">
      <c r="A12" s="13" t="inlineStr">
        <is>
          <t>Evidence Entries:</t>
        </is>
      </c>
      <c r="B12" s="8" t="inlineStr">
        <is>
          <t>[Formula]</t>
        </is>
      </c>
    </row>
    <row r="13">
      <c r="A13" s="13" t="inlineStr">
        <is>
          <t>Assessment Status:</t>
        </is>
      </c>
      <c r="B13" s="6" t="inlineStr">
        <is>
          <t>[Dropdown]</t>
        </is>
      </c>
    </row>
    <row r="16">
      <c r="A16" s="7" t="inlineStr">
        <is>
          <t>LEVEL 1: TECHNICAL VALIDATION</t>
        </is>
      </c>
    </row>
    <row r="18">
      <c r="A18" s="13" t="inlineStr">
        <is>
          <t>Validator Name:</t>
        </is>
      </c>
      <c r="B18" s="6" t="inlineStr">
        <is>
          <t>[USER INPUT]</t>
        </is>
      </c>
    </row>
    <row r="19">
      <c r="A19" s="13" t="inlineStr">
        <is>
          <t>Role/Title:</t>
        </is>
      </c>
      <c r="B19" s="8" t="inlineStr">
        <is>
          <t>IT Security Manager</t>
        </is>
      </c>
    </row>
    <row r="20">
      <c r="A20" s="13" t="inlineStr">
        <is>
          <t>Validation Date:</t>
        </is>
      </c>
      <c r="B20" s="6" t="inlineStr">
        <is>
          <t>[DD.MM.YYYY]</t>
        </is>
      </c>
    </row>
    <row r="21">
      <c r="A21" s="13" t="inlineStr">
        <is>
          <t>Validation Notes:</t>
        </is>
      </c>
      <c r="B21" s="6" t="inlineStr">
        <is>
          <t>[Text area]</t>
        </is>
      </c>
    </row>
    <row r="22">
      <c r="A22" s="13" t="inlineStr">
        <is>
          <t>Technical Accuracy:</t>
        </is>
      </c>
      <c r="B22" s="6" t="inlineStr">
        <is>
          <t>[Dropdown]</t>
        </is>
      </c>
    </row>
    <row r="23">
      <c r="A23" s="13" t="inlineStr">
        <is>
          <t>Recommendation:</t>
        </is>
      </c>
      <c r="B23" s="6" t="inlineStr">
        <is>
          <t>[Dropdown]</t>
        </is>
      </c>
    </row>
    <row r="24">
      <c r="A24" s="13" t="inlineStr">
        <is>
          <t>Signature:</t>
        </is>
      </c>
      <c r="B24" s="6" t="inlineStr">
        <is>
          <t>[USER INPUT]</t>
        </is>
      </c>
    </row>
    <row r="27">
      <c r="A27" s="7" t="inlineStr">
        <is>
          <t>LEVEL 2: AUDIT APPROVAL</t>
        </is>
      </c>
    </row>
    <row r="29">
      <c r="A29" s="13" t="inlineStr">
        <is>
          <t>Approver Name:</t>
        </is>
      </c>
      <c r="B29" s="6" t="inlineStr">
        <is>
          <t>[USER INPUT]</t>
        </is>
      </c>
    </row>
    <row r="30">
      <c r="A30" s="13" t="inlineStr">
        <is>
          <t>Role/Title:</t>
        </is>
      </c>
      <c r="B30" s="8" t="inlineStr">
        <is>
          <t>Chief Audit Executive / Internal Audit Manager</t>
        </is>
      </c>
    </row>
    <row r="31">
      <c r="A31" s="13" t="inlineStr">
        <is>
          <t>Approval Date:</t>
        </is>
      </c>
      <c r="B31" s="6" t="inlineStr">
        <is>
          <t>[DD.MM.YYYY]</t>
        </is>
      </c>
    </row>
    <row r="32">
      <c r="A32" s="13" t="inlineStr">
        <is>
          <t>Audit Assessment:</t>
        </is>
      </c>
      <c r="B32" s="6" t="inlineStr">
        <is>
          <t>[Dropdown]</t>
        </is>
      </c>
    </row>
    <row r="33">
      <c r="A33" s="13" t="inlineStr">
        <is>
          <t>Approval Decision:</t>
        </is>
      </c>
      <c r="B33" s="6" t="inlineStr">
        <is>
          <t>[Dropdown]</t>
        </is>
      </c>
    </row>
    <row r="34">
      <c r="A34" s="13" t="inlineStr">
        <is>
          <t>Conditions:</t>
        </is>
      </c>
      <c r="B34" s="6" t="inlineStr">
        <is>
          <t>[Text area]</t>
        </is>
      </c>
    </row>
    <row r="35">
      <c r="A35" s="13" t="inlineStr">
        <is>
          <t>Signature:</t>
        </is>
      </c>
      <c r="B35" s="6" t="inlineStr">
        <is>
          <t>[USER INPUT]</t>
        </is>
      </c>
    </row>
    <row r="38">
      <c r="A38" s="7" t="inlineStr">
        <is>
          <t>LEVEL 3: EXECUTIVE CONFIRMATION</t>
        </is>
      </c>
    </row>
    <row r="40">
      <c r="A40" s="13" t="inlineStr">
        <is>
          <t>Approver Name:</t>
        </is>
      </c>
      <c r="B40" s="6" t="inlineStr">
        <is>
          <t>[USER INPUT]</t>
        </is>
      </c>
    </row>
    <row r="41">
      <c r="A41" s="13" t="inlineStr">
        <is>
          <t>Role/Title:</t>
        </is>
      </c>
      <c r="B41" s="8" t="inlineStr">
        <is>
          <t>CISO / CRO</t>
        </is>
      </c>
    </row>
    <row r="42">
      <c r="A42" s="13" t="inlineStr">
        <is>
          <t>Approval Date:</t>
        </is>
      </c>
      <c r="B42" s="6" t="inlineStr">
        <is>
          <t>[DD.MM.YYYY]</t>
        </is>
      </c>
    </row>
    <row r="43">
      <c r="A43" s="13" t="inlineStr">
        <is>
          <t>Risk Acceptance:</t>
        </is>
      </c>
      <c r="B43" s="6" t="inlineStr">
        <is>
          <t>[Dropdown]</t>
        </is>
      </c>
    </row>
    <row r="44">
      <c r="A44" s="13" t="inlineStr">
        <is>
          <t>Approval Decision:</t>
        </is>
      </c>
      <c r="B44" s="6" t="inlineStr">
        <is>
          <t>[Dropdown]</t>
        </is>
      </c>
    </row>
    <row r="45">
      <c r="A45" s="13" t="inlineStr">
        <is>
          <t>Conditions:</t>
        </is>
      </c>
      <c r="B45" s="6" t="inlineStr">
        <is>
          <t>[Text area]</t>
        </is>
      </c>
    </row>
    <row r="46">
      <c r="A46" s="13" t="inlineStr">
        <is>
          <t>Signature:</t>
        </is>
      </c>
      <c r="B46" s="6" t="inlineStr">
        <is>
          <t>[USER INPUT]</t>
        </is>
      </c>
    </row>
    <row r="49">
      <c r="A49" s="7" t="inlineStr">
        <is>
          <t>NEXT REVIEW</t>
        </is>
      </c>
    </row>
    <row r="51">
      <c r="A51" s="13" t="inlineStr">
        <is>
          <t>Next Review Date:</t>
        </is>
      </c>
      <c r="B51" s="8" t="inlineStr">
        <is>
          <t>[Formula: Approval Date + 365 days]</t>
        </is>
      </c>
    </row>
    <row r="52">
      <c r="A52" s="13" t="inlineStr">
        <is>
          <t>Review Responsibility:</t>
        </is>
      </c>
      <c r="B52" s="6" t="inlineStr">
        <is>
          <t>[USER INPUT]</t>
        </is>
      </c>
    </row>
    <row r="53">
      <c r="A53" s="13" t="inlineStr">
        <is>
          <t>Focus Areas:</t>
        </is>
      </c>
      <c r="B53" s="6" t="inlineStr">
        <is>
          <t>[USER INPUT]</t>
        </is>
      </c>
    </row>
  </sheetData>
  <mergeCells count="1">
    <mergeCell ref="A1:D1"/>
  </mergeCells>
  <dataValidations count="6">
    <dataValidation sqref="B13" showDropDown="0" showInputMessage="0" showErrorMessage="0" allowBlank="0" type="list">
      <formula1>"Final,Requires Action,Draft,Re-assessment Required"</formula1>
    </dataValidation>
    <dataValidation sqref="B22" showDropDown="0" showInputMessage="0" showErrorMessage="0" allowBlank="0" type="list">
      <formula1>"Confirmed,Minor Issues,Major Issues"</formula1>
    </dataValidation>
    <dataValidation sqref="B23" showDropDown="0" showInputMessage="0" showErrorMessage="0" allowBlank="0" type="list">
      <formula1>"Approve,Approve with Conditions,Reject"</formula1>
    </dataValidation>
    <dataValidation sqref="B31" showDropDown="0" showInputMessage="0" showErrorMessage="0" allowBlank="0" type="list">
      <formula1>"Acceptable,Acceptable with Conditions,Unacceptable"</formula1>
    </dataValidation>
    <dataValidation sqref="B32 B43" showDropDown="0" showInputMessage="0" showErrorMessage="0" allowBlank="0" type="list">
      <formula1>"Approved,Approved with Conditions,Rejected"</formula1>
    </dataValidation>
    <dataValidation sqref="B42" showDropDown="0" showInputMessage="0" showErrorMessage="0" allowBlank="0" type="list">
      <formula1>"Risks Acceptable,Conditional,Unacceptable"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2026-01-31T21:55:52Z</dcterms:created>
  <dcterms:modified xmlns:dcterms="http://purl.org/dc/terms/" xmlns:xsi="http://www.w3.org/2001/XMLSchema-instance" xsi:type="dcterms:W3CDTF">2026-01-31T21:55:52Z</dcterms:modified>
</cp:coreProperties>
</file>