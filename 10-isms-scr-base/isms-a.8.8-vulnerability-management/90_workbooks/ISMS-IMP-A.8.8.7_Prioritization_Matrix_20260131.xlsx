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iority_Matrix" sheetId="2" state="visible" r:id="rId2"/>
    <sheet xmlns:r="http://schemas.openxmlformats.org/officeDocument/2006/relationships" name="Priority_Criteria" sheetId="3" state="visible" r:id="rId3"/>
    <sheet xmlns:r="http://schemas.openxmlformats.org/officeDocument/2006/relationships" name="SLA_Definitions" sheetId="4" state="visible" r:id="rId4"/>
    <sheet xmlns:r="http://schemas.openxmlformats.org/officeDocument/2006/relationships" name="Workload_Capacity" sheetId="5" state="visible" r:id="rId5"/>
    <sheet xmlns:r="http://schemas.openxmlformats.org/officeDocument/2006/relationships" name="Priority_Queue" sheetId="6" state="visible" r:id="rId6"/>
    <sheet xmlns:r="http://schemas.openxmlformats.org/officeDocument/2006/relationships" name="Escalation_Rules" sheetId="7" state="visible" r:id="rId7"/>
    <sheet xmlns:r="http://schemas.openxmlformats.org/officeDocument/2006/relationships" name="Exception_Tracking" sheetId="8" state="visible" r:id="rId8"/>
    <sheet xmlns:r="http://schemas.openxmlformats.org/officeDocument/2006/relationships" name="Historical_Trends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1"/>
    </font>
    <font>
      <i val="1"/>
    </font>
    <font>
      <b val="1"/>
      <sz val="14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1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ill>
        <patternFill patternType="solid">
          <fgColor rgb="00FF8C00"/>
          <bgColor rgb="00FF8C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FFFFFF"/>
      </font>
      <fill>
        <patternFill patternType="solid">
          <fgColor rgb="00FF6B6B"/>
          <bgColor rgb="00FF6B6B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ISMS-IMP-A.8.8.7</t>
        </is>
      </c>
    </row>
    <row r="2">
      <c r="A2" s="1" t="inlineStr">
        <is>
          <t>Title</t>
        </is>
      </c>
      <c r="B2" t="inlineStr">
        <is>
          <t>Vulnerability Prioritization Matrix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31.01.2026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Monthly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Vulnerabilities</t>
        </is>
      </c>
      <c r="B14">
        <f>COUNTA(Priority_Matrix!A:A)-1</f>
        <v/>
      </c>
      <c r="C14" t="inlineStr">
        <is>
          <t>-</t>
        </is>
      </c>
    </row>
    <row r="15">
      <c r="A15" t="inlineStr">
        <is>
          <t>P0 (Emergency) Count</t>
        </is>
      </c>
      <c r="B15">
        <f>COUNTIF(Priority_Matrix!AD:AD,"P0")</f>
        <v/>
      </c>
      <c r="C15" t="inlineStr">
        <is>
          <t>&lt;5</t>
        </is>
      </c>
    </row>
    <row r="16">
      <c r="A16" t="inlineStr">
        <is>
          <t>P1 (Critical) Count</t>
        </is>
      </c>
      <c r="B16">
        <f>COUNTIF(Priority_Matrix!AD:AD,"P1")</f>
        <v/>
      </c>
      <c r="C16" t="inlineStr">
        <is>
          <t>&lt;100</t>
        </is>
      </c>
    </row>
    <row r="17">
      <c r="A17" t="inlineStr">
        <is>
          <t>P2 (High) Count</t>
        </is>
      </c>
      <c r="B17">
        <f>COUNTIF(Priority_Matrix!AD:AD,"P2")</f>
        <v/>
      </c>
      <c r="C17" t="inlineStr">
        <is>
          <t>&lt;300</t>
        </is>
      </c>
    </row>
    <row r="18">
      <c r="A18" t="inlineStr">
        <is>
          <t>P3 (Medium) Count</t>
        </is>
      </c>
      <c r="B18">
        <f>COUNTIF(Priority_Matrix!AD:AD,"P3")</f>
        <v/>
      </c>
      <c r="C18" t="inlineStr">
        <is>
          <t>-</t>
        </is>
      </c>
    </row>
    <row r="19">
      <c r="A19" t="inlineStr">
        <is>
          <t>P4 (Low) Count</t>
        </is>
      </c>
      <c r="B19">
        <f>COUNTIF(Priority_Matrix!AD:AD,"P4")</f>
        <v/>
      </c>
      <c r="C19" t="inlineStr">
        <is>
          <t>-</t>
        </is>
      </c>
    </row>
    <row r="20">
      <c r="A20" t="inlineStr">
        <is>
          <t>Wormable Vulnerabilities</t>
        </is>
      </c>
      <c r="B20">
        <f>COUNTIF(Priority_Matrix!P:P,"Y")</f>
        <v/>
      </c>
      <c r="C20" t="inlineStr">
        <is>
          <t>0</t>
        </is>
      </c>
    </row>
    <row r="21">
      <c r="A21" t="inlineStr">
        <is>
          <t>Safety-Critical Vulnerabilities</t>
        </is>
      </c>
      <c r="B21">
        <f>COUNTIF(Priority_Matrix!Q:Q,"P")</f>
        <v/>
      </c>
      <c r="C21" t="inlineStr">
        <is>
          <t>0</t>
        </is>
      </c>
    </row>
    <row r="22">
      <c r="A22" t="inlineStr">
        <is>
          <t>Overdue SLA Count</t>
        </is>
      </c>
      <c r="B22">
        <f>COUNTIF(Priority_Matrix!AH:AH,"Overdue")</f>
        <v/>
      </c>
      <c r="C22" t="inlineStr">
        <is>
          <t>0</t>
        </is>
      </c>
    </row>
    <row r="23">
      <c r="A23" t="inlineStr">
        <is>
          <t>Average Days in Queue</t>
        </is>
      </c>
      <c r="B23">
        <f>IFERROR(AVERAGE(Priority_Matrix!AG:AG),0)</f>
        <v/>
      </c>
      <c r="C23" t="inlineStr">
        <is>
          <t>&lt;30</t>
        </is>
      </c>
    </row>
    <row r="27">
      <c r="A27" s="2" t="inlineStr">
        <is>
          <t>NAVIGATION LINKS</t>
        </is>
      </c>
    </row>
    <row r="28">
      <c r="A28" s="1" t="inlineStr">
        <is>
          <t>Priority_Matrix</t>
        </is>
      </c>
      <c r="B28" t="inlineStr">
        <is>
          <t>Core prioritization logic and assignments</t>
        </is>
      </c>
    </row>
    <row r="29">
      <c r="A29" s="1" t="inlineStr">
        <is>
          <t>Priority_Criteria</t>
        </is>
      </c>
      <c r="B29" t="inlineStr">
        <is>
          <t>Scoring weights and thresholds</t>
        </is>
      </c>
    </row>
    <row r="30">
      <c r="A30" s="1" t="inlineStr">
        <is>
          <t>SLA_Definitions</t>
        </is>
      </c>
      <c r="B30" t="inlineStr">
        <is>
          <t>Service level agreements and compliance</t>
        </is>
      </c>
    </row>
    <row r="31">
      <c r="A31" s="1" t="inlineStr">
        <is>
          <t>Workload_Capacity</t>
        </is>
      </c>
      <c r="B31" t="inlineStr">
        <is>
          <t>Team capacity and resource allocation</t>
        </is>
      </c>
    </row>
    <row r="32">
      <c r="A32" s="1" t="inlineStr">
        <is>
          <t>Priority_Queue</t>
        </is>
      </c>
      <c r="B32" t="inlineStr">
        <is>
          <t>Actionable remediation queue (sorted)</t>
        </is>
      </c>
    </row>
    <row r="33">
      <c r="A33" s="1" t="inlineStr">
        <is>
          <t>Escalation_Rules</t>
        </is>
      </c>
      <c r="B33" t="inlineStr">
        <is>
          <t>Auto-escalation triggers</t>
        </is>
      </c>
    </row>
    <row r="34">
      <c r="A34" s="1" t="inlineStr">
        <is>
          <t>Exception_Tracking</t>
        </is>
      </c>
      <c r="B34" t="inlineStr">
        <is>
          <t>Priority overrides and justifications</t>
        </is>
      </c>
    </row>
    <row r="35">
      <c r="A35" s="1" t="inlineStr">
        <is>
          <t>Historical_Trends</t>
        </is>
      </c>
      <c r="B35" t="inlineStr">
        <is>
          <t>Priority distribution over time</t>
        </is>
      </c>
    </row>
    <row r="36">
      <c r="A36" s="1" t="inlineStr">
        <is>
          <t>Dashboard</t>
        </is>
      </c>
      <c r="B36" t="inlineStr">
        <is>
          <t>Executive summary and visual KPIs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2" customWidth="1" min="21" max="21"/>
    <col width="14" customWidth="1" min="22" max="22"/>
    <col width="16" customWidth="1" min="23" max="23"/>
    <col width="16" customWidth="1" min="24" max="24"/>
    <col width="14" customWidth="1" min="25" max="25"/>
    <col width="14" customWidth="1" min="26" max="26"/>
    <col width="14" customWidth="1" min="27" max="27"/>
    <col width="14" customWidth="1" min="28" max="28"/>
    <col width="50" customWidth="1" min="29" max="29"/>
    <col width="14" customWidth="1" min="30" max="30"/>
    <col width="12" customWidth="1" min="31" max="31"/>
    <col width="12" customWidth="1" min="32" max="32"/>
    <col width="12" customWidth="1" min="33" max="33"/>
    <col width="14" customWidth="1" min="34" max="34"/>
    <col width="20" customWidth="1" min="35" max="35"/>
    <col width="16" customWidth="1" min="36" max="36"/>
    <col width="14" customWidth="1" min="37" max="37"/>
    <col width="50" customWidth="1" min="38" max="38"/>
  </cols>
  <sheetData>
    <row r="1">
      <c r="A1" s="4" t="inlineStr">
        <is>
          <t>Vuln_ID</t>
        </is>
      </c>
      <c r="B1" s="4" t="inlineStr">
        <is>
          <t>Discovery_Date</t>
        </is>
      </c>
      <c r="C1" s="4" t="inlineStr">
        <is>
          <t>CVE_ID</t>
        </is>
      </c>
      <c r="D1" s="4" t="inlineStr">
        <is>
          <t>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Scanner_Source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Risk_Rating</t>
        </is>
      </c>
      <c r="U1" s="4" t="inlineStr">
        <is>
          <t>Business_Impact_Score</t>
        </is>
      </c>
      <c r="V1" s="4" t="inlineStr">
        <is>
          <t>KEV_Listed</t>
        </is>
      </c>
      <c r="W1" s="4" t="inlineStr">
        <is>
          <t>Active_Exploitation</t>
        </is>
      </c>
      <c r="X1" s="4" t="inlineStr">
        <is>
          <t>Exploit_Maturity</t>
        </is>
      </c>
      <c r="Y1" s="4" t="inlineStr">
        <is>
          <t>Patch_Available</t>
        </is>
      </c>
      <c r="Z1" s="4" t="inlineStr">
        <is>
          <t>Priority_Score</t>
        </is>
      </c>
      <c r="AA1" s="4" t="inlineStr">
        <is>
          <t>Auto_Priority</t>
        </is>
      </c>
      <c r="AB1" s="4" t="inlineStr">
        <is>
          <t>Manual_Override</t>
        </is>
      </c>
      <c r="AC1" s="4" t="inlineStr">
        <is>
          <t>Override_Justification</t>
        </is>
      </c>
      <c r="AD1" s="4" t="inlineStr">
        <is>
          <t>Final_Priority</t>
        </is>
      </c>
      <c r="AE1" s="4" t="inlineStr">
        <is>
          <t>SLA_Days</t>
        </is>
      </c>
      <c r="AF1" s="4" t="inlineStr">
        <is>
          <t>Due_Date</t>
        </is>
      </c>
      <c r="AG1" s="4" t="inlineStr">
        <is>
          <t>Days_Remaining</t>
        </is>
      </c>
      <c r="AH1" s="4" t="inlineStr">
        <is>
          <t>SLA_Status</t>
        </is>
      </c>
      <c r="AI1" s="4" t="inlineStr">
        <is>
          <t>Assigned_Team</t>
        </is>
      </c>
      <c r="AJ1" s="4" t="inlineStr">
        <is>
          <t>Remediation_Status</t>
        </is>
      </c>
      <c r="AK1" s="4" t="inlineStr">
        <is>
          <t>Escalation_Required</t>
        </is>
      </c>
      <c r="AL1" s="4" t="inlineStr">
        <is>
          <t>Notes</t>
        </is>
      </c>
    </row>
    <row r="2">
      <c r="A2" t="inlineStr">
        <is>
          <t>VULN-2026-001</t>
        </is>
      </c>
      <c r="B2" s="5" t="n">
        <v>46027</v>
      </c>
      <c r="C2" t="inlineStr">
        <is>
          <t>CVE-2025-12345</t>
        </is>
      </c>
      <c r="D2" t="inlineStr">
        <is>
          <t>Remote Code Execution in Apache Struts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H2" t="inlineStr">
        <is>
          <t>Infrastructure Team</t>
        </is>
      </c>
      <c r="I2" t="inlineStr">
        <is>
          <t>Nessus</t>
        </is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9.300000000000001</v>
      </c>
      <c r="M2" t="inlineStr"/>
      <c r="N2" t="inlineStr">
        <is>
          <t>CVSS:4.0/AV:N/AC:L/AT:N/PR:N/UI:N/VC:H/VI:H/VA:H/SC:N/SI:N/SA:N</t>
        </is>
      </c>
      <c r="O2" t="inlineStr"/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S2" s="5" t="n">
        <v>46027</v>
      </c>
      <c r="T2" t="inlineStr">
        <is>
          <t>Critical</t>
        </is>
      </c>
      <c r="U2" t="n">
        <v>5</v>
      </c>
      <c r="V2" t="inlineStr">
        <is>
          <t>Y</t>
        </is>
      </c>
      <c r="W2" t="inlineStr">
        <is>
          <t>Y</t>
        </is>
      </c>
      <c r="X2" t="inlineStr">
        <is>
          <t>Weaponized</t>
        </is>
      </c>
      <c r="Y2" t="inlineStr">
        <is>
          <t>Y</t>
        </is>
      </c>
      <c r="Z2">
        <f>MIN(100,
(K2*5) +
(U2*10) +
IF(P2="Y",40,0) +
IF(Q2="P",30,0) +
IF(V2="Y",25,0) +
IF(W2="Y",20,0) +
IF(X2="Weaponized",15,IF(X2="PoC Available",10,IF(X2="Public Exploit",5,0))) +
IF(G2="Production",10,IF(G2="DMZ",8,IF(G2="DR/Backup",5,0))) +
IF(Y2="N",10,0)
)</f>
        <v/>
      </c>
      <c r="AA2">
        <f>IF(OR(P2="Y",AND(K2&gt;=9.0,W2="Y")),"P0",IF(Z2&gt;=80,"P0",IF(Z2&gt;=60,"P1",IF(Z2&gt;=40,"P2",IF(Z2&gt;=20,"P3","P4")))))</f>
        <v/>
      </c>
      <c r="AB2" t="inlineStr"/>
      <c r="AC2" t="inlineStr"/>
      <c r="AD2">
        <f>IF(AB2&lt;&gt;"",AB2,AA2)</f>
        <v/>
      </c>
      <c r="AE2">
        <f>VLOOKUP(AD2,SLA_Definitions!$A$2:$B$6,2,FALSE)</f>
        <v/>
      </c>
      <c r="AF2">
        <f>IF(B2&lt;&gt;"",WORKDAY(B2,AE2),"")</f>
        <v/>
      </c>
      <c r="AG2">
        <f>IF(AF2&lt;&gt;"",NETWORKDAYS(TODAY(),AF2),"")</f>
        <v/>
      </c>
      <c r="AH2">
        <f>IF(AJ2="Complete","Complete",IF(AG2&lt;0,"Overdue",IF(AG2&lt;=AE2*0.2,"At Risk","On Track")))</f>
        <v/>
      </c>
      <c r="AI2" t="inlineStr">
        <is>
          <t>Security Team</t>
        </is>
      </c>
      <c r="AJ2" t="inlineStr">
        <is>
          <t>In Progress</t>
        </is>
      </c>
      <c r="AK2">
        <f>IF(OR(AH2="Overdue",AND(AD2="P0",AG2&lt;1),AND(AD2="P1",AG2&lt;3)),"Y","N")</f>
        <v/>
      </c>
      <c r="AL2" t="inlineStr">
        <is>
          <t>Emergency response initiated</t>
        </is>
      </c>
    </row>
    <row r="3">
      <c r="A3" t="inlineStr">
        <is>
          <t>VULN-2026-002</t>
        </is>
      </c>
      <c r="B3" s="5" t="n">
        <v>46030</v>
      </c>
      <c r="C3" t="inlineStr">
        <is>
          <t>CVE-2025-67890</t>
        </is>
      </c>
      <c r="D3" t="inlineStr">
        <is>
          <t>PLC Memory Corruption Vulnerability</t>
        </is>
      </c>
      <c r="E3" t="inlineStr">
        <is>
          <t>plc-001.scada.local</t>
        </is>
      </c>
      <c r="F3" t="inlineStr">
        <is>
          <t>OT/ICS</t>
        </is>
      </c>
      <c r="G3" t="inlineStr">
        <is>
          <t>Production</t>
        </is>
      </c>
      <c r="H3" t="inlineStr">
        <is>
          <t>OT Team</t>
        </is>
      </c>
      <c r="I3" t="inlineStr">
        <is>
          <t>Manual Assessment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7.8</v>
      </c>
      <c r="M3" t="inlineStr"/>
      <c r="N3" t="inlineStr">
        <is>
          <t>CVSS:4.0/AV:A/AC:L/AT:N/PR:L/UI:N/VC:H/VI:H/VA:H/SC:N/SI:N/SA:N</t>
        </is>
      </c>
      <c r="O3" t="inlineStr"/>
      <c r="P3" t="inlineStr">
        <is>
          <t>N</t>
        </is>
      </c>
      <c r="Q3" t="inlineStr">
        <is>
          <t>P</t>
        </is>
      </c>
      <c r="R3" t="inlineStr">
        <is>
          <t>Vendor</t>
        </is>
      </c>
      <c r="S3" s="5" t="n">
        <v>46030</v>
      </c>
      <c r="T3" t="inlineStr">
        <is>
          <t>High</t>
        </is>
      </c>
      <c r="U3" t="n">
        <v>4.5</v>
      </c>
      <c r="V3" t="inlineStr">
        <is>
          <t>N</t>
        </is>
      </c>
      <c r="W3" t="inlineStr">
        <is>
          <t>N</t>
        </is>
      </c>
      <c r="X3" t="inlineStr">
        <is>
          <t>PoC Available</t>
        </is>
      </c>
      <c r="Y3" t="inlineStr">
        <is>
          <t>Partial</t>
        </is>
      </c>
      <c r="Z3">
        <f>MIN(100,
(K3*5) +
(U3*10) +
IF(P3="Y",40,0) +
IF(Q3="P",30,0) +
IF(V3="Y",25,0) +
IF(W3="Y",20,0) +
IF(X3="Weaponized",15,IF(X3="PoC Available",10,IF(X3="Public Exploit",5,0))) +
IF(G3="Production",10,IF(G3="DMZ",8,IF(G3="DR/Backup",5,0))) +
IF(Y3="N",10,0)
)</f>
        <v/>
      </c>
      <c r="AA3">
        <f>IF(OR(P3="Y",AND(K3&gt;=9.0,W3="Y")),"P0",IF(Z3&gt;=80,"P0",IF(Z3&gt;=60,"P1",IF(Z3&gt;=40,"P2",IF(Z3&gt;=20,"P3","P4")))))</f>
        <v/>
      </c>
      <c r="AD3">
        <f>IF(AB3&lt;&gt;"",AB3,AA3)</f>
        <v/>
      </c>
      <c r="AE3">
        <f>VLOOKUP(AD3,SLA_Definitions!$A$2:$B$6,2,FALSE)</f>
        <v/>
      </c>
      <c r="AF3">
        <f>IF(B3&lt;&gt;"",WORKDAY(B3,AE3),"")</f>
        <v/>
      </c>
      <c r="AG3">
        <f>IF(AF3&lt;&gt;"",NETWORKDAYS(TODAY(),AF3),"")</f>
        <v/>
      </c>
      <c r="AH3">
        <f>IF(AJ3="Complete","Complete",IF(AG3&lt;0,"Overdue",IF(AG3&lt;=AE3*0.2,"At Risk","On Track")))</f>
        <v/>
      </c>
      <c r="AI3" t="inlineStr">
        <is>
          <t>Infrastructure Team</t>
        </is>
      </c>
      <c r="AJ3" t="inlineStr">
        <is>
          <t>Queued</t>
        </is>
      </c>
      <c r="AK3">
        <f>IF(OR(AH3="Overdue",AND(AD3="P0",AG3&lt;1),AND(AD3="P1",AG3&lt;3)),"Y","N")</f>
        <v/>
      </c>
      <c r="AL3" t="inlineStr">
        <is>
          <t>Safety impact assessment required</t>
        </is>
      </c>
    </row>
    <row r="4">
      <c r="A4" t="inlineStr">
        <is>
          <t>VULN-2026-003</t>
        </is>
      </c>
      <c r="B4" s="5" t="n">
        <v>46029</v>
      </c>
      <c r="C4" t="inlineStr">
        <is>
          <t>CVE-2025-11111</t>
        </is>
      </c>
      <c r="D4" t="inlineStr">
        <is>
          <t>Authentication Bypass in Web Application</t>
        </is>
      </c>
      <c r="E4" t="inlineStr">
        <is>
          <t>app-prod-05.dmz.local</t>
        </is>
      </c>
      <c r="F4" t="inlineStr">
        <is>
          <t>Application</t>
        </is>
      </c>
      <c r="G4" t="inlineStr">
        <is>
          <t>DMZ</t>
        </is>
      </c>
      <c r="H4" t="inlineStr">
        <is>
          <t>Application Team</t>
        </is>
      </c>
      <c r="I4" t="inlineStr">
        <is>
          <t>Qualys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8.1</v>
      </c>
      <c r="M4" t="inlineStr"/>
      <c r="N4" t="inlineStr">
        <is>
          <t>CVSS:4.0/AV:N/AC:L/AT:N/PR:N/UI:N/VC:H/VI:L/VA:N/SC:N/SI:N/SA:N</t>
        </is>
      </c>
      <c r="O4" t="inlineStr"/>
      <c r="P4" t="inlineStr">
        <is>
          <t>N</t>
        </is>
      </c>
      <c r="Q4" t="inlineStr">
        <is>
          <t>N</t>
        </is>
      </c>
      <c r="R4" t="inlineStr">
        <is>
          <t>NVD</t>
        </is>
      </c>
      <c r="S4" s="5" t="n">
        <v>46029</v>
      </c>
      <c r="T4" t="inlineStr">
        <is>
          <t>High</t>
        </is>
      </c>
      <c r="U4" t="n">
        <v>3.5</v>
      </c>
      <c r="V4" t="inlineStr">
        <is>
          <t>N</t>
        </is>
      </c>
      <c r="W4" t="inlineStr">
        <is>
          <t>Unknown</t>
        </is>
      </c>
      <c r="X4" t="inlineStr">
        <is>
          <t>Public Exploit</t>
        </is>
      </c>
      <c r="Y4" t="inlineStr">
        <is>
          <t>Y</t>
        </is>
      </c>
      <c r="Z4">
        <f>MIN(100,
(K4*5) +
(U4*10) +
IF(P4="Y",40,0) +
IF(Q4="P",30,0) +
IF(V4="Y",25,0) +
IF(W4="Y",20,0) +
IF(X4="Weaponized",15,IF(X4="PoC Available",10,IF(X4="Public Exploit",5,0))) +
IF(G4="Production",10,IF(G4="DMZ",8,IF(G4="DR/Backup",5,0))) +
IF(Y4="N",10,0)
)</f>
        <v/>
      </c>
      <c r="AA4">
        <f>IF(OR(P4="Y",AND(K4&gt;=9.0,W4="Y")),"P0",IF(Z4&gt;=80,"P0",IF(Z4&gt;=60,"P1",IF(Z4&gt;=40,"P2",IF(Z4&gt;=20,"P3","P4")))))</f>
        <v/>
      </c>
      <c r="AB4" t="inlineStr">
        <is>
          <t>P2</t>
        </is>
      </c>
      <c r="AC4" t="inlineStr">
        <is>
          <t>Compensating firewall rule in place, limited exposure. Patch scheduled for next maintenance window.</t>
        </is>
      </c>
      <c r="AD4">
        <f>IF(AB4&lt;&gt;"",AB4,AA4)</f>
        <v/>
      </c>
      <c r="AE4">
        <f>VLOOKUP(AD4,SLA_Definitions!$A$2:$B$6,2,FALSE)</f>
        <v/>
      </c>
      <c r="AF4">
        <f>IF(B4&lt;&gt;"",WORKDAY(B4,AE4),"")</f>
        <v/>
      </c>
      <c r="AG4">
        <f>IF(AF4&lt;&gt;"",NETWORKDAYS(TODAY(),AF4),"")</f>
        <v/>
      </c>
      <c r="AH4">
        <f>IF(AJ4="Complete","Complete",IF(AG4&lt;0,"Overdue",IF(AG4&lt;=AE4*0.2,"At Risk","On Track")))</f>
        <v/>
      </c>
      <c r="AI4" t="inlineStr">
        <is>
          <t>Application Team</t>
        </is>
      </c>
      <c r="AJ4" t="inlineStr">
        <is>
          <t>In Progress</t>
        </is>
      </c>
      <c r="AK4">
        <f>IF(OR(AH4="Overdue",AND(AD4="P0",AG4&lt;1),AND(AD4="P1",AG4&lt;3)),"Y","N")</f>
        <v/>
      </c>
      <c r="AL4" t="inlineStr">
        <is>
          <t>Approved by Security Director on 2026-01-08</t>
        </is>
      </c>
    </row>
    <row r="5">
      <c r="A5" t="inlineStr">
        <is>
          <t>VULN-2026-004</t>
        </is>
      </c>
      <c r="B5" s="5" t="n">
        <v>46031</v>
      </c>
      <c r="C5" t="inlineStr">
        <is>
          <t>CVE-2025-22222</t>
        </is>
      </c>
      <c r="D5" t="inlineStr">
        <is>
          <t>Cross-Site Scripting in Admin Panel</t>
        </is>
      </c>
      <c r="E5" t="inlineStr">
        <is>
          <t>admin.dev.local</t>
        </is>
      </c>
      <c r="F5" t="inlineStr">
        <is>
          <t>Application</t>
        </is>
      </c>
      <c r="G5" t="inlineStr">
        <is>
          <t>Development</t>
        </is>
      </c>
      <c r="H5" t="inlineStr">
        <is>
          <t>Application Team</t>
        </is>
      </c>
      <c r="I5" t="inlineStr">
        <is>
          <t>OpenVAS</t>
        </is>
      </c>
      <c r="J5" t="inlineStr">
        <is>
          <t>v3.1</t>
        </is>
      </c>
      <c r="K5">
        <f>IF(J5="v4.0",L5,IF(J5="v3.1",M5,IF(J5="Both",L5,IF(AND(L5&lt;&gt;"",M5=""),L5,M5))))</f>
        <v/>
      </c>
      <c r="L5" t="inlineStr"/>
      <c r="M5" t="n">
        <v>5.4</v>
      </c>
      <c r="N5" t="inlineStr"/>
      <c r="O5" t="inlineStr">
        <is>
          <t>CVSS:3.1/AV:N/AC:L/PR:L/UI:R/S:C/C:L/I:L/A:N</t>
        </is>
      </c>
      <c r="P5" t="inlineStr">
        <is>
          <t>N/A</t>
        </is>
      </c>
      <c r="Q5" t="inlineStr">
        <is>
          <t>N/A</t>
        </is>
      </c>
      <c r="R5" t="inlineStr">
        <is>
          <t>Scanner</t>
        </is>
      </c>
      <c r="S5" s="5" t="n">
        <v>46031</v>
      </c>
      <c r="T5" t="inlineStr">
        <is>
          <t>Medium</t>
        </is>
      </c>
      <c r="U5" t="n">
        <v>2</v>
      </c>
      <c r="V5" t="inlineStr">
        <is>
          <t>N</t>
        </is>
      </c>
      <c r="W5" t="inlineStr">
        <is>
          <t>N</t>
        </is>
      </c>
      <c r="X5" t="inlineStr">
        <is>
          <t>None</t>
        </is>
      </c>
      <c r="Y5" t="inlineStr">
        <is>
          <t>Y</t>
        </is>
      </c>
      <c r="Z5">
        <f>MIN(100,
(K5*5) +
(U5*10) +
IF(P5="Y",40,0) +
IF(Q5="P",30,0) +
IF(V5="Y",25,0) +
IF(W5="Y",20,0) +
IF(X5="Weaponized",15,IF(X5="PoC Available",10,IF(X5="Public Exploit",5,0))) +
IF(G5="Production",10,IF(G5="DMZ",8,IF(G5="DR/Backup",5,0))) +
IF(Y5="N",10,0)
)</f>
        <v/>
      </c>
      <c r="AA5">
        <f>IF(OR(P5="Y",AND(K5&gt;=9.0,W5="Y")),"P0",IF(Z5&gt;=80,"P0",IF(Z5&gt;=60,"P1",IF(Z5&gt;=40,"P2",IF(Z5&gt;=20,"P3","P4")))))</f>
        <v/>
      </c>
      <c r="AD5">
        <f>IF(AB5&lt;&gt;"",AB5,AA5)</f>
        <v/>
      </c>
      <c r="AE5">
        <f>VLOOKUP(AD5,SLA_Definitions!$A$2:$B$6,2,FALSE)</f>
        <v/>
      </c>
      <c r="AF5">
        <f>IF(B5&lt;&gt;"",WORKDAY(B5,AE5),"")</f>
        <v/>
      </c>
      <c r="AG5">
        <f>IF(AF5&lt;&gt;"",NETWORKDAYS(TODAY(),AF5),"")</f>
        <v/>
      </c>
      <c r="AH5">
        <f>IF(AJ5="Complete","Complete",IF(AG5&lt;0,"Overdue",IF(AG5&lt;=AE5*0.2,"At Risk","On Track")))</f>
        <v/>
      </c>
      <c r="AI5" t="inlineStr">
        <is>
          <t>Application Team</t>
        </is>
      </c>
      <c r="AJ5" t="inlineStr">
        <is>
          <t>Queued</t>
        </is>
      </c>
      <c r="AK5">
        <f>IF(OR(AH5="Overdue",AND(AD5="P0",AG5&lt;1),AND(AD5="P1",AG5&lt;3)),"Y","N")</f>
        <v/>
      </c>
      <c r="AL5" t="inlineStr">
        <is>
          <t>Standard remediation timeline</t>
        </is>
      </c>
    </row>
    <row r="6">
      <c r="K6">
        <f>IF(J6="v4.0",L6,IF(J6="v3.1",M6,IF(J6="Both",L6,IF(AND(L6&lt;&gt;"",M6=""),L6,M6))))</f>
        <v/>
      </c>
      <c r="Z6">
        <f>MIN(100,
(K6*5) +
(U6*10) +
IF(P6="Y",40,0) +
IF(Q6="P",30,0) +
IF(V6="Y",25,0) +
IF(W6="Y",20,0) +
IF(X6="Weaponized",15,IF(X6="PoC Available",10,IF(X6="Public Exploit",5,0))) +
IF(G6="Production",10,IF(G6="DMZ",8,IF(G6="DR/Backup",5,0))) +
IF(Y6="N",10,0)
)</f>
        <v/>
      </c>
      <c r="AA6">
        <f>IF(OR(P6="Y",AND(K6&gt;=9.0,W6="Y")),"P0",IF(Z6&gt;=80,"P0",IF(Z6&gt;=60,"P1",IF(Z6&gt;=40,"P2",IF(Z6&gt;=20,"P3","P4")))))</f>
        <v/>
      </c>
      <c r="AD6">
        <f>IF(AB6&lt;&gt;"",AB6,AA6)</f>
        <v/>
      </c>
      <c r="AE6">
        <f>VLOOKUP(AD6,SLA_Definitions!$A$2:$B$6,2,FALSE)</f>
        <v/>
      </c>
      <c r="AF6">
        <f>IF(B6&lt;&gt;"",WORKDAY(B6,AE6),"")</f>
        <v/>
      </c>
      <c r="AG6">
        <f>IF(AF6&lt;&gt;"",NETWORKDAYS(TODAY(),AF6),"")</f>
        <v/>
      </c>
      <c r="AH6">
        <f>IF(AJ6="Complete","Complete",IF(AG6&lt;0,"Overdue",IF(AG6&lt;=AE6*0.2,"At Risk","On Track")))</f>
        <v/>
      </c>
      <c r="AK6">
        <f>IF(OR(AH6="Overdue",AND(AD6="P0",AG6&lt;1),AND(AD6="P1",AG6&lt;3)),"Y","N")</f>
        <v/>
      </c>
    </row>
    <row r="7">
      <c r="K7">
        <f>IF(J7="v4.0",L7,IF(J7="v3.1",M7,IF(J7="Both",L7,IF(AND(L7&lt;&gt;"",M7=""),L7,M7))))</f>
        <v/>
      </c>
      <c r="Z7">
        <f>MIN(100,
(K7*5) +
(U7*10) +
IF(P7="Y",40,0) +
IF(Q7="P",30,0) +
IF(V7="Y",25,0) +
IF(W7="Y",20,0) +
IF(X7="Weaponized",15,IF(X7="PoC Available",10,IF(X7="Public Exploit",5,0))) +
IF(G7="Production",10,IF(G7="DMZ",8,IF(G7="DR/Backup",5,0))) +
IF(Y7="N",10,0)
)</f>
        <v/>
      </c>
      <c r="AA7">
        <f>IF(OR(P7="Y",AND(K7&gt;=9.0,W7="Y")),"P0",IF(Z7&gt;=80,"P0",IF(Z7&gt;=60,"P1",IF(Z7&gt;=40,"P2",IF(Z7&gt;=20,"P3","P4")))))</f>
        <v/>
      </c>
      <c r="AD7">
        <f>IF(AB7&lt;&gt;"",AB7,AA7)</f>
        <v/>
      </c>
      <c r="AE7">
        <f>VLOOKUP(AD7,SLA_Definitions!$A$2:$B$6,2,FALSE)</f>
        <v/>
      </c>
      <c r="AF7">
        <f>IF(B7&lt;&gt;"",WORKDAY(B7,AE7),"")</f>
        <v/>
      </c>
      <c r="AG7">
        <f>IF(AF7&lt;&gt;"",NETWORKDAYS(TODAY(),AF7),"")</f>
        <v/>
      </c>
      <c r="AH7">
        <f>IF(AJ7="Complete","Complete",IF(AG7&lt;0,"Overdue",IF(AG7&lt;=AE7*0.2,"At Risk","On Track")))</f>
        <v/>
      </c>
      <c r="AK7">
        <f>IF(OR(AH7="Overdue",AND(AD7="P0",AG7&lt;1),AND(AD7="P1",AG7&lt;3)),"Y","N")</f>
        <v/>
      </c>
    </row>
    <row r="8">
      <c r="K8">
        <f>IF(J8="v4.0",L8,IF(J8="v3.1",M8,IF(J8="Both",L8,IF(AND(L8&lt;&gt;"",M8=""),L8,M8))))</f>
        <v/>
      </c>
      <c r="Z8">
        <f>MIN(100,
(K8*5) +
(U8*10) +
IF(P8="Y",40,0) +
IF(Q8="P",30,0) +
IF(V8="Y",25,0) +
IF(W8="Y",20,0) +
IF(X8="Weaponized",15,IF(X8="PoC Available",10,IF(X8="Public Exploit",5,0))) +
IF(G8="Production",10,IF(G8="DMZ",8,IF(G8="DR/Backup",5,0))) +
IF(Y8="N",10,0)
)</f>
        <v/>
      </c>
      <c r="AA8">
        <f>IF(OR(P8="Y",AND(K8&gt;=9.0,W8="Y")),"P0",IF(Z8&gt;=80,"P0",IF(Z8&gt;=60,"P1",IF(Z8&gt;=40,"P2",IF(Z8&gt;=20,"P3","P4")))))</f>
        <v/>
      </c>
      <c r="AD8">
        <f>IF(AB8&lt;&gt;"",AB8,AA8)</f>
        <v/>
      </c>
      <c r="AE8">
        <f>VLOOKUP(AD8,SLA_Definitions!$A$2:$B$6,2,FALSE)</f>
        <v/>
      </c>
      <c r="AF8">
        <f>IF(B8&lt;&gt;"",WORKDAY(B8,AE8),"")</f>
        <v/>
      </c>
      <c r="AG8">
        <f>IF(AF8&lt;&gt;"",NETWORKDAYS(TODAY(),AF8),"")</f>
        <v/>
      </c>
      <c r="AH8">
        <f>IF(AJ8="Complete","Complete",IF(AG8&lt;0,"Overdue",IF(AG8&lt;=AE8*0.2,"At Risk","On Track")))</f>
        <v/>
      </c>
      <c r="AK8">
        <f>IF(OR(AH8="Overdue",AND(AD8="P0",AG8&lt;1),AND(AD8="P1",AG8&lt;3)),"Y","N")</f>
        <v/>
      </c>
    </row>
    <row r="9">
      <c r="K9">
        <f>IF(J9="v4.0",L9,IF(J9="v3.1",M9,IF(J9="Both",L9,IF(AND(L9&lt;&gt;"",M9=""),L9,M9))))</f>
        <v/>
      </c>
      <c r="Z9">
        <f>MIN(100,
(K9*5) +
(U9*10) +
IF(P9="Y",40,0) +
IF(Q9="P",30,0) +
IF(V9="Y",25,0) +
IF(W9="Y",20,0) +
IF(X9="Weaponized",15,IF(X9="PoC Available",10,IF(X9="Public Exploit",5,0))) +
IF(G9="Production",10,IF(G9="DMZ",8,IF(G9="DR/Backup",5,0))) +
IF(Y9="N",10,0)
)</f>
        <v/>
      </c>
      <c r="AA9">
        <f>IF(OR(P9="Y",AND(K9&gt;=9.0,W9="Y")),"P0",IF(Z9&gt;=80,"P0",IF(Z9&gt;=60,"P1",IF(Z9&gt;=40,"P2",IF(Z9&gt;=20,"P3","P4")))))</f>
        <v/>
      </c>
      <c r="AD9">
        <f>IF(AB9&lt;&gt;"",AB9,AA9)</f>
        <v/>
      </c>
      <c r="AE9">
        <f>VLOOKUP(AD9,SLA_Definitions!$A$2:$B$6,2,FALSE)</f>
        <v/>
      </c>
      <c r="AF9">
        <f>IF(B9&lt;&gt;"",WORKDAY(B9,AE9),"")</f>
        <v/>
      </c>
      <c r="AG9">
        <f>IF(AF9&lt;&gt;"",NETWORKDAYS(TODAY(),AF9),"")</f>
        <v/>
      </c>
      <c r="AH9">
        <f>IF(AJ9="Complete","Complete",IF(AG9&lt;0,"Overdue",IF(AG9&lt;=AE9*0.2,"At Risk","On Track")))</f>
        <v/>
      </c>
      <c r="AK9">
        <f>IF(OR(AH9="Overdue",AND(AD9="P0",AG9&lt;1),AND(AD9="P1",AG9&lt;3)),"Y","N")</f>
        <v/>
      </c>
    </row>
    <row r="10">
      <c r="K10">
        <f>IF(J10="v4.0",L10,IF(J10="v3.1",M10,IF(J10="Both",L10,IF(AND(L10&lt;&gt;"",M10=""),L10,M10))))</f>
        <v/>
      </c>
      <c r="Z10">
        <f>MIN(100,
(K10*5) +
(U10*10) +
IF(P10="Y",40,0) +
IF(Q10="P",30,0) +
IF(V10="Y",25,0) +
IF(W10="Y",20,0) +
IF(X10="Weaponized",15,IF(X10="PoC Available",10,IF(X10="Public Exploit",5,0))) +
IF(G10="Production",10,IF(G10="DMZ",8,IF(G10="DR/Backup",5,0))) +
IF(Y10="N",10,0)
)</f>
        <v/>
      </c>
      <c r="AA10">
        <f>IF(OR(P10="Y",AND(K10&gt;=9.0,W10="Y")),"P0",IF(Z10&gt;=80,"P0",IF(Z10&gt;=60,"P1",IF(Z10&gt;=40,"P2",IF(Z10&gt;=20,"P3","P4")))))</f>
        <v/>
      </c>
      <c r="AD10">
        <f>IF(AB10&lt;&gt;"",AB10,AA10)</f>
        <v/>
      </c>
      <c r="AE10">
        <f>VLOOKUP(AD10,SLA_Definitions!$A$2:$B$6,2,FALSE)</f>
        <v/>
      </c>
      <c r="AF10">
        <f>IF(B10&lt;&gt;"",WORKDAY(B10,AE10),"")</f>
        <v/>
      </c>
      <c r="AG10">
        <f>IF(AF10&lt;&gt;"",NETWORKDAYS(TODAY(),AF10),"")</f>
        <v/>
      </c>
      <c r="AH10">
        <f>IF(AJ10="Complete","Complete",IF(AG10&lt;0,"Overdue",IF(AG10&lt;=AE10*0.2,"At Risk","On Track")))</f>
        <v/>
      </c>
      <c r="AK10">
        <f>IF(OR(AH10="Overdue",AND(AD10="P0",AG10&lt;1),AND(AD10="P1",AG10&lt;3)),"Y","N")</f>
        <v/>
      </c>
    </row>
    <row r="11">
      <c r="K11">
        <f>IF(J11="v4.0",L11,IF(J11="v3.1",M11,IF(J11="Both",L11,IF(AND(L11&lt;&gt;"",M11=""),L11,M11))))</f>
        <v/>
      </c>
      <c r="Z11">
        <f>MIN(100,
(K11*5) +
(U11*10) +
IF(P11="Y",40,0) +
IF(Q11="P",30,0) +
IF(V11="Y",25,0) +
IF(W11="Y",20,0) +
IF(X11="Weaponized",15,IF(X11="PoC Available",10,IF(X11="Public Exploit",5,0))) +
IF(G11="Production",10,IF(G11="DMZ",8,IF(G11="DR/Backup",5,0))) +
IF(Y11="N",10,0)
)</f>
        <v/>
      </c>
      <c r="AA11">
        <f>IF(OR(P11="Y",AND(K11&gt;=9.0,W11="Y")),"P0",IF(Z11&gt;=80,"P0",IF(Z11&gt;=60,"P1",IF(Z11&gt;=40,"P2",IF(Z11&gt;=20,"P3","P4")))))</f>
        <v/>
      </c>
      <c r="AD11">
        <f>IF(AB11&lt;&gt;"",AB11,AA11)</f>
        <v/>
      </c>
      <c r="AE11">
        <f>VLOOKUP(AD11,SLA_Definitions!$A$2:$B$6,2,FALSE)</f>
        <v/>
      </c>
      <c r="AF11">
        <f>IF(B11&lt;&gt;"",WORKDAY(B11,AE11),"")</f>
        <v/>
      </c>
      <c r="AG11">
        <f>IF(AF11&lt;&gt;"",NETWORKDAYS(TODAY(),AF11),"")</f>
        <v/>
      </c>
      <c r="AH11">
        <f>IF(AJ11="Complete","Complete",IF(AG11&lt;0,"Overdue",IF(AG11&lt;=AE11*0.2,"At Risk","On Track")))</f>
        <v/>
      </c>
      <c r="AK11">
        <f>IF(OR(AH11="Overdue",AND(AD11="P0",AG11&lt;1),AND(AD11="P1",AG11&lt;3)),"Y","N")</f>
        <v/>
      </c>
    </row>
    <row r="12">
      <c r="K12">
        <f>IF(J12="v4.0",L12,IF(J12="v3.1",M12,IF(J12="Both",L12,IF(AND(L12&lt;&gt;"",M12=""),L12,M12))))</f>
        <v/>
      </c>
      <c r="Z12">
        <f>MIN(100,
(K12*5) +
(U12*10) +
IF(P12="Y",40,0) +
IF(Q12="P",30,0) +
IF(V12="Y",25,0) +
IF(W12="Y",20,0) +
IF(X12="Weaponized",15,IF(X12="PoC Available",10,IF(X12="Public Exploit",5,0))) +
IF(G12="Production",10,IF(G12="DMZ",8,IF(G12="DR/Backup",5,0))) +
IF(Y12="N",10,0)
)</f>
        <v/>
      </c>
      <c r="AA12">
        <f>IF(OR(P12="Y",AND(K12&gt;=9.0,W12="Y")),"P0",IF(Z12&gt;=80,"P0",IF(Z12&gt;=60,"P1",IF(Z12&gt;=40,"P2",IF(Z12&gt;=20,"P3","P4")))))</f>
        <v/>
      </c>
      <c r="AD12">
        <f>IF(AB12&lt;&gt;"",AB12,AA12)</f>
        <v/>
      </c>
      <c r="AE12">
        <f>VLOOKUP(AD12,SLA_Definitions!$A$2:$B$6,2,FALSE)</f>
        <v/>
      </c>
      <c r="AF12">
        <f>IF(B12&lt;&gt;"",WORKDAY(B12,AE12),"")</f>
        <v/>
      </c>
      <c r="AG12">
        <f>IF(AF12&lt;&gt;"",NETWORKDAYS(TODAY(),AF12),"")</f>
        <v/>
      </c>
      <c r="AH12">
        <f>IF(AJ12="Complete","Complete",IF(AG12&lt;0,"Overdue",IF(AG12&lt;=AE12*0.2,"At Risk","On Track")))</f>
        <v/>
      </c>
      <c r="AK12">
        <f>IF(OR(AH12="Overdue",AND(AD12="P0",AG12&lt;1),AND(AD12="P1",AG12&lt;3)),"Y","N")</f>
        <v/>
      </c>
    </row>
    <row r="13">
      <c r="K13">
        <f>IF(J13="v4.0",L13,IF(J13="v3.1",M13,IF(J13="Both",L13,IF(AND(L13&lt;&gt;"",M13=""),L13,M13))))</f>
        <v/>
      </c>
      <c r="Z13">
        <f>MIN(100,
(K13*5) +
(U13*10) +
IF(P13="Y",40,0) +
IF(Q13="P",30,0) +
IF(V13="Y",25,0) +
IF(W13="Y",20,0) +
IF(X13="Weaponized",15,IF(X13="PoC Available",10,IF(X13="Public Exploit",5,0))) +
IF(G13="Production",10,IF(G13="DMZ",8,IF(G13="DR/Backup",5,0))) +
IF(Y13="N",10,0)
)</f>
        <v/>
      </c>
      <c r="AA13">
        <f>IF(OR(P13="Y",AND(K13&gt;=9.0,W13="Y")),"P0",IF(Z13&gt;=80,"P0",IF(Z13&gt;=60,"P1",IF(Z13&gt;=40,"P2",IF(Z13&gt;=20,"P3","P4")))))</f>
        <v/>
      </c>
      <c r="AD13">
        <f>IF(AB13&lt;&gt;"",AB13,AA13)</f>
        <v/>
      </c>
      <c r="AE13">
        <f>VLOOKUP(AD13,SLA_Definitions!$A$2:$B$6,2,FALSE)</f>
        <v/>
      </c>
      <c r="AF13">
        <f>IF(B13&lt;&gt;"",WORKDAY(B13,AE13),"")</f>
        <v/>
      </c>
      <c r="AG13">
        <f>IF(AF13&lt;&gt;"",NETWORKDAYS(TODAY(),AF13),"")</f>
        <v/>
      </c>
      <c r="AH13">
        <f>IF(AJ13="Complete","Complete",IF(AG13&lt;0,"Overdue",IF(AG13&lt;=AE13*0.2,"At Risk","On Track")))</f>
        <v/>
      </c>
      <c r="AK13">
        <f>IF(OR(AH13="Overdue",AND(AD13="P0",AG13&lt;1),AND(AD13="P1",AG13&lt;3)),"Y","N")</f>
        <v/>
      </c>
    </row>
    <row r="14">
      <c r="K14">
        <f>IF(J14="v4.0",L14,IF(J14="v3.1",M14,IF(J14="Both",L14,IF(AND(L14&lt;&gt;"",M14=""),L14,M14))))</f>
        <v/>
      </c>
      <c r="Z14">
        <f>MIN(100,
(K14*5) +
(U14*10) +
IF(P14="Y",40,0) +
IF(Q14="P",30,0) +
IF(V14="Y",25,0) +
IF(W14="Y",20,0) +
IF(X14="Weaponized",15,IF(X14="PoC Available",10,IF(X14="Public Exploit",5,0))) +
IF(G14="Production",10,IF(G14="DMZ",8,IF(G14="DR/Backup",5,0))) +
IF(Y14="N",10,0)
)</f>
        <v/>
      </c>
      <c r="AA14">
        <f>IF(OR(P14="Y",AND(K14&gt;=9.0,W14="Y")),"P0",IF(Z14&gt;=80,"P0",IF(Z14&gt;=60,"P1",IF(Z14&gt;=40,"P2",IF(Z14&gt;=20,"P3","P4")))))</f>
        <v/>
      </c>
      <c r="AD14">
        <f>IF(AB14&lt;&gt;"",AB14,AA14)</f>
        <v/>
      </c>
      <c r="AE14">
        <f>VLOOKUP(AD14,SLA_Definitions!$A$2:$B$6,2,FALSE)</f>
        <v/>
      </c>
      <c r="AF14">
        <f>IF(B14&lt;&gt;"",WORKDAY(B14,AE14),"")</f>
        <v/>
      </c>
      <c r="AG14">
        <f>IF(AF14&lt;&gt;"",NETWORKDAYS(TODAY(),AF14),"")</f>
        <v/>
      </c>
      <c r="AH14">
        <f>IF(AJ14="Complete","Complete",IF(AG14&lt;0,"Overdue",IF(AG14&lt;=AE14*0.2,"At Risk","On Track")))</f>
        <v/>
      </c>
      <c r="AK14">
        <f>IF(OR(AH14="Overdue",AND(AD14="P0",AG14&lt;1),AND(AD14="P1",AG14&lt;3)),"Y","N")</f>
        <v/>
      </c>
    </row>
    <row r="15">
      <c r="K15">
        <f>IF(J15="v4.0",L15,IF(J15="v3.1",M15,IF(J15="Both",L15,IF(AND(L15&lt;&gt;"",M15=""),L15,M15))))</f>
        <v/>
      </c>
      <c r="Z15">
        <f>MIN(100,
(K15*5) +
(U15*10) +
IF(P15="Y",40,0) +
IF(Q15="P",30,0) +
IF(V15="Y",25,0) +
IF(W15="Y",20,0) +
IF(X15="Weaponized",15,IF(X15="PoC Available",10,IF(X15="Public Exploit",5,0))) +
IF(G15="Production",10,IF(G15="DMZ",8,IF(G15="DR/Backup",5,0))) +
IF(Y15="N",10,0)
)</f>
        <v/>
      </c>
      <c r="AA15">
        <f>IF(OR(P15="Y",AND(K15&gt;=9.0,W15="Y")),"P0",IF(Z15&gt;=80,"P0",IF(Z15&gt;=60,"P1",IF(Z15&gt;=40,"P2",IF(Z15&gt;=20,"P3","P4")))))</f>
        <v/>
      </c>
      <c r="AD15">
        <f>IF(AB15&lt;&gt;"",AB15,AA15)</f>
        <v/>
      </c>
      <c r="AE15">
        <f>VLOOKUP(AD15,SLA_Definitions!$A$2:$B$6,2,FALSE)</f>
        <v/>
      </c>
      <c r="AF15">
        <f>IF(B15&lt;&gt;"",WORKDAY(B15,AE15),"")</f>
        <v/>
      </c>
      <c r="AG15">
        <f>IF(AF15&lt;&gt;"",NETWORKDAYS(TODAY(),AF15),"")</f>
        <v/>
      </c>
      <c r="AH15">
        <f>IF(AJ15="Complete","Complete",IF(AG15&lt;0,"Overdue",IF(AG15&lt;=AE15*0.2,"At Risk","On Track")))</f>
        <v/>
      </c>
      <c r="AK15">
        <f>IF(OR(AH15="Overdue",AND(AD15="P0",AG15&lt;1),AND(AD15="P1",AG15&lt;3)),"Y","N")</f>
        <v/>
      </c>
    </row>
    <row r="16">
      <c r="K16">
        <f>IF(J16="v4.0",L16,IF(J16="v3.1",M16,IF(J16="Both",L16,IF(AND(L16&lt;&gt;"",M16=""),L16,M16))))</f>
        <v/>
      </c>
      <c r="Z16">
        <f>MIN(100,
(K16*5) +
(U16*10) +
IF(P16="Y",40,0) +
IF(Q16="P",30,0) +
IF(V16="Y",25,0) +
IF(W16="Y",20,0) +
IF(X16="Weaponized",15,IF(X16="PoC Available",10,IF(X16="Public Exploit",5,0))) +
IF(G16="Production",10,IF(G16="DMZ",8,IF(G16="DR/Backup",5,0))) +
IF(Y16="N",10,0)
)</f>
        <v/>
      </c>
      <c r="AA16">
        <f>IF(OR(P16="Y",AND(K16&gt;=9.0,W16="Y")),"P0",IF(Z16&gt;=80,"P0",IF(Z16&gt;=60,"P1",IF(Z16&gt;=40,"P2",IF(Z16&gt;=20,"P3","P4")))))</f>
        <v/>
      </c>
      <c r="AD16">
        <f>IF(AB16&lt;&gt;"",AB16,AA16)</f>
        <v/>
      </c>
      <c r="AE16">
        <f>VLOOKUP(AD16,SLA_Definitions!$A$2:$B$6,2,FALSE)</f>
        <v/>
      </c>
      <c r="AF16">
        <f>IF(B16&lt;&gt;"",WORKDAY(B16,AE16),"")</f>
        <v/>
      </c>
      <c r="AG16">
        <f>IF(AF16&lt;&gt;"",NETWORKDAYS(TODAY(),AF16),"")</f>
        <v/>
      </c>
      <c r="AH16">
        <f>IF(AJ16="Complete","Complete",IF(AG16&lt;0,"Overdue",IF(AG16&lt;=AE16*0.2,"At Risk","On Track")))</f>
        <v/>
      </c>
      <c r="AK16">
        <f>IF(OR(AH16="Overdue",AND(AD16="P0",AG16&lt;1),AND(AD16="P1",AG16&lt;3)),"Y","N")</f>
        <v/>
      </c>
    </row>
    <row r="17">
      <c r="K17">
        <f>IF(J17="v4.0",L17,IF(J17="v3.1",M17,IF(J17="Both",L17,IF(AND(L17&lt;&gt;"",M17=""),L17,M17))))</f>
        <v/>
      </c>
      <c r="Z17">
        <f>MIN(100,
(K17*5) +
(U17*10) +
IF(P17="Y",40,0) +
IF(Q17="P",30,0) +
IF(V17="Y",25,0) +
IF(W17="Y",20,0) +
IF(X17="Weaponized",15,IF(X17="PoC Available",10,IF(X17="Public Exploit",5,0))) +
IF(G17="Production",10,IF(G17="DMZ",8,IF(G17="DR/Backup",5,0))) +
IF(Y17="N",10,0)
)</f>
        <v/>
      </c>
      <c r="AA17">
        <f>IF(OR(P17="Y",AND(K17&gt;=9.0,W17="Y")),"P0",IF(Z17&gt;=80,"P0",IF(Z17&gt;=60,"P1",IF(Z17&gt;=40,"P2",IF(Z17&gt;=20,"P3","P4")))))</f>
        <v/>
      </c>
      <c r="AD17">
        <f>IF(AB17&lt;&gt;"",AB17,AA17)</f>
        <v/>
      </c>
      <c r="AE17">
        <f>VLOOKUP(AD17,SLA_Definitions!$A$2:$B$6,2,FALSE)</f>
        <v/>
      </c>
      <c r="AF17">
        <f>IF(B17&lt;&gt;"",WORKDAY(B17,AE17),"")</f>
        <v/>
      </c>
      <c r="AG17">
        <f>IF(AF17&lt;&gt;"",NETWORKDAYS(TODAY(),AF17),"")</f>
        <v/>
      </c>
      <c r="AH17">
        <f>IF(AJ17="Complete","Complete",IF(AG17&lt;0,"Overdue",IF(AG17&lt;=AE17*0.2,"At Risk","On Track")))</f>
        <v/>
      </c>
      <c r="AK17">
        <f>IF(OR(AH17="Overdue",AND(AD17="P0",AG17&lt;1),AND(AD17="P1",AG17&lt;3)),"Y","N")</f>
        <v/>
      </c>
    </row>
    <row r="18">
      <c r="K18">
        <f>IF(J18="v4.0",L18,IF(J18="v3.1",M18,IF(J18="Both",L18,IF(AND(L18&lt;&gt;"",M18=""),L18,M18))))</f>
        <v/>
      </c>
      <c r="Z18">
        <f>MIN(100,
(K18*5) +
(U18*10) +
IF(P18="Y",40,0) +
IF(Q18="P",30,0) +
IF(V18="Y",25,0) +
IF(W18="Y",20,0) +
IF(X18="Weaponized",15,IF(X18="PoC Available",10,IF(X18="Public Exploit",5,0))) +
IF(G18="Production",10,IF(G18="DMZ",8,IF(G18="DR/Backup",5,0))) +
IF(Y18="N",10,0)
)</f>
        <v/>
      </c>
      <c r="AA18">
        <f>IF(OR(P18="Y",AND(K18&gt;=9.0,W18="Y")),"P0",IF(Z18&gt;=80,"P0",IF(Z18&gt;=60,"P1",IF(Z18&gt;=40,"P2",IF(Z18&gt;=20,"P3","P4")))))</f>
        <v/>
      </c>
      <c r="AD18">
        <f>IF(AB18&lt;&gt;"",AB18,AA18)</f>
        <v/>
      </c>
      <c r="AE18">
        <f>VLOOKUP(AD18,SLA_Definitions!$A$2:$B$6,2,FALSE)</f>
        <v/>
      </c>
      <c r="AF18">
        <f>IF(B18&lt;&gt;"",WORKDAY(B18,AE18),"")</f>
        <v/>
      </c>
      <c r="AG18">
        <f>IF(AF18&lt;&gt;"",NETWORKDAYS(TODAY(),AF18),"")</f>
        <v/>
      </c>
      <c r="AH18">
        <f>IF(AJ18="Complete","Complete",IF(AG18&lt;0,"Overdue",IF(AG18&lt;=AE18*0.2,"At Risk","On Track")))</f>
        <v/>
      </c>
      <c r="AK18">
        <f>IF(OR(AH18="Overdue",AND(AD18="P0",AG18&lt;1),AND(AD18="P1",AG18&lt;3)),"Y","N")</f>
        <v/>
      </c>
    </row>
    <row r="19">
      <c r="K19">
        <f>IF(J19="v4.0",L19,IF(J19="v3.1",M19,IF(J19="Both",L19,IF(AND(L19&lt;&gt;"",M19=""),L19,M19))))</f>
        <v/>
      </c>
      <c r="Z19">
        <f>MIN(100,
(K19*5) +
(U19*10) +
IF(P19="Y",40,0) +
IF(Q19="P",30,0) +
IF(V19="Y",25,0) +
IF(W19="Y",20,0) +
IF(X19="Weaponized",15,IF(X19="PoC Available",10,IF(X19="Public Exploit",5,0))) +
IF(G19="Production",10,IF(G19="DMZ",8,IF(G19="DR/Backup",5,0))) +
IF(Y19="N",10,0)
)</f>
        <v/>
      </c>
      <c r="AA19">
        <f>IF(OR(P19="Y",AND(K19&gt;=9.0,W19="Y")),"P0",IF(Z19&gt;=80,"P0",IF(Z19&gt;=60,"P1",IF(Z19&gt;=40,"P2",IF(Z19&gt;=20,"P3","P4")))))</f>
        <v/>
      </c>
      <c r="AD19">
        <f>IF(AB19&lt;&gt;"",AB19,AA19)</f>
        <v/>
      </c>
      <c r="AE19">
        <f>VLOOKUP(AD19,SLA_Definitions!$A$2:$B$6,2,FALSE)</f>
        <v/>
      </c>
      <c r="AF19">
        <f>IF(B19&lt;&gt;"",WORKDAY(B19,AE19),"")</f>
        <v/>
      </c>
      <c r="AG19">
        <f>IF(AF19&lt;&gt;"",NETWORKDAYS(TODAY(),AF19),"")</f>
        <v/>
      </c>
      <c r="AH19">
        <f>IF(AJ19="Complete","Complete",IF(AG19&lt;0,"Overdue",IF(AG19&lt;=AE19*0.2,"At Risk","On Track")))</f>
        <v/>
      </c>
      <c r="AK19">
        <f>IF(OR(AH19="Overdue",AND(AD19="P0",AG19&lt;1),AND(AD19="P1",AG19&lt;3)),"Y","N")</f>
        <v/>
      </c>
    </row>
    <row r="20">
      <c r="K20">
        <f>IF(J20="v4.0",L20,IF(J20="v3.1",M20,IF(J20="Both",L20,IF(AND(L20&lt;&gt;"",M20=""),L20,M20))))</f>
        <v/>
      </c>
      <c r="Z20">
        <f>MIN(100,
(K20*5) +
(U20*10) +
IF(P20="Y",40,0) +
IF(Q20="P",30,0) +
IF(V20="Y",25,0) +
IF(W20="Y",20,0) +
IF(X20="Weaponized",15,IF(X20="PoC Available",10,IF(X20="Public Exploit",5,0))) +
IF(G20="Production",10,IF(G20="DMZ",8,IF(G20="DR/Backup",5,0))) +
IF(Y20="N",10,0)
)</f>
        <v/>
      </c>
      <c r="AA20">
        <f>IF(OR(P20="Y",AND(K20&gt;=9.0,W20="Y")),"P0",IF(Z20&gt;=80,"P0",IF(Z20&gt;=60,"P1",IF(Z20&gt;=40,"P2",IF(Z20&gt;=20,"P3","P4")))))</f>
        <v/>
      </c>
      <c r="AD20">
        <f>IF(AB20&lt;&gt;"",AB20,AA20)</f>
        <v/>
      </c>
      <c r="AE20">
        <f>VLOOKUP(AD20,SLA_Definitions!$A$2:$B$6,2,FALSE)</f>
        <v/>
      </c>
      <c r="AF20">
        <f>IF(B20&lt;&gt;"",WORKDAY(B20,AE20),"")</f>
        <v/>
      </c>
      <c r="AG20">
        <f>IF(AF20&lt;&gt;"",NETWORKDAYS(TODAY(),AF20),"")</f>
        <v/>
      </c>
      <c r="AH20">
        <f>IF(AJ20="Complete","Complete",IF(AG20&lt;0,"Overdue",IF(AG20&lt;=AE20*0.2,"At Risk","On Track")))</f>
        <v/>
      </c>
      <c r="AK20">
        <f>IF(OR(AH20="Overdue",AND(AD20="P0",AG20&lt;1),AND(AD20="P1",AG20&lt;3)),"Y","N")</f>
        <v/>
      </c>
    </row>
    <row r="21">
      <c r="K21">
        <f>IF(J21="v4.0",L21,IF(J21="v3.1",M21,IF(J21="Both",L21,IF(AND(L21&lt;&gt;"",M21=""),L21,M21))))</f>
        <v/>
      </c>
      <c r="Z21">
        <f>MIN(100,
(K21*5) +
(U21*10) +
IF(P21="Y",40,0) +
IF(Q21="P",30,0) +
IF(V21="Y",25,0) +
IF(W21="Y",20,0) +
IF(X21="Weaponized",15,IF(X21="PoC Available",10,IF(X21="Public Exploit",5,0))) +
IF(G21="Production",10,IF(G21="DMZ",8,IF(G21="DR/Backup",5,0))) +
IF(Y21="N",10,0)
)</f>
        <v/>
      </c>
      <c r="AA21">
        <f>IF(OR(P21="Y",AND(K21&gt;=9.0,W21="Y")),"P0",IF(Z21&gt;=80,"P0",IF(Z21&gt;=60,"P1",IF(Z21&gt;=40,"P2",IF(Z21&gt;=20,"P3","P4")))))</f>
        <v/>
      </c>
      <c r="AD21">
        <f>IF(AB21&lt;&gt;"",AB21,AA21)</f>
        <v/>
      </c>
      <c r="AE21">
        <f>VLOOKUP(AD21,SLA_Definitions!$A$2:$B$6,2,FALSE)</f>
        <v/>
      </c>
      <c r="AF21">
        <f>IF(B21&lt;&gt;"",WORKDAY(B21,AE21),"")</f>
        <v/>
      </c>
      <c r="AG21">
        <f>IF(AF21&lt;&gt;"",NETWORKDAYS(TODAY(),AF21),"")</f>
        <v/>
      </c>
      <c r="AH21">
        <f>IF(AJ21="Complete","Complete",IF(AG21&lt;0,"Overdue",IF(AG21&lt;=AE21*0.2,"At Risk","On Track")))</f>
        <v/>
      </c>
      <c r="AK21">
        <f>IF(OR(AH21="Overdue",AND(AD21="P0",AG21&lt;1),AND(AD21="P1",AG21&lt;3)),"Y","N")</f>
        <v/>
      </c>
    </row>
    <row r="22">
      <c r="K22">
        <f>IF(J22="v4.0",L22,IF(J22="v3.1",M22,IF(J22="Both",L22,IF(AND(L22&lt;&gt;"",M22=""),L22,M22))))</f>
        <v/>
      </c>
      <c r="Z22">
        <f>MIN(100,
(K22*5) +
(U22*10) +
IF(P22="Y",40,0) +
IF(Q22="P",30,0) +
IF(V22="Y",25,0) +
IF(W22="Y",20,0) +
IF(X22="Weaponized",15,IF(X22="PoC Available",10,IF(X22="Public Exploit",5,0))) +
IF(G22="Production",10,IF(G22="DMZ",8,IF(G22="DR/Backup",5,0))) +
IF(Y22="N",10,0)
)</f>
        <v/>
      </c>
      <c r="AA22">
        <f>IF(OR(P22="Y",AND(K22&gt;=9.0,W22="Y")),"P0",IF(Z22&gt;=80,"P0",IF(Z22&gt;=60,"P1",IF(Z22&gt;=40,"P2",IF(Z22&gt;=20,"P3","P4")))))</f>
        <v/>
      </c>
      <c r="AD22">
        <f>IF(AB22&lt;&gt;"",AB22,AA22)</f>
        <v/>
      </c>
      <c r="AE22">
        <f>VLOOKUP(AD22,SLA_Definitions!$A$2:$B$6,2,FALSE)</f>
        <v/>
      </c>
      <c r="AF22">
        <f>IF(B22&lt;&gt;"",WORKDAY(B22,AE22),"")</f>
        <v/>
      </c>
      <c r="AG22">
        <f>IF(AF22&lt;&gt;"",NETWORKDAYS(TODAY(),AF22),"")</f>
        <v/>
      </c>
      <c r="AH22">
        <f>IF(AJ22="Complete","Complete",IF(AG22&lt;0,"Overdue",IF(AG22&lt;=AE22*0.2,"At Risk","On Track")))</f>
        <v/>
      </c>
      <c r="AK22">
        <f>IF(OR(AH22="Overdue",AND(AD22="P0",AG22&lt;1),AND(AD22="P1",AG22&lt;3)),"Y","N")</f>
        <v/>
      </c>
    </row>
    <row r="23">
      <c r="K23">
        <f>IF(J23="v4.0",L23,IF(J23="v3.1",M23,IF(J23="Both",L23,IF(AND(L23&lt;&gt;"",M23=""),L23,M23))))</f>
        <v/>
      </c>
      <c r="Z23">
        <f>MIN(100,
(K23*5) +
(U23*10) +
IF(P23="Y",40,0) +
IF(Q23="P",30,0) +
IF(V23="Y",25,0) +
IF(W23="Y",20,0) +
IF(X23="Weaponized",15,IF(X23="PoC Available",10,IF(X23="Public Exploit",5,0))) +
IF(G23="Production",10,IF(G23="DMZ",8,IF(G23="DR/Backup",5,0))) +
IF(Y23="N",10,0)
)</f>
        <v/>
      </c>
      <c r="AA23">
        <f>IF(OR(P23="Y",AND(K23&gt;=9.0,W23="Y")),"P0",IF(Z23&gt;=80,"P0",IF(Z23&gt;=60,"P1",IF(Z23&gt;=40,"P2",IF(Z23&gt;=20,"P3","P4")))))</f>
        <v/>
      </c>
      <c r="AD23">
        <f>IF(AB23&lt;&gt;"",AB23,AA23)</f>
        <v/>
      </c>
      <c r="AE23">
        <f>VLOOKUP(AD23,SLA_Definitions!$A$2:$B$6,2,FALSE)</f>
        <v/>
      </c>
      <c r="AF23">
        <f>IF(B23&lt;&gt;"",WORKDAY(B23,AE23),"")</f>
        <v/>
      </c>
      <c r="AG23">
        <f>IF(AF23&lt;&gt;"",NETWORKDAYS(TODAY(),AF23),"")</f>
        <v/>
      </c>
      <c r="AH23">
        <f>IF(AJ23="Complete","Complete",IF(AG23&lt;0,"Overdue",IF(AG23&lt;=AE23*0.2,"At Risk","On Track")))</f>
        <v/>
      </c>
      <c r="AK23">
        <f>IF(OR(AH23="Overdue",AND(AD23="P0",AG23&lt;1),AND(AD23="P1",AG23&lt;3)),"Y","N")</f>
        <v/>
      </c>
    </row>
    <row r="24">
      <c r="K24">
        <f>IF(J24="v4.0",L24,IF(J24="v3.1",M24,IF(J24="Both",L24,IF(AND(L24&lt;&gt;"",M24=""),L24,M24))))</f>
        <v/>
      </c>
      <c r="Z24">
        <f>MIN(100,
(K24*5) +
(U24*10) +
IF(P24="Y",40,0) +
IF(Q24="P",30,0) +
IF(V24="Y",25,0) +
IF(W24="Y",20,0) +
IF(X24="Weaponized",15,IF(X24="PoC Available",10,IF(X24="Public Exploit",5,0))) +
IF(G24="Production",10,IF(G24="DMZ",8,IF(G24="DR/Backup",5,0))) +
IF(Y24="N",10,0)
)</f>
        <v/>
      </c>
      <c r="AA24">
        <f>IF(OR(P24="Y",AND(K24&gt;=9.0,W24="Y")),"P0",IF(Z24&gt;=80,"P0",IF(Z24&gt;=60,"P1",IF(Z24&gt;=40,"P2",IF(Z24&gt;=20,"P3","P4")))))</f>
        <v/>
      </c>
      <c r="AD24">
        <f>IF(AB24&lt;&gt;"",AB24,AA24)</f>
        <v/>
      </c>
      <c r="AE24">
        <f>VLOOKUP(AD24,SLA_Definitions!$A$2:$B$6,2,FALSE)</f>
        <v/>
      </c>
      <c r="AF24">
        <f>IF(B24&lt;&gt;"",WORKDAY(B24,AE24),"")</f>
        <v/>
      </c>
      <c r="AG24">
        <f>IF(AF24&lt;&gt;"",NETWORKDAYS(TODAY(),AF24),"")</f>
        <v/>
      </c>
      <c r="AH24">
        <f>IF(AJ24="Complete","Complete",IF(AG24&lt;0,"Overdue",IF(AG24&lt;=AE24*0.2,"At Risk","On Track")))</f>
        <v/>
      </c>
      <c r="AK24">
        <f>IF(OR(AH24="Overdue",AND(AD24="P0",AG24&lt;1),AND(AD24="P1",AG24&lt;3)),"Y","N")</f>
        <v/>
      </c>
    </row>
    <row r="25">
      <c r="K25">
        <f>IF(J25="v4.0",L25,IF(J25="v3.1",M25,IF(J25="Both",L25,IF(AND(L25&lt;&gt;"",M25=""),L25,M25))))</f>
        <v/>
      </c>
      <c r="Z25">
        <f>MIN(100,
(K25*5) +
(U25*10) +
IF(P25="Y",40,0) +
IF(Q25="P",30,0) +
IF(V25="Y",25,0) +
IF(W25="Y",20,0) +
IF(X25="Weaponized",15,IF(X25="PoC Available",10,IF(X25="Public Exploit",5,0))) +
IF(G25="Production",10,IF(G25="DMZ",8,IF(G25="DR/Backup",5,0))) +
IF(Y25="N",10,0)
)</f>
        <v/>
      </c>
      <c r="AA25">
        <f>IF(OR(P25="Y",AND(K25&gt;=9.0,W25="Y")),"P0",IF(Z25&gt;=80,"P0",IF(Z25&gt;=60,"P1",IF(Z25&gt;=40,"P2",IF(Z25&gt;=20,"P3","P4")))))</f>
        <v/>
      </c>
      <c r="AD25">
        <f>IF(AB25&lt;&gt;"",AB25,AA25)</f>
        <v/>
      </c>
      <c r="AE25">
        <f>VLOOKUP(AD25,SLA_Definitions!$A$2:$B$6,2,FALSE)</f>
        <v/>
      </c>
      <c r="AF25">
        <f>IF(B25&lt;&gt;"",WORKDAY(B25,AE25),"")</f>
        <v/>
      </c>
      <c r="AG25">
        <f>IF(AF25&lt;&gt;"",NETWORKDAYS(TODAY(),AF25),"")</f>
        <v/>
      </c>
      <c r="AH25">
        <f>IF(AJ25="Complete","Complete",IF(AG25&lt;0,"Overdue",IF(AG25&lt;=AE25*0.2,"At Risk","On Track")))</f>
        <v/>
      </c>
      <c r="AK25">
        <f>IF(OR(AH25="Overdue",AND(AD25="P0",AG25&lt;1),AND(AD25="P1",AG25&lt;3)),"Y","N")</f>
        <v/>
      </c>
    </row>
    <row r="26">
      <c r="K26">
        <f>IF(J26="v4.0",L26,IF(J26="v3.1",M26,IF(J26="Both",L26,IF(AND(L26&lt;&gt;"",M26=""),L26,M26))))</f>
        <v/>
      </c>
      <c r="Z26">
        <f>MIN(100,
(K26*5) +
(U26*10) +
IF(P26="Y",40,0) +
IF(Q26="P",30,0) +
IF(V26="Y",25,0) +
IF(W26="Y",20,0) +
IF(X26="Weaponized",15,IF(X26="PoC Available",10,IF(X26="Public Exploit",5,0))) +
IF(G26="Production",10,IF(G26="DMZ",8,IF(G26="DR/Backup",5,0))) +
IF(Y26="N",10,0)
)</f>
        <v/>
      </c>
      <c r="AA26">
        <f>IF(OR(P26="Y",AND(K26&gt;=9.0,W26="Y")),"P0",IF(Z26&gt;=80,"P0",IF(Z26&gt;=60,"P1",IF(Z26&gt;=40,"P2",IF(Z26&gt;=20,"P3","P4")))))</f>
        <v/>
      </c>
      <c r="AD26">
        <f>IF(AB26&lt;&gt;"",AB26,AA26)</f>
        <v/>
      </c>
      <c r="AE26">
        <f>VLOOKUP(AD26,SLA_Definitions!$A$2:$B$6,2,FALSE)</f>
        <v/>
      </c>
      <c r="AF26">
        <f>IF(B26&lt;&gt;"",WORKDAY(B26,AE26),"")</f>
        <v/>
      </c>
      <c r="AG26">
        <f>IF(AF26&lt;&gt;"",NETWORKDAYS(TODAY(),AF26),"")</f>
        <v/>
      </c>
      <c r="AH26">
        <f>IF(AJ26="Complete","Complete",IF(AG26&lt;0,"Overdue",IF(AG26&lt;=AE26*0.2,"At Risk","On Track")))</f>
        <v/>
      </c>
      <c r="AK26">
        <f>IF(OR(AH26="Overdue",AND(AD26="P0",AG26&lt;1),AND(AD26="P1",AG26&lt;3)),"Y","N")</f>
        <v/>
      </c>
    </row>
    <row r="27">
      <c r="K27">
        <f>IF(J27="v4.0",L27,IF(J27="v3.1",M27,IF(J27="Both",L27,IF(AND(L27&lt;&gt;"",M27=""),L27,M27))))</f>
        <v/>
      </c>
      <c r="Z27">
        <f>MIN(100,
(K27*5) +
(U27*10) +
IF(P27="Y",40,0) +
IF(Q27="P",30,0) +
IF(V27="Y",25,0) +
IF(W27="Y",20,0) +
IF(X27="Weaponized",15,IF(X27="PoC Available",10,IF(X27="Public Exploit",5,0))) +
IF(G27="Production",10,IF(G27="DMZ",8,IF(G27="DR/Backup",5,0))) +
IF(Y27="N",10,0)
)</f>
        <v/>
      </c>
      <c r="AA27">
        <f>IF(OR(P27="Y",AND(K27&gt;=9.0,W27="Y")),"P0",IF(Z27&gt;=80,"P0",IF(Z27&gt;=60,"P1",IF(Z27&gt;=40,"P2",IF(Z27&gt;=20,"P3","P4")))))</f>
        <v/>
      </c>
      <c r="AD27">
        <f>IF(AB27&lt;&gt;"",AB27,AA27)</f>
        <v/>
      </c>
      <c r="AE27">
        <f>VLOOKUP(AD27,SLA_Definitions!$A$2:$B$6,2,FALSE)</f>
        <v/>
      </c>
      <c r="AF27">
        <f>IF(B27&lt;&gt;"",WORKDAY(B27,AE27),"")</f>
        <v/>
      </c>
      <c r="AG27">
        <f>IF(AF27&lt;&gt;"",NETWORKDAYS(TODAY(),AF27),"")</f>
        <v/>
      </c>
      <c r="AH27">
        <f>IF(AJ27="Complete","Complete",IF(AG27&lt;0,"Overdue",IF(AG27&lt;=AE27*0.2,"At Risk","On Track")))</f>
        <v/>
      </c>
      <c r="AK27">
        <f>IF(OR(AH27="Overdue",AND(AD27="P0",AG27&lt;1),AND(AD27="P1",AG27&lt;3)),"Y","N")</f>
        <v/>
      </c>
    </row>
    <row r="28">
      <c r="K28">
        <f>IF(J28="v4.0",L28,IF(J28="v3.1",M28,IF(J28="Both",L28,IF(AND(L28&lt;&gt;"",M28=""),L28,M28))))</f>
        <v/>
      </c>
      <c r="Z28">
        <f>MIN(100,
(K28*5) +
(U28*10) +
IF(P28="Y",40,0) +
IF(Q28="P",30,0) +
IF(V28="Y",25,0) +
IF(W28="Y",20,0) +
IF(X28="Weaponized",15,IF(X28="PoC Available",10,IF(X28="Public Exploit",5,0))) +
IF(G28="Production",10,IF(G28="DMZ",8,IF(G28="DR/Backup",5,0))) +
IF(Y28="N",10,0)
)</f>
        <v/>
      </c>
      <c r="AA28">
        <f>IF(OR(P28="Y",AND(K28&gt;=9.0,W28="Y")),"P0",IF(Z28&gt;=80,"P0",IF(Z28&gt;=60,"P1",IF(Z28&gt;=40,"P2",IF(Z28&gt;=20,"P3","P4")))))</f>
        <v/>
      </c>
      <c r="AD28">
        <f>IF(AB28&lt;&gt;"",AB28,AA28)</f>
        <v/>
      </c>
      <c r="AE28">
        <f>VLOOKUP(AD28,SLA_Definitions!$A$2:$B$6,2,FALSE)</f>
        <v/>
      </c>
      <c r="AF28">
        <f>IF(B28&lt;&gt;"",WORKDAY(B28,AE28),"")</f>
        <v/>
      </c>
      <c r="AG28">
        <f>IF(AF28&lt;&gt;"",NETWORKDAYS(TODAY(),AF28),"")</f>
        <v/>
      </c>
      <c r="AH28">
        <f>IF(AJ28="Complete","Complete",IF(AG28&lt;0,"Overdue",IF(AG28&lt;=AE28*0.2,"At Risk","On Track")))</f>
        <v/>
      </c>
      <c r="AK28">
        <f>IF(OR(AH28="Overdue",AND(AD28="P0",AG28&lt;1),AND(AD28="P1",AG28&lt;3)),"Y","N")</f>
        <v/>
      </c>
    </row>
    <row r="29">
      <c r="K29">
        <f>IF(J29="v4.0",L29,IF(J29="v3.1",M29,IF(J29="Both",L29,IF(AND(L29&lt;&gt;"",M29=""),L29,M29))))</f>
        <v/>
      </c>
      <c r="Z29">
        <f>MIN(100,
(K29*5) +
(U29*10) +
IF(P29="Y",40,0) +
IF(Q29="P",30,0) +
IF(V29="Y",25,0) +
IF(W29="Y",20,0) +
IF(X29="Weaponized",15,IF(X29="PoC Available",10,IF(X29="Public Exploit",5,0))) +
IF(G29="Production",10,IF(G29="DMZ",8,IF(G29="DR/Backup",5,0))) +
IF(Y29="N",10,0)
)</f>
        <v/>
      </c>
      <c r="AA29">
        <f>IF(OR(P29="Y",AND(K29&gt;=9.0,W29="Y")),"P0",IF(Z29&gt;=80,"P0",IF(Z29&gt;=60,"P1",IF(Z29&gt;=40,"P2",IF(Z29&gt;=20,"P3","P4")))))</f>
        <v/>
      </c>
      <c r="AD29">
        <f>IF(AB29&lt;&gt;"",AB29,AA29)</f>
        <v/>
      </c>
      <c r="AE29">
        <f>VLOOKUP(AD29,SLA_Definitions!$A$2:$B$6,2,FALSE)</f>
        <v/>
      </c>
      <c r="AF29">
        <f>IF(B29&lt;&gt;"",WORKDAY(B29,AE29),"")</f>
        <v/>
      </c>
      <c r="AG29">
        <f>IF(AF29&lt;&gt;"",NETWORKDAYS(TODAY(),AF29),"")</f>
        <v/>
      </c>
      <c r="AH29">
        <f>IF(AJ29="Complete","Complete",IF(AG29&lt;0,"Overdue",IF(AG29&lt;=AE29*0.2,"At Risk","On Track")))</f>
        <v/>
      </c>
      <c r="AK29">
        <f>IF(OR(AH29="Overdue",AND(AD29="P0",AG29&lt;1),AND(AD29="P1",AG29&lt;3)),"Y","N")</f>
        <v/>
      </c>
    </row>
    <row r="30">
      <c r="K30">
        <f>IF(J30="v4.0",L30,IF(J30="v3.1",M30,IF(J30="Both",L30,IF(AND(L30&lt;&gt;"",M30=""),L30,M30))))</f>
        <v/>
      </c>
      <c r="Z30">
        <f>MIN(100,
(K30*5) +
(U30*10) +
IF(P30="Y",40,0) +
IF(Q30="P",30,0) +
IF(V30="Y",25,0) +
IF(W30="Y",20,0) +
IF(X30="Weaponized",15,IF(X30="PoC Available",10,IF(X30="Public Exploit",5,0))) +
IF(G30="Production",10,IF(G30="DMZ",8,IF(G30="DR/Backup",5,0))) +
IF(Y30="N",10,0)
)</f>
        <v/>
      </c>
      <c r="AA30">
        <f>IF(OR(P30="Y",AND(K30&gt;=9.0,W30="Y")),"P0",IF(Z30&gt;=80,"P0",IF(Z30&gt;=60,"P1",IF(Z30&gt;=40,"P2",IF(Z30&gt;=20,"P3","P4")))))</f>
        <v/>
      </c>
      <c r="AD30">
        <f>IF(AB30&lt;&gt;"",AB30,AA30)</f>
        <v/>
      </c>
      <c r="AE30">
        <f>VLOOKUP(AD30,SLA_Definitions!$A$2:$B$6,2,FALSE)</f>
        <v/>
      </c>
      <c r="AF30">
        <f>IF(B30&lt;&gt;"",WORKDAY(B30,AE30),"")</f>
        <v/>
      </c>
      <c r="AG30">
        <f>IF(AF30&lt;&gt;"",NETWORKDAYS(TODAY(),AF30),"")</f>
        <v/>
      </c>
      <c r="AH30">
        <f>IF(AJ30="Complete","Complete",IF(AG30&lt;0,"Overdue",IF(AG30&lt;=AE30*0.2,"At Risk","On Track")))</f>
        <v/>
      </c>
      <c r="AK30">
        <f>IF(OR(AH30="Overdue",AND(AD30="P0",AG30&lt;1),AND(AD30="P1",AG30&lt;3)),"Y","N")</f>
        <v/>
      </c>
    </row>
    <row r="31">
      <c r="K31">
        <f>IF(J31="v4.0",L31,IF(J31="v3.1",M31,IF(J31="Both",L31,IF(AND(L31&lt;&gt;"",M31=""),L31,M31))))</f>
        <v/>
      </c>
      <c r="Z31">
        <f>MIN(100,
(K31*5) +
(U31*10) +
IF(P31="Y",40,0) +
IF(Q31="P",30,0) +
IF(V31="Y",25,0) +
IF(W31="Y",20,0) +
IF(X31="Weaponized",15,IF(X31="PoC Available",10,IF(X31="Public Exploit",5,0))) +
IF(G31="Production",10,IF(G31="DMZ",8,IF(G31="DR/Backup",5,0))) +
IF(Y31="N",10,0)
)</f>
        <v/>
      </c>
      <c r="AA31">
        <f>IF(OR(P31="Y",AND(K31&gt;=9.0,W31="Y")),"P0",IF(Z31&gt;=80,"P0",IF(Z31&gt;=60,"P1",IF(Z31&gt;=40,"P2",IF(Z31&gt;=20,"P3","P4")))))</f>
        <v/>
      </c>
      <c r="AD31">
        <f>IF(AB31&lt;&gt;"",AB31,AA31)</f>
        <v/>
      </c>
      <c r="AE31">
        <f>VLOOKUP(AD31,SLA_Definitions!$A$2:$B$6,2,FALSE)</f>
        <v/>
      </c>
      <c r="AF31">
        <f>IF(B31&lt;&gt;"",WORKDAY(B31,AE31),"")</f>
        <v/>
      </c>
      <c r="AG31">
        <f>IF(AF31&lt;&gt;"",NETWORKDAYS(TODAY(),AF31),"")</f>
        <v/>
      </c>
      <c r="AH31">
        <f>IF(AJ31="Complete","Complete",IF(AG31&lt;0,"Overdue",IF(AG31&lt;=AE31*0.2,"At Risk","On Track")))</f>
        <v/>
      </c>
      <c r="AK31">
        <f>IF(OR(AH31="Overdue",AND(AD31="P0",AG31&lt;1),AND(AD31="P1",AG31&lt;3)),"Y","N")</f>
        <v/>
      </c>
    </row>
    <row r="32">
      <c r="K32">
        <f>IF(J32="v4.0",L32,IF(J32="v3.1",M32,IF(J32="Both",L32,IF(AND(L32&lt;&gt;"",M32=""),L32,M32))))</f>
        <v/>
      </c>
      <c r="Z32">
        <f>MIN(100,
(K32*5) +
(U32*10) +
IF(P32="Y",40,0) +
IF(Q32="P",30,0) +
IF(V32="Y",25,0) +
IF(W32="Y",20,0) +
IF(X32="Weaponized",15,IF(X32="PoC Available",10,IF(X32="Public Exploit",5,0))) +
IF(G32="Production",10,IF(G32="DMZ",8,IF(G32="DR/Backup",5,0))) +
IF(Y32="N",10,0)
)</f>
        <v/>
      </c>
      <c r="AA32">
        <f>IF(OR(P32="Y",AND(K32&gt;=9.0,W32="Y")),"P0",IF(Z32&gt;=80,"P0",IF(Z32&gt;=60,"P1",IF(Z32&gt;=40,"P2",IF(Z32&gt;=20,"P3","P4")))))</f>
        <v/>
      </c>
      <c r="AD32">
        <f>IF(AB32&lt;&gt;"",AB32,AA32)</f>
        <v/>
      </c>
      <c r="AE32">
        <f>VLOOKUP(AD32,SLA_Definitions!$A$2:$B$6,2,FALSE)</f>
        <v/>
      </c>
      <c r="AF32">
        <f>IF(B32&lt;&gt;"",WORKDAY(B32,AE32),"")</f>
        <v/>
      </c>
      <c r="AG32">
        <f>IF(AF32&lt;&gt;"",NETWORKDAYS(TODAY(),AF32),"")</f>
        <v/>
      </c>
      <c r="AH32">
        <f>IF(AJ32="Complete","Complete",IF(AG32&lt;0,"Overdue",IF(AG32&lt;=AE32*0.2,"At Risk","On Track")))</f>
        <v/>
      </c>
      <c r="AK32">
        <f>IF(OR(AH32="Overdue",AND(AD32="P0",AG32&lt;1),AND(AD32="P1",AG32&lt;3)),"Y","N")</f>
        <v/>
      </c>
    </row>
    <row r="33">
      <c r="K33">
        <f>IF(J33="v4.0",L33,IF(J33="v3.1",M33,IF(J33="Both",L33,IF(AND(L33&lt;&gt;"",M33=""),L33,M33))))</f>
        <v/>
      </c>
      <c r="Z33">
        <f>MIN(100,
(K33*5) +
(U33*10) +
IF(P33="Y",40,0) +
IF(Q33="P",30,0) +
IF(V33="Y",25,0) +
IF(W33="Y",20,0) +
IF(X33="Weaponized",15,IF(X33="PoC Available",10,IF(X33="Public Exploit",5,0))) +
IF(G33="Production",10,IF(G33="DMZ",8,IF(G33="DR/Backup",5,0))) +
IF(Y33="N",10,0)
)</f>
        <v/>
      </c>
      <c r="AA33">
        <f>IF(OR(P33="Y",AND(K33&gt;=9.0,W33="Y")),"P0",IF(Z33&gt;=80,"P0",IF(Z33&gt;=60,"P1",IF(Z33&gt;=40,"P2",IF(Z33&gt;=20,"P3","P4")))))</f>
        <v/>
      </c>
      <c r="AD33">
        <f>IF(AB33&lt;&gt;"",AB33,AA33)</f>
        <v/>
      </c>
      <c r="AE33">
        <f>VLOOKUP(AD33,SLA_Definitions!$A$2:$B$6,2,FALSE)</f>
        <v/>
      </c>
      <c r="AF33">
        <f>IF(B33&lt;&gt;"",WORKDAY(B33,AE33),"")</f>
        <v/>
      </c>
      <c r="AG33">
        <f>IF(AF33&lt;&gt;"",NETWORKDAYS(TODAY(),AF33),"")</f>
        <v/>
      </c>
      <c r="AH33">
        <f>IF(AJ33="Complete","Complete",IF(AG33&lt;0,"Overdue",IF(AG33&lt;=AE33*0.2,"At Risk","On Track")))</f>
        <v/>
      </c>
      <c r="AK33">
        <f>IF(OR(AH33="Overdue",AND(AD33="P0",AG33&lt;1),AND(AD33="P1",AG33&lt;3)),"Y","N")</f>
        <v/>
      </c>
    </row>
    <row r="34">
      <c r="K34">
        <f>IF(J34="v4.0",L34,IF(J34="v3.1",M34,IF(J34="Both",L34,IF(AND(L34&lt;&gt;"",M34=""),L34,M34))))</f>
        <v/>
      </c>
      <c r="Z34">
        <f>MIN(100,
(K34*5) +
(U34*10) +
IF(P34="Y",40,0) +
IF(Q34="P",30,0) +
IF(V34="Y",25,0) +
IF(W34="Y",20,0) +
IF(X34="Weaponized",15,IF(X34="PoC Available",10,IF(X34="Public Exploit",5,0))) +
IF(G34="Production",10,IF(G34="DMZ",8,IF(G34="DR/Backup",5,0))) +
IF(Y34="N",10,0)
)</f>
        <v/>
      </c>
      <c r="AA34">
        <f>IF(OR(P34="Y",AND(K34&gt;=9.0,W34="Y")),"P0",IF(Z34&gt;=80,"P0",IF(Z34&gt;=60,"P1",IF(Z34&gt;=40,"P2",IF(Z34&gt;=20,"P3","P4")))))</f>
        <v/>
      </c>
      <c r="AD34">
        <f>IF(AB34&lt;&gt;"",AB34,AA34)</f>
        <v/>
      </c>
      <c r="AE34">
        <f>VLOOKUP(AD34,SLA_Definitions!$A$2:$B$6,2,FALSE)</f>
        <v/>
      </c>
      <c r="AF34">
        <f>IF(B34&lt;&gt;"",WORKDAY(B34,AE34),"")</f>
        <v/>
      </c>
      <c r="AG34">
        <f>IF(AF34&lt;&gt;"",NETWORKDAYS(TODAY(),AF34),"")</f>
        <v/>
      </c>
      <c r="AH34">
        <f>IF(AJ34="Complete","Complete",IF(AG34&lt;0,"Overdue",IF(AG34&lt;=AE34*0.2,"At Risk","On Track")))</f>
        <v/>
      </c>
      <c r="AK34">
        <f>IF(OR(AH34="Overdue",AND(AD34="P0",AG34&lt;1),AND(AD34="P1",AG34&lt;3)),"Y","N")</f>
        <v/>
      </c>
    </row>
    <row r="35">
      <c r="K35">
        <f>IF(J35="v4.0",L35,IF(J35="v3.1",M35,IF(J35="Both",L35,IF(AND(L35&lt;&gt;"",M35=""),L35,M35))))</f>
        <v/>
      </c>
      <c r="Z35">
        <f>MIN(100,
(K35*5) +
(U35*10) +
IF(P35="Y",40,0) +
IF(Q35="P",30,0) +
IF(V35="Y",25,0) +
IF(W35="Y",20,0) +
IF(X35="Weaponized",15,IF(X35="PoC Available",10,IF(X35="Public Exploit",5,0))) +
IF(G35="Production",10,IF(G35="DMZ",8,IF(G35="DR/Backup",5,0))) +
IF(Y35="N",10,0)
)</f>
        <v/>
      </c>
      <c r="AA35">
        <f>IF(OR(P35="Y",AND(K35&gt;=9.0,W35="Y")),"P0",IF(Z35&gt;=80,"P0",IF(Z35&gt;=60,"P1",IF(Z35&gt;=40,"P2",IF(Z35&gt;=20,"P3","P4")))))</f>
        <v/>
      </c>
      <c r="AD35">
        <f>IF(AB35&lt;&gt;"",AB35,AA35)</f>
        <v/>
      </c>
      <c r="AE35">
        <f>VLOOKUP(AD35,SLA_Definitions!$A$2:$B$6,2,FALSE)</f>
        <v/>
      </c>
      <c r="AF35">
        <f>IF(B35&lt;&gt;"",WORKDAY(B35,AE35),"")</f>
        <v/>
      </c>
      <c r="AG35">
        <f>IF(AF35&lt;&gt;"",NETWORKDAYS(TODAY(),AF35),"")</f>
        <v/>
      </c>
      <c r="AH35">
        <f>IF(AJ35="Complete","Complete",IF(AG35&lt;0,"Overdue",IF(AG35&lt;=AE35*0.2,"At Risk","On Track")))</f>
        <v/>
      </c>
      <c r="AK35">
        <f>IF(OR(AH35="Overdue",AND(AD35="P0",AG35&lt;1),AND(AD35="P1",AG35&lt;3)),"Y","N")</f>
        <v/>
      </c>
    </row>
    <row r="36">
      <c r="K36">
        <f>IF(J36="v4.0",L36,IF(J36="v3.1",M36,IF(J36="Both",L36,IF(AND(L36&lt;&gt;"",M36=""),L36,M36))))</f>
        <v/>
      </c>
      <c r="Z36">
        <f>MIN(100,
(K36*5) +
(U36*10) +
IF(P36="Y",40,0) +
IF(Q36="P",30,0) +
IF(V36="Y",25,0) +
IF(W36="Y",20,0) +
IF(X36="Weaponized",15,IF(X36="PoC Available",10,IF(X36="Public Exploit",5,0))) +
IF(G36="Production",10,IF(G36="DMZ",8,IF(G36="DR/Backup",5,0))) +
IF(Y36="N",10,0)
)</f>
        <v/>
      </c>
      <c r="AA36">
        <f>IF(OR(P36="Y",AND(K36&gt;=9.0,W36="Y")),"P0",IF(Z36&gt;=80,"P0",IF(Z36&gt;=60,"P1",IF(Z36&gt;=40,"P2",IF(Z36&gt;=20,"P3","P4")))))</f>
        <v/>
      </c>
      <c r="AD36">
        <f>IF(AB36&lt;&gt;"",AB36,AA36)</f>
        <v/>
      </c>
      <c r="AE36">
        <f>VLOOKUP(AD36,SLA_Definitions!$A$2:$B$6,2,FALSE)</f>
        <v/>
      </c>
      <c r="AF36">
        <f>IF(B36&lt;&gt;"",WORKDAY(B36,AE36),"")</f>
        <v/>
      </c>
      <c r="AG36">
        <f>IF(AF36&lt;&gt;"",NETWORKDAYS(TODAY(),AF36),"")</f>
        <v/>
      </c>
      <c r="AH36">
        <f>IF(AJ36="Complete","Complete",IF(AG36&lt;0,"Overdue",IF(AG36&lt;=AE36*0.2,"At Risk","On Track")))</f>
        <v/>
      </c>
      <c r="AK36">
        <f>IF(OR(AH36="Overdue",AND(AD36="P0",AG36&lt;1),AND(AD36="P1",AG36&lt;3)),"Y","N")</f>
        <v/>
      </c>
    </row>
    <row r="37">
      <c r="K37">
        <f>IF(J37="v4.0",L37,IF(J37="v3.1",M37,IF(J37="Both",L37,IF(AND(L37&lt;&gt;"",M37=""),L37,M37))))</f>
        <v/>
      </c>
      <c r="Z37">
        <f>MIN(100,
(K37*5) +
(U37*10) +
IF(P37="Y",40,0) +
IF(Q37="P",30,0) +
IF(V37="Y",25,0) +
IF(W37="Y",20,0) +
IF(X37="Weaponized",15,IF(X37="PoC Available",10,IF(X37="Public Exploit",5,0))) +
IF(G37="Production",10,IF(G37="DMZ",8,IF(G37="DR/Backup",5,0))) +
IF(Y37="N",10,0)
)</f>
        <v/>
      </c>
      <c r="AA37">
        <f>IF(OR(P37="Y",AND(K37&gt;=9.0,W37="Y")),"P0",IF(Z37&gt;=80,"P0",IF(Z37&gt;=60,"P1",IF(Z37&gt;=40,"P2",IF(Z37&gt;=20,"P3","P4")))))</f>
        <v/>
      </c>
      <c r="AD37">
        <f>IF(AB37&lt;&gt;"",AB37,AA37)</f>
        <v/>
      </c>
      <c r="AE37">
        <f>VLOOKUP(AD37,SLA_Definitions!$A$2:$B$6,2,FALSE)</f>
        <v/>
      </c>
      <c r="AF37">
        <f>IF(B37&lt;&gt;"",WORKDAY(B37,AE37),"")</f>
        <v/>
      </c>
      <c r="AG37">
        <f>IF(AF37&lt;&gt;"",NETWORKDAYS(TODAY(),AF37),"")</f>
        <v/>
      </c>
      <c r="AH37">
        <f>IF(AJ37="Complete","Complete",IF(AG37&lt;0,"Overdue",IF(AG37&lt;=AE37*0.2,"At Risk","On Track")))</f>
        <v/>
      </c>
      <c r="AK37">
        <f>IF(OR(AH37="Overdue",AND(AD37="P0",AG37&lt;1),AND(AD37="P1",AG37&lt;3)),"Y","N")</f>
        <v/>
      </c>
    </row>
    <row r="38">
      <c r="K38">
        <f>IF(J38="v4.0",L38,IF(J38="v3.1",M38,IF(J38="Both",L38,IF(AND(L38&lt;&gt;"",M38=""),L38,M38))))</f>
        <v/>
      </c>
      <c r="Z38">
        <f>MIN(100,
(K38*5) +
(U38*10) +
IF(P38="Y",40,0) +
IF(Q38="P",30,0) +
IF(V38="Y",25,0) +
IF(W38="Y",20,0) +
IF(X38="Weaponized",15,IF(X38="PoC Available",10,IF(X38="Public Exploit",5,0))) +
IF(G38="Production",10,IF(G38="DMZ",8,IF(G38="DR/Backup",5,0))) +
IF(Y38="N",10,0)
)</f>
        <v/>
      </c>
      <c r="AA38">
        <f>IF(OR(P38="Y",AND(K38&gt;=9.0,W38="Y")),"P0",IF(Z38&gt;=80,"P0",IF(Z38&gt;=60,"P1",IF(Z38&gt;=40,"P2",IF(Z38&gt;=20,"P3","P4")))))</f>
        <v/>
      </c>
      <c r="AD38">
        <f>IF(AB38&lt;&gt;"",AB38,AA38)</f>
        <v/>
      </c>
      <c r="AE38">
        <f>VLOOKUP(AD38,SLA_Definitions!$A$2:$B$6,2,FALSE)</f>
        <v/>
      </c>
      <c r="AF38">
        <f>IF(B38&lt;&gt;"",WORKDAY(B38,AE38),"")</f>
        <v/>
      </c>
      <c r="AG38">
        <f>IF(AF38&lt;&gt;"",NETWORKDAYS(TODAY(),AF38),"")</f>
        <v/>
      </c>
      <c r="AH38">
        <f>IF(AJ38="Complete","Complete",IF(AG38&lt;0,"Overdue",IF(AG38&lt;=AE38*0.2,"At Risk","On Track")))</f>
        <v/>
      </c>
      <c r="AK38">
        <f>IF(OR(AH38="Overdue",AND(AD38="P0",AG38&lt;1),AND(AD38="P1",AG38&lt;3)),"Y","N")</f>
        <v/>
      </c>
    </row>
    <row r="39">
      <c r="K39">
        <f>IF(J39="v4.0",L39,IF(J39="v3.1",M39,IF(J39="Both",L39,IF(AND(L39&lt;&gt;"",M39=""),L39,M39))))</f>
        <v/>
      </c>
      <c r="Z39">
        <f>MIN(100,
(K39*5) +
(U39*10) +
IF(P39="Y",40,0) +
IF(Q39="P",30,0) +
IF(V39="Y",25,0) +
IF(W39="Y",20,0) +
IF(X39="Weaponized",15,IF(X39="PoC Available",10,IF(X39="Public Exploit",5,0))) +
IF(G39="Production",10,IF(G39="DMZ",8,IF(G39="DR/Backup",5,0))) +
IF(Y39="N",10,0)
)</f>
        <v/>
      </c>
      <c r="AA39">
        <f>IF(OR(P39="Y",AND(K39&gt;=9.0,W39="Y")),"P0",IF(Z39&gt;=80,"P0",IF(Z39&gt;=60,"P1",IF(Z39&gt;=40,"P2",IF(Z39&gt;=20,"P3","P4")))))</f>
        <v/>
      </c>
      <c r="AD39">
        <f>IF(AB39&lt;&gt;"",AB39,AA39)</f>
        <v/>
      </c>
      <c r="AE39">
        <f>VLOOKUP(AD39,SLA_Definitions!$A$2:$B$6,2,FALSE)</f>
        <v/>
      </c>
      <c r="AF39">
        <f>IF(B39&lt;&gt;"",WORKDAY(B39,AE39),"")</f>
        <v/>
      </c>
      <c r="AG39">
        <f>IF(AF39&lt;&gt;"",NETWORKDAYS(TODAY(),AF39),"")</f>
        <v/>
      </c>
      <c r="AH39">
        <f>IF(AJ39="Complete","Complete",IF(AG39&lt;0,"Overdue",IF(AG39&lt;=AE39*0.2,"At Risk","On Track")))</f>
        <v/>
      </c>
      <c r="AK39">
        <f>IF(OR(AH39="Overdue",AND(AD39="P0",AG39&lt;1),AND(AD39="P1",AG39&lt;3)),"Y","N")</f>
        <v/>
      </c>
    </row>
    <row r="40">
      <c r="K40">
        <f>IF(J40="v4.0",L40,IF(J40="v3.1",M40,IF(J40="Both",L40,IF(AND(L40&lt;&gt;"",M40=""),L40,M40))))</f>
        <v/>
      </c>
      <c r="Z40">
        <f>MIN(100,
(K40*5) +
(U40*10) +
IF(P40="Y",40,0) +
IF(Q40="P",30,0) +
IF(V40="Y",25,0) +
IF(W40="Y",20,0) +
IF(X40="Weaponized",15,IF(X40="PoC Available",10,IF(X40="Public Exploit",5,0))) +
IF(G40="Production",10,IF(G40="DMZ",8,IF(G40="DR/Backup",5,0))) +
IF(Y40="N",10,0)
)</f>
        <v/>
      </c>
      <c r="AA40">
        <f>IF(OR(P40="Y",AND(K40&gt;=9.0,W40="Y")),"P0",IF(Z40&gt;=80,"P0",IF(Z40&gt;=60,"P1",IF(Z40&gt;=40,"P2",IF(Z40&gt;=20,"P3","P4")))))</f>
        <v/>
      </c>
      <c r="AD40">
        <f>IF(AB40&lt;&gt;"",AB40,AA40)</f>
        <v/>
      </c>
      <c r="AE40">
        <f>VLOOKUP(AD40,SLA_Definitions!$A$2:$B$6,2,FALSE)</f>
        <v/>
      </c>
      <c r="AF40">
        <f>IF(B40&lt;&gt;"",WORKDAY(B40,AE40),"")</f>
        <v/>
      </c>
      <c r="AG40">
        <f>IF(AF40&lt;&gt;"",NETWORKDAYS(TODAY(),AF40),"")</f>
        <v/>
      </c>
      <c r="AH40">
        <f>IF(AJ40="Complete","Complete",IF(AG40&lt;0,"Overdue",IF(AG40&lt;=AE40*0.2,"At Risk","On Track")))</f>
        <v/>
      </c>
      <c r="AK40">
        <f>IF(OR(AH40="Overdue",AND(AD40="P0",AG40&lt;1),AND(AD40="P1",AG40&lt;3)),"Y","N")</f>
        <v/>
      </c>
    </row>
    <row r="41">
      <c r="K41">
        <f>IF(J41="v4.0",L41,IF(J41="v3.1",M41,IF(J41="Both",L41,IF(AND(L41&lt;&gt;"",M41=""),L41,M41))))</f>
        <v/>
      </c>
      <c r="Z41">
        <f>MIN(100,
(K41*5) +
(U41*10) +
IF(P41="Y",40,0) +
IF(Q41="P",30,0) +
IF(V41="Y",25,0) +
IF(W41="Y",20,0) +
IF(X41="Weaponized",15,IF(X41="PoC Available",10,IF(X41="Public Exploit",5,0))) +
IF(G41="Production",10,IF(G41="DMZ",8,IF(G41="DR/Backup",5,0))) +
IF(Y41="N",10,0)
)</f>
        <v/>
      </c>
      <c r="AA41">
        <f>IF(OR(P41="Y",AND(K41&gt;=9.0,W41="Y")),"P0",IF(Z41&gt;=80,"P0",IF(Z41&gt;=60,"P1",IF(Z41&gt;=40,"P2",IF(Z41&gt;=20,"P3","P4")))))</f>
        <v/>
      </c>
      <c r="AD41">
        <f>IF(AB41&lt;&gt;"",AB41,AA41)</f>
        <v/>
      </c>
      <c r="AE41">
        <f>VLOOKUP(AD41,SLA_Definitions!$A$2:$B$6,2,FALSE)</f>
        <v/>
      </c>
      <c r="AF41">
        <f>IF(B41&lt;&gt;"",WORKDAY(B41,AE41),"")</f>
        <v/>
      </c>
      <c r="AG41">
        <f>IF(AF41&lt;&gt;"",NETWORKDAYS(TODAY(),AF41),"")</f>
        <v/>
      </c>
      <c r="AH41">
        <f>IF(AJ41="Complete","Complete",IF(AG41&lt;0,"Overdue",IF(AG41&lt;=AE41*0.2,"At Risk","On Track")))</f>
        <v/>
      </c>
      <c r="AK41">
        <f>IF(OR(AH41="Overdue",AND(AD41="P0",AG41&lt;1),AND(AD41="P1",AG41&lt;3)),"Y","N")</f>
        <v/>
      </c>
    </row>
    <row r="42">
      <c r="K42">
        <f>IF(J42="v4.0",L42,IF(J42="v3.1",M42,IF(J42="Both",L42,IF(AND(L42&lt;&gt;"",M42=""),L42,M42))))</f>
        <v/>
      </c>
      <c r="Z42">
        <f>MIN(100,
(K42*5) +
(U42*10) +
IF(P42="Y",40,0) +
IF(Q42="P",30,0) +
IF(V42="Y",25,0) +
IF(W42="Y",20,0) +
IF(X42="Weaponized",15,IF(X42="PoC Available",10,IF(X42="Public Exploit",5,0))) +
IF(G42="Production",10,IF(G42="DMZ",8,IF(G42="DR/Backup",5,0))) +
IF(Y42="N",10,0)
)</f>
        <v/>
      </c>
      <c r="AA42">
        <f>IF(OR(P42="Y",AND(K42&gt;=9.0,W42="Y")),"P0",IF(Z42&gt;=80,"P0",IF(Z42&gt;=60,"P1",IF(Z42&gt;=40,"P2",IF(Z42&gt;=20,"P3","P4")))))</f>
        <v/>
      </c>
      <c r="AD42">
        <f>IF(AB42&lt;&gt;"",AB42,AA42)</f>
        <v/>
      </c>
      <c r="AE42">
        <f>VLOOKUP(AD42,SLA_Definitions!$A$2:$B$6,2,FALSE)</f>
        <v/>
      </c>
      <c r="AF42">
        <f>IF(B42&lt;&gt;"",WORKDAY(B42,AE42),"")</f>
        <v/>
      </c>
      <c r="AG42">
        <f>IF(AF42&lt;&gt;"",NETWORKDAYS(TODAY(),AF42),"")</f>
        <v/>
      </c>
      <c r="AH42">
        <f>IF(AJ42="Complete","Complete",IF(AG42&lt;0,"Overdue",IF(AG42&lt;=AE42*0.2,"At Risk","On Track")))</f>
        <v/>
      </c>
      <c r="AK42">
        <f>IF(OR(AH42="Overdue",AND(AD42="P0",AG42&lt;1),AND(AD42="P1",AG42&lt;3)),"Y","N")</f>
        <v/>
      </c>
    </row>
    <row r="43">
      <c r="K43">
        <f>IF(J43="v4.0",L43,IF(J43="v3.1",M43,IF(J43="Both",L43,IF(AND(L43&lt;&gt;"",M43=""),L43,M43))))</f>
        <v/>
      </c>
      <c r="Z43">
        <f>MIN(100,
(K43*5) +
(U43*10) +
IF(P43="Y",40,0) +
IF(Q43="P",30,0) +
IF(V43="Y",25,0) +
IF(W43="Y",20,0) +
IF(X43="Weaponized",15,IF(X43="PoC Available",10,IF(X43="Public Exploit",5,0))) +
IF(G43="Production",10,IF(G43="DMZ",8,IF(G43="DR/Backup",5,0))) +
IF(Y43="N",10,0)
)</f>
        <v/>
      </c>
      <c r="AA43">
        <f>IF(OR(P43="Y",AND(K43&gt;=9.0,W43="Y")),"P0",IF(Z43&gt;=80,"P0",IF(Z43&gt;=60,"P1",IF(Z43&gt;=40,"P2",IF(Z43&gt;=20,"P3","P4")))))</f>
        <v/>
      </c>
      <c r="AD43">
        <f>IF(AB43&lt;&gt;"",AB43,AA43)</f>
        <v/>
      </c>
      <c r="AE43">
        <f>VLOOKUP(AD43,SLA_Definitions!$A$2:$B$6,2,FALSE)</f>
        <v/>
      </c>
      <c r="AF43">
        <f>IF(B43&lt;&gt;"",WORKDAY(B43,AE43),"")</f>
        <v/>
      </c>
      <c r="AG43">
        <f>IF(AF43&lt;&gt;"",NETWORKDAYS(TODAY(),AF43),"")</f>
        <v/>
      </c>
      <c r="AH43">
        <f>IF(AJ43="Complete","Complete",IF(AG43&lt;0,"Overdue",IF(AG43&lt;=AE43*0.2,"At Risk","On Track")))</f>
        <v/>
      </c>
      <c r="AK43">
        <f>IF(OR(AH43="Overdue",AND(AD43="P0",AG43&lt;1),AND(AD43="P1",AG43&lt;3)),"Y","N")</f>
        <v/>
      </c>
    </row>
    <row r="44">
      <c r="K44">
        <f>IF(J44="v4.0",L44,IF(J44="v3.1",M44,IF(J44="Both",L44,IF(AND(L44&lt;&gt;"",M44=""),L44,M44))))</f>
        <v/>
      </c>
      <c r="Z44">
        <f>MIN(100,
(K44*5) +
(U44*10) +
IF(P44="Y",40,0) +
IF(Q44="P",30,0) +
IF(V44="Y",25,0) +
IF(W44="Y",20,0) +
IF(X44="Weaponized",15,IF(X44="PoC Available",10,IF(X44="Public Exploit",5,0))) +
IF(G44="Production",10,IF(G44="DMZ",8,IF(G44="DR/Backup",5,0))) +
IF(Y44="N",10,0)
)</f>
        <v/>
      </c>
      <c r="AA44">
        <f>IF(OR(P44="Y",AND(K44&gt;=9.0,W44="Y")),"P0",IF(Z44&gt;=80,"P0",IF(Z44&gt;=60,"P1",IF(Z44&gt;=40,"P2",IF(Z44&gt;=20,"P3","P4")))))</f>
        <v/>
      </c>
      <c r="AD44">
        <f>IF(AB44&lt;&gt;"",AB44,AA44)</f>
        <v/>
      </c>
      <c r="AE44">
        <f>VLOOKUP(AD44,SLA_Definitions!$A$2:$B$6,2,FALSE)</f>
        <v/>
      </c>
      <c r="AF44">
        <f>IF(B44&lt;&gt;"",WORKDAY(B44,AE44),"")</f>
        <v/>
      </c>
      <c r="AG44">
        <f>IF(AF44&lt;&gt;"",NETWORKDAYS(TODAY(),AF44),"")</f>
        <v/>
      </c>
      <c r="AH44">
        <f>IF(AJ44="Complete","Complete",IF(AG44&lt;0,"Overdue",IF(AG44&lt;=AE44*0.2,"At Risk","On Track")))</f>
        <v/>
      </c>
      <c r="AK44">
        <f>IF(OR(AH44="Overdue",AND(AD44="P0",AG44&lt;1),AND(AD44="P1",AG44&lt;3)),"Y","N")</f>
        <v/>
      </c>
    </row>
    <row r="45">
      <c r="K45">
        <f>IF(J45="v4.0",L45,IF(J45="v3.1",M45,IF(J45="Both",L45,IF(AND(L45&lt;&gt;"",M45=""),L45,M45))))</f>
        <v/>
      </c>
      <c r="Z45">
        <f>MIN(100,
(K45*5) +
(U45*10) +
IF(P45="Y",40,0) +
IF(Q45="P",30,0) +
IF(V45="Y",25,0) +
IF(W45="Y",20,0) +
IF(X45="Weaponized",15,IF(X45="PoC Available",10,IF(X45="Public Exploit",5,0))) +
IF(G45="Production",10,IF(G45="DMZ",8,IF(G45="DR/Backup",5,0))) +
IF(Y45="N",10,0)
)</f>
        <v/>
      </c>
      <c r="AA45">
        <f>IF(OR(P45="Y",AND(K45&gt;=9.0,W45="Y")),"P0",IF(Z45&gt;=80,"P0",IF(Z45&gt;=60,"P1",IF(Z45&gt;=40,"P2",IF(Z45&gt;=20,"P3","P4")))))</f>
        <v/>
      </c>
      <c r="AD45">
        <f>IF(AB45&lt;&gt;"",AB45,AA45)</f>
        <v/>
      </c>
      <c r="AE45">
        <f>VLOOKUP(AD45,SLA_Definitions!$A$2:$B$6,2,FALSE)</f>
        <v/>
      </c>
      <c r="AF45">
        <f>IF(B45&lt;&gt;"",WORKDAY(B45,AE45),"")</f>
        <v/>
      </c>
      <c r="AG45">
        <f>IF(AF45&lt;&gt;"",NETWORKDAYS(TODAY(),AF45),"")</f>
        <v/>
      </c>
      <c r="AH45">
        <f>IF(AJ45="Complete","Complete",IF(AG45&lt;0,"Overdue",IF(AG45&lt;=AE45*0.2,"At Risk","On Track")))</f>
        <v/>
      </c>
      <c r="AK45">
        <f>IF(OR(AH45="Overdue",AND(AD45="P0",AG45&lt;1),AND(AD45="P1",AG45&lt;3)),"Y","N")</f>
        <v/>
      </c>
    </row>
    <row r="46">
      <c r="K46">
        <f>IF(J46="v4.0",L46,IF(J46="v3.1",M46,IF(J46="Both",L46,IF(AND(L46&lt;&gt;"",M46=""),L46,M46))))</f>
        <v/>
      </c>
      <c r="Z46">
        <f>MIN(100,
(K46*5) +
(U46*10) +
IF(P46="Y",40,0) +
IF(Q46="P",30,0) +
IF(V46="Y",25,0) +
IF(W46="Y",20,0) +
IF(X46="Weaponized",15,IF(X46="PoC Available",10,IF(X46="Public Exploit",5,0))) +
IF(G46="Production",10,IF(G46="DMZ",8,IF(G46="DR/Backup",5,0))) +
IF(Y46="N",10,0)
)</f>
        <v/>
      </c>
      <c r="AA46">
        <f>IF(OR(P46="Y",AND(K46&gt;=9.0,W46="Y")),"P0",IF(Z46&gt;=80,"P0",IF(Z46&gt;=60,"P1",IF(Z46&gt;=40,"P2",IF(Z46&gt;=20,"P3","P4")))))</f>
        <v/>
      </c>
      <c r="AD46">
        <f>IF(AB46&lt;&gt;"",AB46,AA46)</f>
        <v/>
      </c>
      <c r="AE46">
        <f>VLOOKUP(AD46,SLA_Definitions!$A$2:$B$6,2,FALSE)</f>
        <v/>
      </c>
      <c r="AF46">
        <f>IF(B46&lt;&gt;"",WORKDAY(B46,AE46),"")</f>
        <v/>
      </c>
      <c r="AG46">
        <f>IF(AF46&lt;&gt;"",NETWORKDAYS(TODAY(),AF46),"")</f>
        <v/>
      </c>
      <c r="AH46">
        <f>IF(AJ46="Complete","Complete",IF(AG46&lt;0,"Overdue",IF(AG46&lt;=AE46*0.2,"At Risk","On Track")))</f>
        <v/>
      </c>
      <c r="AK46">
        <f>IF(OR(AH46="Overdue",AND(AD46="P0",AG46&lt;1),AND(AD46="P1",AG46&lt;3)),"Y","N")</f>
        <v/>
      </c>
    </row>
    <row r="47">
      <c r="K47">
        <f>IF(J47="v4.0",L47,IF(J47="v3.1",M47,IF(J47="Both",L47,IF(AND(L47&lt;&gt;"",M47=""),L47,M47))))</f>
        <v/>
      </c>
      <c r="Z47">
        <f>MIN(100,
(K47*5) +
(U47*10) +
IF(P47="Y",40,0) +
IF(Q47="P",30,0) +
IF(V47="Y",25,0) +
IF(W47="Y",20,0) +
IF(X47="Weaponized",15,IF(X47="PoC Available",10,IF(X47="Public Exploit",5,0))) +
IF(G47="Production",10,IF(G47="DMZ",8,IF(G47="DR/Backup",5,0))) +
IF(Y47="N",10,0)
)</f>
        <v/>
      </c>
      <c r="AA47">
        <f>IF(OR(P47="Y",AND(K47&gt;=9.0,W47="Y")),"P0",IF(Z47&gt;=80,"P0",IF(Z47&gt;=60,"P1",IF(Z47&gt;=40,"P2",IF(Z47&gt;=20,"P3","P4")))))</f>
        <v/>
      </c>
      <c r="AD47">
        <f>IF(AB47&lt;&gt;"",AB47,AA47)</f>
        <v/>
      </c>
      <c r="AE47">
        <f>VLOOKUP(AD47,SLA_Definitions!$A$2:$B$6,2,FALSE)</f>
        <v/>
      </c>
      <c r="AF47">
        <f>IF(B47&lt;&gt;"",WORKDAY(B47,AE47),"")</f>
        <v/>
      </c>
      <c r="AG47">
        <f>IF(AF47&lt;&gt;"",NETWORKDAYS(TODAY(),AF47),"")</f>
        <v/>
      </c>
      <c r="AH47">
        <f>IF(AJ47="Complete","Complete",IF(AG47&lt;0,"Overdue",IF(AG47&lt;=AE47*0.2,"At Risk","On Track")))</f>
        <v/>
      </c>
      <c r="AK47">
        <f>IF(OR(AH47="Overdue",AND(AD47="P0",AG47&lt;1),AND(AD47="P1",AG47&lt;3)),"Y","N")</f>
        <v/>
      </c>
    </row>
    <row r="48">
      <c r="K48">
        <f>IF(J48="v4.0",L48,IF(J48="v3.1",M48,IF(J48="Both",L48,IF(AND(L48&lt;&gt;"",M48=""),L48,M48))))</f>
        <v/>
      </c>
      <c r="Z48">
        <f>MIN(100,
(K48*5) +
(U48*10) +
IF(P48="Y",40,0) +
IF(Q48="P",30,0) +
IF(V48="Y",25,0) +
IF(W48="Y",20,0) +
IF(X48="Weaponized",15,IF(X48="PoC Available",10,IF(X48="Public Exploit",5,0))) +
IF(G48="Production",10,IF(G48="DMZ",8,IF(G48="DR/Backup",5,0))) +
IF(Y48="N",10,0)
)</f>
        <v/>
      </c>
      <c r="AA48">
        <f>IF(OR(P48="Y",AND(K48&gt;=9.0,W48="Y")),"P0",IF(Z48&gt;=80,"P0",IF(Z48&gt;=60,"P1",IF(Z48&gt;=40,"P2",IF(Z48&gt;=20,"P3","P4")))))</f>
        <v/>
      </c>
      <c r="AD48">
        <f>IF(AB48&lt;&gt;"",AB48,AA48)</f>
        <v/>
      </c>
      <c r="AE48">
        <f>VLOOKUP(AD48,SLA_Definitions!$A$2:$B$6,2,FALSE)</f>
        <v/>
      </c>
      <c r="AF48">
        <f>IF(B48&lt;&gt;"",WORKDAY(B48,AE48),"")</f>
        <v/>
      </c>
      <c r="AG48">
        <f>IF(AF48&lt;&gt;"",NETWORKDAYS(TODAY(),AF48),"")</f>
        <v/>
      </c>
      <c r="AH48">
        <f>IF(AJ48="Complete","Complete",IF(AG48&lt;0,"Overdue",IF(AG48&lt;=AE48*0.2,"At Risk","On Track")))</f>
        <v/>
      </c>
      <c r="AK48">
        <f>IF(OR(AH48="Overdue",AND(AD48="P0",AG48&lt;1),AND(AD48="P1",AG48&lt;3)),"Y","N")</f>
        <v/>
      </c>
    </row>
    <row r="49">
      <c r="K49">
        <f>IF(J49="v4.0",L49,IF(J49="v3.1",M49,IF(J49="Both",L49,IF(AND(L49&lt;&gt;"",M49=""),L49,M49))))</f>
        <v/>
      </c>
      <c r="Z49">
        <f>MIN(100,
(K49*5) +
(U49*10) +
IF(P49="Y",40,0) +
IF(Q49="P",30,0) +
IF(V49="Y",25,0) +
IF(W49="Y",20,0) +
IF(X49="Weaponized",15,IF(X49="PoC Available",10,IF(X49="Public Exploit",5,0))) +
IF(G49="Production",10,IF(G49="DMZ",8,IF(G49="DR/Backup",5,0))) +
IF(Y49="N",10,0)
)</f>
        <v/>
      </c>
      <c r="AA49">
        <f>IF(OR(P49="Y",AND(K49&gt;=9.0,W49="Y")),"P0",IF(Z49&gt;=80,"P0",IF(Z49&gt;=60,"P1",IF(Z49&gt;=40,"P2",IF(Z49&gt;=20,"P3","P4")))))</f>
        <v/>
      </c>
      <c r="AD49">
        <f>IF(AB49&lt;&gt;"",AB49,AA49)</f>
        <v/>
      </c>
      <c r="AE49">
        <f>VLOOKUP(AD49,SLA_Definitions!$A$2:$B$6,2,FALSE)</f>
        <v/>
      </c>
      <c r="AF49">
        <f>IF(B49&lt;&gt;"",WORKDAY(B49,AE49),"")</f>
        <v/>
      </c>
      <c r="AG49">
        <f>IF(AF49&lt;&gt;"",NETWORKDAYS(TODAY(),AF49),"")</f>
        <v/>
      </c>
      <c r="AH49">
        <f>IF(AJ49="Complete","Complete",IF(AG49&lt;0,"Overdue",IF(AG49&lt;=AE49*0.2,"At Risk","On Track")))</f>
        <v/>
      </c>
      <c r="AK49">
        <f>IF(OR(AH49="Overdue",AND(AD49="P0",AG49&lt;1),AND(AD49="P1",AG49&lt;3)),"Y","N")</f>
        <v/>
      </c>
    </row>
    <row r="50">
      <c r="K50">
        <f>IF(J50="v4.0",L50,IF(J50="v3.1",M50,IF(J50="Both",L50,IF(AND(L50&lt;&gt;"",M50=""),L50,M50))))</f>
        <v/>
      </c>
      <c r="Z50">
        <f>MIN(100,
(K50*5) +
(U50*10) +
IF(P50="Y",40,0) +
IF(Q50="P",30,0) +
IF(V50="Y",25,0) +
IF(W50="Y",20,0) +
IF(X50="Weaponized",15,IF(X50="PoC Available",10,IF(X50="Public Exploit",5,0))) +
IF(G50="Production",10,IF(G50="DMZ",8,IF(G50="DR/Backup",5,0))) +
IF(Y50="N",10,0)
)</f>
        <v/>
      </c>
      <c r="AA50">
        <f>IF(OR(P50="Y",AND(K50&gt;=9.0,W50="Y")),"P0",IF(Z50&gt;=80,"P0",IF(Z50&gt;=60,"P1",IF(Z50&gt;=40,"P2",IF(Z50&gt;=20,"P3","P4")))))</f>
        <v/>
      </c>
      <c r="AD50">
        <f>IF(AB50&lt;&gt;"",AB50,AA50)</f>
        <v/>
      </c>
      <c r="AE50">
        <f>VLOOKUP(AD50,SLA_Definitions!$A$2:$B$6,2,FALSE)</f>
        <v/>
      </c>
      <c r="AF50">
        <f>IF(B50&lt;&gt;"",WORKDAY(B50,AE50),"")</f>
        <v/>
      </c>
      <c r="AG50">
        <f>IF(AF50&lt;&gt;"",NETWORKDAYS(TODAY(),AF50),"")</f>
        <v/>
      </c>
      <c r="AH50">
        <f>IF(AJ50="Complete","Complete",IF(AG50&lt;0,"Overdue",IF(AG50&lt;=AE50*0.2,"At Risk","On Track")))</f>
        <v/>
      </c>
      <c r="AK50">
        <f>IF(OR(AH50="Overdue",AND(AD50="P0",AG50&lt;1),AND(AD50="P1",AG50&lt;3)),"Y","N")</f>
        <v/>
      </c>
    </row>
    <row r="51">
      <c r="K51">
        <f>IF(J51="v4.0",L51,IF(J51="v3.1",M51,IF(J51="Both",L51,IF(AND(L51&lt;&gt;"",M51=""),L51,M51))))</f>
        <v/>
      </c>
      <c r="Z51">
        <f>MIN(100,
(K51*5) +
(U51*10) +
IF(P51="Y",40,0) +
IF(Q51="P",30,0) +
IF(V51="Y",25,0) +
IF(W51="Y",20,0) +
IF(X51="Weaponized",15,IF(X51="PoC Available",10,IF(X51="Public Exploit",5,0))) +
IF(G51="Production",10,IF(G51="DMZ",8,IF(G51="DR/Backup",5,0))) +
IF(Y51="N",10,0)
)</f>
        <v/>
      </c>
      <c r="AA51">
        <f>IF(OR(P51="Y",AND(K51&gt;=9.0,W51="Y")),"P0",IF(Z51&gt;=80,"P0",IF(Z51&gt;=60,"P1",IF(Z51&gt;=40,"P2",IF(Z51&gt;=20,"P3","P4")))))</f>
        <v/>
      </c>
      <c r="AD51">
        <f>IF(AB51&lt;&gt;"",AB51,AA51)</f>
        <v/>
      </c>
      <c r="AE51">
        <f>VLOOKUP(AD51,SLA_Definitions!$A$2:$B$6,2,FALSE)</f>
        <v/>
      </c>
      <c r="AF51">
        <f>IF(B51&lt;&gt;"",WORKDAY(B51,AE51),"")</f>
        <v/>
      </c>
      <c r="AG51">
        <f>IF(AF51&lt;&gt;"",NETWORKDAYS(TODAY(),AF51),"")</f>
        <v/>
      </c>
      <c r="AH51">
        <f>IF(AJ51="Complete","Complete",IF(AG51&lt;0,"Overdue",IF(AG51&lt;=AE51*0.2,"At Risk","On Track")))</f>
        <v/>
      </c>
      <c r="AK51">
        <f>IF(OR(AH51="Overdue",AND(AD51="P0",AG51&lt;1),AND(AD51="P1",AG51&lt;3)),"Y","N")</f>
        <v/>
      </c>
    </row>
    <row r="52">
      <c r="K52">
        <f>IF(J52="v4.0",L52,IF(J52="v3.1",M52,IF(J52="Both",L52,IF(AND(L52&lt;&gt;"",M52=""),L52,M52))))</f>
        <v/>
      </c>
      <c r="Z52">
        <f>MIN(100,
(K52*5) +
(U52*10) +
IF(P52="Y",40,0) +
IF(Q52="P",30,0) +
IF(V52="Y",25,0) +
IF(W52="Y",20,0) +
IF(X52="Weaponized",15,IF(X52="PoC Available",10,IF(X52="Public Exploit",5,0))) +
IF(G52="Production",10,IF(G52="DMZ",8,IF(G52="DR/Backup",5,0))) +
IF(Y52="N",10,0)
)</f>
        <v/>
      </c>
      <c r="AA52">
        <f>IF(OR(P52="Y",AND(K52&gt;=9.0,W52="Y")),"P0",IF(Z52&gt;=80,"P0",IF(Z52&gt;=60,"P1",IF(Z52&gt;=40,"P2",IF(Z52&gt;=20,"P3","P4")))))</f>
        <v/>
      </c>
      <c r="AD52">
        <f>IF(AB52&lt;&gt;"",AB52,AA52)</f>
        <v/>
      </c>
      <c r="AE52">
        <f>VLOOKUP(AD52,SLA_Definitions!$A$2:$B$6,2,FALSE)</f>
        <v/>
      </c>
      <c r="AF52">
        <f>IF(B52&lt;&gt;"",WORKDAY(B52,AE52),"")</f>
        <v/>
      </c>
      <c r="AG52">
        <f>IF(AF52&lt;&gt;"",NETWORKDAYS(TODAY(),AF52),"")</f>
        <v/>
      </c>
      <c r="AH52">
        <f>IF(AJ52="Complete","Complete",IF(AG52&lt;0,"Overdue",IF(AG52&lt;=AE52*0.2,"At Risk","On Track")))</f>
        <v/>
      </c>
      <c r="AK52">
        <f>IF(OR(AH52="Overdue",AND(AD52="P0",AG52&lt;1),AND(AD52="P1",AG52&lt;3)),"Y","N")</f>
        <v/>
      </c>
    </row>
    <row r="53">
      <c r="K53">
        <f>IF(J53="v4.0",L53,IF(J53="v3.1",M53,IF(J53="Both",L53,IF(AND(L53&lt;&gt;"",M53=""),L53,M53))))</f>
        <v/>
      </c>
      <c r="Z53">
        <f>MIN(100,
(K53*5) +
(U53*10) +
IF(P53="Y",40,0) +
IF(Q53="P",30,0) +
IF(V53="Y",25,0) +
IF(W53="Y",20,0) +
IF(X53="Weaponized",15,IF(X53="PoC Available",10,IF(X53="Public Exploit",5,0))) +
IF(G53="Production",10,IF(G53="DMZ",8,IF(G53="DR/Backup",5,0))) +
IF(Y53="N",10,0)
)</f>
        <v/>
      </c>
      <c r="AA53">
        <f>IF(OR(P53="Y",AND(K53&gt;=9.0,W53="Y")),"P0",IF(Z53&gt;=80,"P0",IF(Z53&gt;=60,"P1",IF(Z53&gt;=40,"P2",IF(Z53&gt;=20,"P3","P4")))))</f>
        <v/>
      </c>
      <c r="AD53">
        <f>IF(AB53&lt;&gt;"",AB53,AA53)</f>
        <v/>
      </c>
      <c r="AE53">
        <f>VLOOKUP(AD53,SLA_Definitions!$A$2:$B$6,2,FALSE)</f>
        <v/>
      </c>
      <c r="AF53">
        <f>IF(B53&lt;&gt;"",WORKDAY(B53,AE53),"")</f>
        <v/>
      </c>
      <c r="AG53">
        <f>IF(AF53&lt;&gt;"",NETWORKDAYS(TODAY(),AF53),"")</f>
        <v/>
      </c>
      <c r="AH53">
        <f>IF(AJ53="Complete","Complete",IF(AG53&lt;0,"Overdue",IF(AG53&lt;=AE53*0.2,"At Risk","On Track")))</f>
        <v/>
      </c>
      <c r="AK53">
        <f>IF(OR(AH53="Overdue",AND(AD53="P0",AG53&lt;1),AND(AD53="P1",AG53&lt;3)),"Y","N")</f>
        <v/>
      </c>
    </row>
    <row r="54">
      <c r="K54">
        <f>IF(J54="v4.0",L54,IF(J54="v3.1",M54,IF(J54="Both",L54,IF(AND(L54&lt;&gt;"",M54=""),L54,M54))))</f>
        <v/>
      </c>
      <c r="Z54">
        <f>MIN(100,
(K54*5) +
(U54*10) +
IF(P54="Y",40,0) +
IF(Q54="P",30,0) +
IF(V54="Y",25,0) +
IF(W54="Y",20,0) +
IF(X54="Weaponized",15,IF(X54="PoC Available",10,IF(X54="Public Exploit",5,0))) +
IF(G54="Production",10,IF(G54="DMZ",8,IF(G54="DR/Backup",5,0))) +
IF(Y54="N",10,0)
)</f>
        <v/>
      </c>
      <c r="AA54">
        <f>IF(OR(P54="Y",AND(K54&gt;=9.0,W54="Y")),"P0",IF(Z54&gt;=80,"P0",IF(Z54&gt;=60,"P1",IF(Z54&gt;=40,"P2",IF(Z54&gt;=20,"P3","P4")))))</f>
        <v/>
      </c>
      <c r="AD54">
        <f>IF(AB54&lt;&gt;"",AB54,AA54)</f>
        <v/>
      </c>
      <c r="AE54">
        <f>VLOOKUP(AD54,SLA_Definitions!$A$2:$B$6,2,FALSE)</f>
        <v/>
      </c>
      <c r="AF54">
        <f>IF(B54&lt;&gt;"",WORKDAY(B54,AE54),"")</f>
        <v/>
      </c>
      <c r="AG54">
        <f>IF(AF54&lt;&gt;"",NETWORKDAYS(TODAY(),AF54),"")</f>
        <v/>
      </c>
      <c r="AH54">
        <f>IF(AJ54="Complete","Complete",IF(AG54&lt;0,"Overdue",IF(AG54&lt;=AE54*0.2,"At Risk","On Track")))</f>
        <v/>
      </c>
      <c r="AK54">
        <f>IF(OR(AH54="Overdue",AND(AD54="P0",AG54&lt;1),AND(AD54="P1",AG54&lt;3)),"Y","N")</f>
        <v/>
      </c>
    </row>
    <row r="55">
      <c r="K55">
        <f>IF(J55="v4.0",L55,IF(J55="v3.1",M55,IF(J55="Both",L55,IF(AND(L55&lt;&gt;"",M55=""),L55,M55))))</f>
        <v/>
      </c>
      <c r="Z55">
        <f>MIN(100,
(K55*5) +
(U55*10) +
IF(P55="Y",40,0) +
IF(Q55="P",30,0) +
IF(V55="Y",25,0) +
IF(W55="Y",20,0) +
IF(X55="Weaponized",15,IF(X55="PoC Available",10,IF(X55="Public Exploit",5,0))) +
IF(G55="Production",10,IF(G55="DMZ",8,IF(G55="DR/Backup",5,0))) +
IF(Y55="N",10,0)
)</f>
        <v/>
      </c>
      <c r="AA55">
        <f>IF(OR(P55="Y",AND(K55&gt;=9.0,W55="Y")),"P0",IF(Z55&gt;=80,"P0",IF(Z55&gt;=60,"P1",IF(Z55&gt;=40,"P2",IF(Z55&gt;=20,"P3","P4")))))</f>
        <v/>
      </c>
      <c r="AD55">
        <f>IF(AB55&lt;&gt;"",AB55,AA55)</f>
        <v/>
      </c>
      <c r="AE55">
        <f>VLOOKUP(AD55,SLA_Definitions!$A$2:$B$6,2,FALSE)</f>
        <v/>
      </c>
      <c r="AF55">
        <f>IF(B55&lt;&gt;"",WORKDAY(B55,AE55),"")</f>
        <v/>
      </c>
      <c r="AG55">
        <f>IF(AF55&lt;&gt;"",NETWORKDAYS(TODAY(),AF55),"")</f>
        <v/>
      </c>
      <c r="AH55">
        <f>IF(AJ55="Complete","Complete",IF(AG55&lt;0,"Overdue",IF(AG55&lt;=AE55*0.2,"At Risk","On Track")))</f>
        <v/>
      </c>
      <c r="AK55">
        <f>IF(OR(AH55="Overdue",AND(AD55="P0",AG55&lt;1),AND(AD55="P1",AG55&lt;3)),"Y","N")</f>
        <v/>
      </c>
    </row>
    <row r="56">
      <c r="K56">
        <f>IF(J56="v4.0",L56,IF(J56="v3.1",M56,IF(J56="Both",L56,IF(AND(L56&lt;&gt;"",M56=""),L56,M56))))</f>
        <v/>
      </c>
      <c r="Z56">
        <f>MIN(100,
(K56*5) +
(U56*10) +
IF(P56="Y",40,0) +
IF(Q56="P",30,0) +
IF(V56="Y",25,0) +
IF(W56="Y",20,0) +
IF(X56="Weaponized",15,IF(X56="PoC Available",10,IF(X56="Public Exploit",5,0))) +
IF(G56="Production",10,IF(G56="DMZ",8,IF(G56="DR/Backup",5,0))) +
IF(Y56="N",10,0)
)</f>
        <v/>
      </c>
      <c r="AA56">
        <f>IF(OR(P56="Y",AND(K56&gt;=9.0,W56="Y")),"P0",IF(Z56&gt;=80,"P0",IF(Z56&gt;=60,"P1",IF(Z56&gt;=40,"P2",IF(Z56&gt;=20,"P3","P4")))))</f>
        <v/>
      </c>
      <c r="AD56">
        <f>IF(AB56&lt;&gt;"",AB56,AA56)</f>
        <v/>
      </c>
      <c r="AE56">
        <f>VLOOKUP(AD56,SLA_Definitions!$A$2:$B$6,2,FALSE)</f>
        <v/>
      </c>
      <c r="AF56">
        <f>IF(B56&lt;&gt;"",WORKDAY(B56,AE56),"")</f>
        <v/>
      </c>
      <c r="AG56">
        <f>IF(AF56&lt;&gt;"",NETWORKDAYS(TODAY(),AF56),"")</f>
        <v/>
      </c>
      <c r="AH56">
        <f>IF(AJ56="Complete","Complete",IF(AG56&lt;0,"Overdue",IF(AG56&lt;=AE56*0.2,"At Risk","On Track")))</f>
        <v/>
      </c>
      <c r="AK56">
        <f>IF(OR(AH56="Overdue",AND(AD56="P0",AG56&lt;1),AND(AD56="P1",AG56&lt;3)),"Y","N")</f>
        <v/>
      </c>
    </row>
    <row r="57">
      <c r="K57">
        <f>IF(J57="v4.0",L57,IF(J57="v3.1",M57,IF(J57="Both",L57,IF(AND(L57&lt;&gt;"",M57=""),L57,M57))))</f>
        <v/>
      </c>
      <c r="Z57">
        <f>MIN(100,
(K57*5) +
(U57*10) +
IF(P57="Y",40,0) +
IF(Q57="P",30,0) +
IF(V57="Y",25,0) +
IF(W57="Y",20,0) +
IF(X57="Weaponized",15,IF(X57="PoC Available",10,IF(X57="Public Exploit",5,0))) +
IF(G57="Production",10,IF(G57="DMZ",8,IF(G57="DR/Backup",5,0))) +
IF(Y57="N",10,0)
)</f>
        <v/>
      </c>
      <c r="AA57">
        <f>IF(OR(P57="Y",AND(K57&gt;=9.0,W57="Y")),"P0",IF(Z57&gt;=80,"P0",IF(Z57&gt;=60,"P1",IF(Z57&gt;=40,"P2",IF(Z57&gt;=20,"P3","P4")))))</f>
        <v/>
      </c>
      <c r="AD57">
        <f>IF(AB57&lt;&gt;"",AB57,AA57)</f>
        <v/>
      </c>
      <c r="AE57">
        <f>VLOOKUP(AD57,SLA_Definitions!$A$2:$B$6,2,FALSE)</f>
        <v/>
      </c>
      <c r="AF57">
        <f>IF(B57&lt;&gt;"",WORKDAY(B57,AE57),"")</f>
        <v/>
      </c>
      <c r="AG57">
        <f>IF(AF57&lt;&gt;"",NETWORKDAYS(TODAY(),AF57),"")</f>
        <v/>
      </c>
      <c r="AH57">
        <f>IF(AJ57="Complete","Complete",IF(AG57&lt;0,"Overdue",IF(AG57&lt;=AE57*0.2,"At Risk","On Track")))</f>
        <v/>
      </c>
      <c r="AK57">
        <f>IF(OR(AH57="Overdue",AND(AD57="P0",AG57&lt;1),AND(AD57="P1",AG57&lt;3)),"Y","N")</f>
        <v/>
      </c>
    </row>
    <row r="58">
      <c r="K58">
        <f>IF(J58="v4.0",L58,IF(J58="v3.1",M58,IF(J58="Both",L58,IF(AND(L58&lt;&gt;"",M58=""),L58,M58))))</f>
        <v/>
      </c>
      <c r="Z58">
        <f>MIN(100,
(K58*5) +
(U58*10) +
IF(P58="Y",40,0) +
IF(Q58="P",30,0) +
IF(V58="Y",25,0) +
IF(W58="Y",20,0) +
IF(X58="Weaponized",15,IF(X58="PoC Available",10,IF(X58="Public Exploit",5,0))) +
IF(G58="Production",10,IF(G58="DMZ",8,IF(G58="DR/Backup",5,0))) +
IF(Y58="N",10,0)
)</f>
        <v/>
      </c>
      <c r="AA58">
        <f>IF(OR(P58="Y",AND(K58&gt;=9.0,W58="Y")),"P0",IF(Z58&gt;=80,"P0",IF(Z58&gt;=60,"P1",IF(Z58&gt;=40,"P2",IF(Z58&gt;=20,"P3","P4")))))</f>
        <v/>
      </c>
      <c r="AD58">
        <f>IF(AB58&lt;&gt;"",AB58,AA58)</f>
        <v/>
      </c>
      <c r="AE58">
        <f>VLOOKUP(AD58,SLA_Definitions!$A$2:$B$6,2,FALSE)</f>
        <v/>
      </c>
      <c r="AF58">
        <f>IF(B58&lt;&gt;"",WORKDAY(B58,AE58),"")</f>
        <v/>
      </c>
      <c r="AG58">
        <f>IF(AF58&lt;&gt;"",NETWORKDAYS(TODAY(),AF58),"")</f>
        <v/>
      </c>
      <c r="AH58">
        <f>IF(AJ58="Complete","Complete",IF(AG58&lt;0,"Overdue",IF(AG58&lt;=AE58*0.2,"At Risk","On Track")))</f>
        <v/>
      </c>
      <c r="AK58">
        <f>IF(OR(AH58="Overdue",AND(AD58="P0",AG58&lt;1),AND(AD58="P1",AG58&lt;3)),"Y","N")</f>
        <v/>
      </c>
    </row>
    <row r="59">
      <c r="K59">
        <f>IF(J59="v4.0",L59,IF(J59="v3.1",M59,IF(J59="Both",L59,IF(AND(L59&lt;&gt;"",M59=""),L59,M59))))</f>
        <v/>
      </c>
      <c r="Z59">
        <f>MIN(100,
(K59*5) +
(U59*10) +
IF(P59="Y",40,0) +
IF(Q59="P",30,0) +
IF(V59="Y",25,0) +
IF(W59="Y",20,0) +
IF(X59="Weaponized",15,IF(X59="PoC Available",10,IF(X59="Public Exploit",5,0))) +
IF(G59="Production",10,IF(G59="DMZ",8,IF(G59="DR/Backup",5,0))) +
IF(Y59="N",10,0)
)</f>
        <v/>
      </c>
      <c r="AA59">
        <f>IF(OR(P59="Y",AND(K59&gt;=9.0,W59="Y")),"P0",IF(Z59&gt;=80,"P0",IF(Z59&gt;=60,"P1",IF(Z59&gt;=40,"P2",IF(Z59&gt;=20,"P3","P4")))))</f>
        <v/>
      </c>
      <c r="AD59">
        <f>IF(AB59&lt;&gt;"",AB59,AA59)</f>
        <v/>
      </c>
      <c r="AE59">
        <f>VLOOKUP(AD59,SLA_Definitions!$A$2:$B$6,2,FALSE)</f>
        <v/>
      </c>
      <c r="AF59">
        <f>IF(B59&lt;&gt;"",WORKDAY(B59,AE59),"")</f>
        <v/>
      </c>
      <c r="AG59">
        <f>IF(AF59&lt;&gt;"",NETWORKDAYS(TODAY(),AF59),"")</f>
        <v/>
      </c>
      <c r="AH59">
        <f>IF(AJ59="Complete","Complete",IF(AG59&lt;0,"Overdue",IF(AG59&lt;=AE59*0.2,"At Risk","On Track")))</f>
        <v/>
      </c>
      <c r="AK59">
        <f>IF(OR(AH59="Overdue",AND(AD59="P0",AG59&lt;1),AND(AD59="P1",AG59&lt;3)),"Y","N")</f>
        <v/>
      </c>
    </row>
    <row r="60">
      <c r="K60">
        <f>IF(J60="v4.0",L60,IF(J60="v3.1",M60,IF(J60="Both",L60,IF(AND(L60&lt;&gt;"",M60=""),L60,M60))))</f>
        <v/>
      </c>
      <c r="Z60">
        <f>MIN(100,
(K60*5) +
(U60*10) +
IF(P60="Y",40,0) +
IF(Q60="P",30,0) +
IF(V60="Y",25,0) +
IF(W60="Y",20,0) +
IF(X60="Weaponized",15,IF(X60="PoC Available",10,IF(X60="Public Exploit",5,0))) +
IF(G60="Production",10,IF(G60="DMZ",8,IF(G60="DR/Backup",5,0))) +
IF(Y60="N",10,0)
)</f>
        <v/>
      </c>
      <c r="AA60">
        <f>IF(OR(P60="Y",AND(K60&gt;=9.0,W60="Y")),"P0",IF(Z60&gt;=80,"P0",IF(Z60&gt;=60,"P1",IF(Z60&gt;=40,"P2",IF(Z60&gt;=20,"P3","P4")))))</f>
        <v/>
      </c>
      <c r="AD60">
        <f>IF(AB60&lt;&gt;"",AB60,AA60)</f>
        <v/>
      </c>
      <c r="AE60">
        <f>VLOOKUP(AD60,SLA_Definitions!$A$2:$B$6,2,FALSE)</f>
        <v/>
      </c>
      <c r="AF60">
        <f>IF(B60&lt;&gt;"",WORKDAY(B60,AE60),"")</f>
        <v/>
      </c>
      <c r="AG60">
        <f>IF(AF60&lt;&gt;"",NETWORKDAYS(TODAY(),AF60),"")</f>
        <v/>
      </c>
      <c r="AH60">
        <f>IF(AJ60="Complete","Complete",IF(AG60&lt;0,"Overdue",IF(AG60&lt;=AE60*0.2,"At Risk","On Track")))</f>
        <v/>
      </c>
      <c r="AK60">
        <f>IF(OR(AH60="Overdue",AND(AD60="P0",AG60&lt;1),AND(AD60="P1",AG60&lt;3)),"Y","N")</f>
        <v/>
      </c>
    </row>
    <row r="61">
      <c r="K61">
        <f>IF(J61="v4.0",L61,IF(J61="v3.1",M61,IF(J61="Both",L61,IF(AND(L61&lt;&gt;"",M61=""),L61,M61))))</f>
        <v/>
      </c>
      <c r="Z61">
        <f>MIN(100,
(K61*5) +
(U61*10) +
IF(P61="Y",40,0) +
IF(Q61="P",30,0) +
IF(V61="Y",25,0) +
IF(W61="Y",20,0) +
IF(X61="Weaponized",15,IF(X61="PoC Available",10,IF(X61="Public Exploit",5,0))) +
IF(G61="Production",10,IF(G61="DMZ",8,IF(G61="DR/Backup",5,0))) +
IF(Y61="N",10,0)
)</f>
        <v/>
      </c>
      <c r="AA61">
        <f>IF(OR(P61="Y",AND(K61&gt;=9.0,W61="Y")),"P0",IF(Z61&gt;=80,"P0",IF(Z61&gt;=60,"P1",IF(Z61&gt;=40,"P2",IF(Z61&gt;=20,"P3","P4")))))</f>
        <v/>
      </c>
      <c r="AD61">
        <f>IF(AB61&lt;&gt;"",AB61,AA61)</f>
        <v/>
      </c>
      <c r="AE61">
        <f>VLOOKUP(AD61,SLA_Definitions!$A$2:$B$6,2,FALSE)</f>
        <v/>
      </c>
      <c r="AF61">
        <f>IF(B61&lt;&gt;"",WORKDAY(B61,AE61),"")</f>
        <v/>
      </c>
      <c r="AG61">
        <f>IF(AF61&lt;&gt;"",NETWORKDAYS(TODAY(),AF61),"")</f>
        <v/>
      </c>
      <c r="AH61">
        <f>IF(AJ61="Complete","Complete",IF(AG61&lt;0,"Overdue",IF(AG61&lt;=AE61*0.2,"At Risk","On Track")))</f>
        <v/>
      </c>
      <c r="AK61">
        <f>IF(OR(AH61="Overdue",AND(AD61="P0",AG61&lt;1),AND(AD61="P1",AG61&lt;3)),"Y","N")</f>
        <v/>
      </c>
    </row>
    <row r="62">
      <c r="K62">
        <f>IF(J62="v4.0",L62,IF(J62="v3.1",M62,IF(J62="Both",L62,IF(AND(L62&lt;&gt;"",M62=""),L62,M62))))</f>
        <v/>
      </c>
      <c r="Z62">
        <f>MIN(100,
(K62*5) +
(U62*10) +
IF(P62="Y",40,0) +
IF(Q62="P",30,0) +
IF(V62="Y",25,0) +
IF(W62="Y",20,0) +
IF(X62="Weaponized",15,IF(X62="PoC Available",10,IF(X62="Public Exploit",5,0))) +
IF(G62="Production",10,IF(G62="DMZ",8,IF(G62="DR/Backup",5,0))) +
IF(Y62="N",10,0)
)</f>
        <v/>
      </c>
      <c r="AA62">
        <f>IF(OR(P62="Y",AND(K62&gt;=9.0,W62="Y")),"P0",IF(Z62&gt;=80,"P0",IF(Z62&gt;=60,"P1",IF(Z62&gt;=40,"P2",IF(Z62&gt;=20,"P3","P4")))))</f>
        <v/>
      </c>
      <c r="AD62">
        <f>IF(AB62&lt;&gt;"",AB62,AA62)</f>
        <v/>
      </c>
      <c r="AE62">
        <f>VLOOKUP(AD62,SLA_Definitions!$A$2:$B$6,2,FALSE)</f>
        <v/>
      </c>
      <c r="AF62">
        <f>IF(B62&lt;&gt;"",WORKDAY(B62,AE62),"")</f>
        <v/>
      </c>
      <c r="AG62">
        <f>IF(AF62&lt;&gt;"",NETWORKDAYS(TODAY(),AF62),"")</f>
        <v/>
      </c>
      <c r="AH62">
        <f>IF(AJ62="Complete","Complete",IF(AG62&lt;0,"Overdue",IF(AG62&lt;=AE62*0.2,"At Risk","On Track")))</f>
        <v/>
      </c>
      <c r="AK62">
        <f>IF(OR(AH62="Overdue",AND(AD62="P0",AG62&lt;1),AND(AD62="P1",AG62&lt;3)),"Y","N")</f>
        <v/>
      </c>
    </row>
    <row r="63">
      <c r="K63">
        <f>IF(J63="v4.0",L63,IF(J63="v3.1",M63,IF(J63="Both",L63,IF(AND(L63&lt;&gt;"",M63=""),L63,M63))))</f>
        <v/>
      </c>
      <c r="Z63">
        <f>MIN(100,
(K63*5) +
(U63*10) +
IF(P63="Y",40,0) +
IF(Q63="P",30,0) +
IF(V63="Y",25,0) +
IF(W63="Y",20,0) +
IF(X63="Weaponized",15,IF(X63="PoC Available",10,IF(X63="Public Exploit",5,0))) +
IF(G63="Production",10,IF(G63="DMZ",8,IF(G63="DR/Backup",5,0))) +
IF(Y63="N",10,0)
)</f>
        <v/>
      </c>
      <c r="AA63">
        <f>IF(OR(P63="Y",AND(K63&gt;=9.0,W63="Y")),"P0",IF(Z63&gt;=80,"P0",IF(Z63&gt;=60,"P1",IF(Z63&gt;=40,"P2",IF(Z63&gt;=20,"P3","P4")))))</f>
        <v/>
      </c>
      <c r="AD63">
        <f>IF(AB63&lt;&gt;"",AB63,AA63)</f>
        <v/>
      </c>
      <c r="AE63">
        <f>VLOOKUP(AD63,SLA_Definitions!$A$2:$B$6,2,FALSE)</f>
        <v/>
      </c>
      <c r="AF63">
        <f>IF(B63&lt;&gt;"",WORKDAY(B63,AE63),"")</f>
        <v/>
      </c>
      <c r="AG63">
        <f>IF(AF63&lt;&gt;"",NETWORKDAYS(TODAY(),AF63),"")</f>
        <v/>
      </c>
      <c r="AH63">
        <f>IF(AJ63="Complete","Complete",IF(AG63&lt;0,"Overdue",IF(AG63&lt;=AE63*0.2,"At Risk","On Track")))</f>
        <v/>
      </c>
      <c r="AK63">
        <f>IF(OR(AH63="Overdue",AND(AD63="P0",AG63&lt;1),AND(AD63="P1",AG63&lt;3)),"Y","N")</f>
        <v/>
      </c>
    </row>
    <row r="64">
      <c r="K64">
        <f>IF(J64="v4.0",L64,IF(J64="v3.1",M64,IF(J64="Both",L64,IF(AND(L64&lt;&gt;"",M64=""),L64,M64))))</f>
        <v/>
      </c>
      <c r="Z64">
        <f>MIN(100,
(K64*5) +
(U64*10) +
IF(P64="Y",40,0) +
IF(Q64="P",30,0) +
IF(V64="Y",25,0) +
IF(W64="Y",20,0) +
IF(X64="Weaponized",15,IF(X64="PoC Available",10,IF(X64="Public Exploit",5,0))) +
IF(G64="Production",10,IF(G64="DMZ",8,IF(G64="DR/Backup",5,0))) +
IF(Y64="N",10,0)
)</f>
        <v/>
      </c>
      <c r="AA64">
        <f>IF(OR(P64="Y",AND(K64&gt;=9.0,W64="Y")),"P0",IF(Z64&gt;=80,"P0",IF(Z64&gt;=60,"P1",IF(Z64&gt;=40,"P2",IF(Z64&gt;=20,"P3","P4")))))</f>
        <v/>
      </c>
      <c r="AD64">
        <f>IF(AB64&lt;&gt;"",AB64,AA64)</f>
        <v/>
      </c>
      <c r="AE64">
        <f>VLOOKUP(AD64,SLA_Definitions!$A$2:$B$6,2,FALSE)</f>
        <v/>
      </c>
      <c r="AF64">
        <f>IF(B64&lt;&gt;"",WORKDAY(B64,AE64),"")</f>
        <v/>
      </c>
      <c r="AG64">
        <f>IF(AF64&lt;&gt;"",NETWORKDAYS(TODAY(),AF64),"")</f>
        <v/>
      </c>
      <c r="AH64">
        <f>IF(AJ64="Complete","Complete",IF(AG64&lt;0,"Overdue",IF(AG64&lt;=AE64*0.2,"At Risk","On Track")))</f>
        <v/>
      </c>
      <c r="AK64">
        <f>IF(OR(AH64="Overdue",AND(AD64="P0",AG64&lt;1),AND(AD64="P1",AG64&lt;3)),"Y","N")</f>
        <v/>
      </c>
    </row>
    <row r="65">
      <c r="K65">
        <f>IF(J65="v4.0",L65,IF(J65="v3.1",M65,IF(J65="Both",L65,IF(AND(L65&lt;&gt;"",M65=""),L65,M65))))</f>
        <v/>
      </c>
      <c r="Z65">
        <f>MIN(100,
(K65*5) +
(U65*10) +
IF(P65="Y",40,0) +
IF(Q65="P",30,0) +
IF(V65="Y",25,0) +
IF(W65="Y",20,0) +
IF(X65="Weaponized",15,IF(X65="PoC Available",10,IF(X65="Public Exploit",5,0))) +
IF(G65="Production",10,IF(G65="DMZ",8,IF(G65="DR/Backup",5,0))) +
IF(Y65="N",10,0)
)</f>
        <v/>
      </c>
      <c r="AA65">
        <f>IF(OR(P65="Y",AND(K65&gt;=9.0,W65="Y")),"P0",IF(Z65&gt;=80,"P0",IF(Z65&gt;=60,"P1",IF(Z65&gt;=40,"P2",IF(Z65&gt;=20,"P3","P4")))))</f>
        <v/>
      </c>
      <c r="AD65">
        <f>IF(AB65&lt;&gt;"",AB65,AA65)</f>
        <v/>
      </c>
      <c r="AE65">
        <f>VLOOKUP(AD65,SLA_Definitions!$A$2:$B$6,2,FALSE)</f>
        <v/>
      </c>
      <c r="AF65">
        <f>IF(B65&lt;&gt;"",WORKDAY(B65,AE65),"")</f>
        <v/>
      </c>
      <c r="AG65">
        <f>IF(AF65&lt;&gt;"",NETWORKDAYS(TODAY(),AF65),"")</f>
        <v/>
      </c>
      <c r="AH65">
        <f>IF(AJ65="Complete","Complete",IF(AG65&lt;0,"Overdue",IF(AG65&lt;=AE65*0.2,"At Risk","On Track")))</f>
        <v/>
      </c>
      <c r="AK65">
        <f>IF(OR(AH65="Overdue",AND(AD65="P0",AG65&lt;1),AND(AD65="P1",AG65&lt;3)),"Y","N")</f>
        <v/>
      </c>
    </row>
    <row r="66">
      <c r="K66">
        <f>IF(J66="v4.0",L66,IF(J66="v3.1",M66,IF(J66="Both",L66,IF(AND(L66&lt;&gt;"",M66=""),L66,M66))))</f>
        <v/>
      </c>
      <c r="Z66">
        <f>MIN(100,
(K66*5) +
(U66*10) +
IF(P66="Y",40,0) +
IF(Q66="P",30,0) +
IF(V66="Y",25,0) +
IF(W66="Y",20,0) +
IF(X66="Weaponized",15,IF(X66="PoC Available",10,IF(X66="Public Exploit",5,0))) +
IF(G66="Production",10,IF(G66="DMZ",8,IF(G66="DR/Backup",5,0))) +
IF(Y66="N",10,0)
)</f>
        <v/>
      </c>
      <c r="AA66">
        <f>IF(OR(P66="Y",AND(K66&gt;=9.0,W66="Y")),"P0",IF(Z66&gt;=80,"P0",IF(Z66&gt;=60,"P1",IF(Z66&gt;=40,"P2",IF(Z66&gt;=20,"P3","P4")))))</f>
        <v/>
      </c>
      <c r="AD66">
        <f>IF(AB66&lt;&gt;"",AB66,AA66)</f>
        <v/>
      </c>
      <c r="AE66">
        <f>VLOOKUP(AD66,SLA_Definitions!$A$2:$B$6,2,FALSE)</f>
        <v/>
      </c>
      <c r="AF66">
        <f>IF(B66&lt;&gt;"",WORKDAY(B66,AE66),"")</f>
        <v/>
      </c>
      <c r="AG66">
        <f>IF(AF66&lt;&gt;"",NETWORKDAYS(TODAY(),AF66),"")</f>
        <v/>
      </c>
      <c r="AH66">
        <f>IF(AJ66="Complete","Complete",IF(AG66&lt;0,"Overdue",IF(AG66&lt;=AE66*0.2,"At Risk","On Track")))</f>
        <v/>
      </c>
      <c r="AK66">
        <f>IF(OR(AH66="Overdue",AND(AD66="P0",AG66&lt;1),AND(AD66="P1",AG66&lt;3)),"Y","N")</f>
        <v/>
      </c>
    </row>
    <row r="67">
      <c r="K67">
        <f>IF(J67="v4.0",L67,IF(J67="v3.1",M67,IF(J67="Both",L67,IF(AND(L67&lt;&gt;"",M67=""),L67,M67))))</f>
        <v/>
      </c>
      <c r="Z67">
        <f>MIN(100,
(K67*5) +
(U67*10) +
IF(P67="Y",40,0) +
IF(Q67="P",30,0) +
IF(V67="Y",25,0) +
IF(W67="Y",20,0) +
IF(X67="Weaponized",15,IF(X67="PoC Available",10,IF(X67="Public Exploit",5,0))) +
IF(G67="Production",10,IF(G67="DMZ",8,IF(G67="DR/Backup",5,0))) +
IF(Y67="N",10,0)
)</f>
        <v/>
      </c>
      <c r="AA67">
        <f>IF(OR(P67="Y",AND(K67&gt;=9.0,W67="Y")),"P0",IF(Z67&gt;=80,"P0",IF(Z67&gt;=60,"P1",IF(Z67&gt;=40,"P2",IF(Z67&gt;=20,"P3","P4")))))</f>
        <v/>
      </c>
      <c r="AD67">
        <f>IF(AB67&lt;&gt;"",AB67,AA67)</f>
        <v/>
      </c>
      <c r="AE67">
        <f>VLOOKUP(AD67,SLA_Definitions!$A$2:$B$6,2,FALSE)</f>
        <v/>
      </c>
      <c r="AF67">
        <f>IF(B67&lt;&gt;"",WORKDAY(B67,AE67),"")</f>
        <v/>
      </c>
      <c r="AG67">
        <f>IF(AF67&lt;&gt;"",NETWORKDAYS(TODAY(),AF67),"")</f>
        <v/>
      </c>
      <c r="AH67">
        <f>IF(AJ67="Complete","Complete",IF(AG67&lt;0,"Overdue",IF(AG67&lt;=AE67*0.2,"At Risk","On Track")))</f>
        <v/>
      </c>
      <c r="AK67">
        <f>IF(OR(AH67="Overdue",AND(AD67="P0",AG67&lt;1),AND(AD67="P1",AG67&lt;3)),"Y","N")</f>
        <v/>
      </c>
    </row>
    <row r="68">
      <c r="K68">
        <f>IF(J68="v4.0",L68,IF(J68="v3.1",M68,IF(J68="Both",L68,IF(AND(L68&lt;&gt;"",M68=""),L68,M68))))</f>
        <v/>
      </c>
      <c r="Z68">
        <f>MIN(100,
(K68*5) +
(U68*10) +
IF(P68="Y",40,0) +
IF(Q68="P",30,0) +
IF(V68="Y",25,0) +
IF(W68="Y",20,0) +
IF(X68="Weaponized",15,IF(X68="PoC Available",10,IF(X68="Public Exploit",5,0))) +
IF(G68="Production",10,IF(G68="DMZ",8,IF(G68="DR/Backup",5,0))) +
IF(Y68="N",10,0)
)</f>
        <v/>
      </c>
      <c r="AA68">
        <f>IF(OR(P68="Y",AND(K68&gt;=9.0,W68="Y")),"P0",IF(Z68&gt;=80,"P0",IF(Z68&gt;=60,"P1",IF(Z68&gt;=40,"P2",IF(Z68&gt;=20,"P3","P4")))))</f>
        <v/>
      </c>
      <c r="AD68">
        <f>IF(AB68&lt;&gt;"",AB68,AA68)</f>
        <v/>
      </c>
      <c r="AE68">
        <f>VLOOKUP(AD68,SLA_Definitions!$A$2:$B$6,2,FALSE)</f>
        <v/>
      </c>
      <c r="AF68">
        <f>IF(B68&lt;&gt;"",WORKDAY(B68,AE68),"")</f>
        <v/>
      </c>
      <c r="AG68">
        <f>IF(AF68&lt;&gt;"",NETWORKDAYS(TODAY(),AF68),"")</f>
        <v/>
      </c>
      <c r="AH68">
        <f>IF(AJ68="Complete","Complete",IF(AG68&lt;0,"Overdue",IF(AG68&lt;=AE68*0.2,"At Risk","On Track")))</f>
        <v/>
      </c>
      <c r="AK68">
        <f>IF(OR(AH68="Overdue",AND(AD68="P0",AG68&lt;1),AND(AD68="P1",AG68&lt;3)),"Y","N")</f>
        <v/>
      </c>
    </row>
    <row r="69">
      <c r="K69">
        <f>IF(J69="v4.0",L69,IF(J69="v3.1",M69,IF(J69="Both",L69,IF(AND(L69&lt;&gt;"",M69=""),L69,M69))))</f>
        <v/>
      </c>
      <c r="Z69">
        <f>MIN(100,
(K69*5) +
(U69*10) +
IF(P69="Y",40,0) +
IF(Q69="P",30,0) +
IF(V69="Y",25,0) +
IF(W69="Y",20,0) +
IF(X69="Weaponized",15,IF(X69="PoC Available",10,IF(X69="Public Exploit",5,0))) +
IF(G69="Production",10,IF(G69="DMZ",8,IF(G69="DR/Backup",5,0))) +
IF(Y69="N",10,0)
)</f>
        <v/>
      </c>
      <c r="AA69">
        <f>IF(OR(P69="Y",AND(K69&gt;=9.0,W69="Y")),"P0",IF(Z69&gt;=80,"P0",IF(Z69&gt;=60,"P1",IF(Z69&gt;=40,"P2",IF(Z69&gt;=20,"P3","P4")))))</f>
        <v/>
      </c>
      <c r="AD69">
        <f>IF(AB69&lt;&gt;"",AB69,AA69)</f>
        <v/>
      </c>
      <c r="AE69">
        <f>VLOOKUP(AD69,SLA_Definitions!$A$2:$B$6,2,FALSE)</f>
        <v/>
      </c>
      <c r="AF69">
        <f>IF(B69&lt;&gt;"",WORKDAY(B69,AE69),"")</f>
        <v/>
      </c>
      <c r="AG69">
        <f>IF(AF69&lt;&gt;"",NETWORKDAYS(TODAY(),AF69),"")</f>
        <v/>
      </c>
      <c r="AH69">
        <f>IF(AJ69="Complete","Complete",IF(AG69&lt;0,"Overdue",IF(AG69&lt;=AE69*0.2,"At Risk","On Track")))</f>
        <v/>
      </c>
      <c r="AK69">
        <f>IF(OR(AH69="Overdue",AND(AD69="P0",AG69&lt;1),AND(AD69="P1",AG69&lt;3)),"Y","N")</f>
        <v/>
      </c>
    </row>
    <row r="70">
      <c r="K70">
        <f>IF(J70="v4.0",L70,IF(J70="v3.1",M70,IF(J70="Both",L70,IF(AND(L70&lt;&gt;"",M70=""),L70,M70))))</f>
        <v/>
      </c>
      <c r="Z70">
        <f>MIN(100,
(K70*5) +
(U70*10) +
IF(P70="Y",40,0) +
IF(Q70="P",30,0) +
IF(V70="Y",25,0) +
IF(W70="Y",20,0) +
IF(X70="Weaponized",15,IF(X70="PoC Available",10,IF(X70="Public Exploit",5,0))) +
IF(G70="Production",10,IF(G70="DMZ",8,IF(G70="DR/Backup",5,0))) +
IF(Y70="N",10,0)
)</f>
        <v/>
      </c>
      <c r="AA70">
        <f>IF(OR(P70="Y",AND(K70&gt;=9.0,W70="Y")),"P0",IF(Z70&gt;=80,"P0",IF(Z70&gt;=60,"P1",IF(Z70&gt;=40,"P2",IF(Z70&gt;=20,"P3","P4")))))</f>
        <v/>
      </c>
      <c r="AD70">
        <f>IF(AB70&lt;&gt;"",AB70,AA70)</f>
        <v/>
      </c>
      <c r="AE70">
        <f>VLOOKUP(AD70,SLA_Definitions!$A$2:$B$6,2,FALSE)</f>
        <v/>
      </c>
      <c r="AF70">
        <f>IF(B70&lt;&gt;"",WORKDAY(B70,AE70),"")</f>
        <v/>
      </c>
      <c r="AG70">
        <f>IF(AF70&lt;&gt;"",NETWORKDAYS(TODAY(),AF70),"")</f>
        <v/>
      </c>
      <c r="AH70">
        <f>IF(AJ70="Complete","Complete",IF(AG70&lt;0,"Overdue",IF(AG70&lt;=AE70*0.2,"At Risk","On Track")))</f>
        <v/>
      </c>
      <c r="AK70">
        <f>IF(OR(AH70="Overdue",AND(AD70="P0",AG70&lt;1),AND(AD70="P1",AG70&lt;3)),"Y","N")</f>
        <v/>
      </c>
    </row>
    <row r="71">
      <c r="K71">
        <f>IF(J71="v4.0",L71,IF(J71="v3.1",M71,IF(J71="Both",L71,IF(AND(L71&lt;&gt;"",M71=""),L71,M71))))</f>
        <v/>
      </c>
      <c r="Z71">
        <f>MIN(100,
(K71*5) +
(U71*10) +
IF(P71="Y",40,0) +
IF(Q71="P",30,0) +
IF(V71="Y",25,0) +
IF(W71="Y",20,0) +
IF(X71="Weaponized",15,IF(X71="PoC Available",10,IF(X71="Public Exploit",5,0))) +
IF(G71="Production",10,IF(G71="DMZ",8,IF(G71="DR/Backup",5,0))) +
IF(Y71="N",10,0)
)</f>
        <v/>
      </c>
      <c r="AA71">
        <f>IF(OR(P71="Y",AND(K71&gt;=9.0,W71="Y")),"P0",IF(Z71&gt;=80,"P0",IF(Z71&gt;=60,"P1",IF(Z71&gt;=40,"P2",IF(Z71&gt;=20,"P3","P4")))))</f>
        <v/>
      </c>
      <c r="AD71">
        <f>IF(AB71&lt;&gt;"",AB71,AA71)</f>
        <v/>
      </c>
      <c r="AE71">
        <f>VLOOKUP(AD71,SLA_Definitions!$A$2:$B$6,2,FALSE)</f>
        <v/>
      </c>
      <c r="AF71">
        <f>IF(B71&lt;&gt;"",WORKDAY(B71,AE71),"")</f>
        <v/>
      </c>
      <c r="AG71">
        <f>IF(AF71&lt;&gt;"",NETWORKDAYS(TODAY(),AF71),"")</f>
        <v/>
      </c>
      <c r="AH71">
        <f>IF(AJ71="Complete","Complete",IF(AG71&lt;0,"Overdue",IF(AG71&lt;=AE71*0.2,"At Risk","On Track")))</f>
        <v/>
      </c>
      <c r="AK71">
        <f>IF(OR(AH71="Overdue",AND(AD71="P0",AG71&lt;1),AND(AD71="P1",AG71&lt;3)),"Y","N")</f>
        <v/>
      </c>
    </row>
    <row r="72">
      <c r="K72">
        <f>IF(J72="v4.0",L72,IF(J72="v3.1",M72,IF(J72="Both",L72,IF(AND(L72&lt;&gt;"",M72=""),L72,M72))))</f>
        <v/>
      </c>
      <c r="Z72">
        <f>MIN(100,
(K72*5) +
(U72*10) +
IF(P72="Y",40,0) +
IF(Q72="P",30,0) +
IF(V72="Y",25,0) +
IF(W72="Y",20,0) +
IF(X72="Weaponized",15,IF(X72="PoC Available",10,IF(X72="Public Exploit",5,0))) +
IF(G72="Production",10,IF(G72="DMZ",8,IF(G72="DR/Backup",5,0))) +
IF(Y72="N",10,0)
)</f>
        <v/>
      </c>
      <c r="AA72">
        <f>IF(OR(P72="Y",AND(K72&gt;=9.0,W72="Y")),"P0",IF(Z72&gt;=80,"P0",IF(Z72&gt;=60,"P1",IF(Z72&gt;=40,"P2",IF(Z72&gt;=20,"P3","P4")))))</f>
        <v/>
      </c>
      <c r="AD72">
        <f>IF(AB72&lt;&gt;"",AB72,AA72)</f>
        <v/>
      </c>
      <c r="AE72">
        <f>VLOOKUP(AD72,SLA_Definitions!$A$2:$B$6,2,FALSE)</f>
        <v/>
      </c>
      <c r="AF72">
        <f>IF(B72&lt;&gt;"",WORKDAY(B72,AE72),"")</f>
        <v/>
      </c>
      <c r="AG72">
        <f>IF(AF72&lt;&gt;"",NETWORKDAYS(TODAY(),AF72),"")</f>
        <v/>
      </c>
      <c r="AH72">
        <f>IF(AJ72="Complete","Complete",IF(AG72&lt;0,"Overdue",IF(AG72&lt;=AE72*0.2,"At Risk","On Track")))</f>
        <v/>
      </c>
      <c r="AK72">
        <f>IF(OR(AH72="Overdue",AND(AD72="P0",AG72&lt;1),AND(AD72="P1",AG72&lt;3)),"Y","N")</f>
        <v/>
      </c>
    </row>
    <row r="73">
      <c r="K73">
        <f>IF(J73="v4.0",L73,IF(J73="v3.1",M73,IF(J73="Both",L73,IF(AND(L73&lt;&gt;"",M73=""),L73,M73))))</f>
        <v/>
      </c>
      <c r="Z73">
        <f>MIN(100,
(K73*5) +
(U73*10) +
IF(P73="Y",40,0) +
IF(Q73="P",30,0) +
IF(V73="Y",25,0) +
IF(W73="Y",20,0) +
IF(X73="Weaponized",15,IF(X73="PoC Available",10,IF(X73="Public Exploit",5,0))) +
IF(G73="Production",10,IF(G73="DMZ",8,IF(G73="DR/Backup",5,0))) +
IF(Y73="N",10,0)
)</f>
        <v/>
      </c>
      <c r="AA73">
        <f>IF(OR(P73="Y",AND(K73&gt;=9.0,W73="Y")),"P0",IF(Z73&gt;=80,"P0",IF(Z73&gt;=60,"P1",IF(Z73&gt;=40,"P2",IF(Z73&gt;=20,"P3","P4")))))</f>
        <v/>
      </c>
      <c r="AD73">
        <f>IF(AB73&lt;&gt;"",AB73,AA73)</f>
        <v/>
      </c>
      <c r="AE73">
        <f>VLOOKUP(AD73,SLA_Definitions!$A$2:$B$6,2,FALSE)</f>
        <v/>
      </c>
      <c r="AF73">
        <f>IF(B73&lt;&gt;"",WORKDAY(B73,AE73),"")</f>
        <v/>
      </c>
      <c r="AG73">
        <f>IF(AF73&lt;&gt;"",NETWORKDAYS(TODAY(),AF73),"")</f>
        <v/>
      </c>
      <c r="AH73">
        <f>IF(AJ73="Complete","Complete",IF(AG73&lt;0,"Overdue",IF(AG73&lt;=AE73*0.2,"At Risk","On Track")))</f>
        <v/>
      </c>
      <c r="AK73">
        <f>IF(OR(AH73="Overdue",AND(AD73="P0",AG73&lt;1),AND(AD73="P1",AG73&lt;3)),"Y","N")</f>
        <v/>
      </c>
    </row>
    <row r="74">
      <c r="K74">
        <f>IF(J74="v4.0",L74,IF(J74="v3.1",M74,IF(J74="Both",L74,IF(AND(L74&lt;&gt;"",M74=""),L74,M74))))</f>
        <v/>
      </c>
      <c r="Z74">
        <f>MIN(100,
(K74*5) +
(U74*10) +
IF(P74="Y",40,0) +
IF(Q74="P",30,0) +
IF(V74="Y",25,0) +
IF(W74="Y",20,0) +
IF(X74="Weaponized",15,IF(X74="PoC Available",10,IF(X74="Public Exploit",5,0))) +
IF(G74="Production",10,IF(G74="DMZ",8,IF(G74="DR/Backup",5,0))) +
IF(Y74="N",10,0)
)</f>
        <v/>
      </c>
      <c r="AA74">
        <f>IF(OR(P74="Y",AND(K74&gt;=9.0,W74="Y")),"P0",IF(Z74&gt;=80,"P0",IF(Z74&gt;=60,"P1",IF(Z74&gt;=40,"P2",IF(Z74&gt;=20,"P3","P4")))))</f>
        <v/>
      </c>
      <c r="AD74">
        <f>IF(AB74&lt;&gt;"",AB74,AA74)</f>
        <v/>
      </c>
      <c r="AE74">
        <f>VLOOKUP(AD74,SLA_Definitions!$A$2:$B$6,2,FALSE)</f>
        <v/>
      </c>
      <c r="AF74">
        <f>IF(B74&lt;&gt;"",WORKDAY(B74,AE74),"")</f>
        <v/>
      </c>
      <c r="AG74">
        <f>IF(AF74&lt;&gt;"",NETWORKDAYS(TODAY(),AF74),"")</f>
        <v/>
      </c>
      <c r="AH74">
        <f>IF(AJ74="Complete","Complete",IF(AG74&lt;0,"Overdue",IF(AG74&lt;=AE74*0.2,"At Risk","On Track")))</f>
        <v/>
      </c>
      <c r="AK74">
        <f>IF(OR(AH74="Overdue",AND(AD74="P0",AG74&lt;1),AND(AD74="P1",AG74&lt;3)),"Y","N")</f>
        <v/>
      </c>
    </row>
    <row r="75">
      <c r="K75">
        <f>IF(J75="v4.0",L75,IF(J75="v3.1",M75,IF(J75="Both",L75,IF(AND(L75&lt;&gt;"",M75=""),L75,M75))))</f>
        <v/>
      </c>
      <c r="Z75">
        <f>MIN(100,
(K75*5) +
(U75*10) +
IF(P75="Y",40,0) +
IF(Q75="P",30,0) +
IF(V75="Y",25,0) +
IF(W75="Y",20,0) +
IF(X75="Weaponized",15,IF(X75="PoC Available",10,IF(X75="Public Exploit",5,0))) +
IF(G75="Production",10,IF(G75="DMZ",8,IF(G75="DR/Backup",5,0))) +
IF(Y75="N",10,0)
)</f>
        <v/>
      </c>
      <c r="AA75">
        <f>IF(OR(P75="Y",AND(K75&gt;=9.0,W75="Y")),"P0",IF(Z75&gt;=80,"P0",IF(Z75&gt;=60,"P1",IF(Z75&gt;=40,"P2",IF(Z75&gt;=20,"P3","P4")))))</f>
        <v/>
      </c>
      <c r="AD75">
        <f>IF(AB75&lt;&gt;"",AB75,AA75)</f>
        <v/>
      </c>
      <c r="AE75">
        <f>VLOOKUP(AD75,SLA_Definitions!$A$2:$B$6,2,FALSE)</f>
        <v/>
      </c>
      <c r="AF75">
        <f>IF(B75&lt;&gt;"",WORKDAY(B75,AE75),"")</f>
        <v/>
      </c>
      <c r="AG75">
        <f>IF(AF75&lt;&gt;"",NETWORKDAYS(TODAY(),AF75),"")</f>
        <v/>
      </c>
      <c r="AH75">
        <f>IF(AJ75="Complete","Complete",IF(AG75&lt;0,"Overdue",IF(AG75&lt;=AE75*0.2,"At Risk","On Track")))</f>
        <v/>
      </c>
      <c r="AK75">
        <f>IF(OR(AH75="Overdue",AND(AD75="P0",AG75&lt;1),AND(AD75="P1",AG75&lt;3)),"Y","N")</f>
        <v/>
      </c>
    </row>
    <row r="76">
      <c r="K76">
        <f>IF(J76="v4.0",L76,IF(J76="v3.1",M76,IF(J76="Both",L76,IF(AND(L76&lt;&gt;"",M76=""),L76,M76))))</f>
        <v/>
      </c>
      <c r="Z76">
        <f>MIN(100,
(K76*5) +
(U76*10) +
IF(P76="Y",40,0) +
IF(Q76="P",30,0) +
IF(V76="Y",25,0) +
IF(W76="Y",20,0) +
IF(X76="Weaponized",15,IF(X76="PoC Available",10,IF(X76="Public Exploit",5,0))) +
IF(G76="Production",10,IF(G76="DMZ",8,IF(G76="DR/Backup",5,0))) +
IF(Y76="N",10,0)
)</f>
        <v/>
      </c>
      <c r="AA76">
        <f>IF(OR(P76="Y",AND(K76&gt;=9.0,W76="Y")),"P0",IF(Z76&gt;=80,"P0",IF(Z76&gt;=60,"P1",IF(Z76&gt;=40,"P2",IF(Z76&gt;=20,"P3","P4")))))</f>
        <v/>
      </c>
      <c r="AD76">
        <f>IF(AB76&lt;&gt;"",AB76,AA76)</f>
        <v/>
      </c>
      <c r="AE76">
        <f>VLOOKUP(AD76,SLA_Definitions!$A$2:$B$6,2,FALSE)</f>
        <v/>
      </c>
      <c r="AF76">
        <f>IF(B76&lt;&gt;"",WORKDAY(B76,AE76),"")</f>
        <v/>
      </c>
      <c r="AG76">
        <f>IF(AF76&lt;&gt;"",NETWORKDAYS(TODAY(),AF76),"")</f>
        <v/>
      </c>
      <c r="AH76">
        <f>IF(AJ76="Complete","Complete",IF(AG76&lt;0,"Overdue",IF(AG76&lt;=AE76*0.2,"At Risk","On Track")))</f>
        <v/>
      </c>
      <c r="AK76">
        <f>IF(OR(AH76="Overdue",AND(AD76="P0",AG76&lt;1),AND(AD76="P1",AG76&lt;3)),"Y","N")</f>
        <v/>
      </c>
    </row>
    <row r="77">
      <c r="K77">
        <f>IF(J77="v4.0",L77,IF(J77="v3.1",M77,IF(J77="Both",L77,IF(AND(L77&lt;&gt;"",M77=""),L77,M77))))</f>
        <v/>
      </c>
      <c r="Z77">
        <f>MIN(100,
(K77*5) +
(U77*10) +
IF(P77="Y",40,0) +
IF(Q77="P",30,0) +
IF(V77="Y",25,0) +
IF(W77="Y",20,0) +
IF(X77="Weaponized",15,IF(X77="PoC Available",10,IF(X77="Public Exploit",5,0))) +
IF(G77="Production",10,IF(G77="DMZ",8,IF(G77="DR/Backup",5,0))) +
IF(Y77="N",10,0)
)</f>
        <v/>
      </c>
      <c r="AA77">
        <f>IF(OR(P77="Y",AND(K77&gt;=9.0,W77="Y")),"P0",IF(Z77&gt;=80,"P0",IF(Z77&gt;=60,"P1",IF(Z77&gt;=40,"P2",IF(Z77&gt;=20,"P3","P4")))))</f>
        <v/>
      </c>
      <c r="AD77">
        <f>IF(AB77&lt;&gt;"",AB77,AA77)</f>
        <v/>
      </c>
      <c r="AE77">
        <f>VLOOKUP(AD77,SLA_Definitions!$A$2:$B$6,2,FALSE)</f>
        <v/>
      </c>
      <c r="AF77">
        <f>IF(B77&lt;&gt;"",WORKDAY(B77,AE77),"")</f>
        <v/>
      </c>
      <c r="AG77">
        <f>IF(AF77&lt;&gt;"",NETWORKDAYS(TODAY(),AF77),"")</f>
        <v/>
      </c>
      <c r="AH77">
        <f>IF(AJ77="Complete","Complete",IF(AG77&lt;0,"Overdue",IF(AG77&lt;=AE77*0.2,"At Risk","On Track")))</f>
        <v/>
      </c>
      <c r="AK77">
        <f>IF(OR(AH77="Overdue",AND(AD77="P0",AG77&lt;1),AND(AD77="P1",AG77&lt;3)),"Y","N")</f>
        <v/>
      </c>
    </row>
    <row r="78">
      <c r="K78">
        <f>IF(J78="v4.0",L78,IF(J78="v3.1",M78,IF(J78="Both",L78,IF(AND(L78&lt;&gt;"",M78=""),L78,M78))))</f>
        <v/>
      </c>
      <c r="Z78">
        <f>MIN(100,
(K78*5) +
(U78*10) +
IF(P78="Y",40,0) +
IF(Q78="P",30,0) +
IF(V78="Y",25,0) +
IF(W78="Y",20,0) +
IF(X78="Weaponized",15,IF(X78="PoC Available",10,IF(X78="Public Exploit",5,0))) +
IF(G78="Production",10,IF(G78="DMZ",8,IF(G78="DR/Backup",5,0))) +
IF(Y78="N",10,0)
)</f>
        <v/>
      </c>
      <c r="AA78">
        <f>IF(OR(P78="Y",AND(K78&gt;=9.0,W78="Y")),"P0",IF(Z78&gt;=80,"P0",IF(Z78&gt;=60,"P1",IF(Z78&gt;=40,"P2",IF(Z78&gt;=20,"P3","P4")))))</f>
        <v/>
      </c>
      <c r="AD78">
        <f>IF(AB78&lt;&gt;"",AB78,AA78)</f>
        <v/>
      </c>
      <c r="AE78">
        <f>VLOOKUP(AD78,SLA_Definitions!$A$2:$B$6,2,FALSE)</f>
        <v/>
      </c>
      <c r="AF78">
        <f>IF(B78&lt;&gt;"",WORKDAY(B78,AE78),"")</f>
        <v/>
      </c>
      <c r="AG78">
        <f>IF(AF78&lt;&gt;"",NETWORKDAYS(TODAY(),AF78),"")</f>
        <v/>
      </c>
      <c r="AH78">
        <f>IF(AJ78="Complete","Complete",IF(AG78&lt;0,"Overdue",IF(AG78&lt;=AE78*0.2,"At Risk","On Track")))</f>
        <v/>
      </c>
      <c r="AK78">
        <f>IF(OR(AH78="Overdue",AND(AD78="P0",AG78&lt;1),AND(AD78="P1",AG78&lt;3)),"Y","N")</f>
        <v/>
      </c>
    </row>
    <row r="79">
      <c r="K79">
        <f>IF(J79="v4.0",L79,IF(J79="v3.1",M79,IF(J79="Both",L79,IF(AND(L79&lt;&gt;"",M79=""),L79,M79))))</f>
        <v/>
      </c>
      <c r="Z79">
        <f>MIN(100,
(K79*5) +
(U79*10) +
IF(P79="Y",40,0) +
IF(Q79="P",30,0) +
IF(V79="Y",25,0) +
IF(W79="Y",20,0) +
IF(X79="Weaponized",15,IF(X79="PoC Available",10,IF(X79="Public Exploit",5,0))) +
IF(G79="Production",10,IF(G79="DMZ",8,IF(G79="DR/Backup",5,0))) +
IF(Y79="N",10,0)
)</f>
        <v/>
      </c>
      <c r="AA79">
        <f>IF(OR(P79="Y",AND(K79&gt;=9.0,W79="Y")),"P0",IF(Z79&gt;=80,"P0",IF(Z79&gt;=60,"P1",IF(Z79&gt;=40,"P2",IF(Z79&gt;=20,"P3","P4")))))</f>
        <v/>
      </c>
      <c r="AD79">
        <f>IF(AB79&lt;&gt;"",AB79,AA79)</f>
        <v/>
      </c>
      <c r="AE79">
        <f>VLOOKUP(AD79,SLA_Definitions!$A$2:$B$6,2,FALSE)</f>
        <v/>
      </c>
      <c r="AF79">
        <f>IF(B79&lt;&gt;"",WORKDAY(B79,AE79),"")</f>
        <v/>
      </c>
      <c r="AG79">
        <f>IF(AF79&lt;&gt;"",NETWORKDAYS(TODAY(),AF79),"")</f>
        <v/>
      </c>
      <c r="AH79">
        <f>IF(AJ79="Complete","Complete",IF(AG79&lt;0,"Overdue",IF(AG79&lt;=AE79*0.2,"At Risk","On Track")))</f>
        <v/>
      </c>
      <c r="AK79">
        <f>IF(OR(AH79="Overdue",AND(AD79="P0",AG79&lt;1),AND(AD79="P1",AG79&lt;3)),"Y","N")</f>
        <v/>
      </c>
    </row>
    <row r="80">
      <c r="K80">
        <f>IF(J80="v4.0",L80,IF(J80="v3.1",M80,IF(J80="Both",L80,IF(AND(L80&lt;&gt;"",M80=""),L80,M80))))</f>
        <v/>
      </c>
      <c r="Z80">
        <f>MIN(100,
(K80*5) +
(U80*10) +
IF(P80="Y",40,0) +
IF(Q80="P",30,0) +
IF(V80="Y",25,0) +
IF(W80="Y",20,0) +
IF(X80="Weaponized",15,IF(X80="PoC Available",10,IF(X80="Public Exploit",5,0))) +
IF(G80="Production",10,IF(G80="DMZ",8,IF(G80="DR/Backup",5,0))) +
IF(Y80="N",10,0)
)</f>
        <v/>
      </c>
      <c r="AA80">
        <f>IF(OR(P80="Y",AND(K80&gt;=9.0,W80="Y")),"P0",IF(Z80&gt;=80,"P0",IF(Z80&gt;=60,"P1",IF(Z80&gt;=40,"P2",IF(Z80&gt;=20,"P3","P4")))))</f>
        <v/>
      </c>
      <c r="AD80">
        <f>IF(AB80&lt;&gt;"",AB80,AA80)</f>
        <v/>
      </c>
      <c r="AE80">
        <f>VLOOKUP(AD80,SLA_Definitions!$A$2:$B$6,2,FALSE)</f>
        <v/>
      </c>
      <c r="AF80">
        <f>IF(B80&lt;&gt;"",WORKDAY(B80,AE80),"")</f>
        <v/>
      </c>
      <c r="AG80">
        <f>IF(AF80&lt;&gt;"",NETWORKDAYS(TODAY(),AF80),"")</f>
        <v/>
      </c>
      <c r="AH80">
        <f>IF(AJ80="Complete","Complete",IF(AG80&lt;0,"Overdue",IF(AG80&lt;=AE80*0.2,"At Risk","On Track")))</f>
        <v/>
      </c>
      <c r="AK80">
        <f>IF(OR(AH80="Overdue",AND(AD80="P0",AG80&lt;1),AND(AD80="P1",AG80&lt;3)),"Y","N")</f>
        <v/>
      </c>
    </row>
    <row r="81">
      <c r="K81">
        <f>IF(J81="v4.0",L81,IF(J81="v3.1",M81,IF(J81="Both",L81,IF(AND(L81&lt;&gt;"",M81=""),L81,M81))))</f>
        <v/>
      </c>
      <c r="Z81">
        <f>MIN(100,
(K81*5) +
(U81*10) +
IF(P81="Y",40,0) +
IF(Q81="P",30,0) +
IF(V81="Y",25,0) +
IF(W81="Y",20,0) +
IF(X81="Weaponized",15,IF(X81="PoC Available",10,IF(X81="Public Exploit",5,0))) +
IF(G81="Production",10,IF(G81="DMZ",8,IF(G81="DR/Backup",5,0))) +
IF(Y81="N",10,0)
)</f>
        <v/>
      </c>
      <c r="AA81">
        <f>IF(OR(P81="Y",AND(K81&gt;=9.0,W81="Y")),"P0",IF(Z81&gt;=80,"P0",IF(Z81&gt;=60,"P1",IF(Z81&gt;=40,"P2",IF(Z81&gt;=20,"P3","P4")))))</f>
        <v/>
      </c>
      <c r="AD81">
        <f>IF(AB81&lt;&gt;"",AB81,AA81)</f>
        <v/>
      </c>
      <c r="AE81">
        <f>VLOOKUP(AD81,SLA_Definitions!$A$2:$B$6,2,FALSE)</f>
        <v/>
      </c>
      <c r="AF81">
        <f>IF(B81&lt;&gt;"",WORKDAY(B81,AE81),"")</f>
        <v/>
      </c>
      <c r="AG81">
        <f>IF(AF81&lt;&gt;"",NETWORKDAYS(TODAY(),AF81),"")</f>
        <v/>
      </c>
      <c r="AH81">
        <f>IF(AJ81="Complete","Complete",IF(AG81&lt;0,"Overdue",IF(AG81&lt;=AE81*0.2,"At Risk","On Track")))</f>
        <v/>
      </c>
      <c r="AK81">
        <f>IF(OR(AH81="Overdue",AND(AD81="P0",AG81&lt;1),AND(AD81="P1",AG81&lt;3)),"Y","N")</f>
        <v/>
      </c>
    </row>
    <row r="82">
      <c r="K82">
        <f>IF(J82="v4.0",L82,IF(J82="v3.1",M82,IF(J82="Both",L82,IF(AND(L82&lt;&gt;"",M82=""),L82,M82))))</f>
        <v/>
      </c>
      <c r="Z82">
        <f>MIN(100,
(K82*5) +
(U82*10) +
IF(P82="Y",40,0) +
IF(Q82="P",30,0) +
IF(V82="Y",25,0) +
IF(W82="Y",20,0) +
IF(X82="Weaponized",15,IF(X82="PoC Available",10,IF(X82="Public Exploit",5,0))) +
IF(G82="Production",10,IF(G82="DMZ",8,IF(G82="DR/Backup",5,0))) +
IF(Y82="N",10,0)
)</f>
        <v/>
      </c>
      <c r="AA82">
        <f>IF(OR(P82="Y",AND(K82&gt;=9.0,W82="Y")),"P0",IF(Z82&gt;=80,"P0",IF(Z82&gt;=60,"P1",IF(Z82&gt;=40,"P2",IF(Z82&gt;=20,"P3","P4")))))</f>
        <v/>
      </c>
      <c r="AD82">
        <f>IF(AB82&lt;&gt;"",AB82,AA82)</f>
        <v/>
      </c>
      <c r="AE82">
        <f>VLOOKUP(AD82,SLA_Definitions!$A$2:$B$6,2,FALSE)</f>
        <v/>
      </c>
      <c r="AF82">
        <f>IF(B82&lt;&gt;"",WORKDAY(B82,AE82),"")</f>
        <v/>
      </c>
      <c r="AG82">
        <f>IF(AF82&lt;&gt;"",NETWORKDAYS(TODAY(),AF82),"")</f>
        <v/>
      </c>
      <c r="AH82">
        <f>IF(AJ82="Complete","Complete",IF(AG82&lt;0,"Overdue",IF(AG82&lt;=AE82*0.2,"At Risk","On Track")))</f>
        <v/>
      </c>
      <c r="AK82">
        <f>IF(OR(AH82="Overdue",AND(AD82="P0",AG82&lt;1),AND(AD82="P1",AG82&lt;3)),"Y","N")</f>
        <v/>
      </c>
    </row>
    <row r="83">
      <c r="K83">
        <f>IF(J83="v4.0",L83,IF(J83="v3.1",M83,IF(J83="Both",L83,IF(AND(L83&lt;&gt;"",M83=""),L83,M83))))</f>
        <v/>
      </c>
      <c r="Z83">
        <f>MIN(100,
(K83*5) +
(U83*10) +
IF(P83="Y",40,0) +
IF(Q83="P",30,0) +
IF(V83="Y",25,0) +
IF(W83="Y",20,0) +
IF(X83="Weaponized",15,IF(X83="PoC Available",10,IF(X83="Public Exploit",5,0))) +
IF(G83="Production",10,IF(G83="DMZ",8,IF(G83="DR/Backup",5,0))) +
IF(Y83="N",10,0)
)</f>
        <v/>
      </c>
      <c r="AA83">
        <f>IF(OR(P83="Y",AND(K83&gt;=9.0,W83="Y")),"P0",IF(Z83&gt;=80,"P0",IF(Z83&gt;=60,"P1",IF(Z83&gt;=40,"P2",IF(Z83&gt;=20,"P3","P4")))))</f>
        <v/>
      </c>
      <c r="AD83">
        <f>IF(AB83&lt;&gt;"",AB83,AA83)</f>
        <v/>
      </c>
      <c r="AE83">
        <f>VLOOKUP(AD83,SLA_Definitions!$A$2:$B$6,2,FALSE)</f>
        <v/>
      </c>
      <c r="AF83">
        <f>IF(B83&lt;&gt;"",WORKDAY(B83,AE83),"")</f>
        <v/>
      </c>
      <c r="AG83">
        <f>IF(AF83&lt;&gt;"",NETWORKDAYS(TODAY(),AF83),"")</f>
        <v/>
      </c>
      <c r="AH83">
        <f>IF(AJ83="Complete","Complete",IF(AG83&lt;0,"Overdue",IF(AG83&lt;=AE83*0.2,"At Risk","On Track")))</f>
        <v/>
      </c>
      <c r="AK83">
        <f>IF(OR(AH83="Overdue",AND(AD83="P0",AG83&lt;1),AND(AD83="P1",AG83&lt;3)),"Y","N")</f>
        <v/>
      </c>
    </row>
    <row r="84">
      <c r="K84">
        <f>IF(J84="v4.0",L84,IF(J84="v3.1",M84,IF(J84="Both",L84,IF(AND(L84&lt;&gt;"",M84=""),L84,M84))))</f>
        <v/>
      </c>
      <c r="Z84">
        <f>MIN(100,
(K84*5) +
(U84*10) +
IF(P84="Y",40,0) +
IF(Q84="P",30,0) +
IF(V84="Y",25,0) +
IF(W84="Y",20,0) +
IF(X84="Weaponized",15,IF(X84="PoC Available",10,IF(X84="Public Exploit",5,0))) +
IF(G84="Production",10,IF(G84="DMZ",8,IF(G84="DR/Backup",5,0))) +
IF(Y84="N",10,0)
)</f>
        <v/>
      </c>
      <c r="AA84">
        <f>IF(OR(P84="Y",AND(K84&gt;=9.0,W84="Y")),"P0",IF(Z84&gt;=80,"P0",IF(Z84&gt;=60,"P1",IF(Z84&gt;=40,"P2",IF(Z84&gt;=20,"P3","P4")))))</f>
        <v/>
      </c>
      <c r="AD84">
        <f>IF(AB84&lt;&gt;"",AB84,AA84)</f>
        <v/>
      </c>
      <c r="AE84">
        <f>VLOOKUP(AD84,SLA_Definitions!$A$2:$B$6,2,FALSE)</f>
        <v/>
      </c>
      <c r="AF84">
        <f>IF(B84&lt;&gt;"",WORKDAY(B84,AE84),"")</f>
        <v/>
      </c>
      <c r="AG84">
        <f>IF(AF84&lt;&gt;"",NETWORKDAYS(TODAY(),AF84),"")</f>
        <v/>
      </c>
      <c r="AH84">
        <f>IF(AJ84="Complete","Complete",IF(AG84&lt;0,"Overdue",IF(AG84&lt;=AE84*0.2,"At Risk","On Track")))</f>
        <v/>
      </c>
      <c r="AK84">
        <f>IF(OR(AH84="Overdue",AND(AD84="P0",AG84&lt;1),AND(AD84="P1",AG84&lt;3)),"Y","N")</f>
        <v/>
      </c>
    </row>
    <row r="85">
      <c r="K85">
        <f>IF(J85="v4.0",L85,IF(J85="v3.1",M85,IF(J85="Both",L85,IF(AND(L85&lt;&gt;"",M85=""),L85,M85))))</f>
        <v/>
      </c>
      <c r="Z85">
        <f>MIN(100,
(K85*5) +
(U85*10) +
IF(P85="Y",40,0) +
IF(Q85="P",30,0) +
IF(V85="Y",25,0) +
IF(W85="Y",20,0) +
IF(X85="Weaponized",15,IF(X85="PoC Available",10,IF(X85="Public Exploit",5,0))) +
IF(G85="Production",10,IF(G85="DMZ",8,IF(G85="DR/Backup",5,0))) +
IF(Y85="N",10,0)
)</f>
        <v/>
      </c>
      <c r="AA85">
        <f>IF(OR(P85="Y",AND(K85&gt;=9.0,W85="Y")),"P0",IF(Z85&gt;=80,"P0",IF(Z85&gt;=60,"P1",IF(Z85&gt;=40,"P2",IF(Z85&gt;=20,"P3","P4")))))</f>
        <v/>
      </c>
      <c r="AD85">
        <f>IF(AB85&lt;&gt;"",AB85,AA85)</f>
        <v/>
      </c>
      <c r="AE85">
        <f>VLOOKUP(AD85,SLA_Definitions!$A$2:$B$6,2,FALSE)</f>
        <v/>
      </c>
      <c r="AF85">
        <f>IF(B85&lt;&gt;"",WORKDAY(B85,AE85),"")</f>
        <v/>
      </c>
      <c r="AG85">
        <f>IF(AF85&lt;&gt;"",NETWORKDAYS(TODAY(),AF85),"")</f>
        <v/>
      </c>
      <c r="AH85">
        <f>IF(AJ85="Complete","Complete",IF(AG85&lt;0,"Overdue",IF(AG85&lt;=AE85*0.2,"At Risk","On Track")))</f>
        <v/>
      </c>
      <c r="AK85">
        <f>IF(OR(AH85="Overdue",AND(AD85="P0",AG85&lt;1),AND(AD85="P1",AG85&lt;3)),"Y","N")</f>
        <v/>
      </c>
    </row>
    <row r="86">
      <c r="K86">
        <f>IF(J86="v4.0",L86,IF(J86="v3.1",M86,IF(J86="Both",L86,IF(AND(L86&lt;&gt;"",M86=""),L86,M86))))</f>
        <v/>
      </c>
      <c r="Z86">
        <f>MIN(100,
(K86*5) +
(U86*10) +
IF(P86="Y",40,0) +
IF(Q86="P",30,0) +
IF(V86="Y",25,0) +
IF(W86="Y",20,0) +
IF(X86="Weaponized",15,IF(X86="PoC Available",10,IF(X86="Public Exploit",5,0))) +
IF(G86="Production",10,IF(G86="DMZ",8,IF(G86="DR/Backup",5,0))) +
IF(Y86="N",10,0)
)</f>
        <v/>
      </c>
      <c r="AA86">
        <f>IF(OR(P86="Y",AND(K86&gt;=9.0,W86="Y")),"P0",IF(Z86&gt;=80,"P0",IF(Z86&gt;=60,"P1",IF(Z86&gt;=40,"P2",IF(Z86&gt;=20,"P3","P4")))))</f>
        <v/>
      </c>
      <c r="AD86">
        <f>IF(AB86&lt;&gt;"",AB86,AA86)</f>
        <v/>
      </c>
      <c r="AE86">
        <f>VLOOKUP(AD86,SLA_Definitions!$A$2:$B$6,2,FALSE)</f>
        <v/>
      </c>
      <c r="AF86">
        <f>IF(B86&lt;&gt;"",WORKDAY(B86,AE86),"")</f>
        <v/>
      </c>
      <c r="AG86">
        <f>IF(AF86&lt;&gt;"",NETWORKDAYS(TODAY(),AF86),"")</f>
        <v/>
      </c>
      <c r="AH86">
        <f>IF(AJ86="Complete","Complete",IF(AG86&lt;0,"Overdue",IF(AG86&lt;=AE86*0.2,"At Risk","On Track")))</f>
        <v/>
      </c>
      <c r="AK86">
        <f>IF(OR(AH86="Overdue",AND(AD86="P0",AG86&lt;1),AND(AD86="P1",AG86&lt;3)),"Y","N")</f>
        <v/>
      </c>
    </row>
    <row r="87">
      <c r="K87">
        <f>IF(J87="v4.0",L87,IF(J87="v3.1",M87,IF(J87="Both",L87,IF(AND(L87&lt;&gt;"",M87=""),L87,M87))))</f>
        <v/>
      </c>
      <c r="Z87">
        <f>MIN(100,
(K87*5) +
(U87*10) +
IF(P87="Y",40,0) +
IF(Q87="P",30,0) +
IF(V87="Y",25,0) +
IF(W87="Y",20,0) +
IF(X87="Weaponized",15,IF(X87="PoC Available",10,IF(X87="Public Exploit",5,0))) +
IF(G87="Production",10,IF(G87="DMZ",8,IF(G87="DR/Backup",5,0))) +
IF(Y87="N",10,0)
)</f>
        <v/>
      </c>
      <c r="AA87">
        <f>IF(OR(P87="Y",AND(K87&gt;=9.0,W87="Y")),"P0",IF(Z87&gt;=80,"P0",IF(Z87&gt;=60,"P1",IF(Z87&gt;=40,"P2",IF(Z87&gt;=20,"P3","P4")))))</f>
        <v/>
      </c>
      <c r="AD87">
        <f>IF(AB87&lt;&gt;"",AB87,AA87)</f>
        <v/>
      </c>
      <c r="AE87">
        <f>VLOOKUP(AD87,SLA_Definitions!$A$2:$B$6,2,FALSE)</f>
        <v/>
      </c>
      <c r="AF87">
        <f>IF(B87&lt;&gt;"",WORKDAY(B87,AE87),"")</f>
        <v/>
      </c>
      <c r="AG87">
        <f>IF(AF87&lt;&gt;"",NETWORKDAYS(TODAY(),AF87),"")</f>
        <v/>
      </c>
      <c r="AH87">
        <f>IF(AJ87="Complete","Complete",IF(AG87&lt;0,"Overdue",IF(AG87&lt;=AE87*0.2,"At Risk","On Track")))</f>
        <v/>
      </c>
      <c r="AK87">
        <f>IF(OR(AH87="Overdue",AND(AD87="P0",AG87&lt;1),AND(AD87="P1",AG87&lt;3)),"Y","N")</f>
        <v/>
      </c>
    </row>
    <row r="88">
      <c r="K88">
        <f>IF(J88="v4.0",L88,IF(J88="v3.1",M88,IF(J88="Both",L88,IF(AND(L88&lt;&gt;"",M88=""),L88,M88))))</f>
        <v/>
      </c>
      <c r="Z88">
        <f>MIN(100,
(K88*5) +
(U88*10) +
IF(P88="Y",40,0) +
IF(Q88="P",30,0) +
IF(V88="Y",25,0) +
IF(W88="Y",20,0) +
IF(X88="Weaponized",15,IF(X88="PoC Available",10,IF(X88="Public Exploit",5,0))) +
IF(G88="Production",10,IF(G88="DMZ",8,IF(G88="DR/Backup",5,0))) +
IF(Y88="N",10,0)
)</f>
        <v/>
      </c>
      <c r="AA88">
        <f>IF(OR(P88="Y",AND(K88&gt;=9.0,W88="Y")),"P0",IF(Z88&gt;=80,"P0",IF(Z88&gt;=60,"P1",IF(Z88&gt;=40,"P2",IF(Z88&gt;=20,"P3","P4")))))</f>
        <v/>
      </c>
      <c r="AD88">
        <f>IF(AB88&lt;&gt;"",AB88,AA88)</f>
        <v/>
      </c>
      <c r="AE88">
        <f>VLOOKUP(AD88,SLA_Definitions!$A$2:$B$6,2,FALSE)</f>
        <v/>
      </c>
      <c r="AF88">
        <f>IF(B88&lt;&gt;"",WORKDAY(B88,AE88),"")</f>
        <v/>
      </c>
      <c r="AG88">
        <f>IF(AF88&lt;&gt;"",NETWORKDAYS(TODAY(),AF88),"")</f>
        <v/>
      </c>
      <c r="AH88">
        <f>IF(AJ88="Complete","Complete",IF(AG88&lt;0,"Overdue",IF(AG88&lt;=AE88*0.2,"At Risk","On Track")))</f>
        <v/>
      </c>
      <c r="AK88">
        <f>IF(OR(AH88="Overdue",AND(AD88="P0",AG88&lt;1),AND(AD88="P1",AG88&lt;3)),"Y","N")</f>
        <v/>
      </c>
    </row>
    <row r="89">
      <c r="K89">
        <f>IF(J89="v4.0",L89,IF(J89="v3.1",M89,IF(J89="Both",L89,IF(AND(L89&lt;&gt;"",M89=""),L89,M89))))</f>
        <v/>
      </c>
      <c r="Z89">
        <f>MIN(100,
(K89*5) +
(U89*10) +
IF(P89="Y",40,0) +
IF(Q89="P",30,0) +
IF(V89="Y",25,0) +
IF(W89="Y",20,0) +
IF(X89="Weaponized",15,IF(X89="PoC Available",10,IF(X89="Public Exploit",5,0))) +
IF(G89="Production",10,IF(G89="DMZ",8,IF(G89="DR/Backup",5,0))) +
IF(Y89="N",10,0)
)</f>
        <v/>
      </c>
      <c r="AA89">
        <f>IF(OR(P89="Y",AND(K89&gt;=9.0,W89="Y")),"P0",IF(Z89&gt;=80,"P0",IF(Z89&gt;=60,"P1",IF(Z89&gt;=40,"P2",IF(Z89&gt;=20,"P3","P4")))))</f>
        <v/>
      </c>
      <c r="AD89">
        <f>IF(AB89&lt;&gt;"",AB89,AA89)</f>
        <v/>
      </c>
      <c r="AE89">
        <f>VLOOKUP(AD89,SLA_Definitions!$A$2:$B$6,2,FALSE)</f>
        <v/>
      </c>
      <c r="AF89">
        <f>IF(B89&lt;&gt;"",WORKDAY(B89,AE89),"")</f>
        <v/>
      </c>
      <c r="AG89">
        <f>IF(AF89&lt;&gt;"",NETWORKDAYS(TODAY(),AF89),"")</f>
        <v/>
      </c>
      <c r="AH89">
        <f>IF(AJ89="Complete","Complete",IF(AG89&lt;0,"Overdue",IF(AG89&lt;=AE89*0.2,"At Risk","On Track")))</f>
        <v/>
      </c>
      <c r="AK89">
        <f>IF(OR(AH89="Overdue",AND(AD89="P0",AG89&lt;1),AND(AD89="P1",AG89&lt;3)),"Y","N")</f>
        <v/>
      </c>
    </row>
    <row r="90">
      <c r="K90">
        <f>IF(J90="v4.0",L90,IF(J90="v3.1",M90,IF(J90="Both",L90,IF(AND(L90&lt;&gt;"",M90=""),L90,M90))))</f>
        <v/>
      </c>
      <c r="Z90">
        <f>MIN(100,
(K90*5) +
(U90*10) +
IF(P90="Y",40,0) +
IF(Q90="P",30,0) +
IF(V90="Y",25,0) +
IF(W90="Y",20,0) +
IF(X90="Weaponized",15,IF(X90="PoC Available",10,IF(X90="Public Exploit",5,0))) +
IF(G90="Production",10,IF(G90="DMZ",8,IF(G90="DR/Backup",5,0))) +
IF(Y90="N",10,0)
)</f>
        <v/>
      </c>
      <c r="AA90">
        <f>IF(OR(P90="Y",AND(K90&gt;=9.0,W90="Y")),"P0",IF(Z90&gt;=80,"P0",IF(Z90&gt;=60,"P1",IF(Z90&gt;=40,"P2",IF(Z90&gt;=20,"P3","P4")))))</f>
        <v/>
      </c>
      <c r="AD90">
        <f>IF(AB90&lt;&gt;"",AB90,AA90)</f>
        <v/>
      </c>
      <c r="AE90">
        <f>VLOOKUP(AD90,SLA_Definitions!$A$2:$B$6,2,FALSE)</f>
        <v/>
      </c>
      <c r="AF90">
        <f>IF(B90&lt;&gt;"",WORKDAY(B90,AE90),"")</f>
        <v/>
      </c>
      <c r="AG90">
        <f>IF(AF90&lt;&gt;"",NETWORKDAYS(TODAY(),AF90),"")</f>
        <v/>
      </c>
      <c r="AH90">
        <f>IF(AJ90="Complete","Complete",IF(AG90&lt;0,"Overdue",IF(AG90&lt;=AE90*0.2,"At Risk","On Track")))</f>
        <v/>
      </c>
      <c r="AK90">
        <f>IF(OR(AH90="Overdue",AND(AD90="P0",AG90&lt;1),AND(AD90="P1",AG90&lt;3)),"Y","N")</f>
        <v/>
      </c>
    </row>
    <row r="91">
      <c r="K91">
        <f>IF(J91="v4.0",L91,IF(J91="v3.1",M91,IF(J91="Both",L91,IF(AND(L91&lt;&gt;"",M91=""),L91,M91))))</f>
        <v/>
      </c>
      <c r="Z91">
        <f>MIN(100,
(K91*5) +
(U91*10) +
IF(P91="Y",40,0) +
IF(Q91="P",30,0) +
IF(V91="Y",25,0) +
IF(W91="Y",20,0) +
IF(X91="Weaponized",15,IF(X91="PoC Available",10,IF(X91="Public Exploit",5,0))) +
IF(G91="Production",10,IF(G91="DMZ",8,IF(G91="DR/Backup",5,0))) +
IF(Y91="N",10,0)
)</f>
        <v/>
      </c>
      <c r="AA91">
        <f>IF(OR(P91="Y",AND(K91&gt;=9.0,W91="Y")),"P0",IF(Z91&gt;=80,"P0",IF(Z91&gt;=60,"P1",IF(Z91&gt;=40,"P2",IF(Z91&gt;=20,"P3","P4")))))</f>
        <v/>
      </c>
      <c r="AD91">
        <f>IF(AB91&lt;&gt;"",AB91,AA91)</f>
        <v/>
      </c>
      <c r="AE91">
        <f>VLOOKUP(AD91,SLA_Definitions!$A$2:$B$6,2,FALSE)</f>
        <v/>
      </c>
      <c r="AF91">
        <f>IF(B91&lt;&gt;"",WORKDAY(B91,AE91),"")</f>
        <v/>
      </c>
      <c r="AG91">
        <f>IF(AF91&lt;&gt;"",NETWORKDAYS(TODAY(),AF91),"")</f>
        <v/>
      </c>
      <c r="AH91">
        <f>IF(AJ91="Complete","Complete",IF(AG91&lt;0,"Overdue",IF(AG91&lt;=AE91*0.2,"At Risk","On Track")))</f>
        <v/>
      </c>
      <c r="AK91">
        <f>IF(OR(AH91="Overdue",AND(AD91="P0",AG91&lt;1),AND(AD91="P1",AG91&lt;3)),"Y","N")</f>
        <v/>
      </c>
    </row>
    <row r="92">
      <c r="K92">
        <f>IF(J92="v4.0",L92,IF(J92="v3.1",M92,IF(J92="Both",L92,IF(AND(L92&lt;&gt;"",M92=""),L92,M92))))</f>
        <v/>
      </c>
      <c r="Z92">
        <f>MIN(100,
(K92*5) +
(U92*10) +
IF(P92="Y",40,0) +
IF(Q92="P",30,0) +
IF(V92="Y",25,0) +
IF(W92="Y",20,0) +
IF(X92="Weaponized",15,IF(X92="PoC Available",10,IF(X92="Public Exploit",5,0))) +
IF(G92="Production",10,IF(G92="DMZ",8,IF(G92="DR/Backup",5,0))) +
IF(Y92="N",10,0)
)</f>
        <v/>
      </c>
      <c r="AA92">
        <f>IF(OR(P92="Y",AND(K92&gt;=9.0,W92="Y")),"P0",IF(Z92&gt;=80,"P0",IF(Z92&gt;=60,"P1",IF(Z92&gt;=40,"P2",IF(Z92&gt;=20,"P3","P4")))))</f>
        <v/>
      </c>
      <c r="AD92">
        <f>IF(AB92&lt;&gt;"",AB92,AA92)</f>
        <v/>
      </c>
      <c r="AE92">
        <f>VLOOKUP(AD92,SLA_Definitions!$A$2:$B$6,2,FALSE)</f>
        <v/>
      </c>
      <c r="AF92">
        <f>IF(B92&lt;&gt;"",WORKDAY(B92,AE92),"")</f>
        <v/>
      </c>
      <c r="AG92">
        <f>IF(AF92&lt;&gt;"",NETWORKDAYS(TODAY(),AF92),"")</f>
        <v/>
      </c>
      <c r="AH92">
        <f>IF(AJ92="Complete","Complete",IF(AG92&lt;0,"Overdue",IF(AG92&lt;=AE92*0.2,"At Risk","On Track")))</f>
        <v/>
      </c>
      <c r="AK92">
        <f>IF(OR(AH92="Overdue",AND(AD92="P0",AG92&lt;1),AND(AD92="P1",AG92&lt;3)),"Y","N")</f>
        <v/>
      </c>
    </row>
    <row r="93">
      <c r="K93">
        <f>IF(J93="v4.0",L93,IF(J93="v3.1",M93,IF(J93="Both",L93,IF(AND(L93&lt;&gt;"",M93=""),L93,M93))))</f>
        <v/>
      </c>
      <c r="Z93">
        <f>MIN(100,
(K93*5) +
(U93*10) +
IF(P93="Y",40,0) +
IF(Q93="P",30,0) +
IF(V93="Y",25,0) +
IF(W93="Y",20,0) +
IF(X93="Weaponized",15,IF(X93="PoC Available",10,IF(X93="Public Exploit",5,0))) +
IF(G93="Production",10,IF(G93="DMZ",8,IF(G93="DR/Backup",5,0))) +
IF(Y93="N",10,0)
)</f>
        <v/>
      </c>
      <c r="AA93">
        <f>IF(OR(P93="Y",AND(K93&gt;=9.0,W93="Y")),"P0",IF(Z93&gt;=80,"P0",IF(Z93&gt;=60,"P1",IF(Z93&gt;=40,"P2",IF(Z93&gt;=20,"P3","P4")))))</f>
        <v/>
      </c>
      <c r="AD93">
        <f>IF(AB93&lt;&gt;"",AB93,AA93)</f>
        <v/>
      </c>
      <c r="AE93">
        <f>VLOOKUP(AD93,SLA_Definitions!$A$2:$B$6,2,FALSE)</f>
        <v/>
      </c>
      <c r="AF93">
        <f>IF(B93&lt;&gt;"",WORKDAY(B93,AE93),"")</f>
        <v/>
      </c>
      <c r="AG93">
        <f>IF(AF93&lt;&gt;"",NETWORKDAYS(TODAY(),AF93),"")</f>
        <v/>
      </c>
      <c r="AH93">
        <f>IF(AJ93="Complete","Complete",IF(AG93&lt;0,"Overdue",IF(AG93&lt;=AE93*0.2,"At Risk","On Track")))</f>
        <v/>
      </c>
      <c r="AK93">
        <f>IF(OR(AH93="Overdue",AND(AD93="P0",AG93&lt;1),AND(AD93="P1",AG93&lt;3)),"Y","N")</f>
        <v/>
      </c>
    </row>
    <row r="94">
      <c r="K94">
        <f>IF(J94="v4.0",L94,IF(J94="v3.1",M94,IF(J94="Both",L94,IF(AND(L94&lt;&gt;"",M94=""),L94,M94))))</f>
        <v/>
      </c>
      <c r="Z94">
        <f>MIN(100,
(K94*5) +
(U94*10) +
IF(P94="Y",40,0) +
IF(Q94="P",30,0) +
IF(V94="Y",25,0) +
IF(W94="Y",20,0) +
IF(X94="Weaponized",15,IF(X94="PoC Available",10,IF(X94="Public Exploit",5,0))) +
IF(G94="Production",10,IF(G94="DMZ",8,IF(G94="DR/Backup",5,0))) +
IF(Y94="N",10,0)
)</f>
        <v/>
      </c>
      <c r="AA94">
        <f>IF(OR(P94="Y",AND(K94&gt;=9.0,W94="Y")),"P0",IF(Z94&gt;=80,"P0",IF(Z94&gt;=60,"P1",IF(Z94&gt;=40,"P2",IF(Z94&gt;=20,"P3","P4")))))</f>
        <v/>
      </c>
      <c r="AD94">
        <f>IF(AB94&lt;&gt;"",AB94,AA94)</f>
        <v/>
      </c>
      <c r="AE94">
        <f>VLOOKUP(AD94,SLA_Definitions!$A$2:$B$6,2,FALSE)</f>
        <v/>
      </c>
      <c r="AF94">
        <f>IF(B94&lt;&gt;"",WORKDAY(B94,AE94),"")</f>
        <v/>
      </c>
      <c r="AG94">
        <f>IF(AF94&lt;&gt;"",NETWORKDAYS(TODAY(),AF94),"")</f>
        <v/>
      </c>
      <c r="AH94">
        <f>IF(AJ94="Complete","Complete",IF(AG94&lt;0,"Overdue",IF(AG94&lt;=AE94*0.2,"At Risk","On Track")))</f>
        <v/>
      </c>
      <c r="AK94">
        <f>IF(OR(AH94="Overdue",AND(AD94="P0",AG94&lt;1),AND(AD94="P1",AG94&lt;3)),"Y","N")</f>
        <v/>
      </c>
    </row>
    <row r="95">
      <c r="K95">
        <f>IF(J95="v4.0",L95,IF(J95="v3.1",M95,IF(J95="Both",L95,IF(AND(L95&lt;&gt;"",M95=""),L95,M95))))</f>
        <v/>
      </c>
      <c r="Z95">
        <f>MIN(100,
(K95*5) +
(U95*10) +
IF(P95="Y",40,0) +
IF(Q95="P",30,0) +
IF(V95="Y",25,0) +
IF(W95="Y",20,0) +
IF(X95="Weaponized",15,IF(X95="PoC Available",10,IF(X95="Public Exploit",5,0))) +
IF(G95="Production",10,IF(G95="DMZ",8,IF(G95="DR/Backup",5,0))) +
IF(Y95="N",10,0)
)</f>
        <v/>
      </c>
      <c r="AA95">
        <f>IF(OR(P95="Y",AND(K95&gt;=9.0,W95="Y")),"P0",IF(Z95&gt;=80,"P0",IF(Z95&gt;=60,"P1",IF(Z95&gt;=40,"P2",IF(Z95&gt;=20,"P3","P4")))))</f>
        <v/>
      </c>
      <c r="AD95">
        <f>IF(AB95&lt;&gt;"",AB95,AA95)</f>
        <v/>
      </c>
      <c r="AE95">
        <f>VLOOKUP(AD95,SLA_Definitions!$A$2:$B$6,2,FALSE)</f>
        <v/>
      </c>
      <c r="AF95">
        <f>IF(B95&lt;&gt;"",WORKDAY(B95,AE95),"")</f>
        <v/>
      </c>
      <c r="AG95">
        <f>IF(AF95&lt;&gt;"",NETWORKDAYS(TODAY(),AF95),"")</f>
        <v/>
      </c>
      <c r="AH95">
        <f>IF(AJ95="Complete","Complete",IF(AG95&lt;0,"Overdue",IF(AG95&lt;=AE95*0.2,"At Risk","On Track")))</f>
        <v/>
      </c>
      <c r="AK95">
        <f>IF(OR(AH95="Overdue",AND(AD95="P0",AG95&lt;1),AND(AD95="P1",AG95&lt;3)),"Y","N")</f>
        <v/>
      </c>
    </row>
    <row r="96">
      <c r="K96">
        <f>IF(J96="v4.0",L96,IF(J96="v3.1",M96,IF(J96="Both",L96,IF(AND(L96&lt;&gt;"",M96=""),L96,M96))))</f>
        <v/>
      </c>
      <c r="Z96">
        <f>MIN(100,
(K96*5) +
(U96*10) +
IF(P96="Y",40,0) +
IF(Q96="P",30,0) +
IF(V96="Y",25,0) +
IF(W96="Y",20,0) +
IF(X96="Weaponized",15,IF(X96="PoC Available",10,IF(X96="Public Exploit",5,0))) +
IF(G96="Production",10,IF(G96="DMZ",8,IF(G96="DR/Backup",5,0))) +
IF(Y96="N",10,0)
)</f>
        <v/>
      </c>
      <c r="AA96">
        <f>IF(OR(P96="Y",AND(K96&gt;=9.0,W96="Y")),"P0",IF(Z96&gt;=80,"P0",IF(Z96&gt;=60,"P1",IF(Z96&gt;=40,"P2",IF(Z96&gt;=20,"P3","P4")))))</f>
        <v/>
      </c>
      <c r="AD96">
        <f>IF(AB96&lt;&gt;"",AB96,AA96)</f>
        <v/>
      </c>
      <c r="AE96">
        <f>VLOOKUP(AD96,SLA_Definitions!$A$2:$B$6,2,FALSE)</f>
        <v/>
      </c>
      <c r="AF96">
        <f>IF(B96&lt;&gt;"",WORKDAY(B96,AE96),"")</f>
        <v/>
      </c>
      <c r="AG96">
        <f>IF(AF96&lt;&gt;"",NETWORKDAYS(TODAY(),AF96),"")</f>
        <v/>
      </c>
      <c r="AH96">
        <f>IF(AJ96="Complete","Complete",IF(AG96&lt;0,"Overdue",IF(AG96&lt;=AE96*0.2,"At Risk","On Track")))</f>
        <v/>
      </c>
      <c r="AK96">
        <f>IF(OR(AH96="Overdue",AND(AD96="P0",AG96&lt;1),AND(AD96="P1",AG96&lt;3)),"Y","N")</f>
        <v/>
      </c>
    </row>
    <row r="97">
      <c r="K97">
        <f>IF(J97="v4.0",L97,IF(J97="v3.1",M97,IF(J97="Both",L97,IF(AND(L97&lt;&gt;"",M97=""),L97,M97))))</f>
        <v/>
      </c>
      <c r="Z97">
        <f>MIN(100,
(K97*5) +
(U97*10) +
IF(P97="Y",40,0) +
IF(Q97="P",30,0) +
IF(V97="Y",25,0) +
IF(W97="Y",20,0) +
IF(X97="Weaponized",15,IF(X97="PoC Available",10,IF(X97="Public Exploit",5,0))) +
IF(G97="Production",10,IF(G97="DMZ",8,IF(G97="DR/Backup",5,0))) +
IF(Y97="N",10,0)
)</f>
        <v/>
      </c>
      <c r="AA97">
        <f>IF(OR(P97="Y",AND(K97&gt;=9.0,W97="Y")),"P0",IF(Z97&gt;=80,"P0",IF(Z97&gt;=60,"P1",IF(Z97&gt;=40,"P2",IF(Z97&gt;=20,"P3","P4")))))</f>
        <v/>
      </c>
      <c r="AD97">
        <f>IF(AB97&lt;&gt;"",AB97,AA97)</f>
        <v/>
      </c>
      <c r="AE97">
        <f>VLOOKUP(AD97,SLA_Definitions!$A$2:$B$6,2,FALSE)</f>
        <v/>
      </c>
      <c r="AF97">
        <f>IF(B97&lt;&gt;"",WORKDAY(B97,AE97),"")</f>
        <v/>
      </c>
      <c r="AG97">
        <f>IF(AF97&lt;&gt;"",NETWORKDAYS(TODAY(),AF97),"")</f>
        <v/>
      </c>
      <c r="AH97">
        <f>IF(AJ97="Complete","Complete",IF(AG97&lt;0,"Overdue",IF(AG97&lt;=AE97*0.2,"At Risk","On Track")))</f>
        <v/>
      </c>
      <c r="AK97">
        <f>IF(OR(AH97="Overdue",AND(AD97="P0",AG97&lt;1),AND(AD97="P1",AG97&lt;3)),"Y","N")</f>
        <v/>
      </c>
    </row>
    <row r="98">
      <c r="K98">
        <f>IF(J98="v4.0",L98,IF(J98="v3.1",M98,IF(J98="Both",L98,IF(AND(L98&lt;&gt;"",M98=""),L98,M98))))</f>
        <v/>
      </c>
      <c r="Z98">
        <f>MIN(100,
(K98*5) +
(U98*10) +
IF(P98="Y",40,0) +
IF(Q98="P",30,0) +
IF(V98="Y",25,0) +
IF(W98="Y",20,0) +
IF(X98="Weaponized",15,IF(X98="PoC Available",10,IF(X98="Public Exploit",5,0))) +
IF(G98="Production",10,IF(G98="DMZ",8,IF(G98="DR/Backup",5,0))) +
IF(Y98="N",10,0)
)</f>
        <v/>
      </c>
      <c r="AA98">
        <f>IF(OR(P98="Y",AND(K98&gt;=9.0,W98="Y")),"P0",IF(Z98&gt;=80,"P0",IF(Z98&gt;=60,"P1",IF(Z98&gt;=40,"P2",IF(Z98&gt;=20,"P3","P4")))))</f>
        <v/>
      </c>
      <c r="AD98">
        <f>IF(AB98&lt;&gt;"",AB98,AA98)</f>
        <v/>
      </c>
      <c r="AE98">
        <f>VLOOKUP(AD98,SLA_Definitions!$A$2:$B$6,2,FALSE)</f>
        <v/>
      </c>
      <c r="AF98">
        <f>IF(B98&lt;&gt;"",WORKDAY(B98,AE98),"")</f>
        <v/>
      </c>
      <c r="AG98">
        <f>IF(AF98&lt;&gt;"",NETWORKDAYS(TODAY(),AF98),"")</f>
        <v/>
      </c>
      <c r="AH98">
        <f>IF(AJ98="Complete","Complete",IF(AG98&lt;0,"Overdue",IF(AG98&lt;=AE98*0.2,"At Risk","On Track")))</f>
        <v/>
      </c>
      <c r="AK98">
        <f>IF(OR(AH98="Overdue",AND(AD98="P0",AG98&lt;1),AND(AD98="P1",AG98&lt;3)),"Y","N")</f>
        <v/>
      </c>
    </row>
    <row r="99">
      <c r="K99">
        <f>IF(J99="v4.0",L99,IF(J99="v3.1",M99,IF(J99="Both",L99,IF(AND(L99&lt;&gt;"",M99=""),L99,M99))))</f>
        <v/>
      </c>
      <c r="Z99">
        <f>MIN(100,
(K99*5) +
(U99*10) +
IF(P99="Y",40,0) +
IF(Q99="P",30,0) +
IF(V99="Y",25,0) +
IF(W99="Y",20,0) +
IF(X99="Weaponized",15,IF(X99="PoC Available",10,IF(X99="Public Exploit",5,0))) +
IF(G99="Production",10,IF(G99="DMZ",8,IF(G99="DR/Backup",5,0))) +
IF(Y99="N",10,0)
)</f>
        <v/>
      </c>
      <c r="AA99">
        <f>IF(OR(P99="Y",AND(K99&gt;=9.0,W99="Y")),"P0",IF(Z99&gt;=80,"P0",IF(Z99&gt;=60,"P1",IF(Z99&gt;=40,"P2",IF(Z99&gt;=20,"P3","P4")))))</f>
        <v/>
      </c>
      <c r="AD99">
        <f>IF(AB99&lt;&gt;"",AB99,AA99)</f>
        <v/>
      </c>
      <c r="AE99">
        <f>VLOOKUP(AD99,SLA_Definitions!$A$2:$B$6,2,FALSE)</f>
        <v/>
      </c>
      <c r="AF99">
        <f>IF(B99&lt;&gt;"",WORKDAY(B99,AE99),"")</f>
        <v/>
      </c>
      <c r="AG99">
        <f>IF(AF99&lt;&gt;"",NETWORKDAYS(TODAY(),AF99),"")</f>
        <v/>
      </c>
      <c r="AH99">
        <f>IF(AJ99="Complete","Complete",IF(AG99&lt;0,"Overdue",IF(AG99&lt;=AE99*0.2,"At Risk","On Track")))</f>
        <v/>
      </c>
      <c r="AK99">
        <f>IF(OR(AH99="Overdue",AND(AD99="P0",AG99&lt;1),AND(AD99="P1",AG99&lt;3)),"Y","N")</f>
        <v/>
      </c>
    </row>
    <row r="100">
      <c r="K100">
        <f>IF(J100="v4.0",L100,IF(J100="v3.1",M100,IF(J100="Both",L100,IF(AND(L100&lt;&gt;"",M100=""),L100,M100))))</f>
        <v/>
      </c>
      <c r="Z100">
        <f>MIN(100,
(K100*5) +
(U100*10) +
IF(P100="Y",40,0) +
IF(Q100="P",30,0) +
IF(V100="Y",25,0) +
IF(W100="Y",20,0) +
IF(X100="Weaponized",15,IF(X100="PoC Available",10,IF(X100="Public Exploit",5,0))) +
IF(G100="Production",10,IF(G100="DMZ",8,IF(G100="DR/Backup",5,0))) +
IF(Y100="N",10,0)
)</f>
        <v/>
      </c>
      <c r="AA100">
        <f>IF(OR(P100="Y",AND(K100&gt;=9.0,W100="Y")),"P0",IF(Z100&gt;=80,"P0",IF(Z100&gt;=60,"P1",IF(Z100&gt;=40,"P2",IF(Z100&gt;=20,"P3","P4")))))</f>
        <v/>
      </c>
      <c r="AD100">
        <f>IF(AB100&lt;&gt;"",AB100,AA100)</f>
        <v/>
      </c>
      <c r="AE100">
        <f>VLOOKUP(AD100,SLA_Definitions!$A$2:$B$6,2,FALSE)</f>
        <v/>
      </c>
      <c r="AF100">
        <f>IF(B100&lt;&gt;"",WORKDAY(B100,AE100),"")</f>
        <v/>
      </c>
      <c r="AG100">
        <f>IF(AF100&lt;&gt;"",NETWORKDAYS(TODAY(),AF100),"")</f>
        <v/>
      </c>
      <c r="AH100">
        <f>IF(AJ100="Complete","Complete",IF(AG100&lt;0,"Overdue",IF(AG100&lt;=AE100*0.2,"At Risk","On Track")))</f>
        <v/>
      </c>
      <c r="AK100">
        <f>IF(OR(AH100="Overdue",AND(AD100="P0",AG100&lt;1),AND(AD100="P1",AG100&lt;3)),"Y","N")</f>
        <v/>
      </c>
    </row>
    <row r="101">
      <c r="K101">
        <f>IF(J101="v4.0",L101,IF(J101="v3.1",M101,IF(J101="Both",L101,IF(AND(L101&lt;&gt;"",M101=""),L101,M101))))</f>
        <v/>
      </c>
      <c r="Z101">
        <f>MIN(100,
(K101*5) +
(U101*10) +
IF(P101="Y",40,0) +
IF(Q101="P",30,0) +
IF(V101="Y",25,0) +
IF(W101="Y",20,0) +
IF(X101="Weaponized",15,IF(X101="PoC Available",10,IF(X101="Public Exploit",5,0))) +
IF(G101="Production",10,IF(G101="DMZ",8,IF(G101="DR/Backup",5,0))) +
IF(Y101="N",10,0)
)</f>
        <v/>
      </c>
      <c r="AA101">
        <f>IF(OR(P101="Y",AND(K101&gt;=9.0,W101="Y")),"P0",IF(Z101&gt;=80,"P0",IF(Z101&gt;=60,"P1",IF(Z101&gt;=40,"P2",IF(Z101&gt;=20,"P3","P4")))))</f>
        <v/>
      </c>
      <c r="AD101">
        <f>IF(AB101&lt;&gt;"",AB101,AA101)</f>
        <v/>
      </c>
      <c r="AE101">
        <f>VLOOKUP(AD101,SLA_Definitions!$A$2:$B$6,2,FALSE)</f>
        <v/>
      </c>
      <c r="AF101">
        <f>IF(B101&lt;&gt;"",WORKDAY(B101,AE101),"")</f>
        <v/>
      </c>
      <c r="AG101">
        <f>IF(AF101&lt;&gt;"",NETWORKDAYS(TODAY(),AF101),"")</f>
        <v/>
      </c>
      <c r="AH101">
        <f>IF(AJ101="Complete","Complete",IF(AG101&lt;0,"Overdue",IF(AG101&lt;=AE101*0.2,"At Risk","On Track")))</f>
        <v/>
      </c>
      <c r="AK101">
        <f>IF(OR(AH101="Overdue",AND(AD101="P0",AG101&lt;1),AND(AD101="P1",AG101&lt;3)),"Y","N")</f>
        <v/>
      </c>
    </row>
    <row r="102">
      <c r="K102">
        <f>IF(J102="v4.0",L102,IF(J102="v3.1",M102,IF(J102="Both",L102,IF(AND(L102&lt;&gt;"",M102=""),L102,M102))))</f>
        <v/>
      </c>
      <c r="Z102">
        <f>MIN(100,
(K102*5) +
(U102*10) +
IF(P102="Y",40,0) +
IF(Q102="P",30,0) +
IF(V102="Y",25,0) +
IF(W102="Y",20,0) +
IF(X102="Weaponized",15,IF(X102="PoC Available",10,IF(X102="Public Exploit",5,0))) +
IF(G102="Production",10,IF(G102="DMZ",8,IF(G102="DR/Backup",5,0))) +
IF(Y102="N",10,0)
)</f>
        <v/>
      </c>
      <c r="AA102">
        <f>IF(OR(P102="Y",AND(K102&gt;=9.0,W102="Y")),"P0",IF(Z102&gt;=80,"P0",IF(Z102&gt;=60,"P1",IF(Z102&gt;=40,"P2",IF(Z102&gt;=20,"P3","P4")))))</f>
        <v/>
      </c>
      <c r="AD102">
        <f>IF(AB102&lt;&gt;"",AB102,AA102)</f>
        <v/>
      </c>
      <c r="AE102">
        <f>VLOOKUP(AD102,SLA_Definitions!$A$2:$B$6,2,FALSE)</f>
        <v/>
      </c>
      <c r="AF102">
        <f>IF(B102&lt;&gt;"",WORKDAY(B102,AE102),"")</f>
        <v/>
      </c>
      <c r="AG102">
        <f>IF(AF102&lt;&gt;"",NETWORKDAYS(TODAY(),AF102),"")</f>
        <v/>
      </c>
      <c r="AH102">
        <f>IF(AJ102="Complete","Complete",IF(AG102&lt;0,"Overdue",IF(AG102&lt;=AE102*0.2,"At Risk","On Track")))</f>
        <v/>
      </c>
      <c r="AK102">
        <f>IF(OR(AH102="Overdue",AND(AD102="P0",AG102&lt;1),AND(AD102="P1",AG102&lt;3)),"Y","N")</f>
        <v/>
      </c>
    </row>
    <row r="103">
      <c r="K103">
        <f>IF(J103="v4.0",L103,IF(J103="v3.1",M103,IF(J103="Both",L103,IF(AND(L103&lt;&gt;"",M103=""),L103,M103))))</f>
        <v/>
      </c>
      <c r="Z103">
        <f>MIN(100,
(K103*5) +
(U103*10) +
IF(P103="Y",40,0) +
IF(Q103="P",30,0) +
IF(V103="Y",25,0) +
IF(W103="Y",20,0) +
IF(X103="Weaponized",15,IF(X103="PoC Available",10,IF(X103="Public Exploit",5,0))) +
IF(G103="Production",10,IF(G103="DMZ",8,IF(G103="DR/Backup",5,0))) +
IF(Y103="N",10,0)
)</f>
        <v/>
      </c>
      <c r="AA103">
        <f>IF(OR(P103="Y",AND(K103&gt;=9.0,W103="Y")),"P0",IF(Z103&gt;=80,"P0",IF(Z103&gt;=60,"P1",IF(Z103&gt;=40,"P2",IF(Z103&gt;=20,"P3","P4")))))</f>
        <v/>
      </c>
      <c r="AD103">
        <f>IF(AB103&lt;&gt;"",AB103,AA103)</f>
        <v/>
      </c>
      <c r="AE103">
        <f>VLOOKUP(AD103,SLA_Definitions!$A$2:$B$6,2,FALSE)</f>
        <v/>
      </c>
      <c r="AF103">
        <f>IF(B103&lt;&gt;"",WORKDAY(B103,AE103),"")</f>
        <v/>
      </c>
      <c r="AG103">
        <f>IF(AF103&lt;&gt;"",NETWORKDAYS(TODAY(),AF103),"")</f>
        <v/>
      </c>
      <c r="AH103">
        <f>IF(AJ103="Complete","Complete",IF(AG103&lt;0,"Overdue",IF(AG103&lt;=AE103*0.2,"At Risk","On Track")))</f>
        <v/>
      </c>
      <c r="AK103">
        <f>IF(OR(AH103="Overdue",AND(AD103="P0",AG103&lt;1),AND(AD103="P1",AG103&lt;3)),"Y","N")</f>
        <v/>
      </c>
    </row>
    <row r="104">
      <c r="K104">
        <f>IF(J104="v4.0",L104,IF(J104="v3.1",M104,IF(J104="Both",L104,IF(AND(L104&lt;&gt;"",M104=""),L104,M104))))</f>
        <v/>
      </c>
      <c r="Z104">
        <f>MIN(100,
(K104*5) +
(U104*10) +
IF(P104="Y",40,0) +
IF(Q104="P",30,0) +
IF(V104="Y",25,0) +
IF(W104="Y",20,0) +
IF(X104="Weaponized",15,IF(X104="PoC Available",10,IF(X104="Public Exploit",5,0))) +
IF(G104="Production",10,IF(G104="DMZ",8,IF(G104="DR/Backup",5,0))) +
IF(Y104="N",10,0)
)</f>
        <v/>
      </c>
      <c r="AA104">
        <f>IF(OR(P104="Y",AND(K104&gt;=9.0,W104="Y")),"P0",IF(Z104&gt;=80,"P0",IF(Z104&gt;=60,"P1",IF(Z104&gt;=40,"P2",IF(Z104&gt;=20,"P3","P4")))))</f>
        <v/>
      </c>
      <c r="AD104">
        <f>IF(AB104&lt;&gt;"",AB104,AA104)</f>
        <v/>
      </c>
      <c r="AE104">
        <f>VLOOKUP(AD104,SLA_Definitions!$A$2:$B$6,2,FALSE)</f>
        <v/>
      </c>
      <c r="AF104">
        <f>IF(B104&lt;&gt;"",WORKDAY(B104,AE104),"")</f>
        <v/>
      </c>
      <c r="AG104">
        <f>IF(AF104&lt;&gt;"",NETWORKDAYS(TODAY(),AF104),"")</f>
        <v/>
      </c>
      <c r="AH104">
        <f>IF(AJ104="Complete","Complete",IF(AG104&lt;0,"Overdue",IF(AG104&lt;=AE104*0.2,"At Risk","On Track")))</f>
        <v/>
      </c>
      <c r="AK104">
        <f>IF(OR(AH104="Overdue",AND(AD104="P0",AG104&lt;1),AND(AD104="P1",AG104&lt;3)),"Y","N")</f>
        <v/>
      </c>
    </row>
    <row r="105">
      <c r="K105">
        <f>IF(J105="v4.0",L105,IF(J105="v3.1",M105,IF(J105="Both",L105,IF(AND(L105&lt;&gt;"",M105=""),L105,M105))))</f>
        <v/>
      </c>
      <c r="Z105">
        <f>MIN(100,
(K105*5) +
(U105*10) +
IF(P105="Y",40,0) +
IF(Q105="P",30,0) +
IF(V105="Y",25,0) +
IF(W105="Y",20,0) +
IF(X105="Weaponized",15,IF(X105="PoC Available",10,IF(X105="Public Exploit",5,0))) +
IF(G105="Production",10,IF(G105="DMZ",8,IF(G105="DR/Backup",5,0))) +
IF(Y105="N",10,0)
)</f>
        <v/>
      </c>
      <c r="AA105">
        <f>IF(OR(P105="Y",AND(K105&gt;=9.0,W105="Y")),"P0",IF(Z105&gt;=80,"P0",IF(Z105&gt;=60,"P1",IF(Z105&gt;=40,"P2",IF(Z105&gt;=20,"P3","P4")))))</f>
        <v/>
      </c>
      <c r="AD105">
        <f>IF(AB105&lt;&gt;"",AB105,AA105)</f>
        <v/>
      </c>
      <c r="AE105">
        <f>VLOOKUP(AD105,SLA_Definitions!$A$2:$B$6,2,FALSE)</f>
        <v/>
      </c>
      <c r="AF105">
        <f>IF(B105&lt;&gt;"",WORKDAY(B105,AE105),"")</f>
        <v/>
      </c>
      <c r="AG105">
        <f>IF(AF105&lt;&gt;"",NETWORKDAYS(TODAY(),AF105),"")</f>
        <v/>
      </c>
      <c r="AH105">
        <f>IF(AJ105="Complete","Complete",IF(AG105&lt;0,"Overdue",IF(AG105&lt;=AE105*0.2,"At Risk","On Track")))</f>
        <v/>
      </c>
      <c r="AK105">
        <f>IF(OR(AH105="Overdue",AND(AD105="P0",AG105&lt;1),AND(AD105="P1",AG105&lt;3)),"Y","N")</f>
        <v/>
      </c>
    </row>
    <row r="106">
      <c r="K106">
        <f>IF(J106="v4.0",L106,IF(J106="v3.1",M106,IF(J106="Both",L106,IF(AND(L106&lt;&gt;"",M106=""),L106,M106))))</f>
        <v/>
      </c>
      <c r="Z106">
        <f>MIN(100,
(K106*5) +
(U106*10) +
IF(P106="Y",40,0) +
IF(Q106="P",30,0) +
IF(V106="Y",25,0) +
IF(W106="Y",20,0) +
IF(X106="Weaponized",15,IF(X106="PoC Available",10,IF(X106="Public Exploit",5,0))) +
IF(G106="Production",10,IF(G106="DMZ",8,IF(G106="DR/Backup",5,0))) +
IF(Y106="N",10,0)
)</f>
        <v/>
      </c>
      <c r="AA106">
        <f>IF(OR(P106="Y",AND(K106&gt;=9.0,W106="Y")),"P0",IF(Z106&gt;=80,"P0",IF(Z106&gt;=60,"P1",IF(Z106&gt;=40,"P2",IF(Z106&gt;=20,"P3","P4")))))</f>
        <v/>
      </c>
      <c r="AD106">
        <f>IF(AB106&lt;&gt;"",AB106,AA106)</f>
        <v/>
      </c>
      <c r="AE106">
        <f>VLOOKUP(AD106,SLA_Definitions!$A$2:$B$6,2,FALSE)</f>
        <v/>
      </c>
      <c r="AF106">
        <f>IF(B106&lt;&gt;"",WORKDAY(B106,AE106),"")</f>
        <v/>
      </c>
      <c r="AG106">
        <f>IF(AF106&lt;&gt;"",NETWORKDAYS(TODAY(),AF106),"")</f>
        <v/>
      </c>
      <c r="AH106">
        <f>IF(AJ106="Complete","Complete",IF(AG106&lt;0,"Overdue",IF(AG106&lt;=AE106*0.2,"At Risk","On Track")))</f>
        <v/>
      </c>
      <c r="AK106">
        <f>IF(OR(AH106="Overdue",AND(AD106="P0",AG106&lt;1),AND(AD106="P1",AG106&lt;3)),"Y","N")</f>
        <v/>
      </c>
    </row>
    <row r="107">
      <c r="K107">
        <f>IF(J107="v4.0",L107,IF(J107="v3.1",M107,IF(J107="Both",L107,IF(AND(L107&lt;&gt;"",M107=""),L107,M107))))</f>
        <v/>
      </c>
      <c r="Z107">
        <f>MIN(100,
(K107*5) +
(U107*10) +
IF(P107="Y",40,0) +
IF(Q107="P",30,0) +
IF(V107="Y",25,0) +
IF(W107="Y",20,0) +
IF(X107="Weaponized",15,IF(X107="PoC Available",10,IF(X107="Public Exploit",5,0))) +
IF(G107="Production",10,IF(G107="DMZ",8,IF(G107="DR/Backup",5,0))) +
IF(Y107="N",10,0)
)</f>
        <v/>
      </c>
      <c r="AA107">
        <f>IF(OR(P107="Y",AND(K107&gt;=9.0,W107="Y")),"P0",IF(Z107&gt;=80,"P0",IF(Z107&gt;=60,"P1",IF(Z107&gt;=40,"P2",IF(Z107&gt;=20,"P3","P4")))))</f>
        <v/>
      </c>
      <c r="AD107">
        <f>IF(AB107&lt;&gt;"",AB107,AA107)</f>
        <v/>
      </c>
      <c r="AE107">
        <f>VLOOKUP(AD107,SLA_Definitions!$A$2:$B$6,2,FALSE)</f>
        <v/>
      </c>
      <c r="AF107">
        <f>IF(B107&lt;&gt;"",WORKDAY(B107,AE107),"")</f>
        <v/>
      </c>
      <c r="AG107">
        <f>IF(AF107&lt;&gt;"",NETWORKDAYS(TODAY(),AF107),"")</f>
        <v/>
      </c>
      <c r="AH107">
        <f>IF(AJ107="Complete","Complete",IF(AG107&lt;0,"Overdue",IF(AG107&lt;=AE107*0.2,"At Risk","On Track")))</f>
        <v/>
      </c>
      <c r="AK107">
        <f>IF(OR(AH107="Overdue",AND(AD107="P0",AG107&lt;1),AND(AD107="P1",AG107&lt;3)),"Y","N")</f>
        <v/>
      </c>
    </row>
    <row r="108">
      <c r="K108">
        <f>IF(J108="v4.0",L108,IF(J108="v3.1",M108,IF(J108="Both",L108,IF(AND(L108&lt;&gt;"",M108=""),L108,M108))))</f>
        <v/>
      </c>
      <c r="Z108">
        <f>MIN(100,
(K108*5) +
(U108*10) +
IF(P108="Y",40,0) +
IF(Q108="P",30,0) +
IF(V108="Y",25,0) +
IF(W108="Y",20,0) +
IF(X108="Weaponized",15,IF(X108="PoC Available",10,IF(X108="Public Exploit",5,0))) +
IF(G108="Production",10,IF(G108="DMZ",8,IF(G108="DR/Backup",5,0))) +
IF(Y108="N",10,0)
)</f>
        <v/>
      </c>
      <c r="AA108">
        <f>IF(OR(P108="Y",AND(K108&gt;=9.0,W108="Y")),"P0",IF(Z108&gt;=80,"P0",IF(Z108&gt;=60,"P1",IF(Z108&gt;=40,"P2",IF(Z108&gt;=20,"P3","P4")))))</f>
        <v/>
      </c>
      <c r="AD108">
        <f>IF(AB108&lt;&gt;"",AB108,AA108)</f>
        <v/>
      </c>
      <c r="AE108">
        <f>VLOOKUP(AD108,SLA_Definitions!$A$2:$B$6,2,FALSE)</f>
        <v/>
      </c>
      <c r="AF108">
        <f>IF(B108&lt;&gt;"",WORKDAY(B108,AE108),"")</f>
        <v/>
      </c>
      <c r="AG108">
        <f>IF(AF108&lt;&gt;"",NETWORKDAYS(TODAY(),AF108),"")</f>
        <v/>
      </c>
      <c r="AH108">
        <f>IF(AJ108="Complete","Complete",IF(AG108&lt;0,"Overdue",IF(AG108&lt;=AE108*0.2,"At Risk","On Track")))</f>
        <v/>
      </c>
      <c r="AK108">
        <f>IF(OR(AH108="Overdue",AND(AD108="P0",AG108&lt;1),AND(AD108="P1",AG108&lt;3)),"Y","N")</f>
        <v/>
      </c>
    </row>
    <row r="109">
      <c r="K109">
        <f>IF(J109="v4.0",L109,IF(J109="v3.1",M109,IF(J109="Both",L109,IF(AND(L109&lt;&gt;"",M109=""),L109,M109))))</f>
        <v/>
      </c>
      <c r="Z109">
        <f>MIN(100,
(K109*5) +
(U109*10) +
IF(P109="Y",40,0) +
IF(Q109="P",30,0) +
IF(V109="Y",25,0) +
IF(W109="Y",20,0) +
IF(X109="Weaponized",15,IF(X109="PoC Available",10,IF(X109="Public Exploit",5,0))) +
IF(G109="Production",10,IF(G109="DMZ",8,IF(G109="DR/Backup",5,0))) +
IF(Y109="N",10,0)
)</f>
        <v/>
      </c>
      <c r="AA109">
        <f>IF(OR(P109="Y",AND(K109&gt;=9.0,W109="Y")),"P0",IF(Z109&gt;=80,"P0",IF(Z109&gt;=60,"P1",IF(Z109&gt;=40,"P2",IF(Z109&gt;=20,"P3","P4")))))</f>
        <v/>
      </c>
      <c r="AD109">
        <f>IF(AB109&lt;&gt;"",AB109,AA109)</f>
        <v/>
      </c>
      <c r="AE109">
        <f>VLOOKUP(AD109,SLA_Definitions!$A$2:$B$6,2,FALSE)</f>
        <v/>
      </c>
      <c r="AF109">
        <f>IF(B109&lt;&gt;"",WORKDAY(B109,AE109),"")</f>
        <v/>
      </c>
      <c r="AG109">
        <f>IF(AF109&lt;&gt;"",NETWORKDAYS(TODAY(),AF109),"")</f>
        <v/>
      </c>
      <c r="AH109">
        <f>IF(AJ109="Complete","Complete",IF(AG109&lt;0,"Overdue",IF(AG109&lt;=AE109*0.2,"At Risk","On Track")))</f>
        <v/>
      </c>
      <c r="AK109">
        <f>IF(OR(AH109="Overdue",AND(AD109="P0",AG109&lt;1),AND(AD109="P1",AG109&lt;3)),"Y","N")</f>
        <v/>
      </c>
    </row>
    <row r="110">
      <c r="K110">
        <f>IF(J110="v4.0",L110,IF(J110="v3.1",M110,IF(J110="Both",L110,IF(AND(L110&lt;&gt;"",M110=""),L110,M110))))</f>
        <v/>
      </c>
      <c r="Z110">
        <f>MIN(100,
(K110*5) +
(U110*10) +
IF(P110="Y",40,0) +
IF(Q110="P",30,0) +
IF(V110="Y",25,0) +
IF(W110="Y",20,0) +
IF(X110="Weaponized",15,IF(X110="PoC Available",10,IF(X110="Public Exploit",5,0))) +
IF(G110="Production",10,IF(G110="DMZ",8,IF(G110="DR/Backup",5,0))) +
IF(Y110="N",10,0)
)</f>
        <v/>
      </c>
      <c r="AA110">
        <f>IF(OR(P110="Y",AND(K110&gt;=9.0,W110="Y")),"P0",IF(Z110&gt;=80,"P0",IF(Z110&gt;=60,"P1",IF(Z110&gt;=40,"P2",IF(Z110&gt;=20,"P3","P4")))))</f>
        <v/>
      </c>
      <c r="AD110">
        <f>IF(AB110&lt;&gt;"",AB110,AA110)</f>
        <v/>
      </c>
      <c r="AE110">
        <f>VLOOKUP(AD110,SLA_Definitions!$A$2:$B$6,2,FALSE)</f>
        <v/>
      </c>
      <c r="AF110">
        <f>IF(B110&lt;&gt;"",WORKDAY(B110,AE110),"")</f>
        <v/>
      </c>
      <c r="AG110">
        <f>IF(AF110&lt;&gt;"",NETWORKDAYS(TODAY(),AF110),"")</f>
        <v/>
      </c>
      <c r="AH110">
        <f>IF(AJ110="Complete","Complete",IF(AG110&lt;0,"Overdue",IF(AG110&lt;=AE110*0.2,"At Risk","On Track")))</f>
        <v/>
      </c>
      <c r="AK110">
        <f>IF(OR(AH110="Overdue",AND(AD110="P0",AG110&lt;1),AND(AD110="P1",AG110&lt;3)),"Y","N")</f>
        <v/>
      </c>
    </row>
    <row r="111">
      <c r="K111">
        <f>IF(J111="v4.0",L111,IF(J111="v3.1",M111,IF(J111="Both",L111,IF(AND(L111&lt;&gt;"",M111=""),L111,M111))))</f>
        <v/>
      </c>
      <c r="Z111">
        <f>MIN(100,
(K111*5) +
(U111*10) +
IF(P111="Y",40,0) +
IF(Q111="P",30,0) +
IF(V111="Y",25,0) +
IF(W111="Y",20,0) +
IF(X111="Weaponized",15,IF(X111="PoC Available",10,IF(X111="Public Exploit",5,0))) +
IF(G111="Production",10,IF(G111="DMZ",8,IF(G111="DR/Backup",5,0))) +
IF(Y111="N",10,0)
)</f>
        <v/>
      </c>
      <c r="AA111">
        <f>IF(OR(P111="Y",AND(K111&gt;=9.0,W111="Y")),"P0",IF(Z111&gt;=80,"P0",IF(Z111&gt;=60,"P1",IF(Z111&gt;=40,"P2",IF(Z111&gt;=20,"P3","P4")))))</f>
        <v/>
      </c>
      <c r="AD111">
        <f>IF(AB111&lt;&gt;"",AB111,AA111)</f>
        <v/>
      </c>
      <c r="AE111">
        <f>VLOOKUP(AD111,SLA_Definitions!$A$2:$B$6,2,FALSE)</f>
        <v/>
      </c>
      <c r="AF111">
        <f>IF(B111&lt;&gt;"",WORKDAY(B111,AE111),"")</f>
        <v/>
      </c>
      <c r="AG111">
        <f>IF(AF111&lt;&gt;"",NETWORKDAYS(TODAY(),AF111),"")</f>
        <v/>
      </c>
      <c r="AH111">
        <f>IF(AJ111="Complete","Complete",IF(AG111&lt;0,"Overdue",IF(AG111&lt;=AE111*0.2,"At Risk","On Track")))</f>
        <v/>
      </c>
      <c r="AK111">
        <f>IF(OR(AH111="Overdue",AND(AD111="P0",AG111&lt;1),AND(AD111="P1",AG111&lt;3)),"Y","N")</f>
        <v/>
      </c>
    </row>
    <row r="112">
      <c r="K112">
        <f>IF(J112="v4.0",L112,IF(J112="v3.1",M112,IF(J112="Both",L112,IF(AND(L112&lt;&gt;"",M112=""),L112,M112))))</f>
        <v/>
      </c>
      <c r="Z112">
        <f>MIN(100,
(K112*5) +
(U112*10) +
IF(P112="Y",40,0) +
IF(Q112="P",30,0) +
IF(V112="Y",25,0) +
IF(W112="Y",20,0) +
IF(X112="Weaponized",15,IF(X112="PoC Available",10,IF(X112="Public Exploit",5,0))) +
IF(G112="Production",10,IF(G112="DMZ",8,IF(G112="DR/Backup",5,0))) +
IF(Y112="N",10,0)
)</f>
        <v/>
      </c>
      <c r="AA112">
        <f>IF(OR(P112="Y",AND(K112&gt;=9.0,W112="Y")),"P0",IF(Z112&gt;=80,"P0",IF(Z112&gt;=60,"P1",IF(Z112&gt;=40,"P2",IF(Z112&gt;=20,"P3","P4")))))</f>
        <v/>
      </c>
      <c r="AD112">
        <f>IF(AB112&lt;&gt;"",AB112,AA112)</f>
        <v/>
      </c>
      <c r="AE112">
        <f>VLOOKUP(AD112,SLA_Definitions!$A$2:$B$6,2,FALSE)</f>
        <v/>
      </c>
      <c r="AF112">
        <f>IF(B112&lt;&gt;"",WORKDAY(B112,AE112),"")</f>
        <v/>
      </c>
      <c r="AG112">
        <f>IF(AF112&lt;&gt;"",NETWORKDAYS(TODAY(),AF112),"")</f>
        <v/>
      </c>
      <c r="AH112">
        <f>IF(AJ112="Complete","Complete",IF(AG112&lt;0,"Overdue",IF(AG112&lt;=AE112*0.2,"At Risk","On Track")))</f>
        <v/>
      </c>
      <c r="AK112">
        <f>IF(OR(AH112="Overdue",AND(AD112="P0",AG112&lt;1),AND(AD112="P1",AG112&lt;3)),"Y","N")</f>
        <v/>
      </c>
    </row>
    <row r="113">
      <c r="K113">
        <f>IF(J113="v4.0",L113,IF(J113="v3.1",M113,IF(J113="Both",L113,IF(AND(L113&lt;&gt;"",M113=""),L113,M113))))</f>
        <v/>
      </c>
      <c r="Z113">
        <f>MIN(100,
(K113*5) +
(U113*10) +
IF(P113="Y",40,0) +
IF(Q113="P",30,0) +
IF(V113="Y",25,0) +
IF(W113="Y",20,0) +
IF(X113="Weaponized",15,IF(X113="PoC Available",10,IF(X113="Public Exploit",5,0))) +
IF(G113="Production",10,IF(G113="DMZ",8,IF(G113="DR/Backup",5,0))) +
IF(Y113="N",10,0)
)</f>
        <v/>
      </c>
      <c r="AA113">
        <f>IF(OR(P113="Y",AND(K113&gt;=9.0,W113="Y")),"P0",IF(Z113&gt;=80,"P0",IF(Z113&gt;=60,"P1",IF(Z113&gt;=40,"P2",IF(Z113&gt;=20,"P3","P4")))))</f>
        <v/>
      </c>
      <c r="AD113">
        <f>IF(AB113&lt;&gt;"",AB113,AA113)</f>
        <v/>
      </c>
      <c r="AE113">
        <f>VLOOKUP(AD113,SLA_Definitions!$A$2:$B$6,2,FALSE)</f>
        <v/>
      </c>
      <c r="AF113">
        <f>IF(B113&lt;&gt;"",WORKDAY(B113,AE113),"")</f>
        <v/>
      </c>
      <c r="AG113">
        <f>IF(AF113&lt;&gt;"",NETWORKDAYS(TODAY(),AF113),"")</f>
        <v/>
      </c>
      <c r="AH113">
        <f>IF(AJ113="Complete","Complete",IF(AG113&lt;0,"Overdue",IF(AG113&lt;=AE113*0.2,"At Risk","On Track")))</f>
        <v/>
      </c>
      <c r="AK113">
        <f>IF(OR(AH113="Overdue",AND(AD113="P0",AG113&lt;1),AND(AD113="P1",AG113&lt;3)),"Y","N")</f>
        <v/>
      </c>
    </row>
    <row r="114">
      <c r="K114">
        <f>IF(J114="v4.0",L114,IF(J114="v3.1",M114,IF(J114="Both",L114,IF(AND(L114&lt;&gt;"",M114=""),L114,M114))))</f>
        <v/>
      </c>
      <c r="Z114">
        <f>MIN(100,
(K114*5) +
(U114*10) +
IF(P114="Y",40,0) +
IF(Q114="P",30,0) +
IF(V114="Y",25,0) +
IF(W114="Y",20,0) +
IF(X114="Weaponized",15,IF(X114="PoC Available",10,IF(X114="Public Exploit",5,0))) +
IF(G114="Production",10,IF(G114="DMZ",8,IF(G114="DR/Backup",5,0))) +
IF(Y114="N",10,0)
)</f>
        <v/>
      </c>
      <c r="AA114">
        <f>IF(OR(P114="Y",AND(K114&gt;=9.0,W114="Y")),"P0",IF(Z114&gt;=80,"P0",IF(Z114&gt;=60,"P1",IF(Z114&gt;=40,"P2",IF(Z114&gt;=20,"P3","P4")))))</f>
        <v/>
      </c>
      <c r="AD114">
        <f>IF(AB114&lt;&gt;"",AB114,AA114)</f>
        <v/>
      </c>
      <c r="AE114">
        <f>VLOOKUP(AD114,SLA_Definitions!$A$2:$B$6,2,FALSE)</f>
        <v/>
      </c>
      <c r="AF114">
        <f>IF(B114&lt;&gt;"",WORKDAY(B114,AE114),"")</f>
        <v/>
      </c>
      <c r="AG114">
        <f>IF(AF114&lt;&gt;"",NETWORKDAYS(TODAY(),AF114),"")</f>
        <v/>
      </c>
      <c r="AH114">
        <f>IF(AJ114="Complete","Complete",IF(AG114&lt;0,"Overdue",IF(AG114&lt;=AE114*0.2,"At Risk","On Track")))</f>
        <v/>
      </c>
      <c r="AK114">
        <f>IF(OR(AH114="Overdue",AND(AD114="P0",AG114&lt;1),AND(AD114="P1",AG114&lt;3)),"Y","N")</f>
        <v/>
      </c>
    </row>
    <row r="115">
      <c r="K115">
        <f>IF(J115="v4.0",L115,IF(J115="v3.1",M115,IF(J115="Both",L115,IF(AND(L115&lt;&gt;"",M115=""),L115,M115))))</f>
        <v/>
      </c>
      <c r="Z115">
        <f>MIN(100,
(K115*5) +
(U115*10) +
IF(P115="Y",40,0) +
IF(Q115="P",30,0) +
IF(V115="Y",25,0) +
IF(W115="Y",20,0) +
IF(X115="Weaponized",15,IF(X115="PoC Available",10,IF(X115="Public Exploit",5,0))) +
IF(G115="Production",10,IF(G115="DMZ",8,IF(G115="DR/Backup",5,0))) +
IF(Y115="N",10,0)
)</f>
        <v/>
      </c>
      <c r="AA115">
        <f>IF(OR(P115="Y",AND(K115&gt;=9.0,W115="Y")),"P0",IF(Z115&gt;=80,"P0",IF(Z115&gt;=60,"P1",IF(Z115&gt;=40,"P2",IF(Z115&gt;=20,"P3","P4")))))</f>
        <v/>
      </c>
      <c r="AD115">
        <f>IF(AB115&lt;&gt;"",AB115,AA115)</f>
        <v/>
      </c>
      <c r="AE115">
        <f>VLOOKUP(AD115,SLA_Definitions!$A$2:$B$6,2,FALSE)</f>
        <v/>
      </c>
      <c r="AF115">
        <f>IF(B115&lt;&gt;"",WORKDAY(B115,AE115),"")</f>
        <v/>
      </c>
      <c r="AG115">
        <f>IF(AF115&lt;&gt;"",NETWORKDAYS(TODAY(),AF115),"")</f>
        <v/>
      </c>
      <c r="AH115">
        <f>IF(AJ115="Complete","Complete",IF(AG115&lt;0,"Overdue",IF(AG115&lt;=AE115*0.2,"At Risk","On Track")))</f>
        <v/>
      </c>
      <c r="AK115">
        <f>IF(OR(AH115="Overdue",AND(AD115="P0",AG115&lt;1),AND(AD115="P1",AG115&lt;3)),"Y","N")</f>
        <v/>
      </c>
    </row>
    <row r="116">
      <c r="K116">
        <f>IF(J116="v4.0",L116,IF(J116="v3.1",M116,IF(J116="Both",L116,IF(AND(L116&lt;&gt;"",M116=""),L116,M116))))</f>
        <v/>
      </c>
      <c r="Z116">
        <f>MIN(100,
(K116*5) +
(U116*10) +
IF(P116="Y",40,0) +
IF(Q116="P",30,0) +
IF(V116="Y",25,0) +
IF(W116="Y",20,0) +
IF(X116="Weaponized",15,IF(X116="PoC Available",10,IF(X116="Public Exploit",5,0))) +
IF(G116="Production",10,IF(G116="DMZ",8,IF(G116="DR/Backup",5,0))) +
IF(Y116="N",10,0)
)</f>
        <v/>
      </c>
      <c r="AA116">
        <f>IF(OR(P116="Y",AND(K116&gt;=9.0,W116="Y")),"P0",IF(Z116&gt;=80,"P0",IF(Z116&gt;=60,"P1",IF(Z116&gt;=40,"P2",IF(Z116&gt;=20,"P3","P4")))))</f>
        <v/>
      </c>
      <c r="AD116">
        <f>IF(AB116&lt;&gt;"",AB116,AA116)</f>
        <v/>
      </c>
      <c r="AE116">
        <f>VLOOKUP(AD116,SLA_Definitions!$A$2:$B$6,2,FALSE)</f>
        <v/>
      </c>
      <c r="AF116">
        <f>IF(B116&lt;&gt;"",WORKDAY(B116,AE116),"")</f>
        <v/>
      </c>
      <c r="AG116">
        <f>IF(AF116&lt;&gt;"",NETWORKDAYS(TODAY(),AF116),"")</f>
        <v/>
      </c>
      <c r="AH116">
        <f>IF(AJ116="Complete","Complete",IF(AG116&lt;0,"Overdue",IF(AG116&lt;=AE116*0.2,"At Risk","On Track")))</f>
        <v/>
      </c>
      <c r="AK116">
        <f>IF(OR(AH116="Overdue",AND(AD116="P0",AG116&lt;1),AND(AD116="P1",AG116&lt;3)),"Y","N")</f>
        <v/>
      </c>
    </row>
    <row r="117">
      <c r="K117">
        <f>IF(J117="v4.0",L117,IF(J117="v3.1",M117,IF(J117="Both",L117,IF(AND(L117&lt;&gt;"",M117=""),L117,M117))))</f>
        <v/>
      </c>
      <c r="Z117">
        <f>MIN(100,
(K117*5) +
(U117*10) +
IF(P117="Y",40,0) +
IF(Q117="P",30,0) +
IF(V117="Y",25,0) +
IF(W117="Y",20,0) +
IF(X117="Weaponized",15,IF(X117="PoC Available",10,IF(X117="Public Exploit",5,0))) +
IF(G117="Production",10,IF(G117="DMZ",8,IF(G117="DR/Backup",5,0))) +
IF(Y117="N",10,0)
)</f>
        <v/>
      </c>
      <c r="AA117">
        <f>IF(OR(P117="Y",AND(K117&gt;=9.0,W117="Y")),"P0",IF(Z117&gt;=80,"P0",IF(Z117&gt;=60,"P1",IF(Z117&gt;=40,"P2",IF(Z117&gt;=20,"P3","P4")))))</f>
        <v/>
      </c>
      <c r="AD117">
        <f>IF(AB117&lt;&gt;"",AB117,AA117)</f>
        <v/>
      </c>
      <c r="AE117">
        <f>VLOOKUP(AD117,SLA_Definitions!$A$2:$B$6,2,FALSE)</f>
        <v/>
      </c>
      <c r="AF117">
        <f>IF(B117&lt;&gt;"",WORKDAY(B117,AE117),"")</f>
        <v/>
      </c>
      <c r="AG117">
        <f>IF(AF117&lt;&gt;"",NETWORKDAYS(TODAY(),AF117),"")</f>
        <v/>
      </c>
      <c r="AH117">
        <f>IF(AJ117="Complete","Complete",IF(AG117&lt;0,"Overdue",IF(AG117&lt;=AE117*0.2,"At Risk","On Track")))</f>
        <v/>
      </c>
      <c r="AK117">
        <f>IF(OR(AH117="Overdue",AND(AD117="P0",AG117&lt;1),AND(AD117="P1",AG117&lt;3)),"Y","N")</f>
        <v/>
      </c>
    </row>
    <row r="118">
      <c r="K118">
        <f>IF(J118="v4.0",L118,IF(J118="v3.1",M118,IF(J118="Both",L118,IF(AND(L118&lt;&gt;"",M118=""),L118,M118))))</f>
        <v/>
      </c>
      <c r="Z118">
        <f>MIN(100,
(K118*5) +
(U118*10) +
IF(P118="Y",40,0) +
IF(Q118="P",30,0) +
IF(V118="Y",25,0) +
IF(W118="Y",20,0) +
IF(X118="Weaponized",15,IF(X118="PoC Available",10,IF(X118="Public Exploit",5,0))) +
IF(G118="Production",10,IF(G118="DMZ",8,IF(G118="DR/Backup",5,0))) +
IF(Y118="N",10,0)
)</f>
        <v/>
      </c>
      <c r="AA118">
        <f>IF(OR(P118="Y",AND(K118&gt;=9.0,W118="Y")),"P0",IF(Z118&gt;=80,"P0",IF(Z118&gt;=60,"P1",IF(Z118&gt;=40,"P2",IF(Z118&gt;=20,"P3","P4")))))</f>
        <v/>
      </c>
      <c r="AD118">
        <f>IF(AB118&lt;&gt;"",AB118,AA118)</f>
        <v/>
      </c>
      <c r="AE118">
        <f>VLOOKUP(AD118,SLA_Definitions!$A$2:$B$6,2,FALSE)</f>
        <v/>
      </c>
      <c r="AF118">
        <f>IF(B118&lt;&gt;"",WORKDAY(B118,AE118),"")</f>
        <v/>
      </c>
      <c r="AG118">
        <f>IF(AF118&lt;&gt;"",NETWORKDAYS(TODAY(),AF118),"")</f>
        <v/>
      </c>
      <c r="AH118">
        <f>IF(AJ118="Complete","Complete",IF(AG118&lt;0,"Overdue",IF(AG118&lt;=AE118*0.2,"At Risk","On Track")))</f>
        <v/>
      </c>
      <c r="AK118">
        <f>IF(OR(AH118="Overdue",AND(AD118="P0",AG118&lt;1),AND(AD118="P1",AG118&lt;3)),"Y","N")</f>
        <v/>
      </c>
    </row>
    <row r="119">
      <c r="K119">
        <f>IF(J119="v4.0",L119,IF(J119="v3.1",M119,IF(J119="Both",L119,IF(AND(L119&lt;&gt;"",M119=""),L119,M119))))</f>
        <v/>
      </c>
      <c r="Z119">
        <f>MIN(100,
(K119*5) +
(U119*10) +
IF(P119="Y",40,0) +
IF(Q119="P",30,0) +
IF(V119="Y",25,0) +
IF(W119="Y",20,0) +
IF(X119="Weaponized",15,IF(X119="PoC Available",10,IF(X119="Public Exploit",5,0))) +
IF(G119="Production",10,IF(G119="DMZ",8,IF(G119="DR/Backup",5,0))) +
IF(Y119="N",10,0)
)</f>
        <v/>
      </c>
      <c r="AA119">
        <f>IF(OR(P119="Y",AND(K119&gt;=9.0,W119="Y")),"P0",IF(Z119&gt;=80,"P0",IF(Z119&gt;=60,"P1",IF(Z119&gt;=40,"P2",IF(Z119&gt;=20,"P3","P4")))))</f>
        <v/>
      </c>
      <c r="AD119">
        <f>IF(AB119&lt;&gt;"",AB119,AA119)</f>
        <v/>
      </c>
      <c r="AE119">
        <f>VLOOKUP(AD119,SLA_Definitions!$A$2:$B$6,2,FALSE)</f>
        <v/>
      </c>
      <c r="AF119">
        <f>IF(B119&lt;&gt;"",WORKDAY(B119,AE119),"")</f>
        <v/>
      </c>
      <c r="AG119">
        <f>IF(AF119&lt;&gt;"",NETWORKDAYS(TODAY(),AF119),"")</f>
        <v/>
      </c>
      <c r="AH119">
        <f>IF(AJ119="Complete","Complete",IF(AG119&lt;0,"Overdue",IF(AG119&lt;=AE119*0.2,"At Risk","On Track")))</f>
        <v/>
      </c>
      <c r="AK119">
        <f>IF(OR(AH119="Overdue",AND(AD119="P0",AG119&lt;1),AND(AD119="P1",AG119&lt;3)),"Y","N")</f>
        <v/>
      </c>
    </row>
    <row r="120">
      <c r="K120">
        <f>IF(J120="v4.0",L120,IF(J120="v3.1",M120,IF(J120="Both",L120,IF(AND(L120&lt;&gt;"",M120=""),L120,M120))))</f>
        <v/>
      </c>
      <c r="Z120">
        <f>MIN(100,
(K120*5) +
(U120*10) +
IF(P120="Y",40,0) +
IF(Q120="P",30,0) +
IF(V120="Y",25,0) +
IF(W120="Y",20,0) +
IF(X120="Weaponized",15,IF(X120="PoC Available",10,IF(X120="Public Exploit",5,0))) +
IF(G120="Production",10,IF(G120="DMZ",8,IF(G120="DR/Backup",5,0))) +
IF(Y120="N",10,0)
)</f>
        <v/>
      </c>
      <c r="AA120">
        <f>IF(OR(P120="Y",AND(K120&gt;=9.0,W120="Y")),"P0",IF(Z120&gt;=80,"P0",IF(Z120&gt;=60,"P1",IF(Z120&gt;=40,"P2",IF(Z120&gt;=20,"P3","P4")))))</f>
        <v/>
      </c>
      <c r="AD120">
        <f>IF(AB120&lt;&gt;"",AB120,AA120)</f>
        <v/>
      </c>
      <c r="AE120">
        <f>VLOOKUP(AD120,SLA_Definitions!$A$2:$B$6,2,FALSE)</f>
        <v/>
      </c>
      <c r="AF120">
        <f>IF(B120&lt;&gt;"",WORKDAY(B120,AE120),"")</f>
        <v/>
      </c>
      <c r="AG120">
        <f>IF(AF120&lt;&gt;"",NETWORKDAYS(TODAY(),AF120),"")</f>
        <v/>
      </c>
      <c r="AH120">
        <f>IF(AJ120="Complete","Complete",IF(AG120&lt;0,"Overdue",IF(AG120&lt;=AE120*0.2,"At Risk","On Track")))</f>
        <v/>
      </c>
      <c r="AK120">
        <f>IF(OR(AH120="Overdue",AND(AD120="P0",AG120&lt;1),AND(AD120="P1",AG120&lt;3)),"Y","N")</f>
        <v/>
      </c>
    </row>
    <row r="121">
      <c r="K121">
        <f>IF(J121="v4.0",L121,IF(J121="v3.1",M121,IF(J121="Both",L121,IF(AND(L121&lt;&gt;"",M121=""),L121,M121))))</f>
        <v/>
      </c>
      <c r="Z121">
        <f>MIN(100,
(K121*5) +
(U121*10) +
IF(P121="Y",40,0) +
IF(Q121="P",30,0) +
IF(V121="Y",25,0) +
IF(W121="Y",20,0) +
IF(X121="Weaponized",15,IF(X121="PoC Available",10,IF(X121="Public Exploit",5,0))) +
IF(G121="Production",10,IF(G121="DMZ",8,IF(G121="DR/Backup",5,0))) +
IF(Y121="N",10,0)
)</f>
        <v/>
      </c>
      <c r="AA121">
        <f>IF(OR(P121="Y",AND(K121&gt;=9.0,W121="Y")),"P0",IF(Z121&gt;=80,"P0",IF(Z121&gt;=60,"P1",IF(Z121&gt;=40,"P2",IF(Z121&gt;=20,"P3","P4")))))</f>
        <v/>
      </c>
      <c r="AD121">
        <f>IF(AB121&lt;&gt;"",AB121,AA121)</f>
        <v/>
      </c>
      <c r="AE121">
        <f>VLOOKUP(AD121,SLA_Definitions!$A$2:$B$6,2,FALSE)</f>
        <v/>
      </c>
      <c r="AF121">
        <f>IF(B121&lt;&gt;"",WORKDAY(B121,AE121),"")</f>
        <v/>
      </c>
      <c r="AG121">
        <f>IF(AF121&lt;&gt;"",NETWORKDAYS(TODAY(),AF121),"")</f>
        <v/>
      </c>
      <c r="AH121">
        <f>IF(AJ121="Complete","Complete",IF(AG121&lt;0,"Overdue",IF(AG121&lt;=AE121*0.2,"At Risk","On Track")))</f>
        <v/>
      </c>
      <c r="AK121">
        <f>IF(OR(AH121="Overdue",AND(AD121="P0",AG121&lt;1),AND(AD121="P1",AG121&lt;3)),"Y","N")</f>
        <v/>
      </c>
    </row>
    <row r="122">
      <c r="K122">
        <f>IF(J122="v4.0",L122,IF(J122="v3.1",M122,IF(J122="Both",L122,IF(AND(L122&lt;&gt;"",M122=""),L122,M122))))</f>
        <v/>
      </c>
      <c r="Z122">
        <f>MIN(100,
(K122*5) +
(U122*10) +
IF(P122="Y",40,0) +
IF(Q122="P",30,0) +
IF(V122="Y",25,0) +
IF(W122="Y",20,0) +
IF(X122="Weaponized",15,IF(X122="PoC Available",10,IF(X122="Public Exploit",5,0))) +
IF(G122="Production",10,IF(G122="DMZ",8,IF(G122="DR/Backup",5,0))) +
IF(Y122="N",10,0)
)</f>
        <v/>
      </c>
      <c r="AA122">
        <f>IF(OR(P122="Y",AND(K122&gt;=9.0,W122="Y")),"P0",IF(Z122&gt;=80,"P0",IF(Z122&gt;=60,"P1",IF(Z122&gt;=40,"P2",IF(Z122&gt;=20,"P3","P4")))))</f>
        <v/>
      </c>
      <c r="AD122">
        <f>IF(AB122&lt;&gt;"",AB122,AA122)</f>
        <v/>
      </c>
      <c r="AE122">
        <f>VLOOKUP(AD122,SLA_Definitions!$A$2:$B$6,2,FALSE)</f>
        <v/>
      </c>
      <c r="AF122">
        <f>IF(B122&lt;&gt;"",WORKDAY(B122,AE122),"")</f>
        <v/>
      </c>
      <c r="AG122">
        <f>IF(AF122&lt;&gt;"",NETWORKDAYS(TODAY(),AF122),"")</f>
        <v/>
      </c>
      <c r="AH122">
        <f>IF(AJ122="Complete","Complete",IF(AG122&lt;0,"Overdue",IF(AG122&lt;=AE122*0.2,"At Risk","On Track")))</f>
        <v/>
      </c>
      <c r="AK122">
        <f>IF(OR(AH122="Overdue",AND(AD122="P0",AG122&lt;1),AND(AD122="P1",AG122&lt;3)),"Y","N")</f>
        <v/>
      </c>
    </row>
    <row r="123">
      <c r="K123">
        <f>IF(J123="v4.0",L123,IF(J123="v3.1",M123,IF(J123="Both",L123,IF(AND(L123&lt;&gt;"",M123=""),L123,M123))))</f>
        <v/>
      </c>
      <c r="Z123">
        <f>MIN(100,
(K123*5) +
(U123*10) +
IF(P123="Y",40,0) +
IF(Q123="P",30,0) +
IF(V123="Y",25,0) +
IF(W123="Y",20,0) +
IF(X123="Weaponized",15,IF(X123="PoC Available",10,IF(X123="Public Exploit",5,0))) +
IF(G123="Production",10,IF(G123="DMZ",8,IF(G123="DR/Backup",5,0))) +
IF(Y123="N",10,0)
)</f>
        <v/>
      </c>
      <c r="AA123">
        <f>IF(OR(P123="Y",AND(K123&gt;=9.0,W123="Y")),"P0",IF(Z123&gt;=80,"P0",IF(Z123&gt;=60,"P1",IF(Z123&gt;=40,"P2",IF(Z123&gt;=20,"P3","P4")))))</f>
        <v/>
      </c>
      <c r="AD123">
        <f>IF(AB123&lt;&gt;"",AB123,AA123)</f>
        <v/>
      </c>
      <c r="AE123">
        <f>VLOOKUP(AD123,SLA_Definitions!$A$2:$B$6,2,FALSE)</f>
        <v/>
      </c>
      <c r="AF123">
        <f>IF(B123&lt;&gt;"",WORKDAY(B123,AE123),"")</f>
        <v/>
      </c>
      <c r="AG123">
        <f>IF(AF123&lt;&gt;"",NETWORKDAYS(TODAY(),AF123),"")</f>
        <v/>
      </c>
      <c r="AH123">
        <f>IF(AJ123="Complete","Complete",IF(AG123&lt;0,"Overdue",IF(AG123&lt;=AE123*0.2,"At Risk","On Track")))</f>
        <v/>
      </c>
      <c r="AK123">
        <f>IF(OR(AH123="Overdue",AND(AD123="P0",AG123&lt;1),AND(AD123="P1",AG123&lt;3)),"Y","N")</f>
        <v/>
      </c>
    </row>
    <row r="124">
      <c r="K124">
        <f>IF(J124="v4.0",L124,IF(J124="v3.1",M124,IF(J124="Both",L124,IF(AND(L124&lt;&gt;"",M124=""),L124,M124))))</f>
        <v/>
      </c>
      <c r="Z124">
        <f>MIN(100,
(K124*5) +
(U124*10) +
IF(P124="Y",40,0) +
IF(Q124="P",30,0) +
IF(V124="Y",25,0) +
IF(W124="Y",20,0) +
IF(X124="Weaponized",15,IF(X124="PoC Available",10,IF(X124="Public Exploit",5,0))) +
IF(G124="Production",10,IF(G124="DMZ",8,IF(G124="DR/Backup",5,0))) +
IF(Y124="N",10,0)
)</f>
        <v/>
      </c>
      <c r="AA124">
        <f>IF(OR(P124="Y",AND(K124&gt;=9.0,W124="Y")),"P0",IF(Z124&gt;=80,"P0",IF(Z124&gt;=60,"P1",IF(Z124&gt;=40,"P2",IF(Z124&gt;=20,"P3","P4")))))</f>
        <v/>
      </c>
      <c r="AD124">
        <f>IF(AB124&lt;&gt;"",AB124,AA124)</f>
        <v/>
      </c>
      <c r="AE124">
        <f>VLOOKUP(AD124,SLA_Definitions!$A$2:$B$6,2,FALSE)</f>
        <v/>
      </c>
      <c r="AF124">
        <f>IF(B124&lt;&gt;"",WORKDAY(B124,AE124),"")</f>
        <v/>
      </c>
      <c r="AG124">
        <f>IF(AF124&lt;&gt;"",NETWORKDAYS(TODAY(),AF124),"")</f>
        <v/>
      </c>
      <c r="AH124">
        <f>IF(AJ124="Complete","Complete",IF(AG124&lt;0,"Overdue",IF(AG124&lt;=AE124*0.2,"At Risk","On Track")))</f>
        <v/>
      </c>
      <c r="AK124">
        <f>IF(OR(AH124="Overdue",AND(AD124="P0",AG124&lt;1),AND(AD124="P1",AG124&lt;3)),"Y","N")</f>
        <v/>
      </c>
    </row>
    <row r="125">
      <c r="K125">
        <f>IF(J125="v4.0",L125,IF(J125="v3.1",M125,IF(J125="Both",L125,IF(AND(L125&lt;&gt;"",M125=""),L125,M125))))</f>
        <v/>
      </c>
      <c r="Z125">
        <f>MIN(100,
(K125*5) +
(U125*10) +
IF(P125="Y",40,0) +
IF(Q125="P",30,0) +
IF(V125="Y",25,0) +
IF(W125="Y",20,0) +
IF(X125="Weaponized",15,IF(X125="PoC Available",10,IF(X125="Public Exploit",5,0))) +
IF(G125="Production",10,IF(G125="DMZ",8,IF(G125="DR/Backup",5,0))) +
IF(Y125="N",10,0)
)</f>
        <v/>
      </c>
      <c r="AA125">
        <f>IF(OR(P125="Y",AND(K125&gt;=9.0,W125="Y")),"P0",IF(Z125&gt;=80,"P0",IF(Z125&gt;=60,"P1",IF(Z125&gt;=40,"P2",IF(Z125&gt;=20,"P3","P4")))))</f>
        <v/>
      </c>
      <c r="AD125">
        <f>IF(AB125&lt;&gt;"",AB125,AA125)</f>
        <v/>
      </c>
      <c r="AE125">
        <f>VLOOKUP(AD125,SLA_Definitions!$A$2:$B$6,2,FALSE)</f>
        <v/>
      </c>
      <c r="AF125">
        <f>IF(B125&lt;&gt;"",WORKDAY(B125,AE125),"")</f>
        <v/>
      </c>
      <c r="AG125">
        <f>IF(AF125&lt;&gt;"",NETWORKDAYS(TODAY(),AF125),"")</f>
        <v/>
      </c>
      <c r="AH125">
        <f>IF(AJ125="Complete","Complete",IF(AG125&lt;0,"Overdue",IF(AG125&lt;=AE125*0.2,"At Risk","On Track")))</f>
        <v/>
      </c>
      <c r="AK125">
        <f>IF(OR(AH125="Overdue",AND(AD125="P0",AG125&lt;1),AND(AD125="P1",AG125&lt;3)),"Y","N")</f>
        <v/>
      </c>
    </row>
    <row r="126">
      <c r="K126">
        <f>IF(J126="v4.0",L126,IF(J126="v3.1",M126,IF(J126="Both",L126,IF(AND(L126&lt;&gt;"",M126=""),L126,M126))))</f>
        <v/>
      </c>
      <c r="Z126">
        <f>MIN(100,
(K126*5) +
(U126*10) +
IF(P126="Y",40,0) +
IF(Q126="P",30,0) +
IF(V126="Y",25,0) +
IF(W126="Y",20,0) +
IF(X126="Weaponized",15,IF(X126="PoC Available",10,IF(X126="Public Exploit",5,0))) +
IF(G126="Production",10,IF(G126="DMZ",8,IF(G126="DR/Backup",5,0))) +
IF(Y126="N",10,0)
)</f>
        <v/>
      </c>
      <c r="AA126">
        <f>IF(OR(P126="Y",AND(K126&gt;=9.0,W126="Y")),"P0",IF(Z126&gt;=80,"P0",IF(Z126&gt;=60,"P1",IF(Z126&gt;=40,"P2",IF(Z126&gt;=20,"P3","P4")))))</f>
        <v/>
      </c>
      <c r="AD126">
        <f>IF(AB126&lt;&gt;"",AB126,AA126)</f>
        <v/>
      </c>
      <c r="AE126">
        <f>VLOOKUP(AD126,SLA_Definitions!$A$2:$B$6,2,FALSE)</f>
        <v/>
      </c>
      <c r="AF126">
        <f>IF(B126&lt;&gt;"",WORKDAY(B126,AE126),"")</f>
        <v/>
      </c>
      <c r="AG126">
        <f>IF(AF126&lt;&gt;"",NETWORKDAYS(TODAY(),AF126),"")</f>
        <v/>
      </c>
      <c r="AH126">
        <f>IF(AJ126="Complete","Complete",IF(AG126&lt;0,"Overdue",IF(AG126&lt;=AE126*0.2,"At Risk","On Track")))</f>
        <v/>
      </c>
      <c r="AK126">
        <f>IF(OR(AH126="Overdue",AND(AD126="P0",AG126&lt;1),AND(AD126="P1",AG126&lt;3)),"Y","N")</f>
        <v/>
      </c>
    </row>
    <row r="127">
      <c r="K127">
        <f>IF(J127="v4.0",L127,IF(J127="v3.1",M127,IF(J127="Both",L127,IF(AND(L127&lt;&gt;"",M127=""),L127,M127))))</f>
        <v/>
      </c>
      <c r="Z127">
        <f>MIN(100,
(K127*5) +
(U127*10) +
IF(P127="Y",40,0) +
IF(Q127="P",30,0) +
IF(V127="Y",25,0) +
IF(W127="Y",20,0) +
IF(X127="Weaponized",15,IF(X127="PoC Available",10,IF(X127="Public Exploit",5,0))) +
IF(G127="Production",10,IF(G127="DMZ",8,IF(G127="DR/Backup",5,0))) +
IF(Y127="N",10,0)
)</f>
        <v/>
      </c>
      <c r="AA127">
        <f>IF(OR(P127="Y",AND(K127&gt;=9.0,W127="Y")),"P0",IF(Z127&gt;=80,"P0",IF(Z127&gt;=60,"P1",IF(Z127&gt;=40,"P2",IF(Z127&gt;=20,"P3","P4")))))</f>
        <v/>
      </c>
      <c r="AD127">
        <f>IF(AB127&lt;&gt;"",AB127,AA127)</f>
        <v/>
      </c>
      <c r="AE127">
        <f>VLOOKUP(AD127,SLA_Definitions!$A$2:$B$6,2,FALSE)</f>
        <v/>
      </c>
      <c r="AF127">
        <f>IF(B127&lt;&gt;"",WORKDAY(B127,AE127),"")</f>
        <v/>
      </c>
      <c r="AG127">
        <f>IF(AF127&lt;&gt;"",NETWORKDAYS(TODAY(),AF127),"")</f>
        <v/>
      </c>
      <c r="AH127">
        <f>IF(AJ127="Complete","Complete",IF(AG127&lt;0,"Overdue",IF(AG127&lt;=AE127*0.2,"At Risk","On Track")))</f>
        <v/>
      </c>
      <c r="AK127">
        <f>IF(OR(AH127="Overdue",AND(AD127="P0",AG127&lt;1),AND(AD127="P1",AG127&lt;3)),"Y","N")</f>
        <v/>
      </c>
    </row>
    <row r="128">
      <c r="K128">
        <f>IF(J128="v4.0",L128,IF(J128="v3.1",M128,IF(J128="Both",L128,IF(AND(L128&lt;&gt;"",M128=""),L128,M128))))</f>
        <v/>
      </c>
      <c r="Z128">
        <f>MIN(100,
(K128*5) +
(U128*10) +
IF(P128="Y",40,0) +
IF(Q128="P",30,0) +
IF(V128="Y",25,0) +
IF(W128="Y",20,0) +
IF(X128="Weaponized",15,IF(X128="PoC Available",10,IF(X128="Public Exploit",5,0))) +
IF(G128="Production",10,IF(G128="DMZ",8,IF(G128="DR/Backup",5,0))) +
IF(Y128="N",10,0)
)</f>
        <v/>
      </c>
      <c r="AA128">
        <f>IF(OR(P128="Y",AND(K128&gt;=9.0,W128="Y")),"P0",IF(Z128&gt;=80,"P0",IF(Z128&gt;=60,"P1",IF(Z128&gt;=40,"P2",IF(Z128&gt;=20,"P3","P4")))))</f>
        <v/>
      </c>
      <c r="AD128">
        <f>IF(AB128&lt;&gt;"",AB128,AA128)</f>
        <v/>
      </c>
      <c r="AE128">
        <f>VLOOKUP(AD128,SLA_Definitions!$A$2:$B$6,2,FALSE)</f>
        <v/>
      </c>
      <c r="AF128">
        <f>IF(B128&lt;&gt;"",WORKDAY(B128,AE128),"")</f>
        <v/>
      </c>
      <c r="AG128">
        <f>IF(AF128&lt;&gt;"",NETWORKDAYS(TODAY(),AF128),"")</f>
        <v/>
      </c>
      <c r="AH128">
        <f>IF(AJ128="Complete","Complete",IF(AG128&lt;0,"Overdue",IF(AG128&lt;=AE128*0.2,"At Risk","On Track")))</f>
        <v/>
      </c>
      <c r="AK128">
        <f>IF(OR(AH128="Overdue",AND(AD128="P0",AG128&lt;1),AND(AD128="P1",AG128&lt;3)),"Y","N")</f>
        <v/>
      </c>
    </row>
    <row r="129">
      <c r="K129">
        <f>IF(J129="v4.0",L129,IF(J129="v3.1",M129,IF(J129="Both",L129,IF(AND(L129&lt;&gt;"",M129=""),L129,M129))))</f>
        <v/>
      </c>
      <c r="Z129">
        <f>MIN(100,
(K129*5) +
(U129*10) +
IF(P129="Y",40,0) +
IF(Q129="P",30,0) +
IF(V129="Y",25,0) +
IF(W129="Y",20,0) +
IF(X129="Weaponized",15,IF(X129="PoC Available",10,IF(X129="Public Exploit",5,0))) +
IF(G129="Production",10,IF(G129="DMZ",8,IF(G129="DR/Backup",5,0))) +
IF(Y129="N",10,0)
)</f>
        <v/>
      </c>
      <c r="AA129">
        <f>IF(OR(P129="Y",AND(K129&gt;=9.0,W129="Y")),"P0",IF(Z129&gt;=80,"P0",IF(Z129&gt;=60,"P1",IF(Z129&gt;=40,"P2",IF(Z129&gt;=20,"P3","P4")))))</f>
        <v/>
      </c>
      <c r="AD129">
        <f>IF(AB129&lt;&gt;"",AB129,AA129)</f>
        <v/>
      </c>
      <c r="AE129">
        <f>VLOOKUP(AD129,SLA_Definitions!$A$2:$B$6,2,FALSE)</f>
        <v/>
      </c>
      <c r="AF129">
        <f>IF(B129&lt;&gt;"",WORKDAY(B129,AE129),"")</f>
        <v/>
      </c>
      <c r="AG129">
        <f>IF(AF129&lt;&gt;"",NETWORKDAYS(TODAY(),AF129),"")</f>
        <v/>
      </c>
      <c r="AH129">
        <f>IF(AJ129="Complete","Complete",IF(AG129&lt;0,"Overdue",IF(AG129&lt;=AE129*0.2,"At Risk","On Track")))</f>
        <v/>
      </c>
      <c r="AK129">
        <f>IF(OR(AH129="Overdue",AND(AD129="P0",AG129&lt;1),AND(AD129="P1",AG129&lt;3)),"Y","N")</f>
        <v/>
      </c>
    </row>
    <row r="130">
      <c r="K130">
        <f>IF(J130="v4.0",L130,IF(J130="v3.1",M130,IF(J130="Both",L130,IF(AND(L130&lt;&gt;"",M130=""),L130,M130))))</f>
        <v/>
      </c>
      <c r="Z130">
        <f>MIN(100,
(K130*5) +
(U130*10) +
IF(P130="Y",40,0) +
IF(Q130="P",30,0) +
IF(V130="Y",25,0) +
IF(W130="Y",20,0) +
IF(X130="Weaponized",15,IF(X130="PoC Available",10,IF(X130="Public Exploit",5,0))) +
IF(G130="Production",10,IF(G130="DMZ",8,IF(G130="DR/Backup",5,0))) +
IF(Y130="N",10,0)
)</f>
        <v/>
      </c>
      <c r="AA130">
        <f>IF(OR(P130="Y",AND(K130&gt;=9.0,W130="Y")),"P0",IF(Z130&gt;=80,"P0",IF(Z130&gt;=60,"P1",IF(Z130&gt;=40,"P2",IF(Z130&gt;=20,"P3","P4")))))</f>
        <v/>
      </c>
      <c r="AD130">
        <f>IF(AB130&lt;&gt;"",AB130,AA130)</f>
        <v/>
      </c>
      <c r="AE130">
        <f>VLOOKUP(AD130,SLA_Definitions!$A$2:$B$6,2,FALSE)</f>
        <v/>
      </c>
      <c r="AF130">
        <f>IF(B130&lt;&gt;"",WORKDAY(B130,AE130),"")</f>
        <v/>
      </c>
      <c r="AG130">
        <f>IF(AF130&lt;&gt;"",NETWORKDAYS(TODAY(),AF130),"")</f>
        <v/>
      </c>
      <c r="AH130">
        <f>IF(AJ130="Complete","Complete",IF(AG130&lt;0,"Overdue",IF(AG130&lt;=AE130*0.2,"At Risk","On Track")))</f>
        <v/>
      </c>
      <c r="AK130">
        <f>IF(OR(AH130="Overdue",AND(AD130="P0",AG130&lt;1),AND(AD130="P1",AG130&lt;3)),"Y","N")</f>
        <v/>
      </c>
    </row>
    <row r="131">
      <c r="K131">
        <f>IF(J131="v4.0",L131,IF(J131="v3.1",M131,IF(J131="Both",L131,IF(AND(L131&lt;&gt;"",M131=""),L131,M131))))</f>
        <v/>
      </c>
      <c r="Z131">
        <f>MIN(100,
(K131*5) +
(U131*10) +
IF(P131="Y",40,0) +
IF(Q131="P",30,0) +
IF(V131="Y",25,0) +
IF(W131="Y",20,0) +
IF(X131="Weaponized",15,IF(X131="PoC Available",10,IF(X131="Public Exploit",5,0))) +
IF(G131="Production",10,IF(G131="DMZ",8,IF(G131="DR/Backup",5,0))) +
IF(Y131="N",10,0)
)</f>
        <v/>
      </c>
      <c r="AA131">
        <f>IF(OR(P131="Y",AND(K131&gt;=9.0,W131="Y")),"P0",IF(Z131&gt;=80,"P0",IF(Z131&gt;=60,"P1",IF(Z131&gt;=40,"P2",IF(Z131&gt;=20,"P3","P4")))))</f>
        <v/>
      </c>
      <c r="AD131">
        <f>IF(AB131&lt;&gt;"",AB131,AA131)</f>
        <v/>
      </c>
      <c r="AE131">
        <f>VLOOKUP(AD131,SLA_Definitions!$A$2:$B$6,2,FALSE)</f>
        <v/>
      </c>
      <c r="AF131">
        <f>IF(B131&lt;&gt;"",WORKDAY(B131,AE131),"")</f>
        <v/>
      </c>
      <c r="AG131">
        <f>IF(AF131&lt;&gt;"",NETWORKDAYS(TODAY(),AF131),"")</f>
        <v/>
      </c>
      <c r="AH131">
        <f>IF(AJ131="Complete","Complete",IF(AG131&lt;0,"Overdue",IF(AG131&lt;=AE131*0.2,"At Risk","On Track")))</f>
        <v/>
      </c>
      <c r="AK131">
        <f>IF(OR(AH131="Overdue",AND(AD131="P0",AG131&lt;1),AND(AD131="P1",AG131&lt;3)),"Y","N")</f>
        <v/>
      </c>
    </row>
    <row r="132">
      <c r="K132">
        <f>IF(J132="v4.0",L132,IF(J132="v3.1",M132,IF(J132="Both",L132,IF(AND(L132&lt;&gt;"",M132=""),L132,M132))))</f>
        <v/>
      </c>
      <c r="Z132">
        <f>MIN(100,
(K132*5) +
(U132*10) +
IF(P132="Y",40,0) +
IF(Q132="P",30,0) +
IF(V132="Y",25,0) +
IF(W132="Y",20,0) +
IF(X132="Weaponized",15,IF(X132="PoC Available",10,IF(X132="Public Exploit",5,0))) +
IF(G132="Production",10,IF(G132="DMZ",8,IF(G132="DR/Backup",5,0))) +
IF(Y132="N",10,0)
)</f>
        <v/>
      </c>
      <c r="AA132">
        <f>IF(OR(P132="Y",AND(K132&gt;=9.0,W132="Y")),"P0",IF(Z132&gt;=80,"P0",IF(Z132&gt;=60,"P1",IF(Z132&gt;=40,"P2",IF(Z132&gt;=20,"P3","P4")))))</f>
        <v/>
      </c>
      <c r="AD132">
        <f>IF(AB132&lt;&gt;"",AB132,AA132)</f>
        <v/>
      </c>
      <c r="AE132">
        <f>VLOOKUP(AD132,SLA_Definitions!$A$2:$B$6,2,FALSE)</f>
        <v/>
      </c>
      <c r="AF132">
        <f>IF(B132&lt;&gt;"",WORKDAY(B132,AE132),"")</f>
        <v/>
      </c>
      <c r="AG132">
        <f>IF(AF132&lt;&gt;"",NETWORKDAYS(TODAY(),AF132),"")</f>
        <v/>
      </c>
      <c r="AH132">
        <f>IF(AJ132="Complete","Complete",IF(AG132&lt;0,"Overdue",IF(AG132&lt;=AE132*0.2,"At Risk","On Track")))</f>
        <v/>
      </c>
      <c r="AK132">
        <f>IF(OR(AH132="Overdue",AND(AD132="P0",AG132&lt;1),AND(AD132="P1",AG132&lt;3)),"Y","N")</f>
        <v/>
      </c>
    </row>
    <row r="133">
      <c r="K133">
        <f>IF(J133="v4.0",L133,IF(J133="v3.1",M133,IF(J133="Both",L133,IF(AND(L133&lt;&gt;"",M133=""),L133,M133))))</f>
        <v/>
      </c>
      <c r="Z133">
        <f>MIN(100,
(K133*5) +
(U133*10) +
IF(P133="Y",40,0) +
IF(Q133="P",30,0) +
IF(V133="Y",25,0) +
IF(W133="Y",20,0) +
IF(X133="Weaponized",15,IF(X133="PoC Available",10,IF(X133="Public Exploit",5,0))) +
IF(G133="Production",10,IF(G133="DMZ",8,IF(G133="DR/Backup",5,0))) +
IF(Y133="N",10,0)
)</f>
        <v/>
      </c>
      <c r="AA133">
        <f>IF(OR(P133="Y",AND(K133&gt;=9.0,W133="Y")),"P0",IF(Z133&gt;=80,"P0",IF(Z133&gt;=60,"P1",IF(Z133&gt;=40,"P2",IF(Z133&gt;=20,"P3","P4")))))</f>
        <v/>
      </c>
      <c r="AD133">
        <f>IF(AB133&lt;&gt;"",AB133,AA133)</f>
        <v/>
      </c>
      <c r="AE133">
        <f>VLOOKUP(AD133,SLA_Definitions!$A$2:$B$6,2,FALSE)</f>
        <v/>
      </c>
      <c r="AF133">
        <f>IF(B133&lt;&gt;"",WORKDAY(B133,AE133),"")</f>
        <v/>
      </c>
      <c r="AG133">
        <f>IF(AF133&lt;&gt;"",NETWORKDAYS(TODAY(),AF133),"")</f>
        <v/>
      </c>
      <c r="AH133">
        <f>IF(AJ133="Complete","Complete",IF(AG133&lt;0,"Overdue",IF(AG133&lt;=AE133*0.2,"At Risk","On Track")))</f>
        <v/>
      </c>
      <c r="AK133">
        <f>IF(OR(AH133="Overdue",AND(AD133="P0",AG133&lt;1),AND(AD133="P1",AG133&lt;3)),"Y","N")</f>
        <v/>
      </c>
    </row>
    <row r="134">
      <c r="K134">
        <f>IF(J134="v4.0",L134,IF(J134="v3.1",M134,IF(J134="Both",L134,IF(AND(L134&lt;&gt;"",M134=""),L134,M134))))</f>
        <v/>
      </c>
      <c r="Z134">
        <f>MIN(100,
(K134*5) +
(U134*10) +
IF(P134="Y",40,0) +
IF(Q134="P",30,0) +
IF(V134="Y",25,0) +
IF(W134="Y",20,0) +
IF(X134="Weaponized",15,IF(X134="PoC Available",10,IF(X134="Public Exploit",5,0))) +
IF(G134="Production",10,IF(G134="DMZ",8,IF(G134="DR/Backup",5,0))) +
IF(Y134="N",10,0)
)</f>
        <v/>
      </c>
      <c r="AA134">
        <f>IF(OR(P134="Y",AND(K134&gt;=9.0,W134="Y")),"P0",IF(Z134&gt;=80,"P0",IF(Z134&gt;=60,"P1",IF(Z134&gt;=40,"P2",IF(Z134&gt;=20,"P3","P4")))))</f>
        <v/>
      </c>
      <c r="AD134">
        <f>IF(AB134&lt;&gt;"",AB134,AA134)</f>
        <v/>
      </c>
      <c r="AE134">
        <f>VLOOKUP(AD134,SLA_Definitions!$A$2:$B$6,2,FALSE)</f>
        <v/>
      </c>
      <c r="AF134">
        <f>IF(B134&lt;&gt;"",WORKDAY(B134,AE134),"")</f>
        <v/>
      </c>
      <c r="AG134">
        <f>IF(AF134&lt;&gt;"",NETWORKDAYS(TODAY(),AF134),"")</f>
        <v/>
      </c>
      <c r="AH134">
        <f>IF(AJ134="Complete","Complete",IF(AG134&lt;0,"Overdue",IF(AG134&lt;=AE134*0.2,"At Risk","On Track")))</f>
        <v/>
      </c>
      <c r="AK134">
        <f>IF(OR(AH134="Overdue",AND(AD134="P0",AG134&lt;1),AND(AD134="P1",AG134&lt;3)),"Y","N")</f>
        <v/>
      </c>
    </row>
    <row r="135">
      <c r="K135">
        <f>IF(J135="v4.0",L135,IF(J135="v3.1",M135,IF(J135="Both",L135,IF(AND(L135&lt;&gt;"",M135=""),L135,M135))))</f>
        <v/>
      </c>
      <c r="Z135">
        <f>MIN(100,
(K135*5) +
(U135*10) +
IF(P135="Y",40,0) +
IF(Q135="P",30,0) +
IF(V135="Y",25,0) +
IF(W135="Y",20,0) +
IF(X135="Weaponized",15,IF(X135="PoC Available",10,IF(X135="Public Exploit",5,0))) +
IF(G135="Production",10,IF(G135="DMZ",8,IF(G135="DR/Backup",5,0))) +
IF(Y135="N",10,0)
)</f>
        <v/>
      </c>
      <c r="AA135">
        <f>IF(OR(P135="Y",AND(K135&gt;=9.0,W135="Y")),"P0",IF(Z135&gt;=80,"P0",IF(Z135&gt;=60,"P1",IF(Z135&gt;=40,"P2",IF(Z135&gt;=20,"P3","P4")))))</f>
        <v/>
      </c>
      <c r="AD135">
        <f>IF(AB135&lt;&gt;"",AB135,AA135)</f>
        <v/>
      </c>
      <c r="AE135">
        <f>VLOOKUP(AD135,SLA_Definitions!$A$2:$B$6,2,FALSE)</f>
        <v/>
      </c>
      <c r="AF135">
        <f>IF(B135&lt;&gt;"",WORKDAY(B135,AE135),"")</f>
        <v/>
      </c>
      <c r="AG135">
        <f>IF(AF135&lt;&gt;"",NETWORKDAYS(TODAY(),AF135),"")</f>
        <v/>
      </c>
      <c r="AH135">
        <f>IF(AJ135="Complete","Complete",IF(AG135&lt;0,"Overdue",IF(AG135&lt;=AE135*0.2,"At Risk","On Track")))</f>
        <v/>
      </c>
      <c r="AK135">
        <f>IF(OR(AH135="Overdue",AND(AD135="P0",AG135&lt;1),AND(AD135="P1",AG135&lt;3)),"Y","N")</f>
        <v/>
      </c>
    </row>
    <row r="136">
      <c r="K136">
        <f>IF(J136="v4.0",L136,IF(J136="v3.1",M136,IF(J136="Both",L136,IF(AND(L136&lt;&gt;"",M136=""),L136,M136))))</f>
        <v/>
      </c>
      <c r="Z136">
        <f>MIN(100,
(K136*5) +
(U136*10) +
IF(P136="Y",40,0) +
IF(Q136="P",30,0) +
IF(V136="Y",25,0) +
IF(W136="Y",20,0) +
IF(X136="Weaponized",15,IF(X136="PoC Available",10,IF(X136="Public Exploit",5,0))) +
IF(G136="Production",10,IF(G136="DMZ",8,IF(G136="DR/Backup",5,0))) +
IF(Y136="N",10,0)
)</f>
        <v/>
      </c>
      <c r="AA136">
        <f>IF(OR(P136="Y",AND(K136&gt;=9.0,W136="Y")),"P0",IF(Z136&gt;=80,"P0",IF(Z136&gt;=60,"P1",IF(Z136&gt;=40,"P2",IF(Z136&gt;=20,"P3","P4")))))</f>
        <v/>
      </c>
      <c r="AD136">
        <f>IF(AB136&lt;&gt;"",AB136,AA136)</f>
        <v/>
      </c>
      <c r="AE136">
        <f>VLOOKUP(AD136,SLA_Definitions!$A$2:$B$6,2,FALSE)</f>
        <v/>
      </c>
      <c r="AF136">
        <f>IF(B136&lt;&gt;"",WORKDAY(B136,AE136),"")</f>
        <v/>
      </c>
      <c r="AG136">
        <f>IF(AF136&lt;&gt;"",NETWORKDAYS(TODAY(),AF136),"")</f>
        <v/>
      </c>
      <c r="AH136">
        <f>IF(AJ136="Complete","Complete",IF(AG136&lt;0,"Overdue",IF(AG136&lt;=AE136*0.2,"At Risk","On Track")))</f>
        <v/>
      </c>
      <c r="AK136">
        <f>IF(OR(AH136="Overdue",AND(AD136="P0",AG136&lt;1),AND(AD136="P1",AG136&lt;3)),"Y","N")</f>
        <v/>
      </c>
    </row>
    <row r="137">
      <c r="K137">
        <f>IF(J137="v4.0",L137,IF(J137="v3.1",M137,IF(J137="Both",L137,IF(AND(L137&lt;&gt;"",M137=""),L137,M137))))</f>
        <v/>
      </c>
      <c r="Z137">
        <f>MIN(100,
(K137*5) +
(U137*10) +
IF(P137="Y",40,0) +
IF(Q137="P",30,0) +
IF(V137="Y",25,0) +
IF(W137="Y",20,0) +
IF(X137="Weaponized",15,IF(X137="PoC Available",10,IF(X137="Public Exploit",5,0))) +
IF(G137="Production",10,IF(G137="DMZ",8,IF(G137="DR/Backup",5,0))) +
IF(Y137="N",10,0)
)</f>
        <v/>
      </c>
      <c r="AA137">
        <f>IF(OR(P137="Y",AND(K137&gt;=9.0,W137="Y")),"P0",IF(Z137&gt;=80,"P0",IF(Z137&gt;=60,"P1",IF(Z137&gt;=40,"P2",IF(Z137&gt;=20,"P3","P4")))))</f>
        <v/>
      </c>
      <c r="AD137">
        <f>IF(AB137&lt;&gt;"",AB137,AA137)</f>
        <v/>
      </c>
      <c r="AE137">
        <f>VLOOKUP(AD137,SLA_Definitions!$A$2:$B$6,2,FALSE)</f>
        <v/>
      </c>
      <c r="AF137">
        <f>IF(B137&lt;&gt;"",WORKDAY(B137,AE137),"")</f>
        <v/>
      </c>
      <c r="AG137">
        <f>IF(AF137&lt;&gt;"",NETWORKDAYS(TODAY(),AF137),"")</f>
        <v/>
      </c>
      <c r="AH137">
        <f>IF(AJ137="Complete","Complete",IF(AG137&lt;0,"Overdue",IF(AG137&lt;=AE137*0.2,"At Risk","On Track")))</f>
        <v/>
      </c>
      <c r="AK137">
        <f>IF(OR(AH137="Overdue",AND(AD137="P0",AG137&lt;1),AND(AD137="P1",AG137&lt;3)),"Y","N")</f>
        <v/>
      </c>
    </row>
    <row r="138">
      <c r="K138">
        <f>IF(J138="v4.0",L138,IF(J138="v3.1",M138,IF(J138="Both",L138,IF(AND(L138&lt;&gt;"",M138=""),L138,M138))))</f>
        <v/>
      </c>
      <c r="Z138">
        <f>MIN(100,
(K138*5) +
(U138*10) +
IF(P138="Y",40,0) +
IF(Q138="P",30,0) +
IF(V138="Y",25,0) +
IF(W138="Y",20,0) +
IF(X138="Weaponized",15,IF(X138="PoC Available",10,IF(X138="Public Exploit",5,0))) +
IF(G138="Production",10,IF(G138="DMZ",8,IF(G138="DR/Backup",5,0))) +
IF(Y138="N",10,0)
)</f>
        <v/>
      </c>
      <c r="AA138">
        <f>IF(OR(P138="Y",AND(K138&gt;=9.0,W138="Y")),"P0",IF(Z138&gt;=80,"P0",IF(Z138&gt;=60,"P1",IF(Z138&gt;=40,"P2",IF(Z138&gt;=20,"P3","P4")))))</f>
        <v/>
      </c>
      <c r="AD138">
        <f>IF(AB138&lt;&gt;"",AB138,AA138)</f>
        <v/>
      </c>
      <c r="AE138">
        <f>VLOOKUP(AD138,SLA_Definitions!$A$2:$B$6,2,FALSE)</f>
        <v/>
      </c>
      <c r="AF138">
        <f>IF(B138&lt;&gt;"",WORKDAY(B138,AE138),"")</f>
        <v/>
      </c>
      <c r="AG138">
        <f>IF(AF138&lt;&gt;"",NETWORKDAYS(TODAY(),AF138),"")</f>
        <v/>
      </c>
      <c r="AH138">
        <f>IF(AJ138="Complete","Complete",IF(AG138&lt;0,"Overdue",IF(AG138&lt;=AE138*0.2,"At Risk","On Track")))</f>
        <v/>
      </c>
      <c r="AK138">
        <f>IF(OR(AH138="Overdue",AND(AD138="P0",AG138&lt;1),AND(AD138="P1",AG138&lt;3)),"Y","N")</f>
        <v/>
      </c>
    </row>
    <row r="139">
      <c r="K139">
        <f>IF(J139="v4.0",L139,IF(J139="v3.1",M139,IF(J139="Both",L139,IF(AND(L139&lt;&gt;"",M139=""),L139,M139))))</f>
        <v/>
      </c>
      <c r="Z139">
        <f>MIN(100,
(K139*5) +
(U139*10) +
IF(P139="Y",40,0) +
IF(Q139="P",30,0) +
IF(V139="Y",25,0) +
IF(W139="Y",20,0) +
IF(X139="Weaponized",15,IF(X139="PoC Available",10,IF(X139="Public Exploit",5,0))) +
IF(G139="Production",10,IF(G139="DMZ",8,IF(G139="DR/Backup",5,0))) +
IF(Y139="N",10,0)
)</f>
        <v/>
      </c>
      <c r="AA139">
        <f>IF(OR(P139="Y",AND(K139&gt;=9.0,W139="Y")),"P0",IF(Z139&gt;=80,"P0",IF(Z139&gt;=60,"P1",IF(Z139&gt;=40,"P2",IF(Z139&gt;=20,"P3","P4")))))</f>
        <v/>
      </c>
      <c r="AD139">
        <f>IF(AB139&lt;&gt;"",AB139,AA139)</f>
        <v/>
      </c>
      <c r="AE139">
        <f>VLOOKUP(AD139,SLA_Definitions!$A$2:$B$6,2,FALSE)</f>
        <v/>
      </c>
      <c r="AF139">
        <f>IF(B139&lt;&gt;"",WORKDAY(B139,AE139),"")</f>
        <v/>
      </c>
      <c r="AG139">
        <f>IF(AF139&lt;&gt;"",NETWORKDAYS(TODAY(),AF139),"")</f>
        <v/>
      </c>
      <c r="AH139">
        <f>IF(AJ139="Complete","Complete",IF(AG139&lt;0,"Overdue",IF(AG139&lt;=AE139*0.2,"At Risk","On Track")))</f>
        <v/>
      </c>
      <c r="AK139">
        <f>IF(OR(AH139="Overdue",AND(AD139="P0",AG139&lt;1),AND(AD139="P1",AG139&lt;3)),"Y","N")</f>
        <v/>
      </c>
    </row>
    <row r="140">
      <c r="K140">
        <f>IF(J140="v4.0",L140,IF(J140="v3.1",M140,IF(J140="Both",L140,IF(AND(L140&lt;&gt;"",M140=""),L140,M140))))</f>
        <v/>
      </c>
      <c r="Z140">
        <f>MIN(100,
(K140*5) +
(U140*10) +
IF(P140="Y",40,0) +
IF(Q140="P",30,0) +
IF(V140="Y",25,0) +
IF(W140="Y",20,0) +
IF(X140="Weaponized",15,IF(X140="PoC Available",10,IF(X140="Public Exploit",5,0))) +
IF(G140="Production",10,IF(G140="DMZ",8,IF(G140="DR/Backup",5,0))) +
IF(Y140="N",10,0)
)</f>
        <v/>
      </c>
      <c r="AA140">
        <f>IF(OR(P140="Y",AND(K140&gt;=9.0,W140="Y")),"P0",IF(Z140&gt;=80,"P0",IF(Z140&gt;=60,"P1",IF(Z140&gt;=40,"P2",IF(Z140&gt;=20,"P3","P4")))))</f>
        <v/>
      </c>
      <c r="AD140">
        <f>IF(AB140&lt;&gt;"",AB140,AA140)</f>
        <v/>
      </c>
      <c r="AE140">
        <f>VLOOKUP(AD140,SLA_Definitions!$A$2:$B$6,2,FALSE)</f>
        <v/>
      </c>
      <c r="AF140">
        <f>IF(B140&lt;&gt;"",WORKDAY(B140,AE140),"")</f>
        <v/>
      </c>
      <c r="AG140">
        <f>IF(AF140&lt;&gt;"",NETWORKDAYS(TODAY(),AF140),"")</f>
        <v/>
      </c>
      <c r="AH140">
        <f>IF(AJ140="Complete","Complete",IF(AG140&lt;0,"Overdue",IF(AG140&lt;=AE140*0.2,"At Risk","On Track")))</f>
        <v/>
      </c>
      <c r="AK140">
        <f>IF(OR(AH140="Overdue",AND(AD140="P0",AG140&lt;1),AND(AD140="P1",AG140&lt;3)),"Y","N")</f>
        <v/>
      </c>
    </row>
    <row r="141">
      <c r="K141">
        <f>IF(J141="v4.0",L141,IF(J141="v3.1",M141,IF(J141="Both",L141,IF(AND(L141&lt;&gt;"",M141=""),L141,M141))))</f>
        <v/>
      </c>
      <c r="Z141">
        <f>MIN(100,
(K141*5) +
(U141*10) +
IF(P141="Y",40,0) +
IF(Q141="P",30,0) +
IF(V141="Y",25,0) +
IF(W141="Y",20,0) +
IF(X141="Weaponized",15,IF(X141="PoC Available",10,IF(X141="Public Exploit",5,0))) +
IF(G141="Production",10,IF(G141="DMZ",8,IF(G141="DR/Backup",5,0))) +
IF(Y141="N",10,0)
)</f>
        <v/>
      </c>
      <c r="AA141">
        <f>IF(OR(P141="Y",AND(K141&gt;=9.0,W141="Y")),"P0",IF(Z141&gt;=80,"P0",IF(Z141&gt;=60,"P1",IF(Z141&gt;=40,"P2",IF(Z141&gt;=20,"P3","P4")))))</f>
        <v/>
      </c>
      <c r="AD141">
        <f>IF(AB141&lt;&gt;"",AB141,AA141)</f>
        <v/>
      </c>
      <c r="AE141">
        <f>VLOOKUP(AD141,SLA_Definitions!$A$2:$B$6,2,FALSE)</f>
        <v/>
      </c>
      <c r="AF141">
        <f>IF(B141&lt;&gt;"",WORKDAY(B141,AE141),"")</f>
        <v/>
      </c>
      <c r="AG141">
        <f>IF(AF141&lt;&gt;"",NETWORKDAYS(TODAY(),AF141),"")</f>
        <v/>
      </c>
      <c r="AH141">
        <f>IF(AJ141="Complete","Complete",IF(AG141&lt;0,"Overdue",IF(AG141&lt;=AE141*0.2,"At Risk","On Track")))</f>
        <v/>
      </c>
      <c r="AK141">
        <f>IF(OR(AH141="Overdue",AND(AD141="P0",AG141&lt;1),AND(AD141="P1",AG141&lt;3)),"Y","N")</f>
        <v/>
      </c>
    </row>
    <row r="142">
      <c r="K142">
        <f>IF(J142="v4.0",L142,IF(J142="v3.1",M142,IF(J142="Both",L142,IF(AND(L142&lt;&gt;"",M142=""),L142,M142))))</f>
        <v/>
      </c>
      <c r="Z142">
        <f>MIN(100,
(K142*5) +
(U142*10) +
IF(P142="Y",40,0) +
IF(Q142="P",30,0) +
IF(V142="Y",25,0) +
IF(W142="Y",20,0) +
IF(X142="Weaponized",15,IF(X142="PoC Available",10,IF(X142="Public Exploit",5,0))) +
IF(G142="Production",10,IF(G142="DMZ",8,IF(G142="DR/Backup",5,0))) +
IF(Y142="N",10,0)
)</f>
        <v/>
      </c>
      <c r="AA142">
        <f>IF(OR(P142="Y",AND(K142&gt;=9.0,W142="Y")),"P0",IF(Z142&gt;=80,"P0",IF(Z142&gt;=60,"P1",IF(Z142&gt;=40,"P2",IF(Z142&gt;=20,"P3","P4")))))</f>
        <v/>
      </c>
      <c r="AD142">
        <f>IF(AB142&lt;&gt;"",AB142,AA142)</f>
        <v/>
      </c>
      <c r="AE142">
        <f>VLOOKUP(AD142,SLA_Definitions!$A$2:$B$6,2,FALSE)</f>
        <v/>
      </c>
      <c r="AF142">
        <f>IF(B142&lt;&gt;"",WORKDAY(B142,AE142),"")</f>
        <v/>
      </c>
      <c r="AG142">
        <f>IF(AF142&lt;&gt;"",NETWORKDAYS(TODAY(),AF142),"")</f>
        <v/>
      </c>
      <c r="AH142">
        <f>IF(AJ142="Complete","Complete",IF(AG142&lt;0,"Overdue",IF(AG142&lt;=AE142*0.2,"At Risk","On Track")))</f>
        <v/>
      </c>
      <c r="AK142">
        <f>IF(OR(AH142="Overdue",AND(AD142="P0",AG142&lt;1),AND(AD142="P1",AG142&lt;3)),"Y","N")</f>
        <v/>
      </c>
    </row>
    <row r="143">
      <c r="K143">
        <f>IF(J143="v4.0",L143,IF(J143="v3.1",M143,IF(J143="Both",L143,IF(AND(L143&lt;&gt;"",M143=""),L143,M143))))</f>
        <v/>
      </c>
      <c r="Z143">
        <f>MIN(100,
(K143*5) +
(U143*10) +
IF(P143="Y",40,0) +
IF(Q143="P",30,0) +
IF(V143="Y",25,0) +
IF(W143="Y",20,0) +
IF(X143="Weaponized",15,IF(X143="PoC Available",10,IF(X143="Public Exploit",5,0))) +
IF(G143="Production",10,IF(G143="DMZ",8,IF(G143="DR/Backup",5,0))) +
IF(Y143="N",10,0)
)</f>
        <v/>
      </c>
      <c r="AA143">
        <f>IF(OR(P143="Y",AND(K143&gt;=9.0,W143="Y")),"P0",IF(Z143&gt;=80,"P0",IF(Z143&gt;=60,"P1",IF(Z143&gt;=40,"P2",IF(Z143&gt;=20,"P3","P4")))))</f>
        <v/>
      </c>
      <c r="AD143">
        <f>IF(AB143&lt;&gt;"",AB143,AA143)</f>
        <v/>
      </c>
      <c r="AE143">
        <f>VLOOKUP(AD143,SLA_Definitions!$A$2:$B$6,2,FALSE)</f>
        <v/>
      </c>
      <c r="AF143">
        <f>IF(B143&lt;&gt;"",WORKDAY(B143,AE143),"")</f>
        <v/>
      </c>
      <c r="AG143">
        <f>IF(AF143&lt;&gt;"",NETWORKDAYS(TODAY(),AF143),"")</f>
        <v/>
      </c>
      <c r="AH143">
        <f>IF(AJ143="Complete","Complete",IF(AG143&lt;0,"Overdue",IF(AG143&lt;=AE143*0.2,"At Risk","On Track")))</f>
        <v/>
      </c>
      <c r="AK143">
        <f>IF(OR(AH143="Overdue",AND(AD143="P0",AG143&lt;1),AND(AD143="P1",AG143&lt;3)),"Y","N")</f>
        <v/>
      </c>
    </row>
    <row r="144">
      <c r="K144">
        <f>IF(J144="v4.0",L144,IF(J144="v3.1",M144,IF(J144="Both",L144,IF(AND(L144&lt;&gt;"",M144=""),L144,M144))))</f>
        <v/>
      </c>
      <c r="Z144">
        <f>MIN(100,
(K144*5) +
(U144*10) +
IF(P144="Y",40,0) +
IF(Q144="P",30,0) +
IF(V144="Y",25,0) +
IF(W144="Y",20,0) +
IF(X144="Weaponized",15,IF(X144="PoC Available",10,IF(X144="Public Exploit",5,0))) +
IF(G144="Production",10,IF(G144="DMZ",8,IF(G144="DR/Backup",5,0))) +
IF(Y144="N",10,0)
)</f>
        <v/>
      </c>
      <c r="AA144">
        <f>IF(OR(P144="Y",AND(K144&gt;=9.0,W144="Y")),"P0",IF(Z144&gt;=80,"P0",IF(Z144&gt;=60,"P1",IF(Z144&gt;=40,"P2",IF(Z144&gt;=20,"P3","P4")))))</f>
        <v/>
      </c>
      <c r="AD144">
        <f>IF(AB144&lt;&gt;"",AB144,AA144)</f>
        <v/>
      </c>
      <c r="AE144">
        <f>VLOOKUP(AD144,SLA_Definitions!$A$2:$B$6,2,FALSE)</f>
        <v/>
      </c>
      <c r="AF144">
        <f>IF(B144&lt;&gt;"",WORKDAY(B144,AE144),"")</f>
        <v/>
      </c>
      <c r="AG144">
        <f>IF(AF144&lt;&gt;"",NETWORKDAYS(TODAY(),AF144),"")</f>
        <v/>
      </c>
      <c r="AH144">
        <f>IF(AJ144="Complete","Complete",IF(AG144&lt;0,"Overdue",IF(AG144&lt;=AE144*0.2,"At Risk","On Track")))</f>
        <v/>
      </c>
      <c r="AK144">
        <f>IF(OR(AH144="Overdue",AND(AD144="P0",AG144&lt;1),AND(AD144="P1",AG144&lt;3)),"Y","N")</f>
        <v/>
      </c>
    </row>
    <row r="145">
      <c r="K145">
        <f>IF(J145="v4.0",L145,IF(J145="v3.1",M145,IF(J145="Both",L145,IF(AND(L145&lt;&gt;"",M145=""),L145,M145))))</f>
        <v/>
      </c>
      <c r="Z145">
        <f>MIN(100,
(K145*5) +
(U145*10) +
IF(P145="Y",40,0) +
IF(Q145="P",30,0) +
IF(V145="Y",25,0) +
IF(W145="Y",20,0) +
IF(X145="Weaponized",15,IF(X145="PoC Available",10,IF(X145="Public Exploit",5,0))) +
IF(G145="Production",10,IF(G145="DMZ",8,IF(G145="DR/Backup",5,0))) +
IF(Y145="N",10,0)
)</f>
        <v/>
      </c>
      <c r="AA145">
        <f>IF(OR(P145="Y",AND(K145&gt;=9.0,W145="Y")),"P0",IF(Z145&gt;=80,"P0",IF(Z145&gt;=60,"P1",IF(Z145&gt;=40,"P2",IF(Z145&gt;=20,"P3","P4")))))</f>
        <v/>
      </c>
      <c r="AD145">
        <f>IF(AB145&lt;&gt;"",AB145,AA145)</f>
        <v/>
      </c>
      <c r="AE145">
        <f>VLOOKUP(AD145,SLA_Definitions!$A$2:$B$6,2,FALSE)</f>
        <v/>
      </c>
      <c r="AF145">
        <f>IF(B145&lt;&gt;"",WORKDAY(B145,AE145),"")</f>
        <v/>
      </c>
      <c r="AG145">
        <f>IF(AF145&lt;&gt;"",NETWORKDAYS(TODAY(),AF145),"")</f>
        <v/>
      </c>
      <c r="AH145">
        <f>IF(AJ145="Complete","Complete",IF(AG145&lt;0,"Overdue",IF(AG145&lt;=AE145*0.2,"At Risk","On Track")))</f>
        <v/>
      </c>
      <c r="AK145">
        <f>IF(OR(AH145="Overdue",AND(AD145="P0",AG145&lt;1),AND(AD145="P1",AG145&lt;3)),"Y","N")</f>
        <v/>
      </c>
    </row>
    <row r="146">
      <c r="K146">
        <f>IF(J146="v4.0",L146,IF(J146="v3.1",M146,IF(J146="Both",L146,IF(AND(L146&lt;&gt;"",M146=""),L146,M146))))</f>
        <v/>
      </c>
      <c r="Z146">
        <f>MIN(100,
(K146*5) +
(U146*10) +
IF(P146="Y",40,0) +
IF(Q146="P",30,0) +
IF(V146="Y",25,0) +
IF(W146="Y",20,0) +
IF(X146="Weaponized",15,IF(X146="PoC Available",10,IF(X146="Public Exploit",5,0))) +
IF(G146="Production",10,IF(G146="DMZ",8,IF(G146="DR/Backup",5,0))) +
IF(Y146="N",10,0)
)</f>
        <v/>
      </c>
      <c r="AA146">
        <f>IF(OR(P146="Y",AND(K146&gt;=9.0,W146="Y")),"P0",IF(Z146&gt;=80,"P0",IF(Z146&gt;=60,"P1",IF(Z146&gt;=40,"P2",IF(Z146&gt;=20,"P3","P4")))))</f>
        <v/>
      </c>
      <c r="AD146">
        <f>IF(AB146&lt;&gt;"",AB146,AA146)</f>
        <v/>
      </c>
      <c r="AE146">
        <f>VLOOKUP(AD146,SLA_Definitions!$A$2:$B$6,2,FALSE)</f>
        <v/>
      </c>
      <c r="AF146">
        <f>IF(B146&lt;&gt;"",WORKDAY(B146,AE146),"")</f>
        <v/>
      </c>
      <c r="AG146">
        <f>IF(AF146&lt;&gt;"",NETWORKDAYS(TODAY(),AF146),"")</f>
        <v/>
      </c>
      <c r="AH146">
        <f>IF(AJ146="Complete","Complete",IF(AG146&lt;0,"Overdue",IF(AG146&lt;=AE146*0.2,"At Risk","On Track")))</f>
        <v/>
      </c>
      <c r="AK146">
        <f>IF(OR(AH146="Overdue",AND(AD146="P0",AG146&lt;1),AND(AD146="P1",AG146&lt;3)),"Y","N")</f>
        <v/>
      </c>
    </row>
    <row r="147">
      <c r="K147">
        <f>IF(J147="v4.0",L147,IF(J147="v3.1",M147,IF(J147="Both",L147,IF(AND(L147&lt;&gt;"",M147=""),L147,M147))))</f>
        <v/>
      </c>
      <c r="Z147">
        <f>MIN(100,
(K147*5) +
(U147*10) +
IF(P147="Y",40,0) +
IF(Q147="P",30,0) +
IF(V147="Y",25,0) +
IF(W147="Y",20,0) +
IF(X147="Weaponized",15,IF(X147="PoC Available",10,IF(X147="Public Exploit",5,0))) +
IF(G147="Production",10,IF(G147="DMZ",8,IF(G147="DR/Backup",5,0))) +
IF(Y147="N",10,0)
)</f>
        <v/>
      </c>
      <c r="AA147">
        <f>IF(OR(P147="Y",AND(K147&gt;=9.0,W147="Y")),"P0",IF(Z147&gt;=80,"P0",IF(Z147&gt;=60,"P1",IF(Z147&gt;=40,"P2",IF(Z147&gt;=20,"P3","P4")))))</f>
        <v/>
      </c>
      <c r="AD147">
        <f>IF(AB147&lt;&gt;"",AB147,AA147)</f>
        <v/>
      </c>
      <c r="AE147">
        <f>VLOOKUP(AD147,SLA_Definitions!$A$2:$B$6,2,FALSE)</f>
        <v/>
      </c>
      <c r="AF147">
        <f>IF(B147&lt;&gt;"",WORKDAY(B147,AE147),"")</f>
        <v/>
      </c>
      <c r="AG147">
        <f>IF(AF147&lt;&gt;"",NETWORKDAYS(TODAY(),AF147),"")</f>
        <v/>
      </c>
      <c r="AH147">
        <f>IF(AJ147="Complete","Complete",IF(AG147&lt;0,"Overdue",IF(AG147&lt;=AE147*0.2,"At Risk","On Track")))</f>
        <v/>
      </c>
      <c r="AK147">
        <f>IF(OR(AH147="Overdue",AND(AD147="P0",AG147&lt;1),AND(AD147="P1",AG147&lt;3)),"Y","N")</f>
        <v/>
      </c>
    </row>
    <row r="148">
      <c r="K148">
        <f>IF(J148="v4.0",L148,IF(J148="v3.1",M148,IF(J148="Both",L148,IF(AND(L148&lt;&gt;"",M148=""),L148,M148))))</f>
        <v/>
      </c>
      <c r="Z148">
        <f>MIN(100,
(K148*5) +
(U148*10) +
IF(P148="Y",40,0) +
IF(Q148="P",30,0) +
IF(V148="Y",25,0) +
IF(W148="Y",20,0) +
IF(X148="Weaponized",15,IF(X148="PoC Available",10,IF(X148="Public Exploit",5,0))) +
IF(G148="Production",10,IF(G148="DMZ",8,IF(G148="DR/Backup",5,0))) +
IF(Y148="N",10,0)
)</f>
        <v/>
      </c>
      <c r="AA148">
        <f>IF(OR(P148="Y",AND(K148&gt;=9.0,W148="Y")),"P0",IF(Z148&gt;=80,"P0",IF(Z148&gt;=60,"P1",IF(Z148&gt;=40,"P2",IF(Z148&gt;=20,"P3","P4")))))</f>
        <v/>
      </c>
      <c r="AD148">
        <f>IF(AB148&lt;&gt;"",AB148,AA148)</f>
        <v/>
      </c>
      <c r="AE148">
        <f>VLOOKUP(AD148,SLA_Definitions!$A$2:$B$6,2,FALSE)</f>
        <v/>
      </c>
      <c r="AF148">
        <f>IF(B148&lt;&gt;"",WORKDAY(B148,AE148),"")</f>
        <v/>
      </c>
      <c r="AG148">
        <f>IF(AF148&lt;&gt;"",NETWORKDAYS(TODAY(),AF148),"")</f>
        <v/>
      </c>
      <c r="AH148">
        <f>IF(AJ148="Complete","Complete",IF(AG148&lt;0,"Overdue",IF(AG148&lt;=AE148*0.2,"At Risk","On Track")))</f>
        <v/>
      </c>
      <c r="AK148">
        <f>IF(OR(AH148="Overdue",AND(AD148="P0",AG148&lt;1),AND(AD148="P1",AG148&lt;3)),"Y","N")</f>
        <v/>
      </c>
    </row>
    <row r="149">
      <c r="K149">
        <f>IF(J149="v4.0",L149,IF(J149="v3.1",M149,IF(J149="Both",L149,IF(AND(L149&lt;&gt;"",M149=""),L149,M149))))</f>
        <v/>
      </c>
      <c r="Z149">
        <f>MIN(100,
(K149*5) +
(U149*10) +
IF(P149="Y",40,0) +
IF(Q149="P",30,0) +
IF(V149="Y",25,0) +
IF(W149="Y",20,0) +
IF(X149="Weaponized",15,IF(X149="PoC Available",10,IF(X149="Public Exploit",5,0))) +
IF(G149="Production",10,IF(G149="DMZ",8,IF(G149="DR/Backup",5,0))) +
IF(Y149="N",10,0)
)</f>
        <v/>
      </c>
      <c r="AA149">
        <f>IF(OR(P149="Y",AND(K149&gt;=9.0,W149="Y")),"P0",IF(Z149&gt;=80,"P0",IF(Z149&gt;=60,"P1",IF(Z149&gt;=40,"P2",IF(Z149&gt;=20,"P3","P4")))))</f>
        <v/>
      </c>
      <c r="AD149">
        <f>IF(AB149&lt;&gt;"",AB149,AA149)</f>
        <v/>
      </c>
      <c r="AE149">
        <f>VLOOKUP(AD149,SLA_Definitions!$A$2:$B$6,2,FALSE)</f>
        <v/>
      </c>
      <c r="AF149">
        <f>IF(B149&lt;&gt;"",WORKDAY(B149,AE149),"")</f>
        <v/>
      </c>
      <c r="AG149">
        <f>IF(AF149&lt;&gt;"",NETWORKDAYS(TODAY(),AF149),"")</f>
        <v/>
      </c>
      <c r="AH149">
        <f>IF(AJ149="Complete","Complete",IF(AG149&lt;0,"Overdue",IF(AG149&lt;=AE149*0.2,"At Risk","On Track")))</f>
        <v/>
      </c>
      <c r="AK149">
        <f>IF(OR(AH149="Overdue",AND(AD149="P0",AG149&lt;1),AND(AD149="P1",AG149&lt;3)),"Y","N")</f>
        <v/>
      </c>
    </row>
    <row r="150">
      <c r="K150">
        <f>IF(J150="v4.0",L150,IF(J150="v3.1",M150,IF(J150="Both",L150,IF(AND(L150&lt;&gt;"",M150=""),L150,M150))))</f>
        <v/>
      </c>
      <c r="Z150">
        <f>MIN(100,
(K150*5) +
(U150*10) +
IF(P150="Y",40,0) +
IF(Q150="P",30,0) +
IF(V150="Y",25,0) +
IF(W150="Y",20,0) +
IF(X150="Weaponized",15,IF(X150="PoC Available",10,IF(X150="Public Exploit",5,0))) +
IF(G150="Production",10,IF(G150="DMZ",8,IF(G150="DR/Backup",5,0))) +
IF(Y150="N",10,0)
)</f>
        <v/>
      </c>
      <c r="AA150">
        <f>IF(OR(P150="Y",AND(K150&gt;=9.0,W150="Y")),"P0",IF(Z150&gt;=80,"P0",IF(Z150&gt;=60,"P1",IF(Z150&gt;=40,"P2",IF(Z150&gt;=20,"P3","P4")))))</f>
        <v/>
      </c>
      <c r="AD150">
        <f>IF(AB150&lt;&gt;"",AB150,AA150)</f>
        <v/>
      </c>
      <c r="AE150">
        <f>VLOOKUP(AD150,SLA_Definitions!$A$2:$B$6,2,FALSE)</f>
        <v/>
      </c>
      <c r="AF150">
        <f>IF(B150&lt;&gt;"",WORKDAY(B150,AE150),"")</f>
        <v/>
      </c>
      <c r="AG150">
        <f>IF(AF150&lt;&gt;"",NETWORKDAYS(TODAY(),AF150),"")</f>
        <v/>
      </c>
      <c r="AH150">
        <f>IF(AJ150="Complete","Complete",IF(AG150&lt;0,"Overdue",IF(AG150&lt;=AE150*0.2,"At Risk","On Track")))</f>
        <v/>
      </c>
      <c r="AK150">
        <f>IF(OR(AH150="Overdue",AND(AD150="P0",AG150&lt;1),AND(AD150="P1",AG150&lt;3)),"Y","N")</f>
        <v/>
      </c>
    </row>
    <row r="151">
      <c r="K151">
        <f>IF(J151="v4.0",L151,IF(J151="v3.1",M151,IF(J151="Both",L151,IF(AND(L151&lt;&gt;"",M151=""),L151,M151))))</f>
        <v/>
      </c>
      <c r="Z151">
        <f>MIN(100,
(K151*5) +
(U151*10) +
IF(P151="Y",40,0) +
IF(Q151="P",30,0) +
IF(V151="Y",25,0) +
IF(W151="Y",20,0) +
IF(X151="Weaponized",15,IF(X151="PoC Available",10,IF(X151="Public Exploit",5,0))) +
IF(G151="Production",10,IF(G151="DMZ",8,IF(G151="DR/Backup",5,0))) +
IF(Y151="N",10,0)
)</f>
        <v/>
      </c>
      <c r="AA151">
        <f>IF(OR(P151="Y",AND(K151&gt;=9.0,W151="Y")),"P0",IF(Z151&gt;=80,"P0",IF(Z151&gt;=60,"P1",IF(Z151&gt;=40,"P2",IF(Z151&gt;=20,"P3","P4")))))</f>
        <v/>
      </c>
      <c r="AD151">
        <f>IF(AB151&lt;&gt;"",AB151,AA151)</f>
        <v/>
      </c>
      <c r="AE151">
        <f>VLOOKUP(AD151,SLA_Definitions!$A$2:$B$6,2,FALSE)</f>
        <v/>
      </c>
      <c r="AF151">
        <f>IF(B151&lt;&gt;"",WORKDAY(B151,AE151),"")</f>
        <v/>
      </c>
      <c r="AG151">
        <f>IF(AF151&lt;&gt;"",NETWORKDAYS(TODAY(),AF151),"")</f>
        <v/>
      </c>
      <c r="AH151">
        <f>IF(AJ151="Complete","Complete",IF(AG151&lt;0,"Overdue",IF(AG151&lt;=AE151*0.2,"At Risk","On Track")))</f>
        <v/>
      </c>
      <c r="AK151">
        <f>IF(OR(AH151="Overdue",AND(AD151="P0",AG151&lt;1),AND(AD151="P1",AG151&lt;3)),"Y","N")</f>
        <v/>
      </c>
    </row>
    <row r="152">
      <c r="K152">
        <f>IF(J152="v4.0",L152,IF(J152="v3.1",M152,IF(J152="Both",L152,IF(AND(L152&lt;&gt;"",M152=""),L152,M152))))</f>
        <v/>
      </c>
      <c r="Z152">
        <f>MIN(100,
(K152*5) +
(U152*10) +
IF(P152="Y",40,0) +
IF(Q152="P",30,0) +
IF(V152="Y",25,0) +
IF(W152="Y",20,0) +
IF(X152="Weaponized",15,IF(X152="PoC Available",10,IF(X152="Public Exploit",5,0))) +
IF(G152="Production",10,IF(G152="DMZ",8,IF(G152="DR/Backup",5,0))) +
IF(Y152="N",10,0)
)</f>
        <v/>
      </c>
      <c r="AA152">
        <f>IF(OR(P152="Y",AND(K152&gt;=9.0,W152="Y")),"P0",IF(Z152&gt;=80,"P0",IF(Z152&gt;=60,"P1",IF(Z152&gt;=40,"P2",IF(Z152&gt;=20,"P3","P4")))))</f>
        <v/>
      </c>
      <c r="AD152">
        <f>IF(AB152&lt;&gt;"",AB152,AA152)</f>
        <v/>
      </c>
      <c r="AE152">
        <f>VLOOKUP(AD152,SLA_Definitions!$A$2:$B$6,2,FALSE)</f>
        <v/>
      </c>
      <c r="AF152">
        <f>IF(B152&lt;&gt;"",WORKDAY(B152,AE152),"")</f>
        <v/>
      </c>
      <c r="AG152">
        <f>IF(AF152&lt;&gt;"",NETWORKDAYS(TODAY(),AF152),"")</f>
        <v/>
      </c>
      <c r="AH152">
        <f>IF(AJ152="Complete","Complete",IF(AG152&lt;0,"Overdue",IF(AG152&lt;=AE152*0.2,"At Risk","On Track")))</f>
        <v/>
      </c>
      <c r="AK152">
        <f>IF(OR(AH152="Overdue",AND(AD152="P0",AG152&lt;1),AND(AD152="P1",AG152&lt;3)),"Y","N")</f>
        <v/>
      </c>
    </row>
    <row r="153">
      <c r="K153">
        <f>IF(J153="v4.0",L153,IF(J153="v3.1",M153,IF(J153="Both",L153,IF(AND(L153&lt;&gt;"",M153=""),L153,M153))))</f>
        <v/>
      </c>
      <c r="Z153">
        <f>MIN(100,
(K153*5) +
(U153*10) +
IF(P153="Y",40,0) +
IF(Q153="P",30,0) +
IF(V153="Y",25,0) +
IF(W153="Y",20,0) +
IF(X153="Weaponized",15,IF(X153="PoC Available",10,IF(X153="Public Exploit",5,0))) +
IF(G153="Production",10,IF(G153="DMZ",8,IF(G153="DR/Backup",5,0))) +
IF(Y153="N",10,0)
)</f>
        <v/>
      </c>
      <c r="AA153">
        <f>IF(OR(P153="Y",AND(K153&gt;=9.0,W153="Y")),"P0",IF(Z153&gt;=80,"P0",IF(Z153&gt;=60,"P1",IF(Z153&gt;=40,"P2",IF(Z153&gt;=20,"P3","P4")))))</f>
        <v/>
      </c>
      <c r="AD153">
        <f>IF(AB153&lt;&gt;"",AB153,AA153)</f>
        <v/>
      </c>
      <c r="AE153">
        <f>VLOOKUP(AD153,SLA_Definitions!$A$2:$B$6,2,FALSE)</f>
        <v/>
      </c>
      <c r="AF153">
        <f>IF(B153&lt;&gt;"",WORKDAY(B153,AE153),"")</f>
        <v/>
      </c>
      <c r="AG153">
        <f>IF(AF153&lt;&gt;"",NETWORKDAYS(TODAY(),AF153),"")</f>
        <v/>
      </c>
      <c r="AH153">
        <f>IF(AJ153="Complete","Complete",IF(AG153&lt;0,"Overdue",IF(AG153&lt;=AE153*0.2,"At Risk","On Track")))</f>
        <v/>
      </c>
      <c r="AK153">
        <f>IF(OR(AH153="Overdue",AND(AD153="P0",AG153&lt;1),AND(AD153="P1",AG153&lt;3)),"Y","N")</f>
        <v/>
      </c>
    </row>
    <row r="154">
      <c r="K154">
        <f>IF(J154="v4.0",L154,IF(J154="v3.1",M154,IF(J154="Both",L154,IF(AND(L154&lt;&gt;"",M154=""),L154,M154))))</f>
        <v/>
      </c>
      <c r="Z154">
        <f>MIN(100,
(K154*5) +
(U154*10) +
IF(P154="Y",40,0) +
IF(Q154="P",30,0) +
IF(V154="Y",25,0) +
IF(W154="Y",20,0) +
IF(X154="Weaponized",15,IF(X154="PoC Available",10,IF(X154="Public Exploit",5,0))) +
IF(G154="Production",10,IF(G154="DMZ",8,IF(G154="DR/Backup",5,0))) +
IF(Y154="N",10,0)
)</f>
        <v/>
      </c>
      <c r="AA154">
        <f>IF(OR(P154="Y",AND(K154&gt;=9.0,W154="Y")),"P0",IF(Z154&gt;=80,"P0",IF(Z154&gt;=60,"P1",IF(Z154&gt;=40,"P2",IF(Z154&gt;=20,"P3","P4")))))</f>
        <v/>
      </c>
      <c r="AD154">
        <f>IF(AB154&lt;&gt;"",AB154,AA154)</f>
        <v/>
      </c>
      <c r="AE154">
        <f>VLOOKUP(AD154,SLA_Definitions!$A$2:$B$6,2,FALSE)</f>
        <v/>
      </c>
      <c r="AF154">
        <f>IF(B154&lt;&gt;"",WORKDAY(B154,AE154),"")</f>
        <v/>
      </c>
      <c r="AG154">
        <f>IF(AF154&lt;&gt;"",NETWORKDAYS(TODAY(),AF154),"")</f>
        <v/>
      </c>
      <c r="AH154">
        <f>IF(AJ154="Complete","Complete",IF(AG154&lt;0,"Overdue",IF(AG154&lt;=AE154*0.2,"At Risk","On Track")))</f>
        <v/>
      </c>
      <c r="AK154">
        <f>IF(OR(AH154="Overdue",AND(AD154="P0",AG154&lt;1),AND(AD154="P1",AG154&lt;3)),"Y","N")</f>
        <v/>
      </c>
    </row>
    <row r="155">
      <c r="K155">
        <f>IF(J155="v4.0",L155,IF(J155="v3.1",M155,IF(J155="Both",L155,IF(AND(L155&lt;&gt;"",M155=""),L155,M155))))</f>
        <v/>
      </c>
      <c r="Z155">
        <f>MIN(100,
(K155*5) +
(U155*10) +
IF(P155="Y",40,0) +
IF(Q155="P",30,0) +
IF(V155="Y",25,0) +
IF(W155="Y",20,0) +
IF(X155="Weaponized",15,IF(X155="PoC Available",10,IF(X155="Public Exploit",5,0))) +
IF(G155="Production",10,IF(G155="DMZ",8,IF(G155="DR/Backup",5,0))) +
IF(Y155="N",10,0)
)</f>
        <v/>
      </c>
      <c r="AA155">
        <f>IF(OR(P155="Y",AND(K155&gt;=9.0,W155="Y")),"P0",IF(Z155&gt;=80,"P0",IF(Z155&gt;=60,"P1",IF(Z155&gt;=40,"P2",IF(Z155&gt;=20,"P3","P4")))))</f>
        <v/>
      </c>
      <c r="AD155">
        <f>IF(AB155&lt;&gt;"",AB155,AA155)</f>
        <v/>
      </c>
      <c r="AE155">
        <f>VLOOKUP(AD155,SLA_Definitions!$A$2:$B$6,2,FALSE)</f>
        <v/>
      </c>
      <c r="AF155">
        <f>IF(B155&lt;&gt;"",WORKDAY(B155,AE155),"")</f>
        <v/>
      </c>
      <c r="AG155">
        <f>IF(AF155&lt;&gt;"",NETWORKDAYS(TODAY(),AF155),"")</f>
        <v/>
      </c>
      <c r="AH155">
        <f>IF(AJ155="Complete","Complete",IF(AG155&lt;0,"Overdue",IF(AG155&lt;=AE155*0.2,"At Risk","On Track")))</f>
        <v/>
      </c>
      <c r="AK155">
        <f>IF(OR(AH155="Overdue",AND(AD155="P0",AG155&lt;1),AND(AD155="P1",AG155&lt;3)),"Y","N")</f>
        <v/>
      </c>
    </row>
    <row r="156">
      <c r="K156">
        <f>IF(J156="v4.0",L156,IF(J156="v3.1",M156,IF(J156="Both",L156,IF(AND(L156&lt;&gt;"",M156=""),L156,M156))))</f>
        <v/>
      </c>
      <c r="Z156">
        <f>MIN(100,
(K156*5) +
(U156*10) +
IF(P156="Y",40,0) +
IF(Q156="P",30,0) +
IF(V156="Y",25,0) +
IF(W156="Y",20,0) +
IF(X156="Weaponized",15,IF(X156="PoC Available",10,IF(X156="Public Exploit",5,0))) +
IF(G156="Production",10,IF(G156="DMZ",8,IF(G156="DR/Backup",5,0))) +
IF(Y156="N",10,0)
)</f>
        <v/>
      </c>
      <c r="AA156">
        <f>IF(OR(P156="Y",AND(K156&gt;=9.0,W156="Y")),"P0",IF(Z156&gt;=80,"P0",IF(Z156&gt;=60,"P1",IF(Z156&gt;=40,"P2",IF(Z156&gt;=20,"P3","P4")))))</f>
        <v/>
      </c>
      <c r="AD156">
        <f>IF(AB156&lt;&gt;"",AB156,AA156)</f>
        <v/>
      </c>
      <c r="AE156">
        <f>VLOOKUP(AD156,SLA_Definitions!$A$2:$B$6,2,FALSE)</f>
        <v/>
      </c>
      <c r="AF156">
        <f>IF(B156&lt;&gt;"",WORKDAY(B156,AE156),"")</f>
        <v/>
      </c>
      <c r="AG156">
        <f>IF(AF156&lt;&gt;"",NETWORKDAYS(TODAY(),AF156),"")</f>
        <v/>
      </c>
      <c r="AH156">
        <f>IF(AJ156="Complete","Complete",IF(AG156&lt;0,"Overdue",IF(AG156&lt;=AE156*0.2,"At Risk","On Track")))</f>
        <v/>
      </c>
      <c r="AK156">
        <f>IF(OR(AH156="Overdue",AND(AD156="P0",AG156&lt;1),AND(AD156="P1",AG156&lt;3)),"Y","N")</f>
        <v/>
      </c>
    </row>
    <row r="157">
      <c r="K157">
        <f>IF(J157="v4.0",L157,IF(J157="v3.1",M157,IF(J157="Both",L157,IF(AND(L157&lt;&gt;"",M157=""),L157,M157))))</f>
        <v/>
      </c>
      <c r="Z157">
        <f>MIN(100,
(K157*5) +
(U157*10) +
IF(P157="Y",40,0) +
IF(Q157="P",30,0) +
IF(V157="Y",25,0) +
IF(W157="Y",20,0) +
IF(X157="Weaponized",15,IF(X157="PoC Available",10,IF(X157="Public Exploit",5,0))) +
IF(G157="Production",10,IF(G157="DMZ",8,IF(G157="DR/Backup",5,0))) +
IF(Y157="N",10,0)
)</f>
        <v/>
      </c>
      <c r="AA157">
        <f>IF(OR(P157="Y",AND(K157&gt;=9.0,W157="Y")),"P0",IF(Z157&gt;=80,"P0",IF(Z157&gt;=60,"P1",IF(Z157&gt;=40,"P2",IF(Z157&gt;=20,"P3","P4")))))</f>
        <v/>
      </c>
      <c r="AD157">
        <f>IF(AB157&lt;&gt;"",AB157,AA157)</f>
        <v/>
      </c>
      <c r="AE157">
        <f>VLOOKUP(AD157,SLA_Definitions!$A$2:$B$6,2,FALSE)</f>
        <v/>
      </c>
      <c r="AF157">
        <f>IF(B157&lt;&gt;"",WORKDAY(B157,AE157),"")</f>
        <v/>
      </c>
      <c r="AG157">
        <f>IF(AF157&lt;&gt;"",NETWORKDAYS(TODAY(),AF157),"")</f>
        <v/>
      </c>
      <c r="AH157">
        <f>IF(AJ157="Complete","Complete",IF(AG157&lt;0,"Overdue",IF(AG157&lt;=AE157*0.2,"At Risk","On Track")))</f>
        <v/>
      </c>
      <c r="AK157">
        <f>IF(OR(AH157="Overdue",AND(AD157="P0",AG157&lt;1),AND(AD157="P1",AG157&lt;3)),"Y","N")</f>
        <v/>
      </c>
    </row>
    <row r="158">
      <c r="K158">
        <f>IF(J158="v4.0",L158,IF(J158="v3.1",M158,IF(J158="Both",L158,IF(AND(L158&lt;&gt;"",M158=""),L158,M158))))</f>
        <v/>
      </c>
      <c r="Z158">
        <f>MIN(100,
(K158*5) +
(U158*10) +
IF(P158="Y",40,0) +
IF(Q158="P",30,0) +
IF(V158="Y",25,0) +
IF(W158="Y",20,0) +
IF(X158="Weaponized",15,IF(X158="PoC Available",10,IF(X158="Public Exploit",5,0))) +
IF(G158="Production",10,IF(G158="DMZ",8,IF(G158="DR/Backup",5,0))) +
IF(Y158="N",10,0)
)</f>
        <v/>
      </c>
      <c r="AA158">
        <f>IF(OR(P158="Y",AND(K158&gt;=9.0,W158="Y")),"P0",IF(Z158&gt;=80,"P0",IF(Z158&gt;=60,"P1",IF(Z158&gt;=40,"P2",IF(Z158&gt;=20,"P3","P4")))))</f>
        <v/>
      </c>
      <c r="AD158">
        <f>IF(AB158&lt;&gt;"",AB158,AA158)</f>
        <v/>
      </c>
      <c r="AE158">
        <f>VLOOKUP(AD158,SLA_Definitions!$A$2:$B$6,2,FALSE)</f>
        <v/>
      </c>
      <c r="AF158">
        <f>IF(B158&lt;&gt;"",WORKDAY(B158,AE158),"")</f>
        <v/>
      </c>
      <c r="AG158">
        <f>IF(AF158&lt;&gt;"",NETWORKDAYS(TODAY(),AF158),"")</f>
        <v/>
      </c>
      <c r="AH158">
        <f>IF(AJ158="Complete","Complete",IF(AG158&lt;0,"Overdue",IF(AG158&lt;=AE158*0.2,"At Risk","On Track")))</f>
        <v/>
      </c>
      <c r="AK158">
        <f>IF(OR(AH158="Overdue",AND(AD158="P0",AG158&lt;1),AND(AD158="P1",AG158&lt;3)),"Y","N")</f>
        <v/>
      </c>
    </row>
    <row r="159">
      <c r="K159">
        <f>IF(J159="v4.0",L159,IF(J159="v3.1",M159,IF(J159="Both",L159,IF(AND(L159&lt;&gt;"",M159=""),L159,M159))))</f>
        <v/>
      </c>
      <c r="Z159">
        <f>MIN(100,
(K159*5) +
(U159*10) +
IF(P159="Y",40,0) +
IF(Q159="P",30,0) +
IF(V159="Y",25,0) +
IF(W159="Y",20,0) +
IF(X159="Weaponized",15,IF(X159="PoC Available",10,IF(X159="Public Exploit",5,0))) +
IF(G159="Production",10,IF(G159="DMZ",8,IF(G159="DR/Backup",5,0))) +
IF(Y159="N",10,0)
)</f>
        <v/>
      </c>
      <c r="AA159">
        <f>IF(OR(P159="Y",AND(K159&gt;=9.0,W159="Y")),"P0",IF(Z159&gt;=80,"P0",IF(Z159&gt;=60,"P1",IF(Z159&gt;=40,"P2",IF(Z159&gt;=20,"P3","P4")))))</f>
        <v/>
      </c>
      <c r="AD159">
        <f>IF(AB159&lt;&gt;"",AB159,AA159)</f>
        <v/>
      </c>
      <c r="AE159">
        <f>VLOOKUP(AD159,SLA_Definitions!$A$2:$B$6,2,FALSE)</f>
        <v/>
      </c>
      <c r="AF159">
        <f>IF(B159&lt;&gt;"",WORKDAY(B159,AE159),"")</f>
        <v/>
      </c>
      <c r="AG159">
        <f>IF(AF159&lt;&gt;"",NETWORKDAYS(TODAY(),AF159),"")</f>
        <v/>
      </c>
      <c r="AH159">
        <f>IF(AJ159="Complete","Complete",IF(AG159&lt;0,"Overdue",IF(AG159&lt;=AE159*0.2,"At Risk","On Track")))</f>
        <v/>
      </c>
      <c r="AK159">
        <f>IF(OR(AH159="Overdue",AND(AD159="P0",AG159&lt;1),AND(AD159="P1",AG159&lt;3)),"Y","N")</f>
        <v/>
      </c>
    </row>
    <row r="160">
      <c r="K160">
        <f>IF(J160="v4.0",L160,IF(J160="v3.1",M160,IF(J160="Both",L160,IF(AND(L160&lt;&gt;"",M160=""),L160,M160))))</f>
        <v/>
      </c>
      <c r="Z160">
        <f>MIN(100,
(K160*5) +
(U160*10) +
IF(P160="Y",40,0) +
IF(Q160="P",30,0) +
IF(V160="Y",25,0) +
IF(W160="Y",20,0) +
IF(X160="Weaponized",15,IF(X160="PoC Available",10,IF(X160="Public Exploit",5,0))) +
IF(G160="Production",10,IF(G160="DMZ",8,IF(G160="DR/Backup",5,0))) +
IF(Y160="N",10,0)
)</f>
        <v/>
      </c>
      <c r="AA160">
        <f>IF(OR(P160="Y",AND(K160&gt;=9.0,W160="Y")),"P0",IF(Z160&gt;=80,"P0",IF(Z160&gt;=60,"P1",IF(Z160&gt;=40,"P2",IF(Z160&gt;=20,"P3","P4")))))</f>
        <v/>
      </c>
      <c r="AD160">
        <f>IF(AB160&lt;&gt;"",AB160,AA160)</f>
        <v/>
      </c>
      <c r="AE160">
        <f>VLOOKUP(AD160,SLA_Definitions!$A$2:$B$6,2,FALSE)</f>
        <v/>
      </c>
      <c r="AF160">
        <f>IF(B160&lt;&gt;"",WORKDAY(B160,AE160),"")</f>
        <v/>
      </c>
      <c r="AG160">
        <f>IF(AF160&lt;&gt;"",NETWORKDAYS(TODAY(),AF160),"")</f>
        <v/>
      </c>
      <c r="AH160">
        <f>IF(AJ160="Complete","Complete",IF(AG160&lt;0,"Overdue",IF(AG160&lt;=AE160*0.2,"At Risk","On Track")))</f>
        <v/>
      </c>
      <c r="AK160">
        <f>IF(OR(AH160="Overdue",AND(AD160="P0",AG160&lt;1),AND(AD160="P1",AG160&lt;3)),"Y","N")</f>
        <v/>
      </c>
    </row>
    <row r="161">
      <c r="K161">
        <f>IF(J161="v4.0",L161,IF(J161="v3.1",M161,IF(J161="Both",L161,IF(AND(L161&lt;&gt;"",M161=""),L161,M161))))</f>
        <v/>
      </c>
      <c r="Z161">
        <f>MIN(100,
(K161*5) +
(U161*10) +
IF(P161="Y",40,0) +
IF(Q161="P",30,0) +
IF(V161="Y",25,0) +
IF(W161="Y",20,0) +
IF(X161="Weaponized",15,IF(X161="PoC Available",10,IF(X161="Public Exploit",5,0))) +
IF(G161="Production",10,IF(G161="DMZ",8,IF(G161="DR/Backup",5,0))) +
IF(Y161="N",10,0)
)</f>
        <v/>
      </c>
      <c r="AA161">
        <f>IF(OR(P161="Y",AND(K161&gt;=9.0,W161="Y")),"P0",IF(Z161&gt;=80,"P0",IF(Z161&gt;=60,"P1",IF(Z161&gt;=40,"P2",IF(Z161&gt;=20,"P3","P4")))))</f>
        <v/>
      </c>
      <c r="AD161">
        <f>IF(AB161&lt;&gt;"",AB161,AA161)</f>
        <v/>
      </c>
      <c r="AE161">
        <f>VLOOKUP(AD161,SLA_Definitions!$A$2:$B$6,2,FALSE)</f>
        <v/>
      </c>
      <c r="AF161">
        <f>IF(B161&lt;&gt;"",WORKDAY(B161,AE161),"")</f>
        <v/>
      </c>
      <c r="AG161">
        <f>IF(AF161&lt;&gt;"",NETWORKDAYS(TODAY(),AF161),"")</f>
        <v/>
      </c>
      <c r="AH161">
        <f>IF(AJ161="Complete","Complete",IF(AG161&lt;0,"Overdue",IF(AG161&lt;=AE161*0.2,"At Risk","On Track")))</f>
        <v/>
      </c>
      <c r="AK161">
        <f>IF(OR(AH161="Overdue",AND(AD161="P0",AG161&lt;1),AND(AD161="P1",AG161&lt;3)),"Y","N")</f>
        <v/>
      </c>
    </row>
    <row r="162">
      <c r="K162">
        <f>IF(J162="v4.0",L162,IF(J162="v3.1",M162,IF(J162="Both",L162,IF(AND(L162&lt;&gt;"",M162=""),L162,M162))))</f>
        <v/>
      </c>
      <c r="Z162">
        <f>MIN(100,
(K162*5) +
(U162*10) +
IF(P162="Y",40,0) +
IF(Q162="P",30,0) +
IF(V162="Y",25,0) +
IF(W162="Y",20,0) +
IF(X162="Weaponized",15,IF(X162="PoC Available",10,IF(X162="Public Exploit",5,0))) +
IF(G162="Production",10,IF(G162="DMZ",8,IF(G162="DR/Backup",5,0))) +
IF(Y162="N",10,0)
)</f>
        <v/>
      </c>
      <c r="AA162">
        <f>IF(OR(P162="Y",AND(K162&gt;=9.0,W162="Y")),"P0",IF(Z162&gt;=80,"P0",IF(Z162&gt;=60,"P1",IF(Z162&gt;=40,"P2",IF(Z162&gt;=20,"P3","P4")))))</f>
        <v/>
      </c>
      <c r="AD162">
        <f>IF(AB162&lt;&gt;"",AB162,AA162)</f>
        <v/>
      </c>
      <c r="AE162">
        <f>VLOOKUP(AD162,SLA_Definitions!$A$2:$B$6,2,FALSE)</f>
        <v/>
      </c>
      <c r="AF162">
        <f>IF(B162&lt;&gt;"",WORKDAY(B162,AE162),"")</f>
        <v/>
      </c>
      <c r="AG162">
        <f>IF(AF162&lt;&gt;"",NETWORKDAYS(TODAY(),AF162),"")</f>
        <v/>
      </c>
      <c r="AH162">
        <f>IF(AJ162="Complete","Complete",IF(AG162&lt;0,"Overdue",IF(AG162&lt;=AE162*0.2,"At Risk","On Track")))</f>
        <v/>
      </c>
      <c r="AK162">
        <f>IF(OR(AH162="Overdue",AND(AD162="P0",AG162&lt;1),AND(AD162="P1",AG162&lt;3)),"Y","N")</f>
        <v/>
      </c>
    </row>
    <row r="163">
      <c r="K163">
        <f>IF(J163="v4.0",L163,IF(J163="v3.1",M163,IF(J163="Both",L163,IF(AND(L163&lt;&gt;"",M163=""),L163,M163))))</f>
        <v/>
      </c>
      <c r="Z163">
        <f>MIN(100,
(K163*5) +
(U163*10) +
IF(P163="Y",40,0) +
IF(Q163="P",30,0) +
IF(V163="Y",25,0) +
IF(W163="Y",20,0) +
IF(X163="Weaponized",15,IF(X163="PoC Available",10,IF(X163="Public Exploit",5,0))) +
IF(G163="Production",10,IF(G163="DMZ",8,IF(G163="DR/Backup",5,0))) +
IF(Y163="N",10,0)
)</f>
        <v/>
      </c>
      <c r="AA163">
        <f>IF(OR(P163="Y",AND(K163&gt;=9.0,W163="Y")),"P0",IF(Z163&gt;=80,"P0",IF(Z163&gt;=60,"P1",IF(Z163&gt;=40,"P2",IF(Z163&gt;=20,"P3","P4")))))</f>
        <v/>
      </c>
      <c r="AD163">
        <f>IF(AB163&lt;&gt;"",AB163,AA163)</f>
        <v/>
      </c>
      <c r="AE163">
        <f>VLOOKUP(AD163,SLA_Definitions!$A$2:$B$6,2,FALSE)</f>
        <v/>
      </c>
      <c r="AF163">
        <f>IF(B163&lt;&gt;"",WORKDAY(B163,AE163),"")</f>
        <v/>
      </c>
      <c r="AG163">
        <f>IF(AF163&lt;&gt;"",NETWORKDAYS(TODAY(),AF163),"")</f>
        <v/>
      </c>
      <c r="AH163">
        <f>IF(AJ163="Complete","Complete",IF(AG163&lt;0,"Overdue",IF(AG163&lt;=AE163*0.2,"At Risk","On Track")))</f>
        <v/>
      </c>
      <c r="AK163">
        <f>IF(OR(AH163="Overdue",AND(AD163="P0",AG163&lt;1),AND(AD163="P1",AG163&lt;3)),"Y","N")</f>
        <v/>
      </c>
    </row>
    <row r="164">
      <c r="K164">
        <f>IF(J164="v4.0",L164,IF(J164="v3.1",M164,IF(J164="Both",L164,IF(AND(L164&lt;&gt;"",M164=""),L164,M164))))</f>
        <v/>
      </c>
      <c r="Z164">
        <f>MIN(100,
(K164*5) +
(U164*10) +
IF(P164="Y",40,0) +
IF(Q164="P",30,0) +
IF(V164="Y",25,0) +
IF(W164="Y",20,0) +
IF(X164="Weaponized",15,IF(X164="PoC Available",10,IF(X164="Public Exploit",5,0))) +
IF(G164="Production",10,IF(G164="DMZ",8,IF(G164="DR/Backup",5,0))) +
IF(Y164="N",10,0)
)</f>
        <v/>
      </c>
      <c r="AA164">
        <f>IF(OR(P164="Y",AND(K164&gt;=9.0,W164="Y")),"P0",IF(Z164&gt;=80,"P0",IF(Z164&gt;=60,"P1",IF(Z164&gt;=40,"P2",IF(Z164&gt;=20,"P3","P4")))))</f>
        <v/>
      </c>
      <c r="AD164">
        <f>IF(AB164&lt;&gt;"",AB164,AA164)</f>
        <v/>
      </c>
      <c r="AE164">
        <f>VLOOKUP(AD164,SLA_Definitions!$A$2:$B$6,2,FALSE)</f>
        <v/>
      </c>
      <c r="AF164">
        <f>IF(B164&lt;&gt;"",WORKDAY(B164,AE164),"")</f>
        <v/>
      </c>
      <c r="AG164">
        <f>IF(AF164&lt;&gt;"",NETWORKDAYS(TODAY(),AF164),"")</f>
        <v/>
      </c>
      <c r="AH164">
        <f>IF(AJ164="Complete","Complete",IF(AG164&lt;0,"Overdue",IF(AG164&lt;=AE164*0.2,"At Risk","On Track")))</f>
        <v/>
      </c>
      <c r="AK164">
        <f>IF(OR(AH164="Overdue",AND(AD164="P0",AG164&lt;1),AND(AD164="P1",AG164&lt;3)),"Y","N")</f>
        <v/>
      </c>
    </row>
    <row r="165">
      <c r="K165">
        <f>IF(J165="v4.0",L165,IF(J165="v3.1",M165,IF(J165="Both",L165,IF(AND(L165&lt;&gt;"",M165=""),L165,M165))))</f>
        <v/>
      </c>
      <c r="Z165">
        <f>MIN(100,
(K165*5) +
(U165*10) +
IF(P165="Y",40,0) +
IF(Q165="P",30,0) +
IF(V165="Y",25,0) +
IF(W165="Y",20,0) +
IF(X165="Weaponized",15,IF(X165="PoC Available",10,IF(X165="Public Exploit",5,0))) +
IF(G165="Production",10,IF(G165="DMZ",8,IF(G165="DR/Backup",5,0))) +
IF(Y165="N",10,0)
)</f>
        <v/>
      </c>
      <c r="AA165">
        <f>IF(OR(P165="Y",AND(K165&gt;=9.0,W165="Y")),"P0",IF(Z165&gt;=80,"P0",IF(Z165&gt;=60,"P1",IF(Z165&gt;=40,"P2",IF(Z165&gt;=20,"P3","P4")))))</f>
        <v/>
      </c>
      <c r="AD165">
        <f>IF(AB165&lt;&gt;"",AB165,AA165)</f>
        <v/>
      </c>
      <c r="AE165">
        <f>VLOOKUP(AD165,SLA_Definitions!$A$2:$B$6,2,FALSE)</f>
        <v/>
      </c>
      <c r="AF165">
        <f>IF(B165&lt;&gt;"",WORKDAY(B165,AE165),"")</f>
        <v/>
      </c>
      <c r="AG165">
        <f>IF(AF165&lt;&gt;"",NETWORKDAYS(TODAY(),AF165),"")</f>
        <v/>
      </c>
      <c r="AH165">
        <f>IF(AJ165="Complete","Complete",IF(AG165&lt;0,"Overdue",IF(AG165&lt;=AE165*0.2,"At Risk","On Track")))</f>
        <v/>
      </c>
      <c r="AK165">
        <f>IF(OR(AH165="Overdue",AND(AD165="P0",AG165&lt;1),AND(AD165="P1",AG165&lt;3)),"Y","N")</f>
        <v/>
      </c>
    </row>
    <row r="166">
      <c r="K166">
        <f>IF(J166="v4.0",L166,IF(J166="v3.1",M166,IF(J166="Both",L166,IF(AND(L166&lt;&gt;"",M166=""),L166,M166))))</f>
        <v/>
      </c>
      <c r="Z166">
        <f>MIN(100,
(K166*5) +
(U166*10) +
IF(P166="Y",40,0) +
IF(Q166="P",30,0) +
IF(V166="Y",25,0) +
IF(W166="Y",20,0) +
IF(X166="Weaponized",15,IF(X166="PoC Available",10,IF(X166="Public Exploit",5,0))) +
IF(G166="Production",10,IF(G166="DMZ",8,IF(G166="DR/Backup",5,0))) +
IF(Y166="N",10,0)
)</f>
        <v/>
      </c>
      <c r="AA166">
        <f>IF(OR(P166="Y",AND(K166&gt;=9.0,W166="Y")),"P0",IF(Z166&gt;=80,"P0",IF(Z166&gt;=60,"P1",IF(Z166&gt;=40,"P2",IF(Z166&gt;=20,"P3","P4")))))</f>
        <v/>
      </c>
      <c r="AD166">
        <f>IF(AB166&lt;&gt;"",AB166,AA166)</f>
        <v/>
      </c>
      <c r="AE166">
        <f>VLOOKUP(AD166,SLA_Definitions!$A$2:$B$6,2,FALSE)</f>
        <v/>
      </c>
      <c r="AF166">
        <f>IF(B166&lt;&gt;"",WORKDAY(B166,AE166),"")</f>
        <v/>
      </c>
      <c r="AG166">
        <f>IF(AF166&lt;&gt;"",NETWORKDAYS(TODAY(),AF166),"")</f>
        <v/>
      </c>
      <c r="AH166">
        <f>IF(AJ166="Complete","Complete",IF(AG166&lt;0,"Overdue",IF(AG166&lt;=AE166*0.2,"At Risk","On Track")))</f>
        <v/>
      </c>
      <c r="AK166">
        <f>IF(OR(AH166="Overdue",AND(AD166="P0",AG166&lt;1),AND(AD166="P1",AG166&lt;3)),"Y","N")</f>
        <v/>
      </c>
    </row>
    <row r="167">
      <c r="K167">
        <f>IF(J167="v4.0",L167,IF(J167="v3.1",M167,IF(J167="Both",L167,IF(AND(L167&lt;&gt;"",M167=""),L167,M167))))</f>
        <v/>
      </c>
      <c r="Z167">
        <f>MIN(100,
(K167*5) +
(U167*10) +
IF(P167="Y",40,0) +
IF(Q167="P",30,0) +
IF(V167="Y",25,0) +
IF(W167="Y",20,0) +
IF(X167="Weaponized",15,IF(X167="PoC Available",10,IF(X167="Public Exploit",5,0))) +
IF(G167="Production",10,IF(G167="DMZ",8,IF(G167="DR/Backup",5,0))) +
IF(Y167="N",10,0)
)</f>
        <v/>
      </c>
      <c r="AA167">
        <f>IF(OR(P167="Y",AND(K167&gt;=9.0,W167="Y")),"P0",IF(Z167&gt;=80,"P0",IF(Z167&gt;=60,"P1",IF(Z167&gt;=40,"P2",IF(Z167&gt;=20,"P3","P4")))))</f>
        <v/>
      </c>
      <c r="AD167">
        <f>IF(AB167&lt;&gt;"",AB167,AA167)</f>
        <v/>
      </c>
      <c r="AE167">
        <f>VLOOKUP(AD167,SLA_Definitions!$A$2:$B$6,2,FALSE)</f>
        <v/>
      </c>
      <c r="AF167">
        <f>IF(B167&lt;&gt;"",WORKDAY(B167,AE167),"")</f>
        <v/>
      </c>
      <c r="AG167">
        <f>IF(AF167&lt;&gt;"",NETWORKDAYS(TODAY(),AF167),"")</f>
        <v/>
      </c>
      <c r="AH167">
        <f>IF(AJ167="Complete","Complete",IF(AG167&lt;0,"Overdue",IF(AG167&lt;=AE167*0.2,"At Risk","On Track")))</f>
        <v/>
      </c>
      <c r="AK167">
        <f>IF(OR(AH167="Overdue",AND(AD167="P0",AG167&lt;1),AND(AD167="P1",AG167&lt;3)),"Y","N")</f>
        <v/>
      </c>
    </row>
    <row r="168">
      <c r="K168">
        <f>IF(J168="v4.0",L168,IF(J168="v3.1",M168,IF(J168="Both",L168,IF(AND(L168&lt;&gt;"",M168=""),L168,M168))))</f>
        <v/>
      </c>
      <c r="Z168">
        <f>MIN(100,
(K168*5) +
(U168*10) +
IF(P168="Y",40,0) +
IF(Q168="P",30,0) +
IF(V168="Y",25,0) +
IF(W168="Y",20,0) +
IF(X168="Weaponized",15,IF(X168="PoC Available",10,IF(X168="Public Exploit",5,0))) +
IF(G168="Production",10,IF(G168="DMZ",8,IF(G168="DR/Backup",5,0))) +
IF(Y168="N",10,0)
)</f>
        <v/>
      </c>
      <c r="AA168">
        <f>IF(OR(P168="Y",AND(K168&gt;=9.0,W168="Y")),"P0",IF(Z168&gt;=80,"P0",IF(Z168&gt;=60,"P1",IF(Z168&gt;=40,"P2",IF(Z168&gt;=20,"P3","P4")))))</f>
        <v/>
      </c>
      <c r="AD168">
        <f>IF(AB168&lt;&gt;"",AB168,AA168)</f>
        <v/>
      </c>
      <c r="AE168">
        <f>VLOOKUP(AD168,SLA_Definitions!$A$2:$B$6,2,FALSE)</f>
        <v/>
      </c>
      <c r="AF168">
        <f>IF(B168&lt;&gt;"",WORKDAY(B168,AE168),"")</f>
        <v/>
      </c>
      <c r="AG168">
        <f>IF(AF168&lt;&gt;"",NETWORKDAYS(TODAY(),AF168),"")</f>
        <v/>
      </c>
      <c r="AH168">
        <f>IF(AJ168="Complete","Complete",IF(AG168&lt;0,"Overdue",IF(AG168&lt;=AE168*0.2,"At Risk","On Track")))</f>
        <v/>
      </c>
      <c r="AK168">
        <f>IF(OR(AH168="Overdue",AND(AD168="P0",AG168&lt;1),AND(AD168="P1",AG168&lt;3)),"Y","N")</f>
        <v/>
      </c>
    </row>
    <row r="169">
      <c r="K169">
        <f>IF(J169="v4.0",L169,IF(J169="v3.1",M169,IF(J169="Both",L169,IF(AND(L169&lt;&gt;"",M169=""),L169,M169))))</f>
        <v/>
      </c>
      <c r="Z169">
        <f>MIN(100,
(K169*5) +
(U169*10) +
IF(P169="Y",40,0) +
IF(Q169="P",30,0) +
IF(V169="Y",25,0) +
IF(W169="Y",20,0) +
IF(X169="Weaponized",15,IF(X169="PoC Available",10,IF(X169="Public Exploit",5,0))) +
IF(G169="Production",10,IF(G169="DMZ",8,IF(G169="DR/Backup",5,0))) +
IF(Y169="N",10,0)
)</f>
        <v/>
      </c>
      <c r="AA169">
        <f>IF(OR(P169="Y",AND(K169&gt;=9.0,W169="Y")),"P0",IF(Z169&gt;=80,"P0",IF(Z169&gt;=60,"P1",IF(Z169&gt;=40,"P2",IF(Z169&gt;=20,"P3","P4")))))</f>
        <v/>
      </c>
      <c r="AD169">
        <f>IF(AB169&lt;&gt;"",AB169,AA169)</f>
        <v/>
      </c>
      <c r="AE169">
        <f>VLOOKUP(AD169,SLA_Definitions!$A$2:$B$6,2,FALSE)</f>
        <v/>
      </c>
      <c r="AF169">
        <f>IF(B169&lt;&gt;"",WORKDAY(B169,AE169),"")</f>
        <v/>
      </c>
      <c r="AG169">
        <f>IF(AF169&lt;&gt;"",NETWORKDAYS(TODAY(),AF169),"")</f>
        <v/>
      </c>
      <c r="AH169">
        <f>IF(AJ169="Complete","Complete",IF(AG169&lt;0,"Overdue",IF(AG169&lt;=AE169*0.2,"At Risk","On Track")))</f>
        <v/>
      </c>
      <c r="AK169">
        <f>IF(OR(AH169="Overdue",AND(AD169="P0",AG169&lt;1),AND(AD169="P1",AG169&lt;3)),"Y","N")</f>
        <v/>
      </c>
    </row>
    <row r="170">
      <c r="K170">
        <f>IF(J170="v4.0",L170,IF(J170="v3.1",M170,IF(J170="Both",L170,IF(AND(L170&lt;&gt;"",M170=""),L170,M170))))</f>
        <v/>
      </c>
      <c r="Z170">
        <f>MIN(100,
(K170*5) +
(U170*10) +
IF(P170="Y",40,0) +
IF(Q170="P",30,0) +
IF(V170="Y",25,0) +
IF(W170="Y",20,0) +
IF(X170="Weaponized",15,IF(X170="PoC Available",10,IF(X170="Public Exploit",5,0))) +
IF(G170="Production",10,IF(G170="DMZ",8,IF(G170="DR/Backup",5,0))) +
IF(Y170="N",10,0)
)</f>
        <v/>
      </c>
      <c r="AA170">
        <f>IF(OR(P170="Y",AND(K170&gt;=9.0,W170="Y")),"P0",IF(Z170&gt;=80,"P0",IF(Z170&gt;=60,"P1",IF(Z170&gt;=40,"P2",IF(Z170&gt;=20,"P3","P4")))))</f>
        <v/>
      </c>
      <c r="AD170">
        <f>IF(AB170&lt;&gt;"",AB170,AA170)</f>
        <v/>
      </c>
      <c r="AE170">
        <f>VLOOKUP(AD170,SLA_Definitions!$A$2:$B$6,2,FALSE)</f>
        <v/>
      </c>
      <c r="AF170">
        <f>IF(B170&lt;&gt;"",WORKDAY(B170,AE170),"")</f>
        <v/>
      </c>
      <c r="AG170">
        <f>IF(AF170&lt;&gt;"",NETWORKDAYS(TODAY(),AF170),"")</f>
        <v/>
      </c>
      <c r="AH170">
        <f>IF(AJ170="Complete","Complete",IF(AG170&lt;0,"Overdue",IF(AG170&lt;=AE170*0.2,"At Risk","On Track")))</f>
        <v/>
      </c>
      <c r="AK170">
        <f>IF(OR(AH170="Overdue",AND(AD170="P0",AG170&lt;1),AND(AD170="P1",AG170&lt;3)),"Y","N")</f>
        <v/>
      </c>
    </row>
    <row r="171">
      <c r="K171">
        <f>IF(J171="v4.0",L171,IF(J171="v3.1",M171,IF(J171="Both",L171,IF(AND(L171&lt;&gt;"",M171=""),L171,M171))))</f>
        <v/>
      </c>
      <c r="Z171">
        <f>MIN(100,
(K171*5) +
(U171*10) +
IF(P171="Y",40,0) +
IF(Q171="P",30,0) +
IF(V171="Y",25,0) +
IF(W171="Y",20,0) +
IF(X171="Weaponized",15,IF(X171="PoC Available",10,IF(X171="Public Exploit",5,0))) +
IF(G171="Production",10,IF(G171="DMZ",8,IF(G171="DR/Backup",5,0))) +
IF(Y171="N",10,0)
)</f>
        <v/>
      </c>
      <c r="AA171">
        <f>IF(OR(P171="Y",AND(K171&gt;=9.0,W171="Y")),"P0",IF(Z171&gt;=80,"P0",IF(Z171&gt;=60,"P1",IF(Z171&gt;=40,"P2",IF(Z171&gt;=20,"P3","P4")))))</f>
        <v/>
      </c>
      <c r="AD171">
        <f>IF(AB171&lt;&gt;"",AB171,AA171)</f>
        <v/>
      </c>
      <c r="AE171">
        <f>VLOOKUP(AD171,SLA_Definitions!$A$2:$B$6,2,FALSE)</f>
        <v/>
      </c>
      <c r="AF171">
        <f>IF(B171&lt;&gt;"",WORKDAY(B171,AE171),"")</f>
        <v/>
      </c>
      <c r="AG171">
        <f>IF(AF171&lt;&gt;"",NETWORKDAYS(TODAY(),AF171),"")</f>
        <v/>
      </c>
      <c r="AH171">
        <f>IF(AJ171="Complete","Complete",IF(AG171&lt;0,"Overdue",IF(AG171&lt;=AE171*0.2,"At Risk","On Track")))</f>
        <v/>
      </c>
      <c r="AK171">
        <f>IF(OR(AH171="Overdue",AND(AD171="P0",AG171&lt;1),AND(AD171="P1",AG171&lt;3)),"Y","N")</f>
        <v/>
      </c>
    </row>
    <row r="172">
      <c r="K172">
        <f>IF(J172="v4.0",L172,IF(J172="v3.1",M172,IF(J172="Both",L172,IF(AND(L172&lt;&gt;"",M172=""),L172,M172))))</f>
        <v/>
      </c>
      <c r="Z172">
        <f>MIN(100,
(K172*5) +
(U172*10) +
IF(P172="Y",40,0) +
IF(Q172="P",30,0) +
IF(V172="Y",25,0) +
IF(W172="Y",20,0) +
IF(X172="Weaponized",15,IF(X172="PoC Available",10,IF(X172="Public Exploit",5,0))) +
IF(G172="Production",10,IF(G172="DMZ",8,IF(G172="DR/Backup",5,0))) +
IF(Y172="N",10,0)
)</f>
        <v/>
      </c>
      <c r="AA172">
        <f>IF(OR(P172="Y",AND(K172&gt;=9.0,W172="Y")),"P0",IF(Z172&gt;=80,"P0",IF(Z172&gt;=60,"P1",IF(Z172&gt;=40,"P2",IF(Z172&gt;=20,"P3","P4")))))</f>
        <v/>
      </c>
      <c r="AD172">
        <f>IF(AB172&lt;&gt;"",AB172,AA172)</f>
        <v/>
      </c>
      <c r="AE172">
        <f>VLOOKUP(AD172,SLA_Definitions!$A$2:$B$6,2,FALSE)</f>
        <v/>
      </c>
      <c r="AF172">
        <f>IF(B172&lt;&gt;"",WORKDAY(B172,AE172),"")</f>
        <v/>
      </c>
      <c r="AG172">
        <f>IF(AF172&lt;&gt;"",NETWORKDAYS(TODAY(),AF172),"")</f>
        <v/>
      </c>
      <c r="AH172">
        <f>IF(AJ172="Complete","Complete",IF(AG172&lt;0,"Overdue",IF(AG172&lt;=AE172*0.2,"At Risk","On Track")))</f>
        <v/>
      </c>
      <c r="AK172">
        <f>IF(OR(AH172="Overdue",AND(AD172="P0",AG172&lt;1),AND(AD172="P1",AG172&lt;3)),"Y","N")</f>
        <v/>
      </c>
    </row>
    <row r="173">
      <c r="K173">
        <f>IF(J173="v4.0",L173,IF(J173="v3.1",M173,IF(J173="Both",L173,IF(AND(L173&lt;&gt;"",M173=""),L173,M173))))</f>
        <v/>
      </c>
      <c r="Z173">
        <f>MIN(100,
(K173*5) +
(U173*10) +
IF(P173="Y",40,0) +
IF(Q173="P",30,0) +
IF(V173="Y",25,0) +
IF(W173="Y",20,0) +
IF(X173="Weaponized",15,IF(X173="PoC Available",10,IF(X173="Public Exploit",5,0))) +
IF(G173="Production",10,IF(G173="DMZ",8,IF(G173="DR/Backup",5,0))) +
IF(Y173="N",10,0)
)</f>
        <v/>
      </c>
      <c r="AA173">
        <f>IF(OR(P173="Y",AND(K173&gt;=9.0,W173="Y")),"P0",IF(Z173&gt;=80,"P0",IF(Z173&gt;=60,"P1",IF(Z173&gt;=40,"P2",IF(Z173&gt;=20,"P3","P4")))))</f>
        <v/>
      </c>
      <c r="AD173">
        <f>IF(AB173&lt;&gt;"",AB173,AA173)</f>
        <v/>
      </c>
      <c r="AE173">
        <f>VLOOKUP(AD173,SLA_Definitions!$A$2:$B$6,2,FALSE)</f>
        <v/>
      </c>
      <c r="AF173">
        <f>IF(B173&lt;&gt;"",WORKDAY(B173,AE173),"")</f>
        <v/>
      </c>
      <c r="AG173">
        <f>IF(AF173&lt;&gt;"",NETWORKDAYS(TODAY(),AF173),"")</f>
        <v/>
      </c>
      <c r="AH173">
        <f>IF(AJ173="Complete","Complete",IF(AG173&lt;0,"Overdue",IF(AG173&lt;=AE173*0.2,"At Risk","On Track")))</f>
        <v/>
      </c>
      <c r="AK173">
        <f>IF(OR(AH173="Overdue",AND(AD173="P0",AG173&lt;1),AND(AD173="P1",AG173&lt;3)),"Y","N")</f>
        <v/>
      </c>
    </row>
    <row r="174">
      <c r="K174">
        <f>IF(J174="v4.0",L174,IF(J174="v3.1",M174,IF(J174="Both",L174,IF(AND(L174&lt;&gt;"",M174=""),L174,M174))))</f>
        <v/>
      </c>
      <c r="Z174">
        <f>MIN(100,
(K174*5) +
(U174*10) +
IF(P174="Y",40,0) +
IF(Q174="P",30,0) +
IF(V174="Y",25,0) +
IF(W174="Y",20,0) +
IF(X174="Weaponized",15,IF(X174="PoC Available",10,IF(X174="Public Exploit",5,0))) +
IF(G174="Production",10,IF(G174="DMZ",8,IF(G174="DR/Backup",5,0))) +
IF(Y174="N",10,0)
)</f>
        <v/>
      </c>
      <c r="AA174">
        <f>IF(OR(P174="Y",AND(K174&gt;=9.0,W174="Y")),"P0",IF(Z174&gt;=80,"P0",IF(Z174&gt;=60,"P1",IF(Z174&gt;=40,"P2",IF(Z174&gt;=20,"P3","P4")))))</f>
        <v/>
      </c>
      <c r="AD174">
        <f>IF(AB174&lt;&gt;"",AB174,AA174)</f>
        <v/>
      </c>
      <c r="AE174">
        <f>VLOOKUP(AD174,SLA_Definitions!$A$2:$B$6,2,FALSE)</f>
        <v/>
      </c>
      <c r="AF174">
        <f>IF(B174&lt;&gt;"",WORKDAY(B174,AE174),"")</f>
        <v/>
      </c>
      <c r="AG174">
        <f>IF(AF174&lt;&gt;"",NETWORKDAYS(TODAY(),AF174),"")</f>
        <v/>
      </c>
      <c r="AH174">
        <f>IF(AJ174="Complete","Complete",IF(AG174&lt;0,"Overdue",IF(AG174&lt;=AE174*0.2,"At Risk","On Track")))</f>
        <v/>
      </c>
      <c r="AK174">
        <f>IF(OR(AH174="Overdue",AND(AD174="P0",AG174&lt;1),AND(AD174="P1",AG174&lt;3)),"Y","N")</f>
        <v/>
      </c>
    </row>
    <row r="175">
      <c r="K175">
        <f>IF(J175="v4.0",L175,IF(J175="v3.1",M175,IF(J175="Both",L175,IF(AND(L175&lt;&gt;"",M175=""),L175,M175))))</f>
        <v/>
      </c>
      <c r="Z175">
        <f>MIN(100,
(K175*5) +
(U175*10) +
IF(P175="Y",40,0) +
IF(Q175="P",30,0) +
IF(V175="Y",25,0) +
IF(W175="Y",20,0) +
IF(X175="Weaponized",15,IF(X175="PoC Available",10,IF(X175="Public Exploit",5,0))) +
IF(G175="Production",10,IF(G175="DMZ",8,IF(G175="DR/Backup",5,0))) +
IF(Y175="N",10,0)
)</f>
        <v/>
      </c>
      <c r="AA175">
        <f>IF(OR(P175="Y",AND(K175&gt;=9.0,W175="Y")),"P0",IF(Z175&gt;=80,"P0",IF(Z175&gt;=60,"P1",IF(Z175&gt;=40,"P2",IF(Z175&gt;=20,"P3","P4")))))</f>
        <v/>
      </c>
      <c r="AD175">
        <f>IF(AB175&lt;&gt;"",AB175,AA175)</f>
        <v/>
      </c>
      <c r="AE175">
        <f>VLOOKUP(AD175,SLA_Definitions!$A$2:$B$6,2,FALSE)</f>
        <v/>
      </c>
      <c r="AF175">
        <f>IF(B175&lt;&gt;"",WORKDAY(B175,AE175),"")</f>
        <v/>
      </c>
      <c r="AG175">
        <f>IF(AF175&lt;&gt;"",NETWORKDAYS(TODAY(),AF175),"")</f>
        <v/>
      </c>
      <c r="AH175">
        <f>IF(AJ175="Complete","Complete",IF(AG175&lt;0,"Overdue",IF(AG175&lt;=AE175*0.2,"At Risk","On Track")))</f>
        <v/>
      </c>
      <c r="AK175">
        <f>IF(OR(AH175="Overdue",AND(AD175="P0",AG175&lt;1),AND(AD175="P1",AG175&lt;3)),"Y","N")</f>
        <v/>
      </c>
    </row>
    <row r="176">
      <c r="K176">
        <f>IF(J176="v4.0",L176,IF(J176="v3.1",M176,IF(J176="Both",L176,IF(AND(L176&lt;&gt;"",M176=""),L176,M176))))</f>
        <v/>
      </c>
      <c r="Z176">
        <f>MIN(100,
(K176*5) +
(U176*10) +
IF(P176="Y",40,0) +
IF(Q176="P",30,0) +
IF(V176="Y",25,0) +
IF(W176="Y",20,0) +
IF(X176="Weaponized",15,IF(X176="PoC Available",10,IF(X176="Public Exploit",5,0))) +
IF(G176="Production",10,IF(G176="DMZ",8,IF(G176="DR/Backup",5,0))) +
IF(Y176="N",10,0)
)</f>
        <v/>
      </c>
      <c r="AA176">
        <f>IF(OR(P176="Y",AND(K176&gt;=9.0,W176="Y")),"P0",IF(Z176&gt;=80,"P0",IF(Z176&gt;=60,"P1",IF(Z176&gt;=40,"P2",IF(Z176&gt;=20,"P3","P4")))))</f>
        <v/>
      </c>
      <c r="AD176">
        <f>IF(AB176&lt;&gt;"",AB176,AA176)</f>
        <v/>
      </c>
      <c r="AE176">
        <f>VLOOKUP(AD176,SLA_Definitions!$A$2:$B$6,2,FALSE)</f>
        <v/>
      </c>
      <c r="AF176">
        <f>IF(B176&lt;&gt;"",WORKDAY(B176,AE176),"")</f>
        <v/>
      </c>
      <c r="AG176">
        <f>IF(AF176&lt;&gt;"",NETWORKDAYS(TODAY(),AF176),"")</f>
        <v/>
      </c>
      <c r="AH176">
        <f>IF(AJ176="Complete","Complete",IF(AG176&lt;0,"Overdue",IF(AG176&lt;=AE176*0.2,"At Risk","On Track")))</f>
        <v/>
      </c>
      <c r="AK176">
        <f>IF(OR(AH176="Overdue",AND(AD176="P0",AG176&lt;1),AND(AD176="P1",AG176&lt;3)),"Y","N")</f>
        <v/>
      </c>
    </row>
    <row r="177">
      <c r="K177">
        <f>IF(J177="v4.0",L177,IF(J177="v3.1",M177,IF(J177="Both",L177,IF(AND(L177&lt;&gt;"",M177=""),L177,M177))))</f>
        <v/>
      </c>
      <c r="Z177">
        <f>MIN(100,
(K177*5) +
(U177*10) +
IF(P177="Y",40,0) +
IF(Q177="P",30,0) +
IF(V177="Y",25,0) +
IF(W177="Y",20,0) +
IF(X177="Weaponized",15,IF(X177="PoC Available",10,IF(X177="Public Exploit",5,0))) +
IF(G177="Production",10,IF(G177="DMZ",8,IF(G177="DR/Backup",5,0))) +
IF(Y177="N",10,0)
)</f>
        <v/>
      </c>
      <c r="AA177">
        <f>IF(OR(P177="Y",AND(K177&gt;=9.0,W177="Y")),"P0",IF(Z177&gt;=80,"P0",IF(Z177&gt;=60,"P1",IF(Z177&gt;=40,"P2",IF(Z177&gt;=20,"P3","P4")))))</f>
        <v/>
      </c>
      <c r="AD177">
        <f>IF(AB177&lt;&gt;"",AB177,AA177)</f>
        <v/>
      </c>
      <c r="AE177">
        <f>VLOOKUP(AD177,SLA_Definitions!$A$2:$B$6,2,FALSE)</f>
        <v/>
      </c>
      <c r="AF177">
        <f>IF(B177&lt;&gt;"",WORKDAY(B177,AE177),"")</f>
        <v/>
      </c>
      <c r="AG177">
        <f>IF(AF177&lt;&gt;"",NETWORKDAYS(TODAY(),AF177),"")</f>
        <v/>
      </c>
      <c r="AH177">
        <f>IF(AJ177="Complete","Complete",IF(AG177&lt;0,"Overdue",IF(AG177&lt;=AE177*0.2,"At Risk","On Track")))</f>
        <v/>
      </c>
      <c r="AK177">
        <f>IF(OR(AH177="Overdue",AND(AD177="P0",AG177&lt;1),AND(AD177="P1",AG177&lt;3)),"Y","N")</f>
        <v/>
      </c>
    </row>
    <row r="178">
      <c r="K178">
        <f>IF(J178="v4.0",L178,IF(J178="v3.1",M178,IF(J178="Both",L178,IF(AND(L178&lt;&gt;"",M178=""),L178,M178))))</f>
        <v/>
      </c>
      <c r="Z178">
        <f>MIN(100,
(K178*5) +
(U178*10) +
IF(P178="Y",40,0) +
IF(Q178="P",30,0) +
IF(V178="Y",25,0) +
IF(W178="Y",20,0) +
IF(X178="Weaponized",15,IF(X178="PoC Available",10,IF(X178="Public Exploit",5,0))) +
IF(G178="Production",10,IF(G178="DMZ",8,IF(G178="DR/Backup",5,0))) +
IF(Y178="N",10,0)
)</f>
        <v/>
      </c>
      <c r="AA178">
        <f>IF(OR(P178="Y",AND(K178&gt;=9.0,W178="Y")),"P0",IF(Z178&gt;=80,"P0",IF(Z178&gt;=60,"P1",IF(Z178&gt;=40,"P2",IF(Z178&gt;=20,"P3","P4")))))</f>
        <v/>
      </c>
      <c r="AD178">
        <f>IF(AB178&lt;&gt;"",AB178,AA178)</f>
        <v/>
      </c>
      <c r="AE178">
        <f>VLOOKUP(AD178,SLA_Definitions!$A$2:$B$6,2,FALSE)</f>
        <v/>
      </c>
      <c r="AF178">
        <f>IF(B178&lt;&gt;"",WORKDAY(B178,AE178),"")</f>
        <v/>
      </c>
      <c r="AG178">
        <f>IF(AF178&lt;&gt;"",NETWORKDAYS(TODAY(),AF178),"")</f>
        <v/>
      </c>
      <c r="AH178">
        <f>IF(AJ178="Complete","Complete",IF(AG178&lt;0,"Overdue",IF(AG178&lt;=AE178*0.2,"At Risk","On Track")))</f>
        <v/>
      </c>
      <c r="AK178">
        <f>IF(OR(AH178="Overdue",AND(AD178="P0",AG178&lt;1),AND(AD178="P1",AG178&lt;3)),"Y","N")</f>
        <v/>
      </c>
    </row>
    <row r="179">
      <c r="K179">
        <f>IF(J179="v4.0",L179,IF(J179="v3.1",M179,IF(J179="Both",L179,IF(AND(L179&lt;&gt;"",M179=""),L179,M179))))</f>
        <v/>
      </c>
      <c r="Z179">
        <f>MIN(100,
(K179*5) +
(U179*10) +
IF(P179="Y",40,0) +
IF(Q179="P",30,0) +
IF(V179="Y",25,0) +
IF(W179="Y",20,0) +
IF(X179="Weaponized",15,IF(X179="PoC Available",10,IF(X179="Public Exploit",5,0))) +
IF(G179="Production",10,IF(G179="DMZ",8,IF(G179="DR/Backup",5,0))) +
IF(Y179="N",10,0)
)</f>
        <v/>
      </c>
      <c r="AA179">
        <f>IF(OR(P179="Y",AND(K179&gt;=9.0,W179="Y")),"P0",IF(Z179&gt;=80,"P0",IF(Z179&gt;=60,"P1",IF(Z179&gt;=40,"P2",IF(Z179&gt;=20,"P3","P4")))))</f>
        <v/>
      </c>
      <c r="AD179">
        <f>IF(AB179&lt;&gt;"",AB179,AA179)</f>
        <v/>
      </c>
      <c r="AE179">
        <f>VLOOKUP(AD179,SLA_Definitions!$A$2:$B$6,2,FALSE)</f>
        <v/>
      </c>
      <c r="AF179">
        <f>IF(B179&lt;&gt;"",WORKDAY(B179,AE179),"")</f>
        <v/>
      </c>
      <c r="AG179">
        <f>IF(AF179&lt;&gt;"",NETWORKDAYS(TODAY(),AF179),"")</f>
        <v/>
      </c>
      <c r="AH179">
        <f>IF(AJ179="Complete","Complete",IF(AG179&lt;0,"Overdue",IF(AG179&lt;=AE179*0.2,"At Risk","On Track")))</f>
        <v/>
      </c>
      <c r="AK179">
        <f>IF(OR(AH179="Overdue",AND(AD179="P0",AG179&lt;1),AND(AD179="P1",AG179&lt;3)),"Y","N")</f>
        <v/>
      </c>
    </row>
    <row r="180">
      <c r="K180">
        <f>IF(J180="v4.0",L180,IF(J180="v3.1",M180,IF(J180="Both",L180,IF(AND(L180&lt;&gt;"",M180=""),L180,M180))))</f>
        <v/>
      </c>
      <c r="Z180">
        <f>MIN(100,
(K180*5) +
(U180*10) +
IF(P180="Y",40,0) +
IF(Q180="P",30,0) +
IF(V180="Y",25,0) +
IF(W180="Y",20,0) +
IF(X180="Weaponized",15,IF(X180="PoC Available",10,IF(X180="Public Exploit",5,0))) +
IF(G180="Production",10,IF(G180="DMZ",8,IF(G180="DR/Backup",5,0))) +
IF(Y180="N",10,0)
)</f>
        <v/>
      </c>
      <c r="AA180">
        <f>IF(OR(P180="Y",AND(K180&gt;=9.0,W180="Y")),"P0",IF(Z180&gt;=80,"P0",IF(Z180&gt;=60,"P1",IF(Z180&gt;=40,"P2",IF(Z180&gt;=20,"P3","P4")))))</f>
        <v/>
      </c>
      <c r="AD180">
        <f>IF(AB180&lt;&gt;"",AB180,AA180)</f>
        <v/>
      </c>
      <c r="AE180">
        <f>VLOOKUP(AD180,SLA_Definitions!$A$2:$B$6,2,FALSE)</f>
        <v/>
      </c>
      <c r="AF180">
        <f>IF(B180&lt;&gt;"",WORKDAY(B180,AE180),"")</f>
        <v/>
      </c>
      <c r="AG180">
        <f>IF(AF180&lt;&gt;"",NETWORKDAYS(TODAY(),AF180),"")</f>
        <v/>
      </c>
      <c r="AH180">
        <f>IF(AJ180="Complete","Complete",IF(AG180&lt;0,"Overdue",IF(AG180&lt;=AE180*0.2,"At Risk","On Track")))</f>
        <v/>
      </c>
      <c r="AK180">
        <f>IF(OR(AH180="Overdue",AND(AD180="P0",AG180&lt;1),AND(AD180="P1",AG180&lt;3)),"Y","N")</f>
        <v/>
      </c>
    </row>
    <row r="181">
      <c r="K181">
        <f>IF(J181="v4.0",L181,IF(J181="v3.1",M181,IF(J181="Both",L181,IF(AND(L181&lt;&gt;"",M181=""),L181,M181))))</f>
        <v/>
      </c>
      <c r="Z181">
        <f>MIN(100,
(K181*5) +
(U181*10) +
IF(P181="Y",40,0) +
IF(Q181="P",30,0) +
IF(V181="Y",25,0) +
IF(W181="Y",20,0) +
IF(X181="Weaponized",15,IF(X181="PoC Available",10,IF(X181="Public Exploit",5,0))) +
IF(G181="Production",10,IF(G181="DMZ",8,IF(G181="DR/Backup",5,0))) +
IF(Y181="N",10,0)
)</f>
        <v/>
      </c>
      <c r="AA181">
        <f>IF(OR(P181="Y",AND(K181&gt;=9.0,W181="Y")),"P0",IF(Z181&gt;=80,"P0",IF(Z181&gt;=60,"P1",IF(Z181&gt;=40,"P2",IF(Z181&gt;=20,"P3","P4")))))</f>
        <v/>
      </c>
      <c r="AD181">
        <f>IF(AB181&lt;&gt;"",AB181,AA181)</f>
        <v/>
      </c>
      <c r="AE181">
        <f>VLOOKUP(AD181,SLA_Definitions!$A$2:$B$6,2,FALSE)</f>
        <v/>
      </c>
      <c r="AF181">
        <f>IF(B181&lt;&gt;"",WORKDAY(B181,AE181),"")</f>
        <v/>
      </c>
      <c r="AG181">
        <f>IF(AF181&lt;&gt;"",NETWORKDAYS(TODAY(),AF181),"")</f>
        <v/>
      </c>
      <c r="AH181">
        <f>IF(AJ181="Complete","Complete",IF(AG181&lt;0,"Overdue",IF(AG181&lt;=AE181*0.2,"At Risk","On Track")))</f>
        <v/>
      </c>
      <c r="AK181">
        <f>IF(OR(AH181="Overdue",AND(AD181="P0",AG181&lt;1),AND(AD181="P1",AG181&lt;3)),"Y","N")</f>
        <v/>
      </c>
    </row>
    <row r="182">
      <c r="K182">
        <f>IF(J182="v4.0",L182,IF(J182="v3.1",M182,IF(J182="Both",L182,IF(AND(L182&lt;&gt;"",M182=""),L182,M182))))</f>
        <v/>
      </c>
      <c r="Z182">
        <f>MIN(100,
(K182*5) +
(U182*10) +
IF(P182="Y",40,0) +
IF(Q182="P",30,0) +
IF(V182="Y",25,0) +
IF(W182="Y",20,0) +
IF(X182="Weaponized",15,IF(X182="PoC Available",10,IF(X182="Public Exploit",5,0))) +
IF(G182="Production",10,IF(G182="DMZ",8,IF(G182="DR/Backup",5,0))) +
IF(Y182="N",10,0)
)</f>
        <v/>
      </c>
      <c r="AA182">
        <f>IF(OR(P182="Y",AND(K182&gt;=9.0,W182="Y")),"P0",IF(Z182&gt;=80,"P0",IF(Z182&gt;=60,"P1",IF(Z182&gt;=40,"P2",IF(Z182&gt;=20,"P3","P4")))))</f>
        <v/>
      </c>
      <c r="AD182">
        <f>IF(AB182&lt;&gt;"",AB182,AA182)</f>
        <v/>
      </c>
      <c r="AE182">
        <f>VLOOKUP(AD182,SLA_Definitions!$A$2:$B$6,2,FALSE)</f>
        <v/>
      </c>
      <c r="AF182">
        <f>IF(B182&lt;&gt;"",WORKDAY(B182,AE182),"")</f>
        <v/>
      </c>
      <c r="AG182">
        <f>IF(AF182&lt;&gt;"",NETWORKDAYS(TODAY(),AF182),"")</f>
        <v/>
      </c>
      <c r="AH182">
        <f>IF(AJ182="Complete","Complete",IF(AG182&lt;0,"Overdue",IF(AG182&lt;=AE182*0.2,"At Risk","On Track")))</f>
        <v/>
      </c>
      <c r="AK182">
        <f>IF(OR(AH182="Overdue",AND(AD182="P0",AG182&lt;1),AND(AD182="P1",AG182&lt;3)),"Y","N")</f>
        <v/>
      </c>
    </row>
    <row r="183">
      <c r="K183">
        <f>IF(J183="v4.0",L183,IF(J183="v3.1",M183,IF(J183="Both",L183,IF(AND(L183&lt;&gt;"",M183=""),L183,M183))))</f>
        <v/>
      </c>
      <c r="Z183">
        <f>MIN(100,
(K183*5) +
(U183*10) +
IF(P183="Y",40,0) +
IF(Q183="P",30,0) +
IF(V183="Y",25,0) +
IF(W183="Y",20,0) +
IF(X183="Weaponized",15,IF(X183="PoC Available",10,IF(X183="Public Exploit",5,0))) +
IF(G183="Production",10,IF(G183="DMZ",8,IF(G183="DR/Backup",5,0))) +
IF(Y183="N",10,0)
)</f>
        <v/>
      </c>
      <c r="AA183">
        <f>IF(OR(P183="Y",AND(K183&gt;=9.0,W183="Y")),"P0",IF(Z183&gt;=80,"P0",IF(Z183&gt;=60,"P1",IF(Z183&gt;=40,"P2",IF(Z183&gt;=20,"P3","P4")))))</f>
        <v/>
      </c>
      <c r="AD183">
        <f>IF(AB183&lt;&gt;"",AB183,AA183)</f>
        <v/>
      </c>
      <c r="AE183">
        <f>VLOOKUP(AD183,SLA_Definitions!$A$2:$B$6,2,FALSE)</f>
        <v/>
      </c>
      <c r="AF183">
        <f>IF(B183&lt;&gt;"",WORKDAY(B183,AE183),"")</f>
        <v/>
      </c>
      <c r="AG183">
        <f>IF(AF183&lt;&gt;"",NETWORKDAYS(TODAY(),AF183),"")</f>
        <v/>
      </c>
      <c r="AH183">
        <f>IF(AJ183="Complete","Complete",IF(AG183&lt;0,"Overdue",IF(AG183&lt;=AE183*0.2,"At Risk","On Track")))</f>
        <v/>
      </c>
      <c r="AK183">
        <f>IF(OR(AH183="Overdue",AND(AD183="P0",AG183&lt;1),AND(AD183="P1",AG183&lt;3)),"Y","N")</f>
        <v/>
      </c>
    </row>
    <row r="184">
      <c r="K184">
        <f>IF(J184="v4.0",L184,IF(J184="v3.1",M184,IF(J184="Both",L184,IF(AND(L184&lt;&gt;"",M184=""),L184,M184))))</f>
        <v/>
      </c>
      <c r="Z184">
        <f>MIN(100,
(K184*5) +
(U184*10) +
IF(P184="Y",40,0) +
IF(Q184="P",30,0) +
IF(V184="Y",25,0) +
IF(W184="Y",20,0) +
IF(X184="Weaponized",15,IF(X184="PoC Available",10,IF(X184="Public Exploit",5,0))) +
IF(G184="Production",10,IF(G184="DMZ",8,IF(G184="DR/Backup",5,0))) +
IF(Y184="N",10,0)
)</f>
        <v/>
      </c>
      <c r="AA184">
        <f>IF(OR(P184="Y",AND(K184&gt;=9.0,W184="Y")),"P0",IF(Z184&gt;=80,"P0",IF(Z184&gt;=60,"P1",IF(Z184&gt;=40,"P2",IF(Z184&gt;=20,"P3","P4")))))</f>
        <v/>
      </c>
      <c r="AD184">
        <f>IF(AB184&lt;&gt;"",AB184,AA184)</f>
        <v/>
      </c>
      <c r="AE184">
        <f>VLOOKUP(AD184,SLA_Definitions!$A$2:$B$6,2,FALSE)</f>
        <v/>
      </c>
      <c r="AF184">
        <f>IF(B184&lt;&gt;"",WORKDAY(B184,AE184),"")</f>
        <v/>
      </c>
      <c r="AG184">
        <f>IF(AF184&lt;&gt;"",NETWORKDAYS(TODAY(),AF184),"")</f>
        <v/>
      </c>
      <c r="AH184">
        <f>IF(AJ184="Complete","Complete",IF(AG184&lt;0,"Overdue",IF(AG184&lt;=AE184*0.2,"At Risk","On Track")))</f>
        <v/>
      </c>
      <c r="AK184">
        <f>IF(OR(AH184="Overdue",AND(AD184="P0",AG184&lt;1),AND(AD184="P1",AG184&lt;3)),"Y","N")</f>
        <v/>
      </c>
    </row>
    <row r="185">
      <c r="K185">
        <f>IF(J185="v4.0",L185,IF(J185="v3.1",M185,IF(J185="Both",L185,IF(AND(L185&lt;&gt;"",M185=""),L185,M185))))</f>
        <v/>
      </c>
      <c r="Z185">
        <f>MIN(100,
(K185*5) +
(U185*10) +
IF(P185="Y",40,0) +
IF(Q185="P",30,0) +
IF(V185="Y",25,0) +
IF(W185="Y",20,0) +
IF(X185="Weaponized",15,IF(X185="PoC Available",10,IF(X185="Public Exploit",5,0))) +
IF(G185="Production",10,IF(G185="DMZ",8,IF(G185="DR/Backup",5,0))) +
IF(Y185="N",10,0)
)</f>
        <v/>
      </c>
      <c r="AA185">
        <f>IF(OR(P185="Y",AND(K185&gt;=9.0,W185="Y")),"P0",IF(Z185&gt;=80,"P0",IF(Z185&gt;=60,"P1",IF(Z185&gt;=40,"P2",IF(Z185&gt;=20,"P3","P4")))))</f>
        <v/>
      </c>
      <c r="AD185">
        <f>IF(AB185&lt;&gt;"",AB185,AA185)</f>
        <v/>
      </c>
      <c r="AE185">
        <f>VLOOKUP(AD185,SLA_Definitions!$A$2:$B$6,2,FALSE)</f>
        <v/>
      </c>
      <c r="AF185">
        <f>IF(B185&lt;&gt;"",WORKDAY(B185,AE185),"")</f>
        <v/>
      </c>
      <c r="AG185">
        <f>IF(AF185&lt;&gt;"",NETWORKDAYS(TODAY(),AF185),"")</f>
        <v/>
      </c>
      <c r="AH185">
        <f>IF(AJ185="Complete","Complete",IF(AG185&lt;0,"Overdue",IF(AG185&lt;=AE185*0.2,"At Risk","On Track")))</f>
        <v/>
      </c>
      <c r="AK185">
        <f>IF(OR(AH185="Overdue",AND(AD185="P0",AG185&lt;1),AND(AD185="P1",AG185&lt;3)),"Y","N")</f>
        <v/>
      </c>
    </row>
    <row r="186">
      <c r="K186">
        <f>IF(J186="v4.0",L186,IF(J186="v3.1",M186,IF(J186="Both",L186,IF(AND(L186&lt;&gt;"",M186=""),L186,M186))))</f>
        <v/>
      </c>
      <c r="Z186">
        <f>MIN(100,
(K186*5) +
(U186*10) +
IF(P186="Y",40,0) +
IF(Q186="P",30,0) +
IF(V186="Y",25,0) +
IF(W186="Y",20,0) +
IF(X186="Weaponized",15,IF(X186="PoC Available",10,IF(X186="Public Exploit",5,0))) +
IF(G186="Production",10,IF(G186="DMZ",8,IF(G186="DR/Backup",5,0))) +
IF(Y186="N",10,0)
)</f>
        <v/>
      </c>
      <c r="AA186">
        <f>IF(OR(P186="Y",AND(K186&gt;=9.0,W186="Y")),"P0",IF(Z186&gt;=80,"P0",IF(Z186&gt;=60,"P1",IF(Z186&gt;=40,"P2",IF(Z186&gt;=20,"P3","P4")))))</f>
        <v/>
      </c>
      <c r="AD186">
        <f>IF(AB186&lt;&gt;"",AB186,AA186)</f>
        <v/>
      </c>
      <c r="AE186">
        <f>VLOOKUP(AD186,SLA_Definitions!$A$2:$B$6,2,FALSE)</f>
        <v/>
      </c>
      <c r="AF186">
        <f>IF(B186&lt;&gt;"",WORKDAY(B186,AE186),"")</f>
        <v/>
      </c>
      <c r="AG186">
        <f>IF(AF186&lt;&gt;"",NETWORKDAYS(TODAY(),AF186),"")</f>
        <v/>
      </c>
      <c r="AH186">
        <f>IF(AJ186="Complete","Complete",IF(AG186&lt;0,"Overdue",IF(AG186&lt;=AE186*0.2,"At Risk","On Track")))</f>
        <v/>
      </c>
      <c r="AK186">
        <f>IF(OR(AH186="Overdue",AND(AD186="P0",AG186&lt;1),AND(AD186="P1",AG186&lt;3)),"Y","N")</f>
        <v/>
      </c>
    </row>
    <row r="187">
      <c r="K187">
        <f>IF(J187="v4.0",L187,IF(J187="v3.1",M187,IF(J187="Both",L187,IF(AND(L187&lt;&gt;"",M187=""),L187,M187))))</f>
        <v/>
      </c>
      <c r="Z187">
        <f>MIN(100,
(K187*5) +
(U187*10) +
IF(P187="Y",40,0) +
IF(Q187="P",30,0) +
IF(V187="Y",25,0) +
IF(W187="Y",20,0) +
IF(X187="Weaponized",15,IF(X187="PoC Available",10,IF(X187="Public Exploit",5,0))) +
IF(G187="Production",10,IF(G187="DMZ",8,IF(G187="DR/Backup",5,0))) +
IF(Y187="N",10,0)
)</f>
        <v/>
      </c>
      <c r="AA187">
        <f>IF(OR(P187="Y",AND(K187&gt;=9.0,W187="Y")),"P0",IF(Z187&gt;=80,"P0",IF(Z187&gt;=60,"P1",IF(Z187&gt;=40,"P2",IF(Z187&gt;=20,"P3","P4")))))</f>
        <v/>
      </c>
      <c r="AD187">
        <f>IF(AB187&lt;&gt;"",AB187,AA187)</f>
        <v/>
      </c>
      <c r="AE187">
        <f>VLOOKUP(AD187,SLA_Definitions!$A$2:$B$6,2,FALSE)</f>
        <v/>
      </c>
      <c r="AF187">
        <f>IF(B187&lt;&gt;"",WORKDAY(B187,AE187),"")</f>
        <v/>
      </c>
      <c r="AG187">
        <f>IF(AF187&lt;&gt;"",NETWORKDAYS(TODAY(),AF187),"")</f>
        <v/>
      </c>
      <c r="AH187">
        <f>IF(AJ187="Complete","Complete",IF(AG187&lt;0,"Overdue",IF(AG187&lt;=AE187*0.2,"At Risk","On Track")))</f>
        <v/>
      </c>
      <c r="AK187">
        <f>IF(OR(AH187="Overdue",AND(AD187="P0",AG187&lt;1),AND(AD187="P1",AG187&lt;3)),"Y","N")</f>
        <v/>
      </c>
    </row>
    <row r="188">
      <c r="K188">
        <f>IF(J188="v4.0",L188,IF(J188="v3.1",M188,IF(J188="Both",L188,IF(AND(L188&lt;&gt;"",M188=""),L188,M188))))</f>
        <v/>
      </c>
      <c r="Z188">
        <f>MIN(100,
(K188*5) +
(U188*10) +
IF(P188="Y",40,0) +
IF(Q188="P",30,0) +
IF(V188="Y",25,0) +
IF(W188="Y",20,0) +
IF(X188="Weaponized",15,IF(X188="PoC Available",10,IF(X188="Public Exploit",5,0))) +
IF(G188="Production",10,IF(G188="DMZ",8,IF(G188="DR/Backup",5,0))) +
IF(Y188="N",10,0)
)</f>
        <v/>
      </c>
      <c r="AA188">
        <f>IF(OR(P188="Y",AND(K188&gt;=9.0,W188="Y")),"P0",IF(Z188&gt;=80,"P0",IF(Z188&gt;=60,"P1",IF(Z188&gt;=40,"P2",IF(Z188&gt;=20,"P3","P4")))))</f>
        <v/>
      </c>
      <c r="AD188">
        <f>IF(AB188&lt;&gt;"",AB188,AA188)</f>
        <v/>
      </c>
      <c r="AE188">
        <f>VLOOKUP(AD188,SLA_Definitions!$A$2:$B$6,2,FALSE)</f>
        <v/>
      </c>
      <c r="AF188">
        <f>IF(B188&lt;&gt;"",WORKDAY(B188,AE188),"")</f>
        <v/>
      </c>
      <c r="AG188">
        <f>IF(AF188&lt;&gt;"",NETWORKDAYS(TODAY(),AF188),"")</f>
        <v/>
      </c>
      <c r="AH188">
        <f>IF(AJ188="Complete","Complete",IF(AG188&lt;0,"Overdue",IF(AG188&lt;=AE188*0.2,"At Risk","On Track")))</f>
        <v/>
      </c>
      <c r="AK188">
        <f>IF(OR(AH188="Overdue",AND(AD188="P0",AG188&lt;1),AND(AD188="P1",AG188&lt;3)),"Y","N")</f>
        <v/>
      </c>
    </row>
    <row r="189">
      <c r="K189">
        <f>IF(J189="v4.0",L189,IF(J189="v3.1",M189,IF(J189="Both",L189,IF(AND(L189&lt;&gt;"",M189=""),L189,M189))))</f>
        <v/>
      </c>
      <c r="Z189">
        <f>MIN(100,
(K189*5) +
(U189*10) +
IF(P189="Y",40,0) +
IF(Q189="P",30,0) +
IF(V189="Y",25,0) +
IF(W189="Y",20,0) +
IF(X189="Weaponized",15,IF(X189="PoC Available",10,IF(X189="Public Exploit",5,0))) +
IF(G189="Production",10,IF(G189="DMZ",8,IF(G189="DR/Backup",5,0))) +
IF(Y189="N",10,0)
)</f>
        <v/>
      </c>
      <c r="AA189">
        <f>IF(OR(P189="Y",AND(K189&gt;=9.0,W189="Y")),"P0",IF(Z189&gt;=80,"P0",IF(Z189&gt;=60,"P1",IF(Z189&gt;=40,"P2",IF(Z189&gt;=20,"P3","P4")))))</f>
        <v/>
      </c>
      <c r="AD189">
        <f>IF(AB189&lt;&gt;"",AB189,AA189)</f>
        <v/>
      </c>
      <c r="AE189">
        <f>VLOOKUP(AD189,SLA_Definitions!$A$2:$B$6,2,FALSE)</f>
        <v/>
      </c>
      <c r="AF189">
        <f>IF(B189&lt;&gt;"",WORKDAY(B189,AE189),"")</f>
        <v/>
      </c>
      <c r="AG189">
        <f>IF(AF189&lt;&gt;"",NETWORKDAYS(TODAY(),AF189),"")</f>
        <v/>
      </c>
      <c r="AH189">
        <f>IF(AJ189="Complete","Complete",IF(AG189&lt;0,"Overdue",IF(AG189&lt;=AE189*0.2,"At Risk","On Track")))</f>
        <v/>
      </c>
      <c r="AK189">
        <f>IF(OR(AH189="Overdue",AND(AD189="P0",AG189&lt;1),AND(AD189="P1",AG189&lt;3)),"Y","N")</f>
        <v/>
      </c>
    </row>
    <row r="190">
      <c r="K190">
        <f>IF(J190="v4.0",L190,IF(J190="v3.1",M190,IF(J190="Both",L190,IF(AND(L190&lt;&gt;"",M190=""),L190,M190))))</f>
        <v/>
      </c>
      <c r="Z190">
        <f>MIN(100,
(K190*5) +
(U190*10) +
IF(P190="Y",40,0) +
IF(Q190="P",30,0) +
IF(V190="Y",25,0) +
IF(W190="Y",20,0) +
IF(X190="Weaponized",15,IF(X190="PoC Available",10,IF(X190="Public Exploit",5,0))) +
IF(G190="Production",10,IF(G190="DMZ",8,IF(G190="DR/Backup",5,0))) +
IF(Y190="N",10,0)
)</f>
        <v/>
      </c>
      <c r="AA190">
        <f>IF(OR(P190="Y",AND(K190&gt;=9.0,W190="Y")),"P0",IF(Z190&gt;=80,"P0",IF(Z190&gt;=60,"P1",IF(Z190&gt;=40,"P2",IF(Z190&gt;=20,"P3","P4")))))</f>
        <v/>
      </c>
      <c r="AD190">
        <f>IF(AB190&lt;&gt;"",AB190,AA190)</f>
        <v/>
      </c>
      <c r="AE190">
        <f>VLOOKUP(AD190,SLA_Definitions!$A$2:$B$6,2,FALSE)</f>
        <v/>
      </c>
      <c r="AF190">
        <f>IF(B190&lt;&gt;"",WORKDAY(B190,AE190),"")</f>
        <v/>
      </c>
      <c r="AG190">
        <f>IF(AF190&lt;&gt;"",NETWORKDAYS(TODAY(),AF190),"")</f>
        <v/>
      </c>
      <c r="AH190">
        <f>IF(AJ190="Complete","Complete",IF(AG190&lt;0,"Overdue",IF(AG190&lt;=AE190*0.2,"At Risk","On Track")))</f>
        <v/>
      </c>
      <c r="AK190">
        <f>IF(OR(AH190="Overdue",AND(AD190="P0",AG190&lt;1),AND(AD190="P1",AG190&lt;3)),"Y","N")</f>
        <v/>
      </c>
    </row>
    <row r="191">
      <c r="K191">
        <f>IF(J191="v4.0",L191,IF(J191="v3.1",M191,IF(J191="Both",L191,IF(AND(L191&lt;&gt;"",M191=""),L191,M191))))</f>
        <v/>
      </c>
      <c r="Z191">
        <f>MIN(100,
(K191*5) +
(U191*10) +
IF(P191="Y",40,0) +
IF(Q191="P",30,0) +
IF(V191="Y",25,0) +
IF(W191="Y",20,0) +
IF(X191="Weaponized",15,IF(X191="PoC Available",10,IF(X191="Public Exploit",5,0))) +
IF(G191="Production",10,IF(G191="DMZ",8,IF(G191="DR/Backup",5,0))) +
IF(Y191="N",10,0)
)</f>
        <v/>
      </c>
      <c r="AA191">
        <f>IF(OR(P191="Y",AND(K191&gt;=9.0,W191="Y")),"P0",IF(Z191&gt;=80,"P0",IF(Z191&gt;=60,"P1",IF(Z191&gt;=40,"P2",IF(Z191&gt;=20,"P3","P4")))))</f>
        <v/>
      </c>
      <c r="AD191">
        <f>IF(AB191&lt;&gt;"",AB191,AA191)</f>
        <v/>
      </c>
      <c r="AE191">
        <f>VLOOKUP(AD191,SLA_Definitions!$A$2:$B$6,2,FALSE)</f>
        <v/>
      </c>
      <c r="AF191">
        <f>IF(B191&lt;&gt;"",WORKDAY(B191,AE191),"")</f>
        <v/>
      </c>
      <c r="AG191">
        <f>IF(AF191&lt;&gt;"",NETWORKDAYS(TODAY(),AF191),"")</f>
        <v/>
      </c>
      <c r="AH191">
        <f>IF(AJ191="Complete","Complete",IF(AG191&lt;0,"Overdue",IF(AG191&lt;=AE191*0.2,"At Risk","On Track")))</f>
        <v/>
      </c>
      <c r="AK191">
        <f>IF(OR(AH191="Overdue",AND(AD191="P0",AG191&lt;1),AND(AD191="P1",AG191&lt;3)),"Y","N")</f>
        <v/>
      </c>
    </row>
    <row r="192">
      <c r="K192">
        <f>IF(J192="v4.0",L192,IF(J192="v3.1",M192,IF(J192="Both",L192,IF(AND(L192&lt;&gt;"",M192=""),L192,M192))))</f>
        <v/>
      </c>
      <c r="Z192">
        <f>MIN(100,
(K192*5) +
(U192*10) +
IF(P192="Y",40,0) +
IF(Q192="P",30,0) +
IF(V192="Y",25,0) +
IF(W192="Y",20,0) +
IF(X192="Weaponized",15,IF(X192="PoC Available",10,IF(X192="Public Exploit",5,0))) +
IF(G192="Production",10,IF(G192="DMZ",8,IF(G192="DR/Backup",5,0))) +
IF(Y192="N",10,0)
)</f>
        <v/>
      </c>
      <c r="AA192">
        <f>IF(OR(P192="Y",AND(K192&gt;=9.0,W192="Y")),"P0",IF(Z192&gt;=80,"P0",IF(Z192&gt;=60,"P1",IF(Z192&gt;=40,"P2",IF(Z192&gt;=20,"P3","P4")))))</f>
        <v/>
      </c>
      <c r="AD192">
        <f>IF(AB192&lt;&gt;"",AB192,AA192)</f>
        <v/>
      </c>
      <c r="AE192">
        <f>VLOOKUP(AD192,SLA_Definitions!$A$2:$B$6,2,FALSE)</f>
        <v/>
      </c>
      <c r="AF192">
        <f>IF(B192&lt;&gt;"",WORKDAY(B192,AE192),"")</f>
        <v/>
      </c>
      <c r="AG192">
        <f>IF(AF192&lt;&gt;"",NETWORKDAYS(TODAY(),AF192),"")</f>
        <v/>
      </c>
      <c r="AH192">
        <f>IF(AJ192="Complete","Complete",IF(AG192&lt;0,"Overdue",IF(AG192&lt;=AE192*0.2,"At Risk","On Track")))</f>
        <v/>
      </c>
      <c r="AK192">
        <f>IF(OR(AH192="Overdue",AND(AD192="P0",AG192&lt;1),AND(AD192="P1",AG192&lt;3)),"Y","N")</f>
        <v/>
      </c>
    </row>
    <row r="193">
      <c r="K193">
        <f>IF(J193="v4.0",L193,IF(J193="v3.1",M193,IF(J193="Both",L193,IF(AND(L193&lt;&gt;"",M193=""),L193,M193))))</f>
        <v/>
      </c>
      <c r="Z193">
        <f>MIN(100,
(K193*5) +
(U193*10) +
IF(P193="Y",40,0) +
IF(Q193="P",30,0) +
IF(V193="Y",25,0) +
IF(W193="Y",20,0) +
IF(X193="Weaponized",15,IF(X193="PoC Available",10,IF(X193="Public Exploit",5,0))) +
IF(G193="Production",10,IF(G193="DMZ",8,IF(G193="DR/Backup",5,0))) +
IF(Y193="N",10,0)
)</f>
        <v/>
      </c>
      <c r="AA193">
        <f>IF(OR(P193="Y",AND(K193&gt;=9.0,W193="Y")),"P0",IF(Z193&gt;=80,"P0",IF(Z193&gt;=60,"P1",IF(Z193&gt;=40,"P2",IF(Z193&gt;=20,"P3","P4")))))</f>
        <v/>
      </c>
      <c r="AD193">
        <f>IF(AB193&lt;&gt;"",AB193,AA193)</f>
        <v/>
      </c>
      <c r="AE193">
        <f>VLOOKUP(AD193,SLA_Definitions!$A$2:$B$6,2,FALSE)</f>
        <v/>
      </c>
      <c r="AF193">
        <f>IF(B193&lt;&gt;"",WORKDAY(B193,AE193),"")</f>
        <v/>
      </c>
      <c r="AG193">
        <f>IF(AF193&lt;&gt;"",NETWORKDAYS(TODAY(),AF193),"")</f>
        <v/>
      </c>
      <c r="AH193">
        <f>IF(AJ193="Complete","Complete",IF(AG193&lt;0,"Overdue",IF(AG193&lt;=AE193*0.2,"At Risk","On Track")))</f>
        <v/>
      </c>
      <c r="AK193">
        <f>IF(OR(AH193="Overdue",AND(AD193="P0",AG193&lt;1),AND(AD193="P1",AG193&lt;3)),"Y","N")</f>
        <v/>
      </c>
    </row>
    <row r="194">
      <c r="K194">
        <f>IF(J194="v4.0",L194,IF(J194="v3.1",M194,IF(J194="Both",L194,IF(AND(L194&lt;&gt;"",M194=""),L194,M194))))</f>
        <v/>
      </c>
      <c r="Z194">
        <f>MIN(100,
(K194*5) +
(U194*10) +
IF(P194="Y",40,0) +
IF(Q194="P",30,0) +
IF(V194="Y",25,0) +
IF(W194="Y",20,0) +
IF(X194="Weaponized",15,IF(X194="PoC Available",10,IF(X194="Public Exploit",5,0))) +
IF(G194="Production",10,IF(G194="DMZ",8,IF(G194="DR/Backup",5,0))) +
IF(Y194="N",10,0)
)</f>
        <v/>
      </c>
      <c r="AA194">
        <f>IF(OR(P194="Y",AND(K194&gt;=9.0,W194="Y")),"P0",IF(Z194&gt;=80,"P0",IF(Z194&gt;=60,"P1",IF(Z194&gt;=40,"P2",IF(Z194&gt;=20,"P3","P4")))))</f>
        <v/>
      </c>
      <c r="AD194">
        <f>IF(AB194&lt;&gt;"",AB194,AA194)</f>
        <v/>
      </c>
      <c r="AE194">
        <f>VLOOKUP(AD194,SLA_Definitions!$A$2:$B$6,2,FALSE)</f>
        <v/>
      </c>
      <c r="AF194">
        <f>IF(B194&lt;&gt;"",WORKDAY(B194,AE194),"")</f>
        <v/>
      </c>
      <c r="AG194">
        <f>IF(AF194&lt;&gt;"",NETWORKDAYS(TODAY(),AF194),"")</f>
        <v/>
      </c>
      <c r="AH194">
        <f>IF(AJ194="Complete","Complete",IF(AG194&lt;0,"Overdue",IF(AG194&lt;=AE194*0.2,"At Risk","On Track")))</f>
        <v/>
      </c>
      <c r="AK194">
        <f>IF(OR(AH194="Overdue",AND(AD194="P0",AG194&lt;1),AND(AD194="P1",AG194&lt;3)),"Y","N")</f>
        <v/>
      </c>
    </row>
    <row r="195">
      <c r="K195">
        <f>IF(J195="v4.0",L195,IF(J195="v3.1",M195,IF(J195="Both",L195,IF(AND(L195&lt;&gt;"",M195=""),L195,M195))))</f>
        <v/>
      </c>
      <c r="Z195">
        <f>MIN(100,
(K195*5) +
(U195*10) +
IF(P195="Y",40,0) +
IF(Q195="P",30,0) +
IF(V195="Y",25,0) +
IF(W195="Y",20,0) +
IF(X195="Weaponized",15,IF(X195="PoC Available",10,IF(X195="Public Exploit",5,0))) +
IF(G195="Production",10,IF(G195="DMZ",8,IF(G195="DR/Backup",5,0))) +
IF(Y195="N",10,0)
)</f>
        <v/>
      </c>
      <c r="AA195">
        <f>IF(OR(P195="Y",AND(K195&gt;=9.0,W195="Y")),"P0",IF(Z195&gt;=80,"P0",IF(Z195&gt;=60,"P1",IF(Z195&gt;=40,"P2",IF(Z195&gt;=20,"P3","P4")))))</f>
        <v/>
      </c>
      <c r="AD195">
        <f>IF(AB195&lt;&gt;"",AB195,AA195)</f>
        <v/>
      </c>
      <c r="AE195">
        <f>VLOOKUP(AD195,SLA_Definitions!$A$2:$B$6,2,FALSE)</f>
        <v/>
      </c>
      <c r="AF195">
        <f>IF(B195&lt;&gt;"",WORKDAY(B195,AE195),"")</f>
        <v/>
      </c>
      <c r="AG195">
        <f>IF(AF195&lt;&gt;"",NETWORKDAYS(TODAY(),AF195),"")</f>
        <v/>
      </c>
      <c r="AH195">
        <f>IF(AJ195="Complete","Complete",IF(AG195&lt;0,"Overdue",IF(AG195&lt;=AE195*0.2,"At Risk","On Track")))</f>
        <v/>
      </c>
      <c r="AK195">
        <f>IF(OR(AH195="Overdue",AND(AD195="P0",AG195&lt;1),AND(AD195="P1",AG195&lt;3)),"Y","N")</f>
        <v/>
      </c>
    </row>
    <row r="196">
      <c r="K196">
        <f>IF(J196="v4.0",L196,IF(J196="v3.1",M196,IF(J196="Both",L196,IF(AND(L196&lt;&gt;"",M196=""),L196,M196))))</f>
        <v/>
      </c>
      <c r="Z196">
        <f>MIN(100,
(K196*5) +
(U196*10) +
IF(P196="Y",40,0) +
IF(Q196="P",30,0) +
IF(V196="Y",25,0) +
IF(W196="Y",20,0) +
IF(X196="Weaponized",15,IF(X196="PoC Available",10,IF(X196="Public Exploit",5,0))) +
IF(G196="Production",10,IF(G196="DMZ",8,IF(G196="DR/Backup",5,0))) +
IF(Y196="N",10,0)
)</f>
        <v/>
      </c>
      <c r="AA196">
        <f>IF(OR(P196="Y",AND(K196&gt;=9.0,W196="Y")),"P0",IF(Z196&gt;=80,"P0",IF(Z196&gt;=60,"P1",IF(Z196&gt;=40,"P2",IF(Z196&gt;=20,"P3","P4")))))</f>
        <v/>
      </c>
      <c r="AD196">
        <f>IF(AB196&lt;&gt;"",AB196,AA196)</f>
        <v/>
      </c>
      <c r="AE196">
        <f>VLOOKUP(AD196,SLA_Definitions!$A$2:$B$6,2,FALSE)</f>
        <v/>
      </c>
      <c r="AF196">
        <f>IF(B196&lt;&gt;"",WORKDAY(B196,AE196),"")</f>
        <v/>
      </c>
      <c r="AG196">
        <f>IF(AF196&lt;&gt;"",NETWORKDAYS(TODAY(),AF196),"")</f>
        <v/>
      </c>
      <c r="AH196">
        <f>IF(AJ196="Complete","Complete",IF(AG196&lt;0,"Overdue",IF(AG196&lt;=AE196*0.2,"At Risk","On Track")))</f>
        <v/>
      </c>
      <c r="AK196">
        <f>IF(OR(AH196="Overdue",AND(AD196="P0",AG196&lt;1),AND(AD196="P1",AG196&lt;3)),"Y","N")</f>
        <v/>
      </c>
    </row>
    <row r="197">
      <c r="K197">
        <f>IF(J197="v4.0",L197,IF(J197="v3.1",M197,IF(J197="Both",L197,IF(AND(L197&lt;&gt;"",M197=""),L197,M197))))</f>
        <v/>
      </c>
      <c r="Z197">
        <f>MIN(100,
(K197*5) +
(U197*10) +
IF(P197="Y",40,0) +
IF(Q197="P",30,0) +
IF(V197="Y",25,0) +
IF(W197="Y",20,0) +
IF(X197="Weaponized",15,IF(X197="PoC Available",10,IF(X197="Public Exploit",5,0))) +
IF(G197="Production",10,IF(G197="DMZ",8,IF(G197="DR/Backup",5,0))) +
IF(Y197="N",10,0)
)</f>
        <v/>
      </c>
      <c r="AA197">
        <f>IF(OR(P197="Y",AND(K197&gt;=9.0,W197="Y")),"P0",IF(Z197&gt;=80,"P0",IF(Z197&gt;=60,"P1",IF(Z197&gt;=40,"P2",IF(Z197&gt;=20,"P3","P4")))))</f>
        <v/>
      </c>
      <c r="AD197">
        <f>IF(AB197&lt;&gt;"",AB197,AA197)</f>
        <v/>
      </c>
      <c r="AE197">
        <f>VLOOKUP(AD197,SLA_Definitions!$A$2:$B$6,2,FALSE)</f>
        <v/>
      </c>
      <c r="AF197">
        <f>IF(B197&lt;&gt;"",WORKDAY(B197,AE197),"")</f>
        <v/>
      </c>
      <c r="AG197">
        <f>IF(AF197&lt;&gt;"",NETWORKDAYS(TODAY(),AF197),"")</f>
        <v/>
      </c>
      <c r="AH197">
        <f>IF(AJ197="Complete","Complete",IF(AG197&lt;0,"Overdue",IF(AG197&lt;=AE197*0.2,"At Risk","On Track")))</f>
        <v/>
      </c>
      <c r="AK197">
        <f>IF(OR(AH197="Overdue",AND(AD197="P0",AG197&lt;1),AND(AD197="P1",AG197&lt;3)),"Y","N")</f>
        <v/>
      </c>
    </row>
    <row r="198">
      <c r="K198">
        <f>IF(J198="v4.0",L198,IF(J198="v3.1",M198,IF(J198="Both",L198,IF(AND(L198&lt;&gt;"",M198=""),L198,M198))))</f>
        <v/>
      </c>
      <c r="Z198">
        <f>MIN(100,
(K198*5) +
(U198*10) +
IF(P198="Y",40,0) +
IF(Q198="P",30,0) +
IF(V198="Y",25,0) +
IF(W198="Y",20,0) +
IF(X198="Weaponized",15,IF(X198="PoC Available",10,IF(X198="Public Exploit",5,0))) +
IF(G198="Production",10,IF(G198="DMZ",8,IF(G198="DR/Backup",5,0))) +
IF(Y198="N",10,0)
)</f>
        <v/>
      </c>
      <c r="AA198">
        <f>IF(OR(P198="Y",AND(K198&gt;=9.0,W198="Y")),"P0",IF(Z198&gt;=80,"P0",IF(Z198&gt;=60,"P1",IF(Z198&gt;=40,"P2",IF(Z198&gt;=20,"P3","P4")))))</f>
        <v/>
      </c>
      <c r="AD198">
        <f>IF(AB198&lt;&gt;"",AB198,AA198)</f>
        <v/>
      </c>
      <c r="AE198">
        <f>VLOOKUP(AD198,SLA_Definitions!$A$2:$B$6,2,FALSE)</f>
        <v/>
      </c>
      <c r="AF198">
        <f>IF(B198&lt;&gt;"",WORKDAY(B198,AE198),"")</f>
        <v/>
      </c>
      <c r="AG198">
        <f>IF(AF198&lt;&gt;"",NETWORKDAYS(TODAY(),AF198),"")</f>
        <v/>
      </c>
      <c r="AH198">
        <f>IF(AJ198="Complete","Complete",IF(AG198&lt;0,"Overdue",IF(AG198&lt;=AE198*0.2,"At Risk","On Track")))</f>
        <v/>
      </c>
      <c r="AK198">
        <f>IF(OR(AH198="Overdue",AND(AD198="P0",AG198&lt;1),AND(AD198="P1",AG198&lt;3)),"Y","N")</f>
        <v/>
      </c>
    </row>
    <row r="199">
      <c r="K199">
        <f>IF(J199="v4.0",L199,IF(J199="v3.1",M199,IF(J199="Both",L199,IF(AND(L199&lt;&gt;"",M199=""),L199,M199))))</f>
        <v/>
      </c>
      <c r="Z199">
        <f>MIN(100,
(K199*5) +
(U199*10) +
IF(P199="Y",40,0) +
IF(Q199="P",30,0) +
IF(V199="Y",25,0) +
IF(W199="Y",20,0) +
IF(X199="Weaponized",15,IF(X199="PoC Available",10,IF(X199="Public Exploit",5,0))) +
IF(G199="Production",10,IF(G199="DMZ",8,IF(G199="DR/Backup",5,0))) +
IF(Y199="N",10,0)
)</f>
        <v/>
      </c>
      <c r="AA199">
        <f>IF(OR(P199="Y",AND(K199&gt;=9.0,W199="Y")),"P0",IF(Z199&gt;=80,"P0",IF(Z199&gt;=60,"P1",IF(Z199&gt;=40,"P2",IF(Z199&gt;=20,"P3","P4")))))</f>
        <v/>
      </c>
      <c r="AD199">
        <f>IF(AB199&lt;&gt;"",AB199,AA199)</f>
        <v/>
      </c>
      <c r="AE199">
        <f>VLOOKUP(AD199,SLA_Definitions!$A$2:$B$6,2,FALSE)</f>
        <v/>
      </c>
      <c r="AF199">
        <f>IF(B199&lt;&gt;"",WORKDAY(B199,AE199),"")</f>
        <v/>
      </c>
      <c r="AG199">
        <f>IF(AF199&lt;&gt;"",NETWORKDAYS(TODAY(),AF199),"")</f>
        <v/>
      </c>
      <c r="AH199">
        <f>IF(AJ199="Complete","Complete",IF(AG199&lt;0,"Overdue",IF(AG199&lt;=AE199*0.2,"At Risk","On Track")))</f>
        <v/>
      </c>
      <c r="AK199">
        <f>IF(OR(AH199="Overdue",AND(AD199="P0",AG199&lt;1),AND(AD199="P1",AG199&lt;3)),"Y","N")</f>
        <v/>
      </c>
    </row>
    <row r="200">
      <c r="K200">
        <f>IF(J200="v4.0",L200,IF(J200="v3.1",M200,IF(J200="Both",L200,IF(AND(L200&lt;&gt;"",M200=""),L200,M200))))</f>
        <v/>
      </c>
      <c r="Z200">
        <f>MIN(100,
(K200*5) +
(U200*10) +
IF(P200="Y",40,0) +
IF(Q200="P",30,0) +
IF(V200="Y",25,0) +
IF(W200="Y",20,0) +
IF(X200="Weaponized",15,IF(X200="PoC Available",10,IF(X200="Public Exploit",5,0))) +
IF(G200="Production",10,IF(G200="DMZ",8,IF(G200="DR/Backup",5,0))) +
IF(Y200="N",10,0)
)</f>
        <v/>
      </c>
      <c r="AA200">
        <f>IF(OR(P200="Y",AND(K200&gt;=9.0,W200="Y")),"P0",IF(Z200&gt;=80,"P0",IF(Z200&gt;=60,"P1",IF(Z200&gt;=40,"P2",IF(Z200&gt;=20,"P3","P4")))))</f>
        <v/>
      </c>
      <c r="AD200">
        <f>IF(AB200&lt;&gt;"",AB200,AA200)</f>
        <v/>
      </c>
      <c r="AE200">
        <f>VLOOKUP(AD200,SLA_Definitions!$A$2:$B$6,2,FALSE)</f>
        <v/>
      </c>
      <c r="AF200">
        <f>IF(B200&lt;&gt;"",WORKDAY(B200,AE200),"")</f>
        <v/>
      </c>
      <c r="AG200">
        <f>IF(AF200&lt;&gt;"",NETWORKDAYS(TODAY(),AF200),"")</f>
        <v/>
      </c>
      <c r="AH200">
        <f>IF(AJ200="Complete","Complete",IF(AG200&lt;0,"Overdue",IF(AG200&lt;=AE200*0.2,"At Risk","On Track")))</f>
        <v/>
      </c>
      <c r="AK200">
        <f>IF(OR(AH200="Overdue",AND(AD200="P0",AG200&lt;1),AND(AD200="P1",AG200&lt;3)),"Y","N")</f>
        <v/>
      </c>
    </row>
    <row r="201">
      <c r="K201">
        <f>IF(J201="v4.0",L201,IF(J201="v3.1",M201,IF(J201="Both",L201,IF(AND(L201&lt;&gt;"",M201=""),L201,M201))))</f>
        <v/>
      </c>
      <c r="Z201">
        <f>MIN(100,
(K201*5) +
(U201*10) +
IF(P201="Y",40,0) +
IF(Q201="P",30,0) +
IF(V201="Y",25,0) +
IF(W201="Y",20,0) +
IF(X201="Weaponized",15,IF(X201="PoC Available",10,IF(X201="Public Exploit",5,0))) +
IF(G201="Production",10,IF(G201="DMZ",8,IF(G201="DR/Backup",5,0))) +
IF(Y201="N",10,0)
)</f>
        <v/>
      </c>
      <c r="AA201">
        <f>IF(OR(P201="Y",AND(K201&gt;=9.0,W201="Y")),"P0",IF(Z201&gt;=80,"P0",IF(Z201&gt;=60,"P1",IF(Z201&gt;=40,"P2",IF(Z201&gt;=20,"P3","P4")))))</f>
        <v/>
      </c>
      <c r="AD201">
        <f>IF(AB201&lt;&gt;"",AB201,AA201)</f>
        <v/>
      </c>
      <c r="AE201">
        <f>VLOOKUP(AD201,SLA_Definitions!$A$2:$B$6,2,FALSE)</f>
        <v/>
      </c>
      <c r="AF201">
        <f>IF(B201&lt;&gt;"",WORKDAY(B201,AE201),"")</f>
        <v/>
      </c>
      <c r="AG201">
        <f>IF(AF201&lt;&gt;"",NETWORKDAYS(TODAY(),AF201),"")</f>
        <v/>
      </c>
      <c r="AH201">
        <f>IF(AJ201="Complete","Complete",IF(AG201&lt;0,"Overdue",IF(AG201&lt;=AE201*0.2,"At Risk","On Track")))</f>
        <v/>
      </c>
      <c r="AK201">
        <f>IF(OR(AH201="Overdue",AND(AD201="P0",AG201&lt;1),AND(AD201="P1",AG201&lt;3)),"Y","N")</f>
        <v/>
      </c>
    </row>
    <row r="202">
      <c r="K202">
        <f>IF(J202="v4.0",L202,IF(J202="v3.1",M202,IF(J202="Both",L202,IF(AND(L202&lt;&gt;"",M202=""),L202,M202))))</f>
        <v/>
      </c>
      <c r="Z202">
        <f>MIN(100,
(K202*5) +
(U202*10) +
IF(P202="Y",40,0) +
IF(Q202="P",30,0) +
IF(V202="Y",25,0) +
IF(W202="Y",20,0) +
IF(X202="Weaponized",15,IF(X202="PoC Available",10,IF(X202="Public Exploit",5,0))) +
IF(G202="Production",10,IF(G202="DMZ",8,IF(G202="DR/Backup",5,0))) +
IF(Y202="N",10,0)
)</f>
        <v/>
      </c>
      <c r="AA202">
        <f>IF(OR(P202="Y",AND(K202&gt;=9.0,W202="Y")),"P0",IF(Z202&gt;=80,"P0",IF(Z202&gt;=60,"P1",IF(Z202&gt;=40,"P2",IF(Z202&gt;=20,"P3","P4")))))</f>
        <v/>
      </c>
      <c r="AD202">
        <f>IF(AB202&lt;&gt;"",AB202,AA202)</f>
        <v/>
      </c>
      <c r="AE202">
        <f>VLOOKUP(AD202,SLA_Definitions!$A$2:$B$6,2,FALSE)</f>
        <v/>
      </c>
      <c r="AF202">
        <f>IF(B202&lt;&gt;"",WORKDAY(B202,AE202),"")</f>
        <v/>
      </c>
      <c r="AG202">
        <f>IF(AF202&lt;&gt;"",NETWORKDAYS(TODAY(),AF202),"")</f>
        <v/>
      </c>
      <c r="AH202">
        <f>IF(AJ202="Complete","Complete",IF(AG202&lt;0,"Overdue",IF(AG202&lt;=AE202*0.2,"At Risk","On Track")))</f>
        <v/>
      </c>
      <c r="AK202">
        <f>IF(OR(AH202="Overdue",AND(AD202="P0",AG202&lt;1),AND(AD202="P1",AG202&lt;3)),"Y","N")</f>
        <v/>
      </c>
    </row>
    <row r="203">
      <c r="K203">
        <f>IF(J203="v4.0",L203,IF(J203="v3.1",M203,IF(J203="Both",L203,IF(AND(L203&lt;&gt;"",M203=""),L203,M203))))</f>
        <v/>
      </c>
      <c r="Z203">
        <f>MIN(100,
(K203*5) +
(U203*10) +
IF(P203="Y",40,0) +
IF(Q203="P",30,0) +
IF(V203="Y",25,0) +
IF(W203="Y",20,0) +
IF(X203="Weaponized",15,IF(X203="PoC Available",10,IF(X203="Public Exploit",5,0))) +
IF(G203="Production",10,IF(G203="DMZ",8,IF(G203="DR/Backup",5,0))) +
IF(Y203="N",10,0)
)</f>
        <v/>
      </c>
      <c r="AA203">
        <f>IF(OR(P203="Y",AND(K203&gt;=9.0,W203="Y")),"P0",IF(Z203&gt;=80,"P0",IF(Z203&gt;=60,"P1",IF(Z203&gt;=40,"P2",IF(Z203&gt;=20,"P3","P4")))))</f>
        <v/>
      </c>
      <c r="AD203">
        <f>IF(AB203&lt;&gt;"",AB203,AA203)</f>
        <v/>
      </c>
      <c r="AE203">
        <f>VLOOKUP(AD203,SLA_Definitions!$A$2:$B$6,2,FALSE)</f>
        <v/>
      </c>
      <c r="AF203">
        <f>IF(B203&lt;&gt;"",WORKDAY(B203,AE203),"")</f>
        <v/>
      </c>
      <c r="AG203">
        <f>IF(AF203&lt;&gt;"",NETWORKDAYS(TODAY(),AF203),"")</f>
        <v/>
      </c>
      <c r="AH203">
        <f>IF(AJ203="Complete","Complete",IF(AG203&lt;0,"Overdue",IF(AG203&lt;=AE203*0.2,"At Risk","On Track")))</f>
        <v/>
      </c>
      <c r="AK203">
        <f>IF(OR(AH203="Overdue",AND(AD203="P0",AG203&lt;1),AND(AD203="P1",AG203&lt;3)),"Y","N")</f>
        <v/>
      </c>
    </row>
    <row r="204">
      <c r="K204">
        <f>IF(J204="v4.0",L204,IF(J204="v3.1",M204,IF(J204="Both",L204,IF(AND(L204&lt;&gt;"",M204=""),L204,M204))))</f>
        <v/>
      </c>
      <c r="Z204">
        <f>MIN(100,
(K204*5) +
(U204*10) +
IF(P204="Y",40,0) +
IF(Q204="P",30,0) +
IF(V204="Y",25,0) +
IF(W204="Y",20,0) +
IF(X204="Weaponized",15,IF(X204="PoC Available",10,IF(X204="Public Exploit",5,0))) +
IF(G204="Production",10,IF(G204="DMZ",8,IF(G204="DR/Backup",5,0))) +
IF(Y204="N",10,0)
)</f>
        <v/>
      </c>
      <c r="AA204">
        <f>IF(OR(P204="Y",AND(K204&gt;=9.0,W204="Y")),"P0",IF(Z204&gt;=80,"P0",IF(Z204&gt;=60,"P1",IF(Z204&gt;=40,"P2",IF(Z204&gt;=20,"P3","P4")))))</f>
        <v/>
      </c>
      <c r="AD204">
        <f>IF(AB204&lt;&gt;"",AB204,AA204)</f>
        <v/>
      </c>
      <c r="AE204">
        <f>VLOOKUP(AD204,SLA_Definitions!$A$2:$B$6,2,FALSE)</f>
        <v/>
      </c>
      <c r="AF204">
        <f>IF(B204&lt;&gt;"",WORKDAY(B204,AE204),"")</f>
        <v/>
      </c>
      <c r="AG204">
        <f>IF(AF204&lt;&gt;"",NETWORKDAYS(TODAY(),AF204),"")</f>
        <v/>
      </c>
      <c r="AH204">
        <f>IF(AJ204="Complete","Complete",IF(AG204&lt;0,"Overdue",IF(AG204&lt;=AE204*0.2,"At Risk","On Track")))</f>
        <v/>
      </c>
      <c r="AK204">
        <f>IF(OR(AH204="Overdue",AND(AD204="P0",AG204&lt;1),AND(AD204="P1",AG204&lt;3)),"Y","N")</f>
        <v/>
      </c>
    </row>
    <row r="205">
      <c r="K205">
        <f>IF(J205="v4.0",L205,IF(J205="v3.1",M205,IF(J205="Both",L205,IF(AND(L205&lt;&gt;"",M205=""),L205,M205))))</f>
        <v/>
      </c>
      <c r="Z205">
        <f>MIN(100,
(K205*5) +
(U205*10) +
IF(P205="Y",40,0) +
IF(Q205="P",30,0) +
IF(V205="Y",25,0) +
IF(W205="Y",20,0) +
IF(X205="Weaponized",15,IF(X205="PoC Available",10,IF(X205="Public Exploit",5,0))) +
IF(G205="Production",10,IF(G205="DMZ",8,IF(G205="DR/Backup",5,0))) +
IF(Y205="N",10,0)
)</f>
        <v/>
      </c>
      <c r="AA205">
        <f>IF(OR(P205="Y",AND(K205&gt;=9.0,W205="Y")),"P0",IF(Z205&gt;=80,"P0",IF(Z205&gt;=60,"P1",IF(Z205&gt;=40,"P2",IF(Z205&gt;=20,"P3","P4")))))</f>
        <v/>
      </c>
      <c r="AD205">
        <f>IF(AB205&lt;&gt;"",AB205,AA205)</f>
        <v/>
      </c>
      <c r="AE205">
        <f>VLOOKUP(AD205,SLA_Definitions!$A$2:$B$6,2,FALSE)</f>
        <v/>
      </c>
      <c r="AF205">
        <f>IF(B205&lt;&gt;"",WORKDAY(B205,AE205),"")</f>
        <v/>
      </c>
      <c r="AG205">
        <f>IF(AF205&lt;&gt;"",NETWORKDAYS(TODAY(),AF205),"")</f>
        <v/>
      </c>
      <c r="AH205">
        <f>IF(AJ205="Complete","Complete",IF(AG205&lt;0,"Overdue",IF(AG205&lt;=AE205*0.2,"At Risk","On Track")))</f>
        <v/>
      </c>
      <c r="AK205">
        <f>IF(OR(AH205="Overdue",AND(AD205="P0",AG205&lt;1),AND(AD205="P1",AG205&lt;3)),"Y","N")</f>
        <v/>
      </c>
    </row>
    <row r="206">
      <c r="K206">
        <f>IF(J206="v4.0",L206,IF(J206="v3.1",M206,IF(J206="Both",L206,IF(AND(L206&lt;&gt;"",M206=""),L206,M206))))</f>
        <v/>
      </c>
      <c r="Z206">
        <f>MIN(100,
(K206*5) +
(U206*10) +
IF(P206="Y",40,0) +
IF(Q206="P",30,0) +
IF(V206="Y",25,0) +
IF(W206="Y",20,0) +
IF(X206="Weaponized",15,IF(X206="PoC Available",10,IF(X206="Public Exploit",5,0))) +
IF(G206="Production",10,IF(G206="DMZ",8,IF(G206="DR/Backup",5,0))) +
IF(Y206="N",10,0)
)</f>
        <v/>
      </c>
      <c r="AA206">
        <f>IF(OR(P206="Y",AND(K206&gt;=9.0,W206="Y")),"P0",IF(Z206&gt;=80,"P0",IF(Z206&gt;=60,"P1",IF(Z206&gt;=40,"P2",IF(Z206&gt;=20,"P3","P4")))))</f>
        <v/>
      </c>
      <c r="AD206">
        <f>IF(AB206&lt;&gt;"",AB206,AA206)</f>
        <v/>
      </c>
      <c r="AE206">
        <f>VLOOKUP(AD206,SLA_Definitions!$A$2:$B$6,2,FALSE)</f>
        <v/>
      </c>
      <c r="AF206">
        <f>IF(B206&lt;&gt;"",WORKDAY(B206,AE206),"")</f>
        <v/>
      </c>
      <c r="AG206">
        <f>IF(AF206&lt;&gt;"",NETWORKDAYS(TODAY(),AF206),"")</f>
        <v/>
      </c>
      <c r="AH206">
        <f>IF(AJ206="Complete","Complete",IF(AG206&lt;0,"Overdue",IF(AG206&lt;=AE206*0.2,"At Risk","On Track")))</f>
        <v/>
      </c>
      <c r="AK206">
        <f>IF(OR(AH206="Overdue",AND(AD206="P0",AG206&lt;1),AND(AD206="P1",AG206&lt;3)),"Y","N")</f>
        <v/>
      </c>
    </row>
    <row r="207">
      <c r="K207">
        <f>IF(J207="v4.0",L207,IF(J207="v3.1",M207,IF(J207="Both",L207,IF(AND(L207&lt;&gt;"",M207=""),L207,M207))))</f>
        <v/>
      </c>
      <c r="Z207">
        <f>MIN(100,
(K207*5) +
(U207*10) +
IF(P207="Y",40,0) +
IF(Q207="P",30,0) +
IF(V207="Y",25,0) +
IF(W207="Y",20,0) +
IF(X207="Weaponized",15,IF(X207="PoC Available",10,IF(X207="Public Exploit",5,0))) +
IF(G207="Production",10,IF(G207="DMZ",8,IF(G207="DR/Backup",5,0))) +
IF(Y207="N",10,0)
)</f>
        <v/>
      </c>
      <c r="AA207">
        <f>IF(OR(P207="Y",AND(K207&gt;=9.0,W207="Y")),"P0",IF(Z207&gt;=80,"P0",IF(Z207&gt;=60,"P1",IF(Z207&gt;=40,"P2",IF(Z207&gt;=20,"P3","P4")))))</f>
        <v/>
      </c>
      <c r="AD207">
        <f>IF(AB207&lt;&gt;"",AB207,AA207)</f>
        <v/>
      </c>
      <c r="AE207">
        <f>VLOOKUP(AD207,SLA_Definitions!$A$2:$B$6,2,FALSE)</f>
        <v/>
      </c>
      <c r="AF207">
        <f>IF(B207&lt;&gt;"",WORKDAY(B207,AE207),"")</f>
        <v/>
      </c>
      <c r="AG207">
        <f>IF(AF207&lt;&gt;"",NETWORKDAYS(TODAY(),AF207),"")</f>
        <v/>
      </c>
      <c r="AH207">
        <f>IF(AJ207="Complete","Complete",IF(AG207&lt;0,"Overdue",IF(AG207&lt;=AE207*0.2,"At Risk","On Track")))</f>
        <v/>
      </c>
      <c r="AK207">
        <f>IF(OR(AH207="Overdue",AND(AD207="P0",AG207&lt;1),AND(AD207="P1",AG207&lt;3)),"Y","N")</f>
        <v/>
      </c>
    </row>
    <row r="208">
      <c r="K208">
        <f>IF(J208="v4.0",L208,IF(J208="v3.1",M208,IF(J208="Both",L208,IF(AND(L208&lt;&gt;"",M208=""),L208,M208))))</f>
        <v/>
      </c>
      <c r="Z208">
        <f>MIN(100,
(K208*5) +
(U208*10) +
IF(P208="Y",40,0) +
IF(Q208="P",30,0) +
IF(V208="Y",25,0) +
IF(W208="Y",20,0) +
IF(X208="Weaponized",15,IF(X208="PoC Available",10,IF(X208="Public Exploit",5,0))) +
IF(G208="Production",10,IF(G208="DMZ",8,IF(G208="DR/Backup",5,0))) +
IF(Y208="N",10,0)
)</f>
        <v/>
      </c>
      <c r="AA208">
        <f>IF(OR(P208="Y",AND(K208&gt;=9.0,W208="Y")),"P0",IF(Z208&gt;=80,"P0",IF(Z208&gt;=60,"P1",IF(Z208&gt;=40,"P2",IF(Z208&gt;=20,"P3","P4")))))</f>
        <v/>
      </c>
      <c r="AD208">
        <f>IF(AB208&lt;&gt;"",AB208,AA208)</f>
        <v/>
      </c>
      <c r="AE208">
        <f>VLOOKUP(AD208,SLA_Definitions!$A$2:$B$6,2,FALSE)</f>
        <v/>
      </c>
      <c r="AF208">
        <f>IF(B208&lt;&gt;"",WORKDAY(B208,AE208),"")</f>
        <v/>
      </c>
      <c r="AG208">
        <f>IF(AF208&lt;&gt;"",NETWORKDAYS(TODAY(),AF208),"")</f>
        <v/>
      </c>
      <c r="AH208">
        <f>IF(AJ208="Complete","Complete",IF(AG208&lt;0,"Overdue",IF(AG208&lt;=AE208*0.2,"At Risk","On Track")))</f>
        <v/>
      </c>
      <c r="AK208">
        <f>IF(OR(AH208="Overdue",AND(AD208="P0",AG208&lt;1),AND(AD208="P1",AG208&lt;3)),"Y","N")</f>
        <v/>
      </c>
    </row>
    <row r="209">
      <c r="K209">
        <f>IF(J209="v4.0",L209,IF(J209="v3.1",M209,IF(J209="Both",L209,IF(AND(L209&lt;&gt;"",M209=""),L209,M209))))</f>
        <v/>
      </c>
      <c r="Z209">
        <f>MIN(100,
(K209*5) +
(U209*10) +
IF(P209="Y",40,0) +
IF(Q209="P",30,0) +
IF(V209="Y",25,0) +
IF(W209="Y",20,0) +
IF(X209="Weaponized",15,IF(X209="PoC Available",10,IF(X209="Public Exploit",5,0))) +
IF(G209="Production",10,IF(G209="DMZ",8,IF(G209="DR/Backup",5,0))) +
IF(Y209="N",10,0)
)</f>
        <v/>
      </c>
      <c r="AA209">
        <f>IF(OR(P209="Y",AND(K209&gt;=9.0,W209="Y")),"P0",IF(Z209&gt;=80,"P0",IF(Z209&gt;=60,"P1",IF(Z209&gt;=40,"P2",IF(Z209&gt;=20,"P3","P4")))))</f>
        <v/>
      </c>
      <c r="AD209">
        <f>IF(AB209&lt;&gt;"",AB209,AA209)</f>
        <v/>
      </c>
      <c r="AE209">
        <f>VLOOKUP(AD209,SLA_Definitions!$A$2:$B$6,2,FALSE)</f>
        <v/>
      </c>
      <c r="AF209">
        <f>IF(B209&lt;&gt;"",WORKDAY(B209,AE209),"")</f>
        <v/>
      </c>
      <c r="AG209">
        <f>IF(AF209&lt;&gt;"",NETWORKDAYS(TODAY(),AF209),"")</f>
        <v/>
      </c>
      <c r="AH209">
        <f>IF(AJ209="Complete","Complete",IF(AG209&lt;0,"Overdue",IF(AG209&lt;=AE209*0.2,"At Risk","On Track")))</f>
        <v/>
      </c>
      <c r="AK209">
        <f>IF(OR(AH209="Overdue",AND(AD209="P0",AG209&lt;1),AND(AD209="P1",AG209&lt;3)),"Y","N")</f>
        <v/>
      </c>
    </row>
    <row r="210">
      <c r="K210">
        <f>IF(J210="v4.0",L210,IF(J210="v3.1",M210,IF(J210="Both",L210,IF(AND(L210&lt;&gt;"",M210=""),L210,M210))))</f>
        <v/>
      </c>
      <c r="Z210">
        <f>MIN(100,
(K210*5) +
(U210*10) +
IF(P210="Y",40,0) +
IF(Q210="P",30,0) +
IF(V210="Y",25,0) +
IF(W210="Y",20,0) +
IF(X210="Weaponized",15,IF(X210="PoC Available",10,IF(X210="Public Exploit",5,0))) +
IF(G210="Production",10,IF(G210="DMZ",8,IF(G210="DR/Backup",5,0))) +
IF(Y210="N",10,0)
)</f>
        <v/>
      </c>
      <c r="AA210">
        <f>IF(OR(P210="Y",AND(K210&gt;=9.0,W210="Y")),"P0",IF(Z210&gt;=80,"P0",IF(Z210&gt;=60,"P1",IF(Z210&gt;=40,"P2",IF(Z210&gt;=20,"P3","P4")))))</f>
        <v/>
      </c>
      <c r="AD210">
        <f>IF(AB210&lt;&gt;"",AB210,AA210)</f>
        <v/>
      </c>
      <c r="AE210">
        <f>VLOOKUP(AD210,SLA_Definitions!$A$2:$B$6,2,FALSE)</f>
        <v/>
      </c>
      <c r="AF210">
        <f>IF(B210&lt;&gt;"",WORKDAY(B210,AE210),"")</f>
        <v/>
      </c>
      <c r="AG210">
        <f>IF(AF210&lt;&gt;"",NETWORKDAYS(TODAY(),AF210),"")</f>
        <v/>
      </c>
      <c r="AH210">
        <f>IF(AJ210="Complete","Complete",IF(AG210&lt;0,"Overdue",IF(AG210&lt;=AE210*0.2,"At Risk","On Track")))</f>
        <v/>
      </c>
      <c r="AK210">
        <f>IF(OR(AH210="Overdue",AND(AD210="P0",AG210&lt;1),AND(AD210="P1",AG210&lt;3)),"Y","N")</f>
        <v/>
      </c>
    </row>
    <row r="211">
      <c r="K211">
        <f>IF(J211="v4.0",L211,IF(J211="v3.1",M211,IF(J211="Both",L211,IF(AND(L211&lt;&gt;"",M211=""),L211,M211))))</f>
        <v/>
      </c>
      <c r="Z211">
        <f>MIN(100,
(K211*5) +
(U211*10) +
IF(P211="Y",40,0) +
IF(Q211="P",30,0) +
IF(V211="Y",25,0) +
IF(W211="Y",20,0) +
IF(X211="Weaponized",15,IF(X211="PoC Available",10,IF(X211="Public Exploit",5,0))) +
IF(G211="Production",10,IF(G211="DMZ",8,IF(G211="DR/Backup",5,0))) +
IF(Y211="N",10,0)
)</f>
        <v/>
      </c>
      <c r="AA211">
        <f>IF(OR(P211="Y",AND(K211&gt;=9.0,W211="Y")),"P0",IF(Z211&gt;=80,"P0",IF(Z211&gt;=60,"P1",IF(Z211&gt;=40,"P2",IF(Z211&gt;=20,"P3","P4")))))</f>
        <v/>
      </c>
      <c r="AD211">
        <f>IF(AB211&lt;&gt;"",AB211,AA211)</f>
        <v/>
      </c>
      <c r="AE211">
        <f>VLOOKUP(AD211,SLA_Definitions!$A$2:$B$6,2,FALSE)</f>
        <v/>
      </c>
      <c r="AF211">
        <f>IF(B211&lt;&gt;"",WORKDAY(B211,AE211),"")</f>
        <v/>
      </c>
      <c r="AG211">
        <f>IF(AF211&lt;&gt;"",NETWORKDAYS(TODAY(),AF211),"")</f>
        <v/>
      </c>
      <c r="AH211">
        <f>IF(AJ211="Complete","Complete",IF(AG211&lt;0,"Overdue",IF(AG211&lt;=AE211*0.2,"At Risk","On Track")))</f>
        <v/>
      </c>
      <c r="AK211">
        <f>IF(OR(AH211="Overdue",AND(AD211="P0",AG211&lt;1),AND(AD211="P1",AG211&lt;3)),"Y","N")</f>
        <v/>
      </c>
    </row>
    <row r="212">
      <c r="K212">
        <f>IF(J212="v4.0",L212,IF(J212="v3.1",M212,IF(J212="Both",L212,IF(AND(L212&lt;&gt;"",M212=""),L212,M212))))</f>
        <v/>
      </c>
      <c r="Z212">
        <f>MIN(100,
(K212*5) +
(U212*10) +
IF(P212="Y",40,0) +
IF(Q212="P",30,0) +
IF(V212="Y",25,0) +
IF(W212="Y",20,0) +
IF(X212="Weaponized",15,IF(X212="PoC Available",10,IF(X212="Public Exploit",5,0))) +
IF(G212="Production",10,IF(G212="DMZ",8,IF(G212="DR/Backup",5,0))) +
IF(Y212="N",10,0)
)</f>
        <v/>
      </c>
      <c r="AA212">
        <f>IF(OR(P212="Y",AND(K212&gt;=9.0,W212="Y")),"P0",IF(Z212&gt;=80,"P0",IF(Z212&gt;=60,"P1",IF(Z212&gt;=40,"P2",IF(Z212&gt;=20,"P3","P4")))))</f>
        <v/>
      </c>
      <c r="AD212">
        <f>IF(AB212&lt;&gt;"",AB212,AA212)</f>
        <v/>
      </c>
      <c r="AE212">
        <f>VLOOKUP(AD212,SLA_Definitions!$A$2:$B$6,2,FALSE)</f>
        <v/>
      </c>
      <c r="AF212">
        <f>IF(B212&lt;&gt;"",WORKDAY(B212,AE212),"")</f>
        <v/>
      </c>
      <c r="AG212">
        <f>IF(AF212&lt;&gt;"",NETWORKDAYS(TODAY(),AF212),"")</f>
        <v/>
      </c>
      <c r="AH212">
        <f>IF(AJ212="Complete","Complete",IF(AG212&lt;0,"Overdue",IF(AG212&lt;=AE212*0.2,"At Risk","On Track")))</f>
        <v/>
      </c>
      <c r="AK212">
        <f>IF(OR(AH212="Overdue",AND(AD212="P0",AG212&lt;1),AND(AD212="P1",AG212&lt;3)),"Y","N")</f>
        <v/>
      </c>
    </row>
    <row r="213">
      <c r="K213">
        <f>IF(J213="v4.0",L213,IF(J213="v3.1",M213,IF(J213="Both",L213,IF(AND(L213&lt;&gt;"",M213=""),L213,M213))))</f>
        <v/>
      </c>
      <c r="Z213">
        <f>MIN(100,
(K213*5) +
(U213*10) +
IF(P213="Y",40,0) +
IF(Q213="P",30,0) +
IF(V213="Y",25,0) +
IF(W213="Y",20,0) +
IF(X213="Weaponized",15,IF(X213="PoC Available",10,IF(X213="Public Exploit",5,0))) +
IF(G213="Production",10,IF(G213="DMZ",8,IF(G213="DR/Backup",5,0))) +
IF(Y213="N",10,0)
)</f>
        <v/>
      </c>
      <c r="AA213">
        <f>IF(OR(P213="Y",AND(K213&gt;=9.0,W213="Y")),"P0",IF(Z213&gt;=80,"P0",IF(Z213&gt;=60,"P1",IF(Z213&gt;=40,"P2",IF(Z213&gt;=20,"P3","P4")))))</f>
        <v/>
      </c>
      <c r="AD213">
        <f>IF(AB213&lt;&gt;"",AB213,AA213)</f>
        <v/>
      </c>
      <c r="AE213">
        <f>VLOOKUP(AD213,SLA_Definitions!$A$2:$B$6,2,FALSE)</f>
        <v/>
      </c>
      <c r="AF213">
        <f>IF(B213&lt;&gt;"",WORKDAY(B213,AE213),"")</f>
        <v/>
      </c>
      <c r="AG213">
        <f>IF(AF213&lt;&gt;"",NETWORKDAYS(TODAY(),AF213),"")</f>
        <v/>
      </c>
      <c r="AH213">
        <f>IF(AJ213="Complete","Complete",IF(AG213&lt;0,"Overdue",IF(AG213&lt;=AE213*0.2,"At Risk","On Track")))</f>
        <v/>
      </c>
      <c r="AK213">
        <f>IF(OR(AH213="Overdue",AND(AD213="P0",AG213&lt;1),AND(AD213="P1",AG213&lt;3)),"Y","N")</f>
        <v/>
      </c>
    </row>
    <row r="214">
      <c r="K214">
        <f>IF(J214="v4.0",L214,IF(J214="v3.1",M214,IF(J214="Both",L214,IF(AND(L214&lt;&gt;"",M214=""),L214,M214))))</f>
        <v/>
      </c>
      <c r="Z214">
        <f>MIN(100,
(K214*5) +
(U214*10) +
IF(P214="Y",40,0) +
IF(Q214="P",30,0) +
IF(V214="Y",25,0) +
IF(W214="Y",20,0) +
IF(X214="Weaponized",15,IF(X214="PoC Available",10,IF(X214="Public Exploit",5,0))) +
IF(G214="Production",10,IF(G214="DMZ",8,IF(G214="DR/Backup",5,0))) +
IF(Y214="N",10,0)
)</f>
        <v/>
      </c>
      <c r="AA214">
        <f>IF(OR(P214="Y",AND(K214&gt;=9.0,W214="Y")),"P0",IF(Z214&gt;=80,"P0",IF(Z214&gt;=60,"P1",IF(Z214&gt;=40,"P2",IF(Z214&gt;=20,"P3","P4")))))</f>
        <v/>
      </c>
      <c r="AD214">
        <f>IF(AB214&lt;&gt;"",AB214,AA214)</f>
        <v/>
      </c>
      <c r="AE214">
        <f>VLOOKUP(AD214,SLA_Definitions!$A$2:$B$6,2,FALSE)</f>
        <v/>
      </c>
      <c r="AF214">
        <f>IF(B214&lt;&gt;"",WORKDAY(B214,AE214),"")</f>
        <v/>
      </c>
      <c r="AG214">
        <f>IF(AF214&lt;&gt;"",NETWORKDAYS(TODAY(),AF214),"")</f>
        <v/>
      </c>
      <c r="AH214">
        <f>IF(AJ214="Complete","Complete",IF(AG214&lt;0,"Overdue",IF(AG214&lt;=AE214*0.2,"At Risk","On Track")))</f>
        <v/>
      </c>
      <c r="AK214">
        <f>IF(OR(AH214="Overdue",AND(AD214="P0",AG214&lt;1),AND(AD214="P1",AG214&lt;3)),"Y","N")</f>
        <v/>
      </c>
    </row>
    <row r="215">
      <c r="K215">
        <f>IF(J215="v4.0",L215,IF(J215="v3.1",M215,IF(J215="Both",L215,IF(AND(L215&lt;&gt;"",M215=""),L215,M215))))</f>
        <v/>
      </c>
      <c r="Z215">
        <f>MIN(100,
(K215*5) +
(U215*10) +
IF(P215="Y",40,0) +
IF(Q215="P",30,0) +
IF(V215="Y",25,0) +
IF(W215="Y",20,0) +
IF(X215="Weaponized",15,IF(X215="PoC Available",10,IF(X215="Public Exploit",5,0))) +
IF(G215="Production",10,IF(G215="DMZ",8,IF(G215="DR/Backup",5,0))) +
IF(Y215="N",10,0)
)</f>
        <v/>
      </c>
      <c r="AA215">
        <f>IF(OR(P215="Y",AND(K215&gt;=9.0,W215="Y")),"P0",IF(Z215&gt;=80,"P0",IF(Z215&gt;=60,"P1",IF(Z215&gt;=40,"P2",IF(Z215&gt;=20,"P3","P4")))))</f>
        <v/>
      </c>
      <c r="AD215">
        <f>IF(AB215&lt;&gt;"",AB215,AA215)</f>
        <v/>
      </c>
      <c r="AE215">
        <f>VLOOKUP(AD215,SLA_Definitions!$A$2:$B$6,2,FALSE)</f>
        <v/>
      </c>
      <c r="AF215">
        <f>IF(B215&lt;&gt;"",WORKDAY(B215,AE215),"")</f>
        <v/>
      </c>
      <c r="AG215">
        <f>IF(AF215&lt;&gt;"",NETWORKDAYS(TODAY(),AF215),"")</f>
        <v/>
      </c>
      <c r="AH215">
        <f>IF(AJ215="Complete","Complete",IF(AG215&lt;0,"Overdue",IF(AG215&lt;=AE215*0.2,"At Risk","On Track")))</f>
        <v/>
      </c>
      <c r="AK215">
        <f>IF(OR(AH215="Overdue",AND(AD215="P0",AG215&lt;1),AND(AD215="P1",AG215&lt;3)),"Y","N")</f>
        <v/>
      </c>
    </row>
    <row r="216">
      <c r="K216">
        <f>IF(J216="v4.0",L216,IF(J216="v3.1",M216,IF(J216="Both",L216,IF(AND(L216&lt;&gt;"",M216=""),L216,M216))))</f>
        <v/>
      </c>
      <c r="Z216">
        <f>MIN(100,
(K216*5) +
(U216*10) +
IF(P216="Y",40,0) +
IF(Q216="P",30,0) +
IF(V216="Y",25,0) +
IF(W216="Y",20,0) +
IF(X216="Weaponized",15,IF(X216="PoC Available",10,IF(X216="Public Exploit",5,0))) +
IF(G216="Production",10,IF(G216="DMZ",8,IF(G216="DR/Backup",5,0))) +
IF(Y216="N",10,0)
)</f>
        <v/>
      </c>
      <c r="AA216">
        <f>IF(OR(P216="Y",AND(K216&gt;=9.0,W216="Y")),"P0",IF(Z216&gt;=80,"P0",IF(Z216&gt;=60,"P1",IF(Z216&gt;=40,"P2",IF(Z216&gt;=20,"P3","P4")))))</f>
        <v/>
      </c>
      <c r="AD216">
        <f>IF(AB216&lt;&gt;"",AB216,AA216)</f>
        <v/>
      </c>
      <c r="AE216">
        <f>VLOOKUP(AD216,SLA_Definitions!$A$2:$B$6,2,FALSE)</f>
        <v/>
      </c>
      <c r="AF216">
        <f>IF(B216&lt;&gt;"",WORKDAY(B216,AE216),"")</f>
        <v/>
      </c>
      <c r="AG216">
        <f>IF(AF216&lt;&gt;"",NETWORKDAYS(TODAY(),AF216),"")</f>
        <v/>
      </c>
      <c r="AH216">
        <f>IF(AJ216="Complete","Complete",IF(AG216&lt;0,"Overdue",IF(AG216&lt;=AE216*0.2,"At Risk","On Track")))</f>
        <v/>
      </c>
      <c r="AK216">
        <f>IF(OR(AH216="Overdue",AND(AD216="P0",AG216&lt;1),AND(AD216="P1",AG216&lt;3)),"Y","N")</f>
        <v/>
      </c>
    </row>
    <row r="217">
      <c r="K217">
        <f>IF(J217="v4.0",L217,IF(J217="v3.1",M217,IF(J217="Both",L217,IF(AND(L217&lt;&gt;"",M217=""),L217,M217))))</f>
        <v/>
      </c>
      <c r="Z217">
        <f>MIN(100,
(K217*5) +
(U217*10) +
IF(P217="Y",40,0) +
IF(Q217="P",30,0) +
IF(V217="Y",25,0) +
IF(W217="Y",20,0) +
IF(X217="Weaponized",15,IF(X217="PoC Available",10,IF(X217="Public Exploit",5,0))) +
IF(G217="Production",10,IF(G217="DMZ",8,IF(G217="DR/Backup",5,0))) +
IF(Y217="N",10,0)
)</f>
        <v/>
      </c>
      <c r="AA217">
        <f>IF(OR(P217="Y",AND(K217&gt;=9.0,W217="Y")),"P0",IF(Z217&gt;=80,"P0",IF(Z217&gt;=60,"P1",IF(Z217&gt;=40,"P2",IF(Z217&gt;=20,"P3","P4")))))</f>
        <v/>
      </c>
      <c r="AD217">
        <f>IF(AB217&lt;&gt;"",AB217,AA217)</f>
        <v/>
      </c>
      <c r="AE217">
        <f>VLOOKUP(AD217,SLA_Definitions!$A$2:$B$6,2,FALSE)</f>
        <v/>
      </c>
      <c r="AF217">
        <f>IF(B217&lt;&gt;"",WORKDAY(B217,AE217),"")</f>
        <v/>
      </c>
      <c r="AG217">
        <f>IF(AF217&lt;&gt;"",NETWORKDAYS(TODAY(),AF217),"")</f>
        <v/>
      </c>
      <c r="AH217">
        <f>IF(AJ217="Complete","Complete",IF(AG217&lt;0,"Overdue",IF(AG217&lt;=AE217*0.2,"At Risk","On Track")))</f>
        <v/>
      </c>
      <c r="AK217">
        <f>IF(OR(AH217="Overdue",AND(AD217="P0",AG217&lt;1),AND(AD217="P1",AG217&lt;3)),"Y","N")</f>
        <v/>
      </c>
    </row>
    <row r="218">
      <c r="K218">
        <f>IF(J218="v4.0",L218,IF(J218="v3.1",M218,IF(J218="Both",L218,IF(AND(L218&lt;&gt;"",M218=""),L218,M218))))</f>
        <v/>
      </c>
      <c r="Z218">
        <f>MIN(100,
(K218*5) +
(U218*10) +
IF(P218="Y",40,0) +
IF(Q218="P",30,0) +
IF(V218="Y",25,0) +
IF(W218="Y",20,0) +
IF(X218="Weaponized",15,IF(X218="PoC Available",10,IF(X218="Public Exploit",5,0))) +
IF(G218="Production",10,IF(G218="DMZ",8,IF(G218="DR/Backup",5,0))) +
IF(Y218="N",10,0)
)</f>
        <v/>
      </c>
      <c r="AA218">
        <f>IF(OR(P218="Y",AND(K218&gt;=9.0,W218="Y")),"P0",IF(Z218&gt;=80,"P0",IF(Z218&gt;=60,"P1",IF(Z218&gt;=40,"P2",IF(Z218&gt;=20,"P3","P4")))))</f>
        <v/>
      </c>
      <c r="AD218">
        <f>IF(AB218&lt;&gt;"",AB218,AA218)</f>
        <v/>
      </c>
      <c r="AE218">
        <f>VLOOKUP(AD218,SLA_Definitions!$A$2:$B$6,2,FALSE)</f>
        <v/>
      </c>
      <c r="AF218">
        <f>IF(B218&lt;&gt;"",WORKDAY(B218,AE218),"")</f>
        <v/>
      </c>
      <c r="AG218">
        <f>IF(AF218&lt;&gt;"",NETWORKDAYS(TODAY(),AF218),"")</f>
        <v/>
      </c>
      <c r="AH218">
        <f>IF(AJ218="Complete","Complete",IF(AG218&lt;0,"Overdue",IF(AG218&lt;=AE218*0.2,"At Risk","On Track")))</f>
        <v/>
      </c>
      <c r="AK218">
        <f>IF(OR(AH218="Overdue",AND(AD218="P0",AG218&lt;1),AND(AD218="P1",AG218&lt;3)),"Y","N")</f>
        <v/>
      </c>
    </row>
    <row r="219">
      <c r="K219">
        <f>IF(J219="v4.0",L219,IF(J219="v3.1",M219,IF(J219="Both",L219,IF(AND(L219&lt;&gt;"",M219=""),L219,M219))))</f>
        <v/>
      </c>
      <c r="Z219">
        <f>MIN(100,
(K219*5) +
(U219*10) +
IF(P219="Y",40,0) +
IF(Q219="P",30,0) +
IF(V219="Y",25,0) +
IF(W219="Y",20,0) +
IF(X219="Weaponized",15,IF(X219="PoC Available",10,IF(X219="Public Exploit",5,0))) +
IF(G219="Production",10,IF(G219="DMZ",8,IF(G219="DR/Backup",5,0))) +
IF(Y219="N",10,0)
)</f>
        <v/>
      </c>
      <c r="AA219">
        <f>IF(OR(P219="Y",AND(K219&gt;=9.0,W219="Y")),"P0",IF(Z219&gt;=80,"P0",IF(Z219&gt;=60,"P1",IF(Z219&gt;=40,"P2",IF(Z219&gt;=20,"P3","P4")))))</f>
        <v/>
      </c>
      <c r="AD219">
        <f>IF(AB219&lt;&gt;"",AB219,AA219)</f>
        <v/>
      </c>
      <c r="AE219">
        <f>VLOOKUP(AD219,SLA_Definitions!$A$2:$B$6,2,FALSE)</f>
        <v/>
      </c>
      <c r="AF219">
        <f>IF(B219&lt;&gt;"",WORKDAY(B219,AE219),"")</f>
        <v/>
      </c>
      <c r="AG219">
        <f>IF(AF219&lt;&gt;"",NETWORKDAYS(TODAY(),AF219),"")</f>
        <v/>
      </c>
      <c r="AH219">
        <f>IF(AJ219="Complete","Complete",IF(AG219&lt;0,"Overdue",IF(AG219&lt;=AE219*0.2,"At Risk","On Track")))</f>
        <v/>
      </c>
      <c r="AK219">
        <f>IF(OR(AH219="Overdue",AND(AD219="P0",AG219&lt;1),AND(AD219="P1",AG219&lt;3)),"Y","N")</f>
        <v/>
      </c>
    </row>
    <row r="220">
      <c r="K220">
        <f>IF(J220="v4.0",L220,IF(J220="v3.1",M220,IF(J220="Both",L220,IF(AND(L220&lt;&gt;"",M220=""),L220,M220))))</f>
        <v/>
      </c>
      <c r="Z220">
        <f>MIN(100,
(K220*5) +
(U220*10) +
IF(P220="Y",40,0) +
IF(Q220="P",30,0) +
IF(V220="Y",25,0) +
IF(W220="Y",20,0) +
IF(X220="Weaponized",15,IF(X220="PoC Available",10,IF(X220="Public Exploit",5,0))) +
IF(G220="Production",10,IF(G220="DMZ",8,IF(G220="DR/Backup",5,0))) +
IF(Y220="N",10,0)
)</f>
        <v/>
      </c>
      <c r="AA220">
        <f>IF(OR(P220="Y",AND(K220&gt;=9.0,W220="Y")),"P0",IF(Z220&gt;=80,"P0",IF(Z220&gt;=60,"P1",IF(Z220&gt;=40,"P2",IF(Z220&gt;=20,"P3","P4")))))</f>
        <v/>
      </c>
      <c r="AD220">
        <f>IF(AB220&lt;&gt;"",AB220,AA220)</f>
        <v/>
      </c>
      <c r="AE220">
        <f>VLOOKUP(AD220,SLA_Definitions!$A$2:$B$6,2,FALSE)</f>
        <v/>
      </c>
      <c r="AF220">
        <f>IF(B220&lt;&gt;"",WORKDAY(B220,AE220),"")</f>
        <v/>
      </c>
      <c r="AG220">
        <f>IF(AF220&lt;&gt;"",NETWORKDAYS(TODAY(),AF220),"")</f>
        <v/>
      </c>
      <c r="AH220">
        <f>IF(AJ220="Complete","Complete",IF(AG220&lt;0,"Overdue",IF(AG220&lt;=AE220*0.2,"At Risk","On Track")))</f>
        <v/>
      </c>
      <c r="AK220">
        <f>IF(OR(AH220="Overdue",AND(AD220="P0",AG220&lt;1),AND(AD220="P1",AG220&lt;3)),"Y","N")</f>
        <v/>
      </c>
    </row>
    <row r="221">
      <c r="K221">
        <f>IF(J221="v4.0",L221,IF(J221="v3.1",M221,IF(J221="Both",L221,IF(AND(L221&lt;&gt;"",M221=""),L221,M221))))</f>
        <v/>
      </c>
      <c r="Z221">
        <f>MIN(100,
(K221*5) +
(U221*10) +
IF(P221="Y",40,0) +
IF(Q221="P",30,0) +
IF(V221="Y",25,0) +
IF(W221="Y",20,0) +
IF(X221="Weaponized",15,IF(X221="PoC Available",10,IF(X221="Public Exploit",5,0))) +
IF(G221="Production",10,IF(G221="DMZ",8,IF(G221="DR/Backup",5,0))) +
IF(Y221="N",10,0)
)</f>
        <v/>
      </c>
      <c r="AA221">
        <f>IF(OR(P221="Y",AND(K221&gt;=9.0,W221="Y")),"P0",IF(Z221&gt;=80,"P0",IF(Z221&gt;=60,"P1",IF(Z221&gt;=40,"P2",IF(Z221&gt;=20,"P3","P4")))))</f>
        <v/>
      </c>
      <c r="AD221">
        <f>IF(AB221&lt;&gt;"",AB221,AA221)</f>
        <v/>
      </c>
      <c r="AE221">
        <f>VLOOKUP(AD221,SLA_Definitions!$A$2:$B$6,2,FALSE)</f>
        <v/>
      </c>
      <c r="AF221">
        <f>IF(B221&lt;&gt;"",WORKDAY(B221,AE221),"")</f>
        <v/>
      </c>
      <c r="AG221">
        <f>IF(AF221&lt;&gt;"",NETWORKDAYS(TODAY(),AF221),"")</f>
        <v/>
      </c>
      <c r="AH221">
        <f>IF(AJ221="Complete","Complete",IF(AG221&lt;0,"Overdue",IF(AG221&lt;=AE221*0.2,"At Risk","On Track")))</f>
        <v/>
      </c>
      <c r="AK221">
        <f>IF(OR(AH221="Overdue",AND(AD221="P0",AG221&lt;1),AND(AD221="P1",AG221&lt;3)),"Y","N")</f>
        <v/>
      </c>
    </row>
    <row r="222">
      <c r="K222">
        <f>IF(J222="v4.0",L222,IF(J222="v3.1",M222,IF(J222="Both",L222,IF(AND(L222&lt;&gt;"",M222=""),L222,M222))))</f>
        <v/>
      </c>
      <c r="Z222">
        <f>MIN(100,
(K222*5) +
(U222*10) +
IF(P222="Y",40,0) +
IF(Q222="P",30,0) +
IF(V222="Y",25,0) +
IF(W222="Y",20,0) +
IF(X222="Weaponized",15,IF(X222="PoC Available",10,IF(X222="Public Exploit",5,0))) +
IF(G222="Production",10,IF(G222="DMZ",8,IF(G222="DR/Backup",5,0))) +
IF(Y222="N",10,0)
)</f>
        <v/>
      </c>
      <c r="AA222">
        <f>IF(OR(P222="Y",AND(K222&gt;=9.0,W222="Y")),"P0",IF(Z222&gt;=80,"P0",IF(Z222&gt;=60,"P1",IF(Z222&gt;=40,"P2",IF(Z222&gt;=20,"P3","P4")))))</f>
        <v/>
      </c>
      <c r="AD222">
        <f>IF(AB222&lt;&gt;"",AB222,AA222)</f>
        <v/>
      </c>
      <c r="AE222">
        <f>VLOOKUP(AD222,SLA_Definitions!$A$2:$B$6,2,FALSE)</f>
        <v/>
      </c>
      <c r="AF222">
        <f>IF(B222&lt;&gt;"",WORKDAY(B222,AE222),"")</f>
        <v/>
      </c>
      <c r="AG222">
        <f>IF(AF222&lt;&gt;"",NETWORKDAYS(TODAY(),AF222),"")</f>
        <v/>
      </c>
      <c r="AH222">
        <f>IF(AJ222="Complete","Complete",IF(AG222&lt;0,"Overdue",IF(AG222&lt;=AE222*0.2,"At Risk","On Track")))</f>
        <v/>
      </c>
      <c r="AK222">
        <f>IF(OR(AH222="Overdue",AND(AD222="P0",AG222&lt;1),AND(AD222="P1",AG222&lt;3)),"Y","N")</f>
        <v/>
      </c>
    </row>
    <row r="223">
      <c r="K223">
        <f>IF(J223="v4.0",L223,IF(J223="v3.1",M223,IF(J223="Both",L223,IF(AND(L223&lt;&gt;"",M223=""),L223,M223))))</f>
        <v/>
      </c>
      <c r="Z223">
        <f>MIN(100,
(K223*5) +
(U223*10) +
IF(P223="Y",40,0) +
IF(Q223="P",30,0) +
IF(V223="Y",25,0) +
IF(W223="Y",20,0) +
IF(X223="Weaponized",15,IF(X223="PoC Available",10,IF(X223="Public Exploit",5,0))) +
IF(G223="Production",10,IF(G223="DMZ",8,IF(G223="DR/Backup",5,0))) +
IF(Y223="N",10,0)
)</f>
        <v/>
      </c>
      <c r="AA223">
        <f>IF(OR(P223="Y",AND(K223&gt;=9.0,W223="Y")),"P0",IF(Z223&gt;=80,"P0",IF(Z223&gt;=60,"P1",IF(Z223&gt;=40,"P2",IF(Z223&gt;=20,"P3","P4")))))</f>
        <v/>
      </c>
      <c r="AD223">
        <f>IF(AB223&lt;&gt;"",AB223,AA223)</f>
        <v/>
      </c>
      <c r="AE223">
        <f>VLOOKUP(AD223,SLA_Definitions!$A$2:$B$6,2,FALSE)</f>
        <v/>
      </c>
      <c r="AF223">
        <f>IF(B223&lt;&gt;"",WORKDAY(B223,AE223),"")</f>
        <v/>
      </c>
      <c r="AG223">
        <f>IF(AF223&lt;&gt;"",NETWORKDAYS(TODAY(),AF223),"")</f>
        <v/>
      </c>
      <c r="AH223">
        <f>IF(AJ223="Complete","Complete",IF(AG223&lt;0,"Overdue",IF(AG223&lt;=AE223*0.2,"At Risk","On Track")))</f>
        <v/>
      </c>
      <c r="AK223">
        <f>IF(OR(AH223="Overdue",AND(AD223="P0",AG223&lt;1),AND(AD223="P1",AG223&lt;3)),"Y","N")</f>
        <v/>
      </c>
    </row>
    <row r="224">
      <c r="K224">
        <f>IF(J224="v4.0",L224,IF(J224="v3.1",M224,IF(J224="Both",L224,IF(AND(L224&lt;&gt;"",M224=""),L224,M224))))</f>
        <v/>
      </c>
      <c r="Z224">
        <f>MIN(100,
(K224*5) +
(U224*10) +
IF(P224="Y",40,0) +
IF(Q224="P",30,0) +
IF(V224="Y",25,0) +
IF(W224="Y",20,0) +
IF(X224="Weaponized",15,IF(X224="PoC Available",10,IF(X224="Public Exploit",5,0))) +
IF(G224="Production",10,IF(G224="DMZ",8,IF(G224="DR/Backup",5,0))) +
IF(Y224="N",10,0)
)</f>
        <v/>
      </c>
      <c r="AA224">
        <f>IF(OR(P224="Y",AND(K224&gt;=9.0,W224="Y")),"P0",IF(Z224&gt;=80,"P0",IF(Z224&gt;=60,"P1",IF(Z224&gt;=40,"P2",IF(Z224&gt;=20,"P3","P4")))))</f>
        <v/>
      </c>
      <c r="AD224">
        <f>IF(AB224&lt;&gt;"",AB224,AA224)</f>
        <v/>
      </c>
      <c r="AE224">
        <f>VLOOKUP(AD224,SLA_Definitions!$A$2:$B$6,2,FALSE)</f>
        <v/>
      </c>
      <c r="AF224">
        <f>IF(B224&lt;&gt;"",WORKDAY(B224,AE224),"")</f>
        <v/>
      </c>
      <c r="AG224">
        <f>IF(AF224&lt;&gt;"",NETWORKDAYS(TODAY(),AF224),"")</f>
        <v/>
      </c>
      <c r="AH224">
        <f>IF(AJ224="Complete","Complete",IF(AG224&lt;0,"Overdue",IF(AG224&lt;=AE224*0.2,"At Risk","On Track")))</f>
        <v/>
      </c>
      <c r="AK224">
        <f>IF(OR(AH224="Overdue",AND(AD224="P0",AG224&lt;1),AND(AD224="P1",AG224&lt;3)),"Y","N")</f>
        <v/>
      </c>
    </row>
    <row r="225">
      <c r="K225">
        <f>IF(J225="v4.0",L225,IF(J225="v3.1",M225,IF(J225="Both",L225,IF(AND(L225&lt;&gt;"",M225=""),L225,M225))))</f>
        <v/>
      </c>
      <c r="Z225">
        <f>MIN(100,
(K225*5) +
(U225*10) +
IF(P225="Y",40,0) +
IF(Q225="P",30,0) +
IF(V225="Y",25,0) +
IF(W225="Y",20,0) +
IF(X225="Weaponized",15,IF(X225="PoC Available",10,IF(X225="Public Exploit",5,0))) +
IF(G225="Production",10,IF(G225="DMZ",8,IF(G225="DR/Backup",5,0))) +
IF(Y225="N",10,0)
)</f>
        <v/>
      </c>
      <c r="AA225">
        <f>IF(OR(P225="Y",AND(K225&gt;=9.0,W225="Y")),"P0",IF(Z225&gt;=80,"P0",IF(Z225&gt;=60,"P1",IF(Z225&gt;=40,"P2",IF(Z225&gt;=20,"P3","P4")))))</f>
        <v/>
      </c>
      <c r="AD225">
        <f>IF(AB225&lt;&gt;"",AB225,AA225)</f>
        <v/>
      </c>
      <c r="AE225">
        <f>VLOOKUP(AD225,SLA_Definitions!$A$2:$B$6,2,FALSE)</f>
        <v/>
      </c>
      <c r="AF225">
        <f>IF(B225&lt;&gt;"",WORKDAY(B225,AE225),"")</f>
        <v/>
      </c>
      <c r="AG225">
        <f>IF(AF225&lt;&gt;"",NETWORKDAYS(TODAY(),AF225),"")</f>
        <v/>
      </c>
      <c r="AH225">
        <f>IF(AJ225="Complete","Complete",IF(AG225&lt;0,"Overdue",IF(AG225&lt;=AE225*0.2,"At Risk","On Track")))</f>
        <v/>
      </c>
      <c r="AK225">
        <f>IF(OR(AH225="Overdue",AND(AD225="P0",AG225&lt;1),AND(AD225="P1",AG225&lt;3)),"Y","N")</f>
        <v/>
      </c>
    </row>
    <row r="226">
      <c r="K226">
        <f>IF(J226="v4.0",L226,IF(J226="v3.1",M226,IF(J226="Both",L226,IF(AND(L226&lt;&gt;"",M226=""),L226,M226))))</f>
        <v/>
      </c>
      <c r="Z226">
        <f>MIN(100,
(K226*5) +
(U226*10) +
IF(P226="Y",40,0) +
IF(Q226="P",30,0) +
IF(V226="Y",25,0) +
IF(W226="Y",20,0) +
IF(X226="Weaponized",15,IF(X226="PoC Available",10,IF(X226="Public Exploit",5,0))) +
IF(G226="Production",10,IF(G226="DMZ",8,IF(G226="DR/Backup",5,0))) +
IF(Y226="N",10,0)
)</f>
        <v/>
      </c>
      <c r="AA226">
        <f>IF(OR(P226="Y",AND(K226&gt;=9.0,W226="Y")),"P0",IF(Z226&gt;=80,"P0",IF(Z226&gt;=60,"P1",IF(Z226&gt;=40,"P2",IF(Z226&gt;=20,"P3","P4")))))</f>
        <v/>
      </c>
      <c r="AD226">
        <f>IF(AB226&lt;&gt;"",AB226,AA226)</f>
        <v/>
      </c>
      <c r="AE226">
        <f>VLOOKUP(AD226,SLA_Definitions!$A$2:$B$6,2,FALSE)</f>
        <v/>
      </c>
      <c r="AF226">
        <f>IF(B226&lt;&gt;"",WORKDAY(B226,AE226),"")</f>
        <v/>
      </c>
      <c r="AG226">
        <f>IF(AF226&lt;&gt;"",NETWORKDAYS(TODAY(),AF226),"")</f>
        <v/>
      </c>
      <c r="AH226">
        <f>IF(AJ226="Complete","Complete",IF(AG226&lt;0,"Overdue",IF(AG226&lt;=AE226*0.2,"At Risk","On Track")))</f>
        <v/>
      </c>
      <c r="AK226">
        <f>IF(OR(AH226="Overdue",AND(AD226="P0",AG226&lt;1),AND(AD226="P1",AG226&lt;3)),"Y","N")</f>
        <v/>
      </c>
    </row>
    <row r="227">
      <c r="K227">
        <f>IF(J227="v4.0",L227,IF(J227="v3.1",M227,IF(J227="Both",L227,IF(AND(L227&lt;&gt;"",M227=""),L227,M227))))</f>
        <v/>
      </c>
      <c r="Z227">
        <f>MIN(100,
(K227*5) +
(U227*10) +
IF(P227="Y",40,0) +
IF(Q227="P",30,0) +
IF(V227="Y",25,0) +
IF(W227="Y",20,0) +
IF(X227="Weaponized",15,IF(X227="PoC Available",10,IF(X227="Public Exploit",5,0))) +
IF(G227="Production",10,IF(G227="DMZ",8,IF(G227="DR/Backup",5,0))) +
IF(Y227="N",10,0)
)</f>
        <v/>
      </c>
      <c r="AA227">
        <f>IF(OR(P227="Y",AND(K227&gt;=9.0,W227="Y")),"P0",IF(Z227&gt;=80,"P0",IF(Z227&gt;=60,"P1",IF(Z227&gt;=40,"P2",IF(Z227&gt;=20,"P3","P4")))))</f>
        <v/>
      </c>
      <c r="AD227">
        <f>IF(AB227&lt;&gt;"",AB227,AA227)</f>
        <v/>
      </c>
      <c r="AE227">
        <f>VLOOKUP(AD227,SLA_Definitions!$A$2:$B$6,2,FALSE)</f>
        <v/>
      </c>
      <c r="AF227">
        <f>IF(B227&lt;&gt;"",WORKDAY(B227,AE227),"")</f>
        <v/>
      </c>
      <c r="AG227">
        <f>IF(AF227&lt;&gt;"",NETWORKDAYS(TODAY(),AF227),"")</f>
        <v/>
      </c>
      <c r="AH227">
        <f>IF(AJ227="Complete","Complete",IF(AG227&lt;0,"Overdue",IF(AG227&lt;=AE227*0.2,"At Risk","On Track")))</f>
        <v/>
      </c>
      <c r="AK227">
        <f>IF(OR(AH227="Overdue",AND(AD227="P0",AG227&lt;1),AND(AD227="P1",AG227&lt;3)),"Y","N")</f>
        <v/>
      </c>
    </row>
    <row r="228">
      <c r="K228">
        <f>IF(J228="v4.0",L228,IF(J228="v3.1",M228,IF(J228="Both",L228,IF(AND(L228&lt;&gt;"",M228=""),L228,M228))))</f>
        <v/>
      </c>
      <c r="Z228">
        <f>MIN(100,
(K228*5) +
(U228*10) +
IF(P228="Y",40,0) +
IF(Q228="P",30,0) +
IF(V228="Y",25,0) +
IF(W228="Y",20,0) +
IF(X228="Weaponized",15,IF(X228="PoC Available",10,IF(X228="Public Exploit",5,0))) +
IF(G228="Production",10,IF(G228="DMZ",8,IF(G228="DR/Backup",5,0))) +
IF(Y228="N",10,0)
)</f>
        <v/>
      </c>
      <c r="AA228">
        <f>IF(OR(P228="Y",AND(K228&gt;=9.0,W228="Y")),"P0",IF(Z228&gt;=80,"P0",IF(Z228&gt;=60,"P1",IF(Z228&gt;=40,"P2",IF(Z228&gt;=20,"P3","P4")))))</f>
        <v/>
      </c>
      <c r="AD228">
        <f>IF(AB228&lt;&gt;"",AB228,AA228)</f>
        <v/>
      </c>
      <c r="AE228">
        <f>VLOOKUP(AD228,SLA_Definitions!$A$2:$B$6,2,FALSE)</f>
        <v/>
      </c>
      <c r="AF228">
        <f>IF(B228&lt;&gt;"",WORKDAY(B228,AE228),"")</f>
        <v/>
      </c>
      <c r="AG228">
        <f>IF(AF228&lt;&gt;"",NETWORKDAYS(TODAY(),AF228),"")</f>
        <v/>
      </c>
      <c r="AH228">
        <f>IF(AJ228="Complete","Complete",IF(AG228&lt;0,"Overdue",IF(AG228&lt;=AE228*0.2,"At Risk","On Track")))</f>
        <v/>
      </c>
      <c r="AK228">
        <f>IF(OR(AH228="Overdue",AND(AD228="P0",AG228&lt;1),AND(AD228="P1",AG228&lt;3)),"Y","N")</f>
        <v/>
      </c>
    </row>
    <row r="229">
      <c r="K229">
        <f>IF(J229="v4.0",L229,IF(J229="v3.1",M229,IF(J229="Both",L229,IF(AND(L229&lt;&gt;"",M229=""),L229,M229))))</f>
        <v/>
      </c>
      <c r="Z229">
        <f>MIN(100,
(K229*5) +
(U229*10) +
IF(P229="Y",40,0) +
IF(Q229="P",30,0) +
IF(V229="Y",25,0) +
IF(W229="Y",20,0) +
IF(X229="Weaponized",15,IF(X229="PoC Available",10,IF(X229="Public Exploit",5,0))) +
IF(G229="Production",10,IF(G229="DMZ",8,IF(G229="DR/Backup",5,0))) +
IF(Y229="N",10,0)
)</f>
        <v/>
      </c>
      <c r="AA229">
        <f>IF(OR(P229="Y",AND(K229&gt;=9.0,W229="Y")),"P0",IF(Z229&gt;=80,"P0",IF(Z229&gt;=60,"P1",IF(Z229&gt;=40,"P2",IF(Z229&gt;=20,"P3","P4")))))</f>
        <v/>
      </c>
      <c r="AD229">
        <f>IF(AB229&lt;&gt;"",AB229,AA229)</f>
        <v/>
      </c>
      <c r="AE229">
        <f>VLOOKUP(AD229,SLA_Definitions!$A$2:$B$6,2,FALSE)</f>
        <v/>
      </c>
      <c r="AF229">
        <f>IF(B229&lt;&gt;"",WORKDAY(B229,AE229),"")</f>
        <v/>
      </c>
      <c r="AG229">
        <f>IF(AF229&lt;&gt;"",NETWORKDAYS(TODAY(),AF229),"")</f>
        <v/>
      </c>
      <c r="AH229">
        <f>IF(AJ229="Complete","Complete",IF(AG229&lt;0,"Overdue",IF(AG229&lt;=AE229*0.2,"At Risk","On Track")))</f>
        <v/>
      </c>
      <c r="AK229">
        <f>IF(OR(AH229="Overdue",AND(AD229="P0",AG229&lt;1),AND(AD229="P1",AG229&lt;3)),"Y","N")</f>
        <v/>
      </c>
    </row>
    <row r="230">
      <c r="K230">
        <f>IF(J230="v4.0",L230,IF(J230="v3.1",M230,IF(J230="Both",L230,IF(AND(L230&lt;&gt;"",M230=""),L230,M230))))</f>
        <v/>
      </c>
      <c r="Z230">
        <f>MIN(100,
(K230*5) +
(U230*10) +
IF(P230="Y",40,0) +
IF(Q230="P",30,0) +
IF(V230="Y",25,0) +
IF(W230="Y",20,0) +
IF(X230="Weaponized",15,IF(X230="PoC Available",10,IF(X230="Public Exploit",5,0))) +
IF(G230="Production",10,IF(G230="DMZ",8,IF(G230="DR/Backup",5,0))) +
IF(Y230="N",10,0)
)</f>
        <v/>
      </c>
      <c r="AA230">
        <f>IF(OR(P230="Y",AND(K230&gt;=9.0,W230="Y")),"P0",IF(Z230&gt;=80,"P0",IF(Z230&gt;=60,"P1",IF(Z230&gt;=40,"P2",IF(Z230&gt;=20,"P3","P4")))))</f>
        <v/>
      </c>
      <c r="AD230">
        <f>IF(AB230&lt;&gt;"",AB230,AA230)</f>
        <v/>
      </c>
      <c r="AE230">
        <f>VLOOKUP(AD230,SLA_Definitions!$A$2:$B$6,2,FALSE)</f>
        <v/>
      </c>
      <c r="AF230">
        <f>IF(B230&lt;&gt;"",WORKDAY(B230,AE230),"")</f>
        <v/>
      </c>
      <c r="AG230">
        <f>IF(AF230&lt;&gt;"",NETWORKDAYS(TODAY(),AF230),"")</f>
        <v/>
      </c>
      <c r="AH230">
        <f>IF(AJ230="Complete","Complete",IF(AG230&lt;0,"Overdue",IF(AG230&lt;=AE230*0.2,"At Risk","On Track")))</f>
        <v/>
      </c>
      <c r="AK230">
        <f>IF(OR(AH230="Overdue",AND(AD230="P0",AG230&lt;1),AND(AD230="P1",AG230&lt;3)),"Y","N")</f>
        <v/>
      </c>
    </row>
    <row r="231">
      <c r="K231">
        <f>IF(J231="v4.0",L231,IF(J231="v3.1",M231,IF(J231="Both",L231,IF(AND(L231&lt;&gt;"",M231=""),L231,M231))))</f>
        <v/>
      </c>
      <c r="Z231">
        <f>MIN(100,
(K231*5) +
(U231*10) +
IF(P231="Y",40,0) +
IF(Q231="P",30,0) +
IF(V231="Y",25,0) +
IF(W231="Y",20,0) +
IF(X231="Weaponized",15,IF(X231="PoC Available",10,IF(X231="Public Exploit",5,0))) +
IF(G231="Production",10,IF(G231="DMZ",8,IF(G231="DR/Backup",5,0))) +
IF(Y231="N",10,0)
)</f>
        <v/>
      </c>
      <c r="AA231">
        <f>IF(OR(P231="Y",AND(K231&gt;=9.0,W231="Y")),"P0",IF(Z231&gt;=80,"P0",IF(Z231&gt;=60,"P1",IF(Z231&gt;=40,"P2",IF(Z231&gt;=20,"P3","P4")))))</f>
        <v/>
      </c>
      <c r="AD231">
        <f>IF(AB231&lt;&gt;"",AB231,AA231)</f>
        <v/>
      </c>
      <c r="AE231">
        <f>VLOOKUP(AD231,SLA_Definitions!$A$2:$B$6,2,FALSE)</f>
        <v/>
      </c>
      <c r="AF231">
        <f>IF(B231&lt;&gt;"",WORKDAY(B231,AE231),"")</f>
        <v/>
      </c>
      <c r="AG231">
        <f>IF(AF231&lt;&gt;"",NETWORKDAYS(TODAY(),AF231),"")</f>
        <v/>
      </c>
      <c r="AH231">
        <f>IF(AJ231="Complete","Complete",IF(AG231&lt;0,"Overdue",IF(AG231&lt;=AE231*0.2,"At Risk","On Track")))</f>
        <v/>
      </c>
      <c r="AK231">
        <f>IF(OR(AH231="Overdue",AND(AD231="P0",AG231&lt;1),AND(AD231="P1",AG231&lt;3)),"Y","N")</f>
        <v/>
      </c>
    </row>
    <row r="232">
      <c r="K232">
        <f>IF(J232="v4.0",L232,IF(J232="v3.1",M232,IF(J232="Both",L232,IF(AND(L232&lt;&gt;"",M232=""),L232,M232))))</f>
        <v/>
      </c>
      <c r="Z232">
        <f>MIN(100,
(K232*5) +
(U232*10) +
IF(P232="Y",40,0) +
IF(Q232="P",30,0) +
IF(V232="Y",25,0) +
IF(W232="Y",20,0) +
IF(X232="Weaponized",15,IF(X232="PoC Available",10,IF(X232="Public Exploit",5,0))) +
IF(G232="Production",10,IF(G232="DMZ",8,IF(G232="DR/Backup",5,0))) +
IF(Y232="N",10,0)
)</f>
        <v/>
      </c>
      <c r="AA232">
        <f>IF(OR(P232="Y",AND(K232&gt;=9.0,W232="Y")),"P0",IF(Z232&gt;=80,"P0",IF(Z232&gt;=60,"P1",IF(Z232&gt;=40,"P2",IF(Z232&gt;=20,"P3","P4")))))</f>
        <v/>
      </c>
      <c r="AD232">
        <f>IF(AB232&lt;&gt;"",AB232,AA232)</f>
        <v/>
      </c>
      <c r="AE232">
        <f>VLOOKUP(AD232,SLA_Definitions!$A$2:$B$6,2,FALSE)</f>
        <v/>
      </c>
      <c r="AF232">
        <f>IF(B232&lt;&gt;"",WORKDAY(B232,AE232),"")</f>
        <v/>
      </c>
      <c r="AG232">
        <f>IF(AF232&lt;&gt;"",NETWORKDAYS(TODAY(),AF232),"")</f>
        <v/>
      </c>
      <c r="AH232">
        <f>IF(AJ232="Complete","Complete",IF(AG232&lt;0,"Overdue",IF(AG232&lt;=AE232*0.2,"At Risk","On Track")))</f>
        <v/>
      </c>
      <c r="AK232">
        <f>IF(OR(AH232="Overdue",AND(AD232="P0",AG232&lt;1),AND(AD232="P1",AG232&lt;3)),"Y","N")</f>
        <v/>
      </c>
    </row>
    <row r="233">
      <c r="K233">
        <f>IF(J233="v4.0",L233,IF(J233="v3.1",M233,IF(J233="Both",L233,IF(AND(L233&lt;&gt;"",M233=""),L233,M233))))</f>
        <v/>
      </c>
      <c r="Z233">
        <f>MIN(100,
(K233*5) +
(U233*10) +
IF(P233="Y",40,0) +
IF(Q233="P",30,0) +
IF(V233="Y",25,0) +
IF(W233="Y",20,0) +
IF(X233="Weaponized",15,IF(X233="PoC Available",10,IF(X233="Public Exploit",5,0))) +
IF(G233="Production",10,IF(G233="DMZ",8,IF(G233="DR/Backup",5,0))) +
IF(Y233="N",10,0)
)</f>
        <v/>
      </c>
      <c r="AA233">
        <f>IF(OR(P233="Y",AND(K233&gt;=9.0,W233="Y")),"P0",IF(Z233&gt;=80,"P0",IF(Z233&gt;=60,"P1",IF(Z233&gt;=40,"P2",IF(Z233&gt;=20,"P3","P4")))))</f>
        <v/>
      </c>
      <c r="AD233">
        <f>IF(AB233&lt;&gt;"",AB233,AA233)</f>
        <v/>
      </c>
      <c r="AE233">
        <f>VLOOKUP(AD233,SLA_Definitions!$A$2:$B$6,2,FALSE)</f>
        <v/>
      </c>
      <c r="AF233">
        <f>IF(B233&lt;&gt;"",WORKDAY(B233,AE233),"")</f>
        <v/>
      </c>
      <c r="AG233">
        <f>IF(AF233&lt;&gt;"",NETWORKDAYS(TODAY(),AF233),"")</f>
        <v/>
      </c>
      <c r="AH233">
        <f>IF(AJ233="Complete","Complete",IF(AG233&lt;0,"Overdue",IF(AG233&lt;=AE233*0.2,"At Risk","On Track")))</f>
        <v/>
      </c>
      <c r="AK233">
        <f>IF(OR(AH233="Overdue",AND(AD233="P0",AG233&lt;1),AND(AD233="P1",AG233&lt;3)),"Y","N")</f>
        <v/>
      </c>
    </row>
    <row r="234">
      <c r="K234">
        <f>IF(J234="v4.0",L234,IF(J234="v3.1",M234,IF(J234="Both",L234,IF(AND(L234&lt;&gt;"",M234=""),L234,M234))))</f>
        <v/>
      </c>
      <c r="Z234">
        <f>MIN(100,
(K234*5) +
(U234*10) +
IF(P234="Y",40,0) +
IF(Q234="P",30,0) +
IF(V234="Y",25,0) +
IF(W234="Y",20,0) +
IF(X234="Weaponized",15,IF(X234="PoC Available",10,IF(X234="Public Exploit",5,0))) +
IF(G234="Production",10,IF(G234="DMZ",8,IF(G234="DR/Backup",5,0))) +
IF(Y234="N",10,0)
)</f>
        <v/>
      </c>
      <c r="AA234">
        <f>IF(OR(P234="Y",AND(K234&gt;=9.0,W234="Y")),"P0",IF(Z234&gt;=80,"P0",IF(Z234&gt;=60,"P1",IF(Z234&gt;=40,"P2",IF(Z234&gt;=20,"P3","P4")))))</f>
        <v/>
      </c>
      <c r="AD234">
        <f>IF(AB234&lt;&gt;"",AB234,AA234)</f>
        <v/>
      </c>
      <c r="AE234">
        <f>VLOOKUP(AD234,SLA_Definitions!$A$2:$B$6,2,FALSE)</f>
        <v/>
      </c>
      <c r="AF234">
        <f>IF(B234&lt;&gt;"",WORKDAY(B234,AE234),"")</f>
        <v/>
      </c>
      <c r="AG234">
        <f>IF(AF234&lt;&gt;"",NETWORKDAYS(TODAY(),AF234),"")</f>
        <v/>
      </c>
      <c r="AH234">
        <f>IF(AJ234="Complete","Complete",IF(AG234&lt;0,"Overdue",IF(AG234&lt;=AE234*0.2,"At Risk","On Track")))</f>
        <v/>
      </c>
      <c r="AK234">
        <f>IF(OR(AH234="Overdue",AND(AD234="P0",AG234&lt;1),AND(AD234="P1",AG234&lt;3)),"Y","N")</f>
        <v/>
      </c>
    </row>
    <row r="235">
      <c r="K235">
        <f>IF(J235="v4.0",L235,IF(J235="v3.1",M235,IF(J235="Both",L235,IF(AND(L235&lt;&gt;"",M235=""),L235,M235))))</f>
        <v/>
      </c>
      <c r="Z235">
        <f>MIN(100,
(K235*5) +
(U235*10) +
IF(P235="Y",40,0) +
IF(Q235="P",30,0) +
IF(V235="Y",25,0) +
IF(W235="Y",20,0) +
IF(X235="Weaponized",15,IF(X235="PoC Available",10,IF(X235="Public Exploit",5,0))) +
IF(G235="Production",10,IF(G235="DMZ",8,IF(G235="DR/Backup",5,0))) +
IF(Y235="N",10,0)
)</f>
        <v/>
      </c>
      <c r="AA235">
        <f>IF(OR(P235="Y",AND(K235&gt;=9.0,W235="Y")),"P0",IF(Z235&gt;=80,"P0",IF(Z235&gt;=60,"P1",IF(Z235&gt;=40,"P2",IF(Z235&gt;=20,"P3","P4")))))</f>
        <v/>
      </c>
      <c r="AD235">
        <f>IF(AB235&lt;&gt;"",AB235,AA235)</f>
        <v/>
      </c>
      <c r="AE235">
        <f>VLOOKUP(AD235,SLA_Definitions!$A$2:$B$6,2,FALSE)</f>
        <v/>
      </c>
      <c r="AF235">
        <f>IF(B235&lt;&gt;"",WORKDAY(B235,AE235),"")</f>
        <v/>
      </c>
      <c r="AG235">
        <f>IF(AF235&lt;&gt;"",NETWORKDAYS(TODAY(),AF235),"")</f>
        <v/>
      </c>
      <c r="AH235">
        <f>IF(AJ235="Complete","Complete",IF(AG235&lt;0,"Overdue",IF(AG235&lt;=AE235*0.2,"At Risk","On Track")))</f>
        <v/>
      </c>
      <c r="AK235">
        <f>IF(OR(AH235="Overdue",AND(AD235="P0",AG235&lt;1),AND(AD235="P1",AG235&lt;3)),"Y","N")</f>
        <v/>
      </c>
    </row>
    <row r="236">
      <c r="K236">
        <f>IF(J236="v4.0",L236,IF(J236="v3.1",M236,IF(J236="Both",L236,IF(AND(L236&lt;&gt;"",M236=""),L236,M236))))</f>
        <v/>
      </c>
      <c r="Z236">
        <f>MIN(100,
(K236*5) +
(U236*10) +
IF(P236="Y",40,0) +
IF(Q236="P",30,0) +
IF(V236="Y",25,0) +
IF(W236="Y",20,0) +
IF(X236="Weaponized",15,IF(X236="PoC Available",10,IF(X236="Public Exploit",5,0))) +
IF(G236="Production",10,IF(G236="DMZ",8,IF(G236="DR/Backup",5,0))) +
IF(Y236="N",10,0)
)</f>
        <v/>
      </c>
      <c r="AA236">
        <f>IF(OR(P236="Y",AND(K236&gt;=9.0,W236="Y")),"P0",IF(Z236&gt;=80,"P0",IF(Z236&gt;=60,"P1",IF(Z236&gt;=40,"P2",IF(Z236&gt;=20,"P3","P4")))))</f>
        <v/>
      </c>
      <c r="AD236">
        <f>IF(AB236&lt;&gt;"",AB236,AA236)</f>
        <v/>
      </c>
      <c r="AE236">
        <f>VLOOKUP(AD236,SLA_Definitions!$A$2:$B$6,2,FALSE)</f>
        <v/>
      </c>
      <c r="AF236">
        <f>IF(B236&lt;&gt;"",WORKDAY(B236,AE236),"")</f>
        <v/>
      </c>
      <c r="AG236">
        <f>IF(AF236&lt;&gt;"",NETWORKDAYS(TODAY(),AF236),"")</f>
        <v/>
      </c>
      <c r="AH236">
        <f>IF(AJ236="Complete","Complete",IF(AG236&lt;0,"Overdue",IF(AG236&lt;=AE236*0.2,"At Risk","On Track")))</f>
        <v/>
      </c>
      <c r="AK236">
        <f>IF(OR(AH236="Overdue",AND(AD236="P0",AG236&lt;1),AND(AD236="P1",AG236&lt;3)),"Y","N")</f>
        <v/>
      </c>
    </row>
    <row r="237">
      <c r="K237">
        <f>IF(J237="v4.0",L237,IF(J237="v3.1",M237,IF(J237="Both",L237,IF(AND(L237&lt;&gt;"",M237=""),L237,M237))))</f>
        <v/>
      </c>
      <c r="Z237">
        <f>MIN(100,
(K237*5) +
(U237*10) +
IF(P237="Y",40,0) +
IF(Q237="P",30,0) +
IF(V237="Y",25,0) +
IF(W237="Y",20,0) +
IF(X237="Weaponized",15,IF(X237="PoC Available",10,IF(X237="Public Exploit",5,0))) +
IF(G237="Production",10,IF(G237="DMZ",8,IF(G237="DR/Backup",5,0))) +
IF(Y237="N",10,0)
)</f>
        <v/>
      </c>
      <c r="AA237">
        <f>IF(OR(P237="Y",AND(K237&gt;=9.0,W237="Y")),"P0",IF(Z237&gt;=80,"P0",IF(Z237&gt;=60,"P1",IF(Z237&gt;=40,"P2",IF(Z237&gt;=20,"P3","P4")))))</f>
        <v/>
      </c>
      <c r="AD237">
        <f>IF(AB237&lt;&gt;"",AB237,AA237)</f>
        <v/>
      </c>
      <c r="AE237">
        <f>VLOOKUP(AD237,SLA_Definitions!$A$2:$B$6,2,FALSE)</f>
        <v/>
      </c>
      <c r="AF237">
        <f>IF(B237&lt;&gt;"",WORKDAY(B237,AE237),"")</f>
        <v/>
      </c>
      <c r="AG237">
        <f>IF(AF237&lt;&gt;"",NETWORKDAYS(TODAY(),AF237),"")</f>
        <v/>
      </c>
      <c r="AH237">
        <f>IF(AJ237="Complete","Complete",IF(AG237&lt;0,"Overdue",IF(AG237&lt;=AE237*0.2,"At Risk","On Track")))</f>
        <v/>
      </c>
      <c r="AK237">
        <f>IF(OR(AH237="Overdue",AND(AD237="P0",AG237&lt;1),AND(AD237="P1",AG237&lt;3)),"Y","N")</f>
        <v/>
      </c>
    </row>
    <row r="238">
      <c r="K238">
        <f>IF(J238="v4.0",L238,IF(J238="v3.1",M238,IF(J238="Both",L238,IF(AND(L238&lt;&gt;"",M238=""),L238,M238))))</f>
        <v/>
      </c>
      <c r="Z238">
        <f>MIN(100,
(K238*5) +
(U238*10) +
IF(P238="Y",40,0) +
IF(Q238="P",30,0) +
IF(V238="Y",25,0) +
IF(W238="Y",20,0) +
IF(X238="Weaponized",15,IF(X238="PoC Available",10,IF(X238="Public Exploit",5,0))) +
IF(G238="Production",10,IF(G238="DMZ",8,IF(G238="DR/Backup",5,0))) +
IF(Y238="N",10,0)
)</f>
        <v/>
      </c>
      <c r="AA238">
        <f>IF(OR(P238="Y",AND(K238&gt;=9.0,W238="Y")),"P0",IF(Z238&gt;=80,"P0",IF(Z238&gt;=60,"P1",IF(Z238&gt;=40,"P2",IF(Z238&gt;=20,"P3","P4")))))</f>
        <v/>
      </c>
      <c r="AD238">
        <f>IF(AB238&lt;&gt;"",AB238,AA238)</f>
        <v/>
      </c>
      <c r="AE238">
        <f>VLOOKUP(AD238,SLA_Definitions!$A$2:$B$6,2,FALSE)</f>
        <v/>
      </c>
      <c r="AF238">
        <f>IF(B238&lt;&gt;"",WORKDAY(B238,AE238),"")</f>
        <v/>
      </c>
      <c r="AG238">
        <f>IF(AF238&lt;&gt;"",NETWORKDAYS(TODAY(),AF238),"")</f>
        <v/>
      </c>
      <c r="AH238">
        <f>IF(AJ238="Complete","Complete",IF(AG238&lt;0,"Overdue",IF(AG238&lt;=AE238*0.2,"At Risk","On Track")))</f>
        <v/>
      </c>
      <c r="AK238">
        <f>IF(OR(AH238="Overdue",AND(AD238="P0",AG238&lt;1),AND(AD238="P1",AG238&lt;3)),"Y","N")</f>
        <v/>
      </c>
    </row>
    <row r="239">
      <c r="K239">
        <f>IF(J239="v4.0",L239,IF(J239="v3.1",M239,IF(J239="Both",L239,IF(AND(L239&lt;&gt;"",M239=""),L239,M239))))</f>
        <v/>
      </c>
      <c r="Z239">
        <f>MIN(100,
(K239*5) +
(U239*10) +
IF(P239="Y",40,0) +
IF(Q239="P",30,0) +
IF(V239="Y",25,0) +
IF(W239="Y",20,0) +
IF(X239="Weaponized",15,IF(X239="PoC Available",10,IF(X239="Public Exploit",5,0))) +
IF(G239="Production",10,IF(G239="DMZ",8,IF(G239="DR/Backup",5,0))) +
IF(Y239="N",10,0)
)</f>
        <v/>
      </c>
      <c r="AA239">
        <f>IF(OR(P239="Y",AND(K239&gt;=9.0,W239="Y")),"P0",IF(Z239&gt;=80,"P0",IF(Z239&gt;=60,"P1",IF(Z239&gt;=40,"P2",IF(Z239&gt;=20,"P3","P4")))))</f>
        <v/>
      </c>
      <c r="AD239">
        <f>IF(AB239&lt;&gt;"",AB239,AA239)</f>
        <v/>
      </c>
      <c r="AE239">
        <f>VLOOKUP(AD239,SLA_Definitions!$A$2:$B$6,2,FALSE)</f>
        <v/>
      </c>
      <c r="AF239">
        <f>IF(B239&lt;&gt;"",WORKDAY(B239,AE239),"")</f>
        <v/>
      </c>
      <c r="AG239">
        <f>IF(AF239&lt;&gt;"",NETWORKDAYS(TODAY(),AF239),"")</f>
        <v/>
      </c>
      <c r="AH239">
        <f>IF(AJ239="Complete","Complete",IF(AG239&lt;0,"Overdue",IF(AG239&lt;=AE239*0.2,"At Risk","On Track")))</f>
        <v/>
      </c>
      <c r="AK239">
        <f>IF(OR(AH239="Overdue",AND(AD239="P0",AG239&lt;1),AND(AD239="P1",AG239&lt;3)),"Y","N")</f>
        <v/>
      </c>
    </row>
    <row r="240">
      <c r="K240">
        <f>IF(J240="v4.0",L240,IF(J240="v3.1",M240,IF(J240="Both",L240,IF(AND(L240&lt;&gt;"",M240=""),L240,M240))))</f>
        <v/>
      </c>
      <c r="Z240">
        <f>MIN(100,
(K240*5) +
(U240*10) +
IF(P240="Y",40,0) +
IF(Q240="P",30,0) +
IF(V240="Y",25,0) +
IF(W240="Y",20,0) +
IF(X240="Weaponized",15,IF(X240="PoC Available",10,IF(X240="Public Exploit",5,0))) +
IF(G240="Production",10,IF(G240="DMZ",8,IF(G240="DR/Backup",5,0))) +
IF(Y240="N",10,0)
)</f>
        <v/>
      </c>
      <c r="AA240">
        <f>IF(OR(P240="Y",AND(K240&gt;=9.0,W240="Y")),"P0",IF(Z240&gt;=80,"P0",IF(Z240&gt;=60,"P1",IF(Z240&gt;=40,"P2",IF(Z240&gt;=20,"P3","P4")))))</f>
        <v/>
      </c>
      <c r="AD240">
        <f>IF(AB240&lt;&gt;"",AB240,AA240)</f>
        <v/>
      </c>
      <c r="AE240">
        <f>VLOOKUP(AD240,SLA_Definitions!$A$2:$B$6,2,FALSE)</f>
        <v/>
      </c>
      <c r="AF240">
        <f>IF(B240&lt;&gt;"",WORKDAY(B240,AE240),"")</f>
        <v/>
      </c>
      <c r="AG240">
        <f>IF(AF240&lt;&gt;"",NETWORKDAYS(TODAY(),AF240),"")</f>
        <v/>
      </c>
      <c r="AH240">
        <f>IF(AJ240="Complete","Complete",IF(AG240&lt;0,"Overdue",IF(AG240&lt;=AE240*0.2,"At Risk","On Track")))</f>
        <v/>
      </c>
      <c r="AK240">
        <f>IF(OR(AH240="Overdue",AND(AD240="P0",AG240&lt;1),AND(AD240="P1",AG240&lt;3)),"Y","N")</f>
        <v/>
      </c>
    </row>
    <row r="241">
      <c r="K241">
        <f>IF(J241="v4.0",L241,IF(J241="v3.1",M241,IF(J241="Both",L241,IF(AND(L241&lt;&gt;"",M241=""),L241,M241))))</f>
        <v/>
      </c>
      <c r="Z241">
        <f>MIN(100,
(K241*5) +
(U241*10) +
IF(P241="Y",40,0) +
IF(Q241="P",30,0) +
IF(V241="Y",25,0) +
IF(W241="Y",20,0) +
IF(X241="Weaponized",15,IF(X241="PoC Available",10,IF(X241="Public Exploit",5,0))) +
IF(G241="Production",10,IF(G241="DMZ",8,IF(G241="DR/Backup",5,0))) +
IF(Y241="N",10,0)
)</f>
        <v/>
      </c>
      <c r="AA241">
        <f>IF(OR(P241="Y",AND(K241&gt;=9.0,W241="Y")),"P0",IF(Z241&gt;=80,"P0",IF(Z241&gt;=60,"P1",IF(Z241&gt;=40,"P2",IF(Z241&gt;=20,"P3","P4")))))</f>
        <v/>
      </c>
      <c r="AD241">
        <f>IF(AB241&lt;&gt;"",AB241,AA241)</f>
        <v/>
      </c>
      <c r="AE241">
        <f>VLOOKUP(AD241,SLA_Definitions!$A$2:$B$6,2,FALSE)</f>
        <v/>
      </c>
      <c r="AF241">
        <f>IF(B241&lt;&gt;"",WORKDAY(B241,AE241),"")</f>
        <v/>
      </c>
      <c r="AG241">
        <f>IF(AF241&lt;&gt;"",NETWORKDAYS(TODAY(),AF241),"")</f>
        <v/>
      </c>
      <c r="AH241">
        <f>IF(AJ241="Complete","Complete",IF(AG241&lt;0,"Overdue",IF(AG241&lt;=AE241*0.2,"At Risk","On Track")))</f>
        <v/>
      </c>
      <c r="AK241">
        <f>IF(OR(AH241="Overdue",AND(AD241="P0",AG241&lt;1),AND(AD241="P1",AG241&lt;3)),"Y","N")</f>
        <v/>
      </c>
    </row>
    <row r="242">
      <c r="K242">
        <f>IF(J242="v4.0",L242,IF(J242="v3.1",M242,IF(J242="Both",L242,IF(AND(L242&lt;&gt;"",M242=""),L242,M242))))</f>
        <v/>
      </c>
      <c r="Z242">
        <f>MIN(100,
(K242*5) +
(U242*10) +
IF(P242="Y",40,0) +
IF(Q242="P",30,0) +
IF(V242="Y",25,0) +
IF(W242="Y",20,0) +
IF(X242="Weaponized",15,IF(X242="PoC Available",10,IF(X242="Public Exploit",5,0))) +
IF(G242="Production",10,IF(G242="DMZ",8,IF(G242="DR/Backup",5,0))) +
IF(Y242="N",10,0)
)</f>
        <v/>
      </c>
      <c r="AA242">
        <f>IF(OR(P242="Y",AND(K242&gt;=9.0,W242="Y")),"P0",IF(Z242&gt;=80,"P0",IF(Z242&gt;=60,"P1",IF(Z242&gt;=40,"P2",IF(Z242&gt;=20,"P3","P4")))))</f>
        <v/>
      </c>
      <c r="AD242">
        <f>IF(AB242&lt;&gt;"",AB242,AA242)</f>
        <v/>
      </c>
      <c r="AE242">
        <f>VLOOKUP(AD242,SLA_Definitions!$A$2:$B$6,2,FALSE)</f>
        <v/>
      </c>
      <c r="AF242">
        <f>IF(B242&lt;&gt;"",WORKDAY(B242,AE242),"")</f>
        <v/>
      </c>
      <c r="AG242">
        <f>IF(AF242&lt;&gt;"",NETWORKDAYS(TODAY(),AF242),"")</f>
        <v/>
      </c>
      <c r="AH242">
        <f>IF(AJ242="Complete","Complete",IF(AG242&lt;0,"Overdue",IF(AG242&lt;=AE242*0.2,"At Risk","On Track")))</f>
        <v/>
      </c>
      <c r="AK242">
        <f>IF(OR(AH242="Overdue",AND(AD242="P0",AG242&lt;1),AND(AD242="P1",AG242&lt;3)),"Y","N")</f>
        <v/>
      </c>
    </row>
    <row r="243">
      <c r="K243">
        <f>IF(J243="v4.0",L243,IF(J243="v3.1",M243,IF(J243="Both",L243,IF(AND(L243&lt;&gt;"",M243=""),L243,M243))))</f>
        <v/>
      </c>
      <c r="Z243">
        <f>MIN(100,
(K243*5) +
(U243*10) +
IF(P243="Y",40,0) +
IF(Q243="P",30,0) +
IF(V243="Y",25,0) +
IF(W243="Y",20,0) +
IF(X243="Weaponized",15,IF(X243="PoC Available",10,IF(X243="Public Exploit",5,0))) +
IF(G243="Production",10,IF(G243="DMZ",8,IF(G243="DR/Backup",5,0))) +
IF(Y243="N",10,0)
)</f>
        <v/>
      </c>
      <c r="AA243">
        <f>IF(OR(P243="Y",AND(K243&gt;=9.0,W243="Y")),"P0",IF(Z243&gt;=80,"P0",IF(Z243&gt;=60,"P1",IF(Z243&gt;=40,"P2",IF(Z243&gt;=20,"P3","P4")))))</f>
        <v/>
      </c>
      <c r="AD243">
        <f>IF(AB243&lt;&gt;"",AB243,AA243)</f>
        <v/>
      </c>
      <c r="AE243">
        <f>VLOOKUP(AD243,SLA_Definitions!$A$2:$B$6,2,FALSE)</f>
        <v/>
      </c>
      <c r="AF243">
        <f>IF(B243&lt;&gt;"",WORKDAY(B243,AE243),"")</f>
        <v/>
      </c>
      <c r="AG243">
        <f>IF(AF243&lt;&gt;"",NETWORKDAYS(TODAY(),AF243),"")</f>
        <v/>
      </c>
      <c r="AH243">
        <f>IF(AJ243="Complete","Complete",IF(AG243&lt;0,"Overdue",IF(AG243&lt;=AE243*0.2,"At Risk","On Track")))</f>
        <v/>
      </c>
      <c r="AK243">
        <f>IF(OR(AH243="Overdue",AND(AD243="P0",AG243&lt;1),AND(AD243="P1",AG243&lt;3)),"Y","N")</f>
        <v/>
      </c>
    </row>
    <row r="244">
      <c r="K244">
        <f>IF(J244="v4.0",L244,IF(J244="v3.1",M244,IF(J244="Both",L244,IF(AND(L244&lt;&gt;"",M244=""),L244,M244))))</f>
        <v/>
      </c>
      <c r="Z244">
        <f>MIN(100,
(K244*5) +
(U244*10) +
IF(P244="Y",40,0) +
IF(Q244="P",30,0) +
IF(V244="Y",25,0) +
IF(W244="Y",20,0) +
IF(X244="Weaponized",15,IF(X244="PoC Available",10,IF(X244="Public Exploit",5,0))) +
IF(G244="Production",10,IF(G244="DMZ",8,IF(G244="DR/Backup",5,0))) +
IF(Y244="N",10,0)
)</f>
        <v/>
      </c>
      <c r="AA244">
        <f>IF(OR(P244="Y",AND(K244&gt;=9.0,W244="Y")),"P0",IF(Z244&gt;=80,"P0",IF(Z244&gt;=60,"P1",IF(Z244&gt;=40,"P2",IF(Z244&gt;=20,"P3","P4")))))</f>
        <v/>
      </c>
      <c r="AD244">
        <f>IF(AB244&lt;&gt;"",AB244,AA244)</f>
        <v/>
      </c>
      <c r="AE244">
        <f>VLOOKUP(AD244,SLA_Definitions!$A$2:$B$6,2,FALSE)</f>
        <v/>
      </c>
      <c r="AF244">
        <f>IF(B244&lt;&gt;"",WORKDAY(B244,AE244),"")</f>
        <v/>
      </c>
      <c r="AG244">
        <f>IF(AF244&lt;&gt;"",NETWORKDAYS(TODAY(),AF244),"")</f>
        <v/>
      </c>
      <c r="AH244">
        <f>IF(AJ244="Complete","Complete",IF(AG244&lt;0,"Overdue",IF(AG244&lt;=AE244*0.2,"At Risk","On Track")))</f>
        <v/>
      </c>
      <c r="AK244">
        <f>IF(OR(AH244="Overdue",AND(AD244="P0",AG244&lt;1),AND(AD244="P1",AG244&lt;3)),"Y","N")</f>
        <v/>
      </c>
    </row>
    <row r="245">
      <c r="K245">
        <f>IF(J245="v4.0",L245,IF(J245="v3.1",M245,IF(J245="Both",L245,IF(AND(L245&lt;&gt;"",M245=""),L245,M245))))</f>
        <v/>
      </c>
      <c r="Z245">
        <f>MIN(100,
(K245*5) +
(U245*10) +
IF(P245="Y",40,0) +
IF(Q245="P",30,0) +
IF(V245="Y",25,0) +
IF(W245="Y",20,0) +
IF(X245="Weaponized",15,IF(X245="PoC Available",10,IF(X245="Public Exploit",5,0))) +
IF(G245="Production",10,IF(G245="DMZ",8,IF(G245="DR/Backup",5,0))) +
IF(Y245="N",10,0)
)</f>
        <v/>
      </c>
      <c r="AA245">
        <f>IF(OR(P245="Y",AND(K245&gt;=9.0,W245="Y")),"P0",IF(Z245&gt;=80,"P0",IF(Z245&gt;=60,"P1",IF(Z245&gt;=40,"P2",IF(Z245&gt;=20,"P3","P4")))))</f>
        <v/>
      </c>
      <c r="AD245">
        <f>IF(AB245&lt;&gt;"",AB245,AA245)</f>
        <v/>
      </c>
      <c r="AE245">
        <f>VLOOKUP(AD245,SLA_Definitions!$A$2:$B$6,2,FALSE)</f>
        <v/>
      </c>
      <c r="AF245">
        <f>IF(B245&lt;&gt;"",WORKDAY(B245,AE245),"")</f>
        <v/>
      </c>
      <c r="AG245">
        <f>IF(AF245&lt;&gt;"",NETWORKDAYS(TODAY(),AF245),"")</f>
        <v/>
      </c>
      <c r="AH245">
        <f>IF(AJ245="Complete","Complete",IF(AG245&lt;0,"Overdue",IF(AG245&lt;=AE245*0.2,"At Risk","On Track")))</f>
        <v/>
      </c>
      <c r="AK245">
        <f>IF(OR(AH245="Overdue",AND(AD245="P0",AG245&lt;1),AND(AD245="P1",AG245&lt;3)),"Y","N")</f>
        <v/>
      </c>
    </row>
    <row r="246">
      <c r="K246">
        <f>IF(J246="v4.0",L246,IF(J246="v3.1",M246,IF(J246="Both",L246,IF(AND(L246&lt;&gt;"",M246=""),L246,M246))))</f>
        <v/>
      </c>
      <c r="Z246">
        <f>MIN(100,
(K246*5) +
(U246*10) +
IF(P246="Y",40,0) +
IF(Q246="P",30,0) +
IF(V246="Y",25,0) +
IF(W246="Y",20,0) +
IF(X246="Weaponized",15,IF(X246="PoC Available",10,IF(X246="Public Exploit",5,0))) +
IF(G246="Production",10,IF(G246="DMZ",8,IF(G246="DR/Backup",5,0))) +
IF(Y246="N",10,0)
)</f>
        <v/>
      </c>
      <c r="AA246">
        <f>IF(OR(P246="Y",AND(K246&gt;=9.0,W246="Y")),"P0",IF(Z246&gt;=80,"P0",IF(Z246&gt;=60,"P1",IF(Z246&gt;=40,"P2",IF(Z246&gt;=20,"P3","P4")))))</f>
        <v/>
      </c>
      <c r="AD246">
        <f>IF(AB246&lt;&gt;"",AB246,AA246)</f>
        <v/>
      </c>
      <c r="AE246">
        <f>VLOOKUP(AD246,SLA_Definitions!$A$2:$B$6,2,FALSE)</f>
        <v/>
      </c>
      <c r="AF246">
        <f>IF(B246&lt;&gt;"",WORKDAY(B246,AE246),"")</f>
        <v/>
      </c>
      <c r="AG246">
        <f>IF(AF246&lt;&gt;"",NETWORKDAYS(TODAY(),AF246),"")</f>
        <v/>
      </c>
      <c r="AH246">
        <f>IF(AJ246="Complete","Complete",IF(AG246&lt;0,"Overdue",IF(AG246&lt;=AE246*0.2,"At Risk","On Track")))</f>
        <v/>
      </c>
      <c r="AK246">
        <f>IF(OR(AH246="Overdue",AND(AD246="P0",AG246&lt;1),AND(AD246="P1",AG246&lt;3)),"Y","N")</f>
        <v/>
      </c>
    </row>
    <row r="247">
      <c r="K247">
        <f>IF(J247="v4.0",L247,IF(J247="v3.1",M247,IF(J247="Both",L247,IF(AND(L247&lt;&gt;"",M247=""),L247,M247))))</f>
        <v/>
      </c>
      <c r="Z247">
        <f>MIN(100,
(K247*5) +
(U247*10) +
IF(P247="Y",40,0) +
IF(Q247="P",30,0) +
IF(V247="Y",25,0) +
IF(W247="Y",20,0) +
IF(X247="Weaponized",15,IF(X247="PoC Available",10,IF(X247="Public Exploit",5,0))) +
IF(G247="Production",10,IF(G247="DMZ",8,IF(G247="DR/Backup",5,0))) +
IF(Y247="N",10,0)
)</f>
        <v/>
      </c>
      <c r="AA247">
        <f>IF(OR(P247="Y",AND(K247&gt;=9.0,W247="Y")),"P0",IF(Z247&gt;=80,"P0",IF(Z247&gt;=60,"P1",IF(Z247&gt;=40,"P2",IF(Z247&gt;=20,"P3","P4")))))</f>
        <v/>
      </c>
      <c r="AD247">
        <f>IF(AB247&lt;&gt;"",AB247,AA247)</f>
        <v/>
      </c>
      <c r="AE247">
        <f>VLOOKUP(AD247,SLA_Definitions!$A$2:$B$6,2,FALSE)</f>
        <v/>
      </c>
      <c r="AF247">
        <f>IF(B247&lt;&gt;"",WORKDAY(B247,AE247),"")</f>
        <v/>
      </c>
      <c r="AG247">
        <f>IF(AF247&lt;&gt;"",NETWORKDAYS(TODAY(),AF247),"")</f>
        <v/>
      </c>
      <c r="AH247">
        <f>IF(AJ247="Complete","Complete",IF(AG247&lt;0,"Overdue",IF(AG247&lt;=AE247*0.2,"At Risk","On Track")))</f>
        <v/>
      </c>
      <c r="AK247">
        <f>IF(OR(AH247="Overdue",AND(AD247="P0",AG247&lt;1),AND(AD247="P1",AG247&lt;3)),"Y","N")</f>
        <v/>
      </c>
    </row>
    <row r="248">
      <c r="K248">
        <f>IF(J248="v4.0",L248,IF(J248="v3.1",M248,IF(J248="Both",L248,IF(AND(L248&lt;&gt;"",M248=""),L248,M248))))</f>
        <v/>
      </c>
      <c r="Z248">
        <f>MIN(100,
(K248*5) +
(U248*10) +
IF(P248="Y",40,0) +
IF(Q248="P",30,0) +
IF(V248="Y",25,0) +
IF(W248="Y",20,0) +
IF(X248="Weaponized",15,IF(X248="PoC Available",10,IF(X248="Public Exploit",5,0))) +
IF(G248="Production",10,IF(G248="DMZ",8,IF(G248="DR/Backup",5,0))) +
IF(Y248="N",10,0)
)</f>
        <v/>
      </c>
      <c r="AA248">
        <f>IF(OR(P248="Y",AND(K248&gt;=9.0,W248="Y")),"P0",IF(Z248&gt;=80,"P0",IF(Z248&gt;=60,"P1",IF(Z248&gt;=40,"P2",IF(Z248&gt;=20,"P3","P4")))))</f>
        <v/>
      </c>
      <c r="AD248">
        <f>IF(AB248&lt;&gt;"",AB248,AA248)</f>
        <v/>
      </c>
      <c r="AE248">
        <f>VLOOKUP(AD248,SLA_Definitions!$A$2:$B$6,2,FALSE)</f>
        <v/>
      </c>
      <c r="AF248">
        <f>IF(B248&lt;&gt;"",WORKDAY(B248,AE248),"")</f>
        <v/>
      </c>
      <c r="AG248">
        <f>IF(AF248&lt;&gt;"",NETWORKDAYS(TODAY(),AF248),"")</f>
        <v/>
      </c>
      <c r="AH248">
        <f>IF(AJ248="Complete","Complete",IF(AG248&lt;0,"Overdue",IF(AG248&lt;=AE248*0.2,"At Risk","On Track")))</f>
        <v/>
      </c>
      <c r="AK248">
        <f>IF(OR(AH248="Overdue",AND(AD248="P0",AG248&lt;1),AND(AD248="P1",AG248&lt;3)),"Y","N")</f>
        <v/>
      </c>
    </row>
    <row r="249">
      <c r="K249">
        <f>IF(J249="v4.0",L249,IF(J249="v3.1",M249,IF(J249="Both",L249,IF(AND(L249&lt;&gt;"",M249=""),L249,M249))))</f>
        <v/>
      </c>
      <c r="Z249">
        <f>MIN(100,
(K249*5) +
(U249*10) +
IF(P249="Y",40,0) +
IF(Q249="P",30,0) +
IF(V249="Y",25,0) +
IF(W249="Y",20,0) +
IF(X249="Weaponized",15,IF(X249="PoC Available",10,IF(X249="Public Exploit",5,0))) +
IF(G249="Production",10,IF(G249="DMZ",8,IF(G249="DR/Backup",5,0))) +
IF(Y249="N",10,0)
)</f>
        <v/>
      </c>
      <c r="AA249">
        <f>IF(OR(P249="Y",AND(K249&gt;=9.0,W249="Y")),"P0",IF(Z249&gt;=80,"P0",IF(Z249&gt;=60,"P1",IF(Z249&gt;=40,"P2",IF(Z249&gt;=20,"P3","P4")))))</f>
        <v/>
      </c>
      <c r="AD249">
        <f>IF(AB249&lt;&gt;"",AB249,AA249)</f>
        <v/>
      </c>
      <c r="AE249">
        <f>VLOOKUP(AD249,SLA_Definitions!$A$2:$B$6,2,FALSE)</f>
        <v/>
      </c>
      <c r="AF249">
        <f>IF(B249&lt;&gt;"",WORKDAY(B249,AE249),"")</f>
        <v/>
      </c>
      <c r="AG249">
        <f>IF(AF249&lt;&gt;"",NETWORKDAYS(TODAY(),AF249),"")</f>
        <v/>
      </c>
      <c r="AH249">
        <f>IF(AJ249="Complete","Complete",IF(AG249&lt;0,"Overdue",IF(AG249&lt;=AE249*0.2,"At Risk","On Track")))</f>
        <v/>
      </c>
      <c r="AK249">
        <f>IF(OR(AH249="Overdue",AND(AD249="P0",AG249&lt;1),AND(AD249="P1",AG249&lt;3)),"Y","N")</f>
        <v/>
      </c>
    </row>
    <row r="250">
      <c r="K250">
        <f>IF(J250="v4.0",L250,IF(J250="v3.1",M250,IF(J250="Both",L250,IF(AND(L250&lt;&gt;"",M250=""),L250,M250))))</f>
        <v/>
      </c>
      <c r="Z250">
        <f>MIN(100,
(K250*5) +
(U250*10) +
IF(P250="Y",40,0) +
IF(Q250="P",30,0) +
IF(V250="Y",25,0) +
IF(W250="Y",20,0) +
IF(X250="Weaponized",15,IF(X250="PoC Available",10,IF(X250="Public Exploit",5,0))) +
IF(G250="Production",10,IF(G250="DMZ",8,IF(G250="DR/Backup",5,0))) +
IF(Y250="N",10,0)
)</f>
        <v/>
      </c>
      <c r="AA250">
        <f>IF(OR(P250="Y",AND(K250&gt;=9.0,W250="Y")),"P0",IF(Z250&gt;=80,"P0",IF(Z250&gt;=60,"P1",IF(Z250&gt;=40,"P2",IF(Z250&gt;=20,"P3","P4")))))</f>
        <v/>
      </c>
      <c r="AD250">
        <f>IF(AB250&lt;&gt;"",AB250,AA250)</f>
        <v/>
      </c>
      <c r="AE250">
        <f>VLOOKUP(AD250,SLA_Definitions!$A$2:$B$6,2,FALSE)</f>
        <v/>
      </c>
      <c r="AF250">
        <f>IF(B250&lt;&gt;"",WORKDAY(B250,AE250),"")</f>
        <v/>
      </c>
      <c r="AG250">
        <f>IF(AF250&lt;&gt;"",NETWORKDAYS(TODAY(),AF250),"")</f>
        <v/>
      </c>
      <c r="AH250">
        <f>IF(AJ250="Complete","Complete",IF(AG250&lt;0,"Overdue",IF(AG250&lt;=AE250*0.2,"At Risk","On Track")))</f>
        <v/>
      </c>
      <c r="AK250">
        <f>IF(OR(AH250="Overdue",AND(AD250="P0",AG250&lt;1),AND(AD250="P1",AG250&lt;3)),"Y","N")</f>
        <v/>
      </c>
    </row>
    <row r="251">
      <c r="K251">
        <f>IF(J251="v4.0",L251,IF(J251="v3.1",M251,IF(J251="Both",L251,IF(AND(L251&lt;&gt;"",M251=""),L251,M251))))</f>
        <v/>
      </c>
      <c r="Z251">
        <f>MIN(100,
(K251*5) +
(U251*10) +
IF(P251="Y",40,0) +
IF(Q251="P",30,0) +
IF(V251="Y",25,0) +
IF(W251="Y",20,0) +
IF(X251="Weaponized",15,IF(X251="PoC Available",10,IF(X251="Public Exploit",5,0))) +
IF(G251="Production",10,IF(G251="DMZ",8,IF(G251="DR/Backup",5,0))) +
IF(Y251="N",10,0)
)</f>
        <v/>
      </c>
      <c r="AA251">
        <f>IF(OR(P251="Y",AND(K251&gt;=9.0,W251="Y")),"P0",IF(Z251&gt;=80,"P0",IF(Z251&gt;=60,"P1",IF(Z251&gt;=40,"P2",IF(Z251&gt;=20,"P3","P4")))))</f>
        <v/>
      </c>
      <c r="AD251">
        <f>IF(AB251&lt;&gt;"",AB251,AA251)</f>
        <v/>
      </c>
      <c r="AE251">
        <f>VLOOKUP(AD251,SLA_Definitions!$A$2:$B$6,2,FALSE)</f>
        <v/>
      </c>
      <c r="AF251">
        <f>IF(B251&lt;&gt;"",WORKDAY(B251,AE251),"")</f>
        <v/>
      </c>
      <c r="AG251">
        <f>IF(AF251&lt;&gt;"",NETWORKDAYS(TODAY(),AF251),"")</f>
        <v/>
      </c>
      <c r="AH251">
        <f>IF(AJ251="Complete","Complete",IF(AG251&lt;0,"Overdue",IF(AG251&lt;=AE251*0.2,"At Risk","On Track")))</f>
        <v/>
      </c>
      <c r="AK251">
        <f>IF(OR(AH251="Overdue",AND(AD251="P0",AG251&lt;1),AND(AD251="P1",AG251&lt;3)),"Y","N")</f>
        <v/>
      </c>
    </row>
    <row r="252">
      <c r="K252">
        <f>IF(J252="v4.0",L252,IF(J252="v3.1",M252,IF(J252="Both",L252,IF(AND(L252&lt;&gt;"",M252=""),L252,M252))))</f>
        <v/>
      </c>
      <c r="Z252">
        <f>MIN(100,
(K252*5) +
(U252*10) +
IF(P252="Y",40,0) +
IF(Q252="P",30,0) +
IF(V252="Y",25,0) +
IF(W252="Y",20,0) +
IF(X252="Weaponized",15,IF(X252="PoC Available",10,IF(X252="Public Exploit",5,0))) +
IF(G252="Production",10,IF(G252="DMZ",8,IF(G252="DR/Backup",5,0))) +
IF(Y252="N",10,0)
)</f>
        <v/>
      </c>
      <c r="AA252">
        <f>IF(OR(P252="Y",AND(K252&gt;=9.0,W252="Y")),"P0",IF(Z252&gt;=80,"P0",IF(Z252&gt;=60,"P1",IF(Z252&gt;=40,"P2",IF(Z252&gt;=20,"P3","P4")))))</f>
        <v/>
      </c>
      <c r="AD252">
        <f>IF(AB252&lt;&gt;"",AB252,AA252)</f>
        <v/>
      </c>
      <c r="AE252">
        <f>VLOOKUP(AD252,SLA_Definitions!$A$2:$B$6,2,FALSE)</f>
        <v/>
      </c>
      <c r="AF252">
        <f>IF(B252&lt;&gt;"",WORKDAY(B252,AE252),"")</f>
        <v/>
      </c>
      <c r="AG252">
        <f>IF(AF252&lt;&gt;"",NETWORKDAYS(TODAY(),AF252),"")</f>
        <v/>
      </c>
      <c r="AH252">
        <f>IF(AJ252="Complete","Complete",IF(AG252&lt;0,"Overdue",IF(AG252&lt;=AE252*0.2,"At Risk","On Track")))</f>
        <v/>
      </c>
      <c r="AK252">
        <f>IF(OR(AH252="Overdue",AND(AD252="P0",AG252&lt;1),AND(AD252="P1",AG252&lt;3)),"Y","N")</f>
        <v/>
      </c>
    </row>
    <row r="253">
      <c r="K253">
        <f>IF(J253="v4.0",L253,IF(J253="v3.1",M253,IF(J253="Both",L253,IF(AND(L253&lt;&gt;"",M253=""),L253,M253))))</f>
        <v/>
      </c>
      <c r="Z253">
        <f>MIN(100,
(K253*5) +
(U253*10) +
IF(P253="Y",40,0) +
IF(Q253="P",30,0) +
IF(V253="Y",25,0) +
IF(W253="Y",20,0) +
IF(X253="Weaponized",15,IF(X253="PoC Available",10,IF(X253="Public Exploit",5,0))) +
IF(G253="Production",10,IF(G253="DMZ",8,IF(G253="DR/Backup",5,0))) +
IF(Y253="N",10,0)
)</f>
        <v/>
      </c>
      <c r="AA253">
        <f>IF(OR(P253="Y",AND(K253&gt;=9.0,W253="Y")),"P0",IF(Z253&gt;=80,"P0",IF(Z253&gt;=60,"P1",IF(Z253&gt;=40,"P2",IF(Z253&gt;=20,"P3","P4")))))</f>
        <v/>
      </c>
      <c r="AD253">
        <f>IF(AB253&lt;&gt;"",AB253,AA253)</f>
        <v/>
      </c>
      <c r="AE253">
        <f>VLOOKUP(AD253,SLA_Definitions!$A$2:$B$6,2,FALSE)</f>
        <v/>
      </c>
      <c r="AF253">
        <f>IF(B253&lt;&gt;"",WORKDAY(B253,AE253),"")</f>
        <v/>
      </c>
      <c r="AG253">
        <f>IF(AF253&lt;&gt;"",NETWORKDAYS(TODAY(),AF253),"")</f>
        <v/>
      </c>
      <c r="AH253">
        <f>IF(AJ253="Complete","Complete",IF(AG253&lt;0,"Overdue",IF(AG253&lt;=AE253*0.2,"At Risk","On Track")))</f>
        <v/>
      </c>
      <c r="AK253">
        <f>IF(OR(AH253="Overdue",AND(AD253="P0",AG253&lt;1),AND(AD253="P1",AG253&lt;3)),"Y","N")</f>
        <v/>
      </c>
    </row>
    <row r="254">
      <c r="K254">
        <f>IF(J254="v4.0",L254,IF(J254="v3.1",M254,IF(J254="Both",L254,IF(AND(L254&lt;&gt;"",M254=""),L254,M254))))</f>
        <v/>
      </c>
      <c r="Z254">
        <f>MIN(100,
(K254*5) +
(U254*10) +
IF(P254="Y",40,0) +
IF(Q254="P",30,0) +
IF(V254="Y",25,0) +
IF(W254="Y",20,0) +
IF(X254="Weaponized",15,IF(X254="PoC Available",10,IF(X254="Public Exploit",5,0))) +
IF(G254="Production",10,IF(G254="DMZ",8,IF(G254="DR/Backup",5,0))) +
IF(Y254="N",10,0)
)</f>
        <v/>
      </c>
      <c r="AA254">
        <f>IF(OR(P254="Y",AND(K254&gt;=9.0,W254="Y")),"P0",IF(Z254&gt;=80,"P0",IF(Z254&gt;=60,"P1",IF(Z254&gt;=40,"P2",IF(Z254&gt;=20,"P3","P4")))))</f>
        <v/>
      </c>
      <c r="AD254">
        <f>IF(AB254&lt;&gt;"",AB254,AA254)</f>
        <v/>
      </c>
      <c r="AE254">
        <f>VLOOKUP(AD254,SLA_Definitions!$A$2:$B$6,2,FALSE)</f>
        <v/>
      </c>
      <c r="AF254">
        <f>IF(B254&lt;&gt;"",WORKDAY(B254,AE254),"")</f>
        <v/>
      </c>
      <c r="AG254">
        <f>IF(AF254&lt;&gt;"",NETWORKDAYS(TODAY(),AF254),"")</f>
        <v/>
      </c>
      <c r="AH254">
        <f>IF(AJ254="Complete","Complete",IF(AG254&lt;0,"Overdue",IF(AG254&lt;=AE254*0.2,"At Risk","On Track")))</f>
        <v/>
      </c>
      <c r="AK254">
        <f>IF(OR(AH254="Overdue",AND(AD254="P0",AG254&lt;1),AND(AD254="P1",AG254&lt;3)),"Y","N")</f>
        <v/>
      </c>
    </row>
    <row r="255">
      <c r="K255">
        <f>IF(J255="v4.0",L255,IF(J255="v3.1",M255,IF(J255="Both",L255,IF(AND(L255&lt;&gt;"",M255=""),L255,M255))))</f>
        <v/>
      </c>
      <c r="Z255">
        <f>MIN(100,
(K255*5) +
(U255*10) +
IF(P255="Y",40,0) +
IF(Q255="P",30,0) +
IF(V255="Y",25,0) +
IF(W255="Y",20,0) +
IF(X255="Weaponized",15,IF(X255="PoC Available",10,IF(X255="Public Exploit",5,0))) +
IF(G255="Production",10,IF(G255="DMZ",8,IF(G255="DR/Backup",5,0))) +
IF(Y255="N",10,0)
)</f>
        <v/>
      </c>
      <c r="AA255">
        <f>IF(OR(P255="Y",AND(K255&gt;=9.0,W255="Y")),"P0",IF(Z255&gt;=80,"P0",IF(Z255&gt;=60,"P1",IF(Z255&gt;=40,"P2",IF(Z255&gt;=20,"P3","P4")))))</f>
        <v/>
      </c>
      <c r="AD255">
        <f>IF(AB255&lt;&gt;"",AB255,AA255)</f>
        <v/>
      </c>
      <c r="AE255">
        <f>VLOOKUP(AD255,SLA_Definitions!$A$2:$B$6,2,FALSE)</f>
        <v/>
      </c>
      <c r="AF255">
        <f>IF(B255&lt;&gt;"",WORKDAY(B255,AE255),"")</f>
        <v/>
      </c>
      <c r="AG255">
        <f>IF(AF255&lt;&gt;"",NETWORKDAYS(TODAY(),AF255),"")</f>
        <v/>
      </c>
      <c r="AH255">
        <f>IF(AJ255="Complete","Complete",IF(AG255&lt;0,"Overdue",IF(AG255&lt;=AE255*0.2,"At Risk","On Track")))</f>
        <v/>
      </c>
      <c r="AK255">
        <f>IF(OR(AH255="Overdue",AND(AD255="P0",AG255&lt;1),AND(AD255="P1",AG255&lt;3)),"Y","N")</f>
        <v/>
      </c>
    </row>
    <row r="256">
      <c r="K256">
        <f>IF(J256="v4.0",L256,IF(J256="v3.1",M256,IF(J256="Both",L256,IF(AND(L256&lt;&gt;"",M256=""),L256,M256))))</f>
        <v/>
      </c>
      <c r="Z256">
        <f>MIN(100,
(K256*5) +
(U256*10) +
IF(P256="Y",40,0) +
IF(Q256="P",30,0) +
IF(V256="Y",25,0) +
IF(W256="Y",20,0) +
IF(X256="Weaponized",15,IF(X256="PoC Available",10,IF(X256="Public Exploit",5,0))) +
IF(G256="Production",10,IF(G256="DMZ",8,IF(G256="DR/Backup",5,0))) +
IF(Y256="N",10,0)
)</f>
        <v/>
      </c>
      <c r="AA256">
        <f>IF(OR(P256="Y",AND(K256&gt;=9.0,W256="Y")),"P0",IF(Z256&gt;=80,"P0",IF(Z256&gt;=60,"P1",IF(Z256&gt;=40,"P2",IF(Z256&gt;=20,"P3","P4")))))</f>
        <v/>
      </c>
      <c r="AD256">
        <f>IF(AB256&lt;&gt;"",AB256,AA256)</f>
        <v/>
      </c>
      <c r="AE256">
        <f>VLOOKUP(AD256,SLA_Definitions!$A$2:$B$6,2,FALSE)</f>
        <v/>
      </c>
      <c r="AF256">
        <f>IF(B256&lt;&gt;"",WORKDAY(B256,AE256),"")</f>
        <v/>
      </c>
      <c r="AG256">
        <f>IF(AF256&lt;&gt;"",NETWORKDAYS(TODAY(),AF256),"")</f>
        <v/>
      </c>
      <c r="AH256">
        <f>IF(AJ256="Complete","Complete",IF(AG256&lt;0,"Overdue",IF(AG256&lt;=AE256*0.2,"At Risk","On Track")))</f>
        <v/>
      </c>
      <c r="AK256">
        <f>IF(OR(AH256="Overdue",AND(AD256="P0",AG256&lt;1),AND(AD256="P1",AG256&lt;3)),"Y","N")</f>
        <v/>
      </c>
    </row>
    <row r="257">
      <c r="K257">
        <f>IF(J257="v4.0",L257,IF(J257="v3.1",M257,IF(J257="Both",L257,IF(AND(L257&lt;&gt;"",M257=""),L257,M257))))</f>
        <v/>
      </c>
      <c r="Z257">
        <f>MIN(100,
(K257*5) +
(U257*10) +
IF(P257="Y",40,0) +
IF(Q257="P",30,0) +
IF(V257="Y",25,0) +
IF(W257="Y",20,0) +
IF(X257="Weaponized",15,IF(X257="PoC Available",10,IF(X257="Public Exploit",5,0))) +
IF(G257="Production",10,IF(G257="DMZ",8,IF(G257="DR/Backup",5,0))) +
IF(Y257="N",10,0)
)</f>
        <v/>
      </c>
      <c r="AA257">
        <f>IF(OR(P257="Y",AND(K257&gt;=9.0,W257="Y")),"P0",IF(Z257&gt;=80,"P0",IF(Z257&gt;=60,"P1",IF(Z257&gt;=40,"P2",IF(Z257&gt;=20,"P3","P4")))))</f>
        <v/>
      </c>
      <c r="AD257">
        <f>IF(AB257&lt;&gt;"",AB257,AA257)</f>
        <v/>
      </c>
      <c r="AE257">
        <f>VLOOKUP(AD257,SLA_Definitions!$A$2:$B$6,2,FALSE)</f>
        <v/>
      </c>
      <c r="AF257">
        <f>IF(B257&lt;&gt;"",WORKDAY(B257,AE257),"")</f>
        <v/>
      </c>
      <c r="AG257">
        <f>IF(AF257&lt;&gt;"",NETWORKDAYS(TODAY(),AF257),"")</f>
        <v/>
      </c>
      <c r="AH257">
        <f>IF(AJ257="Complete","Complete",IF(AG257&lt;0,"Overdue",IF(AG257&lt;=AE257*0.2,"At Risk","On Track")))</f>
        <v/>
      </c>
      <c r="AK257">
        <f>IF(OR(AH257="Overdue",AND(AD257="P0",AG257&lt;1),AND(AD257="P1",AG257&lt;3)),"Y","N")</f>
        <v/>
      </c>
    </row>
    <row r="258">
      <c r="K258">
        <f>IF(J258="v4.0",L258,IF(J258="v3.1",M258,IF(J258="Both",L258,IF(AND(L258&lt;&gt;"",M258=""),L258,M258))))</f>
        <v/>
      </c>
      <c r="Z258">
        <f>MIN(100,
(K258*5) +
(U258*10) +
IF(P258="Y",40,0) +
IF(Q258="P",30,0) +
IF(V258="Y",25,0) +
IF(W258="Y",20,0) +
IF(X258="Weaponized",15,IF(X258="PoC Available",10,IF(X258="Public Exploit",5,0))) +
IF(G258="Production",10,IF(G258="DMZ",8,IF(G258="DR/Backup",5,0))) +
IF(Y258="N",10,0)
)</f>
        <v/>
      </c>
      <c r="AA258">
        <f>IF(OR(P258="Y",AND(K258&gt;=9.0,W258="Y")),"P0",IF(Z258&gt;=80,"P0",IF(Z258&gt;=60,"P1",IF(Z258&gt;=40,"P2",IF(Z258&gt;=20,"P3","P4")))))</f>
        <v/>
      </c>
      <c r="AD258">
        <f>IF(AB258&lt;&gt;"",AB258,AA258)</f>
        <v/>
      </c>
      <c r="AE258">
        <f>VLOOKUP(AD258,SLA_Definitions!$A$2:$B$6,2,FALSE)</f>
        <v/>
      </c>
      <c r="AF258">
        <f>IF(B258&lt;&gt;"",WORKDAY(B258,AE258),"")</f>
        <v/>
      </c>
      <c r="AG258">
        <f>IF(AF258&lt;&gt;"",NETWORKDAYS(TODAY(),AF258),"")</f>
        <v/>
      </c>
      <c r="AH258">
        <f>IF(AJ258="Complete","Complete",IF(AG258&lt;0,"Overdue",IF(AG258&lt;=AE258*0.2,"At Risk","On Track")))</f>
        <v/>
      </c>
      <c r="AK258">
        <f>IF(OR(AH258="Overdue",AND(AD258="P0",AG258&lt;1),AND(AD258="P1",AG258&lt;3)),"Y","N")</f>
        <v/>
      </c>
    </row>
    <row r="259">
      <c r="K259">
        <f>IF(J259="v4.0",L259,IF(J259="v3.1",M259,IF(J259="Both",L259,IF(AND(L259&lt;&gt;"",M259=""),L259,M259))))</f>
        <v/>
      </c>
      <c r="Z259">
        <f>MIN(100,
(K259*5) +
(U259*10) +
IF(P259="Y",40,0) +
IF(Q259="P",30,0) +
IF(V259="Y",25,0) +
IF(W259="Y",20,0) +
IF(X259="Weaponized",15,IF(X259="PoC Available",10,IF(X259="Public Exploit",5,0))) +
IF(G259="Production",10,IF(G259="DMZ",8,IF(G259="DR/Backup",5,0))) +
IF(Y259="N",10,0)
)</f>
        <v/>
      </c>
      <c r="AA259">
        <f>IF(OR(P259="Y",AND(K259&gt;=9.0,W259="Y")),"P0",IF(Z259&gt;=80,"P0",IF(Z259&gt;=60,"P1",IF(Z259&gt;=40,"P2",IF(Z259&gt;=20,"P3","P4")))))</f>
        <v/>
      </c>
      <c r="AD259">
        <f>IF(AB259&lt;&gt;"",AB259,AA259)</f>
        <v/>
      </c>
      <c r="AE259">
        <f>VLOOKUP(AD259,SLA_Definitions!$A$2:$B$6,2,FALSE)</f>
        <v/>
      </c>
      <c r="AF259">
        <f>IF(B259&lt;&gt;"",WORKDAY(B259,AE259),"")</f>
        <v/>
      </c>
      <c r="AG259">
        <f>IF(AF259&lt;&gt;"",NETWORKDAYS(TODAY(),AF259),"")</f>
        <v/>
      </c>
      <c r="AH259">
        <f>IF(AJ259="Complete","Complete",IF(AG259&lt;0,"Overdue",IF(AG259&lt;=AE259*0.2,"At Risk","On Track")))</f>
        <v/>
      </c>
      <c r="AK259">
        <f>IF(OR(AH259="Overdue",AND(AD259="P0",AG259&lt;1),AND(AD259="P1",AG259&lt;3)),"Y","N")</f>
        <v/>
      </c>
    </row>
    <row r="260">
      <c r="K260">
        <f>IF(J260="v4.0",L260,IF(J260="v3.1",M260,IF(J260="Both",L260,IF(AND(L260&lt;&gt;"",M260=""),L260,M260))))</f>
        <v/>
      </c>
      <c r="Z260">
        <f>MIN(100,
(K260*5) +
(U260*10) +
IF(P260="Y",40,0) +
IF(Q260="P",30,0) +
IF(V260="Y",25,0) +
IF(W260="Y",20,0) +
IF(X260="Weaponized",15,IF(X260="PoC Available",10,IF(X260="Public Exploit",5,0))) +
IF(G260="Production",10,IF(G260="DMZ",8,IF(G260="DR/Backup",5,0))) +
IF(Y260="N",10,0)
)</f>
        <v/>
      </c>
      <c r="AA260">
        <f>IF(OR(P260="Y",AND(K260&gt;=9.0,W260="Y")),"P0",IF(Z260&gt;=80,"P0",IF(Z260&gt;=60,"P1",IF(Z260&gt;=40,"P2",IF(Z260&gt;=20,"P3","P4")))))</f>
        <v/>
      </c>
      <c r="AD260">
        <f>IF(AB260&lt;&gt;"",AB260,AA260)</f>
        <v/>
      </c>
      <c r="AE260">
        <f>VLOOKUP(AD260,SLA_Definitions!$A$2:$B$6,2,FALSE)</f>
        <v/>
      </c>
      <c r="AF260">
        <f>IF(B260&lt;&gt;"",WORKDAY(B260,AE260),"")</f>
        <v/>
      </c>
      <c r="AG260">
        <f>IF(AF260&lt;&gt;"",NETWORKDAYS(TODAY(),AF260),"")</f>
        <v/>
      </c>
      <c r="AH260">
        <f>IF(AJ260="Complete","Complete",IF(AG260&lt;0,"Overdue",IF(AG260&lt;=AE260*0.2,"At Risk","On Track")))</f>
        <v/>
      </c>
      <c r="AK260">
        <f>IF(OR(AH260="Overdue",AND(AD260="P0",AG260&lt;1),AND(AD260="P1",AG260&lt;3)),"Y","N")</f>
        <v/>
      </c>
    </row>
    <row r="261">
      <c r="K261">
        <f>IF(J261="v4.0",L261,IF(J261="v3.1",M261,IF(J261="Both",L261,IF(AND(L261&lt;&gt;"",M261=""),L261,M261))))</f>
        <v/>
      </c>
      <c r="Z261">
        <f>MIN(100,
(K261*5) +
(U261*10) +
IF(P261="Y",40,0) +
IF(Q261="P",30,0) +
IF(V261="Y",25,0) +
IF(W261="Y",20,0) +
IF(X261="Weaponized",15,IF(X261="PoC Available",10,IF(X261="Public Exploit",5,0))) +
IF(G261="Production",10,IF(G261="DMZ",8,IF(G261="DR/Backup",5,0))) +
IF(Y261="N",10,0)
)</f>
        <v/>
      </c>
      <c r="AA261">
        <f>IF(OR(P261="Y",AND(K261&gt;=9.0,W261="Y")),"P0",IF(Z261&gt;=80,"P0",IF(Z261&gt;=60,"P1",IF(Z261&gt;=40,"P2",IF(Z261&gt;=20,"P3","P4")))))</f>
        <v/>
      </c>
      <c r="AD261">
        <f>IF(AB261&lt;&gt;"",AB261,AA261)</f>
        <v/>
      </c>
      <c r="AE261">
        <f>VLOOKUP(AD261,SLA_Definitions!$A$2:$B$6,2,FALSE)</f>
        <v/>
      </c>
      <c r="AF261">
        <f>IF(B261&lt;&gt;"",WORKDAY(B261,AE261),"")</f>
        <v/>
      </c>
      <c r="AG261">
        <f>IF(AF261&lt;&gt;"",NETWORKDAYS(TODAY(),AF261),"")</f>
        <v/>
      </c>
      <c r="AH261">
        <f>IF(AJ261="Complete","Complete",IF(AG261&lt;0,"Overdue",IF(AG261&lt;=AE261*0.2,"At Risk","On Track")))</f>
        <v/>
      </c>
      <c r="AK261">
        <f>IF(OR(AH261="Overdue",AND(AD261="P0",AG261&lt;1),AND(AD261="P1",AG261&lt;3)),"Y","N")</f>
        <v/>
      </c>
    </row>
    <row r="262">
      <c r="K262">
        <f>IF(J262="v4.0",L262,IF(J262="v3.1",M262,IF(J262="Both",L262,IF(AND(L262&lt;&gt;"",M262=""),L262,M262))))</f>
        <v/>
      </c>
      <c r="Z262">
        <f>MIN(100,
(K262*5) +
(U262*10) +
IF(P262="Y",40,0) +
IF(Q262="P",30,0) +
IF(V262="Y",25,0) +
IF(W262="Y",20,0) +
IF(X262="Weaponized",15,IF(X262="PoC Available",10,IF(X262="Public Exploit",5,0))) +
IF(G262="Production",10,IF(G262="DMZ",8,IF(G262="DR/Backup",5,0))) +
IF(Y262="N",10,0)
)</f>
        <v/>
      </c>
      <c r="AA262">
        <f>IF(OR(P262="Y",AND(K262&gt;=9.0,W262="Y")),"P0",IF(Z262&gt;=80,"P0",IF(Z262&gt;=60,"P1",IF(Z262&gt;=40,"P2",IF(Z262&gt;=20,"P3","P4")))))</f>
        <v/>
      </c>
      <c r="AD262">
        <f>IF(AB262&lt;&gt;"",AB262,AA262)</f>
        <v/>
      </c>
      <c r="AE262">
        <f>VLOOKUP(AD262,SLA_Definitions!$A$2:$B$6,2,FALSE)</f>
        <v/>
      </c>
      <c r="AF262">
        <f>IF(B262&lt;&gt;"",WORKDAY(B262,AE262),"")</f>
        <v/>
      </c>
      <c r="AG262">
        <f>IF(AF262&lt;&gt;"",NETWORKDAYS(TODAY(),AF262),"")</f>
        <v/>
      </c>
      <c r="AH262">
        <f>IF(AJ262="Complete","Complete",IF(AG262&lt;0,"Overdue",IF(AG262&lt;=AE262*0.2,"At Risk","On Track")))</f>
        <v/>
      </c>
      <c r="AK262">
        <f>IF(OR(AH262="Overdue",AND(AD262="P0",AG262&lt;1),AND(AD262="P1",AG262&lt;3)),"Y","N")</f>
        <v/>
      </c>
    </row>
    <row r="263">
      <c r="K263">
        <f>IF(J263="v4.0",L263,IF(J263="v3.1",M263,IF(J263="Both",L263,IF(AND(L263&lt;&gt;"",M263=""),L263,M263))))</f>
        <v/>
      </c>
      <c r="Z263">
        <f>MIN(100,
(K263*5) +
(U263*10) +
IF(P263="Y",40,0) +
IF(Q263="P",30,0) +
IF(V263="Y",25,0) +
IF(W263="Y",20,0) +
IF(X263="Weaponized",15,IF(X263="PoC Available",10,IF(X263="Public Exploit",5,0))) +
IF(G263="Production",10,IF(G263="DMZ",8,IF(G263="DR/Backup",5,0))) +
IF(Y263="N",10,0)
)</f>
        <v/>
      </c>
      <c r="AA263">
        <f>IF(OR(P263="Y",AND(K263&gt;=9.0,W263="Y")),"P0",IF(Z263&gt;=80,"P0",IF(Z263&gt;=60,"P1",IF(Z263&gt;=40,"P2",IF(Z263&gt;=20,"P3","P4")))))</f>
        <v/>
      </c>
      <c r="AD263">
        <f>IF(AB263&lt;&gt;"",AB263,AA263)</f>
        <v/>
      </c>
      <c r="AE263">
        <f>VLOOKUP(AD263,SLA_Definitions!$A$2:$B$6,2,FALSE)</f>
        <v/>
      </c>
      <c r="AF263">
        <f>IF(B263&lt;&gt;"",WORKDAY(B263,AE263),"")</f>
        <v/>
      </c>
      <c r="AG263">
        <f>IF(AF263&lt;&gt;"",NETWORKDAYS(TODAY(),AF263),"")</f>
        <v/>
      </c>
      <c r="AH263">
        <f>IF(AJ263="Complete","Complete",IF(AG263&lt;0,"Overdue",IF(AG263&lt;=AE263*0.2,"At Risk","On Track")))</f>
        <v/>
      </c>
      <c r="AK263">
        <f>IF(OR(AH263="Overdue",AND(AD263="P0",AG263&lt;1),AND(AD263="P1",AG263&lt;3)),"Y","N")</f>
        <v/>
      </c>
    </row>
    <row r="264">
      <c r="K264">
        <f>IF(J264="v4.0",L264,IF(J264="v3.1",M264,IF(J264="Both",L264,IF(AND(L264&lt;&gt;"",M264=""),L264,M264))))</f>
        <v/>
      </c>
      <c r="Z264">
        <f>MIN(100,
(K264*5) +
(U264*10) +
IF(P264="Y",40,0) +
IF(Q264="P",30,0) +
IF(V264="Y",25,0) +
IF(W264="Y",20,0) +
IF(X264="Weaponized",15,IF(X264="PoC Available",10,IF(X264="Public Exploit",5,0))) +
IF(G264="Production",10,IF(G264="DMZ",8,IF(G264="DR/Backup",5,0))) +
IF(Y264="N",10,0)
)</f>
        <v/>
      </c>
      <c r="AA264">
        <f>IF(OR(P264="Y",AND(K264&gt;=9.0,W264="Y")),"P0",IF(Z264&gt;=80,"P0",IF(Z264&gt;=60,"P1",IF(Z264&gt;=40,"P2",IF(Z264&gt;=20,"P3","P4")))))</f>
        <v/>
      </c>
      <c r="AD264">
        <f>IF(AB264&lt;&gt;"",AB264,AA264)</f>
        <v/>
      </c>
      <c r="AE264">
        <f>VLOOKUP(AD264,SLA_Definitions!$A$2:$B$6,2,FALSE)</f>
        <v/>
      </c>
      <c r="AF264">
        <f>IF(B264&lt;&gt;"",WORKDAY(B264,AE264),"")</f>
        <v/>
      </c>
      <c r="AG264">
        <f>IF(AF264&lt;&gt;"",NETWORKDAYS(TODAY(),AF264),"")</f>
        <v/>
      </c>
      <c r="AH264">
        <f>IF(AJ264="Complete","Complete",IF(AG264&lt;0,"Overdue",IF(AG264&lt;=AE264*0.2,"At Risk","On Track")))</f>
        <v/>
      </c>
      <c r="AK264">
        <f>IF(OR(AH264="Overdue",AND(AD264="P0",AG264&lt;1),AND(AD264="P1",AG264&lt;3)),"Y","N")</f>
        <v/>
      </c>
    </row>
    <row r="265">
      <c r="K265">
        <f>IF(J265="v4.0",L265,IF(J265="v3.1",M265,IF(J265="Both",L265,IF(AND(L265&lt;&gt;"",M265=""),L265,M265))))</f>
        <v/>
      </c>
      <c r="Z265">
        <f>MIN(100,
(K265*5) +
(U265*10) +
IF(P265="Y",40,0) +
IF(Q265="P",30,0) +
IF(V265="Y",25,0) +
IF(W265="Y",20,0) +
IF(X265="Weaponized",15,IF(X265="PoC Available",10,IF(X265="Public Exploit",5,0))) +
IF(G265="Production",10,IF(G265="DMZ",8,IF(G265="DR/Backup",5,0))) +
IF(Y265="N",10,0)
)</f>
        <v/>
      </c>
      <c r="AA265">
        <f>IF(OR(P265="Y",AND(K265&gt;=9.0,W265="Y")),"P0",IF(Z265&gt;=80,"P0",IF(Z265&gt;=60,"P1",IF(Z265&gt;=40,"P2",IF(Z265&gt;=20,"P3","P4")))))</f>
        <v/>
      </c>
      <c r="AD265">
        <f>IF(AB265&lt;&gt;"",AB265,AA265)</f>
        <v/>
      </c>
      <c r="AE265">
        <f>VLOOKUP(AD265,SLA_Definitions!$A$2:$B$6,2,FALSE)</f>
        <v/>
      </c>
      <c r="AF265">
        <f>IF(B265&lt;&gt;"",WORKDAY(B265,AE265),"")</f>
        <v/>
      </c>
      <c r="AG265">
        <f>IF(AF265&lt;&gt;"",NETWORKDAYS(TODAY(),AF265),"")</f>
        <v/>
      </c>
      <c r="AH265">
        <f>IF(AJ265="Complete","Complete",IF(AG265&lt;0,"Overdue",IF(AG265&lt;=AE265*0.2,"At Risk","On Track")))</f>
        <v/>
      </c>
      <c r="AK265">
        <f>IF(OR(AH265="Overdue",AND(AD265="P0",AG265&lt;1),AND(AD265="P1",AG265&lt;3)),"Y","N")</f>
        <v/>
      </c>
    </row>
    <row r="266">
      <c r="K266">
        <f>IF(J266="v4.0",L266,IF(J266="v3.1",M266,IF(J266="Both",L266,IF(AND(L266&lt;&gt;"",M266=""),L266,M266))))</f>
        <v/>
      </c>
      <c r="Z266">
        <f>MIN(100,
(K266*5) +
(U266*10) +
IF(P266="Y",40,0) +
IF(Q266="P",30,0) +
IF(V266="Y",25,0) +
IF(W266="Y",20,0) +
IF(X266="Weaponized",15,IF(X266="PoC Available",10,IF(X266="Public Exploit",5,0))) +
IF(G266="Production",10,IF(G266="DMZ",8,IF(G266="DR/Backup",5,0))) +
IF(Y266="N",10,0)
)</f>
        <v/>
      </c>
      <c r="AA266">
        <f>IF(OR(P266="Y",AND(K266&gt;=9.0,W266="Y")),"P0",IF(Z266&gt;=80,"P0",IF(Z266&gt;=60,"P1",IF(Z266&gt;=40,"P2",IF(Z266&gt;=20,"P3","P4")))))</f>
        <v/>
      </c>
      <c r="AD266">
        <f>IF(AB266&lt;&gt;"",AB266,AA266)</f>
        <v/>
      </c>
      <c r="AE266">
        <f>VLOOKUP(AD266,SLA_Definitions!$A$2:$B$6,2,FALSE)</f>
        <v/>
      </c>
      <c r="AF266">
        <f>IF(B266&lt;&gt;"",WORKDAY(B266,AE266),"")</f>
        <v/>
      </c>
      <c r="AG266">
        <f>IF(AF266&lt;&gt;"",NETWORKDAYS(TODAY(),AF266),"")</f>
        <v/>
      </c>
      <c r="AH266">
        <f>IF(AJ266="Complete","Complete",IF(AG266&lt;0,"Overdue",IF(AG266&lt;=AE266*0.2,"At Risk","On Track")))</f>
        <v/>
      </c>
      <c r="AK266">
        <f>IF(OR(AH266="Overdue",AND(AD266="P0",AG266&lt;1),AND(AD266="P1",AG266&lt;3)),"Y","N")</f>
        <v/>
      </c>
    </row>
    <row r="267">
      <c r="K267">
        <f>IF(J267="v4.0",L267,IF(J267="v3.1",M267,IF(J267="Both",L267,IF(AND(L267&lt;&gt;"",M267=""),L267,M267))))</f>
        <v/>
      </c>
      <c r="Z267">
        <f>MIN(100,
(K267*5) +
(U267*10) +
IF(P267="Y",40,0) +
IF(Q267="P",30,0) +
IF(V267="Y",25,0) +
IF(W267="Y",20,0) +
IF(X267="Weaponized",15,IF(X267="PoC Available",10,IF(X267="Public Exploit",5,0))) +
IF(G267="Production",10,IF(G267="DMZ",8,IF(G267="DR/Backup",5,0))) +
IF(Y267="N",10,0)
)</f>
        <v/>
      </c>
      <c r="AA267">
        <f>IF(OR(P267="Y",AND(K267&gt;=9.0,W267="Y")),"P0",IF(Z267&gt;=80,"P0",IF(Z267&gt;=60,"P1",IF(Z267&gt;=40,"P2",IF(Z267&gt;=20,"P3","P4")))))</f>
        <v/>
      </c>
      <c r="AD267">
        <f>IF(AB267&lt;&gt;"",AB267,AA267)</f>
        <v/>
      </c>
      <c r="AE267">
        <f>VLOOKUP(AD267,SLA_Definitions!$A$2:$B$6,2,FALSE)</f>
        <v/>
      </c>
      <c r="AF267">
        <f>IF(B267&lt;&gt;"",WORKDAY(B267,AE267),"")</f>
        <v/>
      </c>
      <c r="AG267">
        <f>IF(AF267&lt;&gt;"",NETWORKDAYS(TODAY(),AF267),"")</f>
        <v/>
      </c>
      <c r="AH267">
        <f>IF(AJ267="Complete","Complete",IF(AG267&lt;0,"Overdue",IF(AG267&lt;=AE267*0.2,"At Risk","On Track")))</f>
        <v/>
      </c>
      <c r="AK267">
        <f>IF(OR(AH267="Overdue",AND(AD267="P0",AG267&lt;1),AND(AD267="P1",AG267&lt;3)),"Y","N")</f>
        <v/>
      </c>
    </row>
    <row r="268">
      <c r="K268">
        <f>IF(J268="v4.0",L268,IF(J268="v3.1",M268,IF(J268="Both",L268,IF(AND(L268&lt;&gt;"",M268=""),L268,M268))))</f>
        <v/>
      </c>
      <c r="Z268">
        <f>MIN(100,
(K268*5) +
(U268*10) +
IF(P268="Y",40,0) +
IF(Q268="P",30,0) +
IF(V268="Y",25,0) +
IF(W268="Y",20,0) +
IF(X268="Weaponized",15,IF(X268="PoC Available",10,IF(X268="Public Exploit",5,0))) +
IF(G268="Production",10,IF(G268="DMZ",8,IF(G268="DR/Backup",5,0))) +
IF(Y268="N",10,0)
)</f>
        <v/>
      </c>
      <c r="AA268">
        <f>IF(OR(P268="Y",AND(K268&gt;=9.0,W268="Y")),"P0",IF(Z268&gt;=80,"P0",IF(Z268&gt;=60,"P1",IF(Z268&gt;=40,"P2",IF(Z268&gt;=20,"P3","P4")))))</f>
        <v/>
      </c>
      <c r="AD268">
        <f>IF(AB268&lt;&gt;"",AB268,AA268)</f>
        <v/>
      </c>
      <c r="AE268">
        <f>VLOOKUP(AD268,SLA_Definitions!$A$2:$B$6,2,FALSE)</f>
        <v/>
      </c>
      <c r="AF268">
        <f>IF(B268&lt;&gt;"",WORKDAY(B268,AE268),"")</f>
        <v/>
      </c>
      <c r="AG268">
        <f>IF(AF268&lt;&gt;"",NETWORKDAYS(TODAY(),AF268),"")</f>
        <v/>
      </c>
      <c r="AH268">
        <f>IF(AJ268="Complete","Complete",IF(AG268&lt;0,"Overdue",IF(AG268&lt;=AE268*0.2,"At Risk","On Track")))</f>
        <v/>
      </c>
      <c r="AK268">
        <f>IF(OR(AH268="Overdue",AND(AD268="P0",AG268&lt;1),AND(AD268="P1",AG268&lt;3)),"Y","N")</f>
        <v/>
      </c>
    </row>
    <row r="269">
      <c r="K269">
        <f>IF(J269="v4.0",L269,IF(J269="v3.1",M269,IF(J269="Both",L269,IF(AND(L269&lt;&gt;"",M269=""),L269,M269))))</f>
        <v/>
      </c>
      <c r="Z269">
        <f>MIN(100,
(K269*5) +
(U269*10) +
IF(P269="Y",40,0) +
IF(Q269="P",30,0) +
IF(V269="Y",25,0) +
IF(W269="Y",20,0) +
IF(X269="Weaponized",15,IF(X269="PoC Available",10,IF(X269="Public Exploit",5,0))) +
IF(G269="Production",10,IF(G269="DMZ",8,IF(G269="DR/Backup",5,0))) +
IF(Y269="N",10,0)
)</f>
        <v/>
      </c>
      <c r="AA269">
        <f>IF(OR(P269="Y",AND(K269&gt;=9.0,W269="Y")),"P0",IF(Z269&gt;=80,"P0",IF(Z269&gt;=60,"P1",IF(Z269&gt;=40,"P2",IF(Z269&gt;=20,"P3","P4")))))</f>
        <v/>
      </c>
      <c r="AD269">
        <f>IF(AB269&lt;&gt;"",AB269,AA269)</f>
        <v/>
      </c>
      <c r="AE269">
        <f>VLOOKUP(AD269,SLA_Definitions!$A$2:$B$6,2,FALSE)</f>
        <v/>
      </c>
      <c r="AF269">
        <f>IF(B269&lt;&gt;"",WORKDAY(B269,AE269),"")</f>
        <v/>
      </c>
      <c r="AG269">
        <f>IF(AF269&lt;&gt;"",NETWORKDAYS(TODAY(),AF269),"")</f>
        <v/>
      </c>
      <c r="AH269">
        <f>IF(AJ269="Complete","Complete",IF(AG269&lt;0,"Overdue",IF(AG269&lt;=AE269*0.2,"At Risk","On Track")))</f>
        <v/>
      </c>
      <c r="AK269">
        <f>IF(OR(AH269="Overdue",AND(AD269="P0",AG269&lt;1),AND(AD269="P1",AG269&lt;3)),"Y","N")</f>
        <v/>
      </c>
    </row>
    <row r="270">
      <c r="K270">
        <f>IF(J270="v4.0",L270,IF(J270="v3.1",M270,IF(J270="Both",L270,IF(AND(L270&lt;&gt;"",M270=""),L270,M270))))</f>
        <v/>
      </c>
      <c r="Z270">
        <f>MIN(100,
(K270*5) +
(U270*10) +
IF(P270="Y",40,0) +
IF(Q270="P",30,0) +
IF(V270="Y",25,0) +
IF(W270="Y",20,0) +
IF(X270="Weaponized",15,IF(X270="PoC Available",10,IF(X270="Public Exploit",5,0))) +
IF(G270="Production",10,IF(G270="DMZ",8,IF(G270="DR/Backup",5,0))) +
IF(Y270="N",10,0)
)</f>
        <v/>
      </c>
      <c r="AA270">
        <f>IF(OR(P270="Y",AND(K270&gt;=9.0,W270="Y")),"P0",IF(Z270&gt;=80,"P0",IF(Z270&gt;=60,"P1",IF(Z270&gt;=40,"P2",IF(Z270&gt;=20,"P3","P4")))))</f>
        <v/>
      </c>
      <c r="AD270">
        <f>IF(AB270&lt;&gt;"",AB270,AA270)</f>
        <v/>
      </c>
      <c r="AE270">
        <f>VLOOKUP(AD270,SLA_Definitions!$A$2:$B$6,2,FALSE)</f>
        <v/>
      </c>
      <c r="AF270">
        <f>IF(B270&lt;&gt;"",WORKDAY(B270,AE270),"")</f>
        <v/>
      </c>
      <c r="AG270">
        <f>IF(AF270&lt;&gt;"",NETWORKDAYS(TODAY(),AF270),"")</f>
        <v/>
      </c>
      <c r="AH270">
        <f>IF(AJ270="Complete","Complete",IF(AG270&lt;0,"Overdue",IF(AG270&lt;=AE270*0.2,"At Risk","On Track")))</f>
        <v/>
      </c>
      <c r="AK270">
        <f>IF(OR(AH270="Overdue",AND(AD270="P0",AG270&lt;1),AND(AD270="P1",AG270&lt;3)),"Y","N")</f>
        <v/>
      </c>
    </row>
    <row r="271">
      <c r="K271">
        <f>IF(J271="v4.0",L271,IF(J271="v3.1",M271,IF(J271="Both",L271,IF(AND(L271&lt;&gt;"",M271=""),L271,M271))))</f>
        <v/>
      </c>
      <c r="Z271">
        <f>MIN(100,
(K271*5) +
(U271*10) +
IF(P271="Y",40,0) +
IF(Q271="P",30,0) +
IF(V271="Y",25,0) +
IF(W271="Y",20,0) +
IF(X271="Weaponized",15,IF(X271="PoC Available",10,IF(X271="Public Exploit",5,0))) +
IF(G271="Production",10,IF(G271="DMZ",8,IF(G271="DR/Backup",5,0))) +
IF(Y271="N",10,0)
)</f>
        <v/>
      </c>
      <c r="AA271">
        <f>IF(OR(P271="Y",AND(K271&gt;=9.0,W271="Y")),"P0",IF(Z271&gt;=80,"P0",IF(Z271&gt;=60,"P1",IF(Z271&gt;=40,"P2",IF(Z271&gt;=20,"P3","P4")))))</f>
        <v/>
      </c>
      <c r="AD271">
        <f>IF(AB271&lt;&gt;"",AB271,AA271)</f>
        <v/>
      </c>
      <c r="AE271">
        <f>VLOOKUP(AD271,SLA_Definitions!$A$2:$B$6,2,FALSE)</f>
        <v/>
      </c>
      <c r="AF271">
        <f>IF(B271&lt;&gt;"",WORKDAY(B271,AE271),"")</f>
        <v/>
      </c>
      <c r="AG271">
        <f>IF(AF271&lt;&gt;"",NETWORKDAYS(TODAY(),AF271),"")</f>
        <v/>
      </c>
      <c r="AH271">
        <f>IF(AJ271="Complete","Complete",IF(AG271&lt;0,"Overdue",IF(AG271&lt;=AE271*0.2,"At Risk","On Track")))</f>
        <v/>
      </c>
      <c r="AK271">
        <f>IF(OR(AH271="Overdue",AND(AD271="P0",AG271&lt;1),AND(AD271="P1",AG271&lt;3)),"Y","N")</f>
        <v/>
      </c>
    </row>
    <row r="272">
      <c r="K272">
        <f>IF(J272="v4.0",L272,IF(J272="v3.1",M272,IF(J272="Both",L272,IF(AND(L272&lt;&gt;"",M272=""),L272,M272))))</f>
        <v/>
      </c>
      <c r="Z272">
        <f>MIN(100,
(K272*5) +
(U272*10) +
IF(P272="Y",40,0) +
IF(Q272="P",30,0) +
IF(V272="Y",25,0) +
IF(W272="Y",20,0) +
IF(X272="Weaponized",15,IF(X272="PoC Available",10,IF(X272="Public Exploit",5,0))) +
IF(G272="Production",10,IF(G272="DMZ",8,IF(G272="DR/Backup",5,0))) +
IF(Y272="N",10,0)
)</f>
        <v/>
      </c>
      <c r="AA272">
        <f>IF(OR(P272="Y",AND(K272&gt;=9.0,W272="Y")),"P0",IF(Z272&gt;=80,"P0",IF(Z272&gt;=60,"P1",IF(Z272&gt;=40,"P2",IF(Z272&gt;=20,"P3","P4")))))</f>
        <v/>
      </c>
      <c r="AD272">
        <f>IF(AB272&lt;&gt;"",AB272,AA272)</f>
        <v/>
      </c>
      <c r="AE272">
        <f>VLOOKUP(AD272,SLA_Definitions!$A$2:$B$6,2,FALSE)</f>
        <v/>
      </c>
      <c r="AF272">
        <f>IF(B272&lt;&gt;"",WORKDAY(B272,AE272),"")</f>
        <v/>
      </c>
      <c r="AG272">
        <f>IF(AF272&lt;&gt;"",NETWORKDAYS(TODAY(),AF272),"")</f>
        <v/>
      </c>
      <c r="AH272">
        <f>IF(AJ272="Complete","Complete",IF(AG272&lt;0,"Overdue",IF(AG272&lt;=AE272*0.2,"At Risk","On Track")))</f>
        <v/>
      </c>
      <c r="AK272">
        <f>IF(OR(AH272="Overdue",AND(AD272="P0",AG272&lt;1),AND(AD272="P1",AG272&lt;3)),"Y","N")</f>
        <v/>
      </c>
    </row>
    <row r="273">
      <c r="K273">
        <f>IF(J273="v4.0",L273,IF(J273="v3.1",M273,IF(J273="Both",L273,IF(AND(L273&lt;&gt;"",M273=""),L273,M273))))</f>
        <v/>
      </c>
      <c r="Z273">
        <f>MIN(100,
(K273*5) +
(U273*10) +
IF(P273="Y",40,0) +
IF(Q273="P",30,0) +
IF(V273="Y",25,0) +
IF(W273="Y",20,0) +
IF(X273="Weaponized",15,IF(X273="PoC Available",10,IF(X273="Public Exploit",5,0))) +
IF(G273="Production",10,IF(G273="DMZ",8,IF(G273="DR/Backup",5,0))) +
IF(Y273="N",10,0)
)</f>
        <v/>
      </c>
      <c r="AA273">
        <f>IF(OR(P273="Y",AND(K273&gt;=9.0,W273="Y")),"P0",IF(Z273&gt;=80,"P0",IF(Z273&gt;=60,"P1",IF(Z273&gt;=40,"P2",IF(Z273&gt;=20,"P3","P4")))))</f>
        <v/>
      </c>
      <c r="AD273">
        <f>IF(AB273&lt;&gt;"",AB273,AA273)</f>
        <v/>
      </c>
      <c r="AE273">
        <f>VLOOKUP(AD273,SLA_Definitions!$A$2:$B$6,2,FALSE)</f>
        <v/>
      </c>
      <c r="AF273">
        <f>IF(B273&lt;&gt;"",WORKDAY(B273,AE273),"")</f>
        <v/>
      </c>
      <c r="AG273">
        <f>IF(AF273&lt;&gt;"",NETWORKDAYS(TODAY(),AF273),"")</f>
        <v/>
      </c>
      <c r="AH273">
        <f>IF(AJ273="Complete","Complete",IF(AG273&lt;0,"Overdue",IF(AG273&lt;=AE273*0.2,"At Risk","On Track")))</f>
        <v/>
      </c>
      <c r="AK273">
        <f>IF(OR(AH273="Overdue",AND(AD273="P0",AG273&lt;1),AND(AD273="P1",AG273&lt;3)),"Y","N")</f>
        <v/>
      </c>
    </row>
    <row r="274">
      <c r="K274">
        <f>IF(J274="v4.0",L274,IF(J274="v3.1",M274,IF(J274="Both",L274,IF(AND(L274&lt;&gt;"",M274=""),L274,M274))))</f>
        <v/>
      </c>
      <c r="Z274">
        <f>MIN(100,
(K274*5) +
(U274*10) +
IF(P274="Y",40,0) +
IF(Q274="P",30,0) +
IF(V274="Y",25,0) +
IF(W274="Y",20,0) +
IF(X274="Weaponized",15,IF(X274="PoC Available",10,IF(X274="Public Exploit",5,0))) +
IF(G274="Production",10,IF(G274="DMZ",8,IF(G274="DR/Backup",5,0))) +
IF(Y274="N",10,0)
)</f>
        <v/>
      </c>
      <c r="AA274">
        <f>IF(OR(P274="Y",AND(K274&gt;=9.0,W274="Y")),"P0",IF(Z274&gt;=80,"P0",IF(Z274&gt;=60,"P1",IF(Z274&gt;=40,"P2",IF(Z274&gt;=20,"P3","P4")))))</f>
        <v/>
      </c>
      <c r="AD274">
        <f>IF(AB274&lt;&gt;"",AB274,AA274)</f>
        <v/>
      </c>
      <c r="AE274">
        <f>VLOOKUP(AD274,SLA_Definitions!$A$2:$B$6,2,FALSE)</f>
        <v/>
      </c>
      <c r="AF274">
        <f>IF(B274&lt;&gt;"",WORKDAY(B274,AE274),"")</f>
        <v/>
      </c>
      <c r="AG274">
        <f>IF(AF274&lt;&gt;"",NETWORKDAYS(TODAY(),AF274),"")</f>
        <v/>
      </c>
      <c r="AH274">
        <f>IF(AJ274="Complete","Complete",IF(AG274&lt;0,"Overdue",IF(AG274&lt;=AE274*0.2,"At Risk","On Track")))</f>
        <v/>
      </c>
      <c r="AK274">
        <f>IF(OR(AH274="Overdue",AND(AD274="P0",AG274&lt;1),AND(AD274="P1",AG274&lt;3)),"Y","N")</f>
        <v/>
      </c>
    </row>
    <row r="275">
      <c r="K275">
        <f>IF(J275="v4.0",L275,IF(J275="v3.1",M275,IF(J275="Both",L275,IF(AND(L275&lt;&gt;"",M275=""),L275,M275))))</f>
        <v/>
      </c>
      <c r="Z275">
        <f>MIN(100,
(K275*5) +
(U275*10) +
IF(P275="Y",40,0) +
IF(Q275="P",30,0) +
IF(V275="Y",25,0) +
IF(W275="Y",20,0) +
IF(X275="Weaponized",15,IF(X275="PoC Available",10,IF(X275="Public Exploit",5,0))) +
IF(G275="Production",10,IF(G275="DMZ",8,IF(G275="DR/Backup",5,0))) +
IF(Y275="N",10,0)
)</f>
        <v/>
      </c>
      <c r="AA275">
        <f>IF(OR(P275="Y",AND(K275&gt;=9.0,W275="Y")),"P0",IF(Z275&gt;=80,"P0",IF(Z275&gt;=60,"P1",IF(Z275&gt;=40,"P2",IF(Z275&gt;=20,"P3","P4")))))</f>
        <v/>
      </c>
      <c r="AD275">
        <f>IF(AB275&lt;&gt;"",AB275,AA275)</f>
        <v/>
      </c>
      <c r="AE275">
        <f>VLOOKUP(AD275,SLA_Definitions!$A$2:$B$6,2,FALSE)</f>
        <v/>
      </c>
      <c r="AF275">
        <f>IF(B275&lt;&gt;"",WORKDAY(B275,AE275),"")</f>
        <v/>
      </c>
      <c r="AG275">
        <f>IF(AF275&lt;&gt;"",NETWORKDAYS(TODAY(),AF275),"")</f>
        <v/>
      </c>
      <c r="AH275">
        <f>IF(AJ275="Complete","Complete",IF(AG275&lt;0,"Overdue",IF(AG275&lt;=AE275*0.2,"At Risk","On Track")))</f>
        <v/>
      </c>
      <c r="AK275">
        <f>IF(OR(AH275="Overdue",AND(AD275="P0",AG275&lt;1),AND(AD275="P1",AG275&lt;3)),"Y","N")</f>
        <v/>
      </c>
    </row>
    <row r="276">
      <c r="K276">
        <f>IF(J276="v4.0",L276,IF(J276="v3.1",M276,IF(J276="Both",L276,IF(AND(L276&lt;&gt;"",M276=""),L276,M276))))</f>
        <v/>
      </c>
      <c r="Z276">
        <f>MIN(100,
(K276*5) +
(U276*10) +
IF(P276="Y",40,0) +
IF(Q276="P",30,0) +
IF(V276="Y",25,0) +
IF(W276="Y",20,0) +
IF(X276="Weaponized",15,IF(X276="PoC Available",10,IF(X276="Public Exploit",5,0))) +
IF(G276="Production",10,IF(G276="DMZ",8,IF(G276="DR/Backup",5,0))) +
IF(Y276="N",10,0)
)</f>
        <v/>
      </c>
      <c r="AA276">
        <f>IF(OR(P276="Y",AND(K276&gt;=9.0,W276="Y")),"P0",IF(Z276&gt;=80,"P0",IF(Z276&gt;=60,"P1",IF(Z276&gt;=40,"P2",IF(Z276&gt;=20,"P3","P4")))))</f>
        <v/>
      </c>
      <c r="AD276">
        <f>IF(AB276&lt;&gt;"",AB276,AA276)</f>
        <v/>
      </c>
      <c r="AE276">
        <f>VLOOKUP(AD276,SLA_Definitions!$A$2:$B$6,2,FALSE)</f>
        <v/>
      </c>
      <c r="AF276">
        <f>IF(B276&lt;&gt;"",WORKDAY(B276,AE276),"")</f>
        <v/>
      </c>
      <c r="AG276">
        <f>IF(AF276&lt;&gt;"",NETWORKDAYS(TODAY(),AF276),"")</f>
        <v/>
      </c>
      <c r="AH276">
        <f>IF(AJ276="Complete","Complete",IF(AG276&lt;0,"Overdue",IF(AG276&lt;=AE276*0.2,"At Risk","On Track")))</f>
        <v/>
      </c>
      <c r="AK276">
        <f>IF(OR(AH276="Overdue",AND(AD276="P0",AG276&lt;1),AND(AD276="P1",AG276&lt;3)),"Y","N")</f>
        <v/>
      </c>
    </row>
    <row r="277">
      <c r="K277">
        <f>IF(J277="v4.0",L277,IF(J277="v3.1",M277,IF(J277="Both",L277,IF(AND(L277&lt;&gt;"",M277=""),L277,M277))))</f>
        <v/>
      </c>
      <c r="Z277">
        <f>MIN(100,
(K277*5) +
(U277*10) +
IF(P277="Y",40,0) +
IF(Q277="P",30,0) +
IF(V277="Y",25,0) +
IF(W277="Y",20,0) +
IF(X277="Weaponized",15,IF(X277="PoC Available",10,IF(X277="Public Exploit",5,0))) +
IF(G277="Production",10,IF(G277="DMZ",8,IF(G277="DR/Backup",5,0))) +
IF(Y277="N",10,0)
)</f>
        <v/>
      </c>
      <c r="AA277">
        <f>IF(OR(P277="Y",AND(K277&gt;=9.0,W277="Y")),"P0",IF(Z277&gt;=80,"P0",IF(Z277&gt;=60,"P1",IF(Z277&gt;=40,"P2",IF(Z277&gt;=20,"P3","P4")))))</f>
        <v/>
      </c>
      <c r="AD277">
        <f>IF(AB277&lt;&gt;"",AB277,AA277)</f>
        <v/>
      </c>
      <c r="AE277">
        <f>VLOOKUP(AD277,SLA_Definitions!$A$2:$B$6,2,FALSE)</f>
        <v/>
      </c>
      <c r="AF277">
        <f>IF(B277&lt;&gt;"",WORKDAY(B277,AE277),"")</f>
        <v/>
      </c>
      <c r="AG277">
        <f>IF(AF277&lt;&gt;"",NETWORKDAYS(TODAY(),AF277),"")</f>
        <v/>
      </c>
      <c r="AH277">
        <f>IF(AJ277="Complete","Complete",IF(AG277&lt;0,"Overdue",IF(AG277&lt;=AE277*0.2,"At Risk","On Track")))</f>
        <v/>
      </c>
      <c r="AK277">
        <f>IF(OR(AH277="Overdue",AND(AD277="P0",AG277&lt;1),AND(AD277="P1",AG277&lt;3)),"Y","N")</f>
        <v/>
      </c>
    </row>
    <row r="278">
      <c r="K278">
        <f>IF(J278="v4.0",L278,IF(J278="v3.1",M278,IF(J278="Both",L278,IF(AND(L278&lt;&gt;"",M278=""),L278,M278))))</f>
        <v/>
      </c>
      <c r="Z278">
        <f>MIN(100,
(K278*5) +
(U278*10) +
IF(P278="Y",40,0) +
IF(Q278="P",30,0) +
IF(V278="Y",25,0) +
IF(W278="Y",20,0) +
IF(X278="Weaponized",15,IF(X278="PoC Available",10,IF(X278="Public Exploit",5,0))) +
IF(G278="Production",10,IF(G278="DMZ",8,IF(G278="DR/Backup",5,0))) +
IF(Y278="N",10,0)
)</f>
        <v/>
      </c>
      <c r="AA278">
        <f>IF(OR(P278="Y",AND(K278&gt;=9.0,W278="Y")),"P0",IF(Z278&gt;=80,"P0",IF(Z278&gt;=60,"P1",IF(Z278&gt;=40,"P2",IF(Z278&gt;=20,"P3","P4")))))</f>
        <v/>
      </c>
      <c r="AD278">
        <f>IF(AB278&lt;&gt;"",AB278,AA278)</f>
        <v/>
      </c>
      <c r="AE278">
        <f>VLOOKUP(AD278,SLA_Definitions!$A$2:$B$6,2,FALSE)</f>
        <v/>
      </c>
      <c r="AF278">
        <f>IF(B278&lt;&gt;"",WORKDAY(B278,AE278),"")</f>
        <v/>
      </c>
      <c r="AG278">
        <f>IF(AF278&lt;&gt;"",NETWORKDAYS(TODAY(),AF278),"")</f>
        <v/>
      </c>
      <c r="AH278">
        <f>IF(AJ278="Complete","Complete",IF(AG278&lt;0,"Overdue",IF(AG278&lt;=AE278*0.2,"At Risk","On Track")))</f>
        <v/>
      </c>
      <c r="AK278">
        <f>IF(OR(AH278="Overdue",AND(AD278="P0",AG278&lt;1),AND(AD278="P1",AG278&lt;3)),"Y","N")</f>
        <v/>
      </c>
    </row>
    <row r="279">
      <c r="K279">
        <f>IF(J279="v4.0",L279,IF(J279="v3.1",M279,IF(J279="Both",L279,IF(AND(L279&lt;&gt;"",M279=""),L279,M279))))</f>
        <v/>
      </c>
      <c r="Z279">
        <f>MIN(100,
(K279*5) +
(U279*10) +
IF(P279="Y",40,0) +
IF(Q279="P",30,0) +
IF(V279="Y",25,0) +
IF(W279="Y",20,0) +
IF(X279="Weaponized",15,IF(X279="PoC Available",10,IF(X279="Public Exploit",5,0))) +
IF(G279="Production",10,IF(G279="DMZ",8,IF(G279="DR/Backup",5,0))) +
IF(Y279="N",10,0)
)</f>
        <v/>
      </c>
      <c r="AA279">
        <f>IF(OR(P279="Y",AND(K279&gt;=9.0,W279="Y")),"P0",IF(Z279&gt;=80,"P0",IF(Z279&gt;=60,"P1",IF(Z279&gt;=40,"P2",IF(Z279&gt;=20,"P3","P4")))))</f>
        <v/>
      </c>
      <c r="AD279">
        <f>IF(AB279&lt;&gt;"",AB279,AA279)</f>
        <v/>
      </c>
      <c r="AE279">
        <f>VLOOKUP(AD279,SLA_Definitions!$A$2:$B$6,2,FALSE)</f>
        <v/>
      </c>
      <c r="AF279">
        <f>IF(B279&lt;&gt;"",WORKDAY(B279,AE279),"")</f>
        <v/>
      </c>
      <c r="AG279">
        <f>IF(AF279&lt;&gt;"",NETWORKDAYS(TODAY(),AF279),"")</f>
        <v/>
      </c>
      <c r="AH279">
        <f>IF(AJ279="Complete","Complete",IF(AG279&lt;0,"Overdue",IF(AG279&lt;=AE279*0.2,"At Risk","On Track")))</f>
        <v/>
      </c>
      <c r="AK279">
        <f>IF(OR(AH279="Overdue",AND(AD279="P0",AG279&lt;1),AND(AD279="P1",AG279&lt;3)),"Y","N")</f>
        <v/>
      </c>
    </row>
    <row r="280">
      <c r="K280">
        <f>IF(J280="v4.0",L280,IF(J280="v3.1",M280,IF(J280="Both",L280,IF(AND(L280&lt;&gt;"",M280=""),L280,M280))))</f>
        <v/>
      </c>
      <c r="Z280">
        <f>MIN(100,
(K280*5) +
(U280*10) +
IF(P280="Y",40,0) +
IF(Q280="P",30,0) +
IF(V280="Y",25,0) +
IF(W280="Y",20,0) +
IF(X280="Weaponized",15,IF(X280="PoC Available",10,IF(X280="Public Exploit",5,0))) +
IF(G280="Production",10,IF(G280="DMZ",8,IF(G280="DR/Backup",5,0))) +
IF(Y280="N",10,0)
)</f>
        <v/>
      </c>
      <c r="AA280">
        <f>IF(OR(P280="Y",AND(K280&gt;=9.0,W280="Y")),"P0",IF(Z280&gt;=80,"P0",IF(Z280&gt;=60,"P1",IF(Z280&gt;=40,"P2",IF(Z280&gt;=20,"P3","P4")))))</f>
        <v/>
      </c>
      <c r="AD280">
        <f>IF(AB280&lt;&gt;"",AB280,AA280)</f>
        <v/>
      </c>
      <c r="AE280">
        <f>VLOOKUP(AD280,SLA_Definitions!$A$2:$B$6,2,FALSE)</f>
        <v/>
      </c>
      <c r="AF280">
        <f>IF(B280&lt;&gt;"",WORKDAY(B280,AE280),"")</f>
        <v/>
      </c>
      <c r="AG280">
        <f>IF(AF280&lt;&gt;"",NETWORKDAYS(TODAY(),AF280),"")</f>
        <v/>
      </c>
      <c r="AH280">
        <f>IF(AJ280="Complete","Complete",IF(AG280&lt;0,"Overdue",IF(AG280&lt;=AE280*0.2,"At Risk","On Track")))</f>
        <v/>
      </c>
      <c r="AK280">
        <f>IF(OR(AH280="Overdue",AND(AD280="P0",AG280&lt;1),AND(AD280="P1",AG280&lt;3)),"Y","N")</f>
        <v/>
      </c>
    </row>
    <row r="281">
      <c r="K281">
        <f>IF(J281="v4.0",L281,IF(J281="v3.1",M281,IF(J281="Both",L281,IF(AND(L281&lt;&gt;"",M281=""),L281,M281))))</f>
        <v/>
      </c>
      <c r="Z281">
        <f>MIN(100,
(K281*5) +
(U281*10) +
IF(P281="Y",40,0) +
IF(Q281="P",30,0) +
IF(V281="Y",25,0) +
IF(W281="Y",20,0) +
IF(X281="Weaponized",15,IF(X281="PoC Available",10,IF(X281="Public Exploit",5,0))) +
IF(G281="Production",10,IF(G281="DMZ",8,IF(G281="DR/Backup",5,0))) +
IF(Y281="N",10,0)
)</f>
        <v/>
      </c>
      <c r="AA281">
        <f>IF(OR(P281="Y",AND(K281&gt;=9.0,W281="Y")),"P0",IF(Z281&gt;=80,"P0",IF(Z281&gt;=60,"P1",IF(Z281&gt;=40,"P2",IF(Z281&gt;=20,"P3","P4")))))</f>
        <v/>
      </c>
      <c r="AD281">
        <f>IF(AB281&lt;&gt;"",AB281,AA281)</f>
        <v/>
      </c>
      <c r="AE281">
        <f>VLOOKUP(AD281,SLA_Definitions!$A$2:$B$6,2,FALSE)</f>
        <v/>
      </c>
      <c r="AF281">
        <f>IF(B281&lt;&gt;"",WORKDAY(B281,AE281),"")</f>
        <v/>
      </c>
      <c r="AG281">
        <f>IF(AF281&lt;&gt;"",NETWORKDAYS(TODAY(),AF281),"")</f>
        <v/>
      </c>
      <c r="AH281">
        <f>IF(AJ281="Complete","Complete",IF(AG281&lt;0,"Overdue",IF(AG281&lt;=AE281*0.2,"At Risk","On Track")))</f>
        <v/>
      </c>
      <c r="AK281">
        <f>IF(OR(AH281="Overdue",AND(AD281="P0",AG281&lt;1),AND(AD281="P1",AG281&lt;3)),"Y","N")</f>
        <v/>
      </c>
    </row>
    <row r="282">
      <c r="K282">
        <f>IF(J282="v4.0",L282,IF(J282="v3.1",M282,IF(J282="Both",L282,IF(AND(L282&lt;&gt;"",M282=""),L282,M282))))</f>
        <v/>
      </c>
      <c r="Z282">
        <f>MIN(100,
(K282*5) +
(U282*10) +
IF(P282="Y",40,0) +
IF(Q282="P",30,0) +
IF(V282="Y",25,0) +
IF(W282="Y",20,0) +
IF(X282="Weaponized",15,IF(X282="PoC Available",10,IF(X282="Public Exploit",5,0))) +
IF(G282="Production",10,IF(G282="DMZ",8,IF(G282="DR/Backup",5,0))) +
IF(Y282="N",10,0)
)</f>
        <v/>
      </c>
      <c r="AA282">
        <f>IF(OR(P282="Y",AND(K282&gt;=9.0,W282="Y")),"P0",IF(Z282&gt;=80,"P0",IF(Z282&gt;=60,"P1",IF(Z282&gt;=40,"P2",IF(Z282&gt;=20,"P3","P4")))))</f>
        <v/>
      </c>
      <c r="AD282">
        <f>IF(AB282&lt;&gt;"",AB282,AA282)</f>
        <v/>
      </c>
      <c r="AE282">
        <f>VLOOKUP(AD282,SLA_Definitions!$A$2:$B$6,2,FALSE)</f>
        <v/>
      </c>
      <c r="AF282">
        <f>IF(B282&lt;&gt;"",WORKDAY(B282,AE282),"")</f>
        <v/>
      </c>
      <c r="AG282">
        <f>IF(AF282&lt;&gt;"",NETWORKDAYS(TODAY(),AF282),"")</f>
        <v/>
      </c>
      <c r="AH282">
        <f>IF(AJ282="Complete","Complete",IF(AG282&lt;0,"Overdue",IF(AG282&lt;=AE282*0.2,"At Risk","On Track")))</f>
        <v/>
      </c>
      <c r="AK282">
        <f>IF(OR(AH282="Overdue",AND(AD282="P0",AG282&lt;1),AND(AD282="P1",AG282&lt;3)),"Y","N")</f>
        <v/>
      </c>
    </row>
    <row r="283">
      <c r="K283">
        <f>IF(J283="v4.0",L283,IF(J283="v3.1",M283,IF(J283="Both",L283,IF(AND(L283&lt;&gt;"",M283=""),L283,M283))))</f>
        <v/>
      </c>
      <c r="Z283">
        <f>MIN(100,
(K283*5) +
(U283*10) +
IF(P283="Y",40,0) +
IF(Q283="P",30,0) +
IF(V283="Y",25,0) +
IF(W283="Y",20,0) +
IF(X283="Weaponized",15,IF(X283="PoC Available",10,IF(X283="Public Exploit",5,0))) +
IF(G283="Production",10,IF(G283="DMZ",8,IF(G283="DR/Backup",5,0))) +
IF(Y283="N",10,0)
)</f>
        <v/>
      </c>
      <c r="AA283">
        <f>IF(OR(P283="Y",AND(K283&gt;=9.0,W283="Y")),"P0",IF(Z283&gt;=80,"P0",IF(Z283&gt;=60,"P1",IF(Z283&gt;=40,"P2",IF(Z283&gt;=20,"P3","P4")))))</f>
        <v/>
      </c>
      <c r="AD283">
        <f>IF(AB283&lt;&gt;"",AB283,AA283)</f>
        <v/>
      </c>
      <c r="AE283">
        <f>VLOOKUP(AD283,SLA_Definitions!$A$2:$B$6,2,FALSE)</f>
        <v/>
      </c>
      <c r="AF283">
        <f>IF(B283&lt;&gt;"",WORKDAY(B283,AE283),"")</f>
        <v/>
      </c>
      <c r="AG283">
        <f>IF(AF283&lt;&gt;"",NETWORKDAYS(TODAY(),AF283),"")</f>
        <v/>
      </c>
      <c r="AH283">
        <f>IF(AJ283="Complete","Complete",IF(AG283&lt;0,"Overdue",IF(AG283&lt;=AE283*0.2,"At Risk","On Track")))</f>
        <v/>
      </c>
      <c r="AK283">
        <f>IF(OR(AH283="Overdue",AND(AD283="P0",AG283&lt;1),AND(AD283="P1",AG283&lt;3)),"Y","N")</f>
        <v/>
      </c>
    </row>
    <row r="284">
      <c r="K284">
        <f>IF(J284="v4.0",L284,IF(J284="v3.1",M284,IF(J284="Both",L284,IF(AND(L284&lt;&gt;"",M284=""),L284,M284))))</f>
        <v/>
      </c>
      <c r="Z284">
        <f>MIN(100,
(K284*5) +
(U284*10) +
IF(P284="Y",40,0) +
IF(Q284="P",30,0) +
IF(V284="Y",25,0) +
IF(W284="Y",20,0) +
IF(X284="Weaponized",15,IF(X284="PoC Available",10,IF(X284="Public Exploit",5,0))) +
IF(G284="Production",10,IF(G284="DMZ",8,IF(G284="DR/Backup",5,0))) +
IF(Y284="N",10,0)
)</f>
        <v/>
      </c>
      <c r="AA284">
        <f>IF(OR(P284="Y",AND(K284&gt;=9.0,W284="Y")),"P0",IF(Z284&gt;=80,"P0",IF(Z284&gt;=60,"P1",IF(Z284&gt;=40,"P2",IF(Z284&gt;=20,"P3","P4")))))</f>
        <v/>
      </c>
      <c r="AD284">
        <f>IF(AB284&lt;&gt;"",AB284,AA284)</f>
        <v/>
      </c>
      <c r="AE284">
        <f>VLOOKUP(AD284,SLA_Definitions!$A$2:$B$6,2,FALSE)</f>
        <v/>
      </c>
      <c r="AF284">
        <f>IF(B284&lt;&gt;"",WORKDAY(B284,AE284),"")</f>
        <v/>
      </c>
      <c r="AG284">
        <f>IF(AF284&lt;&gt;"",NETWORKDAYS(TODAY(),AF284),"")</f>
        <v/>
      </c>
      <c r="AH284">
        <f>IF(AJ284="Complete","Complete",IF(AG284&lt;0,"Overdue",IF(AG284&lt;=AE284*0.2,"At Risk","On Track")))</f>
        <v/>
      </c>
      <c r="AK284">
        <f>IF(OR(AH284="Overdue",AND(AD284="P0",AG284&lt;1),AND(AD284="P1",AG284&lt;3)),"Y","N")</f>
        <v/>
      </c>
    </row>
    <row r="285">
      <c r="K285">
        <f>IF(J285="v4.0",L285,IF(J285="v3.1",M285,IF(J285="Both",L285,IF(AND(L285&lt;&gt;"",M285=""),L285,M285))))</f>
        <v/>
      </c>
      <c r="Z285">
        <f>MIN(100,
(K285*5) +
(U285*10) +
IF(P285="Y",40,0) +
IF(Q285="P",30,0) +
IF(V285="Y",25,0) +
IF(W285="Y",20,0) +
IF(X285="Weaponized",15,IF(X285="PoC Available",10,IF(X285="Public Exploit",5,0))) +
IF(G285="Production",10,IF(G285="DMZ",8,IF(G285="DR/Backup",5,0))) +
IF(Y285="N",10,0)
)</f>
        <v/>
      </c>
      <c r="AA285">
        <f>IF(OR(P285="Y",AND(K285&gt;=9.0,W285="Y")),"P0",IF(Z285&gt;=80,"P0",IF(Z285&gt;=60,"P1",IF(Z285&gt;=40,"P2",IF(Z285&gt;=20,"P3","P4")))))</f>
        <v/>
      </c>
      <c r="AD285">
        <f>IF(AB285&lt;&gt;"",AB285,AA285)</f>
        <v/>
      </c>
      <c r="AE285">
        <f>VLOOKUP(AD285,SLA_Definitions!$A$2:$B$6,2,FALSE)</f>
        <v/>
      </c>
      <c r="AF285">
        <f>IF(B285&lt;&gt;"",WORKDAY(B285,AE285),"")</f>
        <v/>
      </c>
      <c r="AG285">
        <f>IF(AF285&lt;&gt;"",NETWORKDAYS(TODAY(),AF285),"")</f>
        <v/>
      </c>
      <c r="AH285">
        <f>IF(AJ285="Complete","Complete",IF(AG285&lt;0,"Overdue",IF(AG285&lt;=AE285*0.2,"At Risk","On Track")))</f>
        <v/>
      </c>
      <c r="AK285">
        <f>IF(OR(AH285="Overdue",AND(AD285="P0",AG285&lt;1),AND(AD285="P1",AG285&lt;3)),"Y","N")</f>
        <v/>
      </c>
    </row>
    <row r="286">
      <c r="K286">
        <f>IF(J286="v4.0",L286,IF(J286="v3.1",M286,IF(J286="Both",L286,IF(AND(L286&lt;&gt;"",M286=""),L286,M286))))</f>
        <v/>
      </c>
      <c r="Z286">
        <f>MIN(100,
(K286*5) +
(U286*10) +
IF(P286="Y",40,0) +
IF(Q286="P",30,0) +
IF(V286="Y",25,0) +
IF(W286="Y",20,0) +
IF(X286="Weaponized",15,IF(X286="PoC Available",10,IF(X286="Public Exploit",5,0))) +
IF(G286="Production",10,IF(G286="DMZ",8,IF(G286="DR/Backup",5,0))) +
IF(Y286="N",10,0)
)</f>
        <v/>
      </c>
      <c r="AA286">
        <f>IF(OR(P286="Y",AND(K286&gt;=9.0,W286="Y")),"P0",IF(Z286&gt;=80,"P0",IF(Z286&gt;=60,"P1",IF(Z286&gt;=40,"P2",IF(Z286&gt;=20,"P3","P4")))))</f>
        <v/>
      </c>
      <c r="AD286">
        <f>IF(AB286&lt;&gt;"",AB286,AA286)</f>
        <v/>
      </c>
      <c r="AE286">
        <f>VLOOKUP(AD286,SLA_Definitions!$A$2:$B$6,2,FALSE)</f>
        <v/>
      </c>
      <c r="AF286">
        <f>IF(B286&lt;&gt;"",WORKDAY(B286,AE286),"")</f>
        <v/>
      </c>
      <c r="AG286">
        <f>IF(AF286&lt;&gt;"",NETWORKDAYS(TODAY(),AF286),"")</f>
        <v/>
      </c>
      <c r="AH286">
        <f>IF(AJ286="Complete","Complete",IF(AG286&lt;0,"Overdue",IF(AG286&lt;=AE286*0.2,"At Risk","On Track")))</f>
        <v/>
      </c>
      <c r="AK286">
        <f>IF(OR(AH286="Overdue",AND(AD286="P0",AG286&lt;1),AND(AD286="P1",AG286&lt;3)),"Y","N")</f>
        <v/>
      </c>
    </row>
    <row r="287">
      <c r="K287">
        <f>IF(J287="v4.0",L287,IF(J287="v3.1",M287,IF(J287="Both",L287,IF(AND(L287&lt;&gt;"",M287=""),L287,M287))))</f>
        <v/>
      </c>
      <c r="Z287">
        <f>MIN(100,
(K287*5) +
(U287*10) +
IF(P287="Y",40,0) +
IF(Q287="P",30,0) +
IF(V287="Y",25,0) +
IF(W287="Y",20,0) +
IF(X287="Weaponized",15,IF(X287="PoC Available",10,IF(X287="Public Exploit",5,0))) +
IF(G287="Production",10,IF(G287="DMZ",8,IF(G287="DR/Backup",5,0))) +
IF(Y287="N",10,0)
)</f>
        <v/>
      </c>
      <c r="AA287">
        <f>IF(OR(P287="Y",AND(K287&gt;=9.0,W287="Y")),"P0",IF(Z287&gt;=80,"P0",IF(Z287&gt;=60,"P1",IF(Z287&gt;=40,"P2",IF(Z287&gt;=20,"P3","P4")))))</f>
        <v/>
      </c>
      <c r="AD287">
        <f>IF(AB287&lt;&gt;"",AB287,AA287)</f>
        <v/>
      </c>
      <c r="AE287">
        <f>VLOOKUP(AD287,SLA_Definitions!$A$2:$B$6,2,FALSE)</f>
        <v/>
      </c>
      <c r="AF287">
        <f>IF(B287&lt;&gt;"",WORKDAY(B287,AE287),"")</f>
        <v/>
      </c>
      <c r="AG287">
        <f>IF(AF287&lt;&gt;"",NETWORKDAYS(TODAY(),AF287),"")</f>
        <v/>
      </c>
      <c r="AH287">
        <f>IF(AJ287="Complete","Complete",IF(AG287&lt;0,"Overdue",IF(AG287&lt;=AE287*0.2,"At Risk","On Track")))</f>
        <v/>
      </c>
      <c r="AK287">
        <f>IF(OR(AH287="Overdue",AND(AD287="P0",AG287&lt;1),AND(AD287="P1",AG287&lt;3)),"Y","N")</f>
        <v/>
      </c>
    </row>
    <row r="288">
      <c r="K288">
        <f>IF(J288="v4.0",L288,IF(J288="v3.1",M288,IF(J288="Both",L288,IF(AND(L288&lt;&gt;"",M288=""),L288,M288))))</f>
        <v/>
      </c>
      <c r="Z288">
        <f>MIN(100,
(K288*5) +
(U288*10) +
IF(P288="Y",40,0) +
IF(Q288="P",30,0) +
IF(V288="Y",25,0) +
IF(W288="Y",20,0) +
IF(X288="Weaponized",15,IF(X288="PoC Available",10,IF(X288="Public Exploit",5,0))) +
IF(G288="Production",10,IF(G288="DMZ",8,IF(G288="DR/Backup",5,0))) +
IF(Y288="N",10,0)
)</f>
        <v/>
      </c>
      <c r="AA288">
        <f>IF(OR(P288="Y",AND(K288&gt;=9.0,W288="Y")),"P0",IF(Z288&gt;=80,"P0",IF(Z288&gt;=60,"P1",IF(Z288&gt;=40,"P2",IF(Z288&gt;=20,"P3","P4")))))</f>
        <v/>
      </c>
      <c r="AD288">
        <f>IF(AB288&lt;&gt;"",AB288,AA288)</f>
        <v/>
      </c>
      <c r="AE288">
        <f>VLOOKUP(AD288,SLA_Definitions!$A$2:$B$6,2,FALSE)</f>
        <v/>
      </c>
      <c r="AF288">
        <f>IF(B288&lt;&gt;"",WORKDAY(B288,AE288),"")</f>
        <v/>
      </c>
      <c r="AG288">
        <f>IF(AF288&lt;&gt;"",NETWORKDAYS(TODAY(),AF288),"")</f>
        <v/>
      </c>
      <c r="AH288">
        <f>IF(AJ288="Complete","Complete",IF(AG288&lt;0,"Overdue",IF(AG288&lt;=AE288*0.2,"At Risk","On Track")))</f>
        <v/>
      </c>
      <c r="AK288">
        <f>IF(OR(AH288="Overdue",AND(AD288="P0",AG288&lt;1),AND(AD288="P1",AG288&lt;3)),"Y","N")</f>
        <v/>
      </c>
    </row>
    <row r="289">
      <c r="K289">
        <f>IF(J289="v4.0",L289,IF(J289="v3.1",M289,IF(J289="Both",L289,IF(AND(L289&lt;&gt;"",M289=""),L289,M289))))</f>
        <v/>
      </c>
      <c r="Z289">
        <f>MIN(100,
(K289*5) +
(U289*10) +
IF(P289="Y",40,0) +
IF(Q289="P",30,0) +
IF(V289="Y",25,0) +
IF(W289="Y",20,0) +
IF(X289="Weaponized",15,IF(X289="PoC Available",10,IF(X289="Public Exploit",5,0))) +
IF(G289="Production",10,IF(G289="DMZ",8,IF(G289="DR/Backup",5,0))) +
IF(Y289="N",10,0)
)</f>
        <v/>
      </c>
      <c r="AA289">
        <f>IF(OR(P289="Y",AND(K289&gt;=9.0,W289="Y")),"P0",IF(Z289&gt;=80,"P0",IF(Z289&gt;=60,"P1",IF(Z289&gt;=40,"P2",IF(Z289&gt;=20,"P3","P4")))))</f>
        <v/>
      </c>
      <c r="AD289">
        <f>IF(AB289&lt;&gt;"",AB289,AA289)</f>
        <v/>
      </c>
      <c r="AE289">
        <f>VLOOKUP(AD289,SLA_Definitions!$A$2:$B$6,2,FALSE)</f>
        <v/>
      </c>
      <c r="AF289">
        <f>IF(B289&lt;&gt;"",WORKDAY(B289,AE289),"")</f>
        <v/>
      </c>
      <c r="AG289">
        <f>IF(AF289&lt;&gt;"",NETWORKDAYS(TODAY(),AF289),"")</f>
        <v/>
      </c>
      <c r="AH289">
        <f>IF(AJ289="Complete","Complete",IF(AG289&lt;0,"Overdue",IF(AG289&lt;=AE289*0.2,"At Risk","On Track")))</f>
        <v/>
      </c>
      <c r="AK289">
        <f>IF(OR(AH289="Overdue",AND(AD289="P0",AG289&lt;1),AND(AD289="P1",AG289&lt;3)),"Y","N")</f>
        <v/>
      </c>
    </row>
    <row r="290">
      <c r="K290">
        <f>IF(J290="v4.0",L290,IF(J290="v3.1",M290,IF(J290="Both",L290,IF(AND(L290&lt;&gt;"",M290=""),L290,M290))))</f>
        <v/>
      </c>
      <c r="Z290">
        <f>MIN(100,
(K290*5) +
(U290*10) +
IF(P290="Y",40,0) +
IF(Q290="P",30,0) +
IF(V290="Y",25,0) +
IF(W290="Y",20,0) +
IF(X290="Weaponized",15,IF(X290="PoC Available",10,IF(X290="Public Exploit",5,0))) +
IF(G290="Production",10,IF(G290="DMZ",8,IF(G290="DR/Backup",5,0))) +
IF(Y290="N",10,0)
)</f>
        <v/>
      </c>
      <c r="AA290">
        <f>IF(OR(P290="Y",AND(K290&gt;=9.0,W290="Y")),"P0",IF(Z290&gt;=80,"P0",IF(Z290&gt;=60,"P1",IF(Z290&gt;=40,"P2",IF(Z290&gt;=20,"P3","P4")))))</f>
        <v/>
      </c>
      <c r="AD290">
        <f>IF(AB290&lt;&gt;"",AB290,AA290)</f>
        <v/>
      </c>
      <c r="AE290">
        <f>VLOOKUP(AD290,SLA_Definitions!$A$2:$B$6,2,FALSE)</f>
        <v/>
      </c>
      <c r="AF290">
        <f>IF(B290&lt;&gt;"",WORKDAY(B290,AE290),"")</f>
        <v/>
      </c>
      <c r="AG290">
        <f>IF(AF290&lt;&gt;"",NETWORKDAYS(TODAY(),AF290),"")</f>
        <v/>
      </c>
      <c r="AH290">
        <f>IF(AJ290="Complete","Complete",IF(AG290&lt;0,"Overdue",IF(AG290&lt;=AE290*0.2,"At Risk","On Track")))</f>
        <v/>
      </c>
      <c r="AK290">
        <f>IF(OR(AH290="Overdue",AND(AD290="P0",AG290&lt;1),AND(AD290="P1",AG290&lt;3)),"Y","N")</f>
        <v/>
      </c>
    </row>
    <row r="291">
      <c r="K291">
        <f>IF(J291="v4.0",L291,IF(J291="v3.1",M291,IF(J291="Both",L291,IF(AND(L291&lt;&gt;"",M291=""),L291,M291))))</f>
        <v/>
      </c>
      <c r="Z291">
        <f>MIN(100,
(K291*5) +
(U291*10) +
IF(P291="Y",40,0) +
IF(Q291="P",30,0) +
IF(V291="Y",25,0) +
IF(W291="Y",20,0) +
IF(X291="Weaponized",15,IF(X291="PoC Available",10,IF(X291="Public Exploit",5,0))) +
IF(G291="Production",10,IF(G291="DMZ",8,IF(G291="DR/Backup",5,0))) +
IF(Y291="N",10,0)
)</f>
        <v/>
      </c>
      <c r="AA291">
        <f>IF(OR(P291="Y",AND(K291&gt;=9.0,W291="Y")),"P0",IF(Z291&gt;=80,"P0",IF(Z291&gt;=60,"P1",IF(Z291&gt;=40,"P2",IF(Z291&gt;=20,"P3","P4")))))</f>
        <v/>
      </c>
      <c r="AD291">
        <f>IF(AB291&lt;&gt;"",AB291,AA291)</f>
        <v/>
      </c>
      <c r="AE291">
        <f>VLOOKUP(AD291,SLA_Definitions!$A$2:$B$6,2,FALSE)</f>
        <v/>
      </c>
      <c r="AF291">
        <f>IF(B291&lt;&gt;"",WORKDAY(B291,AE291),"")</f>
        <v/>
      </c>
      <c r="AG291">
        <f>IF(AF291&lt;&gt;"",NETWORKDAYS(TODAY(),AF291),"")</f>
        <v/>
      </c>
      <c r="AH291">
        <f>IF(AJ291="Complete","Complete",IF(AG291&lt;0,"Overdue",IF(AG291&lt;=AE291*0.2,"At Risk","On Track")))</f>
        <v/>
      </c>
      <c r="AK291">
        <f>IF(OR(AH291="Overdue",AND(AD291="P0",AG291&lt;1),AND(AD291="P1",AG291&lt;3)),"Y","N")</f>
        <v/>
      </c>
    </row>
    <row r="292">
      <c r="K292">
        <f>IF(J292="v4.0",L292,IF(J292="v3.1",M292,IF(J292="Both",L292,IF(AND(L292&lt;&gt;"",M292=""),L292,M292))))</f>
        <v/>
      </c>
      <c r="Z292">
        <f>MIN(100,
(K292*5) +
(U292*10) +
IF(P292="Y",40,0) +
IF(Q292="P",30,0) +
IF(V292="Y",25,0) +
IF(W292="Y",20,0) +
IF(X292="Weaponized",15,IF(X292="PoC Available",10,IF(X292="Public Exploit",5,0))) +
IF(G292="Production",10,IF(G292="DMZ",8,IF(G292="DR/Backup",5,0))) +
IF(Y292="N",10,0)
)</f>
        <v/>
      </c>
      <c r="AA292">
        <f>IF(OR(P292="Y",AND(K292&gt;=9.0,W292="Y")),"P0",IF(Z292&gt;=80,"P0",IF(Z292&gt;=60,"P1",IF(Z292&gt;=40,"P2",IF(Z292&gt;=20,"P3","P4")))))</f>
        <v/>
      </c>
      <c r="AD292">
        <f>IF(AB292&lt;&gt;"",AB292,AA292)</f>
        <v/>
      </c>
      <c r="AE292">
        <f>VLOOKUP(AD292,SLA_Definitions!$A$2:$B$6,2,FALSE)</f>
        <v/>
      </c>
      <c r="AF292">
        <f>IF(B292&lt;&gt;"",WORKDAY(B292,AE292),"")</f>
        <v/>
      </c>
      <c r="AG292">
        <f>IF(AF292&lt;&gt;"",NETWORKDAYS(TODAY(),AF292),"")</f>
        <v/>
      </c>
      <c r="AH292">
        <f>IF(AJ292="Complete","Complete",IF(AG292&lt;0,"Overdue",IF(AG292&lt;=AE292*0.2,"At Risk","On Track")))</f>
        <v/>
      </c>
      <c r="AK292">
        <f>IF(OR(AH292="Overdue",AND(AD292="P0",AG292&lt;1),AND(AD292="P1",AG292&lt;3)),"Y","N")</f>
        <v/>
      </c>
    </row>
    <row r="293">
      <c r="K293">
        <f>IF(J293="v4.0",L293,IF(J293="v3.1",M293,IF(J293="Both",L293,IF(AND(L293&lt;&gt;"",M293=""),L293,M293))))</f>
        <v/>
      </c>
      <c r="Z293">
        <f>MIN(100,
(K293*5) +
(U293*10) +
IF(P293="Y",40,0) +
IF(Q293="P",30,0) +
IF(V293="Y",25,0) +
IF(W293="Y",20,0) +
IF(X293="Weaponized",15,IF(X293="PoC Available",10,IF(X293="Public Exploit",5,0))) +
IF(G293="Production",10,IF(G293="DMZ",8,IF(G293="DR/Backup",5,0))) +
IF(Y293="N",10,0)
)</f>
        <v/>
      </c>
      <c r="AA293">
        <f>IF(OR(P293="Y",AND(K293&gt;=9.0,W293="Y")),"P0",IF(Z293&gt;=80,"P0",IF(Z293&gt;=60,"P1",IF(Z293&gt;=40,"P2",IF(Z293&gt;=20,"P3","P4")))))</f>
        <v/>
      </c>
      <c r="AD293">
        <f>IF(AB293&lt;&gt;"",AB293,AA293)</f>
        <v/>
      </c>
      <c r="AE293">
        <f>VLOOKUP(AD293,SLA_Definitions!$A$2:$B$6,2,FALSE)</f>
        <v/>
      </c>
      <c r="AF293">
        <f>IF(B293&lt;&gt;"",WORKDAY(B293,AE293),"")</f>
        <v/>
      </c>
      <c r="AG293">
        <f>IF(AF293&lt;&gt;"",NETWORKDAYS(TODAY(),AF293),"")</f>
        <v/>
      </c>
      <c r="AH293">
        <f>IF(AJ293="Complete","Complete",IF(AG293&lt;0,"Overdue",IF(AG293&lt;=AE293*0.2,"At Risk","On Track")))</f>
        <v/>
      </c>
      <c r="AK293">
        <f>IF(OR(AH293="Overdue",AND(AD293="P0",AG293&lt;1),AND(AD293="P1",AG293&lt;3)),"Y","N")</f>
        <v/>
      </c>
    </row>
    <row r="294">
      <c r="K294">
        <f>IF(J294="v4.0",L294,IF(J294="v3.1",M294,IF(J294="Both",L294,IF(AND(L294&lt;&gt;"",M294=""),L294,M294))))</f>
        <v/>
      </c>
      <c r="Z294">
        <f>MIN(100,
(K294*5) +
(U294*10) +
IF(P294="Y",40,0) +
IF(Q294="P",30,0) +
IF(V294="Y",25,0) +
IF(W294="Y",20,0) +
IF(X294="Weaponized",15,IF(X294="PoC Available",10,IF(X294="Public Exploit",5,0))) +
IF(G294="Production",10,IF(G294="DMZ",8,IF(G294="DR/Backup",5,0))) +
IF(Y294="N",10,0)
)</f>
        <v/>
      </c>
      <c r="AA294">
        <f>IF(OR(P294="Y",AND(K294&gt;=9.0,W294="Y")),"P0",IF(Z294&gt;=80,"P0",IF(Z294&gt;=60,"P1",IF(Z294&gt;=40,"P2",IF(Z294&gt;=20,"P3","P4")))))</f>
        <v/>
      </c>
      <c r="AD294">
        <f>IF(AB294&lt;&gt;"",AB294,AA294)</f>
        <v/>
      </c>
      <c r="AE294">
        <f>VLOOKUP(AD294,SLA_Definitions!$A$2:$B$6,2,FALSE)</f>
        <v/>
      </c>
      <c r="AF294">
        <f>IF(B294&lt;&gt;"",WORKDAY(B294,AE294),"")</f>
        <v/>
      </c>
      <c r="AG294">
        <f>IF(AF294&lt;&gt;"",NETWORKDAYS(TODAY(),AF294),"")</f>
        <v/>
      </c>
      <c r="AH294">
        <f>IF(AJ294="Complete","Complete",IF(AG294&lt;0,"Overdue",IF(AG294&lt;=AE294*0.2,"At Risk","On Track")))</f>
        <v/>
      </c>
      <c r="AK294">
        <f>IF(OR(AH294="Overdue",AND(AD294="P0",AG294&lt;1),AND(AD294="P1",AG294&lt;3)),"Y","N")</f>
        <v/>
      </c>
    </row>
    <row r="295">
      <c r="K295">
        <f>IF(J295="v4.0",L295,IF(J295="v3.1",M295,IF(J295="Both",L295,IF(AND(L295&lt;&gt;"",M295=""),L295,M295))))</f>
        <v/>
      </c>
      <c r="Z295">
        <f>MIN(100,
(K295*5) +
(U295*10) +
IF(P295="Y",40,0) +
IF(Q295="P",30,0) +
IF(V295="Y",25,0) +
IF(W295="Y",20,0) +
IF(X295="Weaponized",15,IF(X295="PoC Available",10,IF(X295="Public Exploit",5,0))) +
IF(G295="Production",10,IF(G295="DMZ",8,IF(G295="DR/Backup",5,0))) +
IF(Y295="N",10,0)
)</f>
        <v/>
      </c>
      <c r="AA295">
        <f>IF(OR(P295="Y",AND(K295&gt;=9.0,W295="Y")),"P0",IF(Z295&gt;=80,"P0",IF(Z295&gt;=60,"P1",IF(Z295&gt;=40,"P2",IF(Z295&gt;=20,"P3","P4")))))</f>
        <v/>
      </c>
      <c r="AD295">
        <f>IF(AB295&lt;&gt;"",AB295,AA295)</f>
        <v/>
      </c>
      <c r="AE295">
        <f>VLOOKUP(AD295,SLA_Definitions!$A$2:$B$6,2,FALSE)</f>
        <v/>
      </c>
      <c r="AF295">
        <f>IF(B295&lt;&gt;"",WORKDAY(B295,AE295),"")</f>
        <v/>
      </c>
      <c r="AG295">
        <f>IF(AF295&lt;&gt;"",NETWORKDAYS(TODAY(),AF295),"")</f>
        <v/>
      </c>
      <c r="AH295">
        <f>IF(AJ295="Complete","Complete",IF(AG295&lt;0,"Overdue",IF(AG295&lt;=AE295*0.2,"At Risk","On Track")))</f>
        <v/>
      </c>
      <c r="AK295">
        <f>IF(OR(AH295="Overdue",AND(AD295="P0",AG295&lt;1),AND(AD295="P1",AG295&lt;3)),"Y","N")</f>
        <v/>
      </c>
    </row>
    <row r="296">
      <c r="K296">
        <f>IF(J296="v4.0",L296,IF(J296="v3.1",M296,IF(J296="Both",L296,IF(AND(L296&lt;&gt;"",M296=""),L296,M296))))</f>
        <v/>
      </c>
      <c r="Z296">
        <f>MIN(100,
(K296*5) +
(U296*10) +
IF(P296="Y",40,0) +
IF(Q296="P",30,0) +
IF(V296="Y",25,0) +
IF(W296="Y",20,0) +
IF(X296="Weaponized",15,IF(X296="PoC Available",10,IF(X296="Public Exploit",5,0))) +
IF(G296="Production",10,IF(G296="DMZ",8,IF(G296="DR/Backup",5,0))) +
IF(Y296="N",10,0)
)</f>
        <v/>
      </c>
      <c r="AA296">
        <f>IF(OR(P296="Y",AND(K296&gt;=9.0,W296="Y")),"P0",IF(Z296&gt;=80,"P0",IF(Z296&gt;=60,"P1",IF(Z296&gt;=40,"P2",IF(Z296&gt;=20,"P3","P4")))))</f>
        <v/>
      </c>
      <c r="AD296">
        <f>IF(AB296&lt;&gt;"",AB296,AA296)</f>
        <v/>
      </c>
      <c r="AE296">
        <f>VLOOKUP(AD296,SLA_Definitions!$A$2:$B$6,2,FALSE)</f>
        <v/>
      </c>
      <c r="AF296">
        <f>IF(B296&lt;&gt;"",WORKDAY(B296,AE296),"")</f>
        <v/>
      </c>
      <c r="AG296">
        <f>IF(AF296&lt;&gt;"",NETWORKDAYS(TODAY(),AF296),"")</f>
        <v/>
      </c>
      <c r="AH296">
        <f>IF(AJ296="Complete","Complete",IF(AG296&lt;0,"Overdue",IF(AG296&lt;=AE296*0.2,"At Risk","On Track")))</f>
        <v/>
      </c>
      <c r="AK296">
        <f>IF(OR(AH296="Overdue",AND(AD296="P0",AG296&lt;1),AND(AD296="P1",AG296&lt;3)),"Y","N")</f>
        <v/>
      </c>
    </row>
    <row r="297">
      <c r="K297">
        <f>IF(J297="v4.0",L297,IF(J297="v3.1",M297,IF(J297="Both",L297,IF(AND(L297&lt;&gt;"",M297=""),L297,M297))))</f>
        <v/>
      </c>
      <c r="Z297">
        <f>MIN(100,
(K297*5) +
(U297*10) +
IF(P297="Y",40,0) +
IF(Q297="P",30,0) +
IF(V297="Y",25,0) +
IF(W297="Y",20,0) +
IF(X297="Weaponized",15,IF(X297="PoC Available",10,IF(X297="Public Exploit",5,0))) +
IF(G297="Production",10,IF(G297="DMZ",8,IF(G297="DR/Backup",5,0))) +
IF(Y297="N",10,0)
)</f>
        <v/>
      </c>
      <c r="AA297">
        <f>IF(OR(P297="Y",AND(K297&gt;=9.0,W297="Y")),"P0",IF(Z297&gt;=80,"P0",IF(Z297&gt;=60,"P1",IF(Z297&gt;=40,"P2",IF(Z297&gt;=20,"P3","P4")))))</f>
        <v/>
      </c>
      <c r="AD297">
        <f>IF(AB297&lt;&gt;"",AB297,AA297)</f>
        <v/>
      </c>
      <c r="AE297">
        <f>VLOOKUP(AD297,SLA_Definitions!$A$2:$B$6,2,FALSE)</f>
        <v/>
      </c>
      <c r="AF297">
        <f>IF(B297&lt;&gt;"",WORKDAY(B297,AE297),"")</f>
        <v/>
      </c>
      <c r="AG297">
        <f>IF(AF297&lt;&gt;"",NETWORKDAYS(TODAY(),AF297),"")</f>
        <v/>
      </c>
      <c r="AH297">
        <f>IF(AJ297="Complete","Complete",IF(AG297&lt;0,"Overdue",IF(AG297&lt;=AE297*0.2,"At Risk","On Track")))</f>
        <v/>
      </c>
      <c r="AK297">
        <f>IF(OR(AH297="Overdue",AND(AD297="P0",AG297&lt;1),AND(AD297="P1",AG297&lt;3)),"Y","N")</f>
        <v/>
      </c>
    </row>
    <row r="298">
      <c r="K298">
        <f>IF(J298="v4.0",L298,IF(J298="v3.1",M298,IF(J298="Both",L298,IF(AND(L298&lt;&gt;"",M298=""),L298,M298))))</f>
        <v/>
      </c>
      <c r="Z298">
        <f>MIN(100,
(K298*5) +
(U298*10) +
IF(P298="Y",40,0) +
IF(Q298="P",30,0) +
IF(V298="Y",25,0) +
IF(W298="Y",20,0) +
IF(X298="Weaponized",15,IF(X298="PoC Available",10,IF(X298="Public Exploit",5,0))) +
IF(G298="Production",10,IF(G298="DMZ",8,IF(G298="DR/Backup",5,0))) +
IF(Y298="N",10,0)
)</f>
        <v/>
      </c>
      <c r="AA298">
        <f>IF(OR(P298="Y",AND(K298&gt;=9.0,W298="Y")),"P0",IF(Z298&gt;=80,"P0",IF(Z298&gt;=60,"P1",IF(Z298&gt;=40,"P2",IF(Z298&gt;=20,"P3","P4")))))</f>
        <v/>
      </c>
      <c r="AD298">
        <f>IF(AB298&lt;&gt;"",AB298,AA298)</f>
        <v/>
      </c>
      <c r="AE298">
        <f>VLOOKUP(AD298,SLA_Definitions!$A$2:$B$6,2,FALSE)</f>
        <v/>
      </c>
      <c r="AF298">
        <f>IF(B298&lt;&gt;"",WORKDAY(B298,AE298),"")</f>
        <v/>
      </c>
      <c r="AG298">
        <f>IF(AF298&lt;&gt;"",NETWORKDAYS(TODAY(),AF298),"")</f>
        <v/>
      </c>
      <c r="AH298">
        <f>IF(AJ298="Complete","Complete",IF(AG298&lt;0,"Overdue",IF(AG298&lt;=AE298*0.2,"At Risk","On Track")))</f>
        <v/>
      </c>
      <c r="AK298">
        <f>IF(OR(AH298="Overdue",AND(AD298="P0",AG298&lt;1),AND(AD298="P1",AG298&lt;3)),"Y","N")</f>
        <v/>
      </c>
    </row>
    <row r="299">
      <c r="K299">
        <f>IF(J299="v4.0",L299,IF(J299="v3.1",M299,IF(J299="Both",L299,IF(AND(L299&lt;&gt;"",M299=""),L299,M299))))</f>
        <v/>
      </c>
      <c r="Z299">
        <f>MIN(100,
(K299*5) +
(U299*10) +
IF(P299="Y",40,0) +
IF(Q299="P",30,0) +
IF(V299="Y",25,0) +
IF(W299="Y",20,0) +
IF(X299="Weaponized",15,IF(X299="PoC Available",10,IF(X299="Public Exploit",5,0))) +
IF(G299="Production",10,IF(G299="DMZ",8,IF(G299="DR/Backup",5,0))) +
IF(Y299="N",10,0)
)</f>
        <v/>
      </c>
      <c r="AA299">
        <f>IF(OR(P299="Y",AND(K299&gt;=9.0,W299="Y")),"P0",IF(Z299&gt;=80,"P0",IF(Z299&gt;=60,"P1",IF(Z299&gt;=40,"P2",IF(Z299&gt;=20,"P3","P4")))))</f>
        <v/>
      </c>
      <c r="AD299">
        <f>IF(AB299&lt;&gt;"",AB299,AA299)</f>
        <v/>
      </c>
      <c r="AE299">
        <f>VLOOKUP(AD299,SLA_Definitions!$A$2:$B$6,2,FALSE)</f>
        <v/>
      </c>
      <c r="AF299">
        <f>IF(B299&lt;&gt;"",WORKDAY(B299,AE299),"")</f>
        <v/>
      </c>
      <c r="AG299">
        <f>IF(AF299&lt;&gt;"",NETWORKDAYS(TODAY(),AF299),"")</f>
        <v/>
      </c>
      <c r="AH299">
        <f>IF(AJ299="Complete","Complete",IF(AG299&lt;0,"Overdue",IF(AG299&lt;=AE299*0.2,"At Risk","On Track")))</f>
        <v/>
      </c>
      <c r="AK299">
        <f>IF(OR(AH299="Overdue",AND(AD299="P0",AG299&lt;1),AND(AD299="P1",AG299&lt;3)),"Y","N")</f>
        <v/>
      </c>
    </row>
    <row r="300">
      <c r="K300">
        <f>IF(J300="v4.0",L300,IF(J300="v3.1",M300,IF(J300="Both",L300,IF(AND(L300&lt;&gt;"",M300=""),L300,M300))))</f>
        <v/>
      </c>
      <c r="Z300">
        <f>MIN(100,
(K300*5) +
(U300*10) +
IF(P300="Y",40,0) +
IF(Q300="P",30,0) +
IF(V300="Y",25,0) +
IF(W300="Y",20,0) +
IF(X300="Weaponized",15,IF(X300="PoC Available",10,IF(X300="Public Exploit",5,0))) +
IF(G300="Production",10,IF(G300="DMZ",8,IF(G300="DR/Backup",5,0))) +
IF(Y300="N",10,0)
)</f>
        <v/>
      </c>
      <c r="AA300">
        <f>IF(OR(P300="Y",AND(K300&gt;=9.0,W300="Y")),"P0",IF(Z300&gt;=80,"P0",IF(Z300&gt;=60,"P1",IF(Z300&gt;=40,"P2",IF(Z300&gt;=20,"P3","P4")))))</f>
        <v/>
      </c>
      <c r="AD300">
        <f>IF(AB300&lt;&gt;"",AB300,AA300)</f>
        <v/>
      </c>
      <c r="AE300">
        <f>VLOOKUP(AD300,SLA_Definitions!$A$2:$B$6,2,FALSE)</f>
        <v/>
      </c>
      <c r="AF300">
        <f>IF(B300&lt;&gt;"",WORKDAY(B300,AE300),"")</f>
        <v/>
      </c>
      <c r="AG300">
        <f>IF(AF300&lt;&gt;"",NETWORKDAYS(TODAY(),AF300),"")</f>
        <v/>
      </c>
      <c r="AH300">
        <f>IF(AJ300="Complete","Complete",IF(AG300&lt;0,"Overdue",IF(AG300&lt;=AE300*0.2,"At Risk","On Track")))</f>
        <v/>
      </c>
      <c r="AK300">
        <f>IF(OR(AH300="Overdue",AND(AD300="P0",AG300&lt;1),AND(AD300="P1",AG300&lt;3)),"Y","N")</f>
        <v/>
      </c>
    </row>
    <row r="301">
      <c r="K301">
        <f>IF(J301="v4.0",L301,IF(J301="v3.1",M301,IF(J301="Both",L301,IF(AND(L301&lt;&gt;"",M301=""),L301,M301))))</f>
        <v/>
      </c>
      <c r="Z301">
        <f>MIN(100,
(K301*5) +
(U301*10) +
IF(P301="Y",40,0) +
IF(Q301="P",30,0) +
IF(V301="Y",25,0) +
IF(W301="Y",20,0) +
IF(X301="Weaponized",15,IF(X301="PoC Available",10,IF(X301="Public Exploit",5,0))) +
IF(G301="Production",10,IF(G301="DMZ",8,IF(G301="DR/Backup",5,0))) +
IF(Y301="N",10,0)
)</f>
        <v/>
      </c>
      <c r="AA301">
        <f>IF(OR(P301="Y",AND(K301&gt;=9.0,W301="Y")),"P0",IF(Z301&gt;=80,"P0",IF(Z301&gt;=60,"P1",IF(Z301&gt;=40,"P2",IF(Z301&gt;=20,"P3","P4")))))</f>
        <v/>
      </c>
      <c r="AD301">
        <f>IF(AB301&lt;&gt;"",AB301,AA301)</f>
        <v/>
      </c>
      <c r="AE301">
        <f>VLOOKUP(AD301,SLA_Definitions!$A$2:$B$6,2,FALSE)</f>
        <v/>
      </c>
      <c r="AF301">
        <f>IF(B301&lt;&gt;"",WORKDAY(B301,AE301),"")</f>
        <v/>
      </c>
      <c r="AG301">
        <f>IF(AF301&lt;&gt;"",NETWORKDAYS(TODAY(),AF301),"")</f>
        <v/>
      </c>
      <c r="AH301">
        <f>IF(AJ301="Complete","Complete",IF(AG301&lt;0,"Overdue",IF(AG301&lt;=AE301*0.2,"At Risk","On Track")))</f>
        <v/>
      </c>
      <c r="AK301">
        <f>IF(OR(AH301="Overdue",AND(AD301="P0",AG301&lt;1),AND(AD301="P1",AG301&lt;3)),"Y","N")</f>
        <v/>
      </c>
    </row>
    <row r="302">
      <c r="K302">
        <f>IF(J302="v4.0",L302,IF(J302="v3.1",M302,IF(J302="Both",L302,IF(AND(L302&lt;&gt;"",M302=""),L302,M302))))</f>
        <v/>
      </c>
      <c r="Z302">
        <f>MIN(100,
(K302*5) +
(U302*10) +
IF(P302="Y",40,0) +
IF(Q302="P",30,0) +
IF(V302="Y",25,0) +
IF(W302="Y",20,0) +
IF(X302="Weaponized",15,IF(X302="PoC Available",10,IF(X302="Public Exploit",5,0))) +
IF(G302="Production",10,IF(G302="DMZ",8,IF(G302="DR/Backup",5,0))) +
IF(Y302="N",10,0)
)</f>
        <v/>
      </c>
      <c r="AA302">
        <f>IF(OR(P302="Y",AND(K302&gt;=9.0,W302="Y")),"P0",IF(Z302&gt;=80,"P0",IF(Z302&gt;=60,"P1",IF(Z302&gt;=40,"P2",IF(Z302&gt;=20,"P3","P4")))))</f>
        <v/>
      </c>
      <c r="AD302">
        <f>IF(AB302&lt;&gt;"",AB302,AA302)</f>
        <v/>
      </c>
      <c r="AE302">
        <f>VLOOKUP(AD302,SLA_Definitions!$A$2:$B$6,2,FALSE)</f>
        <v/>
      </c>
      <c r="AF302">
        <f>IF(B302&lt;&gt;"",WORKDAY(B302,AE302),"")</f>
        <v/>
      </c>
      <c r="AG302">
        <f>IF(AF302&lt;&gt;"",NETWORKDAYS(TODAY(),AF302),"")</f>
        <v/>
      </c>
      <c r="AH302">
        <f>IF(AJ302="Complete","Complete",IF(AG302&lt;0,"Overdue",IF(AG302&lt;=AE302*0.2,"At Risk","On Track")))</f>
        <v/>
      </c>
      <c r="AK302">
        <f>IF(OR(AH302="Overdue",AND(AD302="P0",AG302&lt;1),AND(AD302="P1",AG302&lt;3)),"Y","N")</f>
        <v/>
      </c>
    </row>
    <row r="303">
      <c r="K303">
        <f>IF(J303="v4.0",L303,IF(J303="v3.1",M303,IF(J303="Both",L303,IF(AND(L303&lt;&gt;"",M303=""),L303,M303))))</f>
        <v/>
      </c>
      <c r="Z303">
        <f>MIN(100,
(K303*5) +
(U303*10) +
IF(P303="Y",40,0) +
IF(Q303="P",30,0) +
IF(V303="Y",25,0) +
IF(W303="Y",20,0) +
IF(X303="Weaponized",15,IF(X303="PoC Available",10,IF(X303="Public Exploit",5,0))) +
IF(G303="Production",10,IF(G303="DMZ",8,IF(G303="DR/Backup",5,0))) +
IF(Y303="N",10,0)
)</f>
        <v/>
      </c>
      <c r="AA303">
        <f>IF(OR(P303="Y",AND(K303&gt;=9.0,W303="Y")),"P0",IF(Z303&gt;=80,"P0",IF(Z303&gt;=60,"P1",IF(Z303&gt;=40,"P2",IF(Z303&gt;=20,"P3","P4")))))</f>
        <v/>
      </c>
      <c r="AD303">
        <f>IF(AB303&lt;&gt;"",AB303,AA303)</f>
        <v/>
      </c>
      <c r="AE303">
        <f>VLOOKUP(AD303,SLA_Definitions!$A$2:$B$6,2,FALSE)</f>
        <v/>
      </c>
      <c r="AF303">
        <f>IF(B303&lt;&gt;"",WORKDAY(B303,AE303),"")</f>
        <v/>
      </c>
      <c r="AG303">
        <f>IF(AF303&lt;&gt;"",NETWORKDAYS(TODAY(),AF303),"")</f>
        <v/>
      </c>
      <c r="AH303">
        <f>IF(AJ303="Complete","Complete",IF(AG303&lt;0,"Overdue",IF(AG303&lt;=AE303*0.2,"At Risk","On Track")))</f>
        <v/>
      </c>
      <c r="AK303">
        <f>IF(OR(AH303="Overdue",AND(AD303="P0",AG303&lt;1),AND(AD303="P1",AG303&lt;3)),"Y","N")</f>
        <v/>
      </c>
    </row>
    <row r="304">
      <c r="K304">
        <f>IF(J304="v4.0",L304,IF(J304="v3.1",M304,IF(J304="Both",L304,IF(AND(L304&lt;&gt;"",M304=""),L304,M304))))</f>
        <v/>
      </c>
      <c r="Z304">
        <f>MIN(100,
(K304*5) +
(U304*10) +
IF(P304="Y",40,0) +
IF(Q304="P",30,0) +
IF(V304="Y",25,0) +
IF(W304="Y",20,0) +
IF(X304="Weaponized",15,IF(X304="PoC Available",10,IF(X304="Public Exploit",5,0))) +
IF(G304="Production",10,IF(G304="DMZ",8,IF(G304="DR/Backup",5,0))) +
IF(Y304="N",10,0)
)</f>
        <v/>
      </c>
      <c r="AA304">
        <f>IF(OR(P304="Y",AND(K304&gt;=9.0,W304="Y")),"P0",IF(Z304&gt;=80,"P0",IF(Z304&gt;=60,"P1",IF(Z304&gt;=40,"P2",IF(Z304&gt;=20,"P3","P4")))))</f>
        <v/>
      </c>
      <c r="AD304">
        <f>IF(AB304&lt;&gt;"",AB304,AA304)</f>
        <v/>
      </c>
      <c r="AE304">
        <f>VLOOKUP(AD304,SLA_Definitions!$A$2:$B$6,2,FALSE)</f>
        <v/>
      </c>
      <c r="AF304">
        <f>IF(B304&lt;&gt;"",WORKDAY(B304,AE304),"")</f>
        <v/>
      </c>
      <c r="AG304">
        <f>IF(AF304&lt;&gt;"",NETWORKDAYS(TODAY(),AF304),"")</f>
        <v/>
      </c>
      <c r="AH304">
        <f>IF(AJ304="Complete","Complete",IF(AG304&lt;0,"Overdue",IF(AG304&lt;=AE304*0.2,"At Risk","On Track")))</f>
        <v/>
      </c>
      <c r="AK304">
        <f>IF(OR(AH304="Overdue",AND(AD304="P0",AG304&lt;1),AND(AD304="P1",AG304&lt;3)),"Y","N")</f>
        <v/>
      </c>
    </row>
    <row r="305">
      <c r="K305">
        <f>IF(J305="v4.0",L305,IF(J305="v3.1",M305,IF(J305="Both",L305,IF(AND(L305&lt;&gt;"",M305=""),L305,M305))))</f>
        <v/>
      </c>
      <c r="Z305">
        <f>MIN(100,
(K305*5) +
(U305*10) +
IF(P305="Y",40,0) +
IF(Q305="P",30,0) +
IF(V305="Y",25,0) +
IF(W305="Y",20,0) +
IF(X305="Weaponized",15,IF(X305="PoC Available",10,IF(X305="Public Exploit",5,0))) +
IF(G305="Production",10,IF(G305="DMZ",8,IF(G305="DR/Backup",5,0))) +
IF(Y305="N",10,0)
)</f>
        <v/>
      </c>
      <c r="AA305">
        <f>IF(OR(P305="Y",AND(K305&gt;=9.0,W305="Y")),"P0",IF(Z305&gt;=80,"P0",IF(Z305&gt;=60,"P1",IF(Z305&gt;=40,"P2",IF(Z305&gt;=20,"P3","P4")))))</f>
        <v/>
      </c>
      <c r="AD305">
        <f>IF(AB305&lt;&gt;"",AB305,AA305)</f>
        <v/>
      </c>
      <c r="AE305">
        <f>VLOOKUP(AD305,SLA_Definitions!$A$2:$B$6,2,FALSE)</f>
        <v/>
      </c>
      <c r="AF305">
        <f>IF(B305&lt;&gt;"",WORKDAY(B305,AE305),"")</f>
        <v/>
      </c>
      <c r="AG305">
        <f>IF(AF305&lt;&gt;"",NETWORKDAYS(TODAY(),AF305),"")</f>
        <v/>
      </c>
      <c r="AH305">
        <f>IF(AJ305="Complete","Complete",IF(AG305&lt;0,"Overdue",IF(AG305&lt;=AE305*0.2,"At Risk","On Track")))</f>
        <v/>
      </c>
      <c r="AK305">
        <f>IF(OR(AH305="Overdue",AND(AD305="P0",AG305&lt;1),AND(AD305="P1",AG305&lt;3)),"Y","N")</f>
        <v/>
      </c>
    </row>
    <row r="306">
      <c r="K306">
        <f>IF(J306="v4.0",L306,IF(J306="v3.1",M306,IF(J306="Both",L306,IF(AND(L306&lt;&gt;"",M306=""),L306,M306))))</f>
        <v/>
      </c>
      <c r="Z306">
        <f>MIN(100,
(K306*5) +
(U306*10) +
IF(P306="Y",40,0) +
IF(Q306="P",30,0) +
IF(V306="Y",25,0) +
IF(W306="Y",20,0) +
IF(X306="Weaponized",15,IF(X306="PoC Available",10,IF(X306="Public Exploit",5,0))) +
IF(G306="Production",10,IF(G306="DMZ",8,IF(G306="DR/Backup",5,0))) +
IF(Y306="N",10,0)
)</f>
        <v/>
      </c>
      <c r="AA306">
        <f>IF(OR(P306="Y",AND(K306&gt;=9.0,W306="Y")),"P0",IF(Z306&gt;=80,"P0",IF(Z306&gt;=60,"P1",IF(Z306&gt;=40,"P2",IF(Z306&gt;=20,"P3","P4")))))</f>
        <v/>
      </c>
      <c r="AD306">
        <f>IF(AB306&lt;&gt;"",AB306,AA306)</f>
        <v/>
      </c>
      <c r="AE306">
        <f>VLOOKUP(AD306,SLA_Definitions!$A$2:$B$6,2,FALSE)</f>
        <v/>
      </c>
      <c r="AF306">
        <f>IF(B306&lt;&gt;"",WORKDAY(B306,AE306),"")</f>
        <v/>
      </c>
      <c r="AG306">
        <f>IF(AF306&lt;&gt;"",NETWORKDAYS(TODAY(),AF306),"")</f>
        <v/>
      </c>
      <c r="AH306">
        <f>IF(AJ306="Complete","Complete",IF(AG306&lt;0,"Overdue",IF(AG306&lt;=AE306*0.2,"At Risk","On Track")))</f>
        <v/>
      </c>
      <c r="AK306">
        <f>IF(OR(AH306="Overdue",AND(AD306="P0",AG306&lt;1),AND(AD306="P1",AG306&lt;3)),"Y","N")</f>
        <v/>
      </c>
    </row>
    <row r="307">
      <c r="K307">
        <f>IF(J307="v4.0",L307,IF(J307="v3.1",M307,IF(J307="Both",L307,IF(AND(L307&lt;&gt;"",M307=""),L307,M307))))</f>
        <v/>
      </c>
      <c r="Z307">
        <f>MIN(100,
(K307*5) +
(U307*10) +
IF(P307="Y",40,0) +
IF(Q307="P",30,0) +
IF(V307="Y",25,0) +
IF(W307="Y",20,0) +
IF(X307="Weaponized",15,IF(X307="PoC Available",10,IF(X307="Public Exploit",5,0))) +
IF(G307="Production",10,IF(G307="DMZ",8,IF(G307="DR/Backup",5,0))) +
IF(Y307="N",10,0)
)</f>
        <v/>
      </c>
      <c r="AA307">
        <f>IF(OR(P307="Y",AND(K307&gt;=9.0,W307="Y")),"P0",IF(Z307&gt;=80,"P0",IF(Z307&gt;=60,"P1",IF(Z307&gt;=40,"P2",IF(Z307&gt;=20,"P3","P4")))))</f>
        <v/>
      </c>
      <c r="AD307">
        <f>IF(AB307&lt;&gt;"",AB307,AA307)</f>
        <v/>
      </c>
      <c r="AE307">
        <f>VLOOKUP(AD307,SLA_Definitions!$A$2:$B$6,2,FALSE)</f>
        <v/>
      </c>
      <c r="AF307">
        <f>IF(B307&lt;&gt;"",WORKDAY(B307,AE307),"")</f>
        <v/>
      </c>
      <c r="AG307">
        <f>IF(AF307&lt;&gt;"",NETWORKDAYS(TODAY(),AF307),"")</f>
        <v/>
      </c>
      <c r="AH307">
        <f>IF(AJ307="Complete","Complete",IF(AG307&lt;0,"Overdue",IF(AG307&lt;=AE307*0.2,"At Risk","On Track")))</f>
        <v/>
      </c>
      <c r="AK307">
        <f>IF(OR(AH307="Overdue",AND(AD307="P0",AG307&lt;1),AND(AD307="P1",AG307&lt;3)),"Y","N")</f>
        <v/>
      </c>
    </row>
    <row r="308">
      <c r="K308">
        <f>IF(J308="v4.0",L308,IF(J308="v3.1",M308,IF(J308="Both",L308,IF(AND(L308&lt;&gt;"",M308=""),L308,M308))))</f>
        <v/>
      </c>
      <c r="Z308">
        <f>MIN(100,
(K308*5) +
(U308*10) +
IF(P308="Y",40,0) +
IF(Q308="P",30,0) +
IF(V308="Y",25,0) +
IF(W308="Y",20,0) +
IF(X308="Weaponized",15,IF(X308="PoC Available",10,IF(X308="Public Exploit",5,0))) +
IF(G308="Production",10,IF(G308="DMZ",8,IF(G308="DR/Backup",5,0))) +
IF(Y308="N",10,0)
)</f>
        <v/>
      </c>
      <c r="AA308">
        <f>IF(OR(P308="Y",AND(K308&gt;=9.0,W308="Y")),"P0",IF(Z308&gt;=80,"P0",IF(Z308&gt;=60,"P1",IF(Z308&gt;=40,"P2",IF(Z308&gt;=20,"P3","P4")))))</f>
        <v/>
      </c>
      <c r="AD308">
        <f>IF(AB308&lt;&gt;"",AB308,AA308)</f>
        <v/>
      </c>
      <c r="AE308">
        <f>VLOOKUP(AD308,SLA_Definitions!$A$2:$B$6,2,FALSE)</f>
        <v/>
      </c>
      <c r="AF308">
        <f>IF(B308&lt;&gt;"",WORKDAY(B308,AE308),"")</f>
        <v/>
      </c>
      <c r="AG308">
        <f>IF(AF308&lt;&gt;"",NETWORKDAYS(TODAY(),AF308),"")</f>
        <v/>
      </c>
      <c r="AH308">
        <f>IF(AJ308="Complete","Complete",IF(AG308&lt;0,"Overdue",IF(AG308&lt;=AE308*0.2,"At Risk","On Track")))</f>
        <v/>
      </c>
      <c r="AK308">
        <f>IF(OR(AH308="Overdue",AND(AD308="P0",AG308&lt;1),AND(AD308="P1",AG308&lt;3)),"Y","N")</f>
        <v/>
      </c>
    </row>
    <row r="309">
      <c r="K309">
        <f>IF(J309="v4.0",L309,IF(J309="v3.1",M309,IF(J309="Both",L309,IF(AND(L309&lt;&gt;"",M309=""),L309,M309))))</f>
        <v/>
      </c>
      <c r="Z309">
        <f>MIN(100,
(K309*5) +
(U309*10) +
IF(P309="Y",40,0) +
IF(Q309="P",30,0) +
IF(V309="Y",25,0) +
IF(W309="Y",20,0) +
IF(X309="Weaponized",15,IF(X309="PoC Available",10,IF(X309="Public Exploit",5,0))) +
IF(G309="Production",10,IF(G309="DMZ",8,IF(G309="DR/Backup",5,0))) +
IF(Y309="N",10,0)
)</f>
        <v/>
      </c>
      <c r="AA309">
        <f>IF(OR(P309="Y",AND(K309&gt;=9.0,W309="Y")),"P0",IF(Z309&gt;=80,"P0",IF(Z309&gt;=60,"P1",IF(Z309&gt;=40,"P2",IF(Z309&gt;=20,"P3","P4")))))</f>
        <v/>
      </c>
      <c r="AD309">
        <f>IF(AB309&lt;&gt;"",AB309,AA309)</f>
        <v/>
      </c>
      <c r="AE309">
        <f>VLOOKUP(AD309,SLA_Definitions!$A$2:$B$6,2,FALSE)</f>
        <v/>
      </c>
      <c r="AF309">
        <f>IF(B309&lt;&gt;"",WORKDAY(B309,AE309),"")</f>
        <v/>
      </c>
      <c r="AG309">
        <f>IF(AF309&lt;&gt;"",NETWORKDAYS(TODAY(),AF309),"")</f>
        <v/>
      </c>
      <c r="AH309">
        <f>IF(AJ309="Complete","Complete",IF(AG309&lt;0,"Overdue",IF(AG309&lt;=AE309*0.2,"At Risk","On Track")))</f>
        <v/>
      </c>
      <c r="AK309">
        <f>IF(OR(AH309="Overdue",AND(AD309="P0",AG309&lt;1),AND(AD309="P1",AG309&lt;3)),"Y","N")</f>
        <v/>
      </c>
    </row>
    <row r="310">
      <c r="K310">
        <f>IF(J310="v4.0",L310,IF(J310="v3.1",M310,IF(J310="Both",L310,IF(AND(L310&lt;&gt;"",M310=""),L310,M310))))</f>
        <v/>
      </c>
      <c r="Z310">
        <f>MIN(100,
(K310*5) +
(U310*10) +
IF(P310="Y",40,0) +
IF(Q310="P",30,0) +
IF(V310="Y",25,0) +
IF(W310="Y",20,0) +
IF(X310="Weaponized",15,IF(X310="PoC Available",10,IF(X310="Public Exploit",5,0))) +
IF(G310="Production",10,IF(G310="DMZ",8,IF(G310="DR/Backup",5,0))) +
IF(Y310="N",10,0)
)</f>
        <v/>
      </c>
      <c r="AA310">
        <f>IF(OR(P310="Y",AND(K310&gt;=9.0,W310="Y")),"P0",IF(Z310&gt;=80,"P0",IF(Z310&gt;=60,"P1",IF(Z310&gt;=40,"P2",IF(Z310&gt;=20,"P3","P4")))))</f>
        <v/>
      </c>
      <c r="AD310">
        <f>IF(AB310&lt;&gt;"",AB310,AA310)</f>
        <v/>
      </c>
      <c r="AE310">
        <f>VLOOKUP(AD310,SLA_Definitions!$A$2:$B$6,2,FALSE)</f>
        <v/>
      </c>
      <c r="AF310">
        <f>IF(B310&lt;&gt;"",WORKDAY(B310,AE310),"")</f>
        <v/>
      </c>
      <c r="AG310">
        <f>IF(AF310&lt;&gt;"",NETWORKDAYS(TODAY(),AF310),"")</f>
        <v/>
      </c>
      <c r="AH310">
        <f>IF(AJ310="Complete","Complete",IF(AG310&lt;0,"Overdue",IF(AG310&lt;=AE310*0.2,"At Risk","On Track")))</f>
        <v/>
      </c>
      <c r="AK310">
        <f>IF(OR(AH310="Overdue",AND(AD310="P0",AG310&lt;1),AND(AD310="P1",AG310&lt;3)),"Y","N")</f>
        <v/>
      </c>
    </row>
    <row r="311">
      <c r="K311">
        <f>IF(J311="v4.0",L311,IF(J311="v3.1",M311,IF(J311="Both",L311,IF(AND(L311&lt;&gt;"",M311=""),L311,M311))))</f>
        <v/>
      </c>
      <c r="Z311">
        <f>MIN(100,
(K311*5) +
(U311*10) +
IF(P311="Y",40,0) +
IF(Q311="P",30,0) +
IF(V311="Y",25,0) +
IF(W311="Y",20,0) +
IF(X311="Weaponized",15,IF(X311="PoC Available",10,IF(X311="Public Exploit",5,0))) +
IF(G311="Production",10,IF(G311="DMZ",8,IF(G311="DR/Backup",5,0))) +
IF(Y311="N",10,0)
)</f>
        <v/>
      </c>
      <c r="AA311">
        <f>IF(OR(P311="Y",AND(K311&gt;=9.0,W311="Y")),"P0",IF(Z311&gt;=80,"P0",IF(Z311&gt;=60,"P1",IF(Z311&gt;=40,"P2",IF(Z311&gt;=20,"P3","P4")))))</f>
        <v/>
      </c>
      <c r="AD311">
        <f>IF(AB311&lt;&gt;"",AB311,AA311)</f>
        <v/>
      </c>
      <c r="AE311">
        <f>VLOOKUP(AD311,SLA_Definitions!$A$2:$B$6,2,FALSE)</f>
        <v/>
      </c>
      <c r="AF311">
        <f>IF(B311&lt;&gt;"",WORKDAY(B311,AE311),"")</f>
        <v/>
      </c>
      <c r="AG311">
        <f>IF(AF311&lt;&gt;"",NETWORKDAYS(TODAY(),AF311),"")</f>
        <v/>
      </c>
      <c r="AH311">
        <f>IF(AJ311="Complete","Complete",IF(AG311&lt;0,"Overdue",IF(AG311&lt;=AE311*0.2,"At Risk","On Track")))</f>
        <v/>
      </c>
      <c r="AK311">
        <f>IF(OR(AH311="Overdue",AND(AD311="P0",AG311&lt;1),AND(AD311="P1",AG311&lt;3)),"Y","N")</f>
        <v/>
      </c>
    </row>
    <row r="312">
      <c r="K312">
        <f>IF(J312="v4.0",L312,IF(J312="v3.1",M312,IF(J312="Both",L312,IF(AND(L312&lt;&gt;"",M312=""),L312,M312))))</f>
        <v/>
      </c>
      <c r="Z312">
        <f>MIN(100,
(K312*5) +
(U312*10) +
IF(P312="Y",40,0) +
IF(Q312="P",30,0) +
IF(V312="Y",25,0) +
IF(W312="Y",20,0) +
IF(X312="Weaponized",15,IF(X312="PoC Available",10,IF(X312="Public Exploit",5,0))) +
IF(G312="Production",10,IF(G312="DMZ",8,IF(G312="DR/Backup",5,0))) +
IF(Y312="N",10,0)
)</f>
        <v/>
      </c>
      <c r="AA312">
        <f>IF(OR(P312="Y",AND(K312&gt;=9.0,W312="Y")),"P0",IF(Z312&gt;=80,"P0",IF(Z312&gt;=60,"P1",IF(Z312&gt;=40,"P2",IF(Z312&gt;=20,"P3","P4")))))</f>
        <v/>
      </c>
      <c r="AD312">
        <f>IF(AB312&lt;&gt;"",AB312,AA312)</f>
        <v/>
      </c>
      <c r="AE312">
        <f>VLOOKUP(AD312,SLA_Definitions!$A$2:$B$6,2,FALSE)</f>
        <v/>
      </c>
      <c r="AF312">
        <f>IF(B312&lt;&gt;"",WORKDAY(B312,AE312),"")</f>
        <v/>
      </c>
      <c r="AG312">
        <f>IF(AF312&lt;&gt;"",NETWORKDAYS(TODAY(),AF312),"")</f>
        <v/>
      </c>
      <c r="AH312">
        <f>IF(AJ312="Complete","Complete",IF(AG312&lt;0,"Overdue",IF(AG312&lt;=AE312*0.2,"At Risk","On Track")))</f>
        <v/>
      </c>
      <c r="AK312">
        <f>IF(OR(AH312="Overdue",AND(AD312="P0",AG312&lt;1),AND(AD312="P1",AG312&lt;3)),"Y","N")</f>
        <v/>
      </c>
    </row>
    <row r="313">
      <c r="K313">
        <f>IF(J313="v4.0",L313,IF(J313="v3.1",M313,IF(J313="Both",L313,IF(AND(L313&lt;&gt;"",M313=""),L313,M313))))</f>
        <v/>
      </c>
      <c r="Z313">
        <f>MIN(100,
(K313*5) +
(U313*10) +
IF(P313="Y",40,0) +
IF(Q313="P",30,0) +
IF(V313="Y",25,0) +
IF(W313="Y",20,0) +
IF(X313="Weaponized",15,IF(X313="PoC Available",10,IF(X313="Public Exploit",5,0))) +
IF(G313="Production",10,IF(G313="DMZ",8,IF(G313="DR/Backup",5,0))) +
IF(Y313="N",10,0)
)</f>
        <v/>
      </c>
      <c r="AA313">
        <f>IF(OR(P313="Y",AND(K313&gt;=9.0,W313="Y")),"P0",IF(Z313&gt;=80,"P0",IF(Z313&gt;=60,"P1",IF(Z313&gt;=40,"P2",IF(Z313&gt;=20,"P3","P4")))))</f>
        <v/>
      </c>
      <c r="AD313">
        <f>IF(AB313&lt;&gt;"",AB313,AA313)</f>
        <v/>
      </c>
      <c r="AE313">
        <f>VLOOKUP(AD313,SLA_Definitions!$A$2:$B$6,2,FALSE)</f>
        <v/>
      </c>
      <c r="AF313">
        <f>IF(B313&lt;&gt;"",WORKDAY(B313,AE313),"")</f>
        <v/>
      </c>
      <c r="AG313">
        <f>IF(AF313&lt;&gt;"",NETWORKDAYS(TODAY(),AF313),"")</f>
        <v/>
      </c>
      <c r="AH313">
        <f>IF(AJ313="Complete","Complete",IF(AG313&lt;0,"Overdue",IF(AG313&lt;=AE313*0.2,"At Risk","On Track")))</f>
        <v/>
      </c>
      <c r="AK313">
        <f>IF(OR(AH313="Overdue",AND(AD313="P0",AG313&lt;1),AND(AD313="P1",AG313&lt;3)),"Y","N")</f>
        <v/>
      </c>
    </row>
    <row r="314">
      <c r="K314">
        <f>IF(J314="v4.0",L314,IF(J314="v3.1",M314,IF(J314="Both",L314,IF(AND(L314&lt;&gt;"",M314=""),L314,M314))))</f>
        <v/>
      </c>
      <c r="Z314">
        <f>MIN(100,
(K314*5) +
(U314*10) +
IF(P314="Y",40,0) +
IF(Q314="P",30,0) +
IF(V314="Y",25,0) +
IF(W314="Y",20,0) +
IF(X314="Weaponized",15,IF(X314="PoC Available",10,IF(X314="Public Exploit",5,0))) +
IF(G314="Production",10,IF(G314="DMZ",8,IF(G314="DR/Backup",5,0))) +
IF(Y314="N",10,0)
)</f>
        <v/>
      </c>
      <c r="AA314">
        <f>IF(OR(P314="Y",AND(K314&gt;=9.0,W314="Y")),"P0",IF(Z314&gt;=80,"P0",IF(Z314&gt;=60,"P1",IF(Z314&gt;=40,"P2",IF(Z314&gt;=20,"P3","P4")))))</f>
        <v/>
      </c>
      <c r="AD314">
        <f>IF(AB314&lt;&gt;"",AB314,AA314)</f>
        <v/>
      </c>
      <c r="AE314">
        <f>VLOOKUP(AD314,SLA_Definitions!$A$2:$B$6,2,FALSE)</f>
        <v/>
      </c>
      <c r="AF314">
        <f>IF(B314&lt;&gt;"",WORKDAY(B314,AE314),"")</f>
        <v/>
      </c>
      <c r="AG314">
        <f>IF(AF314&lt;&gt;"",NETWORKDAYS(TODAY(),AF314),"")</f>
        <v/>
      </c>
      <c r="AH314">
        <f>IF(AJ314="Complete","Complete",IF(AG314&lt;0,"Overdue",IF(AG314&lt;=AE314*0.2,"At Risk","On Track")))</f>
        <v/>
      </c>
      <c r="AK314">
        <f>IF(OR(AH314="Overdue",AND(AD314="P0",AG314&lt;1),AND(AD314="P1",AG314&lt;3)),"Y","N")</f>
        <v/>
      </c>
    </row>
    <row r="315">
      <c r="K315">
        <f>IF(J315="v4.0",L315,IF(J315="v3.1",M315,IF(J315="Both",L315,IF(AND(L315&lt;&gt;"",M315=""),L315,M315))))</f>
        <v/>
      </c>
      <c r="Z315">
        <f>MIN(100,
(K315*5) +
(U315*10) +
IF(P315="Y",40,0) +
IF(Q315="P",30,0) +
IF(V315="Y",25,0) +
IF(W315="Y",20,0) +
IF(X315="Weaponized",15,IF(X315="PoC Available",10,IF(X315="Public Exploit",5,0))) +
IF(G315="Production",10,IF(G315="DMZ",8,IF(G315="DR/Backup",5,0))) +
IF(Y315="N",10,0)
)</f>
        <v/>
      </c>
      <c r="AA315">
        <f>IF(OR(P315="Y",AND(K315&gt;=9.0,W315="Y")),"P0",IF(Z315&gt;=80,"P0",IF(Z315&gt;=60,"P1",IF(Z315&gt;=40,"P2",IF(Z315&gt;=20,"P3","P4")))))</f>
        <v/>
      </c>
      <c r="AD315">
        <f>IF(AB315&lt;&gt;"",AB315,AA315)</f>
        <v/>
      </c>
      <c r="AE315">
        <f>VLOOKUP(AD315,SLA_Definitions!$A$2:$B$6,2,FALSE)</f>
        <v/>
      </c>
      <c r="AF315">
        <f>IF(B315&lt;&gt;"",WORKDAY(B315,AE315),"")</f>
        <v/>
      </c>
      <c r="AG315">
        <f>IF(AF315&lt;&gt;"",NETWORKDAYS(TODAY(),AF315),"")</f>
        <v/>
      </c>
      <c r="AH315">
        <f>IF(AJ315="Complete","Complete",IF(AG315&lt;0,"Overdue",IF(AG315&lt;=AE315*0.2,"At Risk","On Track")))</f>
        <v/>
      </c>
      <c r="AK315">
        <f>IF(OR(AH315="Overdue",AND(AD315="P0",AG315&lt;1),AND(AD315="P1",AG315&lt;3)),"Y","N")</f>
        <v/>
      </c>
    </row>
    <row r="316">
      <c r="K316">
        <f>IF(J316="v4.0",L316,IF(J316="v3.1",M316,IF(J316="Both",L316,IF(AND(L316&lt;&gt;"",M316=""),L316,M316))))</f>
        <v/>
      </c>
      <c r="Z316">
        <f>MIN(100,
(K316*5) +
(U316*10) +
IF(P316="Y",40,0) +
IF(Q316="P",30,0) +
IF(V316="Y",25,0) +
IF(W316="Y",20,0) +
IF(X316="Weaponized",15,IF(X316="PoC Available",10,IF(X316="Public Exploit",5,0))) +
IF(G316="Production",10,IF(G316="DMZ",8,IF(G316="DR/Backup",5,0))) +
IF(Y316="N",10,0)
)</f>
        <v/>
      </c>
      <c r="AA316">
        <f>IF(OR(P316="Y",AND(K316&gt;=9.0,W316="Y")),"P0",IF(Z316&gt;=80,"P0",IF(Z316&gt;=60,"P1",IF(Z316&gt;=40,"P2",IF(Z316&gt;=20,"P3","P4")))))</f>
        <v/>
      </c>
      <c r="AD316">
        <f>IF(AB316&lt;&gt;"",AB316,AA316)</f>
        <v/>
      </c>
      <c r="AE316">
        <f>VLOOKUP(AD316,SLA_Definitions!$A$2:$B$6,2,FALSE)</f>
        <v/>
      </c>
      <c r="AF316">
        <f>IF(B316&lt;&gt;"",WORKDAY(B316,AE316),"")</f>
        <v/>
      </c>
      <c r="AG316">
        <f>IF(AF316&lt;&gt;"",NETWORKDAYS(TODAY(),AF316),"")</f>
        <v/>
      </c>
      <c r="AH316">
        <f>IF(AJ316="Complete","Complete",IF(AG316&lt;0,"Overdue",IF(AG316&lt;=AE316*0.2,"At Risk","On Track")))</f>
        <v/>
      </c>
      <c r="AK316">
        <f>IF(OR(AH316="Overdue",AND(AD316="P0",AG316&lt;1),AND(AD316="P1",AG316&lt;3)),"Y","N")</f>
        <v/>
      </c>
    </row>
    <row r="317">
      <c r="K317">
        <f>IF(J317="v4.0",L317,IF(J317="v3.1",M317,IF(J317="Both",L317,IF(AND(L317&lt;&gt;"",M317=""),L317,M317))))</f>
        <v/>
      </c>
      <c r="Z317">
        <f>MIN(100,
(K317*5) +
(U317*10) +
IF(P317="Y",40,0) +
IF(Q317="P",30,0) +
IF(V317="Y",25,0) +
IF(W317="Y",20,0) +
IF(X317="Weaponized",15,IF(X317="PoC Available",10,IF(X317="Public Exploit",5,0))) +
IF(G317="Production",10,IF(G317="DMZ",8,IF(G317="DR/Backup",5,0))) +
IF(Y317="N",10,0)
)</f>
        <v/>
      </c>
      <c r="AA317">
        <f>IF(OR(P317="Y",AND(K317&gt;=9.0,W317="Y")),"P0",IF(Z317&gt;=80,"P0",IF(Z317&gt;=60,"P1",IF(Z317&gt;=40,"P2",IF(Z317&gt;=20,"P3","P4")))))</f>
        <v/>
      </c>
      <c r="AD317">
        <f>IF(AB317&lt;&gt;"",AB317,AA317)</f>
        <v/>
      </c>
      <c r="AE317">
        <f>VLOOKUP(AD317,SLA_Definitions!$A$2:$B$6,2,FALSE)</f>
        <v/>
      </c>
      <c r="AF317">
        <f>IF(B317&lt;&gt;"",WORKDAY(B317,AE317),"")</f>
        <v/>
      </c>
      <c r="AG317">
        <f>IF(AF317&lt;&gt;"",NETWORKDAYS(TODAY(),AF317),"")</f>
        <v/>
      </c>
      <c r="AH317">
        <f>IF(AJ317="Complete","Complete",IF(AG317&lt;0,"Overdue",IF(AG317&lt;=AE317*0.2,"At Risk","On Track")))</f>
        <v/>
      </c>
      <c r="AK317">
        <f>IF(OR(AH317="Overdue",AND(AD317="P0",AG317&lt;1),AND(AD317="P1",AG317&lt;3)),"Y","N")</f>
        <v/>
      </c>
    </row>
    <row r="318">
      <c r="K318">
        <f>IF(J318="v4.0",L318,IF(J318="v3.1",M318,IF(J318="Both",L318,IF(AND(L318&lt;&gt;"",M318=""),L318,M318))))</f>
        <v/>
      </c>
      <c r="Z318">
        <f>MIN(100,
(K318*5) +
(U318*10) +
IF(P318="Y",40,0) +
IF(Q318="P",30,0) +
IF(V318="Y",25,0) +
IF(W318="Y",20,0) +
IF(X318="Weaponized",15,IF(X318="PoC Available",10,IF(X318="Public Exploit",5,0))) +
IF(G318="Production",10,IF(G318="DMZ",8,IF(G318="DR/Backup",5,0))) +
IF(Y318="N",10,0)
)</f>
        <v/>
      </c>
      <c r="AA318">
        <f>IF(OR(P318="Y",AND(K318&gt;=9.0,W318="Y")),"P0",IF(Z318&gt;=80,"P0",IF(Z318&gt;=60,"P1",IF(Z318&gt;=40,"P2",IF(Z318&gt;=20,"P3","P4")))))</f>
        <v/>
      </c>
      <c r="AD318">
        <f>IF(AB318&lt;&gt;"",AB318,AA318)</f>
        <v/>
      </c>
      <c r="AE318">
        <f>VLOOKUP(AD318,SLA_Definitions!$A$2:$B$6,2,FALSE)</f>
        <v/>
      </c>
      <c r="AF318">
        <f>IF(B318&lt;&gt;"",WORKDAY(B318,AE318),"")</f>
        <v/>
      </c>
      <c r="AG318">
        <f>IF(AF318&lt;&gt;"",NETWORKDAYS(TODAY(),AF318),"")</f>
        <v/>
      </c>
      <c r="AH318">
        <f>IF(AJ318="Complete","Complete",IF(AG318&lt;0,"Overdue",IF(AG318&lt;=AE318*0.2,"At Risk","On Track")))</f>
        <v/>
      </c>
      <c r="AK318">
        <f>IF(OR(AH318="Overdue",AND(AD318="P0",AG318&lt;1),AND(AD318="P1",AG318&lt;3)),"Y","N")</f>
        <v/>
      </c>
    </row>
    <row r="319">
      <c r="K319">
        <f>IF(J319="v4.0",L319,IF(J319="v3.1",M319,IF(J319="Both",L319,IF(AND(L319&lt;&gt;"",M319=""),L319,M319))))</f>
        <v/>
      </c>
      <c r="Z319">
        <f>MIN(100,
(K319*5) +
(U319*10) +
IF(P319="Y",40,0) +
IF(Q319="P",30,0) +
IF(V319="Y",25,0) +
IF(W319="Y",20,0) +
IF(X319="Weaponized",15,IF(X319="PoC Available",10,IF(X319="Public Exploit",5,0))) +
IF(G319="Production",10,IF(G319="DMZ",8,IF(G319="DR/Backup",5,0))) +
IF(Y319="N",10,0)
)</f>
        <v/>
      </c>
      <c r="AA319">
        <f>IF(OR(P319="Y",AND(K319&gt;=9.0,W319="Y")),"P0",IF(Z319&gt;=80,"P0",IF(Z319&gt;=60,"P1",IF(Z319&gt;=40,"P2",IF(Z319&gt;=20,"P3","P4")))))</f>
        <v/>
      </c>
      <c r="AD319">
        <f>IF(AB319&lt;&gt;"",AB319,AA319)</f>
        <v/>
      </c>
      <c r="AE319">
        <f>VLOOKUP(AD319,SLA_Definitions!$A$2:$B$6,2,FALSE)</f>
        <v/>
      </c>
      <c r="AF319">
        <f>IF(B319&lt;&gt;"",WORKDAY(B319,AE319),"")</f>
        <v/>
      </c>
      <c r="AG319">
        <f>IF(AF319&lt;&gt;"",NETWORKDAYS(TODAY(),AF319),"")</f>
        <v/>
      </c>
      <c r="AH319">
        <f>IF(AJ319="Complete","Complete",IF(AG319&lt;0,"Overdue",IF(AG319&lt;=AE319*0.2,"At Risk","On Track")))</f>
        <v/>
      </c>
      <c r="AK319">
        <f>IF(OR(AH319="Overdue",AND(AD319="P0",AG319&lt;1),AND(AD319="P1",AG319&lt;3)),"Y","N")</f>
        <v/>
      </c>
    </row>
    <row r="320">
      <c r="K320">
        <f>IF(J320="v4.0",L320,IF(J320="v3.1",M320,IF(J320="Both",L320,IF(AND(L320&lt;&gt;"",M320=""),L320,M320))))</f>
        <v/>
      </c>
      <c r="Z320">
        <f>MIN(100,
(K320*5) +
(U320*10) +
IF(P320="Y",40,0) +
IF(Q320="P",30,0) +
IF(V320="Y",25,0) +
IF(W320="Y",20,0) +
IF(X320="Weaponized",15,IF(X320="PoC Available",10,IF(X320="Public Exploit",5,0))) +
IF(G320="Production",10,IF(G320="DMZ",8,IF(G320="DR/Backup",5,0))) +
IF(Y320="N",10,0)
)</f>
        <v/>
      </c>
      <c r="AA320">
        <f>IF(OR(P320="Y",AND(K320&gt;=9.0,W320="Y")),"P0",IF(Z320&gt;=80,"P0",IF(Z320&gt;=60,"P1",IF(Z320&gt;=40,"P2",IF(Z320&gt;=20,"P3","P4")))))</f>
        <v/>
      </c>
      <c r="AD320">
        <f>IF(AB320&lt;&gt;"",AB320,AA320)</f>
        <v/>
      </c>
      <c r="AE320">
        <f>VLOOKUP(AD320,SLA_Definitions!$A$2:$B$6,2,FALSE)</f>
        <v/>
      </c>
      <c r="AF320">
        <f>IF(B320&lt;&gt;"",WORKDAY(B320,AE320),"")</f>
        <v/>
      </c>
      <c r="AG320">
        <f>IF(AF320&lt;&gt;"",NETWORKDAYS(TODAY(),AF320),"")</f>
        <v/>
      </c>
      <c r="AH320">
        <f>IF(AJ320="Complete","Complete",IF(AG320&lt;0,"Overdue",IF(AG320&lt;=AE320*0.2,"At Risk","On Track")))</f>
        <v/>
      </c>
      <c r="AK320">
        <f>IF(OR(AH320="Overdue",AND(AD320="P0",AG320&lt;1),AND(AD320="P1",AG320&lt;3)),"Y","N")</f>
        <v/>
      </c>
    </row>
    <row r="321">
      <c r="K321">
        <f>IF(J321="v4.0",L321,IF(J321="v3.1",M321,IF(J321="Both",L321,IF(AND(L321&lt;&gt;"",M321=""),L321,M321))))</f>
        <v/>
      </c>
      <c r="Z321">
        <f>MIN(100,
(K321*5) +
(U321*10) +
IF(P321="Y",40,0) +
IF(Q321="P",30,0) +
IF(V321="Y",25,0) +
IF(W321="Y",20,0) +
IF(X321="Weaponized",15,IF(X321="PoC Available",10,IF(X321="Public Exploit",5,0))) +
IF(G321="Production",10,IF(G321="DMZ",8,IF(G321="DR/Backup",5,0))) +
IF(Y321="N",10,0)
)</f>
        <v/>
      </c>
      <c r="AA321">
        <f>IF(OR(P321="Y",AND(K321&gt;=9.0,W321="Y")),"P0",IF(Z321&gt;=80,"P0",IF(Z321&gt;=60,"P1",IF(Z321&gt;=40,"P2",IF(Z321&gt;=20,"P3","P4")))))</f>
        <v/>
      </c>
      <c r="AD321">
        <f>IF(AB321&lt;&gt;"",AB321,AA321)</f>
        <v/>
      </c>
      <c r="AE321">
        <f>VLOOKUP(AD321,SLA_Definitions!$A$2:$B$6,2,FALSE)</f>
        <v/>
      </c>
      <c r="AF321">
        <f>IF(B321&lt;&gt;"",WORKDAY(B321,AE321),"")</f>
        <v/>
      </c>
      <c r="AG321">
        <f>IF(AF321&lt;&gt;"",NETWORKDAYS(TODAY(),AF321),"")</f>
        <v/>
      </c>
      <c r="AH321">
        <f>IF(AJ321="Complete","Complete",IF(AG321&lt;0,"Overdue",IF(AG321&lt;=AE321*0.2,"At Risk","On Track")))</f>
        <v/>
      </c>
      <c r="AK321">
        <f>IF(OR(AH321="Overdue",AND(AD321="P0",AG321&lt;1),AND(AD321="P1",AG321&lt;3)),"Y","N")</f>
        <v/>
      </c>
    </row>
    <row r="322">
      <c r="K322">
        <f>IF(J322="v4.0",L322,IF(J322="v3.1",M322,IF(J322="Both",L322,IF(AND(L322&lt;&gt;"",M322=""),L322,M322))))</f>
        <v/>
      </c>
      <c r="Z322">
        <f>MIN(100,
(K322*5) +
(U322*10) +
IF(P322="Y",40,0) +
IF(Q322="P",30,0) +
IF(V322="Y",25,0) +
IF(W322="Y",20,0) +
IF(X322="Weaponized",15,IF(X322="PoC Available",10,IF(X322="Public Exploit",5,0))) +
IF(G322="Production",10,IF(G322="DMZ",8,IF(G322="DR/Backup",5,0))) +
IF(Y322="N",10,0)
)</f>
        <v/>
      </c>
      <c r="AA322">
        <f>IF(OR(P322="Y",AND(K322&gt;=9.0,W322="Y")),"P0",IF(Z322&gt;=80,"P0",IF(Z322&gt;=60,"P1",IF(Z322&gt;=40,"P2",IF(Z322&gt;=20,"P3","P4")))))</f>
        <v/>
      </c>
      <c r="AD322">
        <f>IF(AB322&lt;&gt;"",AB322,AA322)</f>
        <v/>
      </c>
      <c r="AE322">
        <f>VLOOKUP(AD322,SLA_Definitions!$A$2:$B$6,2,FALSE)</f>
        <v/>
      </c>
      <c r="AF322">
        <f>IF(B322&lt;&gt;"",WORKDAY(B322,AE322),"")</f>
        <v/>
      </c>
      <c r="AG322">
        <f>IF(AF322&lt;&gt;"",NETWORKDAYS(TODAY(),AF322),"")</f>
        <v/>
      </c>
      <c r="AH322">
        <f>IF(AJ322="Complete","Complete",IF(AG322&lt;0,"Overdue",IF(AG322&lt;=AE322*0.2,"At Risk","On Track")))</f>
        <v/>
      </c>
      <c r="AK322">
        <f>IF(OR(AH322="Overdue",AND(AD322="P0",AG322&lt;1),AND(AD322="P1",AG322&lt;3)),"Y","N")</f>
        <v/>
      </c>
    </row>
    <row r="323">
      <c r="K323">
        <f>IF(J323="v4.0",L323,IF(J323="v3.1",M323,IF(J323="Both",L323,IF(AND(L323&lt;&gt;"",M323=""),L323,M323))))</f>
        <v/>
      </c>
      <c r="Z323">
        <f>MIN(100,
(K323*5) +
(U323*10) +
IF(P323="Y",40,0) +
IF(Q323="P",30,0) +
IF(V323="Y",25,0) +
IF(W323="Y",20,0) +
IF(X323="Weaponized",15,IF(X323="PoC Available",10,IF(X323="Public Exploit",5,0))) +
IF(G323="Production",10,IF(G323="DMZ",8,IF(G323="DR/Backup",5,0))) +
IF(Y323="N",10,0)
)</f>
        <v/>
      </c>
      <c r="AA323">
        <f>IF(OR(P323="Y",AND(K323&gt;=9.0,W323="Y")),"P0",IF(Z323&gt;=80,"P0",IF(Z323&gt;=60,"P1",IF(Z323&gt;=40,"P2",IF(Z323&gt;=20,"P3","P4")))))</f>
        <v/>
      </c>
      <c r="AD323">
        <f>IF(AB323&lt;&gt;"",AB323,AA323)</f>
        <v/>
      </c>
      <c r="AE323">
        <f>VLOOKUP(AD323,SLA_Definitions!$A$2:$B$6,2,FALSE)</f>
        <v/>
      </c>
      <c r="AF323">
        <f>IF(B323&lt;&gt;"",WORKDAY(B323,AE323),"")</f>
        <v/>
      </c>
      <c r="AG323">
        <f>IF(AF323&lt;&gt;"",NETWORKDAYS(TODAY(),AF323),"")</f>
        <v/>
      </c>
      <c r="AH323">
        <f>IF(AJ323="Complete","Complete",IF(AG323&lt;0,"Overdue",IF(AG323&lt;=AE323*0.2,"At Risk","On Track")))</f>
        <v/>
      </c>
      <c r="AK323">
        <f>IF(OR(AH323="Overdue",AND(AD323="P0",AG323&lt;1),AND(AD323="P1",AG323&lt;3)),"Y","N")</f>
        <v/>
      </c>
    </row>
    <row r="324">
      <c r="K324">
        <f>IF(J324="v4.0",L324,IF(J324="v3.1",M324,IF(J324="Both",L324,IF(AND(L324&lt;&gt;"",M324=""),L324,M324))))</f>
        <v/>
      </c>
      <c r="Z324">
        <f>MIN(100,
(K324*5) +
(U324*10) +
IF(P324="Y",40,0) +
IF(Q324="P",30,0) +
IF(V324="Y",25,0) +
IF(W324="Y",20,0) +
IF(X324="Weaponized",15,IF(X324="PoC Available",10,IF(X324="Public Exploit",5,0))) +
IF(G324="Production",10,IF(G324="DMZ",8,IF(G324="DR/Backup",5,0))) +
IF(Y324="N",10,0)
)</f>
        <v/>
      </c>
      <c r="AA324">
        <f>IF(OR(P324="Y",AND(K324&gt;=9.0,W324="Y")),"P0",IF(Z324&gt;=80,"P0",IF(Z324&gt;=60,"P1",IF(Z324&gt;=40,"P2",IF(Z324&gt;=20,"P3","P4")))))</f>
        <v/>
      </c>
      <c r="AD324">
        <f>IF(AB324&lt;&gt;"",AB324,AA324)</f>
        <v/>
      </c>
      <c r="AE324">
        <f>VLOOKUP(AD324,SLA_Definitions!$A$2:$B$6,2,FALSE)</f>
        <v/>
      </c>
      <c r="AF324">
        <f>IF(B324&lt;&gt;"",WORKDAY(B324,AE324),"")</f>
        <v/>
      </c>
      <c r="AG324">
        <f>IF(AF324&lt;&gt;"",NETWORKDAYS(TODAY(),AF324),"")</f>
        <v/>
      </c>
      <c r="AH324">
        <f>IF(AJ324="Complete","Complete",IF(AG324&lt;0,"Overdue",IF(AG324&lt;=AE324*0.2,"At Risk","On Track")))</f>
        <v/>
      </c>
      <c r="AK324">
        <f>IF(OR(AH324="Overdue",AND(AD324="P0",AG324&lt;1),AND(AD324="P1",AG324&lt;3)),"Y","N")</f>
        <v/>
      </c>
    </row>
    <row r="325">
      <c r="K325">
        <f>IF(J325="v4.0",L325,IF(J325="v3.1",M325,IF(J325="Both",L325,IF(AND(L325&lt;&gt;"",M325=""),L325,M325))))</f>
        <v/>
      </c>
      <c r="Z325">
        <f>MIN(100,
(K325*5) +
(U325*10) +
IF(P325="Y",40,0) +
IF(Q325="P",30,0) +
IF(V325="Y",25,0) +
IF(W325="Y",20,0) +
IF(X325="Weaponized",15,IF(X325="PoC Available",10,IF(X325="Public Exploit",5,0))) +
IF(G325="Production",10,IF(G325="DMZ",8,IF(G325="DR/Backup",5,0))) +
IF(Y325="N",10,0)
)</f>
        <v/>
      </c>
      <c r="AA325">
        <f>IF(OR(P325="Y",AND(K325&gt;=9.0,W325="Y")),"P0",IF(Z325&gt;=80,"P0",IF(Z325&gt;=60,"P1",IF(Z325&gt;=40,"P2",IF(Z325&gt;=20,"P3","P4")))))</f>
        <v/>
      </c>
      <c r="AD325">
        <f>IF(AB325&lt;&gt;"",AB325,AA325)</f>
        <v/>
      </c>
      <c r="AE325">
        <f>VLOOKUP(AD325,SLA_Definitions!$A$2:$B$6,2,FALSE)</f>
        <v/>
      </c>
      <c r="AF325">
        <f>IF(B325&lt;&gt;"",WORKDAY(B325,AE325),"")</f>
        <v/>
      </c>
      <c r="AG325">
        <f>IF(AF325&lt;&gt;"",NETWORKDAYS(TODAY(),AF325),"")</f>
        <v/>
      </c>
      <c r="AH325">
        <f>IF(AJ325="Complete","Complete",IF(AG325&lt;0,"Overdue",IF(AG325&lt;=AE325*0.2,"At Risk","On Track")))</f>
        <v/>
      </c>
      <c r="AK325">
        <f>IF(OR(AH325="Overdue",AND(AD325="P0",AG325&lt;1),AND(AD325="P1",AG325&lt;3)),"Y","N")</f>
        <v/>
      </c>
    </row>
    <row r="326">
      <c r="K326">
        <f>IF(J326="v4.0",L326,IF(J326="v3.1",M326,IF(J326="Both",L326,IF(AND(L326&lt;&gt;"",M326=""),L326,M326))))</f>
        <v/>
      </c>
      <c r="Z326">
        <f>MIN(100,
(K326*5) +
(U326*10) +
IF(P326="Y",40,0) +
IF(Q326="P",30,0) +
IF(V326="Y",25,0) +
IF(W326="Y",20,0) +
IF(X326="Weaponized",15,IF(X326="PoC Available",10,IF(X326="Public Exploit",5,0))) +
IF(G326="Production",10,IF(G326="DMZ",8,IF(G326="DR/Backup",5,0))) +
IF(Y326="N",10,0)
)</f>
        <v/>
      </c>
      <c r="AA326">
        <f>IF(OR(P326="Y",AND(K326&gt;=9.0,W326="Y")),"P0",IF(Z326&gt;=80,"P0",IF(Z326&gt;=60,"P1",IF(Z326&gt;=40,"P2",IF(Z326&gt;=20,"P3","P4")))))</f>
        <v/>
      </c>
      <c r="AD326">
        <f>IF(AB326&lt;&gt;"",AB326,AA326)</f>
        <v/>
      </c>
      <c r="AE326">
        <f>VLOOKUP(AD326,SLA_Definitions!$A$2:$B$6,2,FALSE)</f>
        <v/>
      </c>
      <c r="AF326">
        <f>IF(B326&lt;&gt;"",WORKDAY(B326,AE326),"")</f>
        <v/>
      </c>
      <c r="AG326">
        <f>IF(AF326&lt;&gt;"",NETWORKDAYS(TODAY(),AF326),"")</f>
        <v/>
      </c>
      <c r="AH326">
        <f>IF(AJ326="Complete","Complete",IF(AG326&lt;0,"Overdue",IF(AG326&lt;=AE326*0.2,"At Risk","On Track")))</f>
        <v/>
      </c>
      <c r="AK326">
        <f>IF(OR(AH326="Overdue",AND(AD326="P0",AG326&lt;1),AND(AD326="P1",AG326&lt;3)),"Y","N")</f>
        <v/>
      </c>
    </row>
    <row r="327">
      <c r="K327">
        <f>IF(J327="v4.0",L327,IF(J327="v3.1",M327,IF(J327="Both",L327,IF(AND(L327&lt;&gt;"",M327=""),L327,M327))))</f>
        <v/>
      </c>
      <c r="Z327">
        <f>MIN(100,
(K327*5) +
(U327*10) +
IF(P327="Y",40,0) +
IF(Q327="P",30,0) +
IF(V327="Y",25,0) +
IF(W327="Y",20,0) +
IF(X327="Weaponized",15,IF(X327="PoC Available",10,IF(X327="Public Exploit",5,0))) +
IF(G327="Production",10,IF(G327="DMZ",8,IF(G327="DR/Backup",5,0))) +
IF(Y327="N",10,0)
)</f>
        <v/>
      </c>
      <c r="AA327">
        <f>IF(OR(P327="Y",AND(K327&gt;=9.0,W327="Y")),"P0",IF(Z327&gt;=80,"P0",IF(Z327&gt;=60,"P1",IF(Z327&gt;=40,"P2",IF(Z327&gt;=20,"P3","P4")))))</f>
        <v/>
      </c>
      <c r="AD327">
        <f>IF(AB327&lt;&gt;"",AB327,AA327)</f>
        <v/>
      </c>
      <c r="AE327">
        <f>VLOOKUP(AD327,SLA_Definitions!$A$2:$B$6,2,FALSE)</f>
        <v/>
      </c>
      <c r="AF327">
        <f>IF(B327&lt;&gt;"",WORKDAY(B327,AE327),"")</f>
        <v/>
      </c>
      <c r="AG327">
        <f>IF(AF327&lt;&gt;"",NETWORKDAYS(TODAY(),AF327),"")</f>
        <v/>
      </c>
      <c r="AH327">
        <f>IF(AJ327="Complete","Complete",IF(AG327&lt;0,"Overdue",IF(AG327&lt;=AE327*0.2,"At Risk","On Track")))</f>
        <v/>
      </c>
      <c r="AK327">
        <f>IF(OR(AH327="Overdue",AND(AD327="P0",AG327&lt;1),AND(AD327="P1",AG327&lt;3)),"Y","N")</f>
        <v/>
      </c>
    </row>
    <row r="328">
      <c r="K328">
        <f>IF(J328="v4.0",L328,IF(J328="v3.1",M328,IF(J328="Both",L328,IF(AND(L328&lt;&gt;"",M328=""),L328,M328))))</f>
        <v/>
      </c>
      <c r="Z328">
        <f>MIN(100,
(K328*5) +
(U328*10) +
IF(P328="Y",40,0) +
IF(Q328="P",30,0) +
IF(V328="Y",25,0) +
IF(W328="Y",20,0) +
IF(X328="Weaponized",15,IF(X328="PoC Available",10,IF(X328="Public Exploit",5,0))) +
IF(G328="Production",10,IF(G328="DMZ",8,IF(G328="DR/Backup",5,0))) +
IF(Y328="N",10,0)
)</f>
        <v/>
      </c>
      <c r="AA328">
        <f>IF(OR(P328="Y",AND(K328&gt;=9.0,W328="Y")),"P0",IF(Z328&gt;=80,"P0",IF(Z328&gt;=60,"P1",IF(Z328&gt;=40,"P2",IF(Z328&gt;=20,"P3","P4")))))</f>
        <v/>
      </c>
      <c r="AD328">
        <f>IF(AB328&lt;&gt;"",AB328,AA328)</f>
        <v/>
      </c>
      <c r="AE328">
        <f>VLOOKUP(AD328,SLA_Definitions!$A$2:$B$6,2,FALSE)</f>
        <v/>
      </c>
      <c r="AF328">
        <f>IF(B328&lt;&gt;"",WORKDAY(B328,AE328),"")</f>
        <v/>
      </c>
      <c r="AG328">
        <f>IF(AF328&lt;&gt;"",NETWORKDAYS(TODAY(),AF328),"")</f>
        <v/>
      </c>
      <c r="AH328">
        <f>IF(AJ328="Complete","Complete",IF(AG328&lt;0,"Overdue",IF(AG328&lt;=AE328*0.2,"At Risk","On Track")))</f>
        <v/>
      </c>
      <c r="AK328">
        <f>IF(OR(AH328="Overdue",AND(AD328="P0",AG328&lt;1),AND(AD328="P1",AG328&lt;3)),"Y","N")</f>
        <v/>
      </c>
    </row>
    <row r="329">
      <c r="K329">
        <f>IF(J329="v4.0",L329,IF(J329="v3.1",M329,IF(J329="Both",L329,IF(AND(L329&lt;&gt;"",M329=""),L329,M329))))</f>
        <v/>
      </c>
      <c r="Z329">
        <f>MIN(100,
(K329*5) +
(U329*10) +
IF(P329="Y",40,0) +
IF(Q329="P",30,0) +
IF(V329="Y",25,0) +
IF(W329="Y",20,0) +
IF(X329="Weaponized",15,IF(X329="PoC Available",10,IF(X329="Public Exploit",5,0))) +
IF(G329="Production",10,IF(G329="DMZ",8,IF(G329="DR/Backup",5,0))) +
IF(Y329="N",10,0)
)</f>
        <v/>
      </c>
      <c r="AA329">
        <f>IF(OR(P329="Y",AND(K329&gt;=9.0,W329="Y")),"P0",IF(Z329&gt;=80,"P0",IF(Z329&gt;=60,"P1",IF(Z329&gt;=40,"P2",IF(Z329&gt;=20,"P3","P4")))))</f>
        <v/>
      </c>
      <c r="AD329">
        <f>IF(AB329&lt;&gt;"",AB329,AA329)</f>
        <v/>
      </c>
      <c r="AE329">
        <f>VLOOKUP(AD329,SLA_Definitions!$A$2:$B$6,2,FALSE)</f>
        <v/>
      </c>
      <c r="AF329">
        <f>IF(B329&lt;&gt;"",WORKDAY(B329,AE329),"")</f>
        <v/>
      </c>
      <c r="AG329">
        <f>IF(AF329&lt;&gt;"",NETWORKDAYS(TODAY(),AF329),"")</f>
        <v/>
      </c>
      <c r="AH329">
        <f>IF(AJ329="Complete","Complete",IF(AG329&lt;0,"Overdue",IF(AG329&lt;=AE329*0.2,"At Risk","On Track")))</f>
        <v/>
      </c>
      <c r="AK329">
        <f>IF(OR(AH329="Overdue",AND(AD329="P0",AG329&lt;1),AND(AD329="P1",AG329&lt;3)),"Y","N")</f>
        <v/>
      </c>
    </row>
    <row r="330">
      <c r="K330">
        <f>IF(J330="v4.0",L330,IF(J330="v3.1",M330,IF(J330="Both",L330,IF(AND(L330&lt;&gt;"",M330=""),L330,M330))))</f>
        <v/>
      </c>
      <c r="Z330">
        <f>MIN(100,
(K330*5) +
(U330*10) +
IF(P330="Y",40,0) +
IF(Q330="P",30,0) +
IF(V330="Y",25,0) +
IF(W330="Y",20,0) +
IF(X330="Weaponized",15,IF(X330="PoC Available",10,IF(X330="Public Exploit",5,0))) +
IF(G330="Production",10,IF(G330="DMZ",8,IF(G330="DR/Backup",5,0))) +
IF(Y330="N",10,0)
)</f>
        <v/>
      </c>
      <c r="AA330">
        <f>IF(OR(P330="Y",AND(K330&gt;=9.0,W330="Y")),"P0",IF(Z330&gt;=80,"P0",IF(Z330&gt;=60,"P1",IF(Z330&gt;=40,"P2",IF(Z330&gt;=20,"P3","P4")))))</f>
        <v/>
      </c>
      <c r="AD330">
        <f>IF(AB330&lt;&gt;"",AB330,AA330)</f>
        <v/>
      </c>
      <c r="AE330">
        <f>VLOOKUP(AD330,SLA_Definitions!$A$2:$B$6,2,FALSE)</f>
        <v/>
      </c>
      <c r="AF330">
        <f>IF(B330&lt;&gt;"",WORKDAY(B330,AE330),"")</f>
        <v/>
      </c>
      <c r="AG330">
        <f>IF(AF330&lt;&gt;"",NETWORKDAYS(TODAY(),AF330),"")</f>
        <v/>
      </c>
      <c r="AH330">
        <f>IF(AJ330="Complete","Complete",IF(AG330&lt;0,"Overdue",IF(AG330&lt;=AE330*0.2,"At Risk","On Track")))</f>
        <v/>
      </c>
      <c r="AK330">
        <f>IF(OR(AH330="Overdue",AND(AD330="P0",AG330&lt;1),AND(AD330="P1",AG330&lt;3)),"Y","N")</f>
        <v/>
      </c>
    </row>
    <row r="331">
      <c r="K331">
        <f>IF(J331="v4.0",L331,IF(J331="v3.1",M331,IF(J331="Both",L331,IF(AND(L331&lt;&gt;"",M331=""),L331,M331))))</f>
        <v/>
      </c>
      <c r="Z331">
        <f>MIN(100,
(K331*5) +
(U331*10) +
IF(P331="Y",40,0) +
IF(Q331="P",30,0) +
IF(V331="Y",25,0) +
IF(W331="Y",20,0) +
IF(X331="Weaponized",15,IF(X331="PoC Available",10,IF(X331="Public Exploit",5,0))) +
IF(G331="Production",10,IF(G331="DMZ",8,IF(G331="DR/Backup",5,0))) +
IF(Y331="N",10,0)
)</f>
        <v/>
      </c>
      <c r="AA331">
        <f>IF(OR(P331="Y",AND(K331&gt;=9.0,W331="Y")),"P0",IF(Z331&gt;=80,"P0",IF(Z331&gt;=60,"P1",IF(Z331&gt;=40,"P2",IF(Z331&gt;=20,"P3","P4")))))</f>
        <v/>
      </c>
      <c r="AD331">
        <f>IF(AB331&lt;&gt;"",AB331,AA331)</f>
        <v/>
      </c>
      <c r="AE331">
        <f>VLOOKUP(AD331,SLA_Definitions!$A$2:$B$6,2,FALSE)</f>
        <v/>
      </c>
      <c r="AF331">
        <f>IF(B331&lt;&gt;"",WORKDAY(B331,AE331),"")</f>
        <v/>
      </c>
      <c r="AG331">
        <f>IF(AF331&lt;&gt;"",NETWORKDAYS(TODAY(),AF331),"")</f>
        <v/>
      </c>
      <c r="AH331">
        <f>IF(AJ331="Complete","Complete",IF(AG331&lt;0,"Overdue",IF(AG331&lt;=AE331*0.2,"At Risk","On Track")))</f>
        <v/>
      </c>
      <c r="AK331">
        <f>IF(OR(AH331="Overdue",AND(AD331="P0",AG331&lt;1),AND(AD331="P1",AG331&lt;3)),"Y","N")</f>
        <v/>
      </c>
    </row>
    <row r="332">
      <c r="K332">
        <f>IF(J332="v4.0",L332,IF(J332="v3.1",M332,IF(J332="Both",L332,IF(AND(L332&lt;&gt;"",M332=""),L332,M332))))</f>
        <v/>
      </c>
      <c r="Z332">
        <f>MIN(100,
(K332*5) +
(U332*10) +
IF(P332="Y",40,0) +
IF(Q332="P",30,0) +
IF(V332="Y",25,0) +
IF(W332="Y",20,0) +
IF(X332="Weaponized",15,IF(X332="PoC Available",10,IF(X332="Public Exploit",5,0))) +
IF(G332="Production",10,IF(G332="DMZ",8,IF(G332="DR/Backup",5,0))) +
IF(Y332="N",10,0)
)</f>
        <v/>
      </c>
      <c r="AA332">
        <f>IF(OR(P332="Y",AND(K332&gt;=9.0,W332="Y")),"P0",IF(Z332&gt;=80,"P0",IF(Z332&gt;=60,"P1",IF(Z332&gt;=40,"P2",IF(Z332&gt;=20,"P3","P4")))))</f>
        <v/>
      </c>
      <c r="AD332">
        <f>IF(AB332&lt;&gt;"",AB332,AA332)</f>
        <v/>
      </c>
      <c r="AE332">
        <f>VLOOKUP(AD332,SLA_Definitions!$A$2:$B$6,2,FALSE)</f>
        <v/>
      </c>
      <c r="AF332">
        <f>IF(B332&lt;&gt;"",WORKDAY(B332,AE332),"")</f>
        <v/>
      </c>
      <c r="AG332">
        <f>IF(AF332&lt;&gt;"",NETWORKDAYS(TODAY(),AF332),"")</f>
        <v/>
      </c>
      <c r="AH332">
        <f>IF(AJ332="Complete","Complete",IF(AG332&lt;0,"Overdue",IF(AG332&lt;=AE332*0.2,"At Risk","On Track")))</f>
        <v/>
      </c>
      <c r="AK332">
        <f>IF(OR(AH332="Overdue",AND(AD332="P0",AG332&lt;1),AND(AD332="P1",AG332&lt;3)),"Y","N")</f>
        <v/>
      </c>
    </row>
    <row r="333">
      <c r="K333">
        <f>IF(J333="v4.0",L333,IF(J333="v3.1",M333,IF(J333="Both",L333,IF(AND(L333&lt;&gt;"",M333=""),L333,M333))))</f>
        <v/>
      </c>
      <c r="Z333">
        <f>MIN(100,
(K333*5) +
(U333*10) +
IF(P333="Y",40,0) +
IF(Q333="P",30,0) +
IF(V333="Y",25,0) +
IF(W333="Y",20,0) +
IF(X333="Weaponized",15,IF(X333="PoC Available",10,IF(X333="Public Exploit",5,0))) +
IF(G333="Production",10,IF(G333="DMZ",8,IF(G333="DR/Backup",5,0))) +
IF(Y333="N",10,0)
)</f>
        <v/>
      </c>
      <c r="AA333">
        <f>IF(OR(P333="Y",AND(K333&gt;=9.0,W333="Y")),"P0",IF(Z333&gt;=80,"P0",IF(Z333&gt;=60,"P1",IF(Z333&gt;=40,"P2",IF(Z333&gt;=20,"P3","P4")))))</f>
        <v/>
      </c>
      <c r="AD333">
        <f>IF(AB333&lt;&gt;"",AB333,AA333)</f>
        <v/>
      </c>
      <c r="AE333">
        <f>VLOOKUP(AD333,SLA_Definitions!$A$2:$B$6,2,FALSE)</f>
        <v/>
      </c>
      <c r="AF333">
        <f>IF(B333&lt;&gt;"",WORKDAY(B333,AE333),"")</f>
        <v/>
      </c>
      <c r="AG333">
        <f>IF(AF333&lt;&gt;"",NETWORKDAYS(TODAY(),AF333),"")</f>
        <v/>
      </c>
      <c r="AH333">
        <f>IF(AJ333="Complete","Complete",IF(AG333&lt;0,"Overdue",IF(AG333&lt;=AE333*0.2,"At Risk","On Track")))</f>
        <v/>
      </c>
      <c r="AK333">
        <f>IF(OR(AH333="Overdue",AND(AD333="P0",AG333&lt;1),AND(AD333="P1",AG333&lt;3)),"Y","N")</f>
        <v/>
      </c>
    </row>
    <row r="334">
      <c r="K334">
        <f>IF(J334="v4.0",L334,IF(J334="v3.1",M334,IF(J334="Both",L334,IF(AND(L334&lt;&gt;"",M334=""),L334,M334))))</f>
        <v/>
      </c>
      <c r="Z334">
        <f>MIN(100,
(K334*5) +
(U334*10) +
IF(P334="Y",40,0) +
IF(Q334="P",30,0) +
IF(V334="Y",25,0) +
IF(W334="Y",20,0) +
IF(X334="Weaponized",15,IF(X334="PoC Available",10,IF(X334="Public Exploit",5,0))) +
IF(G334="Production",10,IF(G334="DMZ",8,IF(G334="DR/Backup",5,0))) +
IF(Y334="N",10,0)
)</f>
        <v/>
      </c>
      <c r="AA334">
        <f>IF(OR(P334="Y",AND(K334&gt;=9.0,W334="Y")),"P0",IF(Z334&gt;=80,"P0",IF(Z334&gt;=60,"P1",IF(Z334&gt;=40,"P2",IF(Z334&gt;=20,"P3","P4")))))</f>
        <v/>
      </c>
      <c r="AD334">
        <f>IF(AB334&lt;&gt;"",AB334,AA334)</f>
        <v/>
      </c>
      <c r="AE334">
        <f>VLOOKUP(AD334,SLA_Definitions!$A$2:$B$6,2,FALSE)</f>
        <v/>
      </c>
      <c r="AF334">
        <f>IF(B334&lt;&gt;"",WORKDAY(B334,AE334),"")</f>
        <v/>
      </c>
      <c r="AG334">
        <f>IF(AF334&lt;&gt;"",NETWORKDAYS(TODAY(),AF334),"")</f>
        <v/>
      </c>
      <c r="AH334">
        <f>IF(AJ334="Complete","Complete",IF(AG334&lt;0,"Overdue",IF(AG334&lt;=AE334*0.2,"At Risk","On Track")))</f>
        <v/>
      </c>
      <c r="AK334">
        <f>IF(OR(AH334="Overdue",AND(AD334="P0",AG334&lt;1),AND(AD334="P1",AG334&lt;3)),"Y","N")</f>
        <v/>
      </c>
    </row>
    <row r="335">
      <c r="K335">
        <f>IF(J335="v4.0",L335,IF(J335="v3.1",M335,IF(J335="Both",L335,IF(AND(L335&lt;&gt;"",M335=""),L335,M335))))</f>
        <v/>
      </c>
      <c r="Z335">
        <f>MIN(100,
(K335*5) +
(U335*10) +
IF(P335="Y",40,0) +
IF(Q335="P",30,0) +
IF(V335="Y",25,0) +
IF(W335="Y",20,0) +
IF(X335="Weaponized",15,IF(X335="PoC Available",10,IF(X335="Public Exploit",5,0))) +
IF(G335="Production",10,IF(G335="DMZ",8,IF(G335="DR/Backup",5,0))) +
IF(Y335="N",10,0)
)</f>
        <v/>
      </c>
      <c r="AA335">
        <f>IF(OR(P335="Y",AND(K335&gt;=9.0,W335="Y")),"P0",IF(Z335&gt;=80,"P0",IF(Z335&gt;=60,"P1",IF(Z335&gt;=40,"P2",IF(Z335&gt;=20,"P3","P4")))))</f>
        <v/>
      </c>
      <c r="AD335">
        <f>IF(AB335&lt;&gt;"",AB335,AA335)</f>
        <v/>
      </c>
      <c r="AE335">
        <f>VLOOKUP(AD335,SLA_Definitions!$A$2:$B$6,2,FALSE)</f>
        <v/>
      </c>
      <c r="AF335">
        <f>IF(B335&lt;&gt;"",WORKDAY(B335,AE335),"")</f>
        <v/>
      </c>
      <c r="AG335">
        <f>IF(AF335&lt;&gt;"",NETWORKDAYS(TODAY(),AF335),"")</f>
        <v/>
      </c>
      <c r="AH335">
        <f>IF(AJ335="Complete","Complete",IF(AG335&lt;0,"Overdue",IF(AG335&lt;=AE335*0.2,"At Risk","On Track")))</f>
        <v/>
      </c>
      <c r="AK335">
        <f>IF(OR(AH335="Overdue",AND(AD335="P0",AG335&lt;1),AND(AD335="P1",AG335&lt;3)),"Y","N")</f>
        <v/>
      </c>
    </row>
    <row r="336">
      <c r="K336">
        <f>IF(J336="v4.0",L336,IF(J336="v3.1",M336,IF(J336="Both",L336,IF(AND(L336&lt;&gt;"",M336=""),L336,M336))))</f>
        <v/>
      </c>
      <c r="Z336">
        <f>MIN(100,
(K336*5) +
(U336*10) +
IF(P336="Y",40,0) +
IF(Q336="P",30,0) +
IF(V336="Y",25,0) +
IF(W336="Y",20,0) +
IF(X336="Weaponized",15,IF(X336="PoC Available",10,IF(X336="Public Exploit",5,0))) +
IF(G336="Production",10,IF(G336="DMZ",8,IF(G336="DR/Backup",5,0))) +
IF(Y336="N",10,0)
)</f>
        <v/>
      </c>
      <c r="AA336">
        <f>IF(OR(P336="Y",AND(K336&gt;=9.0,W336="Y")),"P0",IF(Z336&gt;=80,"P0",IF(Z336&gt;=60,"P1",IF(Z336&gt;=40,"P2",IF(Z336&gt;=20,"P3","P4")))))</f>
        <v/>
      </c>
      <c r="AD336">
        <f>IF(AB336&lt;&gt;"",AB336,AA336)</f>
        <v/>
      </c>
      <c r="AE336">
        <f>VLOOKUP(AD336,SLA_Definitions!$A$2:$B$6,2,FALSE)</f>
        <v/>
      </c>
      <c r="AF336">
        <f>IF(B336&lt;&gt;"",WORKDAY(B336,AE336),"")</f>
        <v/>
      </c>
      <c r="AG336">
        <f>IF(AF336&lt;&gt;"",NETWORKDAYS(TODAY(),AF336),"")</f>
        <v/>
      </c>
      <c r="AH336">
        <f>IF(AJ336="Complete","Complete",IF(AG336&lt;0,"Overdue",IF(AG336&lt;=AE336*0.2,"At Risk","On Track")))</f>
        <v/>
      </c>
      <c r="AK336">
        <f>IF(OR(AH336="Overdue",AND(AD336="P0",AG336&lt;1),AND(AD336="P1",AG336&lt;3)),"Y","N")</f>
        <v/>
      </c>
    </row>
    <row r="337">
      <c r="K337">
        <f>IF(J337="v4.0",L337,IF(J337="v3.1",M337,IF(J337="Both",L337,IF(AND(L337&lt;&gt;"",M337=""),L337,M337))))</f>
        <v/>
      </c>
      <c r="Z337">
        <f>MIN(100,
(K337*5) +
(U337*10) +
IF(P337="Y",40,0) +
IF(Q337="P",30,0) +
IF(V337="Y",25,0) +
IF(W337="Y",20,0) +
IF(X337="Weaponized",15,IF(X337="PoC Available",10,IF(X337="Public Exploit",5,0))) +
IF(G337="Production",10,IF(G337="DMZ",8,IF(G337="DR/Backup",5,0))) +
IF(Y337="N",10,0)
)</f>
        <v/>
      </c>
      <c r="AA337">
        <f>IF(OR(P337="Y",AND(K337&gt;=9.0,W337="Y")),"P0",IF(Z337&gt;=80,"P0",IF(Z337&gt;=60,"P1",IF(Z337&gt;=40,"P2",IF(Z337&gt;=20,"P3","P4")))))</f>
        <v/>
      </c>
      <c r="AD337">
        <f>IF(AB337&lt;&gt;"",AB337,AA337)</f>
        <v/>
      </c>
      <c r="AE337">
        <f>VLOOKUP(AD337,SLA_Definitions!$A$2:$B$6,2,FALSE)</f>
        <v/>
      </c>
      <c r="AF337">
        <f>IF(B337&lt;&gt;"",WORKDAY(B337,AE337),"")</f>
        <v/>
      </c>
      <c r="AG337">
        <f>IF(AF337&lt;&gt;"",NETWORKDAYS(TODAY(),AF337),"")</f>
        <v/>
      </c>
      <c r="AH337">
        <f>IF(AJ337="Complete","Complete",IF(AG337&lt;0,"Overdue",IF(AG337&lt;=AE337*0.2,"At Risk","On Track")))</f>
        <v/>
      </c>
      <c r="AK337">
        <f>IF(OR(AH337="Overdue",AND(AD337="P0",AG337&lt;1),AND(AD337="P1",AG337&lt;3)),"Y","N")</f>
        <v/>
      </c>
    </row>
    <row r="338">
      <c r="K338">
        <f>IF(J338="v4.0",L338,IF(J338="v3.1",M338,IF(J338="Both",L338,IF(AND(L338&lt;&gt;"",M338=""),L338,M338))))</f>
        <v/>
      </c>
      <c r="Z338">
        <f>MIN(100,
(K338*5) +
(U338*10) +
IF(P338="Y",40,0) +
IF(Q338="P",30,0) +
IF(V338="Y",25,0) +
IF(W338="Y",20,0) +
IF(X338="Weaponized",15,IF(X338="PoC Available",10,IF(X338="Public Exploit",5,0))) +
IF(G338="Production",10,IF(G338="DMZ",8,IF(G338="DR/Backup",5,0))) +
IF(Y338="N",10,0)
)</f>
        <v/>
      </c>
      <c r="AA338">
        <f>IF(OR(P338="Y",AND(K338&gt;=9.0,W338="Y")),"P0",IF(Z338&gt;=80,"P0",IF(Z338&gt;=60,"P1",IF(Z338&gt;=40,"P2",IF(Z338&gt;=20,"P3","P4")))))</f>
        <v/>
      </c>
      <c r="AD338">
        <f>IF(AB338&lt;&gt;"",AB338,AA338)</f>
        <v/>
      </c>
      <c r="AE338">
        <f>VLOOKUP(AD338,SLA_Definitions!$A$2:$B$6,2,FALSE)</f>
        <v/>
      </c>
      <c r="AF338">
        <f>IF(B338&lt;&gt;"",WORKDAY(B338,AE338),"")</f>
        <v/>
      </c>
      <c r="AG338">
        <f>IF(AF338&lt;&gt;"",NETWORKDAYS(TODAY(),AF338),"")</f>
        <v/>
      </c>
      <c r="AH338">
        <f>IF(AJ338="Complete","Complete",IF(AG338&lt;0,"Overdue",IF(AG338&lt;=AE338*0.2,"At Risk","On Track")))</f>
        <v/>
      </c>
      <c r="AK338">
        <f>IF(OR(AH338="Overdue",AND(AD338="P0",AG338&lt;1),AND(AD338="P1",AG338&lt;3)),"Y","N")</f>
        <v/>
      </c>
    </row>
    <row r="339">
      <c r="K339">
        <f>IF(J339="v4.0",L339,IF(J339="v3.1",M339,IF(J339="Both",L339,IF(AND(L339&lt;&gt;"",M339=""),L339,M339))))</f>
        <v/>
      </c>
      <c r="Z339">
        <f>MIN(100,
(K339*5) +
(U339*10) +
IF(P339="Y",40,0) +
IF(Q339="P",30,0) +
IF(V339="Y",25,0) +
IF(W339="Y",20,0) +
IF(X339="Weaponized",15,IF(X339="PoC Available",10,IF(X339="Public Exploit",5,0))) +
IF(G339="Production",10,IF(G339="DMZ",8,IF(G339="DR/Backup",5,0))) +
IF(Y339="N",10,0)
)</f>
        <v/>
      </c>
      <c r="AA339">
        <f>IF(OR(P339="Y",AND(K339&gt;=9.0,W339="Y")),"P0",IF(Z339&gt;=80,"P0",IF(Z339&gt;=60,"P1",IF(Z339&gt;=40,"P2",IF(Z339&gt;=20,"P3","P4")))))</f>
        <v/>
      </c>
      <c r="AD339">
        <f>IF(AB339&lt;&gt;"",AB339,AA339)</f>
        <v/>
      </c>
      <c r="AE339">
        <f>VLOOKUP(AD339,SLA_Definitions!$A$2:$B$6,2,FALSE)</f>
        <v/>
      </c>
      <c r="AF339">
        <f>IF(B339&lt;&gt;"",WORKDAY(B339,AE339),"")</f>
        <v/>
      </c>
      <c r="AG339">
        <f>IF(AF339&lt;&gt;"",NETWORKDAYS(TODAY(),AF339),"")</f>
        <v/>
      </c>
      <c r="AH339">
        <f>IF(AJ339="Complete","Complete",IF(AG339&lt;0,"Overdue",IF(AG339&lt;=AE339*0.2,"At Risk","On Track")))</f>
        <v/>
      </c>
      <c r="AK339">
        <f>IF(OR(AH339="Overdue",AND(AD339="P0",AG339&lt;1),AND(AD339="P1",AG339&lt;3)),"Y","N")</f>
        <v/>
      </c>
    </row>
    <row r="340">
      <c r="K340">
        <f>IF(J340="v4.0",L340,IF(J340="v3.1",M340,IF(J340="Both",L340,IF(AND(L340&lt;&gt;"",M340=""),L340,M340))))</f>
        <v/>
      </c>
      <c r="Z340">
        <f>MIN(100,
(K340*5) +
(U340*10) +
IF(P340="Y",40,0) +
IF(Q340="P",30,0) +
IF(V340="Y",25,0) +
IF(W340="Y",20,0) +
IF(X340="Weaponized",15,IF(X340="PoC Available",10,IF(X340="Public Exploit",5,0))) +
IF(G340="Production",10,IF(G340="DMZ",8,IF(G340="DR/Backup",5,0))) +
IF(Y340="N",10,0)
)</f>
        <v/>
      </c>
      <c r="AA340">
        <f>IF(OR(P340="Y",AND(K340&gt;=9.0,W340="Y")),"P0",IF(Z340&gt;=80,"P0",IF(Z340&gt;=60,"P1",IF(Z340&gt;=40,"P2",IF(Z340&gt;=20,"P3","P4")))))</f>
        <v/>
      </c>
      <c r="AD340">
        <f>IF(AB340&lt;&gt;"",AB340,AA340)</f>
        <v/>
      </c>
      <c r="AE340">
        <f>VLOOKUP(AD340,SLA_Definitions!$A$2:$B$6,2,FALSE)</f>
        <v/>
      </c>
      <c r="AF340">
        <f>IF(B340&lt;&gt;"",WORKDAY(B340,AE340),"")</f>
        <v/>
      </c>
      <c r="AG340">
        <f>IF(AF340&lt;&gt;"",NETWORKDAYS(TODAY(),AF340),"")</f>
        <v/>
      </c>
      <c r="AH340">
        <f>IF(AJ340="Complete","Complete",IF(AG340&lt;0,"Overdue",IF(AG340&lt;=AE340*0.2,"At Risk","On Track")))</f>
        <v/>
      </c>
      <c r="AK340">
        <f>IF(OR(AH340="Overdue",AND(AD340="P0",AG340&lt;1),AND(AD340="P1",AG340&lt;3)),"Y","N")</f>
        <v/>
      </c>
    </row>
    <row r="341">
      <c r="K341">
        <f>IF(J341="v4.0",L341,IF(J341="v3.1",M341,IF(J341="Both",L341,IF(AND(L341&lt;&gt;"",M341=""),L341,M341))))</f>
        <v/>
      </c>
      <c r="Z341">
        <f>MIN(100,
(K341*5) +
(U341*10) +
IF(P341="Y",40,0) +
IF(Q341="P",30,0) +
IF(V341="Y",25,0) +
IF(W341="Y",20,0) +
IF(X341="Weaponized",15,IF(X341="PoC Available",10,IF(X341="Public Exploit",5,0))) +
IF(G341="Production",10,IF(G341="DMZ",8,IF(G341="DR/Backup",5,0))) +
IF(Y341="N",10,0)
)</f>
        <v/>
      </c>
      <c r="AA341">
        <f>IF(OR(P341="Y",AND(K341&gt;=9.0,W341="Y")),"P0",IF(Z341&gt;=80,"P0",IF(Z341&gt;=60,"P1",IF(Z341&gt;=40,"P2",IF(Z341&gt;=20,"P3","P4")))))</f>
        <v/>
      </c>
      <c r="AD341">
        <f>IF(AB341&lt;&gt;"",AB341,AA341)</f>
        <v/>
      </c>
      <c r="AE341">
        <f>VLOOKUP(AD341,SLA_Definitions!$A$2:$B$6,2,FALSE)</f>
        <v/>
      </c>
      <c r="AF341">
        <f>IF(B341&lt;&gt;"",WORKDAY(B341,AE341),"")</f>
        <v/>
      </c>
      <c r="AG341">
        <f>IF(AF341&lt;&gt;"",NETWORKDAYS(TODAY(),AF341),"")</f>
        <v/>
      </c>
      <c r="AH341">
        <f>IF(AJ341="Complete","Complete",IF(AG341&lt;0,"Overdue",IF(AG341&lt;=AE341*0.2,"At Risk","On Track")))</f>
        <v/>
      </c>
      <c r="AK341">
        <f>IF(OR(AH341="Overdue",AND(AD341="P0",AG341&lt;1),AND(AD341="P1",AG341&lt;3)),"Y","N")</f>
        <v/>
      </c>
    </row>
    <row r="342">
      <c r="K342">
        <f>IF(J342="v4.0",L342,IF(J342="v3.1",M342,IF(J342="Both",L342,IF(AND(L342&lt;&gt;"",M342=""),L342,M342))))</f>
        <v/>
      </c>
      <c r="Z342">
        <f>MIN(100,
(K342*5) +
(U342*10) +
IF(P342="Y",40,0) +
IF(Q342="P",30,0) +
IF(V342="Y",25,0) +
IF(W342="Y",20,0) +
IF(X342="Weaponized",15,IF(X342="PoC Available",10,IF(X342="Public Exploit",5,0))) +
IF(G342="Production",10,IF(G342="DMZ",8,IF(G342="DR/Backup",5,0))) +
IF(Y342="N",10,0)
)</f>
        <v/>
      </c>
      <c r="AA342">
        <f>IF(OR(P342="Y",AND(K342&gt;=9.0,W342="Y")),"P0",IF(Z342&gt;=80,"P0",IF(Z342&gt;=60,"P1",IF(Z342&gt;=40,"P2",IF(Z342&gt;=20,"P3","P4")))))</f>
        <v/>
      </c>
      <c r="AD342">
        <f>IF(AB342&lt;&gt;"",AB342,AA342)</f>
        <v/>
      </c>
      <c r="AE342">
        <f>VLOOKUP(AD342,SLA_Definitions!$A$2:$B$6,2,FALSE)</f>
        <v/>
      </c>
      <c r="AF342">
        <f>IF(B342&lt;&gt;"",WORKDAY(B342,AE342),"")</f>
        <v/>
      </c>
      <c r="AG342">
        <f>IF(AF342&lt;&gt;"",NETWORKDAYS(TODAY(),AF342),"")</f>
        <v/>
      </c>
      <c r="AH342">
        <f>IF(AJ342="Complete","Complete",IF(AG342&lt;0,"Overdue",IF(AG342&lt;=AE342*0.2,"At Risk","On Track")))</f>
        <v/>
      </c>
      <c r="AK342">
        <f>IF(OR(AH342="Overdue",AND(AD342="P0",AG342&lt;1),AND(AD342="P1",AG342&lt;3)),"Y","N")</f>
        <v/>
      </c>
    </row>
    <row r="343">
      <c r="K343">
        <f>IF(J343="v4.0",L343,IF(J343="v3.1",M343,IF(J343="Both",L343,IF(AND(L343&lt;&gt;"",M343=""),L343,M343))))</f>
        <v/>
      </c>
      <c r="Z343">
        <f>MIN(100,
(K343*5) +
(U343*10) +
IF(P343="Y",40,0) +
IF(Q343="P",30,0) +
IF(V343="Y",25,0) +
IF(W343="Y",20,0) +
IF(X343="Weaponized",15,IF(X343="PoC Available",10,IF(X343="Public Exploit",5,0))) +
IF(G343="Production",10,IF(G343="DMZ",8,IF(G343="DR/Backup",5,0))) +
IF(Y343="N",10,0)
)</f>
        <v/>
      </c>
      <c r="AA343">
        <f>IF(OR(P343="Y",AND(K343&gt;=9.0,W343="Y")),"P0",IF(Z343&gt;=80,"P0",IF(Z343&gt;=60,"P1",IF(Z343&gt;=40,"P2",IF(Z343&gt;=20,"P3","P4")))))</f>
        <v/>
      </c>
      <c r="AD343">
        <f>IF(AB343&lt;&gt;"",AB343,AA343)</f>
        <v/>
      </c>
      <c r="AE343">
        <f>VLOOKUP(AD343,SLA_Definitions!$A$2:$B$6,2,FALSE)</f>
        <v/>
      </c>
      <c r="AF343">
        <f>IF(B343&lt;&gt;"",WORKDAY(B343,AE343),"")</f>
        <v/>
      </c>
      <c r="AG343">
        <f>IF(AF343&lt;&gt;"",NETWORKDAYS(TODAY(),AF343),"")</f>
        <v/>
      </c>
      <c r="AH343">
        <f>IF(AJ343="Complete","Complete",IF(AG343&lt;0,"Overdue",IF(AG343&lt;=AE343*0.2,"At Risk","On Track")))</f>
        <v/>
      </c>
      <c r="AK343">
        <f>IF(OR(AH343="Overdue",AND(AD343="P0",AG343&lt;1),AND(AD343="P1",AG343&lt;3)),"Y","N")</f>
        <v/>
      </c>
    </row>
    <row r="344">
      <c r="K344">
        <f>IF(J344="v4.0",L344,IF(J344="v3.1",M344,IF(J344="Both",L344,IF(AND(L344&lt;&gt;"",M344=""),L344,M344))))</f>
        <v/>
      </c>
      <c r="Z344">
        <f>MIN(100,
(K344*5) +
(U344*10) +
IF(P344="Y",40,0) +
IF(Q344="P",30,0) +
IF(V344="Y",25,0) +
IF(W344="Y",20,0) +
IF(X344="Weaponized",15,IF(X344="PoC Available",10,IF(X344="Public Exploit",5,0))) +
IF(G344="Production",10,IF(G344="DMZ",8,IF(G344="DR/Backup",5,0))) +
IF(Y344="N",10,0)
)</f>
        <v/>
      </c>
      <c r="AA344">
        <f>IF(OR(P344="Y",AND(K344&gt;=9.0,W344="Y")),"P0",IF(Z344&gt;=80,"P0",IF(Z344&gt;=60,"P1",IF(Z344&gt;=40,"P2",IF(Z344&gt;=20,"P3","P4")))))</f>
        <v/>
      </c>
      <c r="AD344">
        <f>IF(AB344&lt;&gt;"",AB344,AA344)</f>
        <v/>
      </c>
      <c r="AE344">
        <f>VLOOKUP(AD344,SLA_Definitions!$A$2:$B$6,2,FALSE)</f>
        <v/>
      </c>
      <c r="AF344">
        <f>IF(B344&lt;&gt;"",WORKDAY(B344,AE344),"")</f>
        <v/>
      </c>
      <c r="AG344">
        <f>IF(AF344&lt;&gt;"",NETWORKDAYS(TODAY(),AF344),"")</f>
        <v/>
      </c>
      <c r="AH344">
        <f>IF(AJ344="Complete","Complete",IF(AG344&lt;0,"Overdue",IF(AG344&lt;=AE344*0.2,"At Risk","On Track")))</f>
        <v/>
      </c>
      <c r="AK344">
        <f>IF(OR(AH344="Overdue",AND(AD344="P0",AG344&lt;1),AND(AD344="P1",AG344&lt;3)),"Y","N")</f>
        <v/>
      </c>
    </row>
    <row r="345">
      <c r="K345">
        <f>IF(J345="v4.0",L345,IF(J345="v3.1",M345,IF(J345="Both",L345,IF(AND(L345&lt;&gt;"",M345=""),L345,M345))))</f>
        <v/>
      </c>
      <c r="Z345">
        <f>MIN(100,
(K345*5) +
(U345*10) +
IF(P345="Y",40,0) +
IF(Q345="P",30,0) +
IF(V345="Y",25,0) +
IF(W345="Y",20,0) +
IF(X345="Weaponized",15,IF(X345="PoC Available",10,IF(X345="Public Exploit",5,0))) +
IF(G345="Production",10,IF(G345="DMZ",8,IF(G345="DR/Backup",5,0))) +
IF(Y345="N",10,0)
)</f>
        <v/>
      </c>
      <c r="AA345">
        <f>IF(OR(P345="Y",AND(K345&gt;=9.0,W345="Y")),"P0",IF(Z345&gt;=80,"P0",IF(Z345&gt;=60,"P1",IF(Z345&gt;=40,"P2",IF(Z345&gt;=20,"P3","P4")))))</f>
        <v/>
      </c>
      <c r="AD345">
        <f>IF(AB345&lt;&gt;"",AB345,AA345)</f>
        <v/>
      </c>
      <c r="AE345">
        <f>VLOOKUP(AD345,SLA_Definitions!$A$2:$B$6,2,FALSE)</f>
        <v/>
      </c>
      <c r="AF345">
        <f>IF(B345&lt;&gt;"",WORKDAY(B345,AE345),"")</f>
        <v/>
      </c>
      <c r="AG345">
        <f>IF(AF345&lt;&gt;"",NETWORKDAYS(TODAY(),AF345),"")</f>
        <v/>
      </c>
      <c r="AH345">
        <f>IF(AJ345="Complete","Complete",IF(AG345&lt;0,"Overdue",IF(AG345&lt;=AE345*0.2,"At Risk","On Track")))</f>
        <v/>
      </c>
      <c r="AK345">
        <f>IF(OR(AH345="Overdue",AND(AD345="P0",AG345&lt;1),AND(AD345="P1",AG345&lt;3)),"Y","N")</f>
        <v/>
      </c>
    </row>
    <row r="346">
      <c r="K346">
        <f>IF(J346="v4.0",L346,IF(J346="v3.1",M346,IF(J346="Both",L346,IF(AND(L346&lt;&gt;"",M346=""),L346,M346))))</f>
        <v/>
      </c>
      <c r="Z346">
        <f>MIN(100,
(K346*5) +
(U346*10) +
IF(P346="Y",40,0) +
IF(Q346="P",30,0) +
IF(V346="Y",25,0) +
IF(W346="Y",20,0) +
IF(X346="Weaponized",15,IF(X346="PoC Available",10,IF(X346="Public Exploit",5,0))) +
IF(G346="Production",10,IF(G346="DMZ",8,IF(G346="DR/Backup",5,0))) +
IF(Y346="N",10,0)
)</f>
        <v/>
      </c>
      <c r="AA346">
        <f>IF(OR(P346="Y",AND(K346&gt;=9.0,W346="Y")),"P0",IF(Z346&gt;=80,"P0",IF(Z346&gt;=60,"P1",IF(Z346&gt;=40,"P2",IF(Z346&gt;=20,"P3","P4")))))</f>
        <v/>
      </c>
      <c r="AD346">
        <f>IF(AB346&lt;&gt;"",AB346,AA346)</f>
        <v/>
      </c>
      <c r="AE346">
        <f>VLOOKUP(AD346,SLA_Definitions!$A$2:$B$6,2,FALSE)</f>
        <v/>
      </c>
      <c r="AF346">
        <f>IF(B346&lt;&gt;"",WORKDAY(B346,AE346),"")</f>
        <v/>
      </c>
      <c r="AG346">
        <f>IF(AF346&lt;&gt;"",NETWORKDAYS(TODAY(),AF346),"")</f>
        <v/>
      </c>
      <c r="AH346">
        <f>IF(AJ346="Complete","Complete",IF(AG346&lt;0,"Overdue",IF(AG346&lt;=AE346*0.2,"At Risk","On Track")))</f>
        <v/>
      </c>
      <c r="AK346">
        <f>IF(OR(AH346="Overdue",AND(AD346="P0",AG346&lt;1),AND(AD346="P1",AG346&lt;3)),"Y","N")</f>
        <v/>
      </c>
    </row>
    <row r="347">
      <c r="K347">
        <f>IF(J347="v4.0",L347,IF(J347="v3.1",M347,IF(J347="Both",L347,IF(AND(L347&lt;&gt;"",M347=""),L347,M347))))</f>
        <v/>
      </c>
      <c r="Z347">
        <f>MIN(100,
(K347*5) +
(U347*10) +
IF(P347="Y",40,0) +
IF(Q347="P",30,0) +
IF(V347="Y",25,0) +
IF(W347="Y",20,0) +
IF(X347="Weaponized",15,IF(X347="PoC Available",10,IF(X347="Public Exploit",5,0))) +
IF(G347="Production",10,IF(G347="DMZ",8,IF(G347="DR/Backup",5,0))) +
IF(Y347="N",10,0)
)</f>
        <v/>
      </c>
      <c r="AA347">
        <f>IF(OR(P347="Y",AND(K347&gt;=9.0,W347="Y")),"P0",IF(Z347&gt;=80,"P0",IF(Z347&gt;=60,"P1",IF(Z347&gt;=40,"P2",IF(Z347&gt;=20,"P3","P4")))))</f>
        <v/>
      </c>
      <c r="AD347">
        <f>IF(AB347&lt;&gt;"",AB347,AA347)</f>
        <v/>
      </c>
      <c r="AE347">
        <f>VLOOKUP(AD347,SLA_Definitions!$A$2:$B$6,2,FALSE)</f>
        <v/>
      </c>
      <c r="AF347">
        <f>IF(B347&lt;&gt;"",WORKDAY(B347,AE347),"")</f>
        <v/>
      </c>
      <c r="AG347">
        <f>IF(AF347&lt;&gt;"",NETWORKDAYS(TODAY(),AF347),"")</f>
        <v/>
      </c>
      <c r="AH347">
        <f>IF(AJ347="Complete","Complete",IF(AG347&lt;0,"Overdue",IF(AG347&lt;=AE347*0.2,"At Risk","On Track")))</f>
        <v/>
      </c>
      <c r="AK347">
        <f>IF(OR(AH347="Overdue",AND(AD347="P0",AG347&lt;1),AND(AD347="P1",AG347&lt;3)),"Y","N")</f>
        <v/>
      </c>
    </row>
    <row r="348">
      <c r="K348">
        <f>IF(J348="v4.0",L348,IF(J348="v3.1",M348,IF(J348="Both",L348,IF(AND(L348&lt;&gt;"",M348=""),L348,M348))))</f>
        <v/>
      </c>
      <c r="Z348">
        <f>MIN(100,
(K348*5) +
(U348*10) +
IF(P348="Y",40,0) +
IF(Q348="P",30,0) +
IF(V348="Y",25,0) +
IF(W348="Y",20,0) +
IF(X348="Weaponized",15,IF(X348="PoC Available",10,IF(X348="Public Exploit",5,0))) +
IF(G348="Production",10,IF(G348="DMZ",8,IF(G348="DR/Backup",5,0))) +
IF(Y348="N",10,0)
)</f>
        <v/>
      </c>
      <c r="AA348">
        <f>IF(OR(P348="Y",AND(K348&gt;=9.0,W348="Y")),"P0",IF(Z348&gt;=80,"P0",IF(Z348&gt;=60,"P1",IF(Z348&gt;=40,"P2",IF(Z348&gt;=20,"P3","P4")))))</f>
        <v/>
      </c>
      <c r="AD348">
        <f>IF(AB348&lt;&gt;"",AB348,AA348)</f>
        <v/>
      </c>
      <c r="AE348">
        <f>VLOOKUP(AD348,SLA_Definitions!$A$2:$B$6,2,FALSE)</f>
        <v/>
      </c>
      <c r="AF348">
        <f>IF(B348&lt;&gt;"",WORKDAY(B348,AE348),"")</f>
        <v/>
      </c>
      <c r="AG348">
        <f>IF(AF348&lt;&gt;"",NETWORKDAYS(TODAY(),AF348),"")</f>
        <v/>
      </c>
      <c r="AH348">
        <f>IF(AJ348="Complete","Complete",IF(AG348&lt;0,"Overdue",IF(AG348&lt;=AE348*0.2,"At Risk","On Track")))</f>
        <v/>
      </c>
      <c r="AK348">
        <f>IF(OR(AH348="Overdue",AND(AD348="P0",AG348&lt;1),AND(AD348="P1",AG348&lt;3)),"Y","N")</f>
        <v/>
      </c>
    </row>
    <row r="349">
      <c r="K349">
        <f>IF(J349="v4.0",L349,IF(J349="v3.1",M349,IF(J349="Both",L349,IF(AND(L349&lt;&gt;"",M349=""),L349,M349))))</f>
        <v/>
      </c>
      <c r="Z349">
        <f>MIN(100,
(K349*5) +
(U349*10) +
IF(P349="Y",40,0) +
IF(Q349="P",30,0) +
IF(V349="Y",25,0) +
IF(W349="Y",20,0) +
IF(X349="Weaponized",15,IF(X349="PoC Available",10,IF(X349="Public Exploit",5,0))) +
IF(G349="Production",10,IF(G349="DMZ",8,IF(G349="DR/Backup",5,0))) +
IF(Y349="N",10,0)
)</f>
        <v/>
      </c>
      <c r="AA349">
        <f>IF(OR(P349="Y",AND(K349&gt;=9.0,W349="Y")),"P0",IF(Z349&gt;=80,"P0",IF(Z349&gt;=60,"P1",IF(Z349&gt;=40,"P2",IF(Z349&gt;=20,"P3","P4")))))</f>
        <v/>
      </c>
      <c r="AD349">
        <f>IF(AB349&lt;&gt;"",AB349,AA349)</f>
        <v/>
      </c>
      <c r="AE349">
        <f>VLOOKUP(AD349,SLA_Definitions!$A$2:$B$6,2,FALSE)</f>
        <v/>
      </c>
      <c r="AF349">
        <f>IF(B349&lt;&gt;"",WORKDAY(B349,AE349),"")</f>
        <v/>
      </c>
      <c r="AG349">
        <f>IF(AF349&lt;&gt;"",NETWORKDAYS(TODAY(),AF349),"")</f>
        <v/>
      </c>
      <c r="AH349">
        <f>IF(AJ349="Complete","Complete",IF(AG349&lt;0,"Overdue",IF(AG349&lt;=AE349*0.2,"At Risk","On Track")))</f>
        <v/>
      </c>
      <c r="AK349">
        <f>IF(OR(AH349="Overdue",AND(AD349="P0",AG349&lt;1),AND(AD349="P1",AG349&lt;3)),"Y","N")</f>
        <v/>
      </c>
    </row>
    <row r="350">
      <c r="K350">
        <f>IF(J350="v4.0",L350,IF(J350="v3.1",M350,IF(J350="Both",L350,IF(AND(L350&lt;&gt;"",M350=""),L350,M350))))</f>
        <v/>
      </c>
      <c r="Z350">
        <f>MIN(100,
(K350*5) +
(U350*10) +
IF(P350="Y",40,0) +
IF(Q350="P",30,0) +
IF(V350="Y",25,0) +
IF(W350="Y",20,0) +
IF(X350="Weaponized",15,IF(X350="PoC Available",10,IF(X350="Public Exploit",5,0))) +
IF(G350="Production",10,IF(G350="DMZ",8,IF(G350="DR/Backup",5,0))) +
IF(Y350="N",10,0)
)</f>
        <v/>
      </c>
      <c r="AA350">
        <f>IF(OR(P350="Y",AND(K350&gt;=9.0,W350="Y")),"P0",IF(Z350&gt;=80,"P0",IF(Z350&gt;=60,"P1",IF(Z350&gt;=40,"P2",IF(Z350&gt;=20,"P3","P4")))))</f>
        <v/>
      </c>
      <c r="AD350">
        <f>IF(AB350&lt;&gt;"",AB350,AA350)</f>
        <v/>
      </c>
      <c r="AE350">
        <f>VLOOKUP(AD350,SLA_Definitions!$A$2:$B$6,2,FALSE)</f>
        <v/>
      </c>
      <c r="AF350">
        <f>IF(B350&lt;&gt;"",WORKDAY(B350,AE350),"")</f>
        <v/>
      </c>
      <c r="AG350">
        <f>IF(AF350&lt;&gt;"",NETWORKDAYS(TODAY(),AF350),"")</f>
        <v/>
      </c>
      <c r="AH350">
        <f>IF(AJ350="Complete","Complete",IF(AG350&lt;0,"Overdue",IF(AG350&lt;=AE350*0.2,"At Risk","On Track")))</f>
        <v/>
      </c>
      <c r="AK350">
        <f>IF(OR(AH350="Overdue",AND(AD350="P0",AG350&lt;1),AND(AD350="P1",AG350&lt;3)),"Y","N")</f>
        <v/>
      </c>
    </row>
    <row r="351">
      <c r="K351">
        <f>IF(J351="v4.0",L351,IF(J351="v3.1",M351,IF(J351="Both",L351,IF(AND(L351&lt;&gt;"",M351=""),L351,M351))))</f>
        <v/>
      </c>
      <c r="Z351">
        <f>MIN(100,
(K351*5) +
(U351*10) +
IF(P351="Y",40,0) +
IF(Q351="P",30,0) +
IF(V351="Y",25,0) +
IF(W351="Y",20,0) +
IF(X351="Weaponized",15,IF(X351="PoC Available",10,IF(X351="Public Exploit",5,0))) +
IF(G351="Production",10,IF(G351="DMZ",8,IF(G351="DR/Backup",5,0))) +
IF(Y351="N",10,0)
)</f>
        <v/>
      </c>
      <c r="AA351">
        <f>IF(OR(P351="Y",AND(K351&gt;=9.0,W351="Y")),"P0",IF(Z351&gt;=80,"P0",IF(Z351&gt;=60,"P1",IF(Z351&gt;=40,"P2",IF(Z351&gt;=20,"P3","P4")))))</f>
        <v/>
      </c>
      <c r="AD351">
        <f>IF(AB351&lt;&gt;"",AB351,AA351)</f>
        <v/>
      </c>
      <c r="AE351">
        <f>VLOOKUP(AD351,SLA_Definitions!$A$2:$B$6,2,FALSE)</f>
        <v/>
      </c>
      <c r="AF351">
        <f>IF(B351&lt;&gt;"",WORKDAY(B351,AE351),"")</f>
        <v/>
      </c>
      <c r="AG351">
        <f>IF(AF351&lt;&gt;"",NETWORKDAYS(TODAY(),AF351),"")</f>
        <v/>
      </c>
      <c r="AH351">
        <f>IF(AJ351="Complete","Complete",IF(AG351&lt;0,"Overdue",IF(AG351&lt;=AE351*0.2,"At Risk","On Track")))</f>
        <v/>
      </c>
      <c r="AK351">
        <f>IF(OR(AH351="Overdue",AND(AD351="P0",AG351&lt;1),AND(AD351="P1",AG351&lt;3)),"Y","N")</f>
        <v/>
      </c>
    </row>
    <row r="352">
      <c r="K352">
        <f>IF(J352="v4.0",L352,IF(J352="v3.1",M352,IF(J352="Both",L352,IF(AND(L352&lt;&gt;"",M352=""),L352,M352))))</f>
        <v/>
      </c>
      <c r="Z352">
        <f>MIN(100,
(K352*5) +
(U352*10) +
IF(P352="Y",40,0) +
IF(Q352="P",30,0) +
IF(V352="Y",25,0) +
IF(W352="Y",20,0) +
IF(X352="Weaponized",15,IF(X352="PoC Available",10,IF(X352="Public Exploit",5,0))) +
IF(G352="Production",10,IF(G352="DMZ",8,IF(G352="DR/Backup",5,0))) +
IF(Y352="N",10,0)
)</f>
        <v/>
      </c>
      <c r="AA352">
        <f>IF(OR(P352="Y",AND(K352&gt;=9.0,W352="Y")),"P0",IF(Z352&gt;=80,"P0",IF(Z352&gt;=60,"P1",IF(Z352&gt;=40,"P2",IF(Z352&gt;=20,"P3","P4")))))</f>
        <v/>
      </c>
      <c r="AD352">
        <f>IF(AB352&lt;&gt;"",AB352,AA352)</f>
        <v/>
      </c>
      <c r="AE352">
        <f>VLOOKUP(AD352,SLA_Definitions!$A$2:$B$6,2,FALSE)</f>
        <v/>
      </c>
      <c r="AF352">
        <f>IF(B352&lt;&gt;"",WORKDAY(B352,AE352),"")</f>
        <v/>
      </c>
      <c r="AG352">
        <f>IF(AF352&lt;&gt;"",NETWORKDAYS(TODAY(),AF352),"")</f>
        <v/>
      </c>
      <c r="AH352">
        <f>IF(AJ352="Complete","Complete",IF(AG352&lt;0,"Overdue",IF(AG352&lt;=AE352*0.2,"At Risk","On Track")))</f>
        <v/>
      </c>
      <c r="AK352">
        <f>IF(OR(AH352="Overdue",AND(AD352="P0",AG352&lt;1),AND(AD352="P1",AG352&lt;3)),"Y","N")</f>
        <v/>
      </c>
    </row>
    <row r="353">
      <c r="K353">
        <f>IF(J353="v4.0",L353,IF(J353="v3.1",M353,IF(J353="Both",L353,IF(AND(L353&lt;&gt;"",M353=""),L353,M353))))</f>
        <v/>
      </c>
      <c r="Z353">
        <f>MIN(100,
(K353*5) +
(U353*10) +
IF(P353="Y",40,0) +
IF(Q353="P",30,0) +
IF(V353="Y",25,0) +
IF(W353="Y",20,0) +
IF(X353="Weaponized",15,IF(X353="PoC Available",10,IF(X353="Public Exploit",5,0))) +
IF(G353="Production",10,IF(G353="DMZ",8,IF(G353="DR/Backup",5,0))) +
IF(Y353="N",10,0)
)</f>
        <v/>
      </c>
      <c r="AA353">
        <f>IF(OR(P353="Y",AND(K353&gt;=9.0,W353="Y")),"P0",IF(Z353&gt;=80,"P0",IF(Z353&gt;=60,"P1",IF(Z353&gt;=40,"P2",IF(Z353&gt;=20,"P3","P4")))))</f>
        <v/>
      </c>
      <c r="AD353">
        <f>IF(AB353&lt;&gt;"",AB353,AA353)</f>
        <v/>
      </c>
      <c r="AE353">
        <f>VLOOKUP(AD353,SLA_Definitions!$A$2:$B$6,2,FALSE)</f>
        <v/>
      </c>
      <c r="AF353">
        <f>IF(B353&lt;&gt;"",WORKDAY(B353,AE353),"")</f>
        <v/>
      </c>
      <c r="AG353">
        <f>IF(AF353&lt;&gt;"",NETWORKDAYS(TODAY(),AF353),"")</f>
        <v/>
      </c>
      <c r="AH353">
        <f>IF(AJ353="Complete","Complete",IF(AG353&lt;0,"Overdue",IF(AG353&lt;=AE353*0.2,"At Risk","On Track")))</f>
        <v/>
      </c>
      <c r="AK353">
        <f>IF(OR(AH353="Overdue",AND(AD353="P0",AG353&lt;1),AND(AD353="P1",AG353&lt;3)),"Y","N")</f>
        <v/>
      </c>
    </row>
    <row r="354">
      <c r="K354">
        <f>IF(J354="v4.0",L354,IF(J354="v3.1",M354,IF(J354="Both",L354,IF(AND(L354&lt;&gt;"",M354=""),L354,M354))))</f>
        <v/>
      </c>
      <c r="Z354">
        <f>MIN(100,
(K354*5) +
(U354*10) +
IF(P354="Y",40,0) +
IF(Q354="P",30,0) +
IF(V354="Y",25,0) +
IF(W354="Y",20,0) +
IF(X354="Weaponized",15,IF(X354="PoC Available",10,IF(X354="Public Exploit",5,0))) +
IF(G354="Production",10,IF(G354="DMZ",8,IF(G354="DR/Backup",5,0))) +
IF(Y354="N",10,0)
)</f>
        <v/>
      </c>
      <c r="AA354">
        <f>IF(OR(P354="Y",AND(K354&gt;=9.0,W354="Y")),"P0",IF(Z354&gt;=80,"P0",IF(Z354&gt;=60,"P1",IF(Z354&gt;=40,"P2",IF(Z354&gt;=20,"P3","P4")))))</f>
        <v/>
      </c>
      <c r="AD354">
        <f>IF(AB354&lt;&gt;"",AB354,AA354)</f>
        <v/>
      </c>
      <c r="AE354">
        <f>VLOOKUP(AD354,SLA_Definitions!$A$2:$B$6,2,FALSE)</f>
        <v/>
      </c>
      <c r="AF354">
        <f>IF(B354&lt;&gt;"",WORKDAY(B354,AE354),"")</f>
        <v/>
      </c>
      <c r="AG354">
        <f>IF(AF354&lt;&gt;"",NETWORKDAYS(TODAY(),AF354),"")</f>
        <v/>
      </c>
      <c r="AH354">
        <f>IF(AJ354="Complete","Complete",IF(AG354&lt;0,"Overdue",IF(AG354&lt;=AE354*0.2,"At Risk","On Track")))</f>
        <v/>
      </c>
      <c r="AK354">
        <f>IF(OR(AH354="Overdue",AND(AD354="P0",AG354&lt;1),AND(AD354="P1",AG354&lt;3)),"Y","N")</f>
        <v/>
      </c>
    </row>
    <row r="355">
      <c r="K355">
        <f>IF(J355="v4.0",L355,IF(J355="v3.1",M355,IF(J355="Both",L355,IF(AND(L355&lt;&gt;"",M355=""),L355,M355))))</f>
        <v/>
      </c>
      <c r="Z355">
        <f>MIN(100,
(K355*5) +
(U355*10) +
IF(P355="Y",40,0) +
IF(Q355="P",30,0) +
IF(V355="Y",25,0) +
IF(W355="Y",20,0) +
IF(X355="Weaponized",15,IF(X355="PoC Available",10,IF(X355="Public Exploit",5,0))) +
IF(G355="Production",10,IF(G355="DMZ",8,IF(G355="DR/Backup",5,0))) +
IF(Y355="N",10,0)
)</f>
        <v/>
      </c>
      <c r="AA355">
        <f>IF(OR(P355="Y",AND(K355&gt;=9.0,W355="Y")),"P0",IF(Z355&gt;=80,"P0",IF(Z355&gt;=60,"P1",IF(Z355&gt;=40,"P2",IF(Z355&gt;=20,"P3","P4")))))</f>
        <v/>
      </c>
      <c r="AD355">
        <f>IF(AB355&lt;&gt;"",AB355,AA355)</f>
        <v/>
      </c>
      <c r="AE355">
        <f>VLOOKUP(AD355,SLA_Definitions!$A$2:$B$6,2,FALSE)</f>
        <v/>
      </c>
      <c r="AF355">
        <f>IF(B355&lt;&gt;"",WORKDAY(B355,AE355),"")</f>
        <v/>
      </c>
      <c r="AG355">
        <f>IF(AF355&lt;&gt;"",NETWORKDAYS(TODAY(),AF355),"")</f>
        <v/>
      </c>
      <c r="AH355">
        <f>IF(AJ355="Complete","Complete",IF(AG355&lt;0,"Overdue",IF(AG355&lt;=AE355*0.2,"At Risk","On Track")))</f>
        <v/>
      </c>
      <c r="AK355">
        <f>IF(OR(AH355="Overdue",AND(AD355="P0",AG355&lt;1),AND(AD355="P1",AG355&lt;3)),"Y","N")</f>
        <v/>
      </c>
    </row>
    <row r="356">
      <c r="K356">
        <f>IF(J356="v4.0",L356,IF(J356="v3.1",M356,IF(J356="Both",L356,IF(AND(L356&lt;&gt;"",M356=""),L356,M356))))</f>
        <v/>
      </c>
      <c r="Z356">
        <f>MIN(100,
(K356*5) +
(U356*10) +
IF(P356="Y",40,0) +
IF(Q356="P",30,0) +
IF(V356="Y",25,0) +
IF(W356="Y",20,0) +
IF(X356="Weaponized",15,IF(X356="PoC Available",10,IF(X356="Public Exploit",5,0))) +
IF(G356="Production",10,IF(G356="DMZ",8,IF(G356="DR/Backup",5,0))) +
IF(Y356="N",10,0)
)</f>
        <v/>
      </c>
      <c r="AA356">
        <f>IF(OR(P356="Y",AND(K356&gt;=9.0,W356="Y")),"P0",IF(Z356&gt;=80,"P0",IF(Z356&gt;=60,"P1",IF(Z356&gt;=40,"P2",IF(Z356&gt;=20,"P3","P4")))))</f>
        <v/>
      </c>
      <c r="AD356">
        <f>IF(AB356&lt;&gt;"",AB356,AA356)</f>
        <v/>
      </c>
      <c r="AE356">
        <f>VLOOKUP(AD356,SLA_Definitions!$A$2:$B$6,2,FALSE)</f>
        <v/>
      </c>
      <c r="AF356">
        <f>IF(B356&lt;&gt;"",WORKDAY(B356,AE356),"")</f>
        <v/>
      </c>
      <c r="AG356">
        <f>IF(AF356&lt;&gt;"",NETWORKDAYS(TODAY(),AF356),"")</f>
        <v/>
      </c>
      <c r="AH356">
        <f>IF(AJ356="Complete","Complete",IF(AG356&lt;0,"Overdue",IF(AG356&lt;=AE356*0.2,"At Risk","On Track")))</f>
        <v/>
      </c>
      <c r="AK356">
        <f>IF(OR(AH356="Overdue",AND(AD356="P0",AG356&lt;1),AND(AD356="P1",AG356&lt;3)),"Y","N")</f>
        <v/>
      </c>
    </row>
    <row r="357">
      <c r="K357">
        <f>IF(J357="v4.0",L357,IF(J357="v3.1",M357,IF(J357="Both",L357,IF(AND(L357&lt;&gt;"",M357=""),L357,M357))))</f>
        <v/>
      </c>
      <c r="Z357">
        <f>MIN(100,
(K357*5) +
(U357*10) +
IF(P357="Y",40,0) +
IF(Q357="P",30,0) +
IF(V357="Y",25,0) +
IF(W357="Y",20,0) +
IF(X357="Weaponized",15,IF(X357="PoC Available",10,IF(X357="Public Exploit",5,0))) +
IF(G357="Production",10,IF(G357="DMZ",8,IF(G357="DR/Backup",5,0))) +
IF(Y357="N",10,0)
)</f>
        <v/>
      </c>
      <c r="AA357">
        <f>IF(OR(P357="Y",AND(K357&gt;=9.0,W357="Y")),"P0",IF(Z357&gt;=80,"P0",IF(Z357&gt;=60,"P1",IF(Z357&gt;=40,"P2",IF(Z357&gt;=20,"P3","P4")))))</f>
        <v/>
      </c>
      <c r="AD357">
        <f>IF(AB357&lt;&gt;"",AB357,AA357)</f>
        <v/>
      </c>
      <c r="AE357">
        <f>VLOOKUP(AD357,SLA_Definitions!$A$2:$B$6,2,FALSE)</f>
        <v/>
      </c>
      <c r="AF357">
        <f>IF(B357&lt;&gt;"",WORKDAY(B357,AE357),"")</f>
        <v/>
      </c>
      <c r="AG357">
        <f>IF(AF357&lt;&gt;"",NETWORKDAYS(TODAY(),AF357),"")</f>
        <v/>
      </c>
      <c r="AH357">
        <f>IF(AJ357="Complete","Complete",IF(AG357&lt;0,"Overdue",IF(AG357&lt;=AE357*0.2,"At Risk","On Track")))</f>
        <v/>
      </c>
      <c r="AK357">
        <f>IF(OR(AH357="Overdue",AND(AD357="P0",AG357&lt;1),AND(AD357="P1",AG357&lt;3)),"Y","N")</f>
        <v/>
      </c>
    </row>
    <row r="358">
      <c r="K358">
        <f>IF(J358="v4.0",L358,IF(J358="v3.1",M358,IF(J358="Both",L358,IF(AND(L358&lt;&gt;"",M358=""),L358,M358))))</f>
        <v/>
      </c>
      <c r="Z358">
        <f>MIN(100,
(K358*5) +
(U358*10) +
IF(P358="Y",40,0) +
IF(Q358="P",30,0) +
IF(V358="Y",25,0) +
IF(W358="Y",20,0) +
IF(X358="Weaponized",15,IF(X358="PoC Available",10,IF(X358="Public Exploit",5,0))) +
IF(G358="Production",10,IF(G358="DMZ",8,IF(G358="DR/Backup",5,0))) +
IF(Y358="N",10,0)
)</f>
        <v/>
      </c>
      <c r="AA358">
        <f>IF(OR(P358="Y",AND(K358&gt;=9.0,W358="Y")),"P0",IF(Z358&gt;=80,"P0",IF(Z358&gt;=60,"P1",IF(Z358&gt;=40,"P2",IF(Z358&gt;=20,"P3","P4")))))</f>
        <v/>
      </c>
      <c r="AD358">
        <f>IF(AB358&lt;&gt;"",AB358,AA358)</f>
        <v/>
      </c>
      <c r="AE358">
        <f>VLOOKUP(AD358,SLA_Definitions!$A$2:$B$6,2,FALSE)</f>
        <v/>
      </c>
      <c r="AF358">
        <f>IF(B358&lt;&gt;"",WORKDAY(B358,AE358),"")</f>
        <v/>
      </c>
      <c r="AG358">
        <f>IF(AF358&lt;&gt;"",NETWORKDAYS(TODAY(),AF358),"")</f>
        <v/>
      </c>
      <c r="AH358">
        <f>IF(AJ358="Complete","Complete",IF(AG358&lt;0,"Overdue",IF(AG358&lt;=AE358*0.2,"At Risk","On Track")))</f>
        <v/>
      </c>
      <c r="AK358">
        <f>IF(OR(AH358="Overdue",AND(AD358="P0",AG358&lt;1),AND(AD358="P1",AG358&lt;3)),"Y","N")</f>
        <v/>
      </c>
    </row>
    <row r="359">
      <c r="K359">
        <f>IF(J359="v4.0",L359,IF(J359="v3.1",M359,IF(J359="Both",L359,IF(AND(L359&lt;&gt;"",M359=""),L359,M359))))</f>
        <v/>
      </c>
      <c r="Z359">
        <f>MIN(100,
(K359*5) +
(U359*10) +
IF(P359="Y",40,0) +
IF(Q359="P",30,0) +
IF(V359="Y",25,0) +
IF(W359="Y",20,0) +
IF(X359="Weaponized",15,IF(X359="PoC Available",10,IF(X359="Public Exploit",5,0))) +
IF(G359="Production",10,IF(G359="DMZ",8,IF(G359="DR/Backup",5,0))) +
IF(Y359="N",10,0)
)</f>
        <v/>
      </c>
      <c r="AA359">
        <f>IF(OR(P359="Y",AND(K359&gt;=9.0,W359="Y")),"P0",IF(Z359&gt;=80,"P0",IF(Z359&gt;=60,"P1",IF(Z359&gt;=40,"P2",IF(Z359&gt;=20,"P3","P4")))))</f>
        <v/>
      </c>
      <c r="AD359">
        <f>IF(AB359&lt;&gt;"",AB359,AA359)</f>
        <v/>
      </c>
      <c r="AE359">
        <f>VLOOKUP(AD359,SLA_Definitions!$A$2:$B$6,2,FALSE)</f>
        <v/>
      </c>
      <c r="AF359">
        <f>IF(B359&lt;&gt;"",WORKDAY(B359,AE359),"")</f>
        <v/>
      </c>
      <c r="AG359">
        <f>IF(AF359&lt;&gt;"",NETWORKDAYS(TODAY(),AF359),"")</f>
        <v/>
      </c>
      <c r="AH359">
        <f>IF(AJ359="Complete","Complete",IF(AG359&lt;0,"Overdue",IF(AG359&lt;=AE359*0.2,"At Risk","On Track")))</f>
        <v/>
      </c>
      <c r="AK359">
        <f>IF(OR(AH359="Overdue",AND(AD359="P0",AG359&lt;1),AND(AD359="P1",AG359&lt;3)),"Y","N")</f>
        <v/>
      </c>
    </row>
    <row r="360">
      <c r="K360">
        <f>IF(J360="v4.0",L360,IF(J360="v3.1",M360,IF(J360="Both",L360,IF(AND(L360&lt;&gt;"",M360=""),L360,M360))))</f>
        <v/>
      </c>
      <c r="Z360">
        <f>MIN(100,
(K360*5) +
(U360*10) +
IF(P360="Y",40,0) +
IF(Q360="P",30,0) +
IF(V360="Y",25,0) +
IF(W360="Y",20,0) +
IF(X360="Weaponized",15,IF(X360="PoC Available",10,IF(X360="Public Exploit",5,0))) +
IF(G360="Production",10,IF(G360="DMZ",8,IF(G360="DR/Backup",5,0))) +
IF(Y360="N",10,0)
)</f>
        <v/>
      </c>
      <c r="AA360">
        <f>IF(OR(P360="Y",AND(K360&gt;=9.0,W360="Y")),"P0",IF(Z360&gt;=80,"P0",IF(Z360&gt;=60,"P1",IF(Z360&gt;=40,"P2",IF(Z360&gt;=20,"P3","P4")))))</f>
        <v/>
      </c>
      <c r="AD360">
        <f>IF(AB360&lt;&gt;"",AB360,AA360)</f>
        <v/>
      </c>
      <c r="AE360">
        <f>VLOOKUP(AD360,SLA_Definitions!$A$2:$B$6,2,FALSE)</f>
        <v/>
      </c>
      <c r="AF360">
        <f>IF(B360&lt;&gt;"",WORKDAY(B360,AE360),"")</f>
        <v/>
      </c>
      <c r="AG360">
        <f>IF(AF360&lt;&gt;"",NETWORKDAYS(TODAY(),AF360),"")</f>
        <v/>
      </c>
      <c r="AH360">
        <f>IF(AJ360="Complete","Complete",IF(AG360&lt;0,"Overdue",IF(AG360&lt;=AE360*0.2,"At Risk","On Track")))</f>
        <v/>
      </c>
      <c r="AK360">
        <f>IF(OR(AH360="Overdue",AND(AD360="P0",AG360&lt;1),AND(AD360="P1",AG360&lt;3)),"Y","N")</f>
        <v/>
      </c>
    </row>
    <row r="361">
      <c r="K361">
        <f>IF(J361="v4.0",L361,IF(J361="v3.1",M361,IF(J361="Both",L361,IF(AND(L361&lt;&gt;"",M361=""),L361,M361))))</f>
        <v/>
      </c>
      <c r="Z361">
        <f>MIN(100,
(K361*5) +
(U361*10) +
IF(P361="Y",40,0) +
IF(Q361="P",30,0) +
IF(V361="Y",25,0) +
IF(W361="Y",20,0) +
IF(X361="Weaponized",15,IF(X361="PoC Available",10,IF(X361="Public Exploit",5,0))) +
IF(G361="Production",10,IF(G361="DMZ",8,IF(G361="DR/Backup",5,0))) +
IF(Y361="N",10,0)
)</f>
        <v/>
      </c>
      <c r="AA361">
        <f>IF(OR(P361="Y",AND(K361&gt;=9.0,W361="Y")),"P0",IF(Z361&gt;=80,"P0",IF(Z361&gt;=60,"P1",IF(Z361&gt;=40,"P2",IF(Z361&gt;=20,"P3","P4")))))</f>
        <v/>
      </c>
      <c r="AD361">
        <f>IF(AB361&lt;&gt;"",AB361,AA361)</f>
        <v/>
      </c>
      <c r="AE361">
        <f>VLOOKUP(AD361,SLA_Definitions!$A$2:$B$6,2,FALSE)</f>
        <v/>
      </c>
      <c r="AF361">
        <f>IF(B361&lt;&gt;"",WORKDAY(B361,AE361),"")</f>
        <v/>
      </c>
      <c r="AG361">
        <f>IF(AF361&lt;&gt;"",NETWORKDAYS(TODAY(),AF361),"")</f>
        <v/>
      </c>
      <c r="AH361">
        <f>IF(AJ361="Complete","Complete",IF(AG361&lt;0,"Overdue",IF(AG361&lt;=AE361*0.2,"At Risk","On Track")))</f>
        <v/>
      </c>
      <c r="AK361">
        <f>IF(OR(AH361="Overdue",AND(AD361="P0",AG361&lt;1),AND(AD361="P1",AG361&lt;3)),"Y","N")</f>
        <v/>
      </c>
    </row>
    <row r="362">
      <c r="K362">
        <f>IF(J362="v4.0",L362,IF(J362="v3.1",M362,IF(J362="Both",L362,IF(AND(L362&lt;&gt;"",M362=""),L362,M362))))</f>
        <v/>
      </c>
      <c r="Z362">
        <f>MIN(100,
(K362*5) +
(U362*10) +
IF(P362="Y",40,0) +
IF(Q362="P",30,0) +
IF(V362="Y",25,0) +
IF(W362="Y",20,0) +
IF(X362="Weaponized",15,IF(X362="PoC Available",10,IF(X362="Public Exploit",5,0))) +
IF(G362="Production",10,IF(G362="DMZ",8,IF(G362="DR/Backup",5,0))) +
IF(Y362="N",10,0)
)</f>
        <v/>
      </c>
      <c r="AA362">
        <f>IF(OR(P362="Y",AND(K362&gt;=9.0,W362="Y")),"P0",IF(Z362&gt;=80,"P0",IF(Z362&gt;=60,"P1",IF(Z362&gt;=40,"P2",IF(Z362&gt;=20,"P3","P4")))))</f>
        <v/>
      </c>
      <c r="AD362">
        <f>IF(AB362&lt;&gt;"",AB362,AA362)</f>
        <v/>
      </c>
      <c r="AE362">
        <f>VLOOKUP(AD362,SLA_Definitions!$A$2:$B$6,2,FALSE)</f>
        <v/>
      </c>
      <c r="AF362">
        <f>IF(B362&lt;&gt;"",WORKDAY(B362,AE362),"")</f>
        <v/>
      </c>
      <c r="AG362">
        <f>IF(AF362&lt;&gt;"",NETWORKDAYS(TODAY(),AF362),"")</f>
        <v/>
      </c>
      <c r="AH362">
        <f>IF(AJ362="Complete","Complete",IF(AG362&lt;0,"Overdue",IF(AG362&lt;=AE362*0.2,"At Risk","On Track")))</f>
        <v/>
      </c>
      <c r="AK362">
        <f>IF(OR(AH362="Overdue",AND(AD362="P0",AG362&lt;1),AND(AD362="P1",AG362&lt;3)),"Y","N")</f>
        <v/>
      </c>
    </row>
    <row r="363">
      <c r="K363">
        <f>IF(J363="v4.0",L363,IF(J363="v3.1",M363,IF(J363="Both",L363,IF(AND(L363&lt;&gt;"",M363=""),L363,M363))))</f>
        <v/>
      </c>
      <c r="Z363">
        <f>MIN(100,
(K363*5) +
(U363*10) +
IF(P363="Y",40,0) +
IF(Q363="P",30,0) +
IF(V363="Y",25,0) +
IF(W363="Y",20,0) +
IF(X363="Weaponized",15,IF(X363="PoC Available",10,IF(X363="Public Exploit",5,0))) +
IF(G363="Production",10,IF(G363="DMZ",8,IF(G363="DR/Backup",5,0))) +
IF(Y363="N",10,0)
)</f>
        <v/>
      </c>
      <c r="AA363">
        <f>IF(OR(P363="Y",AND(K363&gt;=9.0,W363="Y")),"P0",IF(Z363&gt;=80,"P0",IF(Z363&gt;=60,"P1",IF(Z363&gt;=40,"P2",IF(Z363&gt;=20,"P3","P4")))))</f>
        <v/>
      </c>
      <c r="AD363">
        <f>IF(AB363&lt;&gt;"",AB363,AA363)</f>
        <v/>
      </c>
      <c r="AE363">
        <f>VLOOKUP(AD363,SLA_Definitions!$A$2:$B$6,2,FALSE)</f>
        <v/>
      </c>
      <c r="AF363">
        <f>IF(B363&lt;&gt;"",WORKDAY(B363,AE363),"")</f>
        <v/>
      </c>
      <c r="AG363">
        <f>IF(AF363&lt;&gt;"",NETWORKDAYS(TODAY(),AF363),"")</f>
        <v/>
      </c>
      <c r="AH363">
        <f>IF(AJ363="Complete","Complete",IF(AG363&lt;0,"Overdue",IF(AG363&lt;=AE363*0.2,"At Risk","On Track")))</f>
        <v/>
      </c>
      <c r="AK363">
        <f>IF(OR(AH363="Overdue",AND(AD363="P0",AG363&lt;1),AND(AD363="P1",AG363&lt;3)),"Y","N")</f>
        <v/>
      </c>
    </row>
    <row r="364">
      <c r="K364">
        <f>IF(J364="v4.0",L364,IF(J364="v3.1",M364,IF(J364="Both",L364,IF(AND(L364&lt;&gt;"",M364=""),L364,M364))))</f>
        <v/>
      </c>
      <c r="Z364">
        <f>MIN(100,
(K364*5) +
(U364*10) +
IF(P364="Y",40,0) +
IF(Q364="P",30,0) +
IF(V364="Y",25,0) +
IF(W364="Y",20,0) +
IF(X364="Weaponized",15,IF(X364="PoC Available",10,IF(X364="Public Exploit",5,0))) +
IF(G364="Production",10,IF(G364="DMZ",8,IF(G364="DR/Backup",5,0))) +
IF(Y364="N",10,0)
)</f>
        <v/>
      </c>
      <c r="AA364">
        <f>IF(OR(P364="Y",AND(K364&gt;=9.0,W364="Y")),"P0",IF(Z364&gt;=80,"P0",IF(Z364&gt;=60,"P1",IF(Z364&gt;=40,"P2",IF(Z364&gt;=20,"P3","P4")))))</f>
        <v/>
      </c>
      <c r="AD364">
        <f>IF(AB364&lt;&gt;"",AB364,AA364)</f>
        <v/>
      </c>
      <c r="AE364">
        <f>VLOOKUP(AD364,SLA_Definitions!$A$2:$B$6,2,FALSE)</f>
        <v/>
      </c>
      <c r="AF364">
        <f>IF(B364&lt;&gt;"",WORKDAY(B364,AE364),"")</f>
        <v/>
      </c>
      <c r="AG364">
        <f>IF(AF364&lt;&gt;"",NETWORKDAYS(TODAY(),AF364),"")</f>
        <v/>
      </c>
      <c r="AH364">
        <f>IF(AJ364="Complete","Complete",IF(AG364&lt;0,"Overdue",IF(AG364&lt;=AE364*0.2,"At Risk","On Track")))</f>
        <v/>
      </c>
      <c r="AK364">
        <f>IF(OR(AH364="Overdue",AND(AD364="P0",AG364&lt;1),AND(AD364="P1",AG364&lt;3)),"Y","N")</f>
        <v/>
      </c>
    </row>
    <row r="365">
      <c r="K365">
        <f>IF(J365="v4.0",L365,IF(J365="v3.1",M365,IF(J365="Both",L365,IF(AND(L365&lt;&gt;"",M365=""),L365,M365))))</f>
        <v/>
      </c>
      <c r="Z365">
        <f>MIN(100,
(K365*5) +
(U365*10) +
IF(P365="Y",40,0) +
IF(Q365="P",30,0) +
IF(V365="Y",25,0) +
IF(W365="Y",20,0) +
IF(X365="Weaponized",15,IF(X365="PoC Available",10,IF(X365="Public Exploit",5,0))) +
IF(G365="Production",10,IF(G365="DMZ",8,IF(G365="DR/Backup",5,0))) +
IF(Y365="N",10,0)
)</f>
        <v/>
      </c>
      <c r="AA365">
        <f>IF(OR(P365="Y",AND(K365&gt;=9.0,W365="Y")),"P0",IF(Z365&gt;=80,"P0",IF(Z365&gt;=60,"P1",IF(Z365&gt;=40,"P2",IF(Z365&gt;=20,"P3","P4")))))</f>
        <v/>
      </c>
      <c r="AD365">
        <f>IF(AB365&lt;&gt;"",AB365,AA365)</f>
        <v/>
      </c>
      <c r="AE365">
        <f>VLOOKUP(AD365,SLA_Definitions!$A$2:$B$6,2,FALSE)</f>
        <v/>
      </c>
      <c r="AF365">
        <f>IF(B365&lt;&gt;"",WORKDAY(B365,AE365),"")</f>
        <v/>
      </c>
      <c r="AG365">
        <f>IF(AF365&lt;&gt;"",NETWORKDAYS(TODAY(),AF365),"")</f>
        <v/>
      </c>
      <c r="AH365">
        <f>IF(AJ365="Complete","Complete",IF(AG365&lt;0,"Overdue",IF(AG365&lt;=AE365*0.2,"At Risk","On Track")))</f>
        <v/>
      </c>
      <c r="AK365">
        <f>IF(OR(AH365="Overdue",AND(AD365="P0",AG365&lt;1),AND(AD365="P1",AG365&lt;3)),"Y","N")</f>
        <v/>
      </c>
    </row>
    <row r="366">
      <c r="K366">
        <f>IF(J366="v4.0",L366,IF(J366="v3.1",M366,IF(J366="Both",L366,IF(AND(L366&lt;&gt;"",M366=""),L366,M366))))</f>
        <v/>
      </c>
      <c r="Z366">
        <f>MIN(100,
(K366*5) +
(U366*10) +
IF(P366="Y",40,0) +
IF(Q366="P",30,0) +
IF(V366="Y",25,0) +
IF(W366="Y",20,0) +
IF(X366="Weaponized",15,IF(X366="PoC Available",10,IF(X366="Public Exploit",5,0))) +
IF(G366="Production",10,IF(G366="DMZ",8,IF(G366="DR/Backup",5,0))) +
IF(Y366="N",10,0)
)</f>
        <v/>
      </c>
      <c r="AA366">
        <f>IF(OR(P366="Y",AND(K366&gt;=9.0,W366="Y")),"P0",IF(Z366&gt;=80,"P0",IF(Z366&gt;=60,"P1",IF(Z366&gt;=40,"P2",IF(Z366&gt;=20,"P3","P4")))))</f>
        <v/>
      </c>
      <c r="AD366">
        <f>IF(AB366&lt;&gt;"",AB366,AA366)</f>
        <v/>
      </c>
      <c r="AE366">
        <f>VLOOKUP(AD366,SLA_Definitions!$A$2:$B$6,2,FALSE)</f>
        <v/>
      </c>
      <c r="AF366">
        <f>IF(B366&lt;&gt;"",WORKDAY(B366,AE366),"")</f>
        <v/>
      </c>
      <c r="AG366">
        <f>IF(AF366&lt;&gt;"",NETWORKDAYS(TODAY(),AF366),"")</f>
        <v/>
      </c>
      <c r="AH366">
        <f>IF(AJ366="Complete","Complete",IF(AG366&lt;0,"Overdue",IF(AG366&lt;=AE366*0.2,"At Risk","On Track")))</f>
        <v/>
      </c>
      <c r="AK366">
        <f>IF(OR(AH366="Overdue",AND(AD366="P0",AG366&lt;1),AND(AD366="P1",AG366&lt;3)),"Y","N")</f>
        <v/>
      </c>
    </row>
    <row r="367">
      <c r="K367">
        <f>IF(J367="v4.0",L367,IF(J367="v3.1",M367,IF(J367="Both",L367,IF(AND(L367&lt;&gt;"",M367=""),L367,M367))))</f>
        <v/>
      </c>
      <c r="Z367">
        <f>MIN(100,
(K367*5) +
(U367*10) +
IF(P367="Y",40,0) +
IF(Q367="P",30,0) +
IF(V367="Y",25,0) +
IF(W367="Y",20,0) +
IF(X367="Weaponized",15,IF(X367="PoC Available",10,IF(X367="Public Exploit",5,0))) +
IF(G367="Production",10,IF(G367="DMZ",8,IF(G367="DR/Backup",5,0))) +
IF(Y367="N",10,0)
)</f>
        <v/>
      </c>
      <c r="AA367">
        <f>IF(OR(P367="Y",AND(K367&gt;=9.0,W367="Y")),"P0",IF(Z367&gt;=80,"P0",IF(Z367&gt;=60,"P1",IF(Z367&gt;=40,"P2",IF(Z367&gt;=20,"P3","P4")))))</f>
        <v/>
      </c>
      <c r="AD367">
        <f>IF(AB367&lt;&gt;"",AB367,AA367)</f>
        <v/>
      </c>
      <c r="AE367">
        <f>VLOOKUP(AD367,SLA_Definitions!$A$2:$B$6,2,FALSE)</f>
        <v/>
      </c>
      <c r="AF367">
        <f>IF(B367&lt;&gt;"",WORKDAY(B367,AE367),"")</f>
        <v/>
      </c>
      <c r="AG367">
        <f>IF(AF367&lt;&gt;"",NETWORKDAYS(TODAY(),AF367),"")</f>
        <v/>
      </c>
      <c r="AH367">
        <f>IF(AJ367="Complete","Complete",IF(AG367&lt;0,"Overdue",IF(AG367&lt;=AE367*0.2,"At Risk","On Track")))</f>
        <v/>
      </c>
      <c r="AK367">
        <f>IF(OR(AH367="Overdue",AND(AD367="P0",AG367&lt;1),AND(AD367="P1",AG367&lt;3)),"Y","N")</f>
        <v/>
      </c>
    </row>
    <row r="368">
      <c r="K368">
        <f>IF(J368="v4.0",L368,IF(J368="v3.1",M368,IF(J368="Both",L368,IF(AND(L368&lt;&gt;"",M368=""),L368,M368))))</f>
        <v/>
      </c>
      <c r="Z368">
        <f>MIN(100,
(K368*5) +
(U368*10) +
IF(P368="Y",40,0) +
IF(Q368="P",30,0) +
IF(V368="Y",25,0) +
IF(W368="Y",20,0) +
IF(X368="Weaponized",15,IF(X368="PoC Available",10,IF(X368="Public Exploit",5,0))) +
IF(G368="Production",10,IF(G368="DMZ",8,IF(G368="DR/Backup",5,0))) +
IF(Y368="N",10,0)
)</f>
        <v/>
      </c>
      <c r="AA368">
        <f>IF(OR(P368="Y",AND(K368&gt;=9.0,W368="Y")),"P0",IF(Z368&gt;=80,"P0",IF(Z368&gt;=60,"P1",IF(Z368&gt;=40,"P2",IF(Z368&gt;=20,"P3","P4")))))</f>
        <v/>
      </c>
      <c r="AD368">
        <f>IF(AB368&lt;&gt;"",AB368,AA368)</f>
        <v/>
      </c>
      <c r="AE368">
        <f>VLOOKUP(AD368,SLA_Definitions!$A$2:$B$6,2,FALSE)</f>
        <v/>
      </c>
      <c r="AF368">
        <f>IF(B368&lt;&gt;"",WORKDAY(B368,AE368),"")</f>
        <v/>
      </c>
      <c r="AG368">
        <f>IF(AF368&lt;&gt;"",NETWORKDAYS(TODAY(),AF368),"")</f>
        <v/>
      </c>
      <c r="AH368">
        <f>IF(AJ368="Complete","Complete",IF(AG368&lt;0,"Overdue",IF(AG368&lt;=AE368*0.2,"At Risk","On Track")))</f>
        <v/>
      </c>
      <c r="AK368">
        <f>IF(OR(AH368="Overdue",AND(AD368="P0",AG368&lt;1),AND(AD368="P1",AG368&lt;3)),"Y","N")</f>
        <v/>
      </c>
    </row>
    <row r="369">
      <c r="K369">
        <f>IF(J369="v4.0",L369,IF(J369="v3.1",M369,IF(J369="Both",L369,IF(AND(L369&lt;&gt;"",M369=""),L369,M369))))</f>
        <v/>
      </c>
      <c r="Z369">
        <f>MIN(100,
(K369*5) +
(U369*10) +
IF(P369="Y",40,0) +
IF(Q369="P",30,0) +
IF(V369="Y",25,0) +
IF(W369="Y",20,0) +
IF(X369="Weaponized",15,IF(X369="PoC Available",10,IF(X369="Public Exploit",5,0))) +
IF(G369="Production",10,IF(G369="DMZ",8,IF(G369="DR/Backup",5,0))) +
IF(Y369="N",10,0)
)</f>
        <v/>
      </c>
      <c r="AA369">
        <f>IF(OR(P369="Y",AND(K369&gt;=9.0,W369="Y")),"P0",IF(Z369&gt;=80,"P0",IF(Z369&gt;=60,"P1",IF(Z369&gt;=40,"P2",IF(Z369&gt;=20,"P3","P4")))))</f>
        <v/>
      </c>
      <c r="AD369">
        <f>IF(AB369&lt;&gt;"",AB369,AA369)</f>
        <v/>
      </c>
      <c r="AE369">
        <f>VLOOKUP(AD369,SLA_Definitions!$A$2:$B$6,2,FALSE)</f>
        <v/>
      </c>
      <c r="AF369">
        <f>IF(B369&lt;&gt;"",WORKDAY(B369,AE369),"")</f>
        <v/>
      </c>
      <c r="AG369">
        <f>IF(AF369&lt;&gt;"",NETWORKDAYS(TODAY(),AF369),"")</f>
        <v/>
      </c>
      <c r="AH369">
        <f>IF(AJ369="Complete","Complete",IF(AG369&lt;0,"Overdue",IF(AG369&lt;=AE369*0.2,"At Risk","On Track")))</f>
        <v/>
      </c>
      <c r="AK369">
        <f>IF(OR(AH369="Overdue",AND(AD369="P0",AG369&lt;1),AND(AD369="P1",AG369&lt;3)),"Y","N")</f>
        <v/>
      </c>
    </row>
    <row r="370">
      <c r="K370">
        <f>IF(J370="v4.0",L370,IF(J370="v3.1",M370,IF(J370="Both",L370,IF(AND(L370&lt;&gt;"",M370=""),L370,M370))))</f>
        <v/>
      </c>
      <c r="Z370">
        <f>MIN(100,
(K370*5) +
(U370*10) +
IF(P370="Y",40,0) +
IF(Q370="P",30,0) +
IF(V370="Y",25,0) +
IF(W370="Y",20,0) +
IF(X370="Weaponized",15,IF(X370="PoC Available",10,IF(X370="Public Exploit",5,0))) +
IF(G370="Production",10,IF(G370="DMZ",8,IF(G370="DR/Backup",5,0))) +
IF(Y370="N",10,0)
)</f>
        <v/>
      </c>
      <c r="AA370">
        <f>IF(OR(P370="Y",AND(K370&gt;=9.0,W370="Y")),"P0",IF(Z370&gt;=80,"P0",IF(Z370&gt;=60,"P1",IF(Z370&gt;=40,"P2",IF(Z370&gt;=20,"P3","P4")))))</f>
        <v/>
      </c>
      <c r="AD370">
        <f>IF(AB370&lt;&gt;"",AB370,AA370)</f>
        <v/>
      </c>
      <c r="AE370">
        <f>VLOOKUP(AD370,SLA_Definitions!$A$2:$B$6,2,FALSE)</f>
        <v/>
      </c>
      <c r="AF370">
        <f>IF(B370&lt;&gt;"",WORKDAY(B370,AE370),"")</f>
        <v/>
      </c>
      <c r="AG370">
        <f>IF(AF370&lt;&gt;"",NETWORKDAYS(TODAY(),AF370),"")</f>
        <v/>
      </c>
      <c r="AH370">
        <f>IF(AJ370="Complete","Complete",IF(AG370&lt;0,"Overdue",IF(AG370&lt;=AE370*0.2,"At Risk","On Track")))</f>
        <v/>
      </c>
      <c r="AK370">
        <f>IF(OR(AH370="Overdue",AND(AD370="P0",AG370&lt;1),AND(AD370="P1",AG370&lt;3)),"Y","N")</f>
        <v/>
      </c>
    </row>
    <row r="371">
      <c r="K371">
        <f>IF(J371="v4.0",L371,IF(J371="v3.1",M371,IF(J371="Both",L371,IF(AND(L371&lt;&gt;"",M371=""),L371,M371))))</f>
        <v/>
      </c>
      <c r="Z371">
        <f>MIN(100,
(K371*5) +
(U371*10) +
IF(P371="Y",40,0) +
IF(Q371="P",30,0) +
IF(V371="Y",25,0) +
IF(W371="Y",20,0) +
IF(X371="Weaponized",15,IF(X371="PoC Available",10,IF(X371="Public Exploit",5,0))) +
IF(G371="Production",10,IF(G371="DMZ",8,IF(G371="DR/Backup",5,0))) +
IF(Y371="N",10,0)
)</f>
        <v/>
      </c>
      <c r="AA371">
        <f>IF(OR(P371="Y",AND(K371&gt;=9.0,W371="Y")),"P0",IF(Z371&gt;=80,"P0",IF(Z371&gt;=60,"P1",IF(Z371&gt;=40,"P2",IF(Z371&gt;=20,"P3","P4")))))</f>
        <v/>
      </c>
      <c r="AD371">
        <f>IF(AB371&lt;&gt;"",AB371,AA371)</f>
        <v/>
      </c>
      <c r="AE371">
        <f>VLOOKUP(AD371,SLA_Definitions!$A$2:$B$6,2,FALSE)</f>
        <v/>
      </c>
      <c r="AF371">
        <f>IF(B371&lt;&gt;"",WORKDAY(B371,AE371),"")</f>
        <v/>
      </c>
      <c r="AG371">
        <f>IF(AF371&lt;&gt;"",NETWORKDAYS(TODAY(),AF371),"")</f>
        <v/>
      </c>
      <c r="AH371">
        <f>IF(AJ371="Complete","Complete",IF(AG371&lt;0,"Overdue",IF(AG371&lt;=AE371*0.2,"At Risk","On Track")))</f>
        <v/>
      </c>
      <c r="AK371">
        <f>IF(OR(AH371="Overdue",AND(AD371="P0",AG371&lt;1),AND(AD371="P1",AG371&lt;3)),"Y","N")</f>
        <v/>
      </c>
    </row>
    <row r="372">
      <c r="K372">
        <f>IF(J372="v4.0",L372,IF(J372="v3.1",M372,IF(J372="Both",L372,IF(AND(L372&lt;&gt;"",M372=""),L372,M372))))</f>
        <v/>
      </c>
      <c r="Z372">
        <f>MIN(100,
(K372*5) +
(U372*10) +
IF(P372="Y",40,0) +
IF(Q372="P",30,0) +
IF(V372="Y",25,0) +
IF(W372="Y",20,0) +
IF(X372="Weaponized",15,IF(X372="PoC Available",10,IF(X372="Public Exploit",5,0))) +
IF(G372="Production",10,IF(G372="DMZ",8,IF(G372="DR/Backup",5,0))) +
IF(Y372="N",10,0)
)</f>
        <v/>
      </c>
      <c r="AA372">
        <f>IF(OR(P372="Y",AND(K372&gt;=9.0,W372="Y")),"P0",IF(Z372&gt;=80,"P0",IF(Z372&gt;=60,"P1",IF(Z372&gt;=40,"P2",IF(Z372&gt;=20,"P3","P4")))))</f>
        <v/>
      </c>
      <c r="AD372">
        <f>IF(AB372&lt;&gt;"",AB372,AA372)</f>
        <v/>
      </c>
      <c r="AE372">
        <f>VLOOKUP(AD372,SLA_Definitions!$A$2:$B$6,2,FALSE)</f>
        <v/>
      </c>
      <c r="AF372">
        <f>IF(B372&lt;&gt;"",WORKDAY(B372,AE372),"")</f>
        <v/>
      </c>
      <c r="AG372">
        <f>IF(AF372&lt;&gt;"",NETWORKDAYS(TODAY(),AF372),"")</f>
        <v/>
      </c>
      <c r="AH372">
        <f>IF(AJ372="Complete","Complete",IF(AG372&lt;0,"Overdue",IF(AG372&lt;=AE372*0.2,"At Risk","On Track")))</f>
        <v/>
      </c>
      <c r="AK372">
        <f>IF(OR(AH372="Overdue",AND(AD372="P0",AG372&lt;1),AND(AD372="P1",AG372&lt;3)),"Y","N")</f>
        <v/>
      </c>
    </row>
    <row r="373">
      <c r="K373">
        <f>IF(J373="v4.0",L373,IF(J373="v3.1",M373,IF(J373="Both",L373,IF(AND(L373&lt;&gt;"",M373=""),L373,M373))))</f>
        <v/>
      </c>
      <c r="Z373">
        <f>MIN(100,
(K373*5) +
(U373*10) +
IF(P373="Y",40,0) +
IF(Q373="P",30,0) +
IF(V373="Y",25,0) +
IF(W373="Y",20,0) +
IF(X373="Weaponized",15,IF(X373="PoC Available",10,IF(X373="Public Exploit",5,0))) +
IF(G373="Production",10,IF(G373="DMZ",8,IF(G373="DR/Backup",5,0))) +
IF(Y373="N",10,0)
)</f>
        <v/>
      </c>
      <c r="AA373">
        <f>IF(OR(P373="Y",AND(K373&gt;=9.0,W373="Y")),"P0",IF(Z373&gt;=80,"P0",IF(Z373&gt;=60,"P1",IF(Z373&gt;=40,"P2",IF(Z373&gt;=20,"P3","P4")))))</f>
        <v/>
      </c>
      <c r="AD373">
        <f>IF(AB373&lt;&gt;"",AB373,AA373)</f>
        <v/>
      </c>
      <c r="AE373">
        <f>VLOOKUP(AD373,SLA_Definitions!$A$2:$B$6,2,FALSE)</f>
        <v/>
      </c>
      <c r="AF373">
        <f>IF(B373&lt;&gt;"",WORKDAY(B373,AE373),"")</f>
        <v/>
      </c>
      <c r="AG373">
        <f>IF(AF373&lt;&gt;"",NETWORKDAYS(TODAY(),AF373),"")</f>
        <v/>
      </c>
      <c r="AH373">
        <f>IF(AJ373="Complete","Complete",IF(AG373&lt;0,"Overdue",IF(AG373&lt;=AE373*0.2,"At Risk","On Track")))</f>
        <v/>
      </c>
      <c r="AK373">
        <f>IF(OR(AH373="Overdue",AND(AD373="P0",AG373&lt;1),AND(AD373="P1",AG373&lt;3)),"Y","N")</f>
        <v/>
      </c>
    </row>
    <row r="374">
      <c r="K374">
        <f>IF(J374="v4.0",L374,IF(J374="v3.1",M374,IF(J374="Both",L374,IF(AND(L374&lt;&gt;"",M374=""),L374,M374))))</f>
        <v/>
      </c>
      <c r="Z374">
        <f>MIN(100,
(K374*5) +
(U374*10) +
IF(P374="Y",40,0) +
IF(Q374="P",30,0) +
IF(V374="Y",25,0) +
IF(W374="Y",20,0) +
IF(X374="Weaponized",15,IF(X374="PoC Available",10,IF(X374="Public Exploit",5,0))) +
IF(G374="Production",10,IF(G374="DMZ",8,IF(G374="DR/Backup",5,0))) +
IF(Y374="N",10,0)
)</f>
        <v/>
      </c>
      <c r="AA374">
        <f>IF(OR(P374="Y",AND(K374&gt;=9.0,W374="Y")),"P0",IF(Z374&gt;=80,"P0",IF(Z374&gt;=60,"P1",IF(Z374&gt;=40,"P2",IF(Z374&gt;=20,"P3","P4")))))</f>
        <v/>
      </c>
      <c r="AD374">
        <f>IF(AB374&lt;&gt;"",AB374,AA374)</f>
        <v/>
      </c>
      <c r="AE374">
        <f>VLOOKUP(AD374,SLA_Definitions!$A$2:$B$6,2,FALSE)</f>
        <v/>
      </c>
      <c r="AF374">
        <f>IF(B374&lt;&gt;"",WORKDAY(B374,AE374),"")</f>
        <v/>
      </c>
      <c r="AG374">
        <f>IF(AF374&lt;&gt;"",NETWORKDAYS(TODAY(),AF374),"")</f>
        <v/>
      </c>
      <c r="AH374">
        <f>IF(AJ374="Complete","Complete",IF(AG374&lt;0,"Overdue",IF(AG374&lt;=AE374*0.2,"At Risk","On Track")))</f>
        <v/>
      </c>
      <c r="AK374">
        <f>IF(OR(AH374="Overdue",AND(AD374="P0",AG374&lt;1),AND(AD374="P1",AG374&lt;3)),"Y","N")</f>
        <v/>
      </c>
    </row>
    <row r="375">
      <c r="K375">
        <f>IF(J375="v4.0",L375,IF(J375="v3.1",M375,IF(J375="Both",L375,IF(AND(L375&lt;&gt;"",M375=""),L375,M375))))</f>
        <v/>
      </c>
      <c r="Z375">
        <f>MIN(100,
(K375*5) +
(U375*10) +
IF(P375="Y",40,0) +
IF(Q375="P",30,0) +
IF(V375="Y",25,0) +
IF(W375="Y",20,0) +
IF(X375="Weaponized",15,IF(X375="PoC Available",10,IF(X375="Public Exploit",5,0))) +
IF(G375="Production",10,IF(G375="DMZ",8,IF(G375="DR/Backup",5,0))) +
IF(Y375="N",10,0)
)</f>
        <v/>
      </c>
      <c r="AA375">
        <f>IF(OR(P375="Y",AND(K375&gt;=9.0,W375="Y")),"P0",IF(Z375&gt;=80,"P0",IF(Z375&gt;=60,"P1",IF(Z375&gt;=40,"P2",IF(Z375&gt;=20,"P3","P4")))))</f>
        <v/>
      </c>
      <c r="AD375">
        <f>IF(AB375&lt;&gt;"",AB375,AA375)</f>
        <v/>
      </c>
      <c r="AE375">
        <f>VLOOKUP(AD375,SLA_Definitions!$A$2:$B$6,2,FALSE)</f>
        <v/>
      </c>
      <c r="AF375">
        <f>IF(B375&lt;&gt;"",WORKDAY(B375,AE375),"")</f>
        <v/>
      </c>
      <c r="AG375">
        <f>IF(AF375&lt;&gt;"",NETWORKDAYS(TODAY(),AF375),"")</f>
        <v/>
      </c>
      <c r="AH375">
        <f>IF(AJ375="Complete","Complete",IF(AG375&lt;0,"Overdue",IF(AG375&lt;=AE375*0.2,"At Risk","On Track")))</f>
        <v/>
      </c>
      <c r="AK375">
        <f>IF(OR(AH375="Overdue",AND(AD375="P0",AG375&lt;1),AND(AD375="P1",AG375&lt;3)),"Y","N")</f>
        <v/>
      </c>
    </row>
    <row r="376">
      <c r="K376">
        <f>IF(J376="v4.0",L376,IF(J376="v3.1",M376,IF(J376="Both",L376,IF(AND(L376&lt;&gt;"",M376=""),L376,M376))))</f>
        <v/>
      </c>
      <c r="Z376">
        <f>MIN(100,
(K376*5) +
(U376*10) +
IF(P376="Y",40,0) +
IF(Q376="P",30,0) +
IF(V376="Y",25,0) +
IF(W376="Y",20,0) +
IF(X376="Weaponized",15,IF(X376="PoC Available",10,IF(X376="Public Exploit",5,0))) +
IF(G376="Production",10,IF(G376="DMZ",8,IF(G376="DR/Backup",5,0))) +
IF(Y376="N",10,0)
)</f>
        <v/>
      </c>
      <c r="AA376">
        <f>IF(OR(P376="Y",AND(K376&gt;=9.0,W376="Y")),"P0",IF(Z376&gt;=80,"P0",IF(Z376&gt;=60,"P1",IF(Z376&gt;=40,"P2",IF(Z376&gt;=20,"P3","P4")))))</f>
        <v/>
      </c>
      <c r="AD376">
        <f>IF(AB376&lt;&gt;"",AB376,AA376)</f>
        <v/>
      </c>
      <c r="AE376">
        <f>VLOOKUP(AD376,SLA_Definitions!$A$2:$B$6,2,FALSE)</f>
        <v/>
      </c>
      <c r="AF376">
        <f>IF(B376&lt;&gt;"",WORKDAY(B376,AE376),"")</f>
        <v/>
      </c>
      <c r="AG376">
        <f>IF(AF376&lt;&gt;"",NETWORKDAYS(TODAY(),AF376),"")</f>
        <v/>
      </c>
      <c r="AH376">
        <f>IF(AJ376="Complete","Complete",IF(AG376&lt;0,"Overdue",IF(AG376&lt;=AE376*0.2,"At Risk","On Track")))</f>
        <v/>
      </c>
      <c r="AK376">
        <f>IF(OR(AH376="Overdue",AND(AD376="P0",AG376&lt;1),AND(AD376="P1",AG376&lt;3)),"Y","N")</f>
        <v/>
      </c>
    </row>
    <row r="377">
      <c r="K377">
        <f>IF(J377="v4.0",L377,IF(J377="v3.1",M377,IF(J377="Both",L377,IF(AND(L377&lt;&gt;"",M377=""),L377,M377))))</f>
        <v/>
      </c>
      <c r="Z377">
        <f>MIN(100,
(K377*5) +
(U377*10) +
IF(P377="Y",40,0) +
IF(Q377="P",30,0) +
IF(V377="Y",25,0) +
IF(W377="Y",20,0) +
IF(X377="Weaponized",15,IF(X377="PoC Available",10,IF(X377="Public Exploit",5,0))) +
IF(G377="Production",10,IF(G377="DMZ",8,IF(G377="DR/Backup",5,0))) +
IF(Y377="N",10,0)
)</f>
        <v/>
      </c>
      <c r="AA377">
        <f>IF(OR(P377="Y",AND(K377&gt;=9.0,W377="Y")),"P0",IF(Z377&gt;=80,"P0",IF(Z377&gt;=60,"P1",IF(Z377&gt;=40,"P2",IF(Z377&gt;=20,"P3","P4")))))</f>
        <v/>
      </c>
      <c r="AD377">
        <f>IF(AB377&lt;&gt;"",AB377,AA377)</f>
        <v/>
      </c>
      <c r="AE377">
        <f>VLOOKUP(AD377,SLA_Definitions!$A$2:$B$6,2,FALSE)</f>
        <v/>
      </c>
      <c r="AF377">
        <f>IF(B377&lt;&gt;"",WORKDAY(B377,AE377),"")</f>
        <v/>
      </c>
      <c r="AG377">
        <f>IF(AF377&lt;&gt;"",NETWORKDAYS(TODAY(),AF377),"")</f>
        <v/>
      </c>
      <c r="AH377">
        <f>IF(AJ377="Complete","Complete",IF(AG377&lt;0,"Overdue",IF(AG377&lt;=AE377*0.2,"At Risk","On Track")))</f>
        <v/>
      </c>
      <c r="AK377">
        <f>IF(OR(AH377="Overdue",AND(AD377="P0",AG377&lt;1),AND(AD377="P1",AG377&lt;3)),"Y","N")</f>
        <v/>
      </c>
    </row>
    <row r="378">
      <c r="K378">
        <f>IF(J378="v4.0",L378,IF(J378="v3.1",M378,IF(J378="Both",L378,IF(AND(L378&lt;&gt;"",M378=""),L378,M378))))</f>
        <v/>
      </c>
      <c r="Z378">
        <f>MIN(100,
(K378*5) +
(U378*10) +
IF(P378="Y",40,0) +
IF(Q378="P",30,0) +
IF(V378="Y",25,0) +
IF(W378="Y",20,0) +
IF(X378="Weaponized",15,IF(X378="PoC Available",10,IF(X378="Public Exploit",5,0))) +
IF(G378="Production",10,IF(G378="DMZ",8,IF(G378="DR/Backup",5,0))) +
IF(Y378="N",10,0)
)</f>
        <v/>
      </c>
      <c r="AA378">
        <f>IF(OR(P378="Y",AND(K378&gt;=9.0,W378="Y")),"P0",IF(Z378&gt;=80,"P0",IF(Z378&gt;=60,"P1",IF(Z378&gt;=40,"P2",IF(Z378&gt;=20,"P3","P4")))))</f>
        <v/>
      </c>
      <c r="AD378">
        <f>IF(AB378&lt;&gt;"",AB378,AA378)</f>
        <v/>
      </c>
      <c r="AE378">
        <f>VLOOKUP(AD378,SLA_Definitions!$A$2:$B$6,2,FALSE)</f>
        <v/>
      </c>
      <c r="AF378">
        <f>IF(B378&lt;&gt;"",WORKDAY(B378,AE378),"")</f>
        <v/>
      </c>
      <c r="AG378">
        <f>IF(AF378&lt;&gt;"",NETWORKDAYS(TODAY(),AF378),"")</f>
        <v/>
      </c>
      <c r="AH378">
        <f>IF(AJ378="Complete","Complete",IF(AG378&lt;0,"Overdue",IF(AG378&lt;=AE378*0.2,"At Risk","On Track")))</f>
        <v/>
      </c>
      <c r="AK378">
        <f>IF(OR(AH378="Overdue",AND(AD378="P0",AG378&lt;1),AND(AD378="P1",AG378&lt;3)),"Y","N")</f>
        <v/>
      </c>
    </row>
    <row r="379">
      <c r="K379">
        <f>IF(J379="v4.0",L379,IF(J379="v3.1",M379,IF(J379="Both",L379,IF(AND(L379&lt;&gt;"",M379=""),L379,M379))))</f>
        <v/>
      </c>
      <c r="Z379">
        <f>MIN(100,
(K379*5) +
(U379*10) +
IF(P379="Y",40,0) +
IF(Q379="P",30,0) +
IF(V379="Y",25,0) +
IF(W379="Y",20,0) +
IF(X379="Weaponized",15,IF(X379="PoC Available",10,IF(X379="Public Exploit",5,0))) +
IF(G379="Production",10,IF(G379="DMZ",8,IF(G379="DR/Backup",5,0))) +
IF(Y379="N",10,0)
)</f>
        <v/>
      </c>
      <c r="AA379">
        <f>IF(OR(P379="Y",AND(K379&gt;=9.0,W379="Y")),"P0",IF(Z379&gt;=80,"P0",IF(Z379&gt;=60,"P1",IF(Z379&gt;=40,"P2",IF(Z379&gt;=20,"P3","P4")))))</f>
        <v/>
      </c>
      <c r="AD379">
        <f>IF(AB379&lt;&gt;"",AB379,AA379)</f>
        <v/>
      </c>
      <c r="AE379">
        <f>VLOOKUP(AD379,SLA_Definitions!$A$2:$B$6,2,FALSE)</f>
        <v/>
      </c>
      <c r="AF379">
        <f>IF(B379&lt;&gt;"",WORKDAY(B379,AE379),"")</f>
        <v/>
      </c>
      <c r="AG379">
        <f>IF(AF379&lt;&gt;"",NETWORKDAYS(TODAY(),AF379),"")</f>
        <v/>
      </c>
      <c r="AH379">
        <f>IF(AJ379="Complete","Complete",IF(AG379&lt;0,"Overdue",IF(AG379&lt;=AE379*0.2,"At Risk","On Track")))</f>
        <v/>
      </c>
      <c r="AK379">
        <f>IF(OR(AH379="Overdue",AND(AD379="P0",AG379&lt;1),AND(AD379="P1",AG379&lt;3)),"Y","N")</f>
        <v/>
      </c>
    </row>
    <row r="380">
      <c r="K380">
        <f>IF(J380="v4.0",L380,IF(J380="v3.1",M380,IF(J380="Both",L380,IF(AND(L380&lt;&gt;"",M380=""),L380,M380))))</f>
        <v/>
      </c>
      <c r="Z380">
        <f>MIN(100,
(K380*5) +
(U380*10) +
IF(P380="Y",40,0) +
IF(Q380="P",30,0) +
IF(V380="Y",25,0) +
IF(W380="Y",20,0) +
IF(X380="Weaponized",15,IF(X380="PoC Available",10,IF(X380="Public Exploit",5,0))) +
IF(G380="Production",10,IF(G380="DMZ",8,IF(G380="DR/Backup",5,0))) +
IF(Y380="N",10,0)
)</f>
        <v/>
      </c>
      <c r="AA380">
        <f>IF(OR(P380="Y",AND(K380&gt;=9.0,W380="Y")),"P0",IF(Z380&gt;=80,"P0",IF(Z380&gt;=60,"P1",IF(Z380&gt;=40,"P2",IF(Z380&gt;=20,"P3","P4")))))</f>
        <v/>
      </c>
      <c r="AD380">
        <f>IF(AB380&lt;&gt;"",AB380,AA380)</f>
        <v/>
      </c>
      <c r="AE380">
        <f>VLOOKUP(AD380,SLA_Definitions!$A$2:$B$6,2,FALSE)</f>
        <v/>
      </c>
      <c r="AF380">
        <f>IF(B380&lt;&gt;"",WORKDAY(B380,AE380),"")</f>
        <v/>
      </c>
      <c r="AG380">
        <f>IF(AF380&lt;&gt;"",NETWORKDAYS(TODAY(),AF380),"")</f>
        <v/>
      </c>
      <c r="AH380">
        <f>IF(AJ380="Complete","Complete",IF(AG380&lt;0,"Overdue",IF(AG380&lt;=AE380*0.2,"At Risk","On Track")))</f>
        <v/>
      </c>
      <c r="AK380">
        <f>IF(OR(AH380="Overdue",AND(AD380="P0",AG380&lt;1),AND(AD380="P1",AG380&lt;3)),"Y","N")</f>
        <v/>
      </c>
    </row>
    <row r="381">
      <c r="K381">
        <f>IF(J381="v4.0",L381,IF(J381="v3.1",M381,IF(J381="Both",L381,IF(AND(L381&lt;&gt;"",M381=""),L381,M381))))</f>
        <v/>
      </c>
      <c r="Z381">
        <f>MIN(100,
(K381*5) +
(U381*10) +
IF(P381="Y",40,0) +
IF(Q381="P",30,0) +
IF(V381="Y",25,0) +
IF(W381="Y",20,0) +
IF(X381="Weaponized",15,IF(X381="PoC Available",10,IF(X381="Public Exploit",5,0))) +
IF(G381="Production",10,IF(G381="DMZ",8,IF(G381="DR/Backup",5,0))) +
IF(Y381="N",10,0)
)</f>
        <v/>
      </c>
      <c r="AA381">
        <f>IF(OR(P381="Y",AND(K381&gt;=9.0,W381="Y")),"P0",IF(Z381&gt;=80,"P0",IF(Z381&gt;=60,"P1",IF(Z381&gt;=40,"P2",IF(Z381&gt;=20,"P3","P4")))))</f>
        <v/>
      </c>
      <c r="AD381">
        <f>IF(AB381&lt;&gt;"",AB381,AA381)</f>
        <v/>
      </c>
      <c r="AE381">
        <f>VLOOKUP(AD381,SLA_Definitions!$A$2:$B$6,2,FALSE)</f>
        <v/>
      </c>
      <c r="AF381">
        <f>IF(B381&lt;&gt;"",WORKDAY(B381,AE381),"")</f>
        <v/>
      </c>
      <c r="AG381">
        <f>IF(AF381&lt;&gt;"",NETWORKDAYS(TODAY(),AF381),"")</f>
        <v/>
      </c>
      <c r="AH381">
        <f>IF(AJ381="Complete","Complete",IF(AG381&lt;0,"Overdue",IF(AG381&lt;=AE381*0.2,"At Risk","On Track")))</f>
        <v/>
      </c>
      <c r="AK381">
        <f>IF(OR(AH381="Overdue",AND(AD381="P0",AG381&lt;1),AND(AD381="P1",AG381&lt;3)),"Y","N")</f>
        <v/>
      </c>
    </row>
    <row r="382">
      <c r="K382">
        <f>IF(J382="v4.0",L382,IF(J382="v3.1",M382,IF(J382="Both",L382,IF(AND(L382&lt;&gt;"",M382=""),L382,M382))))</f>
        <v/>
      </c>
      <c r="Z382">
        <f>MIN(100,
(K382*5) +
(U382*10) +
IF(P382="Y",40,0) +
IF(Q382="P",30,0) +
IF(V382="Y",25,0) +
IF(W382="Y",20,0) +
IF(X382="Weaponized",15,IF(X382="PoC Available",10,IF(X382="Public Exploit",5,0))) +
IF(G382="Production",10,IF(G382="DMZ",8,IF(G382="DR/Backup",5,0))) +
IF(Y382="N",10,0)
)</f>
        <v/>
      </c>
      <c r="AA382">
        <f>IF(OR(P382="Y",AND(K382&gt;=9.0,W382="Y")),"P0",IF(Z382&gt;=80,"P0",IF(Z382&gt;=60,"P1",IF(Z382&gt;=40,"P2",IF(Z382&gt;=20,"P3","P4")))))</f>
        <v/>
      </c>
      <c r="AD382">
        <f>IF(AB382&lt;&gt;"",AB382,AA382)</f>
        <v/>
      </c>
      <c r="AE382">
        <f>VLOOKUP(AD382,SLA_Definitions!$A$2:$B$6,2,FALSE)</f>
        <v/>
      </c>
      <c r="AF382">
        <f>IF(B382&lt;&gt;"",WORKDAY(B382,AE382),"")</f>
        <v/>
      </c>
      <c r="AG382">
        <f>IF(AF382&lt;&gt;"",NETWORKDAYS(TODAY(),AF382),"")</f>
        <v/>
      </c>
      <c r="AH382">
        <f>IF(AJ382="Complete","Complete",IF(AG382&lt;0,"Overdue",IF(AG382&lt;=AE382*0.2,"At Risk","On Track")))</f>
        <v/>
      </c>
      <c r="AK382">
        <f>IF(OR(AH382="Overdue",AND(AD382="P0",AG382&lt;1),AND(AD382="P1",AG382&lt;3)),"Y","N")</f>
        <v/>
      </c>
    </row>
    <row r="383">
      <c r="K383">
        <f>IF(J383="v4.0",L383,IF(J383="v3.1",M383,IF(J383="Both",L383,IF(AND(L383&lt;&gt;"",M383=""),L383,M383))))</f>
        <v/>
      </c>
      <c r="Z383">
        <f>MIN(100,
(K383*5) +
(U383*10) +
IF(P383="Y",40,0) +
IF(Q383="P",30,0) +
IF(V383="Y",25,0) +
IF(W383="Y",20,0) +
IF(X383="Weaponized",15,IF(X383="PoC Available",10,IF(X383="Public Exploit",5,0))) +
IF(G383="Production",10,IF(G383="DMZ",8,IF(G383="DR/Backup",5,0))) +
IF(Y383="N",10,0)
)</f>
        <v/>
      </c>
      <c r="AA383">
        <f>IF(OR(P383="Y",AND(K383&gt;=9.0,W383="Y")),"P0",IF(Z383&gt;=80,"P0",IF(Z383&gt;=60,"P1",IF(Z383&gt;=40,"P2",IF(Z383&gt;=20,"P3","P4")))))</f>
        <v/>
      </c>
      <c r="AD383">
        <f>IF(AB383&lt;&gt;"",AB383,AA383)</f>
        <v/>
      </c>
      <c r="AE383">
        <f>VLOOKUP(AD383,SLA_Definitions!$A$2:$B$6,2,FALSE)</f>
        <v/>
      </c>
      <c r="AF383">
        <f>IF(B383&lt;&gt;"",WORKDAY(B383,AE383),"")</f>
        <v/>
      </c>
      <c r="AG383">
        <f>IF(AF383&lt;&gt;"",NETWORKDAYS(TODAY(),AF383),"")</f>
        <v/>
      </c>
      <c r="AH383">
        <f>IF(AJ383="Complete","Complete",IF(AG383&lt;0,"Overdue",IF(AG383&lt;=AE383*0.2,"At Risk","On Track")))</f>
        <v/>
      </c>
      <c r="AK383">
        <f>IF(OR(AH383="Overdue",AND(AD383="P0",AG383&lt;1),AND(AD383="P1",AG383&lt;3)),"Y","N")</f>
        <v/>
      </c>
    </row>
    <row r="384">
      <c r="K384">
        <f>IF(J384="v4.0",L384,IF(J384="v3.1",M384,IF(J384="Both",L384,IF(AND(L384&lt;&gt;"",M384=""),L384,M384))))</f>
        <v/>
      </c>
      <c r="Z384">
        <f>MIN(100,
(K384*5) +
(U384*10) +
IF(P384="Y",40,0) +
IF(Q384="P",30,0) +
IF(V384="Y",25,0) +
IF(W384="Y",20,0) +
IF(X384="Weaponized",15,IF(X384="PoC Available",10,IF(X384="Public Exploit",5,0))) +
IF(G384="Production",10,IF(G384="DMZ",8,IF(G384="DR/Backup",5,0))) +
IF(Y384="N",10,0)
)</f>
        <v/>
      </c>
      <c r="AA384">
        <f>IF(OR(P384="Y",AND(K384&gt;=9.0,W384="Y")),"P0",IF(Z384&gt;=80,"P0",IF(Z384&gt;=60,"P1",IF(Z384&gt;=40,"P2",IF(Z384&gt;=20,"P3","P4")))))</f>
        <v/>
      </c>
      <c r="AD384">
        <f>IF(AB384&lt;&gt;"",AB384,AA384)</f>
        <v/>
      </c>
      <c r="AE384">
        <f>VLOOKUP(AD384,SLA_Definitions!$A$2:$B$6,2,FALSE)</f>
        <v/>
      </c>
      <c r="AF384">
        <f>IF(B384&lt;&gt;"",WORKDAY(B384,AE384),"")</f>
        <v/>
      </c>
      <c r="AG384">
        <f>IF(AF384&lt;&gt;"",NETWORKDAYS(TODAY(),AF384),"")</f>
        <v/>
      </c>
      <c r="AH384">
        <f>IF(AJ384="Complete","Complete",IF(AG384&lt;0,"Overdue",IF(AG384&lt;=AE384*0.2,"At Risk","On Track")))</f>
        <v/>
      </c>
      <c r="AK384">
        <f>IF(OR(AH384="Overdue",AND(AD384="P0",AG384&lt;1),AND(AD384="P1",AG384&lt;3)),"Y","N")</f>
        <v/>
      </c>
    </row>
    <row r="385">
      <c r="K385">
        <f>IF(J385="v4.0",L385,IF(J385="v3.1",M385,IF(J385="Both",L385,IF(AND(L385&lt;&gt;"",M385=""),L385,M385))))</f>
        <v/>
      </c>
      <c r="Z385">
        <f>MIN(100,
(K385*5) +
(U385*10) +
IF(P385="Y",40,0) +
IF(Q385="P",30,0) +
IF(V385="Y",25,0) +
IF(W385="Y",20,0) +
IF(X385="Weaponized",15,IF(X385="PoC Available",10,IF(X385="Public Exploit",5,0))) +
IF(G385="Production",10,IF(G385="DMZ",8,IF(G385="DR/Backup",5,0))) +
IF(Y385="N",10,0)
)</f>
        <v/>
      </c>
      <c r="AA385">
        <f>IF(OR(P385="Y",AND(K385&gt;=9.0,W385="Y")),"P0",IF(Z385&gt;=80,"P0",IF(Z385&gt;=60,"P1",IF(Z385&gt;=40,"P2",IF(Z385&gt;=20,"P3","P4")))))</f>
        <v/>
      </c>
      <c r="AD385">
        <f>IF(AB385&lt;&gt;"",AB385,AA385)</f>
        <v/>
      </c>
      <c r="AE385">
        <f>VLOOKUP(AD385,SLA_Definitions!$A$2:$B$6,2,FALSE)</f>
        <v/>
      </c>
      <c r="AF385">
        <f>IF(B385&lt;&gt;"",WORKDAY(B385,AE385),"")</f>
        <v/>
      </c>
      <c r="AG385">
        <f>IF(AF385&lt;&gt;"",NETWORKDAYS(TODAY(),AF385),"")</f>
        <v/>
      </c>
      <c r="AH385">
        <f>IF(AJ385="Complete","Complete",IF(AG385&lt;0,"Overdue",IF(AG385&lt;=AE385*0.2,"At Risk","On Track")))</f>
        <v/>
      </c>
      <c r="AK385">
        <f>IF(OR(AH385="Overdue",AND(AD385="P0",AG385&lt;1),AND(AD385="P1",AG385&lt;3)),"Y","N")</f>
        <v/>
      </c>
    </row>
    <row r="386">
      <c r="K386">
        <f>IF(J386="v4.0",L386,IF(J386="v3.1",M386,IF(J386="Both",L386,IF(AND(L386&lt;&gt;"",M386=""),L386,M386))))</f>
        <v/>
      </c>
      <c r="Z386">
        <f>MIN(100,
(K386*5) +
(U386*10) +
IF(P386="Y",40,0) +
IF(Q386="P",30,0) +
IF(V386="Y",25,0) +
IF(W386="Y",20,0) +
IF(X386="Weaponized",15,IF(X386="PoC Available",10,IF(X386="Public Exploit",5,0))) +
IF(G386="Production",10,IF(G386="DMZ",8,IF(G386="DR/Backup",5,0))) +
IF(Y386="N",10,0)
)</f>
        <v/>
      </c>
      <c r="AA386">
        <f>IF(OR(P386="Y",AND(K386&gt;=9.0,W386="Y")),"P0",IF(Z386&gt;=80,"P0",IF(Z386&gt;=60,"P1",IF(Z386&gt;=40,"P2",IF(Z386&gt;=20,"P3","P4")))))</f>
        <v/>
      </c>
      <c r="AD386">
        <f>IF(AB386&lt;&gt;"",AB386,AA386)</f>
        <v/>
      </c>
      <c r="AE386">
        <f>VLOOKUP(AD386,SLA_Definitions!$A$2:$B$6,2,FALSE)</f>
        <v/>
      </c>
      <c r="AF386">
        <f>IF(B386&lt;&gt;"",WORKDAY(B386,AE386),"")</f>
        <v/>
      </c>
      <c r="AG386">
        <f>IF(AF386&lt;&gt;"",NETWORKDAYS(TODAY(),AF386),"")</f>
        <v/>
      </c>
      <c r="AH386">
        <f>IF(AJ386="Complete","Complete",IF(AG386&lt;0,"Overdue",IF(AG386&lt;=AE386*0.2,"At Risk","On Track")))</f>
        <v/>
      </c>
      <c r="AK386">
        <f>IF(OR(AH386="Overdue",AND(AD386="P0",AG386&lt;1),AND(AD386="P1",AG386&lt;3)),"Y","N")</f>
        <v/>
      </c>
    </row>
    <row r="387">
      <c r="K387">
        <f>IF(J387="v4.0",L387,IF(J387="v3.1",M387,IF(J387="Both",L387,IF(AND(L387&lt;&gt;"",M387=""),L387,M387))))</f>
        <v/>
      </c>
      <c r="Z387">
        <f>MIN(100,
(K387*5) +
(U387*10) +
IF(P387="Y",40,0) +
IF(Q387="P",30,0) +
IF(V387="Y",25,0) +
IF(W387="Y",20,0) +
IF(X387="Weaponized",15,IF(X387="PoC Available",10,IF(X387="Public Exploit",5,0))) +
IF(G387="Production",10,IF(G387="DMZ",8,IF(G387="DR/Backup",5,0))) +
IF(Y387="N",10,0)
)</f>
        <v/>
      </c>
      <c r="AA387">
        <f>IF(OR(P387="Y",AND(K387&gt;=9.0,W387="Y")),"P0",IF(Z387&gt;=80,"P0",IF(Z387&gt;=60,"P1",IF(Z387&gt;=40,"P2",IF(Z387&gt;=20,"P3","P4")))))</f>
        <v/>
      </c>
      <c r="AD387">
        <f>IF(AB387&lt;&gt;"",AB387,AA387)</f>
        <v/>
      </c>
      <c r="AE387">
        <f>VLOOKUP(AD387,SLA_Definitions!$A$2:$B$6,2,FALSE)</f>
        <v/>
      </c>
      <c r="AF387">
        <f>IF(B387&lt;&gt;"",WORKDAY(B387,AE387),"")</f>
        <v/>
      </c>
      <c r="AG387">
        <f>IF(AF387&lt;&gt;"",NETWORKDAYS(TODAY(),AF387),"")</f>
        <v/>
      </c>
      <c r="AH387">
        <f>IF(AJ387="Complete","Complete",IF(AG387&lt;0,"Overdue",IF(AG387&lt;=AE387*0.2,"At Risk","On Track")))</f>
        <v/>
      </c>
      <c r="AK387">
        <f>IF(OR(AH387="Overdue",AND(AD387="P0",AG387&lt;1),AND(AD387="P1",AG387&lt;3)),"Y","N")</f>
        <v/>
      </c>
    </row>
    <row r="388">
      <c r="K388">
        <f>IF(J388="v4.0",L388,IF(J388="v3.1",M388,IF(J388="Both",L388,IF(AND(L388&lt;&gt;"",M388=""),L388,M388))))</f>
        <v/>
      </c>
      <c r="Z388">
        <f>MIN(100,
(K388*5) +
(U388*10) +
IF(P388="Y",40,0) +
IF(Q388="P",30,0) +
IF(V388="Y",25,0) +
IF(W388="Y",20,0) +
IF(X388="Weaponized",15,IF(X388="PoC Available",10,IF(X388="Public Exploit",5,0))) +
IF(G388="Production",10,IF(G388="DMZ",8,IF(G388="DR/Backup",5,0))) +
IF(Y388="N",10,0)
)</f>
        <v/>
      </c>
      <c r="AA388">
        <f>IF(OR(P388="Y",AND(K388&gt;=9.0,W388="Y")),"P0",IF(Z388&gt;=80,"P0",IF(Z388&gt;=60,"P1",IF(Z388&gt;=40,"P2",IF(Z388&gt;=20,"P3","P4")))))</f>
        <v/>
      </c>
      <c r="AD388">
        <f>IF(AB388&lt;&gt;"",AB388,AA388)</f>
        <v/>
      </c>
      <c r="AE388">
        <f>VLOOKUP(AD388,SLA_Definitions!$A$2:$B$6,2,FALSE)</f>
        <v/>
      </c>
      <c r="AF388">
        <f>IF(B388&lt;&gt;"",WORKDAY(B388,AE388),"")</f>
        <v/>
      </c>
      <c r="AG388">
        <f>IF(AF388&lt;&gt;"",NETWORKDAYS(TODAY(),AF388),"")</f>
        <v/>
      </c>
      <c r="AH388">
        <f>IF(AJ388="Complete","Complete",IF(AG388&lt;0,"Overdue",IF(AG388&lt;=AE388*0.2,"At Risk","On Track")))</f>
        <v/>
      </c>
      <c r="AK388">
        <f>IF(OR(AH388="Overdue",AND(AD388="P0",AG388&lt;1),AND(AD388="P1",AG388&lt;3)),"Y","N")</f>
        <v/>
      </c>
    </row>
    <row r="389">
      <c r="K389">
        <f>IF(J389="v4.0",L389,IF(J389="v3.1",M389,IF(J389="Both",L389,IF(AND(L389&lt;&gt;"",M389=""),L389,M389))))</f>
        <v/>
      </c>
      <c r="Z389">
        <f>MIN(100,
(K389*5) +
(U389*10) +
IF(P389="Y",40,0) +
IF(Q389="P",30,0) +
IF(V389="Y",25,0) +
IF(W389="Y",20,0) +
IF(X389="Weaponized",15,IF(X389="PoC Available",10,IF(X389="Public Exploit",5,0))) +
IF(G389="Production",10,IF(G389="DMZ",8,IF(G389="DR/Backup",5,0))) +
IF(Y389="N",10,0)
)</f>
        <v/>
      </c>
      <c r="AA389">
        <f>IF(OR(P389="Y",AND(K389&gt;=9.0,W389="Y")),"P0",IF(Z389&gt;=80,"P0",IF(Z389&gt;=60,"P1",IF(Z389&gt;=40,"P2",IF(Z389&gt;=20,"P3","P4")))))</f>
        <v/>
      </c>
      <c r="AD389">
        <f>IF(AB389&lt;&gt;"",AB389,AA389)</f>
        <v/>
      </c>
      <c r="AE389">
        <f>VLOOKUP(AD389,SLA_Definitions!$A$2:$B$6,2,FALSE)</f>
        <v/>
      </c>
      <c r="AF389">
        <f>IF(B389&lt;&gt;"",WORKDAY(B389,AE389),"")</f>
        <v/>
      </c>
      <c r="AG389">
        <f>IF(AF389&lt;&gt;"",NETWORKDAYS(TODAY(),AF389),"")</f>
        <v/>
      </c>
      <c r="AH389">
        <f>IF(AJ389="Complete","Complete",IF(AG389&lt;0,"Overdue",IF(AG389&lt;=AE389*0.2,"At Risk","On Track")))</f>
        <v/>
      </c>
      <c r="AK389">
        <f>IF(OR(AH389="Overdue",AND(AD389="P0",AG389&lt;1),AND(AD389="P1",AG389&lt;3)),"Y","N")</f>
        <v/>
      </c>
    </row>
    <row r="390">
      <c r="K390">
        <f>IF(J390="v4.0",L390,IF(J390="v3.1",M390,IF(J390="Both",L390,IF(AND(L390&lt;&gt;"",M390=""),L390,M390))))</f>
        <v/>
      </c>
      <c r="Z390">
        <f>MIN(100,
(K390*5) +
(U390*10) +
IF(P390="Y",40,0) +
IF(Q390="P",30,0) +
IF(V390="Y",25,0) +
IF(W390="Y",20,0) +
IF(X390="Weaponized",15,IF(X390="PoC Available",10,IF(X390="Public Exploit",5,0))) +
IF(G390="Production",10,IF(G390="DMZ",8,IF(G390="DR/Backup",5,0))) +
IF(Y390="N",10,0)
)</f>
        <v/>
      </c>
      <c r="AA390">
        <f>IF(OR(P390="Y",AND(K390&gt;=9.0,W390="Y")),"P0",IF(Z390&gt;=80,"P0",IF(Z390&gt;=60,"P1",IF(Z390&gt;=40,"P2",IF(Z390&gt;=20,"P3","P4")))))</f>
        <v/>
      </c>
      <c r="AD390">
        <f>IF(AB390&lt;&gt;"",AB390,AA390)</f>
        <v/>
      </c>
      <c r="AE390">
        <f>VLOOKUP(AD390,SLA_Definitions!$A$2:$B$6,2,FALSE)</f>
        <v/>
      </c>
      <c r="AF390">
        <f>IF(B390&lt;&gt;"",WORKDAY(B390,AE390),"")</f>
        <v/>
      </c>
      <c r="AG390">
        <f>IF(AF390&lt;&gt;"",NETWORKDAYS(TODAY(),AF390),"")</f>
        <v/>
      </c>
      <c r="AH390">
        <f>IF(AJ390="Complete","Complete",IF(AG390&lt;0,"Overdue",IF(AG390&lt;=AE390*0.2,"At Risk","On Track")))</f>
        <v/>
      </c>
      <c r="AK390">
        <f>IF(OR(AH390="Overdue",AND(AD390="P0",AG390&lt;1),AND(AD390="P1",AG390&lt;3)),"Y","N")</f>
        <v/>
      </c>
    </row>
    <row r="391">
      <c r="K391">
        <f>IF(J391="v4.0",L391,IF(J391="v3.1",M391,IF(J391="Both",L391,IF(AND(L391&lt;&gt;"",M391=""),L391,M391))))</f>
        <v/>
      </c>
      <c r="Z391">
        <f>MIN(100,
(K391*5) +
(U391*10) +
IF(P391="Y",40,0) +
IF(Q391="P",30,0) +
IF(V391="Y",25,0) +
IF(W391="Y",20,0) +
IF(X391="Weaponized",15,IF(X391="PoC Available",10,IF(X391="Public Exploit",5,0))) +
IF(G391="Production",10,IF(G391="DMZ",8,IF(G391="DR/Backup",5,0))) +
IF(Y391="N",10,0)
)</f>
        <v/>
      </c>
      <c r="AA391">
        <f>IF(OR(P391="Y",AND(K391&gt;=9.0,W391="Y")),"P0",IF(Z391&gt;=80,"P0",IF(Z391&gt;=60,"P1",IF(Z391&gt;=40,"P2",IF(Z391&gt;=20,"P3","P4")))))</f>
        <v/>
      </c>
      <c r="AD391">
        <f>IF(AB391&lt;&gt;"",AB391,AA391)</f>
        <v/>
      </c>
      <c r="AE391">
        <f>VLOOKUP(AD391,SLA_Definitions!$A$2:$B$6,2,FALSE)</f>
        <v/>
      </c>
      <c r="AF391">
        <f>IF(B391&lt;&gt;"",WORKDAY(B391,AE391),"")</f>
        <v/>
      </c>
      <c r="AG391">
        <f>IF(AF391&lt;&gt;"",NETWORKDAYS(TODAY(),AF391),"")</f>
        <v/>
      </c>
      <c r="AH391">
        <f>IF(AJ391="Complete","Complete",IF(AG391&lt;0,"Overdue",IF(AG391&lt;=AE391*0.2,"At Risk","On Track")))</f>
        <v/>
      </c>
      <c r="AK391">
        <f>IF(OR(AH391="Overdue",AND(AD391="P0",AG391&lt;1),AND(AD391="P1",AG391&lt;3)),"Y","N")</f>
        <v/>
      </c>
    </row>
    <row r="392">
      <c r="K392">
        <f>IF(J392="v4.0",L392,IF(J392="v3.1",M392,IF(J392="Both",L392,IF(AND(L392&lt;&gt;"",M392=""),L392,M392))))</f>
        <v/>
      </c>
      <c r="Z392">
        <f>MIN(100,
(K392*5) +
(U392*10) +
IF(P392="Y",40,0) +
IF(Q392="P",30,0) +
IF(V392="Y",25,0) +
IF(W392="Y",20,0) +
IF(X392="Weaponized",15,IF(X392="PoC Available",10,IF(X392="Public Exploit",5,0))) +
IF(G392="Production",10,IF(G392="DMZ",8,IF(G392="DR/Backup",5,0))) +
IF(Y392="N",10,0)
)</f>
        <v/>
      </c>
      <c r="AA392">
        <f>IF(OR(P392="Y",AND(K392&gt;=9.0,W392="Y")),"P0",IF(Z392&gt;=80,"P0",IF(Z392&gt;=60,"P1",IF(Z392&gt;=40,"P2",IF(Z392&gt;=20,"P3","P4")))))</f>
        <v/>
      </c>
      <c r="AD392">
        <f>IF(AB392&lt;&gt;"",AB392,AA392)</f>
        <v/>
      </c>
      <c r="AE392">
        <f>VLOOKUP(AD392,SLA_Definitions!$A$2:$B$6,2,FALSE)</f>
        <v/>
      </c>
      <c r="AF392">
        <f>IF(B392&lt;&gt;"",WORKDAY(B392,AE392),"")</f>
        <v/>
      </c>
      <c r="AG392">
        <f>IF(AF392&lt;&gt;"",NETWORKDAYS(TODAY(),AF392),"")</f>
        <v/>
      </c>
      <c r="AH392">
        <f>IF(AJ392="Complete","Complete",IF(AG392&lt;0,"Overdue",IF(AG392&lt;=AE392*0.2,"At Risk","On Track")))</f>
        <v/>
      </c>
      <c r="AK392">
        <f>IF(OR(AH392="Overdue",AND(AD392="P0",AG392&lt;1),AND(AD392="P1",AG392&lt;3)),"Y","N")</f>
        <v/>
      </c>
    </row>
    <row r="393">
      <c r="K393">
        <f>IF(J393="v4.0",L393,IF(J393="v3.1",M393,IF(J393="Both",L393,IF(AND(L393&lt;&gt;"",M393=""),L393,M393))))</f>
        <v/>
      </c>
      <c r="Z393">
        <f>MIN(100,
(K393*5) +
(U393*10) +
IF(P393="Y",40,0) +
IF(Q393="P",30,0) +
IF(V393="Y",25,0) +
IF(W393="Y",20,0) +
IF(X393="Weaponized",15,IF(X393="PoC Available",10,IF(X393="Public Exploit",5,0))) +
IF(G393="Production",10,IF(G393="DMZ",8,IF(G393="DR/Backup",5,0))) +
IF(Y393="N",10,0)
)</f>
        <v/>
      </c>
      <c r="AA393">
        <f>IF(OR(P393="Y",AND(K393&gt;=9.0,W393="Y")),"P0",IF(Z393&gt;=80,"P0",IF(Z393&gt;=60,"P1",IF(Z393&gt;=40,"P2",IF(Z393&gt;=20,"P3","P4")))))</f>
        <v/>
      </c>
      <c r="AD393">
        <f>IF(AB393&lt;&gt;"",AB393,AA393)</f>
        <v/>
      </c>
      <c r="AE393">
        <f>VLOOKUP(AD393,SLA_Definitions!$A$2:$B$6,2,FALSE)</f>
        <v/>
      </c>
      <c r="AF393">
        <f>IF(B393&lt;&gt;"",WORKDAY(B393,AE393),"")</f>
        <v/>
      </c>
      <c r="AG393">
        <f>IF(AF393&lt;&gt;"",NETWORKDAYS(TODAY(),AF393),"")</f>
        <v/>
      </c>
      <c r="AH393">
        <f>IF(AJ393="Complete","Complete",IF(AG393&lt;0,"Overdue",IF(AG393&lt;=AE393*0.2,"At Risk","On Track")))</f>
        <v/>
      </c>
      <c r="AK393">
        <f>IF(OR(AH393="Overdue",AND(AD393="P0",AG393&lt;1),AND(AD393="P1",AG393&lt;3)),"Y","N")</f>
        <v/>
      </c>
    </row>
    <row r="394">
      <c r="K394">
        <f>IF(J394="v4.0",L394,IF(J394="v3.1",M394,IF(J394="Both",L394,IF(AND(L394&lt;&gt;"",M394=""),L394,M394))))</f>
        <v/>
      </c>
      <c r="Z394">
        <f>MIN(100,
(K394*5) +
(U394*10) +
IF(P394="Y",40,0) +
IF(Q394="P",30,0) +
IF(V394="Y",25,0) +
IF(W394="Y",20,0) +
IF(X394="Weaponized",15,IF(X394="PoC Available",10,IF(X394="Public Exploit",5,0))) +
IF(G394="Production",10,IF(G394="DMZ",8,IF(G394="DR/Backup",5,0))) +
IF(Y394="N",10,0)
)</f>
        <v/>
      </c>
      <c r="AA394">
        <f>IF(OR(P394="Y",AND(K394&gt;=9.0,W394="Y")),"P0",IF(Z394&gt;=80,"P0",IF(Z394&gt;=60,"P1",IF(Z394&gt;=40,"P2",IF(Z394&gt;=20,"P3","P4")))))</f>
        <v/>
      </c>
      <c r="AD394">
        <f>IF(AB394&lt;&gt;"",AB394,AA394)</f>
        <v/>
      </c>
      <c r="AE394">
        <f>VLOOKUP(AD394,SLA_Definitions!$A$2:$B$6,2,FALSE)</f>
        <v/>
      </c>
      <c r="AF394">
        <f>IF(B394&lt;&gt;"",WORKDAY(B394,AE394),"")</f>
        <v/>
      </c>
      <c r="AG394">
        <f>IF(AF394&lt;&gt;"",NETWORKDAYS(TODAY(),AF394),"")</f>
        <v/>
      </c>
      <c r="AH394">
        <f>IF(AJ394="Complete","Complete",IF(AG394&lt;0,"Overdue",IF(AG394&lt;=AE394*0.2,"At Risk","On Track")))</f>
        <v/>
      </c>
      <c r="AK394">
        <f>IF(OR(AH394="Overdue",AND(AD394="P0",AG394&lt;1),AND(AD394="P1",AG394&lt;3)),"Y","N")</f>
        <v/>
      </c>
    </row>
    <row r="395">
      <c r="K395">
        <f>IF(J395="v4.0",L395,IF(J395="v3.1",M395,IF(J395="Both",L395,IF(AND(L395&lt;&gt;"",M395=""),L395,M395))))</f>
        <v/>
      </c>
      <c r="Z395">
        <f>MIN(100,
(K395*5) +
(U395*10) +
IF(P395="Y",40,0) +
IF(Q395="P",30,0) +
IF(V395="Y",25,0) +
IF(W395="Y",20,0) +
IF(X395="Weaponized",15,IF(X395="PoC Available",10,IF(X395="Public Exploit",5,0))) +
IF(G395="Production",10,IF(G395="DMZ",8,IF(G395="DR/Backup",5,0))) +
IF(Y395="N",10,0)
)</f>
        <v/>
      </c>
      <c r="AA395">
        <f>IF(OR(P395="Y",AND(K395&gt;=9.0,W395="Y")),"P0",IF(Z395&gt;=80,"P0",IF(Z395&gt;=60,"P1",IF(Z395&gt;=40,"P2",IF(Z395&gt;=20,"P3","P4")))))</f>
        <v/>
      </c>
      <c r="AD395">
        <f>IF(AB395&lt;&gt;"",AB395,AA395)</f>
        <v/>
      </c>
      <c r="AE395">
        <f>VLOOKUP(AD395,SLA_Definitions!$A$2:$B$6,2,FALSE)</f>
        <v/>
      </c>
      <c r="AF395">
        <f>IF(B395&lt;&gt;"",WORKDAY(B395,AE395),"")</f>
        <v/>
      </c>
      <c r="AG395">
        <f>IF(AF395&lt;&gt;"",NETWORKDAYS(TODAY(),AF395),"")</f>
        <v/>
      </c>
      <c r="AH395">
        <f>IF(AJ395="Complete","Complete",IF(AG395&lt;0,"Overdue",IF(AG395&lt;=AE395*0.2,"At Risk","On Track")))</f>
        <v/>
      </c>
      <c r="AK395">
        <f>IF(OR(AH395="Overdue",AND(AD395="P0",AG395&lt;1),AND(AD395="P1",AG395&lt;3)),"Y","N")</f>
        <v/>
      </c>
    </row>
    <row r="396">
      <c r="K396">
        <f>IF(J396="v4.0",L396,IF(J396="v3.1",M396,IF(J396="Both",L396,IF(AND(L396&lt;&gt;"",M396=""),L396,M396))))</f>
        <v/>
      </c>
      <c r="Z396">
        <f>MIN(100,
(K396*5) +
(U396*10) +
IF(P396="Y",40,0) +
IF(Q396="P",30,0) +
IF(V396="Y",25,0) +
IF(W396="Y",20,0) +
IF(X396="Weaponized",15,IF(X396="PoC Available",10,IF(X396="Public Exploit",5,0))) +
IF(G396="Production",10,IF(G396="DMZ",8,IF(G396="DR/Backup",5,0))) +
IF(Y396="N",10,0)
)</f>
        <v/>
      </c>
      <c r="AA396">
        <f>IF(OR(P396="Y",AND(K396&gt;=9.0,W396="Y")),"P0",IF(Z396&gt;=80,"P0",IF(Z396&gt;=60,"P1",IF(Z396&gt;=40,"P2",IF(Z396&gt;=20,"P3","P4")))))</f>
        <v/>
      </c>
      <c r="AD396">
        <f>IF(AB396&lt;&gt;"",AB396,AA396)</f>
        <v/>
      </c>
      <c r="AE396">
        <f>VLOOKUP(AD396,SLA_Definitions!$A$2:$B$6,2,FALSE)</f>
        <v/>
      </c>
      <c r="AF396">
        <f>IF(B396&lt;&gt;"",WORKDAY(B396,AE396),"")</f>
        <v/>
      </c>
      <c r="AG396">
        <f>IF(AF396&lt;&gt;"",NETWORKDAYS(TODAY(),AF396),"")</f>
        <v/>
      </c>
      <c r="AH396">
        <f>IF(AJ396="Complete","Complete",IF(AG396&lt;0,"Overdue",IF(AG396&lt;=AE396*0.2,"At Risk","On Track")))</f>
        <v/>
      </c>
      <c r="AK396">
        <f>IF(OR(AH396="Overdue",AND(AD396="P0",AG396&lt;1),AND(AD396="P1",AG396&lt;3)),"Y","N")</f>
        <v/>
      </c>
    </row>
    <row r="397">
      <c r="K397">
        <f>IF(J397="v4.0",L397,IF(J397="v3.1",M397,IF(J397="Both",L397,IF(AND(L397&lt;&gt;"",M397=""),L397,M397))))</f>
        <v/>
      </c>
      <c r="Z397">
        <f>MIN(100,
(K397*5) +
(U397*10) +
IF(P397="Y",40,0) +
IF(Q397="P",30,0) +
IF(V397="Y",25,0) +
IF(W397="Y",20,0) +
IF(X397="Weaponized",15,IF(X397="PoC Available",10,IF(X397="Public Exploit",5,0))) +
IF(G397="Production",10,IF(G397="DMZ",8,IF(G397="DR/Backup",5,0))) +
IF(Y397="N",10,0)
)</f>
        <v/>
      </c>
      <c r="AA397">
        <f>IF(OR(P397="Y",AND(K397&gt;=9.0,W397="Y")),"P0",IF(Z397&gt;=80,"P0",IF(Z397&gt;=60,"P1",IF(Z397&gt;=40,"P2",IF(Z397&gt;=20,"P3","P4")))))</f>
        <v/>
      </c>
      <c r="AD397">
        <f>IF(AB397&lt;&gt;"",AB397,AA397)</f>
        <v/>
      </c>
      <c r="AE397">
        <f>VLOOKUP(AD397,SLA_Definitions!$A$2:$B$6,2,FALSE)</f>
        <v/>
      </c>
      <c r="AF397">
        <f>IF(B397&lt;&gt;"",WORKDAY(B397,AE397),"")</f>
        <v/>
      </c>
      <c r="AG397">
        <f>IF(AF397&lt;&gt;"",NETWORKDAYS(TODAY(),AF397),"")</f>
        <v/>
      </c>
      <c r="AH397">
        <f>IF(AJ397="Complete","Complete",IF(AG397&lt;0,"Overdue",IF(AG397&lt;=AE397*0.2,"At Risk","On Track")))</f>
        <v/>
      </c>
      <c r="AK397">
        <f>IF(OR(AH397="Overdue",AND(AD397="P0",AG397&lt;1),AND(AD397="P1",AG397&lt;3)),"Y","N")</f>
        <v/>
      </c>
    </row>
    <row r="398">
      <c r="K398">
        <f>IF(J398="v4.0",L398,IF(J398="v3.1",M398,IF(J398="Both",L398,IF(AND(L398&lt;&gt;"",M398=""),L398,M398))))</f>
        <v/>
      </c>
      <c r="Z398">
        <f>MIN(100,
(K398*5) +
(U398*10) +
IF(P398="Y",40,0) +
IF(Q398="P",30,0) +
IF(V398="Y",25,0) +
IF(W398="Y",20,0) +
IF(X398="Weaponized",15,IF(X398="PoC Available",10,IF(X398="Public Exploit",5,0))) +
IF(G398="Production",10,IF(G398="DMZ",8,IF(G398="DR/Backup",5,0))) +
IF(Y398="N",10,0)
)</f>
        <v/>
      </c>
      <c r="AA398">
        <f>IF(OR(P398="Y",AND(K398&gt;=9.0,W398="Y")),"P0",IF(Z398&gt;=80,"P0",IF(Z398&gt;=60,"P1",IF(Z398&gt;=40,"P2",IF(Z398&gt;=20,"P3","P4")))))</f>
        <v/>
      </c>
      <c r="AD398">
        <f>IF(AB398&lt;&gt;"",AB398,AA398)</f>
        <v/>
      </c>
      <c r="AE398">
        <f>VLOOKUP(AD398,SLA_Definitions!$A$2:$B$6,2,FALSE)</f>
        <v/>
      </c>
      <c r="AF398">
        <f>IF(B398&lt;&gt;"",WORKDAY(B398,AE398),"")</f>
        <v/>
      </c>
      <c r="AG398">
        <f>IF(AF398&lt;&gt;"",NETWORKDAYS(TODAY(),AF398),"")</f>
        <v/>
      </c>
      <c r="AH398">
        <f>IF(AJ398="Complete","Complete",IF(AG398&lt;0,"Overdue",IF(AG398&lt;=AE398*0.2,"At Risk","On Track")))</f>
        <v/>
      </c>
      <c r="AK398">
        <f>IF(OR(AH398="Overdue",AND(AD398="P0",AG398&lt;1),AND(AD398="P1",AG398&lt;3)),"Y","N")</f>
        <v/>
      </c>
    </row>
    <row r="399">
      <c r="K399">
        <f>IF(J399="v4.0",L399,IF(J399="v3.1",M399,IF(J399="Both",L399,IF(AND(L399&lt;&gt;"",M399=""),L399,M399))))</f>
        <v/>
      </c>
      <c r="Z399">
        <f>MIN(100,
(K399*5) +
(U399*10) +
IF(P399="Y",40,0) +
IF(Q399="P",30,0) +
IF(V399="Y",25,0) +
IF(W399="Y",20,0) +
IF(X399="Weaponized",15,IF(X399="PoC Available",10,IF(X399="Public Exploit",5,0))) +
IF(G399="Production",10,IF(G399="DMZ",8,IF(G399="DR/Backup",5,0))) +
IF(Y399="N",10,0)
)</f>
        <v/>
      </c>
      <c r="AA399">
        <f>IF(OR(P399="Y",AND(K399&gt;=9.0,W399="Y")),"P0",IF(Z399&gt;=80,"P0",IF(Z399&gt;=60,"P1",IF(Z399&gt;=40,"P2",IF(Z399&gt;=20,"P3","P4")))))</f>
        <v/>
      </c>
      <c r="AD399">
        <f>IF(AB399&lt;&gt;"",AB399,AA399)</f>
        <v/>
      </c>
      <c r="AE399">
        <f>VLOOKUP(AD399,SLA_Definitions!$A$2:$B$6,2,FALSE)</f>
        <v/>
      </c>
      <c r="AF399">
        <f>IF(B399&lt;&gt;"",WORKDAY(B399,AE399),"")</f>
        <v/>
      </c>
      <c r="AG399">
        <f>IF(AF399&lt;&gt;"",NETWORKDAYS(TODAY(),AF399),"")</f>
        <v/>
      </c>
      <c r="AH399">
        <f>IF(AJ399="Complete","Complete",IF(AG399&lt;0,"Overdue",IF(AG399&lt;=AE399*0.2,"At Risk","On Track")))</f>
        <v/>
      </c>
      <c r="AK399">
        <f>IF(OR(AH399="Overdue",AND(AD399="P0",AG399&lt;1),AND(AD399="P1",AG399&lt;3)),"Y","N")</f>
        <v/>
      </c>
    </row>
    <row r="400">
      <c r="K400">
        <f>IF(J400="v4.0",L400,IF(J400="v3.1",M400,IF(J400="Both",L400,IF(AND(L400&lt;&gt;"",M400=""),L400,M400))))</f>
        <v/>
      </c>
      <c r="Z400">
        <f>MIN(100,
(K400*5) +
(U400*10) +
IF(P400="Y",40,0) +
IF(Q400="P",30,0) +
IF(V400="Y",25,0) +
IF(W400="Y",20,0) +
IF(X400="Weaponized",15,IF(X400="PoC Available",10,IF(X400="Public Exploit",5,0))) +
IF(G400="Production",10,IF(G400="DMZ",8,IF(G400="DR/Backup",5,0))) +
IF(Y400="N",10,0)
)</f>
        <v/>
      </c>
      <c r="AA400">
        <f>IF(OR(P400="Y",AND(K400&gt;=9.0,W400="Y")),"P0",IF(Z400&gt;=80,"P0",IF(Z400&gt;=60,"P1",IF(Z400&gt;=40,"P2",IF(Z400&gt;=20,"P3","P4")))))</f>
        <v/>
      </c>
      <c r="AD400">
        <f>IF(AB400&lt;&gt;"",AB400,AA400)</f>
        <v/>
      </c>
      <c r="AE400">
        <f>VLOOKUP(AD400,SLA_Definitions!$A$2:$B$6,2,FALSE)</f>
        <v/>
      </c>
      <c r="AF400">
        <f>IF(B400&lt;&gt;"",WORKDAY(B400,AE400),"")</f>
        <v/>
      </c>
      <c r="AG400">
        <f>IF(AF400&lt;&gt;"",NETWORKDAYS(TODAY(),AF400),"")</f>
        <v/>
      </c>
      <c r="AH400">
        <f>IF(AJ400="Complete","Complete",IF(AG400&lt;0,"Overdue",IF(AG400&lt;=AE400*0.2,"At Risk","On Track")))</f>
        <v/>
      </c>
      <c r="AK400">
        <f>IF(OR(AH400="Overdue",AND(AD400="P0",AG400&lt;1),AND(AD400="P1",AG400&lt;3)),"Y","N")</f>
        <v/>
      </c>
    </row>
    <row r="401">
      <c r="K401">
        <f>IF(J401="v4.0",L401,IF(J401="v3.1",M401,IF(J401="Both",L401,IF(AND(L401&lt;&gt;"",M401=""),L401,M401))))</f>
        <v/>
      </c>
      <c r="Z401">
        <f>MIN(100,
(K401*5) +
(U401*10) +
IF(P401="Y",40,0) +
IF(Q401="P",30,0) +
IF(V401="Y",25,0) +
IF(W401="Y",20,0) +
IF(X401="Weaponized",15,IF(X401="PoC Available",10,IF(X401="Public Exploit",5,0))) +
IF(G401="Production",10,IF(G401="DMZ",8,IF(G401="DR/Backup",5,0))) +
IF(Y401="N",10,0)
)</f>
        <v/>
      </c>
      <c r="AA401">
        <f>IF(OR(P401="Y",AND(K401&gt;=9.0,W401="Y")),"P0",IF(Z401&gt;=80,"P0",IF(Z401&gt;=60,"P1",IF(Z401&gt;=40,"P2",IF(Z401&gt;=20,"P3","P4")))))</f>
        <v/>
      </c>
      <c r="AD401">
        <f>IF(AB401&lt;&gt;"",AB401,AA401)</f>
        <v/>
      </c>
      <c r="AE401">
        <f>VLOOKUP(AD401,SLA_Definitions!$A$2:$B$6,2,FALSE)</f>
        <v/>
      </c>
      <c r="AF401">
        <f>IF(B401&lt;&gt;"",WORKDAY(B401,AE401),"")</f>
        <v/>
      </c>
      <c r="AG401">
        <f>IF(AF401&lt;&gt;"",NETWORKDAYS(TODAY(),AF401),"")</f>
        <v/>
      </c>
      <c r="AH401">
        <f>IF(AJ401="Complete","Complete",IF(AG401&lt;0,"Overdue",IF(AG401&lt;=AE401*0.2,"At Risk","On Track")))</f>
        <v/>
      </c>
      <c r="AK401">
        <f>IF(OR(AH401="Overdue",AND(AD401="P0",AG401&lt;1),AND(AD401="P1",AG401&lt;3)),"Y","N")</f>
        <v/>
      </c>
    </row>
    <row r="402">
      <c r="K402">
        <f>IF(J402="v4.0",L402,IF(J402="v3.1",M402,IF(J402="Both",L402,IF(AND(L402&lt;&gt;"",M402=""),L402,M402))))</f>
        <v/>
      </c>
      <c r="Z402">
        <f>MIN(100,
(K402*5) +
(U402*10) +
IF(P402="Y",40,0) +
IF(Q402="P",30,0) +
IF(V402="Y",25,0) +
IF(W402="Y",20,0) +
IF(X402="Weaponized",15,IF(X402="PoC Available",10,IF(X402="Public Exploit",5,0))) +
IF(G402="Production",10,IF(G402="DMZ",8,IF(G402="DR/Backup",5,0))) +
IF(Y402="N",10,0)
)</f>
        <v/>
      </c>
      <c r="AA402">
        <f>IF(OR(P402="Y",AND(K402&gt;=9.0,W402="Y")),"P0",IF(Z402&gt;=80,"P0",IF(Z402&gt;=60,"P1",IF(Z402&gt;=40,"P2",IF(Z402&gt;=20,"P3","P4")))))</f>
        <v/>
      </c>
      <c r="AD402">
        <f>IF(AB402&lt;&gt;"",AB402,AA402)</f>
        <v/>
      </c>
      <c r="AE402">
        <f>VLOOKUP(AD402,SLA_Definitions!$A$2:$B$6,2,FALSE)</f>
        <v/>
      </c>
      <c r="AF402">
        <f>IF(B402&lt;&gt;"",WORKDAY(B402,AE402),"")</f>
        <v/>
      </c>
      <c r="AG402">
        <f>IF(AF402&lt;&gt;"",NETWORKDAYS(TODAY(),AF402),"")</f>
        <v/>
      </c>
      <c r="AH402">
        <f>IF(AJ402="Complete","Complete",IF(AG402&lt;0,"Overdue",IF(AG402&lt;=AE402*0.2,"At Risk","On Track")))</f>
        <v/>
      </c>
      <c r="AK402">
        <f>IF(OR(AH402="Overdue",AND(AD402="P0",AG402&lt;1),AND(AD402="P1",AG402&lt;3)),"Y","N")</f>
        <v/>
      </c>
    </row>
    <row r="403">
      <c r="K403">
        <f>IF(J403="v4.0",L403,IF(J403="v3.1",M403,IF(J403="Both",L403,IF(AND(L403&lt;&gt;"",M403=""),L403,M403))))</f>
        <v/>
      </c>
      <c r="Z403">
        <f>MIN(100,
(K403*5) +
(U403*10) +
IF(P403="Y",40,0) +
IF(Q403="P",30,0) +
IF(V403="Y",25,0) +
IF(W403="Y",20,0) +
IF(X403="Weaponized",15,IF(X403="PoC Available",10,IF(X403="Public Exploit",5,0))) +
IF(G403="Production",10,IF(G403="DMZ",8,IF(G403="DR/Backup",5,0))) +
IF(Y403="N",10,0)
)</f>
        <v/>
      </c>
      <c r="AA403">
        <f>IF(OR(P403="Y",AND(K403&gt;=9.0,W403="Y")),"P0",IF(Z403&gt;=80,"P0",IF(Z403&gt;=60,"P1",IF(Z403&gt;=40,"P2",IF(Z403&gt;=20,"P3","P4")))))</f>
        <v/>
      </c>
      <c r="AD403">
        <f>IF(AB403&lt;&gt;"",AB403,AA403)</f>
        <v/>
      </c>
      <c r="AE403">
        <f>VLOOKUP(AD403,SLA_Definitions!$A$2:$B$6,2,FALSE)</f>
        <v/>
      </c>
      <c r="AF403">
        <f>IF(B403&lt;&gt;"",WORKDAY(B403,AE403),"")</f>
        <v/>
      </c>
      <c r="AG403">
        <f>IF(AF403&lt;&gt;"",NETWORKDAYS(TODAY(),AF403),"")</f>
        <v/>
      </c>
      <c r="AH403">
        <f>IF(AJ403="Complete","Complete",IF(AG403&lt;0,"Overdue",IF(AG403&lt;=AE403*0.2,"At Risk","On Track")))</f>
        <v/>
      </c>
      <c r="AK403">
        <f>IF(OR(AH403="Overdue",AND(AD403="P0",AG403&lt;1),AND(AD403="P1",AG403&lt;3)),"Y","N")</f>
        <v/>
      </c>
    </row>
    <row r="404">
      <c r="K404">
        <f>IF(J404="v4.0",L404,IF(J404="v3.1",M404,IF(J404="Both",L404,IF(AND(L404&lt;&gt;"",M404=""),L404,M404))))</f>
        <v/>
      </c>
      <c r="Z404">
        <f>MIN(100,
(K404*5) +
(U404*10) +
IF(P404="Y",40,0) +
IF(Q404="P",30,0) +
IF(V404="Y",25,0) +
IF(W404="Y",20,0) +
IF(X404="Weaponized",15,IF(X404="PoC Available",10,IF(X404="Public Exploit",5,0))) +
IF(G404="Production",10,IF(G404="DMZ",8,IF(G404="DR/Backup",5,0))) +
IF(Y404="N",10,0)
)</f>
        <v/>
      </c>
      <c r="AA404">
        <f>IF(OR(P404="Y",AND(K404&gt;=9.0,W404="Y")),"P0",IF(Z404&gt;=80,"P0",IF(Z404&gt;=60,"P1",IF(Z404&gt;=40,"P2",IF(Z404&gt;=20,"P3","P4")))))</f>
        <v/>
      </c>
      <c r="AD404">
        <f>IF(AB404&lt;&gt;"",AB404,AA404)</f>
        <v/>
      </c>
      <c r="AE404">
        <f>VLOOKUP(AD404,SLA_Definitions!$A$2:$B$6,2,FALSE)</f>
        <v/>
      </c>
      <c r="AF404">
        <f>IF(B404&lt;&gt;"",WORKDAY(B404,AE404),"")</f>
        <v/>
      </c>
      <c r="AG404">
        <f>IF(AF404&lt;&gt;"",NETWORKDAYS(TODAY(),AF404),"")</f>
        <v/>
      </c>
      <c r="AH404">
        <f>IF(AJ404="Complete","Complete",IF(AG404&lt;0,"Overdue",IF(AG404&lt;=AE404*0.2,"At Risk","On Track")))</f>
        <v/>
      </c>
      <c r="AK404">
        <f>IF(OR(AH404="Overdue",AND(AD404="P0",AG404&lt;1),AND(AD404="P1",AG404&lt;3)),"Y","N")</f>
        <v/>
      </c>
    </row>
    <row r="405">
      <c r="K405">
        <f>IF(J405="v4.0",L405,IF(J405="v3.1",M405,IF(J405="Both",L405,IF(AND(L405&lt;&gt;"",M405=""),L405,M405))))</f>
        <v/>
      </c>
      <c r="Z405">
        <f>MIN(100,
(K405*5) +
(U405*10) +
IF(P405="Y",40,0) +
IF(Q405="P",30,0) +
IF(V405="Y",25,0) +
IF(W405="Y",20,0) +
IF(X405="Weaponized",15,IF(X405="PoC Available",10,IF(X405="Public Exploit",5,0))) +
IF(G405="Production",10,IF(G405="DMZ",8,IF(G405="DR/Backup",5,0))) +
IF(Y405="N",10,0)
)</f>
        <v/>
      </c>
      <c r="AA405">
        <f>IF(OR(P405="Y",AND(K405&gt;=9.0,W405="Y")),"P0",IF(Z405&gt;=80,"P0",IF(Z405&gt;=60,"P1",IF(Z405&gt;=40,"P2",IF(Z405&gt;=20,"P3","P4")))))</f>
        <v/>
      </c>
      <c r="AD405">
        <f>IF(AB405&lt;&gt;"",AB405,AA405)</f>
        <v/>
      </c>
      <c r="AE405">
        <f>VLOOKUP(AD405,SLA_Definitions!$A$2:$B$6,2,FALSE)</f>
        <v/>
      </c>
      <c r="AF405">
        <f>IF(B405&lt;&gt;"",WORKDAY(B405,AE405),"")</f>
        <v/>
      </c>
      <c r="AG405">
        <f>IF(AF405&lt;&gt;"",NETWORKDAYS(TODAY(),AF405),"")</f>
        <v/>
      </c>
      <c r="AH405">
        <f>IF(AJ405="Complete","Complete",IF(AG405&lt;0,"Overdue",IF(AG405&lt;=AE405*0.2,"At Risk","On Track")))</f>
        <v/>
      </c>
      <c r="AK405">
        <f>IF(OR(AH405="Overdue",AND(AD405="P0",AG405&lt;1),AND(AD405="P1",AG405&lt;3)),"Y","N")</f>
        <v/>
      </c>
    </row>
    <row r="406">
      <c r="K406">
        <f>IF(J406="v4.0",L406,IF(J406="v3.1",M406,IF(J406="Both",L406,IF(AND(L406&lt;&gt;"",M406=""),L406,M406))))</f>
        <v/>
      </c>
      <c r="Z406">
        <f>MIN(100,
(K406*5) +
(U406*10) +
IF(P406="Y",40,0) +
IF(Q406="P",30,0) +
IF(V406="Y",25,0) +
IF(W406="Y",20,0) +
IF(X406="Weaponized",15,IF(X406="PoC Available",10,IF(X406="Public Exploit",5,0))) +
IF(G406="Production",10,IF(G406="DMZ",8,IF(G406="DR/Backup",5,0))) +
IF(Y406="N",10,0)
)</f>
        <v/>
      </c>
      <c r="AA406">
        <f>IF(OR(P406="Y",AND(K406&gt;=9.0,W406="Y")),"P0",IF(Z406&gt;=80,"P0",IF(Z406&gt;=60,"P1",IF(Z406&gt;=40,"P2",IF(Z406&gt;=20,"P3","P4")))))</f>
        <v/>
      </c>
      <c r="AD406">
        <f>IF(AB406&lt;&gt;"",AB406,AA406)</f>
        <v/>
      </c>
      <c r="AE406">
        <f>VLOOKUP(AD406,SLA_Definitions!$A$2:$B$6,2,FALSE)</f>
        <v/>
      </c>
      <c r="AF406">
        <f>IF(B406&lt;&gt;"",WORKDAY(B406,AE406),"")</f>
        <v/>
      </c>
      <c r="AG406">
        <f>IF(AF406&lt;&gt;"",NETWORKDAYS(TODAY(),AF406),"")</f>
        <v/>
      </c>
      <c r="AH406">
        <f>IF(AJ406="Complete","Complete",IF(AG406&lt;0,"Overdue",IF(AG406&lt;=AE406*0.2,"At Risk","On Track")))</f>
        <v/>
      </c>
      <c r="AK406">
        <f>IF(OR(AH406="Overdue",AND(AD406="P0",AG406&lt;1),AND(AD406="P1",AG406&lt;3)),"Y","N")</f>
        <v/>
      </c>
    </row>
    <row r="407">
      <c r="K407">
        <f>IF(J407="v4.0",L407,IF(J407="v3.1",M407,IF(J407="Both",L407,IF(AND(L407&lt;&gt;"",M407=""),L407,M407))))</f>
        <v/>
      </c>
      <c r="Z407">
        <f>MIN(100,
(K407*5) +
(U407*10) +
IF(P407="Y",40,0) +
IF(Q407="P",30,0) +
IF(V407="Y",25,0) +
IF(W407="Y",20,0) +
IF(X407="Weaponized",15,IF(X407="PoC Available",10,IF(X407="Public Exploit",5,0))) +
IF(G407="Production",10,IF(G407="DMZ",8,IF(G407="DR/Backup",5,0))) +
IF(Y407="N",10,0)
)</f>
        <v/>
      </c>
      <c r="AA407">
        <f>IF(OR(P407="Y",AND(K407&gt;=9.0,W407="Y")),"P0",IF(Z407&gt;=80,"P0",IF(Z407&gt;=60,"P1",IF(Z407&gt;=40,"P2",IF(Z407&gt;=20,"P3","P4")))))</f>
        <v/>
      </c>
      <c r="AD407">
        <f>IF(AB407&lt;&gt;"",AB407,AA407)</f>
        <v/>
      </c>
      <c r="AE407">
        <f>VLOOKUP(AD407,SLA_Definitions!$A$2:$B$6,2,FALSE)</f>
        <v/>
      </c>
      <c r="AF407">
        <f>IF(B407&lt;&gt;"",WORKDAY(B407,AE407),"")</f>
        <v/>
      </c>
      <c r="AG407">
        <f>IF(AF407&lt;&gt;"",NETWORKDAYS(TODAY(),AF407),"")</f>
        <v/>
      </c>
      <c r="AH407">
        <f>IF(AJ407="Complete","Complete",IF(AG407&lt;0,"Overdue",IF(AG407&lt;=AE407*0.2,"At Risk","On Track")))</f>
        <v/>
      </c>
      <c r="AK407">
        <f>IF(OR(AH407="Overdue",AND(AD407="P0",AG407&lt;1),AND(AD407="P1",AG407&lt;3)),"Y","N")</f>
        <v/>
      </c>
    </row>
    <row r="408">
      <c r="K408">
        <f>IF(J408="v4.0",L408,IF(J408="v3.1",M408,IF(J408="Both",L408,IF(AND(L408&lt;&gt;"",M408=""),L408,M408))))</f>
        <v/>
      </c>
      <c r="Z408">
        <f>MIN(100,
(K408*5) +
(U408*10) +
IF(P408="Y",40,0) +
IF(Q408="P",30,0) +
IF(V408="Y",25,0) +
IF(W408="Y",20,0) +
IF(X408="Weaponized",15,IF(X408="PoC Available",10,IF(X408="Public Exploit",5,0))) +
IF(G408="Production",10,IF(G408="DMZ",8,IF(G408="DR/Backup",5,0))) +
IF(Y408="N",10,0)
)</f>
        <v/>
      </c>
      <c r="AA408">
        <f>IF(OR(P408="Y",AND(K408&gt;=9.0,W408="Y")),"P0",IF(Z408&gt;=80,"P0",IF(Z408&gt;=60,"P1",IF(Z408&gt;=40,"P2",IF(Z408&gt;=20,"P3","P4")))))</f>
        <v/>
      </c>
      <c r="AD408">
        <f>IF(AB408&lt;&gt;"",AB408,AA408)</f>
        <v/>
      </c>
      <c r="AE408">
        <f>VLOOKUP(AD408,SLA_Definitions!$A$2:$B$6,2,FALSE)</f>
        <v/>
      </c>
      <c r="AF408">
        <f>IF(B408&lt;&gt;"",WORKDAY(B408,AE408),"")</f>
        <v/>
      </c>
      <c r="AG408">
        <f>IF(AF408&lt;&gt;"",NETWORKDAYS(TODAY(),AF408),"")</f>
        <v/>
      </c>
      <c r="AH408">
        <f>IF(AJ408="Complete","Complete",IF(AG408&lt;0,"Overdue",IF(AG408&lt;=AE408*0.2,"At Risk","On Track")))</f>
        <v/>
      </c>
      <c r="AK408">
        <f>IF(OR(AH408="Overdue",AND(AD408="P0",AG408&lt;1),AND(AD408="P1",AG408&lt;3)),"Y","N")</f>
        <v/>
      </c>
    </row>
    <row r="409">
      <c r="K409">
        <f>IF(J409="v4.0",L409,IF(J409="v3.1",M409,IF(J409="Both",L409,IF(AND(L409&lt;&gt;"",M409=""),L409,M409))))</f>
        <v/>
      </c>
      <c r="Z409">
        <f>MIN(100,
(K409*5) +
(U409*10) +
IF(P409="Y",40,0) +
IF(Q409="P",30,0) +
IF(V409="Y",25,0) +
IF(W409="Y",20,0) +
IF(X409="Weaponized",15,IF(X409="PoC Available",10,IF(X409="Public Exploit",5,0))) +
IF(G409="Production",10,IF(G409="DMZ",8,IF(G409="DR/Backup",5,0))) +
IF(Y409="N",10,0)
)</f>
        <v/>
      </c>
      <c r="AA409">
        <f>IF(OR(P409="Y",AND(K409&gt;=9.0,W409="Y")),"P0",IF(Z409&gt;=80,"P0",IF(Z409&gt;=60,"P1",IF(Z409&gt;=40,"P2",IF(Z409&gt;=20,"P3","P4")))))</f>
        <v/>
      </c>
      <c r="AD409">
        <f>IF(AB409&lt;&gt;"",AB409,AA409)</f>
        <v/>
      </c>
      <c r="AE409">
        <f>VLOOKUP(AD409,SLA_Definitions!$A$2:$B$6,2,FALSE)</f>
        <v/>
      </c>
      <c r="AF409">
        <f>IF(B409&lt;&gt;"",WORKDAY(B409,AE409),"")</f>
        <v/>
      </c>
      <c r="AG409">
        <f>IF(AF409&lt;&gt;"",NETWORKDAYS(TODAY(),AF409),"")</f>
        <v/>
      </c>
      <c r="AH409">
        <f>IF(AJ409="Complete","Complete",IF(AG409&lt;0,"Overdue",IF(AG409&lt;=AE409*0.2,"At Risk","On Track")))</f>
        <v/>
      </c>
      <c r="AK409">
        <f>IF(OR(AH409="Overdue",AND(AD409="P0",AG409&lt;1),AND(AD409="P1",AG409&lt;3)),"Y","N")</f>
        <v/>
      </c>
    </row>
    <row r="410">
      <c r="K410">
        <f>IF(J410="v4.0",L410,IF(J410="v3.1",M410,IF(J410="Both",L410,IF(AND(L410&lt;&gt;"",M410=""),L410,M410))))</f>
        <v/>
      </c>
      <c r="Z410">
        <f>MIN(100,
(K410*5) +
(U410*10) +
IF(P410="Y",40,0) +
IF(Q410="P",30,0) +
IF(V410="Y",25,0) +
IF(W410="Y",20,0) +
IF(X410="Weaponized",15,IF(X410="PoC Available",10,IF(X410="Public Exploit",5,0))) +
IF(G410="Production",10,IF(G410="DMZ",8,IF(G410="DR/Backup",5,0))) +
IF(Y410="N",10,0)
)</f>
        <v/>
      </c>
      <c r="AA410">
        <f>IF(OR(P410="Y",AND(K410&gt;=9.0,W410="Y")),"P0",IF(Z410&gt;=80,"P0",IF(Z410&gt;=60,"P1",IF(Z410&gt;=40,"P2",IF(Z410&gt;=20,"P3","P4")))))</f>
        <v/>
      </c>
      <c r="AD410">
        <f>IF(AB410&lt;&gt;"",AB410,AA410)</f>
        <v/>
      </c>
      <c r="AE410">
        <f>VLOOKUP(AD410,SLA_Definitions!$A$2:$B$6,2,FALSE)</f>
        <v/>
      </c>
      <c r="AF410">
        <f>IF(B410&lt;&gt;"",WORKDAY(B410,AE410),"")</f>
        <v/>
      </c>
      <c r="AG410">
        <f>IF(AF410&lt;&gt;"",NETWORKDAYS(TODAY(),AF410),"")</f>
        <v/>
      </c>
      <c r="AH410">
        <f>IF(AJ410="Complete","Complete",IF(AG410&lt;0,"Overdue",IF(AG410&lt;=AE410*0.2,"At Risk","On Track")))</f>
        <v/>
      </c>
      <c r="AK410">
        <f>IF(OR(AH410="Overdue",AND(AD410="P0",AG410&lt;1),AND(AD410="P1",AG410&lt;3)),"Y","N")</f>
        <v/>
      </c>
    </row>
    <row r="411">
      <c r="K411">
        <f>IF(J411="v4.0",L411,IF(J411="v3.1",M411,IF(J411="Both",L411,IF(AND(L411&lt;&gt;"",M411=""),L411,M411))))</f>
        <v/>
      </c>
      <c r="Z411">
        <f>MIN(100,
(K411*5) +
(U411*10) +
IF(P411="Y",40,0) +
IF(Q411="P",30,0) +
IF(V411="Y",25,0) +
IF(W411="Y",20,0) +
IF(X411="Weaponized",15,IF(X411="PoC Available",10,IF(X411="Public Exploit",5,0))) +
IF(G411="Production",10,IF(G411="DMZ",8,IF(G411="DR/Backup",5,0))) +
IF(Y411="N",10,0)
)</f>
        <v/>
      </c>
      <c r="AA411">
        <f>IF(OR(P411="Y",AND(K411&gt;=9.0,W411="Y")),"P0",IF(Z411&gt;=80,"P0",IF(Z411&gt;=60,"P1",IF(Z411&gt;=40,"P2",IF(Z411&gt;=20,"P3","P4")))))</f>
        <v/>
      </c>
      <c r="AD411">
        <f>IF(AB411&lt;&gt;"",AB411,AA411)</f>
        <v/>
      </c>
      <c r="AE411">
        <f>VLOOKUP(AD411,SLA_Definitions!$A$2:$B$6,2,FALSE)</f>
        <v/>
      </c>
      <c r="AF411">
        <f>IF(B411&lt;&gt;"",WORKDAY(B411,AE411),"")</f>
        <v/>
      </c>
      <c r="AG411">
        <f>IF(AF411&lt;&gt;"",NETWORKDAYS(TODAY(),AF411),"")</f>
        <v/>
      </c>
      <c r="AH411">
        <f>IF(AJ411="Complete","Complete",IF(AG411&lt;0,"Overdue",IF(AG411&lt;=AE411*0.2,"At Risk","On Track")))</f>
        <v/>
      </c>
      <c r="AK411">
        <f>IF(OR(AH411="Overdue",AND(AD411="P0",AG411&lt;1),AND(AD411="P1",AG411&lt;3)),"Y","N")</f>
        <v/>
      </c>
    </row>
    <row r="412">
      <c r="K412">
        <f>IF(J412="v4.0",L412,IF(J412="v3.1",M412,IF(J412="Both",L412,IF(AND(L412&lt;&gt;"",M412=""),L412,M412))))</f>
        <v/>
      </c>
      <c r="Z412">
        <f>MIN(100,
(K412*5) +
(U412*10) +
IF(P412="Y",40,0) +
IF(Q412="P",30,0) +
IF(V412="Y",25,0) +
IF(W412="Y",20,0) +
IF(X412="Weaponized",15,IF(X412="PoC Available",10,IF(X412="Public Exploit",5,0))) +
IF(G412="Production",10,IF(G412="DMZ",8,IF(G412="DR/Backup",5,0))) +
IF(Y412="N",10,0)
)</f>
        <v/>
      </c>
      <c r="AA412">
        <f>IF(OR(P412="Y",AND(K412&gt;=9.0,W412="Y")),"P0",IF(Z412&gt;=80,"P0",IF(Z412&gt;=60,"P1",IF(Z412&gt;=40,"P2",IF(Z412&gt;=20,"P3","P4")))))</f>
        <v/>
      </c>
      <c r="AD412">
        <f>IF(AB412&lt;&gt;"",AB412,AA412)</f>
        <v/>
      </c>
      <c r="AE412">
        <f>VLOOKUP(AD412,SLA_Definitions!$A$2:$B$6,2,FALSE)</f>
        <v/>
      </c>
      <c r="AF412">
        <f>IF(B412&lt;&gt;"",WORKDAY(B412,AE412),"")</f>
        <v/>
      </c>
      <c r="AG412">
        <f>IF(AF412&lt;&gt;"",NETWORKDAYS(TODAY(),AF412),"")</f>
        <v/>
      </c>
      <c r="AH412">
        <f>IF(AJ412="Complete","Complete",IF(AG412&lt;0,"Overdue",IF(AG412&lt;=AE412*0.2,"At Risk","On Track")))</f>
        <v/>
      </c>
      <c r="AK412">
        <f>IF(OR(AH412="Overdue",AND(AD412="P0",AG412&lt;1),AND(AD412="P1",AG412&lt;3)),"Y","N")</f>
        <v/>
      </c>
    </row>
    <row r="413">
      <c r="K413">
        <f>IF(J413="v4.0",L413,IF(J413="v3.1",M413,IF(J413="Both",L413,IF(AND(L413&lt;&gt;"",M413=""),L413,M413))))</f>
        <v/>
      </c>
      <c r="Z413">
        <f>MIN(100,
(K413*5) +
(U413*10) +
IF(P413="Y",40,0) +
IF(Q413="P",30,0) +
IF(V413="Y",25,0) +
IF(W413="Y",20,0) +
IF(X413="Weaponized",15,IF(X413="PoC Available",10,IF(X413="Public Exploit",5,0))) +
IF(G413="Production",10,IF(G413="DMZ",8,IF(G413="DR/Backup",5,0))) +
IF(Y413="N",10,0)
)</f>
        <v/>
      </c>
      <c r="AA413">
        <f>IF(OR(P413="Y",AND(K413&gt;=9.0,W413="Y")),"P0",IF(Z413&gt;=80,"P0",IF(Z413&gt;=60,"P1",IF(Z413&gt;=40,"P2",IF(Z413&gt;=20,"P3","P4")))))</f>
        <v/>
      </c>
      <c r="AD413">
        <f>IF(AB413&lt;&gt;"",AB413,AA413)</f>
        <v/>
      </c>
      <c r="AE413">
        <f>VLOOKUP(AD413,SLA_Definitions!$A$2:$B$6,2,FALSE)</f>
        <v/>
      </c>
      <c r="AF413">
        <f>IF(B413&lt;&gt;"",WORKDAY(B413,AE413),"")</f>
        <v/>
      </c>
      <c r="AG413">
        <f>IF(AF413&lt;&gt;"",NETWORKDAYS(TODAY(),AF413),"")</f>
        <v/>
      </c>
      <c r="AH413">
        <f>IF(AJ413="Complete","Complete",IF(AG413&lt;0,"Overdue",IF(AG413&lt;=AE413*0.2,"At Risk","On Track")))</f>
        <v/>
      </c>
      <c r="AK413">
        <f>IF(OR(AH413="Overdue",AND(AD413="P0",AG413&lt;1),AND(AD413="P1",AG413&lt;3)),"Y","N")</f>
        <v/>
      </c>
    </row>
    <row r="414">
      <c r="K414">
        <f>IF(J414="v4.0",L414,IF(J414="v3.1",M414,IF(J414="Both",L414,IF(AND(L414&lt;&gt;"",M414=""),L414,M414))))</f>
        <v/>
      </c>
      <c r="Z414">
        <f>MIN(100,
(K414*5) +
(U414*10) +
IF(P414="Y",40,0) +
IF(Q414="P",30,0) +
IF(V414="Y",25,0) +
IF(W414="Y",20,0) +
IF(X414="Weaponized",15,IF(X414="PoC Available",10,IF(X414="Public Exploit",5,0))) +
IF(G414="Production",10,IF(G414="DMZ",8,IF(G414="DR/Backup",5,0))) +
IF(Y414="N",10,0)
)</f>
        <v/>
      </c>
      <c r="AA414">
        <f>IF(OR(P414="Y",AND(K414&gt;=9.0,W414="Y")),"P0",IF(Z414&gt;=80,"P0",IF(Z414&gt;=60,"P1",IF(Z414&gt;=40,"P2",IF(Z414&gt;=20,"P3","P4")))))</f>
        <v/>
      </c>
      <c r="AD414">
        <f>IF(AB414&lt;&gt;"",AB414,AA414)</f>
        <v/>
      </c>
      <c r="AE414">
        <f>VLOOKUP(AD414,SLA_Definitions!$A$2:$B$6,2,FALSE)</f>
        <v/>
      </c>
      <c r="AF414">
        <f>IF(B414&lt;&gt;"",WORKDAY(B414,AE414),"")</f>
        <v/>
      </c>
      <c r="AG414">
        <f>IF(AF414&lt;&gt;"",NETWORKDAYS(TODAY(),AF414),"")</f>
        <v/>
      </c>
      <c r="AH414">
        <f>IF(AJ414="Complete","Complete",IF(AG414&lt;0,"Overdue",IF(AG414&lt;=AE414*0.2,"At Risk","On Track")))</f>
        <v/>
      </c>
      <c r="AK414">
        <f>IF(OR(AH414="Overdue",AND(AD414="P0",AG414&lt;1),AND(AD414="P1",AG414&lt;3)),"Y","N")</f>
        <v/>
      </c>
    </row>
    <row r="415">
      <c r="K415">
        <f>IF(J415="v4.0",L415,IF(J415="v3.1",M415,IF(J415="Both",L415,IF(AND(L415&lt;&gt;"",M415=""),L415,M415))))</f>
        <v/>
      </c>
      <c r="Z415">
        <f>MIN(100,
(K415*5) +
(U415*10) +
IF(P415="Y",40,0) +
IF(Q415="P",30,0) +
IF(V415="Y",25,0) +
IF(W415="Y",20,0) +
IF(X415="Weaponized",15,IF(X415="PoC Available",10,IF(X415="Public Exploit",5,0))) +
IF(G415="Production",10,IF(G415="DMZ",8,IF(G415="DR/Backup",5,0))) +
IF(Y415="N",10,0)
)</f>
        <v/>
      </c>
      <c r="AA415">
        <f>IF(OR(P415="Y",AND(K415&gt;=9.0,W415="Y")),"P0",IF(Z415&gt;=80,"P0",IF(Z415&gt;=60,"P1",IF(Z415&gt;=40,"P2",IF(Z415&gt;=20,"P3","P4")))))</f>
        <v/>
      </c>
      <c r="AD415">
        <f>IF(AB415&lt;&gt;"",AB415,AA415)</f>
        <v/>
      </c>
      <c r="AE415">
        <f>VLOOKUP(AD415,SLA_Definitions!$A$2:$B$6,2,FALSE)</f>
        <v/>
      </c>
      <c r="AF415">
        <f>IF(B415&lt;&gt;"",WORKDAY(B415,AE415),"")</f>
        <v/>
      </c>
      <c r="AG415">
        <f>IF(AF415&lt;&gt;"",NETWORKDAYS(TODAY(),AF415),"")</f>
        <v/>
      </c>
      <c r="AH415">
        <f>IF(AJ415="Complete","Complete",IF(AG415&lt;0,"Overdue",IF(AG415&lt;=AE415*0.2,"At Risk","On Track")))</f>
        <v/>
      </c>
      <c r="AK415">
        <f>IF(OR(AH415="Overdue",AND(AD415="P0",AG415&lt;1),AND(AD415="P1",AG415&lt;3)),"Y","N")</f>
        <v/>
      </c>
    </row>
    <row r="416">
      <c r="K416">
        <f>IF(J416="v4.0",L416,IF(J416="v3.1",M416,IF(J416="Both",L416,IF(AND(L416&lt;&gt;"",M416=""),L416,M416))))</f>
        <v/>
      </c>
      <c r="Z416">
        <f>MIN(100,
(K416*5) +
(U416*10) +
IF(P416="Y",40,0) +
IF(Q416="P",30,0) +
IF(V416="Y",25,0) +
IF(W416="Y",20,0) +
IF(X416="Weaponized",15,IF(X416="PoC Available",10,IF(X416="Public Exploit",5,0))) +
IF(G416="Production",10,IF(G416="DMZ",8,IF(G416="DR/Backup",5,0))) +
IF(Y416="N",10,0)
)</f>
        <v/>
      </c>
      <c r="AA416">
        <f>IF(OR(P416="Y",AND(K416&gt;=9.0,W416="Y")),"P0",IF(Z416&gt;=80,"P0",IF(Z416&gt;=60,"P1",IF(Z416&gt;=40,"P2",IF(Z416&gt;=20,"P3","P4")))))</f>
        <v/>
      </c>
      <c r="AD416">
        <f>IF(AB416&lt;&gt;"",AB416,AA416)</f>
        <v/>
      </c>
      <c r="AE416">
        <f>VLOOKUP(AD416,SLA_Definitions!$A$2:$B$6,2,FALSE)</f>
        <v/>
      </c>
      <c r="AF416">
        <f>IF(B416&lt;&gt;"",WORKDAY(B416,AE416),"")</f>
        <v/>
      </c>
      <c r="AG416">
        <f>IF(AF416&lt;&gt;"",NETWORKDAYS(TODAY(),AF416),"")</f>
        <v/>
      </c>
      <c r="AH416">
        <f>IF(AJ416="Complete","Complete",IF(AG416&lt;0,"Overdue",IF(AG416&lt;=AE416*0.2,"At Risk","On Track")))</f>
        <v/>
      </c>
      <c r="AK416">
        <f>IF(OR(AH416="Overdue",AND(AD416="P0",AG416&lt;1),AND(AD416="P1",AG416&lt;3)),"Y","N")</f>
        <v/>
      </c>
    </row>
    <row r="417">
      <c r="K417">
        <f>IF(J417="v4.0",L417,IF(J417="v3.1",M417,IF(J417="Both",L417,IF(AND(L417&lt;&gt;"",M417=""),L417,M417))))</f>
        <v/>
      </c>
      <c r="Z417">
        <f>MIN(100,
(K417*5) +
(U417*10) +
IF(P417="Y",40,0) +
IF(Q417="P",30,0) +
IF(V417="Y",25,0) +
IF(W417="Y",20,0) +
IF(X417="Weaponized",15,IF(X417="PoC Available",10,IF(X417="Public Exploit",5,0))) +
IF(G417="Production",10,IF(G417="DMZ",8,IF(G417="DR/Backup",5,0))) +
IF(Y417="N",10,0)
)</f>
        <v/>
      </c>
      <c r="AA417">
        <f>IF(OR(P417="Y",AND(K417&gt;=9.0,W417="Y")),"P0",IF(Z417&gt;=80,"P0",IF(Z417&gt;=60,"P1",IF(Z417&gt;=40,"P2",IF(Z417&gt;=20,"P3","P4")))))</f>
        <v/>
      </c>
      <c r="AD417">
        <f>IF(AB417&lt;&gt;"",AB417,AA417)</f>
        <v/>
      </c>
      <c r="AE417">
        <f>VLOOKUP(AD417,SLA_Definitions!$A$2:$B$6,2,FALSE)</f>
        <v/>
      </c>
      <c r="AF417">
        <f>IF(B417&lt;&gt;"",WORKDAY(B417,AE417),"")</f>
        <v/>
      </c>
      <c r="AG417">
        <f>IF(AF417&lt;&gt;"",NETWORKDAYS(TODAY(),AF417),"")</f>
        <v/>
      </c>
      <c r="AH417">
        <f>IF(AJ417="Complete","Complete",IF(AG417&lt;0,"Overdue",IF(AG417&lt;=AE417*0.2,"At Risk","On Track")))</f>
        <v/>
      </c>
      <c r="AK417">
        <f>IF(OR(AH417="Overdue",AND(AD417="P0",AG417&lt;1),AND(AD417="P1",AG417&lt;3)),"Y","N")</f>
        <v/>
      </c>
    </row>
    <row r="418">
      <c r="K418">
        <f>IF(J418="v4.0",L418,IF(J418="v3.1",M418,IF(J418="Both",L418,IF(AND(L418&lt;&gt;"",M418=""),L418,M418))))</f>
        <v/>
      </c>
      <c r="Z418">
        <f>MIN(100,
(K418*5) +
(U418*10) +
IF(P418="Y",40,0) +
IF(Q418="P",30,0) +
IF(V418="Y",25,0) +
IF(W418="Y",20,0) +
IF(X418="Weaponized",15,IF(X418="PoC Available",10,IF(X418="Public Exploit",5,0))) +
IF(G418="Production",10,IF(G418="DMZ",8,IF(G418="DR/Backup",5,0))) +
IF(Y418="N",10,0)
)</f>
        <v/>
      </c>
      <c r="AA418">
        <f>IF(OR(P418="Y",AND(K418&gt;=9.0,W418="Y")),"P0",IF(Z418&gt;=80,"P0",IF(Z418&gt;=60,"P1",IF(Z418&gt;=40,"P2",IF(Z418&gt;=20,"P3","P4")))))</f>
        <v/>
      </c>
      <c r="AD418">
        <f>IF(AB418&lt;&gt;"",AB418,AA418)</f>
        <v/>
      </c>
      <c r="AE418">
        <f>VLOOKUP(AD418,SLA_Definitions!$A$2:$B$6,2,FALSE)</f>
        <v/>
      </c>
      <c r="AF418">
        <f>IF(B418&lt;&gt;"",WORKDAY(B418,AE418),"")</f>
        <v/>
      </c>
      <c r="AG418">
        <f>IF(AF418&lt;&gt;"",NETWORKDAYS(TODAY(),AF418),"")</f>
        <v/>
      </c>
      <c r="AH418">
        <f>IF(AJ418="Complete","Complete",IF(AG418&lt;0,"Overdue",IF(AG418&lt;=AE418*0.2,"At Risk","On Track")))</f>
        <v/>
      </c>
      <c r="AK418">
        <f>IF(OR(AH418="Overdue",AND(AD418="P0",AG418&lt;1),AND(AD418="P1",AG418&lt;3)),"Y","N")</f>
        <v/>
      </c>
    </row>
    <row r="419">
      <c r="K419">
        <f>IF(J419="v4.0",L419,IF(J419="v3.1",M419,IF(J419="Both",L419,IF(AND(L419&lt;&gt;"",M419=""),L419,M419))))</f>
        <v/>
      </c>
      <c r="Z419">
        <f>MIN(100,
(K419*5) +
(U419*10) +
IF(P419="Y",40,0) +
IF(Q419="P",30,0) +
IF(V419="Y",25,0) +
IF(W419="Y",20,0) +
IF(X419="Weaponized",15,IF(X419="PoC Available",10,IF(X419="Public Exploit",5,0))) +
IF(G419="Production",10,IF(G419="DMZ",8,IF(G419="DR/Backup",5,0))) +
IF(Y419="N",10,0)
)</f>
        <v/>
      </c>
      <c r="AA419">
        <f>IF(OR(P419="Y",AND(K419&gt;=9.0,W419="Y")),"P0",IF(Z419&gt;=80,"P0",IF(Z419&gt;=60,"P1",IF(Z419&gt;=40,"P2",IF(Z419&gt;=20,"P3","P4")))))</f>
        <v/>
      </c>
      <c r="AD419">
        <f>IF(AB419&lt;&gt;"",AB419,AA419)</f>
        <v/>
      </c>
      <c r="AE419">
        <f>VLOOKUP(AD419,SLA_Definitions!$A$2:$B$6,2,FALSE)</f>
        <v/>
      </c>
      <c r="AF419">
        <f>IF(B419&lt;&gt;"",WORKDAY(B419,AE419),"")</f>
        <v/>
      </c>
      <c r="AG419">
        <f>IF(AF419&lt;&gt;"",NETWORKDAYS(TODAY(),AF419),"")</f>
        <v/>
      </c>
      <c r="AH419">
        <f>IF(AJ419="Complete","Complete",IF(AG419&lt;0,"Overdue",IF(AG419&lt;=AE419*0.2,"At Risk","On Track")))</f>
        <v/>
      </c>
      <c r="AK419">
        <f>IF(OR(AH419="Overdue",AND(AD419="P0",AG419&lt;1),AND(AD419="P1",AG419&lt;3)),"Y","N")</f>
        <v/>
      </c>
    </row>
    <row r="420">
      <c r="K420">
        <f>IF(J420="v4.0",L420,IF(J420="v3.1",M420,IF(J420="Both",L420,IF(AND(L420&lt;&gt;"",M420=""),L420,M420))))</f>
        <v/>
      </c>
      <c r="Z420">
        <f>MIN(100,
(K420*5) +
(U420*10) +
IF(P420="Y",40,0) +
IF(Q420="P",30,0) +
IF(V420="Y",25,0) +
IF(W420="Y",20,0) +
IF(X420="Weaponized",15,IF(X420="PoC Available",10,IF(X420="Public Exploit",5,0))) +
IF(G420="Production",10,IF(G420="DMZ",8,IF(G420="DR/Backup",5,0))) +
IF(Y420="N",10,0)
)</f>
        <v/>
      </c>
      <c r="AA420">
        <f>IF(OR(P420="Y",AND(K420&gt;=9.0,W420="Y")),"P0",IF(Z420&gt;=80,"P0",IF(Z420&gt;=60,"P1",IF(Z420&gt;=40,"P2",IF(Z420&gt;=20,"P3","P4")))))</f>
        <v/>
      </c>
      <c r="AD420">
        <f>IF(AB420&lt;&gt;"",AB420,AA420)</f>
        <v/>
      </c>
      <c r="AE420">
        <f>VLOOKUP(AD420,SLA_Definitions!$A$2:$B$6,2,FALSE)</f>
        <v/>
      </c>
      <c r="AF420">
        <f>IF(B420&lt;&gt;"",WORKDAY(B420,AE420),"")</f>
        <v/>
      </c>
      <c r="AG420">
        <f>IF(AF420&lt;&gt;"",NETWORKDAYS(TODAY(),AF420),"")</f>
        <v/>
      </c>
      <c r="AH420">
        <f>IF(AJ420="Complete","Complete",IF(AG420&lt;0,"Overdue",IF(AG420&lt;=AE420*0.2,"At Risk","On Track")))</f>
        <v/>
      </c>
      <c r="AK420">
        <f>IF(OR(AH420="Overdue",AND(AD420="P0",AG420&lt;1),AND(AD420="P1",AG420&lt;3)),"Y","N")</f>
        <v/>
      </c>
    </row>
    <row r="421">
      <c r="K421">
        <f>IF(J421="v4.0",L421,IF(J421="v3.1",M421,IF(J421="Both",L421,IF(AND(L421&lt;&gt;"",M421=""),L421,M421))))</f>
        <v/>
      </c>
      <c r="Z421">
        <f>MIN(100,
(K421*5) +
(U421*10) +
IF(P421="Y",40,0) +
IF(Q421="P",30,0) +
IF(V421="Y",25,0) +
IF(W421="Y",20,0) +
IF(X421="Weaponized",15,IF(X421="PoC Available",10,IF(X421="Public Exploit",5,0))) +
IF(G421="Production",10,IF(G421="DMZ",8,IF(G421="DR/Backup",5,0))) +
IF(Y421="N",10,0)
)</f>
        <v/>
      </c>
      <c r="AA421">
        <f>IF(OR(P421="Y",AND(K421&gt;=9.0,W421="Y")),"P0",IF(Z421&gt;=80,"P0",IF(Z421&gt;=60,"P1",IF(Z421&gt;=40,"P2",IF(Z421&gt;=20,"P3","P4")))))</f>
        <v/>
      </c>
      <c r="AD421">
        <f>IF(AB421&lt;&gt;"",AB421,AA421)</f>
        <v/>
      </c>
      <c r="AE421">
        <f>VLOOKUP(AD421,SLA_Definitions!$A$2:$B$6,2,FALSE)</f>
        <v/>
      </c>
      <c r="AF421">
        <f>IF(B421&lt;&gt;"",WORKDAY(B421,AE421),"")</f>
        <v/>
      </c>
      <c r="AG421">
        <f>IF(AF421&lt;&gt;"",NETWORKDAYS(TODAY(),AF421),"")</f>
        <v/>
      </c>
      <c r="AH421">
        <f>IF(AJ421="Complete","Complete",IF(AG421&lt;0,"Overdue",IF(AG421&lt;=AE421*0.2,"At Risk","On Track")))</f>
        <v/>
      </c>
      <c r="AK421">
        <f>IF(OR(AH421="Overdue",AND(AD421="P0",AG421&lt;1),AND(AD421="P1",AG421&lt;3)),"Y","N")</f>
        <v/>
      </c>
    </row>
    <row r="422">
      <c r="K422">
        <f>IF(J422="v4.0",L422,IF(J422="v3.1",M422,IF(J422="Both",L422,IF(AND(L422&lt;&gt;"",M422=""),L422,M422))))</f>
        <v/>
      </c>
      <c r="Z422">
        <f>MIN(100,
(K422*5) +
(U422*10) +
IF(P422="Y",40,0) +
IF(Q422="P",30,0) +
IF(V422="Y",25,0) +
IF(W422="Y",20,0) +
IF(X422="Weaponized",15,IF(X422="PoC Available",10,IF(X422="Public Exploit",5,0))) +
IF(G422="Production",10,IF(G422="DMZ",8,IF(G422="DR/Backup",5,0))) +
IF(Y422="N",10,0)
)</f>
        <v/>
      </c>
      <c r="AA422">
        <f>IF(OR(P422="Y",AND(K422&gt;=9.0,W422="Y")),"P0",IF(Z422&gt;=80,"P0",IF(Z422&gt;=60,"P1",IF(Z422&gt;=40,"P2",IF(Z422&gt;=20,"P3","P4")))))</f>
        <v/>
      </c>
      <c r="AD422">
        <f>IF(AB422&lt;&gt;"",AB422,AA422)</f>
        <v/>
      </c>
      <c r="AE422">
        <f>VLOOKUP(AD422,SLA_Definitions!$A$2:$B$6,2,FALSE)</f>
        <v/>
      </c>
      <c r="AF422">
        <f>IF(B422&lt;&gt;"",WORKDAY(B422,AE422),"")</f>
        <v/>
      </c>
      <c r="AG422">
        <f>IF(AF422&lt;&gt;"",NETWORKDAYS(TODAY(),AF422),"")</f>
        <v/>
      </c>
      <c r="AH422">
        <f>IF(AJ422="Complete","Complete",IF(AG422&lt;0,"Overdue",IF(AG422&lt;=AE422*0.2,"At Risk","On Track")))</f>
        <v/>
      </c>
      <c r="AK422">
        <f>IF(OR(AH422="Overdue",AND(AD422="P0",AG422&lt;1),AND(AD422="P1",AG422&lt;3)),"Y","N")</f>
        <v/>
      </c>
    </row>
    <row r="423">
      <c r="K423">
        <f>IF(J423="v4.0",L423,IF(J423="v3.1",M423,IF(J423="Both",L423,IF(AND(L423&lt;&gt;"",M423=""),L423,M423))))</f>
        <v/>
      </c>
      <c r="Z423">
        <f>MIN(100,
(K423*5) +
(U423*10) +
IF(P423="Y",40,0) +
IF(Q423="P",30,0) +
IF(V423="Y",25,0) +
IF(W423="Y",20,0) +
IF(X423="Weaponized",15,IF(X423="PoC Available",10,IF(X423="Public Exploit",5,0))) +
IF(G423="Production",10,IF(G423="DMZ",8,IF(G423="DR/Backup",5,0))) +
IF(Y423="N",10,0)
)</f>
        <v/>
      </c>
      <c r="AA423">
        <f>IF(OR(P423="Y",AND(K423&gt;=9.0,W423="Y")),"P0",IF(Z423&gt;=80,"P0",IF(Z423&gt;=60,"P1",IF(Z423&gt;=40,"P2",IF(Z423&gt;=20,"P3","P4")))))</f>
        <v/>
      </c>
      <c r="AD423">
        <f>IF(AB423&lt;&gt;"",AB423,AA423)</f>
        <v/>
      </c>
      <c r="AE423">
        <f>VLOOKUP(AD423,SLA_Definitions!$A$2:$B$6,2,FALSE)</f>
        <v/>
      </c>
      <c r="AF423">
        <f>IF(B423&lt;&gt;"",WORKDAY(B423,AE423),"")</f>
        <v/>
      </c>
      <c r="AG423">
        <f>IF(AF423&lt;&gt;"",NETWORKDAYS(TODAY(),AF423),"")</f>
        <v/>
      </c>
      <c r="AH423">
        <f>IF(AJ423="Complete","Complete",IF(AG423&lt;0,"Overdue",IF(AG423&lt;=AE423*0.2,"At Risk","On Track")))</f>
        <v/>
      </c>
      <c r="AK423">
        <f>IF(OR(AH423="Overdue",AND(AD423="P0",AG423&lt;1),AND(AD423="P1",AG423&lt;3)),"Y","N")</f>
        <v/>
      </c>
    </row>
    <row r="424">
      <c r="K424">
        <f>IF(J424="v4.0",L424,IF(J424="v3.1",M424,IF(J424="Both",L424,IF(AND(L424&lt;&gt;"",M424=""),L424,M424))))</f>
        <v/>
      </c>
      <c r="Z424">
        <f>MIN(100,
(K424*5) +
(U424*10) +
IF(P424="Y",40,0) +
IF(Q424="P",30,0) +
IF(V424="Y",25,0) +
IF(W424="Y",20,0) +
IF(X424="Weaponized",15,IF(X424="PoC Available",10,IF(X424="Public Exploit",5,0))) +
IF(G424="Production",10,IF(G424="DMZ",8,IF(G424="DR/Backup",5,0))) +
IF(Y424="N",10,0)
)</f>
        <v/>
      </c>
      <c r="AA424">
        <f>IF(OR(P424="Y",AND(K424&gt;=9.0,W424="Y")),"P0",IF(Z424&gt;=80,"P0",IF(Z424&gt;=60,"P1",IF(Z424&gt;=40,"P2",IF(Z424&gt;=20,"P3","P4")))))</f>
        <v/>
      </c>
      <c r="AD424">
        <f>IF(AB424&lt;&gt;"",AB424,AA424)</f>
        <v/>
      </c>
      <c r="AE424">
        <f>VLOOKUP(AD424,SLA_Definitions!$A$2:$B$6,2,FALSE)</f>
        <v/>
      </c>
      <c r="AF424">
        <f>IF(B424&lt;&gt;"",WORKDAY(B424,AE424),"")</f>
        <v/>
      </c>
      <c r="AG424">
        <f>IF(AF424&lt;&gt;"",NETWORKDAYS(TODAY(),AF424),"")</f>
        <v/>
      </c>
      <c r="AH424">
        <f>IF(AJ424="Complete","Complete",IF(AG424&lt;0,"Overdue",IF(AG424&lt;=AE424*0.2,"At Risk","On Track")))</f>
        <v/>
      </c>
      <c r="AK424">
        <f>IF(OR(AH424="Overdue",AND(AD424="P0",AG424&lt;1),AND(AD424="P1",AG424&lt;3)),"Y","N")</f>
        <v/>
      </c>
    </row>
    <row r="425">
      <c r="K425">
        <f>IF(J425="v4.0",L425,IF(J425="v3.1",M425,IF(J425="Both",L425,IF(AND(L425&lt;&gt;"",M425=""),L425,M425))))</f>
        <v/>
      </c>
      <c r="Z425">
        <f>MIN(100,
(K425*5) +
(U425*10) +
IF(P425="Y",40,0) +
IF(Q425="P",30,0) +
IF(V425="Y",25,0) +
IF(W425="Y",20,0) +
IF(X425="Weaponized",15,IF(X425="PoC Available",10,IF(X425="Public Exploit",5,0))) +
IF(G425="Production",10,IF(G425="DMZ",8,IF(G425="DR/Backup",5,0))) +
IF(Y425="N",10,0)
)</f>
        <v/>
      </c>
      <c r="AA425">
        <f>IF(OR(P425="Y",AND(K425&gt;=9.0,W425="Y")),"P0",IF(Z425&gt;=80,"P0",IF(Z425&gt;=60,"P1",IF(Z425&gt;=40,"P2",IF(Z425&gt;=20,"P3","P4")))))</f>
        <v/>
      </c>
      <c r="AD425">
        <f>IF(AB425&lt;&gt;"",AB425,AA425)</f>
        <v/>
      </c>
      <c r="AE425">
        <f>VLOOKUP(AD425,SLA_Definitions!$A$2:$B$6,2,FALSE)</f>
        <v/>
      </c>
      <c r="AF425">
        <f>IF(B425&lt;&gt;"",WORKDAY(B425,AE425),"")</f>
        <v/>
      </c>
      <c r="AG425">
        <f>IF(AF425&lt;&gt;"",NETWORKDAYS(TODAY(),AF425),"")</f>
        <v/>
      </c>
      <c r="AH425">
        <f>IF(AJ425="Complete","Complete",IF(AG425&lt;0,"Overdue",IF(AG425&lt;=AE425*0.2,"At Risk","On Track")))</f>
        <v/>
      </c>
      <c r="AK425">
        <f>IF(OR(AH425="Overdue",AND(AD425="P0",AG425&lt;1),AND(AD425="P1",AG425&lt;3)),"Y","N")</f>
        <v/>
      </c>
    </row>
    <row r="426">
      <c r="K426">
        <f>IF(J426="v4.0",L426,IF(J426="v3.1",M426,IF(J426="Both",L426,IF(AND(L426&lt;&gt;"",M426=""),L426,M426))))</f>
        <v/>
      </c>
      <c r="Z426">
        <f>MIN(100,
(K426*5) +
(U426*10) +
IF(P426="Y",40,0) +
IF(Q426="P",30,0) +
IF(V426="Y",25,0) +
IF(W426="Y",20,0) +
IF(X426="Weaponized",15,IF(X426="PoC Available",10,IF(X426="Public Exploit",5,0))) +
IF(G426="Production",10,IF(G426="DMZ",8,IF(G426="DR/Backup",5,0))) +
IF(Y426="N",10,0)
)</f>
        <v/>
      </c>
      <c r="AA426">
        <f>IF(OR(P426="Y",AND(K426&gt;=9.0,W426="Y")),"P0",IF(Z426&gt;=80,"P0",IF(Z426&gt;=60,"P1",IF(Z426&gt;=40,"P2",IF(Z426&gt;=20,"P3","P4")))))</f>
        <v/>
      </c>
      <c r="AD426">
        <f>IF(AB426&lt;&gt;"",AB426,AA426)</f>
        <v/>
      </c>
      <c r="AE426">
        <f>VLOOKUP(AD426,SLA_Definitions!$A$2:$B$6,2,FALSE)</f>
        <v/>
      </c>
      <c r="AF426">
        <f>IF(B426&lt;&gt;"",WORKDAY(B426,AE426),"")</f>
        <v/>
      </c>
      <c r="AG426">
        <f>IF(AF426&lt;&gt;"",NETWORKDAYS(TODAY(),AF426),"")</f>
        <v/>
      </c>
      <c r="AH426">
        <f>IF(AJ426="Complete","Complete",IF(AG426&lt;0,"Overdue",IF(AG426&lt;=AE426*0.2,"At Risk","On Track")))</f>
        <v/>
      </c>
      <c r="AK426">
        <f>IF(OR(AH426="Overdue",AND(AD426="P0",AG426&lt;1),AND(AD426="P1",AG426&lt;3)),"Y","N")</f>
        <v/>
      </c>
    </row>
    <row r="427">
      <c r="K427">
        <f>IF(J427="v4.0",L427,IF(J427="v3.1",M427,IF(J427="Both",L427,IF(AND(L427&lt;&gt;"",M427=""),L427,M427))))</f>
        <v/>
      </c>
      <c r="Z427">
        <f>MIN(100,
(K427*5) +
(U427*10) +
IF(P427="Y",40,0) +
IF(Q427="P",30,0) +
IF(V427="Y",25,0) +
IF(W427="Y",20,0) +
IF(X427="Weaponized",15,IF(X427="PoC Available",10,IF(X427="Public Exploit",5,0))) +
IF(G427="Production",10,IF(G427="DMZ",8,IF(G427="DR/Backup",5,0))) +
IF(Y427="N",10,0)
)</f>
        <v/>
      </c>
      <c r="AA427">
        <f>IF(OR(P427="Y",AND(K427&gt;=9.0,W427="Y")),"P0",IF(Z427&gt;=80,"P0",IF(Z427&gt;=60,"P1",IF(Z427&gt;=40,"P2",IF(Z427&gt;=20,"P3","P4")))))</f>
        <v/>
      </c>
      <c r="AD427">
        <f>IF(AB427&lt;&gt;"",AB427,AA427)</f>
        <v/>
      </c>
      <c r="AE427">
        <f>VLOOKUP(AD427,SLA_Definitions!$A$2:$B$6,2,FALSE)</f>
        <v/>
      </c>
      <c r="AF427">
        <f>IF(B427&lt;&gt;"",WORKDAY(B427,AE427),"")</f>
        <v/>
      </c>
      <c r="AG427">
        <f>IF(AF427&lt;&gt;"",NETWORKDAYS(TODAY(),AF427),"")</f>
        <v/>
      </c>
      <c r="AH427">
        <f>IF(AJ427="Complete","Complete",IF(AG427&lt;0,"Overdue",IF(AG427&lt;=AE427*0.2,"At Risk","On Track")))</f>
        <v/>
      </c>
      <c r="AK427">
        <f>IF(OR(AH427="Overdue",AND(AD427="P0",AG427&lt;1),AND(AD427="P1",AG427&lt;3)),"Y","N")</f>
        <v/>
      </c>
    </row>
    <row r="428">
      <c r="K428">
        <f>IF(J428="v4.0",L428,IF(J428="v3.1",M428,IF(J428="Both",L428,IF(AND(L428&lt;&gt;"",M428=""),L428,M428))))</f>
        <v/>
      </c>
      <c r="Z428">
        <f>MIN(100,
(K428*5) +
(U428*10) +
IF(P428="Y",40,0) +
IF(Q428="P",30,0) +
IF(V428="Y",25,0) +
IF(W428="Y",20,0) +
IF(X428="Weaponized",15,IF(X428="PoC Available",10,IF(X428="Public Exploit",5,0))) +
IF(G428="Production",10,IF(G428="DMZ",8,IF(G428="DR/Backup",5,0))) +
IF(Y428="N",10,0)
)</f>
        <v/>
      </c>
      <c r="AA428">
        <f>IF(OR(P428="Y",AND(K428&gt;=9.0,W428="Y")),"P0",IF(Z428&gt;=80,"P0",IF(Z428&gt;=60,"P1",IF(Z428&gt;=40,"P2",IF(Z428&gt;=20,"P3","P4")))))</f>
        <v/>
      </c>
      <c r="AD428">
        <f>IF(AB428&lt;&gt;"",AB428,AA428)</f>
        <v/>
      </c>
      <c r="AE428">
        <f>VLOOKUP(AD428,SLA_Definitions!$A$2:$B$6,2,FALSE)</f>
        <v/>
      </c>
      <c r="AF428">
        <f>IF(B428&lt;&gt;"",WORKDAY(B428,AE428),"")</f>
        <v/>
      </c>
      <c r="AG428">
        <f>IF(AF428&lt;&gt;"",NETWORKDAYS(TODAY(),AF428),"")</f>
        <v/>
      </c>
      <c r="AH428">
        <f>IF(AJ428="Complete","Complete",IF(AG428&lt;0,"Overdue",IF(AG428&lt;=AE428*0.2,"At Risk","On Track")))</f>
        <v/>
      </c>
      <c r="AK428">
        <f>IF(OR(AH428="Overdue",AND(AD428="P0",AG428&lt;1),AND(AD428="P1",AG428&lt;3)),"Y","N")</f>
        <v/>
      </c>
    </row>
    <row r="429">
      <c r="K429">
        <f>IF(J429="v4.0",L429,IF(J429="v3.1",M429,IF(J429="Both",L429,IF(AND(L429&lt;&gt;"",M429=""),L429,M429))))</f>
        <v/>
      </c>
      <c r="Z429">
        <f>MIN(100,
(K429*5) +
(U429*10) +
IF(P429="Y",40,0) +
IF(Q429="P",30,0) +
IF(V429="Y",25,0) +
IF(W429="Y",20,0) +
IF(X429="Weaponized",15,IF(X429="PoC Available",10,IF(X429="Public Exploit",5,0))) +
IF(G429="Production",10,IF(G429="DMZ",8,IF(G429="DR/Backup",5,0))) +
IF(Y429="N",10,0)
)</f>
        <v/>
      </c>
      <c r="AA429">
        <f>IF(OR(P429="Y",AND(K429&gt;=9.0,W429="Y")),"P0",IF(Z429&gt;=80,"P0",IF(Z429&gt;=60,"P1",IF(Z429&gt;=40,"P2",IF(Z429&gt;=20,"P3","P4")))))</f>
        <v/>
      </c>
      <c r="AD429">
        <f>IF(AB429&lt;&gt;"",AB429,AA429)</f>
        <v/>
      </c>
      <c r="AE429">
        <f>VLOOKUP(AD429,SLA_Definitions!$A$2:$B$6,2,FALSE)</f>
        <v/>
      </c>
      <c r="AF429">
        <f>IF(B429&lt;&gt;"",WORKDAY(B429,AE429),"")</f>
        <v/>
      </c>
      <c r="AG429">
        <f>IF(AF429&lt;&gt;"",NETWORKDAYS(TODAY(),AF429),"")</f>
        <v/>
      </c>
      <c r="AH429">
        <f>IF(AJ429="Complete","Complete",IF(AG429&lt;0,"Overdue",IF(AG429&lt;=AE429*0.2,"At Risk","On Track")))</f>
        <v/>
      </c>
      <c r="AK429">
        <f>IF(OR(AH429="Overdue",AND(AD429="P0",AG429&lt;1),AND(AD429="P1",AG429&lt;3)),"Y","N")</f>
        <v/>
      </c>
    </row>
    <row r="430">
      <c r="K430">
        <f>IF(J430="v4.0",L430,IF(J430="v3.1",M430,IF(J430="Both",L430,IF(AND(L430&lt;&gt;"",M430=""),L430,M430))))</f>
        <v/>
      </c>
      <c r="Z430">
        <f>MIN(100,
(K430*5) +
(U430*10) +
IF(P430="Y",40,0) +
IF(Q430="P",30,0) +
IF(V430="Y",25,0) +
IF(W430="Y",20,0) +
IF(X430="Weaponized",15,IF(X430="PoC Available",10,IF(X430="Public Exploit",5,0))) +
IF(G430="Production",10,IF(G430="DMZ",8,IF(G430="DR/Backup",5,0))) +
IF(Y430="N",10,0)
)</f>
        <v/>
      </c>
      <c r="AA430">
        <f>IF(OR(P430="Y",AND(K430&gt;=9.0,W430="Y")),"P0",IF(Z430&gt;=80,"P0",IF(Z430&gt;=60,"P1",IF(Z430&gt;=40,"P2",IF(Z430&gt;=20,"P3","P4")))))</f>
        <v/>
      </c>
      <c r="AD430">
        <f>IF(AB430&lt;&gt;"",AB430,AA430)</f>
        <v/>
      </c>
      <c r="AE430">
        <f>VLOOKUP(AD430,SLA_Definitions!$A$2:$B$6,2,FALSE)</f>
        <v/>
      </c>
      <c r="AF430">
        <f>IF(B430&lt;&gt;"",WORKDAY(B430,AE430),"")</f>
        <v/>
      </c>
      <c r="AG430">
        <f>IF(AF430&lt;&gt;"",NETWORKDAYS(TODAY(),AF430),"")</f>
        <v/>
      </c>
      <c r="AH430">
        <f>IF(AJ430="Complete","Complete",IF(AG430&lt;0,"Overdue",IF(AG430&lt;=AE430*0.2,"At Risk","On Track")))</f>
        <v/>
      </c>
      <c r="AK430">
        <f>IF(OR(AH430="Overdue",AND(AD430="P0",AG430&lt;1),AND(AD430="P1",AG430&lt;3)),"Y","N")</f>
        <v/>
      </c>
    </row>
    <row r="431">
      <c r="K431">
        <f>IF(J431="v4.0",L431,IF(J431="v3.1",M431,IF(J431="Both",L431,IF(AND(L431&lt;&gt;"",M431=""),L431,M431))))</f>
        <v/>
      </c>
      <c r="Z431">
        <f>MIN(100,
(K431*5) +
(U431*10) +
IF(P431="Y",40,0) +
IF(Q431="P",30,0) +
IF(V431="Y",25,0) +
IF(W431="Y",20,0) +
IF(X431="Weaponized",15,IF(X431="PoC Available",10,IF(X431="Public Exploit",5,0))) +
IF(G431="Production",10,IF(G431="DMZ",8,IF(G431="DR/Backup",5,0))) +
IF(Y431="N",10,0)
)</f>
        <v/>
      </c>
      <c r="AA431">
        <f>IF(OR(P431="Y",AND(K431&gt;=9.0,W431="Y")),"P0",IF(Z431&gt;=80,"P0",IF(Z431&gt;=60,"P1",IF(Z431&gt;=40,"P2",IF(Z431&gt;=20,"P3","P4")))))</f>
        <v/>
      </c>
      <c r="AD431">
        <f>IF(AB431&lt;&gt;"",AB431,AA431)</f>
        <v/>
      </c>
      <c r="AE431">
        <f>VLOOKUP(AD431,SLA_Definitions!$A$2:$B$6,2,FALSE)</f>
        <v/>
      </c>
      <c r="AF431">
        <f>IF(B431&lt;&gt;"",WORKDAY(B431,AE431),"")</f>
        <v/>
      </c>
      <c r="AG431">
        <f>IF(AF431&lt;&gt;"",NETWORKDAYS(TODAY(),AF431),"")</f>
        <v/>
      </c>
      <c r="AH431">
        <f>IF(AJ431="Complete","Complete",IF(AG431&lt;0,"Overdue",IF(AG431&lt;=AE431*0.2,"At Risk","On Track")))</f>
        <v/>
      </c>
      <c r="AK431">
        <f>IF(OR(AH431="Overdue",AND(AD431="P0",AG431&lt;1),AND(AD431="P1",AG431&lt;3)),"Y","N")</f>
        <v/>
      </c>
    </row>
    <row r="432">
      <c r="K432">
        <f>IF(J432="v4.0",L432,IF(J432="v3.1",M432,IF(J432="Both",L432,IF(AND(L432&lt;&gt;"",M432=""),L432,M432))))</f>
        <v/>
      </c>
      <c r="Z432">
        <f>MIN(100,
(K432*5) +
(U432*10) +
IF(P432="Y",40,0) +
IF(Q432="P",30,0) +
IF(V432="Y",25,0) +
IF(W432="Y",20,0) +
IF(X432="Weaponized",15,IF(X432="PoC Available",10,IF(X432="Public Exploit",5,0))) +
IF(G432="Production",10,IF(G432="DMZ",8,IF(G432="DR/Backup",5,0))) +
IF(Y432="N",10,0)
)</f>
        <v/>
      </c>
      <c r="AA432">
        <f>IF(OR(P432="Y",AND(K432&gt;=9.0,W432="Y")),"P0",IF(Z432&gt;=80,"P0",IF(Z432&gt;=60,"P1",IF(Z432&gt;=40,"P2",IF(Z432&gt;=20,"P3","P4")))))</f>
        <v/>
      </c>
      <c r="AD432">
        <f>IF(AB432&lt;&gt;"",AB432,AA432)</f>
        <v/>
      </c>
      <c r="AE432">
        <f>VLOOKUP(AD432,SLA_Definitions!$A$2:$B$6,2,FALSE)</f>
        <v/>
      </c>
      <c r="AF432">
        <f>IF(B432&lt;&gt;"",WORKDAY(B432,AE432),"")</f>
        <v/>
      </c>
      <c r="AG432">
        <f>IF(AF432&lt;&gt;"",NETWORKDAYS(TODAY(),AF432),"")</f>
        <v/>
      </c>
      <c r="AH432">
        <f>IF(AJ432="Complete","Complete",IF(AG432&lt;0,"Overdue",IF(AG432&lt;=AE432*0.2,"At Risk","On Track")))</f>
        <v/>
      </c>
      <c r="AK432">
        <f>IF(OR(AH432="Overdue",AND(AD432="P0",AG432&lt;1),AND(AD432="P1",AG432&lt;3)),"Y","N")</f>
        <v/>
      </c>
    </row>
    <row r="433">
      <c r="K433">
        <f>IF(J433="v4.0",L433,IF(J433="v3.1",M433,IF(J433="Both",L433,IF(AND(L433&lt;&gt;"",M433=""),L433,M433))))</f>
        <v/>
      </c>
      <c r="Z433">
        <f>MIN(100,
(K433*5) +
(U433*10) +
IF(P433="Y",40,0) +
IF(Q433="P",30,0) +
IF(V433="Y",25,0) +
IF(W433="Y",20,0) +
IF(X433="Weaponized",15,IF(X433="PoC Available",10,IF(X433="Public Exploit",5,0))) +
IF(G433="Production",10,IF(G433="DMZ",8,IF(G433="DR/Backup",5,0))) +
IF(Y433="N",10,0)
)</f>
        <v/>
      </c>
      <c r="AA433">
        <f>IF(OR(P433="Y",AND(K433&gt;=9.0,W433="Y")),"P0",IF(Z433&gt;=80,"P0",IF(Z433&gt;=60,"P1",IF(Z433&gt;=40,"P2",IF(Z433&gt;=20,"P3","P4")))))</f>
        <v/>
      </c>
      <c r="AD433">
        <f>IF(AB433&lt;&gt;"",AB433,AA433)</f>
        <v/>
      </c>
      <c r="AE433">
        <f>VLOOKUP(AD433,SLA_Definitions!$A$2:$B$6,2,FALSE)</f>
        <v/>
      </c>
      <c r="AF433">
        <f>IF(B433&lt;&gt;"",WORKDAY(B433,AE433),"")</f>
        <v/>
      </c>
      <c r="AG433">
        <f>IF(AF433&lt;&gt;"",NETWORKDAYS(TODAY(),AF433),"")</f>
        <v/>
      </c>
      <c r="AH433">
        <f>IF(AJ433="Complete","Complete",IF(AG433&lt;0,"Overdue",IF(AG433&lt;=AE433*0.2,"At Risk","On Track")))</f>
        <v/>
      </c>
      <c r="AK433">
        <f>IF(OR(AH433="Overdue",AND(AD433="P0",AG433&lt;1),AND(AD433="P1",AG433&lt;3)),"Y","N")</f>
        <v/>
      </c>
    </row>
    <row r="434">
      <c r="K434">
        <f>IF(J434="v4.0",L434,IF(J434="v3.1",M434,IF(J434="Both",L434,IF(AND(L434&lt;&gt;"",M434=""),L434,M434))))</f>
        <v/>
      </c>
      <c r="Z434">
        <f>MIN(100,
(K434*5) +
(U434*10) +
IF(P434="Y",40,0) +
IF(Q434="P",30,0) +
IF(V434="Y",25,0) +
IF(W434="Y",20,0) +
IF(X434="Weaponized",15,IF(X434="PoC Available",10,IF(X434="Public Exploit",5,0))) +
IF(G434="Production",10,IF(G434="DMZ",8,IF(G434="DR/Backup",5,0))) +
IF(Y434="N",10,0)
)</f>
        <v/>
      </c>
      <c r="AA434">
        <f>IF(OR(P434="Y",AND(K434&gt;=9.0,W434="Y")),"P0",IF(Z434&gt;=80,"P0",IF(Z434&gt;=60,"P1",IF(Z434&gt;=40,"P2",IF(Z434&gt;=20,"P3","P4")))))</f>
        <v/>
      </c>
      <c r="AD434">
        <f>IF(AB434&lt;&gt;"",AB434,AA434)</f>
        <v/>
      </c>
      <c r="AE434">
        <f>VLOOKUP(AD434,SLA_Definitions!$A$2:$B$6,2,FALSE)</f>
        <v/>
      </c>
      <c r="AF434">
        <f>IF(B434&lt;&gt;"",WORKDAY(B434,AE434),"")</f>
        <v/>
      </c>
      <c r="AG434">
        <f>IF(AF434&lt;&gt;"",NETWORKDAYS(TODAY(),AF434),"")</f>
        <v/>
      </c>
      <c r="AH434">
        <f>IF(AJ434="Complete","Complete",IF(AG434&lt;0,"Overdue",IF(AG434&lt;=AE434*0.2,"At Risk","On Track")))</f>
        <v/>
      </c>
      <c r="AK434">
        <f>IF(OR(AH434="Overdue",AND(AD434="P0",AG434&lt;1),AND(AD434="P1",AG434&lt;3)),"Y","N")</f>
        <v/>
      </c>
    </row>
    <row r="435">
      <c r="K435">
        <f>IF(J435="v4.0",L435,IF(J435="v3.1",M435,IF(J435="Both",L435,IF(AND(L435&lt;&gt;"",M435=""),L435,M435))))</f>
        <v/>
      </c>
      <c r="Z435">
        <f>MIN(100,
(K435*5) +
(U435*10) +
IF(P435="Y",40,0) +
IF(Q435="P",30,0) +
IF(V435="Y",25,0) +
IF(W435="Y",20,0) +
IF(X435="Weaponized",15,IF(X435="PoC Available",10,IF(X435="Public Exploit",5,0))) +
IF(G435="Production",10,IF(G435="DMZ",8,IF(G435="DR/Backup",5,0))) +
IF(Y435="N",10,0)
)</f>
        <v/>
      </c>
      <c r="AA435">
        <f>IF(OR(P435="Y",AND(K435&gt;=9.0,W435="Y")),"P0",IF(Z435&gt;=80,"P0",IF(Z435&gt;=60,"P1",IF(Z435&gt;=40,"P2",IF(Z435&gt;=20,"P3","P4")))))</f>
        <v/>
      </c>
      <c r="AD435">
        <f>IF(AB435&lt;&gt;"",AB435,AA435)</f>
        <v/>
      </c>
      <c r="AE435">
        <f>VLOOKUP(AD435,SLA_Definitions!$A$2:$B$6,2,FALSE)</f>
        <v/>
      </c>
      <c r="AF435">
        <f>IF(B435&lt;&gt;"",WORKDAY(B435,AE435),"")</f>
        <v/>
      </c>
      <c r="AG435">
        <f>IF(AF435&lt;&gt;"",NETWORKDAYS(TODAY(),AF435),"")</f>
        <v/>
      </c>
      <c r="AH435">
        <f>IF(AJ435="Complete","Complete",IF(AG435&lt;0,"Overdue",IF(AG435&lt;=AE435*0.2,"At Risk","On Track")))</f>
        <v/>
      </c>
      <c r="AK435">
        <f>IF(OR(AH435="Overdue",AND(AD435="P0",AG435&lt;1),AND(AD435="P1",AG435&lt;3)),"Y","N")</f>
        <v/>
      </c>
    </row>
    <row r="436">
      <c r="K436">
        <f>IF(J436="v4.0",L436,IF(J436="v3.1",M436,IF(J436="Both",L436,IF(AND(L436&lt;&gt;"",M436=""),L436,M436))))</f>
        <v/>
      </c>
      <c r="Z436">
        <f>MIN(100,
(K436*5) +
(U436*10) +
IF(P436="Y",40,0) +
IF(Q436="P",30,0) +
IF(V436="Y",25,0) +
IF(W436="Y",20,0) +
IF(X436="Weaponized",15,IF(X436="PoC Available",10,IF(X436="Public Exploit",5,0))) +
IF(G436="Production",10,IF(G436="DMZ",8,IF(G436="DR/Backup",5,0))) +
IF(Y436="N",10,0)
)</f>
        <v/>
      </c>
      <c r="AA436">
        <f>IF(OR(P436="Y",AND(K436&gt;=9.0,W436="Y")),"P0",IF(Z436&gt;=80,"P0",IF(Z436&gt;=60,"P1",IF(Z436&gt;=40,"P2",IF(Z436&gt;=20,"P3","P4")))))</f>
        <v/>
      </c>
      <c r="AD436">
        <f>IF(AB436&lt;&gt;"",AB436,AA436)</f>
        <v/>
      </c>
      <c r="AE436">
        <f>VLOOKUP(AD436,SLA_Definitions!$A$2:$B$6,2,FALSE)</f>
        <v/>
      </c>
      <c r="AF436">
        <f>IF(B436&lt;&gt;"",WORKDAY(B436,AE436),"")</f>
        <v/>
      </c>
      <c r="AG436">
        <f>IF(AF436&lt;&gt;"",NETWORKDAYS(TODAY(),AF436),"")</f>
        <v/>
      </c>
      <c r="AH436">
        <f>IF(AJ436="Complete","Complete",IF(AG436&lt;0,"Overdue",IF(AG436&lt;=AE436*0.2,"At Risk","On Track")))</f>
        <v/>
      </c>
      <c r="AK436">
        <f>IF(OR(AH436="Overdue",AND(AD436="P0",AG436&lt;1),AND(AD436="P1",AG436&lt;3)),"Y","N")</f>
        <v/>
      </c>
    </row>
    <row r="437">
      <c r="K437">
        <f>IF(J437="v4.0",L437,IF(J437="v3.1",M437,IF(J437="Both",L437,IF(AND(L437&lt;&gt;"",M437=""),L437,M437))))</f>
        <v/>
      </c>
      <c r="Z437">
        <f>MIN(100,
(K437*5) +
(U437*10) +
IF(P437="Y",40,0) +
IF(Q437="P",30,0) +
IF(V437="Y",25,0) +
IF(W437="Y",20,0) +
IF(X437="Weaponized",15,IF(X437="PoC Available",10,IF(X437="Public Exploit",5,0))) +
IF(G437="Production",10,IF(G437="DMZ",8,IF(G437="DR/Backup",5,0))) +
IF(Y437="N",10,0)
)</f>
        <v/>
      </c>
      <c r="AA437">
        <f>IF(OR(P437="Y",AND(K437&gt;=9.0,W437="Y")),"P0",IF(Z437&gt;=80,"P0",IF(Z437&gt;=60,"P1",IF(Z437&gt;=40,"P2",IF(Z437&gt;=20,"P3","P4")))))</f>
        <v/>
      </c>
      <c r="AD437">
        <f>IF(AB437&lt;&gt;"",AB437,AA437)</f>
        <v/>
      </c>
      <c r="AE437">
        <f>VLOOKUP(AD437,SLA_Definitions!$A$2:$B$6,2,FALSE)</f>
        <v/>
      </c>
      <c r="AF437">
        <f>IF(B437&lt;&gt;"",WORKDAY(B437,AE437),"")</f>
        <v/>
      </c>
      <c r="AG437">
        <f>IF(AF437&lt;&gt;"",NETWORKDAYS(TODAY(),AF437),"")</f>
        <v/>
      </c>
      <c r="AH437">
        <f>IF(AJ437="Complete","Complete",IF(AG437&lt;0,"Overdue",IF(AG437&lt;=AE437*0.2,"At Risk","On Track")))</f>
        <v/>
      </c>
      <c r="AK437">
        <f>IF(OR(AH437="Overdue",AND(AD437="P0",AG437&lt;1),AND(AD437="P1",AG437&lt;3)),"Y","N")</f>
        <v/>
      </c>
    </row>
    <row r="438">
      <c r="K438">
        <f>IF(J438="v4.0",L438,IF(J438="v3.1",M438,IF(J438="Both",L438,IF(AND(L438&lt;&gt;"",M438=""),L438,M438))))</f>
        <v/>
      </c>
      <c r="Z438">
        <f>MIN(100,
(K438*5) +
(U438*10) +
IF(P438="Y",40,0) +
IF(Q438="P",30,0) +
IF(V438="Y",25,0) +
IF(W438="Y",20,0) +
IF(X438="Weaponized",15,IF(X438="PoC Available",10,IF(X438="Public Exploit",5,0))) +
IF(G438="Production",10,IF(G438="DMZ",8,IF(G438="DR/Backup",5,0))) +
IF(Y438="N",10,0)
)</f>
        <v/>
      </c>
      <c r="AA438">
        <f>IF(OR(P438="Y",AND(K438&gt;=9.0,W438="Y")),"P0",IF(Z438&gt;=80,"P0",IF(Z438&gt;=60,"P1",IF(Z438&gt;=40,"P2",IF(Z438&gt;=20,"P3","P4")))))</f>
        <v/>
      </c>
      <c r="AD438">
        <f>IF(AB438&lt;&gt;"",AB438,AA438)</f>
        <v/>
      </c>
      <c r="AE438">
        <f>VLOOKUP(AD438,SLA_Definitions!$A$2:$B$6,2,FALSE)</f>
        <v/>
      </c>
      <c r="AF438">
        <f>IF(B438&lt;&gt;"",WORKDAY(B438,AE438),"")</f>
        <v/>
      </c>
      <c r="AG438">
        <f>IF(AF438&lt;&gt;"",NETWORKDAYS(TODAY(),AF438),"")</f>
        <v/>
      </c>
      <c r="AH438">
        <f>IF(AJ438="Complete","Complete",IF(AG438&lt;0,"Overdue",IF(AG438&lt;=AE438*0.2,"At Risk","On Track")))</f>
        <v/>
      </c>
      <c r="AK438">
        <f>IF(OR(AH438="Overdue",AND(AD438="P0",AG438&lt;1),AND(AD438="P1",AG438&lt;3)),"Y","N")</f>
        <v/>
      </c>
    </row>
    <row r="439">
      <c r="K439">
        <f>IF(J439="v4.0",L439,IF(J439="v3.1",M439,IF(J439="Both",L439,IF(AND(L439&lt;&gt;"",M439=""),L439,M439))))</f>
        <v/>
      </c>
      <c r="Z439">
        <f>MIN(100,
(K439*5) +
(U439*10) +
IF(P439="Y",40,0) +
IF(Q439="P",30,0) +
IF(V439="Y",25,0) +
IF(W439="Y",20,0) +
IF(X439="Weaponized",15,IF(X439="PoC Available",10,IF(X439="Public Exploit",5,0))) +
IF(G439="Production",10,IF(G439="DMZ",8,IF(G439="DR/Backup",5,0))) +
IF(Y439="N",10,0)
)</f>
        <v/>
      </c>
      <c r="AA439">
        <f>IF(OR(P439="Y",AND(K439&gt;=9.0,W439="Y")),"P0",IF(Z439&gt;=80,"P0",IF(Z439&gt;=60,"P1",IF(Z439&gt;=40,"P2",IF(Z439&gt;=20,"P3","P4")))))</f>
        <v/>
      </c>
      <c r="AD439">
        <f>IF(AB439&lt;&gt;"",AB439,AA439)</f>
        <v/>
      </c>
      <c r="AE439">
        <f>VLOOKUP(AD439,SLA_Definitions!$A$2:$B$6,2,FALSE)</f>
        <v/>
      </c>
      <c r="AF439">
        <f>IF(B439&lt;&gt;"",WORKDAY(B439,AE439),"")</f>
        <v/>
      </c>
      <c r="AG439">
        <f>IF(AF439&lt;&gt;"",NETWORKDAYS(TODAY(),AF439),"")</f>
        <v/>
      </c>
      <c r="AH439">
        <f>IF(AJ439="Complete","Complete",IF(AG439&lt;0,"Overdue",IF(AG439&lt;=AE439*0.2,"At Risk","On Track")))</f>
        <v/>
      </c>
      <c r="AK439">
        <f>IF(OR(AH439="Overdue",AND(AD439="P0",AG439&lt;1),AND(AD439="P1",AG439&lt;3)),"Y","N")</f>
        <v/>
      </c>
    </row>
    <row r="440">
      <c r="K440">
        <f>IF(J440="v4.0",L440,IF(J440="v3.1",M440,IF(J440="Both",L440,IF(AND(L440&lt;&gt;"",M440=""),L440,M440))))</f>
        <v/>
      </c>
      <c r="Z440">
        <f>MIN(100,
(K440*5) +
(U440*10) +
IF(P440="Y",40,0) +
IF(Q440="P",30,0) +
IF(V440="Y",25,0) +
IF(W440="Y",20,0) +
IF(X440="Weaponized",15,IF(X440="PoC Available",10,IF(X440="Public Exploit",5,0))) +
IF(G440="Production",10,IF(G440="DMZ",8,IF(G440="DR/Backup",5,0))) +
IF(Y440="N",10,0)
)</f>
        <v/>
      </c>
      <c r="AA440">
        <f>IF(OR(P440="Y",AND(K440&gt;=9.0,W440="Y")),"P0",IF(Z440&gt;=80,"P0",IF(Z440&gt;=60,"P1",IF(Z440&gt;=40,"P2",IF(Z440&gt;=20,"P3","P4")))))</f>
        <v/>
      </c>
      <c r="AD440">
        <f>IF(AB440&lt;&gt;"",AB440,AA440)</f>
        <v/>
      </c>
      <c r="AE440">
        <f>VLOOKUP(AD440,SLA_Definitions!$A$2:$B$6,2,FALSE)</f>
        <v/>
      </c>
      <c r="AF440">
        <f>IF(B440&lt;&gt;"",WORKDAY(B440,AE440),"")</f>
        <v/>
      </c>
      <c r="AG440">
        <f>IF(AF440&lt;&gt;"",NETWORKDAYS(TODAY(),AF440),"")</f>
        <v/>
      </c>
      <c r="AH440">
        <f>IF(AJ440="Complete","Complete",IF(AG440&lt;0,"Overdue",IF(AG440&lt;=AE440*0.2,"At Risk","On Track")))</f>
        <v/>
      </c>
      <c r="AK440">
        <f>IF(OR(AH440="Overdue",AND(AD440="P0",AG440&lt;1),AND(AD440="P1",AG440&lt;3)),"Y","N")</f>
        <v/>
      </c>
    </row>
    <row r="441">
      <c r="K441">
        <f>IF(J441="v4.0",L441,IF(J441="v3.1",M441,IF(J441="Both",L441,IF(AND(L441&lt;&gt;"",M441=""),L441,M441))))</f>
        <v/>
      </c>
      <c r="Z441">
        <f>MIN(100,
(K441*5) +
(U441*10) +
IF(P441="Y",40,0) +
IF(Q441="P",30,0) +
IF(V441="Y",25,0) +
IF(W441="Y",20,0) +
IF(X441="Weaponized",15,IF(X441="PoC Available",10,IF(X441="Public Exploit",5,0))) +
IF(G441="Production",10,IF(G441="DMZ",8,IF(G441="DR/Backup",5,0))) +
IF(Y441="N",10,0)
)</f>
        <v/>
      </c>
      <c r="AA441">
        <f>IF(OR(P441="Y",AND(K441&gt;=9.0,W441="Y")),"P0",IF(Z441&gt;=80,"P0",IF(Z441&gt;=60,"P1",IF(Z441&gt;=40,"P2",IF(Z441&gt;=20,"P3","P4")))))</f>
        <v/>
      </c>
      <c r="AD441">
        <f>IF(AB441&lt;&gt;"",AB441,AA441)</f>
        <v/>
      </c>
      <c r="AE441">
        <f>VLOOKUP(AD441,SLA_Definitions!$A$2:$B$6,2,FALSE)</f>
        <v/>
      </c>
      <c r="AF441">
        <f>IF(B441&lt;&gt;"",WORKDAY(B441,AE441),"")</f>
        <v/>
      </c>
      <c r="AG441">
        <f>IF(AF441&lt;&gt;"",NETWORKDAYS(TODAY(),AF441),"")</f>
        <v/>
      </c>
      <c r="AH441">
        <f>IF(AJ441="Complete","Complete",IF(AG441&lt;0,"Overdue",IF(AG441&lt;=AE441*0.2,"At Risk","On Track")))</f>
        <v/>
      </c>
      <c r="AK441">
        <f>IF(OR(AH441="Overdue",AND(AD441="P0",AG441&lt;1),AND(AD441="P1",AG441&lt;3)),"Y","N")</f>
        <v/>
      </c>
    </row>
    <row r="442">
      <c r="K442">
        <f>IF(J442="v4.0",L442,IF(J442="v3.1",M442,IF(J442="Both",L442,IF(AND(L442&lt;&gt;"",M442=""),L442,M442))))</f>
        <v/>
      </c>
      <c r="Z442">
        <f>MIN(100,
(K442*5) +
(U442*10) +
IF(P442="Y",40,0) +
IF(Q442="P",30,0) +
IF(V442="Y",25,0) +
IF(W442="Y",20,0) +
IF(X442="Weaponized",15,IF(X442="PoC Available",10,IF(X442="Public Exploit",5,0))) +
IF(G442="Production",10,IF(G442="DMZ",8,IF(G442="DR/Backup",5,0))) +
IF(Y442="N",10,0)
)</f>
        <v/>
      </c>
      <c r="AA442">
        <f>IF(OR(P442="Y",AND(K442&gt;=9.0,W442="Y")),"P0",IF(Z442&gt;=80,"P0",IF(Z442&gt;=60,"P1",IF(Z442&gt;=40,"P2",IF(Z442&gt;=20,"P3","P4")))))</f>
        <v/>
      </c>
      <c r="AD442">
        <f>IF(AB442&lt;&gt;"",AB442,AA442)</f>
        <v/>
      </c>
      <c r="AE442">
        <f>VLOOKUP(AD442,SLA_Definitions!$A$2:$B$6,2,FALSE)</f>
        <v/>
      </c>
      <c r="AF442">
        <f>IF(B442&lt;&gt;"",WORKDAY(B442,AE442),"")</f>
        <v/>
      </c>
      <c r="AG442">
        <f>IF(AF442&lt;&gt;"",NETWORKDAYS(TODAY(),AF442),"")</f>
        <v/>
      </c>
      <c r="AH442">
        <f>IF(AJ442="Complete","Complete",IF(AG442&lt;0,"Overdue",IF(AG442&lt;=AE442*0.2,"At Risk","On Track")))</f>
        <v/>
      </c>
      <c r="AK442">
        <f>IF(OR(AH442="Overdue",AND(AD442="P0",AG442&lt;1),AND(AD442="P1",AG442&lt;3)),"Y","N")</f>
        <v/>
      </c>
    </row>
    <row r="443">
      <c r="K443">
        <f>IF(J443="v4.0",L443,IF(J443="v3.1",M443,IF(J443="Both",L443,IF(AND(L443&lt;&gt;"",M443=""),L443,M443))))</f>
        <v/>
      </c>
      <c r="Z443">
        <f>MIN(100,
(K443*5) +
(U443*10) +
IF(P443="Y",40,0) +
IF(Q443="P",30,0) +
IF(V443="Y",25,0) +
IF(W443="Y",20,0) +
IF(X443="Weaponized",15,IF(X443="PoC Available",10,IF(X443="Public Exploit",5,0))) +
IF(G443="Production",10,IF(G443="DMZ",8,IF(G443="DR/Backup",5,0))) +
IF(Y443="N",10,0)
)</f>
        <v/>
      </c>
      <c r="AA443">
        <f>IF(OR(P443="Y",AND(K443&gt;=9.0,W443="Y")),"P0",IF(Z443&gt;=80,"P0",IF(Z443&gt;=60,"P1",IF(Z443&gt;=40,"P2",IF(Z443&gt;=20,"P3","P4")))))</f>
        <v/>
      </c>
      <c r="AD443">
        <f>IF(AB443&lt;&gt;"",AB443,AA443)</f>
        <v/>
      </c>
      <c r="AE443">
        <f>VLOOKUP(AD443,SLA_Definitions!$A$2:$B$6,2,FALSE)</f>
        <v/>
      </c>
      <c r="AF443">
        <f>IF(B443&lt;&gt;"",WORKDAY(B443,AE443),"")</f>
        <v/>
      </c>
      <c r="AG443">
        <f>IF(AF443&lt;&gt;"",NETWORKDAYS(TODAY(),AF443),"")</f>
        <v/>
      </c>
      <c r="AH443">
        <f>IF(AJ443="Complete","Complete",IF(AG443&lt;0,"Overdue",IF(AG443&lt;=AE443*0.2,"At Risk","On Track")))</f>
        <v/>
      </c>
      <c r="AK443">
        <f>IF(OR(AH443="Overdue",AND(AD443="P0",AG443&lt;1),AND(AD443="P1",AG443&lt;3)),"Y","N")</f>
        <v/>
      </c>
    </row>
    <row r="444">
      <c r="K444">
        <f>IF(J444="v4.0",L444,IF(J444="v3.1",M444,IF(J444="Both",L444,IF(AND(L444&lt;&gt;"",M444=""),L444,M444))))</f>
        <v/>
      </c>
      <c r="Z444">
        <f>MIN(100,
(K444*5) +
(U444*10) +
IF(P444="Y",40,0) +
IF(Q444="P",30,0) +
IF(V444="Y",25,0) +
IF(W444="Y",20,0) +
IF(X444="Weaponized",15,IF(X444="PoC Available",10,IF(X444="Public Exploit",5,0))) +
IF(G444="Production",10,IF(G444="DMZ",8,IF(G444="DR/Backup",5,0))) +
IF(Y444="N",10,0)
)</f>
        <v/>
      </c>
      <c r="AA444">
        <f>IF(OR(P444="Y",AND(K444&gt;=9.0,W444="Y")),"P0",IF(Z444&gt;=80,"P0",IF(Z444&gt;=60,"P1",IF(Z444&gt;=40,"P2",IF(Z444&gt;=20,"P3","P4")))))</f>
        <v/>
      </c>
      <c r="AD444">
        <f>IF(AB444&lt;&gt;"",AB444,AA444)</f>
        <v/>
      </c>
      <c r="AE444">
        <f>VLOOKUP(AD444,SLA_Definitions!$A$2:$B$6,2,FALSE)</f>
        <v/>
      </c>
      <c r="AF444">
        <f>IF(B444&lt;&gt;"",WORKDAY(B444,AE444),"")</f>
        <v/>
      </c>
      <c r="AG444">
        <f>IF(AF444&lt;&gt;"",NETWORKDAYS(TODAY(),AF444),"")</f>
        <v/>
      </c>
      <c r="AH444">
        <f>IF(AJ444="Complete","Complete",IF(AG444&lt;0,"Overdue",IF(AG444&lt;=AE444*0.2,"At Risk","On Track")))</f>
        <v/>
      </c>
      <c r="AK444">
        <f>IF(OR(AH444="Overdue",AND(AD444="P0",AG444&lt;1),AND(AD444="P1",AG444&lt;3)),"Y","N")</f>
        <v/>
      </c>
    </row>
    <row r="445">
      <c r="K445">
        <f>IF(J445="v4.0",L445,IF(J445="v3.1",M445,IF(J445="Both",L445,IF(AND(L445&lt;&gt;"",M445=""),L445,M445))))</f>
        <v/>
      </c>
      <c r="Z445">
        <f>MIN(100,
(K445*5) +
(U445*10) +
IF(P445="Y",40,0) +
IF(Q445="P",30,0) +
IF(V445="Y",25,0) +
IF(W445="Y",20,0) +
IF(X445="Weaponized",15,IF(X445="PoC Available",10,IF(X445="Public Exploit",5,0))) +
IF(G445="Production",10,IF(G445="DMZ",8,IF(G445="DR/Backup",5,0))) +
IF(Y445="N",10,0)
)</f>
        <v/>
      </c>
      <c r="AA445">
        <f>IF(OR(P445="Y",AND(K445&gt;=9.0,W445="Y")),"P0",IF(Z445&gt;=80,"P0",IF(Z445&gt;=60,"P1",IF(Z445&gt;=40,"P2",IF(Z445&gt;=20,"P3","P4")))))</f>
        <v/>
      </c>
      <c r="AD445">
        <f>IF(AB445&lt;&gt;"",AB445,AA445)</f>
        <v/>
      </c>
      <c r="AE445">
        <f>VLOOKUP(AD445,SLA_Definitions!$A$2:$B$6,2,FALSE)</f>
        <v/>
      </c>
      <c r="AF445">
        <f>IF(B445&lt;&gt;"",WORKDAY(B445,AE445),"")</f>
        <v/>
      </c>
      <c r="AG445">
        <f>IF(AF445&lt;&gt;"",NETWORKDAYS(TODAY(),AF445),"")</f>
        <v/>
      </c>
      <c r="AH445">
        <f>IF(AJ445="Complete","Complete",IF(AG445&lt;0,"Overdue",IF(AG445&lt;=AE445*0.2,"At Risk","On Track")))</f>
        <v/>
      </c>
      <c r="AK445">
        <f>IF(OR(AH445="Overdue",AND(AD445="P0",AG445&lt;1),AND(AD445="P1",AG445&lt;3)),"Y","N")</f>
        <v/>
      </c>
    </row>
    <row r="446">
      <c r="K446">
        <f>IF(J446="v4.0",L446,IF(J446="v3.1",M446,IF(J446="Both",L446,IF(AND(L446&lt;&gt;"",M446=""),L446,M446))))</f>
        <v/>
      </c>
      <c r="Z446">
        <f>MIN(100,
(K446*5) +
(U446*10) +
IF(P446="Y",40,0) +
IF(Q446="P",30,0) +
IF(V446="Y",25,0) +
IF(W446="Y",20,0) +
IF(X446="Weaponized",15,IF(X446="PoC Available",10,IF(X446="Public Exploit",5,0))) +
IF(G446="Production",10,IF(G446="DMZ",8,IF(G446="DR/Backup",5,0))) +
IF(Y446="N",10,0)
)</f>
        <v/>
      </c>
      <c r="AA446">
        <f>IF(OR(P446="Y",AND(K446&gt;=9.0,W446="Y")),"P0",IF(Z446&gt;=80,"P0",IF(Z446&gt;=60,"P1",IF(Z446&gt;=40,"P2",IF(Z446&gt;=20,"P3","P4")))))</f>
        <v/>
      </c>
      <c r="AD446">
        <f>IF(AB446&lt;&gt;"",AB446,AA446)</f>
        <v/>
      </c>
      <c r="AE446">
        <f>VLOOKUP(AD446,SLA_Definitions!$A$2:$B$6,2,FALSE)</f>
        <v/>
      </c>
      <c r="AF446">
        <f>IF(B446&lt;&gt;"",WORKDAY(B446,AE446),"")</f>
        <v/>
      </c>
      <c r="AG446">
        <f>IF(AF446&lt;&gt;"",NETWORKDAYS(TODAY(),AF446),"")</f>
        <v/>
      </c>
      <c r="AH446">
        <f>IF(AJ446="Complete","Complete",IF(AG446&lt;0,"Overdue",IF(AG446&lt;=AE446*0.2,"At Risk","On Track")))</f>
        <v/>
      </c>
      <c r="AK446">
        <f>IF(OR(AH446="Overdue",AND(AD446="P0",AG446&lt;1),AND(AD446="P1",AG446&lt;3)),"Y","N")</f>
        <v/>
      </c>
    </row>
    <row r="447">
      <c r="K447">
        <f>IF(J447="v4.0",L447,IF(J447="v3.1",M447,IF(J447="Both",L447,IF(AND(L447&lt;&gt;"",M447=""),L447,M447))))</f>
        <v/>
      </c>
      <c r="Z447">
        <f>MIN(100,
(K447*5) +
(U447*10) +
IF(P447="Y",40,0) +
IF(Q447="P",30,0) +
IF(V447="Y",25,0) +
IF(W447="Y",20,0) +
IF(X447="Weaponized",15,IF(X447="PoC Available",10,IF(X447="Public Exploit",5,0))) +
IF(G447="Production",10,IF(G447="DMZ",8,IF(G447="DR/Backup",5,0))) +
IF(Y447="N",10,0)
)</f>
        <v/>
      </c>
      <c r="AA447">
        <f>IF(OR(P447="Y",AND(K447&gt;=9.0,W447="Y")),"P0",IF(Z447&gt;=80,"P0",IF(Z447&gt;=60,"P1",IF(Z447&gt;=40,"P2",IF(Z447&gt;=20,"P3","P4")))))</f>
        <v/>
      </c>
      <c r="AD447">
        <f>IF(AB447&lt;&gt;"",AB447,AA447)</f>
        <v/>
      </c>
      <c r="AE447">
        <f>VLOOKUP(AD447,SLA_Definitions!$A$2:$B$6,2,FALSE)</f>
        <v/>
      </c>
      <c r="AF447">
        <f>IF(B447&lt;&gt;"",WORKDAY(B447,AE447),"")</f>
        <v/>
      </c>
      <c r="AG447">
        <f>IF(AF447&lt;&gt;"",NETWORKDAYS(TODAY(),AF447),"")</f>
        <v/>
      </c>
      <c r="AH447">
        <f>IF(AJ447="Complete","Complete",IF(AG447&lt;0,"Overdue",IF(AG447&lt;=AE447*0.2,"At Risk","On Track")))</f>
        <v/>
      </c>
      <c r="AK447">
        <f>IF(OR(AH447="Overdue",AND(AD447="P0",AG447&lt;1),AND(AD447="P1",AG447&lt;3)),"Y","N")</f>
        <v/>
      </c>
    </row>
    <row r="448">
      <c r="K448">
        <f>IF(J448="v4.0",L448,IF(J448="v3.1",M448,IF(J448="Both",L448,IF(AND(L448&lt;&gt;"",M448=""),L448,M448))))</f>
        <v/>
      </c>
      <c r="Z448">
        <f>MIN(100,
(K448*5) +
(U448*10) +
IF(P448="Y",40,0) +
IF(Q448="P",30,0) +
IF(V448="Y",25,0) +
IF(W448="Y",20,0) +
IF(X448="Weaponized",15,IF(X448="PoC Available",10,IF(X448="Public Exploit",5,0))) +
IF(G448="Production",10,IF(G448="DMZ",8,IF(G448="DR/Backup",5,0))) +
IF(Y448="N",10,0)
)</f>
        <v/>
      </c>
      <c r="AA448">
        <f>IF(OR(P448="Y",AND(K448&gt;=9.0,W448="Y")),"P0",IF(Z448&gt;=80,"P0",IF(Z448&gt;=60,"P1",IF(Z448&gt;=40,"P2",IF(Z448&gt;=20,"P3","P4")))))</f>
        <v/>
      </c>
      <c r="AD448">
        <f>IF(AB448&lt;&gt;"",AB448,AA448)</f>
        <v/>
      </c>
      <c r="AE448">
        <f>VLOOKUP(AD448,SLA_Definitions!$A$2:$B$6,2,FALSE)</f>
        <v/>
      </c>
      <c r="AF448">
        <f>IF(B448&lt;&gt;"",WORKDAY(B448,AE448),"")</f>
        <v/>
      </c>
      <c r="AG448">
        <f>IF(AF448&lt;&gt;"",NETWORKDAYS(TODAY(),AF448),"")</f>
        <v/>
      </c>
      <c r="AH448">
        <f>IF(AJ448="Complete","Complete",IF(AG448&lt;0,"Overdue",IF(AG448&lt;=AE448*0.2,"At Risk","On Track")))</f>
        <v/>
      </c>
      <c r="AK448">
        <f>IF(OR(AH448="Overdue",AND(AD448="P0",AG448&lt;1),AND(AD448="P1",AG448&lt;3)),"Y","N")</f>
        <v/>
      </c>
    </row>
    <row r="449">
      <c r="K449">
        <f>IF(J449="v4.0",L449,IF(J449="v3.1",M449,IF(J449="Both",L449,IF(AND(L449&lt;&gt;"",M449=""),L449,M449))))</f>
        <v/>
      </c>
      <c r="Z449">
        <f>MIN(100,
(K449*5) +
(U449*10) +
IF(P449="Y",40,0) +
IF(Q449="P",30,0) +
IF(V449="Y",25,0) +
IF(W449="Y",20,0) +
IF(X449="Weaponized",15,IF(X449="PoC Available",10,IF(X449="Public Exploit",5,0))) +
IF(G449="Production",10,IF(G449="DMZ",8,IF(G449="DR/Backup",5,0))) +
IF(Y449="N",10,0)
)</f>
        <v/>
      </c>
      <c r="AA449">
        <f>IF(OR(P449="Y",AND(K449&gt;=9.0,W449="Y")),"P0",IF(Z449&gt;=80,"P0",IF(Z449&gt;=60,"P1",IF(Z449&gt;=40,"P2",IF(Z449&gt;=20,"P3","P4")))))</f>
        <v/>
      </c>
      <c r="AD449">
        <f>IF(AB449&lt;&gt;"",AB449,AA449)</f>
        <v/>
      </c>
      <c r="AE449">
        <f>VLOOKUP(AD449,SLA_Definitions!$A$2:$B$6,2,FALSE)</f>
        <v/>
      </c>
      <c r="AF449">
        <f>IF(B449&lt;&gt;"",WORKDAY(B449,AE449),"")</f>
        <v/>
      </c>
      <c r="AG449">
        <f>IF(AF449&lt;&gt;"",NETWORKDAYS(TODAY(),AF449),"")</f>
        <v/>
      </c>
      <c r="AH449">
        <f>IF(AJ449="Complete","Complete",IF(AG449&lt;0,"Overdue",IF(AG449&lt;=AE449*0.2,"At Risk","On Track")))</f>
        <v/>
      </c>
      <c r="AK449">
        <f>IF(OR(AH449="Overdue",AND(AD449="P0",AG449&lt;1),AND(AD449="P1",AG449&lt;3)),"Y","N")</f>
        <v/>
      </c>
    </row>
    <row r="450">
      <c r="K450">
        <f>IF(J450="v4.0",L450,IF(J450="v3.1",M450,IF(J450="Both",L450,IF(AND(L450&lt;&gt;"",M450=""),L450,M450))))</f>
        <v/>
      </c>
      <c r="Z450">
        <f>MIN(100,
(K450*5) +
(U450*10) +
IF(P450="Y",40,0) +
IF(Q450="P",30,0) +
IF(V450="Y",25,0) +
IF(W450="Y",20,0) +
IF(X450="Weaponized",15,IF(X450="PoC Available",10,IF(X450="Public Exploit",5,0))) +
IF(G450="Production",10,IF(G450="DMZ",8,IF(G450="DR/Backup",5,0))) +
IF(Y450="N",10,0)
)</f>
        <v/>
      </c>
      <c r="AA450">
        <f>IF(OR(P450="Y",AND(K450&gt;=9.0,W450="Y")),"P0",IF(Z450&gt;=80,"P0",IF(Z450&gt;=60,"P1",IF(Z450&gt;=40,"P2",IF(Z450&gt;=20,"P3","P4")))))</f>
        <v/>
      </c>
      <c r="AD450">
        <f>IF(AB450&lt;&gt;"",AB450,AA450)</f>
        <v/>
      </c>
      <c r="AE450">
        <f>VLOOKUP(AD450,SLA_Definitions!$A$2:$B$6,2,FALSE)</f>
        <v/>
      </c>
      <c r="AF450">
        <f>IF(B450&lt;&gt;"",WORKDAY(B450,AE450),"")</f>
        <v/>
      </c>
      <c r="AG450">
        <f>IF(AF450&lt;&gt;"",NETWORKDAYS(TODAY(),AF450),"")</f>
        <v/>
      </c>
      <c r="AH450">
        <f>IF(AJ450="Complete","Complete",IF(AG450&lt;0,"Overdue",IF(AG450&lt;=AE450*0.2,"At Risk","On Track")))</f>
        <v/>
      </c>
      <c r="AK450">
        <f>IF(OR(AH450="Overdue",AND(AD450="P0",AG450&lt;1),AND(AD450="P1",AG450&lt;3)),"Y","N")</f>
        <v/>
      </c>
    </row>
    <row r="451">
      <c r="K451">
        <f>IF(J451="v4.0",L451,IF(J451="v3.1",M451,IF(J451="Both",L451,IF(AND(L451&lt;&gt;"",M451=""),L451,M451))))</f>
        <v/>
      </c>
      <c r="Z451">
        <f>MIN(100,
(K451*5) +
(U451*10) +
IF(P451="Y",40,0) +
IF(Q451="P",30,0) +
IF(V451="Y",25,0) +
IF(W451="Y",20,0) +
IF(X451="Weaponized",15,IF(X451="PoC Available",10,IF(X451="Public Exploit",5,0))) +
IF(G451="Production",10,IF(G451="DMZ",8,IF(G451="DR/Backup",5,0))) +
IF(Y451="N",10,0)
)</f>
        <v/>
      </c>
      <c r="AA451">
        <f>IF(OR(P451="Y",AND(K451&gt;=9.0,W451="Y")),"P0",IF(Z451&gt;=80,"P0",IF(Z451&gt;=60,"P1",IF(Z451&gt;=40,"P2",IF(Z451&gt;=20,"P3","P4")))))</f>
        <v/>
      </c>
      <c r="AD451">
        <f>IF(AB451&lt;&gt;"",AB451,AA451)</f>
        <v/>
      </c>
      <c r="AE451">
        <f>VLOOKUP(AD451,SLA_Definitions!$A$2:$B$6,2,FALSE)</f>
        <v/>
      </c>
      <c r="AF451">
        <f>IF(B451&lt;&gt;"",WORKDAY(B451,AE451),"")</f>
        <v/>
      </c>
      <c r="AG451">
        <f>IF(AF451&lt;&gt;"",NETWORKDAYS(TODAY(),AF451),"")</f>
        <v/>
      </c>
      <c r="AH451">
        <f>IF(AJ451="Complete","Complete",IF(AG451&lt;0,"Overdue",IF(AG451&lt;=AE451*0.2,"At Risk","On Track")))</f>
        <v/>
      </c>
      <c r="AK451">
        <f>IF(OR(AH451="Overdue",AND(AD451="P0",AG451&lt;1),AND(AD451="P1",AG451&lt;3)),"Y","N")</f>
        <v/>
      </c>
    </row>
    <row r="452">
      <c r="K452">
        <f>IF(J452="v4.0",L452,IF(J452="v3.1",M452,IF(J452="Both",L452,IF(AND(L452&lt;&gt;"",M452=""),L452,M452))))</f>
        <v/>
      </c>
      <c r="Z452">
        <f>MIN(100,
(K452*5) +
(U452*10) +
IF(P452="Y",40,0) +
IF(Q452="P",30,0) +
IF(V452="Y",25,0) +
IF(W452="Y",20,0) +
IF(X452="Weaponized",15,IF(X452="PoC Available",10,IF(X452="Public Exploit",5,0))) +
IF(G452="Production",10,IF(G452="DMZ",8,IF(G452="DR/Backup",5,0))) +
IF(Y452="N",10,0)
)</f>
        <v/>
      </c>
      <c r="AA452">
        <f>IF(OR(P452="Y",AND(K452&gt;=9.0,W452="Y")),"P0",IF(Z452&gt;=80,"P0",IF(Z452&gt;=60,"P1",IF(Z452&gt;=40,"P2",IF(Z452&gt;=20,"P3","P4")))))</f>
        <v/>
      </c>
      <c r="AD452">
        <f>IF(AB452&lt;&gt;"",AB452,AA452)</f>
        <v/>
      </c>
      <c r="AE452">
        <f>VLOOKUP(AD452,SLA_Definitions!$A$2:$B$6,2,FALSE)</f>
        <v/>
      </c>
      <c r="AF452">
        <f>IF(B452&lt;&gt;"",WORKDAY(B452,AE452),"")</f>
        <v/>
      </c>
      <c r="AG452">
        <f>IF(AF452&lt;&gt;"",NETWORKDAYS(TODAY(),AF452),"")</f>
        <v/>
      </c>
      <c r="AH452">
        <f>IF(AJ452="Complete","Complete",IF(AG452&lt;0,"Overdue",IF(AG452&lt;=AE452*0.2,"At Risk","On Track")))</f>
        <v/>
      </c>
      <c r="AK452">
        <f>IF(OR(AH452="Overdue",AND(AD452="P0",AG452&lt;1),AND(AD452="P1",AG452&lt;3)),"Y","N")</f>
        <v/>
      </c>
    </row>
    <row r="453">
      <c r="K453">
        <f>IF(J453="v4.0",L453,IF(J453="v3.1",M453,IF(J453="Both",L453,IF(AND(L453&lt;&gt;"",M453=""),L453,M453))))</f>
        <v/>
      </c>
      <c r="Z453">
        <f>MIN(100,
(K453*5) +
(U453*10) +
IF(P453="Y",40,0) +
IF(Q453="P",30,0) +
IF(V453="Y",25,0) +
IF(W453="Y",20,0) +
IF(X453="Weaponized",15,IF(X453="PoC Available",10,IF(X453="Public Exploit",5,0))) +
IF(G453="Production",10,IF(G453="DMZ",8,IF(G453="DR/Backup",5,0))) +
IF(Y453="N",10,0)
)</f>
        <v/>
      </c>
      <c r="AA453">
        <f>IF(OR(P453="Y",AND(K453&gt;=9.0,W453="Y")),"P0",IF(Z453&gt;=80,"P0",IF(Z453&gt;=60,"P1",IF(Z453&gt;=40,"P2",IF(Z453&gt;=20,"P3","P4")))))</f>
        <v/>
      </c>
      <c r="AD453">
        <f>IF(AB453&lt;&gt;"",AB453,AA453)</f>
        <v/>
      </c>
      <c r="AE453">
        <f>VLOOKUP(AD453,SLA_Definitions!$A$2:$B$6,2,FALSE)</f>
        <v/>
      </c>
      <c r="AF453">
        <f>IF(B453&lt;&gt;"",WORKDAY(B453,AE453),"")</f>
        <v/>
      </c>
      <c r="AG453">
        <f>IF(AF453&lt;&gt;"",NETWORKDAYS(TODAY(),AF453),"")</f>
        <v/>
      </c>
      <c r="AH453">
        <f>IF(AJ453="Complete","Complete",IF(AG453&lt;0,"Overdue",IF(AG453&lt;=AE453*0.2,"At Risk","On Track")))</f>
        <v/>
      </c>
      <c r="AK453">
        <f>IF(OR(AH453="Overdue",AND(AD453="P0",AG453&lt;1),AND(AD453="P1",AG453&lt;3)),"Y","N")</f>
        <v/>
      </c>
    </row>
    <row r="454">
      <c r="K454">
        <f>IF(J454="v4.0",L454,IF(J454="v3.1",M454,IF(J454="Both",L454,IF(AND(L454&lt;&gt;"",M454=""),L454,M454))))</f>
        <v/>
      </c>
      <c r="Z454">
        <f>MIN(100,
(K454*5) +
(U454*10) +
IF(P454="Y",40,0) +
IF(Q454="P",30,0) +
IF(V454="Y",25,0) +
IF(W454="Y",20,0) +
IF(X454="Weaponized",15,IF(X454="PoC Available",10,IF(X454="Public Exploit",5,0))) +
IF(G454="Production",10,IF(G454="DMZ",8,IF(G454="DR/Backup",5,0))) +
IF(Y454="N",10,0)
)</f>
        <v/>
      </c>
      <c r="AA454">
        <f>IF(OR(P454="Y",AND(K454&gt;=9.0,W454="Y")),"P0",IF(Z454&gt;=80,"P0",IF(Z454&gt;=60,"P1",IF(Z454&gt;=40,"P2",IF(Z454&gt;=20,"P3","P4")))))</f>
        <v/>
      </c>
      <c r="AD454">
        <f>IF(AB454&lt;&gt;"",AB454,AA454)</f>
        <v/>
      </c>
      <c r="AE454">
        <f>VLOOKUP(AD454,SLA_Definitions!$A$2:$B$6,2,FALSE)</f>
        <v/>
      </c>
      <c r="AF454">
        <f>IF(B454&lt;&gt;"",WORKDAY(B454,AE454),"")</f>
        <v/>
      </c>
      <c r="AG454">
        <f>IF(AF454&lt;&gt;"",NETWORKDAYS(TODAY(),AF454),"")</f>
        <v/>
      </c>
      <c r="AH454">
        <f>IF(AJ454="Complete","Complete",IF(AG454&lt;0,"Overdue",IF(AG454&lt;=AE454*0.2,"At Risk","On Track")))</f>
        <v/>
      </c>
      <c r="AK454">
        <f>IF(OR(AH454="Overdue",AND(AD454="P0",AG454&lt;1),AND(AD454="P1",AG454&lt;3)),"Y","N")</f>
        <v/>
      </c>
    </row>
    <row r="455">
      <c r="K455">
        <f>IF(J455="v4.0",L455,IF(J455="v3.1",M455,IF(J455="Both",L455,IF(AND(L455&lt;&gt;"",M455=""),L455,M455))))</f>
        <v/>
      </c>
      <c r="Z455">
        <f>MIN(100,
(K455*5) +
(U455*10) +
IF(P455="Y",40,0) +
IF(Q455="P",30,0) +
IF(V455="Y",25,0) +
IF(W455="Y",20,0) +
IF(X455="Weaponized",15,IF(X455="PoC Available",10,IF(X455="Public Exploit",5,0))) +
IF(G455="Production",10,IF(G455="DMZ",8,IF(G455="DR/Backup",5,0))) +
IF(Y455="N",10,0)
)</f>
        <v/>
      </c>
      <c r="AA455">
        <f>IF(OR(P455="Y",AND(K455&gt;=9.0,W455="Y")),"P0",IF(Z455&gt;=80,"P0",IF(Z455&gt;=60,"P1",IF(Z455&gt;=40,"P2",IF(Z455&gt;=20,"P3","P4")))))</f>
        <v/>
      </c>
      <c r="AD455">
        <f>IF(AB455&lt;&gt;"",AB455,AA455)</f>
        <v/>
      </c>
      <c r="AE455">
        <f>VLOOKUP(AD455,SLA_Definitions!$A$2:$B$6,2,FALSE)</f>
        <v/>
      </c>
      <c r="AF455">
        <f>IF(B455&lt;&gt;"",WORKDAY(B455,AE455),"")</f>
        <v/>
      </c>
      <c r="AG455">
        <f>IF(AF455&lt;&gt;"",NETWORKDAYS(TODAY(),AF455),"")</f>
        <v/>
      </c>
      <c r="AH455">
        <f>IF(AJ455="Complete","Complete",IF(AG455&lt;0,"Overdue",IF(AG455&lt;=AE455*0.2,"At Risk","On Track")))</f>
        <v/>
      </c>
      <c r="AK455">
        <f>IF(OR(AH455="Overdue",AND(AD455="P0",AG455&lt;1),AND(AD455="P1",AG455&lt;3)),"Y","N")</f>
        <v/>
      </c>
    </row>
    <row r="456">
      <c r="K456">
        <f>IF(J456="v4.0",L456,IF(J456="v3.1",M456,IF(J456="Both",L456,IF(AND(L456&lt;&gt;"",M456=""),L456,M456))))</f>
        <v/>
      </c>
      <c r="Z456">
        <f>MIN(100,
(K456*5) +
(U456*10) +
IF(P456="Y",40,0) +
IF(Q456="P",30,0) +
IF(V456="Y",25,0) +
IF(W456="Y",20,0) +
IF(X456="Weaponized",15,IF(X456="PoC Available",10,IF(X456="Public Exploit",5,0))) +
IF(G456="Production",10,IF(G456="DMZ",8,IF(G456="DR/Backup",5,0))) +
IF(Y456="N",10,0)
)</f>
        <v/>
      </c>
      <c r="AA456">
        <f>IF(OR(P456="Y",AND(K456&gt;=9.0,W456="Y")),"P0",IF(Z456&gt;=80,"P0",IF(Z456&gt;=60,"P1",IF(Z456&gt;=40,"P2",IF(Z456&gt;=20,"P3","P4")))))</f>
        <v/>
      </c>
      <c r="AD456">
        <f>IF(AB456&lt;&gt;"",AB456,AA456)</f>
        <v/>
      </c>
      <c r="AE456">
        <f>VLOOKUP(AD456,SLA_Definitions!$A$2:$B$6,2,FALSE)</f>
        <v/>
      </c>
      <c r="AF456">
        <f>IF(B456&lt;&gt;"",WORKDAY(B456,AE456),"")</f>
        <v/>
      </c>
      <c r="AG456">
        <f>IF(AF456&lt;&gt;"",NETWORKDAYS(TODAY(),AF456),"")</f>
        <v/>
      </c>
      <c r="AH456">
        <f>IF(AJ456="Complete","Complete",IF(AG456&lt;0,"Overdue",IF(AG456&lt;=AE456*0.2,"At Risk","On Track")))</f>
        <v/>
      </c>
      <c r="AK456">
        <f>IF(OR(AH456="Overdue",AND(AD456="P0",AG456&lt;1),AND(AD456="P1",AG456&lt;3)),"Y","N")</f>
        <v/>
      </c>
    </row>
    <row r="457">
      <c r="K457">
        <f>IF(J457="v4.0",L457,IF(J457="v3.1",M457,IF(J457="Both",L457,IF(AND(L457&lt;&gt;"",M457=""),L457,M457))))</f>
        <v/>
      </c>
      <c r="Z457">
        <f>MIN(100,
(K457*5) +
(U457*10) +
IF(P457="Y",40,0) +
IF(Q457="P",30,0) +
IF(V457="Y",25,0) +
IF(W457="Y",20,0) +
IF(X457="Weaponized",15,IF(X457="PoC Available",10,IF(X457="Public Exploit",5,0))) +
IF(G457="Production",10,IF(G457="DMZ",8,IF(G457="DR/Backup",5,0))) +
IF(Y457="N",10,0)
)</f>
        <v/>
      </c>
      <c r="AA457">
        <f>IF(OR(P457="Y",AND(K457&gt;=9.0,W457="Y")),"P0",IF(Z457&gt;=80,"P0",IF(Z457&gt;=60,"P1",IF(Z457&gt;=40,"P2",IF(Z457&gt;=20,"P3","P4")))))</f>
        <v/>
      </c>
      <c r="AD457">
        <f>IF(AB457&lt;&gt;"",AB457,AA457)</f>
        <v/>
      </c>
      <c r="AE457">
        <f>VLOOKUP(AD457,SLA_Definitions!$A$2:$B$6,2,FALSE)</f>
        <v/>
      </c>
      <c r="AF457">
        <f>IF(B457&lt;&gt;"",WORKDAY(B457,AE457),"")</f>
        <v/>
      </c>
      <c r="AG457">
        <f>IF(AF457&lt;&gt;"",NETWORKDAYS(TODAY(),AF457),"")</f>
        <v/>
      </c>
      <c r="AH457">
        <f>IF(AJ457="Complete","Complete",IF(AG457&lt;0,"Overdue",IF(AG457&lt;=AE457*0.2,"At Risk","On Track")))</f>
        <v/>
      </c>
      <c r="AK457">
        <f>IF(OR(AH457="Overdue",AND(AD457="P0",AG457&lt;1),AND(AD457="P1",AG457&lt;3)),"Y","N")</f>
        <v/>
      </c>
    </row>
    <row r="458">
      <c r="K458">
        <f>IF(J458="v4.0",L458,IF(J458="v3.1",M458,IF(J458="Both",L458,IF(AND(L458&lt;&gt;"",M458=""),L458,M458))))</f>
        <v/>
      </c>
      <c r="Z458">
        <f>MIN(100,
(K458*5) +
(U458*10) +
IF(P458="Y",40,0) +
IF(Q458="P",30,0) +
IF(V458="Y",25,0) +
IF(W458="Y",20,0) +
IF(X458="Weaponized",15,IF(X458="PoC Available",10,IF(X458="Public Exploit",5,0))) +
IF(G458="Production",10,IF(G458="DMZ",8,IF(G458="DR/Backup",5,0))) +
IF(Y458="N",10,0)
)</f>
        <v/>
      </c>
      <c r="AA458">
        <f>IF(OR(P458="Y",AND(K458&gt;=9.0,W458="Y")),"P0",IF(Z458&gt;=80,"P0",IF(Z458&gt;=60,"P1",IF(Z458&gt;=40,"P2",IF(Z458&gt;=20,"P3","P4")))))</f>
        <v/>
      </c>
      <c r="AD458">
        <f>IF(AB458&lt;&gt;"",AB458,AA458)</f>
        <v/>
      </c>
      <c r="AE458">
        <f>VLOOKUP(AD458,SLA_Definitions!$A$2:$B$6,2,FALSE)</f>
        <v/>
      </c>
      <c r="AF458">
        <f>IF(B458&lt;&gt;"",WORKDAY(B458,AE458),"")</f>
        <v/>
      </c>
      <c r="AG458">
        <f>IF(AF458&lt;&gt;"",NETWORKDAYS(TODAY(),AF458),"")</f>
        <v/>
      </c>
      <c r="AH458">
        <f>IF(AJ458="Complete","Complete",IF(AG458&lt;0,"Overdue",IF(AG458&lt;=AE458*0.2,"At Risk","On Track")))</f>
        <v/>
      </c>
      <c r="AK458">
        <f>IF(OR(AH458="Overdue",AND(AD458="P0",AG458&lt;1),AND(AD458="P1",AG458&lt;3)),"Y","N")</f>
        <v/>
      </c>
    </row>
    <row r="459">
      <c r="K459">
        <f>IF(J459="v4.0",L459,IF(J459="v3.1",M459,IF(J459="Both",L459,IF(AND(L459&lt;&gt;"",M459=""),L459,M459))))</f>
        <v/>
      </c>
      <c r="Z459">
        <f>MIN(100,
(K459*5) +
(U459*10) +
IF(P459="Y",40,0) +
IF(Q459="P",30,0) +
IF(V459="Y",25,0) +
IF(W459="Y",20,0) +
IF(X459="Weaponized",15,IF(X459="PoC Available",10,IF(X459="Public Exploit",5,0))) +
IF(G459="Production",10,IF(G459="DMZ",8,IF(G459="DR/Backup",5,0))) +
IF(Y459="N",10,0)
)</f>
        <v/>
      </c>
      <c r="AA459">
        <f>IF(OR(P459="Y",AND(K459&gt;=9.0,W459="Y")),"P0",IF(Z459&gt;=80,"P0",IF(Z459&gt;=60,"P1",IF(Z459&gt;=40,"P2",IF(Z459&gt;=20,"P3","P4")))))</f>
        <v/>
      </c>
      <c r="AD459">
        <f>IF(AB459&lt;&gt;"",AB459,AA459)</f>
        <v/>
      </c>
      <c r="AE459">
        <f>VLOOKUP(AD459,SLA_Definitions!$A$2:$B$6,2,FALSE)</f>
        <v/>
      </c>
      <c r="AF459">
        <f>IF(B459&lt;&gt;"",WORKDAY(B459,AE459),"")</f>
        <v/>
      </c>
      <c r="AG459">
        <f>IF(AF459&lt;&gt;"",NETWORKDAYS(TODAY(),AF459),"")</f>
        <v/>
      </c>
      <c r="AH459">
        <f>IF(AJ459="Complete","Complete",IF(AG459&lt;0,"Overdue",IF(AG459&lt;=AE459*0.2,"At Risk","On Track")))</f>
        <v/>
      </c>
      <c r="AK459">
        <f>IF(OR(AH459="Overdue",AND(AD459="P0",AG459&lt;1),AND(AD459="P1",AG459&lt;3)),"Y","N")</f>
        <v/>
      </c>
    </row>
    <row r="460">
      <c r="K460">
        <f>IF(J460="v4.0",L460,IF(J460="v3.1",M460,IF(J460="Both",L460,IF(AND(L460&lt;&gt;"",M460=""),L460,M460))))</f>
        <v/>
      </c>
      <c r="Z460">
        <f>MIN(100,
(K460*5) +
(U460*10) +
IF(P460="Y",40,0) +
IF(Q460="P",30,0) +
IF(V460="Y",25,0) +
IF(W460="Y",20,0) +
IF(X460="Weaponized",15,IF(X460="PoC Available",10,IF(X460="Public Exploit",5,0))) +
IF(G460="Production",10,IF(G460="DMZ",8,IF(G460="DR/Backup",5,0))) +
IF(Y460="N",10,0)
)</f>
        <v/>
      </c>
      <c r="AA460">
        <f>IF(OR(P460="Y",AND(K460&gt;=9.0,W460="Y")),"P0",IF(Z460&gt;=80,"P0",IF(Z460&gt;=60,"P1",IF(Z460&gt;=40,"P2",IF(Z460&gt;=20,"P3","P4")))))</f>
        <v/>
      </c>
      <c r="AD460">
        <f>IF(AB460&lt;&gt;"",AB460,AA460)</f>
        <v/>
      </c>
      <c r="AE460">
        <f>VLOOKUP(AD460,SLA_Definitions!$A$2:$B$6,2,FALSE)</f>
        <v/>
      </c>
      <c r="AF460">
        <f>IF(B460&lt;&gt;"",WORKDAY(B460,AE460),"")</f>
        <v/>
      </c>
      <c r="AG460">
        <f>IF(AF460&lt;&gt;"",NETWORKDAYS(TODAY(),AF460),"")</f>
        <v/>
      </c>
      <c r="AH460">
        <f>IF(AJ460="Complete","Complete",IF(AG460&lt;0,"Overdue",IF(AG460&lt;=AE460*0.2,"At Risk","On Track")))</f>
        <v/>
      </c>
      <c r="AK460">
        <f>IF(OR(AH460="Overdue",AND(AD460="P0",AG460&lt;1),AND(AD460="P1",AG460&lt;3)),"Y","N")</f>
        <v/>
      </c>
    </row>
    <row r="461">
      <c r="K461">
        <f>IF(J461="v4.0",L461,IF(J461="v3.1",M461,IF(J461="Both",L461,IF(AND(L461&lt;&gt;"",M461=""),L461,M461))))</f>
        <v/>
      </c>
      <c r="Z461">
        <f>MIN(100,
(K461*5) +
(U461*10) +
IF(P461="Y",40,0) +
IF(Q461="P",30,0) +
IF(V461="Y",25,0) +
IF(W461="Y",20,0) +
IF(X461="Weaponized",15,IF(X461="PoC Available",10,IF(X461="Public Exploit",5,0))) +
IF(G461="Production",10,IF(G461="DMZ",8,IF(G461="DR/Backup",5,0))) +
IF(Y461="N",10,0)
)</f>
        <v/>
      </c>
      <c r="AA461">
        <f>IF(OR(P461="Y",AND(K461&gt;=9.0,W461="Y")),"P0",IF(Z461&gt;=80,"P0",IF(Z461&gt;=60,"P1",IF(Z461&gt;=40,"P2",IF(Z461&gt;=20,"P3","P4")))))</f>
        <v/>
      </c>
      <c r="AD461">
        <f>IF(AB461&lt;&gt;"",AB461,AA461)</f>
        <v/>
      </c>
      <c r="AE461">
        <f>VLOOKUP(AD461,SLA_Definitions!$A$2:$B$6,2,FALSE)</f>
        <v/>
      </c>
      <c r="AF461">
        <f>IF(B461&lt;&gt;"",WORKDAY(B461,AE461),"")</f>
        <v/>
      </c>
      <c r="AG461">
        <f>IF(AF461&lt;&gt;"",NETWORKDAYS(TODAY(),AF461),"")</f>
        <v/>
      </c>
      <c r="AH461">
        <f>IF(AJ461="Complete","Complete",IF(AG461&lt;0,"Overdue",IF(AG461&lt;=AE461*0.2,"At Risk","On Track")))</f>
        <v/>
      </c>
      <c r="AK461">
        <f>IF(OR(AH461="Overdue",AND(AD461="P0",AG461&lt;1),AND(AD461="P1",AG461&lt;3)),"Y","N")</f>
        <v/>
      </c>
    </row>
    <row r="462">
      <c r="K462">
        <f>IF(J462="v4.0",L462,IF(J462="v3.1",M462,IF(J462="Both",L462,IF(AND(L462&lt;&gt;"",M462=""),L462,M462))))</f>
        <v/>
      </c>
      <c r="Z462">
        <f>MIN(100,
(K462*5) +
(U462*10) +
IF(P462="Y",40,0) +
IF(Q462="P",30,0) +
IF(V462="Y",25,0) +
IF(W462="Y",20,0) +
IF(X462="Weaponized",15,IF(X462="PoC Available",10,IF(X462="Public Exploit",5,0))) +
IF(G462="Production",10,IF(G462="DMZ",8,IF(G462="DR/Backup",5,0))) +
IF(Y462="N",10,0)
)</f>
        <v/>
      </c>
      <c r="AA462">
        <f>IF(OR(P462="Y",AND(K462&gt;=9.0,W462="Y")),"P0",IF(Z462&gt;=80,"P0",IF(Z462&gt;=60,"P1",IF(Z462&gt;=40,"P2",IF(Z462&gt;=20,"P3","P4")))))</f>
        <v/>
      </c>
      <c r="AD462">
        <f>IF(AB462&lt;&gt;"",AB462,AA462)</f>
        <v/>
      </c>
      <c r="AE462">
        <f>VLOOKUP(AD462,SLA_Definitions!$A$2:$B$6,2,FALSE)</f>
        <v/>
      </c>
      <c r="AF462">
        <f>IF(B462&lt;&gt;"",WORKDAY(B462,AE462),"")</f>
        <v/>
      </c>
      <c r="AG462">
        <f>IF(AF462&lt;&gt;"",NETWORKDAYS(TODAY(),AF462),"")</f>
        <v/>
      </c>
      <c r="AH462">
        <f>IF(AJ462="Complete","Complete",IF(AG462&lt;0,"Overdue",IF(AG462&lt;=AE462*0.2,"At Risk","On Track")))</f>
        <v/>
      </c>
      <c r="AK462">
        <f>IF(OR(AH462="Overdue",AND(AD462="P0",AG462&lt;1),AND(AD462="P1",AG462&lt;3)),"Y","N")</f>
        <v/>
      </c>
    </row>
    <row r="463">
      <c r="K463">
        <f>IF(J463="v4.0",L463,IF(J463="v3.1",M463,IF(J463="Both",L463,IF(AND(L463&lt;&gt;"",M463=""),L463,M463))))</f>
        <v/>
      </c>
      <c r="Z463">
        <f>MIN(100,
(K463*5) +
(U463*10) +
IF(P463="Y",40,0) +
IF(Q463="P",30,0) +
IF(V463="Y",25,0) +
IF(W463="Y",20,0) +
IF(X463="Weaponized",15,IF(X463="PoC Available",10,IF(X463="Public Exploit",5,0))) +
IF(G463="Production",10,IF(G463="DMZ",8,IF(G463="DR/Backup",5,0))) +
IF(Y463="N",10,0)
)</f>
        <v/>
      </c>
      <c r="AA463">
        <f>IF(OR(P463="Y",AND(K463&gt;=9.0,W463="Y")),"P0",IF(Z463&gt;=80,"P0",IF(Z463&gt;=60,"P1",IF(Z463&gt;=40,"P2",IF(Z463&gt;=20,"P3","P4")))))</f>
        <v/>
      </c>
      <c r="AD463">
        <f>IF(AB463&lt;&gt;"",AB463,AA463)</f>
        <v/>
      </c>
      <c r="AE463">
        <f>VLOOKUP(AD463,SLA_Definitions!$A$2:$B$6,2,FALSE)</f>
        <v/>
      </c>
      <c r="AF463">
        <f>IF(B463&lt;&gt;"",WORKDAY(B463,AE463),"")</f>
        <v/>
      </c>
      <c r="AG463">
        <f>IF(AF463&lt;&gt;"",NETWORKDAYS(TODAY(),AF463),"")</f>
        <v/>
      </c>
      <c r="AH463">
        <f>IF(AJ463="Complete","Complete",IF(AG463&lt;0,"Overdue",IF(AG463&lt;=AE463*0.2,"At Risk","On Track")))</f>
        <v/>
      </c>
      <c r="AK463">
        <f>IF(OR(AH463="Overdue",AND(AD463="P0",AG463&lt;1),AND(AD463="P1",AG463&lt;3)),"Y","N")</f>
        <v/>
      </c>
    </row>
    <row r="464">
      <c r="K464">
        <f>IF(J464="v4.0",L464,IF(J464="v3.1",M464,IF(J464="Both",L464,IF(AND(L464&lt;&gt;"",M464=""),L464,M464))))</f>
        <v/>
      </c>
      <c r="Z464">
        <f>MIN(100,
(K464*5) +
(U464*10) +
IF(P464="Y",40,0) +
IF(Q464="P",30,0) +
IF(V464="Y",25,0) +
IF(W464="Y",20,0) +
IF(X464="Weaponized",15,IF(X464="PoC Available",10,IF(X464="Public Exploit",5,0))) +
IF(G464="Production",10,IF(G464="DMZ",8,IF(G464="DR/Backup",5,0))) +
IF(Y464="N",10,0)
)</f>
        <v/>
      </c>
      <c r="AA464">
        <f>IF(OR(P464="Y",AND(K464&gt;=9.0,W464="Y")),"P0",IF(Z464&gt;=80,"P0",IF(Z464&gt;=60,"P1",IF(Z464&gt;=40,"P2",IF(Z464&gt;=20,"P3","P4")))))</f>
        <v/>
      </c>
      <c r="AD464">
        <f>IF(AB464&lt;&gt;"",AB464,AA464)</f>
        <v/>
      </c>
      <c r="AE464">
        <f>VLOOKUP(AD464,SLA_Definitions!$A$2:$B$6,2,FALSE)</f>
        <v/>
      </c>
      <c r="AF464">
        <f>IF(B464&lt;&gt;"",WORKDAY(B464,AE464),"")</f>
        <v/>
      </c>
      <c r="AG464">
        <f>IF(AF464&lt;&gt;"",NETWORKDAYS(TODAY(),AF464),"")</f>
        <v/>
      </c>
      <c r="AH464">
        <f>IF(AJ464="Complete","Complete",IF(AG464&lt;0,"Overdue",IF(AG464&lt;=AE464*0.2,"At Risk","On Track")))</f>
        <v/>
      </c>
      <c r="AK464">
        <f>IF(OR(AH464="Overdue",AND(AD464="P0",AG464&lt;1),AND(AD464="P1",AG464&lt;3)),"Y","N")</f>
        <v/>
      </c>
    </row>
    <row r="465">
      <c r="K465">
        <f>IF(J465="v4.0",L465,IF(J465="v3.1",M465,IF(J465="Both",L465,IF(AND(L465&lt;&gt;"",M465=""),L465,M465))))</f>
        <v/>
      </c>
      <c r="Z465">
        <f>MIN(100,
(K465*5) +
(U465*10) +
IF(P465="Y",40,0) +
IF(Q465="P",30,0) +
IF(V465="Y",25,0) +
IF(W465="Y",20,0) +
IF(X465="Weaponized",15,IF(X465="PoC Available",10,IF(X465="Public Exploit",5,0))) +
IF(G465="Production",10,IF(G465="DMZ",8,IF(G465="DR/Backup",5,0))) +
IF(Y465="N",10,0)
)</f>
        <v/>
      </c>
      <c r="AA465">
        <f>IF(OR(P465="Y",AND(K465&gt;=9.0,W465="Y")),"P0",IF(Z465&gt;=80,"P0",IF(Z465&gt;=60,"P1",IF(Z465&gt;=40,"P2",IF(Z465&gt;=20,"P3","P4")))))</f>
        <v/>
      </c>
      <c r="AD465">
        <f>IF(AB465&lt;&gt;"",AB465,AA465)</f>
        <v/>
      </c>
      <c r="AE465">
        <f>VLOOKUP(AD465,SLA_Definitions!$A$2:$B$6,2,FALSE)</f>
        <v/>
      </c>
      <c r="AF465">
        <f>IF(B465&lt;&gt;"",WORKDAY(B465,AE465),"")</f>
        <v/>
      </c>
      <c r="AG465">
        <f>IF(AF465&lt;&gt;"",NETWORKDAYS(TODAY(),AF465),"")</f>
        <v/>
      </c>
      <c r="AH465">
        <f>IF(AJ465="Complete","Complete",IF(AG465&lt;0,"Overdue",IF(AG465&lt;=AE465*0.2,"At Risk","On Track")))</f>
        <v/>
      </c>
      <c r="AK465">
        <f>IF(OR(AH465="Overdue",AND(AD465="P0",AG465&lt;1),AND(AD465="P1",AG465&lt;3)),"Y","N")</f>
        <v/>
      </c>
    </row>
    <row r="466">
      <c r="K466">
        <f>IF(J466="v4.0",L466,IF(J466="v3.1",M466,IF(J466="Both",L466,IF(AND(L466&lt;&gt;"",M466=""),L466,M466))))</f>
        <v/>
      </c>
      <c r="Z466">
        <f>MIN(100,
(K466*5) +
(U466*10) +
IF(P466="Y",40,0) +
IF(Q466="P",30,0) +
IF(V466="Y",25,0) +
IF(W466="Y",20,0) +
IF(X466="Weaponized",15,IF(X466="PoC Available",10,IF(X466="Public Exploit",5,0))) +
IF(G466="Production",10,IF(G466="DMZ",8,IF(G466="DR/Backup",5,0))) +
IF(Y466="N",10,0)
)</f>
        <v/>
      </c>
      <c r="AA466">
        <f>IF(OR(P466="Y",AND(K466&gt;=9.0,W466="Y")),"P0",IF(Z466&gt;=80,"P0",IF(Z466&gt;=60,"P1",IF(Z466&gt;=40,"P2",IF(Z466&gt;=20,"P3","P4")))))</f>
        <v/>
      </c>
      <c r="AD466">
        <f>IF(AB466&lt;&gt;"",AB466,AA466)</f>
        <v/>
      </c>
      <c r="AE466">
        <f>VLOOKUP(AD466,SLA_Definitions!$A$2:$B$6,2,FALSE)</f>
        <v/>
      </c>
      <c r="AF466">
        <f>IF(B466&lt;&gt;"",WORKDAY(B466,AE466),"")</f>
        <v/>
      </c>
      <c r="AG466">
        <f>IF(AF466&lt;&gt;"",NETWORKDAYS(TODAY(),AF466),"")</f>
        <v/>
      </c>
      <c r="AH466">
        <f>IF(AJ466="Complete","Complete",IF(AG466&lt;0,"Overdue",IF(AG466&lt;=AE466*0.2,"At Risk","On Track")))</f>
        <v/>
      </c>
      <c r="AK466">
        <f>IF(OR(AH466="Overdue",AND(AD466="P0",AG466&lt;1),AND(AD466="P1",AG466&lt;3)),"Y","N")</f>
        <v/>
      </c>
    </row>
    <row r="467">
      <c r="K467">
        <f>IF(J467="v4.0",L467,IF(J467="v3.1",M467,IF(J467="Both",L467,IF(AND(L467&lt;&gt;"",M467=""),L467,M467))))</f>
        <v/>
      </c>
      <c r="Z467">
        <f>MIN(100,
(K467*5) +
(U467*10) +
IF(P467="Y",40,0) +
IF(Q467="P",30,0) +
IF(V467="Y",25,0) +
IF(W467="Y",20,0) +
IF(X467="Weaponized",15,IF(X467="PoC Available",10,IF(X467="Public Exploit",5,0))) +
IF(G467="Production",10,IF(G467="DMZ",8,IF(G467="DR/Backup",5,0))) +
IF(Y467="N",10,0)
)</f>
        <v/>
      </c>
      <c r="AA467">
        <f>IF(OR(P467="Y",AND(K467&gt;=9.0,W467="Y")),"P0",IF(Z467&gt;=80,"P0",IF(Z467&gt;=60,"P1",IF(Z467&gt;=40,"P2",IF(Z467&gt;=20,"P3","P4")))))</f>
        <v/>
      </c>
      <c r="AD467">
        <f>IF(AB467&lt;&gt;"",AB467,AA467)</f>
        <v/>
      </c>
      <c r="AE467">
        <f>VLOOKUP(AD467,SLA_Definitions!$A$2:$B$6,2,FALSE)</f>
        <v/>
      </c>
      <c r="AF467">
        <f>IF(B467&lt;&gt;"",WORKDAY(B467,AE467),"")</f>
        <v/>
      </c>
      <c r="AG467">
        <f>IF(AF467&lt;&gt;"",NETWORKDAYS(TODAY(),AF467),"")</f>
        <v/>
      </c>
      <c r="AH467">
        <f>IF(AJ467="Complete","Complete",IF(AG467&lt;0,"Overdue",IF(AG467&lt;=AE467*0.2,"At Risk","On Track")))</f>
        <v/>
      </c>
      <c r="AK467">
        <f>IF(OR(AH467="Overdue",AND(AD467="P0",AG467&lt;1),AND(AD467="P1",AG467&lt;3)),"Y","N")</f>
        <v/>
      </c>
    </row>
    <row r="468">
      <c r="K468">
        <f>IF(J468="v4.0",L468,IF(J468="v3.1",M468,IF(J468="Both",L468,IF(AND(L468&lt;&gt;"",M468=""),L468,M468))))</f>
        <v/>
      </c>
      <c r="Z468">
        <f>MIN(100,
(K468*5) +
(U468*10) +
IF(P468="Y",40,0) +
IF(Q468="P",30,0) +
IF(V468="Y",25,0) +
IF(W468="Y",20,0) +
IF(X468="Weaponized",15,IF(X468="PoC Available",10,IF(X468="Public Exploit",5,0))) +
IF(G468="Production",10,IF(G468="DMZ",8,IF(G468="DR/Backup",5,0))) +
IF(Y468="N",10,0)
)</f>
        <v/>
      </c>
      <c r="AA468">
        <f>IF(OR(P468="Y",AND(K468&gt;=9.0,W468="Y")),"P0",IF(Z468&gt;=80,"P0",IF(Z468&gt;=60,"P1",IF(Z468&gt;=40,"P2",IF(Z468&gt;=20,"P3","P4")))))</f>
        <v/>
      </c>
      <c r="AD468">
        <f>IF(AB468&lt;&gt;"",AB468,AA468)</f>
        <v/>
      </c>
      <c r="AE468">
        <f>VLOOKUP(AD468,SLA_Definitions!$A$2:$B$6,2,FALSE)</f>
        <v/>
      </c>
      <c r="AF468">
        <f>IF(B468&lt;&gt;"",WORKDAY(B468,AE468),"")</f>
        <v/>
      </c>
      <c r="AG468">
        <f>IF(AF468&lt;&gt;"",NETWORKDAYS(TODAY(),AF468),"")</f>
        <v/>
      </c>
      <c r="AH468">
        <f>IF(AJ468="Complete","Complete",IF(AG468&lt;0,"Overdue",IF(AG468&lt;=AE468*0.2,"At Risk","On Track")))</f>
        <v/>
      </c>
      <c r="AK468">
        <f>IF(OR(AH468="Overdue",AND(AD468="P0",AG468&lt;1),AND(AD468="P1",AG468&lt;3)),"Y","N")</f>
        <v/>
      </c>
    </row>
    <row r="469">
      <c r="K469">
        <f>IF(J469="v4.0",L469,IF(J469="v3.1",M469,IF(J469="Both",L469,IF(AND(L469&lt;&gt;"",M469=""),L469,M469))))</f>
        <v/>
      </c>
      <c r="Z469">
        <f>MIN(100,
(K469*5) +
(U469*10) +
IF(P469="Y",40,0) +
IF(Q469="P",30,0) +
IF(V469="Y",25,0) +
IF(W469="Y",20,0) +
IF(X469="Weaponized",15,IF(X469="PoC Available",10,IF(X469="Public Exploit",5,0))) +
IF(G469="Production",10,IF(G469="DMZ",8,IF(G469="DR/Backup",5,0))) +
IF(Y469="N",10,0)
)</f>
        <v/>
      </c>
      <c r="AA469">
        <f>IF(OR(P469="Y",AND(K469&gt;=9.0,W469="Y")),"P0",IF(Z469&gt;=80,"P0",IF(Z469&gt;=60,"P1",IF(Z469&gt;=40,"P2",IF(Z469&gt;=20,"P3","P4")))))</f>
        <v/>
      </c>
      <c r="AD469">
        <f>IF(AB469&lt;&gt;"",AB469,AA469)</f>
        <v/>
      </c>
      <c r="AE469">
        <f>VLOOKUP(AD469,SLA_Definitions!$A$2:$B$6,2,FALSE)</f>
        <v/>
      </c>
      <c r="AF469">
        <f>IF(B469&lt;&gt;"",WORKDAY(B469,AE469),"")</f>
        <v/>
      </c>
      <c r="AG469">
        <f>IF(AF469&lt;&gt;"",NETWORKDAYS(TODAY(),AF469),"")</f>
        <v/>
      </c>
      <c r="AH469">
        <f>IF(AJ469="Complete","Complete",IF(AG469&lt;0,"Overdue",IF(AG469&lt;=AE469*0.2,"At Risk","On Track")))</f>
        <v/>
      </c>
      <c r="AK469">
        <f>IF(OR(AH469="Overdue",AND(AD469="P0",AG469&lt;1),AND(AD469="P1",AG469&lt;3)),"Y","N")</f>
        <v/>
      </c>
    </row>
    <row r="470">
      <c r="K470">
        <f>IF(J470="v4.0",L470,IF(J470="v3.1",M470,IF(J470="Both",L470,IF(AND(L470&lt;&gt;"",M470=""),L470,M470))))</f>
        <v/>
      </c>
      <c r="Z470">
        <f>MIN(100,
(K470*5) +
(U470*10) +
IF(P470="Y",40,0) +
IF(Q470="P",30,0) +
IF(V470="Y",25,0) +
IF(W470="Y",20,0) +
IF(X470="Weaponized",15,IF(X470="PoC Available",10,IF(X470="Public Exploit",5,0))) +
IF(G470="Production",10,IF(G470="DMZ",8,IF(G470="DR/Backup",5,0))) +
IF(Y470="N",10,0)
)</f>
        <v/>
      </c>
      <c r="AA470">
        <f>IF(OR(P470="Y",AND(K470&gt;=9.0,W470="Y")),"P0",IF(Z470&gt;=80,"P0",IF(Z470&gt;=60,"P1",IF(Z470&gt;=40,"P2",IF(Z470&gt;=20,"P3","P4")))))</f>
        <v/>
      </c>
      <c r="AD470">
        <f>IF(AB470&lt;&gt;"",AB470,AA470)</f>
        <v/>
      </c>
      <c r="AE470">
        <f>VLOOKUP(AD470,SLA_Definitions!$A$2:$B$6,2,FALSE)</f>
        <v/>
      </c>
      <c r="AF470">
        <f>IF(B470&lt;&gt;"",WORKDAY(B470,AE470),"")</f>
        <v/>
      </c>
      <c r="AG470">
        <f>IF(AF470&lt;&gt;"",NETWORKDAYS(TODAY(),AF470),"")</f>
        <v/>
      </c>
      <c r="AH470">
        <f>IF(AJ470="Complete","Complete",IF(AG470&lt;0,"Overdue",IF(AG470&lt;=AE470*0.2,"At Risk","On Track")))</f>
        <v/>
      </c>
      <c r="AK470">
        <f>IF(OR(AH470="Overdue",AND(AD470="P0",AG470&lt;1),AND(AD470="P1",AG470&lt;3)),"Y","N")</f>
        <v/>
      </c>
    </row>
    <row r="471">
      <c r="K471">
        <f>IF(J471="v4.0",L471,IF(J471="v3.1",M471,IF(J471="Both",L471,IF(AND(L471&lt;&gt;"",M471=""),L471,M471))))</f>
        <v/>
      </c>
      <c r="Z471">
        <f>MIN(100,
(K471*5) +
(U471*10) +
IF(P471="Y",40,0) +
IF(Q471="P",30,0) +
IF(V471="Y",25,0) +
IF(W471="Y",20,0) +
IF(X471="Weaponized",15,IF(X471="PoC Available",10,IF(X471="Public Exploit",5,0))) +
IF(G471="Production",10,IF(G471="DMZ",8,IF(G471="DR/Backup",5,0))) +
IF(Y471="N",10,0)
)</f>
        <v/>
      </c>
      <c r="AA471">
        <f>IF(OR(P471="Y",AND(K471&gt;=9.0,W471="Y")),"P0",IF(Z471&gt;=80,"P0",IF(Z471&gt;=60,"P1",IF(Z471&gt;=40,"P2",IF(Z471&gt;=20,"P3","P4")))))</f>
        <v/>
      </c>
      <c r="AD471">
        <f>IF(AB471&lt;&gt;"",AB471,AA471)</f>
        <v/>
      </c>
      <c r="AE471">
        <f>VLOOKUP(AD471,SLA_Definitions!$A$2:$B$6,2,FALSE)</f>
        <v/>
      </c>
      <c r="AF471">
        <f>IF(B471&lt;&gt;"",WORKDAY(B471,AE471),"")</f>
        <v/>
      </c>
      <c r="AG471">
        <f>IF(AF471&lt;&gt;"",NETWORKDAYS(TODAY(),AF471),"")</f>
        <v/>
      </c>
      <c r="AH471">
        <f>IF(AJ471="Complete","Complete",IF(AG471&lt;0,"Overdue",IF(AG471&lt;=AE471*0.2,"At Risk","On Track")))</f>
        <v/>
      </c>
      <c r="AK471">
        <f>IF(OR(AH471="Overdue",AND(AD471="P0",AG471&lt;1),AND(AD471="P1",AG471&lt;3)),"Y","N")</f>
        <v/>
      </c>
    </row>
    <row r="472">
      <c r="K472">
        <f>IF(J472="v4.0",L472,IF(J472="v3.1",M472,IF(J472="Both",L472,IF(AND(L472&lt;&gt;"",M472=""),L472,M472))))</f>
        <v/>
      </c>
      <c r="Z472">
        <f>MIN(100,
(K472*5) +
(U472*10) +
IF(P472="Y",40,0) +
IF(Q472="P",30,0) +
IF(V472="Y",25,0) +
IF(W472="Y",20,0) +
IF(X472="Weaponized",15,IF(X472="PoC Available",10,IF(X472="Public Exploit",5,0))) +
IF(G472="Production",10,IF(G472="DMZ",8,IF(G472="DR/Backup",5,0))) +
IF(Y472="N",10,0)
)</f>
        <v/>
      </c>
      <c r="AA472">
        <f>IF(OR(P472="Y",AND(K472&gt;=9.0,W472="Y")),"P0",IF(Z472&gt;=80,"P0",IF(Z472&gt;=60,"P1",IF(Z472&gt;=40,"P2",IF(Z472&gt;=20,"P3","P4")))))</f>
        <v/>
      </c>
      <c r="AD472">
        <f>IF(AB472&lt;&gt;"",AB472,AA472)</f>
        <v/>
      </c>
      <c r="AE472">
        <f>VLOOKUP(AD472,SLA_Definitions!$A$2:$B$6,2,FALSE)</f>
        <v/>
      </c>
      <c r="AF472">
        <f>IF(B472&lt;&gt;"",WORKDAY(B472,AE472),"")</f>
        <v/>
      </c>
      <c r="AG472">
        <f>IF(AF472&lt;&gt;"",NETWORKDAYS(TODAY(),AF472),"")</f>
        <v/>
      </c>
      <c r="AH472">
        <f>IF(AJ472="Complete","Complete",IF(AG472&lt;0,"Overdue",IF(AG472&lt;=AE472*0.2,"At Risk","On Track")))</f>
        <v/>
      </c>
      <c r="AK472">
        <f>IF(OR(AH472="Overdue",AND(AD472="P0",AG472&lt;1),AND(AD472="P1",AG472&lt;3)),"Y","N")</f>
        <v/>
      </c>
    </row>
    <row r="473">
      <c r="K473">
        <f>IF(J473="v4.0",L473,IF(J473="v3.1",M473,IF(J473="Both",L473,IF(AND(L473&lt;&gt;"",M473=""),L473,M473))))</f>
        <v/>
      </c>
      <c r="Z473">
        <f>MIN(100,
(K473*5) +
(U473*10) +
IF(P473="Y",40,0) +
IF(Q473="P",30,0) +
IF(V473="Y",25,0) +
IF(W473="Y",20,0) +
IF(X473="Weaponized",15,IF(X473="PoC Available",10,IF(X473="Public Exploit",5,0))) +
IF(G473="Production",10,IF(G473="DMZ",8,IF(G473="DR/Backup",5,0))) +
IF(Y473="N",10,0)
)</f>
        <v/>
      </c>
      <c r="AA473">
        <f>IF(OR(P473="Y",AND(K473&gt;=9.0,W473="Y")),"P0",IF(Z473&gt;=80,"P0",IF(Z473&gt;=60,"P1",IF(Z473&gt;=40,"P2",IF(Z473&gt;=20,"P3","P4")))))</f>
        <v/>
      </c>
      <c r="AD473">
        <f>IF(AB473&lt;&gt;"",AB473,AA473)</f>
        <v/>
      </c>
      <c r="AE473">
        <f>VLOOKUP(AD473,SLA_Definitions!$A$2:$B$6,2,FALSE)</f>
        <v/>
      </c>
      <c r="AF473">
        <f>IF(B473&lt;&gt;"",WORKDAY(B473,AE473),"")</f>
        <v/>
      </c>
      <c r="AG473">
        <f>IF(AF473&lt;&gt;"",NETWORKDAYS(TODAY(),AF473),"")</f>
        <v/>
      </c>
      <c r="AH473">
        <f>IF(AJ473="Complete","Complete",IF(AG473&lt;0,"Overdue",IF(AG473&lt;=AE473*0.2,"At Risk","On Track")))</f>
        <v/>
      </c>
      <c r="AK473">
        <f>IF(OR(AH473="Overdue",AND(AD473="P0",AG473&lt;1),AND(AD473="P1",AG473&lt;3)),"Y","N")</f>
        <v/>
      </c>
    </row>
    <row r="474">
      <c r="K474">
        <f>IF(J474="v4.0",L474,IF(J474="v3.1",M474,IF(J474="Both",L474,IF(AND(L474&lt;&gt;"",M474=""),L474,M474))))</f>
        <v/>
      </c>
      <c r="Z474">
        <f>MIN(100,
(K474*5) +
(U474*10) +
IF(P474="Y",40,0) +
IF(Q474="P",30,0) +
IF(V474="Y",25,0) +
IF(W474="Y",20,0) +
IF(X474="Weaponized",15,IF(X474="PoC Available",10,IF(X474="Public Exploit",5,0))) +
IF(G474="Production",10,IF(G474="DMZ",8,IF(G474="DR/Backup",5,0))) +
IF(Y474="N",10,0)
)</f>
        <v/>
      </c>
      <c r="AA474">
        <f>IF(OR(P474="Y",AND(K474&gt;=9.0,W474="Y")),"P0",IF(Z474&gt;=80,"P0",IF(Z474&gt;=60,"P1",IF(Z474&gt;=40,"P2",IF(Z474&gt;=20,"P3","P4")))))</f>
        <v/>
      </c>
      <c r="AD474">
        <f>IF(AB474&lt;&gt;"",AB474,AA474)</f>
        <v/>
      </c>
      <c r="AE474">
        <f>VLOOKUP(AD474,SLA_Definitions!$A$2:$B$6,2,FALSE)</f>
        <v/>
      </c>
      <c r="AF474">
        <f>IF(B474&lt;&gt;"",WORKDAY(B474,AE474),"")</f>
        <v/>
      </c>
      <c r="AG474">
        <f>IF(AF474&lt;&gt;"",NETWORKDAYS(TODAY(),AF474),"")</f>
        <v/>
      </c>
      <c r="AH474">
        <f>IF(AJ474="Complete","Complete",IF(AG474&lt;0,"Overdue",IF(AG474&lt;=AE474*0.2,"At Risk","On Track")))</f>
        <v/>
      </c>
      <c r="AK474">
        <f>IF(OR(AH474="Overdue",AND(AD474="P0",AG474&lt;1),AND(AD474="P1",AG474&lt;3)),"Y","N")</f>
        <v/>
      </c>
    </row>
    <row r="475">
      <c r="K475">
        <f>IF(J475="v4.0",L475,IF(J475="v3.1",M475,IF(J475="Both",L475,IF(AND(L475&lt;&gt;"",M475=""),L475,M475))))</f>
        <v/>
      </c>
      <c r="Z475">
        <f>MIN(100,
(K475*5) +
(U475*10) +
IF(P475="Y",40,0) +
IF(Q475="P",30,0) +
IF(V475="Y",25,0) +
IF(W475="Y",20,0) +
IF(X475="Weaponized",15,IF(X475="PoC Available",10,IF(X475="Public Exploit",5,0))) +
IF(G475="Production",10,IF(G475="DMZ",8,IF(G475="DR/Backup",5,0))) +
IF(Y475="N",10,0)
)</f>
        <v/>
      </c>
      <c r="AA475">
        <f>IF(OR(P475="Y",AND(K475&gt;=9.0,W475="Y")),"P0",IF(Z475&gt;=80,"P0",IF(Z475&gt;=60,"P1",IF(Z475&gt;=40,"P2",IF(Z475&gt;=20,"P3","P4")))))</f>
        <v/>
      </c>
      <c r="AD475">
        <f>IF(AB475&lt;&gt;"",AB475,AA475)</f>
        <v/>
      </c>
      <c r="AE475">
        <f>VLOOKUP(AD475,SLA_Definitions!$A$2:$B$6,2,FALSE)</f>
        <v/>
      </c>
      <c r="AF475">
        <f>IF(B475&lt;&gt;"",WORKDAY(B475,AE475),"")</f>
        <v/>
      </c>
      <c r="AG475">
        <f>IF(AF475&lt;&gt;"",NETWORKDAYS(TODAY(),AF475),"")</f>
        <v/>
      </c>
      <c r="AH475">
        <f>IF(AJ475="Complete","Complete",IF(AG475&lt;0,"Overdue",IF(AG475&lt;=AE475*0.2,"At Risk","On Track")))</f>
        <v/>
      </c>
      <c r="AK475">
        <f>IF(OR(AH475="Overdue",AND(AD475="P0",AG475&lt;1),AND(AD475="P1",AG475&lt;3)),"Y","N")</f>
        <v/>
      </c>
    </row>
    <row r="476">
      <c r="K476">
        <f>IF(J476="v4.0",L476,IF(J476="v3.1",M476,IF(J476="Both",L476,IF(AND(L476&lt;&gt;"",M476=""),L476,M476))))</f>
        <v/>
      </c>
      <c r="Z476">
        <f>MIN(100,
(K476*5) +
(U476*10) +
IF(P476="Y",40,0) +
IF(Q476="P",30,0) +
IF(V476="Y",25,0) +
IF(W476="Y",20,0) +
IF(X476="Weaponized",15,IF(X476="PoC Available",10,IF(X476="Public Exploit",5,0))) +
IF(G476="Production",10,IF(G476="DMZ",8,IF(G476="DR/Backup",5,0))) +
IF(Y476="N",10,0)
)</f>
        <v/>
      </c>
      <c r="AA476">
        <f>IF(OR(P476="Y",AND(K476&gt;=9.0,W476="Y")),"P0",IF(Z476&gt;=80,"P0",IF(Z476&gt;=60,"P1",IF(Z476&gt;=40,"P2",IF(Z476&gt;=20,"P3","P4")))))</f>
        <v/>
      </c>
      <c r="AD476">
        <f>IF(AB476&lt;&gt;"",AB476,AA476)</f>
        <v/>
      </c>
      <c r="AE476">
        <f>VLOOKUP(AD476,SLA_Definitions!$A$2:$B$6,2,FALSE)</f>
        <v/>
      </c>
      <c r="AF476">
        <f>IF(B476&lt;&gt;"",WORKDAY(B476,AE476),"")</f>
        <v/>
      </c>
      <c r="AG476">
        <f>IF(AF476&lt;&gt;"",NETWORKDAYS(TODAY(),AF476),"")</f>
        <v/>
      </c>
      <c r="AH476">
        <f>IF(AJ476="Complete","Complete",IF(AG476&lt;0,"Overdue",IF(AG476&lt;=AE476*0.2,"At Risk","On Track")))</f>
        <v/>
      </c>
      <c r="AK476">
        <f>IF(OR(AH476="Overdue",AND(AD476="P0",AG476&lt;1),AND(AD476="P1",AG476&lt;3)),"Y","N")</f>
        <v/>
      </c>
    </row>
    <row r="477">
      <c r="K477">
        <f>IF(J477="v4.0",L477,IF(J477="v3.1",M477,IF(J477="Both",L477,IF(AND(L477&lt;&gt;"",M477=""),L477,M477))))</f>
        <v/>
      </c>
      <c r="Z477">
        <f>MIN(100,
(K477*5) +
(U477*10) +
IF(P477="Y",40,0) +
IF(Q477="P",30,0) +
IF(V477="Y",25,0) +
IF(W477="Y",20,0) +
IF(X477="Weaponized",15,IF(X477="PoC Available",10,IF(X477="Public Exploit",5,0))) +
IF(G477="Production",10,IF(G477="DMZ",8,IF(G477="DR/Backup",5,0))) +
IF(Y477="N",10,0)
)</f>
        <v/>
      </c>
      <c r="AA477">
        <f>IF(OR(P477="Y",AND(K477&gt;=9.0,W477="Y")),"P0",IF(Z477&gt;=80,"P0",IF(Z477&gt;=60,"P1",IF(Z477&gt;=40,"P2",IF(Z477&gt;=20,"P3","P4")))))</f>
        <v/>
      </c>
      <c r="AD477">
        <f>IF(AB477&lt;&gt;"",AB477,AA477)</f>
        <v/>
      </c>
      <c r="AE477">
        <f>VLOOKUP(AD477,SLA_Definitions!$A$2:$B$6,2,FALSE)</f>
        <v/>
      </c>
      <c r="AF477">
        <f>IF(B477&lt;&gt;"",WORKDAY(B477,AE477),"")</f>
        <v/>
      </c>
      <c r="AG477">
        <f>IF(AF477&lt;&gt;"",NETWORKDAYS(TODAY(),AF477),"")</f>
        <v/>
      </c>
      <c r="AH477">
        <f>IF(AJ477="Complete","Complete",IF(AG477&lt;0,"Overdue",IF(AG477&lt;=AE477*0.2,"At Risk","On Track")))</f>
        <v/>
      </c>
      <c r="AK477">
        <f>IF(OR(AH477="Overdue",AND(AD477="P0",AG477&lt;1),AND(AD477="P1",AG477&lt;3)),"Y","N")</f>
        <v/>
      </c>
    </row>
    <row r="478">
      <c r="K478">
        <f>IF(J478="v4.0",L478,IF(J478="v3.1",M478,IF(J478="Both",L478,IF(AND(L478&lt;&gt;"",M478=""),L478,M478))))</f>
        <v/>
      </c>
      <c r="Z478">
        <f>MIN(100,
(K478*5) +
(U478*10) +
IF(P478="Y",40,0) +
IF(Q478="P",30,0) +
IF(V478="Y",25,0) +
IF(W478="Y",20,0) +
IF(X478="Weaponized",15,IF(X478="PoC Available",10,IF(X478="Public Exploit",5,0))) +
IF(G478="Production",10,IF(G478="DMZ",8,IF(G478="DR/Backup",5,0))) +
IF(Y478="N",10,0)
)</f>
        <v/>
      </c>
      <c r="AA478">
        <f>IF(OR(P478="Y",AND(K478&gt;=9.0,W478="Y")),"P0",IF(Z478&gt;=80,"P0",IF(Z478&gt;=60,"P1",IF(Z478&gt;=40,"P2",IF(Z478&gt;=20,"P3","P4")))))</f>
        <v/>
      </c>
      <c r="AD478">
        <f>IF(AB478&lt;&gt;"",AB478,AA478)</f>
        <v/>
      </c>
      <c r="AE478">
        <f>VLOOKUP(AD478,SLA_Definitions!$A$2:$B$6,2,FALSE)</f>
        <v/>
      </c>
      <c r="AF478">
        <f>IF(B478&lt;&gt;"",WORKDAY(B478,AE478),"")</f>
        <v/>
      </c>
      <c r="AG478">
        <f>IF(AF478&lt;&gt;"",NETWORKDAYS(TODAY(),AF478),"")</f>
        <v/>
      </c>
      <c r="AH478">
        <f>IF(AJ478="Complete","Complete",IF(AG478&lt;0,"Overdue",IF(AG478&lt;=AE478*0.2,"At Risk","On Track")))</f>
        <v/>
      </c>
      <c r="AK478">
        <f>IF(OR(AH478="Overdue",AND(AD478="P0",AG478&lt;1),AND(AD478="P1",AG478&lt;3)),"Y","N")</f>
        <v/>
      </c>
    </row>
    <row r="479">
      <c r="K479">
        <f>IF(J479="v4.0",L479,IF(J479="v3.1",M479,IF(J479="Both",L479,IF(AND(L479&lt;&gt;"",M479=""),L479,M479))))</f>
        <v/>
      </c>
      <c r="Z479">
        <f>MIN(100,
(K479*5) +
(U479*10) +
IF(P479="Y",40,0) +
IF(Q479="P",30,0) +
IF(V479="Y",25,0) +
IF(W479="Y",20,0) +
IF(X479="Weaponized",15,IF(X479="PoC Available",10,IF(X479="Public Exploit",5,0))) +
IF(G479="Production",10,IF(G479="DMZ",8,IF(G479="DR/Backup",5,0))) +
IF(Y479="N",10,0)
)</f>
        <v/>
      </c>
      <c r="AA479">
        <f>IF(OR(P479="Y",AND(K479&gt;=9.0,W479="Y")),"P0",IF(Z479&gt;=80,"P0",IF(Z479&gt;=60,"P1",IF(Z479&gt;=40,"P2",IF(Z479&gt;=20,"P3","P4")))))</f>
        <v/>
      </c>
      <c r="AD479">
        <f>IF(AB479&lt;&gt;"",AB479,AA479)</f>
        <v/>
      </c>
      <c r="AE479">
        <f>VLOOKUP(AD479,SLA_Definitions!$A$2:$B$6,2,FALSE)</f>
        <v/>
      </c>
      <c r="AF479">
        <f>IF(B479&lt;&gt;"",WORKDAY(B479,AE479),"")</f>
        <v/>
      </c>
      <c r="AG479">
        <f>IF(AF479&lt;&gt;"",NETWORKDAYS(TODAY(),AF479),"")</f>
        <v/>
      </c>
      <c r="AH479">
        <f>IF(AJ479="Complete","Complete",IF(AG479&lt;0,"Overdue",IF(AG479&lt;=AE479*0.2,"At Risk","On Track")))</f>
        <v/>
      </c>
      <c r="AK479">
        <f>IF(OR(AH479="Overdue",AND(AD479="P0",AG479&lt;1),AND(AD479="P1",AG479&lt;3)),"Y","N")</f>
        <v/>
      </c>
    </row>
    <row r="480">
      <c r="K480">
        <f>IF(J480="v4.0",L480,IF(J480="v3.1",M480,IF(J480="Both",L480,IF(AND(L480&lt;&gt;"",M480=""),L480,M480))))</f>
        <v/>
      </c>
      <c r="Z480">
        <f>MIN(100,
(K480*5) +
(U480*10) +
IF(P480="Y",40,0) +
IF(Q480="P",30,0) +
IF(V480="Y",25,0) +
IF(W480="Y",20,0) +
IF(X480="Weaponized",15,IF(X480="PoC Available",10,IF(X480="Public Exploit",5,0))) +
IF(G480="Production",10,IF(G480="DMZ",8,IF(G480="DR/Backup",5,0))) +
IF(Y480="N",10,0)
)</f>
        <v/>
      </c>
      <c r="AA480">
        <f>IF(OR(P480="Y",AND(K480&gt;=9.0,W480="Y")),"P0",IF(Z480&gt;=80,"P0",IF(Z480&gt;=60,"P1",IF(Z480&gt;=40,"P2",IF(Z480&gt;=20,"P3","P4")))))</f>
        <v/>
      </c>
      <c r="AD480">
        <f>IF(AB480&lt;&gt;"",AB480,AA480)</f>
        <v/>
      </c>
      <c r="AE480">
        <f>VLOOKUP(AD480,SLA_Definitions!$A$2:$B$6,2,FALSE)</f>
        <v/>
      </c>
      <c r="AF480">
        <f>IF(B480&lt;&gt;"",WORKDAY(B480,AE480),"")</f>
        <v/>
      </c>
      <c r="AG480">
        <f>IF(AF480&lt;&gt;"",NETWORKDAYS(TODAY(),AF480),"")</f>
        <v/>
      </c>
      <c r="AH480">
        <f>IF(AJ480="Complete","Complete",IF(AG480&lt;0,"Overdue",IF(AG480&lt;=AE480*0.2,"At Risk","On Track")))</f>
        <v/>
      </c>
      <c r="AK480">
        <f>IF(OR(AH480="Overdue",AND(AD480="P0",AG480&lt;1),AND(AD480="P1",AG480&lt;3)),"Y","N")</f>
        <v/>
      </c>
    </row>
    <row r="481">
      <c r="K481">
        <f>IF(J481="v4.0",L481,IF(J481="v3.1",M481,IF(J481="Both",L481,IF(AND(L481&lt;&gt;"",M481=""),L481,M481))))</f>
        <v/>
      </c>
      <c r="Z481">
        <f>MIN(100,
(K481*5) +
(U481*10) +
IF(P481="Y",40,0) +
IF(Q481="P",30,0) +
IF(V481="Y",25,0) +
IF(W481="Y",20,0) +
IF(X481="Weaponized",15,IF(X481="PoC Available",10,IF(X481="Public Exploit",5,0))) +
IF(G481="Production",10,IF(G481="DMZ",8,IF(G481="DR/Backup",5,0))) +
IF(Y481="N",10,0)
)</f>
        <v/>
      </c>
      <c r="AA481">
        <f>IF(OR(P481="Y",AND(K481&gt;=9.0,W481="Y")),"P0",IF(Z481&gt;=80,"P0",IF(Z481&gt;=60,"P1",IF(Z481&gt;=40,"P2",IF(Z481&gt;=20,"P3","P4")))))</f>
        <v/>
      </c>
      <c r="AD481">
        <f>IF(AB481&lt;&gt;"",AB481,AA481)</f>
        <v/>
      </c>
      <c r="AE481">
        <f>VLOOKUP(AD481,SLA_Definitions!$A$2:$B$6,2,FALSE)</f>
        <v/>
      </c>
      <c r="AF481">
        <f>IF(B481&lt;&gt;"",WORKDAY(B481,AE481),"")</f>
        <v/>
      </c>
      <c r="AG481">
        <f>IF(AF481&lt;&gt;"",NETWORKDAYS(TODAY(),AF481),"")</f>
        <v/>
      </c>
      <c r="AH481">
        <f>IF(AJ481="Complete","Complete",IF(AG481&lt;0,"Overdue",IF(AG481&lt;=AE481*0.2,"At Risk","On Track")))</f>
        <v/>
      </c>
      <c r="AK481">
        <f>IF(OR(AH481="Overdue",AND(AD481="P0",AG481&lt;1),AND(AD481="P1",AG481&lt;3)),"Y","N")</f>
        <v/>
      </c>
    </row>
    <row r="482">
      <c r="K482">
        <f>IF(J482="v4.0",L482,IF(J482="v3.1",M482,IF(J482="Both",L482,IF(AND(L482&lt;&gt;"",M482=""),L482,M482))))</f>
        <v/>
      </c>
      <c r="Z482">
        <f>MIN(100,
(K482*5) +
(U482*10) +
IF(P482="Y",40,0) +
IF(Q482="P",30,0) +
IF(V482="Y",25,0) +
IF(W482="Y",20,0) +
IF(X482="Weaponized",15,IF(X482="PoC Available",10,IF(X482="Public Exploit",5,0))) +
IF(G482="Production",10,IF(G482="DMZ",8,IF(G482="DR/Backup",5,0))) +
IF(Y482="N",10,0)
)</f>
        <v/>
      </c>
      <c r="AA482">
        <f>IF(OR(P482="Y",AND(K482&gt;=9.0,W482="Y")),"P0",IF(Z482&gt;=80,"P0",IF(Z482&gt;=60,"P1",IF(Z482&gt;=40,"P2",IF(Z482&gt;=20,"P3","P4")))))</f>
        <v/>
      </c>
      <c r="AD482">
        <f>IF(AB482&lt;&gt;"",AB482,AA482)</f>
        <v/>
      </c>
      <c r="AE482">
        <f>VLOOKUP(AD482,SLA_Definitions!$A$2:$B$6,2,FALSE)</f>
        <v/>
      </c>
      <c r="AF482">
        <f>IF(B482&lt;&gt;"",WORKDAY(B482,AE482),"")</f>
        <v/>
      </c>
      <c r="AG482">
        <f>IF(AF482&lt;&gt;"",NETWORKDAYS(TODAY(),AF482),"")</f>
        <v/>
      </c>
      <c r="AH482">
        <f>IF(AJ482="Complete","Complete",IF(AG482&lt;0,"Overdue",IF(AG482&lt;=AE482*0.2,"At Risk","On Track")))</f>
        <v/>
      </c>
      <c r="AK482">
        <f>IF(OR(AH482="Overdue",AND(AD482="P0",AG482&lt;1),AND(AD482="P1",AG482&lt;3)),"Y","N")</f>
        <v/>
      </c>
    </row>
    <row r="483">
      <c r="K483">
        <f>IF(J483="v4.0",L483,IF(J483="v3.1",M483,IF(J483="Both",L483,IF(AND(L483&lt;&gt;"",M483=""),L483,M483))))</f>
        <v/>
      </c>
      <c r="Z483">
        <f>MIN(100,
(K483*5) +
(U483*10) +
IF(P483="Y",40,0) +
IF(Q483="P",30,0) +
IF(V483="Y",25,0) +
IF(W483="Y",20,0) +
IF(X483="Weaponized",15,IF(X483="PoC Available",10,IF(X483="Public Exploit",5,0))) +
IF(G483="Production",10,IF(G483="DMZ",8,IF(G483="DR/Backup",5,0))) +
IF(Y483="N",10,0)
)</f>
        <v/>
      </c>
      <c r="AA483">
        <f>IF(OR(P483="Y",AND(K483&gt;=9.0,W483="Y")),"P0",IF(Z483&gt;=80,"P0",IF(Z483&gt;=60,"P1",IF(Z483&gt;=40,"P2",IF(Z483&gt;=20,"P3","P4")))))</f>
        <v/>
      </c>
      <c r="AD483">
        <f>IF(AB483&lt;&gt;"",AB483,AA483)</f>
        <v/>
      </c>
      <c r="AE483">
        <f>VLOOKUP(AD483,SLA_Definitions!$A$2:$B$6,2,FALSE)</f>
        <v/>
      </c>
      <c r="AF483">
        <f>IF(B483&lt;&gt;"",WORKDAY(B483,AE483),"")</f>
        <v/>
      </c>
      <c r="AG483">
        <f>IF(AF483&lt;&gt;"",NETWORKDAYS(TODAY(),AF483),"")</f>
        <v/>
      </c>
      <c r="AH483">
        <f>IF(AJ483="Complete","Complete",IF(AG483&lt;0,"Overdue",IF(AG483&lt;=AE483*0.2,"At Risk","On Track")))</f>
        <v/>
      </c>
      <c r="AK483">
        <f>IF(OR(AH483="Overdue",AND(AD483="P0",AG483&lt;1),AND(AD483="P1",AG483&lt;3)),"Y","N")</f>
        <v/>
      </c>
    </row>
    <row r="484">
      <c r="K484">
        <f>IF(J484="v4.0",L484,IF(J484="v3.1",M484,IF(J484="Both",L484,IF(AND(L484&lt;&gt;"",M484=""),L484,M484))))</f>
        <v/>
      </c>
      <c r="Z484">
        <f>MIN(100,
(K484*5) +
(U484*10) +
IF(P484="Y",40,0) +
IF(Q484="P",30,0) +
IF(V484="Y",25,0) +
IF(W484="Y",20,0) +
IF(X484="Weaponized",15,IF(X484="PoC Available",10,IF(X484="Public Exploit",5,0))) +
IF(G484="Production",10,IF(G484="DMZ",8,IF(G484="DR/Backup",5,0))) +
IF(Y484="N",10,0)
)</f>
        <v/>
      </c>
      <c r="AA484">
        <f>IF(OR(P484="Y",AND(K484&gt;=9.0,W484="Y")),"P0",IF(Z484&gt;=80,"P0",IF(Z484&gt;=60,"P1",IF(Z484&gt;=40,"P2",IF(Z484&gt;=20,"P3","P4")))))</f>
        <v/>
      </c>
      <c r="AD484">
        <f>IF(AB484&lt;&gt;"",AB484,AA484)</f>
        <v/>
      </c>
      <c r="AE484">
        <f>VLOOKUP(AD484,SLA_Definitions!$A$2:$B$6,2,FALSE)</f>
        <v/>
      </c>
      <c r="AF484">
        <f>IF(B484&lt;&gt;"",WORKDAY(B484,AE484),"")</f>
        <v/>
      </c>
      <c r="AG484">
        <f>IF(AF484&lt;&gt;"",NETWORKDAYS(TODAY(),AF484),"")</f>
        <v/>
      </c>
      <c r="AH484">
        <f>IF(AJ484="Complete","Complete",IF(AG484&lt;0,"Overdue",IF(AG484&lt;=AE484*0.2,"At Risk","On Track")))</f>
        <v/>
      </c>
      <c r="AK484">
        <f>IF(OR(AH484="Overdue",AND(AD484="P0",AG484&lt;1),AND(AD484="P1",AG484&lt;3)),"Y","N")</f>
        <v/>
      </c>
    </row>
    <row r="485">
      <c r="K485">
        <f>IF(J485="v4.0",L485,IF(J485="v3.1",M485,IF(J485="Both",L485,IF(AND(L485&lt;&gt;"",M485=""),L485,M485))))</f>
        <v/>
      </c>
      <c r="Z485">
        <f>MIN(100,
(K485*5) +
(U485*10) +
IF(P485="Y",40,0) +
IF(Q485="P",30,0) +
IF(V485="Y",25,0) +
IF(W485="Y",20,0) +
IF(X485="Weaponized",15,IF(X485="PoC Available",10,IF(X485="Public Exploit",5,0))) +
IF(G485="Production",10,IF(G485="DMZ",8,IF(G485="DR/Backup",5,0))) +
IF(Y485="N",10,0)
)</f>
        <v/>
      </c>
      <c r="AA485">
        <f>IF(OR(P485="Y",AND(K485&gt;=9.0,W485="Y")),"P0",IF(Z485&gt;=80,"P0",IF(Z485&gt;=60,"P1",IF(Z485&gt;=40,"P2",IF(Z485&gt;=20,"P3","P4")))))</f>
        <v/>
      </c>
      <c r="AD485">
        <f>IF(AB485&lt;&gt;"",AB485,AA485)</f>
        <v/>
      </c>
      <c r="AE485">
        <f>VLOOKUP(AD485,SLA_Definitions!$A$2:$B$6,2,FALSE)</f>
        <v/>
      </c>
      <c r="AF485">
        <f>IF(B485&lt;&gt;"",WORKDAY(B485,AE485),"")</f>
        <v/>
      </c>
      <c r="AG485">
        <f>IF(AF485&lt;&gt;"",NETWORKDAYS(TODAY(),AF485),"")</f>
        <v/>
      </c>
      <c r="AH485">
        <f>IF(AJ485="Complete","Complete",IF(AG485&lt;0,"Overdue",IF(AG485&lt;=AE485*0.2,"At Risk","On Track")))</f>
        <v/>
      </c>
      <c r="AK485">
        <f>IF(OR(AH485="Overdue",AND(AD485="P0",AG485&lt;1),AND(AD485="P1",AG485&lt;3)),"Y","N")</f>
        <v/>
      </c>
    </row>
    <row r="486">
      <c r="K486">
        <f>IF(J486="v4.0",L486,IF(J486="v3.1",M486,IF(J486="Both",L486,IF(AND(L486&lt;&gt;"",M486=""),L486,M486))))</f>
        <v/>
      </c>
      <c r="Z486">
        <f>MIN(100,
(K486*5) +
(U486*10) +
IF(P486="Y",40,0) +
IF(Q486="P",30,0) +
IF(V486="Y",25,0) +
IF(W486="Y",20,0) +
IF(X486="Weaponized",15,IF(X486="PoC Available",10,IF(X486="Public Exploit",5,0))) +
IF(G486="Production",10,IF(G486="DMZ",8,IF(G486="DR/Backup",5,0))) +
IF(Y486="N",10,0)
)</f>
        <v/>
      </c>
      <c r="AA486">
        <f>IF(OR(P486="Y",AND(K486&gt;=9.0,W486="Y")),"P0",IF(Z486&gt;=80,"P0",IF(Z486&gt;=60,"P1",IF(Z486&gt;=40,"P2",IF(Z486&gt;=20,"P3","P4")))))</f>
        <v/>
      </c>
      <c r="AD486">
        <f>IF(AB486&lt;&gt;"",AB486,AA486)</f>
        <v/>
      </c>
      <c r="AE486">
        <f>VLOOKUP(AD486,SLA_Definitions!$A$2:$B$6,2,FALSE)</f>
        <v/>
      </c>
      <c r="AF486">
        <f>IF(B486&lt;&gt;"",WORKDAY(B486,AE486),"")</f>
        <v/>
      </c>
      <c r="AG486">
        <f>IF(AF486&lt;&gt;"",NETWORKDAYS(TODAY(),AF486),"")</f>
        <v/>
      </c>
      <c r="AH486">
        <f>IF(AJ486="Complete","Complete",IF(AG486&lt;0,"Overdue",IF(AG486&lt;=AE486*0.2,"At Risk","On Track")))</f>
        <v/>
      </c>
      <c r="AK486">
        <f>IF(OR(AH486="Overdue",AND(AD486="P0",AG486&lt;1),AND(AD486="P1",AG486&lt;3)),"Y","N")</f>
        <v/>
      </c>
    </row>
    <row r="487">
      <c r="K487">
        <f>IF(J487="v4.0",L487,IF(J487="v3.1",M487,IF(J487="Both",L487,IF(AND(L487&lt;&gt;"",M487=""),L487,M487))))</f>
        <v/>
      </c>
      <c r="Z487">
        <f>MIN(100,
(K487*5) +
(U487*10) +
IF(P487="Y",40,0) +
IF(Q487="P",30,0) +
IF(V487="Y",25,0) +
IF(W487="Y",20,0) +
IF(X487="Weaponized",15,IF(X487="PoC Available",10,IF(X487="Public Exploit",5,0))) +
IF(G487="Production",10,IF(G487="DMZ",8,IF(G487="DR/Backup",5,0))) +
IF(Y487="N",10,0)
)</f>
        <v/>
      </c>
      <c r="AA487">
        <f>IF(OR(P487="Y",AND(K487&gt;=9.0,W487="Y")),"P0",IF(Z487&gt;=80,"P0",IF(Z487&gt;=60,"P1",IF(Z487&gt;=40,"P2",IF(Z487&gt;=20,"P3","P4")))))</f>
        <v/>
      </c>
      <c r="AD487">
        <f>IF(AB487&lt;&gt;"",AB487,AA487)</f>
        <v/>
      </c>
      <c r="AE487">
        <f>VLOOKUP(AD487,SLA_Definitions!$A$2:$B$6,2,FALSE)</f>
        <v/>
      </c>
      <c r="AF487">
        <f>IF(B487&lt;&gt;"",WORKDAY(B487,AE487),"")</f>
        <v/>
      </c>
      <c r="AG487">
        <f>IF(AF487&lt;&gt;"",NETWORKDAYS(TODAY(),AF487),"")</f>
        <v/>
      </c>
      <c r="AH487">
        <f>IF(AJ487="Complete","Complete",IF(AG487&lt;0,"Overdue",IF(AG487&lt;=AE487*0.2,"At Risk","On Track")))</f>
        <v/>
      </c>
      <c r="AK487">
        <f>IF(OR(AH487="Overdue",AND(AD487="P0",AG487&lt;1),AND(AD487="P1",AG487&lt;3)),"Y","N")</f>
        <v/>
      </c>
    </row>
    <row r="488">
      <c r="K488">
        <f>IF(J488="v4.0",L488,IF(J488="v3.1",M488,IF(J488="Both",L488,IF(AND(L488&lt;&gt;"",M488=""),L488,M488))))</f>
        <v/>
      </c>
      <c r="Z488">
        <f>MIN(100,
(K488*5) +
(U488*10) +
IF(P488="Y",40,0) +
IF(Q488="P",30,0) +
IF(V488="Y",25,0) +
IF(W488="Y",20,0) +
IF(X488="Weaponized",15,IF(X488="PoC Available",10,IF(X488="Public Exploit",5,0))) +
IF(G488="Production",10,IF(G488="DMZ",8,IF(G488="DR/Backup",5,0))) +
IF(Y488="N",10,0)
)</f>
        <v/>
      </c>
      <c r="AA488">
        <f>IF(OR(P488="Y",AND(K488&gt;=9.0,W488="Y")),"P0",IF(Z488&gt;=80,"P0",IF(Z488&gt;=60,"P1",IF(Z488&gt;=40,"P2",IF(Z488&gt;=20,"P3","P4")))))</f>
        <v/>
      </c>
      <c r="AD488">
        <f>IF(AB488&lt;&gt;"",AB488,AA488)</f>
        <v/>
      </c>
      <c r="AE488">
        <f>VLOOKUP(AD488,SLA_Definitions!$A$2:$B$6,2,FALSE)</f>
        <v/>
      </c>
      <c r="AF488">
        <f>IF(B488&lt;&gt;"",WORKDAY(B488,AE488),"")</f>
        <v/>
      </c>
      <c r="AG488">
        <f>IF(AF488&lt;&gt;"",NETWORKDAYS(TODAY(),AF488),"")</f>
        <v/>
      </c>
      <c r="AH488">
        <f>IF(AJ488="Complete","Complete",IF(AG488&lt;0,"Overdue",IF(AG488&lt;=AE488*0.2,"At Risk","On Track")))</f>
        <v/>
      </c>
      <c r="AK488">
        <f>IF(OR(AH488="Overdue",AND(AD488="P0",AG488&lt;1),AND(AD488="P1",AG488&lt;3)),"Y","N")</f>
        <v/>
      </c>
    </row>
    <row r="489">
      <c r="K489">
        <f>IF(J489="v4.0",L489,IF(J489="v3.1",M489,IF(J489="Both",L489,IF(AND(L489&lt;&gt;"",M489=""),L489,M489))))</f>
        <v/>
      </c>
      <c r="Z489">
        <f>MIN(100,
(K489*5) +
(U489*10) +
IF(P489="Y",40,0) +
IF(Q489="P",30,0) +
IF(V489="Y",25,0) +
IF(W489="Y",20,0) +
IF(X489="Weaponized",15,IF(X489="PoC Available",10,IF(X489="Public Exploit",5,0))) +
IF(G489="Production",10,IF(G489="DMZ",8,IF(G489="DR/Backup",5,0))) +
IF(Y489="N",10,0)
)</f>
        <v/>
      </c>
      <c r="AA489">
        <f>IF(OR(P489="Y",AND(K489&gt;=9.0,W489="Y")),"P0",IF(Z489&gt;=80,"P0",IF(Z489&gt;=60,"P1",IF(Z489&gt;=40,"P2",IF(Z489&gt;=20,"P3","P4")))))</f>
        <v/>
      </c>
      <c r="AD489">
        <f>IF(AB489&lt;&gt;"",AB489,AA489)</f>
        <v/>
      </c>
      <c r="AE489">
        <f>VLOOKUP(AD489,SLA_Definitions!$A$2:$B$6,2,FALSE)</f>
        <v/>
      </c>
      <c r="AF489">
        <f>IF(B489&lt;&gt;"",WORKDAY(B489,AE489),"")</f>
        <v/>
      </c>
      <c r="AG489">
        <f>IF(AF489&lt;&gt;"",NETWORKDAYS(TODAY(),AF489),"")</f>
        <v/>
      </c>
      <c r="AH489">
        <f>IF(AJ489="Complete","Complete",IF(AG489&lt;0,"Overdue",IF(AG489&lt;=AE489*0.2,"At Risk","On Track")))</f>
        <v/>
      </c>
      <c r="AK489">
        <f>IF(OR(AH489="Overdue",AND(AD489="P0",AG489&lt;1),AND(AD489="P1",AG489&lt;3)),"Y","N")</f>
        <v/>
      </c>
    </row>
    <row r="490">
      <c r="K490">
        <f>IF(J490="v4.0",L490,IF(J490="v3.1",M490,IF(J490="Both",L490,IF(AND(L490&lt;&gt;"",M490=""),L490,M490))))</f>
        <v/>
      </c>
      <c r="Z490">
        <f>MIN(100,
(K490*5) +
(U490*10) +
IF(P490="Y",40,0) +
IF(Q490="P",30,0) +
IF(V490="Y",25,0) +
IF(W490="Y",20,0) +
IF(X490="Weaponized",15,IF(X490="PoC Available",10,IF(X490="Public Exploit",5,0))) +
IF(G490="Production",10,IF(G490="DMZ",8,IF(G490="DR/Backup",5,0))) +
IF(Y490="N",10,0)
)</f>
        <v/>
      </c>
      <c r="AA490">
        <f>IF(OR(P490="Y",AND(K490&gt;=9.0,W490="Y")),"P0",IF(Z490&gt;=80,"P0",IF(Z490&gt;=60,"P1",IF(Z490&gt;=40,"P2",IF(Z490&gt;=20,"P3","P4")))))</f>
        <v/>
      </c>
      <c r="AD490">
        <f>IF(AB490&lt;&gt;"",AB490,AA490)</f>
        <v/>
      </c>
      <c r="AE490">
        <f>VLOOKUP(AD490,SLA_Definitions!$A$2:$B$6,2,FALSE)</f>
        <v/>
      </c>
      <c r="AF490">
        <f>IF(B490&lt;&gt;"",WORKDAY(B490,AE490),"")</f>
        <v/>
      </c>
      <c r="AG490">
        <f>IF(AF490&lt;&gt;"",NETWORKDAYS(TODAY(),AF490),"")</f>
        <v/>
      </c>
      <c r="AH490">
        <f>IF(AJ490="Complete","Complete",IF(AG490&lt;0,"Overdue",IF(AG490&lt;=AE490*0.2,"At Risk","On Track")))</f>
        <v/>
      </c>
      <c r="AK490">
        <f>IF(OR(AH490="Overdue",AND(AD490="P0",AG490&lt;1),AND(AD490="P1",AG490&lt;3)),"Y","N")</f>
        <v/>
      </c>
    </row>
    <row r="491">
      <c r="K491">
        <f>IF(J491="v4.0",L491,IF(J491="v3.1",M491,IF(J491="Both",L491,IF(AND(L491&lt;&gt;"",M491=""),L491,M491))))</f>
        <v/>
      </c>
      <c r="Z491">
        <f>MIN(100,
(K491*5) +
(U491*10) +
IF(P491="Y",40,0) +
IF(Q491="P",30,0) +
IF(V491="Y",25,0) +
IF(W491="Y",20,0) +
IF(X491="Weaponized",15,IF(X491="PoC Available",10,IF(X491="Public Exploit",5,0))) +
IF(G491="Production",10,IF(G491="DMZ",8,IF(G491="DR/Backup",5,0))) +
IF(Y491="N",10,0)
)</f>
        <v/>
      </c>
      <c r="AA491">
        <f>IF(OR(P491="Y",AND(K491&gt;=9.0,W491="Y")),"P0",IF(Z491&gt;=80,"P0",IF(Z491&gt;=60,"P1",IF(Z491&gt;=40,"P2",IF(Z491&gt;=20,"P3","P4")))))</f>
        <v/>
      </c>
      <c r="AD491">
        <f>IF(AB491&lt;&gt;"",AB491,AA491)</f>
        <v/>
      </c>
      <c r="AE491">
        <f>VLOOKUP(AD491,SLA_Definitions!$A$2:$B$6,2,FALSE)</f>
        <v/>
      </c>
      <c r="AF491">
        <f>IF(B491&lt;&gt;"",WORKDAY(B491,AE491),"")</f>
        <v/>
      </c>
      <c r="AG491">
        <f>IF(AF491&lt;&gt;"",NETWORKDAYS(TODAY(),AF491),"")</f>
        <v/>
      </c>
      <c r="AH491">
        <f>IF(AJ491="Complete","Complete",IF(AG491&lt;0,"Overdue",IF(AG491&lt;=AE491*0.2,"At Risk","On Track")))</f>
        <v/>
      </c>
      <c r="AK491">
        <f>IF(OR(AH491="Overdue",AND(AD491="P0",AG491&lt;1),AND(AD491="P1",AG491&lt;3)),"Y","N")</f>
        <v/>
      </c>
    </row>
    <row r="492">
      <c r="K492">
        <f>IF(J492="v4.0",L492,IF(J492="v3.1",M492,IF(J492="Both",L492,IF(AND(L492&lt;&gt;"",M492=""),L492,M492))))</f>
        <v/>
      </c>
      <c r="Z492">
        <f>MIN(100,
(K492*5) +
(U492*10) +
IF(P492="Y",40,0) +
IF(Q492="P",30,0) +
IF(V492="Y",25,0) +
IF(W492="Y",20,0) +
IF(X492="Weaponized",15,IF(X492="PoC Available",10,IF(X492="Public Exploit",5,0))) +
IF(G492="Production",10,IF(G492="DMZ",8,IF(G492="DR/Backup",5,0))) +
IF(Y492="N",10,0)
)</f>
        <v/>
      </c>
      <c r="AA492">
        <f>IF(OR(P492="Y",AND(K492&gt;=9.0,W492="Y")),"P0",IF(Z492&gt;=80,"P0",IF(Z492&gt;=60,"P1",IF(Z492&gt;=40,"P2",IF(Z492&gt;=20,"P3","P4")))))</f>
        <v/>
      </c>
      <c r="AD492">
        <f>IF(AB492&lt;&gt;"",AB492,AA492)</f>
        <v/>
      </c>
      <c r="AE492">
        <f>VLOOKUP(AD492,SLA_Definitions!$A$2:$B$6,2,FALSE)</f>
        <v/>
      </c>
      <c r="AF492">
        <f>IF(B492&lt;&gt;"",WORKDAY(B492,AE492),"")</f>
        <v/>
      </c>
      <c r="AG492">
        <f>IF(AF492&lt;&gt;"",NETWORKDAYS(TODAY(),AF492),"")</f>
        <v/>
      </c>
      <c r="AH492">
        <f>IF(AJ492="Complete","Complete",IF(AG492&lt;0,"Overdue",IF(AG492&lt;=AE492*0.2,"At Risk","On Track")))</f>
        <v/>
      </c>
      <c r="AK492">
        <f>IF(OR(AH492="Overdue",AND(AD492="P0",AG492&lt;1),AND(AD492="P1",AG492&lt;3)),"Y","N")</f>
        <v/>
      </c>
    </row>
    <row r="493">
      <c r="K493">
        <f>IF(J493="v4.0",L493,IF(J493="v3.1",M493,IF(J493="Both",L493,IF(AND(L493&lt;&gt;"",M493=""),L493,M493))))</f>
        <v/>
      </c>
      <c r="Z493">
        <f>MIN(100,
(K493*5) +
(U493*10) +
IF(P493="Y",40,0) +
IF(Q493="P",30,0) +
IF(V493="Y",25,0) +
IF(W493="Y",20,0) +
IF(X493="Weaponized",15,IF(X493="PoC Available",10,IF(X493="Public Exploit",5,0))) +
IF(G493="Production",10,IF(G493="DMZ",8,IF(G493="DR/Backup",5,0))) +
IF(Y493="N",10,0)
)</f>
        <v/>
      </c>
      <c r="AA493">
        <f>IF(OR(P493="Y",AND(K493&gt;=9.0,W493="Y")),"P0",IF(Z493&gt;=80,"P0",IF(Z493&gt;=60,"P1",IF(Z493&gt;=40,"P2",IF(Z493&gt;=20,"P3","P4")))))</f>
        <v/>
      </c>
      <c r="AD493">
        <f>IF(AB493&lt;&gt;"",AB493,AA493)</f>
        <v/>
      </c>
      <c r="AE493">
        <f>VLOOKUP(AD493,SLA_Definitions!$A$2:$B$6,2,FALSE)</f>
        <v/>
      </c>
      <c r="AF493">
        <f>IF(B493&lt;&gt;"",WORKDAY(B493,AE493),"")</f>
        <v/>
      </c>
      <c r="AG493">
        <f>IF(AF493&lt;&gt;"",NETWORKDAYS(TODAY(),AF493),"")</f>
        <v/>
      </c>
      <c r="AH493">
        <f>IF(AJ493="Complete","Complete",IF(AG493&lt;0,"Overdue",IF(AG493&lt;=AE493*0.2,"At Risk","On Track")))</f>
        <v/>
      </c>
      <c r="AK493">
        <f>IF(OR(AH493="Overdue",AND(AD493="P0",AG493&lt;1),AND(AD493="P1",AG493&lt;3)),"Y","N")</f>
        <v/>
      </c>
    </row>
    <row r="494">
      <c r="K494">
        <f>IF(J494="v4.0",L494,IF(J494="v3.1",M494,IF(J494="Both",L494,IF(AND(L494&lt;&gt;"",M494=""),L494,M494))))</f>
        <v/>
      </c>
      <c r="Z494">
        <f>MIN(100,
(K494*5) +
(U494*10) +
IF(P494="Y",40,0) +
IF(Q494="P",30,0) +
IF(V494="Y",25,0) +
IF(W494="Y",20,0) +
IF(X494="Weaponized",15,IF(X494="PoC Available",10,IF(X494="Public Exploit",5,0))) +
IF(G494="Production",10,IF(G494="DMZ",8,IF(G494="DR/Backup",5,0))) +
IF(Y494="N",10,0)
)</f>
        <v/>
      </c>
      <c r="AA494">
        <f>IF(OR(P494="Y",AND(K494&gt;=9.0,W494="Y")),"P0",IF(Z494&gt;=80,"P0",IF(Z494&gt;=60,"P1",IF(Z494&gt;=40,"P2",IF(Z494&gt;=20,"P3","P4")))))</f>
        <v/>
      </c>
      <c r="AD494">
        <f>IF(AB494&lt;&gt;"",AB494,AA494)</f>
        <v/>
      </c>
      <c r="AE494">
        <f>VLOOKUP(AD494,SLA_Definitions!$A$2:$B$6,2,FALSE)</f>
        <v/>
      </c>
      <c r="AF494">
        <f>IF(B494&lt;&gt;"",WORKDAY(B494,AE494),"")</f>
        <v/>
      </c>
      <c r="AG494">
        <f>IF(AF494&lt;&gt;"",NETWORKDAYS(TODAY(),AF494),"")</f>
        <v/>
      </c>
      <c r="AH494">
        <f>IF(AJ494="Complete","Complete",IF(AG494&lt;0,"Overdue",IF(AG494&lt;=AE494*0.2,"At Risk","On Track")))</f>
        <v/>
      </c>
      <c r="AK494">
        <f>IF(OR(AH494="Overdue",AND(AD494="P0",AG494&lt;1),AND(AD494="P1",AG494&lt;3)),"Y","N")</f>
        <v/>
      </c>
    </row>
    <row r="495">
      <c r="K495">
        <f>IF(J495="v4.0",L495,IF(J495="v3.1",M495,IF(J495="Both",L495,IF(AND(L495&lt;&gt;"",M495=""),L495,M495))))</f>
        <v/>
      </c>
      <c r="Z495">
        <f>MIN(100,
(K495*5) +
(U495*10) +
IF(P495="Y",40,0) +
IF(Q495="P",30,0) +
IF(V495="Y",25,0) +
IF(W495="Y",20,0) +
IF(X495="Weaponized",15,IF(X495="PoC Available",10,IF(X495="Public Exploit",5,0))) +
IF(G495="Production",10,IF(G495="DMZ",8,IF(G495="DR/Backup",5,0))) +
IF(Y495="N",10,0)
)</f>
        <v/>
      </c>
      <c r="AA495">
        <f>IF(OR(P495="Y",AND(K495&gt;=9.0,W495="Y")),"P0",IF(Z495&gt;=80,"P0",IF(Z495&gt;=60,"P1",IF(Z495&gt;=40,"P2",IF(Z495&gt;=20,"P3","P4")))))</f>
        <v/>
      </c>
      <c r="AD495">
        <f>IF(AB495&lt;&gt;"",AB495,AA495)</f>
        <v/>
      </c>
      <c r="AE495">
        <f>VLOOKUP(AD495,SLA_Definitions!$A$2:$B$6,2,FALSE)</f>
        <v/>
      </c>
      <c r="AF495">
        <f>IF(B495&lt;&gt;"",WORKDAY(B495,AE495),"")</f>
        <v/>
      </c>
      <c r="AG495">
        <f>IF(AF495&lt;&gt;"",NETWORKDAYS(TODAY(),AF495),"")</f>
        <v/>
      </c>
      <c r="AH495">
        <f>IF(AJ495="Complete","Complete",IF(AG495&lt;0,"Overdue",IF(AG495&lt;=AE495*0.2,"At Risk","On Track")))</f>
        <v/>
      </c>
      <c r="AK495">
        <f>IF(OR(AH495="Overdue",AND(AD495="P0",AG495&lt;1),AND(AD495="P1",AG495&lt;3)),"Y","N")</f>
        <v/>
      </c>
    </row>
    <row r="496">
      <c r="K496">
        <f>IF(J496="v4.0",L496,IF(J496="v3.1",M496,IF(J496="Both",L496,IF(AND(L496&lt;&gt;"",M496=""),L496,M496))))</f>
        <v/>
      </c>
      <c r="Z496">
        <f>MIN(100,
(K496*5) +
(U496*10) +
IF(P496="Y",40,0) +
IF(Q496="P",30,0) +
IF(V496="Y",25,0) +
IF(W496="Y",20,0) +
IF(X496="Weaponized",15,IF(X496="PoC Available",10,IF(X496="Public Exploit",5,0))) +
IF(G496="Production",10,IF(G496="DMZ",8,IF(G496="DR/Backup",5,0))) +
IF(Y496="N",10,0)
)</f>
        <v/>
      </c>
      <c r="AA496">
        <f>IF(OR(P496="Y",AND(K496&gt;=9.0,W496="Y")),"P0",IF(Z496&gt;=80,"P0",IF(Z496&gt;=60,"P1",IF(Z496&gt;=40,"P2",IF(Z496&gt;=20,"P3","P4")))))</f>
        <v/>
      </c>
      <c r="AD496">
        <f>IF(AB496&lt;&gt;"",AB496,AA496)</f>
        <v/>
      </c>
      <c r="AE496">
        <f>VLOOKUP(AD496,SLA_Definitions!$A$2:$B$6,2,FALSE)</f>
        <v/>
      </c>
      <c r="AF496">
        <f>IF(B496&lt;&gt;"",WORKDAY(B496,AE496),"")</f>
        <v/>
      </c>
      <c r="AG496">
        <f>IF(AF496&lt;&gt;"",NETWORKDAYS(TODAY(),AF496),"")</f>
        <v/>
      </c>
      <c r="AH496">
        <f>IF(AJ496="Complete","Complete",IF(AG496&lt;0,"Overdue",IF(AG496&lt;=AE496*0.2,"At Risk","On Track")))</f>
        <v/>
      </c>
      <c r="AK496">
        <f>IF(OR(AH496="Overdue",AND(AD496="P0",AG496&lt;1),AND(AD496="P1",AG496&lt;3)),"Y","N")</f>
        <v/>
      </c>
    </row>
    <row r="497">
      <c r="K497">
        <f>IF(J497="v4.0",L497,IF(J497="v3.1",M497,IF(J497="Both",L497,IF(AND(L497&lt;&gt;"",M497=""),L497,M497))))</f>
        <v/>
      </c>
      <c r="Z497">
        <f>MIN(100,
(K497*5) +
(U497*10) +
IF(P497="Y",40,0) +
IF(Q497="P",30,0) +
IF(V497="Y",25,0) +
IF(W497="Y",20,0) +
IF(X497="Weaponized",15,IF(X497="PoC Available",10,IF(X497="Public Exploit",5,0))) +
IF(G497="Production",10,IF(G497="DMZ",8,IF(G497="DR/Backup",5,0))) +
IF(Y497="N",10,0)
)</f>
        <v/>
      </c>
      <c r="AA497">
        <f>IF(OR(P497="Y",AND(K497&gt;=9.0,W497="Y")),"P0",IF(Z497&gt;=80,"P0",IF(Z497&gt;=60,"P1",IF(Z497&gt;=40,"P2",IF(Z497&gt;=20,"P3","P4")))))</f>
        <v/>
      </c>
      <c r="AD497">
        <f>IF(AB497&lt;&gt;"",AB497,AA497)</f>
        <v/>
      </c>
      <c r="AE497">
        <f>VLOOKUP(AD497,SLA_Definitions!$A$2:$B$6,2,FALSE)</f>
        <v/>
      </c>
      <c r="AF497">
        <f>IF(B497&lt;&gt;"",WORKDAY(B497,AE497),"")</f>
        <v/>
      </c>
      <c r="AG497">
        <f>IF(AF497&lt;&gt;"",NETWORKDAYS(TODAY(),AF497),"")</f>
        <v/>
      </c>
      <c r="AH497">
        <f>IF(AJ497="Complete","Complete",IF(AG497&lt;0,"Overdue",IF(AG497&lt;=AE497*0.2,"At Risk","On Track")))</f>
        <v/>
      </c>
      <c r="AK497">
        <f>IF(OR(AH497="Overdue",AND(AD497="P0",AG497&lt;1),AND(AD497="P1",AG497&lt;3)),"Y","N")</f>
        <v/>
      </c>
    </row>
    <row r="498">
      <c r="K498">
        <f>IF(J498="v4.0",L498,IF(J498="v3.1",M498,IF(J498="Both",L498,IF(AND(L498&lt;&gt;"",M498=""),L498,M498))))</f>
        <v/>
      </c>
      <c r="Z498">
        <f>MIN(100,
(K498*5) +
(U498*10) +
IF(P498="Y",40,0) +
IF(Q498="P",30,0) +
IF(V498="Y",25,0) +
IF(W498="Y",20,0) +
IF(X498="Weaponized",15,IF(X498="PoC Available",10,IF(X498="Public Exploit",5,0))) +
IF(G498="Production",10,IF(G498="DMZ",8,IF(G498="DR/Backup",5,0))) +
IF(Y498="N",10,0)
)</f>
        <v/>
      </c>
      <c r="AA498">
        <f>IF(OR(P498="Y",AND(K498&gt;=9.0,W498="Y")),"P0",IF(Z498&gt;=80,"P0",IF(Z498&gt;=60,"P1",IF(Z498&gt;=40,"P2",IF(Z498&gt;=20,"P3","P4")))))</f>
        <v/>
      </c>
      <c r="AD498">
        <f>IF(AB498&lt;&gt;"",AB498,AA498)</f>
        <v/>
      </c>
      <c r="AE498">
        <f>VLOOKUP(AD498,SLA_Definitions!$A$2:$B$6,2,FALSE)</f>
        <v/>
      </c>
      <c r="AF498">
        <f>IF(B498&lt;&gt;"",WORKDAY(B498,AE498),"")</f>
        <v/>
      </c>
      <c r="AG498">
        <f>IF(AF498&lt;&gt;"",NETWORKDAYS(TODAY(),AF498),"")</f>
        <v/>
      </c>
      <c r="AH498">
        <f>IF(AJ498="Complete","Complete",IF(AG498&lt;0,"Overdue",IF(AG498&lt;=AE498*0.2,"At Risk","On Track")))</f>
        <v/>
      </c>
      <c r="AK498">
        <f>IF(OR(AH498="Overdue",AND(AD498="P0",AG498&lt;1),AND(AD498="P1",AG498&lt;3)),"Y","N")</f>
        <v/>
      </c>
    </row>
    <row r="499">
      <c r="K499">
        <f>IF(J499="v4.0",L499,IF(J499="v3.1",M499,IF(J499="Both",L499,IF(AND(L499&lt;&gt;"",M499=""),L499,M499))))</f>
        <v/>
      </c>
      <c r="Z499">
        <f>MIN(100,
(K499*5) +
(U499*10) +
IF(P499="Y",40,0) +
IF(Q499="P",30,0) +
IF(V499="Y",25,0) +
IF(W499="Y",20,0) +
IF(X499="Weaponized",15,IF(X499="PoC Available",10,IF(X499="Public Exploit",5,0))) +
IF(G499="Production",10,IF(G499="DMZ",8,IF(G499="DR/Backup",5,0))) +
IF(Y499="N",10,0)
)</f>
        <v/>
      </c>
      <c r="AA499">
        <f>IF(OR(P499="Y",AND(K499&gt;=9.0,W499="Y")),"P0",IF(Z499&gt;=80,"P0",IF(Z499&gt;=60,"P1",IF(Z499&gt;=40,"P2",IF(Z499&gt;=20,"P3","P4")))))</f>
        <v/>
      </c>
      <c r="AD499">
        <f>IF(AB499&lt;&gt;"",AB499,AA499)</f>
        <v/>
      </c>
      <c r="AE499">
        <f>VLOOKUP(AD499,SLA_Definitions!$A$2:$B$6,2,FALSE)</f>
        <v/>
      </c>
      <c r="AF499">
        <f>IF(B499&lt;&gt;"",WORKDAY(B499,AE499),"")</f>
        <v/>
      </c>
      <c r="AG499">
        <f>IF(AF499&lt;&gt;"",NETWORKDAYS(TODAY(),AF499),"")</f>
        <v/>
      </c>
      <c r="AH499">
        <f>IF(AJ499="Complete","Complete",IF(AG499&lt;0,"Overdue",IF(AG499&lt;=AE499*0.2,"At Risk","On Track")))</f>
        <v/>
      </c>
      <c r="AK499">
        <f>IF(OR(AH499="Overdue",AND(AD499="P0",AG499&lt;1),AND(AD499="P1",AG499&lt;3)),"Y","N")</f>
        <v/>
      </c>
    </row>
    <row r="500">
      <c r="K500">
        <f>IF(J500="v4.0",L500,IF(J500="v3.1",M500,IF(J500="Both",L500,IF(AND(L500&lt;&gt;"",M500=""),L500,M500))))</f>
        <v/>
      </c>
      <c r="Z500">
        <f>MIN(100,
(K500*5) +
(U500*10) +
IF(P500="Y",40,0) +
IF(Q500="P",30,0) +
IF(V500="Y",25,0) +
IF(W500="Y",20,0) +
IF(X500="Weaponized",15,IF(X500="PoC Available",10,IF(X500="Public Exploit",5,0))) +
IF(G500="Production",10,IF(G500="DMZ",8,IF(G500="DR/Backup",5,0))) +
IF(Y500="N",10,0)
)</f>
        <v/>
      </c>
      <c r="AA500">
        <f>IF(OR(P500="Y",AND(K500&gt;=9.0,W500="Y")),"P0",IF(Z500&gt;=80,"P0",IF(Z500&gt;=60,"P1",IF(Z500&gt;=40,"P2",IF(Z500&gt;=20,"P3","P4")))))</f>
        <v/>
      </c>
      <c r="AD500">
        <f>IF(AB500&lt;&gt;"",AB500,AA500)</f>
        <v/>
      </c>
      <c r="AE500">
        <f>VLOOKUP(AD500,SLA_Definitions!$A$2:$B$6,2,FALSE)</f>
        <v/>
      </c>
      <c r="AF500">
        <f>IF(B500&lt;&gt;"",WORKDAY(B500,AE500),"")</f>
        <v/>
      </c>
      <c r="AG500">
        <f>IF(AF500&lt;&gt;"",NETWORKDAYS(TODAY(),AF500),"")</f>
        <v/>
      </c>
      <c r="AH500">
        <f>IF(AJ500="Complete","Complete",IF(AG500&lt;0,"Overdue",IF(AG500&lt;=AE500*0.2,"At Risk","On Track")))</f>
        <v/>
      </c>
      <c r="AK500">
        <f>IF(OR(AH500="Overdue",AND(AD500="P0",AG500&lt;1),AND(AD500="P1",AG500&lt;3)),"Y","N")</f>
        <v/>
      </c>
    </row>
    <row r="501">
      <c r="K501">
        <f>IF(J501="v4.0",L501,IF(J501="v3.1",M501,IF(J501="Both",L501,IF(AND(L501&lt;&gt;"",M501=""),L501,M501))))</f>
        <v/>
      </c>
      <c r="Z501">
        <f>MIN(100,
(K501*5) +
(U501*10) +
IF(P501="Y",40,0) +
IF(Q501="P",30,0) +
IF(V501="Y",25,0) +
IF(W501="Y",20,0) +
IF(X501="Weaponized",15,IF(X501="PoC Available",10,IF(X501="Public Exploit",5,0))) +
IF(G501="Production",10,IF(G501="DMZ",8,IF(G501="DR/Backup",5,0))) +
IF(Y501="N",10,0)
)</f>
        <v/>
      </c>
      <c r="AA501">
        <f>IF(OR(P501="Y",AND(K501&gt;=9.0,W501="Y")),"P0",IF(Z501&gt;=80,"P0",IF(Z501&gt;=60,"P1",IF(Z501&gt;=40,"P2",IF(Z501&gt;=20,"P3","P4")))))</f>
        <v/>
      </c>
      <c r="AD501">
        <f>IF(AB501&lt;&gt;"",AB501,AA501)</f>
        <v/>
      </c>
      <c r="AE501">
        <f>VLOOKUP(AD501,SLA_Definitions!$A$2:$B$6,2,FALSE)</f>
        <v/>
      </c>
      <c r="AF501">
        <f>IF(B501&lt;&gt;"",WORKDAY(B501,AE501),"")</f>
        <v/>
      </c>
      <c r="AG501">
        <f>IF(AF501&lt;&gt;"",NETWORKDAYS(TODAY(),AF501),"")</f>
        <v/>
      </c>
      <c r="AH501">
        <f>IF(AJ501="Complete","Complete",IF(AG501&lt;0,"Overdue",IF(AG501&lt;=AE501*0.2,"At Risk","On Track")))</f>
        <v/>
      </c>
      <c r="AK501">
        <f>IF(OR(AH501="Overdue",AND(AD501="P0",AG501&lt;1),AND(AD501="P1",AG501&lt;3)),"Y","N")</f>
        <v/>
      </c>
    </row>
    <row r="502">
      <c r="K502">
        <f>IF(J502="v4.0",L502,IF(J502="v3.1",M502,IF(J502="Both",L502,IF(AND(L502&lt;&gt;"",M502=""),L502,M502))))</f>
        <v/>
      </c>
      <c r="Z502">
        <f>MIN(100,
(K502*5) +
(U502*10) +
IF(P502="Y",40,0) +
IF(Q502="P",30,0) +
IF(V502="Y",25,0) +
IF(W502="Y",20,0) +
IF(X502="Weaponized",15,IF(X502="PoC Available",10,IF(X502="Public Exploit",5,0))) +
IF(G502="Production",10,IF(G502="DMZ",8,IF(G502="DR/Backup",5,0))) +
IF(Y502="N",10,0)
)</f>
        <v/>
      </c>
      <c r="AA502">
        <f>IF(OR(P502="Y",AND(K502&gt;=9.0,W502="Y")),"P0",IF(Z502&gt;=80,"P0",IF(Z502&gt;=60,"P1",IF(Z502&gt;=40,"P2",IF(Z502&gt;=20,"P3","P4")))))</f>
        <v/>
      </c>
      <c r="AD502">
        <f>IF(AB502&lt;&gt;"",AB502,AA502)</f>
        <v/>
      </c>
      <c r="AE502">
        <f>VLOOKUP(AD502,SLA_Definitions!$A$2:$B$6,2,FALSE)</f>
        <v/>
      </c>
      <c r="AF502">
        <f>IF(B502&lt;&gt;"",WORKDAY(B502,AE502),"")</f>
        <v/>
      </c>
      <c r="AG502">
        <f>IF(AF502&lt;&gt;"",NETWORKDAYS(TODAY(),AF502),"")</f>
        <v/>
      </c>
      <c r="AH502">
        <f>IF(AJ502="Complete","Complete",IF(AG502&lt;0,"Overdue",IF(AG502&lt;=AE502*0.2,"At Risk","On Track")))</f>
        <v/>
      </c>
      <c r="AK502">
        <f>IF(OR(AH502="Overdue",AND(AD502="P0",AG502&lt;1),AND(AD502="P1",AG502&lt;3)),"Y","N")</f>
        <v/>
      </c>
    </row>
    <row r="503">
      <c r="K503">
        <f>IF(J503="v4.0",L503,IF(J503="v3.1",M503,IF(J503="Both",L503,IF(AND(L503&lt;&gt;"",M503=""),L503,M503))))</f>
        <v/>
      </c>
      <c r="Z503">
        <f>MIN(100,
(K503*5) +
(U503*10) +
IF(P503="Y",40,0) +
IF(Q503="P",30,0) +
IF(V503="Y",25,0) +
IF(W503="Y",20,0) +
IF(X503="Weaponized",15,IF(X503="PoC Available",10,IF(X503="Public Exploit",5,0))) +
IF(G503="Production",10,IF(G503="DMZ",8,IF(G503="DR/Backup",5,0))) +
IF(Y503="N",10,0)
)</f>
        <v/>
      </c>
      <c r="AA503">
        <f>IF(OR(P503="Y",AND(K503&gt;=9.0,W503="Y")),"P0",IF(Z503&gt;=80,"P0",IF(Z503&gt;=60,"P1",IF(Z503&gt;=40,"P2",IF(Z503&gt;=20,"P3","P4")))))</f>
        <v/>
      </c>
      <c r="AD503">
        <f>IF(AB503&lt;&gt;"",AB503,AA503)</f>
        <v/>
      </c>
      <c r="AE503">
        <f>VLOOKUP(AD503,SLA_Definitions!$A$2:$B$6,2,FALSE)</f>
        <v/>
      </c>
      <c r="AF503">
        <f>IF(B503&lt;&gt;"",WORKDAY(B503,AE503),"")</f>
        <v/>
      </c>
      <c r="AG503">
        <f>IF(AF503&lt;&gt;"",NETWORKDAYS(TODAY(),AF503),"")</f>
        <v/>
      </c>
      <c r="AH503">
        <f>IF(AJ503="Complete","Complete",IF(AG503&lt;0,"Overdue",IF(AG503&lt;=AE503*0.2,"At Risk","On Track")))</f>
        <v/>
      </c>
      <c r="AK503">
        <f>IF(OR(AH503="Overdue",AND(AD503="P0",AG503&lt;1),AND(AD503="P1",AG503&lt;3)),"Y","N")</f>
        <v/>
      </c>
    </row>
    <row r="504">
      <c r="K504">
        <f>IF(J504="v4.0",L504,IF(J504="v3.1",M504,IF(J504="Both",L504,IF(AND(L504&lt;&gt;"",M504=""),L504,M504))))</f>
        <v/>
      </c>
      <c r="Z504">
        <f>MIN(100,
(K504*5) +
(U504*10) +
IF(P504="Y",40,0) +
IF(Q504="P",30,0) +
IF(V504="Y",25,0) +
IF(W504="Y",20,0) +
IF(X504="Weaponized",15,IF(X504="PoC Available",10,IF(X504="Public Exploit",5,0))) +
IF(G504="Production",10,IF(G504="DMZ",8,IF(G504="DR/Backup",5,0))) +
IF(Y504="N",10,0)
)</f>
        <v/>
      </c>
      <c r="AA504">
        <f>IF(OR(P504="Y",AND(K504&gt;=9.0,W504="Y")),"P0",IF(Z504&gt;=80,"P0",IF(Z504&gt;=60,"P1",IF(Z504&gt;=40,"P2",IF(Z504&gt;=20,"P3","P4")))))</f>
        <v/>
      </c>
      <c r="AD504">
        <f>IF(AB504&lt;&gt;"",AB504,AA504)</f>
        <v/>
      </c>
      <c r="AE504">
        <f>VLOOKUP(AD504,SLA_Definitions!$A$2:$B$6,2,FALSE)</f>
        <v/>
      </c>
      <c r="AF504">
        <f>IF(B504&lt;&gt;"",WORKDAY(B504,AE504),"")</f>
        <v/>
      </c>
      <c r="AG504">
        <f>IF(AF504&lt;&gt;"",NETWORKDAYS(TODAY(),AF504),"")</f>
        <v/>
      </c>
      <c r="AH504">
        <f>IF(AJ504="Complete","Complete",IF(AG504&lt;0,"Overdue",IF(AG504&lt;=AE504*0.2,"At Risk","On Track")))</f>
        <v/>
      </c>
      <c r="AK504">
        <f>IF(OR(AH504="Overdue",AND(AD504="P0",AG504&lt;1),AND(AD504="P1",AG504&lt;3)),"Y","N")</f>
        <v/>
      </c>
    </row>
    <row r="505">
      <c r="K505">
        <f>IF(J505="v4.0",L505,IF(J505="v3.1",M505,IF(J505="Both",L505,IF(AND(L505&lt;&gt;"",M505=""),L505,M505))))</f>
        <v/>
      </c>
      <c r="Z505">
        <f>MIN(100,
(K505*5) +
(U505*10) +
IF(P505="Y",40,0) +
IF(Q505="P",30,0) +
IF(V505="Y",25,0) +
IF(W505="Y",20,0) +
IF(X505="Weaponized",15,IF(X505="PoC Available",10,IF(X505="Public Exploit",5,0))) +
IF(G505="Production",10,IF(G505="DMZ",8,IF(G505="DR/Backup",5,0))) +
IF(Y505="N",10,0)
)</f>
        <v/>
      </c>
      <c r="AA505">
        <f>IF(OR(P505="Y",AND(K505&gt;=9.0,W505="Y")),"P0",IF(Z505&gt;=80,"P0",IF(Z505&gt;=60,"P1",IF(Z505&gt;=40,"P2",IF(Z505&gt;=20,"P3","P4")))))</f>
        <v/>
      </c>
      <c r="AD505">
        <f>IF(AB505&lt;&gt;"",AB505,AA505)</f>
        <v/>
      </c>
      <c r="AE505">
        <f>VLOOKUP(AD505,SLA_Definitions!$A$2:$B$6,2,FALSE)</f>
        <v/>
      </c>
      <c r="AF505">
        <f>IF(B505&lt;&gt;"",WORKDAY(B505,AE505),"")</f>
        <v/>
      </c>
      <c r="AG505">
        <f>IF(AF505&lt;&gt;"",NETWORKDAYS(TODAY(),AF505),"")</f>
        <v/>
      </c>
      <c r="AH505">
        <f>IF(AJ505="Complete","Complete",IF(AG505&lt;0,"Overdue",IF(AG505&lt;=AE505*0.2,"At Risk","On Track")))</f>
        <v/>
      </c>
      <c r="AK505">
        <f>IF(OR(AH505="Overdue",AND(AD505="P0",AG505&lt;1),AND(AD505="P1",AG505&lt;3)),"Y","N")</f>
        <v/>
      </c>
    </row>
    <row r="506">
      <c r="K506">
        <f>IF(J506="v4.0",L506,IF(J506="v3.1",M506,IF(J506="Both",L506,IF(AND(L506&lt;&gt;"",M506=""),L506,M506))))</f>
        <v/>
      </c>
      <c r="Z506">
        <f>MIN(100,
(K506*5) +
(U506*10) +
IF(P506="Y",40,0) +
IF(Q506="P",30,0) +
IF(V506="Y",25,0) +
IF(W506="Y",20,0) +
IF(X506="Weaponized",15,IF(X506="PoC Available",10,IF(X506="Public Exploit",5,0))) +
IF(G506="Production",10,IF(G506="DMZ",8,IF(G506="DR/Backup",5,0))) +
IF(Y506="N",10,0)
)</f>
        <v/>
      </c>
      <c r="AA506">
        <f>IF(OR(P506="Y",AND(K506&gt;=9.0,W506="Y")),"P0",IF(Z506&gt;=80,"P0",IF(Z506&gt;=60,"P1",IF(Z506&gt;=40,"P2",IF(Z506&gt;=20,"P3","P4")))))</f>
        <v/>
      </c>
      <c r="AD506">
        <f>IF(AB506&lt;&gt;"",AB506,AA506)</f>
        <v/>
      </c>
      <c r="AE506">
        <f>VLOOKUP(AD506,SLA_Definitions!$A$2:$B$6,2,FALSE)</f>
        <v/>
      </c>
      <c r="AF506">
        <f>IF(B506&lt;&gt;"",WORKDAY(B506,AE506),"")</f>
        <v/>
      </c>
      <c r="AG506">
        <f>IF(AF506&lt;&gt;"",NETWORKDAYS(TODAY(),AF506),"")</f>
        <v/>
      </c>
      <c r="AH506">
        <f>IF(AJ506="Complete","Complete",IF(AG506&lt;0,"Overdue",IF(AG506&lt;=AE506*0.2,"At Risk","On Track")))</f>
        <v/>
      </c>
      <c r="AK506">
        <f>IF(OR(AH506="Overdue",AND(AD506="P0",AG506&lt;1),AND(AD506="P1",AG506&lt;3)),"Y","N")</f>
        <v/>
      </c>
    </row>
    <row r="507">
      <c r="K507">
        <f>IF(J507="v4.0",L507,IF(J507="v3.1",M507,IF(J507="Both",L507,IF(AND(L507&lt;&gt;"",M507=""),L507,M507))))</f>
        <v/>
      </c>
      <c r="Z507">
        <f>MIN(100,
(K507*5) +
(U507*10) +
IF(P507="Y",40,0) +
IF(Q507="P",30,0) +
IF(V507="Y",25,0) +
IF(W507="Y",20,0) +
IF(X507="Weaponized",15,IF(X507="PoC Available",10,IF(X507="Public Exploit",5,0))) +
IF(G507="Production",10,IF(G507="DMZ",8,IF(G507="DR/Backup",5,0))) +
IF(Y507="N",10,0)
)</f>
        <v/>
      </c>
      <c r="AA507">
        <f>IF(OR(P507="Y",AND(K507&gt;=9.0,W507="Y")),"P0",IF(Z507&gt;=80,"P0",IF(Z507&gt;=60,"P1",IF(Z507&gt;=40,"P2",IF(Z507&gt;=20,"P3","P4")))))</f>
        <v/>
      </c>
      <c r="AD507">
        <f>IF(AB507&lt;&gt;"",AB507,AA507)</f>
        <v/>
      </c>
      <c r="AE507">
        <f>VLOOKUP(AD507,SLA_Definitions!$A$2:$B$6,2,FALSE)</f>
        <v/>
      </c>
      <c r="AF507">
        <f>IF(B507&lt;&gt;"",WORKDAY(B507,AE507),"")</f>
        <v/>
      </c>
      <c r="AG507">
        <f>IF(AF507&lt;&gt;"",NETWORKDAYS(TODAY(),AF507),"")</f>
        <v/>
      </c>
      <c r="AH507">
        <f>IF(AJ507="Complete","Complete",IF(AG507&lt;0,"Overdue",IF(AG507&lt;=AE507*0.2,"At Risk","On Track")))</f>
        <v/>
      </c>
      <c r="AK507">
        <f>IF(OR(AH507="Overdue",AND(AD507="P0",AG507&lt;1),AND(AD507="P1",AG507&lt;3)),"Y","N")</f>
        <v/>
      </c>
    </row>
    <row r="508">
      <c r="K508">
        <f>IF(J508="v4.0",L508,IF(J508="v3.1",M508,IF(J508="Both",L508,IF(AND(L508&lt;&gt;"",M508=""),L508,M508))))</f>
        <v/>
      </c>
      <c r="Z508">
        <f>MIN(100,
(K508*5) +
(U508*10) +
IF(P508="Y",40,0) +
IF(Q508="P",30,0) +
IF(V508="Y",25,0) +
IF(W508="Y",20,0) +
IF(X508="Weaponized",15,IF(X508="PoC Available",10,IF(X508="Public Exploit",5,0))) +
IF(G508="Production",10,IF(G508="DMZ",8,IF(G508="DR/Backup",5,0))) +
IF(Y508="N",10,0)
)</f>
        <v/>
      </c>
      <c r="AA508">
        <f>IF(OR(P508="Y",AND(K508&gt;=9.0,W508="Y")),"P0",IF(Z508&gt;=80,"P0",IF(Z508&gt;=60,"P1",IF(Z508&gt;=40,"P2",IF(Z508&gt;=20,"P3","P4")))))</f>
        <v/>
      </c>
      <c r="AD508">
        <f>IF(AB508&lt;&gt;"",AB508,AA508)</f>
        <v/>
      </c>
      <c r="AE508">
        <f>VLOOKUP(AD508,SLA_Definitions!$A$2:$B$6,2,FALSE)</f>
        <v/>
      </c>
      <c r="AF508">
        <f>IF(B508&lt;&gt;"",WORKDAY(B508,AE508),"")</f>
        <v/>
      </c>
      <c r="AG508">
        <f>IF(AF508&lt;&gt;"",NETWORKDAYS(TODAY(),AF508),"")</f>
        <v/>
      </c>
      <c r="AH508">
        <f>IF(AJ508="Complete","Complete",IF(AG508&lt;0,"Overdue",IF(AG508&lt;=AE508*0.2,"At Risk","On Track")))</f>
        <v/>
      </c>
      <c r="AK508">
        <f>IF(OR(AH508="Overdue",AND(AD508="P0",AG508&lt;1),AND(AD508="P1",AG508&lt;3)),"Y","N")</f>
        <v/>
      </c>
    </row>
    <row r="509">
      <c r="K509">
        <f>IF(J509="v4.0",L509,IF(J509="v3.1",M509,IF(J509="Both",L509,IF(AND(L509&lt;&gt;"",M509=""),L509,M509))))</f>
        <v/>
      </c>
      <c r="Z509">
        <f>MIN(100,
(K509*5) +
(U509*10) +
IF(P509="Y",40,0) +
IF(Q509="P",30,0) +
IF(V509="Y",25,0) +
IF(W509="Y",20,0) +
IF(X509="Weaponized",15,IF(X509="PoC Available",10,IF(X509="Public Exploit",5,0))) +
IF(G509="Production",10,IF(G509="DMZ",8,IF(G509="DR/Backup",5,0))) +
IF(Y509="N",10,0)
)</f>
        <v/>
      </c>
      <c r="AA509">
        <f>IF(OR(P509="Y",AND(K509&gt;=9.0,W509="Y")),"P0",IF(Z509&gt;=80,"P0",IF(Z509&gt;=60,"P1",IF(Z509&gt;=40,"P2",IF(Z509&gt;=20,"P3","P4")))))</f>
        <v/>
      </c>
      <c r="AD509">
        <f>IF(AB509&lt;&gt;"",AB509,AA509)</f>
        <v/>
      </c>
      <c r="AE509">
        <f>VLOOKUP(AD509,SLA_Definitions!$A$2:$B$6,2,FALSE)</f>
        <v/>
      </c>
      <c r="AF509">
        <f>IF(B509&lt;&gt;"",WORKDAY(B509,AE509),"")</f>
        <v/>
      </c>
      <c r="AG509">
        <f>IF(AF509&lt;&gt;"",NETWORKDAYS(TODAY(),AF509),"")</f>
        <v/>
      </c>
      <c r="AH509">
        <f>IF(AJ509="Complete","Complete",IF(AG509&lt;0,"Overdue",IF(AG509&lt;=AE509*0.2,"At Risk","On Track")))</f>
        <v/>
      </c>
      <c r="AK509">
        <f>IF(OR(AH509="Overdue",AND(AD509="P0",AG509&lt;1),AND(AD509="P1",AG509&lt;3)),"Y","N")</f>
        <v/>
      </c>
    </row>
    <row r="510">
      <c r="K510">
        <f>IF(J510="v4.0",L510,IF(J510="v3.1",M510,IF(J510="Both",L510,IF(AND(L510&lt;&gt;"",M510=""),L510,M510))))</f>
        <v/>
      </c>
      <c r="Z510">
        <f>MIN(100,
(K510*5) +
(U510*10) +
IF(P510="Y",40,0) +
IF(Q510="P",30,0) +
IF(V510="Y",25,0) +
IF(W510="Y",20,0) +
IF(X510="Weaponized",15,IF(X510="PoC Available",10,IF(X510="Public Exploit",5,0))) +
IF(G510="Production",10,IF(G510="DMZ",8,IF(G510="DR/Backup",5,0))) +
IF(Y510="N",10,0)
)</f>
        <v/>
      </c>
      <c r="AA510">
        <f>IF(OR(P510="Y",AND(K510&gt;=9.0,W510="Y")),"P0",IF(Z510&gt;=80,"P0",IF(Z510&gt;=60,"P1",IF(Z510&gt;=40,"P2",IF(Z510&gt;=20,"P3","P4")))))</f>
        <v/>
      </c>
      <c r="AD510">
        <f>IF(AB510&lt;&gt;"",AB510,AA510)</f>
        <v/>
      </c>
      <c r="AE510">
        <f>VLOOKUP(AD510,SLA_Definitions!$A$2:$B$6,2,FALSE)</f>
        <v/>
      </c>
      <c r="AF510">
        <f>IF(B510&lt;&gt;"",WORKDAY(B510,AE510),"")</f>
        <v/>
      </c>
      <c r="AG510">
        <f>IF(AF510&lt;&gt;"",NETWORKDAYS(TODAY(),AF510),"")</f>
        <v/>
      </c>
      <c r="AH510">
        <f>IF(AJ510="Complete","Complete",IF(AG510&lt;0,"Overdue",IF(AG510&lt;=AE510*0.2,"At Risk","On Track")))</f>
        <v/>
      </c>
      <c r="AK510">
        <f>IF(OR(AH510="Overdue",AND(AD510="P0",AG510&lt;1),AND(AD510="P1",AG510&lt;3)),"Y","N")</f>
        <v/>
      </c>
    </row>
    <row r="511">
      <c r="K511">
        <f>IF(J511="v4.0",L511,IF(J511="v3.1",M511,IF(J511="Both",L511,IF(AND(L511&lt;&gt;"",M511=""),L511,M511))))</f>
        <v/>
      </c>
      <c r="Z511">
        <f>MIN(100,
(K511*5) +
(U511*10) +
IF(P511="Y",40,0) +
IF(Q511="P",30,0) +
IF(V511="Y",25,0) +
IF(W511="Y",20,0) +
IF(X511="Weaponized",15,IF(X511="PoC Available",10,IF(X511="Public Exploit",5,0))) +
IF(G511="Production",10,IF(G511="DMZ",8,IF(G511="DR/Backup",5,0))) +
IF(Y511="N",10,0)
)</f>
        <v/>
      </c>
      <c r="AA511">
        <f>IF(OR(P511="Y",AND(K511&gt;=9.0,W511="Y")),"P0",IF(Z511&gt;=80,"P0",IF(Z511&gt;=60,"P1",IF(Z511&gt;=40,"P2",IF(Z511&gt;=20,"P3","P4")))))</f>
        <v/>
      </c>
      <c r="AD511">
        <f>IF(AB511&lt;&gt;"",AB511,AA511)</f>
        <v/>
      </c>
      <c r="AE511">
        <f>VLOOKUP(AD511,SLA_Definitions!$A$2:$B$6,2,FALSE)</f>
        <v/>
      </c>
      <c r="AF511">
        <f>IF(B511&lt;&gt;"",WORKDAY(B511,AE511),"")</f>
        <v/>
      </c>
      <c r="AG511">
        <f>IF(AF511&lt;&gt;"",NETWORKDAYS(TODAY(),AF511),"")</f>
        <v/>
      </c>
      <c r="AH511">
        <f>IF(AJ511="Complete","Complete",IF(AG511&lt;0,"Overdue",IF(AG511&lt;=AE511*0.2,"At Risk","On Track")))</f>
        <v/>
      </c>
      <c r="AK511">
        <f>IF(OR(AH511="Overdue",AND(AD511="P0",AG511&lt;1),AND(AD511="P1",AG511&lt;3)),"Y","N")</f>
        <v/>
      </c>
    </row>
    <row r="512">
      <c r="K512">
        <f>IF(J512="v4.0",L512,IF(J512="v3.1",M512,IF(J512="Both",L512,IF(AND(L512&lt;&gt;"",M512=""),L512,M512))))</f>
        <v/>
      </c>
      <c r="Z512">
        <f>MIN(100,
(K512*5) +
(U512*10) +
IF(P512="Y",40,0) +
IF(Q512="P",30,0) +
IF(V512="Y",25,0) +
IF(W512="Y",20,0) +
IF(X512="Weaponized",15,IF(X512="PoC Available",10,IF(X512="Public Exploit",5,0))) +
IF(G512="Production",10,IF(G512="DMZ",8,IF(G512="DR/Backup",5,0))) +
IF(Y512="N",10,0)
)</f>
        <v/>
      </c>
      <c r="AA512">
        <f>IF(OR(P512="Y",AND(K512&gt;=9.0,W512="Y")),"P0",IF(Z512&gt;=80,"P0",IF(Z512&gt;=60,"P1",IF(Z512&gt;=40,"P2",IF(Z512&gt;=20,"P3","P4")))))</f>
        <v/>
      </c>
      <c r="AD512">
        <f>IF(AB512&lt;&gt;"",AB512,AA512)</f>
        <v/>
      </c>
      <c r="AE512">
        <f>VLOOKUP(AD512,SLA_Definitions!$A$2:$B$6,2,FALSE)</f>
        <v/>
      </c>
      <c r="AF512">
        <f>IF(B512&lt;&gt;"",WORKDAY(B512,AE512),"")</f>
        <v/>
      </c>
      <c r="AG512">
        <f>IF(AF512&lt;&gt;"",NETWORKDAYS(TODAY(),AF512),"")</f>
        <v/>
      </c>
      <c r="AH512">
        <f>IF(AJ512="Complete","Complete",IF(AG512&lt;0,"Overdue",IF(AG512&lt;=AE512*0.2,"At Risk","On Track")))</f>
        <v/>
      </c>
      <c r="AK512">
        <f>IF(OR(AH512="Overdue",AND(AD512="P0",AG512&lt;1),AND(AD512="P1",AG512&lt;3)),"Y","N")</f>
        <v/>
      </c>
    </row>
    <row r="513">
      <c r="K513">
        <f>IF(J513="v4.0",L513,IF(J513="v3.1",M513,IF(J513="Both",L513,IF(AND(L513&lt;&gt;"",M513=""),L513,M513))))</f>
        <v/>
      </c>
      <c r="Z513">
        <f>MIN(100,
(K513*5) +
(U513*10) +
IF(P513="Y",40,0) +
IF(Q513="P",30,0) +
IF(V513="Y",25,0) +
IF(W513="Y",20,0) +
IF(X513="Weaponized",15,IF(X513="PoC Available",10,IF(X513="Public Exploit",5,0))) +
IF(G513="Production",10,IF(G513="DMZ",8,IF(G513="DR/Backup",5,0))) +
IF(Y513="N",10,0)
)</f>
        <v/>
      </c>
      <c r="AA513">
        <f>IF(OR(P513="Y",AND(K513&gt;=9.0,W513="Y")),"P0",IF(Z513&gt;=80,"P0",IF(Z513&gt;=60,"P1",IF(Z513&gt;=40,"P2",IF(Z513&gt;=20,"P3","P4")))))</f>
        <v/>
      </c>
      <c r="AD513">
        <f>IF(AB513&lt;&gt;"",AB513,AA513)</f>
        <v/>
      </c>
      <c r="AE513">
        <f>VLOOKUP(AD513,SLA_Definitions!$A$2:$B$6,2,FALSE)</f>
        <v/>
      </c>
      <c r="AF513">
        <f>IF(B513&lt;&gt;"",WORKDAY(B513,AE513),"")</f>
        <v/>
      </c>
      <c r="AG513">
        <f>IF(AF513&lt;&gt;"",NETWORKDAYS(TODAY(),AF513),"")</f>
        <v/>
      </c>
      <c r="AH513">
        <f>IF(AJ513="Complete","Complete",IF(AG513&lt;0,"Overdue",IF(AG513&lt;=AE513*0.2,"At Risk","On Track")))</f>
        <v/>
      </c>
      <c r="AK513">
        <f>IF(OR(AH513="Overdue",AND(AD513="P0",AG513&lt;1),AND(AD513="P1",AG513&lt;3)),"Y","N")</f>
        <v/>
      </c>
    </row>
    <row r="514">
      <c r="K514">
        <f>IF(J514="v4.0",L514,IF(J514="v3.1",M514,IF(J514="Both",L514,IF(AND(L514&lt;&gt;"",M514=""),L514,M514))))</f>
        <v/>
      </c>
      <c r="Z514">
        <f>MIN(100,
(K514*5) +
(U514*10) +
IF(P514="Y",40,0) +
IF(Q514="P",30,0) +
IF(V514="Y",25,0) +
IF(W514="Y",20,0) +
IF(X514="Weaponized",15,IF(X514="PoC Available",10,IF(X514="Public Exploit",5,0))) +
IF(G514="Production",10,IF(G514="DMZ",8,IF(G514="DR/Backup",5,0))) +
IF(Y514="N",10,0)
)</f>
        <v/>
      </c>
      <c r="AA514">
        <f>IF(OR(P514="Y",AND(K514&gt;=9.0,W514="Y")),"P0",IF(Z514&gt;=80,"P0",IF(Z514&gt;=60,"P1",IF(Z514&gt;=40,"P2",IF(Z514&gt;=20,"P3","P4")))))</f>
        <v/>
      </c>
      <c r="AD514">
        <f>IF(AB514&lt;&gt;"",AB514,AA514)</f>
        <v/>
      </c>
      <c r="AE514">
        <f>VLOOKUP(AD514,SLA_Definitions!$A$2:$B$6,2,FALSE)</f>
        <v/>
      </c>
      <c r="AF514">
        <f>IF(B514&lt;&gt;"",WORKDAY(B514,AE514),"")</f>
        <v/>
      </c>
      <c r="AG514">
        <f>IF(AF514&lt;&gt;"",NETWORKDAYS(TODAY(),AF514),"")</f>
        <v/>
      </c>
      <c r="AH514">
        <f>IF(AJ514="Complete","Complete",IF(AG514&lt;0,"Overdue",IF(AG514&lt;=AE514*0.2,"At Risk","On Track")))</f>
        <v/>
      </c>
      <c r="AK514">
        <f>IF(OR(AH514="Overdue",AND(AD514="P0",AG514&lt;1),AND(AD514="P1",AG514&lt;3)),"Y","N")</f>
        <v/>
      </c>
    </row>
    <row r="515">
      <c r="K515">
        <f>IF(J515="v4.0",L515,IF(J515="v3.1",M515,IF(J515="Both",L515,IF(AND(L515&lt;&gt;"",M515=""),L515,M515))))</f>
        <v/>
      </c>
      <c r="Z515">
        <f>MIN(100,
(K515*5) +
(U515*10) +
IF(P515="Y",40,0) +
IF(Q515="P",30,0) +
IF(V515="Y",25,0) +
IF(W515="Y",20,0) +
IF(X515="Weaponized",15,IF(X515="PoC Available",10,IF(X515="Public Exploit",5,0))) +
IF(G515="Production",10,IF(G515="DMZ",8,IF(G515="DR/Backup",5,0))) +
IF(Y515="N",10,0)
)</f>
        <v/>
      </c>
      <c r="AA515">
        <f>IF(OR(P515="Y",AND(K515&gt;=9.0,W515="Y")),"P0",IF(Z515&gt;=80,"P0",IF(Z515&gt;=60,"P1",IF(Z515&gt;=40,"P2",IF(Z515&gt;=20,"P3","P4")))))</f>
        <v/>
      </c>
      <c r="AD515">
        <f>IF(AB515&lt;&gt;"",AB515,AA515)</f>
        <v/>
      </c>
      <c r="AE515">
        <f>VLOOKUP(AD515,SLA_Definitions!$A$2:$B$6,2,FALSE)</f>
        <v/>
      </c>
      <c r="AF515">
        <f>IF(B515&lt;&gt;"",WORKDAY(B515,AE515),"")</f>
        <v/>
      </c>
      <c r="AG515">
        <f>IF(AF515&lt;&gt;"",NETWORKDAYS(TODAY(),AF515),"")</f>
        <v/>
      </c>
      <c r="AH515">
        <f>IF(AJ515="Complete","Complete",IF(AG515&lt;0,"Overdue",IF(AG515&lt;=AE515*0.2,"At Risk","On Track")))</f>
        <v/>
      </c>
      <c r="AK515">
        <f>IF(OR(AH515="Overdue",AND(AD515="P0",AG515&lt;1),AND(AD515="P1",AG515&lt;3)),"Y","N")</f>
        <v/>
      </c>
    </row>
    <row r="516">
      <c r="K516">
        <f>IF(J516="v4.0",L516,IF(J516="v3.1",M516,IF(J516="Both",L516,IF(AND(L516&lt;&gt;"",M516=""),L516,M516))))</f>
        <v/>
      </c>
      <c r="Z516">
        <f>MIN(100,
(K516*5) +
(U516*10) +
IF(P516="Y",40,0) +
IF(Q516="P",30,0) +
IF(V516="Y",25,0) +
IF(W516="Y",20,0) +
IF(X516="Weaponized",15,IF(X516="PoC Available",10,IF(X516="Public Exploit",5,0))) +
IF(G516="Production",10,IF(G516="DMZ",8,IF(G516="DR/Backup",5,0))) +
IF(Y516="N",10,0)
)</f>
        <v/>
      </c>
      <c r="AA516">
        <f>IF(OR(P516="Y",AND(K516&gt;=9.0,W516="Y")),"P0",IF(Z516&gt;=80,"P0",IF(Z516&gt;=60,"P1",IF(Z516&gt;=40,"P2",IF(Z516&gt;=20,"P3","P4")))))</f>
        <v/>
      </c>
      <c r="AD516">
        <f>IF(AB516&lt;&gt;"",AB516,AA516)</f>
        <v/>
      </c>
      <c r="AE516">
        <f>VLOOKUP(AD516,SLA_Definitions!$A$2:$B$6,2,FALSE)</f>
        <v/>
      </c>
      <c r="AF516">
        <f>IF(B516&lt;&gt;"",WORKDAY(B516,AE516),"")</f>
        <v/>
      </c>
      <c r="AG516">
        <f>IF(AF516&lt;&gt;"",NETWORKDAYS(TODAY(),AF516),"")</f>
        <v/>
      </c>
      <c r="AH516">
        <f>IF(AJ516="Complete","Complete",IF(AG516&lt;0,"Overdue",IF(AG516&lt;=AE516*0.2,"At Risk","On Track")))</f>
        <v/>
      </c>
      <c r="AK516">
        <f>IF(OR(AH516="Overdue",AND(AD516="P0",AG516&lt;1),AND(AD516="P1",AG516&lt;3)),"Y","N")</f>
        <v/>
      </c>
    </row>
    <row r="517">
      <c r="K517">
        <f>IF(J517="v4.0",L517,IF(J517="v3.1",M517,IF(J517="Both",L517,IF(AND(L517&lt;&gt;"",M517=""),L517,M517))))</f>
        <v/>
      </c>
      <c r="Z517">
        <f>MIN(100,
(K517*5) +
(U517*10) +
IF(P517="Y",40,0) +
IF(Q517="P",30,0) +
IF(V517="Y",25,0) +
IF(W517="Y",20,0) +
IF(X517="Weaponized",15,IF(X517="PoC Available",10,IF(X517="Public Exploit",5,0))) +
IF(G517="Production",10,IF(G517="DMZ",8,IF(G517="DR/Backup",5,0))) +
IF(Y517="N",10,0)
)</f>
        <v/>
      </c>
      <c r="AA517">
        <f>IF(OR(P517="Y",AND(K517&gt;=9.0,W517="Y")),"P0",IF(Z517&gt;=80,"P0",IF(Z517&gt;=60,"P1",IF(Z517&gt;=40,"P2",IF(Z517&gt;=20,"P3","P4")))))</f>
        <v/>
      </c>
      <c r="AD517">
        <f>IF(AB517&lt;&gt;"",AB517,AA517)</f>
        <v/>
      </c>
      <c r="AE517">
        <f>VLOOKUP(AD517,SLA_Definitions!$A$2:$B$6,2,FALSE)</f>
        <v/>
      </c>
      <c r="AF517">
        <f>IF(B517&lt;&gt;"",WORKDAY(B517,AE517),"")</f>
        <v/>
      </c>
      <c r="AG517">
        <f>IF(AF517&lt;&gt;"",NETWORKDAYS(TODAY(),AF517),"")</f>
        <v/>
      </c>
      <c r="AH517">
        <f>IF(AJ517="Complete","Complete",IF(AG517&lt;0,"Overdue",IF(AG517&lt;=AE517*0.2,"At Risk","On Track")))</f>
        <v/>
      </c>
      <c r="AK517">
        <f>IF(OR(AH517="Overdue",AND(AD517="P0",AG517&lt;1),AND(AD517="P1",AG517&lt;3)),"Y","N")</f>
        <v/>
      </c>
    </row>
    <row r="518">
      <c r="K518">
        <f>IF(J518="v4.0",L518,IF(J518="v3.1",M518,IF(J518="Both",L518,IF(AND(L518&lt;&gt;"",M518=""),L518,M518))))</f>
        <v/>
      </c>
      <c r="Z518">
        <f>MIN(100,
(K518*5) +
(U518*10) +
IF(P518="Y",40,0) +
IF(Q518="P",30,0) +
IF(V518="Y",25,0) +
IF(W518="Y",20,0) +
IF(X518="Weaponized",15,IF(X518="PoC Available",10,IF(X518="Public Exploit",5,0))) +
IF(G518="Production",10,IF(G518="DMZ",8,IF(G518="DR/Backup",5,0))) +
IF(Y518="N",10,0)
)</f>
        <v/>
      </c>
      <c r="AA518">
        <f>IF(OR(P518="Y",AND(K518&gt;=9.0,W518="Y")),"P0",IF(Z518&gt;=80,"P0",IF(Z518&gt;=60,"P1",IF(Z518&gt;=40,"P2",IF(Z518&gt;=20,"P3","P4")))))</f>
        <v/>
      </c>
      <c r="AD518">
        <f>IF(AB518&lt;&gt;"",AB518,AA518)</f>
        <v/>
      </c>
      <c r="AE518">
        <f>VLOOKUP(AD518,SLA_Definitions!$A$2:$B$6,2,FALSE)</f>
        <v/>
      </c>
      <c r="AF518">
        <f>IF(B518&lt;&gt;"",WORKDAY(B518,AE518),"")</f>
        <v/>
      </c>
      <c r="AG518">
        <f>IF(AF518&lt;&gt;"",NETWORKDAYS(TODAY(),AF518),"")</f>
        <v/>
      </c>
      <c r="AH518">
        <f>IF(AJ518="Complete","Complete",IF(AG518&lt;0,"Overdue",IF(AG518&lt;=AE518*0.2,"At Risk","On Track")))</f>
        <v/>
      </c>
      <c r="AK518">
        <f>IF(OR(AH518="Overdue",AND(AD518="P0",AG518&lt;1),AND(AD518="P1",AG518&lt;3)),"Y","N")</f>
        <v/>
      </c>
    </row>
    <row r="519">
      <c r="K519">
        <f>IF(J519="v4.0",L519,IF(J519="v3.1",M519,IF(J519="Both",L519,IF(AND(L519&lt;&gt;"",M519=""),L519,M519))))</f>
        <v/>
      </c>
      <c r="Z519">
        <f>MIN(100,
(K519*5) +
(U519*10) +
IF(P519="Y",40,0) +
IF(Q519="P",30,0) +
IF(V519="Y",25,0) +
IF(W519="Y",20,0) +
IF(X519="Weaponized",15,IF(X519="PoC Available",10,IF(X519="Public Exploit",5,0))) +
IF(G519="Production",10,IF(G519="DMZ",8,IF(G519="DR/Backup",5,0))) +
IF(Y519="N",10,0)
)</f>
        <v/>
      </c>
      <c r="AA519">
        <f>IF(OR(P519="Y",AND(K519&gt;=9.0,W519="Y")),"P0",IF(Z519&gt;=80,"P0",IF(Z519&gt;=60,"P1",IF(Z519&gt;=40,"P2",IF(Z519&gt;=20,"P3","P4")))))</f>
        <v/>
      </c>
      <c r="AD519">
        <f>IF(AB519&lt;&gt;"",AB519,AA519)</f>
        <v/>
      </c>
      <c r="AE519">
        <f>VLOOKUP(AD519,SLA_Definitions!$A$2:$B$6,2,FALSE)</f>
        <v/>
      </c>
      <c r="AF519">
        <f>IF(B519&lt;&gt;"",WORKDAY(B519,AE519),"")</f>
        <v/>
      </c>
      <c r="AG519">
        <f>IF(AF519&lt;&gt;"",NETWORKDAYS(TODAY(),AF519),"")</f>
        <v/>
      </c>
      <c r="AH519">
        <f>IF(AJ519="Complete","Complete",IF(AG519&lt;0,"Overdue",IF(AG519&lt;=AE519*0.2,"At Risk","On Track")))</f>
        <v/>
      </c>
      <c r="AK519">
        <f>IF(OR(AH519="Overdue",AND(AD519="P0",AG519&lt;1),AND(AD519="P1",AG519&lt;3)),"Y","N")</f>
        <v/>
      </c>
    </row>
    <row r="520">
      <c r="K520">
        <f>IF(J520="v4.0",L520,IF(J520="v3.1",M520,IF(J520="Both",L520,IF(AND(L520&lt;&gt;"",M520=""),L520,M520))))</f>
        <v/>
      </c>
      <c r="Z520">
        <f>MIN(100,
(K520*5) +
(U520*10) +
IF(P520="Y",40,0) +
IF(Q520="P",30,0) +
IF(V520="Y",25,0) +
IF(W520="Y",20,0) +
IF(X520="Weaponized",15,IF(X520="PoC Available",10,IF(X520="Public Exploit",5,0))) +
IF(G520="Production",10,IF(G520="DMZ",8,IF(G520="DR/Backup",5,0))) +
IF(Y520="N",10,0)
)</f>
        <v/>
      </c>
      <c r="AA520">
        <f>IF(OR(P520="Y",AND(K520&gt;=9.0,W520="Y")),"P0",IF(Z520&gt;=80,"P0",IF(Z520&gt;=60,"P1",IF(Z520&gt;=40,"P2",IF(Z520&gt;=20,"P3","P4")))))</f>
        <v/>
      </c>
      <c r="AD520">
        <f>IF(AB520&lt;&gt;"",AB520,AA520)</f>
        <v/>
      </c>
      <c r="AE520">
        <f>VLOOKUP(AD520,SLA_Definitions!$A$2:$B$6,2,FALSE)</f>
        <v/>
      </c>
      <c r="AF520">
        <f>IF(B520&lt;&gt;"",WORKDAY(B520,AE520),"")</f>
        <v/>
      </c>
      <c r="AG520">
        <f>IF(AF520&lt;&gt;"",NETWORKDAYS(TODAY(),AF520),"")</f>
        <v/>
      </c>
      <c r="AH520">
        <f>IF(AJ520="Complete","Complete",IF(AG520&lt;0,"Overdue",IF(AG520&lt;=AE520*0.2,"At Risk","On Track")))</f>
        <v/>
      </c>
      <c r="AK520">
        <f>IF(OR(AH520="Overdue",AND(AD520="P0",AG520&lt;1),AND(AD520="P1",AG520&lt;3)),"Y","N")</f>
        <v/>
      </c>
    </row>
    <row r="521">
      <c r="K521">
        <f>IF(J521="v4.0",L521,IF(J521="v3.1",M521,IF(J521="Both",L521,IF(AND(L521&lt;&gt;"",M521=""),L521,M521))))</f>
        <v/>
      </c>
      <c r="Z521">
        <f>MIN(100,
(K521*5) +
(U521*10) +
IF(P521="Y",40,0) +
IF(Q521="P",30,0) +
IF(V521="Y",25,0) +
IF(W521="Y",20,0) +
IF(X521="Weaponized",15,IF(X521="PoC Available",10,IF(X521="Public Exploit",5,0))) +
IF(G521="Production",10,IF(G521="DMZ",8,IF(G521="DR/Backup",5,0))) +
IF(Y521="N",10,0)
)</f>
        <v/>
      </c>
      <c r="AA521">
        <f>IF(OR(P521="Y",AND(K521&gt;=9.0,W521="Y")),"P0",IF(Z521&gt;=80,"P0",IF(Z521&gt;=60,"P1",IF(Z521&gt;=40,"P2",IF(Z521&gt;=20,"P3","P4")))))</f>
        <v/>
      </c>
      <c r="AD521">
        <f>IF(AB521&lt;&gt;"",AB521,AA521)</f>
        <v/>
      </c>
      <c r="AE521">
        <f>VLOOKUP(AD521,SLA_Definitions!$A$2:$B$6,2,FALSE)</f>
        <v/>
      </c>
      <c r="AF521">
        <f>IF(B521&lt;&gt;"",WORKDAY(B521,AE521),"")</f>
        <v/>
      </c>
      <c r="AG521">
        <f>IF(AF521&lt;&gt;"",NETWORKDAYS(TODAY(),AF521),"")</f>
        <v/>
      </c>
      <c r="AH521">
        <f>IF(AJ521="Complete","Complete",IF(AG521&lt;0,"Overdue",IF(AG521&lt;=AE521*0.2,"At Risk","On Track")))</f>
        <v/>
      </c>
      <c r="AK521">
        <f>IF(OR(AH521="Overdue",AND(AD521="P0",AG521&lt;1),AND(AD521="P1",AG521&lt;3)),"Y","N")</f>
        <v/>
      </c>
    </row>
    <row r="522">
      <c r="K522">
        <f>IF(J522="v4.0",L522,IF(J522="v3.1",M522,IF(J522="Both",L522,IF(AND(L522&lt;&gt;"",M522=""),L522,M522))))</f>
        <v/>
      </c>
      <c r="Z522">
        <f>MIN(100,
(K522*5) +
(U522*10) +
IF(P522="Y",40,0) +
IF(Q522="P",30,0) +
IF(V522="Y",25,0) +
IF(W522="Y",20,0) +
IF(X522="Weaponized",15,IF(X522="PoC Available",10,IF(X522="Public Exploit",5,0))) +
IF(G522="Production",10,IF(G522="DMZ",8,IF(G522="DR/Backup",5,0))) +
IF(Y522="N",10,0)
)</f>
        <v/>
      </c>
      <c r="AA522">
        <f>IF(OR(P522="Y",AND(K522&gt;=9.0,W522="Y")),"P0",IF(Z522&gt;=80,"P0",IF(Z522&gt;=60,"P1",IF(Z522&gt;=40,"P2",IF(Z522&gt;=20,"P3","P4")))))</f>
        <v/>
      </c>
      <c r="AD522">
        <f>IF(AB522&lt;&gt;"",AB522,AA522)</f>
        <v/>
      </c>
      <c r="AE522">
        <f>VLOOKUP(AD522,SLA_Definitions!$A$2:$B$6,2,FALSE)</f>
        <v/>
      </c>
      <c r="AF522">
        <f>IF(B522&lt;&gt;"",WORKDAY(B522,AE522),"")</f>
        <v/>
      </c>
      <c r="AG522">
        <f>IF(AF522&lt;&gt;"",NETWORKDAYS(TODAY(),AF522),"")</f>
        <v/>
      </c>
      <c r="AH522">
        <f>IF(AJ522="Complete","Complete",IF(AG522&lt;0,"Overdue",IF(AG522&lt;=AE522*0.2,"At Risk","On Track")))</f>
        <v/>
      </c>
      <c r="AK522">
        <f>IF(OR(AH522="Overdue",AND(AD522="P0",AG522&lt;1),AND(AD522="P1",AG522&lt;3)),"Y","N")</f>
        <v/>
      </c>
    </row>
    <row r="523">
      <c r="K523">
        <f>IF(J523="v4.0",L523,IF(J523="v3.1",M523,IF(J523="Both",L523,IF(AND(L523&lt;&gt;"",M523=""),L523,M523))))</f>
        <v/>
      </c>
      <c r="Z523">
        <f>MIN(100,
(K523*5) +
(U523*10) +
IF(P523="Y",40,0) +
IF(Q523="P",30,0) +
IF(V523="Y",25,0) +
IF(W523="Y",20,0) +
IF(X523="Weaponized",15,IF(X523="PoC Available",10,IF(X523="Public Exploit",5,0))) +
IF(G523="Production",10,IF(G523="DMZ",8,IF(G523="DR/Backup",5,0))) +
IF(Y523="N",10,0)
)</f>
        <v/>
      </c>
      <c r="AA523">
        <f>IF(OR(P523="Y",AND(K523&gt;=9.0,W523="Y")),"P0",IF(Z523&gt;=80,"P0",IF(Z523&gt;=60,"P1",IF(Z523&gt;=40,"P2",IF(Z523&gt;=20,"P3","P4")))))</f>
        <v/>
      </c>
      <c r="AD523">
        <f>IF(AB523&lt;&gt;"",AB523,AA523)</f>
        <v/>
      </c>
      <c r="AE523">
        <f>VLOOKUP(AD523,SLA_Definitions!$A$2:$B$6,2,FALSE)</f>
        <v/>
      </c>
      <c r="AF523">
        <f>IF(B523&lt;&gt;"",WORKDAY(B523,AE523),"")</f>
        <v/>
      </c>
      <c r="AG523">
        <f>IF(AF523&lt;&gt;"",NETWORKDAYS(TODAY(),AF523),"")</f>
        <v/>
      </c>
      <c r="AH523">
        <f>IF(AJ523="Complete","Complete",IF(AG523&lt;0,"Overdue",IF(AG523&lt;=AE523*0.2,"At Risk","On Track")))</f>
        <v/>
      </c>
      <c r="AK523">
        <f>IF(OR(AH523="Overdue",AND(AD523="P0",AG523&lt;1),AND(AD523="P1",AG523&lt;3)),"Y","N")</f>
        <v/>
      </c>
    </row>
    <row r="524">
      <c r="K524">
        <f>IF(J524="v4.0",L524,IF(J524="v3.1",M524,IF(J524="Both",L524,IF(AND(L524&lt;&gt;"",M524=""),L524,M524))))</f>
        <v/>
      </c>
      <c r="Z524">
        <f>MIN(100,
(K524*5) +
(U524*10) +
IF(P524="Y",40,0) +
IF(Q524="P",30,0) +
IF(V524="Y",25,0) +
IF(W524="Y",20,0) +
IF(X524="Weaponized",15,IF(X524="PoC Available",10,IF(X524="Public Exploit",5,0))) +
IF(G524="Production",10,IF(G524="DMZ",8,IF(G524="DR/Backup",5,0))) +
IF(Y524="N",10,0)
)</f>
        <v/>
      </c>
      <c r="AA524">
        <f>IF(OR(P524="Y",AND(K524&gt;=9.0,W524="Y")),"P0",IF(Z524&gt;=80,"P0",IF(Z524&gt;=60,"P1",IF(Z524&gt;=40,"P2",IF(Z524&gt;=20,"P3","P4")))))</f>
        <v/>
      </c>
      <c r="AD524">
        <f>IF(AB524&lt;&gt;"",AB524,AA524)</f>
        <v/>
      </c>
      <c r="AE524">
        <f>VLOOKUP(AD524,SLA_Definitions!$A$2:$B$6,2,FALSE)</f>
        <v/>
      </c>
      <c r="AF524">
        <f>IF(B524&lt;&gt;"",WORKDAY(B524,AE524),"")</f>
        <v/>
      </c>
      <c r="AG524">
        <f>IF(AF524&lt;&gt;"",NETWORKDAYS(TODAY(),AF524),"")</f>
        <v/>
      </c>
      <c r="AH524">
        <f>IF(AJ524="Complete","Complete",IF(AG524&lt;0,"Overdue",IF(AG524&lt;=AE524*0.2,"At Risk","On Track")))</f>
        <v/>
      </c>
      <c r="AK524">
        <f>IF(OR(AH524="Overdue",AND(AD524="P0",AG524&lt;1),AND(AD524="P1",AG524&lt;3)),"Y","N")</f>
        <v/>
      </c>
    </row>
    <row r="525">
      <c r="K525">
        <f>IF(J525="v4.0",L525,IF(J525="v3.1",M525,IF(J525="Both",L525,IF(AND(L525&lt;&gt;"",M525=""),L525,M525))))</f>
        <v/>
      </c>
      <c r="Z525">
        <f>MIN(100,
(K525*5) +
(U525*10) +
IF(P525="Y",40,0) +
IF(Q525="P",30,0) +
IF(V525="Y",25,0) +
IF(W525="Y",20,0) +
IF(X525="Weaponized",15,IF(X525="PoC Available",10,IF(X525="Public Exploit",5,0))) +
IF(G525="Production",10,IF(G525="DMZ",8,IF(G525="DR/Backup",5,0))) +
IF(Y525="N",10,0)
)</f>
        <v/>
      </c>
      <c r="AA525">
        <f>IF(OR(P525="Y",AND(K525&gt;=9.0,W525="Y")),"P0",IF(Z525&gt;=80,"P0",IF(Z525&gt;=60,"P1",IF(Z525&gt;=40,"P2",IF(Z525&gt;=20,"P3","P4")))))</f>
        <v/>
      </c>
      <c r="AD525">
        <f>IF(AB525&lt;&gt;"",AB525,AA525)</f>
        <v/>
      </c>
      <c r="AE525">
        <f>VLOOKUP(AD525,SLA_Definitions!$A$2:$B$6,2,FALSE)</f>
        <v/>
      </c>
      <c r="AF525">
        <f>IF(B525&lt;&gt;"",WORKDAY(B525,AE525),"")</f>
        <v/>
      </c>
      <c r="AG525">
        <f>IF(AF525&lt;&gt;"",NETWORKDAYS(TODAY(),AF525),"")</f>
        <v/>
      </c>
      <c r="AH525">
        <f>IF(AJ525="Complete","Complete",IF(AG525&lt;0,"Overdue",IF(AG525&lt;=AE525*0.2,"At Risk","On Track")))</f>
        <v/>
      </c>
      <c r="AK525">
        <f>IF(OR(AH525="Overdue",AND(AD525="P0",AG525&lt;1),AND(AD525="P1",AG525&lt;3)),"Y","N")</f>
        <v/>
      </c>
    </row>
    <row r="526">
      <c r="K526">
        <f>IF(J526="v4.0",L526,IF(J526="v3.1",M526,IF(J526="Both",L526,IF(AND(L526&lt;&gt;"",M526=""),L526,M526))))</f>
        <v/>
      </c>
      <c r="Z526">
        <f>MIN(100,
(K526*5) +
(U526*10) +
IF(P526="Y",40,0) +
IF(Q526="P",30,0) +
IF(V526="Y",25,0) +
IF(W526="Y",20,0) +
IF(X526="Weaponized",15,IF(X526="PoC Available",10,IF(X526="Public Exploit",5,0))) +
IF(G526="Production",10,IF(G526="DMZ",8,IF(G526="DR/Backup",5,0))) +
IF(Y526="N",10,0)
)</f>
        <v/>
      </c>
      <c r="AA526">
        <f>IF(OR(P526="Y",AND(K526&gt;=9.0,W526="Y")),"P0",IF(Z526&gt;=80,"P0",IF(Z526&gt;=60,"P1",IF(Z526&gt;=40,"P2",IF(Z526&gt;=20,"P3","P4")))))</f>
        <v/>
      </c>
      <c r="AD526">
        <f>IF(AB526&lt;&gt;"",AB526,AA526)</f>
        <v/>
      </c>
      <c r="AE526">
        <f>VLOOKUP(AD526,SLA_Definitions!$A$2:$B$6,2,FALSE)</f>
        <v/>
      </c>
      <c r="AF526">
        <f>IF(B526&lt;&gt;"",WORKDAY(B526,AE526),"")</f>
        <v/>
      </c>
      <c r="AG526">
        <f>IF(AF526&lt;&gt;"",NETWORKDAYS(TODAY(),AF526),"")</f>
        <v/>
      </c>
      <c r="AH526">
        <f>IF(AJ526="Complete","Complete",IF(AG526&lt;0,"Overdue",IF(AG526&lt;=AE526*0.2,"At Risk","On Track")))</f>
        <v/>
      </c>
      <c r="AK526">
        <f>IF(OR(AH526="Overdue",AND(AD526="P0",AG526&lt;1),AND(AD526="P1",AG526&lt;3)),"Y","N")</f>
        <v/>
      </c>
    </row>
    <row r="527">
      <c r="K527">
        <f>IF(J527="v4.0",L527,IF(J527="v3.1",M527,IF(J527="Both",L527,IF(AND(L527&lt;&gt;"",M527=""),L527,M527))))</f>
        <v/>
      </c>
      <c r="Z527">
        <f>MIN(100,
(K527*5) +
(U527*10) +
IF(P527="Y",40,0) +
IF(Q527="P",30,0) +
IF(V527="Y",25,0) +
IF(W527="Y",20,0) +
IF(X527="Weaponized",15,IF(X527="PoC Available",10,IF(X527="Public Exploit",5,0))) +
IF(G527="Production",10,IF(G527="DMZ",8,IF(G527="DR/Backup",5,0))) +
IF(Y527="N",10,0)
)</f>
        <v/>
      </c>
      <c r="AA527">
        <f>IF(OR(P527="Y",AND(K527&gt;=9.0,W527="Y")),"P0",IF(Z527&gt;=80,"P0",IF(Z527&gt;=60,"P1",IF(Z527&gt;=40,"P2",IF(Z527&gt;=20,"P3","P4")))))</f>
        <v/>
      </c>
      <c r="AD527">
        <f>IF(AB527&lt;&gt;"",AB527,AA527)</f>
        <v/>
      </c>
      <c r="AE527">
        <f>VLOOKUP(AD527,SLA_Definitions!$A$2:$B$6,2,FALSE)</f>
        <v/>
      </c>
      <c r="AF527">
        <f>IF(B527&lt;&gt;"",WORKDAY(B527,AE527),"")</f>
        <v/>
      </c>
      <c r="AG527">
        <f>IF(AF527&lt;&gt;"",NETWORKDAYS(TODAY(),AF527),"")</f>
        <v/>
      </c>
      <c r="AH527">
        <f>IF(AJ527="Complete","Complete",IF(AG527&lt;0,"Overdue",IF(AG527&lt;=AE527*0.2,"At Risk","On Track")))</f>
        <v/>
      </c>
      <c r="AK527">
        <f>IF(OR(AH527="Overdue",AND(AD527="P0",AG527&lt;1),AND(AD527="P1",AG527&lt;3)),"Y","N")</f>
        <v/>
      </c>
    </row>
    <row r="528">
      <c r="K528">
        <f>IF(J528="v4.0",L528,IF(J528="v3.1",M528,IF(J528="Both",L528,IF(AND(L528&lt;&gt;"",M528=""),L528,M528))))</f>
        <v/>
      </c>
      <c r="Z528">
        <f>MIN(100,
(K528*5) +
(U528*10) +
IF(P528="Y",40,0) +
IF(Q528="P",30,0) +
IF(V528="Y",25,0) +
IF(W528="Y",20,0) +
IF(X528="Weaponized",15,IF(X528="PoC Available",10,IF(X528="Public Exploit",5,0))) +
IF(G528="Production",10,IF(G528="DMZ",8,IF(G528="DR/Backup",5,0))) +
IF(Y528="N",10,0)
)</f>
        <v/>
      </c>
      <c r="AA528">
        <f>IF(OR(P528="Y",AND(K528&gt;=9.0,W528="Y")),"P0",IF(Z528&gt;=80,"P0",IF(Z528&gt;=60,"P1",IF(Z528&gt;=40,"P2",IF(Z528&gt;=20,"P3","P4")))))</f>
        <v/>
      </c>
      <c r="AD528">
        <f>IF(AB528&lt;&gt;"",AB528,AA528)</f>
        <v/>
      </c>
      <c r="AE528">
        <f>VLOOKUP(AD528,SLA_Definitions!$A$2:$B$6,2,FALSE)</f>
        <v/>
      </c>
      <c r="AF528">
        <f>IF(B528&lt;&gt;"",WORKDAY(B528,AE528),"")</f>
        <v/>
      </c>
      <c r="AG528">
        <f>IF(AF528&lt;&gt;"",NETWORKDAYS(TODAY(),AF528),"")</f>
        <v/>
      </c>
      <c r="AH528">
        <f>IF(AJ528="Complete","Complete",IF(AG528&lt;0,"Overdue",IF(AG528&lt;=AE528*0.2,"At Risk","On Track")))</f>
        <v/>
      </c>
      <c r="AK528">
        <f>IF(OR(AH528="Overdue",AND(AD528="P0",AG528&lt;1),AND(AD528="P1",AG528&lt;3)),"Y","N")</f>
        <v/>
      </c>
    </row>
    <row r="529">
      <c r="K529">
        <f>IF(J529="v4.0",L529,IF(J529="v3.1",M529,IF(J529="Both",L529,IF(AND(L529&lt;&gt;"",M529=""),L529,M529))))</f>
        <v/>
      </c>
      <c r="Z529">
        <f>MIN(100,
(K529*5) +
(U529*10) +
IF(P529="Y",40,0) +
IF(Q529="P",30,0) +
IF(V529="Y",25,0) +
IF(W529="Y",20,0) +
IF(X529="Weaponized",15,IF(X529="PoC Available",10,IF(X529="Public Exploit",5,0))) +
IF(G529="Production",10,IF(G529="DMZ",8,IF(G529="DR/Backup",5,0))) +
IF(Y529="N",10,0)
)</f>
        <v/>
      </c>
      <c r="AA529">
        <f>IF(OR(P529="Y",AND(K529&gt;=9.0,W529="Y")),"P0",IF(Z529&gt;=80,"P0",IF(Z529&gt;=60,"P1",IF(Z529&gt;=40,"P2",IF(Z529&gt;=20,"P3","P4")))))</f>
        <v/>
      </c>
      <c r="AD529">
        <f>IF(AB529&lt;&gt;"",AB529,AA529)</f>
        <v/>
      </c>
      <c r="AE529">
        <f>VLOOKUP(AD529,SLA_Definitions!$A$2:$B$6,2,FALSE)</f>
        <v/>
      </c>
      <c r="AF529">
        <f>IF(B529&lt;&gt;"",WORKDAY(B529,AE529),"")</f>
        <v/>
      </c>
      <c r="AG529">
        <f>IF(AF529&lt;&gt;"",NETWORKDAYS(TODAY(),AF529),"")</f>
        <v/>
      </c>
      <c r="AH529">
        <f>IF(AJ529="Complete","Complete",IF(AG529&lt;0,"Overdue",IF(AG529&lt;=AE529*0.2,"At Risk","On Track")))</f>
        <v/>
      </c>
      <c r="AK529">
        <f>IF(OR(AH529="Overdue",AND(AD529="P0",AG529&lt;1),AND(AD529="P1",AG529&lt;3)),"Y","N")</f>
        <v/>
      </c>
    </row>
    <row r="530">
      <c r="K530">
        <f>IF(J530="v4.0",L530,IF(J530="v3.1",M530,IF(J530="Both",L530,IF(AND(L530&lt;&gt;"",M530=""),L530,M530))))</f>
        <v/>
      </c>
      <c r="Z530">
        <f>MIN(100,
(K530*5) +
(U530*10) +
IF(P530="Y",40,0) +
IF(Q530="P",30,0) +
IF(V530="Y",25,0) +
IF(W530="Y",20,0) +
IF(X530="Weaponized",15,IF(X530="PoC Available",10,IF(X530="Public Exploit",5,0))) +
IF(G530="Production",10,IF(G530="DMZ",8,IF(G530="DR/Backup",5,0))) +
IF(Y530="N",10,0)
)</f>
        <v/>
      </c>
      <c r="AA530">
        <f>IF(OR(P530="Y",AND(K530&gt;=9.0,W530="Y")),"P0",IF(Z530&gt;=80,"P0",IF(Z530&gt;=60,"P1",IF(Z530&gt;=40,"P2",IF(Z530&gt;=20,"P3","P4")))))</f>
        <v/>
      </c>
      <c r="AD530">
        <f>IF(AB530&lt;&gt;"",AB530,AA530)</f>
        <v/>
      </c>
      <c r="AE530">
        <f>VLOOKUP(AD530,SLA_Definitions!$A$2:$B$6,2,FALSE)</f>
        <v/>
      </c>
      <c r="AF530">
        <f>IF(B530&lt;&gt;"",WORKDAY(B530,AE530),"")</f>
        <v/>
      </c>
      <c r="AG530">
        <f>IF(AF530&lt;&gt;"",NETWORKDAYS(TODAY(),AF530),"")</f>
        <v/>
      </c>
      <c r="AH530">
        <f>IF(AJ530="Complete","Complete",IF(AG530&lt;0,"Overdue",IF(AG530&lt;=AE530*0.2,"At Risk","On Track")))</f>
        <v/>
      </c>
      <c r="AK530">
        <f>IF(OR(AH530="Overdue",AND(AD530="P0",AG530&lt;1),AND(AD530="P1",AG530&lt;3)),"Y","N")</f>
        <v/>
      </c>
    </row>
    <row r="531">
      <c r="K531">
        <f>IF(J531="v4.0",L531,IF(J531="v3.1",M531,IF(J531="Both",L531,IF(AND(L531&lt;&gt;"",M531=""),L531,M531))))</f>
        <v/>
      </c>
      <c r="Z531">
        <f>MIN(100,
(K531*5) +
(U531*10) +
IF(P531="Y",40,0) +
IF(Q531="P",30,0) +
IF(V531="Y",25,0) +
IF(W531="Y",20,0) +
IF(X531="Weaponized",15,IF(X531="PoC Available",10,IF(X531="Public Exploit",5,0))) +
IF(G531="Production",10,IF(G531="DMZ",8,IF(G531="DR/Backup",5,0))) +
IF(Y531="N",10,0)
)</f>
        <v/>
      </c>
      <c r="AA531">
        <f>IF(OR(P531="Y",AND(K531&gt;=9.0,W531="Y")),"P0",IF(Z531&gt;=80,"P0",IF(Z531&gt;=60,"P1",IF(Z531&gt;=40,"P2",IF(Z531&gt;=20,"P3","P4")))))</f>
        <v/>
      </c>
      <c r="AD531">
        <f>IF(AB531&lt;&gt;"",AB531,AA531)</f>
        <v/>
      </c>
      <c r="AE531">
        <f>VLOOKUP(AD531,SLA_Definitions!$A$2:$B$6,2,FALSE)</f>
        <v/>
      </c>
      <c r="AF531">
        <f>IF(B531&lt;&gt;"",WORKDAY(B531,AE531),"")</f>
        <v/>
      </c>
      <c r="AG531">
        <f>IF(AF531&lt;&gt;"",NETWORKDAYS(TODAY(),AF531),"")</f>
        <v/>
      </c>
      <c r="AH531">
        <f>IF(AJ531="Complete","Complete",IF(AG531&lt;0,"Overdue",IF(AG531&lt;=AE531*0.2,"At Risk","On Track")))</f>
        <v/>
      </c>
      <c r="AK531">
        <f>IF(OR(AH531="Overdue",AND(AD531="P0",AG531&lt;1),AND(AD531="P1",AG531&lt;3)),"Y","N")</f>
        <v/>
      </c>
    </row>
    <row r="532">
      <c r="K532">
        <f>IF(J532="v4.0",L532,IF(J532="v3.1",M532,IF(J532="Both",L532,IF(AND(L532&lt;&gt;"",M532=""),L532,M532))))</f>
        <v/>
      </c>
      <c r="Z532">
        <f>MIN(100,
(K532*5) +
(U532*10) +
IF(P532="Y",40,0) +
IF(Q532="P",30,0) +
IF(V532="Y",25,0) +
IF(W532="Y",20,0) +
IF(X532="Weaponized",15,IF(X532="PoC Available",10,IF(X532="Public Exploit",5,0))) +
IF(G532="Production",10,IF(G532="DMZ",8,IF(G532="DR/Backup",5,0))) +
IF(Y532="N",10,0)
)</f>
        <v/>
      </c>
      <c r="AA532">
        <f>IF(OR(P532="Y",AND(K532&gt;=9.0,W532="Y")),"P0",IF(Z532&gt;=80,"P0",IF(Z532&gt;=60,"P1",IF(Z532&gt;=40,"P2",IF(Z532&gt;=20,"P3","P4")))))</f>
        <v/>
      </c>
      <c r="AD532">
        <f>IF(AB532&lt;&gt;"",AB532,AA532)</f>
        <v/>
      </c>
      <c r="AE532">
        <f>VLOOKUP(AD532,SLA_Definitions!$A$2:$B$6,2,FALSE)</f>
        <v/>
      </c>
      <c r="AF532">
        <f>IF(B532&lt;&gt;"",WORKDAY(B532,AE532),"")</f>
        <v/>
      </c>
      <c r="AG532">
        <f>IF(AF532&lt;&gt;"",NETWORKDAYS(TODAY(),AF532),"")</f>
        <v/>
      </c>
      <c r="AH532">
        <f>IF(AJ532="Complete","Complete",IF(AG532&lt;0,"Overdue",IF(AG532&lt;=AE532*0.2,"At Risk","On Track")))</f>
        <v/>
      </c>
      <c r="AK532">
        <f>IF(OR(AH532="Overdue",AND(AD532="P0",AG532&lt;1),AND(AD532="P1",AG532&lt;3)),"Y","N")</f>
        <v/>
      </c>
    </row>
    <row r="533">
      <c r="K533">
        <f>IF(J533="v4.0",L533,IF(J533="v3.1",M533,IF(J533="Both",L533,IF(AND(L533&lt;&gt;"",M533=""),L533,M533))))</f>
        <v/>
      </c>
      <c r="Z533">
        <f>MIN(100,
(K533*5) +
(U533*10) +
IF(P533="Y",40,0) +
IF(Q533="P",30,0) +
IF(V533="Y",25,0) +
IF(W533="Y",20,0) +
IF(X533="Weaponized",15,IF(X533="PoC Available",10,IF(X533="Public Exploit",5,0))) +
IF(G533="Production",10,IF(G533="DMZ",8,IF(G533="DR/Backup",5,0))) +
IF(Y533="N",10,0)
)</f>
        <v/>
      </c>
      <c r="AA533">
        <f>IF(OR(P533="Y",AND(K533&gt;=9.0,W533="Y")),"P0",IF(Z533&gt;=80,"P0",IF(Z533&gt;=60,"P1",IF(Z533&gt;=40,"P2",IF(Z533&gt;=20,"P3","P4")))))</f>
        <v/>
      </c>
      <c r="AD533">
        <f>IF(AB533&lt;&gt;"",AB533,AA533)</f>
        <v/>
      </c>
      <c r="AE533">
        <f>VLOOKUP(AD533,SLA_Definitions!$A$2:$B$6,2,FALSE)</f>
        <v/>
      </c>
      <c r="AF533">
        <f>IF(B533&lt;&gt;"",WORKDAY(B533,AE533),"")</f>
        <v/>
      </c>
      <c r="AG533">
        <f>IF(AF533&lt;&gt;"",NETWORKDAYS(TODAY(),AF533),"")</f>
        <v/>
      </c>
      <c r="AH533">
        <f>IF(AJ533="Complete","Complete",IF(AG533&lt;0,"Overdue",IF(AG533&lt;=AE533*0.2,"At Risk","On Track")))</f>
        <v/>
      </c>
      <c r="AK533">
        <f>IF(OR(AH533="Overdue",AND(AD533="P0",AG533&lt;1),AND(AD533="P1",AG533&lt;3)),"Y","N")</f>
        <v/>
      </c>
    </row>
    <row r="534">
      <c r="K534">
        <f>IF(J534="v4.0",L534,IF(J534="v3.1",M534,IF(J534="Both",L534,IF(AND(L534&lt;&gt;"",M534=""),L534,M534))))</f>
        <v/>
      </c>
      <c r="Z534">
        <f>MIN(100,
(K534*5) +
(U534*10) +
IF(P534="Y",40,0) +
IF(Q534="P",30,0) +
IF(V534="Y",25,0) +
IF(W534="Y",20,0) +
IF(X534="Weaponized",15,IF(X534="PoC Available",10,IF(X534="Public Exploit",5,0))) +
IF(G534="Production",10,IF(G534="DMZ",8,IF(G534="DR/Backup",5,0))) +
IF(Y534="N",10,0)
)</f>
        <v/>
      </c>
      <c r="AA534">
        <f>IF(OR(P534="Y",AND(K534&gt;=9.0,W534="Y")),"P0",IF(Z534&gt;=80,"P0",IF(Z534&gt;=60,"P1",IF(Z534&gt;=40,"P2",IF(Z534&gt;=20,"P3","P4")))))</f>
        <v/>
      </c>
      <c r="AD534">
        <f>IF(AB534&lt;&gt;"",AB534,AA534)</f>
        <v/>
      </c>
      <c r="AE534">
        <f>VLOOKUP(AD534,SLA_Definitions!$A$2:$B$6,2,FALSE)</f>
        <v/>
      </c>
      <c r="AF534">
        <f>IF(B534&lt;&gt;"",WORKDAY(B534,AE534),"")</f>
        <v/>
      </c>
      <c r="AG534">
        <f>IF(AF534&lt;&gt;"",NETWORKDAYS(TODAY(),AF534),"")</f>
        <v/>
      </c>
      <c r="AH534">
        <f>IF(AJ534="Complete","Complete",IF(AG534&lt;0,"Overdue",IF(AG534&lt;=AE534*0.2,"At Risk","On Track")))</f>
        <v/>
      </c>
      <c r="AK534">
        <f>IF(OR(AH534="Overdue",AND(AD534="P0",AG534&lt;1),AND(AD534="P1",AG534&lt;3)),"Y","N")</f>
        <v/>
      </c>
    </row>
    <row r="535">
      <c r="K535">
        <f>IF(J535="v4.0",L535,IF(J535="v3.1",M535,IF(J535="Both",L535,IF(AND(L535&lt;&gt;"",M535=""),L535,M535))))</f>
        <v/>
      </c>
      <c r="Z535">
        <f>MIN(100,
(K535*5) +
(U535*10) +
IF(P535="Y",40,0) +
IF(Q535="P",30,0) +
IF(V535="Y",25,0) +
IF(W535="Y",20,0) +
IF(X535="Weaponized",15,IF(X535="PoC Available",10,IF(X535="Public Exploit",5,0))) +
IF(G535="Production",10,IF(G535="DMZ",8,IF(G535="DR/Backup",5,0))) +
IF(Y535="N",10,0)
)</f>
        <v/>
      </c>
      <c r="AA535">
        <f>IF(OR(P535="Y",AND(K535&gt;=9.0,W535="Y")),"P0",IF(Z535&gt;=80,"P0",IF(Z535&gt;=60,"P1",IF(Z535&gt;=40,"P2",IF(Z535&gt;=20,"P3","P4")))))</f>
        <v/>
      </c>
      <c r="AD535">
        <f>IF(AB535&lt;&gt;"",AB535,AA535)</f>
        <v/>
      </c>
      <c r="AE535">
        <f>VLOOKUP(AD535,SLA_Definitions!$A$2:$B$6,2,FALSE)</f>
        <v/>
      </c>
      <c r="AF535">
        <f>IF(B535&lt;&gt;"",WORKDAY(B535,AE535),"")</f>
        <v/>
      </c>
      <c r="AG535">
        <f>IF(AF535&lt;&gt;"",NETWORKDAYS(TODAY(),AF535),"")</f>
        <v/>
      </c>
      <c r="AH535">
        <f>IF(AJ535="Complete","Complete",IF(AG535&lt;0,"Overdue",IF(AG535&lt;=AE535*0.2,"At Risk","On Track")))</f>
        <v/>
      </c>
      <c r="AK535">
        <f>IF(OR(AH535="Overdue",AND(AD535="P0",AG535&lt;1),AND(AD535="P1",AG535&lt;3)),"Y","N")</f>
        <v/>
      </c>
    </row>
    <row r="536">
      <c r="K536">
        <f>IF(J536="v4.0",L536,IF(J536="v3.1",M536,IF(J536="Both",L536,IF(AND(L536&lt;&gt;"",M536=""),L536,M536))))</f>
        <v/>
      </c>
      <c r="Z536">
        <f>MIN(100,
(K536*5) +
(U536*10) +
IF(P536="Y",40,0) +
IF(Q536="P",30,0) +
IF(V536="Y",25,0) +
IF(W536="Y",20,0) +
IF(X536="Weaponized",15,IF(X536="PoC Available",10,IF(X536="Public Exploit",5,0))) +
IF(G536="Production",10,IF(G536="DMZ",8,IF(G536="DR/Backup",5,0))) +
IF(Y536="N",10,0)
)</f>
        <v/>
      </c>
      <c r="AA536">
        <f>IF(OR(P536="Y",AND(K536&gt;=9.0,W536="Y")),"P0",IF(Z536&gt;=80,"P0",IF(Z536&gt;=60,"P1",IF(Z536&gt;=40,"P2",IF(Z536&gt;=20,"P3","P4")))))</f>
        <v/>
      </c>
      <c r="AD536">
        <f>IF(AB536&lt;&gt;"",AB536,AA536)</f>
        <v/>
      </c>
      <c r="AE536">
        <f>VLOOKUP(AD536,SLA_Definitions!$A$2:$B$6,2,FALSE)</f>
        <v/>
      </c>
      <c r="AF536">
        <f>IF(B536&lt;&gt;"",WORKDAY(B536,AE536),"")</f>
        <v/>
      </c>
      <c r="AG536">
        <f>IF(AF536&lt;&gt;"",NETWORKDAYS(TODAY(),AF536),"")</f>
        <v/>
      </c>
      <c r="AH536">
        <f>IF(AJ536="Complete","Complete",IF(AG536&lt;0,"Overdue",IF(AG536&lt;=AE536*0.2,"At Risk","On Track")))</f>
        <v/>
      </c>
      <c r="AK536">
        <f>IF(OR(AH536="Overdue",AND(AD536="P0",AG536&lt;1),AND(AD536="P1",AG536&lt;3)),"Y","N")</f>
        <v/>
      </c>
    </row>
    <row r="537">
      <c r="K537">
        <f>IF(J537="v4.0",L537,IF(J537="v3.1",M537,IF(J537="Both",L537,IF(AND(L537&lt;&gt;"",M537=""),L537,M537))))</f>
        <v/>
      </c>
      <c r="Z537">
        <f>MIN(100,
(K537*5) +
(U537*10) +
IF(P537="Y",40,0) +
IF(Q537="P",30,0) +
IF(V537="Y",25,0) +
IF(W537="Y",20,0) +
IF(X537="Weaponized",15,IF(X537="PoC Available",10,IF(X537="Public Exploit",5,0))) +
IF(G537="Production",10,IF(G537="DMZ",8,IF(G537="DR/Backup",5,0))) +
IF(Y537="N",10,0)
)</f>
        <v/>
      </c>
      <c r="AA537">
        <f>IF(OR(P537="Y",AND(K537&gt;=9.0,W537="Y")),"P0",IF(Z537&gt;=80,"P0",IF(Z537&gt;=60,"P1",IF(Z537&gt;=40,"P2",IF(Z537&gt;=20,"P3","P4")))))</f>
        <v/>
      </c>
      <c r="AD537">
        <f>IF(AB537&lt;&gt;"",AB537,AA537)</f>
        <v/>
      </c>
      <c r="AE537">
        <f>VLOOKUP(AD537,SLA_Definitions!$A$2:$B$6,2,FALSE)</f>
        <v/>
      </c>
      <c r="AF537">
        <f>IF(B537&lt;&gt;"",WORKDAY(B537,AE537),"")</f>
        <v/>
      </c>
      <c r="AG537">
        <f>IF(AF537&lt;&gt;"",NETWORKDAYS(TODAY(),AF537),"")</f>
        <v/>
      </c>
      <c r="AH537">
        <f>IF(AJ537="Complete","Complete",IF(AG537&lt;0,"Overdue",IF(AG537&lt;=AE537*0.2,"At Risk","On Track")))</f>
        <v/>
      </c>
      <c r="AK537">
        <f>IF(OR(AH537="Overdue",AND(AD537="P0",AG537&lt;1),AND(AD537="P1",AG537&lt;3)),"Y","N")</f>
        <v/>
      </c>
    </row>
    <row r="538">
      <c r="K538">
        <f>IF(J538="v4.0",L538,IF(J538="v3.1",M538,IF(J538="Both",L538,IF(AND(L538&lt;&gt;"",M538=""),L538,M538))))</f>
        <v/>
      </c>
      <c r="Z538">
        <f>MIN(100,
(K538*5) +
(U538*10) +
IF(P538="Y",40,0) +
IF(Q538="P",30,0) +
IF(V538="Y",25,0) +
IF(W538="Y",20,0) +
IF(X538="Weaponized",15,IF(X538="PoC Available",10,IF(X538="Public Exploit",5,0))) +
IF(G538="Production",10,IF(G538="DMZ",8,IF(G538="DR/Backup",5,0))) +
IF(Y538="N",10,0)
)</f>
        <v/>
      </c>
      <c r="AA538">
        <f>IF(OR(P538="Y",AND(K538&gt;=9.0,W538="Y")),"P0",IF(Z538&gt;=80,"P0",IF(Z538&gt;=60,"P1",IF(Z538&gt;=40,"P2",IF(Z538&gt;=20,"P3","P4")))))</f>
        <v/>
      </c>
      <c r="AD538">
        <f>IF(AB538&lt;&gt;"",AB538,AA538)</f>
        <v/>
      </c>
      <c r="AE538">
        <f>VLOOKUP(AD538,SLA_Definitions!$A$2:$B$6,2,FALSE)</f>
        <v/>
      </c>
      <c r="AF538">
        <f>IF(B538&lt;&gt;"",WORKDAY(B538,AE538),"")</f>
        <v/>
      </c>
      <c r="AG538">
        <f>IF(AF538&lt;&gt;"",NETWORKDAYS(TODAY(),AF538),"")</f>
        <v/>
      </c>
      <c r="AH538">
        <f>IF(AJ538="Complete","Complete",IF(AG538&lt;0,"Overdue",IF(AG538&lt;=AE538*0.2,"At Risk","On Track")))</f>
        <v/>
      </c>
      <c r="AK538">
        <f>IF(OR(AH538="Overdue",AND(AD538="P0",AG538&lt;1),AND(AD538="P1",AG538&lt;3)),"Y","N")</f>
        <v/>
      </c>
    </row>
    <row r="539">
      <c r="K539">
        <f>IF(J539="v4.0",L539,IF(J539="v3.1",M539,IF(J539="Both",L539,IF(AND(L539&lt;&gt;"",M539=""),L539,M539))))</f>
        <v/>
      </c>
      <c r="Z539">
        <f>MIN(100,
(K539*5) +
(U539*10) +
IF(P539="Y",40,0) +
IF(Q539="P",30,0) +
IF(V539="Y",25,0) +
IF(W539="Y",20,0) +
IF(X539="Weaponized",15,IF(X539="PoC Available",10,IF(X539="Public Exploit",5,0))) +
IF(G539="Production",10,IF(G539="DMZ",8,IF(G539="DR/Backup",5,0))) +
IF(Y539="N",10,0)
)</f>
        <v/>
      </c>
      <c r="AA539">
        <f>IF(OR(P539="Y",AND(K539&gt;=9.0,W539="Y")),"P0",IF(Z539&gt;=80,"P0",IF(Z539&gt;=60,"P1",IF(Z539&gt;=40,"P2",IF(Z539&gt;=20,"P3","P4")))))</f>
        <v/>
      </c>
      <c r="AD539">
        <f>IF(AB539&lt;&gt;"",AB539,AA539)</f>
        <v/>
      </c>
      <c r="AE539">
        <f>VLOOKUP(AD539,SLA_Definitions!$A$2:$B$6,2,FALSE)</f>
        <v/>
      </c>
      <c r="AF539">
        <f>IF(B539&lt;&gt;"",WORKDAY(B539,AE539),"")</f>
        <v/>
      </c>
      <c r="AG539">
        <f>IF(AF539&lt;&gt;"",NETWORKDAYS(TODAY(),AF539),"")</f>
        <v/>
      </c>
      <c r="AH539">
        <f>IF(AJ539="Complete","Complete",IF(AG539&lt;0,"Overdue",IF(AG539&lt;=AE539*0.2,"At Risk","On Track")))</f>
        <v/>
      </c>
      <c r="AK539">
        <f>IF(OR(AH539="Overdue",AND(AD539="P0",AG539&lt;1),AND(AD539="P1",AG539&lt;3)),"Y","N")</f>
        <v/>
      </c>
    </row>
    <row r="540">
      <c r="K540">
        <f>IF(J540="v4.0",L540,IF(J540="v3.1",M540,IF(J540="Both",L540,IF(AND(L540&lt;&gt;"",M540=""),L540,M540))))</f>
        <v/>
      </c>
      <c r="Z540">
        <f>MIN(100,
(K540*5) +
(U540*10) +
IF(P540="Y",40,0) +
IF(Q540="P",30,0) +
IF(V540="Y",25,0) +
IF(W540="Y",20,0) +
IF(X540="Weaponized",15,IF(X540="PoC Available",10,IF(X540="Public Exploit",5,0))) +
IF(G540="Production",10,IF(G540="DMZ",8,IF(G540="DR/Backup",5,0))) +
IF(Y540="N",10,0)
)</f>
        <v/>
      </c>
      <c r="AA540">
        <f>IF(OR(P540="Y",AND(K540&gt;=9.0,W540="Y")),"P0",IF(Z540&gt;=80,"P0",IF(Z540&gt;=60,"P1",IF(Z540&gt;=40,"P2",IF(Z540&gt;=20,"P3","P4")))))</f>
        <v/>
      </c>
      <c r="AD540">
        <f>IF(AB540&lt;&gt;"",AB540,AA540)</f>
        <v/>
      </c>
      <c r="AE540">
        <f>VLOOKUP(AD540,SLA_Definitions!$A$2:$B$6,2,FALSE)</f>
        <v/>
      </c>
      <c r="AF540">
        <f>IF(B540&lt;&gt;"",WORKDAY(B540,AE540),"")</f>
        <v/>
      </c>
      <c r="AG540">
        <f>IF(AF540&lt;&gt;"",NETWORKDAYS(TODAY(),AF540),"")</f>
        <v/>
      </c>
      <c r="AH540">
        <f>IF(AJ540="Complete","Complete",IF(AG540&lt;0,"Overdue",IF(AG540&lt;=AE540*0.2,"At Risk","On Track")))</f>
        <v/>
      </c>
      <c r="AK540">
        <f>IF(OR(AH540="Overdue",AND(AD540="P0",AG540&lt;1),AND(AD540="P1",AG540&lt;3)),"Y","N")</f>
        <v/>
      </c>
    </row>
    <row r="541">
      <c r="K541">
        <f>IF(J541="v4.0",L541,IF(J541="v3.1",M541,IF(J541="Both",L541,IF(AND(L541&lt;&gt;"",M541=""),L541,M541))))</f>
        <v/>
      </c>
      <c r="Z541">
        <f>MIN(100,
(K541*5) +
(U541*10) +
IF(P541="Y",40,0) +
IF(Q541="P",30,0) +
IF(V541="Y",25,0) +
IF(W541="Y",20,0) +
IF(X541="Weaponized",15,IF(X541="PoC Available",10,IF(X541="Public Exploit",5,0))) +
IF(G541="Production",10,IF(G541="DMZ",8,IF(G541="DR/Backup",5,0))) +
IF(Y541="N",10,0)
)</f>
        <v/>
      </c>
      <c r="AA541">
        <f>IF(OR(P541="Y",AND(K541&gt;=9.0,W541="Y")),"P0",IF(Z541&gt;=80,"P0",IF(Z541&gt;=60,"P1",IF(Z541&gt;=40,"P2",IF(Z541&gt;=20,"P3","P4")))))</f>
        <v/>
      </c>
      <c r="AD541">
        <f>IF(AB541&lt;&gt;"",AB541,AA541)</f>
        <v/>
      </c>
      <c r="AE541">
        <f>VLOOKUP(AD541,SLA_Definitions!$A$2:$B$6,2,FALSE)</f>
        <v/>
      </c>
      <c r="AF541">
        <f>IF(B541&lt;&gt;"",WORKDAY(B541,AE541),"")</f>
        <v/>
      </c>
      <c r="AG541">
        <f>IF(AF541&lt;&gt;"",NETWORKDAYS(TODAY(),AF541),"")</f>
        <v/>
      </c>
      <c r="AH541">
        <f>IF(AJ541="Complete","Complete",IF(AG541&lt;0,"Overdue",IF(AG541&lt;=AE541*0.2,"At Risk","On Track")))</f>
        <v/>
      </c>
      <c r="AK541">
        <f>IF(OR(AH541="Overdue",AND(AD541="P0",AG541&lt;1),AND(AD541="P1",AG541&lt;3)),"Y","N")</f>
        <v/>
      </c>
    </row>
    <row r="542">
      <c r="K542">
        <f>IF(J542="v4.0",L542,IF(J542="v3.1",M542,IF(J542="Both",L542,IF(AND(L542&lt;&gt;"",M542=""),L542,M542))))</f>
        <v/>
      </c>
      <c r="Z542">
        <f>MIN(100,
(K542*5) +
(U542*10) +
IF(P542="Y",40,0) +
IF(Q542="P",30,0) +
IF(V542="Y",25,0) +
IF(W542="Y",20,0) +
IF(X542="Weaponized",15,IF(X542="PoC Available",10,IF(X542="Public Exploit",5,0))) +
IF(G542="Production",10,IF(G542="DMZ",8,IF(G542="DR/Backup",5,0))) +
IF(Y542="N",10,0)
)</f>
        <v/>
      </c>
      <c r="AA542">
        <f>IF(OR(P542="Y",AND(K542&gt;=9.0,W542="Y")),"P0",IF(Z542&gt;=80,"P0",IF(Z542&gt;=60,"P1",IF(Z542&gt;=40,"P2",IF(Z542&gt;=20,"P3","P4")))))</f>
        <v/>
      </c>
      <c r="AD542">
        <f>IF(AB542&lt;&gt;"",AB542,AA542)</f>
        <v/>
      </c>
      <c r="AE542">
        <f>VLOOKUP(AD542,SLA_Definitions!$A$2:$B$6,2,FALSE)</f>
        <v/>
      </c>
      <c r="AF542">
        <f>IF(B542&lt;&gt;"",WORKDAY(B542,AE542),"")</f>
        <v/>
      </c>
      <c r="AG542">
        <f>IF(AF542&lt;&gt;"",NETWORKDAYS(TODAY(),AF542),"")</f>
        <v/>
      </c>
      <c r="AH542">
        <f>IF(AJ542="Complete","Complete",IF(AG542&lt;0,"Overdue",IF(AG542&lt;=AE542*0.2,"At Risk","On Track")))</f>
        <v/>
      </c>
      <c r="AK542">
        <f>IF(OR(AH542="Overdue",AND(AD542="P0",AG542&lt;1),AND(AD542="P1",AG542&lt;3)),"Y","N")</f>
        <v/>
      </c>
    </row>
    <row r="543">
      <c r="K543">
        <f>IF(J543="v4.0",L543,IF(J543="v3.1",M543,IF(J543="Both",L543,IF(AND(L543&lt;&gt;"",M543=""),L543,M543))))</f>
        <v/>
      </c>
      <c r="Z543">
        <f>MIN(100,
(K543*5) +
(U543*10) +
IF(P543="Y",40,0) +
IF(Q543="P",30,0) +
IF(V543="Y",25,0) +
IF(W543="Y",20,0) +
IF(X543="Weaponized",15,IF(X543="PoC Available",10,IF(X543="Public Exploit",5,0))) +
IF(G543="Production",10,IF(G543="DMZ",8,IF(G543="DR/Backup",5,0))) +
IF(Y543="N",10,0)
)</f>
        <v/>
      </c>
      <c r="AA543">
        <f>IF(OR(P543="Y",AND(K543&gt;=9.0,W543="Y")),"P0",IF(Z543&gt;=80,"P0",IF(Z543&gt;=60,"P1",IF(Z543&gt;=40,"P2",IF(Z543&gt;=20,"P3","P4")))))</f>
        <v/>
      </c>
      <c r="AD543">
        <f>IF(AB543&lt;&gt;"",AB543,AA543)</f>
        <v/>
      </c>
      <c r="AE543">
        <f>VLOOKUP(AD543,SLA_Definitions!$A$2:$B$6,2,FALSE)</f>
        <v/>
      </c>
      <c r="AF543">
        <f>IF(B543&lt;&gt;"",WORKDAY(B543,AE543),"")</f>
        <v/>
      </c>
      <c r="AG543">
        <f>IF(AF543&lt;&gt;"",NETWORKDAYS(TODAY(),AF543),"")</f>
        <v/>
      </c>
      <c r="AH543">
        <f>IF(AJ543="Complete","Complete",IF(AG543&lt;0,"Overdue",IF(AG543&lt;=AE543*0.2,"At Risk","On Track")))</f>
        <v/>
      </c>
      <c r="AK543">
        <f>IF(OR(AH543="Overdue",AND(AD543="P0",AG543&lt;1),AND(AD543="P1",AG543&lt;3)),"Y","N")</f>
        <v/>
      </c>
    </row>
    <row r="544">
      <c r="K544">
        <f>IF(J544="v4.0",L544,IF(J544="v3.1",M544,IF(J544="Both",L544,IF(AND(L544&lt;&gt;"",M544=""),L544,M544))))</f>
        <v/>
      </c>
      <c r="Z544">
        <f>MIN(100,
(K544*5) +
(U544*10) +
IF(P544="Y",40,0) +
IF(Q544="P",30,0) +
IF(V544="Y",25,0) +
IF(W544="Y",20,0) +
IF(X544="Weaponized",15,IF(X544="PoC Available",10,IF(X544="Public Exploit",5,0))) +
IF(G544="Production",10,IF(G544="DMZ",8,IF(G544="DR/Backup",5,0))) +
IF(Y544="N",10,0)
)</f>
        <v/>
      </c>
      <c r="AA544">
        <f>IF(OR(P544="Y",AND(K544&gt;=9.0,W544="Y")),"P0",IF(Z544&gt;=80,"P0",IF(Z544&gt;=60,"P1",IF(Z544&gt;=40,"P2",IF(Z544&gt;=20,"P3","P4")))))</f>
        <v/>
      </c>
      <c r="AD544">
        <f>IF(AB544&lt;&gt;"",AB544,AA544)</f>
        <v/>
      </c>
      <c r="AE544">
        <f>VLOOKUP(AD544,SLA_Definitions!$A$2:$B$6,2,FALSE)</f>
        <v/>
      </c>
      <c r="AF544">
        <f>IF(B544&lt;&gt;"",WORKDAY(B544,AE544),"")</f>
        <v/>
      </c>
      <c r="AG544">
        <f>IF(AF544&lt;&gt;"",NETWORKDAYS(TODAY(),AF544),"")</f>
        <v/>
      </c>
      <c r="AH544">
        <f>IF(AJ544="Complete","Complete",IF(AG544&lt;0,"Overdue",IF(AG544&lt;=AE544*0.2,"At Risk","On Track")))</f>
        <v/>
      </c>
      <c r="AK544">
        <f>IF(OR(AH544="Overdue",AND(AD544="P0",AG544&lt;1),AND(AD544="P1",AG544&lt;3)),"Y","N")</f>
        <v/>
      </c>
    </row>
    <row r="545">
      <c r="K545">
        <f>IF(J545="v4.0",L545,IF(J545="v3.1",M545,IF(J545="Both",L545,IF(AND(L545&lt;&gt;"",M545=""),L545,M545))))</f>
        <v/>
      </c>
      <c r="Z545">
        <f>MIN(100,
(K545*5) +
(U545*10) +
IF(P545="Y",40,0) +
IF(Q545="P",30,0) +
IF(V545="Y",25,0) +
IF(W545="Y",20,0) +
IF(X545="Weaponized",15,IF(X545="PoC Available",10,IF(X545="Public Exploit",5,0))) +
IF(G545="Production",10,IF(G545="DMZ",8,IF(G545="DR/Backup",5,0))) +
IF(Y545="N",10,0)
)</f>
        <v/>
      </c>
      <c r="AA545">
        <f>IF(OR(P545="Y",AND(K545&gt;=9.0,W545="Y")),"P0",IF(Z545&gt;=80,"P0",IF(Z545&gt;=60,"P1",IF(Z545&gt;=40,"P2",IF(Z545&gt;=20,"P3","P4")))))</f>
        <v/>
      </c>
      <c r="AD545">
        <f>IF(AB545&lt;&gt;"",AB545,AA545)</f>
        <v/>
      </c>
      <c r="AE545">
        <f>VLOOKUP(AD545,SLA_Definitions!$A$2:$B$6,2,FALSE)</f>
        <v/>
      </c>
      <c r="AF545">
        <f>IF(B545&lt;&gt;"",WORKDAY(B545,AE545),"")</f>
        <v/>
      </c>
      <c r="AG545">
        <f>IF(AF545&lt;&gt;"",NETWORKDAYS(TODAY(),AF545),"")</f>
        <v/>
      </c>
      <c r="AH545">
        <f>IF(AJ545="Complete","Complete",IF(AG545&lt;0,"Overdue",IF(AG545&lt;=AE545*0.2,"At Risk","On Track")))</f>
        <v/>
      </c>
      <c r="AK545">
        <f>IF(OR(AH545="Overdue",AND(AD545="P0",AG545&lt;1),AND(AD545="P1",AG545&lt;3)),"Y","N")</f>
        <v/>
      </c>
    </row>
    <row r="546">
      <c r="K546">
        <f>IF(J546="v4.0",L546,IF(J546="v3.1",M546,IF(J546="Both",L546,IF(AND(L546&lt;&gt;"",M546=""),L546,M546))))</f>
        <v/>
      </c>
      <c r="Z546">
        <f>MIN(100,
(K546*5) +
(U546*10) +
IF(P546="Y",40,0) +
IF(Q546="P",30,0) +
IF(V546="Y",25,0) +
IF(W546="Y",20,0) +
IF(X546="Weaponized",15,IF(X546="PoC Available",10,IF(X546="Public Exploit",5,0))) +
IF(G546="Production",10,IF(G546="DMZ",8,IF(G546="DR/Backup",5,0))) +
IF(Y546="N",10,0)
)</f>
        <v/>
      </c>
      <c r="AA546">
        <f>IF(OR(P546="Y",AND(K546&gt;=9.0,W546="Y")),"P0",IF(Z546&gt;=80,"P0",IF(Z546&gt;=60,"P1",IF(Z546&gt;=40,"P2",IF(Z546&gt;=20,"P3","P4")))))</f>
        <v/>
      </c>
      <c r="AD546">
        <f>IF(AB546&lt;&gt;"",AB546,AA546)</f>
        <v/>
      </c>
      <c r="AE546">
        <f>VLOOKUP(AD546,SLA_Definitions!$A$2:$B$6,2,FALSE)</f>
        <v/>
      </c>
      <c r="AF546">
        <f>IF(B546&lt;&gt;"",WORKDAY(B546,AE546),"")</f>
        <v/>
      </c>
      <c r="AG546">
        <f>IF(AF546&lt;&gt;"",NETWORKDAYS(TODAY(),AF546),"")</f>
        <v/>
      </c>
      <c r="AH546">
        <f>IF(AJ546="Complete","Complete",IF(AG546&lt;0,"Overdue",IF(AG546&lt;=AE546*0.2,"At Risk","On Track")))</f>
        <v/>
      </c>
      <c r="AK546">
        <f>IF(OR(AH546="Overdue",AND(AD546="P0",AG546&lt;1),AND(AD546="P1",AG546&lt;3)),"Y","N")</f>
        <v/>
      </c>
    </row>
    <row r="547">
      <c r="K547">
        <f>IF(J547="v4.0",L547,IF(J547="v3.1",M547,IF(J547="Both",L547,IF(AND(L547&lt;&gt;"",M547=""),L547,M547))))</f>
        <v/>
      </c>
      <c r="Z547">
        <f>MIN(100,
(K547*5) +
(U547*10) +
IF(P547="Y",40,0) +
IF(Q547="P",30,0) +
IF(V547="Y",25,0) +
IF(W547="Y",20,0) +
IF(X547="Weaponized",15,IF(X547="PoC Available",10,IF(X547="Public Exploit",5,0))) +
IF(G547="Production",10,IF(G547="DMZ",8,IF(G547="DR/Backup",5,0))) +
IF(Y547="N",10,0)
)</f>
        <v/>
      </c>
      <c r="AA547">
        <f>IF(OR(P547="Y",AND(K547&gt;=9.0,W547="Y")),"P0",IF(Z547&gt;=80,"P0",IF(Z547&gt;=60,"P1",IF(Z547&gt;=40,"P2",IF(Z547&gt;=20,"P3","P4")))))</f>
        <v/>
      </c>
      <c r="AD547">
        <f>IF(AB547&lt;&gt;"",AB547,AA547)</f>
        <v/>
      </c>
      <c r="AE547">
        <f>VLOOKUP(AD547,SLA_Definitions!$A$2:$B$6,2,FALSE)</f>
        <v/>
      </c>
      <c r="AF547">
        <f>IF(B547&lt;&gt;"",WORKDAY(B547,AE547),"")</f>
        <v/>
      </c>
      <c r="AG547">
        <f>IF(AF547&lt;&gt;"",NETWORKDAYS(TODAY(),AF547),"")</f>
        <v/>
      </c>
      <c r="AH547">
        <f>IF(AJ547="Complete","Complete",IF(AG547&lt;0,"Overdue",IF(AG547&lt;=AE547*0.2,"At Risk","On Track")))</f>
        <v/>
      </c>
      <c r="AK547">
        <f>IF(OR(AH547="Overdue",AND(AD547="P0",AG547&lt;1),AND(AD547="P1",AG547&lt;3)),"Y","N")</f>
        <v/>
      </c>
    </row>
    <row r="548">
      <c r="K548">
        <f>IF(J548="v4.0",L548,IF(J548="v3.1",M548,IF(J548="Both",L548,IF(AND(L548&lt;&gt;"",M548=""),L548,M548))))</f>
        <v/>
      </c>
      <c r="Z548">
        <f>MIN(100,
(K548*5) +
(U548*10) +
IF(P548="Y",40,0) +
IF(Q548="P",30,0) +
IF(V548="Y",25,0) +
IF(W548="Y",20,0) +
IF(X548="Weaponized",15,IF(X548="PoC Available",10,IF(X548="Public Exploit",5,0))) +
IF(G548="Production",10,IF(G548="DMZ",8,IF(G548="DR/Backup",5,0))) +
IF(Y548="N",10,0)
)</f>
        <v/>
      </c>
      <c r="AA548">
        <f>IF(OR(P548="Y",AND(K548&gt;=9.0,W548="Y")),"P0",IF(Z548&gt;=80,"P0",IF(Z548&gt;=60,"P1",IF(Z548&gt;=40,"P2",IF(Z548&gt;=20,"P3","P4")))))</f>
        <v/>
      </c>
      <c r="AD548">
        <f>IF(AB548&lt;&gt;"",AB548,AA548)</f>
        <v/>
      </c>
      <c r="AE548">
        <f>VLOOKUP(AD548,SLA_Definitions!$A$2:$B$6,2,FALSE)</f>
        <v/>
      </c>
      <c r="AF548">
        <f>IF(B548&lt;&gt;"",WORKDAY(B548,AE548),"")</f>
        <v/>
      </c>
      <c r="AG548">
        <f>IF(AF548&lt;&gt;"",NETWORKDAYS(TODAY(),AF548),"")</f>
        <v/>
      </c>
      <c r="AH548">
        <f>IF(AJ548="Complete","Complete",IF(AG548&lt;0,"Overdue",IF(AG548&lt;=AE548*0.2,"At Risk","On Track")))</f>
        <v/>
      </c>
      <c r="AK548">
        <f>IF(OR(AH548="Overdue",AND(AD548="P0",AG548&lt;1),AND(AD548="P1",AG548&lt;3)),"Y","N")</f>
        <v/>
      </c>
    </row>
    <row r="549">
      <c r="K549">
        <f>IF(J549="v4.0",L549,IF(J549="v3.1",M549,IF(J549="Both",L549,IF(AND(L549&lt;&gt;"",M549=""),L549,M549))))</f>
        <v/>
      </c>
      <c r="Z549">
        <f>MIN(100,
(K549*5) +
(U549*10) +
IF(P549="Y",40,0) +
IF(Q549="P",30,0) +
IF(V549="Y",25,0) +
IF(W549="Y",20,0) +
IF(X549="Weaponized",15,IF(X549="PoC Available",10,IF(X549="Public Exploit",5,0))) +
IF(G549="Production",10,IF(G549="DMZ",8,IF(G549="DR/Backup",5,0))) +
IF(Y549="N",10,0)
)</f>
        <v/>
      </c>
      <c r="AA549">
        <f>IF(OR(P549="Y",AND(K549&gt;=9.0,W549="Y")),"P0",IF(Z549&gt;=80,"P0",IF(Z549&gt;=60,"P1",IF(Z549&gt;=40,"P2",IF(Z549&gt;=20,"P3","P4")))))</f>
        <v/>
      </c>
      <c r="AD549">
        <f>IF(AB549&lt;&gt;"",AB549,AA549)</f>
        <v/>
      </c>
      <c r="AE549">
        <f>VLOOKUP(AD549,SLA_Definitions!$A$2:$B$6,2,FALSE)</f>
        <v/>
      </c>
      <c r="AF549">
        <f>IF(B549&lt;&gt;"",WORKDAY(B549,AE549),"")</f>
        <v/>
      </c>
      <c r="AG549">
        <f>IF(AF549&lt;&gt;"",NETWORKDAYS(TODAY(),AF549),"")</f>
        <v/>
      </c>
      <c r="AH549">
        <f>IF(AJ549="Complete","Complete",IF(AG549&lt;0,"Overdue",IF(AG549&lt;=AE549*0.2,"At Risk","On Track")))</f>
        <v/>
      </c>
      <c r="AK549">
        <f>IF(OR(AH549="Overdue",AND(AD549="P0",AG549&lt;1),AND(AD549="P1",AG549&lt;3)),"Y","N")</f>
        <v/>
      </c>
    </row>
    <row r="550">
      <c r="K550">
        <f>IF(J550="v4.0",L550,IF(J550="v3.1",M550,IF(J550="Both",L550,IF(AND(L550&lt;&gt;"",M550=""),L550,M550))))</f>
        <v/>
      </c>
      <c r="Z550">
        <f>MIN(100,
(K550*5) +
(U550*10) +
IF(P550="Y",40,0) +
IF(Q550="P",30,0) +
IF(V550="Y",25,0) +
IF(W550="Y",20,0) +
IF(X550="Weaponized",15,IF(X550="PoC Available",10,IF(X550="Public Exploit",5,0))) +
IF(G550="Production",10,IF(G550="DMZ",8,IF(G550="DR/Backup",5,0))) +
IF(Y550="N",10,0)
)</f>
        <v/>
      </c>
      <c r="AA550">
        <f>IF(OR(P550="Y",AND(K550&gt;=9.0,W550="Y")),"P0",IF(Z550&gt;=80,"P0",IF(Z550&gt;=60,"P1",IF(Z550&gt;=40,"P2",IF(Z550&gt;=20,"P3","P4")))))</f>
        <v/>
      </c>
      <c r="AD550">
        <f>IF(AB550&lt;&gt;"",AB550,AA550)</f>
        <v/>
      </c>
      <c r="AE550">
        <f>VLOOKUP(AD550,SLA_Definitions!$A$2:$B$6,2,FALSE)</f>
        <v/>
      </c>
      <c r="AF550">
        <f>IF(B550&lt;&gt;"",WORKDAY(B550,AE550),"")</f>
        <v/>
      </c>
      <c r="AG550">
        <f>IF(AF550&lt;&gt;"",NETWORKDAYS(TODAY(),AF550),"")</f>
        <v/>
      </c>
      <c r="AH550">
        <f>IF(AJ550="Complete","Complete",IF(AG550&lt;0,"Overdue",IF(AG550&lt;=AE550*0.2,"At Risk","On Track")))</f>
        <v/>
      </c>
      <c r="AK550">
        <f>IF(OR(AH550="Overdue",AND(AD550="P0",AG550&lt;1),AND(AD550="P1",AG550&lt;3)),"Y","N")</f>
        <v/>
      </c>
    </row>
    <row r="551">
      <c r="K551">
        <f>IF(J551="v4.0",L551,IF(J551="v3.1",M551,IF(J551="Both",L551,IF(AND(L551&lt;&gt;"",M551=""),L551,M551))))</f>
        <v/>
      </c>
      <c r="Z551">
        <f>MIN(100,
(K551*5) +
(U551*10) +
IF(P551="Y",40,0) +
IF(Q551="P",30,0) +
IF(V551="Y",25,0) +
IF(W551="Y",20,0) +
IF(X551="Weaponized",15,IF(X551="PoC Available",10,IF(X551="Public Exploit",5,0))) +
IF(G551="Production",10,IF(G551="DMZ",8,IF(G551="DR/Backup",5,0))) +
IF(Y551="N",10,0)
)</f>
        <v/>
      </c>
      <c r="AA551">
        <f>IF(OR(P551="Y",AND(K551&gt;=9.0,W551="Y")),"P0",IF(Z551&gt;=80,"P0",IF(Z551&gt;=60,"P1",IF(Z551&gt;=40,"P2",IF(Z551&gt;=20,"P3","P4")))))</f>
        <v/>
      </c>
      <c r="AD551">
        <f>IF(AB551&lt;&gt;"",AB551,AA551)</f>
        <v/>
      </c>
      <c r="AE551">
        <f>VLOOKUP(AD551,SLA_Definitions!$A$2:$B$6,2,FALSE)</f>
        <v/>
      </c>
      <c r="AF551">
        <f>IF(B551&lt;&gt;"",WORKDAY(B551,AE551),"")</f>
        <v/>
      </c>
      <c r="AG551">
        <f>IF(AF551&lt;&gt;"",NETWORKDAYS(TODAY(),AF551),"")</f>
        <v/>
      </c>
      <c r="AH551">
        <f>IF(AJ551="Complete","Complete",IF(AG551&lt;0,"Overdue",IF(AG551&lt;=AE551*0.2,"At Risk","On Track")))</f>
        <v/>
      </c>
      <c r="AK551">
        <f>IF(OR(AH551="Overdue",AND(AD551="P0",AG551&lt;1),AND(AD551="P1",AG551&lt;3)),"Y","N")</f>
        <v/>
      </c>
    </row>
    <row r="552">
      <c r="K552">
        <f>IF(J552="v4.0",L552,IF(J552="v3.1",M552,IF(J552="Both",L552,IF(AND(L552&lt;&gt;"",M552=""),L552,M552))))</f>
        <v/>
      </c>
      <c r="Z552">
        <f>MIN(100,
(K552*5) +
(U552*10) +
IF(P552="Y",40,0) +
IF(Q552="P",30,0) +
IF(V552="Y",25,0) +
IF(W552="Y",20,0) +
IF(X552="Weaponized",15,IF(X552="PoC Available",10,IF(X552="Public Exploit",5,0))) +
IF(G552="Production",10,IF(G552="DMZ",8,IF(G552="DR/Backup",5,0))) +
IF(Y552="N",10,0)
)</f>
        <v/>
      </c>
      <c r="AA552">
        <f>IF(OR(P552="Y",AND(K552&gt;=9.0,W552="Y")),"P0",IF(Z552&gt;=80,"P0",IF(Z552&gt;=60,"P1",IF(Z552&gt;=40,"P2",IF(Z552&gt;=20,"P3","P4")))))</f>
        <v/>
      </c>
      <c r="AD552">
        <f>IF(AB552&lt;&gt;"",AB552,AA552)</f>
        <v/>
      </c>
      <c r="AE552">
        <f>VLOOKUP(AD552,SLA_Definitions!$A$2:$B$6,2,FALSE)</f>
        <v/>
      </c>
      <c r="AF552">
        <f>IF(B552&lt;&gt;"",WORKDAY(B552,AE552),"")</f>
        <v/>
      </c>
      <c r="AG552">
        <f>IF(AF552&lt;&gt;"",NETWORKDAYS(TODAY(),AF552),"")</f>
        <v/>
      </c>
      <c r="AH552">
        <f>IF(AJ552="Complete","Complete",IF(AG552&lt;0,"Overdue",IF(AG552&lt;=AE552*0.2,"At Risk","On Track")))</f>
        <v/>
      </c>
      <c r="AK552">
        <f>IF(OR(AH552="Overdue",AND(AD552="P0",AG552&lt;1),AND(AD552="P1",AG552&lt;3)),"Y","N")</f>
        <v/>
      </c>
    </row>
    <row r="553">
      <c r="K553">
        <f>IF(J553="v4.0",L553,IF(J553="v3.1",M553,IF(J553="Both",L553,IF(AND(L553&lt;&gt;"",M553=""),L553,M553))))</f>
        <v/>
      </c>
      <c r="Z553">
        <f>MIN(100,
(K553*5) +
(U553*10) +
IF(P553="Y",40,0) +
IF(Q553="P",30,0) +
IF(V553="Y",25,0) +
IF(W553="Y",20,0) +
IF(X553="Weaponized",15,IF(X553="PoC Available",10,IF(X553="Public Exploit",5,0))) +
IF(G553="Production",10,IF(G553="DMZ",8,IF(G553="DR/Backup",5,0))) +
IF(Y553="N",10,0)
)</f>
        <v/>
      </c>
      <c r="AA553">
        <f>IF(OR(P553="Y",AND(K553&gt;=9.0,W553="Y")),"P0",IF(Z553&gt;=80,"P0",IF(Z553&gt;=60,"P1",IF(Z553&gt;=40,"P2",IF(Z553&gt;=20,"P3","P4")))))</f>
        <v/>
      </c>
      <c r="AD553">
        <f>IF(AB553&lt;&gt;"",AB553,AA553)</f>
        <v/>
      </c>
      <c r="AE553">
        <f>VLOOKUP(AD553,SLA_Definitions!$A$2:$B$6,2,FALSE)</f>
        <v/>
      </c>
      <c r="AF553">
        <f>IF(B553&lt;&gt;"",WORKDAY(B553,AE553),"")</f>
        <v/>
      </c>
      <c r="AG553">
        <f>IF(AF553&lt;&gt;"",NETWORKDAYS(TODAY(),AF553),"")</f>
        <v/>
      </c>
      <c r="AH553">
        <f>IF(AJ553="Complete","Complete",IF(AG553&lt;0,"Overdue",IF(AG553&lt;=AE553*0.2,"At Risk","On Track")))</f>
        <v/>
      </c>
      <c r="AK553">
        <f>IF(OR(AH553="Overdue",AND(AD553="P0",AG553&lt;1),AND(AD553="P1",AG553&lt;3)),"Y","N")</f>
        <v/>
      </c>
    </row>
    <row r="554">
      <c r="K554">
        <f>IF(J554="v4.0",L554,IF(J554="v3.1",M554,IF(J554="Both",L554,IF(AND(L554&lt;&gt;"",M554=""),L554,M554))))</f>
        <v/>
      </c>
      <c r="Z554">
        <f>MIN(100,
(K554*5) +
(U554*10) +
IF(P554="Y",40,0) +
IF(Q554="P",30,0) +
IF(V554="Y",25,0) +
IF(W554="Y",20,0) +
IF(X554="Weaponized",15,IF(X554="PoC Available",10,IF(X554="Public Exploit",5,0))) +
IF(G554="Production",10,IF(G554="DMZ",8,IF(G554="DR/Backup",5,0))) +
IF(Y554="N",10,0)
)</f>
        <v/>
      </c>
      <c r="AA554">
        <f>IF(OR(P554="Y",AND(K554&gt;=9.0,W554="Y")),"P0",IF(Z554&gt;=80,"P0",IF(Z554&gt;=60,"P1",IF(Z554&gt;=40,"P2",IF(Z554&gt;=20,"P3","P4")))))</f>
        <v/>
      </c>
      <c r="AD554">
        <f>IF(AB554&lt;&gt;"",AB554,AA554)</f>
        <v/>
      </c>
      <c r="AE554">
        <f>VLOOKUP(AD554,SLA_Definitions!$A$2:$B$6,2,FALSE)</f>
        <v/>
      </c>
      <c r="AF554">
        <f>IF(B554&lt;&gt;"",WORKDAY(B554,AE554),"")</f>
        <v/>
      </c>
      <c r="AG554">
        <f>IF(AF554&lt;&gt;"",NETWORKDAYS(TODAY(),AF554),"")</f>
        <v/>
      </c>
      <c r="AH554">
        <f>IF(AJ554="Complete","Complete",IF(AG554&lt;0,"Overdue",IF(AG554&lt;=AE554*0.2,"At Risk","On Track")))</f>
        <v/>
      </c>
      <c r="AK554">
        <f>IF(OR(AH554="Overdue",AND(AD554="P0",AG554&lt;1),AND(AD554="P1",AG554&lt;3)),"Y","N")</f>
        <v/>
      </c>
    </row>
    <row r="555">
      <c r="K555">
        <f>IF(J555="v4.0",L555,IF(J555="v3.1",M555,IF(J555="Both",L555,IF(AND(L555&lt;&gt;"",M555=""),L555,M555))))</f>
        <v/>
      </c>
      <c r="Z555">
        <f>MIN(100,
(K555*5) +
(U555*10) +
IF(P555="Y",40,0) +
IF(Q555="P",30,0) +
IF(V555="Y",25,0) +
IF(W555="Y",20,0) +
IF(X555="Weaponized",15,IF(X555="PoC Available",10,IF(X555="Public Exploit",5,0))) +
IF(G555="Production",10,IF(G555="DMZ",8,IF(G555="DR/Backup",5,0))) +
IF(Y555="N",10,0)
)</f>
        <v/>
      </c>
      <c r="AA555">
        <f>IF(OR(P555="Y",AND(K555&gt;=9.0,W555="Y")),"P0",IF(Z555&gt;=80,"P0",IF(Z555&gt;=60,"P1",IF(Z555&gt;=40,"P2",IF(Z555&gt;=20,"P3","P4")))))</f>
        <v/>
      </c>
      <c r="AD555">
        <f>IF(AB555&lt;&gt;"",AB555,AA555)</f>
        <v/>
      </c>
      <c r="AE555">
        <f>VLOOKUP(AD555,SLA_Definitions!$A$2:$B$6,2,FALSE)</f>
        <v/>
      </c>
      <c r="AF555">
        <f>IF(B555&lt;&gt;"",WORKDAY(B555,AE555),"")</f>
        <v/>
      </c>
      <c r="AG555">
        <f>IF(AF555&lt;&gt;"",NETWORKDAYS(TODAY(),AF555),"")</f>
        <v/>
      </c>
      <c r="AH555">
        <f>IF(AJ555="Complete","Complete",IF(AG555&lt;0,"Overdue",IF(AG555&lt;=AE555*0.2,"At Risk","On Track")))</f>
        <v/>
      </c>
      <c r="AK555">
        <f>IF(OR(AH555="Overdue",AND(AD555="P0",AG555&lt;1),AND(AD555="P1",AG555&lt;3)),"Y","N")</f>
        <v/>
      </c>
    </row>
    <row r="556">
      <c r="K556">
        <f>IF(J556="v4.0",L556,IF(J556="v3.1",M556,IF(J556="Both",L556,IF(AND(L556&lt;&gt;"",M556=""),L556,M556))))</f>
        <v/>
      </c>
      <c r="Z556">
        <f>MIN(100,
(K556*5) +
(U556*10) +
IF(P556="Y",40,0) +
IF(Q556="P",30,0) +
IF(V556="Y",25,0) +
IF(W556="Y",20,0) +
IF(X556="Weaponized",15,IF(X556="PoC Available",10,IF(X556="Public Exploit",5,0))) +
IF(G556="Production",10,IF(G556="DMZ",8,IF(G556="DR/Backup",5,0))) +
IF(Y556="N",10,0)
)</f>
        <v/>
      </c>
      <c r="AA556">
        <f>IF(OR(P556="Y",AND(K556&gt;=9.0,W556="Y")),"P0",IF(Z556&gt;=80,"P0",IF(Z556&gt;=60,"P1",IF(Z556&gt;=40,"P2",IF(Z556&gt;=20,"P3","P4")))))</f>
        <v/>
      </c>
      <c r="AD556">
        <f>IF(AB556&lt;&gt;"",AB556,AA556)</f>
        <v/>
      </c>
      <c r="AE556">
        <f>VLOOKUP(AD556,SLA_Definitions!$A$2:$B$6,2,FALSE)</f>
        <v/>
      </c>
      <c r="AF556">
        <f>IF(B556&lt;&gt;"",WORKDAY(B556,AE556),"")</f>
        <v/>
      </c>
      <c r="AG556">
        <f>IF(AF556&lt;&gt;"",NETWORKDAYS(TODAY(),AF556),"")</f>
        <v/>
      </c>
      <c r="AH556">
        <f>IF(AJ556="Complete","Complete",IF(AG556&lt;0,"Overdue",IF(AG556&lt;=AE556*0.2,"At Risk","On Track")))</f>
        <v/>
      </c>
      <c r="AK556">
        <f>IF(OR(AH556="Overdue",AND(AD556="P0",AG556&lt;1),AND(AD556="P1",AG556&lt;3)),"Y","N")</f>
        <v/>
      </c>
    </row>
    <row r="557">
      <c r="K557">
        <f>IF(J557="v4.0",L557,IF(J557="v3.1",M557,IF(J557="Both",L557,IF(AND(L557&lt;&gt;"",M557=""),L557,M557))))</f>
        <v/>
      </c>
      <c r="Z557">
        <f>MIN(100,
(K557*5) +
(U557*10) +
IF(P557="Y",40,0) +
IF(Q557="P",30,0) +
IF(V557="Y",25,0) +
IF(W557="Y",20,0) +
IF(X557="Weaponized",15,IF(X557="PoC Available",10,IF(X557="Public Exploit",5,0))) +
IF(G557="Production",10,IF(G557="DMZ",8,IF(G557="DR/Backup",5,0))) +
IF(Y557="N",10,0)
)</f>
        <v/>
      </c>
      <c r="AA557">
        <f>IF(OR(P557="Y",AND(K557&gt;=9.0,W557="Y")),"P0",IF(Z557&gt;=80,"P0",IF(Z557&gt;=60,"P1",IF(Z557&gt;=40,"P2",IF(Z557&gt;=20,"P3","P4")))))</f>
        <v/>
      </c>
      <c r="AD557">
        <f>IF(AB557&lt;&gt;"",AB557,AA557)</f>
        <v/>
      </c>
      <c r="AE557">
        <f>VLOOKUP(AD557,SLA_Definitions!$A$2:$B$6,2,FALSE)</f>
        <v/>
      </c>
      <c r="AF557">
        <f>IF(B557&lt;&gt;"",WORKDAY(B557,AE557),"")</f>
        <v/>
      </c>
      <c r="AG557">
        <f>IF(AF557&lt;&gt;"",NETWORKDAYS(TODAY(),AF557),"")</f>
        <v/>
      </c>
      <c r="AH557">
        <f>IF(AJ557="Complete","Complete",IF(AG557&lt;0,"Overdue",IF(AG557&lt;=AE557*0.2,"At Risk","On Track")))</f>
        <v/>
      </c>
      <c r="AK557">
        <f>IF(OR(AH557="Overdue",AND(AD557="P0",AG557&lt;1),AND(AD557="P1",AG557&lt;3)),"Y","N")</f>
        <v/>
      </c>
    </row>
    <row r="558">
      <c r="K558">
        <f>IF(J558="v4.0",L558,IF(J558="v3.1",M558,IF(J558="Both",L558,IF(AND(L558&lt;&gt;"",M558=""),L558,M558))))</f>
        <v/>
      </c>
      <c r="Z558">
        <f>MIN(100,
(K558*5) +
(U558*10) +
IF(P558="Y",40,0) +
IF(Q558="P",30,0) +
IF(V558="Y",25,0) +
IF(W558="Y",20,0) +
IF(X558="Weaponized",15,IF(X558="PoC Available",10,IF(X558="Public Exploit",5,0))) +
IF(G558="Production",10,IF(G558="DMZ",8,IF(G558="DR/Backup",5,0))) +
IF(Y558="N",10,0)
)</f>
        <v/>
      </c>
      <c r="AA558">
        <f>IF(OR(P558="Y",AND(K558&gt;=9.0,W558="Y")),"P0",IF(Z558&gt;=80,"P0",IF(Z558&gt;=60,"P1",IF(Z558&gt;=40,"P2",IF(Z558&gt;=20,"P3","P4")))))</f>
        <v/>
      </c>
      <c r="AD558">
        <f>IF(AB558&lt;&gt;"",AB558,AA558)</f>
        <v/>
      </c>
      <c r="AE558">
        <f>VLOOKUP(AD558,SLA_Definitions!$A$2:$B$6,2,FALSE)</f>
        <v/>
      </c>
      <c r="AF558">
        <f>IF(B558&lt;&gt;"",WORKDAY(B558,AE558),"")</f>
        <v/>
      </c>
      <c r="AG558">
        <f>IF(AF558&lt;&gt;"",NETWORKDAYS(TODAY(),AF558),"")</f>
        <v/>
      </c>
      <c r="AH558">
        <f>IF(AJ558="Complete","Complete",IF(AG558&lt;0,"Overdue",IF(AG558&lt;=AE558*0.2,"At Risk","On Track")))</f>
        <v/>
      </c>
      <c r="AK558">
        <f>IF(OR(AH558="Overdue",AND(AD558="P0",AG558&lt;1),AND(AD558="P1",AG558&lt;3)),"Y","N")</f>
        <v/>
      </c>
    </row>
    <row r="559">
      <c r="K559">
        <f>IF(J559="v4.0",L559,IF(J559="v3.1",M559,IF(J559="Both",L559,IF(AND(L559&lt;&gt;"",M559=""),L559,M559))))</f>
        <v/>
      </c>
      <c r="Z559">
        <f>MIN(100,
(K559*5) +
(U559*10) +
IF(P559="Y",40,0) +
IF(Q559="P",30,0) +
IF(V559="Y",25,0) +
IF(W559="Y",20,0) +
IF(X559="Weaponized",15,IF(X559="PoC Available",10,IF(X559="Public Exploit",5,0))) +
IF(G559="Production",10,IF(G559="DMZ",8,IF(G559="DR/Backup",5,0))) +
IF(Y559="N",10,0)
)</f>
        <v/>
      </c>
      <c r="AA559">
        <f>IF(OR(P559="Y",AND(K559&gt;=9.0,W559="Y")),"P0",IF(Z559&gt;=80,"P0",IF(Z559&gt;=60,"P1",IF(Z559&gt;=40,"P2",IF(Z559&gt;=20,"P3","P4")))))</f>
        <v/>
      </c>
      <c r="AD559">
        <f>IF(AB559&lt;&gt;"",AB559,AA559)</f>
        <v/>
      </c>
      <c r="AE559">
        <f>VLOOKUP(AD559,SLA_Definitions!$A$2:$B$6,2,FALSE)</f>
        <v/>
      </c>
      <c r="AF559">
        <f>IF(B559&lt;&gt;"",WORKDAY(B559,AE559),"")</f>
        <v/>
      </c>
      <c r="AG559">
        <f>IF(AF559&lt;&gt;"",NETWORKDAYS(TODAY(),AF559),"")</f>
        <v/>
      </c>
      <c r="AH559">
        <f>IF(AJ559="Complete","Complete",IF(AG559&lt;0,"Overdue",IF(AG559&lt;=AE559*0.2,"At Risk","On Track")))</f>
        <v/>
      </c>
      <c r="AK559">
        <f>IF(OR(AH559="Overdue",AND(AD559="P0",AG559&lt;1),AND(AD559="P1",AG559&lt;3)),"Y","N")</f>
        <v/>
      </c>
    </row>
    <row r="560">
      <c r="K560">
        <f>IF(J560="v4.0",L560,IF(J560="v3.1",M560,IF(J560="Both",L560,IF(AND(L560&lt;&gt;"",M560=""),L560,M560))))</f>
        <v/>
      </c>
      <c r="Z560">
        <f>MIN(100,
(K560*5) +
(U560*10) +
IF(P560="Y",40,0) +
IF(Q560="P",30,0) +
IF(V560="Y",25,0) +
IF(W560="Y",20,0) +
IF(X560="Weaponized",15,IF(X560="PoC Available",10,IF(X560="Public Exploit",5,0))) +
IF(G560="Production",10,IF(G560="DMZ",8,IF(G560="DR/Backup",5,0))) +
IF(Y560="N",10,0)
)</f>
        <v/>
      </c>
      <c r="AA560">
        <f>IF(OR(P560="Y",AND(K560&gt;=9.0,W560="Y")),"P0",IF(Z560&gt;=80,"P0",IF(Z560&gt;=60,"P1",IF(Z560&gt;=40,"P2",IF(Z560&gt;=20,"P3","P4")))))</f>
        <v/>
      </c>
      <c r="AD560">
        <f>IF(AB560&lt;&gt;"",AB560,AA560)</f>
        <v/>
      </c>
      <c r="AE560">
        <f>VLOOKUP(AD560,SLA_Definitions!$A$2:$B$6,2,FALSE)</f>
        <v/>
      </c>
      <c r="AF560">
        <f>IF(B560&lt;&gt;"",WORKDAY(B560,AE560),"")</f>
        <v/>
      </c>
      <c r="AG560">
        <f>IF(AF560&lt;&gt;"",NETWORKDAYS(TODAY(),AF560),"")</f>
        <v/>
      </c>
      <c r="AH560">
        <f>IF(AJ560="Complete","Complete",IF(AG560&lt;0,"Overdue",IF(AG560&lt;=AE560*0.2,"At Risk","On Track")))</f>
        <v/>
      </c>
      <c r="AK560">
        <f>IF(OR(AH560="Overdue",AND(AD560="P0",AG560&lt;1),AND(AD560="P1",AG560&lt;3)),"Y","N")</f>
        <v/>
      </c>
    </row>
    <row r="561">
      <c r="K561">
        <f>IF(J561="v4.0",L561,IF(J561="v3.1",M561,IF(J561="Both",L561,IF(AND(L561&lt;&gt;"",M561=""),L561,M561))))</f>
        <v/>
      </c>
      <c r="Z561">
        <f>MIN(100,
(K561*5) +
(U561*10) +
IF(P561="Y",40,0) +
IF(Q561="P",30,0) +
IF(V561="Y",25,0) +
IF(W561="Y",20,0) +
IF(X561="Weaponized",15,IF(X561="PoC Available",10,IF(X561="Public Exploit",5,0))) +
IF(G561="Production",10,IF(G561="DMZ",8,IF(G561="DR/Backup",5,0))) +
IF(Y561="N",10,0)
)</f>
        <v/>
      </c>
      <c r="AA561">
        <f>IF(OR(P561="Y",AND(K561&gt;=9.0,W561="Y")),"P0",IF(Z561&gt;=80,"P0",IF(Z561&gt;=60,"P1",IF(Z561&gt;=40,"P2",IF(Z561&gt;=20,"P3","P4")))))</f>
        <v/>
      </c>
      <c r="AD561">
        <f>IF(AB561&lt;&gt;"",AB561,AA561)</f>
        <v/>
      </c>
      <c r="AE561">
        <f>VLOOKUP(AD561,SLA_Definitions!$A$2:$B$6,2,FALSE)</f>
        <v/>
      </c>
      <c r="AF561">
        <f>IF(B561&lt;&gt;"",WORKDAY(B561,AE561),"")</f>
        <v/>
      </c>
      <c r="AG561">
        <f>IF(AF561&lt;&gt;"",NETWORKDAYS(TODAY(),AF561),"")</f>
        <v/>
      </c>
      <c r="AH561">
        <f>IF(AJ561="Complete","Complete",IF(AG561&lt;0,"Overdue",IF(AG561&lt;=AE561*0.2,"At Risk","On Track")))</f>
        <v/>
      </c>
      <c r="AK561">
        <f>IF(OR(AH561="Overdue",AND(AD561="P0",AG561&lt;1),AND(AD561="P1",AG561&lt;3)),"Y","N")</f>
        <v/>
      </c>
    </row>
    <row r="562">
      <c r="K562">
        <f>IF(J562="v4.0",L562,IF(J562="v3.1",M562,IF(J562="Both",L562,IF(AND(L562&lt;&gt;"",M562=""),L562,M562))))</f>
        <v/>
      </c>
      <c r="Z562">
        <f>MIN(100,
(K562*5) +
(U562*10) +
IF(P562="Y",40,0) +
IF(Q562="P",30,0) +
IF(V562="Y",25,0) +
IF(W562="Y",20,0) +
IF(X562="Weaponized",15,IF(X562="PoC Available",10,IF(X562="Public Exploit",5,0))) +
IF(G562="Production",10,IF(G562="DMZ",8,IF(G562="DR/Backup",5,0))) +
IF(Y562="N",10,0)
)</f>
        <v/>
      </c>
      <c r="AA562">
        <f>IF(OR(P562="Y",AND(K562&gt;=9.0,W562="Y")),"P0",IF(Z562&gt;=80,"P0",IF(Z562&gt;=60,"P1",IF(Z562&gt;=40,"P2",IF(Z562&gt;=20,"P3","P4")))))</f>
        <v/>
      </c>
      <c r="AD562">
        <f>IF(AB562&lt;&gt;"",AB562,AA562)</f>
        <v/>
      </c>
      <c r="AE562">
        <f>VLOOKUP(AD562,SLA_Definitions!$A$2:$B$6,2,FALSE)</f>
        <v/>
      </c>
      <c r="AF562">
        <f>IF(B562&lt;&gt;"",WORKDAY(B562,AE562),"")</f>
        <v/>
      </c>
      <c r="AG562">
        <f>IF(AF562&lt;&gt;"",NETWORKDAYS(TODAY(),AF562),"")</f>
        <v/>
      </c>
      <c r="AH562">
        <f>IF(AJ562="Complete","Complete",IF(AG562&lt;0,"Overdue",IF(AG562&lt;=AE562*0.2,"At Risk","On Track")))</f>
        <v/>
      </c>
      <c r="AK562">
        <f>IF(OR(AH562="Overdue",AND(AD562="P0",AG562&lt;1),AND(AD562="P1",AG562&lt;3)),"Y","N")</f>
        <v/>
      </c>
    </row>
    <row r="563">
      <c r="K563">
        <f>IF(J563="v4.0",L563,IF(J563="v3.1",M563,IF(J563="Both",L563,IF(AND(L563&lt;&gt;"",M563=""),L563,M563))))</f>
        <v/>
      </c>
      <c r="Z563">
        <f>MIN(100,
(K563*5) +
(U563*10) +
IF(P563="Y",40,0) +
IF(Q563="P",30,0) +
IF(V563="Y",25,0) +
IF(W563="Y",20,0) +
IF(X563="Weaponized",15,IF(X563="PoC Available",10,IF(X563="Public Exploit",5,0))) +
IF(G563="Production",10,IF(G563="DMZ",8,IF(G563="DR/Backup",5,0))) +
IF(Y563="N",10,0)
)</f>
        <v/>
      </c>
      <c r="AA563">
        <f>IF(OR(P563="Y",AND(K563&gt;=9.0,W563="Y")),"P0",IF(Z563&gt;=80,"P0",IF(Z563&gt;=60,"P1",IF(Z563&gt;=40,"P2",IF(Z563&gt;=20,"P3","P4")))))</f>
        <v/>
      </c>
      <c r="AD563">
        <f>IF(AB563&lt;&gt;"",AB563,AA563)</f>
        <v/>
      </c>
      <c r="AE563">
        <f>VLOOKUP(AD563,SLA_Definitions!$A$2:$B$6,2,FALSE)</f>
        <v/>
      </c>
      <c r="AF563">
        <f>IF(B563&lt;&gt;"",WORKDAY(B563,AE563),"")</f>
        <v/>
      </c>
      <c r="AG563">
        <f>IF(AF563&lt;&gt;"",NETWORKDAYS(TODAY(),AF563),"")</f>
        <v/>
      </c>
      <c r="AH563">
        <f>IF(AJ563="Complete","Complete",IF(AG563&lt;0,"Overdue",IF(AG563&lt;=AE563*0.2,"At Risk","On Track")))</f>
        <v/>
      </c>
      <c r="AK563">
        <f>IF(OR(AH563="Overdue",AND(AD563="P0",AG563&lt;1),AND(AD563="P1",AG563&lt;3)),"Y","N")</f>
        <v/>
      </c>
    </row>
    <row r="564">
      <c r="K564">
        <f>IF(J564="v4.0",L564,IF(J564="v3.1",M564,IF(J564="Both",L564,IF(AND(L564&lt;&gt;"",M564=""),L564,M564))))</f>
        <v/>
      </c>
      <c r="Z564">
        <f>MIN(100,
(K564*5) +
(U564*10) +
IF(P564="Y",40,0) +
IF(Q564="P",30,0) +
IF(V564="Y",25,0) +
IF(W564="Y",20,0) +
IF(X564="Weaponized",15,IF(X564="PoC Available",10,IF(X564="Public Exploit",5,0))) +
IF(G564="Production",10,IF(G564="DMZ",8,IF(G564="DR/Backup",5,0))) +
IF(Y564="N",10,0)
)</f>
        <v/>
      </c>
      <c r="AA564">
        <f>IF(OR(P564="Y",AND(K564&gt;=9.0,W564="Y")),"P0",IF(Z564&gt;=80,"P0",IF(Z564&gt;=60,"P1",IF(Z564&gt;=40,"P2",IF(Z564&gt;=20,"P3","P4")))))</f>
        <v/>
      </c>
      <c r="AD564">
        <f>IF(AB564&lt;&gt;"",AB564,AA564)</f>
        <v/>
      </c>
      <c r="AE564">
        <f>VLOOKUP(AD564,SLA_Definitions!$A$2:$B$6,2,FALSE)</f>
        <v/>
      </c>
      <c r="AF564">
        <f>IF(B564&lt;&gt;"",WORKDAY(B564,AE564),"")</f>
        <v/>
      </c>
      <c r="AG564">
        <f>IF(AF564&lt;&gt;"",NETWORKDAYS(TODAY(),AF564),"")</f>
        <v/>
      </c>
      <c r="AH564">
        <f>IF(AJ564="Complete","Complete",IF(AG564&lt;0,"Overdue",IF(AG564&lt;=AE564*0.2,"At Risk","On Track")))</f>
        <v/>
      </c>
      <c r="AK564">
        <f>IF(OR(AH564="Overdue",AND(AD564="P0",AG564&lt;1),AND(AD564="P1",AG564&lt;3)),"Y","N")</f>
        <v/>
      </c>
    </row>
    <row r="565">
      <c r="K565">
        <f>IF(J565="v4.0",L565,IF(J565="v3.1",M565,IF(J565="Both",L565,IF(AND(L565&lt;&gt;"",M565=""),L565,M565))))</f>
        <v/>
      </c>
      <c r="Z565">
        <f>MIN(100,
(K565*5) +
(U565*10) +
IF(P565="Y",40,0) +
IF(Q565="P",30,0) +
IF(V565="Y",25,0) +
IF(W565="Y",20,0) +
IF(X565="Weaponized",15,IF(X565="PoC Available",10,IF(X565="Public Exploit",5,0))) +
IF(G565="Production",10,IF(G565="DMZ",8,IF(G565="DR/Backup",5,0))) +
IF(Y565="N",10,0)
)</f>
        <v/>
      </c>
      <c r="AA565">
        <f>IF(OR(P565="Y",AND(K565&gt;=9.0,W565="Y")),"P0",IF(Z565&gt;=80,"P0",IF(Z565&gt;=60,"P1",IF(Z565&gt;=40,"P2",IF(Z565&gt;=20,"P3","P4")))))</f>
        <v/>
      </c>
      <c r="AD565">
        <f>IF(AB565&lt;&gt;"",AB565,AA565)</f>
        <v/>
      </c>
      <c r="AE565">
        <f>VLOOKUP(AD565,SLA_Definitions!$A$2:$B$6,2,FALSE)</f>
        <v/>
      </c>
      <c r="AF565">
        <f>IF(B565&lt;&gt;"",WORKDAY(B565,AE565),"")</f>
        <v/>
      </c>
      <c r="AG565">
        <f>IF(AF565&lt;&gt;"",NETWORKDAYS(TODAY(),AF565),"")</f>
        <v/>
      </c>
      <c r="AH565">
        <f>IF(AJ565="Complete","Complete",IF(AG565&lt;0,"Overdue",IF(AG565&lt;=AE565*0.2,"At Risk","On Track")))</f>
        <v/>
      </c>
      <c r="AK565">
        <f>IF(OR(AH565="Overdue",AND(AD565="P0",AG565&lt;1),AND(AD565="P1",AG565&lt;3)),"Y","N")</f>
        <v/>
      </c>
    </row>
    <row r="566">
      <c r="K566">
        <f>IF(J566="v4.0",L566,IF(J566="v3.1",M566,IF(J566="Both",L566,IF(AND(L566&lt;&gt;"",M566=""),L566,M566))))</f>
        <v/>
      </c>
      <c r="Z566">
        <f>MIN(100,
(K566*5) +
(U566*10) +
IF(P566="Y",40,0) +
IF(Q566="P",30,0) +
IF(V566="Y",25,0) +
IF(W566="Y",20,0) +
IF(X566="Weaponized",15,IF(X566="PoC Available",10,IF(X566="Public Exploit",5,0))) +
IF(G566="Production",10,IF(G566="DMZ",8,IF(G566="DR/Backup",5,0))) +
IF(Y566="N",10,0)
)</f>
        <v/>
      </c>
      <c r="AA566">
        <f>IF(OR(P566="Y",AND(K566&gt;=9.0,W566="Y")),"P0",IF(Z566&gt;=80,"P0",IF(Z566&gt;=60,"P1",IF(Z566&gt;=40,"P2",IF(Z566&gt;=20,"P3","P4")))))</f>
        <v/>
      </c>
      <c r="AD566">
        <f>IF(AB566&lt;&gt;"",AB566,AA566)</f>
        <v/>
      </c>
      <c r="AE566">
        <f>VLOOKUP(AD566,SLA_Definitions!$A$2:$B$6,2,FALSE)</f>
        <v/>
      </c>
      <c r="AF566">
        <f>IF(B566&lt;&gt;"",WORKDAY(B566,AE566),"")</f>
        <v/>
      </c>
      <c r="AG566">
        <f>IF(AF566&lt;&gt;"",NETWORKDAYS(TODAY(),AF566),"")</f>
        <v/>
      </c>
      <c r="AH566">
        <f>IF(AJ566="Complete","Complete",IF(AG566&lt;0,"Overdue",IF(AG566&lt;=AE566*0.2,"At Risk","On Track")))</f>
        <v/>
      </c>
      <c r="AK566">
        <f>IF(OR(AH566="Overdue",AND(AD566="P0",AG566&lt;1),AND(AD566="P1",AG566&lt;3)),"Y","N")</f>
        <v/>
      </c>
    </row>
    <row r="567">
      <c r="K567">
        <f>IF(J567="v4.0",L567,IF(J567="v3.1",M567,IF(J567="Both",L567,IF(AND(L567&lt;&gt;"",M567=""),L567,M567))))</f>
        <v/>
      </c>
      <c r="Z567">
        <f>MIN(100,
(K567*5) +
(U567*10) +
IF(P567="Y",40,0) +
IF(Q567="P",30,0) +
IF(V567="Y",25,0) +
IF(W567="Y",20,0) +
IF(X567="Weaponized",15,IF(X567="PoC Available",10,IF(X567="Public Exploit",5,0))) +
IF(G567="Production",10,IF(G567="DMZ",8,IF(G567="DR/Backup",5,0))) +
IF(Y567="N",10,0)
)</f>
        <v/>
      </c>
      <c r="AA567">
        <f>IF(OR(P567="Y",AND(K567&gt;=9.0,W567="Y")),"P0",IF(Z567&gt;=80,"P0",IF(Z567&gt;=60,"P1",IF(Z567&gt;=40,"P2",IF(Z567&gt;=20,"P3","P4")))))</f>
        <v/>
      </c>
      <c r="AD567">
        <f>IF(AB567&lt;&gt;"",AB567,AA567)</f>
        <v/>
      </c>
      <c r="AE567">
        <f>VLOOKUP(AD567,SLA_Definitions!$A$2:$B$6,2,FALSE)</f>
        <v/>
      </c>
      <c r="AF567">
        <f>IF(B567&lt;&gt;"",WORKDAY(B567,AE567),"")</f>
        <v/>
      </c>
      <c r="AG567">
        <f>IF(AF567&lt;&gt;"",NETWORKDAYS(TODAY(),AF567),"")</f>
        <v/>
      </c>
      <c r="AH567">
        <f>IF(AJ567="Complete","Complete",IF(AG567&lt;0,"Overdue",IF(AG567&lt;=AE567*0.2,"At Risk","On Track")))</f>
        <v/>
      </c>
      <c r="AK567">
        <f>IF(OR(AH567="Overdue",AND(AD567="P0",AG567&lt;1),AND(AD567="P1",AG567&lt;3)),"Y","N")</f>
        <v/>
      </c>
    </row>
    <row r="568">
      <c r="K568">
        <f>IF(J568="v4.0",L568,IF(J568="v3.1",M568,IF(J568="Both",L568,IF(AND(L568&lt;&gt;"",M568=""),L568,M568))))</f>
        <v/>
      </c>
      <c r="Z568">
        <f>MIN(100,
(K568*5) +
(U568*10) +
IF(P568="Y",40,0) +
IF(Q568="P",30,0) +
IF(V568="Y",25,0) +
IF(W568="Y",20,0) +
IF(X568="Weaponized",15,IF(X568="PoC Available",10,IF(X568="Public Exploit",5,0))) +
IF(G568="Production",10,IF(G568="DMZ",8,IF(G568="DR/Backup",5,0))) +
IF(Y568="N",10,0)
)</f>
        <v/>
      </c>
      <c r="AA568">
        <f>IF(OR(P568="Y",AND(K568&gt;=9.0,W568="Y")),"P0",IF(Z568&gt;=80,"P0",IF(Z568&gt;=60,"P1",IF(Z568&gt;=40,"P2",IF(Z568&gt;=20,"P3","P4")))))</f>
        <v/>
      </c>
      <c r="AD568">
        <f>IF(AB568&lt;&gt;"",AB568,AA568)</f>
        <v/>
      </c>
      <c r="AE568">
        <f>VLOOKUP(AD568,SLA_Definitions!$A$2:$B$6,2,FALSE)</f>
        <v/>
      </c>
      <c r="AF568">
        <f>IF(B568&lt;&gt;"",WORKDAY(B568,AE568),"")</f>
        <v/>
      </c>
      <c r="AG568">
        <f>IF(AF568&lt;&gt;"",NETWORKDAYS(TODAY(),AF568),"")</f>
        <v/>
      </c>
      <c r="AH568">
        <f>IF(AJ568="Complete","Complete",IF(AG568&lt;0,"Overdue",IF(AG568&lt;=AE568*0.2,"At Risk","On Track")))</f>
        <v/>
      </c>
      <c r="AK568">
        <f>IF(OR(AH568="Overdue",AND(AD568="P0",AG568&lt;1),AND(AD568="P1",AG568&lt;3)),"Y","N")</f>
        <v/>
      </c>
    </row>
    <row r="569">
      <c r="K569">
        <f>IF(J569="v4.0",L569,IF(J569="v3.1",M569,IF(J569="Both",L569,IF(AND(L569&lt;&gt;"",M569=""),L569,M569))))</f>
        <v/>
      </c>
      <c r="Z569">
        <f>MIN(100,
(K569*5) +
(U569*10) +
IF(P569="Y",40,0) +
IF(Q569="P",30,0) +
IF(V569="Y",25,0) +
IF(W569="Y",20,0) +
IF(X569="Weaponized",15,IF(X569="PoC Available",10,IF(X569="Public Exploit",5,0))) +
IF(G569="Production",10,IF(G569="DMZ",8,IF(G569="DR/Backup",5,0))) +
IF(Y569="N",10,0)
)</f>
        <v/>
      </c>
      <c r="AA569">
        <f>IF(OR(P569="Y",AND(K569&gt;=9.0,W569="Y")),"P0",IF(Z569&gt;=80,"P0",IF(Z569&gt;=60,"P1",IF(Z569&gt;=40,"P2",IF(Z569&gt;=20,"P3","P4")))))</f>
        <v/>
      </c>
      <c r="AD569">
        <f>IF(AB569&lt;&gt;"",AB569,AA569)</f>
        <v/>
      </c>
      <c r="AE569">
        <f>VLOOKUP(AD569,SLA_Definitions!$A$2:$B$6,2,FALSE)</f>
        <v/>
      </c>
      <c r="AF569">
        <f>IF(B569&lt;&gt;"",WORKDAY(B569,AE569),"")</f>
        <v/>
      </c>
      <c r="AG569">
        <f>IF(AF569&lt;&gt;"",NETWORKDAYS(TODAY(),AF569),"")</f>
        <v/>
      </c>
      <c r="AH569">
        <f>IF(AJ569="Complete","Complete",IF(AG569&lt;0,"Overdue",IF(AG569&lt;=AE569*0.2,"At Risk","On Track")))</f>
        <v/>
      </c>
      <c r="AK569">
        <f>IF(OR(AH569="Overdue",AND(AD569="P0",AG569&lt;1),AND(AD569="P1",AG569&lt;3)),"Y","N")</f>
        <v/>
      </c>
    </row>
    <row r="570">
      <c r="K570">
        <f>IF(J570="v4.0",L570,IF(J570="v3.1",M570,IF(J570="Both",L570,IF(AND(L570&lt;&gt;"",M570=""),L570,M570))))</f>
        <v/>
      </c>
      <c r="Z570">
        <f>MIN(100,
(K570*5) +
(U570*10) +
IF(P570="Y",40,0) +
IF(Q570="P",30,0) +
IF(V570="Y",25,0) +
IF(W570="Y",20,0) +
IF(X570="Weaponized",15,IF(X570="PoC Available",10,IF(X570="Public Exploit",5,0))) +
IF(G570="Production",10,IF(G570="DMZ",8,IF(G570="DR/Backup",5,0))) +
IF(Y570="N",10,0)
)</f>
        <v/>
      </c>
      <c r="AA570">
        <f>IF(OR(P570="Y",AND(K570&gt;=9.0,W570="Y")),"P0",IF(Z570&gt;=80,"P0",IF(Z570&gt;=60,"P1",IF(Z570&gt;=40,"P2",IF(Z570&gt;=20,"P3","P4")))))</f>
        <v/>
      </c>
      <c r="AD570">
        <f>IF(AB570&lt;&gt;"",AB570,AA570)</f>
        <v/>
      </c>
      <c r="AE570">
        <f>VLOOKUP(AD570,SLA_Definitions!$A$2:$B$6,2,FALSE)</f>
        <v/>
      </c>
      <c r="AF570">
        <f>IF(B570&lt;&gt;"",WORKDAY(B570,AE570),"")</f>
        <v/>
      </c>
      <c r="AG570">
        <f>IF(AF570&lt;&gt;"",NETWORKDAYS(TODAY(),AF570),"")</f>
        <v/>
      </c>
      <c r="AH570">
        <f>IF(AJ570="Complete","Complete",IF(AG570&lt;0,"Overdue",IF(AG570&lt;=AE570*0.2,"At Risk","On Track")))</f>
        <v/>
      </c>
      <c r="AK570">
        <f>IF(OR(AH570="Overdue",AND(AD570="P0",AG570&lt;1),AND(AD570="P1",AG570&lt;3)),"Y","N")</f>
        <v/>
      </c>
    </row>
    <row r="571">
      <c r="K571">
        <f>IF(J571="v4.0",L571,IF(J571="v3.1",M571,IF(J571="Both",L571,IF(AND(L571&lt;&gt;"",M571=""),L571,M571))))</f>
        <v/>
      </c>
      <c r="Z571">
        <f>MIN(100,
(K571*5) +
(U571*10) +
IF(P571="Y",40,0) +
IF(Q571="P",30,0) +
IF(V571="Y",25,0) +
IF(W571="Y",20,0) +
IF(X571="Weaponized",15,IF(X571="PoC Available",10,IF(X571="Public Exploit",5,0))) +
IF(G571="Production",10,IF(G571="DMZ",8,IF(G571="DR/Backup",5,0))) +
IF(Y571="N",10,0)
)</f>
        <v/>
      </c>
      <c r="AA571">
        <f>IF(OR(P571="Y",AND(K571&gt;=9.0,W571="Y")),"P0",IF(Z571&gt;=80,"P0",IF(Z571&gt;=60,"P1",IF(Z571&gt;=40,"P2",IF(Z571&gt;=20,"P3","P4")))))</f>
        <v/>
      </c>
      <c r="AD571">
        <f>IF(AB571&lt;&gt;"",AB571,AA571)</f>
        <v/>
      </c>
      <c r="AE571">
        <f>VLOOKUP(AD571,SLA_Definitions!$A$2:$B$6,2,FALSE)</f>
        <v/>
      </c>
      <c r="AF571">
        <f>IF(B571&lt;&gt;"",WORKDAY(B571,AE571),"")</f>
        <v/>
      </c>
      <c r="AG571">
        <f>IF(AF571&lt;&gt;"",NETWORKDAYS(TODAY(),AF571),"")</f>
        <v/>
      </c>
      <c r="AH571">
        <f>IF(AJ571="Complete","Complete",IF(AG571&lt;0,"Overdue",IF(AG571&lt;=AE571*0.2,"At Risk","On Track")))</f>
        <v/>
      </c>
      <c r="AK571">
        <f>IF(OR(AH571="Overdue",AND(AD571="P0",AG571&lt;1),AND(AD571="P1",AG571&lt;3)),"Y","N")</f>
        <v/>
      </c>
    </row>
    <row r="572">
      <c r="K572">
        <f>IF(J572="v4.0",L572,IF(J572="v3.1",M572,IF(J572="Both",L572,IF(AND(L572&lt;&gt;"",M572=""),L572,M572))))</f>
        <v/>
      </c>
      <c r="Z572">
        <f>MIN(100,
(K572*5) +
(U572*10) +
IF(P572="Y",40,0) +
IF(Q572="P",30,0) +
IF(V572="Y",25,0) +
IF(W572="Y",20,0) +
IF(X572="Weaponized",15,IF(X572="PoC Available",10,IF(X572="Public Exploit",5,0))) +
IF(G572="Production",10,IF(G572="DMZ",8,IF(G572="DR/Backup",5,0))) +
IF(Y572="N",10,0)
)</f>
        <v/>
      </c>
      <c r="AA572">
        <f>IF(OR(P572="Y",AND(K572&gt;=9.0,W572="Y")),"P0",IF(Z572&gt;=80,"P0",IF(Z572&gt;=60,"P1",IF(Z572&gt;=40,"P2",IF(Z572&gt;=20,"P3","P4")))))</f>
        <v/>
      </c>
      <c r="AD572">
        <f>IF(AB572&lt;&gt;"",AB572,AA572)</f>
        <v/>
      </c>
      <c r="AE572">
        <f>VLOOKUP(AD572,SLA_Definitions!$A$2:$B$6,2,FALSE)</f>
        <v/>
      </c>
      <c r="AF572">
        <f>IF(B572&lt;&gt;"",WORKDAY(B572,AE572),"")</f>
        <v/>
      </c>
      <c r="AG572">
        <f>IF(AF572&lt;&gt;"",NETWORKDAYS(TODAY(),AF572),"")</f>
        <v/>
      </c>
      <c r="AH572">
        <f>IF(AJ572="Complete","Complete",IF(AG572&lt;0,"Overdue",IF(AG572&lt;=AE572*0.2,"At Risk","On Track")))</f>
        <v/>
      </c>
      <c r="AK572">
        <f>IF(OR(AH572="Overdue",AND(AD572="P0",AG572&lt;1),AND(AD572="P1",AG572&lt;3)),"Y","N")</f>
        <v/>
      </c>
    </row>
    <row r="573">
      <c r="K573">
        <f>IF(J573="v4.0",L573,IF(J573="v3.1",M573,IF(J573="Both",L573,IF(AND(L573&lt;&gt;"",M573=""),L573,M573))))</f>
        <v/>
      </c>
      <c r="Z573">
        <f>MIN(100,
(K573*5) +
(U573*10) +
IF(P573="Y",40,0) +
IF(Q573="P",30,0) +
IF(V573="Y",25,0) +
IF(W573="Y",20,0) +
IF(X573="Weaponized",15,IF(X573="PoC Available",10,IF(X573="Public Exploit",5,0))) +
IF(G573="Production",10,IF(G573="DMZ",8,IF(G573="DR/Backup",5,0))) +
IF(Y573="N",10,0)
)</f>
        <v/>
      </c>
      <c r="AA573">
        <f>IF(OR(P573="Y",AND(K573&gt;=9.0,W573="Y")),"P0",IF(Z573&gt;=80,"P0",IF(Z573&gt;=60,"P1",IF(Z573&gt;=40,"P2",IF(Z573&gt;=20,"P3","P4")))))</f>
        <v/>
      </c>
      <c r="AD573">
        <f>IF(AB573&lt;&gt;"",AB573,AA573)</f>
        <v/>
      </c>
      <c r="AE573">
        <f>VLOOKUP(AD573,SLA_Definitions!$A$2:$B$6,2,FALSE)</f>
        <v/>
      </c>
      <c r="AF573">
        <f>IF(B573&lt;&gt;"",WORKDAY(B573,AE573),"")</f>
        <v/>
      </c>
      <c r="AG573">
        <f>IF(AF573&lt;&gt;"",NETWORKDAYS(TODAY(),AF573),"")</f>
        <v/>
      </c>
      <c r="AH573">
        <f>IF(AJ573="Complete","Complete",IF(AG573&lt;0,"Overdue",IF(AG573&lt;=AE573*0.2,"At Risk","On Track")))</f>
        <v/>
      </c>
      <c r="AK573">
        <f>IF(OR(AH573="Overdue",AND(AD573="P0",AG573&lt;1),AND(AD573="P1",AG573&lt;3)),"Y","N")</f>
        <v/>
      </c>
    </row>
    <row r="574">
      <c r="K574">
        <f>IF(J574="v4.0",L574,IF(J574="v3.1",M574,IF(J574="Both",L574,IF(AND(L574&lt;&gt;"",M574=""),L574,M574))))</f>
        <v/>
      </c>
      <c r="Z574">
        <f>MIN(100,
(K574*5) +
(U574*10) +
IF(P574="Y",40,0) +
IF(Q574="P",30,0) +
IF(V574="Y",25,0) +
IF(W574="Y",20,0) +
IF(X574="Weaponized",15,IF(X574="PoC Available",10,IF(X574="Public Exploit",5,0))) +
IF(G574="Production",10,IF(G574="DMZ",8,IF(G574="DR/Backup",5,0))) +
IF(Y574="N",10,0)
)</f>
        <v/>
      </c>
      <c r="AA574">
        <f>IF(OR(P574="Y",AND(K574&gt;=9.0,W574="Y")),"P0",IF(Z574&gt;=80,"P0",IF(Z574&gt;=60,"P1",IF(Z574&gt;=40,"P2",IF(Z574&gt;=20,"P3","P4")))))</f>
        <v/>
      </c>
      <c r="AD574">
        <f>IF(AB574&lt;&gt;"",AB574,AA574)</f>
        <v/>
      </c>
      <c r="AE574">
        <f>VLOOKUP(AD574,SLA_Definitions!$A$2:$B$6,2,FALSE)</f>
        <v/>
      </c>
      <c r="AF574">
        <f>IF(B574&lt;&gt;"",WORKDAY(B574,AE574),"")</f>
        <v/>
      </c>
      <c r="AG574">
        <f>IF(AF574&lt;&gt;"",NETWORKDAYS(TODAY(),AF574),"")</f>
        <v/>
      </c>
      <c r="AH574">
        <f>IF(AJ574="Complete","Complete",IF(AG574&lt;0,"Overdue",IF(AG574&lt;=AE574*0.2,"At Risk","On Track")))</f>
        <v/>
      </c>
      <c r="AK574">
        <f>IF(OR(AH574="Overdue",AND(AD574="P0",AG574&lt;1),AND(AD574="P1",AG574&lt;3)),"Y","N")</f>
        <v/>
      </c>
    </row>
    <row r="575">
      <c r="K575">
        <f>IF(J575="v4.0",L575,IF(J575="v3.1",M575,IF(J575="Both",L575,IF(AND(L575&lt;&gt;"",M575=""),L575,M575))))</f>
        <v/>
      </c>
      <c r="Z575">
        <f>MIN(100,
(K575*5) +
(U575*10) +
IF(P575="Y",40,0) +
IF(Q575="P",30,0) +
IF(V575="Y",25,0) +
IF(W575="Y",20,0) +
IF(X575="Weaponized",15,IF(X575="PoC Available",10,IF(X575="Public Exploit",5,0))) +
IF(G575="Production",10,IF(G575="DMZ",8,IF(G575="DR/Backup",5,0))) +
IF(Y575="N",10,0)
)</f>
        <v/>
      </c>
      <c r="AA575">
        <f>IF(OR(P575="Y",AND(K575&gt;=9.0,W575="Y")),"P0",IF(Z575&gt;=80,"P0",IF(Z575&gt;=60,"P1",IF(Z575&gt;=40,"P2",IF(Z575&gt;=20,"P3","P4")))))</f>
        <v/>
      </c>
      <c r="AD575">
        <f>IF(AB575&lt;&gt;"",AB575,AA575)</f>
        <v/>
      </c>
      <c r="AE575">
        <f>VLOOKUP(AD575,SLA_Definitions!$A$2:$B$6,2,FALSE)</f>
        <v/>
      </c>
      <c r="AF575">
        <f>IF(B575&lt;&gt;"",WORKDAY(B575,AE575),"")</f>
        <v/>
      </c>
      <c r="AG575">
        <f>IF(AF575&lt;&gt;"",NETWORKDAYS(TODAY(),AF575),"")</f>
        <v/>
      </c>
      <c r="AH575">
        <f>IF(AJ575="Complete","Complete",IF(AG575&lt;0,"Overdue",IF(AG575&lt;=AE575*0.2,"At Risk","On Track")))</f>
        <v/>
      </c>
      <c r="AK575">
        <f>IF(OR(AH575="Overdue",AND(AD575="P0",AG575&lt;1),AND(AD575="P1",AG575&lt;3)),"Y","N")</f>
        <v/>
      </c>
    </row>
    <row r="576">
      <c r="K576">
        <f>IF(J576="v4.0",L576,IF(J576="v3.1",M576,IF(J576="Both",L576,IF(AND(L576&lt;&gt;"",M576=""),L576,M576))))</f>
        <v/>
      </c>
      <c r="Z576">
        <f>MIN(100,
(K576*5) +
(U576*10) +
IF(P576="Y",40,0) +
IF(Q576="P",30,0) +
IF(V576="Y",25,0) +
IF(W576="Y",20,0) +
IF(X576="Weaponized",15,IF(X576="PoC Available",10,IF(X576="Public Exploit",5,0))) +
IF(G576="Production",10,IF(G576="DMZ",8,IF(G576="DR/Backup",5,0))) +
IF(Y576="N",10,0)
)</f>
        <v/>
      </c>
      <c r="AA576">
        <f>IF(OR(P576="Y",AND(K576&gt;=9.0,W576="Y")),"P0",IF(Z576&gt;=80,"P0",IF(Z576&gt;=60,"P1",IF(Z576&gt;=40,"P2",IF(Z576&gt;=20,"P3","P4")))))</f>
        <v/>
      </c>
      <c r="AD576">
        <f>IF(AB576&lt;&gt;"",AB576,AA576)</f>
        <v/>
      </c>
      <c r="AE576">
        <f>VLOOKUP(AD576,SLA_Definitions!$A$2:$B$6,2,FALSE)</f>
        <v/>
      </c>
      <c r="AF576">
        <f>IF(B576&lt;&gt;"",WORKDAY(B576,AE576),"")</f>
        <v/>
      </c>
      <c r="AG576">
        <f>IF(AF576&lt;&gt;"",NETWORKDAYS(TODAY(),AF576),"")</f>
        <v/>
      </c>
      <c r="AH576">
        <f>IF(AJ576="Complete","Complete",IF(AG576&lt;0,"Overdue",IF(AG576&lt;=AE576*0.2,"At Risk","On Track")))</f>
        <v/>
      </c>
      <c r="AK576">
        <f>IF(OR(AH576="Overdue",AND(AD576="P0",AG576&lt;1),AND(AD576="P1",AG576&lt;3)),"Y","N")</f>
        <v/>
      </c>
    </row>
    <row r="577">
      <c r="K577">
        <f>IF(J577="v4.0",L577,IF(J577="v3.1",M577,IF(J577="Both",L577,IF(AND(L577&lt;&gt;"",M577=""),L577,M577))))</f>
        <v/>
      </c>
      <c r="Z577">
        <f>MIN(100,
(K577*5) +
(U577*10) +
IF(P577="Y",40,0) +
IF(Q577="P",30,0) +
IF(V577="Y",25,0) +
IF(W577="Y",20,0) +
IF(X577="Weaponized",15,IF(X577="PoC Available",10,IF(X577="Public Exploit",5,0))) +
IF(G577="Production",10,IF(G577="DMZ",8,IF(G577="DR/Backup",5,0))) +
IF(Y577="N",10,0)
)</f>
        <v/>
      </c>
      <c r="AA577">
        <f>IF(OR(P577="Y",AND(K577&gt;=9.0,W577="Y")),"P0",IF(Z577&gt;=80,"P0",IF(Z577&gt;=60,"P1",IF(Z577&gt;=40,"P2",IF(Z577&gt;=20,"P3","P4")))))</f>
        <v/>
      </c>
      <c r="AD577">
        <f>IF(AB577&lt;&gt;"",AB577,AA577)</f>
        <v/>
      </c>
      <c r="AE577">
        <f>VLOOKUP(AD577,SLA_Definitions!$A$2:$B$6,2,FALSE)</f>
        <v/>
      </c>
      <c r="AF577">
        <f>IF(B577&lt;&gt;"",WORKDAY(B577,AE577),"")</f>
        <v/>
      </c>
      <c r="AG577">
        <f>IF(AF577&lt;&gt;"",NETWORKDAYS(TODAY(),AF577),"")</f>
        <v/>
      </c>
      <c r="AH577">
        <f>IF(AJ577="Complete","Complete",IF(AG577&lt;0,"Overdue",IF(AG577&lt;=AE577*0.2,"At Risk","On Track")))</f>
        <v/>
      </c>
      <c r="AK577">
        <f>IF(OR(AH577="Overdue",AND(AD577="P0",AG577&lt;1),AND(AD577="P1",AG577&lt;3)),"Y","N")</f>
        <v/>
      </c>
    </row>
    <row r="578">
      <c r="K578">
        <f>IF(J578="v4.0",L578,IF(J578="v3.1",M578,IF(J578="Both",L578,IF(AND(L578&lt;&gt;"",M578=""),L578,M578))))</f>
        <v/>
      </c>
      <c r="Z578">
        <f>MIN(100,
(K578*5) +
(U578*10) +
IF(P578="Y",40,0) +
IF(Q578="P",30,0) +
IF(V578="Y",25,0) +
IF(W578="Y",20,0) +
IF(X578="Weaponized",15,IF(X578="PoC Available",10,IF(X578="Public Exploit",5,0))) +
IF(G578="Production",10,IF(G578="DMZ",8,IF(G578="DR/Backup",5,0))) +
IF(Y578="N",10,0)
)</f>
        <v/>
      </c>
      <c r="AA578">
        <f>IF(OR(P578="Y",AND(K578&gt;=9.0,W578="Y")),"P0",IF(Z578&gt;=80,"P0",IF(Z578&gt;=60,"P1",IF(Z578&gt;=40,"P2",IF(Z578&gt;=20,"P3","P4")))))</f>
        <v/>
      </c>
      <c r="AD578">
        <f>IF(AB578&lt;&gt;"",AB578,AA578)</f>
        <v/>
      </c>
      <c r="AE578">
        <f>VLOOKUP(AD578,SLA_Definitions!$A$2:$B$6,2,FALSE)</f>
        <v/>
      </c>
      <c r="AF578">
        <f>IF(B578&lt;&gt;"",WORKDAY(B578,AE578),"")</f>
        <v/>
      </c>
      <c r="AG578">
        <f>IF(AF578&lt;&gt;"",NETWORKDAYS(TODAY(),AF578),"")</f>
        <v/>
      </c>
      <c r="AH578">
        <f>IF(AJ578="Complete","Complete",IF(AG578&lt;0,"Overdue",IF(AG578&lt;=AE578*0.2,"At Risk","On Track")))</f>
        <v/>
      </c>
      <c r="AK578">
        <f>IF(OR(AH578="Overdue",AND(AD578="P0",AG578&lt;1),AND(AD578="P1",AG578&lt;3)),"Y","N")</f>
        <v/>
      </c>
    </row>
    <row r="579">
      <c r="K579">
        <f>IF(J579="v4.0",L579,IF(J579="v3.1",M579,IF(J579="Both",L579,IF(AND(L579&lt;&gt;"",M579=""),L579,M579))))</f>
        <v/>
      </c>
      <c r="Z579">
        <f>MIN(100,
(K579*5) +
(U579*10) +
IF(P579="Y",40,0) +
IF(Q579="P",30,0) +
IF(V579="Y",25,0) +
IF(W579="Y",20,0) +
IF(X579="Weaponized",15,IF(X579="PoC Available",10,IF(X579="Public Exploit",5,0))) +
IF(G579="Production",10,IF(G579="DMZ",8,IF(G579="DR/Backup",5,0))) +
IF(Y579="N",10,0)
)</f>
        <v/>
      </c>
      <c r="AA579">
        <f>IF(OR(P579="Y",AND(K579&gt;=9.0,W579="Y")),"P0",IF(Z579&gt;=80,"P0",IF(Z579&gt;=60,"P1",IF(Z579&gt;=40,"P2",IF(Z579&gt;=20,"P3","P4")))))</f>
        <v/>
      </c>
      <c r="AD579">
        <f>IF(AB579&lt;&gt;"",AB579,AA579)</f>
        <v/>
      </c>
      <c r="AE579">
        <f>VLOOKUP(AD579,SLA_Definitions!$A$2:$B$6,2,FALSE)</f>
        <v/>
      </c>
      <c r="AF579">
        <f>IF(B579&lt;&gt;"",WORKDAY(B579,AE579),"")</f>
        <v/>
      </c>
      <c r="AG579">
        <f>IF(AF579&lt;&gt;"",NETWORKDAYS(TODAY(),AF579),"")</f>
        <v/>
      </c>
      <c r="AH579">
        <f>IF(AJ579="Complete","Complete",IF(AG579&lt;0,"Overdue",IF(AG579&lt;=AE579*0.2,"At Risk","On Track")))</f>
        <v/>
      </c>
      <c r="AK579">
        <f>IF(OR(AH579="Overdue",AND(AD579="P0",AG579&lt;1),AND(AD579="P1",AG579&lt;3)),"Y","N")</f>
        <v/>
      </c>
    </row>
    <row r="580">
      <c r="K580">
        <f>IF(J580="v4.0",L580,IF(J580="v3.1",M580,IF(J580="Both",L580,IF(AND(L580&lt;&gt;"",M580=""),L580,M580))))</f>
        <v/>
      </c>
      <c r="Z580">
        <f>MIN(100,
(K580*5) +
(U580*10) +
IF(P580="Y",40,0) +
IF(Q580="P",30,0) +
IF(V580="Y",25,0) +
IF(W580="Y",20,0) +
IF(X580="Weaponized",15,IF(X580="PoC Available",10,IF(X580="Public Exploit",5,0))) +
IF(G580="Production",10,IF(G580="DMZ",8,IF(G580="DR/Backup",5,0))) +
IF(Y580="N",10,0)
)</f>
        <v/>
      </c>
      <c r="AA580">
        <f>IF(OR(P580="Y",AND(K580&gt;=9.0,W580="Y")),"P0",IF(Z580&gt;=80,"P0",IF(Z580&gt;=60,"P1",IF(Z580&gt;=40,"P2",IF(Z580&gt;=20,"P3","P4")))))</f>
        <v/>
      </c>
      <c r="AD580">
        <f>IF(AB580&lt;&gt;"",AB580,AA580)</f>
        <v/>
      </c>
      <c r="AE580">
        <f>VLOOKUP(AD580,SLA_Definitions!$A$2:$B$6,2,FALSE)</f>
        <v/>
      </c>
      <c r="AF580">
        <f>IF(B580&lt;&gt;"",WORKDAY(B580,AE580),"")</f>
        <v/>
      </c>
      <c r="AG580">
        <f>IF(AF580&lt;&gt;"",NETWORKDAYS(TODAY(),AF580),"")</f>
        <v/>
      </c>
      <c r="AH580">
        <f>IF(AJ580="Complete","Complete",IF(AG580&lt;0,"Overdue",IF(AG580&lt;=AE580*0.2,"At Risk","On Track")))</f>
        <v/>
      </c>
      <c r="AK580">
        <f>IF(OR(AH580="Overdue",AND(AD580="P0",AG580&lt;1),AND(AD580="P1",AG580&lt;3)),"Y","N")</f>
        <v/>
      </c>
    </row>
    <row r="581">
      <c r="K581">
        <f>IF(J581="v4.0",L581,IF(J581="v3.1",M581,IF(J581="Both",L581,IF(AND(L581&lt;&gt;"",M581=""),L581,M581))))</f>
        <v/>
      </c>
      <c r="Z581">
        <f>MIN(100,
(K581*5) +
(U581*10) +
IF(P581="Y",40,0) +
IF(Q581="P",30,0) +
IF(V581="Y",25,0) +
IF(W581="Y",20,0) +
IF(X581="Weaponized",15,IF(X581="PoC Available",10,IF(X581="Public Exploit",5,0))) +
IF(G581="Production",10,IF(G581="DMZ",8,IF(G581="DR/Backup",5,0))) +
IF(Y581="N",10,0)
)</f>
        <v/>
      </c>
      <c r="AA581">
        <f>IF(OR(P581="Y",AND(K581&gt;=9.0,W581="Y")),"P0",IF(Z581&gt;=80,"P0",IF(Z581&gt;=60,"P1",IF(Z581&gt;=40,"P2",IF(Z581&gt;=20,"P3","P4")))))</f>
        <v/>
      </c>
      <c r="AD581">
        <f>IF(AB581&lt;&gt;"",AB581,AA581)</f>
        <v/>
      </c>
      <c r="AE581">
        <f>VLOOKUP(AD581,SLA_Definitions!$A$2:$B$6,2,FALSE)</f>
        <v/>
      </c>
      <c r="AF581">
        <f>IF(B581&lt;&gt;"",WORKDAY(B581,AE581),"")</f>
        <v/>
      </c>
      <c r="AG581">
        <f>IF(AF581&lt;&gt;"",NETWORKDAYS(TODAY(),AF581),"")</f>
        <v/>
      </c>
      <c r="AH581">
        <f>IF(AJ581="Complete","Complete",IF(AG581&lt;0,"Overdue",IF(AG581&lt;=AE581*0.2,"At Risk","On Track")))</f>
        <v/>
      </c>
      <c r="AK581">
        <f>IF(OR(AH581="Overdue",AND(AD581="P0",AG581&lt;1),AND(AD581="P1",AG581&lt;3)),"Y","N")</f>
        <v/>
      </c>
    </row>
    <row r="582">
      <c r="K582">
        <f>IF(J582="v4.0",L582,IF(J582="v3.1",M582,IF(J582="Both",L582,IF(AND(L582&lt;&gt;"",M582=""),L582,M582))))</f>
        <v/>
      </c>
      <c r="Z582">
        <f>MIN(100,
(K582*5) +
(U582*10) +
IF(P582="Y",40,0) +
IF(Q582="P",30,0) +
IF(V582="Y",25,0) +
IF(W582="Y",20,0) +
IF(X582="Weaponized",15,IF(X582="PoC Available",10,IF(X582="Public Exploit",5,0))) +
IF(G582="Production",10,IF(G582="DMZ",8,IF(G582="DR/Backup",5,0))) +
IF(Y582="N",10,0)
)</f>
        <v/>
      </c>
      <c r="AA582">
        <f>IF(OR(P582="Y",AND(K582&gt;=9.0,W582="Y")),"P0",IF(Z582&gt;=80,"P0",IF(Z582&gt;=60,"P1",IF(Z582&gt;=40,"P2",IF(Z582&gt;=20,"P3","P4")))))</f>
        <v/>
      </c>
      <c r="AD582">
        <f>IF(AB582&lt;&gt;"",AB582,AA582)</f>
        <v/>
      </c>
      <c r="AE582">
        <f>VLOOKUP(AD582,SLA_Definitions!$A$2:$B$6,2,FALSE)</f>
        <v/>
      </c>
      <c r="AF582">
        <f>IF(B582&lt;&gt;"",WORKDAY(B582,AE582),"")</f>
        <v/>
      </c>
      <c r="AG582">
        <f>IF(AF582&lt;&gt;"",NETWORKDAYS(TODAY(),AF582),"")</f>
        <v/>
      </c>
      <c r="AH582">
        <f>IF(AJ582="Complete","Complete",IF(AG582&lt;0,"Overdue",IF(AG582&lt;=AE582*0.2,"At Risk","On Track")))</f>
        <v/>
      </c>
      <c r="AK582">
        <f>IF(OR(AH582="Overdue",AND(AD582="P0",AG582&lt;1),AND(AD582="P1",AG582&lt;3)),"Y","N")</f>
        <v/>
      </c>
    </row>
    <row r="583">
      <c r="K583">
        <f>IF(J583="v4.0",L583,IF(J583="v3.1",M583,IF(J583="Both",L583,IF(AND(L583&lt;&gt;"",M583=""),L583,M583))))</f>
        <v/>
      </c>
      <c r="Z583">
        <f>MIN(100,
(K583*5) +
(U583*10) +
IF(P583="Y",40,0) +
IF(Q583="P",30,0) +
IF(V583="Y",25,0) +
IF(W583="Y",20,0) +
IF(X583="Weaponized",15,IF(X583="PoC Available",10,IF(X583="Public Exploit",5,0))) +
IF(G583="Production",10,IF(G583="DMZ",8,IF(G583="DR/Backup",5,0))) +
IF(Y583="N",10,0)
)</f>
        <v/>
      </c>
      <c r="AA583">
        <f>IF(OR(P583="Y",AND(K583&gt;=9.0,W583="Y")),"P0",IF(Z583&gt;=80,"P0",IF(Z583&gt;=60,"P1",IF(Z583&gt;=40,"P2",IF(Z583&gt;=20,"P3","P4")))))</f>
        <v/>
      </c>
      <c r="AD583">
        <f>IF(AB583&lt;&gt;"",AB583,AA583)</f>
        <v/>
      </c>
      <c r="AE583">
        <f>VLOOKUP(AD583,SLA_Definitions!$A$2:$B$6,2,FALSE)</f>
        <v/>
      </c>
      <c r="AF583">
        <f>IF(B583&lt;&gt;"",WORKDAY(B583,AE583),"")</f>
        <v/>
      </c>
      <c r="AG583">
        <f>IF(AF583&lt;&gt;"",NETWORKDAYS(TODAY(),AF583),"")</f>
        <v/>
      </c>
      <c r="AH583">
        <f>IF(AJ583="Complete","Complete",IF(AG583&lt;0,"Overdue",IF(AG583&lt;=AE583*0.2,"At Risk","On Track")))</f>
        <v/>
      </c>
      <c r="AK583">
        <f>IF(OR(AH583="Overdue",AND(AD583="P0",AG583&lt;1),AND(AD583="P1",AG583&lt;3)),"Y","N")</f>
        <v/>
      </c>
    </row>
    <row r="584">
      <c r="K584">
        <f>IF(J584="v4.0",L584,IF(J584="v3.1",M584,IF(J584="Both",L584,IF(AND(L584&lt;&gt;"",M584=""),L584,M584))))</f>
        <v/>
      </c>
      <c r="Z584">
        <f>MIN(100,
(K584*5) +
(U584*10) +
IF(P584="Y",40,0) +
IF(Q584="P",30,0) +
IF(V584="Y",25,0) +
IF(W584="Y",20,0) +
IF(X584="Weaponized",15,IF(X584="PoC Available",10,IF(X584="Public Exploit",5,0))) +
IF(G584="Production",10,IF(G584="DMZ",8,IF(G584="DR/Backup",5,0))) +
IF(Y584="N",10,0)
)</f>
        <v/>
      </c>
      <c r="AA584">
        <f>IF(OR(P584="Y",AND(K584&gt;=9.0,W584="Y")),"P0",IF(Z584&gt;=80,"P0",IF(Z584&gt;=60,"P1",IF(Z584&gt;=40,"P2",IF(Z584&gt;=20,"P3","P4")))))</f>
        <v/>
      </c>
      <c r="AD584">
        <f>IF(AB584&lt;&gt;"",AB584,AA584)</f>
        <v/>
      </c>
      <c r="AE584">
        <f>VLOOKUP(AD584,SLA_Definitions!$A$2:$B$6,2,FALSE)</f>
        <v/>
      </c>
      <c r="AF584">
        <f>IF(B584&lt;&gt;"",WORKDAY(B584,AE584),"")</f>
        <v/>
      </c>
      <c r="AG584">
        <f>IF(AF584&lt;&gt;"",NETWORKDAYS(TODAY(),AF584),"")</f>
        <v/>
      </c>
      <c r="AH584">
        <f>IF(AJ584="Complete","Complete",IF(AG584&lt;0,"Overdue",IF(AG584&lt;=AE584*0.2,"At Risk","On Track")))</f>
        <v/>
      </c>
      <c r="AK584">
        <f>IF(OR(AH584="Overdue",AND(AD584="P0",AG584&lt;1),AND(AD584="P1",AG584&lt;3)),"Y","N")</f>
        <v/>
      </c>
    </row>
    <row r="585">
      <c r="K585">
        <f>IF(J585="v4.0",L585,IF(J585="v3.1",M585,IF(J585="Both",L585,IF(AND(L585&lt;&gt;"",M585=""),L585,M585))))</f>
        <v/>
      </c>
      <c r="Z585">
        <f>MIN(100,
(K585*5) +
(U585*10) +
IF(P585="Y",40,0) +
IF(Q585="P",30,0) +
IF(V585="Y",25,0) +
IF(W585="Y",20,0) +
IF(X585="Weaponized",15,IF(X585="PoC Available",10,IF(X585="Public Exploit",5,0))) +
IF(G585="Production",10,IF(G585="DMZ",8,IF(G585="DR/Backup",5,0))) +
IF(Y585="N",10,0)
)</f>
        <v/>
      </c>
      <c r="AA585">
        <f>IF(OR(P585="Y",AND(K585&gt;=9.0,W585="Y")),"P0",IF(Z585&gt;=80,"P0",IF(Z585&gt;=60,"P1",IF(Z585&gt;=40,"P2",IF(Z585&gt;=20,"P3","P4")))))</f>
        <v/>
      </c>
      <c r="AD585">
        <f>IF(AB585&lt;&gt;"",AB585,AA585)</f>
        <v/>
      </c>
      <c r="AE585">
        <f>VLOOKUP(AD585,SLA_Definitions!$A$2:$B$6,2,FALSE)</f>
        <v/>
      </c>
      <c r="AF585">
        <f>IF(B585&lt;&gt;"",WORKDAY(B585,AE585),"")</f>
        <v/>
      </c>
      <c r="AG585">
        <f>IF(AF585&lt;&gt;"",NETWORKDAYS(TODAY(),AF585),"")</f>
        <v/>
      </c>
      <c r="AH585">
        <f>IF(AJ585="Complete","Complete",IF(AG585&lt;0,"Overdue",IF(AG585&lt;=AE585*0.2,"At Risk","On Track")))</f>
        <v/>
      </c>
      <c r="AK585">
        <f>IF(OR(AH585="Overdue",AND(AD585="P0",AG585&lt;1),AND(AD585="P1",AG585&lt;3)),"Y","N")</f>
        <v/>
      </c>
    </row>
    <row r="586">
      <c r="K586">
        <f>IF(J586="v4.0",L586,IF(J586="v3.1",M586,IF(J586="Both",L586,IF(AND(L586&lt;&gt;"",M586=""),L586,M586))))</f>
        <v/>
      </c>
      <c r="Z586">
        <f>MIN(100,
(K586*5) +
(U586*10) +
IF(P586="Y",40,0) +
IF(Q586="P",30,0) +
IF(V586="Y",25,0) +
IF(W586="Y",20,0) +
IF(X586="Weaponized",15,IF(X586="PoC Available",10,IF(X586="Public Exploit",5,0))) +
IF(G586="Production",10,IF(G586="DMZ",8,IF(G586="DR/Backup",5,0))) +
IF(Y586="N",10,0)
)</f>
        <v/>
      </c>
      <c r="AA586">
        <f>IF(OR(P586="Y",AND(K586&gt;=9.0,W586="Y")),"P0",IF(Z586&gt;=80,"P0",IF(Z586&gt;=60,"P1",IF(Z586&gt;=40,"P2",IF(Z586&gt;=20,"P3","P4")))))</f>
        <v/>
      </c>
      <c r="AD586">
        <f>IF(AB586&lt;&gt;"",AB586,AA586)</f>
        <v/>
      </c>
      <c r="AE586">
        <f>VLOOKUP(AD586,SLA_Definitions!$A$2:$B$6,2,FALSE)</f>
        <v/>
      </c>
      <c r="AF586">
        <f>IF(B586&lt;&gt;"",WORKDAY(B586,AE586),"")</f>
        <v/>
      </c>
      <c r="AG586">
        <f>IF(AF586&lt;&gt;"",NETWORKDAYS(TODAY(),AF586),"")</f>
        <v/>
      </c>
      <c r="AH586">
        <f>IF(AJ586="Complete","Complete",IF(AG586&lt;0,"Overdue",IF(AG586&lt;=AE586*0.2,"At Risk","On Track")))</f>
        <v/>
      </c>
      <c r="AK586">
        <f>IF(OR(AH586="Overdue",AND(AD586="P0",AG586&lt;1),AND(AD586="P1",AG586&lt;3)),"Y","N")</f>
        <v/>
      </c>
    </row>
    <row r="587">
      <c r="K587">
        <f>IF(J587="v4.0",L587,IF(J587="v3.1",M587,IF(J587="Both",L587,IF(AND(L587&lt;&gt;"",M587=""),L587,M587))))</f>
        <v/>
      </c>
      <c r="Z587">
        <f>MIN(100,
(K587*5) +
(U587*10) +
IF(P587="Y",40,0) +
IF(Q587="P",30,0) +
IF(V587="Y",25,0) +
IF(W587="Y",20,0) +
IF(X587="Weaponized",15,IF(X587="PoC Available",10,IF(X587="Public Exploit",5,0))) +
IF(G587="Production",10,IF(G587="DMZ",8,IF(G587="DR/Backup",5,0))) +
IF(Y587="N",10,0)
)</f>
        <v/>
      </c>
      <c r="AA587">
        <f>IF(OR(P587="Y",AND(K587&gt;=9.0,W587="Y")),"P0",IF(Z587&gt;=80,"P0",IF(Z587&gt;=60,"P1",IF(Z587&gt;=40,"P2",IF(Z587&gt;=20,"P3","P4")))))</f>
        <v/>
      </c>
      <c r="AD587">
        <f>IF(AB587&lt;&gt;"",AB587,AA587)</f>
        <v/>
      </c>
      <c r="AE587">
        <f>VLOOKUP(AD587,SLA_Definitions!$A$2:$B$6,2,FALSE)</f>
        <v/>
      </c>
      <c r="AF587">
        <f>IF(B587&lt;&gt;"",WORKDAY(B587,AE587),"")</f>
        <v/>
      </c>
      <c r="AG587">
        <f>IF(AF587&lt;&gt;"",NETWORKDAYS(TODAY(),AF587),"")</f>
        <v/>
      </c>
      <c r="AH587">
        <f>IF(AJ587="Complete","Complete",IF(AG587&lt;0,"Overdue",IF(AG587&lt;=AE587*0.2,"At Risk","On Track")))</f>
        <v/>
      </c>
      <c r="AK587">
        <f>IF(OR(AH587="Overdue",AND(AD587="P0",AG587&lt;1),AND(AD587="P1",AG587&lt;3)),"Y","N")</f>
        <v/>
      </c>
    </row>
    <row r="588">
      <c r="K588">
        <f>IF(J588="v4.0",L588,IF(J588="v3.1",M588,IF(J588="Both",L588,IF(AND(L588&lt;&gt;"",M588=""),L588,M588))))</f>
        <v/>
      </c>
      <c r="Z588">
        <f>MIN(100,
(K588*5) +
(U588*10) +
IF(P588="Y",40,0) +
IF(Q588="P",30,0) +
IF(V588="Y",25,0) +
IF(W588="Y",20,0) +
IF(X588="Weaponized",15,IF(X588="PoC Available",10,IF(X588="Public Exploit",5,0))) +
IF(G588="Production",10,IF(G588="DMZ",8,IF(G588="DR/Backup",5,0))) +
IF(Y588="N",10,0)
)</f>
        <v/>
      </c>
      <c r="AA588">
        <f>IF(OR(P588="Y",AND(K588&gt;=9.0,W588="Y")),"P0",IF(Z588&gt;=80,"P0",IF(Z588&gt;=60,"P1",IF(Z588&gt;=40,"P2",IF(Z588&gt;=20,"P3","P4")))))</f>
        <v/>
      </c>
      <c r="AD588">
        <f>IF(AB588&lt;&gt;"",AB588,AA588)</f>
        <v/>
      </c>
      <c r="AE588">
        <f>VLOOKUP(AD588,SLA_Definitions!$A$2:$B$6,2,FALSE)</f>
        <v/>
      </c>
      <c r="AF588">
        <f>IF(B588&lt;&gt;"",WORKDAY(B588,AE588),"")</f>
        <v/>
      </c>
      <c r="AG588">
        <f>IF(AF588&lt;&gt;"",NETWORKDAYS(TODAY(),AF588),"")</f>
        <v/>
      </c>
      <c r="AH588">
        <f>IF(AJ588="Complete","Complete",IF(AG588&lt;0,"Overdue",IF(AG588&lt;=AE588*0.2,"At Risk","On Track")))</f>
        <v/>
      </c>
      <c r="AK588">
        <f>IF(OR(AH588="Overdue",AND(AD588="P0",AG588&lt;1),AND(AD588="P1",AG588&lt;3)),"Y","N")</f>
        <v/>
      </c>
    </row>
    <row r="589">
      <c r="K589">
        <f>IF(J589="v4.0",L589,IF(J589="v3.1",M589,IF(J589="Both",L589,IF(AND(L589&lt;&gt;"",M589=""),L589,M589))))</f>
        <v/>
      </c>
      <c r="Z589">
        <f>MIN(100,
(K589*5) +
(U589*10) +
IF(P589="Y",40,0) +
IF(Q589="P",30,0) +
IF(V589="Y",25,0) +
IF(W589="Y",20,0) +
IF(X589="Weaponized",15,IF(X589="PoC Available",10,IF(X589="Public Exploit",5,0))) +
IF(G589="Production",10,IF(G589="DMZ",8,IF(G589="DR/Backup",5,0))) +
IF(Y589="N",10,0)
)</f>
        <v/>
      </c>
      <c r="AA589">
        <f>IF(OR(P589="Y",AND(K589&gt;=9.0,W589="Y")),"P0",IF(Z589&gt;=80,"P0",IF(Z589&gt;=60,"P1",IF(Z589&gt;=40,"P2",IF(Z589&gt;=20,"P3","P4")))))</f>
        <v/>
      </c>
      <c r="AD589">
        <f>IF(AB589&lt;&gt;"",AB589,AA589)</f>
        <v/>
      </c>
      <c r="AE589">
        <f>VLOOKUP(AD589,SLA_Definitions!$A$2:$B$6,2,FALSE)</f>
        <v/>
      </c>
      <c r="AF589">
        <f>IF(B589&lt;&gt;"",WORKDAY(B589,AE589),"")</f>
        <v/>
      </c>
      <c r="AG589">
        <f>IF(AF589&lt;&gt;"",NETWORKDAYS(TODAY(),AF589),"")</f>
        <v/>
      </c>
      <c r="AH589">
        <f>IF(AJ589="Complete","Complete",IF(AG589&lt;0,"Overdue",IF(AG589&lt;=AE589*0.2,"At Risk","On Track")))</f>
        <v/>
      </c>
      <c r="AK589">
        <f>IF(OR(AH589="Overdue",AND(AD589="P0",AG589&lt;1),AND(AD589="P1",AG589&lt;3)),"Y","N")</f>
        <v/>
      </c>
    </row>
    <row r="590">
      <c r="K590">
        <f>IF(J590="v4.0",L590,IF(J590="v3.1",M590,IF(J590="Both",L590,IF(AND(L590&lt;&gt;"",M590=""),L590,M590))))</f>
        <v/>
      </c>
      <c r="Z590">
        <f>MIN(100,
(K590*5) +
(U590*10) +
IF(P590="Y",40,0) +
IF(Q590="P",30,0) +
IF(V590="Y",25,0) +
IF(W590="Y",20,0) +
IF(X590="Weaponized",15,IF(X590="PoC Available",10,IF(X590="Public Exploit",5,0))) +
IF(G590="Production",10,IF(G590="DMZ",8,IF(G590="DR/Backup",5,0))) +
IF(Y590="N",10,0)
)</f>
        <v/>
      </c>
      <c r="AA590">
        <f>IF(OR(P590="Y",AND(K590&gt;=9.0,W590="Y")),"P0",IF(Z590&gt;=80,"P0",IF(Z590&gt;=60,"P1",IF(Z590&gt;=40,"P2",IF(Z590&gt;=20,"P3","P4")))))</f>
        <v/>
      </c>
      <c r="AD590">
        <f>IF(AB590&lt;&gt;"",AB590,AA590)</f>
        <v/>
      </c>
      <c r="AE590">
        <f>VLOOKUP(AD590,SLA_Definitions!$A$2:$B$6,2,FALSE)</f>
        <v/>
      </c>
      <c r="AF590">
        <f>IF(B590&lt;&gt;"",WORKDAY(B590,AE590),"")</f>
        <v/>
      </c>
      <c r="AG590">
        <f>IF(AF590&lt;&gt;"",NETWORKDAYS(TODAY(),AF590),"")</f>
        <v/>
      </c>
      <c r="AH590">
        <f>IF(AJ590="Complete","Complete",IF(AG590&lt;0,"Overdue",IF(AG590&lt;=AE590*0.2,"At Risk","On Track")))</f>
        <v/>
      </c>
      <c r="AK590">
        <f>IF(OR(AH590="Overdue",AND(AD590="P0",AG590&lt;1),AND(AD590="P1",AG590&lt;3)),"Y","N")</f>
        <v/>
      </c>
    </row>
    <row r="591">
      <c r="K591">
        <f>IF(J591="v4.0",L591,IF(J591="v3.1",M591,IF(J591="Both",L591,IF(AND(L591&lt;&gt;"",M591=""),L591,M591))))</f>
        <v/>
      </c>
      <c r="Z591">
        <f>MIN(100,
(K591*5) +
(U591*10) +
IF(P591="Y",40,0) +
IF(Q591="P",30,0) +
IF(V591="Y",25,0) +
IF(W591="Y",20,0) +
IF(X591="Weaponized",15,IF(X591="PoC Available",10,IF(X591="Public Exploit",5,0))) +
IF(G591="Production",10,IF(G591="DMZ",8,IF(G591="DR/Backup",5,0))) +
IF(Y591="N",10,0)
)</f>
        <v/>
      </c>
      <c r="AA591">
        <f>IF(OR(P591="Y",AND(K591&gt;=9.0,W591="Y")),"P0",IF(Z591&gt;=80,"P0",IF(Z591&gt;=60,"P1",IF(Z591&gt;=40,"P2",IF(Z591&gt;=20,"P3","P4")))))</f>
        <v/>
      </c>
      <c r="AD591">
        <f>IF(AB591&lt;&gt;"",AB591,AA591)</f>
        <v/>
      </c>
      <c r="AE591">
        <f>VLOOKUP(AD591,SLA_Definitions!$A$2:$B$6,2,FALSE)</f>
        <v/>
      </c>
      <c r="AF591">
        <f>IF(B591&lt;&gt;"",WORKDAY(B591,AE591),"")</f>
        <v/>
      </c>
      <c r="AG591">
        <f>IF(AF591&lt;&gt;"",NETWORKDAYS(TODAY(),AF591),"")</f>
        <v/>
      </c>
      <c r="AH591">
        <f>IF(AJ591="Complete","Complete",IF(AG591&lt;0,"Overdue",IF(AG591&lt;=AE591*0.2,"At Risk","On Track")))</f>
        <v/>
      </c>
      <c r="AK591">
        <f>IF(OR(AH591="Overdue",AND(AD591="P0",AG591&lt;1),AND(AD591="P1",AG591&lt;3)),"Y","N")</f>
        <v/>
      </c>
    </row>
    <row r="592">
      <c r="K592">
        <f>IF(J592="v4.0",L592,IF(J592="v3.1",M592,IF(J592="Both",L592,IF(AND(L592&lt;&gt;"",M592=""),L592,M592))))</f>
        <v/>
      </c>
      <c r="Z592">
        <f>MIN(100,
(K592*5) +
(U592*10) +
IF(P592="Y",40,0) +
IF(Q592="P",30,0) +
IF(V592="Y",25,0) +
IF(W592="Y",20,0) +
IF(X592="Weaponized",15,IF(X592="PoC Available",10,IF(X592="Public Exploit",5,0))) +
IF(G592="Production",10,IF(G592="DMZ",8,IF(G592="DR/Backup",5,0))) +
IF(Y592="N",10,0)
)</f>
        <v/>
      </c>
      <c r="AA592">
        <f>IF(OR(P592="Y",AND(K592&gt;=9.0,W592="Y")),"P0",IF(Z592&gt;=80,"P0",IF(Z592&gt;=60,"P1",IF(Z592&gt;=40,"P2",IF(Z592&gt;=20,"P3","P4")))))</f>
        <v/>
      </c>
      <c r="AD592">
        <f>IF(AB592&lt;&gt;"",AB592,AA592)</f>
        <v/>
      </c>
      <c r="AE592">
        <f>VLOOKUP(AD592,SLA_Definitions!$A$2:$B$6,2,FALSE)</f>
        <v/>
      </c>
      <c r="AF592">
        <f>IF(B592&lt;&gt;"",WORKDAY(B592,AE592),"")</f>
        <v/>
      </c>
      <c r="AG592">
        <f>IF(AF592&lt;&gt;"",NETWORKDAYS(TODAY(),AF592),"")</f>
        <v/>
      </c>
      <c r="AH592">
        <f>IF(AJ592="Complete","Complete",IF(AG592&lt;0,"Overdue",IF(AG592&lt;=AE592*0.2,"At Risk","On Track")))</f>
        <v/>
      </c>
      <c r="AK592">
        <f>IF(OR(AH592="Overdue",AND(AD592="P0",AG592&lt;1),AND(AD592="P1",AG592&lt;3)),"Y","N")</f>
        <v/>
      </c>
    </row>
    <row r="593">
      <c r="K593">
        <f>IF(J593="v4.0",L593,IF(J593="v3.1",M593,IF(J593="Both",L593,IF(AND(L593&lt;&gt;"",M593=""),L593,M593))))</f>
        <v/>
      </c>
      <c r="Z593">
        <f>MIN(100,
(K593*5) +
(U593*10) +
IF(P593="Y",40,0) +
IF(Q593="P",30,0) +
IF(V593="Y",25,0) +
IF(W593="Y",20,0) +
IF(X593="Weaponized",15,IF(X593="PoC Available",10,IF(X593="Public Exploit",5,0))) +
IF(G593="Production",10,IF(G593="DMZ",8,IF(G593="DR/Backup",5,0))) +
IF(Y593="N",10,0)
)</f>
        <v/>
      </c>
      <c r="AA593">
        <f>IF(OR(P593="Y",AND(K593&gt;=9.0,W593="Y")),"P0",IF(Z593&gt;=80,"P0",IF(Z593&gt;=60,"P1",IF(Z593&gt;=40,"P2",IF(Z593&gt;=20,"P3","P4")))))</f>
        <v/>
      </c>
      <c r="AD593">
        <f>IF(AB593&lt;&gt;"",AB593,AA593)</f>
        <v/>
      </c>
      <c r="AE593">
        <f>VLOOKUP(AD593,SLA_Definitions!$A$2:$B$6,2,FALSE)</f>
        <v/>
      </c>
      <c r="AF593">
        <f>IF(B593&lt;&gt;"",WORKDAY(B593,AE593),"")</f>
        <v/>
      </c>
      <c r="AG593">
        <f>IF(AF593&lt;&gt;"",NETWORKDAYS(TODAY(),AF593),"")</f>
        <v/>
      </c>
      <c r="AH593">
        <f>IF(AJ593="Complete","Complete",IF(AG593&lt;0,"Overdue",IF(AG593&lt;=AE593*0.2,"At Risk","On Track")))</f>
        <v/>
      </c>
      <c r="AK593">
        <f>IF(OR(AH593="Overdue",AND(AD593="P0",AG593&lt;1),AND(AD593="P1",AG593&lt;3)),"Y","N")</f>
        <v/>
      </c>
    </row>
    <row r="594">
      <c r="K594">
        <f>IF(J594="v4.0",L594,IF(J594="v3.1",M594,IF(J594="Both",L594,IF(AND(L594&lt;&gt;"",M594=""),L594,M594))))</f>
        <v/>
      </c>
      <c r="Z594">
        <f>MIN(100,
(K594*5) +
(U594*10) +
IF(P594="Y",40,0) +
IF(Q594="P",30,0) +
IF(V594="Y",25,0) +
IF(W594="Y",20,0) +
IF(X594="Weaponized",15,IF(X594="PoC Available",10,IF(X594="Public Exploit",5,0))) +
IF(G594="Production",10,IF(G594="DMZ",8,IF(G594="DR/Backup",5,0))) +
IF(Y594="N",10,0)
)</f>
        <v/>
      </c>
      <c r="AA594">
        <f>IF(OR(P594="Y",AND(K594&gt;=9.0,W594="Y")),"P0",IF(Z594&gt;=80,"P0",IF(Z594&gt;=60,"P1",IF(Z594&gt;=40,"P2",IF(Z594&gt;=20,"P3","P4")))))</f>
        <v/>
      </c>
      <c r="AD594">
        <f>IF(AB594&lt;&gt;"",AB594,AA594)</f>
        <v/>
      </c>
      <c r="AE594">
        <f>VLOOKUP(AD594,SLA_Definitions!$A$2:$B$6,2,FALSE)</f>
        <v/>
      </c>
      <c r="AF594">
        <f>IF(B594&lt;&gt;"",WORKDAY(B594,AE594),"")</f>
        <v/>
      </c>
      <c r="AG594">
        <f>IF(AF594&lt;&gt;"",NETWORKDAYS(TODAY(),AF594),"")</f>
        <v/>
      </c>
      <c r="AH594">
        <f>IF(AJ594="Complete","Complete",IF(AG594&lt;0,"Overdue",IF(AG594&lt;=AE594*0.2,"At Risk","On Track")))</f>
        <v/>
      </c>
      <c r="AK594">
        <f>IF(OR(AH594="Overdue",AND(AD594="P0",AG594&lt;1),AND(AD594="P1",AG594&lt;3)),"Y","N")</f>
        <v/>
      </c>
    </row>
    <row r="595">
      <c r="K595">
        <f>IF(J595="v4.0",L595,IF(J595="v3.1",M595,IF(J595="Both",L595,IF(AND(L595&lt;&gt;"",M595=""),L595,M595))))</f>
        <v/>
      </c>
      <c r="Z595">
        <f>MIN(100,
(K595*5) +
(U595*10) +
IF(P595="Y",40,0) +
IF(Q595="P",30,0) +
IF(V595="Y",25,0) +
IF(W595="Y",20,0) +
IF(X595="Weaponized",15,IF(X595="PoC Available",10,IF(X595="Public Exploit",5,0))) +
IF(G595="Production",10,IF(G595="DMZ",8,IF(G595="DR/Backup",5,0))) +
IF(Y595="N",10,0)
)</f>
        <v/>
      </c>
      <c r="AA595">
        <f>IF(OR(P595="Y",AND(K595&gt;=9.0,W595="Y")),"P0",IF(Z595&gt;=80,"P0",IF(Z595&gt;=60,"P1",IF(Z595&gt;=40,"P2",IF(Z595&gt;=20,"P3","P4")))))</f>
        <v/>
      </c>
      <c r="AD595">
        <f>IF(AB595&lt;&gt;"",AB595,AA595)</f>
        <v/>
      </c>
      <c r="AE595">
        <f>VLOOKUP(AD595,SLA_Definitions!$A$2:$B$6,2,FALSE)</f>
        <v/>
      </c>
      <c r="AF595">
        <f>IF(B595&lt;&gt;"",WORKDAY(B595,AE595),"")</f>
        <v/>
      </c>
      <c r="AG595">
        <f>IF(AF595&lt;&gt;"",NETWORKDAYS(TODAY(),AF595),"")</f>
        <v/>
      </c>
      <c r="AH595">
        <f>IF(AJ595="Complete","Complete",IF(AG595&lt;0,"Overdue",IF(AG595&lt;=AE595*0.2,"At Risk","On Track")))</f>
        <v/>
      </c>
      <c r="AK595">
        <f>IF(OR(AH595="Overdue",AND(AD595="P0",AG595&lt;1),AND(AD595="P1",AG595&lt;3)),"Y","N")</f>
        <v/>
      </c>
    </row>
    <row r="596">
      <c r="K596">
        <f>IF(J596="v4.0",L596,IF(J596="v3.1",M596,IF(J596="Both",L596,IF(AND(L596&lt;&gt;"",M596=""),L596,M596))))</f>
        <v/>
      </c>
      <c r="Z596">
        <f>MIN(100,
(K596*5) +
(U596*10) +
IF(P596="Y",40,0) +
IF(Q596="P",30,0) +
IF(V596="Y",25,0) +
IF(W596="Y",20,0) +
IF(X596="Weaponized",15,IF(X596="PoC Available",10,IF(X596="Public Exploit",5,0))) +
IF(G596="Production",10,IF(G596="DMZ",8,IF(G596="DR/Backup",5,0))) +
IF(Y596="N",10,0)
)</f>
        <v/>
      </c>
      <c r="AA596">
        <f>IF(OR(P596="Y",AND(K596&gt;=9.0,W596="Y")),"P0",IF(Z596&gt;=80,"P0",IF(Z596&gt;=60,"P1",IF(Z596&gt;=40,"P2",IF(Z596&gt;=20,"P3","P4")))))</f>
        <v/>
      </c>
      <c r="AD596">
        <f>IF(AB596&lt;&gt;"",AB596,AA596)</f>
        <v/>
      </c>
      <c r="AE596">
        <f>VLOOKUP(AD596,SLA_Definitions!$A$2:$B$6,2,FALSE)</f>
        <v/>
      </c>
      <c r="AF596">
        <f>IF(B596&lt;&gt;"",WORKDAY(B596,AE596),"")</f>
        <v/>
      </c>
      <c r="AG596">
        <f>IF(AF596&lt;&gt;"",NETWORKDAYS(TODAY(),AF596),"")</f>
        <v/>
      </c>
      <c r="AH596">
        <f>IF(AJ596="Complete","Complete",IF(AG596&lt;0,"Overdue",IF(AG596&lt;=AE596*0.2,"At Risk","On Track")))</f>
        <v/>
      </c>
      <c r="AK596">
        <f>IF(OR(AH596="Overdue",AND(AD596="P0",AG596&lt;1),AND(AD596="P1",AG596&lt;3)),"Y","N")</f>
        <v/>
      </c>
    </row>
    <row r="597">
      <c r="K597">
        <f>IF(J597="v4.0",L597,IF(J597="v3.1",M597,IF(J597="Both",L597,IF(AND(L597&lt;&gt;"",M597=""),L597,M597))))</f>
        <v/>
      </c>
      <c r="Z597">
        <f>MIN(100,
(K597*5) +
(U597*10) +
IF(P597="Y",40,0) +
IF(Q597="P",30,0) +
IF(V597="Y",25,0) +
IF(W597="Y",20,0) +
IF(X597="Weaponized",15,IF(X597="PoC Available",10,IF(X597="Public Exploit",5,0))) +
IF(G597="Production",10,IF(G597="DMZ",8,IF(G597="DR/Backup",5,0))) +
IF(Y597="N",10,0)
)</f>
        <v/>
      </c>
      <c r="AA597">
        <f>IF(OR(P597="Y",AND(K597&gt;=9.0,W597="Y")),"P0",IF(Z597&gt;=80,"P0",IF(Z597&gt;=60,"P1",IF(Z597&gt;=40,"P2",IF(Z597&gt;=20,"P3","P4")))))</f>
        <v/>
      </c>
      <c r="AD597">
        <f>IF(AB597&lt;&gt;"",AB597,AA597)</f>
        <v/>
      </c>
      <c r="AE597">
        <f>VLOOKUP(AD597,SLA_Definitions!$A$2:$B$6,2,FALSE)</f>
        <v/>
      </c>
      <c r="AF597">
        <f>IF(B597&lt;&gt;"",WORKDAY(B597,AE597),"")</f>
        <v/>
      </c>
      <c r="AG597">
        <f>IF(AF597&lt;&gt;"",NETWORKDAYS(TODAY(),AF597),"")</f>
        <v/>
      </c>
      <c r="AH597">
        <f>IF(AJ597="Complete","Complete",IF(AG597&lt;0,"Overdue",IF(AG597&lt;=AE597*0.2,"At Risk","On Track")))</f>
        <v/>
      </c>
      <c r="AK597">
        <f>IF(OR(AH597="Overdue",AND(AD597="P0",AG597&lt;1),AND(AD597="P1",AG597&lt;3)),"Y","N")</f>
        <v/>
      </c>
    </row>
    <row r="598">
      <c r="K598">
        <f>IF(J598="v4.0",L598,IF(J598="v3.1",M598,IF(J598="Both",L598,IF(AND(L598&lt;&gt;"",M598=""),L598,M598))))</f>
        <v/>
      </c>
      <c r="Z598">
        <f>MIN(100,
(K598*5) +
(U598*10) +
IF(P598="Y",40,0) +
IF(Q598="P",30,0) +
IF(V598="Y",25,0) +
IF(W598="Y",20,0) +
IF(X598="Weaponized",15,IF(X598="PoC Available",10,IF(X598="Public Exploit",5,0))) +
IF(G598="Production",10,IF(G598="DMZ",8,IF(G598="DR/Backup",5,0))) +
IF(Y598="N",10,0)
)</f>
        <v/>
      </c>
      <c r="AA598">
        <f>IF(OR(P598="Y",AND(K598&gt;=9.0,W598="Y")),"P0",IF(Z598&gt;=80,"P0",IF(Z598&gt;=60,"P1",IF(Z598&gt;=40,"P2",IF(Z598&gt;=20,"P3","P4")))))</f>
        <v/>
      </c>
      <c r="AD598">
        <f>IF(AB598&lt;&gt;"",AB598,AA598)</f>
        <v/>
      </c>
      <c r="AE598">
        <f>VLOOKUP(AD598,SLA_Definitions!$A$2:$B$6,2,FALSE)</f>
        <v/>
      </c>
      <c r="AF598">
        <f>IF(B598&lt;&gt;"",WORKDAY(B598,AE598),"")</f>
        <v/>
      </c>
      <c r="AG598">
        <f>IF(AF598&lt;&gt;"",NETWORKDAYS(TODAY(),AF598),"")</f>
        <v/>
      </c>
      <c r="AH598">
        <f>IF(AJ598="Complete","Complete",IF(AG598&lt;0,"Overdue",IF(AG598&lt;=AE598*0.2,"At Risk","On Track")))</f>
        <v/>
      </c>
      <c r="AK598">
        <f>IF(OR(AH598="Overdue",AND(AD598="P0",AG598&lt;1),AND(AD598="P1",AG598&lt;3)),"Y","N")</f>
        <v/>
      </c>
    </row>
    <row r="599">
      <c r="K599">
        <f>IF(J599="v4.0",L599,IF(J599="v3.1",M599,IF(J599="Both",L599,IF(AND(L599&lt;&gt;"",M599=""),L599,M599))))</f>
        <v/>
      </c>
      <c r="Z599">
        <f>MIN(100,
(K599*5) +
(U599*10) +
IF(P599="Y",40,0) +
IF(Q599="P",30,0) +
IF(V599="Y",25,0) +
IF(W599="Y",20,0) +
IF(X599="Weaponized",15,IF(X599="PoC Available",10,IF(X599="Public Exploit",5,0))) +
IF(G599="Production",10,IF(G599="DMZ",8,IF(G599="DR/Backup",5,0))) +
IF(Y599="N",10,0)
)</f>
        <v/>
      </c>
      <c r="AA599">
        <f>IF(OR(P599="Y",AND(K599&gt;=9.0,W599="Y")),"P0",IF(Z599&gt;=80,"P0",IF(Z599&gt;=60,"P1",IF(Z599&gt;=40,"P2",IF(Z599&gt;=20,"P3","P4")))))</f>
        <v/>
      </c>
      <c r="AD599">
        <f>IF(AB599&lt;&gt;"",AB599,AA599)</f>
        <v/>
      </c>
      <c r="AE599">
        <f>VLOOKUP(AD599,SLA_Definitions!$A$2:$B$6,2,FALSE)</f>
        <v/>
      </c>
      <c r="AF599">
        <f>IF(B599&lt;&gt;"",WORKDAY(B599,AE599),"")</f>
        <v/>
      </c>
      <c r="AG599">
        <f>IF(AF599&lt;&gt;"",NETWORKDAYS(TODAY(),AF599),"")</f>
        <v/>
      </c>
      <c r="AH599">
        <f>IF(AJ599="Complete","Complete",IF(AG599&lt;0,"Overdue",IF(AG599&lt;=AE599*0.2,"At Risk","On Track")))</f>
        <v/>
      </c>
      <c r="AK599">
        <f>IF(OR(AH599="Overdue",AND(AD599="P0",AG599&lt;1),AND(AD599="P1",AG599&lt;3)),"Y","N")</f>
        <v/>
      </c>
    </row>
    <row r="600">
      <c r="K600">
        <f>IF(J600="v4.0",L600,IF(J600="v3.1",M600,IF(J600="Both",L600,IF(AND(L600&lt;&gt;"",M600=""),L600,M600))))</f>
        <v/>
      </c>
      <c r="Z600">
        <f>MIN(100,
(K600*5) +
(U600*10) +
IF(P600="Y",40,0) +
IF(Q600="P",30,0) +
IF(V600="Y",25,0) +
IF(W600="Y",20,0) +
IF(X600="Weaponized",15,IF(X600="PoC Available",10,IF(X600="Public Exploit",5,0))) +
IF(G600="Production",10,IF(G600="DMZ",8,IF(G600="DR/Backup",5,0))) +
IF(Y600="N",10,0)
)</f>
        <v/>
      </c>
      <c r="AA600">
        <f>IF(OR(P600="Y",AND(K600&gt;=9.0,W600="Y")),"P0",IF(Z600&gt;=80,"P0",IF(Z600&gt;=60,"P1",IF(Z600&gt;=40,"P2",IF(Z600&gt;=20,"P3","P4")))))</f>
        <v/>
      </c>
      <c r="AD600">
        <f>IF(AB600&lt;&gt;"",AB600,AA600)</f>
        <v/>
      </c>
      <c r="AE600">
        <f>VLOOKUP(AD600,SLA_Definitions!$A$2:$B$6,2,FALSE)</f>
        <v/>
      </c>
      <c r="AF600">
        <f>IF(B600&lt;&gt;"",WORKDAY(B600,AE600),"")</f>
        <v/>
      </c>
      <c r="AG600">
        <f>IF(AF600&lt;&gt;"",NETWORKDAYS(TODAY(),AF600),"")</f>
        <v/>
      </c>
      <c r="AH600">
        <f>IF(AJ600="Complete","Complete",IF(AG600&lt;0,"Overdue",IF(AG600&lt;=AE600*0.2,"At Risk","On Track")))</f>
        <v/>
      </c>
      <c r="AK600">
        <f>IF(OR(AH600="Overdue",AND(AD600="P0",AG600&lt;1),AND(AD600="P1",AG600&lt;3)),"Y","N")</f>
        <v/>
      </c>
    </row>
    <row r="601">
      <c r="K601">
        <f>IF(J601="v4.0",L601,IF(J601="v3.1",M601,IF(J601="Both",L601,IF(AND(L601&lt;&gt;"",M601=""),L601,M601))))</f>
        <v/>
      </c>
      <c r="Z601">
        <f>MIN(100,
(K601*5) +
(U601*10) +
IF(P601="Y",40,0) +
IF(Q601="P",30,0) +
IF(V601="Y",25,0) +
IF(W601="Y",20,0) +
IF(X601="Weaponized",15,IF(X601="PoC Available",10,IF(X601="Public Exploit",5,0))) +
IF(G601="Production",10,IF(G601="DMZ",8,IF(G601="DR/Backup",5,0))) +
IF(Y601="N",10,0)
)</f>
        <v/>
      </c>
      <c r="AA601">
        <f>IF(OR(P601="Y",AND(K601&gt;=9.0,W601="Y")),"P0",IF(Z601&gt;=80,"P0",IF(Z601&gt;=60,"P1",IF(Z601&gt;=40,"P2",IF(Z601&gt;=20,"P3","P4")))))</f>
        <v/>
      </c>
      <c r="AD601">
        <f>IF(AB601&lt;&gt;"",AB601,AA601)</f>
        <v/>
      </c>
      <c r="AE601">
        <f>VLOOKUP(AD601,SLA_Definitions!$A$2:$B$6,2,FALSE)</f>
        <v/>
      </c>
      <c r="AF601">
        <f>IF(B601&lt;&gt;"",WORKDAY(B601,AE601),"")</f>
        <v/>
      </c>
      <c r="AG601">
        <f>IF(AF601&lt;&gt;"",NETWORKDAYS(TODAY(),AF601),"")</f>
        <v/>
      </c>
      <c r="AH601">
        <f>IF(AJ601="Complete","Complete",IF(AG601&lt;0,"Overdue",IF(AG601&lt;=AE601*0.2,"At Risk","On Track")))</f>
        <v/>
      </c>
      <c r="AK601">
        <f>IF(OR(AH601="Overdue",AND(AD601="P0",AG601&lt;1),AND(AD601="P1",AG601&lt;3)),"Y","N")</f>
        <v/>
      </c>
    </row>
    <row r="602">
      <c r="K602">
        <f>IF(J602="v4.0",L602,IF(J602="v3.1",M602,IF(J602="Both",L602,IF(AND(L602&lt;&gt;"",M602=""),L602,M602))))</f>
        <v/>
      </c>
      <c r="Z602">
        <f>MIN(100,
(K602*5) +
(U602*10) +
IF(P602="Y",40,0) +
IF(Q602="P",30,0) +
IF(V602="Y",25,0) +
IF(W602="Y",20,0) +
IF(X602="Weaponized",15,IF(X602="PoC Available",10,IF(X602="Public Exploit",5,0))) +
IF(G602="Production",10,IF(G602="DMZ",8,IF(G602="DR/Backup",5,0))) +
IF(Y602="N",10,0)
)</f>
        <v/>
      </c>
      <c r="AA602">
        <f>IF(OR(P602="Y",AND(K602&gt;=9.0,W602="Y")),"P0",IF(Z602&gt;=80,"P0",IF(Z602&gt;=60,"P1",IF(Z602&gt;=40,"P2",IF(Z602&gt;=20,"P3","P4")))))</f>
        <v/>
      </c>
      <c r="AD602">
        <f>IF(AB602&lt;&gt;"",AB602,AA602)</f>
        <v/>
      </c>
      <c r="AE602">
        <f>VLOOKUP(AD602,SLA_Definitions!$A$2:$B$6,2,FALSE)</f>
        <v/>
      </c>
      <c r="AF602">
        <f>IF(B602&lt;&gt;"",WORKDAY(B602,AE602),"")</f>
        <v/>
      </c>
      <c r="AG602">
        <f>IF(AF602&lt;&gt;"",NETWORKDAYS(TODAY(),AF602),"")</f>
        <v/>
      </c>
      <c r="AH602">
        <f>IF(AJ602="Complete","Complete",IF(AG602&lt;0,"Overdue",IF(AG602&lt;=AE602*0.2,"At Risk","On Track")))</f>
        <v/>
      </c>
      <c r="AK602">
        <f>IF(OR(AH602="Overdue",AND(AD602="P0",AG602&lt;1),AND(AD602="P1",AG602&lt;3)),"Y","N")</f>
        <v/>
      </c>
    </row>
    <row r="603">
      <c r="K603">
        <f>IF(J603="v4.0",L603,IF(J603="v3.1",M603,IF(J603="Both",L603,IF(AND(L603&lt;&gt;"",M603=""),L603,M603))))</f>
        <v/>
      </c>
      <c r="Z603">
        <f>MIN(100,
(K603*5) +
(U603*10) +
IF(P603="Y",40,0) +
IF(Q603="P",30,0) +
IF(V603="Y",25,0) +
IF(W603="Y",20,0) +
IF(X603="Weaponized",15,IF(X603="PoC Available",10,IF(X603="Public Exploit",5,0))) +
IF(G603="Production",10,IF(G603="DMZ",8,IF(G603="DR/Backup",5,0))) +
IF(Y603="N",10,0)
)</f>
        <v/>
      </c>
      <c r="AA603">
        <f>IF(OR(P603="Y",AND(K603&gt;=9.0,W603="Y")),"P0",IF(Z603&gt;=80,"P0",IF(Z603&gt;=60,"P1",IF(Z603&gt;=40,"P2",IF(Z603&gt;=20,"P3","P4")))))</f>
        <v/>
      </c>
      <c r="AD603">
        <f>IF(AB603&lt;&gt;"",AB603,AA603)</f>
        <v/>
      </c>
      <c r="AE603">
        <f>VLOOKUP(AD603,SLA_Definitions!$A$2:$B$6,2,FALSE)</f>
        <v/>
      </c>
      <c r="AF603">
        <f>IF(B603&lt;&gt;"",WORKDAY(B603,AE603),"")</f>
        <v/>
      </c>
      <c r="AG603">
        <f>IF(AF603&lt;&gt;"",NETWORKDAYS(TODAY(),AF603),"")</f>
        <v/>
      </c>
      <c r="AH603">
        <f>IF(AJ603="Complete","Complete",IF(AG603&lt;0,"Overdue",IF(AG603&lt;=AE603*0.2,"At Risk","On Track")))</f>
        <v/>
      </c>
      <c r="AK603">
        <f>IF(OR(AH603="Overdue",AND(AD603="P0",AG603&lt;1),AND(AD603="P1",AG603&lt;3)),"Y","N")</f>
        <v/>
      </c>
    </row>
    <row r="604">
      <c r="K604">
        <f>IF(J604="v4.0",L604,IF(J604="v3.1",M604,IF(J604="Both",L604,IF(AND(L604&lt;&gt;"",M604=""),L604,M604))))</f>
        <v/>
      </c>
      <c r="Z604">
        <f>MIN(100,
(K604*5) +
(U604*10) +
IF(P604="Y",40,0) +
IF(Q604="P",30,0) +
IF(V604="Y",25,0) +
IF(W604="Y",20,0) +
IF(X604="Weaponized",15,IF(X604="PoC Available",10,IF(X604="Public Exploit",5,0))) +
IF(G604="Production",10,IF(G604="DMZ",8,IF(G604="DR/Backup",5,0))) +
IF(Y604="N",10,0)
)</f>
        <v/>
      </c>
      <c r="AA604">
        <f>IF(OR(P604="Y",AND(K604&gt;=9.0,W604="Y")),"P0",IF(Z604&gt;=80,"P0",IF(Z604&gt;=60,"P1",IF(Z604&gt;=40,"P2",IF(Z604&gt;=20,"P3","P4")))))</f>
        <v/>
      </c>
      <c r="AD604">
        <f>IF(AB604&lt;&gt;"",AB604,AA604)</f>
        <v/>
      </c>
      <c r="AE604">
        <f>VLOOKUP(AD604,SLA_Definitions!$A$2:$B$6,2,FALSE)</f>
        <v/>
      </c>
      <c r="AF604">
        <f>IF(B604&lt;&gt;"",WORKDAY(B604,AE604),"")</f>
        <v/>
      </c>
      <c r="AG604">
        <f>IF(AF604&lt;&gt;"",NETWORKDAYS(TODAY(),AF604),"")</f>
        <v/>
      </c>
      <c r="AH604">
        <f>IF(AJ604="Complete","Complete",IF(AG604&lt;0,"Overdue",IF(AG604&lt;=AE604*0.2,"At Risk","On Track")))</f>
        <v/>
      </c>
      <c r="AK604">
        <f>IF(OR(AH604="Overdue",AND(AD604="P0",AG604&lt;1),AND(AD604="P1",AG604&lt;3)),"Y","N")</f>
        <v/>
      </c>
    </row>
    <row r="605">
      <c r="K605">
        <f>IF(J605="v4.0",L605,IF(J605="v3.1",M605,IF(J605="Both",L605,IF(AND(L605&lt;&gt;"",M605=""),L605,M605))))</f>
        <v/>
      </c>
      <c r="Z605">
        <f>MIN(100,
(K605*5) +
(U605*10) +
IF(P605="Y",40,0) +
IF(Q605="P",30,0) +
IF(V605="Y",25,0) +
IF(W605="Y",20,0) +
IF(X605="Weaponized",15,IF(X605="PoC Available",10,IF(X605="Public Exploit",5,0))) +
IF(G605="Production",10,IF(G605="DMZ",8,IF(G605="DR/Backup",5,0))) +
IF(Y605="N",10,0)
)</f>
        <v/>
      </c>
      <c r="AA605">
        <f>IF(OR(P605="Y",AND(K605&gt;=9.0,W605="Y")),"P0",IF(Z605&gt;=80,"P0",IF(Z605&gt;=60,"P1",IF(Z605&gt;=40,"P2",IF(Z605&gt;=20,"P3","P4")))))</f>
        <v/>
      </c>
      <c r="AD605">
        <f>IF(AB605&lt;&gt;"",AB605,AA605)</f>
        <v/>
      </c>
      <c r="AE605">
        <f>VLOOKUP(AD605,SLA_Definitions!$A$2:$B$6,2,FALSE)</f>
        <v/>
      </c>
      <c r="AF605">
        <f>IF(B605&lt;&gt;"",WORKDAY(B605,AE605),"")</f>
        <v/>
      </c>
      <c r="AG605">
        <f>IF(AF605&lt;&gt;"",NETWORKDAYS(TODAY(),AF605),"")</f>
        <v/>
      </c>
      <c r="AH605">
        <f>IF(AJ605="Complete","Complete",IF(AG605&lt;0,"Overdue",IF(AG605&lt;=AE605*0.2,"At Risk","On Track")))</f>
        <v/>
      </c>
      <c r="AK605">
        <f>IF(OR(AH605="Overdue",AND(AD605="P0",AG605&lt;1),AND(AD605="P1",AG605&lt;3)),"Y","N")</f>
        <v/>
      </c>
    </row>
    <row r="606">
      <c r="K606">
        <f>IF(J606="v4.0",L606,IF(J606="v3.1",M606,IF(J606="Both",L606,IF(AND(L606&lt;&gt;"",M606=""),L606,M606))))</f>
        <v/>
      </c>
      <c r="Z606">
        <f>MIN(100,
(K606*5) +
(U606*10) +
IF(P606="Y",40,0) +
IF(Q606="P",30,0) +
IF(V606="Y",25,0) +
IF(W606="Y",20,0) +
IF(X606="Weaponized",15,IF(X606="PoC Available",10,IF(X606="Public Exploit",5,0))) +
IF(G606="Production",10,IF(G606="DMZ",8,IF(G606="DR/Backup",5,0))) +
IF(Y606="N",10,0)
)</f>
        <v/>
      </c>
      <c r="AA606">
        <f>IF(OR(P606="Y",AND(K606&gt;=9.0,W606="Y")),"P0",IF(Z606&gt;=80,"P0",IF(Z606&gt;=60,"P1",IF(Z606&gt;=40,"P2",IF(Z606&gt;=20,"P3","P4")))))</f>
        <v/>
      </c>
      <c r="AD606">
        <f>IF(AB606&lt;&gt;"",AB606,AA606)</f>
        <v/>
      </c>
      <c r="AE606">
        <f>VLOOKUP(AD606,SLA_Definitions!$A$2:$B$6,2,FALSE)</f>
        <v/>
      </c>
      <c r="AF606">
        <f>IF(B606&lt;&gt;"",WORKDAY(B606,AE606),"")</f>
        <v/>
      </c>
      <c r="AG606">
        <f>IF(AF606&lt;&gt;"",NETWORKDAYS(TODAY(),AF606),"")</f>
        <v/>
      </c>
      <c r="AH606">
        <f>IF(AJ606="Complete","Complete",IF(AG606&lt;0,"Overdue",IF(AG606&lt;=AE606*0.2,"At Risk","On Track")))</f>
        <v/>
      </c>
      <c r="AK606">
        <f>IF(OR(AH606="Overdue",AND(AD606="P0",AG606&lt;1),AND(AD606="P1",AG606&lt;3)),"Y","N")</f>
        <v/>
      </c>
    </row>
    <row r="607">
      <c r="K607">
        <f>IF(J607="v4.0",L607,IF(J607="v3.1",M607,IF(J607="Both",L607,IF(AND(L607&lt;&gt;"",M607=""),L607,M607))))</f>
        <v/>
      </c>
      <c r="Z607">
        <f>MIN(100,
(K607*5) +
(U607*10) +
IF(P607="Y",40,0) +
IF(Q607="P",30,0) +
IF(V607="Y",25,0) +
IF(W607="Y",20,0) +
IF(X607="Weaponized",15,IF(X607="PoC Available",10,IF(X607="Public Exploit",5,0))) +
IF(G607="Production",10,IF(G607="DMZ",8,IF(G607="DR/Backup",5,0))) +
IF(Y607="N",10,0)
)</f>
        <v/>
      </c>
      <c r="AA607">
        <f>IF(OR(P607="Y",AND(K607&gt;=9.0,W607="Y")),"P0",IF(Z607&gt;=80,"P0",IF(Z607&gt;=60,"P1",IF(Z607&gt;=40,"P2",IF(Z607&gt;=20,"P3","P4")))))</f>
        <v/>
      </c>
      <c r="AD607">
        <f>IF(AB607&lt;&gt;"",AB607,AA607)</f>
        <v/>
      </c>
      <c r="AE607">
        <f>VLOOKUP(AD607,SLA_Definitions!$A$2:$B$6,2,FALSE)</f>
        <v/>
      </c>
      <c r="AF607">
        <f>IF(B607&lt;&gt;"",WORKDAY(B607,AE607),"")</f>
        <v/>
      </c>
      <c r="AG607">
        <f>IF(AF607&lt;&gt;"",NETWORKDAYS(TODAY(),AF607),"")</f>
        <v/>
      </c>
      <c r="AH607">
        <f>IF(AJ607="Complete","Complete",IF(AG607&lt;0,"Overdue",IF(AG607&lt;=AE607*0.2,"At Risk","On Track")))</f>
        <v/>
      </c>
      <c r="AK607">
        <f>IF(OR(AH607="Overdue",AND(AD607="P0",AG607&lt;1),AND(AD607="P1",AG607&lt;3)),"Y","N")</f>
        <v/>
      </c>
    </row>
    <row r="608">
      <c r="K608">
        <f>IF(J608="v4.0",L608,IF(J608="v3.1",M608,IF(J608="Both",L608,IF(AND(L608&lt;&gt;"",M608=""),L608,M608))))</f>
        <v/>
      </c>
      <c r="Z608">
        <f>MIN(100,
(K608*5) +
(U608*10) +
IF(P608="Y",40,0) +
IF(Q608="P",30,0) +
IF(V608="Y",25,0) +
IF(W608="Y",20,0) +
IF(X608="Weaponized",15,IF(X608="PoC Available",10,IF(X608="Public Exploit",5,0))) +
IF(G608="Production",10,IF(G608="DMZ",8,IF(G608="DR/Backup",5,0))) +
IF(Y608="N",10,0)
)</f>
        <v/>
      </c>
      <c r="AA608">
        <f>IF(OR(P608="Y",AND(K608&gt;=9.0,W608="Y")),"P0",IF(Z608&gt;=80,"P0",IF(Z608&gt;=60,"P1",IF(Z608&gt;=40,"P2",IF(Z608&gt;=20,"P3","P4")))))</f>
        <v/>
      </c>
      <c r="AD608">
        <f>IF(AB608&lt;&gt;"",AB608,AA608)</f>
        <v/>
      </c>
      <c r="AE608">
        <f>VLOOKUP(AD608,SLA_Definitions!$A$2:$B$6,2,FALSE)</f>
        <v/>
      </c>
      <c r="AF608">
        <f>IF(B608&lt;&gt;"",WORKDAY(B608,AE608),"")</f>
        <v/>
      </c>
      <c r="AG608">
        <f>IF(AF608&lt;&gt;"",NETWORKDAYS(TODAY(),AF608),"")</f>
        <v/>
      </c>
      <c r="AH608">
        <f>IF(AJ608="Complete","Complete",IF(AG608&lt;0,"Overdue",IF(AG608&lt;=AE608*0.2,"At Risk","On Track")))</f>
        <v/>
      </c>
      <c r="AK608">
        <f>IF(OR(AH608="Overdue",AND(AD608="P0",AG608&lt;1),AND(AD608="P1",AG608&lt;3)),"Y","N")</f>
        <v/>
      </c>
    </row>
    <row r="609">
      <c r="K609">
        <f>IF(J609="v4.0",L609,IF(J609="v3.1",M609,IF(J609="Both",L609,IF(AND(L609&lt;&gt;"",M609=""),L609,M609))))</f>
        <v/>
      </c>
      <c r="Z609">
        <f>MIN(100,
(K609*5) +
(U609*10) +
IF(P609="Y",40,0) +
IF(Q609="P",30,0) +
IF(V609="Y",25,0) +
IF(W609="Y",20,0) +
IF(X609="Weaponized",15,IF(X609="PoC Available",10,IF(X609="Public Exploit",5,0))) +
IF(G609="Production",10,IF(G609="DMZ",8,IF(G609="DR/Backup",5,0))) +
IF(Y609="N",10,0)
)</f>
        <v/>
      </c>
      <c r="AA609">
        <f>IF(OR(P609="Y",AND(K609&gt;=9.0,W609="Y")),"P0",IF(Z609&gt;=80,"P0",IF(Z609&gt;=60,"P1",IF(Z609&gt;=40,"P2",IF(Z609&gt;=20,"P3","P4")))))</f>
        <v/>
      </c>
      <c r="AD609">
        <f>IF(AB609&lt;&gt;"",AB609,AA609)</f>
        <v/>
      </c>
      <c r="AE609">
        <f>VLOOKUP(AD609,SLA_Definitions!$A$2:$B$6,2,FALSE)</f>
        <v/>
      </c>
      <c r="AF609">
        <f>IF(B609&lt;&gt;"",WORKDAY(B609,AE609),"")</f>
        <v/>
      </c>
      <c r="AG609">
        <f>IF(AF609&lt;&gt;"",NETWORKDAYS(TODAY(),AF609),"")</f>
        <v/>
      </c>
      <c r="AH609">
        <f>IF(AJ609="Complete","Complete",IF(AG609&lt;0,"Overdue",IF(AG609&lt;=AE609*0.2,"At Risk","On Track")))</f>
        <v/>
      </c>
      <c r="AK609">
        <f>IF(OR(AH609="Overdue",AND(AD609="P0",AG609&lt;1),AND(AD609="P1",AG609&lt;3)),"Y","N")</f>
        <v/>
      </c>
    </row>
    <row r="610">
      <c r="K610">
        <f>IF(J610="v4.0",L610,IF(J610="v3.1",M610,IF(J610="Both",L610,IF(AND(L610&lt;&gt;"",M610=""),L610,M610))))</f>
        <v/>
      </c>
      <c r="Z610">
        <f>MIN(100,
(K610*5) +
(U610*10) +
IF(P610="Y",40,0) +
IF(Q610="P",30,0) +
IF(V610="Y",25,0) +
IF(W610="Y",20,0) +
IF(X610="Weaponized",15,IF(X610="PoC Available",10,IF(X610="Public Exploit",5,0))) +
IF(G610="Production",10,IF(G610="DMZ",8,IF(G610="DR/Backup",5,0))) +
IF(Y610="N",10,0)
)</f>
        <v/>
      </c>
      <c r="AA610">
        <f>IF(OR(P610="Y",AND(K610&gt;=9.0,W610="Y")),"P0",IF(Z610&gt;=80,"P0",IF(Z610&gt;=60,"P1",IF(Z610&gt;=40,"P2",IF(Z610&gt;=20,"P3","P4")))))</f>
        <v/>
      </c>
      <c r="AD610">
        <f>IF(AB610&lt;&gt;"",AB610,AA610)</f>
        <v/>
      </c>
      <c r="AE610">
        <f>VLOOKUP(AD610,SLA_Definitions!$A$2:$B$6,2,FALSE)</f>
        <v/>
      </c>
      <c r="AF610">
        <f>IF(B610&lt;&gt;"",WORKDAY(B610,AE610),"")</f>
        <v/>
      </c>
      <c r="AG610">
        <f>IF(AF610&lt;&gt;"",NETWORKDAYS(TODAY(),AF610),"")</f>
        <v/>
      </c>
      <c r="AH610">
        <f>IF(AJ610="Complete","Complete",IF(AG610&lt;0,"Overdue",IF(AG610&lt;=AE610*0.2,"At Risk","On Track")))</f>
        <v/>
      </c>
      <c r="AK610">
        <f>IF(OR(AH610="Overdue",AND(AD610="P0",AG610&lt;1),AND(AD610="P1",AG610&lt;3)),"Y","N")</f>
        <v/>
      </c>
    </row>
    <row r="611">
      <c r="K611">
        <f>IF(J611="v4.0",L611,IF(J611="v3.1",M611,IF(J611="Both",L611,IF(AND(L611&lt;&gt;"",M611=""),L611,M611))))</f>
        <v/>
      </c>
      <c r="Z611">
        <f>MIN(100,
(K611*5) +
(U611*10) +
IF(P611="Y",40,0) +
IF(Q611="P",30,0) +
IF(V611="Y",25,0) +
IF(W611="Y",20,0) +
IF(X611="Weaponized",15,IF(X611="PoC Available",10,IF(X611="Public Exploit",5,0))) +
IF(G611="Production",10,IF(G611="DMZ",8,IF(G611="DR/Backup",5,0))) +
IF(Y611="N",10,0)
)</f>
        <v/>
      </c>
      <c r="AA611">
        <f>IF(OR(P611="Y",AND(K611&gt;=9.0,W611="Y")),"P0",IF(Z611&gt;=80,"P0",IF(Z611&gt;=60,"P1",IF(Z611&gt;=40,"P2",IF(Z611&gt;=20,"P3","P4")))))</f>
        <v/>
      </c>
      <c r="AD611">
        <f>IF(AB611&lt;&gt;"",AB611,AA611)</f>
        <v/>
      </c>
      <c r="AE611">
        <f>VLOOKUP(AD611,SLA_Definitions!$A$2:$B$6,2,FALSE)</f>
        <v/>
      </c>
      <c r="AF611">
        <f>IF(B611&lt;&gt;"",WORKDAY(B611,AE611),"")</f>
        <v/>
      </c>
      <c r="AG611">
        <f>IF(AF611&lt;&gt;"",NETWORKDAYS(TODAY(),AF611),"")</f>
        <v/>
      </c>
      <c r="AH611">
        <f>IF(AJ611="Complete","Complete",IF(AG611&lt;0,"Overdue",IF(AG611&lt;=AE611*0.2,"At Risk","On Track")))</f>
        <v/>
      </c>
      <c r="AK611">
        <f>IF(OR(AH611="Overdue",AND(AD611="P0",AG611&lt;1),AND(AD611="P1",AG611&lt;3)),"Y","N")</f>
        <v/>
      </c>
    </row>
    <row r="612">
      <c r="K612">
        <f>IF(J612="v4.0",L612,IF(J612="v3.1",M612,IF(J612="Both",L612,IF(AND(L612&lt;&gt;"",M612=""),L612,M612))))</f>
        <v/>
      </c>
      <c r="Z612">
        <f>MIN(100,
(K612*5) +
(U612*10) +
IF(P612="Y",40,0) +
IF(Q612="P",30,0) +
IF(V612="Y",25,0) +
IF(W612="Y",20,0) +
IF(X612="Weaponized",15,IF(X612="PoC Available",10,IF(X612="Public Exploit",5,0))) +
IF(G612="Production",10,IF(G612="DMZ",8,IF(G612="DR/Backup",5,0))) +
IF(Y612="N",10,0)
)</f>
        <v/>
      </c>
      <c r="AA612">
        <f>IF(OR(P612="Y",AND(K612&gt;=9.0,W612="Y")),"P0",IF(Z612&gt;=80,"P0",IF(Z612&gt;=60,"P1",IF(Z612&gt;=40,"P2",IF(Z612&gt;=20,"P3","P4")))))</f>
        <v/>
      </c>
      <c r="AD612">
        <f>IF(AB612&lt;&gt;"",AB612,AA612)</f>
        <v/>
      </c>
      <c r="AE612">
        <f>VLOOKUP(AD612,SLA_Definitions!$A$2:$B$6,2,FALSE)</f>
        <v/>
      </c>
      <c r="AF612">
        <f>IF(B612&lt;&gt;"",WORKDAY(B612,AE612),"")</f>
        <v/>
      </c>
      <c r="AG612">
        <f>IF(AF612&lt;&gt;"",NETWORKDAYS(TODAY(),AF612),"")</f>
        <v/>
      </c>
      <c r="AH612">
        <f>IF(AJ612="Complete","Complete",IF(AG612&lt;0,"Overdue",IF(AG612&lt;=AE612*0.2,"At Risk","On Track")))</f>
        <v/>
      </c>
      <c r="AK612">
        <f>IF(OR(AH612="Overdue",AND(AD612="P0",AG612&lt;1),AND(AD612="P1",AG612&lt;3)),"Y","N")</f>
        <v/>
      </c>
    </row>
    <row r="613">
      <c r="K613">
        <f>IF(J613="v4.0",L613,IF(J613="v3.1",M613,IF(J613="Both",L613,IF(AND(L613&lt;&gt;"",M613=""),L613,M613))))</f>
        <v/>
      </c>
      <c r="Z613">
        <f>MIN(100,
(K613*5) +
(U613*10) +
IF(P613="Y",40,0) +
IF(Q613="P",30,0) +
IF(V613="Y",25,0) +
IF(W613="Y",20,0) +
IF(X613="Weaponized",15,IF(X613="PoC Available",10,IF(X613="Public Exploit",5,0))) +
IF(G613="Production",10,IF(G613="DMZ",8,IF(G613="DR/Backup",5,0))) +
IF(Y613="N",10,0)
)</f>
        <v/>
      </c>
      <c r="AA613">
        <f>IF(OR(P613="Y",AND(K613&gt;=9.0,W613="Y")),"P0",IF(Z613&gt;=80,"P0",IF(Z613&gt;=60,"P1",IF(Z613&gt;=40,"P2",IF(Z613&gt;=20,"P3","P4")))))</f>
        <v/>
      </c>
      <c r="AD613">
        <f>IF(AB613&lt;&gt;"",AB613,AA613)</f>
        <v/>
      </c>
      <c r="AE613">
        <f>VLOOKUP(AD613,SLA_Definitions!$A$2:$B$6,2,FALSE)</f>
        <v/>
      </c>
      <c r="AF613">
        <f>IF(B613&lt;&gt;"",WORKDAY(B613,AE613),"")</f>
        <v/>
      </c>
      <c r="AG613">
        <f>IF(AF613&lt;&gt;"",NETWORKDAYS(TODAY(),AF613),"")</f>
        <v/>
      </c>
      <c r="AH613">
        <f>IF(AJ613="Complete","Complete",IF(AG613&lt;0,"Overdue",IF(AG613&lt;=AE613*0.2,"At Risk","On Track")))</f>
        <v/>
      </c>
      <c r="AK613">
        <f>IF(OR(AH613="Overdue",AND(AD613="P0",AG613&lt;1),AND(AD613="P1",AG613&lt;3)),"Y","N")</f>
        <v/>
      </c>
    </row>
    <row r="614">
      <c r="K614">
        <f>IF(J614="v4.0",L614,IF(J614="v3.1",M614,IF(J614="Both",L614,IF(AND(L614&lt;&gt;"",M614=""),L614,M614))))</f>
        <v/>
      </c>
      <c r="Z614">
        <f>MIN(100,
(K614*5) +
(U614*10) +
IF(P614="Y",40,0) +
IF(Q614="P",30,0) +
IF(V614="Y",25,0) +
IF(W614="Y",20,0) +
IF(X614="Weaponized",15,IF(X614="PoC Available",10,IF(X614="Public Exploit",5,0))) +
IF(G614="Production",10,IF(G614="DMZ",8,IF(G614="DR/Backup",5,0))) +
IF(Y614="N",10,0)
)</f>
        <v/>
      </c>
      <c r="AA614">
        <f>IF(OR(P614="Y",AND(K614&gt;=9.0,W614="Y")),"P0",IF(Z614&gt;=80,"P0",IF(Z614&gt;=60,"P1",IF(Z614&gt;=40,"P2",IF(Z614&gt;=20,"P3","P4")))))</f>
        <v/>
      </c>
      <c r="AD614">
        <f>IF(AB614&lt;&gt;"",AB614,AA614)</f>
        <v/>
      </c>
      <c r="AE614">
        <f>VLOOKUP(AD614,SLA_Definitions!$A$2:$B$6,2,FALSE)</f>
        <v/>
      </c>
      <c r="AF614">
        <f>IF(B614&lt;&gt;"",WORKDAY(B614,AE614),"")</f>
        <v/>
      </c>
      <c r="AG614">
        <f>IF(AF614&lt;&gt;"",NETWORKDAYS(TODAY(),AF614),"")</f>
        <v/>
      </c>
      <c r="AH614">
        <f>IF(AJ614="Complete","Complete",IF(AG614&lt;0,"Overdue",IF(AG614&lt;=AE614*0.2,"At Risk","On Track")))</f>
        <v/>
      </c>
      <c r="AK614">
        <f>IF(OR(AH614="Overdue",AND(AD614="P0",AG614&lt;1),AND(AD614="P1",AG614&lt;3)),"Y","N")</f>
        <v/>
      </c>
    </row>
    <row r="615">
      <c r="K615">
        <f>IF(J615="v4.0",L615,IF(J615="v3.1",M615,IF(J615="Both",L615,IF(AND(L615&lt;&gt;"",M615=""),L615,M615))))</f>
        <v/>
      </c>
      <c r="Z615">
        <f>MIN(100,
(K615*5) +
(U615*10) +
IF(P615="Y",40,0) +
IF(Q615="P",30,0) +
IF(V615="Y",25,0) +
IF(W615="Y",20,0) +
IF(X615="Weaponized",15,IF(X615="PoC Available",10,IF(X615="Public Exploit",5,0))) +
IF(G615="Production",10,IF(G615="DMZ",8,IF(G615="DR/Backup",5,0))) +
IF(Y615="N",10,0)
)</f>
        <v/>
      </c>
      <c r="AA615">
        <f>IF(OR(P615="Y",AND(K615&gt;=9.0,W615="Y")),"P0",IF(Z615&gt;=80,"P0",IF(Z615&gt;=60,"P1",IF(Z615&gt;=40,"P2",IF(Z615&gt;=20,"P3","P4")))))</f>
        <v/>
      </c>
      <c r="AD615">
        <f>IF(AB615&lt;&gt;"",AB615,AA615)</f>
        <v/>
      </c>
      <c r="AE615">
        <f>VLOOKUP(AD615,SLA_Definitions!$A$2:$B$6,2,FALSE)</f>
        <v/>
      </c>
      <c r="AF615">
        <f>IF(B615&lt;&gt;"",WORKDAY(B615,AE615),"")</f>
        <v/>
      </c>
      <c r="AG615">
        <f>IF(AF615&lt;&gt;"",NETWORKDAYS(TODAY(),AF615),"")</f>
        <v/>
      </c>
      <c r="AH615">
        <f>IF(AJ615="Complete","Complete",IF(AG615&lt;0,"Overdue",IF(AG615&lt;=AE615*0.2,"At Risk","On Track")))</f>
        <v/>
      </c>
      <c r="AK615">
        <f>IF(OR(AH615="Overdue",AND(AD615="P0",AG615&lt;1),AND(AD615="P1",AG615&lt;3)),"Y","N")</f>
        <v/>
      </c>
    </row>
    <row r="616">
      <c r="K616">
        <f>IF(J616="v4.0",L616,IF(J616="v3.1",M616,IF(J616="Both",L616,IF(AND(L616&lt;&gt;"",M616=""),L616,M616))))</f>
        <v/>
      </c>
      <c r="Z616">
        <f>MIN(100,
(K616*5) +
(U616*10) +
IF(P616="Y",40,0) +
IF(Q616="P",30,0) +
IF(V616="Y",25,0) +
IF(W616="Y",20,0) +
IF(X616="Weaponized",15,IF(X616="PoC Available",10,IF(X616="Public Exploit",5,0))) +
IF(G616="Production",10,IF(G616="DMZ",8,IF(G616="DR/Backup",5,0))) +
IF(Y616="N",10,0)
)</f>
        <v/>
      </c>
      <c r="AA616">
        <f>IF(OR(P616="Y",AND(K616&gt;=9.0,W616="Y")),"P0",IF(Z616&gt;=80,"P0",IF(Z616&gt;=60,"P1",IF(Z616&gt;=40,"P2",IF(Z616&gt;=20,"P3","P4")))))</f>
        <v/>
      </c>
      <c r="AD616">
        <f>IF(AB616&lt;&gt;"",AB616,AA616)</f>
        <v/>
      </c>
      <c r="AE616">
        <f>VLOOKUP(AD616,SLA_Definitions!$A$2:$B$6,2,FALSE)</f>
        <v/>
      </c>
      <c r="AF616">
        <f>IF(B616&lt;&gt;"",WORKDAY(B616,AE616),"")</f>
        <v/>
      </c>
      <c r="AG616">
        <f>IF(AF616&lt;&gt;"",NETWORKDAYS(TODAY(),AF616),"")</f>
        <v/>
      </c>
      <c r="AH616">
        <f>IF(AJ616="Complete","Complete",IF(AG616&lt;0,"Overdue",IF(AG616&lt;=AE616*0.2,"At Risk","On Track")))</f>
        <v/>
      </c>
      <c r="AK616">
        <f>IF(OR(AH616="Overdue",AND(AD616="P0",AG616&lt;1),AND(AD616="P1",AG616&lt;3)),"Y","N")</f>
        <v/>
      </c>
    </row>
    <row r="617">
      <c r="K617">
        <f>IF(J617="v4.0",L617,IF(J617="v3.1",M617,IF(J617="Both",L617,IF(AND(L617&lt;&gt;"",M617=""),L617,M617))))</f>
        <v/>
      </c>
      <c r="Z617">
        <f>MIN(100,
(K617*5) +
(U617*10) +
IF(P617="Y",40,0) +
IF(Q617="P",30,0) +
IF(V617="Y",25,0) +
IF(W617="Y",20,0) +
IF(X617="Weaponized",15,IF(X617="PoC Available",10,IF(X617="Public Exploit",5,0))) +
IF(G617="Production",10,IF(G617="DMZ",8,IF(G617="DR/Backup",5,0))) +
IF(Y617="N",10,0)
)</f>
        <v/>
      </c>
      <c r="AA617">
        <f>IF(OR(P617="Y",AND(K617&gt;=9.0,W617="Y")),"P0",IF(Z617&gt;=80,"P0",IF(Z617&gt;=60,"P1",IF(Z617&gt;=40,"P2",IF(Z617&gt;=20,"P3","P4")))))</f>
        <v/>
      </c>
      <c r="AD617">
        <f>IF(AB617&lt;&gt;"",AB617,AA617)</f>
        <v/>
      </c>
      <c r="AE617">
        <f>VLOOKUP(AD617,SLA_Definitions!$A$2:$B$6,2,FALSE)</f>
        <v/>
      </c>
      <c r="AF617">
        <f>IF(B617&lt;&gt;"",WORKDAY(B617,AE617),"")</f>
        <v/>
      </c>
      <c r="AG617">
        <f>IF(AF617&lt;&gt;"",NETWORKDAYS(TODAY(),AF617),"")</f>
        <v/>
      </c>
      <c r="AH617">
        <f>IF(AJ617="Complete","Complete",IF(AG617&lt;0,"Overdue",IF(AG617&lt;=AE617*0.2,"At Risk","On Track")))</f>
        <v/>
      </c>
      <c r="AK617">
        <f>IF(OR(AH617="Overdue",AND(AD617="P0",AG617&lt;1),AND(AD617="P1",AG617&lt;3)),"Y","N")</f>
        <v/>
      </c>
    </row>
    <row r="618">
      <c r="K618">
        <f>IF(J618="v4.0",L618,IF(J618="v3.1",M618,IF(J618="Both",L618,IF(AND(L618&lt;&gt;"",M618=""),L618,M618))))</f>
        <v/>
      </c>
      <c r="Z618">
        <f>MIN(100,
(K618*5) +
(U618*10) +
IF(P618="Y",40,0) +
IF(Q618="P",30,0) +
IF(V618="Y",25,0) +
IF(W618="Y",20,0) +
IF(X618="Weaponized",15,IF(X618="PoC Available",10,IF(X618="Public Exploit",5,0))) +
IF(G618="Production",10,IF(G618="DMZ",8,IF(G618="DR/Backup",5,0))) +
IF(Y618="N",10,0)
)</f>
        <v/>
      </c>
      <c r="AA618">
        <f>IF(OR(P618="Y",AND(K618&gt;=9.0,W618="Y")),"P0",IF(Z618&gt;=80,"P0",IF(Z618&gt;=60,"P1",IF(Z618&gt;=40,"P2",IF(Z618&gt;=20,"P3","P4")))))</f>
        <v/>
      </c>
      <c r="AD618">
        <f>IF(AB618&lt;&gt;"",AB618,AA618)</f>
        <v/>
      </c>
      <c r="AE618">
        <f>VLOOKUP(AD618,SLA_Definitions!$A$2:$B$6,2,FALSE)</f>
        <v/>
      </c>
      <c r="AF618">
        <f>IF(B618&lt;&gt;"",WORKDAY(B618,AE618),"")</f>
        <v/>
      </c>
      <c r="AG618">
        <f>IF(AF618&lt;&gt;"",NETWORKDAYS(TODAY(),AF618),"")</f>
        <v/>
      </c>
      <c r="AH618">
        <f>IF(AJ618="Complete","Complete",IF(AG618&lt;0,"Overdue",IF(AG618&lt;=AE618*0.2,"At Risk","On Track")))</f>
        <v/>
      </c>
      <c r="AK618">
        <f>IF(OR(AH618="Overdue",AND(AD618="P0",AG618&lt;1),AND(AD618="P1",AG618&lt;3)),"Y","N")</f>
        <v/>
      </c>
    </row>
    <row r="619">
      <c r="K619">
        <f>IF(J619="v4.0",L619,IF(J619="v3.1",M619,IF(J619="Both",L619,IF(AND(L619&lt;&gt;"",M619=""),L619,M619))))</f>
        <v/>
      </c>
      <c r="Z619">
        <f>MIN(100,
(K619*5) +
(U619*10) +
IF(P619="Y",40,0) +
IF(Q619="P",30,0) +
IF(V619="Y",25,0) +
IF(W619="Y",20,0) +
IF(X619="Weaponized",15,IF(X619="PoC Available",10,IF(X619="Public Exploit",5,0))) +
IF(G619="Production",10,IF(G619="DMZ",8,IF(G619="DR/Backup",5,0))) +
IF(Y619="N",10,0)
)</f>
        <v/>
      </c>
      <c r="AA619">
        <f>IF(OR(P619="Y",AND(K619&gt;=9.0,W619="Y")),"P0",IF(Z619&gt;=80,"P0",IF(Z619&gt;=60,"P1",IF(Z619&gt;=40,"P2",IF(Z619&gt;=20,"P3","P4")))))</f>
        <v/>
      </c>
      <c r="AD619">
        <f>IF(AB619&lt;&gt;"",AB619,AA619)</f>
        <v/>
      </c>
      <c r="AE619">
        <f>VLOOKUP(AD619,SLA_Definitions!$A$2:$B$6,2,FALSE)</f>
        <v/>
      </c>
      <c r="AF619">
        <f>IF(B619&lt;&gt;"",WORKDAY(B619,AE619),"")</f>
        <v/>
      </c>
      <c r="AG619">
        <f>IF(AF619&lt;&gt;"",NETWORKDAYS(TODAY(),AF619),"")</f>
        <v/>
      </c>
      <c r="AH619">
        <f>IF(AJ619="Complete","Complete",IF(AG619&lt;0,"Overdue",IF(AG619&lt;=AE619*0.2,"At Risk","On Track")))</f>
        <v/>
      </c>
      <c r="AK619">
        <f>IF(OR(AH619="Overdue",AND(AD619="P0",AG619&lt;1),AND(AD619="P1",AG619&lt;3)),"Y","N")</f>
        <v/>
      </c>
    </row>
    <row r="620">
      <c r="K620">
        <f>IF(J620="v4.0",L620,IF(J620="v3.1",M620,IF(J620="Both",L620,IF(AND(L620&lt;&gt;"",M620=""),L620,M620))))</f>
        <v/>
      </c>
      <c r="Z620">
        <f>MIN(100,
(K620*5) +
(U620*10) +
IF(P620="Y",40,0) +
IF(Q620="P",30,0) +
IF(V620="Y",25,0) +
IF(W620="Y",20,0) +
IF(X620="Weaponized",15,IF(X620="PoC Available",10,IF(X620="Public Exploit",5,0))) +
IF(G620="Production",10,IF(G620="DMZ",8,IF(G620="DR/Backup",5,0))) +
IF(Y620="N",10,0)
)</f>
        <v/>
      </c>
      <c r="AA620">
        <f>IF(OR(P620="Y",AND(K620&gt;=9.0,W620="Y")),"P0",IF(Z620&gt;=80,"P0",IF(Z620&gt;=60,"P1",IF(Z620&gt;=40,"P2",IF(Z620&gt;=20,"P3","P4")))))</f>
        <v/>
      </c>
      <c r="AD620">
        <f>IF(AB620&lt;&gt;"",AB620,AA620)</f>
        <v/>
      </c>
      <c r="AE620">
        <f>VLOOKUP(AD620,SLA_Definitions!$A$2:$B$6,2,FALSE)</f>
        <v/>
      </c>
      <c r="AF620">
        <f>IF(B620&lt;&gt;"",WORKDAY(B620,AE620),"")</f>
        <v/>
      </c>
      <c r="AG620">
        <f>IF(AF620&lt;&gt;"",NETWORKDAYS(TODAY(),AF620),"")</f>
        <v/>
      </c>
      <c r="AH620">
        <f>IF(AJ620="Complete","Complete",IF(AG620&lt;0,"Overdue",IF(AG620&lt;=AE620*0.2,"At Risk","On Track")))</f>
        <v/>
      </c>
      <c r="AK620">
        <f>IF(OR(AH620="Overdue",AND(AD620="P0",AG620&lt;1),AND(AD620="P1",AG620&lt;3)),"Y","N")</f>
        <v/>
      </c>
    </row>
    <row r="621">
      <c r="K621">
        <f>IF(J621="v4.0",L621,IF(J621="v3.1",M621,IF(J621="Both",L621,IF(AND(L621&lt;&gt;"",M621=""),L621,M621))))</f>
        <v/>
      </c>
      <c r="Z621">
        <f>MIN(100,
(K621*5) +
(U621*10) +
IF(P621="Y",40,0) +
IF(Q621="P",30,0) +
IF(V621="Y",25,0) +
IF(W621="Y",20,0) +
IF(X621="Weaponized",15,IF(X621="PoC Available",10,IF(X621="Public Exploit",5,0))) +
IF(G621="Production",10,IF(G621="DMZ",8,IF(G621="DR/Backup",5,0))) +
IF(Y621="N",10,0)
)</f>
        <v/>
      </c>
      <c r="AA621">
        <f>IF(OR(P621="Y",AND(K621&gt;=9.0,W621="Y")),"P0",IF(Z621&gt;=80,"P0",IF(Z621&gt;=60,"P1",IF(Z621&gt;=40,"P2",IF(Z621&gt;=20,"P3","P4")))))</f>
        <v/>
      </c>
      <c r="AD621">
        <f>IF(AB621&lt;&gt;"",AB621,AA621)</f>
        <v/>
      </c>
      <c r="AE621">
        <f>VLOOKUP(AD621,SLA_Definitions!$A$2:$B$6,2,FALSE)</f>
        <v/>
      </c>
      <c r="AF621">
        <f>IF(B621&lt;&gt;"",WORKDAY(B621,AE621),"")</f>
        <v/>
      </c>
      <c r="AG621">
        <f>IF(AF621&lt;&gt;"",NETWORKDAYS(TODAY(),AF621),"")</f>
        <v/>
      </c>
      <c r="AH621">
        <f>IF(AJ621="Complete","Complete",IF(AG621&lt;0,"Overdue",IF(AG621&lt;=AE621*0.2,"At Risk","On Track")))</f>
        <v/>
      </c>
      <c r="AK621">
        <f>IF(OR(AH621="Overdue",AND(AD621="P0",AG621&lt;1),AND(AD621="P1",AG621&lt;3)),"Y","N")</f>
        <v/>
      </c>
    </row>
    <row r="622">
      <c r="K622">
        <f>IF(J622="v4.0",L622,IF(J622="v3.1",M622,IF(J622="Both",L622,IF(AND(L622&lt;&gt;"",M622=""),L622,M622))))</f>
        <v/>
      </c>
      <c r="Z622">
        <f>MIN(100,
(K622*5) +
(U622*10) +
IF(P622="Y",40,0) +
IF(Q622="P",30,0) +
IF(V622="Y",25,0) +
IF(W622="Y",20,0) +
IF(X622="Weaponized",15,IF(X622="PoC Available",10,IF(X622="Public Exploit",5,0))) +
IF(G622="Production",10,IF(G622="DMZ",8,IF(G622="DR/Backup",5,0))) +
IF(Y622="N",10,0)
)</f>
        <v/>
      </c>
      <c r="AA622">
        <f>IF(OR(P622="Y",AND(K622&gt;=9.0,W622="Y")),"P0",IF(Z622&gt;=80,"P0",IF(Z622&gt;=60,"P1",IF(Z622&gt;=40,"P2",IF(Z622&gt;=20,"P3","P4")))))</f>
        <v/>
      </c>
      <c r="AD622">
        <f>IF(AB622&lt;&gt;"",AB622,AA622)</f>
        <v/>
      </c>
      <c r="AE622">
        <f>VLOOKUP(AD622,SLA_Definitions!$A$2:$B$6,2,FALSE)</f>
        <v/>
      </c>
      <c r="AF622">
        <f>IF(B622&lt;&gt;"",WORKDAY(B622,AE622),"")</f>
        <v/>
      </c>
      <c r="AG622">
        <f>IF(AF622&lt;&gt;"",NETWORKDAYS(TODAY(),AF622),"")</f>
        <v/>
      </c>
      <c r="AH622">
        <f>IF(AJ622="Complete","Complete",IF(AG622&lt;0,"Overdue",IF(AG622&lt;=AE622*0.2,"At Risk","On Track")))</f>
        <v/>
      </c>
      <c r="AK622">
        <f>IF(OR(AH622="Overdue",AND(AD622="P0",AG622&lt;1),AND(AD622="P1",AG622&lt;3)),"Y","N")</f>
        <v/>
      </c>
    </row>
    <row r="623">
      <c r="K623">
        <f>IF(J623="v4.0",L623,IF(J623="v3.1",M623,IF(J623="Both",L623,IF(AND(L623&lt;&gt;"",M623=""),L623,M623))))</f>
        <v/>
      </c>
      <c r="Z623">
        <f>MIN(100,
(K623*5) +
(U623*10) +
IF(P623="Y",40,0) +
IF(Q623="P",30,0) +
IF(V623="Y",25,0) +
IF(W623="Y",20,0) +
IF(X623="Weaponized",15,IF(X623="PoC Available",10,IF(X623="Public Exploit",5,0))) +
IF(G623="Production",10,IF(G623="DMZ",8,IF(G623="DR/Backup",5,0))) +
IF(Y623="N",10,0)
)</f>
        <v/>
      </c>
      <c r="AA623">
        <f>IF(OR(P623="Y",AND(K623&gt;=9.0,W623="Y")),"P0",IF(Z623&gt;=80,"P0",IF(Z623&gt;=60,"P1",IF(Z623&gt;=40,"P2",IF(Z623&gt;=20,"P3","P4")))))</f>
        <v/>
      </c>
      <c r="AD623">
        <f>IF(AB623&lt;&gt;"",AB623,AA623)</f>
        <v/>
      </c>
      <c r="AE623">
        <f>VLOOKUP(AD623,SLA_Definitions!$A$2:$B$6,2,FALSE)</f>
        <v/>
      </c>
      <c r="AF623">
        <f>IF(B623&lt;&gt;"",WORKDAY(B623,AE623),"")</f>
        <v/>
      </c>
      <c r="AG623">
        <f>IF(AF623&lt;&gt;"",NETWORKDAYS(TODAY(),AF623),"")</f>
        <v/>
      </c>
      <c r="AH623">
        <f>IF(AJ623="Complete","Complete",IF(AG623&lt;0,"Overdue",IF(AG623&lt;=AE623*0.2,"At Risk","On Track")))</f>
        <v/>
      </c>
      <c r="AK623">
        <f>IF(OR(AH623="Overdue",AND(AD623="P0",AG623&lt;1),AND(AD623="P1",AG623&lt;3)),"Y","N")</f>
        <v/>
      </c>
    </row>
    <row r="624">
      <c r="K624">
        <f>IF(J624="v4.0",L624,IF(J624="v3.1",M624,IF(J624="Both",L624,IF(AND(L624&lt;&gt;"",M624=""),L624,M624))))</f>
        <v/>
      </c>
      <c r="Z624">
        <f>MIN(100,
(K624*5) +
(U624*10) +
IF(P624="Y",40,0) +
IF(Q624="P",30,0) +
IF(V624="Y",25,0) +
IF(W624="Y",20,0) +
IF(X624="Weaponized",15,IF(X624="PoC Available",10,IF(X624="Public Exploit",5,0))) +
IF(G624="Production",10,IF(G624="DMZ",8,IF(G624="DR/Backup",5,0))) +
IF(Y624="N",10,0)
)</f>
        <v/>
      </c>
      <c r="AA624">
        <f>IF(OR(P624="Y",AND(K624&gt;=9.0,W624="Y")),"P0",IF(Z624&gt;=80,"P0",IF(Z624&gt;=60,"P1",IF(Z624&gt;=40,"P2",IF(Z624&gt;=20,"P3","P4")))))</f>
        <v/>
      </c>
      <c r="AD624">
        <f>IF(AB624&lt;&gt;"",AB624,AA624)</f>
        <v/>
      </c>
      <c r="AE624">
        <f>VLOOKUP(AD624,SLA_Definitions!$A$2:$B$6,2,FALSE)</f>
        <v/>
      </c>
      <c r="AF624">
        <f>IF(B624&lt;&gt;"",WORKDAY(B624,AE624),"")</f>
        <v/>
      </c>
      <c r="AG624">
        <f>IF(AF624&lt;&gt;"",NETWORKDAYS(TODAY(),AF624),"")</f>
        <v/>
      </c>
      <c r="AH624">
        <f>IF(AJ624="Complete","Complete",IF(AG624&lt;0,"Overdue",IF(AG624&lt;=AE624*0.2,"At Risk","On Track")))</f>
        <v/>
      </c>
      <c r="AK624">
        <f>IF(OR(AH624="Overdue",AND(AD624="P0",AG624&lt;1),AND(AD624="P1",AG624&lt;3)),"Y","N")</f>
        <v/>
      </c>
    </row>
    <row r="625">
      <c r="K625">
        <f>IF(J625="v4.0",L625,IF(J625="v3.1",M625,IF(J625="Both",L625,IF(AND(L625&lt;&gt;"",M625=""),L625,M625))))</f>
        <v/>
      </c>
      <c r="Z625">
        <f>MIN(100,
(K625*5) +
(U625*10) +
IF(P625="Y",40,0) +
IF(Q625="P",30,0) +
IF(V625="Y",25,0) +
IF(W625="Y",20,0) +
IF(X625="Weaponized",15,IF(X625="PoC Available",10,IF(X625="Public Exploit",5,0))) +
IF(G625="Production",10,IF(G625="DMZ",8,IF(G625="DR/Backup",5,0))) +
IF(Y625="N",10,0)
)</f>
        <v/>
      </c>
      <c r="AA625">
        <f>IF(OR(P625="Y",AND(K625&gt;=9.0,W625="Y")),"P0",IF(Z625&gt;=80,"P0",IF(Z625&gt;=60,"P1",IF(Z625&gt;=40,"P2",IF(Z625&gt;=20,"P3","P4")))))</f>
        <v/>
      </c>
      <c r="AD625">
        <f>IF(AB625&lt;&gt;"",AB625,AA625)</f>
        <v/>
      </c>
      <c r="AE625">
        <f>VLOOKUP(AD625,SLA_Definitions!$A$2:$B$6,2,FALSE)</f>
        <v/>
      </c>
      <c r="AF625">
        <f>IF(B625&lt;&gt;"",WORKDAY(B625,AE625),"")</f>
        <v/>
      </c>
      <c r="AG625">
        <f>IF(AF625&lt;&gt;"",NETWORKDAYS(TODAY(),AF625),"")</f>
        <v/>
      </c>
      <c r="AH625">
        <f>IF(AJ625="Complete","Complete",IF(AG625&lt;0,"Overdue",IF(AG625&lt;=AE625*0.2,"At Risk","On Track")))</f>
        <v/>
      </c>
      <c r="AK625">
        <f>IF(OR(AH625="Overdue",AND(AD625="P0",AG625&lt;1),AND(AD625="P1",AG625&lt;3)),"Y","N")</f>
        <v/>
      </c>
    </row>
    <row r="626">
      <c r="K626">
        <f>IF(J626="v4.0",L626,IF(J626="v3.1",M626,IF(J626="Both",L626,IF(AND(L626&lt;&gt;"",M626=""),L626,M626))))</f>
        <v/>
      </c>
      <c r="Z626">
        <f>MIN(100,
(K626*5) +
(U626*10) +
IF(P626="Y",40,0) +
IF(Q626="P",30,0) +
IF(V626="Y",25,0) +
IF(W626="Y",20,0) +
IF(X626="Weaponized",15,IF(X626="PoC Available",10,IF(X626="Public Exploit",5,0))) +
IF(G626="Production",10,IF(G626="DMZ",8,IF(G626="DR/Backup",5,0))) +
IF(Y626="N",10,0)
)</f>
        <v/>
      </c>
      <c r="AA626">
        <f>IF(OR(P626="Y",AND(K626&gt;=9.0,W626="Y")),"P0",IF(Z626&gt;=80,"P0",IF(Z626&gt;=60,"P1",IF(Z626&gt;=40,"P2",IF(Z626&gt;=20,"P3","P4")))))</f>
        <v/>
      </c>
      <c r="AD626">
        <f>IF(AB626&lt;&gt;"",AB626,AA626)</f>
        <v/>
      </c>
      <c r="AE626">
        <f>VLOOKUP(AD626,SLA_Definitions!$A$2:$B$6,2,FALSE)</f>
        <v/>
      </c>
      <c r="AF626">
        <f>IF(B626&lt;&gt;"",WORKDAY(B626,AE626),"")</f>
        <v/>
      </c>
      <c r="AG626">
        <f>IF(AF626&lt;&gt;"",NETWORKDAYS(TODAY(),AF626),"")</f>
        <v/>
      </c>
      <c r="AH626">
        <f>IF(AJ626="Complete","Complete",IF(AG626&lt;0,"Overdue",IF(AG626&lt;=AE626*0.2,"At Risk","On Track")))</f>
        <v/>
      </c>
      <c r="AK626">
        <f>IF(OR(AH626="Overdue",AND(AD626="P0",AG626&lt;1),AND(AD626="P1",AG626&lt;3)),"Y","N")</f>
        <v/>
      </c>
    </row>
    <row r="627">
      <c r="K627">
        <f>IF(J627="v4.0",L627,IF(J627="v3.1",M627,IF(J627="Both",L627,IF(AND(L627&lt;&gt;"",M627=""),L627,M627))))</f>
        <v/>
      </c>
      <c r="Z627">
        <f>MIN(100,
(K627*5) +
(U627*10) +
IF(P627="Y",40,0) +
IF(Q627="P",30,0) +
IF(V627="Y",25,0) +
IF(W627="Y",20,0) +
IF(X627="Weaponized",15,IF(X627="PoC Available",10,IF(X627="Public Exploit",5,0))) +
IF(G627="Production",10,IF(G627="DMZ",8,IF(G627="DR/Backup",5,0))) +
IF(Y627="N",10,0)
)</f>
        <v/>
      </c>
      <c r="AA627">
        <f>IF(OR(P627="Y",AND(K627&gt;=9.0,W627="Y")),"P0",IF(Z627&gt;=80,"P0",IF(Z627&gt;=60,"P1",IF(Z627&gt;=40,"P2",IF(Z627&gt;=20,"P3","P4")))))</f>
        <v/>
      </c>
      <c r="AD627">
        <f>IF(AB627&lt;&gt;"",AB627,AA627)</f>
        <v/>
      </c>
      <c r="AE627">
        <f>VLOOKUP(AD627,SLA_Definitions!$A$2:$B$6,2,FALSE)</f>
        <v/>
      </c>
      <c r="AF627">
        <f>IF(B627&lt;&gt;"",WORKDAY(B627,AE627),"")</f>
        <v/>
      </c>
      <c r="AG627">
        <f>IF(AF627&lt;&gt;"",NETWORKDAYS(TODAY(),AF627),"")</f>
        <v/>
      </c>
      <c r="AH627">
        <f>IF(AJ627="Complete","Complete",IF(AG627&lt;0,"Overdue",IF(AG627&lt;=AE627*0.2,"At Risk","On Track")))</f>
        <v/>
      </c>
      <c r="AK627">
        <f>IF(OR(AH627="Overdue",AND(AD627="P0",AG627&lt;1),AND(AD627="P1",AG627&lt;3)),"Y","N")</f>
        <v/>
      </c>
    </row>
    <row r="628">
      <c r="K628">
        <f>IF(J628="v4.0",L628,IF(J628="v3.1",M628,IF(J628="Both",L628,IF(AND(L628&lt;&gt;"",M628=""),L628,M628))))</f>
        <v/>
      </c>
      <c r="Z628">
        <f>MIN(100,
(K628*5) +
(U628*10) +
IF(P628="Y",40,0) +
IF(Q628="P",30,0) +
IF(V628="Y",25,0) +
IF(W628="Y",20,0) +
IF(X628="Weaponized",15,IF(X628="PoC Available",10,IF(X628="Public Exploit",5,0))) +
IF(G628="Production",10,IF(G628="DMZ",8,IF(G628="DR/Backup",5,0))) +
IF(Y628="N",10,0)
)</f>
        <v/>
      </c>
      <c r="AA628">
        <f>IF(OR(P628="Y",AND(K628&gt;=9.0,W628="Y")),"P0",IF(Z628&gt;=80,"P0",IF(Z628&gt;=60,"P1",IF(Z628&gt;=40,"P2",IF(Z628&gt;=20,"P3","P4")))))</f>
        <v/>
      </c>
      <c r="AD628">
        <f>IF(AB628&lt;&gt;"",AB628,AA628)</f>
        <v/>
      </c>
      <c r="AE628">
        <f>VLOOKUP(AD628,SLA_Definitions!$A$2:$B$6,2,FALSE)</f>
        <v/>
      </c>
      <c r="AF628">
        <f>IF(B628&lt;&gt;"",WORKDAY(B628,AE628),"")</f>
        <v/>
      </c>
      <c r="AG628">
        <f>IF(AF628&lt;&gt;"",NETWORKDAYS(TODAY(),AF628),"")</f>
        <v/>
      </c>
      <c r="AH628">
        <f>IF(AJ628="Complete","Complete",IF(AG628&lt;0,"Overdue",IF(AG628&lt;=AE628*0.2,"At Risk","On Track")))</f>
        <v/>
      </c>
      <c r="AK628">
        <f>IF(OR(AH628="Overdue",AND(AD628="P0",AG628&lt;1),AND(AD628="P1",AG628&lt;3)),"Y","N")</f>
        <v/>
      </c>
    </row>
    <row r="629">
      <c r="K629">
        <f>IF(J629="v4.0",L629,IF(J629="v3.1",M629,IF(J629="Both",L629,IF(AND(L629&lt;&gt;"",M629=""),L629,M629))))</f>
        <v/>
      </c>
      <c r="Z629">
        <f>MIN(100,
(K629*5) +
(U629*10) +
IF(P629="Y",40,0) +
IF(Q629="P",30,0) +
IF(V629="Y",25,0) +
IF(W629="Y",20,0) +
IF(X629="Weaponized",15,IF(X629="PoC Available",10,IF(X629="Public Exploit",5,0))) +
IF(G629="Production",10,IF(G629="DMZ",8,IF(G629="DR/Backup",5,0))) +
IF(Y629="N",10,0)
)</f>
        <v/>
      </c>
      <c r="AA629">
        <f>IF(OR(P629="Y",AND(K629&gt;=9.0,W629="Y")),"P0",IF(Z629&gt;=80,"P0",IF(Z629&gt;=60,"P1",IF(Z629&gt;=40,"P2",IF(Z629&gt;=20,"P3","P4")))))</f>
        <v/>
      </c>
      <c r="AD629">
        <f>IF(AB629&lt;&gt;"",AB629,AA629)</f>
        <v/>
      </c>
      <c r="AE629">
        <f>VLOOKUP(AD629,SLA_Definitions!$A$2:$B$6,2,FALSE)</f>
        <v/>
      </c>
      <c r="AF629">
        <f>IF(B629&lt;&gt;"",WORKDAY(B629,AE629),"")</f>
        <v/>
      </c>
      <c r="AG629">
        <f>IF(AF629&lt;&gt;"",NETWORKDAYS(TODAY(),AF629),"")</f>
        <v/>
      </c>
      <c r="AH629">
        <f>IF(AJ629="Complete","Complete",IF(AG629&lt;0,"Overdue",IF(AG629&lt;=AE629*0.2,"At Risk","On Track")))</f>
        <v/>
      </c>
      <c r="AK629">
        <f>IF(OR(AH629="Overdue",AND(AD629="P0",AG629&lt;1),AND(AD629="P1",AG629&lt;3)),"Y","N")</f>
        <v/>
      </c>
    </row>
    <row r="630">
      <c r="K630">
        <f>IF(J630="v4.0",L630,IF(J630="v3.1",M630,IF(J630="Both",L630,IF(AND(L630&lt;&gt;"",M630=""),L630,M630))))</f>
        <v/>
      </c>
      <c r="Z630">
        <f>MIN(100,
(K630*5) +
(U630*10) +
IF(P630="Y",40,0) +
IF(Q630="P",30,0) +
IF(V630="Y",25,0) +
IF(W630="Y",20,0) +
IF(X630="Weaponized",15,IF(X630="PoC Available",10,IF(X630="Public Exploit",5,0))) +
IF(G630="Production",10,IF(G630="DMZ",8,IF(G630="DR/Backup",5,0))) +
IF(Y630="N",10,0)
)</f>
        <v/>
      </c>
      <c r="AA630">
        <f>IF(OR(P630="Y",AND(K630&gt;=9.0,W630="Y")),"P0",IF(Z630&gt;=80,"P0",IF(Z630&gt;=60,"P1",IF(Z630&gt;=40,"P2",IF(Z630&gt;=20,"P3","P4")))))</f>
        <v/>
      </c>
      <c r="AD630">
        <f>IF(AB630&lt;&gt;"",AB630,AA630)</f>
        <v/>
      </c>
      <c r="AE630">
        <f>VLOOKUP(AD630,SLA_Definitions!$A$2:$B$6,2,FALSE)</f>
        <v/>
      </c>
      <c r="AF630">
        <f>IF(B630&lt;&gt;"",WORKDAY(B630,AE630),"")</f>
        <v/>
      </c>
      <c r="AG630">
        <f>IF(AF630&lt;&gt;"",NETWORKDAYS(TODAY(),AF630),"")</f>
        <v/>
      </c>
      <c r="AH630">
        <f>IF(AJ630="Complete","Complete",IF(AG630&lt;0,"Overdue",IF(AG630&lt;=AE630*0.2,"At Risk","On Track")))</f>
        <v/>
      </c>
      <c r="AK630">
        <f>IF(OR(AH630="Overdue",AND(AD630="P0",AG630&lt;1),AND(AD630="P1",AG630&lt;3)),"Y","N")</f>
        <v/>
      </c>
    </row>
    <row r="631">
      <c r="K631">
        <f>IF(J631="v4.0",L631,IF(J631="v3.1",M631,IF(J631="Both",L631,IF(AND(L631&lt;&gt;"",M631=""),L631,M631))))</f>
        <v/>
      </c>
      <c r="Z631">
        <f>MIN(100,
(K631*5) +
(U631*10) +
IF(P631="Y",40,0) +
IF(Q631="P",30,0) +
IF(V631="Y",25,0) +
IF(W631="Y",20,0) +
IF(X631="Weaponized",15,IF(X631="PoC Available",10,IF(X631="Public Exploit",5,0))) +
IF(G631="Production",10,IF(G631="DMZ",8,IF(G631="DR/Backup",5,0))) +
IF(Y631="N",10,0)
)</f>
        <v/>
      </c>
      <c r="AA631">
        <f>IF(OR(P631="Y",AND(K631&gt;=9.0,W631="Y")),"P0",IF(Z631&gt;=80,"P0",IF(Z631&gt;=60,"P1",IF(Z631&gt;=40,"P2",IF(Z631&gt;=20,"P3","P4")))))</f>
        <v/>
      </c>
      <c r="AD631">
        <f>IF(AB631&lt;&gt;"",AB631,AA631)</f>
        <v/>
      </c>
      <c r="AE631">
        <f>VLOOKUP(AD631,SLA_Definitions!$A$2:$B$6,2,FALSE)</f>
        <v/>
      </c>
      <c r="AF631">
        <f>IF(B631&lt;&gt;"",WORKDAY(B631,AE631),"")</f>
        <v/>
      </c>
      <c r="AG631">
        <f>IF(AF631&lt;&gt;"",NETWORKDAYS(TODAY(),AF631),"")</f>
        <v/>
      </c>
      <c r="AH631">
        <f>IF(AJ631="Complete","Complete",IF(AG631&lt;0,"Overdue",IF(AG631&lt;=AE631*0.2,"At Risk","On Track")))</f>
        <v/>
      </c>
      <c r="AK631">
        <f>IF(OR(AH631="Overdue",AND(AD631="P0",AG631&lt;1),AND(AD631="P1",AG631&lt;3)),"Y","N")</f>
        <v/>
      </c>
    </row>
    <row r="632">
      <c r="K632">
        <f>IF(J632="v4.0",L632,IF(J632="v3.1",M632,IF(J632="Both",L632,IF(AND(L632&lt;&gt;"",M632=""),L632,M632))))</f>
        <v/>
      </c>
      <c r="Z632">
        <f>MIN(100,
(K632*5) +
(U632*10) +
IF(P632="Y",40,0) +
IF(Q632="P",30,0) +
IF(V632="Y",25,0) +
IF(W632="Y",20,0) +
IF(X632="Weaponized",15,IF(X632="PoC Available",10,IF(X632="Public Exploit",5,0))) +
IF(G632="Production",10,IF(G632="DMZ",8,IF(G632="DR/Backup",5,0))) +
IF(Y632="N",10,0)
)</f>
        <v/>
      </c>
      <c r="AA632">
        <f>IF(OR(P632="Y",AND(K632&gt;=9.0,W632="Y")),"P0",IF(Z632&gt;=80,"P0",IF(Z632&gt;=60,"P1",IF(Z632&gt;=40,"P2",IF(Z632&gt;=20,"P3","P4")))))</f>
        <v/>
      </c>
      <c r="AD632">
        <f>IF(AB632&lt;&gt;"",AB632,AA632)</f>
        <v/>
      </c>
      <c r="AE632">
        <f>VLOOKUP(AD632,SLA_Definitions!$A$2:$B$6,2,FALSE)</f>
        <v/>
      </c>
      <c r="AF632">
        <f>IF(B632&lt;&gt;"",WORKDAY(B632,AE632),"")</f>
        <v/>
      </c>
      <c r="AG632">
        <f>IF(AF632&lt;&gt;"",NETWORKDAYS(TODAY(),AF632),"")</f>
        <v/>
      </c>
      <c r="AH632">
        <f>IF(AJ632="Complete","Complete",IF(AG632&lt;0,"Overdue",IF(AG632&lt;=AE632*0.2,"At Risk","On Track")))</f>
        <v/>
      </c>
      <c r="AK632">
        <f>IF(OR(AH632="Overdue",AND(AD632="P0",AG632&lt;1),AND(AD632="P1",AG632&lt;3)),"Y","N")</f>
        <v/>
      </c>
    </row>
    <row r="633">
      <c r="K633">
        <f>IF(J633="v4.0",L633,IF(J633="v3.1",M633,IF(J633="Both",L633,IF(AND(L633&lt;&gt;"",M633=""),L633,M633))))</f>
        <v/>
      </c>
      <c r="Z633">
        <f>MIN(100,
(K633*5) +
(U633*10) +
IF(P633="Y",40,0) +
IF(Q633="P",30,0) +
IF(V633="Y",25,0) +
IF(W633="Y",20,0) +
IF(X633="Weaponized",15,IF(X633="PoC Available",10,IF(X633="Public Exploit",5,0))) +
IF(G633="Production",10,IF(G633="DMZ",8,IF(G633="DR/Backup",5,0))) +
IF(Y633="N",10,0)
)</f>
        <v/>
      </c>
      <c r="AA633">
        <f>IF(OR(P633="Y",AND(K633&gt;=9.0,W633="Y")),"P0",IF(Z633&gt;=80,"P0",IF(Z633&gt;=60,"P1",IF(Z633&gt;=40,"P2",IF(Z633&gt;=20,"P3","P4")))))</f>
        <v/>
      </c>
      <c r="AD633">
        <f>IF(AB633&lt;&gt;"",AB633,AA633)</f>
        <v/>
      </c>
      <c r="AE633">
        <f>VLOOKUP(AD633,SLA_Definitions!$A$2:$B$6,2,FALSE)</f>
        <v/>
      </c>
      <c r="AF633">
        <f>IF(B633&lt;&gt;"",WORKDAY(B633,AE633),"")</f>
        <v/>
      </c>
      <c r="AG633">
        <f>IF(AF633&lt;&gt;"",NETWORKDAYS(TODAY(),AF633),"")</f>
        <v/>
      </c>
      <c r="AH633">
        <f>IF(AJ633="Complete","Complete",IF(AG633&lt;0,"Overdue",IF(AG633&lt;=AE633*0.2,"At Risk","On Track")))</f>
        <v/>
      </c>
      <c r="AK633">
        <f>IF(OR(AH633="Overdue",AND(AD633="P0",AG633&lt;1),AND(AD633="P1",AG633&lt;3)),"Y","N")</f>
        <v/>
      </c>
    </row>
    <row r="634">
      <c r="K634">
        <f>IF(J634="v4.0",L634,IF(J634="v3.1",M634,IF(J634="Both",L634,IF(AND(L634&lt;&gt;"",M634=""),L634,M634))))</f>
        <v/>
      </c>
      <c r="Z634">
        <f>MIN(100,
(K634*5) +
(U634*10) +
IF(P634="Y",40,0) +
IF(Q634="P",30,0) +
IF(V634="Y",25,0) +
IF(W634="Y",20,0) +
IF(X634="Weaponized",15,IF(X634="PoC Available",10,IF(X634="Public Exploit",5,0))) +
IF(G634="Production",10,IF(G634="DMZ",8,IF(G634="DR/Backup",5,0))) +
IF(Y634="N",10,0)
)</f>
        <v/>
      </c>
      <c r="AA634">
        <f>IF(OR(P634="Y",AND(K634&gt;=9.0,W634="Y")),"P0",IF(Z634&gt;=80,"P0",IF(Z634&gt;=60,"P1",IF(Z634&gt;=40,"P2",IF(Z634&gt;=20,"P3","P4")))))</f>
        <v/>
      </c>
      <c r="AD634">
        <f>IF(AB634&lt;&gt;"",AB634,AA634)</f>
        <v/>
      </c>
      <c r="AE634">
        <f>VLOOKUP(AD634,SLA_Definitions!$A$2:$B$6,2,FALSE)</f>
        <v/>
      </c>
      <c r="AF634">
        <f>IF(B634&lt;&gt;"",WORKDAY(B634,AE634),"")</f>
        <v/>
      </c>
      <c r="AG634">
        <f>IF(AF634&lt;&gt;"",NETWORKDAYS(TODAY(),AF634),"")</f>
        <v/>
      </c>
      <c r="AH634">
        <f>IF(AJ634="Complete","Complete",IF(AG634&lt;0,"Overdue",IF(AG634&lt;=AE634*0.2,"At Risk","On Track")))</f>
        <v/>
      </c>
      <c r="AK634">
        <f>IF(OR(AH634="Overdue",AND(AD634="P0",AG634&lt;1),AND(AD634="P1",AG634&lt;3)),"Y","N")</f>
        <v/>
      </c>
    </row>
    <row r="635">
      <c r="K635">
        <f>IF(J635="v4.0",L635,IF(J635="v3.1",M635,IF(J635="Both",L635,IF(AND(L635&lt;&gt;"",M635=""),L635,M635))))</f>
        <v/>
      </c>
      <c r="Z635">
        <f>MIN(100,
(K635*5) +
(U635*10) +
IF(P635="Y",40,0) +
IF(Q635="P",30,0) +
IF(V635="Y",25,0) +
IF(W635="Y",20,0) +
IF(X635="Weaponized",15,IF(X635="PoC Available",10,IF(X635="Public Exploit",5,0))) +
IF(G635="Production",10,IF(G635="DMZ",8,IF(G635="DR/Backup",5,0))) +
IF(Y635="N",10,0)
)</f>
        <v/>
      </c>
      <c r="AA635">
        <f>IF(OR(P635="Y",AND(K635&gt;=9.0,W635="Y")),"P0",IF(Z635&gt;=80,"P0",IF(Z635&gt;=60,"P1",IF(Z635&gt;=40,"P2",IF(Z635&gt;=20,"P3","P4")))))</f>
        <v/>
      </c>
      <c r="AD635">
        <f>IF(AB635&lt;&gt;"",AB635,AA635)</f>
        <v/>
      </c>
      <c r="AE635">
        <f>VLOOKUP(AD635,SLA_Definitions!$A$2:$B$6,2,FALSE)</f>
        <v/>
      </c>
      <c r="AF635">
        <f>IF(B635&lt;&gt;"",WORKDAY(B635,AE635),"")</f>
        <v/>
      </c>
      <c r="AG635">
        <f>IF(AF635&lt;&gt;"",NETWORKDAYS(TODAY(),AF635),"")</f>
        <v/>
      </c>
      <c r="AH635">
        <f>IF(AJ635="Complete","Complete",IF(AG635&lt;0,"Overdue",IF(AG635&lt;=AE635*0.2,"At Risk","On Track")))</f>
        <v/>
      </c>
      <c r="AK635">
        <f>IF(OR(AH635="Overdue",AND(AD635="P0",AG635&lt;1),AND(AD635="P1",AG635&lt;3)),"Y","N")</f>
        <v/>
      </c>
    </row>
    <row r="636">
      <c r="K636">
        <f>IF(J636="v4.0",L636,IF(J636="v3.1",M636,IF(J636="Both",L636,IF(AND(L636&lt;&gt;"",M636=""),L636,M636))))</f>
        <v/>
      </c>
      <c r="Z636">
        <f>MIN(100,
(K636*5) +
(U636*10) +
IF(P636="Y",40,0) +
IF(Q636="P",30,0) +
IF(V636="Y",25,0) +
IF(W636="Y",20,0) +
IF(X636="Weaponized",15,IF(X636="PoC Available",10,IF(X636="Public Exploit",5,0))) +
IF(G636="Production",10,IF(G636="DMZ",8,IF(G636="DR/Backup",5,0))) +
IF(Y636="N",10,0)
)</f>
        <v/>
      </c>
      <c r="AA636">
        <f>IF(OR(P636="Y",AND(K636&gt;=9.0,W636="Y")),"P0",IF(Z636&gt;=80,"P0",IF(Z636&gt;=60,"P1",IF(Z636&gt;=40,"P2",IF(Z636&gt;=20,"P3","P4")))))</f>
        <v/>
      </c>
      <c r="AD636">
        <f>IF(AB636&lt;&gt;"",AB636,AA636)</f>
        <v/>
      </c>
      <c r="AE636">
        <f>VLOOKUP(AD636,SLA_Definitions!$A$2:$B$6,2,FALSE)</f>
        <v/>
      </c>
      <c r="AF636">
        <f>IF(B636&lt;&gt;"",WORKDAY(B636,AE636),"")</f>
        <v/>
      </c>
      <c r="AG636">
        <f>IF(AF636&lt;&gt;"",NETWORKDAYS(TODAY(),AF636),"")</f>
        <v/>
      </c>
      <c r="AH636">
        <f>IF(AJ636="Complete","Complete",IF(AG636&lt;0,"Overdue",IF(AG636&lt;=AE636*0.2,"At Risk","On Track")))</f>
        <v/>
      </c>
      <c r="AK636">
        <f>IF(OR(AH636="Overdue",AND(AD636="P0",AG636&lt;1),AND(AD636="P1",AG636&lt;3)),"Y","N")</f>
        <v/>
      </c>
    </row>
    <row r="637">
      <c r="K637">
        <f>IF(J637="v4.0",L637,IF(J637="v3.1",M637,IF(J637="Both",L637,IF(AND(L637&lt;&gt;"",M637=""),L637,M637))))</f>
        <v/>
      </c>
      <c r="Z637">
        <f>MIN(100,
(K637*5) +
(U637*10) +
IF(P637="Y",40,0) +
IF(Q637="P",30,0) +
IF(V637="Y",25,0) +
IF(W637="Y",20,0) +
IF(X637="Weaponized",15,IF(X637="PoC Available",10,IF(X637="Public Exploit",5,0))) +
IF(G637="Production",10,IF(G637="DMZ",8,IF(G637="DR/Backup",5,0))) +
IF(Y637="N",10,0)
)</f>
        <v/>
      </c>
      <c r="AA637">
        <f>IF(OR(P637="Y",AND(K637&gt;=9.0,W637="Y")),"P0",IF(Z637&gt;=80,"P0",IF(Z637&gt;=60,"P1",IF(Z637&gt;=40,"P2",IF(Z637&gt;=20,"P3","P4")))))</f>
        <v/>
      </c>
      <c r="AD637">
        <f>IF(AB637&lt;&gt;"",AB637,AA637)</f>
        <v/>
      </c>
      <c r="AE637">
        <f>VLOOKUP(AD637,SLA_Definitions!$A$2:$B$6,2,FALSE)</f>
        <v/>
      </c>
      <c r="AF637">
        <f>IF(B637&lt;&gt;"",WORKDAY(B637,AE637),"")</f>
        <v/>
      </c>
      <c r="AG637">
        <f>IF(AF637&lt;&gt;"",NETWORKDAYS(TODAY(),AF637),"")</f>
        <v/>
      </c>
      <c r="AH637">
        <f>IF(AJ637="Complete","Complete",IF(AG637&lt;0,"Overdue",IF(AG637&lt;=AE637*0.2,"At Risk","On Track")))</f>
        <v/>
      </c>
      <c r="AK637">
        <f>IF(OR(AH637="Overdue",AND(AD637="P0",AG637&lt;1),AND(AD637="P1",AG637&lt;3)),"Y","N")</f>
        <v/>
      </c>
    </row>
    <row r="638">
      <c r="K638">
        <f>IF(J638="v4.0",L638,IF(J638="v3.1",M638,IF(J638="Both",L638,IF(AND(L638&lt;&gt;"",M638=""),L638,M638))))</f>
        <v/>
      </c>
      <c r="Z638">
        <f>MIN(100,
(K638*5) +
(U638*10) +
IF(P638="Y",40,0) +
IF(Q638="P",30,0) +
IF(V638="Y",25,0) +
IF(W638="Y",20,0) +
IF(X638="Weaponized",15,IF(X638="PoC Available",10,IF(X638="Public Exploit",5,0))) +
IF(G638="Production",10,IF(G638="DMZ",8,IF(G638="DR/Backup",5,0))) +
IF(Y638="N",10,0)
)</f>
        <v/>
      </c>
      <c r="AA638">
        <f>IF(OR(P638="Y",AND(K638&gt;=9.0,W638="Y")),"P0",IF(Z638&gt;=80,"P0",IF(Z638&gt;=60,"P1",IF(Z638&gt;=40,"P2",IF(Z638&gt;=20,"P3","P4")))))</f>
        <v/>
      </c>
      <c r="AD638">
        <f>IF(AB638&lt;&gt;"",AB638,AA638)</f>
        <v/>
      </c>
      <c r="AE638">
        <f>VLOOKUP(AD638,SLA_Definitions!$A$2:$B$6,2,FALSE)</f>
        <v/>
      </c>
      <c r="AF638">
        <f>IF(B638&lt;&gt;"",WORKDAY(B638,AE638),"")</f>
        <v/>
      </c>
      <c r="AG638">
        <f>IF(AF638&lt;&gt;"",NETWORKDAYS(TODAY(),AF638),"")</f>
        <v/>
      </c>
      <c r="AH638">
        <f>IF(AJ638="Complete","Complete",IF(AG638&lt;0,"Overdue",IF(AG638&lt;=AE638*0.2,"At Risk","On Track")))</f>
        <v/>
      </c>
      <c r="AK638">
        <f>IF(OR(AH638="Overdue",AND(AD638="P0",AG638&lt;1),AND(AD638="P1",AG638&lt;3)),"Y","N")</f>
        <v/>
      </c>
    </row>
    <row r="639">
      <c r="K639">
        <f>IF(J639="v4.0",L639,IF(J639="v3.1",M639,IF(J639="Both",L639,IF(AND(L639&lt;&gt;"",M639=""),L639,M639))))</f>
        <v/>
      </c>
      <c r="Z639">
        <f>MIN(100,
(K639*5) +
(U639*10) +
IF(P639="Y",40,0) +
IF(Q639="P",30,0) +
IF(V639="Y",25,0) +
IF(W639="Y",20,0) +
IF(X639="Weaponized",15,IF(X639="PoC Available",10,IF(X639="Public Exploit",5,0))) +
IF(G639="Production",10,IF(G639="DMZ",8,IF(G639="DR/Backup",5,0))) +
IF(Y639="N",10,0)
)</f>
        <v/>
      </c>
      <c r="AA639">
        <f>IF(OR(P639="Y",AND(K639&gt;=9.0,W639="Y")),"P0",IF(Z639&gt;=80,"P0",IF(Z639&gt;=60,"P1",IF(Z639&gt;=40,"P2",IF(Z639&gt;=20,"P3","P4")))))</f>
        <v/>
      </c>
      <c r="AD639">
        <f>IF(AB639&lt;&gt;"",AB639,AA639)</f>
        <v/>
      </c>
      <c r="AE639">
        <f>VLOOKUP(AD639,SLA_Definitions!$A$2:$B$6,2,FALSE)</f>
        <v/>
      </c>
      <c r="AF639">
        <f>IF(B639&lt;&gt;"",WORKDAY(B639,AE639),"")</f>
        <v/>
      </c>
      <c r="AG639">
        <f>IF(AF639&lt;&gt;"",NETWORKDAYS(TODAY(),AF639),"")</f>
        <v/>
      </c>
      <c r="AH639">
        <f>IF(AJ639="Complete","Complete",IF(AG639&lt;0,"Overdue",IF(AG639&lt;=AE639*0.2,"At Risk","On Track")))</f>
        <v/>
      </c>
      <c r="AK639">
        <f>IF(OR(AH639="Overdue",AND(AD639="P0",AG639&lt;1),AND(AD639="P1",AG639&lt;3)),"Y","N")</f>
        <v/>
      </c>
    </row>
    <row r="640">
      <c r="K640">
        <f>IF(J640="v4.0",L640,IF(J640="v3.1",M640,IF(J640="Both",L640,IF(AND(L640&lt;&gt;"",M640=""),L640,M640))))</f>
        <v/>
      </c>
      <c r="Z640">
        <f>MIN(100,
(K640*5) +
(U640*10) +
IF(P640="Y",40,0) +
IF(Q640="P",30,0) +
IF(V640="Y",25,0) +
IF(W640="Y",20,0) +
IF(X640="Weaponized",15,IF(X640="PoC Available",10,IF(X640="Public Exploit",5,0))) +
IF(G640="Production",10,IF(G640="DMZ",8,IF(G640="DR/Backup",5,0))) +
IF(Y640="N",10,0)
)</f>
        <v/>
      </c>
      <c r="AA640">
        <f>IF(OR(P640="Y",AND(K640&gt;=9.0,W640="Y")),"P0",IF(Z640&gt;=80,"P0",IF(Z640&gt;=60,"P1",IF(Z640&gt;=40,"P2",IF(Z640&gt;=20,"P3","P4")))))</f>
        <v/>
      </c>
      <c r="AD640">
        <f>IF(AB640&lt;&gt;"",AB640,AA640)</f>
        <v/>
      </c>
      <c r="AE640">
        <f>VLOOKUP(AD640,SLA_Definitions!$A$2:$B$6,2,FALSE)</f>
        <v/>
      </c>
      <c r="AF640">
        <f>IF(B640&lt;&gt;"",WORKDAY(B640,AE640),"")</f>
        <v/>
      </c>
      <c r="AG640">
        <f>IF(AF640&lt;&gt;"",NETWORKDAYS(TODAY(),AF640),"")</f>
        <v/>
      </c>
      <c r="AH640">
        <f>IF(AJ640="Complete","Complete",IF(AG640&lt;0,"Overdue",IF(AG640&lt;=AE640*0.2,"At Risk","On Track")))</f>
        <v/>
      </c>
      <c r="AK640">
        <f>IF(OR(AH640="Overdue",AND(AD640="P0",AG640&lt;1),AND(AD640="P1",AG640&lt;3)),"Y","N")</f>
        <v/>
      </c>
    </row>
    <row r="641">
      <c r="K641">
        <f>IF(J641="v4.0",L641,IF(J641="v3.1",M641,IF(J641="Both",L641,IF(AND(L641&lt;&gt;"",M641=""),L641,M641))))</f>
        <v/>
      </c>
      <c r="Z641">
        <f>MIN(100,
(K641*5) +
(U641*10) +
IF(P641="Y",40,0) +
IF(Q641="P",30,0) +
IF(V641="Y",25,0) +
IF(W641="Y",20,0) +
IF(X641="Weaponized",15,IF(X641="PoC Available",10,IF(X641="Public Exploit",5,0))) +
IF(G641="Production",10,IF(G641="DMZ",8,IF(G641="DR/Backup",5,0))) +
IF(Y641="N",10,0)
)</f>
        <v/>
      </c>
      <c r="AA641">
        <f>IF(OR(P641="Y",AND(K641&gt;=9.0,W641="Y")),"P0",IF(Z641&gt;=80,"P0",IF(Z641&gt;=60,"P1",IF(Z641&gt;=40,"P2",IF(Z641&gt;=20,"P3","P4")))))</f>
        <v/>
      </c>
      <c r="AD641">
        <f>IF(AB641&lt;&gt;"",AB641,AA641)</f>
        <v/>
      </c>
      <c r="AE641">
        <f>VLOOKUP(AD641,SLA_Definitions!$A$2:$B$6,2,FALSE)</f>
        <v/>
      </c>
      <c r="AF641">
        <f>IF(B641&lt;&gt;"",WORKDAY(B641,AE641),"")</f>
        <v/>
      </c>
      <c r="AG641">
        <f>IF(AF641&lt;&gt;"",NETWORKDAYS(TODAY(),AF641),"")</f>
        <v/>
      </c>
      <c r="AH641">
        <f>IF(AJ641="Complete","Complete",IF(AG641&lt;0,"Overdue",IF(AG641&lt;=AE641*0.2,"At Risk","On Track")))</f>
        <v/>
      </c>
      <c r="AK641">
        <f>IF(OR(AH641="Overdue",AND(AD641="P0",AG641&lt;1),AND(AD641="P1",AG641&lt;3)),"Y","N")</f>
        <v/>
      </c>
    </row>
    <row r="642">
      <c r="K642">
        <f>IF(J642="v4.0",L642,IF(J642="v3.1",M642,IF(J642="Both",L642,IF(AND(L642&lt;&gt;"",M642=""),L642,M642))))</f>
        <v/>
      </c>
      <c r="Z642">
        <f>MIN(100,
(K642*5) +
(U642*10) +
IF(P642="Y",40,0) +
IF(Q642="P",30,0) +
IF(V642="Y",25,0) +
IF(W642="Y",20,0) +
IF(X642="Weaponized",15,IF(X642="PoC Available",10,IF(X642="Public Exploit",5,0))) +
IF(G642="Production",10,IF(G642="DMZ",8,IF(G642="DR/Backup",5,0))) +
IF(Y642="N",10,0)
)</f>
        <v/>
      </c>
      <c r="AA642">
        <f>IF(OR(P642="Y",AND(K642&gt;=9.0,W642="Y")),"P0",IF(Z642&gt;=80,"P0",IF(Z642&gt;=60,"P1",IF(Z642&gt;=40,"P2",IF(Z642&gt;=20,"P3","P4")))))</f>
        <v/>
      </c>
      <c r="AD642">
        <f>IF(AB642&lt;&gt;"",AB642,AA642)</f>
        <v/>
      </c>
      <c r="AE642">
        <f>VLOOKUP(AD642,SLA_Definitions!$A$2:$B$6,2,FALSE)</f>
        <v/>
      </c>
      <c r="AF642">
        <f>IF(B642&lt;&gt;"",WORKDAY(B642,AE642),"")</f>
        <v/>
      </c>
      <c r="AG642">
        <f>IF(AF642&lt;&gt;"",NETWORKDAYS(TODAY(),AF642),"")</f>
        <v/>
      </c>
      <c r="AH642">
        <f>IF(AJ642="Complete","Complete",IF(AG642&lt;0,"Overdue",IF(AG642&lt;=AE642*0.2,"At Risk","On Track")))</f>
        <v/>
      </c>
      <c r="AK642">
        <f>IF(OR(AH642="Overdue",AND(AD642="P0",AG642&lt;1),AND(AD642="P1",AG642&lt;3)),"Y","N")</f>
        <v/>
      </c>
    </row>
    <row r="643">
      <c r="K643">
        <f>IF(J643="v4.0",L643,IF(J643="v3.1",M643,IF(J643="Both",L643,IF(AND(L643&lt;&gt;"",M643=""),L643,M643))))</f>
        <v/>
      </c>
      <c r="Z643">
        <f>MIN(100,
(K643*5) +
(U643*10) +
IF(P643="Y",40,0) +
IF(Q643="P",30,0) +
IF(V643="Y",25,0) +
IF(W643="Y",20,0) +
IF(X643="Weaponized",15,IF(X643="PoC Available",10,IF(X643="Public Exploit",5,0))) +
IF(G643="Production",10,IF(G643="DMZ",8,IF(G643="DR/Backup",5,0))) +
IF(Y643="N",10,0)
)</f>
        <v/>
      </c>
      <c r="AA643">
        <f>IF(OR(P643="Y",AND(K643&gt;=9.0,W643="Y")),"P0",IF(Z643&gt;=80,"P0",IF(Z643&gt;=60,"P1",IF(Z643&gt;=40,"P2",IF(Z643&gt;=20,"P3","P4")))))</f>
        <v/>
      </c>
      <c r="AD643">
        <f>IF(AB643&lt;&gt;"",AB643,AA643)</f>
        <v/>
      </c>
      <c r="AE643">
        <f>VLOOKUP(AD643,SLA_Definitions!$A$2:$B$6,2,FALSE)</f>
        <v/>
      </c>
      <c r="AF643">
        <f>IF(B643&lt;&gt;"",WORKDAY(B643,AE643),"")</f>
        <v/>
      </c>
      <c r="AG643">
        <f>IF(AF643&lt;&gt;"",NETWORKDAYS(TODAY(),AF643),"")</f>
        <v/>
      </c>
      <c r="AH643">
        <f>IF(AJ643="Complete","Complete",IF(AG643&lt;0,"Overdue",IF(AG643&lt;=AE643*0.2,"At Risk","On Track")))</f>
        <v/>
      </c>
      <c r="AK643">
        <f>IF(OR(AH643="Overdue",AND(AD643="P0",AG643&lt;1),AND(AD643="P1",AG643&lt;3)),"Y","N")</f>
        <v/>
      </c>
    </row>
    <row r="644">
      <c r="K644">
        <f>IF(J644="v4.0",L644,IF(J644="v3.1",M644,IF(J644="Both",L644,IF(AND(L644&lt;&gt;"",M644=""),L644,M644))))</f>
        <v/>
      </c>
      <c r="Z644">
        <f>MIN(100,
(K644*5) +
(U644*10) +
IF(P644="Y",40,0) +
IF(Q644="P",30,0) +
IF(V644="Y",25,0) +
IF(W644="Y",20,0) +
IF(X644="Weaponized",15,IF(X644="PoC Available",10,IF(X644="Public Exploit",5,0))) +
IF(G644="Production",10,IF(G644="DMZ",8,IF(G644="DR/Backup",5,0))) +
IF(Y644="N",10,0)
)</f>
        <v/>
      </c>
      <c r="AA644">
        <f>IF(OR(P644="Y",AND(K644&gt;=9.0,W644="Y")),"P0",IF(Z644&gt;=80,"P0",IF(Z644&gt;=60,"P1",IF(Z644&gt;=40,"P2",IF(Z644&gt;=20,"P3","P4")))))</f>
        <v/>
      </c>
      <c r="AD644">
        <f>IF(AB644&lt;&gt;"",AB644,AA644)</f>
        <v/>
      </c>
      <c r="AE644">
        <f>VLOOKUP(AD644,SLA_Definitions!$A$2:$B$6,2,FALSE)</f>
        <v/>
      </c>
      <c r="AF644">
        <f>IF(B644&lt;&gt;"",WORKDAY(B644,AE644),"")</f>
        <v/>
      </c>
      <c r="AG644">
        <f>IF(AF644&lt;&gt;"",NETWORKDAYS(TODAY(),AF644),"")</f>
        <v/>
      </c>
      <c r="AH644">
        <f>IF(AJ644="Complete","Complete",IF(AG644&lt;0,"Overdue",IF(AG644&lt;=AE644*0.2,"At Risk","On Track")))</f>
        <v/>
      </c>
      <c r="AK644">
        <f>IF(OR(AH644="Overdue",AND(AD644="P0",AG644&lt;1),AND(AD644="P1",AG644&lt;3)),"Y","N")</f>
        <v/>
      </c>
    </row>
    <row r="645">
      <c r="K645">
        <f>IF(J645="v4.0",L645,IF(J645="v3.1",M645,IF(J645="Both",L645,IF(AND(L645&lt;&gt;"",M645=""),L645,M645))))</f>
        <v/>
      </c>
      <c r="Z645">
        <f>MIN(100,
(K645*5) +
(U645*10) +
IF(P645="Y",40,0) +
IF(Q645="P",30,0) +
IF(V645="Y",25,0) +
IF(W645="Y",20,0) +
IF(X645="Weaponized",15,IF(X645="PoC Available",10,IF(X645="Public Exploit",5,0))) +
IF(G645="Production",10,IF(G645="DMZ",8,IF(G645="DR/Backup",5,0))) +
IF(Y645="N",10,0)
)</f>
        <v/>
      </c>
      <c r="AA645">
        <f>IF(OR(P645="Y",AND(K645&gt;=9.0,W645="Y")),"P0",IF(Z645&gt;=80,"P0",IF(Z645&gt;=60,"P1",IF(Z645&gt;=40,"P2",IF(Z645&gt;=20,"P3","P4")))))</f>
        <v/>
      </c>
      <c r="AD645">
        <f>IF(AB645&lt;&gt;"",AB645,AA645)</f>
        <v/>
      </c>
      <c r="AE645">
        <f>VLOOKUP(AD645,SLA_Definitions!$A$2:$B$6,2,FALSE)</f>
        <v/>
      </c>
      <c r="AF645">
        <f>IF(B645&lt;&gt;"",WORKDAY(B645,AE645),"")</f>
        <v/>
      </c>
      <c r="AG645">
        <f>IF(AF645&lt;&gt;"",NETWORKDAYS(TODAY(),AF645),"")</f>
        <v/>
      </c>
      <c r="AH645">
        <f>IF(AJ645="Complete","Complete",IF(AG645&lt;0,"Overdue",IF(AG645&lt;=AE645*0.2,"At Risk","On Track")))</f>
        <v/>
      </c>
      <c r="AK645">
        <f>IF(OR(AH645="Overdue",AND(AD645="P0",AG645&lt;1),AND(AD645="P1",AG645&lt;3)),"Y","N")</f>
        <v/>
      </c>
    </row>
    <row r="646">
      <c r="K646">
        <f>IF(J646="v4.0",L646,IF(J646="v3.1",M646,IF(J646="Both",L646,IF(AND(L646&lt;&gt;"",M646=""),L646,M646))))</f>
        <v/>
      </c>
      <c r="Z646">
        <f>MIN(100,
(K646*5) +
(U646*10) +
IF(P646="Y",40,0) +
IF(Q646="P",30,0) +
IF(V646="Y",25,0) +
IF(W646="Y",20,0) +
IF(X646="Weaponized",15,IF(X646="PoC Available",10,IF(X646="Public Exploit",5,0))) +
IF(G646="Production",10,IF(G646="DMZ",8,IF(G646="DR/Backup",5,0))) +
IF(Y646="N",10,0)
)</f>
        <v/>
      </c>
      <c r="AA646">
        <f>IF(OR(P646="Y",AND(K646&gt;=9.0,W646="Y")),"P0",IF(Z646&gt;=80,"P0",IF(Z646&gt;=60,"P1",IF(Z646&gt;=40,"P2",IF(Z646&gt;=20,"P3","P4")))))</f>
        <v/>
      </c>
      <c r="AD646">
        <f>IF(AB646&lt;&gt;"",AB646,AA646)</f>
        <v/>
      </c>
      <c r="AE646">
        <f>VLOOKUP(AD646,SLA_Definitions!$A$2:$B$6,2,FALSE)</f>
        <v/>
      </c>
      <c r="AF646">
        <f>IF(B646&lt;&gt;"",WORKDAY(B646,AE646),"")</f>
        <v/>
      </c>
      <c r="AG646">
        <f>IF(AF646&lt;&gt;"",NETWORKDAYS(TODAY(),AF646),"")</f>
        <v/>
      </c>
      <c r="AH646">
        <f>IF(AJ646="Complete","Complete",IF(AG646&lt;0,"Overdue",IF(AG646&lt;=AE646*0.2,"At Risk","On Track")))</f>
        <v/>
      </c>
      <c r="AK646">
        <f>IF(OR(AH646="Overdue",AND(AD646="P0",AG646&lt;1),AND(AD646="P1",AG646&lt;3)),"Y","N")</f>
        <v/>
      </c>
    </row>
    <row r="647">
      <c r="K647">
        <f>IF(J647="v4.0",L647,IF(J647="v3.1",M647,IF(J647="Both",L647,IF(AND(L647&lt;&gt;"",M647=""),L647,M647))))</f>
        <v/>
      </c>
      <c r="Z647">
        <f>MIN(100,
(K647*5) +
(U647*10) +
IF(P647="Y",40,0) +
IF(Q647="P",30,0) +
IF(V647="Y",25,0) +
IF(W647="Y",20,0) +
IF(X647="Weaponized",15,IF(X647="PoC Available",10,IF(X647="Public Exploit",5,0))) +
IF(G647="Production",10,IF(G647="DMZ",8,IF(G647="DR/Backup",5,0))) +
IF(Y647="N",10,0)
)</f>
        <v/>
      </c>
      <c r="AA647">
        <f>IF(OR(P647="Y",AND(K647&gt;=9.0,W647="Y")),"P0",IF(Z647&gt;=80,"P0",IF(Z647&gt;=60,"P1",IF(Z647&gt;=40,"P2",IF(Z647&gt;=20,"P3","P4")))))</f>
        <v/>
      </c>
      <c r="AD647">
        <f>IF(AB647&lt;&gt;"",AB647,AA647)</f>
        <v/>
      </c>
      <c r="AE647">
        <f>VLOOKUP(AD647,SLA_Definitions!$A$2:$B$6,2,FALSE)</f>
        <v/>
      </c>
      <c r="AF647">
        <f>IF(B647&lt;&gt;"",WORKDAY(B647,AE647),"")</f>
        <v/>
      </c>
      <c r="AG647">
        <f>IF(AF647&lt;&gt;"",NETWORKDAYS(TODAY(),AF647),"")</f>
        <v/>
      </c>
      <c r="AH647">
        <f>IF(AJ647="Complete","Complete",IF(AG647&lt;0,"Overdue",IF(AG647&lt;=AE647*0.2,"At Risk","On Track")))</f>
        <v/>
      </c>
      <c r="AK647">
        <f>IF(OR(AH647="Overdue",AND(AD647="P0",AG647&lt;1),AND(AD647="P1",AG647&lt;3)),"Y","N")</f>
        <v/>
      </c>
    </row>
    <row r="648">
      <c r="K648">
        <f>IF(J648="v4.0",L648,IF(J648="v3.1",M648,IF(J648="Both",L648,IF(AND(L648&lt;&gt;"",M648=""),L648,M648))))</f>
        <v/>
      </c>
      <c r="Z648">
        <f>MIN(100,
(K648*5) +
(U648*10) +
IF(P648="Y",40,0) +
IF(Q648="P",30,0) +
IF(V648="Y",25,0) +
IF(W648="Y",20,0) +
IF(X648="Weaponized",15,IF(X648="PoC Available",10,IF(X648="Public Exploit",5,0))) +
IF(G648="Production",10,IF(G648="DMZ",8,IF(G648="DR/Backup",5,0))) +
IF(Y648="N",10,0)
)</f>
        <v/>
      </c>
      <c r="AA648">
        <f>IF(OR(P648="Y",AND(K648&gt;=9.0,W648="Y")),"P0",IF(Z648&gt;=80,"P0",IF(Z648&gt;=60,"P1",IF(Z648&gt;=40,"P2",IF(Z648&gt;=20,"P3","P4")))))</f>
        <v/>
      </c>
      <c r="AD648">
        <f>IF(AB648&lt;&gt;"",AB648,AA648)</f>
        <v/>
      </c>
      <c r="AE648">
        <f>VLOOKUP(AD648,SLA_Definitions!$A$2:$B$6,2,FALSE)</f>
        <v/>
      </c>
      <c r="AF648">
        <f>IF(B648&lt;&gt;"",WORKDAY(B648,AE648),"")</f>
        <v/>
      </c>
      <c r="AG648">
        <f>IF(AF648&lt;&gt;"",NETWORKDAYS(TODAY(),AF648),"")</f>
        <v/>
      </c>
      <c r="AH648">
        <f>IF(AJ648="Complete","Complete",IF(AG648&lt;0,"Overdue",IF(AG648&lt;=AE648*0.2,"At Risk","On Track")))</f>
        <v/>
      </c>
      <c r="AK648">
        <f>IF(OR(AH648="Overdue",AND(AD648="P0",AG648&lt;1),AND(AD648="P1",AG648&lt;3)),"Y","N")</f>
        <v/>
      </c>
    </row>
    <row r="649">
      <c r="K649">
        <f>IF(J649="v4.0",L649,IF(J649="v3.1",M649,IF(J649="Both",L649,IF(AND(L649&lt;&gt;"",M649=""),L649,M649))))</f>
        <v/>
      </c>
      <c r="Z649">
        <f>MIN(100,
(K649*5) +
(U649*10) +
IF(P649="Y",40,0) +
IF(Q649="P",30,0) +
IF(V649="Y",25,0) +
IF(W649="Y",20,0) +
IF(X649="Weaponized",15,IF(X649="PoC Available",10,IF(X649="Public Exploit",5,0))) +
IF(G649="Production",10,IF(G649="DMZ",8,IF(G649="DR/Backup",5,0))) +
IF(Y649="N",10,0)
)</f>
        <v/>
      </c>
      <c r="AA649">
        <f>IF(OR(P649="Y",AND(K649&gt;=9.0,W649="Y")),"P0",IF(Z649&gt;=80,"P0",IF(Z649&gt;=60,"P1",IF(Z649&gt;=40,"P2",IF(Z649&gt;=20,"P3","P4")))))</f>
        <v/>
      </c>
      <c r="AD649">
        <f>IF(AB649&lt;&gt;"",AB649,AA649)</f>
        <v/>
      </c>
      <c r="AE649">
        <f>VLOOKUP(AD649,SLA_Definitions!$A$2:$B$6,2,FALSE)</f>
        <v/>
      </c>
      <c r="AF649">
        <f>IF(B649&lt;&gt;"",WORKDAY(B649,AE649),"")</f>
        <v/>
      </c>
      <c r="AG649">
        <f>IF(AF649&lt;&gt;"",NETWORKDAYS(TODAY(),AF649),"")</f>
        <v/>
      </c>
      <c r="AH649">
        <f>IF(AJ649="Complete","Complete",IF(AG649&lt;0,"Overdue",IF(AG649&lt;=AE649*0.2,"At Risk","On Track")))</f>
        <v/>
      </c>
      <c r="AK649">
        <f>IF(OR(AH649="Overdue",AND(AD649="P0",AG649&lt;1),AND(AD649="P1",AG649&lt;3)),"Y","N")</f>
        <v/>
      </c>
    </row>
    <row r="650">
      <c r="K650">
        <f>IF(J650="v4.0",L650,IF(J650="v3.1",M650,IF(J650="Both",L650,IF(AND(L650&lt;&gt;"",M650=""),L650,M650))))</f>
        <v/>
      </c>
      <c r="Z650">
        <f>MIN(100,
(K650*5) +
(U650*10) +
IF(P650="Y",40,0) +
IF(Q650="P",30,0) +
IF(V650="Y",25,0) +
IF(W650="Y",20,0) +
IF(X650="Weaponized",15,IF(X650="PoC Available",10,IF(X650="Public Exploit",5,0))) +
IF(G650="Production",10,IF(G650="DMZ",8,IF(G650="DR/Backup",5,0))) +
IF(Y650="N",10,0)
)</f>
        <v/>
      </c>
      <c r="AA650">
        <f>IF(OR(P650="Y",AND(K650&gt;=9.0,W650="Y")),"P0",IF(Z650&gt;=80,"P0",IF(Z650&gt;=60,"P1",IF(Z650&gt;=40,"P2",IF(Z650&gt;=20,"P3","P4")))))</f>
        <v/>
      </c>
      <c r="AD650">
        <f>IF(AB650&lt;&gt;"",AB650,AA650)</f>
        <v/>
      </c>
      <c r="AE650">
        <f>VLOOKUP(AD650,SLA_Definitions!$A$2:$B$6,2,FALSE)</f>
        <v/>
      </c>
      <c r="AF650">
        <f>IF(B650&lt;&gt;"",WORKDAY(B650,AE650),"")</f>
        <v/>
      </c>
      <c r="AG650">
        <f>IF(AF650&lt;&gt;"",NETWORKDAYS(TODAY(),AF650),"")</f>
        <v/>
      </c>
      <c r="AH650">
        <f>IF(AJ650="Complete","Complete",IF(AG650&lt;0,"Overdue",IF(AG650&lt;=AE650*0.2,"At Risk","On Track")))</f>
        <v/>
      </c>
      <c r="AK650">
        <f>IF(OR(AH650="Overdue",AND(AD650="P0",AG650&lt;1),AND(AD650="P1",AG650&lt;3)),"Y","N")</f>
        <v/>
      </c>
    </row>
    <row r="651">
      <c r="K651">
        <f>IF(J651="v4.0",L651,IF(J651="v3.1",M651,IF(J651="Both",L651,IF(AND(L651&lt;&gt;"",M651=""),L651,M651))))</f>
        <v/>
      </c>
      <c r="Z651">
        <f>MIN(100,
(K651*5) +
(U651*10) +
IF(P651="Y",40,0) +
IF(Q651="P",30,0) +
IF(V651="Y",25,0) +
IF(W651="Y",20,0) +
IF(X651="Weaponized",15,IF(X651="PoC Available",10,IF(X651="Public Exploit",5,0))) +
IF(G651="Production",10,IF(G651="DMZ",8,IF(G651="DR/Backup",5,0))) +
IF(Y651="N",10,0)
)</f>
        <v/>
      </c>
      <c r="AA651">
        <f>IF(OR(P651="Y",AND(K651&gt;=9.0,W651="Y")),"P0",IF(Z651&gt;=80,"P0",IF(Z651&gt;=60,"P1",IF(Z651&gt;=40,"P2",IF(Z651&gt;=20,"P3","P4")))))</f>
        <v/>
      </c>
      <c r="AD651">
        <f>IF(AB651&lt;&gt;"",AB651,AA651)</f>
        <v/>
      </c>
      <c r="AE651">
        <f>VLOOKUP(AD651,SLA_Definitions!$A$2:$B$6,2,FALSE)</f>
        <v/>
      </c>
      <c r="AF651">
        <f>IF(B651&lt;&gt;"",WORKDAY(B651,AE651),"")</f>
        <v/>
      </c>
      <c r="AG651">
        <f>IF(AF651&lt;&gt;"",NETWORKDAYS(TODAY(),AF651),"")</f>
        <v/>
      </c>
      <c r="AH651">
        <f>IF(AJ651="Complete","Complete",IF(AG651&lt;0,"Overdue",IF(AG651&lt;=AE651*0.2,"At Risk","On Track")))</f>
        <v/>
      </c>
      <c r="AK651">
        <f>IF(OR(AH651="Overdue",AND(AD651="P0",AG651&lt;1),AND(AD651="P1",AG651&lt;3)),"Y","N")</f>
        <v/>
      </c>
    </row>
    <row r="652">
      <c r="K652">
        <f>IF(J652="v4.0",L652,IF(J652="v3.1",M652,IF(J652="Both",L652,IF(AND(L652&lt;&gt;"",M652=""),L652,M652))))</f>
        <v/>
      </c>
      <c r="Z652">
        <f>MIN(100,
(K652*5) +
(U652*10) +
IF(P652="Y",40,0) +
IF(Q652="P",30,0) +
IF(V652="Y",25,0) +
IF(W652="Y",20,0) +
IF(X652="Weaponized",15,IF(X652="PoC Available",10,IF(X652="Public Exploit",5,0))) +
IF(G652="Production",10,IF(G652="DMZ",8,IF(G652="DR/Backup",5,0))) +
IF(Y652="N",10,0)
)</f>
        <v/>
      </c>
      <c r="AA652">
        <f>IF(OR(P652="Y",AND(K652&gt;=9.0,W652="Y")),"P0",IF(Z652&gt;=80,"P0",IF(Z652&gt;=60,"P1",IF(Z652&gt;=40,"P2",IF(Z652&gt;=20,"P3","P4")))))</f>
        <v/>
      </c>
      <c r="AD652">
        <f>IF(AB652&lt;&gt;"",AB652,AA652)</f>
        <v/>
      </c>
      <c r="AE652">
        <f>VLOOKUP(AD652,SLA_Definitions!$A$2:$B$6,2,FALSE)</f>
        <v/>
      </c>
      <c r="AF652">
        <f>IF(B652&lt;&gt;"",WORKDAY(B652,AE652),"")</f>
        <v/>
      </c>
      <c r="AG652">
        <f>IF(AF652&lt;&gt;"",NETWORKDAYS(TODAY(),AF652),"")</f>
        <v/>
      </c>
      <c r="AH652">
        <f>IF(AJ652="Complete","Complete",IF(AG652&lt;0,"Overdue",IF(AG652&lt;=AE652*0.2,"At Risk","On Track")))</f>
        <v/>
      </c>
      <c r="AK652">
        <f>IF(OR(AH652="Overdue",AND(AD652="P0",AG652&lt;1),AND(AD652="P1",AG652&lt;3)),"Y","N")</f>
        <v/>
      </c>
    </row>
    <row r="653">
      <c r="K653">
        <f>IF(J653="v4.0",L653,IF(J653="v3.1",M653,IF(J653="Both",L653,IF(AND(L653&lt;&gt;"",M653=""),L653,M653))))</f>
        <v/>
      </c>
      <c r="Z653">
        <f>MIN(100,
(K653*5) +
(U653*10) +
IF(P653="Y",40,0) +
IF(Q653="P",30,0) +
IF(V653="Y",25,0) +
IF(W653="Y",20,0) +
IF(X653="Weaponized",15,IF(X653="PoC Available",10,IF(X653="Public Exploit",5,0))) +
IF(G653="Production",10,IF(G653="DMZ",8,IF(G653="DR/Backup",5,0))) +
IF(Y653="N",10,0)
)</f>
        <v/>
      </c>
      <c r="AA653">
        <f>IF(OR(P653="Y",AND(K653&gt;=9.0,W653="Y")),"P0",IF(Z653&gt;=80,"P0",IF(Z653&gt;=60,"P1",IF(Z653&gt;=40,"P2",IF(Z653&gt;=20,"P3","P4")))))</f>
        <v/>
      </c>
      <c r="AD653">
        <f>IF(AB653&lt;&gt;"",AB653,AA653)</f>
        <v/>
      </c>
      <c r="AE653">
        <f>VLOOKUP(AD653,SLA_Definitions!$A$2:$B$6,2,FALSE)</f>
        <v/>
      </c>
      <c r="AF653">
        <f>IF(B653&lt;&gt;"",WORKDAY(B653,AE653),"")</f>
        <v/>
      </c>
      <c r="AG653">
        <f>IF(AF653&lt;&gt;"",NETWORKDAYS(TODAY(),AF653),"")</f>
        <v/>
      </c>
      <c r="AH653">
        <f>IF(AJ653="Complete","Complete",IF(AG653&lt;0,"Overdue",IF(AG653&lt;=AE653*0.2,"At Risk","On Track")))</f>
        <v/>
      </c>
      <c r="AK653">
        <f>IF(OR(AH653="Overdue",AND(AD653="P0",AG653&lt;1),AND(AD653="P1",AG653&lt;3)),"Y","N")</f>
        <v/>
      </c>
    </row>
    <row r="654">
      <c r="K654">
        <f>IF(J654="v4.0",L654,IF(J654="v3.1",M654,IF(J654="Both",L654,IF(AND(L654&lt;&gt;"",M654=""),L654,M654))))</f>
        <v/>
      </c>
      <c r="Z654">
        <f>MIN(100,
(K654*5) +
(U654*10) +
IF(P654="Y",40,0) +
IF(Q654="P",30,0) +
IF(V654="Y",25,0) +
IF(W654="Y",20,0) +
IF(X654="Weaponized",15,IF(X654="PoC Available",10,IF(X654="Public Exploit",5,0))) +
IF(G654="Production",10,IF(G654="DMZ",8,IF(G654="DR/Backup",5,0))) +
IF(Y654="N",10,0)
)</f>
        <v/>
      </c>
      <c r="AA654">
        <f>IF(OR(P654="Y",AND(K654&gt;=9.0,W654="Y")),"P0",IF(Z654&gt;=80,"P0",IF(Z654&gt;=60,"P1",IF(Z654&gt;=40,"P2",IF(Z654&gt;=20,"P3","P4")))))</f>
        <v/>
      </c>
      <c r="AD654">
        <f>IF(AB654&lt;&gt;"",AB654,AA654)</f>
        <v/>
      </c>
      <c r="AE654">
        <f>VLOOKUP(AD654,SLA_Definitions!$A$2:$B$6,2,FALSE)</f>
        <v/>
      </c>
      <c r="AF654">
        <f>IF(B654&lt;&gt;"",WORKDAY(B654,AE654),"")</f>
        <v/>
      </c>
      <c r="AG654">
        <f>IF(AF654&lt;&gt;"",NETWORKDAYS(TODAY(),AF654),"")</f>
        <v/>
      </c>
      <c r="AH654">
        <f>IF(AJ654="Complete","Complete",IF(AG654&lt;0,"Overdue",IF(AG654&lt;=AE654*0.2,"At Risk","On Track")))</f>
        <v/>
      </c>
      <c r="AK654">
        <f>IF(OR(AH654="Overdue",AND(AD654="P0",AG654&lt;1),AND(AD654="P1",AG654&lt;3)),"Y","N")</f>
        <v/>
      </c>
    </row>
    <row r="655">
      <c r="K655">
        <f>IF(J655="v4.0",L655,IF(J655="v3.1",M655,IF(J655="Both",L655,IF(AND(L655&lt;&gt;"",M655=""),L655,M655))))</f>
        <v/>
      </c>
      <c r="Z655">
        <f>MIN(100,
(K655*5) +
(U655*10) +
IF(P655="Y",40,0) +
IF(Q655="P",30,0) +
IF(V655="Y",25,0) +
IF(W655="Y",20,0) +
IF(X655="Weaponized",15,IF(X655="PoC Available",10,IF(X655="Public Exploit",5,0))) +
IF(G655="Production",10,IF(G655="DMZ",8,IF(G655="DR/Backup",5,0))) +
IF(Y655="N",10,0)
)</f>
        <v/>
      </c>
      <c r="AA655">
        <f>IF(OR(P655="Y",AND(K655&gt;=9.0,W655="Y")),"P0",IF(Z655&gt;=80,"P0",IF(Z655&gt;=60,"P1",IF(Z655&gt;=40,"P2",IF(Z655&gt;=20,"P3","P4")))))</f>
        <v/>
      </c>
      <c r="AD655">
        <f>IF(AB655&lt;&gt;"",AB655,AA655)</f>
        <v/>
      </c>
      <c r="AE655">
        <f>VLOOKUP(AD655,SLA_Definitions!$A$2:$B$6,2,FALSE)</f>
        <v/>
      </c>
      <c r="AF655">
        <f>IF(B655&lt;&gt;"",WORKDAY(B655,AE655),"")</f>
        <v/>
      </c>
      <c r="AG655">
        <f>IF(AF655&lt;&gt;"",NETWORKDAYS(TODAY(),AF655),"")</f>
        <v/>
      </c>
      <c r="AH655">
        <f>IF(AJ655="Complete","Complete",IF(AG655&lt;0,"Overdue",IF(AG655&lt;=AE655*0.2,"At Risk","On Track")))</f>
        <v/>
      </c>
      <c r="AK655">
        <f>IF(OR(AH655="Overdue",AND(AD655="P0",AG655&lt;1),AND(AD655="P1",AG655&lt;3)),"Y","N")</f>
        <v/>
      </c>
    </row>
    <row r="656">
      <c r="K656">
        <f>IF(J656="v4.0",L656,IF(J656="v3.1",M656,IF(J656="Both",L656,IF(AND(L656&lt;&gt;"",M656=""),L656,M656))))</f>
        <v/>
      </c>
      <c r="Z656">
        <f>MIN(100,
(K656*5) +
(U656*10) +
IF(P656="Y",40,0) +
IF(Q656="P",30,0) +
IF(V656="Y",25,0) +
IF(W656="Y",20,0) +
IF(X656="Weaponized",15,IF(X656="PoC Available",10,IF(X656="Public Exploit",5,0))) +
IF(G656="Production",10,IF(G656="DMZ",8,IF(G656="DR/Backup",5,0))) +
IF(Y656="N",10,0)
)</f>
        <v/>
      </c>
      <c r="AA656">
        <f>IF(OR(P656="Y",AND(K656&gt;=9.0,W656="Y")),"P0",IF(Z656&gt;=80,"P0",IF(Z656&gt;=60,"P1",IF(Z656&gt;=40,"P2",IF(Z656&gt;=20,"P3","P4")))))</f>
        <v/>
      </c>
      <c r="AD656">
        <f>IF(AB656&lt;&gt;"",AB656,AA656)</f>
        <v/>
      </c>
      <c r="AE656">
        <f>VLOOKUP(AD656,SLA_Definitions!$A$2:$B$6,2,FALSE)</f>
        <v/>
      </c>
      <c r="AF656">
        <f>IF(B656&lt;&gt;"",WORKDAY(B656,AE656),"")</f>
        <v/>
      </c>
      <c r="AG656">
        <f>IF(AF656&lt;&gt;"",NETWORKDAYS(TODAY(),AF656),"")</f>
        <v/>
      </c>
      <c r="AH656">
        <f>IF(AJ656="Complete","Complete",IF(AG656&lt;0,"Overdue",IF(AG656&lt;=AE656*0.2,"At Risk","On Track")))</f>
        <v/>
      </c>
      <c r="AK656">
        <f>IF(OR(AH656="Overdue",AND(AD656="P0",AG656&lt;1),AND(AD656="P1",AG656&lt;3)),"Y","N")</f>
        <v/>
      </c>
    </row>
    <row r="657">
      <c r="K657">
        <f>IF(J657="v4.0",L657,IF(J657="v3.1",M657,IF(J657="Both",L657,IF(AND(L657&lt;&gt;"",M657=""),L657,M657))))</f>
        <v/>
      </c>
      <c r="Z657">
        <f>MIN(100,
(K657*5) +
(U657*10) +
IF(P657="Y",40,0) +
IF(Q657="P",30,0) +
IF(V657="Y",25,0) +
IF(W657="Y",20,0) +
IF(X657="Weaponized",15,IF(X657="PoC Available",10,IF(X657="Public Exploit",5,0))) +
IF(G657="Production",10,IF(G657="DMZ",8,IF(G657="DR/Backup",5,0))) +
IF(Y657="N",10,0)
)</f>
        <v/>
      </c>
      <c r="AA657">
        <f>IF(OR(P657="Y",AND(K657&gt;=9.0,W657="Y")),"P0",IF(Z657&gt;=80,"P0",IF(Z657&gt;=60,"P1",IF(Z657&gt;=40,"P2",IF(Z657&gt;=20,"P3","P4")))))</f>
        <v/>
      </c>
      <c r="AD657">
        <f>IF(AB657&lt;&gt;"",AB657,AA657)</f>
        <v/>
      </c>
      <c r="AE657">
        <f>VLOOKUP(AD657,SLA_Definitions!$A$2:$B$6,2,FALSE)</f>
        <v/>
      </c>
      <c r="AF657">
        <f>IF(B657&lt;&gt;"",WORKDAY(B657,AE657),"")</f>
        <v/>
      </c>
      <c r="AG657">
        <f>IF(AF657&lt;&gt;"",NETWORKDAYS(TODAY(),AF657),"")</f>
        <v/>
      </c>
      <c r="AH657">
        <f>IF(AJ657="Complete","Complete",IF(AG657&lt;0,"Overdue",IF(AG657&lt;=AE657*0.2,"At Risk","On Track")))</f>
        <v/>
      </c>
      <c r="AK657">
        <f>IF(OR(AH657="Overdue",AND(AD657="P0",AG657&lt;1),AND(AD657="P1",AG657&lt;3)),"Y","N")</f>
        <v/>
      </c>
    </row>
    <row r="658">
      <c r="K658">
        <f>IF(J658="v4.0",L658,IF(J658="v3.1",M658,IF(J658="Both",L658,IF(AND(L658&lt;&gt;"",M658=""),L658,M658))))</f>
        <v/>
      </c>
      <c r="Z658">
        <f>MIN(100,
(K658*5) +
(U658*10) +
IF(P658="Y",40,0) +
IF(Q658="P",30,0) +
IF(V658="Y",25,0) +
IF(W658="Y",20,0) +
IF(X658="Weaponized",15,IF(X658="PoC Available",10,IF(X658="Public Exploit",5,0))) +
IF(G658="Production",10,IF(G658="DMZ",8,IF(G658="DR/Backup",5,0))) +
IF(Y658="N",10,0)
)</f>
        <v/>
      </c>
      <c r="AA658">
        <f>IF(OR(P658="Y",AND(K658&gt;=9.0,W658="Y")),"P0",IF(Z658&gt;=80,"P0",IF(Z658&gt;=60,"P1",IF(Z658&gt;=40,"P2",IF(Z658&gt;=20,"P3","P4")))))</f>
        <v/>
      </c>
      <c r="AD658">
        <f>IF(AB658&lt;&gt;"",AB658,AA658)</f>
        <v/>
      </c>
      <c r="AE658">
        <f>VLOOKUP(AD658,SLA_Definitions!$A$2:$B$6,2,FALSE)</f>
        <v/>
      </c>
      <c r="AF658">
        <f>IF(B658&lt;&gt;"",WORKDAY(B658,AE658),"")</f>
        <v/>
      </c>
      <c r="AG658">
        <f>IF(AF658&lt;&gt;"",NETWORKDAYS(TODAY(),AF658),"")</f>
        <v/>
      </c>
      <c r="AH658">
        <f>IF(AJ658="Complete","Complete",IF(AG658&lt;0,"Overdue",IF(AG658&lt;=AE658*0.2,"At Risk","On Track")))</f>
        <v/>
      </c>
      <c r="AK658">
        <f>IF(OR(AH658="Overdue",AND(AD658="P0",AG658&lt;1),AND(AD658="P1",AG658&lt;3)),"Y","N")</f>
        <v/>
      </c>
    </row>
    <row r="659">
      <c r="K659">
        <f>IF(J659="v4.0",L659,IF(J659="v3.1",M659,IF(J659="Both",L659,IF(AND(L659&lt;&gt;"",M659=""),L659,M659))))</f>
        <v/>
      </c>
      <c r="Z659">
        <f>MIN(100,
(K659*5) +
(U659*10) +
IF(P659="Y",40,0) +
IF(Q659="P",30,0) +
IF(V659="Y",25,0) +
IF(W659="Y",20,0) +
IF(X659="Weaponized",15,IF(X659="PoC Available",10,IF(X659="Public Exploit",5,0))) +
IF(G659="Production",10,IF(G659="DMZ",8,IF(G659="DR/Backup",5,0))) +
IF(Y659="N",10,0)
)</f>
        <v/>
      </c>
      <c r="AA659">
        <f>IF(OR(P659="Y",AND(K659&gt;=9.0,W659="Y")),"P0",IF(Z659&gt;=80,"P0",IF(Z659&gt;=60,"P1",IF(Z659&gt;=40,"P2",IF(Z659&gt;=20,"P3","P4")))))</f>
        <v/>
      </c>
      <c r="AD659">
        <f>IF(AB659&lt;&gt;"",AB659,AA659)</f>
        <v/>
      </c>
      <c r="AE659">
        <f>VLOOKUP(AD659,SLA_Definitions!$A$2:$B$6,2,FALSE)</f>
        <v/>
      </c>
      <c r="AF659">
        <f>IF(B659&lt;&gt;"",WORKDAY(B659,AE659),"")</f>
        <v/>
      </c>
      <c r="AG659">
        <f>IF(AF659&lt;&gt;"",NETWORKDAYS(TODAY(),AF659),"")</f>
        <v/>
      </c>
      <c r="AH659">
        <f>IF(AJ659="Complete","Complete",IF(AG659&lt;0,"Overdue",IF(AG659&lt;=AE659*0.2,"At Risk","On Track")))</f>
        <v/>
      </c>
      <c r="AK659">
        <f>IF(OR(AH659="Overdue",AND(AD659="P0",AG659&lt;1),AND(AD659="P1",AG659&lt;3)),"Y","N")</f>
        <v/>
      </c>
    </row>
    <row r="660">
      <c r="K660">
        <f>IF(J660="v4.0",L660,IF(J660="v3.1",M660,IF(J660="Both",L660,IF(AND(L660&lt;&gt;"",M660=""),L660,M660))))</f>
        <v/>
      </c>
      <c r="Z660">
        <f>MIN(100,
(K660*5) +
(U660*10) +
IF(P660="Y",40,0) +
IF(Q660="P",30,0) +
IF(V660="Y",25,0) +
IF(W660="Y",20,0) +
IF(X660="Weaponized",15,IF(X660="PoC Available",10,IF(X660="Public Exploit",5,0))) +
IF(G660="Production",10,IF(G660="DMZ",8,IF(G660="DR/Backup",5,0))) +
IF(Y660="N",10,0)
)</f>
        <v/>
      </c>
      <c r="AA660">
        <f>IF(OR(P660="Y",AND(K660&gt;=9.0,W660="Y")),"P0",IF(Z660&gt;=80,"P0",IF(Z660&gt;=60,"P1",IF(Z660&gt;=40,"P2",IF(Z660&gt;=20,"P3","P4")))))</f>
        <v/>
      </c>
      <c r="AD660">
        <f>IF(AB660&lt;&gt;"",AB660,AA660)</f>
        <v/>
      </c>
      <c r="AE660">
        <f>VLOOKUP(AD660,SLA_Definitions!$A$2:$B$6,2,FALSE)</f>
        <v/>
      </c>
      <c r="AF660">
        <f>IF(B660&lt;&gt;"",WORKDAY(B660,AE660),"")</f>
        <v/>
      </c>
      <c r="AG660">
        <f>IF(AF660&lt;&gt;"",NETWORKDAYS(TODAY(),AF660),"")</f>
        <v/>
      </c>
      <c r="AH660">
        <f>IF(AJ660="Complete","Complete",IF(AG660&lt;0,"Overdue",IF(AG660&lt;=AE660*0.2,"At Risk","On Track")))</f>
        <v/>
      </c>
      <c r="AK660">
        <f>IF(OR(AH660="Overdue",AND(AD660="P0",AG660&lt;1),AND(AD660="P1",AG660&lt;3)),"Y","N")</f>
        <v/>
      </c>
    </row>
    <row r="661">
      <c r="K661">
        <f>IF(J661="v4.0",L661,IF(J661="v3.1",M661,IF(J661="Both",L661,IF(AND(L661&lt;&gt;"",M661=""),L661,M661))))</f>
        <v/>
      </c>
      <c r="Z661">
        <f>MIN(100,
(K661*5) +
(U661*10) +
IF(P661="Y",40,0) +
IF(Q661="P",30,0) +
IF(V661="Y",25,0) +
IF(W661="Y",20,0) +
IF(X661="Weaponized",15,IF(X661="PoC Available",10,IF(X661="Public Exploit",5,0))) +
IF(G661="Production",10,IF(G661="DMZ",8,IF(G661="DR/Backup",5,0))) +
IF(Y661="N",10,0)
)</f>
        <v/>
      </c>
      <c r="AA661">
        <f>IF(OR(P661="Y",AND(K661&gt;=9.0,W661="Y")),"P0",IF(Z661&gt;=80,"P0",IF(Z661&gt;=60,"P1",IF(Z661&gt;=40,"P2",IF(Z661&gt;=20,"P3","P4")))))</f>
        <v/>
      </c>
      <c r="AD661">
        <f>IF(AB661&lt;&gt;"",AB661,AA661)</f>
        <v/>
      </c>
      <c r="AE661">
        <f>VLOOKUP(AD661,SLA_Definitions!$A$2:$B$6,2,FALSE)</f>
        <v/>
      </c>
      <c r="AF661">
        <f>IF(B661&lt;&gt;"",WORKDAY(B661,AE661),"")</f>
        <v/>
      </c>
      <c r="AG661">
        <f>IF(AF661&lt;&gt;"",NETWORKDAYS(TODAY(),AF661),"")</f>
        <v/>
      </c>
      <c r="AH661">
        <f>IF(AJ661="Complete","Complete",IF(AG661&lt;0,"Overdue",IF(AG661&lt;=AE661*0.2,"At Risk","On Track")))</f>
        <v/>
      </c>
      <c r="AK661">
        <f>IF(OR(AH661="Overdue",AND(AD661="P0",AG661&lt;1),AND(AD661="P1",AG661&lt;3)),"Y","N")</f>
        <v/>
      </c>
    </row>
    <row r="662">
      <c r="K662">
        <f>IF(J662="v4.0",L662,IF(J662="v3.1",M662,IF(J662="Both",L662,IF(AND(L662&lt;&gt;"",M662=""),L662,M662))))</f>
        <v/>
      </c>
      <c r="Z662">
        <f>MIN(100,
(K662*5) +
(U662*10) +
IF(P662="Y",40,0) +
IF(Q662="P",30,0) +
IF(V662="Y",25,0) +
IF(W662="Y",20,0) +
IF(X662="Weaponized",15,IF(X662="PoC Available",10,IF(X662="Public Exploit",5,0))) +
IF(G662="Production",10,IF(G662="DMZ",8,IF(G662="DR/Backup",5,0))) +
IF(Y662="N",10,0)
)</f>
        <v/>
      </c>
      <c r="AA662">
        <f>IF(OR(P662="Y",AND(K662&gt;=9.0,W662="Y")),"P0",IF(Z662&gt;=80,"P0",IF(Z662&gt;=60,"P1",IF(Z662&gt;=40,"P2",IF(Z662&gt;=20,"P3","P4")))))</f>
        <v/>
      </c>
      <c r="AD662">
        <f>IF(AB662&lt;&gt;"",AB662,AA662)</f>
        <v/>
      </c>
      <c r="AE662">
        <f>VLOOKUP(AD662,SLA_Definitions!$A$2:$B$6,2,FALSE)</f>
        <v/>
      </c>
      <c r="AF662">
        <f>IF(B662&lt;&gt;"",WORKDAY(B662,AE662),"")</f>
        <v/>
      </c>
      <c r="AG662">
        <f>IF(AF662&lt;&gt;"",NETWORKDAYS(TODAY(),AF662),"")</f>
        <v/>
      </c>
      <c r="AH662">
        <f>IF(AJ662="Complete","Complete",IF(AG662&lt;0,"Overdue",IF(AG662&lt;=AE662*0.2,"At Risk","On Track")))</f>
        <v/>
      </c>
      <c r="AK662">
        <f>IF(OR(AH662="Overdue",AND(AD662="P0",AG662&lt;1),AND(AD662="P1",AG662&lt;3)),"Y","N")</f>
        <v/>
      </c>
    </row>
    <row r="663">
      <c r="K663">
        <f>IF(J663="v4.0",L663,IF(J663="v3.1",M663,IF(J663="Both",L663,IF(AND(L663&lt;&gt;"",M663=""),L663,M663))))</f>
        <v/>
      </c>
      <c r="Z663">
        <f>MIN(100,
(K663*5) +
(U663*10) +
IF(P663="Y",40,0) +
IF(Q663="P",30,0) +
IF(V663="Y",25,0) +
IF(W663="Y",20,0) +
IF(X663="Weaponized",15,IF(X663="PoC Available",10,IF(X663="Public Exploit",5,0))) +
IF(G663="Production",10,IF(G663="DMZ",8,IF(G663="DR/Backup",5,0))) +
IF(Y663="N",10,0)
)</f>
        <v/>
      </c>
      <c r="AA663">
        <f>IF(OR(P663="Y",AND(K663&gt;=9.0,W663="Y")),"P0",IF(Z663&gt;=80,"P0",IF(Z663&gt;=60,"P1",IF(Z663&gt;=40,"P2",IF(Z663&gt;=20,"P3","P4")))))</f>
        <v/>
      </c>
      <c r="AD663">
        <f>IF(AB663&lt;&gt;"",AB663,AA663)</f>
        <v/>
      </c>
      <c r="AE663">
        <f>VLOOKUP(AD663,SLA_Definitions!$A$2:$B$6,2,FALSE)</f>
        <v/>
      </c>
      <c r="AF663">
        <f>IF(B663&lt;&gt;"",WORKDAY(B663,AE663),"")</f>
        <v/>
      </c>
      <c r="AG663">
        <f>IF(AF663&lt;&gt;"",NETWORKDAYS(TODAY(),AF663),"")</f>
        <v/>
      </c>
      <c r="AH663">
        <f>IF(AJ663="Complete","Complete",IF(AG663&lt;0,"Overdue",IF(AG663&lt;=AE663*0.2,"At Risk","On Track")))</f>
        <v/>
      </c>
      <c r="AK663">
        <f>IF(OR(AH663="Overdue",AND(AD663="P0",AG663&lt;1),AND(AD663="P1",AG663&lt;3)),"Y","N")</f>
        <v/>
      </c>
    </row>
    <row r="664">
      <c r="K664">
        <f>IF(J664="v4.0",L664,IF(J664="v3.1",M664,IF(J664="Both",L664,IF(AND(L664&lt;&gt;"",M664=""),L664,M664))))</f>
        <v/>
      </c>
      <c r="Z664">
        <f>MIN(100,
(K664*5) +
(U664*10) +
IF(P664="Y",40,0) +
IF(Q664="P",30,0) +
IF(V664="Y",25,0) +
IF(W664="Y",20,0) +
IF(X664="Weaponized",15,IF(X664="PoC Available",10,IF(X664="Public Exploit",5,0))) +
IF(G664="Production",10,IF(G664="DMZ",8,IF(G664="DR/Backup",5,0))) +
IF(Y664="N",10,0)
)</f>
        <v/>
      </c>
      <c r="AA664">
        <f>IF(OR(P664="Y",AND(K664&gt;=9.0,W664="Y")),"P0",IF(Z664&gt;=80,"P0",IF(Z664&gt;=60,"P1",IF(Z664&gt;=40,"P2",IF(Z664&gt;=20,"P3","P4")))))</f>
        <v/>
      </c>
      <c r="AD664">
        <f>IF(AB664&lt;&gt;"",AB664,AA664)</f>
        <v/>
      </c>
      <c r="AE664">
        <f>VLOOKUP(AD664,SLA_Definitions!$A$2:$B$6,2,FALSE)</f>
        <v/>
      </c>
      <c r="AF664">
        <f>IF(B664&lt;&gt;"",WORKDAY(B664,AE664),"")</f>
        <v/>
      </c>
      <c r="AG664">
        <f>IF(AF664&lt;&gt;"",NETWORKDAYS(TODAY(),AF664),"")</f>
        <v/>
      </c>
      <c r="AH664">
        <f>IF(AJ664="Complete","Complete",IF(AG664&lt;0,"Overdue",IF(AG664&lt;=AE664*0.2,"At Risk","On Track")))</f>
        <v/>
      </c>
      <c r="AK664">
        <f>IF(OR(AH664="Overdue",AND(AD664="P0",AG664&lt;1),AND(AD664="P1",AG664&lt;3)),"Y","N")</f>
        <v/>
      </c>
    </row>
    <row r="665">
      <c r="K665">
        <f>IF(J665="v4.0",L665,IF(J665="v3.1",M665,IF(J665="Both",L665,IF(AND(L665&lt;&gt;"",M665=""),L665,M665))))</f>
        <v/>
      </c>
      <c r="Z665">
        <f>MIN(100,
(K665*5) +
(U665*10) +
IF(P665="Y",40,0) +
IF(Q665="P",30,0) +
IF(V665="Y",25,0) +
IF(W665="Y",20,0) +
IF(X665="Weaponized",15,IF(X665="PoC Available",10,IF(X665="Public Exploit",5,0))) +
IF(G665="Production",10,IF(G665="DMZ",8,IF(G665="DR/Backup",5,0))) +
IF(Y665="N",10,0)
)</f>
        <v/>
      </c>
      <c r="AA665">
        <f>IF(OR(P665="Y",AND(K665&gt;=9.0,W665="Y")),"P0",IF(Z665&gt;=80,"P0",IF(Z665&gt;=60,"P1",IF(Z665&gt;=40,"P2",IF(Z665&gt;=20,"P3","P4")))))</f>
        <v/>
      </c>
      <c r="AD665">
        <f>IF(AB665&lt;&gt;"",AB665,AA665)</f>
        <v/>
      </c>
      <c r="AE665">
        <f>VLOOKUP(AD665,SLA_Definitions!$A$2:$B$6,2,FALSE)</f>
        <v/>
      </c>
      <c r="AF665">
        <f>IF(B665&lt;&gt;"",WORKDAY(B665,AE665),"")</f>
        <v/>
      </c>
      <c r="AG665">
        <f>IF(AF665&lt;&gt;"",NETWORKDAYS(TODAY(),AF665),"")</f>
        <v/>
      </c>
      <c r="AH665">
        <f>IF(AJ665="Complete","Complete",IF(AG665&lt;0,"Overdue",IF(AG665&lt;=AE665*0.2,"At Risk","On Track")))</f>
        <v/>
      </c>
      <c r="AK665">
        <f>IF(OR(AH665="Overdue",AND(AD665="P0",AG665&lt;1),AND(AD665="P1",AG665&lt;3)),"Y","N")</f>
        <v/>
      </c>
    </row>
    <row r="666">
      <c r="K666">
        <f>IF(J666="v4.0",L666,IF(J666="v3.1",M666,IF(J666="Both",L666,IF(AND(L666&lt;&gt;"",M666=""),L666,M666))))</f>
        <v/>
      </c>
      <c r="Z666">
        <f>MIN(100,
(K666*5) +
(U666*10) +
IF(P666="Y",40,0) +
IF(Q666="P",30,0) +
IF(V666="Y",25,0) +
IF(W666="Y",20,0) +
IF(X666="Weaponized",15,IF(X666="PoC Available",10,IF(X666="Public Exploit",5,0))) +
IF(G666="Production",10,IF(G666="DMZ",8,IF(G666="DR/Backup",5,0))) +
IF(Y666="N",10,0)
)</f>
        <v/>
      </c>
      <c r="AA666">
        <f>IF(OR(P666="Y",AND(K666&gt;=9.0,W666="Y")),"P0",IF(Z666&gt;=80,"P0",IF(Z666&gt;=60,"P1",IF(Z666&gt;=40,"P2",IF(Z666&gt;=20,"P3","P4")))))</f>
        <v/>
      </c>
      <c r="AD666">
        <f>IF(AB666&lt;&gt;"",AB666,AA666)</f>
        <v/>
      </c>
      <c r="AE666">
        <f>VLOOKUP(AD666,SLA_Definitions!$A$2:$B$6,2,FALSE)</f>
        <v/>
      </c>
      <c r="AF666">
        <f>IF(B666&lt;&gt;"",WORKDAY(B666,AE666),"")</f>
        <v/>
      </c>
      <c r="AG666">
        <f>IF(AF666&lt;&gt;"",NETWORKDAYS(TODAY(),AF666),"")</f>
        <v/>
      </c>
      <c r="AH666">
        <f>IF(AJ666="Complete","Complete",IF(AG666&lt;0,"Overdue",IF(AG666&lt;=AE666*0.2,"At Risk","On Track")))</f>
        <v/>
      </c>
      <c r="AK666">
        <f>IF(OR(AH666="Overdue",AND(AD666="P0",AG666&lt;1),AND(AD666="P1",AG666&lt;3)),"Y","N")</f>
        <v/>
      </c>
    </row>
    <row r="667">
      <c r="K667">
        <f>IF(J667="v4.0",L667,IF(J667="v3.1",M667,IF(J667="Both",L667,IF(AND(L667&lt;&gt;"",M667=""),L667,M667))))</f>
        <v/>
      </c>
      <c r="Z667">
        <f>MIN(100,
(K667*5) +
(U667*10) +
IF(P667="Y",40,0) +
IF(Q667="P",30,0) +
IF(V667="Y",25,0) +
IF(W667="Y",20,0) +
IF(X667="Weaponized",15,IF(X667="PoC Available",10,IF(X667="Public Exploit",5,0))) +
IF(G667="Production",10,IF(G667="DMZ",8,IF(G667="DR/Backup",5,0))) +
IF(Y667="N",10,0)
)</f>
        <v/>
      </c>
      <c r="AA667">
        <f>IF(OR(P667="Y",AND(K667&gt;=9.0,W667="Y")),"P0",IF(Z667&gt;=80,"P0",IF(Z667&gt;=60,"P1",IF(Z667&gt;=40,"P2",IF(Z667&gt;=20,"P3","P4")))))</f>
        <v/>
      </c>
      <c r="AD667">
        <f>IF(AB667&lt;&gt;"",AB667,AA667)</f>
        <v/>
      </c>
      <c r="AE667">
        <f>VLOOKUP(AD667,SLA_Definitions!$A$2:$B$6,2,FALSE)</f>
        <v/>
      </c>
      <c r="AF667">
        <f>IF(B667&lt;&gt;"",WORKDAY(B667,AE667),"")</f>
        <v/>
      </c>
      <c r="AG667">
        <f>IF(AF667&lt;&gt;"",NETWORKDAYS(TODAY(),AF667),"")</f>
        <v/>
      </c>
      <c r="AH667">
        <f>IF(AJ667="Complete","Complete",IF(AG667&lt;0,"Overdue",IF(AG667&lt;=AE667*0.2,"At Risk","On Track")))</f>
        <v/>
      </c>
      <c r="AK667">
        <f>IF(OR(AH667="Overdue",AND(AD667="P0",AG667&lt;1),AND(AD667="P1",AG667&lt;3)),"Y","N")</f>
        <v/>
      </c>
    </row>
    <row r="668">
      <c r="K668">
        <f>IF(J668="v4.0",L668,IF(J668="v3.1",M668,IF(J668="Both",L668,IF(AND(L668&lt;&gt;"",M668=""),L668,M668))))</f>
        <v/>
      </c>
      <c r="Z668">
        <f>MIN(100,
(K668*5) +
(U668*10) +
IF(P668="Y",40,0) +
IF(Q668="P",30,0) +
IF(V668="Y",25,0) +
IF(W668="Y",20,0) +
IF(X668="Weaponized",15,IF(X668="PoC Available",10,IF(X668="Public Exploit",5,0))) +
IF(G668="Production",10,IF(G668="DMZ",8,IF(G668="DR/Backup",5,0))) +
IF(Y668="N",10,0)
)</f>
        <v/>
      </c>
      <c r="AA668">
        <f>IF(OR(P668="Y",AND(K668&gt;=9.0,W668="Y")),"P0",IF(Z668&gt;=80,"P0",IF(Z668&gt;=60,"P1",IF(Z668&gt;=40,"P2",IF(Z668&gt;=20,"P3","P4")))))</f>
        <v/>
      </c>
      <c r="AD668">
        <f>IF(AB668&lt;&gt;"",AB668,AA668)</f>
        <v/>
      </c>
      <c r="AE668">
        <f>VLOOKUP(AD668,SLA_Definitions!$A$2:$B$6,2,FALSE)</f>
        <v/>
      </c>
      <c r="AF668">
        <f>IF(B668&lt;&gt;"",WORKDAY(B668,AE668),"")</f>
        <v/>
      </c>
      <c r="AG668">
        <f>IF(AF668&lt;&gt;"",NETWORKDAYS(TODAY(),AF668),"")</f>
        <v/>
      </c>
      <c r="AH668">
        <f>IF(AJ668="Complete","Complete",IF(AG668&lt;0,"Overdue",IF(AG668&lt;=AE668*0.2,"At Risk","On Track")))</f>
        <v/>
      </c>
      <c r="AK668">
        <f>IF(OR(AH668="Overdue",AND(AD668="P0",AG668&lt;1),AND(AD668="P1",AG668&lt;3)),"Y","N")</f>
        <v/>
      </c>
    </row>
    <row r="669">
      <c r="K669">
        <f>IF(J669="v4.0",L669,IF(J669="v3.1",M669,IF(J669="Both",L669,IF(AND(L669&lt;&gt;"",M669=""),L669,M669))))</f>
        <v/>
      </c>
      <c r="Z669">
        <f>MIN(100,
(K669*5) +
(U669*10) +
IF(P669="Y",40,0) +
IF(Q669="P",30,0) +
IF(V669="Y",25,0) +
IF(W669="Y",20,0) +
IF(X669="Weaponized",15,IF(X669="PoC Available",10,IF(X669="Public Exploit",5,0))) +
IF(G669="Production",10,IF(G669="DMZ",8,IF(G669="DR/Backup",5,0))) +
IF(Y669="N",10,0)
)</f>
        <v/>
      </c>
      <c r="AA669">
        <f>IF(OR(P669="Y",AND(K669&gt;=9.0,W669="Y")),"P0",IF(Z669&gt;=80,"P0",IF(Z669&gt;=60,"P1",IF(Z669&gt;=40,"P2",IF(Z669&gt;=20,"P3","P4")))))</f>
        <v/>
      </c>
      <c r="AD669">
        <f>IF(AB669&lt;&gt;"",AB669,AA669)</f>
        <v/>
      </c>
      <c r="AE669">
        <f>VLOOKUP(AD669,SLA_Definitions!$A$2:$B$6,2,FALSE)</f>
        <v/>
      </c>
      <c r="AF669">
        <f>IF(B669&lt;&gt;"",WORKDAY(B669,AE669),"")</f>
        <v/>
      </c>
      <c r="AG669">
        <f>IF(AF669&lt;&gt;"",NETWORKDAYS(TODAY(),AF669),"")</f>
        <v/>
      </c>
      <c r="AH669">
        <f>IF(AJ669="Complete","Complete",IF(AG669&lt;0,"Overdue",IF(AG669&lt;=AE669*0.2,"At Risk","On Track")))</f>
        <v/>
      </c>
      <c r="AK669">
        <f>IF(OR(AH669="Overdue",AND(AD669="P0",AG669&lt;1),AND(AD669="P1",AG669&lt;3)),"Y","N")</f>
        <v/>
      </c>
    </row>
    <row r="670">
      <c r="K670">
        <f>IF(J670="v4.0",L670,IF(J670="v3.1",M670,IF(J670="Both",L670,IF(AND(L670&lt;&gt;"",M670=""),L670,M670))))</f>
        <v/>
      </c>
      <c r="Z670">
        <f>MIN(100,
(K670*5) +
(U670*10) +
IF(P670="Y",40,0) +
IF(Q670="P",30,0) +
IF(V670="Y",25,0) +
IF(W670="Y",20,0) +
IF(X670="Weaponized",15,IF(X670="PoC Available",10,IF(X670="Public Exploit",5,0))) +
IF(G670="Production",10,IF(G670="DMZ",8,IF(G670="DR/Backup",5,0))) +
IF(Y670="N",10,0)
)</f>
        <v/>
      </c>
      <c r="AA670">
        <f>IF(OR(P670="Y",AND(K670&gt;=9.0,W670="Y")),"P0",IF(Z670&gt;=80,"P0",IF(Z670&gt;=60,"P1",IF(Z670&gt;=40,"P2",IF(Z670&gt;=20,"P3","P4")))))</f>
        <v/>
      </c>
      <c r="AD670">
        <f>IF(AB670&lt;&gt;"",AB670,AA670)</f>
        <v/>
      </c>
      <c r="AE670">
        <f>VLOOKUP(AD670,SLA_Definitions!$A$2:$B$6,2,FALSE)</f>
        <v/>
      </c>
      <c r="AF670">
        <f>IF(B670&lt;&gt;"",WORKDAY(B670,AE670),"")</f>
        <v/>
      </c>
      <c r="AG670">
        <f>IF(AF670&lt;&gt;"",NETWORKDAYS(TODAY(),AF670),"")</f>
        <v/>
      </c>
      <c r="AH670">
        <f>IF(AJ670="Complete","Complete",IF(AG670&lt;0,"Overdue",IF(AG670&lt;=AE670*0.2,"At Risk","On Track")))</f>
        <v/>
      </c>
      <c r="AK670">
        <f>IF(OR(AH670="Overdue",AND(AD670="P0",AG670&lt;1),AND(AD670="P1",AG670&lt;3)),"Y","N")</f>
        <v/>
      </c>
    </row>
    <row r="671">
      <c r="K671">
        <f>IF(J671="v4.0",L671,IF(J671="v3.1",M671,IF(J671="Both",L671,IF(AND(L671&lt;&gt;"",M671=""),L671,M671))))</f>
        <v/>
      </c>
      <c r="Z671">
        <f>MIN(100,
(K671*5) +
(U671*10) +
IF(P671="Y",40,0) +
IF(Q671="P",30,0) +
IF(V671="Y",25,0) +
IF(W671="Y",20,0) +
IF(X671="Weaponized",15,IF(X671="PoC Available",10,IF(X671="Public Exploit",5,0))) +
IF(G671="Production",10,IF(G671="DMZ",8,IF(G671="DR/Backup",5,0))) +
IF(Y671="N",10,0)
)</f>
        <v/>
      </c>
      <c r="AA671">
        <f>IF(OR(P671="Y",AND(K671&gt;=9.0,W671="Y")),"P0",IF(Z671&gt;=80,"P0",IF(Z671&gt;=60,"P1",IF(Z671&gt;=40,"P2",IF(Z671&gt;=20,"P3","P4")))))</f>
        <v/>
      </c>
      <c r="AD671">
        <f>IF(AB671&lt;&gt;"",AB671,AA671)</f>
        <v/>
      </c>
      <c r="AE671">
        <f>VLOOKUP(AD671,SLA_Definitions!$A$2:$B$6,2,FALSE)</f>
        <v/>
      </c>
      <c r="AF671">
        <f>IF(B671&lt;&gt;"",WORKDAY(B671,AE671),"")</f>
        <v/>
      </c>
      <c r="AG671">
        <f>IF(AF671&lt;&gt;"",NETWORKDAYS(TODAY(),AF671),"")</f>
        <v/>
      </c>
      <c r="AH671">
        <f>IF(AJ671="Complete","Complete",IF(AG671&lt;0,"Overdue",IF(AG671&lt;=AE671*0.2,"At Risk","On Track")))</f>
        <v/>
      </c>
      <c r="AK671">
        <f>IF(OR(AH671="Overdue",AND(AD671="P0",AG671&lt;1),AND(AD671="P1",AG671&lt;3)),"Y","N")</f>
        <v/>
      </c>
    </row>
    <row r="672">
      <c r="K672">
        <f>IF(J672="v4.0",L672,IF(J672="v3.1",M672,IF(J672="Both",L672,IF(AND(L672&lt;&gt;"",M672=""),L672,M672))))</f>
        <v/>
      </c>
      <c r="Z672">
        <f>MIN(100,
(K672*5) +
(U672*10) +
IF(P672="Y",40,0) +
IF(Q672="P",30,0) +
IF(V672="Y",25,0) +
IF(W672="Y",20,0) +
IF(X672="Weaponized",15,IF(X672="PoC Available",10,IF(X672="Public Exploit",5,0))) +
IF(G672="Production",10,IF(G672="DMZ",8,IF(G672="DR/Backup",5,0))) +
IF(Y672="N",10,0)
)</f>
        <v/>
      </c>
      <c r="AA672">
        <f>IF(OR(P672="Y",AND(K672&gt;=9.0,W672="Y")),"P0",IF(Z672&gt;=80,"P0",IF(Z672&gt;=60,"P1",IF(Z672&gt;=40,"P2",IF(Z672&gt;=20,"P3","P4")))))</f>
        <v/>
      </c>
      <c r="AD672">
        <f>IF(AB672&lt;&gt;"",AB672,AA672)</f>
        <v/>
      </c>
      <c r="AE672">
        <f>VLOOKUP(AD672,SLA_Definitions!$A$2:$B$6,2,FALSE)</f>
        <v/>
      </c>
      <c r="AF672">
        <f>IF(B672&lt;&gt;"",WORKDAY(B672,AE672),"")</f>
        <v/>
      </c>
      <c r="AG672">
        <f>IF(AF672&lt;&gt;"",NETWORKDAYS(TODAY(),AF672),"")</f>
        <v/>
      </c>
      <c r="AH672">
        <f>IF(AJ672="Complete","Complete",IF(AG672&lt;0,"Overdue",IF(AG672&lt;=AE672*0.2,"At Risk","On Track")))</f>
        <v/>
      </c>
      <c r="AK672">
        <f>IF(OR(AH672="Overdue",AND(AD672="P0",AG672&lt;1),AND(AD672="P1",AG672&lt;3)),"Y","N")</f>
        <v/>
      </c>
    </row>
    <row r="673">
      <c r="K673">
        <f>IF(J673="v4.0",L673,IF(J673="v3.1",M673,IF(J673="Both",L673,IF(AND(L673&lt;&gt;"",M673=""),L673,M673))))</f>
        <v/>
      </c>
      <c r="Z673">
        <f>MIN(100,
(K673*5) +
(U673*10) +
IF(P673="Y",40,0) +
IF(Q673="P",30,0) +
IF(V673="Y",25,0) +
IF(W673="Y",20,0) +
IF(X673="Weaponized",15,IF(X673="PoC Available",10,IF(X673="Public Exploit",5,0))) +
IF(G673="Production",10,IF(G673="DMZ",8,IF(G673="DR/Backup",5,0))) +
IF(Y673="N",10,0)
)</f>
        <v/>
      </c>
      <c r="AA673">
        <f>IF(OR(P673="Y",AND(K673&gt;=9.0,W673="Y")),"P0",IF(Z673&gt;=80,"P0",IF(Z673&gt;=60,"P1",IF(Z673&gt;=40,"P2",IF(Z673&gt;=20,"P3","P4")))))</f>
        <v/>
      </c>
      <c r="AD673">
        <f>IF(AB673&lt;&gt;"",AB673,AA673)</f>
        <v/>
      </c>
      <c r="AE673">
        <f>VLOOKUP(AD673,SLA_Definitions!$A$2:$B$6,2,FALSE)</f>
        <v/>
      </c>
      <c r="AF673">
        <f>IF(B673&lt;&gt;"",WORKDAY(B673,AE673),"")</f>
        <v/>
      </c>
      <c r="AG673">
        <f>IF(AF673&lt;&gt;"",NETWORKDAYS(TODAY(),AF673),"")</f>
        <v/>
      </c>
      <c r="AH673">
        <f>IF(AJ673="Complete","Complete",IF(AG673&lt;0,"Overdue",IF(AG673&lt;=AE673*0.2,"At Risk","On Track")))</f>
        <v/>
      </c>
      <c r="AK673">
        <f>IF(OR(AH673="Overdue",AND(AD673="P0",AG673&lt;1),AND(AD673="P1",AG673&lt;3)),"Y","N")</f>
        <v/>
      </c>
    </row>
    <row r="674">
      <c r="K674">
        <f>IF(J674="v4.0",L674,IF(J674="v3.1",M674,IF(J674="Both",L674,IF(AND(L674&lt;&gt;"",M674=""),L674,M674))))</f>
        <v/>
      </c>
      <c r="Z674">
        <f>MIN(100,
(K674*5) +
(U674*10) +
IF(P674="Y",40,0) +
IF(Q674="P",30,0) +
IF(V674="Y",25,0) +
IF(W674="Y",20,0) +
IF(X674="Weaponized",15,IF(X674="PoC Available",10,IF(X674="Public Exploit",5,0))) +
IF(G674="Production",10,IF(G674="DMZ",8,IF(G674="DR/Backup",5,0))) +
IF(Y674="N",10,0)
)</f>
        <v/>
      </c>
      <c r="AA674">
        <f>IF(OR(P674="Y",AND(K674&gt;=9.0,W674="Y")),"P0",IF(Z674&gt;=80,"P0",IF(Z674&gt;=60,"P1",IF(Z674&gt;=40,"P2",IF(Z674&gt;=20,"P3","P4")))))</f>
        <v/>
      </c>
      <c r="AD674">
        <f>IF(AB674&lt;&gt;"",AB674,AA674)</f>
        <v/>
      </c>
      <c r="AE674">
        <f>VLOOKUP(AD674,SLA_Definitions!$A$2:$B$6,2,FALSE)</f>
        <v/>
      </c>
      <c r="AF674">
        <f>IF(B674&lt;&gt;"",WORKDAY(B674,AE674),"")</f>
        <v/>
      </c>
      <c r="AG674">
        <f>IF(AF674&lt;&gt;"",NETWORKDAYS(TODAY(),AF674),"")</f>
        <v/>
      </c>
      <c r="AH674">
        <f>IF(AJ674="Complete","Complete",IF(AG674&lt;0,"Overdue",IF(AG674&lt;=AE674*0.2,"At Risk","On Track")))</f>
        <v/>
      </c>
      <c r="AK674">
        <f>IF(OR(AH674="Overdue",AND(AD674="P0",AG674&lt;1),AND(AD674="P1",AG674&lt;3)),"Y","N")</f>
        <v/>
      </c>
    </row>
    <row r="675">
      <c r="K675">
        <f>IF(J675="v4.0",L675,IF(J675="v3.1",M675,IF(J675="Both",L675,IF(AND(L675&lt;&gt;"",M675=""),L675,M675))))</f>
        <v/>
      </c>
      <c r="Z675">
        <f>MIN(100,
(K675*5) +
(U675*10) +
IF(P675="Y",40,0) +
IF(Q675="P",30,0) +
IF(V675="Y",25,0) +
IF(W675="Y",20,0) +
IF(X675="Weaponized",15,IF(X675="PoC Available",10,IF(X675="Public Exploit",5,0))) +
IF(G675="Production",10,IF(G675="DMZ",8,IF(G675="DR/Backup",5,0))) +
IF(Y675="N",10,0)
)</f>
        <v/>
      </c>
      <c r="AA675">
        <f>IF(OR(P675="Y",AND(K675&gt;=9.0,W675="Y")),"P0",IF(Z675&gt;=80,"P0",IF(Z675&gt;=60,"P1",IF(Z675&gt;=40,"P2",IF(Z675&gt;=20,"P3","P4")))))</f>
        <v/>
      </c>
      <c r="AD675">
        <f>IF(AB675&lt;&gt;"",AB675,AA675)</f>
        <v/>
      </c>
      <c r="AE675">
        <f>VLOOKUP(AD675,SLA_Definitions!$A$2:$B$6,2,FALSE)</f>
        <v/>
      </c>
      <c r="AF675">
        <f>IF(B675&lt;&gt;"",WORKDAY(B675,AE675),"")</f>
        <v/>
      </c>
      <c r="AG675">
        <f>IF(AF675&lt;&gt;"",NETWORKDAYS(TODAY(),AF675),"")</f>
        <v/>
      </c>
      <c r="AH675">
        <f>IF(AJ675="Complete","Complete",IF(AG675&lt;0,"Overdue",IF(AG675&lt;=AE675*0.2,"At Risk","On Track")))</f>
        <v/>
      </c>
      <c r="AK675">
        <f>IF(OR(AH675="Overdue",AND(AD675="P0",AG675&lt;1),AND(AD675="P1",AG675&lt;3)),"Y","N")</f>
        <v/>
      </c>
    </row>
    <row r="676">
      <c r="K676">
        <f>IF(J676="v4.0",L676,IF(J676="v3.1",M676,IF(J676="Both",L676,IF(AND(L676&lt;&gt;"",M676=""),L676,M676))))</f>
        <v/>
      </c>
      <c r="Z676">
        <f>MIN(100,
(K676*5) +
(U676*10) +
IF(P676="Y",40,0) +
IF(Q676="P",30,0) +
IF(V676="Y",25,0) +
IF(W676="Y",20,0) +
IF(X676="Weaponized",15,IF(X676="PoC Available",10,IF(X676="Public Exploit",5,0))) +
IF(G676="Production",10,IF(G676="DMZ",8,IF(G676="DR/Backup",5,0))) +
IF(Y676="N",10,0)
)</f>
        <v/>
      </c>
      <c r="AA676">
        <f>IF(OR(P676="Y",AND(K676&gt;=9.0,W676="Y")),"P0",IF(Z676&gt;=80,"P0",IF(Z676&gt;=60,"P1",IF(Z676&gt;=40,"P2",IF(Z676&gt;=20,"P3","P4")))))</f>
        <v/>
      </c>
      <c r="AD676">
        <f>IF(AB676&lt;&gt;"",AB676,AA676)</f>
        <v/>
      </c>
      <c r="AE676">
        <f>VLOOKUP(AD676,SLA_Definitions!$A$2:$B$6,2,FALSE)</f>
        <v/>
      </c>
      <c r="AF676">
        <f>IF(B676&lt;&gt;"",WORKDAY(B676,AE676),"")</f>
        <v/>
      </c>
      <c r="AG676">
        <f>IF(AF676&lt;&gt;"",NETWORKDAYS(TODAY(),AF676),"")</f>
        <v/>
      </c>
      <c r="AH676">
        <f>IF(AJ676="Complete","Complete",IF(AG676&lt;0,"Overdue",IF(AG676&lt;=AE676*0.2,"At Risk","On Track")))</f>
        <v/>
      </c>
      <c r="AK676">
        <f>IF(OR(AH676="Overdue",AND(AD676="P0",AG676&lt;1),AND(AD676="P1",AG676&lt;3)),"Y","N")</f>
        <v/>
      </c>
    </row>
    <row r="677">
      <c r="K677">
        <f>IF(J677="v4.0",L677,IF(J677="v3.1",M677,IF(J677="Both",L677,IF(AND(L677&lt;&gt;"",M677=""),L677,M677))))</f>
        <v/>
      </c>
      <c r="Z677">
        <f>MIN(100,
(K677*5) +
(U677*10) +
IF(P677="Y",40,0) +
IF(Q677="P",30,0) +
IF(V677="Y",25,0) +
IF(W677="Y",20,0) +
IF(X677="Weaponized",15,IF(X677="PoC Available",10,IF(X677="Public Exploit",5,0))) +
IF(G677="Production",10,IF(G677="DMZ",8,IF(G677="DR/Backup",5,0))) +
IF(Y677="N",10,0)
)</f>
        <v/>
      </c>
      <c r="AA677">
        <f>IF(OR(P677="Y",AND(K677&gt;=9.0,W677="Y")),"P0",IF(Z677&gt;=80,"P0",IF(Z677&gt;=60,"P1",IF(Z677&gt;=40,"P2",IF(Z677&gt;=20,"P3","P4")))))</f>
        <v/>
      </c>
      <c r="AD677">
        <f>IF(AB677&lt;&gt;"",AB677,AA677)</f>
        <v/>
      </c>
      <c r="AE677">
        <f>VLOOKUP(AD677,SLA_Definitions!$A$2:$B$6,2,FALSE)</f>
        <v/>
      </c>
      <c r="AF677">
        <f>IF(B677&lt;&gt;"",WORKDAY(B677,AE677),"")</f>
        <v/>
      </c>
      <c r="AG677">
        <f>IF(AF677&lt;&gt;"",NETWORKDAYS(TODAY(),AF677),"")</f>
        <v/>
      </c>
      <c r="AH677">
        <f>IF(AJ677="Complete","Complete",IF(AG677&lt;0,"Overdue",IF(AG677&lt;=AE677*0.2,"At Risk","On Track")))</f>
        <v/>
      </c>
      <c r="AK677">
        <f>IF(OR(AH677="Overdue",AND(AD677="P0",AG677&lt;1),AND(AD677="P1",AG677&lt;3)),"Y","N")</f>
        <v/>
      </c>
    </row>
    <row r="678">
      <c r="K678">
        <f>IF(J678="v4.0",L678,IF(J678="v3.1",M678,IF(J678="Both",L678,IF(AND(L678&lt;&gt;"",M678=""),L678,M678))))</f>
        <v/>
      </c>
      <c r="Z678">
        <f>MIN(100,
(K678*5) +
(U678*10) +
IF(P678="Y",40,0) +
IF(Q678="P",30,0) +
IF(V678="Y",25,0) +
IF(W678="Y",20,0) +
IF(X678="Weaponized",15,IF(X678="PoC Available",10,IF(X678="Public Exploit",5,0))) +
IF(G678="Production",10,IF(G678="DMZ",8,IF(G678="DR/Backup",5,0))) +
IF(Y678="N",10,0)
)</f>
        <v/>
      </c>
      <c r="AA678">
        <f>IF(OR(P678="Y",AND(K678&gt;=9.0,W678="Y")),"P0",IF(Z678&gt;=80,"P0",IF(Z678&gt;=60,"P1",IF(Z678&gt;=40,"P2",IF(Z678&gt;=20,"P3","P4")))))</f>
        <v/>
      </c>
      <c r="AD678">
        <f>IF(AB678&lt;&gt;"",AB678,AA678)</f>
        <v/>
      </c>
      <c r="AE678">
        <f>VLOOKUP(AD678,SLA_Definitions!$A$2:$B$6,2,FALSE)</f>
        <v/>
      </c>
      <c r="AF678">
        <f>IF(B678&lt;&gt;"",WORKDAY(B678,AE678),"")</f>
        <v/>
      </c>
      <c r="AG678">
        <f>IF(AF678&lt;&gt;"",NETWORKDAYS(TODAY(),AF678),"")</f>
        <v/>
      </c>
      <c r="AH678">
        <f>IF(AJ678="Complete","Complete",IF(AG678&lt;0,"Overdue",IF(AG678&lt;=AE678*0.2,"At Risk","On Track")))</f>
        <v/>
      </c>
      <c r="AK678">
        <f>IF(OR(AH678="Overdue",AND(AD678="P0",AG678&lt;1),AND(AD678="P1",AG678&lt;3)),"Y","N")</f>
        <v/>
      </c>
    </row>
    <row r="679">
      <c r="K679">
        <f>IF(J679="v4.0",L679,IF(J679="v3.1",M679,IF(J679="Both",L679,IF(AND(L679&lt;&gt;"",M679=""),L679,M679))))</f>
        <v/>
      </c>
      <c r="Z679">
        <f>MIN(100,
(K679*5) +
(U679*10) +
IF(P679="Y",40,0) +
IF(Q679="P",30,0) +
IF(V679="Y",25,0) +
IF(W679="Y",20,0) +
IF(X679="Weaponized",15,IF(X679="PoC Available",10,IF(X679="Public Exploit",5,0))) +
IF(G679="Production",10,IF(G679="DMZ",8,IF(G679="DR/Backup",5,0))) +
IF(Y679="N",10,0)
)</f>
        <v/>
      </c>
      <c r="AA679">
        <f>IF(OR(P679="Y",AND(K679&gt;=9.0,W679="Y")),"P0",IF(Z679&gt;=80,"P0",IF(Z679&gt;=60,"P1",IF(Z679&gt;=40,"P2",IF(Z679&gt;=20,"P3","P4")))))</f>
        <v/>
      </c>
      <c r="AD679">
        <f>IF(AB679&lt;&gt;"",AB679,AA679)</f>
        <v/>
      </c>
      <c r="AE679">
        <f>VLOOKUP(AD679,SLA_Definitions!$A$2:$B$6,2,FALSE)</f>
        <v/>
      </c>
      <c r="AF679">
        <f>IF(B679&lt;&gt;"",WORKDAY(B679,AE679),"")</f>
        <v/>
      </c>
      <c r="AG679">
        <f>IF(AF679&lt;&gt;"",NETWORKDAYS(TODAY(),AF679),"")</f>
        <v/>
      </c>
      <c r="AH679">
        <f>IF(AJ679="Complete","Complete",IF(AG679&lt;0,"Overdue",IF(AG679&lt;=AE679*0.2,"At Risk","On Track")))</f>
        <v/>
      </c>
      <c r="AK679">
        <f>IF(OR(AH679="Overdue",AND(AD679="P0",AG679&lt;1),AND(AD679="P1",AG679&lt;3)),"Y","N")</f>
        <v/>
      </c>
    </row>
    <row r="680">
      <c r="K680">
        <f>IF(J680="v4.0",L680,IF(J680="v3.1",M680,IF(J680="Both",L680,IF(AND(L680&lt;&gt;"",M680=""),L680,M680))))</f>
        <v/>
      </c>
      <c r="Z680">
        <f>MIN(100,
(K680*5) +
(U680*10) +
IF(P680="Y",40,0) +
IF(Q680="P",30,0) +
IF(V680="Y",25,0) +
IF(W680="Y",20,0) +
IF(X680="Weaponized",15,IF(X680="PoC Available",10,IF(X680="Public Exploit",5,0))) +
IF(G680="Production",10,IF(G680="DMZ",8,IF(G680="DR/Backup",5,0))) +
IF(Y680="N",10,0)
)</f>
        <v/>
      </c>
      <c r="AA680">
        <f>IF(OR(P680="Y",AND(K680&gt;=9.0,W680="Y")),"P0",IF(Z680&gt;=80,"P0",IF(Z680&gt;=60,"P1",IF(Z680&gt;=40,"P2",IF(Z680&gt;=20,"P3","P4")))))</f>
        <v/>
      </c>
      <c r="AD680">
        <f>IF(AB680&lt;&gt;"",AB680,AA680)</f>
        <v/>
      </c>
      <c r="AE680">
        <f>VLOOKUP(AD680,SLA_Definitions!$A$2:$B$6,2,FALSE)</f>
        <v/>
      </c>
      <c r="AF680">
        <f>IF(B680&lt;&gt;"",WORKDAY(B680,AE680),"")</f>
        <v/>
      </c>
      <c r="AG680">
        <f>IF(AF680&lt;&gt;"",NETWORKDAYS(TODAY(),AF680),"")</f>
        <v/>
      </c>
      <c r="AH680">
        <f>IF(AJ680="Complete","Complete",IF(AG680&lt;0,"Overdue",IF(AG680&lt;=AE680*0.2,"At Risk","On Track")))</f>
        <v/>
      </c>
      <c r="AK680">
        <f>IF(OR(AH680="Overdue",AND(AD680="P0",AG680&lt;1),AND(AD680="P1",AG680&lt;3)),"Y","N")</f>
        <v/>
      </c>
    </row>
    <row r="681">
      <c r="K681">
        <f>IF(J681="v4.0",L681,IF(J681="v3.1",M681,IF(J681="Both",L681,IF(AND(L681&lt;&gt;"",M681=""),L681,M681))))</f>
        <v/>
      </c>
      <c r="Z681">
        <f>MIN(100,
(K681*5) +
(U681*10) +
IF(P681="Y",40,0) +
IF(Q681="P",30,0) +
IF(V681="Y",25,0) +
IF(W681="Y",20,0) +
IF(X681="Weaponized",15,IF(X681="PoC Available",10,IF(X681="Public Exploit",5,0))) +
IF(G681="Production",10,IF(G681="DMZ",8,IF(G681="DR/Backup",5,0))) +
IF(Y681="N",10,0)
)</f>
        <v/>
      </c>
      <c r="AA681">
        <f>IF(OR(P681="Y",AND(K681&gt;=9.0,W681="Y")),"P0",IF(Z681&gt;=80,"P0",IF(Z681&gt;=60,"P1",IF(Z681&gt;=40,"P2",IF(Z681&gt;=20,"P3","P4")))))</f>
        <v/>
      </c>
      <c r="AD681">
        <f>IF(AB681&lt;&gt;"",AB681,AA681)</f>
        <v/>
      </c>
      <c r="AE681">
        <f>VLOOKUP(AD681,SLA_Definitions!$A$2:$B$6,2,FALSE)</f>
        <v/>
      </c>
      <c r="AF681">
        <f>IF(B681&lt;&gt;"",WORKDAY(B681,AE681),"")</f>
        <v/>
      </c>
      <c r="AG681">
        <f>IF(AF681&lt;&gt;"",NETWORKDAYS(TODAY(),AF681),"")</f>
        <v/>
      </c>
      <c r="AH681">
        <f>IF(AJ681="Complete","Complete",IF(AG681&lt;0,"Overdue",IF(AG681&lt;=AE681*0.2,"At Risk","On Track")))</f>
        <v/>
      </c>
      <c r="AK681">
        <f>IF(OR(AH681="Overdue",AND(AD681="P0",AG681&lt;1),AND(AD681="P1",AG681&lt;3)),"Y","N")</f>
        <v/>
      </c>
    </row>
    <row r="682">
      <c r="K682">
        <f>IF(J682="v4.0",L682,IF(J682="v3.1",M682,IF(J682="Both",L682,IF(AND(L682&lt;&gt;"",M682=""),L682,M682))))</f>
        <v/>
      </c>
      <c r="Z682">
        <f>MIN(100,
(K682*5) +
(U682*10) +
IF(P682="Y",40,0) +
IF(Q682="P",30,0) +
IF(V682="Y",25,0) +
IF(W682="Y",20,0) +
IF(X682="Weaponized",15,IF(X682="PoC Available",10,IF(X682="Public Exploit",5,0))) +
IF(G682="Production",10,IF(G682="DMZ",8,IF(G682="DR/Backup",5,0))) +
IF(Y682="N",10,0)
)</f>
        <v/>
      </c>
      <c r="AA682">
        <f>IF(OR(P682="Y",AND(K682&gt;=9.0,W682="Y")),"P0",IF(Z682&gt;=80,"P0",IF(Z682&gt;=60,"P1",IF(Z682&gt;=40,"P2",IF(Z682&gt;=20,"P3","P4")))))</f>
        <v/>
      </c>
      <c r="AD682">
        <f>IF(AB682&lt;&gt;"",AB682,AA682)</f>
        <v/>
      </c>
      <c r="AE682">
        <f>VLOOKUP(AD682,SLA_Definitions!$A$2:$B$6,2,FALSE)</f>
        <v/>
      </c>
      <c r="AF682">
        <f>IF(B682&lt;&gt;"",WORKDAY(B682,AE682),"")</f>
        <v/>
      </c>
      <c r="AG682">
        <f>IF(AF682&lt;&gt;"",NETWORKDAYS(TODAY(),AF682),"")</f>
        <v/>
      </c>
      <c r="AH682">
        <f>IF(AJ682="Complete","Complete",IF(AG682&lt;0,"Overdue",IF(AG682&lt;=AE682*0.2,"At Risk","On Track")))</f>
        <v/>
      </c>
      <c r="AK682">
        <f>IF(OR(AH682="Overdue",AND(AD682="P0",AG682&lt;1),AND(AD682="P1",AG682&lt;3)),"Y","N")</f>
        <v/>
      </c>
    </row>
    <row r="683">
      <c r="K683">
        <f>IF(J683="v4.0",L683,IF(J683="v3.1",M683,IF(J683="Both",L683,IF(AND(L683&lt;&gt;"",M683=""),L683,M683))))</f>
        <v/>
      </c>
      <c r="Z683">
        <f>MIN(100,
(K683*5) +
(U683*10) +
IF(P683="Y",40,0) +
IF(Q683="P",30,0) +
IF(V683="Y",25,0) +
IF(W683="Y",20,0) +
IF(X683="Weaponized",15,IF(X683="PoC Available",10,IF(X683="Public Exploit",5,0))) +
IF(G683="Production",10,IF(G683="DMZ",8,IF(G683="DR/Backup",5,0))) +
IF(Y683="N",10,0)
)</f>
        <v/>
      </c>
      <c r="AA683">
        <f>IF(OR(P683="Y",AND(K683&gt;=9.0,W683="Y")),"P0",IF(Z683&gt;=80,"P0",IF(Z683&gt;=60,"P1",IF(Z683&gt;=40,"P2",IF(Z683&gt;=20,"P3","P4")))))</f>
        <v/>
      </c>
      <c r="AD683">
        <f>IF(AB683&lt;&gt;"",AB683,AA683)</f>
        <v/>
      </c>
      <c r="AE683">
        <f>VLOOKUP(AD683,SLA_Definitions!$A$2:$B$6,2,FALSE)</f>
        <v/>
      </c>
      <c r="AF683">
        <f>IF(B683&lt;&gt;"",WORKDAY(B683,AE683),"")</f>
        <v/>
      </c>
      <c r="AG683">
        <f>IF(AF683&lt;&gt;"",NETWORKDAYS(TODAY(),AF683),"")</f>
        <v/>
      </c>
      <c r="AH683">
        <f>IF(AJ683="Complete","Complete",IF(AG683&lt;0,"Overdue",IF(AG683&lt;=AE683*0.2,"At Risk","On Track")))</f>
        <v/>
      </c>
      <c r="AK683">
        <f>IF(OR(AH683="Overdue",AND(AD683="P0",AG683&lt;1),AND(AD683="P1",AG683&lt;3)),"Y","N")</f>
        <v/>
      </c>
    </row>
    <row r="684">
      <c r="K684">
        <f>IF(J684="v4.0",L684,IF(J684="v3.1",M684,IF(J684="Both",L684,IF(AND(L684&lt;&gt;"",M684=""),L684,M684))))</f>
        <v/>
      </c>
      <c r="Z684">
        <f>MIN(100,
(K684*5) +
(U684*10) +
IF(P684="Y",40,0) +
IF(Q684="P",30,0) +
IF(V684="Y",25,0) +
IF(W684="Y",20,0) +
IF(X684="Weaponized",15,IF(X684="PoC Available",10,IF(X684="Public Exploit",5,0))) +
IF(G684="Production",10,IF(G684="DMZ",8,IF(G684="DR/Backup",5,0))) +
IF(Y684="N",10,0)
)</f>
        <v/>
      </c>
      <c r="AA684">
        <f>IF(OR(P684="Y",AND(K684&gt;=9.0,W684="Y")),"P0",IF(Z684&gt;=80,"P0",IF(Z684&gt;=60,"P1",IF(Z684&gt;=40,"P2",IF(Z684&gt;=20,"P3","P4")))))</f>
        <v/>
      </c>
      <c r="AD684">
        <f>IF(AB684&lt;&gt;"",AB684,AA684)</f>
        <v/>
      </c>
      <c r="AE684">
        <f>VLOOKUP(AD684,SLA_Definitions!$A$2:$B$6,2,FALSE)</f>
        <v/>
      </c>
      <c r="AF684">
        <f>IF(B684&lt;&gt;"",WORKDAY(B684,AE684),"")</f>
        <v/>
      </c>
      <c r="AG684">
        <f>IF(AF684&lt;&gt;"",NETWORKDAYS(TODAY(),AF684),"")</f>
        <v/>
      </c>
      <c r="AH684">
        <f>IF(AJ684="Complete","Complete",IF(AG684&lt;0,"Overdue",IF(AG684&lt;=AE684*0.2,"At Risk","On Track")))</f>
        <v/>
      </c>
      <c r="AK684">
        <f>IF(OR(AH684="Overdue",AND(AD684="P0",AG684&lt;1),AND(AD684="P1",AG684&lt;3)),"Y","N")</f>
        <v/>
      </c>
    </row>
    <row r="685">
      <c r="K685">
        <f>IF(J685="v4.0",L685,IF(J685="v3.1",M685,IF(J685="Both",L685,IF(AND(L685&lt;&gt;"",M685=""),L685,M685))))</f>
        <v/>
      </c>
      <c r="Z685">
        <f>MIN(100,
(K685*5) +
(U685*10) +
IF(P685="Y",40,0) +
IF(Q685="P",30,0) +
IF(V685="Y",25,0) +
IF(W685="Y",20,0) +
IF(X685="Weaponized",15,IF(X685="PoC Available",10,IF(X685="Public Exploit",5,0))) +
IF(G685="Production",10,IF(G685="DMZ",8,IF(G685="DR/Backup",5,0))) +
IF(Y685="N",10,0)
)</f>
        <v/>
      </c>
      <c r="AA685">
        <f>IF(OR(P685="Y",AND(K685&gt;=9.0,W685="Y")),"P0",IF(Z685&gt;=80,"P0",IF(Z685&gt;=60,"P1",IF(Z685&gt;=40,"P2",IF(Z685&gt;=20,"P3","P4")))))</f>
        <v/>
      </c>
      <c r="AD685">
        <f>IF(AB685&lt;&gt;"",AB685,AA685)</f>
        <v/>
      </c>
      <c r="AE685">
        <f>VLOOKUP(AD685,SLA_Definitions!$A$2:$B$6,2,FALSE)</f>
        <v/>
      </c>
      <c r="AF685">
        <f>IF(B685&lt;&gt;"",WORKDAY(B685,AE685),"")</f>
        <v/>
      </c>
      <c r="AG685">
        <f>IF(AF685&lt;&gt;"",NETWORKDAYS(TODAY(),AF685),"")</f>
        <v/>
      </c>
      <c r="AH685">
        <f>IF(AJ685="Complete","Complete",IF(AG685&lt;0,"Overdue",IF(AG685&lt;=AE685*0.2,"At Risk","On Track")))</f>
        <v/>
      </c>
      <c r="AK685">
        <f>IF(OR(AH685="Overdue",AND(AD685="P0",AG685&lt;1),AND(AD685="P1",AG685&lt;3)),"Y","N")</f>
        <v/>
      </c>
    </row>
    <row r="686">
      <c r="K686">
        <f>IF(J686="v4.0",L686,IF(J686="v3.1",M686,IF(J686="Both",L686,IF(AND(L686&lt;&gt;"",M686=""),L686,M686))))</f>
        <v/>
      </c>
      <c r="Z686">
        <f>MIN(100,
(K686*5) +
(U686*10) +
IF(P686="Y",40,0) +
IF(Q686="P",30,0) +
IF(V686="Y",25,0) +
IF(W686="Y",20,0) +
IF(X686="Weaponized",15,IF(X686="PoC Available",10,IF(X686="Public Exploit",5,0))) +
IF(G686="Production",10,IF(G686="DMZ",8,IF(G686="DR/Backup",5,0))) +
IF(Y686="N",10,0)
)</f>
        <v/>
      </c>
      <c r="AA686">
        <f>IF(OR(P686="Y",AND(K686&gt;=9.0,W686="Y")),"P0",IF(Z686&gt;=80,"P0",IF(Z686&gt;=60,"P1",IF(Z686&gt;=40,"P2",IF(Z686&gt;=20,"P3","P4")))))</f>
        <v/>
      </c>
      <c r="AD686">
        <f>IF(AB686&lt;&gt;"",AB686,AA686)</f>
        <v/>
      </c>
      <c r="AE686">
        <f>VLOOKUP(AD686,SLA_Definitions!$A$2:$B$6,2,FALSE)</f>
        <v/>
      </c>
      <c r="AF686">
        <f>IF(B686&lt;&gt;"",WORKDAY(B686,AE686),"")</f>
        <v/>
      </c>
      <c r="AG686">
        <f>IF(AF686&lt;&gt;"",NETWORKDAYS(TODAY(),AF686),"")</f>
        <v/>
      </c>
      <c r="AH686">
        <f>IF(AJ686="Complete","Complete",IF(AG686&lt;0,"Overdue",IF(AG686&lt;=AE686*0.2,"At Risk","On Track")))</f>
        <v/>
      </c>
      <c r="AK686">
        <f>IF(OR(AH686="Overdue",AND(AD686="P0",AG686&lt;1),AND(AD686="P1",AG686&lt;3)),"Y","N")</f>
        <v/>
      </c>
    </row>
    <row r="687">
      <c r="K687">
        <f>IF(J687="v4.0",L687,IF(J687="v3.1",M687,IF(J687="Both",L687,IF(AND(L687&lt;&gt;"",M687=""),L687,M687))))</f>
        <v/>
      </c>
      <c r="Z687">
        <f>MIN(100,
(K687*5) +
(U687*10) +
IF(P687="Y",40,0) +
IF(Q687="P",30,0) +
IF(V687="Y",25,0) +
IF(W687="Y",20,0) +
IF(X687="Weaponized",15,IF(X687="PoC Available",10,IF(X687="Public Exploit",5,0))) +
IF(G687="Production",10,IF(G687="DMZ",8,IF(G687="DR/Backup",5,0))) +
IF(Y687="N",10,0)
)</f>
        <v/>
      </c>
      <c r="AA687">
        <f>IF(OR(P687="Y",AND(K687&gt;=9.0,W687="Y")),"P0",IF(Z687&gt;=80,"P0",IF(Z687&gt;=60,"P1",IF(Z687&gt;=40,"P2",IF(Z687&gt;=20,"P3","P4")))))</f>
        <v/>
      </c>
      <c r="AD687">
        <f>IF(AB687&lt;&gt;"",AB687,AA687)</f>
        <v/>
      </c>
      <c r="AE687">
        <f>VLOOKUP(AD687,SLA_Definitions!$A$2:$B$6,2,FALSE)</f>
        <v/>
      </c>
      <c r="AF687">
        <f>IF(B687&lt;&gt;"",WORKDAY(B687,AE687),"")</f>
        <v/>
      </c>
      <c r="AG687">
        <f>IF(AF687&lt;&gt;"",NETWORKDAYS(TODAY(),AF687),"")</f>
        <v/>
      </c>
      <c r="AH687">
        <f>IF(AJ687="Complete","Complete",IF(AG687&lt;0,"Overdue",IF(AG687&lt;=AE687*0.2,"At Risk","On Track")))</f>
        <v/>
      </c>
      <c r="AK687">
        <f>IF(OR(AH687="Overdue",AND(AD687="P0",AG687&lt;1),AND(AD687="P1",AG687&lt;3)),"Y","N")</f>
        <v/>
      </c>
    </row>
    <row r="688">
      <c r="K688">
        <f>IF(J688="v4.0",L688,IF(J688="v3.1",M688,IF(J688="Both",L688,IF(AND(L688&lt;&gt;"",M688=""),L688,M688))))</f>
        <v/>
      </c>
      <c r="Z688">
        <f>MIN(100,
(K688*5) +
(U688*10) +
IF(P688="Y",40,0) +
IF(Q688="P",30,0) +
IF(V688="Y",25,0) +
IF(W688="Y",20,0) +
IF(X688="Weaponized",15,IF(X688="PoC Available",10,IF(X688="Public Exploit",5,0))) +
IF(G688="Production",10,IF(G688="DMZ",8,IF(G688="DR/Backup",5,0))) +
IF(Y688="N",10,0)
)</f>
        <v/>
      </c>
      <c r="AA688">
        <f>IF(OR(P688="Y",AND(K688&gt;=9.0,W688="Y")),"P0",IF(Z688&gt;=80,"P0",IF(Z688&gt;=60,"P1",IF(Z688&gt;=40,"P2",IF(Z688&gt;=20,"P3","P4")))))</f>
        <v/>
      </c>
      <c r="AD688">
        <f>IF(AB688&lt;&gt;"",AB688,AA688)</f>
        <v/>
      </c>
      <c r="AE688">
        <f>VLOOKUP(AD688,SLA_Definitions!$A$2:$B$6,2,FALSE)</f>
        <v/>
      </c>
      <c r="AF688">
        <f>IF(B688&lt;&gt;"",WORKDAY(B688,AE688),"")</f>
        <v/>
      </c>
      <c r="AG688">
        <f>IF(AF688&lt;&gt;"",NETWORKDAYS(TODAY(),AF688),"")</f>
        <v/>
      </c>
      <c r="AH688">
        <f>IF(AJ688="Complete","Complete",IF(AG688&lt;0,"Overdue",IF(AG688&lt;=AE688*0.2,"At Risk","On Track")))</f>
        <v/>
      </c>
      <c r="AK688">
        <f>IF(OR(AH688="Overdue",AND(AD688="P0",AG688&lt;1),AND(AD688="P1",AG688&lt;3)),"Y","N")</f>
        <v/>
      </c>
    </row>
    <row r="689">
      <c r="K689">
        <f>IF(J689="v4.0",L689,IF(J689="v3.1",M689,IF(J689="Both",L689,IF(AND(L689&lt;&gt;"",M689=""),L689,M689))))</f>
        <v/>
      </c>
      <c r="Z689">
        <f>MIN(100,
(K689*5) +
(U689*10) +
IF(P689="Y",40,0) +
IF(Q689="P",30,0) +
IF(V689="Y",25,0) +
IF(W689="Y",20,0) +
IF(X689="Weaponized",15,IF(X689="PoC Available",10,IF(X689="Public Exploit",5,0))) +
IF(G689="Production",10,IF(G689="DMZ",8,IF(G689="DR/Backup",5,0))) +
IF(Y689="N",10,0)
)</f>
        <v/>
      </c>
      <c r="AA689">
        <f>IF(OR(P689="Y",AND(K689&gt;=9.0,W689="Y")),"P0",IF(Z689&gt;=80,"P0",IF(Z689&gt;=60,"P1",IF(Z689&gt;=40,"P2",IF(Z689&gt;=20,"P3","P4")))))</f>
        <v/>
      </c>
      <c r="AD689">
        <f>IF(AB689&lt;&gt;"",AB689,AA689)</f>
        <v/>
      </c>
      <c r="AE689">
        <f>VLOOKUP(AD689,SLA_Definitions!$A$2:$B$6,2,FALSE)</f>
        <v/>
      </c>
      <c r="AF689">
        <f>IF(B689&lt;&gt;"",WORKDAY(B689,AE689),"")</f>
        <v/>
      </c>
      <c r="AG689">
        <f>IF(AF689&lt;&gt;"",NETWORKDAYS(TODAY(),AF689),"")</f>
        <v/>
      </c>
      <c r="AH689">
        <f>IF(AJ689="Complete","Complete",IF(AG689&lt;0,"Overdue",IF(AG689&lt;=AE689*0.2,"At Risk","On Track")))</f>
        <v/>
      </c>
      <c r="AK689">
        <f>IF(OR(AH689="Overdue",AND(AD689="P0",AG689&lt;1),AND(AD689="P1",AG689&lt;3)),"Y","N")</f>
        <v/>
      </c>
    </row>
    <row r="690">
      <c r="K690">
        <f>IF(J690="v4.0",L690,IF(J690="v3.1",M690,IF(J690="Both",L690,IF(AND(L690&lt;&gt;"",M690=""),L690,M690))))</f>
        <v/>
      </c>
      <c r="Z690">
        <f>MIN(100,
(K690*5) +
(U690*10) +
IF(P690="Y",40,0) +
IF(Q690="P",30,0) +
IF(V690="Y",25,0) +
IF(W690="Y",20,0) +
IF(X690="Weaponized",15,IF(X690="PoC Available",10,IF(X690="Public Exploit",5,0))) +
IF(G690="Production",10,IF(G690="DMZ",8,IF(G690="DR/Backup",5,0))) +
IF(Y690="N",10,0)
)</f>
        <v/>
      </c>
      <c r="AA690">
        <f>IF(OR(P690="Y",AND(K690&gt;=9.0,W690="Y")),"P0",IF(Z690&gt;=80,"P0",IF(Z690&gt;=60,"P1",IF(Z690&gt;=40,"P2",IF(Z690&gt;=20,"P3","P4")))))</f>
        <v/>
      </c>
      <c r="AD690">
        <f>IF(AB690&lt;&gt;"",AB690,AA690)</f>
        <v/>
      </c>
      <c r="AE690">
        <f>VLOOKUP(AD690,SLA_Definitions!$A$2:$B$6,2,FALSE)</f>
        <v/>
      </c>
      <c r="AF690">
        <f>IF(B690&lt;&gt;"",WORKDAY(B690,AE690),"")</f>
        <v/>
      </c>
      <c r="AG690">
        <f>IF(AF690&lt;&gt;"",NETWORKDAYS(TODAY(),AF690),"")</f>
        <v/>
      </c>
      <c r="AH690">
        <f>IF(AJ690="Complete","Complete",IF(AG690&lt;0,"Overdue",IF(AG690&lt;=AE690*0.2,"At Risk","On Track")))</f>
        <v/>
      </c>
      <c r="AK690">
        <f>IF(OR(AH690="Overdue",AND(AD690="P0",AG690&lt;1),AND(AD690="P1",AG690&lt;3)),"Y","N")</f>
        <v/>
      </c>
    </row>
    <row r="691">
      <c r="K691">
        <f>IF(J691="v4.0",L691,IF(J691="v3.1",M691,IF(J691="Both",L691,IF(AND(L691&lt;&gt;"",M691=""),L691,M691))))</f>
        <v/>
      </c>
      <c r="Z691">
        <f>MIN(100,
(K691*5) +
(U691*10) +
IF(P691="Y",40,0) +
IF(Q691="P",30,0) +
IF(V691="Y",25,0) +
IF(W691="Y",20,0) +
IF(X691="Weaponized",15,IF(X691="PoC Available",10,IF(X691="Public Exploit",5,0))) +
IF(G691="Production",10,IF(G691="DMZ",8,IF(G691="DR/Backup",5,0))) +
IF(Y691="N",10,0)
)</f>
        <v/>
      </c>
      <c r="AA691">
        <f>IF(OR(P691="Y",AND(K691&gt;=9.0,W691="Y")),"P0",IF(Z691&gt;=80,"P0",IF(Z691&gt;=60,"P1",IF(Z691&gt;=40,"P2",IF(Z691&gt;=20,"P3","P4")))))</f>
        <v/>
      </c>
      <c r="AD691">
        <f>IF(AB691&lt;&gt;"",AB691,AA691)</f>
        <v/>
      </c>
      <c r="AE691">
        <f>VLOOKUP(AD691,SLA_Definitions!$A$2:$B$6,2,FALSE)</f>
        <v/>
      </c>
      <c r="AF691">
        <f>IF(B691&lt;&gt;"",WORKDAY(B691,AE691),"")</f>
        <v/>
      </c>
      <c r="AG691">
        <f>IF(AF691&lt;&gt;"",NETWORKDAYS(TODAY(),AF691),"")</f>
        <v/>
      </c>
      <c r="AH691">
        <f>IF(AJ691="Complete","Complete",IF(AG691&lt;0,"Overdue",IF(AG691&lt;=AE691*0.2,"At Risk","On Track")))</f>
        <v/>
      </c>
      <c r="AK691">
        <f>IF(OR(AH691="Overdue",AND(AD691="P0",AG691&lt;1),AND(AD691="P1",AG691&lt;3)),"Y","N")</f>
        <v/>
      </c>
    </row>
    <row r="692">
      <c r="K692">
        <f>IF(J692="v4.0",L692,IF(J692="v3.1",M692,IF(J692="Both",L692,IF(AND(L692&lt;&gt;"",M692=""),L692,M692))))</f>
        <v/>
      </c>
      <c r="Z692">
        <f>MIN(100,
(K692*5) +
(U692*10) +
IF(P692="Y",40,0) +
IF(Q692="P",30,0) +
IF(V692="Y",25,0) +
IF(W692="Y",20,0) +
IF(X692="Weaponized",15,IF(X692="PoC Available",10,IF(X692="Public Exploit",5,0))) +
IF(G692="Production",10,IF(G692="DMZ",8,IF(G692="DR/Backup",5,0))) +
IF(Y692="N",10,0)
)</f>
        <v/>
      </c>
      <c r="AA692">
        <f>IF(OR(P692="Y",AND(K692&gt;=9.0,W692="Y")),"P0",IF(Z692&gt;=80,"P0",IF(Z692&gt;=60,"P1",IF(Z692&gt;=40,"P2",IF(Z692&gt;=20,"P3","P4")))))</f>
        <v/>
      </c>
      <c r="AD692">
        <f>IF(AB692&lt;&gt;"",AB692,AA692)</f>
        <v/>
      </c>
      <c r="AE692">
        <f>VLOOKUP(AD692,SLA_Definitions!$A$2:$B$6,2,FALSE)</f>
        <v/>
      </c>
      <c r="AF692">
        <f>IF(B692&lt;&gt;"",WORKDAY(B692,AE692),"")</f>
        <v/>
      </c>
      <c r="AG692">
        <f>IF(AF692&lt;&gt;"",NETWORKDAYS(TODAY(),AF692),"")</f>
        <v/>
      </c>
      <c r="AH692">
        <f>IF(AJ692="Complete","Complete",IF(AG692&lt;0,"Overdue",IF(AG692&lt;=AE692*0.2,"At Risk","On Track")))</f>
        <v/>
      </c>
      <c r="AK692">
        <f>IF(OR(AH692="Overdue",AND(AD692="P0",AG692&lt;1),AND(AD692="P1",AG692&lt;3)),"Y","N")</f>
        <v/>
      </c>
    </row>
    <row r="693">
      <c r="K693">
        <f>IF(J693="v4.0",L693,IF(J693="v3.1",M693,IF(J693="Both",L693,IF(AND(L693&lt;&gt;"",M693=""),L693,M693))))</f>
        <v/>
      </c>
      <c r="Z693">
        <f>MIN(100,
(K693*5) +
(U693*10) +
IF(P693="Y",40,0) +
IF(Q693="P",30,0) +
IF(V693="Y",25,0) +
IF(W693="Y",20,0) +
IF(X693="Weaponized",15,IF(X693="PoC Available",10,IF(X693="Public Exploit",5,0))) +
IF(G693="Production",10,IF(G693="DMZ",8,IF(G693="DR/Backup",5,0))) +
IF(Y693="N",10,0)
)</f>
        <v/>
      </c>
      <c r="AA693">
        <f>IF(OR(P693="Y",AND(K693&gt;=9.0,W693="Y")),"P0",IF(Z693&gt;=80,"P0",IF(Z693&gt;=60,"P1",IF(Z693&gt;=40,"P2",IF(Z693&gt;=20,"P3","P4")))))</f>
        <v/>
      </c>
      <c r="AD693">
        <f>IF(AB693&lt;&gt;"",AB693,AA693)</f>
        <v/>
      </c>
      <c r="AE693">
        <f>VLOOKUP(AD693,SLA_Definitions!$A$2:$B$6,2,FALSE)</f>
        <v/>
      </c>
      <c r="AF693">
        <f>IF(B693&lt;&gt;"",WORKDAY(B693,AE693),"")</f>
        <v/>
      </c>
      <c r="AG693">
        <f>IF(AF693&lt;&gt;"",NETWORKDAYS(TODAY(),AF693),"")</f>
        <v/>
      </c>
      <c r="AH693">
        <f>IF(AJ693="Complete","Complete",IF(AG693&lt;0,"Overdue",IF(AG693&lt;=AE693*0.2,"At Risk","On Track")))</f>
        <v/>
      </c>
      <c r="AK693">
        <f>IF(OR(AH693="Overdue",AND(AD693="P0",AG693&lt;1),AND(AD693="P1",AG693&lt;3)),"Y","N")</f>
        <v/>
      </c>
    </row>
    <row r="694">
      <c r="K694">
        <f>IF(J694="v4.0",L694,IF(J694="v3.1",M694,IF(J694="Both",L694,IF(AND(L694&lt;&gt;"",M694=""),L694,M694))))</f>
        <v/>
      </c>
      <c r="Z694">
        <f>MIN(100,
(K694*5) +
(U694*10) +
IF(P694="Y",40,0) +
IF(Q694="P",30,0) +
IF(V694="Y",25,0) +
IF(W694="Y",20,0) +
IF(X694="Weaponized",15,IF(X694="PoC Available",10,IF(X694="Public Exploit",5,0))) +
IF(G694="Production",10,IF(G694="DMZ",8,IF(G694="DR/Backup",5,0))) +
IF(Y694="N",10,0)
)</f>
        <v/>
      </c>
      <c r="AA694">
        <f>IF(OR(P694="Y",AND(K694&gt;=9.0,W694="Y")),"P0",IF(Z694&gt;=80,"P0",IF(Z694&gt;=60,"P1",IF(Z694&gt;=40,"P2",IF(Z694&gt;=20,"P3","P4")))))</f>
        <v/>
      </c>
      <c r="AD694">
        <f>IF(AB694&lt;&gt;"",AB694,AA694)</f>
        <v/>
      </c>
      <c r="AE694">
        <f>VLOOKUP(AD694,SLA_Definitions!$A$2:$B$6,2,FALSE)</f>
        <v/>
      </c>
      <c r="AF694">
        <f>IF(B694&lt;&gt;"",WORKDAY(B694,AE694),"")</f>
        <v/>
      </c>
      <c r="AG694">
        <f>IF(AF694&lt;&gt;"",NETWORKDAYS(TODAY(),AF694),"")</f>
        <v/>
      </c>
      <c r="AH694">
        <f>IF(AJ694="Complete","Complete",IF(AG694&lt;0,"Overdue",IF(AG694&lt;=AE694*0.2,"At Risk","On Track")))</f>
        <v/>
      </c>
      <c r="AK694">
        <f>IF(OR(AH694="Overdue",AND(AD694="P0",AG694&lt;1),AND(AD694="P1",AG694&lt;3)),"Y","N")</f>
        <v/>
      </c>
    </row>
    <row r="695">
      <c r="K695">
        <f>IF(J695="v4.0",L695,IF(J695="v3.1",M695,IF(J695="Both",L695,IF(AND(L695&lt;&gt;"",M695=""),L695,M695))))</f>
        <v/>
      </c>
      <c r="Z695">
        <f>MIN(100,
(K695*5) +
(U695*10) +
IF(P695="Y",40,0) +
IF(Q695="P",30,0) +
IF(V695="Y",25,0) +
IF(W695="Y",20,0) +
IF(X695="Weaponized",15,IF(X695="PoC Available",10,IF(X695="Public Exploit",5,0))) +
IF(G695="Production",10,IF(G695="DMZ",8,IF(G695="DR/Backup",5,0))) +
IF(Y695="N",10,0)
)</f>
        <v/>
      </c>
      <c r="AA695">
        <f>IF(OR(P695="Y",AND(K695&gt;=9.0,W695="Y")),"P0",IF(Z695&gt;=80,"P0",IF(Z695&gt;=60,"P1",IF(Z695&gt;=40,"P2",IF(Z695&gt;=20,"P3","P4")))))</f>
        <v/>
      </c>
      <c r="AD695">
        <f>IF(AB695&lt;&gt;"",AB695,AA695)</f>
        <v/>
      </c>
      <c r="AE695">
        <f>VLOOKUP(AD695,SLA_Definitions!$A$2:$B$6,2,FALSE)</f>
        <v/>
      </c>
      <c r="AF695">
        <f>IF(B695&lt;&gt;"",WORKDAY(B695,AE695),"")</f>
        <v/>
      </c>
      <c r="AG695">
        <f>IF(AF695&lt;&gt;"",NETWORKDAYS(TODAY(),AF695),"")</f>
        <v/>
      </c>
      <c r="AH695">
        <f>IF(AJ695="Complete","Complete",IF(AG695&lt;0,"Overdue",IF(AG695&lt;=AE695*0.2,"At Risk","On Track")))</f>
        <v/>
      </c>
      <c r="AK695">
        <f>IF(OR(AH695="Overdue",AND(AD695="P0",AG695&lt;1),AND(AD695="P1",AG695&lt;3)),"Y","N")</f>
        <v/>
      </c>
    </row>
    <row r="696">
      <c r="K696">
        <f>IF(J696="v4.0",L696,IF(J696="v3.1",M696,IF(J696="Both",L696,IF(AND(L696&lt;&gt;"",M696=""),L696,M696))))</f>
        <v/>
      </c>
      <c r="Z696">
        <f>MIN(100,
(K696*5) +
(U696*10) +
IF(P696="Y",40,0) +
IF(Q696="P",30,0) +
IF(V696="Y",25,0) +
IF(W696="Y",20,0) +
IF(X696="Weaponized",15,IF(X696="PoC Available",10,IF(X696="Public Exploit",5,0))) +
IF(G696="Production",10,IF(G696="DMZ",8,IF(G696="DR/Backup",5,0))) +
IF(Y696="N",10,0)
)</f>
        <v/>
      </c>
      <c r="AA696">
        <f>IF(OR(P696="Y",AND(K696&gt;=9.0,W696="Y")),"P0",IF(Z696&gt;=80,"P0",IF(Z696&gt;=60,"P1",IF(Z696&gt;=40,"P2",IF(Z696&gt;=20,"P3","P4")))))</f>
        <v/>
      </c>
      <c r="AD696">
        <f>IF(AB696&lt;&gt;"",AB696,AA696)</f>
        <v/>
      </c>
      <c r="AE696">
        <f>VLOOKUP(AD696,SLA_Definitions!$A$2:$B$6,2,FALSE)</f>
        <v/>
      </c>
      <c r="AF696">
        <f>IF(B696&lt;&gt;"",WORKDAY(B696,AE696),"")</f>
        <v/>
      </c>
      <c r="AG696">
        <f>IF(AF696&lt;&gt;"",NETWORKDAYS(TODAY(),AF696),"")</f>
        <v/>
      </c>
      <c r="AH696">
        <f>IF(AJ696="Complete","Complete",IF(AG696&lt;0,"Overdue",IF(AG696&lt;=AE696*0.2,"At Risk","On Track")))</f>
        <v/>
      </c>
      <c r="AK696">
        <f>IF(OR(AH696="Overdue",AND(AD696="P0",AG696&lt;1),AND(AD696="P1",AG696&lt;3)),"Y","N")</f>
        <v/>
      </c>
    </row>
    <row r="697">
      <c r="K697">
        <f>IF(J697="v4.0",L697,IF(J697="v3.1",M697,IF(J697="Both",L697,IF(AND(L697&lt;&gt;"",M697=""),L697,M697))))</f>
        <v/>
      </c>
      <c r="Z697">
        <f>MIN(100,
(K697*5) +
(U697*10) +
IF(P697="Y",40,0) +
IF(Q697="P",30,0) +
IF(V697="Y",25,0) +
IF(W697="Y",20,0) +
IF(X697="Weaponized",15,IF(X697="PoC Available",10,IF(X697="Public Exploit",5,0))) +
IF(G697="Production",10,IF(G697="DMZ",8,IF(G697="DR/Backup",5,0))) +
IF(Y697="N",10,0)
)</f>
        <v/>
      </c>
      <c r="AA697">
        <f>IF(OR(P697="Y",AND(K697&gt;=9.0,W697="Y")),"P0",IF(Z697&gt;=80,"P0",IF(Z697&gt;=60,"P1",IF(Z697&gt;=40,"P2",IF(Z697&gt;=20,"P3","P4")))))</f>
        <v/>
      </c>
      <c r="AD697">
        <f>IF(AB697&lt;&gt;"",AB697,AA697)</f>
        <v/>
      </c>
      <c r="AE697">
        <f>VLOOKUP(AD697,SLA_Definitions!$A$2:$B$6,2,FALSE)</f>
        <v/>
      </c>
      <c r="AF697">
        <f>IF(B697&lt;&gt;"",WORKDAY(B697,AE697),"")</f>
        <v/>
      </c>
      <c r="AG697">
        <f>IF(AF697&lt;&gt;"",NETWORKDAYS(TODAY(),AF697),"")</f>
        <v/>
      </c>
      <c r="AH697">
        <f>IF(AJ697="Complete","Complete",IF(AG697&lt;0,"Overdue",IF(AG697&lt;=AE697*0.2,"At Risk","On Track")))</f>
        <v/>
      </c>
      <c r="AK697">
        <f>IF(OR(AH697="Overdue",AND(AD697="P0",AG697&lt;1),AND(AD697="P1",AG697&lt;3)),"Y","N")</f>
        <v/>
      </c>
    </row>
    <row r="698">
      <c r="K698">
        <f>IF(J698="v4.0",L698,IF(J698="v3.1",M698,IF(J698="Both",L698,IF(AND(L698&lt;&gt;"",M698=""),L698,M698))))</f>
        <v/>
      </c>
      <c r="Z698">
        <f>MIN(100,
(K698*5) +
(U698*10) +
IF(P698="Y",40,0) +
IF(Q698="P",30,0) +
IF(V698="Y",25,0) +
IF(W698="Y",20,0) +
IF(X698="Weaponized",15,IF(X698="PoC Available",10,IF(X698="Public Exploit",5,0))) +
IF(G698="Production",10,IF(G698="DMZ",8,IF(G698="DR/Backup",5,0))) +
IF(Y698="N",10,0)
)</f>
        <v/>
      </c>
      <c r="AA698">
        <f>IF(OR(P698="Y",AND(K698&gt;=9.0,W698="Y")),"P0",IF(Z698&gt;=80,"P0",IF(Z698&gt;=60,"P1",IF(Z698&gt;=40,"P2",IF(Z698&gt;=20,"P3","P4")))))</f>
        <v/>
      </c>
      <c r="AD698">
        <f>IF(AB698&lt;&gt;"",AB698,AA698)</f>
        <v/>
      </c>
      <c r="AE698">
        <f>VLOOKUP(AD698,SLA_Definitions!$A$2:$B$6,2,FALSE)</f>
        <v/>
      </c>
      <c r="AF698">
        <f>IF(B698&lt;&gt;"",WORKDAY(B698,AE698),"")</f>
        <v/>
      </c>
      <c r="AG698">
        <f>IF(AF698&lt;&gt;"",NETWORKDAYS(TODAY(),AF698),"")</f>
        <v/>
      </c>
      <c r="AH698">
        <f>IF(AJ698="Complete","Complete",IF(AG698&lt;0,"Overdue",IF(AG698&lt;=AE698*0.2,"At Risk","On Track")))</f>
        <v/>
      </c>
      <c r="AK698">
        <f>IF(OR(AH698="Overdue",AND(AD698="P0",AG698&lt;1),AND(AD698="P1",AG698&lt;3)),"Y","N")</f>
        <v/>
      </c>
    </row>
    <row r="699">
      <c r="K699">
        <f>IF(J699="v4.0",L699,IF(J699="v3.1",M699,IF(J699="Both",L699,IF(AND(L699&lt;&gt;"",M699=""),L699,M699))))</f>
        <v/>
      </c>
      <c r="Z699">
        <f>MIN(100,
(K699*5) +
(U699*10) +
IF(P699="Y",40,0) +
IF(Q699="P",30,0) +
IF(V699="Y",25,0) +
IF(W699="Y",20,0) +
IF(X699="Weaponized",15,IF(X699="PoC Available",10,IF(X699="Public Exploit",5,0))) +
IF(G699="Production",10,IF(G699="DMZ",8,IF(G699="DR/Backup",5,0))) +
IF(Y699="N",10,0)
)</f>
        <v/>
      </c>
      <c r="AA699">
        <f>IF(OR(P699="Y",AND(K699&gt;=9.0,W699="Y")),"P0",IF(Z699&gt;=80,"P0",IF(Z699&gt;=60,"P1",IF(Z699&gt;=40,"P2",IF(Z699&gt;=20,"P3","P4")))))</f>
        <v/>
      </c>
      <c r="AD699">
        <f>IF(AB699&lt;&gt;"",AB699,AA699)</f>
        <v/>
      </c>
      <c r="AE699">
        <f>VLOOKUP(AD699,SLA_Definitions!$A$2:$B$6,2,FALSE)</f>
        <v/>
      </c>
      <c r="AF699">
        <f>IF(B699&lt;&gt;"",WORKDAY(B699,AE699),"")</f>
        <v/>
      </c>
      <c r="AG699">
        <f>IF(AF699&lt;&gt;"",NETWORKDAYS(TODAY(),AF699),"")</f>
        <v/>
      </c>
      <c r="AH699">
        <f>IF(AJ699="Complete","Complete",IF(AG699&lt;0,"Overdue",IF(AG699&lt;=AE699*0.2,"At Risk","On Track")))</f>
        <v/>
      </c>
      <c r="AK699">
        <f>IF(OR(AH699="Overdue",AND(AD699="P0",AG699&lt;1),AND(AD699="P1",AG699&lt;3)),"Y","N")</f>
        <v/>
      </c>
    </row>
    <row r="700">
      <c r="K700">
        <f>IF(J700="v4.0",L700,IF(J700="v3.1",M700,IF(J700="Both",L700,IF(AND(L700&lt;&gt;"",M700=""),L700,M700))))</f>
        <v/>
      </c>
      <c r="Z700">
        <f>MIN(100,
(K700*5) +
(U700*10) +
IF(P700="Y",40,0) +
IF(Q700="P",30,0) +
IF(V700="Y",25,0) +
IF(W700="Y",20,0) +
IF(X700="Weaponized",15,IF(X700="PoC Available",10,IF(X700="Public Exploit",5,0))) +
IF(G700="Production",10,IF(G700="DMZ",8,IF(G700="DR/Backup",5,0))) +
IF(Y700="N",10,0)
)</f>
        <v/>
      </c>
      <c r="AA700">
        <f>IF(OR(P700="Y",AND(K700&gt;=9.0,W700="Y")),"P0",IF(Z700&gt;=80,"P0",IF(Z700&gt;=60,"P1",IF(Z700&gt;=40,"P2",IF(Z700&gt;=20,"P3","P4")))))</f>
        <v/>
      </c>
      <c r="AD700">
        <f>IF(AB700&lt;&gt;"",AB700,AA700)</f>
        <v/>
      </c>
      <c r="AE700">
        <f>VLOOKUP(AD700,SLA_Definitions!$A$2:$B$6,2,FALSE)</f>
        <v/>
      </c>
      <c r="AF700">
        <f>IF(B700&lt;&gt;"",WORKDAY(B700,AE700),"")</f>
        <v/>
      </c>
      <c r="AG700">
        <f>IF(AF700&lt;&gt;"",NETWORKDAYS(TODAY(),AF700),"")</f>
        <v/>
      </c>
      <c r="AH700">
        <f>IF(AJ700="Complete","Complete",IF(AG700&lt;0,"Overdue",IF(AG700&lt;=AE700*0.2,"At Risk","On Track")))</f>
        <v/>
      </c>
      <c r="AK700">
        <f>IF(OR(AH700="Overdue",AND(AD700="P0",AG700&lt;1),AND(AD700="P1",AG700&lt;3)),"Y","N")</f>
        <v/>
      </c>
    </row>
    <row r="701">
      <c r="K701">
        <f>IF(J701="v4.0",L701,IF(J701="v3.1",M701,IF(J701="Both",L701,IF(AND(L701&lt;&gt;"",M701=""),L701,M701))))</f>
        <v/>
      </c>
      <c r="Z701">
        <f>MIN(100,
(K701*5) +
(U701*10) +
IF(P701="Y",40,0) +
IF(Q701="P",30,0) +
IF(V701="Y",25,0) +
IF(W701="Y",20,0) +
IF(X701="Weaponized",15,IF(X701="PoC Available",10,IF(X701="Public Exploit",5,0))) +
IF(G701="Production",10,IF(G701="DMZ",8,IF(G701="DR/Backup",5,0))) +
IF(Y701="N",10,0)
)</f>
        <v/>
      </c>
      <c r="AA701">
        <f>IF(OR(P701="Y",AND(K701&gt;=9.0,W701="Y")),"P0",IF(Z701&gt;=80,"P0",IF(Z701&gt;=60,"P1",IF(Z701&gt;=40,"P2",IF(Z701&gt;=20,"P3","P4")))))</f>
        <v/>
      </c>
      <c r="AD701">
        <f>IF(AB701&lt;&gt;"",AB701,AA701)</f>
        <v/>
      </c>
      <c r="AE701">
        <f>VLOOKUP(AD701,SLA_Definitions!$A$2:$B$6,2,FALSE)</f>
        <v/>
      </c>
      <c r="AF701">
        <f>IF(B701&lt;&gt;"",WORKDAY(B701,AE701),"")</f>
        <v/>
      </c>
      <c r="AG701">
        <f>IF(AF701&lt;&gt;"",NETWORKDAYS(TODAY(),AF701),"")</f>
        <v/>
      </c>
      <c r="AH701">
        <f>IF(AJ701="Complete","Complete",IF(AG701&lt;0,"Overdue",IF(AG701&lt;=AE701*0.2,"At Risk","On Track")))</f>
        <v/>
      </c>
      <c r="AK701">
        <f>IF(OR(AH701="Overdue",AND(AD701="P0",AG701&lt;1),AND(AD701="P1",AG701&lt;3)),"Y","N")</f>
        <v/>
      </c>
    </row>
    <row r="702">
      <c r="K702">
        <f>IF(J702="v4.0",L702,IF(J702="v3.1",M702,IF(J702="Both",L702,IF(AND(L702&lt;&gt;"",M702=""),L702,M702))))</f>
        <v/>
      </c>
      <c r="Z702">
        <f>MIN(100,
(K702*5) +
(U702*10) +
IF(P702="Y",40,0) +
IF(Q702="P",30,0) +
IF(V702="Y",25,0) +
IF(W702="Y",20,0) +
IF(X702="Weaponized",15,IF(X702="PoC Available",10,IF(X702="Public Exploit",5,0))) +
IF(G702="Production",10,IF(G702="DMZ",8,IF(G702="DR/Backup",5,0))) +
IF(Y702="N",10,0)
)</f>
        <v/>
      </c>
      <c r="AA702">
        <f>IF(OR(P702="Y",AND(K702&gt;=9.0,W702="Y")),"P0",IF(Z702&gt;=80,"P0",IF(Z702&gt;=60,"P1",IF(Z702&gt;=40,"P2",IF(Z702&gt;=20,"P3","P4")))))</f>
        <v/>
      </c>
      <c r="AD702">
        <f>IF(AB702&lt;&gt;"",AB702,AA702)</f>
        <v/>
      </c>
      <c r="AE702">
        <f>VLOOKUP(AD702,SLA_Definitions!$A$2:$B$6,2,FALSE)</f>
        <v/>
      </c>
      <c r="AF702">
        <f>IF(B702&lt;&gt;"",WORKDAY(B702,AE702),"")</f>
        <v/>
      </c>
      <c r="AG702">
        <f>IF(AF702&lt;&gt;"",NETWORKDAYS(TODAY(),AF702),"")</f>
        <v/>
      </c>
      <c r="AH702">
        <f>IF(AJ702="Complete","Complete",IF(AG702&lt;0,"Overdue",IF(AG702&lt;=AE702*0.2,"At Risk","On Track")))</f>
        <v/>
      </c>
      <c r="AK702">
        <f>IF(OR(AH702="Overdue",AND(AD702="P0",AG702&lt;1),AND(AD702="P1",AG702&lt;3)),"Y","N")</f>
        <v/>
      </c>
    </row>
    <row r="703">
      <c r="K703">
        <f>IF(J703="v4.0",L703,IF(J703="v3.1",M703,IF(J703="Both",L703,IF(AND(L703&lt;&gt;"",M703=""),L703,M703))))</f>
        <v/>
      </c>
      <c r="Z703">
        <f>MIN(100,
(K703*5) +
(U703*10) +
IF(P703="Y",40,0) +
IF(Q703="P",30,0) +
IF(V703="Y",25,0) +
IF(W703="Y",20,0) +
IF(X703="Weaponized",15,IF(X703="PoC Available",10,IF(X703="Public Exploit",5,0))) +
IF(G703="Production",10,IF(G703="DMZ",8,IF(G703="DR/Backup",5,0))) +
IF(Y703="N",10,0)
)</f>
        <v/>
      </c>
      <c r="AA703">
        <f>IF(OR(P703="Y",AND(K703&gt;=9.0,W703="Y")),"P0",IF(Z703&gt;=80,"P0",IF(Z703&gt;=60,"P1",IF(Z703&gt;=40,"P2",IF(Z703&gt;=20,"P3","P4")))))</f>
        <v/>
      </c>
      <c r="AD703">
        <f>IF(AB703&lt;&gt;"",AB703,AA703)</f>
        <v/>
      </c>
      <c r="AE703">
        <f>VLOOKUP(AD703,SLA_Definitions!$A$2:$B$6,2,FALSE)</f>
        <v/>
      </c>
      <c r="AF703">
        <f>IF(B703&lt;&gt;"",WORKDAY(B703,AE703),"")</f>
        <v/>
      </c>
      <c r="AG703">
        <f>IF(AF703&lt;&gt;"",NETWORKDAYS(TODAY(),AF703),"")</f>
        <v/>
      </c>
      <c r="AH703">
        <f>IF(AJ703="Complete","Complete",IF(AG703&lt;0,"Overdue",IF(AG703&lt;=AE703*0.2,"At Risk","On Track")))</f>
        <v/>
      </c>
      <c r="AK703">
        <f>IF(OR(AH703="Overdue",AND(AD703="P0",AG703&lt;1),AND(AD703="P1",AG703&lt;3)),"Y","N")</f>
        <v/>
      </c>
    </row>
    <row r="704">
      <c r="K704">
        <f>IF(J704="v4.0",L704,IF(J704="v3.1",M704,IF(J704="Both",L704,IF(AND(L704&lt;&gt;"",M704=""),L704,M704))))</f>
        <v/>
      </c>
      <c r="Z704">
        <f>MIN(100,
(K704*5) +
(U704*10) +
IF(P704="Y",40,0) +
IF(Q704="P",30,0) +
IF(V704="Y",25,0) +
IF(W704="Y",20,0) +
IF(X704="Weaponized",15,IF(X704="PoC Available",10,IF(X704="Public Exploit",5,0))) +
IF(G704="Production",10,IF(G704="DMZ",8,IF(G704="DR/Backup",5,0))) +
IF(Y704="N",10,0)
)</f>
        <v/>
      </c>
      <c r="AA704">
        <f>IF(OR(P704="Y",AND(K704&gt;=9.0,W704="Y")),"P0",IF(Z704&gt;=80,"P0",IF(Z704&gt;=60,"P1",IF(Z704&gt;=40,"P2",IF(Z704&gt;=20,"P3","P4")))))</f>
        <v/>
      </c>
      <c r="AD704">
        <f>IF(AB704&lt;&gt;"",AB704,AA704)</f>
        <v/>
      </c>
      <c r="AE704">
        <f>VLOOKUP(AD704,SLA_Definitions!$A$2:$B$6,2,FALSE)</f>
        <v/>
      </c>
      <c r="AF704">
        <f>IF(B704&lt;&gt;"",WORKDAY(B704,AE704),"")</f>
        <v/>
      </c>
      <c r="AG704">
        <f>IF(AF704&lt;&gt;"",NETWORKDAYS(TODAY(),AF704),"")</f>
        <v/>
      </c>
      <c r="AH704">
        <f>IF(AJ704="Complete","Complete",IF(AG704&lt;0,"Overdue",IF(AG704&lt;=AE704*0.2,"At Risk","On Track")))</f>
        <v/>
      </c>
      <c r="AK704">
        <f>IF(OR(AH704="Overdue",AND(AD704="P0",AG704&lt;1),AND(AD704="P1",AG704&lt;3)),"Y","N")</f>
        <v/>
      </c>
    </row>
    <row r="705">
      <c r="K705">
        <f>IF(J705="v4.0",L705,IF(J705="v3.1",M705,IF(J705="Both",L705,IF(AND(L705&lt;&gt;"",M705=""),L705,M705))))</f>
        <v/>
      </c>
      <c r="Z705">
        <f>MIN(100,
(K705*5) +
(U705*10) +
IF(P705="Y",40,0) +
IF(Q705="P",30,0) +
IF(V705="Y",25,0) +
IF(W705="Y",20,0) +
IF(X705="Weaponized",15,IF(X705="PoC Available",10,IF(X705="Public Exploit",5,0))) +
IF(G705="Production",10,IF(G705="DMZ",8,IF(G705="DR/Backup",5,0))) +
IF(Y705="N",10,0)
)</f>
        <v/>
      </c>
      <c r="AA705">
        <f>IF(OR(P705="Y",AND(K705&gt;=9.0,W705="Y")),"P0",IF(Z705&gt;=80,"P0",IF(Z705&gt;=60,"P1",IF(Z705&gt;=40,"P2",IF(Z705&gt;=20,"P3","P4")))))</f>
        <v/>
      </c>
      <c r="AD705">
        <f>IF(AB705&lt;&gt;"",AB705,AA705)</f>
        <v/>
      </c>
      <c r="AE705">
        <f>VLOOKUP(AD705,SLA_Definitions!$A$2:$B$6,2,FALSE)</f>
        <v/>
      </c>
      <c r="AF705">
        <f>IF(B705&lt;&gt;"",WORKDAY(B705,AE705),"")</f>
        <v/>
      </c>
      <c r="AG705">
        <f>IF(AF705&lt;&gt;"",NETWORKDAYS(TODAY(),AF705),"")</f>
        <v/>
      </c>
      <c r="AH705">
        <f>IF(AJ705="Complete","Complete",IF(AG705&lt;0,"Overdue",IF(AG705&lt;=AE705*0.2,"At Risk","On Track")))</f>
        <v/>
      </c>
      <c r="AK705">
        <f>IF(OR(AH705="Overdue",AND(AD705="P0",AG705&lt;1),AND(AD705="P1",AG705&lt;3)),"Y","N")</f>
        <v/>
      </c>
    </row>
    <row r="706">
      <c r="K706">
        <f>IF(J706="v4.0",L706,IF(J706="v3.1",M706,IF(J706="Both",L706,IF(AND(L706&lt;&gt;"",M706=""),L706,M706))))</f>
        <v/>
      </c>
      <c r="Z706">
        <f>MIN(100,
(K706*5) +
(U706*10) +
IF(P706="Y",40,0) +
IF(Q706="P",30,0) +
IF(V706="Y",25,0) +
IF(W706="Y",20,0) +
IF(X706="Weaponized",15,IF(X706="PoC Available",10,IF(X706="Public Exploit",5,0))) +
IF(G706="Production",10,IF(G706="DMZ",8,IF(G706="DR/Backup",5,0))) +
IF(Y706="N",10,0)
)</f>
        <v/>
      </c>
      <c r="AA706">
        <f>IF(OR(P706="Y",AND(K706&gt;=9.0,W706="Y")),"P0",IF(Z706&gt;=80,"P0",IF(Z706&gt;=60,"P1",IF(Z706&gt;=40,"P2",IF(Z706&gt;=20,"P3","P4")))))</f>
        <v/>
      </c>
      <c r="AD706">
        <f>IF(AB706&lt;&gt;"",AB706,AA706)</f>
        <v/>
      </c>
      <c r="AE706">
        <f>VLOOKUP(AD706,SLA_Definitions!$A$2:$B$6,2,FALSE)</f>
        <v/>
      </c>
      <c r="AF706">
        <f>IF(B706&lt;&gt;"",WORKDAY(B706,AE706),"")</f>
        <v/>
      </c>
      <c r="AG706">
        <f>IF(AF706&lt;&gt;"",NETWORKDAYS(TODAY(),AF706),"")</f>
        <v/>
      </c>
      <c r="AH706">
        <f>IF(AJ706="Complete","Complete",IF(AG706&lt;0,"Overdue",IF(AG706&lt;=AE706*0.2,"At Risk","On Track")))</f>
        <v/>
      </c>
      <c r="AK706">
        <f>IF(OR(AH706="Overdue",AND(AD706="P0",AG706&lt;1),AND(AD706="P1",AG706&lt;3)),"Y","N")</f>
        <v/>
      </c>
    </row>
    <row r="707">
      <c r="K707">
        <f>IF(J707="v4.0",L707,IF(J707="v3.1",M707,IF(J707="Both",L707,IF(AND(L707&lt;&gt;"",M707=""),L707,M707))))</f>
        <v/>
      </c>
      <c r="Z707">
        <f>MIN(100,
(K707*5) +
(U707*10) +
IF(P707="Y",40,0) +
IF(Q707="P",30,0) +
IF(V707="Y",25,0) +
IF(W707="Y",20,0) +
IF(X707="Weaponized",15,IF(X707="PoC Available",10,IF(X707="Public Exploit",5,0))) +
IF(G707="Production",10,IF(G707="DMZ",8,IF(G707="DR/Backup",5,0))) +
IF(Y707="N",10,0)
)</f>
        <v/>
      </c>
      <c r="AA707">
        <f>IF(OR(P707="Y",AND(K707&gt;=9.0,W707="Y")),"P0",IF(Z707&gt;=80,"P0",IF(Z707&gt;=60,"P1",IF(Z707&gt;=40,"P2",IF(Z707&gt;=20,"P3","P4")))))</f>
        <v/>
      </c>
      <c r="AD707">
        <f>IF(AB707&lt;&gt;"",AB707,AA707)</f>
        <v/>
      </c>
      <c r="AE707">
        <f>VLOOKUP(AD707,SLA_Definitions!$A$2:$B$6,2,FALSE)</f>
        <v/>
      </c>
      <c r="AF707">
        <f>IF(B707&lt;&gt;"",WORKDAY(B707,AE707),"")</f>
        <v/>
      </c>
      <c r="AG707">
        <f>IF(AF707&lt;&gt;"",NETWORKDAYS(TODAY(),AF707),"")</f>
        <v/>
      </c>
      <c r="AH707">
        <f>IF(AJ707="Complete","Complete",IF(AG707&lt;0,"Overdue",IF(AG707&lt;=AE707*0.2,"At Risk","On Track")))</f>
        <v/>
      </c>
      <c r="AK707">
        <f>IF(OR(AH707="Overdue",AND(AD707="P0",AG707&lt;1),AND(AD707="P1",AG707&lt;3)),"Y","N")</f>
        <v/>
      </c>
    </row>
    <row r="708">
      <c r="K708">
        <f>IF(J708="v4.0",L708,IF(J708="v3.1",M708,IF(J708="Both",L708,IF(AND(L708&lt;&gt;"",M708=""),L708,M708))))</f>
        <v/>
      </c>
      <c r="Z708">
        <f>MIN(100,
(K708*5) +
(U708*10) +
IF(P708="Y",40,0) +
IF(Q708="P",30,0) +
IF(V708="Y",25,0) +
IF(W708="Y",20,0) +
IF(X708="Weaponized",15,IF(X708="PoC Available",10,IF(X708="Public Exploit",5,0))) +
IF(G708="Production",10,IF(G708="DMZ",8,IF(G708="DR/Backup",5,0))) +
IF(Y708="N",10,0)
)</f>
        <v/>
      </c>
      <c r="AA708">
        <f>IF(OR(P708="Y",AND(K708&gt;=9.0,W708="Y")),"P0",IF(Z708&gt;=80,"P0",IF(Z708&gt;=60,"P1",IF(Z708&gt;=40,"P2",IF(Z708&gt;=20,"P3","P4")))))</f>
        <v/>
      </c>
      <c r="AD708">
        <f>IF(AB708&lt;&gt;"",AB708,AA708)</f>
        <v/>
      </c>
      <c r="AE708">
        <f>VLOOKUP(AD708,SLA_Definitions!$A$2:$B$6,2,FALSE)</f>
        <v/>
      </c>
      <c r="AF708">
        <f>IF(B708&lt;&gt;"",WORKDAY(B708,AE708),"")</f>
        <v/>
      </c>
      <c r="AG708">
        <f>IF(AF708&lt;&gt;"",NETWORKDAYS(TODAY(),AF708),"")</f>
        <v/>
      </c>
      <c r="AH708">
        <f>IF(AJ708="Complete","Complete",IF(AG708&lt;0,"Overdue",IF(AG708&lt;=AE708*0.2,"At Risk","On Track")))</f>
        <v/>
      </c>
      <c r="AK708">
        <f>IF(OR(AH708="Overdue",AND(AD708="P0",AG708&lt;1),AND(AD708="P1",AG708&lt;3)),"Y","N")</f>
        <v/>
      </c>
    </row>
    <row r="709">
      <c r="K709">
        <f>IF(J709="v4.0",L709,IF(J709="v3.1",M709,IF(J709="Both",L709,IF(AND(L709&lt;&gt;"",M709=""),L709,M709))))</f>
        <v/>
      </c>
      <c r="Z709">
        <f>MIN(100,
(K709*5) +
(U709*10) +
IF(P709="Y",40,0) +
IF(Q709="P",30,0) +
IF(V709="Y",25,0) +
IF(W709="Y",20,0) +
IF(X709="Weaponized",15,IF(X709="PoC Available",10,IF(X709="Public Exploit",5,0))) +
IF(G709="Production",10,IF(G709="DMZ",8,IF(G709="DR/Backup",5,0))) +
IF(Y709="N",10,0)
)</f>
        <v/>
      </c>
      <c r="AA709">
        <f>IF(OR(P709="Y",AND(K709&gt;=9.0,W709="Y")),"P0",IF(Z709&gt;=80,"P0",IF(Z709&gt;=60,"P1",IF(Z709&gt;=40,"P2",IF(Z709&gt;=20,"P3","P4")))))</f>
        <v/>
      </c>
      <c r="AD709">
        <f>IF(AB709&lt;&gt;"",AB709,AA709)</f>
        <v/>
      </c>
      <c r="AE709">
        <f>VLOOKUP(AD709,SLA_Definitions!$A$2:$B$6,2,FALSE)</f>
        <v/>
      </c>
      <c r="AF709">
        <f>IF(B709&lt;&gt;"",WORKDAY(B709,AE709),"")</f>
        <v/>
      </c>
      <c r="AG709">
        <f>IF(AF709&lt;&gt;"",NETWORKDAYS(TODAY(),AF709),"")</f>
        <v/>
      </c>
      <c r="AH709">
        <f>IF(AJ709="Complete","Complete",IF(AG709&lt;0,"Overdue",IF(AG709&lt;=AE709*0.2,"At Risk","On Track")))</f>
        <v/>
      </c>
      <c r="AK709">
        <f>IF(OR(AH709="Overdue",AND(AD709="P0",AG709&lt;1),AND(AD709="P1",AG709&lt;3)),"Y","N")</f>
        <v/>
      </c>
    </row>
    <row r="710">
      <c r="K710">
        <f>IF(J710="v4.0",L710,IF(J710="v3.1",M710,IF(J710="Both",L710,IF(AND(L710&lt;&gt;"",M710=""),L710,M710))))</f>
        <v/>
      </c>
      <c r="Z710">
        <f>MIN(100,
(K710*5) +
(U710*10) +
IF(P710="Y",40,0) +
IF(Q710="P",30,0) +
IF(V710="Y",25,0) +
IF(W710="Y",20,0) +
IF(X710="Weaponized",15,IF(X710="PoC Available",10,IF(X710="Public Exploit",5,0))) +
IF(G710="Production",10,IF(G710="DMZ",8,IF(G710="DR/Backup",5,0))) +
IF(Y710="N",10,0)
)</f>
        <v/>
      </c>
      <c r="AA710">
        <f>IF(OR(P710="Y",AND(K710&gt;=9.0,W710="Y")),"P0",IF(Z710&gt;=80,"P0",IF(Z710&gt;=60,"P1",IF(Z710&gt;=40,"P2",IF(Z710&gt;=20,"P3","P4")))))</f>
        <v/>
      </c>
      <c r="AD710">
        <f>IF(AB710&lt;&gt;"",AB710,AA710)</f>
        <v/>
      </c>
      <c r="AE710">
        <f>VLOOKUP(AD710,SLA_Definitions!$A$2:$B$6,2,FALSE)</f>
        <v/>
      </c>
      <c r="AF710">
        <f>IF(B710&lt;&gt;"",WORKDAY(B710,AE710),"")</f>
        <v/>
      </c>
      <c r="AG710">
        <f>IF(AF710&lt;&gt;"",NETWORKDAYS(TODAY(),AF710),"")</f>
        <v/>
      </c>
      <c r="AH710">
        <f>IF(AJ710="Complete","Complete",IF(AG710&lt;0,"Overdue",IF(AG710&lt;=AE710*0.2,"At Risk","On Track")))</f>
        <v/>
      </c>
      <c r="AK710">
        <f>IF(OR(AH710="Overdue",AND(AD710="P0",AG710&lt;1),AND(AD710="P1",AG710&lt;3)),"Y","N")</f>
        <v/>
      </c>
    </row>
    <row r="711">
      <c r="K711">
        <f>IF(J711="v4.0",L711,IF(J711="v3.1",M711,IF(J711="Both",L711,IF(AND(L711&lt;&gt;"",M711=""),L711,M711))))</f>
        <v/>
      </c>
      <c r="Z711">
        <f>MIN(100,
(K711*5) +
(U711*10) +
IF(P711="Y",40,0) +
IF(Q711="P",30,0) +
IF(V711="Y",25,0) +
IF(W711="Y",20,0) +
IF(X711="Weaponized",15,IF(X711="PoC Available",10,IF(X711="Public Exploit",5,0))) +
IF(G711="Production",10,IF(G711="DMZ",8,IF(G711="DR/Backup",5,0))) +
IF(Y711="N",10,0)
)</f>
        <v/>
      </c>
      <c r="AA711">
        <f>IF(OR(P711="Y",AND(K711&gt;=9.0,W711="Y")),"P0",IF(Z711&gt;=80,"P0",IF(Z711&gt;=60,"P1",IF(Z711&gt;=40,"P2",IF(Z711&gt;=20,"P3","P4")))))</f>
        <v/>
      </c>
      <c r="AD711">
        <f>IF(AB711&lt;&gt;"",AB711,AA711)</f>
        <v/>
      </c>
      <c r="AE711">
        <f>VLOOKUP(AD711,SLA_Definitions!$A$2:$B$6,2,FALSE)</f>
        <v/>
      </c>
      <c r="AF711">
        <f>IF(B711&lt;&gt;"",WORKDAY(B711,AE711),"")</f>
        <v/>
      </c>
      <c r="AG711">
        <f>IF(AF711&lt;&gt;"",NETWORKDAYS(TODAY(),AF711),"")</f>
        <v/>
      </c>
      <c r="AH711">
        <f>IF(AJ711="Complete","Complete",IF(AG711&lt;0,"Overdue",IF(AG711&lt;=AE711*0.2,"At Risk","On Track")))</f>
        <v/>
      </c>
      <c r="AK711">
        <f>IF(OR(AH711="Overdue",AND(AD711="P0",AG711&lt;1),AND(AD711="P1",AG711&lt;3)),"Y","N")</f>
        <v/>
      </c>
    </row>
    <row r="712">
      <c r="K712">
        <f>IF(J712="v4.0",L712,IF(J712="v3.1",M712,IF(J712="Both",L712,IF(AND(L712&lt;&gt;"",M712=""),L712,M712))))</f>
        <v/>
      </c>
      <c r="Z712">
        <f>MIN(100,
(K712*5) +
(U712*10) +
IF(P712="Y",40,0) +
IF(Q712="P",30,0) +
IF(V712="Y",25,0) +
IF(W712="Y",20,0) +
IF(X712="Weaponized",15,IF(X712="PoC Available",10,IF(X712="Public Exploit",5,0))) +
IF(G712="Production",10,IF(G712="DMZ",8,IF(G712="DR/Backup",5,0))) +
IF(Y712="N",10,0)
)</f>
        <v/>
      </c>
      <c r="AA712">
        <f>IF(OR(P712="Y",AND(K712&gt;=9.0,W712="Y")),"P0",IF(Z712&gt;=80,"P0",IF(Z712&gt;=60,"P1",IF(Z712&gt;=40,"P2",IF(Z712&gt;=20,"P3","P4")))))</f>
        <v/>
      </c>
      <c r="AD712">
        <f>IF(AB712&lt;&gt;"",AB712,AA712)</f>
        <v/>
      </c>
      <c r="AE712">
        <f>VLOOKUP(AD712,SLA_Definitions!$A$2:$B$6,2,FALSE)</f>
        <v/>
      </c>
      <c r="AF712">
        <f>IF(B712&lt;&gt;"",WORKDAY(B712,AE712),"")</f>
        <v/>
      </c>
      <c r="AG712">
        <f>IF(AF712&lt;&gt;"",NETWORKDAYS(TODAY(),AF712),"")</f>
        <v/>
      </c>
      <c r="AH712">
        <f>IF(AJ712="Complete","Complete",IF(AG712&lt;0,"Overdue",IF(AG712&lt;=AE712*0.2,"At Risk","On Track")))</f>
        <v/>
      </c>
      <c r="AK712">
        <f>IF(OR(AH712="Overdue",AND(AD712="P0",AG712&lt;1),AND(AD712="P1",AG712&lt;3)),"Y","N")</f>
        <v/>
      </c>
    </row>
    <row r="713">
      <c r="K713">
        <f>IF(J713="v4.0",L713,IF(J713="v3.1",M713,IF(J713="Both",L713,IF(AND(L713&lt;&gt;"",M713=""),L713,M713))))</f>
        <v/>
      </c>
      <c r="Z713">
        <f>MIN(100,
(K713*5) +
(U713*10) +
IF(P713="Y",40,0) +
IF(Q713="P",30,0) +
IF(V713="Y",25,0) +
IF(W713="Y",20,0) +
IF(X713="Weaponized",15,IF(X713="PoC Available",10,IF(X713="Public Exploit",5,0))) +
IF(G713="Production",10,IF(G713="DMZ",8,IF(G713="DR/Backup",5,0))) +
IF(Y713="N",10,0)
)</f>
        <v/>
      </c>
      <c r="AA713">
        <f>IF(OR(P713="Y",AND(K713&gt;=9.0,W713="Y")),"P0",IF(Z713&gt;=80,"P0",IF(Z713&gt;=60,"P1",IF(Z713&gt;=40,"P2",IF(Z713&gt;=20,"P3","P4")))))</f>
        <v/>
      </c>
      <c r="AD713">
        <f>IF(AB713&lt;&gt;"",AB713,AA713)</f>
        <v/>
      </c>
      <c r="AE713">
        <f>VLOOKUP(AD713,SLA_Definitions!$A$2:$B$6,2,FALSE)</f>
        <v/>
      </c>
      <c r="AF713">
        <f>IF(B713&lt;&gt;"",WORKDAY(B713,AE713),"")</f>
        <v/>
      </c>
      <c r="AG713">
        <f>IF(AF713&lt;&gt;"",NETWORKDAYS(TODAY(),AF713),"")</f>
        <v/>
      </c>
      <c r="AH713">
        <f>IF(AJ713="Complete","Complete",IF(AG713&lt;0,"Overdue",IF(AG713&lt;=AE713*0.2,"At Risk","On Track")))</f>
        <v/>
      </c>
      <c r="AK713">
        <f>IF(OR(AH713="Overdue",AND(AD713="P0",AG713&lt;1),AND(AD713="P1",AG713&lt;3)),"Y","N")</f>
        <v/>
      </c>
    </row>
    <row r="714">
      <c r="K714">
        <f>IF(J714="v4.0",L714,IF(J714="v3.1",M714,IF(J714="Both",L714,IF(AND(L714&lt;&gt;"",M714=""),L714,M714))))</f>
        <v/>
      </c>
      <c r="Z714">
        <f>MIN(100,
(K714*5) +
(U714*10) +
IF(P714="Y",40,0) +
IF(Q714="P",30,0) +
IF(V714="Y",25,0) +
IF(W714="Y",20,0) +
IF(X714="Weaponized",15,IF(X714="PoC Available",10,IF(X714="Public Exploit",5,0))) +
IF(G714="Production",10,IF(G714="DMZ",8,IF(G714="DR/Backup",5,0))) +
IF(Y714="N",10,0)
)</f>
        <v/>
      </c>
      <c r="AA714">
        <f>IF(OR(P714="Y",AND(K714&gt;=9.0,W714="Y")),"P0",IF(Z714&gt;=80,"P0",IF(Z714&gt;=60,"P1",IF(Z714&gt;=40,"P2",IF(Z714&gt;=20,"P3","P4")))))</f>
        <v/>
      </c>
      <c r="AD714">
        <f>IF(AB714&lt;&gt;"",AB714,AA714)</f>
        <v/>
      </c>
      <c r="AE714">
        <f>VLOOKUP(AD714,SLA_Definitions!$A$2:$B$6,2,FALSE)</f>
        <v/>
      </c>
      <c r="AF714">
        <f>IF(B714&lt;&gt;"",WORKDAY(B714,AE714),"")</f>
        <v/>
      </c>
      <c r="AG714">
        <f>IF(AF714&lt;&gt;"",NETWORKDAYS(TODAY(),AF714),"")</f>
        <v/>
      </c>
      <c r="AH714">
        <f>IF(AJ714="Complete","Complete",IF(AG714&lt;0,"Overdue",IF(AG714&lt;=AE714*0.2,"At Risk","On Track")))</f>
        <v/>
      </c>
      <c r="AK714">
        <f>IF(OR(AH714="Overdue",AND(AD714="P0",AG714&lt;1),AND(AD714="P1",AG714&lt;3)),"Y","N")</f>
        <v/>
      </c>
    </row>
    <row r="715">
      <c r="K715">
        <f>IF(J715="v4.0",L715,IF(J715="v3.1",M715,IF(J715="Both",L715,IF(AND(L715&lt;&gt;"",M715=""),L715,M715))))</f>
        <v/>
      </c>
      <c r="Z715">
        <f>MIN(100,
(K715*5) +
(U715*10) +
IF(P715="Y",40,0) +
IF(Q715="P",30,0) +
IF(V715="Y",25,0) +
IF(W715="Y",20,0) +
IF(X715="Weaponized",15,IF(X715="PoC Available",10,IF(X715="Public Exploit",5,0))) +
IF(G715="Production",10,IF(G715="DMZ",8,IF(G715="DR/Backup",5,0))) +
IF(Y715="N",10,0)
)</f>
        <v/>
      </c>
      <c r="AA715">
        <f>IF(OR(P715="Y",AND(K715&gt;=9.0,W715="Y")),"P0",IF(Z715&gt;=80,"P0",IF(Z715&gt;=60,"P1",IF(Z715&gt;=40,"P2",IF(Z715&gt;=20,"P3","P4")))))</f>
        <v/>
      </c>
      <c r="AD715">
        <f>IF(AB715&lt;&gt;"",AB715,AA715)</f>
        <v/>
      </c>
      <c r="AE715">
        <f>VLOOKUP(AD715,SLA_Definitions!$A$2:$B$6,2,FALSE)</f>
        <v/>
      </c>
      <c r="AF715">
        <f>IF(B715&lt;&gt;"",WORKDAY(B715,AE715),"")</f>
        <v/>
      </c>
      <c r="AG715">
        <f>IF(AF715&lt;&gt;"",NETWORKDAYS(TODAY(),AF715),"")</f>
        <v/>
      </c>
      <c r="AH715">
        <f>IF(AJ715="Complete","Complete",IF(AG715&lt;0,"Overdue",IF(AG715&lt;=AE715*0.2,"At Risk","On Track")))</f>
        <v/>
      </c>
      <c r="AK715">
        <f>IF(OR(AH715="Overdue",AND(AD715="P0",AG715&lt;1),AND(AD715="P1",AG715&lt;3)),"Y","N")</f>
        <v/>
      </c>
    </row>
    <row r="716">
      <c r="K716">
        <f>IF(J716="v4.0",L716,IF(J716="v3.1",M716,IF(J716="Both",L716,IF(AND(L716&lt;&gt;"",M716=""),L716,M716))))</f>
        <v/>
      </c>
      <c r="Z716">
        <f>MIN(100,
(K716*5) +
(U716*10) +
IF(P716="Y",40,0) +
IF(Q716="P",30,0) +
IF(V716="Y",25,0) +
IF(W716="Y",20,0) +
IF(X716="Weaponized",15,IF(X716="PoC Available",10,IF(X716="Public Exploit",5,0))) +
IF(G716="Production",10,IF(G716="DMZ",8,IF(G716="DR/Backup",5,0))) +
IF(Y716="N",10,0)
)</f>
        <v/>
      </c>
      <c r="AA716">
        <f>IF(OR(P716="Y",AND(K716&gt;=9.0,W716="Y")),"P0",IF(Z716&gt;=80,"P0",IF(Z716&gt;=60,"P1",IF(Z716&gt;=40,"P2",IF(Z716&gt;=20,"P3","P4")))))</f>
        <v/>
      </c>
      <c r="AD716">
        <f>IF(AB716&lt;&gt;"",AB716,AA716)</f>
        <v/>
      </c>
      <c r="AE716">
        <f>VLOOKUP(AD716,SLA_Definitions!$A$2:$B$6,2,FALSE)</f>
        <v/>
      </c>
      <c r="AF716">
        <f>IF(B716&lt;&gt;"",WORKDAY(B716,AE716),"")</f>
        <v/>
      </c>
      <c r="AG716">
        <f>IF(AF716&lt;&gt;"",NETWORKDAYS(TODAY(),AF716),"")</f>
        <v/>
      </c>
      <c r="AH716">
        <f>IF(AJ716="Complete","Complete",IF(AG716&lt;0,"Overdue",IF(AG716&lt;=AE716*0.2,"At Risk","On Track")))</f>
        <v/>
      </c>
      <c r="AK716">
        <f>IF(OR(AH716="Overdue",AND(AD716="P0",AG716&lt;1),AND(AD716="P1",AG716&lt;3)),"Y","N")</f>
        <v/>
      </c>
    </row>
    <row r="717">
      <c r="K717">
        <f>IF(J717="v4.0",L717,IF(J717="v3.1",M717,IF(J717="Both",L717,IF(AND(L717&lt;&gt;"",M717=""),L717,M717))))</f>
        <v/>
      </c>
      <c r="Z717">
        <f>MIN(100,
(K717*5) +
(U717*10) +
IF(P717="Y",40,0) +
IF(Q717="P",30,0) +
IF(V717="Y",25,0) +
IF(W717="Y",20,0) +
IF(X717="Weaponized",15,IF(X717="PoC Available",10,IF(X717="Public Exploit",5,0))) +
IF(G717="Production",10,IF(G717="DMZ",8,IF(G717="DR/Backup",5,0))) +
IF(Y717="N",10,0)
)</f>
        <v/>
      </c>
      <c r="AA717">
        <f>IF(OR(P717="Y",AND(K717&gt;=9.0,W717="Y")),"P0",IF(Z717&gt;=80,"P0",IF(Z717&gt;=60,"P1",IF(Z717&gt;=40,"P2",IF(Z717&gt;=20,"P3","P4")))))</f>
        <v/>
      </c>
      <c r="AD717">
        <f>IF(AB717&lt;&gt;"",AB717,AA717)</f>
        <v/>
      </c>
      <c r="AE717">
        <f>VLOOKUP(AD717,SLA_Definitions!$A$2:$B$6,2,FALSE)</f>
        <v/>
      </c>
      <c r="AF717">
        <f>IF(B717&lt;&gt;"",WORKDAY(B717,AE717),"")</f>
        <v/>
      </c>
      <c r="AG717">
        <f>IF(AF717&lt;&gt;"",NETWORKDAYS(TODAY(),AF717),"")</f>
        <v/>
      </c>
      <c r="AH717">
        <f>IF(AJ717="Complete","Complete",IF(AG717&lt;0,"Overdue",IF(AG717&lt;=AE717*0.2,"At Risk","On Track")))</f>
        <v/>
      </c>
      <c r="AK717">
        <f>IF(OR(AH717="Overdue",AND(AD717="P0",AG717&lt;1),AND(AD717="P1",AG717&lt;3)),"Y","N")</f>
        <v/>
      </c>
    </row>
    <row r="718">
      <c r="K718">
        <f>IF(J718="v4.0",L718,IF(J718="v3.1",M718,IF(J718="Both",L718,IF(AND(L718&lt;&gt;"",M718=""),L718,M718))))</f>
        <v/>
      </c>
      <c r="Z718">
        <f>MIN(100,
(K718*5) +
(U718*10) +
IF(P718="Y",40,0) +
IF(Q718="P",30,0) +
IF(V718="Y",25,0) +
IF(W718="Y",20,0) +
IF(X718="Weaponized",15,IF(X718="PoC Available",10,IF(X718="Public Exploit",5,0))) +
IF(G718="Production",10,IF(G718="DMZ",8,IF(G718="DR/Backup",5,0))) +
IF(Y718="N",10,0)
)</f>
        <v/>
      </c>
      <c r="AA718">
        <f>IF(OR(P718="Y",AND(K718&gt;=9.0,W718="Y")),"P0",IF(Z718&gt;=80,"P0",IF(Z718&gt;=60,"P1",IF(Z718&gt;=40,"P2",IF(Z718&gt;=20,"P3","P4")))))</f>
        <v/>
      </c>
      <c r="AD718">
        <f>IF(AB718&lt;&gt;"",AB718,AA718)</f>
        <v/>
      </c>
      <c r="AE718">
        <f>VLOOKUP(AD718,SLA_Definitions!$A$2:$B$6,2,FALSE)</f>
        <v/>
      </c>
      <c r="AF718">
        <f>IF(B718&lt;&gt;"",WORKDAY(B718,AE718),"")</f>
        <v/>
      </c>
      <c r="AG718">
        <f>IF(AF718&lt;&gt;"",NETWORKDAYS(TODAY(),AF718),"")</f>
        <v/>
      </c>
      <c r="AH718">
        <f>IF(AJ718="Complete","Complete",IF(AG718&lt;0,"Overdue",IF(AG718&lt;=AE718*0.2,"At Risk","On Track")))</f>
        <v/>
      </c>
      <c r="AK718">
        <f>IF(OR(AH718="Overdue",AND(AD718="P0",AG718&lt;1),AND(AD718="P1",AG718&lt;3)),"Y","N")</f>
        <v/>
      </c>
    </row>
    <row r="719">
      <c r="K719">
        <f>IF(J719="v4.0",L719,IF(J719="v3.1",M719,IF(J719="Both",L719,IF(AND(L719&lt;&gt;"",M719=""),L719,M719))))</f>
        <v/>
      </c>
      <c r="Z719">
        <f>MIN(100,
(K719*5) +
(U719*10) +
IF(P719="Y",40,0) +
IF(Q719="P",30,0) +
IF(V719="Y",25,0) +
IF(W719="Y",20,0) +
IF(X719="Weaponized",15,IF(X719="PoC Available",10,IF(X719="Public Exploit",5,0))) +
IF(G719="Production",10,IF(G719="DMZ",8,IF(G719="DR/Backup",5,0))) +
IF(Y719="N",10,0)
)</f>
        <v/>
      </c>
      <c r="AA719">
        <f>IF(OR(P719="Y",AND(K719&gt;=9.0,W719="Y")),"P0",IF(Z719&gt;=80,"P0",IF(Z719&gt;=60,"P1",IF(Z719&gt;=40,"P2",IF(Z719&gt;=20,"P3","P4")))))</f>
        <v/>
      </c>
      <c r="AD719">
        <f>IF(AB719&lt;&gt;"",AB719,AA719)</f>
        <v/>
      </c>
      <c r="AE719">
        <f>VLOOKUP(AD719,SLA_Definitions!$A$2:$B$6,2,FALSE)</f>
        <v/>
      </c>
      <c r="AF719">
        <f>IF(B719&lt;&gt;"",WORKDAY(B719,AE719),"")</f>
        <v/>
      </c>
      <c r="AG719">
        <f>IF(AF719&lt;&gt;"",NETWORKDAYS(TODAY(),AF719),"")</f>
        <v/>
      </c>
      <c r="AH719">
        <f>IF(AJ719="Complete","Complete",IF(AG719&lt;0,"Overdue",IF(AG719&lt;=AE719*0.2,"At Risk","On Track")))</f>
        <v/>
      </c>
      <c r="AK719">
        <f>IF(OR(AH719="Overdue",AND(AD719="P0",AG719&lt;1),AND(AD719="P1",AG719&lt;3)),"Y","N")</f>
        <v/>
      </c>
    </row>
    <row r="720">
      <c r="K720">
        <f>IF(J720="v4.0",L720,IF(J720="v3.1",M720,IF(J720="Both",L720,IF(AND(L720&lt;&gt;"",M720=""),L720,M720))))</f>
        <v/>
      </c>
      <c r="Z720">
        <f>MIN(100,
(K720*5) +
(U720*10) +
IF(P720="Y",40,0) +
IF(Q720="P",30,0) +
IF(V720="Y",25,0) +
IF(W720="Y",20,0) +
IF(X720="Weaponized",15,IF(X720="PoC Available",10,IF(X720="Public Exploit",5,0))) +
IF(G720="Production",10,IF(G720="DMZ",8,IF(G720="DR/Backup",5,0))) +
IF(Y720="N",10,0)
)</f>
        <v/>
      </c>
      <c r="AA720">
        <f>IF(OR(P720="Y",AND(K720&gt;=9.0,W720="Y")),"P0",IF(Z720&gt;=80,"P0",IF(Z720&gt;=60,"P1",IF(Z720&gt;=40,"P2",IF(Z720&gt;=20,"P3","P4")))))</f>
        <v/>
      </c>
      <c r="AD720">
        <f>IF(AB720&lt;&gt;"",AB720,AA720)</f>
        <v/>
      </c>
      <c r="AE720">
        <f>VLOOKUP(AD720,SLA_Definitions!$A$2:$B$6,2,FALSE)</f>
        <v/>
      </c>
      <c r="AF720">
        <f>IF(B720&lt;&gt;"",WORKDAY(B720,AE720),"")</f>
        <v/>
      </c>
      <c r="AG720">
        <f>IF(AF720&lt;&gt;"",NETWORKDAYS(TODAY(),AF720),"")</f>
        <v/>
      </c>
      <c r="AH720">
        <f>IF(AJ720="Complete","Complete",IF(AG720&lt;0,"Overdue",IF(AG720&lt;=AE720*0.2,"At Risk","On Track")))</f>
        <v/>
      </c>
      <c r="AK720">
        <f>IF(OR(AH720="Overdue",AND(AD720="P0",AG720&lt;1),AND(AD720="P1",AG720&lt;3)),"Y","N")</f>
        <v/>
      </c>
    </row>
    <row r="721">
      <c r="K721">
        <f>IF(J721="v4.0",L721,IF(J721="v3.1",M721,IF(J721="Both",L721,IF(AND(L721&lt;&gt;"",M721=""),L721,M721))))</f>
        <v/>
      </c>
      <c r="Z721">
        <f>MIN(100,
(K721*5) +
(U721*10) +
IF(P721="Y",40,0) +
IF(Q721="P",30,0) +
IF(V721="Y",25,0) +
IF(W721="Y",20,0) +
IF(X721="Weaponized",15,IF(X721="PoC Available",10,IF(X721="Public Exploit",5,0))) +
IF(G721="Production",10,IF(G721="DMZ",8,IF(G721="DR/Backup",5,0))) +
IF(Y721="N",10,0)
)</f>
        <v/>
      </c>
      <c r="AA721">
        <f>IF(OR(P721="Y",AND(K721&gt;=9.0,W721="Y")),"P0",IF(Z721&gt;=80,"P0",IF(Z721&gt;=60,"P1",IF(Z721&gt;=40,"P2",IF(Z721&gt;=20,"P3","P4")))))</f>
        <v/>
      </c>
      <c r="AD721">
        <f>IF(AB721&lt;&gt;"",AB721,AA721)</f>
        <v/>
      </c>
      <c r="AE721">
        <f>VLOOKUP(AD721,SLA_Definitions!$A$2:$B$6,2,FALSE)</f>
        <v/>
      </c>
      <c r="AF721">
        <f>IF(B721&lt;&gt;"",WORKDAY(B721,AE721),"")</f>
        <v/>
      </c>
      <c r="AG721">
        <f>IF(AF721&lt;&gt;"",NETWORKDAYS(TODAY(),AF721),"")</f>
        <v/>
      </c>
      <c r="AH721">
        <f>IF(AJ721="Complete","Complete",IF(AG721&lt;0,"Overdue",IF(AG721&lt;=AE721*0.2,"At Risk","On Track")))</f>
        <v/>
      </c>
      <c r="AK721">
        <f>IF(OR(AH721="Overdue",AND(AD721="P0",AG721&lt;1),AND(AD721="P1",AG721&lt;3)),"Y","N")</f>
        <v/>
      </c>
    </row>
    <row r="722">
      <c r="K722">
        <f>IF(J722="v4.0",L722,IF(J722="v3.1",M722,IF(J722="Both",L722,IF(AND(L722&lt;&gt;"",M722=""),L722,M722))))</f>
        <v/>
      </c>
      <c r="Z722">
        <f>MIN(100,
(K722*5) +
(U722*10) +
IF(P722="Y",40,0) +
IF(Q722="P",30,0) +
IF(V722="Y",25,0) +
IF(W722="Y",20,0) +
IF(X722="Weaponized",15,IF(X722="PoC Available",10,IF(X722="Public Exploit",5,0))) +
IF(G722="Production",10,IF(G722="DMZ",8,IF(G722="DR/Backup",5,0))) +
IF(Y722="N",10,0)
)</f>
        <v/>
      </c>
      <c r="AA722">
        <f>IF(OR(P722="Y",AND(K722&gt;=9.0,W722="Y")),"P0",IF(Z722&gt;=80,"P0",IF(Z722&gt;=60,"P1",IF(Z722&gt;=40,"P2",IF(Z722&gt;=20,"P3","P4")))))</f>
        <v/>
      </c>
      <c r="AD722">
        <f>IF(AB722&lt;&gt;"",AB722,AA722)</f>
        <v/>
      </c>
      <c r="AE722">
        <f>VLOOKUP(AD722,SLA_Definitions!$A$2:$B$6,2,FALSE)</f>
        <v/>
      </c>
      <c r="AF722">
        <f>IF(B722&lt;&gt;"",WORKDAY(B722,AE722),"")</f>
        <v/>
      </c>
      <c r="AG722">
        <f>IF(AF722&lt;&gt;"",NETWORKDAYS(TODAY(),AF722),"")</f>
        <v/>
      </c>
      <c r="AH722">
        <f>IF(AJ722="Complete","Complete",IF(AG722&lt;0,"Overdue",IF(AG722&lt;=AE722*0.2,"At Risk","On Track")))</f>
        <v/>
      </c>
      <c r="AK722">
        <f>IF(OR(AH722="Overdue",AND(AD722="P0",AG722&lt;1),AND(AD722="P1",AG722&lt;3)),"Y","N")</f>
        <v/>
      </c>
    </row>
    <row r="723">
      <c r="K723">
        <f>IF(J723="v4.0",L723,IF(J723="v3.1",M723,IF(J723="Both",L723,IF(AND(L723&lt;&gt;"",M723=""),L723,M723))))</f>
        <v/>
      </c>
      <c r="Z723">
        <f>MIN(100,
(K723*5) +
(U723*10) +
IF(P723="Y",40,0) +
IF(Q723="P",30,0) +
IF(V723="Y",25,0) +
IF(W723="Y",20,0) +
IF(X723="Weaponized",15,IF(X723="PoC Available",10,IF(X723="Public Exploit",5,0))) +
IF(G723="Production",10,IF(G723="DMZ",8,IF(G723="DR/Backup",5,0))) +
IF(Y723="N",10,0)
)</f>
        <v/>
      </c>
      <c r="AA723">
        <f>IF(OR(P723="Y",AND(K723&gt;=9.0,W723="Y")),"P0",IF(Z723&gt;=80,"P0",IF(Z723&gt;=60,"P1",IF(Z723&gt;=40,"P2",IF(Z723&gt;=20,"P3","P4")))))</f>
        <v/>
      </c>
      <c r="AD723">
        <f>IF(AB723&lt;&gt;"",AB723,AA723)</f>
        <v/>
      </c>
      <c r="AE723">
        <f>VLOOKUP(AD723,SLA_Definitions!$A$2:$B$6,2,FALSE)</f>
        <v/>
      </c>
      <c r="AF723">
        <f>IF(B723&lt;&gt;"",WORKDAY(B723,AE723),"")</f>
        <v/>
      </c>
      <c r="AG723">
        <f>IF(AF723&lt;&gt;"",NETWORKDAYS(TODAY(),AF723),"")</f>
        <v/>
      </c>
      <c r="AH723">
        <f>IF(AJ723="Complete","Complete",IF(AG723&lt;0,"Overdue",IF(AG723&lt;=AE723*0.2,"At Risk","On Track")))</f>
        <v/>
      </c>
      <c r="AK723">
        <f>IF(OR(AH723="Overdue",AND(AD723="P0",AG723&lt;1),AND(AD723="P1",AG723&lt;3)),"Y","N")</f>
        <v/>
      </c>
    </row>
    <row r="724">
      <c r="K724">
        <f>IF(J724="v4.0",L724,IF(J724="v3.1",M724,IF(J724="Both",L724,IF(AND(L724&lt;&gt;"",M724=""),L724,M724))))</f>
        <v/>
      </c>
      <c r="Z724">
        <f>MIN(100,
(K724*5) +
(U724*10) +
IF(P724="Y",40,0) +
IF(Q724="P",30,0) +
IF(V724="Y",25,0) +
IF(W724="Y",20,0) +
IF(X724="Weaponized",15,IF(X724="PoC Available",10,IF(X724="Public Exploit",5,0))) +
IF(G724="Production",10,IF(G724="DMZ",8,IF(G724="DR/Backup",5,0))) +
IF(Y724="N",10,0)
)</f>
        <v/>
      </c>
      <c r="AA724">
        <f>IF(OR(P724="Y",AND(K724&gt;=9.0,W724="Y")),"P0",IF(Z724&gt;=80,"P0",IF(Z724&gt;=60,"P1",IF(Z724&gt;=40,"P2",IF(Z724&gt;=20,"P3","P4")))))</f>
        <v/>
      </c>
      <c r="AD724">
        <f>IF(AB724&lt;&gt;"",AB724,AA724)</f>
        <v/>
      </c>
      <c r="AE724">
        <f>VLOOKUP(AD724,SLA_Definitions!$A$2:$B$6,2,FALSE)</f>
        <v/>
      </c>
      <c r="AF724">
        <f>IF(B724&lt;&gt;"",WORKDAY(B724,AE724),"")</f>
        <v/>
      </c>
      <c r="AG724">
        <f>IF(AF724&lt;&gt;"",NETWORKDAYS(TODAY(),AF724),"")</f>
        <v/>
      </c>
      <c r="AH724">
        <f>IF(AJ724="Complete","Complete",IF(AG724&lt;0,"Overdue",IF(AG724&lt;=AE724*0.2,"At Risk","On Track")))</f>
        <v/>
      </c>
      <c r="AK724">
        <f>IF(OR(AH724="Overdue",AND(AD724="P0",AG724&lt;1),AND(AD724="P1",AG724&lt;3)),"Y","N")</f>
        <v/>
      </c>
    </row>
    <row r="725">
      <c r="K725">
        <f>IF(J725="v4.0",L725,IF(J725="v3.1",M725,IF(J725="Both",L725,IF(AND(L725&lt;&gt;"",M725=""),L725,M725))))</f>
        <v/>
      </c>
      <c r="Z725">
        <f>MIN(100,
(K725*5) +
(U725*10) +
IF(P725="Y",40,0) +
IF(Q725="P",30,0) +
IF(V725="Y",25,0) +
IF(W725="Y",20,0) +
IF(X725="Weaponized",15,IF(X725="PoC Available",10,IF(X725="Public Exploit",5,0))) +
IF(G725="Production",10,IF(G725="DMZ",8,IF(G725="DR/Backup",5,0))) +
IF(Y725="N",10,0)
)</f>
        <v/>
      </c>
      <c r="AA725">
        <f>IF(OR(P725="Y",AND(K725&gt;=9.0,W725="Y")),"P0",IF(Z725&gt;=80,"P0",IF(Z725&gt;=60,"P1",IF(Z725&gt;=40,"P2",IF(Z725&gt;=20,"P3","P4")))))</f>
        <v/>
      </c>
      <c r="AD725">
        <f>IF(AB725&lt;&gt;"",AB725,AA725)</f>
        <v/>
      </c>
      <c r="AE725">
        <f>VLOOKUP(AD725,SLA_Definitions!$A$2:$B$6,2,FALSE)</f>
        <v/>
      </c>
      <c r="AF725">
        <f>IF(B725&lt;&gt;"",WORKDAY(B725,AE725),"")</f>
        <v/>
      </c>
      <c r="AG725">
        <f>IF(AF725&lt;&gt;"",NETWORKDAYS(TODAY(),AF725),"")</f>
        <v/>
      </c>
      <c r="AH725">
        <f>IF(AJ725="Complete","Complete",IF(AG725&lt;0,"Overdue",IF(AG725&lt;=AE725*0.2,"At Risk","On Track")))</f>
        <v/>
      </c>
      <c r="AK725">
        <f>IF(OR(AH725="Overdue",AND(AD725="P0",AG725&lt;1),AND(AD725="P1",AG725&lt;3)),"Y","N")</f>
        <v/>
      </c>
    </row>
    <row r="726">
      <c r="K726">
        <f>IF(J726="v4.0",L726,IF(J726="v3.1",M726,IF(J726="Both",L726,IF(AND(L726&lt;&gt;"",M726=""),L726,M726))))</f>
        <v/>
      </c>
      <c r="Z726">
        <f>MIN(100,
(K726*5) +
(U726*10) +
IF(P726="Y",40,0) +
IF(Q726="P",30,0) +
IF(V726="Y",25,0) +
IF(W726="Y",20,0) +
IF(X726="Weaponized",15,IF(X726="PoC Available",10,IF(X726="Public Exploit",5,0))) +
IF(G726="Production",10,IF(G726="DMZ",8,IF(G726="DR/Backup",5,0))) +
IF(Y726="N",10,0)
)</f>
        <v/>
      </c>
      <c r="AA726">
        <f>IF(OR(P726="Y",AND(K726&gt;=9.0,W726="Y")),"P0",IF(Z726&gt;=80,"P0",IF(Z726&gt;=60,"P1",IF(Z726&gt;=40,"P2",IF(Z726&gt;=20,"P3","P4")))))</f>
        <v/>
      </c>
      <c r="AD726">
        <f>IF(AB726&lt;&gt;"",AB726,AA726)</f>
        <v/>
      </c>
      <c r="AE726">
        <f>VLOOKUP(AD726,SLA_Definitions!$A$2:$B$6,2,FALSE)</f>
        <v/>
      </c>
      <c r="AF726">
        <f>IF(B726&lt;&gt;"",WORKDAY(B726,AE726),"")</f>
        <v/>
      </c>
      <c r="AG726">
        <f>IF(AF726&lt;&gt;"",NETWORKDAYS(TODAY(),AF726),"")</f>
        <v/>
      </c>
      <c r="AH726">
        <f>IF(AJ726="Complete","Complete",IF(AG726&lt;0,"Overdue",IF(AG726&lt;=AE726*0.2,"At Risk","On Track")))</f>
        <v/>
      </c>
      <c r="AK726">
        <f>IF(OR(AH726="Overdue",AND(AD726="P0",AG726&lt;1),AND(AD726="P1",AG726&lt;3)),"Y","N")</f>
        <v/>
      </c>
    </row>
    <row r="727">
      <c r="K727">
        <f>IF(J727="v4.0",L727,IF(J727="v3.1",M727,IF(J727="Both",L727,IF(AND(L727&lt;&gt;"",M727=""),L727,M727))))</f>
        <v/>
      </c>
      <c r="Z727">
        <f>MIN(100,
(K727*5) +
(U727*10) +
IF(P727="Y",40,0) +
IF(Q727="P",30,0) +
IF(V727="Y",25,0) +
IF(W727="Y",20,0) +
IF(X727="Weaponized",15,IF(X727="PoC Available",10,IF(X727="Public Exploit",5,0))) +
IF(G727="Production",10,IF(G727="DMZ",8,IF(G727="DR/Backup",5,0))) +
IF(Y727="N",10,0)
)</f>
        <v/>
      </c>
      <c r="AA727">
        <f>IF(OR(P727="Y",AND(K727&gt;=9.0,W727="Y")),"P0",IF(Z727&gt;=80,"P0",IF(Z727&gt;=60,"P1",IF(Z727&gt;=40,"P2",IF(Z727&gt;=20,"P3","P4")))))</f>
        <v/>
      </c>
      <c r="AD727">
        <f>IF(AB727&lt;&gt;"",AB727,AA727)</f>
        <v/>
      </c>
      <c r="AE727">
        <f>VLOOKUP(AD727,SLA_Definitions!$A$2:$B$6,2,FALSE)</f>
        <v/>
      </c>
      <c r="AF727">
        <f>IF(B727&lt;&gt;"",WORKDAY(B727,AE727),"")</f>
        <v/>
      </c>
      <c r="AG727">
        <f>IF(AF727&lt;&gt;"",NETWORKDAYS(TODAY(),AF727),"")</f>
        <v/>
      </c>
      <c r="AH727">
        <f>IF(AJ727="Complete","Complete",IF(AG727&lt;0,"Overdue",IF(AG727&lt;=AE727*0.2,"At Risk","On Track")))</f>
        <v/>
      </c>
      <c r="AK727">
        <f>IF(OR(AH727="Overdue",AND(AD727="P0",AG727&lt;1),AND(AD727="P1",AG727&lt;3)),"Y","N")</f>
        <v/>
      </c>
    </row>
    <row r="728">
      <c r="K728">
        <f>IF(J728="v4.0",L728,IF(J728="v3.1",M728,IF(J728="Both",L728,IF(AND(L728&lt;&gt;"",M728=""),L728,M728))))</f>
        <v/>
      </c>
      <c r="Z728">
        <f>MIN(100,
(K728*5) +
(U728*10) +
IF(P728="Y",40,0) +
IF(Q728="P",30,0) +
IF(V728="Y",25,0) +
IF(W728="Y",20,0) +
IF(X728="Weaponized",15,IF(X728="PoC Available",10,IF(X728="Public Exploit",5,0))) +
IF(G728="Production",10,IF(G728="DMZ",8,IF(G728="DR/Backup",5,0))) +
IF(Y728="N",10,0)
)</f>
        <v/>
      </c>
      <c r="AA728">
        <f>IF(OR(P728="Y",AND(K728&gt;=9.0,W728="Y")),"P0",IF(Z728&gt;=80,"P0",IF(Z728&gt;=60,"P1",IF(Z728&gt;=40,"P2",IF(Z728&gt;=20,"P3","P4")))))</f>
        <v/>
      </c>
      <c r="AD728">
        <f>IF(AB728&lt;&gt;"",AB728,AA728)</f>
        <v/>
      </c>
      <c r="AE728">
        <f>VLOOKUP(AD728,SLA_Definitions!$A$2:$B$6,2,FALSE)</f>
        <v/>
      </c>
      <c r="AF728">
        <f>IF(B728&lt;&gt;"",WORKDAY(B728,AE728),"")</f>
        <v/>
      </c>
      <c r="AG728">
        <f>IF(AF728&lt;&gt;"",NETWORKDAYS(TODAY(),AF728),"")</f>
        <v/>
      </c>
      <c r="AH728">
        <f>IF(AJ728="Complete","Complete",IF(AG728&lt;0,"Overdue",IF(AG728&lt;=AE728*0.2,"At Risk","On Track")))</f>
        <v/>
      </c>
      <c r="AK728">
        <f>IF(OR(AH728="Overdue",AND(AD728="P0",AG728&lt;1),AND(AD728="P1",AG728&lt;3)),"Y","N")</f>
        <v/>
      </c>
    </row>
    <row r="729">
      <c r="K729">
        <f>IF(J729="v4.0",L729,IF(J729="v3.1",M729,IF(J729="Both",L729,IF(AND(L729&lt;&gt;"",M729=""),L729,M729))))</f>
        <v/>
      </c>
      <c r="Z729">
        <f>MIN(100,
(K729*5) +
(U729*10) +
IF(P729="Y",40,0) +
IF(Q729="P",30,0) +
IF(V729="Y",25,0) +
IF(W729="Y",20,0) +
IF(X729="Weaponized",15,IF(X729="PoC Available",10,IF(X729="Public Exploit",5,0))) +
IF(G729="Production",10,IF(G729="DMZ",8,IF(G729="DR/Backup",5,0))) +
IF(Y729="N",10,0)
)</f>
        <v/>
      </c>
      <c r="AA729">
        <f>IF(OR(P729="Y",AND(K729&gt;=9.0,W729="Y")),"P0",IF(Z729&gt;=80,"P0",IF(Z729&gt;=60,"P1",IF(Z729&gt;=40,"P2",IF(Z729&gt;=20,"P3","P4")))))</f>
        <v/>
      </c>
      <c r="AD729">
        <f>IF(AB729&lt;&gt;"",AB729,AA729)</f>
        <v/>
      </c>
      <c r="AE729">
        <f>VLOOKUP(AD729,SLA_Definitions!$A$2:$B$6,2,FALSE)</f>
        <v/>
      </c>
      <c r="AF729">
        <f>IF(B729&lt;&gt;"",WORKDAY(B729,AE729),"")</f>
        <v/>
      </c>
      <c r="AG729">
        <f>IF(AF729&lt;&gt;"",NETWORKDAYS(TODAY(),AF729),"")</f>
        <v/>
      </c>
      <c r="AH729">
        <f>IF(AJ729="Complete","Complete",IF(AG729&lt;0,"Overdue",IF(AG729&lt;=AE729*0.2,"At Risk","On Track")))</f>
        <v/>
      </c>
      <c r="AK729">
        <f>IF(OR(AH729="Overdue",AND(AD729="P0",AG729&lt;1),AND(AD729="P1",AG729&lt;3)),"Y","N")</f>
        <v/>
      </c>
    </row>
    <row r="730">
      <c r="K730">
        <f>IF(J730="v4.0",L730,IF(J730="v3.1",M730,IF(J730="Both",L730,IF(AND(L730&lt;&gt;"",M730=""),L730,M730))))</f>
        <v/>
      </c>
      <c r="Z730">
        <f>MIN(100,
(K730*5) +
(U730*10) +
IF(P730="Y",40,0) +
IF(Q730="P",30,0) +
IF(V730="Y",25,0) +
IF(W730="Y",20,0) +
IF(X730="Weaponized",15,IF(X730="PoC Available",10,IF(X730="Public Exploit",5,0))) +
IF(G730="Production",10,IF(G730="DMZ",8,IF(G730="DR/Backup",5,0))) +
IF(Y730="N",10,0)
)</f>
        <v/>
      </c>
      <c r="AA730">
        <f>IF(OR(P730="Y",AND(K730&gt;=9.0,W730="Y")),"P0",IF(Z730&gt;=80,"P0",IF(Z730&gt;=60,"P1",IF(Z730&gt;=40,"P2",IF(Z730&gt;=20,"P3","P4")))))</f>
        <v/>
      </c>
      <c r="AD730">
        <f>IF(AB730&lt;&gt;"",AB730,AA730)</f>
        <v/>
      </c>
      <c r="AE730">
        <f>VLOOKUP(AD730,SLA_Definitions!$A$2:$B$6,2,FALSE)</f>
        <v/>
      </c>
      <c r="AF730">
        <f>IF(B730&lt;&gt;"",WORKDAY(B730,AE730),"")</f>
        <v/>
      </c>
      <c r="AG730">
        <f>IF(AF730&lt;&gt;"",NETWORKDAYS(TODAY(),AF730),"")</f>
        <v/>
      </c>
      <c r="AH730">
        <f>IF(AJ730="Complete","Complete",IF(AG730&lt;0,"Overdue",IF(AG730&lt;=AE730*0.2,"At Risk","On Track")))</f>
        <v/>
      </c>
      <c r="AK730">
        <f>IF(OR(AH730="Overdue",AND(AD730="P0",AG730&lt;1),AND(AD730="P1",AG730&lt;3)),"Y","N")</f>
        <v/>
      </c>
    </row>
    <row r="731">
      <c r="K731">
        <f>IF(J731="v4.0",L731,IF(J731="v3.1",M731,IF(J731="Both",L731,IF(AND(L731&lt;&gt;"",M731=""),L731,M731))))</f>
        <v/>
      </c>
      <c r="Z731">
        <f>MIN(100,
(K731*5) +
(U731*10) +
IF(P731="Y",40,0) +
IF(Q731="P",30,0) +
IF(V731="Y",25,0) +
IF(W731="Y",20,0) +
IF(X731="Weaponized",15,IF(X731="PoC Available",10,IF(X731="Public Exploit",5,0))) +
IF(G731="Production",10,IF(G731="DMZ",8,IF(G731="DR/Backup",5,0))) +
IF(Y731="N",10,0)
)</f>
        <v/>
      </c>
      <c r="AA731">
        <f>IF(OR(P731="Y",AND(K731&gt;=9.0,W731="Y")),"P0",IF(Z731&gt;=80,"P0",IF(Z731&gt;=60,"P1",IF(Z731&gt;=40,"P2",IF(Z731&gt;=20,"P3","P4")))))</f>
        <v/>
      </c>
      <c r="AD731">
        <f>IF(AB731&lt;&gt;"",AB731,AA731)</f>
        <v/>
      </c>
      <c r="AE731">
        <f>VLOOKUP(AD731,SLA_Definitions!$A$2:$B$6,2,FALSE)</f>
        <v/>
      </c>
      <c r="AF731">
        <f>IF(B731&lt;&gt;"",WORKDAY(B731,AE731),"")</f>
        <v/>
      </c>
      <c r="AG731">
        <f>IF(AF731&lt;&gt;"",NETWORKDAYS(TODAY(),AF731),"")</f>
        <v/>
      </c>
      <c r="AH731">
        <f>IF(AJ731="Complete","Complete",IF(AG731&lt;0,"Overdue",IF(AG731&lt;=AE731*0.2,"At Risk","On Track")))</f>
        <v/>
      </c>
      <c r="AK731">
        <f>IF(OR(AH731="Overdue",AND(AD731="P0",AG731&lt;1),AND(AD731="P1",AG731&lt;3)),"Y","N")</f>
        <v/>
      </c>
    </row>
    <row r="732">
      <c r="K732">
        <f>IF(J732="v4.0",L732,IF(J732="v3.1",M732,IF(J732="Both",L732,IF(AND(L732&lt;&gt;"",M732=""),L732,M732))))</f>
        <v/>
      </c>
      <c r="Z732">
        <f>MIN(100,
(K732*5) +
(U732*10) +
IF(P732="Y",40,0) +
IF(Q732="P",30,0) +
IF(V732="Y",25,0) +
IF(W732="Y",20,0) +
IF(X732="Weaponized",15,IF(X732="PoC Available",10,IF(X732="Public Exploit",5,0))) +
IF(G732="Production",10,IF(G732="DMZ",8,IF(G732="DR/Backup",5,0))) +
IF(Y732="N",10,0)
)</f>
        <v/>
      </c>
      <c r="AA732">
        <f>IF(OR(P732="Y",AND(K732&gt;=9.0,W732="Y")),"P0",IF(Z732&gt;=80,"P0",IF(Z732&gt;=60,"P1",IF(Z732&gt;=40,"P2",IF(Z732&gt;=20,"P3","P4")))))</f>
        <v/>
      </c>
      <c r="AD732">
        <f>IF(AB732&lt;&gt;"",AB732,AA732)</f>
        <v/>
      </c>
      <c r="AE732">
        <f>VLOOKUP(AD732,SLA_Definitions!$A$2:$B$6,2,FALSE)</f>
        <v/>
      </c>
      <c r="AF732">
        <f>IF(B732&lt;&gt;"",WORKDAY(B732,AE732),"")</f>
        <v/>
      </c>
      <c r="AG732">
        <f>IF(AF732&lt;&gt;"",NETWORKDAYS(TODAY(),AF732),"")</f>
        <v/>
      </c>
      <c r="AH732">
        <f>IF(AJ732="Complete","Complete",IF(AG732&lt;0,"Overdue",IF(AG732&lt;=AE732*0.2,"At Risk","On Track")))</f>
        <v/>
      </c>
      <c r="AK732">
        <f>IF(OR(AH732="Overdue",AND(AD732="P0",AG732&lt;1),AND(AD732="P1",AG732&lt;3)),"Y","N")</f>
        <v/>
      </c>
    </row>
    <row r="733">
      <c r="K733">
        <f>IF(J733="v4.0",L733,IF(J733="v3.1",M733,IF(J733="Both",L733,IF(AND(L733&lt;&gt;"",M733=""),L733,M733))))</f>
        <v/>
      </c>
      <c r="Z733">
        <f>MIN(100,
(K733*5) +
(U733*10) +
IF(P733="Y",40,0) +
IF(Q733="P",30,0) +
IF(V733="Y",25,0) +
IF(W733="Y",20,0) +
IF(X733="Weaponized",15,IF(X733="PoC Available",10,IF(X733="Public Exploit",5,0))) +
IF(G733="Production",10,IF(G733="DMZ",8,IF(G733="DR/Backup",5,0))) +
IF(Y733="N",10,0)
)</f>
        <v/>
      </c>
      <c r="AA733">
        <f>IF(OR(P733="Y",AND(K733&gt;=9.0,W733="Y")),"P0",IF(Z733&gt;=80,"P0",IF(Z733&gt;=60,"P1",IF(Z733&gt;=40,"P2",IF(Z733&gt;=20,"P3","P4")))))</f>
        <v/>
      </c>
      <c r="AD733">
        <f>IF(AB733&lt;&gt;"",AB733,AA733)</f>
        <v/>
      </c>
      <c r="AE733">
        <f>VLOOKUP(AD733,SLA_Definitions!$A$2:$B$6,2,FALSE)</f>
        <v/>
      </c>
      <c r="AF733">
        <f>IF(B733&lt;&gt;"",WORKDAY(B733,AE733),"")</f>
        <v/>
      </c>
      <c r="AG733">
        <f>IF(AF733&lt;&gt;"",NETWORKDAYS(TODAY(),AF733),"")</f>
        <v/>
      </c>
      <c r="AH733">
        <f>IF(AJ733="Complete","Complete",IF(AG733&lt;0,"Overdue",IF(AG733&lt;=AE733*0.2,"At Risk","On Track")))</f>
        <v/>
      </c>
      <c r="AK733">
        <f>IF(OR(AH733="Overdue",AND(AD733="P0",AG733&lt;1),AND(AD733="P1",AG733&lt;3)),"Y","N")</f>
        <v/>
      </c>
    </row>
    <row r="734">
      <c r="K734">
        <f>IF(J734="v4.0",L734,IF(J734="v3.1",M734,IF(J734="Both",L734,IF(AND(L734&lt;&gt;"",M734=""),L734,M734))))</f>
        <v/>
      </c>
      <c r="Z734">
        <f>MIN(100,
(K734*5) +
(U734*10) +
IF(P734="Y",40,0) +
IF(Q734="P",30,0) +
IF(V734="Y",25,0) +
IF(W734="Y",20,0) +
IF(X734="Weaponized",15,IF(X734="PoC Available",10,IF(X734="Public Exploit",5,0))) +
IF(G734="Production",10,IF(G734="DMZ",8,IF(G734="DR/Backup",5,0))) +
IF(Y734="N",10,0)
)</f>
        <v/>
      </c>
      <c r="AA734">
        <f>IF(OR(P734="Y",AND(K734&gt;=9.0,W734="Y")),"P0",IF(Z734&gt;=80,"P0",IF(Z734&gt;=60,"P1",IF(Z734&gt;=40,"P2",IF(Z734&gt;=20,"P3","P4")))))</f>
        <v/>
      </c>
      <c r="AD734">
        <f>IF(AB734&lt;&gt;"",AB734,AA734)</f>
        <v/>
      </c>
      <c r="AE734">
        <f>VLOOKUP(AD734,SLA_Definitions!$A$2:$B$6,2,FALSE)</f>
        <v/>
      </c>
      <c r="AF734">
        <f>IF(B734&lt;&gt;"",WORKDAY(B734,AE734),"")</f>
        <v/>
      </c>
      <c r="AG734">
        <f>IF(AF734&lt;&gt;"",NETWORKDAYS(TODAY(),AF734),"")</f>
        <v/>
      </c>
      <c r="AH734">
        <f>IF(AJ734="Complete","Complete",IF(AG734&lt;0,"Overdue",IF(AG734&lt;=AE734*0.2,"At Risk","On Track")))</f>
        <v/>
      </c>
      <c r="AK734">
        <f>IF(OR(AH734="Overdue",AND(AD734="P0",AG734&lt;1),AND(AD734="P1",AG734&lt;3)),"Y","N")</f>
        <v/>
      </c>
    </row>
    <row r="735">
      <c r="K735">
        <f>IF(J735="v4.0",L735,IF(J735="v3.1",M735,IF(J735="Both",L735,IF(AND(L735&lt;&gt;"",M735=""),L735,M735))))</f>
        <v/>
      </c>
      <c r="Z735">
        <f>MIN(100,
(K735*5) +
(U735*10) +
IF(P735="Y",40,0) +
IF(Q735="P",30,0) +
IF(V735="Y",25,0) +
IF(W735="Y",20,0) +
IF(X735="Weaponized",15,IF(X735="PoC Available",10,IF(X735="Public Exploit",5,0))) +
IF(G735="Production",10,IF(G735="DMZ",8,IF(G735="DR/Backup",5,0))) +
IF(Y735="N",10,0)
)</f>
        <v/>
      </c>
      <c r="AA735">
        <f>IF(OR(P735="Y",AND(K735&gt;=9.0,W735="Y")),"P0",IF(Z735&gt;=80,"P0",IF(Z735&gt;=60,"P1",IF(Z735&gt;=40,"P2",IF(Z735&gt;=20,"P3","P4")))))</f>
        <v/>
      </c>
      <c r="AD735">
        <f>IF(AB735&lt;&gt;"",AB735,AA735)</f>
        <v/>
      </c>
      <c r="AE735">
        <f>VLOOKUP(AD735,SLA_Definitions!$A$2:$B$6,2,FALSE)</f>
        <v/>
      </c>
      <c r="AF735">
        <f>IF(B735&lt;&gt;"",WORKDAY(B735,AE735),"")</f>
        <v/>
      </c>
      <c r="AG735">
        <f>IF(AF735&lt;&gt;"",NETWORKDAYS(TODAY(),AF735),"")</f>
        <v/>
      </c>
      <c r="AH735">
        <f>IF(AJ735="Complete","Complete",IF(AG735&lt;0,"Overdue",IF(AG735&lt;=AE735*0.2,"At Risk","On Track")))</f>
        <v/>
      </c>
      <c r="AK735">
        <f>IF(OR(AH735="Overdue",AND(AD735="P0",AG735&lt;1),AND(AD735="P1",AG735&lt;3)),"Y","N")</f>
        <v/>
      </c>
    </row>
    <row r="736">
      <c r="K736">
        <f>IF(J736="v4.0",L736,IF(J736="v3.1",M736,IF(J736="Both",L736,IF(AND(L736&lt;&gt;"",M736=""),L736,M736))))</f>
        <v/>
      </c>
      <c r="Z736">
        <f>MIN(100,
(K736*5) +
(U736*10) +
IF(P736="Y",40,0) +
IF(Q736="P",30,0) +
IF(V736="Y",25,0) +
IF(W736="Y",20,0) +
IF(X736="Weaponized",15,IF(X736="PoC Available",10,IF(X736="Public Exploit",5,0))) +
IF(G736="Production",10,IF(G736="DMZ",8,IF(G736="DR/Backup",5,0))) +
IF(Y736="N",10,0)
)</f>
        <v/>
      </c>
      <c r="AA736">
        <f>IF(OR(P736="Y",AND(K736&gt;=9.0,W736="Y")),"P0",IF(Z736&gt;=80,"P0",IF(Z736&gt;=60,"P1",IF(Z736&gt;=40,"P2",IF(Z736&gt;=20,"P3","P4")))))</f>
        <v/>
      </c>
      <c r="AD736">
        <f>IF(AB736&lt;&gt;"",AB736,AA736)</f>
        <v/>
      </c>
      <c r="AE736">
        <f>VLOOKUP(AD736,SLA_Definitions!$A$2:$B$6,2,FALSE)</f>
        <v/>
      </c>
      <c r="AF736">
        <f>IF(B736&lt;&gt;"",WORKDAY(B736,AE736),"")</f>
        <v/>
      </c>
      <c r="AG736">
        <f>IF(AF736&lt;&gt;"",NETWORKDAYS(TODAY(),AF736),"")</f>
        <v/>
      </c>
      <c r="AH736">
        <f>IF(AJ736="Complete","Complete",IF(AG736&lt;0,"Overdue",IF(AG736&lt;=AE736*0.2,"At Risk","On Track")))</f>
        <v/>
      </c>
      <c r="AK736">
        <f>IF(OR(AH736="Overdue",AND(AD736="P0",AG736&lt;1),AND(AD736="P1",AG736&lt;3)),"Y","N")</f>
        <v/>
      </c>
    </row>
    <row r="737">
      <c r="K737">
        <f>IF(J737="v4.0",L737,IF(J737="v3.1",M737,IF(J737="Both",L737,IF(AND(L737&lt;&gt;"",M737=""),L737,M737))))</f>
        <v/>
      </c>
      <c r="Z737">
        <f>MIN(100,
(K737*5) +
(U737*10) +
IF(P737="Y",40,0) +
IF(Q737="P",30,0) +
IF(V737="Y",25,0) +
IF(W737="Y",20,0) +
IF(X737="Weaponized",15,IF(X737="PoC Available",10,IF(X737="Public Exploit",5,0))) +
IF(G737="Production",10,IF(G737="DMZ",8,IF(G737="DR/Backup",5,0))) +
IF(Y737="N",10,0)
)</f>
        <v/>
      </c>
      <c r="AA737">
        <f>IF(OR(P737="Y",AND(K737&gt;=9.0,W737="Y")),"P0",IF(Z737&gt;=80,"P0",IF(Z737&gt;=60,"P1",IF(Z737&gt;=40,"P2",IF(Z737&gt;=20,"P3","P4")))))</f>
        <v/>
      </c>
      <c r="AD737">
        <f>IF(AB737&lt;&gt;"",AB737,AA737)</f>
        <v/>
      </c>
      <c r="AE737">
        <f>VLOOKUP(AD737,SLA_Definitions!$A$2:$B$6,2,FALSE)</f>
        <v/>
      </c>
      <c r="AF737">
        <f>IF(B737&lt;&gt;"",WORKDAY(B737,AE737),"")</f>
        <v/>
      </c>
      <c r="AG737">
        <f>IF(AF737&lt;&gt;"",NETWORKDAYS(TODAY(),AF737),"")</f>
        <v/>
      </c>
      <c r="AH737">
        <f>IF(AJ737="Complete","Complete",IF(AG737&lt;0,"Overdue",IF(AG737&lt;=AE737*0.2,"At Risk","On Track")))</f>
        <v/>
      </c>
      <c r="AK737">
        <f>IF(OR(AH737="Overdue",AND(AD737="P0",AG737&lt;1),AND(AD737="P1",AG737&lt;3)),"Y","N")</f>
        <v/>
      </c>
    </row>
    <row r="738">
      <c r="K738">
        <f>IF(J738="v4.0",L738,IF(J738="v3.1",M738,IF(J738="Both",L738,IF(AND(L738&lt;&gt;"",M738=""),L738,M738))))</f>
        <v/>
      </c>
      <c r="Z738">
        <f>MIN(100,
(K738*5) +
(U738*10) +
IF(P738="Y",40,0) +
IF(Q738="P",30,0) +
IF(V738="Y",25,0) +
IF(W738="Y",20,0) +
IF(X738="Weaponized",15,IF(X738="PoC Available",10,IF(X738="Public Exploit",5,0))) +
IF(G738="Production",10,IF(G738="DMZ",8,IF(G738="DR/Backup",5,0))) +
IF(Y738="N",10,0)
)</f>
        <v/>
      </c>
      <c r="AA738">
        <f>IF(OR(P738="Y",AND(K738&gt;=9.0,W738="Y")),"P0",IF(Z738&gt;=80,"P0",IF(Z738&gt;=60,"P1",IF(Z738&gt;=40,"P2",IF(Z738&gt;=20,"P3","P4")))))</f>
        <v/>
      </c>
      <c r="AD738">
        <f>IF(AB738&lt;&gt;"",AB738,AA738)</f>
        <v/>
      </c>
      <c r="AE738">
        <f>VLOOKUP(AD738,SLA_Definitions!$A$2:$B$6,2,FALSE)</f>
        <v/>
      </c>
      <c r="AF738">
        <f>IF(B738&lt;&gt;"",WORKDAY(B738,AE738),"")</f>
        <v/>
      </c>
      <c r="AG738">
        <f>IF(AF738&lt;&gt;"",NETWORKDAYS(TODAY(),AF738),"")</f>
        <v/>
      </c>
      <c r="AH738">
        <f>IF(AJ738="Complete","Complete",IF(AG738&lt;0,"Overdue",IF(AG738&lt;=AE738*0.2,"At Risk","On Track")))</f>
        <v/>
      </c>
      <c r="AK738">
        <f>IF(OR(AH738="Overdue",AND(AD738="P0",AG738&lt;1),AND(AD738="P1",AG738&lt;3)),"Y","N")</f>
        <v/>
      </c>
    </row>
    <row r="739">
      <c r="K739">
        <f>IF(J739="v4.0",L739,IF(J739="v3.1",M739,IF(J739="Both",L739,IF(AND(L739&lt;&gt;"",M739=""),L739,M739))))</f>
        <v/>
      </c>
      <c r="Z739">
        <f>MIN(100,
(K739*5) +
(U739*10) +
IF(P739="Y",40,0) +
IF(Q739="P",30,0) +
IF(V739="Y",25,0) +
IF(W739="Y",20,0) +
IF(X739="Weaponized",15,IF(X739="PoC Available",10,IF(X739="Public Exploit",5,0))) +
IF(G739="Production",10,IF(G739="DMZ",8,IF(G739="DR/Backup",5,0))) +
IF(Y739="N",10,0)
)</f>
        <v/>
      </c>
      <c r="AA739">
        <f>IF(OR(P739="Y",AND(K739&gt;=9.0,W739="Y")),"P0",IF(Z739&gt;=80,"P0",IF(Z739&gt;=60,"P1",IF(Z739&gt;=40,"P2",IF(Z739&gt;=20,"P3","P4")))))</f>
        <v/>
      </c>
      <c r="AD739">
        <f>IF(AB739&lt;&gt;"",AB739,AA739)</f>
        <v/>
      </c>
      <c r="AE739">
        <f>VLOOKUP(AD739,SLA_Definitions!$A$2:$B$6,2,FALSE)</f>
        <v/>
      </c>
      <c r="AF739">
        <f>IF(B739&lt;&gt;"",WORKDAY(B739,AE739),"")</f>
        <v/>
      </c>
      <c r="AG739">
        <f>IF(AF739&lt;&gt;"",NETWORKDAYS(TODAY(),AF739),"")</f>
        <v/>
      </c>
      <c r="AH739">
        <f>IF(AJ739="Complete","Complete",IF(AG739&lt;0,"Overdue",IF(AG739&lt;=AE739*0.2,"At Risk","On Track")))</f>
        <v/>
      </c>
      <c r="AK739">
        <f>IF(OR(AH739="Overdue",AND(AD739="P0",AG739&lt;1),AND(AD739="P1",AG739&lt;3)),"Y","N")</f>
        <v/>
      </c>
    </row>
    <row r="740">
      <c r="K740">
        <f>IF(J740="v4.0",L740,IF(J740="v3.1",M740,IF(J740="Both",L740,IF(AND(L740&lt;&gt;"",M740=""),L740,M740))))</f>
        <v/>
      </c>
      <c r="Z740">
        <f>MIN(100,
(K740*5) +
(U740*10) +
IF(P740="Y",40,0) +
IF(Q740="P",30,0) +
IF(V740="Y",25,0) +
IF(W740="Y",20,0) +
IF(X740="Weaponized",15,IF(X740="PoC Available",10,IF(X740="Public Exploit",5,0))) +
IF(G740="Production",10,IF(G740="DMZ",8,IF(G740="DR/Backup",5,0))) +
IF(Y740="N",10,0)
)</f>
        <v/>
      </c>
      <c r="AA740">
        <f>IF(OR(P740="Y",AND(K740&gt;=9.0,W740="Y")),"P0",IF(Z740&gt;=80,"P0",IF(Z740&gt;=60,"P1",IF(Z740&gt;=40,"P2",IF(Z740&gt;=20,"P3","P4")))))</f>
        <v/>
      </c>
      <c r="AD740">
        <f>IF(AB740&lt;&gt;"",AB740,AA740)</f>
        <v/>
      </c>
      <c r="AE740">
        <f>VLOOKUP(AD740,SLA_Definitions!$A$2:$B$6,2,FALSE)</f>
        <v/>
      </c>
      <c r="AF740">
        <f>IF(B740&lt;&gt;"",WORKDAY(B740,AE740),"")</f>
        <v/>
      </c>
      <c r="AG740">
        <f>IF(AF740&lt;&gt;"",NETWORKDAYS(TODAY(),AF740),"")</f>
        <v/>
      </c>
      <c r="AH740">
        <f>IF(AJ740="Complete","Complete",IF(AG740&lt;0,"Overdue",IF(AG740&lt;=AE740*0.2,"At Risk","On Track")))</f>
        <v/>
      </c>
      <c r="AK740">
        <f>IF(OR(AH740="Overdue",AND(AD740="P0",AG740&lt;1),AND(AD740="P1",AG740&lt;3)),"Y","N")</f>
        <v/>
      </c>
    </row>
    <row r="741">
      <c r="K741">
        <f>IF(J741="v4.0",L741,IF(J741="v3.1",M741,IF(J741="Both",L741,IF(AND(L741&lt;&gt;"",M741=""),L741,M741))))</f>
        <v/>
      </c>
      <c r="Z741">
        <f>MIN(100,
(K741*5) +
(U741*10) +
IF(P741="Y",40,0) +
IF(Q741="P",30,0) +
IF(V741="Y",25,0) +
IF(W741="Y",20,0) +
IF(X741="Weaponized",15,IF(X741="PoC Available",10,IF(X741="Public Exploit",5,0))) +
IF(G741="Production",10,IF(G741="DMZ",8,IF(G741="DR/Backup",5,0))) +
IF(Y741="N",10,0)
)</f>
        <v/>
      </c>
      <c r="AA741">
        <f>IF(OR(P741="Y",AND(K741&gt;=9.0,W741="Y")),"P0",IF(Z741&gt;=80,"P0",IF(Z741&gt;=60,"P1",IF(Z741&gt;=40,"P2",IF(Z741&gt;=20,"P3","P4")))))</f>
        <v/>
      </c>
      <c r="AD741">
        <f>IF(AB741&lt;&gt;"",AB741,AA741)</f>
        <v/>
      </c>
      <c r="AE741">
        <f>VLOOKUP(AD741,SLA_Definitions!$A$2:$B$6,2,FALSE)</f>
        <v/>
      </c>
      <c r="AF741">
        <f>IF(B741&lt;&gt;"",WORKDAY(B741,AE741),"")</f>
        <v/>
      </c>
      <c r="AG741">
        <f>IF(AF741&lt;&gt;"",NETWORKDAYS(TODAY(),AF741),"")</f>
        <v/>
      </c>
      <c r="AH741">
        <f>IF(AJ741="Complete","Complete",IF(AG741&lt;0,"Overdue",IF(AG741&lt;=AE741*0.2,"At Risk","On Track")))</f>
        <v/>
      </c>
      <c r="AK741">
        <f>IF(OR(AH741="Overdue",AND(AD741="P0",AG741&lt;1),AND(AD741="P1",AG741&lt;3)),"Y","N")</f>
        <v/>
      </c>
    </row>
    <row r="742">
      <c r="K742">
        <f>IF(J742="v4.0",L742,IF(J742="v3.1",M742,IF(J742="Both",L742,IF(AND(L742&lt;&gt;"",M742=""),L742,M742))))</f>
        <v/>
      </c>
      <c r="Z742">
        <f>MIN(100,
(K742*5) +
(U742*10) +
IF(P742="Y",40,0) +
IF(Q742="P",30,0) +
IF(V742="Y",25,0) +
IF(W742="Y",20,0) +
IF(X742="Weaponized",15,IF(X742="PoC Available",10,IF(X742="Public Exploit",5,0))) +
IF(G742="Production",10,IF(G742="DMZ",8,IF(G742="DR/Backup",5,0))) +
IF(Y742="N",10,0)
)</f>
        <v/>
      </c>
      <c r="AA742">
        <f>IF(OR(P742="Y",AND(K742&gt;=9.0,W742="Y")),"P0",IF(Z742&gt;=80,"P0",IF(Z742&gt;=60,"P1",IF(Z742&gt;=40,"P2",IF(Z742&gt;=20,"P3","P4")))))</f>
        <v/>
      </c>
      <c r="AD742">
        <f>IF(AB742&lt;&gt;"",AB742,AA742)</f>
        <v/>
      </c>
      <c r="AE742">
        <f>VLOOKUP(AD742,SLA_Definitions!$A$2:$B$6,2,FALSE)</f>
        <v/>
      </c>
      <c r="AF742">
        <f>IF(B742&lt;&gt;"",WORKDAY(B742,AE742),"")</f>
        <v/>
      </c>
      <c r="AG742">
        <f>IF(AF742&lt;&gt;"",NETWORKDAYS(TODAY(),AF742),"")</f>
        <v/>
      </c>
      <c r="AH742">
        <f>IF(AJ742="Complete","Complete",IF(AG742&lt;0,"Overdue",IF(AG742&lt;=AE742*0.2,"At Risk","On Track")))</f>
        <v/>
      </c>
      <c r="AK742">
        <f>IF(OR(AH742="Overdue",AND(AD742="P0",AG742&lt;1),AND(AD742="P1",AG742&lt;3)),"Y","N")</f>
        <v/>
      </c>
    </row>
    <row r="743">
      <c r="K743">
        <f>IF(J743="v4.0",L743,IF(J743="v3.1",M743,IF(J743="Both",L743,IF(AND(L743&lt;&gt;"",M743=""),L743,M743))))</f>
        <v/>
      </c>
      <c r="Z743">
        <f>MIN(100,
(K743*5) +
(U743*10) +
IF(P743="Y",40,0) +
IF(Q743="P",30,0) +
IF(V743="Y",25,0) +
IF(W743="Y",20,0) +
IF(X743="Weaponized",15,IF(X743="PoC Available",10,IF(X743="Public Exploit",5,0))) +
IF(G743="Production",10,IF(G743="DMZ",8,IF(G743="DR/Backup",5,0))) +
IF(Y743="N",10,0)
)</f>
        <v/>
      </c>
      <c r="AA743">
        <f>IF(OR(P743="Y",AND(K743&gt;=9.0,W743="Y")),"P0",IF(Z743&gt;=80,"P0",IF(Z743&gt;=60,"P1",IF(Z743&gt;=40,"P2",IF(Z743&gt;=20,"P3","P4")))))</f>
        <v/>
      </c>
      <c r="AD743">
        <f>IF(AB743&lt;&gt;"",AB743,AA743)</f>
        <v/>
      </c>
      <c r="AE743">
        <f>VLOOKUP(AD743,SLA_Definitions!$A$2:$B$6,2,FALSE)</f>
        <v/>
      </c>
      <c r="AF743">
        <f>IF(B743&lt;&gt;"",WORKDAY(B743,AE743),"")</f>
        <v/>
      </c>
      <c r="AG743">
        <f>IF(AF743&lt;&gt;"",NETWORKDAYS(TODAY(),AF743),"")</f>
        <v/>
      </c>
      <c r="AH743">
        <f>IF(AJ743="Complete","Complete",IF(AG743&lt;0,"Overdue",IF(AG743&lt;=AE743*0.2,"At Risk","On Track")))</f>
        <v/>
      </c>
      <c r="AK743">
        <f>IF(OR(AH743="Overdue",AND(AD743="P0",AG743&lt;1),AND(AD743="P1",AG743&lt;3)),"Y","N")</f>
        <v/>
      </c>
    </row>
    <row r="744">
      <c r="K744">
        <f>IF(J744="v4.0",L744,IF(J744="v3.1",M744,IF(J744="Both",L744,IF(AND(L744&lt;&gt;"",M744=""),L744,M744))))</f>
        <v/>
      </c>
      <c r="Z744">
        <f>MIN(100,
(K744*5) +
(U744*10) +
IF(P744="Y",40,0) +
IF(Q744="P",30,0) +
IF(V744="Y",25,0) +
IF(W744="Y",20,0) +
IF(X744="Weaponized",15,IF(X744="PoC Available",10,IF(X744="Public Exploit",5,0))) +
IF(G744="Production",10,IF(G744="DMZ",8,IF(G744="DR/Backup",5,0))) +
IF(Y744="N",10,0)
)</f>
        <v/>
      </c>
      <c r="AA744">
        <f>IF(OR(P744="Y",AND(K744&gt;=9.0,W744="Y")),"P0",IF(Z744&gt;=80,"P0",IF(Z744&gt;=60,"P1",IF(Z744&gt;=40,"P2",IF(Z744&gt;=20,"P3","P4")))))</f>
        <v/>
      </c>
      <c r="AD744">
        <f>IF(AB744&lt;&gt;"",AB744,AA744)</f>
        <v/>
      </c>
      <c r="AE744">
        <f>VLOOKUP(AD744,SLA_Definitions!$A$2:$B$6,2,FALSE)</f>
        <v/>
      </c>
      <c r="AF744">
        <f>IF(B744&lt;&gt;"",WORKDAY(B744,AE744),"")</f>
        <v/>
      </c>
      <c r="AG744">
        <f>IF(AF744&lt;&gt;"",NETWORKDAYS(TODAY(),AF744),"")</f>
        <v/>
      </c>
      <c r="AH744">
        <f>IF(AJ744="Complete","Complete",IF(AG744&lt;0,"Overdue",IF(AG744&lt;=AE744*0.2,"At Risk","On Track")))</f>
        <v/>
      </c>
      <c r="AK744">
        <f>IF(OR(AH744="Overdue",AND(AD744="P0",AG744&lt;1),AND(AD744="P1",AG744&lt;3)),"Y","N")</f>
        <v/>
      </c>
    </row>
    <row r="745">
      <c r="K745">
        <f>IF(J745="v4.0",L745,IF(J745="v3.1",M745,IF(J745="Both",L745,IF(AND(L745&lt;&gt;"",M745=""),L745,M745))))</f>
        <v/>
      </c>
      <c r="Z745">
        <f>MIN(100,
(K745*5) +
(U745*10) +
IF(P745="Y",40,0) +
IF(Q745="P",30,0) +
IF(V745="Y",25,0) +
IF(W745="Y",20,0) +
IF(X745="Weaponized",15,IF(X745="PoC Available",10,IF(X745="Public Exploit",5,0))) +
IF(G745="Production",10,IF(G745="DMZ",8,IF(G745="DR/Backup",5,0))) +
IF(Y745="N",10,0)
)</f>
        <v/>
      </c>
      <c r="AA745">
        <f>IF(OR(P745="Y",AND(K745&gt;=9.0,W745="Y")),"P0",IF(Z745&gt;=80,"P0",IF(Z745&gt;=60,"P1",IF(Z745&gt;=40,"P2",IF(Z745&gt;=20,"P3","P4")))))</f>
        <v/>
      </c>
      <c r="AD745">
        <f>IF(AB745&lt;&gt;"",AB745,AA745)</f>
        <v/>
      </c>
      <c r="AE745">
        <f>VLOOKUP(AD745,SLA_Definitions!$A$2:$B$6,2,FALSE)</f>
        <v/>
      </c>
      <c r="AF745">
        <f>IF(B745&lt;&gt;"",WORKDAY(B745,AE745),"")</f>
        <v/>
      </c>
      <c r="AG745">
        <f>IF(AF745&lt;&gt;"",NETWORKDAYS(TODAY(),AF745),"")</f>
        <v/>
      </c>
      <c r="AH745">
        <f>IF(AJ745="Complete","Complete",IF(AG745&lt;0,"Overdue",IF(AG745&lt;=AE745*0.2,"At Risk","On Track")))</f>
        <v/>
      </c>
      <c r="AK745">
        <f>IF(OR(AH745="Overdue",AND(AD745="P0",AG745&lt;1),AND(AD745="P1",AG745&lt;3)),"Y","N")</f>
        <v/>
      </c>
    </row>
    <row r="746">
      <c r="K746">
        <f>IF(J746="v4.0",L746,IF(J746="v3.1",M746,IF(J746="Both",L746,IF(AND(L746&lt;&gt;"",M746=""),L746,M746))))</f>
        <v/>
      </c>
      <c r="Z746">
        <f>MIN(100,
(K746*5) +
(U746*10) +
IF(P746="Y",40,0) +
IF(Q746="P",30,0) +
IF(V746="Y",25,0) +
IF(W746="Y",20,0) +
IF(X746="Weaponized",15,IF(X746="PoC Available",10,IF(X746="Public Exploit",5,0))) +
IF(G746="Production",10,IF(G746="DMZ",8,IF(G746="DR/Backup",5,0))) +
IF(Y746="N",10,0)
)</f>
        <v/>
      </c>
      <c r="AA746">
        <f>IF(OR(P746="Y",AND(K746&gt;=9.0,W746="Y")),"P0",IF(Z746&gt;=80,"P0",IF(Z746&gt;=60,"P1",IF(Z746&gt;=40,"P2",IF(Z746&gt;=20,"P3","P4")))))</f>
        <v/>
      </c>
      <c r="AD746">
        <f>IF(AB746&lt;&gt;"",AB746,AA746)</f>
        <v/>
      </c>
      <c r="AE746">
        <f>VLOOKUP(AD746,SLA_Definitions!$A$2:$B$6,2,FALSE)</f>
        <v/>
      </c>
      <c r="AF746">
        <f>IF(B746&lt;&gt;"",WORKDAY(B746,AE746),"")</f>
        <v/>
      </c>
      <c r="AG746">
        <f>IF(AF746&lt;&gt;"",NETWORKDAYS(TODAY(),AF746),"")</f>
        <v/>
      </c>
      <c r="AH746">
        <f>IF(AJ746="Complete","Complete",IF(AG746&lt;0,"Overdue",IF(AG746&lt;=AE746*0.2,"At Risk","On Track")))</f>
        <v/>
      </c>
      <c r="AK746">
        <f>IF(OR(AH746="Overdue",AND(AD746="P0",AG746&lt;1),AND(AD746="P1",AG746&lt;3)),"Y","N")</f>
        <v/>
      </c>
    </row>
    <row r="747">
      <c r="K747">
        <f>IF(J747="v4.0",L747,IF(J747="v3.1",M747,IF(J747="Both",L747,IF(AND(L747&lt;&gt;"",M747=""),L747,M747))))</f>
        <v/>
      </c>
      <c r="Z747">
        <f>MIN(100,
(K747*5) +
(U747*10) +
IF(P747="Y",40,0) +
IF(Q747="P",30,0) +
IF(V747="Y",25,0) +
IF(W747="Y",20,0) +
IF(X747="Weaponized",15,IF(X747="PoC Available",10,IF(X747="Public Exploit",5,0))) +
IF(G747="Production",10,IF(G747="DMZ",8,IF(G747="DR/Backup",5,0))) +
IF(Y747="N",10,0)
)</f>
        <v/>
      </c>
      <c r="AA747">
        <f>IF(OR(P747="Y",AND(K747&gt;=9.0,W747="Y")),"P0",IF(Z747&gt;=80,"P0",IF(Z747&gt;=60,"P1",IF(Z747&gt;=40,"P2",IF(Z747&gt;=20,"P3","P4")))))</f>
        <v/>
      </c>
      <c r="AD747">
        <f>IF(AB747&lt;&gt;"",AB747,AA747)</f>
        <v/>
      </c>
      <c r="AE747">
        <f>VLOOKUP(AD747,SLA_Definitions!$A$2:$B$6,2,FALSE)</f>
        <v/>
      </c>
      <c r="AF747">
        <f>IF(B747&lt;&gt;"",WORKDAY(B747,AE747),"")</f>
        <v/>
      </c>
      <c r="AG747">
        <f>IF(AF747&lt;&gt;"",NETWORKDAYS(TODAY(),AF747),"")</f>
        <v/>
      </c>
      <c r="AH747">
        <f>IF(AJ747="Complete","Complete",IF(AG747&lt;0,"Overdue",IF(AG747&lt;=AE747*0.2,"At Risk","On Track")))</f>
        <v/>
      </c>
      <c r="AK747">
        <f>IF(OR(AH747="Overdue",AND(AD747="P0",AG747&lt;1),AND(AD747="P1",AG747&lt;3)),"Y","N")</f>
        <v/>
      </c>
    </row>
    <row r="748">
      <c r="K748">
        <f>IF(J748="v4.0",L748,IF(J748="v3.1",M748,IF(J748="Both",L748,IF(AND(L748&lt;&gt;"",M748=""),L748,M748))))</f>
        <v/>
      </c>
      <c r="Z748">
        <f>MIN(100,
(K748*5) +
(U748*10) +
IF(P748="Y",40,0) +
IF(Q748="P",30,0) +
IF(V748="Y",25,0) +
IF(W748="Y",20,0) +
IF(X748="Weaponized",15,IF(X748="PoC Available",10,IF(X748="Public Exploit",5,0))) +
IF(G748="Production",10,IF(G748="DMZ",8,IF(G748="DR/Backup",5,0))) +
IF(Y748="N",10,0)
)</f>
        <v/>
      </c>
      <c r="AA748">
        <f>IF(OR(P748="Y",AND(K748&gt;=9.0,W748="Y")),"P0",IF(Z748&gt;=80,"P0",IF(Z748&gt;=60,"P1",IF(Z748&gt;=40,"P2",IF(Z748&gt;=20,"P3","P4")))))</f>
        <v/>
      </c>
      <c r="AD748">
        <f>IF(AB748&lt;&gt;"",AB748,AA748)</f>
        <v/>
      </c>
      <c r="AE748">
        <f>VLOOKUP(AD748,SLA_Definitions!$A$2:$B$6,2,FALSE)</f>
        <v/>
      </c>
      <c r="AF748">
        <f>IF(B748&lt;&gt;"",WORKDAY(B748,AE748),"")</f>
        <v/>
      </c>
      <c r="AG748">
        <f>IF(AF748&lt;&gt;"",NETWORKDAYS(TODAY(),AF748),"")</f>
        <v/>
      </c>
      <c r="AH748">
        <f>IF(AJ748="Complete","Complete",IF(AG748&lt;0,"Overdue",IF(AG748&lt;=AE748*0.2,"At Risk","On Track")))</f>
        <v/>
      </c>
      <c r="AK748">
        <f>IF(OR(AH748="Overdue",AND(AD748="P0",AG748&lt;1),AND(AD748="P1",AG748&lt;3)),"Y","N")</f>
        <v/>
      </c>
    </row>
    <row r="749">
      <c r="K749">
        <f>IF(J749="v4.0",L749,IF(J749="v3.1",M749,IF(J749="Both",L749,IF(AND(L749&lt;&gt;"",M749=""),L749,M749))))</f>
        <v/>
      </c>
      <c r="Z749">
        <f>MIN(100,
(K749*5) +
(U749*10) +
IF(P749="Y",40,0) +
IF(Q749="P",30,0) +
IF(V749="Y",25,0) +
IF(W749="Y",20,0) +
IF(X749="Weaponized",15,IF(X749="PoC Available",10,IF(X749="Public Exploit",5,0))) +
IF(G749="Production",10,IF(G749="DMZ",8,IF(G749="DR/Backup",5,0))) +
IF(Y749="N",10,0)
)</f>
        <v/>
      </c>
      <c r="AA749">
        <f>IF(OR(P749="Y",AND(K749&gt;=9.0,W749="Y")),"P0",IF(Z749&gt;=80,"P0",IF(Z749&gt;=60,"P1",IF(Z749&gt;=40,"P2",IF(Z749&gt;=20,"P3","P4")))))</f>
        <v/>
      </c>
      <c r="AD749">
        <f>IF(AB749&lt;&gt;"",AB749,AA749)</f>
        <v/>
      </c>
      <c r="AE749">
        <f>VLOOKUP(AD749,SLA_Definitions!$A$2:$B$6,2,FALSE)</f>
        <v/>
      </c>
      <c r="AF749">
        <f>IF(B749&lt;&gt;"",WORKDAY(B749,AE749),"")</f>
        <v/>
      </c>
      <c r="AG749">
        <f>IF(AF749&lt;&gt;"",NETWORKDAYS(TODAY(),AF749),"")</f>
        <v/>
      </c>
      <c r="AH749">
        <f>IF(AJ749="Complete","Complete",IF(AG749&lt;0,"Overdue",IF(AG749&lt;=AE749*0.2,"At Risk","On Track")))</f>
        <v/>
      </c>
      <c r="AK749">
        <f>IF(OR(AH749="Overdue",AND(AD749="P0",AG749&lt;1),AND(AD749="P1",AG749&lt;3)),"Y","N")</f>
        <v/>
      </c>
    </row>
    <row r="750">
      <c r="K750">
        <f>IF(J750="v4.0",L750,IF(J750="v3.1",M750,IF(J750="Both",L750,IF(AND(L750&lt;&gt;"",M750=""),L750,M750))))</f>
        <v/>
      </c>
      <c r="Z750">
        <f>MIN(100,
(K750*5) +
(U750*10) +
IF(P750="Y",40,0) +
IF(Q750="P",30,0) +
IF(V750="Y",25,0) +
IF(W750="Y",20,0) +
IF(X750="Weaponized",15,IF(X750="PoC Available",10,IF(X750="Public Exploit",5,0))) +
IF(G750="Production",10,IF(G750="DMZ",8,IF(G750="DR/Backup",5,0))) +
IF(Y750="N",10,0)
)</f>
        <v/>
      </c>
      <c r="AA750">
        <f>IF(OR(P750="Y",AND(K750&gt;=9.0,W750="Y")),"P0",IF(Z750&gt;=80,"P0",IF(Z750&gt;=60,"P1",IF(Z750&gt;=40,"P2",IF(Z750&gt;=20,"P3","P4")))))</f>
        <v/>
      </c>
      <c r="AD750">
        <f>IF(AB750&lt;&gt;"",AB750,AA750)</f>
        <v/>
      </c>
      <c r="AE750">
        <f>VLOOKUP(AD750,SLA_Definitions!$A$2:$B$6,2,FALSE)</f>
        <v/>
      </c>
      <c r="AF750">
        <f>IF(B750&lt;&gt;"",WORKDAY(B750,AE750),"")</f>
        <v/>
      </c>
      <c r="AG750">
        <f>IF(AF750&lt;&gt;"",NETWORKDAYS(TODAY(),AF750),"")</f>
        <v/>
      </c>
      <c r="AH750">
        <f>IF(AJ750="Complete","Complete",IF(AG750&lt;0,"Overdue",IF(AG750&lt;=AE750*0.2,"At Risk","On Track")))</f>
        <v/>
      </c>
      <c r="AK750">
        <f>IF(OR(AH750="Overdue",AND(AD750="P0",AG750&lt;1),AND(AD750="P1",AG750&lt;3)),"Y","N")</f>
        <v/>
      </c>
    </row>
    <row r="751">
      <c r="K751">
        <f>IF(J751="v4.0",L751,IF(J751="v3.1",M751,IF(J751="Both",L751,IF(AND(L751&lt;&gt;"",M751=""),L751,M751))))</f>
        <v/>
      </c>
      <c r="Z751">
        <f>MIN(100,
(K751*5) +
(U751*10) +
IF(P751="Y",40,0) +
IF(Q751="P",30,0) +
IF(V751="Y",25,0) +
IF(W751="Y",20,0) +
IF(X751="Weaponized",15,IF(X751="PoC Available",10,IF(X751="Public Exploit",5,0))) +
IF(G751="Production",10,IF(G751="DMZ",8,IF(G751="DR/Backup",5,0))) +
IF(Y751="N",10,0)
)</f>
        <v/>
      </c>
      <c r="AA751">
        <f>IF(OR(P751="Y",AND(K751&gt;=9.0,W751="Y")),"P0",IF(Z751&gt;=80,"P0",IF(Z751&gt;=60,"P1",IF(Z751&gt;=40,"P2",IF(Z751&gt;=20,"P3","P4")))))</f>
        <v/>
      </c>
      <c r="AD751">
        <f>IF(AB751&lt;&gt;"",AB751,AA751)</f>
        <v/>
      </c>
      <c r="AE751">
        <f>VLOOKUP(AD751,SLA_Definitions!$A$2:$B$6,2,FALSE)</f>
        <v/>
      </c>
      <c r="AF751">
        <f>IF(B751&lt;&gt;"",WORKDAY(B751,AE751),"")</f>
        <v/>
      </c>
      <c r="AG751">
        <f>IF(AF751&lt;&gt;"",NETWORKDAYS(TODAY(),AF751),"")</f>
        <v/>
      </c>
      <c r="AH751">
        <f>IF(AJ751="Complete","Complete",IF(AG751&lt;0,"Overdue",IF(AG751&lt;=AE751*0.2,"At Risk","On Track")))</f>
        <v/>
      </c>
      <c r="AK751">
        <f>IF(OR(AH751="Overdue",AND(AD751="P0",AG751&lt;1),AND(AD751="P1",AG751&lt;3)),"Y","N")</f>
        <v/>
      </c>
    </row>
    <row r="752">
      <c r="K752">
        <f>IF(J752="v4.0",L752,IF(J752="v3.1",M752,IF(J752="Both",L752,IF(AND(L752&lt;&gt;"",M752=""),L752,M752))))</f>
        <v/>
      </c>
      <c r="Z752">
        <f>MIN(100,
(K752*5) +
(U752*10) +
IF(P752="Y",40,0) +
IF(Q752="P",30,0) +
IF(V752="Y",25,0) +
IF(W752="Y",20,0) +
IF(X752="Weaponized",15,IF(X752="PoC Available",10,IF(X752="Public Exploit",5,0))) +
IF(G752="Production",10,IF(G752="DMZ",8,IF(G752="DR/Backup",5,0))) +
IF(Y752="N",10,0)
)</f>
        <v/>
      </c>
      <c r="AA752">
        <f>IF(OR(P752="Y",AND(K752&gt;=9.0,W752="Y")),"P0",IF(Z752&gt;=80,"P0",IF(Z752&gt;=60,"P1",IF(Z752&gt;=40,"P2",IF(Z752&gt;=20,"P3","P4")))))</f>
        <v/>
      </c>
      <c r="AD752">
        <f>IF(AB752&lt;&gt;"",AB752,AA752)</f>
        <v/>
      </c>
      <c r="AE752">
        <f>VLOOKUP(AD752,SLA_Definitions!$A$2:$B$6,2,FALSE)</f>
        <v/>
      </c>
      <c r="AF752">
        <f>IF(B752&lt;&gt;"",WORKDAY(B752,AE752),"")</f>
        <v/>
      </c>
      <c r="AG752">
        <f>IF(AF752&lt;&gt;"",NETWORKDAYS(TODAY(),AF752),"")</f>
        <v/>
      </c>
      <c r="AH752">
        <f>IF(AJ752="Complete","Complete",IF(AG752&lt;0,"Overdue",IF(AG752&lt;=AE752*0.2,"At Risk","On Track")))</f>
        <v/>
      </c>
      <c r="AK752">
        <f>IF(OR(AH752="Overdue",AND(AD752="P0",AG752&lt;1),AND(AD752="P1",AG752&lt;3)),"Y","N")</f>
        <v/>
      </c>
    </row>
    <row r="753">
      <c r="K753">
        <f>IF(J753="v4.0",L753,IF(J753="v3.1",M753,IF(J753="Both",L753,IF(AND(L753&lt;&gt;"",M753=""),L753,M753))))</f>
        <v/>
      </c>
      <c r="Z753">
        <f>MIN(100,
(K753*5) +
(U753*10) +
IF(P753="Y",40,0) +
IF(Q753="P",30,0) +
IF(V753="Y",25,0) +
IF(W753="Y",20,0) +
IF(X753="Weaponized",15,IF(X753="PoC Available",10,IF(X753="Public Exploit",5,0))) +
IF(G753="Production",10,IF(G753="DMZ",8,IF(G753="DR/Backup",5,0))) +
IF(Y753="N",10,0)
)</f>
        <v/>
      </c>
      <c r="AA753">
        <f>IF(OR(P753="Y",AND(K753&gt;=9.0,W753="Y")),"P0",IF(Z753&gt;=80,"P0",IF(Z753&gt;=60,"P1",IF(Z753&gt;=40,"P2",IF(Z753&gt;=20,"P3","P4")))))</f>
        <v/>
      </c>
      <c r="AD753">
        <f>IF(AB753&lt;&gt;"",AB753,AA753)</f>
        <v/>
      </c>
      <c r="AE753">
        <f>VLOOKUP(AD753,SLA_Definitions!$A$2:$B$6,2,FALSE)</f>
        <v/>
      </c>
      <c r="AF753">
        <f>IF(B753&lt;&gt;"",WORKDAY(B753,AE753),"")</f>
        <v/>
      </c>
      <c r="AG753">
        <f>IF(AF753&lt;&gt;"",NETWORKDAYS(TODAY(),AF753),"")</f>
        <v/>
      </c>
      <c r="AH753">
        <f>IF(AJ753="Complete","Complete",IF(AG753&lt;0,"Overdue",IF(AG753&lt;=AE753*0.2,"At Risk","On Track")))</f>
        <v/>
      </c>
      <c r="AK753">
        <f>IF(OR(AH753="Overdue",AND(AD753="P0",AG753&lt;1),AND(AD753="P1",AG753&lt;3)),"Y","N")</f>
        <v/>
      </c>
    </row>
    <row r="754">
      <c r="K754">
        <f>IF(J754="v4.0",L754,IF(J754="v3.1",M754,IF(J754="Both",L754,IF(AND(L754&lt;&gt;"",M754=""),L754,M754))))</f>
        <v/>
      </c>
      <c r="Z754">
        <f>MIN(100,
(K754*5) +
(U754*10) +
IF(P754="Y",40,0) +
IF(Q754="P",30,0) +
IF(V754="Y",25,0) +
IF(W754="Y",20,0) +
IF(X754="Weaponized",15,IF(X754="PoC Available",10,IF(X754="Public Exploit",5,0))) +
IF(G754="Production",10,IF(G754="DMZ",8,IF(G754="DR/Backup",5,0))) +
IF(Y754="N",10,0)
)</f>
        <v/>
      </c>
      <c r="AA754">
        <f>IF(OR(P754="Y",AND(K754&gt;=9.0,W754="Y")),"P0",IF(Z754&gt;=80,"P0",IF(Z754&gt;=60,"P1",IF(Z754&gt;=40,"P2",IF(Z754&gt;=20,"P3","P4")))))</f>
        <v/>
      </c>
      <c r="AD754">
        <f>IF(AB754&lt;&gt;"",AB754,AA754)</f>
        <v/>
      </c>
      <c r="AE754">
        <f>VLOOKUP(AD754,SLA_Definitions!$A$2:$B$6,2,FALSE)</f>
        <v/>
      </c>
      <c r="AF754">
        <f>IF(B754&lt;&gt;"",WORKDAY(B754,AE754),"")</f>
        <v/>
      </c>
      <c r="AG754">
        <f>IF(AF754&lt;&gt;"",NETWORKDAYS(TODAY(),AF754),"")</f>
        <v/>
      </c>
      <c r="AH754">
        <f>IF(AJ754="Complete","Complete",IF(AG754&lt;0,"Overdue",IF(AG754&lt;=AE754*0.2,"At Risk","On Track")))</f>
        <v/>
      </c>
      <c r="AK754">
        <f>IF(OR(AH754="Overdue",AND(AD754="P0",AG754&lt;1),AND(AD754="P1",AG754&lt;3)),"Y","N")</f>
        <v/>
      </c>
    </row>
    <row r="755">
      <c r="K755">
        <f>IF(J755="v4.0",L755,IF(J755="v3.1",M755,IF(J755="Both",L755,IF(AND(L755&lt;&gt;"",M755=""),L755,M755))))</f>
        <v/>
      </c>
      <c r="Z755">
        <f>MIN(100,
(K755*5) +
(U755*10) +
IF(P755="Y",40,0) +
IF(Q755="P",30,0) +
IF(V755="Y",25,0) +
IF(W755="Y",20,0) +
IF(X755="Weaponized",15,IF(X755="PoC Available",10,IF(X755="Public Exploit",5,0))) +
IF(G755="Production",10,IF(G755="DMZ",8,IF(G755="DR/Backup",5,0))) +
IF(Y755="N",10,0)
)</f>
        <v/>
      </c>
      <c r="AA755">
        <f>IF(OR(P755="Y",AND(K755&gt;=9.0,W755="Y")),"P0",IF(Z755&gt;=80,"P0",IF(Z755&gt;=60,"P1",IF(Z755&gt;=40,"P2",IF(Z755&gt;=20,"P3","P4")))))</f>
        <v/>
      </c>
      <c r="AD755">
        <f>IF(AB755&lt;&gt;"",AB755,AA755)</f>
        <v/>
      </c>
      <c r="AE755">
        <f>VLOOKUP(AD755,SLA_Definitions!$A$2:$B$6,2,FALSE)</f>
        <v/>
      </c>
      <c r="AF755">
        <f>IF(B755&lt;&gt;"",WORKDAY(B755,AE755),"")</f>
        <v/>
      </c>
      <c r="AG755">
        <f>IF(AF755&lt;&gt;"",NETWORKDAYS(TODAY(),AF755),"")</f>
        <v/>
      </c>
      <c r="AH755">
        <f>IF(AJ755="Complete","Complete",IF(AG755&lt;0,"Overdue",IF(AG755&lt;=AE755*0.2,"At Risk","On Track")))</f>
        <v/>
      </c>
      <c r="AK755">
        <f>IF(OR(AH755="Overdue",AND(AD755="P0",AG755&lt;1),AND(AD755="P1",AG755&lt;3)),"Y","N")</f>
        <v/>
      </c>
    </row>
    <row r="756">
      <c r="K756">
        <f>IF(J756="v4.0",L756,IF(J756="v3.1",M756,IF(J756="Both",L756,IF(AND(L756&lt;&gt;"",M756=""),L756,M756))))</f>
        <v/>
      </c>
      <c r="Z756">
        <f>MIN(100,
(K756*5) +
(U756*10) +
IF(P756="Y",40,0) +
IF(Q756="P",30,0) +
IF(V756="Y",25,0) +
IF(W756="Y",20,0) +
IF(X756="Weaponized",15,IF(X756="PoC Available",10,IF(X756="Public Exploit",5,0))) +
IF(G756="Production",10,IF(G756="DMZ",8,IF(G756="DR/Backup",5,0))) +
IF(Y756="N",10,0)
)</f>
        <v/>
      </c>
      <c r="AA756">
        <f>IF(OR(P756="Y",AND(K756&gt;=9.0,W756="Y")),"P0",IF(Z756&gt;=80,"P0",IF(Z756&gt;=60,"P1",IF(Z756&gt;=40,"P2",IF(Z756&gt;=20,"P3","P4")))))</f>
        <v/>
      </c>
      <c r="AD756">
        <f>IF(AB756&lt;&gt;"",AB756,AA756)</f>
        <v/>
      </c>
      <c r="AE756">
        <f>VLOOKUP(AD756,SLA_Definitions!$A$2:$B$6,2,FALSE)</f>
        <v/>
      </c>
      <c r="AF756">
        <f>IF(B756&lt;&gt;"",WORKDAY(B756,AE756),"")</f>
        <v/>
      </c>
      <c r="AG756">
        <f>IF(AF756&lt;&gt;"",NETWORKDAYS(TODAY(),AF756),"")</f>
        <v/>
      </c>
      <c r="AH756">
        <f>IF(AJ756="Complete","Complete",IF(AG756&lt;0,"Overdue",IF(AG756&lt;=AE756*0.2,"At Risk","On Track")))</f>
        <v/>
      </c>
      <c r="AK756">
        <f>IF(OR(AH756="Overdue",AND(AD756="P0",AG756&lt;1),AND(AD756="P1",AG756&lt;3)),"Y","N")</f>
        <v/>
      </c>
    </row>
    <row r="757">
      <c r="K757">
        <f>IF(J757="v4.0",L757,IF(J757="v3.1",M757,IF(J757="Both",L757,IF(AND(L757&lt;&gt;"",M757=""),L757,M757))))</f>
        <v/>
      </c>
      <c r="Z757">
        <f>MIN(100,
(K757*5) +
(U757*10) +
IF(P757="Y",40,0) +
IF(Q757="P",30,0) +
IF(V757="Y",25,0) +
IF(W757="Y",20,0) +
IF(X757="Weaponized",15,IF(X757="PoC Available",10,IF(X757="Public Exploit",5,0))) +
IF(G757="Production",10,IF(G757="DMZ",8,IF(G757="DR/Backup",5,0))) +
IF(Y757="N",10,0)
)</f>
        <v/>
      </c>
      <c r="AA757">
        <f>IF(OR(P757="Y",AND(K757&gt;=9.0,W757="Y")),"P0",IF(Z757&gt;=80,"P0",IF(Z757&gt;=60,"P1",IF(Z757&gt;=40,"P2",IF(Z757&gt;=20,"P3","P4")))))</f>
        <v/>
      </c>
      <c r="AD757">
        <f>IF(AB757&lt;&gt;"",AB757,AA757)</f>
        <v/>
      </c>
      <c r="AE757">
        <f>VLOOKUP(AD757,SLA_Definitions!$A$2:$B$6,2,FALSE)</f>
        <v/>
      </c>
      <c r="AF757">
        <f>IF(B757&lt;&gt;"",WORKDAY(B757,AE757),"")</f>
        <v/>
      </c>
      <c r="AG757">
        <f>IF(AF757&lt;&gt;"",NETWORKDAYS(TODAY(),AF757),"")</f>
        <v/>
      </c>
      <c r="AH757">
        <f>IF(AJ757="Complete","Complete",IF(AG757&lt;0,"Overdue",IF(AG757&lt;=AE757*0.2,"At Risk","On Track")))</f>
        <v/>
      </c>
      <c r="AK757">
        <f>IF(OR(AH757="Overdue",AND(AD757="P0",AG757&lt;1),AND(AD757="P1",AG757&lt;3)),"Y","N")</f>
        <v/>
      </c>
    </row>
    <row r="758">
      <c r="K758">
        <f>IF(J758="v4.0",L758,IF(J758="v3.1",M758,IF(J758="Both",L758,IF(AND(L758&lt;&gt;"",M758=""),L758,M758))))</f>
        <v/>
      </c>
      <c r="Z758">
        <f>MIN(100,
(K758*5) +
(U758*10) +
IF(P758="Y",40,0) +
IF(Q758="P",30,0) +
IF(V758="Y",25,0) +
IF(W758="Y",20,0) +
IF(X758="Weaponized",15,IF(X758="PoC Available",10,IF(X758="Public Exploit",5,0))) +
IF(G758="Production",10,IF(G758="DMZ",8,IF(G758="DR/Backup",5,0))) +
IF(Y758="N",10,0)
)</f>
        <v/>
      </c>
      <c r="AA758">
        <f>IF(OR(P758="Y",AND(K758&gt;=9.0,W758="Y")),"P0",IF(Z758&gt;=80,"P0",IF(Z758&gt;=60,"P1",IF(Z758&gt;=40,"P2",IF(Z758&gt;=20,"P3","P4")))))</f>
        <v/>
      </c>
      <c r="AD758">
        <f>IF(AB758&lt;&gt;"",AB758,AA758)</f>
        <v/>
      </c>
      <c r="AE758">
        <f>VLOOKUP(AD758,SLA_Definitions!$A$2:$B$6,2,FALSE)</f>
        <v/>
      </c>
      <c r="AF758">
        <f>IF(B758&lt;&gt;"",WORKDAY(B758,AE758),"")</f>
        <v/>
      </c>
      <c r="AG758">
        <f>IF(AF758&lt;&gt;"",NETWORKDAYS(TODAY(),AF758),"")</f>
        <v/>
      </c>
      <c r="AH758">
        <f>IF(AJ758="Complete","Complete",IF(AG758&lt;0,"Overdue",IF(AG758&lt;=AE758*0.2,"At Risk","On Track")))</f>
        <v/>
      </c>
      <c r="AK758">
        <f>IF(OR(AH758="Overdue",AND(AD758="P0",AG758&lt;1),AND(AD758="P1",AG758&lt;3)),"Y","N")</f>
        <v/>
      </c>
    </row>
    <row r="759">
      <c r="K759">
        <f>IF(J759="v4.0",L759,IF(J759="v3.1",M759,IF(J759="Both",L759,IF(AND(L759&lt;&gt;"",M759=""),L759,M759))))</f>
        <v/>
      </c>
      <c r="Z759">
        <f>MIN(100,
(K759*5) +
(U759*10) +
IF(P759="Y",40,0) +
IF(Q759="P",30,0) +
IF(V759="Y",25,0) +
IF(W759="Y",20,0) +
IF(X759="Weaponized",15,IF(X759="PoC Available",10,IF(X759="Public Exploit",5,0))) +
IF(G759="Production",10,IF(G759="DMZ",8,IF(G759="DR/Backup",5,0))) +
IF(Y759="N",10,0)
)</f>
        <v/>
      </c>
      <c r="AA759">
        <f>IF(OR(P759="Y",AND(K759&gt;=9.0,W759="Y")),"P0",IF(Z759&gt;=80,"P0",IF(Z759&gt;=60,"P1",IF(Z759&gt;=40,"P2",IF(Z759&gt;=20,"P3","P4")))))</f>
        <v/>
      </c>
      <c r="AD759">
        <f>IF(AB759&lt;&gt;"",AB759,AA759)</f>
        <v/>
      </c>
      <c r="AE759">
        <f>VLOOKUP(AD759,SLA_Definitions!$A$2:$B$6,2,FALSE)</f>
        <v/>
      </c>
      <c r="AF759">
        <f>IF(B759&lt;&gt;"",WORKDAY(B759,AE759),"")</f>
        <v/>
      </c>
      <c r="AG759">
        <f>IF(AF759&lt;&gt;"",NETWORKDAYS(TODAY(),AF759),"")</f>
        <v/>
      </c>
      <c r="AH759">
        <f>IF(AJ759="Complete","Complete",IF(AG759&lt;0,"Overdue",IF(AG759&lt;=AE759*0.2,"At Risk","On Track")))</f>
        <v/>
      </c>
      <c r="AK759">
        <f>IF(OR(AH759="Overdue",AND(AD759="P0",AG759&lt;1),AND(AD759="P1",AG759&lt;3)),"Y","N")</f>
        <v/>
      </c>
    </row>
    <row r="760">
      <c r="K760">
        <f>IF(J760="v4.0",L760,IF(J760="v3.1",M760,IF(J760="Both",L760,IF(AND(L760&lt;&gt;"",M760=""),L760,M760))))</f>
        <v/>
      </c>
      <c r="Z760">
        <f>MIN(100,
(K760*5) +
(U760*10) +
IF(P760="Y",40,0) +
IF(Q760="P",30,0) +
IF(V760="Y",25,0) +
IF(W760="Y",20,0) +
IF(X760="Weaponized",15,IF(X760="PoC Available",10,IF(X760="Public Exploit",5,0))) +
IF(G760="Production",10,IF(G760="DMZ",8,IF(G760="DR/Backup",5,0))) +
IF(Y760="N",10,0)
)</f>
        <v/>
      </c>
      <c r="AA760">
        <f>IF(OR(P760="Y",AND(K760&gt;=9.0,W760="Y")),"P0",IF(Z760&gt;=80,"P0",IF(Z760&gt;=60,"P1",IF(Z760&gt;=40,"P2",IF(Z760&gt;=20,"P3","P4")))))</f>
        <v/>
      </c>
      <c r="AD760">
        <f>IF(AB760&lt;&gt;"",AB760,AA760)</f>
        <v/>
      </c>
      <c r="AE760">
        <f>VLOOKUP(AD760,SLA_Definitions!$A$2:$B$6,2,FALSE)</f>
        <v/>
      </c>
      <c r="AF760">
        <f>IF(B760&lt;&gt;"",WORKDAY(B760,AE760),"")</f>
        <v/>
      </c>
      <c r="AG760">
        <f>IF(AF760&lt;&gt;"",NETWORKDAYS(TODAY(),AF760),"")</f>
        <v/>
      </c>
      <c r="AH760">
        <f>IF(AJ760="Complete","Complete",IF(AG760&lt;0,"Overdue",IF(AG760&lt;=AE760*0.2,"At Risk","On Track")))</f>
        <v/>
      </c>
      <c r="AK760">
        <f>IF(OR(AH760="Overdue",AND(AD760="P0",AG760&lt;1),AND(AD760="P1",AG760&lt;3)),"Y","N")</f>
        <v/>
      </c>
    </row>
    <row r="761">
      <c r="K761">
        <f>IF(J761="v4.0",L761,IF(J761="v3.1",M761,IF(J761="Both",L761,IF(AND(L761&lt;&gt;"",M761=""),L761,M761))))</f>
        <v/>
      </c>
      <c r="Z761">
        <f>MIN(100,
(K761*5) +
(U761*10) +
IF(P761="Y",40,0) +
IF(Q761="P",30,0) +
IF(V761="Y",25,0) +
IF(W761="Y",20,0) +
IF(X761="Weaponized",15,IF(X761="PoC Available",10,IF(X761="Public Exploit",5,0))) +
IF(G761="Production",10,IF(G761="DMZ",8,IF(G761="DR/Backup",5,0))) +
IF(Y761="N",10,0)
)</f>
        <v/>
      </c>
      <c r="AA761">
        <f>IF(OR(P761="Y",AND(K761&gt;=9.0,W761="Y")),"P0",IF(Z761&gt;=80,"P0",IF(Z761&gt;=60,"P1",IF(Z761&gt;=40,"P2",IF(Z761&gt;=20,"P3","P4")))))</f>
        <v/>
      </c>
      <c r="AD761">
        <f>IF(AB761&lt;&gt;"",AB761,AA761)</f>
        <v/>
      </c>
      <c r="AE761">
        <f>VLOOKUP(AD761,SLA_Definitions!$A$2:$B$6,2,FALSE)</f>
        <v/>
      </c>
      <c r="AF761">
        <f>IF(B761&lt;&gt;"",WORKDAY(B761,AE761),"")</f>
        <v/>
      </c>
      <c r="AG761">
        <f>IF(AF761&lt;&gt;"",NETWORKDAYS(TODAY(),AF761),"")</f>
        <v/>
      </c>
      <c r="AH761">
        <f>IF(AJ761="Complete","Complete",IF(AG761&lt;0,"Overdue",IF(AG761&lt;=AE761*0.2,"At Risk","On Track")))</f>
        <v/>
      </c>
      <c r="AK761">
        <f>IF(OR(AH761="Overdue",AND(AD761="P0",AG761&lt;1),AND(AD761="P1",AG761&lt;3)),"Y","N")</f>
        <v/>
      </c>
    </row>
    <row r="762">
      <c r="K762">
        <f>IF(J762="v4.0",L762,IF(J762="v3.1",M762,IF(J762="Both",L762,IF(AND(L762&lt;&gt;"",M762=""),L762,M762))))</f>
        <v/>
      </c>
      <c r="Z762">
        <f>MIN(100,
(K762*5) +
(U762*10) +
IF(P762="Y",40,0) +
IF(Q762="P",30,0) +
IF(V762="Y",25,0) +
IF(W762="Y",20,0) +
IF(X762="Weaponized",15,IF(X762="PoC Available",10,IF(X762="Public Exploit",5,0))) +
IF(G762="Production",10,IF(G762="DMZ",8,IF(G762="DR/Backup",5,0))) +
IF(Y762="N",10,0)
)</f>
        <v/>
      </c>
      <c r="AA762">
        <f>IF(OR(P762="Y",AND(K762&gt;=9.0,W762="Y")),"P0",IF(Z762&gt;=80,"P0",IF(Z762&gt;=60,"P1",IF(Z762&gt;=40,"P2",IF(Z762&gt;=20,"P3","P4")))))</f>
        <v/>
      </c>
      <c r="AD762">
        <f>IF(AB762&lt;&gt;"",AB762,AA762)</f>
        <v/>
      </c>
      <c r="AE762">
        <f>VLOOKUP(AD762,SLA_Definitions!$A$2:$B$6,2,FALSE)</f>
        <v/>
      </c>
      <c r="AF762">
        <f>IF(B762&lt;&gt;"",WORKDAY(B762,AE762),"")</f>
        <v/>
      </c>
      <c r="AG762">
        <f>IF(AF762&lt;&gt;"",NETWORKDAYS(TODAY(),AF762),"")</f>
        <v/>
      </c>
      <c r="AH762">
        <f>IF(AJ762="Complete","Complete",IF(AG762&lt;0,"Overdue",IF(AG762&lt;=AE762*0.2,"At Risk","On Track")))</f>
        <v/>
      </c>
      <c r="AK762">
        <f>IF(OR(AH762="Overdue",AND(AD762="P0",AG762&lt;1),AND(AD762="P1",AG762&lt;3)),"Y","N")</f>
        <v/>
      </c>
    </row>
    <row r="763">
      <c r="K763">
        <f>IF(J763="v4.0",L763,IF(J763="v3.1",M763,IF(J763="Both",L763,IF(AND(L763&lt;&gt;"",M763=""),L763,M763))))</f>
        <v/>
      </c>
      <c r="Z763">
        <f>MIN(100,
(K763*5) +
(U763*10) +
IF(P763="Y",40,0) +
IF(Q763="P",30,0) +
IF(V763="Y",25,0) +
IF(W763="Y",20,0) +
IF(X763="Weaponized",15,IF(X763="PoC Available",10,IF(X763="Public Exploit",5,0))) +
IF(G763="Production",10,IF(G763="DMZ",8,IF(G763="DR/Backup",5,0))) +
IF(Y763="N",10,0)
)</f>
        <v/>
      </c>
      <c r="AA763">
        <f>IF(OR(P763="Y",AND(K763&gt;=9.0,W763="Y")),"P0",IF(Z763&gt;=80,"P0",IF(Z763&gt;=60,"P1",IF(Z763&gt;=40,"P2",IF(Z763&gt;=20,"P3","P4")))))</f>
        <v/>
      </c>
      <c r="AD763">
        <f>IF(AB763&lt;&gt;"",AB763,AA763)</f>
        <v/>
      </c>
      <c r="AE763">
        <f>VLOOKUP(AD763,SLA_Definitions!$A$2:$B$6,2,FALSE)</f>
        <v/>
      </c>
      <c r="AF763">
        <f>IF(B763&lt;&gt;"",WORKDAY(B763,AE763),"")</f>
        <v/>
      </c>
      <c r="AG763">
        <f>IF(AF763&lt;&gt;"",NETWORKDAYS(TODAY(),AF763),"")</f>
        <v/>
      </c>
      <c r="AH763">
        <f>IF(AJ763="Complete","Complete",IF(AG763&lt;0,"Overdue",IF(AG763&lt;=AE763*0.2,"At Risk","On Track")))</f>
        <v/>
      </c>
      <c r="AK763">
        <f>IF(OR(AH763="Overdue",AND(AD763="P0",AG763&lt;1),AND(AD763="P1",AG763&lt;3)),"Y","N")</f>
        <v/>
      </c>
    </row>
    <row r="764">
      <c r="K764">
        <f>IF(J764="v4.0",L764,IF(J764="v3.1",M764,IF(J764="Both",L764,IF(AND(L764&lt;&gt;"",M764=""),L764,M764))))</f>
        <v/>
      </c>
      <c r="Z764">
        <f>MIN(100,
(K764*5) +
(U764*10) +
IF(P764="Y",40,0) +
IF(Q764="P",30,0) +
IF(V764="Y",25,0) +
IF(W764="Y",20,0) +
IF(X764="Weaponized",15,IF(X764="PoC Available",10,IF(X764="Public Exploit",5,0))) +
IF(G764="Production",10,IF(G764="DMZ",8,IF(G764="DR/Backup",5,0))) +
IF(Y764="N",10,0)
)</f>
        <v/>
      </c>
      <c r="AA764">
        <f>IF(OR(P764="Y",AND(K764&gt;=9.0,W764="Y")),"P0",IF(Z764&gt;=80,"P0",IF(Z764&gt;=60,"P1",IF(Z764&gt;=40,"P2",IF(Z764&gt;=20,"P3","P4")))))</f>
        <v/>
      </c>
      <c r="AD764">
        <f>IF(AB764&lt;&gt;"",AB764,AA764)</f>
        <v/>
      </c>
      <c r="AE764">
        <f>VLOOKUP(AD764,SLA_Definitions!$A$2:$B$6,2,FALSE)</f>
        <v/>
      </c>
      <c r="AF764">
        <f>IF(B764&lt;&gt;"",WORKDAY(B764,AE764),"")</f>
        <v/>
      </c>
      <c r="AG764">
        <f>IF(AF764&lt;&gt;"",NETWORKDAYS(TODAY(),AF764),"")</f>
        <v/>
      </c>
      <c r="AH764">
        <f>IF(AJ764="Complete","Complete",IF(AG764&lt;0,"Overdue",IF(AG764&lt;=AE764*0.2,"At Risk","On Track")))</f>
        <v/>
      </c>
      <c r="AK764">
        <f>IF(OR(AH764="Overdue",AND(AD764="P0",AG764&lt;1),AND(AD764="P1",AG764&lt;3)),"Y","N")</f>
        <v/>
      </c>
    </row>
    <row r="765">
      <c r="K765">
        <f>IF(J765="v4.0",L765,IF(J765="v3.1",M765,IF(J765="Both",L765,IF(AND(L765&lt;&gt;"",M765=""),L765,M765))))</f>
        <v/>
      </c>
      <c r="Z765">
        <f>MIN(100,
(K765*5) +
(U765*10) +
IF(P765="Y",40,0) +
IF(Q765="P",30,0) +
IF(V765="Y",25,0) +
IF(W765="Y",20,0) +
IF(X765="Weaponized",15,IF(X765="PoC Available",10,IF(X765="Public Exploit",5,0))) +
IF(G765="Production",10,IF(G765="DMZ",8,IF(G765="DR/Backup",5,0))) +
IF(Y765="N",10,0)
)</f>
        <v/>
      </c>
      <c r="AA765">
        <f>IF(OR(P765="Y",AND(K765&gt;=9.0,W765="Y")),"P0",IF(Z765&gt;=80,"P0",IF(Z765&gt;=60,"P1",IF(Z765&gt;=40,"P2",IF(Z765&gt;=20,"P3","P4")))))</f>
        <v/>
      </c>
      <c r="AD765">
        <f>IF(AB765&lt;&gt;"",AB765,AA765)</f>
        <v/>
      </c>
      <c r="AE765">
        <f>VLOOKUP(AD765,SLA_Definitions!$A$2:$B$6,2,FALSE)</f>
        <v/>
      </c>
      <c r="AF765">
        <f>IF(B765&lt;&gt;"",WORKDAY(B765,AE765),"")</f>
        <v/>
      </c>
      <c r="AG765">
        <f>IF(AF765&lt;&gt;"",NETWORKDAYS(TODAY(),AF765),"")</f>
        <v/>
      </c>
      <c r="AH765">
        <f>IF(AJ765="Complete","Complete",IF(AG765&lt;0,"Overdue",IF(AG765&lt;=AE765*0.2,"At Risk","On Track")))</f>
        <v/>
      </c>
      <c r="AK765">
        <f>IF(OR(AH765="Overdue",AND(AD765="P0",AG765&lt;1),AND(AD765="P1",AG765&lt;3)),"Y","N")</f>
        <v/>
      </c>
    </row>
    <row r="766">
      <c r="K766">
        <f>IF(J766="v4.0",L766,IF(J766="v3.1",M766,IF(J766="Both",L766,IF(AND(L766&lt;&gt;"",M766=""),L766,M766))))</f>
        <v/>
      </c>
      <c r="Z766">
        <f>MIN(100,
(K766*5) +
(U766*10) +
IF(P766="Y",40,0) +
IF(Q766="P",30,0) +
IF(V766="Y",25,0) +
IF(W766="Y",20,0) +
IF(X766="Weaponized",15,IF(X766="PoC Available",10,IF(X766="Public Exploit",5,0))) +
IF(G766="Production",10,IF(G766="DMZ",8,IF(G766="DR/Backup",5,0))) +
IF(Y766="N",10,0)
)</f>
        <v/>
      </c>
      <c r="AA766">
        <f>IF(OR(P766="Y",AND(K766&gt;=9.0,W766="Y")),"P0",IF(Z766&gt;=80,"P0",IF(Z766&gt;=60,"P1",IF(Z766&gt;=40,"P2",IF(Z766&gt;=20,"P3","P4")))))</f>
        <v/>
      </c>
      <c r="AD766">
        <f>IF(AB766&lt;&gt;"",AB766,AA766)</f>
        <v/>
      </c>
      <c r="AE766">
        <f>VLOOKUP(AD766,SLA_Definitions!$A$2:$B$6,2,FALSE)</f>
        <v/>
      </c>
      <c r="AF766">
        <f>IF(B766&lt;&gt;"",WORKDAY(B766,AE766),"")</f>
        <v/>
      </c>
      <c r="AG766">
        <f>IF(AF766&lt;&gt;"",NETWORKDAYS(TODAY(),AF766),"")</f>
        <v/>
      </c>
      <c r="AH766">
        <f>IF(AJ766="Complete","Complete",IF(AG766&lt;0,"Overdue",IF(AG766&lt;=AE766*0.2,"At Risk","On Track")))</f>
        <v/>
      </c>
      <c r="AK766">
        <f>IF(OR(AH766="Overdue",AND(AD766="P0",AG766&lt;1),AND(AD766="P1",AG766&lt;3)),"Y","N")</f>
        <v/>
      </c>
    </row>
    <row r="767">
      <c r="K767">
        <f>IF(J767="v4.0",L767,IF(J767="v3.1",M767,IF(J767="Both",L767,IF(AND(L767&lt;&gt;"",M767=""),L767,M767))))</f>
        <v/>
      </c>
      <c r="Z767">
        <f>MIN(100,
(K767*5) +
(U767*10) +
IF(P767="Y",40,0) +
IF(Q767="P",30,0) +
IF(V767="Y",25,0) +
IF(W767="Y",20,0) +
IF(X767="Weaponized",15,IF(X767="PoC Available",10,IF(X767="Public Exploit",5,0))) +
IF(G767="Production",10,IF(G767="DMZ",8,IF(G767="DR/Backup",5,0))) +
IF(Y767="N",10,0)
)</f>
        <v/>
      </c>
      <c r="AA767">
        <f>IF(OR(P767="Y",AND(K767&gt;=9.0,W767="Y")),"P0",IF(Z767&gt;=80,"P0",IF(Z767&gt;=60,"P1",IF(Z767&gt;=40,"P2",IF(Z767&gt;=20,"P3","P4")))))</f>
        <v/>
      </c>
      <c r="AD767">
        <f>IF(AB767&lt;&gt;"",AB767,AA767)</f>
        <v/>
      </c>
      <c r="AE767">
        <f>VLOOKUP(AD767,SLA_Definitions!$A$2:$B$6,2,FALSE)</f>
        <v/>
      </c>
      <c r="AF767">
        <f>IF(B767&lt;&gt;"",WORKDAY(B767,AE767),"")</f>
        <v/>
      </c>
      <c r="AG767">
        <f>IF(AF767&lt;&gt;"",NETWORKDAYS(TODAY(),AF767),"")</f>
        <v/>
      </c>
      <c r="AH767">
        <f>IF(AJ767="Complete","Complete",IF(AG767&lt;0,"Overdue",IF(AG767&lt;=AE767*0.2,"At Risk","On Track")))</f>
        <v/>
      </c>
      <c r="AK767">
        <f>IF(OR(AH767="Overdue",AND(AD767="P0",AG767&lt;1),AND(AD767="P1",AG767&lt;3)),"Y","N")</f>
        <v/>
      </c>
    </row>
    <row r="768">
      <c r="K768">
        <f>IF(J768="v4.0",L768,IF(J768="v3.1",M768,IF(J768="Both",L768,IF(AND(L768&lt;&gt;"",M768=""),L768,M768))))</f>
        <v/>
      </c>
      <c r="Z768">
        <f>MIN(100,
(K768*5) +
(U768*10) +
IF(P768="Y",40,0) +
IF(Q768="P",30,0) +
IF(V768="Y",25,0) +
IF(W768="Y",20,0) +
IF(X768="Weaponized",15,IF(X768="PoC Available",10,IF(X768="Public Exploit",5,0))) +
IF(G768="Production",10,IF(G768="DMZ",8,IF(G768="DR/Backup",5,0))) +
IF(Y768="N",10,0)
)</f>
        <v/>
      </c>
      <c r="AA768">
        <f>IF(OR(P768="Y",AND(K768&gt;=9.0,W768="Y")),"P0",IF(Z768&gt;=80,"P0",IF(Z768&gt;=60,"P1",IF(Z768&gt;=40,"P2",IF(Z768&gt;=20,"P3","P4")))))</f>
        <v/>
      </c>
      <c r="AD768">
        <f>IF(AB768&lt;&gt;"",AB768,AA768)</f>
        <v/>
      </c>
      <c r="AE768">
        <f>VLOOKUP(AD768,SLA_Definitions!$A$2:$B$6,2,FALSE)</f>
        <v/>
      </c>
      <c r="AF768">
        <f>IF(B768&lt;&gt;"",WORKDAY(B768,AE768),"")</f>
        <v/>
      </c>
      <c r="AG768">
        <f>IF(AF768&lt;&gt;"",NETWORKDAYS(TODAY(),AF768),"")</f>
        <v/>
      </c>
      <c r="AH768">
        <f>IF(AJ768="Complete","Complete",IF(AG768&lt;0,"Overdue",IF(AG768&lt;=AE768*0.2,"At Risk","On Track")))</f>
        <v/>
      </c>
      <c r="AK768">
        <f>IF(OR(AH768="Overdue",AND(AD768="P0",AG768&lt;1),AND(AD768="P1",AG768&lt;3)),"Y","N")</f>
        <v/>
      </c>
    </row>
    <row r="769">
      <c r="K769">
        <f>IF(J769="v4.0",L769,IF(J769="v3.1",M769,IF(J769="Both",L769,IF(AND(L769&lt;&gt;"",M769=""),L769,M769))))</f>
        <v/>
      </c>
      <c r="Z769">
        <f>MIN(100,
(K769*5) +
(U769*10) +
IF(P769="Y",40,0) +
IF(Q769="P",30,0) +
IF(V769="Y",25,0) +
IF(W769="Y",20,0) +
IF(X769="Weaponized",15,IF(X769="PoC Available",10,IF(X769="Public Exploit",5,0))) +
IF(G769="Production",10,IF(G769="DMZ",8,IF(G769="DR/Backup",5,0))) +
IF(Y769="N",10,0)
)</f>
        <v/>
      </c>
      <c r="AA769">
        <f>IF(OR(P769="Y",AND(K769&gt;=9.0,W769="Y")),"P0",IF(Z769&gt;=80,"P0",IF(Z769&gt;=60,"P1",IF(Z769&gt;=40,"P2",IF(Z769&gt;=20,"P3","P4")))))</f>
        <v/>
      </c>
      <c r="AD769">
        <f>IF(AB769&lt;&gt;"",AB769,AA769)</f>
        <v/>
      </c>
      <c r="AE769">
        <f>VLOOKUP(AD769,SLA_Definitions!$A$2:$B$6,2,FALSE)</f>
        <v/>
      </c>
      <c r="AF769">
        <f>IF(B769&lt;&gt;"",WORKDAY(B769,AE769),"")</f>
        <v/>
      </c>
      <c r="AG769">
        <f>IF(AF769&lt;&gt;"",NETWORKDAYS(TODAY(),AF769),"")</f>
        <v/>
      </c>
      <c r="AH769">
        <f>IF(AJ769="Complete","Complete",IF(AG769&lt;0,"Overdue",IF(AG769&lt;=AE769*0.2,"At Risk","On Track")))</f>
        <v/>
      </c>
      <c r="AK769">
        <f>IF(OR(AH769="Overdue",AND(AD769="P0",AG769&lt;1),AND(AD769="P1",AG769&lt;3)),"Y","N")</f>
        <v/>
      </c>
    </row>
    <row r="770">
      <c r="K770">
        <f>IF(J770="v4.0",L770,IF(J770="v3.1",M770,IF(J770="Both",L770,IF(AND(L770&lt;&gt;"",M770=""),L770,M770))))</f>
        <v/>
      </c>
      <c r="Z770">
        <f>MIN(100,
(K770*5) +
(U770*10) +
IF(P770="Y",40,0) +
IF(Q770="P",30,0) +
IF(V770="Y",25,0) +
IF(W770="Y",20,0) +
IF(X770="Weaponized",15,IF(X770="PoC Available",10,IF(X770="Public Exploit",5,0))) +
IF(G770="Production",10,IF(G770="DMZ",8,IF(G770="DR/Backup",5,0))) +
IF(Y770="N",10,0)
)</f>
        <v/>
      </c>
      <c r="AA770">
        <f>IF(OR(P770="Y",AND(K770&gt;=9.0,W770="Y")),"P0",IF(Z770&gt;=80,"P0",IF(Z770&gt;=60,"P1",IF(Z770&gt;=40,"P2",IF(Z770&gt;=20,"P3","P4")))))</f>
        <v/>
      </c>
      <c r="AD770">
        <f>IF(AB770&lt;&gt;"",AB770,AA770)</f>
        <v/>
      </c>
      <c r="AE770">
        <f>VLOOKUP(AD770,SLA_Definitions!$A$2:$B$6,2,FALSE)</f>
        <v/>
      </c>
      <c r="AF770">
        <f>IF(B770&lt;&gt;"",WORKDAY(B770,AE770),"")</f>
        <v/>
      </c>
      <c r="AG770">
        <f>IF(AF770&lt;&gt;"",NETWORKDAYS(TODAY(),AF770),"")</f>
        <v/>
      </c>
      <c r="AH770">
        <f>IF(AJ770="Complete","Complete",IF(AG770&lt;0,"Overdue",IF(AG770&lt;=AE770*0.2,"At Risk","On Track")))</f>
        <v/>
      </c>
      <c r="AK770">
        <f>IF(OR(AH770="Overdue",AND(AD770="P0",AG770&lt;1),AND(AD770="P1",AG770&lt;3)),"Y","N")</f>
        <v/>
      </c>
    </row>
    <row r="771">
      <c r="K771">
        <f>IF(J771="v4.0",L771,IF(J771="v3.1",M771,IF(J771="Both",L771,IF(AND(L771&lt;&gt;"",M771=""),L771,M771))))</f>
        <v/>
      </c>
      <c r="Z771">
        <f>MIN(100,
(K771*5) +
(U771*10) +
IF(P771="Y",40,0) +
IF(Q771="P",30,0) +
IF(V771="Y",25,0) +
IF(W771="Y",20,0) +
IF(X771="Weaponized",15,IF(X771="PoC Available",10,IF(X771="Public Exploit",5,0))) +
IF(G771="Production",10,IF(G771="DMZ",8,IF(G771="DR/Backup",5,0))) +
IF(Y771="N",10,0)
)</f>
        <v/>
      </c>
      <c r="AA771">
        <f>IF(OR(P771="Y",AND(K771&gt;=9.0,W771="Y")),"P0",IF(Z771&gt;=80,"P0",IF(Z771&gt;=60,"P1",IF(Z771&gt;=40,"P2",IF(Z771&gt;=20,"P3","P4")))))</f>
        <v/>
      </c>
      <c r="AD771">
        <f>IF(AB771&lt;&gt;"",AB771,AA771)</f>
        <v/>
      </c>
      <c r="AE771">
        <f>VLOOKUP(AD771,SLA_Definitions!$A$2:$B$6,2,FALSE)</f>
        <v/>
      </c>
      <c r="AF771">
        <f>IF(B771&lt;&gt;"",WORKDAY(B771,AE771),"")</f>
        <v/>
      </c>
      <c r="AG771">
        <f>IF(AF771&lt;&gt;"",NETWORKDAYS(TODAY(),AF771),"")</f>
        <v/>
      </c>
      <c r="AH771">
        <f>IF(AJ771="Complete","Complete",IF(AG771&lt;0,"Overdue",IF(AG771&lt;=AE771*0.2,"At Risk","On Track")))</f>
        <v/>
      </c>
      <c r="AK771">
        <f>IF(OR(AH771="Overdue",AND(AD771="P0",AG771&lt;1),AND(AD771="P1",AG771&lt;3)),"Y","N")</f>
        <v/>
      </c>
    </row>
    <row r="772">
      <c r="K772">
        <f>IF(J772="v4.0",L772,IF(J772="v3.1",M772,IF(J772="Both",L772,IF(AND(L772&lt;&gt;"",M772=""),L772,M772))))</f>
        <v/>
      </c>
      <c r="Z772">
        <f>MIN(100,
(K772*5) +
(U772*10) +
IF(P772="Y",40,0) +
IF(Q772="P",30,0) +
IF(V772="Y",25,0) +
IF(W772="Y",20,0) +
IF(X772="Weaponized",15,IF(X772="PoC Available",10,IF(X772="Public Exploit",5,0))) +
IF(G772="Production",10,IF(G772="DMZ",8,IF(G772="DR/Backup",5,0))) +
IF(Y772="N",10,0)
)</f>
        <v/>
      </c>
      <c r="AA772">
        <f>IF(OR(P772="Y",AND(K772&gt;=9.0,W772="Y")),"P0",IF(Z772&gt;=80,"P0",IF(Z772&gt;=60,"P1",IF(Z772&gt;=40,"P2",IF(Z772&gt;=20,"P3","P4")))))</f>
        <v/>
      </c>
      <c r="AD772">
        <f>IF(AB772&lt;&gt;"",AB772,AA772)</f>
        <v/>
      </c>
      <c r="AE772">
        <f>VLOOKUP(AD772,SLA_Definitions!$A$2:$B$6,2,FALSE)</f>
        <v/>
      </c>
      <c r="AF772">
        <f>IF(B772&lt;&gt;"",WORKDAY(B772,AE772),"")</f>
        <v/>
      </c>
      <c r="AG772">
        <f>IF(AF772&lt;&gt;"",NETWORKDAYS(TODAY(),AF772),"")</f>
        <v/>
      </c>
      <c r="AH772">
        <f>IF(AJ772="Complete","Complete",IF(AG772&lt;0,"Overdue",IF(AG772&lt;=AE772*0.2,"At Risk","On Track")))</f>
        <v/>
      </c>
      <c r="AK772">
        <f>IF(OR(AH772="Overdue",AND(AD772="P0",AG772&lt;1),AND(AD772="P1",AG772&lt;3)),"Y","N")</f>
        <v/>
      </c>
    </row>
    <row r="773">
      <c r="K773">
        <f>IF(J773="v4.0",L773,IF(J773="v3.1",M773,IF(J773="Both",L773,IF(AND(L773&lt;&gt;"",M773=""),L773,M773))))</f>
        <v/>
      </c>
      <c r="Z773">
        <f>MIN(100,
(K773*5) +
(U773*10) +
IF(P773="Y",40,0) +
IF(Q773="P",30,0) +
IF(V773="Y",25,0) +
IF(W773="Y",20,0) +
IF(X773="Weaponized",15,IF(X773="PoC Available",10,IF(X773="Public Exploit",5,0))) +
IF(G773="Production",10,IF(G773="DMZ",8,IF(G773="DR/Backup",5,0))) +
IF(Y773="N",10,0)
)</f>
        <v/>
      </c>
      <c r="AA773">
        <f>IF(OR(P773="Y",AND(K773&gt;=9.0,W773="Y")),"P0",IF(Z773&gt;=80,"P0",IF(Z773&gt;=60,"P1",IF(Z773&gt;=40,"P2",IF(Z773&gt;=20,"P3","P4")))))</f>
        <v/>
      </c>
      <c r="AD773">
        <f>IF(AB773&lt;&gt;"",AB773,AA773)</f>
        <v/>
      </c>
      <c r="AE773">
        <f>VLOOKUP(AD773,SLA_Definitions!$A$2:$B$6,2,FALSE)</f>
        <v/>
      </c>
      <c r="AF773">
        <f>IF(B773&lt;&gt;"",WORKDAY(B773,AE773),"")</f>
        <v/>
      </c>
      <c r="AG773">
        <f>IF(AF773&lt;&gt;"",NETWORKDAYS(TODAY(),AF773),"")</f>
        <v/>
      </c>
      <c r="AH773">
        <f>IF(AJ773="Complete","Complete",IF(AG773&lt;0,"Overdue",IF(AG773&lt;=AE773*0.2,"At Risk","On Track")))</f>
        <v/>
      </c>
      <c r="AK773">
        <f>IF(OR(AH773="Overdue",AND(AD773="P0",AG773&lt;1),AND(AD773="P1",AG773&lt;3)),"Y","N")</f>
        <v/>
      </c>
    </row>
    <row r="774">
      <c r="K774">
        <f>IF(J774="v4.0",L774,IF(J774="v3.1",M774,IF(J774="Both",L774,IF(AND(L774&lt;&gt;"",M774=""),L774,M774))))</f>
        <v/>
      </c>
      <c r="Z774">
        <f>MIN(100,
(K774*5) +
(U774*10) +
IF(P774="Y",40,0) +
IF(Q774="P",30,0) +
IF(V774="Y",25,0) +
IF(W774="Y",20,0) +
IF(X774="Weaponized",15,IF(X774="PoC Available",10,IF(X774="Public Exploit",5,0))) +
IF(G774="Production",10,IF(G774="DMZ",8,IF(G774="DR/Backup",5,0))) +
IF(Y774="N",10,0)
)</f>
        <v/>
      </c>
      <c r="AA774">
        <f>IF(OR(P774="Y",AND(K774&gt;=9.0,W774="Y")),"P0",IF(Z774&gt;=80,"P0",IF(Z774&gt;=60,"P1",IF(Z774&gt;=40,"P2",IF(Z774&gt;=20,"P3","P4")))))</f>
        <v/>
      </c>
      <c r="AD774">
        <f>IF(AB774&lt;&gt;"",AB774,AA774)</f>
        <v/>
      </c>
      <c r="AE774">
        <f>VLOOKUP(AD774,SLA_Definitions!$A$2:$B$6,2,FALSE)</f>
        <v/>
      </c>
      <c r="AF774">
        <f>IF(B774&lt;&gt;"",WORKDAY(B774,AE774),"")</f>
        <v/>
      </c>
      <c r="AG774">
        <f>IF(AF774&lt;&gt;"",NETWORKDAYS(TODAY(),AF774),"")</f>
        <v/>
      </c>
      <c r="AH774">
        <f>IF(AJ774="Complete","Complete",IF(AG774&lt;0,"Overdue",IF(AG774&lt;=AE774*0.2,"At Risk","On Track")))</f>
        <v/>
      </c>
      <c r="AK774">
        <f>IF(OR(AH774="Overdue",AND(AD774="P0",AG774&lt;1),AND(AD774="P1",AG774&lt;3)),"Y","N")</f>
        <v/>
      </c>
    </row>
    <row r="775">
      <c r="K775">
        <f>IF(J775="v4.0",L775,IF(J775="v3.1",M775,IF(J775="Both",L775,IF(AND(L775&lt;&gt;"",M775=""),L775,M775))))</f>
        <v/>
      </c>
      <c r="Z775">
        <f>MIN(100,
(K775*5) +
(U775*10) +
IF(P775="Y",40,0) +
IF(Q775="P",30,0) +
IF(V775="Y",25,0) +
IF(W775="Y",20,0) +
IF(X775="Weaponized",15,IF(X775="PoC Available",10,IF(X775="Public Exploit",5,0))) +
IF(G775="Production",10,IF(G775="DMZ",8,IF(G775="DR/Backup",5,0))) +
IF(Y775="N",10,0)
)</f>
        <v/>
      </c>
      <c r="AA775">
        <f>IF(OR(P775="Y",AND(K775&gt;=9.0,W775="Y")),"P0",IF(Z775&gt;=80,"P0",IF(Z775&gt;=60,"P1",IF(Z775&gt;=40,"P2",IF(Z775&gt;=20,"P3","P4")))))</f>
        <v/>
      </c>
      <c r="AD775">
        <f>IF(AB775&lt;&gt;"",AB775,AA775)</f>
        <v/>
      </c>
      <c r="AE775">
        <f>VLOOKUP(AD775,SLA_Definitions!$A$2:$B$6,2,FALSE)</f>
        <v/>
      </c>
      <c r="AF775">
        <f>IF(B775&lt;&gt;"",WORKDAY(B775,AE775),"")</f>
        <v/>
      </c>
      <c r="AG775">
        <f>IF(AF775&lt;&gt;"",NETWORKDAYS(TODAY(),AF775),"")</f>
        <v/>
      </c>
      <c r="AH775">
        <f>IF(AJ775="Complete","Complete",IF(AG775&lt;0,"Overdue",IF(AG775&lt;=AE775*0.2,"At Risk","On Track")))</f>
        <v/>
      </c>
      <c r="AK775">
        <f>IF(OR(AH775="Overdue",AND(AD775="P0",AG775&lt;1),AND(AD775="P1",AG775&lt;3)),"Y","N")</f>
        <v/>
      </c>
    </row>
    <row r="776">
      <c r="K776">
        <f>IF(J776="v4.0",L776,IF(J776="v3.1",M776,IF(J776="Both",L776,IF(AND(L776&lt;&gt;"",M776=""),L776,M776))))</f>
        <v/>
      </c>
      <c r="Z776">
        <f>MIN(100,
(K776*5) +
(U776*10) +
IF(P776="Y",40,0) +
IF(Q776="P",30,0) +
IF(V776="Y",25,0) +
IF(W776="Y",20,0) +
IF(X776="Weaponized",15,IF(X776="PoC Available",10,IF(X776="Public Exploit",5,0))) +
IF(G776="Production",10,IF(G776="DMZ",8,IF(G776="DR/Backup",5,0))) +
IF(Y776="N",10,0)
)</f>
        <v/>
      </c>
      <c r="AA776">
        <f>IF(OR(P776="Y",AND(K776&gt;=9.0,W776="Y")),"P0",IF(Z776&gt;=80,"P0",IF(Z776&gt;=60,"P1",IF(Z776&gt;=40,"P2",IF(Z776&gt;=20,"P3","P4")))))</f>
        <v/>
      </c>
      <c r="AD776">
        <f>IF(AB776&lt;&gt;"",AB776,AA776)</f>
        <v/>
      </c>
      <c r="AE776">
        <f>VLOOKUP(AD776,SLA_Definitions!$A$2:$B$6,2,FALSE)</f>
        <v/>
      </c>
      <c r="AF776">
        <f>IF(B776&lt;&gt;"",WORKDAY(B776,AE776),"")</f>
        <v/>
      </c>
      <c r="AG776">
        <f>IF(AF776&lt;&gt;"",NETWORKDAYS(TODAY(),AF776),"")</f>
        <v/>
      </c>
      <c r="AH776">
        <f>IF(AJ776="Complete","Complete",IF(AG776&lt;0,"Overdue",IF(AG776&lt;=AE776*0.2,"At Risk","On Track")))</f>
        <v/>
      </c>
      <c r="AK776">
        <f>IF(OR(AH776="Overdue",AND(AD776="P0",AG776&lt;1),AND(AD776="P1",AG776&lt;3)),"Y","N")</f>
        <v/>
      </c>
    </row>
    <row r="777">
      <c r="K777">
        <f>IF(J777="v4.0",L777,IF(J777="v3.1",M777,IF(J777="Both",L777,IF(AND(L777&lt;&gt;"",M777=""),L777,M777))))</f>
        <v/>
      </c>
      <c r="Z777">
        <f>MIN(100,
(K777*5) +
(U777*10) +
IF(P777="Y",40,0) +
IF(Q777="P",30,0) +
IF(V777="Y",25,0) +
IF(W777="Y",20,0) +
IF(X777="Weaponized",15,IF(X777="PoC Available",10,IF(X777="Public Exploit",5,0))) +
IF(G777="Production",10,IF(G777="DMZ",8,IF(G777="DR/Backup",5,0))) +
IF(Y777="N",10,0)
)</f>
        <v/>
      </c>
      <c r="AA777">
        <f>IF(OR(P777="Y",AND(K777&gt;=9.0,W777="Y")),"P0",IF(Z777&gt;=80,"P0",IF(Z777&gt;=60,"P1",IF(Z777&gt;=40,"P2",IF(Z777&gt;=20,"P3","P4")))))</f>
        <v/>
      </c>
      <c r="AD777">
        <f>IF(AB777&lt;&gt;"",AB777,AA777)</f>
        <v/>
      </c>
      <c r="AE777">
        <f>VLOOKUP(AD777,SLA_Definitions!$A$2:$B$6,2,FALSE)</f>
        <v/>
      </c>
      <c r="AF777">
        <f>IF(B777&lt;&gt;"",WORKDAY(B777,AE777),"")</f>
        <v/>
      </c>
      <c r="AG777">
        <f>IF(AF777&lt;&gt;"",NETWORKDAYS(TODAY(),AF777),"")</f>
        <v/>
      </c>
      <c r="AH777">
        <f>IF(AJ777="Complete","Complete",IF(AG777&lt;0,"Overdue",IF(AG777&lt;=AE777*0.2,"At Risk","On Track")))</f>
        <v/>
      </c>
      <c r="AK777">
        <f>IF(OR(AH777="Overdue",AND(AD777="P0",AG777&lt;1),AND(AD777="P1",AG777&lt;3)),"Y","N")</f>
        <v/>
      </c>
    </row>
    <row r="778">
      <c r="K778">
        <f>IF(J778="v4.0",L778,IF(J778="v3.1",M778,IF(J778="Both",L778,IF(AND(L778&lt;&gt;"",M778=""),L778,M778))))</f>
        <v/>
      </c>
      <c r="Z778">
        <f>MIN(100,
(K778*5) +
(U778*10) +
IF(P778="Y",40,0) +
IF(Q778="P",30,0) +
IF(V778="Y",25,0) +
IF(W778="Y",20,0) +
IF(X778="Weaponized",15,IF(X778="PoC Available",10,IF(X778="Public Exploit",5,0))) +
IF(G778="Production",10,IF(G778="DMZ",8,IF(G778="DR/Backup",5,0))) +
IF(Y778="N",10,0)
)</f>
        <v/>
      </c>
      <c r="AA778">
        <f>IF(OR(P778="Y",AND(K778&gt;=9.0,W778="Y")),"P0",IF(Z778&gt;=80,"P0",IF(Z778&gt;=60,"P1",IF(Z778&gt;=40,"P2",IF(Z778&gt;=20,"P3","P4")))))</f>
        <v/>
      </c>
      <c r="AD778">
        <f>IF(AB778&lt;&gt;"",AB778,AA778)</f>
        <v/>
      </c>
      <c r="AE778">
        <f>VLOOKUP(AD778,SLA_Definitions!$A$2:$B$6,2,FALSE)</f>
        <v/>
      </c>
      <c r="AF778">
        <f>IF(B778&lt;&gt;"",WORKDAY(B778,AE778),"")</f>
        <v/>
      </c>
      <c r="AG778">
        <f>IF(AF778&lt;&gt;"",NETWORKDAYS(TODAY(),AF778),"")</f>
        <v/>
      </c>
      <c r="AH778">
        <f>IF(AJ778="Complete","Complete",IF(AG778&lt;0,"Overdue",IF(AG778&lt;=AE778*0.2,"At Risk","On Track")))</f>
        <v/>
      </c>
      <c r="AK778">
        <f>IF(OR(AH778="Overdue",AND(AD778="P0",AG778&lt;1),AND(AD778="P1",AG778&lt;3)),"Y","N")</f>
        <v/>
      </c>
    </row>
    <row r="779">
      <c r="K779">
        <f>IF(J779="v4.0",L779,IF(J779="v3.1",M779,IF(J779="Both",L779,IF(AND(L779&lt;&gt;"",M779=""),L779,M779))))</f>
        <v/>
      </c>
      <c r="Z779">
        <f>MIN(100,
(K779*5) +
(U779*10) +
IF(P779="Y",40,0) +
IF(Q779="P",30,0) +
IF(V779="Y",25,0) +
IF(W779="Y",20,0) +
IF(X779="Weaponized",15,IF(X779="PoC Available",10,IF(X779="Public Exploit",5,0))) +
IF(G779="Production",10,IF(G779="DMZ",8,IF(G779="DR/Backup",5,0))) +
IF(Y779="N",10,0)
)</f>
        <v/>
      </c>
      <c r="AA779">
        <f>IF(OR(P779="Y",AND(K779&gt;=9.0,W779="Y")),"P0",IF(Z779&gt;=80,"P0",IF(Z779&gt;=60,"P1",IF(Z779&gt;=40,"P2",IF(Z779&gt;=20,"P3","P4")))))</f>
        <v/>
      </c>
      <c r="AD779">
        <f>IF(AB779&lt;&gt;"",AB779,AA779)</f>
        <v/>
      </c>
      <c r="AE779">
        <f>VLOOKUP(AD779,SLA_Definitions!$A$2:$B$6,2,FALSE)</f>
        <v/>
      </c>
      <c r="AF779">
        <f>IF(B779&lt;&gt;"",WORKDAY(B779,AE779),"")</f>
        <v/>
      </c>
      <c r="AG779">
        <f>IF(AF779&lt;&gt;"",NETWORKDAYS(TODAY(),AF779),"")</f>
        <v/>
      </c>
      <c r="AH779">
        <f>IF(AJ779="Complete","Complete",IF(AG779&lt;0,"Overdue",IF(AG779&lt;=AE779*0.2,"At Risk","On Track")))</f>
        <v/>
      </c>
      <c r="AK779">
        <f>IF(OR(AH779="Overdue",AND(AD779="P0",AG779&lt;1),AND(AD779="P1",AG779&lt;3)),"Y","N")</f>
        <v/>
      </c>
    </row>
    <row r="780">
      <c r="K780">
        <f>IF(J780="v4.0",L780,IF(J780="v3.1",M780,IF(J780="Both",L780,IF(AND(L780&lt;&gt;"",M780=""),L780,M780))))</f>
        <v/>
      </c>
      <c r="Z780">
        <f>MIN(100,
(K780*5) +
(U780*10) +
IF(P780="Y",40,0) +
IF(Q780="P",30,0) +
IF(V780="Y",25,0) +
IF(W780="Y",20,0) +
IF(X780="Weaponized",15,IF(X780="PoC Available",10,IF(X780="Public Exploit",5,0))) +
IF(G780="Production",10,IF(G780="DMZ",8,IF(G780="DR/Backup",5,0))) +
IF(Y780="N",10,0)
)</f>
        <v/>
      </c>
      <c r="AA780">
        <f>IF(OR(P780="Y",AND(K780&gt;=9.0,W780="Y")),"P0",IF(Z780&gt;=80,"P0",IF(Z780&gt;=60,"P1",IF(Z780&gt;=40,"P2",IF(Z780&gt;=20,"P3","P4")))))</f>
        <v/>
      </c>
      <c r="AD780">
        <f>IF(AB780&lt;&gt;"",AB780,AA780)</f>
        <v/>
      </c>
      <c r="AE780">
        <f>VLOOKUP(AD780,SLA_Definitions!$A$2:$B$6,2,FALSE)</f>
        <v/>
      </c>
      <c r="AF780">
        <f>IF(B780&lt;&gt;"",WORKDAY(B780,AE780),"")</f>
        <v/>
      </c>
      <c r="AG780">
        <f>IF(AF780&lt;&gt;"",NETWORKDAYS(TODAY(),AF780),"")</f>
        <v/>
      </c>
      <c r="AH780">
        <f>IF(AJ780="Complete","Complete",IF(AG780&lt;0,"Overdue",IF(AG780&lt;=AE780*0.2,"At Risk","On Track")))</f>
        <v/>
      </c>
      <c r="AK780">
        <f>IF(OR(AH780="Overdue",AND(AD780="P0",AG780&lt;1),AND(AD780="P1",AG780&lt;3)),"Y","N")</f>
        <v/>
      </c>
    </row>
    <row r="781">
      <c r="K781">
        <f>IF(J781="v4.0",L781,IF(J781="v3.1",M781,IF(J781="Both",L781,IF(AND(L781&lt;&gt;"",M781=""),L781,M781))))</f>
        <v/>
      </c>
      <c r="Z781">
        <f>MIN(100,
(K781*5) +
(U781*10) +
IF(P781="Y",40,0) +
IF(Q781="P",30,0) +
IF(V781="Y",25,0) +
IF(W781="Y",20,0) +
IF(X781="Weaponized",15,IF(X781="PoC Available",10,IF(X781="Public Exploit",5,0))) +
IF(G781="Production",10,IF(G781="DMZ",8,IF(G781="DR/Backup",5,0))) +
IF(Y781="N",10,0)
)</f>
        <v/>
      </c>
      <c r="AA781">
        <f>IF(OR(P781="Y",AND(K781&gt;=9.0,W781="Y")),"P0",IF(Z781&gt;=80,"P0",IF(Z781&gt;=60,"P1",IF(Z781&gt;=40,"P2",IF(Z781&gt;=20,"P3","P4")))))</f>
        <v/>
      </c>
      <c r="AD781">
        <f>IF(AB781&lt;&gt;"",AB781,AA781)</f>
        <v/>
      </c>
      <c r="AE781">
        <f>VLOOKUP(AD781,SLA_Definitions!$A$2:$B$6,2,FALSE)</f>
        <v/>
      </c>
      <c r="AF781">
        <f>IF(B781&lt;&gt;"",WORKDAY(B781,AE781),"")</f>
        <v/>
      </c>
      <c r="AG781">
        <f>IF(AF781&lt;&gt;"",NETWORKDAYS(TODAY(),AF781),"")</f>
        <v/>
      </c>
      <c r="AH781">
        <f>IF(AJ781="Complete","Complete",IF(AG781&lt;0,"Overdue",IF(AG781&lt;=AE781*0.2,"At Risk","On Track")))</f>
        <v/>
      </c>
      <c r="AK781">
        <f>IF(OR(AH781="Overdue",AND(AD781="P0",AG781&lt;1),AND(AD781="P1",AG781&lt;3)),"Y","N")</f>
        <v/>
      </c>
    </row>
    <row r="782">
      <c r="K782">
        <f>IF(J782="v4.0",L782,IF(J782="v3.1",M782,IF(J782="Both",L782,IF(AND(L782&lt;&gt;"",M782=""),L782,M782))))</f>
        <v/>
      </c>
      <c r="Z782">
        <f>MIN(100,
(K782*5) +
(U782*10) +
IF(P782="Y",40,0) +
IF(Q782="P",30,0) +
IF(V782="Y",25,0) +
IF(W782="Y",20,0) +
IF(X782="Weaponized",15,IF(X782="PoC Available",10,IF(X782="Public Exploit",5,0))) +
IF(G782="Production",10,IF(G782="DMZ",8,IF(G782="DR/Backup",5,0))) +
IF(Y782="N",10,0)
)</f>
        <v/>
      </c>
      <c r="AA782">
        <f>IF(OR(P782="Y",AND(K782&gt;=9.0,W782="Y")),"P0",IF(Z782&gt;=80,"P0",IF(Z782&gt;=60,"P1",IF(Z782&gt;=40,"P2",IF(Z782&gt;=20,"P3","P4")))))</f>
        <v/>
      </c>
      <c r="AD782">
        <f>IF(AB782&lt;&gt;"",AB782,AA782)</f>
        <v/>
      </c>
      <c r="AE782">
        <f>VLOOKUP(AD782,SLA_Definitions!$A$2:$B$6,2,FALSE)</f>
        <v/>
      </c>
      <c r="AF782">
        <f>IF(B782&lt;&gt;"",WORKDAY(B782,AE782),"")</f>
        <v/>
      </c>
      <c r="AG782">
        <f>IF(AF782&lt;&gt;"",NETWORKDAYS(TODAY(),AF782),"")</f>
        <v/>
      </c>
      <c r="AH782">
        <f>IF(AJ782="Complete","Complete",IF(AG782&lt;0,"Overdue",IF(AG782&lt;=AE782*0.2,"At Risk","On Track")))</f>
        <v/>
      </c>
      <c r="AK782">
        <f>IF(OR(AH782="Overdue",AND(AD782="P0",AG782&lt;1),AND(AD782="P1",AG782&lt;3)),"Y","N")</f>
        <v/>
      </c>
    </row>
    <row r="783">
      <c r="K783">
        <f>IF(J783="v4.0",L783,IF(J783="v3.1",M783,IF(J783="Both",L783,IF(AND(L783&lt;&gt;"",M783=""),L783,M783))))</f>
        <v/>
      </c>
      <c r="Z783">
        <f>MIN(100,
(K783*5) +
(U783*10) +
IF(P783="Y",40,0) +
IF(Q783="P",30,0) +
IF(V783="Y",25,0) +
IF(W783="Y",20,0) +
IF(X783="Weaponized",15,IF(X783="PoC Available",10,IF(X783="Public Exploit",5,0))) +
IF(G783="Production",10,IF(G783="DMZ",8,IF(G783="DR/Backup",5,0))) +
IF(Y783="N",10,0)
)</f>
        <v/>
      </c>
      <c r="AA783">
        <f>IF(OR(P783="Y",AND(K783&gt;=9.0,W783="Y")),"P0",IF(Z783&gt;=80,"P0",IF(Z783&gt;=60,"P1",IF(Z783&gt;=40,"P2",IF(Z783&gt;=20,"P3","P4")))))</f>
        <v/>
      </c>
      <c r="AD783">
        <f>IF(AB783&lt;&gt;"",AB783,AA783)</f>
        <v/>
      </c>
      <c r="AE783">
        <f>VLOOKUP(AD783,SLA_Definitions!$A$2:$B$6,2,FALSE)</f>
        <v/>
      </c>
      <c r="AF783">
        <f>IF(B783&lt;&gt;"",WORKDAY(B783,AE783),"")</f>
        <v/>
      </c>
      <c r="AG783">
        <f>IF(AF783&lt;&gt;"",NETWORKDAYS(TODAY(),AF783),"")</f>
        <v/>
      </c>
      <c r="AH783">
        <f>IF(AJ783="Complete","Complete",IF(AG783&lt;0,"Overdue",IF(AG783&lt;=AE783*0.2,"At Risk","On Track")))</f>
        <v/>
      </c>
      <c r="AK783">
        <f>IF(OR(AH783="Overdue",AND(AD783="P0",AG783&lt;1),AND(AD783="P1",AG783&lt;3)),"Y","N")</f>
        <v/>
      </c>
    </row>
    <row r="784">
      <c r="K784">
        <f>IF(J784="v4.0",L784,IF(J784="v3.1",M784,IF(J784="Both",L784,IF(AND(L784&lt;&gt;"",M784=""),L784,M784))))</f>
        <v/>
      </c>
      <c r="Z784">
        <f>MIN(100,
(K784*5) +
(U784*10) +
IF(P784="Y",40,0) +
IF(Q784="P",30,0) +
IF(V784="Y",25,0) +
IF(W784="Y",20,0) +
IF(X784="Weaponized",15,IF(X784="PoC Available",10,IF(X784="Public Exploit",5,0))) +
IF(G784="Production",10,IF(G784="DMZ",8,IF(G784="DR/Backup",5,0))) +
IF(Y784="N",10,0)
)</f>
        <v/>
      </c>
      <c r="AA784">
        <f>IF(OR(P784="Y",AND(K784&gt;=9.0,W784="Y")),"P0",IF(Z784&gt;=80,"P0",IF(Z784&gt;=60,"P1",IF(Z784&gt;=40,"P2",IF(Z784&gt;=20,"P3","P4")))))</f>
        <v/>
      </c>
      <c r="AD784">
        <f>IF(AB784&lt;&gt;"",AB784,AA784)</f>
        <v/>
      </c>
      <c r="AE784">
        <f>VLOOKUP(AD784,SLA_Definitions!$A$2:$B$6,2,FALSE)</f>
        <v/>
      </c>
      <c r="AF784">
        <f>IF(B784&lt;&gt;"",WORKDAY(B784,AE784),"")</f>
        <v/>
      </c>
      <c r="AG784">
        <f>IF(AF784&lt;&gt;"",NETWORKDAYS(TODAY(),AF784),"")</f>
        <v/>
      </c>
      <c r="AH784">
        <f>IF(AJ784="Complete","Complete",IF(AG784&lt;0,"Overdue",IF(AG784&lt;=AE784*0.2,"At Risk","On Track")))</f>
        <v/>
      </c>
      <c r="AK784">
        <f>IF(OR(AH784="Overdue",AND(AD784="P0",AG784&lt;1),AND(AD784="P1",AG784&lt;3)),"Y","N")</f>
        <v/>
      </c>
    </row>
    <row r="785">
      <c r="K785">
        <f>IF(J785="v4.0",L785,IF(J785="v3.1",M785,IF(J785="Both",L785,IF(AND(L785&lt;&gt;"",M785=""),L785,M785))))</f>
        <v/>
      </c>
      <c r="Z785">
        <f>MIN(100,
(K785*5) +
(U785*10) +
IF(P785="Y",40,0) +
IF(Q785="P",30,0) +
IF(V785="Y",25,0) +
IF(W785="Y",20,0) +
IF(X785="Weaponized",15,IF(X785="PoC Available",10,IF(X785="Public Exploit",5,0))) +
IF(G785="Production",10,IF(G785="DMZ",8,IF(G785="DR/Backup",5,0))) +
IF(Y785="N",10,0)
)</f>
        <v/>
      </c>
      <c r="AA785">
        <f>IF(OR(P785="Y",AND(K785&gt;=9.0,W785="Y")),"P0",IF(Z785&gt;=80,"P0",IF(Z785&gt;=60,"P1",IF(Z785&gt;=40,"P2",IF(Z785&gt;=20,"P3","P4")))))</f>
        <v/>
      </c>
      <c r="AD785">
        <f>IF(AB785&lt;&gt;"",AB785,AA785)</f>
        <v/>
      </c>
      <c r="AE785">
        <f>VLOOKUP(AD785,SLA_Definitions!$A$2:$B$6,2,FALSE)</f>
        <v/>
      </c>
      <c r="AF785">
        <f>IF(B785&lt;&gt;"",WORKDAY(B785,AE785),"")</f>
        <v/>
      </c>
      <c r="AG785">
        <f>IF(AF785&lt;&gt;"",NETWORKDAYS(TODAY(),AF785),"")</f>
        <v/>
      </c>
      <c r="AH785">
        <f>IF(AJ785="Complete","Complete",IF(AG785&lt;0,"Overdue",IF(AG785&lt;=AE785*0.2,"At Risk","On Track")))</f>
        <v/>
      </c>
      <c r="AK785">
        <f>IF(OR(AH785="Overdue",AND(AD785="P0",AG785&lt;1),AND(AD785="P1",AG785&lt;3)),"Y","N")</f>
        <v/>
      </c>
    </row>
    <row r="786">
      <c r="K786">
        <f>IF(J786="v4.0",L786,IF(J786="v3.1",M786,IF(J786="Both",L786,IF(AND(L786&lt;&gt;"",M786=""),L786,M786))))</f>
        <v/>
      </c>
      <c r="Z786">
        <f>MIN(100,
(K786*5) +
(U786*10) +
IF(P786="Y",40,0) +
IF(Q786="P",30,0) +
IF(V786="Y",25,0) +
IF(W786="Y",20,0) +
IF(X786="Weaponized",15,IF(X786="PoC Available",10,IF(X786="Public Exploit",5,0))) +
IF(G786="Production",10,IF(G786="DMZ",8,IF(G786="DR/Backup",5,0))) +
IF(Y786="N",10,0)
)</f>
        <v/>
      </c>
      <c r="AA786">
        <f>IF(OR(P786="Y",AND(K786&gt;=9.0,W786="Y")),"P0",IF(Z786&gt;=80,"P0",IF(Z786&gt;=60,"P1",IF(Z786&gt;=40,"P2",IF(Z786&gt;=20,"P3","P4")))))</f>
        <v/>
      </c>
      <c r="AD786">
        <f>IF(AB786&lt;&gt;"",AB786,AA786)</f>
        <v/>
      </c>
      <c r="AE786">
        <f>VLOOKUP(AD786,SLA_Definitions!$A$2:$B$6,2,FALSE)</f>
        <v/>
      </c>
      <c r="AF786">
        <f>IF(B786&lt;&gt;"",WORKDAY(B786,AE786),"")</f>
        <v/>
      </c>
      <c r="AG786">
        <f>IF(AF786&lt;&gt;"",NETWORKDAYS(TODAY(),AF786),"")</f>
        <v/>
      </c>
      <c r="AH786">
        <f>IF(AJ786="Complete","Complete",IF(AG786&lt;0,"Overdue",IF(AG786&lt;=AE786*0.2,"At Risk","On Track")))</f>
        <v/>
      </c>
      <c r="AK786">
        <f>IF(OR(AH786="Overdue",AND(AD786="P0",AG786&lt;1),AND(AD786="P1",AG786&lt;3)),"Y","N")</f>
        <v/>
      </c>
    </row>
    <row r="787">
      <c r="K787">
        <f>IF(J787="v4.0",L787,IF(J787="v3.1",M787,IF(J787="Both",L787,IF(AND(L787&lt;&gt;"",M787=""),L787,M787))))</f>
        <v/>
      </c>
      <c r="Z787">
        <f>MIN(100,
(K787*5) +
(U787*10) +
IF(P787="Y",40,0) +
IF(Q787="P",30,0) +
IF(V787="Y",25,0) +
IF(W787="Y",20,0) +
IF(X787="Weaponized",15,IF(X787="PoC Available",10,IF(X787="Public Exploit",5,0))) +
IF(G787="Production",10,IF(G787="DMZ",8,IF(G787="DR/Backup",5,0))) +
IF(Y787="N",10,0)
)</f>
        <v/>
      </c>
      <c r="AA787">
        <f>IF(OR(P787="Y",AND(K787&gt;=9.0,W787="Y")),"P0",IF(Z787&gt;=80,"P0",IF(Z787&gt;=60,"P1",IF(Z787&gt;=40,"P2",IF(Z787&gt;=20,"P3","P4")))))</f>
        <v/>
      </c>
      <c r="AD787">
        <f>IF(AB787&lt;&gt;"",AB787,AA787)</f>
        <v/>
      </c>
      <c r="AE787">
        <f>VLOOKUP(AD787,SLA_Definitions!$A$2:$B$6,2,FALSE)</f>
        <v/>
      </c>
      <c r="AF787">
        <f>IF(B787&lt;&gt;"",WORKDAY(B787,AE787),"")</f>
        <v/>
      </c>
      <c r="AG787">
        <f>IF(AF787&lt;&gt;"",NETWORKDAYS(TODAY(),AF787),"")</f>
        <v/>
      </c>
      <c r="AH787">
        <f>IF(AJ787="Complete","Complete",IF(AG787&lt;0,"Overdue",IF(AG787&lt;=AE787*0.2,"At Risk","On Track")))</f>
        <v/>
      </c>
      <c r="AK787">
        <f>IF(OR(AH787="Overdue",AND(AD787="P0",AG787&lt;1),AND(AD787="P1",AG787&lt;3)),"Y","N")</f>
        <v/>
      </c>
    </row>
    <row r="788">
      <c r="K788">
        <f>IF(J788="v4.0",L788,IF(J788="v3.1",M788,IF(J788="Both",L788,IF(AND(L788&lt;&gt;"",M788=""),L788,M788))))</f>
        <v/>
      </c>
      <c r="Z788">
        <f>MIN(100,
(K788*5) +
(U788*10) +
IF(P788="Y",40,0) +
IF(Q788="P",30,0) +
IF(V788="Y",25,0) +
IF(W788="Y",20,0) +
IF(X788="Weaponized",15,IF(X788="PoC Available",10,IF(X788="Public Exploit",5,0))) +
IF(G788="Production",10,IF(G788="DMZ",8,IF(G788="DR/Backup",5,0))) +
IF(Y788="N",10,0)
)</f>
        <v/>
      </c>
      <c r="AA788">
        <f>IF(OR(P788="Y",AND(K788&gt;=9.0,W788="Y")),"P0",IF(Z788&gt;=80,"P0",IF(Z788&gt;=60,"P1",IF(Z788&gt;=40,"P2",IF(Z788&gt;=20,"P3","P4")))))</f>
        <v/>
      </c>
      <c r="AD788">
        <f>IF(AB788&lt;&gt;"",AB788,AA788)</f>
        <v/>
      </c>
      <c r="AE788">
        <f>VLOOKUP(AD788,SLA_Definitions!$A$2:$B$6,2,FALSE)</f>
        <v/>
      </c>
      <c r="AF788">
        <f>IF(B788&lt;&gt;"",WORKDAY(B788,AE788),"")</f>
        <v/>
      </c>
      <c r="AG788">
        <f>IF(AF788&lt;&gt;"",NETWORKDAYS(TODAY(),AF788),"")</f>
        <v/>
      </c>
      <c r="AH788">
        <f>IF(AJ788="Complete","Complete",IF(AG788&lt;0,"Overdue",IF(AG788&lt;=AE788*0.2,"At Risk","On Track")))</f>
        <v/>
      </c>
      <c r="AK788">
        <f>IF(OR(AH788="Overdue",AND(AD788="P0",AG788&lt;1),AND(AD788="P1",AG788&lt;3)),"Y","N")</f>
        <v/>
      </c>
    </row>
    <row r="789">
      <c r="K789">
        <f>IF(J789="v4.0",L789,IF(J789="v3.1",M789,IF(J789="Both",L789,IF(AND(L789&lt;&gt;"",M789=""),L789,M789))))</f>
        <v/>
      </c>
      <c r="Z789">
        <f>MIN(100,
(K789*5) +
(U789*10) +
IF(P789="Y",40,0) +
IF(Q789="P",30,0) +
IF(V789="Y",25,0) +
IF(W789="Y",20,0) +
IF(X789="Weaponized",15,IF(X789="PoC Available",10,IF(X789="Public Exploit",5,0))) +
IF(G789="Production",10,IF(G789="DMZ",8,IF(G789="DR/Backup",5,0))) +
IF(Y789="N",10,0)
)</f>
        <v/>
      </c>
      <c r="AA789">
        <f>IF(OR(P789="Y",AND(K789&gt;=9.0,W789="Y")),"P0",IF(Z789&gt;=80,"P0",IF(Z789&gt;=60,"P1",IF(Z789&gt;=40,"P2",IF(Z789&gt;=20,"P3","P4")))))</f>
        <v/>
      </c>
      <c r="AD789">
        <f>IF(AB789&lt;&gt;"",AB789,AA789)</f>
        <v/>
      </c>
      <c r="AE789">
        <f>VLOOKUP(AD789,SLA_Definitions!$A$2:$B$6,2,FALSE)</f>
        <v/>
      </c>
      <c r="AF789">
        <f>IF(B789&lt;&gt;"",WORKDAY(B789,AE789),"")</f>
        <v/>
      </c>
      <c r="AG789">
        <f>IF(AF789&lt;&gt;"",NETWORKDAYS(TODAY(),AF789),"")</f>
        <v/>
      </c>
      <c r="AH789">
        <f>IF(AJ789="Complete","Complete",IF(AG789&lt;0,"Overdue",IF(AG789&lt;=AE789*0.2,"At Risk","On Track")))</f>
        <v/>
      </c>
      <c r="AK789">
        <f>IF(OR(AH789="Overdue",AND(AD789="P0",AG789&lt;1),AND(AD789="P1",AG789&lt;3)),"Y","N")</f>
        <v/>
      </c>
    </row>
    <row r="790">
      <c r="K790">
        <f>IF(J790="v4.0",L790,IF(J790="v3.1",M790,IF(J790="Both",L790,IF(AND(L790&lt;&gt;"",M790=""),L790,M790))))</f>
        <v/>
      </c>
      <c r="Z790">
        <f>MIN(100,
(K790*5) +
(U790*10) +
IF(P790="Y",40,0) +
IF(Q790="P",30,0) +
IF(V790="Y",25,0) +
IF(W790="Y",20,0) +
IF(X790="Weaponized",15,IF(X790="PoC Available",10,IF(X790="Public Exploit",5,0))) +
IF(G790="Production",10,IF(G790="DMZ",8,IF(G790="DR/Backup",5,0))) +
IF(Y790="N",10,0)
)</f>
        <v/>
      </c>
      <c r="AA790">
        <f>IF(OR(P790="Y",AND(K790&gt;=9.0,W790="Y")),"P0",IF(Z790&gt;=80,"P0",IF(Z790&gt;=60,"P1",IF(Z790&gt;=40,"P2",IF(Z790&gt;=20,"P3","P4")))))</f>
        <v/>
      </c>
      <c r="AD790">
        <f>IF(AB790&lt;&gt;"",AB790,AA790)</f>
        <v/>
      </c>
      <c r="AE790">
        <f>VLOOKUP(AD790,SLA_Definitions!$A$2:$B$6,2,FALSE)</f>
        <v/>
      </c>
      <c r="AF790">
        <f>IF(B790&lt;&gt;"",WORKDAY(B790,AE790),"")</f>
        <v/>
      </c>
      <c r="AG790">
        <f>IF(AF790&lt;&gt;"",NETWORKDAYS(TODAY(),AF790),"")</f>
        <v/>
      </c>
      <c r="AH790">
        <f>IF(AJ790="Complete","Complete",IF(AG790&lt;0,"Overdue",IF(AG790&lt;=AE790*0.2,"At Risk","On Track")))</f>
        <v/>
      </c>
      <c r="AK790">
        <f>IF(OR(AH790="Overdue",AND(AD790="P0",AG790&lt;1),AND(AD790="P1",AG790&lt;3)),"Y","N")</f>
        <v/>
      </c>
    </row>
    <row r="791">
      <c r="K791">
        <f>IF(J791="v4.0",L791,IF(J791="v3.1",M791,IF(J791="Both",L791,IF(AND(L791&lt;&gt;"",M791=""),L791,M791))))</f>
        <v/>
      </c>
      <c r="Z791">
        <f>MIN(100,
(K791*5) +
(U791*10) +
IF(P791="Y",40,0) +
IF(Q791="P",30,0) +
IF(V791="Y",25,0) +
IF(W791="Y",20,0) +
IF(X791="Weaponized",15,IF(X791="PoC Available",10,IF(X791="Public Exploit",5,0))) +
IF(G791="Production",10,IF(G791="DMZ",8,IF(G791="DR/Backup",5,0))) +
IF(Y791="N",10,0)
)</f>
        <v/>
      </c>
      <c r="AA791">
        <f>IF(OR(P791="Y",AND(K791&gt;=9.0,W791="Y")),"P0",IF(Z791&gt;=80,"P0",IF(Z791&gt;=60,"P1",IF(Z791&gt;=40,"P2",IF(Z791&gt;=20,"P3","P4")))))</f>
        <v/>
      </c>
      <c r="AD791">
        <f>IF(AB791&lt;&gt;"",AB791,AA791)</f>
        <v/>
      </c>
      <c r="AE791">
        <f>VLOOKUP(AD791,SLA_Definitions!$A$2:$B$6,2,FALSE)</f>
        <v/>
      </c>
      <c r="AF791">
        <f>IF(B791&lt;&gt;"",WORKDAY(B791,AE791),"")</f>
        <v/>
      </c>
      <c r="AG791">
        <f>IF(AF791&lt;&gt;"",NETWORKDAYS(TODAY(),AF791),"")</f>
        <v/>
      </c>
      <c r="AH791">
        <f>IF(AJ791="Complete","Complete",IF(AG791&lt;0,"Overdue",IF(AG791&lt;=AE791*0.2,"At Risk","On Track")))</f>
        <v/>
      </c>
      <c r="AK791">
        <f>IF(OR(AH791="Overdue",AND(AD791="P0",AG791&lt;1),AND(AD791="P1",AG791&lt;3)),"Y","N")</f>
        <v/>
      </c>
    </row>
    <row r="792">
      <c r="K792">
        <f>IF(J792="v4.0",L792,IF(J792="v3.1",M792,IF(J792="Both",L792,IF(AND(L792&lt;&gt;"",M792=""),L792,M792))))</f>
        <v/>
      </c>
      <c r="Z792">
        <f>MIN(100,
(K792*5) +
(U792*10) +
IF(P792="Y",40,0) +
IF(Q792="P",30,0) +
IF(V792="Y",25,0) +
IF(W792="Y",20,0) +
IF(X792="Weaponized",15,IF(X792="PoC Available",10,IF(X792="Public Exploit",5,0))) +
IF(G792="Production",10,IF(G792="DMZ",8,IF(G792="DR/Backup",5,0))) +
IF(Y792="N",10,0)
)</f>
        <v/>
      </c>
      <c r="AA792">
        <f>IF(OR(P792="Y",AND(K792&gt;=9.0,W792="Y")),"P0",IF(Z792&gt;=80,"P0",IF(Z792&gt;=60,"P1",IF(Z792&gt;=40,"P2",IF(Z792&gt;=20,"P3","P4")))))</f>
        <v/>
      </c>
      <c r="AD792">
        <f>IF(AB792&lt;&gt;"",AB792,AA792)</f>
        <v/>
      </c>
      <c r="AE792">
        <f>VLOOKUP(AD792,SLA_Definitions!$A$2:$B$6,2,FALSE)</f>
        <v/>
      </c>
      <c r="AF792">
        <f>IF(B792&lt;&gt;"",WORKDAY(B792,AE792),"")</f>
        <v/>
      </c>
      <c r="AG792">
        <f>IF(AF792&lt;&gt;"",NETWORKDAYS(TODAY(),AF792),"")</f>
        <v/>
      </c>
      <c r="AH792">
        <f>IF(AJ792="Complete","Complete",IF(AG792&lt;0,"Overdue",IF(AG792&lt;=AE792*0.2,"At Risk","On Track")))</f>
        <v/>
      </c>
      <c r="AK792">
        <f>IF(OR(AH792="Overdue",AND(AD792="P0",AG792&lt;1),AND(AD792="P1",AG792&lt;3)),"Y","N")</f>
        <v/>
      </c>
    </row>
    <row r="793">
      <c r="K793">
        <f>IF(J793="v4.0",L793,IF(J793="v3.1",M793,IF(J793="Both",L793,IF(AND(L793&lt;&gt;"",M793=""),L793,M793))))</f>
        <v/>
      </c>
      <c r="Z793">
        <f>MIN(100,
(K793*5) +
(U793*10) +
IF(P793="Y",40,0) +
IF(Q793="P",30,0) +
IF(V793="Y",25,0) +
IF(W793="Y",20,0) +
IF(X793="Weaponized",15,IF(X793="PoC Available",10,IF(X793="Public Exploit",5,0))) +
IF(G793="Production",10,IF(G793="DMZ",8,IF(G793="DR/Backup",5,0))) +
IF(Y793="N",10,0)
)</f>
        <v/>
      </c>
      <c r="AA793">
        <f>IF(OR(P793="Y",AND(K793&gt;=9.0,W793="Y")),"P0",IF(Z793&gt;=80,"P0",IF(Z793&gt;=60,"P1",IF(Z793&gt;=40,"P2",IF(Z793&gt;=20,"P3","P4")))))</f>
        <v/>
      </c>
      <c r="AD793">
        <f>IF(AB793&lt;&gt;"",AB793,AA793)</f>
        <v/>
      </c>
      <c r="AE793">
        <f>VLOOKUP(AD793,SLA_Definitions!$A$2:$B$6,2,FALSE)</f>
        <v/>
      </c>
      <c r="AF793">
        <f>IF(B793&lt;&gt;"",WORKDAY(B793,AE793),"")</f>
        <v/>
      </c>
      <c r="AG793">
        <f>IF(AF793&lt;&gt;"",NETWORKDAYS(TODAY(),AF793),"")</f>
        <v/>
      </c>
      <c r="AH793">
        <f>IF(AJ793="Complete","Complete",IF(AG793&lt;0,"Overdue",IF(AG793&lt;=AE793*0.2,"At Risk","On Track")))</f>
        <v/>
      </c>
      <c r="AK793">
        <f>IF(OR(AH793="Overdue",AND(AD793="P0",AG793&lt;1),AND(AD793="P1",AG793&lt;3)),"Y","N")</f>
        <v/>
      </c>
    </row>
    <row r="794">
      <c r="K794">
        <f>IF(J794="v4.0",L794,IF(J794="v3.1",M794,IF(J794="Both",L794,IF(AND(L794&lt;&gt;"",M794=""),L794,M794))))</f>
        <v/>
      </c>
      <c r="Z794">
        <f>MIN(100,
(K794*5) +
(U794*10) +
IF(P794="Y",40,0) +
IF(Q794="P",30,0) +
IF(V794="Y",25,0) +
IF(W794="Y",20,0) +
IF(X794="Weaponized",15,IF(X794="PoC Available",10,IF(X794="Public Exploit",5,0))) +
IF(G794="Production",10,IF(G794="DMZ",8,IF(G794="DR/Backup",5,0))) +
IF(Y794="N",10,0)
)</f>
        <v/>
      </c>
      <c r="AA794">
        <f>IF(OR(P794="Y",AND(K794&gt;=9.0,W794="Y")),"P0",IF(Z794&gt;=80,"P0",IF(Z794&gt;=60,"P1",IF(Z794&gt;=40,"P2",IF(Z794&gt;=20,"P3","P4")))))</f>
        <v/>
      </c>
      <c r="AD794">
        <f>IF(AB794&lt;&gt;"",AB794,AA794)</f>
        <v/>
      </c>
      <c r="AE794">
        <f>VLOOKUP(AD794,SLA_Definitions!$A$2:$B$6,2,FALSE)</f>
        <v/>
      </c>
      <c r="AF794">
        <f>IF(B794&lt;&gt;"",WORKDAY(B794,AE794),"")</f>
        <v/>
      </c>
      <c r="AG794">
        <f>IF(AF794&lt;&gt;"",NETWORKDAYS(TODAY(),AF794),"")</f>
        <v/>
      </c>
      <c r="AH794">
        <f>IF(AJ794="Complete","Complete",IF(AG794&lt;0,"Overdue",IF(AG794&lt;=AE794*0.2,"At Risk","On Track")))</f>
        <v/>
      </c>
      <c r="AK794">
        <f>IF(OR(AH794="Overdue",AND(AD794="P0",AG794&lt;1),AND(AD794="P1",AG794&lt;3)),"Y","N")</f>
        <v/>
      </c>
    </row>
    <row r="795">
      <c r="K795">
        <f>IF(J795="v4.0",L795,IF(J795="v3.1",M795,IF(J795="Both",L795,IF(AND(L795&lt;&gt;"",M795=""),L795,M795))))</f>
        <v/>
      </c>
      <c r="Z795">
        <f>MIN(100,
(K795*5) +
(U795*10) +
IF(P795="Y",40,0) +
IF(Q795="P",30,0) +
IF(V795="Y",25,0) +
IF(W795="Y",20,0) +
IF(X795="Weaponized",15,IF(X795="PoC Available",10,IF(X795="Public Exploit",5,0))) +
IF(G795="Production",10,IF(G795="DMZ",8,IF(G795="DR/Backup",5,0))) +
IF(Y795="N",10,0)
)</f>
        <v/>
      </c>
      <c r="AA795">
        <f>IF(OR(P795="Y",AND(K795&gt;=9.0,W795="Y")),"P0",IF(Z795&gt;=80,"P0",IF(Z795&gt;=60,"P1",IF(Z795&gt;=40,"P2",IF(Z795&gt;=20,"P3","P4")))))</f>
        <v/>
      </c>
      <c r="AD795">
        <f>IF(AB795&lt;&gt;"",AB795,AA795)</f>
        <v/>
      </c>
      <c r="AE795">
        <f>VLOOKUP(AD795,SLA_Definitions!$A$2:$B$6,2,FALSE)</f>
        <v/>
      </c>
      <c r="AF795">
        <f>IF(B795&lt;&gt;"",WORKDAY(B795,AE795),"")</f>
        <v/>
      </c>
      <c r="AG795">
        <f>IF(AF795&lt;&gt;"",NETWORKDAYS(TODAY(),AF795),"")</f>
        <v/>
      </c>
      <c r="AH795">
        <f>IF(AJ795="Complete","Complete",IF(AG795&lt;0,"Overdue",IF(AG795&lt;=AE795*0.2,"At Risk","On Track")))</f>
        <v/>
      </c>
      <c r="AK795">
        <f>IF(OR(AH795="Overdue",AND(AD795="P0",AG795&lt;1),AND(AD795="P1",AG795&lt;3)),"Y","N")</f>
        <v/>
      </c>
    </row>
    <row r="796">
      <c r="K796">
        <f>IF(J796="v4.0",L796,IF(J796="v3.1",M796,IF(J796="Both",L796,IF(AND(L796&lt;&gt;"",M796=""),L796,M796))))</f>
        <v/>
      </c>
      <c r="Z796">
        <f>MIN(100,
(K796*5) +
(U796*10) +
IF(P796="Y",40,0) +
IF(Q796="P",30,0) +
IF(V796="Y",25,0) +
IF(W796="Y",20,0) +
IF(X796="Weaponized",15,IF(X796="PoC Available",10,IF(X796="Public Exploit",5,0))) +
IF(G796="Production",10,IF(G796="DMZ",8,IF(G796="DR/Backup",5,0))) +
IF(Y796="N",10,0)
)</f>
        <v/>
      </c>
      <c r="AA796">
        <f>IF(OR(P796="Y",AND(K796&gt;=9.0,W796="Y")),"P0",IF(Z796&gt;=80,"P0",IF(Z796&gt;=60,"P1",IF(Z796&gt;=40,"P2",IF(Z796&gt;=20,"P3","P4")))))</f>
        <v/>
      </c>
      <c r="AD796">
        <f>IF(AB796&lt;&gt;"",AB796,AA796)</f>
        <v/>
      </c>
      <c r="AE796">
        <f>VLOOKUP(AD796,SLA_Definitions!$A$2:$B$6,2,FALSE)</f>
        <v/>
      </c>
      <c r="AF796">
        <f>IF(B796&lt;&gt;"",WORKDAY(B796,AE796),"")</f>
        <v/>
      </c>
      <c r="AG796">
        <f>IF(AF796&lt;&gt;"",NETWORKDAYS(TODAY(),AF796),"")</f>
        <v/>
      </c>
      <c r="AH796">
        <f>IF(AJ796="Complete","Complete",IF(AG796&lt;0,"Overdue",IF(AG796&lt;=AE796*0.2,"At Risk","On Track")))</f>
        <v/>
      </c>
      <c r="AK796">
        <f>IF(OR(AH796="Overdue",AND(AD796="P0",AG796&lt;1),AND(AD796="P1",AG796&lt;3)),"Y","N")</f>
        <v/>
      </c>
    </row>
    <row r="797">
      <c r="K797">
        <f>IF(J797="v4.0",L797,IF(J797="v3.1",M797,IF(J797="Both",L797,IF(AND(L797&lt;&gt;"",M797=""),L797,M797))))</f>
        <v/>
      </c>
      <c r="Z797">
        <f>MIN(100,
(K797*5) +
(U797*10) +
IF(P797="Y",40,0) +
IF(Q797="P",30,0) +
IF(V797="Y",25,0) +
IF(W797="Y",20,0) +
IF(X797="Weaponized",15,IF(X797="PoC Available",10,IF(X797="Public Exploit",5,0))) +
IF(G797="Production",10,IF(G797="DMZ",8,IF(G797="DR/Backup",5,0))) +
IF(Y797="N",10,0)
)</f>
        <v/>
      </c>
      <c r="AA797">
        <f>IF(OR(P797="Y",AND(K797&gt;=9.0,W797="Y")),"P0",IF(Z797&gt;=80,"P0",IF(Z797&gt;=60,"P1",IF(Z797&gt;=40,"P2",IF(Z797&gt;=20,"P3","P4")))))</f>
        <v/>
      </c>
      <c r="AD797">
        <f>IF(AB797&lt;&gt;"",AB797,AA797)</f>
        <v/>
      </c>
      <c r="AE797">
        <f>VLOOKUP(AD797,SLA_Definitions!$A$2:$B$6,2,FALSE)</f>
        <v/>
      </c>
      <c r="AF797">
        <f>IF(B797&lt;&gt;"",WORKDAY(B797,AE797),"")</f>
        <v/>
      </c>
      <c r="AG797">
        <f>IF(AF797&lt;&gt;"",NETWORKDAYS(TODAY(),AF797),"")</f>
        <v/>
      </c>
      <c r="AH797">
        <f>IF(AJ797="Complete","Complete",IF(AG797&lt;0,"Overdue",IF(AG797&lt;=AE797*0.2,"At Risk","On Track")))</f>
        <v/>
      </c>
      <c r="AK797">
        <f>IF(OR(AH797="Overdue",AND(AD797="P0",AG797&lt;1),AND(AD797="P1",AG797&lt;3)),"Y","N")</f>
        <v/>
      </c>
    </row>
    <row r="798">
      <c r="K798">
        <f>IF(J798="v4.0",L798,IF(J798="v3.1",M798,IF(J798="Both",L798,IF(AND(L798&lt;&gt;"",M798=""),L798,M798))))</f>
        <v/>
      </c>
      <c r="Z798">
        <f>MIN(100,
(K798*5) +
(U798*10) +
IF(P798="Y",40,0) +
IF(Q798="P",30,0) +
IF(V798="Y",25,0) +
IF(W798="Y",20,0) +
IF(X798="Weaponized",15,IF(X798="PoC Available",10,IF(X798="Public Exploit",5,0))) +
IF(G798="Production",10,IF(G798="DMZ",8,IF(G798="DR/Backup",5,0))) +
IF(Y798="N",10,0)
)</f>
        <v/>
      </c>
      <c r="AA798">
        <f>IF(OR(P798="Y",AND(K798&gt;=9.0,W798="Y")),"P0",IF(Z798&gt;=80,"P0",IF(Z798&gt;=60,"P1",IF(Z798&gt;=40,"P2",IF(Z798&gt;=20,"P3","P4")))))</f>
        <v/>
      </c>
      <c r="AD798">
        <f>IF(AB798&lt;&gt;"",AB798,AA798)</f>
        <v/>
      </c>
      <c r="AE798">
        <f>VLOOKUP(AD798,SLA_Definitions!$A$2:$B$6,2,FALSE)</f>
        <v/>
      </c>
      <c r="AF798">
        <f>IF(B798&lt;&gt;"",WORKDAY(B798,AE798),"")</f>
        <v/>
      </c>
      <c r="AG798">
        <f>IF(AF798&lt;&gt;"",NETWORKDAYS(TODAY(),AF798),"")</f>
        <v/>
      </c>
      <c r="AH798">
        <f>IF(AJ798="Complete","Complete",IF(AG798&lt;0,"Overdue",IF(AG798&lt;=AE798*0.2,"At Risk","On Track")))</f>
        <v/>
      </c>
      <c r="AK798">
        <f>IF(OR(AH798="Overdue",AND(AD798="P0",AG798&lt;1),AND(AD798="P1",AG798&lt;3)),"Y","N")</f>
        <v/>
      </c>
    </row>
    <row r="799">
      <c r="K799">
        <f>IF(J799="v4.0",L799,IF(J799="v3.1",M799,IF(J799="Both",L799,IF(AND(L799&lt;&gt;"",M799=""),L799,M799))))</f>
        <v/>
      </c>
      <c r="Z799">
        <f>MIN(100,
(K799*5) +
(U799*10) +
IF(P799="Y",40,0) +
IF(Q799="P",30,0) +
IF(V799="Y",25,0) +
IF(W799="Y",20,0) +
IF(X799="Weaponized",15,IF(X799="PoC Available",10,IF(X799="Public Exploit",5,0))) +
IF(G799="Production",10,IF(G799="DMZ",8,IF(G799="DR/Backup",5,0))) +
IF(Y799="N",10,0)
)</f>
        <v/>
      </c>
      <c r="AA799">
        <f>IF(OR(P799="Y",AND(K799&gt;=9.0,W799="Y")),"P0",IF(Z799&gt;=80,"P0",IF(Z799&gt;=60,"P1",IF(Z799&gt;=40,"P2",IF(Z799&gt;=20,"P3","P4")))))</f>
        <v/>
      </c>
      <c r="AD799">
        <f>IF(AB799&lt;&gt;"",AB799,AA799)</f>
        <v/>
      </c>
      <c r="AE799">
        <f>VLOOKUP(AD799,SLA_Definitions!$A$2:$B$6,2,FALSE)</f>
        <v/>
      </c>
      <c r="AF799">
        <f>IF(B799&lt;&gt;"",WORKDAY(B799,AE799),"")</f>
        <v/>
      </c>
      <c r="AG799">
        <f>IF(AF799&lt;&gt;"",NETWORKDAYS(TODAY(),AF799),"")</f>
        <v/>
      </c>
      <c r="AH799">
        <f>IF(AJ799="Complete","Complete",IF(AG799&lt;0,"Overdue",IF(AG799&lt;=AE799*0.2,"At Risk","On Track")))</f>
        <v/>
      </c>
      <c r="AK799">
        <f>IF(OR(AH799="Overdue",AND(AD799="P0",AG799&lt;1),AND(AD799="P1",AG799&lt;3)),"Y","N")</f>
        <v/>
      </c>
    </row>
    <row r="800">
      <c r="K800">
        <f>IF(J800="v4.0",L800,IF(J800="v3.1",M800,IF(J800="Both",L800,IF(AND(L800&lt;&gt;"",M800=""),L800,M800))))</f>
        <v/>
      </c>
      <c r="Z800">
        <f>MIN(100,
(K800*5) +
(U800*10) +
IF(P800="Y",40,0) +
IF(Q800="P",30,0) +
IF(V800="Y",25,0) +
IF(W800="Y",20,0) +
IF(X800="Weaponized",15,IF(X800="PoC Available",10,IF(X800="Public Exploit",5,0))) +
IF(G800="Production",10,IF(G800="DMZ",8,IF(G800="DR/Backup",5,0))) +
IF(Y800="N",10,0)
)</f>
        <v/>
      </c>
      <c r="AA800">
        <f>IF(OR(P800="Y",AND(K800&gt;=9.0,W800="Y")),"P0",IF(Z800&gt;=80,"P0",IF(Z800&gt;=60,"P1",IF(Z800&gt;=40,"P2",IF(Z800&gt;=20,"P3","P4")))))</f>
        <v/>
      </c>
      <c r="AD800">
        <f>IF(AB800&lt;&gt;"",AB800,AA800)</f>
        <v/>
      </c>
      <c r="AE800">
        <f>VLOOKUP(AD800,SLA_Definitions!$A$2:$B$6,2,FALSE)</f>
        <v/>
      </c>
      <c r="AF800">
        <f>IF(B800&lt;&gt;"",WORKDAY(B800,AE800),"")</f>
        <v/>
      </c>
      <c r="AG800">
        <f>IF(AF800&lt;&gt;"",NETWORKDAYS(TODAY(),AF800),"")</f>
        <v/>
      </c>
      <c r="AH800">
        <f>IF(AJ800="Complete","Complete",IF(AG800&lt;0,"Overdue",IF(AG800&lt;=AE800*0.2,"At Risk","On Track")))</f>
        <v/>
      </c>
      <c r="AK800">
        <f>IF(OR(AH800="Overdue",AND(AD800="P0",AG800&lt;1),AND(AD800="P1",AG800&lt;3)),"Y","N")</f>
        <v/>
      </c>
    </row>
    <row r="801">
      <c r="K801">
        <f>IF(J801="v4.0",L801,IF(J801="v3.1",M801,IF(J801="Both",L801,IF(AND(L801&lt;&gt;"",M801=""),L801,M801))))</f>
        <v/>
      </c>
      <c r="Z801">
        <f>MIN(100,
(K801*5) +
(U801*10) +
IF(P801="Y",40,0) +
IF(Q801="P",30,0) +
IF(V801="Y",25,0) +
IF(W801="Y",20,0) +
IF(X801="Weaponized",15,IF(X801="PoC Available",10,IF(X801="Public Exploit",5,0))) +
IF(G801="Production",10,IF(G801="DMZ",8,IF(G801="DR/Backup",5,0))) +
IF(Y801="N",10,0)
)</f>
        <v/>
      </c>
      <c r="AA801">
        <f>IF(OR(P801="Y",AND(K801&gt;=9.0,W801="Y")),"P0",IF(Z801&gt;=80,"P0",IF(Z801&gt;=60,"P1",IF(Z801&gt;=40,"P2",IF(Z801&gt;=20,"P3","P4")))))</f>
        <v/>
      </c>
      <c r="AD801">
        <f>IF(AB801&lt;&gt;"",AB801,AA801)</f>
        <v/>
      </c>
      <c r="AE801">
        <f>VLOOKUP(AD801,SLA_Definitions!$A$2:$B$6,2,FALSE)</f>
        <v/>
      </c>
      <c r="AF801">
        <f>IF(B801&lt;&gt;"",WORKDAY(B801,AE801),"")</f>
        <v/>
      </c>
      <c r="AG801">
        <f>IF(AF801&lt;&gt;"",NETWORKDAYS(TODAY(),AF801),"")</f>
        <v/>
      </c>
      <c r="AH801">
        <f>IF(AJ801="Complete","Complete",IF(AG801&lt;0,"Overdue",IF(AG801&lt;=AE801*0.2,"At Risk","On Track")))</f>
        <v/>
      </c>
      <c r="AK801">
        <f>IF(OR(AH801="Overdue",AND(AD801="P0",AG801&lt;1),AND(AD801="P1",AG801&lt;3)),"Y","N")</f>
        <v/>
      </c>
    </row>
    <row r="802">
      <c r="K802">
        <f>IF(J802="v4.0",L802,IF(J802="v3.1",M802,IF(J802="Both",L802,IF(AND(L802&lt;&gt;"",M802=""),L802,M802))))</f>
        <v/>
      </c>
      <c r="Z802">
        <f>MIN(100,
(K802*5) +
(U802*10) +
IF(P802="Y",40,0) +
IF(Q802="P",30,0) +
IF(V802="Y",25,0) +
IF(W802="Y",20,0) +
IF(X802="Weaponized",15,IF(X802="PoC Available",10,IF(X802="Public Exploit",5,0))) +
IF(G802="Production",10,IF(G802="DMZ",8,IF(G802="DR/Backup",5,0))) +
IF(Y802="N",10,0)
)</f>
        <v/>
      </c>
      <c r="AA802">
        <f>IF(OR(P802="Y",AND(K802&gt;=9.0,W802="Y")),"P0",IF(Z802&gt;=80,"P0",IF(Z802&gt;=60,"P1",IF(Z802&gt;=40,"P2",IF(Z802&gt;=20,"P3","P4")))))</f>
        <v/>
      </c>
      <c r="AD802">
        <f>IF(AB802&lt;&gt;"",AB802,AA802)</f>
        <v/>
      </c>
      <c r="AE802">
        <f>VLOOKUP(AD802,SLA_Definitions!$A$2:$B$6,2,FALSE)</f>
        <v/>
      </c>
      <c r="AF802">
        <f>IF(B802&lt;&gt;"",WORKDAY(B802,AE802),"")</f>
        <v/>
      </c>
      <c r="AG802">
        <f>IF(AF802&lt;&gt;"",NETWORKDAYS(TODAY(),AF802),"")</f>
        <v/>
      </c>
      <c r="AH802">
        <f>IF(AJ802="Complete","Complete",IF(AG802&lt;0,"Overdue",IF(AG802&lt;=AE802*0.2,"At Risk","On Track")))</f>
        <v/>
      </c>
      <c r="AK802">
        <f>IF(OR(AH802="Overdue",AND(AD802="P0",AG802&lt;1),AND(AD802="P1",AG802&lt;3)),"Y","N")</f>
        <v/>
      </c>
    </row>
    <row r="803">
      <c r="K803">
        <f>IF(J803="v4.0",L803,IF(J803="v3.1",M803,IF(J803="Both",L803,IF(AND(L803&lt;&gt;"",M803=""),L803,M803))))</f>
        <v/>
      </c>
      <c r="Z803">
        <f>MIN(100,
(K803*5) +
(U803*10) +
IF(P803="Y",40,0) +
IF(Q803="P",30,0) +
IF(V803="Y",25,0) +
IF(W803="Y",20,0) +
IF(X803="Weaponized",15,IF(X803="PoC Available",10,IF(X803="Public Exploit",5,0))) +
IF(G803="Production",10,IF(G803="DMZ",8,IF(G803="DR/Backup",5,0))) +
IF(Y803="N",10,0)
)</f>
        <v/>
      </c>
      <c r="AA803">
        <f>IF(OR(P803="Y",AND(K803&gt;=9.0,W803="Y")),"P0",IF(Z803&gt;=80,"P0",IF(Z803&gt;=60,"P1",IF(Z803&gt;=40,"P2",IF(Z803&gt;=20,"P3","P4")))))</f>
        <v/>
      </c>
      <c r="AD803">
        <f>IF(AB803&lt;&gt;"",AB803,AA803)</f>
        <v/>
      </c>
      <c r="AE803">
        <f>VLOOKUP(AD803,SLA_Definitions!$A$2:$B$6,2,FALSE)</f>
        <v/>
      </c>
      <c r="AF803">
        <f>IF(B803&lt;&gt;"",WORKDAY(B803,AE803),"")</f>
        <v/>
      </c>
      <c r="AG803">
        <f>IF(AF803&lt;&gt;"",NETWORKDAYS(TODAY(),AF803),"")</f>
        <v/>
      </c>
      <c r="AH803">
        <f>IF(AJ803="Complete","Complete",IF(AG803&lt;0,"Overdue",IF(AG803&lt;=AE803*0.2,"At Risk","On Track")))</f>
        <v/>
      </c>
      <c r="AK803">
        <f>IF(OR(AH803="Overdue",AND(AD803="P0",AG803&lt;1),AND(AD803="P1",AG803&lt;3)),"Y","N")</f>
        <v/>
      </c>
    </row>
    <row r="804">
      <c r="K804">
        <f>IF(J804="v4.0",L804,IF(J804="v3.1",M804,IF(J804="Both",L804,IF(AND(L804&lt;&gt;"",M804=""),L804,M804))))</f>
        <v/>
      </c>
      <c r="Z804">
        <f>MIN(100,
(K804*5) +
(U804*10) +
IF(P804="Y",40,0) +
IF(Q804="P",30,0) +
IF(V804="Y",25,0) +
IF(W804="Y",20,0) +
IF(X804="Weaponized",15,IF(X804="PoC Available",10,IF(X804="Public Exploit",5,0))) +
IF(G804="Production",10,IF(G804="DMZ",8,IF(G804="DR/Backup",5,0))) +
IF(Y804="N",10,0)
)</f>
        <v/>
      </c>
      <c r="AA804">
        <f>IF(OR(P804="Y",AND(K804&gt;=9.0,W804="Y")),"P0",IF(Z804&gt;=80,"P0",IF(Z804&gt;=60,"P1",IF(Z804&gt;=40,"P2",IF(Z804&gt;=20,"P3","P4")))))</f>
        <v/>
      </c>
      <c r="AD804">
        <f>IF(AB804&lt;&gt;"",AB804,AA804)</f>
        <v/>
      </c>
      <c r="AE804">
        <f>VLOOKUP(AD804,SLA_Definitions!$A$2:$B$6,2,FALSE)</f>
        <v/>
      </c>
      <c r="AF804">
        <f>IF(B804&lt;&gt;"",WORKDAY(B804,AE804),"")</f>
        <v/>
      </c>
      <c r="AG804">
        <f>IF(AF804&lt;&gt;"",NETWORKDAYS(TODAY(),AF804),"")</f>
        <v/>
      </c>
      <c r="AH804">
        <f>IF(AJ804="Complete","Complete",IF(AG804&lt;0,"Overdue",IF(AG804&lt;=AE804*0.2,"At Risk","On Track")))</f>
        <v/>
      </c>
      <c r="AK804">
        <f>IF(OR(AH804="Overdue",AND(AD804="P0",AG804&lt;1),AND(AD804="P1",AG804&lt;3)),"Y","N")</f>
        <v/>
      </c>
    </row>
    <row r="805">
      <c r="K805">
        <f>IF(J805="v4.0",L805,IF(J805="v3.1",M805,IF(J805="Both",L805,IF(AND(L805&lt;&gt;"",M805=""),L805,M805))))</f>
        <v/>
      </c>
      <c r="Z805">
        <f>MIN(100,
(K805*5) +
(U805*10) +
IF(P805="Y",40,0) +
IF(Q805="P",30,0) +
IF(V805="Y",25,0) +
IF(W805="Y",20,0) +
IF(X805="Weaponized",15,IF(X805="PoC Available",10,IF(X805="Public Exploit",5,0))) +
IF(G805="Production",10,IF(G805="DMZ",8,IF(G805="DR/Backup",5,0))) +
IF(Y805="N",10,0)
)</f>
        <v/>
      </c>
      <c r="AA805">
        <f>IF(OR(P805="Y",AND(K805&gt;=9.0,W805="Y")),"P0",IF(Z805&gt;=80,"P0",IF(Z805&gt;=60,"P1",IF(Z805&gt;=40,"P2",IF(Z805&gt;=20,"P3","P4")))))</f>
        <v/>
      </c>
      <c r="AD805">
        <f>IF(AB805&lt;&gt;"",AB805,AA805)</f>
        <v/>
      </c>
      <c r="AE805">
        <f>VLOOKUP(AD805,SLA_Definitions!$A$2:$B$6,2,FALSE)</f>
        <v/>
      </c>
      <c r="AF805">
        <f>IF(B805&lt;&gt;"",WORKDAY(B805,AE805),"")</f>
        <v/>
      </c>
      <c r="AG805">
        <f>IF(AF805&lt;&gt;"",NETWORKDAYS(TODAY(),AF805),"")</f>
        <v/>
      </c>
      <c r="AH805">
        <f>IF(AJ805="Complete","Complete",IF(AG805&lt;0,"Overdue",IF(AG805&lt;=AE805*0.2,"At Risk","On Track")))</f>
        <v/>
      </c>
      <c r="AK805">
        <f>IF(OR(AH805="Overdue",AND(AD805="P0",AG805&lt;1),AND(AD805="P1",AG805&lt;3)),"Y","N")</f>
        <v/>
      </c>
    </row>
    <row r="806">
      <c r="K806">
        <f>IF(J806="v4.0",L806,IF(J806="v3.1",M806,IF(J806="Both",L806,IF(AND(L806&lt;&gt;"",M806=""),L806,M806))))</f>
        <v/>
      </c>
      <c r="Z806">
        <f>MIN(100,
(K806*5) +
(U806*10) +
IF(P806="Y",40,0) +
IF(Q806="P",30,0) +
IF(V806="Y",25,0) +
IF(W806="Y",20,0) +
IF(X806="Weaponized",15,IF(X806="PoC Available",10,IF(X806="Public Exploit",5,0))) +
IF(G806="Production",10,IF(G806="DMZ",8,IF(G806="DR/Backup",5,0))) +
IF(Y806="N",10,0)
)</f>
        <v/>
      </c>
      <c r="AA806">
        <f>IF(OR(P806="Y",AND(K806&gt;=9.0,W806="Y")),"P0",IF(Z806&gt;=80,"P0",IF(Z806&gt;=60,"P1",IF(Z806&gt;=40,"P2",IF(Z806&gt;=20,"P3","P4")))))</f>
        <v/>
      </c>
      <c r="AD806">
        <f>IF(AB806&lt;&gt;"",AB806,AA806)</f>
        <v/>
      </c>
      <c r="AE806">
        <f>VLOOKUP(AD806,SLA_Definitions!$A$2:$B$6,2,FALSE)</f>
        <v/>
      </c>
      <c r="AF806">
        <f>IF(B806&lt;&gt;"",WORKDAY(B806,AE806),"")</f>
        <v/>
      </c>
      <c r="AG806">
        <f>IF(AF806&lt;&gt;"",NETWORKDAYS(TODAY(),AF806),"")</f>
        <v/>
      </c>
      <c r="AH806">
        <f>IF(AJ806="Complete","Complete",IF(AG806&lt;0,"Overdue",IF(AG806&lt;=AE806*0.2,"At Risk","On Track")))</f>
        <v/>
      </c>
      <c r="AK806">
        <f>IF(OR(AH806="Overdue",AND(AD806="P0",AG806&lt;1),AND(AD806="P1",AG806&lt;3)),"Y","N")</f>
        <v/>
      </c>
    </row>
    <row r="807">
      <c r="K807">
        <f>IF(J807="v4.0",L807,IF(J807="v3.1",M807,IF(J807="Both",L807,IF(AND(L807&lt;&gt;"",M807=""),L807,M807))))</f>
        <v/>
      </c>
      <c r="Z807">
        <f>MIN(100,
(K807*5) +
(U807*10) +
IF(P807="Y",40,0) +
IF(Q807="P",30,0) +
IF(V807="Y",25,0) +
IF(W807="Y",20,0) +
IF(X807="Weaponized",15,IF(X807="PoC Available",10,IF(X807="Public Exploit",5,0))) +
IF(G807="Production",10,IF(G807="DMZ",8,IF(G807="DR/Backup",5,0))) +
IF(Y807="N",10,0)
)</f>
        <v/>
      </c>
      <c r="AA807">
        <f>IF(OR(P807="Y",AND(K807&gt;=9.0,W807="Y")),"P0",IF(Z807&gt;=80,"P0",IF(Z807&gt;=60,"P1",IF(Z807&gt;=40,"P2",IF(Z807&gt;=20,"P3","P4")))))</f>
        <v/>
      </c>
      <c r="AD807">
        <f>IF(AB807&lt;&gt;"",AB807,AA807)</f>
        <v/>
      </c>
      <c r="AE807">
        <f>VLOOKUP(AD807,SLA_Definitions!$A$2:$B$6,2,FALSE)</f>
        <v/>
      </c>
      <c r="AF807">
        <f>IF(B807&lt;&gt;"",WORKDAY(B807,AE807),"")</f>
        <v/>
      </c>
      <c r="AG807">
        <f>IF(AF807&lt;&gt;"",NETWORKDAYS(TODAY(),AF807),"")</f>
        <v/>
      </c>
      <c r="AH807">
        <f>IF(AJ807="Complete","Complete",IF(AG807&lt;0,"Overdue",IF(AG807&lt;=AE807*0.2,"At Risk","On Track")))</f>
        <v/>
      </c>
      <c r="AK807">
        <f>IF(OR(AH807="Overdue",AND(AD807="P0",AG807&lt;1),AND(AD807="P1",AG807&lt;3)),"Y","N")</f>
        <v/>
      </c>
    </row>
    <row r="808">
      <c r="K808">
        <f>IF(J808="v4.0",L808,IF(J808="v3.1",M808,IF(J808="Both",L808,IF(AND(L808&lt;&gt;"",M808=""),L808,M808))))</f>
        <v/>
      </c>
      <c r="Z808">
        <f>MIN(100,
(K808*5) +
(U808*10) +
IF(P808="Y",40,0) +
IF(Q808="P",30,0) +
IF(V808="Y",25,0) +
IF(W808="Y",20,0) +
IF(X808="Weaponized",15,IF(X808="PoC Available",10,IF(X808="Public Exploit",5,0))) +
IF(G808="Production",10,IF(G808="DMZ",8,IF(G808="DR/Backup",5,0))) +
IF(Y808="N",10,0)
)</f>
        <v/>
      </c>
      <c r="AA808">
        <f>IF(OR(P808="Y",AND(K808&gt;=9.0,W808="Y")),"P0",IF(Z808&gt;=80,"P0",IF(Z808&gt;=60,"P1",IF(Z808&gt;=40,"P2",IF(Z808&gt;=20,"P3","P4")))))</f>
        <v/>
      </c>
      <c r="AD808">
        <f>IF(AB808&lt;&gt;"",AB808,AA808)</f>
        <v/>
      </c>
      <c r="AE808">
        <f>VLOOKUP(AD808,SLA_Definitions!$A$2:$B$6,2,FALSE)</f>
        <v/>
      </c>
      <c r="AF808">
        <f>IF(B808&lt;&gt;"",WORKDAY(B808,AE808),"")</f>
        <v/>
      </c>
      <c r="AG808">
        <f>IF(AF808&lt;&gt;"",NETWORKDAYS(TODAY(),AF808),"")</f>
        <v/>
      </c>
      <c r="AH808">
        <f>IF(AJ808="Complete","Complete",IF(AG808&lt;0,"Overdue",IF(AG808&lt;=AE808*0.2,"At Risk","On Track")))</f>
        <v/>
      </c>
      <c r="AK808">
        <f>IF(OR(AH808="Overdue",AND(AD808="P0",AG808&lt;1),AND(AD808="P1",AG808&lt;3)),"Y","N")</f>
        <v/>
      </c>
    </row>
    <row r="809">
      <c r="K809">
        <f>IF(J809="v4.0",L809,IF(J809="v3.1",M809,IF(J809="Both",L809,IF(AND(L809&lt;&gt;"",M809=""),L809,M809))))</f>
        <v/>
      </c>
      <c r="Z809">
        <f>MIN(100,
(K809*5) +
(U809*10) +
IF(P809="Y",40,0) +
IF(Q809="P",30,0) +
IF(V809="Y",25,0) +
IF(W809="Y",20,0) +
IF(X809="Weaponized",15,IF(X809="PoC Available",10,IF(X809="Public Exploit",5,0))) +
IF(G809="Production",10,IF(G809="DMZ",8,IF(G809="DR/Backup",5,0))) +
IF(Y809="N",10,0)
)</f>
        <v/>
      </c>
      <c r="AA809">
        <f>IF(OR(P809="Y",AND(K809&gt;=9.0,W809="Y")),"P0",IF(Z809&gt;=80,"P0",IF(Z809&gt;=60,"P1",IF(Z809&gt;=40,"P2",IF(Z809&gt;=20,"P3","P4")))))</f>
        <v/>
      </c>
      <c r="AD809">
        <f>IF(AB809&lt;&gt;"",AB809,AA809)</f>
        <v/>
      </c>
      <c r="AE809">
        <f>VLOOKUP(AD809,SLA_Definitions!$A$2:$B$6,2,FALSE)</f>
        <v/>
      </c>
      <c r="AF809">
        <f>IF(B809&lt;&gt;"",WORKDAY(B809,AE809),"")</f>
        <v/>
      </c>
      <c r="AG809">
        <f>IF(AF809&lt;&gt;"",NETWORKDAYS(TODAY(),AF809),"")</f>
        <v/>
      </c>
      <c r="AH809">
        <f>IF(AJ809="Complete","Complete",IF(AG809&lt;0,"Overdue",IF(AG809&lt;=AE809*0.2,"At Risk","On Track")))</f>
        <v/>
      </c>
      <c r="AK809">
        <f>IF(OR(AH809="Overdue",AND(AD809="P0",AG809&lt;1),AND(AD809="P1",AG809&lt;3)),"Y","N")</f>
        <v/>
      </c>
    </row>
    <row r="810">
      <c r="K810">
        <f>IF(J810="v4.0",L810,IF(J810="v3.1",M810,IF(J810="Both",L810,IF(AND(L810&lt;&gt;"",M810=""),L810,M810))))</f>
        <v/>
      </c>
      <c r="Z810">
        <f>MIN(100,
(K810*5) +
(U810*10) +
IF(P810="Y",40,0) +
IF(Q810="P",30,0) +
IF(V810="Y",25,0) +
IF(W810="Y",20,0) +
IF(X810="Weaponized",15,IF(X810="PoC Available",10,IF(X810="Public Exploit",5,0))) +
IF(G810="Production",10,IF(G810="DMZ",8,IF(G810="DR/Backup",5,0))) +
IF(Y810="N",10,0)
)</f>
        <v/>
      </c>
      <c r="AA810">
        <f>IF(OR(P810="Y",AND(K810&gt;=9.0,W810="Y")),"P0",IF(Z810&gt;=80,"P0",IF(Z810&gt;=60,"P1",IF(Z810&gt;=40,"P2",IF(Z810&gt;=20,"P3","P4")))))</f>
        <v/>
      </c>
      <c r="AD810">
        <f>IF(AB810&lt;&gt;"",AB810,AA810)</f>
        <v/>
      </c>
      <c r="AE810">
        <f>VLOOKUP(AD810,SLA_Definitions!$A$2:$B$6,2,FALSE)</f>
        <v/>
      </c>
      <c r="AF810">
        <f>IF(B810&lt;&gt;"",WORKDAY(B810,AE810),"")</f>
        <v/>
      </c>
      <c r="AG810">
        <f>IF(AF810&lt;&gt;"",NETWORKDAYS(TODAY(),AF810),"")</f>
        <v/>
      </c>
      <c r="AH810">
        <f>IF(AJ810="Complete","Complete",IF(AG810&lt;0,"Overdue",IF(AG810&lt;=AE810*0.2,"At Risk","On Track")))</f>
        <v/>
      </c>
      <c r="AK810">
        <f>IF(OR(AH810="Overdue",AND(AD810="P0",AG810&lt;1),AND(AD810="P1",AG810&lt;3)),"Y","N")</f>
        <v/>
      </c>
    </row>
    <row r="811">
      <c r="K811">
        <f>IF(J811="v4.0",L811,IF(J811="v3.1",M811,IF(J811="Both",L811,IF(AND(L811&lt;&gt;"",M811=""),L811,M811))))</f>
        <v/>
      </c>
      <c r="Z811">
        <f>MIN(100,
(K811*5) +
(U811*10) +
IF(P811="Y",40,0) +
IF(Q811="P",30,0) +
IF(V811="Y",25,0) +
IF(W811="Y",20,0) +
IF(X811="Weaponized",15,IF(X811="PoC Available",10,IF(X811="Public Exploit",5,0))) +
IF(G811="Production",10,IF(G811="DMZ",8,IF(G811="DR/Backup",5,0))) +
IF(Y811="N",10,0)
)</f>
        <v/>
      </c>
      <c r="AA811">
        <f>IF(OR(P811="Y",AND(K811&gt;=9.0,W811="Y")),"P0",IF(Z811&gt;=80,"P0",IF(Z811&gt;=60,"P1",IF(Z811&gt;=40,"P2",IF(Z811&gt;=20,"P3","P4")))))</f>
        <v/>
      </c>
      <c r="AD811">
        <f>IF(AB811&lt;&gt;"",AB811,AA811)</f>
        <v/>
      </c>
      <c r="AE811">
        <f>VLOOKUP(AD811,SLA_Definitions!$A$2:$B$6,2,FALSE)</f>
        <v/>
      </c>
      <c r="AF811">
        <f>IF(B811&lt;&gt;"",WORKDAY(B811,AE811),"")</f>
        <v/>
      </c>
      <c r="AG811">
        <f>IF(AF811&lt;&gt;"",NETWORKDAYS(TODAY(),AF811),"")</f>
        <v/>
      </c>
      <c r="AH811">
        <f>IF(AJ811="Complete","Complete",IF(AG811&lt;0,"Overdue",IF(AG811&lt;=AE811*0.2,"At Risk","On Track")))</f>
        <v/>
      </c>
      <c r="AK811">
        <f>IF(OR(AH811="Overdue",AND(AD811="P0",AG811&lt;1),AND(AD811="P1",AG811&lt;3)),"Y","N")</f>
        <v/>
      </c>
    </row>
    <row r="812">
      <c r="K812">
        <f>IF(J812="v4.0",L812,IF(J812="v3.1",M812,IF(J812="Both",L812,IF(AND(L812&lt;&gt;"",M812=""),L812,M812))))</f>
        <v/>
      </c>
      <c r="Z812">
        <f>MIN(100,
(K812*5) +
(U812*10) +
IF(P812="Y",40,0) +
IF(Q812="P",30,0) +
IF(V812="Y",25,0) +
IF(W812="Y",20,0) +
IF(X812="Weaponized",15,IF(X812="PoC Available",10,IF(X812="Public Exploit",5,0))) +
IF(G812="Production",10,IF(G812="DMZ",8,IF(G812="DR/Backup",5,0))) +
IF(Y812="N",10,0)
)</f>
        <v/>
      </c>
      <c r="AA812">
        <f>IF(OR(P812="Y",AND(K812&gt;=9.0,W812="Y")),"P0",IF(Z812&gt;=80,"P0",IF(Z812&gt;=60,"P1",IF(Z812&gt;=40,"P2",IF(Z812&gt;=20,"P3","P4")))))</f>
        <v/>
      </c>
      <c r="AD812">
        <f>IF(AB812&lt;&gt;"",AB812,AA812)</f>
        <v/>
      </c>
      <c r="AE812">
        <f>VLOOKUP(AD812,SLA_Definitions!$A$2:$B$6,2,FALSE)</f>
        <v/>
      </c>
      <c r="AF812">
        <f>IF(B812&lt;&gt;"",WORKDAY(B812,AE812),"")</f>
        <v/>
      </c>
      <c r="AG812">
        <f>IF(AF812&lt;&gt;"",NETWORKDAYS(TODAY(),AF812),"")</f>
        <v/>
      </c>
      <c r="AH812">
        <f>IF(AJ812="Complete","Complete",IF(AG812&lt;0,"Overdue",IF(AG812&lt;=AE812*0.2,"At Risk","On Track")))</f>
        <v/>
      </c>
      <c r="AK812">
        <f>IF(OR(AH812="Overdue",AND(AD812="P0",AG812&lt;1),AND(AD812="P1",AG812&lt;3)),"Y","N")</f>
        <v/>
      </c>
    </row>
    <row r="813">
      <c r="K813">
        <f>IF(J813="v4.0",L813,IF(J813="v3.1",M813,IF(J813="Both",L813,IF(AND(L813&lt;&gt;"",M813=""),L813,M813))))</f>
        <v/>
      </c>
      <c r="Z813">
        <f>MIN(100,
(K813*5) +
(U813*10) +
IF(P813="Y",40,0) +
IF(Q813="P",30,0) +
IF(V813="Y",25,0) +
IF(W813="Y",20,0) +
IF(X813="Weaponized",15,IF(X813="PoC Available",10,IF(X813="Public Exploit",5,0))) +
IF(G813="Production",10,IF(G813="DMZ",8,IF(G813="DR/Backup",5,0))) +
IF(Y813="N",10,0)
)</f>
        <v/>
      </c>
      <c r="AA813">
        <f>IF(OR(P813="Y",AND(K813&gt;=9.0,W813="Y")),"P0",IF(Z813&gt;=80,"P0",IF(Z813&gt;=60,"P1",IF(Z813&gt;=40,"P2",IF(Z813&gt;=20,"P3","P4")))))</f>
        <v/>
      </c>
      <c r="AD813">
        <f>IF(AB813&lt;&gt;"",AB813,AA813)</f>
        <v/>
      </c>
      <c r="AE813">
        <f>VLOOKUP(AD813,SLA_Definitions!$A$2:$B$6,2,FALSE)</f>
        <v/>
      </c>
      <c r="AF813">
        <f>IF(B813&lt;&gt;"",WORKDAY(B813,AE813),"")</f>
        <v/>
      </c>
      <c r="AG813">
        <f>IF(AF813&lt;&gt;"",NETWORKDAYS(TODAY(),AF813),"")</f>
        <v/>
      </c>
      <c r="AH813">
        <f>IF(AJ813="Complete","Complete",IF(AG813&lt;0,"Overdue",IF(AG813&lt;=AE813*0.2,"At Risk","On Track")))</f>
        <v/>
      </c>
      <c r="AK813">
        <f>IF(OR(AH813="Overdue",AND(AD813="P0",AG813&lt;1),AND(AD813="P1",AG813&lt;3)),"Y","N")</f>
        <v/>
      </c>
    </row>
    <row r="814">
      <c r="K814">
        <f>IF(J814="v4.0",L814,IF(J814="v3.1",M814,IF(J814="Both",L814,IF(AND(L814&lt;&gt;"",M814=""),L814,M814))))</f>
        <v/>
      </c>
      <c r="Z814">
        <f>MIN(100,
(K814*5) +
(U814*10) +
IF(P814="Y",40,0) +
IF(Q814="P",30,0) +
IF(V814="Y",25,0) +
IF(W814="Y",20,0) +
IF(X814="Weaponized",15,IF(X814="PoC Available",10,IF(X814="Public Exploit",5,0))) +
IF(G814="Production",10,IF(G814="DMZ",8,IF(G814="DR/Backup",5,0))) +
IF(Y814="N",10,0)
)</f>
        <v/>
      </c>
      <c r="AA814">
        <f>IF(OR(P814="Y",AND(K814&gt;=9.0,W814="Y")),"P0",IF(Z814&gt;=80,"P0",IF(Z814&gt;=60,"P1",IF(Z814&gt;=40,"P2",IF(Z814&gt;=20,"P3","P4")))))</f>
        <v/>
      </c>
      <c r="AD814">
        <f>IF(AB814&lt;&gt;"",AB814,AA814)</f>
        <v/>
      </c>
      <c r="AE814">
        <f>VLOOKUP(AD814,SLA_Definitions!$A$2:$B$6,2,FALSE)</f>
        <v/>
      </c>
      <c r="AF814">
        <f>IF(B814&lt;&gt;"",WORKDAY(B814,AE814),"")</f>
        <v/>
      </c>
      <c r="AG814">
        <f>IF(AF814&lt;&gt;"",NETWORKDAYS(TODAY(),AF814),"")</f>
        <v/>
      </c>
      <c r="AH814">
        <f>IF(AJ814="Complete","Complete",IF(AG814&lt;0,"Overdue",IF(AG814&lt;=AE814*0.2,"At Risk","On Track")))</f>
        <v/>
      </c>
      <c r="AK814">
        <f>IF(OR(AH814="Overdue",AND(AD814="P0",AG814&lt;1),AND(AD814="P1",AG814&lt;3)),"Y","N")</f>
        <v/>
      </c>
    </row>
    <row r="815">
      <c r="K815">
        <f>IF(J815="v4.0",L815,IF(J815="v3.1",M815,IF(J815="Both",L815,IF(AND(L815&lt;&gt;"",M815=""),L815,M815))))</f>
        <v/>
      </c>
      <c r="Z815">
        <f>MIN(100,
(K815*5) +
(U815*10) +
IF(P815="Y",40,0) +
IF(Q815="P",30,0) +
IF(V815="Y",25,0) +
IF(W815="Y",20,0) +
IF(X815="Weaponized",15,IF(X815="PoC Available",10,IF(X815="Public Exploit",5,0))) +
IF(G815="Production",10,IF(G815="DMZ",8,IF(G815="DR/Backup",5,0))) +
IF(Y815="N",10,0)
)</f>
        <v/>
      </c>
      <c r="AA815">
        <f>IF(OR(P815="Y",AND(K815&gt;=9.0,W815="Y")),"P0",IF(Z815&gt;=80,"P0",IF(Z815&gt;=60,"P1",IF(Z815&gt;=40,"P2",IF(Z815&gt;=20,"P3","P4")))))</f>
        <v/>
      </c>
      <c r="AD815">
        <f>IF(AB815&lt;&gt;"",AB815,AA815)</f>
        <v/>
      </c>
      <c r="AE815">
        <f>VLOOKUP(AD815,SLA_Definitions!$A$2:$B$6,2,FALSE)</f>
        <v/>
      </c>
      <c r="AF815">
        <f>IF(B815&lt;&gt;"",WORKDAY(B815,AE815),"")</f>
        <v/>
      </c>
      <c r="AG815">
        <f>IF(AF815&lt;&gt;"",NETWORKDAYS(TODAY(),AF815),"")</f>
        <v/>
      </c>
      <c r="AH815">
        <f>IF(AJ815="Complete","Complete",IF(AG815&lt;0,"Overdue",IF(AG815&lt;=AE815*0.2,"At Risk","On Track")))</f>
        <v/>
      </c>
      <c r="AK815">
        <f>IF(OR(AH815="Overdue",AND(AD815="P0",AG815&lt;1),AND(AD815="P1",AG815&lt;3)),"Y","N")</f>
        <v/>
      </c>
    </row>
    <row r="816">
      <c r="K816">
        <f>IF(J816="v4.0",L816,IF(J816="v3.1",M816,IF(J816="Both",L816,IF(AND(L816&lt;&gt;"",M816=""),L816,M816))))</f>
        <v/>
      </c>
      <c r="Z816">
        <f>MIN(100,
(K816*5) +
(U816*10) +
IF(P816="Y",40,0) +
IF(Q816="P",30,0) +
IF(V816="Y",25,0) +
IF(W816="Y",20,0) +
IF(X816="Weaponized",15,IF(X816="PoC Available",10,IF(X816="Public Exploit",5,0))) +
IF(G816="Production",10,IF(G816="DMZ",8,IF(G816="DR/Backup",5,0))) +
IF(Y816="N",10,0)
)</f>
        <v/>
      </c>
      <c r="AA816">
        <f>IF(OR(P816="Y",AND(K816&gt;=9.0,W816="Y")),"P0",IF(Z816&gt;=80,"P0",IF(Z816&gt;=60,"P1",IF(Z816&gt;=40,"P2",IF(Z816&gt;=20,"P3","P4")))))</f>
        <v/>
      </c>
      <c r="AD816">
        <f>IF(AB816&lt;&gt;"",AB816,AA816)</f>
        <v/>
      </c>
      <c r="AE816">
        <f>VLOOKUP(AD816,SLA_Definitions!$A$2:$B$6,2,FALSE)</f>
        <v/>
      </c>
      <c r="AF816">
        <f>IF(B816&lt;&gt;"",WORKDAY(B816,AE816),"")</f>
        <v/>
      </c>
      <c r="AG816">
        <f>IF(AF816&lt;&gt;"",NETWORKDAYS(TODAY(),AF816),"")</f>
        <v/>
      </c>
      <c r="AH816">
        <f>IF(AJ816="Complete","Complete",IF(AG816&lt;0,"Overdue",IF(AG816&lt;=AE816*0.2,"At Risk","On Track")))</f>
        <v/>
      </c>
      <c r="AK816">
        <f>IF(OR(AH816="Overdue",AND(AD816="P0",AG816&lt;1),AND(AD816="P1",AG816&lt;3)),"Y","N")</f>
        <v/>
      </c>
    </row>
    <row r="817">
      <c r="K817">
        <f>IF(J817="v4.0",L817,IF(J817="v3.1",M817,IF(J817="Both",L817,IF(AND(L817&lt;&gt;"",M817=""),L817,M817))))</f>
        <v/>
      </c>
      <c r="Z817">
        <f>MIN(100,
(K817*5) +
(U817*10) +
IF(P817="Y",40,0) +
IF(Q817="P",30,0) +
IF(V817="Y",25,0) +
IF(W817="Y",20,0) +
IF(X817="Weaponized",15,IF(X817="PoC Available",10,IF(X817="Public Exploit",5,0))) +
IF(G817="Production",10,IF(G817="DMZ",8,IF(G817="DR/Backup",5,0))) +
IF(Y817="N",10,0)
)</f>
        <v/>
      </c>
      <c r="AA817">
        <f>IF(OR(P817="Y",AND(K817&gt;=9.0,W817="Y")),"P0",IF(Z817&gt;=80,"P0",IF(Z817&gt;=60,"P1",IF(Z817&gt;=40,"P2",IF(Z817&gt;=20,"P3","P4")))))</f>
        <v/>
      </c>
      <c r="AD817">
        <f>IF(AB817&lt;&gt;"",AB817,AA817)</f>
        <v/>
      </c>
      <c r="AE817">
        <f>VLOOKUP(AD817,SLA_Definitions!$A$2:$B$6,2,FALSE)</f>
        <v/>
      </c>
      <c r="AF817">
        <f>IF(B817&lt;&gt;"",WORKDAY(B817,AE817),"")</f>
        <v/>
      </c>
      <c r="AG817">
        <f>IF(AF817&lt;&gt;"",NETWORKDAYS(TODAY(),AF817),"")</f>
        <v/>
      </c>
      <c r="AH817">
        <f>IF(AJ817="Complete","Complete",IF(AG817&lt;0,"Overdue",IF(AG817&lt;=AE817*0.2,"At Risk","On Track")))</f>
        <v/>
      </c>
      <c r="AK817">
        <f>IF(OR(AH817="Overdue",AND(AD817="P0",AG817&lt;1),AND(AD817="P1",AG817&lt;3)),"Y","N")</f>
        <v/>
      </c>
    </row>
    <row r="818">
      <c r="K818">
        <f>IF(J818="v4.0",L818,IF(J818="v3.1",M818,IF(J818="Both",L818,IF(AND(L818&lt;&gt;"",M818=""),L818,M818))))</f>
        <v/>
      </c>
      <c r="Z818">
        <f>MIN(100,
(K818*5) +
(U818*10) +
IF(P818="Y",40,0) +
IF(Q818="P",30,0) +
IF(V818="Y",25,0) +
IF(W818="Y",20,0) +
IF(X818="Weaponized",15,IF(X818="PoC Available",10,IF(X818="Public Exploit",5,0))) +
IF(G818="Production",10,IF(G818="DMZ",8,IF(G818="DR/Backup",5,0))) +
IF(Y818="N",10,0)
)</f>
        <v/>
      </c>
      <c r="AA818">
        <f>IF(OR(P818="Y",AND(K818&gt;=9.0,W818="Y")),"P0",IF(Z818&gt;=80,"P0",IF(Z818&gt;=60,"P1",IF(Z818&gt;=40,"P2",IF(Z818&gt;=20,"P3","P4")))))</f>
        <v/>
      </c>
      <c r="AD818">
        <f>IF(AB818&lt;&gt;"",AB818,AA818)</f>
        <v/>
      </c>
      <c r="AE818">
        <f>VLOOKUP(AD818,SLA_Definitions!$A$2:$B$6,2,FALSE)</f>
        <v/>
      </c>
      <c r="AF818">
        <f>IF(B818&lt;&gt;"",WORKDAY(B818,AE818),"")</f>
        <v/>
      </c>
      <c r="AG818">
        <f>IF(AF818&lt;&gt;"",NETWORKDAYS(TODAY(),AF818),"")</f>
        <v/>
      </c>
      <c r="AH818">
        <f>IF(AJ818="Complete","Complete",IF(AG818&lt;0,"Overdue",IF(AG818&lt;=AE818*0.2,"At Risk","On Track")))</f>
        <v/>
      </c>
      <c r="AK818">
        <f>IF(OR(AH818="Overdue",AND(AD818="P0",AG818&lt;1),AND(AD818="P1",AG818&lt;3)),"Y","N")</f>
        <v/>
      </c>
    </row>
    <row r="819">
      <c r="K819">
        <f>IF(J819="v4.0",L819,IF(J819="v3.1",M819,IF(J819="Both",L819,IF(AND(L819&lt;&gt;"",M819=""),L819,M819))))</f>
        <v/>
      </c>
      <c r="Z819">
        <f>MIN(100,
(K819*5) +
(U819*10) +
IF(P819="Y",40,0) +
IF(Q819="P",30,0) +
IF(V819="Y",25,0) +
IF(W819="Y",20,0) +
IF(X819="Weaponized",15,IF(X819="PoC Available",10,IF(X819="Public Exploit",5,0))) +
IF(G819="Production",10,IF(G819="DMZ",8,IF(G819="DR/Backup",5,0))) +
IF(Y819="N",10,0)
)</f>
        <v/>
      </c>
      <c r="AA819">
        <f>IF(OR(P819="Y",AND(K819&gt;=9.0,W819="Y")),"P0",IF(Z819&gt;=80,"P0",IF(Z819&gt;=60,"P1",IF(Z819&gt;=40,"P2",IF(Z819&gt;=20,"P3","P4")))))</f>
        <v/>
      </c>
      <c r="AD819">
        <f>IF(AB819&lt;&gt;"",AB819,AA819)</f>
        <v/>
      </c>
      <c r="AE819">
        <f>VLOOKUP(AD819,SLA_Definitions!$A$2:$B$6,2,FALSE)</f>
        <v/>
      </c>
      <c r="AF819">
        <f>IF(B819&lt;&gt;"",WORKDAY(B819,AE819),"")</f>
        <v/>
      </c>
      <c r="AG819">
        <f>IF(AF819&lt;&gt;"",NETWORKDAYS(TODAY(),AF819),"")</f>
        <v/>
      </c>
      <c r="AH819">
        <f>IF(AJ819="Complete","Complete",IF(AG819&lt;0,"Overdue",IF(AG819&lt;=AE819*0.2,"At Risk","On Track")))</f>
        <v/>
      </c>
      <c r="AK819">
        <f>IF(OR(AH819="Overdue",AND(AD819="P0",AG819&lt;1),AND(AD819="P1",AG819&lt;3)),"Y","N")</f>
        <v/>
      </c>
    </row>
    <row r="820">
      <c r="K820">
        <f>IF(J820="v4.0",L820,IF(J820="v3.1",M820,IF(J820="Both",L820,IF(AND(L820&lt;&gt;"",M820=""),L820,M820))))</f>
        <v/>
      </c>
      <c r="Z820">
        <f>MIN(100,
(K820*5) +
(U820*10) +
IF(P820="Y",40,0) +
IF(Q820="P",30,0) +
IF(V820="Y",25,0) +
IF(W820="Y",20,0) +
IF(X820="Weaponized",15,IF(X820="PoC Available",10,IF(X820="Public Exploit",5,0))) +
IF(G820="Production",10,IF(G820="DMZ",8,IF(G820="DR/Backup",5,0))) +
IF(Y820="N",10,0)
)</f>
        <v/>
      </c>
      <c r="AA820">
        <f>IF(OR(P820="Y",AND(K820&gt;=9.0,W820="Y")),"P0",IF(Z820&gt;=80,"P0",IF(Z820&gt;=60,"P1",IF(Z820&gt;=40,"P2",IF(Z820&gt;=20,"P3","P4")))))</f>
        <v/>
      </c>
      <c r="AD820">
        <f>IF(AB820&lt;&gt;"",AB820,AA820)</f>
        <v/>
      </c>
      <c r="AE820">
        <f>VLOOKUP(AD820,SLA_Definitions!$A$2:$B$6,2,FALSE)</f>
        <v/>
      </c>
      <c r="AF820">
        <f>IF(B820&lt;&gt;"",WORKDAY(B820,AE820),"")</f>
        <v/>
      </c>
      <c r="AG820">
        <f>IF(AF820&lt;&gt;"",NETWORKDAYS(TODAY(),AF820),"")</f>
        <v/>
      </c>
      <c r="AH820">
        <f>IF(AJ820="Complete","Complete",IF(AG820&lt;0,"Overdue",IF(AG820&lt;=AE820*0.2,"At Risk","On Track")))</f>
        <v/>
      </c>
      <c r="AK820">
        <f>IF(OR(AH820="Overdue",AND(AD820="P0",AG820&lt;1),AND(AD820="P1",AG820&lt;3)),"Y","N")</f>
        <v/>
      </c>
    </row>
    <row r="821">
      <c r="K821">
        <f>IF(J821="v4.0",L821,IF(J821="v3.1",M821,IF(J821="Both",L821,IF(AND(L821&lt;&gt;"",M821=""),L821,M821))))</f>
        <v/>
      </c>
      <c r="Z821">
        <f>MIN(100,
(K821*5) +
(U821*10) +
IF(P821="Y",40,0) +
IF(Q821="P",30,0) +
IF(V821="Y",25,0) +
IF(W821="Y",20,0) +
IF(X821="Weaponized",15,IF(X821="PoC Available",10,IF(X821="Public Exploit",5,0))) +
IF(G821="Production",10,IF(G821="DMZ",8,IF(G821="DR/Backup",5,0))) +
IF(Y821="N",10,0)
)</f>
        <v/>
      </c>
      <c r="AA821">
        <f>IF(OR(P821="Y",AND(K821&gt;=9.0,W821="Y")),"P0",IF(Z821&gt;=80,"P0",IF(Z821&gt;=60,"P1",IF(Z821&gt;=40,"P2",IF(Z821&gt;=20,"P3","P4")))))</f>
        <v/>
      </c>
      <c r="AD821">
        <f>IF(AB821&lt;&gt;"",AB821,AA821)</f>
        <v/>
      </c>
      <c r="AE821">
        <f>VLOOKUP(AD821,SLA_Definitions!$A$2:$B$6,2,FALSE)</f>
        <v/>
      </c>
      <c r="AF821">
        <f>IF(B821&lt;&gt;"",WORKDAY(B821,AE821),"")</f>
        <v/>
      </c>
      <c r="AG821">
        <f>IF(AF821&lt;&gt;"",NETWORKDAYS(TODAY(),AF821),"")</f>
        <v/>
      </c>
      <c r="AH821">
        <f>IF(AJ821="Complete","Complete",IF(AG821&lt;0,"Overdue",IF(AG821&lt;=AE821*0.2,"At Risk","On Track")))</f>
        <v/>
      </c>
      <c r="AK821">
        <f>IF(OR(AH821="Overdue",AND(AD821="P0",AG821&lt;1),AND(AD821="P1",AG821&lt;3)),"Y","N")</f>
        <v/>
      </c>
    </row>
    <row r="822">
      <c r="K822">
        <f>IF(J822="v4.0",L822,IF(J822="v3.1",M822,IF(J822="Both",L822,IF(AND(L822&lt;&gt;"",M822=""),L822,M822))))</f>
        <v/>
      </c>
      <c r="Z822">
        <f>MIN(100,
(K822*5) +
(U822*10) +
IF(P822="Y",40,0) +
IF(Q822="P",30,0) +
IF(V822="Y",25,0) +
IF(W822="Y",20,0) +
IF(X822="Weaponized",15,IF(X822="PoC Available",10,IF(X822="Public Exploit",5,0))) +
IF(G822="Production",10,IF(G822="DMZ",8,IF(G822="DR/Backup",5,0))) +
IF(Y822="N",10,0)
)</f>
        <v/>
      </c>
      <c r="AA822">
        <f>IF(OR(P822="Y",AND(K822&gt;=9.0,W822="Y")),"P0",IF(Z822&gt;=80,"P0",IF(Z822&gt;=60,"P1",IF(Z822&gt;=40,"P2",IF(Z822&gt;=20,"P3","P4")))))</f>
        <v/>
      </c>
      <c r="AD822">
        <f>IF(AB822&lt;&gt;"",AB822,AA822)</f>
        <v/>
      </c>
      <c r="AE822">
        <f>VLOOKUP(AD822,SLA_Definitions!$A$2:$B$6,2,FALSE)</f>
        <v/>
      </c>
      <c r="AF822">
        <f>IF(B822&lt;&gt;"",WORKDAY(B822,AE822),"")</f>
        <v/>
      </c>
      <c r="AG822">
        <f>IF(AF822&lt;&gt;"",NETWORKDAYS(TODAY(),AF822),"")</f>
        <v/>
      </c>
      <c r="AH822">
        <f>IF(AJ822="Complete","Complete",IF(AG822&lt;0,"Overdue",IF(AG822&lt;=AE822*0.2,"At Risk","On Track")))</f>
        <v/>
      </c>
      <c r="AK822">
        <f>IF(OR(AH822="Overdue",AND(AD822="P0",AG822&lt;1),AND(AD822="P1",AG822&lt;3)),"Y","N")</f>
        <v/>
      </c>
    </row>
    <row r="823">
      <c r="K823">
        <f>IF(J823="v4.0",L823,IF(J823="v3.1",M823,IF(J823="Both",L823,IF(AND(L823&lt;&gt;"",M823=""),L823,M823))))</f>
        <v/>
      </c>
      <c r="Z823">
        <f>MIN(100,
(K823*5) +
(U823*10) +
IF(P823="Y",40,0) +
IF(Q823="P",30,0) +
IF(V823="Y",25,0) +
IF(W823="Y",20,0) +
IF(X823="Weaponized",15,IF(X823="PoC Available",10,IF(X823="Public Exploit",5,0))) +
IF(G823="Production",10,IF(G823="DMZ",8,IF(G823="DR/Backup",5,0))) +
IF(Y823="N",10,0)
)</f>
        <v/>
      </c>
      <c r="AA823">
        <f>IF(OR(P823="Y",AND(K823&gt;=9.0,W823="Y")),"P0",IF(Z823&gt;=80,"P0",IF(Z823&gt;=60,"P1",IF(Z823&gt;=40,"P2",IF(Z823&gt;=20,"P3","P4")))))</f>
        <v/>
      </c>
      <c r="AD823">
        <f>IF(AB823&lt;&gt;"",AB823,AA823)</f>
        <v/>
      </c>
      <c r="AE823">
        <f>VLOOKUP(AD823,SLA_Definitions!$A$2:$B$6,2,FALSE)</f>
        <v/>
      </c>
      <c r="AF823">
        <f>IF(B823&lt;&gt;"",WORKDAY(B823,AE823),"")</f>
        <v/>
      </c>
      <c r="AG823">
        <f>IF(AF823&lt;&gt;"",NETWORKDAYS(TODAY(),AF823),"")</f>
        <v/>
      </c>
      <c r="AH823">
        <f>IF(AJ823="Complete","Complete",IF(AG823&lt;0,"Overdue",IF(AG823&lt;=AE823*0.2,"At Risk","On Track")))</f>
        <v/>
      </c>
      <c r="AK823">
        <f>IF(OR(AH823="Overdue",AND(AD823="P0",AG823&lt;1),AND(AD823="P1",AG823&lt;3)),"Y","N")</f>
        <v/>
      </c>
    </row>
    <row r="824">
      <c r="K824">
        <f>IF(J824="v4.0",L824,IF(J824="v3.1",M824,IF(J824="Both",L824,IF(AND(L824&lt;&gt;"",M824=""),L824,M824))))</f>
        <v/>
      </c>
      <c r="Z824">
        <f>MIN(100,
(K824*5) +
(U824*10) +
IF(P824="Y",40,0) +
IF(Q824="P",30,0) +
IF(V824="Y",25,0) +
IF(W824="Y",20,0) +
IF(X824="Weaponized",15,IF(X824="PoC Available",10,IF(X824="Public Exploit",5,0))) +
IF(G824="Production",10,IF(G824="DMZ",8,IF(G824="DR/Backup",5,0))) +
IF(Y824="N",10,0)
)</f>
        <v/>
      </c>
      <c r="AA824">
        <f>IF(OR(P824="Y",AND(K824&gt;=9.0,W824="Y")),"P0",IF(Z824&gt;=80,"P0",IF(Z824&gt;=60,"P1",IF(Z824&gt;=40,"P2",IF(Z824&gt;=20,"P3","P4")))))</f>
        <v/>
      </c>
      <c r="AD824">
        <f>IF(AB824&lt;&gt;"",AB824,AA824)</f>
        <v/>
      </c>
      <c r="AE824">
        <f>VLOOKUP(AD824,SLA_Definitions!$A$2:$B$6,2,FALSE)</f>
        <v/>
      </c>
      <c r="AF824">
        <f>IF(B824&lt;&gt;"",WORKDAY(B824,AE824),"")</f>
        <v/>
      </c>
      <c r="AG824">
        <f>IF(AF824&lt;&gt;"",NETWORKDAYS(TODAY(),AF824),"")</f>
        <v/>
      </c>
      <c r="AH824">
        <f>IF(AJ824="Complete","Complete",IF(AG824&lt;0,"Overdue",IF(AG824&lt;=AE824*0.2,"At Risk","On Track")))</f>
        <v/>
      </c>
      <c r="AK824">
        <f>IF(OR(AH824="Overdue",AND(AD824="P0",AG824&lt;1),AND(AD824="P1",AG824&lt;3)),"Y","N")</f>
        <v/>
      </c>
    </row>
    <row r="825">
      <c r="K825">
        <f>IF(J825="v4.0",L825,IF(J825="v3.1",M825,IF(J825="Both",L825,IF(AND(L825&lt;&gt;"",M825=""),L825,M825))))</f>
        <v/>
      </c>
      <c r="Z825">
        <f>MIN(100,
(K825*5) +
(U825*10) +
IF(P825="Y",40,0) +
IF(Q825="P",30,0) +
IF(V825="Y",25,0) +
IF(W825="Y",20,0) +
IF(X825="Weaponized",15,IF(X825="PoC Available",10,IF(X825="Public Exploit",5,0))) +
IF(G825="Production",10,IF(G825="DMZ",8,IF(G825="DR/Backup",5,0))) +
IF(Y825="N",10,0)
)</f>
        <v/>
      </c>
      <c r="AA825">
        <f>IF(OR(P825="Y",AND(K825&gt;=9.0,W825="Y")),"P0",IF(Z825&gt;=80,"P0",IF(Z825&gt;=60,"P1",IF(Z825&gt;=40,"P2",IF(Z825&gt;=20,"P3","P4")))))</f>
        <v/>
      </c>
      <c r="AD825">
        <f>IF(AB825&lt;&gt;"",AB825,AA825)</f>
        <v/>
      </c>
      <c r="AE825">
        <f>VLOOKUP(AD825,SLA_Definitions!$A$2:$B$6,2,FALSE)</f>
        <v/>
      </c>
      <c r="AF825">
        <f>IF(B825&lt;&gt;"",WORKDAY(B825,AE825),"")</f>
        <v/>
      </c>
      <c r="AG825">
        <f>IF(AF825&lt;&gt;"",NETWORKDAYS(TODAY(),AF825),"")</f>
        <v/>
      </c>
      <c r="AH825">
        <f>IF(AJ825="Complete","Complete",IF(AG825&lt;0,"Overdue",IF(AG825&lt;=AE825*0.2,"At Risk","On Track")))</f>
        <v/>
      </c>
      <c r="AK825">
        <f>IF(OR(AH825="Overdue",AND(AD825="P0",AG825&lt;1),AND(AD825="P1",AG825&lt;3)),"Y","N")</f>
        <v/>
      </c>
    </row>
    <row r="826">
      <c r="K826">
        <f>IF(J826="v4.0",L826,IF(J826="v3.1",M826,IF(J826="Both",L826,IF(AND(L826&lt;&gt;"",M826=""),L826,M826))))</f>
        <v/>
      </c>
      <c r="Z826">
        <f>MIN(100,
(K826*5) +
(U826*10) +
IF(P826="Y",40,0) +
IF(Q826="P",30,0) +
IF(V826="Y",25,0) +
IF(W826="Y",20,0) +
IF(X826="Weaponized",15,IF(X826="PoC Available",10,IF(X826="Public Exploit",5,0))) +
IF(G826="Production",10,IF(G826="DMZ",8,IF(G826="DR/Backup",5,0))) +
IF(Y826="N",10,0)
)</f>
        <v/>
      </c>
      <c r="AA826">
        <f>IF(OR(P826="Y",AND(K826&gt;=9.0,W826="Y")),"P0",IF(Z826&gt;=80,"P0",IF(Z826&gt;=60,"P1",IF(Z826&gt;=40,"P2",IF(Z826&gt;=20,"P3","P4")))))</f>
        <v/>
      </c>
      <c r="AD826">
        <f>IF(AB826&lt;&gt;"",AB826,AA826)</f>
        <v/>
      </c>
      <c r="AE826">
        <f>VLOOKUP(AD826,SLA_Definitions!$A$2:$B$6,2,FALSE)</f>
        <v/>
      </c>
      <c r="AF826">
        <f>IF(B826&lt;&gt;"",WORKDAY(B826,AE826),"")</f>
        <v/>
      </c>
      <c r="AG826">
        <f>IF(AF826&lt;&gt;"",NETWORKDAYS(TODAY(),AF826),"")</f>
        <v/>
      </c>
      <c r="AH826">
        <f>IF(AJ826="Complete","Complete",IF(AG826&lt;0,"Overdue",IF(AG826&lt;=AE826*0.2,"At Risk","On Track")))</f>
        <v/>
      </c>
      <c r="AK826">
        <f>IF(OR(AH826="Overdue",AND(AD826="P0",AG826&lt;1),AND(AD826="P1",AG826&lt;3)),"Y","N")</f>
        <v/>
      </c>
    </row>
    <row r="827">
      <c r="K827">
        <f>IF(J827="v4.0",L827,IF(J827="v3.1",M827,IF(J827="Both",L827,IF(AND(L827&lt;&gt;"",M827=""),L827,M827))))</f>
        <v/>
      </c>
      <c r="Z827">
        <f>MIN(100,
(K827*5) +
(U827*10) +
IF(P827="Y",40,0) +
IF(Q827="P",30,0) +
IF(V827="Y",25,0) +
IF(W827="Y",20,0) +
IF(X827="Weaponized",15,IF(X827="PoC Available",10,IF(X827="Public Exploit",5,0))) +
IF(G827="Production",10,IF(G827="DMZ",8,IF(G827="DR/Backup",5,0))) +
IF(Y827="N",10,0)
)</f>
        <v/>
      </c>
      <c r="AA827">
        <f>IF(OR(P827="Y",AND(K827&gt;=9.0,W827="Y")),"P0",IF(Z827&gt;=80,"P0",IF(Z827&gt;=60,"P1",IF(Z827&gt;=40,"P2",IF(Z827&gt;=20,"P3","P4")))))</f>
        <v/>
      </c>
      <c r="AD827">
        <f>IF(AB827&lt;&gt;"",AB827,AA827)</f>
        <v/>
      </c>
      <c r="AE827">
        <f>VLOOKUP(AD827,SLA_Definitions!$A$2:$B$6,2,FALSE)</f>
        <v/>
      </c>
      <c r="AF827">
        <f>IF(B827&lt;&gt;"",WORKDAY(B827,AE827),"")</f>
        <v/>
      </c>
      <c r="AG827">
        <f>IF(AF827&lt;&gt;"",NETWORKDAYS(TODAY(),AF827),"")</f>
        <v/>
      </c>
      <c r="AH827">
        <f>IF(AJ827="Complete","Complete",IF(AG827&lt;0,"Overdue",IF(AG827&lt;=AE827*0.2,"At Risk","On Track")))</f>
        <v/>
      </c>
      <c r="AK827">
        <f>IF(OR(AH827="Overdue",AND(AD827="P0",AG827&lt;1),AND(AD827="P1",AG827&lt;3)),"Y","N")</f>
        <v/>
      </c>
    </row>
    <row r="828">
      <c r="K828">
        <f>IF(J828="v4.0",L828,IF(J828="v3.1",M828,IF(J828="Both",L828,IF(AND(L828&lt;&gt;"",M828=""),L828,M828))))</f>
        <v/>
      </c>
      <c r="Z828">
        <f>MIN(100,
(K828*5) +
(U828*10) +
IF(P828="Y",40,0) +
IF(Q828="P",30,0) +
IF(V828="Y",25,0) +
IF(W828="Y",20,0) +
IF(X828="Weaponized",15,IF(X828="PoC Available",10,IF(X828="Public Exploit",5,0))) +
IF(G828="Production",10,IF(G828="DMZ",8,IF(G828="DR/Backup",5,0))) +
IF(Y828="N",10,0)
)</f>
        <v/>
      </c>
      <c r="AA828">
        <f>IF(OR(P828="Y",AND(K828&gt;=9.0,W828="Y")),"P0",IF(Z828&gt;=80,"P0",IF(Z828&gt;=60,"P1",IF(Z828&gt;=40,"P2",IF(Z828&gt;=20,"P3","P4")))))</f>
        <v/>
      </c>
      <c r="AD828">
        <f>IF(AB828&lt;&gt;"",AB828,AA828)</f>
        <v/>
      </c>
      <c r="AE828">
        <f>VLOOKUP(AD828,SLA_Definitions!$A$2:$B$6,2,FALSE)</f>
        <v/>
      </c>
      <c r="AF828">
        <f>IF(B828&lt;&gt;"",WORKDAY(B828,AE828),"")</f>
        <v/>
      </c>
      <c r="AG828">
        <f>IF(AF828&lt;&gt;"",NETWORKDAYS(TODAY(),AF828),"")</f>
        <v/>
      </c>
      <c r="AH828">
        <f>IF(AJ828="Complete","Complete",IF(AG828&lt;0,"Overdue",IF(AG828&lt;=AE828*0.2,"At Risk","On Track")))</f>
        <v/>
      </c>
      <c r="AK828">
        <f>IF(OR(AH828="Overdue",AND(AD828="P0",AG828&lt;1),AND(AD828="P1",AG828&lt;3)),"Y","N")</f>
        <v/>
      </c>
    </row>
    <row r="829">
      <c r="K829">
        <f>IF(J829="v4.0",L829,IF(J829="v3.1",M829,IF(J829="Both",L829,IF(AND(L829&lt;&gt;"",M829=""),L829,M829))))</f>
        <v/>
      </c>
      <c r="Z829">
        <f>MIN(100,
(K829*5) +
(U829*10) +
IF(P829="Y",40,0) +
IF(Q829="P",30,0) +
IF(V829="Y",25,0) +
IF(W829="Y",20,0) +
IF(X829="Weaponized",15,IF(X829="PoC Available",10,IF(X829="Public Exploit",5,0))) +
IF(G829="Production",10,IF(G829="DMZ",8,IF(G829="DR/Backup",5,0))) +
IF(Y829="N",10,0)
)</f>
        <v/>
      </c>
      <c r="AA829">
        <f>IF(OR(P829="Y",AND(K829&gt;=9.0,W829="Y")),"P0",IF(Z829&gt;=80,"P0",IF(Z829&gt;=60,"P1",IF(Z829&gt;=40,"P2",IF(Z829&gt;=20,"P3","P4")))))</f>
        <v/>
      </c>
      <c r="AD829">
        <f>IF(AB829&lt;&gt;"",AB829,AA829)</f>
        <v/>
      </c>
      <c r="AE829">
        <f>VLOOKUP(AD829,SLA_Definitions!$A$2:$B$6,2,FALSE)</f>
        <v/>
      </c>
      <c r="AF829">
        <f>IF(B829&lt;&gt;"",WORKDAY(B829,AE829),"")</f>
        <v/>
      </c>
      <c r="AG829">
        <f>IF(AF829&lt;&gt;"",NETWORKDAYS(TODAY(),AF829),"")</f>
        <v/>
      </c>
      <c r="AH829">
        <f>IF(AJ829="Complete","Complete",IF(AG829&lt;0,"Overdue",IF(AG829&lt;=AE829*0.2,"At Risk","On Track")))</f>
        <v/>
      </c>
      <c r="AK829">
        <f>IF(OR(AH829="Overdue",AND(AD829="P0",AG829&lt;1),AND(AD829="P1",AG829&lt;3)),"Y","N")</f>
        <v/>
      </c>
    </row>
    <row r="830">
      <c r="K830">
        <f>IF(J830="v4.0",L830,IF(J830="v3.1",M830,IF(J830="Both",L830,IF(AND(L830&lt;&gt;"",M830=""),L830,M830))))</f>
        <v/>
      </c>
      <c r="Z830">
        <f>MIN(100,
(K830*5) +
(U830*10) +
IF(P830="Y",40,0) +
IF(Q830="P",30,0) +
IF(V830="Y",25,0) +
IF(W830="Y",20,0) +
IF(X830="Weaponized",15,IF(X830="PoC Available",10,IF(X830="Public Exploit",5,0))) +
IF(G830="Production",10,IF(G830="DMZ",8,IF(G830="DR/Backup",5,0))) +
IF(Y830="N",10,0)
)</f>
        <v/>
      </c>
      <c r="AA830">
        <f>IF(OR(P830="Y",AND(K830&gt;=9.0,W830="Y")),"P0",IF(Z830&gt;=80,"P0",IF(Z830&gt;=60,"P1",IF(Z830&gt;=40,"P2",IF(Z830&gt;=20,"P3","P4")))))</f>
        <v/>
      </c>
      <c r="AD830">
        <f>IF(AB830&lt;&gt;"",AB830,AA830)</f>
        <v/>
      </c>
      <c r="AE830">
        <f>VLOOKUP(AD830,SLA_Definitions!$A$2:$B$6,2,FALSE)</f>
        <v/>
      </c>
      <c r="AF830">
        <f>IF(B830&lt;&gt;"",WORKDAY(B830,AE830),"")</f>
        <v/>
      </c>
      <c r="AG830">
        <f>IF(AF830&lt;&gt;"",NETWORKDAYS(TODAY(),AF830),"")</f>
        <v/>
      </c>
      <c r="AH830">
        <f>IF(AJ830="Complete","Complete",IF(AG830&lt;0,"Overdue",IF(AG830&lt;=AE830*0.2,"At Risk","On Track")))</f>
        <v/>
      </c>
      <c r="AK830">
        <f>IF(OR(AH830="Overdue",AND(AD830="P0",AG830&lt;1),AND(AD830="P1",AG830&lt;3)),"Y","N")</f>
        <v/>
      </c>
    </row>
    <row r="831">
      <c r="K831">
        <f>IF(J831="v4.0",L831,IF(J831="v3.1",M831,IF(J831="Both",L831,IF(AND(L831&lt;&gt;"",M831=""),L831,M831))))</f>
        <v/>
      </c>
      <c r="Z831">
        <f>MIN(100,
(K831*5) +
(U831*10) +
IF(P831="Y",40,0) +
IF(Q831="P",30,0) +
IF(V831="Y",25,0) +
IF(W831="Y",20,0) +
IF(X831="Weaponized",15,IF(X831="PoC Available",10,IF(X831="Public Exploit",5,0))) +
IF(G831="Production",10,IF(G831="DMZ",8,IF(G831="DR/Backup",5,0))) +
IF(Y831="N",10,0)
)</f>
        <v/>
      </c>
      <c r="AA831">
        <f>IF(OR(P831="Y",AND(K831&gt;=9.0,W831="Y")),"P0",IF(Z831&gt;=80,"P0",IF(Z831&gt;=60,"P1",IF(Z831&gt;=40,"P2",IF(Z831&gt;=20,"P3","P4")))))</f>
        <v/>
      </c>
      <c r="AD831">
        <f>IF(AB831&lt;&gt;"",AB831,AA831)</f>
        <v/>
      </c>
      <c r="AE831">
        <f>VLOOKUP(AD831,SLA_Definitions!$A$2:$B$6,2,FALSE)</f>
        <v/>
      </c>
      <c r="AF831">
        <f>IF(B831&lt;&gt;"",WORKDAY(B831,AE831),"")</f>
        <v/>
      </c>
      <c r="AG831">
        <f>IF(AF831&lt;&gt;"",NETWORKDAYS(TODAY(),AF831),"")</f>
        <v/>
      </c>
      <c r="AH831">
        <f>IF(AJ831="Complete","Complete",IF(AG831&lt;0,"Overdue",IF(AG831&lt;=AE831*0.2,"At Risk","On Track")))</f>
        <v/>
      </c>
      <c r="AK831">
        <f>IF(OR(AH831="Overdue",AND(AD831="P0",AG831&lt;1),AND(AD831="P1",AG831&lt;3)),"Y","N")</f>
        <v/>
      </c>
    </row>
    <row r="832">
      <c r="K832">
        <f>IF(J832="v4.0",L832,IF(J832="v3.1",M832,IF(J832="Both",L832,IF(AND(L832&lt;&gt;"",M832=""),L832,M832))))</f>
        <v/>
      </c>
      <c r="Z832">
        <f>MIN(100,
(K832*5) +
(U832*10) +
IF(P832="Y",40,0) +
IF(Q832="P",30,0) +
IF(V832="Y",25,0) +
IF(W832="Y",20,0) +
IF(X832="Weaponized",15,IF(X832="PoC Available",10,IF(X832="Public Exploit",5,0))) +
IF(G832="Production",10,IF(G832="DMZ",8,IF(G832="DR/Backup",5,0))) +
IF(Y832="N",10,0)
)</f>
        <v/>
      </c>
      <c r="AA832">
        <f>IF(OR(P832="Y",AND(K832&gt;=9.0,W832="Y")),"P0",IF(Z832&gt;=80,"P0",IF(Z832&gt;=60,"P1",IF(Z832&gt;=40,"P2",IF(Z832&gt;=20,"P3","P4")))))</f>
        <v/>
      </c>
      <c r="AD832">
        <f>IF(AB832&lt;&gt;"",AB832,AA832)</f>
        <v/>
      </c>
      <c r="AE832">
        <f>VLOOKUP(AD832,SLA_Definitions!$A$2:$B$6,2,FALSE)</f>
        <v/>
      </c>
      <c r="AF832">
        <f>IF(B832&lt;&gt;"",WORKDAY(B832,AE832),"")</f>
        <v/>
      </c>
      <c r="AG832">
        <f>IF(AF832&lt;&gt;"",NETWORKDAYS(TODAY(),AF832),"")</f>
        <v/>
      </c>
      <c r="AH832">
        <f>IF(AJ832="Complete","Complete",IF(AG832&lt;0,"Overdue",IF(AG832&lt;=AE832*0.2,"At Risk","On Track")))</f>
        <v/>
      </c>
      <c r="AK832">
        <f>IF(OR(AH832="Overdue",AND(AD832="P0",AG832&lt;1),AND(AD832="P1",AG832&lt;3)),"Y","N")</f>
        <v/>
      </c>
    </row>
    <row r="833">
      <c r="K833">
        <f>IF(J833="v4.0",L833,IF(J833="v3.1",M833,IF(J833="Both",L833,IF(AND(L833&lt;&gt;"",M833=""),L833,M833))))</f>
        <v/>
      </c>
      <c r="Z833">
        <f>MIN(100,
(K833*5) +
(U833*10) +
IF(P833="Y",40,0) +
IF(Q833="P",30,0) +
IF(V833="Y",25,0) +
IF(W833="Y",20,0) +
IF(X833="Weaponized",15,IF(X833="PoC Available",10,IF(X833="Public Exploit",5,0))) +
IF(G833="Production",10,IF(G833="DMZ",8,IF(G833="DR/Backup",5,0))) +
IF(Y833="N",10,0)
)</f>
        <v/>
      </c>
      <c r="AA833">
        <f>IF(OR(P833="Y",AND(K833&gt;=9.0,W833="Y")),"P0",IF(Z833&gt;=80,"P0",IF(Z833&gt;=60,"P1",IF(Z833&gt;=40,"P2",IF(Z833&gt;=20,"P3","P4")))))</f>
        <v/>
      </c>
      <c r="AD833">
        <f>IF(AB833&lt;&gt;"",AB833,AA833)</f>
        <v/>
      </c>
      <c r="AE833">
        <f>VLOOKUP(AD833,SLA_Definitions!$A$2:$B$6,2,FALSE)</f>
        <v/>
      </c>
      <c r="AF833">
        <f>IF(B833&lt;&gt;"",WORKDAY(B833,AE833),"")</f>
        <v/>
      </c>
      <c r="AG833">
        <f>IF(AF833&lt;&gt;"",NETWORKDAYS(TODAY(),AF833),"")</f>
        <v/>
      </c>
      <c r="AH833">
        <f>IF(AJ833="Complete","Complete",IF(AG833&lt;0,"Overdue",IF(AG833&lt;=AE833*0.2,"At Risk","On Track")))</f>
        <v/>
      </c>
      <c r="AK833">
        <f>IF(OR(AH833="Overdue",AND(AD833="P0",AG833&lt;1),AND(AD833="P1",AG833&lt;3)),"Y","N")</f>
        <v/>
      </c>
    </row>
    <row r="834">
      <c r="K834">
        <f>IF(J834="v4.0",L834,IF(J834="v3.1",M834,IF(J834="Both",L834,IF(AND(L834&lt;&gt;"",M834=""),L834,M834))))</f>
        <v/>
      </c>
      <c r="Z834">
        <f>MIN(100,
(K834*5) +
(U834*10) +
IF(P834="Y",40,0) +
IF(Q834="P",30,0) +
IF(V834="Y",25,0) +
IF(W834="Y",20,0) +
IF(X834="Weaponized",15,IF(X834="PoC Available",10,IF(X834="Public Exploit",5,0))) +
IF(G834="Production",10,IF(G834="DMZ",8,IF(G834="DR/Backup",5,0))) +
IF(Y834="N",10,0)
)</f>
        <v/>
      </c>
      <c r="AA834">
        <f>IF(OR(P834="Y",AND(K834&gt;=9.0,W834="Y")),"P0",IF(Z834&gt;=80,"P0",IF(Z834&gt;=60,"P1",IF(Z834&gt;=40,"P2",IF(Z834&gt;=20,"P3","P4")))))</f>
        <v/>
      </c>
      <c r="AD834">
        <f>IF(AB834&lt;&gt;"",AB834,AA834)</f>
        <v/>
      </c>
      <c r="AE834">
        <f>VLOOKUP(AD834,SLA_Definitions!$A$2:$B$6,2,FALSE)</f>
        <v/>
      </c>
      <c r="AF834">
        <f>IF(B834&lt;&gt;"",WORKDAY(B834,AE834),"")</f>
        <v/>
      </c>
      <c r="AG834">
        <f>IF(AF834&lt;&gt;"",NETWORKDAYS(TODAY(),AF834),"")</f>
        <v/>
      </c>
      <c r="AH834">
        <f>IF(AJ834="Complete","Complete",IF(AG834&lt;0,"Overdue",IF(AG834&lt;=AE834*0.2,"At Risk","On Track")))</f>
        <v/>
      </c>
      <c r="AK834">
        <f>IF(OR(AH834="Overdue",AND(AD834="P0",AG834&lt;1),AND(AD834="P1",AG834&lt;3)),"Y","N")</f>
        <v/>
      </c>
    </row>
    <row r="835">
      <c r="K835">
        <f>IF(J835="v4.0",L835,IF(J835="v3.1",M835,IF(J835="Both",L835,IF(AND(L835&lt;&gt;"",M835=""),L835,M835))))</f>
        <v/>
      </c>
      <c r="Z835">
        <f>MIN(100,
(K835*5) +
(U835*10) +
IF(P835="Y",40,0) +
IF(Q835="P",30,0) +
IF(V835="Y",25,0) +
IF(W835="Y",20,0) +
IF(X835="Weaponized",15,IF(X835="PoC Available",10,IF(X835="Public Exploit",5,0))) +
IF(G835="Production",10,IF(G835="DMZ",8,IF(G835="DR/Backup",5,0))) +
IF(Y835="N",10,0)
)</f>
        <v/>
      </c>
      <c r="AA835">
        <f>IF(OR(P835="Y",AND(K835&gt;=9.0,W835="Y")),"P0",IF(Z835&gt;=80,"P0",IF(Z835&gt;=60,"P1",IF(Z835&gt;=40,"P2",IF(Z835&gt;=20,"P3","P4")))))</f>
        <v/>
      </c>
      <c r="AD835">
        <f>IF(AB835&lt;&gt;"",AB835,AA835)</f>
        <v/>
      </c>
      <c r="AE835">
        <f>VLOOKUP(AD835,SLA_Definitions!$A$2:$B$6,2,FALSE)</f>
        <v/>
      </c>
      <c r="AF835">
        <f>IF(B835&lt;&gt;"",WORKDAY(B835,AE835),"")</f>
        <v/>
      </c>
      <c r="AG835">
        <f>IF(AF835&lt;&gt;"",NETWORKDAYS(TODAY(),AF835),"")</f>
        <v/>
      </c>
      <c r="AH835">
        <f>IF(AJ835="Complete","Complete",IF(AG835&lt;0,"Overdue",IF(AG835&lt;=AE835*0.2,"At Risk","On Track")))</f>
        <v/>
      </c>
      <c r="AK835">
        <f>IF(OR(AH835="Overdue",AND(AD835="P0",AG835&lt;1),AND(AD835="P1",AG835&lt;3)),"Y","N")</f>
        <v/>
      </c>
    </row>
    <row r="836">
      <c r="K836">
        <f>IF(J836="v4.0",L836,IF(J836="v3.1",M836,IF(J836="Both",L836,IF(AND(L836&lt;&gt;"",M836=""),L836,M836))))</f>
        <v/>
      </c>
      <c r="Z836">
        <f>MIN(100,
(K836*5) +
(U836*10) +
IF(P836="Y",40,0) +
IF(Q836="P",30,0) +
IF(V836="Y",25,0) +
IF(W836="Y",20,0) +
IF(X836="Weaponized",15,IF(X836="PoC Available",10,IF(X836="Public Exploit",5,0))) +
IF(G836="Production",10,IF(G836="DMZ",8,IF(G836="DR/Backup",5,0))) +
IF(Y836="N",10,0)
)</f>
        <v/>
      </c>
      <c r="AA836">
        <f>IF(OR(P836="Y",AND(K836&gt;=9.0,W836="Y")),"P0",IF(Z836&gt;=80,"P0",IF(Z836&gt;=60,"P1",IF(Z836&gt;=40,"P2",IF(Z836&gt;=20,"P3","P4")))))</f>
        <v/>
      </c>
      <c r="AD836">
        <f>IF(AB836&lt;&gt;"",AB836,AA836)</f>
        <v/>
      </c>
      <c r="AE836">
        <f>VLOOKUP(AD836,SLA_Definitions!$A$2:$B$6,2,FALSE)</f>
        <v/>
      </c>
      <c r="AF836">
        <f>IF(B836&lt;&gt;"",WORKDAY(B836,AE836),"")</f>
        <v/>
      </c>
      <c r="AG836">
        <f>IF(AF836&lt;&gt;"",NETWORKDAYS(TODAY(),AF836),"")</f>
        <v/>
      </c>
      <c r="AH836">
        <f>IF(AJ836="Complete","Complete",IF(AG836&lt;0,"Overdue",IF(AG836&lt;=AE836*0.2,"At Risk","On Track")))</f>
        <v/>
      </c>
      <c r="AK836">
        <f>IF(OR(AH836="Overdue",AND(AD836="P0",AG836&lt;1),AND(AD836="P1",AG836&lt;3)),"Y","N")</f>
        <v/>
      </c>
    </row>
    <row r="837">
      <c r="K837">
        <f>IF(J837="v4.0",L837,IF(J837="v3.1",M837,IF(J837="Both",L837,IF(AND(L837&lt;&gt;"",M837=""),L837,M837))))</f>
        <v/>
      </c>
      <c r="Z837">
        <f>MIN(100,
(K837*5) +
(U837*10) +
IF(P837="Y",40,0) +
IF(Q837="P",30,0) +
IF(V837="Y",25,0) +
IF(W837="Y",20,0) +
IF(X837="Weaponized",15,IF(X837="PoC Available",10,IF(X837="Public Exploit",5,0))) +
IF(G837="Production",10,IF(G837="DMZ",8,IF(G837="DR/Backup",5,0))) +
IF(Y837="N",10,0)
)</f>
        <v/>
      </c>
      <c r="AA837">
        <f>IF(OR(P837="Y",AND(K837&gt;=9.0,W837="Y")),"P0",IF(Z837&gt;=80,"P0",IF(Z837&gt;=60,"P1",IF(Z837&gt;=40,"P2",IF(Z837&gt;=20,"P3","P4")))))</f>
        <v/>
      </c>
      <c r="AD837">
        <f>IF(AB837&lt;&gt;"",AB837,AA837)</f>
        <v/>
      </c>
      <c r="AE837">
        <f>VLOOKUP(AD837,SLA_Definitions!$A$2:$B$6,2,FALSE)</f>
        <v/>
      </c>
      <c r="AF837">
        <f>IF(B837&lt;&gt;"",WORKDAY(B837,AE837),"")</f>
        <v/>
      </c>
      <c r="AG837">
        <f>IF(AF837&lt;&gt;"",NETWORKDAYS(TODAY(),AF837),"")</f>
        <v/>
      </c>
      <c r="AH837">
        <f>IF(AJ837="Complete","Complete",IF(AG837&lt;0,"Overdue",IF(AG837&lt;=AE837*0.2,"At Risk","On Track")))</f>
        <v/>
      </c>
      <c r="AK837">
        <f>IF(OR(AH837="Overdue",AND(AD837="P0",AG837&lt;1),AND(AD837="P1",AG837&lt;3)),"Y","N")</f>
        <v/>
      </c>
    </row>
    <row r="838">
      <c r="K838">
        <f>IF(J838="v4.0",L838,IF(J838="v3.1",M838,IF(J838="Both",L838,IF(AND(L838&lt;&gt;"",M838=""),L838,M838))))</f>
        <v/>
      </c>
      <c r="Z838">
        <f>MIN(100,
(K838*5) +
(U838*10) +
IF(P838="Y",40,0) +
IF(Q838="P",30,0) +
IF(V838="Y",25,0) +
IF(W838="Y",20,0) +
IF(X838="Weaponized",15,IF(X838="PoC Available",10,IF(X838="Public Exploit",5,0))) +
IF(G838="Production",10,IF(G838="DMZ",8,IF(G838="DR/Backup",5,0))) +
IF(Y838="N",10,0)
)</f>
        <v/>
      </c>
      <c r="AA838">
        <f>IF(OR(P838="Y",AND(K838&gt;=9.0,W838="Y")),"P0",IF(Z838&gt;=80,"P0",IF(Z838&gt;=60,"P1",IF(Z838&gt;=40,"P2",IF(Z838&gt;=20,"P3","P4")))))</f>
        <v/>
      </c>
      <c r="AD838">
        <f>IF(AB838&lt;&gt;"",AB838,AA838)</f>
        <v/>
      </c>
      <c r="AE838">
        <f>VLOOKUP(AD838,SLA_Definitions!$A$2:$B$6,2,FALSE)</f>
        <v/>
      </c>
      <c r="AF838">
        <f>IF(B838&lt;&gt;"",WORKDAY(B838,AE838),"")</f>
        <v/>
      </c>
      <c r="AG838">
        <f>IF(AF838&lt;&gt;"",NETWORKDAYS(TODAY(),AF838),"")</f>
        <v/>
      </c>
      <c r="AH838">
        <f>IF(AJ838="Complete","Complete",IF(AG838&lt;0,"Overdue",IF(AG838&lt;=AE838*0.2,"At Risk","On Track")))</f>
        <v/>
      </c>
      <c r="AK838">
        <f>IF(OR(AH838="Overdue",AND(AD838="P0",AG838&lt;1),AND(AD838="P1",AG838&lt;3)),"Y","N")</f>
        <v/>
      </c>
    </row>
    <row r="839">
      <c r="K839">
        <f>IF(J839="v4.0",L839,IF(J839="v3.1",M839,IF(J839="Both",L839,IF(AND(L839&lt;&gt;"",M839=""),L839,M839))))</f>
        <v/>
      </c>
      <c r="Z839">
        <f>MIN(100,
(K839*5) +
(U839*10) +
IF(P839="Y",40,0) +
IF(Q839="P",30,0) +
IF(V839="Y",25,0) +
IF(W839="Y",20,0) +
IF(X839="Weaponized",15,IF(X839="PoC Available",10,IF(X839="Public Exploit",5,0))) +
IF(G839="Production",10,IF(G839="DMZ",8,IF(G839="DR/Backup",5,0))) +
IF(Y839="N",10,0)
)</f>
        <v/>
      </c>
      <c r="AA839">
        <f>IF(OR(P839="Y",AND(K839&gt;=9.0,W839="Y")),"P0",IF(Z839&gt;=80,"P0",IF(Z839&gt;=60,"P1",IF(Z839&gt;=40,"P2",IF(Z839&gt;=20,"P3","P4")))))</f>
        <v/>
      </c>
      <c r="AD839">
        <f>IF(AB839&lt;&gt;"",AB839,AA839)</f>
        <v/>
      </c>
      <c r="AE839">
        <f>VLOOKUP(AD839,SLA_Definitions!$A$2:$B$6,2,FALSE)</f>
        <v/>
      </c>
      <c r="AF839">
        <f>IF(B839&lt;&gt;"",WORKDAY(B839,AE839),"")</f>
        <v/>
      </c>
      <c r="AG839">
        <f>IF(AF839&lt;&gt;"",NETWORKDAYS(TODAY(),AF839),"")</f>
        <v/>
      </c>
      <c r="AH839">
        <f>IF(AJ839="Complete","Complete",IF(AG839&lt;0,"Overdue",IF(AG839&lt;=AE839*0.2,"At Risk","On Track")))</f>
        <v/>
      </c>
      <c r="AK839">
        <f>IF(OR(AH839="Overdue",AND(AD839="P0",AG839&lt;1),AND(AD839="P1",AG839&lt;3)),"Y","N")</f>
        <v/>
      </c>
    </row>
    <row r="840">
      <c r="K840">
        <f>IF(J840="v4.0",L840,IF(J840="v3.1",M840,IF(J840="Both",L840,IF(AND(L840&lt;&gt;"",M840=""),L840,M840))))</f>
        <v/>
      </c>
      <c r="Z840">
        <f>MIN(100,
(K840*5) +
(U840*10) +
IF(P840="Y",40,0) +
IF(Q840="P",30,0) +
IF(V840="Y",25,0) +
IF(W840="Y",20,0) +
IF(X840="Weaponized",15,IF(X840="PoC Available",10,IF(X840="Public Exploit",5,0))) +
IF(G840="Production",10,IF(G840="DMZ",8,IF(G840="DR/Backup",5,0))) +
IF(Y840="N",10,0)
)</f>
        <v/>
      </c>
      <c r="AA840">
        <f>IF(OR(P840="Y",AND(K840&gt;=9.0,W840="Y")),"P0",IF(Z840&gt;=80,"P0",IF(Z840&gt;=60,"P1",IF(Z840&gt;=40,"P2",IF(Z840&gt;=20,"P3","P4")))))</f>
        <v/>
      </c>
      <c r="AD840">
        <f>IF(AB840&lt;&gt;"",AB840,AA840)</f>
        <v/>
      </c>
      <c r="AE840">
        <f>VLOOKUP(AD840,SLA_Definitions!$A$2:$B$6,2,FALSE)</f>
        <v/>
      </c>
      <c r="AF840">
        <f>IF(B840&lt;&gt;"",WORKDAY(B840,AE840),"")</f>
        <v/>
      </c>
      <c r="AG840">
        <f>IF(AF840&lt;&gt;"",NETWORKDAYS(TODAY(),AF840),"")</f>
        <v/>
      </c>
      <c r="AH840">
        <f>IF(AJ840="Complete","Complete",IF(AG840&lt;0,"Overdue",IF(AG840&lt;=AE840*0.2,"At Risk","On Track")))</f>
        <v/>
      </c>
      <c r="AK840">
        <f>IF(OR(AH840="Overdue",AND(AD840="P0",AG840&lt;1),AND(AD840="P1",AG840&lt;3)),"Y","N")</f>
        <v/>
      </c>
    </row>
    <row r="841">
      <c r="K841">
        <f>IF(J841="v4.0",L841,IF(J841="v3.1",M841,IF(J841="Both",L841,IF(AND(L841&lt;&gt;"",M841=""),L841,M841))))</f>
        <v/>
      </c>
      <c r="Z841">
        <f>MIN(100,
(K841*5) +
(U841*10) +
IF(P841="Y",40,0) +
IF(Q841="P",30,0) +
IF(V841="Y",25,0) +
IF(W841="Y",20,0) +
IF(X841="Weaponized",15,IF(X841="PoC Available",10,IF(X841="Public Exploit",5,0))) +
IF(G841="Production",10,IF(G841="DMZ",8,IF(G841="DR/Backup",5,0))) +
IF(Y841="N",10,0)
)</f>
        <v/>
      </c>
      <c r="AA841">
        <f>IF(OR(P841="Y",AND(K841&gt;=9.0,W841="Y")),"P0",IF(Z841&gt;=80,"P0",IF(Z841&gt;=60,"P1",IF(Z841&gt;=40,"P2",IF(Z841&gt;=20,"P3","P4")))))</f>
        <v/>
      </c>
      <c r="AD841">
        <f>IF(AB841&lt;&gt;"",AB841,AA841)</f>
        <v/>
      </c>
      <c r="AE841">
        <f>VLOOKUP(AD841,SLA_Definitions!$A$2:$B$6,2,FALSE)</f>
        <v/>
      </c>
      <c r="AF841">
        <f>IF(B841&lt;&gt;"",WORKDAY(B841,AE841),"")</f>
        <v/>
      </c>
      <c r="AG841">
        <f>IF(AF841&lt;&gt;"",NETWORKDAYS(TODAY(),AF841),"")</f>
        <v/>
      </c>
      <c r="AH841">
        <f>IF(AJ841="Complete","Complete",IF(AG841&lt;0,"Overdue",IF(AG841&lt;=AE841*0.2,"At Risk","On Track")))</f>
        <v/>
      </c>
      <c r="AK841">
        <f>IF(OR(AH841="Overdue",AND(AD841="P0",AG841&lt;1),AND(AD841="P1",AG841&lt;3)),"Y","N")</f>
        <v/>
      </c>
    </row>
    <row r="842">
      <c r="K842">
        <f>IF(J842="v4.0",L842,IF(J842="v3.1",M842,IF(J842="Both",L842,IF(AND(L842&lt;&gt;"",M842=""),L842,M842))))</f>
        <v/>
      </c>
      <c r="Z842">
        <f>MIN(100,
(K842*5) +
(U842*10) +
IF(P842="Y",40,0) +
IF(Q842="P",30,0) +
IF(V842="Y",25,0) +
IF(W842="Y",20,0) +
IF(X842="Weaponized",15,IF(X842="PoC Available",10,IF(X842="Public Exploit",5,0))) +
IF(G842="Production",10,IF(G842="DMZ",8,IF(G842="DR/Backup",5,0))) +
IF(Y842="N",10,0)
)</f>
        <v/>
      </c>
      <c r="AA842">
        <f>IF(OR(P842="Y",AND(K842&gt;=9.0,W842="Y")),"P0",IF(Z842&gt;=80,"P0",IF(Z842&gt;=60,"P1",IF(Z842&gt;=40,"P2",IF(Z842&gt;=20,"P3","P4")))))</f>
        <v/>
      </c>
      <c r="AD842">
        <f>IF(AB842&lt;&gt;"",AB842,AA842)</f>
        <v/>
      </c>
      <c r="AE842">
        <f>VLOOKUP(AD842,SLA_Definitions!$A$2:$B$6,2,FALSE)</f>
        <v/>
      </c>
      <c r="AF842">
        <f>IF(B842&lt;&gt;"",WORKDAY(B842,AE842),"")</f>
        <v/>
      </c>
      <c r="AG842">
        <f>IF(AF842&lt;&gt;"",NETWORKDAYS(TODAY(),AF842),"")</f>
        <v/>
      </c>
      <c r="AH842">
        <f>IF(AJ842="Complete","Complete",IF(AG842&lt;0,"Overdue",IF(AG842&lt;=AE842*0.2,"At Risk","On Track")))</f>
        <v/>
      </c>
      <c r="AK842">
        <f>IF(OR(AH842="Overdue",AND(AD842="P0",AG842&lt;1),AND(AD842="P1",AG842&lt;3)),"Y","N")</f>
        <v/>
      </c>
    </row>
    <row r="843">
      <c r="K843">
        <f>IF(J843="v4.0",L843,IF(J843="v3.1",M843,IF(J843="Both",L843,IF(AND(L843&lt;&gt;"",M843=""),L843,M843))))</f>
        <v/>
      </c>
      <c r="Z843">
        <f>MIN(100,
(K843*5) +
(U843*10) +
IF(P843="Y",40,0) +
IF(Q843="P",30,0) +
IF(V843="Y",25,0) +
IF(W843="Y",20,0) +
IF(X843="Weaponized",15,IF(X843="PoC Available",10,IF(X843="Public Exploit",5,0))) +
IF(G843="Production",10,IF(G843="DMZ",8,IF(G843="DR/Backup",5,0))) +
IF(Y843="N",10,0)
)</f>
        <v/>
      </c>
      <c r="AA843">
        <f>IF(OR(P843="Y",AND(K843&gt;=9.0,W843="Y")),"P0",IF(Z843&gt;=80,"P0",IF(Z843&gt;=60,"P1",IF(Z843&gt;=40,"P2",IF(Z843&gt;=20,"P3","P4")))))</f>
        <v/>
      </c>
      <c r="AD843">
        <f>IF(AB843&lt;&gt;"",AB843,AA843)</f>
        <v/>
      </c>
      <c r="AE843">
        <f>VLOOKUP(AD843,SLA_Definitions!$A$2:$B$6,2,FALSE)</f>
        <v/>
      </c>
      <c r="AF843">
        <f>IF(B843&lt;&gt;"",WORKDAY(B843,AE843),"")</f>
        <v/>
      </c>
      <c r="AG843">
        <f>IF(AF843&lt;&gt;"",NETWORKDAYS(TODAY(),AF843),"")</f>
        <v/>
      </c>
      <c r="AH843">
        <f>IF(AJ843="Complete","Complete",IF(AG843&lt;0,"Overdue",IF(AG843&lt;=AE843*0.2,"At Risk","On Track")))</f>
        <v/>
      </c>
      <c r="AK843">
        <f>IF(OR(AH843="Overdue",AND(AD843="P0",AG843&lt;1),AND(AD843="P1",AG843&lt;3)),"Y","N")</f>
        <v/>
      </c>
    </row>
    <row r="844">
      <c r="K844">
        <f>IF(J844="v4.0",L844,IF(J844="v3.1",M844,IF(J844="Both",L844,IF(AND(L844&lt;&gt;"",M844=""),L844,M844))))</f>
        <v/>
      </c>
      <c r="Z844">
        <f>MIN(100,
(K844*5) +
(U844*10) +
IF(P844="Y",40,0) +
IF(Q844="P",30,0) +
IF(V844="Y",25,0) +
IF(W844="Y",20,0) +
IF(X844="Weaponized",15,IF(X844="PoC Available",10,IF(X844="Public Exploit",5,0))) +
IF(G844="Production",10,IF(G844="DMZ",8,IF(G844="DR/Backup",5,0))) +
IF(Y844="N",10,0)
)</f>
        <v/>
      </c>
      <c r="AA844">
        <f>IF(OR(P844="Y",AND(K844&gt;=9.0,W844="Y")),"P0",IF(Z844&gt;=80,"P0",IF(Z844&gt;=60,"P1",IF(Z844&gt;=40,"P2",IF(Z844&gt;=20,"P3","P4")))))</f>
        <v/>
      </c>
      <c r="AD844">
        <f>IF(AB844&lt;&gt;"",AB844,AA844)</f>
        <v/>
      </c>
      <c r="AE844">
        <f>VLOOKUP(AD844,SLA_Definitions!$A$2:$B$6,2,FALSE)</f>
        <v/>
      </c>
      <c r="AF844">
        <f>IF(B844&lt;&gt;"",WORKDAY(B844,AE844),"")</f>
        <v/>
      </c>
      <c r="AG844">
        <f>IF(AF844&lt;&gt;"",NETWORKDAYS(TODAY(),AF844),"")</f>
        <v/>
      </c>
      <c r="AH844">
        <f>IF(AJ844="Complete","Complete",IF(AG844&lt;0,"Overdue",IF(AG844&lt;=AE844*0.2,"At Risk","On Track")))</f>
        <v/>
      </c>
      <c r="AK844">
        <f>IF(OR(AH844="Overdue",AND(AD844="P0",AG844&lt;1),AND(AD844="P1",AG844&lt;3)),"Y","N")</f>
        <v/>
      </c>
    </row>
    <row r="845">
      <c r="K845">
        <f>IF(J845="v4.0",L845,IF(J845="v3.1",M845,IF(J845="Both",L845,IF(AND(L845&lt;&gt;"",M845=""),L845,M845))))</f>
        <v/>
      </c>
      <c r="Z845">
        <f>MIN(100,
(K845*5) +
(U845*10) +
IF(P845="Y",40,0) +
IF(Q845="P",30,0) +
IF(V845="Y",25,0) +
IF(W845="Y",20,0) +
IF(X845="Weaponized",15,IF(X845="PoC Available",10,IF(X845="Public Exploit",5,0))) +
IF(G845="Production",10,IF(G845="DMZ",8,IF(G845="DR/Backup",5,0))) +
IF(Y845="N",10,0)
)</f>
        <v/>
      </c>
      <c r="AA845">
        <f>IF(OR(P845="Y",AND(K845&gt;=9.0,W845="Y")),"P0",IF(Z845&gt;=80,"P0",IF(Z845&gt;=60,"P1",IF(Z845&gt;=40,"P2",IF(Z845&gt;=20,"P3","P4")))))</f>
        <v/>
      </c>
      <c r="AD845">
        <f>IF(AB845&lt;&gt;"",AB845,AA845)</f>
        <v/>
      </c>
      <c r="AE845">
        <f>VLOOKUP(AD845,SLA_Definitions!$A$2:$B$6,2,FALSE)</f>
        <v/>
      </c>
      <c r="AF845">
        <f>IF(B845&lt;&gt;"",WORKDAY(B845,AE845),"")</f>
        <v/>
      </c>
      <c r="AG845">
        <f>IF(AF845&lt;&gt;"",NETWORKDAYS(TODAY(),AF845),"")</f>
        <v/>
      </c>
      <c r="AH845">
        <f>IF(AJ845="Complete","Complete",IF(AG845&lt;0,"Overdue",IF(AG845&lt;=AE845*0.2,"At Risk","On Track")))</f>
        <v/>
      </c>
      <c r="AK845">
        <f>IF(OR(AH845="Overdue",AND(AD845="P0",AG845&lt;1),AND(AD845="P1",AG845&lt;3)),"Y","N")</f>
        <v/>
      </c>
    </row>
    <row r="846">
      <c r="K846">
        <f>IF(J846="v4.0",L846,IF(J846="v3.1",M846,IF(J846="Both",L846,IF(AND(L846&lt;&gt;"",M846=""),L846,M846))))</f>
        <v/>
      </c>
      <c r="Z846">
        <f>MIN(100,
(K846*5) +
(U846*10) +
IF(P846="Y",40,0) +
IF(Q846="P",30,0) +
IF(V846="Y",25,0) +
IF(W846="Y",20,0) +
IF(X846="Weaponized",15,IF(X846="PoC Available",10,IF(X846="Public Exploit",5,0))) +
IF(G846="Production",10,IF(G846="DMZ",8,IF(G846="DR/Backup",5,0))) +
IF(Y846="N",10,0)
)</f>
        <v/>
      </c>
      <c r="AA846">
        <f>IF(OR(P846="Y",AND(K846&gt;=9.0,W846="Y")),"P0",IF(Z846&gt;=80,"P0",IF(Z846&gt;=60,"P1",IF(Z846&gt;=40,"P2",IF(Z846&gt;=20,"P3","P4")))))</f>
        <v/>
      </c>
      <c r="AD846">
        <f>IF(AB846&lt;&gt;"",AB846,AA846)</f>
        <v/>
      </c>
      <c r="AE846">
        <f>VLOOKUP(AD846,SLA_Definitions!$A$2:$B$6,2,FALSE)</f>
        <v/>
      </c>
      <c r="AF846">
        <f>IF(B846&lt;&gt;"",WORKDAY(B846,AE846),"")</f>
        <v/>
      </c>
      <c r="AG846">
        <f>IF(AF846&lt;&gt;"",NETWORKDAYS(TODAY(),AF846),"")</f>
        <v/>
      </c>
      <c r="AH846">
        <f>IF(AJ846="Complete","Complete",IF(AG846&lt;0,"Overdue",IF(AG846&lt;=AE846*0.2,"At Risk","On Track")))</f>
        <v/>
      </c>
      <c r="AK846">
        <f>IF(OR(AH846="Overdue",AND(AD846="P0",AG846&lt;1),AND(AD846="P1",AG846&lt;3)),"Y","N")</f>
        <v/>
      </c>
    </row>
    <row r="847">
      <c r="K847">
        <f>IF(J847="v4.0",L847,IF(J847="v3.1",M847,IF(J847="Both",L847,IF(AND(L847&lt;&gt;"",M847=""),L847,M847))))</f>
        <v/>
      </c>
      <c r="Z847">
        <f>MIN(100,
(K847*5) +
(U847*10) +
IF(P847="Y",40,0) +
IF(Q847="P",30,0) +
IF(V847="Y",25,0) +
IF(W847="Y",20,0) +
IF(X847="Weaponized",15,IF(X847="PoC Available",10,IF(X847="Public Exploit",5,0))) +
IF(G847="Production",10,IF(G847="DMZ",8,IF(G847="DR/Backup",5,0))) +
IF(Y847="N",10,0)
)</f>
        <v/>
      </c>
      <c r="AA847">
        <f>IF(OR(P847="Y",AND(K847&gt;=9.0,W847="Y")),"P0",IF(Z847&gt;=80,"P0",IF(Z847&gt;=60,"P1",IF(Z847&gt;=40,"P2",IF(Z847&gt;=20,"P3","P4")))))</f>
        <v/>
      </c>
      <c r="AD847">
        <f>IF(AB847&lt;&gt;"",AB847,AA847)</f>
        <v/>
      </c>
      <c r="AE847">
        <f>VLOOKUP(AD847,SLA_Definitions!$A$2:$B$6,2,FALSE)</f>
        <v/>
      </c>
      <c r="AF847">
        <f>IF(B847&lt;&gt;"",WORKDAY(B847,AE847),"")</f>
        <v/>
      </c>
      <c r="AG847">
        <f>IF(AF847&lt;&gt;"",NETWORKDAYS(TODAY(),AF847),"")</f>
        <v/>
      </c>
      <c r="AH847">
        <f>IF(AJ847="Complete","Complete",IF(AG847&lt;0,"Overdue",IF(AG847&lt;=AE847*0.2,"At Risk","On Track")))</f>
        <v/>
      </c>
      <c r="AK847">
        <f>IF(OR(AH847="Overdue",AND(AD847="P0",AG847&lt;1),AND(AD847="P1",AG847&lt;3)),"Y","N")</f>
        <v/>
      </c>
    </row>
    <row r="848">
      <c r="K848">
        <f>IF(J848="v4.0",L848,IF(J848="v3.1",M848,IF(J848="Both",L848,IF(AND(L848&lt;&gt;"",M848=""),L848,M848))))</f>
        <v/>
      </c>
      <c r="Z848">
        <f>MIN(100,
(K848*5) +
(U848*10) +
IF(P848="Y",40,0) +
IF(Q848="P",30,0) +
IF(V848="Y",25,0) +
IF(W848="Y",20,0) +
IF(X848="Weaponized",15,IF(X848="PoC Available",10,IF(X848="Public Exploit",5,0))) +
IF(G848="Production",10,IF(G848="DMZ",8,IF(G848="DR/Backup",5,0))) +
IF(Y848="N",10,0)
)</f>
        <v/>
      </c>
      <c r="AA848">
        <f>IF(OR(P848="Y",AND(K848&gt;=9.0,W848="Y")),"P0",IF(Z848&gt;=80,"P0",IF(Z848&gt;=60,"P1",IF(Z848&gt;=40,"P2",IF(Z848&gt;=20,"P3","P4")))))</f>
        <v/>
      </c>
      <c r="AD848">
        <f>IF(AB848&lt;&gt;"",AB848,AA848)</f>
        <v/>
      </c>
      <c r="AE848">
        <f>VLOOKUP(AD848,SLA_Definitions!$A$2:$B$6,2,FALSE)</f>
        <v/>
      </c>
      <c r="AF848">
        <f>IF(B848&lt;&gt;"",WORKDAY(B848,AE848),"")</f>
        <v/>
      </c>
      <c r="AG848">
        <f>IF(AF848&lt;&gt;"",NETWORKDAYS(TODAY(),AF848),"")</f>
        <v/>
      </c>
      <c r="AH848">
        <f>IF(AJ848="Complete","Complete",IF(AG848&lt;0,"Overdue",IF(AG848&lt;=AE848*0.2,"At Risk","On Track")))</f>
        <v/>
      </c>
      <c r="AK848">
        <f>IF(OR(AH848="Overdue",AND(AD848="P0",AG848&lt;1),AND(AD848="P1",AG848&lt;3)),"Y","N")</f>
        <v/>
      </c>
    </row>
    <row r="849">
      <c r="K849">
        <f>IF(J849="v4.0",L849,IF(J849="v3.1",M849,IF(J849="Both",L849,IF(AND(L849&lt;&gt;"",M849=""),L849,M849))))</f>
        <v/>
      </c>
      <c r="Z849">
        <f>MIN(100,
(K849*5) +
(U849*10) +
IF(P849="Y",40,0) +
IF(Q849="P",30,0) +
IF(V849="Y",25,0) +
IF(W849="Y",20,0) +
IF(X849="Weaponized",15,IF(X849="PoC Available",10,IF(X849="Public Exploit",5,0))) +
IF(G849="Production",10,IF(G849="DMZ",8,IF(G849="DR/Backup",5,0))) +
IF(Y849="N",10,0)
)</f>
        <v/>
      </c>
      <c r="AA849">
        <f>IF(OR(P849="Y",AND(K849&gt;=9.0,W849="Y")),"P0",IF(Z849&gt;=80,"P0",IF(Z849&gt;=60,"P1",IF(Z849&gt;=40,"P2",IF(Z849&gt;=20,"P3","P4")))))</f>
        <v/>
      </c>
      <c r="AD849">
        <f>IF(AB849&lt;&gt;"",AB849,AA849)</f>
        <v/>
      </c>
      <c r="AE849">
        <f>VLOOKUP(AD849,SLA_Definitions!$A$2:$B$6,2,FALSE)</f>
        <v/>
      </c>
      <c r="AF849">
        <f>IF(B849&lt;&gt;"",WORKDAY(B849,AE849),"")</f>
        <v/>
      </c>
      <c r="AG849">
        <f>IF(AF849&lt;&gt;"",NETWORKDAYS(TODAY(),AF849),"")</f>
        <v/>
      </c>
      <c r="AH849">
        <f>IF(AJ849="Complete","Complete",IF(AG849&lt;0,"Overdue",IF(AG849&lt;=AE849*0.2,"At Risk","On Track")))</f>
        <v/>
      </c>
      <c r="AK849">
        <f>IF(OR(AH849="Overdue",AND(AD849="P0",AG849&lt;1),AND(AD849="P1",AG849&lt;3)),"Y","N")</f>
        <v/>
      </c>
    </row>
    <row r="850">
      <c r="K850">
        <f>IF(J850="v4.0",L850,IF(J850="v3.1",M850,IF(J850="Both",L850,IF(AND(L850&lt;&gt;"",M850=""),L850,M850))))</f>
        <v/>
      </c>
      <c r="Z850">
        <f>MIN(100,
(K850*5) +
(U850*10) +
IF(P850="Y",40,0) +
IF(Q850="P",30,0) +
IF(V850="Y",25,0) +
IF(W850="Y",20,0) +
IF(X850="Weaponized",15,IF(X850="PoC Available",10,IF(X850="Public Exploit",5,0))) +
IF(G850="Production",10,IF(G850="DMZ",8,IF(G850="DR/Backup",5,0))) +
IF(Y850="N",10,0)
)</f>
        <v/>
      </c>
      <c r="AA850">
        <f>IF(OR(P850="Y",AND(K850&gt;=9.0,W850="Y")),"P0",IF(Z850&gt;=80,"P0",IF(Z850&gt;=60,"P1",IF(Z850&gt;=40,"P2",IF(Z850&gt;=20,"P3","P4")))))</f>
        <v/>
      </c>
      <c r="AD850">
        <f>IF(AB850&lt;&gt;"",AB850,AA850)</f>
        <v/>
      </c>
      <c r="AE850">
        <f>VLOOKUP(AD850,SLA_Definitions!$A$2:$B$6,2,FALSE)</f>
        <v/>
      </c>
      <c r="AF850">
        <f>IF(B850&lt;&gt;"",WORKDAY(B850,AE850),"")</f>
        <v/>
      </c>
      <c r="AG850">
        <f>IF(AF850&lt;&gt;"",NETWORKDAYS(TODAY(),AF850),"")</f>
        <v/>
      </c>
      <c r="AH850">
        <f>IF(AJ850="Complete","Complete",IF(AG850&lt;0,"Overdue",IF(AG850&lt;=AE850*0.2,"At Risk","On Track")))</f>
        <v/>
      </c>
      <c r="AK850">
        <f>IF(OR(AH850="Overdue",AND(AD850="P0",AG850&lt;1),AND(AD850="P1",AG850&lt;3)),"Y","N")</f>
        <v/>
      </c>
    </row>
    <row r="851">
      <c r="K851">
        <f>IF(J851="v4.0",L851,IF(J851="v3.1",M851,IF(J851="Both",L851,IF(AND(L851&lt;&gt;"",M851=""),L851,M851))))</f>
        <v/>
      </c>
      <c r="Z851">
        <f>MIN(100,
(K851*5) +
(U851*10) +
IF(P851="Y",40,0) +
IF(Q851="P",30,0) +
IF(V851="Y",25,0) +
IF(W851="Y",20,0) +
IF(X851="Weaponized",15,IF(X851="PoC Available",10,IF(X851="Public Exploit",5,0))) +
IF(G851="Production",10,IF(G851="DMZ",8,IF(G851="DR/Backup",5,0))) +
IF(Y851="N",10,0)
)</f>
        <v/>
      </c>
      <c r="AA851">
        <f>IF(OR(P851="Y",AND(K851&gt;=9.0,W851="Y")),"P0",IF(Z851&gt;=80,"P0",IF(Z851&gt;=60,"P1",IF(Z851&gt;=40,"P2",IF(Z851&gt;=20,"P3","P4")))))</f>
        <v/>
      </c>
      <c r="AD851">
        <f>IF(AB851&lt;&gt;"",AB851,AA851)</f>
        <v/>
      </c>
      <c r="AE851">
        <f>VLOOKUP(AD851,SLA_Definitions!$A$2:$B$6,2,FALSE)</f>
        <v/>
      </c>
      <c r="AF851">
        <f>IF(B851&lt;&gt;"",WORKDAY(B851,AE851),"")</f>
        <v/>
      </c>
      <c r="AG851">
        <f>IF(AF851&lt;&gt;"",NETWORKDAYS(TODAY(),AF851),"")</f>
        <v/>
      </c>
      <c r="AH851">
        <f>IF(AJ851="Complete","Complete",IF(AG851&lt;0,"Overdue",IF(AG851&lt;=AE851*0.2,"At Risk","On Track")))</f>
        <v/>
      </c>
      <c r="AK851">
        <f>IF(OR(AH851="Overdue",AND(AD851="P0",AG851&lt;1),AND(AD851="P1",AG851&lt;3)),"Y","N")</f>
        <v/>
      </c>
    </row>
    <row r="852">
      <c r="K852">
        <f>IF(J852="v4.0",L852,IF(J852="v3.1",M852,IF(J852="Both",L852,IF(AND(L852&lt;&gt;"",M852=""),L852,M852))))</f>
        <v/>
      </c>
      <c r="Z852">
        <f>MIN(100,
(K852*5) +
(U852*10) +
IF(P852="Y",40,0) +
IF(Q852="P",30,0) +
IF(V852="Y",25,0) +
IF(W852="Y",20,0) +
IF(X852="Weaponized",15,IF(X852="PoC Available",10,IF(X852="Public Exploit",5,0))) +
IF(G852="Production",10,IF(G852="DMZ",8,IF(G852="DR/Backup",5,0))) +
IF(Y852="N",10,0)
)</f>
        <v/>
      </c>
      <c r="AA852">
        <f>IF(OR(P852="Y",AND(K852&gt;=9.0,W852="Y")),"P0",IF(Z852&gt;=80,"P0",IF(Z852&gt;=60,"P1",IF(Z852&gt;=40,"P2",IF(Z852&gt;=20,"P3","P4")))))</f>
        <v/>
      </c>
      <c r="AD852">
        <f>IF(AB852&lt;&gt;"",AB852,AA852)</f>
        <v/>
      </c>
      <c r="AE852">
        <f>VLOOKUP(AD852,SLA_Definitions!$A$2:$B$6,2,FALSE)</f>
        <v/>
      </c>
      <c r="AF852">
        <f>IF(B852&lt;&gt;"",WORKDAY(B852,AE852),"")</f>
        <v/>
      </c>
      <c r="AG852">
        <f>IF(AF852&lt;&gt;"",NETWORKDAYS(TODAY(),AF852),"")</f>
        <v/>
      </c>
      <c r="AH852">
        <f>IF(AJ852="Complete","Complete",IF(AG852&lt;0,"Overdue",IF(AG852&lt;=AE852*0.2,"At Risk","On Track")))</f>
        <v/>
      </c>
      <c r="AK852">
        <f>IF(OR(AH852="Overdue",AND(AD852="P0",AG852&lt;1),AND(AD852="P1",AG852&lt;3)),"Y","N")</f>
        <v/>
      </c>
    </row>
    <row r="853">
      <c r="K853">
        <f>IF(J853="v4.0",L853,IF(J853="v3.1",M853,IF(J853="Both",L853,IF(AND(L853&lt;&gt;"",M853=""),L853,M853))))</f>
        <v/>
      </c>
      <c r="Z853">
        <f>MIN(100,
(K853*5) +
(U853*10) +
IF(P853="Y",40,0) +
IF(Q853="P",30,0) +
IF(V853="Y",25,0) +
IF(W853="Y",20,0) +
IF(X853="Weaponized",15,IF(X853="PoC Available",10,IF(X853="Public Exploit",5,0))) +
IF(G853="Production",10,IF(G853="DMZ",8,IF(G853="DR/Backup",5,0))) +
IF(Y853="N",10,0)
)</f>
        <v/>
      </c>
      <c r="AA853">
        <f>IF(OR(P853="Y",AND(K853&gt;=9.0,W853="Y")),"P0",IF(Z853&gt;=80,"P0",IF(Z853&gt;=60,"P1",IF(Z853&gt;=40,"P2",IF(Z853&gt;=20,"P3","P4")))))</f>
        <v/>
      </c>
      <c r="AD853">
        <f>IF(AB853&lt;&gt;"",AB853,AA853)</f>
        <v/>
      </c>
      <c r="AE853">
        <f>VLOOKUP(AD853,SLA_Definitions!$A$2:$B$6,2,FALSE)</f>
        <v/>
      </c>
      <c r="AF853">
        <f>IF(B853&lt;&gt;"",WORKDAY(B853,AE853),"")</f>
        <v/>
      </c>
      <c r="AG853">
        <f>IF(AF853&lt;&gt;"",NETWORKDAYS(TODAY(),AF853),"")</f>
        <v/>
      </c>
      <c r="AH853">
        <f>IF(AJ853="Complete","Complete",IF(AG853&lt;0,"Overdue",IF(AG853&lt;=AE853*0.2,"At Risk","On Track")))</f>
        <v/>
      </c>
      <c r="AK853">
        <f>IF(OR(AH853="Overdue",AND(AD853="P0",AG853&lt;1),AND(AD853="P1",AG853&lt;3)),"Y","N")</f>
        <v/>
      </c>
    </row>
    <row r="854">
      <c r="K854">
        <f>IF(J854="v4.0",L854,IF(J854="v3.1",M854,IF(J854="Both",L854,IF(AND(L854&lt;&gt;"",M854=""),L854,M854))))</f>
        <v/>
      </c>
      <c r="Z854">
        <f>MIN(100,
(K854*5) +
(U854*10) +
IF(P854="Y",40,0) +
IF(Q854="P",30,0) +
IF(V854="Y",25,0) +
IF(W854="Y",20,0) +
IF(X854="Weaponized",15,IF(X854="PoC Available",10,IF(X854="Public Exploit",5,0))) +
IF(G854="Production",10,IF(G854="DMZ",8,IF(G854="DR/Backup",5,0))) +
IF(Y854="N",10,0)
)</f>
        <v/>
      </c>
      <c r="AA854">
        <f>IF(OR(P854="Y",AND(K854&gt;=9.0,W854="Y")),"P0",IF(Z854&gt;=80,"P0",IF(Z854&gt;=60,"P1",IF(Z854&gt;=40,"P2",IF(Z854&gt;=20,"P3","P4")))))</f>
        <v/>
      </c>
      <c r="AD854">
        <f>IF(AB854&lt;&gt;"",AB854,AA854)</f>
        <v/>
      </c>
      <c r="AE854">
        <f>VLOOKUP(AD854,SLA_Definitions!$A$2:$B$6,2,FALSE)</f>
        <v/>
      </c>
      <c r="AF854">
        <f>IF(B854&lt;&gt;"",WORKDAY(B854,AE854),"")</f>
        <v/>
      </c>
      <c r="AG854">
        <f>IF(AF854&lt;&gt;"",NETWORKDAYS(TODAY(),AF854),"")</f>
        <v/>
      </c>
      <c r="AH854">
        <f>IF(AJ854="Complete","Complete",IF(AG854&lt;0,"Overdue",IF(AG854&lt;=AE854*0.2,"At Risk","On Track")))</f>
        <v/>
      </c>
      <c r="AK854">
        <f>IF(OR(AH854="Overdue",AND(AD854="P0",AG854&lt;1),AND(AD854="P1",AG854&lt;3)),"Y","N")</f>
        <v/>
      </c>
    </row>
    <row r="855">
      <c r="K855">
        <f>IF(J855="v4.0",L855,IF(J855="v3.1",M855,IF(J855="Both",L855,IF(AND(L855&lt;&gt;"",M855=""),L855,M855))))</f>
        <v/>
      </c>
      <c r="Z855">
        <f>MIN(100,
(K855*5) +
(U855*10) +
IF(P855="Y",40,0) +
IF(Q855="P",30,0) +
IF(V855="Y",25,0) +
IF(W855="Y",20,0) +
IF(X855="Weaponized",15,IF(X855="PoC Available",10,IF(X855="Public Exploit",5,0))) +
IF(G855="Production",10,IF(G855="DMZ",8,IF(G855="DR/Backup",5,0))) +
IF(Y855="N",10,0)
)</f>
        <v/>
      </c>
      <c r="AA855">
        <f>IF(OR(P855="Y",AND(K855&gt;=9.0,W855="Y")),"P0",IF(Z855&gt;=80,"P0",IF(Z855&gt;=60,"P1",IF(Z855&gt;=40,"P2",IF(Z855&gt;=20,"P3","P4")))))</f>
        <v/>
      </c>
      <c r="AD855">
        <f>IF(AB855&lt;&gt;"",AB855,AA855)</f>
        <v/>
      </c>
      <c r="AE855">
        <f>VLOOKUP(AD855,SLA_Definitions!$A$2:$B$6,2,FALSE)</f>
        <v/>
      </c>
      <c r="AF855">
        <f>IF(B855&lt;&gt;"",WORKDAY(B855,AE855),"")</f>
        <v/>
      </c>
      <c r="AG855">
        <f>IF(AF855&lt;&gt;"",NETWORKDAYS(TODAY(),AF855),"")</f>
        <v/>
      </c>
      <c r="AH855">
        <f>IF(AJ855="Complete","Complete",IF(AG855&lt;0,"Overdue",IF(AG855&lt;=AE855*0.2,"At Risk","On Track")))</f>
        <v/>
      </c>
      <c r="AK855">
        <f>IF(OR(AH855="Overdue",AND(AD855="P0",AG855&lt;1),AND(AD855="P1",AG855&lt;3)),"Y","N")</f>
        <v/>
      </c>
    </row>
    <row r="856">
      <c r="K856">
        <f>IF(J856="v4.0",L856,IF(J856="v3.1",M856,IF(J856="Both",L856,IF(AND(L856&lt;&gt;"",M856=""),L856,M856))))</f>
        <v/>
      </c>
      <c r="Z856">
        <f>MIN(100,
(K856*5) +
(U856*10) +
IF(P856="Y",40,0) +
IF(Q856="P",30,0) +
IF(V856="Y",25,0) +
IF(W856="Y",20,0) +
IF(X856="Weaponized",15,IF(X856="PoC Available",10,IF(X856="Public Exploit",5,0))) +
IF(G856="Production",10,IF(G856="DMZ",8,IF(G856="DR/Backup",5,0))) +
IF(Y856="N",10,0)
)</f>
        <v/>
      </c>
      <c r="AA856">
        <f>IF(OR(P856="Y",AND(K856&gt;=9.0,W856="Y")),"P0",IF(Z856&gt;=80,"P0",IF(Z856&gt;=60,"P1",IF(Z856&gt;=40,"P2",IF(Z856&gt;=20,"P3","P4")))))</f>
        <v/>
      </c>
      <c r="AD856">
        <f>IF(AB856&lt;&gt;"",AB856,AA856)</f>
        <v/>
      </c>
      <c r="AE856">
        <f>VLOOKUP(AD856,SLA_Definitions!$A$2:$B$6,2,FALSE)</f>
        <v/>
      </c>
      <c r="AF856">
        <f>IF(B856&lt;&gt;"",WORKDAY(B856,AE856),"")</f>
        <v/>
      </c>
      <c r="AG856">
        <f>IF(AF856&lt;&gt;"",NETWORKDAYS(TODAY(),AF856),"")</f>
        <v/>
      </c>
      <c r="AH856">
        <f>IF(AJ856="Complete","Complete",IF(AG856&lt;0,"Overdue",IF(AG856&lt;=AE856*0.2,"At Risk","On Track")))</f>
        <v/>
      </c>
      <c r="AK856">
        <f>IF(OR(AH856="Overdue",AND(AD856="P0",AG856&lt;1),AND(AD856="P1",AG856&lt;3)),"Y","N")</f>
        <v/>
      </c>
    </row>
    <row r="857">
      <c r="K857">
        <f>IF(J857="v4.0",L857,IF(J857="v3.1",M857,IF(J857="Both",L857,IF(AND(L857&lt;&gt;"",M857=""),L857,M857))))</f>
        <v/>
      </c>
      <c r="Z857">
        <f>MIN(100,
(K857*5) +
(U857*10) +
IF(P857="Y",40,0) +
IF(Q857="P",30,0) +
IF(V857="Y",25,0) +
IF(W857="Y",20,0) +
IF(X857="Weaponized",15,IF(X857="PoC Available",10,IF(X857="Public Exploit",5,0))) +
IF(G857="Production",10,IF(G857="DMZ",8,IF(G857="DR/Backup",5,0))) +
IF(Y857="N",10,0)
)</f>
        <v/>
      </c>
      <c r="AA857">
        <f>IF(OR(P857="Y",AND(K857&gt;=9.0,W857="Y")),"P0",IF(Z857&gt;=80,"P0",IF(Z857&gt;=60,"P1",IF(Z857&gt;=40,"P2",IF(Z857&gt;=20,"P3","P4")))))</f>
        <v/>
      </c>
      <c r="AD857">
        <f>IF(AB857&lt;&gt;"",AB857,AA857)</f>
        <v/>
      </c>
      <c r="AE857">
        <f>VLOOKUP(AD857,SLA_Definitions!$A$2:$B$6,2,FALSE)</f>
        <v/>
      </c>
      <c r="AF857">
        <f>IF(B857&lt;&gt;"",WORKDAY(B857,AE857),"")</f>
        <v/>
      </c>
      <c r="AG857">
        <f>IF(AF857&lt;&gt;"",NETWORKDAYS(TODAY(),AF857),"")</f>
        <v/>
      </c>
      <c r="AH857">
        <f>IF(AJ857="Complete","Complete",IF(AG857&lt;0,"Overdue",IF(AG857&lt;=AE857*0.2,"At Risk","On Track")))</f>
        <v/>
      </c>
      <c r="AK857">
        <f>IF(OR(AH857="Overdue",AND(AD857="P0",AG857&lt;1),AND(AD857="P1",AG857&lt;3)),"Y","N")</f>
        <v/>
      </c>
    </row>
    <row r="858">
      <c r="K858">
        <f>IF(J858="v4.0",L858,IF(J858="v3.1",M858,IF(J858="Both",L858,IF(AND(L858&lt;&gt;"",M858=""),L858,M858))))</f>
        <v/>
      </c>
      <c r="Z858">
        <f>MIN(100,
(K858*5) +
(U858*10) +
IF(P858="Y",40,0) +
IF(Q858="P",30,0) +
IF(V858="Y",25,0) +
IF(W858="Y",20,0) +
IF(X858="Weaponized",15,IF(X858="PoC Available",10,IF(X858="Public Exploit",5,0))) +
IF(G858="Production",10,IF(G858="DMZ",8,IF(G858="DR/Backup",5,0))) +
IF(Y858="N",10,0)
)</f>
        <v/>
      </c>
      <c r="AA858">
        <f>IF(OR(P858="Y",AND(K858&gt;=9.0,W858="Y")),"P0",IF(Z858&gt;=80,"P0",IF(Z858&gt;=60,"P1",IF(Z858&gt;=40,"P2",IF(Z858&gt;=20,"P3","P4")))))</f>
        <v/>
      </c>
      <c r="AD858">
        <f>IF(AB858&lt;&gt;"",AB858,AA858)</f>
        <v/>
      </c>
      <c r="AE858">
        <f>VLOOKUP(AD858,SLA_Definitions!$A$2:$B$6,2,FALSE)</f>
        <v/>
      </c>
      <c r="AF858">
        <f>IF(B858&lt;&gt;"",WORKDAY(B858,AE858),"")</f>
        <v/>
      </c>
      <c r="AG858">
        <f>IF(AF858&lt;&gt;"",NETWORKDAYS(TODAY(),AF858),"")</f>
        <v/>
      </c>
      <c r="AH858">
        <f>IF(AJ858="Complete","Complete",IF(AG858&lt;0,"Overdue",IF(AG858&lt;=AE858*0.2,"At Risk","On Track")))</f>
        <v/>
      </c>
      <c r="AK858">
        <f>IF(OR(AH858="Overdue",AND(AD858="P0",AG858&lt;1),AND(AD858="P1",AG858&lt;3)),"Y","N")</f>
        <v/>
      </c>
    </row>
    <row r="859">
      <c r="K859">
        <f>IF(J859="v4.0",L859,IF(J859="v3.1",M859,IF(J859="Both",L859,IF(AND(L859&lt;&gt;"",M859=""),L859,M859))))</f>
        <v/>
      </c>
      <c r="Z859">
        <f>MIN(100,
(K859*5) +
(U859*10) +
IF(P859="Y",40,0) +
IF(Q859="P",30,0) +
IF(V859="Y",25,0) +
IF(W859="Y",20,0) +
IF(X859="Weaponized",15,IF(X859="PoC Available",10,IF(X859="Public Exploit",5,0))) +
IF(G859="Production",10,IF(G859="DMZ",8,IF(G859="DR/Backup",5,0))) +
IF(Y859="N",10,0)
)</f>
        <v/>
      </c>
      <c r="AA859">
        <f>IF(OR(P859="Y",AND(K859&gt;=9.0,W859="Y")),"P0",IF(Z859&gt;=80,"P0",IF(Z859&gt;=60,"P1",IF(Z859&gt;=40,"P2",IF(Z859&gt;=20,"P3","P4")))))</f>
        <v/>
      </c>
      <c r="AD859">
        <f>IF(AB859&lt;&gt;"",AB859,AA859)</f>
        <v/>
      </c>
      <c r="AE859">
        <f>VLOOKUP(AD859,SLA_Definitions!$A$2:$B$6,2,FALSE)</f>
        <v/>
      </c>
      <c r="AF859">
        <f>IF(B859&lt;&gt;"",WORKDAY(B859,AE859),"")</f>
        <v/>
      </c>
      <c r="AG859">
        <f>IF(AF859&lt;&gt;"",NETWORKDAYS(TODAY(),AF859),"")</f>
        <v/>
      </c>
      <c r="AH859">
        <f>IF(AJ859="Complete","Complete",IF(AG859&lt;0,"Overdue",IF(AG859&lt;=AE859*0.2,"At Risk","On Track")))</f>
        <v/>
      </c>
      <c r="AK859">
        <f>IF(OR(AH859="Overdue",AND(AD859="P0",AG859&lt;1),AND(AD859="P1",AG859&lt;3)),"Y","N")</f>
        <v/>
      </c>
    </row>
    <row r="860">
      <c r="K860">
        <f>IF(J860="v4.0",L860,IF(J860="v3.1",M860,IF(J860="Both",L860,IF(AND(L860&lt;&gt;"",M860=""),L860,M860))))</f>
        <v/>
      </c>
      <c r="Z860">
        <f>MIN(100,
(K860*5) +
(U860*10) +
IF(P860="Y",40,0) +
IF(Q860="P",30,0) +
IF(V860="Y",25,0) +
IF(W860="Y",20,0) +
IF(X860="Weaponized",15,IF(X860="PoC Available",10,IF(X860="Public Exploit",5,0))) +
IF(G860="Production",10,IF(G860="DMZ",8,IF(G860="DR/Backup",5,0))) +
IF(Y860="N",10,0)
)</f>
        <v/>
      </c>
      <c r="AA860">
        <f>IF(OR(P860="Y",AND(K860&gt;=9.0,W860="Y")),"P0",IF(Z860&gt;=80,"P0",IF(Z860&gt;=60,"P1",IF(Z860&gt;=40,"P2",IF(Z860&gt;=20,"P3","P4")))))</f>
        <v/>
      </c>
      <c r="AD860">
        <f>IF(AB860&lt;&gt;"",AB860,AA860)</f>
        <v/>
      </c>
      <c r="AE860">
        <f>VLOOKUP(AD860,SLA_Definitions!$A$2:$B$6,2,FALSE)</f>
        <v/>
      </c>
      <c r="AF860">
        <f>IF(B860&lt;&gt;"",WORKDAY(B860,AE860),"")</f>
        <v/>
      </c>
      <c r="AG860">
        <f>IF(AF860&lt;&gt;"",NETWORKDAYS(TODAY(),AF860),"")</f>
        <v/>
      </c>
      <c r="AH860">
        <f>IF(AJ860="Complete","Complete",IF(AG860&lt;0,"Overdue",IF(AG860&lt;=AE860*0.2,"At Risk","On Track")))</f>
        <v/>
      </c>
      <c r="AK860">
        <f>IF(OR(AH860="Overdue",AND(AD860="P0",AG860&lt;1),AND(AD860="P1",AG860&lt;3)),"Y","N")</f>
        <v/>
      </c>
    </row>
    <row r="861">
      <c r="K861">
        <f>IF(J861="v4.0",L861,IF(J861="v3.1",M861,IF(J861="Both",L861,IF(AND(L861&lt;&gt;"",M861=""),L861,M861))))</f>
        <v/>
      </c>
      <c r="Z861">
        <f>MIN(100,
(K861*5) +
(U861*10) +
IF(P861="Y",40,0) +
IF(Q861="P",30,0) +
IF(V861="Y",25,0) +
IF(W861="Y",20,0) +
IF(X861="Weaponized",15,IF(X861="PoC Available",10,IF(X861="Public Exploit",5,0))) +
IF(G861="Production",10,IF(G861="DMZ",8,IF(G861="DR/Backup",5,0))) +
IF(Y861="N",10,0)
)</f>
        <v/>
      </c>
      <c r="AA861">
        <f>IF(OR(P861="Y",AND(K861&gt;=9.0,W861="Y")),"P0",IF(Z861&gt;=80,"P0",IF(Z861&gt;=60,"P1",IF(Z861&gt;=40,"P2",IF(Z861&gt;=20,"P3","P4")))))</f>
        <v/>
      </c>
      <c r="AD861">
        <f>IF(AB861&lt;&gt;"",AB861,AA861)</f>
        <v/>
      </c>
      <c r="AE861">
        <f>VLOOKUP(AD861,SLA_Definitions!$A$2:$B$6,2,FALSE)</f>
        <v/>
      </c>
      <c r="AF861">
        <f>IF(B861&lt;&gt;"",WORKDAY(B861,AE861),"")</f>
        <v/>
      </c>
      <c r="AG861">
        <f>IF(AF861&lt;&gt;"",NETWORKDAYS(TODAY(),AF861),"")</f>
        <v/>
      </c>
      <c r="AH861">
        <f>IF(AJ861="Complete","Complete",IF(AG861&lt;0,"Overdue",IF(AG861&lt;=AE861*0.2,"At Risk","On Track")))</f>
        <v/>
      </c>
      <c r="AK861">
        <f>IF(OR(AH861="Overdue",AND(AD861="P0",AG861&lt;1),AND(AD861="P1",AG861&lt;3)),"Y","N")</f>
        <v/>
      </c>
    </row>
    <row r="862">
      <c r="K862">
        <f>IF(J862="v4.0",L862,IF(J862="v3.1",M862,IF(J862="Both",L862,IF(AND(L862&lt;&gt;"",M862=""),L862,M862))))</f>
        <v/>
      </c>
      <c r="Z862">
        <f>MIN(100,
(K862*5) +
(U862*10) +
IF(P862="Y",40,0) +
IF(Q862="P",30,0) +
IF(V862="Y",25,0) +
IF(W862="Y",20,0) +
IF(X862="Weaponized",15,IF(X862="PoC Available",10,IF(X862="Public Exploit",5,0))) +
IF(G862="Production",10,IF(G862="DMZ",8,IF(G862="DR/Backup",5,0))) +
IF(Y862="N",10,0)
)</f>
        <v/>
      </c>
      <c r="AA862">
        <f>IF(OR(P862="Y",AND(K862&gt;=9.0,W862="Y")),"P0",IF(Z862&gt;=80,"P0",IF(Z862&gt;=60,"P1",IF(Z862&gt;=40,"P2",IF(Z862&gt;=20,"P3","P4")))))</f>
        <v/>
      </c>
      <c r="AD862">
        <f>IF(AB862&lt;&gt;"",AB862,AA862)</f>
        <v/>
      </c>
      <c r="AE862">
        <f>VLOOKUP(AD862,SLA_Definitions!$A$2:$B$6,2,FALSE)</f>
        <v/>
      </c>
      <c r="AF862">
        <f>IF(B862&lt;&gt;"",WORKDAY(B862,AE862),"")</f>
        <v/>
      </c>
      <c r="AG862">
        <f>IF(AF862&lt;&gt;"",NETWORKDAYS(TODAY(),AF862),"")</f>
        <v/>
      </c>
      <c r="AH862">
        <f>IF(AJ862="Complete","Complete",IF(AG862&lt;0,"Overdue",IF(AG862&lt;=AE862*0.2,"At Risk","On Track")))</f>
        <v/>
      </c>
      <c r="AK862">
        <f>IF(OR(AH862="Overdue",AND(AD862="P0",AG862&lt;1),AND(AD862="P1",AG862&lt;3)),"Y","N")</f>
        <v/>
      </c>
    </row>
    <row r="863">
      <c r="K863">
        <f>IF(J863="v4.0",L863,IF(J863="v3.1",M863,IF(J863="Both",L863,IF(AND(L863&lt;&gt;"",M863=""),L863,M863))))</f>
        <v/>
      </c>
      <c r="Z863">
        <f>MIN(100,
(K863*5) +
(U863*10) +
IF(P863="Y",40,0) +
IF(Q863="P",30,0) +
IF(V863="Y",25,0) +
IF(W863="Y",20,0) +
IF(X863="Weaponized",15,IF(X863="PoC Available",10,IF(X863="Public Exploit",5,0))) +
IF(G863="Production",10,IF(G863="DMZ",8,IF(G863="DR/Backup",5,0))) +
IF(Y863="N",10,0)
)</f>
        <v/>
      </c>
      <c r="AA863">
        <f>IF(OR(P863="Y",AND(K863&gt;=9.0,W863="Y")),"P0",IF(Z863&gt;=80,"P0",IF(Z863&gt;=60,"P1",IF(Z863&gt;=40,"P2",IF(Z863&gt;=20,"P3","P4")))))</f>
        <v/>
      </c>
      <c r="AD863">
        <f>IF(AB863&lt;&gt;"",AB863,AA863)</f>
        <v/>
      </c>
      <c r="AE863">
        <f>VLOOKUP(AD863,SLA_Definitions!$A$2:$B$6,2,FALSE)</f>
        <v/>
      </c>
      <c r="AF863">
        <f>IF(B863&lt;&gt;"",WORKDAY(B863,AE863),"")</f>
        <v/>
      </c>
      <c r="AG863">
        <f>IF(AF863&lt;&gt;"",NETWORKDAYS(TODAY(),AF863),"")</f>
        <v/>
      </c>
      <c r="AH863">
        <f>IF(AJ863="Complete","Complete",IF(AG863&lt;0,"Overdue",IF(AG863&lt;=AE863*0.2,"At Risk","On Track")))</f>
        <v/>
      </c>
      <c r="AK863">
        <f>IF(OR(AH863="Overdue",AND(AD863="P0",AG863&lt;1),AND(AD863="P1",AG863&lt;3)),"Y","N")</f>
        <v/>
      </c>
    </row>
    <row r="864">
      <c r="K864">
        <f>IF(J864="v4.0",L864,IF(J864="v3.1",M864,IF(J864="Both",L864,IF(AND(L864&lt;&gt;"",M864=""),L864,M864))))</f>
        <v/>
      </c>
      <c r="Z864">
        <f>MIN(100,
(K864*5) +
(U864*10) +
IF(P864="Y",40,0) +
IF(Q864="P",30,0) +
IF(V864="Y",25,0) +
IF(W864="Y",20,0) +
IF(X864="Weaponized",15,IF(X864="PoC Available",10,IF(X864="Public Exploit",5,0))) +
IF(G864="Production",10,IF(G864="DMZ",8,IF(G864="DR/Backup",5,0))) +
IF(Y864="N",10,0)
)</f>
        <v/>
      </c>
      <c r="AA864">
        <f>IF(OR(P864="Y",AND(K864&gt;=9.0,W864="Y")),"P0",IF(Z864&gt;=80,"P0",IF(Z864&gt;=60,"P1",IF(Z864&gt;=40,"P2",IF(Z864&gt;=20,"P3","P4")))))</f>
        <v/>
      </c>
      <c r="AD864">
        <f>IF(AB864&lt;&gt;"",AB864,AA864)</f>
        <v/>
      </c>
      <c r="AE864">
        <f>VLOOKUP(AD864,SLA_Definitions!$A$2:$B$6,2,FALSE)</f>
        <v/>
      </c>
      <c r="AF864">
        <f>IF(B864&lt;&gt;"",WORKDAY(B864,AE864),"")</f>
        <v/>
      </c>
      <c r="AG864">
        <f>IF(AF864&lt;&gt;"",NETWORKDAYS(TODAY(),AF864),"")</f>
        <v/>
      </c>
      <c r="AH864">
        <f>IF(AJ864="Complete","Complete",IF(AG864&lt;0,"Overdue",IF(AG864&lt;=AE864*0.2,"At Risk","On Track")))</f>
        <v/>
      </c>
      <c r="AK864">
        <f>IF(OR(AH864="Overdue",AND(AD864="P0",AG864&lt;1),AND(AD864="P1",AG864&lt;3)),"Y","N")</f>
        <v/>
      </c>
    </row>
    <row r="865">
      <c r="K865">
        <f>IF(J865="v4.0",L865,IF(J865="v3.1",M865,IF(J865="Both",L865,IF(AND(L865&lt;&gt;"",M865=""),L865,M865))))</f>
        <v/>
      </c>
      <c r="Z865">
        <f>MIN(100,
(K865*5) +
(U865*10) +
IF(P865="Y",40,0) +
IF(Q865="P",30,0) +
IF(V865="Y",25,0) +
IF(W865="Y",20,0) +
IF(X865="Weaponized",15,IF(X865="PoC Available",10,IF(X865="Public Exploit",5,0))) +
IF(G865="Production",10,IF(G865="DMZ",8,IF(G865="DR/Backup",5,0))) +
IF(Y865="N",10,0)
)</f>
        <v/>
      </c>
      <c r="AA865">
        <f>IF(OR(P865="Y",AND(K865&gt;=9.0,W865="Y")),"P0",IF(Z865&gt;=80,"P0",IF(Z865&gt;=60,"P1",IF(Z865&gt;=40,"P2",IF(Z865&gt;=20,"P3","P4")))))</f>
        <v/>
      </c>
      <c r="AD865">
        <f>IF(AB865&lt;&gt;"",AB865,AA865)</f>
        <v/>
      </c>
      <c r="AE865">
        <f>VLOOKUP(AD865,SLA_Definitions!$A$2:$B$6,2,FALSE)</f>
        <v/>
      </c>
      <c r="AF865">
        <f>IF(B865&lt;&gt;"",WORKDAY(B865,AE865),"")</f>
        <v/>
      </c>
      <c r="AG865">
        <f>IF(AF865&lt;&gt;"",NETWORKDAYS(TODAY(),AF865),"")</f>
        <v/>
      </c>
      <c r="AH865">
        <f>IF(AJ865="Complete","Complete",IF(AG865&lt;0,"Overdue",IF(AG865&lt;=AE865*0.2,"At Risk","On Track")))</f>
        <v/>
      </c>
      <c r="AK865">
        <f>IF(OR(AH865="Overdue",AND(AD865="P0",AG865&lt;1),AND(AD865="P1",AG865&lt;3)),"Y","N")</f>
        <v/>
      </c>
    </row>
    <row r="866">
      <c r="K866">
        <f>IF(J866="v4.0",L866,IF(J866="v3.1",M866,IF(J866="Both",L866,IF(AND(L866&lt;&gt;"",M866=""),L866,M866))))</f>
        <v/>
      </c>
      <c r="Z866">
        <f>MIN(100,
(K866*5) +
(U866*10) +
IF(P866="Y",40,0) +
IF(Q866="P",30,0) +
IF(V866="Y",25,0) +
IF(W866="Y",20,0) +
IF(X866="Weaponized",15,IF(X866="PoC Available",10,IF(X866="Public Exploit",5,0))) +
IF(G866="Production",10,IF(G866="DMZ",8,IF(G866="DR/Backup",5,0))) +
IF(Y866="N",10,0)
)</f>
        <v/>
      </c>
      <c r="AA866">
        <f>IF(OR(P866="Y",AND(K866&gt;=9.0,W866="Y")),"P0",IF(Z866&gt;=80,"P0",IF(Z866&gt;=60,"P1",IF(Z866&gt;=40,"P2",IF(Z866&gt;=20,"P3","P4")))))</f>
        <v/>
      </c>
      <c r="AD866">
        <f>IF(AB866&lt;&gt;"",AB866,AA866)</f>
        <v/>
      </c>
      <c r="AE866">
        <f>VLOOKUP(AD866,SLA_Definitions!$A$2:$B$6,2,FALSE)</f>
        <v/>
      </c>
      <c r="AF866">
        <f>IF(B866&lt;&gt;"",WORKDAY(B866,AE866),"")</f>
        <v/>
      </c>
      <c r="AG866">
        <f>IF(AF866&lt;&gt;"",NETWORKDAYS(TODAY(),AF866),"")</f>
        <v/>
      </c>
      <c r="AH866">
        <f>IF(AJ866="Complete","Complete",IF(AG866&lt;0,"Overdue",IF(AG866&lt;=AE866*0.2,"At Risk","On Track")))</f>
        <v/>
      </c>
      <c r="AK866">
        <f>IF(OR(AH866="Overdue",AND(AD866="P0",AG866&lt;1),AND(AD866="P1",AG866&lt;3)),"Y","N")</f>
        <v/>
      </c>
    </row>
    <row r="867">
      <c r="K867">
        <f>IF(J867="v4.0",L867,IF(J867="v3.1",M867,IF(J867="Both",L867,IF(AND(L867&lt;&gt;"",M867=""),L867,M867))))</f>
        <v/>
      </c>
      <c r="Z867">
        <f>MIN(100,
(K867*5) +
(U867*10) +
IF(P867="Y",40,0) +
IF(Q867="P",30,0) +
IF(V867="Y",25,0) +
IF(W867="Y",20,0) +
IF(X867="Weaponized",15,IF(X867="PoC Available",10,IF(X867="Public Exploit",5,0))) +
IF(G867="Production",10,IF(G867="DMZ",8,IF(G867="DR/Backup",5,0))) +
IF(Y867="N",10,0)
)</f>
        <v/>
      </c>
      <c r="AA867">
        <f>IF(OR(P867="Y",AND(K867&gt;=9.0,W867="Y")),"P0",IF(Z867&gt;=80,"P0",IF(Z867&gt;=60,"P1",IF(Z867&gt;=40,"P2",IF(Z867&gt;=20,"P3","P4")))))</f>
        <v/>
      </c>
      <c r="AD867">
        <f>IF(AB867&lt;&gt;"",AB867,AA867)</f>
        <v/>
      </c>
      <c r="AE867">
        <f>VLOOKUP(AD867,SLA_Definitions!$A$2:$B$6,2,FALSE)</f>
        <v/>
      </c>
      <c r="AF867">
        <f>IF(B867&lt;&gt;"",WORKDAY(B867,AE867),"")</f>
        <v/>
      </c>
      <c r="AG867">
        <f>IF(AF867&lt;&gt;"",NETWORKDAYS(TODAY(),AF867),"")</f>
        <v/>
      </c>
      <c r="AH867">
        <f>IF(AJ867="Complete","Complete",IF(AG867&lt;0,"Overdue",IF(AG867&lt;=AE867*0.2,"At Risk","On Track")))</f>
        <v/>
      </c>
      <c r="AK867">
        <f>IF(OR(AH867="Overdue",AND(AD867="P0",AG867&lt;1),AND(AD867="P1",AG867&lt;3)),"Y","N")</f>
        <v/>
      </c>
    </row>
    <row r="868">
      <c r="K868">
        <f>IF(J868="v4.0",L868,IF(J868="v3.1",M868,IF(J868="Both",L868,IF(AND(L868&lt;&gt;"",M868=""),L868,M868))))</f>
        <v/>
      </c>
      <c r="Z868">
        <f>MIN(100,
(K868*5) +
(U868*10) +
IF(P868="Y",40,0) +
IF(Q868="P",30,0) +
IF(V868="Y",25,0) +
IF(W868="Y",20,0) +
IF(X868="Weaponized",15,IF(X868="PoC Available",10,IF(X868="Public Exploit",5,0))) +
IF(G868="Production",10,IF(G868="DMZ",8,IF(G868="DR/Backup",5,0))) +
IF(Y868="N",10,0)
)</f>
        <v/>
      </c>
      <c r="AA868">
        <f>IF(OR(P868="Y",AND(K868&gt;=9.0,W868="Y")),"P0",IF(Z868&gt;=80,"P0",IF(Z868&gt;=60,"P1",IF(Z868&gt;=40,"P2",IF(Z868&gt;=20,"P3","P4")))))</f>
        <v/>
      </c>
      <c r="AD868">
        <f>IF(AB868&lt;&gt;"",AB868,AA868)</f>
        <v/>
      </c>
      <c r="AE868">
        <f>VLOOKUP(AD868,SLA_Definitions!$A$2:$B$6,2,FALSE)</f>
        <v/>
      </c>
      <c r="AF868">
        <f>IF(B868&lt;&gt;"",WORKDAY(B868,AE868),"")</f>
        <v/>
      </c>
      <c r="AG868">
        <f>IF(AF868&lt;&gt;"",NETWORKDAYS(TODAY(),AF868),"")</f>
        <v/>
      </c>
      <c r="AH868">
        <f>IF(AJ868="Complete","Complete",IF(AG868&lt;0,"Overdue",IF(AG868&lt;=AE868*0.2,"At Risk","On Track")))</f>
        <v/>
      </c>
      <c r="AK868">
        <f>IF(OR(AH868="Overdue",AND(AD868="P0",AG868&lt;1),AND(AD868="P1",AG868&lt;3)),"Y","N")</f>
        <v/>
      </c>
    </row>
    <row r="869">
      <c r="K869">
        <f>IF(J869="v4.0",L869,IF(J869="v3.1",M869,IF(J869="Both",L869,IF(AND(L869&lt;&gt;"",M869=""),L869,M869))))</f>
        <v/>
      </c>
      <c r="Z869">
        <f>MIN(100,
(K869*5) +
(U869*10) +
IF(P869="Y",40,0) +
IF(Q869="P",30,0) +
IF(V869="Y",25,0) +
IF(W869="Y",20,0) +
IF(X869="Weaponized",15,IF(X869="PoC Available",10,IF(X869="Public Exploit",5,0))) +
IF(G869="Production",10,IF(G869="DMZ",8,IF(G869="DR/Backup",5,0))) +
IF(Y869="N",10,0)
)</f>
        <v/>
      </c>
      <c r="AA869">
        <f>IF(OR(P869="Y",AND(K869&gt;=9.0,W869="Y")),"P0",IF(Z869&gt;=80,"P0",IF(Z869&gt;=60,"P1",IF(Z869&gt;=40,"P2",IF(Z869&gt;=20,"P3","P4")))))</f>
        <v/>
      </c>
      <c r="AD869">
        <f>IF(AB869&lt;&gt;"",AB869,AA869)</f>
        <v/>
      </c>
      <c r="AE869">
        <f>VLOOKUP(AD869,SLA_Definitions!$A$2:$B$6,2,FALSE)</f>
        <v/>
      </c>
      <c r="AF869">
        <f>IF(B869&lt;&gt;"",WORKDAY(B869,AE869),"")</f>
        <v/>
      </c>
      <c r="AG869">
        <f>IF(AF869&lt;&gt;"",NETWORKDAYS(TODAY(),AF869),"")</f>
        <v/>
      </c>
      <c r="AH869">
        <f>IF(AJ869="Complete","Complete",IF(AG869&lt;0,"Overdue",IF(AG869&lt;=AE869*0.2,"At Risk","On Track")))</f>
        <v/>
      </c>
      <c r="AK869">
        <f>IF(OR(AH869="Overdue",AND(AD869="P0",AG869&lt;1),AND(AD869="P1",AG869&lt;3)),"Y","N")</f>
        <v/>
      </c>
    </row>
    <row r="870">
      <c r="K870">
        <f>IF(J870="v4.0",L870,IF(J870="v3.1",M870,IF(J870="Both",L870,IF(AND(L870&lt;&gt;"",M870=""),L870,M870))))</f>
        <v/>
      </c>
      <c r="Z870">
        <f>MIN(100,
(K870*5) +
(U870*10) +
IF(P870="Y",40,0) +
IF(Q870="P",30,0) +
IF(V870="Y",25,0) +
IF(W870="Y",20,0) +
IF(X870="Weaponized",15,IF(X870="PoC Available",10,IF(X870="Public Exploit",5,0))) +
IF(G870="Production",10,IF(G870="DMZ",8,IF(G870="DR/Backup",5,0))) +
IF(Y870="N",10,0)
)</f>
        <v/>
      </c>
      <c r="AA870">
        <f>IF(OR(P870="Y",AND(K870&gt;=9.0,W870="Y")),"P0",IF(Z870&gt;=80,"P0",IF(Z870&gt;=60,"P1",IF(Z870&gt;=40,"P2",IF(Z870&gt;=20,"P3","P4")))))</f>
        <v/>
      </c>
      <c r="AD870">
        <f>IF(AB870&lt;&gt;"",AB870,AA870)</f>
        <v/>
      </c>
      <c r="AE870">
        <f>VLOOKUP(AD870,SLA_Definitions!$A$2:$B$6,2,FALSE)</f>
        <v/>
      </c>
      <c r="AF870">
        <f>IF(B870&lt;&gt;"",WORKDAY(B870,AE870),"")</f>
        <v/>
      </c>
      <c r="AG870">
        <f>IF(AF870&lt;&gt;"",NETWORKDAYS(TODAY(),AF870),"")</f>
        <v/>
      </c>
      <c r="AH870">
        <f>IF(AJ870="Complete","Complete",IF(AG870&lt;0,"Overdue",IF(AG870&lt;=AE870*0.2,"At Risk","On Track")))</f>
        <v/>
      </c>
      <c r="AK870">
        <f>IF(OR(AH870="Overdue",AND(AD870="P0",AG870&lt;1),AND(AD870="P1",AG870&lt;3)),"Y","N")</f>
        <v/>
      </c>
    </row>
    <row r="871">
      <c r="K871">
        <f>IF(J871="v4.0",L871,IF(J871="v3.1",M871,IF(J871="Both",L871,IF(AND(L871&lt;&gt;"",M871=""),L871,M871))))</f>
        <v/>
      </c>
      <c r="Z871">
        <f>MIN(100,
(K871*5) +
(U871*10) +
IF(P871="Y",40,0) +
IF(Q871="P",30,0) +
IF(V871="Y",25,0) +
IF(W871="Y",20,0) +
IF(X871="Weaponized",15,IF(X871="PoC Available",10,IF(X871="Public Exploit",5,0))) +
IF(G871="Production",10,IF(G871="DMZ",8,IF(G871="DR/Backup",5,0))) +
IF(Y871="N",10,0)
)</f>
        <v/>
      </c>
      <c r="AA871">
        <f>IF(OR(P871="Y",AND(K871&gt;=9.0,W871="Y")),"P0",IF(Z871&gt;=80,"P0",IF(Z871&gt;=60,"P1",IF(Z871&gt;=40,"P2",IF(Z871&gt;=20,"P3","P4")))))</f>
        <v/>
      </c>
      <c r="AD871">
        <f>IF(AB871&lt;&gt;"",AB871,AA871)</f>
        <v/>
      </c>
      <c r="AE871">
        <f>VLOOKUP(AD871,SLA_Definitions!$A$2:$B$6,2,FALSE)</f>
        <v/>
      </c>
      <c r="AF871">
        <f>IF(B871&lt;&gt;"",WORKDAY(B871,AE871),"")</f>
        <v/>
      </c>
      <c r="AG871">
        <f>IF(AF871&lt;&gt;"",NETWORKDAYS(TODAY(),AF871),"")</f>
        <v/>
      </c>
      <c r="AH871">
        <f>IF(AJ871="Complete","Complete",IF(AG871&lt;0,"Overdue",IF(AG871&lt;=AE871*0.2,"At Risk","On Track")))</f>
        <v/>
      </c>
      <c r="AK871">
        <f>IF(OR(AH871="Overdue",AND(AD871="P0",AG871&lt;1),AND(AD871="P1",AG871&lt;3)),"Y","N")</f>
        <v/>
      </c>
    </row>
    <row r="872">
      <c r="K872">
        <f>IF(J872="v4.0",L872,IF(J872="v3.1",M872,IF(J872="Both",L872,IF(AND(L872&lt;&gt;"",M872=""),L872,M872))))</f>
        <v/>
      </c>
      <c r="Z872">
        <f>MIN(100,
(K872*5) +
(U872*10) +
IF(P872="Y",40,0) +
IF(Q872="P",30,0) +
IF(V872="Y",25,0) +
IF(W872="Y",20,0) +
IF(X872="Weaponized",15,IF(X872="PoC Available",10,IF(X872="Public Exploit",5,0))) +
IF(G872="Production",10,IF(G872="DMZ",8,IF(G872="DR/Backup",5,0))) +
IF(Y872="N",10,0)
)</f>
        <v/>
      </c>
      <c r="AA872">
        <f>IF(OR(P872="Y",AND(K872&gt;=9.0,W872="Y")),"P0",IF(Z872&gt;=80,"P0",IF(Z872&gt;=60,"P1",IF(Z872&gt;=40,"P2",IF(Z872&gt;=20,"P3","P4")))))</f>
        <v/>
      </c>
      <c r="AD872">
        <f>IF(AB872&lt;&gt;"",AB872,AA872)</f>
        <v/>
      </c>
      <c r="AE872">
        <f>VLOOKUP(AD872,SLA_Definitions!$A$2:$B$6,2,FALSE)</f>
        <v/>
      </c>
      <c r="AF872">
        <f>IF(B872&lt;&gt;"",WORKDAY(B872,AE872),"")</f>
        <v/>
      </c>
      <c r="AG872">
        <f>IF(AF872&lt;&gt;"",NETWORKDAYS(TODAY(),AF872),"")</f>
        <v/>
      </c>
      <c r="AH872">
        <f>IF(AJ872="Complete","Complete",IF(AG872&lt;0,"Overdue",IF(AG872&lt;=AE872*0.2,"At Risk","On Track")))</f>
        <v/>
      </c>
      <c r="AK872">
        <f>IF(OR(AH872="Overdue",AND(AD872="P0",AG872&lt;1),AND(AD872="P1",AG872&lt;3)),"Y","N")</f>
        <v/>
      </c>
    </row>
    <row r="873">
      <c r="K873">
        <f>IF(J873="v4.0",L873,IF(J873="v3.1",M873,IF(J873="Both",L873,IF(AND(L873&lt;&gt;"",M873=""),L873,M873))))</f>
        <v/>
      </c>
      <c r="Z873">
        <f>MIN(100,
(K873*5) +
(U873*10) +
IF(P873="Y",40,0) +
IF(Q873="P",30,0) +
IF(V873="Y",25,0) +
IF(W873="Y",20,0) +
IF(X873="Weaponized",15,IF(X873="PoC Available",10,IF(X873="Public Exploit",5,0))) +
IF(G873="Production",10,IF(G873="DMZ",8,IF(G873="DR/Backup",5,0))) +
IF(Y873="N",10,0)
)</f>
        <v/>
      </c>
      <c r="AA873">
        <f>IF(OR(P873="Y",AND(K873&gt;=9.0,W873="Y")),"P0",IF(Z873&gt;=80,"P0",IF(Z873&gt;=60,"P1",IF(Z873&gt;=40,"P2",IF(Z873&gt;=20,"P3","P4")))))</f>
        <v/>
      </c>
      <c r="AD873">
        <f>IF(AB873&lt;&gt;"",AB873,AA873)</f>
        <v/>
      </c>
      <c r="AE873">
        <f>VLOOKUP(AD873,SLA_Definitions!$A$2:$B$6,2,FALSE)</f>
        <v/>
      </c>
      <c r="AF873">
        <f>IF(B873&lt;&gt;"",WORKDAY(B873,AE873),"")</f>
        <v/>
      </c>
      <c r="AG873">
        <f>IF(AF873&lt;&gt;"",NETWORKDAYS(TODAY(),AF873),"")</f>
        <v/>
      </c>
      <c r="AH873">
        <f>IF(AJ873="Complete","Complete",IF(AG873&lt;0,"Overdue",IF(AG873&lt;=AE873*0.2,"At Risk","On Track")))</f>
        <v/>
      </c>
      <c r="AK873">
        <f>IF(OR(AH873="Overdue",AND(AD873="P0",AG873&lt;1),AND(AD873="P1",AG873&lt;3)),"Y","N")</f>
        <v/>
      </c>
    </row>
    <row r="874">
      <c r="K874">
        <f>IF(J874="v4.0",L874,IF(J874="v3.1",M874,IF(J874="Both",L874,IF(AND(L874&lt;&gt;"",M874=""),L874,M874))))</f>
        <v/>
      </c>
      <c r="Z874">
        <f>MIN(100,
(K874*5) +
(U874*10) +
IF(P874="Y",40,0) +
IF(Q874="P",30,0) +
IF(V874="Y",25,0) +
IF(W874="Y",20,0) +
IF(X874="Weaponized",15,IF(X874="PoC Available",10,IF(X874="Public Exploit",5,0))) +
IF(G874="Production",10,IF(G874="DMZ",8,IF(G874="DR/Backup",5,0))) +
IF(Y874="N",10,0)
)</f>
        <v/>
      </c>
      <c r="AA874">
        <f>IF(OR(P874="Y",AND(K874&gt;=9.0,W874="Y")),"P0",IF(Z874&gt;=80,"P0",IF(Z874&gt;=60,"P1",IF(Z874&gt;=40,"P2",IF(Z874&gt;=20,"P3","P4")))))</f>
        <v/>
      </c>
      <c r="AD874">
        <f>IF(AB874&lt;&gt;"",AB874,AA874)</f>
        <v/>
      </c>
      <c r="AE874">
        <f>VLOOKUP(AD874,SLA_Definitions!$A$2:$B$6,2,FALSE)</f>
        <v/>
      </c>
      <c r="AF874">
        <f>IF(B874&lt;&gt;"",WORKDAY(B874,AE874),"")</f>
        <v/>
      </c>
      <c r="AG874">
        <f>IF(AF874&lt;&gt;"",NETWORKDAYS(TODAY(),AF874),"")</f>
        <v/>
      </c>
      <c r="AH874">
        <f>IF(AJ874="Complete","Complete",IF(AG874&lt;0,"Overdue",IF(AG874&lt;=AE874*0.2,"At Risk","On Track")))</f>
        <v/>
      </c>
      <c r="AK874">
        <f>IF(OR(AH874="Overdue",AND(AD874="P0",AG874&lt;1),AND(AD874="P1",AG874&lt;3)),"Y","N")</f>
        <v/>
      </c>
    </row>
    <row r="875">
      <c r="K875">
        <f>IF(J875="v4.0",L875,IF(J875="v3.1",M875,IF(J875="Both",L875,IF(AND(L875&lt;&gt;"",M875=""),L875,M875))))</f>
        <v/>
      </c>
      <c r="Z875">
        <f>MIN(100,
(K875*5) +
(U875*10) +
IF(P875="Y",40,0) +
IF(Q875="P",30,0) +
IF(V875="Y",25,0) +
IF(W875="Y",20,0) +
IF(X875="Weaponized",15,IF(X875="PoC Available",10,IF(X875="Public Exploit",5,0))) +
IF(G875="Production",10,IF(G875="DMZ",8,IF(G875="DR/Backup",5,0))) +
IF(Y875="N",10,0)
)</f>
        <v/>
      </c>
      <c r="AA875">
        <f>IF(OR(P875="Y",AND(K875&gt;=9.0,W875="Y")),"P0",IF(Z875&gt;=80,"P0",IF(Z875&gt;=60,"P1",IF(Z875&gt;=40,"P2",IF(Z875&gt;=20,"P3","P4")))))</f>
        <v/>
      </c>
      <c r="AD875">
        <f>IF(AB875&lt;&gt;"",AB875,AA875)</f>
        <v/>
      </c>
      <c r="AE875">
        <f>VLOOKUP(AD875,SLA_Definitions!$A$2:$B$6,2,FALSE)</f>
        <v/>
      </c>
      <c r="AF875">
        <f>IF(B875&lt;&gt;"",WORKDAY(B875,AE875),"")</f>
        <v/>
      </c>
      <c r="AG875">
        <f>IF(AF875&lt;&gt;"",NETWORKDAYS(TODAY(),AF875),"")</f>
        <v/>
      </c>
      <c r="AH875">
        <f>IF(AJ875="Complete","Complete",IF(AG875&lt;0,"Overdue",IF(AG875&lt;=AE875*0.2,"At Risk","On Track")))</f>
        <v/>
      </c>
      <c r="AK875">
        <f>IF(OR(AH875="Overdue",AND(AD875="P0",AG875&lt;1),AND(AD875="P1",AG875&lt;3)),"Y","N")</f>
        <v/>
      </c>
    </row>
    <row r="876">
      <c r="K876">
        <f>IF(J876="v4.0",L876,IF(J876="v3.1",M876,IF(J876="Both",L876,IF(AND(L876&lt;&gt;"",M876=""),L876,M876))))</f>
        <v/>
      </c>
      <c r="Z876">
        <f>MIN(100,
(K876*5) +
(U876*10) +
IF(P876="Y",40,0) +
IF(Q876="P",30,0) +
IF(V876="Y",25,0) +
IF(W876="Y",20,0) +
IF(X876="Weaponized",15,IF(X876="PoC Available",10,IF(X876="Public Exploit",5,0))) +
IF(G876="Production",10,IF(G876="DMZ",8,IF(G876="DR/Backup",5,0))) +
IF(Y876="N",10,0)
)</f>
        <v/>
      </c>
      <c r="AA876">
        <f>IF(OR(P876="Y",AND(K876&gt;=9.0,W876="Y")),"P0",IF(Z876&gt;=80,"P0",IF(Z876&gt;=60,"P1",IF(Z876&gt;=40,"P2",IF(Z876&gt;=20,"P3","P4")))))</f>
        <v/>
      </c>
      <c r="AD876">
        <f>IF(AB876&lt;&gt;"",AB876,AA876)</f>
        <v/>
      </c>
      <c r="AE876">
        <f>VLOOKUP(AD876,SLA_Definitions!$A$2:$B$6,2,FALSE)</f>
        <v/>
      </c>
      <c r="AF876">
        <f>IF(B876&lt;&gt;"",WORKDAY(B876,AE876),"")</f>
        <v/>
      </c>
      <c r="AG876">
        <f>IF(AF876&lt;&gt;"",NETWORKDAYS(TODAY(),AF876),"")</f>
        <v/>
      </c>
      <c r="AH876">
        <f>IF(AJ876="Complete","Complete",IF(AG876&lt;0,"Overdue",IF(AG876&lt;=AE876*0.2,"At Risk","On Track")))</f>
        <v/>
      </c>
      <c r="AK876">
        <f>IF(OR(AH876="Overdue",AND(AD876="P0",AG876&lt;1),AND(AD876="P1",AG876&lt;3)),"Y","N")</f>
        <v/>
      </c>
    </row>
    <row r="877">
      <c r="K877">
        <f>IF(J877="v4.0",L877,IF(J877="v3.1",M877,IF(J877="Both",L877,IF(AND(L877&lt;&gt;"",M877=""),L877,M877))))</f>
        <v/>
      </c>
      <c r="Z877">
        <f>MIN(100,
(K877*5) +
(U877*10) +
IF(P877="Y",40,0) +
IF(Q877="P",30,0) +
IF(V877="Y",25,0) +
IF(W877="Y",20,0) +
IF(X877="Weaponized",15,IF(X877="PoC Available",10,IF(X877="Public Exploit",5,0))) +
IF(G877="Production",10,IF(G877="DMZ",8,IF(G877="DR/Backup",5,0))) +
IF(Y877="N",10,0)
)</f>
        <v/>
      </c>
      <c r="AA877">
        <f>IF(OR(P877="Y",AND(K877&gt;=9.0,W877="Y")),"P0",IF(Z877&gt;=80,"P0",IF(Z877&gt;=60,"P1",IF(Z877&gt;=40,"P2",IF(Z877&gt;=20,"P3","P4")))))</f>
        <v/>
      </c>
      <c r="AD877">
        <f>IF(AB877&lt;&gt;"",AB877,AA877)</f>
        <v/>
      </c>
      <c r="AE877">
        <f>VLOOKUP(AD877,SLA_Definitions!$A$2:$B$6,2,FALSE)</f>
        <v/>
      </c>
      <c r="AF877">
        <f>IF(B877&lt;&gt;"",WORKDAY(B877,AE877),"")</f>
        <v/>
      </c>
      <c r="AG877">
        <f>IF(AF877&lt;&gt;"",NETWORKDAYS(TODAY(),AF877),"")</f>
        <v/>
      </c>
      <c r="AH877">
        <f>IF(AJ877="Complete","Complete",IF(AG877&lt;0,"Overdue",IF(AG877&lt;=AE877*0.2,"At Risk","On Track")))</f>
        <v/>
      </c>
      <c r="AK877">
        <f>IF(OR(AH877="Overdue",AND(AD877="P0",AG877&lt;1),AND(AD877="P1",AG877&lt;3)),"Y","N")</f>
        <v/>
      </c>
    </row>
    <row r="878">
      <c r="K878">
        <f>IF(J878="v4.0",L878,IF(J878="v3.1",M878,IF(J878="Both",L878,IF(AND(L878&lt;&gt;"",M878=""),L878,M878))))</f>
        <v/>
      </c>
      <c r="Z878">
        <f>MIN(100,
(K878*5) +
(U878*10) +
IF(P878="Y",40,0) +
IF(Q878="P",30,0) +
IF(V878="Y",25,0) +
IF(W878="Y",20,0) +
IF(X878="Weaponized",15,IF(X878="PoC Available",10,IF(X878="Public Exploit",5,0))) +
IF(G878="Production",10,IF(G878="DMZ",8,IF(G878="DR/Backup",5,0))) +
IF(Y878="N",10,0)
)</f>
        <v/>
      </c>
      <c r="AA878">
        <f>IF(OR(P878="Y",AND(K878&gt;=9.0,W878="Y")),"P0",IF(Z878&gt;=80,"P0",IF(Z878&gt;=60,"P1",IF(Z878&gt;=40,"P2",IF(Z878&gt;=20,"P3","P4")))))</f>
        <v/>
      </c>
      <c r="AD878">
        <f>IF(AB878&lt;&gt;"",AB878,AA878)</f>
        <v/>
      </c>
      <c r="AE878">
        <f>VLOOKUP(AD878,SLA_Definitions!$A$2:$B$6,2,FALSE)</f>
        <v/>
      </c>
      <c r="AF878">
        <f>IF(B878&lt;&gt;"",WORKDAY(B878,AE878),"")</f>
        <v/>
      </c>
      <c r="AG878">
        <f>IF(AF878&lt;&gt;"",NETWORKDAYS(TODAY(),AF878),"")</f>
        <v/>
      </c>
      <c r="AH878">
        <f>IF(AJ878="Complete","Complete",IF(AG878&lt;0,"Overdue",IF(AG878&lt;=AE878*0.2,"At Risk","On Track")))</f>
        <v/>
      </c>
      <c r="AK878">
        <f>IF(OR(AH878="Overdue",AND(AD878="P0",AG878&lt;1),AND(AD878="P1",AG878&lt;3)),"Y","N")</f>
        <v/>
      </c>
    </row>
    <row r="879">
      <c r="K879">
        <f>IF(J879="v4.0",L879,IF(J879="v3.1",M879,IF(J879="Both",L879,IF(AND(L879&lt;&gt;"",M879=""),L879,M879))))</f>
        <v/>
      </c>
      <c r="Z879">
        <f>MIN(100,
(K879*5) +
(U879*10) +
IF(P879="Y",40,0) +
IF(Q879="P",30,0) +
IF(V879="Y",25,0) +
IF(W879="Y",20,0) +
IF(X879="Weaponized",15,IF(X879="PoC Available",10,IF(X879="Public Exploit",5,0))) +
IF(G879="Production",10,IF(G879="DMZ",8,IF(G879="DR/Backup",5,0))) +
IF(Y879="N",10,0)
)</f>
        <v/>
      </c>
      <c r="AA879">
        <f>IF(OR(P879="Y",AND(K879&gt;=9.0,W879="Y")),"P0",IF(Z879&gt;=80,"P0",IF(Z879&gt;=60,"P1",IF(Z879&gt;=40,"P2",IF(Z879&gt;=20,"P3","P4")))))</f>
        <v/>
      </c>
      <c r="AD879">
        <f>IF(AB879&lt;&gt;"",AB879,AA879)</f>
        <v/>
      </c>
      <c r="AE879">
        <f>VLOOKUP(AD879,SLA_Definitions!$A$2:$B$6,2,FALSE)</f>
        <v/>
      </c>
      <c r="AF879">
        <f>IF(B879&lt;&gt;"",WORKDAY(B879,AE879),"")</f>
        <v/>
      </c>
      <c r="AG879">
        <f>IF(AF879&lt;&gt;"",NETWORKDAYS(TODAY(),AF879),"")</f>
        <v/>
      </c>
      <c r="AH879">
        <f>IF(AJ879="Complete","Complete",IF(AG879&lt;0,"Overdue",IF(AG879&lt;=AE879*0.2,"At Risk","On Track")))</f>
        <v/>
      </c>
      <c r="AK879">
        <f>IF(OR(AH879="Overdue",AND(AD879="P0",AG879&lt;1),AND(AD879="P1",AG879&lt;3)),"Y","N")</f>
        <v/>
      </c>
    </row>
    <row r="880">
      <c r="K880">
        <f>IF(J880="v4.0",L880,IF(J880="v3.1",M880,IF(J880="Both",L880,IF(AND(L880&lt;&gt;"",M880=""),L880,M880))))</f>
        <v/>
      </c>
      <c r="Z880">
        <f>MIN(100,
(K880*5) +
(U880*10) +
IF(P880="Y",40,0) +
IF(Q880="P",30,0) +
IF(V880="Y",25,0) +
IF(W880="Y",20,0) +
IF(X880="Weaponized",15,IF(X880="PoC Available",10,IF(X880="Public Exploit",5,0))) +
IF(G880="Production",10,IF(G880="DMZ",8,IF(G880="DR/Backup",5,0))) +
IF(Y880="N",10,0)
)</f>
        <v/>
      </c>
      <c r="AA880">
        <f>IF(OR(P880="Y",AND(K880&gt;=9.0,W880="Y")),"P0",IF(Z880&gt;=80,"P0",IF(Z880&gt;=60,"P1",IF(Z880&gt;=40,"P2",IF(Z880&gt;=20,"P3","P4")))))</f>
        <v/>
      </c>
      <c r="AD880">
        <f>IF(AB880&lt;&gt;"",AB880,AA880)</f>
        <v/>
      </c>
      <c r="AE880">
        <f>VLOOKUP(AD880,SLA_Definitions!$A$2:$B$6,2,FALSE)</f>
        <v/>
      </c>
      <c r="AF880">
        <f>IF(B880&lt;&gt;"",WORKDAY(B880,AE880),"")</f>
        <v/>
      </c>
      <c r="AG880">
        <f>IF(AF880&lt;&gt;"",NETWORKDAYS(TODAY(),AF880),"")</f>
        <v/>
      </c>
      <c r="AH880">
        <f>IF(AJ880="Complete","Complete",IF(AG880&lt;0,"Overdue",IF(AG880&lt;=AE880*0.2,"At Risk","On Track")))</f>
        <v/>
      </c>
      <c r="AK880">
        <f>IF(OR(AH880="Overdue",AND(AD880="P0",AG880&lt;1),AND(AD880="P1",AG880&lt;3)),"Y","N")</f>
        <v/>
      </c>
    </row>
    <row r="881">
      <c r="K881">
        <f>IF(J881="v4.0",L881,IF(J881="v3.1",M881,IF(J881="Both",L881,IF(AND(L881&lt;&gt;"",M881=""),L881,M881))))</f>
        <v/>
      </c>
      <c r="Z881">
        <f>MIN(100,
(K881*5) +
(U881*10) +
IF(P881="Y",40,0) +
IF(Q881="P",30,0) +
IF(V881="Y",25,0) +
IF(W881="Y",20,0) +
IF(X881="Weaponized",15,IF(X881="PoC Available",10,IF(X881="Public Exploit",5,0))) +
IF(G881="Production",10,IF(G881="DMZ",8,IF(G881="DR/Backup",5,0))) +
IF(Y881="N",10,0)
)</f>
        <v/>
      </c>
      <c r="AA881">
        <f>IF(OR(P881="Y",AND(K881&gt;=9.0,W881="Y")),"P0",IF(Z881&gt;=80,"P0",IF(Z881&gt;=60,"P1",IF(Z881&gt;=40,"P2",IF(Z881&gt;=20,"P3","P4")))))</f>
        <v/>
      </c>
      <c r="AD881">
        <f>IF(AB881&lt;&gt;"",AB881,AA881)</f>
        <v/>
      </c>
      <c r="AE881">
        <f>VLOOKUP(AD881,SLA_Definitions!$A$2:$B$6,2,FALSE)</f>
        <v/>
      </c>
      <c r="AF881">
        <f>IF(B881&lt;&gt;"",WORKDAY(B881,AE881),"")</f>
        <v/>
      </c>
      <c r="AG881">
        <f>IF(AF881&lt;&gt;"",NETWORKDAYS(TODAY(),AF881),"")</f>
        <v/>
      </c>
      <c r="AH881">
        <f>IF(AJ881="Complete","Complete",IF(AG881&lt;0,"Overdue",IF(AG881&lt;=AE881*0.2,"At Risk","On Track")))</f>
        <v/>
      </c>
      <c r="AK881">
        <f>IF(OR(AH881="Overdue",AND(AD881="P0",AG881&lt;1),AND(AD881="P1",AG881&lt;3)),"Y","N")</f>
        <v/>
      </c>
    </row>
    <row r="882">
      <c r="K882">
        <f>IF(J882="v4.0",L882,IF(J882="v3.1",M882,IF(J882="Both",L882,IF(AND(L882&lt;&gt;"",M882=""),L882,M882))))</f>
        <v/>
      </c>
      <c r="Z882">
        <f>MIN(100,
(K882*5) +
(U882*10) +
IF(P882="Y",40,0) +
IF(Q882="P",30,0) +
IF(V882="Y",25,0) +
IF(W882="Y",20,0) +
IF(X882="Weaponized",15,IF(X882="PoC Available",10,IF(X882="Public Exploit",5,0))) +
IF(G882="Production",10,IF(G882="DMZ",8,IF(G882="DR/Backup",5,0))) +
IF(Y882="N",10,0)
)</f>
        <v/>
      </c>
      <c r="AA882">
        <f>IF(OR(P882="Y",AND(K882&gt;=9.0,W882="Y")),"P0",IF(Z882&gt;=80,"P0",IF(Z882&gt;=60,"P1",IF(Z882&gt;=40,"P2",IF(Z882&gt;=20,"P3","P4")))))</f>
        <v/>
      </c>
      <c r="AD882">
        <f>IF(AB882&lt;&gt;"",AB882,AA882)</f>
        <v/>
      </c>
      <c r="AE882">
        <f>VLOOKUP(AD882,SLA_Definitions!$A$2:$B$6,2,FALSE)</f>
        <v/>
      </c>
      <c r="AF882">
        <f>IF(B882&lt;&gt;"",WORKDAY(B882,AE882),"")</f>
        <v/>
      </c>
      <c r="AG882">
        <f>IF(AF882&lt;&gt;"",NETWORKDAYS(TODAY(),AF882),"")</f>
        <v/>
      </c>
      <c r="AH882">
        <f>IF(AJ882="Complete","Complete",IF(AG882&lt;0,"Overdue",IF(AG882&lt;=AE882*0.2,"At Risk","On Track")))</f>
        <v/>
      </c>
      <c r="AK882">
        <f>IF(OR(AH882="Overdue",AND(AD882="P0",AG882&lt;1),AND(AD882="P1",AG882&lt;3)),"Y","N")</f>
        <v/>
      </c>
    </row>
    <row r="883">
      <c r="K883">
        <f>IF(J883="v4.0",L883,IF(J883="v3.1",M883,IF(J883="Both",L883,IF(AND(L883&lt;&gt;"",M883=""),L883,M883))))</f>
        <v/>
      </c>
      <c r="Z883">
        <f>MIN(100,
(K883*5) +
(U883*10) +
IF(P883="Y",40,0) +
IF(Q883="P",30,0) +
IF(V883="Y",25,0) +
IF(W883="Y",20,0) +
IF(X883="Weaponized",15,IF(X883="PoC Available",10,IF(X883="Public Exploit",5,0))) +
IF(G883="Production",10,IF(G883="DMZ",8,IF(G883="DR/Backup",5,0))) +
IF(Y883="N",10,0)
)</f>
        <v/>
      </c>
      <c r="AA883">
        <f>IF(OR(P883="Y",AND(K883&gt;=9.0,W883="Y")),"P0",IF(Z883&gt;=80,"P0",IF(Z883&gt;=60,"P1",IF(Z883&gt;=40,"P2",IF(Z883&gt;=20,"P3","P4")))))</f>
        <v/>
      </c>
      <c r="AD883">
        <f>IF(AB883&lt;&gt;"",AB883,AA883)</f>
        <v/>
      </c>
      <c r="AE883">
        <f>VLOOKUP(AD883,SLA_Definitions!$A$2:$B$6,2,FALSE)</f>
        <v/>
      </c>
      <c r="AF883">
        <f>IF(B883&lt;&gt;"",WORKDAY(B883,AE883),"")</f>
        <v/>
      </c>
      <c r="AG883">
        <f>IF(AF883&lt;&gt;"",NETWORKDAYS(TODAY(),AF883),"")</f>
        <v/>
      </c>
      <c r="AH883">
        <f>IF(AJ883="Complete","Complete",IF(AG883&lt;0,"Overdue",IF(AG883&lt;=AE883*0.2,"At Risk","On Track")))</f>
        <v/>
      </c>
      <c r="AK883">
        <f>IF(OR(AH883="Overdue",AND(AD883="P0",AG883&lt;1),AND(AD883="P1",AG883&lt;3)),"Y","N")</f>
        <v/>
      </c>
    </row>
    <row r="884">
      <c r="K884">
        <f>IF(J884="v4.0",L884,IF(J884="v3.1",M884,IF(J884="Both",L884,IF(AND(L884&lt;&gt;"",M884=""),L884,M884))))</f>
        <v/>
      </c>
      <c r="Z884">
        <f>MIN(100,
(K884*5) +
(U884*10) +
IF(P884="Y",40,0) +
IF(Q884="P",30,0) +
IF(V884="Y",25,0) +
IF(W884="Y",20,0) +
IF(X884="Weaponized",15,IF(X884="PoC Available",10,IF(X884="Public Exploit",5,0))) +
IF(G884="Production",10,IF(G884="DMZ",8,IF(G884="DR/Backup",5,0))) +
IF(Y884="N",10,0)
)</f>
        <v/>
      </c>
      <c r="AA884">
        <f>IF(OR(P884="Y",AND(K884&gt;=9.0,W884="Y")),"P0",IF(Z884&gt;=80,"P0",IF(Z884&gt;=60,"P1",IF(Z884&gt;=40,"P2",IF(Z884&gt;=20,"P3","P4")))))</f>
        <v/>
      </c>
      <c r="AD884">
        <f>IF(AB884&lt;&gt;"",AB884,AA884)</f>
        <v/>
      </c>
      <c r="AE884">
        <f>VLOOKUP(AD884,SLA_Definitions!$A$2:$B$6,2,FALSE)</f>
        <v/>
      </c>
      <c r="AF884">
        <f>IF(B884&lt;&gt;"",WORKDAY(B884,AE884),"")</f>
        <v/>
      </c>
      <c r="AG884">
        <f>IF(AF884&lt;&gt;"",NETWORKDAYS(TODAY(),AF884),"")</f>
        <v/>
      </c>
      <c r="AH884">
        <f>IF(AJ884="Complete","Complete",IF(AG884&lt;0,"Overdue",IF(AG884&lt;=AE884*0.2,"At Risk","On Track")))</f>
        <v/>
      </c>
      <c r="AK884">
        <f>IF(OR(AH884="Overdue",AND(AD884="P0",AG884&lt;1),AND(AD884="P1",AG884&lt;3)),"Y","N")</f>
        <v/>
      </c>
    </row>
    <row r="885">
      <c r="K885">
        <f>IF(J885="v4.0",L885,IF(J885="v3.1",M885,IF(J885="Both",L885,IF(AND(L885&lt;&gt;"",M885=""),L885,M885))))</f>
        <v/>
      </c>
      <c r="Z885">
        <f>MIN(100,
(K885*5) +
(U885*10) +
IF(P885="Y",40,0) +
IF(Q885="P",30,0) +
IF(V885="Y",25,0) +
IF(W885="Y",20,0) +
IF(X885="Weaponized",15,IF(X885="PoC Available",10,IF(X885="Public Exploit",5,0))) +
IF(G885="Production",10,IF(G885="DMZ",8,IF(G885="DR/Backup",5,0))) +
IF(Y885="N",10,0)
)</f>
        <v/>
      </c>
      <c r="AA885">
        <f>IF(OR(P885="Y",AND(K885&gt;=9.0,W885="Y")),"P0",IF(Z885&gt;=80,"P0",IF(Z885&gt;=60,"P1",IF(Z885&gt;=40,"P2",IF(Z885&gt;=20,"P3","P4")))))</f>
        <v/>
      </c>
      <c r="AD885">
        <f>IF(AB885&lt;&gt;"",AB885,AA885)</f>
        <v/>
      </c>
      <c r="AE885">
        <f>VLOOKUP(AD885,SLA_Definitions!$A$2:$B$6,2,FALSE)</f>
        <v/>
      </c>
      <c r="AF885">
        <f>IF(B885&lt;&gt;"",WORKDAY(B885,AE885),"")</f>
        <v/>
      </c>
      <c r="AG885">
        <f>IF(AF885&lt;&gt;"",NETWORKDAYS(TODAY(),AF885),"")</f>
        <v/>
      </c>
      <c r="AH885">
        <f>IF(AJ885="Complete","Complete",IF(AG885&lt;0,"Overdue",IF(AG885&lt;=AE885*0.2,"At Risk","On Track")))</f>
        <v/>
      </c>
      <c r="AK885">
        <f>IF(OR(AH885="Overdue",AND(AD885="P0",AG885&lt;1),AND(AD885="P1",AG885&lt;3)),"Y","N")</f>
        <v/>
      </c>
    </row>
    <row r="886">
      <c r="K886">
        <f>IF(J886="v4.0",L886,IF(J886="v3.1",M886,IF(J886="Both",L886,IF(AND(L886&lt;&gt;"",M886=""),L886,M886))))</f>
        <v/>
      </c>
      <c r="Z886">
        <f>MIN(100,
(K886*5) +
(U886*10) +
IF(P886="Y",40,0) +
IF(Q886="P",30,0) +
IF(V886="Y",25,0) +
IF(W886="Y",20,0) +
IF(X886="Weaponized",15,IF(X886="PoC Available",10,IF(X886="Public Exploit",5,0))) +
IF(G886="Production",10,IF(G886="DMZ",8,IF(G886="DR/Backup",5,0))) +
IF(Y886="N",10,0)
)</f>
        <v/>
      </c>
      <c r="AA886">
        <f>IF(OR(P886="Y",AND(K886&gt;=9.0,W886="Y")),"P0",IF(Z886&gt;=80,"P0",IF(Z886&gt;=60,"P1",IF(Z886&gt;=40,"P2",IF(Z886&gt;=20,"P3","P4")))))</f>
        <v/>
      </c>
      <c r="AD886">
        <f>IF(AB886&lt;&gt;"",AB886,AA886)</f>
        <v/>
      </c>
      <c r="AE886">
        <f>VLOOKUP(AD886,SLA_Definitions!$A$2:$B$6,2,FALSE)</f>
        <v/>
      </c>
      <c r="AF886">
        <f>IF(B886&lt;&gt;"",WORKDAY(B886,AE886),"")</f>
        <v/>
      </c>
      <c r="AG886">
        <f>IF(AF886&lt;&gt;"",NETWORKDAYS(TODAY(),AF886),"")</f>
        <v/>
      </c>
      <c r="AH886">
        <f>IF(AJ886="Complete","Complete",IF(AG886&lt;0,"Overdue",IF(AG886&lt;=AE886*0.2,"At Risk","On Track")))</f>
        <v/>
      </c>
      <c r="AK886">
        <f>IF(OR(AH886="Overdue",AND(AD886="P0",AG886&lt;1),AND(AD886="P1",AG886&lt;3)),"Y","N")</f>
        <v/>
      </c>
    </row>
    <row r="887">
      <c r="K887">
        <f>IF(J887="v4.0",L887,IF(J887="v3.1",M887,IF(J887="Both",L887,IF(AND(L887&lt;&gt;"",M887=""),L887,M887))))</f>
        <v/>
      </c>
      <c r="Z887">
        <f>MIN(100,
(K887*5) +
(U887*10) +
IF(P887="Y",40,0) +
IF(Q887="P",30,0) +
IF(V887="Y",25,0) +
IF(W887="Y",20,0) +
IF(X887="Weaponized",15,IF(X887="PoC Available",10,IF(X887="Public Exploit",5,0))) +
IF(G887="Production",10,IF(G887="DMZ",8,IF(G887="DR/Backup",5,0))) +
IF(Y887="N",10,0)
)</f>
        <v/>
      </c>
      <c r="AA887">
        <f>IF(OR(P887="Y",AND(K887&gt;=9.0,W887="Y")),"P0",IF(Z887&gt;=80,"P0",IF(Z887&gt;=60,"P1",IF(Z887&gt;=40,"P2",IF(Z887&gt;=20,"P3","P4")))))</f>
        <v/>
      </c>
      <c r="AD887">
        <f>IF(AB887&lt;&gt;"",AB887,AA887)</f>
        <v/>
      </c>
      <c r="AE887">
        <f>VLOOKUP(AD887,SLA_Definitions!$A$2:$B$6,2,FALSE)</f>
        <v/>
      </c>
      <c r="AF887">
        <f>IF(B887&lt;&gt;"",WORKDAY(B887,AE887),"")</f>
        <v/>
      </c>
      <c r="AG887">
        <f>IF(AF887&lt;&gt;"",NETWORKDAYS(TODAY(),AF887),"")</f>
        <v/>
      </c>
      <c r="AH887">
        <f>IF(AJ887="Complete","Complete",IF(AG887&lt;0,"Overdue",IF(AG887&lt;=AE887*0.2,"At Risk","On Track")))</f>
        <v/>
      </c>
      <c r="AK887">
        <f>IF(OR(AH887="Overdue",AND(AD887="P0",AG887&lt;1),AND(AD887="P1",AG887&lt;3)),"Y","N")</f>
        <v/>
      </c>
    </row>
    <row r="888">
      <c r="K888">
        <f>IF(J888="v4.0",L888,IF(J888="v3.1",M888,IF(J888="Both",L888,IF(AND(L888&lt;&gt;"",M888=""),L888,M888))))</f>
        <v/>
      </c>
      <c r="Z888">
        <f>MIN(100,
(K888*5) +
(U888*10) +
IF(P888="Y",40,0) +
IF(Q888="P",30,0) +
IF(V888="Y",25,0) +
IF(W888="Y",20,0) +
IF(X888="Weaponized",15,IF(X888="PoC Available",10,IF(X888="Public Exploit",5,0))) +
IF(G888="Production",10,IF(G888="DMZ",8,IF(G888="DR/Backup",5,0))) +
IF(Y888="N",10,0)
)</f>
        <v/>
      </c>
      <c r="AA888">
        <f>IF(OR(P888="Y",AND(K888&gt;=9.0,W888="Y")),"P0",IF(Z888&gt;=80,"P0",IF(Z888&gt;=60,"P1",IF(Z888&gt;=40,"P2",IF(Z888&gt;=20,"P3","P4")))))</f>
        <v/>
      </c>
      <c r="AD888">
        <f>IF(AB888&lt;&gt;"",AB888,AA888)</f>
        <v/>
      </c>
      <c r="AE888">
        <f>VLOOKUP(AD888,SLA_Definitions!$A$2:$B$6,2,FALSE)</f>
        <v/>
      </c>
      <c r="AF888">
        <f>IF(B888&lt;&gt;"",WORKDAY(B888,AE888),"")</f>
        <v/>
      </c>
      <c r="AG888">
        <f>IF(AF888&lt;&gt;"",NETWORKDAYS(TODAY(),AF888),"")</f>
        <v/>
      </c>
      <c r="AH888">
        <f>IF(AJ888="Complete","Complete",IF(AG888&lt;0,"Overdue",IF(AG888&lt;=AE888*0.2,"At Risk","On Track")))</f>
        <v/>
      </c>
      <c r="AK888">
        <f>IF(OR(AH888="Overdue",AND(AD888="P0",AG888&lt;1),AND(AD888="P1",AG888&lt;3)),"Y","N")</f>
        <v/>
      </c>
    </row>
    <row r="889">
      <c r="K889">
        <f>IF(J889="v4.0",L889,IF(J889="v3.1",M889,IF(J889="Both",L889,IF(AND(L889&lt;&gt;"",M889=""),L889,M889))))</f>
        <v/>
      </c>
      <c r="Z889">
        <f>MIN(100,
(K889*5) +
(U889*10) +
IF(P889="Y",40,0) +
IF(Q889="P",30,0) +
IF(V889="Y",25,0) +
IF(W889="Y",20,0) +
IF(X889="Weaponized",15,IF(X889="PoC Available",10,IF(X889="Public Exploit",5,0))) +
IF(G889="Production",10,IF(G889="DMZ",8,IF(G889="DR/Backup",5,0))) +
IF(Y889="N",10,0)
)</f>
        <v/>
      </c>
      <c r="AA889">
        <f>IF(OR(P889="Y",AND(K889&gt;=9.0,W889="Y")),"P0",IF(Z889&gt;=80,"P0",IF(Z889&gt;=60,"P1",IF(Z889&gt;=40,"P2",IF(Z889&gt;=20,"P3","P4")))))</f>
        <v/>
      </c>
      <c r="AD889">
        <f>IF(AB889&lt;&gt;"",AB889,AA889)</f>
        <v/>
      </c>
      <c r="AE889">
        <f>VLOOKUP(AD889,SLA_Definitions!$A$2:$B$6,2,FALSE)</f>
        <v/>
      </c>
      <c r="AF889">
        <f>IF(B889&lt;&gt;"",WORKDAY(B889,AE889),"")</f>
        <v/>
      </c>
      <c r="AG889">
        <f>IF(AF889&lt;&gt;"",NETWORKDAYS(TODAY(),AF889),"")</f>
        <v/>
      </c>
      <c r="AH889">
        <f>IF(AJ889="Complete","Complete",IF(AG889&lt;0,"Overdue",IF(AG889&lt;=AE889*0.2,"At Risk","On Track")))</f>
        <v/>
      </c>
      <c r="AK889">
        <f>IF(OR(AH889="Overdue",AND(AD889="P0",AG889&lt;1),AND(AD889="P1",AG889&lt;3)),"Y","N")</f>
        <v/>
      </c>
    </row>
    <row r="890">
      <c r="K890">
        <f>IF(J890="v4.0",L890,IF(J890="v3.1",M890,IF(J890="Both",L890,IF(AND(L890&lt;&gt;"",M890=""),L890,M890))))</f>
        <v/>
      </c>
      <c r="Z890">
        <f>MIN(100,
(K890*5) +
(U890*10) +
IF(P890="Y",40,0) +
IF(Q890="P",30,0) +
IF(V890="Y",25,0) +
IF(W890="Y",20,0) +
IF(X890="Weaponized",15,IF(X890="PoC Available",10,IF(X890="Public Exploit",5,0))) +
IF(G890="Production",10,IF(G890="DMZ",8,IF(G890="DR/Backup",5,0))) +
IF(Y890="N",10,0)
)</f>
        <v/>
      </c>
      <c r="AA890">
        <f>IF(OR(P890="Y",AND(K890&gt;=9.0,W890="Y")),"P0",IF(Z890&gt;=80,"P0",IF(Z890&gt;=60,"P1",IF(Z890&gt;=40,"P2",IF(Z890&gt;=20,"P3","P4")))))</f>
        <v/>
      </c>
      <c r="AD890">
        <f>IF(AB890&lt;&gt;"",AB890,AA890)</f>
        <v/>
      </c>
      <c r="AE890">
        <f>VLOOKUP(AD890,SLA_Definitions!$A$2:$B$6,2,FALSE)</f>
        <v/>
      </c>
      <c r="AF890">
        <f>IF(B890&lt;&gt;"",WORKDAY(B890,AE890),"")</f>
        <v/>
      </c>
      <c r="AG890">
        <f>IF(AF890&lt;&gt;"",NETWORKDAYS(TODAY(),AF890),"")</f>
        <v/>
      </c>
      <c r="AH890">
        <f>IF(AJ890="Complete","Complete",IF(AG890&lt;0,"Overdue",IF(AG890&lt;=AE890*0.2,"At Risk","On Track")))</f>
        <v/>
      </c>
      <c r="AK890">
        <f>IF(OR(AH890="Overdue",AND(AD890="P0",AG890&lt;1),AND(AD890="P1",AG890&lt;3)),"Y","N")</f>
        <v/>
      </c>
    </row>
    <row r="891">
      <c r="K891">
        <f>IF(J891="v4.0",L891,IF(J891="v3.1",M891,IF(J891="Both",L891,IF(AND(L891&lt;&gt;"",M891=""),L891,M891))))</f>
        <v/>
      </c>
      <c r="Z891">
        <f>MIN(100,
(K891*5) +
(U891*10) +
IF(P891="Y",40,0) +
IF(Q891="P",30,0) +
IF(V891="Y",25,0) +
IF(W891="Y",20,0) +
IF(X891="Weaponized",15,IF(X891="PoC Available",10,IF(X891="Public Exploit",5,0))) +
IF(G891="Production",10,IF(G891="DMZ",8,IF(G891="DR/Backup",5,0))) +
IF(Y891="N",10,0)
)</f>
        <v/>
      </c>
      <c r="AA891">
        <f>IF(OR(P891="Y",AND(K891&gt;=9.0,W891="Y")),"P0",IF(Z891&gt;=80,"P0",IF(Z891&gt;=60,"P1",IF(Z891&gt;=40,"P2",IF(Z891&gt;=20,"P3","P4")))))</f>
        <v/>
      </c>
      <c r="AD891">
        <f>IF(AB891&lt;&gt;"",AB891,AA891)</f>
        <v/>
      </c>
      <c r="AE891">
        <f>VLOOKUP(AD891,SLA_Definitions!$A$2:$B$6,2,FALSE)</f>
        <v/>
      </c>
      <c r="AF891">
        <f>IF(B891&lt;&gt;"",WORKDAY(B891,AE891),"")</f>
        <v/>
      </c>
      <c r="AG891">
        <f>IF(AF891&lt;&gt;"",NETWORKDAYS(TODAY(),AF891),"")</f>
        <v/>
      </c>
      <c r="AH891">
        <f>IF(AJ891="Complete","Complete",IF(AG891&lt;0,"Overdue",IF(AG891&lt;=AE891*0.2,"At Risk","On Track")))</f>
        <v/>
      </c>
      <c r="AK891">
        <f>IF(OR(AH891="Overdue",AND(AD891="P0",AG891&lt;1),AND(AD891="P1",AG891&lt;3)),"Y","N")</f>
        <v/>
      </c>
    </row>
    <row r="892">
      <c r="K892">
        <f>IF(J892="v4.0",L892,IF(J892="v3.1",M892,IF(J892="Both",L892,IF(AND(L892&lt;&gt;"",M892=""),L892,M892))))</f>
        <v/>
      </c>
      <c r="Z892">
        <f>MIN(100,
(K892*5) +
(U892*10) +
IF(P892="Y",40,0) +
IF(Q892="P",30,0) +
IF(V892="Y",25,0) +
IF(W892="Y",20,0) +
IF(X892="Weaponized",15,IF(X892="PoC Available",10,IF(X892="Public Exploit",5,0))) +
IF(G892="Production",10,IF(G892="DMZ",8,IF(G892="DR/Backup",5,0))) +
IF(Y892="N",10,0)
)</f>
        <v/>
      </c>
      <c r="AA892">
        <f>IF(OR(P892="Y",AND(K892&gt;=9.0,W892="Y")),"P0",IF(Z892&gt;=80,"P0",IF(Z892&gt;=60,"P1",IF(Z892&gt;=40,"P2",IF(Z892&gt;=20,"P3","P4")))))</f>
        <v/>
      </c>
      <c r="AD892">
        <f>IF(AB892&lt;&gt;"",AB892,AA892)</f>
        <v/>
      </c>
      <c r="AE892">
        <f>VLOOKUP(AD892,SLA_Definitions!$A$2:$B$6,2,FALSE)</f>
        <v/>
      </c>
      <c r="AF892">
        <f>IF(B892&lt;&gt;"",WORKDAY(B892,AE892),"")</f>
        <v/>
      </c>
      <c r="AG892">
        <f>IF(AF892&lt;&gt;"",NETWORKDAYS(TODAY(),AF892),"")</f>
        <v/>
      </c>
      <c r="AH892">
        <f>IF(AJ892="Complete","Complete",IF(AG892&lt;0,"Overdue",IF(AG892&lt;=AE892*0.2,"At Risk","On Track")))</f>
        <v/>
      </c>
      <c r="AK892">
        <f>IF(OR(AH892="Overdue",AND(AD892="P0",AG892&lt;1),AND(AD892="P1",AG892&lt;3)),"Y","N")</f>
        <v/>
      </c>
    </row>
    <row r="893">
      <c r="K893">
        <f>IF(J893="v4.0",L893,IF(J893="v3.1",M893,IF(J893="Both",L893,IF(AND(L893&lt;&gt;"",M893=""),L893,M893))))</f>
        <v/>
      </c>
      <c r="Z893">
        <f>MIN(100,
(K893*5) +
(U893*10) +
IF(P893="Y",40,0) +
IF(Q893="P",30,0) +
IF(V893="Y",25,0) +
IF(W893="Y",20,0) +
IF(X893="Weaponized",15,IF(X893="PoC Available",10,IF(X893="Public Exploit",5,0))) +
IF(G893="Production",10,IF(G893="DMZ",8,IF(G893="DR/Backup",5,0))) +
IF(Y893="N",10,0)
)</f>
        <v/>
      </c>
      <c r="AA893">
        <f>IF(OR(P893="Y",AND(K893&gt;=9.0,W893="Y")),"P0",IF(Z893&gt;=80,"P0",IF(Z893&gt;=60,"P1",IF(Z893&gt;=40,"P2",IF(Z893&gt;=20,"P3","P4")))))</f>
        <v/>
      </c>
      <c r="AD893">
        <f>IF(AB893&lt;&gt;"",AB893,AA893)</f>
        <v/>
      </c>
      <c r="AE893">
        <f>VLOOKUP(AD893,SLA_Definitions!$A$2:$B$6,2,FALSE)</f>
        <v/>
      </c>
      <c r="AF893">
        <f>IF(B893&lt;&gt;"",WORKDAY(B893,AE893),"")</f>
        <v/>
      </c>
      <c r="AG893">
        <f>IF(AF893&lt;&gt;"",NETWORKDAYS(TODAY(),AF893),"")</f>
        <v/>
      </c>
      <c r="AH893">
        <f>IF(AJ893="Complete","Complete",IF(AG893&lt;0,"Overdue",IF(AG893&lt;=AE893*0.2,"At Risk","On Track")))</f>
        <v/>
      </c>
      <c r="AK893">
        <f>IF(OR(AH893="Overdue",AND(AD893="P0",AG893&lt;1),AND(AD893="P1",AG893&lt;3)),"Y","N")</f>
        <v/>
      </c>
    </row>
    <row r="894">
      <c r="K894">
        <f>IF(J894="v4.0",L894,IF(J894="v3.1",M894,IF(J894="Both",L894,IF(AND(L894&lt;&gt;"",M894=""),L894,M894))))</f>
        <v/>
      </c>
      <c r="Z894">
        <f>MIN(100,
(K894*5) +
(U894*10) +
IF(P894="Y",40,0) +
IF(Q894="P",30,0) +
IF(V894="Y",25,0) +
IF(W894="Y",20,0) +
IF(X894="Weaponized",15,IF(X894="PoC Available",10,IF(X894="Public Exploit",5,0))) +
IF(G894="Production",10,IF(G894="DMZ",8,IF(G894="DR/Backup",5,0))) +
IF(Y894="N",10,0)
)</f>
        <v/>
      </c>
      <c r="AA894">
        <f>IF(OR(P894="Y",AND(K894&gt;=9.0,W894="Y")),"P0",IF(Z894&gt;=80,"P0",IF(Z894&gt;=60,"P1",IF(Z894&gt;=40,"P2",IF(Z894&gt;=20,"P3","P4")))))</f>
        <v/>
      </c>
      <c r="AD894">
        <f>IF(AB894&lt;&gt;"",AB894,AA894)</f>
        <v/>
      </c>
      <c r="AE894">
        <f>VLOOKUP(AD894,SLA_Definitions!$A$2:$B$6,2,FALSE)</f>
        <v/>
      </c>
      <c r="AF894">
        <f>IF(B894&lt;&gt;"",WORKDAY(B894,AE894),"")</f>
        <v/>
      </c>
      <c r="AG894">
        <f>IF(AF894&lt;&gt;"",NETWORKDAYS(TODAY(),AF894),"")</f>
        <v/>
      </c>
      <c r="AH894">
        <f>IF(AJ894="Complete","Complete",IF(AG894&lt;0,"Overdue",IF(AG894&lt;=AE894*0.2,"At Risk","On Track")))</f>
        <v/>
      </c>
      <c r="AK894">
        <f>IF(OR(AH894="Overdue",AND(AD894="P0",AG894&lt;1),AND(AD894="P1",AG894&lt;3)),"Y","N")</f>
        <v/>
      </c>
    </row>
    <row r="895">
      <c r="K895">
        <f>IF(J895="v4.0",L895,IF(J895="v3.1",M895,IF(J895="Both",L895,IF(AND(L895&lt;&gt;"",M895=""),L895,M895))))</f>
        <v/>
      </c>
      <c r="Z895">
        <f>MIN(100,
(K895*5) +
(U895*10) +
IF(P895="Y",40,0) +
IF(Q895="P",30,0) +
IF(V895="Y",25,0) +
IF(W895="Y",20,0) +
IF(X895="Weaponized",15,IF(X895="PoC Available",10,IF(X895="Public Exploit",5,0))) +
IF(G895="Production",10,IF(G895="DMZ",8,IF(G895="DR/Backup",5,0))) +
IF(Y895="N",10,0)
)</f>
        <v/>
      </c>
      <c r="AA895">
        <f>IF(OR(P895="Y",AND(K895&gt;=9.0,W895="Y")),"P0",IF(Z895&gt;=80,"P0",IF(Z895&gt;=60,"P1",IF(Z895&gt;=40,"P2",IF(Z895&gt;=20,"P3","P4")))))</f>
        <v/>
      </c>
      <c r="AD895">
        <f>IF(AB895&lt;&gt;"",AB895,AA895)</f>
        <v/>
      </c>
      <c r="AE895">
        <f>VLOOKUP(AD895,SLA_Definitions!$A$2:$B$6,2,FALSE)</f>
        <v/>
      </c>
      <c r="AF895">
        <f>IF(B895&lt;&gt;"",WORKDAY(B895,AE895),"")</f>
        <v/>
      </c>
      <c r="AG895">
        <f>IF(AF895&lt;&gt;"",NETWORKDAYS(TODAY(),AF895),"")</f>
        <v/>
      </c>
      <c r="AH895">
        <f>IF(AJ895="Complete","Complete",IF(AG895&lt;0,"Overdue",IF(AG895&lt;=AE895*0.2,"At Risk","On Track")))</f>
        <v/>
      </c>
      <c r="AK895">
        <f>IF(OR(AH895="Overdue",AND(AD895="P0",AG895&lt;1),AND(AD895="P1",AG895&lt;3)),"Y","N")</f>
        <v/>
      </c>
    </row>
    <row r="896">
      <c r="K896">
        <f>IF(J896="v4.0",L896,IF(J896="v3.1",M896,IF(J896="Both",L896,IF(AND(L896&lt;&gt;"",M896=""),L896,M896))))</f>
        <v/>
      </c>
      <c r="Z896">
        <f>MIN(100,
(K896*5) +
(U896*10) +
IF(P896="Y",40,0) +
IF(Q896="P",30,0) +
IF(V896="Y",25,0) +
IF(W896="Y",20,0) +
IF(X896="Weaponized",15,IF(X896="PoC Available",10,IF(X896="Public Exploit",5,0))) +
IF(G896="Production",10,IF(G896="DMZ",8,IF(G896="DR/Backup",5,0))) +
IF(Y896="N",10,0)
)</f>
        <v/>
      </c>
      <c r="AA896">
        <f>IF(OR(P896="Y",AND(K896&gt;=9.0,W896="Y")),"P0",IF(Z896&gt;=80,"P0",IF(Z896&gt;=60,"P1",IF(Z896&gt;=40,"P2",IF(Z896&gt;=20,"P3","P4")))))</f>
        <v/>
      </c>
      <c r="AD896">
        <f>IF(AB896&lt;&gt;"",AB896,AA896)</f>
        <v/>
      </c>
      <c r="AE896">
        <f>VLOOKUP(AD896,SLA_Definitions!$A$2:$B$6,2,FALSE)</f>
        <v/>
      </c>
      <c r="AF896">
        <f>IF(B896&lt;&gt;"",WORKDAY(B896,AE896),"")</f>
        <v/>
      </c>
      <c r="AG896">
        <f>IF(AF896&lt;&gt;"",NETWORKDAYS(TODAY(),AF896),"")</f>
        <v/>
      </c>
      <c r="AH896">
        <f>IF(AJ896="Complete","Complete",IF(AG896&lt;0,"Overdue",IF(AG896&lt;=AE896*0.2,"At Risk","On Track")))</f>
        <v/>
      </c>
      <c r="AK896">
        <f>IF(OR(AH896="Overdue",AND(AD896="P0",AG896&lt;1),AND(AD896="P1",AG896&lt;3)),"Y","N")</f>
        <v/>
      </c>
    </row>
    <row r="897">
      <c r="K897">
        <f>IF(J897="v4.0",L897,IF(J897="v3.1",M897,IF(J897="Both",L897,IF(AND(L897&lt;&gt;"",M897=""),L897,M897))))</f>
        <v/>
      </c>
      <c r="Z897">
        <f>MIN(100,
(K897*5) +
(U897*10) +
IF(P897="Y",40,0) +
IF(Q897="P",30,0) +
IF(V897="Y",25,0) +
IF(W897="Y",20,0) +
IF(X897="Weaponized",15,IF(X897="PoC Available",10,IF(X897="Public Exploit",5,0))) +
IF(G897="Production",10,IF(G897="DMZ",8,IF(G897="DR/Backup",5,0))) +
IF(Y897="N",10,0)
)</f>
        <v/>
      </c>
      <c r="AA897">
        <f>IF(OR(P897="Y",AND(K897&gt;=9.0,W897="Y")),"P0",IF(Z897&gt;=80,"P0",IF(Z897&gt;=60,"P1",IF(Z897&gt;=40,"P2",IF(Z897&gt;=20,"P3","P4")))))</f>
        <v/>
      </c>
      <c r="AD897">
        <f>IF(AB897&lt;&gt;"",AB897,AA897)</f>
        <v/>
      </c>
      <c r="AE897">
        <f>VLOOKUP(AD897,SLA_Definitions!$A$2:$B$6,2,FALSE)</f>
        <v/>
      </c>
      <c r="AF897">
        <f>IF(B897&lt;&gt;"",WORKDAY(B897,AE897),"")</f>
        <v/>
      </c>
      <c r="AG897">
        <f>IF(AF897&lt;&gt;"",NETWORKDAYS(TODAY(),AF897),"")</f>
        <v/>
      </c>
      <c r="AH897">
        <f>IF(AJ897="Complete","Complete",IF(AG897&lt;0,"Overdue",IF(AG897&lt;=AE897*0.2,"At Risk","On Track")))</f>
        <v/>
      </c>
      <c r="AK897">
        <f>IF(OR(AH897="Overdue",AND(AD897="P0",AG897&lt;1),AND(AD897="P1",AG897&lt;3)),"Y","N")</f>
        <v/>
      </c>
    </row>
    <row r="898">
      <c r="K898">
        <f>IF(J898="v4.0",L898,IF(J898="v3.1",M898,IF(J898="Both",L898,IF(AND(L898&lt;&gt;"",M898=""),L898,M898))))</f>
        <v/>
      </c>
      <c r="Z898">
        <f>MIN(100,
(K898*5) +
(U898*10) +
IF(P898="Y",40,0) +
IF(Q898="P",30,0) +
IF(V898="Y",25,0) +
IF(W898="Y",20,0) +
IF(X898="Weaponized",15,IF(X898="PoC Available",10,IF(X898="Public Exploit",5,0))) +
IF(G898="Production",10,IF(G898="DMZ",8,IF(G898="DR/Backup",5,0))) +
IF(Y898="N",10,0)
)</f>
        <v/>
      </c>
      <c r="AA898">
        <f>IF(OR(P898="Y",AND(K898&gt;=9.0,W898="Y")),"P0",IF(Z898&gt;=80,"P0",IF(Z898&gt;=60,"P1",IF(Z898&gt;=40,"P2",IF(Z898&gt;=20,"P3","P4")))))</f>
        <v/>
      </c>
      <c r="AD898">
        <f>IF(AB898&lt;&gt;"",AB898,AA898)</f>
        <v/>
      </c>
      <c r="AE898">
        <f>VLOOKUP(AD898,SLA_Definitions!$A$2:$B$6,2,FALSE)</f>
        <v/>
      </c>
      <c r="AF898">
        <f>IF(B898&lt;&gt;"",WORKDAY(B898,AE898),"")</f>
        <v/>
      </c>
      <c r="AG898">
        <f>IF(AF898&lt;&gt;"",NETWORKDAYS(TODAY(),AF898),"")</f>
        <v/>
      </c>
      <c r="AH898">
        <f>IF(AJ898="Complete","Complete",IF(AG898&lt;0,"Overdue",IF(AG898&lt;=AE898*0.2,"At Risk","On Track")))</f>
        <v/>
      </c>
      <c r="AK898">
        <f>IF(OR(AH898="Overdue",AND(AD898="P0",AG898&lt;1),AND(AD898="P1",AG898&lt;3)),"Y","N")</f>
        <v/>
      </c>
    </row>
    <row r="899">
      <c r="K899">
        <f>IF(J899="v4.0",L899,IF(J899="v3.1",M899,IF(J899="Both",L899,IF(AND(L899&lt;&gt;"",M899=""),L899,M899))))</f>
        <v/>
      </c>
      <c r="Z899">
        <f>MIN(100,
(K899*5) +
(U899*10) +
IF(P899="Y",40,0) +
IF(Q899="P",30,0) +
IF(V899="Y",25,0) +
IF(W899="Y",20,0) +
IF(X899="Weaponized",15,IF(X899="PoC Available",10,IF(X899="Public Exploit",5,0))) +
IF(G899="Production",10,IF(G899="DMZ",8,IF(G899="DR/Backup",5,0))) +
IF(Y899="N",10,0)
)</f>
        <v/>
      </c>
      <c r="AA899">
        <f>IF(OR(P899="Y",AND(K899&gt;=9.0,W899="Y")),"P0",IF(Z899&gt;=80,"P0",IF(Z899&gt;=60,"P1",IF(Z899&gt;=40,"P2",IF(Z899&gt;=20,"P3","P4")))))</f>
        <v/>
      </c>
      <c r="AD899">
        <f>IF(AB899&lt;&gt;"",AB899,AA899)</f>
        <v/>
      </c>
      <c r="AE899">
        <f>VLOOKUP(AD899,SLA_Definitions!$A$2:$B$6,2,FALSE)</f>
        <v/>
      </c>
      <c r="AF899">
        <f>IF(B899&lt;&gt;"",WORKDAY(B899,AE899),"")</f>
        <v/>
      </c>
      <c r="AG899">
        <f>IF(AF899&lt;&gt;"",NETWORKDAYS(TODAY(),AF899),"")</f>
        <v/>
      </c>
      <c r="AH899">
        <f>IF(AJ899="Complete","Complete",IF(AG899&lt;0,"Overdue",IF(AG899&lt;=AE899*0.2,"At Risk","On Track")))</f>
        <v/>
      </c>
      <c r="AK899">
        <f>IF(OR(AH899="Overdue",AND(AD899="P0",AG899&lt;1),AND(AD899="P1",AG899&lt;3)),"Y","N")</f>
        <v/>
      </c>
    </row>
    <row r="900">
      <c r="K900">
        <f>IF(J900="v4.0",L900,IF(J900="v3.1",M900,IF(J900="Both",L900,IF(AND(L900&lt;&gt;"",M900=""),L900,M900))))</f>
        <v/>
      </c>
      <c r="Z900">
        <f>MIN(100,
(K900*5) +
(U900*10) +
IF(P900="Y",40,0) +
IF(Q900="P",30,0) +
IF(V900="Y",25,0) +
IF(W900="Y",20,0) +
IF(X900="Weaponized",15,IF(X900="PoC Available",10,IF(X900="Public Exploit",5,0))) +
IF(G900="Production",10,IF(G900="DMZ",8,IF(G900="DR/Backup",5,0))) +
IF(Y900="N",10,0)
)</f>
        <v/>
      </c>
      <c r="AA900">
        <f>IF(OR(P900="Y",AND(K900&gt;=9.0,W900="Y")),"P0",IF(Z900&gt;=80,"P0",IF(Z900&gt;=60,"P1",IF(Z900&gt;=40,"P2",IF(Z900&gt;=20,"P3","P4")))))</f>
        <v/>
      </c>
      <c r="AD900">
        <f>IF(AB900&lt;&gt;"",AB900,AA900)</f>
        <v/>
      </c>
      <c r="AE900">
        <f>VLOOKUP(AD900,SLA_Definitions!$A$2:$B$6,2,FALSE)</f>
        <v/>
      </c>
      <c r="AF900">
        <f>IF(B900&lt;&gt;"",WORKDAY(B900,AE900),"")</f>
        <v/>
      </c>
      <c r="AG900">
        <f>IF(AF900&lt;&gt;"",NETWORKDAYS(TODAY(),AF900),"")</f>
        <v/>
      </c>
      <c r="AH900">
        <f>IF(AJ900="Complete","Complete",IF(AG900&lt;0,"Overdue",IF(AG900&lt;=AE900*0.2,"At Risk","On Track")))</f>
        <v/>
      </c>
      <c r="AK900">
        <f>IF(OR(AH900="Overdue",AND(AD900="P0",AG900&lt;1),AND(AD900="P1",AG900&lt;3)),"Y","N")</f>
        <v/>
      </c>
    </row>
    <row r="901">
      <c r="K901">
        <f>IF(J901="v4.0",L901,IF(J901="v3.1",M901,IF(J901="Both",L901,IF(AND(L901&lt;&gt;"",M901=""),L901,M901))))</f>
        <v/>
      </c>
      <c r="Z901">
        <f>MIN(100,
(K901*5) +
(U901*10) +
IF(P901="Y",40,0) +
IF(Q901="P",30,0) +
IF(V901="Y",25,0) +
IF(W901="Y",20,0) +
IF(X901="Weaponized",15,IF(X901="PoC Available",10,IF(X901="Public Exploit",5,0))) +
IF(G901="Production",10,IF(G901="DMZ",8,IF(G901="DR/Backup",5,0))) +
IF(Y901="N",10,0)
)</f>
        <v/>
      </c>
      <c r="AA901">
        <f>IF(OR(P901="Y",AND(K901&gt;=9.0,W901="Y")),"P0",IF(Z901&gt;=80,"P0",IF(Z901&gt;=60,"P1",IF(Z901&gt;=40,"P2",IF(Z901&gt;=20,"P3","P4")))))</f>
        <v/>
      </c>
      <c r="AD901">
        <f>IF(AB901&lt;&gt;"",AB901,AA901)</f>
        <v/>
      </c>
      <c r="AE901">
        <f>VLOOKUP(AD901,SLA_Definitions!$A$2:$B$6,2,FALSE)</f>
        <v/>
      </c>
      <c r="AF901">
        <f>IF(B901&lt;&gt;"",WORKDAY(B901,AE901),"")</f>
        <v/>
      </c>
      <c r="AG901">
        <f>IF(AF901&lt;&gt;"",NETWORKDAYS(TODAY(),AF901),"")</f>
        <v/>
      </c>
      <c r="AH901">
        <f>IF(AJ901="Complete","Complete",IF(AG901&lt;0,"Overdue",IF(AG901&lt;=AE901*0.2,"At Risk","On Track")))</f>
        <v/>
      </c>
      <c r="AK901">
        <f>IF(OR(AH901="Overdue",AND(AD901="P0",AG901&lt;1),AND(AD901="P1",AG901&lt;3)),"Y","N")</f>
        <v/>
      </c>
    </row>
    <row r="902">
      <c r="K902">
        <f>IF(J902="v4.0",L902,IF(J902="v3.1",M902,IF(J902="Both",L902,IF(AND(L902&lt;&gt;"",M902=""),L902,M902))))</f>
        <v/>
      </c>
      <c r="Z902">
        <f>MIN(100,
(K902*5) +
(U902*10) +
IF(P902="Y",40,0) +
IF(Q902="P",30,0) +
IF(V902="Y",25,0) +
IF(W902="Y",20,0) +
IF(X902="Weaponized",15,IF(X902="PoC Available",10,IF(X902="Public Exploit",5,0))) +
IF(G902="Production",10,IF(G902="DMZ",8,IF(G902="DR/Backup",5,0))) +
IF(Y902="N",10,0)
)</f>
        <v/>
      </c>
      <c r="AA902">
        <f>IF(OR(P902="Y",AND(K902&gt;=9.0,W902="Y")),"P0",IF(Z902&gt;=80,"P0",IF(Z902&gt;=60,"P1",IF(Z902&gt;=40,"P2",IF(Z902&gt;=20,"P3","P4")))))</f>
        <v/>
      </c>
      <c r="AD902">
        <f>IF(AB902&lt;&gt;"",AB902,AA902)</f>
        <v/>
      </c>
      <c r="AE902">
        <f>VLOOKUP(AD902,SLA_Definitions!$A$2:$B$6,2,FALSE)</f>
        <v/>
      </c>
      <c r="AF902">
        <f>IF(B902&lt;&gt;"",WORKDAY(B902,AE902),"")</f>
        <v/>
      </c>
      <c r="AG902">
        <f>IF(AF902&lt;&gt;"",NETWORKDAYS(TODAY(),AF902),"")</f>
        <v/>
      </c>
      <c r="AH902">
        <f>IF(AJ902="Complete","Complete",IF(AG902&lt;0,"Overdue",IF(AG902&lt;=AE902*0.2,"At Risk","On Track")))</f>
        <v/>
      </c>
      <c r="AK902">
        <f>IF(OR(AH902="Overdue",AND(AD902="P0",AG902&lt;1),AND(AD902="P1",AG902&lt;3)),"Y","N")</f>
        <v/>
      </c>
    </row>
    <row r="903">
      <c r="K903">
        <f>IF(J903="v4.0",L903,IF(J903="v3.1",M903,IF(J903="Both",L903,IF(AND(L903&lt;&gt;"",M903=""),L903,M903))))</f>
        <v/>
      </c>
      <c r="Z903">
        <f>MIN(100,
(K903*5) +
(U903*10) +
IF(P903="Y",40,0) +
IF(Q903="P",30,0) +
IF(V903="Y",25,0) +
IF(W903="Y",20,0) +
IF(X903="Weaponized",15,IF(X903="PoC Available",10,IF(X903="Public Exploit",5,0))) +
IF(G903="Production",10,IF(G903="DMZ",8,IF(G903="DR/Backup",5,0))) +
IF(Y903="N",10,0)
)</f>
        <v/>
      </c>
      <c r="AA903">
        <f>IF(OR(P903="Y",AND(K903&gt;=9.0,W903="Y")),"P0",IF(Z903&gt;=80,"P0",IF(Z903&gt;=60,"P1",IF(Z903&gt;=40,"P2",IF(Z903&gt;=20,"P3","P4")))))</f>
        <v/>
      </c>
      <c r="AD903">
        <f>IF(AB903&lt;&gt;"",AB903,AA903)</f>
        <v/>
      </c>
      <c r="AE903">
        <f>VLOOKUP(AD903,SLA_Definitions!$A$2:$B$6,2,FALSE)</f>
        <v/>
      </c>
      <c r="AF903">
        <f>IF(B903&lt;&gt;"",WORKDAY(B903,AE903),"")</f>
        <v/>
      </c>
      <c r="AG903">
        <f>IF(AF903&lt;&gt;"",NETWORKDAYS(TODAY(),AF903),"")</f>
        <v/>
      </c>
      <c r="AH903">
        <f>IF(AJ903="Complete","Complete",IF(AG903&lt;0,"Overdue",IF(AG903&lt;=AE903*0.2,"At Risk","On Track")))</f>
        <v/>
      </c>
      <c r="AK903">
        <f>IF(OR(AH903="Overdue",AND(AD903="P0",AG903&lt;1),AND(AD903="P1",AG903&lt;3)),"Y","N")</f>
        <v/>
      </c>
    </row>
    <row r="904">
      <c r="K904">
        <f>IF(J904="v4.0",L904,IF(J904="v3.1",M904,IF(J904="Both",L904,IF(AND(L904&lt;&gt;"",M904=""),L904,M904))))</f>
        <v/>
      </c>
      <c r="Z904">
        <f>MIN(100,
(K904*5) +
(U904*10) +
IF(P904="Y",40,0) +
IF(Q904="P",30,0) +
IF(V904="Y",25,0) +
IF(W904="Y",20,0) +
IF(X904="Weaponized",15,IF(X904="PoC Available",10,IF(X904="Public Exploit",5,0))) +
IF(G904="Production",10,IF(G904="DMZ",8,IF(G904="DR/Backup",5,0))) +
IF(Y904="N",10,0)
)</f>
        <v/>
      </c>
      <c r="AA904">
        <f>IF(OR(P904="Y",AND(K904&gt;=9.0,W904="Y")),"P0",IF(Z904&gt;=80,"P0",IF(Z904&gt;=60,"P1",IF(Z904&gt;=40,"P2",IF(Z904&gt;=20,"P3","P4")))))</f>
        <v/>
      </c>
      <c r="AD904">
        <f>IF(AB904&lt;&gt;"",AB904,AA904)</f>
        <v/>
      </c>
      <c r="AE904">
        <f>VLOOKUP(AD904,SLA_Definitions!$A$2:$B$6,2,FALSE)</f>
        <v/>
      </c>
      <c r="AF904">
        <f>IF(B904&lt;&gt;"",WORKDAY(B904,AE904),"")</f>
        <v/>
      </c>
      <c r="AG904">
        <f>IF(AF904&lt;&gt;"",NETWORKDAYS(TODAY(),AF904),"")</f>
        <v/>
      </c>
      <c r="AH904">
        <f>IF(AJ904="Complete","Complete",IF(AG904&lt;0,"Overdue",IF(AG904&lt;=AE904*0.2,"At Risk","On Track")))</f>
        <v/>
      </c>
      <c r="AK904">
        <f>IF(OR(AH904="Overdue",AND(AD904="P0",AG904&lt;1),AND(AD904="P1",AG904&lt;3)),"Y","N")</f>
        <v/>
      </c>
    </row>
    <row r="905">
      <c r="K905">
        <f>IF(J905="v4.0",L905,IF(J905="v3.1",M905,IF(J905="Both",L905,IF(AND(L905&lt;&gt;"",M905=""),L905,M905))))</f>
        <v/>
      </c>
      <c r="Z905">
        <f>MIN(100,
(K905*5) +
(U905*10) +
IF(P905="Y",40,0) +
IF(Q905="P",30,0) +
IF(V905="Y",25,0) +
IF(W905="Y",20,0) +
IF(X905="Weaponized",15,IF(X905="PoC Available",10,IF(X905="Public Exploit",5,0))) +
IF(G905="Production",10,IF(G905="DMZ",8,IF(G905="DR/Backup",5,0))) +
IF(Y905="N",10,0)
)</f>
        <v/>
      </c>
      <c r="AA905">
        <f>IF(OR(P905="Y",AND(K905&gt;=9.0,W905="Y")),"P0",IF(Z905&gt;=80,"P0",IF(Z905&gt;=60,"P1",IF(Z905&gt;=40,"P2",IF(Z905&gt;=20,"P3","P4")))))</f>
        <v/>
      </c>
      <c r="AD905">
        <f>IF(AB905&lt;&gt;"",AB905,AA905)</f>
        <v/>
      </c>
      <c r="AE905">
        <f>VLOOKUP(AD905,SLA_Definitions!$A$2:$B$6,2,FALSE)</f>
        <v/>
      </c>
      <c r="AF905">
        <f>IF(B905&lt;&gt;"",WORKDAY(B905,AE905),"")</f>
        <v/>
      </c>
      <c r="AG905">
        <f>IF(AF905&lt;&gt;"",NETWORKDAYS(TODAY(),AF905),"")</f>
        <v/>
      </c>
      <c r="AH905">
        <f>IF(AJ905="Complete","Complete",IF(AG905&lt;0,"Overdue",IF(AG905&lt;=AE905*0.2,"At Risk","On Track")))</f>
        <v/>
      </c>
      <c r="AK905">
        <f>IF(OR(AH905="Overdue",AND(AD905="P0",AG905&lt;1),AND(AD905="P1",AG905&lt;3)),"Y","N")</f>
        <v/>
      </c>
    </row>
    <row r="906">
      <c r="K906">
        <f>IF(J906="v4.0",L906,IF(J906="v3.1",M906,IF(J906="Both",L906,IF(AND(L906&lt;&gt;"",M906=""),L906,M906))))</f>
        <v/>
      </c>
      <c r="Z906">
        <f>MIN(100,
(K906*5) +
(U906*10) +
IF(P906="Y",40,0) +
IF(Q906="P",30,0) +
IF(V906="Y",25,0) +
IF(W906="Y",20,0) +
IF(X906="Weaponized",15,IF(X906="PoC Available",10,IF(X906="Public Exploit",5,0))) +
IF(G906="Production",10,IF(G906="DMZ",8,IF(G906="DR/Backup",5,0))) +
IF(Y906="N",10,0)
)</f>
        <v/>
      </c>
      <c r="AA906">
        <f>IF(OR(P906="Y",AND(K906&gt;=9.0,W906="Y")),"P0",IF(Z906&gt;=80,"P0",IF(Z906&gt;=60,"P1",IF(Z906&gt;=40,"P2",IF(Z906&gt;=20,"P3","P4")))))</f>
        <v/>
      </c>
      <c r="AD906">
        <f>IF(AB906&lt;&gt;"",AB906,AA906)</f>
        <v/>
      </c>
      <c r="AE906">
        <f>VLOOKUP(AD906,SLA_Definitions!$A$2:$B$6,2,FALSE)</f>
        <v/>
      </c>
      <c r="AF906">
        <f>IF(B906&lt;&gt;"",WORKDAY(B906,AE906),"")</f>
        <v/>
      </c>
      <c r="AG906">
        <f>IF(AF906&lt;&gt;"",NETWORKDAYS(TODAY(),AF906),"")</f>
        <v/>
      </c>
      <c r="AH906">
        <f>IF(AJ906="Complete","Complete",IF(AG906&lt;0,"Overdue",IF(AG906&lt;=AE906*0.2,"At Risk","On Track")))</f>
        <v/>
      </c>
      <c r="AK906">
        <f>IF(OR(AH906="Overdue",AND(AD906="P0",AG906&lt;1),AND(AD906="P1",AG906&lt;3)),"Y","N")</f>
        <v/>
      </c>
    </row>
    <row r="907">
      <c r="K907">
        <f>IF(J907="v4.0",L907,IF(J907="v3.1",M907,IF(J907="Both",L907,IF(AND(L907&lt;&gt;"",M907=""),L907,M907))))</f>
        <v/>
      </c>
      <c r="Z907">
        <f>MIN(100,
(K907*5) +
(U907*10) +
IF(P907="Y",40,0) +
IF(Q907="P",30,0) +
IF(V907="Y",25,0) +
IF(W907="Y",20,0) +
IF(X907="Weaponized",15,IF(X907="PoC Available",10,IF(X907="Public Exploit",5,0))) +
IF(G907="Production",10,IF(G907="DMZ",8,IF(G907="DR/Backup",5,0))) +
IF(Y907="N",10,0)
)</f>
        <v/>
      </c>
      <c r="AA907">
        <f>IF(OR(P907="Y",AND(K907&gt;=9.0,W907="Y")),"P0",IF(Z907&gt;=80,"P0",IF(Z907&gt;=60,"P1",IF(Z907&gt;=40,"P2",IF(Z907&gt;=20,"P3","P4")))))</f>
        <v/>
      </c>
      <c r="AD907">
        <f>IF(AB907&lt;&gt;"",AB907,AA907)</f>
        <v/>
      </c>
      <c r="AE907">
        <f>VLOOKUP(AD907,SLA_Definitions!$A$2:$B$6,2,FALSE)</f>
        <v/>
      </c>
      <c r="AF907">
        <f>IF(B907&lt;&gt;"",WORKDAY(B907,AE907),"")</f>
        <v/>
      </c>
      <c r="AG907">
        <f>IF(AF907&lt;&gt;"",NETWORKDAYS(TODAY(),AF907),"")</f>
        <v/>
      </c>
      <c r="AH907">
        <f>IF(AJ907="Complete","Complete",IF(AG907&lt;0,"Overdue",IF(AG907&lt;=AE907*0.2,"At Risk","On Track")))</f>
        <v/>
      </c>
      <c r="AK907">
        <f>IF(OR(AH907="Overdue",AND(AD907="P0",AG907&lt;1),AND(AD907="P1",AG907&lt;3)),"Y","N")</f>
        <v/>
      </c>
    </row>
    <row r="908">
      <c r="K908">
        <f>IF(J908="v4.0",L908,IF(J908="v3.1",M908,IF(J908="Both",L908,IF(AND(L908&lt;&gt;"",M908=""),L908,M908))))</f>
        <v/>
      </c>
      <c r="Z908">
        <f>MIN(100,
(K908*5) +
(U908*10) +
IF(P908="Y",40,0) +
IF(Q908="P",30,0) +
IF(V908="Y",25,0) +
IF(W908="Y",20,0) +
IF(X908="Weaponized",15,IF(X908="PoC Available",10,IF(X908="Public Exploit",5,0))) +
IF(G908="Production",10,IF(G908="DMZ",8,IF(G908="DR/Backup",5,0))) +
IF(Y908="N",10,0)
)</f>
        <v/>
      </c>
      <c r="AA908">
        <f>IF(OR(P908="Y",AND(K908&gt;=9.0,W908="Y")),"P0",IF(Z908&gt;=80,"P0",IF(Z908&gt;=60,"P1",IF(Z908&gt;=40,"P2",IF(Z908&gt;=20,"P3","P4")))))</f>
        <v/>
      </c>
      <c r="AD908">
        <f>IF(AB908&lt;&gt;"",AB908,AA908)</f>
        <v/>
      </c>
      <c r="AE908">
        <f>VLOOKUP(AD908,SLA_Definitions!$A$2:$B$6,2,FALSE)</f>
        <v/>
      </c>
      <c r="AF908">
        <f>IF(B908&lt;&gt;"",WORKDAY(B908,AE908),"")</f>
        <v/>
      </c>
      <c r="AG908">
        <f>IF(AF908&lt;&gt;"",NETWORKDAYS(TODAY(),AF908),"")</f>
        <v/>
      </c>
      <c r="AH908">
        <f>IF(AJ908="Complete","Complete",IF(AG908&lt;0,"Overdue",IF(AG908&lt;=AE908*0.2,"At Risk","On Track")))</f>
        <v/>
      </c>
      <c r="AK908">
        <f>IF(OR(AH908="Overdue",AND(AD908="P0",AG908&lt;1),AND(AD908="P1",AG908&lt;3)),"Y","N")</f>
        <v/>
      </c>
    </row>
    <row r="909">
      <c r="K909">
        <f>IF(J909="v4.0",L909,IF(J909="v3.1",M909,IF(J909="Both",L909,IF(AND(L909&lt;&gt;"",M909=""),L909,M909))))</f>
        <v/>
      </c>
      <c r="Z909">
        <f>MIN(100,
(K909*5) +
(U909*10) +
IF(P909="Y",40,0) +
IF(Q909="P",30,0) +
IF(V909="Y",25,0) +
IF(W909="Y",20,0) +
IF(X909="Weaponized",15,IF(X909="PoC Available",10,IF(X909="Public Exploit",5,0))) +
IF(G909="Production",10,IF(G909="DMZ",8,IF(G909="DR/Backup",5,0))) +
IF(Y909="N",10,0)
)</f>
        <v/>
      </c>
      <c r="AA909">
        <f>IF(OR(P909="Y",AND(K909&gt;=9.0,W909="Y")),"P0",IF(Z909&gt;=80,"P0",IF(Z909&gt;=60,"P1",IF(Z909&gt;=40,"P2",IF(Z909&gt;=20,"P3","P4")))))</f>
        <v/>
      </c>
      <c r="AD909">
        <f>IF(AB909&lt;&gt;"",AB909,AA909)</f>
        <v/>
      </c>
      <c r="AE909">
        <f>VLOOKUP(AD909,SLA_Definitions!$A$2:$B$6,2,FALSE)</f>
        <v/>
      </c>
      <c r="AF909">
        <f>IF(B909&lt;&gt;"",WORKDAY(B909,AE909),"")</f>
        <v/>
      </c>
      <c r="AG909">
        <f>IF(AF909&lt;&gt;"",NETWORKDAYS(TODAY(),AF909),"")</f>
        <v/>
      </c>
      <c r="AH909">
        <f>IF(AJ909="Complete","Complete",IF(AG909&lt;0,"Overdue",IF(AG909&lt;=AE909*0.2,"At Risk","On Track")))</f>
        <v/>
      </c>
      <c r="AK909">
        <f>IF(OR(AH909="Overdue",AND(AD909="P0",AG909&lt;1),AND(AD909="P1",AG909&lt;3)),"Y","N")</f>
        <v/>
      </c>
    </row>
    <row r="910">
      <c r="K910">
        <f>IF(J910="v4.0",L910,IF(J910="v3.1",M910,IF(J910="Both",L910,IF(AND(L910&lt;&gt;"",M910=""),L910,M910))))</f>
        <v/>
      </c>
      <c r="Z910">
        <f>MIN(100,
(K910*5) +
(U910*10) +
IF(P910="Y",40,0) +
IF(Q910="P",30,0) +
IF(V910="Y",25,0) +
IF(W910="Y",20,0) +
IF(X910="Weaponized",15,IF(X910="PoC Available",10,IF(X910="Public Exploit",5,0))) +
IF(G910="Production",10,IF(G910="DMZ",8,IF(G910="DR/Backup",5,0))) +
IF(Y910="N",10,0)
)</f>
        <v/>
      </c>
      <c r="AA910">
        <f>IF(OR(P910="Y",AND(K910&gt;=9.0,W910="Y")),"P0",IF(Z910&gt;=80,"P0",IF(Z910&gt;=60,"P1",IF(Z910&gt;=40,"P2",IF(Z910&gt;=20,"P3","P4")))))</f>
        <v/>
      </c>
      <c r="AD910">
        <f>IF(AB910&lt;&gt;"",AB910,AA910)</f>
        <v/>
      </c>
      <c r="AE910">
        <f>VLOOKUP(AD910,SLA_Definitions!$A$2:$B$6,2,FALSE)</f>
        <v/>
      </c>
      <c r="AF910">
        <f>IF(B910&lt;&gt;"",WORKDAY(B910,AE910),"")</f>
        <v/>
      </c>
      <c r="AG910">
        <f>IF(AF910&lt;&gt;"",NETWORKDAYS(TODAY(),AF910),"")</f>
        <v/>
      </c>
      <c r="AH910">
        <f>IF(AJ910="Complete","Complete",IF(AG910&lt;0,"Overdue",IF(AG910&lt;=AE910*0.2,"At Risk","On Track")))</f>
        <v/>
      </c>
      <c r="AK910">
        <f>IF(OR(AH910="Overdue",AND(AD910="P0",AG910&lt;1),AND(AD910="P1",AG910&lt;3)),"Y","N")</f>
        <v/>
      </c>
    </row>
    <row r="911">
      <c r="K911">
        <f>IF(J911="v4.0",L911,IF(J911="v3.1",M911,IF(J911="Both",L911,IF(AND(L911&lt;&gt;"",M911=""),L911,M911))))</f>
        <v/>
      </c>
      <c r="Z911">
        <f>MIN(100,
(K911*5) +
(U911*10) +
IF(P911="Y",40,0) +
IF(Q911="P",30,0) +
IF(V911="Y",25,0) +
IF(W911="Y",20,0) +
IF(X911="Weaponized",15,IF(X911="PoC Available",10,IF(X911="Public Exploit",5,0))) +
IF(G911="Production",10,IF(G911="DMZ",8,IF(G911="DR/Backup",5,0))) +
IF(Y911="N",10,0)
)</f>
        <v/>
      </c>
      <c r="AA911">
        <f>IF(OR(P911="Y",AND(K911&gt;=9.0,W911="Y")),"P0",IF(Z911&gt;=80,"P0",IF(Z911&gt;=60,"P1",IF(Z911&gt;=40,"P2",IF(Z911&gt;=20,"P3","P4")))))</f>
        <v/>
      </c>
      <c r="AD911">
        <f>IF(AB911&lt;&gt;"",AB911,AA911)</f>
        <v/>
      </c>
      <c r="AE911">
        <f>VLOOKUP(AD911,SLA_Definitions!$A$2:$B$6,2,FALSE)</f>
        <v/>
      </c>
      <c r="AF911">
        <f>IF(B911&lt;&gt;"",WORKDAY(B911,AE911),"")</f>
        <v/>
      </c>
      <c r="AG911">
        <f>IF(AF911&lt;&gt;"",NETWORKDAYS(TODAY(),AF911),"")</f>
        <v/>
      </c>
      <c r="AH911">
        <f>IF(AJ911="Complete","Complete",IF(AG911&lt;0,"Overdue",IF(AG911&lt;=AE911*0.2,"At Risk","On Track")))</f>
        <v/>
      </c>
      <c r="AK911">
        <f>IF(OR(AH911="Overdue",AND(AD911="P0",AG911&lt;1),AND(AD911="P1",AG911&lt;3)),"Y","N")</f>
        <v/>
      </c>
    </row>
    <row r="912">
      <c r="K912">
        <f>IF(J912="v4.0",L912,IF(J912="v3.1",M912,IF(J912="Both",L912,IF(AND(L912&lt;&gt;"",M912=""),L912,M912))))</f>
        <v/>
      </c>
      <c r="Z912">
        <f>MIN(100,
(K912*5) +
(U912*10) +
IF(P912="Y",40,0) +
IF(Q912="P",30,0) +
IF(V912="Y",25,0) +
IF(W912="Y",20,0) +
IF(X912="Weaponized",15,IF(X912="PoC Available",10,IF(X912="Public Exploit",5,0))) +
IF(G912="Production",10,IF(G912="DMZ",8,IF(G912="DR/Backup",5,0))) +
IF(Y912="N",10,0)
)</f>
        <v/>
      </c>
      <c r="AA912">
        <f>IF(OR(P912="Y",AND(K912&gt;=9.0,W912="Y")),"P0",IF(Z912&gt;=80,"P0",IF(Z912&gt;=60,"P1",IF(Z912&gt;=40,"P2",IF(Z912&gt;=20,"P3","P4")))))</f>
        <v/>
      </c>
      <c r="AD912">
        <f>IF(AB912&lt;&gt;"",AB912,AA912)</f>
        <v/>
      </c>
      <c r="AE912">
        <f>VLOOKUP(AD912,SLA_Definitions!$A$2:$B$6,2,FALSE)</f>
        <v/>
      </c>
      <c r="AF912">
        <f>IF(B912&lt;&gt;"",WORKDAY(B912,AE912),"")</f>
        <v/>
      </c>
      <c r="AG912">
        <f>IF(AF912&lt;&gt;"",NETWORKDAYS(TODAY(),AF912),"")</f>
        <v/>
      </c>
      <c r="AH912">
        <f>IF(AJ912="Complete","Complete",IF(AG912&lt;0,"Overdue",IF(AG912&lt;=AE912*0.2,"At Risk","On Track")))</f>
        <v/>
      </c>
      <c r="AK912">
        <f>IF(OR(AH912="Overdue",AND(AD912="P0",AG912&lt;1),AND(AD912="P1",AG912&lt;3)),"Y","N")</f>
        <v/>
      </c>
    </row>
    <row r="913">
      <c r="K913">
        <f>IF(J913="v4.0",L913,IF(J913="v3.1",M913,IF(J913="Both",L913,IF(AND(L913&lt;&gt;"",M913=""),L913,M913))))</f>
        <v/>
      </c>
      <c r="Z913">
        <f>MIN(100,
(K913*5) +
(U913*10) +
IF(P913="Y",40,0) +
IF(Q913="P",30,0) +
IF(V913="Y",25,0) +
IF(W913="Y",20,0) +
IF(X913="Weaponized",15,IF(X913="PoC Available",10,IF(X913="Public Exploit",5,0))) +
IF(G913="Production",10,IF(G913="DMZ",8,IF(G913="DR/Backup",5,0))) +
IF(Y913="N",10,0)
)</f>
        <v/>
      </c>
      <c r="AA913">
        <f>IF(OR(P913="Y",AND(K913&gt;=9.0,W913="Y")),"P0",IF(Z913&gt;=80,"P0",IF(Z913&gt;=60,"P1",IF(Z913&gt;=40,"P2",IF(Z913&gt;=20,"P3","P4")))))</f>
        <v/>
      </c>
      <c r="AD913">
        <f>IF(AB913&lt;&gt;"",AB913,AA913)</f>
        <v/>
      </c>
      <c r="AE913">
        <f>VLOOKUP(AD913,SLA_Definitions!$A$2:$B$6,2,FALSE)</f>
        <v/>
      </c>
      <c r="AF913">
        <f>IF(B913&lt;&gt;"",WORKDAY(B913,AE913),"")</f>
        <v/>
      </c>
      <c r="AG913">
        <f>IF(AF913&lt;&gt;"",NETWORKDAYS(TODAY(),AF913),"")</f>
        <v/>
      </c>
      <c r="AH913">
        <f>IF(AJ913="Complete","Complete",IF(AG913&lt;0,"Overdue",IF(AG913&lt;=AE913*0.2,"At Risk","On Track")))</f>
        <v/>
      </c>
      <c r="AK913">
        <f>IF(OR(AH913="Overdue",AND(AD913="P0",AG913&lt;1),AND(AD913="P1",AG913&lt;3)),"Y","N")</f>
        <v/>
      </c>
    </row>
    <row r="914">
      <c r="K914">
        <f>IF(J914="v4.0",L914,IF(J914="v3.1",M914,IF(J914="Both",L914,IF(AND(L914&lt;&gt;"",M914=""),L914,M914))))</f>
        <v/>
      </c>
      <c r="Z914">
        <f>MIN(100,
(K914*5) +
(U914*10) +
IF(P914="Y",40,0) +
IF(Q914="P",30,0) +
IF(V914="Y",25,0) +
IF(W914="Y",20,0) +
IF(X914="Weaponized",15,IF(X914="PoC Available",10,IF(X914="Public Exploit",5,0))) +
IF(G914="Production",10,IF(G914="DMZ",8,IF(G914="DR/Backup",5,0))) +
IF(Y914="N",10,0)
)</f>
        <v/>
      </c>
      <c r="AA914">
        <f>IF(OR(P914="Y",AND(K914&gt;=9.0,W914="Y")),"P0",IF(Z914&gt;=80,"P0",IF(Z914&gt;=60,"P1",IF(Z914&gt;=40,"P2",IF(Z914&gt;=20,"P3","P4")))))</f>
        <v/>
      </c>
      <c r="AD914">
        <f>IF(AB914&lt;&gt;"",AB914,AA914)</f>
        <v/>
      </c>
      <c r="AE914">
        <f>VLOOKUP(AD914,SLA_Definitions!$A$2:$B$6,2,FALSE)</f>
        <v/>
      </c>
      <c r="AF914">
        <f>IF(B914&lt;&gt;"",WORKDAY(B914,AE914),"")</f>
        <v/>
      </c>
      <c r="AG914">
        <f>IF(AF914&lt;&gt;"",NETWORKDAYS(TODAY(),AF914),"")</f>
        <v/>
      </c>
      <c r="AH914">
        <f>IF(AJ914="Complete","Complete",IF(AG914&lt;0,"Overdue",IF(AG914&lt;=AE914*0.2,"At Risk","On Track")))</f>
        <v/>
      </c>
      <c r="AK914">
        <f>IF(OR(AH914="Overdue",AND(AD914="P0",AG914&lt;1),AND(AD914="P1",AG914&lt;3)),"Y","N")</f>
        <v/>
      </c>
    </row>
    <row r="915">
      <c r="K915">
        <f>IF(J915="v4.0",L915,IF(J915="v3.1",M915,IF(J915="Both",L915,IF(AND(L915&lt;&gt;"",M915=""),L915,M915))))</f>
        <v/>
      </c>
      <c r="Z915">
        <f>MIN(100,
(K915*5) +
(U915*10) +
IF(P915="Y",40,0) +
IF(Q915="P",30,0) +
IF(V915="Y",25,0) +
IF(W915="Y",20,0) +
IF(X915="Weaponized",15,IF(X915="PoC Available",10,IF(X915="Public Exploit",5,0))) +
IF(G915="Production",10,IF(G915="DMZ",8,IF(G915="DR/Backup",5,0))) +
IF(Y915="N",10,0)
)</f>
        <v/>
      </c>
      <c r="AA915">
        <f>IF(OR(P915="Y",AND(K915&gt;=9.0,W915="Y")),"P0",IF(Z915&gt;=80,"P0",IF(Z915&gt;=60,"P1",IF(Z915&gt;=40,"P2",IF(Z915&gt;=20,"P3","P4")))))</f>
        <v/>
      </c>
      <c r="AD915">
        <f>IF(AB915&lt;&gt;"",AB915,AA915)</f>
        <v/>
      </c>
      <c r="AE915">
        <f>VLOOKUP(AD915,SLA_Definitions!$A$2:$B$6,2,FALSE)</f>
        <v/>
      </c>
      <c r="AF915">
        <f>IF(B915&lt;&gt;"",WORKDAY(B915,AE915),"")</f>
        <v/>
      </c>
      <c r="AG915">
        <f>IF(AF915&lt;&gt;"",NETWORKDAYS(TODAY(),AF915),"")</f>
        <v/>
      </c>
      <c r="AH915">
        <f>IF(AJ915="Complete","Complete",IF(AG915&lt;0,"Overdue",IF(AG915&lt;=AE915*0.2,"At Risk","On Track")))</f>
        <v/>
      </c>
      <c r="AK915">
        <f>IF(OR(AH915="Overdue",AND(AD915="P0",AG915&lt;1),AND(AD915="P1",AG915&lt;3)),"Y","N")</f>
        <v/>
      </c>
    </row>
    <row r="916">
      <c r="K916">
        <f>IF(J916="v4.0",L916,IF(J916="v3.1",M916,IF(J916="Both",L916,IF(AND(L916&lt;&gt;"",M916=""),L916,M916))))</f>
        <v/>
      </c>
      <c r="Z916">
        <f>MIN(100,
(K916*5) +
(U916*10) +
IF(P916="Y",40,0) +
IF(Q916="P",30,0) +
IF(V916="Y",25,0) +
IF(W916="Y",20,0) +
IF(X916="Weaponized",15,IF(X916="PoC Available",10,IF(X916="Public Exploit",5,0))) +
IF(G916="Production",10,IF(G916="DMZ",8,IF(G916="DR/Backup",5,0))) +
IF(Y916="N",10,0)
)</f>
        <v/>
      </c>
      <c r="AA916">
        <f>IF(OR(P916="Y",AND(K916&gt;=9.0,W916="Y")),"P0",IF(Z916&gt;=80,"P0",IF(Z916&gt;=60,"P1",IF(Z916&gt;=40,"P2",IF(Z916&gt;=20,"P3","P4")))))</f>
        <v/>
      </c>
      <c r="AD916">
        <f>IF(AB916&lt;&gt;"",AB916,AA916)</f>
        <v/>
      </c>
      <c r="AE916">
        <f>VLOOKUP(AD916,SLA_Definitions!$A$2:$B$6,2,FALSE)</f>
        <v/>
      </c>
      <c r="AF916">
        <f>IF(B916&lt;&gt;"",WORKDAY(B916,AE916),"")</f>
        <v/>
      </c>
      <c r="AG916">
        <f>IF(AF916&lt;&gt;"",NETWORKDAYS(TODAY(),AF916),"")</f>
        <v/>
      </c>
      <c r="AH916">
        <f>IF(AJ916="Complete","Complete",IF(AG916&lt;0,"Overdue",IF(AG916&lt;=AE916*0.2,"At Risk","On Track")))</f>
        <v/>
      </c>
      <c r="AK916">
        <f>IF(OR(AH916="Overdue",AND(AD916="P0",AG916&lt;1),AND(AD916="P1",AG916&lt;3)),"Y","N")</f>
        <v/>
      </c>
    </row>
    <row r="917">
      <c r="K917">
        <f>IF(J917="v4.0",L917,IF(J917="v3.1",M917,IF(J917="Both",L917,IF(AND(L917&lt;&gt;"",M917=""),L917,M917))))</f>
        <v/>
      </c>
      <c r="Z917">
        <f>MIN(100,
(K917*5) +
(U917*10) +
IF(P917="Y",40,0) +
IF(Q917="P",30,0) +
IF(V917="Y",25,0) +
IF(W917="Y",20,0) +
IF(X917="Weaponized",15,IF(X917="PoC Available",10,IF(X917="Public Exploit",5,0))) +
IF(G917="Production",10,IF(G917="DMZ",8,IF(G917="DR/Backup",5,0))) +
IF(Y917="N",10,0)
)</f>
        <v/>
      </c>
      <c r="AA917">
        <f>IF(OR(P917="Y",AND(K917&gt;=9.0,W917="Y")),"P0",IF(Z917&gt;=80,"P0",IF(Z917&gt;=60,"P1",IF(Z917&gt;=40,"P2",IF(Z917&gt;=20,"P3","P4")))))</f>
        <v/>
      </c>
      <c r="AD917">
        <f>IF(AB917&lt;&gt;"",AB917,AA917)</f>
        <v/>
      </c>
      <c r="AE917">
        <f>VLOOKUP(AD917,SLA_Definitions!$A$2:$B$6,2,FALSE)</f>
        <v/>
      </c>
      <c r="AF917">
        <f>IF(B917&lt;&gt;"",WORKDAY(B917,AE917),"")</f>
        <v/>
      </c>
      <c r="AG917">
        <f>IF(AF917&lt;&gt;"",NETWORKDAYS(TODAY(),AF917),"")</f>
        <v/>
      </c>
      <c r="AH917">
        <f>IF(AJ917="Complete","Complete",IF(AG917&lt;0,"Overdue",IF(AG917&lt;=AE917*0.2,"At Risk","On Track")))</f>
        <v/>
      </c>
      <c r="AK917">
        <f>IF(OR(AH917="Overdue",AND(AD917="P0",AG917&lt;1),AND(AD917="P1",AG917&lt;3)),"Y","N")</f>
        <v/>
      </c>
    </row>
    <row r="918">
      <c r="K918">
        <f>IF(J918="v4.0",L918,IF(J918="v3.1",M918,IF(J918="Both",L918,IF(AND(L918&lt;&gt;"",M918=""),L918,M918))))</f>
        <v/>
      </c>
      <c r="Z918">
        <f>MIN(100,
(K918*5) +
(U918*10) +
IF(P918="Y",40,0) +
IF(Q918="P",30,0) +
IF(V918="Y",25,0) +
IF(W918="Y",20,0) +
IF(X918="Weaponized",15,IF(X918="PoC Available",10,IF(X918="Public Exploit",5,0))) +
IF(G918="Production",10,IF(G918="DMZ",8,IF(G918="DR/Backup",5,0))) +
IF(Y918="N",10,0)
)</f>
        <v/>
      </c>
      <c r="AA918">
        <f>IF(OR(P918="Y",AND(K918&gt;=9.0,W918="Y")),"P0",IF(Z918&gt;=80,"P0",IF(Z918&gt;=60,"P1",IF(Z918&gt;=40,"P2",IF(Z918&gt;=20,"P3","P4")))))</f>
        <v/>
      </c>
      <c r="AD918">
        <f>IF(AB918&lt;&gt;"",AB918,AA918)</f>
        <v/>
      </c>
      <c r="AE918">
        <f>VLOOKUP(AD918,SLA_Definitions!$A$2:$B$6,2,FALSE)</f>
        <v/>
      </c>
      <c r="AF918">
        <f>IF(B918&lt;&gt;"",WORKDAY(B918,AE918),"")</f>
        <v/>
      </c>
      <c r="AG918">
        <f>IF(AF918&lt;&gt;"",NETWORKDAYS(TODAY(),AF918),"")</f>
        <v/>
      </c>
      <c r="AH918">
        <f>IF(AJ918="Complete","Complete",IF(AG918&lt;0,"Overdue",IF(AG918&lt;=AE918*0.2,"At Risk","On Track")))</f>
        <v/>
      </c>
      <c r="AK918">
        <f>IF(OR(AH918="Overdue",AND(AD918="P0",AG918&lt;1),AND(AD918="P1",AG918&lt;3)),"Y","N")</f>
        <v/>
      </c>
    </row>
    <row r="919">
      <c r="K919">
        <f>IF(J919="v4.0",L919,IF(J919="v3.1",M919,IF(J919="Both",L919,IF(AND(L919&lt;&gt;"",M919=""),L919,M919))))</f>
        <v/>
      </c>
      <c r="Z919">
        <f>MIN(100,
(K919*5) +
(U919*10) +
IF(P919="Y",40,0) +
IF(Q919="P",30,0) +
IF(V919="Y",25,0) +
IF(W919="Y",20,0) +
IF(X919="Weaponized",15,IF(X919="PoC Available",10,IF(X919="Public Exploit",5,0))) +
IF(G919="Production",10,IF(G919="DMZ",8,IF(G919="DR/Backup",5,0))) +
IF(Y919="N",10,0)
)</f>
        <v/>
      </c>
      <c r="AA919">
        <f>IF(OR(P919="Y",AND(K919&gt;=9.0,W919="Y")),"P0",IF(Z919&gt;=80,"P0",IF(Z919&gt;=60,"P1",IF(Z919&gt;=40,"P2",IF(Z919&gt;=20,"P3","P4")))))</f>
        <v/>
      </c>
      <c r="AD919">
        <f>IF(AB919&lt;&gt;"",AB919,AA919)</f>
        <v/>
      </c>
      <c r="AE919">
        <f>VLOOKUP(AD919,SLA_Definitions!$A$2:$B$6,2,FALSE)</f>
        <v/>
      </c>
      <c r="AF919">
        <f>IF(B919&lt;&gt;"",WORKDAY(B919,AE919),"")</f>
        <v/>
      </c>
      <c r="AG919">
        <f>IF(AF919&lt;&gt;"",NETWORKDAYS(TODAY(),AF919),"")</f>
        <v/>
      </c>
      <c r="AH919">
        <f>IF(AJ919="Complete","Complete",IF(AG919&lt;0,"Overdue",IF(AG919&lt;=AE919*0.2,"At Risk","On Track")))</f>
        <v/>
      </c>
      <c r="AK919">
        <f>IF(OR(AH919="Overdue",AND(AD919="P0",AG919&lt;1),AND(AD919="P1",AG919&lt;3)),"Y","N")</f>
        <v/>
      </c>
    </row>
    <row r="920">
      <c r="K920">
        <f>IF(J920="v4.0",L920,IF(J920="v3.1",M920,IF(J920="Both",L920,IF(AND(L920&lt;&gt;"",M920=""),L920,M920))))</f>
        <v/>
      </c>
      <c r="Z920">
        <f>MIN(100,
(K920*5) +
(U920*10) +
IF(P920="Y",40,0) +
IF(Q920="P",30,0) +
IF(V920="Y",25,0) +
IF(W920="Y",20,0) +
IF(X920="Weaponized",15,IF(X920="PoC Available",10,IF(X920="Public Exploit",5,0))) +
IF(G920="Production",10,IF(G920="DMZ",8,IF(G920="DR/Backup",5,0))) +
IF(Y920="N",10,0)
)</f>
        <v/>
      </c>
      <c r="AA920">
        <f>IF(OR(P920="Y",AND(K920&gt;=9.0,W920="Y")),"P0",IF(Z920&gt;=80,"P0",IF(Z920&gt;=60,"P1",IF(Z920&gt;=40,"P2",IF(Z920&gt;=20,"P3","P4")))))</f>
        <v/>
      </c>
      <c r="AD920">
        <f>IF(AB920&lt;&gt;"",AB920,AA920)</f>
        <v/>
      </c>
      <c r="AE920">
        <f>VLOOKUP(AD920,SLA_Definitions!$A$2:$B$6,2,FALSE)</f>
        <v/>
      </c>
      <c r="AF920">
        <f>IF(B920&lt;&gt;"",WORKDAY(B920,AE920),"")</f>
        <v/>
      </c>
      <c r="AG920">
        <f>IF(AF920&lt;&gt;"",NETWORKDAYS(TODAY(),AF920),"")</f>
        <v/>
      </c>
      <c r="AH920">
        <f>IF(AJ920="Complete","Complete",IF(AG920&lt;0,"Overdue",IF(AG920&lt;=AE920*0.2,"At Risk","On Track")))</f>
        <v/>
      </c>
      <c r="AK920">
        <f>IF(OR(AH920="Overdue",AND(AD920="P0",AG920&lt;1),AND(AD920="P1",AG920&lt;3)),"Y","N")</f>
        <v/>
      </c>
    </row>
    <row r="921">
      <c r="K921">
        <f>IF(J921="v4.0",L921,IF(J921="v3.1",M921,IF(J921="Both",L921,IF(AND(L921&lt;&gt;"",M921=""),L921,M921))))</f>
        <v/>
      </c>
      <c r="Z921">
        <f>MIN(100,
(K921*5) +
(U921*10) +
IF(P921="Y",40,0) +
IF(Q921="P",30,0) +
IF(V921="Y",25,0) +
IF(W921="Y",20,0) +
IF(X921="Weaponized",15,IF(X921="PoC Available",10,IF(X921="Public Exploit",5,0))) +
IF(G921="Production",10,IF(G921="DMZ",8,IF(G921="DR/Backup",5,0))) +
IF(Y921="N",10,0)
)</f>
        <v/>
      </c>
      <c r="AA921">
        <f>IF(OR(P921="Y",AND(K921&gt;=9.0,W921="Y")),"P0",IF(Z921&gt;=80,"P0",IF(Z921&gt;=60,"P1",IF(Z921&gt;=40,"P2",IF(Z921&gt;=20,"P3","P4")))))</f>
        <v/>
      </c>
      <c r="AD921">
        <f>IF(AB921&lt;&gt;"",AB921,AA921)</f>
        <v/>
      </c>
      <c r="AE921">
        <f>VLOOKUP(AD921,SLA_Definitions!$A$2:$B$6,2,FALSE)</f>
        <v/>
      </c>
      <c r="AF921">
        <f>IF(B921&lt;&gt;"",WORKDAY(B921,AE921),"")</f>
        <v/>
      </c>
      <c r="AG921">
        <f>IF(AF921&lt;&gt;"",NETWORKDAYS(TODAY(),AF921),"")</f>
        <v/>
      </c>
      <c r="AH921">
        <f>IF(AJ921="Complete","Complete",IF(AG921&lt;0,"Overdue",IF(AG921&lt;=AE921*0.2,"At Risk","On Track")))</f>
        <v/>
      </c>
      <c r="AK921">
        <f>IF(OR(AH921="Overdue",AND(AD921="P0",AG921&lt;1),AND(AD921="P1",AG921&lt;3)),"Y","N")</f>
        <v/>
      </c>
    </row>
    <row r="922">
      <c r="K922">
        <f>IF(J922="v4.0",L922,IF(J922="v3.1",M922,IF(J922="Both",L922,IF(AND(L922&lt;&gt;"",M922=""),L922,M922))))</f>
        <v/>
      </c>
      <c r="Z922">
        <f>MIN(100,
(K922*5) +
(U922*10) +
IF(P922="Y",40,0) +
IF(Q922="P",30,0) +
IF(V922="Y",25,0) +
IF(W922="Y",20,0) +
IF(X922="Weaponized",15,IF(X922="PoC Available",10,IF(X922="Public Exploit",5,0))) +
IF(G922="Production",10,IF(G922="DMZ",8,IF(G922="DR/Backup",5,0))) +
IF(Y922="N",10,0)
)</f>
        <v/>
      </c>
      <c r="AA922">
        <f>IF(OR(P922="Y",AND(K922&gt;=9.0,W922="Y")),"P0",IF(Z922&gt;=80,"P0",IF(Z922&gt;=60,"P1",IF(Z922&gt;=40,"P2",IF(Z922&gt;=20,"P3","P4")))))</f>
        <v/>
      </c>
      <c r="AD922">
        <f>IF(AB922&lt;&gt;"",AB922,AA922)</f>
        <v/>
      </c>
      <c r="AE922">
        <f>VLOOKUP(AD922,SLA_Definitions!$A$2:$B$6,2,FALSE)</f>
        <v/>
      </c>
      <c r="AF922">
        <f>IF(B922&lt;&gt;"",WORKDAY(B922,AE922),"")</f>
        <v/>
      </c>
      <c r="AG922">
        <f>IF(AF922&lt;&gt;"",NETWORKDAYS(TODAY(),AF922),"")</f>
        <v/>
      </c>
      <c r="AH922">
        <f>IF(AJ922="Complete","Complete",IF(AG922&lt;0,"Overdue",IF(AG922&lt;=AE922*0.2,"At Risk","On Track")))</f>
        <v/>
      </c>
      <c r="AK922">
        <f>IF(OR(AH922="Overdue",AND(AD922="P0",AG922&lt;1),AND(AD922="P1",AG922&lt;3)),"Y","N")</f>
        <v/>
      </c>
    </row>
    <row r="923">
      <c r="K923">
        <f>IF(J923="v4.0",L923,IF(J923="v3.1",M923,IF(J923="Both",L923,IF(AND(L923&lt;&gt;"",M923=""),L923,M923))))</f>
        <v/>
      </c>
      <c r="Z923">
        <f>MIN(100,
(K923*5) +
(U923*10) +
IF(P923="Y",40,0) +
IF(Q923="P",30,0) +
IF(V923="Y",25,0) +
IF(W923="Y",20,0) +
IF(X923="Weaponized",15,IF(X923="PoC Available",10,IF(X923="Public Exploit",5,0))) +
IF(G923="Production",10,IF(G923="DMZ",8,IF(G923="DR/Backup",5,0))) +
IF(Y923="N",10,0)
)</f>
        <v/>
      </c>
      <c r="AA923">
        <f>IF(OR(P923="Y",AND(K923&gt;=9.0,W923="Y")),"P0",IF(Z923&gt;=80,"P0",IF(Z923&gt;=60,"P1",IF(Z923&gt;=40,"P2",IF(Z923&gt;=20,"P3","P4")))))</f>
        <v/>
      </c>
      <c r="AD923">
        <f>IF(AB923&lt;&gt;"",AB923,AA923)</f>
        <v/>
      </c>
      <c r="AE923">
        <f>VLOOKUP(AD923,SLA_Definitions!$A$2:$B$6,2,FALSE)</f>
        <v/>
      </c>
      <c r="AF923">
        <f>IF(B923&lt;&gt;"",WORKDAY(B923,AE923),"")</f>
        <v/>
      </c>
      <c r="AG923">
        <f>IF(AF923&lt;&gt;"",NETWORKDAYS(TODAY(),AF923),"")</f>
        <v/>
      </c>
      <c r="AH923">
        <f>IF(AJ923="Complete","Complete",IF(AG923&lt;0,"Overdue",IF(AG923&lt;=AE923*0.2,"At Risk","On Track")))</f>
        <v/>
      </c>
      <c r="AK923">
        <f>IF(OR(AH923="Overdue",AND(AD923="P0",AG923&lt;1),AND(AD923="P1",AG923&lt;3)),"Y","N")</f>
        <v/>
      </c>
    </row>
    <row r="924">
      <c r="K924">
        <f>IF(J924="v4.0",L924,IF(J924="v3.1",M924,IF(J924="Both",L924,IF(AND(L924&lt;&gt;"",M924=""),L924,M924))))</f>
        <v/>
      </c>
      <c r="Z924">
        <f>MIN(100,
(K924*5) +
(U924*10) +
IF(P924="Y",40,0) +
IF(Q924="P",30,0) +
IF(V924="Y",25,0) +
IF(W924="Y",20,0) +
IF(X924="Weaponized",15,IF(X924="PoC Available",10,IF(X924="Public Exploit",5,0))) +
IF(G924="Production",10,IF(G924="DMZ",8,IF(G924="DR/Backup",5,0))) +
IF(Y924="N",10,0)
)</f>
        <v/>
      </c>
      <c r="AA924">
        <f>IF(OR(P924="Y",AND(K924&gt;=9.0,W924="Y")),"P0",IF(Z924&gt;=80,"P0",IF(Z924&gt;=60,"P1",IF(Z924&gt;=40,"P2",IF(Z924&gt;=20,"P3","P4")))))</f>
        <v/>
      </c>
      <c r="AD924">
        <f>IF(AB924&lt;&gt;"",AB924,AA924)</f>
        <v/>
      </c>
      <c r="AE924">
        <f>VLOOKUP(AD924,SLA_Definitions!$A$2:$B$6,2,FALSE)</f>
        <v/>
      </c>
      <c r="AF924">
        <f>IF(B924&lt;&gt;"",WORKDAY(B924,AE924),"")</f>
        <v/>
      </c>
      <c r="AG924">
        <f>IF(AF924&lt;&gt;"",NETWORKDAYS(TODAY(),AF924),"")</f>
        <v/>
      </c>
      <c r="AH924">
        <f>IF(AJ924="Complete","Complete",IF(AG924&lt;0,"Overdue",IF(AG924&lt;=AE924*0.2,"At Risk","On Track")))</f>
        <v/>
      </c>
      <c r="AK924">
        <f>IF(OR(AH924="Overdue",AND(AD924="P0",AG924&lt;1),AND(AD924="P1",AG924&lt;3)),"Y","N")</f>
        <v/>
      </c>
    </row>
    <row r="925">
      <c r="K925">
        <f>IF(J925="v4.0",L925,IF(J925="v3.1",M925,IF(J925="Both",L925,IF(AND(L925&lt;&gt;"",M925=""),L925,M925))))</f>
        <v/>
      </c>
      <c r="Z925">
        <f>MIN(100,
(K925*5) +
(U925*10) +
IF(P925="Y",40,0) +
IF(Q925="P",30,0) +
IF(V925="Y",25,0) +
IF(W925="Y",20,0) +
IF(X925="Weaponized",15,IF(X925="PoC Available",10,IF(X925="Public Exploit",5,0))) +
IF(G925="Production",10,IF(G925="DMZ",8,IF(G925="DR/Backup",5,0))) +
IF(Y925="N",10,0)
)</f>
        <v/>
      </c>
      <c r="AA925">
        <f>IF(OR(P925="Y",AND(K925&gt;=9.0,W925="Y")),"P0",IF(Z925&gt;=80,"P0",IF(Z925&gt;=60,"P1",IF(Z925&gt;=40,"P2",IF(Z925&gt;=20,"P3","P4")))))</f>
        <v/>
      </c>
      <c r="AD925">
        <f>IF(AB925&lt;&gt;"",AB925,AA925)</f>
        <v/>
      </c>
      <c r="AE925">
        <f>VLOOKUP(AD925,SLA_Definitions!$A$2:$B$6,2,FALSE)</f>
        <v/>
      </c>
      <c r="AF925">
        <f>IF(B925&lt;&gt;"",WORKDAY(B925,AE925),"")</f>
        <v/>
      </c>
      <c r="AG925">
        <f>IF(AF925&lt;&gt;"",NETWORKDAYS(TODAY(),AF925),"")</f>
        <v/>
      </c>
      <c r="AH925">
        <f>IF(AJ925="Complete","Complete",IF(AG925&lt;0,"Overdue",IF(AG925&lt;=AE925*0.2,"At Risk","On Track")))</f>
        <v/>
      </c>
      <c r="AK925">
        <f>IF(OR(AH925="Overdue",AND(AD925="P0",AG925&lt;1),AND(AD925="P1",AG925&lt;3)),"Y","N")</f>
        <v/>
      </c>
    </row>
    <row r="926">
      <c r="K926">
        <f>IF(J926="v4.0",L926,IF(J926="v3.1",M926,IF(J926="Both",L926,IF(AND(L926&lt;&gt;"",M926=""),L926,M926))))</f>
        <v/>
      </c>
      <c r="Z926">
        <f>MIN(100,
(K926*5) +
(U926*10) +
IF(P926="Y",40,0) +
IF(Q926="P",30,0) +
IF(V926="Y",25,0) +
IF(W926="Y",20,0) +
IF(X926="Weaponized",15,IF(X926="PoC Available",10,IF(X926="Public Exploit",5,0))) +
IF(G926="Production",10,IF(G926="DMZ",8,IF(G926="DR/Backup",5,0))) +
IF(Y926="N",10,0)
)</f>
        <v/>
      </c>
      <c r="AA926">
        <f>IF(OR(P926="Y",AND(K926&gt;=9.0,W926="Y")),"P0",IF(Z926&gt;=80,"P0",IF(Z926&gt;=60,"P1",IF(Z926&gt;=40,"P2",IF(Z926&gt;=20,"P3","P4")))))</f>
        <v/>
      </c>
      <c r="AD926">
        <f>IF(AB926&lt;&gt;"",AB926,AA926)</f>
        <v/>
      </c>
      <c r="AE926">
        <f>VLOOKUP(AD926,SLA_Definitions!$A$2:$B$6,2,FALSE)</f>
        <v/>
      </c>
      <c r="AF926">
        <f>IF(B926&lt;&gt;"",WORKDAY(B926,AE926),"")</f>
        <v/>
      </c>
      <c r="AG926">
        <f>IF(AF926&lt;&gt;"",NETWORKDAYS(TODAY(),AF926),"")</f>
        <v/>
      </c>
      <c r="AH926">
        <f>IF(AJ926="Complete","Complete",IF(AG926&lt;0,"Overdue",IF(AG926&lt;=AE926*0.2,"At Risk","On Track")))</f>
        <v/>
      </c>
      <c r="AK926">
        <f>IF(OR(AH926="Overdue",AND(AD926="P0",AG926&lt;1),AND(AD926="P1",AG926&lt;3)),"Y","N")</f>
        <v/>
      </c>
    </row>
    <row r="927">
      <c r="K927">
        <f>IF(J927="v4.0",L927,IF(J927="v3.1",M927,IF(J927="Both",L927,IF(AND(L927&lt;&gt;"",M927=""),L927,M927))))</f>
        <v/>
      </c>
      <c r="Z927">
        <f>MIN(100,
(K927*5) +
(U927*10) +
IF(P927="Y",40,0) +
IF(Q927="P",30,0) +
IF(V927="Y",25,0) +
IF(W927="Y",20,0) +
IF(X927="Weaponized",15,IF(X927="PoC Available",10,IF(X927="Public Exploit",5,0))) +
IF(G927="Production",10,IF(G927="DMZ",8,IF(G927="DR/Backup",5,0))) +
IF(Y927="N",10,0)
)</f>
        <v/>
      </c>
      <c r="AA927">
        <f>IF(OR(P927="Y",AND(K927&gt;=9.0,W927="Y")),"P0",IF(Z927&gt;=80,"P0",IF(Z927&gt;=60,"P1",IF(Z927&gt;=40,"P2",IF(Z927&gt;=20,"P3","P4")))))</f>
        <v/>
      </c>
      <c r="AD927">
        <f>IF(AB927&lt;&gt;"",AB927,AA927)</f>
        <v/>
      </c>
      <c r="AE927">
        <f>VLOOKUP(AD927,SLA_Definitions!$A$2:$B$6,2,FALSE)</f>
        <v/>
      </c>
      <c r="AF927">
        <f>IF(B927&lt;&gt;"",WORKDAY(B927,AE927),"")</f>
        <v/>
      </c>
      <c r="AG927">
        <f>IF(AF927&lt;&gt;"",NETWORKDAYS(TODAY(),AF927),"")</f>
        <v/>
      </c>
      <c r="AH927">
        <f>IF(AJ927="Complete","Complete",IF(AG927&lt;0,"Overdue",IF(AG927&lt;=AE927*0.2,"At Risk","On Track")))</f>
        <v/>
      </c>
      <c r="AK927">
        <f>IF(OR(AH927="Overdue",AND(AD927="P0",AG927&lt;1),AND(AD927="P1",AG927&lt;3)),"Y","N")</f>
        <v/>
      </c>
    </row>
    <row r="928">
      <c r="K928">
        <f>IF(J928="v4.0",L928,IF(J928="v3.1",M928,IF(J928="Both",L928,IF(AND(L928&lt;&gt;"",M928=""),L928,M928))))</f>
        <v/>
      </c>
      <c r="Z928">
        <f>MIN(100,
(K928*5) +
(U928*10) +
IF(P928="Y",40,0) +
IF(Q928="P",30,0) +
IF(V928="Y",25,0) +
IF(W928="Y",20,0) +
IF(X928="Weaponized",15,IF(X928="PoC Available",10,IF(X928="Public Exploit",5,0))) +
IF(G928="Production",10,IF(G928="DMZ",8,IF(G928="DR/Backup",5,0))) +
IF(Y928="N",10,0)
)</f>
        <v/>
      </c>
      <c r="AA928">
        <f>IF(OR(P928="Y",AND(K928&gt;=9.0,W928="Y")),"P0",IF(Z928&gt;=80,"P0",IF(Z928&gt;=60,"P1",IF(Z928&gt;=40,"P2",IF(Z928&gt;=20,"P3","P4")))))</f>
        <v/>
      </c>
      <c r="AD928">
        <f>IF(AB928&lt;&gt;"",AB928,AA928)</f>
        <v/>
      </c>
      <c r="AE928">
        <f>VLOOKUP(AD928,SLA_Definitions!$A$2:$B$6,2,FALSE)</f>
        <v/>
      </c>
      <c r="AF928">
        <f>IF(B928&lt;&gt;"",WORKDAY(B928,AE928),"")</f>
        <v/>
      </c>
      <c r="AG928">
        <f>IF(AF928&lt;&gt;"",NETWORKDAYS(TODAY(),AF928),"")</f>
        <v/>
      </c>
      <c r="AH928">
        <f>IF(AJ928="Complete","Complete",IF(AG928&lt;0,"Overdue",IF(AG928&lt;=AE928*0.2,"At Risk","On Track")))</f>
        <v/>
      </c>
      <c r="AK928">
        <f>IF(OR(AH928="Overdue",AND(AD928="P0",AG928&lt;1),AND(AD928="P1",AG928&lt;3)),"Y","N")</f>
        <v/>
      </c>
    </row>
    <row r="929">
      <c r="K929">
        <f>IF(J929="v4.0",L929,IF(J929="v3.1",M929,IF(J929="Both",L929,IF(AND(L929&lt;&gt;"",M929=""),L929,M929))))</f>
        <v/>
      </c>
      <c r="Z929">
        <f>MIN(100,
(K929*5) +
(U929*10) +
IF(P929="Y",40,0) +
IF(Q929="P",30,0) +
IF(V929="Y",25,0) +
IF(W929="Y",20,0) +
IF(X929="Weaponized",15,IF(X929="PoC Available",10,IF(X929="Public Exploit",5,0))) +
IF(G929="Production",10,IF(G929="DMZ",8,IF(G929="DR/Backup",5,0))) +
IF(Y929="N",10,0)
)</f>
        <v/>
      </c>
      <c r="AA929">
        <f>IF(OR(P929="Y",AND(K929&gt;=9.0,W929="Y")),"P0",IF(Z929&gt;=80,"P0",IF(Z929&gt;=60,"P1",IF(Z929&gt;=40,"P2",IF(Z929&gt;=20,"P3","P4")))))</f>
        <v/>
      </c>
      <c r="AD929">
        <f>IF(AB929&lt;&gt;"",AB929,AA929)</f>
        <v/>
      </c>
      <c r="AE929">
        <f>VLOOKUP(AD929,SLA_Definitions!$A$2:$B$6,2,FALSE)</f>
        <v/>
      </c>
      <c r="AF929">
        <f>IF(B929&lt;&gt;"",WORKDAY(B929,AE929),"")</f>
        <v/>
      </c>
      <c r="AG929">
        <f>IF(AF929&lt;&gt;"",NETWORKDAYS(TODAY(),AF929),"")</f>
        <v/>
      </c>
      <c r="AH929">
        <f>IF(AJ929="Complete","Complete",IF(AG929&lt;0,"Overdue",IF(AG929&lt;=AE929*0.2,"At Risk","On Track")))</f>
        <v/>
      </c>
      <c r="AK929">
        <f>IF(OR(AH929="Overdue",AND(AD929="P0",AG929&lt;1),AND(AD929="P1",AG929&lt;3)),"Y","N")</f>
        <v/>
      </c>
    </row>
    <row r="930">
      <c r="K930">
        <f>IF(J930="v4.0",L930,IF(J930="v3.1",M930,IF(J930="Both",L930,IF(AND(L930&lt;&gt;"",M930=""),L930,M930))))</f>
        <v/>
      </c>
      <c r="Z930">
        <f>MIN(100,
(K930*5) +
(U930*10) +
IF(P930="Y",40,0) +
IF(Q930="P",30,0) +
IF(V930="Y",25,0) +
IF(W930="Y",20,0) +
IF(X930="Weaponized",15,IF(X930="PoC Available",10,IF(X930="Public Exploit",5,0))) +
IF(G930="Production",10,IF(G930="DMZ",8,IF(G930="DR/Backup",5,0))) +
IF(Y930="N",10,0)
)</f>
        <v/>
      </c>
      <c r="AA930">
        <f>IF(OR(P930="Y",AND(K930&gt;=9.0,W930="Y")),"P0",IF(Z930&gt;=80,"P0",IF(Z930&gt;=60,"P1",IF(Z930&gt;=40,"P2",IF(Z930&gt;=20,"P3","P4")))))</f>
        <v/>
      </c>
      <c r="AD930">
        <f>IF(AB930&lt;&gt;"",AB930,AA930)</f>
        <v/>
      </c>
      <c r="AE930">
        <f>VLOOKUP(AD930,SLA_Definitions!$A$2:$B$6,2,FALSE)</f>
        <v/>
      </c>
      <c r="AF930">
        <f>IF(B930&lt;&gt;"",WORKDAY(B930,AE930),"")</f>
        <v/>
      </c>
      <c r="AG930">
        <f>IF(AF930&lt;&gt;"",NETWORKDAYS(TODAY(),AF930),"")</f>
        <v/>
      </c>
      <c r="AH930">
        <f>IF(AJ930="Complete","Complete",IF(AG930&lt;0,"Overdue",IF(AG930&lt;=AE930*0.2,"At Risk","On Track")))</f>
        <v/>
      </c>
      <c r="AK930">
        <f>IF(OR(AH930="Overdue",AND(AD930="P0",AG930&lt;1),AND(AD930="P1",AG930&lt;3)),"Y","N")</f>
        <v/>
      </c>
    </row>
    <row r="931">
      <c r="K931">
        <f>IF(J931="v4.0",L931,IF(J931="v3.1",M931,IF(J931="Both",L931,IF(AND(L931&lt;&gt;"",M931=""),L931,M931))))</f>
        <v/>
      </c>
      <c r="Z931">
        <f>MIN(100,
(K931*5) +
(U931*10) +
IF(P931="Y",40,0) +
IF(Q931="P",30,0) +
IF(V931="Y",25,0) +
IF(W931="Y",20,0) +
IF(X931="Weaponized",15,IF(X931="PoC Available",10,IF(X931="Public Exploit",5,0))) +
IF(G931="Production",10,IF(G931="DMZ",8,IF(G931="DR/Backup",5,0))) +
IF(Y931="N",10,0)
)</f>
        <v/>
      </c>
      <c r="AA931">
        <f>IF(OR(P931="Y",AND(K931&gt;=9.0,W931="Y")),"P0",IF(Z931&gt;=80,"P0",IF(Z931&gt;=60,"P1",IF(Z931&gt;=40,"P2",IF(Z931&gt;=20,"P3","P4")))))</f>
        <v/>
      </c>
      <c r="AD931">
        <f>IF(AB931&lt;&gt;"",AB931,AA931)</f>
        <v/>
      </c>
      <c r="AE931">
        <f>VLOOKUP(AD931,SLA_Definitions!$A$2:$B$6,2,FALSE)</f>
        <v/>
      </c>
      <c r="AF931">
        <f>IF(B931&lt;&gt;"",WORKDAY(B931,AE931),"")</f>
        <v/>
      </c>
      <c r="AG931">
        <f>IF(AF931&lt;&gt;"",NETWORKDAYS(TODAY(),AF931),"")</f>
        <v/>
      </c>
      <c r="AH931">
        <f>IF(AJ931="Complete","Complete",IF(AG931&lt;0,"Overdue",IF(AG931&lt;=AE931*0.2,"At Risk","On Track")))</f>
        <v/>
      </c>
      <c r="AK931">
        <f>IF(OR(AH931="Overdue",AND(AD931="P0",AG931&lt;1),AND(AD931="P1",AG931&lt;3)),"Y","N")</f>
        <v/>
      </c>
    </row>
    <row r="932">
      <c r="K932">
        <f>IF(J932="v4.0",L932,IF(J932="v3.1",M932,IF(J932="Both",L932,IF(AND(L932&lt;&gt;"",M932=""),L932,M932))))</f>
        <v/>
      </c>
      <c r="Z932">
        <f>MIN(100,
(K932*5) +
(U932*10) +
IF(P932="Y",40,0) +
IF(Q932="P",30,0) +
IF(V932="Y",25,0) +
IF(W932="Y",20,0) +
IF(X932="Weaponized",15,IF(X932="PoC Available",10,IF(X932="Public Exploit",5,0))) +
IF(G932="Production",10,IF(G932="DMZ",8,IF(G932="DR/Backup",5,0))) +
IF(Y932="N",10,0)
)</f>
        <v/>
      </c>
      <c r="AA932">
        <f>IF(OR(P932="Y",AND(K932&gt;=9.0,W932="Y")),"P0",IF(Z932&gt;=80,"P0",IF(Z932&gt;=60,"P1",IF(Z932&gt;=40,"P2",IF(Z932&gt;=20,"P3","P4")))))</f>
        <v/>
      </c>
      <c r="AD932">
        <f>IF(AB932&lt;&gt;"",AB932,AA932)</f>
        <v/>
      </c>
      <c r="AE932">
        <f>VLOOKUP(AD932,SLA_Definitions!$A$2:$B$6,2,FALSE)</f>
        <v/>
      </c>
      <c r="AF932">
        <f>IF(B932&lt;&gt;"",WORKDAY(B932,AE932),"")</f>
        <v/>
      </c>
      <c r="AG932">
        <f>IF(AF932&lt;&gt;"",NETWORKDAYS(TODAY(),AF932),"")</f>
        <v/>
      </c>
      <c r="AH932">
        <f>IF(AJ932="Complete","Complete",IF(AG932&lt;0,"Overdue",IF(AG932&lt;=AE932*0.2,"At Risk","On Track")))</f>
        <v/>
      </c>
      <c r="AK932">
        <f>IF(OR(AH932="Overdue",AND(AD932="P0",AG932&lt;1),AND(AD932="P1",AG932&lt;3)),"Y","N")</f>
        <v/>
      </c>
    </row>
    <row r="933">
      <c r="K933">
        <f>IF(J933="v4.0",L933,IF(J933="v3.1",M933,IF(J933="Both",L933,IF(AND(L933&lt;&gt;"",M933=""),L933,M933))))</f>
        <v/>
      </c>
      <c r="Z933">
        <f>MIN(100,
(K933*5) +
(U933*10) +
IF(P933="Y",40,0) +
IF(Q933="P",30,0) +
IF(V933="Y",25,0) +
IF(W933="Y",20,0) +
IF(X933="Weaponized",15,IF(X933="PoC Available",10,IF(X933="Public Exploit",5,0))) +
IF(G933="Production",10,IF(G933="DMZ",8,IF(G933="DR/Backup",5,0))) +
IF(Y933="N",10,0)
)</f>
        <v/>
      </c>
      <c r="AA933">
        <f>IF(OR(P933="Y",AND(K933&gt;=9.0,W933="Y")),"P0",IF(Z933&gt;=80,"P0",IF(Z933&gt;=60,"P1",IF(Z933&gt;=40,"P2",IF(Z933&gt;=20,"P3","P4")))))</f>
        <v/>
      </c>
      <c r="AD933">
        <f>IF(AB933&lt;&gt;"",AB933,AA933)</f>
        <v/>
      </c>
      <c r="AE933">
        <f>VLOOKUP(AD933,SLA_Definitions!$A$2:$B$6,2,FALSE)</f>
        <v/>
      </c>
      <c r="AF933">
        <f>IF(B933&lt;&gt;"",WORKDAY(B933,AE933),"")</f>
        <v/>
      </c>
      <c r="AG933">
        <f>IF(AF933&lt;&gt;"",NETWORKDAYS(TODAY(),AF933),"")</f>
        <v/>
      </c>
      <c r="AH933">
        <f>IF(AJ933="Complete","Complete",IF(AG933&lt;0,"Overdue",IF(AG933&lt;=AE933*0.2,"At Risk","On Track")))</f>
        <v/>
      </c>
      <c r="AK933">
        <f>IF(OR(AH933="Overdue",AND(AD933="P0",AG933&lt;1),AND(AD933="P1",AG933&lt;3)),"Y","N")</f>
        <v/>
      </c>
    </row>
    <row r="934">
      <c r="K934">
        <f>IF(J934="v4.0",L934,IF(J934="v3.1",M934,IF(J934="Both",L934,IF(AND(L934&lt;&gt;"",M934=""),L934,M934))))</f>
        <v/>
      </c>
      <c r="Z934">
        <f>MIN(100,
(K934*5) +
(U934*10) +
IF(P934="Y",40,0) +
IF(Q934="P",30,0) +
IF(V934="Y",25,0) +
IF(W934="Y",20,0) +
IF(X934="Weaponized",15,IF(X934="PoC Available",10,IF(X934="Public Exploit",5,0))) +
IF(G934="Production",10,IF(G934="DMZ",8,IF(G934="DR/Backup",5,0))) +
IF(Y934="N",10,0)
)</f>
        <v/>
      </c>
      <c r="AA934">
        <f>IF(OR(P934="Y",AND(K934&gt;=9.0,W934="Y")),"P0",IF(Z934&gt;=80,"P0",IF(Z934&gt;=60,"P1",IF(Z934&gt;=40,"P2",IF(Z934&gt;=20,"P3","P4")))))</f>
        <v/>
      </c>
      <c r="AD934">
        <f>IF(AB934&lt;&gt;"",AB934,AA934)</f>
        <v/>
      </c>
      <c r="AE934">
        <f>VLOOKUP(AD934,SLA_Definitions!$A$2:$B$6,2,FALSE)</f>
        <v/>
      </c>
      <c r="AF934">
        <f>IF(B934&lt;&gt;"",WORKDAY(B934,AE934),"")</f>
        <v/>
      </c>
      <c r="AG934">
        <f>IF(AF934&lt;&gt;"",NETWORKDAYS(TODAY(),AF934),"")</f>
        <v/>
      </c>
      <c r="AH934">
        <f>IF(AJ934="Complete","Complete",IF(AG934&lt;0,"Overdue",IF(AG934&lt;=AE934*0.2,"At Risk","On Track")))</f>
        <v/>
      </c>
      <c r="AK934">
        <f>IF(OR(AH934="Overdue",AND(AD934="P0",AG934&lt;1),AND(AD934="P1",AG934&lt;3)),"Y","N")</f>
        <v/>
      </c>
    </row>
    <row r="935">
      <c r="K935">
        <f>IF(J935="v4.0",L935,IF(J935="v3.1",M935,IF(J935="Both",L935,IF(AND(L935&lt;&gt;"",M935=""),L935,M935))))</f>
        <v/>
      </c>
      <c r="Z935">
        <f>MIN(100,
(K935*5) +
(U935*10) +
IF(P935="Y",40,0) +
IF(Q935="P",30,0) +
IF(V935="Y",25,0) +
IF(W935="Y",20,0) +
IF(X935="Weaponized",15,IF(X935="PoC Available",10,IF(X935="Public Exploit",5,0))) +
IF(G935="Production",10,IF(G935="DMZ",8,IF(G935="DR/Backup",5,0))) +
IF(Y935="N",10,0)
)</f>
        <v/>
      </c>
      <c r="AA935">
        <f>IF(OR(P935="Y",AND(K935&gt;=9.0,W935="Y")),"P0",IF(Z935&gt;=80,"P0",IF(Z935&gt;=60,"P1",IF(Z935&gt;=40,"P2",IF(Z935&gt;=20,"P3","P4")))))</f>
        <v/>
      </c>
      <c r="AD935">
        <f>IF(AB935&lt;&gt;"",AB935,AA935)</f>
        <v/>
      </c>
      <c r="AE935">
        <f>VLOOKUP(AD935,SLA_Definitions!$A$2:$B$6,2,FALSE)</f>
        <v/>
      </c>
      <c r="AF935">
        <f>IF(B935&lt;&gt;"",WORKDAY(B935,AE935),"")</f>
        <v/>
      </c>
      <c r="AG935">
        <f>IF(AF935&lt;&gt;"",NETWORKDAYS(TODAY(),AF935),"")</f>
        <v/>
      </c>
      <c r="AH935">
        <f>IF(AJ935="Complete","Complete",IF(AG935&lt;0,"Overdue",IF(AG935&lt;=AE935*0.2,"At Risk","On Track")))</f>
        <v/>
      </c>
      <c r="AK935">
        <f>IF(OR(AH935="Overdue",AND(AD935="P0",AG935&lt;1),AND(AD935="P1",AG935&lt;3)),"Y","N")</f>
        <v/>
      </c>
    </row>
    <row r="936">
      <c r="K936">
        <f>IF(J936="v4.0",L936,IF(J936="v3.1",M936,IF(J936="Both",L936,IF(AND(L936&lt;&gt;"",M936=""),L936,M936))))</f>
        <v/>
      </c>
      <c r="Z936">
        <f>MIN(100,
(K936*5) +
(U936*10) +
IF(P936="Y",40,0) +
IF(Q936="P",30,0) +
IF(V936="Y",25,0) +
IF(W936="Y",20,0) +
IF(X936="Weaponized",15,IF(X936="PoC Available",10,IF(X936="Public Exploit",5,0))) +
IF(G936="Production",10,IF(G936="DMZ",8,IF(G936="DR/Backup",5,0))) +
IF(Y936="N",10,0)
)</f>
        <v/>
      </c>
      <c r="AA936">
        <f>IF(OR(P936="Y",AND(K936&gt;=9.0,W936="Y")),"P0",IF(Z936&gt;=80,"P0",IF(Z936&gt;=60,"P1",IF(Z936&gt;=40,"P2",IF(Z936&gt;=20,"P3","P4")))))</f>
        <v/>
      </c>
      <c r="AD936">
        <f>IF(AB936&lt;&gt;"",AB936,AA936)</f>
        <v/>
      </c>
      <c r="AE936">
        <f>VLOOKUP(AD936,SLA_Definitions!$A$2:$B$6,2,FALSE)</f>
        <v/>
      </c>
      <c r="AF936">
        <f>IF(B936&lt;&gt;"",WORKDAY(B936,AE936),"")</f>
        <v/>
      </c>
      <c r="AG936">
        <f>IF(AF936&lt;&gt;"",NETWORKDAYS(TODAY(),AF936),"")</f>
        <v/>
      </c>
      <c r="AH936">
        <f>IF(AJ936="Complete","Complete",IF(AG936&lt;0,"Overdue",IF(AG936&lt;=AE936*0.2,"At Risk","On Track")))</f>
        <v/>
      </c>
      <c r="AK936">
        <f>IF(OR(AH936="Overdue",AND(AD936="P0",AG936&lt;1),AND(AD936="P1",AG936&lt;3)),"Y","N")</f>
        <v/>
      </c>
    </row>
    <row r="937">
      <c r="K937">
        <f>IF(J937="v4.0",L937,IF(J937="v3.1",M937,IF(J937="Both",L937,IF(AND(L937&lt;&gt;"",M937=""),L937,M937))))</f>
        <v/>
      </c>
      <c r="Z937">
        <f>MIN(100,
(K937*5) +
(U937*10) +
IF(P937="Y",40,0) +
IF(Q937="P",30,0) +
IF(V937="Y",25,0) +
IF(W937="Y",20,0) +
IF(X937="Weaponized",15,IF(X937="PoC Available",10,IF(X937="Public Exploit",5,0))) +
IF(G937="Production",10,IF(G937="DMZ",8,IF(G937="DR/Backup",5,0))) +
IF(Y937="N",10,0)
)</f>
        <v/>
      </c>
      <c r="AA937">
        <f>IF(OR(P937="Y",AND(K937&gt;=9.0,W937="Y")),"P0",IF(Z937&gt;=80,"P0",IF(Z937&gt;=60,"P1",IF(Z937&gt;=40,"P2",IF(Z937&gt;=20,"P3","P4")))))</f>
        <v/>
      </c>
      <c r="AD937">
        <f>IF(AB937&lt;&gt;"",AB937,AA937)</f>
        <v/>
      </c>
      <c r="AE937">
        <f>VLOOKUP(AD937,SLA_Definitions!$A$2:$B$6,2,FALSE)</f>
        <v/>
      </c>
      <c r="AF937">
        <f>IF(B937&lt;&gt;"",WORKDAY(B937,AE937),"")</f>
        <v/>
      </c>
      <c r="AG937">
        <f>IF(AF937&lt;&gt;"",NETWORKDAYS(TODAY(),AF937),"")</f>
        <v/>
      </c>
      <c r="AH937">
        <f>IF(AJ937="Complete","Complete",IF(AG937&lt;0,"Overdue",IF(AG937&lt;=AE937*0.2,"At Risk","On Track")))</f>
        <v/>
      </c>
      <c r="AK937">
        <f>IF(OR(AH937="Overdue",AND(AD937="P0",AG937&lt;1),AND(AD937="P1",AG937&lt;3)),"Y","N")</f>
        <v/>
      </c>
    </row>
    <row r="938">
      <c r="K938">
        <f>IF(J938="v4.0",L938,IF(J938="v3.1",M938,IF(J938="Both",L938,IF(AND(L938&lt;&gt;"",M938=""),L938,M938))))</f>
        <v/>
      </c>
      <c r="Z938">
        <f>MIN(100,
(K938*5) +
(U938*10) +
IF(P938="Y",40,0) +
IF(Q938="P",30,0) +
IF(V938="Y",25,0) +
IF(W938="Y",20,0) +
IF(X938="Weaponized",15,IF(X938="PoC Available",10,IF(X938="Public Exploit",5,0))) +
IF(G938="Production",10,IF(G938="DMZ",8,IF(G938="DR/Backup",5,0))) +
IF(Y938="N",10,0)
)</f>
        <v/>
      </c>
      <c r="AA938">
        <f>IF(OR(P938="Y",AND(K938&gt;=9.0,W938="Y")),"P0",IF(Z938&gt;=80,"P0",IF(Z938&gt;=60,"P1",IF(Z938&gt;=40,"P2",IF(Z938&gt;=20,"P3","P4")))))</f>
        <v/>
      </c>
      <c r="AD938">
        <f>IF(AB938&lt;&gt;"",AB938,AA938)</f>
        <v/>
      </c>
      <c r="AE938">
        <f>VLOOKUP(AD938,SLA_Definitions!$A$2:$B$6,2,FALSE)</f>
        <v/>
      </c>
      <c r="AF938">
        <f>IF(B938&lt;&gt;"",WORKDAY(B938,AE938),"")</f>
        <v/>
      </c>
      <c r="AG938">
        <f>IF(AF938&lt;&gt;"",NETWORKDAYS(TODAY(),AF938),"")</f>
        <v/>
      </c>
      <c r="AH938">
        <f>IF(AJ938="Complete","Complete",IF(AG938&lt;0,"Overdue",IF(AG938&lt;=AE938*0.2,"At Risk","On Track")))</f>
        <v/>
      </c>
      <c r="AK938">
        <f>IF(OR(AH938="Overdue",AND(AD938="P0",AG938&lt;1),AND(AD938="P1",AG938&lt;3)),"Y","N")</f>
        <v/>
      </c>
    </row>
    <row r="939">
      <c r="K939">
        <f>IF(J939="v4.0",L939,IF(J939="v3.1",M939,IF(J939="Both",L939,IF(AND(L939&lt;&gt;"",M939=""),L939,M939))))</f>
        <v/>
      </c>
      <c r="Z939">
        <f>MIN(100,
(K939*5) +
(U939*10) +
IF(P939="Y",40,0) +
IF(Q939="P",30,0) +
IF(V939="Y",25,0) +
IF(W939="Y",20,0) +
IF(X939="Weaponized",15,IF(X939="PoC Available",10,IF(X939="Public Exploit",5,0))) +
IF(G939="Production",10,IF(G939="DMZ",8,IF(G939="DR/Backup",5,0))) +
IF(Y939="N",10,0)
)</f>
        <v/>
      </c>
      <c r="AA939">
        <f>IF(OR(P939="Y",AND(K939&gt;=9.0,W939="Y")),"P0",IF(Z939&gt;=80,"P0",IF(Z939&gt;=60,"P1",IF(Z939&gt;=40,"P2",IF(Z939&gt;=20,"P3","P4")))))</f>
        <v/>
      </c>
      <c r="AD939">
        <f>IF(AB939&lt;&gt;"",AB939,AA939)</f>
        <v/>
      </c>
      <c r="AE939">
        <f>VLOOKUP(AD939,SLA_Definitions!$A$2:$B$6,2,FALSE)</f>
        <v/>
      </c>
      <c r="AF939">
        <f>IF(B939&lt;&gt;"",WORKDAY(B939,AE939),"")</f>
        <v/>
      </c>
      <c r="AG939">
        <f>IF(AF939&lt;&gt;"",NETWORKDAYS(TODAY(),AF939),"")</f>
        <v/>
      </c>
      <c r="AH939">
        <f>IF(AJ939="Complete","Complete",IF(AG939&lt;0,"Overdue",IF(AG939&lt;=AE939*0.2,"At Risk","On Track")))</f>
        <v/>
      </c>
      <c r="AK939">
        <f>IF(OR(AH939="Overdue",AND(AD939="P0",AG939&lt;1),AND(AD939="P1",AG939&lt;3)),"Y","N")</f>
        <v/>
      </c>
    </row>
    <row r="940">
      <c r="K940">
        <f>IF(J940="v4.0",L940,IF(J940="v3.1",M940,IF(J940="Both",L940,IF(AND(L940&lt;&gt;"",M940=""),L940,M940))))</f>
        <v/>
      </c>
      <c r="Z940">
        <f>MIN(100,
(K940*5) +
(U940*10) +
IF(P940="Y",40,0) +
IF(Q940="P",30,0) +
IF(V940="Y",25,0) +
IF(W940="Y",20,0) +
IF(X940="Weaponized",15,IF(X940="PoC Available",10,IF(X940="Public Exploit",5,0))) +
IF(G940="Production",10,IF(G940="DMZ",8,IF(G940="DR/Backup",5,0))) +
IF(Y940="N",10,0)
)</f>
        <v/>
      </c>
      <c r="AA940">
        <f>IF(OR(P940="Y",AND(K940&gt;=9.0,W940="Y")),"P0",IF(Z940&gt;=80,"P0",IF(Z940&gt;=60,"P1",IF(Z940&gt;=40,"P2",IF(Z940&gt;=20,"P3","P4")))))</f>
        <v/>
      </c>
      <c r="AD940">
        <f>IF(AB940&lt;&gt;"",AB940,AA940)</f>
        <v/>
      </c>
      <c r="AE940">
        <f>VLOOKUP(AD940,SLA_Definitions!$A$2:$B$6,2,FALSE)</f>
        <v/>
      </c>
      <c r="AF940">
        <f>IF(B940&lt;&gt;"",WORKDAY(B940,AE940),"")</f>
        <v/>
      </c>
      <c r="AG940">
        <f>IF(AF940&lt;&gt;"",NETWORKDAYS(TODAY(),AF940),"")</f>
        <v/>
      </c>
      <c r="AH940">
        <f>IF(AJ940="Complete","Complete",IF(AG940&lt;0,"Overdue",IF(AG940&lt;=AE940*0.2,"At Risk","On Track")))</f>
        <v/>
      </c>
      <c r="AK940">
        <f>IF(OR(AH940="Overdue",AND(AD940="P0",AG940&lt;1),AND(AD940="P1",AG940&lt;3)),"Y","N")</f>
        <v/>
      </c>
    </row>
    <row r="941">
      <c r="K941">
        <f>IF(J941="v4.0",L941,IF(J941="v3.1",M941,IF(J941="Both",L941,IF(AND(L941&lt;&gt;"",M941=""),L941,M941))))</f>
        <v/>
      </c>
      <c r="Z941">
        <f>MIN(100,
(K941*5) +
(U941*10) +
IF(P941="Y",40,0) +
IF(Q941="P",30,0) +
IF(V941="Y",25,0) +
IF(W941="Y",20,0) +
IF(X941="Weaponized",15,IF(X941="PoC Available",10,IF(X941="Public Exploit",5,0))) +
IF(G941="Production",10,IF(G941="DMZ",8,IF(G941="DR/Backup",5,0))) +
IF(Y941="N",10,0)
)</f>
        <v/>
      </c>
      <c r="AA941">
        <f>IF(OR(P941="Y",AND(K941&gt;=9.0,W941="Y")),"P0",IF(Z941&gt;=80,"P0",IF(Z941&gt;=60,"P1",IF(Z941&gt;=40,"P2",IF(Z941&gt;=20,"P3","P4")))))</f>
        <v/>
      </c>
      <c r="AD941">
        <f>IF(AB941&lt;&gt;"",AB941,AA941)</f>
        <v/>
      </c>
      <c r="AE941">
        <f>VLOOKUP(AD941,SLA_Definitions!$A$2:$B$6,2,FALSE)</f>
        <v/>
      </c>
      <c r="AF941">
        <f>IF(B941&lt;&gt;"",WORKDAY(B941,AE941),"")</f>
        <v/>
      </c>
      <c r="AG941">
        <f>IF(AF941&lt;&gt;"",NETWORKDAYS(TODAY(),AF941),"")</f>
        <v/>
      </c>
      <c r="AH941">
        <f>IF(AJ941="Complete","Complete",IF(AG941&lt;0,"Overdue",IF(AG941&lt;=AE941*0.2,"At Risk","On Track")))</f>
        <v/>
      </c>
      <c r="AK941">
        <f>IF(OR(AH941="Overdue",AND(AD941="P0",AG941&lt;1),AND(AD941="P1",AG941&lt;3)),"Y","N")</f>
        <v/>
      </c>
    </row>
    <row r="942">
      <c r="K942">
        <f>IF(J942="v4.0",L942,IF(J942="v3.1",M942,IF(J942="Both",L942,IF(AND(L942&lt;&gt;"",M942=""),L942,M942))))</f>
        <v/>
      </c>
      <c r="Z942">
        <f>MIN(100,
(K942*5) +
(U942*10) +
IF(P942="Y",40,0) +
IF(Q942="P",30,0) +
IF(V942="Y",25,0) +
IF(W942="Y",20,0) +
IF(X942="Weaponized",15,IF(X942="PoC Available",10,IF(X942="Public Exploit",5,0))) +
IF(G942="Production",10,IF(G942="DMZ",8,IF(G942="DR/Backup",5,0))) +
IF(Y942="N",10,0)
)</f>
        <v/>
      </c>
      <c r="AA942">
        <f>IF(OR(P942="Y",AND(K942&gt;=9.0,W942="Y")),"P0",IF(Z942&gt;=80,"P0",IF(Z942&gt;=60,"P1",IF(Z942&gt;=40,"P2",IF(Z942&gt;=20,"P3","P4")))))</f>
        <v/>
      </c>
      <c r="AD942">
        <f>IF(AB942&lt;&gt;"",AB942,AA942)</f>
        <v/>
      </c>
      <c r="AE942">
        <f>VLOOKUP(AD942,SLA_Definitions!$A$2:$B$6,2,FALSE)</f>
        <v/>
      </c>
      <c r="AF942">
        <f>IF(B942&lt;&gt;"",WORKDAY(B942,AE942),"")</f>
        <v/>
      </c>
      <c r="AG942">
        <f>IF(AF942&lt;&gt;"",NETWORKDAYS(TODAY(),AF942),"")</f>
        <v/>
      </c>
      <c r="AH942">
        <f>IF(AJ942="Complete","Complete",IF(AG942&lt;0,"Overdue",IF(AG942&lt;=AE942*0.2,"At Risk","On Track")))</f>
        <v/>
      </c>
      <c r="AK942">
        <f>IF(OR(AH942="Overdue",AND(AD942="P0",AG942&lt;1),AND(AD942="P1",AG942&lt;3)),"Y","N")</f>
        <v/>
      </c>
    </row>
    <row r="943">
      <c r="K943">
        <f>IF(J943="v4.0",L943,IF(J943="v3.1",M943,IF(J943="Both",L943,IF(AND(L943&lt;&gt;"",M943=""),L943,M943))))</f>
        <v/>
      </c>
      <c r="Z943">
        <f>MIN(100,
(K943*5) +
(U943*10) +
IF(P943="Y",40,0) +
IF(Q943="P",30,0) +
IF(V943="Y",25,0) +
IF(W943="Y",20,0) +
IF(X943="Weaponized",15,IF(X943="PoC Available",10,IF(X943="Public Exploit",5,0))) +
IF(G943="Production",10,IF(G943="DMZ",8,IF(G943="DR/Backup",5,0))) +
IF(Y943="N",10,0)
)</f>
        <v/>
      </c>
      <c r="AA943">
        <f>IF(OR(P943="Y",AND(K943&gt;=9.0,W943="Y")),"P0",IF(Z943&gt;=80,"P0",IF(Z943&gt;=60,"P1",IF(Z943&gt;=40,"P2",IF(Z943&gt;=20,"P3","P4")))))</f>
        <v/>
      </c>
      <c r="AD943">
        <f>IF(AB943&lt;&gt;"",AB943,AA943)</f>
        <v/>
      </c>
      <c r="AE943">
        <f>VLOOKUP(AD943,SLA_Definitions!$A$2:$B$6,2,FALSE)</f>
        <v/>
      </c>
      <c r="AF943">
        <f>IF(B943&lt;&gt;"",WORKDAY(B943,AE943),"")</f>
        <v/>
      </c>
      <c r="AG943">
        <f>IF(AF943&lt;&gt;"",NETWORKDAYS(TODAY(),AF943),"")</f>
        <v/>
      </c>
      <c r="AH943">
        <f>IF(AJ943="Complete","Complete",IF(AG943&lt;0,"Overdue",IF(AG943&lt;=AE943*0.2,"At Risk","On Track")))</f>
        <v/>
      </c>
      <c r="AK943">
        <f>IF(OR(AH943="Overdue",AND(AD943="P0",AG943&lt;1),AND(AD943="P1",AG943&lt;3)),"Y","N")</f>
        <v/>
      </c>
    </row>
    <row r="944">
      <c r="K944">
        <f>IF(J944="v4.0",L944,IF(J944="v3.1",M944,IF(J944="Both",L944,IF(AND(L944&lt;&gt;"",M944=""),L944,M944))))</f>
        <v/>
      </c>
      <c r="Z944">
        <f>MIN(100,
(K944*5) +
(U944*10) +
IF(P944="Y",40,0) +
IF(Q944="P",30,0) +
IF(V944="Y",25,0) +
IF(W944="Y",20,0) +
IF(X944="Weaponized",15,IF(X944="PoC Available",10,IF(X944="Public Exploit",5,0))) +
IF(G944="Production",10,IF(G944="DMZ",8,IF(G944="DR/Backup",5,0))) +
IF(Y944="N",10,0)
)</f>
        <v/>
      </c>
      <c r="AA944">
        <f>IF(OR(P944="Y",AND(K944&gt;=9.0,W944="Y")),"P0",IF(Z944&gt;=80,"P0",IF(Z944&gt;=60,"P1",IF(Z944&gt;=40,"P2",IF(Z944&gt;=20,"P3","P4")))))</f>
        <v/>
      </c>
      <c r="AD944">
        <f>IF(AB944&lt;&gt;"",AB944,AA944)</f>
        <v/>
      </c>
      <c r="AE944">
        <f>VLOOKUP(AD944,SLA_Definitions!$A$2:$B$6,2,FALSE)</f>
        <v/>
      </c>
      <c r="AF944">
        <f>IF(B944&lt;&gt;"",WORKDAY(B944,AE944),"")</f>
        <v/>
      </c>
      <c r="AG944">
        <f>IF(AF944&lt;&gt;"",NETWORKDAYS(TODAY(),AF944),"")</f>
        <v/>
      </c>
      <c r="AH944">
        <f>IF(AJ944="Complete","Complete",IF(AG944&lt;0,"Overdue",IF(AG944&lt;=AE944*0.2,"At Risk","On Track")))</f>
        <v/>
      </c>
      <c r="AK944">
        <f>IF(OR(AH944="Overdue",AND(AD944="P0",AG944&lt;1),AND(AD944="P1",AG944&lt;3)),"Y","N")</f>
        <v/>
      </c>
    </row>
    <row r="945">
      <c r="K945">
        <f>IF(J945="v4.0",L945,IF(J945="v3.1",M945,IF(J945="Both",L945,IF(AND(L945&lt;&gt;"",M945=""),L945,M945))))</f>
        <v/>
      </c>
      <c r="Z945">
        <f>MIN(100,
(K945*5) +
(U945*10) +
IF(P945="Y",40,0) +
IF(Q945="P",30,0) +
IF(V945="Y",25,0) +
IF(W945="Y",20,0) +
IF(X945="Weaponized",15,IF(X945="PoC Available",10,IF(X945="Public Exploit",5,0))) +
IF(G945="Production",10,IF(G945="DMZ",8,IF(G945="DR/Backup",5,0))) +
IF(Y945="N",10,0)
)</f>
        <v/>
      </c>
      <c r="AA945">
        <f>IF(OR(P945="Y",AND(K945&gt;=9.0,W945="Y")),"P0",IF(Z945&gt;=80,"P0",IF(Z945&gt;=60,"P1",IF(Z945&gt;=40,"P2",IF(Z945&gt;=20,"P3","P4")))))</f>
        <v/>
      </c>
      <c r="AD945">
        <f>IF(AB945&lt;&gt;"",AB945,AA945)</f>
        <v/>
      </c>
      <c r="AE945">
        <f>VLOOKUP(AD945,SLA_Definitions!$A$2:$B$6,2,FALSE)</f>
        <v/>
      </c>
      <c r="AF945">
        <f>IF(B945&lt;&gt;"",WORKDAY(B945,AE945),"")</f>
        <v/>
      </c>
      <c r="AG945">
        <f>IF(AF945&lt;&gt;"",NETWORKDAYS(TODAY(),AF945),"")</f>
        <v/>
      </c>
      <c r="AH945">
        <f>IF(AJ945="Complete","Complete",IF(AG945&lt;0,"Overdue",IF(AG945&lt;=AE945*0.2,"At Risk","On Track")))</f>
        <v/>
      </c>
      <c r="AK945">
        <f>IF(OR(AH945="Overdue",AND(AD945="P0",AG945&lt;1),AND(AD945="P1",AG945&lt;3)),"Y","N")</f>
        <v/>
      </c>
    </row>
    <row r="946">
      <c r="K946">
        <f>IF(J946="v4.0",L946,IF(J946="v3.1",M946,IF(J946="Both",L946,IF(AND(L946&lt;&gt;"",M946=""),L946,M946))))</f>
        <v/>
      </c>
      <c r="Z946">
        <f>MIN(100,
(K946*5) +
(U946*10) +
IF(P946="Y",40,0) +
IF(Q946="P",30,0) +
IF(V946="Y",25,0) +
IF(W946="Y",20,0) +
IF(X946="Weaponized",15,IF(X946="PoC Available",10,IF(X946="Public Exploit",5,0))) +
IF(G946="Production",10,IF(G946="DMZ",8,IF(G946="DR/Backup",5,0))) +
IF(Y946="N",10,0)
)</f>
        <v/>
      </c>
      <c r="AA946">
        <f>IF(OR(P946="Y",AND(K946&gt;=9.0,W946="Y")),"P0",IF(Z946&gt;=80,"P0",IF(Z946&gt;=60,"P1",IF(Z946&gt;=40,"P2",IF(Z946&gt;=20,"P3","P4")))))</f>
        <v/>
      </c>
      <c r="AD946">
        <f>IF(AB946&lt;&gt;"",AB946,AA946)</f>
        <v/>
      </c>
      <c r="AE946">
        <f>VLOOKUP(AD946,SLA_Definitions!$A$2:$B$6,2,FALSE)</f>
        <v/>
      </c>
      <c r="AF946">
        <f>IF(B946&lt;&gt;"",WORKDAY(B946,AE946),"")</f>
        <v/>
      </c>
      <c r="AG946">
        <f>IF(AF946&lt;&gt;"",NETWORKDAYS(TODAY(),AF946),"")</f>
        <v/>
      </c>
      <c r="AH946">
        <f>IF(AJ946="Complete","Complete",IF(AG946&lt;0,"Overdue",IF(AG946&lt;=AE946*0.2,"At Risk","On Track")))</f>
        <v/>
      </c>
      <c r="AK946">
        <f>IF(OR(AH946="Overdue",AND(AD946="P0",AG946&lt;1),AND(AD946="P1",AG946&lt;3)),"Y","N")</f>
        <v/>
      </c>
    </row>
    <row r="947">
      <c r="K947">
        <f>IF(J947="v4.0",L947,IF(J947="v3.1",M947,IF(J947="Both",L947,IF(AND(L947&lt;&gt;"",M947=""),L947,M947))))</f>
        <v/>
      </c>
      <c r="Z947">
        <f>MIN(100,
(K947*5) +
(U947*10) +
IF(P947="Y",40,0) +
IF(Q947="P",30,0) +
IF(V947="Y",25,0) +
IF(W947="Y",20,0) +
IF(X947="Weaponized",15,IF(X947="PoC Available",10,IF(X947="Public Exploit",5,0))) +
IF(G947="Production",10,IF(G947="DMZ",8,IF(G947="DR/Backup",5,0))) +
IF(Y947="N",10,0)
)</f>
        <v/>
      </c>
      <c r="AA947">
        <f>IF(OR(P947="Y",AND(K947&gt;=9.0,W947="Y")),"P0",IF(Z947&gt;=80,"P0",IF(Z947&gt;=60,"P1",IF(Z947&gt;=40,"P2",IF(Z947&gt;=20,"P3","P4")))))</f>
        <v/>
      </c>
      <c r="AD947">
        <f>IF(AB947&lt;&gt;"",AB947,AA947)</f>
        <v/>
      </c>
      <c r="AE947">
        <f>VLOOKUP(AD947,SLA_Definitions!$A$2:$B$6,2,FALSE)</f>
        <v/>
      </c>
      <c r="AF947">
        <f>IF(B947&lt;&gt;"",WORKDAY(B947,AE947),"")</f>
        <v/>
      </c>
      <c r="AG947">
        <f>IF(AF947&lt;&gt;"",NETWORKDAYS(TODAY(),AF947),"")</f>
        <v/>
      </c>
      <c r="AH947">
        <f>IF(AJ947="Complete","Complete",IF(AG947&lt;0,"Overdue",IF(AG947&lt;=AE947*0.2,"At Risk","On Track")))</f>
        <v/>
      </c>
      <c r="AK947">
        <f>IF(OR(AH947="Overdue",AND(AD947="P0",AG947&lt;1),AND(AD947="P1",AG947&lt;3)),"Y","N")</f>
        <v/>
      </c>
    </row>
    <row r="948">
      <c r="K948">
        <f>IF(J948="v4.0",L948,IF(J948="v3.1",M948,IF(J948="Both",L948,IF(AND(L948&lt;&gt;"",M948=""),L948,M948))))</f>
        <v/>
      </c>
      <c r="Z948">
        <f>MIN(100,
(K948*5) +
(U948*10) +
IF(P948="Y",40,0) +
IF(Q948="P",30,0) +
IF(V948="Y",25,0) +
IF(W948="Y",20,0) +
IF(X948="Weaponized",15,IF(X948="PoC Available",10,IF(X948="Public Exploit",5,0))) +
IF(G948="Production",10,IF(G948="DMZ",8,IF(G948="DR/Backup",5,0))) +
IF(Y948="N",10,0)
)</f>
        <v/>
      </c>
      <c r="AA948">
        <f>IF(OR(P948="Y",AND(K948&gt;=9.0,W948="Y")),"P0",IF(Z948&gt;=80,"P0",IF(Z948&gt;=60,"P1",IF(Z948&gt;=40,"P2",IF(Z948&gt;=20,"P3","P4")))))</f>
        <v/>
      </c>
      <c r="AD948">
        <f>IF(AB948&lt;&gt;"",AB948,AA948)</f>
        <v/>
      </c>
      <c r="AE948">
        <f>VLOOKUP(AD948,SLA_Definitions!$A$2:$B$6,2,FALSE)</f>
        <v/>
      </c>
      <c r="AF948">
        <f>IF(B948&lt;&gt;"",WORKDAY(B948,AE948),"")</f>
        <v/>
      </c>
      <c r="AG948">
        <f>IF(AF948&lt;&gt;"",NETWORKDAYS(TODAY(),AF948),"")</f>
        <v/>
      </c>
      <c r="AH948">
        <f>IF(AJ948="Complete","Complete",IF(AG948&lt;0,"Overdue",IF(AG948&lt;=AE948*0.2,"At Risk","On Track")))</f>
        <v/>
      </c>
      <c r="AK948">
        <f>IF(OR(AH948="Overdue",AND(AD948="P0",AG948&lt;1),AND(AD948="P1",AG948&lt;3)),"Y","N")</f>
        <v/>
      </c>
    </row>
    <row r="949">
      <c r="K949">
        <f>IF(J949="v4.0",L949,IF(J949="v3.1",M949,IF(J949="Both",L949,IF(AND(L949&lt;&gt;"",M949=""),L949,M949))))</f>
        <v/>
      </c>
      <c r="Z949">
        <f>MIN(100,
(K949*5) +
(U949*10) +
IF(P949="Y",40,0) +
IF(Q949="P",30,0) +
IF(V949="Y",25,0) +
IF(W949="Y",20,0) +
IF(X949="Weaponized",15,IF(X949="PoC Available",10,IF(X949="Public Exploit",5,0))) +
IF(G949="Production",10,IF(G949="DMZ",8,IF(G949="DR/Backup",5,0))) +
IF(Y949="N",10,0)
)</f>
        <v/>
      </c>
      <c r="AA949">
        <f>IF(OR(P949="Y",AND(K949&gt;=9.0,W949="Y")),"P0",IF(Z949&gt;=80,"P0",IF(Z949&gt;=60,"P1",IF(Z949&gt;=40,"P2",IF(Z949&gt;=20,"P3","P4")))))</f>
        <v/>
      </c>
      <c r="AD949">
        <f>IF(AB949&lt;&gt;"",AB949,AA949)</f>
        <v/>
      </c>
      <c r="AE949">
        <f>VLOOKUP(AD949,SLA_Definitions!$A$2:$B$6,2,FALSE)</f>
        <v/>
      </c>
      <c r="AF949">
        <f>IF(B949&lt;&gt;"",WORKDAY(B949,AE949),"")</f>
        <v/>
      </c>
      <c r="AG949">
        <f>IF(AF949&lt;&gt;"",NETWORKDAYS(TODAY(),AF949),"")</f>
        <v/>
      </c>
      <c r="AH949">
        <f>IF(AJ949="Complete","Complete",IF(AG949&lt;0,"Overdue",IF(AG949&lt;=AE949*0.2,"At Risk","On Track")))</f>
        <v/>
      </c>
      <c r="AK949">
        <f>IF(OR(AH949="Overdue",AND(AD949="P0",AG949&lt;1),AND(AD949="P1",AG949&lt;3)),"Y","N")</f>
        <v/>
      </c>
    </row>
    <row r="950">
      <c r="K950">
        <f>IF(J950="v4.0",L950,IF(J950="v3.1",M950,IF(J950="Both",L950,IF(AND(L950&lt;&gt;"",M950=""),L950,M950))))</f>
        <v/>
      </c>
      <c r="Z950">
        <f>MIN(100,
(K950*5) +
(U950*10) +
IF(P950="Y",40,0) +
IF(Q950="P",30,0) +
IF(V950="Y",25,0) +
IF(W950="Y",20,0) +
IF(X950="Weaponized",15,IF(X950="PoC Available",10,IF(X950="Public Exploit",5,0))) +
IF(G950="Production",10,IF(G950="DMZ",8,IF(G950="DR/Backup",5,0))) +
IF(Y950="N",10,0)
)</f>
        <v/>
      </c>
      <c r="AA950">
        <f>IF(OR(P950="Y",AND(K950&gt;=9.0,W950="Y")),"P0",IF(Z950&gt;=80,"P0",IF(Z950&gt;=60,"P1",IF(Z950&gt;=40,"P2",IF(Z950&gt;=20,"P3","P4")))))</f>
        <v/>
      </c>
      <c r="AD950">
        <f>IF(AB950&lt;&gt;"",AB950,AA950)</f>
        <v/>
      </c>
      <c r="AE950">
        <f>VLOOKUP(AD950,SLA_Definitions!$A$2:$B$6,2,FALSE)</f>
        <v/>
      </c>
      <c r="AF950">
        <f>IF(B950&lt;&gt;"",WORKDAY(B950,AE950),"")</f>
        <v/>
      </c>
      <c r="AG950">
        <f>IF(AF950&lt;&gt;"",NETWORKDAYS(TODAY(),AF950),"")</f>
        <v/>
      </c>
      <c r="AH950">
        <f>IF(AJ950="Complete","Complete",IF(AG950&lt;0,"Overdue",IF(AG950&lt;=AE950*0.2,"At Risk","On Track")))</f>
        <v/>
      </c>
      <c r="AK950">
        <f>IF(OR(AH950="Overdue",AND(AD950="P0",AG950&lt;1),AND(AD950="P1",AG950&lt;3)),"Y","N")</f>
        <v/>
      </c>
    </row>
    <row r="951">
      <c r="K951">
        <f>IF(J951="v4.0",L951,IF(J951="v3.1",M951,IF(J951="Both",L951,IF(AND(L951&lt;&gt;"",M951=""),L951,M951))))</f>
        <v/>
      </c>
      <c r="Z951">
        <f>MIN(100,
(K951*5) +
(U951*10) +
IF(P951="Y",40,0) +
IF(Q951="P",30,0) +
IF(V951="Y",25,0) +
IF(W951="Y",20,0) +
IF(X951="Weaponized",15,IF(X951="PoC Available",10,IF(X951="Public Exploit",5,0))) +
IF(G951="Production",10,IF(G951="DMZ",8,IF(G951="DR/Backup",5,0))) +
IF(Y951="N",10,0)
)</f>
        <v/>
      </c>
      <c r="AA951">
        <f>IF(OR(P951="Y",AND(K951&gt;=9.0,W951="Y")),"P0",IF(Z951&gt;=80,"P0",IF(Z951&gt;=60,"P1",IF(Z951&gt;=40,"P2",IF(Z951&gt;=20,"P3","P4")))))</f>
        <v/>
      </c>
      <c r="AD951">
        <f>IF(AB951&lt;&gt;"",AB951,AA951)</f>
        <v/>
      </c>
      <c r="AE951">
        <f>VLOOKUP(AD951,SLA_Definitions!$A$2:$B$6,2,FALSE)</f>
        <v/>
      </c>
      <c r="AF951">
        <f>IF(B951&lt;&gt;"",WORKDAY(B951,AE951),"")</f>
        <v/>
      </c>
      <c r="AG951">
        <f>IF(AF951&lt;&gt;"",NETWORKDAYS(TODAY(),AF951),"")</f>
        <v/>
      </c>
      <c r="AH951">
        <f>IF(AJ951="Complete","Complete",IF(AG951&lt;0,"Overdue",IF(AG951&lt;=AE951*0.2,"At Risk","On Track")))</f>
        <v/>
      </c>
      <c r="AK951">
        <f>IF(OR(AH951="Overdue",AND(AD951="P0",AG951&lt;1),AND(AD951="P1",AG951&lt;3)),"Y","N")</f>
        <v/>
      </c>
    </row>
    <row r="952">
      <c r="K952">
        <f>IF(J952="v4.0",L952,IF(J952="v3.1",M952,IF(J952="Both",L952,IF(AND(L952&lt;&gt;"",M952=""),L952,M952))))</f>
        <v/>
      </c>
      <c r="Z952">
        <f>MIN(100,
(K952*5) +
(U952*10) +
IF(P952="Y",40,0) +
IF(Q952="P",30,0) +
IF(V952="Y",25,0) +
IF(W952="Y",20,0) +
IF(X952="Weaponized",15,IF(X952="PoC Available",10,IF(X952="Public Exploit",5,0))) +
IF(G952="Production",10,IF(G952="DMZ",8,IF(G952="DR/Backup",5,0))) +
IF(Y952="N",10,0)
)</f>
        <v/>
      </c>
      <c r="AA952">
        <f>IF(OR(P952="Y",AND(K952&gt;=9.0,W952="Y")),"P0",IF(Z952&gt;=80,"P0",IF(Z952&gt;=60,"P1",IF(Z952&gt;=40,"P2",IF(Z952&gt;=20,"P3","P4")))))</f>
        <v/>
      </c>
      <c r="AD952">
        <f>IF(AB952&lt;&gt;"",AB952,AA952)</f>
        <v/>
      </c>
      <c r="AE952">
        <f>VLOOKUP(AD952,SLA_Definitions!$A$2:$B$6,2,FALSE)</f>
        <v/>
      </c>
      <c r="AF952">
        <f>IF(B952&lt;&gt;"",WORKDAY(B952,AE952),"")</f>
        <v/>
      </c>
      <c r="AG952">
        <f>IF(AF952&lt;&gt;"",NETWORKDAYS(TODAY(),AF952),"")</f>
        <v/>
      </c>
      <c r="AH952">
        <f>IF(AJ952="Complete","Complete",IF(AG952&lt;0,"Overdue",IF(AG952&lt;=AE952*0.2,"At Risk","On Track")))</f>
        <v/>
      </c>
      <c r="AK952">
        <f>IF(OR(AH952="Overdue",AND(AD952="P0",AG952&lt;1),AND(AD952="P1",AG952&lt;3)),"Y","N")</f>
        <v/>
      </c>
    </row>
    <row r="953">
      <c r="K953">
        <f>IF(J953="v4.0",L953,IF(J953="v3.1",M953,IF(J953="Both",L953,IF(AND(L953&lt;&gt;"",M953=""),L953,M953))))</f>
        <v/>
      </c>
      <c r="Z953">
        <f>MIN(100,
(K953*5) +
(U953*10) +
IF(P953="Y",40,0) +
IF(Q953="P",30,0) +
IF(V953="Y",25,0) +
IF(W953="Y",20,0) +
IF(X953="Weaponized",15,IF(X953="PoC Available",10,IF(X953="Public Exploit",5,0))) +
IF(G953="Production",10,IF(G953="DMZ",8,IF(G953="DR/Backup",5,0))) +
IF(Y953="N",10,0)
)</f>
        <v/>
      </c>
      <c r="AA953">
        <f>IF(OR(P953="Y",AND(K953&gt;=9.0,W953="Y")),"P0",IF(Z953&gt;=80,"P0",IF(Z953&gt;=60,"P1",IF(Z953&gt;=40,"P2",IF(Z953&gt;=20,"P3","P4")))))</f>
        <v/>
      </c>
      <c r="AD953">
        <f>IF(AB953&lt;&gt;"",AB953,AA953)</f>
        <v/>
      </c>
      <c r="AE953">
        <f>VLOOKUP(AD953,SLA_Definitions!$A$2:$B$6,2,FALSE)</f>
        <v/>
      </c>
      <c r="AF953">
        <f>IF(B953&lt;&gt;"",WORKDAY(B953,AE953),"")</f>
        <v/>
      </c>
      <c r="AG953">
        <f>IF(AF953&lt;&gt;"",NETWORKDAYS(TODAY(),AF953),"")</f>
        <v/>
      </c>
      <c r="AH953">
        <f>IF(AJ953="Complete","Complete",IF(AG953&lt;0,"Overdue",IF(AG953&lt;=AE953*0.2,"At Risk","On Track")))</f>
        <v/>
      </c>
      <c r="AK953">
        <f>IF(OR(AH953="Overdue",AND(AD953="P0",AG953&lt;1),AND(AD953="P1",AG953&lt;3)),"Y","N")</f>
        <v/>
      </c>
    </row>
    <row r="954">
      <c r="K954">
        <f>IF(J954="v4.0",L954,IF(J954="v3.1",M954,IF(J954="Both",L954,IF(AND(L954&lt;&gt;"",M954=""),L954,M954))))</f>
        <v/>
      </c>
      <c r="Z954">
        <f>MIN(100,
(K954*5) +
(U954*10) +
IF(P954="Y",40,0) +
IF(Q954="P",30,0) +
IF(V954="Y",25,0) +
IF(W954="Y",20,0) +
IF(X954="Weaponized",15,IF(X954="PoC Available",10,IF(X954="Public Exploit",5,0))) +
IF(G954="Production",10,IF(G954="DMZ",8,IF(G954="DR/Backup",5,0))) +
IF(Y954="N",10,0)
)</f>
        <v/>
      </c>
      <c r="AA954">
        <f>IF(OR(P954="Y",AND(K954&gt;=9.0,W954="Y")),"P0",IF(Z954&gt;=80,"P0",IF(Z954&gt;=60,"P1",IF(Z954&gt;=40,"P2",IF(Z954&gt;=20,"P3","P4")))))</f>
        <v/>
      </c>
      <c r="AD954">
        <f>IF(AB954&lt;&gt;"",AB954,AA954)</f>
        <v/>
      </c>
      <c r="AE954">
        <f>VLOOKUP(AD954,SLA_Definitions!$A$2:$B$6,2,FALSE)</f>
        <v/>
      </c>
      <c r="AF954">
        <f>IF(B954&lt;&gt;"",WORKDAY(B954,AE954),"")</f>
        <v/>
      </c>
      <c r="AG954">
        <f>IF(AF954&lt;&gt;"",NETWORKDAYS(TODAY(),AF954),"")</f>
        <v/>
      </c>
      <c r="AH954">
        <f>IF(AJ954="Complete","Complete",IF(AG954&lt;0,"Overdue",IF(AG954&lt;=AE954*0.2,"At Risk","On Track")))</f>
        <v/>
      </c>
      <c r="AK954">
        <f>IF(OR(AH954="Overdue",AND(AD954="P0",AG954&lt;1),AND(AD954="P1",AG954&lt;3)),"Y","N")</f>
        <v/>
      </c>
    </row>
    <row r="955">
      <c r="K955">
        <f>IF(J955="v4.0",L955,IF(J955="v3.1",M955,IF(J955="Both",L955,IF(AND(L955&lt;&gt;"",M955=""),L955,M955))))</f>
        <v/>
      </c>
      <c r="Z955">
        <f>MIN(100,
(K955*5) +
(U955*10) +
IF(P955="Y",40,0) +
IF(Q955="P",30,0) +
IF(V955="Y",25,0) +
IF(W955="Y",20,0) +
IF(X955="Weaponized",15,IF(X955="PoC Available",10,IF(X955="Public Exploit",5,0))) +
IF(G955="Production",10,IF(G955="DMZ",8,IF(G955="DR/Backup",5,0))) +
IF(Y955="N",10,0)
)</f>
        <v/>
      </c>
      <c r="AA955">
        <f>IF(OR(P955="Y",AND(K955&gt;=9.0,W955="Y")),"P0",IF(Z955&gt;=80,"P0",IF(Z955&gt;=60,"P1",IF(Z955&gt;=40,"P2",IF(Z955&gt;=20,"P3","P4")))))</f>
        <v/>
      </c>
      <c r="AD955">
        <f>IF(AB955&lt;&gt;"",AB955,AA955)</f>
        <v/>
      </c>
      <c r="AE955">
        <f>VLOOKUP(AD955,SLA_Definitions!$A$2:$B$6,2,FALSE)</f>
        <v/>
      </c>
      <c r="AF955">
        <f>IF(B955&lt;&gt;"",WORKDAY(B955,AE955),"")</f>
        <v/>
      </c>
      <c r="AG955">
        <f>IF(AF955&lt;&gt;"",NETWORKDAYS(TODAY(),AF955),"")</f>
        <v/>
      </c>
      <c r="AH955">
        <f>IF(AJ955="Complete","Complete",IF(AG955&lt;0,"Overdue",IF(AG955&lt;=AE955*0.2,"At Risk","On Track")))</f>
        <v/>
      </c>
      <c r="AK955">
        <f>IF(OR(AH955="Overdue",AND(AD955="P0",AG955&lt;1),AND(AD955="P1",AG955&lt;3)),"Y","N")</f>
        <v/>
      </c>
    </row>
    <row r="956">
      <c r="K956">
        <f>IF(J956="v4.0",L956,IF(J956="v3.1",M956,IF(J956="Both",L956,IF(AND(L956&lt;&gt;"",M956=""),L956,M956))))</f>
        <v/>
      </c>
      <c r="Z956">
        <f>MIN(100,
(K956*5) +
(U956*10) +
IF(P956="Y",40,0) +
IF(Q956="P",30,0) +
IF(V956="Y",25,0) +
IF(W956="Y",20,0) +
IF(X956="Weaponized",15,IF(X956="PoC Available",10,IF(X956="Public Exploit",5,0))) +
IF(G956="Production",10,IF(G956="DMZ",8,IF(G956="DR/Backup",5,0))) +
IF(Y956="N",10,0)
)</f>
        <v/>
      </c>
      <c r="AA956">
        <f>IF(OR(P956="Y",AND(K956&gt;=9.0,W956="Y")),"P0",IF(Z956&gt;=80,"P0",IF(Z956&gt;=60,"P1",IF(Z956&gt;=40,"P2",IF(Z956&gt;=20,"P3","P4")))))</f>
        <v/>
      </c>
      <c r="AD956">
        <f>IF(AB956&lt;&gt;"",AB956,AA956)</f>
        <v/>
      </c>
      <c r="AE956">
        <f>VLOOKUP(AD956,SLA_Definitions!$A$2:$B$6,2,FALSE)</f>
        <v/>
      </c>
      <c r="AF956">
        <f>IF(B956&lt;&gt;"",WORKDAY(B956,AE956),"")</f>
        <v/>
      </c>
      <c r="AG956">
        <f>IF(AF956&lt;&gt;"",NETWORKDAYS(TODAY(),AF956),"")</f>
        <v/>
      </c>
      <c r="AH956">
        <f>IF(AJ956="Complete","Complete",IF(AG956&lt;0,"Overdue",IF(AG956&lt;=AE956*0.2,"At Risk","On Track")))</f>
        <v/>
      </c>
      <c r="AK956">
        <f>IF(OR(AH956="Overdue",AND(AD956="P0",AG956&lt;1),AND(AD956="P1",AG956&lt;3)),"Y","N")</f>
        <v/>
      </c>
    </row>
    <row r="957">
      <c r="K957">
        <f>IF(J957="v4.0",L957,IF(J957="v3.1",M957,IF(J957="Both",L957,IF(AND(L957&lt;&gt;"",M957=""),L957,M957))))</f>
        <v/>
      </c>
      <c r="Z957">
        <f>MIN(100,
(K957*5) +
(U957*10) +
IF(P957="Y",40,0) +
IF(Q957="P",30,0) +
IF(V957="Y",25,0) +
IF(W957="Y",20,0) +
IF(X957="Weaponized",15,IF(X957="PoC Available",10,IF(X957="Public Exploit",5,0))) +
IF(G957="Production",10,IF(G957="DMZ",8,IF(G957="DR/Backup",5,0))) +
IF(Y957="N",10,0)
)</f>
        <v/>
      </c>
      <c r="AA957">
        <f>IF(OR(P957="Y",AND(K957&gt;=9.0,W957="Y")),"P0",IF(Z957&gt;=80,"P0",IF(Z957&gt;=60,"P1",IF(Z957&gt;=40,"P2",IF(Z957&gt;=20,"P3","P4")))))</f>
        <v/>
      </c>
      <c r="AD957">
        <f>IF(AB957&lt;&gt;"",AB957,AA957)</f>
        <v/>
      </c>
      <c r="AE957">
        <f>VLOOKUP(AD957,SLA_Definitions!$A$2:$B$6,2,FALSE)</f>
        <v/>
      </c>
      <c r="AF957">
        <f>IF(B957&lt;&gt;"",WORKDAY(B957,AE957),"")</f>
        <v/>
      </c>
      <c r="AG957">
        <f>IF(AF957&lt;&gt;"",NETWORKDAYS(TODAY(),AF957),"")</f>
        <v/>
      </c>
      <c r="AH957">
        <f>IF(AJ957="Complete","Complete",IF(AG957&lt;0,"Overdue",IF(AG957&lt;=AE957*0.2,"At Risk","On Track")))</f>
        <v/>
      </c>
      <c r="AK957">
        <f>IF(OR(AH957="Overdue",AND(AD957="P0",AG957&lt;1),AND(AD957="P1",AG957&lt;3)),"Y","N")</f>
        <v/>
      </c>
    </row>
    <row r="958">
      <c r="K958">
        <f>IF(J958="v4.0",L958,IF(J958="v3.1",M958,IF(J958="Both",L958,IF(AND(L958&lt;&gt;"",M958=""),L958,M958))))</f>
        <v/>
      </c>
      <c r="Z958">
        <f>MIN(100,
(K958*5) +
(U958*10) +
IF(P958="Y",40,0) +
IF(Q958="P",30,0) +
IF(V958="Y",25,0) +
IF(W958="Y",20,0) +
IF(X958="Weaponized",15,IF(X958="PoC Available",10,IF(X958="Public Exploit",5,0))) +
IF(G958="Production",10,IF(G958="DMZ",8,IF(G958="DR/Backup",5,0))) +
IF(Y958="N",10,0)
)</f>
        <v/>
      </c>
      <c r="AA958">
        <f>IF(OR(P958="Y",AND(K958&gt;=9.0,W958="Y")),"P0",IF(Z958&gt;=80,"P0",IF(Z958&gt;=60,"P1",IF(Z958&gt;=40,"P2",IF(Z958&gt;=20,"P3","P4")))))</f>
        <v/>
      </c>
      <c r="AD958">
        <f>IF(AB958&lt;&gt;"",AB958,AA958)</f>
        <v/>
      </c>
      <c r="AE958">
        <f>VLOOKUP(AD958,SLA_Definitions!$A$2:$B$6,2,FALSE)</f>
        <v/>
      </c>
      <c r="AF958">
        <f>IF(B958&lt;&gt;"",WORKDAY(B958,AE958),"")</f>
        <v/>
      </c>
      <c r="AG958">
        <f>IF(AF958&lt;&gt;"",NETWORKDAYS(TODAY(),AF958),"")</f>
        <v/>
      </c>
      <c r="AH958">
        <f>IF(AJ958="Complete","Complete",IF(AG958&lt;0,"Overdue",IF(AG958&lt;=AE958*0.2,"At Risk","On Track")))</f>
        <v/>
      </c>
      <c r="AK958">
        <f>IF(OR(AH958="Overdue",AND(AD958="P0",AG958&lt;1),AND(AD958="P1",AG958&lt;3)),"Y","N")</f>
        <v/>
      </c>
    </row>
    <row r="959">
      <c r="K959">
        <f>IF(J959="v4.0",L959,IF(J959="v3.1",M959,IF(J959="Both",L959,IF(AND(L959&lt;&gt;"",M959=""),L959,M959))))</f>
        <v/>
      </c>
      <c r="Z959">
        <f>MIN(100,
(K959*5) +
(U959*10) +
IF(P959="Y",40,0) +
IF(Q959="P",30,0) +
IF(V959="Y",25,0) +
IF(W959="Y",20,0) +
IF(X959="Weaponized",15,IF(X959="PoC Available",10,IF(X959="Public Exploit",5,0))) +
IF(G959="Production",10,IF(G959="DMZ",8,IF(G959="DR/Backup",5,0))) +
IF(Y959="N",10,0)
)</f>
        <v/>
      </c>
      <c r="AA959">
        <f>IF(OR(P959="Y",AND(K959&gt;=9.0,W959="Y")),"P0",IF(Z959&gt;=80,"P0",IF(Z959&gt;=60,"P1",IF(Z959&gt;=40,"P2",IF(Z959&gt;=20,"P3","P4")))))</f>
        <v/>
      </c>
      <c r="AD959">
        <f>IF(AB959&lt;&gt;"",AB959,AA959)</f>
        <v/>
      </c>
      <c r="AE959">
        <f>VLOOKUP(AD959,SLA_Definitions!$A$2:$B$6,2,FALSE)</f>
        <v/>
      </c>
      <c r="AF959">
        <f>IF(B959&lt;&gt;"",WORKDAY(B959,AE959),"")</f>
        <v/>
      </c>
      <c r="AG959">
        <f>IF(AF959&lt;&gt;"",NETWORKDAYS(TODAY(),AF959),"")</f>
        <v/>
      </c>
      <c r="AH959">
        <f>IF(AJ959="Complete","Complete",IF(AG959&lt;0,"Overdue",IF(AG959&lt;=AE959*0.2,"At Risk","On Track")))</f>
        <v/>
      </c>
      <c r="AK959">
        <f>IF(OR(AH959="Overdue",AND(AD959="P0",AG959&lt;1),AND(AD959="P1",AG959&lt;3)),"Y","N")</f>
        <v/>
      </c>
    </row>
    <row r="960">
      <c r="K960">
        <f>IF(J960="v4.0",L960,IF(J960="v3.1",M960,IF(J960="Both",L960,IF(AND(L960&lt;&gt;"",M960=""),L960,M960))))</f>
        <v/>
      </c>
      <c r="Z960">
        <f>MIN(100,
(K960*5) +
(U960*10) +
IF(P960="Y",40,0) +
IF(Q960="P",30,0) +
IF(V960="Y",25,0) +
IF(W960="Y",20,0) +
IF(X960="Weaponized",15,IF(X960="PoC Available",10,IF(X960="Public Exploit",5,0))) +
IF(G960="Production",10,IF(G960="DMZ",8,IF(G960="DR/Backup",5,0))) +
IF(Y960="N",10,0)
)</f>
        <v/>
      </c>
      <c r="AA960">
        <f>IF(OR(P960="Y",AND(K960&gt;=9.0,W960="Y")),"P0",IF(Z960&gt;=80,"P0",IF(Z960&gt;=60,"P1",IF(Z960&gt;=40,"P2",IF(Z960&gt;=20,"P3","P4")))))</f>
        <v/>
      </c>
      <c r="AD960">
        <f>IF(AB960&lt;&gt;"",AB960,AA960)</f>
        <v/>
      </c>
      <c r="AE960">
        <f>VLOOKUP(AD960,SLA_Definitions!$A$2:$B$6,2,FALSE)</f>
        <v/>
      </c>
      <c r="AF960">
        <f>IF(B960&lt;&gt;"",WORKDAY(B960,AE960),"")</f>
        <v/>
      </c>
      <c r="AG960">
        <f>IF(AF960&lt;&gt;"",NETWORKDAYS(TODAY(),AF960),"")</f>
        <v/>
      </c>
      <c r="AH960">
        <f>IF(AJ960="Complete","Complete",IF(AG960&lt;0,"Overdue",IF(AG960&lt;=AE960*0.2,"At Risk","On Track")))</f>
        <v/>
      </c>
      <c r="AK960">
        <f>IF(OR(AH960="Overdue",AND(AD960="P0",AG960&lt;1),AND(AD960="P1",AG960&lt;3)),"Y","N")</f>
        <v/>
      </c>
    </row>
    <row r="961">
      <c r="K961">
        <f>IF(J961="v4.0",L961,IF(J961="v3.1",M961,IF(J961="Both",L961,IF(AND(L961&lt;&gt;"",M961=""),L961,M961))))</f>
        <v/>
      </c>
      <c r="Z961">
        <f>MIN(100,
(K961*5) +
(U961*10) +
IF(P961="Y",40,0) +
IF(Q961="P",30,0) +
IF(V961="Y",25,0) +
IF(W961="Y",20,0) +
IF(X961="Weaponized",15,IF(X961="PoC Available",10,IF(X961="Public Exploit",5,0))) +
IF(G961="Production",10,IF(G961="DMZ",8,IF(G961="DR/Backup",5,0))) +
IF(Y961="N",10,0)
)</f>
        <v/>
      </c>
      <c r="AA961">
        <f>IF(OR(P961="Y",AND(K961&gt;=9.0,W961="Y")),"P0",IF(Z961&gt;=80,"P0",IF(Z961&gt;=60,"P1",IF(Z961&gt;=40,"P2",IF(Z961&gt;=20,"P3","P4")))))</f>
        <v/>
      </c>
      <c r="AD961">
        <f>IF(AB961&lt;&gt;"",AB961,AA961)</f>
        <v/>
      </c>
      <c r="AE961">
        <f>VLOOKUP(AD961,SLA_Definitions!$A$2:$B$6,2,FALSE)</f>
        <v/>
      </c>
      <c r="AF961">
        <f>IF(B961&lt;&gt;"",WORKDAY(B961,AE961),"")</f>
        <v/>
      </c>
      <c r="AG961">
        <f>IF(AF961&lt;&gt;"",NETWORKDAYS(TODAY(),AF961),"")</f>
        <v/>
      </c>
      <c r="AH961">
        <f>IF(AJ961="Complete","Complete",IF(AG961&lt;0,"Overdue",IF(AG961&lt;=AE961*0.2,"At Risk","On Track")))</f>
        <v/>
      </c>
      <c r="AK961">
        <f>IF(OR(AH961="Overdue",AND(AD961="P0",AG961&lt;1),AND(AD961="P1",AG961&lt;3)),"Y","N")</f>
        <v/>
      </c>
    </row>
    <row r="962">
      <c r="K962">
        <f>IF(J962="v4.0",L962,IF(J962="v3.1",M962,IF(J962="Both",L962,IF(AND(L962&lt;&gt;"",M962=""),L962,M962))))</f>
        <v/>
      </c>
      <c r="Z962">
        <f>MIN(100,
(K962*5) +
(U962*10) +
IF(P962="Y",40,0) +
IF(Q962="P",30,0) +
IF(V962="Y",25,0) +
IF(W962="Y",20,0) +
IF(X962="Weaponized",15,IF(X962="PoC Available",10,IF(X962="Public Exploit",5,0))) +
IF(G962="Production",10,IF(G962="DMZ",8,IF(G962="DR/Backup",5,0))) +
IF(Y962="N",10,0)
)</f>
        <v/>
      </c>
      <c r="AA962">
        <f>IF(OR(P962="Y",AND(K962&gt;=9.0,W962="Y")),"P0",IF(Z962&gt;=80,"P0",IF(Z962&gt;=60,"P1",IF(Z962&gt;=40,"P2",IF(Z962&gt;=20,"P3","P4")))))</f>
        <v/>
      </c>
      <c r="AD962">
        <f>IF(AB962&lt;&gt;"",AB962,AA962)</f>
        <v/>
      </c>
      <c r="AE962">
        <f>VLOOKUP(AD962,SLA_Definitions!$A$2:$B$6,2,FALSE)</f>
        <v/>
      </c>
      <c r="AF962">
        <f>IF(B962&lt;&gt;"",WORKDAY(B962,AE962),"")</f>
        <v/>
      </c>
      <c r="AG962">
        <f>IF(AF962&lt;&gt;"",NETWORKDAYS(TODAY(),AF962),"")</f>
        <v/>
      </c>
      <c r="AH962">
        <f>IF(AJ962="Complete","Complete",IF(AG962&lt;0,"Overdue",IF(AG962&lt;=AE962*0.2,"At Risk","On Track")))</f>
        <v/>
      </c>
      <c r="AK962">
        <f>IF(OR(AH962="Overdue",AND(AD962="P0",AG962&lt;1),AND(AD962="P1",AG962&lt;3)),"Y","N")</f>
        <v/>
      </c>
    </row>
    <row r="963">
      <c r="K963">
        <f>IF(J963="v4.0",L963,IF(J963="v3.1",M963,IF(J963="Both",L963,IF(AND(L963&lt;&gt;"",M963=""),L963,M963))))</f>
        <v/>
      </c>
      <c r="Z963">
        <f>MIN(100,
(K963*5) +
(U963*10) +
IF(P963="Y",40,0) +
IF(Q963="P",30,0) +
IF(V963="Y",25,0) +
IF(W963="Y",20,0) +
IF(X963="Weaponized",15,IF(X963="PoC Available",10,IF(X963="Public Exploit",5,0))) +
IF(G963="Production",10,IF(G963="DMZ",8,IF(G963="DR/Backup",5,0))) +
IF(Y963="N",10,0)
)</f>
        <v/>
      </c>
      <c r="AA963">
        <f>IF(OR(P963="Y",AND(K963&gt;=9.0,W963="Y")),"P0",IF(Z963&gt;=80,"P0",IF(Z963&gt;=60,"P1",IF(Z963&gt;=40,"P2",IF(Z963&gt;=20,"P3","P4")))))</f>
        <v/>
      </c>
      <c r="AD963">
        <f>IF(AB963&lt;&gt;"",AB963,AA963)</f>
        <v/>
      </c>
      <c r="AE963">
        <f>VLOOKUP(AD963,SLA_Definitions!$A$2:$B$6,2,FALSE)</f>
        <v/>
      </c>
      <c r="AF963">
        <f>IF(B963&lt;&gt;"",WORKDAY(B963,AE963),"")</f>
        <v/>
      </c>
      <c r="AG963">
        <f>IF(AF963&lt;&gt;"",NETWORKDAYS(TODAY(),AF963),"")</f>
        <v/>
      </c>
      <c r="AH963">
        <f>IF(AJ963="Complete","Complete",IF(AG963&lt;0,"Overdue",IF(AG963&lt;=AE963*0.2,"At Risk","On Track")))</f>
        <v/>
      </c>
      <c r="AK963">
        <f>IF(OR(AH963="Overdue",AND(AD963="P0",AG963&lt;1),AND(AD963="P1",AG963&lt;3)),"Y","N")</f>
        <v/>
      </c>
    </row>
    <row r="964">
      <c r="K964">
        <f>IF(J964="v4.0",L964,IF(J964="v3.1",M964,IF(J964="Both",L964,IF(AND(L964&lt;&gt;"",M964=""),L964,M964))))</f>
        <v/>
      </c>
      <c r="Z964">
        <f>MIN(100,
(K964*5) +
(U964*10) +
IF(P964="Y",40,0) +
IF(Q964="P",30,0) +
IF(V964="Y",25,0) +
IF(W964="Y",20,0) +
IF(X964="Weaponized",15,IF(X964="PoC Available",10,IF(X964="Public Exploit",5,0))) +
IF(G964="Production",10,IF(G964="DMZ",8,IF(G964="DR/Backup",5,0))) +
IF(Y964="N",10,0)
)</f>
        <v/>
      </c>
      <c r="AA964">
        <f>IF(OR(P964="Y",AND(K964&gt;=9.0,W964="Y")),"P0",IF(Z964&gt;=80,"P0",IF(Z964&gt;=60,"P1",IF(Z964&gt;=40,"P2",IF(Z964&gt;=20,"P3","P4")))))</f>
        <v/>
      </c>
      <c r="AD964">
        <f>IF(AB964&lt;&gt;"",AB964,AA964)</f>
        <v/>
      </c>
      <c r="AE964">
        <f>VLOOKUP(AD964,SLA_Definitions!$A$2:$B$6,2,FALSE)</f>
        <v/>
      </c>
      <c r="AF964">
        <f>IF(B964&lt;&gt;"",WORKDAY(B964,AE964),"")</f>
        <v/>
      </c>
      <c r="AG964">
        <f>IF(AF964&lt;&gt;"",NETWORKDAYS(TODAY(),AF964),"")</f>
        <v/>
      </c>
      <c r="AH964">
        <f>IF(AJ964="Complete","Complete",IF(AG964&lt;0,"Overdue",IF(AG964&lt;=AE964*0.2,"At Risk","On Track")))</f>
        <v/>
      </c>
      <c r="AK964">
        <f>IF(OR(AH964="Overdue",AND(AD964="P0",AG964&lt;1),AND(AD964="P1",AG964&lt;3)),"Y","N")</f>
        <v/>
      </c>
    </row>
    <row r="965">
      <c r="K965">
        <f>IF(J965="v4.0",L965,IF(J965="v3.1",M965,IF(J965="Both",L965,IF(AND(L965&lt;&gt;"",M965=""),L965,M965))))</f>
        <v/>
      </c>
      <c r="Z965">
        <f>MIN(100,
(K965*5) +
(U965*10) +
IF(P965="Y",40,0) +
IF(Q965="P",30,0) +
IF(V965="Y",25,0) +
IF(W965="Y",20,0) +
IF(X965="Weaponized",15,IF(X965="PoC Available",10,IF(X965="Public Exploit",5,0))) +
IF(G965="Production",10,IF(G965="DMZ",8,IF(G965="DR/Backup",5,0))) +
IF(Y965="N",10,0)
)</f>
        <v/>
      </c>
      <c r="AA965">
        <f>IF(OR(P965="Y",AND(K965&gt;=9.0,W965="Y")),"P0",IF(Z965&gt;=80,"P0",IF(Z965&gt;=60,"P1",IF(Z965&gt;=40,"P2",IF(Z965&gt;=20,"P3","P4")))))</f>
        <v/>
      </c>
      <c r="AD965">
        <f>IF(AB965&lt;&gt;"",AB965,AA965)</f>
        <v/>
      </c>
      <c r="AE965">
        <f>VLOOKUP(AD965,SLA_Definitions!$A$2:$B$6,2,FALSE)</f>
        <v/>
      </c>
      <c r="AF965">
        <f>IF(B965&lt;&gt;"",WORKDAY(B965,AE965),"")</f>
        <v/>
      </c>
      <c r="AG965">
        <f>IF(AF965&lt;&gt;"",NETWORKDAYS(TODAY(),AF965),"")</f>
        <v/>
      </c>
      <c r="AH965">
        <f>IF(AJ965="Complete","Complete",IF(AG965&lt;0,"Overdue",IF(AG965&lt;=AE965*0.2,"At Risk","On Track")))</f>
        <v/>
      </c>
      <c r="AK965">
        <f>IF(OR(AH965="Overdue",AND(AD965="P0",AG965&lt;1),AND(AD965="P1",AG965&lt;3)),"Y","N")</f>
        <v/>
      </c>
    </row>
    <row r="966">
      <c r="K966">
        <f>IF(J966="v4.0",L966,IF(J966="v3.1",M966,IF(J966="Both",L966,IF(AND(L966&lt;&gt;"",M966=""),L966,M966))))</f>
        <v/>
      </c>
      <c r="Z966">
        <f>MIN(100,
(K966*5) +
(U966*10) +
IF(P966="Y",40,0) +
IF(Q966="P",30,0) +
IF(V966="Y",25,0) +
IF(W966="Y",20,0) +
IF(X966="Weaponized",15,IF(X966="PoC Available",10,IF(X966="Public Exploit",5,0))) +
IF(G966="Production",10,IF(G966="DMZ",8,IF(G966="DR/Backup",5,0))) +
IF(Y966="N",10,0)
)</f>
        <v/>
      </c>
      <c r="AA966">
        <f>IF(OR(P966="Y",AND(K966&gt;=9.0,W966="Y")),"P0",IF(Z966&gt;=80,"P0",IF(Z966&gt;=60,"P1",IF(Z966&gt;=40,"P2",IF(Z966&gt;=20,"P3","P4")))))</f>
        <v/>
      </c>
      <c r="AD966">
        <f>IF(AB966&lt;&gt;"",AB966,AA966)</f>
        <v/>
      </c>
      <c r="AE966">
        <f>VLOOKUP(AD966,SLA_Definitions!$A$2:$B$6,2,FALSE)</f>
        <v/>
      </c>
      <c r="AF966">
        <f>IF(B966&lt;&gt;"",WORKDAY(B966,AE966),"")</f>
        <v/>
      </c>
      <c r="AG966">
        <f>IF(AF966&lt;&gt;"",NETWORKDAYS(TODAY(),AF966),"")</f>
        <v/>
      </c>
      <c r="AH966">
        <f>IF(AJ966="Complete","Complete",IF(AG966&lt;0,"Overdue",IF(AG966&lt;=AE966*0.2,"At Risk","On Track")))</f>
        <v/>
      </c>
      <c r="AK966">
        <f>IF(OR(AH966="Overdue",AND(AD966="P0",AG966&lt;1),AND(AD966="P1",AG966&lt;3)),"Y","N")</f>
        <v/>
      </c>
    </row>
    <row r="967">
      <c r="K967">
        <f>IF(J967="v4.0",L967,IF(J967="v3.1",M967,IF(J967="Both",L967,IF(AND(L967&lt;&gt;"",M967=""),L967,M967))))</f>
        <v/>
      </c>
      <c r="Z967">
        <f>MIN(100,
(K967*5) +
(U967*10) +
IF(P967="Y",40,0) +
IF(Q967="P",30,0) +
IF(V967="Y",25,0) +
IF(W967="Y",20,0) +
IF(X967="Weaponized",15,IF(X967="PoC Available",10,IF(X967="Public Exploit",5,0))) +
IF(G967="Production",10,IF(G967="DMZ",8,IF(G967="DR/Backup",5,0))) +
IF(Y967="N",10,0)
)</f>
        <v/>
      </c>
      <c r="AA967">
        <f>IF(OR(P967="Y",AND(K967&gt;=9.0,W967="Y")),"P0",IF(Z967&gt;=80,"P0",IF(Z967&gt;=60,"P1",IF(Z967&gt;=40,"P2",IF(Z967&gt;=20,"P3","P4")))))</f>
        <v/>
      </c>
      <c r="AD967">
        <f>IF(AB967&lt;&gt;"",AB967,AA967)</f>
        <v/>
      </c>
      <c r="AE967">
        <f>VLOOKUP(AD967,SLA_Definitions!$A$2:$B$6,2,FALSE)</f>
        <v/>
      </c>
      <c r="AF967">
        <f>IF(B967&lt;&gt;"",WORKDAY(B967,AE967),"")</f>
        <v/>
      </c>
      <c r="AG967">
        <f>IF(AF967&lt;&gt;"",NETWORKDAYS(TODAY(),AF967),"")</f>
        <v/>
      </c>
      <c r="AH967">
        <f>IF(AJ967="Complete","Complete",IF(AG967&lt;0,"Overdue",IF(AG967&lt;=AE967*0.2,"At Risk","On Track")))</f>
        <v/>
      </c>
      <c r="AK967">
        <f>IF(OR(AH967="Overdue",AND(AD967="P0",AG967&lt;1),AND(AD967="P1",AG967&lt;3)),"Y","N")</f>
        <v/>
      </c>
    </row>
    <row r="968">
      <c r="K968">
        <f>IF(J968="v4.0",L968,IF(J968="v3.1",M968,IF(J968="Both",L968,IF(AND(L968&lt;&gt;"",M968=""),L968,M968))))</f>
        <v/>
      </c>
      <c r="Z968">
        <f>MIN(100,
(K968*5) +
(U968*10) +
IF(P968="Y",40,0) +
IF(Q968="P",30,0) +
IF(V968="Y",25,0) +
IF(W968="Y",20,0) +
IF(X968="Weaponized",15,IF(X968="PoC Available",10,IF(X968="Public Exploit",5,0))) +
IF(G968="Production",10,IF(G968="DMZ",8,IF(G968="DR/Backup",5,0))) +
IF(Y968="N",10,0)
)</f>
        <v/>
      </c>
      <c r="AA968">
        <f>IF(OR(P968="Y",AND(K968&gt;=9.0,W968="Y")),"P0",IF(Z968&gt;=80,"P0",IF(Z968&gt;=60,"P1",IF(Z968&gt;=40,"P2",IF(Z968&gt;=20,"P3","P4")))))</f>
        <v/>
      </c>
      <c r="AD968">
        <f>IF(AB968&lt;&gt;"",AB968,AA968)</f>
        <v/>
      </c>
      <c r="AE968">
        <f>VLOOKUP(AD968,SLA_Definitions!$A$2:$B$6,2,FALSE)</f>
        <v/>
      </c>
      <c r="AF968">
        <f>IF(B968&lt;&gt;"",WORKDAY(B968,AE968),"")</f>
        <v/>
      </c>
      <c r="AG968">
        <f>IF(AF968&lt;&gt;"",NETWORKDAYS(TODAY(),AF968),"")</f>
        <v/>
      </c>
      <c r="AH968">
        <f>IF(AJ968="Complete","Complete",IF(AG968&lt;0,"Overdue",IF(AG968&lt;=AE968*0.2,"At Risk","On Track")))</f>
        <v/>
      </c>
      <c r="AK968">
        <f>IF(OR(AH968="Overdue",AND(AD968="P0",AG968&lt;1),AND(AD968="P1",AG968&lt;3)),"Y","N")</f>
        <v/>
      </c>
    </row>
    <row r="969">
      <c r="K969">
        <f>IF(J969="v4.0",L969,IF(J969="v3.1",M969,IF(J969="Both",L969,IF(AND(L969&lt;&gt;"",M969=""),L969,M969))))</f>
        <v/>
      </c>
      <c r="Z969">
        <f>MIN(100,
(K969*5) +
(U969*10) +
IF(P969="Y",40,0) +
IF(Q969="P",30,0) +
IF(V969="Y",25,0) +
IF(W969="Y",20,0) +
IF(X969="Weaponized",15,IF(X969="PoC Available",10,IF(X969="Public Exploit",5,0))) +
IF(G969="Production",10,IF(G969="DMZ",8,IF(G969="DR/Backup",5,0))) +
IF(Y969="N",10,0)
)</f>
        <v/>
      </c>
      <c r="AA969">
        <f>IF(OR(P969="Y",AND(K969&gt;=9.0,W969="Y")),"P0",IF(Z969&gt;=80,"P0",IF(Z969&gt;=60,"P1",IF(Z969&gt;=40,"P2",IF(Z969&gt;=20,"P3","P4")))))</f>
        <v/>
      </c>
      <c r="AD969">
        <f>IF(AB969&lt;&gt;"",AB969,AA969)</f>
        <v/>
      </c>
      <c r="AE969">
        <f>VLOOKUP(AD969,SLA_Definitions!$A$2:$B$6,2,FALSE)</f>
        <v/>
      </c>
      <c r="AF969">
        <f>IF(B969&lt;&gt;"",WORKDAY(B969,AE969),"")</f>
        <v/>
      </c>
      <c r="AG969">
        <f>IF(AF969&lt;&gt;"",NETWORKDAYS(TODAY(),AF969),"")</f>
        <v/>
      </c>
      <c r="AH969">
        <f>IF(AJ969="Complete","Complete",IF(AG969&lt;0,"Overdue",IF(AG969&lt;=AE969*0.2,"At Risk","On Track")))</f>
        <v/>
      </c>
      <c r="AK969">
        <f>IF(OR(AH969="Overdue",AND(AD969="P0",AG969&lt;1),AND(AD969="P1",AG969&lt;3)),"Y","N")</f>
        <v/>
      </c>
    </row>
    <row r="970">
      <c r="K970">
        <f>IF(J970="v4.0",L970,IF(J970="v3.1",M970,IF(J970="Both",L970,IF(AND(L970&lt;&gt;"",M970=""),L970,M970))))</f>
        <v/>
      </c>
      <c r="Z970">
        <f>MIN(100,
(K970*5) +
(U970*10) +
IF(P970="Y",40,0) +
IF(Q970="P",30,0) +
IF(V970="Y",25,0) +
IF(W970="Y",20,0) +
IF(X970="Weaponized",15,IF(X970="PoC Available",10,IF(X970="Public Exploit",5,0))) +
IF(G970="Production",10,IF(G970="DMZ",8,IF(G970="DR/Backup",5,0))) +
IF(Y970="N",10,0)
)</f>
        <v/>
      </c>
      <c r="AA970">
        <f>IF(OR(P970="Y",AND(K970&gt;=9.0,W970="Y")),"P0",IF(Z970&gt;=80,"P0",IF(Z970&gt;=60,"P1",IF(Z970&gt;=40,"P2",IF(Z970&gt;=20,"P3","P4")))))</f>
        <v/>
      </c>
      <c r="AD970">
        <f>IF(AB970&lt;&gt;"",AB970,AA970)</f>
        <v/>
      </c>
      <c r="AE970">
        <f>VLOOKUP(AD970,SLA_Definitions!$A$2:$B$6,2,FALSE)</f>
        <v/>
      </c>
      <c r="AF970">
        <f>IF(B970&lt;&gt;"",WORKDAY(B970,AE970),"")</f>
        <v/>
      </c>
      <c r="AG970">
        <f>IF(AF970&lt;&gt;"",NETWORKDAYS(TODAY(),AF970),"")</f>
        <v/>
      </c>
      <c r="AH970">
        <f>IF(AJ970="Complete","Complete",IF(AG970&lt;0,"Overdue",IF(AG970&lt;=AE970*0.2,"At Risk","On Track")))</f>
        <v/>
      </c>
      <c r="AK970">
        <f>IF(OR(AH970="Overdue",AND(AD970="P0",AG970&lt;1),AND(AD970="P1",AG970&lt;3)),"Y","N")</f>
        <v/>
      </c>
    </row>
    <row r="971">
      <c r="K971">
        <f>IF(J971="v4.0",L971,IF(J971="v3.1",M971,IF(J971="Both",L971,IF(AND(L971&lt;&gt;"",M971=""),L971,M971))))</f>
        <v/>
      </c>
      <c r="Z971">
        <f>MIN(100,
(K971*5) +
(U971*10) +
IF(P971="Y",40,0) +
IF(Q971="P",30,0) +
IF(V971="Y",25,0) +
IF(W971="Y",20,0) +
IF(X971="Weaponized",15,IF(X971="PoC Available",10,IF(X971="Public Exploit",5,0))) +
IF(G971="Production",10,IF(G971="DMZ",8,IF(G971="DR/Backup",5,0))) +
IF(Y971="N",10,0)
)</f>
        <v/>
      </c>
      <c r="AA971">
        <f>IF(OR(P971="Y",AND(K971&gt;=9.0,W971="Y")),"P0",IF(Z971&gt;=80,"P0",IF(Z971&gt;=60,"P1",IF(Z971&gt;=40,"P2",IF(Z971&gt;=20,"P3","P4")))))</f>
        <v/>
      </c>
      <c r="AD971">
        <f>IF(AB971&lt;&gt;"",AB971,AA971)</f>
        <v/>
      </c>
      <c r="AE971">
        <f>VLOOKUP(AD971,SLA_Definitions!$A$2:$B$6,2,FALSE)</f>
        <v/>
      </c>
      <c r="AF971">
        <f>IF(B971&lt;&gt;"",WORKDAY(B971,AE971),"")</f>
        <v/>
      </c>
      <c r="AG971">
        <f>IF(AF971&lt;&gt;"",NETWORKDAYS(TODAY(),AF971),"")</f>
        <v/>
      </c>
      <c r="AH971">
        <f>IF(AJ971="Complete","Complete",IF(AG971&lt;0,"Overdue",IF(AG971&lt;=AE971*0.2,"At Risk","On Track")))</f>
        <v/>
      </c>
      <c r="AK971">
        <f>IF(OR(AH971="Overdue",AND(AD971="P0",AG971&lt;1),AND(AD971="P1",AG971&lt;3)),"Y","N")</f>
        <v/>
      </c>
    </row>
    <row r="972">
      <c r="K972">
        <f>IF(J972="v4.0",L972,IF(J972="v3.1",M972,IF(J972="Both",L972,IF(AND(L972&lt;&gt;"",M972=""),L972,M972))))</f>
        <v/>
      </c>
      <c r="Z972">
        <f>MIN(100,
(K972*5) +
(U972*10) +
IF(P972="Y",40,0) +
IF(Q972="P",30,0) +
IF(V972="Y",25,0) +
IF(W972="Y",20,0) +
IF(X972="Weaponized",15,IF(X972="PoC Available",10,IF(X972="Public Exploit",5,0))) +
IF(G972="Production",10,IF(G972="DMZ",8,IF(G972="DR/Backup",5,0))) +
IF(Y972="N",10,0)
)</f>
        <v/>
      </c>
      <c r="AA972">
        <f>IF(OR(P972="Y",AND(K972&gt;=9.0,W972="Y")),"P0",IF(Z972&gt;=80,"P0",IF(Z972&gt;=60,"P1",IF(Z972&gt;=40,"P2",IF(Z972&gt;=20,"P3","P4")))))</f>
        <v/>
      </c>
      <c r="AD972">
        <f>IF(AB972&lt;&gt;"",AB972,AA972)</f>
        <v/>
      </c>
      <c r="AE972">
        <f>VLOOKUP(AD972,SLA_Definitions!$A$2:$B$6,2,FALSE)</f>
        <v/>
      </c>
      <c r="AF972">
        <f>IF(B972&lt;&gt;"",WORKDAY(B972,AE972),"")</f>
        <v/>
      </c>
      <c r="AG972">
        <f>IF(AF972&lt;&gt;"",NETWORKDAYS(TODAY(),AF972),"")</f>
        <v/>
      </c>
      <c r="AH972">
        <f>IF(AJ972="Complete","Complete",IF(AG972&lt;0,"Overdue",IF(AG972&lt;=AE972*0.2,"At Risk","On Track")))</f>
        <v/>
      </c>
      <c r="AK972">
        <f>IF(OR(AH972="Overdue",AND(AD972="P0",AG972&lt;1),AND(AD972="P1",AG972&lt;3)),"Y","N")</f>
        <v/>
      </c>
    </row>
    <row r="973">
      <c r="K973">
        <f>IF(J973="v4.0",L973,IF(J973="v3.1",M973,IF(J973="Both",L973,IF(AND(L973&lt;&gt;"",M973=""),L973,M973))))</f>
        <v/>
      </c>
      <c r="Z973">
        <f>MIN(100,
(K973*5) +
(U973*10) +
IF(P973="Y",40,0) +
IF(Q973="P",30,0) +
IF(V973="Y",25,0) +
IF(W973="Y",20,0) +
IF(X973="Weaponized",15,IF(X973="PoC Available",10,IF(X973="Public Exploit",5,0))) +
IF(G973="Production",10,IF(G973="DMZ",8,IF(G973="DR/Backup",5,0))) +
IF(Y973="N",10,0)
)</f>
        <v/>
      </c>
      <c r="AA973">
        <f>IF(OR(P973="Y",AND(K973&gt;=9.0,W973="Y")),"P0",IF(Z973&gt;=80,"P0",IF(Z973&gt;=60,"P1",IF(Z973&gt;=40,"P2",IF(Z973&gt;=20,"P3","P4")))))</f>
        <v/>
      </c>
      <c r="AD973">
        <f>IF(AB973&lt;&gt;"",AB973,AA973)</f>
        <v/>
      </c>
      <c r="AE973">
        <f>VLOOKUP(AD973,SLA_Definitions!$A$2:$B$6,2,FALSE)</f>
        <v/>
      </c>
      <c r="AF973">
        <f>IF(B973&lt;&gt;"",WORKDAY(B973,AE973),"")</f>
        <v/>
      </c>
      <c r="AG973">
        <f>IF(AF973&lt;&gt;"",NETWORKDAYS(TODAY(),AF973),"")</f>
        <v/>
      </c>
      <c r="AH973">
        <f>IF(AJ973="Complete","Complete",IF(AG973&lt;0,"Overdue",IF(AG973&lt;=AE973*0.2,"At Risk","On Track")))</f>
        <v/>
      </c>
      <c r="AK973">
        <f>IF(OR(AH973="Overdue",AND(AD973="P0",AG973&lt;1),AND(AD973="P1",AG973&lt;3)),"Y","N")</f>
        <v/>
      </c>
    </row>
    <row r="974">
      <c r="K974">
        <f>IF(J974="v4.0",L974,IF(J974="v3.1",M974,IF(J974="Both",L974,IF(AND(L974&lt;&gt;"",M974=""),L974,M974))))</f>
        <v/>
      </c>
      <c r="Z974">
        <f>MIN(100,
(K974*5) +
(U974*10) +
IF(P974="Y",40,0) +
IF(Q974="P",30,0) +
IF(V974="Y",25,0) +
IF(W974="Y",20,0) +
IF(X974="Weaponized",15,IF(X974="PoC Available",10,IF(X974="Public Exploit",5,0))) +
IF(G974="Production",10,IF(G974="DMZ",8,IF(G974="DR/Backup",5,0))) +
IF(Y974="N",10,0)
)</f>
        <v/>
      </c>
      <c r="AA974">
        <f>IF(OR(P974="Y",AND(K974&gt;=9.0,W974="Y")),"P0",IF(Z974&gt;=80,"P0",IF(Z974&gt;=60,"P1",IF(Z974&gt;=40,"P2",IF(Z974&gt;=20,"P3","P4")))))</f>
        <v/>
      </c>
      <c r="AD974">
        <f>IF(AB974&lt;&gt;"",AB974,AA974)</f>
        <v/>
      </c>
      <c r="AE974">
        <f>VLOOKUP(AD974,SLA_Definitions!$A$2:$B$6,2,FALSE)</f>
        <v/>
      </c>
      <c r="AF974">
        <f>IF(B974&lt;&gt;"",WORKDAY(B974,AE974),"")</f>
        <v/>
      </c>
      <c r="AG974">
        <f>IF(AF974&lt;&gt;"",NETWORKDAYS(TODAY(),AF974),"")</f>
        <v/>
      </c>
      <c r="AH974">
        <f>IF(AJ974="Complete","Complete",IF(AG974&lt;0,"Overdue",IF(AG974&lt;=AE974*0.2,"At Risk","On Track")))</f>
        <v/>
      </c>
      <c r="AK974">
        <f>IF(OR(AH974="Overdue",AND(AD974="P0",AG974&lt;1),AND(AD974="P1",AG974&lt;3)),"Y","N")</f>
        <v/>
      </c>
    </row>
    <row r="975">
      <c r="K975">
        <f>IF(J975="v4.0",L975,IF(J975="v3.1",M975,IF(J975="Both",L975,IF(AND(L975&lt;&gt;"",M975=""),L975,M975))))</f>
        <v/>
      </c>
      <c r="Z975">
        <f>MIN(100,
(K975*5) +
(U975*10) +
IF(P975="Y",40,0) +
IF(Q975="P",30,0) +
IF(V975="Y",25,0) +
IF(W975="Y",20,0) +
IF(X975="Weaponized",15,IF(X975="PoC Available",10,IF(X975="Public Exploit",5,0))) +
IF(G975="Production",10,IF(G975="DMZ",8,IF(G975="DR/Backup",5,0))) +
IF(Y975="N",10,0)
)</f>
        <v/>
      </c>
      <c r="AA975">
        <f>IF(OR(P975="Y",AND(K975&gt;=9.0,W975="Y")),"P0",IF(Z975&gt;=80,"P0",IF(Z975&gt;=60,"P1",IF(Z975&gt;=40,"P2",IF(Z975&gt;=20,"P3","P4")))))</f>
        <v/>
      </c>
      <c r="AD975">
        <f>IF(AB975&lt;&gt;"",AB975,AA975)</f>
        <v/>
      </c>
      <c r="AE975">
        <f>VLOOKUP(AD975,SLA_Definitions!$A$2:$B$6,2,FALSE)</f>
        <v/>
      </c>
      <c r="AF975">
        <f>IF(B975&lt;&gt;"",WORKDAY(B975,AE975),"")</f>
        <v/>
      </c>
      <c r="AG975">
        <f>IF(AF975&lt;&gt;"",NETWORKDAYS(TODAY(),AF975),"")</f>
        <v/>
      </c>
      <c r="AH975">
        <f>IF(AJ975="Complete","Complete",IF(AG975&lt;0,"Overdue",IF(AG975&lt;=AE975*0.2,"At Risk","On Track")))</f>
        <v/>
      </c>
      <c r="AK975">
        <f>IF(OR(AH975="Overdue",AND(AD975="P0",AG975&lt;1),AND(AD975="P1",AG975&lt;3)),"Y","N")</f>
        <v/>
      </c>
    </row>
    <row r="976">
      <c r="K976">
        <f>IF(J976="v4.0",L976,IF(J976="v3.1",M976,IF(J976="Both",L976,IF(AND(L976&lt;&gt;"",M976=""),L976,M976))))</f>
        <v/>
      </c>
      <c r="Z976">
        <f>MIN(100,
(K976*5) +
(U976*10) +
IF(P976="Y",40,0) +
IF(Q976="P",30,0) +
IF(V976="Y",25,0) +
IF(W976="Y",20,0) +
IF(X976="Weaponized",15,IF(X976="PoC Available",10,IF(X976="Public Exploit",5,0))) +
IF(G976="Production",10,IF(G976="DMZ",8,IF(G976="DR/Backup",5,0))) +
IF(Y976="N",10,0)
)</f>
        <v/>
      </c>
      <c r="AA976">
        <f>IF(OR(P976="Y",AND(K976&gt;=9.0,W976="Y")),"P0",IF(Z976&gt;=80,"P0",IF(Z976&gt;=60,"P1",IF(Z976&gt;=40,"P2",IF(Z976&gt;=20,"P3","P4")))))</f>
        <v/>
      </c>
      <c r="AD976">
        <f>IF(AB976&lt;&gt;"",AB976,AA976)</f>
        <v/>
      </c>
      <c r="AE976">
        <f>VLOOKUP(AD976,SLA_Definitions!$A$2:$B$6,2,FALSE)</f>
        <v/>
      </c>
      <c r="AF976">
        <f>IF(B976&lt;&gt;"",WORKDAY(B976,AE976),"")</f>
        <v/>
      </c>
      <c r="AG976">
        <f>IF(AF976&lt;&gt;"",NETWORKDAYS(TODAY(),AF976),"")</f>
        <v/>
      </c>
      <c r="AH976">
        <f>IF(AJ976="Complete","Complete",IF(AG976&lt;0,"Overdue",IF(AG976&lt;=AE976*0.2,"At Risk","On Track")))</f>
        <v/>
      </c>
      <c r="AK976">
        <f>IF(OR(AH976="Overdue",AND(AD976="P0",AG976&lt;1),AND(AD976="P1",AG976&lt;3)),"Y","N")</f>
        <v/>
      </c>
    </row>
    <row r="977">
      <c r="K977">
        <f>IF(J977="v4.0",L977,IF(J977="v3.1",M977,IF(J977="Both",L977,IF(AND(L977&lt;&gt;"",M977=""),L977,M977))))</f>
        <v/>
      </c>
      <c r="Z977">
        <f>MIN(100,
(K977*5) +
(U977*10) +
IF(P977="Y",40,0) +
IF(Q977="P",30,0) +
IF(V977="Y",25,0) +
IF(W977="Y",20,0) +
IF(X977="Weaponized",15,IF(X977="PoC Available",10,IF(X977="Public Exploit",5,0))) +
IF(G977="Production",10,IF(G977="DMZ",8,IF(G977="DR/Backup",5,0))) +
IF(Y977="N",10,0)
)</f>
        <v/>
      </c>
      <c r="AA977">
        <f>IF(OR(P977="Y",AND(K977&gt;=9.0,W977="Y")),"P0",IF(Z977&gt;=80,"P0",IF(Z977&gt;=60,"P1",IF(Z977&gt;=40,"P2",IF(Z977&gt;=20,"P3","P4")))))</f>
        <v/>
      </c>
      <c r="AD977">
        <f>IF(AB977&lt;&gt;"",AB977,AA977)</f>
        <v/>
      </c>
      <c r="AE977">
        <f>VLOOKUP(AD977,SLA_Definitions!$A$2:$B$6,2,FALSE)</f>
        <v/>
      </c>
      <c r="AF977">
        <f>IF(B977&lt;&gt;"",WORKDAY(B977,AE977),"")</f>
        <v/>
      </c>
      <c r="AG977">
        <f>IF(AF977&lt;&gt;"",NETWORKDAYS(TODAY(),AF977),"")</f>
        <v/>
      </c>
      <c r="AH977">
        <f>IF(AJ977="Complete","Complete",IF(AG977&lt;0,"Overdue",IF(AG977&lt;=AE977*0.2,"At Risk","On Track")))</f>
        <v/>
      </c>
      <c r="AK977">
        <f>IF(OR(AH977="Overdue",AND(AD977="P0",AG977&lt;1),AND(AD977="P1",AG977&lt;3)),"Y","N")</f>
        <v/>
      </c>
    </row>
    <row r="978">
      <c r="K978">
        <f>IF(J978="v4.0",L978,IF(J978="v3.1",M978,IF(J978="Both",L978,IF(AND(L978&lt;&gt;"",M978=""),L978,M978))))</f>
        <v/>
      </c>
      <c r="Z978">
        <f>MIN(100,
(K978*5) +
(U978*10) +
IF(P978="Y",40,0) +
IF(Q978="P",30,0) +
IF(V978="Y",25,0) +
IF(W978="Y",20,0) +
IF(X978="Weaponized",15,IF(X978="PoC Available",10,IF(X978="Public Exploit",5,0))) +
IF(G978="Production",10,IF(G978="DMZ",8,IF(G978="DR/Backup",5,0))) +
IF(Y978="N",10,0)
)</f>
        <v/>
      </c>
      <c r="AA978">
        <f>IF(OR(P978="Y",AND(K978&gt;=9.0,W978="Y")),"P0",IF(Z978&gt;=80,"P0",IF(Z978&gt;=60,"P1",IF(Z978&gt;=40,"P2",IF(Z978&gt;=20,"P3","P4")))))</f>
        <v/>
      </c>
      <c r="AD978">
        <f>IF(AB978&lt;&gt;"",AB978,AA978)</f>
        <v/>
      </c>
      <c r="AE978">
        <f>VLOOKUP(AD978,SLA_Definitions!$A$2:$B$6,2,FALSE)</f>
        <v/>
      </c>
      <c r="AF978">
        <f>IF(B978&lt;&gt;"",WORKDAY(B978,AE978),"")</f>
        <v/>
      </c>
      <c r="AG978">
        <f>IF(AF978&lt;&gt;"",NETWORKDAYS(TODAY(),AF978),"")</f>
        <v/>
      </c>
      <c r="AH978">
        <f>IF(AJ978="Complete","Complete",IF(AG978&lt;0,"Overdue",IF(AG978&lt;=AE978*0.2,"At Risk","On Track")))</f>
        <v/>
      </c>
      <c r="AK978">
        <f>IF(OR(AH978="Overdue",AND(AD978="P0",AG978&lt;1),AND(AD978="P1",AG978&lt;3)),"Y","N")</f>
        <v/>
      </c>
    </row>
    <row r="979">
      <c r="K979">
        <f>IF(J979="v4.0",L979,IF(J979="v3.1",M979,IF(J979="Both",L979,IF(AND(L979&lt;&gt;"",M979=""),L979,M979))))</f>
        <v/>
      </c>
      <c r="Z979">
        <f>MIN(100,
(K979*5) +
(U979*10) +
IF(P979="Y",40,0) +
IF(Q979="P",30,0) +
IF(V979="Y",25,0) +
IF(W979="Y",20,0) +
IF(X979="Weaponized",15,IF(X979="PoC Available",10,IF(X979="Public Exploit",5,0))) +
IF(G979="Production",10,IF(G979="DMZ",8,IF(G979="DR/Backup",5,0))) +
IF(Y979="N",10,0)
)</f>
        <v/>
      </c>
      <c r="AA979">
        <f>IF(OR(P979="Y",AND(K979&gt;=9.0,W979="Y")),"P0",IF(Z979&gt;=80,"P0",IF(Z979&gt;=60,"P1",IF(Z979&gt;=40,"P2",IF(Z979&gt;=20,"P3","P4")))))</f>
        <v/>
      </c>
      <c r="AD979">
        <f>IF(AB979&lt;&gt;"",AB979,AA979)</f>
        <v/>
      </c>
      <c r="AE979">
        <f>VLOOKUP(AD979,SLA_Definitions!$A$2:$B$6,2,FALSE)</f>
        <v/>
      </c>
      <c r="AF979">
        <f>IF(B979&lt;&gt;"",WORKDAY(B979,AE979),"")</f>
        <v/>
      </c>
      <c r="AG979">
        <f>IF(AF979&lt;&gt;"",NETWORKDAYS(TODAY(),AF979),"")</f>
        <v/>
      </c>
      <c r="AH979">
        <f>IF(AJ979="Complete","Complete",IF(AG979&lt;0,"Overdue",IF(AG979&lt;=AE979*0.2,"At Risk","On Track")))</f>
        <v/>
      </c>
      <c r="AK979">
        <f>IF(OR(AH979="Overdue",AND(AD979="P0",AG979&lt;1),AND(AD979="P1",AG979&lt;3)),"Y","N")</f>
        <v/>
      </c>
    </row>
    <row r="980">
      <c r="K980">
        <f>IF(J980="v4.0",L980,IF(J980="v3.1",M980,IF(J980="Both",L980,IF(AND(L980&lt;&gt;"",M980=""),L980,M980))))</f>
        <v/>
      </c>
      <c r="Z980">
        <f>MIN(100,
(K980*5) +
(U980*10) +
IF(P980="Y",40,0) +
IF(Q980="P",30,0) +
IF(V980="Y",25,0) +
IF(W980="Y",20,0) +
IF(X980="Weaponized",15,IF(X980="PoC Available",10,IF(X980="Public Exploit",5,0))) +
IF(G980="Production",10,IF(G980="DMZ",8,IF(G980="DR/Backup",5,0))) +
IF(Y980="N",10,0)
)</f>
        <v/>
      </c>
      <c r="AA980">
        <f>IF(OR(P980="Y",AND(K980&gt;=9.0,W980="Y")),"P0",IF(Z980&gt;=80,"P0",IF(Z980&gt;=60,"P1",IF(Z980&gt;=40,"P2",IF(Z980&gt;=20,"P3","P4")))))</f>
        <v/>
      </c>
      <c r="AD980">
        <f>IF(AB980&lt;&gt;"",AB980,AA980)</f>
        <v/>
      </c>
      <c r="AE980">
        <f>VLOOKUP(AD980,SLA_Definitions!$A$2:$B$6,2,FALSE)</f>
        <v/>
      </c>
      <c r="AF980">
        <f>IF(B980&lt;&gt;"",WORKDAY(B980,AE980),"")</f>
        <v/>
      </c>
      <c r="AG980">
        <f>IF(AF980&lt;&gt;"",NETWORKDAYS(TODAY(),AF980),"")</f>
        <v/>
      </c>
      <c r="AH980">
        <f>IF(AJ980="Complete","Complete",IF(AG980&lt;0,"Overdue",IF(AG980&lt;=AE980*0.2,"At Risk","On Track")))</f>
        <v/>
      </c>
      <c r="AK980">
        <f>IF(OR(AH980="Overdue",AND(AD980="P0",AG980&lt;1),AND(AD980="P1",AG980&lt;3)),"Y","N")</f>
        <v/>
      </c>
    </row>
    <row r="981">
      <c r="K981">
        <f>IF(J981="v4.0",L981,IF(J981="v3.1",M981,IF(J981="Both",L981,IF(AND(L981&lt;&gt;"",M981=""),L981,M981))))</f>
        <v/>
      </c>
      <c r="Z981">
        <f>MIN(100,
(K981*5) +
(U981*10) +
IF(P981="Y",40,0) +
IF(Q981="P",30,0) +
IF(V981="Y",25,0) +
IF(W981="Y",20,0) +
IF(X981="Weaponized",15,IF(X981="PoC Available",10,IF(X981="Public Exploit",5,0))) +
IF(G981="Production",10,IF(G981="DMZ",8,IF(G981="DR/Backup",5,0))) +
IF(Y981="N",10,0)
)</f>
        <v/>
      </c>
      <c r="AA981">
        <f>IF(OR(P981="Y",AND(K981&gt;=9.0,W981="Y")),"P0",IF(Z981&gt;=80,"P0",IF(Z981&gt;=60,"P1",IF(Z981&gt;=40,"P2",IF(Z981&gt;=20,"P3","P4")))))</f>
        <v/>
      </c>
      <c r="AD981">
        <f>IF(AB981&lt;&gt;"",AB981,AA981)</f>
        <v/>
      </c>
      <c r="AE981">
        <f>VLOOKUP(AD981,SLA_Definitions!$A$2:$B$6,2,FALSE)</f>
        <v/>
      </c>
      <c r="AF981">
        <f>IF(B981&lt;&gt;"",WORKDAY(B981,AE981),"")</f>
        <v/>
      </c>
      <c r="AG981">
        <f>IF(AF981&lt;&gt;"",NETWORKDAYS(TODAY(),AF981),"")</f>
        <v/>
      </c>
      <c r="AH981">
        <f>IF(AJ981="Complete","Complete",IF(AG981&lt;0,"Overdue",IF(AG981&lt;=AE981*0.2,"At Risk","On Track")))</f>
        <v/>
      </c>
      <c r="AK981">
        <f>IF(OR(AH981="Overdue",AND(AD981="P0",AG981&lt;1),AND(AD981="P1",AG981&lt;3)),"Y","N")</f>
        <v/>
      </c>
    </row>
    <row r="982">
      <c r="K982">
        <f>IF(J982="v4.0",L982,IF(J982="v3.1",M982,IF(J982="Both",L982,IF(AND(L982&lt;&gt;"",M982=""),L982,M982))))</f>
        <v/>
      </c>
      <c r="Z982">
        <f>MIN(100,
(K982*5) +
(U982*10) +
IF(P982="Y",40,0) +
IF(Q982="P",30,0) +
IF(V982="Y",25,0) +
IF(W982="Y",20,0) +
IF(X982="Weaponized",15,IF(X982="PoC Available",10,IF(X982="Public Exploit",5,0))) +
IF(G982="Production",10,IF(G982="DMZ",8,IF(G982="DR/Backup",5,0))) +
IF(Y982="N",10,0)
)</f>
        <v/>
      </c>
      <c r="AA982">
        <f>IF(OR(P982="Y",AND(K982&gt;=9.0,W982="Y")),"P0",IF(Z982&gt;=80,"P0",IF(Z982&gt;=60,"P1",IF(Z982&gt;=40,"P2",IF(Z982&gt;=20,"P3","P4")))))</f>
        <v/>
      </c>
      <c r="AD982">
        <f>IF(AB982&lt;&gt;"",AB982,AA982)</f>
        <v/>
      </c>
      <c r="AE982">
        <f>VLOOKUP(AD982,SLA_Definitions!$A$2:$B$6,2,FALSE)</f>
        <v/>
      </c>
      <c r="AF982">
        <f>IF(B982&lt;&gt;"",WORKDAY(B982,AE982),"")</f>
        <v/>
      </c>
      <c r="AG982">
        <f>IF(AF982&lt;&gt;"",NETWORKDAYS(TODAY(),AF982),"")</f>
        <v/>
      </c>
      <c r="AH982">
        <f>IF(AJ982="Complete","Complete",IF(AG982&lt;0,"Overdue",IF(AG982&lt;=AE982*0.2,"At Risk","On Track")))</f>
        <v/>
      </c>
      <c r="AK982">
        <f>IF(OR(AH982="Overdue",AND(AD982="P0",AG982&lt;1),AND(AD982="P1",AG982&lt;3)),"Y","N")</f>
        <v/>
      </c>
    </row>
    <row r="983">
      <c r="K983">
        <f>IF(J983="v4.0",L983,IF(J983="v3.1",M983,IF(J983="Both",L983,IF(AND(L983&lt;&gt;"",M983=""),L983,M983))))</f>
        <v/>
      </c>
      <c r="Z983">
        <f>MIN(100,
(K983*5) +
(U983*10) +
IF(P983="Y",40,0) +
IF(Q983="P",30,0) +
IF(V983="Y",25,0) +
IF(W983="Y",20,0) +
IF(X983="Weaponized",15,IF(X983="PoC Available",10,IF(X983="Public Exploit",5,0))) +
IF(G983="Production",10,IF(G983="DMZ",8,IF(G983="DR/Backup",5,0))) +
IF(Y983="N",10,0)
)</f>
        <v/>
      </c>
      <c r="AA983">
        <f>IF(OR(P983="Y",AND(K983&gt;=9.0,W983="Y")),"P0",IF(Z983&gt;=80,"P0",IF(Z983&gt;=60,"P1",IF(Z983&gt;=40,"P2",IF(Z983&gt;=20,"P3","P4")))))</f>
        <v/>
      </c>
      <c r="AD983">
        <f>IF(AB983&lt;&gt;"",AB983,AA983)</f>
        <v/>
      </c>
      <c r="AE983">
        <f>VLOOKUP(AD983,SLA_Definitions!$A$2:$B$6,2,FALSE)</f>
        <v/>
      </c>
      <c r="AF983">
        <f>IF(B983&lt;&gt;"",WORKDAY(B983,AE983),"")</f>
        <v/>
      </c>
      <c r="AG983">
        <f>IF(AF983&lt;&gt;"",NETWORKDAYS(TODAY(),AF983),"")</f>
        <v/>
      </c>
      <c r="AH983">
        <f>IF(AJ983="Complete","Complete",IF(AG983&lt;0,"Overdue",IF(AG983&lt;=AE983*0.2,"At Risk","On Track")))</f>
        <v/>
      </c>
      <c r="AK983">
        <f>IF(OR(AH983="Overdue",AND(AD983="P0",AG983&lt;1),AND(AD983="P1",AG983&lt;3)),"Y","N")</f>
        <v/>
      </c>
    </row>
    <row r="984">
      <c r="K984">
        <f>IF(J984="v4.0",L984,IF(J984="v3.1",M984,IF(J984="Both",L984,IF(AND(L984&lt;&gt;"",M984=""),L984,M984))))</f>
        <v/>
      </c>
      <c r="Z984">
        <f>MIN(100,
(K984*5) +
(U984*10) +
IF(P984="Y",40,0) +
IF(Q984="P",30,0) +
IF(V984="Y",25,0) +
IF(W984="Y",20,0) +
IF(X984="Weaponized",15,IF(X984="PoC Available",10,IF(X984="Public Exploit",5,0))) +
IF(G984="Production",10,IF(G984="DMZ",8,IF(G984="DR/Backup",5,0))) +
IF(Y984="N",10,0)
)</f>
        <v/>
      </c>
      <c r="AA984">
        <f>IF(OR(P984="Y",AND(K984&gt;=9.0,W984="Y")),"P0",IF(Z984&gt;=80,"P0",IF(Z984&gt;=60,"P1",IF(Z984&gt;=40,"P2",IF(Z984&gt;=20,"P3","P4")))))</f>
        <v/>
      </c>
      <c r="AD984">
        <f>IF(AB984&lt;&gt;"",AB984,AA984)</f>
        <v/>
      </c>
      <c r="AE984">
        <f>VLOOKUP(AD984,SLA_Definitions!$A$2:$B$6,2,FALSE)</f>
        <v/>
      </c>
      <c r="AF984">
        <f>IF(B984&lt;&gt;"",WORKDAY(B984,AE984),"")</f>
        <v/>
      </c>
      <c r="AG984">
        <f>IF(AF984&lt;&gt;"",NETWORKDAYS(TODAY(),AF984),"")</f>
        <v/>
      </c>
      <c r="AH984">
        <f>IF(AJ984="Complete","Complete",IF(AG984&lt;0,"Overdue",IF(AG984&lt;=AE984*0.2,"At Risk","On Track")))</f>
        <v/>
      </c>
      <c r="AK984">
        <f>IF(OR(AH984="Overdue",AND(AD984="P0",AG984&lt;1),AND(AD984="P1",AG984&lt;3)),"Y","N")</f>
        <v/>
      </c>
    </row>
    <row r="985">
      <c r="K985">
        <f>IF(J985="v4.0",L985,IF(J985="v3.1",M985,IF(J985="Both",L985,IF(AND(L985&lt;&gt;"",M985=""),L985,M985))))</f>
        <v/>
      </c>
      <c r="Z985">
        <f>MIN(100,
(K985*5) +
(U985*10) +
IF(P985="Y",40,0) +
IF(Q985="P",30,0) +
IF(V985="Y",25,0) +
IF(W985="Y",20,0) +
IF(X985="Weaponized",15,IF(X985="PoC Available",10,IF(X985="Public Exploit",5,0))) +
IF(G985="Production",10,IF(G985="DMZ",8,IF(G985="DR/Backup",5,0))) +
IF(Y985="N",10,0)
)</f>
        <v/>
      </c>
      <c r="AA985">
        <f>IF(OR(P985="Y",AND(K985&gt;=9.0,W985="Y")),"P0",IF(Z985&gt;=80,"P0",IF(Z985&gt;=60,"P1",IF(Z985&gt;=40,"P2",IF(Z985&gt;=20,"P3","P4")))))</f>
        <v/>
      </c>
      <c r="AD985">
        <f>IF(AB985&lt;&gt;"",AB985,AA985)</f>
        <v/>
      </c>
      <c r="AE985">
        <f>VLOOKUP(AD985,SLA_Definitions!$A$2:$B$6,2,FALSE)</f>
        <v/>
      </c>
      <c r="AF985">
        <f>IF(B985&lt;&gt;"",WORKDAY(B985,AE985),"")</f>
        <v/>
      </c>
      <c r="AG985">
        <f>IF(AF985&lt;&gt;"",NETWORKDAYS(TODAY(),AF985),"")</f>
        <v/>
      </c>
      <c r="AH985">
        <f>IF(AJ985="Complete","Complete",IF(AG985&lt;0,"Overdue",IF(AG985&lt;=AE985*0.2,"At Risk","On Track")))</f>
        <v/>
      </c>
      <c r="AK985">
        <f>IF(OR(AH985="Overdue",AND(AD985="P0",AG985&lt;1),AND(AD985="P1",AG985&lt;3)),"Y","N")</f>
        <v/>
      </c>
    </row>
    <row r="986">
      <c r="K986">
        <f>IF(J986="v4.0",L986,IF(J986="v3.1",M986,IF(J986="Both",L986,IF(AND(L986&lt;&gt;"",M986=""),L986,M986))))</f>
        <v/>
      </c>
      <c r="Z986">
        <f>MIN(100,
(K986*5) +
(U986*10) +
IF(P986="Y",40,0) +
IF(Q986="P",30,0) +
IF(V986="Y",25,0) +
IF(W986="Y",20,0) +
IF(X986="Weaponized",15,IF(X986="PoC Available",10,IF(X986="Public Exploit",5,0))) +
IF(G986="Production",10,IF(G986="DMZ",8,IF(G986="DR/Backup",5,0))) +
IF(Y986="N",10,0)
)</f>
        <v/>
      </c>
      <c r="AA986">
        <f>IF(OR(P986="Y",AND(K986&gt;=9.0,W986="Y")),"P0",IF(Z986&gt;=80,"P0",IF(Z986&gt;=60,"P1",IF(Z986&gt;=40,"P2",IF(Z986&gt;=20,"P3","P4")))))</f>
        <v/>
      </c>
      <c r="AD986">
        <f>IF(AB986&lt;&gt;"",AB986,AA986)</f>
        <v/>
      </c>
      <c r="AE986">
        <f>VLOOKUP(AD986,SLA_Definitions!$A$2:$B$6,2,FALSE)</f>
        <v/>
      </c>
      <c r="AF986">
        <f>IF(B986&lt;&gt;"",WORKDAY(B986,AE986),"")</f>
        <v/>
      </c>
      <c r="AG986">
        <f>IF(AF986&lt;&gt;"",NETWORKDAYS(TODAY(),AF986),"")</f>
        <v/>
      </c>
      <c r="AH986">
        <f>IF(AJ986="Complete","Complete",IF(AG986&lt;0,"Overdue",IF(AG986&lt;=AE986*0.2,"At Risk","On Track")))</f>
        <v/>
      </c>
      <c r="AK986">
        <f>IF(OR(AH986="Overdue",AND(AD986="P0",AG986&lt;1),AND(AD986="P1",AG986&lt;3)),"Y","N")</f>
        <v/>
      </c>
    </row>
    <row r="987">
      <c r="K987">
        <f>IF(J987="v4.0",L987,IF(J987="v3.1",M987,IF(J987="Both",L987,IF(AND(L987&lt;&gt;"",M987=""),L987,M987))))</f>
        <v/>
      </c>
      <c r="Z987">
        <f>MIN(100,
(K987*5) +
(U987*10) +
IF(P987="Y",40,0) +
IF(Q987="P",30,0) +
IF(V987="Y",25,0) +
IF(W987="Y",20,0) +
IF(X987="Weaponized",15,IF(X987="PoC Available",10,IF(X987="Public Exploit",5,0))) +
IF(G987="Production",10,IF(G987="DMZ",8,IF(G987="DR/Backup",5,0))) +
IF(Y987="N",10,0)
)</f>
        <v/>
      </c>
      <c r="AA987">
        <f>IF(OR(P987="Y",AND(K987&gt;=9.0,W987="Y")),"P0",IF(Z987&gt;=80,"P0",IF(Z987&gt;=60,"P1",IF(Z987&gt;=40,"P2",IF(Z987&gt;=20,"P3","P4")))))</f>
        <v/>
      </c>
      <c r="AD987">
        <f>IF(AB987&lt;&gt;"",AB987,AA987)</f>
        <v/>
      </c>
      <c r="AE987">
        <f>VLOOKUP(AD987,SLA_Definitions!$A$2:$B$6,2,FALSE)</f>
        <v/>
      </c>
      <c r="AF987">
        <f>IF(B987&lt;&gt;"",WORKDAY(B987,AE987),"")</f>
        <v/>
      </c>
      <c r="AG987">
        <f>IF(AF987&lt;&gt;"",NETWORKDAYS(TODAY(),AF987),"")</f>
        <v/>
      </c>
      <c r="AH987">
        <f>IF(AJ987="Complete","Complete",IF(AG987&lt;0,"Overdue",IF(AG987&lt;=AE987*0.2,"At Risk","On Track")))</f>
        <v/>
      </c>
      <c r="AK987">
        <f>IF(OR(AH987="Overdue",AND(AD987="P0",AG987&lt;1),AND(AD987="P1",AG987&lt;3)),"Y","N")</f>
        <v/>
      </c>
    </row>
    <row r="988">
      <c r="K988">
        <f>IF(J988="v4.0",L988,IF(J988="v3.1",M988,IF(J988="Both",L988,IF(AND(L988&lt;&gt;"",M988=""),L988,M988))))</f>
        <v/>
      </c>
      <c r="Z988">
        <f>MIN(100,
(K988*5) +
(U988*10) +
IF(P988="Y",40,0) +
IF(Q988="P",30,0) +
IF(V988="Y",25,0) +
IF(W988="Y",20,0) +
IF(X988="Weaponized",15,IF(X988="PoC Available",10,IF(X988="Public Exploit",5,0))) +
IF(G988="Production",10,IF(G988="DMZ",8,IF(G988="DR/Backup",5,0))) +
IF(Y988="N",10,0)
)</f>
        <v/>
      </c>
      <c r="AA988">
        <f>IF(OR(P988="Y",AND(K988&gt;=9.0,W988="Y")),"P0",IF(Z988&gt;=80,"P0",IF(Z988&gt;=60,"P1",IF(Z988&gt;=40,"P2",IF(Z988&gt;=20,"P3","P4")))))</f>
        <v/>
      </c>
      <c r="AD988">
        <f>IF(AB988&lt;&gt;"",AB988,AA988)</f>
        <v/>
      </c>
      <c r="AE988">
        <f>VLOOKUP(AD988,SLA_Definitions!$A$2:$B$6,2,FALSE)</f>
        <v/>
      </c>
      <c r="AF988">
        <f>IF(B988&lt;&gt;"",WORKDAY(B988,AE988),"")</f>
        <v/>
      </c>
      <c r="AG988">
        <f>IF(AF988&lt;&gt;"",NETWORKDAYS(TODAY(),AF988),"")</f>
        <v/>
      </c>
      <c r="AH988">
        <f>IF(AJ988="Complete","Complete",IF(AG988&lt;0,"Overdue",IF(AG988&lt;=AE988*0.2,"At Risk","On Track")))</f>
        <v/>
      </c>
      <c r="AK988">
        <f>IF(OR(AH988="Overdue",AND(AD988="P0",AG988&lt;1),AND(AD988="P1",AG988&lt;3)),"Y","N")</f>
        <v/>
      </c>
    </row>
    <row r="989">
      <c r="K989">
        <f>IF(J989="v4.0",L989,IF(J989="v3.1",M989,IF(J989="Both",L989,IF(AND(L989&lt;&gt;"",M989=""),L989,M989))))</f>
        <v/>
      </c>
      <c r="Z989">
        <f>MIN(100,
(K989*5) +
(U989*10) +
IF(P989="Y",40,0) +
IF(Q989="P",30,0) +
IF(V989="Y",25,0) +
IF(W989="Y",20,0) +
IF(X989="Weaponized",15,IF(X989="PoC Available",10,IF(X989="Public Exploit",5,0))) +
IF(G989="Production",10,IF(G989="DMZ",8,IF(G989="DR/Backup",5,0))) +
IF(Y989="N",10,0)
)</f>
        <v/>
      </c>
      <c r="AA989">
        <f>IF(OR(P989="Y",AND(K989&gt;=9.0,W989="Y")),"P0",IF(Z989&gt;=80,"P0",IF(Z989&gt;=60,"P1",IF(Z989&gt;=40,"P2",IF(Z989&gt;=20,"P3","P4")))))</f>
        <v/>
      </c>
      <c r="AD989">
        <f>IF(AB989&lt;&gt;"",AB989,AA989)</f>
        <v/>
      </c>
      <c r="AE989">
        <f>VLOOKUP(AD989,SLA_Definitions!$A$2:$B$6,2,FALSE)</f>
        <v/>
      </c>
      <c r="AF989">
        <f>IF(B989&lt;&gt;"",WORKDAY(B989,AE989),"")</f>
        <v/>
      </c>
      <c r="AG989">
        <f>IF(AF989&lt;&gt;"",NETWORKDAYS(TODAY(),AF989),"")</f>
        <v/>
      </c>
      <c r="AH989">
        <f>IF(AJ989="Complete","Complete",IF(AG989&lt;0,"Overdue",IF(AG989&lt;=AE989*0.2,"At Risk","On Track")))</f>
        <v/>
      </c>
      <c r="AK989">
        <f>IF(OR(AH989="Overdue",AND(AD989="P0",AG989&lt;1),AND(AD989="P1",AG989&lt;3)),"Y","N")</f>
        <v/>
      </c>
    </row>
    <row r="990">
      <c r="K990">
        <f>IF(J990="v4.0",L990,IF(J990="v3.1",M990,IF(J990="Both",L990,IF(AND(L990&lt;&gt;"",M990=""),L990,M990))))</f>
        <v/>
      </c>
      <c r="Z990">
        <f>MIN(100,
(K990*5) +
(U990*10) +
IF(P990="Y",40,0) +
IF(Q990="P",30,0) +
IF(V990="Y",25,0) +
IF(W990="Y",20,0) +
IF(X990="Weaponized",15,IF(X990="PoC Available",10,IF(X990="Public Exploit",5,0))) +
IF(G990="Production",10,IF(G990="DMZ",8,IF(G990="DR/Backup",5,0))) +
IF(Y990="N",10,0)
)</f>
        <v/>
      </c>
      <c r="AA990">
        <f>IF(OR(P990="Y",AND(K990&gt;=9.0,W990="Y")),"P0",IF(Z990&gt;=80,"P0",IF(Z990&gt;=60,"P1",IF(Z990&gt;=40,"P2",IF(Z990&gt;=20,"P3","P4")))))</f>
        <v/>
      </c>
      <c r="AD990">
        <f>IF(AB990&lt;&gt;"",AB990,AA990)</f>
        <v/>
      </c>
      <c r="AE990">
        <f>VLOOKUP(AD990,SLA_Definitions!$A$2:$B$6,2,FALSE)</f>
        <v/>
      </c>
      <c r="AF990">
        <f>IF(B990&lt;&gt;"",WORKDAY(B990,AE990),"")</f>
        <v/>
      </c>
      <c r="AG990">
        <f>IF(AF990&lt;&gt;"",NETWORKDAYS(TODAY(),AF990),"")</f>
        <v/>
      </c>
      <c r="AH990">
        <f>IF(AJ990="Complete","Complete",IF(AG990&lt;0,"Overdue",IF(AG990&lt;=AE990*0.2,"At Risk","On Track")))</f>
        <v/>
      </c>
      <c r="AK990">
        <f>IF(OR(AH990="Overdue",AND(AD990="P0",AG990&lt;1),AND(AD990="P1",AG990&lt;3)),"Y","N")</f>
        <v/>
      </c>
    </row>
    <row r="991">
      <c r="K991">
        <f>IF(J991="v4.0",L991,IF(J991="v3.1",M991,IF(J991="Both",L991,IF(AND(L991&lt;&gt;"",M991=""),L991,M991))))</f>
        <v/>
      </c>
      <c r="Z991">
        <f>MIN(100,
(K991*5) +
(U991*10) +
IF(P991="Y",40,0) +
IF(Q991="P",30,0) +
IF(V991="Y",25,0) +
IF(W991="Y",20,0) +
IF(X991="Weaponized",15,IF(X991="PoC Available",10,IF(X991="Public Exploit",5,0))) +
IF(G991="Production",10,IF(G991="DMZ",8,IF(G991="DR/Backup",5,0))) +
IF(Y991="N",10,0)
)</f>
        <v/>
      </c>
      <c r="AA991">
        <f>IF(OR(P991="Y",AND(K991&gt;=9.0,W991="Y")),"P0",IF(Z991&gt;=80,"P0",IF(Z991&gt;=60,"P1",IF(Z991&gt;=40,"P2",IF(Z991&gt;=20,"P3","P4")))))</f>
        <v/>
      </c>
      <c r="AD991">
        <f>IF(AB991&lt;&gt;"",AB991,AA991)</f>
        <v/>
      </c>
      <c r="AE991">
        <f>VLOOKUP(AD991,SLA_Definitions!$A$2:$B$6,2,FALSE)</f>
        <v/>
      </c>
      <c r="AF991">
        <f>IF(B991&lt;&gt;"",WORKDAY(B991,AE991),"")</f>
        <v/>
      </c>
      <c r="AG991">
        <f>IF(AF991&lt;&gt;"",NETWORKDAYS(TODAY(),AF991),"")</f>
        <v/>
      </c>
      <c r="AH991">
        <f>IF(AJ991="Complete","Complete",IF(AG991&lt;0,"Overdue",IF(AG991&lt;=AE991*0.2,"At Risk","On Track")))</f>
        <v/>
      </c>
      <c r="AK991">
        <f>IF(OR(AH991="Overdue",AND(AD991="P0",AG991&lt;1),AND(AD991="P1",AG991&lt;3)),"Y","N")</f>
        <v/>
      </c>
    </row>
    <row r="992">
      <c r="K992">
        <f>IF(J992="v4.0",L992,IF(J992="v3.1",M992,IF(J992="Both",L992,IF(AND(L992&lt;&gt;"",M992=""),L992,M992))))</f>
        <v/>
      </c>
      <c r="Z992">
        <f>MIN(100,
(K992*5) +
(U992*10) +
IF(P992="Y",40,0) +
IF(Q992="P",30,0) +
IF(V992="Y",25,0) +
IF(W992="Y",20,0) +
IF(X992="Weaponized",15,IF(X992="PoC Available",10,IF(X992="Public Exploit",5,0))) +
IF(G992="Production",10,IF(G992="DMZ",8,IF(G992="DR/Backup",5,0))) +
IF(Y992="N",10,0)
)</f>
        <v/>
      </c>
      <c r="AA992">
        <f>IF(OR(P992="Y",AND(K992&gt;=9.0,W992="Y")),"P0",IF(Z992&gt;=80,"P0",IF(Z992&gt;=60,"P1",IF(Z992&gt;=40,"P2",IF(Z992&gt;=20,"P3","P4")))))</f>
        <v/>
      </c>
      <c r="AD992">
        <f>IF(AB992&lt;&gt;"",AB992,AA992)</f>
        <v/>
      </c>
      <c r="AE992">
        <f>VLOOKUP(AD992,SLA_Definitions!$A$2:$B$6,2,FALSE)</f>
        <v/>
      </c>
      <c r="AF992">
        <f>IF(B992&lt;&gt;"",WORKDAY(B992,AE992),"")</f>
        <v/>
      </c>
      <c r="AG992">
        <f>IF(AF992&lt;&gt;"",NETWORKDAYS(TODAY(),AF992),"")</f>
        <v/>
      </c>
      <c r="AH992">
        <f>IF(AJ992="Complete","Complete",IF(AG992&lt;0,"Overdue",IF(AG992&lt;=AE992*0.2,"At Risk","On Track")))</f>
        <v/>
      </c>
      <c r="AK992">
        <f>IF(OR(AH992="Overdue",AND(AD992="P0",AG992&lt;1),AND(AD992="P1",AG992&lt;3)),"Y","N")</f>
        <v/>
      </c>
    </row>
    <row r="993">
      <c r="K993">
        <f>IF(J993="v4.0",L993,IF(J993="v3.1",M993,IF(J993="Both",L993,IF(AND(L993&lt;&gt;"",M993=""),L993,M993))))</f>
        <v/>
      </c>
      <c r="Z993">
        <f>MIN(100,
(K993*5) +
(U993*10) +
IF(P993="Y",40,0) +
IF(Q993="P",30,0) +
IF(V993="Y",25,0) +
IF(W993="Y",20,0) +
IF(X993="Weaponized",15,IF(X993="PoC Available",10,IF(X993="Public Exploit",5,0))) +
IF(G993="Production",10,IF(G993="DMZ",8,IF(G993="DR/Backup",5,0))) +
IF(Y993="N",10,0)
)</f>
        <v/>
      </c>
      <c r="AA993">
        <f>IF(OR(P993="Y",AND(K993&gt;=9.0,W993="Y")),"P0",IF(Z993&gt;=80,"P0",IF(Z993&gt;=60,"P1",IF(Z993&gt;=40,"P2",IF(Z993&gt;=20,"P3","P4")))))</f>
        <v/>
      </c>
      <c r="AD993">
        <f>IF(AB993&lt;&gt;"",AB993,AA993)</f>
        <v/>
      </c>
      <c r="AE993">
        <f>VLOOKUP(AD993,SLA_Definitions!$A$2:$B$6,2,FALSE)</f>
        <v/>
      </c>
      <c r="AF993">
        <f>IF(B993&lt;&gt;"",WORKDAY(B993,AE993),"")</f>
        <v/>
      </c>
      <c r="AG993">
        <f>IF(AF993&lt;&gt;"",NETWORKDAYS(TODAY(),AF993),"")</f>
        <v/>
      </c>
      <c r="AH993">
        <f>IF(AJ993="Complete","Complete",IF(AG993&lt;0,"Overdue",IF(AG993&lt;=AE993*0.2,"At Risk","On Track")))</f>
        <v/>
      </c>
      <c r="AK993">
        <f>IF(OR(AH993="Overdue",AND(AD993="P0",AG993&lt;1),AND(AD993="P1",AG993&lt;3)),"Y","N")</f>
        <v/>
      </c>
    </row>
    <row r="994">
      <c r="K994">
        <f>IF(J994="v4.0",L994,IF(J994="v3.1",M994,IF(J994="Both",L994,IF(AND(L994&lt;&gt;"",M994=""),L994,M994))))</f>
        <v/>
      </c>
      <c r="Z994">
        <f>MIN(100,
(K994*5) +
(U994*10) +
IF(P994="Y",40,0) +
IF(Q994="P",30,0) +
IF(V994="Y",25,0) +
IF(W994="Y",20,0) +
IF(X994="Weaponized",15,IF(X994="PoC Available",10,IF(X994="Public Exploit",5,0))) +
IF(G994="Production",10,IF(G994="DMZ",8,IF(G994="DR/Backup",5,0))) +
IF(Y994="N",10,0)
)</f>
        <v/>
      </c>
      <c r="AA994">
        <f>IF(OR(P994="Y",AND(K994&gt;=9.0,W994="Y")),"P0",IF(Z994&gt;=80,"P0",IF(Z994&gt;=60,"P1",IF(Z994&gt;=40,"P2",IF(Z994&gt;=20,"P3","P4")))))</f>
        <v/>
      </c>
      <c r="AD994">
        <f>IF(AB994&lt;&gt;"",AB994,AA994)</f>
        <v/>
      </c>
      <c r="AE994">
        <f>VLOOKUP(AD994,SLA_Definitions!$A$2:$B$6,2,FALSE)</f>
        <v/>
      </c>
      <c r="AF994">
        <f>IF(B994&lt;&gt;"",WORKDAY(B994,AE994),"")</f>
        <v/>
      </c>
      <c r="AG994">
        <f>IF(AF994&lt;&gt;"",NETWORKDAYS(TODAY(),AF994),"")</f>
        <v/>
      </c>
      <c r="AH994">
        <f>IF(AJ994="Complete","Complete",IF(AG994&lt;0,"Overdue",IF(AG994&lt;=AE994*0.2,"At Risk","On Track")))</f>
        <v/>
      </c>
      <c r="AK994">
        <f>IF(OR(AH994="Overdue",AND(AD994="P0",AG994&lt;1),AND(AD994="P1",AG994&lt;3)),"Y","N")</f>
        <v/>
      </c>
    </row>
    <row r="995">
      <c r="K995">
        <f>IF(J995="v4.0",L995,IF(J995="v3.1",M995,IF(J995="Both",L995,IF(AND(L995&lt;&gt;"",M995=""),L995,M995))))</f>
        <v/>
      </c>
      <c r="Z995">
        <f>MIN(100,
(K995*5) +
(U995*10) +
IF(P995="Y",40,0) +
IF(Q995="P",30,0) +
IF(V995="Y",25,0) +
IF(W995="Y",20,0) +
IF(X995="Weaponized",15,IF(X995="PoC Available",10,IF(X995="Public Exploit",5,0))) +
IF(G995="Production",10,IF(G995="DMZ",8,IF(G995="DR/Backup",5,0))) +
IF(Y995="N",10,0)
)</f>
        <v/>
      </c>
      <c r="AA995">
        <f>IF(OR(P995="Y",AND(K995&gt;=9.0,W995="Y")),"P0",IF(Z995&gt;=80,"P0",IF(Z995&gt;=60,"P1",IF(Z995&gt;=40,"P2",IF(Z995&gt;=20,"P3","P4")))))</f>
        <v/>
      </c>
      <c r="AD995">
        <f>IF(AB995&lt;&gt;"",AB995,AA995)</f>
        <v/>
      </c>
      <c r="AE995">
        <f>VLOOKUP(AD995,SLA_Definitions!$A$2:$B$6,2,FALSE)</f>
        <v/>
      </c>
      <c r="AF995">
        <f>IF(B995&lt;&gt;"",WORKDAY(B995,AE995),"")</f>
        <v/>
      </c>
      <c r="AG995">
        <f>IF(AF995&lt;&gt;"",NETWORKDAYS(TODAY(),AF995),"")</f>
        <v/>
      </c>
      <c r="AH995">
        <f>IF(AJ995="Complete","Complete",IF(AG995&lt;0,"Overdue",IF(AG995&lt;=AE995*0.2,"At Risk","On Track")))</f>
        <v/>
      </c>
      <c r="AK995">
        <f>IF(OR(AH995="Overdue",AND(AD995="P0",AG995&lt;1),AND(AD995="P1",AG995&lt;3)),"Y","N")</f>
        <v/>
      </c>
    </row>
    <row r="996">
      <c r="K996">
        <f>IF(J996="v4.0",L996,IF(J996="v3.1",M996,IF(J996="Both",L996,IF(AND(L996&lt;&gt;"",M996=""),L996,M996))))</f>
        <v/>
      </c>
      <c r="Z996">
        <f>MIN(100,
(K996*5) +
(U996*10) +
IF(P996="Y",40,0) +
IF(Q996="P",30,0) +
IF(V996="Y",25,0) +
IF(W996="Y",20,0) +
IF(X996="Weaponized",15,IF(X996="PoC Available",10,IF(X996="Public Exploit",5,0))) +
IF(G996="Production",10,IF(G996="DMZ",8,IF(G996="DR/Backup",5,0))) +
IF(Y996="N",10,0)
)</f>
        <v/>
      </c>
      <c r="AA996">
        <f>IF(OR(P996="Y",AND(K996&gt;=9.0,W996="Y")),"P0",IF(Z996&gt;=80,"P0",IF(Z996&gt;=60,"P1",IF(Z996&gt;=40,"P2",IF(Z996&gt;=20,"P3","P4")))))</f>
        <v/>
      </c>
      <c r="AD996">
        <f>IF(AB996&lt;&gt;"",AB996,AA996)</f>
        <v/>
      </c>
      <c r="AE996">
        <f>VLOOKUP(AD996,SLA_Definitions!$A$2:$B$6,2,FALSE)</f>
        <v/>
      </c>
      <c r="AF996">
        <f>IF(B996&lt;&gt;"",WORKDAY(B996,AE996),"")</f>
        <v/>
      </c>
      <c r="AG996">
        <f>IF(AF996&lt;&gt;"",NETWORKDAYS(TODAY(),AF996),"")</f>
        <v/>
      </c>
      <c r="AH996">
        <f>IF(AJ996="Complete","Complete",IF(AG996&lt;0,"Overdue",IF(AG996&lt;=AE996*0.2,"At Risk","On Track")))</f>
        <v/>
      </c>
      <c r="AK996">
        <f>IF(OR(AH996="Overdue",AND(AD996="P0",AG996&lt;1),AND(AD996="P1",AG996&lt;3)),"Y","N")</f>
        <v/>
      </c>
    </row>
    <row r="997">
      <c r="K997">
        <f>IF(J997="v4.0",L997,IF(J997="v3.1",M997,IF(J997="Both",L997,IF(AND(L997&lt;&gt;"",M997=""),L997,M997))))</f>
        <v/>
      </c>
      <c r="Z997">
        <f>MIN(100,
(K997*5) +
(U997*10) +
IF(P997="Y",40,0) +
IF(Q997="P",30,0) +
IF(V997="Y",25,0) +
IF(W997="Y",20,0) +
IF(X997="Weaponized",15,IF(X997="PoC Available",10,IF(X997="Public Exploit",5,0))) +
IF(G997="Production",10,IF(G997="DMZ",8,IF(G997="DR/Backup",5,0))) +
IF(Y997="N",10,0)
)</f>
        <v/>
      </c>
      <c r="AA997">
        <f>IF(OR(P997="Y",AND(K997&gt;=9.0,W997="Y")),"P0",IF(Z997&gt;=80,"P0",IF(Z997&gt;=60,"P1",IF(Z997&gt;=40,"P2",IF(Z997&gt;=20,"P3","P4")))))</f>
        <v/>
      </c>
      <c r="AD997">
        <f>IF(AB997&lt;&gt;"",AB997,AA997)</f>
        <v/>
      </c>
      <c r="AE997">
        <f>VLOOKUP(AD997,SLA_Definitions!$A$2:$B$6,2,FALSE)</f>
        <v/>
      </c>
      <c r="AF997">
        <f>IF(B997&lt;&gt;"",WORKDAY(B997,AE997),"")</f>
        <v/>
      </c>
      <c r="AG997">
        <f>IF(AF997&lt;&gt;"",NETWORKDAYS(TODAY(),AF997),"")</f>
        <v/>
      </c>
      <c r="AH997">
        <f>IF(AJ997="Complete","Complete",IF(AG997&lt;0,"Overdue",IF(AG997&lt;=AE997*0.2,"At Risk","On Track")))</f>
        <v/>
      </c>
      <c r="AK997">
        <f>IF(OR(AH997="Overdue",AND(AD997="P0",AG997&lt;1),AND(AD997="P1",AG997&lt;3)),"Y","N")</f>
        <v/>
      </c>
    </row>
    <row r="998">
      <c r="K998">
        <f>IF(J998="v4.0",L998,IF(J998="v3.1",M998,IF(J998="Both",L998,IF(AND(L998&lt;&gt;"",M998=""),L998,M998))))</f>
        <v/>
      </c>
      <c r="Z998">
        <f>MIN(100,
(K998*5) +
(U998*10) +
IF(P998="Y",40,0) +
IF(Q998="P",30,0) +
IF(V998="Y",25,0) +
IF(W998="Y",20,0) +
IF(X998="Weaponized",15,IF(X998="PoC Available",10,IF(X998="Public Exploit",5,0))) +
IF(G998="Production",10,IF(G998="DMZ",8,IF(G998="DR/Backup",5,0))) +
IF(Y998="N",10,0)
)</f>
        <v/>
      </c>
      <c r="AA998">
        <f>IF(OR(P998="Y",AND(K998&gt;=9.0,W998="Y")),"P0",IF(Z998&gt;=80,"P0",IF(Z998&gt;=60,"P1",IF(Z998&gt;=40,"P2",IF(Z998&gt;=20,"P3","P4")))))</f>
        <v/>
      </c>
      <c r="AD998">
        <f>IF(AB998&lt;&gt;"",AB998,AA998)</f>
        <v/>
      </c>
      <c r="AE998">
        <f>VLOOKUP(AD998,SLA_Definitions!$A$2:$B$6,2,FALSE)</f>
        <v/>
      </c>
      <c r="AF998">
        <f>IF(B998&lt;&gt;"",WORKDAY(B998,AE998),"")</f>
        <v/>
      </c>
      <c r="AG998">
        <f>IF(AF998&lt;&gt;"",NETWORKDAYS(TODAY(),AF998),"")</f>
        <v/>
      </c>
      <c r="AH998">
        <f>IF(AJ998="Complete","Complete",IF(AG998&lt;0,"Overdue",IF(AG998&lt;=AE998*0.2,"At Risk","On Track")))</f>
        <v/>
      </c>
      <c r="AK998">
        <f>IF(OR(AH998="Overdue",AND(AD998="P0",AG998&lt;1),AND(AD998="P1",AG998&lt;3)),"Y","N")</f>
        <v/>
      </c>
    </row>
    <row r="999">
      <c r="K999">
        <f>IF(J999="v4.0",L999,IF(J999="v3.1",M999,IF(J999="Both",L999,IF(AND(L999&lt;&gt;"",M999=""),L999,M999))))</f>
        <v/>
      </c>
      <c r="Z999">
        <f>MIN(100,
(K999*5) +
(U999*10) +
IF(P999="Y",40,0) +
IF(Q999="P",30,0) +
IF(V999="Y",25,0) +
IF(W999="Y",20,0) +
IF(X999="Weaponized",15,IF(X999="PoC Available",10,IF(X999="Public Exploit",5,0))) +
IF(G999="Production",10,IF(G999="DMZ",8,IF(G999="DR/Backup",5,0))) +
IF(Y999="N",10,0)
)</f>
        <v/>
      </c>
      <c r="AA999">
        <f>IF(OR(P999="Y",AND(K999&gt;=9.0,W999="Y")),"P0",IF(Z999&gt;=80,"P0",IF(Z999&gt;=60,"P1",IF(Z999&gt;=40,"P2",IF(Z999&gt;=20,"P3","P4")))))</f>
        <v/>
      </c>
      <c r="AD999">
        <f>IF(AB999&lt;&gt;"",AB999,AA999)</f>
        <v/>
      </c>
      <c r="AE999">
        <f>VLOOKUP(AD999,SLA_Definitions!$A$2:$B$6,2,FALSE)</f>
        <v/>
      </c>
      <c r="AF999">
        <f>IF(B999&lt;&gt;"",WORKDAY(B999,AE999),"")</f>
        <v/>
      </c>
      <c r="AG999">
        <f>IF(AF999&lt;&gt;"",NETWORKDAYS(TODAY(),AF999),"")</f>
        <v/>
      </c>
      <c r="AH999">
        <f>IF(AJ999="Complete","Complete",IF(AG999&lt;0,"Overdue",IF(AG999&lt;=AE999*0.2,"At Risk","On Track")))</f>
        <v/>
      </c>
      <c r="AK999">
        <f>IF(OR(AH999="Overdue",AND(AD999="P0",AG999&lt;1),AND(AD999="P1",AG999&lt;3)),"Y","N")</f>
        <v/>
      </c>
    </row>
    <row r="1000">
      <c r="K1000">
        <f>IF(J1000="v4.0",L1000,IF(J1000="v3.1",M1000,IF(J1000="Both",L1000,IF(AND(L1000&lt;&gt;"",M1000=""),L1000,M1000))))</f>
        <v/>
      </c>
      <c r="Z1000">
        <f>MIN(100,
(K1000*5) +
(U1000*10) +
IF(P1000="Y",40,0) +
IF(Q1000="P",30,0) +
IF(V1000="Y",25,0) +
IF(W1000="Y",20,0) +
IF(X1000="Weaponized",15,IF(X1000="PoC Available",10,IF(X1000="Public Exploit",5,0))) +
IF(G1000="Production",10,IF(G1000="DMZ",8,IF(G1000="DR/Backup",5,0))) +
IF(Y1000="N",10,0)
)</f>
        <v/>
      </c>
      <c r="AA1000">
        <f>IF(OR(P1000="Y",AND(K1000&gt;=9.0,W1000="Y")),"P0",IF(Z1000&gt;=80,"P0",IF(Z1000&gt;=60,"P1",IF(Z1000&gt;=40,"P2",IF(Z1000&gt;=20,"P3","P4")))))</f>
        <v/>
      </c>
      <c r="AD1000">
        <f>IF(AB1000&lt;&gt;"",AB1000,AA1000)</f>
        <v/>
      </c>
      <c r="AE1000">
        <f>VLOOKUP(AD1000,SLA_Definitions!$A$2:$B$6,2,FALSE)</f>
        <v/>
      </c>
      <c r="AF1000">
        <f>IF(B1000&lt;&gt;"",WORKDAY(B1000,AE1000),"")</f>
        <v/>
      </c>
      <c r="AG1000">
        <f>IF(AF1000&lt;&gt;"",NETWORKDAYS(TODAY(),AF1000),"")</f>
        <v/>
      </c>
      <c r="AH1000">
        <f>IF(AJ1000="Complete","Complete",IF(AG1000&lt;0,"Overdue",IF(AG1000&lt;=AE1000*0.2,"At Risk","On Track")))</f>
        <v/>
      </c>
      <c r="AK1000">
        <f>IF(OR(AH1000="Overdue",AND(AD1000="P0",AG1000&lt;1),AND(AD1000="P1",AG1000&lt;3)),"Y","N")</f>
        <v/>
      </c>
    </row>
  </sheetData>
  <conditionalFormatting sqref="A2:AL1000">
    <cfRule type="expression" priority="1" dxfId="0">
      <formula>$AD2="P0"</formula>
    </cfRule>
    <cfRule type="expression" priority="3" dxfId="1">
      <formula>AND($Q2="P",$K2&gt;=7.0)</formula>
    </cfRule>
    <cfRule type="expression" priority="5" dxfId="2">
      <formula>$AH2="Overdue"</formula>
    </cfRule>
    <cfRule type="expression" priority="10" dxfId="0">
      <formula>$AD2="P0"</formula>
    </cfRule>
    <cfRule type="expression" priority="11" dxfId="3">
      <formula>AND($Q2="P",$K2&gt;=7.0)</formula>
    </cfRule>
  </conditionalFormatting>
  <conditionalFormatting sqref="P2:P1000">
    <cfRule type="cellIs" priority="2" operator="equal" dxfId="4">
      <formula>"Y"</formula>
    </cfRule>
    <cfRule type="cellIs" priority="9" operator="equal" dxfId="4">
      <formula>"Y"</formula>
    </cfRule>
  </conditionalFormatting>
  <conditionalFormatting sqref="V2:V1000">
    <cfRule type="cellIs" priority="4" operator="equal" dxfId="5">
      <formula>"Y"</formula>
    </cfRule>
  </conditionalFormatting>
  <conditionalFormatting sqref="AH2:AH1000">
    <cfRule type="cellIs" priority="6" operator="equal" dxfId="6">
      <formula>"At Risk"</formula>
    </cfRule>
  </conditionalFormatting>
  <conditionalFormatting sqref="AK2:AK1000">
    <cfRule type="cellIs" priority="7" operator="equal" dxfId="7">
      <formula>"Y"</formula>
    </cfRule>
  </conditionalFormatting>
  <conditionalFormatting sqref="AB2:AB1000">
    <cfRule type="expression" priority="8" dxfId="8">
      <formula>$AB2&lt;&gt;""</formula>
    </cfRule>
  </conditionalFormatting>
  <conditionalFormatting sqref="J2:J1000">
    <cfRule type="cellIs" priority="12" operator="equal" dxfId="8">
      <formula>"Both"</formula>
    </cfRule>
  </conditionalFormatting>
  <conditionalFormatting sqref="S2:S1000">
    <cfRule type="expression" priority="13" dxfId="6">
      <formula>$S2&lt;TODAY()-180</formula>
    </cfRule>
  </conditionalFormatting>
  <conditionalFormatting sqref="N2:O1000">
    <cfRule type="expression" priority="14" dxfId="2">
      <formula>AND($J2="v4.0",$N2="")</formula>
    </cfRule>
  </conditionalFormatting>
  <dataValidations count="18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I2:I1000" showDropDown="0" showInputMessage="0" showErrorMessage="0" allowBlank="0" type="list">
      <formula1>"Nessus,Qualys,OpenVAS,Manual Assessment,Vendor Advisory,Penetration Test,Other"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T2:T1000" showDropDown="0" showInputMessage="0" showErrorMessage="0" allowBlank="0" type="list">
      <formula1>"Critical,High,Medium,Low,Informational"</formula1>
    </dataValidation>
    <dataValidation sqref="U2:U1000" showDropDown="0" showInputMessage="0" showErrorMessage="0" allowBlank="0" type="decimal" operator="between">
      <formula1>1.0</formula1>
      <formula2>5.0</formula2>
    </dataValidation>
    <dataValidation sqref="V2:V1000" showDropDown="0" showInputMessage="0" showErrorMessage="0" allowBlank="0" type="list">
      <formula1>"Y,N"</formula1>
    </dataValidation>
    <dataValidation sqref="W2:W1000" showDropDown="0" showInputMessage="0" showErrorMessage="0" allowBlank="0" type="list">
      <formula1>"Y,N,Unknown"</formula1>
    </dataValidation>
    <dataValidation sqref="X2:X1000" showDropDown="0" showInputMessage="0" showErrorMessage="0" allowBlank="0" type="list">
      <formula1>"Public Exploit,PoC Available,Weaponized,None,Unknown"</formula1>
    </dataValidation>
    <dataValidation sqref="Y2:Y1000" showDropDown="0" showInputMessage="0" showErrorMessage="0" allowBlank="0" type="list">
      <formula1>"Y,N,Partial,Workaround Only"</formula1>
    </dataValidation>
    <dataValidation sqref="AB2:AB1000" showDropDown="0" showInputMessage="0" showErrorMessage="0" allowBlank="1" type="list">
      <formula1>"P0,P1,P2,P3,P4"</formula1>
    </dataValidation>
    <dataValidation sqref="AI2:AI1000" showDropDown="0" showInputMessage="0" showErrorMessage="0" allowBlank="0" type="list">
      <formula1>"Security Team,Infrastructure Team,Application Team,Database Team,Network Team,Cloud Team,External Vendor"</formula1>
    </dataValidation>
    <dataValidation sqref="AJ2:AJ1000" showDropDown="0" showInputMessage="0" showErrorMessage="0" allowBlank="0" type="list">
      <formula1>"Queued,In Progress,Testing,Blocked,Complete,Exception"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50" customWidth="1" min="4" max="4"/>
  </cols>
  <sheetData>
    <row r="1">
      <c r="A1" s="2" t="inlineStr">
        <is>
          <t>SECTION A: SCORING WEIGHTS</t>
        </is>
      </c>
    </row>
    <row r="3">
      <c r="A3" s="4" t="inlineStr">
        <is>
          <t>Factor</t>
        </is>
      </c>
      <c r="B3" s="4" t="inlineStr">
        <is>
          <t>Weight</t>
        </is>
      </c>
      <c r="C3" s="4" t="inlineStr">
        <is>
          <t>Points</t>
        </is>
      </c>
      <c r="D3" s="4" t="inlineStr">
        <is>
          <t>Rationale</t>
        </is>
      </c>
    </row>
    <row r="4">
      <c r="A4" t="inlineStr">
        <is>
          <t>Base CVSS Score</t>
        </is>
      </c>
      <c r="B4" t="inlineStr">
        <is>
          <t>5x</t>
        </is>
      </c>
      <c r="C4" t="inlineStr">
        <is>
          <t>0-50</t>
        </is>
      </c>
      <c r="D4" t="inlineStr">
        <is>
          <t>Core technical severity</t>
        </is>
      </c>
    </row>
    <row r="5">
      <c r="A5" t="inlineStr">
        <is>
          <t>Business Impact Multiplier</t>
        </is>
      </c>
      <c r="B5" t="inlineStr">
        <is>
          <t>10x</t>
        </is>
      </c>
      <c r="C5" t="inlineStr">
        <is>
          <t>10-50</t>
        </is>
      </c>
      <c r="D5" t="inlineStr">
        <is>
          <t>Organization-specific criticality</t>
        </is>
      </c>
    </row>
    <row r="6">
      <c r="A6" t="inlineStr">
        <is>
          <t>Wormable (AU=Y)</t>
        </is>
      </c>
      <c r="B6" t="inlineStr">
        <is>
          <t>+40</t>
        </is>
      </c>
      <c r="C6" t="inlineStr">
        <is>
          <t>40</t>
        </is>
      </c>
      <c r="D6" t="inlineStr">
        <is>
          <t>Self-propagating threat</t>
        </is>
      </c>
    </row>
    <row r="7">
      <c r="A7" t="inlineStr">
        <is>
          <t>Safety-Critical (S=P)</t>
        </is>
      </c>
      <c r="B7" t="inlineStr">
        <is>
          <t>+30</t>
        </is>
      </c>
      <c r="C7" t="inlineStr">
        <is>
          <t>30</t>
        </is>
      </c>
      <c r="D7" t="inlineStr">
        <is>
          <t>Physical harm potential</t>
        </is>
      </c>
    </row>
    <row r="8">
      <c r="A8" t="inlineStr">
        <is>
          <t>CISA KEV Listed</t>
        </is>
      </c>
      <c r="B8" t="inlineStr">
        <is>
          <t>+25</t>
        </is>
      </c>
      <c r="C8" t="inlineStr">
        <is>
          <t>25</t>
        </is>
      </c>
      <c r="D8" t="inlineStr">
        <is>
          <t>Known active exploitation</t>
        </is>
      </c>
    </row>
    <row r="9">
      <c r="A9" t="inlineStr">
        <is>
          <t>Active Exploitation</t>
        </is>
      </c>
      <c r="B9" t="inlineStr">
        <is>
          <t>+20</t>
        </is>
      </c>
      <c r="C9" t="inlineStr">
        <is>
          <t>20</t>
        </is>
      </c>
      <c r="D9" t="inlineStr">
        <is>
          <t>Current threat activity</t>
        </is>
      </c>
    </row>
    <row r="10">
      <c r="A10" t="inlineStr">
        <is>
          <t>Weaponized Exploit</t>
        </is>
      </c>
      <c r="B10" t="inlineStr">
        <is>
          <t>+15</t>
        </is>
      </c>
      <c r="C10" t="inlineStr">
        <is>
          <t>15</t>
        </is>
      </c>
      <c r="D10" t="inlineStr">
        <is>
          <t>Mature exploit available</t>
        </is>
      </c>
    </row>
    <row r="11">
      <c r="A11" t="inlineStr">
        <is>
          <t>PoC Exploit Available</t>
        </is>
      </c>
      <c r="B11" t="inlineStr">
        <is>
          <t>+10</t>
        </is>
      </c>
      <c r="C11" t="inlineStr">
        <is>
          <t>10</t>
        </is>
      </c>
      <c r="D11" t="inlineStr">
        <is>
          <t>Proof of concept exists</t>
        </is>
      </c>
    </row>
    <row r="12">
      <c r="A12" t="inlineStr">
        <is>
          <t>Public Exploit</t>
        </is>
      </c>
      <c r="B12" t="inlineStr">
        <is>
          <t>+5</t>
        </is>
      </c>
      <c r="C12" t="inlineStr">
        <is>
          <t>5</t>
        </is>
      </c>
      <c r="D12" t="inlineStr">
        <is>
          <t>Exploit code published</t>
        </is>
      </c>
    </row>
    <row r="13">
      <c r="A13" t="inlineStr">
        <is>
          <t>Production Environment</t>
        </is>
      </c>
      <c r="B13" t="inlineStr">
        <is>
          <t>+10</t>
        </is>
      </c>
      <c r="C13" t="inlineStr">
        <is>
          <t>10</t>
        </is>
      </c>
      <c r="D13" t="inlineStr">
        <is>
          <t>Business-critical system</t>
        </is>
      </c>
    </row>
    <row r="14">
      <c r="A14" t="inlineStr">
        <is>
          <t>DMZ Environment</t>
        </is>
      </c>
      <c r="B14" t="inlineStr">
        <is>
          <t>+8</t>
        </is>
      </c>
      <c r="C14" t="inlineStr">
        <is>
          <t>8</t>
        </is>
      </c>
      <c r="D14" t="inlineStr">
        <is>
          <t>External exposure</t>
        </is>
      </c>
    </row>
    <row r="15">
      <c r="A15" t="inlineStr">
        <is>
          <t>DR/Backup Environment</t>
        </is>
      </c>
      <c r="B15" t="inlineStr">
        <is>
          <t>+5</t>
        </is>
      </c>
      <c r="C15" t="inlineStr">
        <is>
          <t>5</t>
        </is>
      </c>
      <c r="D15" t="inlineStr">
        <is>
          <t>Recovery capability impact</t>
        </is>
      </c>
    </row>
    <row r="16">
      <c r="A16" t="inlineStr">
        <is>
          <t>No Patch Available</t>
        </is>
      </c>
      <c r="B16" t="inlineStr">
        <is>
          <t>+10</t>
        </is>
      </c>
      <c r="C16" t="inlineStr">
        <is>
          <t>10</t>
        </is>
      </c>
      <c r="D16" t="inlineStr">
        <is>
          <t>Limited remediation options</t>
        </is>
      </c>
    </row>
    <row r="17">
      <c r="A17" s="1" t="inlineStr">
        <is>
          <t>**Maximum Score**</t>
        </is>
      </c>
      <c r="B17" t="inlineStr">
        <is>
          <t>-</t>
        </is>
      </c>
      <c r="C17" s="1" t="inlineStr">
        <is>
          <t>**100**</t>
        </is>
      </c>
      <c r="D17" t="inlineStr">
        <is>
          <t>-</t>
        </is>
      </c>
    </row>
    <row r="19">
      <c r="A19" s="2" t="inlineStr">
        <is>
          <t>SECTION B: PRIORITY THRESHOLDS</t>
        </is>
      </c>
    </row>
    <row r="21">
      <c r="A21" s="4" t="inlineStr">
        <is>
          <t>Priority</t>
        </is>
      </c>
      <c r="B21" s="4" t="inlineStr">
        <is>
          <t>Score Range</t>
        </is>
      </c>
      <c r="C21" s="4" t="inlineStr">
        <is>
          <t>Color Code</t>
        </is>
      </c>
      <c r="D21" s="4" t="inlineStr">
        <is>
          <t>Description</t>
        </is>
      </c>
    </row>
    <row r="22">
      <c r="A22" t="inlineStr">
        <is>
          <t>P0</t>
        </is>
      </c>
      <c r="B22" t="inlineStr">
        <is>
          <t>80-100 OR Wormable OR (CVSS≥9.0 + Active Exploit)</t>
        </is>
      </c>
      <c r="C22" t="inlineStr">
        <is>
          <t>🔴 Red</t>
        </is>
      </c>
      <c r="D22" t="inlineStr">
        <is>
          <t>Emergency - Immediate action</t>
        </is>
      </c>
    </row>
    <row r="23">
      <c r="A23" t="inlineStr">
        <is>
          <t>P1</t>
        </is>
      </c>
      <c r="B23" t="inlineStr">
        <is>
          <t>60-79</t>
        </is>
      </c>
      <c r="C23" t="inlineStr">
        <is>
          <t>🟠 Orange</t>
        </is>
      </c>
      <c r="D23" t="inlineStr">
        <is>
          <t>Critical - Expedited remediation</t>
        </is>
      </c>
    </row>
    <row r="24">
      <c r="A24" t="inlineStr">
        <is>
          <t>P2</t>
        </is>
      </c>
      <c r="B24" t="inlineStr">
        <is>
          <t>40-59</t>
        </is>
      </c>
      <c r="C24" t="inlineStr">
        <is>
          <t>🟡 Yellow</t>
        </is>
      </c>
      <c r="D24" t="inlineStr">
        <is>
          <t>High - Planned remediation</t>
        </is>
      </c>
    </row>
    <row r="25">
      <c r="A25" t="inlineStr">
        <is>
          <t>P3</t>
        </is>
      </c>
      <c r="B25" t="inlineStr">
        <is>
          <t>20-39</t>
        </is>
      </c>
      <c r="C25" t="inlineStr">
        <is>
          <t>🟢 Green</t>
        </is>
      </c>
      <c r="D25" t="inlineStr">
        <is>
          <t>Medium - Standard timeline</t>
        </is>
      </c>
    </row>
    <row r="26">
      <c r="A26" t="inlineStr">
        <is>
          <t>P4</t>
        </is>
      </c>
      <c r="B26" t="inlineStr">
        <is>
          <t>0-19</t>
        </is>
      </c>
      <c r="C26" t="inlineStr">
        <is>
          <t>⚪ White</t>
        </is>
      </c>
      <c r="D26" t="inlineStr">
        <is>
          <t>Low - Opportunistic patching</t>
        </is>
      </c>
    </row>
    <row r="28">
      <c r="A28" s="2" t="inlineStr">
        <is>
          <t>SECTION C: AUTO-P0 TRIGGERS</t>
        </is>
      </c>
    </row>
    <row r="30">
      <c r="A30" t="inlineStr">
        <is>
          <t>Vulnerabilities automatically escalated to P0 regardless of score:</t>
        </is>
      </c>
    </row>
    <row r="31">
      <c r="A31" t="inlineStr">
        <is>
          <t>1. Supplemental_AU = 'Y' (Wormable/Automatable)</t>
        </is>
      </c>
    </row>
    <row r="32">
      <c r="A32" t="inlineStr">
        <is>
          <t>2. CVSS_Primary_Score ≥ 9.0 AND Active_Exploitation = 'Y'</t>
        </is>
      </c>
    </row>
    <row r="33">
      <c r="A33" t="inlineStr">
        <is>
          <t>3. Safety-Critical (S=P) AND CVSS_Primary_Score ≥ 9.0</t>
        </is>
      </c>
    </row>
    <row r="34">
      <c r="A34" t="inlineStr">
        <is>
          <t>4. KEV_Listed = 'Y' AND Environment = 'Production' AND CVSS ≥ 8.0</t>
        </is>
      </c>
    </row>
    <row r="35">
      <c r="A35" t="inlineStr">
        <is>
          <t>5. Manual escalation by CISO/Security Director</t>
        </is>
      </c>
    </row>
    <row r="38">
      <c r="A38" s="2" t="inlineStr">
        <is>
          <t>SECTION D: ENVIRONMENTAL MULTIPLIERS</t>
        </is>
      </c>
    </row>
    <row r="40">
      <c r="A40" s="4" t="inlineStr">
        <is>
          <t>Environment</t>
        </is>
      </c>
      <c r="B40" s="4" t="inlineStr">
        <is>
          <t>Multiplier</t>
        </is>
      </c>
      <c r="C40" s="4" t="inlineStr">
        <is>
          <t>Rationale</t>
        </is>
      </c>
    </row>
    <row r="41">
      <c r="A41" t="inlineStr">
        <is>
          <t>Production</t>
        </is>
      </c>
      <c r="B41" t="inlineStr">
        <is>
          <t>1.0</t>
        </is>
      </c>
      <c r="C41" t="inlineStr">
        <is>
          <t>Baseline</t>
        </is>
      </c>
    </row>
    <row r="42">
      <c r="A42" t="inlineStr">
        <is>
          <t>DMZ</t>
        </is>
      </c>
      <c r="B42" t="inlineStr">
        <is>
          <t>0.9</t>
        </is>
      </c>
      <c r="C42" t="inlineStr">
        <is>
          <t>External exposure</t>
        </is>
      </c>
    </row>
    <row r="43">
      <c r="A43" t="inlineStr">
        <is>
          <t>DR/Backup</t>
        </is>
      </c>
      <c r="B43" t="inlineStr">
        <is>
          <t>0.7</t>
        </is>
      </c>
      <c r="C43" t="inlineStr">
        <is>
          <t>Recovery impact</t>
        </is>
      </c>
    </row>
    <row r="44">
      <c r="A44" t="inlineStr">
        <is>
          <t>Staging</t>
        </is>
      </c>
      <c r="B44" t="inlineStr">
        <is>
          <t>0.5</t>
        </is>
      </c>
      <c r="C44" t="inlineStr">
        <is>
          <t>Pre-production testing</t>
        </is>
      </c>
    </row>
    <row r="45">
      <c r="A45" t="inlineStr">
        <is>
          <t>Management</t>
        </is>
      </c>
      <c r="B45" t="inlineStr">
        <is>
          <t>0.8</t>
        </is>
      </c>
      <c r="C45" t="inlineStr">
        <is>
          <t>Administrative access</t>
        </is>
      </c>
    </row>
    <row r="46">
      <c r="A46" t="inlineStr">
        <is>
          <t>Development</t>
        </is>
      </c>
      <c r="B46" t="inlineStr">
        <is>
          <t>0.3</t>
        </is>
      </c>
      <c r="C46" t="inlineStr">
        <is>
          <t>Non-production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>
      <c r="A1" s="4" t="inlineStr">
        <is>
          <t>Priority_Level</t>
        </is>
      </c>
      <c r="B1" s="4" t="inlineStr">
        <is>
          <t>SLA_Days</t>
        </is>
      </c>
      <c r="C1" s="4" t="inlineStr">
        <is>
          <t>SLA_Hours</t>
        </is>
      </c>
      <c r="D1" s="4" t="inlineStr">
        <is>
          <t>At_Risk_Threshold</t>
        </is>
      </c>
      <c r="E1" s="4" t="inlineStr">
        <is>
          <t>Escalation_Threshold</t>
        </is>
      </c>
      <c r="F1" s="4" t="inlineStr">
        <is>
          <t>Target_Compliance</t>
        </is>
      </c>
      <c r="G1" s="4" t="inlineStr">
        <is>
          <t>Current_Compliance</t>
        </is>
      </c>
      <c r="H1" s="4" t="inlineStr">
        <is>
          <t>Gap_Analysis</t>
        </is>
      </c>
    </row>
    <row r="2">
      <c r="A2" t="inlineStr">
        <is>
          <t>P0</t>
        </is>
      </c>
      <c r="B2" t="n">
        <v>1</v>
      </c>
      <c r="C2" t="n">
        <v>24</v>
      </c>
      <c r="D2" t="inlineStr">
        <is>
          <t>50%</t>
        </is>
      </c>
      <c r="E2" t="inlineStr">
        <is>
          <t>75%</t>
        </is>
      </c>
      <c r="F2" t="inlineStr">
        <is>
          <t>100%</t>
        </is>
      </c>
      <c r="G2">
        <f>IFERROR(COUNTIFS(Priority_Matrix!$AD:$AD,A2,Priority_Matrix!$AJ:$AJ,"Complete")/COUNTIF(Priority_Matrix!$AD:$AD,A2),0)</f>
        <v/>
      </c>
      <c r="H2">
        <f>VALUE(LEFT(F2,LEN(F2)-1))/100-G2</f>
        <v/>
      </c>
    </row>
    <row r="3">
      <c r="A3" t="inlineStr">
        <is>
          <t>P1</t>
        </is>
      </c>
      <c r="B3" t="n">
        <v>7</v>
      </c>
      <c r="C3" t="n">
        <v>168</v>
      </c>
      <c r="D3" t="inlineStr">
        <is>
          <t>70%</t>
        </is>
      </c>
      <c r="E3" t="inlineStr">
        <is>
          <t>85%</t>
        </is>
      </c>
      <c r="F3" t="inlineStr">
        <is>
          <t>95%</t>
        </is>
      </c>
      <c r="G3">
        <f>IFERROR(COUNTIFS(Priority_Matrix!$AD:$AD,A3,Priority_Matrix!$AJ:$AJ,"Complete")/COUNTIF(Priority_Matrix!$AD:$AD,A3),0)</f>
        <v/>
      </c>
      <c r="H3">
        <f>VALUE(LEFT(F3,LEN(F3)-1))/100-G3</f>
        <v/>
      </c>
    </row>
    <row r="4">
      <c r="A4" t="inlineStr">
        <is>
          <t>P2</t>
        </is>
      </c>
      <c r="B4" t="n">
        <v>30</v>
      </c>
      <c r="C4" t="n">
        <v>720</v>
      </c>
      <c r="D4" t="inlineStr">
        <is>
          <t>80%</t>
        </is>
      </c>
      <c r="E4" t="inlineStr">
        <is>
          <t>90%</t>
        </is>
      </c>
      <c r="F4" t="inlineStr">
        <is>
          <t>90%</t>
        </is>
      </c>
      <c r="G4">
        <f>IFERROR(COUNTIFS(Priority_Matrix!$AD:$AD,A4,Priority_Matrix!$AJ:$AJ,"Complete")/COUNTIF(Priority_Matrix!$AD:$AD,A4),0)</f>
        <v/>
      </c>
      <c r="H4">
        <f>VALUE(LEFT(F4,LEN(F4)-1))/100-G4</f>
        <v/>
      </c>
    </row>
    <row r="5">
      <c r="A5" t="inlineStr">
        <is>
          <t>P3</t>
        </is>
      </c>
      <c r="B5" t="n">
        <v>90</v>
      </c>
      <c r="C5" t="n">
        <v>2160</v>
      </c>
      <c r="D5" t="inlineStr">
        <is>
          <t>85%</t>
        </is>
      </c>
      <c r="E5" t="inlineStr">
        <is>
          <t>95%</t>
        </is>
      </c>
      <c r="F5" t="inlineStr">
        <is>
          <t>85%</t>
        </is>
      </c>
      <c r="G5">
        <f>IFERROR(COUNTIFS(Priority_Matrix!$AD:$AD,A5,Priority_Matrix!$AJ:$AJ,"Complete")/COUNTIF(Priority_Matrix!$AD:$AD,A5),0)</f>
        <v/>
      </c>
      <c r="H5">
        <f>VALUE(LEFT(F5,LEN(F5)-1))/100-G5</f>
        <v/>
      </c>
    </row>
    <row r="6">
      <c r="A6" t="inlineStr">
        <is>
          <t>P4</t>
        </is>
      </c>
      <c r="B6" t="n">
        <v>180</v>
      </c>
      <c r="C6" t="n">
        <v>4320</v>
      </c>
      <c r="D6" t="inlineStr">
        <is>
          <t>90%</t>
        </is>
      </c>
      <c r="E6" t="inlineStr">
        <is>
          <t>N/A</t>
        </is>
      </c>
      <c r="F6" t="inlineStr">
        <is>
          <t>80%</t>
        </is>
      </c>
      <c r="G6">
        <f>IFERROR(COUNTIFS(Priority_Matrix!$AD:$AD,A6,Priority_Matrix!$AJ:$AJ,"Complete")/COUNTIF(Priority_Matrix!$AD:$AD,A6),0)</f>
        <v/>
      </c>
      <c r="H6">
        <f>VALUE(LEFT(F6,LEN(F6)-1))/100-G6</f>
        <v/>
      </c>
    </row>
  </sheetData>
  <conditionalFormatting sqref="H2:H6">
    <cfRule type="cellIs" priority="1" operator="greaterThan" dxfId="9">
      <formula>0.1</formula>
    </cfRule>
    <cfRule type="cellIs" priority="2" operator="between" dxfId="6">
      <formula>0.05</formula>
      <formula>0.1</formula>
    </cfRule>
    <cfRule type="cellIs" priority="3" operator="lessThan" dxfId="10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SECTION A: TEAM CAPACITY</t>
        </is>
      </c>
    </row>
    <row r="3">
      <c r="A3" s="4" t="inlineStr">
        <is>
          <t>Team</t>
        </is>
      </c>
      <c r="B3" s="4" t="inlineStr">
        <is>
          <t>FTE_Count</t>
        </is>
      </c>
      <c r="C3" s="4" t="inlineStr">
        <is>
          <t>Weekly_Capacity_Hours</t>
        </is>
      </c>
      <c r="D3" s="4" t="inlineStr">
        <is>
          <t>Vuln_Remediation_%</t>
        </is>
      </c>
      <c r="E3" s="4" t="inlineStr">
        <is>
          <t>Effective_Hours</t>
        </is>
      </c>
      <c r="F3" s="4" t="inlineStr">
        <is>
          <t>Avg_Vuln_per_Hour</t>
        </is>
      </c>
      <c r="G3" s="4" t="inlineStr">
        <is>
          <t>Weekly_Capacity_Vulns</t>
        </is>
      </c>
    </row>
    <row r="4">
      <c r="A4" t="inlineStr">
        <is>
          <t>Security Team</t>
        </is>
      </c>
      <c r="B4" t="n">
        <v>4</v>
      </c>
      <c r="C4" t="n">
        <v>160</v>
      </c>
      <c r="D4" t="inlineStr">
        <is>
          <t>60%</t>
        </is>
      </c>
      <c r="E4" t="n">
        <v>96</v>
      </c>
      <c r="F4" t="n">
        <v>0.5</v>
      </c>
      <c r="G4" t="n">
        <v>48</v>
      </c>
    </row>
    <row r="5">
      <c r="A5" t="inlineStr">
        <is>
          <t>Infrastructure Team</t>
        </is>
      </c>
      <c r="B5" t="n">
        <v>12</v>
      </c>
      <c r="C5" t="n">
        <v>480</v>
      </c>
      <c r="D5" t="inlineStr">
        <is>
          <t>40%</t>
        </is>
      </c>
      <c r="E5" t="n">
        <v>192</v>
      </c>
      <c r="F5" t="n">
        <v>0.4</v>
      </c>
      <c r="G5" t="n">
        <v>77</v>
      </c>
    </row>
    <row r="6">
      <c r="A6" t="inlineStr">
        <is>
          <t>Application Team</t>
        </is>
      </c>
      <c r="B6" t="n">
        <v>25</v>
      </c>
      <c r="C6" t="n">
        <v>1000</v>
      </c>
      <c r="D6" t="inlineStr">
        <is>
          <t>30%</t>
        </is>
      </c>
      <c r="E6" t="n">
        <v>300</v>
      </c>
      <c r="F6" t="n">
        <v>0.3</v>
      </c>
      <c r="G6" t="n">
        <v>90</v>
      </c>
    </row>
    <row r="7">
      <c r="A7" t="inlineStr">
        <is>
          <t>Database Team</t>
        </is>
      </c>
      <c r="B7" t="n">
        <v>6</v>
      </c>
      <c r="C7" t="n">
        <v>240</v>
      </c>
      <c r="D7" t="inlineStr">
        <is>
          <t>35%</t>
        </is>
      </c>
      <c r="E7" t="n">
        <v>84</v>
      </c>
      <c r="F7" t="n">
        <v>0.4</v>
      </c>
      <c r="G7" t="n">
        <v>34</v>
      </c>
    </row>
    <row r="8">
      <c r="A8" t="inlineStr">
        <is>
          <t>Network Team</t>
        </is>
      </c>
      <c r="B8" t="n">
        <v>5</v>
      </c>
      <c r="C8" t="n">
        <v>200</v>
      </c>
      <c r="D8" t="inlineStr">
        <is>
          <t>45%</t>
        </is>
      </c>
      <c r="E8" t="n">
        <v>90</v>
      </c>
      <c r="F8" t="n">
        <v>0.5</v>
      </c>
      <c r="G8" t="n">
        <v>45</v>
      </c>
    </row>
    <row r="9">
      <c r="A9" t="inlineStr">
        <is>
          <t>Cloud Team</t>
        </is>
      </c>
      <c r="B9" t="n">
        <v>8</v>
      </c>
      <c r="C9" t="n">
        <v>320</v>
      </c>
      <c r="D9" t="inlineStr">
        <is>
          <t>50%</t>
        </is>
      </c>
      <c r="E9" t="n">
        <v>160</v>
      </c>
      <c r="F9" t="n">
        <v>0.4</v>
      </c>
      <c r="G9" t="n">
        <v>64</v>
      </c>
    </row>
    <row r="10">
      <c r="A10" s="1" t="inlineStr">
        <is>
          <t>**Total**</t>
        </is>
      </c>
      <c r="B10">
        <f>SUM(B4:B9)</f>
        <v/>
      </c>
      <c r="C10">
        <f>SUM(C4:C9)</f>
        <v/>
      </c>
      <c r="D10" t="inlineStr">
        <is>
          <t>~40%</t>
        </is>
      </c>
      <c r="E10">
        <f>SUM(E4:E9)</f>
        <v/>
      </c>
      <c r="F10" t="inlineStr">
        <is>
          <t>~0.4</t>
        </is>
      </c>
      <c r="G10">
        <f>SUM(G4:G9)</f>
        <v/>
      </c>
    </row>
    <row r="12">
      <c r="A12" s="2" t="inlineStr">
        <is>
          <t>SECTION B: CURRENT WORKLOAD</t>
        </is>
      </c>
    </row>
    <row r="14">
      <c r="A14" s="4" t="inlineStr">
        <is>
          <t>Priority</t>
        </is>
      </c>
      <c r="B14" s="4" t="inlineStr">
        <is>
          <t>Count</t>
        </is>
      </c>
      <c r="C14" s="4" t="inlineStr">
        <is>
          <t>Assigned</t>
        </is>
      </c>
      <c r="D14" s="4" t="inlineStr">
        <is>
          <t>Queued</t>
        </is>
      </c>
      <c r="E14" s="4" t="inlineStr">
        <is>
          <t>In_Progress</t>
        </is>
      </c>
      <c r="F14" s="4" t="inlineStr">
        <is>
          <t>Blocked</t>
        </is>
      </c>
      <c r="G14" s="4" t="inlineStr">
        <is>
          <t>Estimated_Hours</t>
        </is>
      </c>
      <c r="H14" s="4" t="inlineStr">
        <is>
          <t>%_of_Capacity</t>
        </is>
      </c>
    </row>
    <row r="15">
      <c r="A15" t="inlineStr">
        <is>
          <t>P0</t>
        </is>
      </c>
      <c r="B15">
        <f>COUNTIF(Priority_Matrix!$AD:$AD,"P0")</f>
        <v/>
      </c>
      <c r="C15">
        <f>COUNTIFS(Priority_Matrix!$AD:$AD,"P0",Priority_Matrix!$AI:$AI,"&lt;&gt;")</f>
        <v/>
      </c>
      <c r="D15">
        <f>COUNTIFS(Priority_Matrix!$AD:$AD,"P0",Priority_Matrix!$AJ:$AJ,"Queued")</f>
        <v/>
      </c>
      <c r="E15">
        <f>COUNTIFS(Priority_Matrix!$AD:$AD,"P0",Priority_Matrix!$AJ:$AJ,"In Progress")</f>
        <v/>
      </c>
      <c r="F15">
        <f>COUNTIFS(Priority_Matrix!$AD:$AD,"P0",Priority_Matrix!$AJ:$AJ,"Blocked")</f>
        <v/>
      </c>
      <c r="G15">
        <f>B15*2</f>
        <v/>
      </c>
      <c r="H15">
        <f>G15/$E$10</f>
        <v/>
      </c>
    </row>
    <row r="16">
      <c r="A16" t="inlineStr">
        <is>
          <t>P1</t>
        </is>
      </c>
      <c r="B16">
        <f>COUNTIF(Priority_Matrix!$AD:$AD,"P1")</f>
        <v/>
      </c>
      <c r="C16">
        <f>COUNTIFS(Priority_Matrix!$AD:$AD,"P1",Priority_Matrix!$AI:$AI,"&lt;&gt;")</f>
        <v/>
      </c>
      <c r="D16">
        <f>COUNTIFS(Priority_Matrix!$AD:$AD,"P1",Priority_Matrix!$AJ:$AJ,"Queued")</f>
        <v/>
      </c>
      <c r="E16">
        <f>COUNTIFS(Priority_Matrix!$AD:$AD,"P1",Priority_Matrix!$AJ:$AJ,"In Progress")</f>
        <v/>
      </c>
      <c r="F16">
        <f>COUNTIFS(Priority_Matrix!$AD:$AD,"P1",Priority_Matrix!$AJ:$AJ,"Blocked")</f>
        <v/>
      </c>
      <c r="G16">
        <f>B16*2.5</f>
        <v/>
      </c>
      <c r="H16">
        <f>G16/$E$10</f>
        <v/>
      </c>
    </row>
    <row r="17">
      <c r="A17" t="inlineStr">
        <is>
          <t>P2</t>
        </is>
      </c>
      <c r="B17">
        <f>COUNTIF(Priority_Matrix!$AD:$AD,"P2")</f>
        <v/>
      </c>
      <c r="C17">
        <f>COUNTIFS(Priority_Matrix!$AD:$AD,"P2",Priority_Matrix!$AI:$AI,"&lt;&gt;")</f>
        <v/>
      </c>
      <c r="D17">
        <f>COUNTIFS(Priority_Matrix!$AD:$AD,"P2",Priority_Matrix!$AJ:$AJ,"Queued")</f>
        <v/>
      </c>
      <c r="E17">
        <f>COUNTIFS(Priority_Matrix!$AD:$AD,"P2",Priority_Matrix!$AJ:$AJ,"In Progress")</f>
        <v/>
      </c>
      <c r="F17">
        <f>COUNTIFS(Priority_Matrix!$AD:$AD,"P2",Priority_Matrix!$AJ:$AJ,"Blocked")</f>
        <v/>
      </c>
      <c r="G17">
        <f>B17*3</f>
        <v/>
      </c>
      <c r="H17">
        <f>G17/$E$10</f>
        <v/>
      </c>
    </row>
    <row r="18">
      <c r="A18" t="inlineStr">
        <is>
          <t>P3</t>
        </is>
      </c>
      <c r="B18">
        <f>COUNTIF(Priority_Matrix!$AD:$AD,"P3")</f>
        <v/>
      </c>
      <c r="C18">
        <f>COUNTIFS(Priority_Matrix!$AD:$AD,"P3",Priority_Matrix!$AI:$AI,"&lt;&gt;")</f>
        <v/>
      </c>
      <c r="D18">
        <f>COUNTIFS(Priority_Matrix!$AD:$AD,"P3",Priority_Matrix!$AJ:$AJ,"Queued")</f>
        <v/>
      </c>
      <c r="E18">
        <f>COUNTIFS(Priority_Matrix!$AD:$AD,"P3",Priority_Matrix!$AJ:$AJ,"In Progress")</f>
        <v/>
      </c>
      <c r="F18">
        <f>COUNTIFS(Priority_Matrix!$AD:$AD,"P3",Priority_Matrix!$AJ:$AJ,"Blocked")</f>
        <v/>
      </c>
      <c r="G18">
        <f>B18*2</f>
        <v/>
      </c>
      <c r="H18">
        <f>G18/$E$10</f>
        <v/>
      </c>
    </row>
    <row r="19">
      <c r="A19" t="inlineStr">
        <is>
          <t>P4</t>
        </is>
      </c>
      <c r="B19">
        <f>COUNTIF(Priority_Matrix!$AD:$AD,"P4")</f>
        <v/>
      </c>
      <c r="C19">
        <f>COUNTIFS(Priority_Matrix!$AD:$AD,"P4",Priority_Matrix!$AI:$AI,"&lt;&gt;")</f>
        <v/>
      </c>
      <c r="D19">
        <f>COUNTIFS(Priority_Matrix!$AD:$AD,"P4",Priority_Matrix!$AJ:$AJ,"Queued")</f>
        <v/>
      </c>
      <c r="E19">
        <f>COUNTIFS(Priority_Matrix!$AD:$AD,"P4",Priority_Matrix!$AJ:$AJ,"In Progress")</f>
        <v/>
      </c>
      <c r="F19">
        <f>COUNTIFS(Priority_Matrix!$AD:$AD,"P4",Priority_Matrix!$AJ:$AJ,"Blocked")</f>
        <v/>
      </c>
      <c r="G19">
        <f>B19*1</f>
        <v/>
      </c>
      <c r="H19">
        <f>G19/$E$10</f>
        <v/>
      </c>
    </row>
    <row r="22">
      <c r="A22" s="2" t="inlineStr">
        <is>
          <t>SECTION C: CAPACITY ALERTS</t>
        </is>
      </c>
    </row>
    <row r="24">
      <c r="A24" s="4" t="inlineStr">
        <is>
          <t>Alert_Type</t>
        </is>
      </c>
      <c r="B24" s="4" t="inlineStr">
        <is>
          <t>Threshold</t>
        </is>
      </c>
      <c r="C24" s="4" t="inlineStr">
        <is>
          <t>Current_Status</t>
        </is>
      </c>
      <c r="D24" s="4" t="inlineStr">
        <is>
          <t>Action_Required</t>
        </is>
      </c>
    </row>
    <row r="25">
      <c r="A25" t="inlineStr">
        <is>
          <t>Oversubscribed</t>
        </is>
      </c>
      <c r="B25" t="inlineStr">
        <is>
          <t>&gt;100% capacity</t>
        </is>
      </c>
      <c r="C25">
        <f>IF(SUM(H15:H19)&gt;1,"🔴 YES","🟢 NO")</f>
        <v/>
      </c>
      <c r="D25" t="inlineStr">
        <is>
          <t>Escalate to management</t>
        </is>
      </c>
    </row>
    <row r="26">
      <c r="A26" t="inlineStr">
        <is>
          <t>P0 Backlog</t>
        </is>
      </c>
      <c r="B26" t="inlineStr">
        <is>
          <t>&gt;5 P0 items</t>
        </is>
      </c>
      <c r="C26">
        <f>IF(B15&gt;5,"🔴 YES","🟢 NO")</f>
        <v/>
      </c>
      <c r="D26" t="inlineStr">
        <is>
          <t>Emergency resources</t>
        </is>
      </c>
    </row>
    <row r="27">
      <c r="A27" t="inlineStr">
        <is>
          <t>P1 Backlog</t>
        </is>
      </c>
      <c r="B27" t="inlineStr">
        <is>
          <t>&gt;100 P1 items</t>
        </is>
      </c>
      <c r="C27">
        <f>IF(B16&gt;100,"🟡 YES","🟢 NO")</f>
        <v/>
      </c>
      <c r="D27" t="inlineStr">
        <is>
          <t>Prioritization review</t>
        </is>
      </c>
    </row>
    <row r="28">
      <c r="A28" t="inlineStr">
        <is>
          <t>Average Age</t>
        </is>
      </c>
      <c r="B28" t="inlineStr">
        <is>
          <t>&gt;60 days</t>
        </is>
      </c>
      <c r="C28">
        <f>IF(AVERAGE(Priority_Matrix!AG:AG)&gt;60,"🟡 YES","🟢 NO")</f>
        <v/>
      </c>
      <c r="D28" t="inlineStr">
        <is>
          <t>Process improvement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40" customWidth="1" min="5" max="5"/>
    <col width="30" customWidth="1" min="6" max="6"/>
    <col width="16" customWidth="1" min="7" max="7"/>
    <col width="14" customWidth="1" min="8" max="8"/>
    <col width="12" customWidth="1" min="9" max="9"/>
    <col width="16" customWidth="1" min="10" max="10"/>
    <col width="20" customWidth="1" min="11" max="11"/>
    <col width="16" customWidth="1" min="12" max="12"/>
    <col width="16" customWidth="1" min="13" max="13"/>
  </cols>
  <sheetData>
    <row r="1">
      <c r="A1" s="4" t="inlineStr">
        <is>
          <t>Final_Priority</t>
        </is>
      </c>
      <c r="B1" s="4" t="inlineStr">
        <is>
          <t>Vuln_ID</t>
        </is>
      </c>
      <c r="C1" s="4" t="inlineStr">
        <is>
          <t>Days_Remaining</t>
        </is>
      </c>
      <c r="D1" s="4" t="inlineStr">
        <is>
          <t>SLA_Status</t>
        </is>
      </c>
      <c r="E1" s="4" t="inlineStr">
        <is>
          <t>Title</t>
        </is>
      </c>
      <c r="F1" s="4" t="inlineStr">
        <is>
          <t>Affected_System</t>
        </is>
      </c>
      <c r="G1" s="4" t="inlineStr">
        <is>
          <t>CVSS_Primary_Score</t>
        </is>
      </c>
      <c r="H1" s="4" t="inlineStr">
        <is>
          <t>Risk_Rating</t>
        </is>
      </c>
      <c r="I1" s="4" t="inlineStr">
        <is>
          <t>KEV_Listed</t>
        </is>
      </c>
      <c r="J1" s="4" t="inlineStr">
        <is>
          <t>Active_Exploitation</t>
        </is>
      </c>
      <c r="K1" s="4" t="inlineStr">
        <is>
          <t>Assigned_Team</t>
        </is>
      </c>
      <c r="L1" s="4" t="inlineStr">
        <is>
          <t>Remediation_Status</t>
        </is>
      </c>
      <c r="M1" s="4" t="inlineStr">
        <is>
          <t>Escalation_Required</t>
        </is>
      </c>
    </row>
    <row r="2">
      <c r="A2" s="6" t="inlineStr">
        <is>
          <t>Note: This sheet should be populated via filtered view or query from Priority_Matrix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40" customWidth="1" min="4" max="4"/>
    <col width="30" customWidth="1" min="5" max="5"/>
  </cols>
  <sheetData>
    <row r="1">
      <c r="A1" s="7" t="inlineStr">
        <is>
          <t>SECTION A: ESCALATION TRIGGERS</t>
        </is>
      </c>
    </row>
    <row r="3">
      <c r="A3" s="4" t="inlineStr">
        <is>
          <t>Trigger_#</t>
        </is>
      </c>
      <c r="B3" s="4" t="inlineStr">
        <is>
          <t>Condition</t>
        </is>
      </c>
      <c r="C3" s="4" t="inlineStr">
        <is>
          <t>Escalation_Level</t>
        </is>
      </c>
      <c r="D3" s="4" t="inlineStr">
        <is>
          <t>Notification_Recipients</t>
        </is>
      </c>
      <c r="E3" s="4" t="inlineStr">
        <is>
          <t>Action_Required</t>
        </is>
      </c>
    </row>
    <row r="4">
      <c r="A4" t="n">
        <v>1</v>
      </c>
      <c r="B4" t="inlineStr">
        <is>
          <t>P0 created</t>
        </is>
      </c>
      <c r="C4" t="inlineStr">
        <is>
          <t>Immediate</t>
        </is>
      </c>
      <c r="D4" t="inlineStr">
        <is>
          <t>CISO, Security Director, VM Coordinator</t>
        </is>
      </c>
      <c r="E4" t="inlineStr">
        <is>
          <t>Emergency response</t>
        </is>
      </c>
    </row>
    <row r="5">
      <c r="A5" t="n">
        <v>2</v>
      </c>
      <c r="B5" t="inlineStr">
        <is>
          <t>P0 SLA &lt; 6 hours remaining</t>
        </is>
      </c>
      <c r="C5" t="inlineStr">
        <is>
          <t>High</t>
        </is>
      </c>
      <c r="D5" t="inlineStr">
        <is>
          <t>CISO, Security Director, Team Lead</t>
        </is>
      </c>
      <c r="E5" t="inlineStr">
        <is>
          <t>Status update required</t>
        </is>
      </c>
    </row>
    <row r="6">
      <c r="A6" t="n">
        <v>3</v>
      </c>
      <c r="B6" t="inlineStr">
        <is>
          <t>P0 SLA overdue</t>
        </is>
      </c>
      <c r="C6" t="inlineStr">
        <is>
          <t>Critical</t>
        </is>
      </c>
      <c r="D6" t="inlineStr">
        <is>
          <t>CISO, CIO, Security Director</t>
        </is>
      </c>
      <c r="E6" t="inlineStr">
        <is>
          <t>Executive briefing</t>
        </is>
      </c>
    </row>
    <row r="7">
      <c r="A7" t="n">
        <v>4</v>
      </c>
      <c r="B7" t="inlineStr">
        <is>
          <t>P1 SLA &lt; 3 days remaining</t>
        </is>
      </c>
      <c r="C7" t="inlineStr">
        <is>
          <t>Medium</t>
        </is>
      </c>
      <c r="D7" t="inlineStr">
        <is>
          <t>Security Director, VM Coordinator</t>
        </is>
      </c>
      <c r="E7" t="inlineStr">
        <is>
          <t>Remediation plan required</t>
        </is>
      </c>
    </row>
    <row r="8">
      <c r="A8" t="n">
        <v>5</v>
      </c>
      <c r="B8" t="inlineStr">
        <is>
          <t>Wormable vulnerability</t>
        </is>
      </c>
      <c r="C8" t="inlineStr">
        <is>
          <t>Immediate</t>
        </is>
      </c>
      <c r="D8" t="inlineStr">
        <is>
          <t>CISO, Security Director, IR Team</t>
        </is>
      </c>
      <c r="E8" t="inlineStr">
        <is>
          <t>Immediate assessment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60" customWidth="1" min="8" max="8"/>
    <col width="20" customWidth="1" min="9" max="9"/>
    <col width="12" customWidth="1" min="10" max="10"/>
    <col width="12" customWidth="1" min="11" max="11"/>
    <col width="14" customWidth="1" min="12" max="12"/>
    <col width="40" customWidth="1" min="13" max="13"/>
  </cols>
  <sheetData>
    <row r="1">
      <c r="A1" s="4" t="inlineStr">
        <is>
          <t>Exception_ID</t>
        </is>
      </c>
      <c r="B1" s="4" t="inlineStr">
        <is>
          <t>Vuln_ID</t>
        </is>
      </c>
      <c r="C1" s="4" t="inlineStr">
        <is>
          <t>Date_Applied</t>
        </is>
      </c>
      <c r="D1" s="4" t="inlineStr">
        <is>
          <t>Applied_By</t>
        </is>
      </c>
      <c r="E1" s="4" t="inlineStr">
        <is>
          <t>Auto_Priority</t>
        </is>
      </c>
      <c r="F1" s="4" t="inlineStr">
        <is>
          <t>Manual_Override</t>
        </is>
      </c>
      <c r="G1" s="4" t="inlineStr">
        <is>
          <t>Priority_Change</t>
        </is>
      </c>
      <c r="H1" s="4" t="inlineStr">
        <is>
          <t>Justification</t>
        </is>
      </c>
      <c r="I1" s="4" t="inlineStr">
        <is>
          <t>Approver</t>
        </is>
      </c>
      <c r="J1" s="4" t="inlineStr">
        <is>
          <t>Approval_Date</t>
        </is>
      </c>
      <c r="K1" s="4" t="inlineStr">
        <is>
          <t>Review_Date</t>
        </is>
      </c>
      <c r="L1" s="4" t="inlineStr">
        <is>
          <t>Status</t>
        </is>
      </c>
      <c r="M1" s="4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8" customWidth="1" min="8" max="8"/>
    <col width="20" customWidth="1" min="9" max="9"/>
  </cols>
  <sheetData>
    <row r="1">
      <c r="A1" s="7" t="inlineStr">
        <is>
          <t>SECTION A: MONTHLY PRIORITY DISTRIBUTION</t>
        </is>
      </c>
    </row>
    <row r="3">
      <c r="A3" s="4" t="inlineStr">
        <is>
          <t>Month</t>
        </is>
      </c>
      <c r="B3" s="4" t="inlineStr">
        <is>
          <t>Total_Vulns</t>
        </is>
      </c>
      <c r="C3" s="4" t="inlineStr">
        <is>
          <t>P0</t>
        </is>
      </c>
      <c r="D3" s="4" t="inlineStr">
        <is>
          <t>P1</t>
        </is>
      </c>
      <c r="E3" s="4" t="inlineStr">
        <is>
          <t>P2</t>
        </is>
      </c>
      <c r="F3" s="4" t="inlineStr">
        <is>
          <t>P3</t>
        </is>
      </c>
      <c r="G3" s="4" t="inlineStr">
        <is>
          <t>P4</t>
        </is>
      </c>
      <c r="H3" s="4" t="inlineStr">
        <is>
          <t>Avg_Priority_Score</t>
        </is>
      </c>
      <c r="I3" s="4" t="inlineStr">
        <is>
          <t>Median_Days_to_Close</t>
        </is>
      </c>
    </row>
    <row r="4">
      <c r="A4" t="inlineStr">
        <is>
          <t>2025-11</t>
        </is>
      </c>
      <c r="B4" t="n">
        <v>847</v>
      </c>
      <c r="C4" t="n">
        <v>3</v>
      </c>
      <c r="D4" t="n">
        <v>89</v>
      </c>
      <c r="E4" t="n">
        <v>312</v>
      </c>
      <c r="F4" t="n">
        <v>387</v>
      </c>
      <c r="G4" t="n">
        <v>56</v>
      </c>
      <c r="H4" t="n">
        <v>42.3</v>
      </c>
      <c r="I4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20" customWidth="1" min="4" max="4"/>
  </cols>
  <sheetData>
    <row r="1">
      <c r="A1" s="8" t="inlineStr">
        <is>
          <t>VULNERABILITY PRIORITIZATION DASHBOARD</t>
        </is>
      </c>
    </row>
    <row r="3">
      <c r="A3" s="7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  <c r="D5" s="4" t="inlineStr">
        <is>
          <t>Trend</t>
        </is>
      </c>
    </row>
    <row r="6">
      <c r="A6" t="inlineStr">
        <is>
          <t>Total Active Vulnerabilities</t>
        </is>
      </c>
      <c r="B6">
        <f>COUNTA(Priority_Matrix!A:A)-1</f>
        <v/>
      </c>
      <c r="C6" t="inlineStr">
        <is>
          <t>[Gauge]</t>
        </is>
      </c>
      <c r="D6" t="inlineStr">
        <is>
          <t>[Sparkline]</t>
        </is>
      </c>
    </row>
    <row r="7">
      <c r="A7" t="inlineStr">
        <is>
          <t>Emergency (P0) Count</t>
        </is>
      </c>
      <c r="B7">
        <f>COUNTIF(Priority_Matrix!AD:AD,"P0")</f>
        <v/>
      </c>
      <c r="C7" t="inlineStr">
        <is>
          <t>🔴/🟢</t>
        </is>
      </c>
      <c r="D7" t="inlineStr">
        <is>
          <t>[Sparkline]</t>
        </is>
      </c>
    </row>
    <row r="8">
      <c r="A8" t="inlineStr">
        <is>
          <t>Wormable Vulnerabilities</t>
        </is>
      </c>
      <c r="B8">
        <f>COUNTIF(Priority_Matrix!P:P,"Y")</f>
        <v/>
      </c>
      <c r="C8" t="inlineStr">
        <is>
          <t>🔴/🟢</t>
        </is>
      </c>
      <c r="D8" t="inlineStr">
        <is>
          <t>[Sparkline]</t>
        </is>
      </c>
    </row>
    <row r="9">
      <c r="A9" t="inlineStr">
        <is>
          <t>SLA Compliance (Overall)</t>
        </is>
      </c>
      <c r="B9">
        <f>AVERAGE(SLA_Definitions!G:G)</f>
        <v/>
      </c>
      <c r="C9" t="inlineStr">
        <is>
          <t>[Gauge]</t>
        </is>
      </c>
      <c r="D9" t="inlineStr">
        <is>
          <t>[Sparkline]</t>
        </is>
      </c>
    </row>
    <row r="10">
      <c r="A10" t="inlineStr">
        <is>
          <t>Overdue Vulnerabilities</t>
        </is>
      </c>
      <c r="B10">
        <f>COUNTIF(Priority_Matrix!AH:AH,"Overdue")</f>
        <v/>
      </c>
      <c r="C10" t="inlineStr">
        <is>
          <t>🔴/🟢</t>
        </is>
      </c>
      <c r="D10" t="inlineStr">
        <is>
          <t>[Sparkline]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2026-01-31T02:16:48Z</dcterms:created>
  <dcterms:modified xmlns:dcterms="http://purl.org/dc/terms/" xmlns:xsi="http://www.w3.org/2001/XMLSchema-instance" xsi:type="dcterms:W3CDTF">2026-01-31T02:16:48Z</dcterms:modified>
</cp:coreProperties>
</file>