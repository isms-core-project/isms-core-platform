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mpensating_Controls" sheetId="2" state="visible" r:id="rId2"/>
    <sheet xmlns:r="http://schemas.openxmlformats.org/officeDocument/2006/relationships" name="Control_Types" sheetId="3" state="visible" r:id="rId3"/>
    <sheet xmlns:r="http://schemas.openxmlformats.org/officeDocument/2006/relationships" name="Implementation_Log" sheetId="4" state="visible" r:id="rId4"/>
    <sheet xmlns:r="http://schemas.openxmlformats.org/officeDocument/2006/relationships" name="Effectiveness_Validation" sheetId="5" state="visible" r:id="rId5"/>
    <sheet xmlns:r="http://schemas.openxmlformats.org/officeDocument/2006/relationships" name="Review_Schedule" sheetId="6" state="visible" r:id="rId6"/>
    <sheet xmlns:r="http://schemas.openxmlformats.org/officeDocument/2006/relationships" name="Removal_Log" sheetId="7" state="visible" r:id="rId7"/>
    <sheet xmlns:r="http://schemas.openxmlformats.org/officeDocument/2006/relationships"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  <font>
      <name val="Calibri"/>
      <b val="1"/>
      <color rgb="00FFFFFF"/>
      <sz val="11"/>
    </font>
    <font>
      <b val="1"/>
      <sz val="16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ont>
        <b val="1"/>
        <color rgb="00000000"/>
      </font>
      <fill>
        <patternFill patternType="solid">
          <fgColor rgb="00FF8C00"/>
          <bgColor rgb="00FF8C00"/>
        </patternFill>
      </fill>
    </dxf>
    <dxf>
      <font>
        <b val="1"/>
        <color rgb="00FFFFFF"/>
      </font>
      <fill>
        <patternFill patternType="solid">
          <fgColor rgb="008B0000"/>
          <bgColor rgb="008B0000"/>
        </patternFill>
      </fill>
    </dxf>
    <dxf>
      <fill>
        <patternFill patternType="solid">
          <fgColor rgb="00FFFF00"/>
          <bgColor rgb="00FFFF00"/>
        </patternFill>
      </fill>
    </dxf>
    <dxf>
      <font>
        <b val="1"/>
        <color rgb="00FF0000"/>
      </font>
      <fill>
        <patternFill patternType="solid">
          <fgColor rgb="00FFB6C1"/>
          <bgColor rgb="00FFB6C1"/>
        </patternFill>
      </fill>
    </dxf>
    <dxf>
      <font>
        <b val="1"/>
        <color rgb="00FFFFFF"/>
      </font>
      <fill>
        <patternFill patternType="solid">
          <fgColor rgb="00FFA500"/>
          <bgColor rgb="00FFA500"/>
        </patternFill>
      </fill>
    </dxf>
    <dxf>
      <fill>
        <patternFill patternType="solid">
          <fgColor rgb="00FF6B6B"/>
          <bgColor rgb="00FF6B6B"/>
        </patternFill>
      </fill>
    </dxf>
    <dxf>
      <font>
        <b val="1"/>
        <color rgb="0000008B"/>
      </font>
      <fill>
        <patternFill patternType="solid">
          <fgColor rgb="00ADD8E6"/>
          <bgColor rgb="00ADD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ISMS Generator</author>
  </authors>
  <commentList>
    <comment ref="K1" authorId="0" shapeId="0">
      <text>
        <t>AUTO-CALCULATED: Uses v4.0 if available, else v3.1. Formula selects based on CVSS_Version (Column J).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5" customWidth="1" min="3" max="3"/>
  </cols>
  <sheetData>
    <row r="1">
      <c r="A1" s="1" t="inlineStr">
        <is>
          <t>Workbook ID</t>
        </is>
      </c>
      <c r="B1" t="inlineStr">
        <is>
          <t>ISMS-IMP-A.8.8.9</t>
        </is>
      </c>
    </row>
    <row r="2">
      <c r="A2" s="1" t="inlineStr">
        <is>
          <t>Title</t>
        </is>
      </c>
      <c r="B2" t="inlineStr">
        <is>
          <t>Compensating Controls Tracking</t>
        </is>
      </c>
    </row>
    <row r="3">
      <c r="A3" s="1" t="inlineStr">
        <is>
          <t>Version</t>
        </is>
      </c>
      <c r="B3" t="inlineStr">
        <is>
          <t>1.0</t>
        </is>
      </c>
    </row>
    <row r="4">
      <c r="A4" s="1" t="inlineStr">
        <is>
          <t>Generated Date</t>
        </is>
      </c>
      <c r="B4" t="inlineStr">
        <is>
          <t>31.01.2026</t>
        </is>
      </c>
    </row>
    <row r="5">
      <c r="A5" s="1" t="inlineStr">
        <is>
          <t>Last Updated</t>
        </is>
      </c>
      <c r="B5" t="inlineStr">
        <is>
          <t>[Manual entry]</t>
        </is>
      </c>
    </row>
    <row r="6">
      <c r="A6" s="1" t="inlineStr">
        <is>
          <t>Owner</t>
        </is>
      </c>
      <c r="B6" t="inlineStr">
        <is>
          <t>Vulnerability Management Coordinator</t>
        </is>
      </c>
    </row>
    <row r="7">
      <c r="A7" s="1" t="inlineStr">
        <is>
          <t>Classification</t>
        </is>
      </c>
      <c r="B7" t="inlineStr">
        <is>
          <t>Internal</t>
        </is>
      </c>
    </row>
    <row r="8">
      <c r="A8" s="1" t="inlineStr">
        <is>
          <t>Review Cycle</t>
        </is>
      </c>
      <c r="B8" t="inlineStr">
        <is>
          <t>Monthly</t>
        </is>
      </c>
    </row>
    <row r="12">
      <c r="A12" s="2" t="inlineStr">
        <is>
          <t>QUICK STATISTICS</t>
        </is>
      </c>
    </row>
    <row r="13">
      <c r="A13" s="3" t="inlineStr">
        <is>
          <t>Metric</t>
        </is>
      </c>
      <c r="B13" s="3" t="inlineStr">
        <is>
          <t>Formula/Source</t>
        </is>
      </c>
      <c r="C13" s="3" t="inlineStr">
        <is>
          <t>Target</t>
        </is>
      </c>
    </row>
    <row r="14">
      <c r="A14" t="inlineStr">
        <is>
          <t>Total Active Controls</t>
        </is>
      </c>
      <c r="B14">
        <f>COUNTA(Compensating_Controls!A:A)-1</f>
        <v/>
      </c>
      <c r="C14" t="inlineStr">
        <is>
          <t>-</t>
        </is>
      </c>
    </row>
    <row r="15">
      <c r="A15" t="inlineStr">
        <is>
          <t>P0 Controls</t>
        </is>
      </c>
      <c r="B15">
        <f>COUNTIF(Compensating_Controls!T:T,"P0")</f>
        <v/>
      </c>
      <c r="C15" t="inlineStr">
        <is>
          <t>&lt;5</t>
        </is>
      </c>
    </row>
    <row r="16">
      <c r="A16" t="inlineStr">
        <is>
          <t>P1 Controls</t>
        </is>
      </c>
      <c r="B16">
        <f>COUNTIF(Compensating_Controls!T:T,"P1")</f>
        <v/>
      </c>
      <c r="C16" t="inlineStr">
        <is>
          <t>&lt;20</t>
        </is>
      </c>
    </row>
    <row r="17">
      <c r="A17" t="inlineStr">
        <is>
          <t>Controls &gt;6 Months</t>
        </is>
      </c>
      <c r="B17">
        <f>COUNTIF(Compensating_Controls!Z:Z,"&gt;180")</f>
        <v/>
      </c>
      <c r="C17" t="inlineStr">
        <is>
          <t>&lt;10</t>
        </is>
      </c>
    </row>
    <row r="18">
      <c r="A18" t="inlineStr">
        <is>
          <t>Controls Pending Validation</t>
        </is>
      </c>
      <c r="B18">
        <f>COUNTIF(Compensating_Controls!AE:AE,"Pending")</f>
        <v/>
      </c>
      <c r="C18" t="inlineStr">
        <is>
          <t>&lt;5</t>
        </is>
      </c>
    </row>
    <row r="19">
      <c r="A19" t="inlineStr">
        <is>
          <t>Overdue Reviews</t>
        </is>
      </c>
      <c r="B19">
        <f>COUNTIF(Compensating_Controls!AL:AL,"Overdue")</f>
        <v/>
      </c>
      <c r="C19" t="inlineStr">
        <is>
          <t>0</t>
        </is>
      </c>
    </row>
    <row r="20">
      <c r="A20" t="inlineStr">
        <is>
          <t>Average Risk Reduction</t>
        </is>
      </c>
      <c r="B20">
        <f>IFERROR(AVERAGE(Compensating_Controls!AC:AC),0)</f>
        <v/>
      </c>
      <c r="C20" t="inlineStr">
        <is>
          <t>&gt;60%</t>
        </is>
      </c>
    </row>
    <row r="21">
      <c r="A21" t="inlineStr">
        <is>
          <t>Controls Removed This Month</t>
        </is>
      </c>
      <c r="B21">
        <f>COUNTIFS(Removal_Log!C:C,"&gt;="&amp;EOMONTH(TODAY(),-1)+1)</f>
        <v/>
      </c>
      <c r="C21" t="inlineStr">
        <is>
          <t>-</t>
        </is>
      </c>
    </row>
    <row r="22">
      <c r="A22" t="inlineStr">
        <is>
          <t>Avg Control Lifespan</t>
        </is>
      </c>
      <c r="B22">
        <f>IFERROR(AVERAGE(Removal_Log!E:E),0)</f>
        <v/>
      </c>
      <c r="C22" t="inlineStr">
        <is>
          <t>&lt;90 days</t>
        </is>
      </c>
    </row>
    <row r="23">
      <c r="A23" t="inlineStr">
        <is>
          <t>Effectiveness Score</t>
        </is>
      </c>
      <c r="B23">
        <f>IFERROR(AVERAGE(Effectiveness_Validation!J:J),0)</f>
        <v/>
      </c>
      <c r="C23" t="inlineStr">
        <is>
          <t>&gt;75%</t>
        </is>
      </c>
    </row>
    <row r="27">
      <c r="A27" s="2" t="inlineStr">
        <is>
          <t>NAVIGATION LINKS</t>
        </is>
      </c>
    </row>
    <row r="28">
      <c r="A28" s="1" t="inlineStr">
        <is>
          <t>Compensating_Controls</t>
        </is>
      </c>
      <c r="B28" t="inlineStr">
        <is>
          <t>Master compensating controls tracking</t>
        </is>
      </c>
    </row>
    <row r="29">
      <c r="A29" s="1" t="inlineStr">
        <is>
          <t>Control_Types</t>
        </is>
      </c>
      <c r="B29" t="inlineStr">
        <is>
          <t>Control catalog and effectiveness ratings</t>
        </is>
      </c>
    </row>
    <row r="30">
      <c r="A30" s="1" t="inlineStr">
        <is>
          <t>Implementation_Log</t>
        </is>
      </c>
      <c r="B30" t="inlineStr">
        <is>
          <t>Control deployment records</t>
        </is>
      </c>
    </row>
    <row r="31">
      <c r="A31" s="1" t="inlineStr">
        <is>
          <t>Effectiveness_Validation</t>
        </is>
      </c>
      <c r="B31" t="inlineStr">
        <is>
          <t>Periodic testing and verification</t>
        </is>
      </c>
    </row>
    <row r="32">
      <c r="A32" s="1" t="inlineStr">
        <is>
          <t>Review_Schedule</t>
        </is>
      </c>
      <c r="B32" t="inlineStr">
        <is>
          <t>Monthly review and renewal tracking</t>
        </is>
      </c>
    </row>
    <row r="33">
      <c r="A33" s="1" t="inlineStr">
        <is>
          <t>Removal_Log</t>
        </is>
      </c>
      <c r="B33" t="inlineStr">
        <is>
          <t>Control sunset when permanent fix deployed</t>
        </is>
      </c>
    </row>
    <row r="34">
      <c r="A34" s="1" t="inlineStr">
        <is>
          <t>Dashboard</t>
        </is>
      </c>
      <c r="B34" t="inlineStr">
        <is>
          <t>Executive summary and visual KPIs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40" customWidth="1" min="4" max="4"/>
    <col width="30" customWidth="1" min="5" max="5"/>
    <col width="16" customWidth="1" min="6" max="6"/>
    <col width="14" customWidth="1" min="7" max="7"/>
    <col width="20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85" customWidth="1" min="14" max="14"/>
    <col width="85" customWidth="1" min="15" max="15"/>
    <col width="14" customWidth="1" min="16" max="16"/>
    <col width="14" customWidth="1" min="17" max="17"/>
    <col width="16" customWidth="1" min="18" max="18"/>
    <col width="14" customWidth="1" min="19" max="19"/>
    <col width="14" customWidth="1" min="20" max="20"/>
    <col width="18" customWidth="1" min="21" max="21"/>
    <col width="60" customWidth="1" min="22" max="22"/>
    <col width="20" customWidth="1" min="23" max="23"/>
    <col width="60" customWidth="1" min="24" max="24"/>
    <col width="12" customWidth="1" min="25" max="25"/>
    <col width="12" customWidth="1" min="26" max="26"/>
    <col width="16" customWidth="1" min="27" max="27"/>
    <col width="16" customWidth="1" min="28" max="28"/>
    <col width="14" customWidth="1" min="29" max="29"/>
    <col width="20" customWidth="1" min="30" max="30"/>
    <col width="16" customWidth="1" min="31" max="31"/>
    <col width="12" customWidth="1" min="32" max="32"/>
    <col width="12" customWidth="1" min="33" max="33"/>
    <col width="16" customWidth="1" min="34" max="34"/>
    <col width="14" customWidth="1" min="35" max="35"/>
    <col width="12" customWidth="1" min="36" max="36"/>
    <col width="12" customWidth="1" min="37" max="37"/>
    <col width="14" customWidth="1" min="38" max="38"/>
    <col width="20" customWidth="1" min="39" max="39"/>
    <col width="12" customWidth="1" min="40" max="40"/>
    <col width="18" customWidth="1" min="41" max="41"/>
    <col width="12" customWidth="1" min="42" max="42"/>
    <col width="12" customWidth="1" min="43" max="43"/>
    <col width="14" customWidth="1" min="44" max="44"/>
    <col width="16" customWidth="1" min="45" max="45"/>
    <col width="50" customWidth="1" min="46" max="46"/>
  </cols>
  <sheetData>
    <row r="1">
      <c r="A1" s="4" t="inlineStr">
        <is>
          <t>Control_ID</t>
        </is>
      </c>
      <c r="B1" s="4" t="inlineStr">
        <is>
          <t>Vuln_ID</t>
        </is>
      </c>
      <c r="C1" s="4" t="inlineStr">
        <is>
          <t>CVE_ID</t>
        </is>
      </c>
      <c r="D1" s="4" t="inlineStr">
        <is>
          <t>Vulnerability_Title</t>
        </is>
      </c>
      <c r="E1" s="4" t="inlineStr">
        <is>
          <t>Affected_System</t>
        </is>
      </c>
      <c r="F1" s="4" t="inlineStr">
        <is>
          <t>System_Type</t>
        </is>
      </c>
      <c r="G1" s="4" t="inlineStr">
        <is>
          <t>Environment</t>
        </is>
      </c>
      <c r="H1" s="4" t="inlineStr">
        <is>
          <t>Asset_Owner</t>
        </is>
      </c>
      <c r="I1" s="4" t="inlineStr">
        <is>
          <t>Discovery_Date</t>
        </is>
      </c>
      <c r="J1" s="4" t="inlineStr">
        <is>
          <t>CVSS_Version</t>
        </is>
      </c>
      <c r="K1" s="4" t="inlineStr">
        <is>
          <t>CVSS_Primary_Score</t>
        </is>
      </c>
      <c r="L1" s="4" t="inlineStr">
        <is>
          <t>CVSS_v40_Score</t>
        </is>
      </c>
      <c r="M1" s="4" t="inlineStr">
        <is>
          <t>CVSS_v31_Score</t>
        </is>
      </c>
      <c r="N1" s="4" t="inlineStr">
        <is>
          <t>CVSS_v40_Vector</t>
        </is>
      </c>
      <c r="O1" s="4" t="inlineStr">
        <is>
          <t>CVSS_v31_Vector</t>
        </is>
      </c>
      <c r="P1" s="4" t="inlineStr">
        <is>
          <t>Supplemental_AU</t>
        </is>
      </c>
      <c r="Q1" s="4" t="inlineStr">
        <is>
          <t>Supplemental_S</t>
        </is>
      </c>
      <c r="R1" s="4" t="inlineStr">
        <is>
          <t>Version_Source</t>
        </is>
      </c>
      <c r="S1" s="4" t="inlineStr">
        <is>
          <t>Score_Date</t>
        </is>
      </c>
      <c r="T1" s="4" t="inlineStr">
        <is>
          <t>Final_Priority</t>
        </is>
      </c>
      <c r="U1" s="4" t="inlineStr">
        <is>
          <t>Remediation_Status</t>
        </is>
      </c>
      <c r="V1" s="4" t="inlineStr">
        <is>
          <t>Delay_Justification</t>
        </is>
      </c>
      <c r="W1" s="4" t="inlineStr">
        <is>
          <t>Control_Type</t>
        </is>
      </c>
      <c r="X1" s="4" t="inlineStr">
        <is>
          <t>Control_Description</t>
        </is>
      </c>
      <c r="Y1" s="4" t="inlineStr">
        <is>
          <t>Implementation_Date</t>
        </is>
      </c>
      <c r="Z1" s="4" t="inlineStr">
        <is>
          <t>Days_Active</t>
        </is>
      </c>
      <c r="AA1" s="4" t="inlineStr">
        <is>
          <t>Risk_Before</t>
        </is>
      </c>
      <c r="AB1" s="4" t="inlineStr">
        <is>
          <t>Risk_After</t>
        </is>
      </c>
      <c r="AC1" s="4" t="inlineStr">
        <is>
          <t>Risk_Reduction_%</t>
        </is>
      </c>
      <c r="AD1" s="4" t="inlineStr">
        <is>
          <t>Implemented_By</t>
        </is>
      </c>
      <c r="AE1" s="4" t="inlineStr">
        <is>
          <t>Validation_Status</t>
        </is>
      </c>
      <c r="AF1" s="4" t="inlineStr">
        <is>
          <t>Last_Validation_Date</t>
        </is>
      </c>
      <c r="AG1" s="4" t="inlineStr">
        <is>
          <t>Next_Validation_Due</t>
        </is>
      </c>
      <c r="AH1" s="4" t="inlineStr">
        <is>
          <t>Validation_Frequency</t>
        </is>
      </c>
      <c r="AI1" s="4" t="inlineStr">
        <is>
          <t>Review_Cycle</t>
        </is>
      </c>
      <c r="AJ1" s="4" t="inlineStr">
        <is>
          <t>Last_Review_Date</t>
        </is>
      </c>
      <c r="AK1" s="4" t="inlineStr">
        <is>
          <t>Next_Review_Due</t>
        </is>
      </c>
      <c r="AL1" s="4" t="inlineStr">
        <is>
          <t>Review_Status</t>
        </is>
      </c>
      <c r="AM1" s="4" t="inlineStr">
        <is>
          <t>Approved_By</t>
        </is>
      </c>
      <c r="AN1" s="4" t="inlineStr">
        <is>
          <t>Approval_Date</t>
        </is>
      </c>
      <c r="AO1" s="4" t="inlineStr">
        <is>
          <t>Permanent_Fix_Status</t>
        </is>
      </c>
      <c r="AP1" s="4" t="inlineStr">
        <is>
          <t>Target_Removal_Date</t>
        </is>
      </c>
      <c r="AQ1" s="4" t="inlineStr">
        <is>
          <t>Actual_Removal_Date</t>
        </is>
      </c>
      <c r="AR1" s="4" t="inlineStr">
        <is>
          <t>Removal_Verified</t>
        </is>
      </c>
      <c r="AS1" s="4" t="inlineStr">
        <is>
          <t>Status</t>
        </is>
      </c>
      <c r="AT1" s="4" t="inlineStr">
        <is>
          <t>Notes</t>
        </is>
      </c>
    </row>
    <row r="2">
      <c r="A2" t="inlineStr">
        <is>
          <t>CC-2026-001</t>
        </is>
      </c>
      <c r="B2" t="inlineStr">
        <is>
          <t>VULN-2026-001</t>
        </is>
      </c>
      <c r="C2" t="inlineStr">
        <is>
          <t>CVE-2025-ZERODAY</t>
        </is>
      </c>
      <c r="D2" t="inlineStr">
        <is>
          <t>Zero-Day RCE in Web Server</t>
        </is>
      </c>
      <c r="E2" t="inlineStr">
        <is>
          <t>web-prod-01.example.com</t>
        </is>
      </c>
      <c r="F2" t="inlineStr">
        <is>
          <t>Server</t>
        </is>
      </c>
      <c r="G2" t="inlineStr">
        <is>
          <t>Production</t>
        </is>
      </c>
      <c r="H2" t="inlineStr">
        <is>
          <t>Infrastructure Team</t>
        </is>
      </c>
      <c r="I2" s="5" t="n">
        <v>46027</v>
      </c>
      <c r="J2" t="inlineStr">
        <is>
          <t>v4.0</t>
        </is>
      </c>
      <c r="K2">
        <f>IF(J2="v4.0",L2,IF(J2="v3.1",M2,IF(J2="Both",L2,IF(AND(L2&lt;&gt;"",M2=""),L2,M2))))</f>
        <v/>
      </c>
      <c r="L2" t="n">
        <v>9.800000000000001</v>
      </c>
      <c r="N2" t="inlineStr">
        <is>
          <t>CVSS:4.0/AV:N/AC:L/AT:N/PR:N/UI:N/VC:H/VI:H/VA:H/SC:N/SI:N/SA:N</t>
        </is>
      </c>
      <c r="P2" t="inlineStr">
        <is>
          <t>Y</t>
        </is>
      </c>
      <c r="Q2" t="inlineStr">
        <is>
          <t>N</t>
        </is>
      </c>
      <c r="R2" t="inlineStr">
        <is>
          <t>NVD</t>
        </is>
      </c>
      <c r="S2" s="5" t="n">
        <v>46027</v>
      </c>
      <c r="T2" t="inlineStr">
        <is>
          <t>P0</t>
        </is>
      </c>
      <c r="U2" t="inlineStr">
        <is>
          <t>Zero-Day</t>
        </is>
      </c>
      <c r="V2" t="inlineStr">
        <is>
          <t>No vendor patch available, exploit in the wild</t>
        </is>
      </c>
      <c r="W2" t="inlineStr">
        <is>
          <t>Firewall Rule</t>
        </is>
      </c>
      <c r="X2" t="inlineStr">
        <is>
          <t>Block external access to vulnerable endpoint, allow only internal IPs</t>
        </is>
      </c>
      <c r="Y2" s="5" t="n">
        <v>46027</v>
      </c>
      <c r="Z2">
        <f>IF(Y2&lt;&gt;"",TODAY()-Y2,"")</f>
        <v/>
      </c>
      <c r="AA2" t="inlineStr">
        <is>
          <t>Critical</t>
        </is>
      </c>
      <c r="AB2" t="inlineStr">
        <is>
          <t>Medium</t>
        </is>
      </c>
      <c r="AC2">
        <f>IF(AND(AA2&lt;&gt;"",AB2&lt;&gt;""),CHOOSE(MATCH(AA2,{"Low","Medium","High","Critical"},0),25,50,75,100)-CHOOSE(MATCH(AB2,{"Low","Medium","High","Critical"},0),25,50,75,100),"")</f>
        <v/>
      </c>
      <c r="AD2" t="inlineStr">
        <is>
          <t>Network Engineer</t>
        </is>
      </c>
      <c r="AE2" t="inlineStr">
        <is>
          <t>Validated</t>
        </is>
      </c>
      <c r="AF2" s="5" t="n">
        <v>46032</v>
      </c>
      <c r="AG2">
        <f>IF(AF2&lt;&gt;"",IF(AH2="Weekly",AF2+7,IF(AH2="Monthly",EDATE(AF2,1),IF(AH2="Quarterly",EDATE(AF2,3),""))),"")</f>
        <v/>
      </c>
      <c r="AH2" t="inlineStr">
        <is>
          <t>Weekly</t>
        </is>
      </c>
      <c r="AI2" t="inlineStr">
        <is>
          <t>Weekly</t>
        </is>
      </c>
      <c r="AJ2" s="5" t="n">
        <v>46033</v>
      </c>
      <c r="AK2">
        <f>IF(AJ2&lt;&gt;"",IF(AI2="Monthly",EDATE(AJ2,1),IF(AI2="Quarterly",EDATE(AJ2,3),IF(AI2="Semi-Annual",EDATE(AJ2,6),""))),"")</f>
        <v/>
      </c>
      <c r="AL2">
        <f>IF(AK2&lt;&gt;"",IF(AK2&lt;TODAY(),"Overdue","Current"),"")</f>
        <v/>
      </c>
      <c r="AM2" t="inlineStr">
        <is>
          <t>CISO</t>
        </is>
      </c>
      <c r="AN2" s="5" t="n">
        <v>46027</v>
      </c>
      <c r="AO2" t="inlineStr">
        <is>
          <t>Under Development</t>
        </is>
      </c>
      <c r="AS2" t="inlineStr">
        <is>
          <t>Active</t>
        </is>
      </c>
    </row>
    <row r="3">
      <c r="A3" t="inlineStr">
        <is>
          <t>CC-2026-002</t>
        </is>
      </c>
      <c r="B3" t="inlineStr">
        <is>
          <t>VULN-2026-010</t>
        </is>
      </c>
      <c r="D3" t="inlineStr">
        <is>
          <t>SQL Injection in Legacy Application</t>
        </is>
      </c>
      <c r="E3" t="inlineStr">
        <is>
          <t>legacy-app.prod.local</t>
        </is>
      </c>
      <c r="F3" t="inlineStr">
        <is>
          <t>Application</t>
        </is>
      </c>
      <c r="G3" t="inlineStr">
        <is>
          <t>Production</t>
        </is>
      </c>
      <c r="I3" s="5" t="n">
        <v>45986</v>
      </c>
      <c r="J3" t="inlineStr">
        <is>
          <t>v4.0</t>
        </is>
      </c>
      <c r="K3">
        <f>IF(J3="v4.0",L3,IF(J3="v3.1",M3,IF(J3="Both",L3,IF(AND(L3&lt;&gt;"",M3=""),L3,M3))))</f>
        <v/>
      </c>
      <c r="L3" t="n">
        <v>8.1</v>
      </c>
      <c r="P3" t="inlineStr">
        <is>
          <t>N</t>
        </is>
      </c>
      <c r="Q3" t="inlineStr">
        <is>
          <t>N</t>
        </is>
      </c>
      <c r="R3" t="inlineStr">
        <is>
          <t>Vendor</t>
        </is>
      </c>
      <c r="S3" s="5" t="n">
        <v>45986</v>
      </c>
      <c r="T3" t="inlineStr">
        <is>
          <t>P1</t>
        </is>
      </c>
      <c r="U3" t="inlineStr">
        <is>
          <t>End of Life</t>
        </is>
      </c>
      <c r="V3" t="inlineStr">
        <is>
          <t>Application scheduled for replacement in Q2 2026</t>
        </is>
      </c>
      <c r="W3" t="inlineStr">
        <is>
          <t>WAF Rule</t>
        </is>
      </c>
      <c r="X3" t="inlineStr">
        <is>
          <t>ModSecurity rule blocking SQL injection patterns</t>
        </is>
      </c>
      <c r="Y3" s="5" t="n">
        <v>45987</v>
      </c>
      <c r="Z3">
        <f>IF(Y3&lt;&gt;"",TODAY()-Y3,"")</f>
        <v/>
      </c>
      <c r="AA3" t="inlineStr">
        <is>
          <t>High</t>
        </is>
      </c>
      <c r="AB3" t="inlineStr">
        <is>
          <t>Low</t>
        </is>
      </c>
      <c r="AC3">
        <f>IF(AND(AA3&lt;&gt;"",AB3&lt;&gt;""),CHOOSE(MATCH(AA3,{"Low","Medium","High","Critical"},0),25,50,75,100)-CHOOSE(MATCH(AB3,{"Low","Medium","High","Critical"},0),25,50,75,100),"")</f>
        <v/>
      </c>
      <c r="AD3" t="inlineStr">
        <is>
          <t>Security Engineer</t>
        </is>
      </c>
      <c r="AE3" t="inlineStr">
        <is>
          <t>Validated</t>
        </is>
      </c>
      <c r="AF3" s="5" t="n">
        <v>46017</v>
      </c>
      <c r="AG3">
        <f>IF(AF3&lt;&gt;"",IF(AH3="Weekly",AF3+7,IF(AH3="Monthly",EDATE(AF3,1),IF(AH3="Quarterly",EDATE(AF3,3),""))),"")</f>
        <v/>
      </c>
      <c r="AH3" t="inlineStr">
        <is>
          <t>Monthly</t>
        </is>
      </c>
      <c r="AI3" t="inlineStr">
        <is>
          <t>Monthly</t>
        </is>
      </c>
      <c r="AJ3" s="5" t="n">
        <v>46006</v>
      </c>
      <c r="AK3">
        <f>IF(AJ3&lt;&gt;"",IF(AI3="Monthly",EDATE(AJ3,1),IF(AI3="Quarterly",EDATE(AJ3,3),IF(AI3="Semi-Annual",EDATE(AJ3,6),""))),"")</f>
        <v/>
      </c>
      <c r="AL3">
        <f>IF(AK3&lt;&gt;"",IF(AK3&lt;TODAY(),"Overdue","Current"),"")</f>
        <v/>
      </c>
      <c r="AS3" t="inlineStr">
        <is>
          <t>Active</t>
        </is>
      </c>
    </row>
    <row r="4">
      <c r="A4" t="inlineStr">
        <is>
          <t>CC-2025-089</t>
        </is>
      </c>
      <c r="B4" t="inlineStr">
        <is>
          <t>VULN-2025-567</t>
        </is>
      </c>
      <c r="D4" t="inlineStr">
        <is>
          <t>Database Vulnerability</t>
        </is>
      </c>
      <c r="G4" t="inlineStr">
        <is>
          <t>Production</t>
        </is>
      </c>
      <c r="J4" t="inlineStr">
        <is>
          <t>v4.0</t>
        </is>
      </c>
      <c r="K4">
        <f>IF(J4="v4.0",L4,IF(J4="v3.1",M4,IF(J4="Both",L4,IF(AND(L4&lt;&gt;"",M4=""),L4,M4))))</f>
        <v/>
      </c>
      <c r="L4" t="n">
        <v>7.2</v>
      </c>
      <c r="P4" t="inlineStr">
        <is>
          <t>N</t>
        </is>
      </c>
      <c r="Q4" t="inlineStr">
        <is>
          <t>N</t>
        </is>
      </c>
      <c r="T4" t="inlineStr">
        <is>
          <t>P2</t>
        </is>
      </c>
      <c r="U4" t="inlineStr">
        <is>
          <t>Compatibility Issue</t>
        </is>
      </c>
      <c r="V4" t="inlineStr">
        <is>
          <t>Patch causes database performance degradation, vendor investigating</t>
        </is>
      </c>
      <c r="W4" t="inlineStr">
        <is>
          <t>Network Segmentation</t>
        </is>
      </c>
      <c r="X4" t="inlineStr">
        <is>
          <t>Isolated vulnerable DB server in dedicated VLAN, firewall between app tier</t>
        </is>
      </c>
      <c r="Y4" s="5" t="n">
        <v>45823</v>
      </c>
      <c r="Z4">
        <f>IF(Y4&lt;&gt;"",TODAY()-Y4,"")</f>
        <v/>
      </c>
      <c r="AA4" t="inlineStr">
        <is>
          <t>High</t>
        </is>
      </c>
      <c r="AB4" t="inlineStr">
        <is>
          <t>Medium</t>
        </is>
      </c>
      <c r="AC4">
        <f>IF(AND(AA4&lt;&gt;"",AB4&lt;&gt;""),CHOOSE(MATCH(AA4,{"Low","Medium","High","Critical"},0),25,50,75,100)-CHOOSE(MATCH(AB4,{"Low","Medium","High","Critical"},0),25,50,75,100),"")</f>
        <v/>
      </c>
      <c r="AE4" t="inlineStr">
        <is>
          <t>Validated</t>
        </is>
      </c>
      <c r="AG4">
        <f>IF(AF4&lt;&gt;"",IF(AH4="Weekly",AF4+7,IF(AH4="Monthly",EDATE(AF4,1),IF(AH4="Quarterly",EDATE(AF4,3),""))),"")</f>
        <v/>
      </c>
      <c r="AH4" t="inlineStr">
        <is>
          <t>Monthly</t>
        </is>
      </c>
      <c r="AI4" t="inlineStr">
        <is>
          <t>Monthly</t>
        </is>
      </c>
      <c r="AJ4" s="5" t="n">
        <v>45976</v>
      </c>
      <c r="AK4">
        <f>IF(AJ4&lt;&gt;"",IF(AI4="Monthly",EDATE(AJ4,1),IF(AI4="Quarterly",EDATE(AJ4,3),IF(AI4="Semi-Annual",EDATE(AJ4,6),""))),"")</f>
        <v/>
      </c>
      <c r="AL4">
        <f>IF(AK4&lt;&gt;"",IF(AK4&lt;TODAY(),"Overdue","Current"),"")</f>
        <v/>
      </c>
      <c r="AS4" t="inlineStr">
        <is>
          <t>Active</t>
        </is>
      </c>
    </row>
    <row r="5">
      <c r="A5" t="inlineStr">
        <is>
          <t>CC-2026-003</t>
        </is>
      </c>
      <c r="B5" t="inlineStr">
        <is>
          <t>VULN-2026-012</t>
        </is>
      </c>
      <c r="D5" t="inlineStr">
        <is>
          <t>Application Information Disclosure</t>
        </is>
      </c>
      <c r="G5" t="inlineStr">
        <is>
          <t>Staging</t>
        </is>
      </c>
      <c r="J5" t="inlineStr">
        <is>
          <t>v3.1</t>
        </is>
      </c>
      <c r="K5">
        <f>IF(J5="v4.0",L5,IF(J5="v3.1",M5,IF(J5="Both",L5,IF(AND(L5&lt;&gt;"",M5=""),L5,M5))))</f>
        <v/>
      </c>
      <c r="M5" t="n">
        <v>5.4</v>
      </c>
      <c r="O5" t="inlineStr">
        <is>
          <t>CVSS:3.1/AV:N/AC:L/PR:L/UI:R/S:C/C:L/I:N/A:N</t>
        </is>
      </c>
      <c r="P5" t="inlineStr">
        <is>
          <t>N/A</t>
        </is>
      </c>
      <c r="Q5" t="inlineStr">
        <is>
          <t>N/A</t>
        </is>
      </c>
      <c r="T5" t="inlineStr">
        <is>
          <t>P3</t>
        </is>
      </c>
      <c r="U5" t="inlineStr">
        <is>
          <t>Patch Delayed</t>
        </is>
      </c>
      <c r="W5" t="inlineStr">
        <is>
          <t>Enhanced Monitoring</t>
        </is>
      </c>
      <c r="X5" t="inlineStr">
        <is>
          <t>SIEM alert for suspicious activity patterns</t>
        </is>
      </c>
      <c r="Y5" s="5" t="n">
        <v>46018</v>
      </c>
      <c r="Z5">
        <f>IF(Y5&lt;&gt;"",TODAY()-Y5,"")</f>
        <v/>
      </c>
      <c r="AA5" t="inlineStr">
        <is>
          <t>Medium</t>
        </is>
      </c>
      <c r="AB5" t="inlineStr">
        <is>
          <t>Low</t>
        </is>
      </c>
      <c r="AC5">
        <f>IF(AND(AA5&lt;&gt;"",AB5&lt;&gt;""),CHOOSE(MATCH(AA5,{"Low","Medium","High","Critical"},0),25,50,75,100)-CHOOSE(MATCH(AB5,{"Low","Medium","High","Critical"},0),25,50,75,100),"")</f>
        <v/>
      </c>
      <c r="AE5" t="inlineStr">
        <is>
          <t>Validated</t>
        </is>
      </c>
      <c r="AG5">
        <f>IF(AF5&lt;&gt;"",IF(AH5="Weekly",AF5+7,IF(AH5="Monthly",EDATE(AF5,1),IF(AH5="Quarterly",EDATE(AF5,3),""))),"")</f>
        <v/>
      </c>
      <c r="AH5" t="inlineStr">
        <is>
          <t>Monthly</t>
        </is>
      </c>
      <c r="AK5">
        <f>IF(AJ5&lt;&gt;"",IF(AI5="Monthly",EDATE(AJ5,1),IF(AI5="Quarterly",EDATE(AJ5,3),IF(AI5="Semi-Annual",EDATE(AJ5,6),""))),"")</f>
        <v/>
      </c>
      <c r="AL5">
        <f>IF(AK5&lt;&gt;"",IF(AK5&lt;TODAY(),"Overdue","Current"),"")</f>
        <v/>
      </c>
      <c r="AO5" t="inlineStr">
        <is>
          <t>Scheduled</t>
        </is>
      </c>
      <c r="AP5" s="5" t="n">
        <v>46042</v>
      </c>
      <c r="AS5" t="inlineStr">
        <is>
          <t>Pending Removal</t>
        </is>
      </c>
    </row>
    <row r="6">
      <c r="K6">
        <f>IF(J6="v4.0",L6,IF(J6="v3.1",M6,IF(J6="Both",L6,IF(AND(L6&lt;&gt;"",M6=""),L6,M6))))</f>
        <v/>
      </c>
      <c r="Z6">
        <f>IF(Y6&lt;&gt;"",TODAY()-Y6,"")</f>
        <v/>
      </c>
      <c r="AC6">
        <f>IF(AND(AA6&lt;&gt;"",AB6&lt;&gt;""),CHOOSE(MATCH(AA6,{"Low","Medium","High","Critical"},0),25,50,75,100)-CHOOSE(MATCH(AB6,{"Low","Medium","High","Critical"},0),25,50,75,100),"")</f>
        <v/>
      </c>
      <c r="AG6">
        <f>IF(AF6&lt;&gt;"",IF(AH6="Weekly",AF6+7,IF(AH6="Monthly",EDATE(AF6,1),IF(AH6="Quarterly",EDATE(AF6,3),""))),"")</f>
        <v/>
      </c>
      <c r="AK6">
        <f>IF(AJ6&lt;&gt;"",IF(AI6="Monthly",EDATE(AJ6,1),IF(AI6="Quarterly",EDATE(AJ6,3),IF(AI6="Semi-Annual",EDATE(AJ6,6),""))),"")</f>
        <v/>
      </c>
      <c r="AL6">
        <f>IF(AK6&lt;&gt;"",IF(AK6&lt;TODAY(),"Overdue","Current"),"")</f>
        <v/>
      </c>
    </row>
    <row r="7">
      <c r="K7">
        <f>IF(J7="v4.0",L7,IF(J7="v3.1",M7,IF(J7="Both",L7,IF(AND(L7&lt;&gt;"",M7=""),L7,M7))))</f>
        <v/>
      </c>
      <c r="Z7">
        <f>IF(Y7&lt;&gt;"",TODAY()-Y7,"")</f>
        <v/>
      </c>
      <c r="AC7">
        <f>IF(AND(AA7&lt;&gt;"",AB7&lt;&gt;""),CHOOSE(MATCH(AA7,{"Low","Medium","High","Critical"},0),25,50,75,100)-CHOOSE(MATCH(AB7,{"Low","Medium","High","Critical"},0),25,50,75,100),"")</f>
        <v/>
      </c>
      <c r="AG7">
        <f>IF(AF7&lt;&gt;"",IF(AH7="Weekly",AF7+7,IF(AH7="Monthly",EDATE(AF7,1),IF(AH7="Quarterly",EDATE(AF7,3),""))),"")</f>
        <v/>
      </c>
      <c r="AK7">
        <f>IF(AJ7&lt;&gt;"",IF(AI7="Monthly",EDATE(AJ7,1),IF(AI7="Quarterly",EDATE(AJ7,3),IF(AI7="Semi-Annual",EDATE(AJ7,6),""))),"")</f>
        <v/>
      </c>
      <c r="AL7">
        <f>IF(AK7&lt;&gt;"",IF(AK7&lt;TODAY(),"Overdue","Current"),"")</f>
        <v/>
      </c>
    </row>
    <row r="8">
      <c r="K8">
        <f>IF(J8="v4.0",L8,IF(J8="v3.1",M8,IF(J8="Both",L8,IF(AND(L8&lt;&gt;"",M8=""),L8,M8))))</f>
        <v/>
      </c>
      <c r="Z8">
        <f>IF(Y8&lt;&gt;"",TODAY()-Y8,"")</f>
        <v/>
      </c>
      <c r="AC8">
        <f>IF(AND(AA8&lt;&gt;"",AB8&lt;&gt;""),CHOOSE(MATCH(AA8,{"Low","Medium","High","Critical"},0),25,50,75,100)-CHOOSE(MATCH(AB8,{"Low","Medium","High","Critical"},0),25,50,75,100),"")</f>
        <v/>
      </c>
      <c r="AG8">
        <f>IF(AF8&lt;&gt;"",IF(AH8="Weekly",AF8+7,IF(AH8="Monthly",EDATE(AF8,1),IF(AH8="Quarterly",EDATE(AF8,3),""))),"")</f>
        <v/>
      </c>
      <c r="AK8">
        <f>IF(AJ8&lt;&gt;"",IF(AI8="Monthly",EDATE(AJ8,1),IF(AI8="Quarterly",EDATE(AJ8,3),IF(AI8="Semi-Annual",EDATE(AJ8,6),""))),"")</f>
        <v/>
      </c>
      <c r="AL8">
        <f>IF(AK8&lt;&gt;"",IF(AK8&lt;TODAY(),"Overdue","Current"),"")</f>
        <v/>
      </c>
    </row>
    <row r="9">
      <c r="K9">
        <f>IF(J9="v4.0",L9,IF(J9="v3.1",M9,IF(J9="Both",L9,IF(AND(L9&lt;&gt;"",M9=""),L9,M9))))</f>
        <v/>
      </c>
      <c r="Z9">
        <f>IF(Y9&lt;&gt;"",TODAY()-Y9,"")</f>
        <v/>
      </c>
      <c r="AC9">
        <f>IF(AND(AA9&lt;&gt;"",AB9&lt;&gt;""),CHOOSE(MATCH(AA9,{"Low","Medium","High","Critical"},0),25,50,75,100)-CHOOSE(MATCH(AB9,{"Low","Medium","High","Critical"},0),25,50,75,100),"")</f>
        <v/>
      </c>
      <c r="AG9">
        <f>IF(AF9&lt;&gt;"",IF(AH9="Weekly",AF9+7,IF(AH9="Monthly",EDATE(AF9,1),IF(AH9="Quarterly",EDATE(AF9,3),""))),"")</f>
        <v/>
      </c>
      <c r="AK9">
        <f>IF(AJ9&lt;&gt;"",IF(AI9="Monthly",EDATE(AJ9,1),IF(AI9="Quarterly",EDATE(AJ9,3),IF(AI9="Semi-Annual",EDATE(AJ9,6),""))),"")</f>
        <v/>
      </c>
      <c r="AL9">
        <f>IF(AK9&lt;&gt;"",IF(AK9&lt;TODAY(),"Overdue","Current"),"")</f>
        <v/>
      </c>
    </row>
    <row r="10">
      <c r="K10">
        <f>IF(J10="v4.0",L10,IF(J10="v3.1",M10,IF(J10="Both",L10,IF(AND(L10&lt;&gt;"",M10=""),L10,M10))))</f>
        <v/>
      </c>
      <c r="Z10">
        <f>IF(Y10&lt;&gt;"",TODAY()-Y10,"")</f>
        <v/>
      </c>
      <c r="AC10">
        <f>IF(AND(AA10&lt;&gt;"",AB10&lt;&gt;""),CHOOSE(MATCH(AA10,{"Low","Medium","High","Critical"},0),25,50,75,100)-CHOOSE(MATCH(AB10,{"Low","Medium","High","Critical"},0),25,50,75,100),"")</f>
        <v/>
      </c>
      <c r="AG10">
        <f>IF(AF10&lt;&gt;"",IF(AH10="Weekly",AF10+7,IF(AH10="Monthly",EDATE(AF10,1),IF(AH10="Quarterly",EDATE(AF10,3),""))),"")</f>
        <v/>
      </c>
      <c r="AK10">
        <f>IF(AJ10&lt;&gt;"",IF(AI10="Monthly",EDATE(AJ10,1),IF(AI10="Quarterly",EDATE(AJ10,3),IF(AI10="Semi-Annual",EDATE(AJ10,6),""))),"")</f>
        <v/>
      </c>
      <c r="AL10">
        <f>IF(AK10&lt;&gt;"",IF(AK10&lt;TODAY(),"Overdue","Current"),"")</f>
        <v/>
      </c>
    </row>
    <row r="11">
      <c r="K11">
        <f>IF(J11="v4.0",L11,IF(J11="v3.1",M11,IF(J11="Both",L11,IF(AND(L11&lt;&gt;"",M11=""),L11,M11))))</f>
        <v/>
      </c>
      <c r="Z11">
        <f>IF(Y11&lt;&gt;"",TODAY()-Y11,"")</f>
        <v/>
      </c>
      <c r="AC11">
        <f>IF(AND(AA11&lt;&gt;"",AB11&lt;&gt;""),CHOOSE(MATCH(AA11,{"Low","Medium","High","Critical"},0),25,50,75,100)-CHOOSE(MATCH(AB11,{"Low","Medium","High","Critical"},0),25,50,75,100),"")</f>
        <v/>
      </c>
      <c r="AG11">
        <f>IF(AF11&lt;&gt;"",IF(AH11="Weekly",AF11+7,IF(AH11="Monthly",EDATE(AF11,1),IF(AH11="Quarterly",EDATE(AF11,3),""))),"")</f>
        <v/>
      </c>
      <c r="AK11">
        <f>IF(AJ11&lt;&gt;"",IF(AI11="Monthly",EDATE(AJ11,1),IF(AI11="Quarterly",EDATE(AJ11,3),IF(AI11="Semi-Annual",EDATE(AJ11,6),""))),"")</f>
        <v/>
      </c>
      <c r="AL11">
        <f>IF(AK11&lt;&gt;"",IF(AK11&lt;TODAY(),"Overdue","Current"),"")</f>
        <v/>
      </c>
    </row>
    <row r="12">
      <c r="K12">
        <f>IF(J12="v4.0",L12,IF(J12="v3.1",M12,IF(J12="Both",L12,IF(AND(L12&lt;&gt;"",M12=""),L12,M12))))</f>
        <v/>
      </c>
      <c r="Z12">
        <f>IF(Y12&lt;&gt;"",TODAY()-Y12,"")</f>
        <v/>
      </c>
      <c r="AC12">
        <f>IF(AND(AA12&lt;&gt;"",AB12&lt;&gt;""),CHOOSE(MATCH(AA12,{"Low","Medium","High","Critical"},0),25,50,75,100)-CHOOSE(MATCH(AB12,{"Low","Medium","High","Critical"},0),25,50,75,100),"")</f>
        <v/>
      </c>
      <c r="AG12">
        <f>IF(AF12&lt;&gt;"",IF(AH12="Weekly",AF12+7,IF(AH12="Monthly",EDATE(AF12,1),IF(AH12="Quarterly",EDATE(AF12,3),""))),"")</f>
        <v/>
      </c>
      <c r="AK12">
        <f>IF(AJ12&lt;&gt;"",IF(AI12="Monthly",EDATE(AJ12,1),IF(AI12="Quarterly",EDATE(AJ12,3),IF(AI12="Semi-Annual",EDATE(AJ12,6),""))),"")</f>
        <v/>
      </c>
      <c r="AL12">
        <f>IF(AK12&lt;&gt;"",IF(AK12&lt;TODAY(),"Overdue","Current"),"")</f>
        <v/>
      </c>
    </row>
    <row r="13">
      <c r="K13">
        <f>IF(J13="v4.0",L13,IF(J13="v3.1",M13,IF(J13="Both",L13,IF(AND(L13&lt;&gt;"",M13=""),L13,M13))))</f>
        <v/>
      </c>
      <c r="Z13">
        <f>IF(Y13&lt;&gt;"",TODAY()-Y13,"")</f>
        <v/>
      </c>
      <c r="AC13">
        <f>IF(AND(AA13&lt;&gt;"",AB13&lt;&gt;""),CHOOSE(MATCH(AA13,{"Low","Medium","High","Critical"},0),25,50,75,100)-CHOOSE(MATCH(AB13,{"Low","Medium","High","Critical"},0),25,50,75,100),"")</f>
        <v/>
      </c>
      <c r="AG13">
        <f>IF(AF13&lt;&gt;"",IF(AH13="Weekly",AF13+7,IF(AH13="Monthly",EDATE(AF13,1),IF(AH13="Quarterly",EDATE(AF13,3),""))),"")</f>
        <v/>
      </c>
      <c r="AK13">
        <f>IF(AJ13&lt;&gt;"",IF(AI13="Monthly",EDATE(AJ13,1),IF(AI13="Quarterly",EDATE(AJ13,3),IF(AI13="Semi-Annual",EDATE(AJ13,6),""))),"")</f>
        <v/>
      </c>
      <c r="AL13">
        <f>IF(AK13&lt;&gt;"",IF(AK13&lt;TODAY(),"Overdue","Current"),"")</f>
        <v/>
      </c>
    </row>
    <row r="14">
      <c r="K14">
        <f>IF(J14="v4.0",L14,IF(J14="v3.1",M14,IF(J14="Both",L14,IF(AND(L14&lt;&gt;"",M14=""),L14,M14))))</f>
        <v/>
      </c>
      <c r="Z14">
        <f>IF(Y14&lt;&gt;"",TODAY()-Y14,"")</f>
        <v/>
      </c>
      <c r="AC14">
        <f>IF(AND(AA14&lt;&gt;"",AB14&lt;&gt;""),CHOOSE(MATCH(AA14,{"Low","Medium","High","Critical"},0),25,50,75,100)-CHOOSE(MATCH(AB14,{"Low","Medium","High","Critical"},0),25,50,75,100),"")</f>
        <v/>
      </c>
      <c r="AG14">
        <f>IF(AF14&lt;&gt;"",IF(AH14="Weekly",AF14+7,IF(AH14="Monthly",EDATE(AF14,1),IF(AH14="Quarterly",EDATE(AF14,3),""))),"")</f>
        <v/>
      </c>
      <c r="AK14">
        <f>IF(AJ14&lt;&gt;"",IF(AI14="Monthly",EDATE(AJ14,1),IF(AI14="Quarterly",EDATE(AJ14,3),IF(AI14="Semi-Annual",EDATE(AJ14,6),""))),"")</f>
        <v/>
      </c>
      <c r="AL14">
        <f>IF(AK14&lt;&gt;"",IF(AK14&lt;TODAY(),"Overdue","Current"),"")</f>
        <v/>
      </c>
    </row>
    <row r="15">
      <c r="K15">
        <f>IF(J15="v4.0",L15,IF(J15="v3.1",M15,IF(J15="Both",L15,IF(AND(L15&lt;&gt;"",M15=""),L15,M15))))</f>
        <v/>
      </c>
      <c r="Z15">
        <f>IF(Y15&lt;&gt;"",TODAY()-Y15,"")</f>
        <v/>
      </c>
      <c r="AC15">
        <f>IF(AND(AA15&lt;&gt;"",AB15&lt;&gt;""),CHOOSE(MATCH(AA15,{"Low","Medium","High","Critical"},0),25,50,75,100)-CHOOSE(MATCH(AB15,{"Low","Medium","High","Critical"},0),25,50,75,100),"")</f>
        <v/>
      </c>
      <c r="AG15">
        <f>IF(AF15&lt;&gt;"",IF(AH15="Weekly",AF15+7,IF(AH15="Monthly",EDATE(AF15,1),IF(AH15="Quarterly",EDATE(AF15,3),""))),"")</f>
        <v/>
      </c>
      <c r="AK15">
        <f>IF(AJ15&lt;&gt;"",IF(AI15="Monthly",EDATE(AJ15,1),IF(AI15="Quarterly",EDATE(AJ15,3),IF(AI15="Semi-Annual",EDATE(AJ15,6),""))),"")</f>
        <v/>
      </c>
      <c r="AL15">
        <f>IF(AK15&lt;&gt;"",IF(AK15&lt;TODAY(),"Overdue","Current"),"")</f>
        <v/>
      </c>
    </row>
    <row r="16">
      <c r="K16">
        <f>IF(J16="v4.0",L16,IF(J16="v3.1",M16,IF(J16="Both",L16,IF(AND(L16&lt;&gt;"",M16=""),L16,M16))))</f>
        <v/>
      </c>
      <c r="Z16">
        <f>IF(Y16&lt;&gt;"",TODAY()-Y16,"")</f>
        <v/>
      </c>
      <c r="AC16">
        <f>IF(AND(AA16&lt;&gt;"",AB16&lt;&gt;""),CHOOSE(MATCH(AA16,{"Low","Medium","High","Critical"},0),25,50,75,100)-CHOOSE(MATCH(AB16,{"Low","Medium","High","Critical"},0),25,50,75,100),"")</f>
        <v/>
      </c>
      <c r="AG16">
        <f>IF(AF16&lt;&gt;"",IF(AH16="Weekly",AF16+7,IF(AH16="Monthly",EDATE(AF16,1),IF(AH16="Quarterly",EDATE(AF16,3),""))),"")</f>
        <v/>
      </c>
      <c r="AK16">
        <f>IF(AJ16&lt;&gt;"",IF(AI16="Monthly",EDATE(AJ16,1),IF(AI16="Quarterly",EDATE(AJ16,3),IF(AI16="Semi-Annual",EDATE(AJ16,6),""))),"")</f>
        <v/>
      </c>
      <c r="AL16">
        <f>IF(AK16&lt;&gt;"",IF(AK16&lt;TODAY(),"Overdue","Current"),"")</f>
        <v/>
      </c>
    </row>
    <row r="17">
      <c r="K17">
        <f>IF(J17="v4.0",L17,IF(J17="v3.1",M17,IF(J17="Both",L17,IF(AND(L17&lt;&gt;"",M17=""),L17,M17))))</f>
        <v/>
      </c>
      <c r="Z17">
        <f>IF(Y17&lt;&gt;"",TODAY()-Y17,"")</f>
        <v/>
      </c>
      <c r="AC17">
        <f>IF(AND(AA17&lt;&gt;"",AB17&lt;&gt;""),CHOOSE(MATCH(AA17,{"Low","Medium","High","Critical"},0),25,50,75,100)-CHOOSE(MATCH(AB17,{"Low","Medium","High","Critical"},0),25,50,75,100),"")</f>
        <v/>
      </c>
      <c r="AG17">
        <f>IF(AF17&lt;&gt;"",IF(AH17="Weekly",AF17+7,IF(AH17="Monthly",EDATE(AF17,1),IF(AH17="Quarterly",EDATE(AF17,3),""))),"")</f>
        <v/>
      </c>
      <c r="AK17">
        <f>IF(AJ17&lt;&gt;"",IF(AI17="Monthly",EDATE(AJ17,1),IF(AI17="Quarterly",EDATE(AJ17,3),IF(AI17="Semi-Annual",EDATE(AJ17,6),""))),"")</f>
        <v/>
      </c>
      <c r="AL17">
        <f>IF(AK17&lt;&gt;"",IF(AK17&lt;TODAY(),"Overdue","Current"),"")</f>
        <v/>
      </c>
    </row>
    <row r="18">
      <c r="K18">
        <f>IF(J18="v4.0",L18,IF(J18="v3.1",M18,IF(J18="Both",L18,IF(AND(L18&lt;&gt;"",M18=""),L18,M18))))</f>
        <v/>
      </c>
      <c r="Z18">
        <f>IF(Y18&lt;&gt;"",TODAY()-Y18,"")</f>
        <v/>
      </c>
      <c r="AC18">
        <f>IF(AND(AA18&lt;&gt;"",AB18&lt;&gt;""),CHOOSE(MATCH(AA18,{"Low","Medium","High","Critical"},0),25,50,75,100)-CHOOSE(MATCH(AB18,{"Low","Medium","High","Critical"},0),25,50,75,100),"")</f>
        <v/>
      </c>
      <c r="AG18">
        <f>IF(AF18&lt;&gt;"",IF(AH18="Weekly",AF18+7,IF(AH18="Monthly",EDATE(AF18,1),IF(AH18="Quarterly",EDATE(AF18,3),""))),"")</f>
        <v/>
      </c>
      <c r="AK18">
        <f>IF(AJ18&lt;&gt;"",IF(AI18="Monthly",EDATE(AJ18,1),IF(AI18="Quarterly",EDATE(AJ18,3),IF(AI18="Semi-Annual",EDATE(AJ18,6),""))),"")</f>
        <v/>
      </c>
      <c r="AL18">
        <f>IF(AK18&lt;&gt;"",IF(AK18&lt;TODAY(),"Overdue","Current"),"")</f>
        <v/>
      </c>
    </row>
    <row r="19">
      <c r="K19">
        <f>IF(J19="v4.0",L19,IF(J19="v3.1",M19,IF(J19="Both",L19,IF(AND(L19&lt;&gt;"",M19=""),L19,M19))))</f>
        <v/>
      </c>
      <c r="Z19">
        <f>IF(Y19&lt;&gt;"",TODAY()-Y19,"")</f>
        <v/>
      </c>
      <c r="AC19">
        <f>IF(AND(AA19&lt;&gt;"",AB19&lt;&gt;""),CHOOSE(MATCH(AA19,{"Low","Medium","High","Critical"},0),25,50,75,100)-CHOOSE(MATCH(AB19,{"Low","Medium","High","Critical"},0),25,50,75,100),"")</f>
        <v/>
      </c>
      <c r="AG19">
        <f>IF(AF19&lt;&gt;"",IF(AH19="Weekly",AF19+7,IF(AH19="Monthly",EDATE(AF19,1),IF(AH19="Quarterly",EDATE(AF19,3),""))),"")</f>
        <v/>
      </c>
      <c r="AK19">
        <f>IF(AJ19&lt;&gt;"",IF(AI19="Monthly",EDATE(AJ19,1),IF(AI19="Quarterly",EDATE(AJ19,3),IF(AI19="Semi-Annual",EDATE(AJ19,6),""))),"")</f>
        <v/>
      </c>
      <c r="AL19">
        <f>IF(AK19&lt;&gt;"",IF(AK19&lt;TODAY(),"Overdue","Current"),"")</f>
        <v/>
      </c>
    </row>
    <row r="20">
      <c r="K20">
        <f>IF(J20="v4.0",L20,IF(J20="v3.1",M20,IF(J20="Both",L20,IF(AND(L20&lt;&gt;"",M20=""),L20,M20))))</f>
        <v/>
      </c>
      <c r="Z20">
        <f>IF(Y20&lt;&gt;"",TODAY()-Y20,"")</f>
        <v/>
      </c>
      <c r="AC20">
        <f>IF(AND(AA20&lt;&gt;"",AB20&lt;&gt;""),CHOOSE(MATCH(AA20,{"Low","Medium","High","Critical"},0),25,50,75,100)-CHOOSE(MATCH(AB20,{"Low","Medium","High","Critical"},0),25,50,75,100),"")</f>
        <v/>
      </c>
      <c r="AG20">
        <f>IF(AF20&lt;&gt;"",IF(AH20="Weekly",AF20+7,IF(AH20="Monthly",EDATE(AF20,1),IF(AH20="Quarterly",EDATE(AF20,3),""))),"")</f>
        <v/>
      </c>
      <c r="AK20">
        <f>IF(AJ20&lt;&gt;"",IF(AI20="Monthly",EDATE(AJ20,1),IF(AI20="Quarterly",EDATE(AJ20,3),IF(AI20="Semi-Annual",EDATE(AJ20,6),""))),"")</f>
        <v/>
      </c>
      <c r="AL20">
        <f>IF(AK20&lt;&gt;"",IF(AK20&lt;TODAY(),"Overdue","Current"),"")</f>
        <v/>
      </c>
    </row>
    <row r="21">
      <c r="K21">
        <f>IF(J21="v4.0",L21,IF(J21="v3.1",M21,IF(J21="Both",L21,IF(AND(L21&lt;&gt;"",M21=""),L21,M21))))</f>
        <v/>
      </c>
      <c r="Z21">
        <f>IF(Y21&lt;&gt;"",TODAY()-Y21,"")</f>
        <v/>
      </c>
      <c r="AC21">
        <f>IF(AND(AA21&lt;&gt;"",AB21&lt;&gt;""),CHOOSE(MATCH(AA21,{"Low","Medium","High","Critical"},0),25,50,75,100)-CHOOSE(MATCH(AB21,{"Low","Medium","High","Critical"},0),25,50,75,100),"")</f>
        <v/>
      </c>
      <c r="AG21">
        <f>IF(AF21&lt;&gt;"",IF(AH21="Weekly",AF21+7,IF(AH21="Monthly",EDATE(AF21,1),IF(AH21="Quarterly",EDATE(AF21,3),""))),"")</f>
        <v/>
      </c>
      <c r="AK21">
        <f>IF(AJ21&lt;&gt;"",IF(AI21="Monthly",EDATE(AJ21,1),IF(AI21="Quarterly",EDATE(AJ21,3),IF(AI21="Semi-Annual",EDATE(AJ21,6),""))),"")</f>
        <v/>
      </c>
      <c r="AL21">
        <f>IF(AK21&lt;&gt;"",IF(AK21&lt;TODAY(),"Overdue","Current"),"")</f>
        <v/>
      </c>
    </row>
    <row r="22">
      <c r="K22">
        <f>IF(J22="v4.0",L22,IF(J22="v3.1",M22,IF(J22="Both",L22,IF(AND(L22&lt;&gt;"",M22=""),L22,M22))))</f>
        <v/>
      </c>
      <c r="Z22">
        <f>IF(Y22&lt;&gt;"",TODAY()-Y22,"")</f>
        <v/>
      </c>
      <c r="AC22">
        <f>IF(AND(AA22&lt;&gt;"",AB22&lt;&gt;""),CHOOSE(MATCH(AA22,{"Low","Medium","High","Critical"},0),25,50,75,100)-CHOOSE(MATCH(AB22,{"Low","Medium","High","Critical"},0),25,50,75,100),"")</f>
        <v/>
      </c>
      <c r="AG22">
        <f>IF(AF22&lt;&gt;"",IF(AH22="Weekly",AF22+7,IF(AH22="Monthly",EDATE(AF22,1),IF(AH22="Quarterly",EDATE(AF22,3),""))),"")</f>
        <v/>
      </c>
      <c r="AK22">
        <f>IF(AJ22&lt;&gt;"",IF(AI22="Monthly",EDATE(AJ22,1),IF(AI22="Quarterly",EDATE(AJ22,3),IF(AI22="Semi-Annual",EDATE(AJ22,6),""))),"")</f>
        <v/>
      </c>
      <c r="AL22">
        <f>IF(AK22&lt;&gt;"",IF(AK22&lt;TODAY(),"Overdue","Current"),"")</f>
        <v/>
      </c>
    </row>
    <row r="23">
      <c r="K23">
        <f>IF(J23="v4.0",L23,IF(J23="v3.1",M23,IF(J23="Both",L23,IF(AND(L23&lt;&gt;"",M23=""),L23,M23))))</f>
        <v/>
      </c>
      <c r="Z23">
        <f>IF(Y23&lt;&gt;"",TODAY()-Y23,"")</f>
        <v/>
      </c>
      <c r="AC23">
        <f>IF(AND(AA23&lt;&gt;"",AB23&lt;&gt;""),CHOOSE(MATCH(AA23,{"Low","Medium","High","Critical"},0),25,50,75,100)-CHOOSE(MATCH(AB23,{"Low","Medium","High","Critical"},0),25,50,75,100),"")</f>
        <v/>
      </c>
      <c r="AG23">
        <f>IF(AF23&lt;&gt;"",IF(AH23="Weekly",AF23+7,IF(AH23="Monthly",EDATE(AF23,1),IF(AH23="Quarterly",EDATE(AF23,3),""))),"")</f>
        <v/>
      </c>
      <c r="AK23">
        <f>IF(AJ23&lt;&gt;"",IF(AI23="Monthly",EDATE(AJ23,1),IF(AI23="Quarterly",EDATE(AJ23,3),IF(AI23="Semi-Annual",EDATE(AJ23,6),""))),"")</f>
        <v/>
      </c>
      <c r="AL23">
        <f>IF(AK23&lt;&gt;"",IF(AK23&lt;TODAY(),"Overdue","Current"),"")</f>
        <v/>
      </c>
    </row>
    <row r="24">
      <c r="K24">
        <f>IF(J24="v4.0",L24,IF(J24="v3.1",M24,IF(J24="Both",L24,IF(AND(L24&lt;&gt;"",M24=""),L24,M24))))</f>
        <v/>
      </c>
      <c r="Z24">
        <f>IF(Y24&lt;&gt;"",TODAY()-Y24,"")</f>
        <v/>
      </c>
      <c r="AC24">
        <f>IF(AND(AA24&lt;&gt;"",AB24&lt;&gt;""),CHOOSE(MATCH(AA24,{"Low","Medium","High","Critical"},0),25,50,75,100)-CHOOSE(MATCH(AB24,{"Low","Medium","High","Critical"},0),25,50,75,100),"")</f>
        <v/>
      </c>
      <c r="AG24">
        <f>IF(AF24&lt;&gt;"",IF(AH24="Weekly",AF24+7,IF(AH24="Monthly",EDATE(AF24,1),IF(AH24="Quarterly",EDATE(AF24,3),""))),"")</f>
        <v/>
      </c>
      <c r="AK24">
        <f>IF(AJ24&lt;&gt;"",IF(AI24="Monthly",EDATE(AJ24,1),IF(AI24="Quarterly",EDATE(AJ24,3),IF(AI24="Semi-Annual",EDATE(AJ24,6),""))),"")</f>
        <v/>
      </c>
      <c r="AL24">
        <f>IF(AK24&lt;&gt;"",IF(AK24&lt;TODAY(),"Overdue","Current"),"")</f>
        <v/>
      </c>
    </row>
    <row r="25">
      <c r="K25">
        <f>IF(J25="v4.0",L25,IF(J25="v3.1",M25,IF(J25="Both",L25,IF(AND(L25&lt;&gt;"",M25=""),L25,M25))))</f>
        <v/>
      </c>
      <c r="Z25">
        <f>IF(Y25&lt;&gt;"",TODAY()-Y25,"")</f>
        <v/>
      </c>
      <c r="AC25">
        <f>IF(AND(AA25&lt;&gt;"",AB25&lt;&gt;""),CHOOSE(MATCH(AA25,{"Low","Medium","High","Critical"},0),25,50,75,100)-CHOOSE(MATCH(AB25,{"Low","Medium","High","Critical"},0),25,50,75,100),"")</f>
        <v/>
      </c>
      <c r="AG25">
        <f>IF(AF25&lt;&gt;"",IF(AH25="Weekly",AF25+7,IF(AH25="Monthly",EDATE(AF25,1),IF(AH25="Quarterly",EDATE(AF25,3),""))),"")</f>
        <v/>
      </c>
      <c r="AK25">
        <f>IF(AJ25&lt;&gt;"",IF(AI25="Monthly",EDATE(AJ25,1),IF(AI25="Quarterly",EDATE(AJ25,3),IF(AI25="Semi-Annual",EDATE(AJ25,6),""))),"")</f>
        <v/>
      </c>
      <c r="AL25">
        <f>IF(AK25&lt;&gt;"",IF(AK25&lt;TODAY(),"Overdue","Current"),"")</f>
        <v/>
      </c>
    </row>
    <row r="26">
      <c r="K26">
        <f>IF(J26="v4.0",L26,IF(J26="v3.1",M26,IF(J26="Both",L26,IF(AND(L26&lt;&gt;"",M26=""),L26,M26))))</f>
        <v/>
      </c>
      <c r="Z26">
        <f>IF(Y26&lt;&gt;"",TODAY()-Y26,"")</f>
        <v/>
      </c>
      <c r="AC26">
        <f>IF(AND(AA26&lt;&gt;"",AB26&lt;&gt;""),CHOOSE(MATCH(AA26,{"Low","Medium","High","Critical"},0),25,50,75,100)-CHOOSE(MATCH(AB26,{"Low","Medium","High","Critical"},0),25,50,75,100),"")</f>
        <v/>
      </c>
      <c r="AG26">
        <f>IF(AF26&lt;&gt;"",IF(AH26="Weekly",AF26+7,IF(AH26="Monthly",EDATE(AF26,1),IF(AH26="Quarterly",EDATE(AF26,3),""))),"")</f>
        <v/>
      </c>
      <c r="AK26">
        <f>IF(AJ26&lt;&gt;"",IF(AI26="Monthly",EDATE(AJ26,1),IF(AI26="Quarterly",EDATE(AJ26,3),IF(AI26="Semi-Annual",EDATE(AJ26,6),""))),"")</f>
        <v/>
      </c>
      <c r="AL26">
        <f>IF(AK26&lt;&gt;"",IF(AK26&lt;TODAY(),"Overdue","Current"),"")</f>
        <v/>
      </c>
    </row>
    <row r="27">
      <c r="K27">
        <f>IF(J27="v4.0",L27,IF(J27="v3.1",M27,IF(J27="Both",L27,IF(AND(L27&lt;&gt;"",M27=""),L27,M27))))</f>
        <v/>
      </c>
      <c r="Z27">
        <f>IF(Y27&lt;&gt;"",TODAY()-Y27,"")</f>
        <v/>
      </c>
      <c r="AC27">
        <f>IF(AND(AA27&lt;&gt;"",AB27&lt;&gt;""),CHOOSE(MATCH(AA27,{"Low","Medium","High","Critical"},0),25,50,75,100)-CHOOSE(MATCH(AB27,{"Low","Medium","High","Critical"},0),25,50,75,100),"")</f>
        <v/>
      </c>
      <c r="AG27">
        <f>IF(AF27&lt;&gt;"",IF(AH27="Weekly",AF27+7,IF(AH27="Monthly",EDATE(AF27,1),IF(AH27="Quarterly",EDATE(AF27,3),""))),"")</f>
        <v/>
      </c>
      <c r="AK27">
        <f>IF(AJ27&lt;&gt;"",IF(AI27="Monthly",EDATE(AJ27,1),IF(AI27="Quarterly",EDATE(AJ27,3),IF(AI27="Semi-Annual",EDATE(AJ27,6),""))),"")</f>
        <v/>
      </c>
      <c r="AL27">
        <f>IF(AK27&lt;&gt;"",IF(AK27&lt;TODAY(),"Overdue","Current"),"")</f>
        <v/>
      </c>
    </row>
    <row r="28">
      <c r="K28">
        <f>IF(J28="v4.0",L28,IF(J28="v3.1",M28,IF(J28="Both",L28,IF(AND(L28&lt;&gt;"",M28=""),L28,M28))))</f>
        <v/>
      </c>
      <c r="Z28">
        <f>IF(Y28&lt;&gt;"",TODAY()-Y28,"")</f>
        <v/>
      </c>
      <c r="AC28">
        <f>IF(AND(AA28&lt;&gt;"",AB28&lt;&gt;""),CHOOSE(MATCH(AA28,{"Low","Medium","High","Critical"},0),25,50,75,100)-CHOOSE(MATCH(AB28,{"Low","Medium","High","Critical"},0),25,50,75,100),"")</f>
        <v/>
      </c>
      <c r="AG28">
        <f>IF(AF28&lt;&gt;"",IF(AH28="Weekly",AF28+7,IF(AH28="Monthly",EDATE(AF28,1),IF(AH28="Quarterly",EDATE(AF28,3),""))),"")</f>
        <v/>
      </c>
      <c r="AK28">
        <f>IF(AJ28&lt;&gt;"",IF(AI28="Monthly",EDATE(AJ28,1),IF(AI28="Quarterly",EDATE(AJ28,3),IF(AI28="Semi-Annual",EDATE(AJ28,6),""))),"")</f>
        <v/>
      </c>
      <c r="AL28">
        <f>IF(AK28&lt;&gt;"",IF(AK28&lt;TODAY(),"Overdue","Current"),"")</f>
        <v/>
      </c>
    </row>
    <row r="29">
      <c r="K29">
        <f>IF(J29="v4.0",L29,IF(J29="v3.1",M29,IF(J29="Both",L29,IF(AND(L29&lt;&gt;"",M29=""),L29,M29))))</f>
        <v/>
      </c>
      <c r="Z29">
        <f>IF(Y29&lt;&gt;"",TODAY()-Y29,"")</f>
        <v/>
      </c>
      <c r="AC29">
        <f>IF(AND(AA29&lt;&gt;"",AB29&lt;&gt;""),CHOOSE(MATCH(AA29,{"Low","Medium","High","Critical"},0),25,50,75,100)-CHOOSE(MATCH(AB29,{"Low","Medium","High","Critical"},0),25,50,75,100),"")</f>
        <v/>
      </c>
      <c r="AG29">
        <f>IF(AF29&lt;&gt;"",IF(AH29="Weekly",AF29+7,IF(AH29="Monthly",EDATE(AF29,1),IF(AH29="Quarterly",EDATE(AF29,3),""))),"")</f>
        <v/>
      </c>
      <c r="AK29">
        <f>IF(AJ29&lt;&gt;"",IF(AI29="Monthly",EDATE(AJ29,1),IF(AI29="Quarterly",EDATE(AJ29,3),IF(AI29="Semi-Annual",EDATE(AJ29,6),""))),"")</f>
        <v/>
      </c>
      <c r="AL29">
        <f>IF(AK29&lt;&gt;"",IF(AK29&lt;TODAY(),"Overdue","Current"),"")</f>
        <v/>
      </c>
    </row>
    <row r="30">
      <c r="K30">
        <f>IF(J30="v4.0",L30,IF(J30="v3.1",M30,IF(J30="Both",L30,IF(AND(L30&lt;&gt;"",M30=""),L30,M30))))</f>
        <v/>
      </c>
      <c r="Z30">
        <f>IF(Y30&lt;&gt;"",TODAY()-Y30,"")</f>
        <v/>
      </c>
      <c r="AC30">
        <f>IF(AND(AA30&lt;&gt;"",AB30&lt;&gt;""),CHOOSE(MATCH(AA30,{"Low","Medium","High","Critical"},0),25,50,75,100)-CHOOSE(MATCH(AB30,{"Low","Medium","High","Critical"},0),25,50,75,100),"")</f>
        <v/>
      </c>
      <c r="AG30">
        <f>IF(AF30&lt;&gt;"",IF(AH30="Weekly",AF30+7,IF(AH30="Monthly",EDATE(AF30,1),IF(AH30="Quarterly",EDATE(AF30,3),""))),"")</f>
        <v/>
      </c>
      <c r="AK30">
        <f>IF(AJ30&lt;&gt;"",IF(AI30="Monthly",EDATE(AJ30,1),IF(AI30="Quarterly",EDATE(AJ30,3),IF(AI30="Semi-Annual",EDATE(AJ30,6),""))),"")</f>
        <v/>
      </c>
      <c r="AL30">
        <f>IF(AK30&lt;&gt;"",IF(AK30&lt;TODAY(),"Overdue","Current"),"")</f>
        <v/>
      </c>
    </row>
    <row r="31">
      <c r="K31">
        <f>IF(J31="v4.0",L31,IF(J31="v3.1",M31,IF(J31="Both",L31,IF(AND(L31&lt;&gt;"",M31=""),L31,M31))))</f>
        <v/>
      </c>
      <c r="Z31">
        <f>IF(Y31&lt;&gt;"",TODAY()-Y31,"")</f>
        <v/>
      </c>
      <c r="AC31">
        <f>IF(AND(AA31&lt;&gt;"",AB31&lt;&gt;""),CHOOSE(MATCH(AA31,{"Low","Medium","High","Critical"},0),25,50,75,100)-CHOOSE(MATCH(AB31,{"Low","Medium","High","Critical"},0),25,50,75,100),"")</f>
        <v/>
      </c>
      <c r="AG31">
        <f>IF(AF31&lt;&gt;"",IF(AH31="Weekly",AF31+7,IF(AH31="Monthly",EDATE(AF31,1),IF(AH31="Quarterly",EDATE(AF31,3),""))),"")</f>
        <v/>
      </c>
      <c r="AK31">
        <f>IF(AJ31&lt;&gt;"",IF(AI31="Monthly",EDATE(AJ31,1),IF(AI31="Quarterly",EDATE(AJ31,3),IF(AI31="Semi-Annual",EDATE(AJ31,6),""))),"")</f>
        <v/>
      </c>
      <c r="AL31">
        <f>IF(AK31&lt;&gt;"",IF(AK31&lt;TODAY(),"Overdue","Current"),"")</f>
        <v/>
      </c>
    </row>
    <row r="32">
      <c r="K32">
        <f>IF(J32="v4.0",L32,IF(J32="v3.1",M32,IF(J32="Both",L32,IF(AND(L32&lt;&gt;"",M32=""),L32,M32))))</f>
        <v/>
      </c>
      <c r="Z32">
        <f>IF(Y32&lt;&gt;"",TODAY()-Y32,"")</f>
        <v/>
      </c>
      <c r="AC32">
        <f>IF(AND(AA32&lt;&gt;"",AB32&lt;&gt;""),CHOOSE(MATCH(AA32,{"Low","Medium","High","Critical"},0),25,50,75,100)-CHOOSE(MATCH(AB32,{"Low","Medium","High","Critical"},0),25,50,75,100),"")</f>
        <v/>
      </c>
      <c r="AG32">
        <f>IF(AF32&lt;&gt;"",IF(AH32="Weekly",AF32+7,IF(AH32="Monthly",EDATE(AF32,1),IF(AH32="Quarterly",EDATE(AF32,3),""))),"")</f>
        <v/>
      </c>
      <c r="AK32">
        <f>IF(AJ32&lt;&gt;"",IF(AI32="Monthly",EDATE(AJ32,1),IF(AI32="Quarterly",EDATE(AJ32,3),IF(AI32="Semi-Annual",EDATE(AJ32,6),""))),"")</f>
        <v/>
      </c>
      <c r="AL32">
        <f>IF(AK32&lt;&gt;"",IF(AK32&lt;TODAY(),"Overdue","Current"),"")</f>
        <v/>
      </c>
    </row>
    <row r="33">
      <c r="K33">
        <f>IF(J33="v4.0",L33,IF(J33="v3.1",M33,IF(J33="Both",L33,IF(AND(L33&lt;&gt;"",M33=""),L33,M33))))</f>
        <v/>
      </c>
      <c r="Z33">
        <f>IF(Y33&lt;&gt;"",TODAY()-Y33,"")</f>
        <v/>
      </c>
      <c r="AC33">
        <f>IF(AND(AA33&lt;&gt;"",AB33&lt;&gt;""),CHOOSE(MATCH(AA33,{"Low","Medium","High","Critical"},0),25,50,75,100)-CHOOSE(MATCH(AB33,{"Low","Medium","High","Critical"},0),25,50,75,100),"")</f>
        <v/>
      </c>
      <c r="AG33">
        <f>IF(AF33&lt;&gt;"",IF(AH33="Weekly",AF33+7,IF(AH33="Monthly",EDATE(AF33,1),IF(AH33="Quarterly",EDATE(AF33,3),""))),"")</f>
        <v/>
      </c>
      <c r="AK33">
        <f>IF(AJ33&lt;&gt;"",IF(AI33="Monthly",EDATE(AJ33,1),IF(AI33="Quarterly",EDATE(AJ33,3),IF(AI33="Semi-Annual",EDATE(AJ33,6),""))),"")</f>
        <v/>
      </c>
      <c r="AL33">
        <f>IF(AK33&lt;&gt;"",IF(AK33&lt;TODAY(),"Overdue","Current"),"")</f>
        <v/>
      </c>
    </row>
    <row r="34">
      <c r="K34">
        <f>IF(J34="v4.0",L34,IF(J34="v3.1",M34,IF(J34="Both",L34,IF(AND(L34&lt;&gt;"",M34=""),L34,M34))))</f>
        <v/>
      </c>
      <c r="Z34">
        <f>IF(Y34&lt;&gt;"",TODAY()-Y34,"")</f>
        <v/>
      </c>
      <c r="AC34">
        <f>IF(AND(AA34&lt;&gt;"",AB34&lt;&gt;""),CHOOSE(MATCH(AA34,{"Low","Medium","High","Critical"},0),25,50,75,100)-CHOOSE(MATCH(AB34,{"Low","Medium","High","Critical"},0),25,50,75,100),"")</f>
        <v/>
      </c>
      <c r="AG34">
        <f>IF(AF34&lt;&gt;"",IF(AH34="Weekly",AF34+7,IF(AH34="Monthly",EDATE(AF34,1),IF(AH34="Quarterly",EDATE(AF34,3),""))),"")</f>
        <v/>
      </c>
      <c r="AK34">
        <f>IF(AJ34&lt;&gt;"",IF(AI34="Monthly",EDATE(AJ34,1),IF(AI34="Quarterly",EDATE(AJ34,3),IF(AI34="Semi-Annual",EDATE(AJ34,6),""))),"")</f>
        <v/>
      </c>
      <c r="AL34">
        <f>IF(AK34&lt;&gt;"",IF(AK34&lt;TODAY(),"Overdue","Current"),"")</f>
        <v/>
      </c>
    </row>
    <row r="35">
      <c r="K35">
        <f>IF(J35="v4.0",L35,IF(J35="v3.1",M35,IF(J35="Both",L35,IF(AND(L35&lt;&gt;"",M35=""),L35,M35))))</f>
        <v/>
      </c>
      <c r="Z35">
        <f>IF(Y35&lt;&gt;"",TODAY()-Y35,"")</f>
        <v/>
      </c>
      <c r="AC35">
        <f>IF(AND(AA35&lt;&gt;"",AB35&lt;&gt;""),CHOOSE(MATCH(AA35,{"Low","Medium","High","Critical"},0),25,50,75,100)-CHOOSE(MATCH(AB35,{"Low","Medium","High","Critical"},0),25,50,75,100),"")</f>
        <v/>
      </c>
      <c r="AG35">
        <f>IF(AF35&lt;&gt;"",IF(AH35="Weekly",AF35+7,IF(AH35="Monthly",EDATE(AF35,1),IF(AH35="Quarterly",EDATE(AF35,3),""))),"")</f>
        <v/>
      </c>
      <c r="AK35">
        <f>IF(AJ35&lt;&gt;"",IF(AI35="Monthly",EDATE(AJ35,1),IF(AI35="Quarterly",EDATE(AJ35,3),IF(AI35="Semi-Annual",EDATE(AJ35,6),""))),"")</f>
        <v/>
      </c>
      <c r="AL35">
        <f>IF(AK35&lt;&gt;"",IF(AK35&lt;TODAY(),"Overdue","Current"),"")</f>
        <v/>
      </c>
    </row>
    <row r="36">
      <c r="K36">
        <f>IF(J36="v4.0",L36,IF(J36="v3.1",M36,IF(J36="Both",L36,IF(AND(L36&lt;&gt;"",M36=""),L36,M36))))</f>
        <v/>
      </c>
      <c r="Z36">
        <f>IF(Y36&lt;&gt;"",TODAY()-Y36,"")</f>
        <v/>
      </c>
      <c r="AC36">
        <f>IF(AND(AA36&lt;&gt;"",AB36&lt;&gt;""),CHOOSE(MATCH(AA36,{"Low","Medium","High","Critical"},0),25,50,75,100)-CHOOSE(MATCH(AB36,{"Low","Medium","High","Critical"},0),25,50,75,100),"")</f>
        <v/>
      </c>
      <c r="AG36">
        <f>IF(AF36&lt;&gt;"",IF(AH36="Weekly",AF36+7,IF(AH36="Monthly",EDATE(AF36,1),IF(AH36="Quarterly",EDATE(AF36,3),""))),"")</f>
        <v/>
      </c>
      <c r="AK36">
        <f>IF(AJ36&lt;&gt;"",IF(AI36="Monthly",EDATE(AJ36,1),IF(AI36="Quarterly",EDATE(AJ36,3),IF(AI36="Semi-Annual",EDATE(AJ36,6),""))),"")</f>
        <v/>
      </c>
      <c r="AL36">
        <f>IF(AK36&lt;&gt;"",IF(AK36&lt;TODAY(),"Overdue","Current"),"")</f>
        <v/>
      </c>
    </row>
    <row r="37">
      <c r="K37">
        <f>IF(J37="v4.0",L37,IF(J37="v3.1",M37,IF(J37="Both",L37,IF(AND(L37&lt;&gt;"",M37=""),L37,M37))))</f>
        <v/>
      </c>
      <c r="Z37">
        <f>IF(Y37&lt;&gt;"",TODAY()-Y37,"")</f>
        <v/>
      </c>
      <c r="AC37">
        <f>IF(AND(AA37&lt;&gt;"",AB37&lt;&gt;""),CHOOSE(MATCH(AA37,{"Low","Medium","High","Critical"},0),25,50,75,100)-CHOOSE(MATCH(AB37,{"Low","Medium","High","Critical"},0),25,50,75,100),"")</f>
        <v/>
      </c>
      <c r="AG37">
        <f>IF(AF37&lt;&gt;"",IF(AH37="Weekly",AF37+7,IF(AH37="Monthly",EDATE(AF37,1),IF(AH37="Quarterly",EDATE(AF37,3),""))),"")</f>
        <v/>
      </c>
      <c r="AK37">
        <f>IF(AJ37&lt;&gt;"",IF(AI37="Monthly",EDATE(AJ37,1),IF(AI37="Quarterly",EDATE(AJ37,3),IF(AI37="Semi-Annual",EDATE(AJ37,6),""))),"")</f>
        <v/>
      </c>
      <c r="AL37">
        <f>IF(AK37&lt;&gt;"",IF(AK37&lt;TODAY(),"Overdue","Current"),"")</f>
        <v/>
      </c>
    </row>
    <row r="38">
      <c r="K38">
        <f>IF(J38="v4.0",L38,IF(J38="v3.1",M38,IF(J38="Both",L38,IF(AND(L38&lt;&gt;"",M38=""),L38,M38))))</f>
        <v/>
      </c>
      <c r="Z38">
        <f>IF(Y38&lt;&gt;"",TODAY()-Y38,"")</f>
        <v/>
      </c>
      <c r="AC38">
        <f>IF(AND(AA38&lt;&gt;"",AB38&lt;&gt;""),CHOOSE(MATCH(AA38,{"Low","Medium","High","Critical"},0),25,50,75,100)-CHOOSE(MATCH(AB38,{"Low","Medium","High","Critical"},0),25,50,75,100),"")</f>
        <v/>
      </c>
      <c r="AG38">
        <f>IF(AF38&lt;&gt;"",IF(AH38="Weekly",AF38+7,IF(AH38="Monthly",EDATE(AF38,1),IF(AH38="Quarterly",EDATE(AF38,3),""))),"")</f>
        <v/>
      </c>
      <c r="AK38">
        <f>IF(AJ38&lt;&gt;"",IF(AI38="Monthly",EDATE(AJ38,1),IF(AI38="Quarterly",EDATE(AJ38,3),IF(AI38="Semi-Annual",EDATE(AJ38,6),""))),"")</f>
        <v/>
      </c>
      <c r="AL38">
        <f>IF(AK38&lt;&gt;"",IF(AK38&lt;TODAY(),"Overdue","Current"),"")</f>
        <v/>
      </c>
    </row>
    <row r="39">
      <c r="K39">
        <f>IF(J39="v4.0",L39,IF(J39="v3.1",M39,IF(J39="Both",L39,IF(AND(L39&lt;&gt;"",M39=""),L39,M39))))</f>
        <v/>
      </c>
      <c r="Z39">
        <f>IF(Y39&lt;&gt;"",TODAY()-Y39,"")</f>
        <v/>
      </c>
      <c r="AC39">
        <f>IF(AND(AA39&lt;&gt;"",AB39&lt;&gt;""),CHOOSE(MATCH(AA39,{"Low","Medium","High","Critical"},0),25,50,75,100)-CHOOSE(MATCH(AB39,{"Low","Medium","High","Critical"},0),25,50,75,100),"")</f>
        <v/>
      </c>
      <c r="AG39">
        <f>IF(AF39&lt;&gt;"",IF(AH39="Weekly",AF39+7,IF(AH39="Monthly",EDATE(AF39,1),IF(AH39="Quarterly",EDATE(AF39,3),""))),"")</f>
        <v/>
      </c>
      <c r="AK39">
        <f>IF(AJ39&lt;&gt;"",IF(AI39="Monthly",EDATE(AJ39,1),IF(AI39="Quarterly",EDATE(AJ39,3),IF(AI39="Semi-Annual",EDATE(AJ39,6),""))),"")</f>
        <v/>
      </c>
      <c r="AL39">
        <f>IF(AK39&lt;&gt;"",IF(AK39&lt;TODAY(),"Overdue","Current"),"")</f>
        <v/>
      </c>
    </row>
    <row r="40">
      <c r="K40">
        <f>IF(J40="v4.0",L40,IF(J40="v3.1",M40,IF(J40="Both",L40,IF(AND(L40&lt;&gt;"",M40=""),L40,M40))))</f>
        <v/>
      </c>
      <c r="Z40">
        <f>IF(Y40&lt;&gt;"",TODAY()-Y40,"")</f>
        <v/>
      </c>
      <c r="AC40">
        <f>IF(AND(AA40&lt;&gt;"",AB40&lt;&gt;""),CHOOSE(MATCH(AA40,{"Low","Medium","High","Critical"},0),25,50,75,100)-CHOOSE(MATCH(AB40,{"Low","Medium","High","Critical"},0),25,50,75,100),"")</f>
        <v/>
      </c>
      <c r="AG40">
        <f>IF(AF40&lt;&gt;"",IF(AH40="Weekly",AF40+7,IF(AH40="Monthly",EDATE(AF40,1),IF(AH40="Quarterly",EDATE(AF40,3),""))),"")</f>
        <v/>
      </c>
      <c r="AK40">
        <f>IF(AJ40&lt;&gt;"",IF(AI40="Monthly",EDATE(AJ40,1),IF(AI40="Quarterly",EDATE(AJ40,3),IF(AI40="Semi-Annual",EDATE(AJ40,6),""))),"")</f>
        <v/>
      </c>
      <c r="AL40">
        <f>IF(AK40&lt;&gt;"",IF(AK40&lt;TODAY(),"Overdue","Current"),"")</f>
        <v/>
      </c>
    </row>
    <row r="41">
      <c r="K41">
        <f>IF(J41="v4.0",L41,IF(J41="v3.1",M41,IF(J41="Both",L41,IF(AND(L41&lt;&gt;"",M41=""),L41,M41))))</f>
        <v/>
      </c>
      <c r="Z41">
        <f>IF(Y41&lt;&gt;"",TODAY()-Y41,"")</f>
        <v/>
      </c>
      <c r="AC41">
        <f>IF(AND(AA41&lt;&gt;"",AB41&lt;&gt;""),CHOOSE(MATCH(AA41,{"Low","Medium","High","Critical"},0),25,50,75,100)-CHOOSE(MATCH(AB41,{"Low","Medium","High","Critical"},0),25,50,75,100),"")</f>
        <v/>
      </c>
      <c r="AG41">
        <f>IF(AF41&lt;&gt;"",IF(AH41="Weekly",AF41+7,IF(AH41="Monthly",EDATE(AF41,1),IF(AH41="Quarterly",EDATE(AF41,3),""))),"")</f>
        <v/>
      </c>
      <c r="AK41">
        <f>IF(AJ41&lt;&gt;"",IF(AI41="Monthly",EDATE(AJ41,1),IF(AI41="Quarterly",EDATE(AJ41,3),IF(AI41="Semi-Annual",EDATE(AJ41,6),""))),"")</f>
        <v/>
      </c>
      <c r="AL41">
        <f>IF(AK41&lt;&gt;"",IF(AK41&lt;TODAY(),"Overdue","Current"),"")</f>
        <v/>
      </c>
    </row>
    <row r="42">
      <c r="K42">
        <f>IF(J42="v4.0",L42,IF(J42="v3.1",M42,IF(J42="Both",L42,IF(AND(L42&lt;&gt;"",M42=""),L42,M42))))</f>
        <v/>
      </c>
      <c r="Z42">
        <f>IF(Y42&lt;&gt;"",TODAY()-Y42,"")</f>
        <v/>
      </c>
      <c r="AC42">
        <f>IF(AND(AA42&lt;&gt;"",AB42&lt;&gt;""),CHOOSE(MATCH(AA42,{"Low","Medium","High","Critical"},0),25,50,75,100)-CHOOSE(MATCH(AB42,{"Low","Medium","High","Critical"},0),25,50,75,100),"")</f>
        <v/>
      </c>
      <c r="AG42">
        <f>IF(AF42&lt;&gt;"",IF(AH42="Weekly",AF42+7,IF(AH42="Monthly",EDATE(AF42,1),IF(AH42="Quarterly",EDATE(AF42,3),""))),"")</f>
        <v/>
      </c>
      <c r="AK42">
        <f>IF(AJ42&lt;&gt;"",IF(AI42="Monthly",EDATE(AJ42,1),IF(AI42="Quarterly",EDATE(AJ42,3),IF(AI42="Semi-Annual",EDATE(AJ42,6),""))),"")</f>
        <v/>
      </c>
      <c r="AL42">
        <f>IF(AK42&lt;&gt;"",IF(AK42&lt;TODAY(),"Overdue","Current"),"")</f>
        <v/>
      </c>
    </row>
    <row r="43">
      <c r="K43">
        <f>IF(J43="v4.0",L43,IF(J43="v3.1",M43,IF(J43="Both",L43,IF(AND(L43&lt;&gt;"",M43=""),L43,M43))))</f>
        <v/>
      </c>
      <c r="Z43">
        <f>IF(Y43&lt;&gt;"",TODAY()-Y43,"")</f>
        <v/>
      </c>
      <c r="AC43">
        <f>IF(AND(AA43&lt;&gt;"",AB43&lt;&gt;""),CHOOSE(MATCH(AA43,{"Low","Medium","High","Critical"},0),25,50,75,100)-CHOOSE(MATCH(AB43,{"Low","Medium","High","Critical"},0),25,50,75,100),"")</f>
        <v/>
      </c>
      <c r="AG43">
        <f>IF(AF43&lt;&gt;"",IF(AH43="Weekly",AF43+7,IF(AH43="Monthly",EDATE(AF43,1),IF(AH43="Quarterly",EDATE(AF43,3),""))),"")</f>
        <v/>
      </c>
      <c r="AK43">
        <f>IF(AJ43&lt;&gt;"",IF(AI43="Monthly",EDATE(AJ43,1),IF(AI43="Quarterly",EDATE(AJ43,3),IF(AI43="Semi-Annual",EDATE(AJ43,6),""))),"")</f>
        <v/>
      </c>
      <c r="AL43">
        <f>IF(AK43&lt;&gt;"",IF(AK43&lt;TODAY(),"Overdue","Current"),"")</f>
        <v/>
      </c>
    </row>
    <row r="44">
      <c r="K44">
        <f>IF(J44="v4.0",L44,IF(J44="v3.1",M44,IF(J44="Both",L44,IF(AND(L44&lt;&gt;"",M44=""),L44,M44))))</f>
        <v/>
      </c>
      <c r="Z44">
        <f>IF(Y44&lt;&gt;"",TODAY()-Y44,"")</f>
        <v/>
      </c>
      <c r="AC44">
        <f>IF(AND(AA44&lt;&gt;"",AB44&lt;&gt;""),CHOOSE(MATCH(AA44,{"Low","Medium","High","Critical"},0),25,50,75,100)-CHOOSE(MATCH(AB44,{"Low","Medium","High","Critical"},0),25,50,75,100),"")</f>
        <v/>
      </c>
      <c r="AG44">
        <f>IF(AF44&lt;&gt;"",IF(AH44="Weekly",AF44+7,IF(AH44="Monthly",EDATE(AF44,1),IF(AH44="Quarterly",EDATE(AF44,3),""))),"")</f>
        <v/>
      </c>
      <c r="AK44">
        <f>IF(AJ44&lt;&gt;"",IF(AI44="Monthly",EDATE(AJ44,1),IF(AI44="Quarterly",EDATE(AJ44,3),IF(AI44="Semi-Annual",EDATE(AJ44,6),""))),"")</f>
        <v/>
      </c>
      <c r="AL44">
        <f>IF(AK44&lt;&gt;"",IF(AK44&lt;TODAY(),"Overdue","Current"),"")</f>
        <v/>
      </c>
    </row>
    <row r="45">
      <c r="K45">
        <f>IF(J45="v4.0",L45,IF(J45="v3.1",M45,IF(J45="Both",L45,IF(AND(L45&lt;&gt;"",M45=""),L45,M45))))</f>
        <v/>
      </c>
      <c r="Z45">
        <f>IF(Y45&lt;&gt;"",TODAY()-Y45,"")</f>
        <v/>
      </c>
      <c r="AC45">
        <f>IF(AND(AA45&lt;&gt;"",AB45&lt;&gt;""),CHOOSE(MATCH(AA45,{"Low","Medium","High","Critical"},0),25,50,75,100)-CHOOSE(MATCH(AB45,{"Low","Medium","High","Critical"},0),25,50,75,100),"")</f>
        <v/>
      </c>
      <c r="AG45">
        <f>IF(AF45&lt;&gt;"",IF(AH45="Weekly",AF45+7,IF(AH45="Monthly",EDATE(AF45,1),IF(AH45="Quarterly",EDATE(AF45,3),""))),"")</f>
        <v/>
      </c>
      <c r="AK45">
        <f>IF(AJ45&lt;&gt;"",IF(AI45="Monthly",EDATE(AJ45,1),IF(AI45="Quarterly",EDATE(AJ45,3),IF(AI45="Semi-Annual",EDATE(AJ45,6),""))),"")</f>
        <v/>
      </c>
      <c r="AL45">
        <f>IF(AK45&lt;&gt;"",IF(AK45&lt;TODAY(),"Overdue","Current"),"")</f>
        <v/>
      </c>
    </row>
    <row r="46">
      <c r="K46">
        <f>IF(J46="v4.0",L46,IF(J46="v3.1",M46,IF(J46="Both",L46,IF(AND(L46&lt;&gt;"",M46=""),L46,M46))))</f>
        <v/>
      </c>
      <c r="Z46">
        <f>IF(Y46&lt;&gt;"",TODAY()-Y46,"")</f>
        <v/>
      </c>
      <c r="AC46">
        <f>IF(AND(AA46&lt;&gt;"",AB46&lt;&gt;""),CHOOSE(MATCH(AA46,{"Low","Medium","High","Critical"},0),25,50,75,100)-CHOOSE(MATCH(AB46,{"Low","Medium","High","Critical"},0),25,50,75,100),"")</f>
        <v/>
      </c>
      <c r="AG46">
        <f>IF(AF46&lt;&gt;"",IF(AH46="Weekly",AF46+7,IF(AH46="Monthly",EDATE(AF46,1),IF(AH46="Quarterly",EDATE(AF46,3),""))),"")</f>
        <v/>
      </c>
      <c r="AK46">
        <f>IF(AJ46&lt;&gt;"",IF(AI46="Monthly",EDATE(AJ46,1),IF(AI46="Quarterly",EDATE(AJ46,3),IF(AI46="Semi-Annual",EDATE(AJ46,6),""))),"")</f>
        <v/>
      </c>
      <c r="AL46">
        <f>IF(AK46&lt;&gt;"",IF(AK46&lt;TODAY(),"Overdue","Current"),"")</f>
        <v/>
      </c>
    </row>
    <row r="47">
      <c r="K47">
        <f>IF(J47="v4.0",L47,IF(J47="v3.1",M47,IF(J47="Both",L47,IF(AND(L47&lt;&gt;"",M47=""),L47,M47))))</f>
        <v/>
      </c>
      <c r="Z47">
        <f>IF(Y47&lt;&gt;"",TODAY()-Y47,"")</f>
        <v/>
      </c>
      <c r="AC47">
        <f>IF(AND(AA47&lt;&gt;"",AB47&lt;&gt;""),CHOOSE(MATCH(AA47,{"Low","Medium","High","Critical"},0),25,50,75,100)-CHOOSE(MATCH(AB47,{"Low","Medium","High","Critical"},0),25,50,75,100),"")</f>
        <v/>
      </c>
      <c r="AG47">
        <f>IF(AF47&lt;&gt;"",IF(AH47="Weekly",AF47+7,IF(AH47="Monthly",EDATE(AF47,1),IF(AH47="Quarterly",EDATE(AF47,3),""))),"")</f>
        <v/>
      </c>
      <c r="AK47">
        <f>IF(AJ47&lt;&gt;"",IF(AI47="Monthly",EDATE(AJ47,1),IF(AI47="Quarterly",EDATE(AJ47,3),IF(AI47="Semi-Annual",EDATE(AJ47,6),""))),"")</f>
        <v/>
      </c>
      <c r="AL47">
        <f>IF(AK47&lt;&gt;"",IF(AK47&lt;TODAY(),"Overdue","Current"),"")</f>
        <v/>
      </c>
    </row>
    <row r="48">
      <c r="K48">
        <f>IF(J48="v4.0",L48,IF(J48="v3.1",M48,IF(J48="Both",L48,IF(AND(L48&lt;&gt;"",M48=""),L48,M48))))</f>
        <v/>
      </c>
      <c r="Z48">
        <f>IF(Y48&lt;&gt;"",TODAY()-Y48,"")</f>
        <v/>
      </c>
      <c r="AC48">
        <f>IF(AND(AA48&lt;&gt;"",AB48&lt;&gt;""),CHOOSE(MATCH(AA48,{"Low","Medium","High","Critical"},0),25,50,75,100)-CHOOSE(MATCH(AB48,{"Low","Medium","High","Critical"},0),25,50,75,100),"")</f>
        <v/>
      </c>
      <c r="AG48">
        <f>IF(AF48&lt;&gt;"",IF(AH48="Weekly",AF48+7,IF(AH48="Monthly",EDATE(AF48,1),IF(AH48="Quarterly",EDATE(AF48,3),""))),"")</f>
        <v/>
      </c>
      <c r="AK48">
        <f>IF(AJ48&lt;&gt;"",IF(AI48="Monthly",EDATE(AJ48,1),IF(AI48="Quarterly",EDATE(AJ48,3),IF(AI48="Semi-Annual",EDATE(AJ48,6),""))),"")</f>
        <v/>
      </c>
      <c r="AL48">
        <f>IF(AK48&lt;&gt;"",IF(AK48&lt;TODAY(),"Overdue","Current"),"")</f>
        <v/>
      </c>
    </row>
    <row r="49">
      <c r="K49">
        <f>IF(J49="v4.0",L49,IF(J49="v3.1",M49,IF(J49="Both",L49,IF(AND(L49&lt;&gt;"",M49=""),L49,M49))))</f>
        <v/>
      </c>
      <c r="Z49">
        <f>IF(Y49&lt;&gt;"",TODAY()-Y49,"")</f>
        <v/>
      </c>
      <c r="AC49">
        <f>IF(AND(AA49&lt;&gt;"",AB49&lt;&gt;""),CHOOSE(MATCH(AA49,{"Low","Medium","High","Critical"},0),25,50,75,100)-CHOOSE(MATCH(AB49,{"Low","Medium","High","Critical"},0),25,50,75,100),"")</f>
        <v/>
      </c>
      <c r="AG49">
        <f>IF(AF49&lt;&gt;"",IF(AH49="Weekly",AF49+7,IF(AH49="Monthly",EDATE(AF49,1),IF(AH49="Quarterly",EDATE(AF49,3),""))),"")</f>
        <v/>
      </c>
      <c r="AK49">
        <f>IF(AJ49&lt;&gt;"",IF(AI49="Monthly",EDATE(AJ49,1),IF(AI49="Quarterly",EDATE(AJ49,3),IF(AI49="Semi-Annual",EDATE(AJ49,6),""))),"")</f>
        <v/>
      </c>
      <c r="AL49">
        <f>IF(AK49&lt;&gt;"",IF(AK49&lt;TODAY(),"Overdue","Current"),"")</f>
        <v/>
      </c>
    </row>
    <row r="50">
      <c r="K50">
        <f>IF(J50="v4.0",L50,IF(J50="v3.1",M50,IF(J50="Both",L50,IF(AND(L50&lt;&gt;"",M50=""),L50,M50))))</f>
        <v/>
      </c>
      <c r="Z50">
        <f>IF(Y50&lt;&gt;"",TODAY()-Y50,"")</f>
        <v/>
      </c>
      <c r="AC50">
        <f>IF(AND(AA50&lt;&gt;"",AB50&lt;&gt;""),CHOOSE(MATCH(AA50,{"Low","Medium","High","Critical"},0),25,50,75,100)-CHOOSE(MATCH(AB50,{"Low","Medium","High","Critical"},0),25,50,75,100),"")</f>
        <v/>
      </c>
      <c r="AG50">
        <f>IF(AF50&lt;&gt;"",IF(AH50="Weekly",AF50+7,IF(AH50="Monthly",EDATE(AF50,1),IF(AH50="Quarterly",EDATE(AF50,3),""))),"")</f>
        <v/>
      </c>
      <c r="AK50">
        <f>IF(AJ50&lt;&gt;"",IF(AI50="Monthly",EDATE(AJ50,1),IF(AI50="Quarterly",EDATE(AJ50,3),IF(AI50="Semi-Annual",EDATE(AJ50,6),""))),"")</f>
        <v/>
      </c>
      <c r="AL50">
        <f>IF(AK50&lt;&gt;"",IF(AK50&lt;TODAY(),"Overdue","Current"),"")</f>
        <v/>
      </c>
    </row>
    <row r="51">
      <c r="K51">
        <f>IF(J51="v4.0",L51,IF(J51="v3.1",M51,IF(J51="Both",L51,IF(AND(L51&lt;&gt;"",M51=""),L51,M51))))</f>
        <v/>
      </c>
      <c r="Z51">
        <f>IF(Y51&lt;&gt;"",TODAY()-Y51,"")</f>
        <v/>
      </c>
      <c r="AC51">
        <f>IF(AND(AA51&lt;&gt;"",AB51&lt;&gt;""),CHOOSE(MATCH(AA51,{"Low","Medium","High","Critical"},0),25,50,75,100)-CHOOSE(MATCH(AB51,{"Low","Medium","High","Critical"},0),25,50,75,100),"")</f>
        <v/>
      </c>
      <c r="AG51">
        <f>IF(AF51&lt;&gt;"",IF(AH51="Weekly",AF51+7,IF(AH51="Monthly",EDATE(AF51,1),IF(AH51="Quarterly",EDATE(AF51,3),""))),"")</f>
        <v/>
      </c>
      <c r="AK51">
        <f>IF(AJ51&lt;&gt;"",IF(AI51="Monthly",EDATE(AJ51,1),IF(AI51="Quarterly",EDATE(AJ51,3),IF(AI51="Semi-Annual",EDATE(AJ51,6),""))),"")</f>
        <v/>
      </c>
      <c r="AL51">
        <f>IF(AK51&lt;&gt;"",IF(AK51&lt;TODAY(),"Overdue","Current"),"")</f>
        <v/>
      </c>
    </row>
    <row r="52">
      <c r="K52">
        <f>IF(J52="v4.0",L52,IF(J52="v3.1",M52,IF(J52="Both",L52,IF(AND(L52&lt;&gt;"",M52=""),L52,M52))))</f>
        <v/>
      </c>
      <c r="Z52">
        <f>IF(Y52&lt;&gt;"",TODAY()-Y52,"")</f>
        <v/>
      </c>
      <c r="AC52">
        <f>IF(AND(AA52&lt;&gt;"",AB52&lt;&gt;""),CHOOSE(MATCH(AA52,{"Low","Medium","High","Critical"},0),25,50,75,100)-CHOOSE(MATCH(AB52,{"Low","Medium","High","Critical"},0),25,50,75,100),"")</f>
        <v/>
      </c>
      <c r="AG52">
        <f>IF(AF52&lt;&gt;"",IF(AH52="Weekly",AF52+7,IF(AH52="Monthly",EDATE(AF52,1),IF(AH52="Quarterly",EDATE(AF52,3),""))),"")</f>
        <v/>
      </c>
      <c r="AK52">
        <f>IF(AJ52&lt;&gt;"",IF(AI52="Monthly",EDATE(AJ52,1),IF(AI52="Quarterly",EDATE(AJ52,3),IF(AI52="Semi-Annual",EDATE(AJ52,6),""))),"")</f>
        <v/>
      </c>
      <c r="AL52">
        <f>IF(AK52&lt;&gt;"",IF(AK52&lt;TODAY(),"Overdue","Current"),"")</f>
        <v/>
      </c>
    </row>
    <row r="53">
      <c r="K53">
        <f>IF(J53="v4.0",L53,IF(J53="v3.1",M53,IF(J53="Both",L53,IF(AND(L53&lt;&gt;"",M53=""),L53,M53))))</f>
        <v/>
      </c>
      <c r="Z53">
        <f>IF(Y53&lt;&gt;"",TODAY()-Y53,"")</f>
        <v/>
      </c>
      <c r="AC53">
        <f>IF(AND(AA53&lt;&gt;"",AB53&lt;&gt;""),CHOOSE(MATCH(AA53,{"Low","Medium","High","Critical"},0),25,50,75,100)-CHOOSE(MATCH(AB53,{"Low","Medium","High","Critical"},0),25,50,75,100),"")</f>
        <v/>
      </c>
      <c r="AG53">
        <f>IF(AF53&lt;&gt;"",IF(AH53="Weekly",AF53+7,IF(AH53="Monthly",EDATE(AF53,1),IF(AH53="Quarterly",EDATE(AF53,3),""))),"")</f>
        <v/>
      </c>
      <c r="AK53">
        <f>IF(AJ53&lt;&gt;"",IF(AI53="Monthly",EDATE(AJ53,1),IF(AI53="Quarterly",EDATE(AJ53,3),IF(AI53="Semi-Annual",EDATE(AJ53,6),""))),"")</f>
        <v/>
      </c>
      <c r="AL53">
        <f>IF(AK53&lt;&gt;"",IF(AK53&lt;TODAY(),"Overdue","Current"),"")</f>
        <v/>
      </c>
    </row>
    <row r="54">
      <c r="K54">
        <f>IF(J54="v4.0",L54,IF(J54="v3.1",M54,IF(J54="Both",L54,IF(AND(L54&lt;&gt;"",M54=""),L54,M54))))</f>
        <v/>
      </c>
      <c r="Z54">
        <f>IF(Y54&lt;&gt;"",TODAY()-Y54,"")</f>
        <v/>
      </c>
      <c r="AC54">
        <f>IF(AND(AA54&lt;&gt;"",AB54&lt;&gt;""),CHOOSE(MATCH(AA54,{"Low","Medium","High","Critical"},0),25,50,75,100)-CHOOSE(MATCH(AB54,{"Low","Medium","High","Critical"},0),25,50,75,100),"")</f>
        <v/>
      </c>
      <c r="AG54">
        <f>IF(AF54&lt;&gt;"",IF(AH54="Weekly",AF54+7,IF(AH54="Monthly",EDATE(AF54,1),IF(AH54="Quarterly",EDATE(AF54,3),""))),"")</f>
        <v/>
      </c>
      <c r="AK54">
        <f>IF(AJ54&lt;&gt;"",IF(AI54="Monthly",EDATE(AJ54,1),IF(AI54="Quarterly",EDATE(AJ54,3),IF(AI54="Semi-Annual",EDATE(AJ54,6),""))),"")</f>
        <v/>
      </c>
      <c r="AL54">
        <f>IF(AK54&lt;&gt;"",IF(AK54&lt;TODAY(),"Overdue","Current"),"")</f>
        <v/>
      </c>
    </row>
    <row r="55">
      <c r="K55">
        <f>IF(J55="v4.0",L55,IF(J55="v3.1",M55,IF(J55="Both",L55,IF(AND(L55&lt;&gt;"",M55=""),L55,M55))))</f>
        <v/>
      </c>
      <c r="Z55">
        <f>IF(Y55&lt;&gt;"",TODAY()-Y55,"")</f>
        <v/>
      </c>
      <c r="AC55">
        <f>IF(AND(AA55&lt;&gt;"",AB55&lt;&gt;""),CHOOSE(MATCH(AA55,{"Low","Medium","High","Critical"},0),25,50,75,100)-CHOOSE(MATCH(AB55,{"Low","Medium","High","Critical"},0),25,50,75,100),"")</f>
        <v/>
      </c>
      <c r="AG55">
        <f>IF(AF55&lt;&gt;"",IF(AH55="Weekly",AF55+7,IF(AH55="Monthly",EDATE(AF55,1),IF(AH55="Quarterly",EDATE(AF55,3),""))),"")</f>
        <v/>
      </c>
      <c r="AK55">
        <f>IF(AJ55&lt;&gt;"",IF(AI55="Monthly",EDATE(AJ55,1),IF(AI55="Quarterly",EDATE(AJ55,3),IF(AI55="Semi-Annual",EDATE(AJ55,6),""))),"")</f>
        <v/>
      </c>
      <c r="AL55">
        <f>IF(AK55&lt;&gt;"",IF(AK55&lt;TODAY(),"Overdue","Current"),"")</f>
        <v/>
      </c>
    </row>
    <row r="56">
      <c r="K56">
        <f>IF(J56="v4.0",L56,IF(J56="v3.1",M56,IF(J56="Both",L56,IF(AND(L56&lt;&gt;"",M56=""),L56,M56))))</f>
        <v/>
      </c>
      <c r="Z56">
        <f>IF(Y56&lt;&gt;"",TODAY()-Y56,"")</f>
        <v/>
      </c>
      <c r="AC56">
        <f>IF(AND(AA56&lt;&gt;"",AB56&lt;&gt;""),CHOOSE(MATCH(AA56,{"Low","Medium","High","Critical"},0),25,50,75,100)-CHOOSE(MATCH(AB56,{"Low","Medium","High","Critical"},0),25,50,75,100),"")</f>
        <v/>
      </c>
      <c r="AG56">
        <f>IF(AF56&lt;&gt;"",IF(AH56="Weekly",AF56+7,IF(AH56="Monthly",EDATE(AF56,1),IF(AH56="Quarterly",EDATE(AF56,3),""))),"")</f>
        <v/>
      </c>
      <c r="AK56">
        <f>IF(AJ56&lt;&gt;"",IF(AI56="Monthly",EDATE(AJ56,1),IF(AI56="Quarterly",EDATE(AJ56,3),IF(AI56="Semi-Annual",EDATE(AJ56,6),""))),"")</f>
        <v/>
      </c>
      <c r="AL56">
        <f>IF(AK56&lt;&gt;"",IF(AK56&lt;TODAY(),"Overdue","Current"),"")</f>
        <v/>
      </c>
    </row>
    <row r="57">
      <c r="K57">
        <f>IF(J57="v4.0",L57,IF(J57="v3.1",M57,IF(J57="Both",L57,IF(AND(L57&lt;&gt;"",M57=""),L57,M57))))</f>
        <v/>
      </c>
      <c r="Z57">
        <f>IF(Y57&lt;&gt;"",TODAY()-Y57,"")</f>
        <v/>
      </c>
      <c r="AC57">
        <f>IF(AND(AA57&lt;&gt;"",AB57&lt;&gt;""),CHOOSE(MATCH(AA57,{"Low","Medium","High","Critical"},0),25,50,75,100)-CHOOSE(MATCH(AB57,{"Low","Medium","High","Critical"},0),25,50,75,100),"")</f>
        <v/>
      </c>
      <c r="AG57">
        <f>IF(AF57&lt;&gt;"",IF(AH57="Weekly",AF57+7,IF(AH57="Monthly",EDATE(AF57,1),IF(AH57="Quarterly",EDATE(AF57,3),""))),"")</f>
        <v/>
      </c>
      <c r="AK57">
        <f>IF(AJ57&lt;&gt;"",IF(AI57="Monthly",EDATE(AJ57,1),IF(AI57="Quarterly",EDATE(AJ57,3),IF(AI57="Semi-Annual",EDATE(AJ57,6),""))),"")</f>
        <v/>
      </c>
      <c r="AL57">
        <f>IF(AK57&lt;&gt;"",IF(AK57&lt;TODAY(),"Overdue","Current"),"")</f>
        <v/>
      </c>
    </row>
    <row r="58">
      <c r="K58">
        <f>IF(J58="v4.0",L58,IF(J58="v3.1",M58,IF(J58="Both",L58,IF(AND(L58&lt;&gt;"",M58=""),L58,M58))))</f>
        <v/>
      </c>
      <c r="Z58">
        <f>IF(Y58&lt;&gt;"",TODAY()-Y58,"")</f>
        <v/>
      </c>
      <c r="AC58">
        <f>IF(AND(AA58&lt;&gt;"",AB58&lt;&gt;""),CHOOSE(MATCH(AA58,{"Low","Medium","High","Critical"},0),25,50,75,100)-CHOOSE(MATCH(AB58,{"Low","Medium","High","Critical"},0),25,50,75,100),"")</f>
        <v/>
      </c>
      <c r="AG58">
        <f>IF(AF58&lt;&gt;"",IF(AH58="Weekly",AF58+7,IF(AH58="Monthly",EDATE(AF58,1),IF(AH58="Quarterly",EDATE(AF58,3),""))),"")</f>
        <v/>
      </c>
      <c r="AK58">
        <f>IF(AJ58&lt;&gt;"",IF(AI58="Monthly",EDATE(AJ58,1),IF(AI58="Quarterly",EDATE(AJ58,3),IF(AI58="Semi-Annual",EDATE(AJ58,6),""))),"")</f>
        <v/>
      </c>
      <c r="AL58">
        <f>IF(AK58&lt;&gt;"",IF(AK58&lt;TODAY(),"Overdue","Current"),"")</f>
        <v/>
      </c>
    </row>
    <row r="59">
      <c r="K59">
        <f>IF(J59="v4.0",L59,IF(J59="v3.1",M59,IF(J59="Both",L59,IF(AND(L59&lt;&gt;"",M59=""),L59,M59))))</f>
        <v/>
      </c>
      <c r="Z59">
        <f>IF(Y59&lt;&gt;"",TODAY()-Y59,"")</f>
        <v/>
      </c>
      <c r="AC59">
        <f>IF(AND(AA59&lt;&gt;"",AB59&lt;&gt;""),CHOOSE(MATCH(AA59,{"Low","Medium","High","Critical"},0),25,50,75,100)-CHOOSE(MATCH(AB59,{"Low","Medium","High","Critical"},0),25,50,75,100),"")</f>
        <v/>
      </c>
      <c r="AG59">
        <f>IF(AF59&lt;&gt;"",IF(AH59="Weekly",AF59+7,IF(AH59="Monthly",EDATE(AF59,1),IF(AH59="Quarterly",EDATE(AF59,3),""))),"")</f>
        <v/>
      </c>
      <c r="AK59">
        <f>IF(AJ59&lt;&gt;"",IF(AI59="Monthly",EDATE(AJ59,1),IF(AI59="Quarterly",EDATE(AJ59,3),IF(AI59="Semi-Annual",EDATE(AJ59,6),""))),"")</f>
        <v/>
      </c>
      <c r="AL59">
        <f>IF(AK59&lt;&gt;"",IF(AK59&lt;TODAY(),"Overdue","Current"),"")</f>
        <v/>
      </c>
    </row>
    <row r="60">
      <c r="K60">
        <f>IF(J60="v4.0",L60,IF(J60="v3.1",M60,IF(J60="Both",L60,IF(AND(L60&lt;&gt;"",M60=""),L60,M60))))</f>
        <v/>
      </c>
      <c r="Z60">
        <f>IF(Y60&lt;&gt;"",TODAY()-Y60,"")</f>
        <v/>
      </c>
      <c r="AC60">
        <f>IF(AND(AA60&lt;&gt;"",AB60&lt;&gt;""),CHOOSE(MATCH(AA60,{"Low","Medium","High","Critical"},0),25,50,75,100)-CHOOSE(MATCH(AB60,{"Low","Medium","High","Critical"},0),25,50,75,100),"")</f>
        <v/>
      </c>
      <c r="AG60">
        <f>IF(AF60&lt;&gt;"",IF(AH60="Weekly",AF60+7,IF(AH60="Monthly",EDATE(AF60,1),IF(AH60="Quarterly",EDATE(AF60,3),""))),"")</f>
        <v/>
      </c>
      <c r="AK60">
        <f>IF(AJ60&lt;&gt;"",IF(AI60="Monthly",EDATE(AJ60,1),IF(AI60="Quarterly",EDATE(AJ60,3),IF(AI60="Semi-Annual",EDATE(AJ60,6),""))),"")</f>
        <v/>
      </c>
      <c r="AL60">
        <f>IF(AK60&lt;&gt;"",IF(AK60&lt;TODAY(),"Overdue","Current"),"")</f>
        <v/>
      </c>
    </row>
    <row r="61">
      <c r="K61">
        <f>IF(J61="v4.0",L61,IF(J61="v3.1",M61,IF(J61="Both",L61,IF(AND(L61&lt;&gt;"",M61=""),L61,M61))))</f>
        <v/>
      </c>
      <c r="Z61">
        <f>IF(Y61&lt;&gt;"",TODAY()-Y61,"")</f>
        <v/>
      </c>
      <c r="AC61">
        <f>IF(AND(AA61&lt;&gt;"",AB61&lt;&gt;""),CHOOSE(MATCH(AA61,{"Low","Medium","High","Critical"},0),25,50,75,100)-CHOOSE(MATCH(AB61,{"Low","Medium","High","Critical"},0),25,50,75,100),"")</f>
        <v/>
      </c>
      <c r="AG61">
        <f>IF(AF61&lt;&gt;"",IF(AH61="Weekly",AF61+7,IF(AH61="Monthly",EDATE(AF61,1),IF(AH61="Quarterly",EDATE(AF61,3),""))),"")</f>
        <v/>
      </c>
      <c r="AK61">
        <f>IF(AJ61&lt;&gt;"",IF(AI61="Monthly",EDATE(AJ61,1),IF(AI61="Quarterly",EDATE(AJ61,3),IF(AI61="Semi-Annual",EDATE(AJ61,6),""))),"")</f>
        <v/>
      </c>
      <c r="AL61">
        <f>IF(AK61&lt;&gt;"",IF(AK61&lt;TODAY(),"Overdue","Current"),"")</f>
        <v/>
      </c>
    </row>
    <row r="62">
      <c r="K62">
        <f>IF(J62="v4.0",L62,IF(J62="v3.1",M62,IF(J62="Both",L62,IF(AND(L62&lt;&gt;"",M62=""),L62,M62))))</f>
        <v/>
      </c>
      <c r="Z62">
        <f>IF(Y62&lt;&gt;"",TODAY()-Y62,"")</f>
        <v/>
      </c>
      <c r="AC62">
        <f>IF(AND(AA62&lt;&gt;"",AB62&lt;&gt;""),CHOOSE(MATCH(AA62,{"Low","Medium","High","Critical"},0),25,50,75,100)-CHOOSE(MATCH(AB62,{"Low","Medium","High","Critical"},0),25,50,75,100),"")</f>
        <v/>
      </c>
      <c r="AG62">
        <f>IF(AF62&lt;&gt;"",IF(AH62="Weekly",AF62+7,IF(AH62="Monthly",EDATE(AF62,1),IF(AH62="Quarterly",EDATE(AF62,3),""))),"")</f>
        <v/>
      </c>
      <c r="AK62">
        <f>IF(AJ62&lt;&gt;"",IF(AI62="Monthly",EDATE(AJ62,1),IF(AI62="Quarterly",EDATE(AJ62,3),IF(AI62="Semi-Annual",EDATE(AJ62,6),""))),"")</f>
        <v/>
      </c>
      <c r="AL62">
        <f>IF(AK62&lt;&gt;"",IF(AK62&lt;TODAY(),"Overdue","Current"),"")</f>
        <v/>
      </c>
    </row>
    <row r="63">
      <c r="K63">
        <f>IF(J63="v4.0",L63,IF(J63="v3.1",M63,IF(J63="Both",L63,IF(AND(L63&lt;&gt;"",M63=""),L63,M63))))</f>
        <v/>
      </c>
      <c r="Z63">
        <f>IF(Y63&lt;&gt;"",TODAY()-Y63,"")</f>
        <v/>
      </c>
      <c r="AC63">
        <f>IF(AND(AA63&lt;&gt;"",AB63&lt;&gt;""),CHOOSE(MATCH(AA63,{"Low","Medium","High","Critical"},0),25,50,75,100)-CHOOSE(MATCH(AB63,{"Low","Medium","High","Critical"},0),25,50,75,100),"")</f>
        <v/>
      </c>
      <c r="AG63">
        <f>IF(AF63&lt;&gt;"",IF(AH63="Weekly",AF63+7,IF(AH63="Monthly",EDATE(AF63,1),IF(AH63="Quarterly",EDATE(AF63,3),""))),"")</f>
        <v/>
      </c>
      <c r="AK63">
        <f>IF(AJ63&lt;&gt;"",IF(AI63="Monthly",EDATE(AJ63,1),IF(AI63="Quarterly",EDATE(AJ63,3),IF(AI63="Semi-Annual",EDATE(AJ63,6),""))),"")</f>
        <v/>
      </c>
      <c r="AL63">
        <f>IF(AK63&lt;&gt;"",IF(AK63&lt;TODAY(),"Overdue","Current"),"")</f>
        <v/>
      </c>
    </row>
    <row r="64">
      <c r="K64">
        <f>IF(J64="v4.0",L64,IF(J64="v3.1",M64,IF(J64="Both",L64,IF(AND(L64&lt;&gt;"",M64=""),L64,M64))))</f>
        <v/>
      </c>
      <c r="Z64">
        <f>IF(Y64&lt;&gt;"",TODAY()-Y64,"")</f>
        <v/>
      </c>
      <c r="AC64">
        <f>IF(AND(AA64&lt;&gt;"",AB64&lt;&gt;""),CHOOSE(MATCH(AA64,{"Low","Medium","High","Critical"},0),25,50,75,100)-CHOOSE(MATCH(AB64,{"Low","Medium","High","Critical"},0),25,50,75,100),"")</f>
        <v/>
      </c>
      <c r="AG64">
        <f>IF(AF64&lt;&gt;"",IF(AH64="Weekly",AF64+7,IF(AH64="Monthly",EDATE(AF64,1),IF(AH64="Quarterly",EDATE(AF64,3),""))),"")</f>
        <v/>
      </c>
      <c r="AK64">
        <f>IF(AJ64&lt;&gt;"",IF(AI64="Monthly",EDATE(AJ64,1),IF(AI64="Quarterly",EDATE(AJ64,3),IF(AI64="Semi-Annual",EDATE(AJ64,6),""))),"")</f>
        <v/>
      </c>
      <c r="AL64">
        <f>IF(AK64&lt;&gt;"",IF(AK64&lt;TODAY(),"Overdue","Current"),"")</f>
        <v/>
      </c>
    </row>
    <row r="65">
      <c r="K65">
        <f>IF(J65="v4.0",L65,IF(J65="v3.1",M65,IF(J65="Both",L65,IF(AND(L65&lt;&gt;"",M65=""),L65,M65))))</f>
        <v/>
      </c>
      <c r="Z65">
        <f>IF(Y65&lt;&gt;"",TODAY()-Y65,"")</f>
        <v/>
      </c>
      <c r="AC65">
        <f>IF(AND(AA65&lt;&gt;"",AB65&lt;&gt;""),CHOOSE(MATCH(AA65,{"Low","Medium","High","Critical"},0),25,50,75,100)-CHOOSE(MATCH(AB65,{"Low","Medium","High","Critical"},0),25,50,75,100),"")</f>
        <v/>
      </c>
      <c r="AG65">
        <f>IF(AF65&lt;&gt;"",IF(AH65="Weekly",AF65+7,IF(AH65="Monthly",EDATE(AF65,1),IF(AH65="Quarterly",EDATE(AF65,3),""))),"")</f>
        <v/>
      </c>
      <c r="AK65">
        <f>IF(AJ65&lt;&gt;"",IF(AI65="Monthly",EDATE(AJ65,1),IF(AI65="Quarterly",EDATE(AJ65,3),IF(AI65="Semi-Annual",EDATE(AJ65,6),""))),"")</f>
        <v/>
      </c>
      <c r="AL65">
        <f>IF(AK65&lt;&gt;"",IF(AK65&lt;TODAY(),"Overdue","Current"),"")</f>
        <v/>
      </c>
    </row>
    <row r="66">
      <c r="K66">
        <f>IF(J66="v4.0",L66,IF(J66="v3.1",M66,IF(J66="Both",L66,IF(AND(L66&lt;&gt;"",M66=""),L66,M66))))</f>
        <v/>
      </c>
      <c r="Z66">
        <f>IF(Y66&lt;&gt;"",TODAY()-Y66,"")</f>
        <v/>
      </c>
      <c r="AC66">
        <f>IF(AND(AA66&lt;&gt;"",AB66&lt;&gt;""),CHOOSE(MATCH(AA66,{"Low","Medium","High","Critical"},0),25,50,75,100)-CHOOSE(MATCH(AB66,{"Low","Medium","High","Critical"},0),25,50,75,100),"")</f>
        <v/>
      </c>
      <c r="AG66">
        <f>IF(AF66&lt;&gt;"",IF(AH66="Weekly",AF66+7,IF(AH66="Monthly",EDATE(AF66,1),IF(AH66="Quarterly",EDATE(AF66,3),""))),"")</f>
        <v/>
      </c>
      <c r="AK66">
        <f>IF(AJ66&lt;&gt;"",IF(AI66="Monthly",EDATE(AJ66,1),IF(AI66="Quarterly",EDATE(AJ66,3),IF(AI66="Semi-Annual",EDATE(AJ66,6),""))),"")</f>
        <v/>
      </c>
      <c r="AL66">
        <f>IF(AK66&lt;&gt;"",IF(AK66&lt;TODAY(),"Overdue","Current"),"")</f>
        <v/>
      </c>
    </row>
    <row r="67">
      <c r="K67">
        <f>IF(J67="v4.0",L67,IF(J67="v3.1",M67,IF(J67="Both",L67,IF(AND(L67&lt;&gt;"",M67=""),L67,M67))))</f>
        <v/>
      </c>
      <c r="Z67">
        <f>IF(Y67&lt;&gt;"",TODAY()-Y67,"")</f>
        <v/>
      </c>
      <c r="AC67">
        <f>IF(AND(AA67&lt;&gt;"",AB67&lt;&gt;""),CHOOSE(MATCH(AA67,{"Low","Medium","High","Critical"},0),25,50,75,100)-CHOOSE(MATCH(AB67,{"Low","Medium","High","Critical"},0),25,50,75,100),"")</f>
        <v/>
      </c>
      <c r="AG67">
        <f>IF(AF67&lt;&gt;"",IF(AH67="Weekly",AF67+7,IF(AH67="Monthly",EDATE(AF67,1),IF(AH67="Quarterly",EDATE(AF67,3),""))),"")</f>
        <v/>
      </c>
      <c r="AK67">
        <f>IF(AJ67&lt;&gt;"",IF(AI67="Monthly",EDATE(AJ67,1),IF(AI67="Quarterly",EDATE(AJ67,3),IF(AI67="Semi-Annual",EDATE(AJ67,6),""))),"")</f>
        <v/>
      </c>
      <c r="AL67">
        <f>IF(AK67&lt;&gt;"",IF(AK67&lt;TODAY(),"Overdue","Current"),"")</f>
        <v/>
      </c>
    </row>
    <row r="68">
      <c r="K68">
        <f>IF(J68="v4.0",L68,IF(J68="v3.1",M68,IF(J68="Both",L68,IF(AND(L68&lt;&gt;"",M68=""),L68,M68))))</f>
        <v/>
      </c>
      <c r="Z68">
        <f>IF(Y68&lt;&gt;"",TODAY()-Y68,"")</f>
        <v/>
      </c>
      <c r="AC68">
        <f>IF(AND(AA68&lt;&gt;"",AB68&lt;&gt;""),CHOOSE(MATCH(AA68,{"Low","Medium","High","Critical"},0),25,50,75,100)-CHOOSE(MATCH(AB68,{"Low","Medium","High","Critical"},0),25,50,75,100),"")</f>
        <v/>
      </c>
      <c r="AG68">
        <f>IF(AF68&lt;&gt;"",IF(AH68="Weekly",AF68+7,IF(AH68="Monthly",EDATE(AF68,1),IF(AH68="Quarterly",EDATE(AF68,3),""))),"")</f>
        <v/>
      </c>
      <c r="AK68">
        <f>IF(AJ68&lt;&gt;"",IF(AI68="Monthly",EDATE(AJ68,1),IF(AI68="Quarterly",EDATE(AJ68,3),IF(AI68="Semi-Annual",EDATE(AJ68,6),""))),"")</f>
        <v/>
      </c>
      <c r="AL68">
        <f>IF(AK68&lt;&gt;"",IF(AK68&lt;TODAY(),"Overdue","Current"),"")</f>
        <v/>
      </c>
    </row>
    <row r="69">
      <c r="K69">
        <f>IF(J69="v4.0",L69,IF(J69="v3.1",M69,IF(J69="Both",L69,IF(AND(L69&lt;&gt;"",M69=""),L69,M69))))</f>
        <v/>
      </c>
      <c r="Z69">
        <f>IF(Y69&lt;&gt;"",TODAY()-Y69,"")</f>
        <v/>
      </c>
      <c r="AC69">
        <f>IF(AND(AA69&lt;&gt;"",AB69&lt;&gt;""),CHOOSE(MATCH(AA69,{"Low","Medium","High","Critical"},0),25,50,75,100)-CHOOSE(MATCH(AB69,{"Low","Medium","High","Critical"},0),25,50,75,100),"")</f>
        <v/>
      </c>
      <c r="AG69">
        <f>IF(AF69&lt;&gt;"",IF(AH69="Weekly",AF69+7,IF(AH69="Monthly",EDATE(AF69,1),IF(AH69="Quarterly",EDATE(AF69,3),""))),"")</f>
        <v/>
      </c>
      <c r="AK69">
        <f>IF(AJ69&lt;&gt;"",IF(AI69="Monthly",EDATE(AJ69,1),IF(AI69="Quarterly",EDATE(AJ69,3),IF(AI69="Semi-Annual",EDATE(AJ69,6),""))),"")</f>
        <v/>
      </c>
      <c r="AL69">
        <f>IF(AK69&lt;&gt;"",IF(AK69&lt;TODAY(),"Overdue","Current"),"")</f>
        <v/>
      </c>
    </row>
    <row r="70">
      <c r="K70">
        <f>IF(J70="v4.0",L70,IF(J70="v3.1",M70,IF(J70="Both",L70,IF(AND(L70&lt;&gt;"",M70=""),L70,M70))))</f>
        <v/>
      </c>
      <c r="Z70">
        <f>IF(Y70&lt;&gt;"",TODAY()-Y70,"")</f>
        <v/>
      </c>
      <c r="AC70">
        <f>IF(AND(AA70&lt;&gt;"",AB70&lt;&gt;""),CHOOSE(MATCH(AA70,{"Low","Medium","High","Critical"},0),25,50,75,100)-CHOOSE(MATCH(AB70,{"Low","Medium","High","Critical"},0),25,50,75,100),"")</f>
        <v/>
      </c>
      <c r="AG70">
        <f>IF(AF70&lt;&gt;"",IF(AH70="Weekly",AF70+7,IF(AH70="Monthly",EDATE(AF70,1),IF(AH70="Quarterly",EDATE(AF70,3),""))),"")</f>
        <v/>
      </c>
      <c r="AK70">
        <f>IF(AJ70&lt;&gt;"",IF(AI70="Monthly",EDATE(AJ70,1),IF(AI70="Quarterly",EDATE(AJ70,3),IF(AI70="Semi-Annual",EDATE(AJ70,6),""))),"")</f>
        <v/>
      </c>
      <c r="AL70">
        <f>IF(AK70&lt;&gt;"",IF(AK70&lt;TODAY(),"Overdue","Current"),"")</f>
        <v/>
      </c>
    </row>
    <row r="71">
      <c r="K71">
        <f>IF(J71="v4.0",L71,IF(J71="v3.1",M71,IF(J71="Both",L71,IF(AND(L71&lt;&gt;"",M71=""),L71,M71))))</f>
        <v/>
      </c>
      <c r="Z71">
        <f>IF(Y71&lt;&gt;"",TODAY()-Y71,"")</f>
        <v/>
      </c>
      <c r="AC71">
        <f>IF(AND(AA71&lt;&gt;"",AB71&lt;&gt;""),CHOOSE(MATCH(AA71,{"Low","Medium","High","Critical"},0),25,50,75,100)-CHOOSE(MATCH(AB71,{"Low","Medium","High","Critical"},0),25,50,75,100),"")</f>
        <v/>
      </c>
      <c r="AG71">
        <f>IF(AF71&lt;&gt;"",IF(AH71="Weekly",AF71+7,IF(AH71="Monthly",EDATE(AF71,1),IF(AH71="Quarterly",EDATE(AF71,3),""))),"")</f>
        <v/>
      </c>
      <c r="AK71">
        <f>IF(AJ71&lt;&gt;"",IF(AI71="Monthly",EDATE(AJ71,1),IF(AI71="Quarterly",EDATE(AJ71,3),IF(AI71="Semi-Annual",EDATE(AJ71,6),""))),"")</f>
        <v/>
      </c>
      <c r="AL71">
        <f>IF(AK71&lt;&gt;"",IF(AK71&lt;TODAY(),"Overdue","Current"),"")</f>
        <v/>
      </c>
    </row>
    <row r="72">
      <c r="K72">
        <f>IF(J72="v4.0",L72,IF(J72="v3.1",M72,IF(J72="Both",L72,IF(AND(L72&lt;&gt;"",M72=""),L72,M72))))</f>
        <v/>
      </c>
      <c r="Z72">
        <f>IF(Y72&lt;&gt;"",TODAY()-Y72,"")</f>
        <v/>
      </c>
      <c r="AC72">
        <f>IF(AND(AA72&lt;&gt;"",AB72&lt;&gt;""),CHOOSE(MATCH(AA72,{"Low","Medium","High","Critical"},0),25,50,75,100)-CHOOSE(MATCH(AB72,{"Low","Medium","High","Critical"},0),25,50,75,100),"")</f>
        <v/>
      </c>
      <c r="AG72">
        <f>IF(AF72&lt;&gt;"",IF(AH72="Weekly",AF72+7,IF(AH72="Monthly",EDATE(AF72,1),IF(AH72="Quarterly",EDATE(AF72,3),""))),"")</f>
        <v/>
      </c>
      <c r="AK72">
        <f>IF(AJ72&lt;&gt;"",IF(AI72="Monthly",EDATE(AJ72,1),IF(AI72="Quarterly",EDATE(AJ72,3),IF(AI72="Semi-Annual",EDATE(AJ72,6),""))),"")</f>
        <v/>
      </c>
      <c r="AL72">
        <f>IF(AK72&lt;&gt;"",IF(AK72&lt;TODAY(),"Overdue","Current"),"")</f>
        <v/>
      </c>
    </row>
    <row r="73">
      <c r="K73">
        <f>IF(J73="v4.0",L73,IF(J73="v3.1",M73,IF(J73="Both",L73,IF(AND(L73&lt;&gt;"",M73=""),L73,M73))))</f>
        <v/>
      </c>
      <c r="Z73">
        <f>IF(Y73&lt;&gt;"",TODAY()-Y73,"")</f>
        <v/>
      </c>
      <c r="AC73">
        <f>IF(AND(AA73&lt;&gt;"",AB73&lt;&gt;""),CHOOSE(MATCH(AA73,{"Low","Medium","High","Critical"},0),25,50,75,100)-CHOOSE(MATCH(AB73,{"Low","Medium","High","Critical"},0),25,50,75,100),"")</f>
        <v/>
      </c>
      <c r="AG73">
        <f>IF(AF73&lt;&gt;"",IF(AH73="Weekly",AF73+7,IF(AH73="Monthly",EDATE(AF73,1),IF(AH73="Quarterly",EDATE(AF73,3),""))),"")</f>
        <v/>
      </c>
      <c r="AK73">
        <f>IF(AJ73&lt;&gt;"",IF(AI73="Monthly",EDATE(AJ73,1),IF(AI73="Quarterly",EDATE(AJ73,3),IF(AI73="Semi-Annual",EDATE(AJ73,6),""))),"")</f>
        <v/>
      </c>
      <c r="AL73">
        <f>IF(AK73&lt;&gt;"",IF(AK73&lt;TODAY(),"Overdue","Current"),"")</f>
        <v/>
      </c>
    </row>
    <row r="74">
      <c r="K74">
        <f>IF(J74="v4.0",L74,IF(J74="v3.1",M74,IF(J74="Both",L74,IF(AND(L74&lt;&gt;"",M74=""),L74,M74))))</f>
        <v/>
      </c>
      <c r="Z74">
        <f>IF(Y74&lt;&gt;"",TODAY()-Y74,"")</f>
        <v/>
      </c>
      <c r="AC74">
        <f>IF(AND(AA74&lt;&gt;"",AB74&lt;&gt;""),CHOOSE(MATCH(AA74,{"Low","Medium","High","Critical"},0),25,50,75,100)-CHOOSE(MATCH(AB74,{"Low","Medium","High","Critical"},0),25,50,75,100),"")</f>
        <v/>
      </c>
      <c r="AG74">
        <f>IF(AF74&lt;&gt;"",IF(AH74="Weekly",AF74+7,IF(AH74="Monthly",EDATE(AF74,1),IF(AH74="Quarterly",EDATE(AF74,3),""))),"")</f>
        <v/>
      </c>
      <c r="AK74">
        <f>IF(AJ74&lt;&gt;"",IF(AI74="Monthly",EDATE(AJ74,1),IF(AI74="Quarterly",EDATE(AJ74,3),IF(AI74="Semi-Annual",EDATE(AJ74,6),""))),"")</f>
        <v/>
      </c>
      <c r="AL74">
        <f>IF(AK74&lt;&gt;"",IF(AK74&lt;TODAY(),"Overdue","Current"),"")</f>
        <v/>
      </c>
    </row>
    <row r="75">
      <c r="K75">
        <f>IF(J75="v4.0",L75,IF(J75="v3.1",M75,IF(J75="Both",L75,IF(AND(L75&lt;&gt;"",M75=""),L75,M75))))</f>
        <v/>
      </c>
      <c r="Z75">
        <f>IF(Y75&lt;&gt;"",TODAY()-Y75,"")</f>
        <v/>
      </c>
      <c r="AC75">
        <f>IF(AND(AA75&lt;&gt;"",AB75&lt;&gt;""),CHOOSE(MATCH(AA75,{"Low","Medium","High","Critical"},0),25,50,75,100)-CHOOSE(MATCH(AB75,{"Low","Medium","High","Critical"},0),25,50,75,100),"")</f>
        <v/>
      </c>
      <c r="AG75">
        <f>IF(AF75&lt;&gt;"",IF(AH75="Weekly",AF75+7,IF(AH75="Monthly",EDATE(AF75,1),IF(AH75="Quarterly",EDATE(AF75,3),""))),"")</f>
        <v/>
      </c>
      <c r="AK75">
        <f>IF(AJ75&lt;&gt;"",IF(AI75="Monthly",EDATE(AJ75,1),IF(AI75="Quarterly",EDATE(AJ75,3),IF(AI75="Semi-Annual",EDATE(AJ75,6),""))),"")</f>
        <v/>
      </c>
      <c r="AL75">
        <f>IF(AK75&lt;&gt;"",IF(AK75&lt;TODAY(),"Overdue","Current"),"")</f>
        <v/>
      </c>
    </row>
    <row r="76">
      <c r="K76">
        <f>IF(J76="v4.0",L76,IF(J76="v3.1",M76,IF(J76="Both",L76,IF(AND(L76&lt;&gt;"",M76=""),L76,M76))))</f>
        <v/>
      </c>
      <c r="Z76">
        <f>IF(Y76&lt;&gt;"",TODAY()-Y76,"")</f>
        <v/>
      </c>
      <c r="AC76">
        <f>IF(AND(AA76&lt;&gt;"",AB76&lt;&gt;""),CHOOSE(MATCH(AA76,{"Low","Medium","High","Critical"},0),25,50,75,100)-CHOOSE(MATCH(AB76,{"Low","Medium","High","Critical"},0),25,50,75,100),"")</f>
        <v/>
      </c>
      <c r="AG76">
        <f>IF(AF76&lt;&gt;"",IF(AH76="Weekly",AF76+7,IF(AH76="Monthly",EDATE(AF76,1),IF(AH76="Quarterly",EDATE(AF76,3),""))),"")</f>
        <v/>
      </c>
      <c r="AK76">
        <f>IF(AJ76&lt;&gt;"",IF(AI76="Monthly",EDATE(AJ76,1),IF(AI76="Quarterly",EDATE(AJ76,3),IF(AI76="Semi-Annual",EDATE(AJ76,6),""))),"")</f>
        <v/>
      </c>
      <c r="AL76">
        <f>IF(AK76&lt;&gt;"",IF(AK76&lt;TODAY(),"Overdue","Current"),"")</f>
        <v/>
      </c>
    </row>
    <row r="77">
      <c r="K77">
        <f>IF(J77="v4.0",L77,IF(J77="v3.1",M77,IF(J77="Both",L77,IF(AND(L77&lt;&gt;"",M77=""),L77,M77))))</f>
        <v/>
      </c>
      <c r="Z77">
        <f>IF(Y77&lt;&gt;"",TODAY()-Y77,"")</f>
        <v/>
      </c>
      <c r="AC77">
        <f>IF(AND(AA77&lt;&gt;"",AB77&lt;&gt;""),CHOOSE(MATCH(AA77,{"Low","Medium","High","Critical"},0),25,50,75,100)-CHOOSE(MATCH(AB77,{"Low","Medium","High","Critical"},0),25,50,75,100),"")</f>
        <v/>
      </c>
      <c r="AG77">
        <f>IF(AF77&lt;&gt;"",IF(AH77="Weekly",AF77+7,IF(AH77="Monthly",EDATE(AF77,1),IF(AH77="Quarterly",EDATE(AF77,3),""))),"")</f>
        <v/>
      </c>
      <c r="AK77">
        <f>IF(AJ77&lt;&gt;"",IF(AI77="Monthly",EDATE(AJ77,1),IF(AI77="Quarterly",EDATE(AJ77,3),IF(AI77="Semi-Annual",EDATE(AJ77,6),""))),"")</f>
        <v/>
      </c>
      <c r="AL77">
        <f>IF(AK77&lt;&gt;"",IF(AK77&lt;TODAY(),"Overdue","Current"),"")</f>
        <v/>
      </c>
    </row>
    <row r="78">
      <c r="K78">
        <f>IF(J78="v4.0",L78,IF(J78="v3.1",M78,IF(J78="Both",L78,IF(AND(L78&lt;&gt;"",M78=""),L78,M78))))</f>
        <v/>
      </c>
      <c r="Z78">
        <f>IF(Y78&lt;&gt;"",TODAY()-Y78,"")</f>
        <v/>
      </c>
      <c r="AC78">
        <f>IF(AND(AA78&lt;&gt;"",AB78&lt;&gt;""),CHOOSE(MATCH(AA78,{"Low","Medium","High","Critical"},0),25,50,75,100)-CHOOSE(MATCH(AB78,{"Low","Medium","High","Critical"},0),25,50,75,100),"")</f>
        <v/>
      </c>
      <c r="AG78">
        <f>IF(AF78&lt;&gt;"",IF(AH78="Weekly",AF78+7,IF(AH78="Monthly",EDATE(AF78,1),IF(AH78="Quarterly",EDATE(AF78,3),""))),"")</f>
        <v/>
      </c>
      <c r="AK78">
        <f>IF(AJ78&lt;&gt;"",IF(AI78="Monthly",EDATE(AJ78,1),IF(AI78="Quarterly",EDATE(AJ78,3),IF(AI78="Semi-Annual",EDATE(AJ78,6),""))),"")</f>
        <v/>
      </c>
      <c r="AL78">
        <f>IF(AK78&lt;&gt;"",IF(AK78&lt;TODAY(),"Overdue","Current"),"")</f>
        <v/>
      </c>
    </row>
    <row r="79">
      <c r="K79">
        <f>IF(J79="v4.0",L79,IF(J79="v3.1",M79,IF(J79="Both",L79,IF(AND(L79&lt;&gt;"",M79=""),L79,M79))))</f>
        <v/>
      </c>
      <c r="Z79">
        <f>IF(Y79&lt;&gt;"",TODAY()-Y79,"")</f>
        <v/>
      </c>
      <c r="AC79">
        <f>IF(AND(AA79&lt;&gt;"",AB79&lt;&gt;""),CHOOSE(MATCH(AA79,{"Low","Medium","High","Critical"},0),25,50,75,100)-CHOOSE(MATCH(AB79,{"Low","Medium","High","Critical"},0),25,50,75,100),"")</f>
        <v/>
      </c>
      <c r="AG79">
        <f>IF(AF79&lt;&gt;"",IF(AH79="Weekly",AF79+7,IF(AH79="Monthly",EDATE(AF79,1),IF(AH79="Quarterly",EDATE(AF79,3),""))),"")</f>
        <v/>
      </c>
      <c r="AK79">
        <f>IF(AJ79&lt;&gt;"",IF(AI79="Monthly",EDATE(AJ79,1),IF(AI79="Quarterly",EDATE(AJ79,3),IF(AI79="Semi-Annual",EDATE(AJ79,6),""))),"")</f>
        <v/>
      </c>
      <c r="AL79">
        <f>IF(AK79&lt;&gt;"",IF(AK79&lt;TODAY(),"Overdue","Current"),"")</f>
        <v/>
      </c>
    </row>
    <row r="80">
      <c r="K80">
        <f>IF(J80="v4.0",L80,IF(J80="v3.1",M80,IF(J80="Both",L80,IF(AND(L80&lt;&gt;"",M80=""),L80,M80))))</f>
        <v/>
      </c>
      <c r="Z80">
        <f>IF(Y80&lt;&gt;"",TODAY()-Y80,"")</f>
        <v/>
      </c>
      <c r="AC80">
        <f>IF(AND(AA80&lt;&gt;"",AB80&lt;&gt;""),CHOOSE(MATCH(AA80,{"Low","Medium","High","Critical"},0),25,50,75,100)-CHOOSE(MATCH(AB80,{"Low","Medium","High","Critical"},0),25,50,75,100),"")</f>
        <v/>
      </c>
      <c r="AG80">
        <f>IF(AF80&lt;&gt;"",IF(AH80="Weekly",AF80+7,IF(AH80="Monthly",EDATE(AF80,1),IF(AH80="Quarterly",EDATE(AF80,3),""))),"")</f>
        <v/>
      </c>
      <c r="AK80">
        <f>IF(AJ80&lt;&gt;"",IF(AI80="Monthly",EDATE(AJ80,1),IF(AI80="Quarterly",EDATE(AJ80,3),IF(AI80="Semi-Annual",EDATE(AJ80,6),""))),"")</f>
        <v/>
      </c>
      <c r="AL80">
        <f>IF(AK80&lt;&gt;"",IF(AK80&lt;TODAY(),"Overdue","Current"),"")</f>
        <v/>
      </c>
    </row>
    <row r="81">
      <c r="K81">
        <f>IF(J81="v4.0",L81,IF(J81="v3.1",M81,IF(J81="Both",L81,IF(AND(L81&lt;&gt;"",M81=""),L81,M81))))</f>
        <v/>
      </c>
      <c r="Z81">
        <f>IF(Y81&lt;&gt;"",TODAY()-Y81,"")</f>
        <v/>
      </c>
      <c r="AC81">
        <f>IF(AND(AA81&lt;&gt;"",AB81&lt;&gt;""),CHOOSE(MATCH(AA81,{"Low","Medium","High","Critical"},0),25,50,75,100)-CHOOSE(MATCH(AB81,{"Low","Medium","High","Critical"},0),25,50,75,100),"")</f>
        <v/>
      </c>
      <c r="AG81">
        <f>IF(AF81&lt;&gt;"",IF(AH81="Weekly",AF81+7,IF(AH81="Monthly",EDATE(AF81,1),IF(AH81="Quarterly",EDATE(AF81,3),""))),"")</f>
        <v/>
      </c>
      <c r="AK81">
        <f>IF(AJ81&lt;&gt;"",IF(AI81="Monthly",EDATE(AJ81,1),IF(AI81="Quarterly",EDATE(AJ81,3),IF(AI81="Semi-Annual",EDATE(AJ81,6),""))),"")</f>
        <v/>
      </c>
      <c r="AL81">
        <f>IF(AK81&lt;&gt;"",IF(AK81&lt;TODAY(),"Overdue","Current"),"")</f>
        <v/>
      </c>
    </row>
    <row r="82">
      <c r="K82">
        <f>IF(J82="v4.0",L82,IF(J82="v3.1",M82,IF(J82="Both",L82,IF(AND(L82&lt;&gt;"",M82=""),L82,M82))))</f>
        <v/>
      </c>
      <c r="Z82">
        <f>IF(Y82&lt;&gt;"",TODAY()-Y82,"")</f>
        <v/>
      </c>
      <c r="AC82">
        <f>IF(AND(AA82&lt;&gt;"",AB82&lt;&gt;""),CHOOSE(MATCH(AA82,{"Low","Medium","High","Critical"},0),25,50,75,100)-CHOOSE(MATCH(AB82,{"Low","Medium","High","Critical"},0),25,50,75,100),"")</f>
        <v/>
      </c>
      <c r="AG82">
        <f>IF(AF82&lt;&gt;"",IF(AH82="Weekly",AF82+7,IF(AH82="Monthly",EDATE(AF82,1),IF(AH82="Quarterly",EDATE(AF82,3),""))),"")</f>
        <v/>
      </c>
      <c r="AK82">
        <f>IF(AJ82&lt;&gt;"",IF(AI82="Monthly",EDATE(AJ82,1),IF(AI82="Quarterly",EDATE(AJ82,3),IF(AI82="Semi-Annual",EDATE(AJ82,6),""))),"")</f>
        <v/>
      </c>
      <c r="AL82">
        <f>IF(AK82&lt;&gt;"",IF(AK82&lt;TODAY(),"Overdue","Current"),"")</f>
        <v/>
      </c>
    </row>
    <row r="83">
      <c r="K83">
        <f>IF(J83="v4.0",L83,IF(J83="v3.1",M83,IF(J83="Both",L83,IF(AND(L83&lt;&gt;"",M83=""),L83,M83))))</f>
        <v/>
      </c>
      <c r="Z83">
        <f>IF(Y83&lt;&gt;"",TODAY()-Y83,"")</f>
        <v/>
      </c>
      <c r="AC83">
        <f>IF(AND(AA83&lt;&gt;"",AB83&lt;&gt;""),CHOOSE(MATCH(AA83,{"Low","Medium","High","Critical"},0),25,50,75,100)-CHOOSE(MATCH(AB83,{"Low","Medium","High","Critical"},0),25,50,75,100),"")</f>
        <v/>
      </c>
      <c r="AG83">
        <f>IF(AF83&lt;&gt;"",IF(AH83="Weekly",AF83+7,IF(AH83="Monthly",EDATE(AF83,1),IF(AH83="Quarterly",EDATE(AF83,3),""))),"")</f>
        <v/>
      </c>
      <c r="AK83">
        <f>IF(AJ83&lt;&gt;"",IF(AI83="Monthly",EDATE(AJ83,1),IF(AI83="Quarterly",EDATE(AJ83,3),IF(AI83="Semi-Annual",EDATE(AJ83,6),""))),"")</f>
        <v/>
      </c>
      <c r="AL83">
        <f>IF(AK83&lt;&gt;"",IF(AK83&lt;TODAY(),"Overdue","Current"),"")</f>
        <v/>
      </c>
    </row>
    <row r="84">
      <c r="K84">
        <f>IF(J84="v4.0",L84,IF(J84="v3.1",M84,IF(J84="Both",L84,IF(AND(L84&lt;&gt;"",M84=""),L84,M84))))</f>
        <v/>
      </c>
      <c r="Z84">
        <f>IF(Y84&lt;&gt;"",TODAY()-Y84,"")</f>
        <v/>
      </c>
      <c r="AC84">
        <f>IF(AND(AA84&lt;&gt;"",AB84&lt;&gt;""),CHOOSE(MATCH(AA84,{"Low","Medium","High","Critical"},0),25,50,75,100)-CHOOSE(MATCH(AB84,{"Low","Medium","High","Critical"},0),25,50,75,100),"")</f>
        <v/>
      </c>
      <c r="AG84">
        <f>IF(AF84&lt;&gt;"",IF(AH84="Weekly",AF84+7,IF(AH84="Monthly",EDATE(AF84,1),IF(AH84="Quarterly",EDATE(AF84,3),""))),"")</f>
        <v/>
      </c>
      <c r="AK84">
        <f>IF(AJ84&lt;&gt;"",IF(AI84="Monthly",EDATE(AJ84,1),IF(AI84="Quarterly",EDATE(AJ84,3),IF(AI84="Semi-Annual",EDATE(AJ84,6),""))),"")</f>
        <v/>
      </c>
      <c r="AL84">
        <f>IF(AK84&lt;&gt;"",IF(AK84&lt;TODAY(),"Overdue","Current"),"")</f>
        <v/>
      </c>
    </row>
    <row r="85">
      <c r="K85">
        <f>IF(J85="v4.0",L85,IF(J85="v3.1",M85,IF(J85="Both",L85,IF(AND(L85&lt;&gt;"",M85=""),L85,M85))))</f>
        <v/>
      </c>
      <c r="Z85">
        <f>IF(Y85&lt;&gt;"",TODAY()-Y85,"")</f>
        <v/>
      </c>
      <c r="AC85">
        <f>IF(AND(AA85&lt;&gt;"",AB85&lt;&gt;""),CHOOSE(MATCH(AA85,{"Low","Medium","High","Critical"},0),25,50,75,100)-CHOOSE(MATCH(AB85,{"Low","Medium","High","Critical"},0),25,50,75,100),"")</f>
        <v/>
      </c>
      <c r="AG85">
        <f>IF(AF85&lt;&gt;"",IF(AH85="Weekly",AF85+7,IF(AH85="Monthly",EDATE(AF85,1),IF(AH85="Quarterly",EDATE(AF85,3),""))),"")</f>
        <v/>
      </c>
      <c r="AK85">
        <f>IF(AJ85&lt;&gt;"",IF(AI85="Monthly",EDATE(AJ85,1),IF(AI85="Quarterly",EDATE(AJ85,3),IF(AI85="Semi-Annual",EDATE(AJ85,6),""))),"")</f>
        <v/>
      </c>
      <c r="AL85">
        <f>IF(AK85&lt;&gt;"",IF(AK85&lt;TODAY(),"Overdue","Current"),"")</f>
        <v/>
      </c>
    </row>
    <row r="86">
      <c r="K86">
        <f>IF(J86="v4.0",L86,IF(J86="v3.1",M86,IF(J86="Both",L86,IF(AND(L86&lt;&gt;"",M86=""),L86,M86))))</f>
        <v/>
      </c>
      <c r="Z86">
        <f>IF(Y86&lt;&gt;"",TODAY()-Y86,"")</f>
        <v/>
      </c>
      <c r="AC86">
        <f>IF(AND(AA86&lt;&gt;"",AB86&lt;&gt;""),CHOOSE(MATCH(AA86,{"Low","Medium","High","Critical"},0),25,50,75,100)-CHOOSE(MATCH(AB86,{"Low","Medium","High","Critical"},0),25,50,75,100),"")</f>
        <v/>
      </c>
      <c r="AG86">
        <f>IF(AF86&lt;&gt;"",IF(AH86="Weekly",AF86+7,IF(AH86="Monthly",EDATE(AF86,1),IF(AH86="Quarterly",EDATE(AF86,3),""))),"")</f>
        <v/>
      </c>
      <c r="AK86">
        <f>IF(AJ86&lt;&gt;"",IF(AI86="Monthly",EDATE(AJ86,1),IF(AI86="Quarterly",EDATE(AJ86,3),IF(AI86="Semi-Annual",EDATE(AJ86,6),""))),"")</f>
        <v/>
      </c>
      <c r="AL86">
        <f>IF(AK86&lt;&gt;"",IF(AK86&lt;TODAY(),"Overdue","Current"),"")</f>
        <v/>
      </c>
    </row>
    <row r="87">
      <c r="K87">
        <f>IF(J87="v4.0",L87,IF(J87="v3.1",M87,IF(J87="Both",L87,IF(AND(L87&lt;&gt;"",M87=""),L87,M87))))</f>
        <v/>
      </c>
      <c r="Z87">
        <f>IF(Y87&lt;&gt;"",TODAY()-Y87,"")</f>
        <v/>
      </c>
      <c r="AC87">
        <f>IF(AND(AA87&lt;&gt;"",AB87&lt;&gt;""),CHOOSE(MATCH(AA87,{"Low","Medium","High","Critical"},0),25,50,75,100)-CHOOSE(MATCH(AB87,{"Low","Medium","High","Critical"},0),25,50,75,100),"")</f>
        <v/>
      </c>
      <c r="AG87">
        <f>IF(AF87&lt;&gt;"",IF(AH87="Weekly",AF87+7,IF(AH87="Monthly",EDATE(AF87,1),IF(AH87="Quarterly",EDATE(AF87,3),""))),"")</f>
        <v/>
      </c>
      <c r="AK87">
        <f>IF(AJ87&lt;&gt;"",IF(AI87="Monthly",EDATE(AJ87,1),IF(AI87="Quarterly",EDATE(AJ87,3),IF(AI87="Semi-Annual",EDATE(AJ87,6),""))),"")</f>
        <v/>
      </c>
      <c r="AL87">
        <f>IF(AK87&lt;&gt;"",IF(AK87&lt;TODAY(),"Overdue","Current"),"")</f>
        <v/>
      </c>
    </row>
    <row r="88">
      <c r="K88">
        <f>IF(J88="v4.0",L88,IF(J88="v3.1",M88,IF(J88="Both",L88,IF(AND(L88&lt;&gt;"",M88=""),L88,M88))))</f>
        <v/>
      </c>
      <c r="Z88">
        <f>IF(Y88&lt;&gt;"",TODAY()-Y88,"")</f>
        <v/>
      </c>
      <c r="AC88">
        <f>IF(AND(AA88&lt;&gt;"",AB88&lt;&gt;""),CHOOSE(MATCH(AA88,{"Low","Medium","High","Critical"},0),25,50,75,100)-CHOOSE(MATCH(AB88,{"Low","Medium","High","Critical"},0),25,50,75,100),"")</f>
        <v/>
      </c>
      <c r="AG88">
        <f>IF(AF88&lt;&gt;"",IF(AH88="Weekly",AF88+7,IF(AH88="Monthly",EDATE(AF88,1),IF(AH88="Quarterly",EDATE(AF88,3),""))),"")</f>
        <v/>
      </c>
      <c r="AK88">
        <f>IF(AJ88&lt;&gt;"",IF(AI88="Monthly",EDATE(AJ88,1),IF(AI88="Quarterly",EDATE(AJ88,3),IF(AI88="Semi-Annual",EDATE(AJ88,6),""))),"")</f>
        <v/>
      </c>
      <c r="AL88">
        <f>IF(AK88&lt;&gt;"",IF(AK88&lt;TODAY(),"Overdue","Current"),"")</f>
        <v/>
      </c>
    </row>
    <row r="89">
      <c r="K89">
        <f>IF(J89="v4.0",L89,IF(J89="v3.1",M89,IF(J89="Both",L89,IF(AND(L89&lt;&gt;"",M89=""),L89,M89))))</f>
        <v/>
      </c>
      <c r="Z89">
        <f>IF(Y89&lt;&gt;"",TODAY()-Y89,"")</f>
        <v/>
      </c>
      <c r="AC89">
        <f>IF(AND(AA89&lt;&gt;"",AB89&lt;&gt;""),CHOOSE(MATCH(AA89,{"Low","Medium","High","Critical"},0),25,50,75,100)-CHOOSE(MATCH(AB89,{"Low","Medium","High","Critical"},0),25,50,75,100),"")</f>
        <v/>
      </c>
      <c r="AG89">
        <f>IF(AF89&lt;&gt;"",IF(AH89="Weekly",AF89+7,IF(AH89="Monthly",EDATE(AF89,1),IF(AH89="Quarterly",EDATE(AF89,3),""))),"")</f>
        <v/>
      </c>
      <c r="AK89">
        <f>IF(AJ89&lt;&gt;"",IF(AI89="Monthly",EDATE(AJ89,1),IF(AI89="Quarterly",EDATE(AJ89,3),IF(AI89="Semi-Annual",EDATE(AJ89,6),""))),"")</f>
        <v/>
      </c>
      <c r="AL89">
        <f>IF(AK89&lt;&gt;"",IF(AK89&lt;TODAY(),"Overdue","Current"),"")</f>
        <v/>
      </c>
    </row>
    <row r="90">
      <c r="K90">
        <f>IF(J90="v4.0",L90,IF(J90="v3.1",M90,IF(J90="Both",L90,IF(AND(L90&lt;&gt;"",M90=""),L90,M90))))</f>
        <v/>
      </c>
      <c r="Z90">
        <f>IF(Y90&lt;&gt;"",TODAY()-Y90,"")</f>
        <v/>
      </c>
      <c r="AC90">
        <f>IF(AND(AA90&lt;&gt;"",AB90&lt;&gt;""),CHOOSE(MATCH(AA90,{"Low","Medium","High","Critical"},0),25,50,75,100)-CHOOSE(MATCH(AB90,{"Low","Medium","High","Critical"},0),25,50,75,100),"")</f>
        <v/>
      </c>
      <c r="AG90">
        <f>IF(AF90&lt;&gt;"",IF(AH90="Weekly",AF90+7,IF(AH90="Monthly",EDATE(AF90,1),IF(AH90="Quarterly",EDATE(AF90,3),""))),"")</f>
        <v/>
      </c>
      <c r="AK90">
        <f>IF(AJ90&lt;&gt;"",IF(AI90="Monthly",EDATE(AJ90,1),IF(AI90="Quarterly",EDATE(AJ90,3),IF(AI90="Semi-Annual",EDATE(AJ90,6),""))),"")</f>
        <v/>
      </c>
      <c r="AL90">
        <f>IF(AK90&lt;&gt;"",IF(AK90&lt;TODAY(),"Overdue","Current"),"")</f>
        <v/>
      </c>
    </row>
    <row r="91">
      <c r="K91">
        <f>IF(J91="v4.0",L91,IF(J91="v3.1",M91,IF(J91="Both",L91,IF(AND(L91&lt;&gt;"",M91=""),L91,M91))))</f>
        <v/>
      </c>
      <c r="Z91">
        <f>IF(Y91&lt;&gt;"",TODAY()-Y91,"")</f>
        <v/>
      </c>
      <c r="AC91">
        <f>IF(AND(AA91&lt;&gt;"",AB91&lt;&gt;""),CHOOSE(MATCH(AA91,{"Low","Medium","High","Critical"},0),25,50,75,100)-CHOOSE(MATCH(AB91,{"Low","Medium","High","Critical"},0),25,50,75,100),"")</f>
        <v/>
      </c>
      <c r="AG91">
        <f>IF(AF91&lt;&gt;"",IF(AH91="Weekly",AF91+7,IF(AH91="Monthly",EDATE(AF91,1),IF(AH91="Quarterly",EDATE(AF91,3),""))),"")</f>
        <v/>
      </c>
      <c r="AK91">
        <f>IF(AJ91&lt;&gt;"",IF(AI91="Monthly",EDATE(AJ91,1),IF(AI91="Quarterly",EDATE(AJ91,3),IF(AI91="Semi-Annual",EDATE(AJ91,6),""))),"")</f>
        <v/>
      </c>
      <c r="AL91">
        <f>IF(AK91&lt;&gt;"",IF(AK91&lt;TODAY(),"Overdue","Current"),"")</f>
        <v/>
      </c>
    </row>
    <row r="92">
      <c r="K92">
        <f>IF(J92="v4.0",L92,IF(J92="v3.1",M92,IF(J92="Both",L92,IF(AND(L92&lt;&gt;"",M92=""),L92,M92))))</f>
        <v/>
      </c>
      <c r="Z92">
        <f>IF(Y92&lt;&gt;"",TODAY()-Y92,"")</f>
        <v/>
      </c>
      <c r="AC92">
        <f>IF(AND(AA92&lt;&gt;"",AB92&lt;&gt;""),CHOOSE(MATCH(AA92,{"Low","Medium","High","Critical"},0),25,50,75,100)-CHOOSE(MATCH(AB92,{"Low","Medium","High","Critical"},0),25,50,75,100),"")</f>
        <v/>
      </c>
      <c r="AG92">
        <f>IF(AF92&lt;&gt;"",IF(AH92="Weekly",AF92+7,IF(AH92="Monthly",EDATE(AF92,1),IF(AH92="Quarterly",EDATE(AF92,3),""))),"")</f>
        <v/>
      </c>
      <c r="AK92">
        <f>IF(AJ92&lt;&gt;"",IF(AI92="Monthly",EDATE(AJ92,1),IF(AI92="Quarterly",EDATE(AJ92,3),IF(AI92="Semi-Annual",EDATE(AJ92,6),""))),"")</f>
        <v/>
      </c>
      <c r="AL92">
        <f>IF(AK92&lt;&gt;"",IF(AK92&lt;TODAY(),"Overdue","Current"),"")</f>
        <v/>
      </c>
    </row>
    <row r="93">
      <c r="K93">
        <f>IF(J93="v4.0",L93,IF(J93="v3.1",M93,IF(J93="Both",L93,IF(AND(L93&lt;&gt;"",M93=""),L93,M93))))</f>
        <v/>
      </c>
      <c r="Z93">
        <f>IF(Y93&lt;&gt;"",TODAY()-Y93,"")</f>
        <v/>
      </c>
      <c r="AC93">
        <f>IF(AND(AA93&lt;&gt;"",AB93&lt;&gt;""),CHOOSE(MATCH(AA93,{"Low","Medium","High","Critical"},0),25,50,75,100)-CHOOSE(MATCH(AB93,{"Low","Medium","High","Critical"},0),25,50,75,100),"")</f>
        <v/>
      </c>
      <c r="AG93">
        <f>IF(AF93&lt;&gt;"",IF(AH93="Weekly",AF93+7,IF(AH93="Monthly",EDATE(AF93,1),IF(AH93="Quarterly",EDATE(AF93,3),""))),"")</f>
        <v/>
      </c>
      <c r="AK93">
        <f>IF(AJ93&lt;&gt;"",IF(AI93="Monthly",EDATE(AJ93,1),IF(AI93="Quarterly",EDATE(AJ93,3),IF(AI93="Semi-Annual",EDATE(AJ93,6),""))),"")</f>
        <v/>
      </c>
      <c r="AL93">
        <f>IF(AK93&lt;&gt;"",IF(AK93&lt;TODAY(),"Overdue","Current"),"")</f>
        <v/>
      </c>
    </row>
    <row r="94">
      <c r="K94">
        <f>IF(J94="v4.0",L94,IF(J94="v3.1",M94,IF(J94="Both",L94,IF(AND(L94&lt;&gt;"",M94=""),L94,M94))))</f>
        <v/>
      </c>
      <c r="Z94">
        <f>IF(Y94&lt;&gt;"",TODAY()-Y94,"")</f>
        <v/>
      </c>
      <c r="AC94">
        <f>IF(AND(AA94&lt;&gt;"",AB94&lt;&gt;""),CHOOSE(MATCH(AA94,{"Low","Medium","High","Critical"},0),25,50,75,100)-CHOOSE(MATCH(AB94,{"Low","Medium","High","Critical"},0),25,50,75,100),"")</f>
        <v/>
      </c>
      <c r="AG94">
        <f>IF(AF94&lt;&gt;"",IF(AH94="Weekly",AF94+7,IF(AH94="Monthly",EDATE(AF94,1),IF(AH94="Quarterly",EDATE(AF94,3),""))),"")</f>
        <v/>
      </c>
      <c r="AK94">
        <f>IF(AJ94&lt;&gt;"",IF(AI94="Monthly",EDATE(AJ94,1),IF(AI94="Quarterly",EDATE(AJ94,3),IF(AI94="Semi-Annual",EDATE(AJ94,6),""))),"")</f>
        <v/>
      </c>
      <c r="AL94">
        <f>IF(AK94&lt;&gt;"",IF(AK94&lt;TODAY(),"Overdue","Current"),"")</f>
        <v/>
      </c>
    </row>
    <row r="95">
      <c r="K95">
        <f>IF(J95="v4.0",L95,IF(J95="v3.1",M95,IF(J95="Both",L95,IF(AND(L95&lt;&gt;"",M95=""),L95,M95))))</f>
        <v/>
      </c>
      <c r="Z95">
        <f>IF(Y95&lt;&gt;"",TODAY()-Y95,"")</f>
        <v/>
      </c>
      <c r="AC95">
        <f>IF(AND(AA95&lt;&gt;"",AB95&lt;&gt;""),CHOOSE(MATCH(AA95,{"Low","Medium","High","Critical"},0),25,50,75,100)-CHOOSE(MATCH(AB95,{"Low","Medium","High","Critical"},0),25,50,75,100),"")</f>
        <v/>
      </c>
      <c r="AG95">
        <f>IF(AF95&lt;&gt;"",IF(AH95="Weekly",AF95+7,IF(AH95="Monthly",EDATE(AF95,1),IF(AH95="Quarterly",EDATE(AF95,3),""))),"")</f>
        <v/>
      </c>
      <c r="AK95">
        <f>IF(AJ95&lt;&gt;"",IF(AI95="Monthly",EDATE(AJ95,1),IF(AI95="Quarterly",EDATE(AJ95,3),IF(AI95="Semi-Annual",EDATE(AJ95,6),""))),"")</f>
        <v/>
      </c>
      <c r="AL95">
        <f>IF(AK95&lt;&gt;"",IF(AK95&lt;TODAY(),"Overdue","Current"),"")</f>
        <v/>
      </c>
    </row>
    <row r="96">
      <c r="K96">
        <f>IF(J96="v4.0",L96,IF(J96="v3.1",M96,IF(J96="Both",L96,IF(AND(L96&lt;&gt;"",M96=""),L96,M96))))</f>
        <v/>
      </c>
      <c r="Z96">
        <f>IF(Y96&lt;&gt;"",TODAY()-Y96,"")</f>
        <v/>
      </c>
      <c r="AC96">
        <f>IF(AND(AA96&lt;&gt;"",AB96&lt;&gt;""),CHOOSE(MATCH(AA96,{"Low","Medium","High","Critical"},0),25,50,75,100)-CHOOSE(MATCH(AB96,{"Low","Medium","High","Critical"},0),25,50,75,100),"")</f>
        <v/>
      </c>
      <c r="AG96">
        <f>IF(AF96&lt;&gt;"",IF(AH96="Weekly",AF96+7,IF(AH96="Monthly",EDATE(AF96,1),IF(AH96="Quarterly",EDATE(AF96,3),""))),"")</f>
        <v/>
      </c>
      <c r="AK96">
        <f>IF(AJ96&lt;&gt;"",IF(AI96="Monthly",EDATE(AJ96,1),IF(AI96="Quarterly",EDATE(AJ96,3),IF(AI96="Semi-Annual",EDATE(AJ96,6),""))),"")</f>
        <v/>
      </c>
      <c r="AL96">
        <f>IF(AK96&lt;&gt;"",IF(AK96&lt;TODAY(),"Overdue","Current"),"")</f>
        <v/>
      </c>
    </row>
    <row r="97">
      <c r="K97">
        <f>IF(J97="v4.0",L97,IF(J97="v3.1",M97,IF(J97="Both",L97,IF(AND(L97&lt;&gt;"",M97=""),L97,M97))))</f>
        <v/>
      </c>
      <c r="Z97">
        <f>IF(Y97&lt;&gt;"",TODAY()-Y97,"")</f>
        <v/>
      </c>
      <c r="AC97">
        <f>IF(AND(AA97&lt;&gt;"",AB97&lt;&gt;""),CHOOSE(MATCH(AA97,{"Low","Medium","High","Critical"},0),25,50,75,100)-CHOOSE(MATCH(AB97,{"Low","Medium","High","Critical"},0),25,50,75,100),"")</f>
        <v/>
      </c>
      <c r="AG97">
        <f>IF(AF97&lt;&gt;"",IF(AH97="Weekly",AF97+7,IF(AH97="Monthly",EDATE(AF97,1),IF(AH97="Quarterly",EDATE(AF97,3),""))),"")</f>
        <v/>
      </c>
      <c r="AK97">
        <f>IF(AJ97&lt;&gt;"",IF(AI97="Monthly",EDATE(AJ97,1),IF(AI97="Quarterly",EDATE(AJ97,3),IF(AI97="Semi-Annual",EDATE(AJ97,6),""))),"")</f>
        <v/>
      </c>
      <c r="AL97">
        <f>IF(AK97&lt;&gt;"",IF(AK97&lt;TODAY(),"Overdue","Current"),"")</f>
        <v/>
      </c>
    </row>
    <row r="98">
      <c r="K98">
        <f>IF(J98="v4.0",L98,IF(J98="v3.1",M98,IF(J98="Both",L98,IF(AND(L98&lt;&gt;"",M98=""),L98,M98))))</f>
        <v/>
      </c>
      <c r="Z98">
        <f>IF(Y98&lt;&gt;"",TODAY()-Y98,"")</f>
        <v/>
      </c>
      <c r="AC98">
        <f>IF(AND(AA98&lt;&gt;"",AB98&lt;&gt;""),CHOOSE(MATCH(AA98,{"Low","Medium","High","Critical"},0),25,50,75,100)-CHOOSE(MATCH(AB98,{"Low","Medium","High","Critical"},0),25,50,75,100),"")</f>
        <v/>
      </c>
      <c r="AG98">
        <f>IF(AF98&lt;&gt;"",IF(AH98="Weekly",AF98+7,IF(AH98="Monthly",EDATE(AF98,1),IF(AH98="Quarterly",EDATE(AF98,3),""))),"")</f>
        <v/>
      </c>
      <c r="AK98">
        <f>IF(AJ98&lt;&gt;"",IF(AI98="Monthly",EDATE(AJ98,1),IF(AI98="Quarterly",EDATE(AJ98,3),IF(AI98="Semi-Annual",EDATE(AJ98,6),""))),"")</f>
        <v/>
      </c>
      <c r="AL98">
        <f>IF(AK98&lt;&gt;"",IF(AK98&lt;TODAY(),"Overdue","Current"),"")</f>
        <v/>
      </c>
    </row>
    <row r="99">
      <c r="K99">
        <f>IF(J99="v4.0",L99,IF(J99="v3.1",M99,IF(J99="Both",L99,IF(AND(L99&lt;&gt;"",M99=""),L99,M99))))</f>
        <v/>
      </c>
      <c r="Z99">
        <f>IF(Y99&lt;&gt;"",TODAY()-Y99,"")</f>
        <v/>
      </c>
      <c r="AC99">
        <f>IF(AND(AA99&lt;&gt;"",AB99&lt;&gt;""),CHOOSE(MATCH(AA99,{"Low","Medium","High","Critical"},0),25,50,75,100)-CHOOSE(MATCH(AB99,{"Low","Medium","High","Critical"},0),25,50,75,100),"")</f>
        <v/>
      </c>
      <c r="AG99">
        <f>IF(AF99&lt;&gt;"",IF(AH99="Weekly",AF99+7,IF(AH99="Monthly",EDATE(AF99,1),IF(AH99="Quarterly",EDATE(AF99,3),""))),"")</f>
        <v/>
      </c>
      <c r="AK99">
        <f>IF(AJ99&lt;&gt;"",IF(AI99="Monthly",EDATE(AJ99,1),IF(AI99="Quarterly",EDATE(AJ99,3),IF(AI99="Semi-Annual",EDATE(AJ99,6),""))),"")</f>
        <v/>
      </c>
      <c r="AL99">
        <f>IF(AK99&lt;&gt;"",IF(AK99&lt;TODAY(),"Overdue","Current"),"")</f>
        <v/>
      </c>
    </row>
    <row r="100">
      <c r="K100">
        <f>IF(J100="v4.0",L100,IF(J100="v3.1",M100,IF(J100="Both",L100,IF(AND(L100&lt;&gt;"",M100=""),L100,M100))))</f>
        <v/>
      </c>
      <c r="Z100">
        <f>IF(Y100&lt;&gt;"",TODAY()-Y100,"")</f>
        <v/>
      </c>
      <c r="AC100">
        <f>IF(AND(AA100&lt;&gt;"",AB100&lt;&gt;""),CHOOSE(MATCH(AA100,{"Low","Medium","High","Critical"},0),25,50,75,100)-CHOOSE(MATCH(AB100,{"Low","Medium","High","Critical"},0),25,50,75,100),"")</f>
        <v/>
      </c>
      <c r="AG100">
        <f>IF(AF100&lt;&gt;"",IF(AH100="Weekly",AF100+7,IF(AH100="Monthly",EDATE(AF100,1),IF(AH100="Quarterly",EDATE(AF100,3),""))),"")</f>
        <v/>
      </c>
      <c r="AK100">
        <f>IF(AJ100&lt;&gt;"",IF(AI100="Monthly",EDATE(AJ100,1),IF(AI100="Quarterly",EDATE(AJ100,3),IF(AI100="Semi-Annual",EDATE(AJ100,6),""))),"")</f>
        <v/>
      </c>
      <c r="AL100">
        <f>IF(AK100&lt;&gt;"",IF(AK100&lt;TODAY(),"Overdue","Current"),"")</f>
        <v/>
      </c>
    </row>
    <row r="101">
      <c r="K101">
        <f>IF(J101="v4.0",L101,IF(J101="v3.1",M101,IF(J101="Both",L101,IF(AND(L101&lt;&gt;"",M101=""),L101,M101))))</f>
        <v/>
      </c>
      <c r="Z101">
        <f>IF(Y101&lt;&gt;"",TODAY()-Y101,"")</f>
        <v/>
      </c>
      <c r="AC101">
        <f>IF(AND(AA101&lt;&gt;"",AB101&lt;&gt;""),CHOOSE(MATCH(AA101,{"Low","Medium","High","Critical"},0),25,50,75,100)-CHOOSE(MATCH(AB101,{"Low","Medium","High","Critical"},0),25,50,75,100),"")</f>
        <v/>
      </c>
      <c r="AG101">
        <f>IF(AF101&lt;&gt;"",IF(AH101="Weekly",AF101+7,IF(AH101="Monthly",EDATE(AF101,1),IF(AH101="Quarterly",EDATE(AF101,3),""))),"")</f>
        <v/>
      </c>
      <c r="AK101">
        <f>IF(AJ101&lt;&gt;"",IF(AI101="Monthly",EDATE(AJ101,1),IF(AI101="Quarterly",EDATE(AJ101,3),IF(AI101="Semi-Annual",EDATE(AJ101,6),""))),"")</f>
        <v/>
      </c>
      <c r="AL101">
        <f>IF(AK101&lt;&gt;"",IF(AK101&lt;TODAY(),"Overdue","Current"),"")</f>
        <v/>
      </c>
    </row>
    <row r="102">
      <c r="K102">
        <f>IF(J102="v4.0",L102,IF(J102="v3.1",M102,IF(J102="Both",L102,IF(AND(L102&lt;&gt;"",M102=""),L102,M102))))</f>
        <v/>
      </c>
      <c r="Z102">
        <f>IF(Y102&lt;&gt;"",TODAY()-Y102,"")</f>
        <v/>
      </c>
      <c r="AC102">
        <f>IF(AND(AA102&lt;&gt;"",AB102&lt;&gt;""),CHOOSE(MATCH(AA102,{"Low","Medium","High","Critical"},0),25,50,75,100)-CHOOSE(MATCH(AB102,{"Low","Medium","High","Critical"},0),25,50,75,100),"")</f>
        <v/>
      </c>
      <c r="AG102">
        <f>IF(AF102&lt;&gt;"",IF(AH102="Weekly",AF102+7,IF(AH102="Monthly",EDATE(AF102,1),IF(AH102="Quarterly",EDATE(AF102,3),""))),"")</f>
        <v/>
      </c>
      <c r="AK102">
        <f>IF(AJ102&lt;&gt;"",IF(AI102="Monthly",EDATE(AJ102,1),IF(AI102="Quarterly",EDATE(AJ102,3),IF(AI102="Semi-Annual",EDATE(AJ102,6),""))),"")</f>
        <v/>
      </c>
      <c r="AL102">
        <f>IF(AK102&lt;&gt;"",IF(AK102&lt;TODAY(),"Overdue","Current"),"")</f>
        <v/>
      </c>
    </row>
    <row r="103">
      <c r="K103">
        <f>IF(J103="v4.0",L103,IF(J103="v3.1",M103,IF(J103="Both",L103,IF(AND(L103&lt;&gt;"",M103=""),L103,M103))))</f>
        <v/>
      </c>
      <c r="Z103">
        <f>IF(Y103&lt;&gt;"",TODAY()-Y103,"")</f>
        <v/>
      </c>
      <c r="AC103">
        <f>IF(AND(AA103&lt;&gt;"",AB103&lt;&gt;""),CHOOSE(MATCH(AA103,{"Low","Medium","High","Critical"},0),25,50,75,100)-CHOOSE(MATCH(AB103,{"Low","Medium","High","Critical"},0),25,50,75,100),"")</f>
        <v/>
      </c>
      <c r="AG103">
        <f>IF(AF103&lt;&gt;"",IF(AH103="Weekly",AF103+7,IF(AH103="Monthly",EDATE(AF103,1),IF(AH103="Quarterly",EDATE(AF103,3),""))),"")</f>
        <v/>
      </c>
      <c r="AK103">
        <f>IF(AJ103&lt;&gt;"",IF(AI103="Monthly",EDATE(AJ103,1),IF(AI103="Quarterly",EDATE(AJ103,3),IF(AI103="Semi-Annual",EDATE(AJ103,6),""))),"")</f>
        <v/>
      </c>
      <c r="AL103">
        <f>IF(AK103&lt;&gt;"",IF(AK103&lt;TODAY(),"Overdue","Current"),"")</f>
        <v/>
      </c>
    </row>
    <row r="104">
      <c r="K104">
        <f>IF(J104="v4.0",L104,IF(J104="v3.1",M104,IF(J104="Both",L104,IF(AND(L104&lt;&gt;"",M104=""),L104,M104))))</f>
        <v/>
      </c>
      <c r="Z104">
        <f>IF(Y104&lt;&gt;"",TODAY()-Y104,"")</f>
        <v/>
      </c>
      <c r="AC104">
        <f>IF(AND(AA104&lt;&gt;"",AB104&lt;&gt;""),CHOOSE(MATCH(AA104,{"Low","Medium","High","Critical"},0),25,50,75,100)-CHOOSE(MATCH(AB104,{"Low","Medium","High","Critical"},0),25,50,75,100),"")</f>
        <v/>
      </c>
      <c r="AG104">
        <f>IF(AF104&lt;&gt;"",IF(AH104="Weekly",AF104+7,IF(AH104="Monthly",EDATE(AF104,1),IF(AH104="Quarterly",EDATE(AF104,3),""))),"")</f>
        <v/>
      </c>
      <c r="AK104">
        <f>IF(AJ104&lt;&gt;"",IF(AI104="Monthly",EDATE(AJ104,1),IF(AI104="Quarterly",EDATE(AJ104,3),IF(AI104="Semi-Annual",EDATE(AJ104,6),""))),"")</f>
        <v/>
      </c>
      <c r="AL104">
        <f>IF(AK104&lt;&gt;"",IF(AK104&lt;TODAY(),"Overdue","Current"),"")</f>
        <v/>
      </c>
    </row>
    <row r="105">
      <c r="K105">
        <f>IF(J105="v4.0",L105,IF(J105="v3.1",M105,IF(J105="Both",L105,IF(AND(L105&lt;&gt;"",M105=""),L105,M105))))</f>
        <v/>
      </c>
      <c r="Z105">
        <f>IF(Y105&lt;&gt;"",TODAY()-Y105,"")</f>
        <v/>
      </c>
      <c r="AC105">
        <f>IF(AND(AA105&lt;&gt;"",AB105&lt;&gt;""),CHOOSE(MATCH(AA105,{"Low","Medium","High","Critical"},0),25,50,75,100)-CHOOSE(MATCH(AB105,{"Low","Medium","High","Critical"},0),25,50,75,100),"")</f>
        <v/>
      </c>
      <c r="AG105">
        <f>IF(AF105&lt;&gt;"",IF(AH105="Weekly",AF105+7,IF(AH105="Monthly",EDATE(AF105,1),IF(AH105="Quarterly",EDATE(AF105,3),""))),"")</f>
        <v/>
      </c>
      <c r="AK105">
        <f>IF(AJ105&lt;&gt;"",IF(AI105="Monthly",EDATE(AJ105,1),IF(AI105="Quarterly",EDATE(AJ105,3),IF(AI105="Semi-Annual",EDATE(AJ105,6),""))),"")</f>
        <v/>
      </c>
      <c r="AL105">
        <f>IF(AK105&lt;&gt;"",IF(AK105&lt;TODAY(),"Overdue","Current"),"")</f>
        <v/>
      </c>
    </row>
    <row r="106">
      <c r="K106">
        <f>IF(J106="v4.0",L106,IF(J106="v3.1",M106,IF(J106="Both",L106,IF(AND(L106&lt;&gt;"",M106=""),L106,M106))))</f>
        <v/>
      </c>
      <c r="Z106">
        <f>IF(Y106&lt;&gt;"",TODAY()-Y106,"")</f>
        <v/>
      </c>
      <c r="AC106">
        <f>IF(AND(AA106&lt;&gt;"",AB106&lt;&gt;""),CHOOSE(MATCH(AA106,{"Low","Medium","High","Critical"},0),25,50,75,100)-CHOOSE(MATCH(AB106,{"Low","Medium","High","Critical"},0),25,50,75,100),"")</f>
        <v/>
      </c>
      <c r="AG106">
        <f>IF(AF106&lt;&gt;"",IF(AH106="Weekly",AF106+7,IF(AH106="Monthly",EDATE(AF106,1),IF(AH106="Quarterly",EDATE(AF106,3),""))),"")</f>
        <v/>
      </c>
      <c r="AK106">
        <f>IF(AJ106&lt;&gt;"",IF(AI106="Monthly",EDATE(AJ106,1),IF(AI106="Quarterly",EDATE(AJ106,3),IF(AI106="Semi-Annual",EDATE(AJ106,6),""))),"")</f>
        <v/>
      </c>
      <c r="AL106">
        <f>IF(AK106&lt;&gt;"",IF(AK106&lt;TODAY(),"Overdue","Current"),"")</f>
        <v/>
      </c>
    </row>
    <row r="107">
      <c r="K107">
        <f>IF(J107="v4.0",L107,IF(J107="v3.1",M107,IF(J107="Both",L107,IF(AND(L107&lt;&gt;"",M107=""),L107,M107))))</f>
        <v/>
      </c>
      <c r="Z107">
        <f>IF(Y107&lt;&gt;"",TODAY()-Y107,"")</f>
        <v/>
      </c>
      <c r="AC107">
        <f>IF(AND(AA107&lt;&gt;"",AB107&lt;&gt;""),CHOOSE(MATCH(AA107,{"Low","Medium","High","Critical"},0),25,50,75,100)-CHOOSE(MATCH(AB107,{"Low","Medium","High","Critical"},0),25,50,75,100),"")</f>
        <v/>
      </c>
      <c r="AG107">
        <f>IF(AF107&lt;&gt;"",IF(AH107="Weekly",AF107+7,IF(AH107="Monthly",EDATE(AF107,1),IF(AH107="Quarterly",EDATE(AF107,3),""))),"")</f>
        <v/>
      </c>
      <c r="AK107">
        <f>IF(AJ107&lt;&gt;"",IF(AI107="Monthly",EDATE(AJ107,1),IF(AI107="Quarterly",EDATE(AJ107,3),IF(AI107="Semi-Annual",EDATE(AJ107,6),""))),"")</f>
        <v/>
      </c>
      <c r="AL107">
        <f>IF(AK107&lt;&gt;"",IF(AK107&lt;TODAY(),"Overdue","Current"),"")</f>
        <v/>
      </c>
    </row>
    <row r="108">
      <c r="K108">
        <f>IF(J108="v4.0",L108,IF(J108="v3.1",M108,IF(J108="Both",L108,IF(AND(L108&lt;&gt;"",M108=""),L108,M108))))</f>
        <v/>
      </c>
      <c r="Z108">
        <f>IF(Y108&lt;&gt;"",TODAY()-Y108,"")</f>
        <v/>
      </c>
      <c r="AC108">
        <f>IF(AND(AA108&lt;&gt;"",AB108&lt;&gt;""),CHOOSE(MATCH(AA108,{"Low","Medium","High","Critical"},0),25,50,75,100)-CHOOSE(MATCH(AB108,{"Low","Medium","High","Critical"},0),25,50,75,100),"")</f>
        <v/>
      </c>
      <c r="AG108">
        <f>IF(AF108&lt;&gt;"",IF(AH108="Weekly",AF108+7,IF(AH108="Monthly",EDATE(AF108,1),IF(AH108="Quarterly",EDATE(AF108,3),""))),"")</f>
        <v/>
      </c>
      <c r="AK108">
        <f>IF(AJ108&lt;&gt;"",IF(AI108="Monthly",EDATE(AJ108,1),IF(AI108="Quarterly",EDATE(AJ108,3),IF(AI108="Semi-Annual",EDATE(AJ108,6),""))),"")</f>
        <v/>
      </c>
      <c r="AL108">
        <f>IF(AK108&lt;&gt;"",IF(AK108&lt;TODAY(),"Overdue","Current"),"")</f>
        <v/>
      </c>
    </row>
    <row r="109">
      <c r="K109">
        <f>IF(J109="v4.0",L109,IF(J109="v3.1",M109,IF(J109="Both",L109,IF(AND(L109&lt;&gt;"",M109=""),L109,M109))))</f>
        <v/>
      </c>
      <c r="Z109">
        <f>IF(Y109&lt;&gt;"",TODAY()-Y109,"")</f>
        <v/>
      </c>
      <c r="AC109">
        <f>IF(AND(AA109&lt;&gt;"",AB109&lt;&gt;""),CHOOSE(MATCH(AA109,{"Low","Medium","High","Critical"},0),25,50,75,100)-CHOOSE(MATCH(AB109,{"Low","Medium","High","Critical"},0),25,50,75,100),"")</f>
        <v/>
      </c>
      <c r="AG109">
        <f>IF(AF109&lt;&gt;"",IF(AH109="Weekly",AF109+7,IF(AH109="Monthly",EDATE(AF109,1),IF(AH109="Quarterly",EDATE(AF109,3),""))),"")</f>
        <v/>
      </c>
      <c r="AK109">
        <f>IF(AJ109&lt;&gt;"",IF(AI109="Monthly",EDATE(AJ109,1),IF(AI109="Quarterly",EDATE(AJ109,3),IF(AI109="Semi-Annual",EDATE(AJ109,6),""))),"")</f>
        <v/>
      </c>
      <c r="AL109">
        <f>IF(AK109&lt;&gt;"",IF(AK109&lt;TODAY(),"Overdue","Current"),"")</f>
        <v/>
      </c>
    </row>
    <row r="110">
      <c r="K110">
        <f>IF(J110="v4.0",L110,IF(J110="v3.1",M110,IF(J110="Both",L110,IF(AND(L110&lt;&gt;"",M110=""),L110,M110))))</f>
        <v/>
      </c>
      <c r="Z110">
        <f>IF(Y110&lt;&gt;"",TODAY()-Y110,"")</f>
        <v/>
      </c>
      <c r="AC110">
        <f>IF(AND(AA110&lt;&gt;"",AB110&lt;&gt;""),CHOOSE(MATCH(AA110,{"Low","Medium","High","Critical"},0),25,50,75,100)-CHOOSE(MATCH(AB110,{"Low","Medium","High","Critical"},0),25,50,75,100),"")</f>
        <v/>
      </c>
      <c r="AG110">
        <f>IF(AF110&lt;&gt;"",IF(AH110="Weekly",AF110+7,IF(AH110="Monthly",EDATE(AF110,1),IF(AH110="Quarterly",EDATE(AF110,3),""))),"")</f>
        <v/>
      </c>
      <c r="AK110">
        <f>IF(AJ110&lt;&gt;"",IF(AI110="Monthly",EDATE(AJ110,1),IF(AI110="Quarterly",EDATE(AJ110,3),IF(AI110="Semi-Annual",EDATE(AJ110,6),""))),"")</f>
        <v/>
      </c>
      <c r="AL110">
        <f>IF(AK110&lt;&gt;"",IF(AK110&lt;TODAY(),"Overdue","Current"),"")</f>
        <v/>
      </c>
    </row>
    <row r="111">
      <c r="K111">
        <f>IF(J111="v4.0",L111,IF(J111="v3.1",M111,IF(J111="Both",L111,IF(AND(L111&lt;&gt;"",M111=""),L111,M111))))</f>
        <v/>
      </c>
      <c r="Z111">
        <f>IF(Y111&lt;&gt;"",TODAY()-Y111,"")</f>
        <v/>
      </c>
      <c r="AC111">
        <f>IF(AND(AA111&lt;&gt;"",AB111&lt;&gt;""),CHOOSE(MATCH(AA111,{"Low","Medium","High","Critical"},0),25,50,75,100)-CHOOSE(MATCH(AB111,{"Low","Medium","High","Critical"},0),25,50,75,100),"")</f>
        <v/>
      </c>
      <c r="AG111">
        <f>IF(AF111&lt;&gt;"",IF(AH111="Weekly",AF111+7,IF(AH111="Monthly",EDATE(AF111,1),IF(AH111="Quarterly",EDATE(AF111,3),""))),"")</f>
        <v/>
      </c>
      <c r="AK111">
        <f>IF(AJ111&lt;&gt;"",IF(AI111="Monthly",EDATE(AJ111,1),IF(AI111="Quarterly",EDATE(AJ111,3),IF(AI111="Semi-Annual",EDATE(AJ111,6),""))),"")</f>
        <v/>
      </c>
      <c r="AL111">
        <f>IF(AK111&lt;&gt;"",IF(AK111&lt;TODAY(),"Overdue","Current"),"")</f>
        <v/>
      </c>
    </row>
    <row r="112">
      <c r="K112">
        <f>IF(J112="v4.0",L112,IF(J112="v3.1",M112,IF(J112="Both",L112,IF(AND(L112&lt;&gt;"",M112=""),L112,M112))))</f>
        <v/>
      </c>
      <c r="Z112">
        <f>IF(Y112&lt;&gt;"",TODAY()-Y112,"")</f>
        <v/>
      </c>
      <c r="AC112">
        <f>IF(AND(AA112&lt;&gt;"",AB112&lt;&gt;""),CHOOSE(MATCH(AA112,{"Low","Medium","High","Critical"},0),25,50,75,100)-CHOOSE(MATCH(AB112,{"Low","Medium","High","Critical"},0),25,50,75,100),"")</f>
        <v/>
      </c>
      <c r="AG112">
        <f>IF(AF112&lt;&gt;"",IF(AH112="Weekly",AF112+7,IF(AH112="Monthly",EDATE(AF112,1),IF(AH112="Quarterly",EDATE(AF112,3),""))),"")</f>
        <v/>
      </c>
      <c r="AK112">
        <f>IF(AJ112&lt;&gt;"",IF(AI112="Monthly",EDATE(AJ112,1),IF(AI112="Quarterly",EDATE(AJ112,3),IF(AI112="Semi-Annual",EDATE(AJ112,6),""))),"")</f>
        <v/>
      </c>
      <c r="AL112">
        <f>IF(AK112&lt;&gt;"",IF(AK112&lt;TODAY(),"Overdue","Current"),"")</f>
        <v/>
      </c>
    </row>
    <row r="113">
      <c r="K113">
        <f>IF(J113="v4.0",L113,IF(J113="v3.1",M113,IF(J113="Both",L113,IF(AND(L113&lt;&gt;"",M113=""),L113,M113))))</f>
        <v/>
      </c>
      <c r="Z113">
        <f>IF(Y113&lt;&gt;"",TODAY()-Y113,"")</f>
        <v/>
      </c>
      <c r="AC113">
        <f>IF(AND(AA113&lt;&gt;"",AB113&lt;&gt;""),CHOOSE(MATCH(AA113,{"Low","Medium","High","Critical"},0),25,50,75,100)-CHOOSE(MATCH(AB113,{"Low","Medium","High","Critical"},0),25,50,75,100),"")</f>
        <v/>
      </c>
      <c r="AG113">
        <f>IF(AF113&lt;&gt;"",IF(AH113="Weekly",AF113+7,IF(AH113="Monthly",EDATE(AF113,1),IF(AH113="Quarterly",EDATE(AF113,3),""))),"")</f>
        <v/>
      </c>
      <c r="AK113">
        <f>IF(AJ113&lt;&gt;"",IF(AI113="Monthly",EDATE(AJ113,1),IF(AI113="Quarterly",EDATE(AJ113,3),IF(AI113="Semi-Annual",EDATE(AJ113,6),""))),"")</f>
        <v/>
      </c>
      <c r="AL113">
        <f>IF(AK113&lt;&gt;"",IF(AK113&lt;TODAY(),"Overdue","Current"),"")</f>
        <v/>
      </c>
    </row>
    <row r="114">
      <c r="K114">
        <f>IF(J114="v4.0",L114,IF(J114="v3.1",M114,IF(J114="Both",L114,IF(AND(L114&lt;&gt;"",M114=""),L114,M114))))</f>
        <v/>
      </c>
      <c r="Z114">
        <f>IF(Y114&lt;&gt;"",TODAY()-Y114,"")</f>
        <v/>
      </c>
      <c r="AC114">
        <f>IF(AND(AA114&lt;&gt;"",AB114&lt;&gt;""),CHOOSE(MATCH(AA114,{"Low","Medium","High","Critical"},0),25,50,75,100)-CHOOSE(MATCH(AB114,{"Low","Medium","High","Critical"},0),25,50,75,100),"")</f>
        <v/>
      </c>
      <c r="AG114">
        <f>IF(AF114&lt;&gt;"",IF(AH114="Weekly",AF114+7,IF(AH114="Monthly",EDATE(AF114,1),IF(AH114="Quarterly",EDATE(AF114,3),""))),"")</f>
        <v/>
      </c>
      <c r="AK114">
        <f>IF(AJ114&lt;&gt;"",IF(AI114="Monthly",EDATE(AJ114,1),IF(AI114="Quarterly",EDATE(AJ114,3),IF(AI114="Semi-Annual",EDATE(AJ114,6),""))),"")</f>
        <v/>
      </c>
      <c r="AL114">
        <f>IF(AK114&lt;&gt;"",IF(AK114&lt;TODAY(),"Overdue","Current"),"")</f>
        <v/>
      </c>
    </row>
    <row r="115">
      <c r="K115">
        <f>IF(J115="v4.0",L115,IF(J115="v3.1",M115,IF(J115="Both",L115,IF(AND(L115&lt;&gt;"",M115=""),L115,M115))))</f>
        <v/>
      </c>
      <c r="Z115">
        <f>IF(Y115&lt;&gt;"",TODAY()-Y115,"")</f>
        <v/>
      </c>
      <c r="AC115">
        <f>IF(AND(AA115&lt;&gt;"",AB115&lt;&gt;""),CHOOSE(MATCH(AA115,{"Low","Medium","High","Critical"},0),25,50,75,100)-CHOOSE(MATCH(AB115,{"Low","Medium","High","Critical"},0),25,50,75,100),"")</f>
        <v/>
      </c>
      <c r="AG115">
        <f>IF(AF115&lt;&gt;"",IF(AH115="Weekly",AF115+7,IF(AH115="Monthly",EDATE(AF115,1),IF(AH115="Quarterly",EDATE(AF115,3),""))),"")</f>
        <v/>
      </c>
      <c r="AK115">
        <f>IF(AJ115&lt;&gt;"",IF(AI115="Monthly",EDATE(AJ115,1),IF(AI115="Quarterly",EDATE(AJ115,3),IF(AI115="Semi-Annual",EDATE(AJ115,6),""))),"")</f>
        <v/>
      </c>
      <c r="AL115">
        <f>IF(AK115&lt;&gt;"",IF(AK115&lt;TODAY(),"Overdue","Current"),"")</f>
        <v/>
      </c>
    </row>
    <row r="116">
      <c r="K116">
        <f>IF(J116="v4.0",L116,IF(J116="v3.1",M116,IF(J116="Both",L116,IF(AND(L116&lt;&gt;"",M116=""),L116,M116))))</f>
        <v/>
      </c>
      <c r="Z116">
        <f>IF(Y116&lt;&gt;"",TODAY()-Y116,"")</f>
        <v/>
      </c>
      <c r="AC116">
        <f>IF(AND(AA116&lt;&gt;"",AB116&lt;&gt;""),CHOOSE(MATCH(AA116,{"Low","Medium","High","Critical"},0),25,50,75,100)-CHOOSE(MATCH(AB116,{"Low","Medium","High","Critical"},0),25,50,75,100),"")</f>
        <v/>
      </c>
      <c r="AG116">
        <f>IF(AF116&lt;&gt;"",IF(AH116="Weekly",AF116+7,IF(AH116="Monthly",EDATE(AF116,1),IF(AH116="Quarterly",EDATE(AF116,3),""))),"")</f>
        <v/>
      </c>
      <c r="AK116">
        <f>IF(AJ116&lt;&gt;"",IF(AI116="Monthly",EDATE(AJ116,1),IF(AI116="Quarterly",EDATE(AJ116,3),IF(AI116="Semi-Annual",EDATE(AJ116,6),""))),"")</f>
        <v/>
      </c>
      <c r="AL116">
        <f>IF(AK116&lt;&gt;"",IF(AK116&lt;TODAY(),"Overdue","Current"),"")</f>
        <v/>
      </c>
    </row>
    <row r="117">
      <c r="K117">
        <f>IF(J117="v4.0",L117,IF(J117="v3.1",M117,IF(J117="Both",L117,IF(AND(L117&lt;&gt;"",M117=""),L117,M117))))</f>
        <v/>
      </c>
      <c r="Z117">
        <f>IF(Y117&lt;&gt;"",TODAY()-Y117,"")</f>
        <v/>
      </c>
      <c r="AC117">
        <f>IF(AND(AA117&lt;&gt;"",AB117&lt;&gt;""),CHOOSE(MATCH(AA117,{"Low","Medium","High","Critical"},0),25,50,75,100)-CHOOSE(MATCH(AB117,{"Low","Medium","High","Critical"},0),25,50,75,100),"")</f>
        <v/>
      </c>
      <c r="AG117">
        <f>IF(AF117&lt;&gt;"",IF(AH117="Weekly",AF117+7,IF(AH117="Monthly",EDATE(AF117,1),IF(AH117="Quarterly",EDATE(AF117,3),""))),"")</f>
        <v/>
      </c>
      <c r="AK117">
        <f>IF(AJ117&lt;&gt;"",IF(AI117="Monthly",EDATE(AJ117,1),IF(AI117="Quarterly",EDATE(AJ117,3),IF(AI117="Semi-Annual",EDATE(AJ117,6),""))),"")</f>
        <v/>
      </c>
      <c r="AL117">
        <f>IF(AK117&lt;&gt;"",IF(AK117&lt;TODAY(),"Overdue","Current"),"")</f>
        <v/>
      </c>
    </row>
    <row r="118">
      <c r="K118">
        <f>IF(J118="v4.0",L118,IF(J118="v3.1",M118,IF(J118="Both",L118,IF(AND(L118&lt;&gt;"",M118=""),L118,M118))))</f>
        <v/>
      </c>
      <c r="Z118">
        <f>IF(Y118&lt;&gt;"",TODAY()-Y118,"")</f>
        <v/>
      </c>
      <c r="AC118">
        <f>IF(AND(AA118&lt;&gt;"",AB118&lt;&gt;""),CHOOSE(MATCH(AA118,{"Low","Medium","High","Critical"},0),25,50,75,100)-CHOOSE(MATCH(AB118,{"Low","Medium","High","Critical"},0),25,50,75,100),"")</f>
        <v/>
      </c>
      <c r="AG118">
        <f>IF(AF118&lt;&gt;"",IF(AH118="Weekly",AF118+7,IF(AH118="Monthly",EDATE(AF118,1),IF(AH118="Quarterly",EDATE(AF118,3),""))),"")</f>
        <v/>
      </c>
      <c r="AK118">
        <f>IF(AJ118&lt;&gt;"",IF(AI118="Monthly",EDATE(AJ118,1),IF(AI118="Quarterly",EDATE(AJ118,3),IF(AI118="Semi-Annual",EDATE(AJ118,6),""))),"")</f>
        <v/>
      </c>
      <c r="AL118">
        <f>IF(AK118&lt;&gt;"",IF(AK118&lt;TODAY(),"Overdue","Current"),"")</f>
        <v/>
      </c>
    </row>
    <row r="119">
      <c r="K119">
        <f>IF(J119="v4.0",L119,IF(J119="v3.1",M119,IF(J119="Both",L119,IF(AND(L119&lt;&gt;"",M119=""),L119,M119))))</f>
        <v/>
      </c>
      <c r="Z119">
        <f>IF(Y119&lt;&gt;"",TODAY()-Y119,"")</f>
        <v/>
      </c>
      <c r="AC119">
        <f>IF(AND(AA119&lt;&gt;"",AB119&lt;&gt;""),CHOOSE(MATCH(AA119,{"Low","Medium","High","Critical"},0),25,50,75,100)-CHOOSE(MATCH(AB119,{"Low","Medium","High","Critical"},0),25,50,75,100),"")</f>
        <v/>
      </c>
      <c r="AG119">
        <f>IF(AF119&lt;&gt;"",IF(AH119="Weekly",AF119+7,IF(AH119="Monthly",EDATE(AF119,1),IF(AH119="Quarterly",EDATE(AF119,3),""))),"")</f>
        <v/>
      </c>
      <c r="AK119">
        <f>IF(AJ119&lt;&gt;"",IF(AI119="Monthly",EDATE(AJ119,1),IF(AI119="Quarterly",EDATE(AJ119,3),IF(AI119="Semi-Annual",EDATE(AJ119,6),""))),"")</f>
        <v/>
      </c>
      <c r="AL119">
        <f>IF(AK119&lt;&gt;"",IF(AK119&lt;TODAY(),"Overdue","Current"),"")</f>
        <v/>
      </c>
    </row>
    <row r="120">
      <c r="K120">
        <f>IF(J120="v4.0",L120,IF(J120="v3.1",M120,IF(J120="Both",L120,IF(AND(L120&lt;&gt;"",M120=""),L120,M120))))</f>
        <v/>
      </c>
      <c r="Z120">
        <f>IF(Y120&lt;&gt;"",TODAY()-Y120,"")</f>
        <v/>
      </c>
      <c r="AC120">
        <f>IF(AND(AA120&lt;&gt;"",AB120&lt;&gt;""),CHOOSE(MATCH(AA120,{"Low","Medium","High","Critical"},0),25,50,75,100)-CHOOSE(MATCH(AB120,{"Low","Medium","High","Critical"},0),25,50,75,100),"")</f>
        <v/>
      </c>
      <c r="AG120">
        <f>IF(AF120&lt;&gt;"",IF(AH120="Weekly",AF120+7,IF(AH120="Monthly",EDATE(AF120,1),IF(AH120="Quarterly",EDATE(AF120,3),""))),"")</f>
        <v/>
      </c>
      <c r="AK120">
        <f>IF(AJ120&lt;&gt;"",IF(AI120="Monthly",EDATE(AJ120,1),IF(AI120="Quarterly",EDATE(AJ120,3),IF(AI120="Semi-Annual",EDATE(AJ120,6),""))),"")</f>
        <v/>
      </c>
      <c r="AL120">
        <f>IF(AK120&lt;&gt;"",IF(AK120&lt;TODAY(),"Overdue","Current"),"")</f>
        <v/>
      </c>
    </row>
    <row r="121">
      <c r="K121">
        <f>IF(J121="v4.0",L121,IF(J121="v3.1",M121,IF(J121="Both",L121,IF(AND(L121&lt;&gt;"",M121=""),L121,M121))))</f>
        <v/>
      </c>
      <c r="Z121">
        <f>IF(Y121&lt;&gt;"",TODAY()-Y121,"")</f>
        <v/>
      </c>
      <c r="AC121">
        <f>IF(AND(AA121&lt;&gt;"",AB121&lt;&gt;""),CHOOSE(MATCH(AA121,{"Low","Medium","High","Critical"},0),25,50,75,100)-CHOOSE(MATCH(AB121,{"Low","Medium","High","Critical"},0),25,50,75,100),"")</f>
        <v/>
      </c>
      <c r="AG121">
        <f>IF(AF121&lt;&gt;"",IF(AH121="Weekly",AF121+7,IF(AH121="Monthly",EDATE(AF121,1),IF(AH121="Quarterly",EDATE(AF121,3),""))),"")</f>
        <v/>
      </c>
      <c r="AK121">
        <f>IF(AJ121&lt;&gt;"",IF(AI121="Monthly",EDATE(AJ121,1),IF(AI121="Quarterly",EDATE(AJ121,3),IF(AI121="Semi-Annual",EDATE(AJ121,6),""))),"")</f>
        <v/>
      </c>
      <c r="AL121">
        <f>IF(AK121&lt;&gt;"",IF(AK121&lt;TODAY(),"Overdue","Current"),"")</f>
        <v/>
      </c>
    </row>
    <row r="122">
      <c r="K122">
        <f>IF(J122="v4.0",L122,IF(J122="v3.1",M122,IF(J122="Both",L122,IF(AND(L122&lt;&gt;"",M122=""),L122,M122))))</f>
        <v/>
      </c>
      <c r="Z122">
        <f>IF(Y122&lt;&gt;"",TODAY()-Y122,"")</f>
        <v/>
      </c>
      <c r="AC122">
        <f>IF(AND(AA122&lt;&gt;"",AB122&lt;&gt;""),CHOOSE(MATCH(AA122,{"Low","Medium","High","Critical"},0),25,50,75,100)-CHOOSE(MATCH(AB122,{"Low","Medium","High","Critical"},0),25,50,75,100),"")</f>
        <v/>
      </c>
      <c r="AG122">
        <f>IF(AF122&lt;&gt;"",IF(AH122="Weekly",AF122+7,IF(AH122="Monthly",EDATE(AF122,1),IF(AH122="Quarterly",EDATE(AF122,3),""))),"")</f>
        <v/>
      </c>
      <c r="AK122">
        <f>IF(AJ122&lt;&gt;"",IF(AI122="Monthly",EDATE(AJ122,1),IF(AI122="Quarterly",EDATE(AJ122,3),IF(AI122="Semi-Annual",EDATE(AJ122,6),""))),"")</f>
        <v/>
      </c>
      <c r="AL122">
        <f>IF(AK122&lt;&gt;"",IF(AK122&lt;TODAY(),"Overdue","Current"),"")</f>
        <v/>
      </c>
    </row>
    <row r="123">
      <c r="K123">
        <f>IF(J123="v4.0",L123,IF(J123="v3.1",M123,IF(J123="Both",L123,IF(AND(L123&lt;&gt;"",M123=""),L123,M123))))</f>
        <v/>
      </c>
      <c r="Z123">
        <f>IF(Y123&lt;&gt;"",TODAY()-Y123,"")</f>
        <v/>
      </c>
      <c r="AC123">
        <f>IF(AND(AA123&lt;&gt;"",AB123&lt;&gt;""),CHOOSE(MATCH(AA123,{"Low","Medium","High","Critical"},0),25,50,75,100)-CHOOSE(MATCH(AB123,{"Low","Medium","High","Critical"},0),25,50,75,100),"")</f>
        <v/>
      </c>
      <c r="AG123">
        <f>IF(AF123&lt;&gt;"",IF(AH123="Weekly",AF123+7,IF(AH123="Monthly",EDATE(AF123,1),IF(AH123="Quarterly",EDATE(AF123,3),""))),"")</f>
        <v/>
      </c>
      <c r="AK123">
        <f>IF(AJ123&lt;&gt;"",IF(AI123="Monthly",EDATE(AJ123,1),IF(AI123="Quarterly",EDATE(AJ123,3),IF(AI123="Semi-Annual",EDATE(AJ123,6),""))),"")</f>
        <v/>
      </c>
      <c r="AL123">
        <f>IF(AK123&lt;&gt;"",IF(AK123&lt;TODAY(),"Overdue","Current"),"")</f>
        <v/>
      </c>
    </row>
    <row r="124">
      <c r="K124">
        <f>IF(J124="v4.0",L124,IF(J124="v3.1",M124,IF(J124="Both",L124,IF(AND(L124&lt;&gt;"",M124=""),L124,M124))))</f>
        <v/>
      </c>
      <c r="Z124">
        <f>IF(Y124&lt;&gt;"",TODAY()-Y124,"")</f>
        <v/>
      </c>
      <c r="AC124">
        <f>IF(AND(AA124&lt;&gt;"",AB124&lt;&gt;""),CHOOSE(MATCH(AA124,{"Low","Medium","High","Critical"},0),25,50,75,100)-CHOOSE(MATCH(AB124,{"Low","Medium","High","Critical"},0),25,50,75,100),"")</f>
        <v/>
      </c>
      <c r="AG124">
        <f>IF(AF124&lt;&gt;"",IF(AH124="Weekly",AF124+7,IF(AH124="Monthly",EDATE(AF124,1),IF(AH124="Quarterly",EDATE(AF124,3),""))),"")</f>
        <v/>
      </c>
      <c r="AK124">
        <f>IF(AJ124&lt;&gt;"",IF(AI124="Monthly",EDATE(AJ124,1),IF(AI124="Quarterly",EDATE(AJ124,3),IF(AI124="Semi-Annual",EDATE(AJ124,6),""))),"")</f>
        <v/>
      </c>
      <c r="AL124">
        <f>IF(AK124&lt;&gt;"",IF(AK124&lt;TODAY(),"Overdue","Current"),"")</f>
        <v/>
      </c>
    </row>
    <row r="125">
      <c r="K125">
        <f>IF(J125="v4.0",L125,IF(J125="v3.1",M125,IF(J125="Both",L125,IF(AND(L125&lt;&gt;"",M125=""),L125,M125))))</f>
        <v/>
      </c>
      <c r="Z125">
        <f>IF(Y125&lt;&gt;"",TODAY()-Y125,"")</f>
        <v/>
      </c>
      <c r="AC125">
        <f>IF(AND(AA125&lt;&gt;"",AB125&lt;&gt;""),CHOOSE(MATCH(AA125,{"Low","Medium","High","Critical"},0),25,50,75,100)-CHOOSE(MATCH(AB125,{"Low","Medium","High","Critical"},0),25,50,75,100),"")</f>
        <v/>
      </c>
      <c r="AG125">
        <f>IF(AF125&lt;&gt;"",IF(AH125="Weekly",AF125+7,IF(AH125="Monthly",EDATE(AF125,1),IF(AH125="Quarterly",EDATE(AF125,3),""))),"")</f>
        <v/>
      </c>
      <c r="AK125">
        <f>IF(AJ125&lt;&gt;"",IF(AI125="Monthly",EDATE(AJ125,1),IF(AI125="Quarterly",EDATE(AJ125,3),IF(AI125="Semi-Annual",EDATE(AJ125,6),""))),"")</f>
        <v/>
      </c>
      <c r="AL125">
        <f>IF(AK125&lt;&gt;"",IF(AK125&lt;TODAY(),"Overdue","Current"),"")</f>
        <v/>
      </c>
    </row>
    <row r="126">
      <c r="K126">
        <f>IF(J126="v4.0",L126,IF(J126="v3.1",M126,IF(J126="Both",L126,IF(AND(L126&lt;&gt;"",M126=""),L126,M126))))</f>
        <v/>
      </c>
      <c r="Z126">
        <f>IF(Y126&lt;&gt;"",TODAY()-Y126,"")</f>
        <v/>
      </c>
      <c r="AC126">
        <f>IF(AND(AA126&lt;&gt;"",AB126&lt;&gt;""),CHOOSE(MATCH(AA126,{"Low","Medium","High","Critical"},0),25,50,75,100)-CHOOSE(MATCH(AB126,{"Low","Medium","High","Critical"},0),25,50,75,100),"")</f>
        <v/>
      </c>
      <c r="AG126">
        <f>IF(AF126&lt;&gt;"",IF(AH126="Weekly",AF126+7,IF(AH126="Monthly",EDATE(AF126,1),IF(AH126="Quarterly",EDATE(AF126,3),""))),"")</f>
        <v/>
      </c>
      <c r="AK126">
        <f>IF(AJ126&lt;&gt;"",IF(AI126="Monthly",EDATE(AJ126,1),IF(AI126="Quarterly",EDATE(AJ126,3),IF(AI126="Semi-Annual",EDATE(AJ126,6),""))),"")</f>
        <v/>
      </c>
      <c r="AL126">
        <f>IF(AK126&lt;&gt;"",IF(AK126&lt;TODAY(),"Overdue","Current"),"")</f>
        <v/>
      </c>
    </row>
    <row r="127">
      <c r="K127">
        <f>IF(J127="v4.0",L127,IF(J127="v3.1",M127,IF(J127="Both",L127,IF(AND(L127&lt;&gt;"",M127=""),L127,M127))))</f>
        <v/>
      </c>
      <c r="Z127">
        <f>IF(Y127&lt;&gt;"",TODAY()-Y127,"")</f>
        <v/>
      </c>
      <c r="AC127">
        <f>IF(AND(AA127&lt;&gt;"",AB127&lt;&gt;""),CHOOSE(MATCH(AA127,{"Low","Medium","High","Critical"},0),25,50,75,100)-CHOOSE(MATCH(AB127,{"Low","Medium","High","Critical"},0),25,50,75,100),"")</f>
        <v/>
      </c>
      <c r="AG127">
        <f>IF(AF127&lt;&gt;"",IF(AH127="Weekly",AF127+7,IF(AH127="Monthly",EDATE(AF127,1),IF(AH127="Quarterly",EDATE(AF127,3),""))),"")</f>
        <v/>
      </c>
      <c r="AK127">
        <f>IF(AJ127&lt;&gt;"",IF(AI127="Monthly",EDATE(AJ127,1),IF(AI127="Quarterly",EDATE(AJ127,3),IF(AI127="Semi-Annual",EDATE(AJ127,6),""))),"")</f>
        <v/>
      </c>
      <c r="AL127">
        <f>IF(AK127&lt;&gt;"",IF(AK127&lt;TODAY(),"Overdue","Current"),"")</f>
        <v/>
      </c>
    </row>
    <row r="128">
      <c r="K128">
        <f>IF(J128="v4.0",L128,IF(J128="v3.1",M128,IF(J128="Both",L128,IF(AND(L128&lt;&gt;"",M128=""),L128,M128))))</f>
        <v/>
      </c>
      <c r="Z128">
        <f>IF(Y128&lt;&gt;"",TODAY()-Y128,"")</f>
        <v/>
      </c>
      <c r="AC128">
        <f>IF(AND(AA128&lt;&gt;"",AB128&lt;&gt;""),CHOOSE(MATCH(AA128,{"Low","Medium","High","Critical"},0),25,50,75,100)-CHOOSE(MATCH(AB128,{"Low","Medium","High","Critical"},0),25,50,75,100),"")</f>
        <v/>
      </c>
      <c r="AG128">
        <f>IF(AF128&lt;&gt;"",IF(AH128="Weekly",AF128+7,IF(AH128="Monthly",EDATE(AF128,1),IF(AH128="Quarterly",EDATE(AF128,3),""))),"")</f>
        <v/>
      </c>
      <c r="AK128">
        <f>IF(AJ128&lt;&gt;"",IF(AI128="Monthly",EDATE(AJ128,1),IF(AI128="Quarterly",EDATE(AJ128,3),IF(AI128="Semi-Annual",EDATE(AJ128,6),""))),"")</f>
        <v/>
      </c>
      <c r="AL128">
        <f>IF(AK128&lt;&gt;"",IF(AK128&lt;TODAY(),"Overdue","Current"),"")</f>
        <v/>
      </c>
    </row>
    <row r="129">
      <c r="K129">
        <f>IF(J129="v4.0",L129,IF(J129="v3.1",M129,IF(J129="Both",L129,IF(AND(L129&lt;&gt;"",M129=""),L129,M129))))</f>
        <v/>
      </c>
      <c r="Z129">
        <f>IF(Y129&lt;&gt;"",TODAY()-Y129,"")</f>
        <v/>
      </c>
      <c r="AC129">
        <f>IF(AND(AA129&lt;&gt;"",AB129&lt;&gt;""),CHOOSE(MATCH(AA129,{"Low","Medium","High","Critical"},0),25,50,75,100)-CHOOSE(MATCH(AB129,{"Low","Medium","High","Critical"},0),25,50,75,100),"")</f>
        <v/>
      </c>
      <c r="AG129">
        <f>IF(AF129&lt;&gt;"",IF(AH129="Weekly",AF129+7,IF(AH129="Monthly",EDATE(AF129,1),IF(AH129="Quarterly",EDATE(AF129,3),""))),"")</f>
        <v/>
      </c>
      <c r="AK129">
        <f>IF(AJ129&lt;&gt;"",IF(AI129="Monthly",EDATE(AJ129,1),IF(AI129="Quarterly",EDATE(AJ129,3),IF(AI129="Semi-Annual",EDATE(AJ129,6),""))),"")</f>
        <v/>
      </c>
      <c r="AL129">
        <f>IF(AK129&lt;&gt;"",IF(AK129&lt;TODAY(),"Overdue","Current"),"")</f>
        <v/>
      </c>
    </row>
    <row r="130">
      <c r="K130">
        <f>IF(J130="v4.0",L130,IF(J130="v3.1",M130,IF(J130="Both",L130,IF(AND(L130&lt;&gt;"",M130=""),L130,M130))))</f>
        <v/>
      </c>
      <c r="Z130">
        <f>IF(Y130&lt;&gt;"",TODAY()-Y130,"")</f>
        <v/>
      </c>
      <c r="AC130">
        <f>IF(AND(AA130&lt;&gt;"",AB130&lt;&gt;""),CHOOSE(MATCH(AA130,{"Low","Medium","High","Critical"},0),25,50,75,100)-CHOOSE(MATCH(AB130,{"Low","Medium","High","Critical"},0),25,50,75,100),"")</f>
        <v/>
      </c>
      <c r="AG130">
        <f>IF(AF130&lt;&gt;"",IF(AH130="Weekly",AF130+7,IF(AH130="Monthly",EDATE(AF130,1),IF(AH130="Quarterly",EDATE(AF130,3),""))),"")</f>
        <v/>
      </c>
      <c r="AK130">
        <f>IF(AJ130&lt;&gt;"",IF(AI130="Monthly",EDATE(AJ130,1),IF(AI130="Quarterly",EDATE(AJ130,3),IF(AI130="Semi-Annual",EDATE(AJ130,6),""))),"")</f>
        <v/>
      </c>
      <c r="AL130">
        <f>IF(AK130&lt;&gt;"",IF(AK130&lt;TODAY(),"Overdue","Current"),"")</f>
        <v/>
      </c>
    </row>
    <row r="131">
      <c r="K131">
        <f>IF(J131="v4.0",L131,IF(J131="v3.1",M131,IF(J131="Both",L131,IF(AND(L131&lt;&gt;"",M131=""),L131,M131))))</f>
        <v/>
      </c>
      <c r="Z131">
        <f>IF(Y131&lt;&gt;"",TODAY()-Y131,"")</f>
        <v/>
      </c>
      <c r="AC131">
        <f>IF(AND(AA131&lt;&gt;"",AB131&lt;&gt;""),CHOOSE(MATCH(AA131,{"Low","Medium","High","Critical"},0),25,50,75,100)-CHOOSE(MATCH(AB131,{"Low","Medium","High","Critical"},0),25,50,75,100),"")</f>
        <v/>
      </c>
      <c r="AG131">
        <f>IF(AF131&lt;&gt;"",IF(AH131="Weekly",AF131+7,IF(AH131="Monthly",EDATE(AF131,1),IF(AH131="Quarterly",EDATE(AF131,3),""))),"")</f>
        <v/>
      </c>
      <c r="AK131">
        <f>IF(AJ131&lt;&gt;"",IF(AI131="Monthly",EDATE(AJ131,1),IF(AI131="Quarterly",EDATE(AJ131,3),IF(AI131="Semi-Annual",EDATE(AJ131,6),""))),"")</f>
        <v/>
      </c>
      <c r="AL131">
        <f>IF(AK131&lt;&gt;"",IF(AK131&lt;TODAY(),"Overdue","Current"),"")</f>
        <v/>
      </c>
    </row>
    <row r="132">
      <c r="K132">
        <f>IF(J132="v4.0",L132,IF(J132="v3.1",M132,IF(J132="Both",L132,IF(AND(L132&lt;&gt;"",M132=""),L132,M132))))</f>
        <v/>
      </c>
      <c r="Z132">
        <f>IF(Y132&lt;&gt;"",TODAY()-Y132,"")</f>
        <v/>
      </c>
      <c r="AC132">
        <f>IF(AND(AA132&lt;&gt;"",AB132&lt;&gt;""),CHOOSE(MATCH(AA132,{"Low","Medium","High","Critical"},0),25,50,75,100)-CHOOSE(MATCH(AB132,{"Low","Medium","High","Critical"},0),25,50,75,100),"")</f>
        <v/>
      </c>
      <c r="AG132">
        <f>IF(AF132&lt;&gt;"",IF(AH132="Weekly",AF132+7,IF(AH132="Monthly",EDATE(AF132,1),IF(AH132="Quarterly",EDATE(AF132,3),""))),"")</f>
        <v/>
      </c>
      <c r="AK132">
        <f>IF(AJ132&lt;&gt;"",IF(AI132="Monthly",EDATE(AJ132,1),IF(AI132="Quarterly",EDATE(AJ132,3),IF(AI132="Semi-Annual",EDATE(AJ132,6),""))),"")</f>
        <v/>
      </c>
      <c r="AL132">
        <f>IF(AK132&lt;&gt;"",IF(AK132&lt;TODAY(),"Overdue","Current"),"")</f>
        <v/>
      </c>
    </row>
    <row r="133">
      <c r="K133">
        <f>IF(J133="v4.0",L133,IF(J133="v3.1",M133,IF(J133="Both",L133,IF(AND(L133&lt;&gt;"",M133=""),L133,M133))))</f>
        <v/>
      </c>
      <c r="Z133">
        <f>IF(Y133&lt;&gt;"",TODAY()-Y133,"")</f>
        <v/>
      </c>
      <c r="AC133">
        <f>IF(AND(AA133&lt;&gt;"",AB133&lt;&gt;""),CHOOSE(MATCH(AA133,{"Low","Medium","High","Critical"},0),25,50,75,100)-CHOOSE(MATCH(AB133,{"Low","Medium","High","Critical"},0),25,50,75,100),"")</f>
        <v/>
      </c>
      <c r="AG133">
        <f>IF(AF133&lt;&gt;"",IF(AH133="Weekly",AF133+7,IF(AH133="Monthly",EDATE(AF133,1),IF(AH133="Quarterly",EDATE(AF133,3),""))),"")</f>
        <v/>
      </c>
      <c r="AK133">
        <f>IF(AJ133&lt;&gt;"",IF(AI133="Monthly",EDATE(AJ133,1),IF(AI133="Quarterly",EDATE(AJ133,3),IF(AI133="Semi-Annual",EDATE(AJ133,6),""))),"")</f>
        <v/>
      </c>
      <c r="AL133">
        <f>IF(AK133&lt;&gt;"",IF(AK133&lt;TODAY(),"Overdue","Current"),"")</f>
        <v/>
      </c>
    </row>
    <row r="134">
      <c r="K134">
        <f>IF(J134="v4.0",L134,IF(J134="v3.1",M134,IF(J134="Both",L134,IF(AND(L134&lt;&gt;"",M134=""),L134,M134))))</f>
        <v/>
      </c>
      <c r="Z134">
        <f>IF(Y134&lt;&gt;"",TODAY()-Y134,"")</f>
        <v/>
      </c>
      <c r="AC134">
        <f>IF(AND(AA134&lt;&gt;"",AB134&lt;&gt;""),CHOOSE(MATCH(AA134,{"Low","Medium","High","Critical"},0),25,50,75,100)-CHOOSE(MATCH(AB134,{"Low","Medium","High","Critical"},0),25,50,75,100),"")</f>
        <v/>
      </c>
      <c r="AG134">
        <f>IF(AF134&lt;&gt;"",IF(AH134="Weekly",AF134+7,IF(AH134="Monthly",EDATE(AF134,1),IF(AH134="Quarterly",EDATE(AF134,3),""))),"")</f>
        <v/>
      </c>
      <c r="AK134">
        <f>IF(AJ134&lt;&gt;"",IF(AI134="Monthly",EDATE(AJ134,1),IF(AI134="Quarterly",EDATE(AJ134,3),IF(AI134="Semi-Annual",EDATE(AJ134,6),""))),"")</f>
        <v/>
      </c>
      <c r="AL134">
        <f>IF(AK134&lt;&gt;"",IF(AK134&lt;TODAY(),"Overdue","Current"),"")</f>
        <v/>
      </c>
    </row>
    <row r="135">
      <c r="K135">
        <f>IF(J135="v4.0",L135,IF(J135="v3.1",M135,IF(J135="Both",L135,IF(AND(L135&lt;&gt;"",M135=""),L135,M135))))</f>
        <v/>
      </c>
      <c r="Z135">
        <f>IF(Y135&lt;&gt;"",TODAY()-Y135,"")</f>
        <v/>
      </c>
      <c r="AC135">
        <f>IF(AND(AA135&lt;&gt;"",AB135&lt;&gt;""),CHOOSE(MATCH(AA135,{"Low","Medium","High","Critical"},0),25,50,75,100)-CHOOSE(MATCH(AB135,{"Low","Medium","High","Critical"},0),25,50,75,100),"")</f>
        <v/>
      </c>
      <c r="AG135">
        <f>IF(AF135&lt;&gt;"",IF(AH135="Weekly",AF135+7,IF(AH135="Monthly",EDATE(AF135,1),IF(AH135="Quarterly",EDATE(AF135,3),""))),"")</f>
        <v/>
      </c>
      <c r="AK135">
        <f>IF(AJ135&lt;&gt;"",IF(AI135="Monthly",EDATE(AJ135,1),IF(AI135="Quarterly",EDATE(AJ135,3),IF(AI135="Semi-Annual",EDATE(AJ135,6),""))),"")</f>
        <v/>
      </c>
      <c r="AL135">
        <f>IF(AK135&lt;&gt;"",IF(AK135&lt;TODAY(),"Overdue","Current"),"")</f>
        <v/>
      </c>
    </row>
    <row r="136">
      <c r="K136">
        <f>IF(J136="v4.0",L136,IF(J136="v3.1",M136,IF(J136="Both",L136,IF(AND(L136&lt;&gt;"",M136=""),L136,M136))))</f>
        <v/>
      </c>
      <c r="Z136">
        <f>IF(Y136&lt;&gt;"",TODAY()-Y136,"")</f>
        <v/>
      </c>
      <c r="AC136">
        <f>IF(AND(AA136&lt;&gt;"",AB136&lt;&gt;""),CHOOSE(MATCH(AA136,{"Low","Medium","High","Critical"},0),25,50,75,100)-CHOOSE(MATCH(AB136,{"Low","Medium","High","Critical"},0),25,50,75,100),"")</f>
        <v/>
      </c>
      <c r="AG136">
        <f>IF(AF136&lt;&gt;"",IF(AH136="Weekly",AF136+7,IF(AH136="Monthly",EDATE(AF136,1),IF(AH136="Quarterly",EDATE(AF136,3),""))),"")</f>
        <v/>
      </c>
      <c r="AK136">
        <f>IF(AJ136&lt;&gt;"",IF(AI136="Monthly",EDATE(AJ136,1),IF(AI136="Quarterly",EDATE(AJ136,3),IF(AI136="Semi-Annual",EDATE(AJ136,6),""))),"")</f>
        <v/>
      </c>
      <c r="AL136">
        <f>IF(AK136&lt;&gt;"",IF(AK136&lt;TODAY(),"Overdue","Current"),"")</f>
        <v/>
      </c>
    </row>
    <row r="137">
      <c r="K137">
        <f>IF(J137="v4.0",L137,IF(J137="v3.1",M137,IF(J137="Both",L137,IF(AND(L137&lt;&gt;"",M137=""),L137,M137))))</f>
        <v/>
      </c>
      <c r="Z137">
        <f>IF(Y137&lt;&gt;"",TODAY()-Y137,"")</f>
        <v/>
      </c>
      <c r="AC137">
        <f>IF(AND(AA137&lt;&gt;"",AB137&lt;&gt;""),CHOOSE(MATCH(AA137,{"Low","Medium","High","Critical"},0),25,50,75,100)-CHOOSE(MATCH(AB137,{"Low","Medium","High","Critical"},0),25,50,75,100),"")</f>
        <v/>
      </c>
      <c r="AG137">
        <f>IF(AF137&lt;&gt;"",IF(AH137="Weekly",AF137+7,IF(AH137="Monthly",EDATE(AF137,1),IF(AH137="Quarterly",EDATE(AF137,3),""))),"")</f>
        <v/>
      </c>
      <c r="AK137">
        <f>IF(AJ137&lt;&gt;"",IF(AI137="Monthly",EDATE(AJ137,1),IF(AI137="Quarterly",EDATE(AJ137,3),IF(AI137="Semi-Annual",EDATE(AJ137,6),""))),"")</f>
        <v/>
      </c>
      <c r="AL137">
        <f>IF(AK137&lt;&gt;"",IF(AK137&lt;TODAY(),"Overdue","Current"),"")</f>
        <v/>
      </c>
    </row>
    <row r="138">
      <c r="K138">
        <f>IF(J138="v4.0",L138,IF(J138="v3.1",M138,IF(J138="Both",L138,IF(AND(L138&lt;&gt;"",M138=""),L138,M138))))</f>
        <v/>
      </c>
      <c r="Z138">
        <f>IF(Y138&lt;&gt;"",TODAY()-Y138,"")</f>
        <v/>
      </c>
      <c r="AC138">
        <f>IF(AND(AA138&lt;&gt;"",AB138&lt;&gt;""),CHOOSE(MATCH(AA138,{"Low","Medium","High","Critical"},0),25,50,75,100)-CHOOSE(MATCH(AB138,{"Low","Medium","High","Critical"},0),25,50,75,100),"")</f>
        <v/>
      </c>
      <c r="AG138">
        <f>IF(AF138&lt;&gt;"",IF(AH138="Weekly",AF138+7,IF(AH138="Monthly",EDATE(AF138,1),IF(AH138="Quarterly",EDATE(AF138,3),""))),"")</f>
        <v/>
      </c>
      <c r="AK138">
        <f>IF(AJ138&lt;&gt;"",IF(AI138="Monthly",EDATE(AJ138,1),IF(AI138="Quarterly",EDATE(AJ138,3),IF(AI138="Semi-Annual",EDATE(AJ138,6),""))),"")</f>
        <v/>
      </c>
      <c r="AL138">
        <f>IF(AK138&lt;&gt;"",IF(AK138&lt;TODAY(),"Overdue","Current"),"")</f>
        <v/>
      </c>
    </row>
    <row r="139">
      <c r="K139">
        <f>IF(J139="v4.0",L139,IF(J139="v3.1",M139,IF(J139="Both",L139,IF(AND(L139&lt;&gt;"",M139=""),L139,M139))))</f>
        <v/>
      </c>
      <c r="Z139">
        <f>IF(Y139&lt;&gt;"",TODAY()-Y139,"")</f>
        <v/>
      </c>
      <c r="AC139">
        <f>IF(AND(AA139&lt;&gt;"",AB139&lt;&gt;""),CHOOSE(MATCH(AA139,{"Low","Medium","High","Critical"},0),25,50,75,100)-CHOOSE(MATCH(AB139,{"Low","Medium","High","Critical"},0),25,50,75,100),"")</f>
        <v/>
      </c>
      <c r="AG139">
        <f>IF(AF139&lt;&gt;"",IF(AH139="Weekly",AF139+7,IF(AH139="Monthly",EDATE(AF139,1),IF(AH139="Quarterly",EDATE(AF139,3),""))),"")</f>
        <v/>
      </c>
      <c r="AK139">
        <f>IF(AJ139&lt;&gt;"",IF(AI139="Monthly",EDATE(AJ139,1),IF(AI139="Quarterly",EDATE(AJ139,3),IF(AI139="Semi-Annual",EDATE(AJ139,6),""))),"")</f>
        <v/>
      </c>
      <c r="AL139">
        <f>IF(AK139&lt;&gt;"",IF(AK139&lt;TODAY(),"Overdue","Current"),"")</f>
        <v/>
      </c>
    </row>
    <row r="140">
      <c r="K140">
        <f>IF(J140="v4.0",L140,IF(J140="v3.1",M140,IF(J140="Both",L140,IF(AND(L140&lt;&gt;"",M140=""),L140,M140))))</f>
        <v/>
      </c>
      <c r="Z140">
        <f>IF(Y140&lt;&gt;"",TODAY()-Y140,"")</f>
        <v/>
      </c>
      <c r="AC140">
        <f>IF(AND(AA140&lt;&gt;"",AB140&lt;&gt;""),CHOOSE(MATCH(AA140,{"Low","Medium","High","Critical"},0),25,50,75,100)-CHOOSE(MATCH(AB140,{"Low","Medium","High","Critical"},0),25,50,75,100),"")</f>
        <v/>
      </c>
      <c r="AG140">
        <f>IF(AF140&lt;&gt;"",IF(AH140="Weekly",AF140+7,IF(AH140="Monthly",EDATE(AF140,1),IF(AH140="Quarterly",EDATE(AF140,3),""))),"")</f>
        <v/>
      </c>
      <c r="AK140">
        <f>IF(AJ140&lt;&gt;"",IF(AI140="Monthly",EDATE(AJ140,1),IF(AI140="Quarterly",EDATE(AJ140,3),IF(AI140="Semi-Annual",EDATE(AJ140,6),""))),"")</f>
        <v/>
      </c>
      <c r="AL140">
        <f>IF(AK140&lt;&gt;"",IF(AK140&lt;TODAY(),"Overdue","Current"),"")</f>
        <v/>
      </c>
    </row>
    <row r="141">
      <c r="K141">
        <f>IF(J141="v4.0",L141,IF(J141="v3.1",M141,IF(J141="Both",L141,IF(AND(L141&lt;&gt;"",M141=""),L141,M141))))</f>
        <v/>
      </c>
      <c r="Z141">
        <f>IF(Y141&lt;&gt;"",TODAY()-Y141,"")</f>
        <v/>
      </c>
      <c r="AC141">
        <f>IF(AND(AA141&lt;&gt;"",AB141&lt;&gt;""),CHOOSE(MATCH(AA141,{"Low","Medium","High","Critical"},0),25,50,75,100)-CHOOSE(MATCH(AB141,{"Low","Medium","High","Critical"},0),25,50,75,100),"")</f>
        <v/>
      </c>
      <c r="AG141">
        <f>IF(AF141&lt;&gt;"",IF(AH141="Weekly",AF141+7,IF(AH141="Monthly",EDATE(AF141,1),IF(AH141="Quarterly",EDATE(AF141,3),""))),"")</f>
        <v/>
      </c>
      <c r="AK141">
        <f>IF(AJ141&lt;&gt;"",IF(AI141="Monthly",EDATE(AJ141,1),IF(AI141="Quarterly",EDATE(AJ141,3),IF(AI141="Semi-Annual",EDATE(AJ141,6),""))),"")</f>
        <v/>
      </c>
      <c r="AL141">
        <f>IF(AK141&lt;&gt;"",IF(AK141&lt;TODAY(),"Overdue","Current"),"")</f>
        <v/>
      </c>
    </row>
    <row r="142">
      <c r="K142">
        <f>IF(J142="v4.0",L142,IF(J142="v3.1",M142,IF(J142="Both",L142,IF(AND(L142&lt;&gt;"",M142=""),L142,M142))))</f>
        <v/>
      </c>
      <c r="Z142">
        <f>IF(Y142&lt;&gt;"",TODAY()-Y142,"")</f>
        <v/>
      </c>
      <c r="AC142">
        <f>IF(AND(AA142&lt;&gt;"",AB142&lt;&gt;""),CHOOSE(MATCH(AA142,{"Low","Medium","High","Critical"},0),25,50,75,100)-CHOOSE(MATCH(AB142,{"Low","Medium","High","Critical"},0),25,50,75,100),"")</f>
        <v/>
      </c>
      <c r="AG142">
        <f>IF(AF142&lt;&gt;"",IF(AH142="Weekly",AF142+7,IF(AH142="Monthly",EDATE(AF142,1),IF(AH142="Quarterly",EDATE(AF142,3),""))),"")</f>
        <v/>
      </c>
      <c r="AK142">
        <f>IF(AJ142&lt;&gt;"",IF(AI142="Monthly",EDATE(AJ142,1),IF(AI142="Quarterly",EDATE(AJ142,3),IF(AI142="Semi-Annual",EDATE(AJ142,6),""))),"")</f>
        <v/>
      </c>
      <c r="AL142">
        <f>IF(AK142&lt;&gt;"",IF(AK142&lt;TODAY(),"Overdue","Current"),"")</f>
        <v/>
      </c>
    </row>
    <row r="143">
      <c r="K143">
        <f>IF(J143="v4.0",L143,IF(J143="v3.1",M143,IF(J143="Both",L143,IF(AND(L143&lt;&gt;"",M143=""),L143,M143))))</f>
        <v/>
      </c>
      <c r="Z143">
        <f>IF(Y143&lt;&gt;"",TODAY()-Y143,"")</f>
        <v/>
      </c>
      <c r="AC143">
        <f>IF(AND(AA143&lt;&gt;"",AB143&lt;&gt;""),CHOOSE(MATCH(AA143,{"Low","Medium","High","Critical"},0),25,50,75,100)-CHOOSE(MATCH(AB143,{"Low","Medium","High","Critical"},0),25,50,75,100),"")</f>
        <v/>
      </c>
      <c r="AG143">
        <f>IF(AF143&lt;&gt;"",IF(AH143="Weekly",AF143+7,IF(AH143="Monthly",EDATE(AF143,1),IF(AH143="Quarterly",EDATE(AF143,3),""))),"")</f>
        <v/>
      </c>
      <c r="AK143">
        <f>IF(AJ143&lt;&gt;"",IF(AI143="Monthly",EDATE(AJ143,1),IF(AI143="Quarterly",EDATE(AJ143,3),IF(AI143="Semi-Annual",EDATE(AJ143,6),""))),"")</f>
        <v/>
      </c>
      <c r="AL143">
        <f>IF(AK143&lt;&gt;"",IF(AK143&lt;TODAY(),"Overdue","Current"),"")</f>
        <v/>
      </c>
    </row>
    <row r="144">
      <c r="K144">
        <f>IF(J144="v4.0",L144,IF(J144="v3.1",M144,IF(J144="Both",L144,IF(AND(L144&lt;&gt;"",M144=""),L144,M144))))</f>
        <v/>
      </c>
      <c r="Z144">
        <f>IF(Y144&lt;&gt;"",TODAY()-Y144,"")</f>
        <v/>
      </c>
      <c r="AC144">
        <f>IF(AND(AA144&lt;&gt;"",AB144&lt;&gt;""),CHOOSE(MATCH(AA144,{"Low","Medium","High","Critical"},0),25,50,75,100)-CHOOSE(MATCH(AB144,{"Low","Medium","High","Critical"},0),25,50,75,100),"")</f>
        <v/>
      </c>
      <c r="AG144">
        <f>IF(AF144&lt;&gt;"",IF(AH144="Weekly",AF144+7,IF(AH144="Monthly",EDATE(AF144,1),IF(AH144="Quarterly",EDATE(AF144,3),""))),"")</f>
        <v/>
      </c>
      <c r="AK144">
        <f>IF(AJ144&lt;&gt;"",IF(AI144="Monthly",EDATE(AJ144,1),IF(AI144="Quarterly",EDATE(AJ144,3),IF(AI144="Semi-Annual",EDATE(AJ144,6),""))),"")</f>
        <v/>
      </c>
      <c r="AL144">
        <f>IF(AK144&lt;&gt;"",IF(AK144&lt;TODAY(),"Overdue","Current"),"")</f>
        <v/>
      </c>
    </row>
    <row r="145">
      <c r="K145">
        <f>IF(J145="v4.0",L145,IF(J145="v3.1",M145,IF(J145="Both",L145,IF(AND(L145&lt;&gt;"",M145=""),L145,M145))))</f>
        <v/>
      </c>
      <c r="Z145">
        <f>IF(Y145&lt;&gt;"",TODAY()-Y145,"")</f>
        <v/>
      </c>
      <c r="AC145">
        <f>IF(AND(AA145&lt;&gt;"",AB145&lt;&gt;""),CHOOSE(MATCH(AA145,{"Low","Medium","High","Critical"},0),25,50,75,100)-CHOOSE(MATCH(AB145,{"Low","Medium","High","Critical"},0),25,50,75,100),"")</f>
        <v/>
      </c>
      <c r="AG145">
        <f>IF(AF145&lt;&gt;"",IF(AH145="Weekly",AF145+7,IF(AH145="Monthly",EDATE(AF145,1),IF(AH145="Quarterly",EDATE(AF145,3),""))),"")</f>
        <v/>
      </c>
      <c r="AK145">
        <f>IF(AJ145&lt;&gt;"",IF(AI145="Monthly",EDATE(AJ145,1),IF(AI145="Quarterly",EDATE(AJ145,3),IF(AI145="Semi-Annual",EDATE(AJ145,6),""))),"")</f>
        <v/>
      </c>
      <c r="AL145">
        <f>IF(AK145&lt;&gt;"",IF(AK145&lt;TODAY(),"Overdue","Current"),"")</f>
        <v/>
      </c>
    </row>
    <row r="146">
      <c r="K146">
        <f>IF(J146="v4.0",L146,IF(J146="v3.1",M146,IF(J146="Both",L146,IF(AND(L146&lt;&gt;"",M146=""),L146,M146))))</f>
        <v/>
      </c>
      <c r="Z146">
        <f>IF(Y146&lt;&gt;"",TODAY()-Y146,"")</f>
        <v/>
      </c>
      <c r="AC146">
        <f>IF(AND(AA146&lt;&gt;"",AB146&lt;&gt;""),CHOOSE(MATCH(AA146,{"Low","Medium","High","Critical"},0),25,50,75,100)-CHOOSE(MATCH(AB146,{"Low","Medium","High","Critical"},0),25,50,75,100),"")</f>
        <v/>
      </c>
      <c r="AG146">
        <f>IF(AF146&lt;&gt;"",IF(AH146="Weekly",AF146+7,IF(AH146="Monthly",EDATE(AF146,1),IF(AH146="Quarterly",EDATE(AF146,3),""))),"")</f>
        <v/>
      </c>
      <c r="AK146">
        <f>IF(AJ146&lt;&gt;"",IF(AI146="Monthly",EDATE(AJ146,1),IF(AI146="Quarterly",EDATE(AJ146,3),IF(AI146="Semi-Annual",EDATE(AJ146,6),""))),"")</f>
        <v/>
      </c>
      <c r="AL146">
        <f>IF(AK146&lt;&gt;"",IF(AK146&lt;TODAY(),"Overdue","Current"),"")</f>
        <v/>
      </c>
    </row>
    <row r="147">
      <c r="K147">
        <f>IF(J147="v4.0",L147,IF(J147="v3.1",M147,IF(J147="Both",L147,IF(AND(L147&lt;&gt;"",M147=""),L147,M147))))</f>
        <v/>
      </c>
      <c r="Z147">
        <f>IF(Y147&lt;&gt;"",TODAY()-Y147,"")</f>
        <v/>
      </c>
      <c r="AC147">
        <f>IF(AND(AA147&lt;&gt;"",AB147&lt;&gt;""),CHOOSE(MATCH(AA147,{"Low","Medium","High","Critical"},0),25,50,75,100)-CHOOSE(MATCH(AB147,{"Low","Medium","High","Critical"},0),25,50,75,100),"")</f>
        <v/>
      </c>
      <c r="AG147">
        <f>IF(AF147&lt;&gt;"",IF(AH147="Weekly",AF147+7,IF(AH147="Monthly",EDATE(AF147,1),IF(AH147="Quarterly",EDATE(AF147,3),""))),"")</f>
        <v/>
      </c>
      <c r="AK147">
        <f>IF(AJ147&lt;&gt;"",IF(AI147="Monthly",EDATE(AJ147,1),IF(AI147="Quarterly",EDATE(AJ147,3),IF(AI147="Semi-Annual",EDATE(AJ147,6),""))),"")</f>
        <v/>
      </c>
      <c r="AL147">
        <f>IF(AK147&lt;&gt;"",IF(AK147&lt;TODAY(),"Overdue","Current"),"")</f>
        <v/>
      </c>
    </row>
    <row r="148">
      <c r="K148">
        <f>IF(J148="v4.0",L148,IF(J148="v3.1",M148,IF(J148="Both",L148,IF(AND(L148&lt;&gt;"",M148=""),L148,M148))))</f>
        <v/>
      </c>
      <c r="Z148">
        <f>IF(Y148&lt;&gt;"",TODAY()-Y148,"")</f>
        <v/>
      </c>
      <c r="AC148">
        <f>IF(AND(AA148&lt;&gt;"",AB148&lt;&gt;""),CHOOSE(MATCH(AA148,{"Low","Medium","High","Critical"},0),25,50,75,100)-CHOOSE(MATCH(AB148,{"Low","Medium","High","Critical"},0),25,50,75,100),"")</f>
        <v/>
      </c>
      <c r="AG148">
        <f>IF(AF148&lt;&gt;"",IF(AH148="Weekly",AF148+7,IF(AH148="Monthly",EDATE(AF148,1),IF(AH148="Quarterly",EDATE(AF148,3),""))),"")</f>
        <v/>
      </c>
      <c r="AK148">
        <f>IF(AJ148&lt;&gt;"",IF(AI148="Monthly",EDATE(AJ148,1),IF(AI148="Quarterly",EDATE(AJ148,3),IF(AI148="Semi-Annual",EDATE(AJ148,6),""))),"")</f>
        <v/>
      </c>
      <c r="AL148">
        <f>IF(AK148&lt;&gt;"",IF(AK148&lt;TODAY(),"Overdue","Current"),"")</f>
        <v/>
      </c>
    </row>
    <row r="149">
      <c r="K149">
        <f>IF(J149="v4.0",L149,IF(J149="v3.1",M149,IF(J149="Both",L149,IF(AND(L149&lt;&gt;"",M149=""),L149,M149))))</f>
        <v/>
      </c>
      <c r="Z149">
        <f>IF(Y149&lt;&gt;"",TODAY()-Y149,"")</f>
        <v/>
      </c>
      <c r="AC149">
        <f>IF(AND(AA149&lt;&gt;"",AB149&lt;&gt;""),CHOOSE(MATCH(AA149,{"Low","Medium","High","Critical"},0),25,50,75,100)-CHOOSE(MATCH(AB149,{"Low","Medium","High","Critical"},0),25,50,75,100),"")</f>
        <v/>
      </c>
      <c r="AG149">
        <f>IF(AF149&lt;&gt;"",IF(AH149="Weekly",AF149+7,IF(AH149="Monthly",EDATE(AF149,1),IF(AH149="Quarterly",EDATE(AF149,3),""))),"")</f>
        <v/>
      </c>
      <c r="AK149">
        <f>IF(AJ149&lt;&gt;"",IF(AI149="Monthly",EDATE(AJ149,1),IF(AI149="Quarterly",EDATE(AJ149,3),IF(AI149="Semi-Annual",EDATE(AJ149,6),""))),"")</f>
        <v/>
      </c>
      <c r="AL149">
        <f>IF(AK149&lt;&gt;"",IF(AK149&lt;TODAY(),"Overdue","Current"),"")</f>
        <v/>
      </c>
    </row>
    <row r="150">
      <c r="K150">
        <f>IF(J150="v4.0",L150,IF(J150="v3.1",M150,IF(J150="Both",L150,IF(AND(L150&lt;&gt;"",M150=""),L150,M150))))</f>
        <v/>
      </c>
      <c r="Z150">
        <f>IF(Y150&lt;&gt;"",TODAY()-Y150,"")</f>
        <v/>
      </c>
      <c r="AC150">
        <f>IF(AND(AA150&lt;&gt;"",AB150&lt;&gt;""),CHOOSE(MATCH(AA150,{"Low","Medium","High","Critical"},0),25,50,75,100)-CHOOSE(MATCH(AB150,{"Low","Medium","High","Critical"},0),25,50,75,100),"")</f>
        <v/>
      </c>
      <c r="AG150">
        <f>IF(AF150&lt;&gt;"",IF(AH150="Weekly",AF150+7,IF(AH150="Monthly",EDATE(AF150,1),IF(AH150="Quarterly",EDATE(AF150,3),""))),"")</f>
        <v/>
      </c>
      <c r="AK150">
        <f>IF(AJ150&lt;&gt;"",IF(AI150="Monthly",EDATE(AJ150,1),IF(AI150="Quarterly",EDATE(AJ150,3),IF(AI150="Semi-Annual",EDATE(AJ150,6),""))),"")</f>
        <v/>
      </c>
      <c r="AL150">
        <f>IF(AK150&lt;&gt;"",IF(AK150&lt;TODAY(),"Overdue","Current"),"")</f>
        <v/>
      </c>
    </row>
    <row r="151">
      <c r="K151">
        <f>IF(J151="v4.0",L151,IF(J151="v3.1",M151,IF(J151="Both",L151,IF(AND(L151&lt;&gt;"",M151=""),L151,M151))))</f>
        <v/>
      </c>
      <c r="Z151">
        <f>IF(Y151&lt;&gt;"",TODAY()-Y151,"")</f>
        <v/>
      </c>
      <c r="AC151">
        <f>IF(AND(AA151&lt;&gt;"",AB151&lt;&gt;""),CHOOSE(MATCH(AA151,{"Low","Medium","High","Critical"},0),25,50,75,100)-CHOOSE(MATCH(AB151,{"Low","Medium","High","Critical"},0),25,50,75,100),"")</f>
        <v/>
      </c>
      <c r="AG151">
        <f>IF(AF151&lt;&gt;"",IF(AH151="Weekly",AF151+7,IF(AH151="Monthly",EDATE(AF151,1),IF(AH151="Quarterly",EDATE(AF151,3),""))),"")</f>
        <v/>
      </c>
      <c r="AK151">
        <f>IF(AJ151&lt;&gt;"",IF(AI151="Monthly",EDATE(AJ151,1),IF(AI151="Quarterly",EDATE(AJ151,3),IF(AI151="Semi-Annual",EDATE(AJ151,6),""))),"")</f>
        <v/>
      </c>
      <c r="AL151">
        <f>IF(AK151&lt;&gt;"",IF(AK151&lt;TODAY(),"Overdue","Current"),"")</f>
        <v/>
      </c>
    </row>
    <row r="152">
      <c r="K152">
        <f>IF(J152="v4.0",L152,IF(J152="v3.1",M152,IF(J152="Both",L152,IF(AND(L152&lt;&gt;"",M152=""),L152,M152))))</f>
        <v/>
      </c>
      <c r="Z152">
        <f>IF(Y152&lt;&gt;"",TODAY()-Y152,"")</f>
        <v/>
      </c>
      <c r="AC152">
        <f>IF(AND(AA152&lt;&gt;"",AB152&lt;&gt;""),CHOOSE(MATCH(AA152,{"Low","Medium","High","Critical"},0),25,50,75,100)-CHOOSE(MATCH(AB152,{"Low","Medium","High","Critical"},0),25,50,75,100),"")</f>
        <v/>
      </c>
      <c r="AG152">
        <f>IF(AF152&lt;&gt;"",IF(AH152="Weekly",AF152+7,IF(AH152="Monthly",EDATE(AF152,1),IF(AH152="Quarterly",EDATE(AF152,3),""))),"")</f>
        <v/>
      </c>
      <c r="AK152">
        <f>IF(AJ152&lt;&gt;"",IF(AI152="Monthly",EDATE(AJ152,1),IF(AI152="Quarterly",EDATE(AJ152,3),IF(AI152="Semi-Annual",EDATE(AJ152,6),""))),"")</f>
        <v/>
      </c>
      <c r="AL152">
        <f>IF(AK152&lt;&gt;"",IF(AK152&lt;TODAY(),"Overdue","Current"),"")</f>
        <v/>
      </c>
    </row>
    <row r="153">
      <c r="K153">
        <f>IF(J153="v4.0",L153,IF(J153="v3.1",M153,IF(J153="Both",L153,IF(AND(L153&lt;&gt;"",M153=""),L153,M153))))</f>
        <v/>
      </c>
      <c r="Z153">
        <f>IF(Y153&lt;&gt;"",TODAY()-Y153,"")</f>
        <v/>
      </c>
      <c r="AC153">
        <f>IF(AND(AA153&lt;&gt;"",AB153&lt;&gt;""),CHOOSE(MATCH(AA153,{"Low","Medium","High","Critical"},0),25,50,75,100)-CHOOSE(MATCH(AB153,{"Low","Medium","High","Critical"},0),25,50,75,100),"")</f>
        <v/>
      </c>
      <c r="AG153">
        <f>IF(AF153&lt;&gt;"",IF(AH153="Weekly",AF153+7,IF(AH153="Monthly",EDATE(AF153,1),IF(AH153="Quarterly",EDATE(AF153,3),""))),"")</f>
        <v/>
      </c>
      <c r="AK153">
        <f>IF(AJ153&lt;&gt;"",IF(AI153="Monthly",EDATE(AJ153,1),IF(AI153="Quarterly",EDATE(AJ153,3),IF(AI153="Semi-Annual",EDATE(AJ153,6),""))),"")</f>
        <v/>
      </c>
      <c r="AL153">
        <f>IF(AK153&lt;&gt;"",IF(AK153&lt;TODAY(),"Overdue","Current"),"")</f>
        <v/>
      </c>
    </row>
    <row r="154">
      <c r="K154">
        <f>IF(J154="v4.0",L154,IF(J154="v3.1",M154,IF(J154="Both",L154,IF(AND(L154&lt;&gt;"",M154=""),L154,M154))))</f>
        <v/>
      </c>
      <c r="Z154">
        <f>IF(Y154&lt;&gt;"",TODAY()-Y154,"")</f>
        <v/>
      </c>
      <c r="AC154">
        <f>IF(AND(AA154&lt;&gt;"",AB154&lt;&gt;""),CHOOSE(MATCH(AA154,{"Low","Medium","High","Critical"},0),25,50,75,100)-CHOOSE(MATCH(AB154,{"Low","Medium","High","Critical"},0),25,50,75,100),"")</f>
        <v/>
      </c>
      <c r="AG154">
        <f>IF(AF154&lt;&gt;"",IF(AH154="Weekly",AF154+7,IF(AH154="Monthly",EDATE(AF154,1),IF(AH154="Quarterly",EDATE(AF154,3),""))),"")</f>
        <v/>
      </c>
      <c r="AK154">
        <f>IF(AJ154&lt;&gt;"",IF(AI154="Monthly",EDATE(AJ154,1),IF(AI154="Quarterly",EDATE(AJ154,3),IF(AI154="Semi-Annual",EDATE(AJ154,6),""))),"")</f>
        <v/>
      </c>
      <c r="AL154">
        <f>IF(AK154&lt;&gt;"",IF(AK154&lt;TODAY(),"Overdue","Current"),"")</f>
        <v/>
      </c>
    </row>
    <row r="155">
      <c r="K155">
        <f>IF(J155="v4.0",L155,IF(J155="v3.1",M155,IF(J155="Both",L155,IF(AND(L155&lt;&gt;"",M155=""),L155,M155))))</f>
        <v/>
      </c>
      <c r="Z155">
        <f>IF(Y155&lt;&gt;"",TODAY()-Y155,"")</f>
        <v/>
      </c>
      <c r="AC155">
        <f>IF(AND(AA155&lt;&gt;"",AB155&lt;&gt;""),CHOOSE(MATCH(AA155,{"Low","Medium","High","Critical"},0),25,50,75,100)-CHOOSE(MATCH(AB155,{"Low","Medium","High","Critical"},0),25,50,75,100),"")</f>
        <v/>
      </c>
      <c r="AG155">
        <f>IF(AF155&lt;&gt;"",IF(AH155="Weekly",AF155+7,IF(AH155="Monthly",EDATE(AF155,1),IF(AH155="Quarterly",EDATE(AF155,3),""))),"")</f>
        <v/>
      </c>
      <c r="AK155">
        <f>IF(AJ155&lt;&gt;"",IF(AI155="Monthly",EDATE(AJ155,1),IF(AI155="Quarterly",EDATE(AJ155,3),IF(AI155="Semi-Annual",EDATE(AJ155,6),""))),"")</f>
        <v/>
      </c>
      <c r="AL155">
        <f>IF(AK155&lt;&gt;"",IF(AK155&lt;TODAY(),"Overdue","Current"),"")</f>
        <v/>
      </c>
    </row>
    <row r="156">
      <c r="K156">
        <f>IF(J156="v4.0",L156,IF(J156="v3.1",M156,IF(J156="Both",L156,IF(AND(L156&lt;&gt;"",M156=""),L156,M156))))</f>
        <v/>
      </c>
      <c r="Z156">
        <f>IF(Y156&lt;&gt;"",TODAY()-Y156,"")</f>
        <v/>
      </c>
      <c r="AC156">
        <f>IF(AND(AA156&lt;&gt;"",AB156&lt;&gt;""),CHOOSE(MATCH(AA156,{"Low","Medium","High","Critical"},0),25,50,75,100)-CHOOSE(MATCH(AB156,{"Low","Medium","High","Critical"},0),25,50,75,100),"")</f>
        <v/>
      </c>
      <c r="AG156">
        <f>IF(AF156&lt;&gt;"",IF(AH156="Weekly",AF156+7,IF(AH156="Monthly",EDATE(AF156,1),IF(AH156="Quarterly",EDATE(AF156,3),""))),"")</f>
        <v/>
      </c>
      <c r="AK156">
        <f>IF(AJ156&lt;&gt;"",IF(AI156="Monthly",EDATE(AJ156,1),IF(AI156="Quarterly",EDATE(AJ156,3),IF(AI156="Semi-Annual",EDATE(AJ156,6),""))),"")</f>
        <v/>
      </c>
      <c r="AL156">
        <f>IF(AK156&lt;&gt;"",IF(AK156&lt;TODAY(),"Overdue","Current"),"")</f>
        <v/>
      </c>
    </row>
    <row r="157">
      <c r="K157">
        <f>IF(J157="v4.0",L157,IF(J157="v3.1",M157,IF(J157="Both",L157,IF(AND(L157&lt;&gt;"",M157=""),L157,M157))))</f>
        <v/>
      </c>
      <c r="Z157">
        <f>IF(Y157&lt;&gt;"",TODAY()-Y157,"")</f>
        <v/>
      </c>
      <c r="AC157">
        <f>IF(AND(AA157&lt;&gt;"",AB157&lt;&gt;""),CHOOSE(MATCH(AA157,{"Low","Medium","High","Critical"},0),25,50,75,100)-CHOOSE(MATCH(AB157,{"Low","Medium","High","Critical"},0),25,50,75,100),"")</f>
        <v/>
      </c>
      <c r="AG157">
        <f>IF(AF157&lt;&gt;"",IF(AH157="Weekly",AF157+7,IF(AH157="Monthly",EDATE(AF157,1),IF(AH157="Quarterly",EDATE(AF157,3),""))),"")</f>
        <v/>
      </c>
      <c r="AK157">
        <f>IF(AJ157&lt;&gt;"",IF(AI157="Monthly",EDATE(AJ157,1),IF(AI157="Quarterly",EDATE(AJ157,3),IF(AI157="Semi-Annual",EDATE(AJ157,6),""))),"")</f>
        <v/>
      </c>
      <c r="AL157">
        <f>IF(AK157&lt;&gt;"",IF(AK157&lt;TODAY(),"Overdue","Current"),"")</f>
        <v/>
      </c>
    </row>
    <row r="158">
      <c r="K158">
        <f>IF(J158="v4.0",L158,IF(J158="v3.1",M158,IF(J158="Both",L158,IF(AND(L158&lt;&gt;"",M158=""),L158,M158))))</f>
        <v/>
      </c>
      <c r="Z158">
        <f>IF(Y158&lt;&gt;"",TODAY()-Y158,"")</f>
        <v/>
      </c>
      <c r="AC158">
        <f>IF(AND(AA158&lt;&gt;"",AB158&lt;&gt;""),CHOOSE(MATCH(AA158,{"Low","Medium","High","Critical"},0),25,50,75,100)-CHOOSE(MATCH(AB158,{"Low","Medium","High","Critical"},0),25,50,75,100),"")</f>
        <v/>
      </c>
      <c r="AG158">
        <f>IF(AF158&lt;&gt;"",IF(AH158="Weekly",AF158+7,IF(AH158="Monthly",EDATE(AF158,1),IF(AH158="Quarterly",EDATE(AF158,3),""))),"")</f>
        <v/>
      </c>
      <c r="AK158">
        <f>IF(AJ158&lt;&gt;"",IF(AI158="Monthly",EDATE(AJ158,1),IF(AI158="Quarterly",EDATE(AJ158,3),IF(AI158="Semi-Annual",EDATE(AJ158,6),""))),"")</f>
        <v/>
      </c>
      <c r="AL158">
        <f>IF(AK158&lt;&gt;"",IF(AK158&lt;TODAY(),"Overdue","Current"),"")</f>
        <v/>
      </c>
    </row>
    <row r="159">
      <c r="K159">
        <f>IF(J159="v4.0",L159,IF(J159="v3.1",M159,IF(J159="Both",L159,IF(AND(L159&lt;&gt;"",M159=""),L159,M159))))</f>
        <v/>
      </c>
      <c r="Z159">
        <f>IF(Y159&lt;&gt;"",TODAY()-Y159,"")</f>
        <v/>
      </c>
      <c r="AC159">
        <f>IF(AND(AA159&lt;&gt;"",AB159&lt;&gt;""),CHOOSE(MATCH(AA159,{"Low","Medium","High","Critical"},0),25,50,75,100)-CHOOSE(MATCH(AB159,{"Low","Medium","High","Critical"},0),25,50,75,100),"")</f>
        <v/>
      </c>
      <c r="AG159">
        <f>IF(AF159&lt;&gt;"",IF(AH159="Weekly",AF159+7,IF(AH159="Monthly",EDATE(AF159,1),IF(AH159="Quarterly",EDATE(AF159,3),""))),"")</f>
        <v/>
      </c>
      <c r="AK159">
        <f>IF(AJ159&lt;&gt;"",IF(AI159="Monthly",EDATE(AJ159,1),IF(AI159="Quarterly",EDATE(AJ159,3),IF(AI159="Semi-Annual",EDATE(AJ159,6),""))),"")</f>
        <v/>
      </c>
      <c r="AL159">
        <f>IF(AK159&lt;&gt;"",IF(AK159&lt;TODAY(),"Overdue","Current"),"")</f>
        <v/>
      </c>
    </row>
    <row r="160">
      <c r="K160">
        <f>IF(J160="v4.0",L160,IF(J160="v3.1",M160,IF(J160="Both",L160,IF(AND(L160&lt;&gt;"",M160=""),L160,M160))))</f>
        <v/>
      </c>
      <c r="Z160">
        <f>IF(Y160&lt;&gt;"",TODAY()-Y160,"")</f>
        <v/>
      </c>
      <c r="AC160">
        <f>IF(AND(AA160&lt;&gt;"",AB160&lt;&gt;""),CHOOSE(MATCH(AA160,{"Low","Medium","High","Critical"},0),25,50,75,100)-CHOOSE(MATCH(AB160,{"Low","Medium","High","Critical"},0),25,50,75,100),"")</f>
        <v/>
      </c>
      <c r="AG160">
        <f>IF(AF160&lt;&gt;"",IF(AH160="Weekly",AF160+7,IF(AH160="Monthly",EDATE(AF160,1),IF(AH160="Quarterly",EDATE(AF160,3),""))),"")</f>
        <v/>
      </c>
      <c r="AK160">
        <f>IF(AJ160&lt;&gt;"",IF(AI160="Monthly",EDATE(AJ160,1),IF(AI160="Quarterly",EDATE(AJ160,3),IF(AI160="Semi-Annual",EDATE(AJ160,6),""))),"")</f>
        <v/>
      </c>
      <c r="AL160">
        <f>IF(AK160&lt;&gt;"",IF(AK160&lt;TODAY(),"Overdue","Current"),"")</f>
        <v/>
      </c>
    </row>
    <row r="161">
      <c r="K161">
        <f>IF(J161="v4.0",L161,IF(J161="v3.1",M161,IF(J161="Both",L161,IF(AND(L161&lt;&gt;"",M161=""),L161,M161))))</f>
        <v/>
      </c>
      <c r="Z161">
        <f>IF(Y161&lt;&gt;"",TODAY()-Y161,"")</f>
        <v/>
      </c>
      <c r="AC161">
        <f>IF(AND(AA161&lt;&gt;"",AB161&lt;&gt;""),CHOOSE(MATCH(AA161,{"Low","Medium","High","Critical"},0),25,50,75,100)-CHOOSE(MATCH(AB161,{"Low","Medium","High","Critical"},0),25,50,75,100),"")</f>
        <v/>
      </c>
      <c r="AG161">
        <f>IF(AF161&lt;&gt;"",IF(AH161="Weekly",AF161+7,IF(AH161="Monthly",EDATE(AF161,1),IF(AH161="Quarterly",EDATE(AF161,3),""))),"")</f>
        <v/>
      </c>
      <c r="AK161">
        <f>IF(AJ161&lt;&gt;"",IF(AI161="Monthly",EDATE(AJ161,1),IF(AI161="Quarterly",EDATE(AJ161,3),IF(AI161="Semi-Annual",EDATE(AJ161,6),""))),"")</f>
        <v/>
      </c>
      <c r="AL161">
        <f>IF(AK161&lt;&gt;"",IF(AK161&lt;TODAY(),"Overdue","Current"),"")</f>
        <v/>
      </c>
    </row>
    <row r="162">
      <c r="K162">
        <f>IF(J162="v4.0",L162,IF(J162="v3.1",M162,IF(J162="Both",L162,IF(AND(L162&lt;&gt;"",M162=""),L162,M162))))</f>
        <v/>
      </c>
      <c r="Z162">
        <f>IF(Y162&lt;&gt;"",TODAY()-Y162,"")</f>
        <v/>
      </c>
      <c r="AC162">
        <f>IF(AND(AA162&lt;&gt;"",AB162&lt;&gt;""),CHOOSE(MATCH(AA162,{"Low","Medium","High","Critical"},0),25,50,75,100)-CHOOSE(MATCH(AB162,{"Low","Medium","High","Critical"},0),25,50,75,100),"")</f>
        <v/>
      </c>
      <c r="AG162">
        <f>IF(AF162&lt;&gt;"",IF(AH162="Weekly",AF162+7,IF(AH162="Monthly",EDATE(AF162,1),IF(AH162="Quarterly",EDATE(AF162,3),""))),"")</f>
        <v/>
      </c>
      <c r="AK162">
        <f>IF(AJ162&lt;&gt;"",IF(AI162="Monthly",EDATE(AJ162,1),IF(AI162="Quarterly",EDATE(AJ162,3),IF(AI162="Semi-Annual",EDATE(AJ162,6),""))),"")</f>
        <v/>
      </c>
      <c r="AL162">
        <f>IF(AK162&lt;&gt;"",IF(AK162&lt;TODAY(),"Overdue","Current"),"")</f>
        <v/>
      </c>
    </row>
    <row r="163">
      <c r="K163">
        <f>IF(J163="v4.0",L163,IF(J163="v3.1",M163,IF(J163="Both",L163,IF(AND(L163&lt;&gt;"",M163=""),L163,M163))))</f>
        <v/>
      </c>
      <c r="Z163">
        <f>IF(Y163&lt;&gt;"",TODAY()-Y163,"")</f>
        <v/>
      </c>
      <c r="AC163">
        <f>IF(AND(AA163&lt;&gt;"",AB163&lt;&gt;""),CHOOSE(MATCH(AA163,{"Low","Medium","High","Critical"},0),25,50,75,100)-CHOOSE(MATCH(AB163,{"Low","Medium","High","Critical"},0),25,50,75,100),"")</f>
        <v/>
      </c>
      <c r="AG163">
        <f>IF(AF163&lt;&gt;"",IF(AH163="Weekly",AF163+7,IF(AH163="Monthly",EDATE(AF163,1),IF(AH163="Quarterly",EDATE(AF163,3),""))),"")</f>
        <v/>
      </c>
      <c r="AK163">
        <f>IF(AJ163&lt;&gt;"",IF(AI163="Monthly",EDATE(AJ163,1),IF(AI163="Quarterly",EDATE(AJ163,3),IF(AI163="Semi-Annual",EDATE(AJ163,6),""))),"")</f>
        <v/>
      </c>
      <c r="AL163">
        <f>IF(AK163&lt;&gt;"",IF(AK163&lt;TODAY(),"Overdue","Current"),"")</f>
        <v/>
      </c>
    </row>
    <row r="164">
      <c r="K164">
        <f>IF(J164="v4.0",L164,IF(J164="v3.1",M164,IF(J164="Both",L164,IF(AND(L164&lt;&gt;"",M164=""),L164,M164))))</f>
        <v/>
      </c>
      <c r="Z164">
        <f>IF(Y164&lt;&gt;"",TODAY()-Y164,"")</f>
        <v/>
      </c>
      <c r="AC164">
        <f>IF(AND(AA164&lt;&gt;"",AB164&lt;&gt;""),CHOOSE(MATCH(AA164,{"Low","Medium","High","Critical"},0),25,50,75,100)-CHOOSE(MATCH(AB164,{"Low","Medium","High","Critical"},0),25,50,75,100),"")</f>
        <v/>
      </c>
      <c r="AG164">
        <f>IF(AF164&lt;&gt;"",IF(AH164="Weekly",AF164+7,IF(AH164="Monthly",EDATE(AF164,1),IF(AH164="Quarterly",EDATE(AF164,3),""))),"")</f>
        <v/>
      </c>
      <c r="AK164">
        <f>IF(AJ164&lt;&gt;"",IF(AI164="Monthly",EDATE(AJ164,1),IF(AI164="Quarterly",EDATE(AJ164,3),IF(AI164="Semi-Annual",EDATE(AJ164,6),""))),"")</f>
        <v/>
      </c>
      <c r="AL164">
        <f>IF(AK164&lt;&gt;"",IF(AK164&lt;TODAY(),"Overdue","Current"),"")</f>
        <v/>
      </c>
    </row>
    <row r="165">
      <c r="K165">
        <f>IF(J165="v4.0",L165,IF(J165="v3.1",M165,IF(J165="Both",L165,IF(AND(L165&lt;&gt;"",M165=""),L165,M165))))</f>
        <v/>
      </c>
      <c r="Z165">
        <f>IF(Y165&lt;&gt;"",TODAY()-Y165,"")</f>
        <v/>
      </c>
      <c r="AC165">
        <f>IF(AND(AA165&lt;&gt;"",AB165&lt;&gt;""),CHOOSE(MATCH(AA165,{"Low","Medium","High","Critical"},0),25,50,75,100)-CHOOSE(MATCH(AB165,{"Low","Medium","High","Critical"},0),25,50,75,100),"")</f>
        <v/>
      </c>
      <c r="AG165">
        <f>IF(AF165&lt;&gt;"",IF(AH165="Weekly",AF165+7,IF(AH165="Monthly",EDATE(AF165,1),IF(AH165="Quarterly",EDATE(AF165,3),""))),"")</f>
        <v/>
      </c>
      <c r="AK165">
        <f>IF(AJ165&lt;&gt;"",IF(AI165="Monthly",EDATE(AJ165,1),IF(AI165="Quarterly",EDATE(AJ165,3),IF(AI165="Semi-Annual",EDATE(AJ165,6),""))),"")</f>
        <v/>
      </c>
      <c r="AL165">
        <f>IF(AK165&lt;&gt;"",IF(AK165&lt;TODAY(),"Overdue","Current"),"")</f>
        <v/>
      </c>
    </row>
    <row r="166">
      <c r="K166">
        <f>IF(J166="v4.0",L166,IF(J166="v3.1",M166,IF(J166="Both",L166,IF(AND(L166&lt;&gt;"",M166=""),L166,M166))))</f>
        <v/>
      </c>
      <c r="Z166">
        <f>IF(Y166&lt;&gt;"",TODAY()-Y166,"")</f>
        <v/>
      </c>
      <c r="AC166">
        <f>IF(AND(AA166&lt;&gt;"",AB166&lt;&gt;""),CHOOSE(MATCH(AA166,{"Low","Medium","High","Critical"},0),25,50,75,100)-CHOOSE(MATCH(AB166,{"Low","Medium","High","Critical"},0),25,50,75,100),"")</f>
        <v/>
      </c>
      <c r="AG166">
        <f>IF(AF166&lt;&gt;"",IF(AH166="Weekly",AF166+7,IF(AH166="Monthly",EDATE(AF166,1),IF(AH166="Quarterly",EDATE(AF166,3),""))),"")</f>
        <v/>
      </c>
      <c r="AK166">
        <f>IF(AJ166&lt;&gt;"",IF(AI166="Monthly",EDATE(AJ166,1),IF(AI166="Quarterly",EDATE(AJ166,3),IF(AI166="Semi-Annual",EDATE(AJ166,6),""))),"")</f>
        <v/>
      </c>
      <c r="AL166">
        <f>IF(AK166&lt;&gt;"",IF(AK166&lt;TODAY(),"Overdue","Current"),"")</f>
        <v/>
      </c>
    </row>
    <row r="167">
      <c r="K167">
        <f>IF(J167="v4.0",L167,IF(J167="v3.1",M167,IF(J167="Both",L167,IF(AND(L167&lt;&gt;"",M167=""),L167,M167))))</f>
        <v/>
      </c>
      <c r="Z167">
        <f>IF(Y167&lt;&gt;"",TODAY()-Y167,"")</f>
        <v/>
      </c>
      <c r="AC167">
        <f>IF(AND(AA167&lt;&gt;"",AB167&lt;&gt;""),CHOOSE(MATCH(AA167,{"Low","Medium","High","Critical"},0),25,50,75,100)-CHOOSE(MATCH(AB167,{"Low","Medium","High","Critical"},0),25,50,75,100),"")</f>
        <v/>
      </c>
      <c r="AG167">
        <f>IF(AF167&lt;&gt;"",IF(AH167="Weekly",AF167+7,IF(AH167="Monthly",EDATE(AF167,1),IF(AH167="Quarterly",EDATE(AF167,3),""))),"")</f>
        <v/>
      </c>
      <c r="AK167">
        <f>IF(AJ167&lt;&gt;"",IF(AI167="Monthly",EDATE(AJ167,1),IF(AI167="Quarterly",EDATE(AJ167,3),IF(AI167="Semi-Annual",EDATE(AJ167,6),""))),"")</f>
        <v/>
      </c>
      <c r="AL167">
        <f>IF(AK167&lt;&gt;"",IF(AK167&lt;TODAY(),"Overdue","Current"),"")</f>
        <v/>
      </c>
    </row>
    <row r="168">
      <c r="K168">
        <f>IF(J168="v4.0",L168,IF(J168="v3.1",M168,IF(J168="Both",L168,IF(AND(L168&lt;&gt;"",M168=""),L168,M168))))</f>
        <v/>
      </c>
      <c r="Z168">
        <f>IF(Y168&lt;&gt;"",TODAY()-Y168,"")</f>
        <v/>
      </c>
      <c r="AC168">
        <f>IF(AND(AA168&lt;&gt;"",AB168&lt;&gt;""),CHOOSE(MATCH(AA168,{"Low","Medium","High","Critical"},0),25,50,75,100)-CHOOSE(MATCH(AB168,{"Low","Medium","High","Critical"},0),25,50,75,100),"")</f>
        <v/>
      </c>
      <c r="AG168">
        <f>IF(AF168&lt;&gt;"",IF(AH168="Weekly",AF168+7,IF(AH168="Monthly",EDATE(AF168,1),IF(AH168="Quarterly",EDATE(AF168,3),""))),"")</f>
        <v/>
      </c>
      <c r="AK168">
        <f>IF(AJ168&lt;&gt;"",IF(AI168="Monthly",EDATE(AJ168,1),IF(AI168="Quarterly",EDATE(AJ168,3),IF(AI168="Semi-Annual",EDATE(AJ168,6),""))),"")</f>
        <v/>
      </c>
      <c r="AL168">
        <f>IF(AK168&lt;&gt;"",IF(AK168&lt;TODAY(),"Overdue","Current"),"")</f>
        <v/>
      </c>
    </row>
    <row r="169">
      <c r="K169">
        <f>IF(J169="v4.0",L169,IF(J169="v3.1",M169,IF(J169="Both",L169,IF(AND(L169&lt;&gt;"",M169=""),L169,M169))))</f>
        <v/>
      </c>
      <c r="Z169">
        <f>IF(Y169&lt;&gt;"",TODAY()-Y169,"")</f>
        <v/>
      </c>
      <c r="AC169">
        <f>IF(AND(AA169&lt;&gt;"",AB169&lt;&gt;""),CHOOSE(MATCH(AA169,{"Low","Medium","High","Critical"},0),25,50,75,100)-CHOOSE(MATCH(AB169,{"Low","Medium","High","Critical"},0),25,50,75,100),"")</f>
        <v/>
      </c>
      <c r="AG169">
        <f>IF(AF169&lt;&gt;"",IF(AH169="Weekly",AF169+7,IF(AH169="Monthly",EDATE(AF169,1),IF(AH169="Quarterly",EDATE(AF169,3),""))),"")</f>
        <v/>
      </c>
      <c r="AK169">
        <f>IF(AJ169&lt;&gt;"",IF(AI169="Monthly",EDATE(AJ169,1),IF(AI169="Quarterly",EDATE(AJ169,3),IF(AI169="Semi-Annual",EDATE(AJ169,6),""))),"")</f>
        <v/>
      </c>
      <c r="AL169">
        <f>IF(AK169&lt;&gt;"",IF(AK169&lt;TODAY(),"Overdue","Current"),"")</f>
        <v/>
      </c>
    </row>
    <row r="170">
      <c r="K170">
        <f>IF(J170="v4.0",L170,IF(J170="v3.1",M170,IF(J170="Both",L170,IF(AND(L170&lt;&gt;"",M170=""),L170,M170))))</f>
        <v/>
      </c>
      <c r="Z170">
        <f>IF(Y170&lt;&gt;"",TODAY()-Y170,"")</f>
        <v/>
      </c>
      <c r="AC170">
        <f>IF(AND(AA170&lt;&gt;"",AB170&lt;&gt;""),CHOOSE(MATCH(AA170,{"Low","Medium","High","Critical"},0),25,50,75,100)-CHOOSE(MATCH(AB170,{"Low","Medium","High","Critical"},0),25,50,75,100),"")</f>
        <v/>
      </c>
      <c r="AG170">
        <f>IF(AF170&lt;&gt;"",IF(AH170="Weekly",AF170+7,IF(AH170="Monthly",EDATE(AF170,1),IF(AH170="Quarterly",EDATE(AF170,3),""))),"")</f>
        <v/>
      </c>
      <c r="AK170">
        <f>IF(AJ170&lt;&gt;"",IF(AI170="Monthly",EDATE(AJ170,1),IF(AI170="Quarterly",EDATE(AJ170,3),IF(AI170="Semi-Annual",EDATE(AJ170,6),""))),"")</f>
        <v/>
      </c>
      <c r="AL170">
        <f>IF(AK170&lt;&gt;"",IF(AK170&lt;TODAY(),"Overdue","Current"),"")</f>
        <v/>
      </c>
    </row>
    <row r="171">
      <c r="K171">
        <f>IF(J171="v4.0",L171,IF(J171="v3.1",M171,IF(J171="Both",L171,IF(AND(L171&lt;&gt;"",M171=""),L171,M171))))</f>
        <v/>
      </c>
      <c r="Z171">
        <f>IF(Y171&lt;&gt;"",TODAY()-Y171,"")</f>
        <v/>
      </c>
      <c r="AC171">
        <f>IF(AND(AA171&lt;&gt;"",AB171&lt;&gt;""),CHOOSE(MATCH(AA171,{"Low","Medium","High","Critical"},0),25,50,75,100)-CHOOSE(MATCH(AB171,{"Low","Medium","High","Critical"},0),25,50,75,100),"")</f>
        <v/>
      </c>
      <c r="AG171">
        <f>IF(AF171&lt;&gt;"",IF(AH171="Weekly",AF171+7,IF(AH171="Monthly",EDATE(AF171,1),IF(AH171="Quarterly",EDATE(AF171,3),""))),"")</f>
        <v/>
      </c>
      <c r="AK171">
        <f>IF(AJ171&lt;&gt;"",IF(AI171="Monthly",EDATE(AJ171,1),IF(AI171="Quarterly",EDATE(AJ171,3),IF(AI171="Semi-Annual",EDATE(AJ171,6),""))),"")</f>
        <v/>
      </c>
      <c r="AL171">
        <f>IF(AK171&lt;&gt;"",IF(AK171&lt;TODAY(),"Overdue","Current"),"")</f>
        <v/>
      </c>
    </row>
    <row r="172">
      <c r="K172">
        <f>IF(J172="v4.0",L172,IF(J172="v3.1",M172,IF(J172="Both",L172,IF(AND(L172&lt;&gt;"",M172=""),L172,M172))))</f>
        <v/>
      </c>
      <c r="Z172">
        <f>IF(Y172&lt;&gt;"",TODAY()-Y172,"")</f>
        <v/>
      </c>
      <c r="AC172">
        <f>IF(AND(AA172&lt;&gt;"",AB172&lt;&gt;""),CHOOSE(MATCH(AA172,{"Low","Medium","High","Critical"},0),25,50,75,100)-CHOOSE(MATCH(AB172,{"Low","Medium","High","Critical"},0),25,50,75,100),"")</f>
        <v/>
      </c>
      <c r="AG172">
        <f>IF(AF172&lt;&gt;"",IF(AH172="Weekly",AF172+7,IF(AH172="Monthly",EDATE(AF172,1),IF(AH172="Quarterly",EDATE(AF172,3),""))),"")</f>
        <v/>
      </c>
      <c r="AK172">
        <f>IF(AJ172&lt;&gt;"",IF(AI172="Monthly",EDATE(AJ172,1),IF(AI172="Quarterly",EDATE(AJ172,3),IF(AI172="Semi-Annual",EDATE(AJ172,6),""))),"")</f>
        <v/>
      </c>
      <c r="AL172">
        <f>IF(AK172&lt;&gt;"",IF(AK172&lt;TODAY(),"Overdue","Current"),"")</f>
        <v/>
      </c>
    </row>
    <row r="173">
      <c r="K173">
        <f>IF(J173="v4.0",L173,IF(J173="v3.1",M173,IF(J173="Both",L173,IF(AND(L173&lt;&gt;"",M173=""),L173,M173))))</f>
        <v/>
      </c>
      <c r="Z173">
        <f>IF(Y173&lt;&gt;"",TODAY()-Y173,"")</f>
        <v/>
      </c>
      <c r="AC173">
        <f>IF(AND(AA173&lt;&gt;"",AB173&lt;&gt;""),CHOOSE(MATCH(AA173,{"Low","Medium","High","Critical"},0),25,50,75,100)-CHOOSE(MATCH(AB173,{"Low","Medium","High","Critical"},0),25,50,75,100),"")</f>
        <v/>
      </c>
      <c r="AG173">
        <f>IF(AF173&lt;&gt;"",IF(AH173="Weekly",AF173+7,IF(AH173="Monthly",EDATE(AF173,1),IF(AH173="Quarterly",EDATE(AF173,3),""))),"")</f>
        <v/>
      </c>
      <c r="AK173">
        <f>IF(AJ173&lt;&gt;"",IF(AI173="Monthly",EDATE(AJ173,1),IF(AI173="Quarterly",EDATE(AJ173,3),IF(AI173="Semi-Annual",EDATE(AJ173,6),""))),"")</f>
        <v/>
      </c>
      <c r="AL173">
        <f>IF(AK173&lt;&gt;"",IF(AK173&lt;TODAY(),"Overdue","Current"),"")</f>
        <v/>
      </c>
    </row>
    <row r="174">
      <c r="K174">
        <f>IF(J174="v4.0",L174,IF(J174="v3.1",M174,IF(J174="Both",L174,IF(AND(L174&lt;&gt;"",M174=""),L174,M174))))</f>
        <v/>
      </c>
      <c r="Z174">
        <f>IF(Y174&lt;&gt;"",TODAY()-Y174,"")</f>
        <v/>
      </c>
      <c r="AC174">
        <f>IF(AND(AA174&lt;&gt;"",AB174&lt;&gt;""),CHOOSE(MATCH(AA174,{"Low","Medium","High","Critical"},0),25,50,75,100)-CHOOSE(MATCH(AB174,{"Low","Medium","High","Critical"},0),25,50,75,100),"")</f>
        <v/>
      </c>
      <c r="AG174">
        <f>IF(AF174&lt;&gt;"",IF(AH174="Weekly",AF174+7,IF(AH174="Monthly",EDATE(AF174,1),IF(AH174="Quarterly",EDATE(AF174,3),""))),"")</f>
        <v/>
      </c>
      <c r="AK174">
        <f>IF(AJ174&lt;&gt;"",IF(AI174="Monthly",EDATE(AJ174,1),IF(AI174="Quarterly",EDATE(AJ174,3),IF(AI174="Semi-Annual",EDATE(AJ174,6),""))),"")</f>
        <v/>
      </c>
      <c r="AL174">
        <f>IF(AK174&lt;&gt;"",IF(AK174&lt;TODAY(),"Overdue","Current"),"")</f>
        <v/>
      </c>
    </row>
    <row r="175">
      <c r="K175">
        <f>IF(J175="v4.0",L175,IF(J175="v3.1",M175,IF(J175="Both",L175,IF(AND(L175&lt;&gt;"",M175=""),L175,M175))))</f>
        <v/>
      </c>
      <c r="Z175">
        <f>IF(Y175&lt;&gt;"",TODAY()-Y175,"")</f>
        <v/>
      </c>
      <c r="AC175">
        <f>IF(AND(AA175&lt;&gt;"",AB175&lt;&gt;""),CHOOSE(MATCH(AA175,{"Low","Medium","High","Critical"},0),25,50,75,100)-CHOOSE(MATCH(AB175,{"Low","Medium","High","Critical"},0),25,50,75,100),"")</f>
        <v/>
      </c>
      <c r="AG175">
        <f>IF(AF175&lt;&gt;"",IF(AH175="Weekly",AF175+7,IF(AH175="Monthly",EDATE(AF175,1),IF(AH175="Quarterly",EDATE(AF175,3),""))),"")</f>
        <v/>
      </c>
      <c r="AK175">
        <f>IF(AJ175&lt;&gt;"",IF(AI175="Monthly",EDATE(AJ175,1),IF(AI175="Quarterly",EDATE(AJ175,3),IF(AI175="Semi-Annual",EDATE(AJ175,6),""))),"")</f>
        <v/>
      </c>
      <c r="AL175">
        <f>IF(AK175&lt;&gt;"",IF(AK175&lt;TODAY(),"Overdue","Current"),"")</f>
        <v/>
      </c>
    </row>
    <row r="176">
      <c r="K176">
        <f>IF(J176="v4.0",L176,IF(J176="v3.1",M176,IF(J176="Both",L176,IF(AND(L176&lt;&gt;"",M176=""),L176,M176))))</f>
        <v/>
      </c>
      <c r="Z176">
        <f>IF(Y176&lt;&gt;"",TODAY()-Y176,"")</f>
        <v/>
      </c>
      <c r="AC176">
        <f>IF(AND(AA176&lt;&gt;"",AB176&lt;&gt;""),CHOOSE(MATCH(AA176,{"Low","Medium","High","Critical"},0),25,50,75,100)-CHOOSE(MATCH(AB176,{"Low","Medium","High","Critical"},0),25,50,75,100),"")</f>
        <v/>
      </c>
      <c r="AG176">
        <f>IF(AF176&lt;&gt;"",IF(AH176="Weekly",AF176+7,IF(AH176="Monthly",EDATE(AF176,1),IF(AH176="Quarterly",EDATE(AF176,3),""))),"")</f>
        <v/>
      </c>
      <c r="AK176">
        <f>IF(AJ176&lt;&gt;"",IF(AI176="Monthly",EDATE(AJ176,1),IF(AI176="Quarterly",EDATE(AJ176,3),IF(AI176="Semi-Annual",EDATE(AJ176,6),""))),"")</f>
        <v/>
      </c>
      <c r="AL176">
        <f>IF(AK176&lt;&gt;"",IF(AK176&lt;TODAY(),"Overdue","Current"),"")</f>
        <v/>
      </c>
    </row>
    <row r="177">
      <c r="K177">
        <f>IF(J177="v4.0",L177,IF(J177="v3.1",M177,IF(J177="Both",L177,IF(AND(L177&lt;&gt;"",M177=""),L177,M177))))</f>
        <v/>
      </c>
      <c r="Z177">
        <f>IF(Y177&lt;&gt;"",TODAY()-Y177,"")</f>
        <v/>
      </c>
      <c r="AC177">
        <f>IF(AND(AA177&lt;&gt;"",AB177&lt;&gt;""),CHOOSE(MATCH(AA177,{"Low","Medium","High","Critical"},0),25,50,75,100)-CHOOSE(MATCH(AB177,{"Low","Medium","High","Critical"},0),25,50,75,100),"")</f>
        <v/>
      </c>
      <c r="AG177">
        <f>IF(AF177&lt;&gt;"",IF(AH177="Weekly",AF177+7,IF(AH177="Monthly",EDATE(AF177,1),IF(AH177="Quarterly",EDATE(AF177,3),""))),"")</f>
        <v/>
      </c>
      <c r="AK177">
        <f>IF(AJ177&lt;&gt;"",IF(AI177="Monthly",EDATE(AJ177,1),IF(AI177="Quarterly",EDATE(AJ177,3),IF(AI177="Semi-Annual",EDATE(AJ177,6),""))),"")</f>
        <v/>
      </c>
      <c r="AL177">
        <f>IF(AK177&lt;&gt;"",IF(AK177&lt;TODAY(),"Overdue","Current"),"")</f>
        <v/>
      </c>
    </row>
    <row r="178">
      <c r="K178">
        <f>IF(J178="v4.0",L178,IF(J178="v3.1",M178,IF(J178="Both",L178,IF(AND(L178&lt;&gt;"",M178=""),L178,M178))))</f>
        <v/>
      </c>
      <c r="Z178">
        <f>IF(Y178&lt;&gt;"",TODAY()-Y178,"")</f>
        <v/>
      </c>
      <c r="AC178">
        <f>IF(AND(AA178&lt;&gt;"",AB178&lt;&gt;""),CHOOSE(MATCH(AA178,{"Low","Medium","High","Critical"},0),25,50,75,100)-CHOOSE(MATCH(AB178,{"Low","Medium","High","Critical"},0),25,50,75,100),"")</f>
        <v/>
      </c>
      <c r="AG178">
        <f>IF(AF178&lt;&gt;"",IF(AH178="Weekly",AF178+7,IF(AH178="Monthly",EDATE(AF178,1),IF(AH178="Quarterly",EDATE(AF178,3),""))),"")</f>
        <v/>
      </c>
      <c r="AK178">
        <f>IF(AJ178&lt;&gt;"",IF(AI178="Monthly",EDATE(AJ178,1),IF(AI178="Quarterly",EDATE(AJ178,3),IF(AI178="Semi-Annual",EDATE(AJ178,6),""))),"")</f>
        <v/>
      </c>
      <c r="AL178">
        <f>IF(AK178&lt;&gt;"",IF(AK178&lt;TODAY(),"Overdue","Current"),"")</f>
        <v/>
      </c>
    </row>
    <row r="179">
      <c r="K179">
        <f>IF(J179="v4.0",L179,IF(J179="v3.1",M179,IF(J179="Both",L179,IF(AND(L179&lt;&gt;"",M179=""),L179,M179))))</f>
        <v/>
      </c>
      <c r="Z179">
        <f>IF(Y179&lt;&gt;"",TODAY()-Y179,"")</f>
        <v/>
      </c>
      <c r="AC179">
        <f>IF(AND(AA179&lt;&gt;"",AB179&lt;&gt;""),CHOOSE(MATCH(AA179,{"Low","Medium","High","Critical"},0),25,50,75,100)-CHOOSE(MATCH(AB179,{"Low","Medium","High","Critical"},0),25,50,75,100),"")</f>
        <v/>
      </c>
      <c r="AG179">
        <f>IF(AF179&lt;&gt;"",IF(AH179="Weekly",AF179+7,IF(AH179="Monthly",EDATE(AF179,1),IF(AH179="Quarterly",EDATE(AF179,3),""))),"")</f>
        <v/>
      </c>
      <c r="AK179">
        <f>IF(AJ179&lt;&gt;"",IF(AI179="Monthly",EDATE(AJ179,1),IF(AI179="Quarterly",EDATE(AJ179,3),IF(AI179="Semi-Annual",EDATE(AJ179,6),""))),"")</f>
        <v/>
      </c>
      <c r="AL179">
        <f>IF(AK179&lt;&gt;"",IF(AK179&lt;TODAY(),"Overdue","Current"),"")</f>
        <v/>
      </c>
    </row>
    <row r="180">
      <c r="K180">
        <f>IF(J180="v4.0",L180,IF(J180="v3.1",M180,IF(J180="Both",L180,IF(AND(L180&lt;&gt;"",M180=""),L180,M180))))</f>
        <v/>
      </c>
      <c r="Z180">
        <f>IF(Y180&lt;&gt;"",TODAY()-Y180,"")</f>
        <v/>
      </c>
      <c r="AC180">
        <f>IF(AND(AA180&lt;&gt;"",AB180&lt;&gt;""),CHOOSE(MATCH(AA180,{"Low","Medium","High","Critical"},0),25,50,75,100)-CHOOSE(MATCH(AB180,{"Low","Medium","High","Critical"},0),25,50,75,100),"")</f>
        <v/>
      </c>
      <c r="AG180">
        <f>IF(AF180&lt;&gt;"",IF(AH180="Weekly",AF180+7,IF(AH180="Monthly",EDATE(AF180,1),IF(AH180="Quarterly",EDATE(AF180,3),""))),"")</f>
        <v/>
      </c>
      <c r="AK180">
        <f>IF(AJ180&lt;&gt;"",IF(AI180="Monthly",EDATE(AJ180,1),IF(AI180="Quarterly",EDATE(AJ180,3),IF(AI180="Semi-Annual",EDATE(AJ180,6),""))),"")</f>
        <v/>
      </c>
      <c r="AL180">
        <f>IF(AK180&lt;&gt;"",IF(AK180&lt;TODAY(),"Overdue","Current"),"")</f>
        <v/>
      </c>
    </row>
    <row r="181">
      <c r="K181">
        <f>IF(J181="v4.0",L181,IF(J181="v3.1",M181,IF(J181="Both",L181,IF(AND(L181&lt;&gt;"",M181=""),L181,M181))))</f>
        <v/>
      </c>
      <c r="Z181">
        <f>IF(Y181&lt;&gt;"",TODAY()-Y181,"")</f>
        <v/>
      </c>
      <c r="AC181">
        <f>IF(AND(AA181&lt;&gt;"",AB181&lt;&gt;""),CHOOSE(MATCH(AA181,{"Low","Medium","High","Critical"},0),25,50,75,100)-CHOOSE(MATCH(AB181,{"Low","Medium","High","Critical"},0),25,50,75,100),"")</f>
        <v/>
      </c>
      <c r="AG181">
        <f>IF(AF181&lt;&gt;"",IF(AH181="Weekly",AF181+7,IF(AH181="Monthly",EDATE(AF181,1),IF(AH181="Quarterly",EDATE(AF181,3),""))),"")</f>
        <v/>
      </c>
      <c r="AK181">
        <f>IF(AJ181&lt;&gt;"",IF(AI181="Monthly",EDATE(AJ181,1),IF(AI181="Quarterly",EDATE(AJ181,3),IF(AI181="Semi-Annual",EDATE(AJ181,6),""))),"")</f>
        <v/>
      </c>
      <c r="AL181">
        <f>IF(AK181&lt;&gt;"",IF(AK181&lt;TODAY(),"Overdue","Current"),"")</f>
        <v/>
      </c>
    </row>
    <row r="182">
      <c r="K182">
        <f>IF(J182="v4.0",L182,IF(J182="v3.1",M182,IF(J182="Both",L182,IF(AND(L182&lt;&gt;"",M182=""),L182,M182))))</f>
        <v/>
      </c>
      <c r="Z182">
        <f>IF(Y182&lt;&gt;"",TODAY()-Y182,"")</f>
        <v/>
      </c>
      <c r="AC182">
        <f>IF(AND(AA182&lt;&gt;"",AB182&lt;&gt;""),CHOOSE(MATCH(AA182,{"Low","Medium","High","Critical"},0),25,50,75,100)-CHOOSE(MATCH(AB182,{"Low","Medium","High","Critical"},0),25,50,75,100),"")</f>
        <v/>
      </c>
      <c r="AG182">
        <f>IF(AF182&lt;&gt;"",IF(AH182="Weekly",AF182+7,IF(AH182="Monthly",EDATE(AF182,1),IF(AH182="Quarterly",EDATE(AF182,3),""))),"")</f>
        <v/>
      </c>
      <c r="AK182">
        <f>IF(AJ182&lt;&gt;"",IF(AI182="Monthly",EDATE(AJ182,1),IF(AI182="Quarterly",EDATE(AJ182,3),IF(AI182="Semi-Annual",EDATE(AJ182,6),""))),"")</f>
        <v/>
      </c>
      <c r="AL182">
        <f>IF(AK182&lt;&gt;"",IF(AK182&lt;TODAY(),"Overdue","Current"),"")</f>
        <v/>
      </c>
    </row>
    <row r="183">
      <c r="K183">
        <f>IF(J183="v4.0",L183,IF(J183="v3.1",M183,IF(J183="Both",L183,IF(AND(L183&lt;&gt;"",M183=""),L183,M183))))</f>
        <v/>
      </c>
      <c r="Z183">
        <f>IF(Y183&lt;&gt;"",TODAY()-Y183,"")</f>
        <v/>
      </c>
      <c r="AC183">
        <f>IF(AND(AA183&lt;&gt;"",AB183&lt;&gt;""),CHOOSE(MATCH(AA183,{"Low","Medium","High","Critical"},0),25,50,75,100)-CHOOSE(MATCH(AB183,{"Low","Medium","High","Critical"},0),25,50,75,100),"")</f>
        <v/>
      </c>
      <c r="AG183">
        <f>IF(AF183&lt;&gt;"",IF(AH183="Weekly",AF183+7,IF(AH183="Monthly",EDATE(AF183,1),IF(AH183="Quarterly",EDATE(AF183,3),""))),"")</f>
        <v/>
      </c>
      <c r="AK183">
        <f>IF(AJ183&lt;&gt;"",IF(AI183="Monthly",EDATE(AJ183,1),IF(AI183="Quarterly",EDATE(AJ183,3),IF(AI183="Semi-Annual",EDATE(AJ183,6),""))),"")</f>
        <v/>
      </c>
      <c r="AL183">
        <f>IF(AK183&lt;&gt;"",IF(AK183&lt;TODAY(),"Overdue","Current"),"")</f>
        <v/>
      </c>
    </row>
    <row r="184">
      <c r="K184">
        <f>IF(J184="v4.0",L184,IF(J184="v3.1",M184,IF(J184="Both",L184,IF(AND(L184&lt;&gt;"",M184=""),L184,M184))))</f>
        <v/>
      </c>
      <c r="Z184">
        <f>IF(Y184&lt;&gt;"",TODAY()-Y184,"")</f>
        <v/>
      </c>
      <c r="AC184">
        <f>IF(AND(AA184&lt;&gt;"",AB184&lt;&gt;""),CHOOSE(MATCH(AA184,{"Low","Medium","High","Critical"},0),25,50,75,100)-CHOOSE(MATCH(AB184,{"Low","Medium","High","Critical"},0),25,50,75,100),"")</f>
        <v/>
      </c>
      <c r="AG184">
        <f>IF(AF184&lt;&gt;"",IF(AH184="Weekly",AF184+7,IF(AH184="Monthly",EDATE(AF184,1),IF(AH184="Quarterly",EDATE(AF184,3),""))),"")</f>
        <v/>
      </c>
      <c r="AK184">
        <f>IF(AJ184&lt;&gt;"",IF(AI184="Monthly",EDATE(AJ184,1),IF(AI184="Quarterly",EDATE(AJ184,3),IF(AI184="Semi-Annual",EDATE(AJ184,6),""))),"")</f>
        <v/>
      </c>
      <c r="AL184">
        <f>IF(AK184&lt;&gt;"",IF(AK184&lt;TODAY(),"Overdue","Current"),"")</f>
        <v/>
      </c>
    </row>
    <row r="185">
      <c r="K185">
        <f>IF(J185="v4.0",L185,IF(J185="v3.1",M185,IF(J185="Both",L185,IF(AND(L185&lt;&gt;"",M185=""),L185,M185))))</f>
        <v/>
      </c>
      <c r="Z185">
        <f>IF(Y185&lt;&gt;"",TODAY()-Y185,"")</f>
        <v/>
      </c>
      <c r="AC185">
        <f>IF(AND(AA185&lt;&gt;"",AB185&lt;&gt;""),CHOOSE(MATCH(AA185,{"Low","Medium","High","Critical"},0),25,50,75,100)-CHOOSE(MATCH(AB185,{"Low","Medium","High","Critical"},0),25,50,75,100),"")</f>
        <v/>
      </c>
      <c r="AG185">
        <f>IF(AF185&lt;&gt;"",IF(AH185="Weekly",AF185+7,IF(AH185="Monthly",EDATE(AF185,1),IF(AH185="Quarterly",EDATE(AF185,3),""))),"")</f>
        <v/>
      </c>
      <c r="AK185">
        <f>IF(AJ185&lt;&gt;"",IF(AI185="Monthly",EDATE(AJ185,1),IF(AI185="Quarterly",EDATE(AJ185,3),IF(AI185="Semi-Annual",EDATE(AJ185,6),""))),"")</f>
        <v/>
      </c>
      <c r="AL185">
        <f>IF(AK185&lt;&gt;"",IF(AK185&lt;TODAY(),"Overdue","Current"),"")</f>
        <v/>
      </c>
    </row>
    <row r="186">
      <c r="K186">
        <f>IF(J186="v4.0",L186,IF(J186="v3.1",M186,IF(J186="Both",L186,IF(AND(L186&lt;&gt;"",M186=""),L186,M186))))</f>
        <v/>
      </c>
      <c r="Z186">
        <f>IF(Y186&lt;&gt;"",TODAY()-Y186,"")</f>
        <v/>
      </c>
      <c r="AC186">
        <f>IF(AND(AA186&lt;&gt;"",AB186&lt;&gt;""),CHOOSE(MATCH(AA186,{"Low","Medium","High","Critical"},0),25,50,75,100)-CHOOSE(MATCH(AB186,{"Low","Medium","High","Critical"},0),25,50,75,100),"")</f>
        <v/>
      </c>
      <c r="AG186">
        <f>IF(AF186&lt;&gt;"",IF(AH186="Weekly",AF186+7,IF(AH186="Monthly",EDATE(AF186,1),IF(AH186="Quarterly",EDATE(AF186,3),""))),"")</f>
        <v/>
      </c>
      <c r="AK186">
        <f>IF(AJ186&lt;&gt;"",IF(AI186="Monthly",EDATE(AJ186,1),IF(AI186="Quarterly",EDATE(AJ186,3),IF(AI186="Semi-Annual",EDATE(AJ186,6),""))),"")</f>
        <v/>
      </c>
      <c r="AL186">
        <f>IF(AK186&lt;&gt;"",IF(AK186&lt;TODAY(),"Overdue","Current"),"")</f>
        <v/>
      </c>
    </row>
    <row r="187">
      <c r="K187">
        <f>IF(J187="v4.0",L187,IF(J187="v3.1",M187,IF(J187="Both",L187,IF(AND(L187&lt;&gt;"",M187=""),L187,M187))))</f>
        <v/>
      </c>
      <c r="Z187">
        <f>IF(Y187&lt;&gt;"",TODAY()-Y187,"")</f>
        <v/>
      </c>
      <c r="AC187">
        <f>IF(AND(AA187&lt;&gt;"",AB187&lt;&gt;""),CHOOSE(MATCH(AA187,{"Low","Medium","High","Critical"},0),25,50,75,100)-CHOOSE(MATCH(AB187,{"Low","Medium","High","Critical"},0),25,50,75,100),"")</f>
        <v/>
      </c>
      <c r="AG187">
        <f>IF(AF187&lt;&gt;"",IF(AH187="Weekly",AF187+7,IF(AH187="Monthly",EDATE(AF187,1),IF(AH187="Quarterly",EDATE(AF187,3),""))),"")</f>
        <v/>
      </c>
      <c r="AK187">
        <f>IF(AJ187&lt;&gt;"",IF(AI187="Monthly",EDATE(AJ187,1),IF(AI187="Quarterly",EDATE(AJ187,3),IF(AI187="Semi-Annual",EDATE(AJ187,6),""))),"")</f>
        <v/>
      </c>
      <c r="AL187">
        <f>IF(AK187&lt;&gt;"",IF(AK187&lt;TODAY(),"Overdue","Current"),"")</f>
        <v/>
      </c>
    </row>
    <row r="188">
      <c r="K188">
        <f>IF(J188="v4.0",L188,IF(J188="v3.1",M188,IF(J188="Both",L188,IF(AND(L188&lt;&gt;"",M188=""),L188,M188))))</f>
        <v/>
      </c>
      <c r="Z188">
        <f>IF(Y188&lt;&gt;"",TODAY()-Y188,"")</f>
        <v/>
      </c>
      <c r="AC188">
        <f>IF(AND(AA188&lt;&gt;"",AB188&lt;&gt;""),CHOOSE(MATCH(AA188,{"Low","Medium","High","Critical"},0),25,50,75,100)-CHOOSE(MATCH(AB188,{"Low","Medium","High","Critical"},0),25,50,75,100),"")</f>
        <v/>
      </c>
      <c r="AG188">
        <f>IF(AF188&lt;&gt;"",IF(AH188="Weekly",AF188+7,IF(AH188="Monthly",EDATE(AF188,1),IF(AH188="Quarterly",EDATE(AF188,3),""))),"")</f>
        <v/>
      </c>
      <c r="AK188">
        <f>IF(AJ188&lt;&gt;"",IF(AI188="Monthly",EDATE(AJ188,1),IF(AI188="Quarterly",EDATE(AJ188,3),IF(AI188="Semi-Annual",EDATE(AJ188,6),""))),"")</f>
        <v/>
      </c>
      <c r="AL188">
        <f>IF(AK188&lt;&gt;"",IF(AK188&lt;TODAY(),"Overdue","Current"),"")</f>
        <v/>
      </c>
    </row>
    <row r="189">
      <c r="K189">
        <f>IF(J189="v4.0",L189,IF(J189="v3.1",M189,IF(J189="Both",L189,IF(AND(L189&lt;&gt;"",M189=""),L189,M189))))</f>
        <v/>
      </c>
      <c r="Z189">
        <f>IF(Y189&lt;&gt;"",TODAY()-Y189,"")</f>
        <v/>
      </c>
      <c r="AC189">
        <f>IF(AND(AA189&lt;&gt;"",AB189&lt;&gt;""),CHOOSE(MATCH(AA189,{"Low","Medium","High","Critical"},0),25,50,75,100)-CHOOSE(MATCH(AB189,{"Low","Medium","High","Critical"},0),25,50,75,100),"")</f>
        <v/>
      </c>
      <c r="AG189">
        <f>IF(AF189&lt;&gt;"",IF(AH189="Weekly",AF189+7,IF(AH189="Monthly",EDATE(AF189,1),IF(AH189="Quarterly",EDATE(AF189,3),""))),"")</f>
        <v/>
      </c>
      <c r="AK189">
        <f>IF(AJ189&lt;&gt;"",IF(AI189="Monthly",EDATE(AJ189,1),IF(AI189="Quarterly",EDATE(AJ189,3),IF(AI189="Semi-Annual",EDATE(AJ189,6),""))),"")</f>
        <v/>
      </c>
      <c r="AL189">
        <f>IF(AK189&lt;&gt;"",IF(AK189&lt;TODAY(),"Overdue","Current"),"")</f>
        <v/>
      </c>
    </row>
    <row r="190">
      <c r="K190">
        <f>IF(J190="v4.0",L190,IF(J190="v3.1",M190,IF(J190="Both",L190,IF(AND(L190&lt;&gt;"",M190=""),L190,M190))))</f>
        <v/>
      </c>
      <c r="Z190">
        <f>IF(Y190&lt;&gt;"",TODAY()-Y190,"")</f>
        <v/>
      </c>
      <c r="AC190">
        <f>IF(AND(AA190&lt;&gt;"",AB190&lt;&gt;""),CHOOSE(MATCH(AA190,{"Low","Medium","High","Critical"},0),25,50,75,100)-CHOOSE(MATCH(AB190,{"Low","Medium","High","Critical"},0),25,50,75,100),"")</f>
        <v/>
      </c>
      <c r="AG190">
        <f>IF(AF190&lt;&gt;"",IF(AH190="Weekly",AF190+7,IF(AH190="Monthly",EDATE(AF190,1),IF(AH190="Quarterly",EDATE(AF190,3),""))),"")</f>
        <v/>
      </c>
      <c r="AK190">
        <f>IF(AJ190&lt;&gt;"",IF(AI190="Monthly",EDATE(AJ190,1),IF(AI190="Quarterly",EDATE(AJ190,3),IF(AI190="Semi-Annual",EDATE(AJ190,6),""))),"")</f>
        <v/>
      </c>
      <c r="AL190">
        <f>IF(AK190&lt;&gt;"",IF(AK190&lt;TODAY(),"Overdue","Current"),"")</f>
        <v/>
      </c>
    </row>
    <row r="191">
      <c r="K191">
        <f>IF(J191="v4.0",L191,IF(J191="v3.1",M191,IF(J191="Both",L191,IF(AND(L191&lt;&gt;"",M191=""),L191,M191))))</f>
        <v/>
      </c>
      <c r="Z191">
        <f>IF(Y191&lt;&gt;"",TODAY()-Y191,"")</f>
        <v/>
      </c>
      <c r="AC191">
        <f>IF(AND(AA191&lt;&gt;"",AB191&lt;&gt;""),CHOOSE(MATCH(AA191,{"Low","Medium","High","Critical"},0),25,50,75,100)-CHOOSE(MATCH(AB191,{"Low","Medium","High","Critical"},0),25,50,75,100),"")</f>
        <v/>
      </c>
      <c r="AG191">
        <f>IF(AF191&lt;&gt;"",IF(AH191="Weekly",AF191+7,IF(AH191="Monthly",EDATE(AF191,1),IF(AH191="Quarterly",EDATE(AF191,3),""))),"")</f>
        <v/>
      </c>
      <c r="AK191">
        <f>IF(AJ191&lt;&gt;"",IF(AI191="Monthly",EDATE(AJ191,1),IF(AI191="Quarterly",EDATE(AJ191,3),IF(AI191="Semi-Annual",EDATE(AJ191,6),""))),"")</f>
        <v/>
      </c>
      <c r="AL191">
        <f>IF(AK191&lt;&gt;"",IF(AK191&lt;TODAY(),"Overdue","Current"),"")</f>
        <v/>
      </c>
    </row>
    <row r="192">
      <c r="K192">
        <f>IF(J192="v4.0",L192,IF(J192="v3.1",M192,IF(J192="Both",L192,IF(AND(L192&lt;&gt;"",M192=""),L192,M192))))</f>
        <v/>
      </c>
      <c r="Z192">
        <f>IF(Y192&lt;&gt;"",TODAY()-Y192,"")</f>
        <v/>
      </c>
      <c r="AC192">
        <f>IF(AND(AA192&lt;&gt;"",AB192&lt;&gt;""),CHOOSE(MATCH(AA192,{"Low","Medium","High","Critical"},0),25,50,75,100)-CHOOSE(MATCH(AB192,{"Low","Medium","High","Critical"},0),25,50,75,100),"")</f>
        <v/>
      </c>
      <c r="AG192">
        <f>IF(AF192&lt;&gt;"",IF(AH192="Weekly",AF192+7,IF(AH192="Monthly",EDATE(AF192,1),IF(AH192="Quarterly",EDATE(AF192,3),""))),"")</f>
        <v/>
      </c>
      <c r="AK192">
        <f>IF(AJ192&lt;&gt;"",IF(AI192="Monthly",EDATE(AJ192,1),IF(AI192="Quarterly",EDATE(AJ192,3),IF(AI192="Semi-Annual",EDATE(AJ192,6),""))),"")</f>
        <v/>
      </c>
      <c r="AL192">
        <f>IF(AK192&lt;&gt;"",IF(AK192&lt;TODAY(),"Overdue","Current"),"")</f>
        <v/>
      </c>
    </row>
    <row r="193">
      <c r="K193">
        <f>IF(J193="v4.0",L193,IF(J193="v3.1",M193,IF(J193="Both",L193,IF(AND(L193&lt;&gt;"",M193=""),L193,M193))))</f>
        <v/>
      </c>
      <c r="Z193">
        <f>IF(Y193&lt;&gt;"",TODAY()-Y193,"")</f>
        <v/>
      </c>
      <c r="AC193">
        <f>IF(AND(AA193&lt;&gt;"",AB193&lt;&gt;""),CHOOSE(MATCH(AA193,{"Low","Medium","High","Critical"},0),25,50,75,100)-CHOOSE(MATCH(AB193,{"Low","Medium","High","Critical"},0),25,50,75,100),"")</f>
        <v/>
      </c>
      <c r="AG193">
        <f>IF(AF193&lt;&gt;"",IF(AH193="Weekly",AF193+7,IF(AH193="Monthly",EDATE(AF193,1),IF(AH193="Quarterly",EDATE(AF193,3),""))),"")</f>
        <v/>
      </c>
      <c r="AK193">
        <f>IF(AJ193&lt;&gt;"",IF(AI193="Monthly",EDATE(AJ193,1),IF(AI193="Quarterly",EDATE(AJ193,3),IF(AI193="Semi-Annual",EDATE(AJ193,6),""))),"")</f>
        <v/>
      </c>
      <c r="AL193">
        <f>IF(AK193&lt;&gt;"",IF(AK193&lt;TODAY(),"Overdue","Current"),"")</f>
        <v/>
      </c>
    </row>
    <row r="194">
      <c r="K194">
        <f>IF(J194="v4.0",L194,IF(J194="v3.1",M194,IF(J194="Both",L194,IF(AND(L194&lt;&gt;"",M194=""),L194,M194))))</f>
        <v/>
      </c>
      <c r="Z194">
        <f>IF(Y194&lt;&gt;"",TODAY()-Y194,"")</f>
        <v/>
      </c>
      <c r="AC194">
        <f>IF(AND(AA194&lt;&gt;"",AB194&lt;&gt;""),CHOOSE(MATCH(AA194,{"Low","Medium","High","Critical"},0),25,50,75,100)-CHOOSE(MATCH(AB194,{"Low","Medium","High","Critical"},0),25,50,75,100),"")</f>
        <v/>
      </c>
      <c r="AG194">
        <f>IF(AF194&lt;&gt;"",IF(AH194="Weekly",AF194+7,IF(AH194="Monthly",EDATE(AF194,1),IF(AH194="Quarterly",EDATE(AF194,3),""))),"")</f>
        <v/>
      </c>
      <c r="AK194">
        <f>IF(AJ194&lt;&gt;"",IF(AI194="Monthly",EDATE(AJ194,1),IF(AI194="Quarterly",EDATE(AJ194,3),IF(AI194="Semi-Annual",EDATE(AJ194,6),""))),"")</f>
        <v/>
      </c>
      <c r="AL194">
        <f>IF(AK194&lt;&gt;"",IF(AK194&lt;TODAY(),"Overdue","Current"),"")</f>
        <v/>
      </c>
    </row>
    <row r="195">
      <c r="K195">
        <f>IF(J195="v4.0",L195,IF(J195="v3.1",M195,IF(J195="Both",L195,IF(AND(L195&lt;&gt;"",M195=""),L195,M195))))</f>
        <v/>
      </c>
      <c r="Z195">
        <f>IF(Y195&lt;&gt;"",TODAY()-Y195,"")</f>
        <v/>
      </c>
      <c r="AC195">
        <f>IF(AND(AA195&lt;&gt;"",AB195&lt;&gt;""),CHOOSE(MATCH(AA195,{"Low","Medium","High","Critical"},0),25,50,75,100)-CHOOSE(MATCH(AB195,{"Low","Medium","High","Critical"},0),25,50,75,100),"")</f>
        <v/>
      </c>
      <c r="AG195">
        <f>IF(AF195&lt;&gt;"",IF(AH195="Weekly",AF195+7,IF(AH195="Monthly",EDATE(AF195,1),IF(AH195="Quarterly",EDATE(AF195,3),""))),"")</f>
        <v/>
      </c>
      <c r="AK195">
        <f>IF(AJ195&lt;&gt;"",IF(AI195="Monthly",EDATE(AJ195,1),IF(AI195="Quarterly",EDATE(AJ195,3),IF(AI195="Semi-Annual",EDATE(AJ195,6),""))),"")</f>
        <v/>
      </c>
      <c r="AL195">
        <f>IF(AK195&lt;&gt;"",IF(AK195&lt;TODAY(),"Overdue","Current"),"")</f>
        <v/>
      </c>
    </row>
    <row r="196">
      <c r="K196">
        <f>IF(J196="v4.0",L196,IF(J196="v3.1",M196,IF(J196="Both",L196,IF(AND(L196&lt;&gt;"",M196=""),L196,M196))))</f>
        <v/>
      </c>
      <c r="Z196">
        <f>IF(Y196&lt;&gt;"",TODAY()-Y196,"")</f>
        <v/>
      </c>
      <c r="AC196">
        <f>IF(AND(AA196&lt;&gt;"",AB196&lt;&gt;""),CHOOSE(MATCH(AA196,{"Low","Medium","High","Critical"},0),25,50,75,100)-CHOOSE(MATCH(AB196,{"Low","Medium","High","Critical"},0),25,50,75,100),"")</f>
        <v/>
      </c>
      <c r="AG196">
        <f>IF(AF196&lt;&gt;"",IF(AH196="Weekly",AF196+7,IF(AH196="Monthly",EDATE(AF196,1),IF(AH196="Quarterly",EDATE(AF196,3),""))),"")</f>
        <v/>
      </c>
      <c r="AK196">
        <f>IF(AJ196&lt;&gt;"",IF(AI196="Monthly",EDATE(AJ196,1),IF(AI196="Quarterly",EDATE(AJ196,3),IF(AI196="Semi-Annual",EDATE(AJ196,6),""))),"")</f>
        <v/>
      </c>
      <c r="AL196">
        <f>IF(AK196&lt;&gt;"",IF(AK196&lt;TODAY(),"Overdue","Current"),"")</f>
        <v/>
      </c>
    </row>
    <row r="197">
      <c r="K197">
        <f>IF(J197="v4.0",L197,IF(J197="v3.1",M197,IF(J197="Both",L197,IF(AND(L197&lt;&gt;"",M197=""),L197,M197))))</f>
        <v/>
      </c>
      <c r="Z197">
        <f>IF(Y197&lt;&gt;"",TODAY()-Y197,"")</f>
        <v/>
      </c>
      <c r="AC197">
        <f>IF(AND(AA197&lt;&gt;"",AB197&lt;&gt;""),CHOOSE(MATCH(AA197,{"Low","Medium","High","Critical"},0),25,50,75,100)-CHOOSE(MATCH(AB197,{"Low","Medium","High","Critical"},0),25,50,75,100),"")</f>
        <v/>
      </c>
      <c r="AG197">
        <f>IF(AF197&lt;&gt;"",IF(AH197="Weekly",AF197+7,IF(AH197="Monthly",EDATE(AF197,1),IF(AH197="Quarterly",EDATE(AF197,3),""))),"")</f>
        <v/>
      </c>
      <c r="AK197">
        <f>IF(AJ197&lt;&gt;"",IF(AI197="Monthly",EDATE(AJ197,1),IF(AI197="Quarterly",EDATE(AJ197,3),IF(AI197="Semi-Annual",EDATE(AJ197,6),""))),"")</f>
        <v/>
      </c>
      <c r="AL197">
        <f>IF(AK197&lt;&gt;"",IF(AK197&lt;TODAY(),"Overdue","Current"),"")</f>
        <v/>
      </c>
    </row>
    <row r="198">
      <c r="K198">
        <f>IF(J198="v4.0",L198,IF(J198="v3.1",M198,IF(J198="Both",L198,IF(AND(L198&lt;&gt;"",M198=""),L198,M198))))</f>
        <v/>
      </c>
      <c r="Z198">
        <f>IF(Y198&lt;&gt;"",TODAY()-Y198,"")</f>
        <v/>
      </c>
      <c r="AC198">
        <f>IF(AND(AA198&lt;&gt;"",AB198&lt;&gt;""),CHOOSE(MATCH(AA198,{"Low","Medium","High","Critical"},0),25,50,75,100)-CHOOSE(MATCH(AB198,{"Low","Medium","High","Critical"},0),25,50,75,100),"")</f>
        <v/>
      </c>
      <c r="AG198">
        <f>IF(AF198&lt;&gt;"",IF(AH198="Weekly",AF198+7,IF(AH198="Monthly",EDATE(AF198,1),IF(AH198="Quarterly",EDATE(AF198,3),""))),"")</f>
        <v/>
      </c>
      <c r="AK198">
        <f>IF(AJ198&lt;&gt;"",IF(AI198="Monthly",EDATE(AJ198,1),IF(AI198="Quarterly",EDATE(AJ198,3),IF(AI198="Semi-Annual",EDATE(AJ198,6),""))),"")</f>
        <v/>
      </c>
      <c r="AL198">
        <f>IF(AK198&lt;&gt;"",IF(AK198&lt;TODAY(),"Overdue","Current"),"")</f>
        <v/>
      </c>
    </row>
    <row r="199">
      <c r="K199">
        <f>IF(J199="v4.0",L199,IF(J199="v3.1",M199,IF(J199="Both",L199,IF(AND(L199&lt;&gt;"",M199=""),L199,M199))))</f>
        <v/>
      </c>
      <c r="Z199">
        <f>IF(Y199&lt;&gt;"",TODAY()-Y199,"")</f>
        <v/>
      </c>
      <c r="AC199">
        <f>IF(AND(AA199&lt;&gt;"",AB199&lt;&gt;""),CHOOSE(MATCH(AA199,{"Low","Medium","High","Critical"},0),25,50,75,100)-CHOOSE(MATCH(AB199,{"Low","Medium","High","Critical"},0),25,50,75,100),"")</f>
        <v/>
      </c>
      <c r="AG199">
        <f>IF(AF199&lt;&gt;"",IF(AH199="Weekly",AF199+7,IF(AH199="Monthly",EDATE(AF199,1),IF(AH199="Quarterly",EDATE(AF199,3),""))),"")</f>
        <v/>
      </c>
      <c r="AK199">
        <f>IF(AJ199&lt;&gt;"",IF(AI199="Monthly",EDATE(AJ199,1),IF(AI199="Quarterly",EDATE(AJ199,3),IF(AI199="Semi-Annual",EDATE(AJ199,6),""))),"")</f>
        <v/>
      </c>
      <c r="AL199">
        <f>IF(AK199&lt;&gt;"",IF(AK199&lt;TODAY(),"Overdue","Current"),"")</f>
        <v/>
      </c>
    </row>
    <row r="200">
      <c r="K200">
        <f>IF(J200="v4.0",L200,IF(J200="v3.1",M200,IF(J200="Both",L200,IF(AND(L200&lt;&gt;"",M200=""),L200,M200))))</f>
        <v/>
      </c>
      <c r="Z200">
        <f>IF(Y200&lt;&gt;"",TODAY()-Y200,"")</f>
        <v/>
      </c>
      <c r="AC200">
        <f>IF(AND(AA200&lt;&gt;"",AB200&lt;&gt;""),CHOOSE(MATCH(AA200,{"Low","Medium","High","Critical"},0),25,50,75,100)-CHOOSE(MATCH(AB200,{"Low","Medium","High","Critical"},0),25,50,75,100),"")</f>
        <v/>
      </c>
      <c r="AG200">
        <f>IF(AF200&lt;&gt;"",IF(AH200="Weekly",AF200+7,IF(AH200="Monthly",EDATE(AF200,1),IF(AH200="Quarterly",EDATE(AF200,3),""))),"")</f>
        <v/>
      </c>
      <c r="AK200">
        <f>IF(AJ200&lt;&gt;"",IF(AI200="Monthly",EDATE(AJ200,1),IF(AI200="Quarterly",EDATE(AJ200,3),IF(AI200="Semi-Annual",EDATE(AJ200,6),""))),"")</f>
        <v/>
      </c>
      <c r="AL200">
        <f>IF(AK200&lt;&gt;"",IF(AK200&lt;TODAY(),"Overdue","Current"),"")</f>
        <v/>
      </c>
    </row>
    <row r="201">
      <c r="K201">
        <f>IF(J201="v4.0",L201,IF(J201="v3.1",M201,IF(J201="Both",L201,IF(AND(L201&lt;&gt;"",M201=""),L201,M201))))</f>
        <v/>
      </c>
      <c r="Z201">
        <f>IF(Y201&lt;&gt;"",TODAY()-Y201,"")</f>
        <v/>
      </c>
      <c r="AC201">
        <f>IF(AND(AA201&lt;&gt;"",AB201&lt;&gt;""),CHOOSE(MATCH(AA201,{"Low","Medium","High","Critical"},0),25,50,75,100)-CHOOSE(MATCH(AB201,{"Low","Medium","High","Critical"},0),25,50,75,100),"")</f>
        <v/>
      </c>
      <c r="AG201">
        <f>IF(AF201&lt;&gt;"",IF(AH201="Weekly",AF201+7,IF(AH201="Monthly",EDATE(AF201,1),IF(AH201="Quarterly",EDATE(AF201,3),""))),"")</f>
        <v/>
      </c>
      <c r="AK201">
        <f>IF(AJ201&lt;&gt;"",IF(AI201="Monthly",EDATE(AJ201,1),IF(AI201="Quarterly",EDATE(AJ201,3),IF(AI201="Semi-Annual",EDATE(AJ201,6),""))),"")</f>
        <v/>
      </c>
      <c r="AL201">
        <f>IF(AK201&lt;&gt;"",IF(AK201&lt;TODAY(),"Overdue","Current"),"")</f>
        <v/>
      </c>
    </row>
    <row r="202">
      <c r="K202">
        <f>IF(J202="v4.0",L202,IF(J202="v3.1",M202,IF(J202="Both",L202,IF(AND(L202&lt;&gt;"",M202=""),L202,M202))))</f>
        <v/>
      </c>
      <c r="Z202">
        <f>IF(Y202&lt;&gt;"",TODAY()-Y202,"")</f>
        <v/>
      </c>
      <c r="AC202">
        <f>IF(AND(AA202&lt;&gt;"",AB202&lt;&gt;""),CHOOSE(MATCH(AA202,{"Low","Medium","High","Critical"},0),25,50,75,100)-CHOOSE(MATCH(AB202,{"Low","Medium","High","Critical"},0),25,50,75,100),"")</f>
        <v/>
      </c>
      <c r="AG202">
        <f>IF(AF202&lt;&gt;"",IF(AH202="Weekly",AF202+7,IF(AH202="Monthly",EDATE(AF202,1),IF(AH202="Quarterly",EDATE(AF202,3),""))),"")</f>
        <v/>
      </c>
      <c r="AK202">
        <f>IF(AJ202&lt;&gt;"",IF(AI202="Monthly",EDATE(AJ202,1),IF(AI202="Quarterly",EDATE(AJ202,3),IF(AI202="Semi-Annual",EDATE(AJ202,6),""))),"")</f>
        <v/>
      </c>
      <c r="AL202">
        <f>IF(AK202&lt;&gt;"",IF(AK202&lt;TODAY(),"Overdue","Current"),"")</f>
        <v/>
      </c>
    </row>
    <row r="203">
      <c r="K203">
        <f>IF(J203="v4.0",L203,IF(J203="v3.1",M203,IF(J203="Both",L203,IF(AND(L203&lt;&gt;"",M203=""),L203,M203))))</f>
        <v/>
      </c>
      <c r="Z203">
        <f>IF(Y203&lt;&gt;"",TODAY()-Y203,"")</f>
        <v/>
      </c>
      <c r="AC203">
        <f>IF(AND(AA203&lt;&gt;"",AB203&lt;&gt;""),CHOOSE(MATCH(AA203,{"Low","Medium","High","Critical"},0),25,50,75,100)-CHOOSE(MATCH(AB203,{"Low","Medium","High","Critical"},0),25,50,75,100),"")</f>
        <v/>
      </c>
      <c r="AG203">
        <f>IF(AF203&lt;&gt;"",IF(AH203="Weekly",AF203+7,IF(AH203="Monthly",EDATE(AF203,1),IF(AH203="Quarterly",EDATE(AF203,3),""))),"")</f>
        <v/>
      </c>
      <c r="AK203">
        <f>IF(AJ203&lt;&gt;"",IF(AI203="Monthly",EDATE(AJ203,1),IF(AI203="Quarterly",EDATE(AJ203,3),IF(AI203="Semi-Annual",EDATE(AJ203,6),""))),"")</f>
        <v/>
      </c>
      <c r="AL203">
        <f>IF(AK203&lt;&gt;"",IF(AK203&lt;TODAY(),"Overdue","Current"),"")</f>
        <v/>
      </c>
    </row>
    <row r="204">
      <c r="K204">
        <f>IF(J204="v4.0",L204,IF(J204="v3.1",M204,IF(J204="Both",L204,IF(AND(L204&lt;&gt;"",M204=""),L204,M204))))</f>
        <v/>
      </c>
      <c r="Z204">
        <f>IF(Y204&lt;&gt;"",TODAY()-Y204,"")</f>
        <v/>
      </c>
      <c r="AC204">
        <f>IF(AND(AA204&lt;&gt;"",AB204&lt;&gt;""),CHOOSE(MATCH(AA204,{"Low","Medium","High","Critical"},0),25,50,75,100)-CHOOSE(MATCH(AB204,{"Low","Medium","High","Critical"},0),25,50,75,100),"")</f>
        <v/>
      </c>
      <c r="AG204">
        <f>IF(AF204&lt;&gt;"",IF(AH204="Weekly",AF204+7,IF(AH204="Monthly",EDATE(AF204,1),IF(AH204="Quarterly",EDATE(AF204,3),""))),"")</f>
        <v/>
      </c>
      <c r="AK204">
        <f>IF(AJ204&lt;&gt;"",IF(AI204="Monthly",EDATE(AJ204,1),IF(AI204="Quarterly",EDATE(AJ204,3),IF(AI204="Semi-Annual",EDATE(AJ204,6),""))),"")</f>
        <v/>
      </c>
      <c r="AL204">
        <f>IF(AK204&lt;&gt;"",IF(AK204&lt;TODAY(),"Overdue","Current"),"")</f>
        <v/>
      </c>
    </row>
    <row r="205">
      <c r="K205">
        <f>IF(J205="v4.0",L205,IF(J205="v3.1",M205,IF(J205="Both",L205,IF(AND(L205&lt;&gt;"",M205=""),L205,M205))))</f>
        <v/>
      </c>
      <c r="Z205">
        <f>IF(Y205&lt;&gt;"",TODAY()-Y205,"")</f>
        <v/>
      </c>
      <c r="AC205">
        <f>IF(AND(AA205&lt;&gt;"",AB205&lt;&gt;""),CHOOSE(MATCH(AA205,{"Low","Medium","High","Critical"},0),25,50,75,100)-CHOOSE(MATCH(AB205,{"Low","Medium","High","Critical"},0),25,50,75,100),"")</f>
        <v/>
      </c>
      <c r="AG205">
        <f>IF(AF205&lt;&gt;"",IF(AH205="Weekly",AF205+7,IF(AH205="Monthly",EDATE(AF205,1),IF(AH205="Quarterly",EDATE(AF205,3),""))),"")</f>
        <v/>
      </c>
      <c r="AK205">
        <f>IF(AJ205&lt;&gt;"",IF(AI205="Monthly",EDATE(AJ205,1),IF(AI205="Quarterly",EDATE(AJ205,3),IF(AI205="Semi-Annual",EDATE(AJ205,6),""))),"")</f>
        <v/>
      </c>
      <c r="AL205">
        <f>IF(AK205&lt;&gt;"",IF(AK205&lt;TODAY(),"Overdue","Current"),"")</f>
        <v/>
      </c>
    </row>
    <row r="206">
      <c r="K206">
        <f>IF(J206="v4.0",L206,IF(J206="v3.1",M206,IF(J206="Both",L206,IF(AND(L206&lt;&gt;"",M206=""),L206,M206))))</f>
        <v/>
      </c>
      <c r="Z206">
        <f>IF(Y206&lt;&gt;"",TODAY()-Y206,"")</f>
        <v/>
      </c>
      <c r="AC206">
        <f>IF(AND(AA206&lt;&gt;"",AB206&lt;&gt;""),CHOOSE(MATCH(AA206,{"Low","Medium","High","Critical"},0),25,50,75,100)-CHOOSE(MATCH(AB206,{"Low","Medium","High","Critical"},0),25,50,75,100),"")</f>
        <v/>
      </c>
      <c r="AG206">
        <f>IF(AF206&lt;&gt;"",IF(AH206="Weekly",AF206+7,IF(AH206="Monthly",EDATE(AF206,1),IF(AH206="Quarterly",EDATE(AF206,3),""))),"")</f>
        <v/>
      </c>
      <c r="AK206">
        <f>IF(AJ206&lt;&gt;"",IF(AI206="Monthly",EDATE(AJ206,1),IF(AI206="Quarterly",EDATE(AJ206,3),IF(AI206="Semi-Annual",EDATE(AJ206,6),""))),"")</f>
        <v/>
      </c>
      <c r="AL206">
        <f>IF(AK206&lt;&gt;"",IF(AK206&lt;TODAY(),"Overdue","Current"),"")</f>
        <v/>
      </c>
    </row>
    <row r="207">
      <c r="K207">
        <f>IF(J207="v4.0",L207,IF(J207="v3.1",M207,IF(J207="Both",L207,IF(AND(L207&lt;&gt;"",M207=""),L207,M207))))</f>
        <v/>
      </c>
      <c r="Z207">
        <f>IF(Y207&lt;&gt;"",TODAY()-Y207,"")</f>
        <v/>
      </c>
      <c r="AC207">
        <f>IF(AND(AA207&lt;&gt;"",AB207&lt;&gt;""),CHOOSE(MATCH(AA207,{"Low","Medium","High","Critical"},0),25,50,75,100)-CHOOSE(MATCH(AB207,{"Low","Medium","High","Critical"},0),25,50,75,100),"")</f>
        <v/>
      </c>
      <c r="AG207">
        <f>IF(AF207&lt;&gt;"",IF(AH207="Weekly",AF207+7,IF(AH207="Monthly",EDATE(AF207,1),IF(AH207="Quarterly",EDATE(AF207,3),""))),"")</f>
        <v/>
      </c>
      <c r="AK207">
        <f>IF(AJ207&lt;&gt;"",IF(AI207="Monthly",EDATE(AJ207,1),IF(AI207="Quarterly",EDATE(AJ207,3),IF(AI207="Semi-Annual",EDATE(AJ207,6),""))),"")</f>
        <v/>
      </c>
      <c r="AL207">
        <f>IF(AK207&lt;&gt;"",IF(AK207&lt;TODAY(),"Overdue","Current"),"")</f>
        <v/>
      </c>
    </row>
    <row r="208">
      <c r="K208">
        <f>IF(J208="v4.0",L208,IF(J208="v3.1",M208,IF(J208="Both",L208,IF(AND(L208&lt;&gt;"",M208=""),L208,M208))))</f>
        <v/>
      </c>
      <c r="Z208">
        <f>IF(Y208&lt;&gt;"",TODAY()-Y208,"")</f>
        <v/>
      </c>
      <c r="AC208">
        <f>IF(AND(AA208&lt;&gt;"",AB208&lt;&gt;""),CHOOSE(MATCH(AA208,{"Low","Medium","High","Critical"},0),25,50,75,100)-CHOOSE(MATCH(AB208,{"Low","Medium","High","Critical"},0),25,50,75,100),"")</f>
        <v/>
      </c>
      <c r="AG208">
        <f>IF(AF208&lt;&gt;"",IF(AH208="Weekly",AF208+7,IF(AH208="Monthly",EDATE(AF208,1),IF(AH208="Quarterly",EDATE(AF208,3),""))),"")</f>
        <v/>
      </c>
      <c r="AK208">
        <f>IF(AJ208&lt;&gt;"",IF(AI208="Monthly",EDATE(AJ208,1),IF(AI208="Quarterly",EDATE(AJ208,3),IF(AI208="Semi-Annual",EDATE(AJ208,6),""))),"")</f>
        <v/>
      </c>
      <c r="AL208">
        <f>IF(AK208&lt;&gt;"",IF(AK208&lt;TODAY(),"Overdue","Current"),"")</f>
        <v/>
      </c>
    </row>
    <row r="209">
      <c r="K209">
        <f>IF(J209="v4.0",L209,IF(J209="v3.1",M209,IF(J209="Both",L209,IF(AND(L209&lt;&gt;"",M209=""),L209,M209))))</f>
        <v/>
      </c>
      <c r="Z209">
        <f>IF(Y209&lt;&gt;"",TODAY()-Y209,"")</f>
        <v/>
      </c>
      <c r="AC209">
        <f>IF(AND(AA209&lt;&gt;"",AB209&lt;&gt;""),CHOOSE(MATCH(AA209,{"Low","Medium","High","Critical"},0),25,50,75,100)-CHOOSE(MATCH(AB209,{"Low","Medium","High","Critical"},0),25,50,75,100),"")</f>
        <v/>
      </c>
      <c r="AG209">
        <f>IF(AF209&lt;&gt;"",IF(AH209="Weekly",AF209+7,IF(AH209="Monthly",EDATE(AF209,1),IF(AH209="Quarterly",EDATE(AF209,3),""))),"")</f>
        <v/>
      </c>
      <c r="AK209">
        <f>IF(AJ209&lt;&gt;"",IF(AI209="Monthly",EDATE(AJ209,1),IF(AI209="Quarterly",EDATE(AJ209,3),IF(AI209="Semi-Annual",EDATE(AJ209,6),""))),"")</f>
        <v/>
      </c>
      <c r="AL209">
        <f>IF(AK209&lt;&gt;"",IF(AK209&lt;TODAY(),"Overdue","Current"),"")</f>
        <v/>
      </c>
    </row>
    <row r="210">
      <c r="K210">
        <f>IF(J210="v4.0",L210,IF(J210="v3.1",M210,IF(J210="Both",L210,IF(AND(L210&lt;&gt;"",M210=""),L210,M210))))</f>
        <v/>
      </c>
      <c r="Z210">
        <f>IF(Y210&lt;&gt;"",TODAY()-Y210,"")</f>
        <v/>
      </c>
      <c r="AC210">
        <f>IF(AND(AA210&lt;&gt;"",AB210&lt;&gt;""),CHOOSE(MATCH(AA210,{"Low","Medium","High","Critical"},0),25,50,75,100)-CHOOSE(MATCH(AB210,{"Low","Medium","High","Critical"},0),25,50,75,100),"")</f>
        <v/>
      </c>
      <c r="AG210">
        <f>IF(AF210&lt;&gt;"",IF(AH210="Weekly",AF210+7,IF(AH210="Monthly",EDATE(AF210,1),IF(AH210="Quarterly",EDATE(AF210,3),""))),"")</f>
        <v/>
      </c>
      <c r="AK210">
        <f>IF(AJ210&lt;&gt;"",IF(AI210="Monthly",EDATE(AJ210,1),IF(AI210="Quarterly",EDATE(AJ210,3),IF(AI210="Semi-Annual",EDATE(AJ210,6),""))),"")</f>
        <v/>
      </c>
      <c r="AL210">
        <f>IF(AK210&lt;&gt;"",IF(AK210&lt;TODAY(),"Overdue","Current"),"")</f>
        <v/>
      </c>
    </row>
    <row r="211">
      <c r="K211">
        <f>IF(J211="v4.0",L211,IF(J211="v3.1",M211,IF(J211="Both",L211,IF(AND(L211&lt;&gt;"",M211=""),L211,M211))))</f>
        <v/>
      </c>
      <c r="Z211">
        <f>IF(Y211&lt;&gt;"",TODAY()-Y211,"")</f>
        <v/>
      </c>
      <c r="AC211">
        <f>IF(AND(AA211&lt;&gt;"",AB211&lt;&gt;""),CHOOSE(MATCH(AA211,{"Low","Medium","High","Critical"},0),25,50,75,100)-CHOOSE(MATCH(AB211,{"Low","Medium","High","Critical"},0),25,50,75,100),"")</f>
        <v/>
      </c>
      <c r="AG211">
        <f>IF(AF211&lt;&gt;"",IF(AH211="Weekly",AF211+7,IF(AH211="Monthly",EDATE(AF211,1),IF(AH211="Quarterly",EDATE(AF211,3),""))),"")</f>
        <v/>
      </c>
      <c r="AK211">
        <f>IF(AJ211&lt;&gt;"",IF(AI211="Monthly",EDATE(AJ211,1),IF(AI211="Quarterly",EDATE(AJ211,3),IF(AI211="Semi-Annual",EDATE(AJ211,6),""))),"")</f>
        <v/>
      </c>
      <c r="AL211">
        <f>IF(AK211&lt;&gt;"",IF(AK211&lt;TODAY(),"Overdue","Current"),"")</f>
        <v/>
      </c>
    </row>
    <row r="212">
      <c r="K212">
        <f>IF(J212="v4.0",L212,IF(J212="v3.1",M212,IF(J212="Both",L212,IF(AND(L212&lt;&gt;"",M212=""),L212,M212))))</f>
        <v/>
      </c>
      <c r="Z212">
        <f>IF(Y212&lt;&gt;"",TODAY()-Y212,"")</f>
        <v/>
      </c>
      <c r="AC212">
        <f>IF(AND(AA212&lt;&gt;"",AB212&lt;&gt;""),CHOOSE(MATCH(AA212,{"Low","Medium","High","Critical"},0),25,50,75,100)-CHOOSE(MATCH(AB212,{"Low","Medium","High","Critical"},0),25,50,75,100),"")</f>
        <v/>
      </c>
      <c r="AG212">
        <f>IF(AF212&lt;&gt;"",IF(AH212="Weekly",AF212+7,IF(AH212="Monthly",EDATE(AF212,1),IF(AH212="Quarterly",EDATE(AF212,3),""))),"")</f>
        <v/>
      </c>
      <c r="AK212">
        <f>IF(AJ212&lt;&gt;"",IF(AI212="Monthly",EDATE(AJ212,1),IF(AI212="Quarterly",EDATE(AJ212,3),IF(AI212="Semi-Annual",EDATE(AJ212,6),""))),"")</f>
        <v/>
      </c>
      <c r="AL212">
        <f>IF(AK212&lt;&gt;"",IF(AK212&lt;TODAY(),"Overdue","Current"),"")</f>
        <v/>
      </c>
    </row>
    <row r="213">
      <c r="K213">
        <f>IF(J213="v4.0",L213,IF(J213="v3.1",M213,IF(J213="Both",L213,IF(AND(L213&lt;&gt;"",M213=""),L213,M213))))</f>
        <v/>
      </c>
      <c r="Z213">
        <f>IF(Y213&lt;&gt;"",TODAY()-Y213,"")</f>
        <v/>
      </c>
      <c r="AC213">
        <f>IF(AND(AA213&lt;&gt;"",AB213&lt;&gt;""),CHOOSE(MATCH(AA213,{"Low","Medium","High","Critical"},0),25,50,75,100)-CHOOSE(MATCH(AB213,{"Low","Medium","High","Critical"},0),25,50,75,100),"")</f>
        <v/>
      </c>
      <c r="AG213">
        <f>IF(AF213&lt;&gt;"",IF(AH213="Weekly",AF213+7,IF(AH213="Monthly",EDATE(AF213,1),IF(AH213="Quarterly",EDATE(AF213,3),""))),"")</f>
        <v/>
      </c>
      <c r="AK213">
        <f>IF(AJ213&lt;&gt;"",IF(AI213="Monthly",EDATE(AJ213,1),IF(AI213="Quarterly",EDATE(AJ213,3),IF(AI213="Semi-Annual",EDATE(AJ213,6),""))),"")</f>
        <v/>
      </c>
      <c r="AL213">
        <f>IF(AK213&lt;&gt;"",IF(AK213&lt;TODAY(),"Overdue","Current"),"")</f>
        <v/>
      </c>
    </row>
    <row r="214">
      <c r="K214">
        <f>IF(J214="v4.0",L214,IF(J214="v3.1",M214,IF(J214="Both",L214,IF(AND(L214&lt;&gt;"",M214=""),L214,M214))))</f>
        <v/>
      </c>
      <c r="Z214">
        <f>IF(Y214&lt;&gt;"",TODAY()-Y214,"")</f>
        <v/>
      </c>
      <c r="AC214">
        <f>IF(AND(AA214&lt;&gt;"",AB214&lt;&gt;""),CHOOSE(MATCH(AA214,{"Low","Medium","High","Critical"},0),25,50,75,100)-CHOOSE(MATCH(AB214,{"Low","Medium","High","Critical"},0),25,50,75,100),"")</f>
        <v/>
      </c>
      <c r="AG214">
        <f>IF(AF214&lt;&gt;"",IF(AH214="Weekly",AF214+7,IF(AH214="Monthly",EDATE(AF214,1),IF(AH214="Quarterly",EDATE(AF214,3),""))),"")</f>
        <v/>
      </c>
      <c r="AK214">
        <f>IF(AJ214&lt;&gt;"",IF(AI214="Monthly",EDATE(AJ214,1),IF(AI214="Quarterly",EDATE(AJ214,3),IF(AI214="Semi-Annual",EDATE(AJ214,6),""))),"")</f>
        <v/>
      </c>
      <c r="AL214">
        <f>IF(AK214&lt;&gt;"",IF(AK214&lt;TODAY(),"Overdue","Current"),"")</f>
        <v/>
      </c>
    </row>
    <row r="215">
      <c r="K215">
        <f>IF(J215="v4.0",L215,IF(J215="v3.1",M215,IF(J215="Both",L215,IF(AND(L215&lt;&gt;"",M215=""),L215,M215))))</f>
        <v/>
      </c>
      <c r="Z215">
        <f>IF(Y215&lt;&gt;"",TODAY()-Y215,"")</f>
        <v/>
      </c>
      <c r="AC215">
        <f>IF(AND(AA215&lt;&gt;"",AB215&lt;&gt;""),CHOOSE(MATCH(AA215,{"Low","Medium","High","Critical"},0),25,50,75,100)-CHOOSE(MATCH(AB215,{"Low","Medium","High","Critical"},0),25,50,75,100),"")</f>
        <v/>
      </c>
      <c r="AG215">
        <f>IF(AF215&lt;&gt;"",IF(AH215="Weekly",AF215+7,IF(AH215="Monthly",EDATE(AF215,1),IF(AH215="Quarterly",EDATE(AF215,3),""))),"")</f>
        <v/>
      </c>
      <c r="AK215">
        <f>IF(AJ215&lt;&gt;"",IF(AI215="Monthly",EDATE(AJ215,1),IF(AI215="Quarterly",EDATE(AJ215,3),IF(AI215="Semi-Annual",EDATE(AJ215,6),""))),"")</f>
        <v/>
      </c>
      <c r="AL215">
        <f>IF(AK215&lt;&gt;"",IF(AK215&lt;TODAY(),"Overdue","Current"),"")</f>
        <v/>
      </c>
    </row>
    <row r="216">
      <c r="K216">
        <f>IF(J216="v4.0",L216,IF(J216="v3.1",M216,IF(J216="Both",L216,IF(AND(L216&lt;&gt;"",M216=""),L216,M216))))</f>
        <v/>
      </c>
      <c r="Z216">
        <f>IF(Y216&lt;&gt;"",TODAY()-Y216,"")</f>
        <v/>
      </c>
      <c r="AC216">
        <f>IF(AND(AA216&lt;&gt;"",AB216&lt;&gt;""),CHOOSE(MATCH(AA216,{"Low","Medium","High","Critical"},0),25,50,75,100)-CHOOSE(MATCH(AB216,{"Low","Medium","High","Critical"},0),25,50,75,100),"")</f>
        <v/>
      </c>
      <c r="AG216">
        <f>IF(AF216&lt;&gt;"",IF(AH216="Weekly",AF216+7,IF(AH216="Monthly",EDATE(AF216,1),IF(AH216="Quarterly",EDATE(AF216,3),""))),"")</f>
        <v/>
      </c>
      <c r="AK216">
        <f>IF(AJ216&lt;&gt;"",IF(AI216="Monthly",EDATE(AJ216,1),IF(AI216="Quarterly",EDATE(AJ216,3),IF(AI216="Semi-Annual",EDATE(AJ216,6),""))),"")</f>
        <v/>
      </c>
      <c r="AL216">
        <f>IF(AK216&lt;&gt;"",IF(AK216&lt;TODAY(),"Overdue","Current"),"")</f>
        <v/>
      </c>
    </row>
    <row r="217">
      <c r="K217">
        <f>IF(J217="v4.0",L217,IF(J217="v3.1",M217,IF(J217="Both",L217,IF(AND(L217&lt;&gt;"",M217=""),L217,M217))))</f>
        <v/>
      </c>
      <c r="Z217">
        <f>IF(Y217&lt;&gt;"",TODAY()-Y217,"")</f>
        <v/>
      </c>
      <c r="AC217">
        <f>IF(AND(AA217&lt;&gt;"",AB217&lt;&gt;""),CHOOSE(MATCH(AA217,{"Low","Medium","High","Critical"},0),25,50,75,100)-CHOOSE(MATCH(AB217,{"Low","Medium","High","Critical"},0),25,50,75,100),"")</f>
        <v/>
      </c>
      <c r="AG217">
        <f>IF(AF217&lt;&gt;"",IF(AH217="Weekly",AF217+7,IF(AH217="Monthly",EDATE(AF217,1),IF(AH217="Quarterly",EDATE(AF217,3),""))),"")</f>
        <v/>
      </c>
      <c r="AK217">
        <f>IF(AJ217&lt;&gt;"",IF(AI217="Monthly",EDATE(AJ217,1),IF(AI217="Quarterly",EDATE(AJ217,3),IF(AI217="Semi-Annual",EDATE(AJ217,6),""))),"")</f>
        <v/>
      </c>
      <c r="AL217">
        <f>IF(AK217&lt;&gt;"",IF(AK217&lt;TODAY(),"Overdue","Current"),"")</f>
        <v/>
      </c>
    </row>
    <row r="218">
      <c r="K218">
        <f>IF(J218="v4.0",L218,IF(J218="v3.1",M218,IF(J218="Both",L218,IF(AND(L218&lt;&gt;"",M218=""),L218,M218))))</f>
        <v/>
      </c>
      <c r="Z218">
        <f>IF(Y218&lt;&gt;"",TODAY()-Y218,"")</f>
        <v/>
      </c>
      <c r="AC218">
        <f>IF(AND(AA218&lt;&gt;"",AB218&lt;&gt;""),CHOOSE(MATCH(AA218,{"Low","Medium","High","Critical"},0),25,50,75,100)-CHOOSE(MATCH(AB218,{"Low","Medium","High","Critical"},0),25,50,75,100),"")</f>
        <v/>
      </c>
      <c r="AG218">
        <f>IF(AF218&lt;&gt;"",IF(AH218="Weekly",AF218+7,IF(AH218="Monthly",EDATE(AF218,1),IF(AH218="Quarterly",EDATE(AF218,3),""))),"")</f>
        <v/>
      </c>
      <c r="AK218">
        <f>IF(AJ218&lt;&gt;"",IF(AI218="Monthly",EDATE(AJ218,1),IF(AI218="Quarterly",EDATE(AJ218,3),IF(AI218="Semi-Annual",EDATE(AJ218,6),""))),"")</f>
        <v/>
      </c>
      <c r="AL218">
        <f>IF(AK218&lt;&gt;"",IF(AK218&lt;TODAY(),"Overdue","Current"),"")</f>
        <v/>
      </c>
    </row>
    <row r="219">
      <c r="K219">
        <f>IF(J219="v4.0",L219,IF(J219="v3.1",M219,IF(J219="Both",L219,IF(AND(L219&lt;&gt;"",M219=""),L219,M219))))</f>
        <v/>
      </c>
      <c r="Z219">
        <f>IF(Y219&lt;&gt;"",TODAY()-Y219,"")</f>
        <v/>
      </c>
      <c r="AC219">
        <f>IF(AND(AA219&lt;&gt;"",AB219&lt;&gt;""),CHOOSE(MATCH(AA219,{"Low","Medium","High","Critical"},0),25,50,75,100)-CHOOSE(MATCH(AB219,{"Low","Medium","High","Critical"},0),25,50,75,100),"")</f>
        <v/>
      </c>
      <c r="AG219">
        <f>IF(AF219&lt;&gt;"",IF(AH219="Weekly",AF219+7,IF(AH219="Monthly",EDATE(AF219,1),IF(AH219="Quarterly",EDATE(AF219,3),""))),"")</f>
        <v/>
      </c>
      <c r="AK219">
        <f>IF(AJ219&lt;&gt;"",IF(AI219="Monthly",EDATE(AJ219,1),IF(AI219="Quarterly",EDATE(AJ219,3),IF(AI219="Semi-Annual",EDATE(AJ219,6),""))),"")</f>
        <v/>
      </c>
      <c r="AL219">
        <f>IF(AK219&lt;&gt;"",IF(AK219&lt;TODAY(),"Overdue","Current"),"")</f>
        <v/>
      </c>
    </row>
    <row r="220">
      <c r="K220">
        <f>IF(J220="v4.0",L220,IF(J220="v3.1",M220,IF(J220="Both",L220,IF(AND(L220&lt;&gt;"",M220=""),L220,M220))))</f>
        <v/>
      </c>
      <c r="Z220">
        <f>IF(Y220&lt;&gt;"",TODAY()-Y220,"")</f>
        <v/>
      </c>
      <c r="AC220">
        <f>IF(AND(AA220&lt;&gt;"",AB220&lt;&gt;""),CHOOSE(MATCH(AA220,{"Low","Medium","High","Critical"},0),25,50,75,100)-CHOOSE(MATCH(AB220,{"Low","Medium","High","Critical"},0),25,50,75,100),"")</f>
        <v/>
      </c>
      <c r="AG220">
        <f>IF(AF220&lt;&gt;"",IF(AH220="Weekly",AF220+7,IF(AH220="Monthly",EDATE(AF220,1),IF(AH220="Quarterly",EDATE(AF220,3),""))),"")</f>
        <v/>
      </c>
      <c r="AK220">
        <f>IF(AJ220&lt;&gt;"",IF(AI220="Monthly",EDATE(AJ220,1),IF(AI220="Quarterly",EDATE(AJ220,3),IF(AI220="Semi-Annual",EDATE(AJ220,6),""))),"")</f>
        <v/>
      </c>
      <c r="AL220">
        <f>IF(AK220&lt;&gt;"",IF(AK220&lt;TODAY(),"Overdue","Current"),"")</f>
        <v/>
      </c>
    </row>
    <row r="221">
      <c r="K221">
        <f>IF(J221="v4.0",L221,IF(J221="v3.1",M221,IF(J221="Both",L221,IF(AND(L221&lt;&gt;"",M221=""),L221,M221))))</f>
        <v/>
      </c>
      <c r="Z221">
        <f>IF(Y221&lt;&gt;"",TODAY()-Y221,"")</f>
        <v/>
      </c>
      <c r="AC221">
        <f>IF(AND(AA221&lt;&gt;"",AB221&lt;&gt;""),CHOOSE(MATCH(AA221,{"Low","Medium","High","Critical"},0),25,50,75,100)-CHOOSE(MATCH(AB221,{"Low","Medium","High","Critical"},0),25,50,75,100),"")</f>
        <v/>
      </c>
      <c r="AG221">
        <f>IF(AF221&lt;&gt;"",IF(AH221="Weekly",AF221+7,IF(AH221="Monthly",EDATE(AF221,1),IF(AH221="Quarterly",EDATE(AF221,3),""))),"")</f>
        <v/>
      </c>
      <c r="AK221">
        <f>IF(AJ221&lt;&gt;"",IF(AI221="Monthly",EDATE(AJ221,1),IF(AI221="Quarterly",EDATE(AJ221,3),IF(AI221="Semi-Annual",EDATE(AJ221,6),""))),"")</f>
        <v/>
      </c>
      <c r="AL221">
        <f>IF(AK221&lt;&gt;"",IF(AK221&lt;TODAY(),"Overdue","Current"),"")</f>
        <v/>
      </c>
    </row>
    <row r="222">
      <c r="K222">
        <f>IF(J222="v4.0",L222,IF(J222="v3.1",M222,IF(J222="Both",L222,IF(AND(L222&lt;&gt;"",M222=""),L222,M222))))</f>
        <v/>
      </c>
      <c r="Z222">
        <f>IF(Y222&lt;&gt;"",TODAY()-Y222,"")</f>
        <v/>
      </c>
      <c r="AC222">
        <f>IF(AND(AA222&lt;&gt;"",AB222&lt;&gt;""),CHOOSE(MATCH(AA222,{"Low","Medium","High","Critical"},0),25,50,75,100)-CHOOSE(MATCH(AB222,{"Low","Medium","High","Critical"},0),25,50,75,100),"")</f>
        <v/>
      </c>
      <c r="AG222">
        <f>IF(AF222&lt;&gt;"",IF(AH222="Weekly",AF222+7,IF(AH222="Monthly",EDATE(AF222,1),IF(AH222="Quarterly",EDATE(AF222,3),""))),"")</f>
        <v/>
      </c>
      <c r="AK222">
        <f>IF(AJ222&lt;&gt;"",IF(AI222="Monthly",EDATE(AJ222,1),IF(AI222="Quarterly",EDATE(AJ222,3),IF(AI222="Semi-Annual",EDATE(AJ222,6),""))),"")</f>
        <v/>
      </c>
      <c r="AL222">
        <f>IF(AK222&lt;&gt;"",IF(AK222&lt;TODAY(),"Overdue","Current"),"")</f>
        <v/>
      </c>
    </row>
    <row r="223">
      <c r="K223">
        <f>IF(J223="v4.0",L223,IF(J223="v3.1",M223,IF(J223="Both",L223,IF(AND(L223&lt;&gt;"",M223=""),L223,M223))))</f>
        <v/>
      </c>
      <c r="Z223">
        <f>IF(Y223&lt;&gt;"",TODAY()-Y223,"")</f>
        <v/>
      </c>
      <c r="AC223">
        <f>IF(AND(AA223&lt;&gt;"",AB223&lt;&gt;""),CHOOSE(MATCH(AA223,{"Low","Medium","High","Critical"},0),25,50,75,100)-CHOOSE(MATCH(AB223,{"Low","Medium","High","Critical"},0),25,50,75,100),"")</f>
        <v/>
      </c>
      <c r="AG223">
        <f>IF(AF223&lt;&gt;"",IF(AH223="Weekly",AF223+7,IF(AH223="Monthly",EDATE(AF223,1),IF(AH223="Quarterly",EDATE(AF223,3),""))),"")</f>
        <v/>
      </c>
      <c r="AK223">
        <f>IF(AJ223&lt;&gt;"",IF(AI223="Monthly",EDATE(AJ223,1),IF(AI223="Quarterly",EDATE(AJ223,3),IF(AI223="Semi-Annual",EDATE(AJ223,6),""))),"")</f>
        <v/>
      </c>
      <c r="AL223">
        <f>IF(AK223&lt;&gt;"",IF(AK223&lt;TODAY(),"Overdue","Current"),"")</f>
        <v/>
      </c>
    </row>
    <row r="224">
      <c r="K224">
        <f>IF(J224="v4.0",L224,IF(J224="v3.1",M224,IF(J224="Both",L224,IF(AND(L224&lt;&gt;"",M224=""),L224,M224))))</f>
        <v/>
      </c>
      <c r="Z224">
        <f>IF(Y224&lt;&gt;"",TODAY()-Y224,"")</f>
        <v/>
      </c>
      <c r="AC224">
        <f>IF(AND(AA224&lt;&gt;"",AB224&lt;&gt;""),CHOOSE(MATCH(AA224,{"Low","Medium","High","Critical"},0),25,50,75,100)-CHOOSE(MATCH(AB224,{"Low","Medium","High","Critical"},0),25,50,75,100),"")</f>
        <v/>
      </c>
      <c r="AG224">
        <f>IF(AF224&lt;&gt;"",IF(AH224="Weekly",AF224+7,IF(AH224="Monthly",EDATE(AF224,1),IF(AH224="Quarterly",EDATE(AF224,3),""))),"")</f>
        <v/>
      </c>
      <c r="AK224">
        <f>IF(AJ224&lt;&gt;"",IF(AI224="Monthly",EDATE(AJ224,1),IF(AI224="Quarterly",EDATE(AJ224,3),IF(AI224="Semi-Annual",EDATE(AJ224,6),""))),"")</f>
        <v/>
      </c>
      <c r="AL224">
        <f>IF(AK224&lt;&gt;"",IF(AK224&lt;TODAY(),"Overdue","Current"),"")</f>
        <v/>
      </c>
    </row>
    <row r="225">
      <c r="K225">
        <f>IF(J225="v4.0",L225,IF(J225="v3.1",M225,IF(J225="Both",L225,IF(AND(L225&lt;&gt;"",M225=""),L225,M225))))</f>
        <v/>
      </c>
      <c r="Z225">
        <f>IF(Y225&lt;&gt;"",TODAY()-Y225,"")</f>
        <v/>
      </c>
      <c r="AC225">
        <f>IF(AND(AA225&lt;&gt;"",AB225&lt;&gt;""),CHOOSE(MATCH(AA225,{"Low","Medium","High","Critical"},0),25,50,75,100)-CHOOSE(MATCH(AB225,{"Low","Medium","High","Critical"},0),25,50,75,100),"")</f>
        <v/>
      </c>
      <c r="AG225">
        <f>IF(AF225&lt;&gt;"",IF(AH225="Weekly",AF225+7,IF(AH225="Monthly",EDATE(AF225,1),IF(AH225="Quarterly",EDATE(AF225,3),""))),"")</f>
        <v/>
      </c>
      <c r="AK225">
        <f>IF(AJ225&lt;&gt;"",IF(AI225="Monthly",EDATE(AJ225,1),IF(AI225="Quarterly",EDATE(AJ225,3),IF(AI225="Semi-Annual",EDATE(AJ225,6),""))),"")</f>
        <v/>
      </c>
      <c r="AL225">
        <f>IF(AK225&lt;&gt;"",IF(AK225&lt;TODAY(),"Overdue","Current"),"")</f>
        <v/>
      </c>
    </row>
    <row r="226">
      <c r="K226">
        <f>IF(J226="v4.0",L226,IF(J226="v3.1",M226,IF(J226="Both",L226,IF(AND(L226&lt;&gt;"",M226=""),L226,M226))))</f>
        <v/>
      </c>
      <c r="Z226">
        <f>IF(Y226&lt;&gt;"",TODAY()-Y226,"")</f>
        <v/>
      </c>
      <c r="AC226">
        <f>IF(AND(AA226&lt;&gt;"",AB226&lt;&gt;""),CHOOSE(MATCH(AA226,{"Low","Medium","High","Critical"},0),25,50,75,100)-CHOOSE(MATCH(AB226,{"Low","Medium","High","Critical"},0),25,50,75,100),"")</f>
        <v/>
      </c>
      <c r="AG226">
        <f>IF(AF226&lt;&gt;"",IF(AH226="Weekly",AF226+7,IF(AH226="Monthly",EDATE(AF226,1),IF(AH226="Quarterly",EDATE(AF226,3),""))),"")</f>
        <v/>
      </c>
      <c r="AK226">
        <f>IF(AJ226&lt;&gt;"",IF(AI226="Monthly",EDATE(AJ226,1),IF(AI226="Quarterly",EDATE(AJ226,3),IF(AI226="Semi-Annual",EDATE(AJ226,6),""))),"")</f>
        <v/>
      </c>
      <c r="AL226">
        <f>IF(AK226&lt;&gt;"",IF(AK226&lt;TODAY(),"Overdue","Current"),"")</f>
        <v/>
      </c>
    </row>
    <row r="227">
      <c r="K227">
        <f>IF(J227="v4.0",L227,IF(J227="v3.1",M227,IF(J227="Both",L227,IF(AND(L227&lt;&gt;"",M227=""),L227,M227))))</f>
        <v/>
      </c>
      <c r="Z227">
        <f>IF(Y227&lt;&gt;"",TODAY()-Y227,"")</f>
        <v/>
      </c>
      <c r="AC227">
        <f>IF(AND(AA227&lt;&gt;"",AB227&lt;&gt;""),CHOOSE(MATCH(AA227,{"Low","Medium","High","Critical"},0),25,50,75,100)-CHOOSE(MATCH(AB227,{"Low","Medium","High","Critical"},0),25,50,75,100),"")</f>
        <v/>
      </c>
      <c r="AG227">
        <f>IF(AF227&lt;&gt;"",IF(AH227="Weekly",AF227+7,IF(AH227="Monthly",EDATE(AF227,1),IF(AH227="Quarterly",EDATE(AF227,3),""))),"")</f>
        <v/>
      </c>
      <c r="AK227">
        <f>IF(AJ227&lt;&gt;"",IF(AI227="Monthly",EDATE(AJ227,1),IF(AI227="Quarterly",EDATE(AJ227,3),IF(AI227="Semi-Annual",EDATE(AJ227,6),""))),"")</f>
        <v/>
      </c>
      <c r="AL227">
        <f>IF(AK227&lt;&gt;"",IF(AK227&lt;TODAY(),"Overdue","Current"),"")</f>
        <v/>
      </c>
    </row>
    <row r="228">
      <c r="K228">
        <f>IF(J228="v4.0",L228,IF(J228="v3.1",M228,IF(J228="Both",L228,IF(AND(L228&lt;&gt;"",M228=""),L228,M228))))</f>
        <v/>
      </c>
      <c r="Z228">
        <f>IF(Y228&lt;&gt;"",TODAY()-Y228,"")</f>
        <v/>
      </c>
      <c r="AC228">
        <f>IF(AND(AA228&lt;&gt;"",AB228&lt;&gt;""),CHOOSE(MATCH(AA228,{"Low","Medium","High","Critical"},0),25,50,75,100)-CHOOSE(MATCH(AB228,{"Low","Medium","High","Critical"},0),25,50,75,100),"")</f>
        <v/>
      </c>
      <c r="AG228">
        <f>IF(AF228&lt;&gt;"",IF(AH228="Weekly",AF228+7,IF(AH228="Monthly",EDATE(AF228,1),IF(AH228="Quarterly",EDATE(AF228,3),""))),"")</f>
        <v/>
      </c>
      <c r="AK228">
        <f>IF(AJ228&lt;&gt;"",IF(AI228="Monthly",EDATE(AJ228,1),IF(AI228="Quarterly",EDATE(AJ228,3),IF(AI228="Semi-Annual",EDATE(AJ228,6),""))),"")</f>
        <v/>
      </c>
      <c r="AL228">
        <f>IF(AK228&lt;&gt;"",IF(AK228&lt;TODAY(),"Overdue","Current"),"")</f>
        <v/>
      </c>
    </row>
    <row r="229">
      <c r="K229">
        <f>IF(J229="v4.0",L229,IF(J229="v3.1",M229,IF(J229="Both",L229,IF(AND(L229&lt;&gt;"",M229=""),L229,M229))))</f>
        <v/>
      </c>
      <c r="Z229">
        <f>IF(Y229&lt;&gt;"",TODAY()-Y229,"")</f>
        <v/>
      </c>
      <c r="AC229">
        <f>IF(AND(AA229&lt;&gt;"",AB229&lt;&gt;""),CHOOSE(MATCH(AA229,{"Low","Medium","High","Critical"},0),25,50,75,100)-CHOOSE(MATCH(AB229,{"Low","Medium","High","Critical"},0),25,50,75,100),"")</f>
        <v/>
      </c>
      <c r="AG229">
        <f>IF(AF229&lt;&gt;"",IF(AH229="Weekly",AF229+7,IF(AH229="Monthly",EDATE(AF229,1),IF(AH229="Quarterly",EDATE(AF229,3),""))),"")</f>
        <v/>
      </c>
      <c r="AK229">
        <f>IF(AJ229&lt;&gt;"",IF(AI229="Monthly",EDATE(AJ229,1),IF(AI229="Quarterly",EDATE(AJ229,3),IF(AI229="Semi-Annual",EDATE(AJ229,6),""))),"")</f>
        <v/>
      </c>
      <c r="AL229">
        <f>IF(AK229&lt;&gt;"",IF(AK229&lt;TODAY(),"Overdue","Current"),"")</f>
        <v/>
      </c>
    </row>
    <row r="230">
      <c r="K230">
        <f>IF(J230="v4.0",L230,IF(J230="v3.1",M230,IF(J230="Both",L230,IF(AND(L230&lt;&gt;"",M230=""),L230,M230))))</f>
        <v/>
      </c>
      <c r="Z230">
        <f>IF(Y230&lt;&gt;"",TODAY()-Y230,"")</f>
        <v/>
      </c>
      <c r="AC230">
        <f>IF(AND(AA230&lt;&gt;"",AB230&lt;&gt;""),CHOOSE(MATCH(AA230,{"Low","Medium","High","Critical"},0),25,50,75,100)-CHOOSE(MATCH(AB230,{"Low","Medium","High","Critical"},0),25,50,75,100),"")</f>
        <v/>
      </c>
      <c r="AG230">
        <f>IF(AF230&lt;&gt;"",IF(AH230="Weekly",AF230+7,IF(AH230="Monthly",EDATE(AF230,1),IF(AH230="Quarterly",EDATE(AF230,3),""))),"")</f>
        <v/>
      </c>
      <c r="AK230">
        <f>IF(AJ230&lt;&gt;"",IF(AI230="Monthly",EDATE(AJ230,1),IF(AI230="Quarterly",EDATE(AJ230,3),IF(AI230="Semi-Annual",EDATE(AJ230,6),""))),"")</f>
        <v/>
      </c>
      <c r="AL230">
        <f>IF(AK230&lt;&gt;"",IF(AK230&lt;TODAY(),"Overdue","Current"),"")</f>
        <v/>
      </c>
    </row>
    <row r="231">
      <c r="K231">
        <f>IF(J231="v4.0",L231,IF(J231="v3.1",M231,IF(J231="Both",L231,IF(AND(L231&lt;&gt;"",M231=""),L231,M231))))</f>
        <v/>
      </c>
      <c r="Z231">
        <f>IF(Y231&lt;&gt;"",TODAY()-Y231,"")</f>
        <v/>
      </c>
      <c r="AC231">
        <f>IF(AND(AA231&lt;&gt;"",AB231&lt;&gt;""),CHOOSE(MATCH(AA231,{"Low","Medium","High","Critical"},0),25,50,75,100)-CHOOSE(MATCH(AB231,{"Low","Medium","High","Critical"},0),25,50,75,100),"")</f>
        <v/>
      </c>
      <c r="AG231">
        <f>IF(AF231&lt;&gt;"",IF(AH231="Weekly",AF231+7,IF(AH231="Monthly",EDATE(AF231,1),IF(AH231="Quarterly",EDATE(AF231,3),""))),"")</f>
        <v/>
      </c>
      <c r="AK231">
        <f>IF(AJ231&lt;&gt;"",IF(AI231="Monthly",EDATE(AJ231,1),IF(AI231="Quarterly",EDATE(AJ231,3),IF(AI231="Semi-Annual",EDATE(AJ231,6),""))),"")</f>
        <v/>
      </c>
      <c r="AL231">
        <f>IF(AK231&lt;&gt;"",IF(AK231&lt;TODAY(),"Overdue","Current"),"")</f>
        <v/>
      </c>
    </row>
    <row r="232">
      <c r="K232">
        <f>IF(J232="v4.0",L232,IF(J232="v3.1",M232,IF(J232="Both",L232,IF(AND(L232&lt;&gt;"",M232=""),L232,M232))))</f>
        <v/>
      </c>
      <c r="Z232">
        <f>IF(Y232&lt;&gt;"",TODAY()-Y232,"")</f>
        <v/>
      </c>
      <c r="AC232">
        <f>IF(AND(AA232&lt;&gt;"",AB232&lt;&gt;""),CHOOSE(MATCH(AA232,{"Low","Medium","High","Critical"},0),25,50,75,100)-CHOOSE(MATCH(AB232,{"Low","Medium","High","Critical"},0),25,50,75,100),"")</f>
        <v/>
      </c>
      <c r="AG232">
        <f>IF(AF232&lt;&gt;"",IF(AH232="Weekly",AF232+7,IF(AH232="Monthly",EDATE(AF232,1),IF(AH232="Quarterly",EDATE(AF232,3),""))),"")</f>
        <v/>
      </c>
      <c r="AK232">
        <f>IF(AJ232&lt;&gt;"",IF(AI232="Monthly",EDATE(AJ232,1),IF(AI232="Quarterly",EDATE(AJ232,3),IF(AI232="Semi-Annual",EDATE(AJ232,6),""))),"")</f>
        <v/>
      </c>
      <c r="AL232">
        <f>IF(AK232&lt;&gt;"",IF(AK232&lt;TODAY(),"Overdue","Current"),"")</f>
        <v/>
      </c>
    </row>
    <row r="233">
      <c r="K233">
        <f>IF(J233="v4.0",L233,IF(J233="v3.1",M233,IF(J233="Both",L233,IF(AND(L233&lt;&gt;"",M233=""),L233,M233))))</f>
        <v/>
      </c>
      <c r="Z233">
        <f>IF(Y233&lt;&gt;"",TODAY()-Y233,"")</f>
        <v/>
      </c>
      <c r="AC233">
        <f>IF(AND(AA233&lt;&gt;"",AB233&lt;&gt;""),CHOOSE(MATCH(AA233,{"Low","Medium","High","Critical"},0),25,50,75,100)-CHOOSE(MATCH(AB233,{"Low","Medium","High","Critical"},0),25,50,75,100),"")</f>
        <v/>
      </c>
      <c r="AG233">
        <f>IF(AF233&lt;&gt;"",IF(AH233="Weekly",AF233+7,IF(AH233="Monthly",EDATE(AF233,1),IF(AH233="Quarterly",EDATE(AF233,3),""))),"")</f>
        <v/>
      </c>
      <c r="AK233">
        <f>IF(AJ233&lt;&gt;"",IF(AI233="Monthly",EDATE(AJ233,1),IF(AI233="Quarterly",EDATE(AJ233,3),IF(AI233="Semi-Annual",EDATE(AJ233,6),""))),"")</f>
        <v/>
      </c>
      <c r="AL233">
        <f>IF(AK233&lt;&gt;"",IF(AK233&lt;TODAY(),"Overdue","Current"),"")</f>
        <v/>
      </c>
    </row>
    <row r="234">
      <c r="K234">
        <f>IF(J234="v4.0",L234,IF(J234="v3.1",M234,IF(J234="Both",L234,IF(AND(L234&lt;&gt;"",M234=""),L234,M234))))</f>
        <v/>
      </c>
      <c r="Z234">
        <f>IF(Y234&lt;&gt;"",TODAY()-Y234,"")</f>
        <v/>
      </c>
      <c r="AC234">
        <f>IF(AND(AA234&lt;&gt;"",AB234&lt;&gt;""),CHOOSE(MATCH(AA234,{"Low","Medium","High","Critical"},0),25,50,75,100)-CHOOSE(MATCH(AB234,{"Low","Medium","High","Critical"},0),25,50,75,100),"")</f>
        <v/>
      </c>
      <c r="AG234">
        <f>IF(AF234&lt;&gt;"",IF(AH234="Weekly",AF234+7,IF(AH234="Monthly",EDATE(AF234,1),IF(AH234="Quarterly",EDATE(AF234,3),""))),"")</f>
        <v/>
      </c>
      <c r="AK234">
        <f>IF(AJ234&lt;&gt;"",IF(AI234="Monthly",EDATE(AJ234,1),IF(AI234="Quarterly",EDATE(AJ234,3),IF(AI234="Semi-Annual",EDATE(AJ234,6),""))),"")</f>
        <v/>
      </c>
      <c r="AL234">
        <f>IF(AK234&lt;&gt;"",IF(AK234&lt;TODAY(),"Overdue","Current"),"")</f>
        <v/>
      </c>
    </row>
    <row r="235">
      <c r="K235">
        <f>IF(J235="v4.0",L235,IF(J235="v3.1",M235,IF(J235="Both",L235,IF(AND(L235&lt;&gt;"",M235=""),L235,M235))))</f>
        <v/>
      </c>
      <c r="Z235">
        <f>IF(Y235&lt;&gt;"",TODAY()-Y235,"")</f>
        <v/>
      </c>
      <c r="AC235">
        <f>IF(AND(AA235&lt;&gt;"",AB235&lt;&gt;""),CHOOSE(MATCH(AA235,{"Low","Medium","High","Critical"},0),25,50,75,100)-CHOOSE(MATCH(AB235,{"Low","Medium","High","Critical"},0),25,50,75,100),"")</f>
        <v/>
      </c>
      <c r="AG235">
        <f>IF(AF235&lt;&gt;"",IF(AH235="Weekly",AF235+7,IF(AH235="Monthly",EDATE(AF235,1),IF(AH235="Quarterly",EDATE(AF235,3),""))),"")</f>
        <v/>
      </c>
      <c r="AK235">
        <f>IF(AJ235&lt;&gt;"",IF(AI235="Monthly",EDATE(AJ235,1),IF(AI235="Quarterly",EDATE(AJ235,3),IF(AI235="Semi-Annual",EDATE(AJ235,6),""))),"")</f>
        <v/>
      </c>
      <c r="AL235">
        <f>IF(AK235&lt;&gt;"",IF(AK235&lt;TODAY(),"Overdue","Current"),"")</f>
        <v/>
      </c>
    </row>
    <row r="236">
      <c r="K236">
        <f>IF(J236="v4.0",L236,IF(J236="v3.1",M236,IF(J236="Both",L236,IF(AND(L236&lt;&gt;"",M236=""),L236,M236))))</f>
        <v/>
      </c>
      <c r="Z236">
        <f>IF(Y236&lt;&gt;"",TODAY()-Y236,"")</f>
        <v/>
      </c>
      <c r="AC236">
        <f>IF(AND(AA236&lt;&gt;"",AB236&lt;&gt;""),CHOOSE(MATCH(AA236,{"Low","Medium","High","Critical"},0),25,50,75,100)-CHOOSE(MATCH(AB236,{"Low","Medium","High","Critical"},0),25,50,75,100),"")</f>
        <v/>
      </c>
      <c r="AG236">
        <f>IF(AF236&lt;&gt;"",IF(AH236="Weekly",AF236+7,IF(AH236="Monthly",EDATE(AF236,1),IF(AH236="Quarterly",EDATE(AF236,3),""))),"")</f>
        <v/>
      </c>
      <c r="AK236">
        <f>IF(AJ236&lt;&gt;"",IF(AI236="Monthly",EDATE(AJ236,1),IF(AI236="Quarterly",EDATE(AJ236,3),IF(AI236="Semi-Annual",EDATE(AJ236,6),""))),"")</f>
        <v/>
      </c>
      <c r="AL236">
        <f>IF(AK236&lt;&gt;"",IF(AK236&lt;TODAY(),"Overdue","Current"),"")</f>
        <v/>
      </c>
    </row>
    <row r="237">
      <c r="K237">
        <f>IF(J237="v4.0",L237,IF(J237="v3.1",M237,IF(J237="Both",L237,IF(AND(L237&lt;&gt;"",M237=""),L237,M237))))</f>
        <v/>
      </c>
      <c r="Z237">
        <f>IF(Y237&lt;&gt;"",TODAY()-Y237,"")</f>
        <v/>
      </c>
      <c r="AC237">
        <f>IF(AND(AA237&lt;&gt;"",AB237&lt;&gt;""),CHOOSE(MATCH(AA237,{"Low","Medium","High","Critical"},0),25,50,75,100)-CHOOSE(MATCH(AB237,{"Low","Medium","High","Critical"},0),25,50,75,100),"")</f>
        <v/>
      </c>
      <c r="AG237">
        <f>IF(AF237&lt;&gt;"",IF(AH237="Weekly",AF237+7,IF(AH237="Monthly",EDATE(AF237,1),IF(AH237="Quarterly",EDATE(AF237,3),""))),"")</f>
        <v/>
      </c>
      <c r="AK237">
        <f>IF(AJ237&lt;&gt;"",IF(AI237="Monthly",EDATE(AJ237,1),IF(AI237="Quarterly",EDATE(AJ237,3),IF(AI237="Semi-Annual",EDATE(AJ237,6),""))),"")</f>
        <v/>
      </c>
      <c r="AL237">
        <f>IF(AK237&lt;&gt;"",IF(AK237&lt;TODAY(),"Overdue","Current"),"")</f>
        <v/>
      </c>
    </row>
    <row r="238">
      <c r="K238">
        <f>IF(J238="v4.0",L238,IF(J238="v3.1",M238,IF(J238="Both",L238,IF(AND(L238&lt;&gt;"",M238=""),L238,M238))))</f>
        <v/>
      </c>
      <c r="Z238">
        <f>IF(Y238&lt;&gt;"",TODAY()-Y238,"")</f>
        <v/>
      </c>
      <c r="AC238">
        <f>IF(AND(AA238&lt;&gt;"",AB238&lt;&gt;""),CHOOSE(MATCH(AA238,{"Low","Medium","High","Critical"},0),25,50,75,100)-CHOOSE(MATCH(AB238,{"Low","Medium","High","Critical"},0),25,50,75,100),"")</f>
        <v/>
      </c>
      <c r="AG238">
        <f>IF(AF238&lt;&gt;"",IF(AH238="Weekly",AF238+7,IF(AH238="Monthly",EDATE(AF238,1),IF(AH238="Quarterly",EDATE(AF238,3),""))),"")</f>
        <v/>
      </c>
      <c r="AK238">
        <f>IF(AJ238&lt;&gt;"",IF(AI238="Monthly",EDATE(AJ238,1),IF(AI238="Quarterly",EDATE(AJ238,3),IF(AI238="Semi-Annual",EDATE(AJ238,6),""))),"")</f>
        <v/>
      </c>
      <c r="AL238">
        <f>IF(AK238&lt;&gt;"",IF(AK238&lt;TODAY(),"Overdue","Current"),"")</f>
        <v/>
      </c>
    </row>
    <row r="239">
      <c r="K239">
        <f>IF(J239="v4.0",L239,IF(J239="v3.1",M239,IF(J239="Both",L239,IF(AND(L239&lt;&gt;"",M239=""),L239,M239))))</f>
        <v/>
      </c>
      <c r="Z239">
        <f>IF(Y239&lt;&gt;"",TODAY()-Y239,"")</f>
        <v/>
      </c>
      <c r="AC239">
        <f>IF(AND(AA239&lt;&gt;"",AB239&lt;&gt;""),CHOOSE(MATCH(AA239,{"Low","Medium","High","Critical"},0),25,50,75,100)-CHOOSE(MATCH(AB239,{"Low","Medium","High","Critical"},0),25,50,75,100),"")</f>
        <v/>
      </c>
      <c r="AG239">
        <f>IF(AF239&lt;&gt;"",IF(AH239="Weekly",AF239+7,IF(AH239="Monthly",EDATE(AF239,1),IF(AH239="Quarterly",EDATE(AF239,3),""))),"")</f>
        <v/>
      </c>
      <c r="AK239">
        <f>IF(AJ239&lt;&gt;"",IF(AI239="Monthly",EDATE(AJ239,1),IF(AI239="Quarterly",EDATE(AJ239,3),IF(AI239="Semi-Annual",EDATE(AJ239,6),""))),"")</f>
        <v/>
      </c>
      <c r="AL239">
        <f>IF(AK239&lt;&gt;"",IF(AK239&lt;TODAY(),"Overdue","Current"),"")</f>
        <v/>
      </c>
    </row>
    <row r="240">
      <c r="K240">
        <f>IF(J240="v4.0",L240,IF(J240="v3.1",M240,IF(J240="Both",L240,IF(AND(L240&lt;&gt;"",M240=""),L240,M240))))</f>
        <v/>
      </c>
      <c r="Z240">
        <f>IF(Y240&lt;&gt;"",TODAY()-Y240,"")</f>
        <v/>
      </c>
      <c r="AC240">
        <f>IF(AND(AA240&lt;&gt;"",AB240&lt;&gt;""),CHOOSE(MATCH(AA240,{"Low","Medium","High","Critical"},0),25,50,75,100)-CHOOSE(MATCH(AB240,{"Low","Medium","High","Critical"},0),25,50,75,100),"")</f>
        <v/>
      </c>
      <c r="AG240">
        <f>IF(AF240&lt;&gt;"",IF(AH240="Weekly",AF240+7,IF(AH240="Monthly",EDATE(AF240,1),IF(AH240="Quarterly",EDATE(AF240,3),""))),"")</f>
        <v/>
      </c>
      <c r="AK240">
        <f>IF(AJ240&lt;&gt;"",IF(AI240="Monthly",EDATE(AJ240,1),IF(AI240="Quarterly",EDATE(AJ240,3),IF(AI240="Semi-Annual",EDATE(AJ240,6),""))),"")</f>
        <v/>
      </c>
      <c r="AL240">
        <f>IF(AK240&lt;&gt;"",IF(AK240&lt;TODAY(),"Overdue","Current"),"")</f>
        <v/>
      </c>
    </row>
    <row r="241">
      <c r="K241">
        <f>IF(J241="v4.0",L241,IF(J241="v3.1",M241,IF(J241="Both",L241,IF(AND(L241&lt;&gt;"",M241=""),L241,M241))))</f>
        <v/>
      </c>
      <c r="Z241">
        <f>IF(Y241&lt;&gt;"",TODAY()-Y241,"")</f>
        <v/>
      </c>
      <c r="AC241">
        <f>IF(AND(AA241&lt;&gt;"",AB241&lt;&gt;""),CHOOSE(MATCH(AA241,{"Low","Medium","High","Critical"},0),25,50,75,100)-CHOOSE(MATCH(AB241,{"Low","Medium","High","Critical"},0),25,50,75,100),"")</f>
        <v/>
      </c>
      <c r="AG241">
        <f>IF(AF241&lt;&gt;"",IF(AH241="Weekly",AF241+7,IF(AH241="Monthly",EDATE(AF241,1),IF(AH241="Quarterly",EDATE(AF241,3),""))),"")</f>
        <v/>
      </c>
      <c r="AK241">
        <f>IF(AJ241&lt;&gt;"",IF(AI241="Monthly",EDATE(AJ241,1),IF(AI241="Quarterly",EDATE(AJ241,3),IF(AI241="Semi-Annual",EDATE(AJ241,6),""))),"")</f>
        <v/>
      </c>
      <c r="AL241">
        <f>IF(AK241&lt;&gt;"",IF(AK241&lt;TODAY(),"Overdue","Current"),"")</f>
        <v/>
      </c>
    </row>
    <row r="242">
      <c r="K242">
        <f>IF(J242="v4.0",L242,IF(J242="v3.1",M242,IF(J242="Both",L242,IF(AND(L242&lt;&gt;"",M242=""),L242,M242))))</f>
        <v/>
      </c>
      <c r="Z242">
        <f>IF(Y242&lt;&gt;"",TODAY()-Y242,"")</f>
        <v/>
      </c>
      <c r="AC242">
        <f>IF(AND(AA242&lt;&gt;"",AB242&lt;&gt;""),CHOOSE(MATCH(AA242,{"Low","Medium","High","Critical"},0),25,50,75,100)-CHOOSE(MATCH(AB242,{"Low","Medium","High","Critical"},0),25,50,75,100),"")</f>
        <v/>
      </c>
      <c r="AG242">
        <f>IF(AF242&lt;&gt;"",IF(AH242="Weekly",AF242+7,IF(AH242="Monthly",EDATE(AF242,1),IF(AH242="Quarterly",EDATE(AF242,3),""))),"")</f>
        <v/>
      </c>
      <c r="AK242">
        <f>IF(AJ242&lt;&gt;"",IF(AI242="Monthly",EDATE(AJ242,1),IF(AI242="Quarterly",EDATE(AJ242,3),IF(AI242="Semi-Annual",EDATE(AJ242,6),""))),"")</f>
        <v/>
      </c>
      <c r="AL242">
        <f>IF(AK242&lt;&gt;"",IF(AK242&lt;TODAY(),"Overdue","Current"),"")</f>
        <v/>
      </c>
    </row>
    <row r="243">
      <c r="K243">
        <f>IF(J243="v4.0",L243,IF(J243="v3.1",M243,IF(J243="Both",L243,IF(AND(L243&lt;&gt;"",M243=""),L243,M243))))</f>
        <v/>
      </c>
      <c r="Z243">
        <f>IF(Y243&lt;&gt;"",TODAY()-Y243,"")</f>
        <v/>
      </c>
      <c r="AC243">
        <f>IF(AND(AA243&lt;&gt;"",AB243&lt;&gt;""),CHOOSE(MATCH(AA243,{"Low","Medium","High","Critical"},0),25,50,75,100)-CHOOSE(MATCH(AB243,{"Low","Medium","High","Critical"},0),25,50,75,100),"")</f>
        <v/>
      </c>
      <c r="AG243">
        <f>IF(AF243&lt;&gt;"",IF(AH243="Weekly",AF243+7,IF(AH243="Monthly",EDATE(AF243,1),IF(AH243="Quarterly",EDATE(AF243,3),""))),"")</f>
        <v/>
      </c>
      <c r="AK243">
        <f>IF(AJ243&lt;&gt;"",IF(AI243="Monthly",EDATE(AJ243,1),IF(AI243="Quarterly",EDATE(AJ243,3),IF(AI243="Semi-Annual",EDATE(AJ243,6),""))),"")</f>
        <v/>
      </c>
      <c r="AL243">
        <f>IF(AK243&lt;&gt;"",IF(AK243&lt;TODAY(),"Overdue","Current"),"")</f>
        <v/>
      </c>
    </row>
    <row r="244">
      <c r="K244">
        <f>IF(J244="v4.0",L244,IF(J244="v3.1",M244,IF(J244="Both",L244,IF(AND(L244&lt;&gt;"",M244=""),L244,M244))))</f>
        <v/>
      </c>
      <c r="Z244">
        <f>IF(Y244&lt;&gt;"",TODAY()-Y244,"")</f>
        <v/>
      </c>
      <c r="AC244">
        <f>IF(AND(AA244&lt;&gt;"",AB244&lt;&gt;""),CHOOSE(MATCH(AA244,{"Low","Medium","High","Critical"},0),25,50,75,100)-CHOOSE(MATCH(AB244,{"Low","Medium","High","Critical"},0),25,50,75,100),"")</f>
        <v/>
      </c>
      <c r="AG244">
        <f>IF(AF244&lt;&gt;"",IF(AH244="Weekly",AF244+7,IF(AH244="Monthly",EDATE(AF244,1),IF(AH244="Quarterly",EDATE(AF244,3),""))),"")</f>
        <v/>
      </c>
      <c r="AK244">
        <f>IF(AJ244&lt;&gt;"",IF(AI244="Monthly",EDATE(AJ244,1),IF(AI244="Quarterly",EDATE(AJ244,3),IF(AI244="Semi-Annual",EDATE(AJ244,6),""))),"")</f>
        <v/>
      </c>
      <c r="AL244">
        <f>IF(AK244&lt;&gt;"",IF(AK244&lt;TODAY(),"Overdue","Current"),"")</f>
        <v/>
      </c>
    </row>
    <row r="245">
      <c r="K245">
        <f>IF(J245="v4.0",L245,IF(J245="v3.1",M245,IF(J245="Both",L245,IF(AND(L245&lt;&gt;"",M245=""),L245,M245))))</f>
        <v/>
      </c>
      <c r="Z245">
        <f>IF(Y245&lt;&gt;"",TODAY()-Y245,"")</f>
        <v/>
      </c>
      <c r="AC245">
        <f>IF(AND(AA245&lt;&gt;"",AB245&lt;&gt;""),CHOOSE(MATCH(AA245,{"Low","Medium","High","Critical"},0),25,50,75,100)-CHOOSE(MATCH(AB245,{"Low","Medium","High","Critical"},0),25,50,75,100),"")</f>
        <v/>
      </c>
      <c r="AG245">
        <f>IF(AF245&lt;&gt;"",IF(AH245="Weekly",AF245+7,IF(AH245="Monthly",EDATE(AF245,1),IF(AH245="Quarterly",EDATE(AF245,3),""))),"")</f>
        <v/>
      </c>
      <c r="AK245">
        <f>IF(AJ245&lt;&gt;"",IF(AI245="Monthly",EDATE(AJ245,1),IF(AI245="Quarterly",EDATE(AJ245,3),IF(AI245="Semi-Annual",EDATE(AJ245,6),""))),"")</f>
        <v/>
      </c>
      <c r="AL245">
        <f>IF(AK245&lt;&gt;"",IF(AK245&lt;TODAY(),"Overdue","Current"),"")</f>
        <v/>
      </c>
    </row>
    <row r="246">
      <c r="K246">
        <f>IF(J246="v4.0",L246,IF(J246="v3.1",M246,IF(J246="Both",L246,IF(AND(L246&lt;&gt;"",M246=""),L246,M246))))</f>
        <v/>
      </c>
      <c r="Z246">
        <f>IF(Y246&lt;&gt;"",TODAY()-Y246,"")</f>
        <v/>
      </c>
      <c r="AC246">
        <f>IF(AND(AA246&lt;&gt;"",AB246&lt;&gt;""),CHOOSE(MATCH(AA246,{"Low","Medium","High","Critical"},0),25,50,75,100)-CHOOSE(MATCH(AB246,{"Low","Medium","High","Critical"},0),25,50,75,100),"")</f>
        <v/>
      </c>
      <c r="AG246">
        <f>IF(AF246&lt;&gt;"",IF(AH246="Weekly",AF246+7,IF(AH246="Monthly",EDATE(AF246,1),IF(AH246="Quarterly",EDATE(AF246,3),""))),"")</f>
        <v/>
      </c>
      <c r="AK246">
        <f>IF(AJ246&lt;&gt;"",IF(AI246="Monthly",EDATE(AJ246,1),IF(AI246="Quarterly",EDATE(AJ246,3),IF(AI246="Semi-Annual",EDATE(AJ246,6),""))),"")</f>
        <v/>
      </c>
      <c r="AL246">
        <f>IF(AK246&lt;&gt;"",IF(AK246&lt;TODAY(),"Overdue","Current"),"")</f>
        <v/>
      </c>
    </row>
    <row r="247">
      <c r="K247">
        <f>IF(J247="v4.0",L247,IF(J247="v3.1",M247,IF(J247="Both",L247,IF(AND(L247&lt;&gt;"",M247=""),L247,M247))))</f>
        <v/>
      </c>
      <c r="Z247">
        <f>IF(Y247&lt;&gt;"",TODAY()-Y247,"")</f>
        <v/>
      </c>
      <c r="AC247">
        <f>IF(AND(AA247&lt;&gt;"",AB247&lt;&gt;""),CHOOSE(MATCH(AA247,{"Low","Medium","High","Critical"},0),25,50,75,100)-CHOOSE(MATCH(AB247,{"Low","Medium","High","Critical"},0),25,50,75,100),"")</f>
        <v/>
      </c>
      <c r="AG247">
        <f>IF(AF247&lt;&gt;"",IF(AH247="Weekly",AF247+7,IF(AH247="Monthly",EDATE(AF247,1),IF(AH247="Quarterly",EDATE(AF247,3),""))),"")</f>
        <v/>
      </c>
      <c r="AK247">
        <f>IF(AJ247&lt;&gt;"",IF(AI247="Monthly",EDATE(AJ247,1),IF(AI247="Quarterly",EDATE(AJ247,3),IF(AI247="Semi-Annual",EDATE(AJ247,6),""))),"")</f>
        <v/>
      </c>
      <c r="AL247">
        <f>IF(AK247&lt;&gt;"",IF(AK247&lt;TODAY(),"Overdue","Current"),"")</f>
        <v/>
      </c>
    </row>
    <row r="248">
      <c r="K248">
        <f>IF(J248="v4.0",L248,IF(J248="v3.1",M248,IF(J248="Both",L248,IF(AND(L248&lt;&gt;"",M248=""),L248,M248))))</f>
        <v/>
      </c>
      <c r="Z248">
        <f>IF(Y248&lt;&gt;"",TODAY()-Y248,"")</f>
        <v/>
      </c>
      <c r="AC248">
        <f>IF(AND(AA248&lt;&gt;"",AB248&lt;&gt;""),CHOOSE(MATCH(AA248,{"Low","Medium","High","Critical"},0),25,50,75,100)-CHOOSE(MATCH(AB248,{"Low","Medium","High","Critical"},0),25,50,75,100),"")</f>
        <v/>
      </c>
      <c r="AG248">
        <f>IF(AF248&lt;&gt;"",IF(AH248="Weekly",AF248+7,IF(AH248="Monthly",EDATE(AF248,1),IF(AH248="Quarterly",EDATE(AF248,3),""))),"")</f>
        <v/>
      </c>
      <c r="AK248">
        <f>IF(AJ248&lt;&gt;"",IF(AI248="Monthly",EDATE(AJ248,1),IF(AI248="Quarterly",EDATE(AJ248,3),IF(AI248="Semi-Annual",EDATE(AJ248,6),""))),"")</f>
        <v/>
      </c>
      <c r="AL248">
        <f>IF(AK248&lt;&gt;"",IF(AK248&lt;TODAY(),"Overdue","Current"),"")</f>
        <v/>
      </c>
    </row>
    <row r="249">
      <c r="K249">
        <f>IF(J249="v4.0",L249,IF(J249="v3.1",M249,IF(J249="Both",L249,IF(AND(L249&lt;&gt;"",M249=""),L249,M249))))</f>
        <v/>
      </c>
      <c r="Z249">
        <f>IF(Y249&lt;&gt;"",TODAY()-Y249,"")</f>
        <v/>
      </c>
      <c r="AC249">
        <f>IF(AND(AA249&lt;&gt;"",AB249&lt;&gt;""),CHOOSE(MATCH(AA249,{"Low","Medium","High","Critical"},0),25,50,75,100)-CHOOSE(MATCH(AB249,{"Low","Medium","High","Critical"},0),25,50,75,100),"")</f>
        <v/>
      </c>
      <c r="AG249">
        <f>IF(AF249&lt;&gt;"",IF(AH249="Weekly",AF249+7,IF(AH249="Monthly",EDATE(AF249,1),IF(AH249="Quarterly",EDATE(AF249,3),""))),"")</f>
        <v/>
      </c>
      <c r="AK249">
        <f>IF(AJ249&lt;&gt;"",IF(AI249="Monthly",EDATE(AJ249,1),IF(AI249="Quarterly",EDATE(AJ249,3),IF(AI249="Semi-Annual",EDATE(AJ249,6),""))),"")</f>
        <v/>
      </c>
      <c r="AL249">
        <f>IF(AK249&lt;&gt;"",IF(AK249&lt;TODAY(),"Overdue","Current"),"")</f>
        <v/>
      </c>
    </row>
    <row r="250">
      <c r="K250">
        <f>IF(J250="v4.0",L250,IF(J250="v3.1",M250,IF(J250="Both",L250,IF(AND(L250&lt;&gt;"",M250=""),L250,M250))))</f>
        <v/>
      </c>
      <c r="Z250">
        <f>IF(Y250&lt;&gt;"",TODAY()-Y250,"")</f>
        <v/>
      </c>
      <c r="AC250">
        <f>IF(AND(AA250&lt;&gt;"",AB250&lt;&gt;""),CHOOSE(MATCH(AA250,{"Low","Medium","High","Critical"},0),25,50,75,100)-CHOOSE(MATCH(AB250,{"Low","Medium","High","Critical"},0),25,50,75,100),"")</f>
        <v/>
      </c>
      <c r="AG250">
        <f>IF(AF250&lt;&gt;"",IF(AH250="Weekly",AF250+7,IF(AH250="Monthly",EDATE(AF250,1),IF(AH250="Quarterly",EDATE(AF250,3),""))),"")</f>
        <v/>
      </c>
      <c r="AK250">
        <f>IF(AJ250&lt;&gt;"",IF(AI250="Monthly",EDATE(AJ250,1),IF(AI250="Quarterly",EDATE(AJ250,3),IF(AI250="Semi-Annual",EDATE(AJ250,6),""))),"")</f>
        <v/>
      </c>
      <c r="AL250">
        <f>IF(AK250&lt;&gt;"",IF(AK250&lt;TODAY(),"Overdue","Current"),"")</f>
        <v/>
      </c>
    </row>
    <row r="251">
      <c r="K251">
        <f>IF(J251="v4.0",L251,IF(J251="v3.1",M251,IF(J251="Both",L251,IF(AND(L251&lt;&gt;"",M251=""),L251,M251))))</f>
        <v/>
      </c>
      <c r="Z251">
        <f>IF(Y251&lt;&gt;"",TODAY()-Y251,"")</f>
        <v/>
      </c>
      <c r="AC251">
        <f>IF(AND(AA251&lt;&gt;"",AB251&lt;&gt;""),CHOOSE(MATCH(AA251,{"Low","Medium","High","Critical"},0),25,50,75,100)-CHOOSE(MATCH(AB251,{"Low","Medium","High","Critical"},0),25,50,75,100),"")</f>
        <v/>
      </c>
      <c r="AG251">
        <f>IF(AF251&lt;&gt;"",IF(AH251="Weekly",AF251+7,IF(AH251="Monthly",EDATE(AF251,1),IF(AH251="Quarterly",EDATE(AF251,3),""))),"")</f>
        <v/>
      </c>
      <c r="AK251">
        <f>IF(AJ251&lt;&gt;"",IF(AI251="Monthly",EDATE(AJ251,1),IF(AI251="Quarterly",EDATE(AJ251,3),IF(AI251="Semi-Annual",EDATE(AJ251,6),""))),"")</f>
        <v/>
      </c>
      <c r="AL251">
        <f>IF(AK251&lt;&gt;"",IF(AK251&lt;TODAY(),"Overdue","Current"),"")</f>
        <v/>
      </c>
    </row>
    <row r="252">
      <c r="K252">
        <f>IF(J252="v4.0",L252,IF(J252="v3.1",M252,IF(J252="Both",L252,IF(AND(L252&lt;&gt;"",M252=""),L252,M252))))</f>
        <v/>
      </c>
      <c r="Z252">
        <f>IF(Y252&lt;&gt;"",TODAY()-Y252,"")</f>
        <v/>
      </c>
      <c r="AC252">
        <f>IF(AND(AA252&lt;&gt;"",AB252&lt;&gt;""),CHOOSE(MATCH(AA252,{"Low","Medium","High","Critical"},0),25,50,75,100)-CHOOSE(MATCH(AB252,{"Low","Medium","High","Critical"},0),25,50,75,100),"")</f>
        <v/>
      </c>
      <c r="AG252">
        <f>IF(AF252&lt;&gt;"",IF(AH252="Weekly",AF252+7,IF(AH252="Monthly",EDATE(AF252,1),IF(AH252="Quarterly",EDATE(AF252,3),""))),"")</f>
        <v/>
      </c>
      <c r="AK252">
        <f>IF(AJ252&lt;&gt;"",IF(AI252="Monthly",EDATE(AJ252,1),IF(AI252="Quarterly",EDATE(AJ252,3),IF(AI252="Semi-Annual",EDATE(AJ252,6),""))),"")</f>
        <v/>
      </c>
      <c r="AL252">
        <f>IF(AK252&lt;&gt;"",IF(AK252&lt;TODAY(),"Overdue","Current"),"")</f>
        <v/>
      </c>
    </row>
    <row r="253">
      <c r="K253">
        <f>IF(J253="v4.0",L253,IF(J253="v3.1",M253,IF(J253="Both",L253,IF(AND(L253&lt;&gt;"",M253=""),L253,M253))))</f>
        <v/>
      </c>
      <c r="Z253">
        <f>IF(Y253&lt;&gt;"",TODAY()-Y253,"")</f>
        <v/>
      </c>
      <c r="AC253">
        <f>IF(AND(AA253&lt;&gt;"",AB253&lt;&gt;""),CHOOSE(MATCH(AA253,{"Low","Medium","High","Critical"},0),25,50,75,100)-CHOOSE(MATCH(AB253,{"Low","Medium","High","Critical"},0),25,50,75,100),"")</f>
        <v/>
      </c>
      <c r="AG253">
        <f>IF(AF253&lt;&gt;"",IF(AH253="Weekly",AF253+7,IF(AH253="Monthly",EDATE(AF253,1),IF(AH253="Quarterly",EDATE(AF253,3),""))),"")</f>
        <v/>
      </c>
      <c r="AK253">
        <f>IF(AJ253&lt;&gt;"",IF(AI253="Monthly",EDATE(AJ253,1),IF(AI253="Quarterly",EDATE(AJ253,3),IF(AI253="Semi-Annual",EDATE(AJ253,6),""))),"")</f>
        <v/>
      </c>
      <c r="AL253">
        <f>IF(AK253&lt;&gt;"",IF(AK253&lt;TODAY(),"Overdue","Current"),"")</f>
        <v/>
      </c>
    </row>
    <row r="254">
      <c r="K254">
        <f>IF(J254="v4.0",L254,IF(J254="v3.1",M254,IF(J254="Both",L254,IF(AND(L254&lt;&gt;"",M254=""),L254,M254))))</f>
        <v/>
      </c>
      <c r="Z254">
        <f>IF(Y254&lt;&gt;"",TODAY()-Y254,"")</f>
        <v/>
      </c>
      <c r="AC254">
        <f>IF(AND(AA254&lt;&gt;"",AB254&lt;&gt;""),CHOOSE(MATCH(AA254,{"Low","Medium","High","Critical"},0),25,50,75,100)-CHOOSE(MATCH(AB254,{"Low","Medium","High","Critical"},0),25,50,75,100),"")</f>
        <v/>
      </c>
      <c r="AG254">
        <f>IF(AF254&lt;&gt;"",IF(AH254="Weekly",AF254+7,IF(AH254="Monthly",EDATE(AF254,1),IF(AH254="Quarterly",EDATE(AF254,3),""))),"")</f>
        <v/>
      </c>
      <c r="AK254">
        <f>IF(AJ254&lt;&gt;"",IF(AI254="Monthly",EDATE(AJ254,1),IF(AI254="Quarterly",EDATE(AJ254,3),IF(AI254="Semi-Annual",EDATE(AJ254,6),""))),"")</f>
        <v/>
      </c>
      <c r="AL254">
        <f>IF(AK254&lt;&gt;"",IF(AK254&lt;TODAY(),"Overdue","Current"),"")</f>
        <v/>
      </c>
    </row>
    <row r="255">
      <c r="K255">
        <f>IF(J255="v4.0",L255,IF(J255="v3.1",M255,IF(J255="Both",L255,IF(AND(L255&lt;&gt;"",M255=""),L255,M255))))</f>
        <v/>
      </c>
      <c r="Z255">
        <f>IF(Y255&lt;&gt;"",TODAY()-Y255,"")</f>
        <v/>
      </c>
      <c r="AC255">
        <f>IF(AND(AA255&lt;&gt;"",AB255&lt;&gt;""),CHOOSE(MATCH(AA255,{"Low","Medium","High","Critical"},0),25,50,75,100)-CHOOSE(MATCH(AB255,{"Low","Medium","High","Critical"},0),25,50,75,100),"")</f>
        <v/>
      </c>
      <c r="AG255">
        <f>IF(AF255&lt;&gt;"",IF(AH255="Weekly",AF255+7,IF(AH255="Monthly",EDATE(AF255,1),IF(AH255="Quarterly",EDATE(AF255,3),""))),"")</f>
        <v/>
      </c>
      <c r="AK255">
        <f>IF(AJ255&lt;&gt;"",IF(AI255="Monthly",EDATE(AJ255,1),IF(AI255="Quarterly",EDATE(AJ255,3),IF(AI255="Semi-Annual",EDATE(AJ255,6),""))),"")</f>
        <v/>
      </c>
      <c r="AL255">
        <f>IF(AK255&lt;&gt;"",IF(AK255&lt;TODAY(),"Overdue","Current"),"")</f>
        <v/>
      </c>
    </row>
    <row r="256">
      <c r="K256">
        <f>IF(J256="v4.0",L256,IF(J256="v3.1",M256,IF(J256="Both",L256,IF(AND(L256&lt;&gt;"",M256=""),L256,M256))))</f>
        <v/>
      </c>
      <c r="Z256">
        <f>IF(Y256&lt;&gt;"",TODAY()-Y256,"")</f>
        <v/>
      </c>
      <c r="AC256">
        <f>IF(AND(AA256&lt;&gt;"",AB256&lt;&gt;""),CHOOSE(MATCH(AA256,{"Low","Medium","High","Critical"},0),25,50,75,100)-CHOOSE(MATCH(AB256,{"Low","Medium","High","Critical"},0),25,50,75,100),"")</f>
        <v/>
      </c>
      <c r="AG256">
        <f>IF(AF256&lt;&gt;"",IF(AH256="Weekly",AF256+7,IF(AH256="Monthly",EDATE(AF256,1),IF(AH256="Quarterly",EDATE(AF256,3),""))),"")</f>
        <v/>
      </c>
      <c r="AK256">
        <f>IF(AJ256&lt;&gt;"",IF(AI256="Monthly",EDATE(AJ256,1),IF(AI256="Quarterly",EDATE(AJ256,3),IF(AI256="Semi-Annual",EDATE(AJ256,6),""))),"")</f>
        <v/>
      </c>
      <c r="AL256">
        <f>IF(AK256&lt;&gt;"",IF(AK256&lt;TODAY(),"Overdue","Current"),"")</f>
        <v/>
      </c>
    </row>
    <row r="257">
      <c r="K257">
        <f>IF(J257="v4.0",L257,IF(J257="v3.1",M257,IF(J257="Both",L257,IF(AND(L257&lt;&gt;"",M257=""),L257,M257))))</f>
        <v/>
      </c>
      <c r="Z257">
        <f>IF(Y257&lt;&gt;"",TODAY()-Y257,"")</f>
        <v/>
      </c>
      <c r="AC257">
        <f>IF(AND(AA257&lt;&gt;"",AB257&lt;&gt;""),CHOOSE(MATCH(AA257,{"Low","Medium","High","Critical"},0),25,50,75,100)-CHOOSE(MATCH(AB257,{"Low","Medium","High","Critical"},0),25,50,75,100),"")</f>
        <v/>
      </c>
      <c r="AG257">
        <f>IF(AF257&lt;&gt;"",IF(AH257="Weekly",AF257+7,IF(AH257="Monthly",EDATE(AF257,1),IF(AH257="Quarterly",EDATE(AF257,3),""))),"")</f>
        <v/>
      </c>
      <c r="AK257">
        <f>IF(AJ257&lt;&gt;"",IF(AI257="Monthly",EDATE(AJ257,1),IF(AI257="Quarterly",EDATE(AJ257,3),IF(AI257="Semi-Annual",EDATE(AJ257,6),""))),"")</f>
        <v/>
      </c>
      <c r="AL257">
        <f>IF(AK257&lt;&gt;"",IF(AK257&lt;TODAY(),"Overdue","Current"),"")</f>
        <v/>
      </c>
    </row>
    <row r="258">
      <c r="K258">
        <f>IF(J258="v4.0",L258,IF(J258="v3.1",M258,IF(J258="Both",L258,IF(AND(L258&lt;&gt;"",M258=""),L258,M258))))</f>
        <v/>
      </c>
      <c r="Z258">
        <f>IF(Y258&lt;&gt;"",TODAY()-Y258,"")</f>
        <v/>
      </c>
      <c r="AC258">
        <f>IF(AND(AA258&lt;&gt;"",AB258&lt;&gt;""),CHOOSE(MATCH(AA258,{"Low","Medium","High","Critical"},0),25,50,75,100)-CHOOSE(MATCH(AB258,{"Low","Medium","High","Critical"},0),25,50,75,100),"")</f>
        <v/>
      </c>
      <c r="AG258">
        <f>IF(AF258&lt;&gt;"",IF(AH258="Weekly",AF258+7,IF(AH258="Monthly",EDATE(AF258,1),IF(AH258="Quarterly",EDATE(AF258,3),""))),"")</f>
        <v/>
      </c>
      <c r="AK258">
        <f>IF(AJ258&lt;&gt;"",IF(AI258="Monthly",EDATE(AJ258,1),IF(AI258="Quarterly",EDATE(AJ258,3),IF(AI258="Semi-Annual",EDATE(AJ258,6),""))),"")</f>
        <v/>
      </c>
      <c r="AL258">
        <f>IF(AK258&lt;&gt;"",IF(AK258&lt;TODAY(),"Overdue","Current"),"")</f>
        <v/>
      </c>
    </row>
    <row r="259">
      <c r="K259">
        <f>IF(J259="v4.0",L259,IF(J259="v3.1",M259,IF(J259="Both",L259,IF(AND(L259&lt;&gt;"",M259=""),L259,M259))))</f>
        <v/>
      </c>
      <c r="Z259">
        <f>IF(Y259&lt;&gt;"",TODAY()-Y259,"")</f>
        <v/>
      </c>
      <c r="AC259">
        <f>IF(AND(AA259&lt;&gt;"",AB259&lt;&gt;""),CHOOSE(MATCH(AA259,{"Low","Medium","High","Critical"},0),25,50,75,100)-CHOOSE(MATCH(AB259,{"Low","Medium","High","Critical"},0),25,50,75,100),"")</f>
        <v/>
      </c>
      <c r="AG259">
        <f>IF(AF259&lt;&gt;"",IF(AH259="Weekly",AF259+7,IF(AH259="Monthly",EDATE(AF259,1),IF(AH259="Quarterly",EDATE(AF259,3),""))),"")</f>
        <v/>
      </c>
      <c r="AK259">
        <f>IF(AJ259&lt;&gt;"",IF(AI259="Monthly",EDATE(AJ259,1),IF(AI259="Quarterly",EDATE(AJ259,3),IF(AI259="Semi-Annual",EDATE(AJ259,6),""))),"")</f>
        <v/>
      </c>
      <c r="AL259">
        <f>IF(AK259&lt;&gt;"",IF(AK259&lt;TODAY(),"Overdue","Current"),"")</f>
        <v/>
      </c>
    </row>
    <row r="260">
      <c r="K260">
        <f>IF(J260="v4.0",L260,IF(J260="v3.1",M260,IF(J260="Both",L260,IF(AND(L260&lt;&gt;"",M260=""),L260,M260))))</f>
        <v/>
      </c>
      <c r="Z260">
        <f>IF(Y260&lt;&gt;"",TODAY()-Y260,"")</f>
        <v/>
      </c>
      <c r="AC260">
        <f>IF(AND(AA260&lt;&gt;"",AB260&lt;&gt;""),CHOOSE(MATCH(AA260,{"Low","Medium","High","Critical"},0),25,50,75,100)-CHOOSE(MATCH(AB260,{"Low","Medium","High","Critical"},0),25,50,75,100),"")</f>
        <v/>
      </c>
      <c r="AG260">
        <f>IF(AF260&lt;&gt;"",IF(AH260="Weekly",AF260+7,IF(AH260="Monthly",EDATE(AF260,1),IF(AH260="Quarterly",EDATE(AF260,3),""))),"")</f>
        <v/>
      </c>
      <c r="AK260">
        <f>IF(AJ260&lt;&gt;"",IF(AI260="Monthly",EDATE(AJ260,1),IF(AI260="Quarterly",EDATE(AJ260,3),IF(AI260="Semi-Annual",EDATE(AJ260,6),""))),"")</f>
        <v/>
      </c>
      <c r="AL260">
        <f>IF(AK260&lt;&gt;"",IF(AK260&lt;TODAY(),"Overdue","Current"),"")</f>
        <v/>
      </c>
    </row>
    <row r="261">
      <c r="K261">
        <f>IF(J261="v4.0",L261,IF(J261="v3.1",M261,IF(J261="Both",L261,IF(AND(L261&lt;&gt;"",M261=""),L261,M261))))</f>
        <v/>
      </c>
      <c r="Z261">
        <f>IF(Y261&lt;&gt;"",TODAY()-Y261,"")</f>
        <v/>
      </c>
      <c r="AC261">
        <f>IF(AND(AA261&lt;&gt;"",AB261&lt;&gt;""),CHOOSE(MATCH(AA261,{"Low","Medium","High","Critical"},0),25,50,75,100)-CHOOSE(MATCH(AB261,{"Low","Medium","High","Critical"},0),25,50,75,100),"")</f>
        <v/>
      </c>
      <c r="AG261">
        <f>IF(AF261&lt;&gt;"",IF(AH261="Weekly",AF261+7,IF(AH261="Monthly",EDATE(AF261,1),IF(AH261="Quarterly",EDATE(AF261,3),""))),"")</f>
        <v/>
      </c>
      <c r="AK261">
        <f>IF(AJ261&lt;&gt;"",IF(AI261="Monthly",EDATE(AJ261,1),IF(AI261="Quarterly",EDATE(AJ261,3),IF(AI261="Semi-Annual",EDATE(AJ261,6),""))),"")</f>
        <v/>
      </c>
      <c r="AL261">
        <f>IF(AK261&lt;&gt;"",IF(AK261&lt;TODAY(),"Overdue","Current"),"")</f>
        <v/>
      </c>
    </row>
    <row r="262">
      <c r="K262">
        <f>IF(J262="v4.0",L262,IF(J262="v3.1",M262,IF(J262="Both",L262,IF(AND(L262&lt;&gt;"",M262=""),L262,M262))))</f>
        <v/>
      </c>
      <c r="Z262">
        <f>IF(Y262&lt;&gt;"",TODAY()-Y262,"")</f>
        <v/>
      </c>
      <c r="AC262">
        <f>IF(AND(AA262&lt;&gt;"",AB262&lt;&gt;""),CHOOSE(MATCH(AA262,{"Low","Medium","High","Critical"},0),25,50,75,100)-CHOOSE(MATCH(AB262,{"Low","Medium","High","Critical"},0),25,50,75,100),"")</f>
        <v/>
      </c>
      <c r="AG262">
        <f>IF(AF262&lt;&gt;"",IF(AH262="Weekly",AF262+7,IF(AH262="Monthly",EDATE(AF262,1),IF(AH262="Quarterly",EDATE(AF262,3),""))),"")</f>
        <v/>
      </c>
      <c r="AK262">
        <f>IF(AJ262&lt;&gt;"",IF(AI262="Monthly",EDATE(AJ262,1),IF(AI262="Quarterly",EDATE(AJ262,3),IF(AI262="Semi-Annual",EDATE(AJ262,6),""))),"")</f>
        <v/>
      </c>
      <c r="AL262">
        <f>IF(AK262&lt;&gt;"",IF(AK262&lt;TODAY(),"Overdue","Current"),"")</f>
        <v/>
      </c>
    </row>
    <row r="263">
      <c r="K263">
        <f>IF(J263="v4.0",L263,IF(J263="v3.1",M263,IF(J263="Both",L263,IF(AND(L263&lt;&gt;"",M263=""),L263,M263))))</f>
        <v/>
      </c>
      <c r="Z263">
        <f>IF(Y263&lt;&gt;"",TODAY()-Y263,"")</f>
        <v/>
      </c>
      <c r="AC263">
        <f>IF(AND(AA263&lt;&gt;"",AB263&lt;&gt;""),CHOOSE(MATCH(AA263,{"Low","Medium","High","Critical"},0),25,50,75,100)-CHOOSE(MATCH(AB263,{"Low","Medium","High","Critical"},0),25,50,75,100),"")</f>
        <v/>
      </c>
      <c r="AG263">
        <f>IF(AF263&lt;&gt;"",IF(AH263="Weekly",AF263+7,IF(AH263="Monthly",EDATE(AF263,1),IF(AH263="Quarterly",EDATE(AF263,3),""))),"")</f>
        <v/>
      </c>
      <c r="AK263">
        <f>IF(AJ263&lt;&gt;"",IF(AI263="Monthly",EDATE(AJ263,1),IF(AI263="Quarterly",EDATE(AJ263,3),IF(AI263="Semi-Annual",EDATE(AJ263,6),""))),"")</f>
        <v/>
      </c>
      <c r="AL263">
        <f>IF(AK263&lt;&gt;"",IF(AK263&lt;TODAY(),"Overdue","Current"),"")</f>
        <v/>
      </c>
    </row>
    <row r="264">
      <c r="K264">
        <f>IF(J264="v4.0",L264,IF(J264="v3.1",M264,IF(J264="Both",L264,IF(AND(L264&lt;&gt;"",M264=""),L264,M264))))</f>
        <v/>
      </c>
      <c r="Z264">
        <f>IF(Y264&lt;&gt;"",TODAY()-Y264,"")</f>
        <v/>
      </c>
      <c r="AC264">
        <f>IF(AND(AA264&lt;&gt;"",AB264&lt;&gt;""),CHOOSE(MATCH(AA264,{"Low","Medium","High","Critical"},0),25,50,75,100)-CHOOSE(MATCH(AB264,{"Low","Medium","High","Critical"},0),25,50,75,100),"")</f>
        <v/>
      </c>
      <c r="AG264">
        <f>IF(AF264&lt;&gt;"",IF(AH264="Weekly",AF264+7,IF(AH264="Monthly",EDATE(AF264,1),IF(AH264="Quarterly",EDATE(AF264,3),""))),"")</f>
        <v/>
      </c>
      <c r="AK264">
        <f>IF(AJ264&lt;&gt;"",IF(AI264="Monthly",EDATE(AJ264,1),IF(AI264="Quarterly",EDATE(AJ264,3),IF(AI264="Semi-Annual",EDATE(AJ264,6),""))),"")</f>
        <v/>
      </c>
      <c r="AL264">
        <f>IF(AK264&lt;&gt;"",IF(AK264&lt;TODAY(),"Overdue","Current"),"")</f>
        <v/>
      </c>
    </row>
    <row r="265">
      <c r="K265">
        <f>IF(J265="v4.0",L265,IF(J265="v3.1",M265,IF(J265="Both",L265,IF(AND(L265&lt;&gt;"",M265=""),L265,M265))))</f>
        <v/>
      </c>
      <c r="Z265">
        <f>IF(Y265&lt;&gt;"",TODAY()-Y265,"")</f>
        <v/>
      </c>
      <c r="AC265">
        <f>IF(AND(AA265&lt;&gt;"",AB265&lt;&gt;""),CHOOSE(MATCH(AA265,{"Low","Medium","High","Critical"},0),25,50,75,100)-CHOOSE(MATCH(AB265,{"Low","Medium","High","Critical"},0),25,50,75,100),"")</f>
        <v/>
      </c>
      <c r="AG265">
        <f>IF(AF265&lt;&gt;"",IF(AH265="Weekly",AF265+7,IF(AH265="Monthly",EDATE(AF265,1),IF(AH265="Quarterly",EDATE(AF265,3),""))),"")</f>
        <v/>
      </c>
      <c r="AK265">
        <f>IF(AJ265&lt;&gt;"",IF(AI265="Monthly",EDATE(AJ265,1),IF(AI265="Quarterly",EDATE(AJ265,3),IF(AI265="Semi-Annual",EDATE(AJ265,6),""))),"")</f>
        <v/>
      </c>
      <c r="AL265">
        <f>IF(AK265&lt;&gt;"",IF(AK265&lt;TODAY(),"Overdue","Current"),"")</f>
        <v/>
      </c>
    </row>
    <row r="266">
      <c r="K266">
        <f>IF(J266="v4.0",L266,IF(J266="v3.1",M266,IF(J266="Both",L266,IF(AND(L266&lt;&gt;"",M266=""),L266,M266))))</f>
        <v/>
      </c>
      <c r="Z266">
        <f>IF(Y266&lt;&gt;"",TODAY()-Y266,"")</f>
        <v/>
      </c>
      <c r="AC266">
        <f>IF(AND(AA266&lt;&gt;"",AB266&lt;&gt;""),CHOOSE(MATCH(AA266,{"Low","Medium","High","Critical"},0),25,50,75,100)-CHOOSE(MATCH(AB266,{"Low","Medium","High","Critical"},0),25,50,75,100),"")</f>
        <v/>
      </c>
      <c r="AG266">
        <f>IF(AF266&lt;&gt;"",IF(AH266="Weekly",AF266+7,IF(AH266="Monthly",EDATE(AF266,1),IF(AH266="Quarterly",EDATE(AF266,3),""))),"")</f>
        <v/>
      </c>
      <c r="AK266">
        <f>IF(AJ266&lt;&gt;"",IF(AI266="Monthly",EDATE(AJ266,1),IF(AI266="Quarterly",EDATE(AJ266,3),IF(AI266="Semi-Annual",EDATE(AJ266,6),""))),"")</f>
        <v/>
      </c>
      <c r="AL266">
        <f>IF(AK266&lt;&gt;"",IF(AK266&lt;TODAY(),"Overdue","Current"),"")</f>
        <v/>
      </c>
    </row>
    <row r="267">
      <c r="K267">
        <f>IF(J267="v4.0",L267,IF(J267="v3.1",M267,IF(J267="Both",L267,IF(AND(L267&lt;&gt;"",M267=""),L267,M267))))</f>
        <v/>
      </c>
      <c r="Z267">
        <f>IF(Y267&lt;&gt;"",TODAY()-Y267,"")</f>
        <v/>
      </c>
      <c r="AC267">
        <f>IF(AND(AA267&lt;&gt;"",AB267&lt;&gt;""),CHOOSE(MATCH(AA267,{"Low","Medium","High","Critical"},0),25,50,75,100)-CHOOSE(MATCH(AB267,{"Low","Medium","High","Critical"},0),25,50,75,100),"")</f>
        <v/>
      </c>
      <c r="AG267">
        <f>IF(AF267&lt;&gt;"",IF(AH267="Weekly",AF267+7,IF(AH267="Monthly",EDATE(AF267,1),IF(AH267="Quarterly",EDATE(AF267,3),""))),"")</f>
        <v/>
      </c>
      <c r="AK267">
        <f>IF(AJ267&lt;&gt;"",IF(AI267="Monthly",EDATE(AJ267,1),IF(AI267="Quarterly",EDATE(AJ267,3),IF(AI267="Semi-Annual",EDATE(AJ267,6),""))),"")</f>
        <v/>
      </c>
      <c r="AL267">
        <f>IF(AK267&lt;&gt;"",IF(AK267&lt;TODAY(),"Overdue","Current"),"")</f>
        <v/>
      </c>
    </row>
    <row r="268">
      <c r="K268">
        <f>IF(J268="v4.0",L268,IF(J268="v3.1",M268,IF(J268="Both",L268,IF(AND(L268&lt;&gt;"",M268=""),L268,M268))))</f>
        <v/>
      </c>
      <c r="Z268">
        <f>IF(Y268&lt;&gt;"",TODAY()-Y268,"")</f>
        <v/>
      </c>
      <c r="AC268">
        <f>IF(AND(AA268&lt;&gt;"",AB268&lt;&gt;""),CHOOSE(MATCH(AA268,{"Low","Medium","High","Critical"},0),25,50,75,100)-CHOOSE(MATCH(AB268,{"Low","Medium","High","Critical"},0),25,50,75,100),"")</f>
        <v/>
      </c>
      <c r="AG268">
        <f>IF(AF268&lt;&gt;"",IF(AH268="Weekly",AF268+7,IF(AH268="Monthly",EDATE(AF268,1),IF(AH268="Quarterly",EDATE(AF268,3),""))),"")</f>
        <v/>
      </c>
      <c r="AK268">
        <f>IF(AJ268&lt;&gt;"",IF(AI268="Monthly",EDATE(AJ268,1),IF(AI268="Quarterly",EDATE(AJ268,3),IF(AI268="Semi-Annual",EDATE(AJ268,6),""))),"")</f>
        <v/>
      </c>
      <c r="AL268">
        <f>IF(AK268&lt;&gt;"",IF(AK268&lt;TODAY(),"Overdue","Current"),"")</f>
        <v/>
      </c>
    </row>
    <row r="269">
      <c r="K269">
        <f>IF(J269="v4.0",L269,IF(J269="v3.1",M269,IF(J269="Both",L269,IF(AND(L269&lt;&gt;"",M269=""),L269,M269))))</f>
        <v/>
      </c>
      <c r="Z269">
        <f>IF(Y269&lt;&gt;"",TODAY()-Y269,"")</f>
        <v/>
      </c>
      <c r="AC269">
        <f>IF(AND(AA269&lt;&gt;"",AB269&lt;&gt;""),CHOOSE(MATCH(AA269,{"Low","Medium","High","Critical"},0),25,50,75,100)-CHOOSE(MATCH(AB269,{"Low","Medium","High","Critical"},0),25,50,75,100),"")</f>
        <v/>
      </c>
      <c r="AG269">
        <f>IF(AF269&lt;&gt;"",IF(AH269="Weekly",AF269+7,IF(AH269="Monthly",EDATE(AF269,1),IF(AH269="Quarterly",EDATE(AF269,3),""))),"")</f>
        <v/>
      </c>
      <c r="AK269">
        <f>IF(AJ269&lt;&gt;"",IF(AI269="Monthly",EDATE(AJ269,1),IF(AI269="Quarterly",EDATE(AJ269,3),IF(AI269="Semi-Annual",EDATE(AJ269,6),""))),"")</f>
        <v/>
      </c>
      <c r="AL269">
        <f>IF(AK269&lt;&gt;"",IF(AK269&lt;TODAY(),"Overdue","Current"),"")</f>
        <v/>
      </c>
    </row>
    <row r="270">
      <c r="K270">
        <f>IF(J270="v4.0",L270,IF(J270="v3.1",M270,IF(J270="Both",L270,IF(AND(L270&lt;&gt;"",M270=""),L270,M270))))</f>
        <v/>
      </c>
      <c r="Z270">
        <f>IF(Y270&lt;&gt;"",TODAY()-Y270,"")</f>
        <v/>
      </c>
      <c r="AC270">
        <f>IF(AND(AA270&lt;&gt;"",AB270&lt;&gt;""),CHOOSE(MATCH(AA270,{"Low","Medium","High","Critical"},0),25,50,75,100)-CHOOSE(MATCH(AB270,{"Low","Medium","High","Critical"},0),25,50,75,100),"")</f>
        <v/>
      </c>
      <c r="AG270">
        <f>IF(AF270&lt;&gt;"",IF(AH270="Weekly",AF270+7,IF(AH270="Monthly",EDATE(AF270,1),IF(AH270="Quarterly",EDATE(AF270,3),""))),"")</f>
        <v/>
      </c>
      <c r="AK270">
        <f>IF(AJ270&lt;&gt;"",IF(AI270="Monthly",EDATE(AJ270,1),IF(AI270="Quarterly",EDATE(AJ270,3),IF(AI270="Semi-Annual",EDATE(AJ270,6),""))),"")</f>
        <v/>
      </c>
      <c r="AL270">
        <f>IF(AK270&lt;&gt;"",IF(AK270&lt;TODAY(),"Overdue","Current"),"")</f>
        <v/>
      </c>
    </row>
    <row r="271">
      <c r="K271">
        <f>IF(J271="v4.0",L271,IF(J271="v3.1",M271,IF(J271="Both",L271,IF(AND(L271&lt;&gt;"",M271=""),L271,M271))))</f>
        <v/>
      </c>
      <c r="Z271">
        <f>IF(Y271&lt;&gt;"",TODAY()-Y271,"")</f>
        <v/>
      </c>
      <c r="AC271">
        <f>IF(AND(AA271&lt;&gt;"",AB271&lt;&gt;""),CHOOSE(MATCH(AA271,{"Low","Medium","High","Critical"},0),25,50,75,100)-CHOOSE(MATCH(AB271,{"Low","Medium","High","Critical"},0),25,50,75,100),"")</f>
        <v/>
      </c>
      <c r="AG271">
        <f>IF(AF271&lt;&gt;"",IF(AH271="Weekly",AF271+7,IF(AH271="Monthly",EDATE(AF271,1),IF(AH271="Quarterly",EDATE(AF271,3),""))),"")</f>
        <v/>
      </c>
      <c r="AK271">
        <f>IF(AJ271&lt;&gt;"",IF(AI271="Monthly",EDATE(AJ271,1),IF(AI271="Quarterly",EDATE(AJ271,3),IF(AI271="Semi-Annual",EDATE(AJ271,6),""))),"")</f>
        <v/>
      </c>
      <c r="AL271">
        <f>IF(AK271&lt;&gt;"",IF(AK271&lt;TODAY(),"Overdue","Current"),"")</f>
        <v/>
      </c>
    </row>
    <row r="272">
      <c r="K272">
        <f>IF(J272="v4.0",L272,IF(J272="v3.1",M272,IF(J272="Both",L272,IF(AND(L272&lt;&gt;"",M272=""),L272,M272))))</f>
        <v/>
      </c>
      <c r="Z272">
        <f>IF(Y272&lt;&gt;"",TODAY()-Y272,"")</f>
        <v/>
      </c>
      <c r="AC272">
        <f>IF(AND(AA272&lt;&gt;"",AB272&lt;&gt;""),CHOOSE(MATCH(AA272,{"Low","Medium","High","Critical"},0),25,50,75,100)-CHOOSE(MATCH(AB272,{"Low","Medium","High","Critical"},0),25,50,75,100),"")</f>
        <v/>
      </c>
      <c r="AG272">
        <f>IF(AF272&lt;&gt;"",IF(AH272="Weekly",AF272+7,IF(AH272="Monthly",EDATE(AF272,1),IF(AH272="Quarterly",EDATE(AF272,3),""))),"")</f>
        <v/>
      </c>
      <c r="AK272">
        <f>IF(AJ272&lt;&gt;"",IF(AI272="Monthly",EDATE(AJ272,1),IF(AI272="Quarterly",EDATE(AJ272,3),IF(AI272="Semi-Annual",EDATE(AJ272,6),""))),"")</f>
        <v/>
      </c>
      <c r="AL272">
        <f>IF(AK272&lt;&gt;"",IF(AK272&lt;TODAY(),"Overdue","Current"),"")</f>
        <v/>
      </c>
    </row>
    <row r="273">
      <c r="K273">
        <f>IF(J273="v4.0",L273,IF(J273="v3.1",M273,IF(J273="Both",L273,IF(AND(L273&lt;&gt;"",M273=""),L273,M273))))</f>
        <v/>
      </c>
      <c r="Z273">
        <f>IF(Y273&lt;&gt;"",TODAY()-Y273,"")</f>
        <v/>
      </c>
      <c r="AC273">
        <f>IF(AND(AA273&lt;&gt;"",AB273&lt;&gt;""),CHOOSE(MATCH(AA273,{"Low","Medium","High","Critical"},0),25,50,75,100)-CHOOSE(MATCH(AB273,{"Low","Medium","High","Critical"},0),25,50,75,100),"")</f>
        <v/>
      </c>
      <c r="AG273">
        <f>IF(AF273&lt;&gt;"",IF(AH273="Weekly",AF273+7,IF(AH273="Monthly",EDATE(AF273,1),IF(AH273="Quarterly",EDATE(AF273,3),""))),"")</f>
        <v/>
      </c>
      <c r="AK273">
        <f>IF(AJ273&lt;&gt;"",IF(AI273="Monthly",EDATE(AJ273,1),IF(AI273="Quarterly",EDATE(AJ273,3),IF(AI273="Semi-Annual",EDATE(AJ273,6),""))),"")</f>
        <v/>
      </c>
      <c r="AL273">
        <f>IF(AK273&lt;&gt;"",IF(AK273&lt;TODAY(),"Overdue","Current"),"")</f>
        <v/>
      </c>
    </row>
    <row r="274">
      <c r="K274">
        <f>IF(J274="v4.0",L274,IF(J274="v3.1",M274,IF(J274="Both",L274,IF(AND(L274&lt;&gt;"",M274=""),L274,M274))))</f>
        <v/>
      </c>
      <c r="Z274">
        <f>IF(Y274&lt;&gt;"",TODAY()-Y274,"")</f>
        <v/>
      </c>
      <c r="AC274">
        <f>IF(AND(AA274&lt;&gt;"",AB274&lt;&gt;""),CHOOSE(MATCH(AA274,{"Low","Medium","High","Critical"},0),25,50,75,100)-CHOOSE(MATCH(AB274,{"Low","Medium","High","Critical"},0),25,50,75,100),"")</f>
        <v/>
      </c>
      <c r="AG274">
        <f>IF(AF274&lt;&gt;"",IF(AH274="Weekly",AF274+7,IF(AH274="Monthly",EDATE(AF274,1),IF(AH274="Quarterly",EDATE(AF274,3),""))),"")</f>
        <v/>
      </c>
      <c r="AK274">
        <f>IF(AJ274&lt;&gt;"",IF(AI274="Monthly",EDATE(AJ274,1),IF(AI274="Quarterly",EDATE(AJ274,3),IF(AI274="Semi-Annual",EDATE(AJ274,6),""))),"")</f>
        <v/>
      </c>
      <c r="AL274">
        <f>IF(AK274&lt;&gt;"",IF(AK274&lt;TODAY(),"Overdue","Current"),"")</f>
        <v/>
      </c>
    </row>
    <row r="275">
      <c r="K275">
        <f>IF(J275="v4.0",L275,IF(J275="v3.1",M275,IF(J275="Both",L275,IF(AND(L275&lt;&gt;"",M275=""),L275,M275))))</f>
        <v/>
      </c>
      <c r="Z275">
        <f>IF(Y275&lt;&gt;"",TODAY()-Y275,"")</f>
        <v/>
      </c>
      <c r="AC275">
        <f>IF(AND(AA275&lt;&gt;"",AB275&lt;&gt;""),CHOOSE(MATCH(AA275,{"Low","Medium","High","Critical"},0),25,50,75,100)-CHOOSE(MATCH(AB275,{"Low","Medium","High","Critical"},0),25,50,75,100),"")</f>
        <v/>
      </c>
      <c r="AG275">
        <f>IF(AF275&lt;&gt;"",IF(AH275="Weekly",AF275+7,IF(AH275="Monthly",EDATE(AF275,1),IF(AH275="Quarterly",EDATE(AF275,3),""))),"")</f>
        <v/>
      </c>
      <c r="AK275">
        <f>IF(AJ275&lt;&gt;"",IF(AI275="Monthly",EDATE(AJ275,1),IF(AI275="Quarterly",EDATE(AJ275,3),IF(AI275="Semi-Annual",EDATE(AJ275,6),""))),"")</f>
        <v/>
      </c>
      <c r="AL275">
        <f>IF(AK275&lt;&gt;"",IF(AK275&lt;TODAY(),"Overdue","Current"),"")</f>
        <v/>
      </c>
    </row>
    <row r="276">
      <c r="K276">
        <f>IF(J276="v4.0",L276,IF(J276="v3.1",M276,IF(J276="Both",L276,IF(AND(L276&lt;&gt;"",M276=""),L276,M276))))</f>
        <v/>
      </c>
      <c r="Z276">
        <f>IF(Y276&lt;&gt;"",TODAY()-Y276,"")</f>
        <v/>
      </c>
      <c r="AC276">
        <f>IF(AND(AA276&lt;&gt;"",AB276&lt;&gt;""),CHOOSE(MATCH(AA276,{"Low","Medium","High","Critical"},0),25,50,75,100)-CHOOSE(MATCH(AB276,{"Low","Medium","High","Critical"},0),25,50,75,100),"")</f>
        <v/>
      </c>
      <c r="AG276">
        <f>IF(AF276&lt;&gt;"",IF(AH276="Weekly",AF276+7,IF(AH276="Monthly",EDATE(AF276,1),IF(AH276="Quarterly",EDATE(AF276,3),""))),"")</f>
        <v/>
      </c>
      <c r="AK276">
        <f>IF(AJ276&lt;&gt;"",IF(AI276="Monthly",EDATE(AJ276,1),IF(AI276="Quarterly",EDATE(AJ276,3),IF(AI276="Semi-Annual",EDATE(AJ276,6),""))),"")</f>
        <v/>
      </c>
      <c r="AL276">
        <f>IF(AK276&lt;&gt;"",IF(AK276&lt;TODAY(),"Overdue","Current"),"")</f>
        <v/>
      </c>
    </row>
    <row r="277">
      <c r="K277">
        <f>IF(J277="v4.0",L277,IF(J277="v3.1",M277,IF(J277="Both",L277,IF(AND(L277&lt;&gt;"",M277=""),L277,M277))))</f>
        <v/>
      </c>
      <c r="Z277">
        <f>IF(Y277&lt;&gt;"",TODAY()-Y277,"")</f>
        <v/>
      </c>
      <c r="AC277">
        <f>IF(AND(AA277&lt;&gt;"",AB277&lt;&gt;""),CHOOSE(MATCH(AA277,{"Low","Medium","High","Critical"},0),25,50,75,100)-CHOOSE(MATCH(AB277,{"Low","Medium","High","Critical"},0),25,50,75,100),"")</f>
        <v/>
      </c>
      <c r="AG277">
        <f>IF(AF277&lt;&gt;"",IF(AH277="Weekly",AF277+7,IF(AH277="Monthly",EDATE(AF277,1),IF(AH277="Quarterly",EDATE(AF277,3),""))),"")</f>
        <v/>
      </c>
      <c r="AK277">
        <f>IF(AJ277&lt;&gt;"",IF(AI277="Monthly",EDATE(AJ277,1),IF(AI277="Quarterly",EDATE(AJ277,3),IF(AI277="Semi-Annual",EDATE(AJ277,6),""))),"")</f>
        <v/>
      </c>
      <c r="AL277">
        <f>IF(AK277&lt;&gt;"",IF(AK277&lt;TODAY(),"Overdue","Current"),"")</f>
        <v/>
      </c>
    </row>
    <row r="278">
      <c r="K278">
        <f>IF(J278="v4.0",L278,IF(J278="v3.1",M278,IF(J278="Both",L278,IF(AND(L278&lt;&gt;"",M278=""),L278,M278))))</f>
        <v/>
      </c>
      <c r="Z278">
        <f>IF(Y278&lt;&gt;"",TODAY()-Y278,"")</f>
        <v/>
      </c>
      <c r="AC278">
        <f>IF(AND(AA278&lt;&gt;"",AB278&lt;&gt;""),CHOOSE(MATCH(AA278,{"Low","Medium","High","Critical"},0),25,50,75,100)-CHOOSE(MATCH(AB278,{"Low","Medium","High","Critical"},0),25,50,75,100),"")</f>
        <v/>
      </c>
      <c r="AG278">
        <f>IF(AF278&lt;&gt;"",IF(AH278="Weekly",AF278+7,IF(AH278="Monthly",EDATE(AF278,1),IF(AH278="Quarterly",EDATE(AF278,3),""))),"")</f>
        <v/>
      </c>
      <c r="AK278">
        <f>IF(AJ278&lt;&gt;"",IF(AI278="Monthly",EDATE(AJ278,1),IF(AI278="Quarterly",EDATE(AJ278,3),IF(AI278="Semi-Annual",EDATE(AJ278,6),""))),"")</f>
        <v/>
      </c>
      <c r="AL278">
        <f>IF(AK278&lt;&gt;"",IF(AK278&lt;TODAY(),"Overdue","Current"),"")</f>
        <v/>
      </c>
    </row>
    <row r="279">
      <c r="K279">
        <f>IF(J279="v4.0",L279,IF(J279="v3.1",M279,IF(J279="Both",L279,IF(AND(L279&lt;&gt;"",M279=""),L279,M279))))</f>
        <v/>
      </c>
      <c r="Z279">
        <f>IF(Y279&lt;&gt;"",TODAY()-Y279,"")</f>
        <v/>
      </c>
      <c r="AC279">
        <f>IF(AND(AA279&lt;&gt;"",AB279&lt;&gt;""),CHOOSE(MATCH(AA279,{"Low","Medium","High","Critical"},0),25,50,75,100)-CHOOSE(MATCH(AB279,{"Low","Medium","High","Critical"},0),25,50,75,100),"")</f>
        <v/>
      </c>
      <c r="AG279">
        <f>IF(AF279&lt;&gt;"",IF(AH279="Weekly",AF279+7,IF(AH279="Monthly",EDATE(AF279,1),IF(AH279="Quarterly",EDATE(AF279,3),""))),"")</f>
        <v/>
      </c>
      <c r="AK279">
        <f>IF(AJ279&lt;&gt;"",IF(AI279="Monthly",EDATE(AJ279,1),IF(AI279="Quarterly",EDATE(AJ279,3),IF(AI279="Semi-Annual",EDATE(AJ279,6),""))),"")</f>
        <v/>
      </c>
      <c r="AL279">
        <f>IF(AK279&lt;&gt;"",IF(AK279&lt;TODAY(),"Overdue","Current"),"")</f>
        <v/>
      </c>
    </row>
    <row r="280">
      <c r="K280">
        <f>IF(J280="v4.0",L280,IF(J280="v3.1",M280,IF(J280="Both",L280,IF(AND(L280&lt;&gt;"",M280=""),L280,M280))))</f>
        <v/>
      </c>
      <c r="Z280">
        <f>IF(Y280&lt;&gt;"",TODAY()-Y280,"")</f>
        <v/>
      </c>
      <c r="AC280">
        <f>IF(AND(AA280&lt;&gt;"",AB280&lt;&gt;""),CHOOSE(MATCH(AA280,{"Low","Medium","High","Critical"},0),25,50,75,100)-CHOOSE(MATCH(AB280,{"Low","Medium","High","Critical"},0),25,50,75,100),"")</f>
        <v/>
      </c>
      <c r="AG280">
        <f>IF(AF280&lt;&gt;"",IF(AH280="Weekly",AF280+7,IF(AH280="Monthly",EDATE(AF280,1),IF(AH280="Quarterly",EDATE(AF280,3),""))),"")</f>
        <v/>
      </c>
      <c r="AK280">
        <f>IF(AJ280&lt;&gt;"",IF(AI280="Monthly",EDATE(AJ280,1),IF(AI280="Quarterly",EDATE(AJ280,3),IF(AI280="Semi-Annual",EDATE(AJ280,6),""))),"")</f>
        <v/>
      </c>
      <c r="AL280">
        <f>IF(AK280&lt;&gt;"",IF(AK280&lt;TODAY(),"Overdue","Current"),"")</f>
        <v/>
      </c>
    </row>
    <row r="281">
      <c r="K281">
        <f>IF(J281="v4.0",L281,IF(J281="v3.1",M281,IF(J281="Both",L281,IF(AND(L281&lt;&gt;"",M281=""),L281,M281))))</f>
        <v/>
      </c>
      <c r="Z281">
        <f>IF(Y281&lt;&gt;"",TODAY()-Y281,"")</f>
        <v/>
      </c>
      <c r="AC281">
        <f>IF(AND(AA281&lt;&gt;"",AB281&lt;&gt;""),CHOOSE(MATCH(AA281,{"Low","Medium","High","Critical"},0),25,50,75,100)-CHOOSE(MATCH(AB281,{"Low","Medium","High","Critical"},0),25,50,75,100),"")</f>
        <v/>
      </c>
      <c r="AG281">
        <f>IF(AF281&lt;&gt;"",IF(AH281="Weekly",AF281+7,IF(AH281="Monthly",EDATE(AF281,1),IF(AH281="Quarterly",EDATE(AF281,3),""))),"")</f>
        <v/>
      </c>
      <c r="AK281">
        <f>IF(AJ281&lt;&gt;"",IF(AI281="Monthly",EDATE(AJ281,1),IF(AI281="Quarterly",EDATE(AJ281,3),IF(AI281="Semi-Annual",EDATE(AJ281,6),""))),"")</f>
        <v/>
      </c>
      <c r="AL281">
        <f>IF(AK281&lt;&gt;"",IF(AK281&lt;TODAY(),"Overdue","Current"),"")</f>
        <v/>
      </c>
    </row>
    <row r="282">
      <c r="K282">
        <f>IF(J282="v4.0",L282,IF(J282="v3.1",M282,IF(J282="Both",L282,IF(AND(L282&lt;&gt;"",M282=""),L282,M282))))</f>
        <v/>
      </c>
      <c r="Z282">
        <f>IF(Y282&lt;&gt;"",TODAY()-Y282,"")</f>
        <v/>
      </c>
      <c r="AC282">
        <f>IF(AND(AA282&lt;&gt;"",AB282&lt;&gt;""),CHOOSE(MATCH(AA282,{"Low","Medium","High","Critical"},0),25,50,75,100)-CHOOSE(MATCH(AB282,{"Low","Medium","High","Critical"},0),25,50,75,100),"")</f>
        <v/>
      </c>
      <c r="AG282">
        <f>IF(AF282&lt;&gt;"",IF(AH282="Weekly",AF282+7,IF(AH282="Monthly",EDATE(AF282,1),IF(AH282="Quarterly",EDATE(AF282,3),""))),"")</f>
        <v/>
      </c>
      <c r="AK282">
        <f>IF(AJ282&lt;&gt;"",IF(AI282="Monthly",EDATE(AJ282,1),IF(AI282="Quarterly",EDATE(AJ282,3),IF(AI282="Semi-Annual",EDATE(AJ282,6),""))),"")</f>
        <v/>
      </c>
      <c r="AL282">
        <f>IF(AK282&lt;&gt;"",IF(AK282&lt;TODAY(),"Overdue","Current"),"")</f>
        <v/>
      </c>
    </row>
    <row r="283">
      <c r="K283">
        <f>IF(J283="v4.0",L283,IF(J283="v3.1",M283,IF(J283="Both",L283,IF(AND(L283&lt;&gt;"",M283=""),L283,M283))))</f>
        <v/>
      </c>
      <c r="Z283">
        <f>IF(Y283&lt;&gt;"",TODAY()-Y283,"")</f>
        <v/>
      </c>
      <c r="AC283">
        <f>IF(AND(AA283&lt;&gt;"",AB283&lt;&gt;""),CHOOSE(MATCH(AA283,{"Low","Medium","High","Critical"},0),25,50,75,100)-CHOOSE(MATCH(AB283,{"Low","Medium","High","Critical"},0),25,50,75,100),"")</f>
        <v/>
      </c>
      <c r="AG283">
        <f>IF(AF283&lt;&gt;"",IF(AH283="Weekly",AF283+7,IF(AH283="Monthly",EDATE(AF283,1),IF(AH283="Quarterly",EDATE(AF283,3),""))),"")</f>
        <v/>
      </c>
      <c r="AK283">
        <f>IF(AJ283&lt;&gt;"",IF(AI283="Monthly",EDATE(AJ283,1),IF(AI283="Quarterly",EDATE(AJ283,3),IF(AI283="Semi-Annual",EDATE(AJ283,6),""))),"")</f>
        <v/>
      </c>
      <c r="AL283">
        <f>IF(AK283&lt;&gt;"",IF(AK283&lt;TODAY(),"Overdue","Current"),"")</f>
        <v/>
      </c>
    </row>
    <row r="284">
      <c r="K284">
        <f>IF(J284="v4.0",L284,IF(J284="v3.1",M284,IF(J284="Both",L284,IF(AND(L284&lt;&gt;"",M284=""),L284,M284))))</f>
        <v/>
      </c>
      <c r="Z284">
        <f>IF(Y284&lt;&gt;"",TODAY()-Y284,"")</f>
        <v/>
      </c>
      <c r="AC284">
        <f>IF(AND(AA284&lt;&gt;"",AB284&lt;&gt;""),CHOOSE(MATCH(AA284,{"Low","Medium","High","Critical"},0),25,50,75,100)-CHOOSE(MATCH(AB284,{"Low","Medium","High","Critical"},0),25,50,75,100),"")</f>
        <v/>
      </c>
      <c r="AG284">
        <f>IF(AF284&lt;&gt;"",IF(AH284="Weekly",AF284+7,IF(AH284="Monthly",EDATE(AF284,1),IF(AH284="Quarterly",EDATE(AF284,3),""))),"")</f>
        <v/>
      </c>
      <c r="AK284">
        <f>IF(AJ284&lt;&gt;"",IF(AI284="Monthly",EDATE(AJ284,1),IF(AI284="Quarterly",EDATE(AJ284,3),IF(AI284="Semi-Annual",EDATE(AJ284,6),""))),"")</f>
        <v/>
      </c>
      <c r="AL284">
        <f>IF(AK284&lt;&gt;"",IF(AK284&lt;TODAY(),"Overdue","Current"),"")</f>
        <v/>
      </c>
    </row>
    <row r="285">
      <c r="K285">
        <f>IF(J285="v4.0",L285,IF(J285="v3.1",M285,IF(J285="Both",L285,IF(AND(L285&lt;&gt;"",M285=""),L285,M285))))</f>
        <v/>
      </c>
      <c r="Z285">
        <f>IF(Y285&lt;&gt;"",TODAY()-Y285,"")</f>
        <v/>
      </c>
      <c r="AC285">
        <f>IF(AND(AA285&lt;&gt;"",AB285&lt;&gt;""),CHOOSE(MATCH(AA285,{"Low","Medium","High","Critical"},0),25,50,75,100)-CHOOSE(MATCH(AB285,{"Low","Medium","High","Critical"},0),25,50,75,100),"")</f>
        <v/>
      </c>
      <c r="AG285">
        <f>IF(AF285&lt;&gt;"",IF(AH285="Weekly",AF285+7,IF(AH285="Monthly",EDATE(AF285,1),IF(AH285="Quarterly",EDATE(AF285,3),""))),"")</f>
        <v/>
      </c>
      <c r="AK285">
        <f>IF(AJ285&lt;&gt;"",IF(AI285="Monthly",EDATE(AJ285,1),IF(AI285="Quarterly",EDATE(AJ285,3),IF(AI285="Semi-Annual",EDATE(AJ285,6),""))),"")</f>
        <v/>
      </c>
      <c r="AL285">
        <f>IF(AK285&lt;&gt;"",IF(AK285&lt;TODAY(),"Overdue","Current"),"")</f>
        <v/>
      </c>
    </row>
    <row r="286">
      <c r="K286">
        <f>IF(J286="v4.0",L286,IF(J286="v3.1",M286,IF(J286="Both",L286,IF(AND(L286&lt;&gt;"",M286=""),L286,M286))))</f>
        <v/>
      </c>
      <c r="Z286">
        <f>IF(Y286&lt;&gt;"",TODAY()-Y286,"")</f>
        <v/>
      </c>
      <c r="AC286">
        <f>IF(AND(AA286&lt;&gt;"",AB286&lt;&gt;""),CHOOSE(MATCH(AA286,{"Low","Medium","High","Critical"},0),25,50,75,100)-CHOOSE(MATCH(AB286,{"Low","Medium","High","Critical"},0),25,50,75,100),"")</f>
        <v/>
      </c>
      <c r="AG286">
        <f>IF(AF286&lt;&gt;"",IF(AH286="Weekly",AF286+7,IF(AH286="Monthly",EDATE(AF286,1),IF(AH286="Quarterly",EDATE(AF286,3),""))),"")</f>
        <v/>
      </c>
      <c r="AK286">
        <f>IF(AJ286&lt;&gt;"",IF(AI286="Monthly",EDATE(AJ286,1),IF(AI286="Quarterly",EDATE(AJ286,3),IF(AI286="Semi-Annual",EDATE(AJ286,6),""))),"")</f>
        <v/>
      </c>
      <c r="AL286">
        <f>IF(AK286&lt;&gt;"",IF(AK286&lt;TODAY(),"Overdue","Current"),"")</f>
        <v/>
      </c>
    </row>
    <row r="287">
      <c r="K287">
        <f>IF(J287="v4.0",L287,IF(J287="v3.1",M287,IF(J287="Both",L287,IF(AND(L287&lt;&gt;"",M287=""),L287,M287))))</f>
        <v/>
      </c>
      <c r="Z287">
        <f>IF(Y287&lt;&gt;"",TODAY()-Y287,"")</f>
        <v/>
      </c>
      <c r="AC287">
        <f>IF(AND(AA287&lt;&gt;"",AB287&lt;&gt;""),CHOOSE(MATCH(AA287,{"Low","Medium","High","Critical"},0),25,50,75,100)-CHOOSE(MATCH(AB287,{"Low","Medium","High","Critical"},0),25,50,75,100),"")</f>
        <v/>
      </c>
      <c r="AG287">
        <f>IF(AF287&lt;&gt;"",IF(AH287="Weekly",AF287+7,IF(AH287="Monthly",EDATE(AF287,1),IF(AH287="Quarterly",EDATE(AF287,3),""))),"")</f>
        <v/>
      </c>
      <c r="AK287">
        <f>IF(AJ287&lt;&gt;"",IF(AI287="Monthly",EDATE(AJ287,1),IF(AI287="Quarterly",EDATE(AJ287,3),IF(AI287="Semi-Annual",EDATE(AJ287,6),""))),"")</f>
        <v/>
      </c>
      <c r="AL287">
        <f>IF(AK287&lt;&gt;"",IF(AK287&lt;TODAY(),"Overdue","Current"),"")</f>
        <v/>
      </c>
    </row>
    <row r="288">
      <c r="K288">
        <f>IF(J288="v4.0",L288,IF(J288="v3.1",M288,IF(J288="Both",L288,IF(AND(L288&lt;&gt;"",M288=""),L288,M288))))</f>
        <v/>
      </c>
      <c r="Z288">
        <f>IF(Y288&lt;&gt;"",TODAY()-Y288,"")</f>
        <v/>
      </c>
      <c r="AC288">
        <f>IF(AND(AA288&lt;&gt;"",AB288&lt;&gt;""),CHOOSE(MATCH(AA288,{"Low","Medium","High","Critical"},0),25,50,75,100)-CHOOSE(MATCH(AB288,{"Low","Medium","High","Critical"},0),25,50,75,100),"")</f>
        <v/>
      </c>
      <c r="AG288">
        <f>IF(AF288&lt;&gt;"",IF(AH288="Weekly",AF288+7,IF(AH288="Monthly",EDATE(AF288,1),IF(AH288="Quarterly",EDATE(AF288,3),""))),"")</f>
        <v/>
      </c>
      <c r="AK288">
        <f>IF(AJ288&lt;&gt;"",IF(AI288="Monthly",EDATE(AJ288,1),IF(AI288="Quarterly",EDATE(AJ288,3),IF(AI288="Semi-Annual",EDATE(AJ288,6),""))),"")</f>
        <v/>
      </c>
      <c r="AL288">
        <f>IF(AK288&lt;&gt;"",IF(AK288&lt;TODAY(),"Overdue","Current"),"")</f>
        <v/>
      </c>
    </row>
    <row r="289">
      <c r="K289">
        <f>IF(J289="v4.0",L289,IF(J289="v3.1",M289,IF(J289="Both",L289,IF(AND(L289&lt;&gt;"",M289=""),L289,M289))))</f>
        <v/>
      </c>
      <c r="Z289">
        <f>IF(Y289&lt;&gt;"",TODAY()-Y289,"")</f>
        <v/>
      </c>
      <c r="AC289">
        <f>IF(AND(AA289&lt;&gt;"",AB289&lt;&gt;""),CHOOSE(MATCH(AA289,{"Low","Medium","High","Critical"},0),25,50,75,100)-CHOOSE(MATCH(AB289,{"Low","Medium","High","Critical"},0),25,50,75,100),"")</f>
        <v/>
      </c>
      <c r="AG289">
        <f>IF(AF289&lt;&gt;"",IF(AH289="Weekly",AF289+7,IF(AH289="Monthly",EDATE(AF289,1),IF(AH289="Quarterly",EDATE(AF289,3),""))),"")</f>
        <v/>
      </c>
      <c r="AK289">
        <f>IF(AJ289&lt;&gt;"",IF(AI289="Monthly",EDATE(AJ289,1),IF(AI289="Quarterly",EDATE(AJ289,3),IF(AI289="Semi-Annual",EDATE(AJ289,6),""))),"")</f>
        <v/>
      </c>
      <c r="AL289">
        <f>IF(AK289&lt;&gt;"",IF(AK289&lt;TODAY(),"Overdue","Current"),"")</f>
        <v/>
      </c>
    </row>
    <row r="290">
      <c r="K290">
        <f>IF(J290="v4.0",L290,IF(J290="v3.1",M290,IF(J290="Both",L290,IF(AND(L290&lt;&gt;"",M290=""),L290,M290))))</f>
        <v/>
      </c>
      <c r="Z290">
        <f>IF(Y290&lt;&gt;"",TODAY()-Y290,"")</f>
        <v/>
      </c>
      <c r="AC290">
        <f>IF(AND(AA290&lt;&gt;"",AB290&lt;&gt;""),CHOOSE(MATCH(AA290,{"Low","Medium","High","Critical"},0),25,50,75,100)-CHOOSE(MATCH(AB290,{"Low","Medium","High","Critical"},0),25,50,75,100),"")</f>
        <v/>
      </c>
      <c r="AG290">
        <f>IF(AF290&lt;&gt;"",IF(AH290="Weekly",AF290+7,IF(AH290="Monthly",EDATE(AF290,1),IF(AH290="Quarterly",EDATE(AF290,3),""))),"")</f>
        <v/>
      </c>
      <c r="AK290">
        <f>IF(AJ290&lt;&gt;"",IF(AI290="Monthly",EDATE(AJ290,1),IF(AI290="Quarterly",EDATE(AJ290,3),IF(AI290="Semi-Annual",EDATE(AJ290,6),""))),"")</f>
        <v/>
      </c>
      <c r="AL290">
        <f>IF(AK290&lt;&gt;"",IF(AK290&lt;TODAY(),"Overdue","Current"),"")</f>
        <v/>
      </c>
    </row>
    <row r="291">
      <c r="K291">
        <f>IF(J291="v4.0",L291,IF(J291="v3.1",M291,IF(J291="Both",L291,IF(AND(L291&lt;&gt;"",M291=""),L291,M291))))</f>
        <v/>
      </c>
      <c r="Z291">
        <f>IF(Y291&lt;&gt;"",TODAY()-Y291,"")</f>
        <v/>
      </c>
      <c r="AC291">
        <f>IF(AND(AA291&lt;&gt;"",AB291&lt;&gt;""),CHOOSE(MATCH(AA291,{"Low","Medium","High","Critical"},0),25,50,75,100)-CHOOSE(MATCH(AB291,{"Low","Medium","High","Critical"},0),25,50,75,100),"")</f>
        <v/>
      </c>
      <c r="AG291">
        <f>IF(AF291&lt;&gt;"",IF(AH291="Weekly",AF291+7,IF(AH291="Monthly",EDATE(AF291,1),IF(AH291="Quarterly",EDATE(AF291,3),""))),"")</f>
        <v/>
      </c>
      <c r="AK291">
        <f>IF(AJ291&lt;&gt;"",IF(AI291="Monthly",EDATE(AJ291,1),IF(AI291="Quarterly",EDATE(AJ291,3),IF(AI291="Semi-Annual",EDATE(AJ291,6),""))),"")</f>
        <v/>
      </c>
      <c r="AL291">
        <f>IF(AK291&lt;&gt;"",IF(AK291&lt;TODAY(),"Overdue","Current"),"")</f>
        <v/>
      </c>
    </row>
    <row r="292">
      <c r="K292">
        <f>IF(J292="v4.0",L292,IF(J292="v3.1",M292,IF(J292="Both",L292,IF(AND(L292&lt;&gt;"",M292=""),L292,M292))))</f>
        <v/>
      </c>
      <c r="Z292">
        <f>IF(Y292&lt;&gt;"",TODAY()-Y292,"")</f>
        <v/>
      </c>
      <c r="AC292">
        <f>IF(AND(AA292&lt;&gt;"",AB292&lt;&gt;""),CHOOSE(MATCH(AA292,{"Low","Medium","High","Critical"},0),25,50,75,100)-CHOOSE(MATCH(AB292,{"Low","Medium","High","Critical"},0),25,50,75,100),"")</f>
        <v/>
      </c>
      <c r="AG292">
        <f>IF(AF292&lt;&gt;"",IF(AH292="Weekly",AF292+7,IF(AH292="Monthly",EDATE(AF292,1),IF(AH292="Quarterly",EDATE(AF292,3),""))),"")</f>
        <v/>
      </c>
      <c r="AK292">
        <f>IF(AJ292&lt;&gt;"",IF(AI292="Monthly",EDATE(AJ292,1),IF(AI292="Quarterly",EDATE(AJ292,3),IF(AI292="Semi-Annual",EDATE(AJ292,6),""))),"")</f>
        <v/>
      </c>
      <c r="AL292">
        <f>IF(AK292&lt;&gt;"",IF(AK292&lt;TODAY(),"Overdue","Current"),"")</f>
        <v/>
      </c>
    </row>
    <row r="293">
      <c r="K293">
        <f>IF(J293="v4.0",L293,IF(J293="v3.1",M293,IF(J293="Both",L293,IF(AND(L293&lt;&gt;"",M293=""),L293,M293))))</f>
        <v/>
      </c>
      <c r="Z293">
        <f>IF(Y293&lt;&gt;"",TODAY()-Y293,"")</f>
        <v/>
      </c>
      <c r="AC293">
        <f>IF(AND(AA293&lt;&gt;"",AB293&lt;&gt;""),CHOOSE(MATCH(AA293,{"Low","Medium","High","Critical"},0),25,50,75,100)-CHOOSE(MATCH(AB293,{"Low","Medium","High","Critical"},0),25,50,75,100),"")</f>
        <v/>
      </c>
      <c r="AG293">
        <f>IF(AF293&lt;&gt;"",IF(AH293="Weekly",AF293+7,IF(AH293="Monthly",EDATE(AF293,1),IF(AH293="Quarterly",EDATE(AF293,3),""))),"")</f>
        <v/>
      </c>
      <c r="AK293">
        <f>IF(AJ293&lt;&gt;"",IF(AI293="Monthly",EDATE(AJ293,1),IF(AI293="Quarterly",EDATE(AJ293,3),IF(AI293="Semi-Annual",EDATE(AJ293,6),""))),"")</f>
        <v/>
      </c>
      <c r="AL293">
        <f>IF(AK293&lt;&gt;"",IF(AK293&lt;TODAY(),"Overdue","Current"),"")</f>
        <v/>
      </c>
    </row>
    <row r="294">
      <c r="K294">
        <f>IF(J294="v4.0",L294,IF(J294="v3.1",M294,IF(J294="Both",L294,IF(AND(L294&lt;&gt;"",M294=""),L294,M294))))</f>
        <v/>
      </c>
      <c r="Z294">
        <f>IF(Y294&lt;&gt;"",TODAY()-Y294,"")</f>
        <v/>
      </c>
      <c r="AC294">
        <f>IF(AND(AA294&lt;&gt;"",AB294&lt;&gt;""),CHOOSE(MATCH(AA294,{"Low","Medium","High","Critical"},0),25,50,75,100)-CHOOSE(MATCH(AB294,{"Low","Medium","High","Critical"},0),25,50,75,100),"")</f>
        <v/>
      </c>
      <c r="AG294">
        <f>IF(AF294&lt;&gt;"",IF(AH294="Weekly",AF294+7,IF(AH294="Monthly",EDATE(AF294,1),IF(AH294="Quarterly",EDATE(AF294,3),""))),"")</f>
        <v/>
      </c>
      <c r="AK294">
        <f>IF(AJ294&lt;&gt;"",IF(AI294="Monthly",EDATE(AJ294,1),IF(AI294="Quarterly",EDATE(AJ294,3),IF(AI294="Semi-Annual",EDATE(AJ294,6),""))),"")</f>
        <v/>
      </c>
      <c r="AL294">
        <f>IF(AK294&lt;&gt;"",IF(AK294&lt;TODAY(),"Overdue","Current"),"")</f>
        <v/>
      </c>
    </row>
    <row r="295">
      <c r="K295">
        <f>IF(J295="v4.0",L295,IF(J295="v3.1",M295,IF(J295="Both",L295,IF(AND(L295&lt;&gt;"",M295=""),L295,M295))))</f>
        <v/>
      </c>
      <c r="Z295">
        <f>IF(Y295&lt;&gt;"",TODAY()-Y295,"")</f>
        <v/>
      </c>
      <c r="AC295">
        <f>IF(AND(AA295&lt;&gt;"",AB295&lt;&gt;""),CHOOSE(MATCH(AA295,{"Low","Medium","High","Critical"},0),25,50,75,100)-CHOOSE(MATCH(AB295,{"Low","Medium","High","Critical"},0),25,50,75,100),"")</f>
        <v/>
      </c>
      <c r="AG295">
        <f>IF(AF295&lt;&gt;"",IF(AH295="Weekly",AF295+7,IF(AH295="Monthly",EDATE(AF295,1),IF(AH295="Quarterly",EDATE(AF295,3),""))),"")</f>
        <v/>
      </c>
      <c r="AK295">
        <f>IF(AJ295&lt;&gt;"",IF(AI295="Monthly",EDATE(AJ295,1),IF(AI295="Quarterly",EDATE(AJ295,3),IF(AI295="Semi-Annual",EDATE(AJ295,6),""))),"")</f>
        <v/>
      </c>
      <c r="AL295">
        <f>IF(AK295&lt;&gt;"",IF(AK295&lt;TODAY(),"Overdue","Current"),"")</f>
        <v/>
      </c>
    </row>
    <row r="296">
      <c r="K296">
        <f>IF(J296="v4.0",L296,IF(J296="v3.1",M296,IF(J296="Both",L296,IF(AND(L296&lt;&gt;"",M296=""),L296,M296))))</f>
        <v/>
      </c>
      <c r="Z296">
        <f>IF(Y296&lt;&gt;"",TODAY()-Y296,"")</f>
        <v/>
      </c>
      <c r="AC296">
        <f>IF(AND(AA296&lt;&gt;"",AB296&lt;&gt;""),CHOOSE(MATCH(AA296,{"Low","Medium","High","Critical"},0),25,50,75,100)-CHOOSE(MATCH(AB296,{"Low","Medium","High","Critical"},0),25,50,75,100),"")</f>
        <v/>
      </c>
      <c r="AG296">
        <f>IF(AF296&lt;&gt;"",IF(AH296="Weekly",AF296+7,IF(AH296="Monthly",EDATE(AF296,1),IF(AH296="Quarterly",EDATE(AF296,3),""))),"")</f>
        <v/>
      </c>
      <c r="AK296">
        <f>IF(AJ296&lt;&gt;"",IF(AI296="Monthly",EDATE(AJ296,1),IF(AI296="Quarterly",EDATE(AJ296,3),IF(AI296="Semi-Annual",EDATE(AJ296,6),""))),"")</f>
        <v/>
      </c>
      <c r="AL296">
        <f>IF(AK296&lt;&gt;"",IF(AK296&lt;TODAY(),"Overdue","Current"),"")</f>
        <v/>
      </c>
    </row>
    <row r="297">
      <c r="K297">
        <f>IF(J297="v4.0",L297,IF(J297="v3.1",M297,IF(J297="Both",L297,IF(AND(L297&lt;&gt;"",M297=""),L297,M297))))</f>
        <v/>
      </c>
      <c r="Z297">
        <f>IF(Y297&lt;&gt;"",TODAY()-Y297,"")</f>
        <v/>
      </c>
      <c r="AC297">
        <f>IF(AND(AA297&lt;&gt;"",AB297&lt;&gt;""),CHOOSE(MATCH(AA297,{"Low","Medium","High","Critical"},0),25,50,75,100)-CHOOSE(MATCH(AB297,{"Low","Medium","High","Critical"},0),25,50,75,100),"")</f>
        <v/>
      </c>
      <c r="AG297">
        <f>IF(AF297&lt;&gt;"",IF(AH297="Weekly",AF297+7,IF(AH297="Monthly",EDATE(AF297,1),IF(AH297="Quarterly",EDATE(AF297,3),""))),"")</f>
        <v/>
      </c>
      <c r="AK297">
        <f>IF(AJ297&lt;&gt;"",IF(AI297="Monthly",EDATE(AJ297,1),IF(AI297="Quarterly",EDATE(AJ297,3),IF(AI297="Semi-Annual",EDATE(AJ297,6),""))),"")</f>
        <v/>
      </c>
      <c r="AL297">
        <f>IF(AK297&lt;&gt;"",IF(AK297&lt;TODAY(),"Overdue","Current"),"")</f>
        <v/>
      </c>
    </row>
    <row r="298">
      <c r="K298">
        <f>IF(J298="v4.0",L298,IF(J298="v3.1",M298,IF(J298="Both",L298,IF(AND(L298&lt;&gt;"",M298=""),L298,M298))))</f>
        <v/>
      </c>
      <c r="Z298">
        <f>IF(Y298&lt;&gt;"",TODAY()-Y298,"")</f>
        <v/>
      </c>
      <c r="AC298">
        <f>IF(AND(AA298&lt;&gt;"",AB298&lt;&gt;""),CHOOSE(MATCH(AA298,{"Low","Medium","High","Critical"},0),25,50,75,100)-CHOOSE(MATCH(AB298,{"Low","Medium","High","Critical"},0),25,50,75,100),"")</f>
        <v/>
      </c>
      <c r="AG298">
        <f>IF(AF298&lt;&gt;"",IF(AH298="Weekly",AF298+7,IF(AH298="Monthly",EDATE(AF298,1),IF(AH298="Quarterly",EDATE(AF298,3),""))),"")</f>
        <v/>
      </c>
      <c r="AK298">
        <f>IF(AJ298&lt;&gt;"",IF(AI298="Monthly",EDATE(AJ298,1),IF(AI298="Quarterly",EDATE(AJ298,3),IF(AI298="Semi-Annual",EDATE(AJ298,6),""))),"")</f>
        <v/>
      </c>
      <c r="AL298">
        <f>IF(AK298&lt;&gt;"",IF(AK298&lt;TODAY(),"Overdue","Current"),"")</f>
        <v/>
      </c>
    </row>
    <row r="299">
      <c r="K299">
        <f>IF(J299="v4.0",L299,IF(J299="v3.1",M299,IF(J299="Both",L299,IF(AND(L299&lt;&gt;"",M299=""),L299,M299))))</f>
        <v/>
      </c>
      <c r="Z299">
        <f>IF(Y299&lt;&gt;"",TODAY()-Y299,"")</f>
        <v/>
      </c>
      <c r="AC299">
        <f>IF(AND(AA299&lt;&gt;"",AB299&lt;&gt;""),CHOOSE(MATCH(AA299,{"Low","Medium","High","Critical"},0),25,50,75,100)-CHOOSE(MATCH(AB299,{"Low","Medium","High","Critical"},0),25,50,75,100),"")</f>
        <v/>
      </c>
      <c r="AG299">
        <f>IF(AF299&lt;&gt;"",IF(AH299="Weekly",AF299+7,IF(AH299="Monthly",EDATE(AF299,1),IF(AH299="Quarterly",EDATE(AF299,3),""))),"")</f>
        <v/>
      </c>
      <c r="AK299">
        <f>IF(AJ299&lt;&gt;"",IF(AI299="Monthly",EDATE(AJ299,1),IF(AI299="Quarterly",EDATE(AJ299,3),IF(AI299="Semi-Annual",EDATE(AJ299,6),""))),"")</f>
        <v/>
      </c>
      <c r="AL299">
        <f>IF(AK299&lt;&gt;"",IF(AK299&lt;TODAY(),"Overdue","Current"),"")</f>
        <v/>
      </c>
    </row>
    <row r="300">
      <c r="K300">
        <f>IF(J300="v4.0",L300,IF(J300="v3.1",M300,IF(J300="Both",L300,IF(AND(L300&lt;&gt;"",M300=""),L300,M300))))</f>
        <v/>
      </c>
      <c r="Z300">
        <f>IF(Y300&lt;&gt;"",TODAY()-Y300,"")</f>
        <v/>
      </c>
      <c r="AC300">
        <f>IF(AND(AA300&lt;&gt;"",AB300&lt;&gt;""),CHOOSE(MATCH(AA300,{"Low","Medium","High","Critical"},0),25,50,75,100)-CHOOSE(MATCH(AB300,{"Low","Medium","High","Critical"},0),25,50,75,100),"")</f>
        <v/>
      </c>
      <c r="AG300">
        <f>IF(AF300&lt;&gt;"",IF(AH300="Weekly",AF300+7,IF(AH300="Monthly",EDATE(AF300,1),IF(AH300="Quarterly",EDATE(AF300,3),""))),"")</f>
        <v/>
      </c>
      <c r="AK300">
        <f>IF(AJ300&lt;&gt;"",IF(AI300="Monthly",EDATE(AJ300,1),IF(AI300="Quarterly",EDATE(AJ300,3),IF(AI300="Semi-Annual",EDATE(AJ300,6),""))),"")</f>
        <v/>
      </c>
      <c r="AL300">
        <f>IF(AK300&lt;&gt;"",IF(AK300&lt;TODAY(),"Overdue","Current"),"")</f>
        <v/>
      </c>
    </row>
    <row r="301">
      <c r="K301">
        <f>IF(J301="v4.0",L301,IF(J301="v3.1",M301,IF(J301="Both",L301,IF(AND(L301&lt;&gt;"",M301=""),L301,M301))))</f>
        <v/>
      </c>
      <c r="Z301">
        <f>IF(Y301&lt;&gt;"",TODAY()-Y301,"")</f>
        <v/>
      </c>
      <c r="AC301">
        <f>IF(AND(AA301&lt;&gt;"",AB301&lt;&gt;""),CHOOSE(MATCH(AA301,{"Low","Medium","High","Critical"},0),25,50,75,100)-CHOOSE(MATCH(AB301,{"Low","Medium","High","Critical"},0),25,50,75,100),"")</f>
        <v/>
      </c>
      <c r="AG301">
        <f>IF(AF301&lt;&gt;"",IF(AH301="Weekly",AF301+7,IF(AH301="Monthly",EDATE(AF301,1),IF(AH301="Quarterly",EDATE(AF301,3),""))),"")</f>
        <v/>
      </c>
      <c r="AK301">
        <f>IF(AJ301&lt;&gt;"",IF(AI301="Monthly",EDATE(AJ301,1),IF(AI301="Quarterly",EDATE(AJ301,3),IF(AI301="Semi-Annual",EDATE(AJ301,6),""))),"")</f>
        <v/>
      </c>
      <c r="AL301">
        <f>IF(AK301&lt;&gt;"",IF(AK301&lt;TODAY(),"Overdue","Current"),"")</f>
        <v/>
      </c>
    </row>
    <row r="302">
      <c r="K302">
        <f>IF(J302="v4.0",L302,IF(J302="v3.1",M302,IF(J302="Both",L302,IF(AND(L302&lt;&gt;"",M302=""),L302,M302))))</f>
        <v/>
      </c>
      <c r="Z302">
        <f>IF(Y302&lt;&gt;"",TODAY()-Y302,"")</f>
        <v/>
      </c>
      <c r="AC302">
        <f>IF(AND(AA302&lt;&gt;"",AB302&lt;&gt;""),CHOOSE(MATCH(AA302,{"Low","Medium","High","Critical"},0),25,50,75,100)-CHOOSE(MATCH(AB302,{"Low","Medium","High","Critical"},0),25,50,75,100),"")</f>
        <v/>
      </c>
      <c r="AG302">
        <f>IF(AF302&lt;&gt;"",IF(AH302="Weekly",AF302+7,IF(AH302="Monthly",EDATE(AF302,1),IF(AH302="Quarterly",EDATE(AF302,3),""))),"")</f>
        <v/>
      </c>
      <c r="AK302">
        <f>IF(AJ302&lt;&gt;"",IF(AI302="Monthly",EDATE(AJ302,1),IF(AI302="Quarterly",EDATE(AJ302,3),IF(AI302="Semi-Annual",EDATE(AJ302,6),""))),"")</f>
        <v/>
      </c>
      <c r="AL302">
        <f>IF(AK302&lt;&gt;"",IF(AK302&lt;TODAY(),"Overdue","Current"),"")</f>
        <v/>
      </c>
    </row>
    <row r="303">
      <c r="K303">
        <f>IF(J303="v4.0",L303,IF(J303="v3.1",M303,IF(J303="Both",L303,IF(AND(L303&lt;&gt;"",M303=""),L303,M303))))</f>
        <v/>
      </c>
      <c r="Z303">
        <f>IF(Y303&lt;&gt;"",TODAY()-Y303,"")</f>
        <v/>
      </c>
      <c r="AC303">
        <f>IF(AND(AA303&lt;&gt;"",AB303&lt;&gt;""),CHOOSE(MATCH(AA303,{"Low","Medium","High","Critical"},0),25,50,75,100)-CHOOSE(MATCH(AB303,{"Low","Medium","High","Critical"},0),25,50,75,100),"")</f>
        <v/>
      </c>
      <c r="AG303">
        <f>IF(AF303&lt;&gt;"",IF(AH303="Weekly",AF303+7,IF(AH303="Monthly",EDATE(AF303,1),IF(AH303="Quarterly",EDATE(AF303,3),""))),"")</f>
        <v/>
      </c>
      <c r="AK303">
        <f>IF(AJ303&lt;&gt;"",IF(AI303="Monthly",EDATE(AJ303,1),IF(AI303="Quarterly",EDATE(AJ303,3),IF(AI303="Semi-Annual",EDATE(AJ303,6),""))),"")</f>
        <v/>
      </c>
      <c r="AL303">
        <f>IF(AK303&lt;&gt;"",IF(AK303&lt;TODAY(),"Overdue","Current"),"")</f>
        <v/>
      </c>
    </row>
    <row r="304">
      <c r="K304">
        <f>IF(J304="v4.0",L304,IF(J304="v3.1",M304,IF(J304="Both",L304,IF(AND(L304&lt;&gt;"",M304=""),L304,M304))))</f>
        <v/>
      </c>
      <c r="Z304">
        <f>IF(Y304&lt;&gt;"",TODAY()-Y304,"")</f>
        <v/>
      </c>
      <c r="AC304">
        <f>IF(AND(AA304&lt;&gt;"",AB304&lt;&gt;""),CHOOSE(MATCH(AA304,{"Low","Medium","High","Critical"},0),25,50,75,100)-CHOOSE(MATCH(AB304,{"Low","Medium","High","Critical"},0),25,50,75,100),"")</f>
        <v/>
      </c>
      <c r="AG304">
        <f>IF(AF304&lt;&gt;"",IF(AH304="Weekly",AF304+7,IF(AH304="Monthly",EDATE(AF304,1),IF(AH304="Quarterly",EDATE(AF304,3),""))),"")</f>
        <v/>
      </c>
      <c r="AK304">
        <f>IF(AJ304&lt;&gt;"",IF(AI304="Monthly",EDATE(AJ304,1),IF(AI304="Quarterly",EDATE(AJ304,3),IF(AI304="Semi-Annual",EDATE(AJ304,6),""))),"")</f>
        <v/>
      </c>
      <c r="AL304">
        <f>IF(AK304&lt;&gt;"",IF(AK304&lt;TODAY(),"Overdue","Current"),"")</f>
        <v/>
      </c>
    </row>
    <row r="305">
      <c r="K305">
        <f>IF(J305="v4.0",L305,IF(J305="v3.1",M305,IF(J305="Both",L305,IF(AND(L305&lt;&gt;"",M305=""),L305,M305))))</f>
        <v/>
      </c>
      <c r="Z305">
        <f>IF(Y305&lt;&gt;"",TODAY()-Y305,"")</f>
        <v/>
      </c>
      <c r="AC305">
        <f>IF(AND(AA305&lt;&gt;"",AB305&lt;&gt;""),CHOOSE(MATCH(AA305,{"Low","Medium","High","Critical"},0),25,50,75,100)-CHOOSE(MATCH(AB305,{"Low","Medium","High","Critical"},0),25,50,75,100),"")</f>
        <v/>
      </c>
      <c r="AG305">
        <f>IF(AF305&lt;&gt;"",IF(AH305="Weekly",AF305+7,IF(AH305="Monthly",EDATE(AF305,1),IF(AH305="Quarterly",EDATE(AF305,3),""))),"")</f>
        <v/>
      </c>
      <c r="AK305">
        <f>IF(AJ305&lt;&gt;"",IF(AI305="Monthly",EDATE(AJ305,1),IF(AI305="Quarterly",EDATE(AJ305,3),IF(AI305="Semi-Annual",EDATE(AJ305,6),""))),"")</f>
        <v/>
      </c>
      <c r="AL305">
        <f>IF(AK305&lt;&gt;"",IF(AK305&lt;TODAY(),"Overdue","Current"),"")</f>
        <v/>
      </c>
    </row>
    <row r="306">
      <c r="K306">
        <f>IF(J306="v4.0",L306,IF(J306="v3.1",M306,IF(J306="Both",L306,IF(AND(L306&lt;&gt;"",M306=""),L306,M306))))</f>
        <v/>
      </c>
      <c r="Z306">
        <f>IF(Y306&lt;&gt;"",TODAY()-Y306,"")</f>
        <v/>
      </c>
      <c r="AC306">
        <f>IF(AND(AA306&lt;&gt;"",AB306&lt;&gt;""),CHOOSE(MATCH(AA306,{"Low","Medium","High","Critical"},0),25,50,75,100)-CHOOSE(MATCH(AB306,{"Low","Medium","High","Critical"},0),25,50,75,100),"")</f>
        <v/>
      </c>
      <c r="AG306">
        <f>IF(AF306&lt;&gt;"",IF(AH306="Weekly",AF306+7,IF(AH306="Monthly",EDATE(AF306,1),IF(AH306="Quarterly",EDATE(AF306,3),""))),"")</f>
        <v/>
      </c>
      <c r="AK306">
        <f>IF(AJ306&lt;&gt;"",IF(AI306="Monthly",EDATE(AJ306,1),IF(AI306="Quarterly",EDATE(AJ306,3),IF(AI306="Semi-Annual",EDATE(AJ306,6),""))),"")</f>
        <v/>
      </c>
      <c r="AL306">
        <f>IF(AK306&lt;&gt;"",IF(AK306&lt;TODAY(),"Overdue","Current"),"")</f>
        <v/>
      </c>
    </row>
    <row r="307">
      <c r="K307">
        <f>IF(J307="v4.0",L307,IF(J307="v3.1",M307,IF(J307="Both",L307,IF(AND(L307&lt;&gt;"",M307=""),L307,M307))))</f>
        <v/>
      </c>
      <c r="Z307">
        <f>IF(Y307&lt;&gt;"",TODAY()-Y307,"")</f>
        <v/>
      </c>
      <c r="AC307">
        <f>IF(AND(AA307&lt;&gt;"",AB307&lt;&gt;""),CHOOSE(MATCH(AA307,{"Low","Medium","High","Critical"},0),25,50,75,100)-CHOOSE(MATCH(AB307,{"Low","Medium","High","Critical"},0),25,50,75,100),"")</f>
        <v/>
      </c>
      <c r="AG307">
        <f>IF(AF307&lt;&gt;"",IF(AH307="Weekly",AF307+7,IF(AH307="Monthly",EDATE(AF307,1),IF(AH307="Quarterly",EDATE(AF307,3),""))),"")</f>
        <v/>
      </c>
      <c r="AK307">
        <f>IF(AJ307&lt;&gt;"",IF(AI307="Monthly",EDATE(AJ307,1),IF(AI307="Quarterly",EDATE(AJ307,3),IF(AI307="Semi-Annual",EDATE(AJ307,6),""))),"")</f>
        <v/>
      </c>
      <c r="AL307">
        <f>IF(AK307&lt;&gt;"",IF(AK307&lt;TODAY(),"Overdue","Current"),"")</f>
        <v/>
      </c>
    </row>
    <row r="308">
      <c r="K308">
        <f>IF(J308="v4.0",L308,IF(J308="v3.1",M308,IF(J308="Both",L308,IF(AND(L308&lt;&gt;"",M308=""),L308,M308))))</f>
        <v/>
      </c>
      <c r="Z308">
        <f>IF(Y308&lt;&gt;"",TODAY()-Y308,"")</f>
        <v/>
      </c>
      <c r="AC308">
        <f>IF(AND(AA308&lt;&gt;"",AB308&lt;&gt;""),CHOOSE(MATCH(AA308,{"Low","Medium","High","Critical"},0),25,50,75,100)-CHOOSE(MATCH(AB308,{"Low","Medium","High","Critical"},0),25,50,75,100),"")</f>
        <v/>
      </c>
      <c r="AG308">
        <f>IF(AF308&lt;&gt;"",IF(AH308="Weekly",AF308+7,IF(AH308="Monthly",EDATE(AF308,1),IF(AH308="Quarterly",EDATE(AF308,3),""))),"")</f>
        <v/>
      </c>
      <c r="AK308">
        <f>IF(AJ308&lt;&gt;"",IF(AI308="Monthly",EDATE(AJ308,1),IF(AI308="Quarterly",EDATE(AJ308,3),IF(AI308="Semi-Annual",EDATE(AJ308,6),""))),"")</f>
        <v/>
      </c>
      <c r="AL308">
        <f>IF(AK308&lt;&gt;"",IF(AK308&lt;TODAY(),"Overdue","Current"),"")</f>
        <v/>
      </c>
    </row>
    <row r="309">
      <c r="K309">
        <f>IF(J309="v4.0",L309,IF(J309="v3.1",M309,IF(J309="Both",L309,IF(AND(L309&lt;&gt;"",M309=""),L309,M309))))</f>
        <v/>
      </c>
      <c r="Z309">
        <f>IF(Y309&lt;&gt;"",TODAY()-Y309,"")</f>
        <v/>
      </c>
      <c r="AC309">
        <f>IF(AND(AA309&lt;&gt;"",AB309&lt;&gt;""),CHOOSE(MATCH(AA309,{"Low","Medium","High","Critical"},0),25,50,75,100)-CHOOSE(MATCH(AB309,{"Low","Medium","High","Critical"},0),25,50,75,100),"")</f>
        <v/>
      </c>
      <c r="AG309">
        <f>IF(AF309&lt;&gt;"",IF(AH309="Weekly",AF309+7,IF(AH309="Monthly",EDATE(AF309,1),IF(AH309="Quarterly",EDATE(AF309,3),""))),"")</f>
        <v/>
      </c>
      <c r="AK309">
        <f>IF(AJ309&lt;&gt;"",IF(AI309="Monthly",EDATE(AJ309,1),IF(AI309="Quarterly",EDATE(AJ309,3),IF(AI309="Semi-Annual",EDATE(AJ309,6),""))),"")</f>
        <v/>
      </c>
      <c r="AL309">
        <f>IF(AK309&lt;&gt;"",IF(AK309&lt;TODAY(),"Overdue","Current"),"")</f>
        <v/>
      </c>
    </row>
    <row r="310">
      <c r="K310">
        <f>IF(J310="v4.0",L310,IF(J310="v3.1",M310,IF(J310="Both",L310,IF(AND(L310&lt;&gt;"",M310=""),L310,M310))))</f>
        <v/>
      </c>
      <c r="Z310">
        <f>IF(Y310&lt;&gt;"",TODAY()-Y310,"")</f>
        <v/>
      </c>
      <c r="AC310">
        <f>IF(AND(AA310&lt;&gt;"",AB310&lt;&gt;""),CHOOSE(MATCH(AA310,{"Low","Medium","High","Critical"},0),25,50,75,100)-CHOOSE(MATCH(AB310,{"Low","Medium","High","Critical"},0),25,50,75,100),"")</f>
        <v/>
      </c>
      <c r="AG310">
        <f>IF(AF310&lt;&gt;"",IF(AH310="Weekly",AF310+7,IF(AH310="Monthly",EDATE(AF310,1),IF(AH310="Quarterly",EDATE(AF310,3),""))),"")</f>
        <v/>
      </c>
      <c r="AK310">
        <f>IF(AJ310&lt;&gt;"",IF(AI310="Monthly",EDATE(AJ310,1),IF(AI310="Quarterly",EDATE(AJ310,3),IF(AI310="Semi-Annual",EDATE(AJ310,6),""))),"")</f>
        <v/>
      </c>
      <c r="AL310">
        <f>IF(AK310&lt;&gt;"",IF(AK310&lt;TODAY(),"Overdue","Current"),"")</f>
        <v/>
      </c>
    </row>
    <row r="311">
      <c r="K311">
        <f>IF(J311="v4.0",L311,IF(J311="v3.1",M311,IF(J311="Both",L311,IF(AND(L311&lt;&gt;"",M311=""),L311,M311))))</f>
        <v/>
      </c>
      <c r="Z311">
        <f>IF(Y311&lt;&gt;"",TODAY()-Y311,"")</f>
        <v/>
      </c>
      <c r="AC311">
        <f>IF(AND(AA311&lt;&gt;"",AB311&lt;&gt;""),CHOOSE(MATCH(AA311,{"Low","Medium","High","Critical"},0),25,50,75,100)-CHOOSE(MATCH(AB311,{"Low","Medium","High","Critical"},0),25,50,75,100),"")</f>
        <v/>
      </c>
      <c r="AG311">
        <f>IF(AF311&lt;&gt;"",IF(AH311="Weekly",AF311+7,IF(AH311="Monthly",EDATE(AF311,1),IF(AH311="Quarterly",EDATE(AF311,3),""))),"")</f>
        <v/>
      </c>
      <c r="AK311">
        <f>IF(AJ311&lt;&gt;"",IF(AI311="Monthly",EDATE(AJ311,1),IF(AI311="Quarterly",EDATE(AJ311,3),IF(AI311="Semi-Annual",EDATE(AJ311,6),""))),"")</f>
        <v/>
      </c>
      <c r="AL311">
        <f>IF(AK311&lt;&gt;"",IF(AK311&lt;TODAY(),"Overdue","Current"),"")</f>
        <v/>
      </c>
    </row>
    <row r="312">
      <c r="K312">
        <f>IF(J312="v4.0",L312,IF(J312="v3.1",M312,IF(J312="Both",L312,IF(AND(L312&lt;&gt;"",M312=""),L312,M312))))</f>
        <v/>
      </c>
      <c r="Z312">
        <f>IF(Y312&lt;&gt;"",TODAY()-Y312,"")</f>
        <v/>
      </c>
      <c r="AC312">
        <f>IF(AND(AA312&lt;&gt;"",AB312&lt;&gt;""),CHOOSE(MATCH(AA312,{"Low","Medium","High","Critical"},0),25,50,75,100)-CHOOSE(MATCH(AB312,{"Low","Medium","High","Critical"},0),25,50,75,100),"")</f>
        <v/>
      </c>
      <c r="AG312">
        <f>IF(AF312&lt;&gt;"",IF(AH312="Weekly",AF312+7,IF(AH312="Monthly",EDATE(AF312,1),IF(AH312="Quarterly",EDATE(AF312,3),""))),"")</f>
        <v/>
      </c>
      <c r="AK312">
        <f>IF(AJ312&lt;&gt;"",IF(AI312="Monthly",EDATE(AJ312,1),IF(AI312="Quarterly",EDATE(AJ312,3),IF(AI312="Semi-Annual",EDATE(AJ312,6),""))),"")</f>
        <v/>
      </c>
      <c r="AL312">
        <f>IF(AK312&lt;&gt;"",IF(AK312&lt;TODAY(),"Overdue","Current"),"")</f>
        <v/>
      </c>
    </row>
    <row r="313">
      <c r="K313">
        <f>IF(J313="v4.0",L313,IF(J313="v3.1",M313,IF(J313="Both",L313,IF(AND(L313&lt;&gt;"",M313=""),L313,M313))))</f>
        <v/>
      </c>
      <c r="Z313">
        <f>IF(Y313&lt;&gt;"",TODAY()-Y313,"")</f>
        <v/>
      </c>
      <c r="AC313">
        <f>IF(AND(AA313&lt;&gt;"",AB313&lt;&gt;""),CHOOSE(MATCH(AA313,{"Low","Medium","High","Critical"},0),25,50,75,100)-CHOOSE(MATCH(AB313,{"Low","Medium","High","Critical"},0),25,50,75,100),"")</f>
        <v/>
      </c>
      <c r="AG313">
        <f>IF(AF313&lt;&gt;"",IF(AH313="Weekly",AF313+7,IF(AH313="Monthly",EDATE(AF313,1),IF(AH313="Quarterly",EDATE(AF313,3),""))),"")</f>
        <v/>
      </c>
      <c r="AK313">
        <f>IF(AJ313&lt;&gt;"",IF(AI313="Monthly",EDATE(AJ313,1),IF(AI313="Quarterly",EDATE(AJ313,3),IF(AI313="Semi-Annual",EDATE(AJ313,6),""))),"")</f>
        <v/>
      </c>
      <c r="AL313">
        <f>IF(AK313&lt;&gt;"",IF(AK313&lt;TODAY(),"Overdue","Current"),"")</f>
        <v/>
      </c>
    </row>
    <row r="314">
      <c r="K314">
        <f>IF(J314="v4.0",L314,IF(J314="v3.1",M314,IF(J314="Both",L314,IF(AND(L314&lt;&gt;"",M314=""),L314,M314))))</f>
        <v/>
      </c>
      <c r="Z314">
        <f>IF(Y314&lt;&gt;"",TODAY()-Y314,"")</f>
        <v/>
      </c>
      <c r="AC314">
        <f>IF(AND(AA314&lt;&gt;"",AB314&lt;&gt;""),CHOOSE(MATCH(AA314,{"Low","Medium","High","Critical"},0),25,50,75,100)-CHOOSE(MATCH(AB314,{"Low","Medium","High","Critical"},0),25,50,75,100),"")</f>
        <v/>
      </c>
      <c r="AG314">
        <f>IF(AF314&lt;&gt;"",IF(AH314="Weekly",AF314+7,IF(AH314="Monthly",EDATE(AF314,1),IF(AH314="Quarterly",EDATE(AF314,3),""))),"")</f>
        <v/>
      </c>
      <c r="AK314">
        <f>IF(AJ314&lt;&gt;"",IF(AI314="Monthly",EDATE(AJ314,1),IF(AI314="Quarterly",EDATE(AJ314,3),IF(AI314="Semi-Annual",EDATE(AJ314,6),""))),"")</f>
        <v/>
      </c>
      <c r="AL314">
        <f>IF(AK314&lt;&gt;"",IF(AK314&lt;TODAY(),"Overdue","Current"),"")</f>
        <v/>
      </c>
    </row>
    <row r="315">
      <c r="K315">
        <f>IF(J315="v4.0",L315,IF(J315="v3.1",M315,IF(J315="Both",L315,IF(AND(L315&lt;&gt;"",M315=""),L315,M315))))</f>
        <v/>
      </c>
      <c r="Z315">
        <f>IF(Y315&lt;&gt;"",TODAY()-Y315,"")</f>
        <v/>
      </c>
      <c r="AC315">
        <f>IF(AND(AA315&lt;&gt;"",AB315&lt;&gt;""),CHOOSE(MATCH(AA315,{"Low","Medium","High","Critical"},0),25,50,75,100)-CHOOSE(MATCH(AB315,{"Low","Medium","High","Critical"},0),25,50,75,100),"")</f>
        <v/>
      </c>
      <c r="AG315">
        <f>IF(AF315&lt;&gt;"",IF(AH315="Weekly",AF315+7,IF(AH315="Monthly",EDATE(AF315,1),IF(AH315="Quarterly",EDATE(AF315,3),""))),"")</f>
        <v/>
      </c>
      <c r="AK315">
        <f>IF(AJ315&lt;&gt;"",IF(AI315="Monthly",EDATE(AJ315,1),IF(AI315="Quarterly",EDATE(AJ315,3),IF(AI315="Semi-Annual",EDATE(AJ315,6),""))),"")</f>
        <v/>
      </c>
      <c r="AL315">
        <f>IF(AK315&lt;&gt;"",IF(AK315&lt;TODAY(),"Overdue","Current"),"")</f>
        <v/>
      </c>
    </row>
    <row r="316">
      <c r="K316">
        <f>IF(J316="v4.0",L316,IF(J316="v3.1",M316,IF(J316="Both",L316,IF(AND(L316&lt;&gt;"",M316=""),L316,M316))))</f>
        <v/>
      </c>
      <c r="Z316">
        <f>IF(Y316&lt;&gt;"",TODAY()-Y316,"")</f>
        <v/>
      </c>
      <c r="AC316">
        <f>IF(AND(AA316&lt;&gt;"",AB316&lt;&gt;""),CHOOSE(MATCH(AA316,{"Low","Medium","High","Critical"},0),25,50,75,100)-CHOOSE(MATCH(AB316,{"Low","Medium","High","Critical"},0),25,50,75,100),"")</f>
        <v/>
      </c>
      <c r="AG316">
        <f>IF(AF316&lt;&gt;"",IF(AH316="Weekly",AF316+7,IF(AH316="Monthly",EDATE(AF316,1),IF(AH316="Quarterly",EDATE(AF316,3),""))),"")</f>
        <v/>
      </c>
      <c r="AK316">
        <f>IF(AJ316&lt;&gt;"",IF(AI316="Monthly",EDATE(AJ316,1),IF(AI316="Quarterly",EDATE(AJ316,3),IF(AI316="Semi-Annual",EDATE(AJ316,6),""))),"")</f>
        <v/>
      </c>
      <c r="AL316">
        <f>IF(AK316&lt;&gt;"",IF(AK316&lt;TODAY(),"Overdue","Current"),"")</f>
        <v/>
      </c>
    </row>
    <row r="317">
      <c r="K317">
        <f>IF(J317="v4.0",L317,IF(J317="v3.1",M317,IF(J317="Both",L317,IF(AND(L317&lt;&gt;"",M317=""),L317,M317))))</f>
        <v/>
      </c>
      <c r="Z317">
        <f>IF(Y317&lt;&gt;"",TODAY()-Y317,"")</f>
        <v/>
      </c>
      <c r="AC317">
        <f>IF(AND(AA317&lt;&gt;"",AB317&lt;&gt;""),CHOOSE(MATCH(AA317,{"Low","Medium","High","Critical"},0),25,50,75,100)-CHOOSE(MATCH(AB317,{"Low","Medium","High","Critical"},0),25,50,75,100),"")</f>
        <v/>
      </c>
      <c r="AG317">
        <f>IF(AF317&lt;&gt;"",IF(AH317="Weekly",AF317+7,IF(AH317="Monthly",EDATE(AF317,1),IF(AH317="Quarterly",EDATE(AF317,3),""))),"")</f>
        <v/>
      </c>
      <c r="AK317">
        <f>IF(AJ317&lt;&gt;"",IF(AI317="Monthly",EDATE(AJ317,1),IF(AI317="Quarterly",EDATE(AJ317,3),IF(AI317="Semi-Annual",EDATE(AJ317,6),""))),"")</f>
        <v/>
      </c>
      <c r="AL317">
        <f>IF(AK317&lt;&gt;"",IF(AK317&lt;TODAY(),"Overdue","Current"),"")</f>
        <v/>
      </c>
    </row>
    <row r="318">
      <c r="K318">
        <f>IF(J318="v4.0",L318,IF(J318="v3.1",M318,IF(J318="Both",L318,IF(AND(L318&lt;&gt;"",M318=""),L318,M318))))</f>
        <v/>
      </c>
      <c r="Z318">
        <f>IF(Y318&lt;&gt;"",TODAY()-Y318,"")</f>
        <v/>
      </c>
      <c r="AC318">
        <f>IF(AND(AA318&lt;&gt;"",AB318&lt;&gt;""),CHOOSE(MATCH(AA318,{"Low","Medium","High","Critical"},0),25,50,75,100)-CHOOSE(MATCH(AB318,{"Low","Medium","High","Critical"},0),25,50,75,100),"")</f>
        <v/>
      </c>
      <c r="AG318">
        <f>IF(AF318&lt;&gt;"",IF(AH318="Weekly",AF318+7,IF(AH318="Monthly",EDATE(AF318,1),IF(AH318="Quarterly",EDATE(AF318,3),""))),"")</f>
        <v/>
      </c>
      <c r="AK318">
        <f>IF(AJ318&lt;&gt;"",IF(AI318="Monthly",EDATE(AJ318,1),IF(AI318="Quarterly",EDATE(AJ318,3),IF(AI318="Semi-Annual",EDATE(AJ318,6),""))),"")</f>
        <v/>
      </c>
      <c r="AL318">
        <f>IF(AK318&lt;&gt;"",IF(AK318&lt;TODAY(),"Overdue","Current"),"")</f>
        <v/>
      </c>
    </row>
    <row r="319">
      <c r="K319">
        <f>IF(J319="v4.0",L319,IF(J319="v3.1",M319,IF(J319="Both",L319,IF(AND(L319&lt;&gt;"",M319=""),L319,M319))))</f>
        <v/>
      </c>
      <c r="Z319">
        <f>IF(Y319&lt;&gt;"",TODAY()-Y319,"")</f>
        <v/>
      </c>
      <c r="AC319">
        <f>IF(AND(AA319&lt;&gt;"",AB319&lt;&gt;""),CHOOSE(MATCH(AA319,{"Low","Medium","High","Critical"},0),25,50,75,100)-CHOOSE(MATCH(AB319,{"Low","Medium","High","Critical"},0),25,50,75,100),"")</f>
        <v/>
      </c>
      <c r="AG319">
        <f>IF(AF319&lt;&gt;"",IF(AH319="Weekly",AF319+7,IF(AH319="Monthly",EDATE(AF319,1),IF(AH319="Quarterly",EDATE(AF319,3),""))),"")</f>
        <v/>
      </c>
      <c r="AK319">
        <f>IF(AJ319&lt;&gt;"",IF(AI319="Monthly",EDATE(AJ319,1),IF(AI319="Quarterly",EDATE(AJ319,3),IF(AI319="Semi-Annual",EDATE(AJ319,6),""))),"")</f>
        <v/>
      </c>
      <c r="AL319">
        <f>IF(AK319&lt;&gt;"",IF(AK319&lt;TODAY(),"Overdue","Current"),"")</f>
        <v/>
      </c>
    </row>
    <row r="320">
      <c r="K320">
        <f>IF(J320="v4.0",L320,IF(J320="v3.1",M320,IF(J320="Both",L320,IF(AND(L320&lt;&gt;"",M320=""),L320,M320))))</f>
        <v/>
      </c>
      <c r="Z320">
        <f>IF(Y320&lt;&gt;"",TODAY()-Y320,"")</f>
        <v/>
      </c>
      <c r="AC320">
        <f>IF(AND(AA320&lt;&gt;"",AB320&lt;&gt;""),CHOOSE(MATCH(AA320,{"Low","Medium","High","Critical"},0),25,50,75,100)-CHOOSE(MATCH(AB320,{"Low","Medium","High","Critical"},0),25,50,75,100),"")</f>
        <v/>
      </c>
      <c r="AG320">
        <f>IF(AF320&lt;&gt;"",IF(AH320="Weekly",AF320+7,IF(AH320="Monthly",EDATE(AF320,1),IF(AH320="Quarterly",EDATE(AF320,3),""))),"")</f>
        <v/>
      </c>
      <c r="AK320">
        <f>IF(AJ320&lt;&gt;"",IF(AI320="Monthly",EDATE(AJ320,1),IF(AI320="Quarterly",EDATE(AJ320,3),IF(AI320="Semi-Annual",EDATE(AJ320,6),""))),"")</f>
        <v/>
      </c>
      <c r="AL320">
        <f>IF(AK320&lt;&gt;"",IF(AK320&lt;TODAY(),"Overdue","Current"),"")</f>
        <v/>
      </c>
    </row>
    <row r="321">
      <c r="K321">
        <f>IF(J321="v4.0",L321,IF(J321="v3.1",M321,IF(J321="Both",L321,IF(AND(L321&lt;&gt;"",M321=""),L321,M321))))</f>
        <v/>
      </c>
      <c r="Z321">
        <f>IF(Y321&lt;&gt;"",TODAY()-Y321,"")</f>
        <v/>
      </c>
      <c r="AC321">
        <f>IF(AND(AA321&lt;&gt;"",AB321&lt;&gt;""),CHOOSE(MATCH(AA321,{"Low","Medium","High","Critical"},0),25,50,75,100)-CHOOSE(MATCH(AB321,{"Low","Medium","High","Critical"},0),25,50,75,100),"")</f>
        <v/>
      </c>
      <c r="AG321">
        <f>IF(AF321&lt;&gt;"",IF(AH321="Weekly",AF321+7,IF(AH321="Monthly",EDATE(AF321,1),IF(AH321="Quarterly",EDATE(AF321,3),""))),"")</f>
        <v/>
      </c>
      <c r="AK321">
        <f>IF(AJ321&lt;&gt;"",IF(AI321="Monthly",EDATE(AJ321,1),IF(AI321="Quarterly",EDATE(AJ321,3),IF(AI321="Semi-Annual",EDATE(AJ321,6),""))),"")</f>
        <v/>
      </c>
      <c r="AL321">
        <f>IF(AK321&lt;&gt;"",IF(AK321&lt;TODAY(),"Overdue","Current"),"")</f>
        <v/>
      </c>
    </row>
    <row r="322">
      <c r="K322">
        <f>IF(J322="v4.0",L322,IF(J322="v3.1",M322,IF(J322="Both",L322,IF(AND(L322&lt;&gt;"",M322=""),L322,M322))))</f>
        <v/>
      </c>
      <c r="Z322">
        <f>IF(Y322&lt;&gt;"",TODAY()-Y322,"")</f>
        <v/>
      </c>
      <c r="AC322">
        <f>IF(AND(AA322&lt;&gt;"",AB322&lt;&gt;""),CHOOSE(MATCH(AA322,{"Low","Medium","High","Critical"},0),25,50,75,100)-CHOOSE(MATCH(AB322,{"Low","Medium","High","Critical"},0),25,50,75,100),"")</f>
        <v/>
      </c>
      <c r="AG322">
        <f>IF(AF322&lt;&gt;"",IF(AH322="Weekly",AF322+7,IF(AH322="Monthly",EDATE(AF322,1),IF(AH322="Quarterly",EDATE(AF322,3),""))),"")</f>
        <v/>
      </c>
      <c r="AK322">
        <f>IF(AJ322&lt;&gt;"",IF(AI322="Monthly",EDATE(AJ322,1),IF(AI322="Quarterly",EDATE(AJ322,3),IF(AI322="Semi-Annual",EDATE(AJ322,6),""))),"")</f>
        <v/>
      </c>
      <c r="AL322">
        <f>IF(AK322&lt;&gt;"",IF(AK322&lt;TODAY(),"Overdue","Current"),"")</f>
        <v/>
      </c>
    </row>
    <row r="323">
      <c r="K323">
        <f>IF(J323="v4.0",L323,IF(J323="v3.1",M323,IF(J323="Both",L323,IF(AND(L323&lt;&gt;"",M323=""),L323,M323))))</f>
        <v/>
      </c>
      <c r="Z323">
        <f>IF(Y323&lt;&gt;"",TODAY()-Y323,"")</f>
        <v/>
      </c>
      <c r="AC323">
        <f>IF(AND(AA323&lt;&gt;"",AB323&lt;&gt;""),CHOOSE(MATCH(AA323,{"Low","Medium","High","Critical"},0),25,50,75,100)-CHOOSE(MATCH(AB323,{"Low","Medium","High","Critical"},0),25,50,75,100),"")</f>
        <v/>
      </c>
      <c r="AG323">
        <f>IF(AF323&lt;&gt;"",IF(AH323="Weekly",AF323+7,IF(AH323="Monthly",EDATE(AF323,1),IF(AH323="Quarterly",EDATE(AF323,3),""))),"")</f>
        <v/>
      </c>
      <c r="AK323">
        <f>IF(AJ323&lt;&gt;"",IF(AI323="Monthly",EDATE(AJ323,1),IF(AI323="Quarterly",EDATE(AJ323,3),IF(AI323="Semi-Annual",EDATE(AJ323,6),""))),"")</f>
        <v/>
      </c>
      <c r="AL323">
        <f>IF(AK323&lt;&gt;"",IF(AK323&lt;TODAY(),"Overdue","Current"),"")</f>
        <v/>
      </c>
    </row>
    <row r="324">
      <c r="K324">
        <f>IF(J324="v4.0",L324,IF(J324="v3.1",M324,IF(J324="Both",L324,IF(AND(L324&lt;&gt;"",M324=""),L324,M324))))</f>
        <v/>
      </c>
      <c r="Z324">
        <f>IF(Y324&lt;&gt;"",TODAY()-Y324,"")</f>
        <v/>
      </c>
      <c r="AC324">
        <f>IF(AND(AA324&lt;&gt;"",AB324&lt;&gt;""),CHOOSE(MATCH(AA324,{"Low","Medium","High","Critical"},0),25,50,75,100)-CHOOSE(MATCH(AB324,{"Low","Medium","High","Critical"},0),25,50,75,100),"")</f>
        <v/>
      </c>
      <c r="AG324">
        <f>IF(AF324&lt;&gt;"",IF(AH324="Weekly",AF324+7,IF(AH324="Monthly",EDATE(AF324,1),IF(AH324="Quarterly",EDATE(AF324,3),""))),"")</f>
        <v/>
      </c>
      <c r="AK324">
        <f>IF(AJ324&lt;&gt;"",IF(AI324="Monthly",EDATE(AJ324,1),IF(AI324="Quarterly",EDATE(AJ324,3),IF(AI324="Semi-Annual",EDATE(AJ324,6),""))),"")</f>
        <v/>
      </c>
      <c r="AL324">
        <f>IF(AK324&lt;&gt;"",IF(AK324&lt;TODAY(),"Overdue","Current"),"")</f>
        <v/>
      </c>
    </row>
    <row r="325">
      <c r="K325">
        <f>IF(J325="v4.0",L325,IF(J325="v3.1",M325,IF(J325="Both",L325,IF(AND(L325&lt;&gt;"",M325=""),L325,M325))))</f>
        <v/>
      </c>
      <c r="Z325">
        <f>IF(Y325&lt;&gt;"",TODAY()-Y325,"")</f>
        <v/>
      </c>
      <c r="AC325">
        <f>IF(AND(AA325&lt;&gt;"",AB325&lt;&gt;""),CHOOSE(MATCH(AA325,{"Low","Medium","High","Critical"},0),25,50,75,100)-CHOOSE(MATCH(AB325,{"Low","Medium","High","Critical"},0),25,50,75,100),"")</f>
        <v/>
      </c>
      <c r="AG325">
        <f>IF(AF325&lt;&gt;"",IF(AH325="Weekly",AF325+7,IF(AH325="Monthly",EDATE(AF325,1),IF(AH325="Quarterly",EDATE(AF325,3),""))),"")</f>
        <v/>
      </c>
      <c r="AK325">
        <f>IF(AJ325&lt;&gt;"",IF(AI325="Monthly",EDATE(AJ325,1),IF(AI325="Quarterly",EDATE(AJ325,3),IF(AI325="Semi-Annual",EDATE(AJ325,6),""))),"")</f>
        <v/>
      </c>
      <c r="AL325">
        <f>IF(AK325&lt;&gt;"",IF(AK325&lt;TODAY(),"Overdue","Current"),"")</f>
        <v/>
      </c>
    </row>
    <row r="326">
      <c r="K326">
        <f>IF(J326="v4.0",L326,IF(J326="v3.1",M326,IF(J326="Both",L326,IF(AND(L326&lt;&gt;"",M326=""),L326,M326))))</f>
        <v/>
      </c>
      <c r="Z326">
        <f>IF(Y326&lt;&gt;"",TODAY()-Y326,"")</f>
        <v/>
      </c>
      <c r="AC326">
        <f>IF(AND(AA326&lt;&gt;"",AB326&lt;&gt;""),CHOOSE(MATCH(AA326,{"Low","Medium","High","Critical"},0),25,50,75,100)-CHOOSE(MATCH(AB326,{"Low","Medium","High","Critical"},0),25,50,75,100),"")</f>
        <v/>
      </c>
      <c r="AG326">
        <f>IF(AF326&lt;&gt;"",IF(AH326="Weekly",AF326+7,IF(AH326="Monthly",EDATE(AF326,1),IF(AH326="Quarterly",EDATE(AF326,3),""))),"")</f>
        <v/>
      </c>
      <c r="AK326">
        <f>IF(AJ326&lt;&gt;"",IF(AI326="Monthly",EDATE(AJ326,1),IF(AI326="Quarterly",EDATE(AJ326,3),IF(AI326="Semi-Annual",EDATE(AJ326,6),""))),"")</f>
        <v/>
      </c>
      <c r="AL326">
        <f>IF(AK326&lt;&gt;"",IF(AK326&lt;TODAY(),"Overdue","Current"),"")</f>
        <v/>
      </c>
    </row>
    <row r="327">
      <c r="K327">
        <f>IF(J327="v4.0",L327,IF(J327="v3.1",M327,IF(J327="Both",L327,IF(AND(L327&lt;&gt;"",M327=""),L327,M327))))</f>
        <v/>
      </c>
      <c r="Z327">
        <f>IF(Y327&lt;&gt;"",TODAY()-Y327,"")</f>
        <v/>
      </c>
      <c r="AC327">
        <f>IF(AND(AA327&lt;&gt;"",AB327&lt;&gt;""),CHOOSE(MATCH(AA327,{"Low","Medium","High","Critical"},0),25,50,75,100)-CHOOSE(MATCH(AB327,{"Low","Medium","High","Critical"},0),25,50,75,100),"")</f>
        <v/>
      </c>
      <c r="AG327">
        <f>IF(AF327&lt;&gt;"",IF(AH327="Weekly",AF327+7,IF(AH327="Monthly",EDATE(AF327,1),IF(AH327="Quarterly",EDATE(AF327,3),""))),"")</f>
        <v/>
      </c>
      <c r="AK327">
        <f>IF(AJ327&lt;&gt;"",IF(AI327="Monthly",EDATE(AJ327,1),IF(AI327="Quarterly",EDATE(AJ327,3),IF(AI327="Semi-Annual",EDATE(AJ327,6),""))),"")</f>
        <v/>
      </c>
      <c r="AL327">
        <f>IF(AK327&lt;&gt;"",IF(AK327&lt;TODAY(),"Overdue","Current"),"")</f>
        <v/>
      </c>
    </row>
    <row r="328">
      <c r="K328">
        <f>IF(J328="v4.0",L328,IF(J328="v3.1",M328,IF(J328="Both",L328,IF(AND(L328&lt;&gt;"",M328=""),L328,M328))))</f>
        <v/>
      </c>
      <c r="Z328">
        <f>IF(Y328&lt;&gt;"",TODAY()-Y328,"")</f>
        <v/>
      </c>
      <c r="AC328">
        <f>IF(AND(AA328&lt;&gt;"",AB328&lt;&gt;""),CHOOSE(MATCH(AA328,{"Low","Medium","High","Critical"},0),25,50,75,100)-CHOOSE(MATCH(AB328,{"Low","Medium","High","Critical"},0),25,50,75,100),"")</f>
        <v/>
      </c>
      <c r="AG328">
        <f>IF(AF328&lt;&gt;"",IF(AH328="Weekly",AF328+7,IF(AH328="Monthly",EDATE(AF328,1),IF(AH328="Quarterly",EDATE(AF328,3),""))),"")</f>
        <v/>
      </c>
      <c r="AK328">
        <f>IF(AJ328&lt;&gt;"",IF(AI328="Monthly",EDATE(AJ328,1),IF(AI328="Quarterly",EDATE(AJ328,3),IF(AI328="Semi-Annual",EDATE(AJ328,6),""))),"")</f>
        <v/>
      </c>
      <c r="AL328">
        <f>IF(AK328&lt;&gt;"",IF(AK328&lt;TODAY(),"Overdue","Current"),"")</f>
        <v/>
      </c>
    </row>
    <row r="329">
      <c r="K329">
        <f>IF(J329="v4.0",L329,IF(J329="v3.1",M329,IF(J329="Both",L329,IF(AND(L329&lt;&gt;"",M329=""),L329,M329))))</f>
        <v/>
      </c>
      <c r="Z329">
        <f>IF(Y329&lt;&gt;"",TODAY()-Y329,"")</f>
        <v/>
      </c>
      <c r="AC329">
        <f>IF(AND(AA329&lt;&gt;"",AB329&lt;&gt;""),CHOOSE(MATCH(AA329,{"Low","Medium","High","Critical"},0),25,50,75,100)-CHOOSE(MATCH(AB329,{"Low","Medium","High","Critical"},0),25,50,75,100),"")</f>
        <v/>
      </c>
      <c r="AG329">
        <f>IF(AF329&lt;&gt;"",IF(AH329="Weekly",AF329+7,IF(AH329="Monthly",EDATE(AF329,1),IF(AH329="Quarterly",EDATE(AF329,3),""))),"")</f>
        <v/>
      </c>
      <c r="AK329">
        <f>IF(AJ329&lt;&gt;"",IF(AI329="Monthly",EDATE(AJ329,1),IF(AI329="Quarterly",EDATE(AJ329,3),IF(AI329="Semi-Annual",EDATE(AJ329,6),""))),"")</f>
        <v/>
      </c>
      <c r="AL329">
        <f>IF(AK329&lt;&gt;"",IF(AK329&lt;TODAY(),"Overdue","Current"),"")</f>
        <v/>
      </c>
    </row>
    <row r="330">
      <c r="K330">
        <f>IF(J330="v4.0",L330,IF(J330="v3.1",M330,IF(J330="Both",L330,IF(AND(L330&lt;&gt;"",M330=""),L330,M330))))</f>
        <v/>
      </c>
      <c r="Z330">
        <f>IF(Y330&lt;&gt;"",TODAY()-Y330,"")</f>
        <v/>
      </c>
      <c r="AC330">
        <f>IF(AND(AA330&lt;&gt;"",AB330&lt;&gt;""),CHOOSE(MATCH(AA330,{"Low","Medium","High","Critical"},0),25,50,75,100)-CHOOSE(MATCH(AB330,{"Low","Medium","High","Critical"},0),25,50,75,100),"")</f>
        <v/>
      </c>
      <c r="AG330">
        <f>IF(AF330&lt;&gt;"",IF(AH330="Weekly",AF330+7,IF(AH330="Monthly",EDATE(AF330,1),IF(AH330="Quarterly",EDATE(AF330,3),""))),"")</f>
        <v/>
      </c>
      <c r="AK330">
        <f>IF(AJ330&lt;&gt;"",IF(AI330="Monthly",EDATE(AJ330,1),IF(AI330="Quarterly",EDATE(AJ330,3),IF(AI330="Semi-Annual",EDATE(AJ330,6),""))),"")</f>
        <v/>
      </c>
      <c r="AL330">
        <f>IF(AK330&lt;&gt;"",IF(AK330&lt;TODAY(),"Overdue","Current"),"")</f>
        <v/>
      </c>
    </row>
    <row r="331">
      <c r="K331">
        <f>IF(J331="v4.0",L331,IF(J331="v3.1",M331,IF(J331="Both",L331,IF(AND(L331&lt;&gt;"",M331=""),L331,M331))))</f>
        <v/>
      </c>
      <c r="Z331">
        <f>IF(Y331&lt;&gt;"",TODAY()-Y331,"")</f>
        <v/>
      </c>
      <c r="AC331">
        <f>IF(AND(AA331&lt;&gt;"",AB331&lt;&gt;""),CHOOSE(MATCH(AA331,{"Low","Medium","High","Critical"},0),25,50,75,100)-CHOOSE(MATCH(AB331,{"Low","Medium","High","Critical"},0),25,50,75,100),"")</f>
        <v/>
      </c>
      <c r="AG331">
        <f>IF(AF331&lt;&gt;"",IF(AH331="Weekly",AF331+7,IF(AH331="Monthly",EDATE(AF331,1),IF(AH331="Quarterly",EDATE(AF331,3),""))),"")</f>
        <v/>
      </c>
      <c r="AK331">
        <f>IF(AJ331&lt;&gt;"",IF(AI331="Monthly",EDATE(AJ331,1),IF(AI331="Quarterly",EDATE(AJ331,3),IF(AI331="Semi-Annual",EDATE(AJ331,6),""))),"")</f>
        <v/>
      </c>
      <c r="AL331">
        <f>IF(AK331&lt;&gt;"",IF(AK331&lt;TODAY(),"Overdue","Current"),"")</f>
        <v/>
      </c>
    </row>
    <row r="332">
      <c r="K332">
        <f>IF(J332="v4.0",L332,IF(J332="v3.1",M332,IF(J332="Both",L332,IF(AND(L332&lt;&gt;"",M332=""),L332,M332))))</f>
        <v/>
      </c>
      <c r="Z332">
        <f>IF(Y332&lt;&gt;"",TODAY()-Y332,"")</f>
        <v/>
      </c>
      <c r="AC332">
        <f>IF(AND(AA332&lt;&gt;"",AB332&lt;&gt;""),CHOOSE(MATCH(AA332,{"Low","Medium","High","Critical"},0),25,50,75,100)-CHOOSE(MATCH(AB332,{"Low","Medium","High","Critical"},0),25,50,75,100),"")</f>
        <v/>
      </c>
      <c r="AG332">
        <f>IF(AF332&lt;&gt;"",IF(AH332="Weekly",AF332+7,IF(AH332="Monthly",EDATE(AF332,1),IF(AH332="Quarterly",EDATE(AF332,3),""))),"")</f>
        <v/>
      </c>
      <c r="AK332">
        <f>IF(AJ332&lt;&gt;"",IF(AI332="Monthly",EDATE(AJ332,1),IF(AI332="Quarterly",EDATE(AJ332,3),IF(AI332="Semi-Annual",EDATE(AJ332,6),""))),"")</f>
        <v/>
      </c>
      <c r="AL332">
        <f>IF(AK332&lt;&gt;"",IF(AK332&lt;TODAY(),"Overdue","Current"),"")</f>
        <v/>
      </c>
    </row>
    <row r="333">
      <c r="K333">
        <f>IF(J333="v4.0",L333,IF(J333="v3.1",M333,IF(J333="Both",L333,IF(AND(L333&lt;&gt;"",M333=""),L333,M333))))</f>
        <v/>
      </c>
      <c r="Z333">
        <f>IF(Y333&lt;&gt;"",TODAY()-Y333,"")</f>
        <v/>
      </c>
      <c r="AC333">
        <f>IF(AND(AA333&lt;&gt;"",AB333&lt;&gt;""),CHOOSE(MATCH(AA333,{"Low","Medium","High","Critical"},0),25,50,75,100)-CHOOSE(MATCH(AB333,{"Low","Medium","High","Critical"},0),25,50,75,100),"")</f>
        <v/>
      </c>
      <c r="AG333">
        <f>IF(AF333&lt;&gt;"",IF(AH333="Weekly",AF333+7,IF(AH333="Monthly",EDATE(AF333,1),IF(AH333="Quarterly",EDATE(AF333,3),""))),"")</f>
        <v/>
      </c>
      <c r="AK333">
        <f>IF(AJ333&lt;&gt;"",IF(AI333="Monthly",EDATE(AJ333,1),IF(AI333="Quarterly",EDATE(AJ333,3),IF(AI333="Semi-Annual",EDATE(AJ333,6),""))),"")</f>
        <v/>
      </c>
      <c r="AL333">
        <f>IF(AK333&lt;&gt;"",IF(AK333&lt;TODAY(),"Overdue","Current"),"")</f>
        <v/>
      </c>
    </row>
    <row r="334">
      <c r="K334">
        <f>IF(J334="v4.0",L334,IF(J334="v3.1",M334,IF(J334="Both",L334,IF(AND(L334&lt;&gt;"",M334=""),L334,M334))))</f>
        <v/>
      </c>
      <c r="Z334">
        <f>IF(Y334&lt;&gt;"",TODAY()-Y334,"")</f>
        <v/>
      </c>
      <c r="AC334">
        <f>IF(AND(AA334&lt;&gt;"",AB334&lt;&gt;""),CHOOSE(MATCH(AA334,{"Low","Medium","High","Critical"},0),25,50,75,100)-CHOOSE(MATCH(AB334,{"Low","Medium","High","Critical"},0),25,50,75,100),"")</f>
        <v/>
      </c>
      <c r="AG334">
        <f>IF(AF334&lt;&gt;"",IF(AH334="Weekly",AF334+7,IF(AH334="Monthly",EDATE(AF334,1),IF(AH334="Quarterly",EDATE(AF334,3),""))),"")</f>
        <v/>
      </c>
      <c r="AK334">
        <f>IF(AJ334&lt;&gt;"",IF(AI334="Monthly",EDATE(AJ334,1),IF(AI334="Quarterly",EDATE(AJ334,3),IF(AI334="Semi-Annual",EDATE(AJ334,6),""))),"")</f>
        <v/>
      </c>
      <c r="AL334">
        <f>IF(AK334&lt;&gt;"",IF(AK334&lt;TODAY(),"Overdue","Current"),"")</f>
        <v/>
      </c>
    </row>
    <row r="335">
      <c r="K335">
        <f>IF(J335="v4.0",L335,IF(J335="v3.1",M335,IF(J335="Both",L335,IF(AND(L335&lt;&gt;"",M335=""),L335,M335))))</f>
        <v/>
      </c>
      <c r="Z335">
        <f>IF(Y335&lt;&gt;"",TODAY()-Y335,"")</f>
        <v/>
      </c>
      <c r="AC335">
        <f>IF(AND(AA335&lt;&gt;"",AB335&lt;&gt;""),CHOOSE(MATCH(AA335,{"Low","Medium","High","Critical"},0),25,50,75,100)-CHOOSE(MATCH(AB335,{"Low","Medium","High","Critical"},0),25,50,75,100),"")</f>
        <v/>
      </c>
      <c r="AG335">
        <f>IF(AF335&lt;&gt;"",IF(AH335="Weekly",AF335+7,IF(AH335="Monthly",EDATE(AF335,1),IF(AH335="Quarterly",EDATE(AF335,3),""))),"")</f>
        <v/>
      </c>
      <c r="AK335">
        <f>IF(AJ335&lt;&gt;"",IF(AI335="Monthly",EDATE(AJ335,1),IF(AI335="Quarterly",EDATE(AJ335,3),IF(AI335="Semi-Annual",EDATE(AJ335,6),""))),"")</f>
        <v/>
      </c>
      <c r="AL335">
        <f>IF(AK335&lt;&gt;"",IF(AK335&lt;TODAY(),"Overdue","Current"),"")</f>
        <v/>
      </c>
    </row>
    <row r="336">
      <c r="K336">
        <f>IF(J336="v4.0",L336,IF(J336="v3.1",M336,IF(J336="Both",L336,IF(AND(L336&lt;&gt;"",M336=""),L336,M336))))</f>
        <v/>
      </c>
      <c r="Z336">
        <f>IF(Y336&lt;&gt;"",TODAY()-Y336,"")</f>
        <v/>
      </c>
      <c r="AC336">
        <f>IF(AND(AA336&lt;&gt;"",AB336&lt;&gt;""),CHOOSE(MATCH(AA336,{"Low","Medium","High","Critical"},0),25,50,75,100)-CHOOSE(MATCH(AB336,{"Low","Medium","High","Critical"},0),25,50,75,100),"")</f>
        <v/>
      </c>
      <c r="AG336">
        <f>IF(AF336&lt;&gt;"",IF(AH336="Weekly",AF336+7,IF(AH336="Monthly",EDATE(AF336,1),IF(AH336="Quarterly",EDATE(AF336,3),""))),"")</f>
        <v/>
      </c>
      <c r="AK336">
        <f>IF(AJ336&lt;&gt;"",IF(AI336="Monthly",EDATE(AJ336,1),IF(AI336="Quarterly",EDATE(AJ336,3),IF(AI336="Semi-Annual",EDATE(AJ336,6),""))),"")</f>
        <v/>
      </c>
      <c r="AL336">
        <f>IF(AK336&lt;&gt;"",IF(AK336&lt;TODAY(),"Overdue","Current"),"")</f>
        <v/>
      </c>
    </row>
    <row r="337">
      <c r="K337">
        <f>IF(J337="v4.0",L337,IF(J337="v3.1",M337,IF(J337="Both",L337,IF(AND(L337&lt;&gt;"",M337=""),L337,M337))))</f>
        <v/>
      </c>
      <c r="Z337">
        <f>IF(Y337&lt;&gt;"",TODAY()-Y337,"")</f>
        <v/>
      </c>
      <c r="AC337">
        <f>IF(AND(AA337&lt;&gt;"",AB337&lt;&gt;""),CHOOSE(MATCH(AA337,{"Low","Medium","High","Critical"},0),25,50,75,100)-CHOOSE(MATCH(AB337,{"Low","Medium","High","Critical"},0),25,50,75,100),"")</f>
        <v/>
      </c>
      <c r="AG337">
        <f>IF(AF337&lt;&gt;"",IF(AH337="Weekly",AF337+7,IF(AH337="Monthly",EDATE(AF337,1),IF(AH337="Quarterly",EDATE(AF337,3),""))),"")</f>
        <v/>
      </c>
      <c r="AK337">
        <f>IF(AJ337&lt;&gt;"",IF(AI337="Monthly",EDATE(AJ337,1),IF(AI337="Quarterly",EDATE(AJ337,3),IF(AI337="Semi-Annual",EDATE(AJ337,6),""))),"")</f>
        <v/>
      </c>
      <c r="AL337">
        <f>IF(AK337&lt;&gt;"",IF(AK337&lt;TODAY(),"Overdue","Current"),"")</f>
        <v/>
      </c>
    </row>
    <row r="338">
      <c r="K338">
        <f>IF(J338="v4.0",L338,IF(J338="v3.1",M338,IF(J338="Both",L338,IF(AND(L338&lt;&gt;"",M338=""),L338,M338))))</f>
        <v/>
      </c>
      <c r="Z338">
        <f>IF(Y338&lt;&gt;"",TODAY()-Y338,"")</f>
        <v/>
      </c>
      <c r="AC338">
        <f>IF(AND(AA338&lt;&gt;"",AB338&lt;&gt;""),CHOOSE(MATCH(AA338,{"Low","Medium","High","Critical"},0),25,50,75,100)-CHOOSE(MATCH(AB338,{"Low","Medium","High","Critical"},0),25,50,75,100),"")</f>
        <v/>
      </c>
      <c r="AG338">
        <f>IF(AF338&lt;&gt;"",IF(AH338="Weekly",AF338+7,IF(AH338="Monthly",EDATE(AF338,1),IF(AH338="Quarterly",EDATE(AF338,3),""))),"")</f>
        <v/>
      </c>
      <c r="AK338">
        <f>IF(AJ338&lt;&gt;"",IF(AI338="Monthly",EDATE(AJ338,1),IF(AI338="Quarterly",EDATE(AJ338,3),IF(AI338="Semi-Annual",EDATE(AJ338,6),""))),"")</f>
        <v/>
      </c>
      <c r="AL338">
        <f>IF(AK338&lt;&gt;"",IF(AK338&lt;TODAY(),"Overdue","Current"),"")</f>
        <v/>
      </c>
    </row>
    <row r="339">
      <c r="K339">
        <f>IF(J339="v4.0",L339,IF(J339="v3.1",M339,IF(J339="Both",L339,IF(AND(L339&lt;&gt;"",M339=""),L339,M339))))</f>
        <v/>
      </c>
      <c r="Z339">
        <f>IF(Y339&lt;&gt;"",TODAY()-Y339,"")</f>
        <v/>
      </c>
      <c r="AC339">
        <f>IF(AND(AA339&lt;&gt;"",AB339&lt;&gt;""),CHOOSE(MATCH(AA339,{"Low","Medium","High","Critical"},0),25,50,75,100)-CHOOSE(MATCH(AB339,{"Low","Medium","High","Critical"},0),25,50,75,100),"")</f>
        <v/>
      </c>
      <c r="AG339">
        <f>IF(AF339&lt;&gt;"",IF(AH339="Weekly",AF339+7,IF(AH339="Monthly",EDATE(AF339,1),IF(AH339="Quarterly",EDATE(AF339,3),""))),"")</f>
        <v/>
      </c>
      <c r="AK339">
        <f>IF(AJ339&lt;&gt;"",IF(AI339="Monthly",EDATE(AJ339,1),IF(AI339="Quarterly",EDATE(AJ339,3),IF(AI339="Semi-Annual",EDATE(AJ339,6),""))),"")</f>
        <v/>
      </c>
      <c r="AL339">
        <f>IF(AK339&lt;&gt;"",IF(AK339&lt;TODAY(),"Overdue","Current"),"")</f>
        <v/>
      </c>
    </row>
    <row r="340">
      <c r="K340">
        <f>IF(J340="v4.0",L340,IF(J340="v3.1",M340,IF(J340="Both",L340,IF(AND(L340&lt;&gt;"",M340=""),L340,M340))))</f>
        <v/>
      </c>
      <c r="Z340">
        <f>IF(Y340&lt;&gt;"",TODAY()-Y340,"")</f>
        <v/>
      </c>
      <c r="AC340">
        <f>IF(AND(AA340&lt;&gt;"",AB340&lt;&gt;""),CHOOSE(MATCH(AA340,{"Low","Medium","High","Critical"},0),25,50,75,100)-CHOOSE(MATCH(AB340,{"Low","Medium","High","Critical"},0),25,50,75,100),"")</f>
        <v/>
      </c>
      <c r="AG340">
        <f>IF(AF340&lt;&gt;"",IF(AH340="Weekly",AF340+7,IF(AH340="Monthly",EDATE(AF340,1),IF(AH340="Quarterly",EDATE(AF340,3),""))),"")</f>
        <v/>
      </c>
      <c r="AK340">
        <f>IF(AJ340&lt;&gt;"",IF(AI340="Monthly",EDATE(AJ340,1),IF(AI340="Quarterly",EDATE(AJ340,3),IF(AI340="Semi-Annual",EDATE(AJ340,6),""))),"")</f>
        <v/>
      </c>
      <c r="AL340">
        <f>IF(AK340&lt;&gt;"",IF(AK340&lt;TODAY(),"Overdue","Current"),"")</f>
        <v/>
      </c>
    </row>
    <row r="341">
      <c r="K341">
        <f>IF(J341="v4.0",L341,IF(J341="v3.1",M341,IF(J341="Both",L341,IF(AND(L341&lt;&gt;"",M341=""),L341,M341))))</f>
        <v/>
      </c>
      <c r="Z341">
        <f>IF(Y341&lt;&gt;"",TODAY()-Y341,"")</f>
        <v/>
      </c>
      <c r="AC341">
        <f>IF(AND(AA341&lt;&gt;"",AB341&lt;&gt;""),CHOOSE(MATCH(AA341,{"Low","Medium","High","Critical"},0),25,50,75,100)-CHOOSE(MATCH(AB341,{"Low","Medium","High","Critical"},0),25,50,75,100),"")</f>
        <v/>
      </c>
      <c r="AG341">
        <f>IF(AF341&lt;&gt;"",IF(AH341="Weekly",AF341+7,IF(AH341="Monthly",EDATE(AF341,1),IF(AH341="Quarterly",EDATE(AF341,3),""))),"")</f>
        <v/>
      </c>
      <c r="AK341">
        <f>IF(AJ341&lt;&gt;"",IF(AI341="Monthly",EDATE(AJ341,1),IF(AI341="Quarterly",EDATE(AJ341,3),IF(AI341="Semi-Annual",EDATE(AJ341,6),""))),"")</f>
        <v/>
      </c>
      <c r="AL341">
        <f>IF(AK341&lt;&gt;"",IF(AK341&lt;TODAY(),"Overdue","Current"),"")</f>
        <v/>
      </c>
    </row>
    <row r="342">
      <c r="K342">
        <f>IF(J342="v4.0",L342,IF(J342="v3.1",M342,IF(J342="Both",L342,IF(AND(L342&lt;&gt;"",M342=""),L342,M342))))</f>
        <v/>
      </c>
      <c r="Z342">
        <f>IF(Y342&lt;&gt;"",TODAY()-Y342,"")</f>
        <v/>
      </c>
      <c r="AC342">
        <f>IF(AND(AA342&lt;&gt;"",AB342&lt;&gt;""),CHOOSE(MATCH(AA342,{"Low","Medium","High","Critical"},0),25,50,75,100)-CHOOSE(MATCH(AB342,{"Low","Medium","High","Critical"},0),25,50,75,100),"")</f>
        <v/>
      </c>
      <c r="AG342">
        <f>IF(AF342&lt;&gt;"",IF(AH342="Weekly",AF342+7,IF(AH342="Monthly",EDATE(AF342,1),IF(AH342="Quarterly",EDATE(AF342,3),""))),"")</f>
        <v/>
      </c>
      <c r="AK342">
        <f>IF(AJ342&lt;&gt;"",IF(AI342="Monthly",EDATE(AJ342,1),IF(AI342="Quarterly",EDATE(AJ342,3),IF(AI342="Semi-Annual",EDATE(AJ342,6),""))),"")</f>
        <v/>
      </c>
      <c r="AL342">
        <f>IF(AK342&lt;&gt;"",IF(AK342&lt;TODAY(),"Overdue","Current"),"")</f>
        <v/>
      </c>
    </row>
    <row r="343">
      <c r="K343">
        <f>IF(J343="v4.0",L343,IF(J343="v3.1",M343,IF(J343="Both",L343,IF(AND(L343&lt;&gt;"",M343=""),L343,M343))))</f>
        <v/>
      </c>
      <c r="Z343">
        <f>IF(Y343&lt;&gt;"",TODAY()-Y343,"")</f>
        <v/>
      </c>
      <c r="AC343">
        <f>IF(AND(AA343&lt;&gt;"",AB343&lt;&gt;""),CHOOSE(MATCH(AA343,{"Low","Medium","High","Critical"},0),25,50,75,100)-CHOOSE(MATCH(AB343,{"Low","Medium","High","Critical"},0),25,50,75,100),"")</f>
        <v/>
      </c>
      <c r="AG343">
        <f>IF(AF343&lt;&gt;"",IF(AH343="Weekly",AF343+7,IF(AH343="Monthly",EDATE(AF343,1),IF(AH343="Quarterly",EDATE(AF343,3),""))),"")</f>
        <v/>
      </c>
      <c r="AK343">
        <f>IF(AJ343&lt;&gt;"",IF(AI343="Monthly",EDATE(AJ343,1),IF(AI343="Quarterly",EDATE(AJ343,3),IF(AI343="Semi-Annual",EDATE(AJ343,6),""))),"")</f>
        <v/>
      </c>
      <c r="AL343">
        <f>IF(AK343&lt;&gt;"",IF(AK343&lt;TODAY(),"Overdue","Current"),"")</f>
        <v/>
      </c>
    </row>
    <row r="344">
      <c r="K344">
        <f>IF(J344="v4.0",L344,IF(J344="v3.1",M344,IF(J344="Both",L344,IF(AND(L344&lt;&gt;"",M344=""),L344,M344))))</f>
        <v/>
      </c>
      <c r="Z344">
        <f>IF(Y344&lt;&gt;"",TODAY()-Y344,"")</f>
        <v/>
      </c>
      <c r="AC344">
        <f>IF(AND(AA344&lt;&gt;"",AB344&lt;&gt;""),CHOOSE(MATCH(AA344,{"Low","Medium","High","Critical"},0),25,50,75,100)-CHOOSE(MATCH(AB344,{"Low","Medium","High","Critical"},0),25,50,75,100),"")</f>
        <v/>
      </c>
      <c r="AG344">
        <f>IF(AF344&lt;&gt;"",IF(AH344="Weekly",AF344+7,IF(AH344="Monthly",EDATE(AF344,1),IF(AH344="Quarterly",EDATE(AF344,3),""))),"")</f>
        <v/>
      </c>
      <c r="AK344">
        <f>IF(AJ344&lt;&gt;"",IF(AI344="Monthly",EDATE(AJ344,1),IF(AI344="Quarterly",EDATE(AJ344,3),IF(AI344="Semi-Annual",EDATE(AJ344,6),""))),"")</f>
        <v/>
      </c>
      <c r="AL344">
        <f>IF(AK344&lt;&gt;"",IF(AK344&lt;TODAY(),"Overdue","Current"),"")</f>
        <v/>
      </c>
    </row>
    <row r="345">
      <c r="K345">
        <f>IF(J345="v4.0",L345,IF(J345="v3.1",M345,IF(J345="Both",L345,IF(AND(L345&lt;&gt;"",M345=""),L345,M345))))</f>
        <v/>
      </c>
      <c r="Z345">
        <f>IF(Y345&lt;&gt;"",TODAY()-Y345,"")</f>
        <v/>
      </c>
      <c r="AC345">
        <f>IF(AND(AA345&lt;&gt;"",AB345&lt;&gt;""),CHOOSE(MATCH(AA345,{"Low","Medium","High","Critical"},0),25,50,75,100)-CHOOSE(MATCH(AB345,{"Low","Medium","High","Critical"},0),25,50,75,100),"")</f>
        <v/>
      </c>
      <c r="AG345">
        <f>IF(AF345&lt;&gt;"",IF(AH345="Weekly",AF345+7,IF(AH345="Monthly",EDATE(AF345,1),IF(AH345="Quarterly",EDATE(AF345,3),""))),"")</f>
        <v/>
      </c>
      <c r="AK345">
        <f>IF(AJ345&lt;&gt;"",IF(AI345="Monthly",EDATE(AJ345,1),IF(AI345="Quarterly",EDATE(AJ345,3),IF(AI345="Semi-Annual",EDATE(AJ345,6),""))),"")</f>
        <v/>
      </c>
      <c r="AL345">
        <f>IF(AK345&lt;&gt;"",IF(AK345&lt;TODAY(),"Overdue","Current"),"")</f>
        <v/>
      </c>
    </row>
    <row r="346">
      <c r="K346">
        <f>IF(J346="v4.0",L346,IF(J346="v3.1",M346,IF(J346="Both",L346,IF(AND(L346&lt;&gt;"",M346=""),L346,M346))))</f>
        <v/>
      </c>
      <c r="Z346">
        <f>IF(Y346&lt;&gt;"",TODAY()-Y346,"")</f>
        <v/>
      </c>
      <c r="AC346">
        <f>IF(AND(AA346&lt;&gt;"",AB346&lt;&gt;""),CHOOSE(MATCH(AA346,{"Low","Medium","High","Critical"},0),25,50,75,100)-CHOOSE(MATCH(AB346,{"Low","Medium","High","Critical"},0),25,50,75,100),"")</f>
        <v/>
      </c>
      <c r="AG346">
        <f>IF(AF346&lt;&gt;"",IF(AH346="Weekly",AF346+7,IF(AH346="Monthly",EDATE(AF346,1),IF(AH346="Quarterly",EDATE(AF346,3),""))),"")</f>
        <v/>
      </c>
      <c r="AK346">
        <f>IF(AJ346&lt;&gt;"",IF(AI346="Monthly",EDATE(AJ346,1),IF(AI346="Quarterly",EDATE(AJ346,3),IF(AI346="Semi-Annual",EDATE(AJ346,6),""))),"")</f>
        <v/>
      </c>
      <c r="AL346">
        <f>IF(AK346&lt;&gt;"",IF(AK346&lt;TODAY(),"Overdue","Current"),"")</f>
        <v/>
      </c>
    </row>
    <row r="347">
      <c r="K347">
        <f>IF(J347="v4.0",L347,IF(J347="v3.1",M347,IF(J347="Both",L347,IF(AND(L347&lt;&gt;"",M347=""),L347,M347))))</f>
        <v/>
      </c>
      <c r="Z347">
        <f>IF(Y347&lt;&gt;"",TODAY()-Y347,"")</f>
        <v/>
      </c>
      <c r="AC347">
        <f>IF(AND(AA347&lt;&gt;"",AB347&lt;&gt;""),CHOOSE(MATCH(AA347,{"Low","Medium","High","Critical"},0),25,50,75,100)-CHOOSE(MATCH(AB347,{"Low","Medium","High","Critical"},0),25,50,75,100),"")</f>
        <v/>
      </c>
      <c r="AG347">
        <f>IF(AF347&lt;&gt;"",IF(AH347="Weekly",AF347+7,IF(AH347="Monthly",EDATE(AF347,1),IF(AH347="Quarterly",EDATE(AF347,3),""))),"")</f>
        <v/>
      </c>
      <c r="AK347">
        <f>IF(AJ347&lt;&gt;"",IF(AI347="Monthly",EDATE(AJ347,1),IF(AI347="Quarterly",EDATE(AJ347,3),IF(AI347="Semi-Annual",EDATE(AJ347,6),""))),"")</f>
        <v/>
      </c>
      <c r="AL347">
        <f>IF(AK347&lt;&gt;"",IF(AK347&lt;TODAY(),"Overdue","Current"),"")</f>
        <v/>
      </c>
    </row>
    <row r="348">
      <c r="K348">
        <f>IF(J348="v4.0",L348,IF(J348="v3.1",M348,IF(J348="Both",L348,IF(AND(L348&lt;&gt;"",M348=""),L348,M348))))</f>
        <v/>
      </c>
      <c r="Z348">
        <f>IF(Y348&lt;&gt;"",TODAY()-Y348,"")</f>
        <v/>
      </c>
      <c r="AC348">
        <f>IF(AND(AA348&lt;&gt;"",AB348&lt;&gt;""),CHOOSE(MATCH(AA348,{"Low","Medium","High","Critical"},0),25,50,75,100)-CHOOSE(MATCH(AB348,{"Low","Medium","High","Critical"},0),25,50,75,100),"")</f>
        <v/>
      </c>
      <c r="AG348">
        <f>IF(AF348&lt;&gt;"",IF(AH348="Weekly",AF348+7,IF(AH348="Monthly",EDATE(AF348,1),IF(AH348="Quarterly",EDATE(AF348,3),""))),"")</f>
        <v/>
      </c>
      <c r="AK348">
        <f>IF(AJ348&lt;&gt;"",IF(AI348="Monthly",EDATE(AJ348,1),IF(AI348="Quarterly",EDATE(AJ348,3),IF(AI348="Semi-Annual",EDATE(AJ348,6),""))),"")</f>
        <v/>
      </c>
      <c r="AL348">
        <f>IF(AK348&lt;&gt;"",IF(AK348&lt;TODAY(),"Overdue","Current"),"")</f>
        <v/>
      </c>
    </row>
    <row r="349">
      <c r="K349">
        <f>IF(J349="v4.0",L349,IF(J349="v3.1",M349,IF(J349="Both",L349,IF(AND(L349&lt;&gt;"",M349=""),L349,M349))))</f>
        <v/>
      </c>
      <c r="Z349">
        <f>IF(Y349&lt;&gt;"",TODAY()-Y349,"")</f>
        <v/>
      </c>
      <c r="AC349">
        <f>IF(AND(AA349&lt;&gt;"",AB349&lt;&gt;""),CHOOSE(MATCH(AA349,{"Low","Medium","High","Critical"},0),25,50,75,100)-CHOOSE(MATCH(AB349,{"Low","Medium","High","Critical"},0),25,50,75,100),"")</f>
        <v/>
      </c>
      <c r="AG349">
        <f>IF(AF349&lt;&gt;"",IF(AH349="Weekly",AF349+7,IF(AH349="Monthly",EDATE(AF349,1),IF(AH349="Quarterly",EDATE(AF349,3),""))),"")</f>
        <v/>
      </c>
      <c r="AK349">
        <f>IF(AJ349&lt;&gt;"",IF(AI349="Monthly",EDATE(AJ349,1),IF(AI349="Quarterly",EDATE(AJ349,3),IF(AI349="Semi-Annual",EDATE(AJ349,6),""))),"")</f>
        <v/>
      </c>
      <c r="AL349">
        <f>IF(AK349&lt;&gt;"",IF(AK349&lt;TODAY(),"Overdue","Current"),"")</f>
        <v/>
      </c>
    </row>
    <row r="350">
      <c r="K350">
        <f>IF(J350="v4.0",L350,IF(J350="v3.1",M350,IF(J350="Both",L350,IF(AND(L350&lt;&gt;"",M350=""),L350,M350))))</f>
        <v/>
      </c>
      <c r="Z350">
        <f>IF(Y350&lt;&gt;"",TODAY()-Y350,"")</f>
        <v/>
      </c>
      <c r="AC350">
        <f>IF(AND(AA350&lt;&gt;"",AB350&lt;&gt;""),CHOOSE(MATCH(AA350,{"Low","Medium","High","Critical"},0),25,50,75,100)-CHOOSE(MATCH(AB350,{"Low","Medium","High","Critical"},0),25,50,75,100),"")</f>
        <v/>
      </c>
      <c r="AG350">
        <f>IF(AF350&lt;&gt;"",IF(AH350="Weekly",AF350+7,IF(AH350="Monthly",EDATE(AF350,1),IF(AH350="Quarterly",EDATE(AF350,3),""))),"")</f>
        <v/>
      </c>
      <c r="AK350">
        <f>IF(AJ350&lt;&gt;"",IF(AI350="Monthly",EDATE(AJ350,1),IF(AI350="Quarterly",EDATE(AJ350,3),IF(AI350="Semi-Annual",EDATE(AJ350,6),""))),"")</f>
        <v/>
      </c>
      <c r="AL350">
        <f>IF(AK350&lt;&gt;"",IF(AK350&lt;TODAY(),"Overdue","Current"),"")</f>
        <v/>
      </c>
    </row>
    <row r="351">
      <c r="K351">
        <f>IF(J351="v4.0",L351,IF(J351="v3.1",M351,IF(J351="Both",L351,IF(AND(L351&lt;&gt;"",M351=""),L351,M351))))</f>
        <v/>
      </c>
      <c r="Z351">
        <f>IF(Y351&lt;&gt;"",TODAY()-Y351,"")</f>
        <v/>
      </c>
      <c r="AC351">
        <f>IF(AND(AA351&lt;&gt;"",AB351&lt;&gt;""),CHOOSE(MATCH(AA351,{"Low","Medium","High","Critical"},0),25,50,75,100)-CHOOSE(MATCH(AB351,{"Low","Medium","High","Critical"},0),25,50,75,100),"")</f>
        <v/>
      </c>
      <c r="AG351">
        <f>IF(AF351&lt;&gt;"",IF(AH351="Weekly",AF351+7,IF(AH351="Monthly",EDATE(AF351,1),IF(AH351="Quarterly",EDATE(AF351,3),""))),"")</f>
        <v/>
      </c>
      <c r="AK351">
        <f>IF(AJ351&lt;&gt;"",IF(AI351="Monthly",EDATE(AJ351,1),IF(AI351="Quarterly",EDATE(AJ351,3),IF(AI351="Semi-Annual",EDATE(AJ351,6),""))),"")</f>
        <v/>
      </c>
      <c r="AL351">
        <f>IF(AK351&lt;&gt;"",IF(AK351&lt;TODAY(),"Overdue","Current"),"")</f>
        <v/>
      </c>
    </row>
    <row r="352">
      <c r="K352">
        <f>IF(J352="v4.0",L352,IF(J352="v3.1",M352,IF(J352="Both",L352,IF(AND(L352&lt;&gt;"",M352=""),L352,M352))))</f>
        <v/>
      </c>
      <c r="Z352">
        <f>IF(Y352&lt;&gt;"",TODAY()-Y352,"")</f>
        <v/>
      </c>
      <c r="AC352">
        <f>IF(AND(AA352&lt;&gt;"",AB352&lt;&gt;""),CHOOSE(MATCH(AA352,{"Low","Medium","High","Critical"},0),25,50,75,100)-CHOOSE(MATCH(AB352,{"Low","Medium","High","Critical"},0),25,50,75,100),"")</f>
        <v/>
      </c>
      <c r="AG352">
        <f>IF(AF352&lt;&gt;"",IF(AH352="Weekly",AF352+7,IF(AH352="Monthly",EDATE(AF352,1),IF(AH352="Quarterly",EDATE(AF352,3),""))),"")</f>
        <v/>
      </c>
      <c r="AK352">
        <f>IF(AJ352&lt;&gt;"",IF(AI352="Monthly",EDATE(AJ352,1),IF(AI352="Quarterly",EDATE(AJ352,3),IF(AI352="Semi-Annual",EDATE(AJ352,6),""))),"")</f>
        <v/>
      </c>
      <c r="AL352">
        <f>IF(AK352&lt;&gt;"",IF(AK352&lt;TODAY(),"Overdue","Current"),"")</f>
        <v/>
      </c>
    </row>
    <row r="353">
      <c r="K353">
        <f>IF(J353="v4.0",L353,IF(J353="v3.1",M353,IF(J353="Both",L353,IF(AND(L353&lt;&gt;"",M353=""),L353,M353))))</f>
        <v/>
      </c>
      <c r="Z353">
        <f>IF(Y353&lt;&gt;"",TODAY()-Y353,"")</f>
        <v/>
      </c>
      <c r="AC353">
        <f>IF(AND(AA353&lt;&gt;"",AB353&lt;&gt;""),CHOOSE(MATCH(AA353,{"Low","Medium","High","Critical"},0),25,50,75,100)-CHOOSE(MATCH(AB353,{"Low","Medium","High","Critical"},0),25,50,75,100),"")</f>
        <v/>
      </c>
      <c r="AG353">
        <f>IF(AF353&lt;&gt;"",IF(AH353="Weekly",AF353+7,IF(AH353="Monthly",EDATE(AF353,1),IF(AH353="Quarterly",EDATE(AF353,3),""))),"")</f>
        <v/>
      </c>
      <c r="AK353">
        <f>IF(AJ353&lt;&gt;"",IF(AI353="Monthly",EDATE(AJ353,1),IF(AI353="Quarterly",EDATE(AJ353,3),IF(AI353="Semi-Annual",EDATE(AJ353,6),""))),"")</f>
        <v/>
      </c>
      <c r="AL353">
        <f>IF(AK353&lt;&gt;"",IF(AK353&lt;TODAY(),"Overdue","Current"),"")</f>
        <v/>
      </c>
    </row>
    <row r="354">
      <c r="K354">
        <f>IF(J354="v4.0",L354,IF(J354="v3.1",M354,IF(J354="Both",L354,IF(AND(L354&lt;&gt;"",M354=""),L354,M354))))</f>
        <v/>
      </c>
      <c r="Z354">
        <f>IF(Y354&lt;&gt;"",TODAY()-Y354,"")</f>
        <v/>
      </c>
      <c r="AC354">
        <f>IF(AND(AA354&lt;&gt;"",AB354&lt;&gt;""),CHOOSE(MATCH(AA354,{"Low","Medium","High","Critical"},0),25,50,75,100)-CHOOSE(MATCH(AB354,{"Low","Medium","High","Critical"},0),25,50,75,100),"")</f>
        <v/>
      </c>
      <c r="AG354">
        <f>IF(AF354&lt;&gt;"",IF(AH354="Weekly",AF354+7,IF(AH354="Monthly",EDATE(AF354,1),IF(AH354="Quarterly",EDATE(AF354,3),""))),"")</f>
        <v/>
      </c>
      <c r="AK354">
        <f>IF(AJ354&lt;&gt;"",IF(AI354="Monthly",EDATE(AJ354,1),IF(AI354="Quarterly",EDATE(AJ354,3),IF(AI354="Semi-Annual",EDATE(AJ354,6),""))),"")</f>
        <v/>
      </c>
      <c r="AL354">
        <f>IF(AK354&lt;&gt;"",IF(AK354&lt;TODAY(),"Overdue","Current"),"")</f>
        <v/>
      </c>
    </row>
    <row r="355">
      <c r="K355">
        <f>IF(J355="v4.0",L355,IF(J355="v3.1",M355,IF(J355="Both",L355,IF(AND(L355&lt;&gt;"",M355=""),L355,M355))))</f>
        <v/>
      </c>
      <c r="Z355">
        <f>IF(Y355&lt;&gt;"",TODAY()-Y355,"")</f>
        <v/>
      </c>
      <c r="AC355">
        <f>IF(AND(AA355&lt;&gt;"",AB355&lt;&gt;""),CHOOSE(MATCH(AA355,{"Low","Medium","High","Critical"},0),25,50,75,100)-CHOOSE(MATCH(AB355,{"Low","Medium","High","Critical"},0),25,50,75,100),"")</f>
        <v/>
      </c>
      <c r="AG355">
        <f>IF(AF355&lt;&gt;"",IF(AH355="Weekly",AF355+7,IF(AH355="Monthly",EDATE(AF355,1),IF(AH355="Quarterly",EDATE(AF355,3),""))),"")</f>
        <v/>
      </c>
      <c r="AK355">
        <f>IF(AJ355&lt;&gt;"",IF(AI355="Monthly",EDATE(AJ355,1),IF(AI355="Quarterly",EDATE(AJ355,3),IF(AI355="Semi-Annual",EDATE(AJ355,6),""))),"")</f>
        <v/>
      </c>
      <c r="AL355">
        <f>IF(AK355&lt;&gt;"",IF(AK355&lt;TODAY(),"Overdue","Current"),"")</f>
        <v/>
      </c>
    </row>
    <row r="356">
      <c r="K356">
        <f>IF(J356="v4.0",L356,IF(J356="v3.1",M356,IF(J356="Both",L356,IF(AND(L356&lt;&gt;"",M356=""),L356,M356))))</f>
        <v/>
      </c>
      <c r="Z356">
        <f>IF(Y356&lt;&gt;"",TODAY()-Y356,"")</f>
        <v/>
      </c>
      <c r="AC356">
        <f>IF(AND(AA356&lt;&gt;"",AB356&lt;&gt;""),CHOOSE(MATCH(AA356,{"Low","Medium","High","Critical"},0),25,50,75,100)-CHOOSE(MATCH(AB356,{"Low","Medium","High","Critical"},0),25,50,75,100),"")</f>
        <v/>
      </c>
      <c r="AG356">
        <f>IF(AF356&lt;&gt;"",IF(AH356="Weekly",AF356+7,IF(AH356="Monthly",EDATE(AF356,1),IF(AH356="Quarterly",EDATE(AF356,3),""))),"")</f>
        <v/>
      </c>
      <c r="AK356">
        <f>IF(AJ356&lt;&gt;"",IF(AI356="Monthly",EDATE(AJ356,1),IF(AI356="Quarterly",EDATE(AJ356,3),IF(AI356="Semi-Annual",EDATE(AJ356,6),""))),"")</f>
        <v/>
      </c>
      <c r="AL356">
        <f>IF(AK356&lt;&gt;"",IF(AK356&lt;TODAY(),"Overdue","Current"),"")</f>
        <v/>
      </c>
    </row>
    <row r="357">
      <c r="K357">
        <f>IF(J357="v4.0",L357,IF(J357="v3.1",M357,IF(J357="Both",L357,IF(AND(L357&lt;&gt;"",M357=""),L357,M357))))</f>
        <v/>
      </c>
      <c r="Z357">
        <f>IF(Y357&lt;&gt;"",TODAY()-Y357,"")</f>
        <v/>
      </c>
      <c r="AC357">
        <f>IF(AND(AA357&lt;&gt;"",AB357&lt;&gt;""),CHOOSE(MATCH(AA357,{"Low","Medium","High","Critical"},0),25,50,75,100)-CHOOSE(MATCH(AB357,{"Low","Medium","High","Critical"},0),25,50,75,100),"")</f>
        <v/>
      </c>
      <c r="AG357">
        <f>IF(AF357&lt;&gt;"",IF(AH357="Weekly",AF357+7,IF(AH357="Monthly",EDATE(AF357,1),IF(AH357="Quarterly",EDATE(AF357,3),""))),"")</f>
        <v/>
      </c>
      <c r="AK357">
        <f>IF(AJ357&lt;&gt;"",IF(AI357="Monthly",EDATE(AJ357,1),IF(AI357="Quarterly",EDATE(AJ357,3),IF(AI357="Semi-Annual",EDATE(AJ357,6),""))),"")</f>
        <v/>
      </c>
      <c r="AL357">
        <f>IF(AK357&lt;&gt;"",IF(AK357&lt;TODAY(),"Overdue","Current"),"")</f>
        <v/>
      </c>
    </row>
    <row r="358">
      <c r="K358">
        <f>IF(J358="v4.0",L358,IF(J358="v3.1",M358,IF(J358="Both",L358,IF(AND(L358&lt;&gt;"",M358=""),L358,M358))))</f>
        <v/>
      </c>
      <c r="Z358">
        <f>IF(Y358&lt;&gt;"",TODAY()-Y358,"")</f>
        <v/>
      </c>
      <c r="AC358">
        <f>IF(AND(AA358&lt;&gt;"",AB358&lt;&gt;""),CHOOSE(MATCH(AA358,{"Low","Medium","High","Critical"},0),25,50,75,100)-CHOOSE(MATCH(AB358,{"Low","Medium","High","Critical"},0),25,50,75,100),"")</f>
        <v/>
      </c>
      <c r="AG358">
        <f>IF(AF358&lt;&gt;"",IF(AH358="Weekly",AF358+7,IF(AH358="Monthly",EDATE(AF358,1),IF(AH358="Quarterly",EDATE(AF358,3),""))),"")</f>
        <v/>
      </c>
      <c r="AK358">
        <f>IF(AJ358&lt;&gt;"",IF(AI358="Monthly",EDATE(AJ358,1),IF(AI358="Quarterly",EDATE(AJ358,3),IF(AI358="Semi-Annual",EDATE(AJ358,6),""))),"")</f>
        <v/>
      </c>
      <c r="AL358">
        <f>IF(AK358&lt;&gt;"",IF(AK358&lt;TODAY(),"Overdue","Current"),"")</f>
        <v/>
      </c>
    </row>
    <row r="359">
      <c r="K359">
        <f>IF(J359="v4.0",L359,IF(J359="v3.1",M359,IF(J359="Both",L359,IF(AND(L359&lt;&gt;"",M359=""),L359,M359))))</f>
        <v/>
      </c>
      <c r="Z359">
        <f>IF(Y359&lt;&gt;"",TODAY()-Y359,"")</f>
        <v/>
      </c>
      <c r="AC359">
        <f>IF(AND(AA359&lt;&gt;"",AB359&lt;&gt;""),CHOOSE(MATCH(AA359,{"Low","Medium","High","Critical"},0),25,50,75,100)-CHOOSE(MATCH(AB359,{"Low","Medium","High","Critical"},0),25,50,75,100),"")</f>
        <v/>
      </c>
      <c r="AG359">
        <f>IF(AF359&lt;&gt;"",IF(AH359="Weekly",AF359+7,IF(AH359="Monthly",EDATE(AF359,1),IF(AH359="Quarterly",EDATE(AF359,3),""))),"")</f>
        <v/>
      </c>
      <c r="AK359">
        <f>IF(AJ359&lt;&gt;"",IF(AI359="Monthly",EDATE(AJ359,1),IF(AI359="Quarterly",EDATE(AJ359,3),IF(AI359="Semi-Annual",EDATE(AJ359,6),""))),"")</f>
        <v/>
      </c>
      <c r="AL359">
        <f>IF(AK359&lt;&gt;"",IF(AK359&lt;TODAY(),"Overdue","Current"),"")</f>
        <v/>
      </c>
    </row>
    <row r="360">
      <c r="K360">
        <f>IF(J360="v4.0",L360,IF(J360="v3.1",M360,IF(J360="Both",L360,IF(AND(L360&lt;&gt;"",M360=""),L360,M360))))</f>
        <v/>
      </c>
      <c r="Z360">
        <f>IF(Y360&lt;&gt;"",TODAY()-Y360,"")</f>
        <v/>
      </c>
      <c r="AC360">
        <f>IF(AND(AA360&lt;&gt;"",AB360&lt;&gt;""),CHOOSE(MATCH(AA360,{"Low","Medium","High","Critical"},0),25,50,75,100)-CHOOSE(MATCH(AB360,{"Low","Medium","High","Critical"},0),25,50,75,100),"")</f>
        <v/>
      </c>
      <c r="AG360">
        <f>IF(AF360&lt;&gt;"",IF(AH360="Weekly",AF360+7,IF(AH360="Monthly",EDATE(AF360,1),IF(AH360="Quarterly",EDATE(AF360,3),""))),"")</f>
        <v/>
      </c>
      <c r="AK360">
        <f>IF(AJ360&lt;&gt;"",IF(AI360="Monthly",EDATE(AJ360,1),IF(AI360="Quarterly",EDATE(AJ360,3),IF(AI360="Semi-Annual",EDATE(AJ360,6),""))),"")</f>
        <v/>
      </c>
      <c r="AL360">
        <f>IF(AK360&lt;&gt;"",IF(AK360&lt;TODAY(),"Overdue","Current"),"")</f>
        <v/>
      </c>
    </row>
    <row r="361">
      <c r="K361">
        <f>IF(J361="v4.0",L361,IF(J361="v3.1",M361,IF(J361="Both",L361,IF(AND(L361&lt;&gt;"",M361=""),L361,M361))))</f>
        <v/>
      </c>
      <c r="Z361">
        <f>IF(Y361&lt;&gt;"",TODAY()-Y361,"")</f>
        <v/>
      </c>
      <c r="AC361">
        <f>IF(AND(AA361&lt;&gt;"",AB361&lt;&gt;""),CHOOSE(MATCH(AA361,{"Low","Medium","High","Critical"},0),25,50,75,100)-CHOOSE(MATCH(AB361,{"Low","Medium","High","Critical"},0),25,50,75,100),"")</f>
        <v/>
      </c>
      <c r="AG361">
        <f>IF(AF361&lt;&gt;"",IF(AH361="Weekly",AF361+7,IF(AH361="Monthly",EDATE(AF361,1),IF(AH361="Quarterly",EDATE(AF361,3),""))),"")</f>
        <v/>
      </c>
      <c r="AK361">
        <f>IF(AJ361&lt;&gt;"",IF(AI361="Monthly",EDATE(AJ361,1),IF(AI361="Quarterly",EDATE(AJ361,3),IF(AI361="Semi-Annual",EDATE(AJ361,6),""))),"")</f>
        <v/>
      </c>
      <c r="AL361">
        <f>IF(AK361&lt;&gt;"",IF(AK361&lt;TODAY(),"Overdue","Current"),"")</f>
        <v/>
      </c>
    </row>
    <row r="362">
      <c r="K362">
        <f>IF(J362="v4.0",L362,IF(J362="v3.1",M362,IF(J362="Both",L362,IF(AND(L362&lt;&gt;"",M362=""),L362,M362))))</f>
        <v/>
      </c>
      <c r="Z362">
        <f>IF(Y362&lt;&gt;"",TODAY()-Y362,"")</f>
        <v/>
      </c>
      <c r="AC362">
        <f>IF(AND(AA362&lt;&gt;"",AB362&lt;&gt;""),CHOOSE(MATCH(AA362,{"Low","Medium","High","Critical"},0),25,50,75,100)-CHOOSE(MATCH(AB362,{"Low","Medium","High","Critical"},0),25,50,75,100),"")</f>
        <v/>
      </c>
      <c r="AG362">
        <f>IF(AF362&lt;&gt;"",IF(AH362="Weekly",AF362+7,IF(AH362="Monthly",EDATE(AF362,1),IF(AH362="Quarterly",EDATE(AF362,3),""))),"")</f>
        <v/>
      </c>
      <c r="AK362">
        <f>IF(AJ362&lt;&gt;"",IF(AI362="Monthly",EDATE(AJ362,1),IF(AI362="Quarterly",EDATE(AJ362,3),IF(AI362="Semi-Annual",EDATE(AJ362,6),""))),"")</f>
        <v/>
      </c>
      <c r="AL362">
        <f>IF(AK362&lt;&gt;"",IF(AK362&lt;TODAY(),"Overdue","Current"),"")</f>
        <v/>
      </c>
    </row>
    <row r="363">
      <c r="K363">
        <f>IF(J363="v4.0",L363,IF(J363="v3.1",M363,IF(J363="Both",L363,IF(AND(L363&lt;&gt;"",M363=""),L363,M363))))</f>
        <v/>
      </c>
      <c r="Z363">
        <f>IF(Y363&lt;&gt;"",TODAY()-Y363,"")</f>
        <v/>
      </c>
      <c r="AC363">
        <f>IF(AND(AA363&lt;&gt;"",AB363&lt;&gt;""),CHOOSE(MATCH(AA363,{"Low","Medium","High","Critical"},0),25,50,75,100)-CHOOSE(MATCH(AB363,{"Low","Medium","High","Critical"},0),25,50,75,100),"")</f>
        <v/>
      </c>
      <c r="AG363">
        <f>IF(AF363&lt;&gt;"",IF(AH363="Weekly",AF363+7,IF(AH363="Monthly",EDATE(AF363,1),IF(AH363="Quarterly",EDATE(AF363,3),""))),"")</f>
        <v/>
      </c>
      <c r="AK363">
        <f>IF(AJ363&lt;&gt;"",IF(AI363="Monthly",EDATE(AJ363,1),IF(AI363="Quarterly",EDATE(AJ363,3),IF(AI363="Semi-Annual",EDATE(AJ363,6),""))),"")</f>
        <v/>
      </c>
      <c r="AL363">
        <f>IF(AK363&lt;&gt;"",IF(AK363&lt;TODAY(),"Overdue","Current"),"")</f>
        <v/>
      </c>
    </row>
    <row r="364">
      <c r="K364">
        <f>IF(J364="v4.0",L364,IF(J364="v3.1",M364,IF(J364="Both",L364,IF(AND(L364&lt;&gt;"",M364=""),L364,M364))))</f>
        <v/>
      </c>
      <c r="Z364">
        <f>IF(Y364&lt;&gt;"",TODAY()-Y364,"")</f>
        <v/>
      </c>
      <c r="AC364">
        <f>IF(AND(AA364&lt;&gt;"",AB364&lt;&gt;""),CHOOSE(MATCH(AA364,{"Low","Medium","High","Critical"},0),25,50,75,100)-CHOOSE(MATCH(AB364,{"Low","Medium","High","Critical"},0),25,50,75,100),"")</f>
        <v/>
      </c>
      <c r="AG364">
        <f>IF(AF364&lt;&gt;"",IF(AH364="Weekly",AF364+7,IF(AH364="Monthly",EDATE(AF364,1),IF(AH364="Quarterly",EDATE(AF364,3),""))),"")</f>
        <v/>
      </c>
      <c r="AK364">
        <f>IF(AJ364&lt;&gt;"",IF(AI364="Monthly",EDATE(AJ364,1),IF(AI364="Quarterly",EDATE(AJ364,3),IF(AI364="Semi-Annual",EDATE(AJ364,6),""))),"")</f>
        <v/>
      </c>
      <c r="AL364">
        <f>IF(AK364&lt;&gt;"",IF(AK364&lt;TODAY(),"Overdue","Current"),"")</f>
        <v/>
      </c>
    </row>
    <row r="365">
      <c r="K365">
        <f>IF(J365="v4.0",L365,IF(J365="v3.1",M365,IF(J365="Both",L365,IF(AND(L365&lt;&gt;"",M365=""),L365,M365))))</f>
        <v/>
      </c>
      <c r="Z365">
        <f>IF(Y365&lt;&gt;"",TODAY()-Y365,"")</f>
        <v/>
      </c>
      <c r="AC365">
        <f>IF(AND(AA365&lt;&gt;"",AB365&lt;&gt;""),CHOOSE(MATCH(AA365,{"Low","Medium","High","Critical"},0),25,50,75,100)-CHOOSE(MATCH(AB365,{"Low","Medium","High","Critical"},0),25,50,75,100),"")</f>
        <v/>
      </c>
      <c r="AG365">
        <f>IF(AF365&lt;&gt;"",IF(AH365="Weekly",AF365+7,IF(AH365="Monthly",EDATE(AF365,1),IF(AH365="Quarterly",EDATE(AF365,3),""))),"")</f>
        <v/>
      </c>
      <c r="AK365">
        <f>IF(AJ365&lt;&gt;"",IF(AI365="Monthly",EDATE(AJ365,1),IF(AI365="Quarterly",EDATE(AJ365,3),IF(AI365="Semi-Annual",EDATE(AJ365,6),""))),"")</f>
        <v/>
      </c>
      <c r="AL365">
        <f>IF(AK365&lt;&gt;"",IF(AK365&lt;TODAY(),"Overdue","Current"),"")</f>
        <v/>
      </c>
    </row>
    <row r="366">
      <c r="K366">
        <f>IF(J366="v4.0",L366,IF(J366="v3.1",M366,IF(J366="Both",L366,IF(AND(L366&lt;&gt;"",M366=""),L366,M366))))</f>
        <v/>
      </c>
      <c r="Z366">
        <f>IF(Y366&lt;&gt;"",TODAY()-Y366,"")</f>
        <v/>
      </c>
      <c r="AC366">
        <f>IF(AND(AA366&lt;&gt;"",AB366&lt;&gt;""),CHOOSE(MATCH(AA366,{"Low","Medium","High","Critical"},0),25,50,75,100)-CHOOSE(MATCH(AB366,{"Low","Medium","High","Critical"},0),25,50,75,100),"")</f>
        <v/>
      </c>
      <c r="AG366">
        <f>IF(AF366&lt;&gt;"",IF(AH366="Weekly",AF366+7,IF(AH366="Monthly",EDATE(AF366,1),IF(AH366="Quarterly",EDATE(AF366,3),""))),"")</f>
        <v/>
      </c>
      <c r="AK366">
        <f>IF(AJ366&lt;&gt;"",IF(AI366="Monthly",EDATE(AJ366,1),IF(AI366="Quarterly",EDATE(AJ366,3),IF(AI366="Semi-Annual",EDATE(AJ366,6),""))),"")</f>
        <v/>
      </c>
      <c r="AL366">
        <f>IF(AK366&lt;&gt;"",IF(AK366&lt;TODAY(),"Overdue","Current"),"")</f>
        <v/>
      </c>
    </row>
    <row r="367">
      <c r="K367">
        <f>IF(J367="v4.0",L367,IF(J367="v3.1",M367,IF(J367="Both",L367,IF(AND(L367&lt;&gt;"",M367=""),L367,M367))))</f>
        <v/>
      </c>
      <c r="Z367">
        <f>IF(Y367&lt;&gt;"",TODAY()-Y367,"")</f>
        <v/>
      </c>
      <c r="AC367">
        <f>IF(AND(AA367&lt;&gt;"",AB367&lt;&gt;""),CHOOSE(MATCH(AA367,{"Low","Medium","High","Critical"},0),25,50,75,100)-CHOOSE(MATCH(AB367,{"Low","Medium","High","Critical"},0),25,50,75,100),"")</f>
        <v/>
      </c>
      <c r="AG367">
        <f>IF(AF367&lt;&gt;"",IF(AH367="Weekly",AF367+7,IF(AH367="Monthly",EDATE(AF367,1),IF(AH367="Quarterly",EDATE(AF367,3),""))),"")</f>
        <v/>
      </c>
      <c r="AK367">
        <f>IF(AJ367&lt;&gt;"",IF(AI367="Monthly",EDATE(AJ367,1),IF(AI367="Quarterly",EDATE(AJ367,3),IF(AI367="Semi-Annual",EDATE(AJ367,6),""))),"")</f>
        <v/>
      </c>
      <c r="AL367">
        <f>IF(AK367&lt;&gt;"",IF(AK367&lt;TODAY(),"Overdue","Current"),"")</f>
        <v/>
      </c>
    </row>
    <row r="368">
      <c r="K368">
        <f>IF(J368="v4.0",L368,IF(J368="v3.1",M368,IF(J368="Both",L368,IF(AND(L368&lt;&gt;"",M368=""),L368,M368))))</f>
        <v/>
      </c>
      <c r="Z368">
        <f>IF(Y368&lt;&gt;"",TODAY()-Y368,"")</f>
        <v/>
      </c>
      <c r="AC368">
        <f>IF(AND(AA368&lt;&gt;"",AB368&lt;&gt;""),CHOOSE(MATCH(AA368,{"Low","Medium","High","Critical"},0),25,50,75,100)-CHOOSE(MATCH(AB368,{"Low","Medium","High","Critical"},0),25,50,75,100),"")</f>
        <v/>
      </c>
      <c r="AG368">
        <f>IF(AF368&lt;&gt;"",IF(AH368="Weekly",AF368+7,IF(AH368="Monthly",EDATE(AF368,1),IF(AH368="Quarterly",EDATE(AF368,3),""))),"")</f>
        <v/>
      </c>
      <c r="AK368">
        <f>IF(AJ368&lt;&gt;"",IF(AI368="Monthly",EDATE(AJ368,1),IF(AI368="Quarterly",EDATE(AJ368,3),IF(AI368="Semi-Annual",EDATE(AJ368,6),""))),"")</f>
        <v/>
      </c>
      <c r="AL368">
        <f>IF(AK368&lt;&gt;"",IF(AK368&lt;TODAY(),"Overdue","Current"),"")</f>
        <v/>
      </c>
    </row>
    <row r="369">
      <c r="K369">
        <f>IF(J369="v4.0",L369,IF(J369="v3.1",M369,IF(J369="Both",L369,IF(AND(L369&lt;&gt;"",M369=""),L369,M369))))</f>
        <v/>
      </c>
      <c r="Z369">
        <f>IF(Y369&lt;&gt;"",TODAY()-Y369,"")</f>
        <v/>
      </c>
      <c r="AC369">
        <f>IF(AND(AA369&lt;&gt;"",AB369&lt;&gt;""),CHOOSE(MATCH(AA369,{"Low","Medium","High","Critical"},0),25,50,75,100)-CHOOSE(MATCH(AB369,{"Low","Medium","High","Critical"},0),25,50,75,100),"")</f>
        <v/>
      </c>
      <c r="AG369">
        <f>IF(AF369&lt;&gt;"",IF(AH369="Weekly",AF369+7,IF(AH369="Monthly",EDATE(AF369,1),IF(AH369="Quarterly",EDATE(AF369,3),""))),"")</f>
        <v/>
      </c>
      <c r="AK369">
        <f>IF(AJ369&lt;&gt;"",IF(AI369="Monthly",EDATE(AJ369,1),IF(AI369="Quarterly",EDATE(AJ369,3),IF(AI369="Semi-Annual",EDATE(AJ369,6),""))),"")</f>
        <v/>
      </c>
      <c r="AL369">
        <f>IF(AK369&lt;&gt;"",IF(AK369&lt;TODAY(),"Overdue","Current"),"")</f>
        <v/>
      </c>
    </row>
    <row r="370">
      <c r="K370">
        <f>IF(J370="v4.0",L370,IF(J370="v3.1",M370,IF(J370="Both",L370,IF(AND(L370&lt;&gt;"",M370=""),L370,M370))))</f>
        <v/>
      </c>
      <c r="Z370">
        <f>IF(Y370&lt;&gt;"",TODAY()-Y370,"")</f>
        <v/>
      </c>
      <c r="AC370">
        <f>IF(AND(AA370&lt;&gt;"",AB370&lt;&gt;""),CHOOSE(MATCH(AA370,{"Low","Medium","High","Critical"},0),25,50,75,100)-CHOOSE(MATCH(AB370,{"Low","Medium","High","Critical"},0),25,50,75,100),"")</f>
        <v/>
      </c>
      <c r="AG370">
        <f>IF(AF370&lt;&gt;"",IF(AH370="Weekly",AF370+7,IF(AH370="Monthly",EDATE(AF370,1),IF(AH370="Quarterly",EDATE(AF370,3),""))),"")</f>
        <v/>
      </c>
      <c r="AK370">
        <f>IF(AJ370&lt;&gt;"",IF(AI370="Monthly",EDATE(AJ370,1),IF(AI370="Quarterly",EDATE(AJ370,3),IF(AI370="Semi-Annual",EDATE(AJ370,6),""))),"")</f>
        <v/>
      </c>
      <c r="AL370">
        <f>IF(AK370&lt;&gt;"",IF(AK370&lt;TODAY(),"Overdue","Current"),"")</f>
        <v/>
      </c>
    </row>
    <row r="371">
      <c r="K371">
        <f>IF(J371="v4.0",L371,IF(J371="v3.1",M371,IF(J371="Both",L371,IF(AND(L371&lt;&gt;"",M371=""),L371,M371))))</f>
        <v/>
      </c>
      <c r="Z371">
        <f>IF(Y371&lt;&gt;"",TODAY()-Y371,"")</f>
        <v/>
      </c>
      <c r="AC371">
        <f>IF(AND(AA371&lt;&gt;"",AB371&lt;&gt;""),CHOOSE(MATCH(AA371,{"Low","Medium","High","Critical"},0),25,50,75,100)-CHOOSE(MATCH(AB371,{"Low","Medium","High","Critical"},0),25,50,75,100),"")</f>
        <v/>
      </c>
      <c r="AG371">
        <f>IF(AF371&lt;&gt;"",IF(AH371="Weekly",AF371+7,IF(AH371="Monthly",EDATE(AF371,1),IF(AH371="Quarterly",EDATE(AF371,3),""))),"")</f>
        <v/>
      </c>
      <c r="AK371">
        <f>IF(AJ371&lt;&gt;"",IF(AI371="Monthly",EDATE(AJ371,1),IF(AI371="Quarterly",EDATE(AJ371,3),IF(AI371="Semi-Annual",EDATE(AJ371,6),""))),"")</f>
        <v/>
      </c>
      <c r="AL371">
        <f>IF(AK371&lt;&gt;"",IF(AK371&lt;TODAY(),"Overdue","Current"),"")</f>
        <v/>
      </c>
    </row>
    <row r="372">
      <c r="K372">
        <f>IF(J372="v4.0",L372,IF(J372="v3.1",M372,IF(J372="Both",L372,IF(AND(L372&lt;&gt;"",M372=""),L372,M372))))</f>
        <v/>
      </c>
      <c r="Z372">
        <f>IF(Y372&lt;&gt;"",TODAY()-Y372,"")</f>
        <v/>
      </c>
      <c r="AC372">
        <f>IF(AND(AA372&lt;&gt;"",AB372&lt;&gt;""),CHOOSE(MATCH(AA372,{"Low","Medium","High","Critical"},0),25,50,75,100)-CHOOSE(MATCH(AB372,{"Low","Medium","High","Critical"},0),25,50,75,100),"")</f>
        <v/>
      </c>
      <c r="AG372">
        <f>IF(AF372&lt;&gt;"",IF(AH372="Weekly",AF372+7,IF(AH372="Monthly",EDATE(AF372,1),IF(AH372="Quarterly",EDATE(AF372,3),""))),"")</f>
        <v/>
      </c>
      <c r="AK372">
        <f>IF(AJ372&lt;&gt;"",IF(AI372="Monthly",EDATE(AJ372,1),IF(AI372="Quarterly",EDATE(AJ372,3),IF(AI372="Semi-Annual",EDATE(AJ372,6),""))),"")</f>
        <v/>
      </c>
      <c r="AL372">
        <f>IF(AK372&lt;&gt;"",IF(AK372&lt;TODAY(),"Overdue","Current"),"")</f>
        <v/>
      </c>
    </row>
    <row r="373">
      <c r="K373">
        <f>IF(J373="v4.0",L373,IF(J373="v3.1",M373,IF(J373="Both",L373,IF(AND(L373&lt;&gt;"",M373=""),L373,M373))))</f>
        <v/>
      </c>
      <c r="Z373">
        <f>IF(Y373&lt;&gt;"",TODAY()-Y373,"")</f>
        <v/>
      </c>
      <c r="AC373">
        <f>IF(AND(AA373&lt;&gt;"",AB373&lt;&gt;""),CHOOSE(MATCH(AA373,{"Low","Medium","High","Critical"},0),25,50,75,100)-CHOOSE(MATCH(AB373,{"Low","Medium","High","Critical"},0),25,50,75,100),"")</f>
        <v/>
      </c>
      <c r="AG373">
        <f>IF(AF373&lt;&gt;"",IF(AH373="Weekly",AF373+7,IF(AH373="Monthly",EDATE(AF373,1),IF(AH373="Quarterly",EDATE(AF373,3),""))),"")</f>
        <v/>
      </c>
      <c r="AK373">
        <f>IF(AJ373&lt;&gt;"",IF(AI373="Monthly",EDATE(AJ373,1),IF(AI373="Quarterly",EDATE(AJ373,3),IF(AI373="Semi-Annual",EDATE(AJ373,6),""))),"")</f>
        <v/>
      </c>
      <c r="AL373">
        <f>IF(AK373&lt;&gt;"",IF(AK373&lt;TODAY(),"Overdue","Current"),"")</f>
        <v/>
      </c>
    </row>
    <row r="374">
      <c r="K374">
        <f>IF(J374="v4.0",L374,IF(J374="v3.1",M374,IF(J374="Both",L374,IF(AND(L374&lt;&gt;"",M374=""),L374,M374))))</f>
        <v/>
      </c>
      <c r="Z374">
        <f>IF(Y374&lt;&gt;"",TODAY()-Y374,"")</f>
        <v/>
      </c>
      <c r="AC374">
        <f>IF(AND(AA374&lt;&gt;"",AB374&lt;&gt;""),CHOOSE(MATCH(AA374,{"Low","Medium","High","Critical"},0),25,50,75,100)-CHOOSE(MATCH(AB374,{"Low","Medium","High","Critical"},0),25,50,75,100),"")</f>
        <v/>
      </c>
      <c r="AG374">
        <f>IF(AF374&lt;&gt;"",IF(AH374="Weekly",AF374+7,IF(AH374="Monthly",EDATE(AF374,1),IF(AH374="Quarterly",EDATE(AF374,3),""))),"")</f>
        <v/>
      </c>
      <c r="AK374">
        <f>IF(AJ374&lt;&gt;"",IF(AI374="Monthly",EDATE(AJ374,1),IF(AI374="Quarterly",EDATE(AJ374,3),IF(AI374="Semi-Annual",EDATE(AJ374,6),""))),"")</f>
        <v/>
      </c>
      <c r="AL374">
        <f>IF(AK374&lt;&gt;"",IF(AK374&lt;TODAY(),"Overdue","Current"),"")</f>
        <v/>
      </c>
    </row>
    <row r="375">
      <c r="K375">
        <f>IF(J375="v4.0",L375,IF(J375="v3.1",M375,IF(J375="Both",L375,IF(AND(L375&lt;&gt;"",M375=""),L375,M375))))</f>
        <v/>
      </c>
      <c r="Z375">
        <f>IF(Y375&lt;&gt;"",TODAY()-Y375,"")</f>
        <v/>
      </c>
      <c r="AC375">
        <f>IF(AND(AA375&lt;&gt;"",AB375&lt;&gt;""),CHOOSE(MATCH(AA375,{"Low","Medium","High","Critical"},0),25,50,75,100)-CHOOSE(MATCH(AB375,{"Low","Medium","High","Critical"},0),25,50,75,100),"")</f>
        <v/>
      </c>
      <c r="AG375">
        <f>IF(AF375&lt;&gt;"",IF(AH375="Weekly",AF375+7,IF(AH375="Monthly",EDATE(AF375,1),IF(AH375="Quarterly",EDATE(AF375,3),""))),"")</f>
        <v/>
      </c>
      <c r="AK375">
        <f>IF(AJ375&lt;&gt;"",IF(AI375="Monthly",EDATE(AJ375,1),IF(AI375="Quarterly",EDATE(AJ375,3),IF(AI375="Semi-Annual",EDATE(AJ375,6),""))),"")</f>
        <v/>
      </c>
      <c r="AL375">
        <f>IF(AK375&lt;&gt;"",IF(AK375&lt;TODAY(),"Overdue","Current"),"")</f>
        <v/>
      </c>
    </row>
    <row r="376">
      <c r="K376">
        <f>IF(J376="v4.0",L376,IF(J376="v3.1",M376,IF(J376="Both",L376,IF(AND(L376&lt;&gt;"",M376=""),L376,M376))))</f>
        <v/>
      </c>
      <c r="Z376">
        <f>IF(Y376&lt;&gt;"",TODAY()-Y376,"")</f>
        <v/>
      </c>
      <c r="AC376">
        <f>IF(AND(AA376&lt;&gt;"",AB376&lt;&gt;""),CHOOSE(MATCH(AA376,{"Low","Medium","High","Critical"},0),25,50,75,100)-CHOOSE(MATCH(AB376,{"Low","Medium","High","Critical"},0),25,50,75,100),"")</f>
        <v/>
      </c>
      <c r="AG376">
        <f>IF(AF376&lt;&gt;"",IF(AH376="Weekly",AF376+7,IF(AH376="Monthly",EDATE(AF376,1),IF(AH376="Quarterly",EDATE(AF376,3),""))),"")</f>
        <v/>
      </c>
      <c r="AK376">
        <f>IF(AJ376&lt;&gt;"",IF(AI376="Monthly",EDATE(AJ376,1),IF(AI376="Quarterly",EDATE(AJ376,3),IF(AI376="Semi-Annual",EDATE(AJ376,6),""))),"")</f>
        <v/>
      </c>
      <c r="AL376">
        <f>IF(AK376&lt;&gt;"",IF(AK376&lt;TODAY(),"Overdue","Current"),"")</f>
        <v/>
      </c>
    </row>
    <row r="377">
      <c r="K377">
        <f>IF(J377="v4.0",L377,IF(J377="v3.1",M377,IF(J377="Both",L377,IF(AND(L377&lt;&gt;"",M377=""),L377,M377))))</f>
        <v/>
      </c>
      <c r="Z377">
        <f>IF(Y377&lt;&gt;"",TODAY()-Y377,"")</f>
        <v/>
      </c>
      <c r="AC377">
        <f>IF(AND(AA377&lt;&gt;"",AB377&lt;&gt;""),CHOOSE(MATCH(AA377,{"Low","Medium","High","Critical"},0),25,50,75,100)-CHOOSE(MATCH(AB377,{"Low","Medium","High","Critical"},0),25,50,75,100),"")</f>
        <v/>
      </c>
      <c r="AG377">
        <f>IF(AF377&lt;&gt;"",IF(AH377="Weekly",AF377+7,IF(AH377="Monthly",EDATE(AF377,1),IF(AH377="Quarterly",EDATE(AF377,3),""))),"")</f>
        <v/>
      </c>
      <c r="AK377">
        <f>IF(AJ377&lt;&gt;"",IF(AI377="Monthly",EDATE(AJ377,1),IF(AI377="Quarterly",EDATE(AJ377,3),IF(AI377="Semi-Annual",EDATE(AJ377,6),""))),"")</f>
        <v/>
      </c>
      <c r="AL377">
        <f>IF(AK377&lt;&gt;"",IF(AK377&lt;TODAY(),"Overdue","Current"),"")</f>
        <v/>
      </c>
    </row>
    <row r="378">
      <c r="K378">
        <f>IF(J378="v4.0",L378,IF(J378="v3.1",M378,IF(J378="Both",L378,IF(AND(L378&lt;&gt;"",M378=""),L378,M378))))</f>
        <v/>
      </c>
      <c r="Z378">
        <f>IF(Y378&lt;&gt;"",TODAY()-Y378,"")</f>
        <v/>
      </c>
      <c r="AC378">
        <f>IF(AND(AA378&lt;&gt;"",AB378&lt;&gt;""),CHOOSE(MATCH(AA378,{"Low","Medium","High","Critical"},0),25,50,75,100)-CHOOSE(MATCH(AB378,{"Low","Medium","High","Critical"},0),25,50,75,100),"")</f>
        <v/>
      </c>
      <c r="AG378">
        <f>IF(AF378&lt;&gt;"",IF(AH378="Weekly",AF378+7,IF(AH378="Monthly",EDATE(AF378,1),IF(AH378="Quarterly",EDATE(AF378,3),""))),"")</f>
        <v/>
      </c>
      <c r="AK378">
        <f>IF(AJ378&lt;&gt;"",IF(AI378="Monthly",EDATE(AJ378,1),IF(AI378="Quarterly",EDATE(AJ378,3),IF(AI378="Semi-Annual",EDATE(AJ378,6),""))),"")</f>
        <v/>
      </c>
      <c r="AL378">
        <f>IF(AK378&lt;&gt;"",IF(AK378&lt;TODAY(),"Overdue","Current"),"")</f>
        <v/>
      </c>
    </row>
    <row r="379">
      <c r="K379">
        <f>IF(J379="v4.0",L379,IF(J379="v3.1",M379,IF(J379="Both",L379,IF(AND(L379&lt;&gt;"",M379=""),L379,M379))))</f>
        <v/>
      </c>
      <c r="Z379">
        <f>IF(Y379&lt;&gt;"",TODAY()-Y379,"")</f>
        <v/>
      </c>
      <c r="AC379">
        <f>IF(AND(AA379&lt;&gt;"",AB379&lt;&gt;""),CHOOSE(MATCH(AA379,{"Low","Medium","High","Critical"},0),25,50,75,100)-CHOOSE(MATCH(AB379,{"Low","Medium","High","Critical"},0),25,50,75,100),"")</f>
        <v/>
      </c>
      <c r="AG379">
        <f>IF(AF379&lt;&gt;"",IF(AH379="Weekly",AF379+7,IF(AH379="Monthly",EDATE(AF379,1),IF(AH379="Quarterly",EDATE(AF379,3),""))),"")</f>
        <v/>
      </c>
      <c r="AK379">
        <f>IF(AJ379&lt;&gt;"",IF(AI379="Monthly",EDATE(AJ379,1),IF(AI379="Quarterly",EDATE(AJ379,3),IF(AI379="Semi-Annual",EDATE(AJ379,6),""))),"")</f>
        <v/>
      </c>
      <c r="AL379">
        <f>IF(AK379&lt;&gt;"",IF(AK379&lt;TODAY(),"Overdue","Current"),"")</f>
        <v/>
      </c>
    </row>
    <row r="380">
      <c r="K380">
        <f>IF(J380="v4.0",L380,IF(J380="v3.1",M380,IF(J380="Both",L380,IF(AND(L380&lt;&gt;"",M380=""),L380,M380))))</f>
        <v/>
      </c>
      <c r="Z380">
        <f>IF(Y380&lt;&gt;"",TODAY()-Y380,"")</f>
        <v/>
      </c>
      <c r="AC380">
        <f>IF(AND(AA380&lt;&gt;"",AB380&lt;&gt;""),CHOOSE(MATCH(AA380,{"Low","Medium","High","Critical"},0),25,50,75,100)-CHOOSE(MATCH(AB380,{"Low","Medium","High","Critical"},0),25,50,75,100),"")</f>
        <v/>
      </c>
      <c r="AG380">
        <f>IF(AF380&lt;&gt;"",IF(AH380="Weekly",AF380+7,IF(AH380="Monthly",EDATE(AF380,1),IF(AH380="Quarterly",EDATE(AF380,3),""))),"")</f>
        <v/>
      </c>
      <c r="AK380">
        <f>IF(AJ380&lt;&gt;"",IF(AI380="Monthly",EDATE(AJ380,1),IF(AI380="Quarterly",EDATE(AJ380,3),IF(AI380="Semi-Annual",EDATE(AJ380,6),""))),"")</f>
        <v/>
      </c>
      <c r="AL380">
        <f>IF(AK380&lt;&gt;"",IF(AK380&lt;TODAY(),"Overdue","Current"),"")</f>
        <v/>
      </c>
    </row>
    <row r="381">
      <c r="K381">
        <f>IF(J381="v4.0",L381,IF(J381="v3.1",M381,IF(J381="Both",L381,IF(AND(L381&lt;&gt;"",M381=""),L381,M381))))</f>
        <v/>
      </c>
      <c r="Z381">
        <f>IF(Y381&lt;&gt;"",TODAY()-Y381,"")</f>
        <v/>
      </c>
      <c r="AC381">
        <f>IF(AND(AA381&lt;&gt;"",AB381&lt;&gt;""),CHOOSE(MATCH(AA381,{"Low","Medium","High","Critical"},0),25,50,75,100)-CHOOSE(MATCH(AB381,{"Low","Medium","High","Critical"},0),25,50,75,100),"")</f>
        <v/>
      </c>
      <c r="AG381">
        <f>IF(AF381&lt;&gt;"",IF(AH381="Weekly",AF381+7,IF(AH381="Monthly",EDATE(AF381,1),IF(AH381="Quarterly",EDATE(AF381,3),""))),"")</f>
        <v/>
      </c>
      <c r="AK381">
        <f>IF(AJ381&lt;&gt;"",IF(AI381="Monthly",EDATE(AJ381,1),IF(AI381="Quarterly",EDATE(AJ381,3),IF(AI381="Semi-Annual",EDATE(AJ381,6),""))),"")</f>
        <v/>
      </c>
      <c r="AL381">
        <f>IF(AK381&lt;&gt;"",IF(AK381&lt;TODAY(),"Overdue","Current"),"")</f>
        <v/>
      </c>
    </row>
    <row r="382">
      <c r="K382">
        <f>IF(J382="v4.0",L382,IF(J382="v3.1",M382,IF(J382="Both",L382,IF(AND(L382&lt;&gt;"",M382=""),L382,M382))))</f>
        <v/>
      </c>
      <c r="Z382">
        <f>IF(Y382&lt;&gt;"",TODAY()-Y382,"")</f>
        <v/>
      </c>
      <c r="AC382">
        <f>IF(AND(AA382&lt;&gt;"",AB382&lt;&gt;""),CHOOSE(MATCH(AA382,{"Low","Medium","High","Critical"},0),25,50,75,100)-CHOOSE(MATCH(AB382,{"Low","Medium","High","Critical"},0),25,50,75,100),"")</f>
        <v/>
      </c>
      <c r="AG382">
        <f>IF(AF382&lt;&gt;"",IF(AH382="Weekly",AF382+7,IF(AH382="Monthly",EDATE(AF382,1),IF(AH382="Quarterly",EDATE(AF382,3),""))),"")</f>
        <v/>
      </c>
      <c r="AK382">
        <f>IF(AJ382&lt;&gt;"",IF(AI382="Monthly",EDATE(AJ382,1),IF(AI382="Quarterly",EDATE(AJ382,3),IF(AI382="Semi-Annual",EDATE(AJ382,6),""))),"")</f>
        <v/>
      </c>
      <c r="AL382">
        <f>IF(AK382&lt;&gt;"",IF(AK382&lt;TODAY(),"Overdue","Current"),"")</f>
        <v/>
      </c>
    </row>
    <row r="383">
      <c r="K383">
        <f>IF(J383="v4.0",L383,IF(J383="v3.1",M383,IF(J383="Both",L383,IF(AND(L383&lt;&gt;"",M383=""),L383,M383))))</f>
        <v/>
      </c>
      <c r="Z383">
        <f>IF(Y383&lt;&gt;"",TODAY()-Y383,"")</f>
        <v/>
      </c>
      <c r="AC383">
        <f>IF(AND(AA383&lt;&gt;"",AB383&lt;&gt;""),CHOOSE(MATCH(AA383,{"Low","Medium","High","Critical"},0),25,50,75,100)-CHOOSE(MATCH(AB383,{"Low","Medium","High","Critical"},0),25,50,75,100),"")</f>
        <v/>
      </c>
      <c r="AG383">
        <f>IF(AF383&lt;&gt;"",IF(AH383="Weekly",AF383+7,IF(AH383="Monthly",EDATE(AF383,1),IF(AH383="Quarterly",EDATE(AF383,3),""))),"")</f>
        <v/>
      </c>
      <c r="AK383">
        <f>IF(AJ383&lt;&gt;"",IF(AI383="Monthly",EDATE(AJ383,1),IF(AI383="Quarterly",EDATE(AJ383,3),IF(AI383="Semi-Annual",EDATE(AJ383,6),""))),"")</f>
        <v/>
      </c>
      <c r="AL383">
        <f>IF(AK383&lt;&gt;"",IF(AK383&lt;TODAY(),"Overdue","Current"),"")</f>
        <v/>
      </c>
    </row>
    <row r="384">
      <c r="K384">
        <f>IF(J384="v4.0",L384,IF(J384="v3.1",M384,IF(J384="Both",L384,IF(AND(L384&lt;&gt;"",M384=""),L384,M384))))</f>
        <v/>
      </c>
      <c r="Z384">
        <f>IF(Y384&lt;&gt;"",TODAY()-Y384,"")</f>
        <v/>
      </c>
      <c r="AC384">
        <f>IF(AND(AA384&lt;&gt;"",AB384&lt;&gt;""),CHOOSE(MATCH(AA384,{"Low","Medium","High","Critical"},0),25,50,75,100)-CHOOSE(MATCH(AB384,{"Low","Medium","High","Critical"},0),25,50,75,100),"")</f>
        <v/>
      </c>
      <c r="AG384">
        <f>IF(AF384&lt;&gt;"",IF(AH384="Weekly",AF384+7,IF(AH384="Monthly",EDATE(AF384,1),IF(AH384="Quarterly",EDATE(AF384,3),""))),"")</f>
        <v/>
      </c>
      <c r="AK384">
        <f>IF(AJ384&lt;&gt;"",IF(AI384="Monthly",EDATE(AJ384,1),IF(AI384="Quarterly",EDATE(AJ384,3),IF(AI384="Semi-Annual",EDATE(AJ384,6),""))),"")</f>
        <v/>
      </c>
      <c r="AL384">
        <f>IF(AK384&lt;&gt;"",IF(AK384&lt;TODAY(),"Overdue","Current"),"")</f>
        <v/>
      </c>
    </row>
    <row r="385">
      <c r="K385">
        <f>IF(J385="v4.0",L385,IF(J385="v3.1",M385,IF(J385="Both",L385,IF(AND(L385&lt;&gt;"",M385=""),L385,M385))))</f>
        <v/>
      </c>
      <c r="Z385">
        <f>IF(Y385&lt;&gt;"",TODAY()-Y385,"")</f>
        <v/>
      </c>
      <c r="AC385">
        <f>IF(AND(AA385&lt;&gt;"",AB385&lt;&gt;""),CHOOSE(MATCH(AA385,{"Low","Medium","High","Critical"},0),25,50,75,100)-CHOOSE(MATCH(AB385,{"Low","Medium","High","Critical"},0),25,50,75,100),"")</f>
        <v/>
      </c>
      <c r="AG385">
        <f>IF(AF385&lt;&gt;"",IF(AH385="Weekly",AF385+7,IF(AH385="Monthly",EDATE(AF385,1),IF(AH385="Quarterly",EDATE(AF385,3),""))),"")</f>
        <v/>
      </c>
      <c r="AK385">
        <f>IF(AJ385&lt;&gt;"",IF(AI385="Monthly",EDATE(AJ385,1),IF(AI385="Quarterly",EDATE(AJ385,3),IF(AI385="Semi-Annual",EDATE(AJ385,6),""))),"")</f>
        <v/>
      </c>
      <c r="AL385">
        <f>IF(AK385&lt;&gt;"",IF(AK385&lt;TODAY(),"Overdue","Current"),"")</f>
        <v/>
      </c>
    </row>
    <row r="386">
      <c r="K386">
        <f>IF(J386="v4.0",L386,IF(J386="v3.1",M386,IF(J386="Both",L386,IF(AND(L386&lt;&gt;"",M386=""),L386,M386))))</f>
        <v/>
      </c>
      <c r="Z386">
        <f>IF(Y386&lt;&gt;"",TODAY()-Y386,"")</f>
        <v/>
      </c>
      <c r="AC386">
        <f>IF(AND(AA386&lt;&gt;"",AB386&lt;&gt;""),CHOOSE(MATCH(AA386,{"Low","Medium","High","Critical"},0),25,50,75,100)-CHOOSE(MATCH(AB386,{"Low","Medium","High","Critical"},0),25,50,75,100),"")</f>
        <v/>
      </c>
      <c r="AG386">
        <f>IF(AF386&lt;&gt;"",IF(AH386="Weekly",AF386+7,IF(AH386="Monthly",EDATE(AF386,1),IF(AH386="Quarterly",EDATE(AF386,3),""))),"")</f>
        <v/>
      </c>
      <c r="AK386">
        <f>IF(AJ386&lt;&gt;"",IF(AI386="Monthly",EDATE(AJ386,1),IF(AI386="Quarterly",EDATE(AJ386,3),IF(AI386="Semi-Annual",EDATE(AJ386,6),""))),"")</f>
        <v/>
      </c>
      <c r="AL386">
        <f>IF(AK386&lt;&gt;"",IF(AK386&lt;TODAY(),"Overdue","Current"),"")</f>
        <v/>
      </c>
    </row>
    <row r="387">
      <c r="K387">
        <f>IF(J387="v4.0",L387,IF(J387="v3.1",M387,IF(J387="Both",L387,IF(AND(L387&lt;&gt;"",M387=""),L387,M387))))</f>
        <v/>
      </c>
      <c r="Z387">
        <f>IF(Y387&lt;&gt;"",TODAY()-Y387,"")</f>
        <v/>
      </c>
      <c r="AC387">
        <f>IF(AND(AA387&lt;&gt;"",AB387&lt;&gt;""),CHOOSE(MATCH(AA387,{"Low","Medium","High","Critical"},0),25,50,75,100)-CHOOSE(MATCH(AB387,{"Low","Medium","High","Critical"},0),25,50,75,100),"")</f>
        <v/>
      </c>
      <c r="AG387">
        <f>IF(AF387&lt;&gt;"",IF(AH387="Weekly",AF387+7,IF(AH387="Monthly",EDATE(AF387,1),IF(AH387="Quarterly",EDATE(AF387,3),""))),"")</f>
        <v/>
      </c>
      <c r="AK387">
        <f>IF(AJ387&lt;&gt;"",IF(AI387="Monthly",EDATE(AJ387,1),IF(AI387="Quarterly",EDATE(AJ387,3),IF(AI387="Semi-Annual",EDATE(AJ387,6),""))),"")</f>
        <v/>
      </c>
      <c r="AL387">
        <f>IF(AK387&lt;&gt;"",IF(AK387&lt;TODAY(),"Overdue","Current"),"")</f>
        <v/>
      </c>
    </row>
    <row r="388">
      <c r="K388">
        <f>IF(J388="v4.0",L388,IF(J388="v3.1",M388,IF(J388="Both",L388,IF(AND(L388&lt;&gt;"",M388=""),L388,M388))))</f>
        <v/>
      </c>
      <c r="Z388">
        <f>IF(Y388&lt;&gt;"",TODAY()-Y388,"")</f>
        <v/>
      </c>
      <c r="AC388">
        <f>IF(AND(AA388&lt;&gt;"",AB388&lt;&gt;""),CHOOSE(MATCH(AA388,{"Low","Medium","High","Critical"},0),25,50,75,100)-CHOOSE(MATCH(AB388,{"Low","Medium","High","Critical"},0),25,50,75,100),"")</f>
        <v/>
      </c>
      <c r="AG388">
        <f>IF(AF388&lt;&gt;"",IF(AH388="Weekly",AF388+7,IF(AH388="Monthly",EDATE(AF388,1),IF(AH388="Quarterly",EDATE(AF388,3),""))),"")</f>
        <v/>
      </c>
      <c r="AK388">
        <f>IF(AJ388&lt;&gt;"",IF(AI388="Monthly",EDATE(AJ388,1),IF(AI388="Quarterly",EDATE(AJ388,3),IF(AI388="Semi-Annual",EDATE(AJ388,6),""))),"")</f>
        <v/>
      </c>
      <c r="AL388">
        <f>IF(AK388&lt;&gt;"",IF(AK388&lt;TODAY(),"Overdue","Current"),"")</f>
        <v/>
      </c>
    </row>
    <row r="389">
      <c r="K389">
        <f>IF(J389="v4.0",L389,IF(J389="v3.1",M389,IF(J389="Both",L389,IF(AND(L389&lt;&gt;"",M389=""),L389,M389))))</f>
        <v/>
      </c>
      <c r="Z389">
        <f>IF(Y389&lt;&gt;"",TODAY()-Y389,"")</f>
        <v/>
      </c>
      <c r="AC389">
        <f>IF(AND(AA389&lt;&gt;"",AB389&lt;&gt;""),CHOOSE(MATCH(AA389,{"Low","Medium","High","Critical"},0),25,50,75,100)-CHOOSE(MATCH(AB389,{"Low","Medium","High","Critical"},0),25,50,75,100),"")</f>
        <v/>
      </c>
      <c r="AG389">
        <f>IF(AF389&lt;&gt;"",IF(AH389="Weekly",AF389+7,IF(AH389="Monthly",EDATE(AF389,1),IF(AH389="Quarterly",EDATE(AF389,3),""))),"")</f>
        <v/>
      </c>
      <c r="AK389">
        <f>IF(AJ389&lt;&gt;"",IF(AI389="Monthly",EDATE(AJ389,1),IF(AI389="Quarterly",EDATE(AJ389,3),IF(AI389="Semi-Annual",EDATE(AJ389,6),""))),"")</f>
        <v/>
      </c>
      <c r="AL389">
        <f>IF(AK389&lt;&gt;"",IF(AK389&lt;TODAY(),"Overdue","Current"),"")</f>
        <v/>
      </c>
    </row>
    <row r="390">
      <c r="K390">
        <f>IF(J390="v4.0",L390,IF(J390="v3.1",M390,IF(J390="Both",L390,IF(AND(L390&lt;&gt;"",M390=""),L390,M390))))</f>
        <v/>
      </c>
      <c r="Z390">
        <f>IF(Y390&lt;&gt;"",TODAY()-Y390,"")</f>
        <v/>
      </c>
      <c r="AC390">
        <f>IF(AND(AA390&lt;&gt;"",AB390&lt;&gt;""),CHOOSE(MATCH(AA390,{"Low","Medium","High","Critical"},0),25,50,75,100)-CHOOSE(MATCH(AB390,{"Low","Medium","High","Critical"},0),25,50,75,100),"")</f>
        <v/>
      </c>
      <c r="AG390">
        <f>IF(AF390&lt;&gt;"",IF(AH390="Weekly",AF390+7,IF(AH390="Monthly",EDATE(AF390,1),IF(AH390="Quarterly",EDATE(AF390,3),""))),"")</f>
        <v/>
      </c>
      <c r="AK390">
        <f>IF(AJ390&lt;&gt;"",IF(AI390="Monthly",EDATE(AJ390,1),IF(AI390="Quarterly",EDATE(AJ390,3),IF(AI390="Semi-Annual",EDATE(AJ390,6),""))),"")</f>
        <v/>
      </c>
      <c r="AL390">
        <f>IF(AK390&lt;&gt;"",IF(AK390&lt;TODAY(),"Overdue","Current"),"")</f>
        <v/>
      </c>
    </row>
    <row r="391">
      <c r="K391">
        <f>IF(J391="v4.0",L391,IF(J391="v3.1",M391,IF(J391="Both",L391,IF(AND(L391&lt;&gt;"",M391=""),L391,M391))))</f>
        <v/>
      </c>
      <c r="Z391">
        <f>IF(Y391&lt;&gt;"",TODAY()-Y391,"")</f>
        <v/>
      </c>
      <c r="AC391">
        <f>IF(AND(AA391&lt;&gt;"",AB391&lt;&gt;""),CHOOSE(MATCH(AA391,{"Low","Medium","High","Critical"},0),25,50,75,100)-CHOOSE(MATCH(AB391,{"Low","Medium","High","Critical"},0),25,50,75,100),"")</f>
        <v/>
      </c>
      <c r="AG391">
        <f>IF(AF391&lt;&gt;"",IF(AH391="Weekly",AF391+7,IF(AH391="Monthly",EDATE(AF391,1),IF(AH391="Quarterly",EDATE(AF391,3),""))),"")</f>
        <v/>
      </c>
      <c r="AK391">
        <f>IF(AJ391&lt;&gt;"",IF(AI391="Monthly",EDATE(AJ391,1),IF(AI391="Quarterly",EDATE(AJ391,3),IF(AI391="Semi-Annual",EDATE(AJ391,6),""))),"")</f>
        <v/>
      </c>
      <c r="AL391">
        <f>IF(AK391&lt;&gt;"",IF(AK391&lt;TODAY(),"Overdue","Current"),"")</f>
        <v/>
      </c>
    </row>
    <row r="392">
      <c r="K392">
        <f>IF(J392="v4.0",L392,IF(J392="v3.1",M392,IF(J392="Both",L392,IF(AND(L392&lt;&gt;"",M392=""),L392,M392))))</f>
        <v/>
      </c>
      <c r="Z392">
        <f>IF(Y392&lt;&gt;"",TODAY()-Y392,"")</f>
        <v/>
      </c>
      <c r="AC392">
        <f>IF(AND(AA392&lt;&gt;"",AB392&lt;&gt;""),CHOOSE(MATCH(AA392,{"Low","Medium","High","Critical"},0),25,50,75,100)-CHOOSE(MATCH(AB392,{"Low","Medium","High","Critical"},0),25,50,75,100),"")</f>
        <v/>
      </c>
      <c r="AG392">
        <f>IF(AF392&lt;&gt;"",IF(AH392="Weekly",AF392+7,IF(AH392="Monthly",EDATE(AF392,1),IF(AH392="Quarterly",EDATE(AF392,3),""))),"")</f>
        <v/>
      </c>
      <c r="AK392">
        <f>IF(AJ392&lt;&gt;"",IF(AI392="Monthly",EDATE(AJ392,1),IF(AI392="Quarterly",EDATE(AJ392,3),IF(AI392="Semi-Annual",EDATE(AJ392,6),""))),"")</f>
        <v/>
      </c>
      <c r="AL392">
        <f>IF(AK392&lt;&gt;"",IF(AK392&lt;TODAY(),"Overdue","Current"),"")</f>
        <v/>
      </c>
    </row>
    <row r="393">
      <c r="K393">
        <f>IF(J393="v4.0",L393,IF(J393="v3.1",M393,IF(J393="Both",L393,IF(AND(L393&lt;&gt;"",M393=""),L393,M393))))</f>
        <v/>
      </c>
      <c r="Z393">
        <f>IF(Y393&lt;&gt;"",TODAY()-Y393,"")</f>
        <v/>
      </c>
      <c r="AC393">
        <f>IF(AND(AA393&lt;&gt;"",AB393&lt;&gt;""),CHOOSE(MATCH(AA393,{"Low","Medium","High","Critical"},0),25,50,75,100)-CHOOSE(MATCH(AB393,{"Low","Medium","High","Critical"},0),25,50,75,100),"")</f>
        <v/>
      </c>
      <c r="AG393">
        <f>IF(AF393&lt;&gt;"",IF(AH393="Weekly",AF393+7,IF(AH393="Monthly",EDATE(AF393,1),IF(AH393="Quarterly",EDATE(AF393,3),""))),"")</f>
        <v/>
      </c>
      <c r="AK393">
        <f>IF(AJ393&lt;&gt;"",IF(AI393="Monthly",EDATE(AJ393,1),IF(AI393="Quarterly",EDATE(AJ393,3),IF(AI393="Semi-Annual",EDATE(AJ393,6),""))),"")</f>
        <v/>
      </c>
      <c r="AL393">
        <f>IF(AK393&lt;&gt;"",IF(AK393&lt;TODAY(),"Overdue","Current"),"")</f>
        <v/>
      </c>
    </row>
    <row r="394">
      <c r="K394">
        <f>IF(J394="v4.0",L394,IF(J394="v3.1",M394,IF(J394="Both",L394,IF(AND(L394&lt;&gt;"",M394=""),L394,M394))))</f>
        <v/>
      </c>
      <c r="Z394">
        <f>IF(Y394&lt;&gt;"",TODAY()-Y394,"")</f>
        <v/>
      </c>
      <c r="AC394">
        <f>IF(AND(AA394&lt;&gt;"",AB394&lt;&gt;""),CHOOSE(MATCH(AA394,{"Low","Medium","High","Critical"},0),25,50,75,100)-CHOOSE(MATCH(AB394,{"Low","Medium","High","Critical"},0),25,50,75,100),"")</f>
        <v/>
      </c>
      <c r="AG394">
        <f>IF(AF394&lt;&gt;"",IF(AH394="Weekly",AF394+7,IF(AH394="Monthly",EDATE(AF394,1),IF(AH394="Quarterly",EDATE(AF394,3),""))),"")</f>
        <v/>
      </c>
      <c r="AK394">
        <f>IF(AJ394&lt;&gt;"",IF(AI394="Monthly",EDATE(AJ394,1),IF(AI394="Quarterly",EDATE(AJ394,3),IF(AI394="Semi-Annual",EDATE(AJ394,6),""))),"")</f>
        <v/>
      </c>
      <c r="AL394">
        <f>IF(AK394&lt;&gt;"",IF(AK394&lt;TODAY(),"Overdue","Current"),"")</f>
        <v/>
      </c>
    </row>
    <row r="395">
      <c r="K395">
        <f>IF(J395="v4.0",L395,IF(J395="v3.1",M395,IF(J395="Both",L395,IF(AND(L395&lt;&gt;"",M395=""),L395,M395))))</f>
        <v/>
      </c>
      <c r="Z395">
        <f>IF(Y395&lt;&gt;"",TODAY()-Y395,"")</f>
        <v/>
      </c>
      <c r="AC395">
        <f>IF(AND(AA395&lt;&gt;"",AB395&lt;&gt;""),CHOOSE(MATCH(AA395,{"Low","Medium","High","Critical"},0),25,50,75,100)-CHOOSE(MATCH(AB395,{"Low","Medium","High","Critical"},0),25,50,75,100),"")</f>
        <v/>
      </c>
      <c r="AG395">
        <f>IF(AF395&lt;&gt;"",IF(AH395="Weekly",AF395+7,IF(AH395="Monthly",EDATE(AF395,1),IF(AH395="Quarterly",EDATE(AF395,3),""))),"")</f>
        <v/>
      </c>
      <c r="AK395">
        <f>IF(AJ395&lt;&gt;"",IF(AI395="Monthly",EDATE(AJ395,1),IF(AI395="Quarterly",EDATE(AJ395,3),IF(AI395="Semi-Annual",EDATE(AJ395,6),""))),"")</f>
        <v/>
      </c>
      <c r="AL395">
        <f>IF(AK395&lt;&gt;"",IF(AK395&lt;TODAY(),"Overdue","Current"),"")</f>
        <v/>
      </c>
    </row>
    <row r="396">
      <c r="K396">
        <f>IF(J396="v4.0",L396,IF(J396="v3.1",M396,IF(J396="Both",L396,IF(AND(L396&lt;&gt;"",M396=""),L396,M396))))</f>
        <v/>
      </c>
      <c r="Z396">
        <f>IF(Y396&lt;&gt;"",TODAY()-Y396,"")</f>
        <v/>
      </c>
      <c r="AC396">
        <f>IF(AND(AA396&lt;&gt;"",AB396&lt;&gt;""),CHOOSE(MATCH(AA396,{"Low","Medium","High","Critical"},0),25,50,75,100)-CHOOSE(MATCH(AB396,{"Low","Medium","High","Critical"},0),25,50,75,100),"")</f>
        <v/>
      </c>
      <c r="AG396">
        <f>IF(AF396&lt;&gt;"",IF(AH396="Weekly",AF396+7,IF(AH396="Monthly",EDATE(AF396,1),IF(AH396="Quarterly",EDATE(AF396,3),""))),"")</f>
        <v/>
      </c>
      <c r="AK396">
        <f>IF(AJ396&lt;&gt;"",IF(AI396="Monthly",EDATE(AJ396,1),IF(AI396="Quarterly",EDATE(AJ396,3),IF(AI396="Semi-Annual",EDATE(AJ396,6),""))),"")</f>
        <v/>
      </c>
      <c r="AL396">
        <f>IF(AK396&lt;&gt;"",IF(AK396&lt;TODAY(),"Overdue","Current"),"")</f>
        <v/>
      </c>
    </row>
    <row r="397">
      <c r="K397">
        <f>IF(J397="v4.0",L397,IF(J397="v3.1",M397,IF(J397="Both",L397,IF(AND(L397&lt;&gt;"",M397=""),L397,M397))))</f>
        <v/>
      </c>
      <c r="Z397">
        <f>IF(Y397&lt;&gt;"",TODAY()-Y397,"")</f>
        <v/>
      </c>
      <c r="AC397">
        <f>IF(AND(AA397&lt;&gt;"",AB397&lt;&gt;""),CHOOSE(MATCH(AA397,{"Low","Medium","High","Critical"},0),25,50,75,100)-CHOOSE(MATCH(AB397,{"Low","Medium","High","Critical"},0),25,50,75,100),"")</f>
        <v/>
      </c>
      <c r="AG397">
        <f>IF(AF397&lt;&gt;"",IF(AH397="Weekly",AF397+7,IF(AH397="Monthly",EDATE(AF397,1),IF(AH397="Quarterly",EDATE(AF397,3),""))),"")</f>
        <v/>
      </c>
      <c r="AK397">
        <f>IF(AJ397&lt;&gt;"",IF(AI397="Monthly",EDATE(AJ397,1),IF(AI397="Quarterly",EDATE(AJ397,3),IF(AI397="Semi-Annual",EDATE(AJ397,6),""))),"")</f>
        <v/>
      </c>
      <c r="AL397">
        <f>IF(AK397&lt;&gt;"",IF(AK397&lt;TODAY(),"Overdue","Current"),"")</f>
        <v/>
      </c>
    </row>
    <row r="398">
      <c r="K398">
        <f>IF(J398="v4.0",L398,IF(J398="v3.1",M398,IF(J398="Both",L398,IF(AND(L398&lt;&gt;"",M398=""),L398,M398))))</f>
        <v/>
      </c>
      <c r="Z398">
        <f>IF(Y398&lt;&gt;"",TODAY()-Y398,"")</f>
        <v/>
      </c>
      <c r="AC398">
        <f>IF(AND(AA398&lt;&gt;"",AB398&lt;&gt;""),CHOOSE(MATCH(AA398,{"Low","Medium","High","Critical"},0),25,50,75,100)-CHOOSE(MATCH(AB398,{"Low","Medium","High","Critical"},0),25,50,75,100),"")</f>
        <v/>
      </c>
      <c r="AG398">
        <f>IF(AF398&lt;&gt;"",IF(AH398="Weekly",AF398+7,IF(AH398="Monthly",EDATE(AF398,1),IF(AH398="Quarterly",EDATE(AF398,3),""))),"")</f>
        <v/>
      </c>
      <c r="AK398">
        <f>IF(AJ398&lt;&gt;"",IF(AI398="Monthly",EDATE(AJ398,1),IF(AI398="Quarterly",EDATE(AJ398,3),IF(AI398="Semi-Annual",EDATE(AJ398,6),""))),"")</f>
        <v/>
      </c>
      <c r="AL398">
        <f>IF(AK398&lt;&gt;"",IF(AK398&lt;TODAY(),"Overdue","Current"),"")</f>
        <v/>
      </c>
    </row>
    <row r="399">
      <c r="K399">
        <f>IF(J399="v4.0",L399,IF(J399="v3.1",M399,IF(J399="Both",L399,IF(AND(L399&lt;&gt;"",M399=""),L399,M399))))</f>
        <v/>
      </c>
      <c r="Z399">
        <f>IF(Y399&lt;&gt;"",TODAY()-Y399,"")</f>
        <v/>
      </c>
      <c r="AC399">
        <f>IF(AND(AA399&lt;&gt;"",AB399&lt;&gt;""),CHOOSE(MATCH(AA399,{"Low","Medium","High","Critical"},0),25,50,75,100)-CHOOSE(MATCH(AB399,{"Low","Medium","High","Critical"},0),25,50,75,100),"")</f>
        <v/>
      </c>
      <c r="AG399">
        <f>IF(AF399&lt;&gt;"",IF(AH399="Weekly",AF399+7,IF(AH399="Monthly",EDATE(AF399,1),IF(AH399="Quarterly",EDATE(AF399,3),""))),"")</f>
        <v/>
      </c>
      <c r="AK399">
        <f>IF(AJ399&lt;&gt;"",IF(AI399="Monthly",EDATE(AJ399,1),IF(AI399="Quarterly",EDATE(AJ399,3),IF(AI399="Semi-Annual",EDATE(AJ399,6),""))),"")</f>
        <v/>
      </c>
      <c r="AL399">
        <f>IF(AK399&lt;&gt;"",IF(AK399&lt;TODAY(),"Overdue","Current"),"")</f>
        <v/>
      </c>
    </row>
    <row r="400">
      <c r="K400">
        <f>IF(J400="v4.0",L400,IF(J400="v3.1",M400,IF(J400="Both",L400,IF(AND(L400&lt;&gt;"",M400=""),L400,M400))))</f>
        <v/>
      </c>
      <c r="Z400">
        <f>IF(Y400&lt;&gt;"",TODAY()-Y400,"")</f>
        <v/>
      </c>
      <c r="AC400">
        <f>IF(AND(AA400&lt;&gt;"",AB400&lt;&gt;""),CHOOSE(MATCH(AA400,{"Low","Medium","High","Critical"},0),25,50,75,100)-CHOOSE(MATCH(AB400,{"Low","Medium","High","Critical"},0),25,50,75,100),"")</f>
        <v/>
      </c>
      <c r="AG400">
        <f>IF(AF400&lt;&gt;"",IF(AH400="Weekly",AF400+7,IF(AH400="Monthly",EDATE(AF400,1),IF(AH400="Quarterly",EDATE(AF400,3),""))),"")</f>
        <v/>
      </c>
      <c r="AK400">
        <f>IF(AJ400&lt;&gt;"",IF(AI400="Monthly",EDATE(AJ400,1),IF(AI400="Quarterly",EDATE(AJ400,3),IF(AI400="Semi-Annual",EDATE(AJ400,6),""))),"")</f>
        <v/>
      </c>
      <c r="AL400">
        <f>IF(AK400&lt;&gt;"",IF(AK400&lt;TODAY(),"Overdue","Current"),"")</f>
        <v/>
      </c>
    </row>
    <row r="401">
      <c r="K401">
        <f>IF(J401="v4.0",L401,IF(J401="v3.1",M401,IF(J401="Both",L401,IF(AND(L401&lt;&gt;"",M401=""),L401,M401))))</f>
        <v/>
      </c>
      <c r="Z401">
        <f>IF(Y401&lt;&gt;"",TODAY()-Y401,"")</f>
        <v/>
      </c>
      <c r="AC401">
        <f>IF(AND(AA401&lt;&gt;"",AB401&lt;&gt;""),CHOOSE(MATCH(AA401,{"Low","Medium","High","Critical"},0),25,50,75,100)-CHOOSE(MATCH(AB401,{"Low","Medium","High","Critical"},0),25,50,75,100),"")</f>
        <v/>
      </c>
      <c r="AG401">
        <f>IF(AF401&lt;&gt;"",IF(AH401="Weekly",AF401+7,IF(AH401="Monthly",EDATE(AF401,1),IF(AH401="Quarterly",EDATE(AF401,3),""))),"")</f>
        <v/>
      </c>
      <c r="AK401">
        <f>IF(AJ401&lt;&gt;"",IF(AI401="Monthly",EDATE(AJ401,1),IF(AI401="Quarterly",EDATE(AJ401,3),IF(AI401="Semi-Annual",EDATE(AJ401,6),""))),"")</f>
        <v/>
      </c>
      <c r="AL401">
        <f>IF(AK401&lt;&gt;"",IF(AK401&lt;TODAY(),"Overdue","Current"),"")</f>
        <v/>
      </c>
    </row>
    <row r="402">
      <c r="K402">
        <f>IF(J402="v4.0",L402,IF(J402="v3.1",M402,IF(J402="Both",L402,IF(AND(L402&lt;&gt;"",M402=""),L402,M402))))</f>
        <v/>
      </c>
      <c r="Z402">
        <f>IF(Y402&lt;&gt;"",TODAY()-Y402,"")</f>
        <v/>
      </c>
      <c r="AC402">
        <f>IF(AND(AA402&lt;&gt;"",AB402&lt;&gt;""),CHOOSE(MATCH(AA402,{"Low","Medium","High","Critical"},0),25,50,75,100)-CHOOSE(MATCH(AB402,{"Low","Medium","High","Critical"},0),25,50,75,100),"")</f>
        <v/>
      </c>
      <c r="AG402">
        <f>IF(AF402&lt;&gt;"",IF(AH402="Weekly",AF402+7,IF(AH402="Monthly",EDATE(AF402,1),IF(AH402="Quarterly",EDATE(AF402,3),""))),"")</f>
        <v/>
      </c>
      <c r="AK402">
        <f>IF(AJ402&lt;&gt;"",IF(AI402="Monthly",EDATE(AJ402,1),IF(AI402="Quarterly",EDATE(AJ402,3),IF(AI402="Semi-Annual",EDATE(AJ402,6),""))),"")</f>
        <v/>
      </c>
      <c r="AL402">
        <f>IF(AK402&lt;&gt;"",IF(AK402&lt;TODAY(),"Overdue","Current"),"")</f>
        <v/>
      </c>
    </row>
    <row r="403">
      <c r="K403">
        <f>IF(J403="v4.0",L403,IF(J403="v3.1",M403,IF(J403="Both",L403,IF(AND(L403&lt;&gt;"",M403=""),L403,M403))))</f>
        <v/>
      </c>
      <c r="Z403">
        <f>IF(Y403&lt;&gt;"",TODAY()-Y403,"")</f>
        <v/>
      </c>
      <c r="AC403">
        <f>IF(AND(AA403&lt;&gt;"",AB403&lt;&gt;""),CHOOSE(MATCH(AA403,{"Low","Medium","High","Critical"},0),25,50,75,100)-CHOOSE(MATCH(AB403,{"Low","Medium","High","Critical"},0),25,50,75,100),"")</f>
        <v/>
      </c>
      <c r="AG403">
        <f>IF(AF403&lt;&gt;"",IF(AH403="Weekly",AF403+7,IF(AH403="Monthly",EDATE(AF403,1),IF(AH403="Quarterly",EDATE(AF403,3),""))),"")</f>
        <v/>
      </c>
      <c r="AK403">
        <f>IF(AJ403&lt;&gt;"",IF(AI403="Monthly",EDATE(AJ403,1),IF(AI403="Quarterly",EDATE(AJ403,3),IF(AI403="Semi-Annual",EDATE(AJ403,6),""))),"")</f>
        <v/>
      </c>
      <c r="AL403">
        <f>IF(AK403&lt;&gt;"",IF(AK403&lt;TODAY(),"Overdue","Current"),"")</f>
        <v/>
      </c>
    </row>
    <row r="404">
      <c r="K404">
        <f>IF(J404="v4.0",L404,IF(J404="v3.1",M404,IF(J404="Both",L404,IF(AND(L404&lt;&gt;"",M404=""),L404,M404))))</f>
        <v/>
      </c>
      <c r="Z404">
        <f>IF(Y404&lt;&gt;"",TODAY()-Y404,"")</f>
        <v/>
      </c>
      <c r="AC404">
        <f>IF(AND(AA404&lt;&gt;"",AB404&lt;&gt;""),CHOOSE(MATCH(AA404,{"Low","Medium","High","Critical"},0),25,50,75,100)-CHOOSE(MATCH(AB404,{"Low","Medium","High","Critical"},0),25,50,75,100),"")</f>
        <v/>
      </c>
      <c r="AG404">
        <f>IF(AF404&lt;&gt;"",IF(AH404="Weekly",AF404+7,IF(AH404="Monthly",EDATE(AF404,1),IF(AH404="Quarterly",EDATE(AF404,3),""))),"")</f>
        <v/>
      </c>
      <c r="AK404">
        <f>IF(AJ404&lt;&gt;"",IF(AI404="Monthly",EDATE(AJ404,1),IF(AI404="Quarterly",EDATE(AJ404,3),IF(AI404="Semi-Annual",EDATE(AJ404,6),""))),"")</f>
        <v/>
      </c>
      <c r="AL404">
        <f>IF(AK404&lt;&gt;"",IF(AK404&lt;TODAY(),"Overdue","Current"),"")</f>
        <v/>
      </c>
    </row>
    <row r="405">
      <c r="K405">
        <f>IF(J405="v4.0",L405,IF(J405="v3.1",M405,IF(J405="Both",L405,IF(AND(L405&lt;&gt;"",M405=""),L405,M405))))</f>
        <v/>
      </c>
      <c r="Z405">
        <f>IF(Y405&lt;&gt;"",TODAY()-Y405,"")</f>
        <v/>
      </c>
      <c r="AC405">
        <f>IF(AND(AA405&lt;&gt;"",AB405&lt;&gt;""),CHOOSE(MATCH(AA405,{"Low","Medium","High","Critical"},0),25,50,75,100)-CHOOSE(MATCH(AB405,{"Low","Medium","High","Critical"},0),25,50,75,100),"")</f>
        <v/>
      </c>
      <c r="AG405">
        <f>IF(AF405&lt;&gt;"",IF(AH405="Weekly",AF405+7,IF(AH405="Monthly",EDATE(AF405,1),IF(AH405="Quarterly",EDATE(AF405,3),""))),"")</f>
        <v/>
      </c>
      <c r="AK405">
        <f>IF(AJ405&lt;&gt;"",IF(AI405="Monthly",EDATE(AJ405,1),IF(AI405="Quarterly",EDATE(AJ405,3),IF(AI405="Semi-Annual",EDATE(AJ405,6),""))),"")</f>
        <v/>
      </c>
      <c r="AL405">
        <f>IF(AK405&lt;&gt;"",IF(AK405&lt;TODAY(),"Overdue","Current"),"")</f>
        <v/>
      </c>
    </row>
    <row r="406">
      <c r="K406">
        <f>IF(J406="v4.0",L406,IF(J406="v3.1",M406,IF(J406="Both",L406,IF(AND(L406&lt;&gt;"",M406=""),L406,M406))))</f>
        <v/>
      </c>
      <c r="Z406">
        <f>IF(Y406&lt;&gt;"",TODAY()-Y406,"")</f>
        <v/>
      </c>
      <c r="AC406">
        <f>IF(AND(AA406&lt;&gt;"",AB406&lt;&gt;""),CHOOSE(MATCH(AA406,{"Low","Medium","High","Critical"},0),25,50,75,100)-CHOOSE(MATCH(AB406,{"Low","Medium","High","Critical"},0),25,50,75,100),"")</f>
        <v/>
      </c>
      <c r="AG406">
        <f>IF(AF406&lt;&gt;"",IF(AH406="Weekly",AF406+7,IF(AH406="Monthly",EDATE(AF406,1),IF(AH406="Quarterly",EDATE(AF406,3),""))),"")</f>
        <v/>
      </c>
      <c r="AK406">
        <f>IF(AJ406&lt;&gt;"",IF(AI406="Monthly",EDATE(AJ406,1),IF(AI406="Quarterly",EDATE(AJ406,3),IF(AI406="Semi-Annual",EDATE(AJ406,6),""))),"")</f>
        <v/>
      </c>
      <c r="AL406">
        <f>IF(AK406&lt;&gt;"",IF(AK406&lt;TODAY(),"Overdue","Current"),"")</f>
        <v/>
      </c>
    </row>
    <row r="407">
      <c r="K407">
        <f>IF(J407="v4.0",L407,IF(J407="v3.1",M407,IF(J407="Both",L407,IF(AND(L407&lt;&gt;"",M407=""),L407,M407))))</f>
        <v/>
      </c>
      <c r="Z407">
        <f>IF(Y407&lt;&gt;"",TODAY()-Y407,"")</f>
        <v/>
      </c>
      <c r="AC407">
        <f>IF(AND(AA407&lt;&gt;"",AB407&lt;&gt;""),CHOOSE(MATCH(AA407,{"Low","Medium","High","Critical"},0),25,50,75,100)-CHOOSE(MATCH(AB407,{"Low","Medium","High","Critical"},0),25,50,75,100),"")</f>
        <v/>
      </c>
      <c r="AG407">
        <f>IF(AF407&lt;&gt;"",IF(AH407="Weekly",AF407+7,IF(AH407="Monthly",EDATE(AF407,1),IF(AH407="Quarterly",EDATE(AF407,3),""))),"")</f>
        <v/>
      </c>
      <c r="AK407">
        <f>IF(AJ407&lt;&gt;"",IF(AI407="Monthly",EDATE(AJ407,1),IF(AI407="Quarterly",EDATE(AJ407,3),IF(AI407="Semi-Annual",EDATE(AJ407,6),""))),"")</f>
        <v/>
      </c>
      <c r="AL407">
        <f>IF(AK407&lt;&gt;"",IF(AK407&lt;TODAY(),"Overdue","Current"),"")</f>
        <v/>
      </c>
    </row>
    <row r="408">
      <c r="K408">
        <f>IF(J408="v4.0",L408,IF(J408="v3.1",M408,IF(J408="Both",L408,IF(AND(L408&lt;&gt;"",M408=""),L408,M408))))</f>
        <v/>
      </c>
      <c r="Z408">
        <f>IF(Y408&lt;&gt;"",TODAY()-Y408,"")</f>
        <v/>
      </c>
      <c r="AC408">
        <f>IF(AND(AA408&lt;&gt;"",AB408&lt;&gt;""),CHOOSE(MATCH(AA408,{"Low","Medium","High","Critical"},0),25,50,75,100)-CHOOSE(MATCH(AB408,{"Low","Medium","High","Critical"},0),25,50,75,100),"")</f>
        <v/>
      </c>
      <c r="AG408">
        <f>IF(AF408&lt;&gt;"",IF(AH408="Weekly",AF408+7,IF(AH408="Monthly",EDATE(AF408,1),IF(AH408="Quarterly",EDATE(AF408,3),""))),"")</f>
        <v/>
      </c>
      <c r="AK408">
        <f>IF(AJ408&lt;&gt;"",IF(AI408="Monthly",EDATE(AJ408,1),IF(AI408="Quarterly",EDATE(AJ408,3),IF(AI408="Semi-Annual",EDATE(AJ408,6),""))),"")</f>
        <v/>
      </c>
      <c r="AL408">
        <f>IF(AK408&lt;&gt;"",IF(AK408&lt;TODAY(),"Overdue","Current"),"")</f>
        <v/>
      </c>
    </row>
    <row r="409">
      <c r="K409">
        <f>IF(J409="v4.0",L409,IF(J409="v3.1",M409,IF(J409="Both",L409,IF(AND(L409&lt;&gt;"",M409=""),L409,M409))))</f>
        <v/>
      </c>
      <c r="Z409">
        <f>IF(Y409&lt;&gt;"",TODAY()-Y409,"")</f>
        <v/>
      </c>
      <c r="AC409">
        <f>IF(AND(AA409&lt;&gt;"",AB409&lt;&gt;""),CHOOSE(MATCH(AA409,{"Low","Medium","High","Critical"},0),25,50,75,100)-CHOOSE(MATCH(AB409,{"Low","Medium","High","Critical"},0),25,50,75,100),"")</f>
        <v/>
      </c>
      <c r="AG409">
        <f>IF(AF409&lt;&gt;"",IF(AH409="Weekly",AF409+7,IF(AH409="Monthly",EDATE(AF409,1),IF(AH409="Quarterly",EDATE(AF409,3),""))),"")</f>
        <v/>
      </c>
      <c r="AK409">
        <f>IF(AJ409&lt;&gt;"",IF(AI409="Monthly",EDATE(AJ409,1),IF(AI409="Quarterly",EDATE(AJ409,3),IF(AI409="Semi-Annual",EDATE(AJ409,6),""))),"")</f>
        <v/>
      </c>
      <c r="AL409">
        <f>IF(AK409&lt;&gt;"",IF(AK409&lt;TODAY(),"Overdue","Current"),"")</f>
        <v/>
      </c>
    </row>
    <row r="410">
      <c r="K410">
        <f>IF(J410="v4.0",L410,IF(J410="v3.1",M410,IF(J410="Both",L410,IF(AND(L410&lt;&gt;"",M410=""),L410,M410))))</f>
        <v/>
      </c>
      <c r="Z410">
        <f>IF(Y410&lt;&gt;"",TODAY()-Y410,"")</f>
        <v/>
      </c>
      <c r="AC410">
        <f>IF(AND(AA410&lt;&gt;"",AB410&lt;&gt;""),CHOOSE(MATCH(AA410,{"Low","Medium","High","Critical"},0),25,50,75,100)-CHOOSE(MATCH(AB410,{"Low","Medium","High","Critical"},0),25,50,75,100),"")</f>
        <v/>
      </c>
      <c r="AG410">
        <f>IF(AF410&lt;&gt;"",IF(AH410="Weekly",AF410+7,IF(AH410="Monthly",EDATE(AF410,1),IF(AH410="Quarterly",EDATE(AF410,3),""))),"")</f>
        <v/>
      </c>
      <c r="AK410">
        <f>IF(AJ410&lt;&gt;"",IF(AI410="Monthly",EDATE(AJ410,1),IF(AI410="Quarterly",EDATE(AJ410,3),IF(AI410="Semi-Annual",EDATE(AJ410,6),""))),"")</f>
        <v/>
      </c>
      <c r="AL410">
        <f>IF(AK410&lt;&gt;"",IF(AK410&lt;TODAY(),"Overdue","Current"),"")</f>
        <v/>
      </c>
    </row>
    <row r="411">
      <c r="K411">
        <f>IF(J411="v4.0",L411,IF(J411="v3.1",M411,IF(J411="Both",L411,IF(AND(L411&lt;&gt;"",M411=""),L411,M411))))</f>
        <v/>
      </c>
      <c r="Z411">
        <f>IF(Y411&lt;&gt;"",TODAY()-Y411,"")</f>
        <v/>
      </c>
      <c r="AC411">
        <f>IF(AND(AA411&lt;&gt;"",AB411&lt;&gt;""),CHOOSE(MATCH(AA411,{"Low","Medium","High","Critical"},0),25,50,75,100)-CHOOSE(MATCH(AB411,{"Low","Medium","High","Critical"},0),25,50,75,100),"")</f>
        <v/>
      </c>
      <c r="AG411">
        <f>IF(AF411&lt;&gt;"",IF(AH411="Weekly",AF411+7,IF(AH411="Monthly",EDATE(AF411,1),IF(AH411="Quarterly",EDATE(AF411,3),""))),"")</f>
        <v/>
      </c>
      <c r="AK411">
        <f>IF(AJ411&lt;&gt;"",IF(AI411="Monthly",EDATE(AJ411,1),IF(AI411="Quarterly",EDATE(AJ411,3),IF(AI411="Semi-Annual",EDATE(AJ411,6),""))),"")</f>
        <v/>
      </c>
      <c r="AL411">
        <f>IF(AK411&lt;&gt;"",IF(AK411&lt;TODAY(),"Overdue","Current"),"")</f>
        <v/>
      </c>
    </row>
    <row r="412">
      <c r="K412">
        <f>IF(J412="v4.0",L412,IF(J412="v3.1",M412,IF(J412="Both",L412,IF(AND(L412&lt;&gt;"",M412=""),L412,M412))))</f>
        <v/>
      </c>
      <c r="Z412">
        <f>IF(Y412&lt;&gt;"",TODAY()-Y412,"")</f>
        <v/>
      </c>
      <c r="AC412">
        <f>IF(AND(AA412&lt;&gt;"",AB412&lt;&gt;""),CHOOSE(MATCH(AA412,{"Low","Medium","High","Critical"},0),25,50,75,100)-CHOOSE(MATCH(AB412,{"Low","Medium","High","Critical"},0),25,50,75,100),"")</f>
        <v/>
      </c>
      <c r="AG412">
        <f>IF(AF412&lt;&gt;"",IF(AH412="Weekly",AF412+7,IF(AH412="Monthly",EDATE(AF412,1),IF(AH412="Quarterly",EDATE(AF412,3),""))),"")</f>
        <v/>
      </c>
      <c r="AK412">
        <f>IF(AJ412&lt;&gt;"",IF(AI412="Monthly",EDATE(AJ412,1),IF(AI412="Quarterly",EDATE(AJ412,3),IF(AI412="Semi-Annual",EDATE(AJ412,6),""))),"")</f>
        <v/>
      </c>
      <c r="AL412">
        <f>IF(AK412&lt;&gt;"",IF(AK412&lt;TODAY(),"Overdue","Current"),"")</f>
        <v/>
      </c>
    </row>
    <row r="413">
      <c r="K413">
        <f>IF(J413="v4.0",L413,IF(J413="v3.1",M413,IF(J413="Both",L413,IF(AND(L413&lt;&gt;"",M413=""),L413,M413))))</f>
        <v/>
      </c>
      <c r="Z413">
        <f>IF(Y413&lt;&gt;"",TODAY()-Y413,"")</f>
        <v/>
      </c>
      <c r="AC413">
        <f>IF(AND(AA413&lt;&gt;"",AB413&lt;&gt;""),CHOOSE(MATCH(AA413,{"Low","Medium","High","Critical"},0),25,50,75,100)-CHOOSE(MATCH(AB413,{"Low","Medium","High","Critical"},0),25,50,75,100),"")</f>
        <v/>
      </c>
      <c r="AG413">
        <f>IF(AF413&lt;&gt;"",IF(AH413="Weekly",AF413+7,IF(AH413="Monthly",EDATE(AF413,1),IF(AH413="Quarterly",EDATE(AF413,3),""))),"")</f>
        <v/>
      </c>
      <c r="AK413">
        <f>IF(AJ413&lt;&gt;"",IF(AI413="Monthly",EDATE(AJ413,1),IF(AI413="Quarterly",EDATE(AJ413,3),IF(AI413="Semi-Annual",EDATE(AJ413,6),""))),"")</f>
        <v/>
      </c>
      <c r="AL413">
        <f>IF(AK413&lt;&gt;"",IF(AK413&lt;TODAY(),"Overdue","Current"),"")</f>
        <v/>
      </c>
    </row>
    <row r="414">
      <c r="K414">
        <f>IF(J414="v4.0",L414,IF(J414="v3.1",M414,IF(J414="Both",L414,IF(AND(L414&lt;&gt;"",M414=""),L414,M414))))</f>
        <v/>
      </c>
      <c r="Z414">
        <f>IF(Y414&lt;&gt;"",TODAY()-Y414,"")</f>
        <v/>
      </c>
      <c r="AC414">
        <f>IF(AND(AA414&lt;&gt;"",AB414&lt;&gt;""),CHOOSE(MATCH(AA414,{"Low","Medium","High","Critical"},0),25,50,75,100)-CHOOSE(MATCH(AB414,{"Low","Medium","High","Critical"},0),25,50,75,100),"")</f>
        <v/>
      </c>
      <c r="AG414">
        <f>IF(AF414&lt;&gt;"",IF(AH414="Weekly",AF414+7,IF(AH414="Monthly",EDATE(AF414,1),IF(AH414="Quarterly",EDATE(AF414,3),""))),"")</f>
        <v/>
      </c>
      <c r="AK414">
        <f>IF(AJ414&lt;&gt;"",IF(AI414="Monthly",EDATE(AJ414,1),IF(AI414="Quarterly",EDATE(AJ414,3),IF(AI414="Semi-Annual",EDATE(AJ414,6),""))),"")</f>
        <v/>
      </c>
      <c r="AL414">
        <f>IF(AK414&lt;&gt;"",IF(AK414&lt;TODAY(),"Overdue","Current"),"")</f>
        <v/>
      </c>
    </row>
    <row r="415">
      <c r="K415">
        <f>IF(J415="v4.0",L415,IF(J415="v3.1",M415,IF(J415="Both",L415,IF(AND(L415&lt;&gt;"",M415=""),L415,M415))))</f>
        <v/>
      </c>
      <c r="Z415">
        <f>IF(Y415&lt;&gt;"",TODAY()-Y415,"")</f>
        <v/>
      </c>
      <c r="AC415">
        <f>IF(AND(AA415&lt;&gt;"",AB415&lt;&gt;""),CHOOSE(MATCH(AA415,{"Low","Medium","High","Critical"},0),25,50,75,100)-CHOOSE(MATCH(AB415,{"Low","Medium","High","Critical"},0),25,50,75,100),"")</f>
        <v/>
      </c>
      <c r="AG415">
        <f>IF(AF415&lt;&gt;"",IF(AH415="Weekly",AF415+7,IF(AH415="Monthly",EDATE(AF415,1),IF(AH415="Quarterly",EDATE(AF415,3),""))),"")</f>
        <v/>
      </c>
      <c r="AK415">
        <f>IF(AJ415&lt;&gt;"",IF(AI415="Monthly",EDATE(AJ415,1),IF(AI415="Quarterly",EDATE(AJ415,3),IF(AI415="Semi-Annual",EDATE(AJ415,6),""))),"")</f>
        <v/>
      </c>
      <c r="AL415">
        <f>IF(AK415&lt;&gt;"",IF(AK415&lt;TODAY(),"Overdue","Current"),"")</f>
        <v/>
      </c>
    </row>
    <row r="416">
      <c r="K416">
        <f>IF(J416="v4.0",L416,IF(J416="v3.1",M416,IF(J416="Both",L416,IF(AND(L416&lt;&gt;"",M416=""),L416,M416))))</f>
        <v/>
      </c>
      <c r="Z416">
        <f>IF(Y416&lt;&gt;"",TODAY()-Y416,"")</f>
        <v/>
      </c>
      <c r="AC416">
        <f>IF(AND(AA416&lt;&gt;"",AB416&lt;&gt;""),CHOOSE(MATCH(AA416,{"Low","Medium","High","Critical"},0),25,50,75,100)-CHOOSE(MATCH(AB416,{"Low","Medium","High","Critical"},0),25,50,75,100),"")</f>
        <v/>
      </c>
      <c r="AG416">
        <f>IF(AF416&lt;&gt;"",IF(AH416="Weekly",AF416+7,IF(AH416="Monthly",EDATE(AF416,1),IF(AH416="Quarterly",EDATE(AF416,3),""))),"")</f>
        <v/>
      </c>
      <c r="AK416">
        <f>IF(AJ416&lt;&gt;"",IF(AI416="Monthly",EDATE(AJ416,1),IF(AI416="Quarterly",EDATE(AJ416,3),IF(AI416="Semi-Annual",EDATE(AJ416,6),""))),"")</f>
        <v/>
      </c>
      <c r="AL416">
        <f>IF(AK416&lt;&gt;"",IF(AK416&lt;TODAY(),"Overdue","Current"),"")</f>
        <v/>
      </c>
    </row>
    <row r="417">
      <c r="K417">
        <f>IF(J417="v4.0",L417,IF(J417="v3.1",M417,IF(J417="Both",L417,IF(AND(L417&lt;&gt;"",M417=""),L417,M417))))</f>
        <v/>
      </c>
      <c r="Z417">
        <f>IF(Y417&lt;&gt;"",TODAY()-Y417,"")</f>
        <v/>
      </c>
      <c r="AC417">
        <f>IF(AND(AA417&lt;&gt;"",AB417&lt;&gt;""),CHOOSE(MATCH(AA417,{"Low","Medium","High","Critical"},0),25,50,75,100)-CHOOSE(MATCH(AB417,{"Low","Medium","High","Critical"},0),25,50,75,100),"")</f>
        <v/>
      </c>
      <c r="AG417">
        <f>IF(AF417&lt;&gt;"",IF(AH417="Weekly",AF417+7,IF(AH417="Monthly",EDATE(AF417,1),IF(AH417="Quarterly",EDATE(AF417,3),""))),"")</f>
        <v/>
      </c>
      <c r="AK417">
        <f>IF(AJ417&lt;&gt;"",IF(AI417="Monthly",EDATE(AJ417,1),IF(AI417="Quarterly",EDATE(AJ417,3),IF(AI417="Semi-Annual",EDATE(AJ417,6),""))),"")</f>
        <v/>
      </c>
      <c r="AL417">
        <f>IF(AK417&lt;&gt;"",IF(AK417&lt;TODAY(),"Overdue","Current"),"")</f>
        <v/>
      </c>
    </row>
    <row r="418">
      <c r="K418">
        <f>IF(J418="v4.0",L418,IF(J418="v3.1",M418,IF(J418="Both",L418,IF(AND(L418&lt;&gt;"",M418=""),L418,M418))))</f>
        <v/>
      </c>
      <c r="Z418">
        <f>IF(Y418&lt;&gt;"",TODAY()-Y418,"")</f>
        <v/>
      </c>
      <c r="AC418">
        <f>IF(AND(AA418&lt;&gt;"",AB418&lt;&gt;""),CHOOSE(MATCH(AA418,{"Low","Medium","High","Critical"},0),25,50,75,100)-CHOOSE(MATCH(AB418,{"Low","Medium","High","Critical"},0),25,50,75,100),"")</f>
        <v/>
      </c>
      <c r="AG418">
        <f>IF(AF418&lt;&gt;"",IF(AH418="Weekly",AF418+7,IF(AH418="Monthly",EDATE(AF418,1),IF(AH418="Quarterly",EDATE(AF418,3),""))),"")</f>
        <v/>
      </c>
      <c r="AK418">
        <f>IF(AJ418&lt;&gt;"",IF(AI418="Monthly",EDATE(AJ418,1),IF(AI418="Quarterly",EDATE(AJ418,3),IF(AI418="Semi-Annual",EDATE(AJ418,6),""))),"")</f>
        <v/>
      </c>
      <c r="AL418">
        <f>IF(AK418&lt;&gt;"",IF(AK418&lt;TODAY(),"Overdue","Current"),"")</f>
        <v/>
      </c>
    </row>
    <row r="419">
      <c r="K419">
        <f>IF(J419="v4.0",L419,IF(J419="v3.1",M419,IF(J419="Both",L419,IF(AND(L419&lt;&gt;"",M419=""),L419,M419))))</f>
        <v/>
      </c>
      <c r="Z419">
        <f>IF(Y419&lt;&gt;"",TODAY()-Y419,"")</f>
        <v/>
      </c>
      <c r="AC419">
        <f>IF(AND(AA419&lt;&gt;"",AB419&lt;&gt;""),CHOOSE(MATCH(AA419,{"Low","Medium","High","Critical"},0),25,50,75,100)-CHOOSE(MATCH(AB419,{"Low","Medium","High","Critical"},0),25,50,75,100),"")</f>
        <v/>
      </c>
      <c r="AG419">
        <f>IF(AF419&lt;&gt;"",IF(AH419="Weekly",AF419+7,IF(AH419="Monthly",EDATE(AF419,1),IF(AH419="Quarterly",EDATE(AF419,3),""))),"")</f>
        <v/>
      </c>
      <c r="AK419">
        <f>IF(AJ419&lt;&gt;"",IF(AI419="Monthly",EDATE(AJ419,1),IF(AI419="Quarterly",EDATE(AJ419,3),IF(AI419="Semi-Annual",EDATE(AJ419,6),""))),"")</f>
        <v/>
      </c>
      <c r="AL419">
        <f>IF(AK419&lt;&gt;"",IF(AK419&lt;TODAY(),"Overdue","Current"),"")</f>
        <v/>
      </c>
    </row>
    <row r="420">
      <c r="K420">
        <f>IF(J420="v4.0",L420,IF(J420="v3.1",M420,IF(J420="Both",L420,IF(AND(L420&lt;&gt;"",M420=""),L420,M420))))</f>
        <v/>
      </c>
      <c r="Z420">
        <f>IF(Y420&lt;&gt;"",TODAY()-Y420,"")</f>
        <v/>
      </c>
      <c r="AC420">
        <f>IF(AND(AA420&lt;&gt;"",AB420&lt;&gt;""),CHOOSE(MATCH(AA420,{"Low","Medium","High","Critical"},0),25,50,75,100)-CHOOSE(MATCH(AB420,{"Low","Medium","High","Critical"},0),25,50,75,100),"")</f>
        <v/>
      </c>
      <c r="AG420">
        <f>IF(AF420&lt;&gt;"",IF(AH420="Weekly",AF420+7,IF(AH420="Monthly",EDATE(AF420,1),IF(AH420="Quarterly",EDATE(AF420,3),""))),"")</f>
        <v/>
      </c>
      <c r="AK420">
        <f>IF(AJ420&lt;&gt;"",IF(AI420="Monthly",EDATE(AJ420,1),IF(AI420="Quarterly",EDATE(AJ420,3),IF(AI420="Semi-Annual",EDATE(AJ420,6),""))),"")</f>
        <v/>
      </c>
      <c r="AL420">
        <f>IF(AK420&lt;&gt;"",IF(AK420&lt;TODAY(),"Overdue","Current"),"")</f>
        <v/>
      </c>
    </row>
    <row r="421">
      <c r="K421">
        <f>IF(J421="v4.0",L421,IF(J421="v3.1",M421,IF(J421="Both",L421,IF(AND(L421&lt;&gt;"",M421=""),L421,M421))))</f>
        <v/>
      </c>
      <c r="Z421">
        <f>IF(Y421&lt;&gt;"",TODAY()-Y421,"")</f>
        <v/>
      </c>
      <c r="AC421">
        <f>IF(AND(AA421&lt;&gt;"",AB421&lt;&gt;""),CHOOSE(MATCH(AA421,{"Low","Medium","High","Critical"},0),25,50,75,100)-CHOOSE(MATCH(AB421,{"Low","Medium","High","Critical"},0),25,50,75,100),"")</f>
        <v/>
      </c>
      <c r="AG421">
        <f>IF(AF421&lt;&gt;"",IF(AH421="Weekly",AF421+7,IF(AH421="Monthly",EDATE(AF421,1),IF(AH421="Quarterly",EDATE(AF421,3),""))),"")</f>
        <v/>
      </c>
      <c r="AK421">
        <f>IF(AJ421&lt;&gt;"",IF(AI421="Monthly",EDATE(AJ421,1),IF(AI421="Quarterly",EDATE(AJ421,3),IF(AI421="Semi-Annual",EDATE(AJ421,6),""))),"")</f>
        <v/>
      </c>
      <c r="AL421">
        <f>IF(AK421&lt;&gt;"",IF(AK421&lt;TODAY(),"Overdue","Current"),"")</f>
        <v/>
      </c>
    </row>
    <row r="422">
      <c r="K422">
        <f>IF(J422="v4.0",L422,IF(J422="v3.1",M422,IF(J422="Both",L422,IF(AND(L422&lt;&gt;"",M422=""),L422,M422))))</f>
        <v/>
      </c>
      <c r="Z422">
        <f>IF(Y422&lt;&gt;"",TODAY()-Y422,"")</f>
        <v/>
      </c>
      <c r="AC422">
        <f>IF(AND(AA422&lt;&gt;"",AB422&lt;&gt;""),CHOOSE(MATCH(AA422,{"Low","Medium","High","Critical"},0),25,50,75,100)-CHOOSE(MATCH(AB422,{"Low","Medium","High","Critical"},0),25,50,75,100),"")</f>
        <v/>
      </c>
      <c r="AG422">
        <f>IF(AF422&lt;&gt;"",IF(AH422="Weekly",AF422+7,IF(AH422="Monthly",EDATE(AF422,1),IF(AH422="Quarterly",EDATE(AF422,3),""))),"")</f>
        <v/>
      </c>
      <c r="AK422">
        <f>IF(AJ422&lt;&gt;"",IF(AI422="Monthly",EDATE(AJ422,1),IF(AI422="Quarterly",EDATE(AJ422,3),IF(AI422="Semi-Annual",EDATE(AJ422,6),""))),"")</f>
        <v/>
      </c>
      <c r="AL422">
        <f>IF(AK422&lt;&gt;"",IF(AK422&lt;TODAY(),"Overdue","Current"),"")</f>
        <v/>
      </c>
    </row>
    <row r="423">
      <c r="K423">
        <f>IF(J423="v4.0",L423,IF(J423="v3.1",M423,IF(J423="Both",L423,IF(AND(L423&lt;&gt;"",M423=""),L423,M423))))</f>
        <v/>
      </c>
      <c r="Z423">
        <f>IF(Y423&lt;&gt;"",TODAY()-Y423,"")</f>
        <v/>
      </c>
      <c r="AC423">
        <f>IF(AND(AA423&lt;&gt;"",AB423&lt;&gt;""),CHOOSE(MATCH(AA423,{"Low","Medium","High","Critical"},0),25,50,75,100)-CHOOSE(MATCH(AB423,{"Low","Medium","High","Critical"},0),25,50,75,100),"")</f>
        <v/>
      </c>
      <c r="AG423">
        <f>IF(AF423&lt;&gt;"",IF(AH423="Weekly",AF423+7,IF(AH423="Monthly",EDATE(AF423,1),IF(AH423="Quarterly",EDATE(AF423,3),""))),"")</f>
        <v/>
      </c>
      <c r="AK423">
        <f>IF(AJ423&lt;&gt;"",IF(AI423="Monthly",EDATE(AJ423,1),IF(AI423="Quarterly",EDATE(AJ423,3),IF(AI423="Semi-Annual",EDATE(AJ423,6),""))),"")</f>
        <v/>
      </c>
      <c r="AL423">
        <f>IF(AK423&lt;&gt;"",IF(AK423&lt;TODAY(),"Overdue","Current"),"")</f>
        <v/>
      </c>
    </row>
    <row r="424">
      <c r="K424">
        <f>IF(J424="v4.0",L424,IF(J424="v3.1",M424,IF(J424="Both",L424,IF(AND(L424&lt;&gt;"",M424=""),L424,M424))))</f>
        <v/>
      </c>
      <c r="Z424">
        <f>IF(Y424&lt;&gt;"",TODAY()-Y424,"")</f>
        <v/>
      </c>
      <c r="AC424">
        <f>IF(AND(AA424&lt;&gt;"",AB424&lt;&gt;""),CHOOSE(MATCH(AA424,{"Low","Medium","High","Critical"},0),25,50,75,100)-CHOOSE(MATCH(AB424,{"Low","Medium","High","Critical"},0),25,50,75,100),"")</f>
        <v/>
      </c>
      <c r="AG424">
        <f>IF(AF424&lt;&gt;"",IF(AH424="Weekly",AF424+7,IF(AH424="Monthly",EDATE(AF424,1),IF(AH424="Quarterly",EDATE(AF424,3),""))),"")</f>
        <v/>
      </c>
      <c r="AK424">
        <f>IF(AJ424&lt;&gt;"",IF(AI424="Monthly",EDATE(AJ424,1),IF(AI424="Quarterly",EDATE(AJ424,3),IF(AI424="Semi-Annual",EDATE(AJ424,6),""))),"")</f>
        <v/>
      </c>
      <c r="AL424">
        <f>IF(AK424&lt;&gt;"",IF(AK424&lt;TODAY(),"Overdue","Current"),"")</f>
        <v/>
      </c>
    </row>
    <row r="425">
      <c r="K425">
        <f>IF(J425="v4.0",L425,IF(J425="v3.1",M425,IF(J425="Both",L425,IF(AND(L425&lt;&gt;"",M425=""),L425,M425))))</f>
        <v/>
      </c>
      <c r="Z425">
        <f>IF(Y425&lt;&gt;"",TODAY()-Y425,"")</f>
        <v/>
      </c>
      <c r="AC425">
        <f>IF(AND(AA425&lt;&gt;"",AB425&lt;&gt;""),CHOOSE(MATCH(AA425,{"Low","Medium","High","Critical"},0),25,50,75,100)-CHOOSE(MATCH(AB425,{"Low","Medium","High","Critical"},0),25,50,75,100),"")</f>
        <v/>
      </c>
      <c r="AG425">
        <f>IF(AF425&lt;&gt;"",IF(AH425="Weekly",AF425+7,IF(AH425="Monthly",EDATE(AF425,1),IF(AH425="Quarterly",EDATE(AF425,3),""))),"")</f>
        <v/>
      </c>
      <c r="AK425">
        <f>IF(AJ425&lt;&gt;"",IF(AI425="Monthly",EDATE(AJ425,1),IF(AI425="Quarterly",EDATE(AJ425,3),IF(AI425="Semi-Annual",EDATE(AJ425,6),""))),"")</f>
        <v/>
      </c>
      <c r="AL425">
        <f>IF(AK425&lt;&gt;"",IF(AK425&lt;TODAY(),"Overdue","Current"),"")</f>
        <v/>
      </c>
    </row>
    <row r="426">
      <c r="K426">
        <f>IF(J426="v4.0",L426,IF(J426="v3.1",M426,IF(J426="Both",L426,IF(AND(L426&lt;&gt;"",M426=""),L426,M426))))</f>
        <v/>
      </c>
      <c r="Z426">
        <f>IF(Y426&lt;&gt;"",TODAY()-Y426,"")</f>
        <v/>
      </c>
      <c r="AC426">
        <f>IF(AND(AA426&lt;&gt;"",AB426&lt;&gt;""),CHOOSE(MATCH(AA426,{"Low","Medium","High","Critical"},0),25,50,75,100)-CHOOSE(MATCH(AB426,{"Low","Medium","High","Critical"},0),25,50,75,100),"")</f>
        <v/>
      </c>
      <c r="AG426">
        <f>IF(AF426&lt;&gt;"",IF(AH426="Weekly",AF426+7,IF(AH426="Monthly",EDATE(AF426,1),IF(AH426="Quarterly",EDATE(AF426,3),""))),"")</f>
        <v/>
      </c>
      <c r="AK426">
        <f>IF(AJ426&lt;&gt;"",IF(AI426="Monthly",EDATE(AJ426,1),IF(AI426="Quarterly",EDATE(AJ426,3),IF(AI426="Semi-Annual",EDATE(AJ426,6),""))),"")</f>
        <v/>
      </c>
      <c r="AL426">
        <f>IF(AK426&lt;&gt;"",IF(AK426&lt;TODAY(),"Overdue","Current"),"")</f>
        <v/>
      </c>
    </row>
    <row r="427">
      <c r="K427">
        <f>IF(J427="v4.0",L427,IF(J427="v3.1",M427,IF(J427="Both",L427,IF(AND(L427&lt;&gt;"",M427=""),L427,M427))))</f>
        <v/>
      </c>
      <c r="Z427">
        <f>IF(Y427&lt;&gt;"",TODAY()-Y427,"")</f>
        <v/>
      </c>
      <c r="AC427">
        <f>IF(AND(AA427&lt;&gt;"",AB427&lt;&gt;""),CHOOSE(MATCH(AA427,{"Low","Medium","High","Critical"},0),25,50,75,100)-CHOOSE(MATCH(AB427,{"Low","Medium","High","Critical"},0),25,50,75,100),"")</f>
        <v/>
      </c>
      <c r="AG427">
        <f>IF(AF427&lt;&gt;"",IF(AH427="Weekly",AF427+7,IF(AH427="Monthly",EDATE(AF427,1),IF(AH427="Quarterly",EDATE(AF427,3),""))),"")</f>
        <v/>
      </c>
      <c r="AK427">
        <f>IF(AJ427&lt;&gt;"",IF(AI427="Monthly",EDATE(AJ427,1),IF(AI427="Quarterly",EDATE(AJ427,3),IF(AI427="Semi-Annual",EDATE(AJ427,6),""))),"")</f>
        <v/>
      </c>
      <c r="AL427">
        <f>IF(AK427&lt;&gt;"",IF(AK427&lt;TODAY(),"Overdue","Current"),"")</f>
        <v/>
      </c>
    </row>
    <row r="428">
      <c r="K428">
        <f>IF(J428="v4.0",L428,IF(J428="v3.1",M428,IF(J428="Both",L428,IF(AND(L428&lt;&gt;"",M428=""),L428,M428))))</f>
        <v/>
      </c>
      <c r="Z428">
        <f>IF(Y428&lt;&gt;"",TODAY()-Y428,"")</f>
        <v/>
      </c>
      <c r="AC428">
        <f>IF(AND(AA428&lt;&gt;"",AB428&lt;&gt;""),CHOOSE(MATCH(AA428,{"Low","Medium","High","Critical"},0),25,50,75,100)-CHOOSE(MATCH(AB428,{"Low","Medium","High","Critical"},0),25,50,75,100),"")</f>
        <v/>
      </c>
      <c r="AG428">
        <f>IF(AF428&lt;&gt;"",IF(AH428="Weekly",AF428+7,IF(AH428="Monthly",EDATE(AF428,1),IF(AH428="Quarterly",EDATE(AF428,3),""))),"")</f>
        <v/>
      </c>
      <c r="AK428">
        <f>IF(AJ428&lt;&gt;"",IF(AI428="Monthly",EDATE(AJ428,1),IF(AI428="Quarterly",EDATE(AJ428,3),IF(AI428="Semi-Annual",EDATE(AJ428,6),""))),"")</f>
        <v/>
      </c>
      <c r="AL428">
        <f>IF(AK428&lt;&gt;"",IF(AK428&lt;TODAY(),"Overdue","Current"),"")</f>
        <v/>
      </c>
    </row>
    <row r="429">
      <c r="K429">
        <f>IF(J429="v4.0",L429,IF(J429="v3.1",M429,IF(J429="Both",L429,IF(AND(L429&lt;&gt;"",M429=""),L429,M429))))</f>
        <v/>
      </c>
      <c r="Z429">
        <f>IF(Y429&lt;&gt;"",TODAY()-Y429,"")</f>
        <v/>
      </c>
      <c r="AC429">
        <f>IF(AND(AA429&lt;&gt;"",AB429&lt;&gt;""),CHOOSE(MATCH(AA429,{"Low","Medium","High","Critical"},0),25,50,75,100)-CHOOSE(MATCH(AB429,{"Low","Medium","High","Critical"},0),25,50,75,100),"")</f>
        <v/>
      </c>
      <c r="AG429">
        <f>IF(AF429&lt;&gt;"",IF(AH429="Weekly",AF429+7,IF(AH429="Monthly",EDATE(AF429,1),IF(AH429="Quarterly",EDATE(AF429,3),""))),"")</f>
        <v/>
      </c>
      <c r="AK429">
        <f>IF(AJ429&lt;&gt;"",IF(AI429="Monthly",EDATE(AJ429,1),IF(AI429="Quarterly",EDATE(AJ429,3),IF(AI429="Semi-Annual",EDATE(AJ429,6),""))),"")</f>
        <v/>
      </c>
      <c r="AL429">
        <f>IF(AK429&lt;&gt;"",IF(AK429&lt;TODAY(),"Overdue","Current"),"")</f>
        <v/>
      </c>
    </row>
    <row r="430">
      <c r="K430">
        <f>IF(J430="v4.0",L430,IF(J430="v3.1",M430,IF(J430="Both",L430,IF(AND(L430&lt;&gt;"",M430=""),L430,M430))))</f>
        <v/>
      </c>
      <c r="Z430">
        <f>IF(Y430&lt;&gt;"",TODAY()-Y430,"")</f>
        <v/>
      </c>
      <c r="AC430">
        <f>IF(AND(AA430&lt;&gt;"",AB430&lt;&gt;""),CHOOSE(MATCH(AA430,{"Low","Medium","High","Critical"},0),25,50,75,100)-CHOOSE(MATCH(AB430,{"Low","Medium","High","Critical"},0),25,50,75,100),"")</f>
        <v/>
      </c>
      <c r="AG430">
        <f>IF(AF430&lt;&gt;"",IF(AH430="Weekly",AF430+7,IF(AH430="Monthly",EDATE(AF430,1),IF(AH430="Quarterly",EDATE(AF430,3),""))),"")</f>
        <v/>
      </c>
      <c r="AK430">
        <f>IF(AJ430&lt;&gt;"",IF(AI430="Monthly",EDATE(AJ430,1),IF(AI430="Quarterly",EDATE(AJ430,3),IF(AI430="Semi-Annual",EDATE(AJ430,6),""))),"")</f>
        <v/>
      </c>
      <c r="AL430">
        <f>IF(AK430&lt;&gt;"",IF(AK430&lt;TODAY(),"Overdue","Current"),"")</f>
        <v/>
      </c>
    </row>
    <row r="431">
      <c r="K431">
        <f>IF(J431="v4.0",L431,IF(J431="v3.1",M431,IF(J431="Both",L431,IF(AND(L431&lt;&gt;"",M431=""),L431,M431))))</f>
        <v/>
      </c>
      <c r="Z431">
        <f>IF(Y431&lt;&gt;"",TODAY()-Y431,"")</f>
        <v/>
      </c>
      <c r="AC431">
        <f>IF(AND(AA431&lt;&gt;"",AB431&lt;&gt;""),CHOOSE(MATCH(AA431,{"Low","Medium","High","Critical"},0),25,50,75,100)-CHOOSE(MATCH(AB431,{"Low","Medium","High","Critical"},0),25,50,75,100),"")</f>
        <v/>
      </c>
      <c r="AG431">
        <f>IF(AF431&lt;&gt;"",IF(AH431="Weekly",AF431+7,IF(AH431="Monthly",EDATE(AF431,1),IF(AH431="Quarterly",EDATE(AF431,3),""))),"")</f>
        <v/>
      </c>
      <c r="AK431">
        <f>IF(AJ431&lt;&gt;"",IF(AI431="Monthly",EDATE(AJ431,1),IF(AI431="Quarterly",EDATE(AJ431,3),IF(AI431="Semi-Annual",EDATE(AJ431,6),""))),"")</f>
        <v/>
      </c>
      <c r="AL431">
        <f>IF(AK431&lt;&gt;"",IF(AK431&lt;TODAY(),"Overdue","Current"),"")</f>
        <v/>
      </c>
    </row>
    <row r="432">
      <c r="K432">
        <f>IF(J432="v4.0",L432,IF(J432="v3.1",M432,IF(J432="Both",L432,IF(AND(L432&lt;&gt;"",M432=""),L432,M432))))</f>
        <v/>
      </c>
      <c r="Z432">
        <f>IF(Y432&lt;&gt;"",TODAY()-Y432,"")</f>
        <v/>
      </c>
      <c r="AC432">
        <f>IF(AND(AA432&lt;&gt;"",AB432&lt;&gt;""),CHOOSE(MATCH(AA432,{"Low","Medium","High","Critical"},0),25,50,75,100)-CHOOSE(MATCH(AB432,{"Low","Medium","High","Critical"},0),25,50,75,100),"")</f>
        <v/>
      </c>
      <c r="AG432">
        <f>IF(AF432&lt;&gt;"",IF(AH432="Weekly",AF432+7,IF(AH432="Monthly",EDATE(AF432,1),IF(AH432="Quarterly",EDATE(AF432,3),""))),"")</f>
        <v/>
      </c>
      <c r="AK432">
        <f>IF(AJ432&lt;&gt;"",IF(AI432="Monthly",EDATE(AJ432,1),IF(AI432="Quarterly",EDATE(AJ432,3),IF(AI432="Semi-Annual",EDATE(AJ432,6),""))),"")</f>
        <v/>
      </c>
      <c r="AL432">
        <f>IF(AK432&lt;&gt;"",IF(AK432&lt;TODAY(),"Overdue","Current"),"")</f>
        <v/>
      </c>
    </row>
    <row r="433">
      <c r="K433">
        <f>IF(J433="v4.0",L433,IF(J433="v3.1",M433,IF(J433="Both",L433,IF(AND(L433&lt;&gt;"",M433=""),L433,M433))))</f>
        <v/>
      </c>
      <c r="Z433">
        <f>IF(Y433&lt;&gt;"",TODAY()-Y433,"")</f>
        <v/>
      </c>
      <c r="AC433">
        <f>IF(AND(AA433&lt;&gt;"",AB433&lt;&gt;""),CHOOSE(MATCH(AA433,{"Low","Medium","High","Critical"},0),25,50,75,100)-CHOOSE(MATCH(AB433,{"Low","Medium","High","Critical"},0),25,50,75,100),"")</f>
        <v/>
      </c>
      <c r="AG433">
        <f>IF(AF433&lt;&gt;"",IF(AH433="Weekly",AF433+7,IF(AH433="Monthly",EDATE(AF433,1),IF(AH433="Quarterly",EDATE(AF433,3),""))),"")</f>
        <v/>
      </c>
      <c r="AK433">
        <f>IF(AJ433&lt;&gt;"",IF(AI433="Monthly",EDATE(AJ433,1),IF(AI433="Quarterly",EDATE(AJ433,3),IF(AI433="Semi-Annual",EDATE(AJ433,6),""))),"")</f>
        <v/>
      </c>
      <c r="AL433">
        <f>IF(AK433&lt;&gt;"",IF(AK433&lt;TODAY(),"Overdue","Current"),"")</f>
        <v/>
      </c>
    </row>
    <row r="434">
      <c r="K434">
        <f>IF(J434="v4.0",L434,IF(J434="v3.1",M434,IF(J434="Both",L434,IF(AND(L434&lt;&gt;"",M434=""),L434,M434))))</f>
        <v/>
      </c>
      <c r="Z434">
        <f>IF(Y434&lt;&gt;"",TODAY()-Y434,"")</f>
        <v/>
      </c>
      <c r="AC434">
        <f>IF(AND(AA434&lt;&gt;"",AB434&lt;&gt;""),CHOOSE(MATCH(AA434,{"Low","Medium","High","Critical"},0),25,50,75,100)-CHOOSE(MATCH(AB434,{"Low","Medium","High","Critical"},0),25,50,75,100),"")</f>
        <v/>
      </c>
      <c r="AG434">
        <f>IF(AF434&lt;&gt;"",IF(AH434="Weekly",AF434+7,IF(AH434="Monthly",EDATE(AF434,1),IF(AH434="Quarterly",EDATE(AF434,3),""))),"")</f>
        <v/>
      </c>
      <c r="AK434">
        <f>IF(AJ434&lt;&gt;"",IF(AI434="Monthly",EDATE(AJ434,1),IF(AI434="Quarterly",EDATE(AJ434,3),IF(AI434="Semi-Annual",EDATE(AJ434,6),""))),"")</f>
        <v/>
      </c>
      <c r="AL434">
        <f>IF(AK434&lt;&gt;"",IF(AK434&lt;TODAY(),"Overdue","Current"),"")</f>
        <v/>
      </c>
    </row>
    <row r="435">
      <c r="K435">
        <f>IF(J435="v4.0",L435,IF(J435="v3.1",M435,IF(J435="Both",L435,IF(AND(L435&lt;&gt;"",M435=""),L435,M435))))</f>
        <v/>
      </c>
      <c r="Z435">
        <f>IF(Y435&lt;&gt;"",TODAY()-Y435,"")</f>
        <v/>
      </c>
      <c r="AC435">
        <f>IF(AND(AA435&lt;&gt;"",AB435&lt;&gt;""),CHOOSE(MATCH(AA435,{"Low","Medium","High","Critical"},0),25,50,75,100)-CHOOSE(MATCH(AB435,{"Low","Medium","High","Critical"},0),25,50,75,100),"")</f>
        <v/>
      </c>
      <c r="AG435">
        <f>IF(AF435&lt;&gt;"",IF(AH435="Weekly",AF435+7,IF(AH435="Monthly",EDATE(AF435,1),IF(AH435="Quarterly",EDATE(AF435,3),""))),"")</f>
        <v/>
      </c>
      <c r="AK435">
        <f>IF(AJ435&lt;&gt;"",IF(AI435="Monthly",EDATE(AJ435,1),IF(AI435="Quarterly",EDATE(AJ435,3),IF(AI435="Semi-Annual",EDATE(AJ435,6),""))),"")</f>
        <v/>
      </c>
      <c r="AL435">
        <f>IF(AK435&lt;&gt;"",IF(AK435&lt;TODAY(),"Overdue","Current"),"")</f>
        <v/>
      </c>
    </row>
    <row r="436">
      <c r="K436">
        <f>IF(J436="v4.0",L436,IF(J436="v3.1",M436,IF(J436="Both",L436,IF(AND(L436&lt;&gt;"",M436=""),L436,M436))))</f>
        <v/>
      </c>
      <c r="Z436">
        <f>IF(Y436&lt;&gt;"",TODAY()-Y436,"")</f>
        <v/>
      </c>
      <c r="AC436">
        <f>IF(AND(AA436&lt;&gt;"",AB436&lt;&gt;""),CHOOSE(MATCH(AA436,{"Low","Medium","High","Critical"},0),25,50,75,100)-CHOOSE(MATCH(AB436,{"Low","Medium","High","Critical"},0),25,50,75,100),"")</f>
        <v/>
      </c>
      <c r="AG436">
        <f>IF(AF436&lt;&gt;"",IF(AH436="Weekly",AF436+7,IF(AH436="Monthly",EDATE(AF436,1),IF(AH436="Quarterly",EDATE(AF436,3),""))),"")</f>
        <v/>
      </c>
      <c r="AK436">
        <f>IF(AJ436&lt;&gt;"",IF(AI436="Monthly",EDATE(AJ436,1),IF(AI436="Quarterly",EDATE(AJ436,3),IF(AI436="Semi-Annual",EDATE(AJ436,6),""))),"")</f>
        <v/>
      </c>
      <c r="AL436">
        <f>IF(AK436&lt;&gt;"",IF(AK436&lt;TODAY(),"Overdue","Current"),"")</f>
        <v/>
      </c>
    </row>
    <row r="437">
      <c r="K437">
        <f>IF(J437="v4.0",L437,IF(J437="v3.1",M437,IF(J437="Both",L437,IF(AND(L437&lt;&gt;"",M437=""),L437,M437))))</f>
        <v/>
      </c>
      <c r="Z437">
        <f>IF(Y437&lt;&gt;"",TODAY()-Y437,"")</f>
        <v/>
      </c>
      <c r="AC437">
        <f>IF(AND(AA437&lt;&gt;"",AB437&lt;&gt;""),CHOOSE(MATCH(AA437,{"Low","Medium","High","Critical"},0),25,50,75,100)-CHOOSE(MATCH(AB437,{"Low","Medium","High","Critical"},0),25,50,75,100),"")</f>
        <v/>
      </c>
      <c r="AG437">
        <f>IF(AF437&lt;&gt;"",IF(AH437="Weekly",AF437+7,IF(AH437="Monthly",EDATE(AF437,1),IF(AH437="Quarterly",EDATE(AF437,3),""))),"")</f>
        <v/>
      </c>
      <c r="AK437">
        <f>IF(AJ437&lt;&gt;"",IF(AI437="Monthly",EDATE(AJ437,1),IF(AI437="Quarterly",EDATE(AJ437,3),IF(AI437="Semi-Annual",EDATE(AJ437,6),""))),"")</f>
        <v/>
      </c>
      <c r="AL437">
        <f>IF(AK437&lt;&gt;"",IF(AK437&lt;TODAY(),"Overdue","Current"),"")</f>
        <v/>
      </c>
    </row>
    <row r="438">
      <c r="K438">
        <f>IF(J438="v4.0",L438,IF(J438="v3.1",M438,IF(J438="Both",L438,IF(AND(L438&lt;&gt;"",M438=""),L438,M438))))</f>
        <v/>
      </c>
      <c r="Z438">
        <f>IF(Y438&lt;&gt;"",TODAY()-Y438,"")</f>
        <v/>
      </c>
      <c r="AC438">
        <f>IF(AND(AA438&lt;&gt;"",AB438&lt;&gt;""),CHOOSE(MATCH(AA438,{"Low","Medium","High","Critical"},0),25,50,75,100)-CHOOSE(MATCH(AB438,{"Low","Medium","High","Critical"},0),25,50,75,100),"")</f>
        <v/>
      </c>
      <c r="AG438">
        <f>IF(AF438&lt;&gt;"",IF(AH438="Weekly",AF438+7,IF(AH438="Monthly",EDATE(AF438,1),IF(AH438="Quarterly",EDATE(AF438,3),""))),"")</f>
        <v/>
      </c>
      <c r="AK438">
        <f>IF(AJ438&lt;&gt;"",IF(AI438="Monthly",EDATE(AJ438,1),IF(AI438="Quarterly",EDATE(AJ438,3),IF(AI438="Semi-Annual",EDATE(AJ438,6),""))),"")</f>
        <v/>
      </c>
      <c r="AL438">
        <f>IF(AK438&lt;&gt;"",IF(AK438&lt;TODAY(),"Overdue","Current"),"")</f>
        <v/>
      </c>
    </row>
    <row r="439">
      <c r="K439">
        <f>IF(J439="v4.0",L439,IF(J439="v3.1",M439,IF(J439="Both",L439,IF(AND(L439&lt;&gt;"",M439=""),L439,M439))))</f>
        <v/>
      </c>
      <c r="Z439">
        <f>IF(Y439&lt;&gt;"",TODAY()-Y439,"")</f>
        <v/>
      </c>
      <c r="AC439">
        <f>IF(AND(AA439&lt;&gt;"",AB439&lt;&gt;""),CHOOSE(MATCH(AA439,{"Low","Medium","High","Critical"},0),25,50,75,100)-CHOOSE(MATCH(AB439,{"Low","Medium","High","Critical"},0),25,50,75,100),"")</f>
        <v/>
      </c>
      <c r="AG439">
        <f>IF(AF439&lt;&gt;"",IF(AH439="Weekly",AF439+7,IF(AH439="Monthly",EDATE(AF439,1),IF(AH439="Quarterly",EDATE(AF439,3),""))),"")</f>
        <v/>
      </c>
      <c r="AK439">
        <f>IF(AJ439&lt;&gt;"",IF(AI439="Monthly",EDATE(AJ439,1),IF(AI439="Quarterly",EDATE(AJ439,3),IF(AI439="Semi-Annual",EDATE(AJ439,6),""))),"")</f>
        <v/>
      </c>
      <c r="AL439">
        <f>IF(AK439&lt;&gt;"",IF(AK439&lt;TODAY(),"Overdue","Current"),"")</f>
        <v/>
      </c>
    </row>
    <row r="440">
      <c r="K440">
        <f>IF(J440="v4.0",L440,IF(J440="v3.1",M440,IF(J440="Both",L440,IF(AND(L440&lt;&gt;"",M440=""),L440,M440))))</f>
        <v/>
      </c>
      <c r="Z440">
        <f>IF(Y440&lt;&gt;"",TODAY()-Y440,"")</f>
        <v/>
      </c>
      <c r="AC440">
        <f>IF(AND(AA440&lt;&gt;"",AB440&lt;&gt;""),CHOOSE(MATCH(AA440,{"Low","Medium","High","Critical"},0),25,50,75,100)-CHOOSE(MATCH(AB440,{"Low","Medium","High","Critical"},0),25,50,75,100),"")</f>
        <v/>
      </c>
      <c r="AG440">
        <f>IF(AF440&lt;&gt;"",IF(AH440="Weekly",AF440+7,IF(AH440="Monthly",EDATE(AF440,1),IF(AH440="Quarterly",EDATE(AF440,3),""))),"")</f>
        <v/>
      </c>
      <c r="AK440">
        <f>IF(AJ440&lt;&gt;"",IF(AI440="Monthly",EDATE(AJ440,1),IF(AI440="Quarterly",EDATE(AJ440,3),IF(AI440="Semi-Annual",EDATE(AJ440,6),""))),"")</f>
        <v/>
      </c>
      <c r="AL440">
        <f>IF(AK440&lt;&gt;"",IF(AK440&lt;TODAY(),"Overdue","Current"),"")</f>
        <v/>
      </c>
    </row>
    <row r="441">
      <c r="K441">
        <f>IF(J441="v4.0",L441,IF(J441="v3.1",M441,IF(J441="Both",L441,IF(AND(L441&lt;&gt;"",M441=""),L441,M441))))</f>
        <v/>
      </c>
      <c r="Z441">
        <f>IF(Y441&lt;&gt;"",TODAY()-Y441,"")</f>
        <v/>
      </c>
      <c r="AC441">
        <f>IF(AND(AA441&lt;&gt;"",AB441&lt;&gt;""),CHOOSE(MATCH(AA441,{"Low","Medium","High","Critical"},0),25,50,75,100)-CHOOSE(MATCH(AB441,{"Low","Medium","High","Critical"},0),25,50,75,100),"")</f>
        <v/>
      </c>
      <c r="AG441">
        <f>IF(AF441&lt;&gt;"",IF(AH441="Weekly",AF441+7,IF(AH441="Monthly",EDATE(AF441,1),IF(AH441="Quarterly",EDATE(AF441,3),""))),"")</f>
        <v/>
      </c>
      <c r="AK441">
        <f>IF(AJ441&lt;&gt;"",IF(AI441="Monthly",EDATE(AJ441,1),IF(AI441="Quarterly",EDATE(AJ441,3),IF(AI441="Semi-Annual",EDATE(AJ441,6),""))),"")</f>
        <v/>
      </c>
      <c r="AL441">
        <f>IF(AK441&lt;&gt;"",IF(AK441&lt;TODAY(),"Overdue","Current"),"")</f>
        <v/>
      </c>
    </row>
    <row r="442">
      <c r="K442">
        <f>IF(J442="v4.0",L442,IF(J442="v3.1",M442,IF(J442="Both",L442,IF(AND(L442&lt;&gt;"",M442=""),L442,M442))))</f>
        <v/>
      </c>
      <c r="Z442">
        <f>IF(Y442&lt;&gt;"",TODAY()-Y442,"")</f>
        <v/>
      </c>
      <c r="AC442">
        <f>IF(AND(AA442&lt;&gt;"",AB442&lt;&gt;""),CHOOSE(MATCH(AA442,{"Low","Medium","High","Critical"},0),25,50,75,100)-CHOOSE(MATCH(AB442,{"Low","Medium","High","Critical"},0),25,50,75,100),"")</f>
        <v/>
      </c>
      <c r="AG442">
        <f>IF(AF442&lt;&gt;"",IF(AH442="Weekly",AF442+7,IF(AH442="Monthly",EDATE(AF442,1),IF(AH442="Quarterly",EDATE(AF442,3),""))),"")</f>
        <v/>
      </c>
      <c r="AK442">
        <f>IF(AJ442&lt;&gt;"",IF(AI442="Monthly",EDATE(AJ442,1),IF(AI442="Quarterly",EDATE(AJ442,3),IF(AI442="Semi-Annual",EDATE(AJ442,6),""))),"")</f>
        <v/>
      </c>
      <c r="AL442">
        <f>IF(AK442&lt;&gt;"",IF(AK442&lt;TODAY(),"Overdue","Current"),"")</f>
        <v/>
      </c>
    </row>
    <row r="443">
      <c r="K443">
        <f>IF(J443="v4.0",L443,IF(J443="v3.1",M443,IF(J443="Both",L443,IF(AND(L443&lt;&gt;"",M443=""),L443,M443))))</f>
        <v/>
      </c>
      <c r="Z443">
        <f>IF(Y443&lt;&gt;"",TODAY()-Y443,"")</f>
        <v/>
      </c>
      <c r="AC443">
        <f>IF(AND(AA443&lt;&gt;"",AB443&lt;&gt;""),CHOOSE(MATCH(AA443,{"Low","Medium","High","Critical"},0),25,50,75,100)-CHOOSE(MATCH(AB443,{"Low","Medium","High","Critical"},0),25,50,75,100),"")</f>
        <v/>
      </c>
      <c r="AG443">
        <f>IF(AF443&lt;&gt;"",IF(AH443="Weekly",AF443+7,IF(AH443="Monthly",EDATE(AF443,1),IF(AH443="Quarterly",EDATE(AF443,3),""))),"")</f>
        <v/>
      </c>
      <c r="AK443">
        <f>IF(AJ443&lt;&gt;"",IF(AI443="Monthly",EDATE(AJ443,1),IF(AI443="Quarterly",EDATE(AJ443,3),IF(AI443="Semi-Annual",EDATE(AJ443,6),""))),"")</f>
        <v/>
      </c>
      <c r="AL443">
        <f>IF(AK443&lt;&gt;"",IF(AK443&lt;TODAY(),"Overdue","Current"),"")</f>
        <v/>
      </c>
    </row>
    <row r="444">
      <c r="K444">
        <f>IF(J444="v4.0",L444,IF(J444="v3.1",M444,IF(J444="Both",L444,IF(AND(L444&lt;&gt;"",M444=""),L444,M444))))</f>
        <v/>
      </c>
      <c r="Z444">
        <f>IF(Y444&lt;&gt;"",TODAY()-Y444,"")</f>
        <v/>
      </c>
      <c r="AC444">
        <f>IF(AND(AA444&lt;&gt;"",AB444&lt;&gt;""),CHOOSE(MATCH(AA444,{"Low","Medium","High","Critical"},0),25,50,75,100)-CHOOSE(MATCH(AB444,{"Low","Medium","High","Critical"},0),25,50,75,100),"")</f>
        <v/>
      </c>
      <c r="AG444">
        <f>IF(AF444&lt;&gt;"",IF(AH444="Weekly",AF444+7,IF(AH444="Monthly",EDATE(AF444,1),IF(AH444="Quarterly",EDATE(AF444,3),""))),"")</f>
        <v/>
      </c>
      <c r="AK444">
        <f>IF(AJ444&lt;&gt;"",IF(AI444="Monthly",EDATE(AJ444,1),IF(AI444="Quarterly",EDATE(AJ444,3),IF(AI444="Semi-Annual",EDATE(AJ444,6),""))),"")</f>
        <v/>
      </c>
      <c r="AL444">
        <f>IF(AK444&lt;&gt;"",IF(AK444&lt;TODAY(),"Overdue","Current"),"")</f>
        <v/>
      </c>
    </row>
    <row r="445">
      <c r="K445">
        <f>IF(J445="v4.0",L445,IF(J445="v3.1",M445,IF(J445="Both",L445,IF(AND(L445&lt;&gt;"",M445=""),L445,M445))))</f>
        <v/>
      </c>
      <c r="Z445">
        <f>IF(Y445&lt;&gt;"",TODAY()-Y445,"")</f>
        <v/>
      </c>
      <c r="AC445">
        <f>IF(AND(AA445&lt;&gt;"",AB445&lt;&gt;""),CHOOSE(MATCH(AA445,{"Low","Medium","High","Critical"},0),25,50,75,100)-CHOOSE(MATCH(AB445,{"Low","Medium","High","Critical"},0),25,50,75,100),"")</f>
        <v/>
      </c>
      <c r="AG445">
        <f>IF(AF445&lt;&gt;"",IF(AH445="Weekly",AF445+7,IF(AH445="Monthly",EDATE(AF445,1),IF(AH445="Quarterly",EDATE(AF445,3),""))),"")</f>
        <v/>
      </c>
      <c r="AK445">
        <f>IF(AJ445&lt;&gt;"",IF(AI445="Monthly",EDATE(AJ445,1),IF(AI445="Quarterly",EDATE(AJ445,3),IF(AI445="Semi-Annual",EDATE(AJ445,6),""))),"")</f>
        <v/>
      </c>
      <c r="AL445">
        <f>IF(AK445&lt;&gt;"",IF(AK445&lt;TODAY(),"Overdue","Current"),"")</f>
        <v/>
      </c>
    </row>
    <row r="446">
      <c r="K446">
        <f>IF(J446="v4.0",L446,IF(J446="v3.1",M446,IF(J446="Both",L446,IF(AND(L446&lt;&gt;"",M446=""),L446,M446))))</f>
        <v/>
      </c>
      <c r="Z446">
        <f>IF(Y446&lt;&gt;"",TODAY()-Y446,"")</f>
        <v/>
      </c>
      <c r="AC446">
        <f>IF(AND(AA446&lt;&gt;"",AB446&lt;&gt;""),CHOOSE(MATCH(AA446,{"Low","Medium","High","Critical"},0),25,50,75,100)-CHOOSE(MATCH(AB446,{"Low","Medium","High","Critical"},0),25,50,75,100),"")</f>
        <v/>
      </c>
      <c r="AG446">
        <f>IF(AF446&lt;&gt;"",IF(AH446="Weekly",AF446+7,IF(AH446="Monthly",EDATE(AF446,1),IF(AH446="Quarterly",EDATE(AF446,3),""))),"")</f>
        <v/>
      </c>
      <c r="AK446">
        <f>IF(AJ446&lt;&gt;"",IF(AI446="Monthly",EDATE(AJ446,1),IF(AI446="Quarterly",EDATE(AJ446,3),IF(AI446="Semi-Annual",EDATE(AJ446,6),""))),"")</f>
        <v/>
      </c>
      <c r="AL446">
        <f>IF(AK446&lt;&gt;"",IF(AK446&lt;TODAY(),"Overdue","Current"),"")</f>
        <v/>
      </c>
    </row>
    <row r="447">
      <c r="K447">
        <f>IF(J447="v4.0",L447,IF(J447="v3.1",M447,IF(J447="Both",L447,IF(AND(L447&lt;&gt;"",M447=""),L447,M447))))</f>
        <v/>
      </c>
      <c r="Z447">
        <f>IF(Y447&lt;&gt;"",TODAY()-Y447,"")</f>
        <v/>
      </c>
      <c r="AC447">
        <f>IF(AND(AA447&lt;&gt;"",AB447&lt;&gt;""),CHOOSE(MATCH(AA447,{"Low","Medium","High","Critical"},0),25,50,75,100)-CHOOSE(MATCH(AB447,{"Low","Medium","High","Critical"},0),25,50,75,100),"")</f>
        <v/>
      </c>
      <c r="AG447">
        <f>IF(AF447&lt;&gt;"",IF(AH447="Weekly",AF447+7,IF(AH447="Monthly",EDATE(AF447,1),IF(AH447="Quarterly",EDATE(AF447,3),""))),"")</f>
        <v/>
      </c>
      <c r="AK447">
        <f>IF(AJ447&lt;&gt;"",IF(AI447="Monthly",EDATE(AJ447,1),IF(AI447="Quarterly",EDATE(AJ447,3),IF(AI447="Semi-Annual",EDATE(AJ447,6),""))),"")</f>
        <v/>
      </c>
      <c r="AL447">
        <f>IF(AK447&lt;&gt;"",IF(AK447&lt;TODAY(),"Overdue","Current"),"")</f>
        <v/>
      </c>
    </row>
    <row r="448">
      <c r="K448">
        <f>IF(J448="v4.0",L448,IF(J448="v3.1",M448,IF(J448="Both",L448,IF(AND(L448&lt;&gt;"",M448=""),L448,M448))))</f>
        <v/>
      </c>
      <c r="Z448">
        <f>IF(Y448&lt;&gt;"",TODAY()-Y448,"")</f>
        <v/>
      </c>
      <c r="AC448">
        <f>IF(AND(AA448&lt;&gt;"",AB448&lt;&gt;""),CHOOSE(MATCH(AA448,{"Low","Medium","High","Critical"},0),25,50,75,100)-CHOOSE(MATCH(AB448,{"Low","Medium","High","Critical"},0),25,50,75,100),"")</f>
        <v/>
      </c>
      <c r="AG448">
        <f>IF(AF448&lt;&gt;"",IF(AH448="Weekly",AF448+7,IF(AH448="Monthly",EDATE(AF448,1),IF(AH448="Quarterly",EDATE(AF448,3),""))),"")</f>
        <v/>
      </c>
      <c r="AK448">
        <f>IF(AJ448&lt;&gt;"",IF(AI448="Monthly",EDATE(AJ448,1),IF(AI448="Quarterly",EDATE(AJ448,3),IF(AI448="Semi-Annual",EDATE(AJ448,6),""))),"")</f>
        <v/>
      </c>
      <c r="AL448">
        <f>IF(AK448&lt;&gt;"",IF(AK448&lt;TODAY(),"Overdue","Current"),"")</f>
        <v/>
      </c>
    </row>
    <row r="449">
      <c r="K449">
        <f>IF(J449="v4.0",L449,IF(J449="v3.1",M449,IF(J449="Both",L449,IF(AND(L449&lt;&gt;"",M449=""),L449,M449))))</f>
        <v/>
      </c>
      <c r="Z449">
        <f>IF(Y449&lt;&gt;"",TODAY()-Y449,"")</f>
        <v/>
      </c>
      <c r="AC449">
        <f>IF(AND(AA449&lt;&gt;"",AB449&lt;&gt;""),CHOOSE(MATCH(AA449,{"Low","Medium","High","Critical"},0),25,50,75,100)-CHOOSE(MATCH(AB449,{"Low","Medium","High","Critical"},0),25,50,75,100),"")</f>
        <v/>
      </c>
      <c r="AG449">
        <f>IF(AF449&lt;&gt;"",IF(AH449="Weekly",AF449+7,IF(AH449="Monthly",EDATE(AF449,1),IF(AH449="Quarterly",EDATE(AF449,3),""))),"")</f>
        <v/>
      </c>
      <c r="AK449">
        <f>IF(AJ449&lt;&gt;"",IF(AI449="Monthly",EDATE(AJ449,1),IF(AI449="Quarterly",EDATE(AJ449,3),IF(AI449="Semi-Annual",EDATE(AJ449,6),""))),"")</f>
        <v/>
      </c>
      <c r="AL449">
        <f>IF(AK449&lt;&gt;"",IF(AK449&lt;TODAY(),"Overdue","Current"),"")</f>
        <v/>
      </c>
    </row>
    <row r="450">
      <c r="K450">
        <f>IF(J450="v4.0",L450,IF(J450="v3.1",M450,IF(J450="Both",L450,IF(AND(L450&lt;&gt;"",M450=""),L450,M450))))</f>
        <v/>
      </c>
      <c r="Z450">
        <f>IF(Y450&lt;&gt;"",TODAY()-Y450,"")</f>
        <v/>
      </c>
      <c r="AC450">
        <f>IF(AND(AA450&lt;&gt;"",AB450&lt;&gt;""),CHOOSE(MATCH(AA450,{"Low","Medium","High","Critical"},0),25,50,75,100)-CHOOSE(MATCH(AB450,{"Low","Medium","High","Critical"},0),25,50,75,100),"")</f>
        <v/>
      </c>
      <c r="AG450">
        <f>IF(AF450&lt;&gt;"",IF(AH450="Weekly",AF450+7,IF(AH450="Monthly",EDATE(AF450,1),IF(AH450="Quarterly",EDATE(AF450,3),""))),"")</f>
        <v/>
      </c>
      <c r="AK450">
        <f>IF(AJ450&lt;&gt;"",IF(AI450="Monthly",EDATE(AJ450,1),IF(AI450="Quarterly",EDATE(AJ450,3),IF(AI450="Semi-Annual",EDATE(AJ450,6),""))),"")</f>
        <v/>
      </c>
      <c r="AL450">
        <f>IF(AK450&lt;&gt;"",IF(AK450&lt;TODAY(),"Overdue","Current"),"")</f>
        <v/>
      </c>
    </row>
    <row r="451">
      <c r="K451">
        <f>IF(J451="v4.0",L451,IF(J451="v3.1",M451,IF(J451="Both",L451,IF(AND(L451&lt;&gt;"",M451=""),L451,M451))))</f>
        <v/>
      </c>
      <c r="Z451">
        <f>IF(Y451&lt;&gt;"",TODAY()-Y451,"")</f>
        <v/>
      </c>
      <c r="AC451">
        <f>IF(AND(AA451&lt;&gt;"",AB451&lt;&gt;""),CHOOSE(MATCH(AA451,{"Low","Medium","High","Critical"},0),25,50,75,100)-CHOOSE(MATCH(AB451,{"Low","Medium","High","Critical"},0),25,50,75,100),"")</f>
        <v/>
      </c>
      <c r="AG451">
        <f>IF(AF451&lt;&gt;"",IF(AH451="Weekly",AF451+7,IF(AH451="Monthly",EDATE(AF451,1),IF(AH451="Quarterly",EDATE(AF451,3),""))),"")</f>
        <v/>
      </c>
      <c r="AK451">
        <f>IF(AJ451&lt;&gt;"",IF(AI451="Monthly",EDATE(AJ451,1),IF(AI451="Quarterly",EDATE(AJ451,3),IF(AI451="Semi-Annual",EDATE(AJ451,6),""))),"")</f>
        <v/>
      </c>
      <c r="AL451">
        <f>IF(AK451&lt;&gt;"",IF(AK451&lt;TODAY(),"Overdue","Current"),"")</f>
        <v/>
      </c>
    </row>
    <row r="452">
      <c r="K452">
        <f>IF(J452="v4.0",L452,IF(J452="v3.1",M452,IF(J452="Both",L452,IF(AND(L452&lt;&gt;"",M452=""),L452,M452))))</f>
        <v/>
      </c>
      <c r="Z452">
        <f>IF(Y452&lt;&gt;"",TODAY()-Y452,"")</f>
        <v/>
      </c>
      <c r="AC452">
        <f>IF(AND(AA452&lt;&gt;"",AB452&lt;&gt;""),CHOOSE(MATCH(AA452,{"Low","Medium","High","Critical"},0),25,50,75,100)-CHOOSE(MATCH(AB452,{"Low","Medium","High","Critical"},0),25,50,75,100),"")</f>
        <v/>
      </c>
      <c r="AG452">
        <f>IF(AF452&lt;&gt;"",IF(AH452="Weekly",AF452+7,IF(AH452="Monthly",EDATE(AF452,1),IF(AH452="Quarterly",EDATE(AF452,3),""))),"")</f>
        <v/>
      </c>
      <c r="AK452">
        <f>IF(AJ452&lt;&gt;"",IF(AI452="Monthly",EDATE(AJ452,1),IF(AI452="Quarterly",EDATE(AJ452,3),IF(AI452="Semi-Annual",EDATE(AJ452,6),""))),"")</f>
        <v/>
      </c>
      <c r="AL452">
        <f>IF(AK452&lt;&gt;"",IF(AK452&lt;TODAY(),"Overdue","Current"),"")</f>
        <v/>
      </c>
    </row>
    <row r="453">
      <c r="K453">
        <f>IF(J453="v4.0",L453,IF(J453="v3.1",M453,IF(J453="Both",L453,IF(AND(L453&lt;&gt;"",M453=""),L453,M453))))</f>
        <v/>
      </c>
      <c r="Z453">
        <f>IF(Y453&lt;&gt;"",TODAY()-Y453,"")</f>
        <v/>
      </c>
      <c r="AC453">
        <f>IF(AND(AA453&lt;&gt;"",AB453&lt;&gt;""),CHOOSE(MATCH(AA453,{"Low","Medium","High","Critical"},0),25,50,75,100)-CHOOSE(MATCH(AB453,{"Low","Medium","High","Critical"},0),25,50,75,100),"")</f>
        <v/>
      </c>
      <c r="AG453">
        <f>IF(AF453&lt;&gt;"",IF(AH453="Weekly",AF453+7,IF(AH453="Monthly",EDATE(AF453,1),IF(AH453="Quarterly",EDATE(AF453,3),""))),"")</f>
        <v/>
      </c>
      <c r="AK453">
        <f>IF(AJ453&lt;&gt;"",IF(AI453="Monthly",EDATE(AJ453,1),IF(AI453="Quarterly",EDATE(AJ453,3),IF(AI453="Semi-Annual",EDATE(AJ453,6),""))),"")</f>
        <v/>
      </c>
      <c r="AL453">
        <f>IF(AK453&lt;&gt;"",IF(AK453&lt;TODAY(),"Overdue","Current"),"")</f>
        <v/>
      </c>
    </row>
    <row r="454">
      <c r="K454">
        <f>IF(J454="v4.0",L454,IF(J454="v3.1",M454,IF(J454="Both",L454,IF(AND(L454&lt;&gt;"",M454=""),L454,M454))))</f>
        <v/>
      </c>
      <c r="Z454">
        <f>IF(Y454&lt;&gt;"",TODAY()-Y454,"")</f>
        <v/>
      </c>
      <c r="AC454">
        <f>IF(AND(AA454&lt;&gt;"",AB454&lt;&gt;""),CHOOSE(MATCH(AA454,{"Low","Medium","High","Critical"},0),25,50,75,100)-CHOOSE(MATCH(AB454,{"Low","Medium","High","Critical"},0),25,50,75,100),"")</f>
        <v/>
      </c>
      <c r="AG454">
        <f>IF(AF454&lt;&gt;"",IF(AH454="Weekly",AF454+7,IF(AH454="Monthly",EDATE(AF454,1),IF(AH454="Quarterly",EDATE(AF454,3),""))),"")</f>
        <v/>
      </c>
      <c r="AK454">
        <f>IF(AJ454&lt;&gt;"",IF(AI454="Monthly",EDATE(AJ454,1),IF(AI454="Quarterly",EDATE(AJ454,3),IF(AI454="Semi-Annual",EDATE(AJ454,6),""))),"")</f>
        <v/>
      </c>
      <c r="AL454">
        <f>IF(AK454&lt;&gt;"",IF(AK454&lt;TODAY(),"Overdue","Current"),"")</f>
        <v/>
      </c>
    </row>
    <row r="455">
      <c r="K455">
        <f>IF(J455="v4.0",L455,IF(J455="v3.1",M455,IF(J455="Both",L455,IF(AND(L455&lt;&gt;"",M455=""),L455,M455))))</f>
        <v/>
      </c>
      <c r="Z455">
        <f>IF(Y455&lt;&gt;"",TODAY()-Y455,"")</f>
        <v/>
      </c>
      <c r="AC455">
        <f>IF(AND(AA455&lt;&gt;"",AB455&lt;&gt;""),CHOOSE(MATCH(AA455,{"Low","Medium","High","Critical"},0),25,50,75,100)-CHOOSE(MATCH(AB455,{"Low","Medium","High","Critical"},0),25,50,75,100),"")</f>
        <v/>
      </c>
      <c r="AG455">
        <f>IF(AF455&lt;&gt;"",IF(AH455="Weekly",AF455+7,IF(AH455="Monthly",EDATE(AF455,1),IF(AH455="Quarterly",EDATE(AF455,3),""))),"")</f>
        <v/>
      </c>
      <c r="AK455">
        <f>IF(AJ455&lt;&gt;"",IF(AI455="Monthly",EDATE(AJ455,1),IF(AI455="Quarterly",EDATE(AJ455,3),IF(AI455="Semi-Annual",EDATE(AJ455,6),""))),"")</f>
        <v/>
      </c>
      <c r="AL455">
        <f>IF(AK455&lt;&gt;"",IF(AK455&lt;TODAY(),"Overdue","Current"),"")</f>
        <v/>
      </c>
    </row>
    <row r="456">
      <c r="K456">
        <f>IF(J456="v4.0",L456,IF(J456="v3.1",M456,IF(J456="Both",L456,IF(AND(L456&lt;&gt;"",M456=""),L456,M456))))</f>
        <v/>
      </c>
      <c r="Z456">
        <f>IF(Y456&lt;&gt;"",TODAY()-Y456,"")</f>
        <v/>
      </c>
      <c r="AC456">
        <f>IF(AND(AA456&lt;&gt;"",AB456&lt;&gt;""),CHOOSE(MATCH(AA456,{"Low","Medium","High","Critical"},0),25,50,75,100)-CHOOSE(MATCH(AB456,{"Low","Medium","High","Critical"},0),25,50,75,100),"")</f>
        <v/>
      </c>
      <c r="AG456">
        <f>IF(AF456&lt;&gt;"",IF(AH456="Weekly",AF456+7,IF(AH456="Monthly",EDATE(AF456,1),IF(AH456="Quarterly",EDATE(AF456,3),""))),"")</f>
        <v/>
      </c>
      <c r="AK456">
        <f>IF(AJ456&lt;&gt;"",IF(AI456="Monthly",EDATE(AJ456,1),IF(AI456="Quarterly",EDATE(AJ456,3),IF(AI456="Semi-Annual",EDATE(AJ456,6),""))),"")</f>
        <v/>
      </c>
      <c r="AL456">
        <f>IF(AK456&lt;&gt;"",IF(AK456&lt;TODAY(),"Overdue","Current"),"")</f>
        <v/>
      </c>
    </row>
    <row r="457">
      <c r="K457">
        <f>IF(J457="v4.0",L457,IF(J457="v3.1",M457,IF(J457="Both",L457,IF(AND(L457&lt;&gt;"",M457=""),L457,M457))))</f>
        <v/>
      </c>
      <c r="Z457">
        <f>IF(Y457&lt;&gt;"",TODAY()-Y457,"")</f>
        <v/>
      </c>
      <c r="AC457">
        <f>IF(AND(AA457&lt;&gt;"",AB457&lt;&gt;""),CHOOSE(MATCH(AA457,{"Low","Medium","High","Critical"},0),25,50,75,100)-CHOOSE(MATCH(AB457,{"Low","Medium","High","Critical"},0),25,50,75,100),"")</f>
        <v/>
      </c>
      <c r="AG457">
        <f>IF(AF457&lt;&gt;"",IF(AH457="Weekly",AF457+7,IF(AH457="Monthly",EDATE(AF457,1),IF(AH457="Quarterly",EDATE(AF457,3),""))),"")</f>
        <v/>
      </c>
      <c r="AK457">
        <f>IF(AJ457&lt;&gt;"",IF(AI457="Monthly",EDATE(AJ457,1),IF(AI457="Quarterly",EDATE(AJ457,3),IF(AI457="Semi-Annual",EDATE(AJ457,6),""))),"")</f>
        <v/>
      </c>
      <c r="AL457">
        <f>IF(AK457&lt;&gt;"",IF(AK457&lt;TODAY(),"Overdue","Current"),"")</f>
        <v/>
      </c>
    </row>
    <row r="458">
      <c r="K458">
        <f>IF(J458="v4.0",L458,IF(J458="v3.1",M458,IF(J458="Both",L458,IF(AND(L458&lt;&gt;"",M458=""),L458,M458))))</f>
        <v/>
      </c>
      <c r="Z458">
        <f>IF(Y458&lt;&gt;"",TODAY()-Y458,"")</f>
        <v/>
      </c>
      <c r="AC458">
        <f>IF(AND(AA458&lt;&gt;"",AB458&lt;&gt;""),CHOOSE(MATCH(AA458,{"Low","Medium","High","Critical"},0),25,50,75,100)-CHOOSE(MATCH(AB458,{"Low","Medium","High","Critical"},0),25,50,75,100),"")</f>
        <v/>
      </c>
      <c r="AG458">
        <f>IF(AF458&lt;&gt;"",IF(AH458="Weekly",AF458+7,IF(AH458="Monthly",EDATE(AF458,1),IF(AH458="Quarterly",EDATE(AF458,3),""))),"")</f>
        <v/>
      </c>
      <c r="AK458">
        <f>IF(AJ458&lt;&gt;"",IF(AI458="Monthly",EDATE(AJ458,1),IF(AI458="Quarterly",EDATE(AJ458,3),IF(AI458="Semi-Annual",EDATE(AJ458,6),""))),"")</f>
        <v/>
      </c>
      <c r="AL458">
        <f>IF(AK458&lt;&gt;"",IF(AK458&lt;TODAY(),"Overdue","Current"),"")</f>
        <v/>
      </c>
    </row>
    <row r="459">
      <c r="K459">
        <f>IF(J459="v4.0",L459,IF(J459="v3.1",M459,IF(J459="Both",L459,IF(AND(L459&lt;&gt;"",M459=""),L459,M459))))</f>
        <v/>
      </c>
      <c r="Z459">
        <f>IF(Y459&lt;&gt;"",TODAY()-Y459,"")</f>
        <v/>
      </c>
      <c r="AC459">
        <f>IF(AND(AA459&lt;&gt;"",AB459&lt;&gt;""),CHOOSE(MATCH(AA459,{"Low","Medium","High","Critical"},0),25,50,75,100)-CHOOSE(MATCH(AB459,{"Low","Medium","High","Critical"},0),25,50,75,100),"")</f>
        <v/>
      </c>
      <c r="AG459">
        <f>IF(AF459&lt;&gt;"",IF(AH459="Weekly",AF459+7,IF(AH459="Monthly",EDATE(AF459,1),IF(AH459="Quarterly",EDATE(AF459,3),""))),"")</f>
        <v/>
      </c>
      <c r="AK459">
        <f>IF(AJ459&lt;&gt;"",IF(AI459="Monthly",EDATE(AJ459,1),IF(AI459="Quarterly",EDATE(AJ459,3),IF(AI459="Semi-Annual",EDATE(AJ459,6),""))),"")</f>
        <v/>
      </c>
      <c r="AL459">
        <f>IF(AK459&lt;&gt;"",IF(AK459&lt;TODAY(),"Overdue","Current"),"")</f>
        <v/>
      </c>
    </row>
    <row r="460">
      <c r="K460">
        <f>IF(J460="v4.0",L460,IF(J460="v3.1",M460,IF(J460="Both",L460,IF(AND(L460&lt;&gt;"",M460=""),L460,M460))))</f>
        <v/>
      </c>
      <c r="Z460">
        <f>IF(Y460&lt;&gt;"",TODAY()-Y460,"")</f>
        <v/>
      </c>
      <c r="AC460">
        <f>IF(AND(AA460&lt;&gt;"",AB460&lt;&gt;""),CHOOSE(MATCH(AA460,{"Low","Medium","High","Critical"},0),25,50,75,100)-CHOOSE(MATCH(AB460,{"Low","Medium","High","Critical"},0),25,50,75,100),"")</f>
        <v/>
      </c>
      <c r="AG460">
        <f>IF(AF460&lt;&gt;"",IF(AH460="Weekly",AF460+7,IF(AH460="Monthly",EDATE(AF460,1),IF(AH460="Quarterly",EDATE(AF460,3),""))),"")</f>
        <v/>
      </c>
      <c r="AK460">
        <f>IF(AJ460&lt;&gt;"",IF(AI460="Monthly",EDATE(AJ460,1),IF(AI460="Quarterly",EDATE(AJ460,3),IF(AI460="Semi-Annual",EDATE(AJ460,6),""))),"")</f>
        <v/>
      </c>
      <c r="AL460">
        <f>IF(AK460&lt;&gt;"",IF(AK460&lt;TODAY(),"Overdue","Current"),"")</f>
        <v/>
      </c>
    </row>
    <row r="461">
      <c r="K461">
        <f>IF(J461="v4.0",L461,IF(J461="v3.1",M461,IF(J461="Both",L461,IF(AND(L461&lt;&gt;"",M461=""),L461,M461))))</f>
        <v/>
      </c>
      <c r="Z461">
        <f>IF(Y461&lt;&gt;"",TODAY()-Y461,"")</f>
        <v/>
      </c>
      <c r="AC461">
        <f>IF(AND(AA461&lt;&gt;"",AB461&lt;&gt;""),CHOOSE(MATCH(AA461,{"Low","Medium","High","Critical"},0),25,50,75,100)-CHOOSE(MATCH(AB461,{"Low","Medium","High","Critical"},0),25,50,75,100),"")</f>
        <v/>
      </c>
      <c r="AG461">
        <f>IF(AF461&lt;&gt;"",IF(AH461="Weekly",AF461+7,IF(AH461="Monthly",EDATE(AF461,1),IF(AH461="Quarterly",EDATE(AF461,3),""))),"")</f>
        <v/>
      </c>
      <c r="AK461">
        <f>IF(AJ461&lt;&gt;"",IF(AI461="Monthly",EDATE(AJ461,1),IF(AI461="Quarterly",EDATE(AJ461,3),IF(AI461="Semi-Annual",EDATE(AJ461,6),""))),"")</f>
        <v/>
      </c>
      <c r="AL461">
        <f>IF(AK461&lt;&gt;"",IF(AK461&lt;TODAY(),"Overdue","Current"),"")</f>
        <v/>
      </c>
    </row>
    <row r="462">
      <c r="K462">
        <f>IF(J462="v4.0",L462,IF(J462="v3.1",M462,IF(J462="Both",L462,IF(AND(L462&lt;&gt;"",M462=""),L462,M462))))</f>
        <v/>
      </c>
      <c r="Z462">
        <f>IF(Y462&lt;&gt;"",TODAY()-Y462,"")</f>
        <v/>
      </c>
      <c r="AC462">
        <f>IF(AND(AA462&lt;&gt;"",AB462&lt;&gt;""),CHOOSE(MATCH(AA462,{"Low","Medium","High","Critical"},0),25,50,75,100)-CHOOSE(MATCH(AB462,{"Low","Medium","High","Critical"},0),25,50,75,100),"")</f>
        <v/>
      </c>
      <c r="AG462">
        <f>IF(AF462&lt;&gt;"",IF(AH462="Weekly",AF462+7,IF(AH462="Monthly",EDATE(AF462,1),IF(AH462="Quarterly",EDATE(AF462,3),""))),"")</f>
        <v/>
      </c>
      <c r="AK462">
        <f>IF(AJ462&lt;&gt;"",IF(AI462="Monthly",EDATE(AJ462,1),IF(AI462="Quarterly",EDATE(AJ462,3),IF(AI462="Semi-Annual",EDATE(AJ462,6),""))),"")</f>
        <v/>
      </c>
      <c r="AL462">
        <f>IF(AK462&lt;&gt;"",IF(AK462&lt;TODAY(),"Overdue","Current"),"")</f>
        <v/>
      </c>
    </row>
    <row r="463">
      <c r="K463">
        <f>IF(J463="v4.0",L463,IF(J463="v3.1",M463,IF(J463="Both",L463,IF(AND(L463&lt;&gt;"",M463=""),L463,M463))))</f>
        <v/>
      </c>
      <c r="Z463">
        <f>IF(Y463&lt;&gt;"",TODAY()-Y463,"")</f>
        <v/>
      </c>
      <c r="AC463">
        <f>IF(AND(AA463&lt;&gt;"",AB463&lt;&gt;""),CHOOSE(MATCH(AA463,{"Low","Medium","High","Critical"},0),25,50,75,100)-CHOOSE(MATCH(AB463,{"Low","Medium","High","Critical"},0),25,50,75,100),"")</f>
        <v/>
      </c>
      <c r="AG463">
        <f>IF(AF463&lt;&gt;"",IF(AH463="Weekly",AF463+7,IF(AH463="Monthly",EDATE(AF463,1),IF(AH463="Quarterly",EDATE(AF463,3),""))),"")</f>
        <v/>
      </c>
      <c r="AK463">
        <f>IF(AJ463&lt;&gt;"",IF(AI463="Monthly",EDATE(AJ463,1),IF(AI463="Quarterly",EDATE(AJ463,3),IF(AI463="Semi-Annual",EDATE(AJ463,6),""))),"")</f>
        <v/>
      </c>
      <c r="AL463">
        <f>IF(AK463&lt;&gt;"",IF(AK463&lt;TODAY(),"Overdue","Current"),"")</f>
        <v/>
      </c>
    </row>
    <row r="464">
      <c r="K464">
        <f>IF(J464="v4.0",L464,IF(J464="v3.1",M464,IF(J464="Both",L464,IF(AND(L464&lt;&gt;"",M464=""),L464,M464))))</f>
        <v/>
      </c>
      <c r="Z464">
        <f>IF(Y464&lt;&gt;"",TODAY()-Y464,"")</f>
        <v/>
      </c>
      <c r="AC464">
        <f>IF(AND(AA464&lt;&gt;"",AB464&lt;&gt;""),CHOOSE(MATCH(AA464,{"Low","Medium","High","Critical"},0),25,50,75,100)-CHOOSE(MATCH(AB464,{"Low","Medium","High","Critical"},0),25,50,75,100),"")</f>
        <v/>
      </c>
      <c r="AG464">
        <f>IF(AF464&lt;&gt;"",IF(AH464="Weekly",AF464+7,IF(AH464="Monthly",EDATE(AF464,1),IF(AH464="Quarterly",EDATE(AF464,3),""))),"")</f>
        <v/>
      </c>
      <c r="AK464">
        <f>IF(AJ464&lt;&gt;"",IF(AI464="Monthly",EDATE(AJ464,1),IF(AI464="Quarterly",EDATE(AJ464,3),IF(AI464="Semi-Annual",EDATE(AJ464,6),""))),"")</f>
        <v/>
      </c>
      <c r="AL464">
        <f>IF(AK464&lt;&gt;"",IF(AK464&lt;TODAY(),"Overdue","Current"),"")</f>
        <v/>
      </c>
    </row>
    <row r="465">
      <c r="K465">
        <f>IF(J465="v4.0",L465,IF(J465="v3.1",M465,IF(J465="Both",L465,IF(AND(L465&lt;&gt;"",M465=""),L465,M465))))</f>
        <v/>
      </c>
      <c r="Z465">
        <f>IF(Y465&lt;&gt;"",TODAY()-Y465,"")</f>
        <v/>
      </c>
      <c r="AC465">
        <f>IF(AND(AA465&lt;&gt;"",AB465&lt;&gt;""),CHOOSE(MATCH(AA465,{"Low","Medium","High","Critical"},0),25,50,75,100)-CHOOSE(MATCH(AB465,{"Low","Medium","High","Critical"},0),25,50,75,100),"")</f>
        <v/>
      </c>
      <c r="AG465">
        <f>IF(AF465&lt;&gt;"",IF(AH465="Weekly",AF465+7,IF(AH465="Monthly",EDATE(AF465,1),IF(AH465="Quarterly",EDATE(AF465,3),""))),"")</f>
        <v/>
      </c>
      <c r="AK465">
        <f>IF(AJ465&lt;&gt;"",IF(AI465="Monthly",EDATE(AJ465,1),IF(AI465="Quarterly",EDATE(AJ465,3),IF(AI465="Semi-Annual",EDATE(AJ465,6),""))),"")</f>
        <v/>
      </c>
      <c r="AL465">
        <f>IF(AK465&lt;&gt;"",IF(AK465&lt;TODAY(),"Overdue","Current"),"")</f>
        <v/>
      </c>
    </row>
    <row r="466">
      <c r="K466">
        <f>IF(J466="v4.0",L466,IF(J466="v3.1",M466,IF(J466="Both",L466,IF(AND(L466&lt;&gt;"",M466=""),L466,M466))))</f>
        <v/>
      </c>
      <c r="Z466">
        <f>IF(Y466&lt;&gt;"",TODAY()-Y466,"")</f>
        <v/>
      </c>
      <c r="AC466">
        <f>IF(AND(AA466&lt;&gt;"",AB466&lt;&gt;""),CHOOSE(MATCH(AA466,{"Low","Medium","High","Critical"},0),25,50,75,100)-CHOOSE(MATCH(AB466,{"Low","Medium","High","Critical"},0),25,50,75,100),"")</f>
        <v/>
      </c>
      <c r="AG466">
        <f>IF(AF466&lt;&gt;"",IF(AH466="Weekly",AF466+7,IF(AH466="Monthly",EDATE(AF466,1),IF(AH466="Quarterly",EDATE(AF466,3),""))),"")</f>
        <v/>
      </c>
      <c r="AK466">
        <f>IF(AJ466&lt;&gt;"",IF(AI466="Monthly",EDATE(AJ466,1),IF(AI466="Quarterly",EDATE(AJ466,3),IF(AI466="Semi-Annual",EDATE(AJ466,6),""))),"")</f>
        <v/>
      </c>
      <c r="AL466">
        <f>IF(AK466&lt;&gt;"",IF(AK466&lt;TODAY(),"Overdue","Current"),"")</f>
        <v/>
      </c>
    </row>
    <row r="467">
      <c r="K467">
        <f>IF(J467="v4.0",L467,IF(J467="v3.1",M467,IF(J467="Both",L467,IF(AND(L467&lt;&gt;"",M467=""),L467,M467))))</f>
        <v/>
      </c>
      <c r="Z467">
        <f>IF(Y467&lt;&gt;"",TODAY()-Y467,"")</f>
        <v/>
      </c>
      <c r="AC467">
        <f>IF(AND(AA467&lt;&gt;"",AB467&lt;&gt;""),CHOOSE(MATCH(AA467,{"Low","Medium","High","Critical"},0),25,50,75,100)-CHOOSE(MATCH(AB467,{"Low","Medium","High","Critical"},0),25,50,75,100),"")</f>
        <v/>
      </c>
      <c r="AG467">
        <f>IF(AF467&lt;&gt;"",IF(AH467="Weekly",AF467+7,IF(AH467="Monthly",EDATE(AF467,1),IF(AH467="Quarterly",EDATE(AF467,3),""))),"")</f>
        <v/>
      </c>
      <c r="AK467">
        <f>IF(AJ467&lt;&gt;"",IF(AI467="Monthly",EDATE(AJ467,1),IF(AI467="Quarterly",EDATE(AJ467,3),IF(AI467="Semi-Annual",EDATE(AJ467,6),""))),"")</f>
        <v/>
      </c>
      <c r="AL467">
        <f>IF(AK467&lt;&gt;"",IF(AK467&lt;TODAY(),"Overdue","Current"),"")</f>
        <v/>
      </c>
    </row>
    <row r="468">
      <c r="K468">
        <f>IF(J468="v4.0",L468,IF(J468="v3.1",M468,IF(J468="Both",L468,IF(AND(L468&lt;&gt;"",M468=""),L468,M468))))</f>
        <v/>
      </c>
      <c r="Z468">
        <f>IF(Y468&lt;&gt;"",TODAY()-Y468,"")</f>
        <v/>
      </c>
      <c r="AC468">
        <f>IF(AND(AA468&lt;&gt;"",AB468&lt;&gt;""),CHOOSE(MATCH(AA468,{"Low","Medium","High","Critical"},0),25,50,75,100)-CHOOSE(MATCH(AB468,{"Low","Medium","High","Critical"},0),25,50,75,100),"")</f>
        <v/>
      </c>
      <c r="AG468">
        <f>IF(AF468&lt;&gt;"",IF(AH468="Weekly",AF468+7,IF(AH468="Monthly",EDATE(AF468,1),IF(AH468="Quarterly",EDATE(AF468,3),""))),"")</f>
        <v/>
      </c>
      <c r="AK468">
        <f>IF(AJ468&lt;&gt;"",IF(AI468="Monthly",EDATE(AJ468,1),IF(AI468="Quarterly",EDATE(AJ468,3),IF(AI468="Semi-Annual",EDATE(AJ468,6),""))),"")</f>
        <v/>
      </c>
      <c r="AL468">
        <f>IF(AK468&lt;&gt;"",IF(AK468&lt;TODAY(),"Overdue","Current"),"")</f>
        <v/>
      </c>
    </row>
    <row r="469">
      <c r="K469">
        <f>IF(J469="v4.0",L469,IF(J469="v3.1",M469,IF(J469="Both",L469,IF(AND(L469&lt;&gt;"",M469=""),L469,M469))))</f>
        <v/>
      </c>
      <c r="Z469">
        <f>IF(Y469&lt;&gt;"",TODAY()-Y469,"")</f>
        <v/>
      </c>
      <c r="AC469">
        <f>IF(AND(AA469&lt;&gt;"",AB469&lt;&gt;""),CHOOSE(MATCH(AA469,{"Low","Medium","High","Critical"},0),25,50,75,100)-CHOOSE(MATCH(AB469,{"Low","Medium","High","Critical"},0),25,50,75,100),"")</f>
        <v/>
      </c>
      <c r="AG469">
        <f>IF(AF469&lt;&gt;"",IF(AH469="Weekly",AF469+7,IF(AH469="Monthly",EDATE(AF469,1),IF(AH469="Quarterly",EDATE(AF469,3),""))),"")</f>
        <v/>
      </c>
      <c r="AK469">
        <f>IF(AJ469&lt;&gt;"",IF(AI469="Monthly",EDATE(AJ469,1),IF(AI469="Quarterly",EDATE(AJ469,3),IF(AI469="Semi-Annual",EDATE(AJ469,6),""))),"")</f>
        <v/>
      </c>
      <c r="AL469">
        <f>IF(AK469&lt;&gt;"",IF(AK469&lt;TODAY(),"Overdue","Current"),"")</f>
        <v/>
      </c>
    </row>
    <row r="470">
      <c r="K470">
        <f>IF(J470="v4.0",L470,IF(J470="v3.1",M470,IF(J470="Both",L470,IF(AND(L470&lt;&gt;"",M470=""),L470,M470))))</f>
        <v/>
      </c>
      <c r="Z470">
        <f>IF(Y470&lt;&gt;"",TODAY()-Y470,"")</f>
        <v/>
      </c>
      <c r="AC470">
        <f>IF(AND(AA470&lt;&gt;"",AB470&lt;&gt;""),CHOOSE(MATCH(AA470,{"Low","Medium","High","Critical"},0),25,50,75,100)-CHOOSE(MATCH(AB470,{"Low","Medium","High","Critical"},0),25,50,75,100),"")</f>
        <v/>
      </c>
      <c r="AG470">
        <f>IF(AF470&lt;&gt;"",IF(AH470="Weekly",AF470+7,IF(AH470="Monthly",EDATE(AF470,1),IF(AH470="Quarterly",EDATE(AF470,3),""))),"")</f>
        <v/>
      </c>
      <c r="AK470">
        <f>IF(AJ470&lt;&gt;"",IF(AI470="Monthly",EDATE(AJ470,1),IF(AI470="Quarterly",EDATE(AJ470,3),IF(AI470="Semi-Annual",EDATE(AJ470,6),""))),"")</f>
        <v/>
      </c>
      <c r="AL470">
        <f>IF(AK470&lt;&gt;"",IF(AK470&lt;TODAY(),"Overdue","Current"),"")</f>
        <v/>
      </c>
    </row>
    <row r="471">
      <c r="K471">
        <f>IF(J471="v4.0",L471,IF(J471="v3.1",M471,IF(J471="Both",L471,IF(AND(L471&lt;&gt;"",M471=""),L471,M471))))</f>
        <v/>
      </c>
      <c r="Z471">
        <f>IF(Y471&lt;&gt;"",TODAY()-Y471,"")</f>
        <v/>
      </c>
      <c r="AC471">
        <f>IF(AND(AA471&lt;&gt;"",AB471&lt;&gt;""),CHOOSE(MATCH(AA471,{"Low","Medium","High","Critical"},0),25,50,75,100)-CHOOSE(MATCH(AB471,{"Low","Medium","High","Critical"},0),25,50,75,100),"")</f>
        <v/>
      </c>
      <c r="AG471">
        <f>IF(AF471&lt;&gt;"",IF(AH471="Weekly",AF471+7,IF(AH471="Monthly",EDATE(AF471,1),IF(AH471="Quarterly",EDATE(AF471,3),""))),"")</f>
        <v/>
      </c>
      <c r="AK471">
        <f>IF(AJ471&lt;&gt;"",IF(AI471="Monthly",EDATE(AJ471,1),IF(AI471="Quarterly",EDATE(AJ471,3),IF(AI471="Semi-Annual",EDATE(AJ471,6),""))),"")</f>
        <v/>
      </c>
      <c r="AL471">
        <f>IF(AK471&lt;&gt;"",IF(AK471&lt;TODAY(),"Overdue","Current"),"")</f>
        <v/>
      </c>
    </row>
    <row r="472">
      <c r="K472">
        <f>IF(J472="v4.0",L472,IF(J472="v3.1",M472,IF(J472="Both",L472,IF(AND(L472&lt;&gt;"",M472=""),L472,M472))))</f>
        <v/>
      </c>
      <c r="Z472">
        <f>IF(Y472&lt;&gt;"",TODAY()-Y472,"")</f>
        <v/>
      </c>
      <c r="AC472">
        <f>IF(AND(AA472&lt;&gt;"",AB472&lt;&gt;""),CHOOSE(MATCH(AA472,{"Low","Medium","High","Critical"},0),25,50,75,100)-CHOOSE(MATCH(AB472,{"Low","Medium","High","Critical"},0),25,50,75,100),"")</f>
        <v/>
      </c>
      <c r="AG472">
        <f>IF(AF472&lt;&gt;"",IF(AH472="Weekly",AF472+7,IF(AH472="Monthly",EDATE(AF472,1),IF(AH472="Quarterly",EDATE(AF472,3),""))),"")</f>
        <v/>
      </c>
      <c r="AK472">
        <f>IF(AJ472&lt;&gt;"",IF(AI472="Monthly",EDATE(AJ472,1),IF(AI472="Quarterly",EDATE(AJ472,3),IF(AI472="Semi-Annual",EDATE(AJ472,6),""))),"")</f>
        <v/>
      </c>
      <c r="AL472">
        <f>IF(AK472&lt;&gt;"",IF(AK472&lt;TODAY(),"Overdue","Current"),"")</f>
        <v/>
      </c>
    </row>
    <row r="473">
      <c r="K473">
        <f>IF(J473="v4.0",L473,IF(J473="v3.1",M473,IF(J473="Both",L473,IF(AND(L473&lt;&gt;"",M473=""),L473,M473))))</f>
        <v/>
      </c>
      <c r="Z473">
        <f>IF(Y473&lt;&gt;"",TODAY()-Y473,"")</f>
        <v/>
      </c>
      <c r="AC473">
        <f>IF(AND(AA473&lt;&gt;"",AB473&lt;&gt;""),CHOOSE(MATCH(AA473,{"Low","Medium","High","Critical"},0),25,50,75,100)-CHOOSE(MATCH(AB473,{"Low","Medium","High","Critical"},0),25,50,75,100),"")</f>
        <v/>
      </c>
      <c r="AG473">
        <f>IF(AF473&lt;&gt;"",IF(AH473="Weekly",AF473+7,IF(AH473="Monthly",EDATE(AF473,1),IF(AH473="Quarterly",EDATE(AF473,3),""))),"")</f>
        <v/>
      </c>
      <c r="AK473">
        <f>IF(AJ473&lt;&gt;"",IF(AI473="Monthly",EDATE(AJ473,1),IF(AI473="Quarterly",EDATE(AJ473,3),IF(AI473="Semi-Annual",EDATE(AJ473,6),""))),"")</f>
        <v/>
      </c>
      <c r="AL473">
        <f>IF(AK473&lt;&gt;"",IF(AK473&lt;TODAY(),"Overdue","Current"),"")</f>
        <v/>
      </c>
    </row>
    <row r="474">
      <c r="K474">
        <f>IF(J474="v4.0",L474,IF(J474="v3.1",M474,IF(J474="Both",L474,IF(AND(L474&lt;&gt;"",M474=""),L474,M474))))</f>
        <v/>
      </c>
      <c r="Z474">
        <f>IF(Y474&lt;&gt;"",TODAY()-Y474,"")</f>
        <v/>
      </c>
      <c r="AC474">
        <f>IF(AND(AA474&lt;&gt;"",AB474&lt;&gt;""),CHOOSE(MATCH(AA474,{"Low","Medium","High","Critical"},0),25,50,75,100)-CHOOSE(MATCH(AB474,{"Low","Medium","High","Critical"},0),25,50,75,100),"")</f>
        <v/>
      </c>
      <c r="AG474">
        <f>IF(AF474&lt;&gt;"",IF(AH474="Weekly",AF474+7,IF(AH474="Monthly",EDATE(AF474,1),IF(AH474="Quarterly",EDATE(AF474,3),""))),"")</f>
        <v/>
      </c>
      <c r="AK474">
        <f>IF(AJ474&lt;&gt;"",IF(AI474="Monthly",EDATE(AJ474,1),IF(AI474="Quarterly",EDATE(AJ474,3),IF(AI474="Semi-Annual",EDATE(AJ474,6),""))),"")</f>
        <v/>
      </c>
      <c r="AL474">
        <f>IF(AK474&lt;&gt;"",IF(AK474&lt;TODAY(),"Overdue","Current"),"")</f>
        <v/>
      </c>
    </row>
    <row r="475">
      <c r="K475">
        <f>IF(J475="v4.0",L475,IF(J475="v3.1",M475,IF(J475="Both",L475,IF(AND(L475&lt;&gt;"",M475=""),L475,M475))))</f>
        <v/>
      </c>
      <c r="Z475">
        <f>IF(Y475&lt;&gt;"",TODAY()-Y475,"")</f>
        <v/>
      </c>
      <c r="AC475">
        <f>IF(AND(AA475&lt;&gt;"",AB475&lt;&gt;""),CHOOSE(MATCH(AA475,{"Low","Medium","High","Critical"},0),25,50,75,100)-CHOOSE(MATCH(AB475,{"Low","Medium","High","Critical"},0),25,50,75,100),"")</f>
        <v/>
      </c>
      <c r="AG475">
        <f>IF(AF475&lt;&gt;"",IF(AH475="Weekly",AF475+7,IF(AH475="Monthly",EDATE(AF475,1),IF(AH475="Quarterly",EDATE(AF475,3),""))),"")</f>
        <v/>
      </c>
      <c r="AK475">
        <f>IF(AJ475&lt;&gt;"",IF(AI475="Monthly",EDATE(AJ475,1),IF(AI475="Quarterly",EDATE(AJ475,3),IF(AI475="Semi-Annual",EDATE(AJ475,6),""))),"")</f>
        <v/>
      </c>
      <c r="AL475">
        <f>IF(AK475&lt;&gt;"",IF(AK475&lt;TODAY(),"Overdue","Current"),"")</f>
        <v/>
      </c>
    </row>
    <row r="476">
      <c r="K476">
        <f>IF(J476="v4.0",L476,IF(J476="v3.1",M476,IF(J476="Both",L476,IF(AND(L476&lt;&gt;"",M476=""),L476,M476))))</f>
        <v/>
      </c>
      <c r="Z476">
        <f>IF(Y476&lt;&gt;"",TODAY()-Y476,"")</f>
        <v/>
      </c>
      <c r="AC476">
        <f>IF(AND(AA476&lt;&gt;"",AB476&lt;&gt;""),CHOOSE(MATCH(AA476,{"Low","Medium","High","Critical"},0),25,50,75,100)-CHOOSE(MATCH(AB476,{"Low","Medium","High","Critical"},0),25,50,75,100),"")</f>
        <v/>
      </c>
      <c r="AG476">
        <f>IF(AF476&lt;&gt;"",IF(AH476="Weekly",AF476+7,IF(AH476="Monthly",EDATE(AF476,1),IF(AH476="Quarterly",EDATE(AF476,3),""))),"")</f>
        <v/>
      </c>
      <c r="AK476">
        <f>IF(AJ476&lt;&gt;"",IF(AI476="Monthly",EDATE(AJ476,1),IF(AI476="Quarterly",EDATE(AJ476,3),IF(AI476="Semi-Annual",EDATE(AJ476,6),""))),"")</f>
        <v/>
      </c>
      <c r="AL476">
        <f>IF(AK476&lt;&gt;"",IF(AK476&lt;TODAY(),"Overdue","Current"),"")</f>
        <v/>
      </c>
    </row>
    <row r="477">
      <c r="K477">
        <f>IF(J477="v4.0",L477,IF(J477="v3.1",M477,IF(J477="Both",L477,IF(AND(L477&lt;&gt;"",M477=""),L477,M477))))</f>
        <v/>
      </c>
      <c r="Z477">
        <f>IF(Y477&lt;&gt;"",TODAY()-Y477,"")</f>
        <v/>
      </c>
      <c r="AC477">
        <f>IF(AND(AA477&lt;&gt;"",AB477&lt;&gt;""),CHOOSE(MATCH(AA477,{"Low","Medium","High","Critical"},0),25,50,75,100)-CHOOSE(MATCH(AB477,{"Low","Medium","High","Critical"},0),25,50,75,100),"")</f>
        <v/>
      </c>
      <c r="AG477">
        <f>IF(AF477&lt;&gt;"",IF(AH477="Weekly",AF477+7,IF(AH477="Monthly",EDATE(AF477,1),IF(AH477="Quarterly",EDATE(AF477,3),""))),"")</f>
        <v/>
      </c>
      <c r="AK477">
        <f>IF(AJ477&lt;&gt;"",IF(AI477="Monthly",EDATE(AJ477,1),IF(AI477="Quarterly",EDATE(AJ477,3),IF(AI477="Semi-Annual",EDATE(AJ477,6),""))),"")</f>
        <v/>
      </c>
      <c r="AL477">
        <f>IF(AK477&lt;&gt;"",IF(AK477&lt;TODAY(),"Overdue","Current"),"")</f>
        <v/>
      </c>
    </row>
    <row r="478">
      <c r="K478">
        <f>IF(J478="v4.0",L478,IF(J478="v3.1",M478,IF(J478="Both",L478,IF(AND(L478&lt;&gt;"",M478=""),L478,M478))))</f>
        <v/>
      </c>
      <c r="Z478">
        <f>IF(Y478&lt;&gt;"",TODAY()-Y478,"")</f>
        <v/>
      </c>
      <c r="AC478">
        <f>IF(AND(AA478&lt;&gt;"",AB478&lt;&gt;""),CHOOSE(MATCH(AA478,{"Low","Medium","High","Critical"},0),25,50,75,100)-CHOOSE(MATCH(AB478,{"Low","Medium","High","Critical"},0),25,50,75,100),"")</f>
        <v/>
      </c>
      <c r="AG478">
        <f>IF(AF478&lt;&gt;"",IF(AH478="Weekly",AF478+7,IF(AH478="Monthly",EDATE(AF478,1),IF(AH478="Quarterly",EDATE(AF478,3),""))),"")</f>
        <v/>
      </c>
      <c r="AK478">
        <f>IF(AJ478&lt;&gt;"",IF(AI478="Monthly",EDATE(AJ478,1),IF(AI478="Quarterly",EDATE(AJ478,3),IF(AI478="Semi-Annual",EDATE(AJ478,6),""))),"")</f>
        <v/>
      </c>
      <c r="AL478">
        <f>IF(AK478&lt;&gt;"",IF(AK478&lt;TODAY(),"Overdue","Current"),"")</f>
        <v/>
      </c>
    </row>
    <row r="479">
      <c r="K479">
        <f>IF(J479="v4.0",L479,IF(J479="v3.1",M479,IF(J479="Both",L479,IF(AND(L479&lt;&gt;"",M479=""),L479,M479))))</f>
        <v/>
      </c>
      <c r="Z479">
        <f>IF(Y479&lt;&gt;"",TODAY()-Y479,"")</f>
        <v/>
      </c>
      <c r="AC479">
        <f>IF(AND(AA479&lt;&gt;"",AB479&lt;&gt;""),CHOOSE(MATCH(AA479,{"Low","Medium","High","Critical"},0),25,50,75,100)-CHOOSE(MATCH(AB479,{"Low","Medium","High","Critical"},0),25,50,75,100),"")</f>
        <v/>
      </c>
      <c r="AG479">
        <f>IF(AF479&lt;&gt;"",IF(AH479="Weekly",AF479+7,IF(AH479="Monthly",EDATE(AF479,1),IF(AH479="Quarterly",EDATE(AF479,3),""))),"")</f>
        <v/>
      </c>
      <c r="AK479">
        <f>IF(AJ479&lt;&gt;"",IF(AI479="Monthly",EDATE(AJ479,1),IF(AI479="Quarterly",EDATE(AJ479,3),IF(AI479="Semi-Annual",EDATE(AJ479,6),""))),"")</f>
        <v/>
      </c>
      <c r="AL479">
        <f>IF(AK479&lt;&gt;"",IF(AK479&lt;TODAY(),"Overdue","Current"),"")</f>
        <v/>
      </c>
    </row>
    <row r="480">
      <c r="K480">
        <f>IF(J480="v4.0",L480,IF(J480="v3.1",M480,IF(J480="Both",L480,IF(AND(L480&lt;&gt;"",M480=""),L480,M480))))</f>
        <v/>
      </c>
      <c r="Z480">
        <f>IF(Y480&lt;&gt;"",TODAY()-Y480,"")</f>
        <v/>
      </c>
      <c r="AC480">
        <f>IF(AND(AA480&lt;&gt;"",AB480&lt;&gt;""),CHOOSE(MATCH(AA480,{"Low","Medium","High","Critical"},0),25,50,75,100)-CHOOSE(MATCH(AB480,{"Low","Medium","High","Critical"},0),25,50,75,100),"")</f>
        <v/>
      </c>
      <c r="AG480">
        <f>IF(AF480&lt;&gt;"",IF(AH480="Weekly",AF480+7,IF(AH480="Monthly",EDATE(AF480,1),IF(AH480="Quarterly",EDATE(AF480,3),""))),"")</f>
        <v/>
      </c>
      <c r="AK480">
        <f>IF(AJ480&lt;&gt;"",IF(AI480="Monthly",EDATE(AJ480,1),IF(AI480="Quarterly",EDATE(AJ480,3),IF(AI480="Semi-Annual",EDATE(AJ480,6),""))),"")</f>
        <v/>
      </c>
      <c r="AL480">
        <f>IF(AK480&lt;&gt;"",IF(AK480&lt;TODAY(),"Overdue","Current"),"")</f>
        <v/>
      </c>
    </row>
    <row r="481">
      <c r="K481">
        <f>IF(J481="v4.0",L481,IF(J481="v3.1",M481,IF(J481="Both",L481,IF(AND(L481&lt;&gt;"",M481=""),L481,M481))))</f>
        <v/>
      </c>
      <c r="Z481">
        <f>IF(Y481&lt;&gt;"",TODAY()-Y481,"")</f>
        <v/>
      </c>
      <c r="AC481">
        <f>IF(AND(AA481&lt;&gt;"",AB481&lt;&gt;""),CHOOSE(MATCH(AA481,{"Low","Medium","High","Critical"},0),25,50,75,100)-CHOOSE(MATCH(AB481,{"Low","Medium","High","Critical"},0),25,50,75,100),"")</f>
        <v/>
      </c>
      <c r="AG481">
        <f>IF(AF481&lt;&gt;"",IF(AH481="Weekly",AF481+7,IF(AH481="Monthly",EDATE(AF481,1),IF(AH481="Quarterly",EDATE(AF481,3),""))),"")</f>
        <v/>
      </c>
      <c r="AK481">
        <f>IF(AJ481&lt;&gt;"",IF(AI481="Monthly",EDATE(AJ481,1),IF(AI481="Quarterly",EDATE(AJ481,3),IF(AI481="Semi-Annual",EDATE(AJ481,6),""))),"")</f>
        <v/>
      </c>
      <c r="AL481">
        <f>IF(AK481&lt;&gt;"",IF(AK481&lt;TODAY(),"Overdue","Current"),"")</f>
        <v/>
      </c>
    </row>
    <row r="482">
      <c r="K482">
        <f>IF(J482="v4.0",L482,IF(J482="v3.1",M482,IF(J482="Both",L482,IF(AND(L482&lt;&gt;"",M482=""),L482,M482))))</f>
        <v/>
      </c>
      <c r="Z482">
        <f>IF(Y482&lt;&gt;"",TODAY()-Y482,"")</f>
        <v/>
      </c>
      <c r="AC482">
        <f>IF(AND(AA482&lt;&gt;"",AB482&lt;&gt;""),CHOOSE(MATCH(AA482,{"Low","Medium","High","Critical"},0),25,50,75,100)-CHOOSE(MATCH(AB482,{"Low","Medium","High","Critical"},0),25,50,75,100),"")</f>
        <v/>
      </c>
      <c r="AG482">
        <f>IF(AF482&lt;&gt;"",IF(AH482="Weekly",AF482+7,IF(AH482="Monthly",EDATE(AF482,1),IF(AH482="Quarterly",EDATE(AF482,3),""))),"")</f>
        <v/>
      </c>
      <c r="AK482">
        <f>IF(AJ482&lt;&gt;"",IF(AI482="Monthly",EDATE(AJ482,1),IF(AI482="Quarterly",EDATE(AJ482,3),IF(AI482="Semi-Annual",EDATE(AJ482,6),""))),"")</f>
        <v/>
      </c>
      <c r="AL482">
        <f>IF(AK482&lt;&gt;"",IF(AK482&lt;TODAY(),"Overdue","Current"),"")</f>
        <v/>
      </c>
    </row>
    <row r="483">
      <c r="K483">
        <f>IF(J483="v4.0",L483,IF(J483="v3.1",M483,IF(J483="Both",L483,IF(AND(L483&lt;&gt;"",M483=""),L483,M483))))</f>
        <v/>
      </c>
      <c r="Z483">
        <f>IF(Y483&lt;&gt;"",TODAY()-Y483,"")</f>
        <v/>
      </c>
      <c r="AC483">
        <f>IF(AND(AA483&lt;&gt;"",AB483&lt;&gt;""),CHOOSE(MATCH(AA483,{"Low","Medium","High","Critical"},0),25,50,75,100)-CHOOSE(MATCH(AB483,{"Low","Medium","High","Critical"},0),25,50,75,100),"")</f>
        <v/>
      </c>
      <c r="AG483">
        <f>IF(AF483&lt;&gt;"",IF(AH483="Weekly",AF483+7,IF(AH483="Monthly",EDATE(AF483,1),IF(AH483="Quarterly",EDATE(AF483,3),""))),"")</f>
        <v/>
      </c>
      <c r="AK483">
        <f>IF(AJ483&lt;&gt;"",IF(AI483="Monthly",EDATE(AJ483,1),IF(AI483="Quarterly",EDATE(AJ483,3),IF(AI483="Semi-Annual",EDATE(AJ483,6),""))),"")</f>
        <v/>
      </c>
      <c r="AL483">
        <f>IF(AK483&lt;&gt;"",IF(AK483&lt;TODAY(),"Overdue","Current"),"")</f>
        <v/>
      </c>
    </row>
    <row r="484">
      <c r="K484">
        <f>IF(J484="v4.0",L484,IF(J484="v3.1",M484,IF(J484="Both",L484,IF(AND(L484&lt;&gt;"",M484=""),L484,M484))))</f>
        <v/>
      </c>
      <c r="Z484">
        <f>IF(Y484&lt;&gt;"",TODAY()-Y484,"")</f>
        <v/>
      </c>
      <c r="AC484">
        <f>IF(AND(AA484&lt;&gt;"",AB484&lt;&gt;""),CHOOSE(MATCH(AA484,{"Low","Medium","High","Critical"},0),25,50,75,100)-CHOOSE(MATCH(AB484,{"Low","Medium","High","Critical"},0),25,50,75,100),"")</f>
        <v/>
      </c>
      <c r="AG484">
        <f>IF(AF484&lt;&gt;"",IF(AH484="Weekly",AF484+7,IF(AH484="Monthly",EDATE(AF484,1),IF(AH484="Quarterly",EDATE(AF484,3),""))),"")</f>
        <v/>
      </c>
      <c r="AK484">
        <f>IF(AJ484&lt;&gt;"",IF(AI484="Monthly",EDATE(AJ484,1),IF(AI484="Quarterly",EDATE(AJ484,3),IF(AI484="Semi-Annual",EDATE(AJ484,6),""))),"")</f>
        <v/>
      </c>
      <c r="AL484">
        <f>IF(AK484&lt;&gt;"",IF(AK484&lt;TODAY(),"Overdue","Current"),"")</f>
        <v/>
      </c>
    </row>
    <row r="485">
      <c r="K485">
        <f>IF(J485="v4.0",L485,IF(J485="v3.1",M485,IF(J485="Both",L485,IF(AND(L485&lt;&gt;"",M485=""),L485,M485))))</f>
        <v/>
      </c>
      <c r="Z485">
        <f>IF(Y485&lt;&gt;"",TODAY()-Y485,"")</f>
        <v/>
      </c>
      <c r="AC485">
        <f>IF(AND(AA485&lt;&gt;"",AB485&lt;&gt;""),CHOOSE(MATCH(AA485,{"Low","Medium","High","Critical"},0),25,50,75,100)-CHOOSE(MATCH(AB485,{"Low","Medium","High","Critical"},0),25,50,75,100),"")</f>
        <v/>
      </c>
      <c r="AG485">
        <f>IF(AF485&lt;&gt;"",IF(AH485="Weekly",AF485+7,IF(AH485="Monthly",EDATE(AF485,1),IF(AH485="Quarterly",EDATE(AF485,3),""))),"")</f>
        <v/>
      </c>
      <c r="AK485">
        <f>IF(AJ485&lt;&gt;"",IF(AI485="Monthly",EDATE(AJ485,1),IF(AI485="Quarterly",EDATE(AJ485,3),IF(AI485="Semi-Annual",EDATE(AJ485,6),""))),"")</f>
        <v/>
      </c>
      <c r="AL485">
        <f>IF(AK485&lt;&gt;"",IF(AK485&lt;TODAY(),"Overdue","Current"),"")</f>
        <v/>
      </c>
    </row>
    <row r="486">
      <c r="K486">
        <f>IF(J486="v4.0",L486,IF(J486="v3.1",M486,IF(J486="Both",L486,IF(AND(L486&lt;&gt;"",M486=""),L486,M486))))</f>
        <v/>
      </c>
      <c r="Z486">
        <f>IF(Y486&lt;&gt;"",TODAY()-Y486,"")</f>
        <v/>
      </c>
      <c r="AC486">
        <f>IF(AND(AA486&lt;&gt;"",AB486&lt;&gt;""),CHOOSE(MATCH(AA486,{"Low","Medium","High","Critical"},0),25,50,75,100)-CHOOSE(MATCH(AB486,{"Low","Medium","High","Critical"},0),25,50,75,100),"")</f>
        <v/>
      </c>
      <c r="AG486">
        <f>IF(AF486&lt;&gt;"",IF(AH486="Weekly",AF486+7,IF(AH486="Monthly",EDATE(AF486,1),IF(AH486="Quarterly",EDATE(AF486,3),""))),"")</f>
        <v/>
      </c>
      <c r="AK486">
        <f>IF(AJ486&lt;&gt;"",IF(AI486="Monthly",EDATE(AJ486,1),IF(AI486="Quarterly",EDATE(AJ486,3),IF(AI486="Semi-Annual",EDATE(AJ486,6),""))),"")</f>
        <v/>
      </c>
      <c r="AL486">
        <f>IF(AK486&lt;&gt;"",IF(AK486&lt;TODAY(),"Overdue","Current"),"")</f>
        <v/>
      </c>
    </row>
    <row r="487">
      <c r="K487">
        <f>IF(J487="v4.0",L487,IF(J487="v3.1",M487,IF(J487="Both",L487,IF(AND(L487&lt;&gt;"",M487=""),L487,M487))))</f>
        <v/>
      </c>
      <c r="Z487">
        <f>IF(Y487&lt;&gt;"",TODAY()-Y487,"")</f>
        <v/>
      </c>
      <c r="AC487">
        <f>IF(AND(AA487&lt;&gt;"",AB487&lt;&gt;""),CHOOSE(MATCH(AA487,{"Low","Medium","High","Critical"},0),25,50,75,100)-CHOOSE(MATCH(AB487,{"Low","Medium","High","Critical"},0),25,50,75,100),"")</f>
        <v/>
      </c>
      <c r="AG487">
        <f>IF(AF487&lt;&gt;"",IF(AH487="Weekly",AF487+7,IF(AH487="Monthly",EDATE(AF487,1),IF(AH487="Quarterly",EDATE(AF487,3),""))),"")</f>
        <v/>
      </c>
      <c r="AK487">
        <f>IF(AJ487&lt;&gt;"",IF(AI487="Monthly",EDATE(AJ487,1),IF(AI487="Quarterly",EDATE(AJ487,3),IF(AI487="Semi-Annual",EDATE(AJ487,6),""))),"")</f>
        <v/>
      </c>
      <c r="AL487">
        <f>IF(AK487&lt;&gt;"",IF(AK487&lt;TODAY(),"Overdue","Current"),"")</f>
        <v/>
      </c>
    </row>
    <row r="488">
      <c r="K488">
        <f>IF(J488="v4.0",L488,IF(J488="v3.1",M488,IF(J488="Both",L488,IF(AND(L488&lt;&gt;"",M488=""),L488,M488))))</f>
        <v/>
      </c>
      <c r="Z488">
        <f>IF(Y488&lt;&gt;"",TODAY()-Y488,"")</f>
        <v/>
      </c>
      <c r="AC488">
        <f>IF(AND(AA488&lt;&gt;"",AB488&lt;&gt;""),CHOOSE(MATCH(AA488,{"Low","Medium","High","Critical"},0),25,50,75,100)-CHOOSE(MATCH(AB488,{"Low","Medium","High","Critical"},0),25,50,75,100),"")</f>
        <v/>
      </c>
      <c r="AG488">
        <f>IF(AF488&lt;&gt;"",IF(AH488="Weekly",AF488+7,IF(AH488="Monthly",EDATE(AF488,1),IF(AH488="Quarterly",EDATE(AF488,3),""))),"")</f>
        <v/>
      </c>
      <c r="AK488">
        <f>IF(AJ488&lt;&gt;"",IF(AI488="Monthly",EDATE(AJ488,1),IF(AI488="Quarterly",EDATE(AJ488,3),IF(AI488="Semi-Annual",EDATE(AJ488,6),""))),"")</f>
        <v/>
      </c>
      <c r="AL488">
        <f>IF(AK488&lt;&gt;"",IF(AK488&lt;TODAY(),"Overdue","Current"),"")</f>
        <v/>
      </c>
    </row>
    <row r="489">
      <c r="K489">
        <f>IF(J489="v4.0",L489,IF(J489="v3.1",M489,IF(J489="Both",L489,IF(AND(L489&lt;&gt;"",M489=""),L489,M489))))</f>
        <v/>
      </c>
      <c r="Z489">
        <f>IF(Y489&lt;&gt;"",TODAY()-Y489,"")</f>
        <v/>
      </c>
      <c r="AC489">
        <f>IF(AND(AA489&lt;&gt;"",AB489&lt;&gt;""),CHOOSE(MATCH(AA489,{"Low","Medium","High","Critical"},0),25,50,75,100)-CHOOSE(MATCH(AB489,{"Low","Medium","High","Critical"},0),25,50,75,100),"")</f>
        <v/>
      </c>
      <c r="AG489">
        <f>IF(AF489&lt;&gt;"",IF(AH489="Weekly",AF489+7,IF(AH489="Monthly",EDATE(AF489,1),IF(AH489="Quarterly",EDATE(AF489,3),""))),"")</f>
        <v/>
      </c>
      <c r="AK489">
        <f>IF(AJ489&lt;&gt;"",IF(AI489="Monthly",EDATE(AJ489,1),IF(AI489="Quarterly",EDATE(AJ489,3),IF(AI489="Semi-Annual",EDATE(AJ489,6),""))),"")</f>
        <v/>
      </c>
      <c r="AL489">
        <f>IF(AK489&lt;&gt;"",IF(AK489&lt;TODAY(),"Overdue","Current"),"")</f>
        <v/>
      </c>
    </row>
    <row r="490">
      <c r="K490">
        <f>IF(J490="v4.0",L490,IF(J490="v3.1",M490,IF(J490="Both",L490,IF(AND(L490&lt;&gt;"",M490=""),L490,M490))))</f>
        <v/>
      </c>
      <c r="Z490">
        <f>IF(Y490&lt;&gt;"",TODAY()-Y490,"")</f>
        <v/>
      </c>
      <c r="AC490">
        <f>IF(AND(AA490&lt;&gt;"",AB490&lt;&gt;""),CHOOSE(MATCH(AA490,{"Low","Medium","High","Critical"},0),25,50,75,100)-CHOOSE(MATCH(AB490,{"Low","Medium","High","Critical"},0),25,50,75,100),"")</f>
        <v/>
      </c>
      <c r="AG490">
        <f>IF(AF490&lt;&gt;"",IF(AH490="Weekly",AF490+7,IF(AH490="Monthly",EDATE(AF490,1),IF(AH490="Quarterly",EDATE(AF490,3),""))),"")</f>
        <v/>
      </c>
      <c r="AK490">
        <f>IF(AJ490&lt;&gt;"",IF(AI490="Monthly",EDATE(AJ490,1),IF(AI490="Quarterly",EDATE(AJ490,3),IF(AI490="Semi-Annual",EDATE(AJ490,6),""))),"")</f>
        <v/>
      </c>
      <c r="AL490">
        <f>IF(AK490&lt;&gt;"",IF(AK490&lt;TODAY(),"Overdue","Current"),"")</f>
        <v/>
      </c>
    </row>
    <row r="491">
      <c r="K491">
        <f>IF(J491="v4.0",L491,IF(J491="v3.1",M491,IF(J491="Both",L491,IF(AND(L491&lt;&gt;"",M491=""),L491,M491))))</f>
        <v/>
      </c>
      <c r="Z491">
        <f>IF(Y491&lt;&gt;"",TODAY()-Y491,"")</f>
        <v/>
      </c>
      <c r="AC491">
        <f>IF(AND(AA491&lt;&gt;"",AB491&lt;&gt;""),CHOOSE(MATCH(AA491,{"Low","Medium","High","Critical"},0),25,50,75,100)-CHOOSE(MATCH(AB491,{"Low","Medium","High","Critical"},0),25,50,75,100),"")</f>
        <v/>
      </c>
      <c r="AG491">
        <f>IF(AF491&lt;&gt;"",IF(AH491="Weekly",AF491+7,IF(AH491="Monthly",EDATE(AF491,1),IF(AH491="Quarterly",EDATE(AF491,3),""))),"")</f>
        <v/>
      </c>
      <c r="AK491">
        <f>IF(AJ491&lt;&gt;"",IF(AI491="Monthly",EDATE(AJ491,1),IF(AI491="Quarterly",EDATE(AJ491,3),IF(AI491="Semi-Annual",EDATE(AJ491,6),""))),"")</f>
        <v/>
      </c>
      <c r="AL491">
        <f>IF(AK491&lt;&gt;"",IF(AK491&lt;TODAY(),"Overdue","Current"),"")</f>
        <v/>
      </c>
    </row>
    <row r="492">
      <c r="K492">
        <f>IF(J492="v4.0",L492,IF(J492="v3.1",M492,IF(J492="Both",L492,IF(AND(L492&lt;&gt;"",M492=""),L492,M492))))</f>
        <v/>
      </c>
      <c r="Z492">
        <f>IF(Y492&lt;&gt;"",TODAY()-Y492,"")</f>
        <v/>
      </c>
      <c r="AC492">
        <f>IF(AND(AA492&lt;&gt;"",AB492&lt;&gt;""),CHOOSE(MATCH(AA492,{"Low","Medium","High","Critical"},0),25,50,75,100)-CHOOSE(MATCH(AB492,{"Low","Medium","High","Critical"},0),25,50,75,100),"")</f>
        <v/>
      </c>
      <c r="AG492">
        <f>IF(AF492&lt;&gt;"",IF(AH492="Weekly",AF492+7,IF(AH492="Monthly",EDATE(AF492,1),IF(AH492="Quarterly",EDATE(AF492,3),""))),"")</f>
        <v/>
      </c>
      <c r="AK492">
        <f>IF(AJ492&lt;&gt;"",IF(AI492="Monthly",EDATE(AJ492,1),IF(AI492="Quarterly",EDATE(AJ492,3),IF(AI492="Semi-Annual",EDATE(AJ492,6),""))),"")</f>
        <v/>
      </c>
      <c r="AL492">
        <f>IF(AK492&lt;&gt;"",IF(AK492&lt;TODAY(),"Overdue","Current"),"")</f>
        <v/>
      </c>
    </row>
    <row r="493">
      <c r="K493">
        <f>IF(J493="v4.0",L493,IF(J493="v3.1",M493,IF(J493="Both",L493,IF(AND(L493&lt;&gt;"",M493=""),L493,M493))))</f>
        <v/>
      </c>
      <c r="Z493">
        <f>IF(Y493&lt;&gt;"",TODAY()-Y493,"")</f>
        <v/>
      </c>
      <c r="AC493">
        <f>IF(AND(AA493&lt;&gt;"",AB493&lt;&gt;""),CHOOSE(MATCH(AA493,{"Low","Medium","High","Critical"},0),25,50,75,100)-CHOOSE(MATCH(AB493,{"Low","Medium","High","Critical"},0),25,50,75,100),"")</f>
        <v/>
      </c>
      <c r="AG493">
        <f>IF(AF493&lt;&gt;"",IF(AH493="Weekly",AF493+7,IF(AH493="Monthly",EDATE(AF493,1),IF(AH493="Quarterly",EDATE(AF493,3),""))),"")</f>
        <v/>
      </c>
      <c r="AK493">
        <f>IF(AJ493&lt;&gt;"",IF(AI493="Monthly",EDATE(AJ493,1),IF(AI493="Quarterly",EDATE(AJ493,3),IF(AI493="Semi-Annual",EDATE(AJ493,6),""))),"")</f>
        <v/>
      </c>
      <c r="AL493">
        <f>IF(AK493&lt;&gt;"",IF(AK493&lt;TODAY(),"Overdue","Current"),"")</f>
        <v/>
      </c>
    </row>
    <row r="494">
      <c r="K494">
        <f>IF(J494="v4.0",L494,IF(J494="v3.1",M494,IF(J494="Both",L494,IF(AND(L494&lt;&gt;"",M494=""),L494,M494))))</f>
        <v/>
      </c>
      <c r="Z494">
        <f>IF(Y494&lt;&gt;"",TODAY()-Y494,"")</f>
        <v/>
      </c>
      <c r="AC494">
        <f>IF(AND(AA494&lt;&gt;"",AB494&lt;&gt;""),CHOOSE(MATCH(AA494,{"Low","Medium","High","Critical"},0),25,50,75,100)-CHOOSE(MATCH(AB494,{"Low","Medium","High","Critical"},0),25,50,75,100),"")</f>
        <v/>
      </c>
      <c r="AG494">
        <f>IF(AF494&lt;&gt;"",IF(AH494="Weekly",AF494+7,IF(AH494="Monthly",EDATE(AF494,1),IF(AH494="Quarterly",EDATE(AF494,3),""))),"")</f>
        <v/>
      </c>
      <c r="AK494">
        <f>IF(AJ494&lt;&gt;"",IF(AI494="Monthly",EDATE(AJ494,1),IF(AI494="Quarterly",EDATE(AJ494,3),IF(AI494="Semi-Annual",EDATE(AJ494,6),""))),"")</f>
        <v/>
      </c>
      <c r="AL494">
        <f>IF(AK494&lt;&gt;"",IF(AK494&lt;TODAY(),"Overdue","Current"),"")</f>
        <v/>
      </c>
    </row>
    <row r="495">
      <c r="K495">
        <f>IF(J495="v4.0",L495,IF(J495="v3.1",M495,IF(J495="Both",L495,IF(AND(L495&lt;&gt;"",M495=""),L495,M495))))</f>
        <v/>
      </c>
      <c r="Z495">
        <f>IF(Y495&lt;&gt;"",TODAY()-Y495,"")</f>
        <v/>
      </c>
      <c r="AC495">
        <f>IF(AND(AA495&lt;&gt;"",AB495&lt;&gt;""),CHOOSE(MATCH(AA495,{"Low","Medium","High","Critical"},0),25,50,75,100)-CHOOSE(MATCH(AB495,{"Low","Medium","High","Critical"},0),25,50,75,100),"")</f>
        <v/>
      </c>
      <c r="AG495">
        <f>IF(AF495&lt;&gt;"",IF(AH495="Weekly",AF495+7,IF(AH495="Monthly",EDATE(AF495,1),IF(AH495="Quarterly",EDATE(AF495,3),""))),"")</f>
        <v/>
      </c>
      <c r="AK495">
        <f>IF(AJ495&lt;&gt;"",IF(AI495="Monthly",EDATE(AJ495,1),IF(AI495="Quarterly",EDATE(AJ495,3),IF(AI495="Semi-Annual",EDATE(AJ495,6),""))),"")</f>
        <v/>
      </c>
      <c r="AL495">
        <f>IF(AK495&lt;&gt;"",IF(AK495&lt;TODAY(),"Overdue","Current"),"")</f>
        <v/>
      </c>
    </row>
    <row r="496">
      <c r="K496">
        <f>IF(J496="v4.0",L496,IF(J496="v3.1",M496,IF(J496="Both",L496,IF(AND(L496&lt;&gt;"",M496=""),L496,M496))))</f>
        <v/>
      </c>
      <c r="Z496">
        <f>IF(Y496&lt;&gt;"",TODAY()-Y496,"")</f>
        <v/>
      </c>
      <c r="AC496">
        <f>IF(AND(AA496&lt;&gt;"",AB496&lt;&gt;""),CHOOSE(MATCH(AA496,{"Low","Medium","High","Critical"},0),25,50,75,100)-CHOOSE(MATCH(AB496,{"Low","Medium","High","Critical"},0),25,50,75,100),"")</f>
        <v/>
      </c>
      <c r="AG496">
        <f>IF(AF496&lt;&gt;"",IF(AH496="Weekly",AF496+7,IF(AH496="Monthly",EDATE(AF496,1),IF(AH496="Quarterly",EDATE(AF496,3),""))),"")</f>
        <v/>
      </c>
      <c r="AK496">
        <f>IF(AJ496&lt;&gt;"",IF(AI496="Monthly",EDATE(AJ496,1),IF(AI496="Quarterly",EDATE(AJ496,3),IF(AI496="Semi-Annual",EDATE(AJ496,6),""))),"")</f>
        <v/>
      </c>
      <c r="AL496">
        <f>IF(AK496&lt;&gt;"",IF(AK496&lt;TODAY(),"Overdue","Current"),"")</f>
        <v/>
      </c>
    </row>
    <row r="497">
      <c r="K497">
        <f>IF(J497="v4.0",L497,IF(J497="v3.1",M497,IF(J497="Both",L497,IF(AND(L497&lt;&gt;"",M497=""),L497,M497))))</f>
        <v/>
      </c>
      <c r="Z497">
        <f>IF(Y497&lt;&gt;"",TODAY()-Y497,"")</f>
        <v/>
      </c>
      <c r="AC497">
        <f>IF(AND(AA497&lt;&gt;"",AB497&lt;&gt;""),CHOOSE(MATCH(AA497,{"Low","Medium","High","Critical"},0),25,50,75,100)-CHOOSE(MATCH(AB497,{"Low","Medium","High","Critical"},0),25,50,75,100),"")</f>
        <v/>
      </c>
      <c r="AG497">
        <f>IF(AF497&lt;&gt;"",IF(AH497="Weekly",AF497+7,IF(AH497="Monthly",EDATE(AF497,1),IF(AH497="Quarterly",EDATE(AF497,3),""))),"")</f>
        <v/>
      </c>
      <c r="AK497">
        <f>IF(AJ497&lt;&gt;"",IF(AI497="Monthly",EDATE(AJ497,1),IF(AI497="Quarterly",EDATE(AJ497,3),IF(AI497="Semi-Annual",EDATE(AJ497,6),""))),"")</f>
        <v/>
      </c>
      <c r="AL497">
        <f>IF(AK497&lt;&gt;"",IF(AK497&lt;TODAY(),"Overdue","Current"),"")</f>
        <v/>
      </c>
    </row>
    <row r="498">
      <c r="K498">
        <f>IF(J498="v4.0",L498,IF(J498="v3.1",M498,IF(J498="Both",L498,IF(AND(L498&lt;&gt;"",M498=""),L498,M498))))</f>
        <v/>
      </c>
      <c r="Z498">
        <f>IF(Y498&lt;&gt;"",TODAY()-Y498,"")</f>
        <v/>
      </c>
      <c r="AC498">
        <f>IF(AND(AA498&lt;&gt;"",AB498&lt;&gt;""),CHOOSE(MATCH(AA498,{"Low","Medium","High","Critical"},0),25,50,75,100)-CHOOSE(MATCH(AB498,{"Low","Medium","High","Critical"},0),25,50,75,100),"")</f>
        <v/>
      </c>
      <c r="AG498">
        <f>IF(AF498&lt;&gt;"",IF(AH498="Weekly",AF498+7,IF(AH498="Monthly",EDATE(AF498,1),IF(AH498="Quarterly",EDATE(AF498,3),""))),"")</f>
        <v/>
      </c>
      <c r="AK498">
        <f>IF(AJ498&lt;&gt;"",IF(AI498="Monthly",EDATE(AJ498,1),IF(AI498="Quarterly",EDATE(AJ498,3),IF(AI498="Semi-Annual",EDATE(AJ498,6),""))),"")</f>
        <v/>
      </c>
      <c r="AL498">
        <f>IF(AK498&lt;&gt;"",IF(AK498&lt;TODAY(),"Overdue","Current"),"")</f>
        <v/>
      </c>
    </row>
    <row r="499">
      <c r="K499">
        <f>IF(J499="v4.0",L499,IF(J499="v3.1",M499,IF(J499="Both",L499,IF(AND(L499&lt;&gt;"",M499=""),L499,M499))))</f>
        <v/>
      </c>
      <c r="Z499">
        <f>IF(Y499&lt;&gt;"",TODAY()-Y499,"")</f>
        <v/>
      </c>
      <c r="AC499">
        <f>IF(AND(AA499&lt;&gt;"",AB499&lt;&gt;""),CHOOSE(MATCH(AA499,{"Low","Medium","High","Critical"},0),25,50,75,100)-CHOOSE(MATCH(AB499,{"Low","Medium","High","Critical"},0),25,50,75,100),"")</f>
        <v/>
      </c>
      <c r="AG499">
        <f>IF(AF499&lt;&gt;"",IF(AH499="Weekly",AF499+7,IF(AH499="Monthly",EDATE(AF499,1),IF(AH499="Quarterly",EDATE(AF499,3),""))),"")</f>
        <v/>
      </c>
      <c r="AK499">
        <f>IF(AJ499&lt;&gt;"",IF(AI499="Monthly",EDATE(AJ499,1),IF(AI499="Quarterly",EDATE(AJ499,3),IF(AI499="Semi-Annual",EDATE(AJ499,6),""))),"")</f>
        <v/>
      </c>
      <c r="AL499">
        <f>IF(AK499&lt;&gt;"",IF(AK499&lt;TODAY(),"Overdue","Current"),"")</f>
        <v/>
      </c>
    </row>
    <row r="500">
      <c r="K500">
        <f>IF(J500="v4.0",L500,IF(J500="v3.1",M500,IF(J500="Both",L500,IF(AND(L500&lt;&gt;"",M500=""),L500,M500))))</f>
        <v/>
      </c>
      <c r="Z500">
        <f>IF(Y500&lt;&gt;"",TODAY()-Y500,"")</f>
        <v/>
      </c>
      <c r="AC500">
        <f>IF(AND(AA500&lt;&gt;"",AB500&lt;&gt;""),CHOOSE(MATCH(AA500,{"Low","Medium","High","Critical"},0),25,50,75,100)-CHOOSE(MATCH(AB500,{"Low","Medium","High","Critical"},0),25,50,75,100),"")</f>
        <v/>
      </c>
      <c r="AG500">
        <f>IF(AF500&lt;&gt;"",IF(AH500="Weekly",AF500+7,IF(AH500="Monthly",EDATE(AF500,1),IF(AH500="Quarterly",EDATE(AF500,3),""))),"")</f>
        <v/>
      </c>
      <c r="AK500">
        <f>IF(AJ500&lt;&gt;"",IF(AI500="Monthly",EDATE(AJ500,1),IF(AI500="Quarterly",EDATE(AJ500,3),IF(AI500="Semi-Annual",EDATE(AJ500,6),""))),"")</f>
        <v/>
      </c>
      <c r="AL500">
        <f>IF(AK500&lt;&gt;"",IF(AK500&lt;TODAY(),"Overdue","Current"),"")</f>
        <v/>
      </c>
    </row>
    <row r="501">
      <c r="K501">
        <f>IF(J501="v4.0",L501,IF(J501="v3.1",M501,IF(J501="Both",L501,IF(AND(L501&lt;&gt;"",M501=""),L501,M501))))</f>
        <v/>
      </c>
      <c r="Z501">
        <f>IF(Y501&lt;&gt;"",TODAY()-Y501,"")</f>
        <v/>
      </c>
      <c r="AC501">
        <f>IF(AND(AA501&lt;&gt;"",AB501&lt;&gt;""),CHOOSE(MATCH(AA501,{"Low","Medium","High","Critical"},0),25,50,75,100)-CHOOSE(MATCH(AB501,{"Low","Medium","High","Critical"},0),25,50,75,100),"")</f>
        <v/>
      </c>
      <c r="AG501">
        <f>IF(AF501&lt;&gt;"",IF(AH501="Weekly",AF501+7,IF(AH501="Monthly",EDATE(AF501,1),IF(AH501="Quarterly",EDATE(AF501,3),""))),"")</f>
        <v/>
      </c>
      <c r="AK501">
        <f>IF(AJ501&lt;&gt;"",IF(AI501="Monthly",EDATE(AJ501,1),IF(AI501="Quarterly",EDATE(AJ501,3),IF(AI501="Semi-Annual",EDATE(AJ501,6),""))),"")</f>
        <v/>
      </c>
      <c r="AL501">
        <f>IF(AK501&lt;&gt;"",IF(AK501&lt;TODAY(),"Overdue","Current"),"")</f>
        <v/>
      </c>
    </row>
    <row r="502">
      <c r="K502">
        <f>IF(J502="v4.0",L502,IF(J502="v3.1",M502,IF(J502="Both",L502,IF(AND(L502&lt;&gt;"",M502=""),L502,M502))))</f>
        <v/>
      </c>
      <c r="Z502">
        <f>IF(Y502&lt;&gt;"",TODAY()-Y502,"")</f>
        <v/>
      </c>
      <c r="AC502">
        <f>IF(AND(AA502&lt;&gt;"",AB502&lt;&gt;""),CHOOSE(MATCH(AA502,{"Low","Medium","High","Critical"},0),25,50,75,100)-CHOOSE(MATCH(AB502,{"Low","Medium","High","Critical"},0),25,50,75,100),"")</f>
        <v/>
      </c>
      <c r="AG502">
        <f>IF(AF502&lt;&gt;"",IF(AH502="Weekly",AF502+7,IF(AH502="Monthly",EDATE(AF502,1),IF(AH502="Quarterly",EDATE(AF502,3),""))),"")</f>
        <v/>
      </c>
      <c r="AK502">
        <f>IF(AJ502&lt;&gt;"",IF(AI502="Monthly",EDATE(AJ502,1),IF(AI502="Quarterly",EDATE(AJ502,3),IF(AI502="Semi-Annual",EDATE(AJ502,6),""))),"")</f>
        <v/>
      </c>
      <c r="AL502">
        <f>IF(AK502&lt;&gt;"",IF(AK502&lt;TODAY(),"Overdue","Current"),"")</f>
        <v/>
      </c>
    </row>
    <row r="503">
      <c r="K503">
        <f>IF(J503="v4.0",L503,IF(J503="v3.1",M503,IF(J503="Both",L503,IF(AND(L503&lt;&gt;"",M503=""),L503,M503))))</f>
        <v/>
      </c>
      <c r="Z503">
        <f>IF(Y503&lt;&gt;"",TODAY()-Y503,"")</f>
        <v/>
      </c>
      <c r="AC503">
        <f>IF(AND(AA503&lt;&gt;"",AB503&lt;&gt;""),CHOOSE(MATCH(AA503,{"Low","Medium","High","Critical"},0),25,50,75,100)-CHOOSE(MATCH(AB503,{"Low","Medium","High","Critical"},0),25,50,75,100),"")</f>
        <v/>
      </c>
      <c r="AG503">
        <f>IF(AF503&lt;&gt;"",IF(AH503="Weekly",AF503+7,IF(AH503="Monthly",EDATE(AF503,1),IF(AH503="Quarterly",EDATE(AF503,3),""))),"")</f>
        <v/>
      </c>
      <c r="AK503">
        <f>IF(AJ503&lt;&gt;"",IF(AI503="Monthly",EDATE(AJ503,1),IF(AI503="Quarterly",EDATE(AJ503,3),IF(AI503="Semi-Annual",EDATE(AJ503,6),""))),"")</f>
        <v/>
      </c>
      <c r="AL503">
        <f>IF(AK503&lt;&gt;"",IF(AK503&lt;TODAY(),"Overdue","Current"),"")</f>
        <v/>
      </c>
    </row>
    <row r="504">
      <c r="K504">
        <f>IF(J504="v4.0",L504,IF(J504="v3.1",M504,IF(J504="Both",L504,IF(AND(L504&lt;&gt;"",M504=""),L504,M504))))</f>
        <v/>
      </c>
      <c r="Z504">
        <f>IF(Y504&lt;&gt;"",TODAY()-Y504,"")</f>
        <v/>
      </c>
      <c r="AC504">
        <f>IF(AND(AA504&lt;&gt;"",AB504&lt;&gt;""),CHOOSE(MATCH(AA504,{"Low","Medium","High","Critical"},0),25,50,75,100)-CHOOSE(MATCH(AB504,{"Low","Medium","High","Critical"},0),25,50,75,100),"")</f>
        <v/>
      </c>
      <c r="AG504">
        <f>IF(AF504&lt;&gt;"",IF(AH504="Weekly",AF504+7,IF(AH504="Monthly",EDATE(AF504,1),IF(AH504="Quarterly",EDATE(AF504,3),""))),"")</f>
        <v/>
      </c>
      <c r="AK504">
        <f>IF(AJ504&lt;&gt;"",IF(AI504="Monthly",EDATE(AJ504,1),IF(AI504="Quarterly",EDATE(AJ504,3),IF(AI504="Semi-Annual",EDATE(AJ504,6),""))),"")</f>
        <v/>
      </c>
      <c r="AL504">
        <f>IF(AK504&lt;&gt;"",IF(AK504&lt;TODAY(),"Overdue","Current"),"")</f>
        <v/>
      </c>
    </row>
    <row r="505">
      <c r="K505">
        <f>IF(J505="v4.0",L505,IF(J505="v3.1",M505,IF(J505="Both",L505,IF(AND(L505&lt;&gt;"",M505=""),L505,M505))))</f>
        <v/>
      </c>
      <c r="Z505">
        <f>IF(Y505&lt;&gt;"",TODAY()-Y505,"")</f>
        <v/>
      </c>
      <c r="AC505">
        <f>IF(AND(AA505&lt;&gt;"",AB505&lt;&gt;""),CHOOSE(MATCH(AA505,{"Low","Medium","High","Critical"},0),25,50,75,100)-CHOOSE(MATCH(AB505,{"Low","Medium","High","Critical"},0),25,50,75,100),"")</f>
        <v/>
      </c>
      <c r="AG505">
        <f>IF(AF505&lt;&gt;"",IF(AH505="Weekly",AF505+7,IF(AH505="Monthly",EDATE(AF505,1),IF(AH505="Quarterly",EDATE(AF505,3),""))),"")</f>
        <v/>
      </c>
      <c r="AK505">
        <f>IF(AJ505&lt;&gt;"",IF(AI505="Monthly",EDATE(AJ505,1),IF(AI505="Quarterly",EDATE(AJ505,3),IF(AI505="Semi-Annual",EDATE(AJ505,6),""))),"")</f>
        <v/>
      </c>
      <c r="AL505">
        <f>IF(AK505&lt;&gt;"",IF(AK505&lt;TODAY(),"Overdue","Current"),"")</f>
        <v/>
      </c>
    </row>
    <row r="506">
      <c r="K506">
        <f>IF(J506="v4.0",L506,IF(J506="v3.1",M506,IF(J506="Both",L506,IF(AND(L506&lt;&gt;"",M506=""),L506,M506))))</f>
        <v/>
      </c>
      <c r="Z506">
        <f>IF(Y506&lt;&gt;"",TODAY()-Y506,"")</f>
        <v/>
      </c>
      <c r="AC506">
        <f>IF(AND(AA506&lt;&gt;"",AB506&lt;&gt;""),CHOOSE(MATCH(AA506,{"Low","Medium","High","Critical"},0),25,50,75,100)-CHOOSE(MATCH(AB506,{"Low","Medium","High","Critical"},0),25,50,75,100),"")</f>
        <v/>
      </c>
      <c r="AG506">
        <f>IF(AF506&lt;&gt;"",IF(AH506="Weekly",AF506+7,IF(AH506="Monthly",EDATE(AF506,1),IF(AH506="Quarterly",EDATE(AF506,3),""))),"")</f>
        <v/>
      </c>
      <c r="AK506">
        <f>IF(AJ506&lt;&gt;"",IF(AI506="Monthly",EDATE(AJ506,1),IF(AI506="Quarterly",EDATE(AJ506,3),IF(AI506="Semi-Annual",EDATE(AJ506,6),""))),"")</f>
        <v/>
      </c>
      <c r="AL506">
        <f>IF(AK506&lt;&gt;"",IF(AK506&lt;TODAY(),"Overdue","Current"),"")</f>
        <v/>
      </c>
    </row>
    <row r="507">
      <c r="K507">
        <f>IF(J507="v4.0",L507,IF(J507="v3.1",M507,IF(J507="Both",L507,IF(AND(L507&lt;&gt;"",M507=""),L507,M507))))</f>
        <v/>
      </c>
      <c r="Z507">
        <f>IF(Y507&lt;&gt;"",TODAY()-Y507,"")</f>
        <v/>
      </c>
      <c r="AC507">
        <f>IF(AND(AA507&lt;&gt;"",AB507&lt;&gt;""),CHOOSE(MATCH(AA507,{"Low","Medium","High","Critical"},0),25,50,75,100)-CHOOSE(MATCH(AB507,{"Low","Medium","High","Critical"},0),25,50,75,100),"")</f>
        <v/>
      </c>
      <c r="AG507">
        <f>IF(AF507&lt;&gt;"",IF(AH507="Weekly",AF507+7,IF(AH507="Monthly",EDATE(AF507,1),IF(AH507="Quarterly",EDATE(AF507,3),""))),"")</f>
        <v/>
      </c>
      <c r="AK507">
        <f>IF(AJ507&lt;&gt;"",IF(AI507="Monthly",EDATE(AJ507,1),IF(AI507="Quarterly",EDATE(AJ507,3),IF(AI507="Semi-Annual",EDATE(AJ507,6),""))),"")</f>
        <v/>
      </c>
      <c r="AL507">
        <f>IF(AK507&lt;&gt;"",IF(AK507&lt;TODAY(),"Overdue","Current"),"")</f>
        <v/>
      </c>
    </row>
    <row r="508">
      <c r="K508">
        <f>IF(J508="v4.0",L508,IF(J508="v3.1",M508,IF(J508="Both",L508,IF(AND(L508&lt;&gt;"",M508=""),L508,M508))))</f>
        <v/>
      </c>
      <c r="Z508">
        <f>IF(Y508&lt;&gt;"",TODAY()-Y508,"")</f>
        <v/>
      </c>
      <c r="AC508">
        <f>IF(AND(AA508&lt;&gt;"",AB508&lt;&gt;""),CHOOSE(MATCH(AA508,{"Low","Medium","High","Critical"},0),25,50,75,100)-CHOOSE(MATCH(AB508,{"Low","Medium","High","Critical"},0),25,50,75,100),"")</f>
        <v/>
      </c>
      <c r="AG508">
        <f>IF(AF508&lt;&gt;"",IF(AH508="Weekly",AF508+7,IF(AH508="Monthly",EDATE(AF508,1),IF(AH508="Quarterly",EDATE(AF508,3),""))),"")</f>
        <v/>
      </c>
      <c r="AK508">
        <f>IF(AJ508&lt;&gt;"",IF(AI508="Monthly",EDATE(AJ508,1),IF(AI508="Quarterly",EDATE(AJ508,3),IF(AI508="Semi-Annual",EDATE(AJ508,6),""))),"")</f>
        <v/>
      </c>
      <c r="AL508">
        <f>IF(AK508&lt;&gt;"",IF(AK508&lt;TODAY(),"Overdue","Current"),"")</f>
        <v/>
      </c>
    </row>
    <row r="509">
      <c r="K509">
        <f>IF(J509="v4.0",L509,IF(J509="v3.1",M509,IF(J509="Both",L509,IF(AND(L509&lt;&gt;"",M509=""),L509,M509))))</f>
        <v/>
      </c>
      <c r="Z509">
        <f>IF(Y509&lt;&gt;"",TODAY()-Y509,"")</f>
        <v/>
      </c>
      <c r="AC509">
        <f>IF(AND(AA509&lt;&gt;"",AB509&lt;&gt;""),CHOOSE(MATCH(AA509,{"Low","Medium","High","Critical"},0),25,50,75,100)-CHOOSE(MATCH(AB509,{"Low","Medium","High","Critical"},0),25,50,75,100),"")</f>
        <v/>
      </c>
      <c r="AG509">
        <f>IF(AF509&lt;&gt;"",IF(AH509="Weekly",AF509+7,IF(AH509="Monthly",EDATE(AF509,1),IF(AH509="Quarterly",EDATE(AF509,3),""))),"")</f>
        <v/>
      </c>
      <c r="AK509">
        <f>IF(AJ509&lt;&gt;"",IF(AI509="Monthly",EDATE(AJ509,1),IF(AI509="Quarterly",EDATE(AJ509,3),IF(AI509="Semi-Annual",EDATE(AJ509,6),""))),"")</f>
        <v/>
      </c>
      <c r="AL509">
        <f>IF(AK509&lt;&gt;"",IF(AK509&lt;TODAY(),"Overdue","Current"),"")</f>
        <v/>
      </c>
    </row>
    <row r="510">
      <c r="K510">
        <f>IF(J510="v4.0",L510,IF(J510="v3.1",M510,IF(J510="Both",L510,IF(AND(L510&lt;&gt;"",M510=""),L510,M510))))</f>
        <v/>
      </c>
      <c r="Z510">
        <f>IF(Y510&lt;&gt;"",TODAY()-Y510,"")</f>
        <v/>
      </c>
      <c r="AC510">
        <f>IF(AND(AA510&lt;&gt;"",AB510&lt;&gt;""),CHOOSE(MATCH(AA510,{"Low","Medium","High","Critical"},0),25,50,75,100)-CHOOSE(MATCH(AB510,{"Low","Medium","High","Critical"},0),25,50,75,100),"")</f>
        <v/>
      </c>
      <c r="AG510">
        <f>IF(AF510&lt;&gt;"",IF(AH510="Weekly",AF510+7,IF(AH510="Monthly",EDATE(AF510,1),IF(AH510="Quarterly",EDATE(AF510,3),""))),"")</f>
        <v/>
      </c>
      <c r="AK510">
        <f>IF(AJ510&lt;&gt;"",IF(AI510="Monthly",EDATE(AJ510,1),IF(AI510="Quarterly",EDATE(AJ510,3),IF(AI510="Semi-Annual",EDATE(AJ510,6),""))),"")</f>
        <v/>
      </c>
      <c r="AL510">
        <f>IF(AK510&lt;&gt;"",IF(AK510&lt;TODAY(),"Overdue","Current"),"")</f>
        <v/>
      </c>
    </row>
    <row r="511">
      <c r="K511">
        <f>IF(J511="v4.0",L511,IF(J511="v3.1",M511,IF(J511="Both",L511,IF(AND(L511&lt;&gt;"",M511=""),L511,M511))))</f>
        <v/>
      </c>
      <c r="Z511">
        <f>IF(Y511&lt;&gt;"",TODAY()-Y511,"")</f>
        <v/>
      </c>
      <c r="AC511">
        <f>IF(AND(AA511&lt;&gt;"",AB511&lt;&gt;""),CHOOSE(MATCH(AA511,{"Low","Medium","High","Critical"},0),25,50,75,100)-CHOOSE(MATCH(AB511,{"Low","Medium","High","Critical"},0),25,50,75,100),"")</f>
        <v/>
      </c>
      <c r="AG511">
        <f>IF(AF511&lt;&gt;"",IF(AH511="Weekly",AF511+7,IF(AH511="Monthly",EDATE(AF511,1),IF(AH511="Quarterly",EDATE(AF511,3),""))),"")</f>
        <v/>
      </c>
      <c r="AK511">
        <f>IF(AJ511&lt;&gt;"",IF(AI511="Monthly",EDATE(AJ511,1),IF(AI511="Quarterly",EDATE(AJ511,3),IF(AI511="Semi-Annual",EDATE(AJ511,6),""))),"")</f>
        <v/>
      </c>
      <c r="AL511">
        <f>IF(AK511&lt;&gt;"",IF(AK511&lt;TODAY(),"Overdue","Current"),"")</f>
        <v/>
      </c>
    </row>
    <row r="512">
      <c r="K512">
        <f>IF(J512="v4.0",L512,IF(J512="v3.1",M512,IF(J512="Both",L512,IF(AND(L512&lt;&gt;"",M512=""),L512,M512))))</f>
        <v/>
      </c>
      <c r="Z512">
        <f>IF(Y512&lt;&gt;"",TODAY()-Y512,"")</f>
        <v/>
      </c>
      <c r="AC512">
        <f>IF(AND(AA512&lt;&gt;"",AB512&lt;&gt;""),CHOOSE(MATCH(AA512,{"Low","Medium","High","Critical"},0),25,50,75,100)-CHOOSE(MATCH(AB512,{"Low","Medium","High","Critical"},0),25,50,75,100),"")</f>
        <v/>
      </c>
      <c r="AG512">
        <f>IF(AF512&lt;&gt;"",IF(AH512="Weekly",AF512+7,IF(AH512="Monthly",EDATE(AF512,1),IF(AH512="Quarterly",EDATE(AF512,3),""))),"")</f>
        <v/>
      </c>
      <c r="AK512">
        <f>IF(AJ512&lt;&gt;"",IF(AI512="Monthly",EDATE(AJ512,1),IF(AI512="Quarterly",EDATE(AJ512,3),IF(AI512="Semi-Annual",EDATE(AJ512,6),""))),"")</f>
        <v/>
      </c>
      <c r="AL512">
        <f>IF(AK512&lt;&gt;"",IF(AK512&lt;TODAY(),"Overdue","Current"),"")</f>
        <v/>
      </c>
    </row>
    <row r="513">
      <c r="K513">
        <f>IF(J513="v4.0",L513,IF(J513="v3.1",M513,IF(J513="Both",L513,IF(AND(L513&lt;&gt;"",M513=""),L513,M513))))</f>
        <v/>
      </c>
      <c r="Z513">
        <f>IF(Y513&lt;&gt;"",TODAY()-Y513,"")</f>
        <v/>
      </c>
      <c r="AC513">
        <f>IF(AND(AA513&lt;&gt;"",AB513&lt;&gt;""),CHOOSE(MATCH(AA513,{"Low","Medium","High","Critical"},0),25,50,75,100)-CHOOSE(MATCH(AB513,{"Low","Medium","High","Critical"},0),25,50,75,100),"")</f>
        <v/>
      </c>
      <c r="AG513">
        <f>IF(AF513&lt;&gt;"",IF(AH513="Weekly",AF513+7,IF(AH513="Monthly",EDATE(AF513,1),IF(AH513="Quarterly",EDATE(AF513,3),""))),"")</f>
        <v/>
      </c>
      <c r="AK513">
        <f>IF(AJ513&lt;&gt;"",IF(AI513="Monthly",EDATE(AJ513,1),IF(AI513="Quarterly",EDATE(AJ513,3),IF(AI513="Semi-Annual",EDATE(AJ513,6),""))),"")</f>
        <v/>
      </c>
      <c r="AL513">
        <f>IF(AK513&lt;&gt;"",IF(AK513&lt;TODAY(),"Overdue","Current"),"")</f>
        <v/>
      </c>
    </row>
    <row r="514">
      <c r="K514">
        <f>IF(J514="v4.0",L514,IF(J514="v3.1",M514,IF(J514="Both",L514,IF(AND(L514&lt;&gt;"",M514=""),L514,M514))))</f>
        <v/>
      </c>
      <c r="Z514">
        <f>IF(Y514&lt;&gt;"",TODAY()-Y514,"")</f>
        <v/>
      </c>
      <c r="AC514">
        <f>IF(AND(AA514&lt;&gt;"",AB514&lt;&gt;""),CHOOSE(MATCH(AA514,{"Low","Medium","High","Critical"},0),25,50,75,100)-CHOOSE(MATCH(AB514,{"Low","Medium","High","Critical"},0),25,50,75,100),"")</f>
        <v/>
      </c>
      <c r="AG514">
        <f>IF(AF514&lt;&gt;"",IF(AH514="Weekly",AF514+7,IF(AH514="Monthly",EDATE(AF514,1),IF(AH514="Quarterly",EDATE(AF514,3),""))),"")</f>
        <v/>
      </c>
      <c r="AK514">
        <f>IF(AJ514&lt;&gt;"",IF(AI514="Monthly",EDATE(AJ514,1),IF(AI514="Quarterly",EDATE(AJ514,3),IF(AI514="Semi-Annual",EDATE(AJ514,6),""))),"")</f>
        <v/>
      </c>
      <c r="AL514">
        <f>IF(AK514&lt;&gt;"",IF(AK514&lt;TODAY(),"Overdue","Current"),"")</f>
        <v/>
      </c>
    </row>
    <row r="515">
      <c r="K515">
        <f>IF(J515="v4.0",L515,IF(J515="v3.1",M515,IF(J515="Both",L515,IF(AND(L515&lt;&gt;"",M515=""),L515,M515))))</f>
        <v/>
      </c>
      <c r="Z515">
        <f>IF(Y515&lt;&gt;"",TODAY()-Y515,"")</f>
        <v/>
      </c>
      <c r="AC515">
        <f>IF(AND(AA515&lt;&gt;"",AB515&lt;&gt;""),CHOOSE(MATCH(AA515,{"Low","Medium","High","Critical"},0),25,50,75,100)-CHOOSE(MATCH(AB515,{"Low","Medium","High","Critical"},0),25,50,75,100),"")</f>
        <v/>
      </c>
      <c r="AG515">
        <f>IF(AF515&lt;&gt;"",IF(AH515="Weekly",AF515+7,IF(AH515="Monthly",EDATE(AF515,1),IF(AH515="Quarterly",EDATE(AF515,3),""))),"")</f>
        <v/>
      </c>
      <c r="AK515">
        <f>IF(AJ515&lt;&gt;"",IF(AI515="Monthly",EDATE(AJ515,1),IF(AI515="Quarterly",EDATE(AJ515,3),IF(AI515="Semi-Annual",EDATE(AJ515,6),""))),"")</f>
        <v/>
      </c>
      <c r="AL515">
        <f>IF(AK515&lt;&gt;"",IF(AK515&lt;TODAY(),"Overdue","Current"),"")</f>
        <v/>
      </c>
    </row>
    <row r="516">
      <c r="K516">
        <f>IF(J516="v4.0",L516,IF(J516="v3.1",M516,IF(J516="Both",L516,IF(AND(L516&lt;&gt;"",M516=""),L516,M516))))</f>
        <v/>
      </c>
      <c r="Z516">
        <f>IF(Y516&lt;&gt;"",TODAY()-Y516,"")</f>
        <v/>
      </c>
      <c r="AC516">
        <f>IF(AND(AA516&lt;&gt;"",AB516&lt;&gt;""),CHOOSE(MATCH(AA516,{"Low","Medium","High","Critical"},0),25,50,75,100)-CHOOSE(MATCH(AB516,{"Low","Medium","High","Critical"},0),25,50,75,100),"")</f>
        <v/>
      </c>
      <c r="AG516">
        <f>IF(AF516&lt;&gt;"",IF(AH516="Weekly",AF516+7,IF(AH516="Monthly",EDATE(AF516,1),IF(AH516="Quarterly",EDATE(AF516,3),""))),"")</f>
        <v/>
      </c>
      <c r="AK516">
        <f>IF(AJ516&lt;&gt;"",IF(AI516="Monthly",EDATE(AJ516,1),IF(AI516="Quarterly",EDATE(AJ516,3),IF(AI516="Semi-Annual",EDATE(AJ516,6),""))),"")</f>
        <v/>
      </c>
      <c r="AL516">
        <f>IF(AK516&lt;&gt;"",IF(AK516&lt;TODAY(),"Overdue","Current"),"")</f>
        <v/>
      </c>
    </row>
    <row r="517">
      <c r="K517">
        <f>IF(J517="v4.0",L517,IF(J517="v3.1",M517,IF(J517="Both",L517,IF(AND(L517&lt;&gt;"",M517=""),L517,M517))))</f>
        <v/>
      </c>
      <c r="Z517">
        <f>IF(Y517&lt;&gt;"",TODAY()-Y517,"")</f>
        <v/>
      </c>
      <c r="AC517">
        <f>IF(AND(AA517&lt;&gt;"",AB517&lt;&gt;""),CHOOSE(MATCH(AA517,{"Low","Medium","High","Critical"},0),25,50,75,100)-CHOOSE(MATCH(AB517,{"Low","Medium","High","Critical"},0),25,50,75,100),"")</f>
        <v/>
      </c>
      <c r="AG517">
        <f>IF(AF517&lt;&gt;"",IF(AH517="Weekly",AF517+7,IF(AH517="Monthly",EDATE(AF517,1),IF(AH517="Quarterly",EDATE(AF517,3),""))),"")</f>
        <v/>
      </c>
      <c r="AK517">
        <f>IF(AJ517&lt;&gt;"",IF(AI517="Monthly",EDATE(AJ517,1),IF(AI517="Quarterly",EDATE(AJ517,3),IF(AI517="Semi-Annual",EDATE(AJ517,6),""))),"")</f>
        <v/>
      </c>
      <c r="AL517">
        <f>IF(AK517&lt;&gt;"",IF(AK517&lt;TODAY(),"Overdue","Current"),"")</f>
        <v/>
      </c>
    </row>
    <row r="518">
      <c r="K518">
        <f>IF(J518="v4.0",L518,IF(J518="v3.1",M518,IF(J518="Both",L518,IF(AND(L518&lt;&gt;"",M518=""),L518,M518))))</f>
        <v/>
      </c>
      <c r="Z518">
        <f>IF(Y518&lt;&gt;"",TODAY()-Y518,"")</f>
        <v/>
      </c>
      <c r="AC518">
        <f>IF(AND(AA518&lt;&gt;"",AB518&lt;&gt;""),CHOOSE(MATCH(AA518,{"Low","Medium","High","Critical"},0),25,50,75,100)-CHOOSE(MATCH(AB518,{"Low","Medium","High","Critical"},0),25,50,75,100),"")</f>
        <v/>
      </c>
      <c r="AG518">
        <f>IF(AF518&lt;&gt;"",IF(AH518="Weekly",AF518+7,IF(AH518="Monthly",EDATE(AF518,1),IF(AH518="Quarterly",EDATE(AF518,3),""))),"")</f>
        <v/>
      </c>
      <c r="AK518">
        <f>IF(AJ518&lt;&gt;"",IF(AI518="Monthly",EDATE(AJ518,1),IF(AI518="Quarterly",EDATE(AJ518,3),IF(AI518="Semi-Annual",EDATE(AJ518,6),""))),"")</f>
        <v/>
      </c>
      <c r="AL518">
        <f>IF(AK518&lt;&gt;"",IF(AK518&lt;TODAY(),"Overdue","Current"),"")</f>
        <v/>
      </c>
    </row>
    <row r="519">
      <c r="K519">
        <f>IF(J519="v4.0",L519,IF(J519="v3.1",M519,IF(J519="Both",L519,IF(AND(L519&lt;&gt;"",M519=""),L519,M519))))</f>
        <v/>
      </c>
      <c r="Z519">
        <f>IF(Y519&lt;&gt;"",TODAY()-Y519,"")</f>
        <v/>
      </c>
      <c r="AC519">
        <f>IF(AND(AA519&lt;&gt;"",AB519&lt;&gt;""),CHOOSE(MATCH(AA519,{"Low","Medium","High","Critical"},0),25,50,75,100)-CHOOSE(MATCH(AB519,{"Low","Medium","High","Critical"},0),25,50,75,100),"")</f>
        <v/>
      </c>
      <c r="AG519">
        <f>IF(AF519&lt;&gt;"",IF(AH519="Weekly",AF519+7,IF(AH519="Monthly",EDATE(AF519,1),IF(AH519="Quarterly",EDATE(AF519,3),""))),"")</f>
        <v/>
      </c>
      <c r="AK519">
        <f>IF(AJ519&lt;&gt;"",IF(AI519="Monthly",EDATE(AJ519,1),IF(AI519="Quarterly",EDATE(AJ519,3),IF(AI519="Semi-Annual",EDATE(AJ519,6),""))),"")</f>
        <v/>
      </c>
      <c r="AL519">
        <f>IF(AK519&lt;&gt;"",IF(AK519&lt;TODAY(),"Overdue","Current"),"")</f>
        <v/>
      </c>
    </row>
    <row r="520">
      <c r="K520">
        <f>IF(J520="v4.0",L520,IF(J520="v3.1",M520,IF(J520="Both",L520,IF(AND(L520&lt;&gt;"",M520=""),L520,M520))))</f>
        <v/>
      </c>
      <c r="Z520">
        <f>IF(Y520&lt;&gt;"",TODAY()-Y520,"")</f>
        <v/>
      </c>
      <c r="AC520">
        <f>IF(AND(AA520&lt;&gt;"",AB520&lt;&gt;""),CHOOSE(MATCH(AA520,{"Low","Medium","High","Critical"},0),25,50,75,100)-CHOOSE(MATCH(AB520,{"Low","Medium","High","Critical"},0),25,50,75,100),"")</f>
        <v/>
      </c>
      <c r="AG520">
        <f>IF(AF520&lt;&gt;"",IF(AH520="Weekly",AF520+7,IF(AH520="Monthly",EDATE(AF520,1),IF(AH520="Quarterly",EDATE(AF520,3),""))),"")</f>
        <v/>
      </c>
      <c r="AK520">
        <f>IF(AJ520&lt;&gt;"",IF(AI520="Monthly",EDATE(AJ520,1),IF(AI520="Quarterly",EDATE(AJ520,3),IF(AI520="Semi-Annual",EDATE(AJ520,6),""))),"")</f>
        <v/>
      </c>
      <c r="AL520">
        <f>IF(AK520&lt;&gt;"",IF(AK520&lt;TODAY(),"Overdue","Current"),"")</f>
        <v/>
      </c>
    </row>
    <row r="521">
      <c r="K521">
        <f>IF(J521="v4.0",L521,IF(J521="v3.1",M521,IF(J521="Both",L521,IF(AND(L521&lt;&gt;"",M521=""),L521,M521))))</f>
        <v/>
      </c>
      <c r="Z521">
        <f>IF(Y521&lt;&gt;"",TODAY()-Y521,"")</f>
        <v/>
      </c>
      <c r="AC521">
        <f>IF(AND(AA521&lt;&gt;"",AB521&lt;&gt;""),CHOOSE(MATCH(AA521,{"Low","Medium","High","Critical"},0),25,50,75,100)-CHOOSE(MATCH(AB521,{"Low","Medium","High","Critical"},0),25,50,75,100),"")</f>
        <v/>
      </c>
      <c r="AG521">
        <f>IF(AF521&lt;&gt;"",IF(AH521="Weekly",AF521+7,IF(AH521="Monthly",EDATE(AF521,1),IF(AH521="Quarterly",EDATE(AF521,3),""))),"")</f>
        <v/>
      </c>
      <c r="AK521">
        <f>IF(AJ521&lt;&gt;"",IF(AI521="Monthly",EDATE(AJ521,1),IF(AI521="Quarterly",EDATE(AJ521,3),IF(AI521="Semi-Annual",EDATE(AJ521,6),""))),"")</f>
        <v/>
      </c>
      <c r="AL521">
        <f>IF(AK521&lt;&gt;"",IF(AK521&lt;TODAY(),"Overdue","Current"),"")</f>
        <v/>
      </c>
    </row>
    <row r="522">
      <c r="K522">
        <f>IF(J522="v4.0",L522,IF(J522="v3.1",M522,IF(J522="Both",L522,IF(AND(L522&lt;&gt;"",M522=""),L522,M522))))</f>
        <v/>
      </c>
      <c r="Z522">
        <f>IF(Y522&lt;&gt;"",TODAY()-Y522,"")</f>
        <v/>
      </c>
      <c r="AC522">
        <f>IF(AND(AA522&lt;&gt;"",AB522&lt;&gt;""),CHOOSE(MATCH(AA522,{"Low","Medium","High","Critical"},0),25,50,75,100)-CHOOSE(MATCH(AB522,{"Low","Medium","High","Critical"},0),25,50,75,100),"")</f>
        <v/>
      </c>
      <c r="AG522">
        <f>IF(AF522&lt;&gt;"",IF(AH522="Weekly",AF522+7,IF(AH522="Monthly",EDATE(AF522,1),IF(AH522="Quarterly",EDATE(AF522,3),""))),"")</f>
        <v/>
      </c>
      <c r="AK522">
        <f>IF(AJ522&lt;&gt;"",IF(AI522="Monthly",EDATE(AJ522,1),IF(AI522="Quarterly",EDATE(AJ522,3),IF(AI522="Semi-Annual",EDATE(AJ522,6),""))),"")</f>
        <v/>
      </c>
      <c r="AL522">
        <f>IF(AK522&lt;&gt;"",IF(AK522&lt;TODAY(),"Overdue","Current"),"")</f>
        <v/>
      </c>
    </row>
    <row r="523">
      <c r="K523">
        <f>IF(J523="v4.0",L523,IF(J523="v3.1",M523,IF(J523="Both",L523,IF(AND(L523&lt;&gt;"",M523=""),L523,M523))))</f>
        <v/>
      </c>
      <c r="Z523">
        <f>IF(Y523&lt;&gt;"",TODAY()-Y523,"")</f>
        <v/>
      </c>
      <c r="AC523">
        <f>IF(AND(AA523&lt;&gt;"",AB523&lt;&gt;""),CHOOSE(MATCH(AA523,{"Low","Medium","High","Critical"},0),25,50,75,100)-CHOOSE(MATCH(AB523,{"Low","Medium","High","Critical"},0),25,50,75,100),"")</f>
        <v/>
      </c>
      <c r="AG523">
        <f>IF(AF523&lt;&gt;"",IF(AH523="Weekly",AF523+7,IF(AH523="Monthly",EDATE(AF523,1),IF(AH523="Quarterly",EDATE(AF523,3),""))),"")</f>
        <v/>
      </c>
      <c r="AK523">
        <f>IF(AJ523&lt;&gt;"",IF(AI523="Monthly",EDATE(AJ523,1),IF(AI523="Quarterly",EDATE(AJ523,3),IF(AI523="Semi-Annual",EDATE(AJ523,6),""))),"")</f>
        <v/>
      </c>
      <c r="AL523">
        <f>IF(AK523&lt;&gt;"",IF(AK523&lt;TODAY(),"Overdue","Current"),"")</f>
        <v/>
      </c>
    </row>
    <row r="524">
      <c r="K524">
        <f>IF(J524="v4.0",L524,IF(J524="v3.1",M524,IF(J524="Both",L524,IF(AND(L524&lt;&gt;"",M524=""),L524,M524))))</f>
        <v/>
      </c>
      <c r="Z524">
        <f>IF(Y524&lt;&gt;"",TODAY()-Y524,"")</f>
        <v/>
      </c>
      <c r="AC524">
        <f>IF(AND(AA524&lt;&gt;"",AB524&lt;&gt;""),CHOOSE(MATCH(AA524,{"Low","Medium","High","Critical"},0),25,50,75,100)-CHOOSE(MATCH(AB524,{"Low","Medium","High","Critical"},0),25,50,75,100),"")</f>
        <v/>
      </c>
      <c r="AG524">
        <f>IF(AF524&lt;&gt;"",IF(AH524="Weekly",AF524+7,IF(AH524="Monthly",EDATE(AF524,1),IF(AH524="Quarterly",EDATE(AF524,3),""))),"")</f>
        <v/>
      </c>
      <c r="AK524">
        <f>IF(AJ524&lt;&gt;"",IF(AI524="Monthly",EDATE(AJ524,1),IF(AI524="Quarterly",EDATE(AJ524,3),IF(AI524="Semi-Annual",EDATE(AJ524,6),""))),"")</f>
        <v/>
      </c>
      <c r="AL524">
        <f>IF(AK524&lt;&gt;"",IF(AK524&lt;TODAY(),"Overdue","Current"),"")</f>
        <v/>
      </c>
    </row>
    <row r="525">
      <c r="K525">
        <f>IF(J525="v4.0",L525,IF(J525="v3.1",M525,IF(J525="Both",L525,IF(AND(L525&lt;&gt;"",M525=""),L525,M525))))</f>
        <v/>
      </c>
      <c r="Z525">
        <f>IF(Y525&lt;&gt;"",TODAY()-Y525,"")</f>
        <v/>
      </c>
      <c r="AC525">
        <f>IF(AND(AA525&lt;&gt;"",AB525&lt;&gt;""),CHOOSE(MATCH(AA525,{"Low","Medium","High","Critical"},0),25,50,75,100)-CHOOSE(MATCH(AB525,{"Low","Medium","High","Critical"},0),25,50,75,100),"")</f>
        <v/>
      </c>
      <c r="AG525">
        <f>IF(AF525&lt;&gt;"",IF(AH525="Weekly",AF525+7,IF(AH525="Monthly",EDATE(AF525,1),IF(AH525="Quarterly",EDATE(AF525,3),""))),"")</f>
        <v/>
      </c>
      <c r="AK525">
        <f>IF(AJ525&lt;&gt;"",IF(AI525="Monthly",EDATE(AJ525,1),IF(AI525="Quarterly",EDATE(AJ525,3),IF(AI525="Semi-Annual",EDATE(AJ525,6),""))),"")</f>
        <v/>
      </c>
      <c r="AL525">
        <f>IF(AK525&lt;&gt;"",IF(AK525&lt;TODAY(),"Overdue","Current"),"")</f>
        <v/>
      </c>
    </row>
    <row r="526">
      <c r="K526">
        <f>IF(J526="v4.0",L526,IF(J526="v3.1",M526,IF(J526="Both",L526,IF(AND(L526&lt;&gt;"",M526=""),L526,M526))))</f>
        <v/>
      </c>
      <c r="Z526">
        <f>IF(Y526&lt;&gt;"",TODAY()-Y526,"")</f>
        <v/>
      </c>
      <c r="AC526">
        <f>IF(AND(AA526&lt;&gt;"",AB526&lt;&gt;""),CHOOSE(MATCH(AA526,{"Low","Medium","High","Critical"},0),25,50,75,100)-CHOOSE(MATCH(AB526,{"Low","Medium","High","Critical"},0),25,50,75,100),"")</f>
        <v/>
      </c>
      <c r="AG526">
        <f>IF(AF526&lt;&gt;"",IF(AH526="Weekly",AF526+7,IF(AH526="Monthly",EDATE(AF526,1),IF(AH526="Quarterly",EDATE(AF526,3),""))),"")</f>
        <v/>
      </c>
      <c r="AK526">
        <f>IF(AJ526&lt;&gt;"",IF(AI526="Monthly",EDATE(AJ526,1),IF(AI526="Quarterly",EDATE(AJ526,3),IF(AI526="Semi-Annual",EDATE(AJ526,6),""))),"")</f>
        <v/>
      </c>
      <c r="AL526">
        <f>IF(AK526&lt;&gt;"",IF(AK526&lt;TODAY(),"Overdue","Current"),"")</f>
        <v/>
      </c>
    </row>
    <row r="527">
      <c r="K527">
        <f>IF(J527="v4.0",L527,IF(J527="v3.1",M527,IF(J527="Both",L527,IF(AND(L527&lt;&gt;"",M527=""),L527,M527))))</f>
        <v/>
      </c>
      <c r="Z527">
        <f>IF(Y527&lt;&gt;"",TODAY()-Y527,"")</f>
        <v/>
      </c>
      <c r="AC527">
        <f>IF(AND(AA527&lt;&gt;"",AB527&lt;&gt;""),CHOOSE(MATCH(AA527,{"Low","Medium","High","Critical"},0),25,50,75,100)-CHOOSE(MATCH(AB527,{"Low","Medium","High","Critical"},0),25,50,75,100),"")</f>
        <v/>
      </c>
      <c r="AG527">
        <f>IF(AF527&lt;&gt;"",IF(AH527="Weekly",AF527+7,IF(AH527="Monthly",EDATE(AF527,1),IF(AH527="Quarterly",EDATE(AF527,3),""))),"")</f>
        <v/>
      </c>
      <c r="AK527">
        <f>IF(AJ527&lt;&gt;"",IF(AI527="Monthly",EDATE(AJ527,1),IF(AI527="Quarterly",EDATE(AJ527,3),IF(AI527="Semi-Annual",EDATE(AJ527,6),""))),"")</f>
        <v/>
      </c>
      <c r="AL527">
        <f>IF(AK527&lt;&gt;"",IF(AK527&lt;TODAY(),"Overdue","Current"),"")</f>
        <v/>
      </c>
    </row>
    <row r="528">
      <c r="K528">
        <f>IF(J528="v4.0",L528,IF(J528="v3.1",M528,IF(J528="Both",L528,IF(AND(L528&lt;&gt;"",M528=""),L528,M528))))</f>
        <v/>
      </c>
      <c r="Z528">
        <f>IF(Y528&lt;&gt;"",TODAY()-Y528,"")</f>
        <v/>
      </c>
      <c r="AC528">
        <f>IF(AND(AA528&lt;&gt;"",AB528&lt;&gt;""),CHOOSE(MATCH(AA528,{"Low","Medium","High","Critical"},0),25,50,75,100)-CHOOSE(MATCH(AB528,{"Low","Medium","High","Critical"},0),25,50,75,100),"")</f>
        <v/>
      </c>
      <c r="AG528">
        <f>IF(AF528&lt;&gt;"",IF(AH528="Weekly",AF528+7,IF(AH528="Monthly",EDATE(AF528,1),IF(AH528="Quarterly",EDATE(AF528,3),""))),"")</f>
        <v/>
      </c>
      <c r="AK528">
        <f>IF(AJ528&lt;&gt;"",IF(AI528="Monthly",EDATE(AJ528,1),IF(AI528="Quarterly",EDATE(AJ528,3),IF(AI528="Semi-Annual",EDATE(AJ528,6),""))),"")</f>
        <v/>
      </c>
      <c r="AL528">
        <f>IF(AK528&lt;&gt;"",IF(AK528&lt;TODAY(),"Overdue","Current"),"")</f>
        <v/>
      </c>
    </row>
    <row r="529">
      <c r="K529">
        <f>IF(J529="v4.0",L529,IF(J529="v3.1",M529,IF(J529="Both",L529,IF(AND(L529&lt;&gt;"",M529=""),L529,M529))))</f>
        <v/>
      </c>
      <c r="Z529">
        <f>IF(Y529&lt;&gt;"",TODAY()-Y529,"")</f>
        <v/>
      </c>
      <c r="AC529">
        <f>IF(AND(AA529&lt;&gt;"",AB529&lt;&gt;""),CHOOSE(MATCH(AA529,{"Low","Medium","High","Critical"},0),25,50,75,100)-CHOOSE(MATCH(AB529,{"Low","Medium","High","Critical"},0),25,50,75,100),"")</f>
        <v/>
      </c>
      <c r="AG529">
        <f>IF(AF529&lt;&gt;"",IF(AH529="Weekly",AF529+7,IF(AH529="Monthly",EDATE(AF529,1),IF(AH529="Quarterly",EDATE(AF529,3),""))),"")</f>
        <v/>
      </c>
      <c r="AK529">
        <f>IF(AJ529&lt;&gt;"",IF(AI529="Monthly",EDATE(AJ529,1),IF(AI529="Quarterly",EDATE(AJ529,3),IF(AI529="Semi-Annual",EDATE(AJ529,6),""))),"")</f>
        <v/>
      </c>
      <c r="AL529">
        <f>IF(AK529&lt;&gt;"",IF(AK529&lt;TODAY(),"Overdue","Current"),"")</f>
        <v/>
      </c>
    </row>
    <row r="530">
      <c r="K530">
        <f>IF(J530="v4.0",L530,IF(J530="v3.1",M530,IF(J530="Both",L530,IF(AND(L530&lt;&gt;"",M530=""),L530,M530))))</f>
        <v/>
      </c>
      <c r="Z530">
        <f>IF(Y530&lt;&gt;"",TODAY()-Y530,"")</f>
        <v/>
      </c>
      <c r="AC530">
        <f>IF(AND(AA530&lt;&gt;"",AB530&lt;&gt;""),CHOOSE(MATCH(AA530,{"Low","Medium","High","Critical"},0),25,50,75,100)-CHOOSE(MATCH(AB530,{"Low","Medium","High","Critical"},0),25,50,75,100),"")</f>
        <v/>
      </c>
      <c r="AG530">
        <f>IF(AF530&lt;&gt;"",IF(AH530="Weekly",AF530+7,IF(AH530="Monthly",EDATE(AF530,1),IF(AH530="Quarterly",EDATE(AF530,3),""))),"")</f>
        <v/>
      </c>
      <c r="AK530">
        <f>IF(AJ530&lt;&gt;"",IF(AI530="Monthly",EDATE(AJ530,1),IF(AI530="Quarterly",EDATE(AJ530,3),IF(AI530="Semi-Annual",EDATE(AJ530,6),""))),"")</f>
        <v/>
      </c>
      <c r="AL530">
        <f>IF(AK530&lt;&gt;"",IF(AK530&lt;TODAY(),"Overdue","Current"),"")</f>
        <v/>
      </c>
    </row>
    <row r="531">
      <c r="K531">
        <f>IF(J531="v4.0",L531,IF(J531="v3.1",M531,IF(J531="Both",L531,IF(AND(L531&lt;&gt;"",M531=""),L531,M531))))</f>
        <v/>
      </c>
      <c r="Z531">
        <f>IF(Y531&lt;&gt;"",TODAY()-Y531,"")</f>
        <v/>
      </c>
      <c r="AC531">
        <f>IF(AND(AA531&lt;&gt;"",AB531&lt;&gt;""),CHOOSE(MATCH(AA531,{"Low","Medium","High","Critical"},0),25,50,75,100)-CHOOSE(MATCH(AB531,{"Low","Medium","High","Critical"},0),25,50,75,100),"")</f>
        <v/>
      </c>
      <c r="AG531">
        <f>IF(AF531&lt;&gt;"",IF(AH531="Weekly",AF531+7,IF(AH531="Monthly",EDATE(AF531,1),IF(AH531="Quarterly",EDATE(AF531,3),""))),"")</f>
        <v/>
      </c>
      <c r="AK531">
        <f>IF(AJ531&lt;&gt;"",IF(AI531="Monthly",EDATE(AJ531,1),IF(AI531="Quarterly",EDATE(AJ531,3),IF(AI531="Semi-Annual",EDATE(AJ531,6),""))),"")</f>
        <v/>
      </c>
      <c r="AL531">
        <f>IF(AK531&lt;&gt;"",IF(AK531&lt;TODAY(),"Overdue","Current"),"")</f>
        <v/>
      </c>
    </row>
    <row r="532">
      <c r="K532">
        <f>IF(J532="v4.0",L532,IF(J532="v3.1",M532,IF(J532="Both",L532,IF(AND(L532&lt;&gt;"",M532=""),L532,M532))))</f>
        <v/>
      </c>
      <c r="Z532">
        <f>IF(Y532&lt;&gt;"",TODAY()-Y532,"")</f>
        <v/>
      </c>
      <c r="AC532">
        <f>IF(AND(AA532&lt;&gt;"",AB532&lt;&gt;""),CHOOSE(MATCH(AA532,{"Low","Medium","High","Critical"},0),25,50,75,100)-CHOOSE(MATCH(AB532,{"Low","Medium","High","Critical"},0),25,50,75,100),"")</f>
        <v/>
      </c>
      <c r="AG532">
        <f>IF(AF532&lt;&gt;"",IF(AH532="Weekly",AF532+7,IF(AH532="Monthly",EDATE(AF532,1),IF(AH532="Quarterly",EDATE(AF532,3),""))),"")</f>
        <v/>
      </c>
      <c r="AK532">
        <f>IF(AJ532&lt;&gt;"",IF(AI532="Monthly",EDATE(AJ532,1),IF(AI532="Quarterly",EDATE(AJ532,3),IF(AI532="Semi-Annual",EDATE(AJ532,6),""))),"")</f>
        <v/>
      </c>
      <c r="AL532">
        <f>IF(AK532&lt;&gt;"",IF(AK532&lt;TODAY(),"Overdue","Current"),"")</f>
        <v/>
      </c>
    </row>
    <row r="533">
      <c r="K533">
        <f>IF(J533="v4.0",L533,IF(J533="v3.1",M533,IF(J533="Both",L533,IF(AND(L533&lt;&gt;"",M533=""),L533,M533))))</f>
        <v/>
      </c>
      <c r="Z533">
        <f>IF(Y533&lt;&gt;"",TODAY()-Y533,"")</f>
        <v/>
      </c>
      <c r="AC533">
        <f>IF(AND(AA533&lt;&gt;"",AB533&lt;&gt;""),CHOOSE(MATCH(AA533,{"Low","Medium","High","Critical"},0),25,50,75,100)-CHOOSE(MATCH(AB533,{"Low","Medium","High","Critical"},0),25,50,75,100),"")</f>
        <v/>
      </c>
      <c r="AG533">
        <f>IF(AF533&lt;&gt;"",IF(AH533="Weekly",AF533+7,IF(AH533="Monthly",EDATE(AF533,1),IF(AH533="Quarterly",EDATE(AF533,3),""))),"")</f>
        <v/>
      </c>
      <c r="AK533">
        <f>IF(AJ533&lt;&gt;"",IF(AI533="Monthly",EDATE(AJ533,1),IF(AI533="Quarterly",EDATE(AJ533,3),IF(AI533="Semi-Annual",EDATE(AJ533,6),""))),"")</f>
        <v/>
      </c>
      <c r="AL533">
        <f>IF(AK533&lt;&gt;"",IF(AK533&lt;TODAY(),"Overdue","Current"),"")</f>
        <v/>
      </c>
    </row>
    <row r="534">
      <c r="K534">
        <f>IF(J534="v4.0",L534,IF(J534="v3.1",M534,IF(J534="Both",L534,IF(AND(L534&lt;&gt;"",M534=""),L534,M534))))</f>
        <v/>
      </c>
      <c r="Z534">
        <f>IF(Y534&lt;&gt;"",TODAY()-Y534,"")</f>
        <v/>
      </c>
      <c r="AC534">
        <f>IF(AND(AA534&lt;&gt;"",AB534&lt;&gt;""),CHOOSE(MATCH(AA534,{"Low","Medium","High","Critical"},0),25,50,75,100)-CHOOSE(MATCH(AB534,{"Low","Medium","High","Critical"},0),25,50,75,100),"")</f>
        <v/>
      </c>
      <c r="AG534">
        <f>IF(AF534&lt;&gt;"",IF(AH534="Weekly",AF534+7,IF(AH534="Monthly",EDATE(AF534,1),IF(AH534="Quarterly",EDATE(AF534,3),""))),"")</f>
        <v/>
      </c>
      <c r="AK534">
        <f>IF(AJ534&lt;&gt;"",IF(AI534="Monthly",EDATE(AJ534,1),IF(AI534="Quarterly",EDATE(AJ534,3),IF(AI534="Semi-Annual",EDATE(AJ534,6),""))),"")</f>
        <v/>
      </c>
      <c r="AL534">
        <f>IF(AK534&lt;&gt;"",IF(AK534&lt;TODAY(),"Overdue","Current"),"")</f>
        <v/>
      </c>
    </row>
    <row r="535">
      <c r="K535">
        <f>IF(J535="v4.0",L535,IF(J535="v3.1",M535,IF(J535="Both",L535,IF(AND(L535&lt;&gt;"",M535=""),L535,M535))))</f>
        <v/>
      </c>
      <c r="Z535">
        <f>IF(Y535&lt;&gt;"",TODAY()-Y535,"")</f>
        <v/>
      </c>
      <c r="AC535">
        <f>IF(AND(AA535&lt;&gt;"",AB535&lt;&gt;""),CHOOSE(MATCH(AA535,{"Low","Medium","High","Critical"},0),25,50,75,100)-CHOOSE(MATCH(AB535,{"Low","Medium","High","Critical"},0),25,50,75,100),"")</f>
        <v/>
      </c>
      <c r="AG535">
        <f>IF(AF535&lt;&gt;"",IF(AH535="Weekly",AF535+7,IF(AH535="Monthly",EDATE(AF535,1),IF(AH535="Quarterly",EDATE(AF535,3),""))),"")</f>
        <v/>
      </c>
      <c r="AK535">
        <f>IF(AJ535&lt;&gt;"",IF(AI535="Monthly",EDATE(AJ535,1),IF(AI535="Quarterly",EDATE(AJ535,3),IF(AI535="Semi-Annual",EDATE(AJ535,6),""))),"")</f>
        <v/>
      </c>
      <c r="AL535">
        <f>IF(AK535&lt;&gt;"",IF(AK535&lt;TODAY(),"Overdue","Current"),"")</f>
        <v/>
      </c>
    </row>
    <row r="536">
      <c r="K536">
        <f>IF(J536="v4.0",L536,IF(J536="v3.1",M536,IF(J536="Both",L536,IF(AND(L536&lt;&gt;"",M536=""),L536,M536))))</f>
        <v/>
      </c>
      <c r="Z536">
        <f>IF(Y536&lt;&gt;"",TODAY()-Y536,"")</f>
        <v/>
      </c>
      <c r="AC536">
        <f>IF(AND(AA536&lt;&gt;"",AB536&lt;&gt;""),CHOOSE(MATCH(AA536,{"Low","Medium","High","Critical"},0),25,50,75,100)-CHOOSE(MATCH(AB536,{"Low","Medium","High","Critical"},0),25,50,75,100),"")</f>
        <v/>
      </c>
      <c r="AG536">
        <f>IF(AF536&lt;&gt;"",IF(AH536="Weekly",AF536+7,IF(AH536="Monthly",EDATE(AF536,1),IF(AH536="Quarterly",EDATE(AF536,3),""))),"")</f>
        <v/>
      </c>
      <c r="AK536">
        <f>IF(AJ536&lt;&gt;"",IF(AI536="Monthly",EDATE(AJ536,1),IF(AI536="Quarterly",EDATE(AJ536,3),IF(AI536="Semi-Annual",EDATE(AJ536,6),""))),"")</f>
        <v/>
      </c>
      <c r="AL536">
        <f>IF(AK536&lt;&gt;"",IF(AK536&lt;TODAY(),"Overdue","Current"),"")</f>
        <v/>
      </c>
    </row>
    <row r="537">
      <c r="K537">
        <f>IF(J537="v4.0",L537,IF(J537="v3.1",M537,IF(J537="Both",L537,IF(AND(L537&lt;&gt;"",M537=""),L537,M537))))</f>
        <v/>
      </c>
      <c r="Z537">
        <f>IF(Y537&lt;&gt;"",TODAY()-Y537,"")</f>
        <v/>
      </c>
      <c r="AC537">
        <f>IF(AND(AA537&lt;&gt;"",AB537&lt;&gt;""),CHOOSE(MATCH(AA537,{"Low","Medium","High","Critical"},0),25,50,75,100)-CHOOSE(MATCH(AB537,{"Low","Medium","High","Critical"},0),25,50,75,100),"")</f>
        <v/>
      </c>
      <c r="AG537">
        <f>IF(AF537&lt;&gt;"",IF(AH537="Weekly",AF537+7,IF(AH537="Monthly",EDATE(AF537,1),IF(AH537="Quarterly",EDATE(AF537,3),""))),"")</f>
        <v/>
      </c>
      <c r="AK537">
        <f>IF(AJ537&lt;&gt;"",IF(AI537="Monthly",EDATE(AJ537,1),IF(AI537="Quarterly",EDATE(AJ537,3),IF(AI537="Semi-Annual",EDATE(AJ537,6),""))),"")</f>
        <v/>
      </c>
      <c r="AL537">
        <f>IF(AK537&lt;&gt;"",IF(AK537&lt;TODAY(),"Overdue","Current"),"")</f>
        <v/>
      </c>
    </row>
    <row r="538">
      <c r="K538">
        <f>IF(J538="v4.0",L538,IF(J538="v3.1",M538,IF(J538="Both",L538,IF(AND(L538&lt;&gt;"",M538=""),L538,M538))))</f>
        <v/>
      </c>
      <c r="Z538">
        <f>IF(Y538&lt;&gt;"",TODAY()-Y538,"")</f>
        <v/>
      </c>
      <c r="AC538">
        <f>IF(AND(AA538&lt;&gt;"",AB538&lt;&gt;""),CHOOSE(MATCH(AA538,{"Low","Medium","High","Critical"},0),25,50,75,100)-CHOOSE(MATCH(AB538,{"Low","Medium","High","Critical"},0),25,50,75,100),"")</f>
        <v/>
      </c>
      <c r="AG538">
        <f>IF(AF538&lt;&gt;"",IF(AH538="Weekly",AF538+7,IF(AH538="Monthly",EDATE(AF538,1),IF(AH538="Quarterly",EDATE(AF538,3),""))),"")</f>
        <v/>
      </c>
      <c r="AK538">
        <f>IF(AJ538&lt;&gt;"",IF(AI538="Monthly",EDATE(AJ538,1),IF(AI538="Quarterly",EDATE(AJ538,3),IF(AI538="Semi-Annual",EDATE(AJ538,6),""))),"")</f>
        <v/>
      </c>
      <c r="AL538">
        <f>IF(AK538&lt;&gt;"",IF(AK538&lt;TODAY(),"Overdue","Current"),"")</f>
        <v/>
      </c>
    </row>
    <row r="539">
      <c r="K539">
        <f>IF(J539="v4.0",L539,IF(J539="v3.1",M539,IF(J539="Both",L539,IF(AND(L539&lt;&gt;"",M539=""),L539,M539))))</f>
        <v/>
      </c>
      <c r="Z539">
        <f>IF(Y539&lt;&gt;"",TODAY()-Y539,"")</f>
        <v/>
      </c>
      <c r="AC539">
        <f>IF(AND(AA539&lt;&gt;"",AB539&lt;&gt;""),CHOOSE(MATCH(AA539,{"Low","Medium","High","Critical"},0),25,50,75,100)-CHOOSE(MATCH(AB539,{"Low","Medium","High","Critical"},0),25,50,75,100),"")</f>
        <v/>
      </c>
      <c r="AG539">
        <f>IF(AF539&lt;&gt;"",IF(AH539="Weekly",AF539+7,IF(AH539="Monthly",EDATE(AF539,1),IF(AH539="Quarterly",EDATE(AF539,3),""))),"")</f>
        <v/>
      </c>
      <c r="AK539">
        <f>IF(AJ539&lt;&gt;"",IF(AI539="Monthly",EDATE(AJ539,1),IF(AI539="Quarterly",EDATE(AJ539,3),IF(AI539="Semi-Annual",EDATE(AJ539,6),""))),"")</f>
        <v/>
      </c>
      <c r="AL539">
        <f>IF(AK539&lt;&gt;"",IF(AK539&lt;TODAY(),"Overdue","Current"),"")</f>
        <v/>
      </c>
    </row>
    <row r="540">
      <c r="K540">
        <f>IF(J540="v4.0",L540,IF(J540="v3.1",M540,IF(J540="Both",L540,IF(AND(L540&lt;&gt;"",M540=""),L540,M540))))</f>
        <v/>
      </c>
      <c r="Z540">
        <f>IF(Y540&lt;&gt;"",TODAY()-Y540,"")</f>
        <v/>
      </c>
      <c r="AC540">
        <f>IF(AND(AA540&lt;&gt;"",AB540&lt;&gt;""),CHOOSE(MATCH(AA540,{"Low","Medium","High","Critical"},0),25,50,75,100)-CHOOSE(MATCH(AB540,{"Low","Medium","High","Critical"},0),25,50,75,100),"")</f>
        <v/>
      </c>
      <c r="AG540">
        <f>IF(AF540&lt;&gt;"",IF(AH540="Weekly",AF540+7,IF(AH540="Monthly",EDATE(AF540,1),IF(AH540="Quarterly",EDATE(AF540,3),""))),"")</f>
        <v/>
      </c>
      <c r="AK540">
        <f>IF(AJ540&lt;&gt;"",IF(AI540="Monthly",EDATE(AJ540,1),IF(AI540="Quarterly",EDATE(AJ540,3),IF(AI540="Semi-Annual",EDATE(AJ540,6),""))),"")</f>
        <v/>
      </c>
      <c r="AL540">
        <f>IF(AK540&lt;&gt;"",IF(AK540&lt;TODAY(),"Overdue","Current"),"")</f>
        <v/>
      </c>
    </row>
    <row r="541">
      <c r="K541">
        <f>IF(J541="v4.0",L541,IF(J541="v3.1",M541,IF(J541="Both",L541,IF(AND(L541&lt;&gt;"",M541=""),L541,M541))))</f>
        <v/>
      </c>
      <c r="Z541">
        <f>IF(Y541&lt;&gt;"",TODAY()-Y541,"")</f>
        <v/>
      </c>
      <c r="AC541">
        <f>IF(AND(AA541&lt;&gt;"",AB541&lt;&gt;""),CHOOSE(MATCH(AA541,{"Low","Medium","High","Critical"},0),25,50,75,100)-CHOOSE(MATCH(AB541,{"Low","Medium","High","Critical"},0),25,50,75,100),"")</f>
        <v/>
      </c>
      <c r="AG541">
        <f>IF(AF541&lt;&gt;"",IF(AH541="Weekly",AF541+7,IF(AH541="Monthly",EDATE(AF541,1),IF(AH541="Quarterly",EDATE(AF541,3),""))),"")</f>
        <v/>
      </c>
      <c r="AK541">
        <f>IF(AJ541&lt;&gt;"",IF(AI541="Monthly",EDATE(AJ541,1),IF(AI541="Quarterly",EDATE(AJ541,3),IF(AI541="Semi-Annual",EDATE(AJ541,6),""))),"")</f>
        <v/>
      </c>
      <c r="AL541">
        <f>IF(AK541&lt;&gt;"",IF(AK541&lt;TODAY(),"Overdue","Current"),"")</f>
        <v/>
      </c>
    </row>
    <row r="542">
      <c r="K542">
        <f>IF(J542="v4.0",L542,IF(J542="v3.1",M542,IF(J542="Both",L542,IF(AND(L542&lt;&gt;"",M542=""),L542,M542))))</f>
        <v/>
      </c>
      <c r="Z542">
        <f>IF(Y542&lt;&gt;"",TODAY()-Y542,"")</f>
        <v/>
      </c>
      <c r="AC542">
        <f>IF(AND(AA542&lt;&gt;"",AB542&lt;&gt;""),CHOOSE(MATCH(AA542,{"Low","Medium","High","Critical"},0),25,50,75,100)-CHOOSE(MATCH(AB542,{"Low","Medium","High","Critical"},0),25,50,75,100),"")</f>
        <v/>
      </c>
      <c r="AG542">
        <f>IF(AF542&lt;&gt;"",IF(AH542="Weekly",AF542+7,IF(AH542="Monthly",EDATE(AF542,1),IF(AH542="Quarterly",EDATE(AF542,3),""))),"")</f>
        <v/>
      </c>
      <c r="AK542">
        <f>IF(AJ542&lt;&gt;"",IF(AI542="Monthly",EDATE(AJ542,1),IF(AI542="Quarterly",EDATE(AJ542,3),IF(AI542="Semi-Annual",EDATE(AJ542,6),""))),"")</f>
        <v/>
      </c>
      <c r="AL542">
        <f>IF(AK542&lt;&gt;"",IF(AK542&lt;TODAY(),"Overdue","Current"),"")</f>
        <v/>
      </c>
    </row>
    <row r="543">
      <c r="K543">
        <f>IF(J543="v4.0",L543,IF(J543="v3.1",M543,IF(J543="Both",L543,IF(AND(L543&lt;&gt;"",M543=""),L543,M543))))</f>
        <v/>
      </c>
      <c r="Z543">
        <f>IF(Y543&lt;&gt;"",TODAY()-Y543,"")</f>
        <v/>
      </c>
      <c r="AC543">
        <f>IF(AND(AA543&lt;&gt;"",AB543&lt;&gt;""),CHOOSE(MATCH(AA543,{"Low","Medium","High","Critical"},0),25,50,75,100)-CHOOSE(MATCH(AB543,{"Low","Medium","High","Critical"},0),25,50,75,100),"")</f>
        <v/>
      </c>
      <c r="AG543">
        <f>IF(AF543&lt;&gt;"",IF(AH543="Weekly",AF543+7,IF(AH543="Monthly",EDATE(AF543,1),IF(AH543="Quarterly",EDATE(AF543,3),""))),"")</f>
        <v/>
      </c>
      <c r="AK543">
        <f>IF(AJ543&lt;&gt;"",IF(AI543="Monthly",EDATE(AJ543,1),IF(AI543="Quarterly",EDATE(AJ543,3),IF(AI543="Semi-Annual",EDATE(AJ543,6),""))),"")</f>
        <v/>
      </c>
      <c r="AL543">
        <f>IF(AK543&lt;&gt;"",IF(AK543&lt;TODAY(),"Overdue","Current"),"")</f>
        <v/>
      </c>
    </row>
    <row r="544">
      <c r="K544">
        <f>IF(J544="v4.0",L544,IF(J544="v3.1",M544,IF(J544="Both",L544,IF(AND(L544&lt;&gt;"",M544=""),L544,M544))))</f>
        <v/>
      </c>
      <c r="Z544">
        <f>IF(Y544&lt;&gt;"",TODAY()-Y544,"")</f>
        <v/>
      </c>
      <c r="AC544">
        <f>IF(AND(AA544&lt;&gt;"",AB544&lt;&gt;""),CHOOSE(MATCH(AA544,{"Low","Medium","High","Critical"},0),25,50,75,100)-CHOOSE(MATCH(AB544,{"Low","Medium","High","Critical"},0),25,50,75,100),"")</f>
        <v/>
      </c>
      <c r="AG544">
        <f>IF(AF544&lt;&gt;"",IF(AH544="Weekly",AF544+7,IF(AH544="Monthly",EDATE(AF544,1),IF(AH544="Quarterly",EDATE(AF544,3),""))),"")</f>
        <v/>
      </c>
      <c r="AK544">
        <f>IF(AJ544&lt;&gt;"",IF(AI544="Monthly",EDATE(AJ544,1),IF(AI544="Quarterly",EDATE(AJ544,3),IF(AI544="Semi-Annual",EDATE(AJ544,6),""))),"")</f>
        <v/>
      </c>
      <c r="AL544">
        <f>IF(AK544&lt;&gt;"",IF(AK544&lt;TODAY(),"Overdue","Current"),"")</f>
        <v/>
      </c>
    </row>
    <row r="545">
      <c r="K545">
        <f>IF(J545="v4.0",L545,IF(J545="v3.1",M545,IF(J545="Both",L545,IF(AND(L545&lt;&gt;"",M545=""),L545,M545))))</f>
        <v/>
      </c>
      <c r="Z545">
        <f>IF(Y545&lt;&gt;"",TODAY()-Y545,"")</f>
        <v/>
      </c>
      <c r="AC545">
        <f>IF(AND(AA545&lt;&gt;"",AB545&lt;&gt;""),CHOOSE(MATCH(AA545,{"Low","Medium","High","Critical"},0),25,50,75,100)-CHOOSE(MATCH(AB545,{"Low","Medium","High","Critical"},0),25,50,75,100),"")</f>
        <v/>
      </c>
      <c r="AG545">
        <f>IF(AF545&lt;&gt;"",IF(AH545="Weekly",AF545+7,IF(AH545="Monthly",EDATE(AF545,1),IF(AH545="Quarterly",EDATE(AF545,3),""))),"")</f>
        <v/>
      </c>
      <c r="AK545">
        <f>IF(AJ545&lt;&gt;"",IF(AI545="Monthly",EDATE(AJ545,1),IF(AI545="Quarterly",EDATE(AJ545,3),IF(AI545="Semi-Annual",EDATE(AJ545,6),""))),"")</f>
        <v/>
      </c>
      <c r="AL545">
        <f>IF(AK545&lt;&gt;"",IF(AK545&lt;TODAY(),"Overdue","Current"),"")</f>
        <v/>
      </c>
    </row>
    <row r="546">
      <c r="K546">
        <f>IF(J546="v4.0",L546,IF(J546="v3.1",M546,IF(J546="Both",L546,IF(AND(L546&lt;&gt;"",M546=""),L546,M546))))</f>
        <v/>
      </c>
      <c r="Z546">
        <f>IF(Y546&lt;&gt;"",TODAY()-Y546,"")</f>
        <v/>
      </c>
      <c r="AC546">
        <f>IF(AND(AA546&lt;&gt;"",AB546&lt;&gt;""),CHOOSE(MATCH(AA546,{"Low","Medium","High","Critical"},0),25,50,75,100)-CHOOSE(MATCH(AB546,{"Low","Medium","High","Critical"},0),25,50,75,100),"")</f>
        <v/>
      </c>
      <c r="AG546">
        <f>IF(AF546&lt;&gt;"",IF(AH546="Weekly",AF546+7,IF(AH546="Monthly",EDATE(AF546,1),IF(AH546="Quarterly",EDATE(AF546,3),""))),"")</f>
        <v/>
      </c>
      <c r="AK546">
        <f>IF(AJ546&lt;&gt;"",IF(AI546="Monthly",EDATE(AJ546,1),IF(AI546="Quarterly",EDATE(AJ546,3),IF(AI546="Semi-Annual",EDATE(AJ546,6),""))),"")</f>
        <v/>
      </c>
      <c r="AL546">
        <f>IF(AK546&lt;&gt;"",IF(AK546&lt;TODAY(),"Overdue","Current"),"")</f>
        <v/>
      </c>
    </row>
    <row r="547">
      <c r="K547">
        <f>IF(J547="v4.0",L547,IF(J547="v3.1",M547,IF(J547="Both",L547,IF(AND(L547&lt;&gt;"",M547=""),L547,M547))))</f>
        <v/>
      </c>
      <c r="Z547">
        <f>IF(Y547&lt;&gt;"",TODAY()-Y547,"")</f>
        <v/>
      </c>
      <c r="AC547">
        <f>IF(AND(AA547&lt;&gt;"",AB547&lt;&gt;""),CHOOSE(MATCH(AA547,{"Low","Medium","High","Critical"},0),25,50,75,100)-CHOOSE(MATCH(AB547,{"Low","Medium","High","Critical"},0),25,50,75,100),"")</f>
        <v/>
      </c>
      <c r="AG547">
        <f>IF(AF547&lt;&gt;"",IF(AH547="Weekly",AF547+7,IF(AH547="Monthly",EDATE(AF547,1),IF(AH547="Quarterly",EDATE(AF547,3),""))),"")</f>
        <v/>
      </c>
      <c r="AK547">
        <f>IF(AJ547&lt;&gt;"",IF(AI547="Monthly",EDATE(AJ547,1),IF(AI547="Quarterly",EDATE(AJ547,3),IF(AI547="Semi-Annual",EDATE(AJ547,6),""))),"")</f>
        <v/>
      </c>
      <c r="AL547">
        <f>IF(AK547&lt;&gt;"",IF(AK547&lt;TODAY(),"Overdue","Current"),"")</f>
        <v/>
      </c>
    </row>
    <row r="548">
      <c r="K548">
        <f>IF(J548="v4.0",L548,IF(J548="v3.1",M548,IF(J548="Both",L548,IF(AND(L548&lt;&gt;"",M548=""),L548,M548))))</f>
        <v/>
      </c>
      <c r="Z548">
        <f>IF(Y548&lt;&gt;"",TODAY()-Y548,"")</f>
        <v/>
      </c>
      <c r="AC548">
        <f>IF(AND(AA548&lt;&gt;"",AB548&lt;&gt;""),CHOOSE(MATCH(AA548,{"Low","Medium","High","Critical"},0),25,50,75,100)-CHOOSE(MATCH(AB548,{"Low","Medium","High","Critical"},0),25,50,75,100),"")</f>
        <v/>
      </c>
      <c r="AG548">
        <f>IF(AF548&lt;&gt;"",IF(AH548="Weekly",AF548+7,IF(AH548="Monthly",EDATE(AF548,1),IF(AH548="Quarterly",EDATE(AF548,3),""))),"")</f>
        <v/>
      </c>
      <c r="AK548">
        <f>IF(AJ548&lt;&gt;"",IF(AI548="Monthly",EDATE(AJ548,1),IF(AI548="Quarterly",EDATE(AJ548,3),IF(AI548="Semi-Annual",EDATE(AJ548,6),""))),"")</f>
        <v/>
      </c>
      <c r="AL548">
        <f>IF(AK548&lt;&gt;"",IF(AK548&lt;TODAY(),"Overdue","Current"),"")</f>
        <v/>
      </c>
    </row>
    <row r="549">
      <c r="K549">
        <f>IF(J549="v4.0",L549,IF(J549="v3.1",M549,IF(J549="Both",L549,IF(AND(L549&lt;&gt;"",M549=""),L549,M549))))</f>
        <v/>
      </c>
      <c r="Z549">
        <f>IF(Y549&lt;&gt;"",TODAY()-Y549,"")</f>
        <v/>
      </c>
      <c r="AC549">
        <f>IF(AND(AA549&lt;&gt;"",AB549&lt;&gt;""),CHOOSE(MATCH(AA549,{"Low","Medium","High","Critical"},0),25,50,75,100)-CHOOSE(MATCH(AB549,{"Low","Medium","High","Critical"},0),25,50,75,100),"")</f>
        <v/>
      </c>
      <c r="AG549">
        <f>IF(AF549&lt;&gt;"",IF(AH549="Weekly",AF549+7,IF(AH549="Monthly",EDATE(AF549,1),IF(AH549="Quarterly",EDATE(AF549,3),""))),"")</f>
        <v/>
      </c>
      <c r="AK549">
        <f>IF(AJ549&lt;&gt;"",IF(AI549="Monthly",EDATE(AJ549,1),IF(AI549="Quarterly",EDATE(AJ549,3),IF(AI549="Semi-Annual",EDATE(AJ549,6),""))),"")</f>
        <v/>
      </c>
      <c r="AL549">
        <f>IF(AK549&lt;&gt;"",IF(AK549&lt;TODAY(),"Overdue","Current"),"")</f>
        <v/>
      </c>
    </row>
    <row r="550">
      <c r="K550">
        <f>IF(J550="v4.0",L550,IF(J550="v3.1",M550,IF(J550="Both",L550,IF(AND(L550&lt;&gt;"",M550=""),L550,M550))))</f>
        <v/>
      </c>
      <c r="Z550">
        <f>IF(Y550&lt;&gt;"",TODAY()-Y550,"")</f>
        <v/>
      </c>
      <c r="AC550">
        <f>IF(AND(AA550&lt;&gt;"",AB550&lt;&gt;""),CHOOSE(MATCH(AA550,{"Low","Medium","High","Critical"},0),25,50,75,100)-CHOOSE(MATCH(AB550,{"Low","Medium","High","Critical"},0),25,50,75,100),"")</f>
        <v/>
      </c>
      <c r="AG550">
        <f>IF(AF550&lt;&gt;"",IF(AH550="Weekly",AF550+7,IF(AH550="Monthly",EDATE(AF550,1),IF(AH550="Quarterly",EDATE(AF550,3),""))),"")</f>
        <v/>
      </c>
      <c r="AK550">
        <f>IF(AJ550&lt;&gt;"",IF(AI550="Monthly",EDATE(AJ550,1),IF(AI550="Quarterly",EDATE(AJ550,3),IF(AI550="Semi-Annual",EDATE(AJ550,6),""))),"")</f>
        <v/>
      </c>
      <c r="AL550">
        <f>IF(AK550&lt;&gt;"",IF(AK550&lt;TODAY(),"Overdue","Current"),"")</f>
        <v/>
      </c>
    </row>
    <row r="551">
      <c r="K551">
        <f>IF(J551="v4.0",L551,IF(J551="v3.1",M551,IF(J551="Both",L551,IF(AND(L551&lt;&gt;"",M551=""),L551,M551))))</f>
        <v/>
      </c>
      <c r="Z551">
        <f>IF(Y551&lt;&gt;"",TODAY()-Y551,"")</f>
        <v/>
      </c>
      <c r="AC551">
        <f>IF(AND(AA551&lt;&gt;"",AB551&lt;&gt;""),CHOOSE(MATCH(AA551,{"Low","Medium","High","Critical"},0),25,50,75,100)-CHOOSE(MATCH(AB551,{"Low","Medium","High","Critical"},0),25,50,75,100),"")</f>
        <v/>
      </c>
      <c r="AG551">
        <f>IF(AF551&lt;&gt;"",IF(AH551="Weekly",AF551+7,IF(AH551="Monthly",EDATE(AF551,1),IF(AH551="Quarterly",EDATE(AF551,3),""))),"")</f>
        <v/>
      </c>
      <c r="AK551">
        <f>IF(AJ551&lt;&gt;"",IF(AI551="Monthly",EDATE(AJ551,1),IF(AI551="Quarterly",EDATE(AJ551,3),IF(AI551="Semi-Annual",EDATE(AJ551,6),""))),"")</f>
        <v/>
      </c>
      <c r="AL551">
        <f>IF(AK551&lt;&gt;"",IF(AK551&lt;TODAY(),"Overdue","Current"),"")</f>
        <v/>
      </c>
    </row>
    <row r="552">
      <c r="K552">
        <f>IF(J552="v4.0",L552,IF(J552="v3.1",M552,IF(J552="Both",L552,IF(AND(L552&lt;&gt;"",M552=""),L552,M552))))</f>
        <v/>
      </c>
      <c r="Z552">
        <f>IF(Y552&lt;&gt;"",TODAY()-Y552,"")</f>
        <v/>
      </c>
      <c r="AC552">
        <f>IF(AND(AA552&lt;&gt;"",AB552&lt;&gt;""),CHOOSE(MATCH(AA552,{"Low","Medium","High","Critical"},0),25,50,75,100)-CHOOSE(MATCH(AB552,{"Low","Medium","High","Critical"},0),25,50,75,100),"")</f>
        <v/>
      </c>
      <c r="AG552">
        <f>IF(AF552&lt;&gt;"",IF(AH552="Weekly",AF552+7,IF(AH552="Monthly",EDATE(AF552,1),IF(AH552="Quarterly",EDATE(AF552,3),""))),"")</f>
        <v/>
      </c>
      <c r="AK552">
        <f>IF(AJ552&lt;&gt;"",IF(AI552="Monthly",EDATE(AJ552,1),IF(AI552="Quarterly",EDATE(AJ552,3),IF(AI552="Semi-Annual",EDATE(AJ552,6),""))),"")</f>
        <v/>
      </c>
      <c r="AL552">
        <f>IF(AK552&lt;&gt;"",IF(AK552&lt;TODAY(),"Overdue","Current"),"")</f>
        <v/>
      </c>
    </row>
    <row r="553">
      <c r="K553">
        <f>IF(J553="v4.0",L553,IF(J553="v3.1",M553,IF(J553="Both",L553,IF(AND(L553&lt;&gt;"",M553=""),L553,M553))))</f>
        <v/>
      </c>
      <c r="Z553">
        <f>IF(Y553&lt;&gt;"",TODAY()-Y553,"")</f>
        <v/>
      </c>
      <c r="AC553">
        <f>IF(AND(AA553&lt;&gt;"",AB553&lt;&gt;""),CHOOSE(MATCH(AA553,{"Low","Medium","High","Critical"},0),25,50,75,100)-CHOOSE(MATCH(AB553,{"Low","Medium","High","Critical"},0),25,50,75,100),"")</f>
        <v/>
      </c>
      <c r="AG553">
        <f>IF(AF553&lt;&gt;"",IF(AH553="Weekly",AF553+7,IF(AH553="Monthly",EDATE(AF553,1),IF(AH553="Quarterly",EDATE(AF553,3),""))),"")</f>
        <v/>
      </c>
      <c r="AK553">
        <f>IF(AJ553&lt;&gt;"",IF(AI553="Monthly",EDATE(AJ553,1),IF(AI553="Quarterly",EDATE(AJ553,3),IF(AI553="Semi-Annual",EDATE(AJ553,6),""))),"")</f>
        <v/>
      </c>
      <c r="AL553">
        <f>IF(AK553&lt;&gt;"",IF(AK553&lt;TODAY(),"Overdue","Current"),"")</f>
        <v/>
      </c>
    </row>
    <row r="554">
      <c r="K554">
        <f>IF(J554="v4.0",L554,IF(J554="v3.1",M554,IF(J554="Both",L554,IF(AND(L554&lt;&gt;"",M554=""),L554,M554))))</f>
        <v/>
      </c>
      <c r="Z554">
        <f>IF(Y554&lt;&gt;"",TODAY()-Y554,"")</f>
        <v/>
      </c>
      <c r="AC554">
        <f>IF(AND(AA554&lt;&gt;"",AB554&lt;&gt;""),CHOOSE(MATCH(AA554,{"Low","Medium","High","Critical"},0),25,50,75,100)-CHOOSE(MATCH(AB554,{"Low","Medium","High","Critical"},0),25,50,75,100),"")</f>
        <v/>
      </c>
      <c r="AG554">
        <f>IF(AF554&lt;&gt;"",IF(AH554="Weekly",AF554+7,IF(AH554="Monthly",EDATE(AF554,1),IF(AH554="Quarterly",EDATE(AF554,3),""))),"")</f>
        <v/>
      </c>
      <c r="AK554">
        <f>IF(AJ554&lt;&gt;"",IF(AI554="Monthly",EDATE(AJ554,1),IF(AI554="Quarterly",EDATE(AJ554,3),IF(AI554="Semi-Annual",EDATE(AJ554,6),""))),"")</f>
        <v/>
      </c>
      <c r="AL554">
        <f>IF(AK554&lt;&gt;"",IF(AK554&lt;TODAY(),"Overdue","Current"),"")</f>
        <v/>
      </c>
    </row>
    <row r="555">
      <c r="K555">
        <f>IF(J555="v4.0",L555,IF(J555="v3.1",M555,IF(J555="Both",L555,IF(AND(L555&lt;&gt;"",M555=""),L555,M555))))</f>
        <v/>
      </c>
      <c r="Z555">
        <f>IF(Y555&lt;&gt;"",TODAY()-Y555,"")</f>
        <v/>
      </c>
      <c r="AC555">
        <f>IF(AND(AA555&lt;&gt;"",AB555&lt;&gt;""),CHOOSE(MATCH(AA555,{"Low","Medium","High","Critical"},0),25,50,75,100)-CHOOSE(MATCH(AB555,{"Low","Medium","High","Critical"},0),25,50,75,100),"")</f>
        <v/>
      </c>
      <c r="AG555">
        <f>IF(AF555&lt;&gt;"",IF(AH555="Weekly",AF555+7,IF(AH555="Monthly",EDATE(AF555,1),IF(AH555="Quarterly",EDATE(AF555,3),""))),"")</f>
        <v/>
      </c>
      <c r="AK555">
        <f>IF(AJ555&lt;&gt;"",IF(AI555="Monthly",EDATE(AJ555,1),IF(AI555="Quarterly",EDATE(AJ555,3),IF(AI555="Semi-Annual",EDATE(AJ555,6),""))),"")</f>
        <v/>
      </c>
      <c r="AL555">
        <f>IF(AK555&lt;&gt;"",IF(AK555&lt;TODAY(),"Overdue","Current"),"")</f>
        <v/>
      </c>
    </row>
    <row r="556">
      <c r="K556">
        <f>IF(J556="v4.0",L556,IF(J556="v3.1",M556,IF(J556="Both",L556,IF(AND(L556&lt;&gt;"",M556=""),L556,M556))))</f>
        <v/>
      </c>
      <c r="Z556">
        <f>IF(Y556&lt;&gt;"",TODAY()-Y556,"")</f>
        <v/>
      </c>
      <c r="AC556">
        <f>IF(AND(AA556&lt;&gt;"",AB556&lt;&gt;""),CHOOSE(MATCH(AA556,{"Low","Medium","High","Critical"},0),25,50,75,100)-CHOOSE(MATCH(AB556,{"Low","Medium","High","Critical"},0),25,50,75,100),"")</f>
        <v/>
      </c>
      <c r="AG556">
        <f>IF(AF556&lt;&gt;"",IF(AH556="Weekly",AF556+7,IF(AH556="Monthly",EDATE(AF556,1),IF(AH556="Quarterly",EDATE(AF556,3),""))),"")</f>
        <v/>
      </c>
      <c r="AK556">
        <f>IF(AJ556&lt;&gt;"",IF(AI556="Monthly",EDATE(AJ556,1),IF(AI556="Quarterly",EDATE(AJ556,3),IF(AI556="Semi-Annual",EDATE(AJ556,6),""))),"")</f>
        <v/>
      </c>
      <c r="AL556">
        <f>IF(AK556&lt;&gt;"",IF(AK556&lt;TODAY(),"Overdue","Current"),"")</f>
        <v/>
      </c>
    </row>
    <row r="557">
      <c r="K557">
        <f>IF(J557="v4.0",L557,IF(J557="v3.1",M557,IF(J557="Both",L557,IF(AND(L557&lt;&gt;"",M557=""),L557,M557))))</f>
        <v/>
      </c>
      <c r="Z557">
        <f>IF(Y557&lt;&gt;"",TODAY()-Y557,"")</f>
        <v/>
      </c>
      <c r="AC557">
        <f>IF(AND(AA557&lt;&gt;"",AB557&lt;&gt;""),CHOOSE(MATCH(AA557,{"Low","Medium","High","Critical"},0),25,50,75,100)-CHOOSE(MATCH(AB557,{"Low","Medium","High","Critical"},0),25,50,75,100),"")</f>
        <v/>
      </c>
      <c r="AG557">
        <f>IF(AF557&lt;&gt;"",IF(AH557="Weekly",AF557+7,IF(AH557="Monthly",EDATE(AF557,1),IF(AH557="Quarterly",EDATE(AF557,3),""))),"")</f>
        <v/>
      </c>
      <c r="AK557">
        <f>IF(AJ557&lt;&gt;"",IF(AI557="Monthly",EDATE(AJ557,1),IF(AI557="Quarterly",EDATE(AJ557,3),IF(AI557="Semi-Annual",EDATE(AJ557,6),""))),"")</f>
        <v/>
      </c>
      <c r="AL557">
        <f>IF(AK557&lt;&gt;"",IF(AK557&lt;TODAY(),"Overdue","Current"),"")</f>
        <v/>
      </c>
    </row>
    <row r="558">
      <c r="K558">
        <f>IF(J558="v4.0",L558,IF(J558="v3.1",M558,IF(J558="Both",L558,IF(AND(L558&lt;&gt;"",M558=""),L558,M558))))</f>
        <v/>
      </c>
      <c r="Z558">
        <f>IF(Y558&lt;&gt;"",TODAY()-Y558,"")</f>
        <v/>
      </c>
      <c r="AC558">
        <f>IF(AND(AA558&lt;&gt;"",AB558&lt;&gt;""),CHOOSE(MATCH(AA558,{"Low","Medium","High","Critical"},0),25,50,75,100)-CHOOSE(MATCH(AB558,{"Low","Medium","High","Critical"},0),25,50,75,100),"")</f>
        <v/>
      </c>
      <c r="AG558">
        <f>IF(AF558&lt;&gt;"",IF(AH558="Weekly",AF558+7,IF(AH558="Monthly",EDATE(AF558,1),IF(AH558="Quarterly",EDATE(AF558,3),""))),"")</f>
        <v/>
      </c>
      <c r="AK558">
        <f>IF(AJ558&lt;&gt;"",IF(AI558="Monthly",EDATE(AJ558,1),IF(AI558="Quarterly",EDATE(AJ558,3),IF(AI558="Semi-Annual",EDATE(AJ558,6),""))),"")</f>
        <v/>
      </c>
      <c r="AL558">
        <f>IF(AK558&lt;&gt;"",IF(AK558&lt;TODAY(),"Overdue","Current"),"")</f>
        <v/>
      </c>
    </row>
    <row r="559">
      <c r="K559">
        <f>IF(J559="v4.0",L559,IF(J559="v3.1",M559,IF(J559="Both",L559,IF(AND(L559&lt;&gt;"",M559=""),L559,M559))))</f>
        <v/>
      </c>
      <c r="Z559">
        <f>IF(Y559&lt;&gt;"",TODAY()-Y559,"")</f>
        <v/>
      </c>
      <c r="AC559">
        <f>IF(AND(AA559&lt;&gt;"",AB559&lt;&gt;""),CHOOSE(MATCH(AA559,{"Low","Medium","High","Critical"},0),25,50,75,100)-CHOOSE(MATCH(AB559,{"Low","Medium","High","Critical"},0),25,50,75,100),"")</f>
        <v/>
      </c>
      <c r="AG559">
        <f>IF(AF559&lt;&gt;"",IF(AH559="Weekly",AF559+7,IF(AH559="Monthly",EDATE(AF559,1),IF(AH559="Quarterly",EDATE(AF559,3),""))),"")</f>
        <v/>
      </c>
      <c r="AK559">
        <f>IF(AJ559&lt;&gt;"",IF(AI559="Monthly",EDATE(AJ559,1),IF(AI559="Quarterly",EDATE(AJ559,3),IF(AI559="Semi-Annual",EDATE(AJ559,6),""))),"")</f>
        <v/>
      </c>
      <c r="AL559">
        <f>IF(AK559&lt;&gt;"",IF(AK559&lt;TODAY(),"Overdue","Current"),"")</f>
        <v/>
      </c>
    </row>
    <row r="560">
      <c r="K560">
        <f>IF(J560="v4.0",L560,IF(J560="v3.1",M560,IF(J560="Both",L560,IF(AND(L560&lt;&gt;"",M560=""),L560,M560))))</f>
        <v/>
      </c>
      <c r="Z560">
        <f>IF(Y560&lt;&gt;"",TODAY()-Y560,"")</f>
        <v/>
      </c>
      <c r="AC560">
        <f>IF(AND(AA560&lt;&gt;"",AB560&lt;&gt;""),CHOOSE(MATCH(AA560,{"Low","Medium","High","Critical"},0),25,50,75,100)-CHOOSE(MATCH(AB560,{"Low","Medium","High","Critical"},0),25,50,75,100),"")</f>
        <v/>
      </c>
      <c r="AG560">
        <f>IF(AF560&lt;&gt;"",IF(AH560="Weekly",AF560+7,IF(AH560="Monthly",EDATE(AF560,1),IF(AH560="Quarterly",EDATE(AF560,3),""))),"")</f>
        <v/>
      </c>
      <c r="AK560">
        <f>IF(AJ560&lt;&gt;"",IF(AI560="Monthly",EDATE(AJ560,1),IF(AI560="Quarterly",EDATE(AJ560,3),IF(AI560="Semi-Annual",EDATE(AJ560,6),""))),"")</f>
        <v/>
      </c>
      <c r="AL560">
        <f>IF(AK560&lt;&gt;"",IF(AK560&lt;TODAY(),"Overdue","Current"),"")</f>
        <v/>
      </c>
    </row>
    <row r="561">
      <c r="K561">
        <f>IF(J561="v4.0",L561,IF(J561="v3.1",M561,IF(J561="Both",L561,IF(AND(L561&lt;&gt;"",M561=""),L561,M561))))</f>
        <v/>
      </c>
      <c r="Z561">
        <f>IF(Y561&lt;&gt;"",TODAY()-Y561,"")</f>
        <v/>
      </c>
      <c r="AC561">
        <f>IF(AND(AA561&lt;&gt;"",AB561&lt;&gt;""),CHOOSE(MATCH(AA561,{"Low","Medium","High","Critical"},0),25,50,75,100)-CHOOSE(MATCH(AB561,{"Low","Medium","High","Critical"},0),25,50,75,100),"")</f>
        <v/>
      </c>
      <c r="AG561">
        <f>IF(AF561&lt;&gt;"",IF(AH561="Weekly",AF561+7,IF(AH561="Monthly",EDATE(AF561,1),IF(AH561="Quarterly",EDATE(AF561,3),""))),"")</f>
        <v/>
      </c>
      <c r="AK561">
        <f>IF(AJ561&lt;&gt;"",IF(AI561="Monthly",EDATE(AJ561,1),IF(AI561="Quarterly",EDATE(AJ561,3),IF(AI561="Semi-Annual",EDATE(AJ561,6),""))),"")</f>
        <v/>
      </c>
      <c r="AL561">
        <f>IF(AK561&lt;&gt;"",IF(AK561&lt;TODAY(),"Overdue","Current"),"")</f>
        <v/>
      </c>
    </row>
    <row r="562">
      <c r="K562">
        <f>IF(J562="v4.0",L562,IF(J562="v3.1",M562,IF(J562="Both",L562,IF(AND(L562&lt;&gt;"",M562=""),L562,M562))))</f>
        <v/>
      </c>
      <c r="Z562">
        <f>IF(Y562&lt;&gt;"",TODAY()-Y562,"")</f>
        <v/>
      </c>
      <c r="AC562">
        <f>IF(AND(AA562&lt;&gt;"",AB562&lt;&gt;""),CHOOSE(MATCH(AA562,{"Low","Medium","High","Critical"},0),25,50,75,100)-CHOOSE(MATCH(AB562,{"Low","Medium","High","Critical"},0),25,50,75,100),"")</f>
        <v/>
      </c>
      <c r="AG562">
        <f>IF(AF562&lt;&gt;"",IF(AH562="Weekly",AF562+7,IF(AH562="Monthly",EDATE(AF562,1),IF(AH562="Quarterly",EDATE(AF562,3),""))),"")</f>
        <v/>
      </c>
      <c r="AK562">
        <f>IF(AJ562&lt;&gt;"",IF(AI562="Monthly",EDATE(AJ562,1),IF(AI562="Quarterly",EDATE(AJ562,3),IF(AI562="Semi-Annual",EDATE(AJ562,6),""))),"")</f>
        <v/>
      </c>
      <c r="AL562">
        <f>IF(AK562&lt;&gt;"",IF(AK562&lt;TODAY(),"Overdue","Current"),"")</f>
        <v/>
      </c>
    </row>
    <row r="563">
      <c r="K563">
        <f>IF(J563="v4.0",L563,IF(J563="v3.1",M563,IF(J563="Both",L563,IF(AND(L563&lt;&gt;"",M563=""),L563,M563))))</f>
        <v/>
      </c>
      <c r="Z563">
        <f>IF(Y563&lt;&gt;"",TODAY()-Y563,"")</f>
        <v/>
      </c>
      <c r="AC563">
        <f>IF(AND(AA563&lt;&gt;"",AB563&lt;&gt;""),CHOOSE(MATCH(AA563,{"Low","Medium","High","Critical"},0),25,50,75,100)-CHOOSE(MATCH(AB563,{"Low","Medium","High","Critical"},0),25,50,75,100),"")</f>
        <v/>
      </c>
      <c r="AG563">
        <f>IF(AF563&lt;&gt;"",IF(AH563="Weekly",AF563+7,IF(AH563="Monthly",EDATE(AF563,1),IF(AH563="Quarterly",EDATE(AF563,3),""))),"")</f>
        <v/>
      </c>
      <c r="AK563">
        <f>IF(AJ563&lt;&gt;"",IF(AI563="Monthly",EDATE(AJ563,1),IF(AI563="Quarterly",EDATE(AJ563,3),IF(AI563="Semi-Annual",EDATE(AJ563,6),""))),"")</f>
        <v/>
      </c>
      <c r="AL563">
        <f>IF(AK563&lt;&gt;"",IF(AK563&lt;TODAY(),"Overdue","Current"),"")</f>
        <v/>
      </c>
    </row>
    <row r="564">
      <c r="K564">
        <f>IF(J564="v4.0",L564,IF(J564="v3.1",M564,IF(J564="Both",L564,IF(AND(L564&lt;&gt;"",M564=""),L564,M564))))</f>
        <v/>
      </c>
      <c r="Z564">
        <f>IF(Y564&lt;&gt;"",TODAY()-Y564,"")</f>
        <v/>
      </c>
      <c r="AC564">
        <f>IF(AND(AA564&lt;&gt;"",AB564&lt;&gt;""),CHOOSE(MATCH(AA564,{"Low","Medium","High","Critical"},0),25,50,75,100)-CHOOSE(MATCH(AB564,{"Low","Medium","High","Critical"},0),25,50,75,100),"")</f>
        <v/>
      </c>
      <c r="AG564">
        <f>IF(AF564&lt;&gt;"",IF(AH564="Weekly",AF564+7,IF(AH564="Monthly",EDATE(AF564,1),IF(AH564="Quarterly",EDATE(AF564,3),""))),"")</f>
        <v/>
      </c>
      <c r="AK564">
        <f>IF(AJ564&lt;&gt;"",IF(AI564="Monthly",EDATE(AJ564,1),IF(AI564="Quarterly",EDATE(AJ564,3),IF(AI564="Semi-Annual",EDATE(AJ564,6),""))),"")</f>
        <v/>
      </c>
      <c r="AL564">
        <f>IF(AK564&lt;&gt;"",IF(AK564&lt;TODAY(),"Overdue","Current"),"")</f>
        <v/>
      </c>
    </row>
    <row r="565">
      <c r="K565">
        <f>IF(J565="v4.0",L565,IF(J565="v3.1",M565,IF(J565="Both",L565,IF(AND(L565&lt;&gt;"",M565=""),L565,M565))))</f>
        <v/>
      </c>
      <c r="Z565">
        <f>IF(Y565&lt;&gt;"",TODAY()-Y565,"")</f>
        <v/>
      </c>
      <c r="AC565">
        <f>IF(AND(AA565&lt;&gt;"",AB565&lt;&gt;""),CHOOSE(MATCH(AA565,{"Low","Medium","High","Critical"},0),25,50,75,100)-CHOOSE(MATCH(AB565,{"Low","Medium","High","Critical"},0),25,50,75,100),"")</f>
        <v/>
      </c>
      <c r="AG565">
        <f>IF(AF565&lt;&gt;"",IF(AH565="Weekly",AF565+7,IF(AH565="Monthly",EDATE(AF565,1),IF(AH565="Quarterly",EDATE(AF565,3),""))),"")</f>
        <v/>
      </c>
      <c r="AK565">
        <f>IF(AJ565&lt;&gt;"",IF(AI565="Monthly",EDATE(AJ565,1),IF(AI565="Quarterly",EDATE(AJ565,3),IF(AI565="Semi-Annual",EDATE(AJ565,6),""))),"")</f>
        <v/>
      </c>
      <c r="AL565">
        <f>IF(AK565&lt;&gt;"",IF(AK565&lt;TODAY(),"Overdue","Current"),"")</f>
        <v/>
      </c>
    </row>
    <row r="566">
      <c r="K566">
        <f>IF(J566="v4.0",L566,IF(J566="v3.1",M566,IF(J566="Both",L566,IF(AND(L566&lt;&gt;"",M566=""),L566,M566))))</f>
        <v/>
      </c>
      <c r="Z566">
        <f>IF(Y566&lt;&gt;"",TODAY()-Y566,"")</f>
        <v/>
      </c>
      <c r="AC566">
        <f>IF(AND(AA566&lt;&gt;"",AB566&lt;&gt;""),CHOOSE(MATCH(AA566,{"Low","Medium","High","Critical"},0),25,50,75,100)-CHOOSE(MATCH(AB566,{"Low","Medium","High","Critical"},0),25,50,75,100),"")</f>
        <v/>
      </c>
      <c r="AG566">
        <f>IF(AF566&lt;&gt;"",IF(AH566="Weekly",AF566+7,IF(AH566="Monthly",EDATE(AF566,1),IF(AH566="Quarterly",EDATE(AF566,3),""))),"")</f>
        <v/>
      </c>
      <c r="AK566">
        <f>IF(AJ566&lt;&gt;"",IF(AI566="Monthly",EDATE(AJ566,1),IF(AI566="Quarterly",EDATE(AJ566,3),IF(AI566="Semi-Annual",EDATE(AJ566,6),""))),"")</f>
        <v/>
      </c>
      <c r="AL566">
        <f>IF(AK566&lt;&gt;"",IF(AK566&lt;TODAY(),"Overdue","Current"),"")</f>
        <v/>
      </c>
    </row>
    <row r="567">
      <c r="K567">
        <f>IF(J567="v4.0",L567,IF(J567="v3.1",M567,IF(J567="Both",L567,IF(AND(L567&lt;&gt;"",M567=""),L567,M567))))</f>
        <v/>
      </c>
      <c r="Z567">
        <f>IF(Y567&lt;&gt;"",TODAY()-Y567,"")</f>
        <v/>
      </c>
      <c r="AC567">
        <f>IF(AND(AA567&lt;&gt;"",AB567&lt;&gt;""),CHOOSE(MATCH(AA567,{"Low","Medium","High","Critical"},0),25,50,75,100)-CHOOSE(MATCH(AB567,{"Low","Medium","High","Critical"},0),25,50,75,100),"")</f>
        <v/>
      </c>
      <c r="AG567">
        <f>IF(AF567&lt;&gt;"",IF(AH567="Weekly",AF567+7,IF(AH567="Monthly",EDATE(AF567,1),IF(AH567="Quarterly",EDATE(AF567,3),""))),"")</f>
        <v/>
      </c>
      <c r="AK567">
        <f>IF(AJ567&lt;&gt;"",IF(AI567="Monthly",EDATE(AJ567,1),IF(AI567="Quarterly",EDATE(AJ567,3),IF(AI567="Semi-Annual",EDATE(AJ567,6),""))),"")</f>
        <v/>
      </c>
      <c r="AL567">
        <f>IF(AK567&lt;&gt;"",IF(AK567&lt;TODAY(),"Overdue","Current"),"")</f>
        <v/>
      </c>
    </row>
    <row r="568">
      <c r="K568">
        <f>IF(J568="v4.0",L568,IF(J568="v3.1",M568,IF(J568="Both",L568,IF(AND(L568&lt;&gt;"",M568=""),L568,M568))))</f>
        <v/>
      </c>
      <c r="Z568">
        <f>IF(Y568&lt;&gt;"",TODAY()-Y568,"")</f>
        <v/>
      </c>
      <c r="AC568">
        <f>IF(AND(AA568&lt;&gt;"",AB568&lt;&gt;""),CHOOSE(MATCH(AA568,{"Low","Medium","High","Critical"},0),25,50,75,100)-CHOOSE(MATCH(AB568,{"Low","Medium","High","Critical"},0),25,50,75,100),"")</f>
        <v/>
      </c>
      <c r="AG568">
        <f>IF(AF568&lt;&gt;"",IF(AH568="Weekly",AF568+7,IF(AH568="Monthly",EDATE(AF568,1),IF(AH568="Quarterly",EDATE(AF568,3),""))),"")</f>
        <v/>
      </c>
      <c r="AK568">
        <f>IF(AJ568&lt;&gt;"",IF(AI568="Monthly",EDATE(AJ568,1),IF(AI568="Quarterly",EDATE(AJ568,3),IF(AI568="Semi-Annual",EDATE(AJ568,6),""))),"")</f>
        <v/>
      </c>
      <c r="AL568">
        <f>IF(AK568&lt;&gt;"",IF(AK568&lt;TODAY(),"Overdue","Current"),"")</f>
        <v/>
      </c>
    </row>
    <row r="569">
      <c r="K569">
        <f>IF(J569="v4.0",L569,IF(J569="v3.1",M569,IF(J569="Both",L569,IF(AND(L569&lt;&gt;"",M569=""),L569,M569))))</f>
        <v/>
      </c>
      <c r="Z569">
        <f>IF(Y569&lt;&gt;"",TODAY()-Y569,"")</f>
        <v/>
      </c>
      <c r="AC569">
        <f>IF(AND(AA569&lt;&gt;"",AB569&lt;&gt;""),CHOOSE(MATCH(AA569,{"Low","Medium","High","Critical"},0),25,50,75,100)-CHOOSE(MATCH(AB569,{"Low","Medium","High","Critical"},0),25,50,75,100),"")</f>
        <v/>
      </c>
      <c r="AG569">
        <f>IF(AF569&lt;&gt;"",IF(AH569="Weekly",AF569+7,IF(AH569="Monthly",EDATE(AF569,1),IF(AH569="Quarterly",EDATE(AF569,3),""))),"")</f>
        <v/>
      </c>
      <c r="AK569">
        <f>IF(AJ569&lt;&gt;"",IF(AI569="Monthly",EDATE(AJ569,1),IF(AI569="Quarterly",EDATE(AJ569,3),IF(AI569="Semi-Annual",EDATE(AJ569,6),""))),"")</f>
        <v/>
      </c>
      <c r="AL569">
        <f>IF(AK569&lt;&gt;"",IF(AK569&lt;TODAY(),"Overdue","Current"),"")</f>
        <v/>
      </c>
    </row>
    <row r="570">
      <c r="K570">
        <f>IF(J570="v4.0",L570,IF(J570="v3.1",M570,IF(J570="Both",L570,IF(AND(L570&lt;&gt;"",M570=""),L570,M570))))</f>
        <v/>
      </c>
      <c r="Z570">
        <f>IF(Y570&lt;&gt;"",TODAY()-Y570,"")</f>
        <v/>
      </c>
      <c r="AC570">
        <f>IF(AND(AA570&lt;&gt;"",AB570&lt;&gt;""),CHOOSE(MATCH(AA570,{"Low","Medium","High","Critical"},0),25,50,75,100)-CHOOSE(MATCH(AB570,{"Low","Medium","High","Critical"},0),25,50,75,100),"")</f>
        <v/>
      </c>
      <c r="AG570">
        <f>IF(AF570&lt;&gt;"",IF(AH570="Weekly",AF570+7,IF(AH570="Monthly",EDATE(AF570,1),IF(AH570="Quarterly",EDATE(AF570,3),""))),"")</f>
        <v/>
      </c>
      <c r="AK570">
        <f>IF(AJ570&lt;&gt;"",IF(AI570="Monthly",EDATE(AJ570,1),IF(AI570="Quarterly",EDATE(AJ570,3),IF(AI570="Semi-Annual",EDATE(AJ570,6),""))),"")</f>
        <v/>
      </c>
      <c r="AL570">
        <f>IF(AK570&lt;&gt;"",IF(AK570&lt;TODAY(),"Overdue","Current"),"")</f>
        <v/>
      </c>
    </row>
    <row r="571">
      <c r="K571">
        <f>IF(J571="v4.0",L571,IF(J571="v3.1",M571,IF(J571="Both",L571,IF(AND(L571&lt;&gt;"",M571=""),L571,M571))))</f>
        <v/>
      </c>
      <c r="Z571">
        <f>IF(Y571&lt;&gt;"",TODAY()-Y571,"")</f>
        <v/>
      </c>
      <c r="AC571">
        <f>IF(AND(AA571&lt;&gt;"",AB571&lt;&gt;""),CHOOSE(MATCH(AA571,{"Low","Medium","High","Critical"},0),25,50,75,100)-CHOOSE(MATCH(AB571,{"Low","Medium","High","Critical"},0),25,50,75,100),"")</f>
        <v/>
      </c>
      <c r="AG571">
        <f>IF(AF571&lt;&gt;"",IF(AH571="Weekly",AF571+7,IF(AH571="Monthly",EDATE(AF571,1),IF(AH571="Quarterly",EDATE(AF571,3),""))),"")</f>
        <v/>
      </c>
      <c r="AK571">
        <f>IF(AJ571&lt;&gt;"",IF(AI571="Monthly",EDATE(AJ571,1),IF(AI571="Quarterly",EDATE(AJ571,3),IF(AI571="Semi-Annual",EDATE(AJ571,6),""))),"")</f>
        <v/>
      </c>
      <c r="AL571">
        <f>IF(AK571&lt;&gt;"",IF(AK571&lt;TODAY(),"Overdue","Current"),"")</f>
        <v/>
      </c>
    </row>
    <row r="572">
      <c r="K572">
        <f>IF(J572="v4.0",L572,IF(J572="v3.1",M572,IF(J572="Both",L572,IF(AND(L572&lt;&gt;"",M572=""),L572,M572))))</f>
        <v/>
      </c>
      <c r="Z572">
        <f>IF(Y572&lt;&gt;"",TODAY()-Y572,"")</f>
        <v/>
      </c>
      <c r="AC572">
        <f>IF(AND(AA572&lt;&gt;"",AB572&lt;&gt;""),CHOOSE(MATCH(AA572,{"Low","Medium","High","Critical"},0),25,50,75,100)-CHOOSE(MATCH(AB572,{"Low","Medium","High","Critical"},0),25,50,75,100),"")</f>
        <v/>
      </c>
      <c r="AG572">
        <f>IF(AF572&lt;&gt;"",IF(AH572="Weekly",AF572+7,IF(AH572="Monthly",EDATE(AF572,1),IF(AH572="Quarterly",EDATE(AF572,3),""))),"")</f>
        <v/>
      </c>
      <c r="AK572">
        <f>IF(AJ572&lt;&gt;"",IF(AI572="Monthly",EDATE(AJ572,1),IF(AI572="Quarterly",EDATE(AJ572,3),IF(AI572="Semi-Annual",EDATE(AJ572,6),""))),"")</f>
        <v/>
      </c>
      <c r="AL572">
        <f>IF(AK572&lt;&gt;"",IF(AK572&lt;TODAY(),"Overdue","Current"),"")</f>
        <v/>
      </c>
    </row>
    <row r="573">
      <c r="K573">
        <f>IF(J573="v4.0",L573,IF(J573="v3.1",M573,IF(J573="Both",L573,IF(AND(L573&lt;&gt;"",M573=""),L573,M573))))</f>
        <v/>
      </c>
      <c r="Z573">
        <f>IF(Y573&lt;&gt;"",TODAY()-Y573,"")</f>
        <v/>
      </c>
      <c r="AC573">
        <f>IF(AND(AA573&lt;&gt;"",AB573&lt;&gt;""),CHOOSE(MATCH(AA573,{"Low","Medium","High","Critical"},0),25,50,75,100)-CHOOSE(MATCH(AB573,{"Low","Medium","High","Critical"},0),25,50,75,100),"")</f>
        <v/>
      </c>
      <c r="AG573">
        <f>IF(AF573&lt;&gt;"",IF(AH573="Weekly",AF573+7,IF(AH573="Monthly",EDATE(AF573,1),IF(AH573="Quarterly",EDATE(AF573,3),""))),"")</f>
        <v/>
      </c>
      <c r="AK573">
        <f>IF(AJ573&lt;&gt;"",IF(AI573="Monthly",EDATE(AJ573,1),IF(AI573="Quarterly",EDATE(AJ573,3),IF(AI573="Semi-Annual",EDATE(AJ573,6),""))),"")</f>
        <v/>
      </c>
      <c r="AL573">
        <f>IF(AK573&lt;&gt;"",IF(AK573&lt;TODAY(),"Overdue","Current"),"")</f>
        <v/>
      </c>
    </row>
    <row r="574">
      <c r="K574">
        <f>IF(J574="v4.0",L574,IF(J574="v3.1",M574,IF(J574="Both",L574,IF(AND(L574&lt;&gt;"",M574=""),L574,M574))))</f>
        <v/>
      </c>
      <c r="Z574">
        <f>IF(Y574&lt;&gt;"",TODAY()-Y574,"")</f>
        <v/>
      </c>
      <c r="AC574">
        <f>IF(AND(AA574&lt;&gt;"",AB574&lt;&gt;""),CHOOSE(MATCH(AA574,{"Low","Medium","High","Critical"},0),25,50,75,100)-CHOOSE(MATCH(AB574,{"Low","Medium","High","Critical"},0),25,50,75,100),"")</f>
        <v/>
      </c>
      <c r="AG574">
        <f>IF(AF574&lt;&gt;"",IF(AH574="Weekly",AF574+7,IF(AH574="Monthly",EDATE(AF574,1),IF(AH574="Quarterly",EDATE(AF574,3),""))),"")</f>
        <v/>
      </c>
      <c r="AK574">
        <f>IF(AJ574&lt;&gt;"",IF(AI574="Monthly",EDATE(AJ574,1),IF(AI574="Quarterly",EDATE(AJ574,3),IF(AI574="Semi-Annual",EDATE(AJ574,6),""))),"")</f>
        <v/>
      </c>
      <c r="AL574">
        <f>IF(AK574&lt;&gt;"",IF(AK574&lt;TODAY(),"Overdue","Current"),"")</f>
        <v/>
      </c>
    </row>
    <row r="575">
      <c r="K575">
        <f>IF(J575="v4.0",L575,IF(J575="v3.1",M575,IF(J575="Both",L575,IF(AND(L575&lt;&gt;"",M575=""),L575,M575))))</f>
        <v/>
      </c>
      <c r="Z575">
        <f>IF(Y575&lt;&gt;"",TODAY()-Y575,"")</f>
        <v/>
      </c>
      <c r="AC575">
        <f>IF(AND(AA575&lt;&gt;"",AB575&lt;&gt;""),CHOOSE(MATCH(AA575,{"Low","Medium","High","Critical"},0),25,50,75,100)-CHOOSE(MATCH(AB575,{"Low","Medium","High","Critical"},0),25,50,75,100),"")</f>
        <v/>
      </c>
      <c r="AG575">
        <f>IF(AF575&lt;&gt;"",IF(AH575="Weekly",AF575+7,IF(AH575="Monthly",EDATE(AF575,1),IF(AH575="Quarterly",EDATE(AF575,3),""))),"")</f>
        <v/>
      </c>
      <c r="AK575">
        <f>IF(AJ575&lt;&gt;"",IF(AI575="Monthly",EDATE(AJ575,1),IF(AI575="Quarterly",EDATE(AJ575,3),IF(AI575="Semi-Annual",EDATE(AJ575,6),""))),"")</f>
        <v/>
      </c>
      <c r="AL575">
        <f>IF(AK575&lt;&gt;"",IF(AK575&lt;TODAY(),"Overdue","Current"),"")</f>
        <v/>
      </c>
    </row>
    <row r="576">
      <c r="K576">
        <f>IF(J576="v4.0",L576,IF(J576="v3.1",M576,IF(J576="Both",L576,IF(AND(L576&lt;&gt;"",M576=""),L576,M576))))</f>
        <v/>
      </c>
      <c r="Z576">
        <f>IF(Y576&lt;&gt;"",TODAY()-Y576,"")</f>
        <v/>
      </c>
      <c r="AC576">
        <f>IF(AND(AA576&lt;&gt;"",AB576&lt;&gt;""),CHOOSE(MATCH(AA576,{"Low","Medium","High","Critical"},0),25,50,75,100)-CHOOSE(MATCH(AB576,{"Low","Medium","High","Critical"},0),25,50,75,100),"")</f>
        <v/>
      </c>
      <c r="AG576">
        <f>IF(AF576&lt;&gt;"",IF(AH576="Weekly",AF576+7,IF(AH576="Monthly",EDATE(AF576,1),IF(AH576="Quarterly",EDATE(AF576,3),""))),"")</f>
        <v/>
      </c>
      <c r="AK576">
        <f>IF(AJ576&lt;&gt;"",IF(AI576="Monthly",EDATE(AJ576,1),IF(AI576="Quarterly",EDATE(AJ576,3),IF(AI576="Semi-Annual",EDATE(AJ576,6),""))),"")</f>
        <v/>
      </c>
      <c r="AL576">
        <f>IF(AK576&lt;&gt;"",IF(AK576&lt;TODAY(),"Overdue","Current"),"")</f>
        <v/>
      </c>
    </row>
    <row r="577">
      <c r="K577">
        <f>IF(J577="v4.0",L577,IF(J577="v3.1",M577,IF(J577="Both",L577,IF(AND(L577&lt;&gt;"",M577=""),L577,M577))))</f>
        <v/>
      </c>
      <c r="Z577">
        <f>IF(Y577&lt;&gt;"",TODAY()-Y577,"")</f>
        <v/>
      </c>
      <c r="AC577">
        <f>IF(AND(AA577&lt;&gt;"",AB577&lt;&gt;""),CHOOSE(MATCH(AA577,{"Low","Medium","High","Critical"},0),25,50,75,100)-CHOOSE(MATCH(AB577,{"Low","Medium","High","Critical"},0),25,50,75,100),"")</f>
        <v/>
      </c>
      <c r="AG577">
        <f>IF(AF577&lt;&gt;"",IF(AH577="Weekly",AF577+7,IF(AH577="Monthly",EDATE(AF577,1),IF(AH577="Quarterly",EDATE(AF577,3),""))),"")</f>
        <v/>
      </c>
      <c r="AK577">
        <f>IF(AJ577&lt;&gt;"",IF(AI577="Monthly",EDATE(AJ577,1),IF(AI577="Quarterly",EDATE(AJ577,3),IF(AI577="Semi-Annual",EDATE(AJ577,6),""))),"")</f>
        <v/>
      </c>
      <c r="AL577">
        <f>IF(AK577&lt;&gt;"",IF(AK577&lt;TODAY(),"Overdue","Current"),"")</f>
        <v/>
      </c>
    </row>
    <row r="578">
      <c r="K578">
        <f>IF(J578="v4.0",L578,IF(J578="v3.1",M578,IF(J578="Both",L578,IF(AND(L578&lt;&gt;"",M578=""),L578,M578))))</f>
        <v/>
      </c>
      <c r="Z578">
        <f>IF(Y578&lt;&gt;"",TODAY()-Y578,"")</f>
        <v/>
      </c>
      <c r="AC578">
        <f>IF(AND(AA578&lt;&gt;"",AB578&lt;&gt;""),CHOOSE(MATCH(AA578,{"Low","Medium","High","Critical"},0),25,50,75,100)-CHOOSE(MATCH(AB578,{"Low","Medium","High","Critical"},0),25,50,75,100),"")</f>
        <v/>
      </c>
      <c r="AG578">
        <f>IF(AF578&lt;&gt;"",IF(AH578="Weekly",AF578+7,IF(AH578="Monthly",EDATE(AF578,1),IF(AH578="Quarterly",EDATE(AF578,3),""))),"")</f>
        <v/>
      </c>
      <c r="AK578">
        <f>IF(AJ578&lt;&gt;"",IF(AI578="Monthly",EDATE(AJ578,1),IF(AI578="Quarterly",EDATE(AJ578,3),IF(AI578="Semi-Annual",EDATE(AJ578,6),""))),"")</f>
        <v/>
      </c>
      <c r="AL578">
        <f>IF(AK578&lt;&gt;"",IF(AK578&lt;TODAY(),"Overdue","Current"),"")</f>
        <v/>
      </c>
    </row>
    <row r="579">
      <c r="K579">
        <f>IF(J579="v4.0",L579,IF(J579="v3.1",M579,IF(J579="Both",L579,IF(AND(L579&lt;&gt;"",M579=""),L579,M579))))</f>
        <v/>
      </c>
      <c r="Z579">
        <f>IF(Y579&lt;&gt;"",TODAY()-Y579,"")</f>
        <v/>
      </c>
      <c r="AC579">
        <f>IF(AND(AA579&lt;&gt;"",AB579&lt;&gt;""),CHOOSE(MATCH(AA579,{"Low","Medium","High","Critical"},0),25,50,75,100)-CHOOSE(MATCH(AB579,{"Low","Medium","High","Critical"},0),25,50,75,100),"")</f>
        <v/>
      </c>
      <c r="AG579">
        <f>IF(AF579&lt;&gt;"",IF(AH579="Weekly",AF579+7,IF(AH579="Monthly",EDATE(AF579,1),IF(AH579="Quarterly",EDATE(AF579,3),""))),"")</f>
        <v/>
      </c>
      <c r="AK579">
        <f>IF(AJ579&lt;&gt;"",IF(AI579="Monthly",EDATE(AJ579,1),IF(AI579="Quarterly",EDATE(AJ579,3),IF(AI579="Semi-Annual",EDATE(AJ579,6),""))),"")</f>
        <v/>
      </c>
      <c r="AL579">
        <f>IF(AK579&lt;&gt;"",IF(AK579&lt;TODAY(),"Overdue","Current"),"")</f>
        <v/>
      </c>
    </row>
    <row r="580">
      <c r="K580">
        <f>IF(J580="v4.0",L580,IF(J580="v3.1",M580,IF(J580="Both",L580,IF(AND(L580&lt;&gt;"",M580=""),L580,M580))))</f>
        <v/>
      </c>
      <c r="Z580">
        <f>IF(Y580&lt;&gt;"",TODAY()-Y580,"")</f>
        <v/>
      </c>
      <c r="AC580">
        <f>IF(AND(AA580&lt;&gt;"",AB580&lt;&gt;""),CHOOSE(MATCH(AA580,{"Low","Medium","High","Critical"},0),25,50,75,100)-CHOOSE(MATCH(AB580,{"Low","Medium","High","Critical"},0),25,50,75,100),"")</f>
        <v/>
      </c>
      <c r="AG580">
        <f>IF(AF580&lt;&gt;"",IF(AH580="Weekly",AF580+7,IF(AH580="Monthly",EDATE(AF580,1),IF(AH580="Quarterly",EDATE(AF580,3),""))),"")</f>
        <v/>
      </c>
      <c r="AK580">
        <f>IF(AJ580&lt;&gt;"",IF(AI580="Monthly",EDATE(AJ580,1),IF(AI580="Quarterly",EDATE(AJ580,3),IF(AI580="Semi-Annual",EDATE(AJ580,6),""))),"")</f>
        <v/>
      </c>
      <c r="AL580">
        <f>IF(AK580&lt;&gt;"",IF(AK580&lt;TODAY(),"Overdue","Current"),"")</f>
        <v/>
      </c>
    </row>
    <row r="581">
      <c r="K581">
        <f>IF(J581="v4.0",L581,IF(J581="v3.1",M581,IF(J581="Both",L581,IF(AND(L581&lt;&gt;"",M581=""),L581,M581))))</f>
        <v/>
      </c>
      <c r="Z581">
        <f>IF(Y581&lt;&gt;"",TODAY()-Y581,"")</f>
        <v/>
      </c>
      <c r="AC581">
        <f>IF(AND(AA581&lt;&gt;"",AB581&lt;&gt;""),CHOOSE(MATCH(AA581,{"Low","Medium","High","Critical"},0),25,50,75,100)-CHOOSE(MATCH(AB581,{"Low","Medium","High","Critical"},0),25,50,75,100),"")</f>
        <v/>
      </c>
      <c r="AG581">
        <f>IF(AF581&lt;&gt;"",IF(AH581="Weekly",AF581+7,IF(AH581="Monthly",EDATE(AF581,1),IF(AH581="Quarterly",EDATE(AF581,3),""))),"")</f>
        <v/>
      </c>
      <c r="AK581">
        <f>IF(AJ581&lt;&gt;"",IF(AI581="Monthly",EDATE(AJ581,1),IF(AI581="Quarterly",EDATE(AJ581,3),IF(AI581="Semi-Annual",EDATE(AJ581,6),""))),"")</f>
        <v/>
      </c>
      <c r="AL581">
        <f>IF(AK581&lt;&gt;"",IF(AK581&lt;TODAY(),"Overdue","Current"),"")</f>
        <v/>
      </c>
    </row>
    <row r="582">
      <c r="K582">
        <f>IF(J582="v4.0",L582,IF(J582="v3.1",M582,IF(J582="Both",L582,IF(AND(L582&lt;&gt;"",M582=""),L582,M582))))</f>
        <v/>
      </c>
      <c r="Z582">
        <f>IF(Y582&lt;&gt;"",TODAY()-Y582,"")</f>
        <v/>
      </c>
      <c r="AC582">
        <f>IF(AND(AA582&lt;&gt;"",AB582&lt;&gt;""),CHOOSE(MATCH(AA582,{"Low","Medium","High","Critical"},0),25,50,75,100)-CHOOSE(MATCH(AB582,{"Low","Medium","High","Critical"},0),25,50,75,100),"")</f>
        <v/>
      </c>
      <c r="AG582">
        <f>IF(AF582&lt;&gt;"",IF(AH582="Weekly",AF582+7,IF(AH582="Monthly",EDATE(AF582,1),IF(AH582="Quarterly",EDATE(AF582,3),""))),"")</f>
        <v/>
      </c>
      <c r="AK582">
        <f>IF(AJ582&lt;&gt;"",IF(AI582="Monthly",EDATE(AJ582,1),IF(AI582="Quarterly",EDATE(AJ582,3),IF(AI582="Semi-Annual",EDATE(AJ582,6),""))),"")</f>
        <v/>
      </c>
      <c r="AL582">
        <f>IF(AK582&lt;&gt;"",IF(AK582&lt;TODAY(),"Overdue","Current"),"")</f>
        <v/>
      </c>
    </row>
    <row r="583">
      <c r="K583">
        <f>IF(J583="v4.0",L583,IF(J583="v3.1",M583,IF(J583="Both",L583,IF(AND(L583&lt;&gt;"",M583=""),L583,M583))))</f>
        <v/>
      </c>
      <c r="Z583">
        <f>IF(Y583&lt;&gt;"",TODAY()-Y583,"")</f>
        <v/>
      </c>
      <c r="AC583">
        <f>IF(AND(AA583&lt;&gt;"",AB583&lt;&gt;""),CHOOSE(MATCH(AA583,{"Low","Medium","High","Critical"},0),25,50,75,100)-CHOOSE(MATCH(AB583,{"Low","Medium","High","Critical"},0),25,50,75,100),"")</f>
        <v/>
      </c>
      <c r="AG583">
        <f>IF(AF583&lt;&gt;"",IF(AH583="Weekly",AF583+7,IF(AH583="Monthly",EDATE(AF583,1),IF(AH583="Quarterly",EDATE(AF583,3),""))),"")</f>
        <v/>
      </c>
      <c r="AK583">
        <f>IF(AJ583&lt;&gt;"",IF(AI583="Monthly",EDATE(AJ583,1),IF(AI583="Quarterly",EDATE(AJ583,3),IF(AI583="Semi-Annual",EDATE(AJ583,6),""))),"")</f>
        <v/>
      </c>
      <c r="AL583">
        <f>IF(AK583&lt;&gt;"",IF(AK583&lt;TODAY(),"Overdue","Current"),"")</f>
        <v/>
      </c>
    </row>
    <row r="584">
      <c r="K584">
        <f>IF(J584="v4.0",L584,IF(J584="v3.1",M584,IF(J584="Both",L584,IF(AND(L584&lt;&gt;"",M584=""),L584,M584))))</f>
        <v/>
      </c>
      <c r="Z584">
        <f>IF(Y584&lt;&gt;"",TODAY()-Y584,"")</f>
        <v/>
      </c>
      <c r="AC584">
        <f>IF(AND(AA584&lt;&gt;"",AB584&lt;&gt;""),CHOOSE(MATCH(AA584,{"Low","Medium","High","Critical"},0),25,50,75,100)-CHOOSE(MATCH(AB584,{"Low","Medium","High","Critical"},0),25,50,75,100),"")</f>
        <v/>
      </c>
      <c r="AG584">
        <f>IF(AF584&lt;&gt;"",IF(AH584="Weekly",AF584+7,IF(AH584="Monthly",EDATE(AF584,1),IF(AH584="Quarterly",EDATE(AF584,3),""))),"")</f>
        <v/>
      </c>
      <c r="AK584">
        <f>IF(AJ584&lt;&gt;"",IF(AI584="Monthly",EDATE(AJ584,1),IF(AI584="Quarterly",EDATE(AJ584,3),IF(AI584="Semi-Annual",EDATE(AJ584,6),""))),"")</f>
        <v/>
      </c>
      <c r="AL584">
        <f>IF(AK584&lt;&gt;"",IF(AK584&lt;TODAY(),"Overdue","Current"),"")</f>
        <v/>
      </c>
    </row>
    <row r="585">
      <c r="K585">
        <f>IF(J585="v4.0",L585,IF(J585="v3.1",M585,IF(J585="Both",L585,IF(AND(L585&lt;&gt;"",M585=""),L585,M585))))</f>
        <v/>
      </c>
      <c r="Z585">
        <f>IF(Y585&lt;&gt;"",TODAY()-Y585,"")</f>
        <v/>
      </c>
      <c r="AC585">
        <f>IF(AND(AA585&lt;&gt;"",AB585&lt;&gt;""),CHOOSE(MATCH(AA585,{"Low","Medium","High","Critical"},0),25,50,75,100)-CHOOSE(MATCH(AB585,{"Low","Medium","High","Critical"},0),25,50,75,100),"")</f>
        <v/>
      </c>
      <c r="AG585">
        <f>IF(AF585&lt;&gt;"",IF(AH585="Weekly",AF585+7,IF(AH585="Monthly",EDATE(AF585,1),IF(AH585="Quarterly",EDATE(AF585,3),""))),"")</f>
        <v/>
      </c>
      <c r="AK585">
        <f>IF(AJ585&lt;&gt;"",IF(AI585="Monthly",EDATE(AJ585,1),IF(AI585="Quarterly",EDATE(AJ585,3),IF(AI585="Semi-Annual",EDATE(AJ585,6),""))),"")</f>
        <v/>
      </c>
      <c r="AL585">
        <f>IF(AK585&lt;&gt;"",IF(AK585&lt;TODAY(),"Overdue","Current"),"")</f>
        <v/>
      </c>
    </row>
    <row r="586">
      <c r="K586">
        <f>IF(J586="v4.0",L586,IF(J586="v3.1",M586,IF(J586="Both",L586,IF(AND(L586&lt;&gt;"",M586=""),L586,M586))))</f>
        <v/>
      </c>
      <c r="Z586">
        <f>IF(Y586&lt;&gt;"",TODAY()-Y586,"")</f>
        <v/>
      </c>
      <c r="AC586">
        <f>IF(AND(AA586&lt;&gt;"",AB586&lt;&gt;""),CHOOSE(MATCH(AA586,{"Low","Medium","High","Critical"},0),25,50,75,100)-CHOOSE(MATCH(AB586,{"Low","Medium","High","Critical"},0),25,50,75,100),"")</f>
        <v/>
      </c>
      <c r="AG586">
        <f>IF(AF586&lt;&gt;"",IF(AH586="Weekly",AF586+7,IF(AH586="Monthly",EDATE(AF586,1),IF(AH586="Quarterly",EDATE(AF586,3),""))),"")</f>
        <v/>
      </c>
      <c r="AK586">
        <f>IF(AJ586&lt;&gt;"",IF(AI586="Monthly",EDATE(AJ586,1),IF(AI586="Quarterly",EDATE(AJ586,3),IF(AI586="Semi-Annual",EDATE(AJ586,6),""))),"")</f>
        <v/>
      </c>
      <c r="AL586">
        <f>IF(AK586&lt;&gt;"",IF(AK586&lt;TODAY(),"Overdue","Current"),"")</f>
        <v/>
      </c>
    </row>
    <row r="587">
      <c r="K587">
        <f>IF(J587="v4.0",L587,IF(J587="v3.1",M587,IF(J587="Both",L587,IF(AND(L587&lt;&gt;"",M587=""),L587,M587))))</f>
        <v/>
      </c>
      <c r="Z587">
        <f>IF(Y587&lt;&gt;"",TODAY()-Y587,"")</f>
        <v/>
      </c>
      <c r="AC587">
        <f>IF(AND(AA587&lt;&gt;"",AB587&lt;&gt;""),CHOOSE(MATCH(AA587,{"Low","Medium","High","Critical"},0),25,50,75,100)-CHOOSE(MATCH(AB587,{"Low","Medium","High","Critical"},0),25,50,75,100),"")</f>
        <v/>
      </c>
      <c r="AG587">
        <f>IF(AF587&lt;&gt;"",IF(AH587="Weekly",AF587+7,IF(AH587="Monthly",EDATE(AF587,1),IF(AH587="Quarterly",EDATE(AF587,3),""))),"")</f>
        <v/>
      </c>
      <c r="AK587">
        <f>IF(AJ587&lt;&gt;"",IF(AI587="Monthly",EDATE(AJ587,1),IF(AI587="Quarterly",EDATE(AJ587,3),IF(AI587="Semi-Annual",EDATE(AJ587,6),""))),"")</f>
        <v/>
      </c>
      <c r="AL587">
        <f>IF(AK587&lt;&gt;"",IF(AK587&lt;TODAY(),"Overdue","Current"),"")</f>
        <v/>
      </c>
    </row>
    <row r="588">
      <c r="K588">
        <f>IF(J588="v4.0",L588,IF(J588="v3.1",M588,IF(J588="Both",L588,IF(AND(L588&lt;&gt;"",M588=""),L588,M588))))</f>
        <v/>
      </c>
      <c r="Z588">
        <f>IF(Y588&lt;&gt;"",TODAY()-Y588,"")</f>
        <v/>
      </c>
      <c r="AC588">
        <f>IF(AND(AA588&lt;&gt;"",AB588&lt;&gt;""),CHOOSE(MATCH(AA588,{"Low","Medium","High","Critical"},0),25,50,75,100)-CHOOSE(MATCH(AB588,{"Low","Medium","High","Critical"},0),25,50,75,100),"")</f>
        <v/>
      </c>
      <c r="AG588">
        <f>IF(AF588&lt;&gt;"",IF(AH588="Weekly",AF588+7,IF(AH588="Monthly",EDATE(AF588,1),IF(AH588="Quarterly",EDATE(AF588,3),""))),"")</f>
        <v/>
      </c>
      <c r="AK588">
        <f>IF(AJ588&lt;&gt;"",IF(AI588="Monthly",EDATE(AJ588,1),IF(AI588="Quarterly",EDATE(AJ588,3),IF(AI588="Semi-Annual",EDATE(AJ588,6),""))),"")</f>
        <v/>
      </c>
      <c r="AL588">
        <f>IF(AK588&lt;&gt;"",IF(AK588&lt;TODAY(),"Overdue","Current"),"")</f>
        <v/>
      </c>
    </row>
    <row r="589">
      <c r="K589">
        <f>IF(J589="v4.0",L589,IF(J589="v3.1",M589,IF(J589="Both",L589,IF(AND(L589&lt;&gt;"",M589=""),L589,M589))))</f>
        <v/>
      </c>
      <c r="Z589">
        <f>IF(Y589&lt;&gt;"",TODAY()-Y589,"")</f>
        <v/>
      </c>
      <c r="AC589">
        <f>IF(AND(AA589&lt;&gt;"",AB589&lt;&gt;""),CHOOSE(MATCH(AA589,{"Low","Medium","High","Critical"},0),25,50,75,100)-CHOOSE(MATCH(AB589,{"Low","Medium","High","Critical"},0),25,50,75,100),"")</f>
        <v/>
      </c>
      <c r="AG589">
        <f>IF(AF589&lt;&gt;"",IF(AH589="Weekly",AF589+7,IF(AH589="Monthly",EDATE(AF589,1),IF(AH589="Quarterly",EDATE(AF589,3),""))),"")</f>
        <v/>
      </c>
      <c r="AK589">
        <f>IF(AJ589&lt;&gt;"",IF(AI589="Monthly",EDATE(AJ589,1),IF(AI589="Quarterly",EDATE(AJ589,3),IF(AI589="Semi-Annual",EDATE(AJ589,6),""))),"")</f>
        <v/>
      </c>
      <c r="AL589">
        <f>IF(AK589&lt;&gt;"",IF(AK589&lt;TODAY(),"Overdue","Current"),"")</f>
        <v/>
      </c>
    </row>
    <row r="590">
      <c r="K590">
        <f>IF(J590="v4.0",L590,IF(J590="v3.1",M590,IF(J590="Both",L590,IF(AND(L590&lt;&gt;"",M590=""),L590,M590))))</f>
        <v/>
      </c>
      <c r="Z590">
        <f>IF(Y590&lt;&gt;"",TODAY()-Y590,"")</f>
        <v/>
      </c>
      <c r="AC590">
        <f>IF(AND(AA590&lt;&gt;"",AB590&lt;&gt;""),CHOOSE(MATCH(AA590,{"Low","Medium","High","Critical"},0),25,50,75,100)-CHOOSE(MATCH(AB590,{"Low","Medium","High","Critical"},0),25,50,75,100),"")</f>
        <v/>
      </c>
      <c r="AG590">
        <f>IF(AF590&lt;&gt;"",IF(AH590="Weekly",AF590+7,IF(AH590="Monthly",EDATE(AF590,1),IF(AH590="Quarterly",EDATE(AF590,3),""))),"")</f>
        <v/>
      </c>
      <c r="AK590">
        <f>IF(AJ590&lt;&gt;"",IF(AI590="Monthly",EDATE(AJ590,1),IF(AI590="Quarterly",EDATE(AJ590,3),IF(AI590="Semi-Annual",EDATE(AJ590,6),""))),"")</f>
        <v/>
      </c>
      <c r="AL590">
        <f>IF(AK590&lt;&gt;"",IF(AK590&lt;TODAY(),"Overdue","Current"),"")</f>
        <v/>
      </c>
    </row>
    <row r="591">
      <c r="K591">
        <f>IF(J591="v4.0",L591,IF(J591="v3.1",M591,IF(J591="Both",L591,IF(AND(L591&lt;&gt;"",M591=""),L591,M591))))</f>
        <v/>
      </c>
      <c r="Z591">
        <f>IF(Y591&lt;&gt;"",TODAY()-Y591,"")</f>
        <v/>
      </c>
      <c r="AC591">
        <f>IF(AND(AA591&lt;&gt;"",AB591&lt;&gt;""),CHOOSE(MATCH(AA591,{"Low","Medium","High","Critical"},0),25,50,75,100)-CHOOSE(MATCH(AB591,{"Low","Medium","High","Critical"},0),25,50,75,100),"")</f>
        <v/>
      </c>
      <c r="AG591">
        <f>IF(AF591&lt;&gt;"",IF(AH591="Weekly",AF591+7,IF(AH591="Monthly",EDATE(AF591,1),IF(AH591="Quarterly",EDATE(AF591,3),""))),"")</f>
        <v/>
      </c>
      <c r="AK591">
        <f>IF(AJ591&lt;&gt;"",IF(AI591="Monthly",EDATE(AJ591,1),IF(AI591="Quarterly",EDATE(AJ591,3),IF(AI591="Semi-Annual",EDATE(AJ591,6),""))),"")</f>
        <v/>
      </c>
      <c r="AL591">
        <f>IF(AK591&lt;&gt;"",IF(AK591&lt;TODAY(),"Overdue","Current"),"")</f>
        <v/>
      </c>
    </row>
    <row r="592">
      <c r="K592">
        <f>IF(J592="v4.0",L592,IF(J592="v3.1",M592,IF(J592="Both",L592,IF(AND(L592&lt;&gt;"",M592=""),L592,M592))))</f>
        <v/>
      </c>
      <c r="Z592">
        <f>IF(Y592&lt;&gt;"",TODAY()-Y592,"")</f>
        <v/>
      </c>
      <c r="AC592">
        <f>IF(AND(AA592&lt;&gt;"",AB592&lt;&gt;""),CHOOSE(MATCH(AA592,{"Low","Medium","High","Critical"},0),25,50,75,100)-CHOOSE(MATCH(AB592,{"Low","Medium","High","Critical"},0),25,50,75,100),"")</f>
        <v/>
      </c>
      <c r="AG592">
        <f>IF(AF592&lt;&gt;"",IF(AH592="Weekly",AF592+7,IF(AH592="Monthly",EDATE(AF592,1),IF(AH592="Quarterly",EDATE(AF592,3),""))),"")</f>
        <v/>
      </c>
      <c r="AK592">
        <f>IF(AJ592&lt;&gt;"",IF(AI592="Monthly",EDATE(AJ592,1),IF(AI592="Quarterly",EDATE(AJ592,3),IF(AI592="Semi-Annual",EDATE(AJ592,6),""))),"")</f>
        <v/>
      </c>
      <c r="AL592">
        <f>IF(AK592&lt;&gt;"",IF(AK592&lt;TODAY(),"Overdue","Current"),"")</f>
        <v/>
      </c>
    </row>
    <row r="593">
      <c r="K593">
        <f>IF(J593="v4.0",L593,IF(J593="v3.1",M593,IF(J593="Both",L593,IF(AND(L593&lt;&gt;"",M593=""),L593,M593))))</f>
        <v/>
      </c>
      <c r="Z593">
        <f>IF(Y593&lt;&gt;"",TODAY()-Y593,"")</f>
        <v/>
      </c>
      <c r="AC593">
        <f>IF(AND(AA593&lt;&gt;"",AB593&lt;&gt;""),CHOOSE(MATCH(AA593,{"Low","Medium","High","Critical"},0),25,50,75,100)-CHOOSE(MATCH(AB593,{"Low","Medium","High","Critical"},0),25,50,75,100),"")</f>
        <v/>
      </c>
      <c r="AG593">
        <f>IF(AF593&lt;&gt;"",IF(AH593="Weekly",AF593+7,IF(AH593="Monthly",EDATE(AF593,1),IF(AH593="Quarterly",EDATE(AF593,3),""))),"")</f>
        <v/>
      </c>
      <c r="AK593">
        <f>IF(AJ593&lt;&gt;"",IF(AI593="Monthly",EDATE(AJ593,1),IF(AI593="Quarterly",EDATE(AJ593,3),IF(AI593="Semi-Annual",EDATE(AJ593,6),""))),"")</f>
        <v/>
      </c>
      <c r="AL593">
        <f>IF(AK593&lt;&gt;"",IF(AK593&lt;TODAY(),"Overdue","Current"),"")</f>
        <v/>
      </c>
    </row>
    <row r="594">
      <c r="K594">
        <f>IF(J594="v4.0",L594,IF(J594="v3.1",M594,IF(J594="Both",L594,IF(AND(L594&lt;&gt;"",M594=""),L594,M594))))</f>
        <v/>
      </c>
      <c r="Z594">
        <f>IF(Y594&lt;&gt;"",TODAY()-Y594,"")</f>
        <v/>
      </c>
      <c r="AC594">
        <f>IF(AND(AA594&lt;&gt;"",AB594&lt;&gt;""),CHOOSE(MATCH(AA594,{"Low","Medium","High","Critical"},0),25,50,75,100)-CHOOSE(MATCH(AB594,{"Low","Medium","High","Critical"},0),25,50,75,100),"")</f>
        <v/>
      </c>
      <c r="AG594">
        <f>IF(AF594&lt;&gt;"",IF(AH594="Weekly",AF594+7,IF(AH594="Monthly",EDATE(AF594,1),IF(AH594="Quarterly",EDATE(AF594,3),""))),"")</f>
        <v/>
      </c>
      <c r="AK594">
        <f>IF(AJ594&lt;&gt;"",IF(AI594="Monthly",EDATE(AJ594,1),IF(AI594="Quarterly",EDATE(AJ594,3),IF(AI594="Semi-Annual",EDATE(AJ594,6),""))),"")</f>
        <v/>
      </c>
      <c r="AL594">
        <f>IF(AK594&lt;&gt;"",IF(AK594&lt;TODAY(),"Overdue","Current"),"")</f>
        <v/>
      </c>
    </row>
    <row r="595">
      <c r="K595">
        <f>IF(J595="v4.0",L595,IF(J595="v3.1",M595,IF(J595="Both",L595,IF(AND(L595&lt;&gt;"",M595=""),L595,M595))))</f>
        <v/>
      </c>
      <c r="Z595">
        <f>IF(Y595&lt;&gt;"",TODAY()-Y595,"")</f>
        <v/>
      </c>
      <c r="AC595">
        <f>IF(AND(AA595&lt;&gt;"",AB595&lt;&gt;""),CHOOSE(MATCH(AA595,{"Low","Medium","High","Critical"},0),25,50,75,100)-CHOOSE(MATCH(AB595,{"Low","Medium","High","Critical"},0),25,50,75,100),"")</f>
        <v/>
      </c>
      <c r="AG595">
        <f>IF(AF595&lt;&gt;"",IF(AH595="Weekly",AF595+7,IF(AH595="Monthly",EDATE(AF595,1),IF(AH595="Quarterly",EDATE(AF595,3),""))),"")</f>
        <v/>
      </c>
      <c r="AK595">
        <f>IF(AJ595&lt;&gt;"",IF(AI595="Monthly",EDATE(AJ595,1),IF(AI595="Quarterly",EDATE(AJ595,3),IF(AI595="Semi-Annual",EDATE(AJ595,6),""))),"")</f>
        <v/>
      </c>
      <c r="AL595">
        <f>IF(AK595&lt;&gt;"",IF(AK595&lt;TODAY(),"Overdue","Current"),"")</f>
        <v/>
      </c>
    </row>
    <row r="596">
      <c r="K596">
        <f>IF(J596="v4.0",L596,IF(J596="v3.1",M596,IF(J596="Both",L596,IF(AND(L596&lt;&gt;"",M596=""),L596,M596))))</f>
        <v/>
      </c>
      <c r="Z596">
        <f>IF(Y596&lt;&gt;"",TODAY()-Y596,"")</f>
        <v/>
      </c>
      <c r="AC596">
        <f>IF(AND(AA596&lt;&gt;"",AB596&lt;&gt;""),CHOOSE(MATCH(AA596,{"Low","Medium","High","Critical"},0),25,50,75,100)-CHOOSE(MATCH(AB596,{"Low","Medium","High","Critical"},0),25,50,75,100),"")</f>
        <v/>
      </c>
      <c r="AG596">
        <f>IF(AF596&lt;&gt;"",IF(AH596="Weekly",AF596+7,IF(AH596="Monthly",EDATE(AF596,1),IF(AH596="Quarterly",EDATE(AF596,3),""))),"")</f>
        <v/>
      </c>
      <c r="AK596">
        <f>IF(AJ596&lt;&gt;"",IF(AI596="Monthly",EDATE(AJ596,1),IF(AI596="Quarterly",EDATE(AJ596,3),IF(AI596="Semi-Annual",EDATE(AJ596,6),""))),"")</f>
        <v/>
      </c>
      <c r="AL596">
        <f>IF(AK596&lt;&gt;"",IF(AK596&lt;TODAY(),"Overdue","Current"),"")</f>
        <v/>
      </c>
    </row>
    <row r="597">
      <c r="K597">
        <f>IF(J597="v4.0",L597,IF(J597="v3.1",M597,IF(J597="Both",L597,IF(AND(L597&lt;&gt;"",M597=""),L597,M597))))</f>
        <v/>
      </c>
      <c r="Z597">
        <f>IF(Y597&lt;&gt;"",TODAY()-Y597,"")</f>
        <v/>
      </c>
      <c r="AC597">
        <f>IF(AND(AA597&lt;&gt;"",AB597&lt;&gt;""),CHOOSE(MATCH(AA597,{"Low","Medium","High","Critical"},0),25,50,75,100)-CHOOSE(MATCH(AB597,{"Low","Medium","High","Critical"},0),25,50,75,100),"")</f>
        <v/>
      </c>
      <c r="AG597">
        <f>IF(AF597&lt;&gt;"",IF(AH597="Weekly",AF597+7,IF(AH597="Monthly",EDATE(AF597,1),IF(AH597="Quarterly",EDATE(AF597,3),""))),"")</f>
        <v/>
      </c>
      <c r="AK597">
        <f>IF(AJ597&lt;&gt;"",IF(AI597="Monthly",EDATE(AJ597,1),IF(AI597="Quarterly",EDATE(AJ597,3),IF(AI597="Semi-Annual",EDATE(AJ597,6),""))),"")</f>
        <v/>
      </c>
      <c r="AL597">
        <f>IF(AK597&lt;&gt;"",IF(AK597&lt;TODAY(),"Overdue","Current"),"")</f>
        <v/>
      </c>
    </row>
    <row r="598">
      <c r="K598">
        <f>IF(J598="v4.0",L598,IF(J598="v3.1",M598,IF(J598="Both",L598,IF(AND(L598&lt;&gt;"",M598=""),L598,M598))))</f>
        <v/>
      </c>
      <c r="Z598">
        <f>IF(Y598&lt;&gt;"",TODAY()-Y598,"")</f>
        <v/>
      </c>
      <c r="AC598">
        <f>IF(AND(AA598&lt;&gt;"",AB598&lt;&gt;""),CHOOSE(MATCH(AA598,{"Low","Medium","High","Critical"},0),25,50,75,100)-CHOOSE(MATCH(AB598,{"Low","Medium","High","Critical"},0),25,50,75,100),"")</f>
        <v/>
      </c>
      <c r="AG598">
        <f>IF(AF598&lt;&gt;"",IF(AH598="Weekly",AF598+7,IF(AH598="Monthly",EDATE(AF598,1),IF(AH598="Quarterly",EDATE(AF598,3),""))),"")</f>
        <v/>
      </c>
      <c r="AK598">
        <f>IF(AJ598&lt;&gt;"",IF(AI598="Monthly",EDATE(AJ598,1),IF(AI598="Quarterly",EDATE(AJ598,3),IF(AI598="Semi-Annual",EDATE(AJ598,6),""))),"")</f>
        <v/>
      </c>
      <c r="AL598">
        <f>IF(AK598&lt;&gt;"",IF(AK598&lt;TODAY(),"Overdue","Current"),"")</f>
        <v/>
      </c>
    </row>
    <row r="599">
      <c r="K599">
        <f>IF(J599="v4.0",L599,IF(J599="v3.1",M599,IF(J599="Both",L599,IF(AND(L599&lt;&gt;"",M599=""),L599,M599))))</f>
        <v/>
      </c>
      <c r="Z599">
        <f>IF(Y599&lt;&gt;"",TODAY()-Y599,"")</f>
        <v/>
      </c>
      <c r="AC599">
        <f>IF(AND(AA599&lt;&gt;"",AB599&lt;&gt;""),CHOOSE(MATCH(AA599,{"Low","Medium","High","Critical"},0),25,50,75,100)-CHOOSE(MATCH(AB599,{"Low","Medium","High","Critical"},0),25,50,75,100),"")</f>
        <v/>
      </c>
      <c r="AG599">
        <f>IF(AF599&lt;&gt;"",IF(AH599="Weekly",AF599+7,IF(AH599="Monthly",EDATE(AF599,1),IF(AH599="Quarterly",EDATE(AF599,3),""))),"")</f>
        <v/>
      </c>
      <c r="AK599">
        <f>IF(AJ599&lt;&gt;"",IF(AI599="Monthly",EDATE(AJ599,1),IF(AI599="Quarterly",EDATE(AJ599,3),IF(AI599="Semi-Annual",EDATE(AJ599,6),""))),"")</f>
        <v/>
      </c>
      <c r="AL599">
        <f>IF(AK599&lt;&gt;"",IF(AK599&lt;TODAY(),"Overdue","Current"),"")</f>
        <v/>
      </c>
    </row>
    <row r="600">
      <c r="K600">
        <f>IF(J600="v4.0",L600,IF(J600="v3.1",M600,IF(J600="Both",L600,IF(AND(L600&lt;&gt;"",M600=""),L600,M600))))</f>
        <v/>
      </c>
      <c r="Z600">
        <f>IF(Y600&lt;&gt;"",TODAY()-Y600,"")</f>
        <v/>
      </c>
      <c r="AC600">
        <f>IF(AND(AA600&lt;&gt;"",AB600&lt;&gt;""),CHOOSE(MATCH(AA600,{"Low","Medium","High","Critical"},0),25,50,75,100)-CHOOSE(MATCH(AB600,{"Low","Medium","High","Critical"},0),25,50,75,100),"")</f>
        <v/>
      </c>
      <c r="AG600">
        <f>IF(AF600&lt;&gt;"",IF(AH600="Weekly",AF600+7,IF(AH600="Monthly",EDATE(AF600,1),IF(AH600="Quarterly",EDATE(AF600,3),""))),"")</f>
        <v/>
      </c>
      <c r="AK600">
        <f>IF(AJ600&lt;&gt;"",IF(AI600="Monthly",EDATE(AJ600,1),IF(AI600="Quarterly",EDATE(AJ600,3),IF(AI600="Semi-Annual",EDATE(AJ600,6),""))),"")</f>
        <v/>
      </c>
      <c r="AL600">
        <f>IF(AK600&lt;&gt;"",IF(AK600&lt;TODAY(),"Overdue","Current"),"")</f>
        <v/>
      </c>
    </row>
    <row r="601">
      <c r="K601">
        <f>IF(J601="v4.0",L601,IF(J601="v3.1",M601,IF(J601="Both",L601,IF(AND(L601&lt;&gt;"",M601=""),L601,M601))))</f>
        <v/>
      </c>
      <c r="Z601">
        <f>IF(Y601&lt;&gt;"",TODAY()-Y601,"")</f>
        <v/>
      </c>
      <c r="AC601">
        <f>IF(AND(AA601&lt;&gt;"",AB601&lt;&gt;""),CHOOSE(MATCH(AA601,{"Low","Medium","High","Critical"},0),25,50,75,100)-CHOOSE(MATCH(AB601,{"Low","Medium","High","Critical"},0),25,50,75,100),"")</f>
        <v/>
      </c>
      <c r="AG601">
        <f>IF(AF601&lt;&gt;"",IF(AH601="Weekly",AF601+7,IF(AH601="Monthly",EDATE(AF601,1),IF(AH601="Quarterly",EDATE(AF601,3),""))),"")</f>
        <v/>
      </c>
      <c r="AK601">
        <f>IF(AJ601&lt;&gt;"",IF(AI601="Monthly",EDATE(AJ601,1),IF(AI601="Quarterly",EDATE(AJ601,3),IF(AI601="Semi-Annual",EDATE(AJ601,6),""))),"")</f>
        <v/>
      </c>
      <c r="AL601">
        <f>IF(AK601&lt;&gt;"",IF(AK601&lt;TODAY(),"Overdue","Current"),"")</f>
        <v/>
      </c>
    </row>
    <row r="602">
      <c r="K602">
        <f>IF(J602="v4.0",L602,IF(J602="v3.1",M602,IF(J602="Both",L602,IF(AND(L602&lt;&gt;"",M602=""),L602,M602))))</f>
        <v/>
      </c>
      <c r="Z602">
        <f>IF(Y602&lt;&gt;"",TODAY()-Y602,"")</f>
        <v/>
      </c>
      <c r="AC602">
        <f>IF(AND(AA602&lt;&gt;"",AB602&lt;&gt;""),CHOOSE(MATCH(AA602,{"Low","Medium","High","Critical"},0),25,50,75,100)-CHOOSE(MATCH(AB602,{"Low","Medium","High","Critical"},0),25,50,75,100),"")</f>
        <v/>
      </c>
      <c r="AG602">
        <f>IF(AF602&lt;&gt;"",IF(AH602="Weekly",AF602+7,IF(AH602="Monthly",EDATE(AF602,1),IF(AH602="Quarterly",EDATE(AF602,3),""))),"")</f>
        <v/>
      </c>
      <c r="AK602">
        <f>IF(AJ602&lt;&gt;"",IF(AI602="Monthly",EDATE(AJ602,1),IF(AI602="Quarterly",EDATE(AJ602,3),IF(AI602="Semi-Annual",EDATE(AJ602,6),""))),"")</f>
        <v/>
      </c>
      <c r="AL602">
        <f>IF(AK602&lt;&gt;"",IF(AK602&lt;TODAY(),"Overdue","Current"),"")</f>
        <v/>
      </c>
    </row>
    <row r="603">
      <c r="K603">
        <f>IF(J603="v4.0",L603,IF(J603="v3.1",M603,IF(J603="Both",L603,IF(AND(L603&lt;&gt;"",M603=""),L603,M603))))</f>
        <v/>
      </c>
      <c r="Z603">
        <f>IF(Y603&lt;&gt;"",TODAY()-Y603,"")</f>
        <v/>
      </c>
      <c r="AC603">
        <f>IF(AND(AA603&lt;&gt;"",AB603&lt;&gt;""),CHOOSE(MATCH(AA603,{"Low","Medium","High","Critical"},0),25,50,75,100)-CHOOSE(MATCH(AB603,{"Low","Medium","High","Critical"},0),25,50,75,100),"")</f>
        <v/>
      </c>
      <c r="AG603">
        <f>IF(AF603&lt;&gt;"",IF(AH603="Weekly",AF603+7,IF(AH603="Monthly",EDATE(AF603,1),IF(AH603="Quarterly",EDATE(AF603,3),""))),"")</f>
        <v/>
      </c>
      <c r="AK603">
        <f>IF(AJ603&lt;&gt;"",IF(AI603="Monthly",EDATE(AJ603,1),IF(AI603="Quarterly",EDATE(AJ603,3),IF(AI603="Semi-Annual",EDATE(AJ603,6),""))),"")</f>
        <v/>
      </c>
      <c r="AL603">
        <f>IF(AK603&lt;&gt;"",IF(AK603&lt;TODAY(),"Overdue","Current"),"")</f>
        <v/>
      </c>
    </row>
    <row r="604">
      <c r="K604">
        <f>IF(J604="v4.0",L604,IF(J604="v3.1",M604,IF(J604="Both",L604,IF(AND(L604&lt;&gt;"",M604=""),L604,M604))))</f>
        <v/>
      </c>
      <c r="Z604">
        <f>IF(Y604&lt;&gt;"",TODAY()-Y604,"")</f>
        <v/>
      </c>
      <c r="AC604">
        <f>IF(AND(AA604&lt;&gt;"",AB604&lt;&gt;""),CHOOSE(MATCH(AA604,{"Low","Medium","High","Critical"},0),25,50,75,100)-CHOOSE(MATCH(AB604,{"Low","Medium","High","Critical"},0),25,50,75,100),"")</f>
        <v/>
      </c>
      <c r="AG604">
        <f>IF(AF604&lt;&gt;"",IF(AH604="Weekly",AF604+7,IF(AH604="Monthly",EDATE(AF604,1),IF(AH604="Quarterly",EDATE(AF604,3),""))),"")</f>
        <v/>
      </c>
      <c r="AK604">
        <f>IF(AJ604&lt;&gt;"",IF(AI604="Monthly",EDATE(AJ604,1),IF(AI604="Quarterly",EDATE(AJ604,3),IF(AI604="Semi-Annual",EDATE(AJ604,6),""))),"")</f>
        <v/>
      </c>
      <c r="AL604">
        <f>IF(AK604&lt;&gt;"",IF(AK604&lt;TODAY(),"Overdue","Current"),"")</f>
        <v/>
      </c>
    </row>
    <row r="605">
      <c r="K605">
        <f>IF(J605="v4.0",L605,IF(J605="v3.1",M605,IF(J605="Both",L605,IF(AND(L605&lt;&gt;"",M605=""),L605,M605))))</f>
        <v/>
      </c>
      <c r="Z605">
        <f>IF(Y605&lt;&gt;"",TODAY()-Y605,"")</f>
        <v/>
      </c>
      <c r="AC605">
        <f>IF(AND(AA605&lt;&gt;"",AB605&lt;&gt;""),CHOOSE(MATCH(AA605,{"Low","Medium","High","Critical"},0),25,50,75,100)-CHOOSE(MATCH(AB605,{"Low","Medium","High","Critical"},0),25,50,75,100),"")</f>
        <v/>
      </c>
      <c r="AG605">
        <f>IF(AF605&lt;&gt;"",IF(AH605="Weekly",AF605+7,IF(AH605="Monthly",EDATE(AF605,1),IF(AH605="Quarterly",EDATE(AF605,3),""))),"")</f>
        <v/>
      </c>
      <c r="AK605">
        <f>IF(AJ605&lt;&gt;"",IF(AI605="Monthly",EDATE(AJ605,1),IF(AI605="Quarterly",EDATE(AJ605,3),IF(AI605="Semi-Annual",EDATE(AJ605,6),""))),"")</f>
        <v/>
      </c>
      <c r="AL605">
        <f>IF(AK605&lt;&gt;"",IF(AK605&lt;TODAY(),"Overdue","Current"),"")</f>
        <v/>
      </c>
    </row>
    <row r="606">
      <c r="K606">
        <f>IF(J606="v4.0",L606,IF(J606="v3.1",M606,IF(J606="Both",L606,IF(AND(L606&lt;&gt;"",M606=""),L606,M606))))</f>
        <v/>
      </c>
      <c r="Z606">
        <f>IF(Y606&lt;&gt;"",TODAY()-Y606,"")</f>
        <v/>
      </c>
      <c r="AC606">
        <f>IF(AND(AA606&lt;&gt;"",AB606&lt;&gt;""),CHOOSE(MATCH(AA606,{"Low","Medium","High","Critical"},0),25,50,75,100)-CHOOSE(MATCH(AB606,{"Low","Medium","High","Critical"},0),25,50,75,100),"")</f>
        <v/>
      </c>
      <c r="AG606">
        <f>IF(AF606&lt;&gt;"",IF(AH606="Weekly",AF606+7,IF(AH606="Monthly",EDATE(AF606,1),IF(AH606="Quarterly",EDATE(AF606,3),""))),"")</f>
        <v/>
      </c>
      <c r="AK606">
        <f>IF(AJ606&lt;&gt;"",IF(AI606="Monthly",EDATE(AJ606,1),IF(AI606="Quarterly",EDATE(AJ606,3),IF(AI606="Semi-Annual",EDATE(AJ606,6),""))),"")</f>
        <v/>
      </c>
      <c r="AL606">
        <f>IF(AK606&lt;&gt;"",IF(AK606&lt;TODAY(),"Overdue","Current"),"")</f>
        <v/>
      </c>
    </row>
    <row r="607">
      <c r="K607">
        <f>IF(J607="v4.0",L607,IF(J607="v3.1",M607,IF(J607="Both",L607,IF(AND(L607&lt;&gt;"",M607=""),L607,M607))))</f>
        <v/>
      </c>
      <c r="Z607">
        <f>IF(Y607&lt;&gt;"",TODAY()-Y607,"")</f>
        <v/>
      </c>
      <c r="AC607">
        <f>IF(AND(AA607&lt;&gt;"",AB607&lt;&gt;""),CHOOSE(MATCH(AA607,{"Low","Medium","High","Critical"},0),25,50,75,100)-CHOOSE(MATCH(AB607,{"Low","Medium","High","Critical"},0),25,50,75,100),"")</f>
        <v/>
      </c>
      <c r="AG607">
        <f>IF(AF607&lt;&gt;"",IF(AH607="Weekly",AF607+7,IF(AH607="Monthly",EDATE(AF607,1),IF(AH607="Quarterly",EDATE(AF607,3),""))),"")</f>
        <v/>
      </c>
      <c r="AK607">
        <f>IF(AJ607&lt;&gt;"",IF(AI607="Monthly",EDATE(AJ607,1),IF(AI607="Quarterly",EDATE(AJ607,3),IF(AI607="Semi-Annual",EDATE(AJ607,6),""))),"")</f>
        <v/>
      </c>
      <c r="AL607">
        <f>IF(AK607&lt;&gt;"",IF(AK607&lt;TODAY(),"Overdue","Current"),"")</f>
        <v/>
      </c>
    </row>
    <row r="608">
      <c r="K608">
        <f>IF(J608="v4.0",L608,IF(J608="v3.1",M608,IF(J608="Both",L608,IF(AND(L608&lt;&gt;"",M608=""),L608,M608))))</f>
        <v/>
      </c>
      <c r="Z608">
        <f>IF(Y608&lt;&gt;"",TODAY()-Y608,"")</f>
        <v/>
      </c>
      <c r="AC608">
        <f>IF(AND(AA608&lt;&gt;"",AB608&lt;&gt;""),CHOOSE(MATCH(AA608,{"Low","Medium","High","Critical"},0),25,50,75,100)-CHOOSE(MATCH(AB608,{"Low","Medium","High","Critical"},0),25,50,75,100),"")</f>
        <v/>
      </c>
      <c r="AG608">
        <f>IF(AF608&lt;&gt;"",IF(AH608="Weekly",AF608+7,IF(AH608="Monthly",EDATE(AF608,1),IF(AH608="Quarterly",EDATE(AF608,3),""))),"")</f>
        <v/>
      </c>
      <c r="AK608">
        <f>IF(AJ608&lt;&gt;"",IF(AI608="Monthly",EDATE(AJ608,1),IF(AI608="Quarterly",EDATE(AJ608,3),IF(AI608="Semi-Annual",EDATE(AJ608,6),""))),"")</f>
        <v/>
      </c>
      <c r="AL608">
        <f>IF(AK608&lt;&gt;"",IF(AK608&lt;TODAY(),"Overdue","Current"),"")</f>
        <v/>
      </c>
    </row>
    <row r="609">
      <c r="K609">
        <f>IF(J609="v4.0",L609,IF(J609="v3.1",M609,IF(J609="Both",L609,IF(AND(L609&lt;&gt;"",M609=""),L609,M609))))</f>
        <v/>
      </c>
      <c r="Z609">
        <f>IF(Y609&lt;&gt;"",TODAY()-Y609,"")</f>
        <v/>
      </c>
      <c r="AC609">
        <f>IF(AND(AA609&lt;&gt;"",AB609&lt;&gt;""),CHOOSE(MATCH(AA609,{"Low","Medium","High","Critical"},0),25,50,75,100)-CHOOSE(MATCH(AB609,{"Low","Medium","High","Critical"},0),25,50,75,100),"")</f>
        <v/>
      </c>
      <c r="AG609">
        <f>IF(AF609&lt;&gt;"",IF(AH609="Weekly",AF609+7,IF(AH609="Monthly",EDATE(AF609,1),IF(AH609="Quarterly",EDATE(AF609,3),""))),"")</f>
        <v/>
      </c>
      <c r="AK609">
        <f>IF(AJ609&lt;&gt;"",IF(AI609="Monthly",EDATE(AJ609,1),IF(AI609="Quarterly",EDATE(AJ609,3),IF(AI609="Semi-Annual",EDATE(AJ609,6),""))),"")</f>
        <v/>
      </c>
      <c r="AL609">
        <f>IF(AK609&lt;&gt;"",IF(AK609&lt;TODAY(),"Overdue","Current"),"")</f>
        <v/>
      </c>
    </row>
    <row r="610">
      <c r="K610">
        <f>IF(J610="v4.0",L610,IF(J610="v3.1",M610,IF(J610="Both",L610,IF(AND(L610&lt;&gt;"",M610=""),L610,M610))))</f>
        <v/>
      </c>
      <c r="Z610">
        <f>IF(Y610&lt;&gt;"",TODAY()-Y610,"")</f>
        <v/>
      </c>
      <c r="AC610">
        <f>IF(AND(AA610&lt;&gt;"",AB610&lt;&gt;""),CHOOSE(MATCH(AA610,{"Low","Medium","High","Critical"},0),25,50,75,100)-CHOOSE(MATCH(AB610,{"Low","Medium","High","Critical"},0),25,50,75,100),"")</f>
        <v/>
      </c>
      <c r="AG610">
        <f>IF(AF610&lt;&gt;"",IF(AH610="Weekly",AF610+7,IF(AH610="Monthly",EDATE(AF610,1),IF(AH610="Quarterly",EDATE(AF610,3),""))),"")</f>
        <v/>
      </c>
      <c r="AK610">
        <f>IF(AJ610&lt;&gt;"",IF(AI610="Monthly",EDATE(AJ610,1),IF(AI610="Quarterly",EDATE(AJ610,3),IF(AI610="Semi-Annual",EDATE(AJ610,6),""))),"")</f>
        <v/>
      </c>
      <c r="AL610">
        <f>IF(AK610&lt;&gt;"",IF(AK610&lt;TODAY(),"Overdue","Current"),"")</f>
        <v/>
      </c>
    </row>
    <row r="611">
      <c r="K611">
        <f>IF(J611="v4.0",L611,IF(J611="v3.1",M611,IF(J611="Both",L611,IF(AND(L611&lt;&gt;"",M611=""),L611,M611))))</f>
        <v/>
      </c>
      <c r="Z611">
        <f>IF(Y611&lt;&gt;"",TODAY()-Y611,"")</f>
        <v/>
      </c>
      <c r="AC611">
        <f>IF(AND(AA611&lt;&gt;"",AB611&lt;&gt;""),CHOOSE(MATCH(AA611,{"Low","Medium","High","Critical"},0),25,50,75,100)-CHOOSE(MATCH(AB611,{"Low","Medium","High","Critical"},0),25,50,75,100),"")</f>
        <v/>
      </c>
      <c r="AG611">
        <f>IF(AF611&lt;&gt;"",IF(AH611="Weekly",AF611+7,IF(AH611="Monthly",EDATE(AF611,1),IF(AH611="Quarterly",EDATE(AF611,3),""))),"")</f>
        <v/>
      </c>
      <c r="AK611">
        <f>IF(AJ611&lt;&gt;"",IF(AI611="Monthly",EDATE(AJ611,1),IF(AI611="Quarterly",EDATE(AJ611,3),IF(AI611="Semi-Annual",EDATE(AJ611,6),""))),"")</f>
        <v/>
      </c>
      <c r="AL611">
        <f>IF(AK611&lt;&gt;"",IF(AK611&lt;TODAY(),"Overdue","Current"),"")</f>
        <v/>
      </c>
    </row>
    <row r="612">
      <c r="K612">
        <f>IF(J612="v4.0",L612,IF(J612="v3.1",M612,IF(J612="Both",L612,IF(AND(L612&lt;&gt;"",M612=""),L612,M612))))</f>
        <v/>
      </c>
      <c r="Z612">
        <f>IF(Y612&lt;&gt;"",TODAY()-Y612,"")</f>
        <v/>
      </c>
      <c r="AC612">
        <f>IF(AND(AA612&lt;&gt;"",AB612&lt;&gt;""),CHOOSE(MATCH(AA612,{"Low","Medium","High","Critical"},0),25,50,75,100)-CHOOSE(MATCH(AB612,{"Low","Medium","High","Critical"},0),25,50,75,100),"")</f>
        <v/>
      </c>
      <c r="AG612">
        <f>IF(AF612&lt;&gt;"",IF(AH612="Weekly",AF612+7,IF(AH612="Monthly",EDATE(AF612,1),IF(AH612="Quarterly",EDATE(AF612,3),""))),"")</f>
        <v/>
      </c>
      <c r="AK612">
        <f>IF(AJ612&lt;&gt;"",IF(AI612="Monthly",EDATE(AJ612,1),IF(AI612="Quarterly",EDATE(AJ612,3),IF(AI612="Semi-Annual",EDATE(AJ612,6),""))),"")</f>
        <v/>
      </c>
      <c r="AL612">
        <f>IF(AK612&lt;&gt;"",IF(AK612&lt;TODAY(),"Overdue","Current"),"")</f>
        <v/>
      </c>
    </row>
    <row r="613">
      <c r="K613">
        <f>IF(J613="v4.0",L613,IF(J613="v3.1",M613,IF(J613="Both",L613,IF(AND(L613&lt;&gt;"",M613=""),L613,M613))))</f>
        <v/>
      </c>
      <c r="Z613">
        <f>IF(Y613&lt;&gt;"",TODAY()-Y613,"")</f>
        <v/>
      </c>
      <c r="AC613">
        <f>IF(AND(AA613&lt;&gt;"",AB613&lt;&gt;""),CHOOSE(MATCH(AA613,{"Low","Medium","High","Critical"},0),25,50,75,100)-CHOOSE(MATCH(AB613,{"Low","Medium","High","Critical"},0),25,50,75,100),"")</f>
        <v/>
      </c>
      <c r="AG613">
        <f>IF(AF613&lt;&gt;"",IF(AH613="Weekly",AF613+7,IF(AH613="Monthly",EDATE(AF613,1),IF(AH613="Quarterly",EDATE(AF613,3),""))),"")</f>
        <v/>
      </c>
      <c r="AK613">
        <f>IF(AJ613&lt;&gt;"",IF(AI613="Monthly",EDATE(AJ613,1),IF(AI613="Quarterly",EDATE(AJ613,3),IF(AI613="Semi-Annual",EDATE(AJ613,6),""))),"")</f>
        <v/>
      </c>
      <c r="AL613">
        <f>IF(AK613&lt;&gt;"",IF(AK613&lt;TODAY(),"Overdue","Current"),"")</f>
        <v/>
      </c>
    </row>
    <row r="614">
      <c r="K614">
        <f>IF(J614="v4.0",L614,IF(J614="v3.1",M614,IF(J614="Both",L614,IF(AND(L614&lt;&gt;"",M614=""),L614,M614))))</f>
        <v/>
      </c>
      <c r="Z614">
        <f>IF(Y614&lt;&gt;"",TODAY()-Y614,"")</f>
        <v/>
      </c>
      <c r="AC614">
        <f>IF(AND(AA614&lt;&gt;"",AB614&lt;&gt;""),CHOOSE(MATCH(AA614,{"Low","Medium","High","Critical"},0),25,50,75,100)-CHOOSE(MATCH(AB614,{"Low","Medium","High","Critical"},0),25,50,75,100),"")</f>
        <v/>
      </c>
      <c r="AG614">
        <f>IF(AF614&lt;&gt;"",IF(AH614="Weekly",AF614+7,IF(AH614="Monthly",EDATE(AF614,1),IF(AH614="Quarterly",EDATE(AF614,3),""))),"")</f>
        <v/>
      </c>
      <c r="AK614">
        <f>IF(AJ614&lt;&gt;"",IF(AI614="Monthly",EDATE(AJ614,1),IF(AI614="Quarterly",EDATE(AJ614,3),IF(AI614="Semi-Annual",EDATE(AJ614,6),""))),"")</f>
        <v/>
      </c>
      <c r="AL614">
        <f>IF(AK614&lt;&gt;"",IF(AK614&lt;TODAY(),"Overdue","Current"),"")</f>
        <v/>
      </c>
    </row>
    <row r="615">
      <c r="K615">
        <f>IF(J615="v4.0",L615,IF(J615="v3.1",M615,IF(J615="Both",L615,IF(AND(L615&lt;&gt;"",M615=""),L615,M615))))</f>
        <v/>
      </c>
      <c r="Z615">
        <f>IF(Y615&lt;&gt;"",TODAY()-Y615,"")</f>
        <v/>
      </c>
      <c r="AC615">
        <f>IF(AND(AA615&lt;&gt;"",AB615&lt;&gt;""),CHOOSE(MATCH(AA615,{"Low","Medium","High","Critical"},0),25,50,75,100)-CHOOSE(MATCH(AB615,{"Low","Medium","High","Critical"},0),25,50,75,100),"")</f>
        <v/>
      </c>
      <c r="AG615">
        <f>IF(AF615&lt;&gt;"",IF(AH615="Weekly",AF615+7,IF(AH615="Monthly",EDATE(AF615,1),IF(AH615="Quarterly",EDATE(AF615,3),""))),"")</f>
        <v/>
      </c>
      <c r="AK615">
        <f>IF(AJ615&lt;&gt;"",IF(AI615="Monthly",EDATE(AJ615,1),IF(AI615="Quarterly",EDATE(AJ615,3),IF(AI615="Semi-Annual",EDATE(AJ615,6),""))),"")</f>
        <v/>
      </c>
      <c r="AL615">
        <f>IF(AK615&lt;&gt;"",IF(AK615&lt;TODAY(),"Overdue","Current"),"")</f>
        <v/>
      </c>
    </row>
    <row r="616">
      <c r="K616">
        <f>IF(J616="v4.0",L616,IF(J616="v3.1",M616,IF(J616="Both",L616,IF(AND(L616&lt;&gt;"",M616=""),L616,M616))))</f>
        <v/>
      </c>
      <c r="Z616">
        <f>IF(Y616&lt;&gt;"",TODAY()-Y616,"")</f>
        <v/>
      </c>
      <c r="AC616">
        <f>IF(AND(AA616&lt;&gt;"",AB616&lt;&gt;""),CHOOSE(MATCH(AA616,{"Low","Medium","High","Critical"},0),25,50,75,100)-CHOOSE(MATCH(AB616,{"Low","Medium","High","Critical"},0),25,50,75,100),"")</f>
        <v/>
      </c>
      <c r="AG616">
        <f>IF(AF616&lt;&gt;"",IF(AH616="Weekly",AF616+7,IF(AH616="Monthly",EDATE(AF616,1),IF(AH616="Quarterly",EDATE(AF616,3),""))),"")</f>
        <v/>
      </c>
      <c r="AK616">
        <f>IF(AJ616&lt;&gt;"",IF(AI616="Monthly",EDATE(AJ616,1),IF(AI616="Quarterly",EDATE(AJ616,3),IF(AI616="Semi-Annual",EDATE(AJ616,6),""))),"")</f>
        <v/>
      </c>
      <c r="AL616">
        <f>IF(AK616&lt;&gt;"",IF(AK616&lt;TODAY(),"Overdue","Current"),"")</f>
        <v/>
      </c>
    </row>
    <row r="617">
      <c r="K617">
        <f>IF(J617="v4.0",L617,IF(J617="v3.1",M617,IF(J617="Both",L617,IF(AND(L617&lt;&gt;"",M617=""),L617,M617))))</f>
        <v/>
      </c>
      <c r="Z617">
        <f>IF(Y617&lt;&gt;"",TODAY()-Y617,"")</f>
        <v/>
      </c>
      <c r="AC617">
        <f>IF(AND(AA617&lt;&gt;"",AB617&lt;&gt;""),CHOOSE(MATCH(AA617,{"Low","Medium","High","Critical"},0),25,50,75,100)-CHOOSE(MATCH(AB617,{"Low","Medium","High","Critical"},0),25,50,75,100),"")</f>
        <v/>
      </c>
      <c r="AG617">
        <f>IF(AF617&lt;&gt;"",IF(AH617="Weekly",AF617+7,IF(AH617="Monthly",EDATE(AF617,1),IF(AH617="Quarterly",EDATE(AF617,3),""))),"")</f>
        <v/>
      </c>
      <c r="AK617">
        <f>IF(AJ617&lt;&gt;"",IF(AI617="Monthly",EDATE(AJ617,1),IF(AI617="Quarterly",EDATE(AJ617,3),IF(AI617="Semi-Annual",EDATE(AJ617,6),""))),"")</f>
        <v/>
      </c>
      <c r="AL617">
        <f>IF(AK617&lt;&gt;"",IF(AK617&lt;TODAY(),"Overdue","Current"),"")</f>
        <v/>
      </c>
    </row>
    <row r="618">
      <c r="K618">
        <f>IF(J618="v4.0",L618,IF(J618="v3.1",M618,IF(J618="Both",L618,IF(AND(L618&lt;&gt;"",M618=""),L618,M618))))</f>
        <v/>
      </c>
      <c r="Z618">
        <f>IF(Y618&lt;&gt;"",TODAY()-Y618,"")</f>
        <v/>
      </c>
      <c r="AC618">
        <f>IF(AND(AA618&lt;&gt;"",AB618&lt;&gt;""),CHOOSE(MATCH(AA618,{"Low","Medium","High","Critical"},0),25,50,75,100)-CHOOSE(MATCH(AB618,{"Low","Medium","High","Critical"},0),25,50,75,100),"")</f>
        <v/>
      </c>
      <c r="AG618">
        <f>IF(AF618&lt;&gt;"",IF(AH618="Weekly",AF618+7,IF(AH618="Monthly",EDATE(AF618,1),IF(AH618="Quarterly",EDATE(AF618,3),""))),"")</f>
        <v/>
      </c>
      <c r="AK618">
        <f>IF(AJ618&lt;&gt;"",IF(AI618="Monthly",EDATE(AJ618,1),IF(AI618="Quarterly",EDATE(AJ618,3),IF(AI618="Semi-Annual",EDATE(AJ618,6),""))),"")</f>
        <v/>
      </c>
      <c r="AL618">
        <f>IF(AK618&lt;&gt;"",IF(AK618&lt;TODAY(),"Overdue","Current"),"")</f>
        <v/>
      </c>
    </row>
    <row r="619">
      <c r="K619">
        <f>IF(J619="v4.0",L619,IF(J619="v3.1",M619,IF(J619="Both",L619,IF(AND(L619&lt;&gt;"",M619=""),L619,M619))))</f>
        <v/>
      </c>
      <c r="Z619">
        <f>IF(Y619&lt;&gt;"",TODAY()-Y619,"")</f>
        <v/>
      </c>
      <c r="AC619">
        <f>IF(AND(AA619&lt;&gt;"",AB619&lt;&gt;""),CHOOSE(MATCH(AA619,{"Low","Medium","High","Critical"},0),25,50,75,100)-CHOOSE(MATCH(AB619,{"Low","Medium","High","Critical"},0),25,50,75,100),"")</f>
        <v/>
      </c>
      <c r="AG619">
        <f>IF(AF619&lt;&gt;"",IF(AH619="Weekly",AF619+7,IF(AH619="Monthly",EDATE(AF619,1),IF(AH619="Quarterly",EDATE(AF619,3),""))),"")</f>
        <v/>
      </c>
      <c r="AK619">
        <f>IF(AJ619&lt;&gt;"",IF(AI619="Monthly",EDATE(AJ619,1),IF(AI619="Quarterly",EDATE(AJ619,3),IF(AI619="Semi-Annual",EDATE(AJ619,6),""))),"")</f>
        <v/>
      </c>
      <c r="AL619">
        <f>IF(AK619&lt;&gt;"",IF(AK619&lt;TODAY(),"Overdue","Current"),"")</f>
        <v/>
      </c>
    </row>
    <row r="620">
      <c r="K620">
        <f>IF(J620="v4.0",L620,IF(J620="v3.1",M620,IF(J620="Both",L620,IF(AND(L620&lt;&gt;"",M620=""),L620,M620))))</f>
        <v/>
      </c>
      <c r="Z620">
        <f>IF(Y620&lt;&gt;"",TODAY()-Y620,"")</f>
        <v/>
      </c>
      <c r="AC620">
        <f>IF(AND(AA620&lt;&gt;"",AB620&lt;&gt;""),CHOOSE(MATCH(AA620,{"Low","Medium","High","Critical"},0),25,50,75,100)-CHOOSE(MATCH(AB620,{"Low","Medium","High","Critical"},0),25,50,75,100),"")</f>
        <v/>
      </c>
      <c r="AG620">
        <f>IF(AF620&lt;&gt;"",IF(AH620="Weekly",AF620+7,IF(AH620="Monthly",EDATE(AF620,1),IF(AH620="Quarterly",EDATE(AF620,3),""))),"")</f>
        <v/>
      </c>
      <c r="AK620">
        <f>IF(AJ620&lt;&gt;"",IF(AI620="Monthly",EDATE(AJ620,1),IF(AI620="Quarterly",EDATE(AJ620,3),IF(AI620="Semi-Annual",EDATE(AJ620,6),""))),"")</f>
        <v/>
      </c>
      <c r="AL620">
        <f>IF(AK620&lt;&gt;"",IF(AK620&lt;TODAY(),"Overdue","Current"),"")</f>
        <v/>
      </c>
    </row>
    <row r="621">
      <c r="K621">
        <f>IF(J621="v4.0",L621,IF(J621="v3.1",M621,IF(J621="Both",L621,IF(AND(L621&lt;&gt;"",M621=""),L621,M621))))</f>
        <v/>
      </c>
      <c r="Z621">
        <f>IF(Y621&lt;&gt;"",TODAY()-Y621,"")</f>
        <v/>
      </c>
      <c r="AC621">
        <f>IF(AND(AA621&lt;&gt;"",AB621&lt;&gt;""),CHOOSE(MATCH(AA621,{"Low","Medium","High","Critical"},0),25,50,75,100)-CHOOSE(MATCH(AB621,{"Low","Medium","High","Critical"},0),25,50,75,100),"")</f>
        <v/>
      </c>
      <c r="AG621">
        <f>IF(AF621&lt;&gt;"",IF(AH621="Weekly",AF621+7,IF(AH621="Monthly",EDATE(AF621,1),IF(AH621="Quarterly",EDATE(AF621,3),""))),"")</f>
        <v/>
      </c>
      <c r="AK621">
        <f>IF(AJ621&lt;&gt;"",IF(AI621="Monthly",EDATE(AJ621,1),IF(AI621="Quarterly",EDATE(AJ621,3),IF(AI621="Semi-Annual",EDATE(AJ621,6),""))),"")</f>
        <v/>
      </c>
      <c r="AL621">
        <f>IF(AK621&lt;&gt;"",IF(AK621&lt;TODAY(),"Overdue","Current"),"")</f>
        <v/>
      </c>
    </row>
    <row r="622">
      <c r="K622">
        <f>IF(J622="v4.0",L622,IF(J622="v3.1",M622,IF(J622="Both",L622,IF(AND(L622&lt;&gt;"",M622=""),L622,M622))))</f>
        <v/>
      </c>
      <c r="Z622">
        <f>IF(Y622&lt;&gt;"",TODAY()-Y622,"")</f>
        <v/>
      </c>
      <c r="AC622">
        <f>IF(AND(AA622&lt;&gt;"",AB622&lt;&gt;""),CHOOSE(MATCH(AA622,{"Low","Medium","High","Critical"},0),25,50,75,100)-CHOOSE(MATCH(AB622,{"Low","Medium","High","Critical"},0),25,50,75,100),"")</f>
        <v/>
      </c>
      <c r="AG622">
        <f>IF(AF622&lt;&gt;"",IF(AH622="Weekly",AF622+7,IF(AH622="Monthly",EDATE(AF622,1),IF(AH622="Quarterly",EDATE(AF622,3),""))),"")</f>
        <v/>
      </c>
      <c r="AK622">
        <f>IF(AJ622&lt;&gt;"",IF(AI622="Monthly",EDATE(AJ622,1),IF(AI622="Quarterly",EDATE(AJ622,3),IF(AI622="Semi-Annual",EDATE(AJ622,6),""))),"")</f>
        <v/>
      </c>
      <c r="AL622">
        <f>IF(AK622&lt;&gt;"",IF(AK622&lt;TODAY(),"Overdue","Current"),"")</f>
        <v/>
      </c>
    </row>
    <row r="623">
      <c r="K623">
        <f>IF(J623="v4.0",L623,IF(J623="v3.1",M623,IF(J623="Both",L623,IF(AND(L623&lt;&gt;"",M623=""),L623,M623))))</f>
        <v/>
      </c>
      <c r="Z623">
        <f>IF(Y623&lt;&gt;"",TODAY()-Y623,"")</f>
        <v/>
      </c>
      <c r="AC623">
        <f>IF(AND(AA623&lt;&gt;"",AB623&lt;&gt;""),CHOOSE(MATCH(AA623,{"Low","Medium","High","Critical"},0),25,50,75,100)-CHOOSE(MATCH(AB623,{"Low","Medium","High","Critical"},0),25,50,75,100),"")</f>
        <v/>
      </c>
      <c r="AG623">
        <f>IF(AF623&lt;&gt;"",IF(AH623="Weekly",AF623+7,IF(AH623="Monthly",EDATE(AF623,1),IF(AH623="Quarterly",EDATE(AF623,3),""))),"")</f>
        <v/>
      </c>
      <c r="AK623">
        <f>IF(AJ623&lt;&gt;"",IF(AI623="Monthly",EDATE(AJ623,1),IF(AI623="Quarterly",EDATE(AJ623,3),IF(AI623="Semi-Annual",EDATE(AJ623,6),""))),"")</f>
        <v/>
      </c>
      <c r="AL623">
        <f>IF(AK623&lt;&gt;"",IF(AK623&lt;TODAY(),"Overdue","Current"),"")</f>
        <v/>
      </c>
    </row>
    <row r="624">
      <c r="K624">
        <f>IF(J624="v4.0",L624,IF(J624="v3.1",M624,IF(J624="Both",L624,IF(AND(L624&lt;&gt;"",M624=""),L624,M624))))</f>
        <v/>
      </c>
      <c r="Z624">
        <f>IF(Y624&lt;&gt;"",TODAY()-Y624,"")</f>
        <v/>
      </c>
      <c r="AC624">
        <f>IF(AND(AA624&lt;&gt;"",AB624&lt;&gt;""),CHOOSE(MATCH(AA624,{"Low","Medium","High","Critical"},0),25,50,75,100)-CHOOSE(MATCH(AB624,{"Low","Medium","High","Critical"},0),25,50,75,100),"")</f>
        <v/>
      </c>
      <c r="AG624">
        <f>IF(AF624&lt;&gt;"",IF(AH624="Weekly",AF624+7,IF(AH624="Monthly",EDATE(AF624,1),IF(AH624="Quarterly",EDATE(AF624,3),""))),"")</f>
        <v/>
      </c>
      <c r="AK624">
        <f>IF(AJ624&lt;&gt;"",IF(AI624="Monthly",EDATE(AJ624,1),IF(AI624="Quarterly",EDATE(AJ624,3),IF(AI624="Semi-Annual",EDATE(AJ624,6),""))),"")</f>
        <v/>
      </c>
      <c r="AL624">
        <f>IF(AK624&lt;&gt;"",IF(AK624&lt;TODAY(),"Overdue","Current"),"")</f>
        <v/>
      </c>
    </row>
    <row r="625">
      <c r="K625">
        <f>IF(J625="v4.0",L625,IF(J625="v3.1",M625,IF(J625="Both",L625,IF(AND(L625&lt;&gt;"",M625=""),L625,M625))))</f>
        <v/>
      </c>
      <c r="Z625">
        <f>IF(Y625&lt;&gt;"",TODAY()-Y625,"")</f>
        <v/>
      </c>
      <c r="AC625">
        <f>IF(AND(AA625&lt;&gt;"",AB625&lt;&gt;""),CHOOSE(MATCH(AA625,{"Low","Medium","High","Critical"},0),25,50,75,100)-CHOOSE(MATCH(AB625,{"Low","Medium","High","Critical"},0),25,50,75,100),"")</f>
        <v/>
      </c>
      <c r="AG625">
        <f>IF(AF625&lt;&gt;"",IF(AH625="Weekly",AF625+7,IF(AH625="Monthly",EDATE(AF625,1),IF(AH625="Quarterly",EDATE(AF625,3),""))),"")</f>
        <v/>
      </c>
      <c r="AK625">
        <f>IF(AJ625&lt;&gt;"",IF(AI625="Monthly",EDATE(AJ625,1),IF(AI625="Quarterly",EDATE(AJ625,3),IF(AI625="Semi-Annual",EDATE(AJ625,6),""))),"")</f>
        <v/>
      </c>
      <c r="AL625">
        <f>IF(AK625&lt;&gt;"",IF(AK625&lt;TODAY(),"Overdue","Current"),"")</f>
        <v/>
      </c>
    </row>
    <row r="626">
      <c r="K626">
        <f>IF(J626="v4.0",L626,IF(J626="v3.1",M626,IF(J626="Both",L626,IF(AND(L626&lt;&gt;"",M626=""),L626,M626))))</f>
        <v/>
      </c>
      <c r="Z626">
        <f>IF(Y626&lt;&gt;"",TODAY()-Y626,"")</f>
        <v/>
      </c>
      <c r="AC626">
        <f>IF(AND(AA626&lt;&gt;"",AB626&lt;&gt;""),CHOOSE(MATCH(AA626,{"Low","Medium","High","Critical"},0),25,50,75,100)-CHOOSE(MATCH(AB626,{"Low","Medium","High","Critical"},0),25,50,75,100),"")</f>
        <v/>
      </c>
      <c r="AG626">
        <f>IF(AF626&lt;&gt;"",IF(AH626="Weekly",AF626+7,IF(AH626="Monthly",EDATE(AF626,1),IF(AH626="Quarterly",EDATE(AF626,3),""))),"")</f>
        <v/>
      </c>
      <c r="AK626">
        <f>IF(AJ626&lt;&gt;"",IF(AI626="Monthly",EDATE(AJ626,1),IF(AI626="Quarterly",EDATE(AJ626,3),IF(AI626="Semi-Annual",EDATE(AJ626,6),""))),"")</f>
        <v/>
      </c>
      <c r="AL626">
        <f>IF(AK626&lt;&gt;"",IF(AK626&lt;TODAY(),"Overdue","Current"),"")</f>
        <v/>
      </c>
    </row>
    <row r="627">
      <c r="K627">
        <f>IF(J627="v4.0",L627,IF(J627="v3.1",M627,IF(J627="Both",L627,IF(AND(L627&lt;&gt;"",M627=""),L627,M627))))</f>
        <v/>
      </c>
      <c r="Z627">
        <f>IF(Y627&lt;&gt;"",TODAY()-Y627,"")</f>
        <v/>
      </c>
      <c r="AC627">
        <f>IF(AND(AA627&lt;&gt;"",AB627&lt;&gt;""),CHOOSE(MATCH(AA627,{"Low","Medium","High","Critical"},0),25,50,75,100)-CHOOSE(MATCH(AB627,{"Low","Medium","High","Critical"},0),25,50,75,100),"")</f>
        <v/>
      </c>
      <c r="AG627">
        <f>IF(AF627&lt;&gt;"",IF(AH627="Weekly",AF627+7,IF(AH627="Monthly",EDATE(AF627,1),IF(AH627="Quarterly",EDATE(AF627,3),""))),"")</f>
        <v/>
      </c>
      <c r="AK627">
        <f>IF(AJ627&lt;&gt;"",IF(AI627="Monthly",EDATE(AJ627,1),IF(AI627="Quarterly",EDATE(AJ627,3),IF(AI627="Semi-Annual",EDATE(AJ627,6),""))),"")</f>
        <v/>
      </c>
      <c r="AL627">
        <f>IF(AK627&lt;&gt;"",IF(AK627&lt;TODAY(),"Overdue","Current"),"")</f>
        <v/>
      </c>
    </row>
    <row r="628">
      <c r="K628">
        <f>IF(J628="v4.0",L628,IF(J628="v3.1",M628,IF(J628="Both",L628,IF(AND(L628&lt;&gt;"",M628=""),L628,M628))))</f>
        <v/>
      </c>
      <c r="Z628">
        <f>IF(Y628&lt;&gt;"",TODAY()-Y628,"")</f>
        <v/>
      </c>
      <c r="AC628">
        <f>IF(AND(AA628&lt;&gt;"",AB628&lt;&gt;""),CHOOSE(MATCH(AA628,{"Low","Medium","High","Critical"},0),25,50,75,100)-CHOOSE(MATCH(AB628,{"Low","Medium","High","Critical"},0),25,50,75,100),"")</f>
        <v/>
      </c>
      <c r="AG628">
        <f>IF(AF628&lt;&gt;"",IF(AH628="Weekly",AF628+7,IF(AH628="Monthly",EDATE(AF628,1),IF(AH628="Quarterly",EDATE(AF628,3),""))),"")</f>
        <v/>
      </c>
      <c r="AK628">
        <f>IF(AJ628&lt;&gt;"",IF(AI628="Monthly",EDATE(AJ628,1),IF(AI628="Quarterly",EDATE(AJ628,3),IF(AI628="Semi-Annual",EDATE(AJ628,6),""))),"")</f>
        <v/>
      </c>
      <c r="AL628">
        <f>IF(AK628&lt;&gt;"",IF(AK628&lt;TODAY(),"Overdue","Current"),"")</f>
        <v/>
      </c>
    </row>
    <row r="629">
      <c r="K629">
        <f>IF(J629="v4.0",L629,IF(J629="v3.1",M629,IF(J629="Both",L629,IF(AND(L629&lt;&gt;"",M629=""),L629,M629))))</f>
        <v/>
      </c>
      <c r="Z629">
        <f>IF(Y629&lt;&gt;"",TODAY()-Y629,"")</f>
        <v/>
      </c>
      <c r="AC629">
        <f>IF(AND(AA629&lt;&gt;"",AB629&lt;&gt;""),CHOOSE(MATCH(AA629,{"Low","Medium","High","Critical"},0),25,50,75,100)-CHOOSE(MATCH(AB629,{"Low","Medium","High","Critical"},0),25,50,75,100),"")</f>
        <v/>
      </c>
      <c r="AG629">
        <f>IF(AF629&lt;&gt;"",IF(AH629="Weekly",AF629+7,IF(AH629="Monthly",EDATE(AF629,1),IF(AH629="Quarterly",EDATE(AF629,3),""))),"")</f>
        <v/>
      </c>
      <c r="AK629">
        <f>IF(AJ629&lt;&gt;"",IF(AI629="Monthly",EDATE(AJ629,1),IF(AI629="Quarterly",EDATE(AJ629,3),IF(AI629="Semi-Annual",EDATE(AJ629,6),""))),"")</f>
        <v/>
      </c>
      <c r="AL629">
        <f>IF(AK629&lt;&gt;"",IF(AK629&lt;TODAY(),"Overdue","Current"),"")</f>
        <v/>
      </c>
    </row>
    <row r="630">
      <c r="K630">
        <f>IF(J630="v4.0",L630,IF(J630="v3.1",M630,IF(J630="Both",L630,IF(AND(L630&lt;&gt;"",M630=""),L630,M630))))</f>
        <v/>
      </c>
      <c r="Z630">
        <f>IF(Y630&lt;&gt;"",TODAY()-Y630,"")</f>
        <v/>
      </c>
      <c r="AC630">
        <f>IF(AND(AA630&lt;&gt;"",AB630&lt;&gt;""),CHOOSE(MATCH(AA630,{"Low","Medium","High","Critical"},0),25,50,75,100)-CHOOSE(MATCH(AB630,{"Low","Medium","High","Critical"},0),25,50,75,100),"")</f>
        <v/>
      </c>
      <c r="AG630">
        <f>IF(AF630&lt;&gt;"",IF(AH630="Weekly",AF630+7,IF(AH630="Monthly",EDATE(AF630,1),IF(AH630="Quarterly",EDATE(AF630,3),""))),"")</f>
        <v/>
      </c>
      <c r="AK630">
        <f>IF(AJ630&lt;&gt;"",IF(AI630="Monthly",EDATE(AJ630,1),IF(AI630="Quarterly",EDATE(AJ630,3),IF(AI630="Semi-Annual",EDATE(AJ630,6),""))),"")</f>
        <v/>
      </c>
      <c r="AL630">
        <f>IF(AK630&lt;&gt;"",IF(AK630&lt;TODAY(),"Overdue","Current"),"")</f>
        <v/>
      </c>
    </row>
    <row r="631">
      <c r="K631">
        <f>IF(J631="v4.0",L631,IF(J631="v3.1",M631,IF(J631="Both",L631,IF(AND(L631&lt;&gt;"",M631=""),L631,M631))))</f>
        <v/>
      </c>
      <c r="Z631">
        <f>IF(Y631&lt;&gt;"",TODAY()-Y631,"")</f>
        <v/>
      </c>
      <c r="AC631">
        <f>IF(AND(AA631&lt;&gt;"",AB631&lt;&gt;""),CHOOSE(MATCH(AA631,{"Low","Medium","High","Critical"},0),25,50,75,100)-CHOOSE(MATCH(AB631,{"Low","Medium","High","Critical"},0),25,50,75,100),"")</f>
        <v/>
      </c>
      <c r="AG631">
        <f>IF(AF631&lt;&gt;"",IF(AH631="Weekly",AF631+7,IF(AH631="Monthly",EDATE(AF631,1),IF(AH631="Quarterly",EDATE(AF631,3),""))),"")</f>
        <v/>
      </c>
      <c r="AK631">
        <f>IF(AJ631&lt;&gt;"",IF(AI631="Monthly",EDATE(AJ631,1),IF(AI631="Quarterly",EDATE(AJ631,3),IF(AI631="Semi-Annual",EDATE(AJ631,6),""))),"")</f>
        <v/>
      </c>
      <c r="AL631">
        <f>IF(AK631&lt;&gt;"",IF(AK631&lt;TODAY(),"Overdue","Current"),"")</f>
        <v/>
      </c>
    </row>
    <row r="632">
      <c r="K632">
        <f>IF(J632="v4.0",L632,IF(J632="v3.1",M632,IF(J632="Both",L632,IF(AND(L632&lt;&gt;"",M632=""),L632,M632))))</f>
        <v/>
      </c>
      <c r="Z632">
        <f>IF(Y632&lt;&gt;"",TODAY()-Y632,"")</f>
        <v/>
      </c>
      <c r="AC632">
        <f>IF(AND(AA632&lt;&gt;"",AB632&lt;&gt;""),CHOOSE(MATCH(AA632,{"Low","Medium","High","Critical"},0),25,50,75,100)-CHOOSE(MATCH(AB632,{"Low","Medium","High","Critical"},0),25,50,75,100),"")</f>
        <v/>
      </c>
      <c r="AG632">
        <f>IF(AF632&lt;&gt;"",IF(AH632="Weekly",AF632+7,IF(AH632="Monthly",EDATE(AF632,1),IF(AH632="Quarterly",EDATE(AF632,3),""))),"")</f>
        <v/>
      </c>
      <c r="AK632">
        <f>IF(AJ632&lt;&gt;"",IF(AI632="Monthly",EDATE(AJ632,1),IF(AI632="Quarterly",EDATE(AJ632,3),IF(AI632="Semi-Annual",EDATE(AJ632,6),""))),"")</f>
        <v/>
      </c>
      <c r="AL632">
        <f>IF(AK632&lt;&gt;"",IF(AK632&lt;TODAY(),"Overdue","Current"),"")</f>
        <v/>
      </c>
    </row>
    <row r="633">
      <c r="K633">
        <f>IF(J633="v4.0",L633,IF(J633="v3.1",M633,IF(J633="Both",L633,IF(AND(L633&lt;&gt;"",M633=""),L633,M633))))</f>
        <v/>
      </c>
      <c r="Z633">
        <f>IF(Y633&lt;&gt;"",TODAY()-Y633,"")</f>
        <v/>
      </c>
      <c r="AC633">
        <f>IF(AND(AA633&lt;&gt;"",AB633&lt;&gt;""),CHOOSE(MATCH(AA633,{"Low","Medium","High","Critical"},0),25,50,75,100)-CHOOSE(MATCH(AB633,{"Low","Medium","High","Critical"},0),25,50,75,100),"")</f>
        <v/>
      </c>
      <c r="AG633">
        <f>IF(AF633&lt;&gt;"",IF(AH633="Weekly",AF633+7,IF(AH633="Monthly",EDATE(AF633,1),IF(AH633="Quarterly",EDATE(AF633,3),""))),"")</f>
        <v/>
      </c>
      <c r="AK633">
        <f>IF(AJ633&lt;&gt;"",IF(AI633="Monthly",EDATE(AJ633,1),IF(AI633="Quarterly",EDATE(AJ633,3),IF(AI633="Semi-Annual",EDATE(AJ633,6),""))),"")</f>
        <v/>
      </c>
      <c r="AL633">
        <f>IF(AK633&lt;&gt;"",IF(AK633&lt;TODAY(),"Overdue","Current"),"")</f>
        <v/>
      </c>
    </row>
    <row r="634">
      <c r="K634">
        <f>IF(J634="v4.0",L634,IF(J634="v3.1",M634,IF(J634="Both",L634,IF(AND(L634&lt;&gt;"",M634=""),L634,M634))))</f>
        <v/>
      </c>
      <c r="Z634">
        <f>IF(Y634&lt;&gt;"",TODAY()-Y634,"")</f>
        <v/>
      </c>
      <c r="AC634">
        <f>IF(AND(AA634&lt;&gt;"",AB634&lt;&gt;""),CHOOSE(MATCH(AA634,{"Low","Medium","High","Critical"},0),25,50,75,100)-CHOOSE(MATCH(AB634,{"Low","Medium","High","Critical"},0),25,50,75,100),"")</f>
        <v/>
      </c>
      <c r="AG634">
        <f>IF(AF634&lt;&gt;"",IF(AH634="Weekly",AF634+7,IF(AH634="Monthly",EDATE(AF634,1),IF(AH634="Quarterly",EDATE(AF634,3),""))),"")</f>
        <v/>
      </c>
      <c r="AK634">
        <f>IF(AJ634&lt;&gt;"",IF(AI634="Monthly",EDATE(AJ634,1),IF(AI634="Quarterly",EDATE(AJ634,3),IF(AI634="Semi-Annual",EDATE(AJ634,6),""))),"")</f>
        <v/>
      </c>
      <c r="AL634">
        <f>IF(AK634&lt;&gt;"",IF(AK634&lt;TODAY(),"Overdue","Current"),"")</f>
        <v/>
      </c>
    </row>
    <row r="635">
      <c r="K635">
        <f>IF(J635="v4.0",L635,IF(J635="v3.1",M635,IF(J635="Both",L635,IF(AND(L635&lt;&gt;"",M635=""),L635,M635))))</f>
        <v/>
      </c>
      <c r="Z635">
        <f>IF(Y635&lt;&gt;"",TODAY()-Y635,"")</f>
        <v/>
      </c>
      <c r="AC635">
        <f>IF(AND(AA635&lt;&gt;"",AB635&lt;&gt;""),CHOOSE(MATCH(AA635,{"Low","Medium","High","Critical"},0),25,50,75,100)-CHOOSE(MATCH(AB635,{"Low","Medium","High","Critical"},0),25,50,75,100),"")</f>
        <v/>
      </c>
      <c r="AG635">
        <f>IF(AF635&lt;&gt;"",IF(AH635="Weekly",AF635+7,IF(AH635="Monthly",EDATE(AF635,1),IF(AH635="Quarterly",EDATE(AF635,3),""))),"")</f>
        <v/>
      </c>
      <c r="AK635">
        <f>IF(AJ635&lt;&gt;"",IF(AI635="Monthly",EDATE(AJ635,1),IF(AI635="Quarterly",EDATE(AJ635,3),IF(AI635="Semi-Annual",EDATE(AJ635,6),""))),"")</f>
        <v/>
      </c>
      <c r="AL635">
        <f>IF(AK635&lt;&gt;"",IF(AK635&lt;TODAY(),"Overdue","Current"),"")</f>
        <v/>
      </c>
    </row>
    <row r="636">
      <c r="K636">
        <f>IF(J636="v4.0",L636,IF(J636="v3.1",M636,IF(J636="Both",L636,IF(AND(L636&lt;&gt;"",M636=""),L636,M636))))</f>
        <v/>
      </c>
      <c r="Z636">
        <f>IF(Y636&lt;&gt;"",TODAY()-Y636,"")</f>
        <v/>
      </c>
      <c r="AC636">
        <f>IF(AND(AA636&lt;&gt;"",AB636&lt;&gt;""),CHOOSE(MATCH(AA636,{"Low","Medium","High","Critical"},0),25,50,75,100)-CHOOSE(MATCH(AB636,{"Low","Medium","High","Critical"},0),25,50,75,100),"")</f>
        <v/>
      </c>
      <c r="AG636">
        <f>IF(AF636&lt;&gt;"",IF(AH636="Weekly",AF636+7,IF(AH636="Monthly",EDATE(AF636,1),IF(AH636="Quarterly",EDATE(AF636,3),""))),"")</f>
        <v/>
      </c>
      <c r="AK636">
        <f>IF(AJ636&lt;&gt;"",IF(AI636="Monthly",EDATE(AJ636,1),IF(AI636="Quarterly",EDATE(AJ636,3),IF(AI636="Semi-Annual",EDATE(AJ636,6),""))),"")</f>
        <v/>
      </c>
      <c r="AL636">
        <f>IF(AK636&lt;&gt;"",IF(AK636&lt;TODAY(),"Overdue","Current"),"")</f>
        <v/>
      </c>
    </row>
    <row r="637">
      <c r="K637">
        <f>IF(J637="v4.0",L637,IF(J637="v3.1",M637,IF(J637="Both",L637,IF(AND(L637&lt;&gt;"",M637=""),L637,M637))))</f>
        <v/>
      </c>
      <c r="Z637">
        <f>IF(Y637&lt;&gt;"",TODAY()-Y637,"")</f>
        <v/>
      </c>
      <c r="AC637">
        <f>IF(AND(AA637&lt;&gt;"",AB637&lt;&gt;""),CHOOSE(MATCH(AA637,{"Low","Medium","High","Critical"},0),25,50,75,100)-CHOOSE(MATCH(AB637,{"Low","Medium","High","Critical"},0),25,50,75,100),"")</f>
        <v/>
      </c>
      <c r="AG637">
        <f>IF(AF637&lt;&gt;"",IF(AH637="Weekly",AF637+7,IF(AH637="Monthly",EDATE(AF637,1),IF(AH637="Quarterly",EDATE(AF637,3),""))),"")</f>
        <v/>
      </c>
      <c r="AK637">
        <f>IF(AJ637&lt;&gt;"",IF(AI637="Monthly",EDATE(AJ637,1),IF(AI637="Quarterly",EDATE(AJ637,3),IF(AI637="Semi-Annual",EDATE(AJ637,6),""))),"")</f>
        <v/>
      </c>
      <c r="AL637">
        <f>IF(AK637&lt;&gt;"",IF(AK637&lt;TODAY(),"Overdue","Current"),"")</f>
        <v/>
      </c>
    </row>
    <row r="638">
      <c r="K638">
        <f>IF(J638="v4.0",L638,IF(J638="v3.1",M638,IF(J638="Both",L638,IF(AND(L638&lt;&gt;"",M638=""),L638,M638))))</f>
        <v/>
      </c>
      <c r="Z638">
        <f>IF(Y638&lt;&gt;"",TODAY()-Y638,"")</f>
        <v/>
      </c>
      <c r="AC638">
        <f>IF(AND(AA638&lt;&gt;"",AB638&lt;&gt;""),CHOOSE(MATCH(AA638,{"Low","Medium","High","Critical"},0),25,50,75,100)-CHOOSE(MATCH(AB638,{"Low","Medium","High","Critical"},0),25,50,75,100),"")</f>
        <v/>
      </c>
      <c r="AG638">
        <f>IF(AF638&lt;&gt;"",IF(AH638="Weekly",AF638+7,IF(AH638="Monthly",EDATE(AF638,1),IF(AH638="Quarterly",EDATE(AF638,3),""))),"")</f>
        <v/>
      </c>
      <c r="AK638">
        <f>IF(AJ638&lt;&gt;"",IF(AI638="Monthly",EDATE(AJ638,1),IF(AI638="Quarterly",EDATE(AJ638,3),IF(AI638="Semi-Annual",EDATE(AJ638,6),""))),"")</f>
        <v/>
      </c>
      <c r="AL638">
        <f>IF(AK638&lt;&gt;"",IF(AK638&lt;TODAY(),"Overdue","Current"),"")</f>
        <v/>
      </c>
    </row>
    <row r="639">
      <c r="K639">
        <f>IF(J639="v4.0",L639,IF(J639="v3.1",M639,IF(J639="Both",L639,IF(AND(L639&lt;&gt;"",M639=""),L639,M639))))</f>
        <v/>
      </c>
      <c r="Z639">
        <f>IF(Y639&lt;&gt;"",TODAY()-Y639,"")</f>
        <v/>
      </c>
      <c r="AC639">
        <f>IF(AND(AA639&lt;&gt;"",AB639&lt;&gt;""),CHOOSE(MATCH(AA639,{"Low","Medium","High","Critical"},0),25,50,75,100)-CHOOSE(MATCH(AB639,{"Low","Medium","High","Critical"},0),25,50,75,100),"")</f>
        <v/>
      </c>
      <c r="AG639">
        <f>IF(AF639&lt;&gt;"",IF(AH639="Weekly",AF639+7,IF(AH639="Monthly",EDATE(AF639,1),IF(AH639="Quarterly",EDATE(AF639,3),""))),"")</f>
        <v/>
      </c>
      <c r="AK639">
        <f>IF(AJ639&lt;&gt;"",IF(AI639="Monthly",EDATE(AJ639,1),IF(AI639="Quarterly",EDATE(AJ639,3),IF(AI639="Semi-Annual",EDATE(AJ639,6),""))),"")</f>
        <v/>
      </c>
      <c r="AL639">
        <f>IF(AK639&lt;&gt;"",IF(AK639&lt;TODAY(),"Overdue","Current"),"")</f>
        <v/>
      </c>
    </row>
    <row r="640">
      <c r="K640">
        <f>IF(J640="v4.0",L640,IF(J640="v3.1",M640,IF(J640="Both",L640,IF(AND(L640&lt;&gt;"",M640=""),L640,M640))))</f>
        <v/>
      </c>
      <c r="Z640">
        <f>IF(Y640&lt;&gt;"",TODAY()-Y640,"")</f>
        <v/>
      </c>
      <c r="AC640">
        <f>IF(AND(AA640&lt;&gt;"",AB640&lt;&gt;""),CHOOSE(MATCH(AA640,{"Low","Medium","High","Critical"},0),25,50,75,100)-CHOOSE(MATCH(AB640,{"Low","Medium","High","Critical"},0),25,50,75,100),"")</f>
        <v/>
      </c>
      <c r="AG640">
        <f>IF(AF640&lt;&gt;"",IF(AH640="Weekly",AF640+7,IF(AH640="Monthly",EDATE(AF640,1),IF(AH640="Quarterly",EDATE(AF640,3),""))),"")</f>
        <v/>
      </c>
      <c r="AK640">
        <f>IF(AJ640&lt;&gt;"",IF(AI640="Monthly",EDATE(AJ640,1),IF(AI640="Quarterly",EDATE(AJ640,3),IF(AI640="Semi-Annual",EDATE(AJ640,6),""))),"")</f>
        <v/>
      </c>
      <c r="AL640">
        <f>IF(AK640&lt;&gt;"",IF(AK640&lt;TODAY(),"Overdue","Current"),"")</f>
        <v/>
      </c>
    </row>
    <row r="641">
      <c r="K641">
        <f>IF(J641="v4.0",L641,IF(J641="v3.1",M641,IF(J641="Both",L641,IF(AND(L641&lt;&gt;"",M641=""),L641,M641))))</f>
        <v/>
      </c>
      <c r="Z641">
        <f>IF(Y641&lt;&gt;"",TODAY()-Y641,"")</f>
        <v/>
      </c>
      <c r="AC641">
        <f>IF(AND(AA641&lt;&gt;"",AB641&lt;&gt;""),CHOOSE(MATCH(AA641,{"Low","Medium","High","Critical"},0),25,50,75,100)-CHOOSE(MATCH(AB641,{"Low","Medium","High","Critical"},0),25,50,75,100),"")</f>
        <v/>
      </c>
      <c r="AG641">
        <f>IF(AF641&lt;&gt;"",IF(AH641="Weekly",AF641+7,IF(AH641="Monthly",EDATE(AF641,1),IF(AH641="Quarterly",EDATE(AF641,3),""))),"")</f>
        <v/>
      </c>
      <c r="AK641">
        <f>IF(AJ641&lt;&gt;"",IF(AI641="Monthly",EDATE(AJ641,1),IF(AI641="Quarterly",EDATE(AJ641,3),IF(AI641="Semi-Annual",EDATE(AJ641,6),""))),"")</f>
        <v/>
      </c>
      <c r="AL641">
        <f>IF(AK641&lt;&gt;"",IF(AK641&lt;TODAY(),"Overdue","Current"),"")</f>
        <v/>
      </c>
    </row>
    <row r="642">
      <c r="K642">
        <f>IF(J642="v4.0",L642,IF(J642="v3.1",M642,IF(J642="Both",L642,IF(AND(L642&lt;&gt;"",M642=""),L642,M642))))</f>
        <v/>
      </c>
      <c r="Z642">
        <f>IF(Y642&lt;&gt;"",TODAY()-Y642,"")</f>
        <v/>
      </c>
      <c r="AC642">
        <f>IF(AND(AA642&lt;&gt;"",AB642&lt;&gt;""),CHOOSE(MATCH(AA642,{"Low","Medium","High","Critical"},0),25,50,75,100)-CHOOSE(MATCH(AB642,{"Low","Medium","High","Critical"},0),25,50,75,100),"")</f>
        <v/>
      </c>
      <c r="AG642">
        <f>IF(AF642&lt;&gt;"",IF(AH642="Weekly",AF642+7,IF(AH642="Monthly",EDATE(AF642,1),IF(AH642="Quarterly",EDATE(AF642,3),""))),"")</f>
        <v/>
      </c>
      <c r="AK642">
        <f>IF(AJ642&lt;&gt;"",IF(AI642="Monthly",EDATE(AJ642,1),IF(AI642="Quarterly",EDATE(AJ642,3),IF(AI642="Semi-Annual",EDATE(AJ642,6),""))),"")</f>
        <v/>
      </c>
      <c r="AL642">
        <f>IF(AK642&lt;&gt;"",IF(AK642&lt;TODAY(),"Overdue","Current"),"")</f>
        <v/>
      </c>
    </row>
    <row r="643">
      <c r="K643">
        <f>IF(J643="v4.0",L643,IF(J643="v3.1",M643,IF(J643="Both",L643,IF(AND(L643&lt;&gt;"",M643=""),L643,M643))))</f>
        <v/>
      </c>
      <c r="Z643">
        <f>IF(Y643&lt;&gt;"",TODAY()-Y643,"")</f>
        <v/>
      </c>
      <c r="AC643">
        <f>IF(AND(AA643&lt;&gt;"",AB643&lt;&gt;""),CHOOSE(MATCH(AA643,{"Low","Medium","High","Critical"},0),25,50,75,100)-CHOOSE(MATCH(AB643,{"Low","Medium","High","Critical"},0),25,50,75,100),"")</f>
        <v/>
      </c>
      <c r="AG643">
        <f>IF(AF643&lt;&gt;"",IF(AH643="Weekly",AF643+7,IF(AH643="Monthly",EDATE(AF643,1),IF(AH643="Quarterly",EDATE(AF643,3),""))),"")</f>
        <v/>
      </c>
      <c r="AK643">
        <f>IF(AJ643&lt;&gt;"",IF(AI643="Monthly",EDATE(AJ643,1),IF(AI643="Quarterly",EDATE(AJ643,3),IF(AI643="Semi-Annual",EDATE(AJ643,6),""))),"")</f>
        <v/>
      </c>
      <c r="AL643">
        <f>IF(AK643&lt;&gt;"",IF(AK643&lt;TODAY(),"Overdue","Current"),"")</f>
        <v/>
      </c>
    </row>
    <row r="644">
      <c r="K644">
        <f>IF(J644="v4.0",L644,IF(J644="v3.1",M644,IF(J644="Both",L644,IF(AND(L644&lt;&gt;"",M644=""),L644,M644))))</f>
        <v/>
      </c>
      <c r="Z644">
        <f>IF(Y644&lt;&gt;"",TODAY()-Y644,"")</f>
        <v/>
      </c>
      <c r="AC644">
        <f>IF(AND(AA644&lt;&gt;"",AB644&lt;&gt;""),CHOOSE(MATCH(AA644,{"Low","Medium","High","Critical"},0),25,50,75,100)-CHOOSE(MATCH(AB644,{"Low","Medium","High","Critical"},0),25,50,75,100),"")</f>
        <v/>
      </c>
      <c r="AG644">
        <f>IF(AF644&lt;&gt;"",IF(AH644="Weekly",AF644+7,IF(AH644="Monthly",EDATE(AF644,1),IF(AH644="Quarterly",EDATE(AF644,3),""))),"")</f>
        <v/>
      </c>
      <c r="AK644">
        <f>IF(AJ644&lt;&gt;"",IF(AI644="Monthly",EDATE(AJ644,1),IF(AI644="Quarterly",EDATE(AJ644,3),IF(AI644="Semi-Annual",EDATE(AJ644,6),""))),"")</f>
        <v/>
      </c>
      <c r="AL644">
        <f>IF(AK644&lt;&gt;"",IF(AK644&lt;TODAY(),"Overdue","Current"),"")</f>
        <v/>
      </c>
    </row>
    <row r="645">
      <c r="K645">
        <f>IF(J645="v4.0",L645,IF(J645="v3.1",M645,IF(J645="Both",L645,IF(AND(L645&lt;&gt;"",M645=""),L645,M645))))</f>
        <v/>
      </c>
      <c r="Z645">
        <f>IF(Y645&lt;&gt;"",TODAY()-Y645,"")</f>
        <v/>
      </c>
      <c r="AC645">
        <f>IF(AND(AA645&lt;&gt;"",AB645&lt;&gt;""),CHOOSE(MATCH(AA645,{"Low","Medium","High","Critical"},0),25,50,75,100)-CHOOSE(MATCH(AB645,{"Low","Medium","High","Critical"},0),25,50,75,100),"")</f>
        <v/>
      </c>
      <c r="AG645">
        <f>IF(AF645&lt;&gt;"",IF(AH645="Weekly",AF645+7,IF(AH645="Monthly",EDATE(AF645,1),IF(AH645="Quarterly",EDATE(AF645,3),""))),"")</f>
        <v/>
      </c>
      <c r="AK645">
        <f>IF(AJ645&lt;&gt;"",IF(AI645="Monthly",EDATE(AJ645,1),IF(AI645="Quarterly",EDATE(AJ645,3),IF(AI645="Semi-Annual",EDATE(AJ645,6),""))),"")</f>
        <v/>
      </c>
      <c r="AL645">
        <f>IF(AK645&lt;&gt;"",IF(AK645&lt;TODAY(),"Overdue","Current"),"")</f>
        <v/>
      </c>
    </row>
    <row r="646">
      <c r="K646">
        <f>IF(J646="v4.0",L646,IF(J646="v3.1",M646,IF(J646="Both",L646,IF(AND(L646&lt;&gt;"",M646=""),L646,M646))))</f>
        <v/>
      </c>
      <c r="Z646">
        <f>IF(Y646&lt;&gt;"",TODAY()-Y646,"")</f>
        <v/>
      </c>
      <c r="AC646">
        <f>IF(AND(AA646&lt;&gt;"",AB646&lt;&gt;""),CHOOSE(MATCH(AA646,{"Low","Medium","High","Critical"},0),25,50,75,100)-CHOOSE(MATCH(AB646,{"Low","Medium","High","Critical"},0),25,50,75,100),"")</f>
        <v/>
      </c>
      <c r="AG646">
        <f>IF(AF646&lt;&gt;"",IF(AH646="Weekly",AF646+7,IF(AH646="Monthly",EDATE(AF646,1),IF(AH646="Quarterly",EDATE(AF646,3),""))),"")</f>
        <v/>
      </c>
      <c r="AK646">
        <f>IF(AJ646&lt;&gt;"",IF(AI646="Monthly",EDATE(AJ646,1),IF(AI646="Quarterly",EDATE(AJ646,3),IF(AI646="Semi-Annual",EDATE(AJ646,6),""))),"")</f>
        <v/>
      </c>
      <c r="AL646">
        <f>IF(AK646&lt;&gt;"",IF(AK646&lt;TODAY(),"Overdue","Current"),"")</f>
        <v/>
      </c>
    </row>
    <row r="647">
      <c r="K647">
        <f>IF(J647="v4.0",L647,IF(J647="v3.1",M647,IF(J647="Both",L647,IF(AND(L647&lt;&gt;"",M647=""),L647,M647))))</f>
        <v/>
      </c>
      <c r="Z647">
        <f>IF(Y647&lt;&gt;"",TODAY()-Y647,"")</f>
        <v/>
      </c>
      <c r="AC647">
        <f>IF(AND(AA647&lt;&gt;"",AB647&lt;&gt;""),CHOOSE(MATCH(AA647,{"Low","Medium","High","Critical"},0),25,50,75,100)-CHOOSE(MATCH(AB647,{"Low","Medium","High","Critical"},0),25,50,75,100),"")</f>
        <v/>
      </c>
      <c r="AG647">
        <f>IF(AF647&lt;&gt;"",IF(AH647="Weekly",AF647+7,IF(AH647="Monthly",EDATE(AF647,1),IF(AH647="Quarterly",EDATE(AF647,3),""))),"")</f>
        <v/>
      </c>
      <c r="AK647">
        <f>IF(AJ647&lt;&gt;"",IF(AI647="Monthly",EDATE(AJ647,1),IF(AI647="Quarterly",EDATE(AJ647,3),IF(AI647="Semi-Annual",EDATE(AJ647,6),""))),"")</f>
        <v/>
      </c>
      <c r="AL647">
        <f>IF(AK647&lt;&gt;"",IF(AK647&lt;TODAY(),"Overdue","Current"),"")</f>
        <v/>
      </c>
    </row>
    <row r="648">
      <c r="K648">
        <f>IF(J648="v4.0",L648,IF(J648="v3.1",M648,IF(J648="Both",L648,IF(AND(L648&lt;&gt;"",M648=""),L648,M648))))</f>
        <v/>
      </c>
      <c r="Z648">
        <f>IF(Y648&lt;&gt;"",TODAY()-Y648,"")</f>
        <v/>
      </c>
      <c r="AC648">
        <f>IF(AND(AA648&lt;&gt;"",AB648&lt;&gt;""),CHOOSE(MATCH(AA648,{"Low","Medium","High","Critical"},0),25,50,75,100)-CHOOSE(MATCH(AB648,{"Low","Medium","High","Critical"},0),25,50,75,100),"")</f>
        <v/>
      </c>
      <c r="AG648">
        <f>IF(AF648&lt;&gt;"",IF(AH648="Weekly",AF648+7,IF(AH648="Monthly",EDATE(AF648,1),IF(AH648="Quarterly",EDATE(AF648,3),""))),"")</f>
        <v/>
      </c>
      <c r="AK648">
        <f>IF(AJ648&lt;&gt;"",IF(AI648="Monthly",EDATE(AJ648,1),IF(AI648="Quarterly",EDATE(AJ648,3),IF(AI648="Semi-Annual",EDATE(AJ648,6),""))),"")</f>
        <v/>
      </c>
      <c r="AL648">
        <f>IF(AK648&lt;&gt;"",IF(AK648&lt;TODAY(),"Overdue","Current"),"")</f>
        <v/>
      </c>
    </row>
    <row r="649">
      <c r="K649">
        <f>IF(J649="v4.0",L649,IF(J649="v3.1",M649,IF(J649="Both",L649,IF(AND(L649&lt;&gt;"",M649=""),L649,M649))))</f>
        <v/>
      </c>
      <c r="Z649">
        <f>IF(Y649&lt;&gt;"",TODAY()-Y649,"")</f>
        <v/>
      </c>
      <c r="AC649">
        <f>IF(AND(AA649&lt;&gt;"",AB649&lt;&gt;""),CHOOSE(MATCH(AA649,{"Low","Medium","High","Critical"},0),25,50,75,100)-CHOOSE(MATCH(AB649,{"Low","Medium","High","Critical"},0),25,50,75,100),"")</f>
        <v/>
      </c>
      <c r="AG649">
        <f>IF(AF649&lt;&gt;"",IF(AH649="Weekly",AF649+7,IF(AH649="Monthly",EDATE(AF649,1),IF(AH649="Quarterly",EDATE(AF649,3),""))),"")</f>
        <v/>
      </c>
      <c r="AK649">
        <f>IF(AJ649&lt;&gt;"",IF(AI649="Monthly",EDATE(AJ649,1),IF(AI649="Quarterly",EDATE(AJ649,3),IF(AI649="Semi-Annual",EDATE(AJ649,6),""))),"")</f>
        <v/>
      </c>
      <c r="AL649">
        <f>IF(AK649&lt;&gt;"",IF(AK649&lt;TODAY(),"Overdue","Current"),"")</f>
        <v/>
      </c>
    </row>
    <row r="650">
      <c r="K650">
        <f>IF(J650="v4.0",L650,IF(J650="v3.1",M650,IF(J650="Both",L650,IF(AND(L650&lt;&gt;"",M650=""),L650,M650))))</f>
        <v/>
      </c>
      <c r="Z650">
        <f>IF(Y650&lt;&gt;"",TODAY()-Y650,"")</f>
        <v/>
      </c>
      <c r="AC650">
        <f>IF(AND(AA650&lt;&gt;"",AB650&lt;&gt;""),CHOOSE(MATCH(AA650,{"Low","Medium","High","Critical"},0),25,50,75,100)-CHOOSE(MATCH(AB650,{"Low","Medium","High","Critical"},0),25,50,75,100),"")</f>
        <v/>
      </c>
      <c r="AG650">
        <f>IF(AF650&lt;&gt;"",IF(AH650="Weekly",AF650+7,IF(AH650="Monthly",EDATE(AF650,1),IF(AH650="Quarterly",EDATE(AF650,3),""))),"")</f>
        <v/>
      </c>
      <c r="AK650">
        <f>IF(AJ650&lt;&gt;"",IF(AI650="Monthly",EDATE(AJ650,1),IF(AI650="Quarterly",EDATE(AJ650,3),IF(AI650="Semi-Annual",EDATE(AJ650,6),""))),"")</f>
        <v/>
      </c>
      <c r="AL650">
        <f>IF(AK650&lt;&gt;"",IF(AK650&lt;TODAY(),"Overdue","Current"),"")</f>
        <v/>
      </c>
    </row>
    <row r="651">
      <c r="K651">
        <f>IF(J651="v4.0",L651,IF(J651="v3.1",M651,IF(J651="Both",L651,IF(AND(L651&lt;&gt;"",M651=""),L651,M651))))</f>
        <v/>
      </c>
      <c r="Z651">
        <f>IF(Y651&lt;&gt;"",TODAY()-Y651,"")</f>
        <v/>
      </c>
      <c r="AC651">
        <f>IF(AND(AA651&lt;&gt;"",AB651&lt;&gt;""),CHOOSE(MATCH(AA651,{"Low","Medium","High","Critical"},0),25,50,75,100)-CHOOSE(MATCH(AB651,{"Low","Medium","High","Critical"},0),25,50,75,100),"")</f>
        <v/>
      </c>
      <c r="AG651">
        <f>IF(AF651&lt;&gt;"",IF(AH651="Weekly",AF651+7,IF(AH651="Monthly",EDATE(AF651,1),IF(AH651="Quarterly",EDATE(AF651,3),""))),"")</f>
        <v/>
      </c>
      <c r="AK651">
        <f>IF(AJ651&lt;&gt;"",IF(AI651="Monthly",EDATE(AJ651,1),IF(AI651="Quarterly",EDATE(AJ651,3),IF(AI651="Semi-Annual",EDATE(AJ651,6),""))),"")</f>
        <v/>
      </c>
      <c r="AL651">
        <f>IF(AK651&lt;&gt;"",IF(AK651&lt;TODAY(),"Overdue","Current"),"")</f>
        <v/>
      </c>
    </row>
    <row r="652">
      <c r="K652">
        <f>IF(J652="v4.0",L652,IF(J652="v3.1",M652,IF(J652="Both",L652,IF(AND(L652&lt;&gt;"",M652=""),L652,M652))))</f>
        <v/>
      </c>
      <c r="Z652">
        <f>IF(Y652&lt;&gt;"",TODAY()-Y652,"")</f>
        <v/>
      </c>
      <c r="AC652">
        <f>IF(AND(AA652&lt;&gt;"",AB652&lt;&gt;""),CHOOSE(MATCH(AA652,{"Low","Medium","High","Critical"},0),25,50,75,100)-CHOOSE(MATCH(AB652,{"Low","Medium","High","Critical"},0),25,50,75,100),"")</f>
        <v/>
      </c>
      <c r="AG652">
        <f>IF(AF652&lt;&gt;"",IF(AH652="Weekly",AF652+7,IF(AH652="Monthly",EDATE(AF652,1),IF(AH652="Quarterly",EDATE(AF652,3),""))),"")</f>
        <v/>
      </c>
      <c r="AK652">
        <f>IF(AJ652&lt;&gt;"",IF(AI652="Monthly",EDATE(AJ652,1),IF(AI652="Quarterly",EDATE(AJ652,3),IF(AI652="Semi-Annual",EDATE(AJ652,6),""))),"")</f>
        <v/>
      </c>
      <c r="AL652">
        <f>IF(AK652&lt;&gt;"",IF(AK652&lt;TODAY(),"Overdue","Current"),"")</f>
        <v/>
      </c>
    </row>
    <row r="653">
      <c r="K653">
        <f>IF(J653="v4.0",L653,IF(J653="v3.1",M653,IF(J653="Both",L653,IF(AND(L653&lt;&gt;"",M653=""),L653,M653))))</f>
        <v/>
      </c>
      <c r="Z653">
        <f>IF(Y653&lt;&gt;"",TODAY()-Y653,"")</f>
        <v/>
      </c>
      <c r="AC653">
        <f>IF(AND(AA653&lt;&gt;"",AB653&lt;&gt;""),CHOOSE(MATCH(AA653,{"Low","Medium","High","Critical"},0),25,50,75,100)-CHOOSE(MATCH(AB653,{"Low","Medium","High","Critical"},0),25,50,75,100),"")</f>
        <v/>
      </c>
      <c r="AG653">
        <f>IF(AF653&lt;&gt;"",IF(AH653="Weekly",AF653+7,IF(AH653="Monthly",EDATE(AF653,1),IF(AH653="Quarterly",EDATE(AF653,3),""))),"")</f>
        <v/>
      </c>
      <c r="AK653">
        <f>IF(AJ653&lt;&gt;"",IF(AI653="Monthly",EDATE(AJ653,1),IF(AI653="Quarterly",EDATE(AJ653,3),IF(AI653="Semi-Annual",EDATE(AJ653,6),""))),"")</f>
        <v/>
      </c>
      <c r="AL653">
        <f>IF(AK653&lt;&gt;"",IF(AK653&lt;TODAY(),"Overdue","Current"),"")</f>
        <v/>
      </c>
    </row>
    <row r="654">
      <c r="K654">
        <f>IF(J654="v4.0",L654,IF(J654="v3.1",M654,IF(J654="Both",L654,IF(AND(L654&lt;&gt;"",M654=""),L654,M654))))</f>
        <v/>
      </c>
      <c r="Z654">
        <f>IF(Y654&lt;&gt;"",TODAY()-Y654,"")</f>
        <v/>
      </c>
      <c r="AC654">
        <f>IF(AND(AA654&lt;&gt;"",AB654&lt;&gt;""),CHOOSE(MATCH(AA654,{"Low","Medium","High","Critical"},0),25,50,75,100)-CHOOSE(MATCH(AB654,{"Low","Medium","High","Critical"},0),25,50,75,100),"")</f>
        <v/>
      </c>
      <c r="AG654">
        <f>IF(AF654&lt;&gt;"",IF(AH654="Weekly",AF654+7,IF(AH654="Monthly",EDATE(AF654,1),IF(AH654="Quarterly",EDATE(AF654,3),""))),"")</f>
        <v/>
      </c>
      <c r="AK654">
        <f>IF(AJ654&lt;&gt;"",IF(AI654="Monthly",EDATE(AJ654,1),IF(AI654="Quarterly",EDATE(AJ654,3),IF(AI654="Semi-Annual",EDATE(AJ654,6),""))),"")</f>
        <v/>
      </c>
      <c r="AL654">
        <f>IF(AK654&lt;&gt;"",IF(AK654&lt;TODAY(),"Overdue","Current"),"")</f>
        <v/>
      </c>
    </row>
    <row r="655">
      <c r="K655">
        <f>IF(J655="v4.0",L655,IF(J655="v3.1",M655,IF(J655="Both",L655,IF(AND(L655&lt;&gt;"",M655=""),L655,M655))))</f>
        <v/>
      </c>
      <c r="Z655">
        <f>IF(Y655&lt;&gt;"",TODAY()-Y655,"")</f>
        <v/>
      </c>
      <c r="AC655">
        <f>IF(AND(AA655&lt;&gt;"",AB655&lt;&gt;""),CHOOSE(MATCH(AA655,{"Low","Medium","High","Critical"},0),25,50,75,100)-CHOOSE(MATCH(AB655,{"Low","Medium","High","Critical"},0),25,50,75,100),"")</f>
        <v/>
      </c>
      <c r="AG655">
        <f>IF(AF655&lt;&gt;"",IF(AH655="Weekly",AF655+7,IF(AH655="Monthly",EDATE(AF655,1),IF(AH655="Quarterly",EDATE(AF655,3),""))),"")</f>
        <v/>
      </c>
      <c r="AK655">
        <f>IF(AJ655&lt;&gt;"",IF(AI655="Monthly",EDATE(AJ655,1),IF(AI655="Quarterly",EDATE(AJ655,3),IF(AI655="Semi-Annual",EDATE(AJ655,6),""))),"")</f>
        <v/>
      </c>
      <c r="AL655">
        <f>IF(AK655&lt;&gt;"",IF(AK655&lt;TODAY(),"Overdue","Current"),"")</f>
        <v/>
      </c>
    </row>
    <row r="656">
      <c r="K656">
        <f>IF(J656="v4.0",L656,IF(J656="v3.1",M656,IF(J656="Both",L656,IF(AND(L656&lt;&gt;"",M656=""),L656,M656))))</f>
        <v/>
      </c>
      <c r="Z656">
        <f>IF(Y656&lt;&gt;"",TODAY()-Y656,"")</f>
        <v/>
      </c>
      <c r="AC656">
        <f>IF(AND(AA656&lt;&gt;"",AB656&lt;&gt;""),CHOOSE(MATCH(AA656,{"Low","Medium","High","Critical"},0),25,50,75,100)-CHOOSE(MATCH(AB656,{"Low","Medium","High","Critical"},0),25,50,75,100),"")</f>
        <v/>
      </c>
      <c r="AG656">
        <f>IF(AF656&lt;&gt;"",IF(AH656="Weekly",AF656+7,IF(AH656="Monthly",EDATE(AF656,1),IF(AH656="Quarterly",EDATE(AF656,3),""))),"")</f>
        <v/>
      </c>
      <c r="AK656">
        <f>IF(AJ656&lt;&gt;"",IF(AI656="Monthly",EDATE(AJ656,1),IF(AI656="Quarterly",EDATE(AJ656,3),IF(AI656="Semi-Annual",EDATE(AJ656,6),""))),"")</f>
        <v/>
      </c>
      <c r="AL656">
        <f>IF(AK656&lt;&gt;"",IF(AK656&lt;TODAY(),"Overdue","Current"),"")</f>
        <v/>
      </c>
    </row>
    <row r="657">
      <c r="K657">
        <f>IF(J657="v4.0",L657,IF(J657="v3.1",M657,IF(J657="Both",L657,IF(AND(L657&lt;&gt;"",M657=""),L657,M657))))</f>
        <v/>
      </c>
      <c r="Z657">
        <f>IF(Y657&lt;&gt;"",TODAY()-Y657,"")</f>
        <v/>
      </c>
      <c r="AC657">
        <f>IF(AND(AA657&lt;&gt;"",AB657&lt;&gt;""),CHOOSE(MATCH(AA657,{"Low","Medium","High","Critical"},0),25,50,75,100)-CHOOSE(MATCH(AB657,{"Low","Medium","High","Critical"},0),25,50,75,100),"")</f>
        <v/>
      </c>
      <c r="AG657">
        <f>IF(AF657&lt;&gt;"",IF(AH657="Weekly",AF657+7,IF(AH657="Monthly",EDATE(AF657,1),IF(AH657="Quarterly",EDATE(AF657,3),""))),"")</f>
        <v/>
      </c>
      <c r="AK657">
        <f>IF(AJ657&lt;&gt;"",IF(AI657="Monthly",EDATE(AJ657,1),IF(AI657="Quarterly",EDATE(AJ657,3),IF(AI657="Semi-Annual",EDATE(AJ657,6),""))),"")</f>
        <v/>
      </c>
      <c r="AL657">
        <f>IF(AK657&lt;&gt;"",IF(AK657&lt;TODAY(),"Overdue","Current"),"")</f>
        <v/>
      </c>
    </row>
    <row r="658">
      <c r="K658">
        <f>IF(J658="v4.0",L658,IF(J658="v3.1",M658,IF(J658="Both",L658,IF(AND(L658&lt;&gt;"",M658=""),L658,M658))))</f>
        <v/>
      </c>
      <c r="Z658">
        <f>IF(Y658&lt;&gt;"",TODAY()-Y658,"")</f>
        <v/>
      </c>
      <c r="AC658">
        <f>IF(AND(AA658&lt;&gt;"",AB658&lt;&gt;""),CHOOSE(MATCH(AA658,{"Low","Medium","High","Critical"},0),25,50,75,100)-CHOOSE(MATCH(AB658,{"Low","Medium","High","Critical"},0),25,50,75,100),"")</f>
        <v/>
      </c>
      <c r="AG658">
        <f>IF(AF658&lt;&gt;"",IF(AH658="Weekly",AF658+7,IF(AH658="Monthly",EDATE(AF658,1),IF(AH658="Quarterly",EDATE(AF658,3),""))),"")</f>
        <v/>
      </c>
      <c r="AK658">
        <f>IF(AJ658&lt;&gt;"",IF(AI658="Monthly",EDATE(AJ658,1),IF(AI658="Quarterly",EDATE(AJ658,3),IF(AI658="Semi-Annual",EDATE(AJ658,6),""))),"")</f>
        <v/>
      </c>
      <c r="AL658">
        <f>IF(AK658&lt;&gt;"",IF(AK658&lt;TODAY(),"Overdue","Current"),"")</f>
        <v/>
      </c>
    </row>
    <row r="659">
      <c r="K659">
        <f>IF(J659="v4.0",L659,IF(J659="v3.1",M659,IF(J659="Both",L659,IF(AND(L659&lt;&gt;"",M659=""),L659,M659))))</f>
        <v/>
      </c>
      <c r="Z659">
        <f>IF(Y659&lt;&gt;"",TODAY()-Y659,"")</f>
        <v/>
      </c>
      <c r="AC659">
        <f>IF(AND(AA659&lt;&gt;"",AB659&lt;&gt;""),CHOOSE(MATCH(AA659,{"Low","Medium","High","Critical"},0),25,50,75,100)-CHOOSE(MATCH(AB659,{"Low","Medium","High","Critical"},0),25,50,75,100),"")</f>
        <v/>
      </c>
      <c r="AG659">
        <f>IF(AF659&lt;&gt;"",IF(AH659="Weekly",AF659+7,IF(AH659="Monthly",EDATE(AF659,1),IF(AH659="Quarterly",EDATE(AF659,3),""))),"")</f>
        <v/>
      </c>
      <c r="AK659">
        <f>IF(AJ659&lt;&gt;"",IF(AI659="Monthly",EDATE(AJ659,1),IF(AI659="Quarterly",EDATE(AJ659,3),IF(AI659="Semi-Annual",EDATE(AJ659,6),""))),"")</f>
        <v/>
      </c>
      <c r="AL659">
        <f>IF(AK659&lt;&gt;"",IF(AK659&lt;TODAY(),"Overdue","Current"),"")</f>
        <v/>
      </c>
    </row>
    <row r="660">
      <c r="K660">
        <f>IF(J660="v4.0",L660,IF(J660="v3.1",M660,IF(J660="Both",L660,IF(AND(L660&lt;&gt;"",M660=""),L660,M660))))</f>
        <v/>
      </c>
      <c r="Z660">
        <f>IF(Y660&lt;&gt;"",TODAY()-Y660,"")</f>
        <v/>
      </c>
      <c r="AC660">
        <f>IF(AND(AA660&lt;&gt;"",AB660&lt;&gt;""),CHOOSE(MATCH(AA660,{"Low","Medium","High","Critical"},0),25,50,75,100)-CHOOSE(MATCH(AB660,{"Low","Medium","High","Critical"},0),25,50,75,100),"")</f>
        <v/>
      </c>
      <c r="AG660">
        <f>IF(AF660&lt;&gt;"",IF(AH660="Weekly",AF660+7,IF(AH660="Monthly",EDATE(AF660,1),IF(AH660="Quarterly",EDATE(AF660,3),""))),"")</f>
        <v/>
      </c>
      <c r="AK660">
        <f>IF(AJ660&lt;&gt;"",IF(AI660="Monthly",EDATE(AJ660,1),IF(AI660="Quarterly",EDATE(AJ660,3),IF(AI660="Semi-Annual",EDATE(AJ660,6),""))),"")</f>
        <v/>
      </c>
      <c r="AL660">
        <f>IF(AK660&lt;&gt;"",IF(AK660&lt;TODAY(),"Overdue","Current"),"")</f>
        <v/>
      </c>
    </row>
    <row r="661">
      <c r="K661">
        <f>IF(J661="v4.0",L661,IF(J661="v3.1",M661,IF(J661="Both",L661,IF(AND(L661&lt;&gt;"",M661=""),L661,M661))))</f>
        <v/>
      </c>
      <c r="Z661">
        <f>IF(Y661&lt;&gt;"",TODAY()-Y661,"")</f>
        <v/>
      </c>
      <c r="AC661">
        <f>IF(AND(AA661&lt;&gt;"",AB661&lt;&gt;""),CHOOSE(MATCH(AA661,{"Low","Medium","High","Critical"},0),25,50,75,100)-CHOOSE(MATCH(AB661,{"Low","Medium","High","Critical"},0),25,50,75,100),"")</f>
        <v/>
      </c>
      <c r="AG661">
        <f>IF(AF661&lt;&gt;"",IF(AH661="Weekly",AF661+7,IF(AH661="Monthly",EDATE(AF661,1),IF(AH661="Quarterly",EDATE(AF661,3),""))),"")</f>
        <v/>
      </c>
      <c r="AK661">
        <f>IF(AJ661&lt;&gt;"",IF(AI661="Monthly",EDATE(AJ661,1),IF(AI661="Quarterly",EDATE(AJ661,3),IF(AI661="Semi-Annual",EDATE(AJ661,6),""))),"")</f>
        <v/>
      </c>
      <c r="AL661">
        <f>IF(AK661&lt;&gt;"",IF(AK661&lt;TODAY(),"Overdue","Current"),"")</f>
        <v/>
      </c>
    </row>
    <row r="662">
      <c r="K662">
        <f>IF(J662="v4.0",L662,IF(J662="v3.1",M662,IF(J662="Both",L662,IF(AND(L662&lt;&gt;"",M662=""),L662,M662))))</f>
        <v/>
      </c>
      <c r="Z662">
        <f>IF(Y662&lt;&gt;"",TODAY()-Y662,"")</f>
        <v/>
      </c>
      <c r="AC662">
        <f>IF(AND(AA662&lt;&gt;"",AB662&lt;&gt;""),CHOOSE(MATCH(AA662,{"Low","Medium","High","Critical"},0),25,50,75,100)-CHOOSE(MATCH(AB662,{"Low","Medium","High","Critical"},0),25,50,75,100),"")</f>
        <v/>
      </c>
      <c r="AG662">
        <f>IF(AF662&lt;&gt;"",IF(AH662="Weekly",AF662+7,IF(AH662="Monthly",EDATE(AF662,1),IF(AH662="Quarterly",EDATE(AF662,3),""))),"")</f>
        <v/>
      </c>
      <c r="AK662">
        <f>IF(AJ662&lt;&gt;"",IF(AI662="Monthly",EDATE(AJ662,1),IF(AI662="Quarterly",EDATE(AJ662,3),IF(AI662="Semi-Annual",EDATE(AJ662,6),""))),"")</f>
        <v/>
      </c>
      <c r="AL662">
        <f>IF(AK662&lt;&gt;"",IF(AK662&lt;TODAY(),"Overdue","Current"),"")</f>
        <v/>
      </c>
    </row>
    <row r="663">
      <c r="K663">
        <f>IF(J663="v4.0",L663,IF(J663="v3.1",M663,IF(J663="Both",L663,IF(AND(L663&lt;&gt;"",M663=""),L663,M663))))</f>
        <v/>
      </c>
      <c r="Z663">
        <f>IF(Y663&lt;&gt;"",TODAY()-Y663,"")</f>
        <v/>
      </c>
      <c r="AC663">
        <f>IF(AND(AA663&lt;&gt;"",AB663&lt;&gt;""),CHOOSE(MATCH(AA663,{"Low","Medium","High","Critical"},0),25,50,75,100)-CHOOSE(MATCH(AB663,{"Low","Medium","High","Critical"},0),25,50,75,100),"")</f>
        <v/>
      </c>
      <c r="AG663">
        <f>IF(AF663&lt;&gt;"",IF(AH663="Weekly",AF663+7,IF(AH663="Monthly",EDATE(AF663,1),IF(AH663="Quarterly",EDATE(AF663,3),""))),"")</f>
        <v/>
      </c>
      <c r="AK663">
        <f>IF(AJ663&lt;&gt;"",IF(AI663="Monthly",EDATE(AJ663,1),IF(AI663="Quarterly",EDATE(AJ663,3),IF(AI663="Semi-Annual",EDATE(AJ663,6),""))),"")</f>
        <v/>
      </c>
      <c r="AL663">
        <f>IF(AK663&lt;&gt;"",IF(AK663&lt;TODAY(),"Overdue","Current"),"")</f>
        <v/>
      </c>
    </row>
    <row r="664">
      <c r="K664">
        <f>IF(J664="v4.0",L664,IF(J664="v3.1",M664,IF(J664="Both",L664,IF(AND(L664&lt;&gt;"",M664=""),L664,M664))))</f>
        <v/>
      </c>
      <c r="Z664">
        <f>IF(Y664&lt;&gt;"",TODAY()-Y664,"")</f>
        <v/>
      </c>
      <c r="AC664">
        <f>IF(AND(AA664&lt;&gt;"",AB664&lt;&gt;""),CHOOSE(MATCH(AA664,{"Low","Medium","High","Critical"},0),25,50,75,100)-CHOOSE(MATCH(AB664,{"Low","Medium","High","Critical"},0),25,50,75,100),"")</f>
        <v/>
      </c>
      <c r="AG664">
        <f>IF(AF664&lt;&gt;"",IF(AH664="Weekly",AF664+7,IF(AH664="Monthly",EDATE(AF664,1),IF(AH664="Quarterly",EDATE(AF664,3),""))),"")</f>
        <v/>
      </c>
      <c r="AK664">
        <f>IF(AJ664&lt;&gt;"",IF(AI664="Monthly",EDATE(AJ664,1),IF(AI664="Quarterly",EDATE(AJ664,3),IF(AI664="Semi-Annual",EDATE(AJ664,6),""))),"")</f>
        <v/>
      </c>
      <c r="AL664">
        <f>IF(AK664&lt;&gt;"",IF(AK664&lt;TODAY(),"Overdue","Current"),"")</f>
        <v/>
      </c>
    </row>
    <row r="665">
      <c r="K665">
        <f>IF(J665="v4.0",L665,IF(J665="v3.1",M665,IF(J665="Both",L665,IF(AND(L665&lt;&gt;"",M665=""),L665,M665))))</f>
        <v/>
      </c>
      <c r="Z665">
        <f>IF(Y665&lt;&gt;"",TODAY()-Y665,"")</f>
        <v/>
      </c>
      <c r="AC665">
        <f>IF(AND(AA665&lt;&gt;"",AB665&lt;&gt;""),CHOOSE(MATCH(AA665,{"Low","Medium","High","Critical"},0),25,50,75,100)-CHOOSE(MATCH(AB665,{"Low","Medium","High","Critical"},0),25,50,75,100),"")</f>
        <v/>
      </c>
      <c r="AG665">
        <f>IF(AF665&lt;&gt;"",IF(AH665="Weekly",AF665+7,IF(AH665="Monthly",EDATE(AF665,1),IF(AH665="Quarterly",EDATE(AF665,3),""))),"")</f>
        <v/>
      </c>
      <c r="AK665">
        <f>IF(AJ665&lt;&gt;"",IF(AI665="Monthly",EDATE(AJ665,1),IF(AI665="Quarterly",EDATE(AJ665,3),IF(AI665="Semi-Annual",EDATE(AJ665,6),""))),"")</f>
        <v/>
      </c>
      <c r="AL665">
        <f>IF(AK665&lt;&gt;"",IF(AK665&lt;TODAY(),"Overdue","Current"),"")</f>
        <v/>
      </c>
    </row>
    <row r="666">
      <c r="K666">
        <f>IF(J666="v4.0",L666,IF(J666="v3.1",M666,IF(J666="Both",L666,IF(AND(L666&lt;&gt;"",M666=""),L666,M666))))</f>
        <v/>
      </c>
      <c r="Z666">
        <f>IF(Y666&lt;&gt;"",TODAY()-Y666,"")</f>
        <v/>
      </c>
      <c r="AC666">
        <f>IF(AND(AA666&lt;&gt;"",AB666&lt;&gt;""),CHOOSE(MATCH(AA666,{"Low","Medium","High","Critical"},0),25,50,75,100)-CHOOSE(MATCH(AB666,{"Low","Medium","High","Critical"},0),25,50,75,100),"")</f>
        <v/>
      </c>
      <c r="AG666">
        <f>IF(AF666&lt;&gt;"",IF(AH666="Weekly",AF666+7,IF(AH666="Monthly",EDATE(AF666,1),IF(AH666="Quarterly",EDATE(AF666,3),""))),"")</f>
        <v/>
      </c>
      <c r="AK666">
        <f>IF(AJ666&lt;&gt;"",IF(AI666="Monthly",EDATE(AJ666,1),IF(AI666="Quarterly",EDATE(AJ666,3),IF(AI666="Semi-Annual",EDATE(AJ666,6),""))),"")</f>
        <v/>
      </c>
      <c r="AL666">
        <f>IF(AK666&lt;&gt;"",IF(AK666&lt;TODAY(),"Overdue","Current"),"")</f>
        <v/>
      </c>
    </row>
    <row r="667">
      <c r="K667">
        <f>IF(J667="v4.0",L667,IF(J667="v3.1",M667,IF(J667="Both",L667,IF(AND(L667&lt;&gt;"",M667=""),L667,M667))))</f>
        <v/>
      </c>
      <c r="Z667">
        <f>IF(Y667&lt;&gt;"",TODAY()-Y667,"")</f>
        <v/>
      </c>
      <c r="AC667">
        <f>IF(AND(AA667&lt;&gt;"",AB667&lt;&gt;""),CHOOSE(MATCH(AA667,{"Low","Medium","High","Critical"},0),25,50,75,100)-CHOOSE(MATCH(AB667,{"Low","Medium","High","Critical"},0),25,50,75,100),"")</f>
        <v/>
      </c>
      <c r="AG667">
        <f>IF(AF667&lt;&gt;"",IF(AH667="Weekly",AF667+7,IF(AH667="Monthly",EDATE(AF667,1),IF(AH667="Quarterly",EDATE(AF667,3),""))),"")</f>
        <v/>
      </c>
      <c r="AK667">
        <f>IF(AJ667&lt;&gt;"",IF(AI667="Monthly",EDATE(AJ667,1),IF(AI667="Quarterly",EDATE(AJ667,3),IF(AI667="Semi-Annual",EDATE(AJ667,6),""))),"")</f>
        <v/>
      </c>
      <c r="AL667">
        <f>IF(AK667&lt;&gt;"",IF(AK667&lt;TODAY(),"Overdue","Current"),"")</f>
        <v/>
      </c>
    </row>
    <row r="668">
      <c r="K668">
        <f>IF(J668="v4.0",L668,IF(J668="v3.1",M668,IF(J668="Both",L668,IF(AND(L668&lt;&gt;"",M668=""),L668,M668))))</f>
        <v/>
      </c>
      <c r="Z668">
        <f>IF(Y668&lt;&gt;"",TODAY()-Y668,"")</f>
        <v/>
      </c>
      <c r="AC668">
        <f>IF(AND(AA668&lt;&gt;"",AB668&lt;&gt;""),CHOOSE(MATCH(AA668,{"Low","Medium","High","Critical"},0),25,50,75,100)-CHOOSE(MATCH(AB668,{"Low","Medium","High","Critical"},0),25,50,75,100),"")</f>
        <v/>
      </c>
      <c r="AG668">
        <f>IF(AF668&lt;&gt;"",IF(AH668="Weekly",AF668+7,IF(AH668="Monthly",EDATE(AF668,1),IF(AH668="Quarterly",EDATE(AF668,3),""))),"")</f>
        <v/>
      </c>
      <c r="AK668">
        <f>IF(AJ668&lt;&gt;"",IF(AI668="Monthly",EDATE(AJ668,1),IF(AI668="Quarterly",EDATE(AJ668,3),IF(AI668="Semi-Annual",EDATE(AJ668,6),""))),"")</f>
        <v/>
      </c>
      <c r="AL668">
        <f>IF(AK668&lt;&gt;"",IF(AK668&lt;TODAY(),"Overdue","Current"),"")</f>
        <v/>
      </c>
    </row>
    <row r="669">
      <c r="K669">
        <f>IF(J669="v4.0",L669,IF(J669="v3.1",M669,IF(J669="Both",L669,IF(AND(L669&lt;&gt;"",M669=""),L669,M669))))</f>
        <v/>
      </c>
      <c r="Z669">
        <f>IF(Y669&lt;&gt;"",TODAY()-Y669,"")</f>
        <v/>
      </c>
      <c r="AC669">
        <f>IF(AND(AA669&lt;&gt;"",AB669&lt;&gt;""),CHOOSE(MATCH(AA669,{"Low","Medium","High","Critical"},0),25,50,75,100)-CHOOSE(MATCH(AB669,{"Low","Medium","High","Critical"},0),25,50,75,100),"")</f>
        <v/>
      </c>
      <c r="AG669">
        <f>IF(AF669&lt;&gt;"",IF(AH669="Weekly",AF669+7,IF(AH669="Monthly",EDATE(AF669,1),IF(AH669="Quarterly",EDATE(AF669,3),""))),"")</f>
        <v/>
      </c>
      <c r="AK669">
        <f>IF(AJ669&lt;&gt;"",IF(AI669="Monthly",EDATE(AJ669,1),IF(AI669="Quarterly",EDATE(AJ669,3),IF(AI669="Semi-Annual",EDATE(AJ669,6),""))),"")</f>
        <v/>
      </c>
      <c r="AL669">
        <f>IF(AK669&lt;&gt;"",IF(AK669&lt;TODAY(),"Overdue","Current"),"")</f>
        <v/>
      </c>
    </row>
    <row r="670">
      <c r="K670">
        <f>IF(J670="v4.0",L670,IF(J670="v3.1",M670,IF(J670="Both",L670,IF(AND(L670&lt;&gt;"",M670=""),L670,M670))))</f>
        <v/>
      </c>
      <c r="Z670">
        <f>IF(Y670&lt;&gt;"",TODAY()-Y670,"")</f>
        <v/>
      </c>
      <c r="AC670">
        <f>IF(AND(AA670&lt;&gt;"",AB670&lt;&gt;""),CHOOSE(MATCH(AA670,{"Low","Medium","High","Critical"},0),25,50,75,100)-CHOOSE(MATCH(AB670,{"Low","Medium","High","Critical"},0),25,50,75,100),"")</f>
        <v/>
      </c>
      <c r="AG670">
        <f>IF(AF670&lt;&gt;"",IF(AH670="Weekly",AF670+7,IF(AH670="Monthly",EDATE(AF670,1),IF(AH670="Quarterly",EDATE(AF670,3),""))),"")</f>
        <v/>
      </c>
      <c r="AK670">
        <f>IF(AJ670&lt;&gt;"",IF(AI670="Monthly",EDATE(AJ670,1),IF(AI670="Quarterly",EDATE(AJ670,3),IF(AI670="Semi-Annual",EDATE(AJ670,6),""))),"")</f>
        <v/>
      </c>
      <c r="AL670">
        <f>IF(AK670&lt;&gt;"",IF(AK670&lt;TODAY(),"Overdue","Current"),"")</f>
        <v/>
      </c>
    </row>
    <row r="671">
      <c r="K671">
        <f>IF(J671="v4.0",L671,IF(J671="v3.1",M671,IF(J671="Both",L671,IF(AND(L671&lt;&gt;"",M671=""),L671,M671))))</f>
        <v/>
      </c>
      <c r="Z671">
        <f>IF(Y671&lt;&gt;"",TODAY()-Y671,"")</f>
        <v/>
      </c>
      <c r="AC671">
        <f>IF(AND(AA671&lt;&gt;"",AB671&lt;&gt;""),CHOOSE(MATCH(AA671,{"Low","Medium","High","Critical"},0),25,50,75,100)-CHOOSE(MATCH(AB671,{"Low","Medium","High","Critical"},0),25,50,75,100),"")</f>
        <v/>
      </c>
      <c r="AG671">
        <f>IF(AF671&lt;&gt;"",IF(AH671="Weekly",AF671+7,IF(AH671="Monthly",EDATE(AF671,1),IF(AH671="Quarterly",EDATE(AF671,3),""))),"")</f>
        <v/>
      </c>
      <c r="AK671">
        <f>IF(AJ671&lt;&gt;"",IF(AI671="Monthly",EDATE(AJ671,1),IF(AI671="Quarterly",EDATE(AJ671,3),IF(AI671="Semi-Annual",EDATE(AJ671,6),""))),"")</f>
        <v/>
      </c>
      <c r="AL671">
        <f>IF(AK671&lt;&gt;"",IF(AK671&lt;TODAY(),"Overdue","Current"),"")</f>
        <v/>
      </c>
    </row>
    <row r="672">
      <c r="K672">
        <f>IF(J672="v4.0",L672,IF(J672="v3.1",M672,IF(J672="Both",L672,IF(AND(L672&lt;&gt;"",M672=""),L672,M672))))</f>
        <v/>
      </c>
      <c r="Z672">
        <f>IF(Y672&lt;&gt;"",TODAY()-Y672,"")</f>
        <v/>
      </c>
      <c r="AC672">
        <f>IF(AND(AA672&lt;&gt;"",AB672&lt;&gt;""),CHOOSE(MATCH(AA672,{"Low","Medium","High","Critical"},0),25,50,75,100)-CHOOSE(MATCH(AB672,{"Low","Medium","High","Critical"},0),25,50,75,100),"")</f>
        <v/>
      </c>
      <c r="AG672">
        <f>IF(AF672&lt;&gt;"",IF(AH672="Weekly",AF672+7,IF(AH672="Monthly",EDATE(AF672,1),IF(AH672="Quarterly",EDATE(AF672,3),""))),"")</f>
        <v/>
      </c>
      <c r="AK672">
        <f>IF(AJ672&lt;&gt;"",IF(AI672="Monthly",EDATE(AJ672,1),IF(AI672="Quarterly",EDATE(AJ672,3),IF(AI672="Semi-Annual",EDATE(AJ672,6),""))),"")</f>
        <v/>
      </c>
      <c r="AL672">
        <f>IF(AK672&lt;&gt;"",IF(AK672&lt;TODAY(),"Overdue","Current"),"")</f>
        <v/>
      </c>
    </row>
    <row r="673">
      <c r="K673">
        <f>IF(J673="v4.0",L673,IF(J673="v3.1",M673,IF(J673="Both",L673,IF(AND(L673&lt;&gt;"",M673=""),L673,M673))))</f>
        <v/>
      </c>
      <c r="Z673">
        <f>IF(Y673&lt;&gt;"",TODAY()-Y673,"")</f>
        <v/>
      </c>
      <c r="AC673">
        <f>IF(AND(AA673&lt;&gt;"",AB673&lt;&gt;""),CHOOSE(MATCH(AA673,{"Low","Medium","High","Critical"},0),25,50,75,100)-CHOOSE(MATCH(AB673,{"Low","Medium","High","Critical"},0),25,50,75,100),"")</f>
        <v/>
      </c>
      <c r="AG673">
        <f>IF(AF673&lt;&gt;"",IF(AH673="Weekly",AF673+7,IF(AH673="Monthly",EDATE(AF673,1),IF(AH673="Quarterly",EDATE(AF673,3),""))),"")</f>
        <v/>
      </c>
      <c r="AK673">
        <f>IF(AJ673&lt;&gt;"",IF(AI673="Monthly",EDATE(AJ673,1),IF(AI673="Quarterly",EDATE(AJ673,3),IF(AI673="Semi-Annual",EDATE(AJ673,6),""))),"")</f>
        <v/>
      </c>
      <c r="AL673">
        <f>IF(AK673&lt;&gt;"",IF(AK673&lt;TODAY(),"Overdue","Current"),"")</f>
        <v/>
      </c>
    </row>
    <row r="674">
      <c r="K674">
        <f>IF(J674="v4.0",L674,IF(J674="v3.1",M674,IF(J674="Both",L674,IF(AND(L674&lt;&gt;"",M674=""),L674,M674))))</f>
        <v/>
      </c>
      <c r="Z674">
        <f>IF(Y674&lt;&gt;"",TODAY()-Y674,"")</f>
        <v/>
      </c>
      <c r="AC674">
        <f>IF(AND(AA674&lt;&gt;"",AB674&lt;&gt;""),CHOOSE(MATCH(AA674,{"Low","Medium","High","Critical"},0),25,50,75,100)-CHOOSE(MATCH(AB674,{"Low","Medium","High","Critical"},0),25,50,75,100),"")</f>
        <v/>
      </c>
      <c r="AG674">
        <f>IF(AF674&lt;&gt;"",IF(AH674="Weekly",AF674+7,IF(AH674="Monthly",EDATE(AF674,1),IF(AH674="Quarterly",EDATE(AF674,3),""))),"")</f>
        <v/>
      </c>
      <c r="AK674">
        <f>IF(AJ674&lt;&gt;"",IF(AI674="Monthly",EDATE(AJ674,1),IF(AI674="Quarterly",EDATE(AJ674,3),IF(AI674="Semi-Annual",EDATE(AJ674,6),""))),"")</f>
        <v/>
      </c>
      <c r="AL674">
        <f>IF(AK674&lt;&gt;"",IF(AK674&lt;TODAY(),"Overdue","Current"),"")</f>
        <v/>
      </c>
    </row>
    <row r="675">
      <c r="K675">
        <f>IF(J675="v4.0",L675,IF(J675="v3.1",M675,IF(J675="Both",L675,IF(AND(L675&lt;&gt;"",M675=""),L675,M675))))</f>
        <v/>
      </c>
      <c r="Z675">
        <f>IF(Y675&lt;&gt;"",TODAY()-Y675,"")</f>
        <v/>
      </c>
      <c r="AC675">
        <f>IF(AND(AA675&lt;&gt;"",AB675&lt;&gt;""),CHOOSE(MATCH(AA675,{"Low","Medium","High","Critical"},0),25,50,75,100)-CHOOSE(MATCH(AB675,{"Low","Medium","High","Critical"},0),25,50,75,100),"")</f>
        <v/>
      </c>
      <c r="AG675">
        <f>IF(AF675&lt;&gt;"",IF(AH675="Weekly",AF675+7,IF(AH675="Monthly",EDATE(AF675,1),IF(AH675="Quarterly",EDATE(AF675,3),""))),"")</f>
        <v/>
      </c>
      <c r="AK675">
        <f>IF(AJ675&lt;&gt;"",IF(AI675="Monthly",EDATE(AJ675,1),IF(AI675="Quarterly",EDATE(AJ675,3),IF(AI675="Semi-Annual",EDATE(AJ675,6),""))),"")</f>
        <v/>
      </c>
      <c r="AL675">
        <f>IF(AK675&lt;&gt;"",IF(AK675&lt;TODAY(),"Overdue","Current"),"")</f>
        <v/>
      </c>
    </row>
    <row r="676">
      <c r="K676">
        <f>IF(J676="v4.0",L676,IF(J676="v3.1",M676,IF(J676="Both",L676,IF(AND(L676&lt;&gt;"",M676=""),L676,M676))))</f>
        <v/>
      </c>
      <c r="Z676">
        <f>IF(Y676&lt;&gt;"",TODAY()-Y676,"")</f>
        <v/>
      </c>
      <c r="AC676">
        <f>IF(AND(AA676&lt;&gt;"",AB676&lt;&gt;""),CHOOSE(MATCH(AA676,{"Low","Medium","High","Critical"},0),25,50,75,100)-CHOOSE(MATCH(AB676,{"Low","Medium","High","Critical"},0),25,50,75,100),"")</f>
        <v/>
      </c>
      <c r="AG676">
        <f>IF(AF676&lt;&gt;"",IF(AH676="Weekly",AF676+7,IF(AH676="Monthly",EDATE(AF676,1),IF(AH676="Quarterly",EDATE(AF676,3),""))),"")</f>
        <v/>
      </c>
      <c r="AK676">
        <f>IF(AJ676&lt;&gt;"",IF(AI676="Monthly",EDATE(AJ676,1),IF(AI676="Quarterly",EDATE(AJ676,3),IF(AI676="Semi-Annual",EDATE(AJ676,6),""))),"")</f>
        <v/>
      </c>
      <c r="AL676">
        <f>IF(AK676&lt;&gt;"",IF(AK676&lt;TODAY(),"Overdue","Current"),"")</f>
        <v/>
      </c>
    </row>
    <row r="677">
      <c r="K677">
        <f>IF(J677="v4.0",L677,IF(J677="v3.1",M677,IF(J677="Both",L677,IF(AND(L677&lt;&gt;"",M677=""),L677,M677))))</f>
        <v/>
      </c>
      <c r="Z677">
        <f>IF(Y677&lt;&gt;"",TODAY()-Y677,"")</f>
        <v/>
      </c>
      <c r="AC677">
        <f>IF(AND(AA677&lt;&gt;"",AB677&lt;&gt;""),CHOOSE(MATCH(AA677,{"Low","Medium","High","Critical"},0),25,50,75,100)-CHOOSE(MATCH(AB677,{"Low","Medium","High","Critical"},0),25,50,75,100),"")</f>
        <v/>
      </c>
      <c r="AG677">
        <f>IF(AF677&lt;&gt;"",IF(AH677="Weekly",AF677+7,IF(AH677="Monthly",EDATE(AF677,1),IF(AH677="Quarterly",EDATE(AF677,3),""))),"")</f>
        <v/>
      </c>
      <c r="AK677">
        <f>IF(AJ677&lt;&gt;"",IF(AI677="Monthly",EDATE(AJ677,1),IF(AI677="Quarterly",EDATE(AJ677,3),IF(AI677="Semi-Annual",EDATE(AJ677,6),""))),"")</f>
        <v/>
      </c>
      <c r="AL677">
        <f>IF(AK677&lt;&gt;"",IF(AK677&lt;TODAY(),"Overdue","Current"),"")</f>
        <v/>
      </c>
    </row>
    <row r="678">
      <c r="K678">
        <f>IF(J678="v4.0",L678,IF(J678="v3.1",M678,IF(J678="Both",L678,IF(AND(L678&lt;&gt;"",M678=""),L678,M678))))</f>
        <v/>
      </c>
      <c r="Z678">
        <f>IF(Y678&lt;&gt;"",TODAY()-Y678,"")</f>
        <v/>
      </c>
      <c r="AC678">
        <f>IF(AND(AA678&lt;&gt;"",AB678&lt;&gt;""),CHOOSE(MATCH(AA678,{"Low","Medium","High","Critical"},0),25,50,75,100)-CHOOSE(MATCH(AB678,{"Low","Medium","High","Critical"},0),25,50,75,100),"")</f>
        <v/>
      </c>
      <c r="AG678">
        <f>IF(AF678&lt;&gt;"",IF(AH678="Weekly",AF678+7,IF(AH678="Monthly",EDATE(AF678,1),IF(AH678="Quarterly",EDATE(AF678,3),""))),"")</f>
        <v/>
      </c>
      <c r="AK678">
        <f>IF(AJ678&lt;&gt;"",IF(AI678="Monthly",EDATE(AJ678,1),IF(AI678="Quarterly",EDATE(AJ678,3),IF(AI678="Semi-Annual",EDATE(AJ678,6),""))),"")</f>
        <v/>
      </c>
      <c r="AL678">
        <f>IF(AK678&lt;&gt;"",IF(AK678&lt;TODAY(),"Overdue","Current"),"")</f>
        <v/>
      </c>
    </row>
    <row r="679">
      <c r="K679">
        <f>IF(J679="v4.0",L679,IF(J679="v3.1",M679,IF(J679="Both",L679,IF(AND(L679&lt;&gt;"",M679=""),L679,M679))))</f>
        <v/>
      </c>
      <c r="Z679">
        <f>IF(Y679&lt;&gt;"",TODAY()-Y679,"")</f>
        <v/>
      </c>
      <c r="AC679">
        <f>IF(AND(AA679&lt;&gt;"",AB679&lt;&gt;""),CHOOSE(MATCH(AA679,{"Low","Medium","High","Critical"},0),25,50,75,100)-CHOOSE(MATCH(AB679,{"Low","Medium","High","Critical"},0),25,50,75,100),"")</f>
        <v/>
      </c>
      <c r="AG679">
        <f>IF(AF679&lt;&gt;"",IF(AH679="Weekly",AF679+7,IF(AH679="Monthly",EDATE(AF679,1),IF(AH679="Quarterly",EDATE(AF679,3),""))),"")</f>
        <v/>
      </c>
      <c r="AK679">
        <f>IF(AJ679&lt;&gt;"",IF(AI679="Monthly",EDATE(AJ679,1),IF(AI679="Quarterly",EDATE(AJ679,3),IF(AI679="Semi-Annual",EDATE(AJ679,6),""))),"")</f>
        <v/>
      </c>
      <c r="AL679">
        <f>IF(AK679&lt;&gt;"",IF(AK679&lt;TODAY(),"Overdue","Current"),"")</f>
        <v/>
      </c>
    </row>
    <row r="680">
      <c r="K680">
        <f>IF(J680="v4.0",L680,IF(J680="v3.1",M680,IF(J680="Both",L680,IF(AND(L680&lt;&gt;"",M680=""),L680,M680))))</f>
        <v/>
      </c>
      <c r="Z680">
        <f>IF(Y680&lt;&gt;"",TODAY()-Y680,"")</f>
        <v/>
      </c>
      <c r="AC680">
        <f>IF(AND(AA680&lt;&gt;"",AB680&lt;&gt;""),CHOOSE(MATCH(AA680,{"Low","Medium","High","Critical"},0),25,50,75,100)-CHOOSE(MATCH(AB680,{"Low","Medium","High","Critical"},0),25,50,75,100),"")</f>
        <v/>
      </c>
      <c r="AG680">
        <f>IF(AF680&lt;&gt;"",IF(AH680="Weekly",AF680+7,IF(AH680="Monthly",EDATE(AF680,1),IF(AH680="Quarterly",EDATE(AF680,3),""))),"")</f>
        <v/>
      </c>
      <c r="AK680">
        <f>IF(AJ680&lt;&gt;"",IF(AI680="Monthly",EDATE(AJ680,1),IF(AI680="Quarterly",EDATE(AJ680,3),IF(AI680="Semi-Annual",EDATE(AJ680,6),""))),"")</f>
        <v/>
      </c>
      <c r="AL680">
        <f>IF(AK680&lt;&gt;"",IF(AK680&lt;TODAY(),"Overdue","Current"),"")</f>
        <v/>
      </c>
    </row>
    <row r="681">
      <c r="K681">
        <f>IF(J681="v4.0",L681,IF(J681="v3.1",M681,IF(J681="Both",L681,IF(AND(L681&lt;&gt;"",M681=""),L681,M681))))</f>
        <v/>
      </c>
      <c r="Z681">
        <f>IF(Y681&lt;&gt;"",TODAY()-Y681,"")</f>
        <v/>
      </c>
      <c r="AC681">
        <f>IF(AND(AA681&lt;&gt;"",AB681&lt;&gt;""),CHOOSE(MATCH(AA681,{"Low","Medium","High","Critical"},0),25,50,75,100)-CHOOSE(MATCH(AB681,{"Low","Medium","High","Critical"},0),25,50,75,100),"")</f>
        <v/>
      </c>
      <c r="AG681">
        <f>IF(AF681&lt;&gt;"",IF(AH681="Weekly",AF681+7,IF(AH681="Monthly",EDATE(AF681,1),IF(AH681="Quarterly",EDATE(AF681,3),""))),"")</f>
        <v/>
      </c>
      <c r="AK681">
        <f>IF(AJ681&lt;&gt;"",IF(AI681="Monthly",EDATE(AJ681,1),IF(AI681="Quarterly",EDATE(AJ681,3),IF(AI681="Semi-Annual",EDATE(AJ681,6),""))),"")</f>
        <v/>
      </c>
      <c r="AL681">
        <f>IF(AK681&lt;&gt;"",IF(AK681&lt;TODAY(),"Overdue","Current"),"")</f>
        <v/>
      </c>
    </row>
    <row r="682">
      <c r="K682">
        <f>IF(J682="v4.0",L682,IF(J682="v3.1",M682,IF(J682="Both",L682,IF(AND(L682&lt;&gt;"",M682=""),L682,M682))))</f>
        <v/>
      </c>
      <c r="Z682">
        <f>IF(Y682&lt;&gt;"",TODAY()-Y682,"")</f>
        <v/>
      </c>
      <c r="AC682">
        <f>IF(AND(AA682&lt;&gt;"",AB682&lt;&gt;""),CHOOSE(MATCH(AA682,{"Low","Medium","High","Critical"},0),25,50,75,100)-CHOOSE(MATCH(AB682,{"Low","Medium","High","Critical"},0),25,50,75,100),"")</f>
        <v/>
      </c>
      <c r="AG682">
        <f>IF(AF682&lt;&gt;"",IF(AH682="Weekly",AF682+7,IF(AH682="Monthly",EDATE(AF682,1),IF(AH682="Quarterly",EDATE(AF682,3),""))),"")</f>
        <v/>
      </c>
      <c r="AK682">
        <f>IF(AJ682&lt;&gt;"",IF(AI682="Monthly",EDATE(AJ682,1),IF(AI682="Quarterly",EDATE(AJ682,3),IF(AI682="Semi-Annual",EDATE(AJ682,6),""))),"")</f>
        <v/>
      </c>
      <c r="AL682">
        <f>IF(AK682&lt;&gt;"",IF(AK682&lt;TODAY(),"Overdue","Current"),"")</f>
        <v/>
      </c>
    </row>
    <row r="683">
      <c r="K683">
        <f>IF(J683="v4.0",L683,IF(J683="v3.1",M683,IF(J683="Both",L683,IF(AND(L683&lt;&gt;"",M683=""),L683,M683))))</f>
        <v/>
      </c>
      <c r="Z683">
        <f>IF(Y683&lt;&gt;"",TODAY()-Y683,"")</f>
        <v/>
      </c>
      <c r="AC683">
        <f>IF(AND(AA683&lt;&gt;"",AB683&lt;&gt;""),CHOOSE(MATCH(AA683,{"Low","Medium","High","Critical"},0),25,50,75,100)-CHOOSE(MATCH(AB683,{"Low","Medium","High","Critical"},0),25,50,75,100),"")</f>
        <v/>
      </c>
      <c r="AG683">
        <f>IF(AF683&lt;&gt;"",IF(AH683="Weekly",AF683+7,IF(AH683="Monthly",EDATE(AF683,1),IF(AH683="Quarterly",EDATE(AF683,3),""))),"")</f>
        <v/>
      </c>
      <c r="AK683">
        <f>IF(AJ683&lt;&gt;"",IF(AI683="Monthly",EDATE(AJ683,1),IF(AI683="Quarterly",EDATE(AJ683,3),IF(AI683="Semi-Annual",EDATE(AJ683,6),""))),"")</f>
        <v/>
      </c>
      <c r="AL683">
        <f>IF(AK683&lt;&gt;"",IF(AK683&lt;TODAY(),"Overdue","Current"),"")</f>
        <v/>
      </c>
    </row>
    <row r="684">
      <c r="K684">
        <f>IF(J684="v4.0",L684,IF(J684="v3.1",M684,IF(J684="Both",L684,IF(AND(L684&lt;&gt;"",M684=""),L684,M684))))</f>
        <v/>
      </c>
      <c r="Z684">
        <f>IF(Y684&lt;&gt;"",TODAY()-Y684,"")</f>
        <v/>
      </c>
      <c r="AC684">
        <f>IF(AND(AA684&lt;&gt;"",AB684&lt;&gt;""),CHOOSE(MATCH(AA684,{"Low","Medium","High","Critical"},0),25,50,75,100)-CHOOSE(MATCH(AB684,{"Low","Medium","High","Critical"},0),25,50,75,100),"")</f>
        <v/>
      </c>
      <c r="AG684">
        <f>IF(AF684&lt;&gt;"",IF(AH684="Weekly",AF684+7,IF(AH684="Monthly",EDATE(AF684,1),IF(AH684="Quarterly",EDATE(AF684,3),""))),"")</f>
        <v/>
      </c>
      <c r="AK684">
        <f>IF(AJ684&lt;&gt;"",IF(AI684="Monthly",EDATE(AJ684,1),IF(AI684="Quarterly",EDATE(AJ684,3),IF(AI684="Semi-Annual",EDATE(AJ684,6),""))),"")</f>
        <v/>
      </c>
      <c r="AL684">
        <f>IF(AK684&lt;&gt;"",IF(AK684&lt;TODAY(),"Overdue","Current"),"")</f>
        <v/>
      </c>
    </row>
    <row r="685">
      <c r="K685">
        <f>IF(J685="v4.0",L685,IF(J685="v3.1",M685,IF(J685="Both",L685,IF(AND(L685&lt;&gt;"",M685=""),L685,M685))))</f>
        <v/>
      </c>
      <c r="Z685">
        <f>IF(Y685&lt;&gt;"",TODAY()-Y685,"")</f>
        <v/>
      </c>
      <c r="AC685">
        <f>IF(AND(AA685&lt;&gt;"",AB685&lt;&gt;""),CHOOSE(MATCH(AA685,{"Low","Medium","High","Critical"},0),25,50,75,100)-CHOOSE(MATCH(AB685,{"Low","Medium","High","Critical"},0),25,50,75,100),"")</f>
        <v/>
      </c>
      <c r="AG685">
        <f>IF(AF685&lt;&gt;"",IF(AH685="Weekly",AF685+7,IF(AH685="Monthly",EDATE(AF685,1),IF(AH685="Quarterly",EDATE(AF685,3),""))),"")</f>
        <v/>
      </c>
      <c r="AK685">
        <f>IF(AJ685&lt;&gt;"",IF(AI685="Monthly",EDATE(AJ685,1),IF(AI685="Quarterly",EDATE(AJ685,3),IF(AI685="Semi-Annual",EDATE(AJ685,6),""))),"")</f>
        <v/>
      </c>
      <c r="AL685">
        <f>IF(AK685&lt;&gt;"",IF(AK685&lt;TODAY(),"Overdue","Current"),"")</f>
        <v/>
      </c>
    </row>
    <row r="686">
      <c r="K686">
        <f>IF(J686="v4.0",L686,IF(J686="v3.1",M686,IF(J686="Both",L686,IF(AND(L686&lt;&gt;"",M686=""),L686,M686))))</f>
        <v/>
      </c>
      <c r="Z686">
        <f>IF(Y686&lt;&gt;"",TODAY()-Y686,"")</f>
        <v/>
      </c>
      <c r="AC686">
        <f>IF(AND(AA686&lt;&gt;"",AB686&lt;&gt;""),CHOOSE(MATCH(AA686,{"Low","Medium","High","Critical"},0),25,50,75,100)-CHOOSE(MATCH(AB686,{"Low","Medium","High","Critical"},0),25,50,75,100),"")</f>
        <v/>
      </c>
      <c r="AG686">
        <f>IF(AF686&lt;&gt;"",IF(AH686="Weekly",AF686+7,IF(AH686="Monthly",EDATE(AF686,1),IF(AH686="Quarterly",EDATE(AF686,3),""))),"")</f>
        <v/>
      </c>
      <c r="AK686">
        <f>IF(AJ686&lt;&gt;"",IF(AI686="Monthly",EDATE(AJ686,1),IF(AI686="Quarterly",EDATE(AJ686,3),IF(AI686="Semi-Annual",EDATE(AJ686,6),""))),"")</f>
        <v/>
      </c>
      <c r="AL686">
        <f>IF(AK686&lt;&gt;"",IF(AK686&lt;TODAY(),"Overdue","Current"),"")</f>
        <v/>
      </c>
    </row>
    <row r="687">
      <c r="K687">
        <f>IF(J687="v4.0",L687,IF(J687="v3.1",M687,IF(J687="Both",L687,IF(AND(L687&lt;&gt;"",M687=""),L687,M687))))</f>
        <v/>
      </c>
      <c r="Z687">
        <f>IF(Y687&lt;&gt;"",TODAY()-Y687,"")</f>
        <v/>
      </c>
      <c r="AC687">
        <f>IF(AND(AA687&lt;&gt;"",AB687&lt;&gt;""),CHOOSE(MATCH(AA687,{"Low","Medium","High","Critical"},0),25,50,75,100)-CHOOSE(MATCH(AB687,{"Low","Medium","High","Critical"},0),25,50,75,100),"")</f>
        <v/>
      </c>
      <c r="AG687">
        <f>IF(AF687&lt;&gt;"",IF(AH687="Weekly",AF687+7,IF(AH687="Monthly",EDATE(AF687,1),IF(AH687="Quarterly",EDATE(AF687,3),""))),"")</f>
        <v/>
      </c>
      <c r="AK687">
        <f>IF(AJ687&lt;&gt;"",IF(AI687="Monthly",EDATE(AJ687,1),IF(AI687="Quarterly",EDATE(AJ687,3),IF(AI687="Semi-Annual",EDATE(AJ687,6),""))),"")</f>
        <v/>
      </c>
      <c r="AL687">
        <f>IF(AK687&lt;&gt;"",IF(AK687&lt;TODAY(),"Overdue","Current"),"")</f>
        <v/>
      </c>
    </row>
    <row r="688">
      <c r="K688">
        <f>IF(J688="v4.0",L688,IF(J688="v3.1",M688,IF(J688="Both",L688,IF(AND(L688&lt;&gt;"",M688=""),L688,M688))))</f>
        <v/>
      </c>
      <c r="Z688">
        <f>IF(Y688&lt;&gt;"",TODAY()-Y688,"")</f>
        <v/>
      </c>
      <c r="AC688">
        <f>IF(AND(AA688&lt;&gt;"",AB688&lt;&gt;""),CHOOSE(MATCH(AA688,{"Low","Medium","High","Critical"},0),25,50,75,100)-CHOOSE(MATCH(AB688,{"Low","Medium","High","Critical"},0),25,50,75,100),"")</f>
        <v/>
      </c>
      <c r="AG688">
        <f>IF(AF688&lt;&gt;"",IF(AH688="Weekly",AF688+7,IF(AH688="Monthly",EDATE(AF688,1),IF(AH688="Quarterly",EDATE(AF688,3),""))),"")</f>
        <v/>
      </c>
      <c r="AK688">
        <f>IF(AJ688&lt;&gt;"",IF(AI688="Monthly",EDATE(AJ688,1),IF(AI688="Quarterly",EDATE(AJ688,3),IF(AI688="Semi-Annual",EDATE(AJ688,6),""))),"")</f>
        <v/>
      </c>
      <c r="AL688">
        <f>IF(AK688&lt;&gt;"",IF(AK688&lt;TODAY(),"Overdue","Current"),"")</f>
        <v/>
      </c>
    </row>
    <row r="689">
      <c r="K689">
        <f>IF(J689="v4.0",L689,IF(J689="v3.1",M689,IF(J689="Both",L689,IF(AND(L689&lt;&gt;"",M689=""),L689,M689))))</f>
        <v/>
      </c>
      <c r="Z689">
        <f>IF(Y689&lt;&gt;"",TODAY()-Y689,"")</f>
        <v/>
      </c>
      <c r="AC689">
        <f>IF(AND(AA689&lt;&gt;"",AB689&lt;&gt;""),CHOOSE(MATCH(AA689,{"Low","Medium","High","Critical"},0),25,50,75,100)-CHOOSE(MATCH(AB689,{"Low","Medium","High","Critical"},0),25,50,75,100),"")</f>
        <v/>
      </c>
      <c r="AG689">
        <f>IF(AF689&lt;&gt;"",IF(AH689="Weekly",AF689+7,IF(AH689="Monthly",EDATE(AF689,1),IF(AH689="Quarterly",EDATE(AF689,3),""))),"")</f>
        <v/>
      </c>
      <c r="AK689">
        <f>IF(AJ689&lt;&gt;"",IF(AI689="Monthly",EDATE(AJ689,1),IF(AI689="Quarterly",EDATE(AJ689,3),IF(AI689="Semi-Annual",EDATE(AJ689,6),""))),"")</f>
        <v/>
      </c>
      <c r="AL689">
        <f>IF(AK689&lt;&gt;"",IF(AK689&lt;TODAY(),"Overdue","Current"),"")</f>
        <v/>
      </c>
    </row>
    <row r="690">
      <c r="K690">
        <f>IF(J690="v4.0",L690,IF(J690="v3.1",M690,IF(J690="Both",L690,IF(AND(L690&lt;&gt;"",M690=""),L690,M690))))</f>
        <v/>
      </c>
      <c r="Z690">
        <f>IF(Y690&lt;&gt;"",TODAY()-Y690,"")</f>
        <v/>
      </c>
      <c r="AC690">
        <f>IF(AND(AA690&lt;&gt;"",AB690&lt;&gt;""),CHOOSE(MATCH(AA690,{"Low","Medium","High","Critical"},0),25,50,75,100)-CHOOSE(MATCH(AB690,{"Low","Medium","High","Critical"},0),25,50,75,100),"")</f>
        <v/>
      </c>
      <c r="AG690">
        <f>IF(AF690&lt;&gt;"",IF(AH690="Weekly",AF690+7,IF(AH690="Monthly",EDATE(AF690,1),IF(AH690="Quarterly",EDATE(AF690,3),""))),"")</f>
        <v/>
      </c>
      <c r="AK690">
        <f>IF(AJ690&lt;&gt;"",IF(AI690="Monthly",EDATE(AJ690,1),IF(AI690="Quarterly",EDATE(AJ690,3),IF(AI690="Semi-Annual",EDATE(AJ690,6),""))),"")</f>
        <v/>
      </c>
      <c r="AL690">
        <f>IF(AK690&lt;&gt;"",IF(AK690&lt;TODAY(),"Overdue","Current"),"")</f>
        <v/>
      </c>
    </row>
    <row r="691">
      <c r="K691">
        <f>IF(J691="v4.0",L691,IF(J691="v3.1",M691,IF(J691="Both",L691,IF(AND(L691&lt;&gt;"",M691=""),L691,M691))))</f>
        <v/>
      </c>
      <c r="Z691">
        <f>IF(Y691&lt;&gt;"",TODAY()-Y691,"")</f>
        <v/>
      </c>
      <c r="AC691">
        <f>IF(AND(AA691&lt;&gt;"",AB691&lt;&gt;""),CHOOSE(MATCH(AA691,{"Low","Medium","High","Critical"},0),25,50,75,100)-CHOOSE(MATCH(AB691,{"Low","Medium","High","Critical"},0),25,50,75,100),"")</f>
        <v/>
      </c>
      <c r="AG691">
        <f>IF(AF691&lt;&gt;"",IF(AH691="Weekly",AF691+7,IF(AH691="Monthly",EDATE(AF691,1),IF(AH691="Quarterly",EDATE(AF691,3),""))),"")</f>
        <v/>
      </c>
      <c r="AK691">
        <f>IF(AJ691&lt;&gt;"",IF(AI691="Monthly",EDATE(AJ691,1),IF(AI691="Quarterly",EDATE(AJ691,3),IF(AI691="Semi-Annual",EDATE(AJ691,6),""))),"")</f>
        <v/>
      </c>
      <c r="AL691">
        <f>IF(AK691&lt;&gt;"",IF(AK691&lt;TODAY(),"Overdue","Current"),"")</f>
        <v/>
      </c>
    </row>
    <row r="692">
      <c r="K692">
        <f>IF(J692="v4.0",L692,IF(J692="v3.1",M692,IF(J692="Both",L692,IF(AND(L692&lt;&gt;"",M692=""),L692,M692))))</f>
        <v/>
      </c>
      <c r="Z692">
        <f>IF(Y692&lt;&gt;"",TODAY()-Y692,"")</f>
        <v/>
      </c>
      <c r="AC692">
        <f>IF(AND(AA692&lt;&gt;"",AB692&lt;&gt;""),CHOOSE(MATCH(AA692,{"Low","Medium","High","Critical"},0),25,50,75,100)-CHOOSE(MATCH(AB692,{"Low","Medium","High","Critical"},0),25,50,75,100),"")</f>
        <v/>
      </c>
      <c r="AG692">
        <f>IF(AF692&lt;&gt;"",IF(AH692="Weekly",AF692+7,IF(AH692="Monthly",EDATE(AF692,1),IF(AH692="Quarterly",EDATE(AF692,3),""))),"")</f>
        <v/>
      </c>
      <c r="AK692">
        <f>IF(AJ692&lt;&gt;"",IF(AI692="Monthly",EDATE(AJ692,1),IF(AI692="Quarterly",EDATE(AJ692,3),IF(AI692="Semi-Annual",EDATE(AJ692,6),""))),"")</f>
        <v/>
      </c>
      <c r="AL692">
        <f>IF(AK692&lt;&gt;"",IF(AK692&lt;TODAY(),"Overdue","Current"),"")</f>
        <v/>
      </c>
    </row>
    <row r="693">
      <c r="K693">
        <f>IF(J693="v4.0",L693,IF(J693="v3.1",M693,IF(J693="Both",L693,IF(AND(L693&lt;&gt;"",M693=""),L693,M693))))</f>
        <v/>
      </c>
      <c r="Z693">
        <f>IF(Y693&lt;&gt;"",TODAY()-Y693,"")</f>
        <v/>
      </c>
      <c r="AC693">
        <f>IF(AND(AA693&lt;&gt;"",AB693&lt;&gt;""),CHOOSE(MATCH(AA693,{"Low","Medium","High","Critical"},0),25,50,75,100)-CHOOSE(MATCH(AB693,{"Low","Medium","High","Critical"},0),25,50,75,100),"")</f>
        <v/>
      </c>
      <c r="AG693">
        <f>IF(AF693&lt;&gt;"",IF(AH693="Weekly",AF693+7,IF(AH693="Monthly",EDATE(AF693,1),IF(AH693="Quarterly",EDATE(AF693,3),""))),"")</f>
        <v/>
      </c>
      <c r="AK693">
        <f>IF(AJ693&lt;&gt;"",IF(AI693="Monthly",EDATE(AJ693,1),IF(AI693="Quarterly",EDATE(AJ693,3),IF(AI693="Semi-Annual",EDATE(AJ693,6),""))),"")</f>
        <v/>
      </c>
      <c r="AL693">
        <f>IF(AK693&lt;&gt;"",IF(AK693&lt;TODAY(),"Overdue","Current"),"")</f>
        <v/>
      </c>
    </row>
    <row r="694">
      <c r="K694">
        <f>IF(J694="v4.0",L694,IF(J694="v3.1",M694,IF(J694="Both",L694,IF(AND(L694&lt;&gt;"",M694=""),L694,M694))))</f>
        <v/>
      </c>
      <c r="Z694">
        <f>IF(Y694&lt;&gt;"",TODAY()-Y694,"")</f>
        <v/>
      </c>
      <c r="AC694">
        <f>IF(AND(AA694&lt;&gt;"",AB694&lt;&gt;""),CHOOSE(MATCH(AA694,{"Low","Medium","High","Critical"},0),25,50,75,100)-CHOOSE(MATCH(AB694,{"Low","Medium","High","Critical"},0),25,50,75,100),"")</f>
        <v/>
      </c>
      <c r="AG694">
        <f>IF(AF694&lt;&gt;"",IF(AH694="Weekly",AF694+7,IF(AH694="Monthly",EDATE(AF694,1),IF(AH694="Quarterly",EDATE(AF694,3),""))),"")</f>
        <v/>
      </c>
      <c r="AK694">
        <f>IF(AJ694&lt;&gt;"",IF(AI694="Monthly",EDATE(AJ694,1),IF(AI694="Quarterly",EDATE(AJ694,3),IF(AI694="Semi-Annual",EDATE(AJ694,6),""))),"")</f>
        <v/>
      </c>
      <c r="AL694">
        <f>IF(AK694&lt;&gt;"",IF(AK694&lt;TODAY(),"Overdue","Current"),"")</f>
        <v/>
      </c>
    </row>
    <row r="695">
      <c r="K695">
        <f>IF(J695="v4.0",L695,IF(J695="v3.1",M695,IF(J695="Both",L695,IF(AND(L695&lt;&gt;"",M695=""),L695,M695))))</f>
        <v/>
      </c>
      <c r="Z695">
        <f>IF(Y695&lt;&gt;"",TODAY()-Y695,"")</f>
        <v/>
      </c>
      <c r="AC695">
        <f>IF(AND(AA695&lt;&gt;"",AB695&lt;&gt;""),CHOOSE(MATCH(AA695,{"Low","Medium","High","Critical"},0),25,50,75,100)-CHOOSE(MATCH(AB695,{"Low","Medium","High","Critical"},0),25,50,75,100),"")</f>
        <v/>
      </c>
      <c r="AG695">
        <f>IF(AF695&lt;&gt;"",IF(AH695="Weekly",AF695+7,IF(AH695="Monthly",EDATE(AF695,1),IF(AH695="Quarterly",EDATE(AF695,3),""))),"")</f>
        <v/>
      </c>
      <c r="AK695">
        <f>IF(AJ695&lt;&gt;"",IF(AI695="Monthly",EDATE(AJ695,1),IF(AI695="Quarterly",EDATE(AJ695,3),IF(AI695="Semi-Annual",EDATE(AJ695,6),""))),"")</f>
        <v/>
      </c>
      <c r="AL695">
        <f>IF(AK695&lt;&gt;"",IF(AK695&lt;TODAY(),"Overdue","Current"),"")</f>
        <v/>
      </c>
    </row>
    <row r="696">
      <c r="K696">
        <f>IF(J696="v4.0",L696,IF(J696="v3.1",M696,IF(J696="Both",L696,IF(AND(L696&lt;&gt;"",M696=""),L696,M696))))</f>
        <v/>
      </c>
      <c r="Z696">
        <f>IF(Y696&lt;&gt;"",TODAY()-Y696,"")</f>
        <v/>
      </c>
      <c r="AC696">
        <f>IF(AND(AA696&lt;&gt;"",AB696&lt;&gt;""),CHOOSE(MATCH(AA696,{"Low","Medium","High","Critical"},0),25,50,75,100)-CHOOSE(MATCH(AB696,{"Low","Medium","High","Critical"},0),25,50,75,100),"")</f>
        <v/>
      </c>
      <c r="AG696">
        <f>IF(AF696&lt;&gt;"",IF(AH696="Weekly",AF696+7,IF(AH696="Monthly",EDATE(AF696,1),IF(AH696="Quarterly",EDATE(AF696,3),""))),"")</f>
        <v/>
      </c>
      <c r="AK696">
        <f>IF(AJ696&lt;&gt;"",IF(AI696="Monthly",EDATE(AJ696,1),IF(AI696="Quarterly",EDATE(AJ696,3),IF(AI696="Semi-Annual",EDATE(AJ696,6),""))),"")</f>
        <v/>
      </c>
      <c r="AL696">
        <f>IF(AK696&lt;&gt;"",IF(AK696&lt;TODAY(),"Overdue","Current"),"")</f>
        <v/>
      </c>
    </row>
    <row r="697">
      <c r="K697">
        <f>IF(J697="v4.0",L697,IF(J697="v3.1",M697,IF(J697="Both",L697,IF(AND(L697&lt;&gt;"",M697=""),L697,M697))))</f>
        <v/>
      </c>
      <c r="Z697">
        <f>IF(Y697&lt;&gt;"",TODAY()-Y697,"")</f>
        <v/>
      </c>
      <c r="AC697">
        <f>IF(AND(AA697&lt;&gt;"",AB697&lt;&gt;""),CHOOSE(MATCH(AA697,{"Low","Medium","High","Critical"},0),25,50,75,100)-CHOOSE(MATCH(AB697,{"Low","Medium","High","Critical"},0),25,50,75,100),"")</f>
        <v/>
      </c>
      <c r="AG697">
        <f>IF(AF697&lt;&gt;"",IF(AH697="Weekly",AF697+7,IF(AH697="Monthly",EDATE(AF697,1),IF(AH697="Quarterly",EDATE(AF697,3),""))),"")</f>
        <v/>
      </c>
      <c r="AK697">
        <f>IF(AJ697&lt;&gt;"",IF(AI697="Monthly",EDATE(AJ697,1),IF(AI697="Quarterly",EDATE(AJ697,3),IF(AI697="Semi-Annual",EDATE(AJ697,6),""))),"")</f>
        <v/>
      </c>
      <c r="AL697">
        <f>IF(AK697&lt;&gt;"",IF(AK697&lt;TODAY(),"Overdue","Current"),"")</f>
        <v/>
      </c>
    </row>
    <row r="698">
      <c r="K698">
        <f>IF(J698="v4.0",L698,IF(J698="v3.1",M698,IF(J698="Both",L698,IF(AND(L698&lt;&gt;"",M698=""),L698,M698))))</f>
        <v/>
      </c>
      <c r="Z698">
        <f>IF(Y698&lt;&gt;"",TODAY()-Y698,"")</f>
        <v/>
      </c>
      <c r="AC698">
        <f>IF(AND(AA698&lt;&gt;"",AB698&lt;&gt;""),CHOOSE(MATCH(AA698,{"Low","Medium","High","Critical"},0),25,50,75,100)-CHOOSE(MATCH(AB698,{"Low","Medium","High","Critical"},0),25,50,75,100),"")</f>
        <v/>
      </c>
      <c r="AG698">
        <f>IF(AF698&lt;&gt;"",IF(AH698="Weekly",AF698+7,IF(AH698="Monthly",EDATE(AF698,1),IF(AH698="Quarterly",EDATE(AF698,3),""))),"")</f>
        <v/>
      </c>
      <c r="AK698">
        <f>IF(AJ698&lt;&gt;"",IF(AI698="Monthly",EDATE(AJ698,1),IF(AI698="Quarterly",EDATE(AJ698,3),IF(AI698="Semi-Annual",EDATE(AJ698,6),""))),"")</f>
        <v/>
      </c>
      <c r="AL698">
        <f>IF(AK698&lt;&gt;"",IF(AK698&lt;TODAY(),"Overdue","Current"),"")</f>
        <v/>
      </c>
    </row>
    <row r="699">
      <c r="K699">
        <f>IF(J699="v4.0",L699,IF(J699="v3.1",M699,IF(J699="Both",L699,IF(AND(L699&lt;&gt;"",M699=""),L699,M699))))</f>
        <v/>
      </c>
      <c r="Z699">
        <f>IF(Y699&lt;&gt;"",TODAY()-Y699,"")</f>
        <v/>
      </c>
      <c r="AC699">
        <f>IF(AND(AA699&lt;&gt;"",AB699&lt;&gt;""),CHOOSE(MATCH(AA699,{"Low","Medium","High","Critical"},0),25,50,75,100)-CHOOSE(MATCH(AB699,{"Low","Medium","High","Critical"},0),25,50,75,100),"")</f>
        <v/>
      </c>
      <c r="AG699">
        <f>IF(AF699&lt;&gt;"",IF(AH699="Weekly",AF699+7,IF(AH699="Monthly",EDATE(AF699,1),IF(AH699="Quarterly",EDATE(AF699,3),""))),"")</f>
        <v/>
      </c>
      <c r="AK699">
        <f>IF(AJ699&lt;&gt;"",IF(AI699="Monthly",EDATE(AJ699,1),IF(AI699="Quarterly",EDATE(AJ699,3),IF(AI699="Semi-Annual",EDATE(AJ699,6),""))),"")</f>
        <v/>
      </c>
      <c r="AL699">
        <f>IF(AK699&lt;&gt;"",IF(AK699&lt;TODAY(),"Overdue","Current"),"")</f>
        <v/>
      </c>
    </row>
    <row r="700">
      <c r="K700">
        <f>IF(J700="v4.0",L700,IF(J700="v3.1",M700,IF(J700="Both",L700,IF(AND(L700&lt;&gt;"",M700=""),L700,M700))))</f>
        <v/>
      </c>
      <c r="Z700">
        <f>IF(Y700&lt;&gt;"",TODAY()-Y700,"")</f>
        <v/>
      </c>
      <c r="AC700">
        <f>IF(AND(AA700&lt;&gt;"",AB700&lt;&gt;""),CHOOSE(MATCH(AA700,{"Low","Medium","High","Critical"},0),25,50,75,100)-CHOOSE(MATCH(AB700,{"Low","Medium","High","Critical"},0),25,50,75,100),"")</f>
        <v/>
      </c>
      <c r="AG700">
        <f>IF(AF700&lt;&gt;"",IF(AH700="Weekly",AF700+7,IF(AH700="Monthly",EDATE(AF700,1),IF(AH700="Quarterly",EDATE(AF700,3),""))),"")</f>
        <v/>
      </c>
      <c r="AK700">
        <f>IF(AJ700&lt;&gt;"",IF(AI700="Monthly",EDATE(AJ700,1),IF(AI700="Quarterly",EDATE(AJ700,3),IF(AI700="Semi-Annual",EDATE(AJ700,6),""))),"")</f>
        <v/>
      </c>
      <c r="AL700">
        <f>IF(AK700&lt;&gt;"",IF(AK700&lt;TODAY(),"Overdue","Current"),"")</f>
        <v/>
      </c>
    </row>
    <row r="701">
      <c r="K701">
        <f>IF(J701="v4.0",L701,IF(J701="v3.1",M701,IF(J701="Both",L701,IF(AND(L701&lt;&gt;"",M701=""),L701,M701))))</f>
        <v/>
      </c>
      <c r="Z701">
        <f>IF(Y701&lt;&gt;"",TODAY()-Y701,"")</f>
        <v/>
      </c>
      <c r="AC701">
        <f>IF(AND(AA701&lt;&gt;"",AB701&lt;&gt;""),CHOOSE(MATCH(AA701,{"Low","Medium","High","Critical"},0),25,50,75,100)-CHOOSE(MATCH(AB701,{"Low","Medium","High","Critical"},0),25,50,75,100),"")</f>
        <v/>
      </c>
      <c r="AG701">
        <f>IF(AF701&lt;&gt;"",IF(AH701="Weekly",AF701+7,IF(AH701="Monthly",EDATE(AF701,1),IF(AH701="Quarterly",EDATE(AF701,3),""))),"")</f>
        <v/>
      </c>
      <c r="AK701">
        <f>IF(AJ701&lt;&gt;"",IF(AI701="Monthly",EDATE(AJ701,1),IF(AI701="Quarterly",EDATE(AJ701,3),IF(AI701="Semi-Annual",EDATE(AJ701,6),""))),"")</f>
        <v/>
      </c>
      <c r="AL701">
        <f>IF(AK701&lt;&gt;"",IF(AK701&lt;TODAY(),"Overdue","Current"),"")</f>
        <v/>
      </c>
    </row>
    <row r="702">
      <c r="K702">
        <f>IF(J702="v4.0",L702,IF(J702="v3.1",M702,IF(J702="Both",L702,IF(AND(L702&lt;&gt;"",M702=""),L702,M702))))</f>
        <v/>
      </c>
      <c r="Z702">
        <f>IF(Y702&lt;&gt;"",TODAY()-Y702,"")</f>
        <v/>
      </c>
      <c r="AC702">
        <f>IF(AND(AA702&lt;&gt;"",AB702&lt;&gt;""),CHOOSE(MATCH(AA702,{"Low","Medium","High","Critical"},0),25,50,75,100)-CHOOSE(MATCH(AB702,{"Low","Medium","High","Critical"},0),25,50,75,100),"")</f>
        <v/>
      </c>
      <c r="AG702">
        <f>IF(AF702&lt;&gt;"",IF(AH702="Weekly",AF702+7,IF(AH702="Monthly",EDATE(AF702,1),IF(AH702="Quarterly",EDATE(AF702,3),""))),"")</f>
        <v/>
      </c>
      <c r="AK702">
        <f>IF(AJ702&lt;&gt;"",IF(AI702="Monthly",EDATE(AJ702,1),IF(AI702="Quarterly",EDATE(AJ702,3),IF(AI702="Semi-Annual",EDATE(AJ702,6),""))),"")</f>
        <v/>
      </c>
      <c r="AL702">
        <f>IF(AK702&lt;&gt;"",IF(AK702&lt;TODAY(),"Overdue","Current"),"")</f>
        <v/>
      </c>
    </row>
    <row r="703">
      <c r="K703">
        <f>IF(J703="v4.0",L703,IF(J703="v3.1",M703,IF(J703="Both",L703,IF(AND(L703&lt;&gt;"",M703=""),L703,M703))))</f>
        <v/>
      </c>
      <c r="Z703">
        <f>IF(Y703&lt;&gt;"",TODAY()-Y703,"")</f>
        <v/>
      </c>
      <c r="AC703">
        <f>IF(AND(AA703&lt;&gt;"",AB703&lt;&gt;""),CHOOSE(MATCH(AA703,{"Low","Medium","High","Critical"},0),25,50,75,100)-CHOOSE(MATCH(AB703,{"Low","Medium","High","Critical"},0),25,50,75,100),"")</f>
        <v/>
      </c>
      <c r="AG703">
        <f>IF(AF703&lt;&gt;"",IF(AH703="Weekly",AF703+7,IF(AH703="Monthly",EDATE(AF703,1),IF(AH703="Quarterly",EDATE(AF703,3),""))),"")</f>
        <v/>
      </c>
      <c r="AK703">
        <f>IF(AJ703&lt;&gt;"",IF(AI703="Monthly",EDATE(AJ703,1),IF(AI703="Quarterly",EDATE(AJ703,3),IF(AI703="Semi-Annual",EDATE(AJ703,6),""))),"")</f>
        <v/>
      </c>
      <c r="AL703">
        <f>IF(AK703&lt;&gt;"",IF(AK703&lt;TODAY(),"Overdue","Current"),"")</f>
        <v/>
      </c>
    </row>
    <row r="704">
      <c r="K704">
        <f>IF(J704="v4.0",L704,IF(J704="v3.1",M704,IF(J704="Both",L704,IF(AND(L704&lt;&gt;"",M704=""),L704,M704))))</f>
        <v/>
      </c>
      <c r="Z704">
        <f>IF(Y704&lt;&gt;"",TODAY()-Y704,"")</f>
        <v/>
      </c>
      <c r="AC704">
        <f>IF(AND(AA704&lt;&gt;"",AB704&lt;&gt;""),CHOOSE(MATCH(AA704,{"Low","Medium","High","Critical"},0),25,50,75,100)-CHOOSE(MATCH(AB704,{"Low","Medium","High","Critical"},0),25,50,75,100),"")</f>
        <v/>
      </c>
      <c r="AG704">
        <f>IF(AF704&lt;&gt;"",IF(AH704="Weekly",AF704+7,IF(AH704="Monthly",EDATE(AF704,1),IF(AH704="Quarterly",EDATE(AF704,3),""))),"")</f>
        <v/>
      </c>
      <c r="AK704">
        <f>IF(AJ704&lt;&gt;"",IF(AI704="Monthly",EDATE(AJ704,1),IF(AI704="Quarterly",EDATE(AJ704,3),IF(AI704="Semi-Annual",EDATE(AJ704,6),""))),"")</f>
        <v/>
      </c>
      <c r="AL704">
        <f>IF(AK704&lt;&gt;"",IF(AK704&lt;TODAY(),"Overdue","Current"),"")</f>
        <v/>
      </c>
    </row>
    <row r="705">
      <c r="K705">
        <f>IF(J705="v4.0",L705,IF(J705="v3.1",M705,IF(J705="Both",L705,IF(AND(L705&lt;&gt;"",M705=""),L705,M705))))</f>
        <v/>
      </c>
      <c r="Z705">
        <f>IF(Y705&lt;&gt;"",TODAY()-Y705,"")</f>
        <v/>
      </c>
      <c r="AC705">
        <f>IF(AND(AA705&lt;&gt;"",AB705&lt;&gt;""),CHOOSE(MATCH(AA705,{"Low","Medium","High","Critical"},0),25,50,75,100)-CHOOSE(MATCH(AB705,{"Low","Medium","High","Critical"},0),25,50,75,100),"")</f>
        <v/>
      </c>
      <c r="AG705">
        <f>IF(AF705&lt;&gt;"",IF(AH705="Weekly",AF705+7,IF(AH705="Monthly",EDATE(AF705,1),IF(AH705="Quarterly",EDATE(AF705,3),""))),"")</f>
        <v/>
      </c>
      <c r="AK705">
        <f>IF(AJ705&lt;&gt;"",IF(AI705="Monthly",EDATE(AJ705,1),IF(AI705="Quarterly",EDATE(AJ705,3),IF(AI705="Semi-Annual",EDATE(AJ705,6),""))),"")</f>
        <v/>
      </c>
      <c r="AL705">
        <f>IF(AK705&lt;&gt;"",IF(AK705&lt;TODAY(),"Overdue","Current"),"")</f>
        <v/>
      </c>
    </row>
    <row r="706">
      <c r="K706">
        <f>IF(J706="v4.0",L706,IF(J706="v3.1",M706,IF(J706="Both",L706,IF(AND(L706&lt;&gt;"",M706=""),L706,M706))))</f>
        <v/>
      </c>
      <c r="Z706">
        <f>IF(Y706&lt;&gt;"",TODAY()-Y706,"")</f>
        <v/>
      </c>
      <c r="AC706">
        <f>IF(AND(AA706&lt;&gt;"",AB706&lt;&gt;""),CHOOSE(MATCH(AA706,{"Low","Medium","High","Critical"},0),25,50,75,100)-CHOOSE(MATCH(AB706,{"Low","Medium","High","Critical"},0),25,50,75,100),"")</f>
        <v/>
      </c>
      <c r="AG706">
        <f>IF(AF706&lt;&gt;"",IF(AH706="Weekly",AF706+7,IF(AH706="Monthly",EDATE(AF706,1),IF(AH706="Quarterly",EDATE(AF706,3),""))),"")</f>
        <v/>
      </c>
      <c r="AK706">
        <f>IF(AJ706&lt;&gt;"",IF(AI706="Monthly",EDATE(AJ706,1),IF(AI706="Quarterly",EDATE(AJ706,3),IF(AI706="Semi-Annual",EDATE(AJ706,6),""))),"")</f>
        <v/>
      </c>
      <c r="AL706">
        <f>IF(AK706&lt;&gt;"",IF(AK706&lt;TODAY(),"Overdue","Current"),"")</f>
        <v/>
      </c>
    </row>
    <row r="707">
      <c r="K707">
        <f>IF(J707="v4.0",L707,IF(J707="v3.1",M707,IF(J707="Both",L707,IF(AND(L707&lt;&gt;"",M707=""),L707,M707))))</f>
        <v/>
      </c>
      <c r="Z707">
        <f>IF(Y707&lt;&gt;"",TODAY()-Y707,"")</f>
        <v/>
      </c>
      <c r="AC707">
        <f>IF(AND(AA707&lt;&gt;"",AB707&lt;&gt;""),CHOOSE(MATCH(AA707,{"Low","Medium","High","Critical"},0),25,50,75,100)-CHOOSE(MATCH(AB707,{"Low","Medium","High","Critical"},0),25,50,75,100),"")</f>
        <v/>
      </c>
      <c r="AG707">
        <f>IF(AF707&lt;&gt;"",IF(AH707="Weekly",AF707+7,IF(AH707="Monthly",EDATE(AF707,1),IF(AH707="Quarterly",EDATE(AF707,3),""))),"")</f>
        <v/>
      </c>
      <c r="AK707">
        <f>IF(AJ707&lt;&gt;"",IF(AI707="Monthly",EDATE(AJ707,1),IF(AI707="Quarterly",EDATE(AJ707,3),IF(AI707="Semi-Annual",EDATE(AJ707,6),""))),"")</f>
        <v/>
      </c>
      <c r="AL707">
        <f>IF(AK707&lt;&gt;"",IF(AK707&lt;TODAY(),"Overdue","Current"),"")</f>
        <v/>
      </c>
    </row>
    <row r="708">
      <c r="K708">
        <f>IF(J708="v4.0",L708,IF(J708="v3.1",M708,IF(J708="Both",L708,IF(AND(L708&lt;&gt;"",M708=""),L708,M708))))</f>
        <v/>
      </c>
      <c r="Z708">
        <f>IF(Y708&lt;&gt;"",TODAY()-Y708,"")</f>
        <v/>
      </c>
      <c r="AC708">
        <f>IF(AND(AA708&lt;&gt;"",AB708&lt;&gt;""),CHOOSE(MATCH(AA708,{"Low","Medium","High","Critical"},0),25,50,75,100)-CHOOSE(MATCH(AB708,{"Low","Medium","High","Critical"},0),25,50,75,100),"")</f>
        <v/>
      </c>
      <c r="AG708">
        <f>IF(AF708&lt;&gt;"",IF(AH708="Weekly",AF708+7,IF(AH708="Monthly",EDATE(AF708,1),IF(AH708="Quarterly",EDATE(AF708,3),""))),"")</f>
        <v/>
      </c>
      <c r="AK708">
        <f>IF(AJ708&lt;&gt;"",IF(AI708="Monthly",EDATE(AJ708,1),IF(AI708="Quarterly",EDATE(AJ708,3),IF(AI708="Semi-Annual",EDATE(AJ708,6),""))),"")</f>
        <v/>
      </c>
      <c r="AL708">
        <f>IF(AK708&lt;&gt;"",IF(AK708&lt;TODAY(),"Overdue","Current"),"")</f>
        <v/>
      </c>
    </row>
    <row r="709">
      <c r="K709">
        <f>IF(J709="v4.0",L709,IF(J709="v3.1",M709,IF(J709="Both",L709,IF(AND(L709&lt;&gt;"",M709=""),L709,M709))))</f>
        <v/>
      </c>
      <c r="Z709">
        <f>IF(Y709&lt;&gt;"",TODAY()-Y709,"")</f>
        <v/>
      </c>
      <c r="AC709">
        <f>IF(AND(AA709&lt;&gt;"",AB709&lt;&gt;""),CHOOSE(MATCH(AA709,{"Low","Medium","High","Critical"},0),25,50,75,100)-CHOOSE(MATCH(AB709,{"Low","Medium","High","Critical"},0),25,50,75,100),"")</f>
        <v/>
      </c>
      <c r="AG709">
        <f>IF(AF709&lt;&gt;"",IF(AH709="Weekly",AF709+7,IF(AH709="Monthly",EDATE(AF709,1),IF(AH709="Quarterly",EDATE(AF709,3),""))),"")</f>
        <v/>
      </c>
      <c r="AK709">
        <f>IF(AJ709&lt;&gt;"",IF(AI709="Monthly",EDATE(AJ709,1),IF(AI709="Quarterly",EDATE(AJ709,3),IF(AI709="Semi-Annual",EDATE(AJ709,6),""))),"")</f>
        <v/>
      </c>
      <c r="AL709">
        <f>IF(AK709&lt;&gt;"",IF(AK709&lt;TODAY(),"Overdue","Current"),"")</f>
        <v/>
      </c>
    </row>
    <row r="710">
      <c r="K710">
        <f>IF(J710="v4.0",L710,IF(J710="v3.1",M710,IF(J710="Both",L710,IF(AND(L710&lt;&gt;"",M710=""),L710,M710))))</f>
        <v/>
      </c>
      <c r="Z710">
        <f>IF(Y710&lt;&gt;"",TODAY()-Y710,"")</f>
        <v/>
      </c>
      <c r="AC710">
        <f>IF(AND(AA710&lt;&gt;"",AB710&lt;&gt;""),CHOOSE(MATCH(AA710,{"Low","Medium","High","Critical"},0),25,50,75,100)-CHOOSE(MATCH(AB710,{"Low","Medium","High","Critical"},0),25,50,75,100),"")</f>
        <v/>
      </c>
      <c r="AG710">
        <f>IF(AF710&lt;&gt;"",IF(AH710="Weekly",AF710+7,IF(AH710="Monthly",EDATE(AF710,1),IF(AH710="Quarterly",EDATE(AF710,3),""))),"")</f>
        <v/>
      </c>
      <c r="AK710">
        <f>IF(AJ710&lt;&gt;"",IF(AI710="Monthly",EDATE(AJ710,1),IF(AI710="Quarterly",EDATE(AJ710,3),IF(AI710="Semi-Annual",EDATE(AJ710,6),""))),"")</f>
        <v/>
      </c>
      <c r="AL710">
        <f>IF(AK710&lt;&gt;"",IF(AK710&lt;TODAY(),"Overdue","Current"),"")</f>
        <v/>
      </c>
    </row>
    <row r="711">
      <c r="K711">
        <f>IF(J711="v4.0",L711,IF(J711="v3.1",M711,IF(J711="Both",L711,IF(AND(L711&lt;&gt;"",M711=""),L711,M711))))</f>
        <v/>
      </c>
      <c r="Z711">
        <f>IF(Y711&lt;&gt;"",TODAY()-Y711,"")</f>
        <v/>
      </c>
      <c r="AC711">
        <f>IF(AND(AA711&lt;&gt;"",AB711&lt;&gt;""),CHOOSE(MATCH(AA711,{"Low","Medium","High","Critical"},0),25,50,75,100)-CHOOSE(MATCH(AB711,{"Low","Medium","High","Critical"},0),25,50,75,100),"")</f>
        <v/>
      </c>
      <c r="AG711">
        <f>IF(AF711&lt;&gt;"",IF(AH711="Weekly",AF711+7,IF(AH711="Monthly",EDATE(AF711,1),IF(AH711="Quarterly",EDATE(AF711,3),""))),"")</f>
        <v/>
      </c>
      <c r="AK711">
        <f>IF(AJ711&lt;&gt;"",IF(AI711="Monthly",EDATE(AJ711,1),IF(AI711="Quarterly",EDATE(AJ711,3),IF(AI711="Semi-Annual",EDATE(AJ711,6),""))),"")</f>
        <v/>
      </c>
      <c r="AL711">
        <f>IF(AK711&lt;&gt;"",IF(AK711&lt;TODAY(),"Overdue","Current"),"")</f>
        <v/>
      </c>
    </row>
    <row r="712">
      <c r="K712">
        <f>IF(J712="v4.0",L712,IF(J712="v3.1",M712,IF(J712="Both",L712,IF(AND(L712&lt;&gt;"",M712=""),L712,M712))))</f>
        <v/>
      </c>
      <c r="Z712">
        <f>IF(Y712&lt;&gt;"",TODAY()-Y712,"")</f>
        <v/>
      </c>
      <c r="AC712">
        <f>IF(AND(AA712&lt;&gt;"",AB712&lt;&gt;""),CHOOSE(MATCH(AA712,{"Low","Medium","High","Critical"},0),25,50,75,100)-CHOOSE(MATCH(AB712,{"Low","Medium","High","Critical"},0),25,50,75,100),"")</f>
        <v/>
      </c>
      <c r="AG712">
        <f>IF(AF712&lt;&gt;"",IF(AH712="Weekly",AF712+7,IF(AH712="Monthly",EDATE(AF712,1),IF(AH712="Quarterly",EDATE(AF712,3),""))),"")</f>
        <v/>
      </c>
      <c r="AK712">
        <f>IF(AJ712&lt;&gt;"",IF(AI712="Monthly",EDATE(AJ712,1),IF(AI712="Quarterly",EDATE(AJ712,3),IF(AI712="Semi-Annual",EDATE(AJ712,6),""))),"")</f>
        <v/>
      </c>
      <c r="AL712">
        <f>IF(AK712&lt;&gt;"",IF(AK712&lt;TODAY(),"Overdue","Current"),"")</f>
        <v/>
      </c>
    </row>
    <row r="713">
      <c r="K713">
        <f>IF(J713="v4.0",L713,IF(J713="v3.1",M713,IF(J713="Both",L713,IF(AND(L713&lt;&gt;"",M713=""),L713,M713))))</f>
        <v/>
      </c>
      <c r="Z713">
        <f>IF(Y713&lt;&gt;"",TODAY()-Y713,"")</f>
        <v/>
      </c>
      <c r="AC713">
        <f>IF(AND(AA713&lt;&gt;"",AB713&lt;&gt;""),CHOOSE(MATCH(AA713,{"Low","Medium","High","Critical"},0),25,50,75,100)-CHOOSE(MATCH(AB713,{"Low","Medium","High","Critical"},0),25,50,75,100),"")</f>
        <v/>
      </c>
      <c r="AG713">
        <f>IF(AF713&lt;&gt;"",IF(AH713="Weekly",AF713+7,IF(AH713="Monthly",EDATE(AF713,1),IF(AH713="Quarterly",EDATE(AF713,3),""))),"")</f>
        <v/>
      </c>
      <c r="AK713">
        <f>IF(AJ713&lt;&gt;"",IF(AI713="Monthly",EDATE(AJ713,1),IF(AI713="Quarterly",EDATE(AJ713,3),IF(AI713="Semi-Annual",EDATE(AJ713,6),""))),"")</f>
        <v/>
      </c>
      <c r="AL713">
        <f>IF(AK713&lt;&gt;"",IF(AK713&lt;TODAY(),"Overdue","Current"),"")</f>
        <v/>
      </c>
    </row>
    <row r="714">
      <c r="K714">
        <f>IF(J714="v4.0",L714,IF(J714="v3.1",M714,IF(J714="Both",L714,IF(AND(L714&lt;&gt;"",M714=""),L714,M714))))</f>
        <v/>
      </c>
      <c r="Z714">
        <f>IF(Y714&lt;&gt;"",TODAY()-Y714,"")</f>
        <v/>
      </c>
      <c r="AC714">
        <f>IF(AND(AA714&lt;&gt;"",AB714&lt;&gt;""),CHOOSE(MATCH(AA714,{"Low","Medium","High","Critical"},0),25,50,75,100)-CHOOSE(MATCH(AB714,{"Low","Medium","High","Critical"},0),25,50,75,100),"")</f>
        <v/>
      </c>
      <c r="AG714">
        <f>IF(AF714&lt;&gt;"",IF(AH714="Weekly",AF714+7,IF(AH714="Monthly",EDATE(AF714,1),IF(AH714="Quarterly",EDATE(AF714,3),""))),"")</f>
        <v/>
      </c>
      <c r="AK714">
        <f>IF(AJ714&lt;&gt;"",IF(AI714="Monthly",EDATE(AJ714,1),IF(AI714="Quarterly",EDATE(AJ714,3),IF(AI714="Semi-Annual",EDATE(AJ714,6),""))),"")</f>
        <v/>
      </c>
      <c r="AL714">
        <f>IF(AK714&lt;&gt;"",IF(AK714&lt;TODAY(),"Overdue","Current"),"")</f>
        <v/>
      </c>
    </row>
    <row r="715">
      <c r="K715">
        <f>IF(J715="v4.0",L715,IF(J715="v3.1",M715,IF(J715="Both",L715,IF(AND(L715&lt;&gt;"",M715=""),L715,M715))))</f>
        <v/>
      </c>
      <c r="Z715">
        <f>IF(Y715&lt;&gt;"",TODAY()-Y715,"")</f>
        <v/>
      </c>
      <c r="AC715">
        <f>IF(AND(AA715&lt;&gt;"",AB715&lt;&gt;""),CHOOSE(MATCH(AA715,{"Low","Medium","High","Critical"},0),25,50,75,100)-CHOOSE(MATCH(AB715,{"Low","Medium","High","Critical"},0),25,50,75,100),"")</f>
        <v/>
      </c>
      <c r="AG715">
        <f>IF(AF715&lt;&gt;"",IF(AH715="Weekly",AF715+7,IF(AH715="Monthly",EDATE(AF715,1),IF(AH715="Quarterly",EDATE(AF715,3),""))),"")</f>
        <v/>
      </c>
      <c r="AK715">
        <f>IF(AJ715&lt;&gt;"",IF(AI715="Monthly",EDATE(AJ715,1),IF(AI715="Quarterly",EDATE(AJ715,3),IF(AI715="Semi-Annual",EDATE(AJ715,6),""))),"")</f>
        <v/>
      </c>
      <c r="AL715">
        <f>IF(AK715&lt;&gt;"",IF(AK715&lt;TODAY(),"Overdue","Current"),"")</f>
        <v/>
      </c>
    </row>
    <row r="716">
      <c r="K716">
        <f>IF(J716="v4.0",L716,IF(J716="v3.1",M716,IF(J716="Both",L716,IF(AND(L716&lt;&gt;"",M716=""),L716,M716))))</f>
        <v/>
      </c>
      <c r="Z716">
        <f>IF(Y716&lt;&gt;"",TODAY()-Y716,"")</f>
        <v/>
      </c>
      <c r="AC716">
        <f>IF(AND(AA716&lt;&gt;"",AB716&lt;&gt;""),CHOOSE(MATCH(AA716,{"Low","Medium","High","Critical"},0),25,50,75,100)-CHOOSE(MATCH(AB716,{"Low","Medium","High","Critical"},0),25,50,75,100),"")</f>
        <v/>
      </c>
      <c r="AG716">
        <f>IF(AF716&lt;&gt;"",IF(AH716="Weekly",AF716+7,IF(AH716="Monthly",EDATE(AF716,1),IF(AH716="Quarterly",EDATE(AF716,3),""))),"")</f>
        <v/>
      </c>
      <c r="AK716">
        <f>IF(AJ716&lt;&gt;"",IF(AI716="Monthly",EDATE(AJ716,1),IF(AI716="Quarterly",EDATE(AJ716,3),IF(AI716="Semi-Annual",EDATE(AJ716,6),""))),"")</f>
        <v/>
      </c>
      <c r="AL716">
        <f>IF(AK716&lt;&gt;"",IF(AK716&lt;TODAY(),"Overdue","Current"),"")</f>
        <v/>
      </c>
    </row>
    <row r="717">
      <c r="K717">
        <f>IF(J717="v4.0",L717,IF(J717="v3.1",M717,IF(J717="Both",L717,IF(AND(L717&lt;&gt;"",M717=""),L717,M717))))</f>
        <v/>
      </c>
      <c r="Z717">
        <f>IF(Y717&lt;&gt;"",TODAY()-Y717,"")</f>
        <v/>
      </c>
      <c r="AC717">
        <f>IF(AND(AA717&lt;&gt;"",AB717&lt;&gt;""),CHOOSE(MATCH(AA717,{"Low","Medium","High","Critical"},0),25,50,75,100)-CHOOSE(MATCH(AB717,{"Low","Medium","High","Critical"},0),25,50,75,100),"")</f>
        <v/>
      </c>
      <c r="AG717">
        <f>IF(AF717&lt;&gt;"",IF(AH717="Weekly",AF717+7,IF(AH717="Monthly",EDATE(AF717,1),IF(AH717="Quarterly",EDATE(AF717,3),""))),"")</f>
        <v/>
      </c>
      <c r="AK717">
        <f>IF(AJ717&lt;&gt;"",IF(AI717="Monthly",EDATE(AJ717,1),IF(AI717="Quarterly",EDATE(AJ717,3),IF(AI717="Semi-Annual",EDATE(AJ717,6),""))),"")</f>
        <v/>
      </c>
      <c r="AL717">
        <f>IF(AK717&lt;&gt;"",IF(AK717&lt;TODAY(),"Overdue","Current"),"")</f>
        <v/>
      </c>
    </row>
    <row r="718">
      <c r="K718">
        <f>IF(J718="v4.0",L718,IF(J718="v3.1",M718,IF(J718="Both",L718,IF(AND(L718&lt;&gt;"",M718=""),L718,M718))))</f>
        <v/>
      </c>
      <c r="Z718">
        <f>IF(Y718&lt;&gt;"",TODAY()-Y718,"")</f>
        <v/>
      </c>
      <c r="AC718">
        <f>IF(AND(AA718&lt;&gt;"",AB718&lt;&gt;""),CHOOSE(MATCH(AA718,{"Low","Medium","High","Critical"},0),25,50,75,100)-CHOOSE(MATCH(AB718,{"Low","Medium","High","Critical"},0),25,50,75,100),"")</f>
        <v/>
      </c>
      <c r="AG718">
        <f>IF(AF718&lt;&gt;"",IF(AH718="Weekly",AF718+7,IF(AH718="Monthly",EDATE(AF718,1),IF(AH718="Quarterly",EDATE(AF718,3),""))),"")</f>
        <v/>
      </c>
      <c r="AK718">
        <f>IF(AJ718&lt;&gt;"",IF(AI718="Monthly",EDATE(AJ718,1),IF(AI718="Quarterly",EDATE(AJ718,3),IF(AI718="Semi-Annual",EDATE(AJ718,6),""))),"")</f>
        <v/>
      </c>
      <c r="AL718">
        <f>IF(AK718&lt;&gt;"",IF(AK718&lt;TODAY(),"Overdue","Current"),"")</f>
        <v/>
      </c>
    </row>
    <row r="719">
      <c r="K719">
        <f>IF(J719="v4.0",L719,IF(J719="v3.1",M719,IF(J719="Both",L719,IF(AND(L719&lt;&gt;"",M719=""),L719,M719))))</f>
        <v/>
      </c>
      <c r="Z719">
        <f>IF(Y719&lt;&gt;"",TODAY()-Y719,"")</f>
        <v/>
      </c>
      <c r="AC719">
        <f>IF(AND(AA719&lt;&gt;"",AB719&lt;&gt;""),CHOOSE(MATCH(AA719,{"Low","Medium","High","Critical"},0),25,50,75,100)-CHOOSE(MATCH(AB719,{"Low","Medium","High","Critical"},0),25,50,75,100),"")</f>
        <v/>
      </c>
      <c r="AG719">
        <f>IF(AF719&lt;&gt;"",IF(AH719="Weekly",AF719+7,IF(AH719="Monthly",EDATE(AF719,1),IF(AH719="Quarterly",EDATE(AF719,3),""))),"")</f>
        <v/>
      </c>
      <c r="AK719">
        <f>IF(AJ719&lt;&gt;"",IF(AI719="Monthly",EDATE(AJ719,1),IF(AI719="Quarterly",EDATE(AJ719,3),IF(AI719="Semi-Annual",EDATE(AJ719,6),""))),"")</f>
        <v/>
      </c>
      <c r="AL719">
        <f>IF(AK719&lt;&gt;"",IF(AK719&lt;TODAY(),"Overdue","Current"),"")</f>
        <v/>
      </c>
    </row>
    <row r="720">
      <c r="K720">
        <f>IF(J720="v4.0",L720,IF(J720="v3.1",M720,IF(J720="Both",L720,IF(AND(L720&lt;&gt;"",M720=""),L720,M720))))</f>
        <v/>
      </c>
      <c r="Z720">
        <f>IF(Y720&lt;&gt;"",TODAY()-Y720,"")</f>
        <v/>
      </c>
      <c r="AC720">
        <f>IF(AND(AA720&lt;&gt;"",AB720&lt;&gt;""),CHOOSE(MATCH(AA720,{"Low","Medium","High","Critical"},0),25,50,75,100)-CHOOSE(MATCH(AB720,{"Low","Medium","High","Critical"},0),25,50,75,100),"")</f>
        <v/>
      </c>
      <c r="AG720">
        <f>IF(AF720&lt;&gt;"",IF(AH720="Weekly",AF720+7,IF(AH720="Monthly",EDATE(AF720,1),IF(AH720="Quarterly",EDATE(AF720,3),""))),"")</f>
        <v/>
      </c>
      <c r="AK720">
        <f>IF(AJ720&lt;&gt;"",IF(AI720="Monthly",EDATE(AJ720,1),IF(AI720="Quarterly",EDATE(AJ720,3),IF(AI720="Semi-Annual",EDATE(AJ720,6),""))),"")</f>
        <v/>
      </c>
      <c r="AL720">
        <f>IF(AK720&lt;&gt;"",IF(AK720&lt;TODAY(),"Overdue","Current"),"")</f>
        <v/>
      </c>
    </row>
    <row r="721">
      <c r="K721">
        <f>IF(J721="v4.0",L721,IF(J721="v3.1",M721,IF(J721="Both",L721,IF(AND(L721&lt;&gt;"",M721=""),L721,M721))))</f>
        <v/>
      </c>
      <c r="Z721">
        <f>IF(Y721&lt;&gt;"",TODAY()-Y721,"")</f>
        <v/>
      </c>
      <c r="AC721">
        <f>IF(AND(AA721&lt;&gt;"",AB721&lt;&gt;""),CHOOSE(MATCH(AA721,{"Low","Medium","High","Critical"},0),25,50,75,100)-CHOOSE(MATCH(AB721,{"Low","Medium","High","Critical"},0),25,50,75,100),"")</f>
        <v/>
      </c>
      <c r="AG721">
        <f>IF(AF721&lt;&gt;"",IF(AH721="Weekly",AF721+7,IF(AH721="Monthly",EDATE(AF721,1),IF(AH721="Quarterly",EDATE(AF721,3),""))),"")</f>
        <v/>
      </c>
      <c r="AK721">
        <f>IF(AJ721&lt;&gt;"",IF(AI721="Monthly",EDATE(AJ721,1),IF(AI721="Quarterly",EDATE(AJ721,3),IF(AI721="Semi-Annual",EDATE(AJ721,6),""))),"")</f>
        <v/>
      </c>
      <c r="AL721">
        <f>IF(AK721&lt;&gt;"",IF(AK721&lt;TODAY(),"Overdue","Current"),"")</f>
        <v/>
      </c>
    </row>
    <row r="722">
      <c r="K722">
        <f>IF(J722="v4.0",L722,IF(J722="v3.1",M722,IF(J722="Both",L722,IF(AND(L722&lt;&gt;"",M722=""),L722,M722))))</f>
        <v/>
      </c>
      <c r="Z722">
        <f>IF(Y722&lt;&gt;"",TODAY()-Y722,"")</f>
        <v/>
      </c>
      <c r="AC722">
        <f>IF(AND(AA722&lt;&gt;"",AB722&lt;&gt;""),CHOOSE(MATCH(AA722,{"Low","Medium","High","Critical"},0),25,50,75,100)-CHOOSE(MATCH(AB722,{"Low","Medium","High","Critical"},0),25,50,75,100),"")</f>
        <v/>
      </c>
      <c r="AG722">
        <f>IF(AF722&lt;&gt;"",IF(AH722="Weekly",AF722+7,IF(AH722="Monthly",EDATE(AF722,1),IF(AH722="Quarterly",EDATE(AF722,3),""))),"")</f>
        <v/>
      </c>
      <c r="AK722">
        <f>IF(AJ722&lt;&gt;"",IF(AI722="Monthly",EDATE(AJ722,1),IF(AI722="Quarterly",EDATE(AJ722,3),IF(AI722="Semi-Annual",EDATE(AJ722,6),""))),"")</f>
        <v/>
      </c>
      <c r="AL722">
        <f>IF(AK722&lt;&gt;"",IF(AK722&lt;TODAY(),"Overdue","Current"),"")</f>
        <v/>
      </c>
    </row>
    <row r="723">
      <c r="K723">
        <f>IF(J723="v4.0",L723,IF(J723="v3.1",M723,IF(J723="Both",L723,IF(AND(L723&lt;&gt;"",M723=""),L723,M723))))</f>
        <v/>
      </c>
      <c r="Z723">
        <f>IF(Y723&lt;&gt;"",TODAY()-Y723,"")</f>
        <v/>
      </c>
      <c r="AC723">
        <f>IF(AND(AA723&lt;&gt;"",AB723&lt;&gt;""),CHOOSE(MATCH(AA723,{"Low","Medium","High","Critical"},0),25,50,75,100)-CHOOSE(MATCH(AB723,{"Low","Medium","High","Critical"},0),25,50,75,100),"")</f>
        <v/>
      </c>
      <c r="AG723">
        <f>IF(AF723&lt;&gt;"",IF(AH723="Weekly",AF723+7,IF(AH723="Monthly",EDATE(AF723,1),IF(AH723="Quarterly",EDATE(AF723,3),""))),"")</f>
        <v/>
      </c>
      <c r="AK723">
        <f>IF(AJ723&lt;&gt;"",IF(AI723="Monthly",EDATE(AJ723,1),IF(AI723="Quarterly",EDATE(AJ723,3),IF(AI723="Semi-Annual",EDATE(AJ723,6),""))),"")</f>
        <v/>
      </c>
      <c r="AL723">
        <f>IF(AK723&lt;&gt;"",IF(AK723&lt;TODAY(),"Overdue","Current"),"")</f>
        <v/>
      </c>
    </row>
    <row r="724">
      <c r="K724">
        <f>IF(J724="v4.0",L724,IF(J724="v3.1",M724,IF(J724="Both",L724,IF(AND(L724&lt;&gt;"",M724=""),L724,M724))))</f>
        <v/>
      </c>
      <c r="Z724">
        <f>IF(Y724&lt;&gt;"",TODAY()-Y724,"")</f>
        <v/>
      </c>
      <c r="AC724">
        <f>IF(AND(AA724&lt;&gt;"",AB724&lt;&gt;""),CHOOSE(MATCH(AA724,{"Low","Medium","High","Critical"},0),25,50,75,100)-CHOOSE(MATCH(AB724,{"Low","Medium","High","Critical"},0),25,50,75,100),"")</f>
        <v/>
      </c>
      <c r="AG724">
        <f>IF(AF724&lt;&gt;"",IF(AH724="Weekly",AF724+7,IF(AH724="Monthly",EDATE(AF724,1),IF(AH724="Quarterly",EDATE(AF724,3),""))),"")</f>
        <v/>
      </c>
      <c r="AK724">
        <f>IF(AJ724&lt;&gt;"",IF(AI724="Monthly",EDATE(AJ724,1),IF(AI724="Quarterly",EDATE(AJ724,3),IF(AI724="Semi-Annual",EDATE(AJ724,6),""))),"")</f>
        <v/>
      </c>
      <c r="AL724">
        <f>IF(AK724&lt;&gt;"",IF(AK724&lt;TODAY(),"Overdue","Current"),"")</f>
        <v/>
      </c>
    </row>
    <row r="725">
      <c r="K725">
        <f>IF(J725="v4.0",L725,IF(J725="v3.1",M725,IF(J725="Both",L725,IF(AND(L725&lt;&gt;"",M725=""),L725,M725))))</f>
        <v/>
      </c>
      <c r="Z725">
        <f>IF(Y725&lt;&gt;"",TODAY()-Y725,"")</f>
        <v/>
      </c>
      <c r="AC725">
        <f>IF(AND(AA725&lt;&gt;"",AB725&lt;&gt;""),CHOOSE(MATCH(AA725,{"Low","Medium","High","Critical"},0),25,50,75,100)-CHOOSE(MATCH(AB725,{"Low","Medium","High","Critical"},0),25,50,75,100),"")</f>
        <v/>
      </c>
      <c r="AG725">
        <f>IF(AF725&lt;&gt;"",IF(AH725="Weekly",AF725+7,IF(AH725="Monthly",EDATE(AF725,1),IF(AH725="Quarterly",EDATE(AF725,3),""))),"")</f>
        <v/>
      </c>
      <c r="AK725">
        <f>IF(AJ725&lt;&gt;"",IF(AI725="Monthly",EDATE(AJ725,1),IF(AI725="Quarterly",EDATE(AJ725,3),IF(AI725="Semi-Annual",EDATE(AJ725,6),""))),"")</f>
        <v/>
      </c>
      <c r="AL725">
        <f>IF(AK725&lt;&gt;"",IF(AK725&lt;TODAY(),"Overdue","Current"),"")</f>
        <v/>
      </c>
    </row>
    <row r="726">
      <c r="K726">
        <f>IF(J726="v4.0",L726,IF(J726="v3.1",M726,IF(J726="Both",L726,IF(AND(L726&lt;&gt;"",M726=""),L726,M726))))</f>
        <v/>
      </c>
      <c r="Z726">
        <f>IF(Y726&lt;&gt;"",TODAY()-Y726,"")</f>
        <v/>
      </c>
      <c r="AC726">
        <f>IF(AND(AA726&lt;&gt;"",AB726&lt;&gt;""),CHOOSE(MATCH(AA726,{"Low","Medium","High","Critical"},0),25,50,75,100)-CHOOSE(MATCH(AB726,{"Low","Medium","High","Critical"},0),25,50,75,100),"")</f>
        <v/>
      </c>
      <c r="AG726">
        <f>IF(AF726&lt;&gt;"",IF(AH726="Weekly",AF726+7,IF(AH726="Monthly",EDATE(AF726,1),IF(AH726="Quarterly",EDATE(AF726,3),""))),"")</f>
        <v/>
      </c>
      <c r="AK726">
        <f>IF(AJ726&lt;&gt;"",IF(AI726="Monthly",EDATE(AJ726,1),IF(AI726="Quarterly",EDATE(AJ726,3),IF(AI726="Semi-Annual",EDATE(AJ726,6),""))),"")</f>
        <v/>
      </c>
      <c r="AL726">
        <f>IF(AK726&lt;&gt;"",IF(AK726&lt;TODAY(),"Overdue","Current"),"")</f>
        <v/>
      </c>
    </row>
    <row r="727">
      <c r="K727">
        <f>IF(J727="v4.0",L727,IF(J727="v3.1",M727,IF(J727="Both",L727,IF(AND(L727&lt;&gt;"",M727=""),L727,M727))))</f>
        <v/>
      </c>
      <c r="Z727">
        <f>IF(Y727&lt;&gt;"",TODAY()-Y727,"")</f>
        <v/>
      </c>
      <c r="AC727">
        <f>IF(AND(AA727&lt;&gt;"",AB727&lt;&gt;""),CHOOSE(MATCH(AA727,{"Low","Medium","High","Critical"},0),25,50,75,100)-CHOOSE(MATCH(AB727,{"Low","Medium","High","Critical"},0),25,50,75,100),"")</f>
        <v/>
      </c>
      <c r="AG727">
        <f>IF(AF727&lt;&gt;"",IF(AH727="Weekly",AF727+7,IF(AH727="Monthly",EDATE(AF727,1),IF(AH727="Quarterly",EDATE(AF727,3),""))),"")</f>
        <v/>
      </c>
      <c r="AK727">
        <f>IF(AJ727&lt;&gt;"",IF(AI727="Monthly",EDATE(AJ727,1),IF(AI727="Quarterly",EDATE(AJ727,3),IF(AI727="Semi-Annual",EDATE(AJ727,6),""))),"")</f>
        <v/>
      </c>
      <c r="AL727">
        <f>IF(AK727&lt;&gt;"",IF(AK727&lt;TODAY(),"Overdue","Current"),"")</f>
        <v/>
      </c>
    </row>
    <row r="728">
      <c r="K728">
        <f>IF(J728="v4.0",L728,IF(J728="v3.1",M728,IF(J728="Both",L728,IF(AND(L728&lt;&gt;"",M728=""),L728,M728))))</f>
        <v/>
      </c>
      <c r="Z728">
        <f>IF(Y728&lt;&gt;"",TODAY()-Y728,"")</f>
        <v/>
      </c>
      <c r="AC728">
        <f>IF(AND(AA728&lt;&gt;"",AB728&lt;&gt;""),CHOOSE(MATCH(AA728,{"Low","Medium","High","Critical"},0),25,50,75,100)-CHOOSE(MATCH(AB728,{"Low","Medium","High","Critical"},0),25,50,75,100),"")</f>
        <v/>
      </c>
      <c r="AG728">
        <f>IF(AF728&lt;&gt;"",IF(AH728="Weekly",AF728+7,IF(AH728="Monthly",EDATE(AF728,1),IF(AH728="Quarterly",EDATE(AF728,3),""))),"")</f>
        <v/>
      </c>
      <c r="AK728">
        <f>IF(AJ728&lt;&gt;"",IF(AI728="Monthly",EDATE(AJ728,1),IF(AI728="Quarterly",EDATE(AJ728,3),IF(AI728="Semi-Annual",EDATE(AJ728,6),""))),"")</f>
        <v/>
      </c>
      <c r="AL728">
        <f>IF(AK728&lt;&gt;"",IF(AK728&lt;TODAY(),"Overdue","Current"),"")</f>
        <v/>
      </c>
    </row>
    <row r="729">
      <c r="K729">
        <f>IF(J729="v4.0",L729,IF(J729="v3.1",M729,IF(J729="Both",L729,IF(AND(L729&lt;&gt;"",M729=""),L729,M729))))</f>
        <v/>
      </c>
      <c r="Z729">
        <f>IF(Y729&lt;&gt;"",TODAY()-Y729,"")</f>
        <v/>
      </c>
      <c r="AC729">
        <f>IF(AND(AA729&lt;&gt;"",AB729&lt;&gt;""),CHOOSE(MATCH(AA729,{"Low","Medium","High","Critical"},0),25,50,75,100)-CHOOSE(MATCH(AB729,{"Low","Medium","High","Critical"},0),25,50,75,100),"")</f>
        <v/>
      </c>
      <c r="AG729">
        <f>IF(AF729&lt;&gt;"",IF(AH729="Weekly",AF729+7,IF(AH729="Monthly",EDATE(AF729,1),IF(AH729="Quarterly",EDATE(AF729,3),""))),"")</f>
        <v/>
      </c>
      <c r="AK729">
        <f>IF(AJ729&lt;&gt;"",IF(AI729="Monthly",EDATE(AJ729,1),IF(AI729="Quarterly",EDATE(AJ729,3),IF(AI729="Semi-Annual",EDATE(AJ729,6),""))),"")</f>
        <v/>
      </c>
      <c r="AL729">
        <f>IF(AK729&lt;&gt;"",IF(AK729&lt;TODAY(),"Overdue","Current"),"")</f>
        <v/>
      </c>
    </row>
    <row r="730">
      <c r="K730">
        <f>IF(J730="v4.0",L730,IF(J730="v3.1",M730,IF(J730="Both",L730,IF(AND(L730&lt;&gt;"",M730=""),L730,M730))))</f>
        <v/>
      </c>
      <c r="Z730">
        <f>IF(Y730&lt;&gt;"",TODAY()-Y730,"")</f>
        <v/>
      </c>
      <c r="AC730">
        <f>IF(AND(AA730&lt;&gt;"",AB730&lt;&gt;""),CHOOSE(MATCH(AA730,{"Low","Medium","High","Critical"},0),25,50,75,100)-CHOOSE(MATCH(AB730,{"Low","Medium","High","Critical"},0),25,50,75,100),"")</f>
        <v/>
      </c>
      <c r="AG730">
        <f>IF(AF730&lt;&gt;"",IF(AH730="Weekly",AF730+7,IF(AH730="Monthly",EDATE(AF730,1),IF(AH730="Quarterly",EDATE(AF730,3),""))),"")</f>
        <v/>
      </c>
      <c r="AK730">
        <f>IF(AJ730&lt;&gt;"",IF(AI730="Monthly",EDATE(AJ730,1),IF(AI730="Quarterly",EDATE(AJ730,3),IF(AI730="Semi-Annual",EDATE(AJ730,6),""))),"")</f>
        <v/>
      </c>
      <c r="AL730">
        <f>IF(AK730&lt;&gt;"",IF(AK730&lt;TODAY(),"Overdue","Current"),"")</f>
        <v/>
      </c>
    </row>
    <row r="731">
      <c r="K731">
        <f>IF(J731="v4.0",L731,IF(J731="v3.1",M731,IF(J731="Both",L731,IF(AND(L731&lt;&gt;"",M731=""),L731,M731))))</f>
        <v/>
      </c>
      <c r="Z731">
        <f>IF(Y731&lt;&gt;"",TODAY()-Y731,"")</f>
        <v/>
      </c>
      <c r="AC731">
        <f>IF(AND(AA731&lt;&gt;"",AB731&lt;&gt;""),CHOOSE(MATCH(AA731,{"Low","Medium","High","Critical"},0),25,50,75,100)-CHOOSE(MATCH(AB731,{"Low","Medium","High","Critical"},0),25,50,75,100),"")</f>
        <v/>
      </c>
      <c r="AG731">
        <f>IF(AF731&lt;&gt;"",IF(AH731="Weekly",AF731+7,IF(AH731="Monthly",EDATE(AF731,1),IF(AH731="Quarterly",EDATE(AF731,3),""))),"")</f>
        <v/>
      </c>
      <c r="AK731">
        <f>IF(AJ731&lt;&gt;"",IF(AI731="Monthly",EDATE(AJ731,1),IF(AI731="Quarterly",EDATE(AJ731,3),IF(AI731="Semi-Annual",EDATE(AJ731,6),""))),"")</f>
        <v/>
      </c>
      <c r="AL731">
        <f>IF(AK731&lt;&gt;"",IF(AK731&lt;TODAY(),"Overdue","Current"),"")</f>
        <v/>
      </c>
    </row>
    <row r="732">
      <c r="K732">
        <f>IF(J732="v4.0",L732,IF(J732="v3.1",M732,IF(J732="Both",L732,IF(AND(L732&lt;&gt;"",M732=""),L732,M732))))</f>
        <v/>
      </c>
      <c r="Z732">
        <f>IF(Y732&lt;&gt;"",TODAY()-Y732,"")</f>
        <v/>
      </c>
      <c r="AC732">
        <f>IF(AND(AA732&lt;&gt;"",AB732&lt;&gt;""),CHOOSE(MATCH(AA732,{"Low","Medium","High","Critical"},0),25,50,75,100)-CHOOSE(MATCH(AB732,{"Low","Medium","High","Critical"},0),25,50,75,100),"")</f>
        <v/>
      </c>
      <c r="AG732">
        <f>IF(AF732&lt;&gt;"",IF(AH732="Weekly",AF732+7,IF(AH732="Monthly",EDATE(AF732,1),IF(AH732="Quarterly",EDATE(AF732,3),""))),"")</f>
        <v/>
      </c>
      <c r="AK732">
        <f>IF(AJ732&lt;&gt;"",IF(AI732="Monthly",EDATE(AJ732,1),IF(AI732="Quarterly",EDATE(AJ732,3),IF(AI732="Semi-Annual",EDATE(AJ732,6),""))),"")</f>
        <v/>
      </c>
      <c r="AL732">
        <f>IF(AK732&lt;&gt;"",IF(AK732&lt;TODAY(),"Overdue","Current"),"")</f>
        <v/>
      </c>
    </row>
    <row r="733">
      <c r="K733">
        <f>IF(J733="v4.0",L733,IF(J733="v3.1",M733,IF(J733="Both",L733,IF(AND(L733&lt;&gt;"",M733=""),L733,M733))))</f>
        <v/>
      </c>
      <c r="Z733">
        <f>IF(Y733&lt;&gt;"",TODAY()-Y733,"")</f>
        <v/>
      </c>
      <c r="AC733">
        <f>IF(AND(AA733&lt;&gt;"",AB733&lt;&gt;""),CHOOSE(MATCH(AA733,{"Low","Medium","High","Critical"},0),25,50,75,100)-CHOOSE(MATCH(AB733,{"Low","Medium","High","Critical"},0),25,50,75,100),"")</f>
        <v/>
      </c>
      <c r="AG733">
        <f>IF(AF733&lt;&gt;"",IF(AH733="Weekly",AF733+7,IF(AH733="Monthly",EDATE(AF733,1),IF(AH733="Quarterly",EDATE(AF733,3),""))),"")</f>
        <v/>
      </c>
      <c r="AK733">
        <f>IF(AJ733&lt;&gt;"",IF(AI733="Monthly",EDATE(AJ733,1),IF(AI733="Quarterly",EDATE(AJ733,3),IF(AI733="Semi-Annual",EDATE(AJ733,6),""))),"")</f>
        <v/>
      </c>
      <c r="AL733">
        <f>IF(AK733&lt;&gt;"",IF(AK733&lt;TODAY(),"Overdue","Current"),"")</f>
        <v/>
      </c>
    </row>
    <row r="734">
      <c r="K734">
        <f>IF(J734="v4.0",L734,IF(J734="v3.1",M734,IF(J734="Both",L734,IF(AND(L734&lt;&gt;"",M734=""),L734,M734))))</f>
        <v/>
      </c>
      <c r="Z734">
        <f>IF(Y734&lt;&gt;"",TODAY()-Y734,"")</f>
        <v/>
      </c>
      <c r="AC734">
        <f>IF(AND(AA734&lt;&gt;"",AB734&lt;&gt;""),CHOOSE(MATCH(AA734,{"Low","Medium","High","Critical"},0),25,50,75,100)-CHOOSE(MATCH(AB734,{"Low","Medium","High","Critical"},0),25,50,75,100),"")</f>
        <v/>
      </c>
      <c r="AG734">
        <f>IF(AF734&lt;&gt;"",IF(AH734="Weekly",AF734+7,IF(AH734="Monthly",EDATE(AF734,1),IF(AH734="Quarterly",EDATE(AF734,3),""))),"")</f>
        <v/>
      </c>
      <c r="AK734">
        <f>IF(AJ734&lt;&gt;"",IF(AI734="Monthly",EDATE(AJ734,1),IF(AI734="Quarterly",EDATE(AJ734,3),IF(AI734="Semi-Annual",EDATE(AJ734,6),""))),"")</f>
        <v/>
      </c>
      <c r="AL734">
        <f>IF(AK734&lt;&gt;"",IF(AK734&lt;TODAY(),"Overdue","Current"),"")</f>
        <v/>
      </c>
    </row>
    <row r="735">
      <c r="K735">
        <f>IF(J735="v4.0",L735,IF(J735="v3.1",M735,IF(J735="Both",L735,IF(AND(L735&lt;&gt;"",M735=""),L735,M735))))</f>
        <v/>
      </c>
      <c r="Z735">
        <f>IF(Y735&lt;&gt;"",TODAY()-Y735,"")</f>
        <v/>
      </c>
      <c r="AC735">
        <f>IF(AND(AA735&lt;&gt;"",AB735&lt;&gt;""),CHOOSE(MATCH(AA735,{"Low","Medium","High","Critical"},0),25,50,75,100)-CHOOSE(MATCH(AB735,{"Low","Medium","High","Critical"},0),25,50,75,100),"")</f>
        <v/>
      </c>
      <c r="AG735">
        <f>IF(AF735&lt;&gt;"",IF(AH735="Weekly",AF735+7,IF(AH735="Monthly",EDATE(AF735,1),IF(AH735="Quarterly",EDATE(AF735,3),""))),"")</f>
        <v/>
      </c>
      <c r="AK735">
        <f>IF(AJ735&lt;&gt;"",IF(AI735="Monthly",EDATE(AJ735,1),IF(AI735="Quarterly",EDATE(AJ735,3),IF(AI735="Semi-Annual",EDATE(AJ735,6),""))),"")</f>
        <v/>
      </c>
      <c r="AL735">
        <f>IF(AK735&lt;&gt;"",IF(AK735&lt;TODAY(),"Overdue","Current"),"")</f>
        <v/>
      </c>
    </row>
    <row r="736">
      <c r="K736">
        <f>IF(J736="v4.0",L736,IF(J736="v3.1",M736,IF(J736="Both",L736,IF(AND(L736&lt;&gt;"",M736=""),L736,M736))))</f>
        <v/>
      </c>
      <c r="Z736">
        <f>IF(Y736&lt;&gt;"",TODAY()-Y736,"")</f>
        <v/>
      </c>
      <c r="AC736">
        <f>IF(AND(AA736&lt;&gt;"",AB736&lt;&gt;""),CHOOSE(MATCH(AA736,{"Low","Medium","High","Critical"},0),25,50,75,100)-CHOOSE(MATCH(AB736,{"Low","Medium","High","Critical"},0),25,50,75,100),"")</f>
        <v/>
      </c>
      <c r="AG736">
        <f>IF(AF736&lt;&gt;"",IF(AH736="Weekly",AF736+7,IF(AH736="Monthly",EDATE(AF736,1),IF(AH736="Quarterly",EDATE(AF736,3),""))),"")</f>
        <v/>
      </c>
      <c r="AK736">
        <f>IF(AJ736&lt;&gt;"",IF(AI736="Monthly",EDATE(AJ736,1),IF(AI736="Quarterly",EDATE(AJ736,3),IF(AI736="Semi-Annual",EDATE(AJ736,6),""))),"")</f>
        <v/>
      </c>
      <c r="AL736">
        <f>IF(AK736&lt;&gt;"",IF(AK736&lt;TODAY(),"Overdue","Current"),"")</f>
        <v/>
      </c>
    </row>
    <row r="737">
      <c r="K737">
        <f>IF(J737="v4.0",L737,IF(J737="v3.1",M737,IF(J737="Both",L737,IF(AND(L737&lt;&gt;"",M737=""),L737,M737))))</f>
        <v/>
      </c>
      <c r="Z737">
        <f>IF(Y737&lt;&gt;"",TODAY()-Y737,"")</f>
        <v/>
      </c>
      <c r="AC737">
        <f>IF(AND(AA737&lt;&gt;"",AB737&lt;&gt;""),CHOOSE(MATCH(AA737,{"Low","Medium","High","Critical"},0),25,50,75,100)-CHOOSE(MATCH(AB737,{"Low","Medium","High","Critical"},0),25,50,75,100),"")</f>
        <v/>
      </c>
      <c r="AG737">
        <f>IF(AF737&lt;&gt;"",IF(AH737="Weekly",AF737+7,IF(AH737="Monthly",EDATE(AF737,1),IF(AH737="Quarterly",EDATE(AF737,3),""))),"")</f>
        <v/>
      </c>
      <c r="AK737">
        <f>IF(AJ737&lt;&gt;"",IF(AI737="Monthly",EDATE(AJ737,1),IF(AI737="Quarterly",EDATE(AJ737,3),IF(AI737="Semi-Annual",EDATE(AJ737,6),""))),"")</f>
        <v/>
      </c>
      <c r="AL737">
        <f>IF(AK737&lt;&gt;"",IF(AK737&lt;TODAY(),"Overdue","Current"),"")</f>
        <v/>
      </c>
    </row>
    <row r="738">
      <c r="K738">
        <f>IF(J738="v4.0",L738,IF(J738="v3.1",M738,IF(J738="Both",L738,IF(AND(L738&lt;&gt;"",M738=""),L738,M738))))</f>
        <v/>
      </c>
      <c r="Z738">
        <f>IF(Y738&lt;&gt;"",TODAY()-Y738,"")</f>
        <v/>
      </c>
      <c r="AC738">
        <f>IF(AND(AA738&lt;&gt;"",AB738&lt;&gt;""),CHOOSE(MATCH(AA738,{"Low","Medium","High","Critical"},0),25,50,75,100)-CHOOSE(MATCH(AB738,{"Low","Medium","High","Critical"},0),25,50,75,100),"")</f>
        <v/>
      </c>
      <c r="AG738">
        <f>IF(AF738&lt;&gt;"",IF(AH738="Weekly",AF738+7,IF(AH738="Monthly",EDATE(AF738,1),IF(AH738="Quarterly",EDATE(AF738,3),""))),"")</f>
        <v/>
      </c>
      <c r="AK738">
        <f>IF(AJ738&lt;&gt;"",IF(AI738="Monthly",EDATE(AJ738,1),IF(AI738="Quarterly",EDATE(AJ738,3),IF(AI738="Semi-Annual",EDATE(AJ738,6),""))),"")</f>
        <v/>
      </c>
      <c r="AL738">
        <f>IF(AK738&lt;&gt;"",IF(AK738&lt;TODAY(),"Overdue","Current"),"")</f>
        <v/>
      </c>
    </row>
    <row r="739">
      <c r="K739">
        <f>IF(J739="v4.0",L739,IF(J739="v3.1",M739,IF(J739="Both",L739,IF(AND(L739&lt;&gt;"",M739=""),L739,M739))))</f>
        <v/>
      </c>
      <c r="Z739">
        <f>IF(Y739&lt;&gt;"",TODAY()-Y739,"")</f>
        <v/>
      </c>
      <c r="AC739">
        <f>IF(AND(AA739&lt;&gt;"",AB739&lt;&gt;""),CHOOSE(MATCH(AA739,{"Low","Medium","High","Critical"},0),25,50,75,100)-CHOOSE(MATCH(AB739,{"Low","Medium","High","Critical"},0),25,50,75,100),"")</f>
        <v/>
      </c>
      <c r="AG739">
        <f>IF(AF739&lt;&gt;"",IF(AH739="Weekly",AF739+7,IF(AH739="Monthly",EDATE(AF739,1),IF(AH739="Quarterly",EDATE(AF739,3),""))),"")</f>
        <v/>
      </c>
      <c r="AK739">
        <f>IF(AJ739&lt;&gt;"",IF(AI739="Monthly",EDATE(AJ739,1),IF(AI739="Quarterly",EDATE(AJ739,3),IF(AI739="Semi-Annual",EDATE(AJ739,6),""))),"")</f>
        <v/>
      </c>
      <c r="AL739">
        <f>IF(AK739&lt;&gt;"",IF(AK739&lt;TODAY(),"Overdue","Current"),"")</f>
        <v/>
      </c>
    </row>
    <row r="740">
      <c r="K740">
        <f>IF(J740="v4.0",L740,IF(J740="v3.1",M740,IF(J740="Both",L740,IF(AND(L740&lt;&gt;"",M740=""),L740,M740))))</f>
        <v/>
      </c>
      <c r="Z740">
        <f>IF(Y740&lt;&gt;"",TODAY()-Y740,"")</f>
        <v/>
      </c>
      <c r="AC740">
        <f>IF(AND(AA740&lt;&gt;"",AB740&lt;&gt;""),CHOOSE(MATCH(AA740,{"Low","Medium","High","Critical"},0),25,50,75,100)-CHOOSE(MATCH(AB740,{"Low","Medium","High","Critical"},0),25,50,75,100),"")</f>
        <v/>
      </c>
      <c r="AG740">
        <f>IF(AF740&lt;&gt;"",IF(AH740="Weekly",AF740+7,IF(AH740="Monthly",EDATE(AF740,1),IF(AH740="Quarterly",EDATE(AF740,3),""))),"")</f>
        <v/>
      </c>
      <c r="AK740">
        <f>IF(AJ740&lt;&gt;"",IF(AI740="Monthly",EDATE(AJ740,1),IF(AI740="Quarterly",EDATE(AJ740,3),IF(AI740="Semi-Annual",EDATE(AJ740,6),""))),"")</f>
        <v/>
      </c>
      <c r="AL740">
        <f>IF(AK740&lt;&gt;"",IF(AK740&lt;TODAY(),"Overdue","Current"),"")</f>
        <v/>
      </c>
    </row>
    <row r="741">
      <c r="K741">
        <f>IF(J741="v4.0",L741,IF(J741="v3.1",M741,IF(J741="Both",L741,IF(AND(L741&lt;&gt;"",M741=""),L741,M741))))</f>
        <v/>
      </c>
      <c r="Z741">
        <f>IF(Y741&lt;&gt;"",TODAY()-Y741,"")</f>
        <v/>
      </c>
      <c r="AC741">
        <f>IF(AND(AA741&lt;&gt;"",AB741&lt;&gt;""),CHOOSE(MATCH(AA741,{"Low","Medium","High","Critical"},0),25,50,75,100)-CHOOSE(MATCH(AB741,{"Low","Medium","High","Critical"},0),25,50,75,100),"")</f>
        <v/>
      </c>
      <c r="AG741">
        <f>IF(AF741&lt;&gt;"",IF(AH741="Weekly",AF741+7,IF(AH741="Monthly",EDATE(AF741,1),IF(AH741="Quarterly",EDATE(AF741,3),""))),"")</f>
        <v/>
      </c>
      <c r="AK741">
        <f>IF(AJ741&lt;&gt;"",IF(AI741="Monthly",EDATE(AJ741,1),IF(AI741="Quarterly",EDATE(AJ741,3),IF(AI741="Semi-Annual",EDATE(AJ741,6),""))),"")</f>
        <v/>
      </c>
      <c r="AL741">
        <f>IF(AK741&lt;&gt;"",IF(AK741&lt;TODAY(),"Overdue","Current"),"")</f>
        <v/>
      </c>
    </row>
    <row r="742">
      <c r="K742">
        <f>IF(J742="v4.0",L742,IF(J742="v3.1",M742,IF(J742="Both",L742,IF(AND(L742&lt;&gt;"",M742=""),L742,M742))))</f>
        <v/>
      </c>
      <c r="Z742">
        <f>IF(Y742&lt;&gt;"",TODAY()-Y742,"")</f>
        <v/>
      </c>
      <c r="AC742">
        <f>IF(AND(AA742&lt;&gt;"",AB742&lt;&gt;""),CHOOSE(MATCH(AA742,{"Low","Medium","High","Critical"},0),25,50,75,100)-CHOOSE(MATCH(AB742,{"Low","Medium","High","Critical"},0),25,50,75,100),"")</f>
        <v/>
      </c>
      <c r="AG742">
        <f>IF(AF742&lt;&gt;"",IF(AH742="Weekly",AF742+7,IF(AH742="Monthly",EDATE(AF742,1),IF(AH742="Quarterly",EDATE(AF742,3),""))),"")</f>
        <v/>
      </c>
      <c r="AK742">
        <f>IF(AJ742&lt;&gt;"",IF(AI742="Monthly",EDATE(AJ742,1),IF(AI742="Quarterly",EDATE(AJ742,3),IF(AI742="Semi-Annual",EDATE(AJ742,6),""))),"")</f>
        <v/>
      </c>
      <c r="AL742">
        <f>IF(AK742&lt;&gt;"",IF(AK742&lt;TODAY(),"Overdue","Current"),"")</f>
        <v/>
      </c>
    </row>
    <row r="743">
      <c r="K743">
        <f>IF(J743="v4.0",L743,IF(J743="v3.1",M743,IF(J743="Both",L743,IF(AND(L743&lt;&gt;"",M743=""),L743,M743))))</f>
        <v/>
      </c>
      <c r="Z743">
        <f>IF(Y743&lt;&gt;"",TODAY()-Y743,"")</f>
        <v/>
      </c>
      <c r="AC743">
        <f>IF(AND(AA743&lt;&gt;"",AB743&lt;&gt;""),CHOOSE(MATCH(AA743,{"Low","Medium","High","Critical"},0),25,50,75,100)-CHOOSE(MATCH(AB743,{"Low","Medium","High","Critical"},0),25,50,75,100),"")</f>
        <v/>
      </c>
      <c r="AG743">
        <f>IF(AF743&lt;&gt;"",IF(AH743="Weekly",AF743+7,IF(AH743="Monthly",EDATE(AF743,1),IF(AH743="Quarterly",EDATE(AF743,3),""))),"")</f>
        <v/>
      </c>
      <c r="AK743">
        <f>IF(AJ743&lt;&gt;"",IF(AI743="Monthly",EDATE(AJ743,1),IF(AI743="Quarterly",EDATE(AJ743,3),IF(AI743="Semi-Annual",EDATE(AJ743,6),""))),"")</f>
        <v/>
      </c>
      <c r="AL743">
        <f>IF(AK743&lt;&gt;"",IF(AK743&lt;TODAY(),"Overdue","Current"),"")</f>
        <v/>
      </c>
    </row>
    <row r="744">
      <c r="K744">
        <f>IF(J744="v4.0",L744,IF(J744="v3.1",M744,IF(J744="Both",L744,IF(AND(L744&lt;&gt;"",M744=""),L744,M744))))</f>
        <v/>
      </c>
      <c r="Z744">
        <f>IF(Y744&lt;&gt;"",TODAY()-Y744,"")</f>
        <v/>
      </c>
      <c r="AC744">
        <f>IF(AND(AA744&lt;&gt;"",AB744&lt;&gt;""),CHOOSE(MATCH(AA744,{"Low","Medium","High","Critical"},0),25,50,75,100)-CHOOSE(MATCH(AB744,{"Low","Medium","High","Critical"},0),25,50,75,100),"")</f>
        <v/>
      </c>
      <c r="AG744">
        <f>IF(AF744&lt;&gt;"",IF(AH744="Weekly",AF744+7,IF(AH744="Monthly",EDATE(AF744,1),IF(AH744="Quarterly",EDATE(AF744,3),""))),"")</f>
        <v/>
      </c>
      <c r="AK744">
        <f>IF(AJ744&lt;&gt;"",IF(AI744="Monthly",EDATE(AJ744,1),IF(AI744="Quarterly",EDATE(AJ744,3),IF(AI744="Semi-Annual",EDATE(AJ744,6),""))),"")</f>
        <v/>
      </c>
      <c r="AL744">
        <f>IF(AK744&lt;&gt;"",IF(AK744&lt;TODAY(),"Overdue","Current"),"")</f>
        <v/>
      </c>
    </row>
    <row r="745">
      <c r="K745">
        <f>IF(J745="v4.0",L745,IF(J745="v3.1",M745,IF(J745="Both",L745,IF(AND(L745&lt;&gt;"",M745=""),L745,M745))))</f>
        <v/>
      </c>
      <c r="Z745">
        <f>IF(Y745&lt;&gt;"",TODAY()-Y745,"")</f>
        <v/>
      </c>
      <c r="AC745">
        <f>IF(AND(AA745&lt;&gt;"",AB745&lt;&gt;""),CHOOSE(MATCH(AA745,{"Low","Medium","High","Critical"},0),25,50,75,100)-CHOOSE(MATCH(AB745,{"Low","Medium","High","Critical"},0),25,50,75,100),"")</f>
        <v/>
      </c>
      <c r="AG745">
        <f>IF(AF745&lt;&gt;"",IF(AH745="Weekly",AF745+7,IF(AH745="Monthly",EDATE(AF745,1),IF(AH745="Quarterly",EDATE(AF745,3),""))),"")</f>
        <v/>
      </c>
      <c r="AK745">
        <f>IF(AJ745&lt;&gt;"",IF(AI745="Monthly",EDATE(AJ745,1),IF(AI745="Quarterly",EDATE(AJ745,3),IF(AI745="Semi-Annual",EDATE(AJ745,6),""))),"")</f>
        <v/>
      </c>
      <c r="AL745">
        <f>IF(AK745&lt;&gt;"",IF(AK745&lt;TODAY(),"Overdue","Current"),"")</f>
        <v/>
      </c>
    </row>
    <row r="746">
      <c r="K746">
        <f>IF(J746="v4.0",L746,IF(J746="v3.1",M746,IF(J746="Both",L746,IF(AND(L746&lt;&gt;"",M746=""),L746,M746))))</f>
        <v/>
      </c>
      <c r="Z746">
        <f>IF(Y746&lt;&gt;"",TODAY()-Y746,"")</f>
        <v/>
      </c>
      <c r="AC746">
        <f>IF(AND(AA746&lt;&gt;"",AB746&lt;&gt;""),CHOOSE(MATCH(AA746,{"Low","Medium","High","Critical"},0),25,50,75,100)-CHOOSE(MATCH(AB746,{"Low","Medium","High","Critical"},0),25,50,75,100),"")</f>
        <v/>
      </c>
      <c r="AG746">
        <f>IF(AF746&lt;&gt;"",IF(AH746="Weekly",AF746+7,IF(AH746="Monthly",EDATE(AF746,1),IF(AH746="Quarterly",EDATE(AF746,3),""))),"")</f>
        <v/>
      </c>
      <c r="AK746">
        <f>IF(AJ746&lt;&gt;"",IF(AI746="Monthly",EDATE(AJ746,1),IF(AI746="Quarterly",EDATE(AJ746,3),IF(AI746="Semi-Annual",EDATE(AJ746,6),""))),"")</f>
        <v/>
      </c>
      <c r="AL746">
        <f>IF(AK746&lt;&gt;"",IF(AK746&lt;TODAY(),"Overdue","Current"),"")</f>
        <v/>
      </c>
    </row>
    <row r="747">
      <c r="K747">
        <f>IF(J747="v4.0",L747,IF(J747="v3.1",M747,IF(J747="Both",L747,IF(AND(L747&lt;&gt;"",M747=""),L747,M747))))</f>
        <v/>
      </c>
      <c r="Z747">
        <f>IF(Y747&lt;&gt;"",TODAY()-Y747,"")</f>
        <v/>
      </c>
      <c r="AC747">
        <f>IF(AND(AA747&lt;&gt;"",AB747&lt;&gt;""),CHOOSE(MATCH(AA747,{"Low","Medium","High","Critical"},0),25,50,75,100)-CHOOSE(MATCH(AB747,{"Low","Medium","High","Critical"},0),25,50,75,100),"")</f>
        <v/>
      </c>
      <c r="AG747">
        <f>IF(AF747&lt;&gt;"",IF(AH747="Weekly",AF747+7,IF(AH747="Monthly",EDATE(AF747,1),IF(AH747="Quarterly",EDATE(AF747,3),""))),"")</f>
        <v/>
      </c>
      <c r="AK747">
        <f>IF(AJ747&lt;&gt;"",IF(AI747="Monthly",EDATE(AJ747,1),IF(AI747="Quarterly",EDATE(AJ747,3),IF(AI747="Semi-Annual",EDATE(AJ747,6),""))),"")</f>
        <v/>
      </c>
      <c r="AL747">
        <f>IF(AK747&lt;&gt;"",IF(AK747&lt;TODAY(),"Overdue","Current"),"")</f>
        <v/>
      </c>
    </row>
    <row r="748">
      <c r="K748">
        <f>IF(J748="v4.0",L748,IF(J748="v3.1",M748,IF(J748="Both",L748,IF(AND(L748&lt;&gt;"",M748=""),L748,M748))))</f>
        <v/>
      </c>
      <c r="Z748">
        <f>IF(Y748&lt;&gt;"",TODAY()-Y748,"")</f>
        <v/>
      </c>
      <c r="AC748">
        <f>IF(AND(AA748&lt;&gt;"",AB748&lt;&gt;""),CHOOSE(MATCH(AA748,{"Low","Medium","High","Critical"},0),25,50,75,100)-CHOOSE(MATCH(AB748,{"Low","Medium","High","Critical"},0),25,50,75,100),"")</f>
        <v/>
      </c>
      <c r="AG748">
        <f>IF(AF748&lt;&gt;"",IF(AH748="Weekly",AF748+7,IF(AH748="Monthly",EDATE(AF748,1),IF(AH748="Quarterly",EDATE(AF748,3),""))),"")</f>
        <v/>
      </c>
      <c r="AK748">
        <f>IF(AJ748&lt;&gt;"",IF(AI748="Monthly",EDATE(AJ748,1),IF(AI748="Quarterly",EDATE(AJ748,3),IF(AI748="Semi-Annual",EDATE(AJ748,6),""))),"")</f>
        <v/>
      </c>
      <c r="AL748">
        <f>IF(AK748&lt;&gt;"",IF(AK748&lt;TODAY(),"Overdue","Current"),"")</f>
        <v/>
      </c>
    </row>
    <row r="749">
      <c r="K749">
        <f>IF(J749="v4.0",L749,IF(J749="v3.1",M749,IF(J749="Both",L749,IF(AND(L749&lt;&gt;"",M749=""),L749,M749))))</f>
        <v/>
      </c>
      <c r="Z749">
        <f>IF(Y749&lt;&gt;"",TODAY()-Y749,"")</f>
        <v/>
      </c>
      <c r="AC749">
        <f>IF(AND(AA749&lt;&gt;"",AB749&lt;&gt;""),CHOOSE(MATCH(AA749,{"Low","Medium","High","Critical"},0),25,50,75,100)-CHOOSE(MATCH(AB749,{"Low","Medium","High","Critical"},0),25,50,75,100),"")</f>
        <v/>
      </c>
      <c r="AG749">
        <f>IF(AF749&lt;&gt;"",IF(AH749="Weekly",AF749+7,IF(AH749="Monthly",EDATE(AF749,1),IF(AH749="Quarterly",EDATE(AF749,3),""))),"")</f>
        <v/>
      </c>
      <c r="AK749">
        <f>IF(AJ749&lt;&gt;"",IF(AI749="Monthly",EDATE(AJ749,1),IF(AI749="Quarterly",EDATE(AJ749,3),IF(AI749="Semi-Annual",EDATE(AJ749,6),""))),"")</f>
        <v/>
      </c>
      <c r="AL749">
        <f>IF(AK749&lt;&gt;"",IF(AK749&lt;TODAY(),"Overdue","Current"),"")</f>
        <v/>
      </c>
    </row>
    <row r="750">
      <c r="K750">
        <f>IF(J750="v4.0",L750,IF(J750="v3.1",M750,IF(J750="Both",L750,IF(AND(L750&lt;&gt;"",M750=""),L750,M750))))</f>
        <v/>
      </c>
      <c r="Z750">
        <f>IF(Y750&lt;&gt;"",TODAY()-Y750,"")</f>
        <v/>
      </c>
      <c r="AC750">
        <f>IF(AND(AA750&lt;&gt;"",AB750&lt;&gt;""),CHOOSE(MATCH(AA750,{"Low","Medium","High","Critical"},0),25,50,75,100)-CHOOSE(MATCH(AB750,{"Low","Medium","High","Critical"},0),25,50,75,100),"")</f>
        <v/>
      </c>
      <c r="AG750">
        <f>IF(AF750&lt;&gt;"",IF(AH750="Weekly",AF750+7,IF(AH750="Monthly",EDATE(AF750,1),IF(AH750="Quarterly",EDATE(AF750,3),""))),"")</f>
        <v/>
      </c>
      <c r="AK750">
        <f>IF(AJ750&lt;&gt;"",IF(AI750="Monthly",EDATE(AJ750,1),IF(AI750="Quarterly",EDATE(AJ750,3),IF(AI750="Semi-Annual",EDATE(AJ750,6),""))),"")</f>
        <v/>
      </c>
      <c r="AL750">
        <f>IF(AK750&lt;&gt;"",IF(AK750&lt;TODAY(),"Overdue","Current"),"")</f>
        <v/>
      </c>
    </row>
    <row r="751">
      <c r="K751">
        <f>IF(J751="v4.0",L751,IF(J751="v3.1",M751,IF(J751="Both",L751,IF(AND(L751&lt;&gt;"",M751=""),L751,M751))))</f>
        <v/>
      </c>
      <c r="Z751">
        <f>IF(Y751&lt;&gt;"",TODAY()-Y751,"")</f>
        <v/>
      </c>
      <c r="AC751">
        <f>IF(AND(AA751&lt;&gt;"",AB751&lt;&gt;""),CHOOSE(MATCH(AA751,{"Low","Medium","High","Critical"},0),25,50,75,100)-CHOOSE(MATCH(AB751,{"Low","Medium","High","Critical"},0),25,50,75,100),"")</f>
        <v/>
      </c>
      <c r="AG751">
        <f>IF(AF751&lt;&gt;"",IF(AH751="Weekly",AF751+7,IF(AH751="Monthly",EDATE(AF751,1),IF(AH751="Quarterly",EDATE(AF751,3),""))),"")</f>
        <v/>
      </c>
      <c r="AK751">
        <f>IF(AJ751&lt;&gt;"",IF(AI751="Monthly",EDATE(AJ751,1),IF(AI751="Quarterly",EDATE(AJ751,3),IF(AI751="Semi-Annual",EDATE(AJ751,6),""))),"")</f>
        <v/>
      </c>
      <c r="AL751">
        <f>IF(AK751&lt;&gt;"",IF(AK751&lt;TODAY(),"Overdue","Current"),"")</f>
        <v/>
      </c>
    </row>
    <row r="752">
      <c r="K752">
        <f>IF(J752="v4.0",L752,IF(J752="v3.1",M752,IF(J752="Both",L752,IF(AND(L752&lt;&gt;"",M752=""),L752,M752))))</f>
        <v/>
      </c>
      <c r="Z752">
        <f>IF(Y752&lt;&gt;"",TODAY()-Y752,"")</f>
        <v/>
      </c>
      <c r="AC752">
        <f>IF(AND(AA752&lt;&gt;"",AB752&lt;&gt;""),CHOOSE(MATCH(AA752,{"Low","Medium","High","Critical"},0),25,50,75,100)-CHOOSE(MATCH(AB752,{"Low","Medium","High","Critical"},0),25,50,75,100),"")</f>
        <v/>
      </c>
      <c r="AG752">
        <f>IF(AF752&lt;&gt;"",IF(AH752="Weekly",AF752+7,IF(AH752="Monthly",EDATE(AF752,1),IF(AH752="Quarterly",EDATE(AF752,3),""))),"")</f>
        <v/>
      </c>
      <c r="AK752">
        <f>IF(AJ752&lt;&gt;"",IF(AI752="Monthly",EDATE(AJ752,1),IF(AI752="Quarterly",EDATE(AJ752,3),IF(AI752="Semi-Annual",EDATE(AJ752,6),""))),"")</f>
        <v/>
      </c>
      <c r="AL752">
        <f>IF(AK752&lt;&gt;"",IF(AK752&lt;TODAY(),"Overdue","Current"),"")</f>
        <v/>
      </c>
    </row>
    <row r="753">
      <c r="K753">
        <f>IF(J753="v4.0",L753,IF(J753="v3.1",M753,IF(J753="Both",L753,IF(AND(L753&lt;&gt;"",M753=""),L753,M753))))</f>
        <v/>
      </c>
      <c r="Z753">
        <f>IF(Y753&lt;&gt;"",TODAY()-Y753,"")</f>
        <v/>
      </c>
      <c r="AC753">
        <f>IF(AND(AA753&lt;&gt;"",AB753&lt;&gt;""),CHOOSE(MATCH(AA753,{"Low","Medium","High","Critical"},0),25,50,75,100)-CHOOSE(MATCH(AB753,{"Low","Medium","High","Critical"},0),25,50,75,100),"")</f>
        <v/>
      </c>
      <c r="AG753">
        <f>IF(AF753&lt;&gt;"",IF(AH753="Weekly",AF753+7,IF(AH753="Monthly",EDATE(AF753,1),IF(AH753="Quarterly",EDATE(AF753,3),""))),"")</f>
        <v/>
      </c>
      <c r="AK753">
        <f>IF(AJ753&lt;&gt;"",IF(AI753="Monthly",EDATE(AJ753,1),IF(AI753="Quarterly",EDATE(AJ753,3),IF(AI753="Semi-Annual",EDATE(AJ753,6),""))),"")</f>
        <v/>
      </c>
      <c r="AL753">
        <f>IF(AK753&lt;&gt;"",IF(AK753&lt;TODAY(),"Overdue","Current"),"")</f>
        <v/>
      </c>
    </row>
    <row r="754">
      <c r="K754">
        <f>IF(J754="v4.0",L754,IF(J754="v3.1",M754,IF(J754="Both",L754,IF(AND(L754&lt;&gt;"",M754=""),L754,M754))))</f>
        <v/>
      </c>
      <c r="Z754">
        <f>IF(Y754&lt;&gt;"",TODAY()-Y754,"")</f>
        <v/>
      </c>
      <c r="AC754">
        <f>IF(AND(AA754&lt;&gt;"",AB754&lt;&gt;""),CHOOSE(MATCH(AA754,{"Low","Medium","High","Critical"},0),25,50,75,100)-CHOOSE(MATCH(AB754,{"Low","Medium","High","Critical"},0),25,50,75,100),"")</f>
        <v/>
      </c>
      <c r="AG754">
        <f>IF(AF754&lt;&gt;"",IF(AH754="Weekly",AF754+7,IF(AH754="Monthly",EDATE(AF754,1),IF(AH754="Quarterly",EDATE(AF754,3),""))),"")</f>
        <v/>
      </c>
      <c r="AK754">
        <f>IF(AJ754&lt;&gt;"",IF(AI754="Monthly",EDATE(AJ754,1),IF(AI754="Quarterly",EDATE(AJ754,3),IF(AI754="Semi-Annual",EDATE(AJ754,6),""))),"")</f>
        <v/>
      </c>
      <c r="AL754">
        <f>IF(AK754&lt;&gt;"",IF(AK754&lt;TODAY(),"Overdue","Current"),"")</f>
        <v/>
      </c>
    </row>
    <row r="755">
      <c r="K755">
        <f>IF(J755="v4.0",L755,IF(J755="v3.1",M755,IF(J755="Both",L755,IF(AND(L755&lt;&gt;"",M755=""),L755,M755))))</f>
        <v/>
      </c>
      <c r="Z755">
        <f>IF(Y755&lt;&gt;"",TODAY()-Y755,"")</f>
        <v/>
      </c>
      <c r="AC755">
        <f>IF(AND(AA755&lt;&gt;"",AB755&lt;&gt;""),CHOOSE(MATCH(AA755,{"Low","Medium","High","Critical"},0),25,50,75,100)-CHOOSE(MATCH(AB755,{"Low","Medium","High","Critical"},0),25,50,75,100),"")</f>
        <v/>
      </c>
      <c r="AG755">
        <f>IF(AF755&lt;&gt;"",IF(AH755="Weekly",AF755+7,IF(AH755="Monthly",EDATE(AF755,1),IF(AH755="Quarterly",EDATE(AF755,3),""))),"")</f>
        <v/>
      </c>
      <c r="AK755">
        <f>IF(AJ755&lt;&gt;"",IF(AI755="Monthly",EDATE(AJ755,1),IF(AI755="Quarterly",EDATE(AJ755,3),IF(AI755="Semi-Annual",EDATE(AJ755,6),""))),"")</f>
        <v/>
      </c>
      <c r="AL755">
        <f>IF(AK755&lt;&gt;"",IF(AK755&lt;TODAY(),"Overdue","Current"),"")</f>
        <v/>
      </c>
    </row>
    <row r="756">
      <c r="K756">
        <f>IF(J756="v4.0",L756,IF(J756="v3.1",M756,IF(J756="Both",L756,IF(AND(L756&lt;&gt;"",M756=""),L756,M756))))</f>
        <v/>
      </c>
      <c r="Z756">
        <f>IF(Y756&lt;&gt;"",TODAY()-Y756,"")</f>
        <v/>
      </c>
      <c r="AC756">
        <f>IF(AND(AA756&lt;&gt;"",AB756&lt;&gt;""),CHOOSE(MATCH(AA756,{"Low","Medium","High","Critical"},0),25,50,75,100)-CHOOSE(MATCH(AB756,{"Low","Medium","High","Critical"},0),25,50,75,100),"")</f>
        <v/>
      </c>
      <c r="AG756">
        <f>IF(AF756&lt;&gt;"",IF(AH756="Weekly",AF756+7,IF(AH756="Monthly",EDATE(AF756,1),IF(AH756="Quarterly",EDATE(AF756,3),""))),"")</f>
        <v/>
      </c>
      <c r="AK756">
        <f>IF(AJ756&lt;&gt;"",IF(AI756="Monthly",EDATE(AJ756,1),IF(AI756="Quarterly",EDATE(AJ756,3),IF(AI756="Semi-Annual",EDATE(AJ756,6),""))),"")</f>
        <v/>
      </c>
      <c r="AL756">
        <f>IF(AK756&lt;&gt;"",IF(AK756&lt;TODAY(),"Overdue","Current"),"")</f>
        <v/>
      </c>
    </row>
    <row r="757">
      <c r="K757">
        <f>IF(J757="v4.0",L757,IF(J757="v3.1",M757,IF(J757="Both",L757,IF(AND(L757&lt;&gt;"",M757=""),L757,M757))))</f>
        <v/>
      </c>
      <c r="Z757">
        <f>IF(Y757&lt;&gt;"",TODAY()-Y757,"")</f>
        <v/>
      </c>
      <c r="AC757">
        <f>IF(AND(AA757&lt;&gt;"",AB757&lt;&gt;""),CHOOSE(MATCH(AA757,{"Low","Medium","High","Critical"},0),25,50,75,100)-CHOOSE(MATCH(AB757,{"Low","Medium","High","Critical"},0),25,50,75,100),"")</f>
        <v/>
      </c>
      <c r="AG757">
        <f>IF(AF757&lt;&gt;"",IF(AH757="Weekly",AF757+7,IF(AH757="Monthly",EDATE(AF757,1),IF(AH757="Quarterly",EDATE(AF757,3),""))),"")</f>
        <v/>
      </c>
      <c r="AK757">
        <f>IF(AJ757&lt;&gt;"",IF(AI757="Monthly",EDATE(AJ757,1),IF(AI757="Quarterly",EDATE(AJ757,3),IF(AI757="Semi-Annual",EDATE(AJ757,6),""))),"")</f>
        <v/>
      </c>
      <c r="AL757">
        <f>IF(AK757&lt;&gt;"",IF(AK757&lt;TODAY(),"Overdue","Current"),"")</f>
        <v/>
      </c>
    </row>
    <row r="758">
      <c r="K758">
        <f>IF(J758="v4.0",L758,IF(J758="v3.1",M758,IF(J758="Both",L758,IF(AND(L758&lt;&gt;"",M758=""),L758,M758))))</f>
        <v/>
      </c>
      <c r="Z758">
        <f>IF(Y758&lt;&gt;"",TODAY()-Y758,"")</f>
        <v/>
      </c>
      <c r="AC758">
        <f>IF(AND(AA758&lt;&gt;"",AB758&lt;&gt;""),CHOOSE(MATCH(AA758,{"Low","Medium","High","Critical"},0),25,50,75,100)-CHOOSE(MATCH(AB758,{"Low","Medium","High","Critical"},0),25,50,75,100),"")</f>
        <v/>
      </c>
      <c r="AG758">
        <f>IF(AF758&lt;&gt;"",IF(AH758="Weekly",AF758+7,IF(AH758="Monthly",EDATE(AF758,1),IF(AH758="Quarterly",EDATE(AF758,3),""))),"")</f>
        <v/>
      </c>
      <c r="AK758">
        <f>IF(AJ758&lt;&gt;"",IF(AI758="Monthly",EDATE(AJ758,1),IF(AI758="Quarterly",EDATE(AJ758,3),IF(AI758="Semi-Annual",EDATE(AJ758,6),""))),"")</f>
        <v/>
      </c>
      <c r="AL758">
        <f>IF(AK758&lt;&gt;"",IF(AK758&lt;TODAY(),"Overdue","Current"),"")</f>
        <v/>
      </c>
    </row>
    <row r="759">
      <c r="K759">
        <f>IF(J759="v4.0",L759,IF(J759="v3.1",M759,IF(J759="Both",L759,IF(AND(L759&lt;&gt;"",M759=""),L759,M759))))</f>
        <v/>
      </c>
      <c r="Z759">
        <f>IF(Y759&lt;&gt;"",TODAY()-Y759,"")</f>
        <v/>
      </c>
      <c r="AC759">
        <f>IF(AND(AA759&lt;&gt;"",AB759&lt;&gt;""),CHOOSE(MATCH(AA759,{"Low","Medium","High","Critical"},0),25,50,75,100)-CHOOSE(MATCH(AB759,{"Low","Medium","High","Critical"},0),25,50,75,100),"")</f>
        <v/>
      </c>
      <c r="AG759">
        <f>IF(AF759&lt;&gt;"",IF(AH759="Weekly",AF759+7,IF(AH759="Monthly",EDATE(AF759,1),IF(AH759="Quarterly",EDATE(AF759,3),""))),"")</f>
        <v/>
      </c>
      <c r="AK759">
        <f>IF(AJ759&lt;&gt;"",IF(AI759="Monthly",EDATE(AJ759,1),IF(AI759="Quarterly",EDATE(AJ759,3),IF(AI759="Semi-Annual",EDATE(AJ759,6),""))),"")</f>
        <v/>
      </c>
      <c r="AL759">
        <f>IF(AK759&lt;&gt;"",IF(AK759&lt;TODAY(),"Overdue","Current"),"")</f>
        <v/>
      </c>
    </row>
    <row r="760">
      <c r="K760">
        <f>IF(J760="v4.0",L760,IF(J760="v3.1",M760,IF(J760="Both",L760,IF(AND(L760&lt;&gt;"",M760=""),L760,M760))))</f>
        <v/>
      </c>
      <c r="Z760">
        <f>IF(Y760&lt;&gt;"",TODAY()-Y760,"")</f>
        <v/>
      </c>
      <c r="AC760">
        <f>IF(AND(AA760&lt;&gt;"",AB760&lt;&gt;""),CHOOSE(MATCH(AA760,{"Low","Medium","High","Critical"},0),25,50,75,100)-CHOOSE(MATCH(AB760,{"Low","Medium","High","Critical"},0),25,50,75,100),"")</f>
        <v/>
      </c>
      <c r="AG760">
        <f>IF(AF760&lt;&gt;"",IF(AH760="Weekly",AF760+7,IF(AH760="Monthly",EDATE(AF760,1),IF(AH760="Quarterly",EDATE(AF760,3),""))),"")</f>
        <v/>
      </c>
      <c r="AK760">
        <f>IF(AJ760&lt;&gt;"",IF(AI760="Monthly",EDATE(AJ760,1),IF(AI760="Quarterly",EDATE(AJ760,3),IF(AI760="Semi-Annual",EDATE(AJ760,6),""))),"")</f>
        <v/>
      </c>
      <c r="AL760">
        <f>IF(AK760&lt;&gt;"",IF(AK760&lt;TODAY(),"Overdue","Current"),"")</f>
        <v/>
      </c>
    </row>
    <row r="761">
      <c r="K761">
        <f>IF(J761="v4.0",L761,IF(J761="v3.1",M761,IF(J761="Both",L761,IF(AND(L761&lt;&gt;"",M761=""),L761,M761))))</f>
        <v/>
      </c>
      <c r="Z761">
        <f>IF(Y761&lt;&gt;"",TODAY()-Y761,"")</f>
        <v/>
      </c>
      <c r="AC761">
        <f>IF(AND(AA761&lt;&gt;"",AB761&lt;&gt;""),CHOOSE(MATCH(AA761,{"Low","Medium","High","Critical"},0),25,50,75,100)-CHOOSE(MATCH(AB761,{"Low","Medium","High","Critical"},0),25,50,75,100),"")</f>
        <v/>
      </c>
      <c r="AG761">
        <f>IF(AF761&lt;&gt;"",IF(AH761="Weekly",AF761+7,IF(AH761="Monthly",EDATE(AF761,1),IF(AH761="Quarterly",EDATE(AF761,3),""))),"")</f>
        <v/>
      </c>
      <c r="AK761">
        <f>IF(AJ761&lt;&gt;"",IF(AI761="Monthly",EDATE(AJ761,1),IF(AI761="Quarterly",EDATE(AJ761,3),IF(AI761="Semi-Annual",EDATE(AJ761,6),""))),"")</f>
        <v/>
      </c>
      <c r="AL761">
        <f>IF(AK761&lt;&gt;"",IF(AK761&lt;TODAY(),"Overdue","Current"),"")</f>
        <v/>
      </c>
    </row>
    <row r="762">
      <c r="K762">
        <f>IF(J762="v4.0",L762,IF(J762="v3.1",M762,IF(J762="Both",L762,IF(AND(L762&lt;&gt;"",M762=""),L762,M762))))</f>
        <v/>
      </c>
      <c r="Z762">
        <f>IF(Y762&lt;&gt;"",TODAY()-Y762,"")</f>
        <v/>
      </c>
      <c r="AC762">
        <f>IF(AND(AA762&lt;&gt;"",AB762&lt;&gt;""),CHOOSE(MATCH(AA762,{"Low","Medium","High","Critical"},0),25,50,75,100)-CHOOSE(MATCH(AB762,{"Low","Medium","High","Critical"},0),25,50,75,100),"")</f>
        <v/>
      </c>
      <c r="AG762">
        <f>IF(AF762&lt;&gt;"",IF(AH762="Weekly",AF762+7,IF(AH762="Monthly",EDATE(AF762,1),IF(AH762="Quarterly",EDATE(AF762,3),""))),"")</f>
        <v/>
      </c>
      <c r="AK762">
        <f>IF(AJ762&lt;&gt;"",IF(AI762="Monthly",EDATE(AJ762,1),IF(AI762="Quarterly",EDATE(AJ762,3),IF(AI762="Semi-Annual",EDATE(AJ762,6),""))),"")</f>
        <v/>
      </c>
      <c r="AL762">
        <f>IF(AK762&lt;&gt;"",IF(AK762&lt;TODAY(),"Overdue","Current"),"")</f>
        <v/>
      </c>
    </row>
    <row r="763">
      <c r="K763">
        <f>IF(J763="v4.0",L763,IF(J763="v3.1",M763,IF(J763="Both",L763,IF(AND(L763&lt;&gt;"",M763=""),L763,M763))))</f>
        <v/>
      </c>
      <c r="Z763">
        <f>IF(Y763&lt;&gt;"",TODAY()-Y763,"")</f>
        <v/>
      </c>
      <c r="AC763">
        <f>IF(AND(AA763&lt;&gt;"",AB763&lt;&gt;""),CHOOSE(MATCH(AA763,{"Low","Medium","High","Critical"},0),25,50,75,100)-CHOOSE(MATCH(AB763,{"Low","Medium","High","Critical"},0),25,50,75,100),"")</f>
        <v/>
      </c>
      <c r="AG763">
        <f>IF(AF763&lt;&gt;"",IF(AH763="Weekly",AF763+7,IF(AH763="Monthly",EDATE(AF763,1),IF(AH763="Quarterly",EDATE(AF763,3),""))),"")</f>
        <v/>
      </c>
      <c r="AK763">
        <f>IF(AJ763&lt;&gt;"",IF(AI763="Monthly",EDATE(AJ763,1),IF(AI763="Quarterly",EDATE(AJ763,3),IF(AI763="Semi-Annual",EDATE(AJ763,6),""))),"")</f>
        <v/>
      </c>
      <c r="AL763">
        <f>IF(AK763&lt;&gt;"",IF(AK763&lt;TODAY(),"Overdue","Current"),"")</f>
        <v/>
      </c>
    </row>
    <row r="764">
      <c r="K764">
        <f>IF(J764="v4.0",L764,IF(J764="v3.1",M764,IF(J764="Both",L764,IF(AND(L764&lt;&gt;"",M764=""),L764,M764))))</f>
        <v/>
      </c>
      <c r="Z764">
        <f>IF(Y764&lt;&gt;"",TODAY()-Y764,"")</f>
        <v/>
      </c>
      <c r="AC764">
        <f>IF(AND(AA764&lt;&gt;"",AB764&lt;&gt;""),CHOOSE(MATCH(AA764,{"Low","Medium","High","Critical"},0),25,50,75,100)-CHOOSE(MATCH(AB764,{"Low","Medium","High","Critical"},0),25,50,75,100),"")</f>
        <v/>
      </c>
      <c r="AG764">
        <f>IF(AF764&lt;&gt;"",IF(AH764="Weekly",AF764+7,IF(AH764="Monthly",EDATE(AF764,1),IF(AH764="Quarterly",EDATE(AF764,3),""))),"")</f>
        <v/>
      </c>
      <c r="AK764">
        <f>IF(AJ764&lt;&gt;"",IF(AI764="Monthly",EDATE(AJ764,1),IF(AI764="Quarterly",EDATE(AJ764,3),IF(AI764="Semi-Annual",EDATE(AJ764,6),""))),"")</f>
        <v/>
      </c>
      <c r="AL764">
        <f>IF(AK764&lt;&gt;"",IF(AK764&lt;TODAY(),"Overdue","Current"),"")</f>
        <v/>
      </c>
    </row>
    <row r="765">
      <c r="K765">
        <f>IF(J765="v4.0",L765,IF(J765="v3.1",M765,IF(J765="Both",L765,IF(AND(L765&lt;&gt;"",M765=""),L765,M765))))</f>
        <v/>
      </c>
      <c r="Z765">
        <f>IF(Y765&lt;&gt;"",TODAY()-Y765,"")</f>
        <v/>
      </c>
      <c r="AC765">
        <f>IF(AND(AA765&lt;&gt;"",AB765&lt;&gt;""),CHOOSE(MATCH(AA765,{"Low","Medium","High","Critical"},0),25,50,75,100)-CHOOSE(MATCH(AB765,{"Low","Medium","High","Critical"},0),25,50,75,100),"")</f>
        <v/>
      </c>
      <c r="AG765">
        <f>IF(AF765&lt;&gt;"",IF(AH765="Weekly",AF765+7,IF(AH765="Monthly",EDATE(AF765,1),IF(AH765="Quarterly",EDATE(AF765,3),""))),"")</f>
        <v/>
      </c>
      <c r="AK765">
        <f>IF(AJ765&lt;&gt;"",IF(AI765="Monthly",EDATE(AJ765,1),IF(AI765="Quarterly",EDATE(AJ765,3),IF(AI765="Semi-Annual",EDATE(AJ765,6),""))),"")</f>
        <v/>
      </c>
      <c r="AL765">
        <f>IF(AK765&lt;&gt;"",IF(AK765&lt;TODAY(),"Overdue","Current"),"")</f>
        <v/>
      </c>
    </row>
    <row r="766">
      <c r="K766">
        <f>IF(J766="v4.0",L766,IF(J766="v3.1",M766,IF(J766="Both",L766,IF(AND(L766&lt;&gt;"",M766=""),L766,M766))))</f>
        <v/>
      </c>
      <c r="Z766">
        <f>IF(Y766&lt;&gt;"",TODAY()-Y766,"")</f>
        <v/>
      </c>
      <c r="AC766">
        <f>IF(AND(AA766&lt;&gt;"",AB766&lt;&gt;""),CHOOSE(MATCH(AA766,{"Low","Medium","High","Critical"},0),25,50,75,100)-CHOOSE(MATCH(AB766,{"Low","Medium","High","Critical"},0),25,50,75,100),"")</f>
        <v/>
      </c>
      <c r="AG766">
        <f>IF(AF766&lt;&gt;"",IF(AH766="Weekly",AF766+7,IF(AH766="Monthly",EDATE(AF766,1),IF(AH766="Quarterly",EDATE(AF766,3),""))),"")</f>
        <v/>
      </c>
      <c r="AK766">
        <f>IF(AJ766&lt;&gt;"",IF(AI766="Monthly",EDATE(AJ766,1),IF(AI766="Quarterly",EDATE(AJ766,3),IF(AI766="Semi-Annual",EDATE(AJ766,6),""))),"")</f>
        <v/>
      </c>
      <c r="AL766">
        <f>IF(AK766&lt;&gt;"",IF(AK766&lt;TODAY(),"Overdue","Current"),"")</f>
        <v/>
      </c>
    </row>
    <row r="767">
      <c r="K767">
        <f>IF(J767="v4.0",L767,IF(J767="v3.1",M767,IF(J767="Both",L767,IF(AND(L767&lt;&gt;"",M767=""),L767,M767))))</f>
        <v/>
      </c>
      <c r="Z767">
        <f>IF(Y767&lt;&gt;"",TODAY()-Y767,"")</f>
        <v/>
      </c>
      <c r="AC767">
        <f>IF(AND(AA767&lt;&gt;"",AB767&lt;&gt;""),CHOOSE(MATCH(AA767,{"Low","Medium","High","Critical"},0),25,50,75,100)-CHOOSE(MATCH(AB767,{"Low","Medium","High","Critical"},0),25,50,75,100),"")</f>
        <v/>
      </c>
      <c r="AG767">
        <f>IF(AF767&lt;&gt;"",IF(AH767="Weekly",AF767+7,IF(AH767="Monthly",EDATE(AF767,1),IF(AH767="Quarterly",EDATE(AF767,3),""))),"")</f>
        <v/>
      </c>
      <c r="AK767">
        <f>IF(AJ767&lt;&gt;"",IF(AI767="Monthly",EDATE(AJ767,1),IF(AI767="Quarterly",EDATE(AJ767,3),IF(AI767="Semi-Annual",EDATE(AJ767,6),""))),"")</f>
        <v/>
      </c>
      <c r="AL767">
        <f>IF(AK767&lt;&gt;"",IF(AK767&lt;TODAY(),"Overdue","Current"),"")</f>
        <v/>
      </c>
    </row>
    <row r="768">
      <c r="K768">
        <f>IF(J768="v4.0",L768,IF(J768="v3.1",M768,IF(J768="Both",L768,IF(AND(L768&lt;&gt;"",M768=""),L768,M768))))</f>
        <v/>
      </c>
      <c r="Z768">
        <f>IF(Y768&lt;&gt;"",TODAY()-Y768,"")</f>
        <v/>
      </c>
      <c r="AC768">
        <f>IF(AND(AA768&lt;&gt;"",AB768&lt;&gt;""),CHOOSE(MATCH(AA768,{"Low","Medium","High","Critical"},0),25,50,75,100)-CHOOSE(MATCH(AB768,{"Low","Medium","High","Critical"},0),25,50,75,100),"")</f>
        <v/>
      </c>
      <c r="AG768">
        <f>IF(AF768&lt;&gt;"",IF(AH768="Weekly",AF768+7,IF(AH768="Monthly",EDATE(AF768,1),IF(AH768="Quarterly",EDATE(AF768,3),""))),"")</f>
        <v/>
      </c>
      <c r="AK768">
        <f>IF(AJ768&lt;&gt;"",IF(AI768="Monthly",EDATE(AJ768,1),IF(AI768="Quarterly",EDATE(AJ768,3),IF(AI768="Semi-Annual",EDATE(AJ768,6),""))),"")</f>
        <v/>
      </c>
      <c r="AL768">
        <f>IF(AK768&lt;&gt;"",IF(AK768&lt;TODAY(),"Overdue","Current"),"")</f>
        <v/>
      </c>
    </row>
    <row r="769">
      <c r="K769">
        <f>IF(J769="v4.0",L769,IF(J769="v3.1",M769,IF(J769="Both",L769,IF(AND(L769&lt;&gt;"",M769=""),L769,M769))))</f>
        <v/>
      </c>
      <c r="Z769">
        <f>IF(Y769&lt;&gt;"",TODAY()-Y769,"")</f>
        <v/>
      </c>
      <c r="AC769">
        <f>IF(AND(AA769&lt;&gt;"",AB769&lt;&gt;""),CHOOSE(MATCH(AA769,{"Low","Medium","High","Critical"},0),25,50,75,100)-CHOOSE(MATCH(AB769,{"Low","Medium","High","Critical"},0),25,50,75,100),"")</f>
        <v/>
      </c>
      <c r="AG769">
        <f>IF(AF769&lt;&gt;"",IF(AH769="Weekly",AF769+7,IF(AH769="Monthly",EDATE(AF769,1),IF(AH769="Quarterly",EDATE(AF769,3),""))),"")</f>
        <v/>
      </c>
      <c r="AK769">
        <f>IF(AJ769&lt;&gt;"",IF(AI769="Monthly",EDATE(AJ769,1),IF(AI769="Quarterly",EDATE(AJ769,3),IF(AI769="Semi-Annual",EDATE(AJ769,6),""))),"")</f>
        <v/>
      </c>
      <c r="AL769">
        <f>IF(AK769&lt;&gt;"",IF(AK769&lt;TODAY(),"Overdue","Current"),"")</f>
        <v/>
      </c>
    </row>
    <row r="770">
      <c r="K770">
        <f>IF(J770="v4.0",L770,IF(J770="v3.1",M770,IF(J770="Both",L770,IF(AND(L770&lt;&gt;"",M770=""),L770,M770))))</f>
        <v/>
      </c>
      <c r="Z770">
        <f>IF(Y770&lt;&gt;"",TODAY()-Y770,"")</f>
        <v/>
      </c>
      <c r="AC770">
        <f>IF(AND(AA770&lt;&gt;"",AB770&lt;&gt;""),CHOOSE(MATCH(AA770,{"Low","Medium","High","Critical"},0),25,50,75,100)-CHOOSE(MATCH(AB770,{"Low","Medium","High","Critical"},0),25,50,75,100),"")</f>
        <v/>
      </c>
      <c r="AG770">
        <f>IF(AF770&lt;&gt;"",IF(AH770="Weekly",AF770+7,IF(AH770="Monthly",EDATE(AF770,1),IF(AH770="Quarterly",EDATE(AF770,3),""))),"")</f>
        <v/>
      </c>
      <c r="AK770">
        <f>IF(AJ770&lt;&gt;"",IF(AI770="Monthly",EDATE(AJ770,1),IF(AI770="Quarterly",EDATE(AJ770,3),IF(AI770="Semi-Annual",EDATE(AJ770,6),""))),"")</f>
        <v/>
      </c>
      <c r="AL770">
        <f>IF(AK770&lt;&gt;"",IF(AK770&lt;TODAY(),"Overdue","Current"),"")</f>
        <v/>
      </c>
    </row>
    <row r="771">
      <c r="K771">
        <f>IF(J771="v4.0",L771,IF(J771="v3.1",M771,IF(J771="Both",L771,IF(AND(L771&lt;&gt;"",M771=""),L771,M771))))</f>
        <v/>
      </c>
      <c r="Z771">
        <f>IF(Y771&lt;&gt;"",TODAY()-Y771,"")</f>
        <v/>
      </c>
      <c r="AC771">
        <f>IF(AND(AA771&lt;&gt;"",AB771&lt;&gt;""),CHOOSE(MATCH(AA771,{"Low","Medium","High","Critical"},0),25,50,75,100)-CHOOSE(MATCH(AB771,{"Low","Medium","High","Critical"},0),25,50,75,100),"")</f>
        <v/>
      </c>
      <c r="AG771">
        <f>IF(AF771&lt;&gt;"",IF(AH771="Weekly",AF771+7,IF(AH771="Monthly",EDATE(AF771,1),IF(AH771="Quarterly",EDATE(AF771,3),""))),"")</f>
        <v/>
      </c>
      <c r="AK771">
        <f>IF(AJ771&lt;&gt;"",IF(AI771="Monthly",EDATE(AJ771,1),IF(AI771="Quarterly",EDATE(AJ771,3),IF(AI771="Semi-Annual",EDATE(AJ771,6),""))),"")</f>
        <v/>
      </c>
      <c r="AL771">
        <f>IF(AK771&lt;&gt;"",IF(AK771&lt;TODAY(),"Overdue","Current"),"")</f>
        <v/>
      </c>
    </row>
    <row r="772">
      <c r="K772">
        <f>IF(J772="v4.0",L772,IF(J772="v3.1",M772,IF(J772="Both",L772,IF(AND(L772&lt;&gt;"",M772=""),L772,M772))))</f>
        <v/>
      </c>
      <c r="Z772">
        <f>IF(Y772&lt;&gt;"",TODAY()-Y772,"")</f>
        <v/>
      </c>
      <c r="AC772">
        <f>IF(AND(AA772&lt;&gt;"",AB772&lt;&gt;""),CHOOSE(MATCH(AA772,{"Low","Medium","High","Critical"},0),25,50,75,100)-CHOOSE(MATCH(AB772,{"Low","Medium","High","Critical"},0),25,50,75,100),"")</f>
        <v/>
      </c>
      <c r="AG772">
        <f>IF(AF772&lt;&gt;"",IF(AH772="Weekly",AF772+7,IF(AH772="Monthly",EDATE(AF772,1),IF(AH772="Quarterly",EDATE(AF772,3),""))),"")</f>
        <v/>
      </c>
      <c r="AK772">
        <f>IF(AJ772&lt;&gt;"",IF(AI772="Monthly",EDATE(AJ772,1),IF(AI772="Quarterly",EDATE(AJ772,3),IF(AI772="Semi-Annual",EDATE(AJ772,6),""))),"")</f>
        <v/>
      </c>
      <c r="AL772">
        <f>IF(AK772&lt;&gt;"",IF(AK772&lt;TODAY(),"Overdue","Current"),"")</f>
        <v/>
      </c>
    </row>
    <row r="773">
      <c r="K773">
        <f>IF(J773="v4.0",L773,IF(J773="v3.1",M773,IF(J773="Both",L773,IF(AND(L773&lt;&gt;"",M773=""),L773,M773))))</f>
        <v/>
      </c>
      <c r="Z773">
        <f>IF(Y773&lt;&gt;"",TODAY()-Y773,"")</f>
        <v/>
      </c>
      <c r="AC773">
        <f>IF(AND(AA773&lt;&gt;"",AB773&lt;&gt;""),CHOOSE(MATCH(AA773,{"Low","Medium","High","Critical"},0),25,50,75,100)-CHOOSE(MATCH(AB773,{"Low","Medium","High","Critical"},0),25,50,75,100),"")</f>
        <v/>
      </c>
      <c r="AG773">
        <f>IF(AF773&lt;&gt;"",IF(AH773="Weekly",AF773+7,IF(AH773="Monthly",EDATE(AF773,1),IF(AH773="Quarterly",EDATE(AF773,3),""))),"")</f>
        <v/>
      </c>
      <c r="AK773">
        <f>IF(AJ773&lt;&gt;"",IF(AI773="Monthly",EDATE(AJ773,1),IF(AI773="Quarterly",EDATE(AJ773,3),IF(AI773="Semi-Annual",EDATE(AJ773,6),""))),"")</f>
        <v/>
      </c>
      <c r="AL773">
        <f>IF(AK773&lt;&gt;"",IF(AK773&lt;TODAY(),"Overdue","Current"),"")</f>
        <v/>
      </c>
    </row>
    <row r="774">
      <c r="K774">
        <f>IF(J774="v4.0",L774,IF(J774="v3.1",M774,IF(J774="Both",L774,IF(AND(L774&lt;&gt;"",M774=""),L774,M774))))</f>
        <v/>
      </c>
      <c r="Z774">
        <f>IF(Y774&lt;&gt;"",TODAY()-Y774,"")</f>
        <v/>
      </c>
      <c r="AC774">
        <f>IF(AND(AA774&lt;&gt;"",AB774&lt;&gt;""),CHOOSE(MATCH(AA774,{"Low","Medium","High","Critical"},0),25,50,75,100)-CHOOSE(MATCH(AB774,{"Low","Medium","High","Critical"},0),25,50,75,100),"")</f>
        <v/>
      </c>
      <c r="AG774">
        <f>IF(AF774&lt;&gt;"",IF(AH774="Weekly",AF774+7,IF(AH774="Monthly",EDATE(AF774,1),IF(AH774="Quarterly",EDATE(AF774,3),""))),"")</f>
        <v/>
      </c>
      <c r="AK774">
        <f>IF(AJ774&lt;&gt;"",IF(AI774="Monthly",EDATE(AJ774,1),IF(AI774="Quarterly",EDATE(AJ774,3),IF(AI774="Semi-Annual",EDATE(AJ774,6),""))),"")</f>
        <v/>
      </c>
      <c r="AL774">
        <f>IF(AK774&lt;&gt;"",IF(AK774&lt;TODAY(),"Overdue","Current"),"")</f>
        <v/>
      </c>
    </row>
    <row r="775">
      <c r="K775">
        <f>IF(J775="v4.0",L775,IF(J775="v3.1",M775,IF(J775="Both",L775,IF(AND(L775&lt;&gt;"",M775=""),L775,M775))))</f>
        <v/>
      </c>
      <c r="Z775">
        <f>IF(Y775&lt;&gt;"",TODAY()-Y775,"")</f>
        <v/>
      </c>
      <c r="AC775">
        <f>IF(AND(AA775&lt;&gt;"",AB775&lt;&gt;""),CHOOSE(MATCH(AA775,{"Low","Medium","High","Critical"},0),25,50,75,100)-CHOOSE(MATCH(AB775,{"Low","Medium","High","Critical"},0),25,50,75,100),"")</f>
        <v/>
      </c>
      <c r="AG775">
        <f>IF(AF775&lt;&gt;"",IF(AH775="Weekly",AF775+7,IF(AH775="Monthly",EDATE(AF775,1),IF(AH775="Quarterly",EDATE(AF775,3),""))),"")</f>
        <v/>
      </c>
      <c r="AK775">
        <f>IF(AJ775&lt;&gt;"",IF(AI775="Monthly",EDATE(AJ775,1),IF(AI775="Quarterly",EDATE(AJ775,3),IF(AI775="Semi-Annual",EDATE(AJ775,6),""))),"")</f>
        <v/>
      </c>
      <c r="AL775">
        <f>IF(AK775&lt;&gt;"",IF(AK775&lt;TODAY(),"Overdue","Current"),"")</f>
        <v/>
      </c>
    </row>
    <row r="776">
      <c r="K776">
        <f>IF(J776="v4.0",L776,IF(J776="v3.1",M776,IF(J776="Both",L776,IF(AND(L776&lt;&gt;"",M776=""),L776,M776))))</f>
        <v/>
      </c>
      <c r="Z776">
        <f>IF(Y776&lt;&gt;"",TODAY()-Y776,"")</f>
        <v/>
      </c>
      <c r="AC776">
        <f>IF(AND(AA776&lt;&gt;"",AB776&lt;&gt;""),CHOOSE(MATCH(AA776,{"Low","Medium","High","Critical"},0),25,50,75,100)-CHOOSE(MATCH(AB776,{"Low","Medium","High","Critical"},0),25,50,75,100),"")</f>
        <v/>
      </c>
      <c r="AG776">
        <f>IF(AF776&lt;&gt;"",IF(AH776="Weekly",AF776+7,IF(AH776="Monthly",EDATE(AF776,1),IF(AH776="Quarterly",EDATE(AF776,3),""))),"")</f>
        <v/>
      </c>
      <c r="AK776">
        <f>IF(AJ776&lt;&gt;"",IF(AI776="Monthly",EDATE(AJ776,1),IF(AI776="Quarterly",EDATE(AJ776,3),IF(AI776="Semi-Annual",EDATE(AJ776,6),""))),"")</f>
        <v/>
      </c>
      <c r="AL776">
        <f>IF(AK776&lt;&gt;"",IF(AK776&lt;TODAY(),"Overdue","Current"),"")</f>
        <v/>
      </c>
    </row>
    <row r="777">
      <c r="K777">
        <f>IF(J777="v4.0",L777,IF(J777="v3.1",M777,IF(J777="Both",L777,IF(AND(L777&lt;&gt;"",M777=""),L777,M777))))</f>
        <v/>
      </c>
      <c r="Z777">
        <f>IF(Y777&lt;&gt;"",TODAY()-Y777,"")</f>
        <v/>
      </c>
      <c r="AC777">
        <f>IF(AND(AA777&lt;&gt;"",AB777&lt;&gt;""),CHOOSE(MATCH(AA777,{"Low","Medium","High","Critical"},0),25,50,75,100)-CHOOSE(MATCH(AB777,{"Low","Medium","High","Critical"},0),25,50,75,100),"")</f>
        <v/>
      </c>
      <c r="AG777">
        <f>IF(AF777&lt;&gt;"",IF(AH777="Weekly",AF777+7,IF(AH777="Monthly",EDATE(AF777,1),IF(AH777="Quarterly",EDATE(AF777,3),""))),"")</f>
        <v/>
      </c>
      <c r="AK777">
        <f>IF(AJ777&lt;&gt;"",IF(AI777="Monthly",EDATE(AJ777,1),IF(AI777="Quarterly",EDATE(AJ777,3),IF(AI777="Semi-Annual",EDATE(AJ777,6),""))),"")</f>
        <v/>
      </c>
      <c r="AL777">
        <f>IF(AK777&lt;&gt;"",IF(AK777&lt;TODAY(),"Overdue","Current"),"")</f>
        <v/>
      </c>
    </row>
    <row r="778">
      <c r="K778">
        <f>IF(J778="v4.0",L778,IF(J778="v3.1",M778,IF(J778="Both",L778,IF(AND(L778&lt;&gt;"",M778=""),L778,M778))))</f>
        <v/>
      </c>
      <c r="Z778">
        <f>IF(Y778&lt;&gt;"",TODAY()-Y778,"")</f>
        <v/>
      </c>
      <c r="AC778">
        <f>IF(AND(AA778&lt;&gt;"",AB778&lt;&gt;""),CHOOSE(MATCH(AA778,{"Low","Medium","High","Critical"},0),25,50,75,100)-CHOOSE(MATCH(AB778,{"Low","Medium","High","Critical"},0),25,50,75,100),"")</f>
        <v/>
      </c>
      <c r="AG778">
        <f>IF(AF778&lt;&gt;"",IF(AH778="Weekly",AF778+7,IF(AH778="Monthly",EDATE(AF778,1),IF(AH778="Quarterly",EDATE(AF778,3),""))),"")</f>
        <v/>
      </c>
      <c r="AK778">
        <f>IF(AJ778&lt;&gt;"",IF(AI778="Monthly",EDATE(AJ778,1),IF(AI778="Quarterly",EDATE(AJ778,3),IF(AI778="Semi-Annual",EDATE(AJ778,6),""))),"")</f>
        <v/>
      </c>
      <c r="AL778">
        <f>IF(AK778&lt;&gt;"",IF(AK778&lt;TODAY(),"Overdue","Current"),"")</f>
        <v/>
      </c>
    </row>
    <row r="779">
      <c r="K779">
        <f>IF(J779="v4.0",L779,IF(J779="v3.1",M779,IF(J779="Both",L779,IF(AND(L779&lt;&gt;"",M779=""),L779,M779))))</f>
        <v/>
      </c>
      <c r="Z779">
        <f>IF(Y779&lt;&gt;"",TODAY()-Y779,"")</f>
        <v/>
      </c>
      <c r="AC779">
        <f>IF(AND(AA779&lt;&gt;"",AB779&lt;&gt;""),CHOOSE(MATCH(AA779,{"Low","Medium","High","Critical"},0),25,50,75,100)-CHOOSE(MATCH(AB779,{"Low","Medium","High","Critical"},0),25,50,75,100),"")</f>
        <v/>
      </c>
      <c r="AG779">
        <f>IF(AF779&lt;&gt;"",IF(AH779="Weekly",AF779+7,IF(AH779="Monthly",EDATE(AF779,1),IF(AH779="Quarterly",EDATE(AF779,3),""))),"")</f>
        <v/>
      </c>
      <c r="AK779">
        <f>IF(AJ779&lt;&gt;"",IF(AI779="Monthly",EDATE(AJ779,1),IF(AI779="Quarterly",EDATE(AJ779,3),IF(AI779="Semi-Annual",EDATE(AJ779,6),""))),"")</f>
        <v/>
      </c>
      <c r="AL779">
        <f>IF(AK779&lt;&gt;"",IF(AK779&lt;TODAY(),"Overdue","Current"),"")</f>
        <v/>
      </c>
    </row>
    <row r="780">
      <c r="K780">
        <f>IF(J780="v4.0",L780,IF(J780="v3.1",M780,IF(J780="Both",L780,IF(AND(L780&lt;&gt;"",M780=""),L780,M780))))</f>
        <v/>
      </c>
      <c r="Z780">
        <f>IF(Y780&lt;&gt;"",TODAY()-Y780,"")</f>
        <v/>
      </c>
      <c r="AC780">
        <f>IF(AND(AA780&lt;&gt;"",AB780&lt;&gt;""),CHOOSE(MATCH(AA780,{"Low","Medium","High","Critical"},0),25,50,75,100)-CHOOSE(MATCH(AB780,{"Low","Medium","High","Critical"},0),25,50,75,100),"")</f>
        <v/>
      </c>
      <c r="AG780">
        <f>IF(AF780&lt;&gt;"",IF(AH780="Weekly",AF780+7,IF(AH780="Monthly",EDATE(AF780,1),IF(AH780="Quarterly",EDATE(AF780,3),""))),"")</f>
        <v/>
      </c>
      <c r="AK780">
        <f>IF(AJ780&lt;&gt;"",IF(AI780="Monthly",EDATE(AJ780,1),IF(AI780="Quarterly",EDATE(AJ780,3),IF(AI780="Semi-Annual",EDATE(AJ780,6),""))),"")</f>
        <v/>
      </c>
      <c r="AL780">
        <f>IF(AK780&lt;&gt;"",IF(AK780&lt;TODAY(),"Overdue","Current"),"")</f>
        <v/>
      </c>
    </row>
    <row r="781">
      <c r="K781">
        <f>IF(J781="v4.0",L781,IF(J781="v3.1",M781,IF(J781="Both",L781,IF(AND(L781&lt;&gt;"",M781=""),L781,M781))))</f>
        <v/>
      </c>
      <c r="Z781">
        <f>IF(Y781&lt;&gt;"",TODAY()-Y781,"")</f>
        <v/>
      </c>
      <c r="AC781">
        <f>IF(AND(AA781&lt;&gt;"",AB781&lt;&gt;""),CHOOSE(MATCH(AA781,{"Low","Medium","High","Critical"},0),25,50,75,100)-CHOOSE(MATCH(AB781,{"Low","Medium","High","Critical"},0),25,50,75,100),"")</f>
        <v/>
      </c>
      <c r="AG781">
        <f>IF(AF781&lt;&gt;"",IF(AH781="Weekly",AF781+7,IF(AH781="Monthly",EDATE(AF781,1),IF(AH781="Quarterly",EDATE(AF781,3),""))),"")</f>
        <v/>
      </c>
      <c r="AK781">
        <f>IF(AJ781&lt;&gt;"",IF(AI781="Monthly",EDATE(AJ781,1),IF(AI781="Quarterly",EDATE(AJ781,3),IF(AI781="Semi-Annual",EDATE(AJ781,6),""))),"")</f>
        <v/>
      </c>
      <c r="AL781">
        <f>IF(AK781&lt;&gt;"",IF(AK781&lt;TODAY(),"Overdue","Current"),"")</f>
        <v/>
      </c>
    </row>
    <row r="782">
      <c r="K782">
        <f>IF(J782="v4.0",L782,IF(J782="v3.1",M782,IF(J782="Both",L782,IF(AND(L782&lt;&gt;"",M782=""),L782,M782))))</f>
        <v/>
      </c>
      <c r="Z782">
        <f>IF(Y782&lt;&gt;"",TODAY()-Y782,"")</f>
        <v/>
      </c>
      <c r="AC782">
        <f>IF(AND(AA782&lt;&gt;"",AB782&lt;&gt;""),CHOOSE(MATCH(AA782,{"Low","Medium","High","Critical"},0),25,50,75,100)-CHOOSE(MATCH(AB782,{"Low","Medium","High","Critical"},0),25,50,75,100),"")</f>
        <v/>
      </c>
      <c r="AG782">
        <f>IF(AF782&lt;&gt;"",IF(AH782="Weekly",AF782+7,IF(AH782="Monthly",EDATE(AF782,1),IF(AH782="Quarterly",EDATE(AF782,3),""))),"")</f>
        <v/>
      </c>
      <c r="AK782">
        <f>IF(AJ782&lt;&gt;"",IF(AI782="Monthly",EDATE(AJ782,1),IF(AI782="Quarterly",EDATE(AJ782,3),IF(AI782="Semi-Annual",EDATE(AJ782,6),""))),"")</f>
        <v/>
      </c>
      <c r="AL782">
        <f>IF(AK782&lt;&gt;"",IF(AK782&lt;TODAY(),"Overdue","Current"),"")</f>
        <v/>
      </c>
    </row>
    <row r="783">
      <c r="K783">
        <f>IF(J783="v4.0",L783,IF(J783="v3.1",M783,IF(J783="Both",L783,IF(AND(L783&lt;&gt;"",M783=""),L783,M783))))</f>
        <v/>
      </c>
      <c r="Z783">
        <f>IF(Y783&lt;&gt;"",TODAY()-Y783,"")</f>
        <v/>
      </c>
      <c r="AC783">
        <f>IF(AND(AA783&lt;&gt;"",AB783&lt;&gt;""),CHOOSE(MATCH(AA783,{"Low","Medium","High","Critical"},0),25,50,75,100)-CHOOSE(MATCH(AB783,{"Low","Medium","High","Critical"},0),25,50,75,100),"")</f>
        <v/>
      </c>
      <c r="AG783">
        <f>IF(AF783&lt;&gt;"",IF(AH783="Weekly",AF783+7,IF(AH783="Monthly",EDATE(AF783,1),IF(AH783="Quarterly",EDATE(AF783,3),""))),"")</f>
        <v/>
      </c>
      <c r="AK783">
        <f>IF(AJ783&lt;&gt;"",IF(AI783="Monthly",EDATE(AJ783,1),IF(AI783="Quarterly",EDATE(AJ783,3),IF(AI783="Semi-Annual",EDATE(AJ783,6),""))),"")</f>
        <v/>
      </c>
      <c r="AL783">
        <f>IF(AK783&lt;&gt;"",IF(AK783&lt;TODAY(),"Overdue","Current"),"")</f>
        <v/>
      </c>
    </row>
    <row r="784">
      <c r="K784">
        <f>IF(J784="v4.0",L784,IF(J784="v3.1",M784,IF(J784="Both",L784,IF(AND(L784&lt;&gt;"",M784=""),L784,M784))))</f>
        <v/>
      </c>
      <c r="Z784">
        <f>IF(Y784&lt;&gt;"",TODAY()-Y784,"")</f>
        <v/>
      </c>
      <c r="AC784">
        <f>IF(AND(AA784&lt;&gt;"",AB784&lt;&gt;""),CHOOSE(MATCH(AA784,{"Low","Medium","High","Critical"},0),25,50,75,100)-CHOOSE(MATCH(AB784,{"Low","Medium","High","Critical"},0),25,50,75,100),"")</f>
        <v/>
      </c>
      <c r="AG784">
        <f>IF(AF784&lt;&gt;"",IF(AH784="Weekly",AF784+7,IF(AH784="Monthly",EDATE(AF784,1),IF(AH784="Quarterly",EDATE(AF784,3),""))),"")</f>
        <v/>
      </c>
      <c r="AK784">
        <f>IF(AJ784&lt;&gt;"",IF(AI784="Monthly",EDATE(AJ784,1),IF(AI784="Quarterly",EDATE(AJ784,3),IF(AI784="Semi-Annual",EDATE(AJ784,6),""))),"")</f>
        <v/>
      </c>
      <c r="AL784">
        <f>IF(AK784&lt;&gt;"",IF(AK784&lt;TODAY(),"Overdue","Current"),"")</f>
        <v/>
      </c>
    </row>
    <row r="785">
      <c r="K785">
        <f>IF(J785="v4.0",L785,IF(J785="v3.1",M785,IF(J785="Both",L785,IF(AND(L785&lt;&gt;"",M785=""),L785,M785))))</f>
        <v/>
      </c>
      <c r="Z785">
        <f>IF(Y785&lt;&gt;"",TODAY()-Y785,"")</f>
        <v/>
      </c>
      <c r="AC785">
        <f>IF(AND(AA785&lt;&gt;"",AB785&lt;&gt;""),CHOOSE(MATCH(AA785,{"Low","Medium","High","Critical"},0),25,50,75,100)-CHOOSE(MATCH(AB785,{"Low","Medium","High","Critical"},0),25,50,75,100),"")</f>
        <v/>
      </c>
      <c r="AG785">
        <f>IF(AF785&lt;&gt;"",IF(AH785="Weekly",AF785+7,IF(AH785="Monthly",EDATE(AF785,1),IF(AH785="Quarterly",EDATE(AF785,3),""))),"")</f>
        <v/>
      </c>
      <c r="AK785">
        <f>IF(AJ785&lt;&gt;"",IF(AI785="Monthly",EDATE(AJ785,1),IF(AI785="Quarterly",EDATE(AJ785,3),IF(AI785="Semi-Annual",EDATE(AJ785,6),""))),"")</f>
        <v/>
      </c>
      <c r="AL785">
        <f>IF(AK785&lt;&gt;"",IF(AK785&lt;TODAY(),"Overdue","Current"),"")</f>
        <v/>
      </c>
    </row>
    <row r="786">
      <c r="K786">
        <f>IF(J786="v4.0",L786,IF(J786="v3.1",M786,IF(J786="Both",L786,IF(AND(L786&lt;&gt;"",M786=""),L786,M786))))</f>
        <v/>
      </c>
      <c r="Z786">
        <f>IF(Y786&lt;&gt;"",TODAY()-Y786,"")</f>
        <v/>
      </c>
      <c r="AC786">
        <f>IF(AND(AA786&lt;&gt;"",AB786&lt;&gt;""),CHOOSE(MATCH(AA786,{"Low","Medium","High","Critical"},0),25,50,75,100)-CHOOSE(MATCH(AB786,{"Low","Medium","High","Critical"},0),25,50,75,100),"")</f>
        <v/>
      </c>
      <c r="AG786">
        <f>IF(AF786&lt;&gt;"",IF(AH786="Weekly",AF786+7,IF(AH786="Monthly",EDATE(AF786,1),IF(AH786="Quarterly",EDATE(AF786,3),""))),"")</f>
        <v/>
      </c>
      <c r="AK786">
        <f>IF(AJ786&lt;&gt;"",IF(AI786="Monthly",EDATE(AJ786,1),IF(AI786="Quarterly",EDATE(AJ786,3),IF(AI786="Semi-Annual",EDATE(AJ786,6),""))),"")</f>
        <v/>
      </c>
      <c r="AL786">
        <f>IF(AK786&lt;&gt;"",IF(AK786&lt;TODAY(),"Overdue","Current"),"")</f>
        <v/>
      </c>
    </row>
    <row r="787">
      <c r="K787">
        <f>IF(J787="v4.0",L787,IF(J787="v3.1",M787,IF(J787="Both",L787,IF(AND(L787&lt;&gt;"",M787=""),L787,M787))))</f>
        <v/>
      </c>
      <c r="Z787">
        <f>IF(Y787&lt;&gt;"",TODAY()-Y787,"")</f>
        <v/>
      </c>
      <c r="AC787">
        <f>IF(AND(AA787&lt;&gt;"",AB787&lt;&gt;""),CHOOSE(MATCH(AA787,{"Low","Medium","High","Critical"},0),25,50,75,100)-CHOOSE(MATCH(AB787,{"Low","Medium","High","Critical"},0),25,50,75,100),"")</f>
        <v/>
      </c>
      <c r="AG787">
        <f>IF(AF787&lt;&gt;"",IF(AH787="Weekly",AF787+7,IF(AH787="Monthly",EDATE(AF787,1),IF(AH787="Quarterly",EDATE(AF787,3),""))),"")</f>
        <v/>
      </c>
      <c r="AK787">
        <f>IF(AJ787&lt;&gt;"",IF(AI787="Monthly",EDATE(AJ787,1),IF(AI787="Quarterly",EDATE(AJ787,3),IF(AI787="Semi-Annual",EDATE(AJ787,6),""))),"")</f>
        <v/>
      </c>
      <c r="AL787">
        <f>IF(AK787&lt;&gt;"",IF(AK787&lt;TODAY(),"Overdue","Current"),"")</f>
        <v/>
      </c>
    </row>
    <row r="788">
      <c r="K788">
        <f>IF(J788="v4.0",L788,IF(J788="v3.1",M788,IF(J788="Both",L788,IF(AND(L788&lt;&gt;"",M788=""),L788,M788))))</f>
        <v/>
      </c>
      <c r="Z788">
        <f>IF(Y788&lt;&gt;"",TODAY()-Y788,"")</f>
        <v/>
      </c>
      <c r="AC788">
        <f>IF(AND(AA788&lt;&gt;"",AB788&lt;&gt;""),CHOOSE(MATCH(AA788,{"Low","Medium","High","Critical"},0),25,50,75,100)-CHOOSE(MATCH(AB788,{"Low","Medium","High","Critical"},0),25,50,75,100),"")</f>
        <v/>
      </c>
      <c r="AG788">
        <f>IF(AF788&lt;&gt;"",IF(AH788="Weekly",AF788+7,IF(AH788="Monthly",EDATE(AF788,1),IF(AH788="Quarterly",EDATE(AF788,3),""))),"")</f>
        <v/>
      </c>
      <c r="AK788">
        <f>IF(AJ788&lt;&gt;"",IF(AI788="Monthly",EDATE(AJ788,1),IF(AI788="Quarterly",EDATE(AJ788,3),IF(AI788="Semi-Annual",EDATE(AJ788,6),""))),"")</f>
        <v/>
      </c>
      <c r="AL788">
        <f>IF(AK788&lt;&gt;"",IF(AK788&lt;TODAY(),"Overdue","Current"),"")</f>
        <v/>
      </c>
    </row>
    <row r="789">
      <c r="K789">
        <f>IF(J789="v4.0",L789,IF(J789="v3.1",M789,IF(J789="Both",L789,IF(AND(L789&lt;&gt;"",M789=""),L789,M789))))</f>
        <v/>
      </c>
      <c r="Z789">
        <f>IF(Y789&lt;&gt;"",TODAY()-Y789,"")</f>
        <v/>
      </c>
      <c r="AC789">
        <f>IF(AND(AA789&lt;&gt;"",AB789&lt;&gt;""),CHOOSE(MATCH(AA789,{"Low","Medium","High","Critical"},0),25,50,75,100)-CHOOSE(MATCH(AB789,{"Low","Medium","High","Critical"},0),25,50,75,100),"")</f>
        <v/>
      </c>
      <c r="AG789">
        <f>IF(AF789&lt;&gt;"",IF(AH789="Weekly",AF789+7,IF(AH789="Monthly",EDATE(AF789,1),IF(AH789="Quarterly",EDATE(AF789,3),""))),"")</f>
        <v/>
      </c>
      <c r="AK789">
        <f>IF(AJ789&lt;&gt;"",IF(AI789="Monthly",EDATE(AJ789,1),IF(AI789="Quarterly",EDATE(AJ789,3),IF(AI789="Semi-Annual",EDATE(AJ789,6),""))),"")</f>
        <v/>
      </c>
      <c r="AL789">
        <f>IF(AK789&lt;&gt;"",IF(AK789&lt;TODAY(),"Overdue","Current"),"")</f>
        <v/>
      </c>
    </row>
    <row r="790">
      <c r="K790">
        <f>IF(J790="v4.0",L790,IF(J790="v3.1",M790,IF(J790="Both",L790,IF(AND(L790&lt;&gt;"",M790=""),L790,M790))))</f>
        <v/>
      </c>
      <c r="Z790">
        <f>IF(Y790&lt;&gt;"",TODAY()-Y790,"")</f>
        <v/>
      </c>
      <c r="AC790">
        <f>IF(AND(AA790&lt;&gt;"",AB790&lt;&gt;""),CHOOSE(MATCH(AA790,{"Low","Medium","High","Critical"},0),25,50,75,100)-CHOOSE(MATCH(AB790,{"Low","Medium","High","Critical"},0),25,50,75,100),"")</f>
        <v/>
      </c>
      <c r="AG790">
        <f>IF(AF790&lt;&gt;"",IF(AH790="Weekly",AF790+7,IF(AH790="Monthly",EDATE(AF790,1),IF(AH790="Quarterly",EDATE(AF790,3),""))),"")</f>
        <v/>
      </c>
      <c r="AK790">
        <f>IF(AJ790&lt;&gt;"",IF(AI790="Monthly",EDATE(AJ790,1),IF(AI790="Quarterly",EDATE(AJ790,3),IF(AI790="Semi-Annual",EDATE(AJ790,6),""))),"")</f>
        <v/>
      </c>
      <c r="AL790">
        <f>IF(AK790&lt;&gt;"",IF(AK790&lt;TODAY(),"Overdue","Current"),"")</f>
        <v/>
      </c>
    </row>
    <row r="791">
      <c r="K791">
        <f>IF(J791="v4.0",L791,IF(J791="v3.1",M791,IF(J791="Both",L791,IF(AND(L791&lt;&gt;"",M791=""),L791,M791))))</f>
        <v/>
      </c>
      <c r="Z791">
        <f>IF(Y791&lt;&gt;"",TODAY()-Y791,"")</f>
        <v/>
      </c>
      <c r="AC791">
        <f>IF(AND(AA791&lt;&gt;"",AB791&lt;&gt;""),CHOOSE(MATCH(AA791,{"Low","Medium","High","Critical"},0),25,50,75,100)-CHOOSE(MATCH(AB791,{"Low","Medium","High","Critical"},0),25,50,75,100),"")</f>
        <v/>
      </c>
      <c r="AG791">
        <f>IF(AF791&lt;&gt;"",IF(AH791="Weekly",AF791+7,IF(AH791="Monthly",EDATE(AF791,1),IF(AH791="Quarterly",EDATE(AF791,3),""))),"")</f>
        <v/>
      </c>
      <c r="AK791">
        <f>IF(AJ791&lt;&gt;"",IF(AI791="Monthly",EDATE(AJ791,1),IF(AI791="Quarterly",EDATE(AJ791,3),IF(AI791="Semi-Annual",EDATE(AJ791,6),""))),"")</f>
        <v/>
      </c>
      <c r="AL791">
        <f>IF(AK791&lt;&gt;"",IF(AK791&lt;TODAY(),"Overdue","Current"),"")</f>
        <v/>
      </c>
    </row>
    <row r="792">
      <c r="K792">
        <f>IF(J792="v4.0",L792,IF(J792="v3.1",M792,IF(J792="Both",L792,IF(AND(L792&lt;&gt;"",M792=""),L792,M792))))</f>
        <v/>
      </c>
      <c r="Z792">
        <f>IF(Y792&lt;&gt;"",TODAY()-Y792,"")</f>
        <v/>
      </c>
      <c r="AC792">
        <f>IF(AND(AA792&lt;&gt;"",AB792&lt;&gt;""),CHOOSE(MATCH(AA792,{"Low","Medium","High","Critical"},0),25,50,75,100)-CHOOSE(MATCH(AB792,{"Low","Medium","High","Critical"},0),25,50,75,100),"")</f>
        <v/>
      </c>
      <c r="AG792">
        <f>IF(AF792&lt;&gt;"",IF(AH792="Weekly",AF792+7,IF(AH792="Monthly",EDATE(AF792,1),IF(AH792="Quarterly",EDATE(AF792,3),""))),"")</f>
        <v/>
      </c>
      <c r="AK792">
        <f>IF(AJ792&lt;&gt;"",IF(AI792="Monthly",EDATE(AJ792,1),IF(AI792="Quarterly",EDATE(AJ792,3),IF(AI792="Semi-Annual",EDATE(AJ792,6),""))),"")</f>
        <v/>
      </c>
      <c r="AL792">
        <f>IF(AK792&lt;&gt;"",IF(AK792&lt;TODAY(),"Overdue","Current"),"")</f>
        <v/>
      </c>
    </row>
    <row r="793">
      <c r="K793">
        <f>IF(J793="v4.0",L793,IF(J793="v3.1",M793,IF(J793="Both",L793,IF(AND(L793&lt;&gt;"",M793=""),L793,M793))))</f>
        <v/>
      </c>
      <c r="Z793">
        <f>IF(Y793&lt;&gt;"",TODAY()-Y793,"")</f>
        <v/>
      </c>
      <c r="AC793">
        <f>IF(AND(AA793&lt;&gt;"",AB793&lt;&gt;""),CHOOSE(MATCH(AA793,{"Low","Medium","High","Critical"},0),25,50,75,100)-CHOOSE(MATCH(AB793,{"Low","Medium","High","Critical"},0),25,50,75,100),"")</f>
        <v/>
      </c>
      <c r="AG793">
        <f>IF(AF793&lt;&gt;"",IF(AH793="Weekly",AF793+7,IF(AH793="Monthly",EDATE(AF793,1),IF(AH793="Quarterly",EDATE(AF793,3),""))),"")</f>
        <v/>
      </c>
      <c r="AK793">
        <f>IF(AJ793&lt;&gt;"",IF(AI793="Monthly",EDATE(AJ793,1),IF(AI793="Quarterly",EDATE(AJ793,3),IF(AI793="Semi-Annual",EDATE(AJ793,6),""))),"")</f>
        <v/>
      </c>
      <c r="AL793">
        <f>IF(AK793&lt;&gt;"",IF(AK793&lt;TODAY(),"Overdue","Current"),"")</f>
        <v/>
      </c>
    </row>
    <row r="794">
      <c r="K794">
        <f>IF(J794="v4.0",L794,IF(J794="v3.1",M794,IF(J794="Both",L794,IF(AND(L794&lt;&gt;"",M794=""),L794,M794))))</f>
        <v/>
      </c>
      <c r="Z794">
        <f>IF(Y794&lt;&gt;"",TODAY()-Y794,"")</f>
        <v/>
      </c>
      <c r="AC794">
        <f>IF(AND(AA794&lt;&gt;"",AB794&lt;&gt;""),CHOOSE(MATCH(AA794,{"Low","Medium","High","Critical"},0),25,50,75,100)-CHOOSE(MATCH(AB794,{"Low","Medium","High","Critical"},0),25,50,75,100),"")</f>
        <v/>
      </c>
      <c r="AG794">
        <f>IF(AF794&lt;&gt;"",IF(AH794="Weekly",AF794+7,IF(AH794="Monthly",EDATE(AF794,1),IF(AH794="Quarterly",EDATE(AF794,3),""))),"")</f>
        <v/>
      </c>
      <c r="AK794">
        <f>IF(AJ794&lt;&gt;"",IF(AI794="Monthly",EDATE(AJ794,1),IF(AI794="Quarterly",EDATE(AJ794,3),IF(AI794="Semi-Annual",EDATE(AJ794,6),""))),"")</f>
        <v/>
      </c>
      <c r="AL794">
        <f>IF(AK794&lt;&gt;"",IF(AK794&lt;TODAY(),"Overdue","Current"),"")</f>
        <v/>
      </c>
    </row>
    <row r="795">
      <c r="K795">
        <f>IF(J795="v4.0",L795,IF(J795="v3.1",M795,IF(J795="Both",L795,IF(AND(L795&lt;&gt;"",M795=""),L795,M795))))</f>
        <v/>
      </c>
      <c r="Z795">
        <f>IF(Y795&lt;&gt;"",TODAY()-Y795,"")</f>
        <v/>
      </c>
      <c r="AC795">
        <f>IF(AND(AA795&lt;&gt;"",AB795&lt;&gt;""),CHOOSE(MATCH(AA795,{"Low","Medium","High","Critical"},0),25,50,75,100)-CHOOSE(MATCH(AB795,{"Low","Medium","High","Critical"},0),25,50,75,100),"")</f>
        <v/>
      </c>
      <c r="AG795">
        <f>IF(AF795&lt;&gt;"",IF(AH795="Weekly",AF795+7,IF(AH795="Monthly",EDATE(AF795,1),IF(AH795="Quarterly",EDATE(AF795,3),""))),"")</f>
        <v/>
      </c>
      <c r="AK795">
        <f>IF(AJ795&lt;&gt;"",IF(AI795="Monthly",EDATE(AJ795,1),IF(AI795="Quarterly",EDATE(AJ795,3),IF(AI795="Semi-Annual",EDATE(AJ795,6),""))),"")</f>
        <v/>
      </c>
      <c r="AL795">
        <f>IF(AK795&lt;&gt;"",IF(AK795&lt;TODAY(),"Overdue","Current"),"")</f>
        <v/>
      </c>
    </row>
    <row r="796">
      <c r="K796">
        <f>IF(J796="v4.0",L796,IF(J796="v3.1",M796,IF(J796="Both",L796,IF(AND(L796&lt;&gt;"",M796=""),L796,M796))))</f>
        <v/>
      </c>
      <c r="Z796">
        <f>IF(Y796&lt;&gt;"",TODAY()-Y796,"")</f>
        <v/>
      </c>
      <c r="AC796">
        <f>IF(AND(AA796&lt;&gt;"",AB796&lt;&gt;""),CHOOSE(MATCH(AA796,{"Low","Medium","High","Critical"},0),25,50,75,100)-CHOOSE(MATCH(AB796,{"Low","Medium","High","Critical"},0),25,50,75,100),"")</f>
        <v/>
      </c>
      <c r="AG796">
        <f>IF(AF796&lt;&gt;"",IF(AH796="Weekly",AF796+7,IF(AH796="Monthly",EDATE(AF796,1),IF(AH796="Quarterly",EDATE(AF796,3),""))),"")</f>
        <v/>
      </c>
      <c r="AK796">
        <f>IF(AJ796&lt;&gt;"",IF(AI796="Monthly",EDATE(AJ796,1),IF(AI796="Quarterly",EDATE(AJ796,3),IF(AI796="Semi-Annual",EDATE(AJ796,6),""))),"")</f>
        <v/>
      </c>
      <c r="AL796">
        <f>IF(AK796&lt;&gt;"",IF(AK796&lt;TODAY(),"Overdue","Current"),"")</f>
        <v/>
      </c>
    </row>
    <row r="797">
      <c r="K797">
        <f>IF(J797="v4.0",L797,IF(J797="v3.1",M797,IF(J797="Both",L797,IF(AND(L797&lt;&gt;"",M797=""),L797,M797))))</f>
        <v/>
      </c>
      <c r="Z797">
        <f>IF(Y797&lt;&gt;"",TODAY()-Y797,"")</f>
        <v/>
      </c>
      <c r="AC797">
        <f>IF(AND(AA797&lt;&gt;"",AB797&lt;&gt;""),CHOOSE(MATCH(AA797,{"Low","Medium","High","Critical"},0),25,50,75,100)-CHOOSE(MATCH(AB797,{"Low","Medium","High","Critical"},0),25,50,75,100),"")</f>
        <v/>
      </c>
      <c r="AG797">
        <f>IF(AF797&lt;&gt;"",IF(AH797="Weekly",AF797+7,IF(AH797="Monthly",EDATE(AF797,1),IF(AH797="Quarterly",EDATE(AF797,3),""))),"")</f>
        <v/>
      </c>
      <c r="AK797">
        <f>IF(AJ797&lt;&gt;"",IF(AI797="Monthly",EDATE(AJ797,1),IF(AI797="Quarterly",EDATE(AJ797,3),IF(AI797="Semi-Annual",EDATE(AJ797,6),""))),"")</f>
        <v/>
      </c>
      <c r="AL797">
        <f>IF(AK797&lt;&gt;"",IF(AK797&lt;TODAY(),"Overdue","Current"),"")</f>
        <v/>
      </c>
    </row>
    <row r="798">
      <c r="K798">
        <f>IF(J798="v4.0",L798,IF(J798="v3.1",M798,IF(J798="Both",L798,IF(AND(L798&lt;&gt;"",M798=""),L798,M798))))</f>
        <v/>
      </c>
      <c r="Z798">
        <f>IF(Y798&lt;&gt;"",TODAY()-Y798,"")</f>
        <v/>
      </c>
      <c r="AC798">
        <f>IF(AND(AA798&lt;&gt;"",AB798&lt;&gt;""),CHOOSE(MATCH(AA798,{"Low","Medium","High","Critical"},0),25,50,75,100)-CHOOSE(MATCH(AB798,{"Low","Medium","High","Critical"},0),25,50,75,100),"")</f>
        <v/>
      </c>
      <c r="AG798">
        <f>IF(AF798&lt;&gt;"",IF(AH798="Weekly",AF798+7,IF(AH798="Monthly",EDATE(AF798,1),IF(AH798="Quarterly",EDATE(AF798,3),""))),"")</f>
        <v/>
      </c>
      <c r="AK798">
        <f>IF(AJ798&lt;&gt;"",IF(AI798="Monthly",EDATE(AJ798,1),IF(AI798="Quarterly",EDATE(AJ798,3),IF(AI798="Semi-Annual",EDATE(AJ798,6),""))),"")</f>
        <v/>
      </c>
      <c r="AL798">
        <f>IF(AK798&lt;&gt;"",IF(AK798&lt;TODAY(),"Overdue","Current"),"")</f>
        <v/>
      </c>
    </row>
    <row r="799">
      <c r="K799">
        <f>IF(J799="v4.0",L799,IF(J799="v3.1",M799,IF(J799="Both",L799,IF(AND(L799&lt;&gt;"",M799=""),L799,M799))))</f>
        <v/>
      </c>
      <c r="Z799">
        <f>IF(Y799&lt;&gt;"",TODAY()-Y799,"")</f>
        <v/>
      </c>
      <c r="AC799">
        <f>IF(AND(AA799&lt;&gt;"",AB799&lt;&gt;""),CHOOSE(MATCH(AA799,{"Low","Medium","High","Critical"},0),25,50,75,100)-CHOOSE(MATCH(AB799,{"Low","Medium","High","Critical"},0),25,50,75,100),"")</f>
        <v/>
      </c>
      <c r="AG799">
        <f>IF(AF799&lt;&gt;"",IF(AH799="Weekly",AF799+7,IF(AH799="Monthly",EDATE(AF799,1),IF(AH799="Quarterly",EDATE(AF799,3),""))),"")</f>
        <v/>
      </c>
      <c r="AK799">
        <f>IF(AJ799&lt;&gt;"",IF(AI799="Monthly",EDATE(AJ799,1),IF(AI799="Quarterly",EDATE(AJ799,3),IF(AI799="Semi-Annual",EDATE(AJ799,6),""))),"")</f>
        <v/>
      </c>
      <c r="AL799">
        <f>IF(AK799&lt;&gt;"",IF(AK799&lt;TODAY(),"Overdue","Current"),"")</f>
        <v/>
      </c>
    </row>
    <row r="800">
      <c r="K800">
        <f>IF(J800="v4.0",L800,IF(J800="v3.1",M800,IF(J800="Both",L800,IF(AND(L800&lt;&gt;"",M800=""),L800,M800))))</f>
        <v/>
      </c>
      <c r="Z800">
        <f>IF(Y800&lt;&gt;"",TODAY()-Y800,"")</f>
        <v/>
      </c>
      <c r="AC800">
        <f>IF(AND(AA800&lt;&gt;"",AB800&lt;&gt;""),CHOOSE(MATCH(AA800,{"Low","Medium","High","Critical"},0),25,50,75,100)-CHOOSE(MATCH(AB800,{"Low","Medium","High","Critical"},0),25,50,75,100),"")</f>
        <v/>
      </c>
      <c r="AG800">
        <f>IF(AF800&lt;&gt;"",IF(AH800="Weekly",AF800+7,IF(AH800="Monthly",EDATE(AF800,1),IF(AH800="Quarterly",EDATE(AF800,3),""))),"")</f>
        <v/>
      </c>
      <c r="AK800">
        <f>IF(AJ800&lt;&gt;"",IF(AI800="Monthly",EDATE(AJ800,1),IF(AI800="Quarterly",EDATE(AJ800,3),IF(AI800="Semi-Annual",EDATE(AJ800,6),""))),"")</f>
        <v/>
      </c>
      <c r="AL800">
        <f>IF(AK800&lt;&gt;"",IF(AK800&lt;TODAY(),"Overdue","Current"),"")</f>
        <v/>
      </c>
    </row>
    <row r="801">
      <c r="K801">
        <f>IF(J801="v4.0",L801,IF(J801="v3.1",M801,IF(J801="Both",L801,IF(AND(L801&lt;&gt;"",M801=""),L801,M801))))</f>
        <v/>
      </c>
      <c r="Z801">
        <f>IF(Y801&lt;&gt;"",TODAY()-Y801,"")</f>
        <v/>
      </c>
      <c r="AC801">
        <f>IF(AND(AA801&lt;&gt;"",AB801&lt;&gt;""),CHOOSE(MATCH(AA801,{"Low","Medium","High","Critical"},0),25,50,75,100)-CHOOSE(MATCH(AB801,{"Low","Medium","High","Critical"},0),25,50,75,100),"")</f>
        <v/>
      </c>
      <c r="AG801">
        <f>IF(AF801&lt;&gt;"",IF(AH801="Weekly",AF801+7,IF(AH801="Monthly",EDATE(AF801,1),IF(AH801="Quarterly",EDATE(AF801,3),""))),"")</f>
        <v/>
      </c>
      <c r="AK801">
        <f>IF(AJ801&lt;&gt;"",IF(AI801="Monthly",EDATE(AJ801,1),IF(AI801="Quarterly",EDATE(AJ801,3),IF(AI801="Semi-Annual",EDATE(AJ801,6),""))),"")</f>
        <v/>
      </c>
      <c r="AL801">
        <f>IF(AK801&lt;&gt;"",IF(AK801&lt;TODAY(),"Overdue","Current"),"")</f>
        <v/>
      </c>
    </row>
    <row r="802">
      <c r="K802">
        <f>IF(J802="v4.0",L802,IF(J802="v3.1",M802,IF(J802="Both",L802,IF(AND(L802&lt;&gt;"",M802=""),L802,M802))))</f>
        <v/>
      </c>
      <c r="Z802">
        <f>IF(Y802&lt;&gt;"",TODAY()-Y802,"")</f>
        <v/>
      </c>
      <c r="AC802">
        <f>IF(AND(AA802&lt;&gt;"",AB802&lt;&gt;""),CHOOSE(MATCH(AA802,{"Low","Medium","High","Critical"},0),25,50,75,100)-CHOOSE(MATCH(AB802,{"Low","Medium","High","Critical"},0),25,50,75,100),"")</f>
        <v/>
      </c>
      <c r="AG802">
        <f>IF(AF802&lt;&gt;"",IF(AH802="Weekly",AF802+7,IF(AH802="Monthly",EDATE(AF802,1),IF(AH802="Quarterly",EDATE(AF802,3),""))),"")</f>
        <v/>
      </c>
      <c r="AK802">
        <f>IF(AJ802&lt;&gt;"",IF(AI802="Monthly",EDATE(AJ802,1),IF(AI802="Quarterly",EDATE(AJ802,3),IF(AI802="Semi-Annual",EDATE(AJ802,6),""))),"")</f>
        <v/>
      </c>
      <c r="AL802">
        <f>IF(AK802&lt;&gt;"",IF(AK802&lt;TODAY(),"Overdue","Current"),"")</f>
        <v/>
      </c>
    </row>
    <row r="803">
      <c r="K803">
        <f>IF(J803="v4.0",L803,IF(J803="v3.1",M803,IF(J803="Both",L803,IF(AND(L803&lt;&gt;"",M803=""),L803,M803))))</f>
        <v/>
      </c>
      <c r="Z803">
        <f>IF(Y803&lt;&gt;"",TODAY()-Y803,"")</f>
        <v/>
      </c>
      <c r="AC803">
        <f>IF(AND(AA803&lt;&gt;"",AB803&lt;&gt;""),CHOOSE(MATCH(AA803,{"Low","Medium","High","Critical"},0),25,50,75,100)-CHOOSE(MATCH(AB803,{"Low","Medium","High","Critical"},0),25,50,75,100),"")</f>
        <v/>
      </c>
      <c r="AG803">
        <f>IF(AF803&lt;&gt;"",IF(AH803="Weekly",AF803+7,IF(AH803="Monthly",EDATE(AF803,1),IF(AH803="Quarterly",EDATE(AF803,3),""))),"")</f>
        <v/>
      </c>
      <c r="AK803">
        <f>IF(AJ803&lt;&gt;"",IF(AI803="Monthly",EDATE(AJ803,1),IF(AI803="Quarterly",EDATE(AJ803,3),IF(AI803="Semi-Annual",EDATE(AJ803,6),""))),"")</f>
        <v/>
      </c>
      <c r="AL803">
        <f>IF(AK803&lt;&gt;"",IF(AK803&lt;TODAY(),"Overdue","Current"),"")</f>
        <v/>
      </c>
    </row>
    <row r="804">
      <c r="K804">
        <f>IF(J804="v4.0",L804,IF(J804="v3.1",M804,IF(J804="Both",L804,IF(AND(L804&lt;&gt;"",M804=""),L804,M804))))</f>
        <v/>
      </c>
      <c r="Z804">
        <f>IF(Y804&lt;&gt;"",TODAY()-Y804,"")</f>
        <v/>
      </c>
      <c r="AC804">
        <f>IF(AND(AA804&lt;&gt;"",AB804&lt;&gt;""),CHOOSE(MATCH(AA804,{"Low","Medium","High","Critical"},0),25,50,75,100)-CHOOSE(MATCH(AB804,{"Low","Medium","High","Critical"},0),25,50,75,100),"")</f>
        <v/>
      </c>
      <c r="AG804">
        <f>IF(AF804&lt;&gt;"",IF(AH804="Weekly",AF804+7,IF(AH804="Monthly",EDATE(AF804,1),IF(AH804="Quarterly",EDATE(AF804,3),""))),"")</f>
        <v/>
      </c>
      <c r="AK804">
        <f>IF(AJ804&lt;&gt;"",IF(AI804="Monthly",EDATE(AJ804,1),IF(AI804="Quarterly",EDATE(AJ804,3),IF(AI804="Semi-Annual",EDATE(AJ804,6),""))),"")</f>
        <v/>
      </c>
      <c r="AL804">
        <f>IF(AK804&lt;&gt;"",IF(AK804&lt;TODAY(),"Overdue","Current"),"")</f>
        <v/>
      </c>
    </row>
    <row r="805">
      <c r="K805">
        <f>IF(J805="v4.0",L805,IF(J805="v3.1",M805,IF(J805="Both",L805,IF(AND(L805&lt;&gt;"",M805=""),L805,M805))))</f>
        <v/>
      </c>
      <c r="Z805">
        <f>IF(Y805&lt;&gt;"",TODAY()-Y805,"")</f>
        <v/>
      </c>
      <c r="AC805">
        <f>IF(AND(AA805&lt;&gt;"",AB805&lt;&gt;""),CHOOSE(MATCH(AA805,{"Low","Medium","High","Critical"},0),25,50,75,100)-CHOOSE(MATCH(AB805,{"Low","Medium","High","Critical"},0),25,50,75,100),"")</f>
        <v/>
      </c>
      <c r="AG805">
        <f>IF(AF805&lt;&gt;"",IF(AH805="Weekly",AF805+7,IF(AH805="Monthly",EDATE(AF805,1),IF(AH805="Quarterly",EDATE(AF805,3),""))),"")</f>
        <v/>
      </c>
      <c r="AK805">
        <f>IF(AJ805&lt;&gt;"",IF(AI805="Monthly",EDATE(AJ805,1),IF(AI805="Quarterly",EDATE(AJ805,3),IF(AI805="Semi-Annual",EDATE(AJ805,6),""))),"")</f>
        <v/>
      </c>
      <c r="AL805">
        <f>IF(AK805&lt;&gt;"",IF(AK805&lt;TODAY(),"Overdue","Current"),"")</f>
        <v/>
      </c>
    </row>
    <row r="806">
      <c r="K806">
        <f>IF(J806="v4.0",L806,IF(J806="v3.1",M806,IF(J806="Both",L806,IF(AND(L806&lt;&gt;"",M806=""),L806,M806))))</f>
        <v/>
      </c>
      <c r="Z806">
        <f>IF(Y806&lt;&gt;"",TODAY()-Y806,"")</f>
        <v/>
      </c>
      <c r="AC806">
        <f>IF(AND(AA806&lt;&gt;"",AB806&lt;&gt;""),CHOOSE(MATCH(AA806,{"Low","Medium","High","Critical"},0),25,50,75,100)-CHOOSE(MATCH(AB806,{"Low","Medium","High","Critical"},0),25,50,75,100),"")</f>
        <v/>
      </c>
      <c r="AG806">
        <f>IF(AF806&lt;&gt;"",IF(AH806="Weekly",AF806+7,IF(AH806="Monthly",EDATE(AF806,1),IF(AH806="Quarterly",EDATE(AF806,3),""))),"")</f>
        <v/>
      </c>
      <c r="AK806">
        <f>IF(AJ806&lt;&gt;"",IF(AI806="Monthly",EDATE(AJ806,1),IF(AI806="Quarterly",EDATE(AJ806,3),IF(AI806="Semi-Annual",EDATE(AJ806,6),""))),"")</f>
        <v/>
      </c>
      <c r="AL806">
        <f>IF(AK806&lt;&gt;"",IF(AK806&lt;TODAY(),"Overdue","Current"),"")</f>
        <v/>
      </c>
    </row>
    <row r="807">
      <c r="K807">
        <f>IF(J807="v4.0",L807,IF(J807="v3.1",M807,IF(J807="Both",L807,IF(AND(L807&lt;&gt;"",M807=""),L807,M807))))</f>
        <v/>
      </c>
      <c r="Z807">
        <f>IF(Y807&lt;&gt;"",TODAY()-Y807,"")</f>
        <v/>
      </c>
      <c r="AC807">
        <f>IF(AND(AA807&lt;&gt;"",AB807&lt;&gt;""),CHOOSE(MATCH(AA807,{"Low","Medium","High","Critical"},0),25,50,75,100)-CHOOSE(MATCH(AB807,{"Low","Medium","High","Critical"},0),25,50,75,100),"")</f>
        <v/>
      </c>
      <c r="AG807">
        <f>IF(AF807&lt;&gt;"",IF(AH807="Weekly",AF807+7,IF(AH807="Monthly",EDATE(AF807,1),IF(AH807="Quarterly",EDATE(AF807,3),""))),"")</f>
        <v/>
      </c>
      <c r="AK807">
        <f>IF(AJ807&lt;&gt;"",IF(AI807="Monthly",EDATE(AJ807,1),IF(AI807="Quarterly",EDATE(AJ807,3),IF(AI807="Semi-Annual",EDATE(AJ807,6),""))),"")</f>
        <v/>
      </c>
      <c r="AL807">
        <f>IF(AK807&lt;&gt;"",IF(AK807&lt;TODAY(),"Overdue","Current"),"")</f>
        <v/>
      </c>
    </row>
    <row r="808">
      <c r="K808">
        <f>IF(J808="v4.0",L808,IF(J808="v3.1",M808,IF(J808="Both",L808,IF(AND(L808&lt;&gt;"",M808=""),L808,M808))))</f>
        <v/>
      </c>
      <c r="Z808">
        <f>IF(Y808&lt;&gt;"",TODAY()-Y808,"")</f>
        <v/>
      </c>
      <c r="AC808">
        <f>IF(AND(AA808&lt;&gt;"",AB808&lt;&gt;""),CHOOSE(MATCH(AA808,{"Low","Medium","High","Critical"},0),25,50,75,100)-CHOOSE(MATCH(AB808,{"Low","Medium","High","Critical"},0),25,50,75,100),"")</f>
        <v/>
      </c>
      <c r="AG808">
        <f>IF(AF808&lt;&gt;"",IF(AH808="Weekly",AF808+7,IF(AH808="Monthly",EDATE(AF808,1),IF(AH808="Quarterly",EDATE(AF808,3),""))),"")</f>
        <v/>
      </c>
      <c r="AK808">
        <f>IF(AJ808&lt;&gt;"",IF(AI808="Monthly",EDATE(AJ808,1),IF(AI808="Quarterly",EDATE(AJ808,3),IF(AI808="Semi-Annual",EDATE(AJ808,6),""))),"")</f>
        <v/>
      </c>
      <c r="AL808">
        <f>IF(AK808&lt;&gt;"",IF(AK808&lt;TODAY(),"Overdue","Current"),"")</f>
        <v/>
      </c>
    </row>
    <row r="809">
      <c r="K809">
        <f>IF(J809="v4.0",L809,IF(J809="v3.1",M809,IF(J809="Both",L809,IF(AND(L809&lt;&gt;"",M809=""),L809,M809))))</f>
        <v/>
      </c>
      <c r="Z809">
        <f>IF(Y809&lt;&gt;"",TODAY()-Y809,"")</f>
        <v/>
      </c>
      <c r="AC809">
        <f>IF(AND(AA809&lt;&gt;"",AB809&lt;&gt;""),CHOOSE(MATCH(AA809,{"Low","Medium","High","Critical"},0),25,50,75,100)-CHOOSE(MATCH(AB809,{"Low","Medium","High","Critical"},0),25,50,75,100),"")</f>
        <v/>
      </c>
      <c r="AG809">
        <f>IF(AF809&lt;&gt;"",IF(AH809="Weekly",AF809+7,IF(AH809="Monthly",EDATE(AF809,1),IF(AH809="Quarterly",EDATE(AF809,3),""))),"")</f>
        <v/>
      </c>
      <c r="AK809">
        <f>IF(AJ809&lt;&gt;"",IF(AI809="Monthly",EDATE(AJ809,1),IF(AI809="Quarterly",EDATE(AJ809,3),IF(AI809="Semi-Annual",EDATE(AJ809,6),""))),"")</f>
        <v/>
      </c>
      <c r="AL809">
        <f>IF(AK809&lt;&gt;"",IF(AK809&lt;TODAY(),"Overdue","Current"),"")</f>
        <v/>
      </c>
    </row>
    <row r="810">
      <c r="K810">
        <f>IF(J810="v4.0",L810,IF(J810="v3.1",M810,IF(J810="Both",L810,IF(AND(L810&lt;&gt;"",M810=""),L810,M810))))</f>
        <v/>
      </c>
      <c r="Z810">
        <f>IF(Y810&lt;&gt;"",TODAY()-Y810,"")</f>
        <v/>
      </c>
      <c r="AC810">
        <f>IF(AND(AA810&lt;&gt;"",AB810&lt;&gt;""),CHOOSE(MATCH(AA810,{"Low","Medium","High","Critical"},0),25,50,75,100)-CHOOSE(MATCH(AB810,{"Low","Medium","High","Critical"},0),25,50,75,100),"")</f>
        <v/>
      </c>
      <c r="AG810">
        <f>IF(AF810&lt;&gt;"",IF(AH810="Weekly",AF810+7,IF(AH810="Monthly",EDATE(AF810,1),IF(AH810="Quarterly",EDATE(AF810,3),""))),"")</f>
        <v/>
      </c>
      <c r="AK810">
        <f>IF(AJ810&lt;&gt;"",IF(AI810="Monthly",EDATE(AJ810,1),IF(AI810="Quarterly",EDATE(AJ810,3),IF(AI810="Semi-Annual",EDATE(AJ810,6),""))),"")</f>
        <v/>
      </c>
      <c r="AL810">
        <f>IF(AK810&lt;&gt;"",IF(AK810&lt;TODAY(),"Overdue","Current"),"")</f>
        <v/>
      </c>
    </row>
    <row r="811">
      <c r="K811">
        <f>IF(J811="v4.0",L811,IF(J811="v3.1",M811,IF(J811="Both",L811,IF(AND(L811&lt;&gt;"",M811=""),L811,M811))))</f>
        <v/>
      </c>
      <c r="Z811">
        <f>IF(Y811&lt;&gt;"",TODAY()-Y811,"")</f>
        <v/>
      </c>
      <c r="AC811">
        <f>IF(AND(AA811&lt;&gt;"",AB811&lt;&gt;""),CHOOSE(MATCH(AA811,{"Low","Medium","High","Critical"},0),25,50,75,100)-CHOOSE(MATCH(AB811,{"Low","Medium","High","Critical"},0),25,50,75,100),"")</f>
        <v/>
      </c>
      <c r="AG811">
        <f>IF(AF811&lt;&gt;"",IF(AH811="Weekly",AF811+7,IF(AH811="Monthly",EDATE(AF811,1),IF(AH811="Quarterly",EDATE(AF811,3),""))),"")</f>
        <v/>
      </c>
      <c r="AK811">
        <f>IF(AJ811&lt;&gt;"",IF(AI811="Monthly",EDATE(AJ811,1),IF(AI811="Quarterly",EDATE(AJ811,3),IF(AI811="Semi-Annual",EDATE(AJ811,6),""))),"")</f>
        <v/>
      </c>
      <c r="AL811">
        <f>IF(AK811&lt;&gt;"",IF(AK811&lt;TODAY(),"Overdue","Current"),"")</f>
        <v/>
      </c>
    </row>
    <row r="812">
      <c r="K812">
        <f>IF(J812="v4.0",L812,IF(J812="v3.1",M812,IF(J812="Both",L812,IF(AND(L812&lt;&gt;"",M812=""),L812,M812))))</f>
        <v/>
      </c>
      <c r="Z812">
        <f>IF(Y812&lt;&gt;"",TODAY()-Y812,"")</f>
        <v/>
      </c>
      <c r="AC812">
        <f>IF(AND(AA812&lt;&gt;"",AB812&lt;&gt;""),CHOOSE(MATCH(AA812,{"Low","Medium","High","Critical"},0),25,50,75,100)-CHOOSE(MATCH(AB812,{"Low","Medium","High","Critical"},0),25,50,75,100),"")</f>
        <v/>
      </c>
      <c r="AG812">
        <f>IF(AF812&lt;&gt;"",IF(AH812="Weekly",AF812+7,IF(AH812="Monthly",EDATE(AF812,1),IF(AH812="Quarterly",EDATE(AF812,3),""))),"")</f>
        <v/>
      </c>
      <c r="AK812">
        <f>IF(AJ812&lt;&gt;"",IF(AI812="Monthly",EDATE(AJ812,1),IF(AI812="Quarterly",EDATE(AJ812,3),IF(AI812="Semi-Annual",EDATE(AJ812,6),""))),"")</f>
        <v/>
      </c>
      <c r="AL812">
        <f>IF(AK812&lt;&gt;"",IF(AK812&lt;TODAY(),"Overdue","Current"),"")</f>
        <v/>
      </c>
    </row>
    <row r="813">
      <c r="K813">
        <f>IF(J813="v4.0",L813,IF(J813="v3.1",M813,IF(J813="Both",L813,IF(AND(L813&lt;&gt;"",M813=""),L813,M813))))</f>
        <v/>
      </c>
      <c r="Z813">
        <f>IF(Y813&lt;&gt;"",TODAY()-Y813,"")</f>
        <v/>
      </c>
      <c r="AC813">
        <f>IF(AND(AA813&lt;&gt;"",AB813&lt;&gt;""),CHOOSE(MATCH(AA813,{"Low","Medium","High","Critical"},0),25,50,75,100)-CHOOSE(MATCH(AB813,{"Low","Medium","High","Critical"},0),25,50,75,100),"")</f>
        <v/>
      </c>
      <c r="AG813">
        <f>IF(AF813&lt;&gt;"",IF(AH813="Weekly",AF813+7,IF(AH813="Monthly",EDATE(AF813,1),IF(AH813="Quarterly",EDATE(AF813,3),""))),"")</f>
        <v/>
      </c>
      <c r="AK813">
        <f>IF(AJ813&lt;&gt;"",IF(AI813="Monthly",EDATE(AJ813,1),IF(AI813="Quarterly",EDATE(AJ813,3),IF(AI813="Semi-Annual",EDATE(AJ813,6),""))),"")</f>
        <v/>
      </c>
      <c r="AL813">
        <f>IF(AK813&lt;&gt;"",IF(AK813&lt;TODAY(),"Overdue","Current"),"")</f>
        <v/>
      </c>
    </row>
    <row r="814">
      <c r="K814">
        <f>IF(J814="v4.0",L814,IF(J814="v3.1",M814,IF(J814="Both",L814,IF(AND(L814&lt;&gt;"",M814=""),L814,M814))))</f>
        <v/>
      </c>
      <c r="Z814">
        <f>IF(Y814&lt;&gt;"",TODAY()-Y814,"")</f>
        <v/>
      </c>
      <c r="AC814">
        <f>IF(AND(AA814&lt;&gt;"",AB814&lt;&gt;""),CHOOSE(MATCH(AA814,{"Low","Medium","High","Critical"},0),25,50,75,100)-CHOOSE(MATCH(AB814,{"Low","Medium","High","Critical"},0),25,50,75,100),"")</f>
        <v/>
      </c>
      <c r="AG814">
        <f>IF(AF814&lt;&gt;"",IF(AH814="Weekly",AF814+7,IF(AH814="Monthly",EDATE(AF814,1),IF(AH814="Quarterly",EDATE(AF814,3),""))),"")</f>
        <v/>
      </c>
      <c r="AK814">
        <f>IF(AJ814&lt;&gt;"",IF(AI814="Monthly",EDATE(AJ814,1),IF(AI814="Quarterly",EDATE(AJ814,3),IF(AI814="Semi-Annual",EDATE(AJ814,6),""))),"")</f>
        <v/>
      </c>
      <c r="AL814">
        <f>IF(AK814&lt;&gt;"",IF(AK814&lt;TODAY(),"Overdue","Current"),"")</f>
        <v/>
      </c>
    </row>
    <row r="815">
      <c r="K815">
        <f>IF(J815="v4.0",L815,IF(J815="v3.1",M815,IF(J815="Both",L815,IF(AND(L815&lt;&gt;"",M815=""),L815,M815))))</f>
        <v/>
      </c>
      <c r="Z815">
        <f>IF(Y815&lt;&gt;"",TODAY()-Y815,"")</f>
        <v/>
      </c>
      <c r="AC815">
        <f>IF(AND(AA815&lt;&gt;"",AB815&lt;&gt;""),CHOOSE(MATCH(AA815,{"Low","Medium","High","Critical"},0),25,50,75,100)-CHOOSE(MATCH(AB815,{"Low","Medium","High","Critical"},0),25,50,75,100),"")</f>
        <v/>
      </c>
      <c r="AG815">
        <f>IF(AF815&lt;&gt;"",IF(AH815="Weekly",AF815+7,IF(AH815="Monthly",EDATE(AF815,1),IF(AH815="Quarterly",EDATE(AF815,3),""))),"")</f>
        <v/>
      </c>
      <c r="AK815">
        <f>IF(AJ815&lt;&gt;"",IF(AI815="Monthly",EDATE(AJ815,1),IF(AI815="Quarterly",EDATE(AJ815,3),IF(AI815="Semi-Annual",EDATE(AJ815,6),""))),"")</f>
        <v/>
      </c>
      <c r="AL815">
        <f>IF(AK815&lt;&gt;"",IF(AK815&lt;TODAY(),"Overdue","Current"),"")</f>
        <v/>
      </c>
    </row>
    <row r="816">
      <c r="K816">
        <f>IF(J816="v4.0",L816,IF(J816="v3.1",M816,IF(J816="Both",L816,IF(AND(L816&lt;&gt;"",M816=""),L816,M816))))</f>
        <v/>
      </c>
      <c r="Z816">
        <f>IF(Y816&lt;&gt;"",TODAY()-Y816,"")</f>
        <v/>
      </c>
      <c r="AC816">
        <f>IF(AND(AA816&lt;&gt;"",AB816&lt;&gt;""),CHOOSE(MATCH(AA816,{"Low","Medium","High","Critical"},0),25,50,75,100)-CHOOSE(MATCH(AB816,{"Low","Medium","High","Critical"},0),25,50,75,100),"")</f>
        <v/>
      </c>
      <c r="AG816">
        <f>IF(AF816&lt;&gt;"",IF(AH816="Weekly",AF816+7,IF(AH816="Monthly",EDATE(AF816,1),IF(AH816="Quarterly",EDATE(AF816,3),""))),"")</f>
        <v/>
      </c>
      <c r="AK816">
        <f>IF(AJ816&lt;&gt;"",IF(AI816="Monthly",EDATE(AJ816,1),IF(AI816="Quarterly",EDATE(AJ816,3),IF(AI816="Semi-Annual",EDATE(AJ816,6),""))),"")</f>
        <v/>
      </c>
      <c r="AL816">
        <f>IF(AK816&lt;&gt;"",IF(AK816&lt;TODAY(),"Overdue","Current"),"")</f>
        <v/>
      </c>
    </row>
    <row r="817">
      <c r="K817">
        <f>IF(J817="v4.0",L817,IF(J817="v3.1",M817,IF(J817="Both",L817,IF(AND(L817&lt;&gt;"",M817=""),L817,M817))))</f>
        <v/>
      </c>
      <c r="Z817">
        <f>IF(Y817&lt;&gt;"",TODAY()-Y817,"")</f>
        <v/>
      </c>
      <c r="AC817">
        <f>IF(AND(AA817&lt;&gt;"",AB817&lt;&gt;""),CHOOSE(MATCH(AA817,{"Low","Medium","High","Critical"},0),25,50,75,100)-CHOOSE(MATCH(AB817,{"Low","Medium","High","Critical"},0),25,50,75,100),"")</f>
        <v/>
      </c>
      <c r="AG817">
        <f>IF(AF817&lt;&gt;"",IF(AH817="Weekly",AF817+7,IF(AH817="Monthly",EDATE(AF817,1),IF(AH817="Quarterly",EDATE(AF817,3),""))),"")</f>
        <v/>
      </c>
      <c r="AK817">
        <f>IF(AJ817&lt;&gt;"",IF(AI817="Monthly",EDATE(AJ817,1),IF(AI817="Quarterly",EDATE(AJ817,3),IF(AI817="Semi-Annual",EDATE(AJ817,6),""))),"")</f>
        <v/>
      </c>
      <c r="AL817">
        <f>IF(AK817&lt;&gt;"",IF(AK817&lt;TODAY(),"Overdue","Current"),"")</f>
        <v/>
      </c>
    </row>
    <row r="818">
      <c r="K818">
        <f>IF(J818="v4.0",L818,IF(J818="v3.1",M818,IF(J818="Both",L818,IF(AND(L818&lt;&gt;"",M818=""),L818,M818))))</f>
        <v/>
      </c>
      <c r="Z818">
        <f>IF(Y818&lt;&gt;"",TODAY()-Y818,"")</f>
        <v/>
      </c>
      <c r="AC818">
        <f>IF(AND(AA818&lt;&gt;"",AB818&lt;&gt;""),CHOOSE(MATCH(AA818,{"Low","Medium","High","Critical"},0),25,50,75,100)-CHOOSE(MATCH(AB818,{"Low","Medium","High","Critical"},0),25,50,75,100),"")</f>
        <v/>
      </c>
      <c r="AG818">
        <f>IF(AF818&lt;&gt;"",IF(AH818="Weekly",AF818+7,IF(AH818="Monthly",EDATE(AF818,1),IF(AH818="Quarterly",EDATE(AF818,3),""))),"")</f>
        <v/>
      </c>
      <c r="AK818">
        <f>IF(AJ818&lt;&gt;"",IF(AI818="Monthly",EDATE(AJ818,1),IF(AI818="Quarterly",EDATE(AJ818,3),IF(AI818="Semi-Annual",EDATE(AJ818,6),""))),"")</f>
        <v/>
      </c>
      <c r="AL818">
        <f>IF(AK818&lt;&gt;"",IF(AK818&lt;TODAY(),"Overdue","Current"),"")</f>
        <v/>
      </c>
    </row>
    <row r="819">
      <c r="K819">
        <f>IF(J819="v4.0",L819,IF(J819="v3.1",M819,IF(J819="Both",L819,IF(AND(L819&lt;&gt;"",M819=""),L819,M819))))</f>
        <v/>
      </c>
      <c r="Z819">
        <f>IF(Y819&lt;&gt;"",TODAY()-Y819,"")</f>
        <v/>
      </c>
      <c r="AC819">
        <f>IF(AND(AA819&lt;&gt;"",AB819&lt;&gt;""),CHOOSE(MATCH(AA819,{"Low","Medium","High","Critical"},0),25,50,75,100)-CHOOSE(MATCH(AB819,{"Low","Medium","High","Critical"},0),25,50,75,100),"")</f>
        <v/>
      </c>
      <c r="AG819">
        <f>IF(AF819&lt;&gt;"",IF(AH819="Weekly",AF819+7,IF(AH819="Monthly",EDATE(AF819,1),IF(AH819="Quarterly",EDATE(AF819,3),""))),"")</f>
        <v/>
      </c>
      <c r="AK819">
        <f>IF(AJ819&lt;&gt;"",IF(AI819="Monthly",EDATE(AJ819,1),IF(AI819="Quarterly",EDATE(AJ819,3),IF(AI819="Semi-Annual",EDATE(AJ819,6),""))),"")</f>
        <v/>
      </c>
      <c r="AL819">
        <f>IF(AK819&lt;&gt;"",IF(AK819&lt;TODAY(),"Overdue","Current"),"")</f>
        <v/>
      </c>
    </row>
    <row r="820">
      <c r="K820">
        <f>IF(J820="v4.0",L820,IF(J820="v3.1",M820,IF(J820="Both",L820,IF(AND(L820&lt;&gt;"",M820=""),L820,M820))))</f>
        <v/>
      </c>
      <c r="Z820">
        <f>IF(Y820&lt;&gt;"",TODAY()-Y820,"")</f>
        <v/>
      </c>
      <c r="AC820">
        <f>IF(AND(AA820&lt;&gt;"",AB820&lt;&gt;""),CHOOSE(MATCH(AA820,{"Low","Medium","High","Critical"},0),25,50,75,100)-CHOOSE(MATCH(AB820,{"Low","Medium","High","Critical"},0),25,50,75,100),"")</f>
        <v/>
      </c>
      <c r="AG820">
        <f>IF(AF820&lt;&gt;"",IF(AH820="Weekly",AF820+7,IF(AH820="Monthly",EDATE(AF820,1),IF(AH820="Quarterly",EDATE(AF820,3),""))),"")</f>
        <v/>
      </c>
      <c r="AK820">
        <f>IF(AJ820&lt;&gt;"",IF(AI820="Monthly",EDATE(AJ820,1),IF(AI820="Quarterly",EDATE(AJ820,3),IF(AI820="Semi-Annual",EDATE(AJ820,6),""))),"")</f>
        <v/>
      </c>
      <c r="AL820">
        <f>IF(AK820&lt;&gt;"",IF(AK820&lt;TODAY(),"Overdue","Current"),"")</f>
        <v/>
      </c>
    </row>
    <row r="821">
      <c r="K821">
        <f>IF(J821="v4.0",L821,IF(J821="v3.1",M821,IF(J821="Both",L821,IF(AND(L821&lt;&gt;"",M821=""),L821,M821))))</f>
        <v/>
      </c>
      <c r="Z821">
        <f>IF(Y821&lt;&gt;"",TODAY()-Y821,"")</f>
        <v/>
      </c>
      <c r="AC821">
        <f>IF(AND(AA821&lt;&gt;"",AB821&lt;&gt;""),CHOOSE(MATCH(AA821,{"Low","Medium","High","Critical"},0),25,50,75,100)-CHOOSE(MATCH(AB821,{"Low","Medium","High","Critical"},0),25,50,75,100),"")</f>
        <v/>
      </c>
      <c r="AG821">
        <f>IF(AF821&lt;&gt;"",IF(AH821="Weekly",AF821+7,IF(AH821="Monthly",EDATE(AF821,1),IF(AH821="Quarterly",EDATE(AF821,3),""))),"")</f>
        <v/>
      </c>
      <c r="AK821">
        <f>IF(AJ821&lt;&gt;"",IF(AI821="Monthly",EDATE(AJ821,1),IF(AI821="Quarterly",EDATE(AJ821,3),IF(AI821="Semi-Annual",EDATE(AJ821,6),""))),"")</f>
        <v/>
      </c>
      <c r="AL821">
        <f>IF(AK821&lt;&gt;"",IF(AK821&lt;TODAY(),"Overdue","Current"),"")</f>
        <v/>
      </c>
    </row>
    <row r="822">
      <c r="K822">
        <f>IF(J822="v4.0",L822,IF(J822="v3.1",M822,IF(J822="Both",L822,IF(AND(L822&lt;&gt;"",M822=""),L822,M822))))</f>
        <v/>
      </c>
      <c r="Z822">
        <f>IF(Y822&lt;&gt;"",TODAY()-Y822,"")</f>
        <v/>
      </c>
      <c r="AC822">
        <f>IF(AND(AA822&lt;&gt;"",AB822&lt;&gt;""),CHOOSE(MATCH(AA822,{"Low","Medium","High","Critical"},0),25,50,75,100)-CHOOSE(MATCH(AB822,{"Low","Medium","High","Critical"},0),25,50,75,100),"")</f>
        <v/>
      </c>
      <c r="AG822">
        <f>IF(AF822&lt;&gt;"",IF(AH822="Weekly",AF822+7,IF(AH822="Monthly",EDATE(AF822,1),IF(AH822="Quarterly",EDATE(AF822,3),""))),"")</f>
        <v/>
      </c>
      <c r="AK822">
        <f>IF(AJ822&lt;&gt;"",IF(AI822="Monthly",EDATE(AJ822,1),IF(AI822="Quarterly",EDATE(AJ822,3),IF(AI822="Semi-Annual",EDATE(AJ822,6),""))),"")</f>
        <v/>
      </c>
      <c r="AL822">
        <f>IF(AK822&lt;&gt;"",IF(AK822&lt;TODAY(),"Overdue","Current"),"")</f>
        <v/>
      </c>
    </row>
    <row r="823">
      <c r="K823">
        <f>IF(J823="v4.0",L823,IF(J823="v3.1",M823,IF(J823="Both",L823,IF(AND(L823&lt;&gt;"",M823=""),L823,M823))))</f>
        <v/>
      </c>
      <c r="Z823">
        <f>IF(Y823&lt;&gt;"",TODAY()-Y823,"")</f>
        <v/>
      </c>
      <c r="AC823">
        <f>IF(AND(AA823&lt;&gt;"",AB823&lt;&gt;""),CHOOSE(MATCH(AA823,{"Low","Medium","High","Critical"},0),25,50,75,100)-CHOOSE(MATCH(AB823,{"Low","Medium","High","Critical"},0),25,50,75,100),"")</f>
        <v/>
      </c>
      <c r="AG823">
        <f>IF(AF823&lt;&gt;"",IF(AH823="Weekly",AF823+7,IF(AH823="Monthly",EDATE(AF823,1),IF(AH823="Quarterly",EDATE(AF823,3),""))),"")</f>
        <v/>
      </c>
      <c r="AK823">
        <f>IF(AJ823&lt;&gt;"",IF(AI823="Monthly",EDATE(AJ823,1),IF(AI823="Quarterly",EDATE(AJ823,3),IF(AI823="Semi-Annual",EDATE(AJ823,6),""))),"")</f>
        <v/>
      </c>
      <c r="AL823">
        <f>IF(AK823&lt;&gt;"",IF(AK823&lt;TODAY(),"Overdue","Current"),"")</f>
        <v/>
      </c>
    </row>
    <row r="824">
      <c r="K824">
        <f>IF(J824="v4.0",L824,IF(J824="v3.1",M824,IF(J824="Both",L824,IF(AND(L824&lt;&gt;"",M824=""),L824,M824))))</f>
        <v/>
      </c>
      <c r="Z824">
        <f>IF(Y824&lt;&gt;"",TODAY()-Y824,"")</f>
        <v/>
      </c>
      <c r="AC824">
        <f>IF(AND(AA824&lt;&gt;"",AB824&lt;&gt;""),CHOOSE(MATCH(AA824,{"Low","Medium","High","Critical"},0),25,50,75,100)-CHOOSE(MATCH(AB824,{"Low","Medium","High","Critical"},0),25,50,75,100),"")</f>
        <v/>
      </c>
      <c r="AG824">
        <f>IF(AF824&lt;&gt;"",IF(AH824="Weekly",AF824+7,IF(AH824="Monthly",EDATE(AF824,1),IF(AH824="Quarterly",EDATE(AF824,3),""))),"")</f>
        <v/>
      </c>
      <c r="AK824">
        <f>IF(AJ824&lt;&gt;"",IF(AI824="Monthly",EDATE(AJ824,1),IF(AI824="Quarterly",EDATE(AJ824,3),IF(AI824="Semi-Annual",EDATE(AJ824,6),""))),"")</f>
        <v/>
      </c>
      <c r="AL824">
        <f>IF(AK824&lt;&gt;"",IF(AK824&lt;TODAY(),"Overdue","Current"),"")</f>
        <v/>
      </c>
    </row>
    <row r="825">
      <c r="K825">
        <f>IF(J825="v4.0",L825,IF(J825="v3.1",M825,IF(J825="Both",L825,IF(AND(L825&lt;&gt;"",M825=""),L825,M825))))</f>
        <v/>
      </c>
      <c r="Z825">
        <f>IF(Y825&lt;&gt;"",TODAY()-Y825,"")</f>
        <v/>
      </c>
      <c r="AC825">
        <f>IF(AND(AA825&lt;&gt;"",AB825&lt;&gt;""),CHOOSE(MATCH(AA825,{"Low","Medium","High","Critical"},0),25,50,75,100)-CHOOSE(MATCH(AB825,{"Low","Medium","High","Critical"},0),25,50,75,100),"")</f>
        <v/>
      </c>
      <c r="AG825">
        <f>IF(AF825&lt;&gt;"",IF(AH825="Weekly",AF825+7,IF(AH825="Monthly",EDATE(AF825,1),IF(AH825="Quarterly",EDATE(AF825,3),""))),"")</f>
        <v/>
      </c>
      <c r="AK825">
        <f>IF(AJ825&lt;&gt;"",IF(AI825="Monthly",EDATE(AJ825,1),IF(AI825="Quarterly",EDATE(AJ825,3),IF(AI825="Semi-Annual",EDATE(AJ825,6),""))),"")</f>
        <v/>
      </c>
      <c r="AL825">
        <f>IF(AK825&lt;&gt;"",IF(AK825&lt;TODAY(),"Overdue","Current"),"")</f>
        <v/>
      </c>
    </row>
    <row r="826">
      <c r="K826">
        <f>IF(J826="v4.0",L826,IF(J826="v3.1",M826,IF(J826="Both",L826,IF(AND(L826&lt;&gt;"",M826=""),L826,M826))))</f>
        <v/>
      </c>
      <c r="Z826">
        <f>IF(Y826&lt;&gt;"",TODAY()-Y826,"")</f>
        <v/>
      </c>
      <c r="AC826">
        <f>IF(AND(AA826&lt;&gt;"",AB826&lt;&gt;""),CHOOSE(MATCH(AA826,{"Low","Medium","High","Critical"},0),25,50,75,100)-CHOOSE(MATCH(AB826,{"Low","Medium","High","Critical"},0),25,50,75,100),"")</f>
        <v/>
      </c>
      <c r="AG826">
        <f>IF(AF826&lt;&gt;"",IF(AH826="Weekly",AF826+7,IF(AH826="Monthly",EDATE(AF826,1),IF(AH826="Quarterly",EDATE(AF826,3),""))),"")</f>
        <v/>
      </c>
      <c r="AK826">
        <f>IF(AJ826&lt;&gt;"",IF(AI826="Monthly",EDATE(AJ826,1),IF(AI826="Quarterly",EDATE(AJ826,3),IF(AI826="Semi-Annual",EDATE(AJ826,6),""))),"")</f>
        <v/>
      </c>
      <c r="AL826">
        <f>IF(AK826&lt;&gt;"",IF(AK826&lt;TODAY(),"Overdue","Current"),"")</f>
        <v/>
      </c>
    </row>
    <row r="827">
      <c r="K827">
        <f>IF(J827="v4.0",L827,IF(J827="v3.1",M827,IF(J827="Both",L827,IF(AND(L827&lt;&gt;"",M827=""),L827,M827))))</f>
        <v/>
      </c>
      <c r="Z827">
        <f>IF(Y827&lt;&gt;"",TODAY()-Y827,"")</f>
        <v/>
      </c>
      <c r="AC827">
        <f>IF(AND(AA827&lt;&gt;"",AB827&lt;&gt;""),CHOOSE(MATCH(AA827,{"Low","Medium","High","Critical"},0),25,50,75,100)-CHOOSE(MATCH(AB827,{"Low","Medium","High","Critical"},0),25,50,75,100),"")</f>
        <v/>
      </c>
      <c r="AG827">
        <f>IF(AF827&lt;&gt;"",IF(AH827="Weekly",AF827+7,IF(AH827="Monthly",EDATE(AF827,1),IF(AH827="Quarterly",EDATE(AF827,3),""))),"")</f>
        <v/>
      </c>
      <c r="AK827">
        <f>IF(AJ827&lt;&gt;"",IF(AI827="Monthly",EDATE(AJ827,1),IF(AI827="Quarterly",EDATE(AJ827,3),IF(AI827="Semi-Annual",EDATE(AJ827,6),""))),"")</f>
        <v/>
      </c>
      <c r="AL827">
        <f>IF(AK827&lt;&gt;"",IF(AK827&lt;TODAY(),"Overdue","Current"),"")</f>
        <v/>
      </c>
    </row>
    <row r="828">
      <c r="K828">
        <f>IF(J828="v4.0",L828,IF(J828="v3.1",M828,IF(J828="Both",L828,IF(AND(L828&lt;&gt;"",M828=""),L828,M828))))</f>
        <v/>
      </c>
      <c r="Z828">
        <f>IF(Y828&lt;&gt;"",TODAY()-Y828,"")</f>
        <v/>
      </c>
      <c r="AC828">
        <f>IF(AND(AA828&lt;&gt;"",AB828&lt;&gt;""),CHOOSE(MATCH(AA828,{"Low","Medium","High","Critical"},0),25,50,75,100)-CHOOSE(MATCH(AB828,{"Low","Medium","High","Critical"},0),25,50,75,100),"")</f>
        <v/>
      </c>
      <c r="AG828">
        <f>IF(AF828&lt;&gt;"",IF(AH828="Weekly",AF828+7,IF(AH828="Monthly",EDATE(AF828,1),IF(AH828="Quarterly",EDATE(AF828,3),""))),"")</f>
        <v/>
      </c>
      <c r="AK828">
        <f>IF(AJ828&lt;&gt;"",IF(AI828="Monthly",EDATE(AJ828,1),IF(AI828="Quarterly",EDATE(AJ828,3),IF(AI828="Semi-Annual",EDATE(AJ828,6),""))),"")</f>
        <v/>
      </c>
      <c r="AL828">
        <f>IF(AK828&lt;&gt;"",IF(AK828&lt;TODAY(),"Overdue","Current"),"")</f>
        <v/>
      </c>
    </row>
    <row r="829">
      <c r="K829">
        <f>IF(J829="v4.0",L829,IF(J829="v3.1",M829,IF(J829="Both",L829,IF(AND(L829&lt;&gt;"",M829=""),L829,M829))))</f>
        <v/>
      </c>
      <c r="Z829">
        <f>IF(Y829&lt;&gt;"",TODAY()-Y829,"")</f>
        <v/>
      </c>
      <c r="AC829">
        <f>IF(AND(AA829&lt;&gt;"",AB829&lt;&gt;""),CHOOSE(MATCH(AA829,{"Low","Medium","High","Critical"},0),25,50,75,100)-CHOOSE(MATCH(AB829,{"Low","Medium","High","Critical"},0),25,50,75,100),"")</f>
        <v/>
      </c>
      <c r="AG829">
        <f>IF(AF829&lt;&gt;"",IF(AH829="Weekly",AF829+7,IF(AH829="Monthly",EDATE(AF829,1),IF(AH829="Quarterly",EDATE(AF829,3),""))),"")</f>
        <v/>
      </c>
      <c r="AK829">
        <f>IF(AJ829&lt;&gt;"",IF(AI829="Monthly",EDATE(AJ829,1),IF(AI829="Quarterly",EDATE(AJ829,3),IF(AI829="Semi-Annual",EDATE(AJ829,6),""))),"")</f>
        <v/>
      </c>
      <c r="AL829">
        <f>IF(AK829&lt;&gt;"",IF(AK829&lt;TODAY(),"Overdue","Current"),"")</f>
        <v/>
      </c>
    </row>
    <row r="830">
      <c r="K830">
        <f>IF(J830="v4.0",L830,IF(J830="v3.1",M830,IF(J830="Both",L830,IF(AND(L830&lt;&gt;"",M830=""),L830,M830))))</f>
        <v/>
      </c>
      <c r="Z830">
        <f>IF(Y830&lt;&gt;"",TODAY()-Y830,"")</f>
        <v/>
      </c>
      <c r="AC830">
        <f>IF(AND(AA830&lt;&gt;"",AB830&lt;&gt;""),CHOOSE(MATCH(AA830,{"Low","Medium","High","Critical"},0),25,50,75,100)-CHOOSE(MATCH(AB830,{"Low","Medium","High","Critical"},0),25,50,75,100),"")</f>
        <v/>
      </c>
      <c r="AG830">
        <f>IF(AF830&lt;&gt;"",IF(AH830="Weekly",AF830+7,IF(AH830="Monthly",EDATE(AF830,1),IF(AH830="Quarterly",EDATE(AF830,3),""))),"")</f>
        <v/>
      </c>
      <c r="AK830">
        <f>IF(AJ830&lt;&gt;"",IF(AI830="Monthly",EDATE(AJ830,1),IF(AI830="Quarterly",EDATE(AJ830,3),IF(AI830="Semi-Annual",EDATE(AJ830,6),""))),"")</f>
        <v/>
      </c>
      <c r="AL830">
        <f>IF(AK830&lt;&gt;"",IF(AK830&lt;TODAY(),"Overdue","Current"),"")</f>
        <v/>
      </c>
    </row>
    <row r="831">
      <c r="K831">
        <f>IF(J831="v4.0",L831,IF(J831="v3.1",M831,IF(J831="Both",L831,IF(AND(L831&lt;&gt;"",M831=""),L831,M831))))</f>
        <v/>
      </c>
      <c r="Z831">
        <f>IF(Y831&lt;&gt;"",TODAY()-Y831,"")</f>
        <v/>
      </c>
      <c r="AC831">
        <f>IF(AND(AA831&lt;&gt;"",AB831&lt;&gt;""),CHOOSE(MATCH(AA831,{"Low","Medium","High","Critical"},0),25,50,75,100)-CHOOSE(MATCH(AB831,{"Low","Medium","High","Critical"},0),25,50,75,100),"")</f>
        <v/>
      </c>
      <c r="AG831">
        <f>IF(AF831&lt;&gt;"",IF(AH831="Weekly",AF831+7,IF(AH831="Monthly",EDATE(AF831,1),IF(AH831="Quarterly",EDATE(AF831,3),""))),"")</f>
        <v/>
      </c>
      <c r="AK831">
        <f>IF(AJ831&lt;&gt;"",IF(AI831="Monthly",EDATE(AJ831,1),IF(AI831="Quarterly",EDATE(AJ831,3),IF(AI831="Semi-Annual",EDATE(AJ831,6),""))),"")</f>
        <v/>
      </c>
      <c r="AL831">
        <f>IF(AK831&lt;&gt;"",IF(AK831&lt;TODAY(),"Overdue","Current"),"")</f>
        <v/>
      </c>
    </row>
    <row r="832">
      <c r="K832">
        <f>IF(J832="v4.0",L832,IF(J832="v3.1",M832,IF(J832="Both",L832,IF(AND(L832&lt;&gt;"",M832=""),L832,M832))))</f>
        <v/>
      </c>
      <c r="Z832">
        <f>IF(Y832&lt;&gt;"",TODAY()-Y832,"")</f>
        <v/>
      </c>
      <c r="AC832">
        <f>IF(AND(AA832&lt;&gt;"",AB832&lt;&gt;""),CHOOSE(MATCH(AA832,{"Low","Medium","High","Critical"},0),25,50,75,100)-CHOOSE(MATCH(AB832,{"Low","Medium","High","Critical"},0),25,50,75,100),"")</f>
        <v/>
      </c>
      <c r="AG832">
        <f>IF(AF832&lt;&gt;"",IF(AH832="Weekly",AF832+7,IF(AH832="Monthly",EDATE(AF832,1),IF(AH832="Quarterly",EDATE(AF832,3),""))),"")</f>
        <v/>
      </c>
      <c r="AK832">
        <f>IF(AJ832&lt;&gt;"",IF(AI832="Monthly",EDATE(AJ832,1),IF(AI832="Quarterly",EDATE(AJ832,3),IF(AI832="Semi-Annual",EDATE(AJ832,6),""))),"")</f>
        <v/>
      </c>
      <c r="AL832">
        <f>IF(AK832&lt;&gt;"",IF(AK832&lt;TODAY(),"Overdue","Current"),"")</f>
        <v/>
      </c>
    </row>
    <row r="833">
      <c r="K833">
        <f>IF(J833="v4.0",L833,IF(J833="v3.1",M833,IF(J833="Both",L833,IF(AND(L833&lt;&gt;"",M833=""),L833,M833))))</f>
        <v/>
      </c>
      <c r="Z833">
        <f>IF(Y833&lt;&gt;"",TODAY()-Y833,"")</f>
        <v/>
      </c>
      <c r="AC833">
        <f>IF(AND(AA833&lt;&gt;"",AB833&lt;&gt;""),CHOOSE(MATCH(AA833,{"Low","Medium","High","Critical"},0),25,50,75,100)-CHOOSE(MATCH(AB833,{"Low","Medium","High","Critical"},0),25,50,75,100),"")</f>
        <v/>
      </c>
      <c r="AG833">
        <f>IF(AF833&lt;&gt;"",IF(AH833="Weekly",AF833+7,IF(AH833="Monthly",EDATE(AF833,1),IF(AH833="Quarterly",EDATE(AF833,3),""))),"")</f>
        <v/>
      </c>
      <c r="AK833">
        <f>IF(AJ833&lt;&gt;"",IF(AI833="Monthly",EDATE(AJ833,1),IF(AI833="Quarterly",EDATE(AJ833,3),IF(AI833="Semi-Annual",EDATE(AJ833,6),""))),"")</f>
        <v/>
      </c>
      <c r="AL833">
        <f>IF(AK833&lt;&gt;"",IF(AK833&lt;TODAY(),"Overdue","Current"),"")</f>
        <v/>
      </c>
    </row>
    <row r="834">
      <c r="K834">
        <f>IF(J834="v4.0",L834,IF(J834="v3.1",M834,IF(J834="Both",L834,IF(AND(L834&lt;&gt;"",M834=""),L834,M834))))</f>
        <v/>
      </c>
      <c r="Z834">
        <f>IF(Y834&lt;&gt;"",TODAY()-Y834,"")</f>
        <v/>
      </c>
      <c r="AC834">
        <f>IF(AND(AA834&lt;&gt;"",AB834&lt;&gt;""),CHOOSE(MATCH(AA834,{"Low","Medium","High","Critical"},0),25,50,75,100)-CHOOSE(MATCH(AB834,{"Low","Medium","High","Critical"},0),25,50,75,100),"")</f>
        <v/>
      </c>
      <c r="AG834">
        <f>IF(AF834&lt;&gt;"",IF(AH834="Weekly",AF834+7,IF(AH834="Monthly",EDATE(AF834,1),IF(AH834="Quarterly",EDATE(AF834,3),""))),"")</f>
        <v/>
      </c>
      <c r="AK834">
        <f>IF(AJ834&lt;&gt;"",IF(AI834="Monthly",EDATE(AJ834,1),IF(AI834="Quarterly",EDATE(AJ834,3),IF(AI834="Semi-Annual",EDATE(AJ834,6),""))),"")</f>
        <v/>
      </c>
      <c r="AL834">
        <f>IF(AK834&lt;&gt;"",IF(AK834&lt;TODAY(),"Overdue","Current"),"")</f>
        <v/>
      </c>
    </row>
    <row r="835">
      <c r="K835">
        <f>IF(J835="v4.0",L835,IF(J835="v3.1",M835,IF(J835="Both",L835,IF(AND(L835&lt;&gt;"",M835=""),L835,M835))))</f>
        <v/>
      </c>
      <c r="Z835">
        <f>IF(Y835&lt;&gt;"",TODAY()-Y835,"")</f>
        <v/>
      </c>
      <c r="AC835">
        <f>IF(AND(AA835&lt;&gt;"",AB835&lt;&gt;""),CHOOSE(MATCH(AA835,{"Low","Medium","High","Critical"},0),25,50,75,100)-CHOOSE(MATCH(AB835,{"Low","Medium","High","Critical"},0),25,50,75,100),"")</f>
        <v/>
      </c>
      <c r="AG835">
        <f>IF(AF835&lt;&gt;"",IF(AH835="Weekly",AF835+7,IF(AH835="Monthly",EDATE(AF835,1),IF(AH835="Quarterly",EDATE(AF835,3),""))),"")</f>
        <v/>
      </c>
      <c r="AK835">
        <f>IF(AJ835&lt;&gt;"",IF(AI835="Monthly",EDATE(AJ835,1),IF(AI835="Quarterly",EDATE(AJ835,3),IF(AI835="Semi-Annual",EDATE(AJ835,6),""))),"")</f>
        <v/>
      </c>
      <c r="AL835">
        <f>IF(AK835&lt;&gt;"",IF(AK835&lt;TODAY(),"Overdue","Current"),"")</f>
        <v/>
      </c>
    </row>
    <row r="836">
      <c r="K836">
        <f>IF(J836="v4.0",L836,IF(J836="v3.1",M836,IF(J836="Both",L836,IF(AND(L836&lt;&gt;"",M836=""),L836,M836))))</f>
        <v/>
      </c>
      <c r="Z836">
        <f>IF(Y836&lt;&gt;"",TODAY()-Y836,"")</f>
        <v/>
      </c>
      <c r="AC836">
        <f>IF(AND(AA836&lt;&gt;"",AB836&lt;&gt;""),CHOOSE(MATCH(AA836,{"Low","Medium","High","Critical"},0),25,50,75,100)-CHOOSE(MATCH(AB836,{"Low","Medium","High","Critical"},0),25,50,75,100),"")</f>
        <v/>
      </c>
      <c r="AG836">
        <f>IF(AF836&lt;&gt;"",IF(AH836="Weekly",AF836+7,IF(AH836="Monthly",EDATE(AF836,1),IF(AH836="Quarterly",EDATE(AF836,3),""))),"")</f>
        <v/>
      </c>
      <c r="AK836">
        <f>IF(AJ836&lt;&gt;"",IF(AI836="Monthly",EDATE(AJ836,1),IF(AI836="Quarterly",EDATE(AJ836,3),IF(AI836="Semi-Annual",EDATE(AJ836,6),""))),"")</f>
        <v/>
      </c>
      <c r="AL836">
        <f>IF(AK836&lt;&gt;"",IF(AK836&lt;TODAY(),"Overdue","Current"),"")</f>
        <v/>
      </c>
    </row>
    <row r="837">
      <c r="K837">
        <f>IF(J837="v4.0",L837,IF(J837="v3.1",M837,IF(J837="Both",L837,IF(AND(L837&lt;&gt;"",M837=""),L837,M837))))</f>
        <v/>
      </c>
      <c r="Z837">
        <f>IF(Y837&lt;&gt;"",TODAY()-Y837,"")</f>
        <v/>
      </c>
      <c r="AC837">
        <f>IF(AND(AA837&lt;&gt;"",AB837&lt;&gt;""),CHOOSE(MATCH(AA837,{"Low","Medium","High","Critical"},0),25,50,75,100)-CHOOSE(MATCH(AB837,{"Low","Medium","High","Critical"},0),25,50,75,100),"")</f>
        <v/>
      </c>
      <c r="AG837">
        <f>IF(AF837&lt;&gt;"",IF(AH837="Weekly",AF837+7,IF(AH837="Monthly",EDATE(AF837,1),IF(AH837="Quarterly",EDATE(AF837,3),""))),"")</f>
        <v/>
      </c>
      <c r="AK837">
        <f>IF(AJ837&lt;&gt;"",IF(AI837="Monthly",EDATE(AJ837,1),IF(AI837="Quarterly",EDATE(AJ837,3),IF(AI837="Semi-Annual",EDATE(AJ837,6),""))),"")</f>
        <v/>
      </c>
      <c r="AL837">
        <f>IF(AK837&lt;&gt;"",IF(AK837&lt;TODAY(),"Overdue","Current"),"")</f>
        <v/>
      </c>
    </row>
    <row r="838">
      <c r="K838">
        <f>IF(J838="v4.0",L838,IF(J838="v3.1",M838,IF(J838="Both",L838,IF(AND(L838&lt;&gt;"",M838=""),L838,M838))))</f>
        <v/>
      </c>
      <c r="Z838">
        <f>IF(Y838&lt;&gt;"",TODAY()-Y838,"")</f>
        <v/>
      </c>
      <c r="AC838">
        <f>IF(AND(AA838&lt;&gt;"",AB838&lt;&gt;""),CHOOSE(MATCH(AA838,{"Low","Medium","High","Critical"},0),25,50,75,100)-CHOOSE(MATCH(AB838,{"Low","Medium","High","Critical"},0),25,50,75,100),"")</f>
        <v/>
      </c>
      <c r="AG838">
        <f>IF(AF838&lt;&gt;"",IF(AH838="Weekly",AF838+7,IF(AH838="Monthly",EDATE(AF838,1),IF(AH838="Quarterly",EDATE(AF838,3),""))),"")</f>
        <v/>
      </c>
      <c r="AK838">
        <f>IF(AJ838&lt;&gt;"",IF(AI838="Monthly",EDATE(AJ838,1),IF(AI838="Quarterly",EDATE(AJ838,3),IF(AI838="Semi-Annual",EDATE(AJ838,6),""))),"")</f>
        <v/>
      </c>
      <c r="AL838">
        <f>IF(AK838&lt;&gt;"",IF(AK838&lt;TODAY(),"Overdue","Current"),"")</f>
        <v/>
      </c>
    </row>
    <row r="839">
      <c r="K839">
        <f>IF(J839="v4.0",L839,IF(J839="v3.1",M839,IF(J839="Both",L839,IF(AND(L839&lt;&gt;"",M839=""),L839,M839))))</f>
        <v/>
      </c>
      <c r="Z839">
        <f>IF(Y839&lt;&gt;"",TODAY()-Y839,"")</f>
        <v/>
      </c>
      <c r="AC839">
        <f>IF(AND(AA839&lt;&gt;"",AB839&lt;&gt;""),CHOOSE(MATCH(AA839,{"Low","Medium","High","Critical"},0),25,50,75,100)-CHOOSE(MATCH(AB839,{"Low","Medium","High","Critical"},0),25,50,75,100),"")</f>
        <v/>
      </c>
      <c r="AG839">
        <f>IF(AF839&lt;&gt;"",IF(AH839="Weekly",AF839+7,IF(AH839="Monthly",EDATE(AF839,1),IF(AH839="Quarterly",EDATE(AF839,3),""))),"")</f>
        <v/>
      </c>
      <c r="AK839">
        <f>IF(AJ839&lt;&gt;"",IF(AI839="Monthly",EDATE(AJ839,1),IF(AI839="Quarterly",EDATE(AJ839,3),IF(AI839="Semi-Annual",EDATE(AJ839,6),""))),"")</f>
        <v/>
      </c>
      <c r="AL839">
        <f>IF(AK839&lt;&gt;"",IF(AK839&lt;TODAY(),"Overdue","Current"),"")</f>
        <v/>
      </c>
    </row>
    <row r="840">
      <c r="K840">
        <f>IF(J840="v4.0",L840,IF(J840="v3.1",M840,IF(J840="Both",L840,IF(AND(L840&lt;&gt;"",M840=""),L840,M840))))</f>
        <v/>
      </c>
      <c r="Z840">
        <f>IF(Y840&lt;&gt;"",TODAY()-Y840,"")</f>
        <v/>
      </c>
      <c r="AC840">
        <f>IF(AND(AA840&lt;&gt;"",AB840&lt;&gt;""),CHOOSE(MATCH(AA840,{"Low","Medium","High","Critical"},0),25,50,75,100)-CHOOSE(MATCH(AB840,{"Low","Medium","High","Critical"},0),25,50,75,100),"")</f>
        <v/>
      </c>
      <c r="AG840">
        <f>IF(AF840&lt;&gt;"",IF(AH840="Weekly",AF840+7,IF(AH840="Monthly",EDATE(AF840,1),IF(AH840="Quarterly",EDATE(AF840,3),""))),"")</f>
        <v/>
      </c>
      <c r="AK840">
        <f>IF(AJ840&lt;&gt;"",IF(AI840="Monthly",EDATE(AJ840,1),IF(AI840="Quarterly",EDATE(AJ840,3),IF(AI840="Semi-Annual",EDATE(AJ840,6),""))),"")</f>
        <v/>
      </c>
      <c r="AL840">
        <f>IF(AK840&lt;&gt;"",IF(AK840&lt;TODAY(),"Overdue","Current"),"")</f>
        <v/>
      </c>
    </row>
    <row r="841">
      <c r="K841">
        <f>IF(J841="v4.0",L841,IF(J841="v3.1",M841,IF(J841="Both",L841,IF(AND(L841&lt;&gt;"",M841=""),L841,M841))))</f>
        <v/>
      </c>
      <c r="Z841">
        <f>IF(Y841&lt;&gt;"",TODAY()-Y841,"")</f>
        <v/>
      </c>
      <c r="AC841">
        <f>IF(AND(AA841&lt;&gt;"",AB841&lt;&gt;""),CHOOSE(MATCH(AA841,{"Low","Medium","High","Critical"},0),25,50,75,100)-CHOOSE(MATCH(AB841,{"Low","Medium","High","Critical"},0),25,50,75,100),"")</f>
        <v/>
      </c>
      <c r="AG841">
        <f>IF(AF841&lt;&gt;"",IF(AH841="Weekly",AF841+7,IF(AH841="Monthly",EDATE(AF841,1),IF(AH841="Quarterly",EDATE(AF841,3),""))),"")</f>
        <v/>
      </c>
      <c r="AK841">
        <f>IF(AJ841&lt;&gt;"",IF(AI841="Monthly",EDATE(AJ841,1),IF(AI841="Quarterly",EDATE(AJ841,3),IF(AI841="Semi-Annual",EDATE(AJ841,6),""))),"")</f>
        <v/>
      </c>
      <c r="AL841">
        <f>IF(AK841&lt;&gt;"",IF(AK841&lt;TODAY(),"Overdue","Current"),"")</f>
        <v/>
      </c>
    </row>
    <row r="842">
      <c r="K842">
        <f>IF(J842="v4.0",L842,IF(J842="v3.1",M842,IF(J842="Both",L842,IF(AND(L842&lt;&gt;"",M842=""),L842,M842))))</f>
        <v/>
      </c>
      <c r="Z842">
        <f>IF(Y842&lt;&gt;"",TODAY()-Y842,"")</f>
        <v/>
      </c>
      <c r="AC842">
        <f>IF(AND(AA842&lt;&gt;"",AB842&lt;&gt;""),CHOOSE(MATCH(AA842,{"Low","Medium","High","Critical"},0),25,50,75,100)-CHOOSE(MATCH(AB842,{"Low","Medium","High","Critical"},0),25,50,75,100),"")</f>
        <v/>
      </c>
      <c r="AG842">
        <f>IF(AF842&lt;&gt;"",IF(AH842="Weekly",AF842+7,IF(AH842="Monthly",EDATE(AF842,1),IF(AH842="Quarterly",EDATE(AF842,3),""))),"")</f>
        <v/>
      </c>
      <c r="AK842">
        <f>IF(AJ842&lt;&gt;"",IF(AI842="Monthly",EDATE(AJ842,1),IF(AI842="Quarterly",EDATE(AJ842,3),IF(AI842="Semi-Annual",EDATE(AJ842,6),""))),"")</f>
        <v/>
      </c>
      <c r="AL842">
        <f>IF(AK842&lt;&gt;"",IF(AK842&lt;TODAY(),"Overdue","Current"),"")</f>
        <v/>
      </c>
    </row>
    <row r="843">
      <c r="K843">
        <f>IF(J843="v4.0",L843,IF(J843="v3.1",M843,IF(J843="Both",L843,IF(AND(L843&lt;&gt;"",M843=""),L843,M843))))</f>
        <v/>
      </c>
      <c r="Z843">
        <f>IF(Y843&lt;&gt;"",TODAY()-Y843,"")</f>
        <v/>
      </c>
      <c r="AC843">
        <f>IF(AND(AA843&lt;&gt;"",AB843&lt;&gt;""),CHOOSE(MATCH(AA843,{"Low","Medium","High","Critical"},0),25,50,75,100)-CHOOSE(MATCH(AB843,{"Low","Medium","High","Critical"},0),25,50,75,100),"")</f>
        <v/>
      </c>
      <c r="AG843">
        <f>IF(AF843&lt;&gt;"",IF(AH843="Weekly",AF843+7,IF(AH843="Monthly",EDATE(AF843,1),IF(AH843="Quarterly",EDATE(AF843,3),""))),"")</f>
        <v/>
      </c>
      <c r="AK843">
        <f>IF(AJ843&lt;&gt;"",IF(AI843="Monthly",EDATE(AJ843,1),IF(AI843="Quarterly",EDATE(AJ843,3),IF(AI843="Semi-Annual",EDATE(AJ843,6),""))),"")</f>
        <v/>
      </c>
      <c r="AL843">
        <f>IF(AK843&lt;&gt;"",IF(AK843&lt;TODAY(),"Overdue","Current"),"")</f>
        <v/>
      </c>
    </row>
    <row r="844">
      <c r="K844">
        <f>IF(J844="v4.0",L844,IF(J844="v3.1",M844,IF(J844="Both",L844,IF(AND(L844&lt;&gt;"",M844=""),L844,M844))))</f>
        <v/>
      </c>
      <c r="Z844">
        <f>IF(Y844&lt;&gt;"",TODAY()-Y844,"")</f>
        <v/>
      </c>
      <c r="AC844">
        <f>IF(AND(AA844&lt;&gt;"",AB844&lt;&gt;""),CHOOSE(MATCH(AA844,{"Low","Medium","High","Critical"},0),25,50,75,100)-CHOOSE(MATCH(AB844,{"Low","Medium","High","Critical"},0),25,50,75,100),"")</f>
        <v/>
      </c>
      <c r="AG844">
        <f>IF(AF844&lt;&gt;"",IF(AH844="Weekly",AF844+7,IF(AH844="Monthly",EDATE(AF844,1),IF(AH844="Quarterly",EDATE(AF844,3),""))),"")</f>
        <v/>
      </c>
      <c r="AK844">
        <f>IF(AJ844&lt;&gt;"",IF(AI844="Monthly",EDATE(AJ844,1),IF(AI844="Quarterly",EDATE(AJ844,3),IF(AI844="Semi-Annual",EDATE(AJ844,6),""))),"")</f>
        <v/>
      </c>
      <c r="AL844">
        <f>IF(AK844&lt;&gt;"",IF(AK844&lt;TODAY(),"Overdue","Current"),"")</f>
        <v/>
      </c>
    </row>
    <row r="845">
      <c r="K845">
        <f>IF(J845="v4.0",L845,IF(J845="v3.1",M845,IF(J845="Both",L845,IF(AND(L845&lt;&gt;"",M845=""),L845,M845))))</f>
        <v/>
      </c>
      <c r="Z845">
        <f>IF(Y845&lt;&gt;"",TODAY()-Y845,"")</f>
        <v/>
      </c>
      <c r="AC845">
        <f>IF(AND(AA845&lt;&gt;"",AB845&lt;&gt;""),CHOOSE(MATCH(AA845,{"Low","Medium","High","Critical"},0),25,50,75,100)-CHOOSE(MATCH(AB845,{"Low","Medium","High","Critical"},0),25,50,75,100),"")</f>
        <v/>
      </c>
      <c r="AG845">
        <f>IF(AF845&lt;&gt;"",IF(AH845="Weekly",AF845+7,IF(AH845="Monthly",EDATE(AF845,1),IF(AH845="Quarterly",EDATE(AF845,3),""))),"")</f>
        <v/>
      </c>
      <c r="AK845">
        <f>IF(AJ845&lt;&gt;"",IF(AI845="Monthly",EDATE(AJ845,1),IF(AI845="Quarterly",EDATE(AJ845,3),IF(AI845="Semi-Annual",EDATE(AJ845,6),""))),"")</f>
        <v/>
      </c>
      <c r="AL845">
        <f>IF(AK845&lt;&gt;"",IF(AK845&lt;TODAY(),"Overdue","Current"),"")</f>
        <v/>
      </c>
    </row>
    <row r="846">
      <c r="K846">
        <f>IF(J846="v4.0",L846,IF(J846="v3.1",M846,IF(J846="Both",L846,IF(AND(L846&lt;&gt;"",M846=""),L846,M846))))</f>
        <v/>
      </c>
      <c r="Z846">
        <f>IF(Y846&lt;&gt;"",TODAY()-Y846,"")</f>
        <v/>
      </c>
      <c r="AC846">
        <f>IF(AND(AA846&lt;&gt;"",AB846&lt;&gt;""),CHOOSE(MATCH(AA846,{"Low","Medium","High","Critical"},0),25,50,75,100)-CHOOSE(MATCH(AB846,{"Low","Medium","High","Critical"},0),25,50,75,100),"")</f>
        <v/>
      </c>
      <c r="AG846">
        <f>IF(AF846&lt;&gt;"",IF(AH846="Weekly",AF846+7,IF(AH846="Monthly",EDATE(AF846,1),IF(AH846="Quarterly",EDATE(AF846,3),""))),"")</f>
        <v/>
      </c>
      <c r="AK846">
        <f>IF(AJ846&lt;&gt;"",IF(AI846="Monthly",EDATE(AJ846,1),IF(AI846="Quarterly",EDATE(AJ846,3),IF(AI846="Semi-Annual",EDATE(AJ846,6),""))),"")</f>
        <v/>
      </c>
      <c r="AL846">
        <f>IF(AK846&lt;&gt;"",IF(AK846&lt;TODAY(),"Overdue","Current"),"")</f>
        <v/>
      </c>
    </row>
    <row r="847">
      <c r="K847">
        <f>IF(J847="v4.0",L847,IF(J847="v3.1",M847,IF(J847="Both",L847,IF(AND(L847&lt;&gt;"",M847=""),L847,M847))))</f>
        <v/>
      </c>
      <c r="Z847">
        <f>IF(Y847&lt;&gt;"",TODAY()-Y847,"")</f>
        <v/>
      </c>
      <c r="AC847">
        <f>IF(AND(AA847&lt;&gt;"",AB847&lt;&gt;""),CHOOSE(MATCH(AA847,{"Low","Medium","High","Critical"},0),25,50,75,100)-CHOOSE(MATCH(AB847,{"Low","Medium","High","Critical"},0),25,50,75,100),"")</f>
        <v/>
      </c>
      <c r="AG847">
        <f>IF(AF847&lt;&gt;"",IF(AH847="Weekly",AF847+7,IF(AH847="Monthly",EDATE(AF847,1),IF(AH847="Quarterly",EDATE(AF847,3),""))),"")</f>
        <v/>
      </c>
      <c r="AK847">
        <f>IF(AJ847&lt;&gt;"",IF(AI847="Monthly",EDATE(AJ847,1),IF(AI847="Quarterly",EDATE(AJ847,3),IF(AI847="Semi-Annual",EDATE(AJ847,6),""))),"")</f>
        <v/>
      </c>
      <c r="AL847">
        <f>IF(AK847&lt;&gt;"",IF(AK847&lt;TODAY(),"Overdue","Current"),"")</f>
        <v/>
      </c>
    </row>
    <row r="848">
      <c r="K848">
        <f>IF(J848="v4.0",L848,IF(J848="v3.1",M848,IF(J848="Both",L848,IF(AND(L848&lt;&gt;"",M848=""),L848,M848))))</f>
        <v/>
      </c>
      <c r="Z848">
        <f>IF(Y848&lt;&gt;"",TODAY()-Y848,"")</f>
        <v/>
      </c>
      <c r="AC848">
        <f>IF(AND(AA848&lt;&gt;"",AB848&lt;&gt;""),CHOOSE(MATCH(AA848,{"Low","Medium","High","Critical"},0),25,50,75,100)-CHOOSE(MATCH(AB848,{"Low","Medium","High","Critical"},0),25,50,75,100),"")</f>
        <v/>
      </c>
      <c r="AG848">
        <f>IF(AF848&lt;&gt;"",IF(AH848="Weekly",AF848+7,IF(AH848="Monthly",EDATE(AF848,1),IF(AH848="Quarterly",EDATE(AF848,3),""))),"")</f>
        <v/>
      </c>
      <c r="AK848">
        <f>IF(AJ848&lt;&gt;"",IF(AI848="Monthly",EDATE(AJ848,1),IF(AI848="Quarterly",EDATE(AJ848,3),IF(AI848="Semi-Annual",EDATE(AJ848,6),""))),"")</f>
        <v/>
      </c>
      <c r="AL848">
        <f>IF(AK848&lt;&gt;"",IF(AK848&lt;TODAY(),"Overdue","Current"),"")</f>
        <v/>
      </c>
    </row>
    <row r="849">
      <c r="K849">
        <f>IF(J849="v4.0",L849,IF(J849="v3.1",M849,IF(J849="Both",L849,IF(AND(L849&lt;&gt;"",M849=""),L849,M849))))</f>
        <v/>
      </c>
      <c r="Z849">
        <f>IF(Y849&lt;&gt;"",TODAY()-Y849,"")</f>
        <v/>
      </c>
      <c r="AC849">
        <f>IF(AND(AA849&lt;&gt;"",AB849&lt;&gt;""),CHOOSE(MATCH(AA849,{"Low","Medium","High","Critical"},0),25,50,75,100)-CHOOSE(MATCH(AB849,{"Low","Medium","High","Critical"},0),25,50,75,100),"")</f>
        <v/>
      </c>
      <c r="AG849">
        <f>IF(AF849&lt;&gt;"",IF(AH849="Weekly",AF849+7,IF(AH849="Monthly",EDATE(AF849,1),IF(AH849="Quarterly",EDATE(AF849,3),""))),"")</f>
        <v/>
      </c>
      <c r="AK849">
        <f>IF(AJ849&lt;&gt;"",IF(AI849="Monthly",EDATE(AJ849,1),IF(AI849="Quarterly",EDATE(AJ849,3),IF(AI849="Semi-Annual",EDATE(AJ849,6),""))),"")</f>
        <v/>
      </c>
      <c r="AL849">
        <f>IF(AK849&lt;&gt;"",IF(AK849&lt;TODAY(),"Overdue","Current"),"")</f>
        <v/>
      </c>
    </row>
    <row r="850">
      <c r="K850">
        <f>IF(J850="v4.0",L850,IF(J850="v3.1",M850,IF(J850="Both",L850,IF(AND(L850&lt;&gt;"",M850=""),L850,M850))))</f>
        <v/>
      </c>
      <c r="Z850">
        <f>IF(Y850&lt;&gt;"",TODAY()-Y850,"")</f>
        <v/>
      </c>
      <c r="AC850">
        <f>IF(AND(AA850&lt;&gt;"",AB850&lt;&gt;""),CHOOSE(MATCH(AA850,{"Low","Medium","High","Critical"},0),25,50,75,100)-CHOOSE(MATCH(AB850,{"Low","Medium","High","Critical"},0),25,50,75,100),"")</f>
        <v/>
      </c>
      <c r="AG850">
        <f>IF(AF850&lt;&gt;"",IF(AH850="Weekly",AF850+7,IF(AH850="Monthly",EDATE(AF850,1),IF(AH850="Quarterly",EDATE(AF850,3),""))),"")</f>
        <v/>
      </c>
      <c r="AK850">
        <f>IF(AJ850&lt;&gt;"",IF(AI850="Monthly",EDATE(AJ850,1),IF(AI850="Quarterly",EDATE(AJ850,3),IF(AI850="Semi-Annual",EDATE(AJ850,6),""))),"")</f>
        <v/>
      </c>
      <c r="AL850">
        <f>IF(AK850&lt;&gt;"",IF(AK850&lt;TODAY(),"Overdue","Current"),"")</f>
        <v/>
      </c>
    </row>
    <row r="851">
      <c r="K851">
        <f>IF(J851="v4.0",L851,IF(J851="v3.1",M851,IF(J851="Both",L851,IF(AND(L851&lt;&gt;"",M851=""),L851,M851))))</f>
        <v/>
      </c>
      <c r="Z851">
        <f>IF(Y851&lt;&gt;"",TODAY()-Y851,"")</f>
        <v/>
      </c>
      <c r="AC851">
        <f>IF(AND(AA851&lt;&gt;"",AB851&lt;&gt;""),CHOOSE(MATCH(AA851,{"Low","Medium","High","Critical"},0),25,50,75,100)-CHOOSE(MATCH(AB851,{"Low","Medium","High","Critical"},0),25,50,75,100),"")</f>
        <v/>
      </c>
      <c r="AG851">
        <f>IF(AF851&lt;&gt;"",IF(AH851="Weekly",AF851+7,IF(AH851="Monthly",EDATE(AF851,1),IF(AH851="Quarterly",EDATE(AF851,3),""))),"")</f>
        <v/>
      </c>
      <c r="AK851">
        <f>IF(AJ851&lt;&gt;"",IF(AI851="Monthly",EDATE(AJ851,1),IF(AI851="Quarterly",EDATE(AJ851,3),IF(AI851="Semi-Annual",EDATE(AJ851,6),""))),"")</f>
        <v/>
      </c>
      <c r="AL851">
        <f>IF(AK851&lt;&gt;"",IF(AK851&lt;TODAY(),"Overdue","Current"),"")</f>
        <v/>
      </c>
    </row>
    <row r="852">
      <c r="K852">
        <f>IF(J852="v4.0",L852,IF(J852="v3.1",M852,IF(J852="Both",L852,IF(AND(L852&lt;&gt;"",M852=""),L852,M852))))</f>
        <v/>
      </c>
      <c r="Z852">
        <f>IF(Y852&lt;&gt;"",TODAY()-Y852,"")</f>
        <v/>
      </c>
      <c r="AC852">
        <f>IF(AND(AA852&lt;&gt;"",AB852&lt;&gt;""),CHOOSE(MATCH(AA852,{"Low","Medium","High","Critical"},0),25,50,75,100)-CHOOSE(MATCH(AB852,{"Low","Medium","High","Critical"},0),25,50,75,100),"")</f>
        <v/>
      </c>
      <c r="AG852">
        <f>IF(AF852&lt;&gt;"",IF(AH852="Weekly",AF852+7,IF(AH852="Monthly",EDATE(AF852,1),IF(AH852="Quarterly",EDATE(AF852,3),""))),"")</f>
        <v/>
      </c>
      <c r="AK852">
        <f>IF(AJ852&lt;&gt;"",IF(AI852="Monthly",EDATE(AJ852,1),IF(AI852="Quarterly",EDATE(AJ852,3),IF(AI852="Semi-Annual",EDATE(AJ852,6),""))),"")</f>
        <v/>
      </c>
      <c r="AL852">
        <f>IF(AK852&lt;&gt;"",IF(AK852&lt;TODAY(),"Overdue","Current"),"")</f>
        <v/>
      </c>
    </row>
    <row r="853">
      <c r="K853">
        <f>IF(J853="v4.0",L853,IF(J853="v3.1",M853,IF(J853="Both",L853,IF(AND(L853&lt;&gt;"",M853=""),L853,M853))))</f>
        <v/>
      </c>
      <c r="Z853">
        <f>IF(Y853&lt;&gt;"",TODAY()-Y853,"")</f>
        <v/>
      </c>
      <c r="AC853">
        <f>IF(AND(AA853&lt;&gt;"",AB853&lt;&gt;""),CHOOSE(MATCH(AA853,{"Low","Medium","High","Critical"},0),25,50,75,100)-CHOOSE(MATCH(AB853,{"Low","Medium","High","Critical"},0),25,50,75,100),"")</f>
        <v/>
      </c>
      <c r="AG853">
        <f>IF(AF853&lt;&gt;"",IF(AH853="Weekly",AF853+7,IF(AH853="Monthly",EDATE(AF853,1),IF(AH853="Quarterly",EDATE(AF853,3),""))),"")</f>
        <v/>
      </c>
      <c r="AK853">
        <f>IF(AJ853&lt;&gt;"",IF(AI853="Monthly",EDATE(AJ853,1),IF(AI853="Quarterly",EDATE(AJ853,3),IF(AI853="Semi-Annual",EDATE(AJ853,6),""))),"")</f>
        <v/>
      </c>
      <c r="AL853">
        <f>IF(AK853&lt;&gt;"",IF(AK853&lt;TODAY(),"Overdue","Current"),"")</f>
        <v/>
      </c>
    </row>
    <row r="854">
      <c r="K854">
        <f>IF(J854="v4.0",L854,IF(J854="v3.1",M854,IF(J854="Both",L854,IF(AND(L854&lt;&gt;"",M854=""),L854,M854))))</f>
        <v/>
      </c>
      <c r="Z854">
        <f>IF(Y854&lt;&gt;"",TODAY()-Y854,"")</f>
        <v/>
      </c>
      <c r="AC854">
        <f>IF(AND(AA854&lt;&gt;"",AB854&lt;&gt;""),CHOOSE(MATCH(AA854,{"Low","Medium","High","Critical"},0),25,50,75,100)-CHOOSE(MATCH(AB854,{"Low","Medium","High","Critical"},0),25,50,75,100),"")</f>
        <v/>
      </c>
      <c r="AG854">
        <f>IF(AF854&lt;&gt;"",IF(AH854="Weekly",AF854+7,IF(AH854="Monthly",EDATE(AF854,1),IF(AH854="Quarterly",EDATE(AF854,3),""))),"")</f>
        <v/>
      </c>
      <c r="AK854">
        <f>IF(AJ854&lt;&gt;"",IF(AI854="Monthly",EDATE(AJ854,1),IF(AI854="Quarterly",EDATE(AJ854,3),IF(AI854="Semi-Annual",EDATE(AJ854,6),""))),"")</f>
        <v/>
      </c>
      <c r="AL854">
        <f>IF(AK854&lt;&gt;"",IF(AK854&lt;TODAY(),"Overdue","Current"),"")</f>
        <v/>
      </c>
    </row>
    <row r="855">
      <c r="K855">
        <f>IF(J855="v4.0",L855,IF(J855="v3.1",M855,IF(J855="Both",L855,IF(AND(L855&lt;&gt;"",M855=""),L855,M855))))</f>
        <v/>
      </c>
      <c r="Z855">
        <f>IF(Y855&lt;&gt;"",TODAY()-Y855,"")</f>
        <v/>
      </c>
      <c r="AC855">
        <f>IF(AND(AA855&lt;&gt;"",AB855&lt;&gt;""),CHOOSE(MATCH(AA855,{"Low","Medium","High","Critical"},0),25,50,75,100)-CHOOSE(MATCH(AB855,{"Low","Medium","High","Critical"},0),25,50,75,100),"")</f>
        <v/>
      </c>
      <c r="AG855">
        <f>IF(AF855&lt;&gt;"",IF(AH855="Weekly",AF855+7,IF(AH855="Monthly",EDATE(AF855,1),IF(AH855="Quarterly",EDATE(AF855,3),""))),"")</f>
        <v/>
      </c>
      <c r="AK855">
        <f>IF(AJ855&lt;&gt;"",IF(AI855="Monthly",EDATE(AJ855,1),IF(AI855="Quarterly",EDATE(AJ855,3),IF(AI855="Semi-Annual",EDATE(AJ855,6),""))),"")</f>
        <v/>
      </c>
      <c r="AL855">
        <f>IF(AK855&lt;&gt;"",IF(AK855&lt;TODAY(),"Overdue","Current"),"")</f>
        <v/>
      </c>
    </row>
    <row r="856">
      <c r="K856">
        <f>IF(J856="v4.0",L856,IF(J856="v3.1",M856,IF(J856="Both",L856,IF(AND(L856&lt;&gt;"",M856=""),L856,M856))))</f>
        <v/>
      </c>
      <c r="Z856">
        <f>IF(Y856&lt;&gt;"",TODAY()-Y856,"")</f>
        <v/>
      </c>
      <c r="AC856">
        <f>IF(AND(AA856&lt;&gt;"",AB856&lt;&gt;""),CHOOSE(MATCH(AA856,{"Low","Medium","High","Critical"},0),25,50,75,100)-CHOOSE(MATCH(AB856,{"Low","Medium","High","Critical"},0),25,50,75,100),"")</f>
        <v/>
      </c>
      <c r="AG856">
        <f>IF(AF856&lt;&gt;"",IF(AH856="Weekly",AF856+7,IF(AH856="Monthly",EDATE(AF856,1),IF(AH856="Quarterly",EDATE(AF856,3),""))),"")</f>
        <v/>
      </c>
      <c r="AK856">
        <f>IF(AJ856&lt;&gt;"",IF(AI856="Monthly",EDATE(AJ856,1),IF(AI856="Quarterly",EDATE(AJ856,3),IF(AI856="Semi-Annual",EDATE(AJ856,6),""))),"")</f>
        <v/>
      </c>
      <c r="AL856">
        <f>IF(AK856&lt;&gt;"",IF(AK856&lt;TODAY(),"Overdue","Current"),"")</f>
        <v/>
      </c>
    </row>
    <row r="857">
      <c r="K857">
        <f>IF(J857="v4.0",L857,IF(J857="v3.1",M857,IF(J857="Both",L857,IF(AND(L857&lt;&gt;"",M857=""),L857,M857))))</f>
        <v/>
      </c>
      <c r="Z857">
        <f>IF(Y857&lt;&gt;"",TODAY()-Y857,"")</f>
        <v/>
      </c>
      <c r="AC857">
        <f>IF(AND(AA857&lt;&gt;"",AB857&lt;&gt;""),CHOOSE(MATCH(AA857,{"Low","Medium","High","Critical"},0),25,50,75,100)-CHOOSE(MATCH(AB857,{"Low","Medium","High","Critical"},0),25,50,75,100),"")</f>
        <v/>
      </c>
      <c r="AG857">
        <f>IF(AF857&lt;&gt;"",IF(AH857="Weekly",AF857+7,IF(AH857="Monthly",EDATE(AF857,1),IF(AH857="Quarterly",EDATE(AF857,3),""))),"")</f>
        <v/>
      </c>
      <c r="AK857">
        <f>IF(AJ857&lt;&gt;"",IF(AI857="Monthly",EDATE(AJ857,1),IF(AI857="Quarterly",EDATE(AJ857,3),IF(AI857="Semi-Annual",EDATE(AJ857,6),""))),"")</f>
        <v/>
      </c>
      <c r="AL857">
        <f>IF(AK857&lt;&gt;"",IF(AK857&lt;TODAY(),"Overdue","Current"),"")</f>
        <v/>
      </c>
    </row>
    <row r="858">
      <c r="K858">
        <f>IF(J858="v4.0",L858,IF(J858="v3.1",M858,IF(J858="Both",L858,IF(AND(L858&lt;&gt;"",M858=""),L858,M858))))</f>
        <v/>
      </c>
      <c r="Z858">
        <f>IF(Y858&lt;&gt;"",TODAY()-Y858,"")</f>
        <v/>
      </c>
      <c r="AC858">
        <f>IF(AND(AA858&lt;&gt;"",AB858&lt;&gt;""),CHOOSE(MATCH(AA858,{"Low","Medium","High","Critical"},0),25,50,75,100)-CHOOSE(MATCH(AB858,{"Low","Medium","High","Critical"},0),25,50,75,100),"")</f>
        <v/>
      </c>
      <c r="AG858">
        <f>IF(AF858&lt;&gt;"",IF(AH858="Weekly",AF858+7,IF(AH858="Monthly",EDATE(AF858,1),IF(AH858="Quarterly",EDATE(AF858,3),""))),"")</f>
        <v/>
      </c>
      <c r="AK858">
        <f>IF(AJ858&lt;&gt;"",IF(AI858="Monthly",EDATE(AJ858,1),IF(AI858="Quarterly",EDATE(AJ858,3),IF(AI858="Semi-Annual",EDATE(AJ858,6),""))),"")</f>
        <v/>
      </c>
      <c r="AL858">
        <f>IF(AK858&lt;&gt;"",IF(AK858&lt;TODAY(),"Overdue","Current"),"")</f>
        <v/>
      </c>
    </row>
    <row r="859">
      <c r="K859">
        <f>IF(J859="v4.0",L859,IF(J859="v3.1",M859,IF(J859="Both",L859,IF(AND(L859&lt;&gt;"",M859=""),L859,M859))))</f>
        <v/>
      </c>
      <c r="Z859">
        <f>IF(Y859&lt;&gt;"",TODAY()-Y859,"")</f>
        <v/>
      </c>
      <c r="AC859">
        <f>IF(AND(AA859&lt;&gt;"",AB859&lt;&gt;""),CHOOSE(MATCH(AA859,{"Low","Medium","High","Critical"},0),25,50,75,100)-CHOOSE(MATCH(AB859,{"Low","Medium","High","Critical"},0),25,50,75,100),"")</f>
        <v/>
      </c>
      <c r="AG859">
        <f>IF(AF859&lt;&gt;"",IF(AH859="Weekly",AF859+7,IF(AH859="Monthly",EDATE(AF859,1),IF(AH859="Quarterly",EDATE(AF859,3),""))),"")</f>
        <v/>
      </c>
      <c r="AK859">
        <f>IF(AJ859&lt;&gt;"",IF(AI859="Monthly",EDATE(AJ859,1),IF(AI859="Quarterly",EDATE(AJ859,3),IF(AI859="Semi-Annual",EDATE(AJ859,6),""))),"")</f>
        <v/>
      </c>
      <c r="AL859">
        <f>IF(AK859&lt;&gt;"",IF(AK859&lt;TODAY(),"Overdue","Current"),"")</f>
        <v/>
      </c>
    </row>
    <row r="860">
      <c r="K860">
        <f>IF(J860="v4.0",L860,IF(J860="v3.1",M860,IF(J860="Both",L860,IF(AND(L860&lt;&gt;"",M860=""),L860,M860))))</f>
        <v/>
      </c>
      <c r="Z860">
        <f>IF(Y860&lt;&gt;"",TODAY()-Y860,"")</f>
        <v/>
      </c>
      <c r="AC860">
        <f>IF(AND(AA860&lt;&gt;"",AB860&lt;&gt;""),CHOOSE(MATCH(AA860,{"Low","Medium","High","Critical"},0),25,50,75,100)-CHOOSE(MATCH(AB860,{"Low","Medium","High","Critical"},0),25,50,75,100),"")</f>
        <v/>
      </c>
      <c r="AG860">
        <f>IF(AF860&lt;&gt;"",IF(AH860="Weekly",AF860+7,IF(AH860="Monthly",EDATE(AF860,1),IF(AH860="Quarterly",EDATE(AF860,3),""))),"")</f>
        <v/>
      </c>
      <c r="AK860">
        <f>IF(AJ860&lt;&gt;"",IF(AI860="Monthly",EDATE(AJ860,1),IF(AI860="Quarterly",EDATE(AJ860,3),IF(AI860="Semi-Annual",EDATE(AJ860,6),""))),"")</f>
        <v/>
      </c>
      <c r="AL860">
        <f>IF(AK860&lt;&gt;"",IF(AK860&lt;TODAY(),"Overdue","Current"),"")</f>
        <v/>
      </c>
    </row>
    <row r="861">
      <c r="K861">
        <f>IF(J861="v4.0",L861,IF(J861="v3.1",M861,IF(J861="Both",L861,IF(AND(L861&lt;&gt;"",M861=""),L861,M861))))</f>
        <v/>
      </c>
      <c r="Z861">
        <f>IF(Y861&lt;&gt;"",TODAY()-Y861,"")</f>
        <v/>
      </c>
      <c r="AC861">
        <f>IF(AND(AA861&lt;&gt;"",AB861&lt;&gt;""),CHOOSE(MATCH(AA861,{"Low","Medium","High","Critical"},0),25,50,75,100)-CHOOSE(MATCH(AB861,{"Low","Medium","High","Critical"},0),25,50,75,100),"")</f>
        <v/>
      </c>
      <c r="AG861">
        <f>IF(AF861&lt;&gt;"",IF(AH861="Weekly",AF861+7,IF(AH861="Monthly",EDATE(AF861,1),IF(AH861="Quarterly",EDATE(AF861,3),""))),"")</f>
        <v/>
      </c>
      <c r="AK861">
        <f>IF(AJ861&lt;&gt;"",IF(AI861="Monthly",EDATE(AJ861,1),IF(AI861="Quarterly",EDATE(AJ861,3),IF(AI861="Semi-Annual",EDATE(AJ861,6),""))),"")</f>
        <v/>
      </c>
      <c r="AL861">
        <f>IF(AK861&lt;&gt;"",IF(AK861&lt;TODAY(),"Overdue","Current"),"")</f>
        <v/>
      </c>
    </row>
    <row r="862">
      <c r="K862">
        <f>IF(J862="v4.0",L862,IF(J862="v3.1",M862,IF(J862="Both",L862,IF(AND(L862&lt;&gt;"",M862=""),L862,M862))))</f>
        <v/>
      </c>
      <c r="Z862">
        <f>IF(Y862&lt;&gt;"",TODAY()-Y862,"")</f>
        <v/>
      </c>
      <c r="AC862">
        <f>IF(AND(AA862&lt;&gt;"",AB862&lt;&gt;""),CHOOSE(MATCH(AA862,{"Low","Medium","High","Critical"},0),25,50,75,100)-CHOOSE(MATCH(AB862,{"Low","Medium","High","Critical"},0),25,50,75,100),"")</f>
        <v/>
      </c>
      <c r="AG862">
        <f>IF(AF862&lt;&gt;"",IF(AH862="Weekly",AF862+7,IF(AH862="Monthly",EDATE(AF862,1),IF(AH862="Quarterly",EDATE(AF862,3),""))),"")</f>
        <v/>
      </c>
      <c r="AK862">
        <f>IF(AJ862&lt;&gt;"",IF(AI862="Monthly",EDATE(AJ862,1),IF(AI862="Quarterly",EDATE(AJ862,3),IF(AI862="Semi-Annual",EDATE(AJ862,6),""))),"")</f>
        <v/>
      </c>
      <c r="AL862">
        <f>IF(AK862&lt;&gt;"",IF(AK862&lt;TODAY(),"Overdue","Current"),"")</f>
        <v/>
      </c>
    </row>
    <row r="863">
      <c r="K863">
        <f>IF(J863="v4.0",L863,IF(J863="v3.1",M863,IF(J863="Both",L863,IF(AND(L863&lt;&gt;"",M863=""),L863,M863))))</f>
        <v/>
      </c>
      <c r="Z863">
        <f>IF(Y863&lt;&gt;"",TODAY()-Y863,"")</f>
        <v/>
      </c>
      <c r="AC863">
        <f>IF(AND(AA863&lt;&gt;"",AB863&lt;&gt;""),CHOOSE(MATCH(AA863,{"Low","Medium","High","Critical"},0),25,50,75,100)-CHOOSE(MATCH(AB863,{"Low","Medium","High","Critical"},0),25,50,75,100),"")</f>
        <v/>
      </c>
      <c r="AG863">
        <f>IF(AF863&lt;&gt;"",IF(AH863="Weekly",AF863+7,IF(AH863="Monthly",EDATE(AF863,1),IF(AH863="Quarterly",EDATE(AF863,3),""))),"")</f>
        <v/>
      </c>
      <c r="AK863">
        <f>IF(AJ863&lt;&gt;"",IF(AI863="Monthly",EDATE(AJ863,1),IF(AI863="Quarterly",EDATE(AJ863,3),IF(AI863="Semi-Annual",EDATE(AJ863,6),""))),"")</f>
        <v/>
      </c>
      <c r="AL863">
        <f>IF(AK863&lt;&gt;"",IF(AK863&lt;TODAY(),"Overdue","Current"),"")</f>
        <v/>
      </c>
    </row>
    <row r="864">
      <c r="K864">
        <f>IF(J864="v4.0",L864,IF(J864="v3.1",M864,IF(J864="Both",L864,IF(AND(L864&lt;&gt;"",M864=""),L864,M864))))</f>
        <v/>
      </c>
      <c r="Z864">
        <f>IF(Y864&lt;&gt;"",TODAY()-Y864,"")</f>
        <v/>
      </c>
      <c r="AC864">
        <f>IF(AND(AA864&lt;&gt;"",AB864&lt;&gt;""),CHOOSE(MATCH(AA864,{"Low","Medium","High","Critical"},0),25,50,75,100)-CHOOSE(MATCH(AB864,{"Low","Medium","High","Critical"},0),25,50,75,100),"")</f>
        <v/>
      </c>
      <c r="AG864">
        <f>IF(AF864&lt;&gt;"",IF(AH864="Weekly",AF864+7,IF(AH864="Monthly",EDATE(AF864,1),IF(AH864="Quarterly",EDATE(AF864,3),""))),"")</f>
        <v/>
      </c>
      <c r="AK864">
        <f>IF(AJ864&lt;&gt;"",IF(AI864="Monthly",EDATE(AJ864,1),IF(AI864="Quarterly",EDATE(AJ864,3),IF(AI864="Semi-Annual",EDATE(AJ864,6),""))),"")</f>
        <v/>
      </c>
      <c r="AL864">
        <f>IF(AK864&lt;&gt;"",IF(AK864&lt;TODAY(),"Overdue","Current"),"")</f>
        <v/>
      </c>
    </row>
    <row r="865">
      <c r="K865">
        <f>IF(J865="v4.0",L865,IF(J865="v3.1",M865,IF(J865="Both",L865,IF(AND(L865&lt;&gt;"",M865=""),L865,M865))))</f>
        <v/>
      </c>
      <c r="Z865">
        <f>IF(Y865&lt;&gt;"",TODAY()-Y865,"")</f>
        <v/>
      </c>
      <c r="AC865">
        <f>IF(AND(AA865&lt;&gt;"",AB865&lt;&gt;""),CHOOSE(MATCH(AA865,{"Low","Medium","High","Critical"},0),25,50,75,100)-CHOOSE(MATCH(AB865,{"Low","Medium","High","Critical"},0),25,50,75,100),"")</f>
        <v/>
      </c>
      <c r="AG865">
        <f>IF(AF865&lt;&gt;"",IF(AH865="Weekly",AF865+7,IF(AH865="Monthly",EDATE(AF865,1),IF(AH865="Quarterly",EDATE(AF865,3),""))),"")</f>
        <v/>
      </c>
      <c r="AK865">
        <f>IF(AJ865&lt;&gt;"",IF(AI865="Monthly",EDATE(AJ865,1),IF(AI865="Quarterly",EDATE(AJ865,3),IF(AI865="Semi-Annual",EDATE(AJ865,6),""))),"")</f>
        <v/>
      </c>
      <c r="AL865">
        <f>IF(AK865&lt;&gt;"",IF(AK865&lt;TODAY(),"Overdue","Current"),"")</f>
        <v/>
      </c>
    </row>
    <row r="866">
      <c r="K866">
        <f>IF(J866="v4.0",L866,IF(J866="v3.1",M866,IF(J866="Both",L866,IF(AND(L866&lt;&gt;"",M866=""),L866,M866))))</f>
        <v/>
      </c>
      <c r="Z866">
        <f>IF(Y866&lt;&gt;"",TODAY()-Y866,"")</f>
        <v/>
      </c>
      <c r="AC866">
        <f>IF(AND(AA866&lt;&gt;"",AB866&lt;&gt;""),CHOOSE(MATCH(AA866,{"Low","Medium","High","Critical"},0),25,50,75,100)-CHOOSE(MATCH(AB866,{"Low","Medium","High","Critical"},0),25,50,75,100),"")</f>
        <v/>
      </c>
      <c r="AG866">
        <f>IF(AF866&lt;&gt;"",IF(AH866="Weekly",AF866+7,IF(AH866="Monthly",EDATE(AF866,1),IF(AH866="Quarterly",EDATE(AF866,3),""))),"")</f>
        <v/>
      </c>
      <c r="AK866">
        <f>IF(AJ866&lt;&gt;"",IF(AI866="Monthly",EDATE(AJ866,1),IF(AI866="Quarterly",EDATE(AJ866,3),IF(AI866="Semi-Annual",EDATE(AJ866,6),""))),"")</f>
        <v/>
      </c>
      <c r="AL866">
        <f>IF(AK866&lt;&gt;"",IF(AK866&lt;TODAY(),"Overdue","Current"),"")</f>
        <v/>
      </c>
    </row>
    <row r="867">
      <c r="K867">
        <f>IF(J867="v4.0",L867,IF(J867="v3.1",M867,IF(J867="Both",L867,IF(AND(L867&lt;&gt;"",M867=""),L867,M867))))</f>
        <v/>
      </c>
      <c r="Z867">
        <f>IF(Y867&lt;&gt;"",TODAY()-Y867,"")</f>
        <v/>
      </c>
      <c r="AC867">
        <f>IF(AND(AA867&lt;&gt;"",AB867&lt;&gt;""),CHOOSE(MATCH(AA867,{"Low","Medium","High","Critical"},0),25,50,75,100)-CHOOSE(MATCH(AB867,{"Low","Medium","High","Critical"},0),25,50,75,100),"")</f>
        <v/>
      </c>
      <c r="AG867">
        <f>IF(AF867&lt;&gt;"",IF(AH867="Weekly",AF867+7,IF(AH867="Monthly",EDATE(AF867,1),IF(AH867="Quarterly",EDATE(AF867,3),""))),"")</f>
        <v/>
      </c>
      <c r="AK867">
        <f>IF(AJ867&lt;&gt;"",IF(AI867="Monthly",EDATE(AJ867,1),IF(AI867="Quarterly",EDATE(AJ867,3),IF(AI867="Semi-Annual",EDATE(AJ867,6),""))),"")</f>
        <v/>
      </c>
      <c r="AL867">
        <f>IF(AK867&lt;&gt;"",IF(AK867&lt;TODAY(),"Overdue","Current"),"")</f>
        <v/>
      </c>
    </row>
    <row r="868">
      <c r="K868">
        <f>IF(J868="v4.0",L868,IF(J868="v3.1",M868,IF(J868="Both",L868,IF(AND(L868&lt;&gt;"",M868=""),L868,M868))))</f>
        <v/>
      </c>
      <c r="Z868">
        <f>IF(Y868&lt;&gt;"",TODAY()-Y868,"")</f>
        <v/>
      </c>
      <c r="AC868">
        <f>IF(AND(AA868&lt;&gt;"",AB868&lt;&gt;""),CHOOSE(MATCH(AA868,{"Low","Medium","High","Critical"},0),25,50,75,100)-CHOOSE(MATCH(AB868,{"Low","Medium","High","Critical"},0),25,50,75,100),"")</f>
        <v/>
      </c>
      <c r="AG868">
        <f>IF(AF868&lt;&gt;"",IF(AH868="Weekly",AF868+7,IF(AH868="Monthly",EDATE(AF868,1),IF(AH868="Quarterly",EDATE(AF868,3),""))),"")</f>
        <v/>
      </c>
      <c r="AK868">
        <f>IF(AJ868&lt;&gt;"",IF(AI868="Monthly",EDATE(AJ868,1),IF(AI868="Quarterly",EDATE(AJ868,3),IF(AI868="Semi-Annual",EDATE(AJ868,6),""))),"")</f>
        <v/>
      </c>
      <c r="AL868">
        <f>IF(AK868&lt;&gt;"",IF(AK868&lt;TODAY(),"Overdue","Current"),"")</f>
        <v/>
      </c>
    </row>
    <row r="869">
      <c r="K869">
        <f>IF(J869="v4.0",L869,IF(J869="v3.1",M869,IF(J869="Both",L869,IF(AND(L869&lt;&gt;"",M869=""),L869,M869))))</f>
        <v/>
      </c>
      <c r="Z869">
        <f>IF(Y869&lt;&gt;"",TODAY()-Y869,"")</f>
        <v/>
      </c>
      <c r="AC869">
        <f>IF(AND(AA869&lt;&gt;"",AB869&lt;&gt;""),CHOOSE(MATCH(AA869,{"Low","Medium","High","Critical"},0),25,50,75,100)-CHOOSE(MATCH(AB869,{"Low","Medium","High","Critical"},0),25,50,75,100),"")</f>
        <v/>
      </c>
      <c r="AG869">
        <f>IF(AF869&lt;&gt;"",IF(AH869="Weekly",AF869+7,IF(AH869="Monthly",EDATE(AF869,1),IF(AH869="Quarterly",EDATE(AF869,3),""))),"")</f>
        <v/>
      </c>
      <c r="AK869">
        <f>IF(AJ869&lt;&gt;"",IF(AI869="Monthly",EDATE(AJ869,1),IF(AI869="Quarterly",EDATE(AJ869,3),IF(AI869="Semi-Annual",EDATE(AJ869,6),""))),"")</f>
        <v/>
      </c>
      <c r="AL869">
        <f>IF(AK869&lt;&gt;"",IF(AK869&lt;TODAY(),"Overdue","Current"),"")</f>
        <v/>
      </c>
    </row>
    <row r="870">
      <c r="K870">
        <f>IF(J870="v4.0",L870,IF(J870="v3.1",M870,IF(J870="Both",L870,IF(AND(L870&lt;&gt;"",M870=""),L870,M870))))</f>
        <v/>
      </c>
      <c r="Z870">
        <f>IF(Y870&lt;&gt;"",TODAY()-Y870,"")</f>
        <v/>
      </c>
      <c r="AC870">
        <f>IF(AND(AA870&lt;&gt;"",AB870&lt;&gt;""),CHOOSE(MATCH(AA870,{"Low","Medium","High","Critical"},0),25,50,75,100)-CHOOSE(MATCH(AB870,{"Low","Medium","High","Critical"},0),25,50,75,100),"")</f>
        <v/>
      </c>
      <c r="AG870">
        <f>IF(AF870&lt;&gt;"",IF(AH870="Weekly",AF870+7,IF(AH870="Monthly",EDATE(AF870,1),IF(AH870="Quarterly",EDATE(AF870,3),""))),"")</f>
        <v/>
      </c>
      <c r="AK870">
        <f>IF(AJ870&lt;&gt;"",IF(AI870="Monthly",EDATE(AJ870,1),IF(AI870="Quarterly",EDATE(AJ870,3),IF(AI870="Semi-Annual",EDATE(AJ870,6),""))),"")</f>
        <v/>
      </c>
      <c r="AL870">
        <f>IF(AK870&lt;&gt;"",IF(AK870&lt;TODAY(),"Overdue","Current"),"")</f>
        <v/>
      </c>
    </row>
    <row r="871">
      <c r="K871">
        <f>IF(J871="v4.0",L871,IF(J871="v3.1",M871,IF(J871="Both",L871,IF(AND(L871&lt;&gt;"",M871=""),L871,M871))))</f>
        <v/>
      </c>
      <c r="Z871">
        <f>IF(Y871&lt;&gt;"",TODAY()-Y871,"")</f>
        <v/>
      </c>
      <c r="AC871">
        <f>IF(AND(AA871&lt;&gt;"",AB871&lt;&gt;""),CHOOSE(MATCH(AA871,{"Low","Medium","High","Critical"},0),25,50,75,100)-CHOOSE(MATCH(AB871,{"Low","Medium","High","Critical"},0),25,50,75,100),"")</f>
        <v/>
      </c>
      <c r="AG871">
        <f>IF(AF871&lt;&gt;"",IF(AH871="Weekly",AF871+7,IF(AH871="Monthly",EDATE(AF871,1),IF(AH871="Quarterly",EDATE(AF871,3),""))),"")</f>
        <v/>
      </c>
      <c r="AK871">
        <f>IF(AJ871&lt;&gt;"",IF(AI871="Monthly",EDATE(AJ871,1),IF(AI871="Quarterly",EDATE(AJ871,3),IF(AI871="Semi-Annual",EDATE(AJ871,6),""))),"")</f>
        <v/>
      </c>
      <c r="AL871">
        <f>IF(AK871&lt;&gt;"",IF(AK871&lt;TODAY(),"Overdue","Current"),"")</f>
        <v/>
      </c>
    </row>
    <row r="872">
      <c r="K872">
        <f>IF(J872="v4.0",L872,IF(J872="v3.1",M872,IF(J872="Both",L872,IF(AND(L872&lt;&gt;"",M872=""),L872,M872))))</f>
        <v/>
      </c>
      <c r="Z872">
        <f>IF(Y872&lt;&gt;"",TODAY()-Y872,"")</f>
        <v/>
      </c>
      <c r="AC872">
        <f>IF(AND(AA872&lt;&gt;"",AB872&lt;&gt;""),CHOOSE(MATCH(AA872,{"Low","Medium","High","Critical"},0),25,50,75,100)-CHOOSE(MATCH(AB872,{"Low","Medium","High","Critical"},0),25,50,75,100),"")</f>
        <v/>
      </c>
      <c r="AG872">
        <f>IF(AF872&lt;&gt;"",IF(AH872="Weekly",AF872+7,IF(AH872="Monthly",EDATE(AF872,1),IF(AH872="Quarterly",EDATE(AF872,3),""))),"")</f>
        <v/>
      </c>
      <c r="AK872">
        <f>IF(AJ872&lt;&gt;"",IF(AI872="Monthly",EDATE(AJ872,1),IF(AI872="Quarterly",EDATE(AJ872,3),IF(AI872="Semi-Annual",EDATE(AJ872,6),""))),"")</f>
        <v/>
      </c>
      <c r="AL872">
        <f>IF(AK872&lt;&gt;"",IF(AK872&lt;TODAY(),"Overdue","Current"),"")</f>
        <v/>
      </c>
    </row>
    <row r="873">
      <c r="K873">
        <f>IF(J873="v4.0",L873,IF(J873="v3.1",M873,IF(J873="Both",L873,IF(AND(L873&lt;&gt;"",M873=""),L873,M873))))</f>
        <v/>
      </c>
      <c r="Z873">
        <f>IF(Y873&lt;&gt;"",TODAY()-Y873,"")</f>
        <v/>
      </c>
      <c r="AC873">
        <f>IF(AND(AA873&lt;&gt;"",AB873&lt;&gt;""),CHOOSE(MATCH(AA873,{"Low","Medium","High","Critical"},0),25,50,75,100)-CHOOSE(MATCH(AB873,{"Low","Medium","High","Critical"},0),25,50,75,100),"")</f>
        <v/>
      </c>
      <c r="AG873">
        <f>IF(AF873&lt;&gt;"",IF(AH873="Weekly",AF873+7,IF(AH873="Monthly",EDATE(AF873,1),IF(AH873="Quarterly",EDATE(AF873,3),""))),"")</f>
        <v/>
      </c>
      <c r="AK873">
        <f>IF(AJ873&lt;&gt;"",IF(AI873="Monthly",EDATE(AJ873,1),IF(AI873="Quarterly",EDATE(AJ873,3),IF(AI873="Semi-Annual",EDATE(AJ873,6),""))),"")</f>
        <v/>
      </c>
      <c r="AL873">
        <f>IF(AK873&lt;&gt;"",IF(AK873&lt;TODAY(),"Overdue","Current"),"")</f>
        <v/>
      </c>
    </row>
    <row r="874">
      <c r="K874">
        <f>IF(J874="v4.0",L874,IF(J874="v3.1",M874,IF(J874="Both",L874,IF(AND(L874&lt;&gt;"",M874=""),L874,M874))))</f>
        <v/>
      </c>
      <c r="Z874">
        <f>IF(Y874&lt;&gt;"",TODAY()-Y874,"")</f>
        <v/>
      </c>
      <c r="AC874">
        <f>IF(AND(AA874&lt;&gt;"",AB874&lt;&gt;""),CHOOSE(MATCH(AA874,{"Low","Medium","High","Critical"},0),25,50,75,100)-CHOOSE(MATCH(AB874,{"Low","Medium","High","Critical"},0),25,50,75,100),"")</f>
        <v/>
      </c>
      <c r="AG874">
        <f>IF(AF874&lt;&gt;"",IF(AH874="Weekly",AF874+7,IF(AH874="Monthly",EDATE(AF874,1),IF(AH874="Quarterly",EDATE(AF874,3),""))),"")</f>
        <v/>
      </c>
      <c r="AK874">
        <f>IF(AJ874&lt;&gt;"",IF(AI874="Monthly",EDATE(AJ874,1),IF(AI874="Quarterly",EDATE(AJ874,3),IF(AI874="Semi-Annual",EDATE(AJ874,6),""))),"")</f>
        <v/>
      </c>
      <c r="AL874">
        <f>IF(AK874&lt;&gt;"",IF(AK874&lt;TODAY(),"Overdue","Current"),"")</f>
        <v/>
      </c>
    </row>
    <row r="875">
      <c r="K875">
        <f>IF(J875="v4.0",L875,IF(J875="v3.1",M875,IF(J875="Both",L875,IF(AND(L875&lt;&gt;"",M875=""),L875,M875))))</f>
        <v/>
      </c>
      <c r="Z875">
        <f>IF(Y875&lt;&gt;"",TODAY()-Y875,"")</f>
        <v/>
      </c>
      <c r="AC875">
        <f>IF(AND(AA875&lt;&gt;"",AB875&lt;&gt;""),CHOOSE(MATCH(AA875,{"Low","Medium","High","Critical"},0),25,50,75,100)-CHOOSE(MATCH(AB875,{"Low","Medium","High","Critical"},0),25,50,75,100),"")</f>
        <v/>
      </c>
      <c r="AG875">
        <f>IF(AF875&lt;&gt;"",IF(AH875="Weekly",AF875+7,IF(AH875="Monthly",EDATE(AF875,1),IF(AH875="Quarterly",EDATE(AF875,3),""))),"")</f>
        <v/>
      </c>
      <c r="AK875">
        <f>IF(AJ875&lt;&gt;"",IF(AI875="Monthly",EDATE(AJ875,1),IF(AI875="Quarterly",EDATE(AJ875,3),IF(AI875="Semi-Annual",EDATE(AJ875,6),""))),"")</f>
        <v/>
      </c>
      <c r="AL875">
        <f>IF(AK875&lt;&gt;"",IF(AK875&lt;TODAY(),"Overdue","Current"),"")</f>
        <v/>
      </c>
    </row>
    <row r="876">
      <c r="K876">
        <f>IF(J876="v4.0",L876,IF(J876="v3.1",M876,IF(J876="Both",L876,IF(AND(L876&lt;&gt;"",M876=""),L876,M876))))</f>
        <v/>
      </c>
      <c r="Z876">
        <f>IF(Y876&lt;&gt;"",TODAY()-Y876,"")</f>
        <v/>
      </c>
      <c r="AC876">
        <f>IF(AND(AA876&lt;&gt;"",AB876&lt;&gt;""),CHOOSE(MATCH(AA876,{"Low","Medium","High","Critical"},0),25,50,75,100)-CHOOSE(MATCH(AB876,{"Low","Medium","High","Critical"},0),25,50,75,100),"")</f>
        <v/>
      </c>
      <c r="AG876">
        <f>IF(AF876&lt;&gt;"",IF(AH876="Weekly",AF876+7,IF(AH876="Monthly",EDATE(AF876,1),IF(AH876="Quarterly",EDATE(AF876,3),""))),"")</f>
        <v/>
      </c>
      <c r="AK876">
        <f>IF(AJ876&lt;&gt;"",IF(AI876="Monthly",EDATE(AJ876,1),IF(AI876="Quarterly",EDATE(AJ876,3),IF(AI876="Semi-Annual",EDATE(AJ876,6),""))),"")</f>
        <v/>
      </c>
      <c r="AL876">
        <f>IF(AK876&lt;&gt;"",IF(AK876&lt;TODAY(),"Overdue","Current"),"")</f>
        <v/>
      </c>
    </row>
    <row r="877">
      <c r="K877">
        <f>IF(J877="v4.0",L877,IF(J877="v3.1",M877,IF(J877="Both",L877,IF(AND(L877&lt;&gt;"",M877=""),L877,M877))))</f>
        <v/>
      </c>
      <c r="Z877">
        <f>IF(Y877&lt;&gt;"",TODAY()-Y877,"")</f>
        <v/>
      </c>
      <c r="AC877">
        <f>IF(AND(AA877&lt;&gt;"",AB877&lt;&gt;""),CHOOSE(MATCH(AA877,{"Low","Medium","High","Critical"},0),25,50,75,100)-CHOOSE(MATCH(AB877,{"Low","Medium","High","Critical"},0),25,50,75,100),"")</f>
        <v/>
      </c>
      <c r="AG877">
        <f>IF(AF877&lt;&gt;"",IF(AH877="Weekly",AF877+7,IF(AH877="Monthly",EDATE(AF877,1),IF(AH877="Quarterly",EDATE(AF877,3),""))),"")</f>
        <v/>
      </c>
      <c r="AK877">
        <f>IF(AJ877&lt;&gt;"",IF(AI877="Monthly",EDATE(AJ877,1),IF(AI877="Quarterly",EDATE(AJ877,3),IF(AI877="Semi-Annual",EDATE(AJ877,6),""))),"")</f>
        <v/>
      </c>
      <c r="AL877">
        <f>IF(AK877&lt;&gt;"",IF(AK877&lt;TODAY(),"Overdue","Current"),"")</f>
        <v/>
      </c>
    </row>
    <row r="878">
      <c r="K878">
        <f>IF(J878="v4.0",L878,IF(J878="v3.1",M878,IF(J878="Both",L878,IF(AND(L878&lt;&gt;"",M878=""),L878,M878))))</f>
        <v/>
      </c>
      <c r="Z878">
        <f>IF(Y878&lt;&gt;"",TODAY()-Y878,"")</f>
        <v/>
      </c>
      <c r="AC878">
        <f>IF(AND(AA878&lt;&gt;"",AB878&lt;&gt;""),CHOOSE(MATCH(AA878,{"Low","Medium","High","Critical"},0),25,50,75,100)-CHOOSE(MATCH(AB878,{"Low","Medium","High","Critical"},0),25,50,75,100),"")</f>
        <v/>
      </c>
      <c r="AG878">
        <f>IF(AF878&lt;&gt;"",IF(AH878="Weekly",AF878+7,IF(AH878="Monthly",EDATE(AF878,1),IF(AH878="Quarterly",EDATE(AF878,3),""))),"")</f>
        <v/>
      </c>
      <c r="AK878">
        <f>IF(AJ878&lt;&gt;"",IF(AI878="Monthly",EDATE(AJ878,1),IF(AI878="Quarterly",EDATE(AJ878,3),IF(AI878="Semi-Annual",EDATE(AJ878,6),""))),"")</f>
        <v/>
      </c>
      <c r="AL878">
        <f>IF(AK878&lt;&gt;"",IF(AK878&lt;TODAY(),"Overdue","Current"),"")</f>
        <v/>
      </c>
    </row>
    <row r="879">
      <c r="K879">
        <f>IF(J879="v4.0",L879,IF(J879="v3.1",M879,IF(J879="Both",L879,IF(AND(L879&lt;&gt;"",M879=""),L879,M879))))</f>
        <v/>
      </c>
      <c r="Z879">
        <f>IF(Y879&lt;&gt;"",TODAY()-Y879,"")</f>
        <v/>
      </c>
      <c r="AC879">
        <f>IF(AND(AA879&lt;&gt;"",AB879&lt;&gt;""),CHOOSE(MATCH(AA879,{"Low","Medium","High","Critical"},0),25,50,75,100)-CHOOSE(MATCH(AB879,{"Low","Medium","High","Critical"},0),25,50,75,100),"")</f>
        <v/>
      </c>
      <c r="AG879">
        <f>IF(AF879&lt;&gt;"",IF(AH879="Weekly",AF879+7,IF(AH879="Monthly",EDATE(AF879,1),IF(AH879="Quarterly",EDATE(AF879,3),""))),"")</f>
        <v/>
      </c>
      <c r="AK879">
        <f>IF(AJ879&lt;&gt;"",IF(AI879="Monthly",EDATE(AJ879,1),IF(AI879="Quarterly",EDATE(AJ879,3),IF(AI879="Semi-Annual",EDATE(AJ879,6),""))),"")</f>
        <v/>
      </c>
      <c r="AL879">
        <f>IF(AK879&lt;&gt;"",IF(AK879&lt;TODAY(),"Overdue","Current"),"")</f>
        <v/>
      </c>
    </row>
    <row r="880">
      <c r="K880">
        <f>IF(J880="v4.0",L880,IF(J880="v3.1",M880,IF(J880="Both",L880,IF(AND(L880&lt;&gt;"",M880=""),L880,M880))))</f>
        <v/>
      </c>
      <c r="Z880">
        <f>IF(Y880&lt;&gt;"",TODAY()-Y880,"")</f>
        <v/>
      </c>
      <c r="AC880">
        <f>IF(AND(AA880&lt;&gt;"",AB880&lt;&gt;""),CHOOSE(MATCH(AA880,{"Low","Medium","High","Critical"},0),25,50,75,100)-CHOOSE(MATCH(AB880,{"Low","Medium","High","Critical"},0),25,50,75,100),"")</f>
        <v/>
      </c>
      <c r="AG880">
        <f>IF(AF880&lt;&gt;"",IF(AH880="Weekly",AF880+7,IF(AH880="Monthly",EDATE(AF880,1),IF(AH880="Quarterly",EDATE(AF880,3),""))),"")</f>
        <v/>
      </c>
      <c r="AK880">
        <f>IF(AJ880&lt;&gt;"",IF(AI880="Monthly",EDATE(AJ880,1),IF(AI880="Quarterly",EDATE(AJ880,3),IF(AI880="Semi-Annual",EDATE(AJ880,6),""))),"")</f>
        <v/>
      </c>
      <c r="AL880">
        <f>IF(AK880&lt;&gt;"",IF(AK880&lt;TODAY(),"Overdue","Current"),"")</f>
        <v/>
      </c>
    </row>
    <row r="881">
      <c r="K881">
        <f>IF(J881="v4.0",L881,IF(J881="v3.1",M881,IF(J881="Both",L881,IF(AND(L881&lt;&gt;"",M881=""),L881,M881))))</f>
        <v/>
      </c>
      <c r="Z881">
        <f>IF(Y881&lt;&gt;"",TODAY()-Y881,"")</f>
        <v/>
      </c>
      <c r="AC881">
        <f>IF(AND(AA881&lt;&gt;"",AB881&lt;&gt;""),CHOOSE(MATCH(AA881,{"Low","Medium","High","Critical"},0),25,50,75,100)-CHOOSE(MATCH(AB881,{"Low","Medium","High","Critical"},0),25,50,75,100),"")</f>
        <v/>
      </c>
      <c r="AG881">
        <f>IF(AF881&lt;&gt;"",IF(AH881="Weekly",AF881+7,IF(AH881="Monthly",EDATE(AF881,1),IF(AH881="Quarterly",EDATE(AF881,3),""))),"")</f>
        <v/>
      </c>
      <c r="AK881">
        <f>IF(AJ881&lt;&gt;"",IF(AI881="Monthly",EDATE(AJ881,1),IF(AI881="Quarterly",EDATE(AJ881,3),IF(AI881="Semi-Annual",EDATE(AJ881,6),""))),"")</f>
        <v/>
      </c>
      <c r="AL881">
        <f>IF(AK881&lt;&gt;"",IF(AK881&lt;TODAY(),"Overdue","Current"),"")</f>
        <v/>
      </c>
    </row>
    <row r="882">
      <c r="K882">
        <f>IF(J882="v4.0",L882,IF(J882="v3.1",M882,IF(J882="Both",L882,IF(AND(L882&lt;&gt;"",M882=""),L882,M882))))</f>
        <v/>
      </c>
      <c r="Z882">
        <f>IF(Y882&lt;&gt;"",TODAY()-Y882,"")</f>
        <v/>
      </c>
      <c r="AC882">
        <f>IF(AND(AA882&lt;&gt;"",AB882&lt;&gt;""),CHOOSE(MATCH(AA882,{"Low","Medium","High","Critical"},0),25,50,75,100)-CHOOSE(MATCH(AB882,{"Low","Medium","High","Critical"},0),25,50,75,100),"")</f>
        <v/>
      </c>
      <c r="AG882">
        <f>IF(AF882&lt;&gt;"",IF(AH882="Weekly",AF882+7,IF(AH882="Monthly",EDATE(AF882,1),IF(AH882="Quarterly",EDATE(AF882,3),""))),"")</f>
        <v/>
      </c>
      <c r="AK882">
        <f>IF(AJ882&lt;&gt;"",IF(AI882="Monthly",EDATE(AJ882,1),IF(AI882="Quarterly",EDATE(AJ882,3),IF(AI882="Semi-Annual",EDATE(AJ882,6),""))),"")</f>
        <v/>
      </c>
      <c r="AL882">
        <f>IF(AK882&lt;&gt;"",IF(AK882&lt;TODAY(),"Overdue","Current"),"")</f>
        <v/>
      </c>
    </row>
    <row r="883">
      <c r="K883">
        <f>IF(J883="v4.0",L883,IF(J883="v3.1",M883,IF(J883="Both",L883,IF(AND(L883&lt;&gt;"",M883=""),L883,M883))))</f>
        <v/>
      </c>
      <c r="Z883">
        <f>IF(Y883&lt;&gt;"",TODAY()-Y883,"")</f>
        <v/>
      </c>
      <c r="AC883">
        <f>IF(AND(AA883&lt;&gt;"",AB883&lt;&gt;""),CHOOSE(MATCH(AA883,{"Low","Medium","High","Critical"},0),25,50,75,100)-CHOOSE(MATCH(AB883,{"Low","Medium","High","Critical"},0),25,50,75,100),"")</f>
        <v/>
      </c>
      <c r="AG883">
        <f>IF(AF883&lt;&gt;"",IF(AH883="Weekly",AF883+7,IF(AH883="Monthly",EDATE(AF883,1),IF(AH883="Quarterly",EDATE(AF883,3),""))),"")</f>
        <v/>
      </c>
      <c r="AK883">
        <f>IF(AJ883&lt;&gt;"",IF(AI883="Monthly",EDATE(AJ883,1),IF(AI883="Quarterly",EDATE(AJ883,3),IF(AI883="Semi-Annual",EDATE(AJ883,6),""))),"")</f>
        <v/>
      </c>
      <c r="AL883">
        <f>IF(AK883&lt;&gt;"",IF(AK883&lt;TODAY(),"Overdue","Current"),"")</f>
        <v/>
      </c>
    </row>
    <row r="884">
      <c r="K884">
        <f>IF(J884="v4.0",L884,IF(J884="v3.1",M884,IF(J884="Both",L884,IF(AND(L884&lt;&gt;"",M884=""),L884,M884))))</f>
        <v/>
      </c>
      <c r="Z884">
        <f>IF(Y884&lt;&gt;"",TODAY()-Y884,"")</f>
        <v/>
      </c>
      <c r="AC884">
        <f>IF(AND(AA884&lt;&gt;"",AB884&lt;&gt;""),CHOOSE(MATCH(AA884,{"Low","Medium","High","Critical"},0),25,50,75,100)-CHOOSE(MATCH(AB884,{"Low","Medium","High","Critical"},0),25,50,75,100),"")</f>
        <v/>
      </c>
      <c r="AG884">
        <f>IF(AF884&lt;&gt;"",IF(AH884="Weekly",AF884+7,IF(AH884="Monthly",EDATE(AF884,1),IF(AH884="Quarterly",EDATE(AF884,3),""))),"")</f>
        <v/>
      </c>
      <c r="AK884">
        <f>IF(AJ884&lt;&gt;"",IF(AI884="Monthly",EDATE(AJ884,1),IF(AI884="Quarterly",EDATE(AJ884,3),IF(AI884="Semi-Annual",EDATE(AJ884,6),""))),"")</f>
        <v/>
      </c>
      <c r="AL884">
        <f>IF(AK884&lt;&gt;"",IF(AK884&lt;TODAY(),"Overdue","Current"),"")</f>
        <v/>
      </c>
    </row>
    <row r="885">
      <c r="K885">
        <f>IF(J885="v4.0",L885,IF(J885="v3.1",M885,IF(J885="Both",L885,IF(AND(L885&lt;&gt;"",M885=""),L885,M885))))</f>
        <v/>
      </c>
      <c r="Z885">
        <f>IF(Y885&lt;&gt;"",TODAY()-Y885,"")</f>
        <v/>
      </c>
      <c r="AC885">
        <f>IF(AND(AA885&lt;&gt;"",AB885&lt;&gt;""),CHOOSE(MATCH(AA885,{"Low","Medium","High","Critical"},0),25,50,75,100)-CHOOSE(MATCH(AB885,{"Low","Medium","High","Critical"},0),25,50,75,100),"")</f>
        <v/>
      </c>
      <c r="AG885">
        <f>IF(AF885&lt;&gt;"",IF(AH885="Weekly",AF885+7,IF(AH885="Monthly",EDATE(AF885,1),IF(AH885="Quarterly",EDATE(AF885,3),""))),"")</f>
        <v/>
      </c>
      <c r="AK885">
        <f>IF(AJ885&lt;&gt;"",IF(AI885="Monthly",EDATE(AJ885,1),IF(AI885="Quarterly",EDATE(AJ885,3),IF(AI885="Semi-Annual",EDATE(AJ885,6),""))),"")</f>
        <v/>
      </c>
      <c r="AL885">
        <f>IF(AK885&lt;&gt;"",IF(AK885&lt;TODAY(),"Overdue","Current"),"")</f>
        <v/>
      </c>
    </row>
    <row r="886">
      <c r="K886">
        <f>IF(J886="v4.0",L886,IF(J886="v3.1",M886,IF(J886="Both",L886,IF(AND(L886&lt;&gt;"",M886=""),L886,M886))))</f>
        <v/>
      </c>
      <c r="Z886">
        <f>IF(Y886&lt;&gt;"",TODAY()-Y886,"")</f>
        <v/>
      </c>
      <c r="AC886">
        <f>IF(AND(AA886&lt;&gt;"",AB886&lt;&gt;""),CHOOSE(MATCH(AA886,{"Low","Medium","High","Critical"},0),25,50,75,100)-CHOOSE(MATCH(AB886,{"Low","Medium","High","Critical"},0),25,50,75,100),"")</f>
        <v/>
      </c>
      <c r="AG886">
        <f>IF(AF886&lt;&gt;"",IF(AH886="Weekly",AF886+7,IF(AH886="Monthly",EDATE(AF886,1),IF(AH886="Quarterly",EDATE(AF886,3),""))),"")</f>
        <v/>
      </c>
      <c r="AK886">
        <f>IF(AJ886&lt;&gt;"",IF(AI886="Monthly",EDATE(AJ886,1),IF(AI886="Quarterly",EDATE(AJ886,3),IF(AI886="Semi-Annual",EDATE(AJ886,6),""))),"")</f>
        <v/>
      </c>
      <c r="AL886">
        <f>IF(AK886&lt;&gt;"",IF(AK886&lt;TODAY(),"Overdue","Current"),"")</f>
        <v/>
      </c>
    </row>
    <row r="887">
      <c r="K887">
        <f>IF(J887="v4.0",L887,IF(J887="v3.1",M887,IF(J887="Both",L887,IF(AND(L887&lt;&gt;"",M887=""),L887,M887))))</f>
        <v/>
      </c>
      <c r="Z887">
        <f>IF(Y887&lt;&gt;"",TODAY()-Y887,"")</f>
        <v/>
      </c>
      <c r="AC887">
        <f>IF(AND(AA887&lt;&gt;"",AB887&lt;&gt;""),CHOOSE(MATCH(AA887,{"Low","Medium","High","Critical"},0),25,50,75,100)-CHOOSE(MATCH(AB887,{"Low","Medium","High","Critical"},0),25,50,75,100),"")</f>
        <v/>
      </c>
      <c r="AG887">
        <f>IF(AF887&lt;&gt;"",IF(AH887="Weekly",AF887+7,IF(AH887="Monthly",EDATE(AF887,1),IF(AH887="Quarterly",EDATE(AF887,3),""))),"")</f>
        <v/>
      </c>
      <c r="AK887">
        <f>IF(AJ887&lt;&gt;"",IF(AI887="Monthly",EDATE(AJ887,1),IF(AI887="Quarterly",EDATE(AJ887,3),IF(AI887="Semi-Annual",EDATE(AJ887,6),""))),"")</f>
        <v/>
      </c>
      <c r="AL887">
        <f>IF(AK887&lt;&gt;"",IF(AK887&lt;TODAY(),"Overdue","Current"),"")</f>
        <v/>
      </c>
    </row>
    <row r="888">
      <c r="K888">
        <f>IF(J888="v4.0",L888,IF(J888="v3.1",M888,IF(J888="Both",L888,IF(AND(L888&lt;&gt;"",M888=""),L888,M888))))</f>
        <v/>
      </c>
      <c r="Z888">
        <f>IF(Y888&lt;&gt;"",TODAY()-Y888,"")</f>
        <v/>
      </c>
      <c r="AC888">
        <f>IF(AND(AA888&lt;&gt;"",AB888&lt;&gt;""),CHOOSE(MATCH(AA888,{"Low","Medium","High","Critical"},0),25,50,75,100)-CHOOSE(MATCH(AB888,{"Low","Medium","High","Critical"},0),25,50,75,100),"")</f>
        <v/>
      </c>
      <c r="AG888">
        <f>IF(AF888&lt;&gt;"",IF(AH888="Weekly",AF888+7,IF(AH888="Monthly",EDATE(AF888,1),IF(AH888="Quarterly",EDATE(AF888,3),""))),"")</f>
        <v/>
      </c>
      <c r="AK888">
        <f>IF(AJ888&lt;&gt;"",IF(AI888="Monthly",EDATE(AJ888,1),IF(AI888="Quarterly",EDATE(AJ888,3),IF(AI888="Semi-Annual",EDATE(AJ888,6),""))),"")</f>
        <v/>
      </c>
      <c r="AL888">
        <f>IF(AK888&lt;&gt;"",IF(AK888&lt;TODAY(),"Overdue","Current"),"")</f>
        <v/>
      </c>
    </row>
    <row r="889">
      <c r="K889">
        <f>IF(J889="v4.0",L889,IF(J889="v3.1",M889,IF(J889="Both",L889,IF(AND(L889&lt;&gt;"",M889=""),L889,M889))))</f>
        <v/>
      </c>
      <c r="Z889">
        <f>IF(Y889&lt;&gt;"",TODAY()-Y889,"")</f>
        <v/>
      </c>
      <c r="AC889">
        <f>IF(AND(AA889&lt;&gt;"",AB889&lt;&gt;""),CHOOSE(MATCH(AA889,{"Low","Medium","High","Critical"},0),25,50,75,100)-CHOOSE(MATCH(AB889,{"Low","Medium","High","Critical"},0),25,50,75,100),"")</f>
        <v/>
      </c>
      <c r="AG889">
        <f>IF(AF889&lt;&gt;"",IF(AH889="Weekly",AF889+7,IF(AH889="Monthly",EDATE(AF889,1),IF(AH889="Quarterly",EDATE(AF889,3),""))),"")</f>
        <v/>
      </c>
      <c r="AK889">
        <f>IF(AJ889&lt;&gt;"",IF(AI889="Monthly",EDATE(AJ889,1),IF(AI889="Quarterly",EDATE(AJ889,3),IF(AI889="Semi-Annual",EDATE(AJ889,6),""))),"")</f>
        <v/>
      </c>
      <c r="AL889">
        <f>IF(AK889&lt;&gt;"",IF(AK889&lt;TODAY(),"Overdue","Current"),"")</f>
        <v/>
      </c>
    </row>
    <row r="890">
      <c r="K890">
        <f>IF(J890="v4.0",L890,IF(J890="v3.1",M890,IF(J890="Both",L890,IF(AND(L890&lt;&gt;"",M890=""),L890,M890))))</f>
        <v/>
      </c>
      <c r="Z890">
        <f>IF(Y890&lt;&gt;"",TODAY()-Y890,"")</f>
        <v/>
      </c>
      <c r="AC890">
        <f>IF(AND(AA890&lt;&gt;"",AB890&lt;&gt;""),CHOOSE(MATCH(AA890,{"Low","Medium","High","Critical"},0),25,50,75,100)-CHOOSE(MATCH(AB890,{"Low","Medium","High","Critical"},0),25,50,75,100),"")</f>
        <v/>
      </c>
      <c r="AG890">
        <f>IF(AF890&lt;&gt;"",IF(AH890="Weekly",AF890+7,IF(AH890="Monthly",EDATE(AF890,1),IF(AH890="Quarterly",EDATE(AF890,3),""))),"")</f>
        <v/>
      </c>
      <c r="AK890">
        <f>IF(AJ890&lt;&gt;"",IF(AI890="Monthly",EDATE(AJ890,1),IF(AI890="Quarterly",EDATE(AJ890,3),IF(AI890="Semi-Annual",EDATE(AJ890,6),""))),"")</f>
        <v/>
      </c>
      <c r="AL890">
        <f>IF(AK890&lt;&gt;"",IF(AK890&lt;TODAY(),"Overdue","Current"),"")</f>
        <v/>
      </c>
    </row>
    <row r="891">
      <c r="K891">
        <f>IF(J891="v4.0",L891,IF(J891="v3.1",M891,IF(J891="Both",L891,IF(AND(L891&lt;&gt;"",M891=""),L891,M891))))</f>
        <v/>
      </c>
      <c r="Z891">
        <f>IF(Y891&lt;&gt;"",TODAY()-Y891,"")</f>
        <v/>
      </c>
      <c r="AC891">
        <f>IF(AND(AA891&lt;&gt;"",AB891&lt;&gt;""),CHOOSE(MATCH(AA891,{"Low","Medium","High","Critical"},0),25,50,75,100)-CHOOSE(MATCH(AB891,{"Low","Medium","High","Critical"},0),25,50,75,100),"")</f>
        <v/>
      </c>
      <c r="AG891">
        <f>IF(AF891&lt;&gt;"",IF(AH891="Weekly",AF891+7,IF(AH891="Monthly",EDATE(AF891,1),IF(AH891="Quarterly",EDATE(AF891,3),""))),"")</f>
        <v/>
      </c>
      <c r="AK891">
        <f>IF(AJ891&lt;&gt;"",IF(AI891="Monthly",EDATE(AJ891,1),IF(AI891="Quarterly",EDATE(AJ891,3),IF(AI891="Semi-Annual",EDATE(AJ891,6),""))),"")</f>
        <v/>
      </c>
      <c r="AL891">
        <f>IF(AK891&lt;&gt;"",IF(AK891&lt;TODAY(),"Overdue","Current"),"")</f>
        <v/>
      </c>
    </row>
    <row r="892">
      <c r="K892">
        <f>IF(J892="v4.0",L892,IF(J892="v3.1",M892,IF(J892="Both",L892,IF(AND(L892&lt;&gt;"",M892=""),L892,M892))))</f>
        <v/>
      </c>
      <c r="Z892">
        <f>IF(Y892&lt;&gt;"",TODAY()-Y892,"")</f>
        <v/>
      </c>
      <c r="AC892">
        <f>IF(AND(AA892&lt;&gt;"",AB892&lt;&gt;""),CHOOSE(MATCH(AA892,{"Low","Medium","High","Critical"},0),25,50,75,100)-CHOOSE(MATCH(AB892,{"Low","Medium","High","Critical"},0),25,50,75,100),"")</f>
        <v/>
      </c>
      <c r="AG892">
        <f>IF(AF892&lt;&gt;"",IF(AH892="Weekly",AF892+7,IF(AH892="Monthly",EDATE(AF892,1),IF(AH892="Quarterly",EDATE(AF892,3),""))),"")</f>
        <v/>
      </c>
      <c r="AK892">
        <f>IF(AJ892&lt;&gt;"",IF(AI892="Monthly",EDATE(AJ892,1),IF(AI892="Quarterly",EDATE(AJ892,3),IF(AI892="Semi-Annual",EDATE(AJ892,6),""))),"")</f>
        <v/>
      </c>
      <c r="AL892">
        <f>IF(AK892&lt;&gt;"",IF(AK892&lt;TODAY(),"Overdue","Current"),"")</f>
        <v/>
      </c>
    </row>
    <row r="893">
      <c r="K893">
        <f>IF(J893="v4.0",L893,IF(J893="v3.1",M893,IF(J893="Both",L893,IF(AND(L893&lt;&gt;"",M893=""),L893,M893))))</f>
        <v/>
      </c>
      <c r="Z893">
        <f>IF(Y893&lt;&gt;"",TODAY()-Y893,"")</f>
        <v/>
      </c>
      <c r="AC893">
        <f>IF(AND(AA893&lt;&gt;"",AB893&lt;&gt;""),CHOOSE(MATCH(AA893,{"Low","Medium","High","Critical"},0),25,50,75,100)-CHOOSE(MATCH(AB893,{"Low","Medium","High","Critical"},0),25,50,75,100),"")</f>
        <v/>
      </c>
      <c r="AG893">
        <f>IF(AF893&lt;&gt;"",IF(AH893="Weekly",AF893+7,IF(AH893="Monthly",EDATE(AF893,1),IF(AH893="Quarterly",EDATE(AF893,3),""))),"")</f>
        <v/>
      </c>
      <c r="AK893">
        <f>IF(AJ893&lt;&gt;"",IF(AI893="Monthly",EDATE(AJ893,1),IF(AI893="Quarterly",EDATE(AJ893,3),IF(AI893="Semi-Annual",EDATE(AJ893,6),""))),"")</f>
        <v/>
      </c>
      <c r="AL893">
        <f>IF(AK893&lt;&gt;"",IF(AK893&lt;TODAY(),"Overdue","Current"),"")</f>
        <v/>
      </c>
    </row>
    <row r="894">
      <c r="K894">
        <f>IF(J894="v4.0",L894,IF(J894="v3.1",M894,IF(J894="Both",L894,IF(AND(L894&lt;&gt;"",M894=""),L894,M894))))</f>
        <v/>
      </c>
      <c r="Z894">
        <f>IF(Y894&lt;&gt;"",TODAY()-Y894,"")</f>
        <v/>
      </c>
      <c r="AC894">
        <f>IF(AND(AA894&lt;&gt;"",AB894&lt;&gt;""),CHOOSE(MATCH(AA894,{"Low","Medium","High","Critical"},0),25,50,75,100)-CHOOSE(MATCH(AB894,{"Low","Medium","High","Critical"},0),25,50,75,100),"")</f>
        <v/>
      </c>
      <c r="AG894">
        <f>IF(AF894&lt;&gt;"",IF(AH894="Weekly",AF894+7,IF(AH894="Monthly",EDATE(AF894,1),IF(AH894="Quarterly",EDATE(AF894,3),""))),"")</f>
        <v/>
      </c>
      <c r="AK894">
        <f>IF(AJ894&lt;&gt;"",IF(AI894="Monthly",EDATE(AJ894,1),IF(AI894="Quarterly",EDATE(AJ894,3),IF(AI894="Semi-Annual",EDATE(AJ894,6),""))),"")</f>
        <v/>
      </c>
      <c r="AL894">
        <f>IF(AK894&lt;&gt;"",IF(AK894&lt;TODAY(),"Overdue","Current"),"")</f>
        <v/>
      </c>
    </row>
    <row r="895">
      <c r="K895">
        <f>IF(J895="v4.0",L895,IF(J895="v3.1",M895,IF(J895="Both",L895,IF(AND(L895&lt;&gt;"",M895=""),L895,M895))))</f>
        <v/>
      </c>
      <c r="Z895">
        <f>IF(Y895&lt;&gt;"",TODAY()-Y895,"")</f>
        <v/>
      </c>
      <c r="AC895">
        <f>IF(AND(AA895&lt;&gt;"",AB895&lt;&gt;""),CHOOSE(MATCH(AA895,{"Low","Medium","High","Critical"},0),25,50,75,100)-CHOOSE(MATCH(AB895,{"Low","Medium","High","Critical"},0),25,50,75,100),"")</f>
        <v/>
      </c>
      <c r="AG895">
        <f>IF(AF895&lt;&gt;"",IF(AH895="Weekly",AF895+7,IF(AH895="Monthly",EDATE(AF895,1),IF(AH895="Quarterly",EDATE(AF895,3),""))),"")</f>
        <v/>
      </c>
      <c r="AK895">
        <f>IF(AJ895&lt;&gt;"",IF(AI895="Monthly",EDATE(AJ895,1),IF(AI895="Quarterly",EDATE(AJ895,3),IF(AI895="Semi-Annual",EDATE(AJ895,6),""))),"")</f>
        <v/>
      </c>
      <c r="AL895">
        <f>IF(AK895&lt;&gt;"",IF(AK895&lt;TODAY(),"Overdue","Current"),"")</f>
        <v/>
      </c>
    </row>
    <row r="896">
      <c r="K896">
        <f>IF(J896="v4.0",L896,IF(J896="v3.1",M896,IF(J896="Both",L896,IF(AND(L896&lt;&gt;"",M896=""),L896,M896))))</f>
        <v/>
      </c>
      <c r="Z896">
        <f>IF(Y896&lt;&gt;"",TODAY()-Y896,"")</f>
        <v/>
      </c>
      <c r="AC896">
        <f>IF(AND(AA896&lt;&gt;"",AB896&lt;&gt;""),CHOOSE(MATCH(AA896,{"Low","Medium","High","Critical"},0),25,50,75,100)-CHOOSE(MATCH(AB896,{"Low","Medium","High","Critical"},0),25,50,75,100),"")</f>
        <v/>
      </c>
      <c r="AG896">
        <f>IF(AF896&lt;&gt;"",IF(AH896="Weekly",AF896+7,IF(AH896="Monthly",EDATE(AF896,1),IF(AH896="Quarterly",EDATE(AF896,3),""))),"")</f>
        <v/>
      </c>
      <c r="AK896">
        <f>IF(AJ896&lt;&gt;"",IF(AI896="Monthly",EDATE(AJ896,1),IF(AI896="Quarterly",EDATE(AJ896,3),IF(AI896="Semi-Annual",EDATE(AJ896,6),""))),"")</f>
        <v/>
      </c>
      <c r="AL896">
        <f>IF(AK896&lt;&gt;"",IF(AK896&lt;TODAY(),"Overdue","Current"),"")</f>
        <v/>
      </c>
    </row>
    <row r="897">
      <c r="K897">
        <f>IF(J897="v4.0",L897,IF(J897="v3.1",M897,IF(J897="Both",L897,IF(AND(L897&lt;&gt;"",M897=""),L897,M897))))</f>
        <v/>
      </c>
      <c r="Z897">
        <f>IF(Y897&lt;&gt;"",TODAY()-Y897,"")</f>
        <v/>
      </c>
      <c r="AC897">
        <f>IF(AND(AA897&lt;&gt;"",AB897&lt;&gt;""),CHOOSE(MATCH(AA897,{"Low","Medium","High","Critical"},0),25,50,75,100)-CHOOSE(MATCH(AB897,{"Low","Medium","High","Critical"},0),25,50,75,100),"")</f>
        <v/>
      </c>
      <c r="AG897">
        <f>IF(AF897&lt;&gt;"",IF(AH897="Weekly",AF897+7,IF(AH897="Monthly",EDATE(AF897,1),IF(AH897="Quarterly",EDATE(AF897,3),""))),"")</f>
        <v/>
      </c>
      <c r="AK897">
        <f>IF(AJ897&lt;&gt;"",IF(AI897="Monthly",EDATE(AJ897,1),IF(AI897="Quarterly",EDATE(AJ897,3),IF(AI897="Semi-Annual",EDATE(AJ897,6),""))),"")</f>
        <v/>
      </c>
      <c r="AL897">
        <f>IF(AK897&lt;&gt;"",IF(AK897&lt;TODAY(),"Overdue","Current"),"")</f>
        <v/>
      </c>
    </row>
    <row r="898">
      <c r="K898">
        <f>IF(J898="v4.0",L898,IF(J898="v3.1",M898,IF(J898="Both",L898,IF(AND(L898&lt;&gt;"",M898=""),L898,M898))))</f>
        <v/>
      </c>
      <c r="Z898">
        <f>IF(Y898&lt;&gt;"",TODAY()-Y898,"")</f>
        <v/>
      </c>
      <c r="AC898">
        <f>IF(AND(AA898&lt;&gt;"",AB898&lt;&gt;""),CHOOSE(MATCH(AA898,{"Low","Medium","High","Critical"},0),25,50,75,100)-CHOOSE(MATCH(AB898,{"Low","Medium","High","Critical"},0),25,50,75,100),"")</f>
        <v/>
      </c>
      <c r="AG898">
        <f>IF(AF898&lt;&gt;"",IF(AH898="Weekly",AF898+7,IF(AH898="Monthly",EDATE(AF898,1),IF(AH898="Quarterly",EDATE(AF898,3),""))),"")</f>
        <v/>
      </c>
      <c r="AK898">
        <f>IF(AJ898&lt;&gt;"",IF(AI898="Monthly",EDATE(AJ898,1),IF(AI898="Quarterly",EDATE(AJ898,3),IF(AI898="Semi-Annual",EDATE(AJ898,6),""))),"")</f>
        <v/>
      </c>
      <c r="AL898">
        <f>IF(AK898&lt;&gt;"",IF(AK898&lt;TODAY(),"Overdue","Current"),"")</f>
        <v/>
      </c>
    </row>
    <row r="899">
      <c r="K899">
        <f>IF(J899="v4.0",L899,IF(J899="v3.1",M899,IF(J899="Both",L899,IF(AND(L899&lt;&gt;"",M899=""),L899,M899))))</f>
        <v/>
      </c>
      <c r="Z899">
        <f>IF(Y899&lt;&gt;"",TODAY()-Y899,"")</f>
        <v/>
      </c>
      <c r="AC899">
        <f>IF(AND(AA899&lt;&gt;"",AB899&lt;&gt;""),CHOOSE(MATCH(AA899,{"Low","Medium","High","Critical"},0),25,50,75,100)-CHOOSE(MATCH(AB899,{"Low","Medium","High","Critical"},0),25,50,75,100),"")</f>
        <v/>
      </c>
      <c r="AG899">
        <f>IF(AF899&lt;&gt;"",IF(AH899="Weekly",AF899+7,IF(AH899="Monthly",EDATE(AF899,1),IF(AH899="Quarterly",EDATE(AF899,3),""))),"")</f>
        <v/>
      </c>
      <c r="AK899">
        <f>IF(AJ899&lt;&gt;"",IF(AI899="Monthly",EDATE(AJ899,1),IF(AI899="Quarterly",EDATE(AJ899,3),IF(AI899="Semi-Annual",EDATE(AJ899,6),""))),"")</f>
        <v/>
      </c>
      <c r="AL899">
        <f>IF(AK899&lt;&gt;"",IF(AK899&lt;TODAY(),"Overdue","Current"),"")</f>
        <v/>
      </c>
    </row>
    <row r="900">
      <c r="K900">
        <f>IF(J900="v4.0",L900,IF(J900="v3.1",M900,IF(J900="Both",L900,IF(AND(L900&lt;&gt;"",M900=""),L900,M900))))</f>
        <v/>
      </c>
      <c r="Z900">
        <f>IF(Y900&lt;&gt;"",TODAY()-Y900,"")</f>
        <v/>
      </c>
      <c r="AC900">
        <f>IF(AND(AA900&lt;&gt;"",AB900&lt;&gt;""),CHOOSE(MATCH(AA900,{"Low","Medium","High","Critical"},0),25,50,75,100)-CHOOSE(MATCH(AB900,{"Low","Medium","High","Critical"},0),25,50,75,100),"")</f>
        <v/>
      </c>
      <c r="AG900">
        <f>IF(AF900&lt;&gt;"",IF(AH900="Weekly",AF900+7,IF(AH900="Monthly",EDATE(AF900,1),IF(AH900="Quarterly",EDATE(AF900,3),""))),"")</f>
        <v/>
      </c>
      <c r="AK900">
        <f>IF(AJ900&lt;&gt;"",IF(AI900="Monthly",EDATE(AJ900,1),IF(AI900="Quarterly",EDATE(AJ900,3),IF(AI900="Semi-Annual",EDATE(AJ900,6),""))),"")</f>
        <v/>
      </c>
      <c r="AL900">
        <f>IF(AK900&lt;&gt;"",IF(AK900&lt;TODAY(),"Overdue","Current"),"")</f>
        <v/>
      </c>
    </row>
    <row r="901">
      <c r="K901">
        <f>IF(J901="v4.0",L901,IF(J901="v3.1",M901,IF(J901="Both",L901,IF(AND(L901&lt;&gt;"",M901=""),L901,M901))))</f>
        <v/>
      </c>
      <c r="Z901">
        <f>IF(Y901&lt;&gt;"",TODAY()-Y901,"")</f>
        <v/>
      </c>
      <c r="AC901">
        <f>IF(AND(AA901&lt;&gt;"",AB901&lt;&gt;""),CHOOSE(MATCH(AA901,{"Low","Medium","High","Critical"},0),25,50,75,100)-CHOOSE(MATCH(AB901,{"Low","Medium","High","Critical"},0),25,50,75,100),"")</f>
        <v/>
      </c>
      <c r="AG901">
        <f>IF(AF901&lt;&gt;"",IF(AH901="Weekly",AF901+7,IF(AH901="Monthly",EDATE(AF901,1),IF(AH901="Quarterly",EDATE(AF901,3),""))),"")</f>
        <v/>
      </c>
      <c r="AK901">
        <f>IF(AJ901&lt;&gt;"",IF(AI901="Monthly",EDATE(AJ901,1),IF(AI901="Quarterly",EDATE(AJ901,3),IF(AI901="Semi-Annual",EDATE(AJ901,6),""))),"")</f>
        <v/>
      </c>
      <c r="AL901">
        <f>IF(AK901&lt;&gt;"",IF(AK901&lt;TODAY(),"Overdue","Current"),"")</f>
        <v/>
      </c>
    </row>
    <row r="902">
      <c r="K902">
        <f>IF(J902="v4.0",L902,IF(J902="v3.1",M902,IF(J902="Both",L902,IF(AND(L902&lt;&gt;"",M902=""),L902,M902))))</f>
        <v/>
      </c>
      <c r="Z902">
        <f>IF(Y902&lt;&gt;"",TODAY()-Y902,"")</f>
        <v/>
      </c>
      <c r="AC902">
        <f>IF(AND(AA902&lt;&gt;"",AB902&lt;&gt;""),CHOOSE(MATCH(AA902,{"Low","Medium","High","Critical"},0),25,50,75,100)-CHOOSE(MATCH(AB902,{"Low","Medium","High","Critical"},0),25,50,75,100),"")</f>
        <v/>
      </c>
      <c r="AG902">
        <f>IF(AF902&lt;&gt;"",IF(AH902="Weekly",AF902+7,IF(AH902="Monthly",EDATE(AF902,1),IF(AH902="Quarterly",EDATE(AF902,3),""))),"")</f>
        <v/>
      </c>
      <c r="AK902">
        <f>IF(AJ902&lt;&gt;"",IF(AI902="Monthly",EDATE(AJ902,1),IF(AI902="Quarterly",EDATE(AJ902,3),IF(AI902="Semi-Annual",EDATE(AJ902,6),""))),"")</f>
        <v/>
      </c>
      <c r="AL902">
        <f>IF(AK902&lt;&gt;"",IF(AK902&lt;TODAY(),"Overdue","Current"),"")</f>
        <v/>
      </c>
    </row>
    <row r="903">
      <c r="K903">
        <f>IF(J903="v4.0",L903,IF(J903="v3.1",M903,IF(J903="Both",L903,IF(AND(L903&lt;&gt;"",M903=""),L903,M903))))</f>
        <v/>
      </c>
      <c r="Z903">
        <f>IF(Y903&lt;&gt;"",TODAY()-Y903,"")</f>
        <v/>
      </c>
      <c r="AC903">
        <f>IF(AND(AA903&lt;&gt;"",AB903&lt;&gt;""),CHOOSE(MATCH(AA903,{"Low","Medium","High","Critical"},0),25,50,75,100)-CHOOSE(MATCH(AB903,{"Low","Medium","High","Critical"},0),25,50,75,100),"")</f>
        <v/>
      </c>
      <c r="AG903">
        <f>IF(AF903&lt;&gt;"",IF(AH903="Weekly",AF903+7,IF(AH903="Monthly",EDATE(AF903,1),IF(AH903="Quarterly",EDATE(AF903,3),""))),"")</f>
        <v/>
      </c>
      <c r="AK903">
        <f>IF(AJ903&lt;&gt;"",IF(AI903="Monthly",EDATE(AJ903,1),IF(AI903="Quarterly",EDATE(AJ903,3),IF(AI903="Semi-Annual",EDATE(AJ903,6),""))),"")</f>
        <v/>
      </c>
      <c r="AL903">
        <f>IF(AK903&lt;&gt;"",IF(AK903&lt;TODAY(),"Overdue","Current"),"")</f>
        <v/>
      </c>
    </row>
    <row r="904">
      <c r="K904">
        <f>IF(J904="v4.0",L904,IF(J904="v3.1",M904,IF(J904="Both",L904,IF(AND(L904&lt;&gt;"",M904=""),L904,M904))))</f>
        <v/>
      </c>
      <c r="Z904">
        <f>IF(Y904&lt;&gt;"",TODAY()-Y904,"")</f>
        <v/>
      </c>
      <c r="AC904">
        <f>IF(AND(AA904&lt;&gt;"",AB904&lt;&gt;""),CHOOSE(MATCH(AA904,{"Low","Medium","High","Critical"},0),25,50,75,100)-CHOOSE(MATCH(AB904,{"Low","Medium","High","Critical"},0),25,50,75,100),"")</f>
        <v/>
      </c>
      <c r="AG904">
        <f>IF(AF904&lt;&gt;"",IF(AH904="Weekly",AF904+7,IF(AH904="Monthly",EDATE(AF904,1),IF(AH904="Quarterly",EDATE(AF904,3),""))),"")</f>
        <v/>
      </c>
      <c r="AK904">
        <f>IF(AJ904&lt;&gt;"",IF(AI904="Monthly",EDATE(AJ904,1),IF(AI904="Quarterly",EDATE(AJ904,3),IF(AI904="Semi-Annual",EDATE(AJ904,6),""))),"")</f>
        <v/>
      </c>
      <c r="AL904">
        <f>IF(AK904&lt;&gt;"",IF(AK904&lt;TODAY(),"Overdue","Current"),"")</f>
        <v/>
      </c>
    </row>
    <row r="905">
      <c r="K905">
        <f>IF(J905="v4.0",L905,IF(J905="v3.1",M905,IF(J905="Both",L905,IF(AND(L905&lt;&gt;"",M905=""),L905,M905))))</f>
        <v/>
      </c>
      <c r="Z905">
        <f>IF(Y905&lt;&gt;"",TODAY()-Y905,"")</f>
        <v/>
      </c>
      <c r="AC905">
        <f>IF(AND(AA905&lt;&gt;"",AB905&lt;&gt;""),CHOOSE(MATCH(AA905,{"Low","Medium","High","Critical"},0),25,50,75,100)-CHOOSE(MATCH(AB905,{"Low","Medium","High","Critical"},0),25,50,75,100),"")</f>
        <v/>
      </c>
      <c r="AG905">
        <f>IF(AF905&lt;&gt;"",IF(AH905="Weekly",AF905+7,IF(AH905="Monthly",EDATE(AF905,1),IF(AH905="Quarterly",EDATE(AF905,3),""))),"")</f>
        <v/>
      </c>
      <c r="AK905">
        <f>IF(AJ905&lt;&gt;"",IF(AI905="Monthly",EDATE(AJ905,1),IF(AI905="Quarterly",EDATE(AJ905,3),IF(AI905="Semi-Annual",EDATE(AJ905,6),""))),"")</f>
        <v/>
      </c>
      <c r="AL905">
        <f>IF(AK905&lt;&gt;"",IF(AK905&lt;TODAY(),"Overdue","Current"),"")</f>
        <v/>
      </c>
    </row>
    <row r="906">
      <c r="K906">
        <f>IF(J906="v4.0",L906,IF(J906="v3.1",M906,IF(J906="Both",L906,IF(AND(L906&lt;&gt;"",M906=""),L906,M906))))</f>
        <v/>
      </c>
      <c r="Z906">
        <f>IF(Y906&lt;&gt;"",TODAY()-Y906,"")</f>
        <v/>
      </c>
      <c r="AC906">
        <f>IF(AND(AA906&lt;&gt;"",AB906&lt;&gt;""),CHOOSE(MATCH(AA906,{"Low","Medium","High","Critical"},0),25,50,75,100)-CHOOSE(MATCH(AB906,{"Low","Medium","High","Critical"},0),25,50,75,100),"")</f>
        <v/>
      </c>
      <c r="AG906">
        <f>IF(AF906&lt;&gt;"",IF(AH906="Weekly",AF906+7,IF(AH906="Monthly",EDATE(AF906,1),IF(AH906="Quarterly",EDATE(AF906,3),""))),"")</f>
        <v/>
      </c>
      <c r="AK906">
        <f>IF(AJ906&lt;&gt;"",IF(AI906="Monthly",EDATE(AJ906,1),IF(AI906="Quarterly",EDATE(AJ906,3),IF(AI906="Semi-Annual",EDATE(AJ906,6),""))),"")</f>
        <v/>
      </c>
      <c r="AL906">
        <f>IF(AK906&lt;&gt;"",IF(AK906&lt;TODAY(),"Overdue","Current"),"")</f>
        <v/>
      </c>
    </row>
    <row r="907">
      <c r="K907">
        <f>IF(J907="v4.0",L907,IF(J907="v3.1",M907,IF(J907="Both",L907,IF(AND(L907&lt;&gt;"",M907=""),L907,M907))))</f>
        <v/>
      </c>
      <c r="Z907">
        <f>IF(Y907&lt;&gt;"",TODAY()-Y907,"")</f>
        <v/>
      </c>
      <c r="AC907">
        <f>IF(AND(AA907&lt;&gt;"",AB907&lt;&gt;""),CHOOSE(MATCH(AA907,{"Low","Medium","High","Critical"},0),25,50,75,100)-CHOOSE(MATCH(AB907,{"Low","Medium","High","Critical"},0),25,50,75,100),"")</f>
        <v/>
      </c>
      <c r="AG907">
        <f>IF(AF907&lt;&gt;"",IF(AH907="Weekly",AF907+7,IF(AH907="Monthly",EDATE(AF907,1),IF(AH907="Quarterly",EDATE(AF907,3),""))),"")</f>
        <v/>
      </c>
      <c r="AK907">
        <f>IF(AJ907&lt;&gt;"",IF(AI907="Monthly",EDATE(AJ907,1),IF(AI907="Quarterly",EDATE(AJ907,3),IF(AI907="Semi-Annual",EDATE(AJ907,6),""))),"")</f>
        <v/>
      </c>
      <c r="AL907">
        <f>IF(AK907&lt;&gt;"",IF(AK907&lt;TODAY(),"Overdue","Current"),"")</f>
        <v/>
      </c>
    </row>
    <row r="908">
      <c r="K908">
        <f>IF(J908="v4.0",L908,IF(J908="v3.1",M908,IF(J908="Both",L908,IF(AND(L908&lt;&gt;"",M908=""),L908,M908))))</f>
        <v/>
      </c>
      <c r="Z908">
        <f>IF(Y908&lt;&gt;"",TODAY()-Y908,"")</f>
        <v/>
      </c>
      <c r="AC908">
        <f>IF(AND(AA908&lt;&gt;"",AB908&lt;&gt;""),CHOOSE(MATCH(AA908,{"Low","Medium","High","Critical"},0),25,50,75,100)-CHOOSE(MATCH(AB908,{"Low","Medium","High","Critical"},0),25,50,75,100),"")</f>
        <v/>
      </c>
      <c r="AG908">
        <f>IF(AF908&lt;&gt;"",IF(AH908="Weekly",AF908+7,IF(AH908="Monthly",EDATE(AF908,1),IF(AH908="Quarterly",EDATE(AF908,3),""))),"")</f>
        <v/>
      </c>
      <c r="AK908">
        <f>IF(AJ908&lt;&gt;"",IF(AI908="Monthly",EDATE(AJ908,1),IF(AI908="Quarterly",EDATE(AJ908,3),IF(AI908="Semi-Annual",EDATE(AJ908,6),""))),"")</f>
        <v/>
      </c>
      <c r="AL908">
        <f>IF(AK908&lt;&gt;"",IF(AK908&lt;TODAY(),"Overdue","Current"),"")</f>
        <v/>
      </c>
    </row>
    <row r="909">
      <c r="K909">
        <f>IF(J909="v4.0",L909,IF(J909="v3.1",M909,IF(J909="Both",L909,IF(AND(L909&lt;&gt;"",M909=""),L909,M909))))</f>
        <v/>
      </c>
      <c r="Z909">
        <f>IF(Y909&lt;&gt;"",TODAY()-Y909,"")</f>
        <v/>
      </c>
      <c r="AC909">
        <f>IF(AND(AA909&lt;&gt;"",AB909&lt;&gt;""),CHOOSE(MATCH(AA909,{"Low","Medium","High","Critical"},0),25,50,75,100)-CHOOSE(MATCH(AB909,{"Low","Medium","High","Critical"},0),25,50,75,100),"")</f>
        <v/>
      </c>
      <c r="AG909">
        <f>IF(AF909&lt;&gt;"",IF(AH909="Weekly",AF909+7,IF(AH909="Monthly",EDATE(AF909,1),IF(AH909="Quarterly",EDATE(AF909,3),""))),"")</f>
        <v/>
      </c>
      <c r="AK909">
        <f>IF(AJ909&lt;&gt;"",IF(AI909="Monthly",EDATE(AJ909,1),IF(AI909="Quarterly",EDATE(AJ909,3),IF(AI909="Semi-Annual",EDATE(AJ909,6),""))),"")</f>
        <v/>
      </c>
      <c r="AL909">
        <f>IF(AK909&lt;&gt;"",IF(AK909&lt;TODAY(),"Overdue","Current"),"")</f>
        <v/>
      </c>
    </row>
    <row r="910">
      <c r="K910">
        <f>IF(J910="v4.0",L910,IF(J910="v3.1",M910,IF(J910="Both",L910,IF(AND(L910&lt;&gt;"",M910=""),L910,M910))))</f>
        <v/>
      </c>
      <c r="Z910">
        <f>IF(Y910&lt;&gt;"",TODAY()-Y910,"")</f>
        <v/>
      </c>
      <c r="AC910">
        <f>IF(AND(AA910&lt;&gt;"",AB910&lt;&gt;""),CHOOSE(MATCH(AA910,{"Low","Medium","High","Critical"},0),25,50,75,100)-CHOOSE(MATCH(AB910,{"Low","Medium","High","Critical"},0),25,50,75,100),"")</f>
        <v/>
      </c>
      <c r="AG910">
        <f>IF(AF910&lt;&gt;"",IF(AH910="Weekly",AF910+7,IF(AH910="Monthly",EDATE(AF910,1),IF(AH910="Quarterly",EDATE(AF910,3),""))),"")</f>
        <v/>
      </c>
      <c r="AK910">
        <f>IF(AJ910&lt;&gt;"",IF(AI910="Monthly",EDATE(AJ910,1),IF(AI910="Quarterly",EDATE(AJ910,3),IF(AI910="Semi-Annual",EDATE(AJ910,6),""))),"")</f>
        <v/>
      </c>
      <c r="AL910">
        <f>IF(AK910&lt;&gt;"",IF(AK910&lt;TODAY(),"Overdue","Current"),"")</f>
        <v/>
      </c>
    </row>
    <row r="911">
      <c r="K911">
        <f>IF(J911="v4.0",L911,IF(J911="v3.1",M911,IF(J911="Both",L911,IF(AND(L911&lt;&gt;"",M911=""),L911,M911))))</f>
        <v/>
      </c>
      <c r="Z911">
        <f>IF(Y911&lt;&gt;"",TODAY()-Y911,"")</f>
        <v/>
      </c>
      <c r="AC911">
        <f>IF(AND(AA911&lt;&gt;"",AB911&lt;&gt;""),CHOOSE(MATCH(AA911,{"Low","Medium","High","Critical"},0),25,50,75,100)-CHOOSE(MATCH(AB911,{"Low","Medium","High","Critical"},0),25,50,75,100),"")</f>
        <v/>
      </c>
      <c r="AG911">
        <f>IF(AF911&lt;&gt;"",IF(AH911="Weekly",AF911+7,IF(AH911="Monthly",EDATE(AF911,1),IF(AH911="Quarterly",EDATE(AF911,3),""))),"")</f>
        <v/>
      </c>
      <c r="AK911">
        <f>IF(AJ911&lt;&gt;"",IF(AI911="Monthly",EDATE(AJ911,1),IF(AI911="Quarterly",EDATE(AJ911,3),IF(AI911="Semi-Annual",EDATE(AJ911,6),""))),"")</f>
        <v/>
      </c>
      <c r="AL911">
        <f>IF(AK911&lt;&gt;"",IF(AK911&lt;TODAY(),"Overdue","Current"),"")</f>
        <v/>
      </c>
    </row>
    <row r="912">
      <c r="K912">
        <f>IF(J912="v4.0",L912,IF(J912="v3.1",M912,IF(J912="Both",L912,IF(AND(L912&lt;&gt;"",M912=""),L912,M912))))</f>
        <v/>
      </c>
      <c r="Z912">
        <f>IF(Y912&lt;&gt;"",TODAY()-Y912,"")</f>
        <v/>
      </c>
      <c r="AC912">
        <f>IF(AND(AA912&lt;&gt;"",AB912&lt;&gt;""),CHOOSE(MATCH(AA912,{"Low","Medium","High","Critical"},0),25,50,75,100)-CHOOSE(MATCH(AB912,{"Low","Medium","High","Critical"},0),25,50,75,100),"")</f>
        <v/>
      </c>
      <c r="AG912">
        <f>IF(AF912&lt;&gt;"",IF(AH912="Weekly",AF912+7,IF(AH912="Monthly",EDATE(AF912,1),IF(AH912="Quarterly",EDATE(AF912,3),""))),"")</f>
        <v/>
      </c>
      <c r="AK912">
        <f>IF(AJ912&lt;&gt;"",IF(AI912="Monthly",EDATE(AJ912,1),IF(AI912="Quarterly",EDATE(AJ912,3),IF(AI912="Semi-Annual",EDATE(AJ912,6),""))),"")</f>
        <v/>
      </c>
      <c r="AL912">
        <f>IF(AK912&lt;&gt;"",IF(AK912&lt;TODAY(),"Overdue","Current"),"")</f>
        <v/>
      </c>
    </row>
    <row r="913">
      <c r="K913">
        <f>IF(J913="v4.0",L913,IF(J913="v3.1",M913,IF(J913="Both",L913,IF(AND(L913&lt;&gt;"",M913=""),L913,M913))))</f>
        <v/>
      </c>
      <c r="Z913">
        <f>IF(Y913&lt;&gt;"",TODAY()-Y913,"")</f>
        <v/>
      </c>
      <c r="AC913">
        <f>IF(AND(AA913&lt;&gt;"",AB913&lt;&gt;""),CHOOSE(MATCH(AA913,{"Low","Medium","High","Critical"},0),25,50,75,100)-CHOOSE(MATCH(AB913,{"Low","Medium","High","Critical"},0),25,50,75,100),"")</f>
        <v/>
      </c>
      <c r="AG913">
        <f>IF(AF913&lt;&gt;"",IF(AH913="Weekly",AF913+7,IF(AH913="Monthly",EDATE(AF913,1),IF(AH913="Quarterly",EDATE(AF913,3),""))),"")</f>
        <v/>
      </c>
      <c r="AK913">
        <f>IF(AJ913&lt;&gt;"",IF(AI913="Monthly",EDATE(AJ913,1),IF(AI913="Quarterly",EDATE(AJ913,3),IF(AI913="Semi-Annual",EDATE(AJ913,6),""))),"")</f>
        <v/>
      </c>
      <c r="AL913">
        <f>IF(AK913&lt;&gt;"",IF(AK913&lt;TODAY(),"Overdue","Current"),"")</f>
        <v/>
      </c>
    </row>
    <row r="914">
      <c r="K914">
        <f>IF(J914="v4.0",L914,IF(J914="v3.1",M914,IF(J914="Both",L914,IF(AND(L914&lt;&gt;"",M914=""),L914,M914))))</f>
        <v/>
      </c>
      <c r="Z914">
        <f>IF(Y914&lt;&gt;"",TODAY()-Y914,"")</f>
        <v/>
      </c>
      <c r="AC914">
        <f>IF(AND(AA914&lt;&gt;"",AB914&lt;&gt;""),CHOOSE(MATCH(AA914,{"Low","Medium","High","Critical"},0),25,50,75,100)-CHOOSE(MATCH(AB914,{"Low","Medium","High","Critical"},0),25,50,75,100),"")</f>
        <v/>
      </c>
      <c r="AG914">
        <f>IF(AF914&lt;&gt;"",IF(AH914="Weekly",AF914+7,IF(AH914="Monthly",EDATE(AF914,1),IF(AH914="Quarterly",EDATE(AF914,3),""))),"")</f>
        <v/>
      </c>
      <c r="AK914">
        <f>IF(AJ914&lt;&gt;"",IF(AI914="Monthly",EDATE(AJ914,1),IF(AI914="Quarterly",EDATE(AJ914,3),IF(AI914="Semi-Annual",EDATE(AJ914,6),""))),"")</f>
        <v/>
      </c>
      <c r="AL914">
        <f>IF(AK914&lt;&gt;"",IF(AK914&lt;TODAY(),"Overdue","Current"),"")</f>
        <v/>
      </c>
    </row>
    <row r="915">
      <c r="K915">
        <f>IF(J915="v4.0",L915,IF(J915="v3.1",M915,IF(J915="Both",L915,IF(AND(L915&lt;&gt;"",M915=""),L915,M915))))</f>
        <v/>
      </c>
      <c r="Z915">
        <f>IF(Y915&lt;&gt;"",TODAY()-Y915,"")</f>
        <v/>
      </c>
      <c r="AC915">
        <f>IF(AND(AA915&lt;&gt;"",AB915&lt;&gt;""),CHOOSE(MATCH(AA915,{"Low","Medium","High","Critical"},0),25,50,75,100)-CHOOSE(MATCH(AB915,{"Low","Medium","High","Critical"},0),25,50,75,100),"")</f>
        <v/>
      </c>
      <c r="AG915">
        <f>IF(AF915&lt;&gt;"",IF(AH915="Weekly",AF915+7,IF(AH915="Monthly",EDATE(AF915,1),IF(AH915="Quarterly",EDATE(AF915,3),""))),"")</f>
        <v/>
      </c>
      <c r="AK915">
        <f>IF(AJ915&lt;&gt;"",IF(AI915="Monthly",EDATE(AJ915,1),IF(AI915="Quarterly",EDATE(AJ915,3),IF(AI915="Semi-Annual",EDATE(AJ915,6),""))),"")</f>
        <v/>
      </c>
      <c r="AL915">
        <f>IF(AK915&lt;&gt;"",IF(AK915&lt;TODAY(),"Overdue","Current"),"")</f>
        <v/>
      </c>
    </row>
    <row r="916">
      <c r="K916">
        <f>IF(J916="v4.0",L916,IF(J916="v3.1",M916,IF(J916="Both",L916,IF(AND(L916&lt;&gt;"",M916=""),L916,M916))))</f>
        <v/>
      </c>
      <c r="Z916">
        <f>IF(Y916&lt;&gt;"",TODAY()-Y916,"")</f>
        <v/>
      </c>
      <c r="AC916">
        <f>IF(AND(AA916&lt;&gt;"",AB916&lt;&gt;""),CHOOSE(MATCH(AA916,{"Low","Medium","High","Critical"},0),25,50,75,100)-CHOOSE(MATCH(AB916,{"Low","Medium","High","Critical"},0),25,50,75,100),"")</f>
        <v/>
      </c>
      <c r="AG916">
        <f>IF(AF916&lt;&gt;"",IF(AH916="Weekly",AF916+7,IF(AH916="Monthly",EDATE(AF916,1),IF(AH916="Quarterly",EDATE(AF916,3),""))),"")</f>
        <v/>
      </c>
      <c r="AK916">
        <f>IF(AJ916&lt;&gt;"",IF(AI916="Monthly",EDATE(AJ916,1),IF(AI916="Quarterly",EDATE(AJ916,3),IF(AI916="Semi-Annual",EDATE(AJ916,6),""))),"")</f>
        <v/>
      </c>
      <c r="AL916">
        <f>IF(AK916&lt;&gt;"",IF(AK916&lt;TODAY(),"Overdue","Current"),"")</f>
        <v/>
      </c>
    </row>
    <row r="917">
      <c r="K917">
        <f>IF(J917="v4.0",L917,IF(J917="v3.1",M917,IF(J917="Both",L917,IF(AND(L917&lt;&gt;"",M917=""),L917,M917))))</f>
        <v/>
      </c>
      <c r="Z917">
        <f>IF(Y917&lt;&gt;"",TODAY()-Y917,"")</f>
        <v/>
      </c>
      <c r="AC917">
        <f>IF(AND(AA917&lt;&gt;"",AB917&lt;&gt;""),CHOOSE(MATCH(AA917,{"Low","Medium","High","Critical"},0),25,50,75,100)-CHOOSE(MATCH(AB917,{"Low","Medium","High","Critical"},0),25,50,75,100),"")</f>
        <v/>
      </c>
      <c r="AG917">
        <f>IF(AF917&lt;&gt;"",IF(AH917="Weekly",AF917+7,IF(AH917="Monthly",EDATE(AF917,1),IF(AH917="Quarterly",EDATE(AF917,3),""))),"")</f>
        <v/>
      </c>
      <c r="AK917">
        <f>IF(AJ917&lt;&gt;"",IF(AI917="Monthly",EDATE(AJ917,1),IF(AI917="Quarterly",EDATE(AJ917,3),IF(AI917="Semi-Annual",EDATE(AJ917,6),""))),"")</f>
        <v/>
      </c>
      <c r="AL917">
        <f>IF(AK917&lt;&gt;"",IF(AK917&lt;TODAY(),"Overdue","Current"),"")</f>
        <v/>
      </c>
    </row>
    <row r="918">
      <c r="K918">
        <f>IF(J918="v4.0",L918,IF(J918="v3.1",M918,IF(J918="Both",L918,IF(AND(L918&lt;&gt;"",M918=""),L918,M918))))</f>
        <v/>
      </c>
      <c r="Z918">
        <f>IF(Y918&lt;&gt;"",TODAY()-Y918,"")</f>
        <v/>
      </c>
      <c r="AC918">
        <f>IF(AND(AA918&lt;&gt;"",AB918&lt;&gt;""),CHOOSE(MATCH(AA918,{"Low","Medium","High","Critical"},0),25,50,75,100)-CHOOSE(MATCH(AB918,{"Low","Medium","High","Critical"},0),25,50,75,100),"")</f>
        <v/>
      </c>
      <c r="AG918">
        <f>IF(AF918&lt;&gt;"",IF(AH918="Weekly",AF918+7,IF(AH918="Monthly",EDATE(AF918,1),IF(AH918="Quarterly",EDATE(AF918,3),""))),"")</f>
        <v/>
      </c>
      <c r="AK918">
        <f>IF(AJ918&lt;&gt;"",IF(AI918="Monthly",EDATE(AJ918,1),IF(AI918="Quarterly",EDATE(AJ918,3),IF(AI918="Semi-Annual",EDATE(AJ918,6),""))),"")</f>
        <v/>
      </c>
      <c r="AL918">
        <f>IF(AK918&lt;&gt;"",IF(AK918&lt;TODAY(),"Overdue","Current"),"")</f>
        <v/>
      </c>
    </row>
    <row r="919">
      <c r="K919">
        <f>IF(J919="v4.0",L919,IF(J919="v3.1",M919,IF(J919="Both",L919,IF(AND(L919&lt;&gt;"",M919=""),L919,M919))))</f>
        <v/>
      </c>
      <c r="Z919">
        <f>IF(Y919&lt;&gt;"",TODAY()-Y919,"")</f>
        <v/>
      </c>
      <c r="AC919">
        <f>IF(AND(AA919&lt;&gt;"",AB919&lt;&gt;""),CHOOSE(MATCH(AA919,{"Low","Medium","High","Critical"},0),25,50,75,100)-CHOOSE(MATCH(AB919,{"Low","Medium","High","Critical"},0),25,50,75,100),"")</f>
        <v/>
      </c>
      <c r="AG919">
        <f>IF(AF919&lt;&gt;"",IF(AH919="Weekly",AF919+7,IF(AH919="Monthly",EDATE(AF919,1),IF(AH919="Quarterly",EDATE(AF919,3),""))),"")</f>
        <v/>
      </c>
      <c r="AK919">
        <f>IF(AJ919&lt;&gt;"",IF(AI919="Monthly",EDATE(AJ919,1),IF(AI919="Quarterly",EDATE(AJ919,3),IF(AI919="Semi-Annual",EDATE(AJ919,6),""))),"")</f>
        <v/>
      </c>
      <c r="AL919">
        <f>IF(AK919&lt;&gt;"",IF(AK919&lt;TODAY(),"Overdue","Current"),"")</f>
        <v/>
      </c>
    </row>
    <row r="920">
      <c r="K920">
        <f>IF(J920="v4.0",L920,IF(J920="v3.1",M920,IF(J920="Both",L920,IF(AND(L920&lt;&gt;"",M920=""),L920,M920))))</f>
        <v/>
      </c>
      <c r="Z920">
        <f>IF(Y920&lt;&gt;"",TODAY()-Y920,"")</f>
        <v/>
      </c>
      <c r="AC920">
        <f>IF(AND(AA920&lt;&gt;"",AB920&lt;&gt;""),CHOOSE(MATCH(AA920,{"Low","Medium","High","Critical"},0),25,50,75,100)-CHOOSE(MATCH(AB920,{"Low","Medium","High","Critical"},0),25,50,75,100),"")</f>
        <v/>
      </c>
      <c r="AG920">
        <f>IF(AF920&lt;&gt;"",IF(AH920="Weekly",AF920+7,IF(AH920="Monthly",EDATE(AF920,1),IF(AH920="Quarterly",EDATE(AF920,3),""))),"")</f>
        <v/>
      </c>
      <c r="AK920">
        <f>IF(AJ920&lt;&gt;"",IF(AI920="Monthly",EDATE(AJ920,1),IF(AI920="Quarterly",EDATE(AJ920,3),IF(AI920="Semi-Annual",EDATE(AJ920,6),""))),"")</f>
        <v/>
      </c>
      <c r="AL920">
        <f>IF(AK920&lt;&gt;"",IF(AK920&lt;TODAY(),"Overdue","Current"),"")</f>
        <v/>
      </c>
    </row>
    <row r="921">
      <c r="K921">
        <f>IF(J921="v4.0",L921,IF(J921="v3.1",M921,IF(J921="Both",L921,IF(AND(L921&lt;&gt;"",M921=""),L921,M921))))</f>
        <v/>
      </c>
      <c r="Z921">
        <f>IF(Y921&lt;&gt;"",TODAY()-Y921,"")</f>
        <v/>
      </c>
      <c r="AC921">
        <f>IF(AND(AA921&lt;&gt;"",AB921&lt;&gt;""),CHOOSE(MATCH(AA921,{"Low","Medium","High","Critical"},0),25,50,75,100)-CHOOSE(MATCH(AB921,{"Low","Medium","High","Critical"},0),25,50,75,100),"")</f>
        <v/>
      </c>
      <c r="AG921">
        <f>IF(AF921&lt;&gt;"",IF(AH921="Weekly",AF921+7,IF(AH921="Monthly",EDATE(AF921,1),IF(AH921="Quarterly",EDATE(AF921,3),""))),"")</f>
        <v/>
      </c>
      <c r="AK921">
        <f>IF(AJ921&lt;&gt;"",IF(AI921="Monthly",EDATE(AJ921,1),IF(AI921="Quarterly",EDATE(AJ921,3),IF(AI921="Semi-Annual",EDATE(AJ921,6),""))),"")</f>
        <v/>
      </c>
      <c r="AL921">
        <f>IF(AK921&lt;&gt;"",IF(AK921&lt;TODAY(),"Overdue","Current"),"")</f>
        <v/>
      </c>
    </row>
    <row r="922">
      <c r="K922">
        <f>IF(J922="v4.0",L922,IF(J922="v3.1",M922,IF(J922="Both",L922,IF(AND(L922&lt;&gt;"",M922=""),L922,M922))))</f>
        <v/>
      </c>
      <c r="Z922">
        <f>IF(Y922&lt;&gt;"",TODAY()-Y922,"")</f>
        <v/>
      </c>
      <c r="AC922">
        <f>IF(AND(AA922&lt;&gt;"",AB922&lt;&gt;""),CHOOSE(MATCH(AA922,{"Low","Medium","High","Critical"},0),25,50,75,100)-CHOOSE(MATCH(AB922,{"Low","Medium","High","Critical"},0),25,50,75,100),"")</f>
        <v/>
      </c>
      <c r="AG922">
        <f>IF(AF922&lt;&gt;"",IF(AH922="Weekly",AF922+7,IF(AH922="Monthly",EDATE(AF922,1),IF(AH922="Quarterly",EDATE(AF922,3),""))),"")</f>
        <v/>
      </c>
      <c r="AK922">
        <f>IF(AJ922&lt;&gt;"",IF(AI922="Monthly",EDATE(AJ922,1),IF(AI922="Quarterly",EDATE(AJ922,3),IF(AI922="Semi-Annual",EDATE(AJ922,6),""))),"")</f>
        <v/>
      </c>
      <c r="AL922">
        <f>IF(AK922&lt;&gt;"",IF(AK922&lt;TODAY(),"Overdue","Current"),"")</f>
        <v/>
      </c>
    </row>
    <row r="923">
      <c r="K923">
        <f>IF(J923="v4.0",L923,IF(J923="v3.1",M923,IF(J923="Both",L923,IF(AND(L923&lt;&gt;"",M923=""),L923,M923))))</f>
        <v/>
      </c>
      <c r="Z923">
        <f>IF(Y923&lt;&gt;"",TODAY()-Y923,"")</f>
        <v/>
      </c>
      <c r="AC923">
        <f>IF(AND(AA923&lt;&gt;"",AB923&lt;&gt;""),CHOOSE(MATCH(AA923,{"Low","Medium","High","Critical"},0),25,50,75,100)-CHOOSE(MATCH(AB923,{"Low","Medium","High","Critical"},0),25,50,75,100),"")</f>
        <v/>
      </c>
      <c r="AG923">
        <f>IF(AF923&lt;&gt;"",IF(AH923="Weekly",AF923+7,IF(AH923="Monthly",EDATE(AF923,1),IF(AH923="Quarterly",EDATE(AF923,3),""))),"")</f>
        <v/>
      </c>
      <c r="AK923">
        <f>IF(AJ923&lt;&gt;"",IF(AI923="Monthly",EDATE(AJ923,1),IF(AI923="Quarterly",EDATE(AJ923,3),IF(AI923="Semi-Annual",EDATE(AJ923,6),""))),"")</f>
        <v/>
      </c>
      <c r="AL923">
        <f>IF(AK923&lt;&gt;"",IF(AK923&lt;TODAY(),"Overdue","Current"),"")</f>
        <v/>
      </c>
    </row>
    <row r="924">
      <c r="K924">
        <f>IF(J924="v4.0",L924,IF(J924="v3.1",M924,IF(J924="Both",L924,IF(AND(L924&lt;&gt;"",M924=""),L924,M924))))</f>
        <v/>
      </c>
      <c r="Z924">
        <f>IF(Y924&lt;&gt;"",TODAY()-Y924,"")</f>
        <v/>
      </c>
      <c r="AC924">
        <f>IF(AND(AA924&lt;&gt;"",AB924&lt;&gt;""),CHOOSE(MATCH(AA924,{"Low","Medium","High","Critical"},0),25,50,75,100)-CHOOSE(MATCH(AB924,{"Low","Medium","High","Critical"},0),25,50,75,100),"")</f>
        <v/>
      </c>
      <c r="AG924">
        <f>IF(AF924&lt;&gt;"",IF(AH924="Weekly",AF924+7,IF(AH924="Monthly",EDATE(AF924,1),IF(AH924="Quarterly",EDATE(AF924,3),""))),"")</f>
        <v/>
      </c>
      <c r="AK924">
        <f>IF(AJ924&lt;&gt;"",IF(AI924="Monthly",EDATE(AJ924,1),IF(AI924="Quarterly",EDATE(AJ924,3),IF(AI924="Semi-Annual",EDATE(AJ924,6),""))),"")</f>
        <v/>
      </c>
      <c r="AL924">
        <f>IF(AK924&lt;&gt;"",IF(AK924&lt;TODAY(),"Overdue","Current"),"")</f>
        <v/>
      </c>
    </row>
    <row r="925">
      <c r="K925">
        <f>IF(J925="v4.0",L925,IF(J925="v3.1",M925,IF(J925="Both",L925,IF(AND(L925&lt;&gt;"",M925=""),L925,M925))))</f>
        <v/>
      </c>
      <c r="Z925">
        <f>IF(Y925&lt;&gt;"",TODAY()-Y925,"")</f>
        <v/>
      </c>
      <c r="AC925">
        <f>IF(AND(AA925&lt;&gt;"",AB925&lt;&gt;""),CHOOSE(MATCH(AA925,{"Low","Medium","High","Critical"},0),25,50,75,100)-CHOOSE(MATCH(AB925,{"Low","Medium","High","Critical"},0),25,50,75,100),"")</f>
        <v/>
      </c>
      <c r="AG925">
        <f>IF(AF925&lt;&gt;"",IF(AH925="Weekly",AF925+7,IF(AH925="Monthly",EDATE(AF925,1),IF(AH925="Quarterly",EDATE(AF925,3),""))),"")</f>
        <v/>
      </c>
      <c r="AK925">
        <f>IF(AJ925&lt;&gt;"",IF(AI925="Monthly",EDATE(AJ925,1),IF(AI925="Quarterly",EDATE(AJ925,3),IF(AI925="Semi-Annual",EDATE(AJ925,6),""))),"")</f>
        <v/>
      </c>
      <c r="AL925">
        <f>IF(AK925&lt;&gt;"",IF(AK925&lt;TODAY(),"Overdue","Current"),"")</f>
        <v/>
      </c>
    </row>
    <row r="926">
      <c r="K926">
        <f>IF(J926="v4.0",L926,IF(J926="v3.1",M926,IF(J926="Both",L926,IF(AND(L926&lt;&gt;"",M926=""),L926,M926))))</f>
        <v/>
      </c>
      <c r="Z926">
        <f>IF(Y926&lt;&gt;"",TODAY()-Y926,"")</f>
        <v/>
      </c>
      <c r="AC926">
        <f>IF(AND(AA926&lt;&gt;"",AB926&lt;&gt;""),CHOOSE(MATCH(AA926,{"Low","Medium","High","Critical"},0),25,50,75,100)-CHOOSE(MATCH(AB926,{"Low","Medium","High","Critical"},0),25,50,75,100),"")</f>
        <v/>
      </c>
      <c r="AG926">
        <f>IF(AF926&lt;&gt;"",IF(AH926="Weekly",AF926+7,IF(AH926="Monthly",EDATE(AF926,1),IF(AH926="Quarterly",EDATE(AF926,3),""))),"")</f>
        <v/>
      </c>
      <c r="AK926">
        <f>IF(AJ926&lt;&gt;"",IF(AI926="Monthly",EDATE(AJ926,1),IF(AI926="Quarterly",EDATE(AJ926,3),IF(AI926="Semi-Annual",EDATE(AJ926,6),""))),"")</f>
        <v/>
      </c>
      <c r="AL926">
        <f>IF(AK926&lt;&gt;"",IF(AK926&lt;TODAY(),"Overdue","Current"),"")</f>
        <v/>
      </c>
    </row>
    <row r="927">
      <c r="K927">
        <f>IF(J927="v4.0",L927,IF(J927="v3.1",M927,IF(J927="Both",L927,IF(AND(L927&lt;&gt;"",M927=""),L927,M927))))</f>
        <v/>
      </c>
      <c r="Z927">
        <f>IF(Y927&lt;&gt;"",TODAY()-Y927,"")</f>
        <v/>
      </c>
      <c r="AC927">
        <f>IF(AND(AA927&lt;&gt;"",AB927&lt;&gt;""),CHOOSE(MATCH(AA927,{"Low","Medium","High","Critical"},0),25,50,75,100)-CHOOSE(MATCH(AB927,{"Low","Medium","High","Critical"},0),25,50,75,100),"")</f>
        <v/>
      </c>
      <c r="AG927">
        <f>IF(AF927&lt;&gt;"",IF(AH927="Weekly",AF927+7,IF(AH927="Monthly",EDATE(AF927,1),IF(AH927="Quarterly",EDATE(AF927,3),""))),"")</f>
        <v/>
      </c>
      <c r="AK927">
        <f>IF(AJ927&lt;&gt;"",IF(AI927="Monthly",EDATE(AJ927,1),IF(AI927="Quarterly",EDATE(AJ927,3),IF(AI927="Semi-Annual",EDATE(AJ927,6),""))),"")</f>
        <v/>
      </c>
      <c r="AL927">
        <f>IF(AK927&lt;&gt;"",IF(AK927&lt;TODAY(),"Overdue","Current"),"")</f>
        <v/>
      </c>
    </row>
    <row r="928">
      <c r="K928">
        <f>IF(J928="v4.0",L928,IF(J928="v3.1",M928,IF(J928="Both",L928,IF(AND(L928&lt;&gt;"",M928=""),L928,M928))))</f>
        <v/>
      </c>
      <c r="Z928">
        <f>IF(Y928&lt;&gt;"",TODAY()-Y928,"")</f>
        <v/>
      </c>
      <c r="AC928">
        <f>IF(AND(AA928&lt;&gt;"",AB928&lt;&gt;""),CHOOSE(MATCH(AA928,{"Low","Medium","High","Critical"},0),25,50,75,100)-CHOOSE(MATCH(AB928,{"Low","Medium","High","Critical"},0),25,50,75,100),"")</f>
        <v/>
      </c>
      <c r="AG928">
        <f>IF(AF928&lt;&gt;"",IF(AH928="Weekly",AF928+7,IF(AH928="Monthly",EDATE(AF928,1),IF(AH928="Quarterly",EDATE(AF928,3),""))),"")</f>
        <v/>
      </c>
      <c r="AK928">
        <f>IF(AJ928&lt;&gt;"",IF(AI928="Monthly",EDATE(AJ928,1),IF(AI928="Quarterly",EDATE(AJ928,3),IF(AI928="Semi-Annual",EDATE(AJ928,6),""))),"")</f>
        <v/>
      </c>
      <c r="AL928">
        <f>IF(AK928&lt;&gt;"",IF(AK928&lt;TODAY(),"Overdue","Current"),"")</f>
        <v/>
      </c>
    </row>
    <row r="929">
      <c r="K929">
        <f>IF(J929="v4.0",L929,IF(J929="v3.1",M929,IF(J929="Both",L929,IF(AND(L929&lt;&gt;"",M929=""),L929,M929))))</f>
        <v/>
      </c>
      <c r="Z929">
        <f>IF(Y929&lt;&gt;"",TODAY()-Y929,"")</f>
        <v/>
      </c>
      <c r="AC929">
        <f>IF(AND(AA929&lt;&gt;"",AB929&lt;&gt;""),CHOOSE(MATCH(AA929,{"Low","Medium","High","Critical"},0),25,50,75,100)-CHOOSE(MATCH(AB929,{"Low","Medium","High","Critical"},0),25,50,75,100),"")</f>
        <v/>
      </c>
      <c r="AG929">
        <f>IF(AF929&lt;&gt;"",IF(AH929="Weekly",AF929+7,IF(AH929="Monthly",EDATE(AF929,1),IF(AH929="Quarterly",EDATE(AF929,3),""))),"")</f>
        <v/>
      </c>
      <c r="AK929">
        <f>IF(AJ929&lt;&gt;"",IF(AI929="Monthly",EDATE(AJ929,1),IF(AI929="Quarterly",EDATE(AJ929,3),IF(AI929="Semi-Annual",EDATE(AJ929,6),""))),"")</f>
        <v/>
      </c>
      <c r="AL929">
        <f>IF(AK929&lt;&gt;"",IF(AK929&lt;TODAY(),"Overdue","Current"),"")</f>
        <v/>
      </c>
    </row>
    <row r="930">
      <c r="K930">
        <f>IF(J930="v4.0",L930,IF(J930="v3.1",M930,IF(J930="Both",L930,IF(AND(L930&lt;&gt;"",M930=""),L930,M930))))</f>
        <v/>
      </c>
      <c r="Z930">
        <f>IF(Y930&lt;&gt;"",TODAY()-Y930,"")</f>
        <v/>
      </c>
      <c r="AC930">
        <f>IF(AND(AA930&lt;&gt;"",AB930&lt;&gt;""),CHOOSE(MATCH(AA930,{"Low","Medium","High","Critical"},0),25,50,75,100)-CHOOSE(MATCH(AB930,{"Low","Medium","High","Critical"},0),25,50,75,100),"")</f>
        <v/>
      </c>
      <c r="AG930">
        <f>IF(AF930&lt;&gt;"",IF(AH930="Weekly",AF930+7,IF(AH930="Monthly",EDATE(AF930,1),IF(AH930="Quarterly",EDATE(AF930,3),""))),"")</f>
        <v/>
      </c>
      <c r="AK930">
        <f>IF(AJ930&lt;&gt;"",IF(AI930="Monthly",EDATE(AJ930,1),IF(AI930="Quarterly",EDATE(AJ930,3),IF(AI930="Semi-Annual",EDATE(AJ930,6),""))),"")</f>
        <v/>
      </c>
      <c r="AL930">
        <f>IF(AK930&lt;&gt;"",IF(AK930&lt;TODAY(),"Overdue","Current"),"")</f>
        <v/>
      </c>
    </row>
    <row r="931">
      <c r="K931">
        <f>IF(J931="v4.0",L931,IF(J931="v3.1",M931,IF(J931="Both",L931,IF(AND(L931&lt;&gt;"",M931=""),L931,M931))))</f>
        <v/>
      </c>
      <c r="Z931">
        <f>IF(Y931&lt;&gt;"",TODAY()-Y931,"")</f>
        <v/>
      </c>
      <c r="AC931">
        <f>IF(AND(AA931&lt;&gt;"",AB931&lt;&gt;""),CHOOSE(MATCH(AA931,{"Low","Medium","High","Critical"},0),25,50,75,100)-CHOOSE(MATCH(AB931,{"Low","Medium","High","Critical"},0),25,50,75,100),"")</f>
        <v/>
      </c>
      <c r="AG931">
        <f>IF(AF931&lt;&gt;"",IF(AH931="Weekly",AF931+7,IF(AH931="Monthly",EDATE(AF931,1),IF(AH931="Quarterly",EDATE(AF931,3),""))),"")</f>
        <v/>
      </c>
      <c r="AK931">
        <f>IF(AJ931&lt;&gt;"",IF(AI931="Monthly",EDATE(AJ931,1),IF(AI931="Quarterly",EDATE(AJ931,3),IF(AI931="Semi-Annual",EDATE(AJ931,6),""))),"")</f>
        <v/>
      </c>
      <c r="AL931">
        <f>IF(AK931&lt;&gt;"",IF(AK931&lt;TODAY(),"Overdue","Current"),"")</f>
        <v/>
      </c>
    </row>
    <row r="932">
      <c r="K932">
        <f>IF(J932="v4.0",L932,IF(J932="v3.1",M932,IF(J932="Both",L932,IF(AND(L932&lt;&gt;"",M932=""),L932,M932))))</f>
        <v/>
      </c>
      <c r="Z932">
        <f>IF(Y932&lt;&gt;"",TODAY()-Y932,"")</f>
        <v/>
      </c>
      <c r="AC932">
        <f>IF(AND(AA932&lt;&gt;"",AB932&lt;&gt;""),CHOOSE(MATCH(AA932,{"Low","Medium","High","Critical"},0),25,50,75,100)-CHOOSE(MATCH(AB932,{"Low","Medium","High","Critical"},0),25,50,75,100),"")</f>
        <v/>
      </c>
      <c r="AG932">
        <f>IF(AF932&lt;&gt;"",IF(AH932="Weekly",AF932+7,IF(AH932="Monthly",EDATE(AF932,1),IF(AH932="Quarterly",EDATE(AF932,3),""))),"")</f>
        <v/>
      </c>
      <c r="AK932">
        <f>IF(AJ932&lt;&gt;"",IF(AI932="Monthly",EDATE(AJ932,1),IF(AI932="Quarterly",EDATE(AJ932,3),IF(AI932="Semi-Annual",EDATE(AJ932,6),""))),"")</f>
        <v/>
      </c>
      <c r="AL932">
        <f>IF(AK932&lt;&gt;"",IF(AK932&lt;TODAY(),"Overdue","Current"),"")</f>
        <v/>
      </c>
    </row>
    <row r="933">
      <c r="K933">
        <f>IF(J933="v4.0",L933,IF(J933="v3.1",M933,IF(J933="Both",L933,IF(AND(L933&lt;&gt;"",M933=""),L933,M933))))</f>
        <v/>
      </c>
      <c r="Z933">
        <f>IF(Y933&lt;&gt;"",TODAY()-Y933,"")</f>
        <v/>
      </c>
      <c r="AC933">
        <f>IF(AND(AA933&lt;&gt;"",AB933&lt;&gt;""),CHOOSE(MATCH(AA933,{"Low","Medium","High","Critical"},0),25,50,75,100)-CHOOSE(MATCH(AB933,{"Low","Medium","High","Critical"},0),25,50,75,100),"")</f>
        <v/>
      </c>
      <c r="AG933">
        <f>IF(AF933&lt;&gt;"",IF(AH933="Weekly",AF933+7,IF(AH933="Monthly",EDATE(AF933,1),IF(AH933="Quarterly",EDATE(AF933,3),""))),"")</f>
        <v/>
      </c>
      <c r="AK933">
        <f>IF(AJ933&lt;&gt;"",IF(AI933="Monthly",EDATE(AJ933,1),IF(AI933="Quarterly",EDATE(AJ933,3),IF(AI933="Semi-Annual",EDATE(AJ933,6),""))),"")</f>
        <v/>
      </c>
      <c r="AL933">
        <f>IF(AK933&lt;&gt;"",IF(AK933&lt;TODAY(),"Overdue","Current"),"")</f>
        <v/>
      </c>
    </row>
    <row r="934">
      <c r="K934">
        <f>IF(J934="v4.0",L934,IF(J934="v3.1",M934,IF(J934="Both",L934,IF(AND(L934&lt;&gt;"",M934=""),L934,M934))))</f>
        <v/>
      </c>
      <c r="Z934">
        <f>IF(Y934&lt;&gt;"",TODAY()-Y934,"")</f>
        <v/>
      </c>
      <c r="AC934">
        <f>IF(AND(AA934&lt;&gt;"",AB934&lt;&gt;""),CHOOSE(MATCH(AA934,{"Low","Medium","High","Critical"},0),25,50,75,100)-CHOOSE(MATCH(AB934,{"Low","Medium","High","Critical"},0),25,50,75,100),"")</f>
        <v/>
      </c>
      <c r="AG934">
        <f>IF(AF934&lt;&gt;"",IF(AH934="Weekly",AF934+7,IF(AH934="Monthly",EDATE(AF934,1),IF(AH934="Quarterly",EDATE(AF934,3),""))),"")</f>
        <v/>
      </c>
      <c r="AK934">
        <f>IF(AJ934&lt;&gt;"",IF(AI934="Monthly",EDATE(AJ934,1),IF(AI934="Quarterly",EDATE(AJ934,3),IF(AI934="Semi-Annual",EDATE(AJ934,6),""))),"")</f>
        <v/>
      </c>
      <c r="AL934">
        <f>IF(AK934&lt;&gt;"",IF(AK934&lt;TODAY(),"Overdue","Current"),"")</f>
        <v/>
      </c>
    </row>
    <row r="935">
      <c r="K935">
        <f>IF(J935="v4.0",L935,IF(J935="v3.1",M935,IF(J935="Both",L935,IF(AND(L935&lt;&gt;"",M935=""),L935,M935))))</f>
        <v/>
      </c>
      <c r="Z935">
        <f>IF(Y935&lt;&gt;"",TODAY()-Y935,"")</f>
        <v/>
      </c>
      <c r="AC935">
        <f>IF(AND(AA935&lt;&gt;"",AB935&lt;&gt;""),CHOOSE(MATCH(AA935,{"Low","Medium","High","Critical"},0),25,50,75,100)-CHOOSE(MATCH(AB935,{"Low","Medium","High","Critical"},0),25,50,75,100),"")</f>
        <v/>
      </c>
      <c r="AG935">
        <f>IF(AF935&lt;&gt;"",IF(AH935="Weekly",AF935+7,IF(AH935="Monthly",EDATE(AF935,1),IF(AH935="Quarterly",EDATE(AF935,3),""))),"")</f>
        <v/>
      </c>
      <c r="AK935">
        <f>IF(AJ935&lt;&gt;"",IF(AI935="Monthly",EDATE(AJ935,1),IF(AI935="Quarterly",EDATE(AJ935,3),IF(AI935="Semi-Annual",EDATE(AJ935,6),""))),"")</f>
        <v/>
      </c>
      <c r="AL935">
        <f>IF(AK935&lt;&gt;"",IF(AK935&lt;TODAY(),"Overdue","Current"),"")</f>
        <v/>
      </c>
    </row>
    <row r="936">
      <c r="K936">
        <f>IF(J936="v4.0",L936,IF(J936="v3.1",M936,IF(J936="Both",L936,IF(AND(L936&lt;&gt;"",M936=""),L936,M936))))</f>
        <v/>
      </c>
      <c r="Z936">
        <f>IF(Y936&lt;&gt;"",TODAY()-Y936,"")</f>
        <v/>
      </c>
      <c r="AC936">
        <f>IF(AND(AA936&lt;&gt;"",AB936&lt;&gt;""),CHOOSE(MATCH(AA936,{"Low","Medium","High","Critical"},0),25,50,75,100)-CHOOSE(MATCH(AB936,{"Low","Medium","High","Critical"},0),25,50,75,100),"")</f>
        <v/>
      </c>
      <c r="AG936">
        <f>IF(AF936&lt;&gt;"",IF(AH936="Weekly",AF936+7,IF(AH936="Monthly",EDATE(AF936,1),IF(AH936="Quarterly",EDATE(AF936,3),""))),"")</f>
        <v/>
      </c>
      <c r="AK936">
        <f>IF(AJ936&lt;&gt;"",IF(AI936="Monthly",EDATE(AJ936,1),IF(AI936="Quarterly",EDATE(AJ936,3),IF(AI936="Semi-Annual",EDATE(AJ936,6),""))),"")</f>
        <v/>
      </c>
      <c r="AL936">
        <f>IF(AK936&lt;&gt;"",IF(AK936&lt;TODAY(),"Overdue","Current"),"")</f>
        <v/>
      </c>
    </row>
    <row r="937">
      <c r="K937">
        <f>IF(J937="v4.0",L937,IF(J937="v3.1",M937,IF(J937="Both",L937,IF(AND(L937&lt;&gt;"",M937=""),L937,M937))))</f>
        <v/>
      </c>
      <c r="Z937">
        <f>IF(Y937&lt;&gt;"",TODAY()-Y937,"")</f>
        <v/>
      </c>
      <c r="AC937">
        <f>IF(AND(AA937&lt;&gt;"",AB937&lt;&gt;""),CHOOSE(MATCH(AA937,{"Low","Medium","High","Critical"},0),25,50,75,100)-CHOOSE(MATCH(AB937,{"Low","Medium","High","Critical"},0),25,50,75,100),"")</f>
        <v/>
      </c>
      <c r="AG937">
        <f>IF(AF937&lt;&gt;"",IF(AH937="Weekly",AF937+7,IF(AH937="Monthly",EDATE(AF937,1),IF(AH937="Quarterly",EDATE(AF937,3),""))),"")</f>
        <v/>
      </c>
      <c r="AK937">
        <f>IF(AJ937&lt;&gt;"",IF(AI937="Monthly",EDATE(AJ937,1),IF(AI937="Quarterly",EDATE(AJ937,3),IF(AI937="Semi-Annual",EDATE(AJ937,6),""))),"")</f>
        <v/>
      </c>
      <c r="AL937">
        <f>IF(AK937&lt;&gt;"",IF(AK937&lt;TODAY(),"Overdue","Current"),"")</f>
        <v/>
      </c>
    </row>
    <row r="938">
      <c r="K938">
        <f>IF(J938="v4.0",L938,IF(J938="v3.1",M938,IF(J938="Both",L938,IF(AND(L938&lt;&gt;"",M938=""),L938,M938))))</f>
        <v/>
      </c>
      <c r="Z938">
        <f>IF(Y938&lt;&gt;"",TODAY()-Y938,"")</f>
        <v/>
      </c>
      <c r="AC938">
        <f>IF(AND(AA938&lt;&gt;"",AB938&lt;&gt;""),CHOOSE(MATCH(AA938,{"Low","Medium","High","Critical"},0),25,50,75,100)-CHOOSE(MATCH(AB938,{"Low","Medium","High","Critical"},0),25,50,75,100),"")</f>
        <v/>
      </c>
      <c r="AG938">
        <f>IF(AF938&lt;&gt;"",IF(AH938="Weekly",AF938+7,IF(AH938="Monthly",EDATE(AF938,1),IF(AH938="Quarterly",EDATE(AF938,3),""))),"")</f>
        <v/>
      </c>
      <c r="AK938">
        <f>IF(AJ938&lt;&gt;"",IF(AI938="Monthly",EDATE(AJ938,1),IF(AI938="Quarterly",EDATE(AJ938,3),IF(AI938="Semi-Annual",EDATE(AJ938,6),""))),"")</f>
        <v/>
      </c>
      <c r="AL938">
        <f>IF(AK938&lt;&gt;"",IF(AK938&lt;TODAY(),"Overdue","Current"),"")</f>
        <v/>
      </c>
    </row>
    <row r="939">
      <c r="K939">
        <f>IF(J939="v4.0",L939,IF(J939="v3.1",M939,IF(J939="Both",L939,IF(AND(L939&lt;&gt;"",M939=""),L939,M939))))</f>
        <v/>
      </c>
      <c r="Z939">
        <f>IF(Y939&lt;&gt;"",TODAY()-Y939,"")</f>
        <v/>
      </c>
      <c r="AC939">
        <f>IF(AND(AA939&lt;&gt;"",AB939&lt;&gt;""),CHOOSE(MATCH(AA939,{"Low","Medium","High","Critical"},0),25,50,75,100)-CHOOSE(MATCH(AB939,{"Low","Medium","High","Critical"},0),25,50,75,100),"")</f>
        <v/>
      </c>
      <c r="AG939">
        <f>IF(AF939&lt;&gt;"",IF(AH939="Weekly",AF939+7,IF(AH939="Monthly",EDATE(AF939,1),IF(AH939="Quarterly",EDATE(AF939,3),""))),"")</f>
        <v/>
      </c>
      <c r="AK939">
        <f>IF(AJ939&lt;&gt;"",IF(AI939="Monthly",EDATE(AJ939,1),IF(AI939="Quarterly",EDATE(AJ939,3),IF(AI939="Semi-Annual",EDATE(AJ939,6),""))),"")</f>
        <v/>
      </c>
      <c r="AL939">
        <f>IF(AK939&lt;&gt;"",IF(AK939&lt;TODAY(),"Overdue","Current"),"")</f>
        <v/>
      </c>
    </row>
    <row r="940">
      <c r="K940">
        <f>IF(J940="v4.0",L940,IF(J940="v3.1",M940,IF(J940="Both",L940,IF(AND(L940&lt;&gt;"",M940=""),L940,M940))))</f>
        <v/>
      </c>
      <c r="Z940">
        <f>IF(Y940&lt;&gt;"",TODAY()-Y940,"")</f>
        <v/>
      </c>
      <c r="AC940">
        <f>IF(AND(AA940&lt;&gt;"",AB940&lt;&gt;""),CHOOSE(MATCH(AA940,{"Low","Medium","High","Critical"},0),25,50,75,100)-CHOOSE(MATCH(AB940,{"Low","Medium","High","Critical"},0),25,50,75,100),"")</f>
        <v/>
      </c>
      <c r="AG940">
        <f>IF(AF940&lt;&gt;"",IF(AH940="Weekly",AF940+7,IF(AH940="Monthly",EDATE(AF940,1),IF(AH940="Quarterly",EDATE(AF940,3),""))),"")</f>
        <v/>
      </c>
      <c r="AK940">
        <f>IF(AJ940&lt;&gt;"",IF(AI940="Monthly",EDATE(AJ940,1),IF(AI940="Quarterly",EDATE(AJ940,3),IF(AI940="Semi-Annual",EDATE(AJ940,6),""))),"")</f>
        <v/>
      </c>
      <c r="AL940">
        <f>IF(AK940&lt;&gt;"",IF(AK940&lt;TODAY(),"Overdue","Current"),"")</f>
        <v/>
      </c>
    </row>
    <row r="941">
      <c r="K941">
        <f>IF(J941="v4.0",L941,IF(J941="v3.1",M941,IF(J941="Both",L941,IF(AND(L941&lt;&gt;"",M941=""),L941,M941))))</f>
        <v/>
      </c>
      <c r="Z941">
        <f>IF(Y941&lt;&gt;"",TODAY()-Y941,"")</f>
        <v/>
      </c>
      <c r="AC941">
        <f>IF(AND(AA941&lt;&gt;"",AB941&lt;&gt;""),CHOOSE(MATCH(AA941,{"Low","Medium","High","Critical"},0),25,50,75,100)-CHOOSE(MATCH(AB941,{"Low","Medium","High","Critical"},0),25,50,75,100),"")</f>
        <v/>
      </c>
      <c r="AG941">
        <f>IF(AF941&lt;&gt;"",IF(AH941="Weekly",AF941+7,IF(AH941="Monthly",EDATE(AF941,1),IF(AH941="Quarterly",EDATE(AF941,3),""))),"")</f>
        <v/>
      </c>
      <c r="AK941">
        <f>IF(AJ941&lt;&gt;"",IF(AI941="Monthly",EDATE(AJ941,1),IF(AI941="Quarterly",EDATE(AJ941,3),IF(AI941="Semi-Annual",EDATE(AJ941,6),""))),"")</f>
        <v/>
      </c>
      <c r="AL941">
        <f>IF(AK941&lt;&gt;"",IF(AK941&lt;TODAY(),"Overdue","Current"),"")</f>
        <v/>
      </c>
    </row>
    <row r="942">
      <c r="K942">
        <f>IF(J942="v4.0",L942,IF(J942="v3.1",M942,IF(J942="Both",L942,IF(AND(L942&lt;&gt;"",M942=""),L942,M942))))</f>
        <v/>
      </c>
      <c r="Z942">
        <f>IF(Y942&lt;&gt;"",TODAY()-Y942,"")</f>
        <v/>
      </c>
      <c r="AC942">
        <f>IF(AND(AA942&lt;&gt;"",AB942&lt;&gt;""),CHOOSE(MATCH(AA942,{"Low","Medium","High","Critical"},0),25,50,75,100)-CHOOSE(MATCH(AB942,{"Low","Medium","High","Critical"},0),25,50,75,100),"")</f>
        <v/>
      </c>
      <c r="AG942">
        <f>IF(AF942&lt;&gt;"",IF(AH942="Weekly",AF942+7,IF(AH942="Monthly",EDATE(AF942,1),IF(AH942="Quarterly",EDATE(AF942,3),""))),"")</f>
        <v/>
      </c>
      <c r="AK942">
        <f>IF(AJ942&lt;&gt;"",IF(AI942="Monthly",EDATE(AJ942,1),IF(AI942="Quarterly",EDATE(AJ942,3),IF(AI942="Semi-Annual",EDATE(AJ942,6),""))),"")</f>
        <v/>
      </c>
      <c r="AL942">
        <f>IF(AK942&lt;&gt;"",IF(AK942&lt;TODAY(),"Overdue","Current"),"")</f>
        <v/>
      </c>
    </row>
    <row r="943">
      <c r="K943">
        <f>IF(J943="v4.0",L943,IF(J943="v3.1",M943,IF(J943="Both",L943,IF(AND(L943&lt;&gt;"",M943=""),L943,M943))))</f>
        <v/>
      </c>
      <c r="Z943">
        <f>IF(Y943&lt;&gt;"",TODAY()-Y943,"")</f>
        <v/>
      </c>
      <c r="AC943">
        <f>IF(AND(AA943&lt;&gt;"",AB943&lt;&gt;""),CHOOSE(MATCH(AA943,{"Low","Medium","High","Critical"},0),25,50,75,100)-CHOOSE(MATCH(AB943,{"Low","Medium","High","Critical"},0),25,50,75,100),"")</f>
        <v/>
      </c>
      <c r="AG943">
        <f>IF(AF943&lt;&gt;"",IF(AH943="Weekly",AF943+7,IF(AH943="Monthly",EDATE(AF943,1),IF(AH943="Quarterly",EDATE(AF943,3),""))),"")</f>
        <v/>
      </c>
      <c r="AK943">
        <f>IF(AJ943&lt;&gt;"",IF(AI943="Monthly",EDATE(AJ943,1),IF(AI943="Quarterly",EDATE(AJ943,3),IF(AI943="Semi-Annual",EDATE(AJ943,6),""))),"")</f>
        <v/>
      </c>
      <c r="AL943">
        <f>IF(AK943&lt;&gt;"",IF(AK943&lt;TODAY(),"Overdue","Current"),"")</f>
        <v/>
      </c>
    </row>
    <row r="944">
      <c r="K944">
        <f>IF(J944="v4.0",L944,IF(J944="v3.1",M944,IF(J944="Both",L944,IF(AND(L944&lt;&gt;"",M944=""),L944,M944))))</f>
        <v/>
      </c>
      <c r="Z944">
        <f>IF(Y944&lt;&gt;"",TODAY()-Y944,"")</f>
        <v/>
      </c>
      <c r="AC944">
        <f>IF(AND(AA944&lt;&gt;"",AB944&lt;&gt;""),CHOOSE(MATCH(AA944,{"Low","Medium","High","Critical"},0),25,50,75,100)-CHOOSE(MATCH(AB944,{"Low","Medium","High","Critical"},0),25,50,75,100),"")</f>
        <v/>
      </c>
      <c r="AG944">
        <f>IF(AF944&lt;&gt;"",IF(AH944="Weekly",AF944+7,IF(AH944="Monthly",EDATE(AF944,1),IF(AH944="Quarterly",EDATE(AF944,3),""))),"")</f>
        <v/>
      </c>
      <c r="AK944">
        <f>IF(AJ944&lt;&gt;"",IF(AI944="Monthly",EDATE(AJ944,1),IF(AI944="Quarterly",EDATE(AJ944,3),IF(AI944="Semi-Annual",EDATE(AJ944,6),""))),"")</f>
        <v/>
      </c>
      <c r="AL944">
        <f>IF(AK944&lt;&gt;"",IF(AK944&lt;TODAY(),"Overdue","Current"),"")</f>
        <v/>
      </c>
    </row>
    <row r="945">
      <c r="K945">
        <f>IF(J945="v4.0",L945,IF(J945="v3.1",M945,IF(J945="Both",L945,IF(AND(L945&lt;&gt;"",M945=""),L945,M945))))</f>
        <v/>
      </c>
      <c r="Z945">
        <f>IF(Y945&lt;&gt;"",TODAY()-Y945,"")</f>
        <v/>
      </c>
      <c r="AC945">
        <f>IF(AND(AA945&lt;&gt;"",AB945&lt;&gt;""),CHOOSE(MATCH(AA945,{"Low","Medium","High","Critical"},0),25,50,75,100)-CHOOSE(MATCH(AB945,{"Low","Medium","High","Critical"},0),25,50,75,100),"")</f>
        <v/>
      </c>
      <c r="AG945">
        <f>IF(AF945&lt;&gt;"",IF(AH945="Weekly",AF945+7,IF(AH945="Monthly",EDATE(AF945,1),IF(AH945="Quarterly",EDATE(AF945,3),""))),"")</f>
        <v/>
      </c>
      <c r="AK945">
        <f>IF(AJ945&lt;&gt;"",IF(AI945="Monthly",EDATE(AJ945,1),IF(AI945="Quarterly",EDATE(AJ945,3),IF(AI945="Semi-Annual",EDATE(AJ945,6),""))),"")</f>
        <v/>
      </c>
      <c r="AL945">
        <f>IF(AK945&lt;&gt;"",IF(AK945&lt;TODAY(),"Overdue","Current"),"")</f>
        <v/>
      </c>
    </row>
    <row r="946">
      <c r="K946">
        <f>IF(J946="v4.0",L946,IF(J946="v3.1",M946,IF(J946="Both",L946,IF(AND(L946&lt;&gt;"",M946=""),L946,M946))))</f>
        <v/>
      </c>
      <c r="Z946">
        <f>IF(Y946&lt;&gt;"",TODAY()-Y946,"")</f>
        <v/>
      </c>
      <c r="AC946">
        <f>IF(AND(AA946&lt;&gt;"",AB946&lt;&gt;""),CHOOSE(MATCH(AA946,{"Low","Medium","High","Critical"},0),25,50,75,100)-CHOOSE(MATCH(AB946,{"Low","Medium","High","Critical"},0),25,50,75,100),"")</f>
        <v/>
      </c>
      <c r="AG946">
        <f>IF(AF946&lt;&gt;"",IF(AH946="Weekly",AF946+7,IF(AH946="Monthly",EDATE(AF946,1),IF(AH946="Quarterly",EDATE(AF946,3),""))),"")</f>
        <v/>
      </c>
      <c r="AK946">
        <f>IF(AJ946&lt;&gt;"",IF(AI946="Monthly",EDATE(AJ946,1),IF(AI946="Quarterly",EDATE(AJ946,3),IF(AI946="Semi-Annual",EDATE(AJ946,6),""))),"")</f>
        <v/>
      </c>
      <c r="AL946">
        <f>IF(AK946&lt;&gt;"",IF(AK946&lt;TODAY(),"Overdue","Current"),"")</f>
        <v/>
      </c>
    </row>
    <row r="947">
      <c r="K947">
        <f>IF(J947="v4.0",L947,IF(J947="v3.1",M947,IF(J947="Both",L947,IF(AND(L947&lt;&gt;"",M947=""),L947,M947))))</f>
        <v/>
      </c>
      <c r="Z947">
        <f>IF(Y947&lt;&gt;"",TODAY()-Y947,"")</f>
        <v/>
      </c>
      <c r="AC947">
        <f>IF(AND(AA947&lt;&gt;"",AB947&lt;&gt;""),CHOOSE(MATCH(AA947,{"Low","Medium","High","Critical"},0),25,50,75,100)-CHOOSE(MATCH(AB947,{"Low","Medium","High","Critical"},0),25,50,75,100),"")</f>
        <v/>
      </c>
      <c r="AG947">
        <f>IF(AF947&lt;&gt;"",IF(AH947="Weekly",AF947+7,IF(AH947="Monthly",EDATE(AF947,1),IF(AH947="Quarterly",EDATE(AF947,3),""))),"")</f>
        <v/>
      </c>
      <c r="AK947">
        <f>IF(AJ947&lt;&gt;"",IF(AI947="Monthly",EDATE(AJ947,1),IF(AI947="Quarterly",EDATE(AJ947,3),IF(AI947="Semi-Annual",EDATE(AJ947,6),""))),"")</f>
        <v/>
      </c>
      <c r="AL947">
        <f>IF(AK947&lt;&gt;"",IF(AK947&lt;TODAY(),"Overdue","Current"),"")</f>
        <v/>
      </c>
    </row>
    <row r="948">
      <c r="K948">
        <f>IF(J948="v4.0",L948,IF(J948="v3.1",M948,IF(J948="Both",L948,IF(AND(L948&lt;&gt;"",M948=""),L948,M948))))</f>
        <v/>
      </c>
      <c r="Z948">
        <f>IF(Y948&lt;&gt;"",TODAY()-Y948,"")</f>
        <v/>
      </c>
      <c r="AC948">
        <f>IF(AND(AA948&lt;&gt;"",AB948&lt;&gt;""),CHOOSE(MATCH(AA948,{"Low","Medium","High","Critical"},0),25,50,75,100)-CHOOSE(MATCH(AB948,{"Low","Medium","High","Critical"},0),25,50,75,100),"")</f>
        <v/>
      </c>
      <c r="AG948">
        <f>IF(AF948&lt;&gt;"",IF(AH948="Weekly",AF948+7,IF(AH948="Monthly",EDATE(AF948,1),IF(AH948="Quarterly",EDATE(AF948,3),""))),"")</f>
        <v/>
      </c>
      <c r="AK948">
        <f>IF(AJ948&lt;&gt;"",IF(AI948="Monthly",EDATE(AJ948,1),IF(AI948="Quarterly",EDATE(AJ948,3),IF(AI948="Semi-Annual",EDATE(AJ948,6),""))),"")</f>
        <v/>
      </c>
      <c r="AL948">
        <f>IF(AK948&lt;&gt;"",IF(AK948&lt;TODAY(),"Overdue","Current"),"")</f>
        <v/>
      </c>
    </row>
    <row r="949">
      <c r="K949">
        <f>IF(J949="v4.0",L949,IF(J949="v3.1",M949,IF(J949="Both",L949,IF(AND(L949&lt;&gt;"",M949=""),L949,M949))))</f>
        <v/>
      </c>
      <c r="Z949">
        <f>IF(Y949&lt;&gt;"",TODAY()-Y949,"")</f>
        <v/>
      </c>
      <c r="AC949">
        <f>IF(AND(AA949&lt;&gt;"",AB949&lt;&gt;""),CHOOSE(MATCH(AA949,{"Low","Medium","High","Critical"},0),25,50,75,100)-CHOOSE(MATCH(AB949,{"Low","Medium","High","Critical"},0),25,50,75,100),"")</f>
        <v/>
      </c>
      <c r="AG949">
        <f>IF(AF949&lt;&gt;"",IF(AH949="Weekly",AF949+7,IF(AH949="Monthly",EDATE(AF949,1),IF(AH949="Quarterly",EDATE(AF949,3),""))),"")</f>
        <v/>
      </c>
      <c r="AK949">
        <f>IF(AJ949&lt;&gt;"",IF(AI949="Monthly",EDATE(AJ949,1),IF(AI949="Quarterly",EDATE(AJ949,3),IF(AI949="Semi-Annual",EDATE(AJ949,6),""))),"")</f>
        <v/>
      </c>
      <c r="AL949">
        <f>IF(AK949&lt;&gt;"",IF(AK949&lt;TODAY(),"Overdue","Current"),"")</f>
        <v/>
      </c>
    </row>
    <row r="950">
      <c r="K950">
        <f>IF(J950="v4.0",L950,IF(J950="v3.1",M950,IF(J950="Both",L950,IF(AND(L950&lt;&gt;"",M950=""),L950,M950))))</f>
        <v/>
      </c>
      <c r="Z950">
        <f>IF(Y950&lt;&gt;"",TODAY()-Y950,"")</f>
        <v/>
      </c>
      <c r="AC950">
        <f>IF(AND(AA950&lt;&gt;"",AB950&lt;&gt;""),CHOOSE(MATCH(AA950,{"Low","Medium","High","Critical"},0),25,50,75,100)-CHOOSE(MATCH(AB950,{"Low","Medium","High","Critical"},0),25,50,75,100),"")</f>
        <v/>
      </c>
      <c r="AG950">
        <f>IF(AF950&lt;&gt;"",IF(AH950="Weekly",AF950+7,IF(AH950="Monthly",EDATE(AF950,1),IF(AH950="Quarterly",EDATE(AF950,3),""))),"")</f>
        <v/>
      </c>
      <c r="AK950">
        <f>IF(AJ950&lt;&gt;"",IF(AI950="Monthly",EDATE(AJ950,1),IF(AI950="Quarterly",EDATE(AJ950,3),IF(AI950="Semi-Annual",EDATE(AJ950,6),""))),"")</f>
        <v/>
      </c>
      <c r="AL950">
        <f>IF(AK950&lt;&gt;"",IF(AK950&lt;TODAY(),"Overdue","Current"),"")</f>
        <v/>
      </c>
    </row>
    <row r="951">
      <c r="K951">
        <f>IF(J951="v4.0",L951,IF(J951="v3.1",M951,IF(J951="Both",L951,IF(AND(L951&lt;&gt;"",M951=""),L951,M951))))</f>
        <v/>
      </c>
      <c r="Z951">
        <f>IF(Y951&lt;&gt;"",TODAY()-Y951,"")</f>
        <v/>
      </c>
      <c r="AC951">
        <f>IF(AND(AA951&lt;&gt;"",AB951&lt;&gt;""),CHOOSE(MATCH(AA951,{"Low","Medium","High","Critical"},0),25,50,75,100)-CHOOSE(MATCH(AB951,{"Low","Medium","High","Critical"},0),25,50,75,100),"")</f>
        <v/>
      </c>
      <c r="AG951">
        <f>IF(AF951&lt;&gt;"",IF(AH951="Weekly",AF951+7,IF(AH951="Monthly",EDATE(AF951,1),IF(AH951="Quarterly",EDATE(AF951,3),""))),"")</f>
        <v/>
      </c>
      <c r="AK951">
        <f>IF(AJ951&lt;&gt;"",IF(AI951="Monthly",EDATE(AJ951,1),IF(AI951="Quarterly",EDATE(AJ951,3),IF(AI951="Semi-Annual",EDATE(AJ951,6),""))),"")</f>
        <v/>
      </c>
      <c r="AL951">
        <f>IF(AK951&lt;&gt;"",IF(AK951&lt;TODAY(),"Overdue","Current"),"")</f>
        <v/>
      </c>
    </row>
    <row r="952">
      <c r="K952">
        <f>IF(J952="v4.0",L952,IF(J952="v3.1",M952,IF(J952="Both",L952,IF(AND(L952&lt;&gt;"",M952=""),L952,M952))))</f>
        <v/>
      </c>
      <c r="Z952">
        <f>IF(Y952&lt;&gt;"",TODAY()-Y952,"")</f>
        <v/>
      </c>
      <c r="AC952">
        <f>IF(AND(AA952&lt;&gt;"",AB952&lt;&gt;""),CHOOSE(MATCH(AA952,{"Low","Medium","High","Critical"},0),25,50,75,100)-CHOOSE(MATCH(AB952,{"Low","Medium","High","Critical"},0),25,50,75,100),"")</f>
        <v/>
      </c>
      <c r="AG952">
        <f>IF(AF952&lt;&gt;"",IF(AH952="Weekly",AF952+7,IF(AH952="Monthly",EDATE(AF952,1),IF(AH952="Quarterly",EDATE(AF952,3),""))),"")</f>
        <v/>
      </c>
      <c r="AK952">
        <f>IF(AJ952&lt;&gt;"",IF(AI952="Monthly",EDATE(AJ952,1),IF(AI952="Quarterly",EDATE(AJ952,3),IF(AI952="Semi-Annual",EDATE(AJ952,6),""))),"")</f>
        <v/>
      </c>
      <c r="AL952">
        <f>IF(AK952&lt;&gt;"",IF(AK952&lt;TODAY(),"Overdue","Current"),"")</f>
        <v/>
      </c>
    </row>
    <row r="953">
      <c r="K953">
        <f>IF(J953="v4.0",L953,IF(J953="v3.1",M953,IF(J953="Both",L953,IF(AND(L953&lt;&gt;"",M953=""),L953,M953))))</f>
        <v/>
      </c>
      <c r="Z953">
        <f>IF(Y953&lt;&gt;"",TODAY()-Y953,"")</f>
        <v/>
      </c>
      <c r="AC953">
        <f>IF(AND(AA953&lt;&gt;"",AB953&lt;&gt;""),CHOOSE(MATCH(AA953,{"Low","Medium","High","Critical"},0),25,50,75,100)-CHOOSE(MATCH(AB953,{"Low","Medium","High","Critical"},0),25,50,75,100),"")</f>
        <v/>
      </c>
      <c r="AG953">
        <f>IF(AF953&lt;&gt;"",IF(AH953="Weekly",AF953+7,IF(AH953="Monthly",EDATE(AF953,1),IF(AH953="Quarterly",EDATE(AF953,3),""))),"")</f>
        <v/>
      </c>
      <c r="AK953">
        <f>IF(AJ953&lt;&gt;"",IF(AI953="Monthly",EDATE(AJ953,1),IF(AI953="Quarterly",EDATE(AJ953,3),IF(AI953="Semi-Annual",EDATE(AJ953,6),""))),"")</f>
        <v/>
      </c>
      <c r="AL953">
        <f>IF(AK953&lt;&gt;"",IF(AK953&lt;TODAY(),"Overdue","Current"),"")</f>
        <v/>
      </c>
    </row>
    <row r="954">
      <c r="K954">
        <f>IF(J954="v4.0",L954,IF(J954="v3.1",M954,IF(J954="Both",L954,IF(AND(L954&lt;&gt;"",M954=""),L954,M954))))</f>
        <v/>
      </c>
      <c r="Z954">
        <f>IF(Y954&lt;&gt;"",TODAY()-Y954,"")</f>
        <v/>
      </c>
      <c r="AC954">
        <f>IF(AND(AA954&lt;&gt;"",AB954&lt;&gt;""),CHOOSE(MATCH(AA954,{"Low","Medium","High","Critical"},0),25,50,75,100)-CHOOSE(MATCH(AB954,{"Low","Medium","High","Critical"},0),25,50,75,100),"")</f>
        <v/>
      </c>
      <c r="AG954">
        <f>IF(AF954&lt;&gt;"",IF(AH954="Weekly",AF954+7,IF(AH954="Monthly",EDATE(AF954,1),IF(AH954="Quarterly",EDATE(AF954,3),""))),"")</f>
        <v/>
      </c>
      <c r="AK954">
        <f>IF(AJ954&lt;&gt;"",IF(AI954="Monthly",EDATE(AJ954,1),IF(AI954="Quarterly",EDATE(AJ954,3),IF(AI954="Semi-Annual",EDATE(AJ954,6),""))),"")</f>
        <v/>
      </c>
      <c r="AL954">
        <f>IF(AK954&lt;&gt;"",IF(AK954&lt;TODAY(),"Overdue","Current"),"")</f>
        <v/>
      </c>
    </row>
    <row r="955">
      <c r="K955">
        <f>IF(J955="v4.0",L955,IF(J955="v3.1",M955,IF(J955="Both",L955,IF(AND(L955&lt;&gt;"",M955=""),L955,M955))))</f>
        <v/>
      </c>
      <c r="Z955">
        <f>IF(Y955&lt;&gt;"",TODAY()-Y955,"")</f>
        <v/>
      </c>
      <c r="AC955">
        <f>IF(AND(AA955&lt;&gt;"",AB955&lt;&gt;""),CHOOSE(MATCH(AA955,{"Low","Medium","High","Critical"},0),25,50,75,100)-CHOOSE(MATCH(AB955,{"Low","Medium","High","Critical"},0),25,50,75,100),"")</f>
        <v/>
      </c>
      <c r="AG955">
        <f>IF(AF955&lt;&gt;"",IF(AH955="Weekly",AF955+7,IF(AH955="Monthly",EDATE(AF955,1),IF(AH955="Quarterly",EDATE(AF955,3),""))),"")</f>
        <v/>
      </c>
      <c r="AK955">
        <f>IF(AJ955&lt;&gt;"",IF(AI955="Monthly",EDATE(AJ955,1),IF(AI955="Quarterly",EDATE(AJ955,3),IF(AI955="Semi-Annual",EDATE(AJ955,6),""))),"")</f>
        <v/>
      </c>
      <c r="AL955">
        <f>IF(AK955&lt;&gt;"",IF(AK955&lt;TODAY(),"Overdue","Current"),"")</f>
        <v/>
      </c>
    </row>
    <row r="956">
      <c r="K956">
        <f>IF(J956="v4.0",L956,IF(J956="v3.1",M956,IF(J956="Both",L956,IF(AND(L956&lt;&gt;"",M956=""),L956,M956))))</f>
        <v/>
      </c>
      <c r="Z956">
        <f>IF(Y956&lt;&gt;"",TODAY()-Y956,"")</f>
        <v/>
      </c>
      <c r="AC956">
        <f>IF(AND(AA956&lt;&gt;"",AB956&lt;&gt;""),CHOOSE(MATCH(AA956,{"Low","Medium","High","Critical"},0),25,50,75,100)-CHOOSE(MATCH(AB956,{"Low","Medium","High","Critical"},0),25,50,75,100),"")</f>
        <v/>
      </c>
      <c r="AG956">
        <f>IF(AF956&lt;&gt;"",IF(AH956="Weekly",AF956+7,IF(AH956="Monthly",EDATE(AF956,1),IF(AH956="Quarterly",EDATE(AF956,3),""))),"")</f>
        <v/>
      </c>
      <c r="AK956">
        <f>IF(AJ956&lt;&gt;"",IF(AI956="Monthly",EDATE(AJ956,1),IF(AI956="Quarterly",EDATE(AJ956,3),IF(AI956="Semi-Annual",EDATE(AJ956,6),""))),"")</f>
        <v/>
      </c>
      <c r="AL956">
        <f>IF(AK956&lt;&gt;"",IF(AK956&lt;TODAY(),"Overdue","Current"),"")</f>
        <v/>
      </c>
    </row>
    <row r="957">
      <c r="K957">
        <f>IF(J957="v4.0",L957,IF(J957="v3.1",M957,IF(J957="Both",L957,IF(AND(L957&lt;&gt;"",M957=""),L957,M957))))</f>
        <v/>
      </c>
      <c r="Z957">
        <f>IF(Y957&lt;&gt;"",TODAY()-Y957,"")</f>
        <v/>
      </c>
      <c r="AC957">
        <f>IF(AND(AA957&lt;&gt;"",AB957&lt;&gt;""),CHOOSE(MATCH(AA957,{"Low","Medium","High","Critical"},0),25,50,75,100)-CHOOSE(MATCH(AB957,{"Low","Medium","High","Critical"},0),25,50,75,100),"")</f>
        <v/>
      </c>
      <c r="AG957">
        <f>IF(AF957&lt;&gt;"",IF(AH957="Weekly",AF957+7,IF(AH957="Monthly",EDATE(AF957,1),IF(AH957="Quarterly",EDATE(AF957,3),""))),"")</f>
        <v/>
      </c>
      <c r="AK957">
        <f>IF(AJ957&lt;&gt;"",IF(AI957="Monthly",EDATE(AJ957,1),IF(AI957="Quarterly",EDATE(AJ957,3),IF(AI957="Semi-Annual",EDATE(AJ957,6),""))),"")</f>
        <v/>
      </c>
      <c r="AL957">
        <f>IF(AK957&lt;&gt;"",IF(AK957&lt;TODAY(),"Overdue","Current"),"")</f>
        <v/>
      </c>
    </row>
    <row r="958">
      <c r="K958">
        <f>IF(J958="v4.0",L958,IF(J958="v3.1",M958,IF(J958="Both",L958,IF(AND(L958&lt;&gt;"",M958=""),L958,M958))))</f>
        <v/>
      </c>
      <c r="Z958">
        <f>IF(Y958&lt;&gt;"",TODAY()-Y958,"")</f>
        <v/>
      </c>
      <c r="AC958">
        <f>IF(AND(AA958&lt;&gt;"",AB958&lt;&gt;""),CHOOSE(MATCH(AA958,{"Low","Medium","High","Critical"},0),25,50,75,100)-CHOOSE(MATCH(AB958,{"Low","Medium","High","Critical"},0),25,50,75,100),"")</f>
        <v/>
      </c>
      <c r="AG958">
        <f>IF(AF958&lt;&gt;"",IF(AH958="Weekly",AF958+7,IF(AH958="Monthly",EDATE(AF958,1),IF(AH958="Quarterly",EDATE(AF958,3),""))),"")</f>
        <v/>
      </c>
      <c r="AK958">
        <f>IF(AJ958&lt;&gt;"",IF(AI958="Monthly",EDATE(AJ958,1),IF(AI958="Quarterly",EDATE(AJ958,3),IF(AI958="Semi-Annual",EDATE(AJ958,6),""))),"")</f>
        <v/>
      </c>
      <c r="AL958">
        <f>IF(AK958&lt;&gt;"",IF(AK958&lt;TODAY(),"Overdue","Current"),"")</f>
        <v/>
      </c>
    </row>
    <row r="959">
      <c r="K959">
        <f>IF(J959="v4.0",L959,IF(J959="v3.1",M959,IF(J959="Both",L959,IF(AND(L959&lt;&gt;"",M959=""),L959,M959))))</f>
        <v/>
      </c>
      <c r="Z959">
        <f>IF(Y959&lt;&gt;"",TODAY()-Y959,"")</f>
        <v/>
      </c>
      <c r="AC959">
        <f>IF(AND(AA959&lt;&gt;"",AB959&lt;&gt;""),CHOOSE(MATCH(AA959,{"Low","Medium","High","Critical"},0),25,50,75,100)-CHOOSE(MATCH(AB959,{"Low","Medium","High","Critical"},0),25,50,75,100),"")</f>
        <v/>
      </c>
      <c r="AG959">
        <f>IF(AF959&lt;&gt;"",IF(AH959="Weekly",AF959+7,IF(AH959="Monthly",EDATE(AF959,1),IF(AH959="Quarterly",EDATE(AF959,3),""))),"")</f>
        <v/>
      </c>
      <c r="AK959">
        <f>IF(AJ959&lt;&gt;"",IF(AI959="Monthly",EDATE(AJ959,1),IF(AI959="Quarterly",EDATE(AJ959,3),IF(AI959="Semi-Annual",EDATE(AJ959,6),""))),"")</f>
        <v/>
      </c>
      <c r="AL959">
        <f>IF(AK959&lt;&gt;"",IF(AK959&lt;TODAY(),"Overdue","Current"),"")</f>
        <v/>
      </c>
    </row>
    <row r="960">
      <c r="K960">
        <f>IF(J960="v4.0",L960,IF(J960="v3.1",M960,IF(J960="Both",L960,IF(AND(L960&lt;&gt;"",M960=""),L960,M960))))</f>
        <v/>
      </c>
      <c r="Z960">
        <f>IF(Y960&lt;&gt;"",TODAY()-Y960,"")</f>
        <v/>
      </c>
      <c r="AC960">
        <f>IF(AND(AA960&lt;&gt;"",AB960&lt;&gt;""),CHOOSE(MATCH(AA960,{"Low","Medium","High","Critical"},0),25,50,75,100)-CHOOSE(MATCH(AB960,{"Low","Medium","High","Critical"},0),25,50,75,100),"")</f>
        <v/>
      </c>
      <c r="AG960">
        <f>IF(AF960&lt;&gt;"",IF(AH960="Weekly",AF960+7,IF(AH960="Monthly",EDATE(AF960,1),IF(AH960="Quarterly",EDATE(AF960,3),""))),"")</f>
        <v/>
      </c>
      <c r="AK960">
        <f>IF(AJ960&lt;&gt;"",IF(AI960="Monthly",EDATE(AJ960,1),IF(AI960="Quarterly",EDATE(AJ960,3),IF(AI960="Semi-Annual",EDATE(AJ960,6),""))),"")</f>
        <v/>
      </c>
      <c r="AL960">
        <f>IF(AK960&lt;&gt;"",IF(AK960&lt;TODAY(),"Overdue","Current"),"")</f>
        <v/>
      </c>
    </row>
    <row r="961">
      <c r="K961">
        <f>IF(J961="v4.0",L961,IF(J961="v3.1",M961,IF(J961="Both",L961,IF(AND(L961&lt;&gt;"",M961=""),L961,M961))))</f>
        <v/>
      </c>
      <c r="Z961">
        <f>IF(Y961&lt;&gt;"",TODAY()-Y961,"")</f>
        <v/>
      </c>
      <c r="AC961">
        <f>IF(AND(AA961&lt;&gt;"",AB961&lt;&gt;""),CHOOSE(MATCH(AA961,{"Low","Medium","High","Critical"},0),25,50,75,100)-CHOOSE(MATCH(AB961,{"Low","Medium","High","Critical"},0),25,50,75,100),"")</f>
        <v/>
      </c>
      <c r="AG961">
        <f>IF(AF961&lt;&gt;"",IF(AH961="Weekly",AF961+7,IF(AH961="Monthly",EDATE(AF961,1),IF(AH961="Quarterly",EDATE(AF961,3),""))),"")</f>
        <v/>
      </c>
      <c r="AK961">
        <f>IF(AJ961&lt;&gt;"",IF(AI961="Monthly",EDATE(AJ961,1),IF(AI961="Quarterly",EDATE(AJ961,3),IF(AI961="Semi-Annual",EDATE(AJ961,6),""))),"")</f>
        <v/>
      </c>
      <c r="AL961">
        <f>IF(AK961&lt;&gt;"",IF(AK961&lt;TODAY(),"Overdue","Current"),"")</f>
        <v/>
      </c>
    </row>
    <row r="962">
      <c r="K962">
        <f>IF(J962="v4.0",L962,IF(J962="v3.1",M962,IF(J962="Both",L962,IF(AND(L962&lt;&gt;"",M962=""),L962,M962))))</f>
        <v/>
      </c>
      <c r="Z962">
        <f>IF(Y962&lt;&gt;"",TODAY()-Y962,"")</f>
        <v/>
      </c>
      <c r="AC962">
        <f>IF(AND(AA962&lt;&gt;"",AB962&lt;&gt;""),CHOOSE(MATCH(AA962,{"Low","Medium","High","Critical"},0),25,50,75,100)-CHOOSE(MATCH(AB962,{"Low","Medium","High","Critical"},0),25,50,75,100),"")</f>
        <v/>
      </c>
      <c r="AG962">
        <f>IF(AF962&lt;&gt;"",IF(AH962="Weekly",AF962+7,IF(AH962="Monthly",EDATE(AF962,1),IF(AH962="Quarterly",EDATE(AF962,3),""))),"")</f>
        <v/>
      </c>
      <c r="AK962">
        <f>IF(AJ962&lt;&gt;"",IF(AI962="Monthly",EDATE(AJ962,1),IF(AI962="Quarterly",EDATE(AJ962,3),IF(AI962="Semi-Annual",EDATE(AJ962,6),""))),"")</f>
        <v/>
      </c>
      <c r="AL962">
        <f>IF(AK962&lt;&gt;"",IF(AK962&lt;TODAY(),"Overdue","Current"),"")</f>
        <v/>
      </c>
    </row>
    <row r="963">
      <c r="K963">
        <f>IF(J963="v4.0",L963,IF(J963="v3.1",M963,IF(J963="Both",L963,IF(AND(L963&lt;&gt;"",M963=""),L963,M963))))</f>
        <v/>
      </c>
      <c r="Z963">
        <f>IF(Y963&lt;&gt;"",TODAY()-Y963,"")</f>
        <v/>
      </c>
      <c r="AC963">
        <f>IF(AND(AA963&lt;&gt;"",AB963&lt;&gt;""),CHOOSE(MATCH(AA963,{"Low","Medium","High","Critical"},0),25,50,75,100)-CHOOSE(MATCH(AB963,{"Low","Medium","High","Critical"},0),25,50,75,100),"")</f>
        <v/>
      </c>
      <c r="AG963">
        <f>IF(AF963&lt;&gt;"",IF(AH963="Weekly",AF963+7,IF(AH963="Monthly",EDATE(AF963,1),IF(AH963="Quarterly",EDATE(AF963,3),""))),"")</f>
        <v/>
      </c>
      <c r="AK963">
        <f>IF(AJ963&lt;&gt;"",IF(AI963="Monthly",EDATE(AJ963,1),IF(AI963="Quarterly",EDATE(AJ963,3),IF(AI963="Semi-Annual",EDATE(AJ963,6),""))),"")</f>
        <v/>
      </c>
      <c r="AL963">
        <f>IF(AK963&lt;&gt;"",IF(AK963&lt;TODAY(),"Overdue","Current"),"")</f>
        <v/>
      </c>
    </row>
    <row r="964">
      <c r="K964">
        <f>IF(J964="v4.0",L964,IF(J964="v3.1",M964,IF(J964="Both",L964,IF(AND(L964&lt;&gt;"",M964=""),L964,M964))))</f>
        <v/>
      </c>
      <c r="Z964">
        <f>IF(Y964&lt;&gt;"",TODAY()-Y964,"")</f>
        <v/>
      </c>
      <c r="AC964">
        <f>IF(AND(AA964&lt;&gt;"",AB964&lt;&gt;""),CHOOSE(MATCH(AA964,{"Low","Medium","High","Critical"},0),25,50,75,100)-CHOOSE(MATCH(AB964,{"Low","Medium","High","Critical"},0),25,50,75,100),"")</f>
        <v/>
      </c>
      <c r="AG964">
        <f>IF(AF964&lt;&gt;"",IF(AH964="Weekly",AF964+7,IF(AH964="Monthly",EDATE(AF964,1),IF(AH964="Quarterly",EDATE(AF964,3),""))),"")</f>
        <v/>
      </c>
      <c r="AK964">
        <f>IF(AJ964&lt;&gt;"",IF(AI964="Monthly",EDATE(AJ964,1),IF(AI964="Quarterly",EDATE(AJ964,3),IF(AI964="Semi-Annual",EDATE(AJ964,6),""))),"")</f>
        <v/>
      </c>
      <c r="AL964">
        <f>IF(AK964&lt;&gt;"",IF(AK964&lt;TODAY(),"Overdue","Current"),"")</f>
        <v/>
      </c>
    </row>
    <row r="965">
      <c r="K965">
        <f>IF(J965="v4.0",L965,IF(J965="v3.1",M965,IF(J965="Both",L965,IF(AND(L965&lt;&gt;"",M965=""),L965,M965))))</f>
        <v/>
      </c>
      <c r="Z965">
        <f>IF(Y965&lt;&gt;"",TODAY()-Y965,"")</f>
        <v/>
      </c>
      <c r="AC965">
        <f>IF(AND(AA965&lt;&gt;"",AB965&lt;&gt;""),CHOOSE(MATCH(AA965,{"Low","Medium","High","Critical"},0),25,50,75,100)-CHOOSE(MATCH(AB965,{"Low","Medium","High","Critical"},0),25,50,75,100),"")</f>
        <v/>
      </c>
      <c r="AG965">
        <f>IF(AF965&lt;&gt;"",IF(AH965="Weekly",AF965+7,IF(AH965="Monthly",EDATE(AF965,1),IF(AH965="Quarterly",EDATE(AF965,3),""))),"")</f>
        <v/>
      </c>
      <c r="AK965">
        <f>IF(AJ965&lt;&gt;"",IF(AI965="Monthly",EDATE(AJ965,1),IF(AI965="Quarterly",EDATE(AJ965,3),IF(AI965="Semi-Annual",EDATE(AJ965,6),""))),"")</f>
        <v/>
      </c>
      <c r="AL965">
        <f>IF(AK965&lt;&gt;"",IF(AK965&lt;TODAY(),"Overdue","Current"),"")</f>
        <v/>
      </c>
    </row>
    <row r="966">
      <c r="K966">
        <f>IF(J966="v4.0",L966,IF(J966="v3.1",M966,IF(J966="Both",L966,IF(AND(L966&lt;&gt;"",M966=""),L966,M966))))</f>
        <v/>
      </c>
      <c r="Z966">
        <f>IF(Y966&lt;&gt;"",TODAY()-Y966,"")</f>
        <v/>
      </c>
      <c r="AC966">
        <f>IF(AND(AA966&lt;&gt;"",AB966&lt;&gt;""),CHOOSE(MATCH(AA966,{"Low","Medium","High","Critical"},0),25,50,75,100)-CHOOSE(MATCH(AB966,{"Low","Medium","High","Critical"},0),25,50,75,100),"")</f>
        <v/>
      </c>
      <c r="AG966">
        <f>IF(AF966&lt;&gt;"",IF(AH966="Weekly",AF966+7,IF(AH966="Monthly",EDATE(AF966,1),IF(AH966="Quarterly",EDATE(AF966,3),""))),"")</f>
        <v/>
      </c>
      <c r="AK966">
        <f>IF(AJ966&lt;&gt;"",IF(AI966="Monthly",EDATE(AJ966,1),IF(AI966="Quarterly",EDATE(AJ966,3),IF(AI966="Semi-Annual",EDATE(AJ966,6),""))),"")</f>
        <v/>
      </c>
      <c r="AL966">
        <f>IF(AK966&lt;&gt;"",IF(AK966&lt;TODAY(),"Overdue","Current"),"")</f>
        <v/>
      </c>
    </row>
    <row r="967">
      <c r="K967">
        <f>IF(J967="v4.0",L967,IF(J967="v3.1",M967,IF(J967="Both",L967,IF(AND(L967&lt;&gt;"",M967=""),L967,M967))))</f>
        <v/>
      </c>
      <c r="Z967">
        <f>IF(Y967&lt;&gt;"",TODAY()-Y967,"")</f>
        <v/>
      </c>
      <c r="AC967">
        <f>IF(AND(AA967&lt;&gt;"",AB967&lt;&gt;""),CHOOSE(MATCH(AA967,{"Low","Medium","High","Critical"},0),25,50,75,100)-CHOOSE(MATCH(AB967,{"Low","Medium","High","Critical"},0),25,50,75,100),"")</f>
        <v/>
      </c>
      <c r="AG967">
        <f>IF(AF967&lt;&gt;"",IF(AH967="Weekly",AF967+7,IF(AH967="Monthly",EDATE(AF967,1),IF(AH967="Quarterly",EDATE(AF967,3),""))),"")</f>
        <v/>
      </c>
      <c r="AK967">
        <f>IF(AJ967&lt;&gt;"",IF(AI967="Monthly",EDATE(AJ967,1),IF(AI967="Quarterly",EDATE(AJ967,3),IF(AI967="Semi-Annual",EDATE(AJ967,6),""))),"")</f>
        <v/>
      </c>
      <c r="AL967">
        <f>IF(AK967&lt;&gt;"",IF(AK967&lt;TODAY(),"Overdue","Current"),"")</f>
        <v/>
      </c>
    </row>
    <row r="968">
      <c r="K968">
        <f>IF(J968="v4.0",L968,IF(J968="v3.1",M968,IF(J968="Both",L968,IF(AND(L968&lt;&gt;"",M968=""),L968,M968))))</f>
        <v/>
      </c>
      <c r="Z968">
        <f>IF(Y968&lt;&gt;"",TODAY()-Y968,"")</f>
        <v/>
      </c>
      <c r="AC968">
        <f>IF(AND(AA968&lt;&gt;"",AB968&lt;&gt;""),CHOOSE(MATCH(AA968,{"Low","Medium","High","Critical"},0),25,50,75,100)-CHOOSE(MATCH(AB968,{"Low","Medium","High","Critical"},0),25,50,75,100),"")</f>
        <v/>
      </c>
      <c r="AG968">
        <f>IF(AF968&lt;&gt;"",IF(AH968="Weekly",AF968+7,IF(AH968="Monthly",EDATE(AF968,1),IF(AH968="Quarterly",EDATE(AF968,3),""))),"")</f>
        <v/>
      </c>
      <c r="AK968">
        <f>IF(AJ968&lt;&gt;"",IF(AI968="Monthly",EDATE(AJ968,1),IF(AI968="Quarterly",EDATE(AJ968,3),IF(AI968="Semi-Annual",EDATE(AJ968,6),""))),"")</f>
        <v/>
      </c>
      <c r="AL968">
        <f>IF(AK968&lt;&gt;"",IF(AK968&lt;TODAY(),"Overdue","Current"),"")</f>
        <v/>
      </c>
    </row>
    <row r="969">
      <c r="K969">
        <f>IF(J969="v4.0",L969,IF(J969="v3.1",M969,IF(J969="Both",L969,IF(AND(L969&lt;&gt;"",M969=""),L969,M969))))</f>
        <v/>
      </c>
      <c r="Z969">
        <f>IF(Y969&lt;&gt;"",TODAY()-Y969,"")</f>
        <v/>
      </c>
      <c r="AC969">
        <f>IF(AND(AA969&lt;&gt;"",AB969&lt;&gt;""),CHOOSE(MATCH(AA969,{"Low","Medium","High","Critical"},0),25,50,75,100)-CHOOSE(MATCH(AB969,{"Low","Medium","High","Critical"},0),25,50,75,100),"")</f>
        <v/>
      </c>
      <c r="AG969">
        <f>IF(AF969&lt;&gt;"",IF(AH969="Weekly",AF969+7,IF(AH969="Monthly",EDATE(AF969,1),IF(AH969="Quarterly",EDATE(AF969,3),""))),"")</f>
        <v/>
      </c>
      <c r="AK969">
        <f>IF(AJ969&lt;&gt;"",IF(AI969="Monthly",EDATE(AJ969,1),IF(AI969="Quarterly",EDATE(AJ969,3),IF(AI969="Semi-Annual",EDATE(AJ969,6),""))),"")</f>
        <v/>
      </c>
      <c r="AL969">
        <f>IF(AK969&lt;&gt;"",IF(AK969&lt;TODAY(),"Overdue","Current"),"")</f>
        <v/>
      </c>
    </row>
    <row r="970">
      <c r="K970">
        <f>IF(J970="v4.0",L970,IF(J970="v3.1",M970,IF(J970="Both",L970,IF(AND(L970&lt;&gt;"",M970=""),L970,M970))))</f>
        <v/>
      </c>
      <c r="Z970">
        <f>IF(Y970&lt;&gt;"",TODAY()-Y970,"")</f>
        <v/>
      </c>
      <c r="AC970">
        <f>IF(AND(AA970&lt;&gt;"",AB970&lt;&gt;""),CHOOSE(MATCH(AA970,{"Low","Medium","High","Critical"},0),25,50,75,100)-CHOOSE(MATCH(AB970,{"Low","Medium","High","Critical"},0),25,50,75,100),"")</f>
        <v/>
      </c>
      <c r="AG970">
        <f>IF(AF970&lt;&gt;"",IF(AH970="Weekly",AF970+7,IF(AH970="Monthly",EDATE(AF970,1),IF(AH970="Quarterly",EDATE(AF970,3),""))),"")</f>
        <v/>
      </c>
      <c r="AK970">
        <f>IF(AJ970&lt;&gt;"",IF(AI970="Monthly",EDATE(AJ970,1),IF(AI970="Quarterly",EDATE(AJ970,3),IF(AI970="Semi-Annual",EDATE(AJ970,6),""))),"")</f>
        <v/>
      </c>
      <c r="AL970">
        <f>IF(AK970&lt;&gt;"",IF(AK970&lt;TODAY(),"Overdue","Current"),"")</f>
        <v/>
      </c>
    </row>
    <row r="971">
      <c r="K971">
        <f>IF(J971="v4.0",L971,IF(J971="v3.1",M971,IF(J971="Both",L971,IF(AND(L971&lt;&gt;"",M971=""),L971,M971))))</f>
        <v/>
      </c>
      <c r="Z971">
        <f>IF(Y971&lt;&gt;"",TODAY()-Y971,"")</f>
        <v/>
      </c>
      <c r="AC971">
        <f>IF(AND(AA971&lt;&gt;"",AB971&lt;&gt;""),CHOOSE(MATCH(AA971,{"Low","Medium","High","Critical"},0),25,50,75,100)-CHOOSE(MATCH(AB971,{"Low","Medium","High","Critical"},0),25,50,75,100),"")</f>
        <v/>
      </c>
      <c r="AG971">
        <f>IF(AF971&lt;&gt;"",IF(AH971="Weekly",AF971+7,IF(AH971="Monthly",EDATE(AF971,1),IF(AH971="Quarterly",EDATE(AF971,3),""))),"")</f>
        <v/>
      </c>
      <c r="AK971">
        <f>IF(AJ971&lt;&gt;"",IF(AI971="Monthly",EDATE(AJ971,1),IF(AI971="Quarterly",EDATE(AJ971,3),IF(AI971="Semi-Annual",EDATE(AJ971,6),""))),"")</f>
        <v/>
      </c>
      <c r="AL971">
        <f>IF(AK971&lt;&gt;"",IF(AK971&lt;TODAY(),"Overdue","Current"),"")</f>
        <v/>
      </c>
    </row>
    <row r="972">
      <c r="K972">
        <f>IF(J972="v4.0",L972,IF(J972="v3.1",M972,IF(J972="Both",L972,IF(AND(L972&lt;&gt;"",M972=""),L972,M972))))</f>
        <v/>
      </c>
      <c r="Z972">
        <f>IF(Y972&lt;&gt;"",TODAY()-Y972,"")</f>
        <v/>
      </c>
      <c r="AC972">
        <f>IF(AND(AA972&lt;&gt;"",AB972&lt;&gt;""),CHOOSE(MATCH(AA972,{"Low","Medium","High","Critical"},0),25,50,75,100)-CHOOSE(MATCH(AB972,{"Low","Medium","High","Critical"},0),25,50,75,100),"")</f>
        <v/>
      </c>
      <c r="AG972">
        <f>IF(AF972&lt;&gt;"",IF(AH972="Weekly",AF972+7,IF(AH972="Monthly",EDATE(AF972,1),IF(AH972="Quarterly",EDATE(AF972,3),""))),"")</f>
        <v/>
      </c>
      <c r="AK972">
        <f>IF(AJ972&lt;&gt;"",IF(AI972="Monthly",EDATE(AJ972,1),IF(AI972="Quarterly",EDATE(AJ972,3),IF(AI972="Semi-Annual",EDATE(AJ972,6),""))),"")</f>
        <v/>
      </c>
      <c r="AL972">
        <f>IF(AK972&lt;&gt;"",IF(AK972&lt;TODAY(),"Overdue","Current"),"")</f>
        <v/>
      </c>
    </row>
    <row r="973">
      <c r="K973">
        <f>IF(J973="v4.0",L973,IF(J973="v3.1",M973,IF(J973="Both",L973,IF(AND(L973&lt;&gt;"",M973=""),L973,M973))))</f>
        <v/>
      </c>
      <c r="Z973">
        <f>IF(Y973&lt;&gt;"",TODAY()-Y973,"")</f>
        <v/>
      </c>
      <c r="AC973">
        <f>IF(AND(AA973&lt;&gt;"",AB973&lt;&gt;""),CHOOSE(MATCH(AA973,{"Low","Medium","High","Critical"},0),25,50,75,100)-CHOOSE(MATCH(AB973,{"Low","Medium","High","Critical"},0),25,50,75,100),"")</f>
        <v/>
      </c>
      <c r="AG973">
        <f>IF(AF973&lt;&gt;"",IF(AH973="Weekly",AF973+7,IF(AH973="Monthly",EDATE(AF973,1),IF(AH973="Quarterly",EDATE(AF973,3),""))),"")</f>
        <v/>
      </c>
      <c r="AK973">
        <f>IF(AJ973&lt;&gt;"",IF(AI973="Monthly",EDATE(AJ973,1),IF(AI973="Quarterly",EDATE(AJ973,3),IF(AI973="Semi-Annual",EDATE(AJ973,6),""))),"")</f>
        <v/>
      </c>
      <c r="AL973">
        <f>IF(AK973&lt;&gt;"",IF(AK973&lt;TODAY(),"Overdue","Current"),"")</f>
        <v/>
      </c>
    </row>
    <row r="974">
      <c r="K974">
        <f>IF(J974="v4.0",L974,IF(J974="v3.1",M974,IF(J974="Both",L974,IF(AND(L974&lt;&gt;"",M974=""),L974,M974))))</f>
        <v/>
      </c>
      <c r="Z974">
        <f>IF(Y974&lt;&gt;"",TODAY()-Y974,"")</f>
        <v/>
      </c>
      <c r="AC974">
        <f>IF(AND(AA974&lt;&gt;"",AB974&lt;&gt;""),CHOOSE(MATCH(AA974,{"Low","Medium","High","Critical"},0),25,50,75,100)-CHOOSE(MATCH(AB974,{"Low","Medium","High","Critical"},0),25,50,75,100),"")</f>
        <v/>
      </c>
      <c r="AG974">
        <f>IF(AF974&lt;&gt;"",IF(AH974="Weekly",AF974+7,IF(AH974="Monthly",EDATE(AF974,1),IF(AH974="Quarterly",EDATE(AF974,3),""))),"")</f>
        <v/>
      </c>
      <c r="AK974">
        <f>IF(AJ974&lt;&gt;"",IF(AI974="Monthly",EDATE(AJ974,1),IF(AI974="Quarterly",EDATE(AJ974,3),IF(AI974="Semi-Annual",EDATE(AJ974,6),""))),"")</f>
        <v/>
      </c>
      <c r="AL974">
        <f>IF(AK974&lt;&gt;"",IF(AK974&lt;TODAY(),"Overdue","Current"),"")</f>
        <v/>
      </c>
    </row>
    <row r="975">
      <c r="K975">
        <f>IF(J975="v4.0",L975,IF(J975="v3.1",M975,IF(J975="Both",L975,IF(AND(L975&lt;&gt;"",M975=""),L975,M975))))</f>
        <v/>
      </c>
      <c r="Z975">
        <f>IF(Y975&lt;&gt;"",TODAY()-Y975,"")</f>
        <v/>
      </c>
      <c r="AC975">
        <f>IF(AND(AA975&lt;&gt;"",AB975&lt;&gt;""),CHOOSE(MATCH(AA975,{"Low","Medium","High","Critical"},0),25,50,75,100)-CHOOSE(MATCH(AB975,{"Low","Medium","High","Critical"},0),25,50,75,100),"")</f>
        <v/>
      </c>
      <c r="AG975">
        <f>IF(AF975&lt;&gt;"",IF(AH975="Weekly",AF975+7,IF(AH975="Monthly",EDATE(AF975,1),IF(AH975="Quarterly",EDATE(AF975,3),""))),"")</f>
        <v/>
      </c>
      <c r="AK975">
        <f>IF(AJ975&lt;&gt;"",IF(AI975="Monthly",EDATE(AJ975,1),IF(AI975="Quarterly",EDATE(AJ975,3),IF(AI975="Semi-Annual",EDATE(AJ975,6),""))),"")</f>
        <v/>
      </c>
      <c r="AL975">
        <f>IF(AK975&lt;&gt;"",IF(AK975&lt;TODAY(),"Overdue","Current"),"")</f>
        <v/>
      </c>
    </row>
    <row r="976">
      <c r="K976">
        <f>IF(J976="v4.0",L976,IF(J976="v3.1",M976,IF(J976="Both",L976,IF(AND(L976&lt;&gt;"",M976=""),L976,M976))))</f>
        <v/>
      </c>
      <c r="Z976">
        <f>IF(Y976&lt;&gt;"",TODAY()-Y976,"")</f>
        <v/>
      </c>
      <c r="AC976">
        <f>IF(AND(AA976&lt;&gt;"",AB976&lt;&gt;""),CHOOSE(MATCH(AA976,{"Low","Medium","High","Critical"},0),25,50,75,100)-CHOOSE(MATCH(AB976,{"Low","Medium","High","Critical"},0),25,50,75,100),"")</f>
        <v/>
      </c>
      <c r="AG976">
        <f>IF(AF976&lt;&gt;"",IF(AH976="Weekly",AF976+7,IF(AH976="Monthly",EDATE(AF976,1),IF(AH976="Quarterly",EDATE(AF976,3),""))),"")</f>
        <v/>
      </c>
      <c r="AK976">
        <f>IF(AJ976&lt;&gt;"",IF(AI976="Monthly",EDATE(AJ976,1),IF(AI976="Quarterly",EDATE(AJ976,3),IF(AI976="Semi-Annual",EDATE(AJ976,6),""))),"")</f>
        <v/>
      </c>
      <c r="AL976">
        <f>IF(AK976&lt;&gt;"",IF(AK976&lt;TODAY(),"Overdue","Current"),"")</f>
        <v/>
      </c>
    </row>
    <row r="977">
      <c r="K977">
        <f>IF(J977="v4.0",L977,IF(J977="v3.1",M977,IF(J977="Both",L977,IF(AND(L977&lt;&gt;"",M977=""),L977,M977))))</f>
        <v/>
      </c>
      <c r="Z977">
        <f>IF(Y977&lt;&gt;"",TODAY()-Y977,"")</f>
        <v/>
      </c>
      <c r="AC977">
        <f>IF(AND(AA977&lt;&gt;"",AB977&lt;&gt;""),CHOOSE(MATCH(AA977,{"Low","Medium","High","Critical"},0),25,50,75,100)-CHOOSE(MATCH(AB977,{"Low","Medium","High","Critical"},0),25,50,75,100),"")</f>
        <v/>
      </c>
      <c r="AG977">
        <f>IF(AF977&lt;&gt;"",IF(AH977="Weekly",AF977+7,IF(AH977="Monthly",EDATE(AF977,1),IF(AH977="Quarterly",EDATE(AF977,3),""))),"")</f>
        <v/>
      </c>
      <c r="AK977">
        <f>IF(AJ977&lt;&gt;"",IF(AI977="Monthly",EDATE(AJ977,1),IF(AI977="Quarterly",EDATE(AJ977,3),IF(AI977="Semi-Annual",EDATE(AJ977,6),""))),"")</f>
        <v/>
      </c>
      <c r="AL977">
        <f>IF(AK977&lt;&gt;"",IF(AK977&lt;TODAY(),"Overdue","Current"),"")</f>
        <v/>
      </c>
    </row>
    <row r="978">
      <c r="K978">
        <f>IF(J978="v4.0",L978,IF(J978="v3.1",M978,IF(J978="Both",L978,IF(AND(L978&lt;&gt;"",M978=""),L978,M978))))</f>
        <v/>
      </c>
      <c r="Z978">
        <f>IF(Y978&lt;&gt;"",TODAY()-Y978,"")</f>
        <v/>
      </c>
      <c r="AC978">
        <f>IF(AND(AA978&lt;&gt;"",AB978&lt;&gt;""),CHOOSE(MATCH(AA978,{"Low","Medium","High","Critical"},0),25,50,75,100)-CHOOSE(MATCH(AB978,{"Low","Medium","High","Critical"},0),25,50,75,100),"")</f>
        <v/>
      </c>
      <c r="AG978">
        <f>IF(AF978&lt;&gt;"",IF(AH978="Weekly",AF978+7,IF(AH978="Monthly",EDATE(AF978,1),IF(AH978="Quarterly",EDATE(AF978,3),""))),"")</f>
        <v/>
      </c>
      <c r="AK978">
        <f>IF(AJ978&lt;&gt;"",IF(AI978="Monthly",EDATE(AJ978,1),IF(AI978="Quarterly",EDATE(AJ978,3),IF(AI978="Semi-Annual",EDATE(AJ978,6),""))),"")</f>
        <v/>
      </c>
      <c r="AL978">
        <f>IF(AK978&lt;&gt;"",IF(AK978&lt;TODAY(),"Overdue","Current"),"")</f>
        <v/>
      </c>
    </row>
    <row r="979">
      <c r="K979">
        <f>IF(J979="v4.0",L979,IF(J979="v3.1",M979,IF(J979="Both",L979,IF(AND(L979&lt;&gt;"",M979=""),L979,M979))))</f>
        <v/>
      </c>
      <c r="Z979">
        <f>IF(Y979&lt;&gt;"",TODAY()-Y979,"")</f>
        <v/>
      </c>
      <c r="AC979">
        <f>IF(AND(AA979&lt;&gt;"",AB979&lt;&gt;""),CHOOSE(MATCH(AA979,{"Low","Medium","High","Critical"},0),25,50,75,100)-CHOOSE(MATCH(AB979,{"Low","Medium","High","Critical"},0),25,50,75,100),"")</f>
        <v/>
      </c>
      <c r="AG979">
        <f>IF(AF979&lt;&gt;"",IF(AH979="Weekly",AF979+7,IF(AH979="Monthly",EDATE(AF979,1),IF(AH979="Quarterly",EDATE(AF979,3),""))),"")</f>
        <v/>
      </c>
      <c r="AK979">
        <f>IF(AJ979&lt;&gt;"",IF(AI979="Monthly",EDATE(AJ979,1),IF(AI979="Quarterly",EDATE(AJ979,3),IF(AI979="Semi-Annual",EDATE(AJ979,6),""))),"")</f>
        <v/>
      </c>
      <c r="AL979">
        <f>IF(AK979&lt;&gt;"",IF(AK979&lt;TODAY(),"Overdue","Current"),"")</f>
        <v/>
      </c>
    </row>
    <row r="980">
      <c r="K980">
        <f>IF(J980="v4.0",L980,IF(J980="v3.1",M980,IF(J980="Both",L980,IF(AND(L980&lt;&gt;"",M980=""),L980,M980))))</f>
        <v/>
      </c>
      <c r="Z980">
        <f>IF(Y980&lt;&gt;"",TODAY()-Y980,"")</f>
        <v/>
      </c>
      <c r="AC980">
        <f>IF(AND(AA980&lt;&gt;"",AB980&lt;&gt;""),CHOOSE(MATCH(AA980,{"Low","Medium","High","Critical"},0),25,50,75,100)-CHOOSE(MATCH(AB980,{"Low","Medium","High","Critical"},0),25,50,75,100),"")</f>
        <v/>
      </c>
      <c r="AG980">
        <f>IF(AF980&lt;&gt;"",IF(AH980="Weekly",AF980+7,IF(AH980="Monthly",EDATE(AF980,1),IF(AH980="Quarterly",EDATE(AF980,3),""))),"")</f>
        <v/>
      </c>
      <c r="AK980">
        <f>IF(AJ980&lt;&gt;"",IF(AI980="Monthly",EDATE(AJ980,1),IF(AI980="Quarterly",EDATE(AJ980,3),IF(AI980="Semi-Annual",EDATE(AJ980,6),""))),"")</f>
        <v/>
      </c>
      <c r="AL980">
        <f>IF(AK980&lt;&gt;"",IF(AK980&lt;TODAY(),"Overdue","Current"),"")</f>
        <v/>
      </c>
    </row>
    <row r="981">
      <c r="K981">
        <f>IF(J981="v4.0",L981,IF(J981="v3.1",M981,IF(J981="Both",L981,IF(AND(L981&lt;&gt;"",M981=""),L981,M981))))</f>
        <v/>
      </c>
      <c r="Z981">
        <f>IF(Y981&lt;&gt;"",TODAY()-Y981,"")</f>
        <v/>
      </c>
      <c r="AC981">
        <f>IF(AND(AA981&lt;&gt;"",AB981&lt;&gt;""),CHOOSE(MATCH(AA981,{"Low","Medium","High","Critical"},0),25,50,75,100)-CHOOSE(MATCH(AB981,{"Low","Medium","High","Critical"},0),25,50,75,100),"")</f>
        <v/>
      </c>
      <c r="AG981">
        <f>IF(AF981&lt;&gt;"",IF(AH981="Weekly",AF981+7,IF(AH981="Monthly",EDATE(AF981,1),IF(AH981="Quarterly",EDATE(AF981,3),""))),"")</f>
        <v/>
      </c>
      <c r="AK981">
        <f>IF(AJ981&lt;&gt;"",IF(AI981="Monthly",EDATE(AJ981,1),IF(AI981="Quarterly",EDATE(AJ981,3),IF(AI981="Semi-Annual",EDATE(AJ981,6),""))),"")</f>
        <v/>
      </c>
      <c r="AL981">
        <f>IF(AK981&lt;&gt;"",IF(AK981&lt;TODAY(),"Overdue","Current"),"")</f>
        <v/>
      </c>
    </row>
    <row r="982">
      <c r="K982">
        <f>IF(J982="v4.0",L982,IF(J982="v3.1",M982,IF(J982="Both",L982,IF(AND(L982&lt;&gt;"",M982=""),L982,M982))))</f>
        <v/>
      </c>
      <c r="Z982">
        <f>IF(Y982&lt;&gt;"",TODAY()-Y982,"")</f>
        <v/>
      </c>
      <c r="AC982">
        <f>IF(AND(AA982&lt;&gt;"",AB982&lt;&gt;""),CHOOSE(MATCH(AA982,{"Low","Medium","High","Critical"},0),25,50,75,100)-CHOOSE(MATCH(AB982,{"Low","Medium","High","Critical"},0),25,50,75,100),"")</f>
        <v/>
      </c>
      <c r="AG982">
        <f>IF(AF982&lt;&gt;"",IF(AH982="Weekly",AF982+7,IF(AH982="Monthly",EDATE(AF982,1),IF(AH982="Quarterly",EDATE(AF982,3),""))),"")</f>
        <v/>
      </c>
      <c r="AK982">
        <f>IF(AJ982&lt;&gt;"",IF(AI982="Monthly",EDATE(AJ982,1),IF(AI982="Quarterly",EDATE(AJ982,3),IF(AI982="Semi-Annual",EDATE(AJ982,6),""))),"")</f>
        <v/>
      </c>
      <c r="AL982">
        <f>IF(AK982&lt;&gt;"",IF(AK982&lt;TODAY(),"Overdue","Current"),"")</f>
        <v/>
      </c>
    </row>
    <row r="983">
      <c r="K983">
        <f>IF(J983="v4.0",L983,IF(J983="v3.1",M983,IF(J983="Both",L983,IF(AND(L983&lt;&gt;"",M983=""),L983,M983))))</f>
        <v/>
      </c>
      <c r="Z983">
        <f>IF(Y983&lt;&gt;"",TODAY()-Y983,"")</f>
        <v/>
      </c>
      <c r="AC983">
        <f>IF(AND(AA983&lt;&gt;"",AB983&lt;&gt;""),CHOOSE(MATCH(AA983,{"Low","Medium","High","Critical"},0),25,50,75,100)-CHOOSE(MATCH(AB983,{"Low","Medium","High","Critical"},0),25,50,75,100),"")</f>
        <v/>
      </c>
      <c r="AG983">
        <f>IF(AF983&lt;&gt;"",IF(AH983="Weekly",AF983+7,IF(AH983="Monthly",EDATE(AF983,1),IF(AH983="Quarterly",EDATE(AF983,3),""))),"")</f>
        <v/>
      </c>
      <c r="AK983">
        <f>IF(AJ983&lt;&gt;"",IF(AI983="Monthly",EDATE(AJ983,1),IF(AI983="Quarterly",EDATE(AJ983,3),IF(AI983="Semi-Annual",EDATE(AJ983,6),""))),"")</f>
        <v/>
      </c>
      <c r="AL983">
        <f>IF(AK983&lt;&gt;"",IF(AK983&lt;TODAY(),"Overdue","Current"),"")</f>
        <v/>
      </c>
    </row>
    <row r="984">
      <c r="K984">
        <f>IF(J984="v4.0",L984,IF(J984="v3.1",M984,IF(J984="Both",L984,IF(AND(L984&lt;&gt;"",M984=""),L984,M984))))</f>
        <v/>
      </c>
      <c r="Z984">
        <f>IF(Y984&lt;&gt;"",TODAY()-Y984,"")</f>
        <v/>
      </c>
      <c r="AC984">
        <f>IF(AND(AA984&lt;&gt;"",AB984&lt;&gt;""),CHOOSE(MATCH(AA984,{"Low","Medium","High","Critical"},0),25,50,75,100)-CHOOSE(MATCH(AB984,{"Low","Medium","High","Critical"},0),25,50,75,100),"")</f>
        <v/>
      </c>
      <c r="AG984">
        <f>IF(AF984&lt;&gt;"",IF(AH984="Weekly",AF984+7,IF(AH984="Monthly",EDATE(AF984,1),IF(AH984="Quarterly",EDATE(AF984,3),""))),"")</f>
        <v/>
      </c>
      <c r="AK984">
        <f>IF(AJ984&lt;&gt;"",IF(AI984="Monthly",EDATE(AJ984,1),IF(AI984="Quarterly",EDATE(AJ984,3),IF(AI984="Semi-Annual",EDATE(AJ984,6),""))),"")</f>
        <v/>
      </c>
      <c r="AL984">
        <f>IF(AK984&lt;&gt;"",IF(AK984&lt;TODAY(),"Overdue","Current"),"")</f>
        <v/>
      </c>
    </row>
    <row r="985">
      <c r="K985">
        <f>IF(J985="v4.0",L985,IF(J985="v3.1",M985,IF(J985="Both",L985,IF(AND(L985&lt;&gt;"",M985=""),L985,M985))))</f>
        <v/>
      </c>
      <c r="Z985">
        <f>IF(Y985&lt;&gt;"",TODAY()-Y985,"")</f>
        <v/>
      </c>
      <c r="AC985">
        <f>IF(AND(AA985&lt;&gt;"",AB985&lt;&gt;""),CHOOSE(MATCH(AA985,{"Low","Medium","High","Critical"},0),25,50,75,100)-CHOOSE(MATCH(AB985,{"Low","Medium","High","Critical"},0),25,50,75,100),"")</f>
        <v/>
      </c>
      <c r="AG985">
        <f>IF(AF985&lt;&gt;"",IF(AH985="Weekly",AF985+7,IF(AH985="Monthly",EDATE(AF985,1),IF(AH985="Quarterly",EDATE(AF985,3),""))),"")</f>
        <v/>
      </c>
      <c r="AK985">
        <f>IF(AJ985&lt;&gt;"",IF(AI985="Monthly",EDATE(AJ985,1),IF(AI985="Quarterly",EDATE(AJ985,3),IF(AI985="Semi-Annual",EDATE(AJ985,6),""))),"")</f>
        <v/>
      </c>
      <c r="AL985">
        <f>IF(AK985&lt;&gt;"",IF(AK985&lt;TODAY(),"Overdue","Current"),"")</f>
        <v/>
      </c>
    </row>
    <row r="986">
      <c r="K986">
        <f>IF(J986="v4.0",L986,IF(J986="v3.1",M986,IF(J986="Both",L986,IF(AND(L986&lt;&gt;"",M986=""),L986,M986))))</f>
        <v/>
      </c>
      <c r="Z986">
        <f>IF(Y986&lt;&gt;"",TODAY()-Y986,"")</f>
        <v/>
      </c>
      <c r="AC986">
        <f>IF(AND(AA986&lt;&gt;"",AB986&lt;&gt;""),CHOOSE(MATCH(AA986,{"Low","Medium","High","Critical"},0),25,50,75,100)-CHOOSE(MATCH(AB986,{"Low","Medium","High","Critical"},0),25,50,75,100),"")</f>
        <v/>
      </c>
      <c r="AG986">
        <f>IF(AF986&lt;&gt;"",IF(AH986="Weekly",AF986+7,IF(AH986="Monthly",EDATE(AF986,1),IF(AH986="Quarterly",EDATE(AF986,3),""))),"")</f>
        <v/>
      </c>
      <c r="AK986">
        <f>IF(AJ986&lt;&gt;"",IF(AI986="Monthly",EDATE(AJ986,1),IF(AI986="Quarterly",EDATE(AJ986,3),IF(AI986="Semi-Annual",EDATE(AJ986,6),""))),"")</f>
        <v/>
      </c>
      <c r="AL986">
        <f>IF(AK986&lt;&gt;"",IF(AK986&lt;TODAY(),"Overdue","Current"),"")</f>
        <v/>
      </c>
    </row>
    <row r="987">
      <c r="K987">
        <f>IF(J987="v4.0",L987,IF(J987="v3.1",M987,IF(J987="Both",L987,IF(AND(L987&lt;&gt;"",M987=""),L987,M987))))</f>
        <v/>
      </c>
      <c r="Z987">
        <f>IF(Y987&lt;&gt;"",TODAY()-Y987,"")</f>
        <v/>
      </c>
      <c r="AC987">
        <f>IF(AND(AA987&lt;&gt;"",AB987&lt;&gt;""),CHOOSE(MATCH(AA987,{"Low","Medium","High","Critical"},0),25,50,75,100)-CHOOSE(MATCH(AB987,{"Low","Medium","High","Critical"},0),25,50,75,100),"")</f>
        <v/>
      </c>
      <c r="AG987">
        <f>IF(AF987&lt;&gt;"",IF(AH987="Weekly",AF987+7,IF(AH987="Monthly",EDATE(AF987,1),IF(AH987="Quarterly",EDATE(AF987,3),""))),"")</f>
        <v/>
      </c>
      <c r="AK987">
        <f>IF(AJ987&lt;&gt;"",IF(AI987="Monthly",EDATE(AJ987,1),IF(AI987="Quarterly",EDATE(AJ987,3),IF(AI987="Semi-Annual",EDATE(AJ987,6),""))),"")</f>
        <v/>
      </c>
      <c r="AL987">
        <f>IF(AK987&lt;&gt;"",IF(AK987&lt;TODAY(),"Overdue","Current"),"")</f>
        <v/>
      </c>
    </row>
    <row r="988">
      <c r="K988">
        <f>IF(J988="v4.0",L988,IF(J988="v3.1",M988,IF(J988="Both",L988,IF(AND(L988&lt;&gt;"",M988=""),L988,M988))))</f>
        <v/>
      </c>
      <c r="Z988">
        <f>IF(Y988&lt;&gt;"",TODAY()-Y988,"")</f>
        <v/>
      </c>
      <c r="AC988">
        <f>IF(AND(AA988&lt;&gt;"",AB988&lt;&gt;""),CHOOSE(MATCH(AA988,{"Low","Medium","High","Critical"},0),25,50,75,100)-CHOOSE(MATCH(AB988,{"Low","Medium","High","Critical"},0),25,50,75,100),"")</f>
        <v/>
      </c>
      <c r="AG988">
        <f>IF(AF988&lt;&gt;"",IF(AH988="Weekly",AF988+7,IF(AH988="Monthly",EDATE(AF988,1),IF(AH988="Quarterly",EDATE(AF988,3),""))),"")</f>
        <v/>
      </c>
      <c r="AK988">
        <f>IF(AJ988&lt;&gt;"",IF(AI988="Monthly",EDATE(AJ988,1),IF(AI988="Quarterly",EDATE(AJ988,3),IF(AI988="Semi-Annual",EDATE(AJ988,6),""))),"")</f>
        <v/>
      </c>
      <c r="AL988">
        <f>IF(AK988&lt;&gt;"",IF(AK988&lt;TODAY(),"Overdue","Current"),"")</f>
        <v/>
      </c>
    </row>
    <row r="989">
      <c r="K989">
        <f>IF(J989="v4.0",L989,IF(J989="v3.1",M989,IF(J989="Both",L989,IF(AND(L989&lt;&gt;"",M989=""),L989,M989))))</f>
        <v/>
      </c>
      <c r="Z989">
        <f>IF(Y989&lt;&gt;"",TODAY()-Y989,"")</f>
        <v/>
      </c>
      <c r="AC989">
        <f>IF(AND(AA989&lt;&gt;"",AB989&lt;&gt;""),CHOOSE(MATCH(AA989,{"Low","Medium","High","Critical"},0),25,50,75,100)-CHOOSE(MATCH(AB989,{"Low","Medium","High","Critical"},0),25,50,75,100),"")</f>
        <v/>
      </c>
      <c r="AG989">
        <f>IF(AF989&lt;&gt;"",IF(AH989="Weekly",AF989+7,IF(AH989="Monthly",EDATE(AF989,1),IF(AH989="Quarterly",EDATE(AF989,3),""))),"")</f>
        <v/>
      </c>
      <c r="AK989">
        <f>IF(AJ989&lt;&gt;"",IF(AI989="Monthly",EDATE(AJ989,1),IF(AI989="Quarterly",EDATE(AJ989,3),IF(AI989="Semi-Annual",EDATE(AJ989,6),""))),"")</f>
        <v/>
      </c>
      <c r="AL989">
        <f>IF(AK989&lt;&gt;"",IF(AK989&lt;TODAY(),"Overdue","Current"),"")</f>
        <v/>
      </c>
    </row>
    <row r="990">
      <c r="K990">
        <f>IF(J990="v4.0",L990,IF(J990="v3.1",M990,IF(J990="Both",L990,IF(AND(L990&lt;&gt;"",M990=""),L990,M990))))</f>
        <v/>
      </c>
      <c r="Z990">
        <f>IF(Y990&lt;&gt;"",TODAY()-Y990,"")</f>
        <v/>
      </c>
      <c r="AC990">
        <f>IF(AND(AA990&lt;&gt;"",AB990&lt;&gt;""),CHOOSE(MATCH(AA990,{"Low","Medium","High","Critical"},0),25,50,75,100)-CHOOSE(MATCH(AB990,{"Low","Medium","High","Critical"},0),25,50,75,100),"")</f>
        <v/>
      </c>
      <c r="AG990">
        <f>IF(AF990&lt;&gt;"",IF(AH990="Weekly",AF990+7,IF(AH990="Monthly",EDATE(AF990,1),IF(AH990="Quarterly",EDATE(AF990,3),""))),"")</f>
        <v/>
      </c>
      <c r="AK990">
        <f>IF(AJ990&lt;&gt;"",IF(AI990="Monthly",EDATE(AJ990,1),IF(AI990="Quarterly",EDATE(AJ990,3),IF(AI990="Semi-Annual",EDATE(AJ990,6),""))),"")</f>
        <v/>
      </c>
      <c r="AL990">
        <f>IF(AK990&lt;&gt;"",IF(AK990&lt;TODAY(),"Overdue","Current"),"")</f>
        <v/>
      </c>
    </row>
    <row r="991">
      <c r="K991">
        <f>IF(J991="v4.0",L991,IF(J991="v3.1",M991,IF(J991="Both",L991,IF(AND(L991&lt;&gt;"",M991=""),L991,M991))))</f>
        <v/>
      </c>
      <c r="Z991">
        <f>IF(Y991&lt;&gt;"",TODAY()-Y991,"")</f>
        <v/>
      </c>
      <c r="AC991">
        <f>IF(AND(AA991&lt;&gt;"",AB991&lt;&gt;""),CHOOSE(MATCH(AA991,{"Low","Medium","High","Critical"},0),25,50,75,100)-CHOOSE(MATCH(AB991,{"Low","Medium","High","Critical"},0),25,50,75,100),"")</f>
        <v/>
      </c>
      <c r="AG991">
        <f>IF(AF991&lt;&gt;"",IF(AH991="Weekly",AF991+7,IF(AH991="Monthly",EDATE(AF991,1),IF(AH991="Quarterly",EDATE(AF991,3),""))),"")</f>
        <v/>
      </c>
      <c r="AK991">
        <f>IF(AJ991&lt;&gt;"",IF(AI991="Monthly",EDATE(AJ991,1),IF(AI991="Quarterly",EDATE(AJ991,3),IF(AI991="Semi-Annual",EDATE(AJ991,6),""))),"")</f>
        <v/>
      </c>
      <c r="AL991">
        <f>IF(AK991&lt;&gt;"",IF(AK991&lt;TODAY(),"Overdue","Current"),"")</f>
        <v/>
      </c>
    </row>
    <row r="992">
      <c r="K992">
        <f>IF(J992="v4.0",L992,IF(J992="v3.1",M992,IF(J992="Both",L992,IF(AND(L992&lt;&gt;"",M992=""),L992,M992))))</f>
        <v/>
      </c>
      <c r="Z992">
        <f>IF(Y992&lt;&gt;"",TODAY()-Y992,"")</f>
        <v/>
      </c>
      <c r="AC992">
        <f>IF(AND(AA992&lt;&gt;"",AB992&lt;&gt;""),CHOOSE(MATCH(AA992,{"Low","Medium","High","Critical"},0),25,50,75,100)-CHOOSE(MATCH(AB992,{"Low","Medium","High","Critical"},0),25,50,75,100),"")</f>
        <v/>
      </c>
      <c r="AG992">
        <f>IF(AF992&lt;&gt;"",IF(AH992="Weekly",AF992+7,IF(AH992="Monthly",EDATE(AF992,1),IF(AH992="Quarterly",EDATE(AF992,3),""))),"")</f>
        <v/>
      </c>
      <c r="AK992">
        <f>IF(AJ992&lt;&gt;"",IF(AI992="Monthly",EDATE(AJ992,1),IF(AI992="Quarterly",EDATE(AJ992,3),IF(AI992="Semi-Annual",EDATE(AJ992,6),""))),"")</f>
        <v/>
      </c>
      <c r="AL992">
        <f>IF(AK992&lt;&gt;"",IF(AK992&lt;TODAY(),"Overdue","Current"),"")</f>
        <v/>
      </c>
    </row>
    <row r="993">
      <c r="K993">
        <f>IF(J993="v4.0",L993,IF(J993="v3.1",M993,IF(J993="Both",L993,IF(AND(L993&lt;&gt;"",M993=""),L993,M993))))</f>
        <v/>
      </c>
      <c r="Z993">
        <f>IF(Y993&lt;&gt;"",TODAY()-Y993,"")</f>
        <v/>
      </c>
      <c r="AC993">
        <f>IF(AND(AA993&lt;&gt;"",AB993&lt;&gt;""),CHOOSE(MATCH(AA993,{"Low","Medium","High","Critical"},0),25,50,75,100)-CHOOSE(MATCH(AB993,{"Low","Medium","High","Critical"},0),25,50,75,100),"")</f>
        <v/>
      </c>
      <c r="AG993">
        <f>IF(AF993&lt;&gt;"",IF(AH993="Weekly",AF993+7,IF(AH993="Monthly",EDATE(AF993,1),IF(AH993="Quarterly",EDATE(AF993,3),""))),"")</f>
        <v/>
      </c>
      <c r="AK993">
        <f>IF(AJ993&lt;&gt;"",IF(AI993="Monthly",EDATE(AJ993,1),IF(AI993="Quarterly",EDATE(AJ993,3),IF(AI993="Semi-Annual",EDATE(AJ993,6),""))),"")</f>
        <v/>
      </c>
      <c r="AL993">
        <f>IF(AK993&lt;&gt;"",IF(AK993&lt;TODAY(),"Overdue","Current"),"")</f>
        <v/>
      </c>
    </row>
    <row r="994">
      <c r="K994">
        <f>IF(J994="v4.0",L994,IF(J994="v3.1",M994,IF(J994="Both",L994,IF(AND(L994&lt;&gt;"",M994=""),L994,M994))))</f>
        <v/>
      </c>
      <c r="Z994">
        <f>IF(Y994&lt;&gt;"",TODAY()-Y994,"")</f>
        <v/>
      </c>
      <c r="AC994">
        <f>IF(AND(AA994&lt;&gt;"",AB994&lt;&gt;""),CHOOSE(MATCH(AA994,{"Low","Medium","High","Critical"},0),25,50,75,100)-CHOOSE(MATCH(AB994,{"Low","Medium","High","Critical"},0),25,50,75,100),"")</f>
        <v/>
      </c>
      <c r="AG994">
        <f>IF(AF994&lt;&gt;"",IF(AH994="Weekly",AF994+7,IF(AH994="Monthly",EDATE(AF994,1),IF(AH994="Quarterly",EDATE(AF994,3),""))),"")</f>
        <v/>
      </c>
      <c r="AK994">
        <f>IF(AJ994&lt;&gt;"",IF(AI994="Monthly",EDATE(AJ994,1),IF(AI994="Quarterly",EDATE(AJ994,3),IF(AI994="Semi-Annual",EDATE(AJ994,6),""))),"")</f>
        <v/>
      </c>
      <c r="AL994">
        <f>IF(AK994&lt;&gt;"",IF(AK994&lt;TODAY(),"Overdue","Current"),"")</f>
        <v/>
      </c>
    </row>
    <row r="995">
      <c r="K995">
        <f>IF(J995="v4.0",L995,IF(J995="v3.1",M995,IF(J995="Both",L995,IF(AND(L995&lt;&gt;"",M995=""),L995,M995))))</f>
        <v/>
      </c>
      <c r="Z995">
        <f>IF(Y995&lt;&gt;"",TODAY()-Y995,"")</f>
        <v/>
      </c>
      <c r="AC995">
        <f>IF(AND(AA995&lt;&gt;"",AB995&lt;&gt;""),CHOOSE(MATCH(AA995,{"Low","Medium","High","Critical"},0),25,50,75,100)-CHOOSE(MATCH(AB995,{"Low","Medium","High","Critical"},0),25,50,75,100),"")</f>
        <v/>
      </c>
      <c r="AG995">
        <f>IF(AF995&lt;&gt;"",IF(AH995="Weekly",AF995+7,IF(AH995="Monthly",EDATE(AF995,1),IF(AH995="Quarterly",EDATE(AF995,3),""))),"")</f>
        <v/>
      </c>
      <c r="AK995">
        <f>IF(AJ995&lt;&gt;"",IF(AI995="Monthly",EDATE(AJ995,1),IF(AI995="Quarterly",EDATE(AJ995,3),IF(AI995="Semi-Annual",EDATE(AJ995,6),""))),"")</f>
        <v/>
      </c>
      <c r="AL995">
        <f>IF(AK995&lt;&gt;"",IF(AK995&lt;TODAY(),"Overdue","Current"),"")</f>
        <v/>
      </c>
    </row>
    <row r="996">
      <c r="K996">
        <f>IF(J996="v4.0",L996,IF(J996="v3.1",M996,IF(J996="Both",L996,IF(AND(L996&lt;&gt;"",M996=""),L996,M996))))</f>
        <v/>
      </c>
      <c r="Z996">
        <f>IF(Y996&lt;&gt;"",TODAY()-Y996,"")</f>
        <v/>
      </c>
      <c r="AC996">
        <f>IF(AND(AA996&lt;&gt;"",AB996&lt;&gt;""),CHOOSE(MATCH(AA996,{"Low","Medium","High","Critical"},0),25,50,75,100)-CHOOSE(MATCH(AB996,{"Low","Medium","High","Critical"},0),25,50,75,100),"")</f>
        <v/>
      </c>
      <c r="AG996">
        <f>IF(AF996&lt;&gt;"",IF(AH996="Weekly",AF996+7,IF(AH996="Monthly",EDATE(AF996,1),IF(AH996="Quarterly",EDATE(AF996,3),""))),"")</f>
        <v/>
      </c>
      <c r="AK996">
        <f>IF(AJ996&lt;&gt;"",IF(AI996="Monthly",EDATE(AJ996,1),IF(AI996="Quarterly",EDATE(AJ996,3),IF(AI996="Semi-Annual",EDATE(AJ996,6),""))),"")</f>
        <v/>
      </c>
      <c r="AL996">
        <f>IF(AK996&lt;&gt;"",IF(AK996&lt;TODAY(),"Overdue","Current"),"")</f>
        <v/>
      </c>
    </row>
    <row r="997">
      <c r="K997">
        <f>IF(J997="v4.0",L997,IF(J997="v3.1",M997,IF(J997="Both",L997,IF(AND(L997&lt;&gt;"",M997=""),L997,M997))))</f>
        <v/>
      </c>
      <c r="Z997">
        <f>IF(Y997&lt;&gt;"",TODAY()-Y997,"")</f>
        <v/>
      </c>
      <c r="AC997">
        <f>IF(AND(AA997&lt;&gt;"",AB997&lt;&gt;""),CHOOSE(MATCH(AA997,{"Low","Medium","High","Critical"},0),25,50,75,100)-CHOOSE(MATCH(AB997,{"Low","Medium","High","Critical"},0),25,50,75,100),"")</f>
        <v/>
      </c>
      <c r="AG997">
        <f>IF(AF997&lt;&gt;"",IF(AH997="Weekly",AF997+7,IF(AH997="Monthly",EDATE(AF997,1),IF(AH997="Quarterly",EDATE(AF997,3),""))),"")</f>
        <v/>
      </c>
      <c r="AK997">
        <f>IF(AJ997&lt;&gt;"",IF(AI997="Monthly",EDATE(AJ997,1),IF(AI997="Quarterly",EDATE(AJ997,3),IF(AI997="Semi-Annual",EDATE(AJ997,6),""))),"")</f>
        <v/>
      </c>
      <c r="AL997">
        <f>IF(AK997&lt;&gt;"",IF(AK997&lt;TODAY(),"Overdue","Current"),"")</f>
        <v/>
      </c>
    </row>
    <row r="998">
      <c r="K998">
        <f>IF(J998="v4.0",L998,IF(J998="v3.1",M998,IF(J998="Both",L998,IF(AND(L998&lt;&gt;"",M998=""),L998,M998))))</f>
        <v/>
      </c>
      <c r="Z998">
        <f>IF(Y998&lt;&gt;"",TODAY()-Y998,"")</f>
        <v/>
      </c>
      <c r="AC998">
        <f>IF(AND(AA998&lt;&gt;"",AB998&lt;&gt;""),CHOOSE(MATCH(AA998,{"Low","Medium","High","Critical"},0),25,50,75,100)-CHOOSE(MATCH(AB998,{"Low","Medium","High","Critical"},0),25,50,75,100),"")</f>
        <v/>
      </c>
      <c r="AG998">
        <f>IF(AF998&lt;&gt;"",IF(AH998="Weekly",AF998+7,IF(AH998="Monthly",EDATE(AF998,1),IF(AH998="Quarterly",EDATE(AF998,3),""))),"")</f>
        <v/>
      </c>
      <c r="AK998">
        <f>IF(AJ998&lt;&gt;"",IF(AI998="Monthly",EDATE(AJ998,1),IF(AI998="Quarterly",EDATE(AJ998,3),IF(AI998="Semi-Annual",EDATE(AJ998,6),""))),"")</f>
        <v/>
      </c>
      <c r="AL998">
        <f>IF(AK998&lt;&gt;"",IF(AK998&lt;TODAY(),"Overdue","Current"),"")</f>
        <v/>
      </c>
    </row>
    <row r="999">
      <c r="K999">
        <f>IF(J999="v4.0",L999,IF(J999="v3.1",M999,IF(J999="Both",L999,IF(AND(L999&lt;&gt;"",M999=""),L999,M999))))</f>
        <v/>
      </c>
      <c r="Z999">
        <f>IF(Y999&lt;&gt;"",TODAY()-Y999,"")</f>
        <v/>
      </c>
      <c r="AC999">
        <f>IF(AND(AA999&lt;&gt;"",AB999&lt;&gt;""),CHOOSE(MATCH(AA999,{"Low","Medium","High","Critical"},0),25,50,75,100)-CHOOSE(MATCH(AB999,{"Low","Medium","High","Critical"},0),25,50,75,100),"")</f>
        <v/>
      </c>
      <c r="AG999">
        <f>IF(AF999&lt;&gt;"",IF(AH999="Weekly",AF999+7,IF(AH999="Monthly",EDATE(AF999,1),IF(AH999="Quarterly",EDATE(AF999,3),""))),"")</f>
        <v/>
      </c>
      <c r="AK999">
        <f>IF(AJ999&lt;&gt;"",IF(AI999="Monthly",EDATE(AJ999,1),IF(AI999="Quarterly",EDATE(AJ999,3),IF(AI999="Semi-Annual",EDATE(AJ999,6),""))),"")</f>
        <v/>
      </c>
      <c r="AL999">
        <f>IF(AK999&lt;&gt;"",IF(AK999&lt;TODAY(),"Overdue","Current"),"")</f>
        <v/>
      </c>
    </row>
    <row r="1000">
      <c r="K1000">
        <f>IF(J1000="v4.0",L1000,IF(J1000="v3.1",M1000,IF(J1000="Both",L1000,IF(AND(L1000&lt;&gt;"",M1000=""),L1000,M1000))))</f>
        <v/>
      </c>
      <c r="Z1000">
        <f>IF(Y1000&lt;&gt;"",TODAY()-Y1000,"")</f>
        <v/>
      </c>
      <c r="AC1000">
        <f>IF(AND(AA1000&lt;&gt;"",AB1000&lt;&gt;""),CHOOSE(MATCH(AA1000,{"Low","Medium","High","Critical"},0),25,50,75,100)-CHOOSE(MATCH(AB1000,{"Low","Medium","High","Critical"},0),25,50,75,100),"")</f>
        <v/>
      </c>
      <c r="AG1000">
        <f>IF(AF1000&lt;&gt;"",IF(AH1000="Weekly",AF1000+7,IF(AH1000="Monthly",EDATE(AF1000,1),IF(AH1000="Quarterly",EDATE(AF1000,3),""))),"")</f>
        <v/>
      </c>
      <c r="AK1000">
        <f>IF(AJ1000&lt;&gt;"",IF(AI1000="Monthly",EDATE(AJ1000,1),IF(AI1000="Quarterly",EDATE(AJ1000,3),IF(AI1000="Semi-Annual",EDATE(AJ1000,6),""))),"")</f>
        <v/>
      </c>
      <c r="AL1000">
        <f>IF(AK1000&lt;&gt;"",IF(AK1000&lt;TODAY(),"Overdue","Current"),"")</f>
        <v/>
      </c>
    </row>
  </sheetData>
  <conditionalFormatting sqref="A2:AT1000">
    <cfRule type="expression" priority="1" dxfId="0">
      <formula>$T2="P0"</formula>
    </cfRule>
    <cfRule type="expression" priority="3" dxfId="1">
      <formula>AND($Q2="P",$K2&gt;=7.0)</formula>
    </cfRule>
  </conditionalFormatting>
  <conditionalFormatting sqref="P2:P1000">
    <cfRule type="cellIs" priority="2" operator="equal" dxfId="2">
      <formula>"Y"</formula>
    </cfRule>
  </conditionalFormatting>
  <conditionalFormatting sqref="Z2:Z1000">
    <cfRule type="cellIs" priority="4" operator="greaterThan" dxfId="3">
      <formula>180</formula>
    </cfRule>
  </conditionalFormatting>
  <conditionalFormatting sqref="AL2:AL1000">
    <cfRule type="cellIs" priority="5" operator="equal" dxfId="4">
      <formula>"Overdue"</formula>
    </cfRule>
  </conditionalFormatting>
  <conditionalFormatting sqref="AE2:AE1000">
    <cfRule type="cellIs" priority="6" operator="equal" dxfId="5">
      <formula>"Failed"</formula>
    </cfRule>
  </conditionalFormatting>
  <conditionalFormatting sqref="AC2:AC1000">
    <cfRule type="cellIs" priority="7" operator="lessThan" dxfId="6">
      <formula>50</formula>
    </cfRule>
  </conditionalFormatting>
  <conditionalFormatting sqref="AS2:AS1000">
    <cfRule type="cellIs" priority="8" operator="equal" dxfId="7">
      <formula>"Pending Removal"</formula>
    </cfRule>
  </conditionalFormatting>
  <dataValidations count="17">
    <dataValidation sqref="F2:F1000" showDropDown="0" showInputMessage="0" showErrorMessage="0" allowBlank="0" type="list">
      <formula1>"Server,Endpoint,Network Device,Cloud Service,OT/ICS,Application,Database,Other"</formula1>
    </dataValidation>
    <dataValidation sqref="G2:G1000" showDropDown="0" showInputMessage="0" showErrorMessage="0" allowBlank="0" type="list">
      <formula1>"Production,Staging,Development,DR/Backup,Management,DMZ"</formula1>
    </dataValidation>
    <dataValidation sqref="J2:J1000" showDropDown="0" showInputMessage="0" showErrorMessage="0" allowBlank="0" errorTitle="Invalid CVSS Version" error="Select CVSS version: v4.0 (primary), v3.1 (fallback), Both, or Unknown" type="list">
      <formula1>"v4.0,v3.1,Both,Unknown"</formula1>
    </dataValidation>
    <dataValidation sqref="L2:L1000" showDropDown="0" showInputMessage="0" showErrorMessage="0" allowBlank="1" errorTitle="Invalid CVSS v4.0 Score" error="Enter CVSS v4.0 base score (0.0-10.0) or leave blank if unavailable" type="decimal" operator="between">
      <formula1>0.0</formula1>
      <formula2>10.0</formula2>
    </dataValidation>
    <dataValidation sqref="M2:M1000" showDropDown="0" showInputMessage="0" showErrorMessage="0" allowBlank="1" errorTitle="Invalid CVSS v3.1 Score" error="Enter CVSS v3.1 base score (0.0-10.0) or leave blank if unavailable" type="decimal" operator="between">
      <formula1>0.0</formula1>
      <formula2>10.0</formula2>
    </dataValidation>
    <dataValidation sqref="P2:P1000" showDropDown="0" showInputMessage="0" showErrorMessage="0" allowBlank="0" errorTitle="Invalid AU Value" error="Select: Y (wormable), N (not automatable), X (not defined), N/A (v3.1 only)" type="list">
      <formula1>"Y,N,X,N/A"</formula1>
    </dataValidation>
    <dataValidation sqref="Q2:Q1000" showDropDown="0" showInputMessage="0" showErrorMessage="0" allowBlank="0" errorTitle="Invalid S Value" error="Select: P (safety impact), N (negligible), X (not defined), N/A (v3.1 only)" type="list">
      <formula1>"P,N,X,N/A"</formula1>
    </dataValidation>
    <dataValidation sqref="R2:R1000" showDropDown="0" showInputMessage="0" showErrorMessage="0" allowBlank="0" errorTitle="Invalid Source" error="Select score source: NVD, Vendor, Scanner, or Manual" type="list">
      <formula1>"NVD,Vendor,Scanner,Manual"</formula1>
    </dataValidation>
    <dataValidation sqref="U2:U1000" showDropDown="0" showInputMessage="0" showErrorMessage="0" allowBlank="0" type="list">
      <formula1>"Patch Delayed,Testing Required,Vendor Pending,End of Life,Zero-Day,Compatibility Issue"</formula1>
    </dataValidation>
    <dataValidation sqref="W2:W1000" showDropDown="0" showInputMessage="0" showErrorMessage="0" allowBlank="0" type="list">
      <formula1>"Firewall Rule,WAF Rule,Network ACL,Network Segmentation,IDS/IPS Signature,Enhanced Monitoring,Access Restriction,Privilege Reduction,Application Hardening,Other"</formula1>
    </dataValidation>
    <dataValidation sqref="AA2:AA1000 AB2:AB1000" showDropDown="0" showInputMessage="0" showErrorMessage="0" allowBlank="0" type="list">
      <formula1>"Critical,High,Medium,Low"</formula1>
    </dataValidation>
    <dataValidation sqref="AE2:AE1000" showDropDown="0" showInputMessage="0" showErrorMessage="0" allowBlank="0" type="list">
      <formula1>"Pending,Validated,Failed,Revalidating"</formula1>
    </dataValidation>
    <dataValidation sqref="AH2:AH1000" showDropDown="0" showInputMessage="0" showErrorMessage="0" allowBlank="0" type="list">
      <formula1>"Weekly,Monthly,Quarterly"</formula1>
    </dataValidation>
    <dataValidation sqref="AI2:AI1000" showDropDown="0" showInputMessage="0" showErrorMessage="0" allowBlank="0" type="list">
      <formula1>"Monthly,Quarterly,Semi-Annual"</formula1>
    </dataValidation>
    <dataValidation sqref="AO2:AO1000" showDropDown="0" showInputMessage="0" showErrorMessage="0" allowBlank="0" type="list">
      <formula1>"Not Available,Under Development,Testing,Scheduled,Deployed"</formula1>
    </dataValidation>
    <dataValidation sqref="AR2:AR1000" showDropDown="0" showInputMessage="0" showErrorMessage="0" allowBlank="0" type="list">
      <formula1>"Y,N,Pending"</formula1>
    </dataValidation>
    <dataValidation sqref="AS2:AS1000" showDropDown="0" showInputMessage="0" showErrorMessage="0" allowBlank="0" type="list">
      <formula1>"Active,Pending Removal,Removed,Failed"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18" customWidth="1" min="4" max="4"/>
    <col width="20" customWidth="1" min="5" max="5"/>
    <col width="16" customWidth="1" min="6" max="6"/>
    <col width="50" customWidth="1" min="7" max="7"/>
    <col width="18" customWidth="1" min="8" max="8"/>
    <col width="60" customWidth="1" min="9" max="9"/>
    <col width="60" customWidth="1" min="10" max="10"/>
    <col width="12" customWidth="1" min="11" max="11"/>
    <col width="16" customWidth="1" min="12" max="12"/>
  </cols>
  <sheetData>
    <row r="1">
      <c r="A1" s="4" t="inlineStr">
        <is>
          <t>Control_Type</t>
        </is>
      </c>
      <c r="B1" s="4" t="inlineStr">
        <is>
          <t>Category</t>
        </is>
      </c>
      <c r="C1" s="4" t="inlineStr">
        <is>
          <t>Description</t>
        </is>
      </c>
      <c r="D1" s="4" t="inlineStr">
        <is>
          <t>Typical_Risk_Reduction</t>
        </is>
      </c>
      <c r="E1" s="4" t="inlineStr">
        <is>
          <t>Implementation_Complexity</t>
        </is>
      </c>
      <c r="F1" s="4" t="inlineStr">
        <is>
          <t>Operational_Cost</t>
        </is>
      </c>
      <c r="G1" s="4" t="inlineStr">
        <is>
          <t>Validation_Method</t>
        </is>
      </c>
      <c r="H1" s="4" t="inlineStr">
        <is>
          <t>Typical_Lifespan</t>
        </is>
      </c>
      <c r="I1" s="4" t="inlineStr">
        <is>
          <t>Best_For</t>
        </is>
      </c>
      <c r="J1" s="4" t="inlineStr">
        <is>
          <t>Limitations</t>
        </is>
      </c>
      <c r="K1" s="4" t="inlineStr">
        <is>
          <t>Usage_Count</t>
        </is>
      </c>
      <c r="L1" s="4" t="inlineStr">
        <is>
          <t>Avg_Effectiveness</t>
        </is>
      </c>
    </row>
    <row r="2">
      <c r="A2" t="inlineStr">
        <is>
          <t>Firewall Rule</t>
        </is>
      </c>
      <c r="B2" t="inlineStr">
        <is>
          <t>Network</t>
        </is>
      </c>
      <c r="C2" t="inlineStr">
        <is>
          <t>Block network access to vulnerable services</t>
        </is>
      </c>
      <c r="D2" t="inlineStr">
        <is>
          <t>High (&gt;60%)</t>
        </is>
      </c>
      <c r="E2" t="inlineStr">
        <is>
          <t>Low</t>
        </is>
      </c>
      <c r="F2" t="inlineStr">
        <is>
          <t>Low</t>
        </is>
      </c>
      <c r="G2" t="inlineStr">
        <is>
          <t>Test blocked traffic from external/internal sources</t>
        </is>
      </c>
      <c r="H2" t="inlineStr">
        <is>
          <t>Short (&lt;30d)</t>
        </is>
      </c>
      <c r="I2" t="inlineStr">
        <is>
          <t>Blocking network access to vulnerable services</t>
        </is>
      </c>
      <c r="J2" t="inlineStr">
        <is>
          <t>Does not protect against attacks from allowed sources</t>
        </is>
      </c>
      <c r="K2">
        <f>COUNTIF(Compensating_Controls!$W:$W,A2)</f>
        <v/>
      </c>
      <c r="L2">
        <f>IFERROR(AVERAGEIF(Compensating_Controls!$W:$W,A2,Compensating_Controls!$AC:$AC),0)</f>
        <v/>
      </c>
    </row>
    <row r="3">
      <c r="A3" t="inlineStr">
        <is>
          <t>WAF Rule</t>
        </is>
      </c>
      <c r="B3" t="inlineStr">
        <is>
          <t>Application</t>
        </is>
      </c>
      <c r="C3" t="inlineStr">
        <is>
          <t>Web application firewall rules</t>
        </is>
      </c>
      <c r="D3" t="inlineStr">
        <is>
          <t>High (&gt;60%)</t>
        </is>
      </c>
      <c r="E3" t="inlineStr">
        <is>
          <t>Medium</t>
        </is>
      </c>
      <c r="F3" t="inlineStr">
        <is>
          <t>Medium</t>
        </is>
      </c>
      <c r="G3" t="inlineStr">
        <is>
          <t>Attempt SQLi/XSS attacks in test environment</t>
        </is>
      </c>
      <c r="H3" t="inlineStr">
        <is>
          <t>Medium (30-90d)</t>
        </is>
      </c>
      <c r="I3" t="inlineStr">
        <is>
          <t>Web application vulnerabilities (SQLi, XSS)</t>
        </is>
      </c>
      <c r="J3" t="inlineStr">
        <is>
          <t>May have false positives, requires tuning</t>
        </is>
      </c>
      <c r="K3">
        <f>COUNTIF(Compensating_Controls!$W:$W,A3)</f>
        <v/>
      </c>
      <c r="L3">
        <f>IFERROR(AVERAGEIF(Compensating_Controls!$W:$W,A3,Compensating_Controls!$AC:$AC),0)</f>
        <v/>
      </c>
    </row>
    <row r="4">
      <c r="A4" t="inlineStr">
        <is>
          <t>Network Segmentation</t>
        </is>
      </c>
      <c r="B4" t="inlineStr">
        <is>
          <t>Network</t>
        </is>
      </c>
      <c r="C4" t="inlineStr">
        <is>
          <t>Isolate vulnerable systems in dedicated VLANs</t>
        </is>
      </c>
      <c r="D4" t="inlineStr">
        <is>
          <t>Medium (30-60%)</t>
        </is>
      </c>
      <c r="E4" t="inlineStr">
        <is>
          <t>High</t>
        </is>
      </c>
      <c r="F4" t="inlineStr">
        <is>
          <t>Low</t>
        </is>
      </c>
      <c r="G4" t="inlineStr">
        <is>
          <t>Test cross-VLAN connectivity restrictions</t>
        </is>
      </c>
      <c r="H4" t="inlineStr">
        <is>
          <t>Long (&gt;90d)</t>
        </is>
      </c>
      <c r="I4" t="inlineStr">
        <is>
          <t>Isolating vulnerable systems</t>
        </is>
      </c>
      <c r="J4" t="inlineStr">
        <is>
          <t>Complex to implement, may impact legitimate traffic</t>
        </is>
      </c>
      <c r="K4">
        <f>COUNTIF(Compensating_Controls!$W:$W,A4)</f>
        <v/>
      </c>
      <c r="L4">
        <f>IFERROR(AVERAGEIF(Compensating_Controls!$W:$W,A4,Compensating_Controls!$AC:$AC),0)</f>
        <v/>
      </c>
    </row>
    <row r="5">
      <c r="A5" t="inlineStr">
        <is>
          <t>Enhanced Monitoring</t>
        </is>
      </c>
      <c r="B5" t="inlineStr">
        <is>
          <t>Monitoring</t>
        </is>
      </c>
      <c r="C5" t="inlineStr">
        <is>
          <t>SIEM alerts for suspicious activity</t>
        </is>
      </c>
      <c r="D5" t="inlineStr">
        <is>
          <t>Low (&lt;30%)</t>
        </is>
      </c>
      <c r="E5" t="inlineStr">
        <is>
          <t>Low</t>
        </is>
      </c>
      <c r="F5" t="inlineStr">
        <is>
          <t>Low</t>
        </is>
      </c>
      <c r="G5" t="inlineStr">
        <is>
          <t>Verify alerts trigger on simulated attacks</t>
        </is>
      </c>
      <c r="H5" t="inlineStr">
        <is>
          <t>Medium (30-90d)</t>
        </is>
      </c>
      <c r="I5" t="inlineStr">
        <is>
          <t>Detecting post-exploitation activity</t>
        </is>
      </c>
      <c r="J5" t="inlineStr">
        <is>
          <t>Detective control only, does not prevent exploitation</t>
        </is>
      </c>
      <c r="K5">
        <f>COUNTIF(Compensating_Controls!$W:$W,A5)</f>
        <v/>
      </c>
      <c r="L5">
        <f>IFERROR(AVERAGEIF(Compensating_Controls!$W:$W,A5,Compensating_Controls!$AC:$AC),0)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0" customWidth="1" min="4" max="4"/>
    <col width="18" customWidth="1" min="5" max="5"/>
    <col width="40" customWidth="1" min="6" max="6"/>
    <col width="60" customWidth="1" min="7" max="7"/>
    <col width="16" customWidth="1" min="8" max="8"/>
    <col width="16" customWidth="1" min="9" max="9"/>
    <col width="14" customWidth="1" min="10" max="10"/>
    <col width="14" customWidth="1" min="11" max="11"/>
    <col width="50" customWidth="1" min="12" max="12"/>
    <col width="25" customWidth="1" min="13" max="13"/>
    <col width="20" customWidth="1" min="14" max="14"/>
    <col width="12" customWidth="1" min="15" max="15"/>
    <col width="16" customWidth="1" min="16" max="16"/>
    <col width="50" customWidth="1" min="17" max="17"/>
  </cols>
  <sheetData>
    <row r="1">
      <c r="A1" s="4" t="inlineStr">
        <is>
          <t>Log_ID</t>
        </is>
      </c>
      <c r="B1" s="4" t="inlineStr">
        <is>
          <t>Control_ID</t>
        </is>
      </c>
      <c r="C1" s="4" t="inlineStr">
        <is>
          <t>Implementation_Date</t>
        </is>
      </c>
      <c r="D1" s="4" t="inlineStr">
        <is>
          <t>Implemented_By</t>
        </is>
      </c>
      <c r="E1" s="4" t="inlineStr">
        <is>
          <t>Implementation_Method</t>
        </is>
      </c>
      <c r="F1" s="4" t="inlineStr">
        <is>
          <t>Systems_Affected</t>
        </is>
      </c>
      <c r="G1" s="4" t="inlineStr">
        <is>
          <t>Configuration_Details</t>
        </is>
      </c>
      <c r="H1" s="4" t="inlineStr">
        <is>
          <t>Pre_Implementation_Test</t>
        </is>
      </c>
      <c r="I1" s="4" t="inlineStr">
        <is>
          <t>Post_Implementation_Test</t>
        </is>
      </c>
      <c r="J1" s="4" t="inlineStr">
        <is>
          <t>Service_Impact</t>
        </is>
      </c>
      <c r="K1" s="4" t="inlineStr">
        <is>
          <t>Downtime_Minutes</t>
        </is>
      </c>
      <c r="L1" s="4" t="inlineStr">
        <is>
          <t>Rollback_Plan</t>
        </is>
      </c>
      <c r="M1" s="4" t="inlineStr">
        <is>
          <t>Documentation_Link</t>
        </is>
      </c>
      <c r="N1" s="4" t="inlineStr">
        <is>
          <t>Approved_By</t>
        </is>
      </c>
      <c r="O1" s="4" t="inlineStr">
        <is>
          <t>Approval_Date</t>
        </is>
      </c>
      <c r="P1" s="4" t="inlineStr">
        <is>
          <t>Status</t>
        </is>
      </c>
      <c r="Q1" s="4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0" customWidth="1" min="4" max="4"/>
    <col width="18" customWidth="1" min="5" max="5"/>
    <col width="60" customWidth="1" min="6" max="6"/>
    <col width="60" customWidth="1" min="7" max="7"/>
    <col width="14" customWidth="1" min="8" max="8"/>
    <col width="14" customWidth="1" min="9" max="9"/>
    <col width="14" customWidth="1" min="10" max="10"/>
    <col width="60" customWidth="1" min="11" max="11"/>
    <col width="60" customWidth="1" min="12" max="12"/>
    <col width="14" customWidth="1" min="13" max="13"/>
    <col width="14" customWidth="1" min="14" max="14"/>
    <col width="20" customWidth="1" min="15" max="15"/>
    <col width="50" customWidth="1" min="16" max="16"/>
  </cols>
  <sheetData>
    <row r="1">
      <c r="A1" s="4" t="inlineStr">
        <is>
          <t>Validation_ID</t>
        </is>
      </c>
      <c r="B1" s="4" t="inlineStr">
        <is>
          <t>Control_ID</t>
        </is>
      </c>
      <c r="C1" s="4" t="inlineStr">
        <is>
          <t>Validation_Date</t>
        </is>
      </c>
      <c r="D1" s="4" t="inlineStr">
        <is>
          <t>Validator_Name</t>
        </is>
      </c>
      <c r="E1" s="4" t="inlineStr">
        <is>
          <t>Validation_Type</t>
        </is>
      </c>
      <c r="F1" s="4" t="inlineStr">
        <is>
          <t>Test_Method</t>
        </is>
      </c>
      <c r="G1" s="4" t="inlineStr">
        <is>
          <t>Test_Results</t>
        </is>
      </c>
      <c r="H1" s="4" t="inlineStr">
        <is>
          <t>Control_Functioning</t>
        </is>
      </c>
      <c r="I1" s="4" t="inlineStr">
        <is>
          <t>Risk_Still_Mitigated</t>
        </is>
      </c>
      <c r="J1" s="4" t="inlineStr">
        <is>
          <t>Effectiveness_Score</t>
        </is>
      </c>
      <c r="K1" s="4" t="inlineStr">
        <is>
          <t>Issues_Found</t>
        </is>
      </c>
      <c r="L1" s="4" t="inlineStr">
        <is>
          <t>Remediation_Actions</t>
        </is>
      </c>
      <c r="M1" s="4" t="inlineStr">
        <is>
          <t>Next_Validation_Due</t>
        </is>
      </c>
      <c r="N1" s="4" t="inlineStr">
        <is>
          <t>Validation_Result</t>
        </is>
      </c>
      <c r="O1" s="4" t="inlineStr">
        <is>
          <t>Sign_Off_By</t>
        </is>
      </c>
      <c r="P1" s="4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0" customWidth="1" min="4" max="4"/>
    <col width="16" customWidth="1" min="5" max="5"/>
    <col width="18" customWidth="1" min="6" max="6"/>
    <col width="18" customWidth="1" min="7" max="7"/>
    <col width="16" customWidth="1" min="8" max="8"/>
    <col width="18" customWidth="1" min="9" max="9"/>
    <col width="18" customWidth="1" min="10" max="10"/>
    <col width="16" customWidth="1" min="11" max="11"/>
    <col width="16" customWidth="1" min="12" max="12"/>
    <col width="16" customWidth="1" min="13" max="13"/>
    <col width="60" customWidth="1" min="14" max="14"/>
    <col width="14" customWidth="1" min="15" max="15"/>
    <col width="20" customWidth="1" min="16" max="16"/>
    <col width="50" customWidth="1" min="17" max="17"/>
  </cols>
  <sheetData>
    <row r="1">
      <c r="A1" s="4" t="inlineStr">
        <is>
          <t>Review_ID</t>
        </is>
      </c>
      <c r="B1" s="4" t="inlineStr">
        <is>
          <t>Control_ID</t>
        </is>
      </c>
      <c r="C1" s="4" t="inlineStr">
        <is>
          <t>Review_Date</t>
        </is>
      </c>
      <c r="D1" s="4" t="inlineStr">
        <is>
          <t>Reviewer_Name</t>
        </is>
      </c>
      <c r="E1" s="4" t="inlineStr">
        <is>
          <t>Review_Type</t>
        </is>
      </c>
      <c r="F1" s="4" t="inlineStr">
        <is>
          <t>Days_Since_Implementation</t>
        </is>
      </c>
      <c r="G1" s="4" t="inlineStr">
        <is>
          <t>Permanent_Fix_Available</t>
        </is>
      </c>
      <c r="H1" s="4" t="inlineStr">
        <is>
          <t>Control_Still_Needed</t>
        </is>
      </c>
      <c r="I1" s="4" t="inlineStr">
        <is>
          <t>Effectiveness_Rating</t>
        </is>
      </c>
      <c r="J1" s="4" t="inlineStr">
        <is>
          <t>Risk_Reduction_Adequate</t>
        </is>
      </c>
      <c r="K1" s="4" t="inlineStr">
        <is>
          <t>Renewal_Decision</t>
        </is>
      </c>
      <c r="L1" s="4" t="inlineStr">
        <is>
          <t>Renewal_Period</t>
        </is>
      </c>
      <c r="M1" s="4" t="inlineStr">
        <is>
          <t>Escalation_Required</t>
        </is>
      </c>
      <c r="N1" s="4" t="inlineStr">
        <is>
          <t>Escalation_Reason</t>
        </is>
      </c>
      <c r="O1" s="4" t="inlineStr">
        <is>
          <t>Next_Review_Date</t>
        </is>
      </c>
      <c r="P1" s="4" t="inlineStr">
        <is>
          <t>Approved_By</t>
        </is>
      </c>
      <c r="Q1" s="4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0" customWidth="1" min="4" max="4"/>
    <col width="12" customWidth="1" min="5" max="5"/>
    <col width="20" customWidth="1" min="6" max="6"/>
    <col width="60" customWidth="1" min="7" max="7"/>
    <col width="18" customWidth="1" min="8" max="8"/>
    <col width="18" customWidth="1" min="9" max="9"/>
    <col width="14" customWidth="1" min="10" max="10"/>
    <col width="16" customWidth="1" min="11" max="11"/>
    <col width="14" customWidth="1" min="12" max="12"/>
    <col width="60" customWidth="1" min="13" max="13"/>
    <col width="20" customWidth="1" min="14" max="14"/>
    <col width="16" customWidth="1" min="15" max="15"/>
    <col width="50" customWidth="1" min="16" max="16"/>
  </cols>
  <sheetData>
    <row r="1">
      <c r="A1" s="4" t="inlineStr">
        <is>
          <t>Removal_ID</t>
        </is>
      </c>
      <c r="B1" s="4" t="inlineStr">
        <is>
          <t>Control_ID</t>
        </is>
      </c>
      <c r="C1" s="4" t="inlineStr">
        <is>
          <t>Removal_Date</t>
        </is>
      </c>
      <c r="D1" s="4" t="inlineStr">
        <is>
          <t>Removed_By</t>
        </is>
      </c>
      <c r="E1" s="4" t="inlineStr">
        <is>
          <t>Days_Active</t>
        </is>
      </c>
      <c r="F1" s="4" t="inlineStr">
        <is>
          <t>Removal_Reason</t>
        </is>
      </c>
      <c r="G1" s="4" t="inlineStr">
        <is>
          <t>Permanent_Fix_Details</t>
        </is>
      </c>
      <c r="H1" s="4" t="inlineStr">
        <is>
          <t>Removal_Method</t>
        </is>
      </c>
      <c r="I1" s="4" t="inlineStr">
        <is>
          <t>Pre_Removal_Validation</t>
        </is>
      </c>
      <c r="J1" s="4" t="inlineStr">
        <is>
          <t>Post_Removal_Test</t>
        </is>
      </c>
      <c r="K1" s="4" t="inlineStr">
        <is>
          <t>Vulnerability_Status</t>
        </is>
      </c>
      <c r="L1" s="4" t="inlineStr">
        <is>
          <t>Service_Impact</t>
        </is>
      </c>
      <c r="M1" s="4" t="inlineStr">
        <is>
          <t>Issues_Encountered</t>
        </is>
      </c>
      <c r="N1" s="4" t="inlineStr">
        <is>
          <t>Verification_By</t>
        </is>
      </c>
      <c r="O1" s="4" t="inlineStr">
        <is>
          <t>Final_Status</t>
        </is>
      </c>
      <c r="P1" s="4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5" customWidth="1" min="3" max="3"/>
    <col width="20" customWidth="1" min="4" max="4"/>
  </cols>
  <sheetData>
    <row r="1">
      <c r="A1" s="6" t="inlineStr">
        <is>
          <t>COMPENSATING CONTROLS DASHBOARD</t>
        </is>
      </c>
    </row>
    <row r="3">
      <c r="A3" s="7" t="inlineStr">
        <is>
          <t>SECTION A: EXECUTIVE SUMMARY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Status</t>
        </is>
      </c>
      <c r="D5" s="4" t="inlineStr">
        <is>
          <t>Trend</t>
        </is>
      </c>
    </row>
    <row r="6">
      <c r="A6" t="inlineStr">
        <is>
          <t>Total Active Controls</t>
        </is>
      </c>
      <c r="B6">
        <f>COUNTA(Compensating_Controls!A:A)-1</f>
        <v/>
      </c>
      <c r="C6" t="inlineStr">
        <is>
          <t>[Gauge]</t>
        </is>
      </c>
      <c r="D6" t="inlineStr">
        <is>
          <t>[Sparkline]</t>
        </is>
      </c>
    </row>
    <row r="7">
      <c r="A7" t="inlineStr">
        <is>
          <t>P0/P1 Controls</t>
        </is>
      </c>
      <c r="B7">
        <f>COUNTIFS(Compensating_Controls!T:T,"P0")+COUNTIFS(Compensating_Controls!T:T,"P1")</f>
        <v/>
      </c>
      <c r="C7" t="inlineStr">
        <is>
          <t>🔴/🟢</t>
        </is>
      </c>
      <c r="D7" t="inlineStr">
        <is>
          <t>[Sparkline]</t>
        </is>
      </c>
    </row>
    <row r="8">
      <c r="A8" t="inlineStr">
        <is>
          <t>Controls &gt;6 Months</t>
        </is>
      </c>
      <c r="B8">
        <f>COUNTIF(Compensating_Controls!Z:Z,"&gt;180")</f>
        <v/>
      </c>
      <c r="C8" t="inlineStr">
        <is>
          <t>[Gauge]</t>
        </is>
      </c>
      <c r="D8" t="inlineStr">
        <is>
          <t>[Sparkline]</t>
        </is>
      </c>
    </row>
    <row r="9">
      <c r="A9" t="inlineStr">
        <is>
          <t>Average Risk Reduction</t>
        </is>
      </c>
      <c r="B9">
        <f>IFERROR(AVERAGE(Compensating_Controls!AC:AC),0)</f>
        <v/>
      </c>
      <c r="C9" t="inlineStr">
        <is>
          <t>[Gauge]</t>
        </is>
      </c>
      <c r="D9" t="inlineStr">
        <is>
          <t>[Sparkline]</t>
        </is>
      </c>
    </row>
    <row r="10">
      <c r="A10" t="inlineStr">
        <is>
          <t>Overdue Reviews</t>
        </is>
      </c>
      <c r="B10">
        <f>COUNTIF(Compensating_Controls!AL:AL,"Overdue")</f>
        <v/>
      </c>
      <c r="C10" t="inlineStr">
        <is>
          <t>🔴/🟢</t>
        </is>
      </c>
      <c r="D10" t="inlineStr">
        <is>
          <t>[Sparkline]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2026-01-31T02:16:48Z</dcterms:created>
  <dcterms:modified xmlns:dcterms="http://purl.org/dc/terms/" xmlns:xsi="http://www.w3.org/2001/XMLSchema-instance" xsi:type="dcterms:W3CDTF">2026-01-31T02:16:48Z</dcterms:modified>
</cp:coreProperties>
</file>