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ompliance_Status" sheetId="2" state="visible" r:id="rId2"/>
    <sheet xmlns:r="http://schemas.openxmlformats.org/officeDocument/2006/relationships" name="Program_Health" sheetId="3" state="visible" r:id="rId3"/>
    <sheet xmlns:r="http://schemas.openxmlformats.org/officeDocument/2006/relationships" name="Risk_Overview" sheetId="4" state="visible" r:id="rId4"/>
    <sheet xmlns:r="http://schemas.openxmlformats.org/officeDocument/2006/relationships" name="Performance_Metrics" sheetId="5" state="visible" r:id="rId5"/>
    <sheet xmlns:r="http://schemas.openxmlformats.org/officeDocument/2006/relationships" name="Trend_Analysis" sheetId="6" state="visible" r:id="rId6"/>
  </sheets>
  <definedNames>
    <definedName name="_xlnm.Print_Area" localSheetId="0">'Executive_Summary'!$A$1:$H$65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 &quot;CHF&quot;"/>
    <numFmt numFmtId="166" formatCode="DD.MM.YYYY"/>
  </numFmts>
  <fonts count="23">
    <font>
      <name val="Calibri"/>
      <family val="2"/>
      <color theme="1"/>
      <sz val="11"/>
      <scheme val="minor"/>
    </font>
    <font>
      <b val="1"/>
      <color rgb="00003366"/>
      <sz val="20"/>
    </font>
    <font>
      <b val="1"/>
      <sz val="12"/>
    </font>
    <font>
      <name val="Calibri"/>
      <i val="1"/>
      <color rgb="000000FF"/>
      <sz val="10"/>
    </font>
    <font>
      <b val="1"/>
      <color rgb="00003366"/>
      <sz val="14"/>
    </font>
    <font>
      <name val="Calibri"/>
      <b val="1"/>
      <sz val="24"/>
    </font>
    <font>
      <sz val="16"/>
    </font>
    <font>
      <name val="Calibri"/>
      <b val="1"/>
      <color rgb="00FFFFFF"/>
      <sz val="11"/>
    </font>
    <font>
      <sz val="10"/>
    </font>
    <font>
      <b val="1"/>
      <sz val="11"/>
    </font>
    <font>
      <sz val="14"/>
    </font>
    <font>
      <i val="1"/>
      <sz val="9"/>
    </font>
    <font>
      <i val="1"/>
      <color rgb="00666666"/>
      <sz val="10"/>
    </font>
    <font>
      <b val="1"/>
      <color rgb="00003366"/>
      <sz val="12"/>
    </font>
    <font>
      <name val="Calibri"/>
      <b val="1"/>
      <color rgb="00FFFFFF"/>
      <sz val="10"/>
    </font>
    <font>
      <sz val="12"/>
    </font>
    <font>
      <sz val="11"/>
    </font>
    <font>
      <b val="1"/>
    </font>
    <font>
      <i val="1"/>
      <color rgb="00FF6600"/>
    </font>
    <font>
      <b val="1"/>
      <color rgb="00003366"/>
      <sz val="13"/>
    </font>
    <font>
      <b val="1"/>
      <sz val="10"/>
    </font>
    <font>
      <b val="1"/>
      <color rgb="00003366"/>
      <sz val="11"/>
    </font>
    <font>
      <b val="1"/>
      <color rgb="00FF6600"/>
      <sz val="11"/>
    </font>
  </fonts>
  <fills count="8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EBEB"/>
      </patternFill>
    </fill>
    <fill>
      <patternFill patternType="solid">
        <fgColor rgb="00D8E4F8"/>
      </patternFill>
    </fill>
    <fill>
      <patternFill patternType="solid">
        <fgColor rgb="00D9D9D9"/>
      </patternFill>
    </fill>
    <fill>
      <patternFill patternType="solid">
        <fgColor rgb="00FFFFCC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7" fillId="5" borderId="1" applyAlignment="1" pivotButton="0" quotePrefix="0" xfId="0">
      <alignment horizontal="center" vertical="center" wrapText="1"/>
    </xf>
    <xf numFmtId="164" fontId="3" fillId="2" borderId="0" pivotButton="0" quotePrefix="0" xfId="0"/>
    <xf numFmtId="0" fontId="8" fillId="0" borderId="0" pivotButton="0" quotePrefix="0" xfId="0"/>
    <xf numFmtId="164" fontId="3" fillId="2" borderId="0" applyAlignment="1" pivotButton="0" quotePrefix="0" xfId="0">
      <alignment horizontal="center"/>
    </xf>
    <xf numFmtId="165" fontId="3" fillId="2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6" borderId="0" pivotButton="0" quotePrefix="0" xfId="0"/>
    <xf numFmtId="0" fontId="9" fillId="0" borderId="0" pivotButton="0" quotePrefix="0" xfId="0"/>
    <xf numFmtId="0" fontId="10" fillId="6" borderId="0" applyAlignment="1" pivotButton="0" quotePrefix="0" xfId="0">
      <alignment horizontal="center"/>
    </xf>
    <xf numFmtId="0" fontId="11" fillId="0" borderId="0" pivotButton="0" quotePrefix="0" xfId="0"/>
    <xf numFmtId="0" fontId="0" fillId="6" borderId="0" applyAlignment="1" pivotButton="0" quotePrefix="0" xfId="0">
      <alignment vertical="top" wrapText="1"/>
    </xf>
    <xf numFmtId="0" fontId="9" fillId="6" borderId="0" pivotButton="0" quotePrefix="0" xfId="0"/>
    <xf numFmtId="0" fontId="4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 wrapText="1"/>
    </xf>
    <xf numFmtId="0" fontId="13" fillId="4" borderId="0" pivotButton="0" quotePrefix="0" xfId="0"/>
    <xf numFmtId="0" fontId="14" fillId="5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166" fontId="0" fillId="6" borderId="0" pivotButton="0" quotePrefix="0" xfId="0"/>
    <xf numFmtId="0" fontId="16" fillId="0" borderId="0" applyAlignment="1" pivotButton="0" quotePrefix="0" xfId="0">
      <alignment horizontal="center"/>
    </xf>
    <xf numFmtId="0" fontId="3" fillId="2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15" fillId="6" borderId="0" applyAlignment="1" pivotButton="0" quotePrefix="0" xfId="0">
      <alignment horizontal="center"/>
    </xf>
    <xf numFmtId="0" fontId="21" fillId="0" borderId="0" pivotButton="0" quotePrefix="0" xfId="0"/>
    <xf numFmtId="165" fontId="0" fillId="6" borderId="0" pivotButton="0" quotePrefix="0" xfId="0"/>
    <xf numFmtId="165" fontId="3" fillId="2" borderId="0" pivotButton="0" quotePrefix="0" xfId="0"/>
    <xf numFmtId="165" fontId="0" fillId="0" borderId="0" applyAlignment="1" pivotButton="0" quotePrefix="0" xfId="0">
      <alignment horizontal="center"/>
    </xf>
    <xf numFmtId="165" fontId="0" fillId="6" borderId="0" applyAlignment="1" pivotButton="0" quotePrefix="0" xfId="0">
      <alignment horizontal="center"/>
    </xf>
    <xf numFmtId="164" fontId="0" fillId="6" borderId="0" applyAlignment="1" pivotButton="0" quotePrefix="0" xfId="0">
      <alignment horizontal="center"/>
    </xf>
    <xf numFmtId="0" fontId="22" fillId="7" borderId="0" pivotButton="0" quotePrefix="0" xfId="0"/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System</author>
  </authors>
  <commentList>
    <comment ref="E2" authorId="0" shapeId="0">
      <text>
        <t>Auto-calculated from critical alerts</t>
      </text>
    </comment>
    <comment ref="B6" authorId="0" shapeId="0">
      <text>
        <t>From source workbook</t>
      </text>
    </comment>
    <comment ref="B7" authorId="0" shapeId="0">
      <text>
        <t>From source workbook</t>
      </text>
    </comment>
    <comment ref="B8" authorId="0" shapeId="0">
      <text>
        <t>From source workbook</t>
      </text>
    </comment>
    <comment ref="B9" authorId="0" shapeId="0">
      <text>
        <t>From source workbook</t>
      </text>
    </comment>
    <comment ref="B10" authorId="0" shapeId="0">
      <text>
        <t>From source workbook</t>
      </text>
    </comment>
    <comment ref="B11" authorId="0" shapeId="0">
      <text>
        <t>From source workbook</t>
      </text>
    </comment>
    <comment ref="B15" authorId="0" shapeId="0">
      <text>
        <t>Composite of 6 key metrics</t>
      </text>
    </comment>
    <comment ref="B16" authorId="0" shapeId="0">
      <text>
        <t>From IMP-12: '[ISMS-IMP-A.8.8.12.xlsx]Metric_Definitions'!P1</t>
      </text>
    </comment>
    <comment ref="B17" authorId="0" shapeId="0">
      <text>
        <t>From IMP-12: '[ISMS-IMP-A.8.8.12.xlsx]Metric_Definitions'!P31</t>
      </text>
    </comment>
    <comment ref="B18" authorId="0" shapeId="0">
      <text>
        <t>From IMP-12: '[ISMS-IMP-A.8.8.12.xlsx]Metric_Definitions'!P39</t>
      </text>
    </comment>
    <comment ref="B19" authorId="0" shapeId="0">
      <text>
        <t>From IMP-12: '[ISMS-IMP-A.8.8.12.xlsx]Metric_Definitions'!P53</t>
      </text>
    </comment>
    <comment ref="B20" authorId="0" shapeId="0">
      <text>
        <t>From IMP-12: '[ISMS-IMP-A.8.8.12.xlsx]Metric_Definitions'!P38</t>
      </text>
    </comment>
    <comment ref="B21" authorId="0" shapeId="0">
      <text>
        <t>From IMP-12: '[ISMS-IMP-A.8.8.12.xlsx]Metric_Definitions'!P21</t>
      </text>
    </comment>
    <comment ref="B22" authorId="0" shapeId="0">
      <text>
        <t>From IMP-12: '[ISMS-IMP-A.8.8.12.xlsx]Metric_Definitions'!P24</t>
      </text>
    </comment>
    <comment ref="B23" authorId="0" shapeId="0">
      <text>
        <t>From IMP-12: '[ISMS-IMP-A.8.8.12.xlsx]Metric_Definitions'!P61</t>
      </text>
    </comment>
    <comment ref="B24" authorId="0" shapeId="0">
      <text>
        <t>From IMP-12: '[ISMS-IMP-A.8.8.12.xlsx]Metric_Definitions'!P3</t>
      </text>
    </comment>
    <comment ref="B25" authorId="0" shapeId="0">
      <text>
        <t>From IMP-12: '[ISMS-IMP-A.8.8.12.xlsx]Metric_Definitions'!P50</t>
      </text>
    </comment>
    <comment ref="B26" authorId="0" shapeId="0">
      <text>
        <t>Calculated</t>
      </text>
    </comment>
    <comment ref="B27" authorId="0" shapeId="0">
      <text>
        <t>From IMP-12: '[ISMS-IMP-A.8.8.12.xlsx]Metric_Definitions'!P12</t>
      </text>
    </comment>
    <comment ref="B31" authorId="0" shapeId="0">
      <text>
        <t>From IMP-12</t>
      </text>
    </comment>
    <comment ref="B32" authorId="0" shapeId="0">
      <text>
        <t>From IMP-12</t>
      </text>
    </comment>
    <comment ref="B33" authorId="0" shapeId="0">
      <text>
        <t>From IMP-12</t>
      </text>
    </comment>
    <comment ref="B34" authorId="0" shapeId="0">
      <text>
        <t>From IMP-12</t>
      </text>
    </comment>
    <comment ref="B35" authorId="0" shapeId="0">
      <text>
        <t>From IMP-12</t>
      </text>
    </comment>
    <comment ref="C39" authorId="0" shapeId="0">
      <text>
        <t>From IMP-12</t>
      </text>
    </comment>
    <comment ref="C40" authorId="0" shapeId="0">
      <text>
        <t>From IMP-12</t>
      </text>
    </comment>
    <comment ref="C41" authorId="0" shapeId="0">
      <text>
        <t>From IMP-12</t>
      </text>
    </comment>
    <comment ref="C42" authorId="0" shapeId="0">
      <text>
        <t>From IMP-12</t>
      </text>
    </comment>
    <comment ref="C43" authorId="0" shapeId="0">
      <text>
        <t>From IMP-12</t>
      </text>
    </comment>
    <comment ref="C44" authorId="0" shapeId="0">
      <text>
        <t>From IMP-12</t>
      </text>
    </comment>
  </commentList>
</comments>
</file>

<file path=xl/comments/comment2.xml><?xml version="1.0" encoding="utf-8"?>
<comments xmlns="http://schemas.openxmlformats.org/spreadsheetml/2006/main">
  <authors>
    <author>System</author>
  </authors>
  <commentList>
    <comment ref="C27" authorId="0" shapeId="0">
      <text>
        <t>Reference to implementation procedure</t>
      </text>
    </comment>
    <comment ref="C28" authorId="0" shapeId="0">
      <text>
        <t>Reference to implementation procedure</t>
      </text>
    </comment>
    <comment ref="C29" authorId="0" shapeId="0">
      <text>
        <t>Reference to implementation procedure</t>
      </text>
    </comment>
    <comment ref="C30" authorId="0" shapeId="0">
      <text>
        <t>Reference to implementation procedure</t>
      </text>
    </comment>
    <comment ref="C31" authorId="0" shapeId="0">
      <text>
        <t>Reference to implementation procedure</t>
      </text>
    </comment>
    <comment ref="C32" authorId="0" shapeId="0">
      <text>
        <t>Reference to implementation procedure</t>
      </text>
    </comment>
    <comment ref="C33" authorId="0" shapeId="0">
      <text>
        <t>Reference to implementation procedure</t>
      </text>
    </comment>
    <comment ref="C34" authorId="0" shapeId="0">
      <text>
        <t>Reference to implementation procedure</t>
      </text>
    </comment>
    <comment ref="C35" authorId="0" shapeId="0">
      <text>
        <t>Reference to implementation procedure</t>
      </text>
    </comment>
    <comment ref="C36" authorId="0" shapeId="0">
      <text>
        <t>Reference to implementation procedure</t>
      </text>
    </comment>
    <comment ref="C37" authorId="0" shapeId="0">
      <text>
        <t>Reference to implementation procedure</t>
      </text>
    </comment>
    <comment ref="C38" authorId="0" shapeId="0">
      <text>
        <t>Reference to implementation procedure</t>
      </text>
    </comment>
    <comment ref="C39" authorId="0" shapeId="0">
      <text>
        <t>Reference to implementation procedure</t>
      </text>
    </comment>
    <comment ref="C40" authorId="0" shapeId="0">
      <text>
        <t>Reference to implementation procedure</t>
      </text>
    </comment>
    <comment ref="C41" authorId="0" shapeId="0">
      <text>
        <t>Reference to implementation procedure</t>
      </text>
    </comment>
    <comment ref="C42" authorId="0" shapeId="0">
      <text>
        <t>Reference to implementation procedure</t>
      </text>
    </comment>
    <comment ref="C43" authorId="0" shapeId="0">
      <text>
        <t>Reference to implementation procedure</t>
      </text>
    </comment>
    <comment ref="C44" authorId="0" shapeId="0">
      <text>
        <t>Reference to implementation procedure</t>
      </text>
    </comment>
    <comment ref="D64" authorId="0" shapeId="0">
      <text>
        <t>Auto-calculated</t>
      </text>
    </comment>
    <comment ref="D86" authorId="0" shapeId="0">
      <text>
        <t>Auto-calculated from checklist</t>
      </text>
    </comment>
  </commentList>
</comments>
</file>

<file path=xl/comments/comment3.xml><?xml version="1.0" encoding="utf-8"?>
<comments xmlns="http://schemas.openxmlformats.org/spreadsheetml/2006/main">
  <authors>
    <author>System</author>
  </authors>
  <commentList>
    <comment ref="D38" authorId="0" shapeId="0">
      <text>
        <t>Auto-calculated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6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40" customHeight="1">
      <c r="A1" s="1" t="inlineStr">
        <is>
          <t>VULNERABILITY MANAGEMENT PROGRAM - EXECUTIVE SUMMARY</t>
        </is>
      </c>
    </row>
    <row r="2">
      <c r="A2" s="2" t="inlineStr">
        <is>
          <t>Reporting Period: 31.01.2026</t>
        </is>
      </c>
      <c r="E2" s="3">
        <f>IF(AND(B6=0,B7=0,B8=0,B9=0,B10=0,B11=0),"🟢 GREEN",IF(OR(B6&gt;5,B7&gt;2,B9&gt;5,B10&gt;3),"🔴 RED","🟡 YELLOW"))</f>
        <v/>
      </c>
    </row>
    <row r="5" ht="25" customHeight="1">
      <c r="A5" s="4" t="inlineStr">
        <is>
          <t>🔴 CRITICAL ALERTS (IMMEDIATE ATTENTION)</t>
        </is>
      </c>
    </row>
    <row r="6">
      <c r="A6" s="5" t="inlineStr">
        <is>
          <t>P0 Emergency Vulnerabilities</t>
        </is>
      </c>
      <c r="B6" s="6" t="inlineStr">
        <is>
          <t>'[ISMS-IMP-A.8.8.7.xlsx]Dashboard'!B7</t>
        </is>
      </c>
      <c r="C6" s="7" t="inlineStr">
        <is>
          <t>Target: 0</t>
        </is>
      </c>
      <c r="D6" s="8">
        <f>IF(B6=0,"🟢","🔴")</f>
        <v/>
      </c>
    </row>
    <row r="7">
      <c r="A7" s="5" t="inlineStr">
        <is>
          <t>Critical Residual Risk</t>
        </is>
      </c>
      <c r="B7" s="6" t="inlineStr">
        <is>
          <t>'[ISMS-IMP-A.8.8.10.xlsx]Dashboard'!B7</t>
        </is>
      </c>
      <c r="C7" s="7" t="inlineStr">
        <is>
          <t>Target: 0</t>
        </is>
      </c>
      <c r="D7" s="8">
        <f>IF(B7=0,"🟢","🔴")</f>
        <v/>
      </c>
    </row>
    <row r="8">
      <c r="A8" s="5" t="inlineStr">
        <is>
          <t>Expired Exceptions</t>
        </is>
      </c>
      <c r="B8" s="6" t="inlineStr">
        <is>
          <t>'[ISMS-IMP-A.8.8.10.xlsx]Dashboard'!B10</t>
        </is>
      </c>
      <c r="C8" s="7" t="inlineStr">
        <is>
          <t>Target: 0</t>
        </is>
      </c>
      <c r="D8" s="8">
        <f>IF(B8=0,"🟢","🔴")</f>
        <v/>
      </c>
    </row>
    <row r="9">
      <c r="A9" s="5" t="inlineStr">
        <is>
          <t>SLA Violations (Active)</t>
        </is>
      </c>
      <c r="B9" s="6" t="inlineStr">
        <is>
          <t>'[ISMS-IMP-A.8.8.7.xlsx]Dashboard'!B10</t>
        </is>
      </c>
      <c r="C9" s="7" t="inlineStr">
        <is>
          <t>Target: 0</t>
        </is>
      </c>
      <c r="D9" s="8">
        <f>IF(B9=0,"🟢","🔴")</f>
        <v/>
      </c>
    </row>
    <row r="10">
      <c r="A10" s="5" t="inlineStr">
        <is>
          <t>Failed Deployments (7d)</t>
        </is>
      </c>
      <c r="B10" s="6" t="inlineStr">
        <is>
          <t>'[ISMS-IMP-A.8.8.12.xlsx]Metric_Definitions'!P41</t>
        </is>
      </c>
      <c r="C10" s="7" t="inlineStr">
        <is>
          <t>Target: 0</t>
        </is>
      </c>
      <c r="D10" s="8">
        <f>IF(B10=0,"🟢","🔴")</f>
        <v/>
      </c>
    </row>
    <row r="11">
      <c r="A11" s="5" t="inlineStr">
        <is>
          <t>Overdue Verifications</t>
        </is>
      </c>
      <c r="B11" s="6" t="inlineStr">
        <is>
          <t>'[ISMS-IMP-A.8.8.11.xlsx]Dashboard'!B7</t>
        </is>
      </c>
      <c r="C11" s="7" t="inlineStr">
        <is>
          <t>Target: 0</t>
        </is>
      </c>
      <c r="D11" s="8">
        <f>IF(B11=0,"🟢","🔴")</f>
        <v/>
      </c>
    </row>
    <row r="13">
      <c r="A13" s="9" t="inlineStr">
        <is>
          <t>📊 STRATEGIC KPIs (14 KEY METRICS)</t>
        </is>
      </c>
    </row>
    <row r="14">
      <c r="A14" s="10" t="inlineStr">
        <is>
          <t>KPI</t>
        </is>
      </c>
      <c r="B14" s="10" t="inlineStr">
        <is>
          <t>Current</t>
        </is>
      </c>
      <c r="C14" s="10" t="inlineStr">
        <is>
          <t>Target</t>
        </is>
      </c>
      <c r="D14" s="10" t="inlineStr">
        <is>
          <t>Status</t>
        </is>
      </c>
    </row>
    <row r="15">
      <c r="A15" t="inlineStr">
        <is>
          <t>Program Health Score (%)</t>
        </is>
      </c>
      <c r="B15" s="11">
        <f>AVERAGE(IF(B17&gt;0.95,100,IF(B17&gt;0.90,80,50)),IF(B18&gt;0.98,100,IF(B18&gt;0.95,80,50)),IF(B19&gt;0.95,100,IF(B19&gt;0.90,80,50)),IF(B20&lt;14,100,IF(B20&lt;21,80,50)),IF(B16&lt;500,100,IF(B16&lt;750,80,50)),IF(B21&lt;500,100,IF(B21&lt;1000,80,50)))/100</f>
        <v/>
      </c>
      <c r="C15" t="inlineStr">
        <is>
          <t>&gt;85%</t>
        </is>
      </c>
      <c r="D15" s="7">
        <f>IF(B15&gt;=0.85,"🟢",IF(B15&gt;=0.75,"🟡","🔴"))</f>
        <v/>
      </c>
    </row>
    <row r="16">
      <c r="A16" s="12" t="inlineStr">
        <is>
          <t>Total Active Vulnerabilities</t>
        </is>
      </c>
      <c r="B16" s="8" t="inlineStr">
        <is>
          <t>'[ISMS-IMP-A.8.8.12.xlsx]Metric_Definitions'!P1</t>
        </is>
      </c>
      <c r="C16" s="7" t="inlineStr">
        <is>
          <t>&lt;500</t>
        </is>
      </c>
      <c r="D16" s="7">
        <f>IF(B16="","⚪",IF(OR(B16="✅",B16&gt;0.9),"🟢","🟡"))</f>
        <v/>
      </c>
    </row>
    <row r="17">
      <c r="A17" s="12" t="inlineStr">
        <is>
          <t>SLA Compliance %</t>
        </is>
      </c>
      <c r="B17" s="13" t="inlineStr">
        <is>
          <t>'[ISMS-IMP-A.8.8.12.xlsx]Metric_Definitions'!P31</t>
        </is>
      </c>
      <c r="C17" s="7" t="inlineStr">
        <is>
          <t>&gt;95%</t>
        </is>
      </c>
      <c r="D17" s="7">
        <f>IF(B17="","⚪",IF(OR(B17="✅",B17&gt;0.9),"🟢","🟡"))</f>
        <v/>
      </c>
    </row>
    <row r="18">
      <c r="A18" s="12" t="inlineStr">
        <is>
          <t>Deployment Success %</t>
        </is>
      </c>
      <c r="B18" s="13" t="inlineStr">
        <is>
          <t>'[ISMS-IMP-A.8.8.12.xlsx]Metric_Definitions'!P39</t>
        </is>
      </c>
      <c r="C18" s="7" t="inlineStr">
        <is>
          <t>&gt;98%</t>
        </is>
      </c>
      <c r="D18" s="7">
        <f>IF(B18="","⚪",IF(OR(B18="✅",B18&gt;0.9),"🟢","🟡"))</f>
        <v/>
      </c>
    </row>
    <row r="19">
      <c r="A19" s="12" t="inlineStr">
        <is>
          <t>Verification Success %</t>
        </is>
      </c>
      <c r="B19" s="13" t="inlineStr">
        <is>
          <t>'[ISMS-IMP-A.8.8.12.xlsx]Metric_Definitions'!P53</t>
        </is>
      </c>
      <c r="C19" s="7" t="inlineStr">
        <is>
          <t>&gt;95%</t>
        </is>
      </c>
      <c r="D19" s="7">
        <f>IF(B19="","⚪",IF(OR(B19="✅",B19&gt;0.9),"🟢","🟡"))</f>
        <v/>
      </c>
    </row>
    <row r="20">
      <c r="A20" s="12" t="inlineStr">
        <is>
          <t>Avg Remediation Time (days)</t>
        </is>
      </c>
      <c r="B20" s="8" t="inlineStr">
        <is>
          <t>'[ISMS-IMP-A.8.8.12.xlsx]Metric_Definitions'!P38</t>
        </is>
      </c>
      <c r="C20" s="7" t="inlineStr">
        <is>
          <t>&lt;14</t>
        </is>
      </c>
      <c r="D20" s="7">
        <f>IF(B20="","⚪",IF(OR(B20="✅",B20&gt;0.9),"🟢","🟡"))</f>
        <v/>
      </c>
    </row>
    <row r="21">
      <c r="A21" s="12" t="inlineStr">
        <is>
          <t>Total Risk Score</t>
        </is>
      </c>
      <c r="B21" s="8" t="inlineStr">
        <is>
          <t>'[ISMS-IMP-A.8.8.12.xlsx]Metric_Definitions'!P21</t>
        </is>
      </c>
      <c r="C21" s="7" t="inlineStr">
        <is>
          <t>&lt;500</t>
        </is>
      </c>
      <c r="D21" s="7">
        <f>IF(B21="","⚪",IF(OR(B21="✅",B21&gt;0.9),"🟢","🟡"))</f>
        <v/>
      </c>
    </row>
    <row r="22">
      <c r="A22" s="12" t="inlineStr">
        <is>
          <t>Financial Exposure (CHF)</t>
        </is>
      </c>
      <c r="B22" s="14" t="inlineStr">
        <is>
          <t>'[ISMS-IMP-A.8.8.12.xlsx]Metric_Definitions'!P24</t>
        </is>
      </c>
      <c r="C22" s="7" t="inlineStr">
        <is>
          <t>&lt;500'000</t>
        </is>
      </c>
      <c r="D22" s="7">
        <f>IF(B22="","⚪",IF(OR(B22="✅",B22&gt;0.9),"🟢","🟡"))</f>
        <v/>
      </c>
    </row>
    <row r="23">
      <c r="A23" s="12" t="inlineStr">
        <is>
          <t>Active Exceptions</t>
        </is>
      </c>
      <c r="B23" s="8" t="inlineStr">
        <is>
          <t>'[ISMS-IMP-A.8.8.12.xlsx]Metric_Definitions'!P61</t>
        </is>
      </c>
      <c r="C23" s="7" t="inlineStr">
        <is>
          <t>&lt;30</t>
        </is>
      </c>
      <c r="D23" s="7">
        <f>IF(B23="","⚪",IF(OR(B23="✅",B23&gt;0.9),"🟢","🟡"))</f>
        <v/>
      </c>
    </row>
    <row r="24">
      <c r="A24" s="12" t="inlineStr">
        <is>
          <t>Discovery Rate (30d)</t>
        </is>
      </c>
      <c r="B24" s="8" t="inlineStr">
        <is>
          <t>'[ISMS-IMP-A.8.8.12.xlsx]Metric_Definitions'!P3</t>
        </is>
      </c>
      <c r="C24" s="7" t="inlineStr">
        <is>
          <t>Track</t>
        </is>
      </c>
      <c r="D24" s="7">
        <f>IF(B24="","⚪",IF(OR(B24="✅",B24&gt;0.9),"🟢","🟡"))</f>
        <v/>
      </c>
    </row>
    <row r="25">
      <c r="A25" s="12" t="inlineStr">
        <is>
          <t>Closure Rate (30d)</t>
        </is>
      </c>
      <c r="B25" s="8" t="inlineStr">
        <is>
          <t>'[ISMS-IMP-A.8.8.12.xlsx]Metric_Definitions'!P50</t>
        </is>
      </c>
      <c r="C25" s="7" t="inlineStr">
        <is>
          <t>&gt;Discovery</t>
        </is>
      </c>
      <c r="D25" s="7">
        <f>IF(B25="","⚪",IF(OR(B25="✅",B25&gt;0.9),"🟢","🟡"))</f>
        <v/>
      </c>
    </row>
    <row r="26">
      <c r="A26" s="12" t="inlineStr">
        <is>
          <t>Net Vuln Change</t>
        </is>
      </c>
      <c r="B26" s="8">
        <f>B24-B23</f>
        <v/>
      </c>
      <c r="C26" s="7" t="inlineStr">
        <is>
          <t>≤0</t>
        </is>
      </c>
      <c r="D26" s="7">
        <f>IF(B26="","⚪",IF(OR(B26="✅",B26&gt;0.9),"🟢","🟡"))</f>
        <v/>
      </c>
    </row>
    <row r="27">
      <c r="A27" s="12" t="inlineStr">
        <is>
          <t>CVSS v4.0 Adoption %</t>
        </is>
      </c>
      <c r="B27" s="13" t="inlineStr">
        <is>
          <t>'[ISMS-IMP-A.8.8.12.xlsx]Metric_Definitions'!P12</t>
        </is>
      </c>
      <c r="C27" s="7" t="inlineStr">
        <is>
          <t>&gt;70%</t>
        </is>
      </c>
      <c r="D27" s="7">
        <f>IF(B27="","⚪",IF(OR(B27="✅",B27&gt;0.9),"🟢","🟡"))</f>
        <v/>
      </c>
    </row>
    <row r="28">
      <c r="A28" s="12" t="inlineStr">
        <is>
          <t>Policy Compliance</t>
        </is>
      </c>
      <c r="B28" s="15" t="inlineStr">
        <is>
          <t>[Manual]</t>
        </is>
      </c>
      <c r="C28" s="7" t="inlineStr">
        <is>
          <t>✅</t>
        </is>
      </c>
      <c r="D28" s="16" t="inlineStr">
        <is>
          <t>⚪</t>
        </is>
      </c>
    </row>
    <row r="29">
      <c r="A29" s="9" t="inlineStr">
        <is>
          <t>⚠️ RISK POSTURE</t>
        </is>
      </c>
    </row>
    <row r="30">
      <c r="A30" s="10" t="inlineStr">
        <is>
          <t>Risk Category</t>
        </is>
      </c>
      <c r="B30" s="10" t="inlineStr">
        <is>
          <t>Count</t>
        </is>
      </c>
      <c r="C30" s="10" t="inlineStr">
        <is>
          <t>Target</t>
        </is>
      </c>
      <c r="D30" s="10" t="inlineStr">
        <is>
          <t>Status</t>
        </is>
      </c>
    </row>
    <row r="31">
      <c r="A31" t="inlineStr">
        <is>
          <t>Critical Risk</t>
        </is>
      </c>
      <c r="B31" s="8" t="inlineStr">
        <is>
          <t>'[ISMS-IMP-A.8.8.12.xlsx]Metric_Definitions'!P22</t>
        </is>
      </c>
      <c r="C31" s="7" t="inlineStr">
        <is>
          <t>&lt;5</t>
        </is>
      </c>
      <c r="D31" s="8">
        <f>IF(B31&lt;5,"🟢",IF(B31&lt;5*1.5,"🟡","🔴"))</f>
        <v/>
      </c>
    </row>
    <row r="32">
      <c r="A32" t="inlineStr">
        <is>
          <t>High Risk</t>
        </is>
      </c>
      <c r="B32" s="8" t="inlineStr">
        <is>
          <t>'[ISMS-IMP-A.8.8.12.xlsx]Metric_Definitions'!P23</t>
        </is>
      </c>
      <c r="C32" s="7" t="inlineStr">
        <is>
          <t>&lt;20</t>
        </is>
      </c>
      <c r="D32" s="8">
        <f>IF(B32&lt;20,"🟢",IF(B32&lt;20*1.5,"🟡","🔴"))</f>
        <v/>
      </c>
    </row>
    <row r="33">
      <c r="A33" t="inlineStr">
        <is>
          <t>Wormable (AU=Y)</t>
        </is>
      </c>
      <c r="B33" s="8" t="inlineStr">
        <is>
          <t>'[ISMS-IMP-A.8.8.12.xlsx]Metric_Definitions'!P16</t>
        </is>
      </c>
      <c r="C33" s="7" t="inlineStr">
        <is>
          <t>0</t>
        </is>
      </c>
      <c r="D33" s="8">
        <f>IF(B33=0,"🟢","🔴")</f>
        <v/>
      </c>
    </row>
    <row r="34">
      <c r="A34" t="inlineStr">
        <is>
          <t>KEV-Listed</t>
        </is>
      </c>
      <c r="B34" s="8" t="inlineStr">
        <is>
          <t>'[ISMS-IMP-A.8.8.12.xlsx]Metric_Definitions'!P18</t>
        </is>
      </c>
      <c r="C34" s="7" t="inlineStr">
        <is>
          <t>0</t>
        </is>
      </c>
      <c r="D34" s="8">
        <f>IF(B34=0,"🟢","🔴")</f>
        <v/>
      </c>
    </row>
    <row r="35">
      <c r="A35" t="inlineStr">
        <is>
          <t>Safety-Critical (OT/ICS)</t>
        </is>
      </c>
      <c r="B35" s="8" t="inlineStr">
        <is>
          <t>'[ISMS-IMP-A.8.8.12.xlsx]Metric_Definitions'!P17</t>
        </is>
      </c>
      <c r="C35" s="7" t="inlineStr">
        <is>
          <t>0</t>
        </is>
      </c>
      <c r="D35" s="8">
        <f>IF(B35=0,"🟢","🔴")</f>
        <v/>
      </c>
    </row>
    <row r="37">
      <c r="A37" s="9" t="inlineStr">
        <is>
          <t>🎯 PROGRAM STATUS (6 COMPONENTS)</t>
        </is>
      </c>
    </row>
    <row r="38">
      <c r="A38" s="10" t="inlineStr">
        <is>
          <t>Component</t>
        </is>
      </c>
      <c r="B38" s="10" t="inlineStr">
        <is>
          <t>Status</t>
        </is>
      </c>
      <c r="C38" s="10" t="inlineStr">
        <is>
          <t>Key Metric</t>
        </is>
      </c>
      <c r="D38" s="10" t="inlineStr">
        <is>
          <t>Notes</t>
        </is>
      </c>
    </row>
    <row r="39">
      <c r="A39" s="17" t="inlineStr">
        <is>
          <t>🔍 Discovery</t>
        </is>
      </c>
      <c r="B39" s="18" t="inlineStr">
        <is>
          <t>🟢</t>
        </is>
      </c>
      <c r="C39" s="8" t="inlineStr">
        <is>
          <t>'[ISMS-IMP-A.8.8.12.xlsx]Metric_Definitions'!P6</t>
        </is>
      </c>
      <c r="D39" s="19" t="inlineStr">
        <is>
          <t>IMP-1,2,5: Scanner uptime</t>
        </is>
      </c>
    </row>
    <row r="40">
      <c r="A40" s="17" t="inlineStr">
        <is>
          <t>⚖️ Assessment</t>
        </is>
      </c>
      <c r="B40" s="18" t="inlineStr">
        <is>
          <t>🟢</t>
        </is>
      </c>
      <c r="C40" s="8" t="inlineStr">
        <is>
          <t>'[ISMS-IMP-A.8.8.12.xlsx]Metric_Definitions'!P77</t>
        </is>
      </c>
      <c r="D40" s="19" t="inlineStr">
        <is>
          <t>IMP-3,4,6: Risk backlog</t>
        </is>
      </c>
    </row>
    <row r="41">
      <c r="A41" s="17" t="inlineStr">
        <is>
          <t>🎯 Prioritization</t>
        </is>
      </c>
      <c r="B41" s="18" t="inlineStr">
        <is>
          <t>🟢</t>
        </is>
      </c>
      <c r="C41" s="8" t="inlineStr">
        <is>
          <t>'[ISMS-IMP-A.8.8.12.xlsx]Metric_Definitions'!P31</t>
        </is>
      </c>
      <c r="D41" s="19" t="inlineStr">
        <is>
          <t>IMP-7: SLA compliance</t>
        </is>
      </c>
    </row>
    <row r="42">
      <c r="A42" s="17" t="inlineStr">
        <is>
          <t>🔧 Remediation</t>
        </is>
      </c>
      <c r="B42" s="18" t="inlineStr">
        <is>
          <t>🟢</t>
        </is>
      </c>
      <c r="C42" s="8" t="inlineStr">
        <is>
          <t>'[ISMS-IMP-A.8.8.12.xlsx]Metric_Definitions'!P39</t>
        </is>
      </c>
      <c r="D42" s="19" t="inlineStr">
        <is>
          <t>IMP-8,9: Deployment success</t>
        </is>
      </c>
    </row>
    <row r="43">
      <c r="A43" s="17" t="inlineStr">
        <is>
          <t>✅ Validation</t>
        </is>
      </c>
      <c r="B43" s="18" t="inlineStr">
        <is>
          <t>🟢</t>
        </is>
      </c>
      <c r="C43" s="8" t="inlineStr">
        <is>
          <t>'[ISMS-IMP-A.8.8.12.xlsx]Metric_Definitions'!P53</t>
        </is>
      </c>
      <c r="D43" s="19" t="inlineStr">
        <is>
          <t>IMP-11: Verification success</t>
        </is>
      </c>
    </row>
    <row r="44">
      <c r="A44" s="17" t="inlineStr">
        <is>
          <t>⚠️ Exceptions</t>
        </is>
      </c>
      <c r="B44" s="18" t="inlineStr">
        <is>
          <t>🟡</t>
        </is>
      </c>
      <c r="C44" s="8" t="inlineStr">
        <is>
          <t>'[ISMS-IMP-A.8.8.12.xlsx]Metric_Definitions'!P61</t>
        </is>
      </c>
      <c r="D44" s="19" t="inlineStr">
        <is>
          <t>IMP-10: Total exceptions</t>
        </is>
      </c>
    </row>
    <row r="45">
      <c r="A45" s="9" t="inlineStr">
        <is>
          <t>💬 EXECUTIVE SUMMARY (CISO)</t>
        </is>
      </c>
    </row>
    <row r="46">
      <c r="A46" s="17" t="inlineStr">
        <is>
          <t>Key Achievements:</t>
        </is>
      </c>
    </row>
    <row r="47" ht="40" customHeight="1">
      <c r="A47" s="20" t="inlineStr">
        <is>
          <t>[Update monthly with key achievements - 3-5 bullet points]</t>
        </is>
      </c>
    </row>
    <row r="48"/>
    <row r="49"/>
    <row r="50">
      <c r="A50" s="17" t="inlineStr">
        <is>
          <t>Critical Issues &amp; Risks:</t>
        </is>
      </c>
    </row>
    <row r="51" ht="40" customHeight="1">
      <c r="A51" s="20" t="inlineStr">
        <is>
          <t>[Update monthly with critical issues - 2-4 bullet points]</t>
        </is>
      </c>
    </row>
    <row r="52"/>
    <row r="53"/>
    <row r="54">
      <c r="A54" s="17" t="inlineStr">
        <is>
          <t>Board Decisions Required:</t>
        </is>
      </c>
    </row>
    <row r="55" ht="40" customHeight="1">
      <c r="A55" s="20" t="inlineStr">
        <is>
          <t>[Update with board action items - 0-3 items]</t>
        </is>
      </c>
    </row>
    <row r="56"/>
    <row r="57"/>
    <row r="58">
      <c r="A58" s="17" t="inlineStr">
        <is>
          <t>Next Month Outlook:</t>
        </is>
      </c>
    </row>
    <row r="59">
      <c r="A59" s="20" t="inlineStr">
        <is>
          <t>[1-2 sentence outlook]</t>
        </is>
      </c>
    </row>
    <row r="60"/>
    <row r="62">
      <c r="A62" s="17" t="inlineStr">
        <is>
          <t>VM Coordinator: _____________________</t>
        </is>
      </c>
      <c r="E62" s="17" t="inlineStr">
        <is>
          <t>Date: _____________</t>
        </is>
      </c>
    </row>
    <row r="63">
      <c r="A63" s="17" t="inlineStr">
        <is>
          <t>CISO: _____________________</t>
        </is>
      </c>
      <c r="E63" s="17" t="inlineStr">
        <is>
          <t>Date: _____________</t>
        </is>
      </c>
    </row>
    <row r="64">
      <c r="A64" s="17" t="inlineStr">
        <is>
          <t>Board Acknowledged: _____________________</t>
        </is>
      </c>
      <c r="E64" s="17" t="inlineStr">
        <is>
          <t>Date: _____________</t>
        </is>
      </c>
    </row>
    <row r="65">
      <c r="A65" s="21" t="inlineStr">
        <is>
          <t>Next Review Date: _____________</t>
        </is>
      </c>
    </row>
  </sheetData>
  <mergeCells count="23">
    <mergeCell ref="A62:D62"/>
    <mergeCell ref="A1:H1"/>
    <mergeCell ref="A45:H45"/>
    <mergeCell ref="A63:D63"/>
    <mergeCell ref="A65:H65"/>
    <mergeCell ref="A51:H53"/>
    <mergeCell ref="A54:H54"/>
    <mergeCell ref="A64:D64"/>
    <mergeCell ref="E62:H62"/>
    <mergeCell ref="A46:H46"/>
    <mergeCell ref="A37:H37"/>
    <mergeCell ref="A50:H50"/>
    <mergeCell ref="E64:H64"/>
    <mergeCell ref="A59:H60"/>
    <mergeCell ref="A55:H57"/>
    <mergeCell ref="A5:H5"/>
    <mergeCell ref="E63:H63"/>
    <mergeCell ref="A29:H29"/>
    <mergeCell ref="A47:H49"/>
    <mergeCell ref="A13:H13"/>
    <mergeCell ref="A2:D2"/>
    <mergeCell ref="E2:H2"/>
    <mergeCell ref="A58:H58"/>
  </mergeCells>
  <pageMargins left="0.5" right="0.5" top="0.5" bottom="0.5" header="0.5" footer="0.5"/>
  <pageSetup orientation="landscape" paperSize="9" fitToHeight="1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35" customWidth="1" min="3" max="3"/>
    <col width="25" customWidth="1" min="4" max="4"/>
    <col width="20" customWidth="1" min="5" max="5"/>
  </cols>
  <sheetData>
    <row r="1" ht="30" customHeight="1">
      <c r="A1" s="22" t="inlineStr">
        <is>
          <t>ISO 27001:2022 CONTROL A.8.8 COMPLIANCE STATUS</t>
        </is>
      </c>
    </row>
    <row r="2">
      <c r="A2" s="23" t="inlineStr">
        <is>
          <t>"Information on technical vulnerabilities...shall be obtained, evaluated, and appropriate measures taken"</t>
        </is>
      </c>
    </row>
    <row r="4">
      <c r="A4" s="24" t="inlineStr">
        <is>
          <t>SECTION A: ISO 27001:2022 A.8.8 CONTROL REQUIREMENTS</t>
        </is>
      </c>
    </row>
    <row r="6">
      <c r="A6" s="25" t="inlineStr">
        <is>
          <t>Control Requirement</t>
        </is>
      </c>
      <c r="B6" s="25" t="inlineStr">
        <is>
          <t>Status</t>
        </is>
      </c>
      <c r="C6" s="25" t="inlineStr">
        <is>
          <t>Evidence Location</t>
        </is>
      </c>
      <c r="D6" s="25" t="inlineStr">
        <is>
          <t>Last Verified</t>
        </is>
      </c>
      <c r="E6" s="25" t="inlineStr">
        <is>
          <t>Next Review</t>
        </is>
      </c>
    </row>
    <row r="7">
      <c r="A7" t="inlineStr">
        <is>
          <t>"Information...shall be obtained"</t>
        </is>
      </c>
      <c r="B7" s="26" t="inlineStr">
        <is>
          <t>✅</t>
        </is>
      </c>
      <c r="C7" s="27" t="inlineStr">
        <is>
          <t>IMP-1 (Scanning), IMP-2 (Coverage), IMP-5 (Inventory)</t>
        </is>
      </c>
      <c r="D7" s="28" t="inlineStr">
        <is>
          <t>31.01.2026</t>
        </is>
      </c>
      <c r="E7" s="16" t="inlineStr">
        <is>
          <t>Q2 2026</t>
        </is>
      </c>
    </row>
    <row r="8">
      <c r="A8" t="inlineStr">
        <is>
          <t>"...exposure...shall be evaluated"</t>
        </is>
      </c>
      <c r="B8" s="26" t="inlineStr">
        <is>
          <t>✅</t>
        </is>
      </c>
      <c r="C8" s="27" t="inlineStr">
        <is>
          <t>IMP-3 (CVSS), IMP-4 (TI), IMP-6 (Risk), IMP-7 (Priority)</t>
        </is>
      </c>
      <c r="D8" s="28" t="inlineStr">
        <is>
          <t>31.01.2026</t>
        </is>
      </c>
      <c r="E8" s="16" t="inlineStr">
        <is>
          <t>Q2 2026</t>
        </is>
      </c>
    </row>
    <row r="9">
      <c r="A9" t="inlineStr">
        <is>
          <t>"...appropriate measures...shall be taken"</t>
        </is>
      </c>
      <c r="B9" s="26" t="inlineStr">
        <is>
          <t>✅</t>
        </is>
      </c>
      <c r="C9" s="27" t="inlineStr">
        <is>
          <t>IMP-8 (Remediation), IMP-9 (Compensating), IMP-11 (Verification)</t>
        </is>
      </c>
      <c r="D9" s="28" t="inlineStr">
        <is>
          <t>31.01.2026</t>
        </is>
      </c>
      <c r="E9" s="16" t="inlineStr">
        <is>
          <t>Q2 2026</t>
        </is>
      </c>
    </row>
    <row r="10">
      <c r="A10" t="inlineStr">
        <is>
          <t>Exception handling documented</t>
        </is>
      </c>
      <c r="B10" s="26" t="inlineStr">
        <is>
          <t>✅</t>
        </is>
      </c>
      <c r="C10" s="27" t="inlineStr">
        <is>
          <t>IMP-10 (Exception Management)</t>
        </is>
      </c>
      <c r="D10" s="28" t="inlineStr">
        <is>
          <t>31.01.2026</t>
        </is>
      </c>
      <c r="E10" s="16" t="inlineStr">
        <is>
          <t>Q2 2026</t>
        </is>
      </c>
    </row>
    <row r="11">
      <c r="A11" t="inlineStr">
        <is>
          <t>Metrics &amp; reporting established</t>
        </is>
      </c>
      <c r="B11" s="26" t="inlineStr">
        <is>
          <t>✅</t>
        </is>
      </c>
      <c r="C11" s="27" t="inlineStr">
        <is>
          <t>IMP-12 (Metrics Dashboard)</t>
        </is>
      </c>
      <c r="D11" s="28" t="inlineStr">
        <is>
          <t>31.01.2026</t>
        </is>
      </c>
      <c r="E11" s="16" t="inlineStr">
        <is>
          <t>Q2 2026</t>
        </is>
      </c>
    </row>
    <row r="12">
      <c r="A12" t="inlineStr">
        <is>
          <t>Management oversight</t>
        </is>
      </c>
      <c r="B12" s="26" t="inlineStr">
        <is>
          <t>✅</t>
        </is>
      </c>
      <c r="C12" s="27" t="inlineStr">
        <is>
          <t>IMP-0 (Master Dashboard), CISO sign-off</t>
        </is>
      </c>
      <c r="D12" s="28" t="inlineStr">
        <is>
          <t>31.01.2026</t>
        </is>
      </c>
      <c r="E12" s="16" t="inlineStr">
        <is>
          <t>Q2 2026</t>
        </is>
      </c>
    </row>
    <row r="13">
      <c r="A13" t="inlineStr">
        <is>
          <t>Board-level reporting</t>
        </is>
      </c>
      <c r="B13" s="26" t="inlineStr">
        <is>
          <t>✅</t>
        </is>
      </c>
      <c r="C13" s="27" t="inlineStr">
        <is>
          <t>IMP-0 Sheet 1 (Executive Summary)</t>
        </is>
      </c>
      <c r="D13" s="28" t="inlineStr">
        <is>
          <t>31.01.2026</t>
        </is>
      </c>
      <c r="E13" s="16" t="inlineStr">
        <is>
          <t>Q2 2026</t>
        </is>
      </c>
    </row>
    <row r="14">
      <c r="A14" t="inlineStr">
        <is>
          <t>Vulnerability discovery process</t>
        </is>
      </c>
      <c r="B14" s="26" t="inlineStr">
        <is>
          <t>✅</t>
        </is>
      </c>
      <c r="C14" s="27" t="inlineStr">
        <is>
          <t>IMP-1: Scanner infrastructure operational</t>
        </is>
      </c>
      <c r="D14" s="28" t="inlineStr">
        <is>
          <t>31.01.2026</t>
        </is>
      </c>
      <c r="E14" s="16" t="inlineStr">
        <is>
          <t>Q2 2026</t>
        </is>
      </c>
    </row>
    <row r="15">
      <c r="A15" t="inlineStr">
        <is>
          <t>Network coverage verification</t>
        </is>
      </c>
      <c r="B15" s="26" t="inlineStr">
        <is>
          <t>✅</t>
        </is>
      </c>
      <c r="C15" s="27" t="inlineStr">
        <is>
          <t>IMP-2: 100% network segments mapped</t>
        </is>
      </c>
      <c r="D15" s="28" t="inlineStr">
        <is>
          <t>31.01.2026</t>
        </is>
      </c>
      <c r="E15" s="16" t="inlineStr">
        <is>
          <t>Q2 2026</t>
        </is>
      </c>
    </row>
    <row r="16">
      <c r="A16" t="inlineStr">
        <is>
          <t>Risk-based prioritization</t>
        </is>
      </c>
      <c r="B16" s="26" t="inlineStr">
        <is>
          <t>✅</t>
        </is>
      </c>
      <c r="C16" s="27" t="inlineStr">
        <is>
          <t>IMP-7: CVSS + business impact scoring</t>
        </is>
      </c>
      <c r="D16" s="28" t="inlineStr">
        <is>
          <t>31.01.2026</t>
        </is>
      </c>
      <c r="E16" s="16" t="inlineStr">
        <is>
          <t>Q2 2026</t>
        </is>
      </c>
    </row>
    <row r="17">
      <c r="A17" t="inlineStr">
        <is>
          <t>SLA-driven remediation</t>
        </is>
      </c>
      <c r="B17" s="26" t="inlineStr">
        <is>
          <t>✅</t>
        </is>
      </c>
      <c r="C17" s="27" t="inlineStr">
        <is>
          <t>IMP-8: P0/P1/P2/P3/P4 SLAs defined</t>
        </is>
      </c>
      <c r="D17" s="28" t="inlineStr">
        <is>
          <t>31.01.2026</t>
        </is>
      </c>
      <c r="E17" s="16" t="inlineStr">
        <is>
          <t>Q2 2026</t>
        </is>
      </c>
    </row>
    <row r="18">
      <c r="A18" t="inlineStr">
        <is>
          <t>Verification testing</t>
        </is>
      </c>
      <c r="B18" s="26" t="inlineStr">
        <is>
          <t>✅</t>
        </is>
      </c>
      <c r="C18" s="27" t="inlineStr">
        <is>
          <t>IMP-11: Post-remediation validation</t>
        </is>
      </c>
      <c r="D18" s="28" t="inlineStr">
        <is>
          <t>31.01.2026</t>
        </is>
      </c>
      <c r="E18" s="16" t="inlineStr">
        <is>
          <t>Q2 2026</t>
        </is>
      </c>
    </row>
    <row r="19">
      <c r="A19" t="inlineStr">
        <is>
          <t>Continuous monitoring</t>
        </is>
      </c>
      <c r="B19" s="26" t="inlineStr">
        <is>
          <t>✅</t>
        </is>
      </c>
      <c r="C19" s="27" t="inlineStr">
        <is>
          <t>IMP-1: Weekly scan minimum</t>
        </is>
      </c>
      <c r="D19" s="28" t="inlineStr">
        <is>
          <t>31.01.2026</t>
        </is>
      </c>
      <c r="E19" s="16" t="inlineStr">
        <is>
          <t>Q2 2026</t>
        </is>
      </c>
    </row>
    <row r="20">
      <c r="A20" t="inlineStr">
        <is>
          <t>Threat intelligence integration</t>
        </is>
      </c>
      <c r="B20" s="26" t="inlineStr">
        <is>
          <t>✅</t>
        </is>
      </c>
      <c r="C20" s="27" t="inlineStr">
        <is>
          <t>IMP-4: CISA KEV + optional feeds</t>
        </is>
      </c>
      <c r="D20" s="28" t="inlineStr">
        <is>
          <t>31.01.2026</t>
        </is>
      </c>
      <c r="E20" s="16" t="inlineStr">
        <is>
          <t>Q2 2026</t>
        </is>
      </c>
    </row>
    <row r="21">
      <c r="A21" t="inlineStr">
        <is>
          <t>Financial impact assessment</t>
        </is>
      </c>
      <c r="B21" s="26" t="inlineStr">
        <is>
          <t>✅</t>
        </is>
      </c>
      <c r="C21" s="27" t="inlineStr">
        <is>
          <t>IMP-6: Risk assessment with CHF exposure</t>
        </is>
      </c>
      <c r="D21" s="28" t="inlineStr">
        <is>
          <t>31.01.2026</t>
        </is>
      </c>
      <c r="E21" s="16" t="inlineStr">
        <is>
          <t>Q2 2026</t>
        </is>
      </c>
    </row>
    <row r="24">
      <c r="A24" s="24" t="inlineStr">
        <is>
          <t>SECTION B: ISMS-POL-A.8.8 POLICY COMPLIANCE</t>
        </is>
      </c>
    </row>
    <row r="26">
      <c r="A26" s="25" t="inlineStr">
        <is>
          <t>Policy Requirement</t>
        </is>
      </c>
      <c r="B26" s="25" t="inlineStr">
        <is>
          <t>Status</t>
        </is>
      </c>
      <c r="C26" s="25" t="inlineStr">
        <is>
          <t>Evidence</t>
        </is>
      </c>
      <c r="D26" s="25" t="inlineStr">
        <is>
          <t>Gap Analysis</t>
        </is>
      </c>
    </row>
    <row r="27">
      <c r="A27" t="inlineStr">
        <is>
          <t>Vulnerability scanning weekly minimum</t>
        </is>
      </c>
      <c r="B27" s="29" t="inlineStr">
        <is>
          <t>✅</t>
        </is>
      </c>
      <c r="C27" s="30" t="inlineStr">
        <is>
          <t>IMP-1: Scan schedule</t>
        </is>
      </c>
      <c r="D27" t="inlineStr">
        <is>
          <t>None</t>
        </is>
      </c>
    </row>
    <row r="28">
      <c r="A28" t="inlineStr">
        <is>
          <t>Network coverage ≥95%</t>
        </is>
      </c>
      <c r="B28" s="29" t="inlineStr">
        <is>
          <t>✅</t>
        </is>
      </c>
      <c r="C28" s="30" t="inlineStr">
        <is>
          <t>IMP-2: Coverage metrics</t>
        </is>
      </c>
      <c r="D28" t="inlineStr">
        <is>
          <t>None</t>
        </is>
      </c>
    </row>
    <row r="29">
      <c r="A29" t="inlineStr">
        <is>
          <t>CVSS v4.0 primary scoring</t>
        </is>
      </c>
      <c r="B29" s="29" t="inlineStr">
        <is>
          <t>✅</t>
        </is>
      </c>
      <c r="C29" s="30" t="inlineStr">
        <is>
          <t>IMP-3: Scoring policy</t>
        </is>
      </c>
      <c r="D29" t="inlineStr">
        <is>
          <t>v3.1 fallback maintained</t>
        </is>
      </c>
    </row>
    <row r="30">
      <c r="A30" t="inlineStr">
        <is>
          <t>Threat intelligence integration</t>
        </is>
      </c>
      <c r="B30" s="29" t="inlineStr">
        <is>
          <t>✅</t>
        </is>
      </c>
      <c r="C30" s="30" t="inlineStr">
        <is>
          <t>IMP-4: TI dashboard</t>
        </is>
      </c>
      <c r="D30" t="inlineStr">
        <is>
          <t>Manual mode acceptable</t>
        </is>
      </c>
    </row>
    <row r="31">
      <c r="A31" t="inlineStr">
        <is>
          <t>Complete vulnerability inventory</t>
        </is>
      </c>
      <c r="B31" s="29" t="inlineStr">
        <is>
          <t>✅</t>
        </is>
      </c>
      <c r="C31" s="30" t="inlineStr">
        <is>
          <t>IMP-5: Master inventory</t>
        </is>
      </c>
      <c r="D31" t="inlineStr">
        <is>
          <t>Real-time updates</t>
        </is>
      </c>
    </row>
    <row r="32">
      <c r="A32" t="inlineStr">
        <is>
          <t>Risk-based prioritization</t>
        </is>
      </c>
      <c r="B32" s="29" t="inlineStr">
        <is>
          <t>✅</t>
        </is>
      </c>
      <c r="C32" s="30" t="inlineStr">
        <is>
          <t>IMP-6, IMP-7: Risk + Priority</t>
        </is>
      </c>
      <c r="D32" t="inlineStr">
        <is>
          <t>Automated scoring</t>
        </is>
      </c>
    </row>
    <row r="33">
      <c r="A33" t="inlineStr">
        <is>
          <t>Remediation SLA compliance &gt;90%</t>
        </is>
      </c>
      <c r="B33" s="29" t="inlineStr">
        <is>
          <t>✅</t>
        </is>
      </c>
      <c r="C33" s="30" t="inlineStr">
        <is>
          <t>IMP-8: Tracking</t>
        </is>
      </c>
      <c r="D33" t="inlineStr">
        <is>
          <t>Current: '[ISMS-IMP-A.8.8.12.xlsx]Metric_Definitions'!P31</t>
        </is>
      </c>
    </row>
    <row r="34">
      <c r="A34" t="inlineStr">
        <is>
          <t>Compensating controls documented</t>
        </is>
      </c>
      <c r="B34" s="29" t="inlineStr">
        <is>
          <t>✅</t>
        </is>
      </c>
      <c r="C34" s="30" t="inlineStr">
        <is>
          <t>IMP-9: Control registry</t>
        </is>
      </c>
      <c r="D34" t="inlineStr">
        <is>
          <t>Effectiveness tracked</t>
        </is>
      </c>
    </row>
    <row r="35">
      <c r="A35" t="inlineStr">
        <is>
          <t>Exception approval process</t>
        </is>
      </c>
      <c r="B35" s="29" t="inlineStr">
        <is>
          <t>✅</t>
        </is>
      </c>
      <c r="C35" s="30" t="inlineStr">
        <is>
          <t>IMP-10: Workflow</t>
        </is>
      </c>
      <c r="D35" t="inlineStr">
        <is>
          <t>Board oversight</t>
        </is>
      </c>
    </row>
    <row r="36">
      <c r="A36" t="inlineStr">
        <is>
          <t>Verification testing mandatory</t>
        </is>
      </c>
      <c r="B36" s="29" t="inlineStr">
        <is>
          <t>✅</t>
        </is>
      </c>
      <c r="C36" s="30" t="inlineStr">
        <is>
          <t>IMP-11: Test results</t>
        </is>
      </c>
      <c r="D36" t="inlineStr">
        <is>
          <t>&gt;95% success rate</t>
        </is>
      </c>
    </row>
    <row r="37">
      <c r="A37" t="inlineStr">
        <is>
          <t>Monthly metrics reporting</t>
        </is>
      </c>
      <c r="B37" s="29" t="inlineStr">
        <is>
          <t>✅</t>
        </is>
      </c>
      <c r="C37" s="30" t="inlineStr">
        <is>
          <t>IMP-12: Dashboard</t>
        </is>
      </c>
      <c r="D37" t="inlineStr">
        <is>
          <t>CISO review</t>
        </is>
      </c>
    </row>
    <row r="38">
      <c r="A38" t="inlineStr">
        <is>
          <t>Board reporting quarterly</t>
        </is>
      </c>
      <c r="B38" s="29" t="inlineStr">
        <is>
          <t>✅</t>
        </is>
      </c>
      <c r="C38" s="30" t="inlineStr">
        <is>
          <t>IMP-0: Executive summary</t>
        </is>
      </c>
      <c r="D38" t="inlineStr">
        <is>
          <t>Quarterly minimum</t>
        </is>
      </c>
    </row>
    <row r="39">
      <c r="A39" t="inlineStr">
        <is>
          <t>P0 emergency SLA: 1 day</t>
        </is>
      </c>
      <c r="B39" s="29" t="inlineStr">
        <is>
          <t>✅</t>
        </is>
      </c>
      <c r="C39" s="30" t="inlineStr">
        <is>
          <t>IMP-7: Priority matrix</t>
        </is>
      </c>
      <c r="D39" t="inlineStr">
        <is>
          <t>Enforced</t>
        </is>
      </c>
    </row>
    <row r="40">
      <c r="A40" t="inlineStr">
        <is>
          <t>P1 critical SLA: 7 days</t>
        </is>
      </c>
      <c r="B40" s="29" t="inlineStr">
        <is>
          <t>✅</t>
        </is>
      </c>
      <c r="C40" s="30" t="inlineStr">
        <is>
          <t>IMP-7: Priority matrix</t>
        </is>
      </c>
      <c r="D40" t="inlineStr">
        <is>
          <t>Enforced</t>
        </is>
      </c>
    </row>
    <row r="41">
      <c r="A41" t="inlineStr">
        <is>
          <t>P2 standard SLA: 30 days</t>
        </is>
      </c>
      <c r="B41" s="29" t="inlineStr">
        <is>
          <t>✅</t>
        </is>
      </c>
      <c r="C41" s="30" t="inlineStr">
        <is>
          <t>IMP-7: Priority matrix</t>
        </is>
      </c>
      <c r="D41" t="inlineStr">
        <is>
          <t>Enforced</t>
        </is>
      </c>
    </row>
    <row r="42">
      <c r="A42" t="inlineStr">
        <is>
          <t>Wormable vulnerabilities: immediate</t>
        </is>
      </c>
      <c r="B42" s="29" t="inlineStr">
        <is>
          <t>✅</t>
        </is>
      </c>
      <c r="C42" s="30" t="inlineStr">
        <is>
          <t>IMP-7: Auto-escalation</t>
        </is>
      </c>
      <c r="D42" t="inlineStr">
        <is>
          <t>CVSS v4.0 AU=Y</t>
        </is>
      </c>
    </row>
    <row r="43">
      <c r="A43" t="inlineStr">
        <is>
          <t>KEV vulnerabilities: priority</t>
        </is>
      </c>
      <c r="B43" s="29" t="inlineStr">
        <is>
          <t>✅</t>
        </is>
      </c>
      <c r="C43" s="30" t="inlineStr">
        <is>
          <t>IMP-4: CISA KEV catalog</t>
        </is>
      </c>
      <c r="D43" t="inlineStr">
        <is>
          <t>Auto-flagged</t>
        </is>
      </c>
    </row>
    <row r="44">
      <c r="A44" t="inlineStr">
        <is>
          <t>OT/ICS safety-critical: review</t>
        </is>
      </c>
      <c r="B44" s="29" t="inlineStr">
        <is>
          <t>✅</t>
        </is>
      </c>
      <c r="C44" s="30" t="inlineStr">
        <is>
          <t>IMP-6: Safety flag</t>
        </is>
      </c>
      <c r="D44" t="inlineStr">
        <is>
          <t>CVSS v4.0 S=P</t>
        </is>
      </c>
    </row>
    <row r="47">
      <c r="A47" s="24" t="inlineStr">
        <is>
          <t>SECTION C: IMPLEMENTATION PROCEDURE COMPLIANCE (ALL 13 IMPs)</t>
        </is>
      </c>
    </row>
    <row r="49">
      <c r="A49" s="25" t="inlineStr">
        <is>
          <t>IMP</t>
        </is>
      </c>
      <c r="B49" s="25" t="inlineStr">
        <is>
          <t>Status</t>
        </is>
      </c>
      <c r="C49" s="25" t="inlineStr">
        <is>
          <t>Last Updated</t>
        </is>
      </c>
      <c r="D49" s="25" t="inlineStr">
        <is>
          <t>Complete %</t>
        </is>
      </c>
      <c r="E49" s="25" t="inlineStr">
        <is>
          <t>Issues/Gaps</t>
        </is>
      </c>
    </row>
    <row r="50">
      <c r="A50" s="31" t="inlineStr">
        <is>
          <t>IMP-0: Master Dashboard</t>
        </is>
      </c>
      <c r="B50" s="29" t="inlineStr">
        <is>
          <t>✅</t>
        </is>
      </c>
      <c r="C50" s="28" t="inlineStr">
        <is>
          <t>31.01.2026</t>
        </is>
      </c>
      <c r="D50" s="7" t="inlineStr">
        <is>
          <t>100%</t>
        </is>
      </c>
      <c r="E50" t="inlineStr">
        <is>
          <t>None</t>
        </is>
      </c>
    </row>
    <row r="51">
      <c r="A51" s="31" t="inlineStr">
        <is>
          <t>IMP-1: Vulnerability Scanning</t>
        </is>
      </c>
      <c r="B51" s="29" t="inlineStr">
        <is>
          <t>✅</t>
        </is>
      </c>
      <c r="C51" s="28" t="inlineStr">
        <is>
          <t>31.01.2026</t>
        </is>
      </c>
      <c r="D51" s="7" t="inlineStr">
        <is>
          <t>100%</t>
        </is>
      </c>
      <c r="E51" t="inlineStr">
        <is>
          <t>None</t>
        </is>
      </c>
    </row>
    <row r="52">
      <c r="A52" s="31" t="inlineStr">
        <is>
          <t>IMP-2: Network Coverage</t>
        </is>
      </c>
      <c r="B52" s="29" t="inlineStr">
        <is>
          <t>✅</t>
        </is>
      </c>
      <c r="C52" s="28" t="inlineStr">
        <is>
          <t>31.01.2026</t>
        </is>
      </c>
      <c r="D52" s="7" t="inlineStr">
        <is>
          <t>100%</t>
        </is>
      </c>
      <c r="E52" t="inlineStr">
        <is>
          <t>None</t>
        </is>
      </c>
    </row>
    <row r="53">
      <c r="A53" s="31" t="inlineStr">
        <is>
          <t>IMP-3: CVSS Scoring</t>
        </is>
      </c>
      <c r="B53" s="29" t="inlineStr">
        <is>
          <t>✅</t>
        </is>
      </c>
      <c r="C53" s="28" t="inlineStr">
        <is>
          <t>31.01.2026</t>
        </is>
      </c>
      <c r="D53" s="7" t="inlineStr">
        <is>
          <t>100%</t>
        </is>
      </c>
      <c r="E53" t="inlineStr">
        <is>
          <t>None</t>
        </is>
      </c>
    </row>
    <row r="54">
      <c r="A54" s="31" t="inlineStr">
        <is>
          <t>IMP-4: Threat Intelligence</t>
        </is>
      </c>
      <c r="B54" s="29" t="inlineStr">
        <is>
          <t>✅</t>
        </is>
      </c>
      <c r="C54" s="28" t="inlineStr">
        <is>
          <t>31.01.2026</t>
        </is>
      </c>
      <c r="D54" s="7" t="inlineStr">
        <is>
          <t>100%</t>
        </is>
      </c>
      <c r="E54" s="32" t="inlineStr">
        <is>
          <t>Manual mode only</t>
        </is>
      </c>
    </row>
    <row r="55">
      <c r="A55" s="31" t="inlineStr">
        <is>
          <t>IMP-5: Vulnerability Inventory</t>
        </is>
      </c>
      <c r="B55" s="29" t="inlineStr">
        <is>
          <t>✅</t>
        </is>
      </c>
      <c r="C55" s="28" t="inlineStr">
        <is>
          <t>31.01.2026</t>
        </is>
      </c>
      <c r="D55" s="7" t="inlineStr">
        <is>
          <t>100%</t>
        </is>
      </c>
      <c r="E55" t="inlineStr">
        <is>
          <t>None</t>
        </is>
      </c>
    </row>
    <row r="56">
      <c r="A56" s="31" t="inlineStr">
        <is>
          <t>IMP-6: Risk Assessment</t>
        </is>
      </c>
      <c r="B56" s="29" t="inlineStr">
        <is>
          <t>✅</t>
        </is>
      </c>
      <c r="C56" s="28" t="inlineStr">
        <is>
          <t>31.01.2026</t>
        </is>
      </c>
      <c r="D56" s="7" t="inlineStr">
        <is>
          <t>100%</t>
        </is>
      </c>
      <c r="E56" t="inlineStr">
        <is>
          <t>None</t>
        </is>
      </c>
    </row>
    <row r="57">
      <c r="A57" s="31" t="inlineStr">
        <is>
          <t>IMP-7: Prioritization</t>
        </is>
      </c>
      <c r="B57" s="29" t="inlineStr">
        <is>
          <t>✅</t>
        </is>
      </c>
      <c r="C57" s="28" t="inlineStr">
        <is>
          <t>31.01.2026</t>
        </is>
      </c>
      <c r="D57" s="7" t="inlineStr">
        <is>
          <t>100%</t>
        </is>
      </c>
      <c r="E57" t="inlineStr">
        <is>
          <t>None</t>
        </is>
      </c>
    </row>
    <row r="58">
      <c r="A58" s="31" t="inlineStr">
        <is>
          <t>IMP-8: Remediation Tracking</t>
        </is>
      </c>
      <c r="B58" s="29" t="inlineStr">
        <is>
          <t>✅</t>
        </is>
      </c>
      <c r="C58" s="28" t="inlineStr">
        <is>
          <t>31.01.2026</t>
        </is>
      </c>
      <c r="D58" s="7" t="inlineStr">
        <is>
          <t>100%</t>
        </is>
      </c>
      <c r="E58" t="inlineStr">
        <is>
          <t>None</t>
        </is>
      </c>
    </row>
    <row r="59">
      <c r="A59" s="31" t="inlineStr">
        <is>
          <t>IMP-9: Compensating Controls</t>
        </is>
      </c>
      <c r="B59" s="29" t="inlineStr">
        <is>
          <t>✅</t>
        </is>
      </c>
      <c r="C59" s="28" t="inlineStr">
        <is>
          <t>31.01.2026</t>
        </is>
      </c>
      <c r="D59" s="7" t="inlineStr">
        <is>
          <t>100%</t>
        </is>
      </c>
      <c r="E59" t="inlineStr">
        <is>
          <t>None</t>
        </is>
      </c>
    </row>
    <row r="60">
      <c r="A60" s="31" t="inlineStr">
        <is>
          <t>IMP-10: Exception Management</t>
        </is>
      </c>
      <c r="B60" s="29" t="inlineStr">
        <is>
          <t>✅</t>
        </is>
      </c>
      <c r="C60" s="28" t="inlineStr">
        <is>
          <t>31.01.2026</t>
        </is>
      </c>
      <c r="D60" s="7" t="inlineStr">
        <is>
          <t>100%</t>
        </is>
      </c>
      <c r="E60" t="inlineStr">
        <is>
          <t>None</t>
        </is>
      </c>
    </row>
    <row r="61">
      <c r="A61" s="31" t="inlineStr">
        <is>
          <t>IMP-11: Verification Testing</t>
        </is>
      </c>
      <c r="B61" s="29" t="inlineStr">
        <is>
          <t>✅</t>
        </is>
      </c>
      <c r="C61" s="28" t="inlineStr">
        <is>
          <t>31.01.2026</t>
        </is>
      </c>
      <c r="D61" s="7" t="inlineStr">
        <is>
          <t>100%</t>
        </is>
      </c>
      <c r="E61" t="inlineStr">
        <is>
          <t>None</t>
        </is>
      </c>
    </row>
    <row r="62">
      <c r="A62" s="31" t="inlineStr">
        <is>
          <t>IMP-12: Metrics &amp; KPIs</t>
        </is>
      </c>
      <c r="B62" s="29" t="inlineStr">
        <is>
          <t>✅</t>
        </is>
      </c>
      <c r="C62" s="28" t="inlineStr">
        <is>
          <t>31.01.2026</t>
        </is>
      </c>
      <c r="D62" s="7" t="inlineStr">
        <is>
          <t>100%</t>
        </is>
      </c>
      <c r="E62" t="inlineStr">
        <is>
          <t>None</t>
        </is>
      </c>
    </row>
    <row r="64">
      <c r="A64" s="17" t="inlineStr">
        <is>
          <t>Overall IMP Completion:</t>
        </is>
      </c>
      <c r="D64" s="11">
        <f>COUNTIF(B51:B63,"✅")/13</f>
        <v/>
      </c>
    </row>
    <row r="67">
      <c r="A67" s="24" t="inlineStr">
        <is>
          <t>SECTION D: AUDIT READINESS CHECKLIST</t>
        </is>
      </c>
    </row>
    <row r="69">
      <c r="A69" s="25" t="inlineStr">
        <is>
          <t>Criterion</t>
        </is>
      </c>
      <c r="B69" s="25" t="inlineStr">
        <is>
          <t>Status</t>
        </is>
      </c>
      <c r="C69" s="25" t="inlineStr">
        <is>
          <t>Evidence</t>
        </is>
      </c>
      <c r="D69" s="25" t="inlineStr">
        <is>
          <t>Notes</t>
        </is>
      </c>
    </row>
    <row r="70">
      <c r="A70" t="inlineStr">
        <is>
          <t>Documentation Complete</t>
        </is>
      </c>
      <c r="B70" s="29" t="inlineStr">
        <is>
          <t>✅</t>
        </is>
      </c>
      <c r="C70" t="inlineStr">
        <is>
          <t>All 13 IMP specifications</t>
        </is>
      </c>
      <c r="D70" t="inlineStr">
        <is>
          <t>Ready</t>
        </is>
      </c>
    </row>
    <row r="71">
      <c r="A71" t="inlineStr">
        <is>
          <t>Evidence Available</t>
        </is>
      </c>
      <c r="B71" s="29" t="inlineStr">
        <is>
          <t>✅</t>
        </is>
      </c>
      <c r="C71" t="inlineStr">
        <is>
          <t>Workbooks 0-12 populated</t>
        </is>
      </c>
      <c r="D71" t="inlineStr">
        <is>
          <t>Monthly snapshots</t>
        </is>
      </c>
    </row>
    <row r="72">
      <c r="A72" t="inlineStr">
        <is>
          <t>Processes Operational</t>
        </is>
      </c>
      <c r="B72" s="29" t="inlineStr">
        <is>
          <t>✅</t>
        </is>
      </c>
      <c r="C72" t="inlineStr">
        <is>
          <t>Monthly review cycles</t>
        </is>
      </c>
      <c r="D72" t="inlineStr">
        <is>
          <t>Demonstrated</t>
        </is>
      </c>
    </row>
    <row r="73">
      <c r="A73" t="inlineStr">
        <is>
          <t>Controls Effective</t>
        </is>
      </c>
      <c r="B73" s="29" t="inlineStr">
        <is>
          <t>✅</t>
        </is>
      </c>
      <c r="C73" t="inlineStr">
        <is>
          <t>Metrics meeting targets</t>
        </is>
      </c>
      <c r="D73" t="inlineStr">
        <is>
          <t>Tracked in IMP-12</t>
        </is>
      </c>
    </row>
    <row r="74">
      <c r="A74" t="inlineStr">
        <is>
          <t>Management Review</t>
        </is>
      </c>
      <c r="B74" s="29" t="inlineStr">
        <is>
          <t>✅</t>
        </is>
      </c>
      <c r="C74" t="inlineStr">
        <is>
          <t>CISO monthly sign-off</t>
        </is>
      </c>
      <c r="D74" t="inlineStr">
        <is>
          <t>IMP-0 Sheet 1</t>
        </is>
      </c>
    </row>
    <row r="75">
      <c r="A75" t="inlineStr">
        <is>
          <t>Board Oversight</t>
        </is>
      </c>
      <c r="B75" s="29" t="inlineStr">
        <is>
          <t>✅</t>
        </is>
      </c>
      <c r="C75" t="inlineStr">
        <is>
          <t>Quarterly board reports</t>
        </is>
      </c>
      <c r="D75" t="inlineStr">
        <is>
          <t>Meeting minutes</t>
        </is>
      </c>
    </row>
    <row r="76">
      <c r="A76" t="inlineStr">
        <is>
          <t>Exception Approvals</t>
        </is>
      </c>
      <c r="B76" s="29" t="inlineStr">
        <is>
          <t>✅</t>
        </is>
      </c>
      <c r="C76" t="inlineStr">
        <is>
          <t>All signed &amp; documented</t>
        </is>
      </c>
      <c r="D76" t="inlineStr">
        <is>
          <t>IMP-10</t>
        </is>
      </c>
    </row>
    <row r="77">
      <c r="A77" t="inlineStr">
        <is>
          <t>Training Complete</t>
        </is>
      </c>
      <c r="B77" s="29" t="inlineStr">
        <is>
          <t>✅</t>
        </is>
      </c>
      <c r="C77" t="inlineStr">
        <is>
          <t>Team certified</t>
        </is>
      </c>
      <c r="D77" t="inlineStr">
        <is>
          <t>Training records</t>
        </is>
      </c>
    </row>
    <row r="78">
      <c r="A78" t="inlineStr">
        <is>
          <t>Tool Integration</t>
        </is>
      </c>
      <c r="B78" s="29" t="inlineStr">
        <is>
          <t>✅</t>
        </is>
      </c>
      <c r="C78" t="inlineStr">
        <is>
          <t>Scanners operational</t>
        </is>
      </c>
      <c r="D78" t="inlineStr">
        <is>
          <t>IMP-1 logs</t>
        </is>
      </c>
    </row>
    <row r="79">
      <c r="A79" t="inlineStr">
        <is>
          <t>Continuous Improvement</t>
        </is>
      </c>
      <c r="B79" s="29" t="inlineStr">
        <is>
          <t>✅</t>
        </is>
      </c>
      <c r="C79" t="inlineStr">
        <is>
          <t>Action items tracked</t>
        </is>
      </c>
      <c r="D79" t="inlineStr">
        <is>
          <t>IMP-12 trends</t>
        </is>
      </c>
    </row>
    <row r="80">
      <c r="A80" t="inlineStr">
        <is>
          <t>Policy Approved</t>
        </is>
      </c>
      <c r="B80" s="29" t="inlineStr">
        <is>
          <t>✅</t>
        </is>
      </c>
      <c r="C80" t="inlineStr">
        <is>
          <t>ISMS-POL-A.8.8 signed</t>
        </is>
      </c>
      <c r="D80" t="inlineStr">
        <is>
          <t>Policy register</t>
        </is>
      </c>
    </row>
    <row r="81">
      <c r="A81" t="inlineStr">
        <is>
          <t>Vulnerability Lifecycle</t>
        </is>
      </c>
      <c r="B81" s="29" t="inlineStr">
        <is>
          <t>✅</t>
        </is>
      </c>
      <c r="C81" t="inlineStr">
        <is>
          <t>Discovery → Closure</t>
        </is>
      </c>
      <c r="D81" t="inlineStr">
        <is>
          <t>IMP-5 inventory</t>
        </is>
      </c>
    </row>
    <row r="82">
      <c r="A82" t="inlineStr">
        <is>
          <t>Risk Assessment</t>
        </is>
      </c>
      <c r="B82" s="29" t="inlineStr">
        <is>
          <t>✅</t>
        </is>
      </c>
      <c r="C82" t="inlineStr">
        <is>
          <t>All vulns risk-rated</t>
        </is>
      </c>
      <c r="D82" t="inlineStr">
        <is>
          <t>IMP-6 tracker</t>
        </is>
      </c>
    </row>
    <row r="83">
      <c r="A83" t="inlineStr">
        <is>
          <t>SLA Compliance</t>
        </is>
      </c>
      <c r="B83" s="29" t="inlineStr">
        <is>
          <t>✅</t>
        </is>
      </c>
      <c r="C83" t="inlineStr">
        <is>
          <t>'[ISMS-IMP-A.8.8.12.xlsx]Metric_Definitions'!P31 compliance</t>
        </is>
      </c>
      <c r="D83" t="inlineStr">
        <is>
          <t>Target: &gt;95%</t>
        </is>
      </c>
    </row>
    <row r="84">
      <c r="A84" t="inlineStr">
        <is>
          <t>Verification Testing</t>
        </is>
      </c>
      <c r="B84" s="29" t="inlineStr">
        <is>
          <t>✅</t>
        </is>
      </c>
      <c r="C84" t="inlineStr">
        <is>
          <t>'[ISMS-IMP-A.8.8.12.xlsx]Metric_Definitions'!P53 success</t>
        </is>
      </c>
      <c r="D84" t="inlineStr">
        <is>
          <t>Target: &gt;95%</t>
        </is>
      </c>
    </row>
    <row r="86">
      <c r="A86" s="33" t="inlineStr">
        <is>
          <t>🎯 READY FOR AUDIT?</t>
        </is>
      </c>
      <c r="D86" s="8">
        <f>IF(COUNTIF(B71:B85,"✅")=15,"✅ YES - READY","❌ NOT YET - "&amp;15-COUNTIF(B71:B85,"✅")&amp;" gaps")</f>
        <v/>
      </c>
    </row>
  </sheetData>
  <mergeCells count="8">
    <mergeCell ref="A4:H4"/>
    <mergeCell ref="A67:H67"/>
    <mergeCell ref="A24:H24"/>
    <mergeCell ref="A2:H2"/>
    <mergeCell ref="A47:H47"/>
    <mergeCell ref="A1:H1"/>
    <mergeCell ref="A86:C86"/>
    <mergeCell ref="A64:C64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20" customWidth="1" min="5" max="5"/>
    <col width="20" customWidth="1" min="6" max="6"/>
    <col width="15" customWidth="1" min="7" max="7"/>
    <col width="12" customWidth="1" min="8" max="8"/>
    <col width="12" customWidth="1" min="9" max="9"/>
  </cols>
  <sheetData>
    <row r="1" ht="30" customHeight="1">
      <c r="A1" s="22" t="inlineStr">
        <is>
          <t>VULNERABILITY MANAGEMENT PROGRAM HEALTH</t>
        </is>
      </c>
    </row>
    <row r="3">
      <c r="A3" s="24" t="inlineStr">
        <is>
          <t>SECTION A: COMPONENT HEALTH MATRIX (ALL 12 IMPs)</t>
        </is>
      </c>
    </row>
    <row r="5">
      <c r="A5" s="25" t="inlineStr">
        <is>
          <t>Component</t>
        </is>
      </c>
      <c r="B5" s="25" t="inlineStr">
        <is>
          <t>Status</t>
        </is>
      </c>
      <c r="C5" s="25" t="inlineStr">
        <is>
          <t>Key Metric</t>
        </is>
      </c>
      <c r="D5" s="25" t="inlineStr">
        <is>
          <t>Current</t>
        </is>
      </c>
      <c r="E5" s="25" t="inlineStr">
        <is>
          <t>Target</t>
        </is>
      </c>
      <c r="F5" s="25" t="inlineStr">
        <is>
          <t>Last Issue</t>
        </is>
      </c>
      <c r="G5" s="25" t="inlineStr">
        <is>
          <t>Issue Date</t>
        </is>
      </c>
    </row>
    <row r="6">
      <c r="A6" s="34" t="inlineStr">
        <is>
          <t>IMP-1: Vulnerability Scanning</t>
        </is>
      </c>
      <c r="B6" s="35" t="inlineStr">
        <is>
          <t>🟢</t>
        </is>
      </c>
      <c r="C6" t="inlineStr">
        <is>
          <t>Scanner Uptime %</t>
        </is>
      </c>
      <c r="D6" s="7" t="inlineStr">
        <is>
          <t>'[ISMS-IMP-A.8.8.12.xlsx]Metric_Definitions'!P6</t>
        </is>
      </c>
      <c r="E6" s="7" t="inlineStr">
        <is>
          <t>&gt;99%</t>
        </is>
      </c>
      <c r="F6" t="inlineStr">
        <is>
          <t>None</t>
        </is>
      </c>
      <c r="G6" t="inlineStr">
        <is>
          <t>N/A</t>
        </is>
      </c>
    </row>
    <row r="7">
      <c r="A7" s="34" t="inlineStr">
        <is>
          <t>IMP-2: Network Coverage</t>
        </is>
      </c>
      <c r="B7" s="35" t="inlineStr">
        <is>
          <t>🟢</t>
        </is>
      </c>
      <c r="C7" t="inlineStr">
        <is>
          <t>Coverage %</t>
        </is>
      </c>
      <c r="D7" s="7" t="inlineStr">
        <is>
          <t>'[ISMS-IMP-A.8.8.12.xlsx]Metric_Definitions'!P8</t>
        </is>
      </c>
      <c r="E7" s="7" t="inlineStr">
        <is>
          <t>100%</t>
        </is>
      </c>
      <c r="F7" t="inlineStr">
        <is>
          <t>None</t>
        </is>
      </c>
      <c r="G7" t="inlineStr">
        <is>
          <t>N/A</t>
        </is>
      </c>
    </row>
    <row r="8">
      <c r="A8" s="34" t="inlineStr">
        <is>
          <t>IMP-3: CVSS Scoring</t>
        </is>
      </c>
      <c r="B8" s="35" t="inlineStr">
        <is>
          <t>🟢</t>
        </is>
      </c>
      <c r="C8" t="inlineStr">
        <is>
          <t>v4.0 Adoption %</t>
        </is>
      </c>
      <c r="D8" s="7" t="inlineStr">
        <is>
          <t>'[ISMS-IMP-A.8.8.12.xlsx]Metric_Definitions'!P12</t>
        </is>
      </c>
      <c r="E8" s="7" t="inlineStr">
        <is>
          <t>&gt;70%</t>
        </is>
      </c>
      <c r="F8" t="inlineStr">
        <is>
          <t>None</t>
        </is>
      </c>
      <c r="G8" t="inlineStr">
        <is>
          <t>N/A</t>
        </is>
      </c>
    </row>
    <row r="9">
      <c r="A9" s="34" t="inlineStr">
        <is>
          <t>IMP-4: Threat Intelligence</t>
        </is>
      </c>
      <c r="B9" s="35" t="inlineStr">
        <is>
          <t>🟡</t>
        </is>
      </c>
      <c r="C9" t="inlineStr">
        <is>
          <t>Integration Mode</t>
        </is>
      </c>
      <c r="D9" s="7" t="inlineStr">
        <is>
          <t>Manual</t>
        </is>
      </c>
      <c r="E9" s="7" t="inlineStr">
        <is>
          <t>Automated</t>
        </is>
      </c>
      <c r="F9" s="32" t="inlineStr">
        <is>
          <t>Manual mode only</t>
        </is>
      </c>
      <c r="G9" s="28" t="inlineStr">
        <is>
          <t>31.01.2026</t>
        </is>
      </c>
    </row>
    <row r="10">
      <c r="A10" s="34" t="inlineStr">
        <is>
          <t>IMP-5: Vulnerability Inventory</t>
        </is>
      </c>
      <c r="B10" s="35" t="inlineStr">
        <is>
          <t>🟢</t>
        </is>
      </c>
      <c r="C10" t="inlineStr">
        <is>
          <t>Total Active</t>
        </is>
      </c>
      <c r="D10" s="7" t="inlineStr">
        <is>
          <t>'[ISMS-IMP-A.8.8.12.xlsx]Metric_Definitions'!P1</t>
        </is>
      </c>
      <c r="E10" s="7" t="inlineStr">
        <is>
          <t>&lt;500</t>
        </is>
      </c>
      <c r="F10" t="inlineStr">
        <is>
          <t>None</t>
        </is>
      </c>
      <c r="G10" t="inlineStr">
        <is>
          <t>N/A</t>
        </is>
      </c>
    </row>
    <row r="11">
      <c r="A11" s="34" t="inlineStr">
        <is>
          <t>IMP-6: Risk Assessment</t>
        </is>
      </c>
      <c r="B11" s="35" t="inlineStr">
        <is>
          <t>🟢</t>
        </is>
      </c>
      <c r="C11" t="inlineStr">
        <is>
          <t>Backlog Count</t>
        </is>
      </c>
      <c r="D11" s="7" t="inlineStr">
        <is>
          <t>'[ISMS-IMP-A.8.8.12.xlsx]Metric_Definitions'!P77</t>
        </is>
      </c>
      <c r="E11" s="7" t="inlineStr">
        <is>
          <t>&lt;50</t>
        </is>
      </c>
      <c r="F11" t="inlineStr">
        <is>
          <t>None</t>
        </is>
      </c>
      <c r="G11" t="inlineStr">
        <is>
          <t>N/A</t>
        </is>
      </c>
    </row>
    <row r="12">
      <c r="A12" s="34" t="inlineStr">
        <is>
          <t>IMP-7: Prioritization</t>
        </is>
      </c>
      <c r="B12" s="35" t="inlineStr">
        <is>
          <t>🟢</t>
        </is>
      </c>
      <c r="C12" t="inlineStr">
        <is>
          <t>SLA Compliance %</t>
        </is>
      </c>
      <c r="D12" s="7" t="inlineStr">
        <is>
          <t>'[ISMS-IMP-A.8.8.12.xlsx]Metric_Definitions'!P31</t>
        </is>
      </c>
      <c r="E12" s="7" t="inlineStr">
        <is>
          <t>&gt;95%</t>
        </is>
      </c>
      <c r="F12" t="inlineStr">
        <is>
          <t>None</t>
        </is>
      </c>
      <c r="G12" t="inlineStr">
        <is>
          <t>N/A</t>
        </is>
      </c>
    </row>
    <row r="13">
      <c r="A13" s="34" t="inlineStr">
        <is>
          <t>IMP-8: Remediation</t>
        </is>
      </c>
      <c r="B13" s="35" t="inlineStr">
        <is>
          <t>🟢</t>
        </is>
      </c>
      <c r="C13" t="inlineStr">
        <is>
          <t>Deployment Success %</t>
        </is>
      </c>
      <c r="D13" s="7" t="inlineStr">
        <is>
          <t>'[ISMS-IMP-A.8.8.12.xlsx]Metric_Definitions'!P39</t>
        </is>
      </c>
      <c r="E13" s="7" t="inlineStr">
        <is>
          <t>&gt;98%</t>
        </is>
      </c>
      <c r="F13" t="inlineStr">
        <is>
          <t>None</t>
        </is>
      </c>
      <c r="G13" t="inlineStr">
        <is>
          <t>N/A</t>
        </is>
      </c>
    </row>
    <row r="14">
      <c r="A14" s="34" t="inlineStr">
        <is>
          <t>IMP-9: Compensating Controls</t>
        </is>
      </c>
      <c r="B14" s="35" t="inlineStr">
        <is>
          <t>🟡</t>
        </is>
      </c>
      <c r="C14" t="inlineStr">
        <is>
          <t>Active Controls</t>
        </is>
      </c>
      <c r="D14" s="7" t="inlineStr">
        <is>
          <t>'[ISMS-IMP-A.8.8.12.xlsx]Metric_Definitions'!P45</t>
        </is>
      </c>
      <c r="E14" s="7" t="inlineStr">
        <is>
          <t>&lt;30</t>
        </is>
      </c>
      <c r="F14" s="32" t="inlineStr">
        <is>
          <t>Approaching limit</t>
        </is>
      </c>
      <c r="G14" s="28" t="inlineStr">
        <is>
          <t>31.01.2026</t>
        </is>
      </c>
    </row>
    <row r="15">
      <c r="A15" s="34" t="inlineStr">
        <is>
          <t>IMP-10: Exception Management</t>
        </is>
      </c>
      <c r="B15" s="35" t="inlineStr">
        <is>
          <t>🟡</t>
        </is>
      </c>
      <c r="C15" t="inlineStr">
        <is>
          <t>Total Exceptions</t>
        </is>
      </c>
      <c r="D15" s="7" t="inlineStr">
        <is>
          <t>'[ISMS-IMP-A.8.8.12.xlsx]Metric_Definitions'!P61</t>
        </is>
      </c>
      <c r="E15" s="7" t="inlineStr">
        <is>
          <t>&lt;30</t>
        </is>
      </c>
      <c r="F15" s="32" t="inlineStr">
        <is>
          <t>Approaching limit</t>
        </is>
      </c>
      <c r="G15" s="28" t="inlineStr">
        <is>
          <t>31.01.2026</t>
        </is>
      </c>
    </row>
    <row r="16">
      <c r="A16" s="34" t="inlineStr">
        <is>
          <t>IMP-11: Verification Testing</t>
        </is>
      </c>
      <c r="B16" s="35" t="inlineStr">
        <is>
          <t>🟢</t>
        </is>
      </c>
      <c r="C16" t="inlineStr">
        <is>
          <t>Verification Success %</t>
        </is>
      </c>
      <c r="D16" s="7" t="inlineStr">
        <is>
          <t>'[ISMS-IMP-A.8.8.12.xlsx]Metric_Definitions'!P53</t>
        </is>
      </c>
      <c r="E16" s="7" t="inlineStr">
        <is>
          <t>&gt;95%</t>
        </is>
      </c>
      <c r="F16" t="inlineStr">
        <is>
          <t>None</t>
        </is>
      </c>
      <c r="G16" t="inlineStr">
        <is>
          <t>N/A</t>
        </is>
      </c>
    </row>
    <row r="17">
      <c r="A17" s="34" t="inlineStr">
        <is>
          <t>IMP-12: Metrics Dashboard</t>
        </is>
      </c>
      <c r="B17" s="35" t="inlineStr">
        <is>
          <t>🟢</t>
        </is>
      </c>
      <c r="C17" t="inlineStr">
        <is>
          <t>Link Status</t>
        </is>
      </c>
      <c r="D17" s="7" t="inlineStr">
        <is>
          <t>Updated</t>
        </is>
      </c>
      <c r="E17" s="7" t="inlineStr">
        <is>
          <t>Daily</t>
        </is>
      </c>
      <c r="F17" t="inlineStr">
        <is>
          <t>None</t>
        </is>
      </c>
      <c r="G17" t="inlineStr">
        <is>
          <t>N/A</t>
        </is>
      </c>
    </row>
    <row r="18">
      <c r="A18" s="17" t="inlineStr">
        <is>
          <t>Component Health Summary:</t>
        </is>
      </c>
      <c r="D18" t="inlineStr">
        <is>
          <t>Green:</t>
        </is>
      </c>
      <c r="E18" s="30">
        <f>COUNTIF(B6:B17,"🟢")</f>
        <v/>
      </c>
      <c r="F18" t="inlineStr">
        <is>
          <t>Yellow:</t>
        </is>
      </c>
      <c r="G18" s="30">
        <f>COUNTIF(B6:B17,"🟡")</f>
        <v/>
      </c>
      <c r="H18" t="inlineStr">
        <is>
          <t>Red:</t>
        </is>
      </c>
      <c r="I18" s="30">
        <f>COUNTIF(B6:B17,"🔴")</f>
        <v/>
      </c>
    </row>
    <row r="21">
      <c r="A21" s="24" t="inlineStr">
        <is>
          <t>SECTION B: INTEGRATION HEALTH (DATA FLOW STATUS)</t>
        </is>
      </c>
    </row>
    <row r="23">
      <c r="A23" s="25" t="inlineStr">
        <is>
          <t>Integration Point</t>
        </is>
      </c>
      <c r="B23" s="25" t="inlineStr">
        <is>
          <t>Status</t>
        </is>
      </c>
      <c r="C23" s="25" t="inlineStr">
        <is>
          <t>Last Sync</t>
        </is>
      </c>
      <c r="D23" s="25" t="inlineStr">
        <is>
          <t>Error Rate</t>
        </is>
      </c>
      <c r="E23" s="25" t="inlineStr">
        <is>
          <t>Notes</t>
        </is>
      </c>
    </row>
    <row r="24">
      <c r="A24" t="inlineStr">
        <is>
          <t>IMP-1 → IMP-5 (Scan Results)</t>
        </is>
      </c>
      <c r="B24" s="7" t="inlineStr">
        <is>
          <t>✅</t>
        </is>
      </c>
      <c r="C24" s="7" t="inlineStr">
        <is>
          <t>Real-time</t>
        </is>
      </c>
      <c r="D24" s="7" t="inlineStr">
        <is>
          <t>0%</t>
        </is>
      </c>
      <c r="E24" t="inlineStr">
        <is>
          <t>Auto-sync operational</t>
        </is>
      </c>
    </row>
    <row r="25">
      <c r="A25" t="inlineStr">
        <is>
          <t>IMP-2 → IMP-1 (Network Map)</t>
        </is>
      </c>
      <c r="B25" s="7" t="inlineStr">
        <is>
          <t>✅</t>
        </is>
      </c>
      <c r="C25" s="7" t="inlineStr">
        <is>
          <t>Daily</t>
        </is>
      </c>
      <c r="D25" s="7" t="inlineStr">
        <is>
          <t>0%</t>
        </is>
      </c>
      <c r="E25" t="inlineStr">
        <is>
          <t>Scheduled update</t>
        </is>
      </c>
    </row>
    <row r="26">
      <c r="A26" t="inlineStr">
        <is>
          <t>IMP-3 → IMP-5 (CVSS Scores)</t>
        </is>
      </c>
      <c r="B26" s="7" t="inlineStr">
        <is>
          <t>✅</t>
        </is>
      </c>
      <c r="C26" s="7" t="inlineStr">
        <is>
          <t>Real-time</t>
        </is>
      </c>
      <c r="D26" s="7" t="inlineStr">
        <is>
          <t>0%</t>
        </is>
      </c>
      <c r="E26" t="inlineStr">
        <is>
          <t>Auto-calculation</t>
        </is>
      </c>
    </row>
    <row r="27">
      <c r="A27" t="inlineStr">
        <is>
          <t>IMP-4 → IMP-6 (TI Indicators)</t>
        </is>
      </c>
      <c r="B27" s="7" t="inlineStr">
        <is>
          <t>⚠️</t>
        </is>
      </c>
      <c r="C27" s="7" t="inlineStr">
        <is>
          <t>Manual</t>
        </is>
      </c>
      <c r="D27" s="7" t="inlineStr">
        <is>
          <t>N/A</t>
        </is>
      </c>
      <c r="E27" s="32" t="inlineStr">
        <is>
          <t>Manual mode - enhancement planned</t>
        </is>
      </c>
    </row>
    <row r="28">
      <c r="A28" t="inlineStr">
        <is>
          <t>IMP-5 → IMP-6 (Vuln Data)</t>
        </is>
      </c>
      <c r="B28" s="7" t="inlineStr">
        <is>
          <t>✅</t>
        </is>
      </c>
      <c r="C28" s="7" t="inlineStr">
        <is>
          <t>Real-time</t>
        </is>
      </c>
      <c r="D28" s="7" t="inlineStr">
        <is>
          <t>0%</t>
        </is>
      </c>
      <c r="E28" t="inlineStr">
        <is>
          <t>Seamless integration</t>
        </is>
      </c>
    </row>
    <row r="29">
      <c r="A29" t="inlineStr">
        <is>
          <t>IMP-6 → IMP-7 (Risk Scores)</t>
        </is>
      </c>
      <c r="B29" s="7" t="inlineStr">
        <is>
          <t>✅</t>
        </is>
      </c>
      <c r="C29" s="7" t="inlineStr">
        <is>
          <t>Real-time</t>
        </is>
      </c>
      <c r="D29" s="7" t="inlineStr">
        <is>
          <t>0%</t>
        </is>
      </c>
      <c r="E29" t="inlineStr">
        <is>
          <t>Auto-prioritization</t>
        </is>
      </c>
    </row>
    <row r="30">
      <c r="A30" t="inlineStr">
        <is>
          <t>IMP-7 → IMP-8 (Priorities)</t>
        </is>
      </c>
      <c r="B30" s="7" t="inlineStr">
        <is>
          <t>✅</t>
        </is>
      </c>
      <c r="C30" s="7" t="inlineStr">
        <is>
          <t>Real-time</t>
        </is>
      </c>
      <c r="D30" s="7" t="inlineStr">
        <is>
          <t>0%</t>
        </is>
      </c>
      <c r="E30" t="inlineStr">
        <is>
          <t>SLA tracking active</t>
        </is>
      </c>
    </row>
    <row r="31">
      <c r="A31" t="inlineStr">
        <is>
          <t>IMP-8 → IMP-11 (Remediations)</t>
        </is>
      </c>
      <c r="B31" s="7" t="inlineStr">
        <is>
          <t>✅</t>
        </is>
      </c>
      <c r="C31" s="7" t="inlineStr">
        <is>
          <t>Real-time</t>
        </is>
      </c>
      <c r="D31" s="7" t="inlineStr">
        <is>
          <t>0%</t>
        </is>
      </c>
      <c r="E31" t="inlineStr">
        <is>
          <t>Verification queue</t>
        </is>
      </c>
    </row>
    <row r="32">
      <c r="A32" t="inlineStr">
        <is>
          <t>IMP-9 → IMP-10 (Controls)</t>
        </is>
      </c>
      <c r="B32" s="7" t="inlineStr">
        <is>
          <t>✅</t>
        </is>
      </c>
      <c r="C32" s="7" t="inlineStr">
        <is>
          <t>Manual</t>
        </is>
      </c>
      <c r="D32" s="7" t="inlineStr">
        <is>
          <t>N/A</t>
        </is>
      </c>
      <c r="E32" t="inlineStr">
        <is>
          <t>As needed workflow</t>
        </is>
      </c>
    </row>
    <row r="33">
      <c r="A33" t="inlineStr">
        <is>
          <t>IMP-10 → CISO (Exceptions)</t>
        </is>
      </c>
      <c r="B33" s="7" t="inlineStr">
        <is>
          <t>✅</t>
        </is>
      </c>
      <c r="C33" s="7" t="inlineStr">
        <is>
          <t>Weekly</t>
        </is>
      </c>
      <c r="D33" s="7" t="inlineStr">
        <is>
          <t>0%</t>
        </is>
      </c>
      <c r="E33" t="inlineStr">
        <is>
          <t>Approval workflow</t>
        </is>
      </c>
    </row>
    <row r="34">
      <c r="A34" t="inlineStr">
        <is>
          <t>IMP-11 → IMP-5 (Verification)</t>
        </is>
      </c>
      <c r="B34" s="7" t="inlineStr">
        <is>
          <t>✅</t>
        </is>
      </c>
      <c r="C34" s="7" t="inlineStr">
        <is>
          <t>Real-time</t>
        </is>
      </c>
      <c r="D34" s="7" t="inlineStr">
        <is>
          <t>0%</t>
        </is>
      </c>
      <c r="E34" t="inlineStr">
        <is>
          <t>Closure updates</t>
        </is>
      </c>
    </row>
    <row r="35">
      <c r="A35" t="inlineStr">
        <is>
          <t>IMP-1-11 → IMP-12 (Metrics)</t>
        </is>
      </c>
      <c r="B35" s="7" t="inlineStr">
        <is>
          <t>✅</t>
        </is>
      </c>
      <c r="C35" s="7" t="inlineStr">
        <is>
          <t>Daily</t>
        </is>
      </c>
      <c r="D35" s="7" t="inlineStr">
        <is>
          <t>0%</t>
        </is>
      </c>
      <c r="E35" t="inlineStr">
        <is>
          <t>Dashboard formulas</t>
        </is>
      </c>
    </row>
    <row r="36">
      <c r="A36" t="inlineStr">
        <is>
          <t>IMP-12 → IMP-0 (KPIs)</t>
        </is>
      </c>
      <c r="B36" s="7" t="inlineStr">
        <is>
          <t>✅</t>
        </is>
      </c>
      <c r="C36" s="7" t="inlineStr">
        <is>
          <t>Real-time</t>
        </is>
      </c>
      <c r="D36" s="7" t="inlineStr">
        <is>
          <t>0%</t>
        </is>
      </c>
      <c r="E36" t="inlineStr">
        <is>
          <t>Executive dashboard</t>
        </is>
      </c>
    </row>
    <row r="38">
      <c r="A38" s="17" t="inlineStr">
        <is>
          <t>Integration Health Score:</t>
        </is>
      </c>
      <c r="D38" s="11">
        <f>COUNTIF(B25:B37,"✅")/13</f>
        <v/>
      </c>
    </row>
    <row r="41">
      <c r="A41" s="24" t="inlineStr">
        <is>
          <t>SECTION C: RESOURCE HEALTH (TEAM, TOOLS, BUDGET)</t>
        </is>
      </c>
    </row>
    <row r="43">
      <c r="A43" s="36" t="inlineStr">
        <is>
          <t>Team Capacity:</t>
        </is>
      </c>
    </row>
    <row r="44">
      <c r="A44" s="25" t="inlineStr">
        <is>
          <t>Resource Type</t>
        </is>
      </c>
      <c r="B44" s="25" t="inlineStr">
        <is>
          <t>Current</t>
        </is>
      </c>
      <c r="C44" s="25" t="inlineStr">
        <is>
          <t>Capacity</t>
        </is>
      </c>
      <c r="D44" s="25" t="inlineStr">
        <is>
          <t>Utilization %</t>
        </is>
      </c>
      <c r="E44" s="25" t="inlineStr">
        <is>
          <t>Status</t>
        </is>
      </c>
    </row>
    <row r="45">
      <c r="A45" t="inlineStr">
        <is>
          <t>VM Analysts</t>
        </is>
      </c>
      <c r="B45" s="16" t="inlineStr">
        <is>
          <t>[Count]</t>
        </is>
      </c>
      <c r="C45" s="16" t="inlineStr">
        <is>
          <t>[Total]</t>
        </is>
      </c>
      <c r="D45" s="11">
        <f>IFERROR(B45/C45,0)</f>
        <v/>
      </c>
      <c r="E45" s="15" t="inlineStr">
        <is>
          <t>🟢</t>
        </is>
      </c>
    </row>
    <row r="46">
      <c r="A46" t="inlineStr">
        <is>
          <t>Risk Analysts</t>
        </is>
      </c>
      <c r="B46" s="16" t="inlineStr">
        <is>
          <t>[Count]</t>
        </is>
      </c>
      <c r="C46" s="16" t="inlineStr">
        <is>
          <t>[Total]</t>
        </is>
      </c>
      <c r="D46" s="11">
        <f>IFERROR(B46/C46,0)</f>
        <v/>
      </c>
      <c r="E46" s="15" t="inlineStr">
        <is>
          <t>🟢</t>
        </is>
      </c>
    </row>
    <row r="47">
      <c r="A47" t="inlineStr">
        <is>
          <t>Remediation Team</t>
        </is>
      </c>
      <c r="B47" s="16" t="inlineStr">
        <is>
          <t>[Count]</t>
        </is>
      </c>
      <c r="C47" s="16" t="inlineStr">
        <is>
          <t>[Total]</t>
        </is>
      </c>
      <c r="D47" s="11">
        <f>IFERROR(B47/C47,0)</f>
        <v/>
      </c>
      <c r="E47" s="15" t="inlineStr">
        <is>
          <t>🟢</t>
        </is>
      </c>
    </row>
    <row r="48">
      <c r="A48" t="inlineStr">
        <is>
          <t>QA/Verification</t>
        </is>
      </c>
      <c r="B48" s="16" t="inlineStr">
        <is>
          <t>[Count]</t>
        </is>
      </c>
      <c r="C48" s="16" t="inlineStr">
        <is>
          <t>[Total]</t>
        </is>
      </c>
      <c r="D48" s="11">
        <f>IFERROR(B48/C48,0)</f>
        <v/>
      </c>
      <c r="E48" s="15" t="inlineStr">
        <is>
          <t>🟢</t>
        </is>
      </c>
    </row>
    <row r="50">
      <c r="A50" s="36" t="inlineStr">
        <is>
          <t>Tool Availability:</t>
        </is>
      </c>
    </row>
    <row r="51">
      <c r="A51" s="25" t="inlineStr">
        <is>
          <t>Tool</t>
        </is>
      </c>
      <c r="B51" s="25" t="inlineStr">
        <is>
          <t>Uptime %</t>
        </is>
      </c>
      <c r="C51" s="25" t="inlineStr">
        <is>
          <t>Last Outage</t>
        </is>
      </c>
      <c r="D51" s="25" t="inlineStr">
        <is>
          <t>Status</t>
        </is>
      </c>
    </row>
    <row r="52">
      <c r="A52" t="inlineStr">
        <is>
          <t>Vulnerability Scanners</t>
        </is>
      </c>
      <c r="B52" s="16" t="inlineStr">
        <is>
          <t>'[ISMS-IMP-A.8.8.12.xlsx]Metric_Definitions'!P6</t>
        </is>
      </c>
      <c r="C52" s="28" t="inlineStr">
        <is>
          <t>[DD.MM.YYYY]</t>
        </is>
      </c>
      <c r="D52" s="15" t="inlineStr">
        <is>
          <t>🟢</t>
        </is>
      </c>
    </row>
    <row r="53">
      <c r="A53" t="inlineStr">
        <is>
          <t>SIEM/Log Platform</t>
        </is>
      </c>
      <c r="B53" s="16" t="inlineStr">
        <is>
          <t>[Uptime]</t>
        </is>
      </c>
      <c r="C53" s="28" t="inlineStr">
        <is>
          <t>[DD.MM.YYYY]</t>
        </is>
      </c>
      <c r="D53" s="15" t="inlineStr">
        <is>
          <t>🟢</t>
        </is>
      </c>
    </row>
    <row r="54">
      <c r="A54" t="inlineStr">
        <is>
          <t>Patch Management</t>
        </is>
      </c>
      <c r="B54" s="16" t="inlineStr">
        <is>
          <t>[Uptime]</t>
        </is>
      </c>
      <c r="C54" s="28" t="inlineStr">
        <is>
          <t>[DD.MM.YYYY]</t>
        </is>
      </c>
      <c r="D54" s="15" t="inlineStr">
        <is>
          <t>🟢</t>
        </is>
      </c>
    </row>
    <row r="55">
      <c r="A55" t="inlineStr">
        <is>
          <t>Ticketing System</t>
        </is>
      </c>
      <c r="B55" s="16" t="inlineStr">
        <is>
          <t>[Uptime]</t>
        </is>
      </c>
      <c r="C55" s="28" t="inlineStr">
        <is>
          <t>[DD.MM.YYYY]</t>
        </is>
      </c>
      <c r="D55" s="15" t="inlineStr">
        <is>
          <t>🟢</t>
        </is>
      </c>
    </row>
    <row r="57">
      <c r="A57" s="36" t="inlineStr">
        <is>
          <t>Budget Utilization (Year-to-Date):</t>
        </is>
      </c>
    </row>
    <row r="58">
      <c r="A58" s="25" t="inlineStr">
        <is>
          <t>Budget Category</t>
        </is>
      </c>
      <c r="B58" s="25" t="inlineStr">
        <is>
          <t>Allocated (CHF)</t>
        </is>
      </c>
      <c r="C58" s="25" t="inlineStr">
        <is>
          <t>Spent (CHF)</t>
        </is>
      </c>
      <c r="D58" s="25" t="inlineStr">
        <is>
          <t>Remaining (CHF)</t>
        </is>
      </c>
      <c r="E58" s="25" t="inlineStr">
        <is>
          <t>% Used</t>
        </is>
      </c>
    </row>
    <row r="59">
      <c r="A59" t="inlineStr">
        <is>
          <t>Tools &amp; Licenses</t>
        </is>
      </c>
      <c r="B59" s="37" t="inlineStr">
        <is>
          <t>[Amount]</t>
        </is>
      </c>
      <c r="C59" s="37" t="inlineStr">
        <is>
          <t>[Amount]</t>
        </is>
      </c>
      <c r="D59" s="38">
        <f>B59-C59</f>
        <v/>
      </c>
      <c r="E59" s="11">
        <f>C59/B59</f>
        <v/>
      </c>
    </row>
    <row r="60">
      <c r="A60" t="inlineStr">
        <is>
          <t>Personnel</t>
        </is>
      </c>
      <c r="B60" s="37" t="inlineStr">
        <is>
          <t>[Amount]</t>
        </is>
      </c>
      <c r="C60" s="37" t="inlineStr">
        <is>
          <t>[Amount]</t>
        </is>
      </c>
      <c r="D60" s="38">
        <f>B60-C60</f>
        <v/>
      </c>
      <c r="E60" s="11">
        <f>C60/B60</f>
        <v/>
      </c>
    </row>
    <row r="61">
      <c r="A61" t="inlineStr">
        <is>
          <t>Training &amp; Development</t>
        </is>
      </c>
      <c r="B61" s="37" t="inlineStr">
        <is>
          <t>[Amount]</t>
        </is>
      </c>
      <c r="C61" s="37" t="inlineStr">
        <is>
          <t>[Amount]</t>
        </is>
      </c>
      <c r="D61" s="38">
        <f>B61-C61</f>
        <v/>
      </c>
      <c r="E61" s="11">
        <f>C61/B61</f>
        <v/>
      </c>
    </row>
    <row r="62">
      <c r="A62" t="inlineStr">
        <is>
          <t>Consulting &amp; Support</t>
        </is>
      </c>
      <c r="B62" s="37" t="inlineStr">
        <is>
          <t>[Amount]</t>
        </is>
      </c>
      <c r="C62" s="37" t="inlineStr">
        <is>
          <t>[Amount]</t>
        </is>
      </c>
      <c r="D62" s="38">
        <f>B62-C62</f>
        <v/>
      </c>
      <c r="E62" s="11">
        <f>C62/B62</f>
        <v/>
      </c>
    </row>
  </sheetData>
  <mergeCells count="9">
    <mergeCell ref="A43:I43"/>
    <mergeCell ref="A41:I41"/>
    <mergeCell ref="A57:I57"/>
    <mergeCell ref="A1:I1"/>
    <mergeCell ref="A18:C18"/>
    <mergeCell ref="A3:I3"/>
    <mergeCell ref="A50:I50"/>
    <mergeCell ref="A38:C38"/>
    <mergeCell ref="A21:I2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8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22" t="inlineStr">
        <is>
          <t>COMPREHENSIVE RISK OVERVIEW</t>
        </is>
      </c>
    </row>
    <row r="3">
      <c r="A3" s="24" t="inlineStr">
        <is>
          <t>SECTION A: CURRENT RISK POSTURE</t>
        </is>
      </c>
    </row>
    <row r="5">
      <c r="A5" s="25" t="inlineStr">
        <is>
          <t>Risk Metric</t>
        </is>
      </c>
      <c r="B5" s="25" t="inlineStr">
        <is>
          <t>Current</t>
        </is>
      </c>
      <c r="C5" s="25" t="inlineStr">
        <is>
          <t>Target</t>
        </is>
      </c>
      <c r="D5" s="25" t="inlineStr">
        <is>
          <t>Trend (30d)</t>
        </is>
      </c>
      <c r="E5" s="25" t="inlineStr">
        <is>
          <t>Status</t>
        </is>
      </c>
    </row>
    <row r="6">
      <c r="A6" t="inlineStr">
        <is>
          <t>Total Risk Score</t>
        </is>
      </c>
      <c r="B6" s="7" t="inlineStr">
        <is>
          <t>'[ISMS-IMP-A.8.8.12.xlsx]Metric_Definitions'!P21</t>
        </is>
      </c>
      <c r="C6" s="7" t="inlineStr">
        <is>
          <t>&lt;500</t>
        </is>
      </c>
      <c r="D6" s="18" t="inlineStr">
        <is>
          <t>↓</t>
        </is>
      </c>
      <c r="E6" s="35" t="inlineStr">
        <is>
          <t>🟢</t>
        </is>
      </c>
    </row>
    <row r="7">
      <c r="A7" t="inlineStr">
        <is>
          <t>Critical Risk Count</t>
        </is>
      </c>
      <c r="B7" s="7" t="inlineStr">
        <is>
          <t>'[ISMS-IMP-A.8.8.12.xlsx]Metric_Definitions'!P22</t>
        </is>
      </c>
      <c r="C7" s="7" t="inlineStr">
        <is>
          <t>&lt;5</t>
        </is>
      </c>
      <c r="D7" s="18" t="inlineStr">
        <is>
          <t>→</t>
        </is>
      </c>
      <c r="E7" s="35" t="inlineStr">
        <is>
          <t>🟢</t>
        </is>
      </c>
    </row>
    <row r="8">
      <c r="A8" t="inlineStr">
        <is>
          <t>High Risk Count</t>
        </is>
      </c>
      <c r="B8" s="7" t="inlineStr">
        <is>
          <t>'[ISMS-IMP-A.8.8.12.xlsx]Metric_Definitions'!P23</t>
        </is>
      </c>
      <c r="C8" s="7" t="inlineStr">
        <is>
          <t>&lt;20</t>
        </is>
      </c>
      <c r="D8" s="18" t="inlineStr">
        <is>
          <t>↓</t>
        </is>
      </c>
      <c r="E8" s="35" t="inlineStr">
        <is>
          <t>🟢</t>
        </is>
      </c>
    </row>
    <row r="9">
      <c r="A9" t="inlineStr">
        <is>
          <t>Medium Risk Count</t>
        </is>
      </c>
      <c r="B9" s="15" t="inlineStr">
        <is>
          <t>[Manual]</t>
        </is>
      </c>
      <c r="C9" s="7" t="inlineStr">
        <is>
          <t>&lt;100</t>
        </is>
      </c>
      <c r="D9" s="18" t="inlineStr">
        <is>
          <t>→</t>
        </is>
      </c>
      <c r="E9" s="35" t="inlineStr">
        <is>
          <t>🟢</t>
        </is>
      </c>
    </row>
    <row r="10">
      <c r="A10" t="inlineStr">
        <is>
          <t>Low Risk Count</t>
        </is>
      </c>
      <c r="B10" s="15" t="inlineStr">
        <is>
          <t>[Manual]</t>
        </is>
      </c>
      <c r="C10" s="7" t="inlineStr">
        <is>
          <t>Track</t>
        </is>
      </c>
      <c r="D10" s="18" t="inlineStr">
        <is>
          <t>→</t>
        </is>
      </c>
      <c r="E10" s="35" t="inlineStr">
        <is>
          <t>⚪</t>
        </is>
      </c>
    </row>
    <row r="11">
      <c r="A11" t="inlineStr">
        <is>
          <t>Financial Exposure (CHF)</t>
        </is>
      </c>
      <c r="B11" s="39" t="inlineStr">
        <is>
          <t>'[ISMS-IMP-A.8.8.12.xlsx]Metric_Definitions'!P24</t>
        </is>
      </c>
      <c r="C11" s="7" t="inlineStr">
        <is>
          <t>&lt;500'000</t>
        </is>
      </c>
      <c r="D11" s="18" t="inlineStr">
        <is>
          <t>↓</t>
        </is>
      </c>
      <c r="E11" s="35" t="inlineStr">
        <is>
          <t>🟢</t>
        </is>
      </c>
    </row>
    <row r="12">
      <c r="A12" t="inlineStr">
        <is>
          <t>Total Active Vulns</t>
        </is>
      </c>
      <c r="B12" s="7" t="inlineStr">
        <is>
          <t>'[ISMS-IMP-A.8.8.12.xlsx]Metric_Definitions'!P1</t>
        </is>
      </c>
      <c r="C12" s="7" t="inlineStr">
        <is>
          <t>&lt;500</t>
        </is>
      </c>
      <c r="D12" s="18" t="inlineStr">
        <is>
          <t>↓</t>
        </is>
      </c>
      <c r="E12" s="35" t="inlineStr">
        <is>
          <t>🟢</t>
        </is>
      </c>
    </row>
    <row r="13">
      <c r="A13" t="inlineStr">
        <is>
          <t>P0 Emergency Count</t>
        </is>
      </c>
      <c r="B13" s="7" t="inlineStr">
        <is>
          <t>'[ISMS-IMP-A.8.8.7.xlsx]Dashboard'!B7</t>
        </is>
      </c>
      <c r="C13" s="7" t="inlineStr">
        <is>
          <t>0</t>
        </is>
      </c>
      <c r="D13" s="18" t="inlineStr">
        <is>
          <t>→</t>
        </is>
      </c>
      <c r="E13" s="35" t="inlineStr">
        <is>
          <t>🟢</t>
        </is>
      </c>
    </row>
    <row r="14">
      <c r="A14" t="inlineStr">
        <is>
          <t>P1 Critical Count</t>
        </is>
      </c>
      <c r="B14" s="15" t="inlineStr">
        <is>
          <t>[From IMP-7]</t>
        </is>
      </c>
      <c r="C14" s="7" t="inlineStr">
        <is>
          <t>&lt;50</t>
        </is>
      </c>
      <c r="D14" s="18" t="inlineStr">
        <is>
          <t>↓</t>
        </is>
      </c>
      <c r="E14" s="35" t="inlineStr">
        <is>
          <t>🟢</t>
        </is>
      </c>
    </row>
    <row r="17">
      <c r="A17" s="24" t="inlineStr">
        <is>
          <t>SECTION B: HIGH-PRIORITY RISKS (CRITICAL ATTENTION)</t>
        </is>
      </c>
    </row>
    <row r="19">
      <c r="A19" s="25" t="inlineStr">
        <is>
          <t>Risk Category</t>
        </is>
      </c>
      <c r="B19" s="25" t="inlineStr">
        <is>
          <t>Count</t>
        </is>
      </c>
      <c r="C19" s="25" t="inlineStr">
        <is>
          <t>Target</t>
        </is>
      </c>
      <c r="D19" s="25" t="inlineStr">
        <is>
          <t>Action Required</t>
        </is>
      </c>
    </row>
    <row r="20">
      <c r="A20" t="inlineStr">
        <is>
          <t>Wormable Vulnerabilities (AU=Y)</t>
        </is>
      </c>
      <c r="B20" s="15" t="inlineStr">
        <is>
          <t>'[ISMS-IMP-A.8.8.12.xlsx]Metric_Definitions'!P16</t>
        </is>
      </c>
      <c r="C20" s="7" t="inlineStr">
        <is>
          <t>0</t>
        </is>
      </c>
      <c r="D20" t="inlineStr">
        <is>
          <t>Immediate remediation</t>
        </is>
      </c>
    </row>
    <row r="21">
      <c r="A21" t="inlineStr">
        <is>
          <t>KEV-Listed Vulnerabilities</t>
        </is>
      </c>
      <c r="B21" s="15" t="inlineStr">
        <is>
          <t>'[ISMS-IMP-A.8.8.12.xlsx]Metric_Definitions'!P18</t>
        </is>
      </c>
      <c r="C21" s="7" t="inlineStr">
        <is>
          <t>0</t>
        </is>
      </c>
      <c r="D21" t="inlineStr">
        <is>
          <t>Priority patching</t>
        </is>
      </c>
    </row>
    <row r="22">
      <c r="A22" t="inlineStr">
        <is>
          <t>Active Exploitation Detected</t>
        </is>
      </c>
      <c r="B22" s="15" t="inlineStr">
        <is>
          <t>'[ISMS-IMP-A.8.8.12.xlsx]Metric_Definitions'!P19</t>
        </is>
      </c>
      <c r="C22" s="7" t="inlineStr">
        <is>
          <t>0</t>
        </is>
      </c>
      <c r="D22" t="inlineStr">
        <is>
          <t>Emergency response</t>
        </is>
      </c>
    </row>
    <row r="23">
      <c r="A23" t="inlineStr">
        <is>
          <t>Safety-Critical (OT/ICS, S=P)</t>
        </is>
      </c>
      <c r="B23" s="15" t="inlineStr">
        <is>
          <t>'[ISMS-IMP-A.8.8.12.xlsx]Metric_Definitions'!P17</t>
        </is>
      </c>
      <c r="C23" s="7" t="inlineStr">
        <is>
          <t>0</t>
        </is>
      </c>
      <c r="D23" t="inlineStr">
        <is>
          <t>Safety review required</t>
        </is>
      </c>
    </row>
    <row r="24">
      <c r="A24" t="inlineStr">
        <is>
          <t>Critical CVSS ≥9.0</t>
        </is>
      </c>
      <c r="B24" s="15" t="inlineStr">
        <is>
          <t>'[ISMS-IMP-A.8.8.12.xlsx]Metric_Definitions'!P4</t>
        </is>
      </c>
      <c r="C24" s="7" t="inlineStr">
        <is>
          <t>&lt;10</t>
        </is>
      </c>
      <c r="D24" t="inlineStr">
        <is>
          <t>7-day SLA</t>
        </is>
      </c>
    </row>
    <row r="25">
      <c r="A25" t="inlineStr">
        <is>
          <t>High CVSS 7.0-8.9</t>
        </is>
      </c>
      <c r="B25" s="15" t="inlineStr">
        <is>
          <t>'[ISMS-IMP-A.8.8.12.xlsx]Metric_Definitions'!P5</t>
        </is>
      </c>
      <c r="C25" s="7" t="inlineStr">
        <is>
          <t>&lt;50</t>
        </is>
      </c>
      <c r="D25" t="inlineStr">
        <is>
          <t>30-day SLA</t>
        </is>
      </c>
    </row>
    <row r="26">
      <c r="A26" t="inlineStr">
        <is>
          <t>Critical Financial Impact</t>
        </is>
      </c>
      <c r="B26" s="15" t="inlineStr">
        <is>
          <t>[Count]</t>
        </is>
      </c>
      <c r="C26" s="7" t="inlineStr">
        <is>
          <t>&lt;5</t>
        </is>
      </c>
      <c r="D26" t="inlineStr">
        <is>
          <t>Board escalation</t>
        </is>
      </c>
    </row>
    <row r="27">
      <c r="A27" t="inlineStr">
        <is>
          <t>Regulatory Compliance Risk</t>
        </is>
      </c>
      <c r="B27" s="15" t="inlineStr">
        <is>
          <t>[Count]</t>
        </is>
      </c>
      <c r="C27" s="7" t="inlineStr">
        <is>
          <t>0</t>
        </is>
      </c>
      <c r="D27" t="inlineStr">
        <is>
          <t>Legal review</t>
        </is>
      </c>
    </row>
    <row r="30">
      <c r="A30" s="24" t="inlineStr">
        <is>
          <t>SECTION C: RESIDUAL RISK (ACCEPTED EXCEPTIONS)</t>
        </is>
      </c>
    </row>
    <row r="32">
      <c r="A32" s="25" t="inlineStr">
        <is>
          <t>Exception Category</t>
        </is>
      </c>
      <c r="B32" s="25" t="inlineStr">
        <is>
          <t>Count</t>
        </is>
      </c>
      <c r="C32" s="25" t="inlineStr">
        <is>
          <t>Total Risk Score</t>
        </is>
      </c>
      <c r="D32" s="25" t="inlineStr">
        <is>
          <t>Target</t>
        </is>
      </c>
      <c r="E32" s="25" t="inlineStr">
        <is>
          <t>Status</t>
        </is>
      </c>
    </row>
    <row r="33">
      <c r="A33" t="inlineStr">
        <is>
          <t>Total Active Exceptions</t>
        </is>
      </c>
      <c r="B33" s="15" t="inlineStr">
        <is>
          <t>'[ISMS-IMP-A.8.8.12.xlsx]Metric_Definitions'!P61</t>
        </is>
      </c>
      <c r="C33" s="15" t="inlineStr">
        <is>
          <t>'[ISMS-IMP-A.8.8.12.xlsx]Metric_Definitions'!P67</t>
        </is>
      </c>
      <c r="D33" s="7" t="inlineStr">
        <is>
          <t>&lt;30</t>
        </is>
      </c>
      <c r="E33" s="35" t="inlineStr">
        <is>
          <t>🟡</t>
        </is>
      </c>
    </row>
    <row r="34">
      <c r="A34" t="inlineStr">
        <is>
          <t>Critical Residual Risk</t>
        </is>
      </c>
      <c r="B34" s="15" t="inlineStr">
        <is>
          <t>'[ISMS-IMP-A.8.8.12.xlsx]Metric_Definitions'!P62</t>
        </is>
      </c>
      <c r="C34" s="15" t="inlineStr">
        <is>
          <t>[Score]</t>
        </is>
      </c>
      <c r="D34" s="7" t="inlineStr">
        <is>
          <t>0</t>
        </is>
      </c>
      <c r="E34" s="35" t="inlineStr">
        <is>
          <t>🟢</t>
        </is>
      </c>
    </row>
    <row r="35">
      <c r="A35" t="inlineStr">
        <is>
          <t>High Residual Risk</t>
        </is>
      </c>
      <c r="B35" s="15" t="inlineStr">
        <is>
          <t>'[ISMS-IMP-A.8.8.12.xlsx]Metric_Definitions'!P63</t>
        </is>
      </c>
      <c r="C35" s="15" t="inlineStr">
        <is>
          <t>[Score]</t>
        </is>
      </c>
      <c r="D35" s="7" t="inlineStr">
        <is>
          <t>&lt;5</t>
        </is>
      </c>
      <c r="E35" s="35" t="inlineStr">
        <is>
          <t>🟢</t>
        </is>
      </c>
    </row>
    <row r="36">
      <c r="A36" t="inlineStr">
        <is>
          <t>Pending Approvals</t>
        </is>
      </c>
      <c r="B36" s="15" t="inlineStr">
        <is>
          <t>'[ISMS-IMP-A.8.8.12.xlsx]Metric_Definitions'!P64</t>
        </is>
      </c>
      <c r="C36" s="15" t="inlineStr">
        <is>
          <t>N/A</t>
        </is>
      </c>
      <c r="D36" s="7" t="inlineStr">
        <is>
          <t>&lt;10</t>
        </is>
      </c>
      <c r="E36" s="35" t="inlineStr">
        <is>
          <t>🟢</t>
        </is>
      </c>
    </row>
    <row r="37">
      <c r="A37" t="inlineStr">
        <is>
          <t>Expired Exceptions</t>
        </is>
      </c>
      <c r="B37" s="15" t="inlineStr">
        <is>
          <t>'[ISMS-IMP-A.8.8.12.xlsx]Metric_Definitions'!P65</t>
        </is>
      </c>
      <c r="C37" s="15" t="inlineStr">
        <is>
          <t>N/A</t>
        </is>
      </c>
      <c r="D37" s="7" t="inlineStr">
        <is>
          <t>0</t>
        </is>
      </c>
      <c r="E37" s="35" t="inlineStr">
        <is>
          <t>🟢</t>
        </is>
      </c>
    </row>
    <row r="38">
      <c r="A38" t="inlineStr">
        <is>
          <t>Board-Approved Exceptions</t>
        </is>
      </c>
      <c r="B38" s="15" t="inlineStr">
        <is>
          <t>'[ISMS-IMP-A.8.8.12.xlsx]Metric_Definitions'!P69</t>
        </is>
      </c>
      <c r="C38" s="15" t="inlineStr">
        <is>
          <t>[Score]</t>
        </is>
      </c>
      <c r="D38" s="7" t="inlineStr">
        <is>
          <t>&lt;5</t>
        </is>
      </c>
      <c r="E38" s="35" t="inlineStr">
        <is>
          <t>🟢</t>
        </is>
      </c>
    </row>
    <row r="39">
      <c r="A39" t="inlineStr">
        <is>
          <t>Exception Renewals (This Quarter)</t>
        </is>
      </c>
      <c r="B39" s="15" t="inlineStr">
        <is>
          <t>[Count]</t>
        </is>
      </c>
      <c r="C39" s="15" t="inlineStr">
        <is>
          <t>N/A</t>
        </is>
      </c>
      <c r="D39" s="7" t="inlineStr">
        <is>
          <t>&lt;5</t>
        </is>
      </c>
      <c r="E39" s="35" t="inlineStr">
        <is>
          <t>🟢</t>
        </is>
      </c>
    </row>
    <row r="42">
      <c r="A42" s="24" t="inlineStr">
        <is>
          <t>SECTION D: 6-MONTH RISK TRENDS</t>
        </is>
      </c>
    </row>
    <row r="44">
      <c r="A44" s="25" t="inlineStr">
        <is>
          <t>Risk Metric</t>
        </is>
      </c>
      <c r="B44" s="25" t="inlineStr">
        <is>
          <t>M-5</t>
        </is>
      </c>
      <c r="C44" s="25" t="inlineStr">
        <is>
          <t>M-4</t>
        </is>
      </c>
      <c r="D44" s="25" t="inlineStr">
        <is>
          <t>M-3</t>
        </is>
      </c>
      <c r="E44" s="25" t="inlineStr">
        <is>
          <t>M-2</t>
        </is>
      </c>
      <c r="F44" s="25" t="inlineStr">
        <is>
          <t>M-1</t>
        </is>
      </c>
      <c r="G44" s="25" t="inlineStr">
        <is>
          <t>M-0</t>
        </is>
      </c>
      <c r="H44" s="25" t="inlineStr">
        <is>
          <t>Trend</t>
        </is>
      </c>
    </row>
    <row r="45">
      <c r="A45" t="inlineStr">
        <is>
          <t>Total Risk Score</t>
        </is>
      </c>
      <c r="B45" s="16" t="inlineStr">
        <is>
          <t>[Data]</t>
        </is>
      </c>
      <c r="C45" s="16" t="inlineStr">
        <is>
          <t>[Data]</t>
        </is>
      </c>
      <c r="D45" s="16" t="inlineStr">
        <is>
          <t>[Data]</t>
        </is>
      </c>
      <c r="E45" s="16" t="inlineStr">
        <is>
          <t>[Data]</t>
        </is>
      </c>
      <c r="F45" s="16" t="inlineStr">
        <is>
          <t>[Data]</t>
        </is>
      </c>
      <c r="G45" s="16" t="inlineStr">
        <is>
          <t>[Data]</t>
        </is>
      </c>
      <c r="H45" s="18" t="inlineStr">
        <is>
          <t>↓</t>
        </is>
      </c>
    </row>
    <row r="46">
      <c r="A46" t="inlineStr">
        <is>
          <t>Critical Risk Count</t>
        </is>
      </c>
      <c r="B46" s="16" t="inlineStr">
        <is>
          <t>[Data]</t>
        </is>
      </c>
      <c r="C46" s="16" t="inlineStr">
        <is>
          <t>[Data]</t>
        </is>
      </c>
      <c r="D46" s="16" t="inlineStr">
        <is>
          <t>[Data]</t>
        </is>
      </c>
      <c r="E46" s="16" t="inlineStr">
        <is>
          <t>[Data]</t>
        </is>
      </c>
      <c r="F46" s="16" t="inlineStr">
        <is>
          <t>[Data]</t>
        </is>
      </c>
      <c r="G46" s="16" t="inlineStr">
        <is>
          <t>[Data]</t>
        </is>
      </c>
      <c r="H46" s="18" t="inlineStr">
        <is>
          <t>↓</t>
        </is>
      </c>
    </row>
    <row r="47">
      <c r="A47" t="inlineStr">
        <is>
          <t>Financial Exposure (CHF '000)</t>
        </is>
      </c>
      <c r="B47" s="16" t="inlineStr">
        <is>
          <t>[Data]</t>
        </is>
      </c>
      <c r="C47" s="16" t="inlineStr">
        <is>
          <t>[Data]</t>
        </is>
      </c>
      <c r="D47" s="16" t="inlineStr">
        <is>
          <t>[Data]</t>
        </is>
      </c>
      <c r="E47" s="16" t="inlineStr">
        <is>
          <t>[Data]</t>
        </is>
      </c>
      <c r="F47" s="16" t="inlineStr">
        <is>
          <t>[Data]</t>
        </is>
      </c>
      <c r="G47" s="16" t="inlineStr">
        <is>
          <t>[Data]</t>
        </is>
      </c>
      <c r="H47" s="18" t="inlineStr">
        <is>
          <t>↓</t>
        </is>
      </c>
    </row>
    <row r="48">
      <c r="A48" t="inlineStr">
        <is>
          <t>Active Exceptions</t>
        </is>
      </c>
      <c r="B48" s="16" t="inlineStr">
        <is>
          <t>[Data]</t>
        </is>
      </c>
      <c r="C48" s="16" t="inlineStr">
        <is>
          <t>[Data]</t>
        </is>
      </c>
      <c r="D48" s="16" t="inlineStr">
        <is>
          <t>[Data]</t>
        </is>
      </c>
      <c r="E48" s="16" t="inlineStr">
        <is>
          <t>[Data]</t>
        </is>
      </c>
      <c r="F48" s="16" t="inlineStr">
        <is>
          <t>[Data]</t>
        </is>
      </c>
      <c r="G48" s="16" t="inlineStr">
        <is>
          <t>[Data]</t>
        </is>
      </c>
      <c r="H48" s="18" t="inlineStr">
        <is>
          <t>↓</t>
        </is>
      </c>
    </row>
    <row r="49">
      <c r="A49" t="inlineStr">
        <is>
          <t>Total Active Vulns</t>
        </is>
      </c>
      <c r="B49" s="16" t="inlineStr">
        <is>
          <t>[Data]</t>
        </is>
      </c>
      <c r="C49" s="16" t="inlineStr">
        <is>
          <t>[Data]</t>
        </is>
      </c>
      <c r="D49" s="16" t="inlineStr">
        <is>
          <t>[Data]</t>
        </is>
      </c>
      <c r="E49" s="16" t="inlineStr">
        <is>
          <t>[Data]</t>
        </is>
      </c>
      <c r="F49" s="16" t="inlineStr">
        <is>
          <t>[Data]</t>
        </is>
      </c>
      <c r="G49" s="16" t="inlineStr">
        <is>
          <t>[Data]</t>
        </is>
      </c>
      <c r="H49" s="18" t="inlineStr">
        <is>
          <t>↓</t>
        </is>
      </c>
    </row>
  </sheetData>
  <mergeCells count="5">
    <mergeCell ref="A3:H3"/>
    <mergeCell ref="A30:H30"/>
    <mergeCell ref="A42:H42"/>
    <mergeCell ref="A1:H1"/>
    <mergeCell ref="A17:H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2" customWidth="1" min="4" max="4"/>
  </cols>
  <sheetData>
    <row r="1" ht="30" customHeight="1">
      <c r="A1" s="22" t="inlineStr">
        <is>
          <t>PERFORMANCE METRICS (ALL AREAS)</t>
        </is>
      </c>
    </row>
    <row r="3">
      <c r="A3" s="24" t="inlineStr">
        <is>
          <t>SECTION A: DISCOVERY PERFORMANCE</t>
        </is>
      </c>
    </row>
    <row r="5">
      <c r="A5" s="25" t="inlineStr">
        <is>
          <t>Metric</t>
        </is>
      </c>
      <c r="B5" s="25" t="inlineStr">
        <is>
          <t>Current</t>
        </is>
      </c>
      <c r="C5" s="25" t="inlineStr">
        <is>
          <t>Target</t>
        </is>
      </c>
      <c r="D5" s="25" t="inlineStr">
        <is>
          <t>Status</t>
        </is>
      </c>
    </row>
    <row r="6">
      <c r="A6" t="inlineStr">
        <is>
          <t>Scanner Uptime %</t>
        </is>
      </c>
      <c r="B6" s="13" t="inlineStr">
        <is>
          <t>'[ISMS-IMP-A.8.8.12.xlsx]Metric_Definitions'!P6</t>
        </is>
      </c>
      <c r="C6" s="7" t="inlineStr">
        <is>
          <t>&gt;99%</t>
        </is>
      </c>
      <c r="D6" s="35" t="inlineStr">
        <is>
          <t>🟢</t>
        </is>
      </c>
    </row>
    <row r="7">
      <c r="A7" t="inlineStr">
        <is>
          <t>Network Coverage %</t>
        </is>
      </c>
      <c r="B7" s="13" t="inlineStr">
        <is>
          <t>'[ISMS-IMP-A.8.8.12.xlsx]Metric_Definitions'!P8</t>
        </is>
      </c>
      <c r="C7" s="7" t="inlineStr">
        <is>
          <t>100%</t>
        </is>
      </c>
      <c r="D7" s="35" t="inlineStr">
        <is>
          <t>🟢</t>
        </is>
      </c>
    </row>
    <row r="8">
      <c r="A8" t="inlineStr">
        <is>
          <t>Scan Frequency Compliance %</t>
        </is>
      </c>
      <c r="B8" s="13" t="inlineStr">
        <is>
          <t>'[ISMS-IMP-A.8.8.12.xlsx]Metric_Definitions'!P76</t>
        </is>
      </c>
      <c r="C8" s="7" t="inlineStr">
        <is>
          <t>&gt;95%</t>
        </is>
      </c>
      <c r="D8" s="35" t="inlineStr">
        <is>
          <t>🟢</t>
        </is>
      </c>
    </row>
    <row r="9">
      <c r="A9" t="inlineStr">
        <is>
          <t>Discovery Rate (Last 30d)</t>
        </is>
      </c>
      <c r="B9" s="8" t="inlineStr">
        <is>
          <t>'[ISMS-IMP-A.8.8.12.xlsx]Metric_Definitions'!P3</t>
        </is>
      </c>
      <c r="C9" s="7" t="inlineStr">
        <is>
          <t>Track</t>
        </is>
      </c>
      <c r="D9" s="35" t="inlineStr">
        <is>
          <t>⚪</t>
        </is>
      </c>
    </row>
    <row r="10">
      <c r="A10" t="inlineStr">
        <is>
          <t>False Positive Rate %</t>
        </is>
      </c>
      <c r="B10" s="13" t="inlineStr">
        <is>
          <t>'[ISMS-IMP-A.8.8.12.xlsx]Metric_Definitions'!P15</t>
        </is>
      </c>
      <c r="C10" s="7" t="inlineStr">
        <is>
          <t>&lt;5%</t>
        </is>
      </c>
      <c r="D10" s="35" t="inlineStr">
        <is>
          <t>🟢</t>
        </is>
      </c>
    </row>
    <row r="11">
      <c r="A11" t="inlineStr">
        <is>
          <t>Average Vulnerability Age (Days)</t>
        </is>
      </c>
      <c r="B11" s="8" t="inlineStr">
        <is>
          <t>'[ISMS-IMP-A.8.8.12.xlsx]Metric_Definitions'!P10</t>
        </is>
      </c>
      <c r="C11" s="7" t="inlineStr">
        <is>
          <t>&lt;30</t>
        </is>
      </c>
      <c r="D11" s="35" t="inlineStr">
        <is>
          <t>🟢</t>
        </is>
      </c>
    </row>
    <row r="12">
      <c r="A12" t="inlineStr">
        <is>
          <t>Oldest Vulnerability (Days)</t>
        </is>
      </c>
      <c r="B12" s="8" t="inlineStr">
        <is>
          <t>'[ISMS-IMP-A.8.8.12.xlsx]Metric_Definitions'!P11</t>
        </is>
      </c>
      <c r="C12" s="7" t="inlineStr">
        <is>
          <t>&lt;90</t>
        </is>
      </c>
      <c r="D12" s="35" t="inlineStr">
        <is>
          <t>🟢</t>
        </is>
      </c>
    </row>
    <row r="15">
      <c r="A15" s="24" t="inlineStr">
        <is>
          <t>SECTION B: ASSESSMENT PERFORMANCE</t>
        </is>
      </c>
    </row>
    <row r="17">
      <c r="A17" s="25" t="inlineStr">
        <is>
          <t>Metric</t>
        </is>
      </c>
      <c r="B17" s="25" t="inlineStr">
        <is>
          <t>Current</t>
        </is>
      </c>
      <c r="C17" s="25" t="inlineStr">
        <is>
          <t>Target</t>
        </is>
      </c>
      <c r="D17" s="25" t="inlineStr">
        <is>
          <t>Status</t>
        </is>
      </c>
    </row>
    <row r="18">
      <c r="A18" t="inlineStr">
        <is>
          <t>Time to Initial Assessment (Hours)</t>
        </is>
      </c>
      <c r="B18" s="8" t="inlineStr">
        <is>
          <t>'[ISMS-IMP-A.8.8.12.xlsx]Metric_Definitions'!P25</t>
        </is>
      </c>
      <c r="C18" s="7" t="inlineStr">
        <is>
          <t>&lt;24</t>
        </is>
      </c>
      <c r="D18" s="35" t="inlineStr">
        <is>
          <t>🟢</t>
        </is>
      </c>
    </row>
    <row r="19">
      <c r="A19" t="inlineStr">
        <is>
          <t>Risk Assessment Backlog</t>
        </is>
      </c>
      <c r="B19" s="8" t="inlineStr">
        <is>
          <t>'[ISMS-IMP-A.8.8.12.xlsx]Metric_Definitions'!P77</t>
        </is>
      </c>
      <c r="C19" s="7" t="inlineStr">
        <is>
          <t>&lt;50</t>
        </is>
      </c>
      <c r="D19" s="35" t="inlineStr">
        <is>
          <t>🟢</t>
        </is>
      </c>
    </row>
    <row r="20">
      <c r="A20" t="inlineStr">
        <is>
          <t>CVSS v4.0 Adoption %</t>
        </is>
      </c>
      <c r="B20" s="13" t="inlineStr">
        <is>
          <t>'[ISMS-IMP-A.8.8.12.xlsx]Metric_Definitions'!P12</t>
        </is>
      </c>
      <c r="C20" s="7" t="inlineStr">
        <is>
          <t>&gt;70%</t>
        </is>
      </c>
      <c r="D20" s="35" t="inlineStr">
        <is>
          <t>🟢</t>
        </is>
      </c>
    </row>
    <row r="21">
      <c r="A21" t="inlineStr">
        <is>
          <t>TI Integration Coverage %</t>
        </is>
      </c>
      <c r="B21" s="13" t="inlineStr">
        <is>
          <t>'[ISMS-IMP-A.8.8.12.xlsx]Metric_Definitions'!P20</t>
        </is>
      </c>
      <c r="C21" s="7" t="inlineStr">
        <is>
          <t>&gt;80%</t>
        </is>
      </c>
      <c r="D21" s="35" t="inlineStr">
        <is>
          <t>🟡</t>
        </is>
      </c>
    </row>
    <row r="22">
      <c r="A22" t="inlineStr">
        <is>
          <t>EPSS Coverage Rate %</t>
        </is>
      </c>
      <c r="B22" s="13" t="inlineStr">
        <is>
          <t>'[ISMS-IMP-A.8.8.12.xlsx]Metric_Definitions'!P20</t>
        </is>
      </c>
      <c r="C22" s="7" t="inlineStr">
        <is>
          <t>&gt;80%</t>
        </is>
      </c>
      <c r="D22" s="35" t="inlineStr">
        <is>
          <t>🟢</t>
        </is>
      </c>
    </row>
    <row r="25">
      <c r="A25" s="24" t="inlineStr">
        <is>
          <t>SECTION C: REMEDIATION PERFORMANCE</t>
        </is>
      </c>
    </row>
    <row r="27">
      <c r="A27" s="25" t="inlineStr">
        <is>
          <t>Metric</t>
        </is>
      </c>
      <c r="B27" s="25" t="inlineStr">
        <is>
          <t>Current</t>
        </is>
      </c>
      <c r="C27" s="25" t="inlineStr">
        <is>
          <t>Target</t>
        </is>
      </c>
      <c r="D27" s="25" t="inlineStr">
        <is>
          <t>Status</t>
        </is>
      </c>
    </row>
    <row r="28">
      <c r="A28" t="inlineStr">
        <is>
          <t>Overall SLA Compliance %</t>
        </is>
      </c>
      <c r="B28" s="13" t="inlineStr">
        <is>
          <t>'[ISMS-IMP-A.8.8.12.xlsx]Metric_Definitions'!P31</t>
        </is>
      </c>
      <c r="C28" s="7" t="inlineStr">
        <is>
          <t>&gt;95%</t>
        </is>
      </c>
      <c r="D28" s="35" t="inlineStr">
        <is>
          <t>🟢</t>
        </is>
      </c>
    </row>
    <row r="29">
      <c r="A29" t="inlineStr">
        <is>
          <t>Deployment Success %</t>
        </is>
      </c>
      <c r="B29" s="13" t="inlineStr">
        <is>
          <t>'[ISMS-IMP-A.8.8.12.xlsx]Metric_Definitions'!P39</t>
        </is>
      </c>
      <c r="C29" s="7" t="inlineStr">
        <is>
          <t>&gt;98%</t>
        </is>
      </c>
      <c r="D29" s="35" t="inlineStr">
        <is>
          <t>🟢</t>
        </is>
      </c>
    </row>
    <row r="30">
      <c r="A30" t="inlineStr">
        <is>
          <t>Average Remediation Time (Days)</t>
        </is>
      </c>
      <c r="B30" s="8" t="inlineStr">
        <is>
          <t>'[ISMS-IMP-A.8.8.12.xlsx]Metric_Definitions'!P38</t>
        </is>
      </c>
      <c r="C30" s="7" t="inlineStr">
        <is>
          <t>&lt;14</t>
        </is>
      </c>
      <c r="D30" s="35" t="inlineStr">
        <is>
          <t>🟢</t>
        </is>
      </c>
    </row>
    <row r="31">
      <c r="A31" t="inlineStr">
        <is>
          <t>P0 Avg Remediation Time (Hours)</t>
        </is>
      </c>
      <c r="B31" s="8" t="inlineStr">
        <is>
          <t>'[ISMS-IMP-A.8.8.12.xlsx]Metric_Definitions'!P43</t>
        </is>
      </c>
      <c r="C31" s="7" t="inlineStr">
        <is>
          <t>&lt;24</t>
        </is>
      </c>
      <c r="D31" s="35" t="inlineStr">
        <is>
          <t>🟢</t>
        </is>
      </c>
    </row>
    <row r="32">
      <c r="A32" t="inlineStr">
        <is>
          <t>P1 Avg Remediation Time (Days)</t>
        </is>
      </c>
      <c r="B32" s="8" t="inlineStr">
        <is>
          <t>'[ISMS-IMP-A.8.8.12.xlsx]Metric_Definitions'!P44</t>
        </is>
      </c>
      <c r="C32" s="7" t="inlineStr">
        <is>
          <t>&lt;7</t>
        </is>
      </c>
      <c r="D32" s="35" t="inlineStr">
        <is>
          <t>🟢</t>
        </is>
      </c>
    </row>
    <row r="33">
      <c r="A33" t="inlineStr">
        <is>
          <t>Closure Rate (Last 30d)</t>
        </is>
      </c>
      <c r="B33" s="8" t="inlineStr">
        <is>
          <t>'[ISMS-IMP-A.8.8.12.xlsx]Metric_Definitions'!P50</t>
        </is>
      </c>
      <c r="C33" s="7" t="inlineStr">
        <is>
          <t>&gt;200</t>
        </is>
      </c>
      <c r="D33" s="35" t="inlineStr">
        <is>
          <t>🟢</t>
        </is>
      </c>
    </row>
    <row r="34">
      <c r="A34" t="inlineStr">
        <is>
          <t>Overdue Vulnerabilities</t>
        </is>
      </c>
      <c r="B34" s="8" t="inlineStr">
        <is>
          <t>'[ISMS-IMP-A.8.8.12.xlsx]Metric_Definitions'!P32</t>
        </is>
      </c>
      <c r="C34" s="7" t="inlineStr">
        <is>
          <t>0</t>
        </is>
      </c>
      <c r="D34" s="35" t="inlineStr">
        <is>
          <t>🟢</t>
        </is>
      </c>
    </row>
    <row r="37">
      <c r="A37" s="24" t="inlineStr">
        <is>
          <t>SECTION D: VERIFICATION PERFORMANCE</t>
        </is>
      </c>
    </row>
    <row r="39">
      <c r="A39" s="25" t="inlineStr">
        <is>
          <t>Metric</t>
        </is>
      </c>
      <c r="B39" s="25" t="inlineStr">
        <is>
          <t>Current</t>
        </is>
      </c>
      <c r="C39" s="25" t="inlineStr">
        <is>
          <t>Target</t>
        </is>
      </c>
      <c r="D39" s="25" t="inlineStr">
        <is>
          <t>Status</t>
        </is>
      </c>
    </row>
    <row r="40">
      <c r="A40" t="inlineStr">
        <is>
          <t>Verification Success %</t>
        </is>
      </c>
      <c r="B40" s="13" t="inlineStr">
        <is>
          <t>'[ISMS-IMP-A.8.8.12.xlsx]Metric_Definitions'!P53</t>
        </is>
      </c>
      <c r="C40" s="7" t="inlineStr">
        <is>
          <t>&gt;95%</t>
        </is>
      </c>
      <c r="D40" s="35" t="inlineStr">
        <is>
          <t>🟢</t>
        </is>
      </c>
    </row>
    <row r="41">
      <c r="A41" t="inlineStr">
        <is>
          <t>Average Time to Verify (Days)</t>
        </is>
      </c>
      <c r="B41" s="8" t="inlineStr">
        <is>
          <t>'[ISMS-IMP-A.8.8.12.xlsx]Metric_Definitions'!P54</t>
        </is>
      </c>
      <c r="C41" s="7" t="inlineStr">
        <is>
          <t>&lt;2</t>
        </is>
      </c>
      <c r="D41" s="35" t="inlineStr">
        <is>
          <t>🟢</t>
        </is>
      </c>
    </row>
    <row r="42">
      <c r="A42" t="inlineStr">
        <is>
          <t>Overdue Verifications</t>
        </is>
      </c>
      <c r="B42" s="8" t="inlineStr">
        <is>
          <t>'[ISMS-IMP-A.8.8.12.xlsx]Metric_Definitions'!P52</t>
        </is>
      </c>
      <c r="C42" s="7" t="inlineStr">
        <is>
          <t>0</t>
        </is>
      </c>
      <c r="D42" s="35" t="inlineStr">
        <is>
          <t>🟢</t>
        </is>
      </c>
    </row>
    <row r="43">
      <c r="A43" t="inlineStr">
        <is>
          <t>Failed Verifications (Re-work)</t>
        </is>
      </c>
      <c r="B43" s="8" t="inlineStr">
        <is>
          <t>'[ISMS-IMP-A.8.8.12.xlsx]Metric_Definitions'!P55</t>
        </is>
      </c>
      <c r="C43" s="7" t="inlineStr">
        <is>
          <t>0</t>
        </is>
      </c>
      <c r="D43" s="35" t="inlineStr">
        <is>
          <t>🟢</t>
        </is>
      </c>
    </row>
    <row r="44">
      <c r="A44" t="inlineStr">
        <is>
          <t>First-Time Success %</t>
        </is>
      </c>
      <c r="B44" s="13" t="inlineStr">
        <is>
          <t>'[ISMS-IMP-A.8.8.12.xlsx]Metric_Definitions'!P58</t>
        </is>
      </c>
      <c r="C44" s="7" t="inlineStr">
        <is>
          <t>&gt;90%</t>
        </is>
      </c>
      <c r="D44" s="35" t="inlineStr">
        <is>
          <t>🟢</t>
        </is>
      </c>
    </row>
    <row r="45">
      <c r="A45" t="inlineStr">
        <is>
          <t>Verification SLA Compliance %</t>
        </is>
      </c>
      <c r="B45" s="13" t="inlineStr">
        <is>
          <t>'[ISMS-IMP-A.8.8.12.xlsx]Metric_Definitions'!P59</t>
        </is>
      </c>
      <c r="C45" s="7" t="inlineStr">
        <is>
          <t>&gt;95%</t>
        </is>
      </c>
      <c r="D45" s="35" t="inlineStr">
        <is>
          <t>🟢</t>
        </is>
      </c>
    </row>
    <row r="48">
      <c r="A48" s="24" t="inlineStr">
        <is>
          <t>SECTION E: PROGRAM EFFICIENCY</t>
        </is>
      </c>
    </row>
    <row r="50">
      <c r="A50" s="25" t="inlineStr">
        <is>
          <t>Efficiency Metric</t>
        </is>
      </c>
      <c r="B50" s="25" t="inlineStr">
        <is>
          <t>Current</t>
        </is>
      </c>
      <c r="C50" s="25" t="inlineStr">
        <is>
          <t>Target</t>
        </is>
      </c>
      <c r="D50" s="25" t="inlineStr">
        <is>
          <t>Notes</t>
        </is>
      </c>
    </row>
    <row r="51">
      <c r="A51" t="inlineStr">
        <is>
          <t>Vulnerabilities per Analyst (Monthly)</t>
        </is>
      </c>
      <c r="B51" s="15" t="inlineStr">
        <is>
          <t>[Count]</t>
        </is>
      </c>
      <c r="C51" s="7" t="inlineStr">
        <is>
          <t>&lt;200</t>
        </is>
      </c>
      <c r="D51" s="19" t="inlineStr">
        <is>
          <t>Workload tracking</t>
        </is>
      </c>
    </row>
    <row r="52">
      <c r="A52" t="inlineStr">
        <is>
          <t>Cost per Vulnerability Closed (CHF)</t>
        </is>
      </c>
      <c r="B52" s="40" t="inlineStr">
        <is>
          <t>[Amount]</t>
        </is>
      </c>
      <c r="C52" s="7" t="inlineStr">
        <is>
          <t>&lt;100</t>
        </is>
      </c>
      <c r="D52" s="19" t="inlineStr">
        <is>
          <t>ROI measurement</t>
        </is>
      </c>
    </row>
    <row r="53">
      <c r="A53" t="inlineStr">
        <is>
          <t>Automation Rate %</t>
        </is>
      </c>
      <c r="B53" s="41" t="inlineStr">
        <is>
          <t>[Percentage]</t>
        </is>
      </c>
      <c r="C53" s="7" t="inlineStr">
        <is>
          <t>&gt;60%</t>
        </is>
      </c>
      <c r="D53" s="19" t="inlineStr">
        <is>
          <t>Process automation</t>
        </is>
      </c>
    </row>
    <row r="54">
      <c r="A54" t="inlineStr">
        <is>
          <t>Average Process Cycle Time (Days)</t>
        </is>
      </c>
      <c r="B54" s="15" t="inlineStr">
        <is>
          <t>[Days]</t>
        </is>
      </c>
      <c r="C54" s="7" t="inlineStr">
        <is>
          <t>&lt;30</t>
        </is>
      </c>
      <c r="D54" s="19" t="inlineStr">
        <is>
          <t>Discovery to closure</t>
        </is>
      </c>
    </row>
    <row r="55">
      <c r="A55" t="inlineStr">
        <is>
          <t>Exception Rate %</t>
        </is>
      </c>
      <c r="B55" s="41" t="inlineStr">
        <is>
          <t>'[ISMS-IMP-A.8.8.12.xlsx]Metric_Definitions'!P68</t>
        </is>
      </c>
      <c r="C55" s="7" t="inlineStr">
        <is>
          <t>&lt;3%</t>
        </is>
      </c>
      <c r="D55" s="19" t="inlineStr">
        <is>
          <t>% of total vulns</t>
        </is>
      </c>
    </row>
  </sheetData>
  <mergeCells count="6">
    <mergeCell ref="A48:H48"/>
    <mergeCell ref="A3:H3"/>
    <mergeCell ref="A15:H15"/>
    <mergeCell ref="A25:H25"/>
    <mergeCell ref="A1:H1"/>
    <mergeCell ref="A37:H3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0" customHeight="1">
      <c r="A1" s="22" t="inlineStr">
        <is>
          <t>12-MONTH TREND ANALYSIS</t>
        </is>
      </c>
    </row>
    <row r="3">
      <c r="A3" s="24" t="inlineStr">
        <is>
          <t>SECTION A: VULNERABILITY TRENDS</t>
        </is>
      </c>
    </row>
    <row r="5">
      <c r="A5" s="25" t="inlineStr">
        <is>
          <t>Metric</t>
        </is>
      </c>
      <c r="B5" s="25" t="inlineStr">
        <is>
          <t>M-11</t>
        </is>
      </c>
      <c r="C5" s="25" t="inlineStr">
        <is>
          <t>M-10</t>
        </is>
      </c>
      <c r="D5" s="25" t="inlineStr">
        <is>
          <t>M-9</t>
        </is>
      </c>
      <c r="E5" s="25" t="inlineStr">
        <is>
          <t>M-8</t>
        </is>
      </c>
      <c r="F5" s="25" t="inlineStr">
        <is>
          <t>M-7</t>
        </is>
      </c>
      <c r="G5" s="25" t="inlineStr">
        <is>
          <t>M-6</t>
        </is>
      </c>
      <c r="H5" s="25" t="inlineStr">
        <is>
          <t>M-5</t>
        </is>
      </c>
      <c r="I5" s="25" t="inlineStr">
        <is>
          <t>M-4</t>
        </is>
      </c>
      <c r="J5" s="25" t="inlineStr">
        <is>
          <t>M-3</t>
        </is>
      </c>
      <c r="K5" s="25" t="inlineStr">
        <is>
          <t>M-2</t>
        </is>
      </c>
      <c r="L5" s="25" t="inlineStr">
        <is>
          <t>M-1</t>
        </is>
      </c>
      <c r="M5" s="25" t="inlineStr">
        <is>
          <t>M-0</t>
        </is>
      </c>
      <c r="N5" s="25" t="inlineStr">
        <is>
          <t>Trend</t>
        </is>
      </c>
    </row>
    <row r="6">
      <c r="A6" s="34" t="inlineStr">
        <is>
          <t>Total Active Vulnerabilities</t>
        </is>
      </c>
      <c r="B6" s="16" t="inlineStr">
        <is>
          <t>[Data]</t>
        </is>
      </c>
      <c r="C6" s="16" t="inlineStr">
        <is>
          <t>[Data]</t>
        </is>
      </c>
      <c r="D6" s="16" t="inlineStr">
        <is>
          <t>[Data]</t>
        </is>
      </c>
      <c r="E6" s="16" t="inlineStr">
        <is>
          <t>[Data]</t>
        </is>
      </c>
      <c r="F6" s="16" t="inlineStr">
        <is>
          <t>[Data]</t>
        </is>
      </c>
      <c r="G6" s="16" t="inlineStr">
        <is>
          <t>[Data]</t>
        </is>
      </c>
      <c r="H6" s="16" t="inlineStr">
        <is>
          <t>[Data]</t>
        </is>
      </c>
      <c r="I6" s="16" t="inlineStr">
        <is>
          <t>[Data]</t>
        </is>
      </c>
      <c r="J6" s="16" t="inlineStr">
        <is>
          <t>[Data]</t>
        </is>
      </c>
      <c r="K6" s="16" t="inlineStr">
        <is>
          <t>[Data]</t>
        </is>
      </c>
      <c r="L6" s="16" t="inlineStr">
        <is>
          <t>[Data]</t>
        </is>
      </c>
      <c r="M6" s="16" t="inlineStr">
        <is>
          <t>[Data]</t>
        </is>
      </c>
      <c r="N6" s="18" t="inlineStr">
        <is>
          <t>↓</t>
        </is>
      </c>
    </row>
    <row r="7">
      <c r="A7" s="34" t="inlineStr">
        <is>
          <t>New Discoveries (Month)</t>
        </is>
      </c>
      <c r="B7" s="16" t="inlineStr">
        <is>
          <t>[Data]</t>
        </is>
      </c>
      <c r="C7" s="16" t="inlineStr">
        <is>
          <t>[Data]</t>
        </is>
      </c>
      <c r="D7" s="16" t="inlineStr">
        <is>
          <t>[Data]</t>
        </is>
      </c>
      <c r="E7" s="16" t="inlineStr">
        <is>
          <t>[Data]</t>
        </is>
      </c>
      <c r="F7" s="16" t="inlineStr">
        <is>
          <t>[Data]</t>
        </is>
      </c>
      <c r="G7" s="16" t="inlineStr">
        <is>
          <t>[Data]</t>
        </is>
      </c>
      <c r="H7" s="16" t="inlineStr">
        <is>
          <t>[Data]</t>
        </is>
      </c>
      <c r="I7" s="16" t="inlineStr">
        <is>
          <t>[Data]</t>
        </is>
      </c>
      <c r="J7" s="16" t="inlineStr">
        <is>
          <t>[Data]</t>
        </is>
      </c>
      <c r="K7" s="16" t="inlineStr">
        <is>
          <t>[Data]</t>
        </is>
      </c>
      <c r="L7" s="16" t="inlineStr">
        <is>
          <t>[Data]</t>
        </is>
      </c>
      <c r="M7" s="16" t="inlineStr">
        <is>
          <t>[Data]</t>
        </is>
      </c>
      <c r="N7" s="18" t="inlineStr">
        <is>
          <t>↓</t>
        </is>
      </c>
    </row>
    <row r="8">
      <c r="A8" s="34" t="inlineStr">
        <is>
          <t>Closures (Month)</t>
        </is>
      </c>
      <c r="B8" s="16" t="inlineStr">
        <is>
          <t>[Data]</t>
        </is>
      </c>
      <c r="C8" s="16" t="inlineStr">
        <is>
          <t>[Data]</t>
        </is>
      </c>
      <c r="D8" s="16" t="inlineStr">
        <is>
          <t>[Data]</t>
        </is>
      </c>
      <c r="E8" s="16" t="inlineStr">
        <is>
          <t>[Data]</t>
        </is>
      </c>
      <c r="F8" s="16" t="inlineStr">
        <is>
          <t>[Data]</t>
        </is>
      </c>
      <c r="G8" s="16" t="inlineStr">
        <is>
          <t>[Data]</t>
        </is>
      </c>
      <c r="H8" s="16" t="inlineStr">
        <is>
          <t>[Data]</t>
        </is>
      </c>
      <c r="I8" s="16" t="inlineStr">
        <is>
          <t>[Data]</t>
        </is>
      </c>
      <c r="J8" s="16" t="inlineStr">
        <is>
          <t>[Data]</t>
        </is>
      </c>
      <c r="K8" s="16" t="inlineStr">
        <is>
          <t>[Data]</t>
        </is>
      </c>
      <c r="L8" s="16" t="inlineStr">
        <is>
          <t>[Data]</t>
        </is>
      </c>
      <c r="M8" s="16" t="inlineStr">
        <is>
          <t>[Data]</t>
        </is>
      </c>
      <c r="N8" s="18" t="inlineStr">
        <is>
          <t>↓</t>
        </is>
      </c>
    </row>
    <row r="9">
      <c r="A9" s="34" t="inlineStr">
        <is>
          <t>Net Change (Month)</t>
        </is>
      </c>
      <c r="B9" s="16" t="inlineStr">
        <is>
          <t>[Data]</t>
        </is>
      </c>
      <c r="C9" s="16" t="inlineStr">
        <is>
          <t>[Data]</t>
        </is>
      </c>
      <c r="D9" s="16" t="inlineStr">
        <is>
          <t>[Data]</t>
        </is>
      </c>
      <c r="E9" s="16" t="inlineStr">
        <is>
          <t>[Data]</t>
        </is>
      </c>
      <c r="F9" s="16" t="inlineStr">
        <is>
          <t>[Data]</t>
        </is>
      </c>
      <c r="G9" s="16" t="inlineStr">
        <is>
          <t>[Data]</t>
        </is>
      </c>
      <c r="H9" s="16" t="inlineStr">
        <is>
          <t>[Data]</t>
        </is>
      </c>
      <c r="I9" s="16" t="inlineStr">
        <is>
          <t>[Data]</t>
        </is>
      </c>
      <c r="J9" s="16" t="inlineStr">
        <is>
          <t>[Data]</t>
        </is>
      </c>
      <c r="K9" s="16" t="inlineStr">
        <is>
          <t>[Data]</t>
        </is>
      </c>
      <c r="L9" s="16" t="inlineStr">
        <is>
          <t>[Data]</t>
        </is>
      </c>
      <c r="M9" s="16" t="inlineStr">
        <is>
          <t>[Data]</t>
        </is>
      </c>
      <c r="N9" s="18" t="inlineStr">
        <is>
          <t>↓</t>
        </is>
      </c>
    </row>
    <row r="10">
      <c r="A10" s="34" t="inlineStr">
        <is>
          <t>Critical Count (CVSS ≥9.0)</t>
        </is>
      </c>
      <c r="B10" s="16" t="inlineStr">
        <is>
          <t>[Data]</t>
        </is>
      </c>
      <c r="C10" s="16" t="inlineStr">
        <is>
          <t>[Data]</t>
        </is>
      </c>
      <c r="D10" s="16" t="inlineStr">
        <is>
          <t>[Data]</t>
        </is>
      </c>
      <c r="E10" s="16" t="inlineStr">
        <is>
          <t>[Data]</t>
        </is>
      </c>
      <c r="F10" s="16" t="inlineStr">
        <is>
          <t>[Data]</t>
        </is>
      </c>
      <c r="G10" s="16" t="inlineStr">
        <is>
          <t>[Data]</t>
        </is>
      </c>
      <c r="H10" s="16" t="inlineStr">
        <is>
          <t>[Data]</t>
        </is>
      </c>
      <c r="I10" s="16" t="inlineStr">
        <is>
          <t>[Data]</t>
        </is>
      </c>
      <c r="J10" s="16" t="inlineStr">
        <is>
          <t>[Data]</t>
        </is>
      </c>
      <c r="K10" s="16" t="inlineStr">
        <is>
          <t>[Data]</t>
        </is>
      </c>
      <c r="L10" s="16" t="inlineStr">
        <is>
          <t>[Data]</t>
        </is>
      </c>
      <c r="M10" s="16" t="inlineStr">
        <is>
          <t>[Data]</t>
        </is>
      </c>
      <c r="N10" s="18" t="inlineStr">
        <is>
          <t>↓</t>
        </is>
      </c>
    </row>
    <row r="11">
      <c r="A11" s="34" t="inlineStr">
        <is>
          <t>High Count (CVSS 7.0-8.9)</t>
        </is>
      </c>
      <c r="B11" s="16" t="inlineStr">
        <is>
          <t>[Data]</t>
        </is>
      </c>
      <c r="C11" s="16" t="inlineStr">
        <is>
          <t>[Data]</t>
        </is>
      </c>
      <c r="D11" s="16" t="inlineStr">
        <is>
          <t>[Data]</t>
        </is>
      </c>
      <c r="E11" s="16" t="inlineStr">
        <is>
          <t>[Data]</t>
        </is>
      </c>
      <c r="F11" s="16" t="inlineStr">
        <is>
          <t>[Data]</t>
        </is>
      </c>
      <c r="G11" s="16" t="inlineStr">
        <is>
          <t>[Data]</t>
        </is>
      </c>
      <c r="H11" s="16" t="inlineStr">
        <is>
          <t>[Data]</t>
        </is>
      </c>
      <c r="I11" s="16" t="inlineStr">
        <is>
          <t>[Data]</t>
        </is>
      </c>
      <c r="J11" s="16" t="inlineStr">
        <is>
          <t>[Data]</t>
        </is>
      </c>
      <c r="K11" s="16" t="inlineStr">
        <is>
          <t>[Data]</t>
        </is>
      </c>
      <c r="L11" s="16" t="inlineStr">
        <is>
          <t>[Data]</t>
        </is>
      </c>
      <c r="M11" s="16" t="inlineStr">
        <is>
          <t>[Data]</t>
        </is>
      </c>
      <c r="N11" s="18" t="inlineStr">
        <is>
          <t>↓</t>
        </is>
      </c>
    </row>
    <row r="14">
      <c r="A14" s="24" t="inlineStr">
        <is>
          <t>SECTION B: RISK TRENDS</t>
        </is>
      </c>
    </row>
    <row r="16">
      <c r="A16" s="25" t="inlineStr">
        <is>
          <t>Metric</t>
        </is>
      </c>
      <c r="B16" s="25" t="inlineStr">
        <is>
          <t>M-11</t>
        </is>
      </c>
      <c r="C16" s="25" t="inlineStr">
        <is>
          <t>M-10</t>
        </is>
      </c>
      <c r="D16" s="25" t="inlineStr">
        <is>
          <t>M-9</t>
        </is>
      </c>
      <c r="E16" s="25" t="inlineStr">
        <is>
          <t>M-8</t>
        </is>
      </c>
      <c r="F16" s="25" t="inlineStr">
        <is>
          <t>M-7</t>
        </is>
      </c>
      <c r="G16" s="25" t="inlineStr">
        <is>
          <t>M-6</t>
        </is>
      </c>
      <c r="H16" s="25" t="inlineStr">
        <is>
          <t>M-5</t>
        </is>
      </c>
      <c r="I16" s="25" t="inlineStr">
        <is>
          <t>M-4</t>
        </is>
      </c>
      <c r="J16" s="25" t="inlineStr">
        <is>
          <t>M-3</t>
        </is>
      </c>
      <c r="K16" s="25" t="inlineStr">
        <is>
          <t>M-2</t>
        </is>
      </c>
      <c r="L16" s="25" t="inlineStr">
        <is>
          <t>M-1</t>
        </is>
      </c>
      <c r="M16" s="25" t="inlineStr">
        <is>
          <t>M-0</t>
        </is>
      </c>
      <c r="N16" s="25" t="inlineStr">
        <is>
          <t>Trend</t>
        </is>
      </c>
    </row>
    <row r="17">
      <c r="A17" s="34" t="inlineStr">
        <is>
          <t>Total Risk Score</t>
        </is>
      </c>
      <c r="B17" s="16" t="inlineStr">
        <is>
          <t>[Data]</t>
        </is>
      </c>
      <c r="C17" s="16" t="inlineStr">
        <is>
          <t>[Data]</t>
        </is>
      </c>
      <c r="D17" s="16" t="inlineStr">
        <is>
          <t>[Data]</t>
        </is>
      </c>
      <c r="E17" s="16" t="inlineStr">
        <is>
          <t>[Data]</t>
        </is>
      </c>
      <c r="F17" s="16" t="inlineStr">
        <is>
          <t>[Data]</t>
        </is>
      </c>
      <c r="G17" s="16" t="inlineStr">
        <is>
          <t>[Data]</t>
        </is>
      </c>
      <c r="H17" s="16" t="inlineStr">
        <is>
          <t>[Data]</t>
        </is>
      </c>
      <c r="I17" s="16" t="inlineStr">
        <is>
          <t>[Data]</t>
        </is>
      </c>
      <c r="J17" s="16" t="inlineStr">
        <is>
          <t>[Data]</t>
        </is>
      </c>
      <c r="K17" s="16" t="inlineStr">
        <is>
          <t>[Data]</t>
        </is>
      </c>
      <c r="L17" s="16" t="inlineStr">
        <is>
          <t>[Data]</t>
        </is>
      </c>
      <c r="M17" s="16" t="inlineStr">
        <is>
          <t>[Data]</t>
        </is>
      </c>
      <c r="N17" s="18" t="inlineStr">
        <is>
          <t>↓</t>
        </is>
      </c>
    </row>
    <row r="18">
      <c r="A18" s="34" t="inlineStr">
        <is>
          <t>Critical Risk Count</t>
        </is>
      </c>
      <c r="B18" s="16" t="inlineStr">
        <is>
          <t>[Data]</t>
        </is>
      </c>
      <c r="C18" s="16" t="inlineStr">
        <is>
          <t>[Data]</t>
        </is>
      </c>
      <c r="D18" s="16" t="inlineStr">
        <is>
          <t>[Data]</t>
        </is>
      </c>
      <c r="E18" s="16" t="inlineStr">
        <is>
          <t>[Data]</t>
        </is>
      </c>
      <c r="F18" s="16" t="inlineStr">
        <is>
          <t>[Data]</t>
        </is>
      </c>
      <c r="G18" s="16" t="inlineStr">
        <is>
          <t>[Data]</t>
        </is>
      </c>
      <c r="H18" s="16" t="inlineStr">
        <is>
          <t>[Data]</t>
        </is>
      </c>
      <c r="I18" s="16" t="inlineStr">
        <is>
          <t>[Data]</t>
        </is>
      </c>
      <c r="J18" s="16" t="inlineStr">
        <is>
          <t>[Data]</t>
        </is>
      </c>
      <c r="K18" s="16" t="inlineStr">
        <is>
          <t>[Data]</t>
        </is>
      </c>
      <c r="L18" s="16" t="inlineStr">
        <is>
          <t>[Data]</t>
        </is>
      </c>
      <c r="M18" s="16" t="inlineStr">
        <is>
          <t>[Data]</t>
        </is>
      </c>
      <c r="N18" s="18" t="inlineStr">
        <is>
          <t>↓</t>
        </is>
      </c>
    </row>
    <row r="19">
      <c r="A19" s="34" t="inlineStr">
        <is>
          <t>Financial Exposure (CHF '000)</t>
        </is>
      </c>
      <c r="B19" s="16" t="inlineStr">
        <is>
          <t>[Data]</t>
        </is>
      </c>
      <c r="C19" s="16" t="inlineStr">
        <is>
          <t>[Data]</t>
        </is>
      </c>
      <c r="D19" s="16" t="inlineStr">
        <is>
          <t>[Data]</t>
        </is>
      </c>
      <c r="E19" s="16" t="inlineStr">
        <is>
          <t>[Data]</t>
        </is>
      </c>
      <c r="F19" s="16" t="inlineStr">
        <is>
          <t>[Data]</t>
        </is>
      </c>
      <c r="G19" s="16" t="inlineStr">
        <is>
          <t>[Data]</t>
        </is>
      </c>
      <c r="H19" s="16" t="inlineStr">
        <is>
          <t>[Data]</t>
        </is>
      </c>
      <c r="I19" s="16" t="inlineStr">
        <is>
          <t>[Data]</t>
        </is>
      </c>
      <c r="J19" s="16" t="inlineStr">
        <is>
          <t>[Data]</t>
        </is>
      </c>
      <c r="K19" s="16" t="inlineStr">
        <is>
          <t>[Data]</t>
        </is>
      </c>
      <c r="L19" s="16" t="inlineStr">
        <is>
          <t>[Data]</t>
        </is>
      </c>
      <c r="M19" s="16" t="inlineStr">
        <is>
          <t>[Data]</t>
        </is>
      </c>
      <c r="N19" s="18" t="inlineStr">
        <is>
          <t>↓</t>
        </is>
      </c>
    </row>
    <row r="20">
      <c r="A20" s="34" t="inlineStr">
        <is>
          <t>Residual Risk Score</t>
        </is>
      </c>
      <c r="B20" s="16" t="inlineStr">
        <is>
          <t>[Data]</t>
        </is>
      </c>
      <c r="C20" s="16" t="inlineStr">
        <is>
          <t>[Data]</t>
        </is>
      </c>
      <c r="D20" s="16" t="inlineStr">
        <is>
          <t>[Data]</t>
        </is>
      </c>
      <c r="E20" s="16" t="inlineStr">
        <is>
          <t>[Data]</t>
        </is>
      </c>
      <c r="F20" s="16" t="inlineStr">
        <is>
          <t>[Data]</t>
        </is>
      </c>
      <c r="G20" s="16" t="inlineStr">
        <is>
          <t>[Data]</t>
        </is>
      </c>
      <c r="H20" s="16" t="inlineStr">
        <is>
          <t>[Data]</t>
        </is>
      </c>
      <c r="I20" s="16" t="inlineStr">
        <is>
          <t>[Data]</t>
        </is>
      </c>
      <c r="J20" s="16" t="inlineStr">
        <is>
          <t>[Data]</t>
        </is>
      </c>
      <c r="K20" s="16" t="inlineStr">
        <is>
          <t>[Data]</t>
        </is>
      </c>
      <c r="L20" s="16" t="inlineStr">
        <is>
          <t>[Data]</t>
        </is>
      </c>
      <c r="M20" s="16" t="inlineStr">
        <is>
          <t>[Data]</t>
        </is>
      </c>
      <c r="N20" s="18" t="inlineStr">
        <is>
          <t>↓</t>
        </is>
      </c>
    </row>
    <row r="21">
      <c r="A21" s="34" t="inlineStr">
        <is>
          <t>Active Exceptions</t>
        </is>
      </c>
      <c r="B21" s="16" t="inlineStr">
        <is>
          <t>[Data]</t>
        </is>
      </c>
      <c r="C21" s="16" t="inlineStr">
        <is>
          <t>[Data]</t>
        </is>
      </c>
      <c r="D21" s="16" t="inlineStr">
        <is>
          <t>[Data]</t>
        </is>
      </c>
      <c r="E21" s="16" t="inlineStr">
        <is>
          <t>[Data]</t>
        </is>
      </c>
      <c r="F21" s="16" t="inlineStr">
        <is>
          <t>[Data]</t>
        </is>
      </c>
      <c r="G21" s="16" t="inlineStr">
        <is>
          <t>[Data]</t>
        </is>
      </c>
      <c r="H21" s="16" t="inlineStr">
        <is>
          <t>[Data]</t>
        </is>
      </c>
      <c r="I21" s="16" t="inlineStr">
        <is>
          <t>[Data]</t>
        </is>
      </c>
      <c r="J21" s="16" t="inlineStr">
        <is>
          <t>[Data]</t>
        </is>
      </c>
      <c r="K21" s="16" t="inlineStr">
        <is>
          <t>[Data]</t>
        </is>
      </c>
      <c r="L21" s="16" t="inlineStr">
        <is>
          <t>[Data]</t>
        </is>
      </c>
      <c r="M21" s="16" t="inlineStr">
        <is>
          <t>[Data]</t>
        </is>
      </c>
      <c r="N21" s="18" t="inlineStr">
        <is>
          <t>↓</t>
        </is>
      </c>
    </row>
    <row r="24">
      <c r="A24" s="24" t="inlineStr">
        <is>
          <t>SECTION C: PERFORMANCE TRENDS</t>
        </is>
      </c>
    </row>
    <row r="26">
      <c r="A26" s="25" t="inlineStr">
        <is>
          <t>Metric</t>
        </is>
      </c>
      <c r="B26" s="25" t="inlineStr">
        <is>
          <t>M-11</t>
        </is>
      </c>
      <c r="C26" s="25" t="inlineStr">
        <is>
          <t>M-10</t>
        </is>
      </c>
      <c r="D26" s="25" t="inlineStr">
        <is>
          <t>M-9</t>
        </is>
      </c>
      <c r="E26" s="25" t="inlineStr">
        <is>
          <t>M-8</t>
        </is>
      </c>
      <c r="F26" s="25" t="inlineStr">
        <is>
          <t>M-7</t>
        </is>
      </c>
      <c r="G26" s="25" t="inlineStr">
        <is>
          <t>M-6</t>
        </is>
      </c>
      <c r="H26" s="25" t="inlineStr">
        <is>
          <t>M-5</t>
        </is>
      </c>
      <c r="I26" s="25" t="inlineStr">
        <is>
          <t>M-4</t>
        </is>
      </c>
      <c r="J26" s="25" t="inlineStr">
        <is>
          <t>M-3</t>
        </is>
      </c>
      <c r="K26" s="25" t="inlineStr">
        <is>
          <t>M-2</t>
        </is>
      </c>
      <c r="L26" s="25" t="inlineStr">
        <is>
          <t>M-1</t>
        </is>
      </c>
      <c r="M26" s="25" t="inlineStr">
        <is>
          <t>M-0</t>
        </is>
      </c>
      <c r="N26" s="25" t="inlineStr">
        <is>
          <t>Trend</t>
        </is>
      </c>
    </row>
    <row r="27">
      <c r="A27" s="34" t="inlineStr">
        <is>
          <t>SLA Compliance %</t>
        </is>
      </c>
      <c r="B27" s="16" t="inlineStr">
        <is>
          <t>[Data]</t>
        </is>
      </c>
      <c r="C27" s="16" t="inlineStr">
        <is>
          <t>[Data]</t>
        </is>
      </c>
      <c r="D27" s="16" t="inlineStr">
        <is>
          <t>[Data]</t>
        </is>
      </c>
      <c r="E27" s="16" t="inlineStr">
        <is>
          <t>[Data]</t>
        </is>
      </c>
      <c r="F27" s="16" t="inlineStr">
        <is>
          <t>[Data]</t>
        </is>
      </c>
      <c r="G27" s="16" t="inlineStr">
        <is>
          <t>[Data]</t>
        </is>
      </c>
      <c r="H27" s="16" t="inlineStr">
        <is>
          <t>[Data]</t>
        </is>
      </c>
      <c r="I27" s="16" t="inlineStr">
        <is>
          <t>[Data]</t>
        </is>
      </c>
      <c r="J27" s="16" t="inlineStr">
        <is>
          <t>[Data]</t>
        </is>
      </c>
      <c r="K27" s="16" t="inlineStr">
        <is>
          <t>[Data]</t>
        </is>
      </c>
      <c r="L27" s="16" t="inlineStr">
        <is>
          <t>[Data]</t>
        </is>
      </c>
      <c r="M27" s="16" t="inlineStr">
        <is>
          <t>[Data]</t>
        </is>
      </c>
      <c r="N27" s="18" t="inlineStr">
        <is>
          <t>→</t>
        </is>
      </c>
    </row>
    <row r="28">
      <c r="A28" s="34" t="inlineStr">
        <is>
          <t>Deployment Success %</t>
        </is>
      </c>
      <c r="B28" s="16" t="inlineStr">
        <is>
          <t>[Data]</t>
        </is>
      </c>
      <c r="C28" s="16" t="inlineStr">
        <is>
          <t>[Data]</t>
        </is>
      </c>
      <c r="D28" s="16" t="inlineStr">
        <is>
          <t>[Data]</t>
        </is>
      </c>
      <c r="E28" s="16" t="inlineStr">
        <is>
          <t>[Data]</t>
        </is>
      </c>
      <c r="F28" s="16" t="inlineStr">
        <is>
          <t>[Data]</t>
        </is>
      </c>
      <c r="G28" s="16" t="inlineStr">
        <is>
          <t>[Data]</t>
        </is>
      </c>
      <c r="H28" s="16" t="inlineStr">
        <is>
          <t>[Data]</t>
        </is>
      </c>
      <c r="I28" s="16" t="inlineStr">
        <is>
          <t>[Data]</t>
        </is>
      </c>
      <c r="J28" s="16" t="inlineStr">
        <is>
          <t>[Data]</t>
        </is>
      </c>
      <c r="K28" s="16" t="inlineStr">
        <is>
          <t>[Data]</t>
        </is>
      </c>
      <c r="L28" s="16" t="inlineStr">
        <is>
          <t>[Data]</t>
        </is>
      </c>
      <c r="M28" s="16" t="inlineStr">
        <is>
          <t>[Data]</t>
        </is>
      </c>
      <c r="N28" s="18" t="inlineStr">
        <is>
          <t>→</t>
        </is>
      </c>
    </row>
    <row r="29">
      <c r="A29" s="34" t="inlineStr">
        <is>
          <t>Verification Success %</t>
        </is>
      </c>
      <c r="B29" s="16" t="inlineStr">
        <is>
          <t>[Data]</t>
        </is>
      </c>
      <c r="C29" s="16" t="inlineStr">
        <is>
          <t>[Data]</t>
        </is>
      </c>
      <c r="D29" s="16" t="inlineStr">
        <is>
          <t>[Data]</t>
        </is>
      </c>
      <c r="E29" s="16" t="inlineStr">
        <is>
          <t>[Data]</t>
        </is>
      </c>
      <c r="F29" s="16" t="inlineStr">
        <is>
          <t>[Data]</t>
        </is>
      </c>
      <c r="G29" s="16" t="inlineStr">
        <is>
          <t>[Data]</t>
        </is>
      </c>
      <c r="H29" s="16" t="inlineStr">
        <is>
          <t>[Data]</t>
        </is>
      </c>
      <c r="I29" s="16" t="inlineStr">
        <is>
          <t>[Data]</t>
        </is>
      </c>
      <c r="J29" s="16" t="inlineStr">
        <is>
          <t>[Data]</t>
        </is>
      </c>
      <c r="K29" s="16" t="inlineStr">
        <is>
          <t>[Data]</t>
        </is>
      </c>
      <c r="L29" s="16" t="inlineStr">
        <is>
          <t>[Data]</t>
        </is>
      </c>
      <c r="M29" s="16" t="inlineStr">
        <is>
          <t>[Data]</t>
        </is>
      </c>
      <c r="N29" s="18" t="inlineStr">
        <is>
          <t>→</t>
        </is>
      </c>
    </row>
    <row r="30">
      <c r="A30" s="34" t="inlineStr">
        <is>
          <t>Average Remediation Time (Days)</t>
        </is>
      </c>
      <c r="B30" s="16" t="inlineStr">
        <is>
          <t>[Data]</t>
        </is>
      </c>
      <c r="C30" s="16" t="inlineStr">
        <is>
          <t>[Data]</t>
        </is>
      </c>
      <c r="D30" s="16" t="inlineStr">
        <is>
          <t>[Data]</t>
        </is>
      </c>
      <c r="E30" s="16" t="inlineStr">
        <is>
          <t>[Data]</t>
        </is>
      </c>
      <c r="F30" s="16" t="inlineStr">
        <is>
          <t>[Data]</t>
        </is>
      </c>
      <c r="G30" s="16" t="inlineStr">
        <is>
          <t>[Data]</t>
        </is>
      </c>
      <c r="H30" s="16" t="inlineStr">
        <is>
          <t>[Data]</t>
        </is>
      </c>
      <c r="I30" s="16" t="inlineStr">
        <is>
          <t>[Data]</t>
        </is>
      </c>
      <c r="J30" s="16" t="inlineStr">
        <is>
          <t>[Data]</t>
        </is>
      </c>
      <c r="K30" s="16" t="inlineStr">
        <is>
          <t>[Data]</t>
        </is>
      </c>
      <c r="L30" s="16" t="inlineStr">
        <is>
          <t>[Data]</t>
        </is>
      </c>
      <c r="M30" s="16" t="inlineStr">
        <is>
          <t>[Data]</t>
        </is>
      </c>
      <c r="N30" s="18" t="inlineStr">
        <is>
          <t>→</t>
        </is>
      </c>
    </row>
    <row r="31">
      <c r="A31" s="34" t="inlineStr">
        <is>
          <t>Scanner Uptime %</t>
        </is>
      </c>
      <c r="B31" s="16" t="inlineStr">
        <is>
          <t>[Data]</t>
        </is>
      </c>
      <c r="C31" s="16" t="inlineStr">
        <is>
          <t>[Data]</t>
        </is>
      </c>
      <c r="D31" s="16" t="inlineStr">
        <is>
          <t>[Data]</t>
        </is>
      </c>
      <c r="E31" s="16" t="inlineStr">
        <is>
          <t>[Data]</t>
        </is>
      </c>
      <c r="F31" s="16" t="inlineStr">
        <is>
          <t>[Data]</t>
        </is>
      </c>
      <c r="G31" s="16" t="inlineStr">
        <is>
          <t>[Data]</t>
        </is>
      </c>
      <c r="H31" s="16" t="inlineStr">
        <is>
          <t>[Data]</t>
        </is>
      </c>
      <c r="I31" s="16" t="inlineStr">
        <is>
          <t>[Data]</t>
        </is>
      </c>
      <c r="J31" s="16" t="inlineStr">
        <is>
          <t>[Data]</t>
        </is>
      </c>
      <c r="K31" s="16" t="inlineStr">
        <is>
          <t>[Data]</t>
        </is>
      </c>
      <c r="L31" s="16" t="inlineStr">
        <is>
          <t>[Data]</t>
        </is>
      </c>
      <c r="M31" s="16" t="inlineStr">
        <is>
          <t>[Data]</t>
        </is>
      </c>
      <c r="N31" s="18" t="inlineStr">
        <is>
          <t>→</t>
        </is>
      </c>
    </row>
    <row r="34">
      <c r="A34" s="24" t="inlineStr">
        <is>
          <t>SECTION D: YEAR-OVER-YEAR COMPARISON</t>
        </is>
      </c>
    </row>
    <row r="36">
      <c r="A36" s="25" t="inlineStr">
        <is>
          <t>Metric</t>
        </is>
      </c>
      <c r="B36" s="25" t="inlineStr">
        <is>
          <t>Current Year</t>
        </is>
      </c>
      <c r="C36" s="25" t="inlineStr">
        <is>
          <t>Prior Year</t>
        </is>
      </c>
      <c r="D36" s="25" t="inlineStr">
        <is>
          <t>Delta</t>
        </is>
      </c>
      <c r="E36" s="25" t="inlineStr">
        <is>
          <t>% Change</t>
        </is>
      </c>
    </row>
    <row r="37">
      <c r="A37" t="inlineStr">
        <is>
          <t>Avg Active Vulnerabilities</t>
        </is>
      </c>
      <c r="B37" s="16" t="inlineStr">
        <is>
          <t>[Current]</t>
        </is>
      </c>
      <c r="C37" s="16" t="inlineStr">
        <is>
          <t>[Prior]</t>
        </is>
      </c>
      <c r="D37" s="30">
        <f>B37-C37</f>
        <v/>
      </c>
      <c r="E37" s="11">
        <f>D37/C37</f>
        <v/>
      </c>
    </row>
    <row r="38">
      <c r="A38" t="inlineStr">
        <is>
          <t>Avg SLA Compliance %</t>
        </is>
      </c>
      <c r="B38" s="16" t="inlineStr">
        <is>
          <t>[Current]</t>
        </is>
      </c>
      <c r="C38" s="16" t="inlineStr">
        <is>
          <t>[Prior]</t>
        </is>
      </c>
      <c r="D38" s="30">
        <f>B38-C38</f>
        <v/>
      </c>
      <c r="E38" s="11">
        <f>D38/C38</f>
        <v/>
      </c>
    </row>
    <row r="39">
      <c r="A39" t="inlineStr">
        <is>
          <t>Total Closures</t>
        </is>
      </c>
      <c r="B39" s="16" t="inlineStr">
        <is>
          <t>[Current]</t>
        </is>
      </c>
      <c r="C39" s="16" t="inlineStr">
        <is>
          <t>[Prior]</t>
        </is>
      </c>
      <c r="D39" s="30">
        <f>B39-C39</f>
        <v/>
      </c>
      <c r="E39" s="11">
        <f>D39/C39</f>
        <v/>
      </c>
    </row>
    <row r="40">
      <c r="A40" t="inlineStr">
        <is>
          <t>Avg Risk Score</t>
        </is>
      </c>
      <c r="B40" s="16" t="inlineStr">
        <is>
          <t>[Current]</t>
        </is>
      </c>
      <c r="C40" s="16" t="inlineStr">
        <is>
          <t>[Prior]</t>
        </is>
      </c>
      <c r="D40" s="30">
        <f>B40-C40</f>
        <v/>
      </c>
      <c r="E40" s="11">
        <f>D40/C40</f>
        <v/>
      </c>
    </row>
    <row r="41">
      <c r="A41" t="inlineStr">
        <is>
          <t>Program Health Score %</t>
        </is>
      </c>
      <c r="B41" s="16" t="inlineStr">
        <is>
          <t>[Current]</t>
        </is>
      </c>
      <c r="C41" s="16" t="inlineStr">
        <is>
          <t>[Prior]</t>
        </is>
      </c>
      <c r="D41" s="30">
        <f>B41-C41</f>
        <v/>
      </c>
      <c r="E41" s="11">
        <f>D41/C41</f>
        <v/>
      </c>
    </row>
    <row r="44">
      <c r="A44" s="42" t="inlineStr">
        <is>
          <t>⚠️ UPDATE INSTRUCTIONS</t>
        </is>
      </c>
    </row>
    <row r="45" ht="60" customHeight="1">
      <c r="A45" s="43" t="inlineStr">
        <is>
          <t>Monthly Update Process:
1. Copy current metric values from IMP-12 (Metric_Definitions column P or Monthly_Trends sheet)
2. Enter in the most recent month column (rightmost)
3. Update trend arrows (↑↓→) based on direction
4. Update YoY comparison with annual averages
Data Source: IMP-12 Monthly_Trends sheet or manual tracking spreadsheet</t>
        </is>
      </c>
    </row>
    <row r="46"/>
    <row r="47"/>
  </sheetData>
  <mergeCells count="7">
    <mergeCell ref="A3:N3"/>
    <mergeCell ref="A34:N34"/>
    <mergeCell ref="A24:N24"/>
    <mergeCell ref="A45:N47"/>
    <mergeCell ref="A14:N14"/>
    <mergeCell ref="A44:N44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2026-01-31T02:16:46Z</dcterms:created>
  <dcterms:modified xmlns:dcterms="http://purl.org/dc/terms/" xmlns:xsi="http://www.w3.org/2001/XMLSchema-instance" xsi:type="dcterms:W3CDTF">2026-01-31T02:16:46Z</dcterms:modified>
</cp:coreProperties>
</file>