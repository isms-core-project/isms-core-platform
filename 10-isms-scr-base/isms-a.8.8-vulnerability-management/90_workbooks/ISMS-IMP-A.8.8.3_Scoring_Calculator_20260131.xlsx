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VSS_v40_Calculator" sheetId="2" state="visible" r:id="rId2"/>
    <sheet xmlns:r="http://schemas.openxmlformats.org/officeDocument/2006/relationships" name="CVSS_v31_Calculator" sheetId="3" state="visible" r:id="rId3"/>
    <sheet xmlns:r="http://schemas.openxmlformats.org/officeDocument/2006/relationships" name="Score_Comparison" sheetId="4" state="visible" r:id="rId4"/>
    <sheet xmlns:r="http://schemas.openxmlformats.org/officeDocument/2006/relationships" name="Vector_String_Reference" sheetId="5" state="visible" r:id="rId5"/>
    <sheet xmlns:r="http://schemas.openxmlformats.org/officeDocument/2006/relationships" name="Training_Scenarios" sheetId="6" state="visible" r:id="rId6"/>
    <sheet xmlns:r="http://schemas.openxmlformats.org/officeDocument/2006/relationships" name="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.0"/>
  </numFmts>
  <fonts count="8">
    <font>
      <name val="Calibri"/>
      <family val="2"/>
      <color theme="1"/>
      <sz val="11"/>
      <scheme val="minor"/>
    </font>
    <font>
      <b val="1"/>
      <color rgb="00003366"/>
      <sz val="16"/>
    </font>
    <font>
      <name val="Calibri"/>
      <b val="1"/>
      <sz val="12"/>
    </font>
    <font>
      <name val="Calibri"/>
      <b val="1"/>
      <sz val="14"/>
    </font>
    <font>
      <b val="1"/>
    </font>
    <font>
      <b val="1"/>
      <sz val="14"/>
    </font>
    <font>
      <name val="Calibri"/>
      <b val="1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7" fillId="3" borderId="1" pivotButton="0" quotePrefix="0" xfId="0"/>
    <xf numFmtId="165" fontId="0" fillId="0" borderId="0" pivotButton="0" quotePrefix="0" xfId="0"/>
    <xf numFmtId="0" fontId="0" fillId="0" borderId="1" pivotButton="0" quotePrefix="0" xfId="0"/>
    <xf numFmtId="0" fontId="7" fillId="3" borderId="0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000000"/>
      </font>
      <fill>
        <patternFill patternType="solid">
          <fgColor rgb="00FFA500"/>
          <bgColor rgb="00FFA500"/>
        </patternFill>
      </fill>
    </dxf>
    <dxf>
      <font>
        <b val="1"/>
        <color rgb="00000000"/>
      </font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ISMS</author>
  </authors>
  <commentList>
    <comment ref="B28" authorId="0" shapeId="0">
      <text>
        <t>Simplified scoring - full CVSS v4.0 uses lookup tables. For production use, integrate with official CVSS calculator.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CVSS Vulnerability Scoring Calculator</t>
        </is>
      </c>
    </row>
    <row r="3">
      <c r="A3" s="2" t="inlineStr">
        <is>
          <t>Purpose</t>
        </is>
      </c>
    </row>
    <row r="4">
      <c r="A4" t="inlineStr">
        <is>
          <t>Interactive CVSS v4.0 and v3.1 calculators for consistent vulnerability scoring.</t>
        </is>
      </c>
    </row>
    <row r="6">
      <c r="A6" s="2" t="inlineStr">
        <is>
          <t>Quick Start</t>
        </is>
      </c>
    </row>
    <row r="7">
      <c r="A7" t="inlineStr">
        <is>
          <t>1. Select CVSS version (v4.0 recommended, v3.1 for legacy)</t>
        </is>
      </c>
    </row>
    <row r="8">
      <c r="A8" t="inlineStr">
        <is>
          <t>2. Go to CVSS_v40_Calculator (Sheet 2) or CVSS_v31_Calculator (Sheet 3)</t>
        </is>
      </c>
    </row>
    <row r="9">
      <c r="A9" t="inlineStr">
        <is>
          <t>3. Use dropdowns to select metric values</t>
        </is>
      </c>
    </row>
    <row r="10">
      <c r="A10" t="inlineStr">
        <is>
          <t>4. Score auto-calculates in yellow cell</t>
        </is>
      </c>
    </row>
    <row r="11">
      <c r="A11" t="inlineStr">
        <is>
          <t>5. Copy vector string to vulnerability record</t>
        </is>
      </c>
    </row>
    <row r="12">
      <c r="A12" t="inlineStr">
        <is>
          <t>6. (Optional) Compare scores in Score_Comparison (Sheet 4)</t>
        </is>
      </c>
    </row>
    <row r="14">
      <c r="A14" s="2" t="inlineStr">
        <is>
          <t>CVSS Version Selection</t>
        </is>
      </c>
    </row>
    <row r="15">
      <c r="A15" t="inlineStr">
        <is>
          <t>Use v4.0: All new vulnerabilities (2024+), NVD provides v4.0</t>
        </is>
      </c>
    </row>
    <row r="16">
      <c r="A16" t="inlineStr">
        <is>
          <t>Use v3.1: Legacy vulnerabilities, only v3.1 available</t>
        </is>
      </c>
    </row>
    <row r="17">
      <c r="A17" t="inlineStr">
        <is>
          <t>Use BOTH: Comparison analysis, training</t>
        </is>
      </c>
    </row>
    <row r="19">
      <c r="A19" s="2" t="inlineStr">
        <is>
          <t>Sheet Navigation</t>
        </is>
      </c>
    </row>
    <row r="20">
      <c r="A20" t="inlineStr">
        <is>
          <t>Sheet 2: CVSS v4.0 Calculator (PRIMARY)</t>
        </is>
      </c>
    </row>
    <row r="21">
      <c r="A21" t="inlineStr">
        <is>
          <t>Sheet 3: CVSS v3.1 Calculator (Fallback)</t>
        </is>
      </c>
    </row>
    <row r="22">
      <c r="A22" t="inlineStr">
        <is>
          <t>Sheet 4: Score Comparison</t>
        </is>
      </c>
    </row>
    <row r="23">
      <c r="A23" t="inlineStr">
        <is>
          <t>Sheet 5: Metric Reference</t>
        </is>
      </c>
    </row>
    <row r="24">
      <c r="A24" t="inlineStr">
        <is>
          <t>Sheet 6: Training Scenarios</t>
        </is>
      </c>
    </row>
    <row r="25">
      <c r="A25" t="inlineStr">
        <is>
          <t>Sheet 7: Policy References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3" t="inlineStr">
        <is>
          <t>CVSS v4.0 Base Score Calculator</t>
        </is>
      </c>
    </row>
    <row r="3">
      <c r="A3" s="2" t="inlineStr">
        <is>
          <t>BASE METRICS - Exploitability</t>
        </is>
      </c>
    </row>
    <row r="5">
      <c r="A5" s="4" t="inlineStr">
        <is>
          <t>Attack Vector (AV)</t>
        </is>
      </c>
      <c r="B5" t="inlineStr">
        <is>
          <t>Network(N)</t>
        </is>
      </c>
    </row>
    <row r="6">
      <c r="A6" s="4" t="inlineStr">
        <is>
          <t>Attack Complexity (AC)</t>
        </is>
      </c>
      <c r="B6" t="inlineStr">
        <is>
          <t>Low(L)</t>
        </is>
      </c>
    </row>
    <row r="7">
      <c r="A7" s="4" t="inlineStr">
        <is>
          <t>Attack Requirements (AT)</t>
        </is>
      </c>
      <c r="B7" t="inlineStr">
        <is>
          <t>None(N)</t>
        </is>
      </c>
    </row>
    <row r="8">
      <c r="A8" s="4" t="inlineStr">
        <is>
          <t>Privileges Required (PR)</t>
        </is>
      </c>
      <c r="B8" t="inlineStr">
        <is>
          <t>None(N)</t>
        </is>
      </c>
    </row>
    <row r="9">
      <c r="A9" s="4" t="inlineStr">
        <is>
          <t>User Interaction (UI)</t>
        </is>
      </c>
      <c r="B9" t="inlineStr">
        <is>
          <t>None(N)</t>
        </is>
      </c>
    </row>
    <row r="11">
      <c r="A11" s="2" t="inlineStr">
        <is>
          <t>BASE METRICS - Impact (Vulnerable System)</t>
        </is>
      </c>
    </row>
    <row r="12">
      <c r="A12" s="4" t="inlineStr">
        <is>
          <t>Confidentiality (VC)</t>
        </is>
      </c>
      <c r="B12" t="inlineStr">
        <is>
          <t>High(H)</t>
        </is>
      </c>
    </row>
    <row r="13">
      <c r="A13" s="4" t="inlineStr">
        <is>
          <t>Integrity (VI)</t>
        </is>
      </c>
      <c r="B13" t="inlineStr">
        <is>
          <t>High(H)</t>
        </is>
      </c>
    </row>
    <row r="14">
      <c r="A14" s="4" t="inlineStr">
        <is>
          <t>Availability (VA)</t>
        </is>
      </c>
      <c r="B14" t="inlineStr">
        <is>
          <t>High(H)</t>
        </is>
      </c>
    </row>
    <row r="16">
      <c r="A16" s="2" t="inlineStr">
        <is>
          <t>BASE METRICS - Impact (Subsequent System)</t>
        </is>
      </c>
    </row>
    <row r="17">
      <c r="A17" s="4" t="inlineStr">
        <is>
          <t>Sub. Confidentiality (SC)</t>
        </is>
      </c>
      <c r="B17" t="inlineStr">
        <is>
          <t>None(N)</t>
        </is>
      </c>
    </row>
    <row r="18">
      <c r="A18" s="4" t="inlineStr">
        <is>
          <t>Sub. Integrity (SI)</t>
        </is>
      </c>
      <c r="B18" t="inlineStr">
        <is>
          <t>None(N)</t>
        </is>
      </c>
    </row>
    <row r="19">
      <c r="A19" s="4" t="inlineStr">
        <is>
          <t>Sub. Availability (SA)</t>
        </is>
      </c>
      <c r="B19" t="inlineStr">
        <is>
          <t>None(N)</t>
        </is>
      </c>
    </row>
    <row r="21">
      <c r="A21" s="2" t="inlineStr">
        <is>
          <t>SUPPLEMENTAL METRICS</t>
        </is>
      </c>
    </row>
    <row r="22">
      <c r="A22" s="4" t="inlineStr">
        <is>
          <t>Automatable (AU)</t>
        </is>
      </c>
      <c r="B22" t="inlineStr">
        <is>
          <t>Not Defined(X)</t>
        </is>
      </c>
    </row>
    <row r="23">
      <c r="A23" s="4" t="inlineStr">
        <is>
          <t>Safety (S)</t>
        </is>
      </c>
      <c r="B23" t="inlineStr">
        <is>
          <t>Not Defined(X)</t>
        </is>
      </c>
    </row>
    <row r="26">
      <c r="A26" s="2" t="inlineStr">
        <is>
          <t>CALCULATED RESULTS</t>
        </is>
      </c>
    </row>
    <row r="28">
      <c r="A28" s="5" t="inlineStr">
        <is>
          <t>CVSS v4.0 Base Score:</t>
        </is>
      </c>
      <c r="B28" s="6" t="n">
        <v>0</v>
      </c>
    </row>
    <row r="29">
      <c r="A29" s="4" t="inlineStr">
        <is>
          <t>Severity Rating:</t>
        </is>
      </c>
      <c r="B29">
        <f>IF(B28&gt;=9,"CRITICAL",IF(B28&gt;=7,"HIGH",IF(B28&gt;=4,"MEDIUM","LOW")))</f>
        <v/>
      </c>
    </row>
    <row r="31">
      <c r="A31" s="4" t="inlineStr">
        <is>
          <t>Vector String:</t>
        </is>
      </c>
      <c r="B31">
        <f>"CVSS:4.0/AV:"&amp;MID(B5,FIND("(",B5)+1,1)&amp;"/AC:"&amp;MID(B6,FIND("(",B6)+1,1)&amp;"/AT:"&amp;MID(B7,FIND("(",B7)+1,1)&amp;"/PR:"&amp;MID(B8,FIND("(",B8)+1,1)&amp;"/UI:"&amp;MID(B9,FIND("(",B9)+1,1)&amp;"/VC:"&amp;MID(B12,FIND("(",B12)+1,1)&amp;"/VI:"&amp;MID(B13,FIND("(",B13)+1,1)&amp;"/VA:"&amp;MID(B14,FIND("(",B14)+1,1)&amp;"/SC:"&amp;MID(B17,FIND("(",B17)+1,1)&amp;"/SI:"&amp;MID(B18,FIND("(",B18)+1,1)&amp;"/SA:"&amp;MID(B19,FIND("(",B19)+1,1)</f>
        <v/>
      </c>
    </row>
    <row r="33">
      <c r="A33" t="inlineStr">
        <is>
          <t>Wormable Alert:</t>
        </is>
      </c>
      <c r="B33">
        <f>IF(B22="Yes(Y)","⚠️ WORMABLE - Priority P0","")</f>
        <v/>
      </c>
    </row>
    <row r="34">
      <c r="A34" t="inlineStr">
        <is>
          <t>Safety Alert:</t>
        </is>
      </c>
      <c r="B34">
        <f>IF(B23="Present(P)","⚠️ SAFETY IMPACT - OT/ICS","")</f>
        <v/>
      </c>
    </row>
  </sheetData>
  <mergeCells count="1">
    <mergeCell ref="A1:C1"/>
  </mergeCells>
  <conditionalFormatting sqref="B28">
    <cfRule type="cellIs" priority="1" operator="greaterThanOrEqual" dxfId="0">
      <formula>9</formula>
    </cfRule>
    <cfRule type="cellIs" priority="2" operator="between" dxfId="1">
      <formula>7</formula>
      <formula>8.9</formula>
    </cfRule>
    <cfRule type="cellIs" priority="3" operator="between" dxfId="2">
      <formula>4</formula>
      <formula>6.9</formula>
    </cfRule>
    <cfRule type="cellIs" priority="4" operator="lessThan" dxfId="3">
      <formula>4</formula>
    </cfRule>
  </conditionalFormatting>
  <dataValidations count="13">
    <dataValidation sqref="B5" showDropDown="0" showInputMessage="0" showErrorMessage="0" allowBlank="0" type="list">
      <formula1>"Network(N),Adjacent(A),Local(L),Physical(P)"</formula1>
    </dataValidation>
    <dataValidation sqref="B6" showDropDown="0" showInputMessage="0" showErrorMessage="0" allowBlank="0" type="list">
      <formula1>"Low(L),High(H)"</formula1>
    </dataValidation>
    <dataValidation sqref="B7" showDropDown="0" showInputMessage="0" showErrorMessage="0" allowBlank="0" type="list">
      <formula1>"None(N),Present(P)"</formula1>
    </dataValidation>
    <dataValidation sqref="B8" showDropDown="0" showInputMessage="0" showErrorMessage="0" allowBlank="0" type="list">
      <formula1>"None(N),Low(L),High(H)"</formula1>
    </dataValidation>
    <dataValidation sqref="B9" showDropDown="0" showInputMessage="0" showErrorMessage="0" allowBlank="0" type="list">
      <formula1>"None(N),Passive(P),Active(A)"</formula1>
    </dataValidation>
    <dataValidation sqref="B12" showDropDown="0" showInputMessage="0" showErrorMessage="0" allowBlank="0" type="list">
      <formula1>"High(H),Low(L),None(N)"</formula1>
    </dataValidation>
    <dataValidation sqref="B13" showDropDown="0" showInputMessage="0" showErrorMessage="0" allowBlank="0" type="list">
      <formula1>"High(H),Low(L),None(N)"</formula1>
    </dataValidation>
    <dataValidation sqref="B14" showDropDown="0" showInputMessage="0" showErrorMessage="0" allowBlank="0" type="list">
      <formula1>"High(H),Low(L),None(N)"</formula1>
    </dataValidation>
    <dataValidation sqref="B17" showDropDown="0" showInputMessage="0" showErrorMessage="0" allowBlank="0" type="list">
      <formula1>"High(H),Low(L),None(N)"</formula1>
    </dataValidation>
    <dataValidation sqref="B18" showDropDown="0" showInputMessage="0" showErrorMessage="0" allowBlank="0" type="list">
      <formula1>"High(H),Low(L),None(N)"</formula1>
    </dataValidation>
    <dataValidation sqref="B19" showDropDown="0" showInputMessage="0" showErrorMessage="0" allowBlank="0" type="list">
      <formula1>"High(H),Low(L),None(N)"</formula1>
    </dataValidation>
    <dataValidation sqref="B22" showDropDown="0" showInputMessage="0" showErrorMessage="0" allowBlank="0" type="list">
      <formula1>"Yes(Y),No(N),Not Defined(X)"</formula1>
    </dataValidation>
    <dataValidation sqref="B23" showDropDown="0" showInputMessage="0" showErrorMessage="0" allowBlank="0" type="list">
      <formula1>"Present(P),Negligible(N),Not Defined(X)"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3" t="inlineStr">
        <is>
          <t>CVSS v3.1 Base Score Calculator</t>
        </is>
      </c>
    </row>
    <row r="3">
      <c r="A3" s="2" t="inlineStr">
        <is>
          <t>BASE METRICS - Exploitability</t>
        </is>
      </c>
    </row>
    <row r="5">
      <c r="A5" s="4" t="inlineStr">
        <is>
          <t>Attack Vector (AV)</t>
        </is>
      </c>
      <c r="B5" t="inlineStr">
        <is>
          <t>Network(N)</t>
        </is>
      </c>
    </row>
    <row r="6">
      <c r="A6" s="4" t="inlineStr">
        <is>
          <t>Attack Complexity (AC)</t>
        </is>
      </c>
      <c r="B6" t="inlineStr">
        <is>
          <t>Low(L)</t>
        </is>
      </c>
    </row>
    <row r="7">
      <c r="A7" s="4" t="inlineStr">
        <is>
          <t>Privileges Required (PR)</t>
        </is>
      </c>
      <c r="B7" t="inlineStr">
        <is>
          <t>None(N)</t>
        </is>
      </c>
    </row>
    <row r="8">
      <c r="A8" s="4" t="inlineStr">
        <is>
          <t>User Interaction (UI)</t>
        </is>
      </c>
      <c r="B8" t="inlineStr">
        <is>
          <t>None(N)</t>
        </is>
      </c>
    </row>
    <row r="9">
      <c r="A9" s="4" t="inlineStr">
        <is>
          <t>Scope (S)</t>
        </is>
      </c>
      <c r="B9" t="inlineStr">
        <is>
          <t>Unchanged(U)</t>
        </is>
      </c>
    </row>
    <row r="11">
      <c r="A11" s="2" t="inlineStr">
        <is>
          <t>BASE METRICS - Impact</t>
        </is>
      </c>
    </row>
    <row r="12">
      <c r="A12" s="4" t="inlineStr">
        <is>
          <t>Confidentiality (C)</t>
        </is>
      </c>
      <c r="B12" t="inlineStr">
        <is>
          <t>High(H)</t>
        </is>
      </c>
    </row>
    <row r="13">
      <c r="A13" s="4" t="inlineStr">
        <is>
          <t>Integrity (I)</t>
        </is>
      </c>
      <c r="B13" t="inlineStr">
        <is>
          <t>High(H)</t>
        </is>
      </c>
    </row>
    <row r="14">
      <c r="A14" s="4" t="inlineStr">
        <is>
          <t>Availability (A)</t>
        </is>
      </c>
      <c r="B14" t="inlineStr">
        <is>
          <t>High(H)</t>
        </is>
      </c>
    </row>
    <row r="17">
      <c r="A17" s="2" t="inlineStr">
        <is>
          <t>CALCULATED RESULTS</t>
        </is>
      </c>
    </row>
    <row r="19">
      <c r="A19" s="5" t="inlineStr">
        <is>
          <t>CVSS v3.1 Base Score:</t>
        </is>
      </c>
      <c r="B19" s="6" t="n">
        <v>0</v>
      </c>
    </row>
    <row r="20">
      <c r="A20" t="inlineStr">
        <is>
          <t>Severity Rating:</t>
        </is>
      </c>
      <c r="B20">
        <f>IF(B19&gt;=9,"CRITICAL",IF(B19&gt;=7,"HIGH",IF(B19&gt;=4,"MEDIUM","LOW")))</f>
        <v/>
      </c>
    </row>
    <row r="22">
      <c r="A22" t="inlineStr">
        <is>
          <t>Vector String:</t>
        </is>
      </c>
      <c r="B22">
        <f>"CVSS:3.1/AV:"&amp;MID(B5,FIND("(",B5)+1,1)&amp;"/AC:"&amp;MID(B6,FIND("(",B6)+1,1)&amp;"/PR:"&amp;MID(B7,FIND("(",B7)+1,1)&amp;"/UI:"&amp;MID(B8,FIND("(",B8)+1,1)&amp;"/S:"&amp;MID(B9,FIND("(",B9)+1,1)&amp;"/C:"&amp;MID(B12,FIND("(",B12)+1,1)&amp;"/I:"&amp;MID(B13,FIND("(",B13)+1,1)&amp;"/A:"&amp;MID(B14,FIND("(",B14)+1,1)</f>
        <v/>
      </c>
    </row>
  </sheetData>
  <conditionalFormatting sqref="B19">
    <cfRule type="cellIs" priority="1" operator="greaterThanOrEqual" dxfId="0">
      <formula>9</formula>
    </cfRule>
    <cfRule type="cellIs" priority="2" operator="between" dxfId="1">
      <formula>7</formula>
      <formula>8.9</formula>
    </cfRule>
  </conditionalFormatting>
  <dataValidations count="8">
    <dataValidation sqref="B5" showDropDown="0" showInputMessage="0" showErrorMessage="0" allowBlank="0" type="list">
      <formula1>"Network(N),Adjacent(A),Local(L),Physical(P)"</formula1>
    </dataValidation>
    <dataValidation sqref="B6" showDropDown="0" showInputMessage="0" showErrorMessage="0" allowBlank="0" type="list">
      <formula1>"Low(L),High(H)"</formula1>
    </dataValidation>
    <dataValidation sqref="B7" showDropDown="0" showInputMessage="0" showErrorMessage="0" allowBlank="0" type="list">
      <formula1>"None(N),Low(L),High(H)"</formula1>
    </dataValidation>
    <dataValidation sqref="B8" showDropDown="0" showInputMessage="0" showErrorMessage="0" allowBlank="0" type="list">
      <formula1>"None(N),Required(R)"</formula1>
    </dataValidation>
    <dataValidation sqref="B9" showDropDown="0" showInputMessage="0" showErrorMessage="0" allowBlank="0" type="list">
      <formula1>"Unchanged(U),Changed(C)"</formula1>
    </dataValidation>
    <dataValidation sqref="B12" showDropDown="0" showInputMessage="0" showErrorMessage="0" allowBlank="0" type="list">
      <formula1>"High(H),Low(L),None(N)"</formula1>
    </dataValidation>
    <dataValidation sqref="B13" showDropDown="0" showInputMessage="0" showErrorMessage="0" allowBlank="0" type="list">
      <formula1>"High(H),Low(L),None(N)"</formula1>
    </dataValidation>
    <dataValidation sqref="B14" showDropDown="0" showInputMessage="0" showErrorMessage="0" allowBlank="0" type="list">
      <formula1>"High(H),Low(L),None(N)"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  <col width="15" customWidth="1" min="5" max="5"/>
    <col width="10" customWidth="1" min="6" max="6"/>
    <col width="40" customWidth="1" min="7" max="7"/>
  </cols>
  <sheetData>
    <row r="1">
      <c r="A1" s="3" t="inlineStr">
        <is>
          <t>CVSS v4.0 vs v3.1 Score Comparison</t>
        </is>
      </c>
    </row>
    <row r="3">
      <c r="A3" s="7" t="inlineStr">
        <is>
          <t>Vulnerability</t>
        </is>
      </c>
      <c r="B3" s="7" t="inlineStr">
        <is>
          <t>v4.0 Score</t>
        </is>
      </c>
      <c r="C3" s="7" t="inlineStr">
        <is>
          <t>v4.0 Severity</t>
        </is>
      </c>
      <c r="D3" s="7" t="inlineStr">
        <is>
          <t>v3.1 Score</t>
        </is>
      </c>
      <c r="E3" s="7" t="inlineStr">
        <is>
          <t>v3.1 Severity</t>
        </is>
      </c>
      <c r="F3" s="7" t="inlineStr">
        <is>
          <t>Delta</t>
        </is>
      </c>
      <c r="G3" s="7" t="inlineStr">
        <is>
          <t>Notes</t>
        </is>
      </c>
    </row>
    <row r="4">
      <c r="A4" t="inlineStr">
        <is>
          <t>CVE-2021-44228 (Log4j)</t>
        </is>
      </c>
      <c r="B4">
        <f>CVSS_v40_Calculator!B28</f>
        <v/>
      </c>
      <c r="C4">
        <f>CVSS_v40_Calculator!B29</f>
        <v/>
      </c>
      <c r="D4">
        <f>CVSS_v31_Calculator!B19</f>
        <v/>
      </c>
      <c r="E4">
        <f>CVSS_v31_Calculator!B20</f>
        <v/>
      </c>
      <c r="F4" s="8">
        <f>B4-D4</f>
        <v/>
      </c>
      <c r="G4" t="inlineStr">
        <is>
          <t>Comparison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3" t="inlineStr">
        <is>
          <t>CVSS Metric Reference Guide</t>
        </is>
      </c>
    </row>
    <row r="3">
      <c r="A3" s="2" t="inlineStr">
        <is>
          <t>CVSS v4.0 Metrics</t>
        </is>
      </c>
    </row>
    <row r="4">
      <c r="A4" s="7" t="inlineStr">
        <is>
          <t>Metric</t>
        </is>
      </c>
      <c r="B4" s="7" t="inlineStr">
        <is>
          <t>Abbr</t>
        </is>
      </c>
      <c r="C4" s="7" t="inlineStr">
        <is>
          <t>Values</t>
        </is>
      </c>
      <c r="D4" s="7" t="inlineStr">
        <is>
          <t>Description</t>
        </is>
      </c>
    </row>
    <row r="5">
      <c r="A5" s="9" t="inlineStr">
        <is>
          <t>Attack Vector</t>
        </is>
      </c>
      <c r="B5" s="9" t="inlineStr">
        <is>
          <t>AV</t>
        </is>
      </c>
      <c r="C5" s="9" t="inlineStr">
        <is>
          <t>N/A/L/P</t>
        </is>
      </c>
      <c r="D5" s="9" t="inlineStr">
        <is>
          <t>Network/Adjacent/Local/Physical</t>
        </is>
      </c>
    </row>
    <row r="6">
      <c r="A6" s="9" t="inlineStr">
        <is>
          <t>Attack Complexity</t>
        </is>
      </c>
      <c r="B6" s="9" t="inlineStr">
        <is>
          <t>AC</t>
        </is>
      </c>
      <c r="C6" s="9" t="inlineStr">
        <is>
          <t>L/H</t>
        </is>
      </c>
      <c r="D6" s="9" t="inlineStr">
        <is>
          <t>Low/High</t>
        </is>
      </c>
    </row>
    <row r="7">
      <c r="A7" s="9" t="inlineStr">
        <is>
          <t>Attack Requirements</t>
        </is>
      </c>
      <c r="B7" s="9" t="inlineStr">
        <is>
          <t>AT</t>
        </is>
      </c>
      <c r="C7" s="9" t="inlineStr">
        <is>
          <t>N/P</t>
        </is>
      </c>
      <c r="D7" s="9" t="inlineStr">
        <is>
          <t>None/Present</t>
        </is>
      </c>
    </row>
    <row r="8">
      <c r="A8" s="9" t="inlineStr">
        <is>
          <t>Privileges Required</t>
        </is>
      </c>
      <c r="B8" s="9" t="inlineStr">
        <is>
          <t>PR</t>
        </is>
      </c>
      <c r="C8" s="9" t="inlineStr">
        <is>
          <t>N/L/H</t>
        </is>
      </c>
      <c r="D8" s="9" t="inlineStr">
        <is>
          <t>None/Low/High</t>
        </is>
      </c>
    </row>
    <row r="9">
      <c r="A9" s="9" t="inlineStr">
        <is>
          <t>User Interaction</t>
        </is>
      </c>
      <c r="B9" s="9" t="inlineStr">
        <is>
          <t>UI</t>
        </is>
      </c>
      <c r="C9" s="9" t="inlineStr">
        <is>
          <t>N/P/A</t>
        </is>
      </c>
      <c r="D9" s="9" t="inlineStr">
        <is>
          <t>None/Passive/Active</t>
        </is>
      </c>
    </row>
    <row r="10">
      <c r="A10" s="9" t="inlineStr">
        <is>
          <t>Confidentiality</t>
        </is>
      </c>
      <c r="B10" s="9" t="inlineStr">
        <is>
          <t>VC</t>
        </is>
      </c>
      <c r="C10" s="9" t="inlineStr">
        <is>
          <t>H/L/N</t>
        </is>
      </c>
      <c r="D10" s="9" t="inlineStr">
        <is>
          <t>High/Low/None</t>
        </is>
      </c>
    </row>
    <row r="11">
      <c r="A11" s="9" t="inlineStr">
        <is>
          <t>Integrity</t>
        </is>
      </c>
      <c r="B11" s="9" t="inlineStr">
        <is>
          <t>VI</t>
        </is>
      </c>
      <c r="C11" s="9" t="inlineStr">
        <is>
          <t>H/L/N</t>
        </is>
      </c>
      <c r="D11" s="9" t="inlineStr">
        <is>
          <t>High/Low/None</t>
        </is>
      </c>
    </row>
    <row r="12">
      <c r="A12" s="9" t="inlineStr">
        <is>
          <t>Availability</t>
        </is>
      </c>
      <c r="B12" s="9" t="inlineStr">
        <is>
          <t>VA</t>
        </is>
      </c>
      <c r="C12" s="9" t="inlineStr">
        <is>
          <t>H/L/N</t>
        </is>
      </c>
      <c r="D12" s="9" t="inlineStr">
        <is>
          <t>High/Low/None</t>
        </is>
      </c>
    </row>
    <row r="13">
      <c r="A13" s="9" t="inlineStr">
        <is>
          <t>Automatable</t>
        </is>
      </c>
      <c r="B13" s="9" t="inlineStr">
        <is>
          <t>AU</t>
        </is>
      </c>
      <c r="C13" s="9" t="inlineStr">
        <is>
          <t>Y/N/X</t>
        </is>
      </c>
      <c r="D13" s="9" t="inlineStr">
        <is>
          <t>Yes/No/Not Defined (Wormable)</t>
        </is>
      </c>
    </row>
    <row r="14">
      <c r="A14" s="9" t="inlineStr">
        <is>
          <t>Safety</t>
        </is>
      </c>
      <c r="B14" s="9" t="inlineStr">
        <is>
          <t>S</t>
        </is>
      </c>
      <c r="C14" s="9" t="inlineStr">
        <is>
          <t>P/N/X</t>
        </is>
      </c>
      <c r="D14" s="9" t="inlineStr">
        <is>
          <t>Present/Negligible/Not Defined</t>
        </is>
      </c>
    </row>
    <row r="16">
      <c r="A16" s="2" t="inlineStr">
        <is>
          <t>Example Vector Strings:</t>
        </is>
      </c>
    </row>
    <row r="17">
      <c r="A17" t="inlineStr">
        <is>
          <t>v4.0 Critical RCE:</t>
        </is>
      </c>
      <c r="B17" t="inlineStr">
        <is>
          <t>CVSS:4.0/AV:N/AC:L/AT:N/PR:N/UI:N/VC:H/VI:H/VA:H/SC:N/SI:N/SA:N</t>
        </is>
      </c>
    </row>
    <row r="18">
      <c r="A18" t="inlineStr">
        <is>
          <t>v4.0 Wormable:</t>
        </is>
      </c>
      <c r="B18" t="inlineStr">
        <is>
          <t>CVSS:4.0/.../AU:Y</t>
        </is>
      </c>
    </row>
    <row r="19">
      <c r="A19" t="inlineStr">
        <is>
          <t>v3.1 Critical RCE:</t>
        </is>
      </c>
      <c r="B19" t="inlineStr">
        <is>
          <t>CVSS:3.1/AV:N/AC:L/PR:N/UI:N/S:U/C:H/I:H/A:H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60" customWidth="1" min="4" max="4"/>
    <col width="40" customWidth="1" min="5" max="5"/>
  </cols>
  <sheetData>
    <row r="1">
      <c r="A1" s="3" t="inlineStr">
        <is>
          <t>CVSS Scoring Training Scenarios</t>
        </is>
      </c>
    </row>
    <row r="3">
      <c r="A3" s="10" t="inlineStr">
        <is>
          <t>#</t>
        </is>
      </c>
      <c r="B3" s="10" t="inlineStr">
        <is>
          <t>Vulnerability Description</t>
        </is>
      </c>
      <c r="C3" s="10" t="inlineStr">
        <is>
          <t>Expected v4.0</t>
        </is>
      </c>
      <c r="D3" s="10" t="inlineStr">
        <is>
          <t>Expected Vector</t>
        </is>
      </c>
      <c r="E3" s="10" t="inlineStr">
        <is>
          <t>Explanation</t>
        </is>
      </c>
    </row>
    <row r="4">
      <c r="A4" s="9" t="inlineStr">
        <is>
          <t>1</t>
        </is>
      </c>
      <c r="B4" s="9" t="inlineStr">
        <is>
          <t>Unauthenticated remote code execution in web server. No user interaction.</t>
        </is>
      </c>
      <c r="C4" s="9" t="inlineStr">
        <is>
          <t>9.3</t>
        </is>
      </c>
      <c r="D4" s="9" t="inlineStr">
        <is>
          <t>CVSS:4.0/AV:N/AC:L/AT:N/PR:N/UI:N/VC:H/VI:H/VA:H/SC:N/SI:N/SA:N</t>
        </is>
      </c>
      <c r="E4" s="9" t="inlineStr">
        <is>
          <t>Classic RCE - remotely exploitable, no auth</t>
        </is>
      </c>
    </row>
    <row r="5">
      <c r="A5" s="9" t="inlineStr">
        <is>
          <t>2</t>
        </is>
      </c>
      <c r="B5" s="9" t="inlineStr">
        <is>
          <t>Wormable SMB vulnerability - self-propagating</t>
        </is>
      </c>
      <c r="C5" s="9" t="inlineStr">
        <is>
          <t>10.0</t>
        </is>
      </c>
      <c r="D5" s="9" t="inlineStr">
        <is>
          <t>CVSS:4.0/.../AU:Y</t>
        </is>
      </c>
      <c r="E5" s="9" t="inlineStr">
        <is>
          <t>P0 emergency - wormable (AU:Y)</t>
        </is>
      </c>
    </row>
    <row r="6">
      <c r="A6" s="9" t="inlineStr">
        <is>
          <t>3</t>
        </is>
      </c>
      <c r="B6" s="9" t="inlineStr">
        <is>
          <t>Local privilege escalation to root</t>
        </is>
      </c>
      <c r="C6" s="9" t="inlineStr">
        <is>
          <t>7.1</t>
        </is>
      </c>
      <c r="D6" s="9" t="inlineStr">
        <is>
          <t>CVSS:4.0/AV:L/AC:L/AT:N/PR:L/UI:N/VC:H/VI:H/VA:H/SC:N/SI:N/SA:N</t>
        </is>
      </c>
      <c r="E6" s="9" t="inlineStr">
        <is>
          <t>Local only, requires low-priv account</t>
        </is>
      </c>
    </row>
    <row r="7">
      <c r="A7" s="9" t="inlineStr">
        <is>
          <t>4</t>
        </is>
      </c>
      <c r="B7" s="9" t="inlineStr">
        <is>
          <t>Reflected XSS requiring user click</t>
        </is>
      </c>
      <c r="C7" s="9" t="inlineStr">
        <is>
          <t>5.3</t>
        </is>
      </c>
      <c r="D7" s="9" t="inlineStr">
        <is>
          <t>CVSS:4.0/AV:N/AC:L/AT:N/PR:N/UI:A/VC:L/VI:L/VA:N/SC:N/SI:N/SA:N</t>
        </is>
      </c>
      <c r="E7" s="9" t="inlineStr">
        <is>
          <t>User interaction required, limited impact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Policy References and Resources</t>
        </is>
      </c>
    </row>
    <row r="3">
      <c r="A3" s="2" t="inlineStr">
        <is>
          <t>Policy References</t>
        </is>
      </c>
    </row>
    <row r="4">
      <c r="A4" t="inlineStr">
        <is>
          <t>ISMS-POL-A.8.8-S2, Section 2.2.1 (CVSS Version Policy)</t>
        </is>
      </c>
    </row>
    <row r="5">
      <c r="A5" t="inlineStr">
        <is>
          <t>ISMS-POL-A.8.8-S2, Section 2.2.2 (CVSS v4.0 Components)</t>
        </is>
      </c>
    </row>
    <row r="6">
      <c r="A6" t="inlineStr">
        <is>
          <t>ISO/IEC 27001:2022 Control A.8.8</t>
        </is>
      </c>
    </row>
    <row r="8">
      <c r="A8" s="2" t="inlineStr">
        <is>
          <t>External Resources</t>
        </is>
      </c>
    </row>
    <row r="9">
      <c r="A9" t="inlineStr">
        <is>
          <t>CVSS v4.0 Specification: https://www.first.org/cvss/v4.0/specification-document</t>
        </is>
      </c>
    </row>
    <row r="10">
      <c r="A10" t="inlineStr">
        <is>
          <t>CVSS v4.0 Calculator: https://www.first.org/cvss/calculator/4.0</t>
        </is>
      </c>
    </row>
    <row r="11">
      <c r="A11" t="inlineStr">
        <is>
          <t>NVD CVSS Scores: https://nvd.nist.gov/</t>
        </is>
      </c>
    </row>
    <row r="13">
      <c r="A13" s="2" t="inlineStr">
        <is>
          <t>Contacts</t>
        </is>
      </c>
    </row>
    <row r="14">
      <c r="A14" t="inlineStr">
        <is>
          <t>Vulnerability Management: vuln-mgmt@organization.example</t>
        </is>
      </c>
    </row>
    <row r="15">
      <c r="A15" t="inlineStr">
        <is>
          <t>CISO Office: ciso@organization.example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2026-01-31T02:16:47Z</dcterms:created>
  <dcterms:modified xmlns:dcterms="http://purl.org/dc/terms/" xmlns:xsi="http://www.w3.org/2001/XMLSchema-instance" xsi:type="dcterms:W3CDTF">2026-01-31T02:16:47Z</dcterms:modified>
</cp:coreProperties>
</file>