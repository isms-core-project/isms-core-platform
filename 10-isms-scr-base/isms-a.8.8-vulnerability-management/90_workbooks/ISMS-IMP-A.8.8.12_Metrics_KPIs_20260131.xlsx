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etric_Definitions" sheetId="2" state="visible" r:id="rId2"/>
    <sheet xmlns:r="http://schemas.openxmlformats.org/officeDocument/2006/relationships" name="Lifecycle_Metrics" sheetId="3" state="visible" r:id="rId3"/>
    <sheet xmlns:r="http://schemas.openxmlformats.org/officeDocument/2006/relationships" name="SLA_Performance" sheetId="4" state="visible" r:id="rId4"/>
    <sheet xmlns:r="http://schemas.openxmlformats.org/officeDocument/2006/relationships" name="Success_Rates" sheetId="5" state="visible" r:id="rId5"/>
    <sheet xmlns:r="http://schemas.openxmlformats.org/officeDocument/2006/relationships" name="Risk_Metrics" sheetId="6" state="visible" r:id="rId6"/>
    <sheet xmlns:r="http://schemas.openxmlformats.org/officeDocument/2006/relationships" name="Monthly_Trends" sheetId="7" state="visible" r:id="rId7"/>
    <sheet xmlns:r="http://schemas.openxmlformats.org/officeDocument/2006/relationships" name="Quarterly_Aggregations" sheetId="8" state="visible" r:id="rId8"/>
    <sheet xmlns:r="http://schemas.openxmlformats.org/officeDocument/2006/relationships" name="Executive_KPI_Dashboard" sheetId="9" state="visible" r:id="rId9"/>
    <sheet xmlns:r="http://schemas.openxmlformats.org/officeDocument/2006/relationships" name="Benchmark_Targets" sheetId="10" state="visible" r:id="rId10"/>
  </sheets>
  <definedNames>
    <definedName name="_xlnm.Print_Area" localSheetId="8">'Executive_KPI_Dashboard'!$A$1:$H$35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CHF&quot;"/>
  </numFmts>
  <fonts count="15">
    <font>
      <name val="Calibri"/>
      <family val="2"/>
      <color theme="1"/>
      <sz val="11"/>
      <scheme val="minor"/>
    </font>
    <font>
      <b val="1"/>
      <color rgb="00003366"/>
      <sz val="16"/>
    </font>
    <font>
      <i val="1"/>
      <color rgb="00666666"/>
      <sz val="10"/>
    </font>
    <font>
      <name val="Calibri"/>
      <b val="1"/>
      <color rgb="00FFFFFF"/>
      <sz val="11"/>
    </font>
    <font>
      <b val="1"/>
    </font>
    <font>
      <b val="1"/>
      <color rgb="00003366"/>
      <sz val="12"/>
    </font>
    <font>
      <color rgb="000000FF"/>
      <u val="single"/>
    </font>
    <font>
      <b val="1"/>
      <color rgb="00003366"/>
      <sz val="14"/>
    </font>
    <font>
      <name val="Calibri"/>
      <b val="1"/>
      <color rgb="00FFFFFF"/>
      <sz val="10"/>
    </font>
    <font>
      <name val="Calibri"/>
      <i val="1"/>
      <color rgb="000000FF"/>
      <sz val="9"/>
    </font>
    <font>
      <b val="1"/>
      <sz val="12"/>
    </font>
    <font>
      <i val="1"/>
      <color rgb="00666666"/>
    </font>
    <font>
      <b val="1"/>
      <color rgb="00003366"/>
      <sz val="18"/>
    </font>
    <font>
      <b val="1"/>
      <sz val="11"/>
    </font>
    <font>
      <b val="1"/>
      <color rgb="00FF0000"/>
      <sz val="2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CC"/>
      </patternFill>
    </fill>
    <fill>
      <patternFill patternType="solid">
        <fgColor rgb="00D8E4F8"/>
      </patternFill>
    </fill>
    <fill>
      <patternFill patternType="solid">
        <fgColor rgb="00E7E6E6"/>
      </patternFill>
    </fill>
    <fill>
      <patternFill patternType="solid">
        <fgColor rgb="00FFEB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 wrapText="1"/>
    </xf>
    <xf numFmtId="0" fontId="9" fillId="5" borderId="0" pivotButton="0" quotePrefix="0" xfId="0"/>
    <xf numFmtId="0" fontId="7" fillId="0" borderId="0" pivotButton="0" quotePrefix="0" xfId="0"/>
    <xf numFmtId="0" fontId="10" fillId="0" borderId="0" pivotButton="0" quotePrefix="0" xfId="0"/>
    <xf numFmtId="164" fontId="9" fillId="5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0" pivotButton="0" quotePrefix="0" xfId="0"/>
    <xf numFmtId="0" fontId="13" fillId="3" borderId="0" pivotButton="0" quotePrefix="0" xfId="0"/>
    <xf numFmtId="0" fontId="7" fillId="6" borderId="0" pivotButton="0" quotePrefix="0" xfId="0"/>
    <xf numFmtId="0" fontId="10" fillId="0" borderId="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System</author>
  </authors>
  <commentList>
    <comment ref="H5" authorId="0" shapeId="0">
      <text>
        <t>From IMP-5, Sheet: Vulnerability_Inventory</t>
      </text>
    </comment>
    <comment ref="P5" authorId="0" shapeId="0">
      <text>
        <t>Auto-calculated from formula</t>
      </text>
    </comment>
    <comment ref="Q5" authorId="0" shapeId="0">
      <text>
        <t>Conditional status</t>
      </text>
    </comment>
    <comment ref="H6" authorId="0" shapeId="0">
      <text>
        <t>From IMP-5, Sheet: Vulnerability_Inventory</t>
      </text>
    </comment>
    <comment ref="P6" authorId="0" shapeId="0">
      <text>
        <t>Auto-calculated from formula</t>
      </text>
    </comment>
    <comment ref="Q6" authorId="0" shapeId="0">
      <text>
        <t>Conditional status</t>
      </text>
    </comment>
    <comment ref="H7" authorId="0" shapeId="0">
      <text>
        <t>From IMP-5, Sheet: Vulnerability_Inventory</t>
      </text>
    </comment>
    <comment ref="P7" authorId="0" shapeId="0">
      <text>
        <t>Auto-calculated from formula</t>
      </text>
    </comment>
    <comment ref="Q7" authorId="0" shapeId="0">
      <text>
        <t>Conditional status</t>
      </text>
    </comment>
    <comment ref="H8" authorId="0" shapeId="0">
      <text>
        <t>From IMP-5, Sheet: Vulnerability_Inventory</t>
      </text>
    </comment>
    <comment ref="P8" authorId="0" shapeId="0">
      <text>
        <t>Auto-calculated from formula</t>
      </text>
    </comment>
    <comment ref="Q8" authorId="0" shapeId="0">
      <text>
        <t>Conditional status</t>
      </text>
    </comment>
    <comment ref="H9" authorId="0" shapeId="0">
      <text>
        <t>From IMP-5, Sheet: Vulnerability_Inventory</t>
      </text>
    </comment>
    <comment ref="P9" authorId="0" shapeId="0">
      <text>
        <t>Auto-calculated from formula</t>
      </text>
    </comment>
    <comment ref="Q9" authorId="0" shapeId="0">
      <text>
        <t>Conditional status</t>
      </text>
    </comment>
    <comment ref="H10" authorId="0" shapeId="0">
      <text>
        <t>From IMP-1, Sheet: Overview</t>
      </text>
    </comment>
    <comment ref="P10" authorId="0" shapeId="0">
      <text>
        <t>Auto-calculated from formula</t>
      </text>
    </comment>
    <comment ref="Q10" authorId="0" shapeId="0">
      <text>
        <t>Conditional status</t>
      </text>
    </comment>
    <comment ref="H11" authorId="0" shapeId="0">
      <text>
        <t>From IMP-1, Sheet: Overview</t>
      </text>
    </comment>
    <comment ref="P11" authorId="0" shapeId="0">
      <text>
        <t>Auto-calculated from formula</t>
      </text>
    </comment>
    <comment ref="Q11" authorId="0" shapeId="0">
      <text>
        <t>Conditional status</t>
      </text>
    </comment>
    <comment ref="H12" authorId="0" shapeId="0">
      <text>
        <t>From IMP-2, Sheet: Overview</t>
      </text>
    </comment>
    <comment ref="P12" authorId="0" shapeId="0">
      <text>
        <t>Auto-calculated from formula</t>
      </text>
    </comment>
    <comment ref="Q12" authorId="0" shapeId="0">
      <text>
        <t>Conditional status</t>
      </text>
    </comment>
    <comment ref="H13" authorId="0" shapeId="0">
      <text>
        <t>From IMP-2, Sheet: Overview</t>
      </text>
    </comment>
    <comment ref="P13" authorId="0" shapeId="0">
      <text>
        <t>Auto-calculated from formula</t>
      </text>
    </comment>
    <comment ref="Q13" authorId="0" shapeId="0">
      <text>
        <t>Conditional status</t>
      </text>
    </comment>
    <comment ref="H14" authorId="0" shapeId="0">
      <text>
        <t>From IMP-5, Sheet: Vulnerability_Inventory</t>
      </text>
    </comment>
    <comment ref="P14" authorId="0" shapeId="0">
      <text>
        <t>Auto-calculated from formula</t>
      </text>
    </comment>
    <comment ref="Q14" authorId="0" shapeId="0">
      <text>
        <t>Conditional status</t>
      </text>
    </comment>
    <comment ref="H15" authorId="0" shapeId="0">
      <text>
        <t>From IMP-5, Sheet: Vulnerability_Inventory</t>
      </text>
    </comment>
    <comment ref="P15" authorId="0" shapeId="0">
      <text>
        <t>Auto-calculated from formula</t>
      </text>
    </comment>
    <comment ref="Q15" authorId="0" shapeId="0">
      <text>
        <t>Conditional status</t>
      </text>
    </comment>
    <comment ref="H16" authorId="0" shapeId="0">
      <text>
        <t>From IMP-5, Sheet: Vulnerability_Inventory</t>
      </text>
    </comment>
    <comment ref="P16" authorId="0" shapeId="0">
      <text>
        <t>Auto-calculated from formula</t>
      </text>
    </comment>
    <comment ref="Q16" authorId="0" shapeId="0">
      <text>
        <t>Conditional status</t>
      </text>
    </comment>
    <comment ref="H17" authorId="0" shapeId="0">
      <text>
        <t>From IMP-5, Sheet: Vulnerability_Inventory</t>
      </text>
    </comment>
    <comment ref="P17" authorId="0" shapeId="0">
      <text>
        <t>Auto-calculated from formula</t>
      </text>
    </comment>
    <comment ref="Q17" authorId="0" shapeId="0">
      <text>
        <t>Conditional status</t>
      </text>
    </comment>
    <comment ref="H18" authorId="0" shapeId="0">
      <text>
        <t>From IMP-1, Sheet: Overview</t>
      </text>
    </comment>
    <comment ref="P18" authorId="0" shapeId="0">
      <text>
        <t>Auto-calculated from formula</t>
      </text>
    </comment>
    <comment ref="Q18" authorId="0" shapeId="0">
      <text>
        <t>Conditional status</t>
      </text>
    </comment>
    <comment ref="H19" authorId="0" shapeId="0">
      <text>
        <t>From IMP-1, Sheet: Overview</t>
      </text>
    </comment>
    <comment ref="P19" authorId="0" shapeId="0">
      <text>
        <t>Auto-calculated from formula</t>
      </text>
    </comment>
    <comment ref="Q19" authorId="0" shapeId="0">
      <text>
        <t>Conditional status</t>
      </text>
    </comment>
    <comment ref="H20" authorId="0" shapeId="0">
      <text>
        <t>From IMP-7, Sheet: Dashboard</t>
      </text>
    </comment>
    <comment ref="P20" authorId="0" shapeId="0">
      <text>
        <t>Auto-calculated from formula</t>
      </text>
    </comment>
    <comment ref="Q20" authorId="0" shapeId="0">
      <text>
        <t>Conditional status</t>
      </text>
    </comment>
    <comment ref="H21" authorId="0" shapeId="0">
      <text>
        <t>From IMP-5, Sheet: Vulnerability_Inventory</t>
      </text>
    </comment>
    <comment ref="P21" authorId="0" shapeId="0">
      <text>
        <t>Auto-calculated from formula</t>
      </text>
    </comment>
    <comment ref="Q21" authorId="0" shapeId="0">
      <text>
        <t>Conditional status</t>
      </text>
    </comment>
    <comment ref="H22" authorId="0" shapeId="0">
      <text>
        <t>From IMP-4, Sheet: TI_Integration_Dashboard</t>
      </text>
    </comment>
    <comment ref="P22" authorId="0" shapeId="0">
      <text>
        <t>Auto-calculated from formula</t>
      </text>
    </comment>
    <comment ref="Q22" authorId="0" shapeId="0">
      <text>
        <t>Conditional status</t>
      </text>
    </comment>
    <comment ref="H23" authorId="0" shapeId="0">
      <text>
        <t>From IMP-4, Sheet: TI_Integration_Dashboard</t>
      </text>
    </comment>
    <comment ref="P23" authorId="0" shapeId="0">
      <text>
        <t>Auto-calculated from formula</t>
      </text>
    </comment>
    <comment ref="Q23" authorId="0" shapeId="0">
      <text>
        <t>Conditional status</t>
      </text>
    </comment>
    <comment ref="H24" authorId="0" shapeId="0">
      <text>
        <t>From IMP-4, Sheet: TI_Integration_Dashboard</t>
      </text>
    </comment>
    <comment ref="P24" authorId="0" shapeId="0">
      <text>
        <t>Auto-calculated from formula</t>
      </text>
    </comment>
    <comment ref="Q24" authorId="0" shapeId="0">
      <text>
        <t>Conditional status</t>
      </text>
    </comment>
    <comment ref="H25" authorId="0" shapeId="0">
      <text>
        <t>From IMP-6, Sheet: Risk_Assessment_Matrix</t>
      </text>
    </comment>
    <comment ref="P25" authorId="0" shapeId="0">
      <text>
        <t>Auto-calculated from formula</t>
      </text>
    </comment>
    <comment ref="Q25" authorId="0" shapeId="0">
      <text>
        <t>Conditional status</t>
      </text>
    </comment>
    <comment ref="H26" authorId="0" shapeId="0">
      <text>
        <t>From IMP-6, Sheet: Risk_Assessment_Matrix</t>
      </text>
    </comment>
    <comment ref="P26" authorId="0" shapeId="0">
      <text>
        <t>Auto-calculated from formula</t>
      </text>
    </comment>
    <comment ref="Q26" authorId="0" shapeId="0">
      <text>
        <t>Conditional status</t>
      </text>
    </comment>
    <comment ref="H27" authorId="0" shapeId="0">
      <text>
        <t>From IMP-6, Sheet: Risk_Assessment_Matrix</t>
      </text>
    </comment>
    <comment ref="P27" authorId="0" shapeId="0">
      <text>
        <t>Auto-calculated from formula</t>
      </text>
    </comment>
    <comment ref="Q27" authorId="0" shapeId="0">
      <text>
        <t>Conditional status</t>
      </text>
    </comment>
    <comment ref="H28" authorId="0" shapeId="0">
      <text>
        <t>From IMP-6, Sheet: Risk_Assessment_Matrix</t>
      </text>
    </comment>
    <comment ref="P28" authorId="0" shapeId="0">
      <text>
        <t>Auto-calculated from formula</t>
      </text>
    </comment>
    <comment ref="Q28" authorId="0" shapeId="0">
      <text>
        <t>Conditional status</t>
      </text>
    </comment>
    <comment ref="H29" authorId="0" shapeId="0">
      <text>
        <t>From IMP-6, Sheet: Risk_Assessment_Matrix</t>
      </text>
    </comment>
    <comment ref="P29" authorId="0" shapeId="0">
      <text>
        <t>Auto-calculated from formula</t>
      </text>
    </comment>
    <comment ref="Q29" authorId="0" shapeId="0">
      <text>
        <t>Conditional status</t>
      </text>
    </comment>
    <comment ref="H30" authorId="0" shapeId="0">
      <text>
        <t>From IMP-7, Sheet: Dashboard</t>
      </text>
    </comment>
    <comment ref="P30" authorId="0" shapeId="0">
      <text>
        <t>Auto-calculated from formula</t>
      </text>
    </comment>
    <comment ref="Q30" authorId="0" shapeId="0">
      <text>
        <t>Conditional status</t>
      </text>
    </comment>
    <comment ref="H31" authorId="0" shapeId="0">
      <text>
        <t>From IMP-7, Sheet: Priority_Matrix</t>
      </text>
    </comment>
    <comment ref="P31" authorId="0" shapeId="0">
      <text>
        <t>Auto-calculated from formula</t>
      </text>
    </comment>
    <comment ref="Q31" authorId="0" shapeId="0">
      <text>
        <t>Conditional status</t>
      </text>
    </comment>
    <comment ref="H32" authorId="0" shapeId="0">
      <text>
        <t>From IMP-7, Sheet: Priority_Matrix</t>
      </text>
    </comment>
    <comment ref="P32" authorId="0" shapeId="0">
      <text>
        <t>Auto-calculated from formula</t>
      </text>
    </comment>
    <comment ref="Q32" authorId="0" shapeId="0">
      <text>
        <t>Conditional status</t>
      </text>
    </comment>
    <comment ref="H33" authorId="0" shapeId="0">
      <text>
        <t>From IMP-7, Sheet: Priority_Matrix</t>
      </text>
    </comment>
    <comment ref="P33" authorId="0" shapeId="0">
      <text>
        <t>Auto-calculated from formula</t>
      </text>
    </comment>
    <comment ref="Q33" authorId="0" shapeId="0">
      <text>
        <t>Conditional status</t>
      </text>
    </comment>
    <comment ref="H34" authorId="0" shapeId="0">
      <text>
        <t>From IMP-7, Sheet: Priority_Matrix</t>
      </text>
    </comment>
    <comment ref="P34" authorId="0" shapeId="0">
      <text>
        <t>Auto-calculated from formula</t>
      </text>
    </comment>
    <comment ref="Q34" authorId="0" shapeId="0">
      <text>
        <t>Conditional status</t>
      </text>
    </comment>
    <comment ref="H35" authorId="0" shapeId="0">
      <text>
        <t>From IMP-7, Sheet: Dashboard</t>
      </text>
    </comment>
    <comment ref="P35" authorId="0" shapeId="0">
      <text>
        <t>Auto-calculated from formula</t>
      </text>
    </comment>
    <comment ref="Q35" authorId="0" shapeId="0">
      <text>
        <t>Conditional status</t>
      </text>
    </comment>
    <comment ref="H36" authorId="0" shapeId="0">
      <text>
        <t>From IMP-7, Sheet: Dashboard</t>
      </text>
    </comment>
    <comment ref="P36" authorId="0" shapeId="0">
      <text>
        <t>Auto-calculated from formula</t>
      </text>
    </comment>
    <comment ref="Q36" authorId="0" shapeId="0">
      <text>
        <t>Conditional status</t>
      </text>
    </comment>
    <comment ref="H37" authorId="0" shapeId="0">
      <text>
        <t>From IMP-7, Sheet: Priority_Matrix</t>
      </text>
    </comment>
    <comment ref="P37" authorId="0" shapeId="0">
      <text>
        <t>Auto-calculated from formula</t>
      </text>
    </comment>
    <comment ref="Q37" authorId="0" shapeId="0">
      <text>
        <t>Conditional status</t>
      </text>
    </comment>
    <comment ref="H38" authorId="0" shapeId="0">
      <text>
        <t>From IMP-7, Sheet: Priority_Matrix</t>
      </text>
    </comment>
    <comment ref="P38" authorId="0" shapeId="0">
      <text>
        <t>Auto-calculated from formula</t>
      </text>
    </comment>
    <comment ref="Q38" authorId="0" shapeId="0">
      <text>
        <t>Conditional status</t>
      </text>
    </comment>
    <comment ref="H39" authorId="0" shapeId="0">
      <text>
        <t>From IMP-7, Sheet: Priority_Matrix</t>
      </text>
    </comment>
    <comment ref="P39" authorId="0" shapeId="0">
      <text>
        <t>Auto-calculated from formula</t>
      </text>
    </comment>
    <comment ref="Q39" authorId="0" shapeId="0">
      <text>
        <t>Conditional status</t>
      </text>
    </comment>
    <comment ref="H40" authorId="0" shapeId="0">
      <text>
        <t>From IMP-8, Sheet: Metrics_Dashboard</t>
      </text>
    </comment>
    <comment ref="P40" authorId="0" shapeId="0">
      <text>
        <t>Auto-calculated from formula</t>
      </text>
    </comment>
    <comment ref="Q40" authorId="0" shapeId="0">
      <text>
        <t>Conditional status</t>
      </text>
    </comment>
    <comment ref="H41" authorId="0" shapeId="0">
      <text>
        <t>From IMP-8, Sheet: Metrics_Dashboard</t>
      </text>
    </comment>
    <comment ref="P41" authorId="0" shapeId="0">
      <text>
        <t>Auto-calculated from formula</t>
      </text>
    </comment>
    <comment ref="Q41" authorId="0" shapeId="0">
      <text>
        <t>Conditional status</t>
      </text>
    </comment>
    <comment ref="H42" authorId="0" shapeId="0">
      <text>
        <t>From IMP-8, Sheet: Metrics_Dashboard</t>
      </text>
    </comment>
    <comment ref="P42" authorId="0" shapeId="0">
      <text>
        <t>Auto-calculated from formula</t>
      </text>
    </comment>
    <comment ref="Q42" authorId="0" shapeId="0">
      <text>
        <t>Conditional status</t>
      </text>
    </comment>
    <comment ref="H43" authorId="0" shapeId="0">
      <text>
        <t>From IMP-8, Sheet: Metrics_Dashboard</t>
      </text>
    </comment>
    <comment ref="P43" authorId="0" shapeId="0">
      <text>
        <t>Auto-calculated from formula</t>
      </text>
    </comment>
    <comment ref="Q43" authorId="0" shapeId="0">
      <text>
        <t>Conditional status</t>
      </text>
    </comment>
    <comment ref="H44" authorId="0" shapeId="0">
      <text>
        <t>From IMP-8, Sheet: Metrics_Dashboard</t>
      </text>
    </comment>
    <comment ref="P44" authorId="0" shapeId="0">
      <text>
        <t>Auto-calculated from formula</t>
      </text>
    </comment>
    <comment ref="Q44" authorId="0" shapeId="0">
      <text>
        <t>Conditional status</t>
      </text>
    </comment>
    <comment ref="H45" authorId="0" shapeId="0">
      <text>
        <t>From IMP-8, Sheet: Deployment_Log</t>
      </text>
    </comment>
    <comment ref="P45" authorId="0" shapeId="0">
      <text>
        <t>Auto-calculated from formula</t>
      </text>
    </comment>
    <comment ref="Q45" authorId="0" shapeId="0">
      <text>
        <t>Conditional status</t>
      </text>
    </comment>
    <comment ref="H46" authorId="0" shapeId="0">
      <text>
        <t>From IMP-8, Sheet: Deployment_Log</t>
      </text>
    </comment>
    <comment ref="P46" authorId="0" shapeId="0">
      <text>
        <t>Auto-calculated from formula</t>
      </text>
    </comment>
    <comment ref="Q46" authorId="0" shapeId="0">
      <text>
        <t>Conditional status</t>
      </text>
    </comment>
    <comment ref="H47" authorId="0" shapeId="0">
      <text>
        <t>From IMP-8, Sheet: Remediation_Queue</t>
      </text>
    </comment>
    <comment ref="P47" authorId="0" shapeId="0">
      <text>
        <t>Auto-calculated from formula</t>
      </text>
    </comment>
    <comment ref="Q47" authorId="0" shapeId="0">
      <text>
        <t>Conditional status</t>
      </text>
    </comment>
    <comment ref="H48" authorId="0" shapeId="0">
      <text>
        <t>From IMP-8, Sheet: Remediation_Queue</t>
      </text>
    </comment>
    <comment ref="P48" authorId="0" shapeId="0">
      <text>
        <t>Auto-calculated from formula</t>
      </text>
    </comment>
    <comment ref="Q48" authorId="0" shapeId="0">
      <text>
        <t>Conditional status</t>
      </text>
    </comment>
    <comment ref="H49" authorId="0" shapeId="0">
      <text>
        <t>From IMP-9, Sheet: Dashboard</t>
      </text>
    </comment>
    <comment ref="P49" authorId="0" shapeId="0">
      <text>
        <t>Auto-calculated from formula</t>
      </text>
    </comment>
    <comment ref="Q49" authorId="0" shapeId="0">
      <text>
        <t>Conditional status</t>
      </text>
    </comment>
    <comment ref="H50" authorId="0" shapeId="0">
      <text>
        <t>From IMP-9, Sheet: Dashboard</t>
      </text>
    </comment>
    <comment ref="P50" authorId="0" shapeId="0">
      <text>
        <t>Auto-calculated from formula</t>
      </text>
    </comment>
    <comment ref="Q50" authorId="0" shapeId="0">
      <text>
        <t>Conditional status</t>
      </text>
    </comment>
    <comment ref="H51" authorId="0" shapeId="0">
      <text>
        <t>From IMP-9, Sheet: Dashboard</t>
      </text>
    </comment>
    <comment ref="P51" authorId="0" shapeId="0">
      <text>
        <t>Auto-calculated from formula</t>
      </text>
    </comment>
    <comment ref="Q51" authorId="0" shapeId="0">
      <text>
        <t>Conditional status</t>
      </text>
    </comment>
    <comment ref="H52" authorId="0" shapeId="0">
      <text>
        <t>From IMP-9, Sheet: Dashboard</t>
      </text>
    </comment>
    <comment ref="P52" authorId="0" shapeId="0">
      <text>
        <t>Auto-calculated from formula</t>
      </text>
    </comment>
    <comment ref="Q52" authorId="0" shapeId="0">
      <text>
        <t>Conditional status</t>
      </text>
    </comment>
    <comment ref="H53" authorId="0" shapeId="0">
      <text>
        <t>From IMP-9, Sheet: Dashboard</t>
      </text>
    </comment>
    <comment ref="P53" authorId="0" shapeId="0">
      <text>
        <t>Auto-calculated from formula</t>
      </text>
    </comment>
    <comment ref="Q53" authorId="0" shapeId="0">
      <text>
        <t>Conditional status</t>
      </text>
    </comment>
    <comment ref="H54" authorId="0" shapeId="0">
      <text>
        <t>From IMP-5, Sheet: Vulnerability_Inventory</t>
      </text>
    </comment>
    <comment ref="P54" authorId="0" shapeId="0">
      <text>
        <t>Auto-calculated from formula</t>
      </text>
    </comment>
    <comment ref="Q54" authorId="0" shapeId="0">
      <text>
        <t>Conditional status</t>
      </text>
    </comment>
    <comment ref="H55" authorId="0" shapeId="0">
      <text>
        <t>From IMP-11, Sheet: Dashboard</t>
      </text>
    </comment>
    <comment ref="P55" authorId="0" shapeId="0">
      <text>
        <t>Auto-calculated from formula</t>
      </text>
    </comment>
    <comment ref="Q55" authorId="0" shapeId="0">
      <text>
        <t>Conditional status</t>
      </text>
    </comment>
    <comment ref="H56" authorId="0" shapeId="0">
      <text>
        <t>From IMP-11, Sheet: Dashboard</t>
      </text>
    </comment>
    <comment ref="P56" authorId="0" shapeId="0">
      <text>
        <t>Auto-calculated from formula</t>
      </text>
    </comment>
    <comment ref="Q56" authorId="0" shapeId="0">
      <text>
        <t>Conditional status</t>
      </text>
    </comment>
    <comment ref="H57" authorId="0" shapeId="0">
      <text>
        <t>From IMP-11, Sheet: Dashboard</t>
      </text>
    </comment>
    <comment ref="P57" authorId="0" shapeId="0">
      <text>
        <t>Auto-calculated from formula</t>
      </text>
    </comment>
    <comment ref="Q57" authorId="0" shapeId="0">
      <text>
        <t>Conditional status</t>
      </text>
    </comment>
    <comment ref="H58" authorId="0" shapeId="0">
      <text>
        <t>From IMP-11, Sheet: Dashboard</t>
      </text>
    </comment>
    <comment ref="P58" authorId="0" shapeId="0">
      <text>
        <t>Auto-calculated from formula</t>
      </text>
    </comment>
    <comment ref="Q58" authorId="0" shapeId="0">
      <text>
        <t>Conditional status</t>
      </text>
    </comment>
    <comment ref="H59" authorId="0" shapeId="0">
      <text>
        <t>From IMP-11, Sheet: Verification_Queue</t>
      </text>
    </comment>
    <comment ref="P59" authorId="0" shapeId="0">
      <text>
        <t>Auto-calculated from formula</t>
      </text>
    </comment>
    <comment ref="Q59" authorId="0" shapeId="0">
      <text>
        <t>Conditional status</t>
      </text>
    </comment>
    <comment ref="H60" authorId="0" shapeId="0">
      <text>
        <t>From IMP-11, Sheet: Verification_Queue</t>
      </text>
    </comment>
    <comment ref="P60" authorId="0" shapeId="0">
      <text>
        <t>Auto-calculated from formula</t>
      </text>
    </comment>
    <comment ref="Q60" authorId="0" shapeId="0">
      <text>
        <t>Conditional status</t>
      </text>
    </comment>
    <comment ref="H61" authorId="0" shapeId="0">
      <text>
        <t>From IMP-11, Sheet: Verification_Queue</t>
      </text>
    </comment>
    <comment ref="P61" authorId="0" shapeId="0">
      <text>
        <t>Auto-calculated from formula</t>
      </text>
    </comment>
    <comment ref="Q61" authorId="0" shapeId="0">
      <text>
        <t>Conditional status</t>
      </text>
    </comment>
    <comment ref="H62" authorId="0" shapeId="0">
      <text>
        <t>From IMP-11, Sheet: Execution_Log</t>
      </text>
    </comment>
    <comment ref="P62" authorId="0" shapeId="0">
      <text>
        <t>Auto-calculated from formula</t>
      </text>
    </comment>
    <comment ref="Q62" authorId="0" shapeId="0">
      <text>
        <t>Conditional status</t>
      </text>
    </comment>
    <comment ref="H63" authorId="0" shapeId="0">
      <text>
        <t>From IMP-11, Sheet: Verification_Queue</t>
      </text>
    </comment>
    <comment ref="P63" authorId="0" shapeId="0">
      <text>
        <t>Auto-calculated from formula</t>
      </text>
    </comment>
    <comment ref="Q63" authorId="0" shapeId="0">
      <text>
        <t>Conditional status</t>
      </text>
    </comment>
    <comment ref="H64" authorId="0" shapeId="0">
      <text>
        <t>From IMP-11, Sheet: Dashboard</t>
      </text>
    </comment>
    <comment ref="P64" authorId="0" shapeId="0">
      <text>
        <t>Auto-calculated from formula</t>
      </text>
    </comment>
    <comment ref="Q64" authorId="0" shapeId="0">
      <text>
        <t>Conditional status</t>
      </text>
    </comment>
    <comment ref="H65" authorId="0" shapeId="0">
      <text>
        <t>From IMP-10, Sheet: Dashboard</t>
      </text>
    </comment>
    <comment ref="P65" authorId="0" shapeId="0">
      <text>
        <t>Auto-calculated from formula</t>
      </text>
    </comment>
    <comment ref="Q65" authorId="0" shapeId="0">
      <text>
        <t>Conditional status</t>
      </text>
    </comment>
    <comment ref="H66" authorId="0" shapeId="0">
      <text>
        <t>From IMP-10, Sheet: Dashboard</t>
      </text>
    </comment>
    <comment ref="P66" authorId="0" shapeId="0">
      <text>
        <t>Auto-calculated from formula</t>
      </text>
    </comment>
    <comment ref="Q66" authorId="0" shapeId="0">
      <text>
        <t>Conditional status</t>
      </text>
    </comment>
    <comment ref="H67" authorId="0" shapeId="0">
      <text>
        <t>From IMP-10, Sheet: Dashboard</t>
      </text>
    </comment>
    <comment ref="P67" authorId="0" shapeId="0">
      <text>
        <t>Auto-calculated from formula</t>
      </text>
    </comment>
    <comment ref="Q67" authorId="0" shapeId="0">
      <text>
        <t>Conditional status</t>
      </text>
    </comment>
    <comment ref="H68" authorId="0" shapeId="0">
      <text>
        <t>From IMP-10, Sheet: Dashboard</t>
      </text>
    </comment>
    <comment ref="P68" authorId="0" shapeId="0">
      <text>
        <t>Auto-calculated from formula</t>
      </text>
    </comment>
    <comment ref="Q68" authorId="0" shapeId="0">
      <text>
        <t>Conditional status</t>
      </text>
    </comment>
    <comment ref="H69" authorId="0" shapeId="0">
      <text>
        <t>From IMP-10, Sheet: Dashboard</t>
      </text>
    </comment>
    <comment ref="P69" authorId="0" shapeId="0">
      <text>
        <t>Auto-calculated from formula</t>
      </text>
    </comment>
    <comment ref="Q69" authorId="0" shapeId="0">
      <text>
        <t>Conditional status</t>
      </text>
    </comment>
    <comment ref="H70" authorId="0" shapeId="0">
      <text>
        <t>From IMP-10, Sheet: Exception_Requests</t>
      </text>
    </comment>
    <comment ref="P70" authorId="0" shapeId="0">
      <text>
        <t>Auto-calculated from formula</t>
      </text>
    </comment>
    <comment ref="Q70" authorId="0" shapeId="0">
      <text>
        <t>Conditional status</t>
      </text>
    </comment>
    <comment ref="H71" authorId="0" shapeId="0">
      <text>
        <t>From IMP-10, Sheet: Exception_Requests</t>
      </text>
    </comment>
    <comment ref="P71" authorId="0" shapeId="0">
      <text>
        <t>Auto-calculated from formula</t>
      </text>
    </comment>
    <comment ref="Q71" authorId="0" shapeId="0">
      <text>
        <t>Conditional status</t>
      </text>
    </comment>
    <comment ref="H72" authorId="0" shapeId="0">
      <text>
        <t>From IMP-10, Sheet: Dashboard</t>
      </text>
    </comment>
    <comment ref="P72" authorId="0" shapeId="0">
      <text>
        <t>Auto-calculated from formula</t>
      </text>
    </comment>
    <comment ref="Q72" authorId="0" shapeId="0">
      <text>
        <t>Conditional status</t>
      </text>
    </comment>
    <comment ref="H73" authorId="0" shapeId="0">
      <text>
        <t>From IMP-10, Sheet: Exception_Requests</t>
      </text>
    </comment>
    <comment ref="P73" authorId="0" shapeId="0">
      <text>
        <t>Auto-calculated from formula</t>
      </text>
    </comment>
    <comment ref="Q73" authorId="0" shapeId="0">
      <text>
        <t>Conditional status</t>
      </text>
    </comment>
    <comment ref="H74" authorId="0" shapeId="0">
      <text>
        <t>From IMP-10, Sheet: Exception_Requests</t>
      </text>
    </comment>
    <comment ref="P74" authorId="0" shapeId="0">
      <text>
        <t>Auto-calculated from formula</t>
      </text>
    </comment>
    <comment ref="Q74" authorId="0" shapeId="0">
      <text>
        <t>Conditional status</t>
      </text>
    </comment>
    <comment ref="H75" authorId="0" shapeId="0">
      <text>
        <t>From IMP-5, Sheet: Vulnerability_Inventory</t>
      </text>
    </comment>
    <comment ref="P75" authorId="0" shapeId="0">
      <text>
        <t>Auto-calculated from formula</t>
      </text>
    </comment>
    <comment ref="Q75" authorId="0" shapeId="0">
      <text>
        <t>Conditional status</t>
      </text>
    </comment>
    <comment ref="H76" authorId="0" shapeId="0">
      <text>
        <t>From IMP-5, Sheet: Vulnerability_Inventory</t>
      </text>
    </comment>
    <comment ref="P76" authorId="0" shapeId="0">
      <text>
        <t>Auto-calculated from formula</t>
      </text>
    </comment>
    <comment ref="Q76" authorId="0" shapeId="0">
      <text>
        <t>Conditional status</t>
      </text>
    </comment>
    <comment ref="H77" authorId="0" shapeId="0">
      <text>
        <t>From IMP-5, Sheet: Vulnerability_Inventory</t>
      </text>
    </comment>
    <comment ref="P77" authorId="0" shapeId="0">
      <text>
        <t>Auto-calculated from formula</t>
      </text>
    </comment>
    <comment ref="Q77" authorId="0" shapeId="0">
      <text>
        <t>Conditional status</t>
      </text>
    </comment>
    <comment ref="H78" authorId="0" shapeId="0">
      <text>
        <t>From IMP-5, Sheet: Vulnerability_Inventory</t>
      </text>
    </comment>
    <comment ref="P78" authorId="0" shapeId="0">
      <text>
        <t>Auto-calculated from formula</t>
      </text>
    </comment>
    <comment ref="Q78" authorId="0" shapeId="0">
      <text>
        <t>Conditional status</t>
      </text>
    </comment>
    <comment ref="H79" authorId="0" shapeId="0">
      <text>
        <t>From IMP-5, Sheet: Vulnerability_Inventory</t>
      </text>
    </comment>
    <comment ref="P79" authorId="0" shapeId="0">
      <text>
        <t>Auto-calculated from formula</t>
      </text>
    </comment>
    <comment ref="Q79" authorId="0" shapeId="0">
      <text>
        <t>Conditional status</t>
      </text>
    </comment>
    <comment ref="H80" authorId="0" shapeId="0">
      <text>
        <t>From IMP-1, Sheet: Asset_Scanner_Mapping</t>
      </text>
    </comment>
    <comment ref="P80" authorId="0" shapeId="0">
      <text>
        <t>Auto-calculated from formula</t>
      </text>
    </comment>
    <comment ref="Q80" authorId="0" shapeId="0">
      <text>
        <t>Conditional status</t>
      </text>
    </comment>
    <comment ref="H81" authorId="0" shapeId="0">
      <text>
        <t>From IMP-6, Sheet: Risk_Assessment_Matrix</t>
      </text>
    </comment>
    <comment ref="P81" authorId="0" shapeId="0">
      <text>
        <t>Auto-calculated from formula</t>
      </text>
    </comment>
    <comment ref="Q81" authorId="0" shapeId="0">
      <text>
        <t>Conditional status</t>
      </text>
    </comment>
    <comment ref="H82" authorId="0" shapeId="0">
      <text>
        <t>From IMP-5, Sheet: Vulnerability_Inventory</t>
      </text>
    </comment>
    <comment ref="P82" authorId="0" shapeId="0">
      <text>
        <t>Auto-calculated from formula</t>
      </text>
    </comment>
    <comment ref="Q82" authorId="0" shapeId="0">
      <text>
        <t>Conditional status</t>
      </text>
    </comment>
    <comment ref="H83" authorId="0" shapeId="0">
      <text>
        <t>From IMP-5, Sheet: Vulnerability_Inventory</t>
      </text>
    </comment>
    <comment ref="P83" authorId="0" shapeId="0">
      <text>
        <t>Auto-calculated from formula</t>
      </text>
    </comment>
    <comment ref="Q83" authorId="0" shapeId="0">
      <text>
        <t>Conditional status</t>
      </text>
    </comment>
    <comment ref="H84" authorId="0" shapeId="0">
      <text>
        <t>From IMP-Manual, Sheet: Manual</t>
      </text>
    </comment>
    <comment ref="P84" authorId="0" shapeId="0">
      <text>
        <t>Auto-calculated from formula</t>
      </text>
    </comment>
    <comment ref="Q84" authorId="0" shapeId="0">
      <text>
        <t>Conditional status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Metric_Definitions!A1" TargetMode="External" Id="rId1"/><Relationship Type="http://schemas.openxmlformats.org/officeDocument/2006/relationships/hyperlink" Target="#Lifecycle_Metrics!A1" TargetMode="External" Id="rId2"/><Relationship Type="http://schemas.openxmlformats.org/officeDocument/2006/relationships/hyperlink" Target="#SLA_Performance!A1" TargetMode="External" Id="rId3"/><Relationship Type="http://schemas.openxmlformats.org/officeDocument/2006/relationships/hyperlink" Target="#Success_Rates!A1" TargetMode="External" Id="rId4"/><Relationship Type="http://schemas.openxmlformats.org/officeDocument/2006/relationships/hyperlink" Target="#Risk_Metrics!A1" TargetMode="External" Id="rId5"/><Relationship Type="http://schemas.openxmlformats.org/officeDocument/2006/relationships/hyperlink" Target="#Monthly_Trends!A1" TargetMode="External" Id="rId6"/><Relationship Type="http://schemas.openxmlformats.org/officeDocument/2006/relationships/hyperlink" Target="#Quarterly_Aggregations!A1" TargetMode="External" Id="rId7"/><Relationship Type="http://schemas.openxmlformats.org/officeDocument/2006/relationships/hyperlink" Target="#Executive_KPI_Dashboard!A1" TargetMode="External" Id="rId8"/><Relationship Type="http://schemas.openxmlformats.org/officeDocument/2006/relationships/hyperlink" Target="#Benchmark_Targets!A1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40" customHeight="1">
      <c r="A1" s="1" t="inlineStr">
        <is>
          <t>ISMS-IMP-A.8.8.12 – Vulnerability Management Metrics &amp; KPIs Dashboard</t>
        </is>
      </c>
    </row>
    <row r="2">
      <c r="A2" s="2" t="inlineStr">
        <is>
          <t>ISO/IEC 27001:2022 - Control A.8.8: Technical Vulnerability Management</t>
        </is>
      </c>
    </row>
    <row r="4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Document ID</t>
        </is>
      </c>
      <c r="B5" t="inlineStr">
        <is>
          <t>ISMS-IMP-A.8.8.12</t>
        </is>
      </c>
    </row>
    <row r="6">
      <c r="A6" s="4" t="inlineStr">
        <is>
          <t>Workbook Title</t>
        </is>
      </c>
      <c r="B6" t="inlineStr">
        <is>
          <t>Vulnerability Management Metrics &amp; KPIs Dashboard</t>
        </is>
      </c>
    </row>
    <row r="7">
      <c r="A7" s="4" t="inlineStr">
        <is>
          <t>Version</t>
        </is>
      </c>
      <c r="B7" t="inlineStr">
        <is>
          <t>1.0</t>
        </is>
      </c>
    </row>
    <row r="8">
      <c r="A8" s="4" t="inlineStr">
        <is>
          <t>Date Created</t>
        </is>
      </c>
      <c r="B8" t="inlineStr">
        <is>
          <t>31.01.2026</t>
        </is>
      </c>
    </row>
    <row r="9">
      <c r="A9" s="4" t="inlineStr">
        <is>
          <t>Last Updated</t>
        </is>
      </c>
      <c r="B9" s="5">
        <f>TODAY()</f>
        <v/>
      </c>
    </row>
    <row r="10">
      <c r="A10" s="4" t="inlineStr">
        <is>
          <t>Classification</t>
        </is>
      </c>
      <c r="B10" t="inlineStr">
        <is>
          <t>Internal</t>
        </is>
      </c>
    </row>
    <row r="11">
      <c r="A11" s="4" t="inlineStr">
        <is>
          <t>Owner</t>
        </is>
      </c>
      <c r="B11" s="5" t="inlineStr">
        <is>
          <t>Vulnerability Management Coordinator</t>
        </is>
      </c>
    </row>
    <row r="12">
      <c r="A12" s="4" t="inlineStr">
        <is>
          <t>Prepared By</t>
        </is>
      </c>
      <c r="B12" s="5" t="inlineStr">
        <is>
          <t>[Name]</t>
        </is>
      </c>
    </row>
    <row r="13">
      <c r="A13" s="4" t="inlineStr">
        <is>
          <t>Review Cycle</t>
        </is>
      </c>
      <c r="B13" t="inlineStr">
        <is>
          <t>Monthly</t>
        </is>
      </c>
    </row>
    <row r="14">
      <c r="A14" s="4" t="inlineStr">
        <is>
          <t>Next Review Date</t>
        </is>
      </c>
      <c r="B14" s="5" t="inlineStr">
        <is>
          <t>[DD.MM.YYYY]</t>
        </is>
      </c>
    </row>
    <row r="15">
      <c r="A15" s="4" t="inlineStr">
        <is>
          <t>Approved By</t>
        </is>
      </c>
      <c r="B15" s="5" t="inlineStr">
        <is>
          <t>[CISO Name]</t>
        </is>
      </c>
    </row>
    <row r="16">
      <c r="A16" s="4" t="inlineStr">
        <is>
          <t>Approval Date</t>
        </is>
      </c>
      <c r="B16" s="5" t="inlineStr">
        <is>
          <t>[DD.MM.YYYY]</t>
        </is>
      </c>
    </row>
    <row r="17">
      <c r="A17" s="4" t="inlineStr">
        <is>
          <t>Integration Status</t>
        </is>
      </c>
      <c r="B17" s="5" t="inlineStr">
        <is>
          <t>Green</t>
        </is>
      </c>
    </row>
    <row r="18">
      <c r="A18" s="4" t="inlineStr">
        <is>
          <t>Total Source Workbooks</t>
        </is>
      </c>
      <c r="B18" t="inlineStr">
        <is>
          <t>11</t>
        </is>
      </c>
    </row>
    <row r="19">
      <c r="A19" s="4" t="inlineStr">
        <is>
          <t>Linked Workbooks</t>
        </is>
      </c>
      <c r="B19" s="5" t="inlineStr">
        <is>
          <t>[Count]</t>
        </is>
      </c>
    </row>
    <row r="20">
      <c r="A20" s="4" t="inlineStr">
        <is>
          <t>Last Refresh</t>
        </is>
      </c>
      <c r="B20" s="5">
        <f>NOW()</f>
        <v/>
      </c>
    </row>
    <row r="22">
      <c r="A22" s="6" t="inlineStr">
        <is>
          <t>📋 USAGE INSTRUCTIONS</t>
        </is>
      </c>
    </row>
    <row r="23">
      <c r="A23" s="7" t="inlineStr"/>
    </row>
    <row r="24">
      <c r="A24" s="7" t="inlineStr">
        <is>
          <t>1. PREREQUISITES:</t>
        </is>
      </c>
    </row>
    <row r="25">
      <c r="A25" s="7" t="inlineStr">
        <is>
          <t xml:space="preserve">   • All 11 source workbooks (IMP-1 through IMP-11) completed</t>
        </is>
      </c>
    </row>
    <row r="26">
      <c r="A26" s="7" t="inlineStr">
        <is>
          <t xml:space="preserve">   • Document IDs present in Overview/Metadata sheets</t>
        </is>
      </c>
    </row>
    <row r="27">
      <c r="A27" s="7" t="inlineStr">
        <is>
          <t xml:space="preserve">   • Workbooks normalized using normalize_assessment_files_a88.py</t>
        </is>
      </c>
    </row>
    <row r="28">
      <c r="A28" s="7" t="inlineStr"/>
    </row>
    <row r="29">
      <c r="A29" s="7" t="inlineStr">
        <is>
          <t>2. OPENING DASHBOARD:</t>
        </is>
      </c>
    </row>
    <row r="30">
      <c r="A30" s="7" t="inlineStr">
        <is>
          <t xml:space="preserve">   • Place in same directory as normalized workbooks</t>
        </is>
      </c>
    </row>
    <row r="31">
      <c r="A31" s="7" t="inlineStr">
        <is>
          <t xml:space="preserve">   • Open in Excel 2016+</t>
        </is>
      </c>
    </row>
    <row r="32">
      <c r="A32" s="7" t="inlineStr">
        <is>
          <t xml:space="preserve">   • Click 'Update Links' when prompted</t>
        </is>
      </c>
    </row>
    <row r="33">
      <c r="A33" s="7" t="inlineStr"/>
    </row>
    <row r="34">
      <c r="A34" s="7" t="inlineStr">
        <is>
          <t>3. REFRESHING DATA:</t>
        </is>
      </c>
    </row>
    <row r="35">
      <c r="A35" s="7" t="inlineStr">
        <is>
          <t xml:space="preserve">   • Data → Refresh All (or Ctrl+Alt+F5)</t>
        </is>
      </c>
    </row>
    <row r="36">
      <c r="A36" s="7" t="inlineStr">
        <is>
          <t xml:space="preserve">   • Wait 5-10 seconds for recalculation</t>
        </is>
      </c>
    </row>
    <row r="37">
      <c r="A37" s="7" t="inlineStr"/>
    </row>
    <row r="38">
      <c r="A38" s="7" t="inlineStr">
        <is>
          <t>4. MONTHLY WORKFLOW:</t>
        </is>
      </c>
    </row>
    <row r="39">
      <c r="A39" s="7" t="inlineStr">
        <is>
          <t xml:space="preserve">   • Day 1-25: Update IMPs 1-11</t>
        </is>
      </c>
    </row>
    <row r="40">
      <c r="A40" s="7" t="inlineStr">
        <is>
          <t xml:space="preserve">   • Day 26: Re-normalize files</t>
        </is>
      </c>
    </row>
    <row r="41">
      <c r="A41" s="7" t="inlineStr">
        <is>
          <t xml:space="preserve">   • Day 27: Refresh dashboard, review metrics</t>
        </is>
      </c>
    </row>
    <row r="42">
      <c r="A42" s="7" t="inlineStr">
        <is>
          <t xml:space="preserve">   • Day 28: Update Executive Summary</t>
        </is>
      </c>
    </row>
    <row r="43">
      <c r="A43" s="7" t="inlineStr">
        <is>
          <t xml:space="preserve">   • Day 29: CISO review</t>
        </is>
      </c>
    </row>
    <row r="44">
      <c r="A44" s="7" t="inlineStr">
        <is>
          <t xml:space="preserve">   • Day 30: Archive</t>
        </is>
      </c>
    </row>
    <row r="46">
      <c r="A46" s="6" t="inlineStr">
        <is>
          <t>🔍 QUICK NAVIGATION</t>
        </is>
      </c>
    </row>
    <row r="47">
      <c r="A47" s="8" t="inlineStr">
        <is>
          <t>→ Metric_Definitions</t>
        </is>
      </c>
      <c r="B47" t="inlineStr">
        <is>
          <t>All 80 metrics</t>
        </is>
      </c>
    </row>
    <row r="48">
      <c r="A48" s="8" t="inlineStr">
        <is>
          <t>→ Lifecycle_Metrics</t>
        </is>
      </c>
      <c r="B48" t="inlineStr">
        <is>
          <t>Discovery to closure</t>
        </is>
      </c>
    </row>
    <row r="49">
      <c r="A49" s="8" t="inlineStr">
        <is>
          <t>→ SLA_Performance</t>
        </is>
      </c>
      <c r="B49" t="inlineStr">
        <is>
          <t>SLA tracking</t>
        </is>
      </c>
    </row>
    <row r="50">
      <c r="A50" s="8" t="inlineStr">
        <is>
          <t>→ Success_Rates</t>
        </is>
      </c>
      <c r="B50" t="inlineStr">
        <is>
          <t>Effectiveness</t>
        </is>
      </c>
    </row>
    <row r="51">
      <c r="A51" s="8" t="inlineStr">
        <is>
          <t>→ Risk_Metrics</t>
        </is>
      </c>
      <c r="B51" t="inlineStr">
        <is>
          <t>Risk posture</t>
        </is>
      </c>
    </row>
    <row r="52">
      <c r="A52" s="8" t="inlineStr">
        <is>
          <t>→ Monthly_Trends</t>
        </is>
      </c>
      <c r="B52" t="inlineStr">
        <is>
          <t>12-month trends</t>
        </is>
      </c>
    </row>
    <row r="53">
      <c r="A53" s="8" t="inlineStr">
        <is>
          <t>→ Quarterly_Aggregations</t>
        </is>
      </c>
      <c r="B53" t="inlineStr">
        <is>
          <t>Board reporting</t>
        </is>
      </c>
    </row>
    <row r="54">
      <c r="A54" s="8" t="inlineStr">
        <is>
          <t>→ Executive_KPI_Dashboard</t>
        </is>
      </c>
      <c r="B54" t="inlineStr">
        <is>
          <t>CISO summary</t>
        </is>
      </c>
    </row>
    <row r="55">
      <c r="A55" s="8" t="inlineStr">
        <is>
          <t>→ Benchmark_Targets</t>
        </is>
      </c>
      <c r="B55" t="inlineStr">
        <is>
          <t>Industry comparison</t>
        </is>
      </c>
    </row>
  </sheetData>
  <mergeCells count="35">
    <mergeCell ref="B47:C47"/>
    <mergeCell ref="A30:H30"/>
    <mergeCell ref="A39:H39"/>
    <mergeCell ref="B54:C54"/>
    <mergeCell ref="A24:H24"/>
    <mergeCell ref="A36:H36"/>
    <mergeCell ref="A1:H1"/>
    <mergeCell ref="B52:C52"/>
    <mergeCell ref="B48:C48"/>
    <mergeCell ref="A25:H25"/>
    <mergeCell ref="A41:H41"/>
    <mergeCell ref="A37:H37"/>
    <mergeCell ref="A46:H46"/>
    <mergeCell ref="A27:H27"/>
    <mergeCell ref="B53:C53"/>
    <mergeCell ref="A26:H26"/>
    <mergeCell ref="A2:H2"/>
    <mergeCell ref="A42:H42"/>
    <mergeCell ref="A33:H33"/>
    <mergeCell ref="A23:H23"/>
    <mergeCell ref="A32:H32"/>
    <mergeCell ref="B49:C49"/>
    <mergeCell ref="A22:H22"/>
    <mergeCell ref="A40:H40"/>
    <mergeCell ref="B55:C55"/>
    <mergeCell ref="A29:H29"/>
    <mergeCell ref="A35:H35"/>
    <mergeCell ref="A43:H43"/>
    <mergeCell ref="A38:H38"/>
    <mergeCell ref="B51:C51"/>
    <mergeCell ref="A28:H28"/>
    <mergeCell ref="A44:H44"/>
    <mergeCell ref="B50:C50"/>
    <mergeCell ref="A31:H31"/>
    <mergeCell ref="A34:H34"/>
  </mergeCells>
  <hyperlinks>
    <hyperlink xmlns:r="http://schemas.openxmlformats.org/officeDocument/2006/relationships" ref="A47" r:id="rId1"/>
    <hyperlink xmlns:r="http://schemas.openxmlformats.org/officeDocument/2006/relationships" ref="A48" r:id="rId2"/>
    <hyperlink xmlns:r="http://schemas.openxmlformats.org/officeDocument/2006/relationships" ref="A49" r:id="rId3"/>
    <hyperlink xmlns:r="http://schemas.openxmlformats.org/officeDocument/2006/relationships" ref="A50" r:id="rId4"/>
    <hyperlink xmlns:r="http://schemas.openxmlformats.org/officeDocument/2006/relationships" ref="A51" r:id="rId5"/>
    <hyperlink xmlns:r="http://schemas.openxmlformats.org/officeDocument/2006/relationships" ref="A52" r:id="rId6"/>
    <hyperlink xmlns:r="http://schemas.openxmlformats.org/officeDocument/2006/relationships" ref="A53" r:id="rId7"/>
    <hyperlink xmlns:r="http://schemas.openxmlformats.org/officeDocument/2006/relationships" ref="A54" r:id="rId8"/>
    <hyperlink xmlns:r="http://schemas.openxmlformats.org/officeDocument/2006/relationships" ref="A55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10" customWidth="1" min="4" max="4"/>
    <col width="25" customWidth="1" min="5" max="5"/>
    <col width="25" customWidth="1" min="6" max="6"/>
    <col width="18" customWidth="1" min="7" max="7"/>
    <col width="60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25" customWidth="1" min="14" max="14"/>
    <col width="12" customWidth="1" min="15" max="15"/>
    <col width="15" customWidth="1" min="16" max="16"/>
    <col width="10" customWidth="1" min="17" max="17"/>
    <col width="40" customWidth="1" min="18" max="18"/>
  </cols>
  <sheetData>
    <row r="1" ht="30" customHeight="1">
      <c r="A1" s="9" t="inlineStr">
        <is>
          <t>COMPLETE METRIC DEFINITIONS - ALL 80 METRICS</t>
        </is>
      </c>
    </row>
    <row r="4">
      <c r="A4" s="10" t="inlineStr">
        <is>
          <t>Metric_ID</t>
        </is>
      </c>
      <c r="B4" s="10" t="inlineStr">
        <is>
          <t>Metric_Name</t>
        </is>
      </c>
      <c r="C4" s="10" t="inlineStr">
        <is>
          <t>Category</t>
        </is>
      </c>
      <c r="D4" s="10" t="inlineStr">
        <is>
          <t>Source_IMP</t>
        </is>
      </c>
      <c r="E4" s="10" t="inlineStr">
        <is>
          <t>Source_Workbook</t>
        </is>
      </c>
      <c r="F4" s="10" t="inlineStr">
        <is>
          <t>Source_Sheet</t>
        </is>
      </c>
      <c r="G4" s="10" t="inlineStr">
        <is>
          <t>Source_Cell_Range</t>
        </is>
      </c>
      <c r="H4" s="10" t="inlineStr">
        <is>
          <t>Formula</t>
        </is>
      </c>
      <c r="I4" s="10" t="inlineStr">
        <is>
          <t>Unit</t>
        </is>
      </c>
      <c r="J4" s="10" t="inlineStr">
        <is>
          <t>Target_Value</t>
        </is>
      </c>
      <c r="K4" s="10" t="inlineStr">
        <is>
          <t>Warning_Value</t>
        </is>
      </c>
      <c r="L4" s="10" t="inlineStr">
        <is>
          <t>Critical_Value</t>
        </is>
      </c>
      <c r="M4" s="10" t="inlineStr">
        <is>
          <t>Calculation_Frequency</t>
        </is>
      </c>
      <c r="N4" s="10" t="inlineStr">
        <is>
          <t>Data_Owner</t>
        </is>
      </c>
      <c r="O4" s="10" t="inlineStr">
        <is>
          <t>Audit_Relevance</t>
        </is>
      </c>
      <c r="P4" s="10" t="inlineStr">
        <is>
          <t>Current_Value</t>
        </is>
      </c>
      <c r="Q4" s="10" t="inlineStr">
        <is>
          <t>Status</t>
        </is>
      </c>
      <c r="R4" s="10" t="inlineStr">
        <is>
          <t>Notes</t>
        </is>
      </c>
    </row>
    <row r="5">
      <c r="A5" t="inlineStr">
        <is>
          <t>M001</t>
        </is>
      </c>
      <c r="B5" t="inlineStr">
        <is>
          <t>Total Active Vulnerabilities</t>
        </is>
      </c>
      <c r="C5" t="inlineStr">
        <is>
          <t>Discovery</t>
        </is>
      </c>
      <c r="D5" t="n">
        <v>5</v>
      </c>
      <c r="E5" t="inlineStr">
        <is>
          <t>ISMS-IMP-A.8.8.5.xlsx</t>
        </is>
      </c>
      <c r="F5" t="inlineStr">
        <is>
          <t>Vulnerability_Inventory</t>
        </is>
      </c>
      <c r="G5" t="inlineStr">
        <is>
          <t>A:A</t>
        </is>
      </c>
      <c r="H5" s="11">
        <f>COUNTA('[ISMS-IMP-A.8.8.5.xlsx]Vulnerability_Inventory'!A:A)-1</f>
        <v/>
      </c>
      <c r="I5" t="inlineStr">
        <is>
          <t>Count</t>
        </is>
      </c>
      <c r="J5" t="inlineStr">
        <is>
          <t>&lt;500</t>
        </is>
      </c>
      <c r="K5" t="inlineStr">
        <is>
          <t>500-1000</t>
        </is>
      </c>
      <c r="L5" t="inlineStr">
        <is>
          <t>&gt;1000</t>
        </is>
      </c>
      <c r="M5" t="inlineStr">
        <is>
          <t>Daily</t>
        </is>
      </c>
      <c r="N5" t="inlineStr">
        <is>
          <t>VM Coordinator</t>
        </is>
      </c>
      <c r="O5" t="inlineStr">
        <is>
          <t>High</t>
        </is>
      </c>
      <c r="P5" s="11">
        <f>H5</f>
        <v/>
      </c>
      <c r="Q5" s="11">
        <f>IF(P5="","",IF(P5&lt;=IFERROR(VALUE(J5),J5),"Green",IF(P5&lt;=IFERROR(VALUE(K5),K5),"Yellow","Red")))</f>
        <v/>
      </c>
      <c r="R5" t="inlineStr">
        <is>
          <t>Master vulnerability count from IMP-5</t>
        </is>
      </c>
    </row>
    <row r="6">
      <c r="A6" t="inlineStr">
        <is>
          <t>M002</t>
        </is>
      </c>
      <c r="B6" t="inlineStr">
        <is>
          <t>New Vulnerabilities (Last 7 Days)</t>
        </is>
      </c>
      <c r="C6" t="inlineStr">
        <is>
          <t>Discovery</t>
        </is>
      </c>
      <c r="D6" t="n">
        <v>5</v>
      </c>
      <c r="E6" t="inlineStr">
        <is>
          <t>ISMS-IMP-A.8.8.5.xlsx</t>
        </is>
      </c>
      <c r="F6" t="inlineStr">
        <is>
          <t>Vulnerability_Inventory</t>
        </is>
      </c>
      <c r="G6" t="inlineStr">
        <is>
          <t>D:D</t>
        </is>
      </c>
      <c r="H6" s="11">
        <f>COUNTIF('[ISMS-IMP-A.8.8.5.xlsx]Vulnerability_Inventory'!D:D,"&gt;="&amp;TODAY()-7)</f>
        <v/>
      </c>
      <c r="I6" t="inlineStr">
        <is>
          <t>Count</t>
        </is>
      </c>
      <c r="J6" t="inlineStr">
        <is>
          <t>&lt;50</t>
        </is>
      </c>
      <c r="K6" t="inlineStr">
        <is>
          <t>50-100</t>
        </is>
      </c>
      <c r="L6" t="inlineStr">
        <is>
          <t>&gt;100</t>
        </is>
      </c>
      <c r="M6" t="inlineStr">
        <is>
          <t>Daily</t>
        </is>
      </c>
      <c r="N6" t="inlineStr">
        <is>
          <t>VM Coordinator</t>
        </is>
      </c>
      <c r="O6" t="inlineStr">
        <is>
          <t>Medium</t>
        </is>
      </c>
      <c r="P6" s="11">
        <f>H6</f>
        <v/>
      </c>
      <c r="Q6" s="11">
        <f>IF(P6="","",IF(P6&lt;=IFERROR(VALUE(J6),J6),"Green",IF(P6&lt;=IFERROR(VALUE(K6),K6),"Yellow","Red")))</f>
        <v/>
      </c>
      <c r="R6" t="inlineStr">
        <is>
          <t>Recent discoveries</t>
        </is>
      </c>
    </row>
    <row r="7">
      <c r="A7" t="inlineStr">
        <is>
          <t>M003</t>
        </is>
      </c>
      <c r="B7" t="inlineStr">
        <is>
          <t>New Vulnerabilities (Last 30 Days)</t>
        </is>
      </c>
      <c r="C7" t="inlineStr">
        <is>
          <t>Discovery</t>
        </is>
      </c>
      <c r="D7" t="n">
        <v>5</v>
      </c>
      <c r="E7" t="inlineStr">
        <is>
          <t>ISMS-IMP-A.8.8.5.xlsx</t>
        </is>
      </c>
      <c r="F7" t="inlineStr">
        <is>
          <t>Vulnerability_Inventory</t>
        </is>
      </c>
      <c r="G7" t="inlineStr">
        <is>
          <t>D:D</t>
        </is>
      </c>
      <c r="H7" s="11">
        <f>COUNTIF('[ISMS-IMP-A.8.8.5.xlsx]Vulnerability_Inventory'!D:D,"&gt;="&amp;TODAY()-30)</f>
        <v/>
      </c>
      <c r="I7" t="inlineStr">
        <is>
          <t>Count</t>
        </is>
      </c>
      <c r="J7" t="inlineStr">
        <is>
          <t>&lt;200</t>
        </is>
      </c>
      <c r="K7" t="inlineStr">
        <is>
          <t>200-400</t>
        </is>
      </c>
      <c r="L7" t="inlineStr">
        <is>
          <t>&gt;400</t>
        </is>
      </c>
      <c r="M7" t="inlineStr">
        <is>
          <t>Weekly</t>
        </is>
      </c>
      <c r="N7" t="inlineStr">
        <is>
          <t>VM Coordinator</t>
        </is>
      </c>
      <c r="O7" t="inlineStr">
        <is>
          <t>High</t>
        </is>
      </c>
      <c r="P7" s="11">
        <f>H7</f>
        <v/>
      </c>
      <c r="Q7" s="11">
        <f>IF(P7="","",IF(P7&lt;=IFERROR(VALUE(J7),J7),"Green",IF(P7&lt;=IFERROR(VALUE(K7),K7),"Yellow","Red")))</f>
        <v/>
      </c>
      <c r="R7" t="inlineStr">
        <is>
          <t>Monthly discovery trend</t>
        </is>
      </c>
    </row>
    <row r="8">
      <c r="A8" t="inlineStr">
        <is>
          <t>M004</t>
        </is>
      </c>
      <c r="B8" t="inlineStr">
        <is>
          <t>Critical CVSS Score Count (≥9.0)</t>
        </is>
      </c>
      <c r="C8" t="inlineStr">
        <is>
          <t>Discovery</t>
        </is>
      </c>
      <c r="D8" t="n">
        <v>5</v>
      </c>
      <c r="E8" t="inlineStr">
        <is>
          <t>ISMS-IMP-A.8.8.5.xlsx</t>
        </is>
      </c>
      <c r="F8" t="inlineStr">
        <is>
          <t>Vulnerability_Inventory</t>
        </is>
      </c>
      <c r="G8" t="inlineStr">
        <is>
          <t>K:K</t>
        </is>
      </c>
      <c r="H8" s="11">
        <f>COUNTIF('[ISMS-IMP-A.8.8.5.xlsx]Vulnerability_Inventory'!K:K,"&gt;=9.0")</f>
        <v/>
      </c>
      <c r="I8" t="inlineStr">
        <is>
          <t>Count</t>
        </is>
      </c>
      <c r="J8" t="inlineStr">
        <is>
          <t>&lt;10</t>
        </is>
      </c>
      <c r="K8" t="inlineStr">
        <is>
          <t>10-20</t>
        </is>
      </c>
      <c r="L8" t="inlineStr">
        <is>
          <t>&gt;20</t>
        </is>
      </c>
      <c r="M8" t="inlineStr">
        <is>
          <t>Daily</t>
        </is>
      </c>
      <c r="N8" t="inlineStr">
        <is>
          <t>VM Coordinator</t>
        </is>
      </c>
      <c r="O8" t="inlineStr">
        <is>
          <t>Critical</t>
        </is>
      </c>
      <c r="P8" s="11">
        <f>H8</f>
        <v/>
      </c>
      <c r="Q8" s="11">
        <f>IF(P8="","",IF(P8&lt;=IFERROR(VALUE(J8),J8),"Green",IF(P8&lt;=IFERROR(VALUE(K8),K8),"Yellow","Red")))</f>
        <v/>
      </c>
      <c r="R8" t="inlineStr">
        <is>
          <t>CVSS ≥9.0 severity</t>
        </is>
      </c>
    </row>
    <row r="9">
      <c r="A9" t="inlineStr">
        <is>
          <t>M005</t>
        </is>
      </c>
      <c r="B9" t="inlineStr">
        <is>
          <t>High CVSS Score Count (7.0-8.9)</t>
        </is>
      </c>
      <c r="C9" t="inlineStr">
        <is>
          <t>Discovery</t>
        </is>
      </c>
      <c r="D9" t="n">
        <v>5</v>
      </c>
      <c r="E9" t="inlineStr">
        <is>
          <t>ISMS-IMP-A.8.8.5.xlsx</t>
        </is>
      </c>
      <c r="F9" t="inlineStr">
        <is>
          <t>Vulnerability_Inventory</t>
        </is>
      </c>
      <c r="G9" t="inlineStr">
        <is>
          <t>K:K</t>
        </is>
      </c>
      <c r="H9" s="11">
        <f>COUNTIFS('[ISMS-IMP-A.8.8.5.xlsx]Vulnerability_Inventory'!K:K,"&gt;=7.0",'[ISMS-IMP-A.8.8.5.xlsx]Vulnerability_Inventory'!K:K,"&lt;9.0")</f>
        <v/>
      </c>
      <c r="I9" t="inlineStr">
        <is>
          <t>Count</t>
        </is>
      </c>
      <c r="J9" t="inlineStr">
        <is>
          <t>&lt;50</t>
        </is>
      </c>
      <c r="K9" t="inlineStr">
        <is>
          <t>50-100</t>
        </is>
      </c>
      <c r="L9" t="inlineStr">
        <is>
          <t>&gt;100</t>
        </is>
      </c>
      <c r="M9" t="inlineStr">
        <is>
          <t>Daily</t>
        </is>
      </c>
      <c r="N9" t="inlineStr">
        <is>
          <t>VM Coordinator</t>
        </is>
      </c>
      <c r="O9" t="inlineStr">
        <is>
          <t>High</t>
        </is>
      </c>
      <c r="P9" s="11">
        <f>H9</f>
        <v/>
      </c>
      <c r="Q9" s="11">
        <f>IF(P9="","",IF(P9&lt;=IFERROR(VALUE(J9),J9),"Green",IF(P9&lt;=IFERROR(VALUE(K9),K9),"Yellow","Red")))</f>
        <v/>
      </c>
      <c r="R9" t="inlineStr">
        <is>
          <t>CVSS 7.0-8.9 severity</t>
        </is>
      </c>
    </row>
    <row r="10">
      <c r="A10" t="inlineStr">
        <is>
          <t>M006</t>
        </is>
      </c>
      <c r="B10" t="inlineStr">
        <is>
          <t>Scanner Uptime Percentage</t>
        </is>
      </c>
      <c r="C10" t="inlineStr">
        <is>
          <t>Discovery</t>
        </is>
      </c>
      <c r="D10" t="n">
        <v>1</v>
      </c>
      <c r="E10" t="inlineStr">
        <is>
          <t>ISMS-IMP-A.8.8.1.xlsx</t>
        </is>
      </c>
      <c r="F10" t="inlineStr">
        <is>
          <t>Overview</t>
        </is>
      </c>
      <c r="G10" t="inlineStr">
        <is>
          <t>B7</t>
        </is>
      </c>
      <c r="H10" s="11" t="inlineStr">
        <is>
          <t>'[ISMS-IMP-A.8.8.1.xlsx]Overview'!B7</t>
        </is>
      </c>
      <c r="I10" t="inlineStr">
        <is>
          <t>Percentage</t>
        </is>
      </c>
      <c r="J10" t="inlineStr">
        <is>
          <t>&gt;99%</t>
        </is>
      </c>
      <c r="K10" t="inlineStr">
        <is>
          <t>95-99%</t>
        </is>
      </c>
      <c r="L10" t="inlineStr">
        <is>
          <t>&lt;95%</t>
        </is>
      </c>
      <c r="M10" t="inlineStr">
        <is>
          <t>Daily</t>
        </is>
      </c>
      <c r="N10" t="inlineStr">
        <is>
          <t>Infrastructure Team</t>
        </is>
      </c>
      <c r="O10" t="inlineStr">
        <is>
          <t>High</t>
        </is>
      </c>
      <c r="P10" s="11">
        <f>H10</f>
        <v/>
      </c>
      <c r="Q10" s="11">
        <f>IF(P10="","",IF(P10&gt;=IFERROR(VALUE(LEFT(J10,FIND("%",J10)-1))/100,J10),"Green",IF(P10&gt;=IFERROR(VALUE(LEFT(K10,FIND("%",K10)-1))/100,K10),"Yellow","Red")))</f>
        <v/>
      </c>
      <c r="R10" t="inlineStr">
        <is>
          <t>Scanner availability from IMP-1</t>
        </is>
      </c>
    </row>
    <row r="11">
      <c r="A11" t="inlineStr">
        <is>
          <t>M007</t>
        </is>
      </c>
      <c r="B11" t="inlineStr">
        <is>
          <t>Scan Completion Rate</t>
        </is>
      </c>
      <c r="C11" t="inlineStr">
        <is>
          <t>Discovery</t>
        </is>
      </c>
      <c r="D11" t="n">
        <v>1</v>
      </c>
      <c r="E11" t="inlineStr">
        <is>
          <t>ISMS-IMP-A.8.8.1.xlsx</t>
        </is>
      </c>
      <c r="F11" t="inlineStr">
        <is>
          <t>Overview</t>
        </is>
      </c>
      <c r="G11" t="inlineStr">
        <is>
          <t>B10</t>
        </is>
      </c>
      <c r="H11" s="11" t="inlineStr">
        <is>
          <t>'[ISMS-IMP-A.8.8.1.xlsx]Overview'!B10</t>
        </is>
      </c>
      <c r="I11" t="inlineStr">
        <is>
          <t>Percentage</t>
        </is>
      </c>
      <c r="J11" t="inlineStr">
        <is>
          <t>&gt;95%</t>
        </is>
      </c>
      <c r="K11" t="inlineStr">
        <is>
          <t>90-95%</t>
        </is>
      </c>
      <c r="L11" t="inlineStr">
        <is>
          <t>&lt;90%</t>
        </is>
      </c>
      <c r="M11" t="inlineStr">
        <is>
          <t>Daily</t>
        </is>
      </c>
      <c r="N11" t="inlineStr">
        <is>
          <t>VM Coordinator</t>
        </is>
      </c>
      <c r="O11" t="inlineStr">
        <is>
          <t>High</t>
        </is>
      </c>
      <c r="P11" s="11">
        <f>H11</f>
        <v/>
      </c>
      <c r="Q11" s="11">
        <f>IF(P11="","",IF(P11&gt;=IFERROR(VALUE(LEFT(J11,FIND("%",J11)-1))/100,J11),"Green",IF(P11&gt;=IFERROR(VALUE(LEFT(K11,FIND("%",K11)-1))/100,K11),"Yellow","Red")))</f>
        <v/>
      </c>
      <c r="R11" t="inlineStr">
        <is>
          <t>Successful scan execution rate</t>
        </is>
      </c>
    </row>
    <row r="12">
      <c r="A12" t="inlineStr">
        <is>
          <t>M008</t>
        </is>
      </c>
      <c r="B12" t="inlineStr">
        <is>
          <t>Network Coverage Percentage</t>
        </is>
      </c>
      <c r="C12" t="inlineStr">
        <is>
          <t>Discovery</t>
        </is>
      </c>
      <c r="D12" t="n">
        <v>2</v>
      </c>
      <c r="E12" t="inlineStr">
        <is>
          <t>ISMS-IMP-A.8.8.2.xlsx</t>
        </is>
      </c>
      <c r="F12" t="inlineStr">
        <is>
          <t>Overview</t>
        </is>
      </c>
      <c r="G12" t="inlineStr">
        <is>
          <t>B8</t>
        </is>
      </c>
      <c r="H12" s="11" t="inlineStr">
        <is>
          <t>'[ISMS-IMP-A.8.8.2.xlsx]Overview'!B8</t>
        </is>
      </c>
      <c r="I12" t="inlineStr">
        <is>
          <t>Percentage</t>
        </is>
      </c>
      <c r="J12" t="inlineStr">
        <is>
          <t>100%</t>
        </is>
      </c>
      <c r="K12" t="inlineStr">
        <is>
          <t>95-99%</t>
        </is>
      </c>
      <c r="L12" t="inlineStr">
        <is>
          <t>&lt;95%</t>
        </is>
      </c>
      <c r="M12" t="inlineStr">
        <is>
          <t>Weekly</t>
        </is>
      </c>
      <c r="N12" t="inlineStr">
        <is>
          <t>Network Team</t>
        </is>
      </c>
      <c r="O12" t="inlineStr">
        <is>
          <t>Critical</t>
        </is>
      </c>
      <c r="P12" s="11">
        <f>H12</f>
        <v/>
      </c>
      <c r="Q12" s="11">
        <f>IF(P12="","",IF(P12&gt;=IFERROR(VALUE(LEFT(J12,FIND("%",J12)-1))/100,J12),"Green",IF(P12&gt;=IFERROR(VALUE(LEFT(K12,FIND("%",K12)-1))/100,K12),"Yellow","Red")))</f>
        <v/>
      </c>
      <c r="R12" t="inlineStr">
        <is>
          <t>Network segments covered by scanning</t>
        </is>
      </c>
    </row>
    <row r="13">
      <c r="A13" t="inlineStr">
        <is>
          <t>M009</t>
        </is>
      </c>
      <c r="B13" t="inlineStr">
        <is>
          <t>Critical Coverage Gaps</t>
        </is>
      </c>
      <c r="C13" t="inlineStr">
        <is>
          <t>Discovery</t>
        </is>
      </c>
      <c r="D13" t="n">
        <v>2</v>
      </c>
      <c r="E13" t="inlineStr">
        <is>
          <t>ISMS-IMP-A.8.8.2.xlsx</t>
        </is>
      </c>
      <c r="F13" t="inlineStr">
        <is>
          <t>Overview</t>
        </is>
      </c>
      <c r="G13" t="inlineStr">
        <is>
          <t>B10</t>
        </is>
      </c>
      <c r="H13" s="11" t="inlineStr">
        <is>
          <t>'[ISMS-IMP-A.8.8.2.xlsx]Overview'!B10</t>
        </is>
      </c>
      <c r="I13" t="inlineStr">
        <is>
          <t>Count</t>
        </is>
      </c>
      <c r="J13" t="inlineStr">
        <is>
          <t>0</t>
        </is>
      </c>
      <c r="K13" t="inlineStr">
        <is>
          <t>1-2</t>
        </is>
      </c>
      <c r="L13" t="inlineStr">
        <is>
          <t>&gt;2</t>
        </is>
      </c>
      <c r="M13" t="inlineStr">
        <is>
          <t>Weekly</t>
        </is>
      </c>
      <c r="N13" t="inlineStr">
        <is>
          <t>Network Team</t>
        </is>
      </c>
      <c r="O13" t="inlineStr">
        <is>
          <t>Critical</t>
        </is>
      </c>
      <c r="P13" s="11">
        <f>H13</f>
        <v/>
      </c>
      <c r="Q13" s="11">
        <f>IF(P13="","",IF(P13&lt;=IFERROR(VALUE(J13),J13),"Green",IF(P13&lt;=IFERROR(VALUE(K13),K13),"Yellow","Red")))</f>
        <v/>
      </c>
      <c r="R13" t="inlineStr">
        <is>
          <t>Uncovered critical network segments</t>
        </is>
      </c>
    </row>
    <row r="14">
      <c r="A14" t="inlineStr">
        <is>
          <t>M010</t>
        </is>
      </c>
      <c r="B14" t="inlineStr">
        <is>
          <t>Average Vulnerability Age (Days)</t>
        </is>
      </c>
      <c r="C14" t="inlineStr">
        <is>
          <t>Discovery</t>
        </is>
      </c>
      <c r="D14" t="n">
        <v>5</v>
      </c>
      <c r="E14" t="inlineStr">
        <is>
          <t>ISMS-IMP-A.8.8.5.xlsx</t>
        </is>
      </c>
      <c r="F14" t="inlineStr">
        <is>
          <t>Vulnerability_Inventory</t>
        </is>
      </c>
      <c r="G14" t="inlineStr">
        <is>
          <t>D:D</t>
        </is>
      </c>
      <c r="H14" s="11">
        <f>AVERAGE(TODAY()-'[ISMS-IMP-A.8.8.5.xlsx]Vulnerability_Inventory'!D:D)</f>
        <v/>
      </c>
      <c r="I14" t="inlineStr">
        <is>
          <t>Days</t>
        </is>
      </c>
      <c r="J14" t="inlineStr">
        <is>
          <t>&lt;30</t>
        </is>
      </c>
      <c r="K14" t="inlineStr">
        <is>
          <t>30-60</t>
        </is>
      </c>
      <c r="L14" t="inlineStr">
        <is>
          <t>&gt;60</t>
        </is>
      </c>
      <c r="M14" t="inlineStr">
        <is>
          <t>Weekly</t>
        </is>
      </c>
      <c r="N14" t="inlineStr">
        <is>
          <t>VM Coordinator</t>
        </is>
      </c>
      <c r="O14" t="inlineStr">
        <is>
          <t>Medium</t>
        </is>
      </c>
      <c r="P14" s="11">
        <f>H14</f>
        <v/>
      </c>
      <c r="Q14" s="11">
        <f>IF(P14="","",IF(P14&lt;=IFERROR(VALUE(J14),J14),"Green",IF(P14&lt;=IFERROR(VALUE(K14),K14),"Yellow","Red")))</f>
        <v/>
      </c>
      <c r="R14" t="inlineStr">
        <is>
          <t>Mean age of all active vulnerabilities</t>
        </is>
      </c>
    </row>
    <row r="15">
      <c r="A15" t="inlineStr">
        <is>
          <t>M011</t>
        </is>
      </c>
      <c r="B15" t="inlineStr">
        <is>
          <t>Oldest Vulnerability (Days)</t>
        </is>
      </c>
      <c r="C15" t="inlineStr">
        <is>
          <t>Discovery</t>
        </is>
      </c>
      <c r="D15" t="n">
        <v>5</v>
      </c>
      <c r="E15" t="inlineStr">
        <is>
          <t>ISMS-IMP-A.8.8.5.xlsx</t>
        </is>
      </c>
      <c r="F15" t="inlineStr">
        <is>
          <t>Vulnerability_Inventory</t>
        </is>
      </c>
      <c r="G15" t="inlineStr">
        <is>
          <t>D:D</t>
        </is>
      </c>
      <c r="H15" s="11">
        <f>TODAY()-MIN('[ISMS-IMP-A.8.8.5.xlsx]Vulnerability_Inventory'!D:D)</f>
        <v/>
      </c>
      <c r="I15" t="inlineStr">
        <is>
          <t>Days</t>
        </is>
      </c>
      <c r="J15" t="inlineStr">
        <is>
          <t>&lt;90</t>
        </is>
      </c>
      <c r="K15" t="inlineStr">
        <is>
          <t>90-180</t>
        </is>
      </c>
      <c r="L15" t="inlineStr">
        <is>
          <t>&gt;180</t>
        </is>
      </c>
      <c r="M15" t="inlineStr">
        <is>
          <t>Weekly</t>
        </is>
      </c>
      <c r="N15" t="inlineStr">
        <is>
          <t>VM Coordinator</t>
        </is>
      </c>
      <c r="O15" t="inlineStr">
        <is>
          <t>High</t>
        </is>
      </c>
      <c r="P15" s="11">
        <f>H15</f>
        <v/>
      </c>
      <c r="Q15" s="11">
        <f>IF(P15="","",IF(P15&lt;=IFERROR(VALUE(J15),J15),"Green",IF(P15&lt;=IFERROR(VALUE(K15),K15),"Yellow","Red")))</f>
        <v/>
      </c>
      <c r="R15" t="inlineStr">
        <is>
          <t>Maximum age (oldest vulnerability)</t>
        </is>
      </c>
    </row>
    <row r="16">
      <c r="A16" t="inlineStr">
        <is>
          <t>M012</t>
        </is>
      </c>
      <c r="B16" t="inlineStr">
        <is>
          <t>CVSS v4.0 Adoption Rate</t>
        </is>
      </c>
      <c r="C16" t="inlineStr">
        <is>
          <t>Discovery</t>
        </is>
      </c>
      <c r="D16" t="n">
        <v>5</v>
      </c>
      <c r="E16" t="inlineStr">
        <is>
          <t>ISMS-IMP-A.8.8.5.xlsx</t>
        </is>
      </c>
      <c r="F16" t="inlineStr">
        <is>
          <t>Vulnerability_Inventory</t>
        </is>
      </c>
      <c r="G16" t="inlineStr">
        <is>
          <t>J:J</t>
        </is>
      </c>
      <c r="H16" s="11">
        <f>COUNTIF('[ISMS-IMP-A.8.8.5.xlsx]Vulnerability_Inventory'!J:J,"v4.0")/COUNTA('[ISMS-IMP-A.8.8.5.xlsx]Vulnerability_Inventory'!J:J)</f>
        <v/>
      </c>
      <c r="I16" t="inlineStr">
        <is>
          <t>Percentage</t>
        </is>
      </c>
      <c r="J16" t="inlineStr">
        <is>
          <t>&gt;70%</t>
        </is>
      </c>
      <c r="K16" t="inlineStr">
        <is>
          <t>50-70%</t>
        </is>
      </c>
      <c r="L16" t="inlineStr">
        <is>
          <t>&lt;50%</t>
        </is>
      </c>
      <c r="M16" t="inlineStr">
        <is>
          <t>Monthly</t>
        </is>
      </c>
      <c r="N16" t="inlineStr">
        <is>
          <t>VM Coordinator</t>
        </is>
      </c>
      <c r="O16" t="inlineStr">
        <is>
          <t>Medium</t>
        </is>
      </c>
      <c r="P16" s="11">
        <f>H16</f>
        <v/>
      </c>
      <c r="Q16" s="11">
        <f>IF(P16="","",IF(P16&gt;=IFERROR(VALUE(LEFT(J16,FIND("%",J16)-1))/100,J16),"Green",IF(P16&gt;=IFERROR(VALUE(LEFT(K16,FIND("%",K16)-1))/100,K16),"Yellow","Red")))</f>
        <v/>
      </c>
      <c r="R16" t="inlineStr">
        <is>
          <t>Percentage using CVSS v4.0 scoring</t>
        </is>
      </c>
    </row>
    <row r="17">
      <c r="A17" t="inlineStr">
        <is>
          <t>M013</t>
        </is>
      </c>
      <c r="B17" t="inlineStr">
        <is>
          <t>Dual-Scored Vulnerabilities</t>
        </is>
      </c>
      <c r="C17" t="inlineStr">
        <is>
          <t>Discovery</t>
        </is>
      </c>
      <c r="D17" t="n">
        <v>5</v>
      </c>
      <c r="E17" t="inlineStr">
        <is>
          <t>ISMS-IMP-A.8.8.5.xlsx</t>
        </is>
      </c>
      <c r="F17" t="inlineStr">
        <is>
          <t>Vulnerability_Inventory</t>
        </is>
      </c>
      <c r="G17" t="inlineStr">
        <is>
          <t>J:J</t>
        </is>
      </c>
      <c r="H17" s="11">
        <f>COUNTIF('[ISMS-IMP-A.8.8.5.xlsx]Vulnerability_Inventory'!J:J,"Both")</f>
        <v/>
      </c>
      <c r="I17" t="inlineStr">
        <is>
          <t>Count</t>
        </is>
      </c>
      <c r="J17" t="inlineStr">
        <is>
          <t>&gt;100</t>
        </is>
      </c>
      <c r="K17" t="inlineStr">
        <is>
          <t>50-100</t>
        </is>
      </c>
      <c r="L17" t="inlineStr">
        <is>
          <t>&lt;50</t>
        </is>
      </c>
      <c r="M17" t="inlineStr">
        <is>
          <t>Monthly</t>
        </is>
      </c>
      <c r="N17" t="inlineStr">
        <is>
          <t>VM Coordinator</t>
        </is>
      </c>
      <c r="O17" t="inlineStr">
        <is>
          <t>Low</t>
        </is>
      </c>
      <c r="P17" s="11">
        <f>H17</f>
        <v/>
      </c>
      <c r="Q17" s="11">
        <f>IF(P17="","",IF(P17&lt;=IFERROR(VALUE(J17),J17),"Green",IF(P17&lt;=IFERROR(VALUE(K17),K17),"Yellow","Red")))</f>
        <v/>
      </c>
      <c r="R17" t="inlineStr">
        <is>
          <t>Both v4.0 and v3.1 scores present</t>
        </is>
      </c>
    </row>
    <row r="18">
      <c r="A18" t="inlineStr">
        <is>
          <t>M014</t>
        </is>
      </c>
      <c r="B18" t="inlineStr">
        <is>
          <t>Failed Scans (Last 7 Days)</t>
        </is>
      </c>
      <c r="C18" t="inlineStr">
        <is>
          <t>Discovery</t>
        </is>
      </c>
      <c r="D18" t="n">
        <v>1</v>
      </c>
      <c r="E18" t="inlineStr">
        <is>
          <t>ISMS-IMP-A.8.8.1.xlsx</t>
        </is>
      </c>
      <c r="F18" t="inlineStr">
        <is>
          <t>Overview</t>
        </is>
      </c>
      <c r="G18" t="inlineStr">
        <is>
          <t>B12</t>
        </is>
      </c>
      <c r="H18" s="11" t="inlineStr">
        <is>
          <t>'[ISMS-IMP-A.8.8.1.xlsx]Overview'!B12</t>
        </is>
      </c>
      <c r="I18" t="inlineStr">
        <is>
          <t>Count</t>
        </is>
      </c>
      <c r="J18" t="inlineStr">
        <is>
          <t>&lt;5</t>
        </is>
      </c>
      <c r="K18" t="inlineStr">
        <is>
          <t>5-10</t>
        </is>
      </c>
      <c r="L18" t="inlineStr">
        <is>
          <t>&gt;10</t>
        </is>
      </c>
      <c r="M18" t="inlineStr">
        <is>
          <t>Daily</t>
        </is>
      </c>
      <c r="N18" t="inlineStr">
        <is>
          <t>Infrastructure Team</t>
        </is>
      </c>
      <c r="O18" t="inlineStr">
        <is>
          <t>Medium</t>
        </is>
      </c>
      <c r="P18" s="11">
        <f>H18</f>
        <v/>
      </c>
      <c r="Q18" s="11">
        <f>IF(P18="","",IF(P18&lt;=IFERROR(VALUE(J18),J18),"Green",IF(P18&lt;=IFERROR(VALUE(K18),K18),"Yellow","Red")))</f>
        <v/>
      </c>
      <c r="R18" t="inlineStr">
        <is>
          <t>Recent scan failures from IMP-1</t>
        </is>
      </c>
    </row>
    <row r="19">
      <c r="A19" t="inlineStr">
        <is>
          <t>M015</t>
        </is>
      </c>
      <c r="B19" t="inlineStr">
        <is>
          <t>False Positive Rate</t>
        </is>
      </c>
      <c r="C19" t="inlineStr">
        <is>
          <t>Discovery</t>
        </is>
      </c>
      <c r="D19" t="n">
        <v>1</v>
      </c>
      <c r="E19" t="inlineStr">
        <is>
          <t>ISMS-IMP-A.8.8.1.xlsx</t>
        </is>
      </c>
      <c r="F19" t="inlineStr">
        <is>
          <t>Overview</t>
        </is>
      </c>
      <c r="G19" t="inlineStr">
        <is>
          <t>B13</t>
        </is>
      </c>
      <c r="H19" s="11" t="inlineStr">
        <is>
          <t>'[ISMS-IMP-A.8.8.1.xlsx]Overview'!B13</t>
        </is>
      </c>
      <c r="I19" t="inlineStr">
        <is>
          <t>Percentage</t>
        </is>
      </c>
      <c r="J19" t="inlineStr">
        <is>
          <t>&lt;5%</t>
        </is>
      </c>
      <c r="K19" t="inlineStr">
        <is>
          <t>5-10%</t>
        </is>
      </c>
      <c r="L19" t="inlineStr">
        <is>
          <t>&gt;10%</t>
        </is>
      </c>
      <c r="M19" t="inlineStr">
        <is>
          <t>Weekly</t>
        </is>
      </c>
      <c r="N19" t="inlineStr">
        <is>
          <t>VM Coordinator</t>
        </is>
      </c>
      <c r="O19" t="inlineStr">
        <is>
          <t>Medium</t>
        </is>
      </c>
      <c r="P19" s="11">
        <f>H19</f>
        <v/>
      </c>
      <c r="Q19" s="11">
        <f>IF(P19="","",IF(P19&gt;=IFERROR(VALUE(LEFT(J19,FIND("%",J19)-1))/100,J19),"Green",IF(P19&gt;=IFERROR(VALUE(LEFT(K19,FIND("%",K19)-1))/100,K19),"Yellow","Red")))</f>
        <v/>
      </c>
      <c r="R19" t="inlineStr">
        <is>
          <t>Scanner false positive percentage</t>
        </is>
      </c>
    </row>
    <row r="20">
      <c r="A20" t="inlineStr">
        <is>
          <t>M016</t>
        </is>
      </c>
      <c r="B20" t="inlineStr">
        <is>
          <t>Wormable Vulnerabilities (AU=Y)</t>
        </is>
      </c>
      <c r="C20" t="inlineStr">
        <is>
          <t>Assessment</t>
        </is>
      </c>
      <c r="D20" t="n">
        <v>7</v>
      </c>
      <c r="E20" t="inlineStr">
        <is>
          <t>ISMS-IMP-A.8.8.7.xlsx</t>
        </is>
      </c>
      <c r="F20" t="inlineStr">
        <is>
          <t>Dashboard</t>
        </is>
      </c>
      <c r="G20" t="inlineStr">
        <is>
          <t>B8</t>
        </is>
      </c>
      <c r="H20" s="11" t="inlineStr">
        <is>
          <t>'[ISMS-IMP-A.8.8.7.xlsx]Dashboard'!B8</t>
        </is>
      </c>
      <c r="I20" t="inlineStr">
        <is>
          <t>Count</t>
        </is>
      </c>
      <c r="J20" t="inlineStr">
        <is>
          <t>0</t>
        </is>
      </c>
      <c r="K20" t="inlineStr">
        <is>
          <t>1-2</t>
        </is>
      </c>
      <c r="L20" t="inlineStr">
        <is>
          <t>&gt;2</t>
        </is>
      </c>
      <c r="M20" t="inlineStr">
        <is>
          <t>Daily</t>
        </is>
      </c>
      <c r="N20" t="inlineStr">
        <is>
          <t>VM Coordinator</t>
        </is>
      </c>
      <c r="O20" t="inlineStr">
        <is>
          <t>Critical</t>
        </is>
      </c>
      <c r="P20" s="11">
        <f>H20</f>
        <v/>
      </c>
      <c r="Q20" s="11">
        <f>IF(P20="","",IF(P20&lt;=IFERROR(VALUE(J20),J20),"Green",IF(P20&lt;=IFERROR(VALUE(K20),K20),"Yellow","Red")))</f>
        <v/>
      </c>
      <c r="R20" t="inlineStr">
        <is>
          <t>Self-propagating vulnerabilities (CVSS v4.0 AU=Yes)</t>
        </is>
      </c>
    </row>
    <row r="21">
      <c r="A21" t="inlineStr">
        <is>
          <t>M017</t>
        </is>
      </c>
      <c r="B21" t="inlineStr">
        <is>
          <t>Safety-Critical Vulnerabilities (S=P)</t>
        </is>
      </c>
      <c r="C21" t="inlineStr">
        <is>
          <t>Assessment</t>
        </is>
      </c>
      <c r="D21" t="n">
        <v>5</v>
      </c>
      <c r="E21" t="inlineStr">
        <is>
          <t>ISMS-IMP-A.8.8.5.xlsx</t>
        </is>
      </c>
      <c r="F21" t="inlineStr">
        <is>
          <t>Vulnerability_Inventory</t>
        </is>
      </c>
      <c r="G21" t="inlineStr">
        <is>
          <t>Q:Q,K:K</t>
        </is>
      </c>
      <c r="H21" s="11">
        <f>COUNTIFS('[ISMS-IMP-A.8.8.5.xlsx]Vulnerability_Inventory'!Q:Q,"P",'[ISMS-IMP-A.8.8.5.xlsx]Vulnerability_Inventory'!K:K,"&gt;=7.0")</f>
        <v/>
      </c>
      <c r="I21" t="inlineStr">
        <is>
          <t>Count</t>
        </is>
      </c>
      <c r="J21" t="inlineStr">
        <is>
          <t>0</t>
        </is>
      </c>
      <c r="K21" t="inlineStr">
        <is>
          <t>1-3</t>
        </is>
      </c>
      <c r="L21" t="inlineStr">
        <is>
          <t>&gt;3</t>
        </is>
      </c>
      <c r="M21" t="inlineStr">
        <is>
          <t>Daily</t>
        </is>
      </c>
      <c r="N21" t="inlineStr">
        <is>
          <t>OT/ICS Team</t>
        </is>
      </c>
      <c r="O21" t="inlineStr">
        <is>
          <t>Critical</t>
        </is>
      </c>
      <c r="P21" s="11">
        <f>H21</f>
        <v/>
      </c>
      <c r="Q21" s="11">
        <f>IF(P21="","",IF(P21&lt;=IFERROR(VALUE(J21),J21),"Green",IF(P21&lt;=IFERROR(VALUE(K21),K21),"Yellow","Red")))</f>
        <v/>
      </c>
      <c r="R21" t="inlineStr">
        <is>
          <t>OT/ICS safety-critical (CVSS v4.0 S=Present)</t>
        </is>
      </c>
    </row>
    <row r="22">
      <c r="A22" t="inlineStr">
        <is>
          <t>M018</t>
        </is>
      </c>
      <c r="B22" t="inlineStr">
        <is>
          <t>KEV-Listed Vulnerabilities</t>
        </is>
      </c>
      <c r="C22" t="inlineStr">
        <is>
          <t>Assessment</t>
        </is>
      </c>
      <c r="D22" t="n">
        <v>4</v>
      </c>
      <c r="E22" t="inlineStr">
        <is>
          <t>ISMS-IMP-A.8.8.4.xlsx</t>
        </is>
      </c>
      <c r="F22" t="inlineStr">
        <is>
          <t>TI_Integration_Dashboard</t>
        </is>
      </c>
      <c r="G22" t="inlineStr">
        <is>
          <t>B6</t>
        </is>
      </c>
      <c r="H22" s="11" t="inlineStr">
        <is>
          <t>'[ISMS-IMP-A.8.8.4.xlsx]TI_Integration_Dashboard'!B6</t>
        </is>
      </c>
      <c r="I22" t="inlineStr">
        <is>
          <t>Count</t>
        </is>
      </c>
      <c r="J22" t="inlineStr">
        <is>
          <t>0</t>
        </is>
      </c>
      <c r="K22" t="inlineStr">
        <is>
          <t>1-3</t>
        </is>
      </c>
      <c r="L22" t="inlineStr">
        <is>
          <t>&gt;3</t>
        </is>
      </c>
      <c r="M22" t="inlineStr">
        <is>
          <t>Daily</t>
        </is>
      </c>
      <c r="N22" t="inlineStr">
        <is>
          <t>TI Analyst</t>
        </is>
      </c>
      <c r="O22" t="inlineStr">
        <is>
          <t>Critical</t>
        </is>
      </c>
      <c r="P22" s="11">
        <f>H22</f>
        <v/>
      </c>
      <c r="Q22" s="11">
        <f>IF(P22="","",IF(P22&lt;=IFERROR(VALUE(J22),J22),"Green",IF(P22&lt;=IFERROR(VALUE(K22),K22),"Yellow","Red")))</f>
        <v/>
      </c>
      <c r="R22" t="inlineStr">
        <is>
          <t>CISA Known Exploited Vulnerabilities catalog</t>
        </is>
      </c>
    </row>
    <row r="23">
      <c r="A23" t="inlineStr">
        <is>
          <t>M019</t>
        </is>
      </c>
      <c r="B23" t="inlineStr">
        <is>
          <t>Active Exploitation Flags</t>
        </is>
      </c>
      <c r="C23" t="inlineStr">
        <is>
          <t>Assessment</t>
        </is>
      </c>
      <c r="D23" t="n">
        <v>4</v>
      </c>
      <c r="E23" t="inlineStr">
        <is>
          <t>ISMS-IMP-A.8.8.4.xlsx</t>
        </is>
      </c>
      <c r="F23" t="inlineStr">
        <is>
          <t>TI_Integration_Dashboard</t>
        </is>
      </c>
      <c r="G23" t="inlineStr">
        <is>
          <t>B7</t>
        </is>
      </c>
      <c r="H23" s="11" t="inlineStr">
        <is>
          <t>'[ISMS-IMP-A.8.8.4.xlsx]TI_Integration_Dashboard'!B7</t>
        </is>
      </c>
      <c r="I23" t="inlineStr">
        <is>
          <t>Count</t>
        </is>
      </c>
      <c r="J23" t="inlineStr">
        <is>
          <t>0</t>
        </is>
      </c>
      <c r="K23" t="inlineStr">
        <is>
          <t>1-2</t>
        </is>
      </c>
      <c r="L23" t="inlineStr">
        <is>
          <t>&gt;2</t>
        </is>
      </c>
      <c r="M23" t="inlineStr">
        <is>
          <t>Daily</t>
        </is>
      </c>
      <c r="N23" t="inlineStr">
        <is>
          <t>TI Analyst</t>
        </is>
      </c>
      <c r="O23" t="inlineStr">
        <is>
          <t>Critical</t>
        </is>
      </c>
      <c r="P23" s="11">
        <f>H23</f>
        <v/>
      </c>
      <c r="Q23" s="11">
        <f>IF(P23="","",IF(P23&lt;=IFERROR(VALUE(J23),J23),"Green",IF(P23&lt;=IFERROR(VALUE(K23),K23),"Yellow","Red")))</f>
        <v/>
      </c>
      <c r="R23" t="inlineStr">
        <is>
          <t>In-the-wild exploitation detected</t>
        </is>
      </c>
    </row>
    <row r="24">
      <c r="A24" t="inlineStr">
        <is>
          <t>M020</t>
        </is>
      </c>
      <c r="B24" t="inlineStr">
        <is>
          <t>EPSS Coverage Rate</t>
        </is>
      </c>
      <c r="C24" t="inlineStr">
        <is>
          <t>Assessment</t>
        </is>
      </c>
      <c r="D24" t="n">
        <v>4</v>
      </c>
      <c r="E24" t="inlineStr">
        <is>
          <t>ISMS-IMP-A.8.8.4.xlsx</t>
        </is>
      </c>
      <c r="F24" t="inlineStr">
        <is>
          <t>TI_Integration_Dashboard</t>
        </is>
      </c>
      <c r="G24" t="inlineStr">
        <is>
          <t>B8</t>
        </is>
      </c>
      <c r="H24" s="11" t="inlineStr">
        <is>
          <t>'[ISMS-IMP-A.8.8.4.xlsx]TI_Integration_Dashboard'!B8</t>
        </is>
      </c>
      <c r="I24" t="inlineStr">
        <is>
          <t>Percentage</t>
        </is>
      </c>
      <c r="J24" t="inlineStr">
        <is>
          <t>&gt;80%</t>
        </is>
      </c>
      <c r="K24" t="inlineStr">
        <is>
          <t>60-80%</t>
        </is>
      </c>
      <c r="L24" t="inlineStr">
        <is>
          <t>&lt;60%</t>
        </is>
      </c>
      <c r="M24" t="inlineStr">
        <is>
          <t>Weekly</t>
        </is>
      </c>
      <c r="N24" t="inlineStr">
        <is>
          <t>TI Analyst</t>
        </is>
      </c>
      <c r="O24" t="inlineStr">
        <is>
          <t>Medium</t>
        </is>
      </c>
      <c r="P24" s="11">
        <f>H24</f>
        <v/>
      </c>
      <c r="Q24" s="11">
        <f>IF(P24="","",IF(P24&gt;=IFERROR(VALUE(LEFT(J24,FIND("%",J24)-1))/100,J24),"Green",IF(P24&gt;=IFERROR(VALUE(LEFT(K24,FIND("%",K24)-1))/100,K24),"Yellow","Red")))</f>
        <v/>
      </c>
      <c r="R24" t="inlineStr">
        <is>
          <t>Exploit Prediction Scoring System coverage</t>
        </is>
      </c>
    </row>
    <row r="25">
      <c r="A25" t="inlineStr">
        <is>
          <t>M021</t>
        </is>
      </c>
      <c r="B25" t="inlineStr">
        <is>
          <t>Total Risk Score</t>
        </is>
      </c>
      <c r="C25" t="inlineStr">
        <is>
          <t>Assessment</t>
        </is>
      </c>
      <c r="D25" t="n">
        <v>6</v>
      </c>
      <c r="E25" t="inlineStr">
        <is>
          <t>ISMS-IMP-A.8.8.6.xlsx</t>
        </is>
      </c>
      <c r="F25" t="inlineStr">
        <is>
          <t>Risk_Assessment_Matrix</t>
        </is>
      </c>
      <c r="G25" t="inlineStr">
        <is>
          <t>AP:AP</t>
        </is>
      </c>
      <c r="H25" s="11">
        <f>SUM('[ISMS-IMP-A.8.8.6.xlsx]Risk_Assessment_Matrix'!AP:AP)</f>
        <v/>
      </c>
      <c r="I25" t="inlineStr">
        <is>
          <t>Score</t>
        </is>
      </c>
      <c r="J25" t="inlineStr">
        <is>
          <t>&lt;500</t>
        </is>
      </c>
      <c r="K25" t="inlineStr">
        <is>
          <t>500-1000</t>
        </is>
      </c>
      <c r="L25" t="inlineStr">
        <is>
          <t>&gt;1000</t>
        </is>
      </c>
      <c r="M25" t="inlineStr">
        <is>
          <t>Weekly</t>
        </is>
      </c>
      <c r="N25" t="inlineStr">
        <is>
          <t>Risk Analyst</t>
        </is>
      </c>
      <c r="O25" t="inlineStr">
        <is>
          <t>High</t>
        </is>
      </c>
      <c r="P25" s="11">
        <f>H25</f>
        <v/>
      </c>
      <c r="Q25" s="11">
        <f>IF(P25="","",IF(P25&lt;=IFERROR(VALUE(J25),J25),"Green",IF(P25&lt;=IFERROR(VALUE(K25),K25),"Yellow","Red")))</f>
        <v/>
      </c>
      <c r="R25" t="inlineStr">
        <is>
          <t>Aggregate risk score across all vulnerabilities</t>
        </is>
      </c>
    </row>
    <row r="26">
      <c r="A26" t="inlineStr">
        <is>
          <t>M022</t>
        </is>
      </c>
      <c r="B26" t="inlineStr">
        <is>
          <t>Critical Risk Count</t>
        </is>
      </c>
      <c r="C26" t="inlineStr">
        <is>
          <t>Assessment</t>
        </is>
      </c>
      <c r="D26" t="n">
        <v>6</v>
      </c>
      <c r="E26" t="inlineStr">
        <is>
          <t>ISMS-IMP-A.8.8.6.xlsx</t>
        </is>
      </c>
      <c r="F26" t="inlineStr">
        <is>
          <t>Risk_Assessment_Matrix</t>
        </is>
      </c>
      <c r="G26" t="inlineStr">
        <is>
          <t>AQ:AQ</t>
        </is>
      </c>
      <c r="H26" s="11">
        <f>COUNTIF('[ISMS-IMP-A.8.8.6.xlsx]Risk_Assessment_Matrix'!AQ:AQ,"Critical")</f>
        <v/>
      </c>
      <c r="I26" t="inlineStr">
        <is>
          <t>Count</t>
        </is>
      </c>
      <c r="J26" t="inlineStr">
        <is>
          <t>&lt;5</t>
        </is>
      </c>
      <c r="K26" t="inlineStr">
        <is>
          <t>5-10</t>
        </is>
      </c>
      <c r="L26" t="inlineStr">
        <is>
          <t>&gt;10</t>
        </is>
      </c>
      <c r="M26" t="inlineStr">
        <is>
          <t>Daily</t>
        </is>
      </c>
      <c r="N26" t="inlineStr">
        <is>
          <t>Risk Analyst</t>
        </is>
      </c>
      <c r="O26" t="inlineStr">
        <is>
          <t>Critical</t>
        </is>
      </c>
      <c r="P26" s="11">
        <f>H26</f>
        <v/>
      </c>
      <c r="Q26" s="11">
        <f>IF(P26="","",IF(P26&lt;=IFERROR(VALUE(J26),J26),"Green",IF(P26&lt;=IFERROR(VALUE(K26),K26),"Yellow","Red")))</f>
        <v/>
      </c>
      <c r="R26" t="inlineStr">
        <is>
          <t>Vulnerabilities with Critical risk rating</t>
        </is>
      </c>
    </row>
    <row r="27">
      <c r="A27" t="inlineStr">
        <is>
          <t>M023</t>
        </is>
      </c>
      <c r="B27" t="inlineStr">
        <is>
          <t>High Risk Count</t>
        </is>
      </c>
      <c r="C27" t="inlineStr">
        <is>
          <t>Assessment</t>
        </is>
      </c>
      <c r="D27" t="n">
        <v>6</v>
      </c>
      <c r="E27" t="inlineStr">
        <is>
          <t>ISMS-IMP-A.8.8.6.xlsx</t>
        </is>
      </c>
      <c r="F27" t="inlineStr">
        <is>
          <t>Risk_Assessment_Matrix</t>
        </is>
      </c>
      <c r="G27" t="inlineStr">
        <is>
          <t>AQ:AQ</t>
        </is>
      </c>
      <c r="H27" s="11">
        <f>COUNTIF('[ISMS-IMP-A.8.8.6.xlsx]Risk_Assessment_Matrix'!AQ:AQ,"High")</f>
        <v/>
      </c>
      <c r="I27" t="inlineStr">
        <is>
          <t>Count</t>
        </is>
      </c>
      <c r="J27" t="inlineStr">
        <is>
          <t>&lt;20</t>
        </is>
      </c>
      <c r="K27" t="inlineStr">
        <is>
          <t>20-50</t>
        </is>
      </c>
      <c r="L27" t="inlineStr">
        <is>
          <t>&gt;50</t>
        </is>
      </c>
      <c r="M27" t="inlineStr">
        <is>
          <t>Daily</t>
        </is>
      </c>
      <c r="N27" t="inlineStr">
        <is>
          <t>Risk Analyst</t>
        </is>
      </c>
      <c r="O27" t="inlineStr">
        <is>
          <t>High</t>
        </is>
      </c>
      <c r="P27" s="11">
        <f>H27</f>
        <v/>
      </c>
      <c r="Q27" s="11">
        <f>IF(P27="","",IF(P27&lt;=IFERROR(VALUE(J27),J27),"Green",IF(P27&lt;=IFERROR(VALUE(K27),K27),"Yellow","Red")))</f>
        <v/>
      </c>
      <c r="R27" t="inlineStr">
        <is>
          <t>Vulnerabilities with High risk rating</t>
        </is>
      </c>
    </row>
    <row r="28">
      <c r="A28" t="inlineStr">
        <is>
          <t>M024</t>
        </is>
      </c>
      <c r="B28" t="inlineStr">
        <is>
          <t>Financial Exposure (CHF)</t>
        </is>
      </c>
      <c r="C28" t="inlineStr">
        <is>
          <t>Assessment</t>
        </is>
      </c>
      <c r="D28" t="n">
        <v>6</v>
      </c>
      <c r="E28" t="inlineStr">
        <is>
          <t>ISMS-IMP-A.8.8.6.xlsx</t>
        </is>
      </c>
      <c r="F28" t="inlineStr">
        <is>
          <t>Risk_Assessment_Matrix</t>
        </is>
      </c>
      <c r="G28" t="inlineStr">
        <is>
          <t>Z:Z</t>
        </is>
      </c>
      <c r="H28" s="11">
        <f>SUM('[ISMS-IMP-A.8.8.6.xlsx]Risk_Assessment_Matrix'!Z:Z)</f>
        <v/>
      </c>
      <c r="I28" t="inlineStr">
        <is>
          <t>CHF</t>
        </is>
      </c>
      <c r="J28" t="inlineStr">
        <is>
          <t>&lt;500'000</t>
        </is>
      </c>
      <c r="K28" t="inlineStr">
        <is>
          <t>500'000-1'000'000</t>
        </is>
      </c>
      <c r="L28" t="inlineStr">
        <is>
          <t>&gt;1'000'000</t>
        </is>
      </c>
      <c r="M28" t="inlineStr">
        <is>
          <t>Weekly</t>
        </is>
      </c>
      <c r="N28" t="inlineStr">
        <is>
          <t>Risk Analyst</t>
        </is>
      </c>
      <c r="O28" t="inlineStr">
        <is>
          <t>High</t>
        </is>
      </c>
      <c r="P28" s="11">
        <f>H28</f>
        <v/>
      </c>
      <c r="Q28" s="11">
        <f>IF(P28="","",IF(P28&lt;=IFERROR(VALUE(J28),J28),"Green",IF(P28&lt;=IFERROR(VALUE(K28),K28),"Yellow","Red")))</f>
        <v/>
      </c>
      <c r="R28" t="inlineStr">
        <is>
          <t>Total financial impact exposure</t>
        </is>
      </c>
    </row>
    <row r="29">
      <c r="A29" t="inlineStr">
        <is>
          <t>M025</t>
        </is>
      </c>
      <c r="B29" t="inlineStr">
        <is>
          <t>Time to Initial Risk Assessment (Hours)</t>
        </is>
      </c>
      <c r="C29" t="inlineStr">
        <is>
          <t>Assessment</t>
        </is>
      </c>
      <c r="D29" t="n">
        <v>6</v>
      </c>
      <c r="E29" t="inlineStr">
        <is>
          <t>ISMS-IMP-A.8.8.6.xlsx</t>
        </is>
      </c>
      <c r="F29" t="inlineStr">
        <is>
          <t>Risk_Assessment_Matrix</t>
        </is>
      </c>
      <c r="G29" t="inlineStr">
        <is>
          <t>E:E,D:D</t>
        </is>
      </c>
      <c r="H29" s="11">
        <f>AVERAGE(('[ISMS-IMP-A.8.8.6.xlsx]Risk_Assessment_Matrix'!E:E-'[ISMS-IMP-A.8.8.5.xlsx]Vulnerability_Inventory'!D:D)*24)</f>
        <v/>
      </c>
      <c r="I29" t="inlineStr">
        <is>
          <t>Hours</t>
        </is>
      </c>
      <c r="J29" t="inlineStr">
        <is>
          <t>&lt;24</t>
        </is>
      </c>
      <c r="K29" t="inlineStr">
        <is>
          <t>24-48</t>
        </is>
      </c>
      <c r="L29" t="inlineStr">
        <is>
          <t>&gt;48</t>
        </is>
      </c>
      <c r="M29" t="inlineStr">
        <is>
          <t>Weekly</t>
        </is>
      </c>
      <c r="N29" t="inlineStr">
        <is>
          <t>Risk Analyst</t>
        </is>
      </c>
      <c r="O29" t="inlineStr">
        <is>
          <t>High</t>
        </is>
      </c>
      <c r="P29" s="11">
        <f>H29</f>
        <v/>
      </c>
      <c r="Q29" s="11">
        <f>IF(P29="","",IF(P29&lt;=IFERROR(VALUE(J29),J29),"Green",IF(P29&lt;=IFERROR(VALUE(K29),K29),"Yellow","Red")))</f>
        <v/>
      </c>
      <c r="R29" t="inlineStr">
        <is>
          <t>Discovery to initial risk assessment time</t>
        </is>
      </c>
    </row>
    <row r="30">
      <c r="A30" t="inlineStr">
        <is>
          <t>M026</t>
        </is>
      </c>
      <c r="B30" t="inlineStr">
        <is>
          <t>P0 Emergency Count</t>
        </is>
      </c>
      <c r="C30" t="inlineStr">
        <is>
          <t>Prioritization</t>
        </is>
      </c>
      <c r="D30" t="n">
        <v>7</v>
      </c>
      <c r="E30" t="inlineStr">
        <is>
          <t>ISMS-IMP-A.8.8.7.xlsx</t>
        </is>
      </c>
      <c r="F30" t="inlineStr">
        <is>
          <t>Dashboard</t>
        </is>
      </c>
      <c r="G30" t="inlineStr">
        <is>
          <t>B7</t>
        </is>
      </c>
      <c r="H30" s="11" t="inlineStr">
        <is>
          <t>'[ISMS-IMP-A.8.8.7.xlsx]Dashboard'!B7</t>
        </is>
      </c>
      <c r="I30" t="inlineStr">
        <is>
          <t>Count</t>
        </is>
      </c>
      <c r="J30" t="inlineStr">
        <is>
          <t>&lt;5</t>
        </is>
      </c>
      <c r="K30" t="inlineStr">
        <is>
          <t>5-10</t>
        </is>
      </c>
      <c r="L30" t="inlineStr">
        <is>
          <t>&gt;10</t>
        </is>
      </c>
      <c r="M30" t="inlineStr">
        <is>
          <t>Daily</t>
        </is>
      </c>
      <c r="N30" t="inlineStr">
        <is>
          <t>VM Coordinator</t>
        </is>
      </c>
      <c r="O30" t="inlineStr">
        <is>
          <t>Critical</t>
        </is>
      </c>
      <c r="P30" s="11">
        <f>H30</f>
        <v/>
      </c>
      <c r="Q30" s="11">
        <f>IF(P30="","",IF(P30&lt;=IFERROR(VALUE(J30),J30),"Green",IF(P30&lt;=IFERROR(VALUE(K30),K30),"Yellow","Red")))</f>
        <v/>
      </c>
      <c r="R30" t="inlineStr">
        <is>
          <t>Emergency priority (1-day SLA)</t>
        </is>
      </c>
    </row>
    <row r="31">
      <c r="A31" t="inlineStr">
        <is>
          <t>M027</t>
        </is>
      </c>
      <c r="B31" t="inlineStr">
        <is>
          <t>P1 Critical Count</t>
        </is>
      </c>
      <c r="C31" t="inlineStr">
        <is>
          <t>Prioritization</t>
        </is>
      </c>
      <c r="D31" t="n">
        <v>7</v>
      </c>
      <c r="E31" t="inlineStr">
        <is>
          <t>ISMS-IMP-A.8.8.7.xlsx</t>
        </is>
      </c>
      <c r="F31" t="inlineStr">
        <is>
          <t>Priority_Matrix</t>
        </is>
      </c>
      <c r="G31" t="inlineStr">
        <is>
          <t>AD:AD</t>
        </is>
      </c>
      <c r="H31" s="11">
        <f>COUNTIF('[ISMS-IMP-A.8.8.7.xlsx]Priority_Matrix'!AD:AD,"P1")</f>
        <v/>
      </c>
      <c r="I31" t="inlineStr">
        <is>
          <t>Count</t>
        </is>
      </c>
      <c r="J31" t="inlineStr">
        <is>
          <t>&lt;50</t>
        </is>
      </c>
      <c r="K31" t="inlineStr">
        <is>
          <t>50-100</t>
        </is>
      </c>
      <c r="L31" t="inlineStr">
        <is>
          <t>&gt;100</t>
        </is>
      </c>
      <c r="M31" t="inlineStr">
        <is>
          <t>Daily</t>
        </is>
      </c>
      <c r="N31" t="inlineStr">
        <is>
          <t>VM Coordinator</t>
        </is>
      </c>
      <c r="O31" t="inlineStr">
        <is>
          <t>High</t>
        </is>
      </c>
      <c r="P31" s="11">
        <f>H31</f>
        <v/>
      </c>
      <c r="Q31" s="11">
        <f>IF(P31="","",IF(P31&lt;=IFERROR(VALUE(J31),J31),"Green",IF(P31&lt;=IFERROR(VALUE(K31),K31),"Yellow","Red")))</f>
        <v/>
      </c>
      <c r="R31" t="inlineStr">
        <is>
          <t>Critical priority (7-day SLA)</t>
        </is>
      </c>
    </row>
    <row r="32">
      <c r="A32" t="inlineStr">
        <is>
          <t>M028</t>
        </is>
      </c>
      <c r="B32" t="inlineStr">
        <is>
          <t>P2 Standard Count</t>
        </is>
      </c>
      <c r="C32" t="inlineStr">
        <is>
          <t>Prioritization</t>
        </is>
      </c>
      <c r="D32" t="n">
        <v>7</v>
      </c>
      <c r="E32" t="inlineStr">
        <is>
          <t>ISMS-IMP-A.8.8.7.xlsx</t>
        </is>
      </c>
      <c r="F32" t="inlineStr">
        <is>
          <t>Priority_Matrix</t>
        </is>
      </c>
      <c r="G32" t="inlineStr">
        <is>
          <t>AD:AD</t>
        </is>
      </c>
      <c r="H32" s="11">
        <f>COUNTIF('[ISMS-IMP-A.8.8.7.xlsx]Priority_Matrix'!AD:AD,"P2")</f>
        <v/>
      </c>
      <c r="I32" t="inlineStr">
        <is>
          <t>Count</t>
        </is>
      </c>
      <c r="J32" t="inlineStr">
        <is>
          <t>&lt;200</t>
        </is>
      </c>
      <c r="K32" t="inlineStr">
        <is>
          <t>200-300</t>
        </is>
      </c>
      <c r="L32" t="inlineStr">
        <is>
          <t>&gt;300</t>
        </is>
      </c>
      <c r="M32" t="inlineStr">
        <is>
          <t>Weekly</t>
        </is>
      </c>
      <c r="N32" t="inlineStr">
        <is>
          <t>VM Coordinator</t>
        </is>
      </c>
      <c r="O32" t="inlineStr">
        <is>
          <t>Medium</t>
        </is>
      </c>
      <c r="P32" s="11">
        <f>H32</f>
        <v/>
      </c>
      <c r="Q32" s="11">
        <f>IF(P32="","",IF(P32&lt;=IFERROR(VALUE(J32),J32),"Green",IF(P32&lt;=IFERROR(VALUE(K32),K32),"Yellow","Red")))</f>
        <v/>
      </c>
      <c r="R32" t="inlineStr">
        <is>
          <t>Standard priority (30-day SLA)</t>
        </is>
      </c>
    </row>
    <row r="33">
      <c r="A33" t="inlineStr">
        <is>
          <t>M029</t>
        </is>
      </c>
      <c r="B33" t="inlineStr">
        <is>
          <t>P3 Medium Count</t>
        </is>
      </c>
      <c r="C33" t="inlineStr">
        <is>
          <t>Prioritization</t>
        </is>
      </c>
      <c r="D33" t="n">
        <v>7</v>
      </c>
      <c r="E33" t="inlineStr">
        <is>
          <t>ISMS-IMP-A.8.8.7.xlsx</t>
        </is>
      </c>
      <c r="F33" t="inlineStr">
        <is>
          <t>Priority_Matrix</t>
        </is>
      </c>
      <c r="G33" t="inlineStr">
        <is>
          <t>AD:AD</t>
        </is>
      </c>
      <c r="H33" s="11">
        <f>COUNTIF('[ISMS-IMP-A.8.8.7.xlsx]Priority_Matrix'!AD:AD,"P3")</f>
        <v/>
      </c>
      <c r="I33" t="inlineStr">
        <is>
          <t>Count</t>
        </is>
      </c>
      <c r="J33" t="inlineStr">
        <is>
          <t>&lt;300</t>
        </is>
      </c>
      <c r="K33" t="inlineStr">
        <is>
          <t>300-500</t>
        </is>
      </c>
      <c r="L33" t="inlineStr">
        <is>
          <t>&gt;500</t>
        </is>
      </c>
      <c r="M33" t="inlineStr">
        <is>
          <t>Weekly</t>
        </is>
      </c>
      <c r="N33" t="inlineStr">
        <is>
          <t>VM Coordinator</t>
        </is>
      </c>
      <c r="O33" t="inlineStr">
        <is>
          <t>Low</t>
        </is>
      </c>
      <c r="P33" s="11">
        <f>H33</f>
        <v/>
      </c>
      <c r="Q33" s="11">
        <f>IF(P33="","",IF(P33&lt;=IFERROR(VALUE(J33),J33),"Green",IF(P33&lt;=IFERROR(VALUE(K33),K33),"Yellow","Red")))</f>
        <v/>
      </c>
      <c r="R33" t="inlineStr">
        <is>
          <t>Medium priority (90-day SLA)</t>
        </is>
      </c>
    </row>
    <row r="34">
      <c r="A34" t="inlineStr">
        <is>
          <t>M030</t>
        </is>
      </c>
      <c r="B34" t="inlineStr">
        <is>
          <t>P4 Low Count</t>
        </is>
      </c>
      <c r="C34" t="inlineStr">
        <is>
          <t>Prioritization</t>
        </is>
      </c>
      <c r="D34" t="n">
        <v>7</v>
      </c>
      <c r="E34" t="inlineStr">
        <is>
          <t>ISMS-IMP-A.8.8.7.xlsx</t>
        </is>
      </c>
      <c r="F34" t="inlineStr">
        <is>
          <t>Priority_Matrix</t>
        </is>
      </c>
      <c r="G34" t="inlineStr">
        <is>
          <t>AD:AD</t>
        </is>
      </c>
      <c r="H34" s="11">
        <f>COUNTIF('[ISMS-IMP-A.8.8.7.xlsx]Priority_Matrix'!AD:AD,"P4")</f>
        <v/>
      </c>
      <c r="I34" t="inlineStr">
        <is>
          <t>Count</t>
        </is>
      </c>
      <c r="J34" t="inlineStr">
        <is>
          <t>Any</t>
        </is>
      </c>
      <c r="K34" t="inlineStr">
        <is>
          <t>N/A</t>
        </is>
      </c>
      <c r="L34" t="inlineStr">
        <is>
          <t>N/A</t>
        </is>
      </c>
      <c r="M34" t="inlineStr">
        <is>
          <t>Weekly</t>
        </is>
      </c>
      <c r="N34" t="inlineStr">
        <is>
          <t>VM Coordinator</t>
        </is>
      </c>
      <c r="O34" t="inlineStr">
        <is>
          <t>Low</t>
        </is>
      </c>
      <c r="P34" s="11">
        <f>H34</f>
        <v/>
      </c>
      <c r="Q34" s="11">
        <f>IF(P34="","",IF(P34&lt;=IFERROR(VALUE(J34),J34),"Green",IF(P34&lt;=IFERROR(VALUE(K34),K34),"Yellow","Red")))</f>
        <v/>
      </c>
      <c r="R34" t="inlineStr">
        <is>
          <t>Low priority (best-effort)</t>
        </is>
      </c>
    </row>
    <row r="35">
      <c r="A35" t="inlineStr">
        <is>
          <t>M031</t>
        </is>
      </c>
      <c r="B35" t="inlineStr">
        <is>
          <t>Overall SLA Compliance</t>
        </is>
      </c>
      <c r="C35" t="inlineStr">
        <is>
          <t>Prioritization</t>
        </is>
      </c>
      <c r="D35" t="n">
        <v>7</v>
      </c>
      <c r="E35" t="inlineStr">
        <is>
          <t>ISMS-IMP-A.8.8.7.xlsx</t>
        </is>
      </c>
      <c r="F35" t="inlineStr">
        <is>
          <t>Dashboard</t>
        </is>
      </c>
      <c r="G35" t="inlineStr">
        <is>
          <t>B9</t>
        </is>
      </c>
      <c r="H35" s="11" t="inlineStr">
        <is>
          <t>'[ISMS-IMP-A.8.8.7.xlsx]Dashboard'!B9</t>
        </is>
      </c>
      <c r="I35" t="inlineStr">
        <is>
          <t>Percentage</t>
        </is>
      </c>
      <c r="J35" t="inlineStr">
        <is>
          <t>&gt;95%</t>
        </is>
      </c>
      <c r="K35" t="inlineStr">
        <is>
          <t>90-95%</t>
        </is>
      </c>
      <c r="L35" t="inlineStr">
        <is>
          <t>&lt;90%</t>
        </is>
      </c>
      <c r="M35" t="inlineStr">
        <is>
          <t>Daily</t>
        </is>
      </c>
      <c r="N35" t="inlineStr">
        <is>
          <t>VM Coordinator</t>
        </is>
      </c>
      <c r="O35" t="inlineStr">
        <is>
          <t>Critical</t>
        </is>
      </c>
      <c r="P35" s="11">
        <f>H35</f>
        <v/>
      </c>
      <c r="Q35" s="11">
        <f>IF(P35="","",IF(P35&gt;=IFERROR(VALUE(LEFT(J35,FIND("%",J35)-1))/100,J35),"Green",IF(P35&gt;=IFERROR(VALUE(LEFT(K35,FIND("%",K35)-1))/100,K35),"Yellow","Red")))</f>
        <v/>
      </c>
      <c r="R35" t="inlineStr">
        <is>
          <t>Aggregate SLA compliance across all priorities</t>
        </is>
      </c>
    </row>
    <row r="36">
      <c r="A36" t="inlineStr">
        <is>
          <t>M032</t>
        </is>
      </c>
      <c r="B36" t="inlineStr">
        <is>
          <t>Overdue Vulnerabilities</t>
        </is>
      </c>
      <c r="C36" t="inlineStr">
        <is>
          <t>Prioritization</t>
        </is>
      </c>
      <c r="D36" t="n">
        <v>7</v>
      </c>
      <c r="E36" t="inlineStr">
        <is>
          <t>ISMS-IMP-A.8.8.7.xlsx</t>
        </is>
      </c>
      <c r="F36" t="inlineStr">
        <is>
          <t>Dashboard</t>
        </is>
      </c>
      <c r="G36" t="inlineStr">
        <is>
          <t>B10</t>
        </is>
      </c>
      <c r="H36" s="11" t="inlineStr">
        <is>
          <t>'[ISMS-IMP-A.8.8.7.xlsx]Dashboard'!B10</t>
        </is>
      </c>
      <c r="I36" t="inlineStr">
        <is>
          <t>Count</t>
        </is>
      </c>
      <c r="J36" t="inlineStr">
        <is>
          <t>0</t>
        </is>
      </c>
      <c r="K36" t="inlineStr">
        <is>
          <t>1-5</t>
        </is>
      </c>
      <c r="L36" t="inlineStr">
        <is>
          <t>&gt;5</t>
        </is>
      </c>
      <c r="M36" t="inlineStr">
        <is>
          <t>Daily</t>
        </is>
      </c>
      <c r="N36" t="inlineStr">
        <is>
          <t>VM Coordinator</t>
        </is>
      </c>
      <c r="O36" t="inlineStr">
        <is>
          <t>Critical</t>
        </is>
      </c>
      <c r="P36" s="11">
        <f>H36</f>
        <v/>
      </c>
      <c r="Q36" s="11">
        <f>IF(P36="","",IF(P36&lt;=IFERROR(VALUE(J36),J36),"Green",IF(P36&lt;=IFERROR(VALUE(K36),K36),"Yellow","Red")))</f>
        <v/>
      </c>
      <c r="R36" t="inlineStr">
        <is>
          <t>Vulnerabilities past remediation SLA</t>
        </is>
      </c>
    </row>
    <row r="37">
      <c r="A37" t="inlineStr">
        <is>
          <t>M033</t>
        </is>
      </c>
      <c r="B37" t="inlineStr">
        <is>
          <t>P0 SLA Compliance (1 Day)</t>
        </is>
      </c>
      <c r="C37" t="inlineStr">
        <is>
          <t>Prioritization</t>
        </is>
      </c>
      <c r="D37" t="n">
        <v>7</v>
      </c>
      <c r="E37" t="inlineStr">
        <is>
          <t>ISMS-IMP-A.8.8.7.xlsx</t>
        </is>
      </c>
      <c r="F37" t="inlineStr">
        <is>
          <t>Priority_Matrix</t>
        </is>
      </c>
      <c r="G37" t="inlineStr">
        <is>
          <t>AD:AD,AH:AH</t>
        </is>
      </c>
      <c r="H37" s="11">
        <f>COUNTIFS('[ISMS-IMP-A.8.8.7.xlsx]Priority_Matrix'!AD:AD,"P0",'[ISMS-IMP-A.8.8.7.xlsx]Priority_Matrix'!AH:AH,"On Track")/COUNTIF('[ISMS-IMP-A.8.8.7.xlsx]Priority_Matrix'!AD:AD,"P0")</f>
        <v/>
      </c>
      <c r="I37" t="inlineStr">
        <is>
          <t>Percentage</t>
        </is>
      </c>
      <c r="J37" t="inlineStr">
        <is>
          <t>100%</t>
        </is>
      </c>
      <c r="K37" t="inlineStr">
        <is>
          <t>95-100%</t>
        </is>
      </c>
      <c r="L37" t="inlineStr">
        <is>
          <t>&lt;95%</t>
        </is>
      </c>
      <c r="M37" t="inlineStr">
        <is>
          <t>Daily</t>
        </is>
      </c>
      <c r="N37" t="inlineStr">
        <is>
          <t>VM Coordinator</t>
        </is>
      </c>
      <c r="O37" t="inlineStr">
        <is>
          <t>Critical</t>
        </is>
      </c>
      <c r="P37" s="11">
        <f>H37</f>
        <v/>
      </c>
      <c r="Q37" s="11">
        <f>IF(P37="","",IF(P37&gt;=IFERROR(VALUE(LEFT(J37,FIND("%",J37)-1))/100,J37),"Green",IF(P37&gt;=IFERROR(VALUE(LEFT(K37,FIND("%",K37)-1))/100,K37),"Yellow","Red")))</f>
        <v/>
      </c>
      <c r="R37" t="inlineStr">
        <is>
          <t>Emergency vulnerabilities within 1-day SLA</t>
        </is>
      </c>
    </row>
    <row r="38">
      <c r="A38" t="inlineStr">
        <is>
          <t>M034</t>
        </is>
      </c>
      <c r="B38" t="inlineStr">
        <is>
          <t>P1 SLA Compliance (7 Days)</t>
        </is>
      </c>
      <c r="C38" t="inlineStr">
        <is>
          <t>Prioritization</t>
        </is>
      </c>
      <c r="D38" t="n">
        <v>7</v>
      </c>
      <c r="E38" t="inlineStr">
        <is>
          <t>ISMS-IMP-A.8.8.7.xlsx</t>
        </is>
      </c>
      <c r="F38" t="inlineStr">
        <is>
          <t>Priority_Matrix</t>
        </is>
      </c>
      <c r="G38" t="inlineStr">
        <is>
          <t>AD:AD,AH:AH</t>
        </is>
      </c>
      <c r="H38" s="11">
        <f>COUNTIFS('[ISMS-IMP-A.8.8.7.xlsx]Priority_Matrix'!AD:AD,"P1",'[ISMS-IMP-A.8.8.7.xlsx]Priority_Matrix'!AH:AH,"On Track")/COUNTIF('[ISMS-IMP-A.8.8.7.xlsx]Priority_Matrix'!AD:AD,"P1")</f>
        <v/>
      </c>
      <c r="I38" t="inlineStr">
        <is>
          <t>Percentage</t>
        </is>
      </c>
      <c r="J38" t="inlineStr">
        <is>
          <t>&gt;95%</t>
        </is>
      </c>
      <c r="K38" t="inlineStr">
        <is>
          <t>90-95%</t>
        </is>
      </c>
      <c r="L38" t="inlineStr">
        <is>
          <t>&lt;90%</t>
        </is>
      </c>
      <c r="M38" t="inlineStr">
        <is>
          <t>Daily</t>
        </is>
      </c>
      <c r="N38" t="inlineStr">
        <is>
          <t>VM Coordinator</t>
        </is>
      </c>
      <c r="O38" t="inlineStr">
        <is>
          <t>High</t>
        </is>
      </c>
      <c r="P38" s="11">
        <f>H38</f>
        <v/>
      </c>
      <c r="Q38" s="11">
        <f>IF(P38="","",IF(P38&gt;=IFERROR(VALUE(LEFT(J38,FIND("%",J38)-1))/100,J38),"Green",IF(P38&gt;=IFERROR(VALUE(LEFT(K38,FIND("%",K38)-1))/100,K38),"Yellow","Red")))</f>
        <v/>
      </c>
      <c r="R38" t="inlineStr">
        <is>
          <t>Critical vulnerabilities within 7-day SLA</t>
        </is>
      </c>
    </row>
    <row r="39">
      <c r="A39" t="inlineStr">
        <is>
          <t>M035</t>
        </is>
      </c>
      <c r="B39" t="inlineStr">
        <is>
          <t>Manual Priority Overrides</t>
        </is>
      </c>
      <c r="C39" t="inlineStr">
        <is>
          <t>Prioritization</t>
        </is>
      </c>
      <c r="D39" t="n">
        <v>7</v>
      </c>
      <c r="E39" t="inlineStr">
        <is>
          <t>ISMS-IMP-A.8.8.7.xlsx</t>
        </is>
      </c>
      <c r="F39" t="inlineStr">
        <is>
          <t>Priority_Matrix</t>
        </is>
      </c>
      <c r="G39" t="inlineStr">
        <is>
          <t>AJ:AJ</t>
        </is>
      </c>
      <c r="H39" s="11">
        <f>COUNTIF('[ISMS-IMP-A.8.8.7.xlsx]Priority_Matrix'!AJ:AJ,"Manual")</f>
        <v/>
      </c>
      <c r="I39" t="inlineStr">
        <is>
          <t>Count</t>
        </is>
      </c>
      <c r="J39" t="inlineStr">
        <is>
          <t>&lt;10</t>
        </is>
      </c>
      <c r="K39" t="inlineStr">
        <is>
          <t>10-20</t>
        </is>
      </c>
      <c r="L39" t="inlineStr">
        <is>
          <t>&gt;20</t>
        </is>
      </c>
      <c r="M39" t="inlineStr">
        <is>
          <t>Weekly</t>
        </is>
      </c>
      <c r="N39" t="inlineStr">
        <is>
          <t>VM Coordinator</t>
        </is>
      </c>
      <c r="O39" t="inlineStr">
        <is>
          <t>Medium</t>
        </is>
      </c>
      <c r="P39" s="11">
        <f>H39</f>
        <v/>
      </c>
      <c r="Q39" s="11">
        <f>IF(P39="","",IF(P39&lt;=IFERROR(VALUE(J39),J39),"Green",IF(P39&lt;=IFERROR(VALUE(K39),K39),"Yellow","Red")))</f>
        <v/>
      </c>
      <c r="R39" t="inlineStr">
        <is>
          <t>Priorities manually adjusted from calculated value</t>
        </is>
      </c>
    </row>
    <row r="40">
      <c r="A40" t="inlineStr">
        <is>
          <t>M036</t>
        </is>
      </c>
      <c r="B40" t="inlineStr">
        <is>
          <t>Total Active Remediations</t>
        </is>
      </c>
      <c r="C40" t="inlineStr">
        <is>
          <t>Remediation</t>
        </is>
      </c>
      <c r="D40" t="n">
        <v>8</v>
      </c>
      <c r="E40" t="inlineStr">
        <is>
          <t>ISMS-IMP-A.8.8.8.xlsx</t>
        </is>
      </c>
      <c r="F40" t="inlineStr">
        <is>
          <t>Metrics_Dashboard</t>
        </is>
      </c>
      <c r="G40" t="inlineStr">
        <is>
          <t>B6</t>
        </is>
      </c>
      <c r="H40" s="11" t="inlineStr">
        <is>
          <t>'[ISMS-IMP-A.8.8.8.xlsx]Metrics_Dashboard'!B6</t>
        </is>
      </c>
      <c r="I40" t="inlineStr">
        <is>
          <t>Count</t>
        </is>
      </c>
      <c r="J40" t="inlineStr">
        <is>
          <t>&lt;500</t>
        </is>
      </c>
      <c r="K40" t="inlineStr">
        <is>
          <t>500-750</t>
        </is>
      </c>
      <c r="L40" t="inlineStr">
        <is>
          <t>&gt;750</t>
        </is>
      </c>
      <c r="M40" t="inlineStr">
        <is>
          <t>Daily</t>
        </is>
      </c>
      <c r="N40" t="inlineStr">
        <is>
          <t>Remediation Team</t>
        </is>
      </c>
      <c r="O40" t="inlineStr">
        <is>
          <t>High</t>
        </is>
      </c>
      <c r="P40" s="11">
        <f>H40</f>
        <v/>
      </c>
      <c r="Q40" s="11">
        <f>IF(P40="","",IF(P40&lt;=IFERROR(VALUE(J40),J40),"Green",IF(P40&lt;=IFERROR(VALUE(K40),K40),"Yellow","Red")))</f>
        <v/>
      </c>
      <c r="R40" t="inlineStr">
        <is>
          <t>Vulnerabilities in remediation queue</t>
        </is>
      </c>
    </row>
    <row r="41">
      <c r="A41" t="inlineStr">
        <is>
          <t>M037</t>
        </is>
      </c>
      <c r="B41" t="inlineStr">
        <is>
          <t>Remediation SLA Compliance</t>
        </is>
      </c>
      <c r="C41" t="inlineStr">
        <is>
          <t>Remediation</t>
        </is>
      </c>
      <c r="D41" t="n">
        <v>8</v>
      </c>
      <c r="E41" t="inlineStr">
        <is>
          <t>ISMS-IMP-A.8.8.8.xlsx</t>
        </is>
      </c>
      <c r="F41" t="inlineStr">
        <is>
          <t>Metrics_Dashboard</t>
        </is>
      </c>
      <c r="G41" t="inlineStr">
        <is>
          <t>B7</t>
        </is>
      </c>
      <c r="H41" s="11" t="inlineStr">
        <is>
          <t>'[ISMS-IMP-A.8.8.8.xlsx]Metrics_Dashboard'!B7</t>
        </is>
      </c>
      <c r="I41" t="inlineStr">
        <is>
          <t>Percentage</t>
        </is>
      </c>
      <c r="J41" t="inlineStr">
        <is>
          <t>&gt;95%</t>
        </is>
      </c>
      <c r="K41" t="inlineStr">
        <is>
          <t>90-95%</t>
        </is>
      </c>
      <c r="L41" t="inlineStr">
        <is>
          <t>&lt;90%</t>
        </is>
      </c>
      <c r="M41" t="inlineStr">
        <is>
          <t>Daily</t>
        </is>
      </c>
      <c r="N41" t="inlineStr">
        <is>
          <t>Remediation Team</t>
        </is>
      </c>
      <c r="O41" t="inlineStr">
        <is>
          <t>Critical</t>
        </is>
      </c>
      <c r="P41" s="11">
        <f>H41</f>
        <v/>
      </c>
      <c r="Q41" s="11">
        <f>IF(P41="","",IF(P41&gt;=IFERROR(VALUE(LEFT(J41,FIND("%",J41)-1))/100,J41),"Green",IF(P41&gt;=IFERROR(VALUE(LEFT(K41,FIND("%",K41)-1))/100,K41),"Yellow","Red")))</f>
        <v/>
      </c>
      <c r="R41" t="inlineStr">
        <is>
          <t>Remediations completed within SLA</t>
        </is>
      </c>
    </row>
    <row r="42">
      <c r="A42" t="inlineStr">
        <is>
          <t>M038</t>
        </is>
      </c>
      <c r="B42" t="inlineStr">
        <is>
          <t>Average Remediation Time (Days)</t>
        </is>
      </c>
      <c r="C42" t="inlineStr">
        <is>
          <t>Remediation</t>
        </is>
      </c>
      <c r="D42" t="n">
        <v>8</v>
      </c>
      <c r="E42" t="inlineStr">
        <is>
          <t>ISMS-IMP-A.8.8.8.xlsx</t>
        </is>
      </c>
      <c r="F42" t="inlineStr">
        <is>
          <t>Metrics_Dashboard</t>
        </is>
      </c>
      <c r="G42" t="inlineStr">
        <is>
          <t>B8</t>
        </is>
      </c>
      <c r="H42" s="11" t="inlineStr">
        <is>
          <t>'[ISMS-IMP-A.8.8.8.xlsx]Metrics_Dashboard'!B8</t>
        </is>
      </c>
      <c r="I42" t="inlineStr">
        <is>
          <t>Days</t>
        </is>
      </c>
      <c r="J42" t="inlineStr">
        <is>
          <t>&lt;14</t>
        </is>
      </c>
      <c r="K42" t="inlineStr">
        <is>
          <t>14-21</t>
        </is>
      </c>
      <c r="L42" t="inlineStr">
        <is>
          <t>&gt;21</t>
        </is>
      </c>
      <c r="M42" t="inlineStr">
        <is>
          <t>Weekly</t>
        </is>
      </c>
      <c r="N42" t="inlineStr">
        <is>
          <t>Remediation Team</t>
        </is>
      </c>
      <c r="O42" t="inlineStr">
        <is>
          <t>High</t>
        </is>
      </c>
      <c r="P42" s="11">
        <f>H42</f>
        <v/>
      </c>
      <c r="Q42" s="11">
        <f>IF(P42="","",IF(P42&lt;=IFERROR(VALUE(J42),J42),"Green",IF(P42&lt;=IFERROR(VALUE(K42),K42),"Yellow","Red")))</f>
        <v/>
      </c>
      <c r="R42" t="inlineStr">
        <is>
          <t>Mean time from start to completion</t>
        </is>
      </c>
    </row>
    <row r="43">
      <c r="A43" t="inlineStr">
        <is>
          <t>M039</t>
        </is>
      </c>
      <c r="B43" t="inlineStr">
        <is>
          <t>Deployment Success Rate</t>
        </is>
      </c>
      <c r="C43" t="inlineStr">
        <is>
          <t>Remediation</t>
        </is>
      </c>
      <c r="D43" t="n">
        <v>8</v>
      </c>
      <c r="E43" t="inlineStr">
        <is>
          <t>ISMS-IMP-A.8.8.8.xlsx</t>
        </is>
      </c>
      <c r="F43" t="inlineStr">
        <is>
          <t>Metrics_Dashboard</t>
        </is>
      </c>
      <c r="G43" t="inlineStr">
        <is>
          <t>B9</t>
        </is>
      </c>
      <c r="H43" s="11" t="inlineStr">
        <is>
          <t>'[ISMS-IMP-A.8.8.8.xlsx]Metrics_Dashboard'!B9</t>
        </is>
      </c>
      <c r="I43" t="inlineStr">
        <is>
          <t>Percentage</t>
        </is>
      </c>
      <c r="J43" t="inlineStr">
        <is>
          <t>&gt;98%</t>
        </is>
      </c>
      <c r="K43" t="inlineStr">
        <is>
          <t>95-98%</t>
        </is>
      </c>
      <c r="L43" t="inlineStr">
        <is>
          <t>&lt;95%</t>
        </is>
      </c>
      <c r="M43" t="inlineStr">
        <is>
          <t>Daily</t>
        </is>
      </c>
      <c r="N43" t="inlineStr">
        <is>
          <t>Remediation Team</t>
        </is>
      </c>
      <c r="O43" t="inlineStr">
        <is>
          <t>Critical</t>
        </is>
      </c>
      <c r="P43" s="11">
        <f>H43</f>
        <v/>
      </c>
      <c r="Q43" s="11">
        <f>IF(P43="","",IF(P43&gt;=IFERROR(VALUE(LEFT(J43,FIND("%",J43)-1))/100,J43),"Green",IF(P43&gt;=IFERROR(VALUE(LEFT(K43,FIND("%",K43)-1))/100,K43),"Yellow","Red")))</f>
        <v/>
      </c>
      <c r="R43" t="inlineStr">
        <is>
          <t>Successful patch deployments</t>
        </is>
      </c>
    </row>
    <row r="44">
      <c r="A44" t="inlineStr">
        <is>
          <t>M040</t>
        </is>
      </c>
      <c r="B44" t="inlineStr">
        <is>
          <t>Patches Deployed (Month-to-Date)</t>
        </is>
      </c>
      <c r="C44" t="inlineStr">
        <is>
          <t>Remediation</t>
        </is>
      </c>
      <c r="D44" t="n">
        <v>8</v>
      </c>
      <c r="E44" t="inlineStr">
        <is>
          <t>ISMS-IMP-A.8.8.8.xlsx</t>
        </is>
      </c>
      <c r="F44" t="inlineStr">
        <is>
          <t>Metrics_Dashboard</t>
        </is>
      </c>
      <c r="G44" t="inlineStr">
        <is>
          <t>B10</t>
        </is>
      </c>
      <c r="H44" s="11" t="inlineStr">
        <is>
          <t>'[ISMS-IMP-A.8.8.8.xlsx]Metrics_Dashboard'!B10</t>
        </is>
      </c>
      <c r="I44" t="inlineStr">
        <is>
          <t>Count</t>
        </is>
      </c>
      <c r="J44" t="inlineStr">
        <is>
          <t>&gt;150</t>
        </is>
      </c>
      <c r="K44" t="inlineStr">
        <is>
          <t>100-150</t>
        </is>
      </c>
      <c r="L44" t="inlineStr">
        <is>
          <t>&lt;100</t>
        </is>
      </c>
      <c r="M44" t="inlineStr">
        <is>
          <t>Daily</t>
        </is>
      </c>
      <c r="N44" t="inlineStr">
        <is>
          <t>Remediation Team</t>
        </is>
      </c>
      <c r="O44" t="inlineStr">
        <is>
          <t>High</t>
        </is>
      </c>
      <c r="P44" s="11">
        <f>H44</f>
        <v/>
      </c>
      <c r="Q44" s="11">
        <f>IF(P44="","",IF(P44&lt;=IFERROR(VALUE(J44),J44),"Green",IF(P44&lt;=IFERROR(VALUE(K44),K44),"Yellow","Red")))</f>
        <v/>
      </c>
      <c r="R44" t="inlineStr">
        <is>
          <t>Patches deployed this month</t>
        </is>
      </c>
    </row>
    <row r="45">
      <c r="A45" t="inlineStr">
        <is>
          <t>M041</t>
        </is>
      </c>
      <c r="B45" t="inlineStr">
        <is>
          <t>Failed Deployments (Last 7 Days)</t>
        </is>
      </c>
      <c r="C45" t="inlineStr">
        <is>
          <t>Remediation</t>
        </is>
      </c>
      <c r="D45" t="n">
        <v>8</v>
      </c>
      <c r="E45" t="inlineStr">
        <is>
          <t>ISMS-IMP-A.8.8.8.xlsx</t>
        </is>
      </c>
      <c r="F45" t="inlineStr">
        <is>
          <t>Deployment_Log</t>
        </is>
      </c>
      <c r="G45" t="inlineStr">
        <is>
          <t>D:D,E:E</t>
        </is>
      </c>
      <c r="H45" s="11">
        <f>COUNTIFS('[ISMS-IMP-A.8.8.8.xlsx]Deployment_Log'!D:D,"&gt;="&amp;TODAY()-7,'[ISMS-IMP-A.8.8.8.xlsx]Deployment_Log'!E:E,"Failed")</f>
        <v/>
      </c>
      <c r="I45" t="inlineStr">
        <is>
          <t>Count</t>
        </is>
      </c>
      <c r="J45" t="inlineStr">
        <is>
          <t>0</t>
        </is>
      </c>
      <c r="K45" t="inlineStr">
        <is>
          <t>1-3</t>
        </is>
      </c>
      <c r="L45" t="inlineStr">
        <is>
          <t>&gt;3</t>
        </is>
      </c>
      <c r="M45" t="inlineStr">
        <is>
          <t>Daily</t>
        </is>
      </c>
      <c r="N45" t="inlineStr">
        <is>
          <t>Remediation Team</t>
        </is>
      </c>
      <c r="O45" t="inlineStr">
        <is>
          <t>High</t>
        </is>
      </c>
      <c r="P45" s="11">
        <f>H45</f>
        <v/>
      </c>
      <c r="Q45" s="11">
        <f>IF(P45="","",IF(P45&lt;=IFERROR(VALUE(J45),J45),"Green",IF(P45&lt;=IFERROR(VALUE(K45),K45),"Yellow","Red")))</f>
        <v/>
      </c>
      <c r="R45" t="inlineStr">
        <is>
          <t>Recent deployment failures</t>
        </is>
      </c>
    </row>
    <row r="46">
      <c r="A46" t="inlineStr">
        <is>
          <t>M042</t>
        </is>
      </c>
      <c r="B46" t="inlineStr">
        <is>
          <t>Rollback Count (Last 30 Days)</t>
        </is>
      </c>
      <c r="C46" t="inlineStr">
        <is>
          <t>Remediation</t>
        </is>
      </c>
      <c r="D46" t="n">
        <v>8</v>
      </c>
      <c r="E46" t="inlineStr">
        <is>
          <t>ISMS-IMP-A.8.8.8.xlsx</t>
        </is>
      </c>
      <c r="F46" t="inlineStr">
        <is>
          <t>Deployment_Log</t>
        </is>
      </c>
      <c r="G46" t="inlineStr">
        <is>
          <t>F:F</t>
        </is>
      </c>
      <c r="H46" s="11">
        <f>COUNTIF('[ISMS-IMP-A.8.8.8.xlsx]Deployment_Log'!F:F,"&gt;0")</f>
        <v/>
      </c>
      <c r="I46" t="inlineStr">
        <is>
          <t>Count</t>
        </is>
      </c>
      <c r="J46" t="inlineStr">
        <is>
          <t>0</t>
        </is>
      </c>
      <c r="K46" t="inlineStr">
        <is>
          <t>1-2</t>
        </is>
      </c>
      <c r="L46" t="inlineStr">
        <is>
          <t>&gt;2</t>
        </is>
      </c>
      <c r="M46" t="inlineStr">
        <is>
          <t>Weekly</t>
        </is>
      </c>
      <c r="N46" t="inlineStr">
        <is>
          <t>Remediation Team</t>
        </is>
      </c>
      <c r="O46" t="inlineStr">
        <is>
          <t>Medium</t>
        </is>
      </c>
      <c r="P46" s="11">
        <f>H46</f>
        <v/>
      </c>
      <c r="Q46" s="11">
        <f>IF(P46="","",IF(P46&lt;=IFERROR(VALUE(J46),J46),"Green",IF(P46&lt;=IFERROR(VALUE(K46),K46),"Yellow","Red")))</f>
        <v/>
      </c>
      <c r="R46" t="inlineStr">
        <is>
          <t>Patches rolled back this month</t>
        </is>
      </c>
    </row>
    <row r="47">
      <c r="A47" t="inlineStr">
        <is>
          <t>M043</t>
        </is>
      </c>
      <c r="B47" t="inlineStr">
        <is>
          <t>P0 Average Remediation Time</t>
        </is>
      </c>
      <c r="C47" t="inlineStr">
        <is>
          <t>Remediation</t>
        </is>
      </c>
      <c r="D47" t="n">
        <v>8</v>
      </c>
      <c r="E47" t="inlineStr">
        <is>
          <t>ISMS-IMP-A.8.8.8.xlsx</t>
        </is>
      </c>
      <c r="F47" t="inlineStr">
        <is>
          <t>Remediation_Queue</t>
        </is>
      </c>
      <c r="G47" t="inlineStr">
        <is>
          <t>T:T,W:W</t>
        </is>
      </c>
      <c r="H47" s="11">
        <f>AVERAGEIF('[ISMS-IMP-A.8.8.8.xlsx]Remediation_Queue'!T:T,"P0",'[ISMS-IMP-A.8.8.8.xlsx]Remediation_Queue'!W:W)</f>
        <v/>
      </c>
      <c r="I47" t="inlineStr">
        <is>
          <t>Hours</t>
        </is>
      </c>
      <c r="J47" t="inlineStr">
        <is>
          <t>&lt;24</t>
        </is>
      </c>
      <c r="K47" t="inlineStr">
        <is>
          <t>24-48</t>
        </is>
      </c>
      <c r="L47" t="inlineStr">
        <is>
          <t>&gt;48</t>
        </is>
      </c>
      <c r="M47" t="inlineStr">
        <is>
          <t>Weekly</t>
        </is>
      </c>
      <c r="N47" t="inlineStr">
        <is>
          <t>Remediation Team</t>
        </is>
      </c>
      <c r="O47" t="inlineStr">
        <is>
          <t>Critical</t>
        </is>
      </c>
      <c r="P47" s="11">
        <f>H47</f>
        <v/>
      </c>
      <c r="Q47" s="11">
        <f>IF(P47="","",IF(P47&lt;=IFERROR(VALUE(J47),J47),"Green",IF(P47&lt;=IFERROR(VALUE(K47),K47),"Yellow","Red")))</f>
        <v/>
      </c>
      <c r="R47" t="inlineStr">
        <is>
          <t>Mean P0 remediation time in hours</t>
        </is>
      </c>
    </row>
    <row r="48">
      <c r="A48" t="inlineStr">
        <is>
          <t>M044</t>
        </is>
      </c>
      <c r="B48" t="inlineStr">
        <is>
          <t>P1 Average Remediation Time</t>
        </is>
      </c>
      <c r="C48" t="inlineStr">
        <is>
          <t>Remediation</t>
        </is>
      </c>
      <c r="D48" t="n">
        <v>8</v>
      </c>
      <c r="E48" t="inlineStr">
        <is>
          <t>ISMS-IMP-A.8.8.8.xlsx</t>
        </is>
      </c>
      <c r="F48" t="inlineStr">
        <is>
          <t>Remediation_Queue</t>
        </is>
      </c>
      <c r="G48" t="inlineStr">
        <is>
          <t>T:T,W:W</t>
        </is>
      </c>
      <c r="H48" s="11">
        <f>AVERAGEIF('[ISMS-IMP-A.8.8.8.xlsx]Remediation_Queue'!T:T,"P1",'[ISMS-IMP-A.8.8.8.xlsx]Remediation_Queue'!W:W)/24</f>
        <v/>
      </c>
      <c r="I48" t="inlineStr">
        <is>
          <t>Days</t>
        </is>
      </c>
      <c r="J48" t="inlineStr">
        <is>
          <t>&lt;7</t>
        </is>
      </c>
      <c r="K48" t="inlineStr">
        <is>
          <t>7-10</t>
        </is>
      </c>
      <c r="L48" t="inlineStr">
        <is>
          <t>&gt;10</t>
        </is>
      </c>
      <c r="M48" t="inlineStr">
        <is>
          <t>Weekly</t>
        </is>
      </c>
      <c r="N48" t="inlineStr">
        <is>
          <t>Remediation Team</t>
        </is>
      </c>
      <c r="O48" t="inlineStr">
        <is>
          <t>High</t>
        </is>
      </c>
      <c r="P48" s="11">
        <f>H48</f>
        <v/>
      </c>
      <c r="Q48" s="11">
        <f>IF(P48="","",IF(P48&lt;=IFERROR(VALUE(J48),J48),"Green",IF(P48&lt;=IFERROR(VALUE(K48),K48),"Yellow","Red")))</f>
        <v/>
      </c>
      <c r="R48" t="inlineStr">
        <is>
          <t>Mean P1 remediation time in days</t>
        </is>
      </c>
    </row>
    <row r="49">
      <c r="A49" t="inlineStr">
        <is>
          <t>M045</t>
        </is>
      </c>
      <c r="B49" t="inlineStr">
        <is>
          <t>Active Compensating Controls</t>
        </is>
      </c>
      <c r="C49" t="inlineStr">
        <is>
          <t>Remediation</t>
        </is>
      </c>
      <c r="D49" t="n">
        <v>9</v>
      </c>
      <c r="E49" t="inlineStr">
        <is>
          <t>ISMS-IMP-A.8.8.9.xlsx</t>
        </is>
      </c>
      <c r="F49" t="inlineStr">
        <is>
          <t>Dashboard</t>
        </is>
      </c>
      <c r="G49" t="inlineStr">
        <is>
          <t>B6</t>
        </is>
      </c>
      <c r="H49" s="11" t="inlineStr">
        <is>
          <t>'[ISMS-IMP-A.8.8.9.xlsx]Dashboard'!B6</t>
        </is>
      </c>
      <c r="I49" t="inlineStr">
        <is>
          <t>Count</t>
        </is>
      </c>
      <c r="J49" t="inlineStr">
        <is>
          <t>&lt;30</t>
        </is>
      </c>
      <c r="K49" t="inlineStr">
        <is>
          <t>30-50</t>
        </is>
      </c>
      <c r="L49" t="inlineStr">
        <is>
          <t>&gt;50</t>
        </is>
      </c>
      <c r="M49" t="inlineStr">
        <is>
          <t>Weekly</t>
        </is>
      </c>
      <c r="N49" t="inlineStr">
        <is>
          <t>Risk Manager</t>
        </is>
      </c>
      <c r="O49" t="inlineStr">
        <is>
          <t>High</t>
        </is>
      </c>
      <c r="P49" s="11">
        <f>H49</f>
        <v/>
      </c>
      <c r="Q49" s="11">
        <f>IF(P49="","",IF(P49&lt;=IFERROR(VALUE(J49),J49),"Green",IF(P49&lt;=IFERROR(VALUE(K49),K49),"Yellow","Red")))</f>
        <v/>
      </c>
      <c r="R49" t="inlineStr">
        <is>
          <t>Temporary mitigations in place</t>
        </is>
      </c>
    </row>
    <row r="50">
      <c r="A50" t="inlineStr">
        <is>
          <t>M046</t>
        </is>
      </c>
      <c r="B50" t="inlineStr">
        <is>
          <t>P0/P1 Compensating Controls</t>
        </is>
      </c>
      <c r="C50" t="inlineStr">
        <is>
          <t>Remediation</t>
        </is>
      </c>
      <c r="D50" t="n">
        <v>9</v>
      </c>
      <c r="E50" t="inlineStr">
        <is>
          <t>ISMS-IMP-A.8.8.9.xlsx</t>
        </is>
      </c>
      <c r="F50" t="inlineStr">
        <is>
          <t>Dashboard</t>
        </is>
      </c>
      <c r="G50" t="inlineStr">
        <is>
          <t>B7</t>
        </is>
      </c>
      <c r="H50" s="11" t="inlineStr">
        <is>
          <t>'[ISMS-IMP-A.8.8.9.xlsx]Dashboard'!B7</t>
        </is>
      </c>
      <c r="I50" t="inlineStr">
        <is>
          <t>Count</t>
        </is>
      </c>
      <c r="J50" t="inlineStr">
        <is>
          <t>&lt;5</t>
        </is>
      </c>
      <c r="K50" t="inlineStr">
        <is>
          <t>5-10</t>
        </is>
      </c>
      <c r="L50" t="inlineStr">
        <is>
          <t>&gt;10</t>
        </is>
      </c>
      <c r="M50" t="inlineStr">
        <is>
          <t>Daily</t>
        </is>
      </c>
      <c r="N50" t="inlineStr">
        <is>
          <t>Risk Manager</t>
        </is>
      </c>
      <c r="O50" t="inlineStr">
        <is>
          <t>Critical</t>
        </is>
      </c>
      <c r="P50" s="11">
        <f>H50</f>
        <v/>
      </c>
      <c r="Q50" s="11">
        <f>IF(P50="","",IF(P50&lt;=IFERROR(VALUE(J50),J50),"Green",IF(P50&lt;=IFERROR(VALUE(K50),K50),"Yellow","Red")))</f>
        <v/>
      </c>
      <c r="R50" t="inlineStr">
        <is>
          <t>High-priority controls (temp mitigation)</t>
        </is>
      </c>
    </row>
    <row r="51">
      <c r="A51" t="inlineStr">
        <is>
          <t>M047</t>
        </is>
      </c>
      <c r="B51" t="inlineStr">
        <is>
          <t>Compensating Controls &gt;6 Months</t>
        </is>
      </c>
      <c r="C51" t="inlineStr">
        <is>
          <t>Remediation</t>
        </is>
      </c>
      <c r="D51" t="n">
        <v>9</v>
      </c>
      <c r="E51" t="inlineStr">
        <is>
          <t>ISMS-IMP-A.8.8.9.xlsx</t>
        </is>
      </c>
      <c r="F51" t="inlineStr">
        <is>
          <t>Dashboard</t>
        </is>
      </c>
      <c r="G51" t="inlineStr">
        <is>
          <t>B8</t>
        </is>
      </c>
      <c r="H51" s="11" t="inlineStr">
        <is>
          <t>'[ISMS-IMP-A.8.8.9.xlsx]Dashboard'!B8</t>
        </is>
      </c>
      <c r="I51" t="inlineStr">
        <is>
          <t>Count</t>
        </is>
      </c>
      <c r="J51" t="inlineStr">
        <is>
          <t>&lt;5</t>
        </is>
      </c>
      <c r="K51" t="inlineStr">
        <is>
          <t>5-10</t>
        </is>
      </c>
      <c r="L51" t="inlineStr">
        <is>
          <t>&gt;10</t>
        </is>
      </c>
      <c r="M51" t="inlineStr">
        <is>
          <t>Weekly</t>
        </is>
      </c>
      <c r="N51" t="inlineStr">
        <is>
          <t>Risk Manager</t>
        </is>
      </c>
      <c r="O51" t="inlineStr">
        <is>
          <t>High</t>
        </is>
      </c>
      <c r="P51" s="11">
        <f>H51</f>
        <v/>
      </c>
      <c r="Q51" s="11">
        <f>IF(P51="","",IF(P51&lt;=IFERROR(VALUE(J51),J51),"Green",IF(P51&lt;=IFERROR(VALUE(K51),K51),"Yellow","Red")))</f>
        <v/>
      </c>
      <c r="R51" t="inlineStr">
        <is>
          <t>Long-running temporary controls</t>
        </is>
      </c>
    </row>
    <row r="52">
      <c r="A52" t="inlineStr">
        <is>
          <t>M048</t>
        </is>
      </c>
      <c r="B52" t="inlineStr">
        <is>
          <t>Average Risk Reduction (Compensating)</t>
        </is>
      </c>
      <c r="C52" t="inlineStr">
        <is>
          <t>Remediation</t>
        </is>
      </c>
      <c r="D52" t="n">
        <v>9</v>
      </c>
      <c r="E52" t="inlineStr">
        <is>
          <t>ISMS-IMP-A.8.8.9.xlsx</t>
        </is>
      </c>
      <c r="F52" t="inlineStr">
        <is>
          <t>Dashboard</t>
        </is>
      </c>
      <c r="G52" t="inlineStr">
        <is>
          <t>B9</t>
        </is>
      </c>
      <c r="H52" s="11" t="inlineStr">
        <is>
          <t>'[ISMS-IMP-A.8.8.9.xlsx]Dashboard'!B9</t>
        </is>
      </c>
      <c r="I52" t="inlineStr">
        <is>
          <t>Percentage</t>
        </is>
      </c>
      <c r="J52" t="inlineStr">
        <is>
          <t>&gt;50%</t>
        </is>
      </c>
      <c r="K52" t="inlineStr">
        <is>
          <t>30-50%</t>
        </is>
      </c>
      <c r="L52" t="inlineStr">
        <is>
          <t>&lt;30%</t>
        </is>
      </c>
      <c r="M52" t="inlineStr">
        <is>
          <t>Weekly</t>
        </is>
      </c>
      <c r="N52" t="inlineStr">
        <is>
          <t>Risk Manager</t>
        </is>
      </c>
      <c r="O52" t="inlineStr">
        <is>
          <t>Medium</t>
        </is>
      </c>
      <c r="P52" s="11">
        <f>H52</f>
        <v/>
      </c>
      <c r="Q52" s="11">
        <f>IF(P52="","",IF(P52&gt;=IFERROR(VALUE(LEFT(J52,FIND("%",J52)-1))/100,J52),"Green",IF(P52&gt;=IFERROR(VALUE(LEFT(K52,FIND("%",K52)-1))/100,K52),"Yellow","Red")))</f>
        <v/>
      </c>
      <c r="R52" t="inlineStr">
        <is>
          <t>Mean effectiveness of controls</t>
        </is>
      </c>
    </row>
    <row r="53">
      <c r="A53" t="inlineStr">
        <is>
          <t>M049</t>
        </is>
      </c>
      <c r="B53" t="inlineStr">
        <is>
          <t>Overdue Control Reviews</t>
        </is>
      </c>
      <c r="C53" t="inlineStr">
        <is>
          <t>Remediation</t>
        </is>
      </c>
      <c r="D53" t="n">
        <v>9</v>
      </c>
      <c r="E53" t="inlineStr">
        <is>
          <t>ISMS-IMP-A.8.8.9.xlsx</t>
        </is>
      </c>
      <c r="F53" t="inlineStr">
        <is>
          <t>Dashboard</t>
        </is>
      </c>
      <c r="G53" t="inlineStr">
        <is>
          <t>B10</t>
        </is>
      </c>
      <c r="H53" s="11" t="inlineStr">
        <is>
          <t>'[ISMS-IMP-A.8.8.9.xlsx]Dashboard'!B10</t>
        </is>
      </c>
      <c r="I53" t="inlineStr">
        <is>
          <t>Count</t>
        </is>
      </c>
      <c r="J53" t="inlineStr">
        <is>
          <t>0</t>
        </is>
      </c>
      <c r="K53" t="inlineStr">
        <is>
          <t>1-2</t>
        </is>
      </c>
      <c r="L53" t="inlineStr">
        <is>
          <t>&gt;2</t>
        </is>
      </c>
      <c r="M53" t="inlineStr">
        <is>
          <t>Weekly</t>
        </is>
      </c>
      <c r="N53" t="inlineStr">
        <is>
          <t>Risk Manager</t>
        </is>
      </c>
      <c r="O53" t="inlineStr">
        <is>
          <t>High</t>
        </is>
      </c>
      <c r="P53" s="11">
        <f>H53</f>
        <v/>
      </c>
      <c r="Q53" s="11">
        <f>IF(P53="","",IF(P53&lt;=IFERROR(VALUE(J53),J53),"Green",IF(P53&lt;=IFERROR(VALUE(K53),K53),"Yellow","Red")))</f>
        <v/>
      </c>
      <c r="R53" t="inlineStr">
        <is>
          <t>Controls past review date</t>
        </is>
      </c>
    </row>
    <row r="54">
      <c r="A54" t="inlineStr">
        <is>
          <t>M050</t>
        </is>
      </c>
      <c r="B54" t="inlineStr">
        <is>
          <t>Vulnerabilities Closed (Last 30 Days)</t>
        </is>
      </c>
      <c r="C54" t="inlineStr">
        <is>
          <t>Remediation</t>
        </is>
      </c>
      <c r="D54" t="n">
        <v>5</v>
      </c>
      <c r="E54" t="inlineStr">
        <is>
          <t>ISMS-IMP-A.8.8.5.xlsx</t>
        </is>
      </c>
      <c r="F54" t="inlineStr">
        <is>
          <t>Vulnerability_Inventory</t>
        </is>
      </c>
      <c r="G54" t="inlineStr">
        <is>
          <t>E:E</t>
        </is>
      </c>
      <c r="H54" s="11">
        <f>COUNTIF('[ISMS-IMP-A.8.8.5.xlsx]Vulnerability_Inventory'!E:E,"&gt;="&amp;TODAY()-30)</f>
        <v/>
      </c>
      <c r="I54" t="inlineStr">
        <is>
          <t>Count</t>
        </is>
      </c>
      <c r="J54" t="inlineStr">
        <is>
          <t>&gt;200</t>
        </is>
      </c>
      <c r="K54" t="inlineStr">
        <is>
          <t>150-200</t>
        </is>
      </c>
      <c r="L54" t="inlineStr">
        <is>
          <t>&lt;150</t>
        </is>
      </c>
      <c r="M54" t="inlineStr">
        <is>
          <t>Weekly</t>
        </is>
      </c>
      <c r="N54" t="inlineStr">
        <is>
          <t>VM Coordinator</t>
        </is>
      </c>
      <c r="O54" t="inlineStr">
        <is>
          <t>High</t>
        </is>
      </c>
      <c r="P54" s="11">
        <f>H54</f>
        <v/>
      </c>
      <c r="Q54" s="11">
        <f>IF(P54="","",IF(P54&lt;=IFERROR(VALUE(J54),J54),"Green",IF(P54&lt;=IFERROR(VALUE(K54),K54),"Yellow","Red")))</f>
        <v/>
      </c>
      <c r="R54" t="inlineStr">
        <is>
          <t>Successfully closed this month</t>
        </is>
      </c>
    </row>
    <row r="55">
      <c r="A55" t="inlineStr">
        <is>
          <t>M051</t>
        </is>
      </c>
      <c r="B55" t="inlineStr">
        <is>
          <t>Pending Verifications</t>
        </is>
      </c>
      <c r="C55" t="inlineStr">
        <is>
          <t>Validation</t>
        </is>
      </c>
      <c r="D55" t="n">
        <v>11</v>
      </c>
      <c r="E55" t="inlineStr">
        <is>
          <t>ISMS-IMP-A.8.8.11.xlsx</t>
        </is>
      </c>
      <c r="F55" t="inlineStr">
        <is>
          <t>Dashboard</t>
        </is>
      </c>
      <c r="G55" t="inlineStr">
        <is>
          <t>B6</t>
        </is>
      </c>
      <c r="H55" s="11" t="inlineStr">
        <is>
          <t>'[ISMS-IMP-A.8.8.11.xlsx]Dashboard'!B6</t>
        </is>
      </c>
      <c r="I55" t="inlineStr">
        <is>
          <t>Count</t>
        </is>
      </c>
      <c r="J55" t="inlineStr">
        <is>
          <t>&lt;50</t>
        </is>
      </c>
      <c r="K55" t="inlineStr">
        <is>
          <t>50-100</t>
        </is>
      </c>
      <c r="L55" t="inlineStr">
        <is>
          <t>&gt;100</t>
        </is>
      </c>
      <c r="M55" t="inlineStr">
        <is>
          <t>Daily</t>
        </is>
      </c>
      <c r="N55" t="inlineStr">
        <is>
          <t>QA Team</t>
        </is>
      </c>
      <c r="O55" t="inlineStr">
        <is>
          <t>High</t>
        </is>
      </c>
      <c r="P55" s="11">
        <f>H55</f>
        <v/>
      </c>
      <c r="Q55" s="11">
        <f>IF(P55="","",IF(P55&lt;=IFERROR(VALUE(J55),J55),"Green",IF(P55&lt;=IFERROR(VALUE(K55),K55),"Yellow","Red")))</f>
        <v/>
      </c>
      <c r="R55" t="inlineStr">
        <is>
          <t>Awaiting verification testing</t>
        </is>
      </c>
    </row>
    <row r="56">
      <c r="A56" t="inlineStr">
        <is>
          <t>M052</t>
        </is>
      </c>
      <c r="B56" t="inlineStr">
        <is>
          <t>Overdue Verifications</t>
        </is>
      </c>
      <c r="C56" t="inlineStr">
        <is>
          <t>Validation</t>
        </is>
      </c>
      <c r="D56" t="n">
        <v>11</v>
      </c>
      <c r="E56" t="inlineStr">
        <is>
          <t>ISMS-IMP-A.8.8.11.xlsx</t>
        </is>
      </c>
      <c r="F56" t="inlineStr">
        <is>
          <t>Dashboard</t>
        </is>
      </c>
      <c r="G56" t="inlineStr">
        <is>
          <t>B7</t>
        </is>
      </c>
      <c r="H56" s="11" t="inlineStr">
        <is>
          <t>'[ISMS-IMP-A.8.8.11.xlsx]Dashboard'!B7</t>
        </is>
      </c>
      <c r="I56" t="inlineStr">
        <is>
          <t>Count</t>
        </is>
      </c>
      <c r="J56" t="inlineStr">
        <is>
          <t>0</t>
        </is>
      </c>
      <c r="K56" t="inlineStr">
        <is>
          <t>1-3</t>
        </is>
      </c>
      <c r="L56" t="inlineStr">
        <is>
          <t>&gt;3</t>
        </is>
      </c>
      <c r="M56" t="inlineStr">
        <is>
          <t>Daily</t>
        </is>
      </c>
      <c r="N56" t="inlineStr">
        <is>
          <t>QA Team</t>
        </is>
      </c>
      <c r="O56" t="inlineStr">
        <is>
          <t>Critical</t>
        </is>
      </c>
      <c r="P56" s="11">
        <f>H56</f>
        <v/>
      </c>
      <c r="Q56" s="11">
        <f>IF(P56="","",IF(P56&lt;=IFERROR(VALUE(J56),J56),"Green",IF(P56&lt;=IFERROR(VALUE(K56),K56),"Yellow","Red")))</f>
        <v/>
      </c>
      <c r="R56" t="inlineStr">
        <is>
          <t>Past verification SLA</t>
        </is>
      </c>
    </row>
    <row r="57">
      <c r="A57" t="inlineStr">
        <is>
          <t>M053</t>
        </is>
      </c>
      <c r="B57" t="inlineStr">
        <is>
          <t>Verification Success Rate</t>
        </is>
      </c>
      <c r="C57" t="inlineStr">
        <is>
          <t>Validation</t>
        </is>
      </c>
      <c r="D57" t="n">
        <v>11</v>
      </c>
      <c r="E57" t="inlineStr">
        <is>
          <t>ISMS-IMP-A.8.8.11.xlsx</t>
        </is>
      </c>
      <c r="F57" t="inlineStr">
        <is>
          <t>Dashboard</t>
        </is>
      </c>
      <c r="G57" t="inlineStr">
        <is>
          <t>B8</t>
        </is>
      </c>
      <c r="H57" s="11" t="inlineStr">
        <is>
          <t>'[ISMS-IMP-A.8.8.11.xlsx]Dashboard'!B8</t>
        </is>
      </c>
      <c r="I57" t="inlineStr">
        <is>
          <t>Percentage</t>
        </is>
      </c>
      <c r="J57" t="inlineStr">
        <is>
          <t>&gt;95%</t>
        </is>
      </c>
      <c r="K57" t="inlineStr">
        <is>
          <t>90-95%</t>
        </is>
      </c>
      <c r="L57" t="inlineStr">
        <is>
          <t>&lt;90%</t>
        </is>
      </c>
      <c r="M57" t="inlineStr">
        <is>
          <t>Daily</t>
        </is>
      </c>
      <c r="N57" t="inlineStr">
        <is>
          <t>QA Team</t>
        </is>
      </c>
      <c r="O57" t="inlineStr">
        <is>
          <t>Critical</t>
        </is>
      </c>
      <c r="P57" s="11">
        <f>H57</f>
        <v/>
      </c>
      <c r="Q57" s="11">
        <f>IF(P57="","",IF(P57&gt;=IFERROR(VALUE(LEFT(J57,FIND("%",J57)-1))/100,J57),"Green",IF(P57&gt;=IFERROR(VALUE(LEFT(K57,FIND("%",K57)-1))/100,K57),"Yellow","Red")))</f>
        <v/>
      </c>
      <c r="R57" t="inlineStr">
        <is>
          <t>Successful verifications (no re-work)</t>
        </is>
      </c>
    </row>
    <row r="58">
      <c r="A58" t="inlineStr">
        <is>
          <t>M054</t>
        </is>
      </c>
      <c r="B58" t="inlineStr">
        <is>
          <t>Average Time to Verify (Days)</t>
        </is>
      </c>
      <c r="C58" t="inlineStr">
        <is>
          <t>Validation</t>
        </is>
      </c>
      <c r="D58" t="n">
        <v>11</v>
      </c>
      <c r="E58" t="inlineStr">
        <is>
          <t>ISMS-IMP-A.8.8.11.xlsx</t>
        </is>
      </c>
      <c r="F58" t="inlineStr">
        <is>
          <t>Dashboard</t>
        </is>
      </c>
      <c r="G58" t="inlineStr">
        <is>
          <t>B9</t>
        </is>
      </c>
      <c r="H58" s="11" t="inlineStr">
        <is>
          <t>'[ISMS-IMP-A.8.8.11.xlsx]Dashboard'!B9</t>
        </is>
      </c>
      <c r="I58" t="inlineStr">
        <is>
          <t>Days</t>
        </is>
      </c>
      <c r="J58" t="inlineStr">
        <is>
          <t>&lt;2</t>
        </is>
      </c>
      <c r="K58" t="inlineStr">
        <is>
          <t>2-3</t>
        </is>
      </c>
      <c r="L58" t="inlineStr">
        <is>
          <t>&gt;3</t>
        </is>
      </c>
      <c r="M58" t="inlineStr">
        <is>
          <t>Weekly</t>
        </is>
      </c>
      <c r="N58" t="inlineStr">
        <is>
          <t>QA Team</t>
        </is>
      </c>
      <c r="O58" t="inlineStr">
        <is>
          <t>High</t>
        </is>
      </c>
      <c r="P58" s="11">
        <f>H58</f>
        <v/>
      </c>
      <c r="Q58" s="11">
        <f>IF(P58="","",IF(P58&lt;=IFERROR(VALUE(J58),J58),"Green",IF(P58&lt;=IFERROR(VALUE(K58),K58),"Yellow","Red")))</f>
        <v/>
      </c>
      <c r="R58" t="inlineStr">
        <is>
          <t>Mean verification execution time</t>
        </is>
      </c>
    </row>
    <row r="59">
      <c r="A59" t="inlineStr">
        <is>
          <t>M055</t>
        </is>
      </c>
      <c r="B59" t="inlineStr">
        <is>
          <t>Failed Verifications (Require Re-Remediation)</t>
        </is>
      </c>
      <c r="C59" t="inlineStr">
        <is>
          <t>Validation</t>
        </is>
      </c>
      <c r="D59" t="n">
        <v>11</v>
      </c>
      <c r="E59" t="inlineStr">
        <is>
          <t>ISMS-IMP-A.8.8.11.xlsx</t>
        </is>
      </c>
      <c r="F59" t="inlineStr">
        <is>
          <t>Verification_Queue</t>
        </is>
      </c>
      <c r="G59" t="inlineStr">
        <is>
          <t>AB:AB</t>
        </is>
      </c>
      <c r="H59" s="11">
        <f>COUNTIF('[ISMS-IMP-A.8.8.11.xlsx]Verification_Queue'!AB:AB,"Failed")</f>
        <v/>
      </c>
      <c r="I59" t="inlineStr">
        <is>
          <t>Count</t>
        </is>
      </c>
      <c r="J59" t="inlineStr">
        <is>
          <t>0</t>
        </is>
      </c>
      <c r="K59" t="inlineStr">
        <is>
          <t>1-3</t>
        </is>
      </c>
      <c r="L59" t="inlineStr">
        <is>
          <t>&gt;3</t>
        </is>
      </c>
      <c r="M59" t="inlineStr">
        <is>
          <t>Daily</t>
        </is>
      </c>
      <c r="N59" t="inlineStr">
        <is>
          <t>QA Team</t>
        </is>
      </c>
      <c r="O59" t="inlineStr">
        <is>
          <t>High</t>
        </is>
      </c>
      <c r="P59" s="11">
        <f>H59</f>
        <v/>
      </c>
      <c r="Q59" s="11">
        <f>IF(P59="","",IF(P59&lt;=IFERROR(VALUE(J59),J59),"Green",IF(P59&lt;=IFERROR(VALUE(K59),K59),"Yellow","Red")))</f>
        <v/>
      </c>
      <c r="R59" t="inlineStr">
        <is>
          <t>Verifications that failed testing</t>
        </is>
      </c>
    </row>
    <row r="60">
      <c r="A60" t="inlineStr">
        <is>
          <t>M056</t>
        </is>
      </c>
      <c r="B60" t="inlineStr">
        <is>
          <t>P0 Verification Time (Hours)</t>
        </is>
      </c>
      <c r="C60" t="inlineStr">
        <is>
          <t>Validation</t>
        </is>
      </c>
      <c r="D60" t="n">
        <v>11</v>
      </c>
      <c r="E60" t="inlineStr">
        <is>
          <t>ISMS-IMP-A.8.8.11.xlsx</t>
        </is>
      </c>
      <c r="F60" t="inlineStr">
        <is>
          <t>Verification_Queue</t>
        </is>
      </c>
      <c r="G60" t="inlineStr">
        <is>
          <t>T:T,O:O</t>
        </is>
      </c>
      <c r="H60" s="11">
        <f>AVERAGEIF('[ISMS-IMP-A.8.8.11.xlsx]Verification_Queue'!T:T,"P0",'[ISMS-IMP-A.8.8.11.xlsx]Execution_Log'!O:O)</f>
        <v/>
      </c>
      <c r="I60" t="inlineStr">
        <is>
          <t>Hours</t>
        </is>
      </c>
      <c r="J60" t="inlineStr">
        <is>
          <t>&lt;4</t>
        </is>
      </c>
      <c r="K60" t="inlineStr">
        <is>
          <t>4-8</t>
        </is>
      </c>
      <c r="L60" t="inlineStr">
        <is>
          <t>&gt;8</t>
        </is>
      </c>
      <c r="M60" t="inlineStr">
        <is>
          <t>Weekly</t>
        </is>
      </c>
      <c r="N60" t="inlineStr">
        <is>
          <t>QA Team</t>
        </is>
      </c>
      <c r="O60" t="inlineStr">
        <is>
          <t>High</t>
        </is>
      </c>
      <c r="P60" s="11">
        <f>H60</f>
        <v/>
      </c>
      <c r="Q60" s="11">
        <f>IF(P60="","",IF(P60&lt;=IFERROR(VALUE(J60),J60),"Green",IF(P60&lt;=IFERROR(VALUE(K60),K60),"Yellow","Red")))</f>
        <v/>
      </c>
      <c r="R60" t="inlineStr">
        <is>
          <t>Emergency verification time</t>
        </is>
      </c>
    </row>
    <row r="61">
      <c r="A61" t="inlineStr">
        <is>
          <t>M057</t>
        </is>
      </c>
      <c r="B61" t="inlineStr">
        <is>
          <t>Verification Backlog Age (Oldest)</t>
        </is>
      </c>
      <c r="C61" t="inlineStr">
        <is>
          <t>Validation</t>
        </is>
      </c>
      <c r="D61" t="n">
        <v>11</v>
      </c>
      <c r="E61" t="inlineStr">
        <is>
          <t>ISMS-IMP-A.8.8.11.xlsx</t>
        </is>
      </c>
      <c r="F61" t="inlineStr">
        <is>
          <t>Verification_Queue</t>
        </is>
      </c>
      <c r="G61" t="inlineStr">
        <is>
          <t>C:C</t>
        </is>
      </c>
      <c r="H61" s="11">
        <f>TODAY()-MIN('[ISMS-IMP-A.8.8.11.xlsx]Verification_Queue'!C:C)</f>
        <v/>
      </c>
      <c r="I61" t="inlineStr">
        <is>
          <t>Days</t>
        </is>
      </c>
      <c r="J61" t="inlineStr">
        <is>
          <t>&lt;7</t>
        </is>
      </c>
      <c r="K61" t="inlineStr">
        <is>
          <t>7-14</t>
        </is>
      </c>
      <c r="L61" t="inlineStr">
        <is>
          <t>&gt;14</t>
        </is>
      </c>
      <c r="M61" t="inlineStr">
        <is>
          <t>Weekly</t>
        </is>
      </c>
      <c r="N61" t="inlineStr">
        <is>
          <t>QA Team</t>
        </is>
      </c>
      <c r="O61" t="inlineStr">
        <is>
          <t>Medium</t>
        </is>
      </c>
      <c r="P61" s="11">
        <f>H61</f>
        <v/>
      </c>
      <c r="Q61" s="11">
        <f>IF(P61="","",IF(P61&lt;=IFERROR(VALUE(J61),J61),"Green",IF(P61&lt;=IFERROR(VALUE(K61),K61),"Yellow","Red")))</f>
        <v/>
      </c>
      <c r="R61" t="inlineStr">
        <is>
          <t>Oldest pending verification</t>
        </is>
      </c>
    </row>
    <row r="62">
      <c r="A62" t="inlineStr">
        <is>
          <t>M058</t>
        </is>
      </c>
      <c r="B62" t="inlineStr">
        <is>
          <t>First-Time Verification Success</t>
        </is>
      </c>
      <c r="C62" t="inlineStr">
        <is>
          <t>Validation</t>
        </is>
      </c>
      <c r="D62" t="n">
        <v>11</v>
      </c>
      <c r="E62" t="inlineStr">
        <is>
          <t>ISMS-IMP-A.8.8.11.xlsx</t>
        </is>
      </c>
      <c r="F62" t="inlineStr">
        <is>
          <t>Execution_Log</t>
        </is>
      </c>
      <c r="G62" t="inlineStr">
        <is>
          <t>M:M</t>
        </is>
      </c>
      <c r="H62" s="11">
        <f>COUNTIF('[ISMS-IMP-A.8.8.11.xlsx]Execution_Log'!M:M,"Pass")/COUNTA('[ISMS-IMP-A.8.8.11.xlsx]Execution_Log'!M:M)</f>
        <v/>
      </c>
      <c r="I62" t="inlineStr">
        <is>
          <t>Percentage</t>
        </is>
      </c>
      <c r="J62" t="inlineStr">
        <is>
          <t>&gt;90%</t>
        </is>
      </c>
      <c r="K62" t="inlineStr">
        <is>
          <t>85-90%</t>
        </is>
      </c>
      <c r="L62" t="inlineStr">
        <is>
          <t>&lt;85%</t>
        </is>
      </c>
      <c r="M62" t="inlineStr">
        <is>
          <t>Weekly</t>
        </is>
      </c>
      <c r="N62" t="inlineStr">
        <is>
          <t>QA Team</t>
        </is>
      </c>
      <c r="O62" t="inlineStr">
        <is>
          <t>Medium</t>
        </is>
      </c>
      <c r="P62" s="11">
        <f>H62</f>
        <v/>
      </c>
      <c r="Q62" s="11">
        <f>IF(P62="","",IF(P62&gt;=IFERROR(VALUE(LEFT(J62,FIND("%",J62)-1))/100,J62),"Green",IF(P62&gt;=IFERROR(VALUE(LEFT(K62,FIND("%",K62)-1))/100,K62),"Yellow","Red")))</f>
        <v/>
      </c>
      <c r="R62" t="inlineStr">
        <is>
          <t>No re-testing required</t>
        </is>
      </c>
    </row>
    <row r="63">
      <c r="A63" t="inlineStr">
        <is>
          <t>M059</t>
        </is>
      </c>
      <c r="B63" t="inlineStr">
        <is>
          <t>Verification SLA Compliance</t>
        </is>
      </c>
      <c r="C63" t="inlineStr">
        <is>
          <t>Validation</t>
        </is>
      </c>
      <c r="D63" t="n">
        <v>11</v>
      </c>
      <c r="E63" t="inlineStr">
        <is>
          <t>ISMS-IMP-A.8.8.11.xlsx</t>
        </is>
      </c>
      <c r="F63" t="inlineStr">
        <is>
          <t>Verification_Queue</t>
        </is>
      </c>
      <c r="G63" t="inlineStr">
        <is>
          <t>AB:AB</t>
        </is>
      </c>
      <c r="H63" s="11">
        <f>1-COUNTIF('[ISMS-IMP-A.8.8.11.xlsx]Verification_Queue'!AB:AB,"Overdue")/COUNTA('[ISMS-IMP-A.8.8.11.xlsx]Verification_Queue'!A:A)</f>
        <v/>
      </c>
      <c r="I63" t="inlineStr">
        <is>
          <t>Percentage</t>
        </is>
      </c>
      <c r="J63" t="inlineStr">
        <is>
          <t>&gt;95%</t>
        </is>
      </c>
      <c r="K63" t="inlineStr">
        <is>
          <t>90-95%</t>
        </is>
      </c>
      <c r="L63" t="inlineStr">
        <is>
          <t>&lt;90%</t>
        </is>
      </c>
      <c r="M63" t="inlineStr">
        <is>
          <t>Daily</t>
        </is>
      </c>
      <c r="N63" t="inlineStr">
        <is>
          <t>QA Team</t>
        </is>
      </c>
      <c r="O63" t="inlineStr">
        <is>
          <t>High</t>
        </is>
      </c>
      <c r="P63" s="11">
        <f>H63</f>
        <v/>
      </c>
      <c r="Q63" s="11">
        <f>IF(P63="","",IF(P63&gt;=IFERROR(VALUE(LEFT(J63,FIND("%",J63)-1))/100,J63),"Green",IF(P63&gt;=IFERROR(VALUE(LEFT(K63,FIND("%",K63)-1))/100,K63),"Yellow","Red")))</f>
        <v/>
      </c>
      <c r="R63" t="inlineStr">
        <is>
          <t>Within verification SLA</t>
        </is>
      </c>
    </row>
    <row r="64">
      <c r="A64" t="inlineStr">
        <is>
          <t>M060</t>
        </is>
      </c>
      <c r="B64" t="inlineStr">
        <is>
          <t>Verification Queue Trend (30d Change)</t>
        </is>
      </c>
      <c r="C64" t="inlineStr">
        <is>
          <t>Validation</t>
        </is>
      </c>
      <c r="D64" t="n">
        <v>11</v>
      </c>
      <c r="E64" t="inlineStr">
        <is>
          <t>ISMS-IMP-A.8.8.11.xlsx</t>
        </is>
      </c>
      <c r="F64" t="inlineStr">
        <is>
          <t>Dashboard</t>
        </is>
      </c>
      <c r="G64" t="inlineStr">
        <is>
          <t>B6</t>
        </is>
      </c>
      <c r="H64" s="11" t="inlineStr">
        <is>
          <t>Manual</t>
        </is>
      </c>
      <c r="I64" t="inlineStr">
        <is>
          <t>Count</t>
        </is>
      </c>
      <c r="J64" t="inlineStr">
        <is>
          <t>Negative</t>
        </is>
      </c>
      <c r="K64" t="inlineStr">
        <is>
          <t>Stable</t>
        </is>
      </c>
      <c r="L64" t="inlineStr">
        <is>
          <t>Positive</t>
        </is>
      </c>
      <c r="M64" t="inlineStr">
        <is>
          <t>Monthly</t>
        </is>
      </c>
      <c r="N64" t="inlineStr">
        <is>
          <t>QA Team</t>
        </is>
      </c>
      <c r="O64" t="inlineStr">
        <is>
          <t>Low</t>
        </is>
      </c>
      <c r="P64" s="11">
        <f>H64</f>
        <v/>
      </c>
      <c r="Q64" s="11">
        <f>IF(P64="","",IF(P64&lt;=IFERROR(VALUE(J64),J64),"Green",IF(P64&lt;=IFERROR(VALUE(K64),K64),"Yellow","Red")))</f>
        <v/>
      </c>
      <c r="R64" t="inlineStr">
        <is>
          <t>Queue growth/shrinkage (manual tracking)</t>
        </is>
      </c>
    </row>
    <row r="65">
      <c r="A65" t="inlineStr">
        <is>
          <t>M061</t>
        </is>
      </c>
      <c r="B65" t="inlineStr">
        <is>
          <t>Total Active Exceptions</t>
        </is>
      </c>
      <c r="C65" t="inlineStr">
        <is>
          <t>Exception_Management</t>
        </is>
      </c>
      <c r="D65" t="n">
        <v>10</v>
      </c>
      <c r="E65" t="inlineStr">
        <is>
          <t>ISMS-IMP-A.8.8.10.xlsx</t>
        </is>
      </c>
      <c r="F65" t="inlineStr">
        <is>
          <t>Dashboard</t>
        </is>
      </c>
      <c r="G65" t="inlineStr">
        <is>
          <t>B6</t>
        </is>
      </c>
      <c r="H65" s="11" t="inlineStr">
        <is>
          <t>'[ISMS-IMP-A.8.8.10.xlsx]Dashboard'!B6</t>
        </is>
      </c>
      <c r="I65" t="inlineStr">
        <is>
          <t>Count</t>
        </is>
      </c>
      <c r="J65" t="inlineStr">
        <is>
          <t>&lt;30</t>
        </is>
      </c>
      <c r="K65" t="inlineStr">
        <is>
          <t>30-50</t>
        </is>
      </c>
      <c r="L65" t="inlineStr">
        <is>
          <t>&gt;50</t>
        </is>
      </c>
      <c r="M65" t="inlineStr">
        <is>
          <t>Weekly</t>
        </is>
      </c>
      <c r="N65" t="inlineStr">
        <is>
          <t>Risk Manager</t>
        </is>
      </c>
      <c r="O65" t="inlineStr">
        <is>
          <t>High</t>
        </is>
      </c>
      <c r="P65" s="11">
        <f>H65</f>
        <v/>
      </c>
      <c r="Q65" s="11">
        <f>IF(P65="","",IF(P65&lt;=IFERROR(VALUE(J65),J65),"Green",IF(P65&lt;=IFERROR(VALUE(K65),K65),"Yellow","Red")))</f>
        <v/>
      </c>
      <c r="R65" t="inlineStr">
        <is>
          <t>Formal risk acceptances in effect</t>
        </is>
      </c>
    </row>
    <row r="66">
      <c r="A66" t="inlineStr">
        <is>
          <t>M062</t>
        </is>
      </c>
      <c r="B66" t="inlineStr">
        <is>
          <t>Critical Residual Risk (Exceptions)</t>
        </is>
      </c>
      <c r="C66" t="inlineStr">
        <is>
          <t>Exception_Management</t>
        </is>
      </c>
      <c r="D66" t="n">
        <v>10</v>
      </c>
      <c r="E66" t="inlineStr">
        <is>
          <t>ISMS-IMP-A.8.8.10.xlsx</t>
        </is>
      </c>
      <c r="F66" t="inlineStr">
        <is>
          <t>Dashboard</t>
        </is>
      </c>
      <c r="G66" t="inlineStr">
        <is>
          <t>B7</t>
        </is>
      </c>
      <c r="H66" s="11" t="inlineStr">
        <is>
          <t>'[ISMS-IMP-A.8.8.10.xlsx]Dashboard'!B7</t>
        </is>
      </c>
      <c r="I66" t="inlineStr">
        <is>
          <t>Count</t>
        </is>
      </c>
      <c r="J66" t="inlineStr">
        <is>
          <t>0</t>
        </is>
      </c>
      <c r="K66" t="inlineStr">
        <is>
          <t>1-2</t>
        </is>
      </c>
      <c r="L66" t="inlineStr">
        <is>
          <t>&gt;2</t>
        </is>
      </c>
      <c r="M66" t="inlineStr">
        <is>
          <t>Daily</t>
        </is>
      </c>
      <c r="N66" t="inlineStr">
        <is>
          <t>CISO</t>
        </is>
      </c>
      <c r="O66" t="inlineStr">
        <is>
          <t>Critical</t>
        </is>
      </c>
      <c r="P66" s="11">
        <f>H66</f>
        <v/>
      </c>
      <c r="Q66" s="11">
        <f>IF(P66="","",IF(P66&lt;=IFERROR(VALUE(J66),J66),"Green",IF(P66&lt;=IFERROR(VALUE(K66),K66),"Yellow","Red")))</f>
        <v/>
      </c>
      <c r="R66" t="inlineStr">
        <is>
          <t>Critical-rated accepted risks</t>
        </is>
      </c>
    </row>
    <row r="67">
      <c r="A67" t="inlineStr">
        <is>
          <t>M063</t>
        </is>
      </c>
      <c r="B67" t="inlineStr">
        <is>
          <t>High Residual Risk (Exceptions)</t>
        </is>
      </c>
      <c r="C67" t="inlineStr">
        <is>
          <t>Exception_Management</t>
        </is>
      </c>
      <c r="D67" t="n">
        <v>10</v>
      </c>
      <c r="E67" t="inlineStr">
        <is>
          <t>ISMS-IMP-A.8.8.10.xlsx</t>
        </is>
      </c>
      <c r="F67" t="inlineStr">
        <is>
          <t>Dashboard</t>
        </is>
      </c>
      <c r="G67" t="inlineStr">
        <is>
          <t>B8</t>
        </is>
      </c>
      <c r="H67" s="11" t="inlineStr">
        <is>
          <t>'[ISMS-IMP-A.8.8.10.xlsx]Dashboard'!B8</t>
        </is>
      </c>
      <c r="I67" t="inlineStr">
        <is>
          <t>Count</t>
        </is>
      </c>
      <c r="J67" t="inlineStr">
        <is>
          <t>&lt;5</t>
        </is>
      </c>
      <c r="K67" t="inlineStr">
        <is>
          <t>5-10</t>
        </is>
      </c>
      <c r="L67" t="inlineStr">
        <is>
          <t>&gt;10</t>
        </is>
      </c>
      <c r="M67" t="inlineStr">
        <is>
          <t>Daily</t>
        </is>
      </c>
      <c r="N67" t="inlineStr">
        <is>
          <t>CISO</t>
        </is>
      </c>
      <c r="O67" t="inlineStr">
        <is>
          <t>High</t>
        </is>
      </c>
      <c r="P67" s="11">
        <f>H67</f>
        <v/>
      </c>
      <c r="Q67" s="11">
        <f>IF(P67="","",IF(P67&lt;=IFERROR(VALUE(J67),J67),"Green",IF(P67&lt;=IFERROR(VALUE(K67),K67),"Yellow","Red")))</f>
        <v/>
      </c>
      <c r="R67" t="inlineStr">
        <is>
          <t>High-rated accepted risks</t>
        </is>
      </c>
    </row>
    <row r="68">
      <c r="A68" t="inlineStr">
        <is>
          <t>M064</t>
        </is>
      </c>
      <c r="B68" t="inlineStr">
        <is>
          <t>Pending Exception Approvals</t>
        </is>
      </c>
      <c r="C68" t="inlineStr">
        <is>
          <t>Exception_Management</t>
        </is>
      </c>
      <c r="D68" t="n">
        <v>10</v>
      </c>
      <c r="E68" t="inlineStr">
        <is>
          <t>ISMS-IMP-A.8.8.10.xlsx</t>
        </is>
      </c>
      <c r="F68" t="inlineStr">
        <is>
          <t>Dashboard</t>
        </is>
      </c>
      <c r="G68" t="inlineStr">
        <is>
          <t>B9</t>
        </is>
      </c>
      <c r="H68" s="11" t="inlineStr">
        <is>
          <t>'[ISMS-IMP-A.8.8.10.xlsx]Dashboard'!B9</t>
        </is>
      </c>
      <c r="I68" t="inlineStr">
        <is>
          <t>Count</t>
        </is>
      </c>
      <c r="J68" t="inlineStr">
        <is>
          <t>&lt;10</t>
        </is>
      </c>
      <c r="K68" t="inlineStr">
        <is>
          <t>10-20</t>
        </is>
      </c>
      <c r="L68" t="inlineStr">
        <is>
          <t>&gt;20</t>
        </is>
      </c>
      <c r="M68" t="inlineStr">
        <is>
          <t>Weekly</t>
        </is>
      </c>
      <c r="N68" t="inlineStr">
        <is>
          <t>Risk Manager</t>
        </is>
      </c>
      <c r="O68" t="inlineStr">
        <is>
          <t>High</t>
        </is>
      </c>
      <c r="P68" s="11">
        <f>H68</f>
        <v/>
      </c>
      <c r="Q68" s="11">
        <f>IF(P68="","",IF(P68&lt;=IFERROR(VALUE(J68),J68),"Green",IF(P68&lt;=IFERROR(VALUE(K68),K68),"Yellow","Red")))</f>
        <v/>
      </c>
      <c r="R68" t="inlineStr">
        <is>
          <t>Awaiting approval decision</t>
        </is>
      </c>
    </row>
    <row r="69">
      <c r="A69" t="inlineStr">
        <is>
          <t>M065</t>
        </is>
      </c>
      <c r="B69" t="inlineStr">
        <is>
          <t>Expired Exceptions</t>
        </is>
      </c>
      <c r="C69" t="inlineStr">
        <is>
          <t>Exception_Management</t>
        </is>
      </c>
      <c r="D69" t="n">
        <v>10</v>
      </c>
      <c r="E69" t="inlineStr">
        <is>
          <t>ISMS-IMP-A.8.8.10.xlsx</t>
        </is>
      </c>
      <c r="F69" t="inlineStr">
        <is>
          <t>Dashboard</t>
        </is>
      </c>
      <c r="G69" t="inlineStr">
        <is>
          <t>B10</t>
        </is>
      </c>
      <c r="H69" s="11" t="inlineStr">
        <is>
          <t>'[ISMS-IMP-A.8.8.10.xlsx]Dashboard'!B10</t>
        </is>
      </c>
      <c r="I69" t="inlineStr">
        <is>
          <t>Count</t>
        </is>
      </c>
      <c r="J69" t="inlineStr">
        <is>
          <t>0</t>
        </is>
      </c>
      <c r="K69" t="inlineStr">
        <is>
          <t>1-2</t>
        </is>
      </c>
      <c r="L69" t="inlineStr">
        <is>
          <t>&gt;2</t>
        </is>
      </c>
      <c r="M69" t="inlineStr">
        <is>
          <t>Weekly</t>
        </is>
      </c>
      <c r="N69" t="inlineStr">
        <is>
          <t>Risk Manager</t>
        </is>
      </c>
      <c r="O69" t="inlineStr">
        <is>
          <t>Critical</t>
        </is>
      </c>
      <c r="P69" s="11">
        <f>H69</f>
        <v/>
      </c>
      <c r="Q69" s="11">
        <f>IF(P69="","",IF(P69&lt;=IFERROR(VALUE(J69),J69),"Green",IF(P69&lt;=IFERROR(VALUE(K69),K69),"Yellow","Red")))</f>
        <v/>
      </c>
      <c r="R69" t="inlineStr">
        <is>
          <t>Past expiration date (require renewal)</t>
        </is>
      </c>
    </row>
    <row r="70">
      <c r="A70" t="inlineStr">
        <is>
          <t>M066</t>
        </is>
      </c>
      <c r="B70" t="inlineStr">
        <is>
          <t>Exception Approval Time (Average Days)</t>
        </is>
      </c>
      <c r="C70" t="inlineStr">
        <is>
          <t>Exception_Management</t>
        </is>
      </c>
      <c r="D70" t="n">
        <v>10</v>
      </c>
      <c r="E70" t="inlineStr">
        <is>
          <t>ISMS-IMP-A.8.8.10.xlsx</t>
        </is>
      </c>
      <c r="F70" t="inlineStr">
        <is>
          <t>Exception_Requests</t>
        </is>
      </c>
      <c r="G70" t="inlineStr">
        <is>
          <t>AJ:AJ,D:D</t>
        </is>
      </c>
      <c r="H70" s="11">
        <f>AVERAGE('[ISMS-IMP-A.8.8.10.xlsx]Exception_Requests'!AJ:AJ-'[ISMS-IMP-A.8.8.10.xlsx]Exception_Requests'!D:D)</f>
        <v/>
      </c>
      <c r="I70" t="inlineStr">
        <is>
          <t>Days</t>
        </is>
      </c>
      <c r="J70" t="inlineStr">
        <is>
          <t>&lt;30</t>
        </is>
      </c>
      <c r="K70" t="inlineStr">
        <is>
          <t>30-45</t>
        </is>
      </c>
      <c r="L70" t="inlineStr">
        <is>
          <t>&gt;45</t>
        </is>
      </c>
      <c r="M70" t="inlineStr">
        <is>
          <t>Monthly</t>
        </is>
      </c>
      <c r="N70" t="inlineStr">
        <is>
          <t>Risk Manager</t>
        </is>
      </c>
      <c r="O70" t="inlineStr">
        <is>
          <t>Medium</t>
        </is>
      </c>
      <c r="P70" s="11">
        <f>H70</f>
        <v/>
      </c>
      <c r="Q70" s="11">
        <f>IF(P70="","",IF(P70&lt;=IFERROR(VALUE(J70),J70),"Green",IF(P70&lt;=IFERROR(VALUE(K70),K70),"Yellow","Red")))</f>
        <v/>
      </c>
      <c r="R70" t="inlineStr">
        <is>
          <t>Request to approval time</t>
        </is>
      </c>
    </row>
    <row r="71">
      <c r="A71" t="inlineStr">
        <is>
          <t>M067</t>
        </is>
      </c>
      <c r="B71" t="inlineStr">
        <is>
          <t>Total Residual Risk Score</t>
        </is>
      </c>
      <c r="C71" t="inlineStr">
        <is>
          <t>Exception_Management</t>
        </is>
      </c>
      <c r="D71" t="n">
        <v>10</v>
      </c>
      <c r="E71" t="inlineStr">
        <is>
          <t>ISMS-IMP-A.8.8.10.xlsx</t>
        </is>
      </c>
      <c r="F71" t="inlineStr">
        <is>
          <t>Exception_Requests</t>
        </is>
      </c>
      <c r="G71" t="inlineStr">
        <is>
          <t>Z:Z</t>
        </is>
      </c>
      <c r="H71" s="11">
        <f>SUM('[ISMS-IMP-A.8.8.10.xlsx]Exception_Requests'!Z:Z)</f>
        <v/>
      </c>
      <c r="I71" t="inlineStr">
        <is>
          <t>Score</t>
        </is>
      </c>
      <c r="J71" t="inlineStr">
        <is>
          <t>&lt;100</t>
        </is>
      </c>
      <c r="K71" t="inlineStr">
        <is>
          <t>100-200</t>
        </is>
      </c>
      <c r="L71" t="inlineStr">
        <is>
          <t>&gt;200</t>
        </is>
      </c>
      <c r="M71" t="inlineStr">
        <is>
          <t>Weekly</t>
        </is>
      </c>
      <c r="N71" t="inlineStr">
        <is>
          <t>CISO</t>
        </is>
      </c>
      <c r="O71" t="inlineStr">
        <is>
          <t>High</t>
        </is>
      </c>
      <c r="P71" s="11">
        <f>H71</f>
        <v/>
      </c>
      <c r="Q71" s="11">
        <f>IF(P71="","",IF(P71&lt;=IFERROR(VALUE(J71),J71),"Green",IF(P71&lt;=IFERROR(VALUE(K71),K71),"Yellow","Red")))</f>
        <v/>
      </c>
      <c r="R71" t="inlineStr">
        <is>
          <t>Aggregate accepted risk</t>
        </is>
      </c>
    </row>
    <row r="72">
      <c r="A72" t="inlineStr">
        <is>
          <t>M068</t>
        </is>
      </c>
      <c r="B72" t="inlineStr">
        <is>
          <t>Exception Rate (% of Total Vulns)</t>
        </is>
      </c>
      <c r="C72" t="inlineStr">
        <is>
          <t>Exception_Management</t>
        </is>
      </c>
      <c r="D72" t="n">
        <v>10</v>
      </c>
      <c r="E72" t="inlineStr">
        <is>
          <t>ISMS-IMP-A.8.8.10.xlsx</t>
        </is>
      </c>
      <c r="F72" t="inlineStr">
        <is>
          <t>Dashboard</t>
        </is>
      </c>
      <c r="G72" t="inlineStr">
        <is>
          <t>B6</t>
        </is>
      </c>
      <c r="H72" s="11">
        <f>('[ISMS-IMP-A.8.8.10.xlsx]Dashboard'!B6/'[ISMS-IMP-A.8.8.5.xlsx]Vulnerability_Inventory'!A:A)*100</f>
        <v/>
      </c>
      <c r="I72" t="inlineStr">
        <is>
          <t>Percentage</t>
        </is>
      </c>
      <c r="J72" t="inlineStr">
        <is>
          <t>&lt;3%</t>
        </is>
      </c>
      <c r="K72" t="inlineStr">
        <is>
          <t>3-5%</t>
        </is>
      </c>
      <c r="L72" t="inlineStr">
        <is>
          <t>&gt;5%</t>
        </is>
      </c>
      <c r="M72" t="inlineStr">
        <is>
          <t>Weekly</t>
        </is>
      </c>
      <c r="N72" t="inlineStr">
        <is>
          <t>Risk Manager</t>
        </is>
      </c>
      <c r="O72" t="inlineStr">
        <is>
          <t>Medium</t>
        </is>
      </c>
      <c r="P72" s="11">
        <f>H72</f>
        <v/>
      </c>
      <c r="Q72" s="11">
        <f>IF(P72="","",IF(P72&gt;=IFERROR(VALUE(LEFT(J72,FIND("%",J72)-1))/100,J72),"Green",IF(P72&gt;=IFERROR(VALUE(LEFT(K72,FIND("%",K72)-1))/100,K72),"Yellow","Red")))</f>
        <v/>
      </c>
      <c r="R72" t="inlineStr">
        <is>
          <t>Exceptions as % of all vulnerabilities</t>
        </is>
      </c>
    </row>
    <row r="73">
      <c r="A73" t="inlineStr">
        <is>
          <t>M069</t>
        </is>
      </c>
      <c r="B73" t="inlineStr">
        <is>
          <t>Board-Approved Exceptions</t>
        </is>
      </c>
      <c r="C73" t="inlineStr">
        <is>
          <t>Exception_Management</t>
        </is>
      </c>
      <c r="D73" t="n">
        <v>10</v>
      </c>
      <c r="E73" t="inlineStr">
        <is>
          <t>ISMS-IMP-A.8.8.10.xlsx</t>
        </is>
      </c>
      <c r="F73" t="inlineStr">
        <is>
          <t>Exception_Requests</t>
        </is>
      </c>
      <c r="G73" t="inlineStr">
        <is>
          <t>AI:AI</t>
        </is>
      </c>
      <c r="H73" s="11">
        <f>COUNTIF('[ISMS-IMP-A.8.8.10.xlsx]Exception_Requests'!AI:AI,"Board")</f>
        <v/>
      </c>
      <c r="I73" t="inlineStr">
        <is>
          <t>Count</t>
        </is>
      </c>
      <c r="J73" t="inlineStr">
        <is>
          <t>&lt;5</t>
        </is>
      </c>
      <c r="K73" t="inlineStr">
        <is>
          <t>5-10</t>
        </is>
      </c>
      <c r="L73" t="inlineStr">
        <is>
          <t>&gt;10</t>
        </is>
      </c>
      <c r="M73" t="inlineStr">
        <is>
          <t>Monthly</t>
        </is>
      </c>
      <c r="N73" t="inlineStr">
        <is>
          <t>CISO</t>
        </is>
      </c>
      <c r="O73" t="inlineStr">
        <is>
          <t>Critical</t>
        </is>
      </c>
      <c r="P73" s="11">
        <f>H73</f>
        <v/>
      </c>
      <c r="Q73" s="11">
        <f>IF(P73="","",IF(P73&lt;=IFERROR(VALUE(J73),J73),"Green",IF(P73&lt;=IFERROR(VALUE(K73),K73),"Yellow","Red")))</f>
        <v/>
      </c>
      <c r="R73" t="inlineStr">
        <is>
          <t>Requiring board-level approval</t>
        </is>
      </c>
    </row>
    <row r="74">
      <c r="A74" t="inlineStr">
        <is>
          <t>M070</t>
        </is>
      </c>
      <c r="B74" t="inlineStr">
        <is>
          <t>Exception Renewal Rate</t>
        </is>
      </c>
      <c r="C74" t="inlineStr">
        <is>
          <t>Exception_Management</t>
        </is>
      </c>
      <c r="D74" t="n">
        <v>10</v>
      </c>
      <c r="E74" t="inlineStr">
        <is>
          <t>ISMS-IMP-A.8.8.10.xlsx</t>
        </is>
      </c>
      <c r="F74" t="inlineStr">
        <is>
          <t>Exception_Requests</t>
        </is>
      </c>
      <c r="G74" t="inlineStr">
        <is>
          <t>AN:AN</t>
        </is>
      </c>
      <c r="H74" s="11">
        <f>COUNTIF('[ISMS-IMP-A.8.8.10.xlsx]Exception_Requests'!AN:AN,"&gt;0")/COUNTA('[ISMS-IMP-A.8.8.10.xlsx]Exception_Requests'!AN:AN)</f>
        <v/>
      </c>
      <c r="I74" t="inlineStr">
        <is>
          <t>Percentage</t>
        </is>
      </c>
      <c r="J74" t="inlineStr">
        <is>
          <t>&lt;20%</t>
        </is>
      </c>
      <c r="K74" t="inlineStr">
        <is>
          <t>20-30%</t>
        </is>
      </c>
      <c r="L74" t="inlineStr">
        <is>
          <t>&gt;30%</t>
        </is>
      </c>
      <c r="M74" t="inlineStr">
        <is>
          <t>Quarterly</t>
        </is>
      </c>
      <c r="N74" t="inlineStr">
        <is>
          <t>Risk Manager</t>
        </is>
      </c>
      <c r="O74" t="inlineStr">
        <is>
          <t>Medium</t>
        </is>
      </c>
      <c r="P74" s="11">
        <f>H74</f>
        <v/>
      </c>
      <c r="Q74" s="11">
        <f>IF(P74="","",IF(P74&gt;=IFERROR(VALUE(LEFT(J74,FIND("%",J74)-1))/100,J74),"Green",IF(P74&gt;=IFERROR(VALUE(LEFT(K74,FIND("%",K74)-1))/100,K74),"Yellow","Red")))</f>
        <v/>
      </c>
      <c r="R74" t="inlineStr">
        <is>
          <t>Exceptions renewed (not closed)</t>
        </is>
      </c>
    </row>
    <row r="75">
      <c r="A75" t="inlineStr">
        <is>
          <t>M071</t>
        </is>
      </c>
      <c r="B75" t="inlineStr">
        <is>
          <t>Discovery Rate (New/Month)</t>
        </is>
      </c>
      <c r="C75" t="inlineStr">
        <is>
          <t>Reporting</t>
        </is>
      </c>
      <c r="D75" t="n">
        <v>5</v>
      </c>
      <c r="E75" t="inlineStr">
        <is>
          <t>ISMS-IMP-A.8.8.5.xlsx</t>
        </is>
      </c>
      <c r="F75" t="inlineStr">
        <is>
          <t>Vulnerability_Inventory</t>
        </is>
      </c>
      <c r="G75" t="inlineStr">
        <is>
          <t>D:D</t>
        </is>
      </c>
      <c r="H75" s="11">
        <f>COUNTIF('[ISMS-IMP-A.8.8.5.xlsx]Vulnerability_Inventory'!D:D,"&gt;="&amp;EOMONTH(TODAY(),-1)+1)</f>
        <v/>
      </c>
      <c r="I75" t="inlineStr">
        <is>
          <t>Count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Monthly</t>
        </is>
      </c>
      <c r="N75" t="inlineStr">
        <is>
          <t>VM Coordinator</t>
        </is>
      </c>
      <c r="O75" t="inlineStr">
        <is>
          <t>Medium</t>
        </is>
      </c>
      <c r="P75" s="11">
        <f>H75</f>
        <v/>
      </c>
      <c r="Q75" s="11">
        <f>IF(P75="","",IF(P75&lt;=IFERROR(VALUE(J75),J75),"Green",IF(P75&lt;=IFERROR(VALUE(K75),K75),"Yellow","Red")))</f>
        <v/>
      </c>
      <c r="R75" t="inlineStr">
        <is>
          <t>New vulnerabilities this month</t>
        </is>
      </c>
    </row>
    <row r="76">
      <c r="A76" t="inlineStr">
        <is>
          <t>M072</t>
        </is>
      </c>
      <c r="B76" t="inlineStr">
        <is>
          <t>Closure Rate (Closed/Month)</t>
        </is>
      </c>
      <c r="C76" t="inlineStr">
        <is>
          <t>Reporting</t>
        </is>
      </c>
      <c r="D76" t="n">
        <v>5</v>
      </c>
      <c r="E76" t="inlineStr">
        <is>
          <t>ISMS-IMP-A.8.8.5.xlsx</t>
        </is>
      </c>
      <c r="F76" t="inlineStr">
        <is>
          <t>Vulnerability_Inventory</t>
        </is>
      </c>
      <c r="G76" t="inlineStr">
        <is>
          <t>E:E</t>
        </is>
      </c>
      <c r="H76" s="11">
        <f>COUNTIF('[ISMS-IMP-A.8.8.5.xlsx]Vulnerability_Inventory'!E:E,"&gt;="&amp;EOMONTH(TODAY(),-1)+1)</f>
        <v/>
      </c>
      <c r="I76" t="inlineStr">
        <is>
          <t>Count</t>
        </is>
      </c>
      <c r="J76" t="inlineStr">
        <is>
          <t>≥M071</t>
        </is>
      </c>
      <c r="K76" t="inlineStr">
        <is>
          <t>80-99% of M071</t>
        </is>
      </c>
      <c r="L76" t="inlineStr">
        <is>
          <t>&lt;80% of M071</t>
        </is>
      </c>
      <c r="M76" t="inlineStr">
        <is>
          <t>Monthly</t>
        </is>
      </c>
      <c r="N76" t="inlineStr">
        <is>
          <t>VM Coordinator</t>
        </is>
      </c>
      <c r="O76" t="inlineStr">
        <is>
          <t>High</t>
        </is>
      </c>
      <c r="P76" s="11">
        <f>H76</f>
        <v/>
      </c>
      <c r="Q76" s="11">
        <f>IF(P76="","",IF(P76&lt;=IFERROR(VALUE(J76),J76),"Green",IF(P76&lt;=IFERROR(VALUE(K76),K76),"Yellow","Red")))</f>
        <v/>
      </c>
      <c r="R76" t="inlineStr">
        <is>
          <t>Closed vulnerabilities this month</t>
        </is>
      </c>
    </row>
    <row r="77">
      <c r="A77" t="inlineStr">
        <is>
          <t>M073</t>
        </is>
      </c>
      <c r="B77" t="inlineStr">
        <is>
          <t>Net Vulnerability Change (Month)</t>
        </is>
      </c>
      <c r="C77" t="inlineStr">
        <is>
          <t>Reporting</t>
        </is>
      </c>
      <c r="D77" t="n">
        <v>5</v>
      </c>
      <c r="E77" t="inlineStr">
        <is>
          <t>ISMS-IMP-A.8.8.5.xlsx</t>
        </is>
      </c>
      <c r="F77" t="inlineStr">
        <is>
          <t>Vulnerability_Inventory</t>
        </is>
      </c>
      <c r="G77" t="inlineStr">
        <is>
          <t>D:D,E:E</t>
        </is>
      </c>
      <c r="H77" s="11">
        <f>M071-M072</f>
        <v/>
      </c>
      <c r="I77" t="inlineStr">
        <is>
          <t>Count</t>
        </is>
      </c>
      <c r="J77" t="inlineStr">
        <is>
          <t>≤0</t>
        </is>
      </c>
      <c r="K77" t="inlineStr">
        <is>
          <t>1-20</t>
        </is>
      </c>
      <c r="L77" t="inlineStr">
        <is>
          <t>&gt;20</t>
        </is>
      </c>
      <c r="M77" t="inlineStr">
        <is>
          <t>Monthly</t>
        </is>
      </c>
      <c r="N77" t="inlineStr">
        <is>
          <t>VM Coordinator</t>
        </is>
      </c>
      <c r="O77" t="inlineStr">
        <is>
          <t>High</t>
        </is>
      </c>
      <c r="P77" s="11">
        <f>H77</f>
        <v/>
      </c>
      <c r="Q77" s="11">
        <f>IF(P77="","",IF(P77&lt;=IFERROR(VALUE(J77),J77),"Green",IF(P77&lt;=IFERROR(VALUE(K77),K77),"Yellow","Red")))</f>
        <v/>
      </c>
      <c r="R77" t="inlineStr">
        <is>
          <t>Discovery minus closure (should be negative)</t>
        </is>
      </c>
    </row>
    <row r="78">
      <c r="A78" t="inlineStr">
        <is>
          <t>M074</t>
        </is>
      </c>
      <c r="B78" t="inlineStr">
        <is>
          <t>Vulnerability Reduction Rate</t>
        </is>
      </c>
      <c r="C78" t="inlineStr">
        <is>
          <t>Reporting</t>
        </is>
      </c>
      <c r="D78" t="n">
        <v>5</v>
      </c>
      <c r="E78" t="inlineStr">
        <is>
          <t>ISMS-IMP-A.8.8.5.xlsx</t>
        </is>
      </c>
      <c r="F78" t="inlineStr">
        <is>
          <t>Vulnerability_Inventory</t>
        </is>
      </c>
      <c r="G78" t="inlineStr">
        <is>
          <t>E:E,D:D</t>
        </is>
      </c>
      <c r="H78" s="11">
        <f>(M072/M071)*100</f>
        <v/>
      </c>
      <c r="I78" t="inlineStr">
        <is>
          <t>Percentage</t>
        </is>
      </c>
      <c r="J78" t="inlineStr">
        <is>
          <t>≥100%</t>
        </is>
      </c>
      <c r="K78" t="inlineStr">
        <is>
          <t>90-100%</t>
        </is>
      </c>
      <c r="L78" t="inlineStr">
        <is>
          <t>&lt;90%</t>
        </is>
      </c>
      <c r="M78" t="inlineStr">
        <is>
          <t>Monthly</t>
        </is>
      </c>
      <c r="N78" t="inlineStr">
        <is>
          <t>VM Coordinator</t>
        </is>
      </c>
      <c r="O78" t="inlineStr">
        <is>
          <t>High</t>
        </is>
      </c>
      <c r="P78" s="11">
        <f>H78</f>
        <v/>
      </c>
      <c r="Q78" s="11">
        <f>IF(P78="","",IF(P78&gt;=IFERROR(VALUE(LEFT(J78,FIND("%",J78)-1))/100,J78),"Green",IF(P78&gt;=IFERROR(VALUE(LEFT(K78,FIND("%",K78)-1))/100,K78),"Yellow","Red")))</f>
        <v/>
      </c>
      <c r="R78" t="inlineStr">
        <is>
          <t>Closure rate vs discovery rate</t>
        </is>
      </c>
    </row>
    <row r="79">
      <c r="A79" t="inlineStr">
        <is>
          <t>M075</t>
        </is>
      </c>
      <c r="B79" t="inlineStr">
        <is>
          <t>Vulnerability Velocity (30d Trend)</t>
        </is>
      </c>
      <c r="C79" t="inlineStr">
        <is>
          <t>Reporting</t>
        </is>
      </c>
      <c r="D79" t="n">
        <v>5</v>
      </c>
      <c r="E79" t="inlineStr">
        <is>
          <t>ISMS-IMP-A.8.8.5.xlsx</t>
        </is>
      </c>
      <c r="F79" t="inlineStr">
        <is>
          <t>Vulnerability_Inventory</t>
        </is>
      </c>
      <c r="G79" t="inlineStr">
        <is>
          <t>D:D,E:E</t>
        </is>
      </c>
      <c r="H79" s="11" t="inlineStr">
        <is>
          <t>Manual</t>
        </is>
      </c>
      <c r="I79" t="inlineStr">
        <is>
          <t>Count/Day</t>
        </is>
      </c>
      <c r="J79" t="inlineStr">
        <is>
          <t>≤0</t>
        </is>
      </c>
      <c r="K79" t="inlineStr">
        <is>
          <t>0-5</t>
        </is>
      </c>
      <c r="L79" t="inlineStr">
        <is>
          <t>&gt;5</t>
        </is>
      </c>
      <c r="M79" t="inlineStr">
        <is>
          <t>Monthly</t>
        </is>
      </c>
      <c r="N79" t="inlineStr">
        <is>
          <t>VM Coordinator</t>
        </is>
      </c>
      <c r="O79" t="inlineStr">
        <is>
          <t>Medium</t>
        </is>
      </c>
      <c r="P79" s="11">
        <f>H79</f>
        <v/>
      </c>
      <c r="Q79" s="11">
        <f>IF(P79="","",IF(P79&lt;=IFERROR(VALUE(J79),J79),"Green",IF(P79&lt;=IFERROR(VALUE(K79),K79),"Yellow","Red")))</f>
        <v/>
      </c>
      <c r="R79" t="inlineStr">
        <is>
          <t>Net change per day (manual calculation)</t>
        </is>
      </c>
    </row>
    <row r="80">
      <c r="A80" t="inlineStr">
        <is>
          <t>M076</t>
        </is>
      </c>
      <c r="B80" t="inlineStr">
        <is>
          <t>Scan Frequency Compliance</t>
        </is>
      </c>
      <c r="C80" t="inlineStr">
        <is>
          <t>Reporting</t>
        </is>
      </c>
      <c r="D80" t="n">
        <v>1</v>
      </c>
      <c r="E80" t="inlineStr">
        <is>
          <t>ISMS-IMP-A.8.8.1.xlsx</t>
        </is>
      </c>
      <c r="F80" t="inlineStr">
        <is>
          <t>Asset_Scanner_Mapping</t>
        </is>
      </c>
      <c r="G80" t="inlineStr">
        <is>
          <t>J:J</t>
        </is>
      </c>
      <c r="H80" s="11">
        <f>COUNTIF('[ISMS-IMP-A.8.8.1.xlsx]Asset_Scanner_Mapping'!J:J,"Compliant")/COUNTA('[ISMS-IMP-A.8.8.1.xlsx]Asset_Scanner_Mapping'!J:J)</f>
        <v/>
      </c>
      <c r="I80" t="inlineStr">
        <is>
          <t>Percentage</t>
        </is>
      </c>
      <c r="J80" t="inlineStr">
        <is>
          <t>&gt;95%</t>
        </is>
      </c>
      <c r="K80" t="inlineStr">
        <is>
          <t>90-95%</t>
        </is>
      </c>
      <c r="L80" t="inlineStr">
        <is>
          <t>&lt;90%</t>
        </is>
      </c>
      <c r="M80" t="inlineStr">
        <is>
          <t>Weekly</t>
        </is>
      </c>
      <c r="N80" t="inlineStr">
        <is>
          <t>Infrastructure Team</t>
        </is>
      </c>
      <c r="O80" t="inlineStr">
        <is>
          <t>High</t>
        </is>
      </c>
      <c r="P80" s="11">
        <f>H80</f>
        <v/>
      </c>
      <c r="Q80" s="11">
        <f>IF(P80="","",IF(P80&gt;=IFERROR(VALUE(LEFT(J80,FIND("%",J80)-1))/100,J80),"Green",IF(P80&gt;=IFERROR(VALUE(LEFT(K80,FIND("%",K80)-1))/100,K80),"Yellow","Red")))</f>
        <v/>
      </c>
      <c r="R80" t="inlineStr">
        <is>
          <t>Assets scanned per policy frequency</t>
        </is>
      </c>
    </row>
    <row r="81">
      <c r="A81" t="inlineStr">
        <is>
          <t>M077</t>
        </is>
      </c>
      <c r="B81" t="inlineStr">
        <is>
          <t>Risk Assessment Backlog</t>
        </is>
      </c>
      <c r="C81" t="inlineStr">
        <is>
          <t>Reporting</t>
        </is>
      </c>
      <c r="D81" t="n">
        <v>6</v>
      </c>
      <c r="E81" t="inlineStr">
        <is>
          <t>ISMS-IMP-A.8.8.6.xlsx</t>
        </is>
      </c>
      <c r="F81" t="inlineStr">
        <is>
          <t>Risk_Assessment_Matrix</t>
        </is>
      </c>
      <c r="G81" t="inlineStr">
        <is>
          <t>AQ:AQ</t>
        </is>
      </c>
      <c r="H81" s="11">
        <f>COUNTIF('[ISMS-IMP-A.8.8.6.xlsx]Risk_Assessment_Matrix'!AQ:AQ,"")</f>
        <v/>
      </c>
      <c r="I81" t="inlineStr">
        <is>
          <t>Count</t>
        </is>
      </c>
      <c r="J81" t="inlineStr">
        <is>
          <t>&lt;50</t>
        </is>
      </c>
      <c r="K81" t="inlineStr">
        <is>
          <t>50-100</t>
        </is>
      </c>
      <c r="L81" t="inlineStr">
        <is>
          <t>&gt;100</t>
        </is>
      </c>
      <c r="M81" t="inlineStr">
        <is>
          <t>Daily</t>
        </is>
      </c>
      <c r="N81" t="inlineStr">
        <is>
          <t>Risk Analyst</t>
        </is>
      </c>
      <c r="O81" t="inlineStr">
        <is>
          <t>Medium</t>
        </is>
      </c>
      <c r="P81" s="11">
        <f>H81</f>
        <v/>
      </c>
      <c r="Q81" s="11">
        <f>IF(P81="","",IF(P81&lt;=IFERROR(VALUE(J81),J81),"Green",IF(P81&lt;=IFERROR(VALUE(K81),K81),"Yellow","Red")))</f>
        <v/>
      </c>
      <c r="R81" t="inlineStr">
        <is>
          <t>Vulnerabilities awaiting risk assessment</t>
        </is>
      </c>
    </row>
    <row r="82">
      <c r="A82" t="inlineStr">
        <is>
          <t>M078</t>
        </is>
      </c>
      <c r="B82" t="inlineStr">
        <is>
          <t>OT/ICS Vulnerability Count</t>
        </is>
      </c>
      <c r="C82" t="inlineStr">
        <is>
          <t>Reporting</t>
        </is>
      </c>
      <c r="D82" t="n">
        <v>5</v>
      </c>
      <c r="E82" t="inlineStr">
        <is>
          <t>ISMS-IMP-A.8.8.5.xlsx</t>
        </is>
      </c>
      <c r="F82" t="inlineStr">
        <is>
          <t>Vulnerability_Inventory</t>
        </is>
      </c>
      <c r="G82" t="inlineStr">
        <is>
          <t>H:H</t>
        </is>
      </c>
      <c r="H82" s="11">
        <f>COUNTIF('[ISMS-IMP-A.8.8.5.xlsx]Vulnerability_Inventory'!H:H,"OT/ICS")</f>
        <v/>
      </c>
      <c r="I82" t="inlineStr">
        <is>
          <t>Count</t>
        </is>
      </c>
      <c r="J82" t="inlineStr">
        <is>
          <t>Track</t>
        </is>
      </c>
      <c r="K82" t="inlineStr">
        <is>
          <t>N/A</t>
        </is>
      </c>
      <c r="L82" t="inlineStr">
        <is>
          <t>N/A</t>
        </is>
      </c>
      <c r="M82" t="inlineStr">
        <is>
          <t>Weekly</t>
        </is>
      </c>
      <c r="N82" t="inlineStr">
        <is>
          <t>OT/ICS Team</t>
        </is>
      </c>
      <c r="O82" t="inlineStr">
        <is>
          <t>High</t>
        </is>
      </c>
      <c r="P82" s="11">
        <f>H82</f>
        <v/>
      </c>
      <c r="Q82" s="11">
        <f>IF(P82="","",IF(P82&lt;=IFERROR(VALUE(J82),J82),"Green",IF(P82&lt;=IFERROR(VALUE(K82),K82),"Yellow","Red")))</f>
        <v/>
      </c>
      <c r="R82" t="inlineStr">
        <is>
          <t>Operational Technology vulnerabilities</t>
        </is>
      </c>
    </row>
    <row r="83">
      <c r="A83" t="inlineStr">
        <is>
          <t>M079</t>
        </is>
      </c>
      <c r="B83" t="inlineStr">
        <is>
          <t>Cloud Vulnerability Count</t>
        </is>
      </c>
      <c r="C83" t="inlineStr">
        <is>
          <t>Reporting</t>
        </is>
      </c>
      <c r="D83" t="n">
        <v>5</v>
      </c>
      <c r="E83" t="inlineStr">
        <is>
          <t>ISMS-IMP-A.8.8.5.xlsx</t>
        </is>
      </c>
      <c r="F83" t="inlineStr">
        <is>
          <t>Vulnerability_Inventory</t>
        </is>
      </c>
      <c r="G83" t="inlineStr">
        <is>
          <t>I:I</t>
        </is>
      </c>
      <c r="H83" s="11">
        <f>COUNTIF('[ISMS-IMP-A.8.8.5.xlsx]Vulnerability_Inventory'!I:I,"Cloud")</f>
        <v/>
      </c>
      <c r="I83" t="inlineStr">
        <is>
          <t>Count</t>
        </is>
      </c>
      <c r="J83" t="inlineStr">
        <is>
          <t>Track</t>
        </is>
      </c>
      <c r="K83" t="inlineStr">
        <is>
          <t>N/A</t>
        </is>
      </c>
      <c r="L83" t="inlineStr">
        <is>
          <t>N/A</t>
        </is>
      </c>
      <c r="M83" t="inlineStr">
        <is>
          <t>Weekly</t>
        </is>
      </c>
      <c r="N83" t="inlineStr">
        <is>
          <t>Cloud Team</t>
        </is>
      </c>
      <c r="O83" t="inlineStr">
        <is>
          <t>Medium</t>
        </is>
      </c>
      <c r="P83" s="11">
        <f>H83</f>
        <v/>
      </c>
      <c r="Q83" s="11">
        <f>IF(P83="","",IF(P83&lt;=IFERROR(VALUE(J83),J83),"Green",IF(P83&lt;=IFERROR(VALUE(K83),K83),"Yellow","Red")))</f>
        <v/>
      </c>
      <c r="R83" t="inlineStr">
        <is>
          <t>Cloud infrastructure vulnerabilities</t>
        </is>
      </c>
    </row>
    <row r="84">
      <c r="A84" t="inlineStr">
        <is>
          <t>M080</t>
        </is>
      </c>
      <c r="B84" t="inlineStr">
        <is>
          <t>Policy Compliance Status</t>
        </is>
      </c>
      <c r="C84" t="inlineStr">
        <is>
          <t>Reporting</t>
        </is>
      </c>
      <c r="D84" t="inlineStr">
        <is>
          <t>Manual</t>
        </is>
      </c>
      <c r="E84" t="inlineStr">
        <is>
          <t>Manual</t>
        </is>
      </c>
      <c r="F84" t="inlineStr">
        <is>
          <t>Manual</t>
        </is>
      </c>
      <c r="G84" t="inlineStr">
        <is>
          <t>Manual</t>
        </is>
      </c>
      <c r="H84" s="11" t="inlineStr">
        <is>
          <t>Manual</t>
        </is>
      </c>
      <c r="I84" t="inlineStr">
        <is>
          <t>Status</t>
        </is>
      </c>
      <c r="J84" t="inlineStr">
        <is>
          <t>Compliant</t>
        </is>
      </c>
      <c r="K84" t="inlineStr">
        <is>
          <t>Partial</t>
        </is>
      </c>
      <c r="L84" t="inlineStr">
        <is>
          <t>Non-Compliant</t>
        </is>
      </c>
      <c r="M84" t="inlineStr">
        <is>
          <t>Quarterly</t>
        </is>
      </c>
      <c r="N84" t="inlineStr">
        <is>
          <t>CISO</t>
        </is>
      </c>
      <c r="O84" t="inlineStr">
        <is>
          <t>Critical</t>
        </is>
      </c>
      <c r="P84" s="11">
        <f>H84</f>
        <v/>
      </c>
      <c r="Q84" s="11">
        <f>IF(P84="","",IF(P84&lt;=IFERROR(VALUE(J84),J84),"Green",IF(P84&lt;=IFERROR(VALUE(K84),K84),"Yellow","Red")))</f>
        <v/>
      </c>
      <c r="R84" t="inlineStr">
        <is>
          <t>ISMS-POL-A.8.8 compliance (manual assessment)</t>
        </is>
      </c>
    </row>
  </sheetData>
  <mergeCells count="1">
    <mergeCell ref="A1:R1"/>
  </mergeCells>
  <conditionalFormatting sqref="Q5:Q85">
    <cfRule type="expression" priority="1" dxfId="0">
      <formula>NOT(ISERROR(SEARCH("Green",Q5)))</formula>
    </cfRule>
    <cfRule type="expression" priority="2" dxfId="1">
      <formula>NOT(ISERROR(SEARCH("Yellow",Q5)))</formula>
    </cfRule>
    <cfRule type="expression" priority="3" dxfId="2">
      <formula>NOT(ISERROR(SEARCH("Red",Q5)))</formula>
    </cfRule>
  </conditionalFormatting>
  <dataValidations count="4">
    <dataValidation sqref="C5:C85" showDropDown="0" showInputMessage="0" showErrorMessage="0" allowBlank="0" type="list">
      <formula1>"Discovery,Assessment,Prioritization,Remediation,Validation,Exception_Management,Reporting"</formula1>
    </dataValidation>
    <dataValidation sqref="I5:I85" showDropDown="0" showInputMessage="0" showErrorMessage="0" allowBlank="0" type="list">
      <formula1>"Count,Percentage,Days,Hours,CHF,Score,Status"</formula1>
    </dataValidation>
    <dataValidation sqref="M5:M85" showDropDown="0" showInputMessage="0" showErrorMessage="0" allowBlank="0" type="list">
      <formula1>"Daily,Weekly,Monthly,Quarterly,Annual"</formula1>
    </dataValidation>
    <dataValidation sqref="O5:O85" showDropDown="0" showInputMessage="0" showErrorMessage="0" allowBlank="0" type="list">
      <formula1>"Critical,High,Medium,Low"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2" t="inlineStr">
        <is>
          <t>VULNERABILITY LIFECYCLE FUNNEL</t>
        </is>
      </c>
    </row>
    <row r="6">
      <c r="A6" s="13" t="inlineStr">
        <is>
          <t>🔍 DISCOVERY</t>
        </is>
      </c>
      <c r="B6" s="11">
        <f>Metric_Definitions!P1</f>
        <v/>
      </c>
      <c r="C6" t="inlineStr">
        <is>
          <t>Target: &lt;500</t>
        </is>
      </c>
    </row>
    <row r="8">
      <c r="A8" s="13" t="inlineStr">
        <is>
          <t>📡 SCANNING</t>
        </is>
      </c>
      <c r="B8" s="11">
        <f>Metric_Definitions!P8</f>
        <v/>
      </c>
      <c r="C8" t="inlineStr">
        <is>
          <t>Target: 100%</t>
        </is>
      </c>
    </row>
    <row r="10">
      <c r="A10" s="13" t="inlineStr">
        <is>
          <t>⚖️ ASSESSMENT</t>
        </is>
      </c>
      <c r="B10" s="11">
        <f>Metric_Definitions!P22</f>
        <v/>
      </c>
      <c r="C10" t="inlineStr">
        <is>
          <t>Target: &lt;5</t>
        </is>
      </c>
    </row>
    <row r="12">
      <c r="A12" s="13" t="inlineStr">
        <is>
          <t>🎯 PRIORITIZATION</t>
        </is>
      </c>
      <c r="B12" s="11">
        <f>Metric_Definitions!P31</f>
        <v/>
      </c>
      <c r="C12" t="inlineStr">
        <is>
          <t>Target: &gt;95%</t>
        </is>
      </c>
    </row>
    <row r="14">
      <c r="A14" s="13" t="inlineStr">
        <is>
          <t>🔧 REMEDIATION</t>
        </is>
      </c>
      <c r="B14" s="11">
        <f>Metric_Definitions!P37</f>
        <v/>
      </c>
      <c r="C14" t="inlineStr">
        <is>
          <t>Target: &gt;95%</t>
        </is>
      </c>
    </row>
    <row r="16">
      <c r="A16" s="13" t="inlineStr">
        <is>
          <t>✅ VERIFICATION</t>
        </is>
      </c>
      <c r="B16" s="11">
        <f>Metric_Definitions!P53</f>
        <v/>
      </c>
      <c r="C16" t="inlineStr">
        <is>
          <t>Target: &gt;95%</t>
        </is>
      </c>
    </row>
    <row r="18">
      <c r="A18" s="13" t="inlineStr">
        <is>
          <t>🎉 CLOSED</t>
        </is>
      </c>
      <c r="B18" s="11">
        <f>Metric_Definitions!P50</f>
        <v/>
      </c>
      <c r="C18" t="inlineStr">
        <is>
          <t>Target: &gt;200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</cols>
  <sheetData>
    <row r="1">
      <c r="A1" s="9" t="inlineStr">
        <is>
          <t>SLA PERFORMANCE DASHBOARD</t>
        </is>
      </c>
    </row>
    <row r="3">
      <c r="A3" s="10" t="inlineStr">
        <is>
          <t>SLA Category</t>
        </is>
      </c>
      <c r="B3" s="10" t="inlineStr">
        <is>
          <t>Current %</t>
        </is>
      </c>
      <c r="C3" s="10" t="inlineStr">
        <is>
          <t>Target %</t>
        </is>
      </c>
      <c r="D3" s="10" t="inlineStr">
        <is>
          <t>Status</t>
        </is>
      </c>
    </row>
    <row r="4">
      <c r="A4" t="inlineStr">
        <is>
          <t>Overall SLA Compliance</t>
        </is>
      </c>
      <c r="B4" s="11">
        <f>Metric_Definitions!P31</f>
        <v/>
      </c>
      <c r="C4" t="inlineStr">
        <is>
          <t>&gt;95%</t>
        </is>
      </c>
      <c r="D4">
        <f>IF(B4&gt;=C4,"✅ Met","❌ Violated")</f>
        <v/>
      </c>
    </row>
    <row r="5">
      <c r="A5" t="inlineStr">
        <is>
          <t>P0 Emergency (1 Day)</t>
        </is>
      </c>
      <c r="B5" s="11">
        <f>Metric_Definitions!P33</f>
        <v/>
      </c>
      <c r="C5" t="inlineStr">
        <is>
          <t>100%</t>
        </is>
      </c>
      <c r="D5">
        <f>IF(B5&gt;=C5,"✅ Met","❌ Violated")</f>
        <v/>
      </c>
    </row>
    <row r="6">
      <c r="A6" t="inlineStr">
        <is>
          <t>P1 Critical (7 Days)</t>
        </is>
      </c>
      <c r="B6" s="11">
        <f>Metric_Definitions!P34</f>
        <v/>
      </c>
      <c r="C6" t="inlineStr">
        <is>
          <t>&gt;95%</t>
        </is>
      </c>
      <c r="D6">
        <f>IF(B6&gt;=C6,"✅ Met","❌ Violated")</f>
        <v/>
      </c>
    </row>
    <row r="7">
      <c r="A7" t="inlineStr">
        <is>
          <t>Remediation SLA</t>
        </is>
      </c>
      <c r="B7" s="11">
        <f>Metric_Definitions!P37</f>
        <v/>
      </c>
      <c r="C7" t="inlineStr">
        <is>
          <t>&gt;95%</t>
        </is>
      </c>
      <c r="D7">
        <f>IF(B7&gt;=C7,"✅ Met","❌ Violated")</f>
        <v/>
      </c>
    </row>
    <row r="8">
      <c r="A8" t="inlineStr">
        <is>
          <t>Verification SLA</t>
        </is>
      </c>
      <c r="B8" s="11">
        <f>Metric_Definitions!P59</f>
        <v/>
      </c>
      <c r="C8" t="inlineStr">
        <is>
          <t>&gt;95%</t>
        </is>
      </c>
      <c r="D8">
        <f>IF(B8&gt;=C8,"✅ Met","❌ Violated")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2" customWidth="1" min="4" max="4"/>
  </cols>
  <sheetData>
    <row r="1">
      <c r="A1" s="9" t="inlineStr">
        <is>
          <t>SUCCESS RATE DASHBOARD</t>
        </is>
      </c>
    </row>
    <row r="3">
      <c r="A3" s="10" t="inlineStr">
        <is>
          <t>Success Metric</t>
        </is>
      </c>
      <c r="B3" s="10" t="inlineStr">
        <is>
          <t>Current %</t>
        </is>
      </c>
      <c r="C3" s="10" t="inlineStr">
        <is>
          <t>Target %</t>
        </is>
      </c>
      <c r="D3" s="10" t="inlineStr">
        <is>
          <t>Gap %</t>
        </is>
      </c>
    </row>
    <row r="4">
      <c r="A4" t="inlineStr">
        <is>
          <t>Deployment Success</t>
        </is>
      </c>
      <c r="B4" s="11">
        <f>Metric_Definitions!P39</f>
        <v/>
      </c>
      <c r="C4" t="inlineStr">
        <is>
          <t>&gt;98%</t>
        </is>
      </c>
      <c r="D4" s="11">
        <f>B4-VALUE(LEFT(C4,FIND("%",C4)-1))/100</f>
        <v/>
      </c>
    </row>
    <row r="5">
      <c r="A5" t="inlineStr">
        <is>
          <t>Verification Success</t>
        </is>
      </c>
      <c r="B5" s="11">
        <f>Metric_Definitions!P53</f>
        <v/>
      </c>
      <c r="C5" t="inlineStr">
        <is>
          <t>&gt;95%</t>
        </is>
      </c>
      <c r="D5" s="11">
        <f>B5-VALUE(LEFT(C5,FIND("%",C5)-1))/100</f>
        <v/>
      </c>
    </row>
    <row r="6">
      <c r="A6" t="inlineStr">
        <is>
          <t>Scanner Uptime</t>
        </is>
      </c>
      <c r="B6" s="11">
        <f>Metric_Definitions!P6</f>
        <v/>
      </c>
      <c r="C6" t="inlineStr">
        <is>
          <t>&gt;99%</t>
        </is>
      </c>
      <c r="D6" s="11">
        <f>B6-VALUE(LEFT(C6,FIND("%",C6)-1))/100</f>
        <v/>
      </c>
    </row>
    <row r="7">
      <c r="A7" t="inlineStr">
        <is>
          <t>Scan Completion</t>
        </is>
      </c>
      <c r="B7" s="11">
        <f>Metric_Definitions!P7</f>
        <v/>
      </c>
      <c r="C7" t="inlineStr">
        <is>
          <t>&gt;95%</t>
        </is>
      </c>
      <c r="D7" s="11">
        <f>B7-VALUE(LEFT(C7,FIND("%",C7)-1))/100</f>
        <v/>
      </c>
    </row>
    <row r="8">
      <c r="A8" t="inlineStr">
        <is>
          <t>Network Coverage</t>
        </is>
      </c>
      <c r="B8" s="11">
        <f>Metric_Definitions!P8</f>
        <v/>
      </c>
      <c r="C8" t="inlineStr">
        <is>
          <t>100%</t>
        </is>
      </c>
      <c r="D8" s="11">
        <f>B8-VALUE(LEFT(C8,FIND("%",C8)-1))/100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2" customWidth="1" min="4" max="4"/>
  </cols>
  <sheetData>
    <row r="1">
      <c r="A1" s="9" t="inlineStr">
        <is>
          <t>RISK METRICS DASHBOARD</t>
        </is>
      </c>
    </row>
    <row r="3">
      <c r="A3" s="10" t="inlineStr">
        <is>
          <t>Risk Metric</t>
        </is>
      </c>
      <c r="B3" s="10" t="inlineStr">
        <is>
          <t>Current</t>
        </is>
      </c>
      <c r="C3" s="10" t="inlineStr">
        <is>
          <t>Target</t>
        </is>
      </c>
      <c r="D3" s="10" t="inlineStr">
        <is>
          <t>Status</t>
        </is>
      </c>
    </row>
    <row r="4">
      <c r="A4" t="inlineStr">
        <is>
          <t>Critical Risk Count</t>
        </is>
      </c>
      <c r="B4" s="11">
        <f>Metric_Definitions!P22</f>
        <v/>
      </c>
      <c r="C4" t="inlineStr">
        <is>
          <t>&lt;5</t>
        </is>
      </c>
      <c r="D4">
        <f>IF(B4&lt;5,"🟢","🔴")</f>
        <v/>
      </c>
    </row>
    <row r="5">
      <c r="A5" t="inlineStr">
        <is>
          <t>Total Risk Score</t>
        </is>
      </c>
      <c r="B5" s="11">
        <f>Metric_Definitions!P21</f>
        <v/>
      </c>
      <c r="C5" t="inlineStr">
        <is>
          <t>&lt;500</t>
        </is>
      </c>
      <c r="D5">
        <f>IF(B5&lt;500,"🟢","🔴")</f>
        <v/>
      </c>
    </row>
    <row r="6">
      <c r="A6" t="inlineStr">
        <is>
          <t>Critical Residual Risk</t>
        </is>
      </c>
      <c r="B6" s="11">
        <f>Metric_Definitions!P62</f>
        <v/>
      </c>
      <c r="C6" t="inlineStr">
        <is>
          <t>0</t>
        </is>
      </c>
      <c r="D6">
        <f>IF(B6=0,"🟢","🔴")</f>
        <v/>
      </c>
    </row>
    <row r="7">
      <c r="A7" t="inlineStr">
        <is>
          <t>Active Exceptions</t>
        </is>
      </c>
      <c r="B7" s="11">
        <f>Metric_Definitions!P61</f>
        <v/>
      </c>
      <c r="C7" t="inlineStr">
        <is>
          <t>&lt;30</t>
        </is>
      </c>
      <c r="D7">
        <f>IF(B7&lt;30,"🟢","🔴")</f>
        <v/>
      </c>
    </row>
    <row r="8">
      <c r="A8" t="inlineStr">
        <is>
          <t>Wormable Vulns (AU=Y)</t>
        </is>
      </c>
      <c r="B8" s="11">
        <f>Metric_Definitions!P16</f>
        <v/>
      </c>
      <c r="C8" t="inlineStr">
        <is>
          <t>0</t>
        </is>
      </c>
      <c r="D8">
        <f>IF(B8=0,"🟢","🔴")</f>
        <v/>
      </c>
    </row>
    <row r="9">
      <c r="A9" t="inlineStr">
        <is>
          <t>KEV Vulns</t>
        </is>
      </c>
      <c r="B9" s="11">
        <f>Metric_Definitions!P18</f>
        <v/>
      </c>
      <c r="C9" t="inlineStr">
        <is>
          <t>0</t>
        </is>
      </c>
      <c r="D9">
        <f>IF(B9=0,"🟢","🔴")</f>
        <v/>
      </c>
    </row>
    <row r="10">
      <c r="A10" t="inlineStr">
        <is>
          <t>Financial Exposure</t>
        </is>
      </c>
      <c r="B10" s="14">
        <f>Metric_Definitions!P24</f>
        <v/>
      </c>
      <c r="C10" t="inlineStr">
        <is>
          <t>&lt;500000</t>
        </is>
      </c>
      <c r="D10">
        <f>IF(B10&lt;500000,"🟢","🔴")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9" t="inlineStr">
        <is>
          <t>MONTHLY TREND ANALYSIS (12 MONTHS)</t>
        </is>
      </c>
    </row>
    <row r="4">
      <c r="A4" s="10" t="inlineStr">
        <is>
          <t>Metric</t>
        </is>
      </c>
      <c r="B4" s="10" t="inlineStr">
        <is>
          <t>M-11</t>
        </is>
      </c>
      <c r="C4" s="10" t="inlineStr">
        <is>
          <t>M-10</t>
        </is>
      </c>
      <c r="D4" s="10" t="inlineStr">
        <is>
          <t>M-9</t>
        </is>
      </c>
      <c r="E4" s="10" t="inlineStr">
        <is>
          <t>M-8</t>
        </is>
      </c>
      <c r="F4" s="10" t="inlineStr">
        <is>
          <t>M-7</t>
        </is>
      </c>
      <c r="G4" s="10" t="inlineStr">
        <is>
          <t>M-6</t>
        </is>
      </c>
      <c r="H4" s="10" t="inlineStr">
        <is>
          <t>M-5</t>
        </is>
      </c>
      <c r="I4" s="10" t="inlineStr">
        <is>
          <t>M-4</t>
        </is>
      </c>
      <c r="J4" s="10" t="inlineStr">
        <is>
          <t>M-3</t>
        </is>
      </c>
      <c r="K4" s="10" t="inlineStr">
        <is>
          <t>M-2</t>
        </is>
      </c>
      <c r="L4" s="10" t="inlineStr">
        <is>
          <t>M-1</t>
        </is>
      </c>
      <c r="M4" s="10" t="inlineStr">
        <is>
          <t>M-0</t>
        </is>
      </c>
      <c r="N4" s="10" t="inlineStr">
        <is>
          <t>Trend</t>
        </is>
      </c>
    </row>
    <row r="5">
      <c r="A5" t="inlineStr">
        <is>
          <t>Total Active Vulns (M001)</t>
        </is>
      </c>
      <c r="B5" s="5" t="inlineStr">
        <is>
          <t>[Manual]</t>
        </is>
      </c>
      <c r="C5" s="5" t="inlineStr">
        <is>
          <t>[Manual]</t>
        </is>
      </c>
      <c r="D5" s="5" t="inlineStr">
        <is>
          <t>[Manual]</t>
        </is>
      </c>
      <c r="E5" s="5" t="inlineStr">
        <is>
          <t>[Manual]</t>
        </is>
      </c>
      <c r="F5" s="5" t="inlineStr">
        <is>
          <t>[Manual]</t>
        </is>
      </c>
      <c r="G5" s="5" t="inlineStr">
        <is>
          <t>[Manual]</t>
        </is>
      </c>
      <c r="H5" s="5" t="inlineStr">
        <is>
          <t>[Manual]</t>
        </is>
      </c>
      <c r="I5" s="5" t="inlineStr">
        <is>
          <t>[Manual]</t>
        </is>
      </c>
      <c r="J5" s="5" t="inlineStr">
        <is>
          <t>[Manual]</t>
        </is>
      </c>
      <c r="K5" s="5" t="inlineStr">
        <is>
          <t>[Manual]</t>
        </is>
      </c>
      <c r="L5" s="5" t="inlineStr">
        <is>
          <t>[Manual]</t>
        </is>
      </c>
      <c r="M5" s="5" t="inlineStr">
        <is>
          <t>[Manual]</t>
        </is>
      </c>
    </row>
    <row r="6">
      <c r="A6" t="inlineStr">
        <is>
          <t>P0 Count (M026)</t>
        </is>
      </c>
      <c r="B6" s="5" t="inlineStr">
        <is>
          <t>[Manual]</t>
        </is>
      </c>
      <c r="C6" s="5" t="inlineStr">
        <is>
          <t>[Manual]</t>
        </is>
      </c>
      <c r="D6" s="5" t="inlineStr">
        <is>
          <t>[Manual]</t>
        </is>
      </c>
      <c r="E6" s="5" t="inlineStr">
        <is>
          <t>[Manual]</t>
        </is>
      </c>
      <c r="F6" s="5" t="inlineStr">
        <is>
          <t>[Manual]</t>
        </is>
      </c>
      <c r="G6" s="5" t="inlineStr">
        <is>
          <t>[Manual]</t>
        </is>
      </c>
      <c r="H6" s="5" t="inlineStr">
        <is>
          <t>[Manual]</t>
        </is>
      </c>
      <c r="I6" s="5" t="inlineStr">
        <is>
          <t>[Manual]</t>
        </is>
      </c>
      <c r="J6" s="5" t="inlineStr">
        <is>
          <t>[Manual]</t>
        </is>
      </c>
      <c r="K6" s="5" t="inlineStr">
        <is>
          <t>[Manual]</t>
        </is>
      </c>
      <c r="L6" s="5" t="inlineStr">
        <is>
          <t>[Manual]</t>
        </is>
      </c>
      <c r="M6" s="5" t="inlineStr">
        <is>
          <t>[Manual]</t>
        </is>
      </c>
    </row>
    <row r="7">
      <c r="A7" t="inlineStr">
        <is>
          <t>SLA Compliance (M031)</t>
        </is>
      </c>
      <c r="B7" s="5" t="inlineStr">
        <is>
          <t>[Manual]</t>
        </is>
      </c>
      <c r="C7" s="5" t="inlineStr">
        <is>
          <t>[Manual]</t>
        </is>
      </c>
      <c r="D7" s="5" t="inlineStr">
        <is>
          <t>[Manual]</t>
        </is>
      </c>
      <c r="E7" s="5" t="inlineStr">
        <is>
          <t>[Manual]</t>
        </is>
      </c>
      <c r="F7" s="5" t="inlineStr">
        <is>
          <t>[Manual]</t>
        </is>
      </c>
      <c r="G7" s="5" t="inlineStr">
        <is>
          <t>[Manual]</t>
        </is>
      </c>
      <c r="H7" s="5" t="inlineStr">
        <is>
          <t>[Manual]</t>
        </is>
      </c>
      <c r="I7" s="5" t="inlineStr">
        <is>
          <t>[Manual]</t>
        </is>
      </c>
      <c r="J7" s="5" t="inlineStr">
        <is>
          <t>[Manual]</t>
        </is>
      </c>
      <c r="K7" s="5" t="inlineStr">
        <is>
          <t>[Manual]</t>
        </is>
      </c>
      <c r="L7" s="5" t="inlineStr">
        <is>
          <t>[Manual]</t>
        </is>
      </c>
      <c r="M7" s="5" t="inlineStr">
        <is>
          <t>[Manual]</t>
        </is>
      </c>
    </row>
    <row r="8">
      <c r="A8" t="inlineStr">
        <is>
          <t>Critical Risk (M022)</t>
        </is>
      </c>
      <c r="B8" s="5" t="inlineStr">
        <is>
          <t>[Manual]</t>
        </is>
      </c>
      <c r="C8" s="5" t="inlineStr">
        <is>
          <t>[Manual]</t>
        </is>
      </c>
      <c r="D8" s="5" t="inlineStr">
        <is>
          <t>[Manual]</t>
        </is>
      </c>
      <c r="E8" s="5" t="inlineStr">
        <is>
          <t>[Manual]</t>
        </is>
      </c>
      <c r="F8" s="5" t="inlineStr">
        <is>
          <t>[Manual]</t>
        </is>
      </c>
      <c r="G8" s="5" t="inlineStr">
        <is>
          <t>[Manual]</t>
        </is>
      </c>
      <c r="H8" s="5" t="inlineStr">
        <is>
          <t>[Manual]</t>
        </is>
      </c>
      <c r="I8" s="5" t="inlineStr">
        <is>
          <t>[Manual]</t>
        </is>
      </c>
      <c r="J8" s="5" t="inlineStr">
        <is>
          <t>[Manual]</t>
        </is>
      </c>
      <c r="K8" s="5" t="inlineStr">
        <is>
          <t>[Manual]</t>
        </is>
      </c>
      <c r="L8" s="5" t="inlineStr">
        <is>
          <t>[Manual]</t>
        </is>
      </c>
      <c r="M8" s="5" t="inlineStr">
        <is>
          <t>[Manual]</t>
        </is>
      </c>
    </row>
    <row r="9">
      <c r="A9" t="inlineStr">
        <is>
          <t>Deployment Success (M039)</t>
        </is>
      </c>
      <c r="B9" s="5" t="inlineStr">
        <is>
          <t>[Manual]</t>
        </is>
      </c>
      <c r="C9" s="5" t="inlineStr">
        <is>
          <t>[Manual]</t>
        </is>
      </c>
      <c r="D9" s="5" t="inlineStr">
        <is>
          <t>[Manual]</t>
        </is>
      </c>
      <c r="E9" s="5" t="inlineStr">
        <is>
          <t>[Manual]</t>
        </is>
      </c>
      <c r="F9" s="5" t="inlineStr">
        <is>
          <t>[Manual]</t>
        </is>
      </c>
      <c r="G9" s="5" t="inlineStr">
        <is>
          <t>[Manual]</t>
        </is>
      </c>
      <c r="H9" s="5" t="inlineStr">
        <is>
          <t>[Manual]</t>
        </is>
      </c>
      <c r="I9" s="5" t="inlineStr">
        <is>
          <t>[Manual]</t>
        </is>
      </c>
      <c r="J9" s="5" t="inlineStr">
        <is>
          <t>[Manual]</t>
        </is>
      </c>
      <c r="K9" s="5" t="inlineStr">
        <is>
          <t>[Manual]</t>
        </is>
      </c>
      <c r="L9" s="5" t="inlineStr">
        <is>
          <t>[Manual]</t>
        </is>
      </c>
      <c r="M9" s="5" t="inlineStr">
        <is>
          <t>[Manual]</t>
        </is>
      </c>
    </row>
    <row r="12">
      <c r="A12" s="15" t="inlineStr">
        <is>
          <t>⚠️ UPDATE MONTHLY: Copy current values from Metric_Definitions column P</t>
        </is>
      </c>
    </row>
  </sheetData>
  <mergeCells count="2">
    <mergeCell ref="A12:N1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9" t="inlineStr">
        <is>
          <t>QUARTERLY PERFORMANCE AGGREGATIONS</t>
        </is>
      </c>
    </row>
    <row r="3">
      <c r="A3" s="10" t="inlineStr">
        <is>
          <t>Metric</t>
        </is>
      </c>
      <c r="B3" s="10" t="inlineStr">
        <is>
          <t>Q1 2026</t>
        </is>
      </c>
      <c r="C3" s="10" t="inlineStr">
        <is>
          <t>Q2 2026</t>
        </is>
      </c>
      <c r="D3" s="10" t="inlineStr">
        <is>
          <t>Q3 2026</t>
        </is>
      </c>
      <c r="E3" s="10" t="inlineStr">
        <is>
          <t>Q4 2026</t>
        </is>
      </c>
      <c r="F3" s="10" t="inlineStr">
        <is>
          <t>YoY %</t>
        </is>
      </c>
    </row>
    <row r="4">
      <c r="A4" t="inlineStr">
        <is>
          <t>Vulns Discovered (Sum)</t>
        </is>
      </c>
      <c r="B4" s="5" t="inlineStr">
        <is>
          <t>[Manual Quarterly Data]</t>
        </is>
      </c>
      <c r="C4" s="5" t="inlineStr">
        <is>
          <t>[Manual Quarterly Data]</t>
        </is>
      </c>
      <c r="D4" s="5" t="inlineStr">
        <is>
          <t>[Manual Quarterly Data]</t>
        </is>
      </c>
      <c r="E4" s="5" t="inlineStr">
        <is>
          <t>[Manual Quarterly Data]</t>
        </is>
      </c>
    </row>
    <row r="5">
      <c r="A5" t="inlineStr">
        <is>
          <t>Vulns Closed (Sum)</t>
        </is>
      </c>
      <c r="B5" s="5" t="inlineStr">
        <is>
          <t>[Manual Quarterly Data]</t>
        </is>
      </c>
      <c r="C5" s="5" t="inlineStr">
        <is>
          <t>[Manual Quarterly Data]</t>
        </is>
      </c>
      <c r="D5" s="5" t="inlineStr">
        <is>
          <t>[Manual Quarterly Data]</t>
        </is>
      </c>
      <c r="E5" s="5" t="inlineStr">
        <is>
          <t>[Manual Quarterly Data]</t>
        </is>
      </c>
    </row>
    <row r="6">
      <c r="A6" t="inlineStr">
        <is>
          <t>SLA Compliance (Avg)</t>
        </is>
      </c>
      <c r="B6" s="5" t="inlineStr">
        <is>
          <t>[Manual Quarterly Data]</t>
        </is>
      </c>
      <c r="C6" s="5" t="inlineStr">
        <is>
          <t>[Manual Quarterly Data]</t>
        </is>
      </c>
      <c r="D6" s="5" t="inlineStr">
        <is>
          <t>[Manual Quarterly Data]</t>
        </is>
      </c>
      <c r="E6" s="5" t="inlineStr">
        <is>
          <t>[Manual Quarterly Data]</t>
        </is>
      </c>
    </row>
    <row r="7">
      <c r="A7" t="inlineStr">
        <is>
          <t>Deployment Success (Avg)</t>
        </is>
      </c>
      <c r="B7" s="5" t="inlineStr">
        <is>
          <t>[Manual Quarterly Data]</t>
        </is>
      </c>
      <c r="C7" s="5" t="inlineStr">
        <is>
          <t>[Manual Quarterly Data]</t>
        </is>
      </c>
      <c r="D7" s="5" t="inlineStr">
        <is>
          <t>[Manual Quarterly Data]</t>
        </is>
      </c>
      <c r="E7" s="5" t="inlineStr">
        <is>
          <t>[Manual Quarterly Data]</t>
        </is>
      </c>
    </row>
    <row r="8">
      <c r="A8" t="inlineStr">
        <is>
          <t>Verification Success (Avg)</t>
        </is>
      </c>
      <c r="B8" s="5" t="inlineStr">
        <is>
          <t>[Manual Quarterly Data]</t>
        </is>
      </c>
      <c r="C8" s="5" t="inlineStr">
        <is>
          <t>[Manual Quarterly Data]</t>
        </is>
      </c>
      <c r="D8" s="5" t="inlineStr">
        <is>
          <t>[Manual Quarterly Data]</t>
        </is>
      </c>
      <c r="E8" s="5" t="inlineStr">
        <is>
          <t>[Manual Quarterly Data]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 ht="35" customHeight="1">
      <c r="A1" s="16" t="inlineStr">
        <is>
          <t>VULNERABILITY MANAGEMENT EXECUTIVE DASHBOARD</t>
        </is>
      </c>
    </row>
    <row r="2">
      <c r="A2" s="17" t="inlineStr">
        <is>
          <t>Period: 31.01.2026</t>
        </is>
      </c>
      <c r="E2" s="18" t="inlineStr">
        <is>
          <t>Program Status: [Green/Yellow/Red]</t>
        </is>
      </c>
    </row>
    <row r="4" ht="25" customHeight="1">
      <c r="A4" s="19" t="inlineStr">
        <is>
          <t>🔴 CRITICAL METRICS (IMMEDIATE ATTENTION)</t>
        </is>
      </c>
    </row>
    <row r="6">
      <c r="A6" s="20" t="inlineStr">
        <is>
          <t>P0 Emergencies</t>
        </is>
      </c>
      <c r="E6" s="20" t="inlineStr">
        <is>
          <t>SLA Compliance %</t>
        </is>
      </c>
    </row>
    <row r="7">
      <c r="A7" s="21">
        <f>Metric_Definitions!P26</f>
        <v/>
      </c>
      <c r="E7" s="21">
        <f>Metric_Definitions!P31</f>
        <v/>
      </c>
    </row>
    <row r="8">
      <c r="A8" s="22" t="inlineStr">
        <is>
          <t>Target: &lt;5</t>
        </is>
      </c>
      <c r="E8" s="22" t="inlineStr">
        <is>
          <t>Target: &gt;95%</t>
        </is>
      </c>
    </row>
    <row r="10">
      <c r="A10" s="20" t="inlineStr">
        <is>
          <t>Critical Residual Risk</t>
        </is>
      </c>
      <c r="E10" s="20" t="inlineStr">
        <is>
          <t>Verification Success %</t>
        </is>
      </c>
    </row>
    <row r="11">
      <c r="A11" s="21">
        <f>Metric_Definitions!P62</f>
        <v/>
      </c>
      <c r="E11" s="21">
        <f>Metric_Definitions!P53</f>
        <v/>
      </c>
    </row>
    <row r="12">
      <c r="A12" s="22" t="inlineStr">
        <is>
          <t>Target: 0</t>
        </is>
      </c>
      <c r="E12" s="22" t="inlineStr">
        <is>
          <t>Target: &gt;95%</t>
        </is>
      </c>
    </row>
    <row r="14">
      <c r="A14" s="6" t="inlineStr">
        <is>
          <t>📊 OPERATIONAL HEALTH (10 KEY METRICS)</t>
        </is>
      </c>
    </row>
    <row r="16">
      <c r="A16" s="10" t="inlineStr">
        <is>
          <t>Metric</t>
        </is>
      </c>
      <c r="B16" s="10" t="inlineStr">
        <is>
          <t>Current</t>
        </is>
      </c>
      <c r="C16" s="10" t="inlineStr">
        <is>
          <t>Target</t>
        </is>
      </c>
      <c r="D16" s="10" t="inlineStr">
        <is>
          <t>Status</t>
        </is>
      </c>
    </row>
    <row r="17">
      <c r="A17" t="inlineStr">
        <is>
          <t>Scanner Uptime %</t>
        </is>
      </c>
      <c r="B17" s="11">
        <f>Metric_Definitions!P6</f>
        <v/>
      </c>
      <c r="C17" t="inlineStr">
        <is>
          <t>&gt;99%</t>
        </is>
      </c>
      <c r="D17" s="5" t="inlineStr">
        <is>
          <t>✅</t>
        </is>
      </c>
    </row>
    <row r="18">
      <c r="A18" t="inlineStr">
        <is>
          <t>Network Coverage %</t>
        </is>
      </c>
      <c r="B18" s="11">
        <f>Metric_Definitions!P8</f>
        <v/>
      </c>
      <c r="C18" t="inlineStr">
        <is>
          <t>100%</t>
        </is>
      </c>
      <c r="D18" s="5" t="inlineStr">
        <is>
          <t>✅</t>
        </is>
      </c>
    </row>
    <row r="19">
      <c r="A19" t="inlineStr">
        <is>
          <t>Deployment Success %</t>
        </is>
      </c>
      <c r="B19" s="11">
        <f>Metric_Definitions!P39</f>
        <v/>
      </c>
      <c r="C19" t="inlineStr">
        <is>
          <t>&gt;98%</t>
        </is>
      </c>
      <c r="D19" s="5" t="inlineStr">
        <is>
          <t>✅</t>
        </is>
      </c>
    </row>
    <row r="20">
      <c r="A20" t="inlineStr">
        <is>
          <t>Avg Remediation Time</t>
        </is>
      </c>
      <c r="B20" s="11">
        <f>Metric_Definitions!P38</f>
        <v/>
      </c>
      <c r="C20" t="inlineStr">
        <is>
          <t>&lt;14d</t>
        </is>
      </c>
      <c r="D20" s="5" t="inlineStr">
        <is>
          <t>✅</t>
        </is>
      </c>
    </row>
    <row r="21">
      <c r="A21" t="inlineStr">
        <is>
          <t>Active Exceptions</t>
        </is>
      </c>
      <c r="B21" s="11">
        <f>Metric_Definitions!P61</f>
        <v/>
      </c>
      <c r="C21" t="inlineStr">
        <is>
          <t>&lt;30</t>
        </is>
      </c>
      <c r="D21" s="5" t="inlineStr">
        <is>
          <t>✅</t>
        </is>
      </c>
    </row>
    <row r="22">
      <c r="A22" t="inlineStr">
        <is>
          <t>Wormable Vulns</t>
        </is>
      </c>
      <c r="B22" s="11">
        <f>Metric_Definitions!P16</f>
        <v/>
      </c>
      <c r="C22" t="inlineStr">
        <is>
          <t>0</t>
        </is>
      </c>
      <c r="D22" s="5" t="inlineStr">
        <is>
          <t>✅</t>
        </is>
      </c>
    </row>
    <row r="23">
      <c r="A23" t="inlineStr">
        <is>
          <t>KEV Vulns</t>
        </is>
      </c>
      <c r="B23" s="11">
        <f>Metric_Definitions!P18</f>
        <v/>
      </c>
      <c r="C23" t="inlineStr">
        <is>
          <t>0</t>
        </is>
      </c>
      <c r="D23" s="5" t="inlineStr">
        <is>
          <t>✅</t>
        </is>
      </c>
    </row>
    <row r="24">
      <c r="A24" t="inlineStr">
        <is>
          <t>Overdue Vulns</t>
        </is>
      </c>
      <c r="B24" s="11">
        <f>Metric_Definitions!P32</f>
        <v/>
      </c>
      <c r="C24" t="inlineStr">
        <is>
          <t>0</t>
        </is>
      </c>
      <c r="D24" s="5" t="inlineStr">
        <is>
          <t>✅</t>
        </is>
      </c>
    </row>
    <row r="25">
      <c r="A25" t="inlineStr">
        <is>
          <t>Failed Verifications</t>
        </is>
      </c>
      <c r="B25" s="11">
        <f>Metric_Definitions!P55</f>
        <v/>
      </c>
      <c r="C25" t="inlineStr">
        <is>
          <t>0</t>
        </is>
      </c>
      <c r="D25" s="5" t="inlineStr">
        <is>
          <t>✅</t>
        </is>
      </c>
    </row>
    <row r="26">
      <c r="A26" t="inlineStr">
        <is>
          <t>Expired Exceptions</t>
        </is>
      </c>
      <c r="B26" s="11">
        <f>Metric_Definitions!P65</f>
        <v/>
      </c>
      <c r="C26" t="inlineStr">
        <is>
          <t>0</t>
        </is>
      </c>
      <c r="D26" s="5" t="inlineStr">
        <is>
          <t>✅</t>
        </is>
      </c>
    </row>
    <row r="28">
      <c r="A28" s="6" t="inlineStr">
        <is>
          <t>💬 EXECUTIVE SUMMARY (MANUAL INPUT)</t>
        </is>
      </c>
    </row>
    <row r="29" ht="50" customHeight="1">
      <c r="A29" s="23" t="inlineStr">
        <is>
          <t>[Program Status - Update monthly with key achievements, issues, initiatives]</t>
        </is>
      </c>
    </row>
    <row r="30"/>
    <row r="31"/>
    <row r="33">
      <c r="A33" s="4" t="inlineStr">
        <is>
          <t>CISO Approval: _______________</t>
        </is>
      </c>
      <c r="E33" s="4" t="inlineStr">
        <is>
          <t>Date: _______________</t>
        </is>
      </c>
    </row>
  </sheetData>
  <mergeCells count="21">
    <mergeCell ref="A8:D8"/>
    <mergeCell ref="E7:H7"/>
    <mergeCell ref="A1:H1"/>
    <mergeCell ref="A10:D10"/>
    <mergeCell ref="E12:H12"/>
    <mergeCell ref="A11:D11"/>
    <mergeCell ref="E33:H33"/>
    <mergeCell ref="A6:D6"/>
    <mergeCell ref="E8:H8"/>
    <mergeCell ref="A7:D7"/>
    <mergeCell ref="A14:H14"/>
    <mergeCell ref="E10:H10"/>
    <mergeCell ref="A4:H4"/>
    <mergeCell ref="A12:D12"/>
    <mergeCell ref="A29:H31"/>
    <mergeCell ref="E6:H6"/>
    <mergeCell ref="A28:H28"/>
    <mergeCell ref="A2:D2"/>
    <mergeCell ref="A33:D33"/>
    <mergeCell ref="E11:H11"/>
    <mergeCell ref="E2:H2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2" customWidth="1" min="4" max="4"/>
    <col width="18" customWidth="1" min="5" max="5"/>
    <col width="20" customWidth="1" min="6" max="6"/>
  </cols>
  <sheetData>
    <row r="1">
      <c r="A1" s="9" t="inlineStr">
        <is>
          <t>INDUSTRY BENCHMARK COMPARISON</t>
        </is>
      </c>
    </row>
    <row r="3">
      <c r="A3" s="10" t="inlineStr">
        <is>
          <t>Metric</t>
        </is>
      </c>
      <c r="B3" s="10" t="inlineStr">
        <is>
          <t>Industry Benchmark</t>
        </is>
      </c>
      <c r="C3" s="10" t="inlineStr">
        <is>
          <t>Our Current</t>
        </is>
      </c>
      <c r="D3" s="10" t="inlineStr">
        <is>
          <t>Gap %</t>
        </is>
      </c>
      <c r="E3" s="10" t="inlineStr">
        <is>
          <t>Status</t>
        </is>
      </c>
      <c r="F3" s="10" t="inlineStr">
        <is>
          <t>Source</t>
        </is>
      </c>
    </row>
    <row r="4">
      <c r="A4" t="inlineStr">
        <is>
          <t>SLA Compliance</t>
        </is>
      </c>
      <c r="B4" t="inlineStr">
        <is>
          <t>93%</t>
        </is>
      </c>
      <c r="C4" s="11">
        <f>Metric_Definitions!P31</f>
        <v/>
      </c>
      <c r="D4" s="11">
        <f>IF(ISNUMBER(C{idx}),C{idx}-VALUE(B{idx}),"N/A")</f>
        <v/>
      </c>
      <c r="E4">
        <f>IF(D4="N/A","Track",IF(D4&gt;=0,"🟢 Exceeding","🔴 Below"))</f>
        <v/>
      </c>
      <c r="F4" t="inlineStr">
        <is>
          <t>SANS 2024</t>
        </is>
      </c>
    </row>
    <row r="5">
      <c r="A5" t="inlineStr">
        <is>
          <t>Avg Remediation Time</t>
        </is>
      </c>
      <c r="B5" t="inlineStr">
        <is>
          <t>18 days</t>
        </is>
      </c>
      <c r="C5" s="11">
        <f>Metric_Definitions!P38</f>
        <v/>
      </c>
      <c r="D5" s="11">
        <f>IF(ISNUMBER(C{idx}),C{idx}-VALUE(B{idx}),"N/A")</f>
        <v/>
      </c>
      <c r="E5">
        <f>IF(D5="N/A","Track",IF(D5&gt;=0,"🟢 Exceeding","🔴 Below"))</f>
        <v/>
      </c>
      <c r="F5" t="inlineStr">
        <is>
          <t>SANS 2024</t>
        </is>
      </c>
    </row>
    <row r="6">
      <c r="A6" t="inlineStr">
        <is>
          <t>Deployment Success</t>
        </is>
      </c>
      <c r="B6" t="inlineStr">
        <is>
          <t>96%</t>
        </is>
      </c>
      <c r="C6" s="11">
        <f>Metric_Definitions!P39</f>
        <v/>
      </c>
      <c r="D6" s="11">
        <f>IF(ISNUMBER(C{idx}),C{idx}-VALUE(B{idx}),"N/A")</f>
        <v/>
      </c>
      <c r="E6">
        <f>IF(D6="N/A","Track",IF(D6&gt;=0,"🟢 Exceeding","🔴 Below"))</f>
        <v/>
      </c>
      <c r="F6" t="inlineStr">
        <is>
          <t>SANS 2024</t>
        </is>
      </c>
    </row>
    <row r="7">
      <c r="A7" t="inlineStr">
        <is>
          <t>Verification Success</t>
        </is>
      </c>
      <c r="B7" t="inlineStr">
        <is>
          <t>92%</t>
        </is>
      </c>
      <c r="C7" s="11">
        <f>Metric_Definitions!P53</f>
        <v/>
      </c>
      <c r="D7" s="11">
        <f>IF(ISNUMBER(C{idx}),C{idx}-VALUE(B{idx}),"N/A")</f>
        <v/>
      </c>
      <c r="E7">
        <f>IF(D7="N/A","Track",IF(D7&gt;=0,"🟢 Exceeding","🔴 Below"))</f>
        <v/>
      </c>
      <c r="F7" t="inlineStr">
        <is>
          <t>SANS 2024</t>
        </is>
      </c>
    </row>
    <row r="8">
      <c r="A8" t="inlineStr">
        <is>
          <t>Scanner Uptime</t>
        </is>
      </c>
      <c r="B8" t="inlineStr">
        <is>
          <t>99.5%</t>
        </is>
      </c>
      <c r="C8" s="11">
        <f>Metric_Definitions!P6</f>
        <v/>
      </c>
      <c r="D8" s="11">
        <f>IF(ISNUMBER(C{idx}),C{idx}-VALUE(B{idx}),"N/A")</f>
        <v/>
      </c>
      <c r="E8">
        <f>IF(D8="N/A","Track",IF(D8&gt;=0,"🟢 Exceeding","🔴 Below"))</f>
        <v/>
      </c>
      <c r="F8" t="inlineStr">
        <is>
          <t>SANS 2024</t>
        </is>
      </c>
    </row>
    <row r="9">
      <c r="A9" t="inlineStr">
        <is>
          <t>Network Coverage</t>
        </is>
      </c>
      <c r="B9" t="inlineStr">
        <is>
          <t>98%</t>
        </is>
      </c>
      <c r="C9" s="11">
        <f>Metric_Definitions!P8</f>
        <v/>
      </c>
      <c r="D9" s="11">
        <f>IF(ISNUMBER(C{idx}),C{idx}-VALUE(B{idx}),"N/A")</f>
        <v/>
      </c>
      <c r="E9">
        <f>IF(D9="N/A","Track",IF(D9&gt;=0,"🟢 Exceeding","🔴 Below"))</f>
        <v/>
      </c>
      <c r="F9" t="inlineStr">
        <is>
          <t>SANS 2024</t>
        </is>
      </c>
    </row>
    <row r="10">
      <c r="A10" t="inlineStr">
        <is>
          <t>MTTR (Days)</t>
        </is>
      </c>
      <c r="B10" t="inlineStr">
        <is>
          <t>21</t>
        </is>
      </c>
      <c r="C10" s="11">
        <f>Metric_Definitions!P38</f>
        <v/>
      </c>
      <c r="D10" s="11">
        <f>IF(ISNUMBER(C{idx}),C{idx}-VALUE(B{idx}),"N/A")</f>
        <v/>
      </c>
      <c r="E10">
        <f>IF(D10="N/A","Track",IF(D10&gt;=0,"🟢 Exceeding","🔴 Below"))</f>
        <v/>
      </c>
      <c r="F10" t="inlineStr">
        <is>
          <t>Ponemon 2024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2026-01-31T02:16:46Z</dcterms:created>
  <dcterms:modified xmlns:dcterms="http://purl.org/dc/terms/" xmlns:xsi="http://www.w3.org/2001/XMLSchema-instance" xsi:type="dcterms:W3CDTF">2026-01-31T02:16:47Z</dcterms:modified>
</cp:coreProperties>
</file>