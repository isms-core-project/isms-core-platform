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erification_Queue" sheetId="2" state="visible" r:id="rId2"/>
    <sheet xmlns:r="http://schemas.openxmlformats.org/officeDocument/2006/relationships" name="Test_Plans" sheetId="3" state="visible" r:id="rId3"/>
    <sheet xmlns:r="http://schemas.openxmlformats.org/officeDocument/2006/relationships" name="Execution_Log" sheetId="4" state="visible" r:id="rId4"/>
    <sheet xmlns:r="http://schemas.openxmlformats.org/officeDocument/2006/relationships" name="Scan_Results" sheetId="5" state="visible" r:id="rId5"/>
    <sheet xmlns:r="http://schemas.openxmlformats.org/officeDocument/2006/relationships" name="Manual_Verification" sheetId="6" state="visible" r:id="rId6"/>
    <sheet xmlns:r="http://schemas.openxmlformats.org/officeDocument/2006/relationships" name="Re_Remediation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4"/>
    </font>
    <font>
      <name val="Calibri"/>
      <b val="1"/>
      <color rgb="00FFFFFF"/>
      <sz val="1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B6C1"/>
          <bgColor rgb="00FFB6C1"/>
        </patternFill>
      </fill>
    </dxf>
    <dxf>
      <font>
        <b val="1"/>
        <color rgb="00000000"/>
      </font>
      <fill>
        <patternFill patternType="solid">
          <fgColor rgb="00FF8C00"/>
          <bgColor rgb="00FF8C00"/>
        </patternFill>
      </fill>
    </dxf>
    <dxf>
      <fill>
        <patternFill patternType="solid">
          <fgColor rgb="00FFFF00"/>
          <bgColor rgb="00FFFF00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>
      <c r="A1" s="1" t="inlineStr">
        <is>
          <t>Workbook ID</t>
        </is>
      </c>
      <c r="B1" t="inlineStr">
        <is>
          <t>ISMS-IMP-A.8.8.11</t>
        </is>
      </c>
    </row>
    <row r="2">
      <c r="A2" s="1" t="inlineStr">
        <is>
          <t>Title</t>
        </is>
      </c>
      <c r="B2" t="inlineStr">
        <is>
          <t>Vulnerability Verification Testing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31.01.2026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Classification</t>
        </is>
      </c>
      <c r="B7" t="inlineStr">
        <is>
          <t>Internal</t>
        </is>
      </c>
    </row>
    <row r="8">
      <c r="A8" s="1" t="inlineStr">
        <is>
          <t>Review Cycle</t>
        </is>
      </c>
      <c r="B8" t="inlineStr">
        <is>
          <t>Monthly</t>
        </is>
      </c>
    </row>
    <row r="12">
      <c r="A12" s="2" t="inlineStr">
        <is>
          <t>QUICK STATISTICS</t>
        </is>
      </c>
    </row>
    <row r="13">
      <c r="A13" s="3" t="inlineStr">
        <is>
          <t>Metric</t>
        </is>
      </c>
      <c r="B13" s="3" t="inlineStr">
        <is>
          <t>Formula/Source</t>
        </is>
      </c>
      <c r="C13" s="3" t="inlineStr">
        <is>
          <t>Target</t>
        </is>
      </c>
    </row>
    <row r="14">
      <c r="A14" t="inlineStr">
        <is>
          <t>Total Pending Verifications</t>
        </is>
      </c>
      <c r="B14">
        <f>COUNTA(Verification_Queue!A:A)-1</f>
        <v/>
      </c>
      <c r="C14" t="inlineStr">
        <is>
          <t>-</t>
        </is>
      </c>
    </row>
    <row r="15">
      <c r="A15" t="inlineStr">
        <is>
          <t>Overdue Verifications</t>
        </is>
      </c>
      <c r="B15">
        <f>COUNTIF(Verification_Queue!AB:AB,"Overdue")</f>
        <v/>
      </c>
      <c r="C15" t="inlineStr">
        <is>
          <t>0</t>
        </is>
      </c>
    </row>
    <row r="16">
      <c r="A16" t="inlineStr">
        <is>
          <t>P0/P1 Pending</t>
        </is>
      </c>
      <c r="B16">
        <f>COUNTIFS(Verification_Queue!T:T,"P0")+COUNTIFS(Verification_Queue!T:T,"P1")</f>
        <v/>
      </c>
      <c r="C16" t="inlineStr">
        <is>
          <t>&lt;5</t>
        </is>
      </c>
    </row>
    <row r="17">
      <c r="A17" t="inlineStr">
        <is>
          <t>Verifications This Month</t>
        </is>
      </c>
      <c r="B17">
        <f>COUNTIFS(Execution_Log!C:C,"&gt;="&amp;EOMONTH(TODAY(),-1)+1)</f>
        <v/>
      </c>
      <c r="C17" t="inlineStr">
        <is>
          <t>-</t>
        </is>
      </c>
    </row>
    <row r="18">
      <c r="A18" t="inlineStr">
        <is>
          <t>Verification Success Rate</t>
        </is>
      </c>
      <c r="B18">
        <f>IFERROR(Passed/(Passed+Failed),0)</f>
        <v/>
      </c>
      <c r="C18" t="inlineStr">
        <is>
          <t>&gt;95%</t>
        </is>
      </c>
    </row>
    <row r="19">
      <c r="A19" t="inlineStr">
        <is>
          <t>Avg Time to Verify (Days)</t>
        </is>
      </c>
      <c r="B19">
        <f>IFERROR(AVERAGE(Execution_Log!O:O),0)</f>
        <v/>
      </c>
      <c r="C19" t="inlineStr">
        <is>
          <t>&lt;2</t>
        </is>
      </c>
    </row>
    <row r="20">
      <c r="A20" t="inlineStr">
        <is>
          <t>Re-Remediation Cases</t>
        </is>
      </c>
      <c r="B20">
        <f>COUNTA(Re_Remediation!A:A)-1</f>
        <v/>
      </c>
      <c r="C20" t="inlineStr">
        <is>
          <t>&lt;10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0" customWidth="1" min="4" max="4"/>
    <col width="30" customWidth="1" min="5" max="5"/>
    <col width="16" customWidth="1" min="6" max="6"/>
    <col width="14" customWidth="1" min="7" max="7"/>
    <col width="20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2" customWidth="1" min="21" max="21"/>
    <col width="18" customWidth="1" min="22" max="22"/>
    <col width="20" customWidth="1" min="23" max="23"/>
    <col width="20" customWidth="1" min="24" max="24"/>
    <col width="14" customWidth="1" min="25" max="25"/>
    <col width="12" customWidth="1" min="26" max="26"/>
    <col width="12" customWidth="1" min="27" max="27"/>
    <col width="14" customWidth="1" min="28" max="28"/>
    <col width="20" customWidth="1" min="29" max="29"/>
    <col width="12" customWidth="1" min="30" max="30"/>
    <col width="16" customWidth="1" min="31" max="31"/>
    <col width="50" customWidth="1" min="32" max="32"/>
  </cols>
  <sheetData>
    <row r="1">
      <c r="A1" s="4" t="inlineStr">
        <is>
          <t>Verification_ID</t>
        </is>
      </c>
      <c r="B1" s="4" t="inlineStr">
        <is>
          <t>Vuln_ID</t>
        </is>
      </c>
      <c r="C1" s="4" t="inlineStr">
        <is>
          <t>CVE_ID</t>
        </is>
      </c>
      <c r="D1" s="4" t="inlineStr">
        <is>
          <t>Vulnerability_Title</t>
        </is>
      </c>
      <c r="E1" s="4" t="inlineStr">
        <is>
          <t>Affected_System</t>
        </is>
      </c>
      <c r="F1" s="4" t="inlineStr">
        <is>
          <t>System_Type</t>
        </is>
      </c>
      <c r="G1" s="4" t="inlineStr">
        <is>
          <t>Environment</t>
        </is>
      </c>
      <c r="H1" s="4" t="inlineStr">
        <is>
          <t>Asset_Owner</t>
        </is>
      </c>
      <c r="I1" s="4" t="inlineStr">
        <is>
          <t>Discovery_Date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Final_Priority</t>
        </is>
      </c>
      <c r="U1" s="4" t="inlineStr">
        <is>
          <t>Remediation_Date</t>
        </is>
      </c>
      <c r="V1" s="4" t="inlineStr">
        <is>
          <t>Remediation_Type</t>
        </is>
      </c>
      <c r="W1" s="4" t="inlineStr">
        <is>
          <t>Deployed_By</t>
        </is>
      </c>
      <c r="X1" s="4" t="inlineStr">
        <is>
          <t>Verification_Method</t>
        </is>
      </c>
      <c r="Y1" s="4" t="inlineStr">
        <is>
          <t>Verification_SLA_Days</t>
        </is>
      </c>
      <c r="Z1" s="4" t="inlineStr">
        <is>
          <t>Verification_Due_Date</t>
        </is>
      </c>
      <c r="AA1" s="4" t="inlineStr">
        <is>
          <t>Days_Until_Due</t>
        </is>
      </c>
      <c r="AB1" s="4" t="inlineStr">
        <is>
          <t>SLA_Status</t>
        </is>
      </c>
      <c r="AC1" s="4" t="inlineStr">
        <is>
          <t>Assigned_To</t>
        </is>
      </c>
      <c r="AD1" s="4" t="inlineStr">
        <is>
          <t>Assignment_Date</t>
        </is>
      </c>
      <c r="AE1" s="4" t="inlineStr">
        <is>
          <t>Status</t>
        </is>
      </c>
      <c r="AF1" s="4" t="inlineStr">
        <is>
          <t>Notes</t>
        </is>
      </c>
    </row>
    <row r="2">
      <c r="A2" t="inlineStr">
        <is>
          <t>VER-2026-001</t>
        </is>
      </c>
      <c r="B2" t="inlineStr">
        <is>
          <t>VULN-2026-001</t>
        </is>
      </c>
      <c r="D2" t="inlineStr">
        <is>
          <t>Critical RCE in Web Server</t>
        </is>
      </c>
      <c r="E2" t="inlineStr">
        <is>
          <t>web-prod-01.example.com</t>
        </is>
      </c>
      <c r="F2" t="inlineStr">
        <is>
          <t>Server</t>
        </is>
      </c>
      <c r="G2" t="inlineStr">
        <is>
          <t>Production</t>
        </is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9.800000000000001</v>
      </c>
      <c r="P2" t="inlineStr">
        <is>
          <t>Y</t>
        </is>
      </c>
      <c r="Q2" t="inlineStr">
        <is>
          <t>N</t>
        </is>
      </c>
      <c r="R2" t="inlineStr">
        <is>
          <t>NVD</t>
        </is>
      </c>
      <c r="T2" t="inlineStr">
        <is>
          <t>P0</t>
        </is>
      </c>
      <c r="U2" s="5" t="n">
        <v>46032</v>
      </c>
      <c r="V2" t="inlineStr">
        <is>
          <t>Patch</t>
        </is>
      </c>
      <c r="X2" t="inlineStr">
        <is>
          <t>Vulnerability Scan</t>
        </is>
      </c>
      <c r="Y2">
        <f>IF(T2="P0",1,IF(T2="P1",3,IF(T2="P2",7,IF(T2="P3",30,IF(T2="P4",30,7)))))</f>
        <v/>
      </c>
      <c r="Z2">
        <f>IF(U2&lt;&gt;"",U2+Y2,"")</f>
        <v/>
      </c>
      <c r="AA2">
        <f>IF(Z2&lt;&gt;"",Z2-TODAY(),"")</f>
        <v/>
      </c>
      <c r="AB2">
        <f>IF(AA2&lt;&gt;"",IF(AA2&lt;0,"Overdue",IF(AA2&lt;=Y2*0.2,"At Risk","On Time")),"")</f>
        <v/>
      </c>
      <c r="AE2" t="inlineStr">
        <is>
          <t>Pending</t>
        </is>
      </c>
    </row>
    <row r="3">
      <c r="A3" t="inlineStr">
        <is>
          <t>VER-2026-002</t>
        </is>
      </c>
      <c r="B3" t="inlineStr">
        <is>
          <t>VULN-2026-010</t>
        </is>
      </c>
      <c r="D3" t="inlineStr">
        <is>
          <t>SQL Injection</t>
        </is>
      </c>
      <c r="J3" t="inlineStr">
        <is>
          <t>v4.0</t>
        </is>
      </c>
      <c r="K3">
        <f>IF(J3="v4.0",L3,IF(J3="v3.1",M3,IF(J3="Both",L3,IF(AND(L3&lt;&gt;"",M3=""),L3,M3))))</f>
        <v/>
      </c>
      <c r="L3" t="n">
        <v>8.1</v>
      </c>
      <c r="T3" t="inlineStr">
        <is>
          <t>P1</t>
        </is>
      </c>
      <c r="U3" s="5" t="n">
        <v>46031</v>
      </c>
      <c r="X3" t="inlineStr">
        <is>
          <t>Penetration Test</t>
        </is>
      </c>
      <c r="Y3">
        <f>IF(T3="P0",1,IF(T3="P1",3,IF(T3="P2",7,IF(T3="P3",30,IF(T3="P4",30,7)))))</f>
        <v/>
      </c>
      <c r="Z3">
        <f>IF(U3&lt;&gt;"",U3+Y3,"")</f>
        <v/>
      </c>
      <c r="AA3">
        <f>IF(Z3&lt;&gt;"",Z3-TODAY(),"")</f>
        <v/>
      </c>
      <c r="AB3">
        <f>IF(AA3&lt;&gt;"",IF(AA3&lt;0,"Overdue",IF(AA3&lt;=Y3*0.2,"At Risk","On Time")),"")</f>
        <v/>
      </c>
      <c r="AC3" t="inlineStr">
        <is>
          <t>Security Engineer</t>
        </is>
      </c>
      <c r="AE3" t="inlineStr">
        <is>
          <t>In Progress</t>
        </is>
      </c>
    </row>
    <row r="4">
      <c r="A4" t="inlineStr">
        <is>
          <t>VER-2026-003</t>
        </is>
      </c>
      <c r="K4">
        <f>IF(J4="v4.0",L4,IF(J4="v3.1",M4,IF(J4="Both",L4,IF(AND(L4&lt;&gt;"",M4=""),L4,M4))))</f>
        <v/>
      </c>
      <c r="T4" t="inlineStr">
        <is>
          <t>P2</t>
        </is>
      </c>
      <c r="U4" s="5" t="n">
        <v>46027</v>
      </c>
      <c r="X4" t="inlineStr">
        <is>
          <t>Vulnerability Scan</t>
        </is>
      </c>
      <c r="Y4">
        <f>IF(T4="P0",1,IF(T4="P1",3,IF(T4="P2",7,IF(T4="P3",30,IF(T4="P4",30,7)))))</f>
        <v/>
      </c>
      <c r="Z4">
        <f>IF(U4&lt;&gt;"",U4+Y4,"")</f>
        <v/>
      </c>
      <c r="AA4">
        <f>IF(Z4&lt;&gt;"",Z4-TODAY(),"")</f>
        <v/>
      </c>
      <c r="AB4">
        <f>IF(AA4&lt;&gt;"",IF(AA4&lt;0,"Overdue",IF(AA4&lt;=Y4*0.2,"At Risk","On Time")),"")</f>
        <v/>
      </c>
      <c r="AE4" t="inlineStr">
        <is>
          <t>Complete</t>
        </is>
      </c>
    </row>
    <row r="5">
      <c r="A5" t="inlineStr">
        <is>
          <t>VER-2026-004</t>
        </is>
      </c>
      <c r="K5">
        <f>IF(J5="v4.0",L5,IF(J5="v3.1",M5,IF(J5="Both",L5,IF(AND(L5&lt;&gt;"",M5=""),L5,M5))))</f>
        <v/>
      </c>
      <c r="T5" t="inlineStr">
        <is>
          <t>P2</t>
        </is>
      </c>
      <c r="U5" s="5" t="n">
        <v>46030</v>
      </c>
      <c r="X5" t="inlineStr">
        <is>
          <t>Manual Verification</t>
        </is>
      </c>
      <c r="Y5">
        <f>IF(T5="P0",1,IF(T5="P1",3,IF(T5="P2",7,IF(T5="P3",30,IF(T5="P4",30,7)))))</f>
        <v/>
      </c>
      <c r="Z5">
        <f>IF(U5&lt;&gt;"",U5+Y5,"")</f>
        <v/>
      </c>
      <c r="AA5">
        <f>IF(Z5&lt;&gt;"",Z5-TODAY(),"")</f>
        <v/>
      </c>
      <c r="AB5">
        <f>IF(AA5&lt;&gt;"",IF(AA5&lt;0,"Overdue",IF(AA5&lt;=Y5*0.2,"At Risk","On Time")),"")</f>
        <v/>
      </c>
      <c r="AE5" t="inlineStr">
        <is>
          <t>Failed</t>
        </is>
      </c>
    </row>
    <row r="6">
      <c r="K6">
        <f>IF(J6="v4.0",L6,IF(J6="v3.1",M6,IF(J6="Both",L6,IF(AND(L6&lt;&gt;"",M6=""),L6,M6))))</f>
        <v/>
      </c>
      <c r="Y6">
        <f>IF(T6="P0",1,IF(T6="P1",3,IF(T6="P2",7,IF(T6="P3",30,IF(T6="P4",30,7)))))</f>
        <v/>
      </c>
      <c r="Z6">
        <f>IF(U6&lt;&gt;"",U6+Y6,"")</f>
        <v/>
      </c>
      <c r="AA6">
        <f>IF(Z6&lt;&gt;"",Z6-TODAY(),"")</f>
        <v/>
      </c>
      <c r="AB6">
        <f>IF(AA6&lt;&gt;"",IF(AA6&lt;0,"Overdue",IF(AA6&lt;=Y6*0.2,"At Risk","On Time")),"")</f>
        <v/>
      </c>
    </row>
    <row r="7">
      <c r="K7">
        <f>IF(J7="v4.0",L7,IF(J7="v3.1",M7,IF(J7="Both",L7,IF(AND(L7&lt;&gt;"",M7=""),L7,M7))))</f>
        <v/>
      </c>
      <c r="Y7">
        <f>IF(T7="P0",1,IF(T7="P1",3,IF(T7="P2",7,IF(T7="P3",30,IF(T7="P4",30,7)))))</f>
        <v/>
      </c>
      <c r="Z7">
        <f>IF(U7&lt;&gt;"",U7+Y7,"")</f>
        <v/>
      </c>
      <c r="AA7">
        <f>IF(Z7&lt;&gt;"",Z7-TODAY(),"")</f>
        <v/>
      </c>
      <c r="AB7">
        <f>IF(AA7&lt;&gt;"",IF(AA7&lt;0,"Overdue",IF(AA7&lt;=Y7*0.2,"At Risk","On Time")),"")</f>
        <v/>
      </c>
    </row>
    <row r="8">
      <c r="K8">
        <f>IF(J8="v4.0",L8,IF(J8="v3.1",M8,IF(J8="Both",L8,IF(AND(L8&lt;&gt;"",M8=""),L8,M8))))</f>
        <v/>
      </c>
      <c r="Y8">
        <f>IF(T8="P0",1,IF(T8="P1",3,IF(T8="P2",7,IF(T8="P3",30,IF(T8="P4",30,7)))))</f>
        <v/>
      </c>
      <c r="Z8">
        <f>IF(U8&lt;&gt;"",U8+Y8,"")</f>
        <v/>
      </c>
      <c r="AA8">
        <f>IF(Z8&lt;&gt;"",Z8-TODAY(),"")</f>
        <v/>
      </c>
      <c r="AB8">
        <f>IF(AA8&lt;&gt;"",IF(AA8&lt;0,"Overdue",IF(AA8&lt;=Y8*0.2,"At Risk","On Time")),"")</f>
        <v/>
      </c>
    </row>
    <row r="9">
      <c r="K9">
        <f>IF(J9="v4.0",L9,IF(J9="v3.1",M9,IF(J9="Both",L9,IF(AND(L9&lt;&gt;"",M9=""),L9,M9))))</f>
        <v/>
      </c>
      <c r="Y9">
        <f>IF(T9="P0",1,IF(T9="P1",3,IF(T9="P2",7,IF(T9="P3",30,IF(T9="P4",30,7)))))</f>
        <v/>
      </c>
      <c r="Z9">
        <f>IF(U9&lt;&gt;"",U9+Y9,"")</f>
        <v/>
      </c>
      <c r="AA9">
        <f>IF(Z9&lt;&gt;"",Z9-TODAY(),"")</f>
        <v/>
      </c>
      <c r="AB9">
        <f>IF(AA9&lt;&gt;"",IF(AA9&lt;0,"Overdue",IF(AA9&lt;=Y9*0.2,"At Risk","On Time")),"")</f>
        <v/>
      </c>
    </row>
    <row r="10">
      <c r="K10">
        <f>IF(J10="v4.0",L10,IF(J10="v3.1",M10,IF(J10="Both",L10,IF(AND(L10&lt;&gt;"",M10=""),L10,M10))))</f>
        <v/>
      </c>
      <c r="Y10">
        <f>IF(T10="P0",1,IF(T10="P1",3,IF(T10="P2",7,IF(T10="P3",30,IF(T10="P4",30,7)))))</f>
        <v/>
      </c>
      <c r="Z10">
        <f>IF(U10&lt;&gt;"",U10+Y10,"")</f>
        <v/>
      </c>
      <c r="AA10">
        <f>IF(Z10&lt;&gt;"",Z10-TODAY(),"")</f>
        <v/>
      </c>
      <c r="AB10">
        <f>IF(AA10&lt;&gt;"",IF(AA10&lt;0,"Overdue",IF(AA10&lt;=Y10*0.2,"At Risk","On Time")),"")</f>
        <v/>
      </c>
    </row>
    <row r="11">
      <c r="K11">
        <f>IF(J11="v4.0",L11,IF(J11="v3.1",M11,IF(J11="Both",L11,IF(AND(L11&lt;&gt;"",M11=""),L11,M11))))</f>
        <v/>
      </c>
      <c r="Y11">
        <f>IF(T11="P0",1,IF(T11="P1",3,IF(T11="P2",7,IF(T11="P3",30,IF(T11="P4",30,7)))))</f>
        <v/>
      </c>
      <c r="Z11">
        <f>IF(U11&lt;&gt;"",U11+Y11,"")</f>
        <v/>
      </c>
      <c r="AA11">
        <f>IF(Z11&lt;&gt;"",Z11-TODAY(),"")</f>
        <v/>
      </c>
      <c r="AB11">
        <f>IF(AA11&lt;&gt;"",IF(AA11&lt;0,"Overdue",IF(AA11&lt;=Y11*0.2,"At Risk","On Time")),"")</f>
        <v/>
      </c>
    </row>
    <row r="12">
      <c r="K12">
        <f>IF(J12="v4.0",L12,IF(J12="v3.1",M12,IF(J12="Both",L12,IF(AND(L12&lt;&gt;"",M12=""),L12,M12))))</f>
        <v/>
      </c>
      <c r="Y12">
        <f>IF(T12="P0",1,IF(T12="P1",3,IF(T12="P2",7,IF(T12="P3",30,IF(T12="P4",30,7)))))</f>
        <v/>
      </c>
      <c r="Z12">
        <f>IF(U12&lt;&gt;"",U12+Y12,"")</f>
        <v/>
      </c>
      <c r="AA12">
        <f>IF(Z12&lt;&gt;"",Z12-TODAY(),"")</f>
        <v/>
      </c>
      <c r="AB12">
        <f>IF(AA12&lt;&gt;"",IF(AA12&lt;0,"Overdue",IF(AA12&lt;=Y12*0.2,"At Risk","On Time")),"")</f>
        <v/>
      </c>
    </row>
    <row r="13">
      <c r="K13">
        <f>IF(J13="v4.0",L13,IF(J13="v3.1",M13,IF(J13="Both",L13,IF(AND(L13&lt;&gt;"",M13=""),L13,M13))))</f>
        <v/>
      </c>
      <c r="Y13">
        <f>IF(T13="P0",1,IF(T13="P1",3,IF(T13="P2",7,IF(T13="P3",30,IF(T13="P4",30,7)))))</f>
        <v/>
      </c>
      <c r="Z13">
        <f>IF(U13&lt;&gt;"",U13+Y13,"")</f>
        <v/>
      </c>
      <c r="AA13">
        <f>IF(Z13&lt;&gt;"",Z13-TODAY(),"")</f>
        <v/>
      </c>
      <c r="AB13">
        <f>IF(AA13&lt;&gt;"",IF(AA13&lt;0,"Overdue",IF(AA13&lt;=Y13*0.2,"At Risk","On Time")),"")</f>
        <v/>
      </c>
    </row>
    <row r="14">
      <c r="K14">
        <f>IF(J14="v4.0",L14,IF(J14="v3.1",M14,IF(J14="Both",L14,IF(AND(L14&lt;&gt;"",M14=""),L14,M14))))</f>
        <v/>
      </c>
      <c r="Y14">
        <f>IF(T14="P0",1,IF(T14="P1",3,IF(T14="P2",7,IF(T14="P3",30,IF(T14="P4",30,7)))))</f>
        <v/>
      </c>
      <c r="Z14">
        <f>IF(U14&lt;&gt;"",U14+Y14,"")</f>
        <v/>
      </c>
      <c r="AA14">
        <f>IF(Z14&lt;&gt;"",Z14-TODAY(),"")</f>
        <v/>
      </c>
      <c r="AB14">
        <f>IF(AA14&lt;&gt;"",IF(AA14&lt;0,"Overdue",IF(AA14&lt;=Y14*0.2,"At Risk","On Time")),"")</f>
        <v/>
      </c>
    </row>
    <row r="15">
      <c r="K15">
        <f>IF(J15="v4.0",L15,IF(J15="v3.1",M15,IF(J15="Both",L15,IF(AND(L15&lt;&gt;"",M15=""),L15,M15))))</f>
        <v/>
      </c>
      <c r="Y15">
        <f>IF(T15="P0",1,IF(T15="P1",3,IF(T15="P2",7,IF(T15="P3",30,IF(T15="P4",30,7)))))</f>
        <v/>
      </c>
      <c r="Z15">
        <f>IF(U15&lt;&gt;"",U15+Y15,"")</f>
        <v/>
      </c>
      <c r="AA15">
        <f>IF(Z15&lt;&gt;"",Z15-TODAY(),"")</f>
        <v/>
      </c>
      <c r="AB15">
        <f>IF(AA15&lt;&gt;"",IF(AA15&lt;0,"Overdue",IF(AA15&lt;=Y15*0.2,"At Risk","On Time")),"")</f>
        <v/>
      </c>
    </row>
    <row r="16">
      <c r="K16">
        <f>IF(J16="v4.0",L16,IF(J16="v3.1",M16,IF(J16="Both",L16,IF(AND(L16&lt;&gt;"",M16=""),L16,M16))))</f>
        <v/>
      </c>
      <c r="Y16">
        <f>IF(T16="P0",1,IF(T16="P1",3,IF(T16="P2",7,IF(T16="P3",30,IF(T16="P4",30,7)))))</f>
        <v/>
      </c>
      <c r="Z16">
        <f>IF(U16&lt;&gt;"",U16+Y16,"")</f>
        <v/>
      </c>
      <c r="AA16">
        <f>IF(Z16&lt;&gt;"",Z16-TODAY(),"")</f>
        <v/>
      </c>
      <c r="AB16">
        <f>IF(AA16&lt;&gt;"",IF(AA16&lt;0,"Overdue",IF(AA16&lt;=Y16*0.2,"At Risk","On Time")),"")</f>
        <v/>
      </c>
    </row>
    <row r="17">
      <c r="K17">
        <f>IF(J17="v4.0",L17,IF(J17="v3.1",M17,IF(J17="Both",L17,IF(AND(L17&lt;&gt;"",M17=""),L17,M17))))</f>
        <v/>
      </c>
      <c r="Y17">
        <f>IF(T17="P0",1,IF(T17="P1",3,IF(T17="P2",7,IF(T17="P3",30,IF(T17="P4",30,7)))))</f>
        <v/>
      </c>
      <c r="Z17">
        <f>IF(U17&lt;&gt;"",U17+Y17,"")</f>
        <v/>
      </c>
      <c r="AA17">
        <f>IF(Z17&lt;&gt;"",Z17-TODAY(),"")</f>
        <v/>
      </c>
      <c r="AB17">
        <f>IF(AA17&lt;&gt;"",IF(AA17&lt;0,"Overdue",IF(AA17&lt;=Y17*0.2,"At Risk","On Time")),"")</f>
        <v/>
      </c>
    </row>
    <row r="18">
      <c r="K18">
        <f>IF(J18="v4.0",L18,IF(J18="v3.1",M18,IF(J18="Both",L18,IF(AND(L18&lt;&gt;"",M18=""),L18,M18))))</f>
        <v/>
      </c>
      <c r="Y18">
        <f>IF(T18="P0",1,IF(T18="P1",3,IF(T18="P2",7,IF(T18="P3",30,IF(T18="P4",30,7)))))</f>
        <v/>
      </c>
      <c r="Z18">
        <f>IF(U18&lt;&gt;"",U18+Y18,"")</f>
        <v/>
      </c>
      <c r="AA18">
        <f>IF(Z18&lt;&gt;"",Z18-TODAY(),"")</f>
        <v/>
      </c>
      <c r="AB18">
        <f>IF(AA18&lt;&gt;"",IF(AA18&lt;0,"Overdue",IF(AA18&lt;=Y18*0.2,"At Risk","On Time")),"")</f>
        <v/>
      </c>
    </row>
    <row r="19">
      <c r="K19">
        <f>IF(J19="v4.0",L19,IF(J19="v3.1",M19,IF(J19="Both",L19,IF(AND(L19&lt;&gt;"",M19=""),L19,M19))))</f>
        <v/>
      </c>
      <c r="Y19">
        <f>IF(T19="P0",1,IF(T19="P1",3,IF(T19="P2",7,IF(T19="P3",30,IF(T19="P4",30,7)))))</f>
        <v/>
      </c>
      <c r="Z19">
        <f>IF(U19&lt;&gt;"",U19+Y19,"")</f>
        <v/>
      </c>
      <c r="AA19">
        <f>IF(Z19&lt;&gt;"",Z19-TODAY(),"")</f>
        <v/>
      </c>
      <c r="AB19">
        <f>IF(AA19&lt;&gt;"",IF(AA19&lt;0,"Overdue",IF(AA19&lt;=Y19*0.2,"At Risk","On Time")),"")</f>
        <v/>
      </c>
    </row>
    <row r="20">
      <c r="K20">
        <f>IF(J20="v4.0",L20,IF(J20="v3.1",M20,IF(J20="Both",L20,IF(AND(L20&lt;&gt;"",M20=""),L20,M20))))</f>
        <v/>
      </c>
      <c r="Y20">
        <f>IF(T20="P0",1,IF(T20="P1",3,IF(T20="P2",7,IF(T20="P3",30,IF(T20="P4",30,7)))))</f>
        <v/>
      </c>
      <c r="Z20">
        <f>IF(U20&lt;&gt;"",U20+Y20,"")</f>
        <v/>
      </c>
      <c r="AA20">
        <f>IF(Z20&lt;&gt;"",Z20-TODAY(),"")</f>
        <v/>
      </c>
      <c r="AB20">
        <f>IF(AA20&lt;&gt;"",IF(AA20&lt;0,"Overdue",IF(AA20&lt;=Y20*0.2,"At Risk","On Time")),"")</f>
        <v/>
      </c>
    </row>
    <row r="21">
      <c r="K21">
        <f>IF(J21="v4.0",L21,IF(J21="v3.1",M21,IF(J21="Both",L21,IF(AND(L21&lt;&gt;"",M21=""),L21,M21))))</f>
        <v/>
      </c>
      <c r="Y21">
        <f>IF(T21="P0",1,IF(T21="P1",3,IF(T21="P2",7,IF(T21="P3",30,IF(T21="P4",30,7)))))</f>
        <v/>
      </c>
      <c r="Z21">
        <f>IF(U21&lt;&gt;"",U21+Y21,"")</f>
        <v/>
      </c>
      <c r="AA21">
        <f>IF(Z21&lt;&gt;"",Z21-TODAY(),"")</f>
        <v/>
      </c>
      <c r="AB21">
        <f>IF(AA21&lt;&gt;"",IF(AA21&lt;0,"Overdue",IF(AA21&lt;=Y21*0.2,"At Risk","On Time")),"")</f>
        <v/>
      </c>
    </row>
    <row r="22">
      <c r="K22">
        <f>IF(J22="v4.0",L22,IF(J22="v3.1",M22,IF(J22="Both",L22,IF(AND(L22&lt;&gt;"",M22=""),L22,M22))))</f>
        <v/>
      </c>
      <c r="Y22">
        <f>IF(T22="P0",1,IF(T22="P1",3,IF(T22="P2",7,IF(T22="P3",30,IF(T22="P4",30,7)))))</f>
        <v/>
      </c>
      <c r="Z22">
        <f>IF(U22&lt;&gt;"",U22+Y22,"")</f>
        <v/>
      </c>
      <c r="AA22">
        <f>IF(Z22&lt;&gt;"",Z22-TODAY(),"")</f>
        <v/>
      </c>
      <c r="AB22">
        <f>IF(AA22&lt;&gt;"",IF(AA22&lt;0,"Overdue",IF(AA22&lt;=Y22*0.2,"At Risk","On Time")),"")</f>
        <v/>
      </c>
    </row>
    <row r="23">
      <c r="K23">
        <f>IF(J23="v4.0",L23,IF(J23="v3.1",M23,IF(J23="Both",L23,IF(AND(L23&lt;&gt;"",M23=""),L23,M23))))</f>
        <v/>
      </c>
      <c r="Y23">
        <f>IF(T23="P0",1,IF(T23="P1",3,IF(T23="P2",7,IF(T23="P3",30,IF(T23="P4",30,7)))))</f>
        <v/>
      </c>
      <c r="Z23">
        <f>IF(U23&lt;&gt;"",U23+Y23,"")</f>
        <v/>
      </c>
      <c r="AA23">
        <f>IF(Z23&lt;&gt;"",Z23-TODAY(),"")</f>
        <v/>
      </c>
      <c r="AB23">
        <f>IF(AA23&lt;&gt;"",IF(AA23&lt;0,"Overdue",IF(AA23&lt;=Y23*0.2,"At Risk","On Time")),"")</f>
        <v/>
      </c>
    </row>
    <row r="24">
      <c r="K24">
        <f>IF(J24="v4.0",L24,IF(J24="v3.1",M24,IF(J24="Both",L24,IF(AND(L24&lt;&gt;"",M24=""),L24,M24))))</f>
        <v/>
      </c>
      <c r="Y24">
        <f>IF(T24="P0",1,IF(T24="P1",3,IF(T24="P2",7,IF(T24="P3",30,IF(T24="P4",30,7)))))</f>
        <v/>
      </c>
      <c r="Z24">
        <f>IF(U24&lt;&gt;"",U24+Y24,"")</f>
        <v/>
      </c>
      <c r="AA24">
        <f>IF(Z24&lt;&gt;"",Z24-TODAY(),"")</f>
        <v/>
      </c>
      <c r="AB24">
        <f>IF(AA24&lt;&gt;"",IF(AA24&lt;0,"Overdue",IF(AA24&lt;=Y24*0.2,"At Risk","On Time")),"")</f>
        <v/>
      </c>
    </row>
    <row r="25">
      <c r="K25">
        <f>IF(J25="v4.0",L25,IF(J25="v3.1",M25,IF(J25="Both",L25,IF(AND(L25&lt;&gt;"",M25=""),L25,M25))))</f>
        <v/>
      </c>
      <c r="Y25">
        <f>IF(T25="P0",1,IF(T25="P1",3,IF(T25="P2",7,IF(T25="P3",30,IF(T25="P4",30,7)))))</f>
        <v/>
      </c>
      <c r="Z25">
        <f>IF(U25&lt;&gt;"",U25+Y25,"")</f>
        <v/>
      </c>
      <c r="AA25">
        <f>IF(Z25&lt;&gt;"",Z25-TODAY(),"")</f>
        <v/>
      </c>
      <c r="AB25">
        <f>IF(AA25&lt;&gt;"",IF(AA25&lt;0,"Overdue",IF(AA25&lt;=Y25*0.2,"At Risk","On Time")),"")</f>
        <v/>
      </c>
    </row>
    <row r="26">
      <c r="K26">
        <f>IF(J26="v4.0",L26,IF(J26="v3.1",M26,IF(J26="Both",L26,IF(AND(L26&lt;&gt;"",M26=""),L26,M26))))</f>
        <v/>
      </c>
      <c r="Y26">
        <f>IF(T26="P0",1,IF(T26="P1",3,IF(T26="P2",7,IF(T26="P3",30,IF(T26="P4",30,7)))))</f>
        <v/>
      </c>
      <c r="Z26">
        <f>IF(U26&lt;&gt;"",U26+Y26,"")</f>
        <v/>
      </c>
      <c r="AA26">
        <f>IF(Z26&lt;&gt;"",Z26-TODAY(),"")</f>
        <v/>
      </c>
      <c r="AB26">
        <f>IF(AA26&lt;&gt;"",IF(AA26&lt;0,"Overdue",IF(AA26&lt;=Y26*0.2,"At Risk","On Time")),"")</f>
        <v/>
      </c>
    </row>
    <row r="27">
      <c r="K27">
        <f>IF(J27="v4.0",L27,IF(J27="v3.1",M27,IF(J27="Both",L27,IF(AND(L27&lt;&gt;"",M27=""),L27,M27))))</f>
        <v/>
      </c>
      <c r="Y27">
        <f>IF(T27="P0",1,IF(T27="P1",3,IF(T27="P2",7,IF(T27="P3",30,IF(T27="P4",30,7)))))</f>
        <v/>
      </c>
      <c r="Z27">
        <f>IF(U27&lt;&gt;"",U27+Y27,"")</f>
        <v/>
      </c>
      <c r="AA27">
        <f>IF(Z27&lt;&gt;"",Z27-TODAY(),"")</f>
        <v/>
      </c>
      <c r="AB27">
        <f>IF(AA27&lt;&gt;"",IF(AA27&lt;0,"Overdue",IF(AA27&lt;=Y27*0.2,"At Risk","On Time")),"")</f>
        <v/>
      </c>
    </row>
    <row r="28">
      <c r="K28">
        <f>IF(J28="v4.0",L28,IF(J28="v3.1",M28,IF(J28="Both",L28,IF(AND(L28&lt;&gt;"",M28=""),L28,M28))))</f>
        <v/>
      </c>
      <c r="Y28">
        <f>IF(T28="P0",1,IF(T28="P1",3,IF(T28="P2",7,IF(T28="P3",30,IF(T28="P4",30,7)))))</f>
        <v/>
      </c>
      <c r="Z28">
        <f>IF(U28&lt;&gt;"",U28+Y28,"")</f>
        <v/>
      </c>
      <c r="AA28">
        <f>IF(Z28&lt;&gt;"",Z28-TODAY(),"")</f>
        <v/>
      </c>
      <c r="AB28">
        <f>IF(AA28&lt;&gt;"",IF(AA28&lt;0,"Overdue",IF(AA28&lt;=Y28*0.2,"At Risk","On Time")),"")</f>
        <v/>
      </c>
    </row>
    <row r="29">
      <c r="K29">
        <f>IF(J29="v4.0",L29,IF(J29="v3.1",M29,IF(J29="Both",L29,IF(AND(L29&lt;&gt;"",M29=""),L29,M29))))</f>
        <v/>
      </c>
      <c r="Y29">
        <f>IF(T29="P0",1,IF(T29="P1",3,IF(T29="P2",7,IF(T29="P3",30,IF(T29="P4",30,7)))))</f>
        <v/>
      </c>
      <c r="Z29">
        <f>IF(U29&lt;&gt;"",U29+Y29,"")</f>
        <v/>
      </c>
      <c r="AA29">
        <f>IF(Z29&lt;&gt;"",Z29-TODAY(),"")</f>
        <v/>
      </c>
      <c r="AB29">
        <f>IF(AA29&lt;&gt;"",IF(AA29&lt;0,"Overdue",IF(AA29&lt;=Y29*0.2,"At Risk","On Time")),"")</f>
        <v/>
      </c>
    </row>
    <row r="30">
      <c r="K30">
        <f>IF(J30="v4.0",L30,IF(J30="v3.1",M30,IF(J30="Both",L30,IF(AND(L30&lt;&gt;"",M30=""),L30,M30))))</f>
        <v/>
      </c>
      <c r="Y30">
        <f>IF(T30="P0",1,IF(T30="P1",3,IF(T30="P2",7,IF(T30="P3",30,IF(T30="P4",30,7)))))</f>
        <v/>
      </c>
      <c r="Z30">
        <f>IF(U30&lt;&gt;"",U30+Y30,"")</f>
        <v/>
      </c>
      <c r="AA30">
        <f>IF(Z30&lt;&gt;"",Z30-TODAY(),"")</f>
        <v/>
      </c>
      <c r="AB30">
        <f>IF(AA30&lt;&gt;"",IF(AA30&lt;0,"Overdue",IF(AA30&lt;=Y30*0.2,"At Risk","On Time")),"")</f>
        <v/>
      </c>
    </row>
    <row r="31">
      <c r="K31">
        <f>IF(J31="v4.0",L31,IF(J31="v3.1",M31,IF(J31="Both",L31,IF(AND(L31&lt;&gt;"",M31=""),L31,M31))))</f>
        <v/>
      </c>
      <c r="Y31">
        <f>IF(T31="P0",1,IF(T31="P1",3,IF(T31="P2",7,IF(T31="P3",30,IF(T31="P4",30,7)))))</f>
        <v/>
      </c>
      <c r="Z31">
        <f>IF(U31&lt;&gt;"",U31+Y31,"")</f>
        <v/>
      </c>
      <c r="AA31">
        <f>IF(Z31&lt;&gt;"",Z31-TODAY(),"")</f>
        <v/>
      </c>
      <c r="AB31">
        <f>IF(AA31&lt;&gt;"",IF(AA31&lt;0,"Overdue",IF(AA31&lt;=Y31*0.2,"At Risk","On Time")),"")</f>
        <v/>
      </c>
    </row>
    <row r="32">
      <c r="K32">
        <f>IF(J32="v4.0",L32,IF(J32="v3.1",M32,IF(J32="Both",L32,IF(AND(L32&lt;&gt;"",M32=""),L32,M32))))</f>
        <v/>
      </c>
      <c r="Y32">
        <f>IF(T32="P0",1,IF(T32="P1",3,IF(T32="P2",7,IF(T32="P3",30,IF(T32="P4",30,7)))))</f>
        <v/>
      </c>
      <c r="Z32">
        <f>IF(U32&lt;&gt;"",U32+Y32,"")</f>
        <v/>
      </c>
      <c r="AA32">
        <f>IF(Z32&lt;&gt;"",Z32-TODAY(),"")</f>
        <v/>
      </c>
      <c r="AB32">
        <f>IF(AA32&lt;&gt;"",IF(AA32&lt;0,"Overdue",IF(AA32&lt;=Y32*0.2,"At Risk","On Time")),"")</f>
        <v/>
      </c>
    </row>
    <row r="33">
      <c r="K33">
        <f>IF(J33="v4.0",L33,IF(J33="v3.1",M33,IF(J33="Both",L33,IF(AND(L33&lt;&gt;"",M33=""),L33,M33))))</f>
        <v/>
      </c>
      <c r="Y33">
        <f>IF(T33="P0",1,IF(T33="P1",3,IF(T33="P2",7,IF(T33="P3",30,IF(T33="P4",30,7)))))</f>
        <v/>
      </c>
      <c r="Z33">
        <f>IF(U33&lt;&gt;"",U33+Y33,"")</f>
        <v/>
      </c>
      <c r="AA33">
        <f>IF(Z33&lt;&gt;"",Z33-TODAY(),"")</f>
        <v/>
      </c>
      <c r="AB33">
        <f>IF(AA33&lt;&gt;"",IF(AA33&lt;0,"Overdue",IF(AA33&lt;=Y33*0.2,"At Risk","On Time")),"")</f>
        <v/>
      </c>
    </row>
    <row r="34">
      <c r="K34">
        <f>IF(J34="v4.0",L34,IF(J34="v3.1",M34,IF(J34="Both",L34,IF(AND(L34&lt;&gt;"",M34=""),L34,M34))))</f>
        <v/>
      </c>
      <c r="Y34">
        <f>IF(T34="P0",1,IF(T34="P1",3,IF(T34="P2",7,IF(T34="P3",30,IF(T34="P4",30,7)))))</f>
        <v/>
      </c>
      <c r="Z34">
        <f>IF(U34&lt;&gt;"",U34+Y34,"")</f>
        <v/>
      </c>
      <c r="AA34">
        <f>IF(Z34&lt;&gt;"",Z34-TODAY(),"")</f>
        <v/>
      </c>
      <c r="AB34">
        <f>IF(AA34&lt;&gt;"",IF(AA34&lt;0,"Overdue",IF(AA34&lt;=Y34*0.2,"At Risk","On Time")),"")</f>
        <v/>
      </c>
    </row>
    <row r="35">
      <c r="K35">
        <f>IF(J35="v4.0",L35,IF(J35="v3.1",M35,IF(J35="Both",L35,IF(AND(L35&lt;&gt;"",M35=""),L35,M35))))</f>
        <v/>
      </c>
      <c r="Y35">
        <f>IF(T35="P0",1,IF(T35="P1",3,IF(T35="P2",7,IF(T35="P3",30,IF(T35="P4",30,7)))))</f>
        <v/>
      </c>
      <c r="Z35">
        <f>IF(U35&lt;&gt;"",U35+Y35,"")</f>
        <v/>
      </c>
      <c r="AA35">
        <f>IF(Z35&lt;&gt;"",Z35-TODAY(),"")</f>
        <v/>
      </c>
      <c r="AB35">
        <f>IF(AA35&lt;&gt;"",IF(AA35&lt;0,"Overdue",IF(AA35&lt;=Y35*0.2,"At Risk","On Time")),"")</f>
        <v/>
      </c>
    </row>
    <row r="36">
      <c r="K36">
        <f>IF(J36="v4.0",L36,IF(J36="v3.1",M36,IF(J36="Both",L36,IF(AND(L36&lt;&gt;"",M36=""),L36,M36))))</f>
        <v/>
      </c>
      <c r="Y36">
        <f>IF(T36="P0",1,IF(T36="P1",3,IF(T36="P2",7,IF(T36="P3",30,IF(T36="P4",30,7)))))</f>
        <v/>
      </c>
      <c r="Z36">
        <f>IF(U36&lt;&gt;"",U36+Y36,"")</f>
        <v/>
      </c>
      <c r="AA36">
        <f>IF(Z36&lt;&gt;"",Z36-TODAY(),"")</f>
        <v/>
      </c>
      <c r="AB36">
        <f>IF(AA36&lt;&gt;"",IF(AA36&lt;0,"Overdue",IF(AA36&lt;=Y36*0.2,"At Risk","On Time")),"")</f>
        <v/>
      </c>
    </row>
    <row r="37">
      <c r="K37">
        <f>IF(J37="v4.0",L37,IF(J37="v3.1",M37,IF(J37="Both",L37,IF(AND(L37&lt;&gt;"",M37=""),L37,M37))))</f>
        <v/>
      </c>
      <c r="Y37">
        <f>IF(T37="P0",1,IF(T37="P1",3,IF(T37="P2",7,IF(T37="P3",30,IF(T37="P4",30,7)))))</f>
        <v/>
      </c>
      <c r="Z37">
        <f>IF(U37&lt;&gt;"",U37+Y37,"")</f>
        <v/>
      </c>
      <c r="AA37">
        <f>IF(Z37&lt;&gt;"",Z37-TODAY(),"")</f>
        <v/>
      </c>
      <c r="AB37">
        <f>IF(AA37&lt;&gt;"",IF(AA37&lt;0,"Overdue",IF(AA37&lt;=Y37*0.2,"At Risk","On Time")),"")</f>
        <v/>
      </c>
    </row>
    <row r="38">
      <c r="K38">
        <f>IF(J38="v4.0",L38,IF(J38="v3.1",M38,IF(J38="Both",L38,IF(AND(L38&lt;&gt;"",M38=""),L38,M38))))</f>
        <v/>
      </c>
      <c r="Y38">
        <f>IF(T38="P0",1,IF(T38="P1",3,IF(T38="P2",7,IF(T38="P3",30,IF(T38="P4",30,7)))))</f>
        <v/>
      </c>
      <c r="Z38">
        <f>IF(U38&lt;&gt;"",U38+Y38,"")</f>
        <v/>
      </c>
      <c r="AA38">
        <f>IF(Z38&lt;&gt;"",Z38-TODAY(),"")</f>
        <v/>
      </c>
      <c r="AB38">
        <f>IF(AA38&lt;&gt;"",IF(AA38&lt;0,"Overdue",IF(AA38&lt;=Y38*0.2,"At Risk","On Time")),"")</f>
        <v/>
      </c>
    </row>
    <row r="39">
      <c r="K39">
        <f>IF(J39="v4.0",L39,IF(J39="v3.1",M39,IF(J39="Both",L39,IF(AND(L39&lt;&gt;"",M39=""),L39,M39))))</f>
        <v/>
      </c>
      <c r="Y39">
        <f>IF(T39="P0",1,IF(T39="P1",3,IF(T39="P2",7,IF(T39="P3",30,IF(T39="P4",30,7)))))</f>
        <v/>
      </c>
      <c r="Z39">
        <f>IF(U39&lt;&gt;"",U39+Y39,"")</f>
        <v/>
      </c>
      <c r="AA39">
        <f>IF(Z39&lt;&gt;"",Z39-TODAY(),"")</f>
        <v/>
      </c>
      <c r="AB39">
        <f>IF(AA39&lt;&gt;"",IF(AA39&lt;0,"Overdue",IF(AA39&lt;=Y39*0.2,"At Risk","On Time")),"")</f>
        <v/>
      </c>
    </row>
    <row r="40">
      <c r="K40">
        <f>IF(J40="v4.0",L40,IF(J40="v3.1",M40,IF(J40="Both",L40,IF(AND(L40&lt;&gt;"",M40=""),L40,M40))))</f>
        <v/>
      </c>
      <c r="Y40">
        <f>IF(T40="P0",1,IF(T40="P1",3,IF(T40="P2",7,IF(T40="P3",30,IF(T40="P4",30,7)))))</f>
        <v/>
      </c>
      <c r="Z40">
        <f>IF(U40&lt;&gt;"",U40+Y40,"")</f>
        <v/>
      </c>
      <c r="AA40">
        <f>IF(Z40&lt;&gt;"",Z40-TODAY(),"")</f>
        <v/>
      </c>
      <c r="AB40">
        <f>IF(AA40&lt;&gt;"",IF(AA40&lt;0,"Overdue",IF(AA40&lt;=Y40*0.2,"At Risk","On Time")),"")</f>
        <v/>
      </c>
    </row>
    <row r="41">
      <c r="K41">
        <f>IF(J41="v4.0",L41,IF(J41="v3.1",M41,IF(J41="Both",L41,IF(AND(L41&lt;&gt;"",M41=""),L41,M41))))</f>
        <v/>
      </c>
      <c r="Y41">
        <f>IF(T41="P0",1,IF(T41="P1",3,IF(T41="P2",7,IF(T41="P3",30,IF(T41="P4",30,7)))))</f>
        <v/>
      </c>
      <c r="Z41">
        <f>IF(U41&lt;&gt;"",U41+Y41,"")</f>
        <v/>
      </c>
      <c r="AA41">
        <f>IF(Z41&lt;&gt;"",Z41-TODAY(),"")</f>
        <v/>
      </c>
      <c r="AB41">
        <f>IF(AA41&lt;&gt;"",IF(AA41&lt;0,"Overdue",IF(AA41&lt;=Y41*0.2,"At Risk","On Time")),"")</f>
        <v/>
      </c>
    </row>
    <row r="42">
      <c r="K42">
        <f>IF(J42="v4.0",L42,IF(J42="v3.1",M42,IF(J42="Both",L42,IF(AND(L42&lt;&gt;"",M42=""),L42,M42))))</f>
        <v/>
      </c>
      <c r="Y42">
        <f>IF(T42="P0",1,IF(T42="P1",3,IF(T42="P2",7,IF(T42="P3",30,IF(T42="P4",30,7)))))</f>
        <v/>
      </c>
      <c r="Z42">
        <f>IF(U42&lt;&gt;"",U42+Y42,"")</f>
        <v/>
      </c>
      <c r="AA42">
        <f>IF(Z42&lt;&gt;"",Z42-TODAY(),"")</f>
        <v/>
      </c>
      <c r="AB42">
        <f>IF(AA42&lt;&gt;"",IF(AA42&lt;0,"Overdue",IF(AA42&lt;=Y42*0.2,"At Risk","On Time")),"")</f>
        <v/>
      </c>
    </row>
    <row r="43">
      <c r="K43">
        <f>IF(J43="v4.0",L43,IF(J43="v3.1",M43,IF(J43="Both",L43,IF(AND(L43&lt;&gt;"",M43=""),L43,M43))))</f>
        <v/>
      </c>
      <c r="Y43">
        <f>IF(T43="P0",1,IF(T43="P1",3,IF(T43="P2",7,IF(T43="P3",30,IF(T43="P4",30,7)))))</f>
        <v/>
      </c>
      <c r="Z43">
        <f>IF(U43&lt;&gt;"",U43+Y43,"")</f>
        <v/>
      </c>
      <c r="AA43">
        <f>IF(Z43&lt;&gt;"",Z43-TODAY(),"")</f>
        <v/>
      </c>
      <c r="AB43">
        <f>IF(AA43&lt;&gt;"",IF(AA43&lt;0,"Overdue",IF(AA43&lt;=Y43*0.2,"At Risk","On Time")),"")</f>
        <v/>
      </c>
    </row>
    <row r="44">
      <c r="K44">
        <f>IF(J44="v4.0",L44,IF(J44="v3.1",M44,IF(J44="Both",L44,IF(AND(L44&lt;&gt;"",M44=""),L44,M44))))</f>
        <v/>
      </c>
      <c r="Y44">
        <f>IF(T44="P0",1,IF(T44="P1",3,IF(T44="P2",7,IF(T44="P3",30,IF(T44="P4",30,7)))))</f>
        <v/>
      </c>
      <c r="Z44">
        <f>IF(U44&lt;&gt;"",U44+Y44,"")</f>
        <v/>
      </c>
      <c r="AA44">
        <f>IF(Z44&lt;&gt;"",Z44-TODAY(),"")</f>
        <v/>
      </c>
      <c r="AB44">
        <f>IF(AA44&lt;&gt;"",IF(AA44&lt;0,"Overdue",IF(AA44&lt;=Y44*0.2,"At Risk","On Time")),"")</f>
        <v/>
      </c>
    </row>
    <row r="45">
      <c r="K45">
        <f>IF(J45="v4.0",L45,IF(J45="v3.1",M45,IF(J45="Both",L45,IF(AND(L45&lt;&gt;"",M45=""),L45,M45))))</f>
        <v/>
      </c>
      <c r="Y45">
        <f>IF(T45="P0",1,IF(T45="P1",3,IF(T45="P2",7,IF(T45="P3",30,IF(T45="P4",30,7)))))</f>
        <v/>
      </c>
      <c r="Z45">
        <f>IF(U45&lt;&gt;"",U45+Y45,"")</f>
        <v/>
      </c>
      <c r="AA45">
        <f>IF(Z45&lt;&gt;"",Z45-TODAY(),"")</f>
        <v/>
      </c>
      <c r="AB45">
        <f>IF(AA45&lt;&gt;"",IF(AA45&lt;0,"Overdue",IF(AA45&lt;=Y45*0.2,"At Risk","On Time")),"")</f>
        <v/>
      </c>
    </row>
    <row r="46">
      <c r="K46">
        <f>IF(J46="v4.0",L46,IF(J46="v3.1",M46,IF(J46="Both",L46,IF(AND(L46&lt;&gt;"",M46=""),L46,M46))))</f>
        <v/>
      </c>
      <c r="Y46">
        <f>IF(T46="P0",1,IF(T46="P1",3,IF(T46="P2",7,IF(T46="P3",30,IF(T46="P4",30,7)))))</f>
        <v/>
      </c>
      <c r="Z46">
        <f>IF(U46&lt;&gt;"",U46+Y46,"")</f>
        <v/>
      </c>
      <c r="AA46">
        <f>IF(Z46&lt;&gt;"",Z46-TODAY(),"")</f>
        <v/>
      </c>
      <c r="AB46">
        <f>IF(AA46&lt;&gt;"",IF(AA46&lt;0,"Overdue",IF(AA46&lt;=Y46*0.2,"At Risk","On Time")),"")</f>
        <v/>
      </c>
    </row>
    <row r="47">
      <c r="K47">
        <f>IF(J47="v4.0",L47,IF(J47="v3.1",M47,IF(J47="Both",L47,IF(AND(L47&lt;&gt;"",M47=""),L47,M47))))</f>
        <v/>
      </c>
      <c r="Y47">
        <f>IF(T47="P0",1,IF(T47="P1",3,IF(T47="P2",7,IF(T47="P3",30,IF(T47="P4",30,7)))))</f>
        <v/>
      </c>
      <c r="Z47">
        <f>IF(U47&lt;&gt;"",U47+Y47,"")</f>
        <v/>
      </c>
      <c r="AA47">
        <f>IF(Z47&lt;&gt;"",Z47-TODAY(),"")</f>
        <v/>
      </c>
      <c r="AB47">
        <f>IF(AA47&lt;&gt;"",IF(AA47&lt;0,"Overdue",IF(AA47&lt;=Y47*0.2,"At Risk","On Time")),"")</f>
        <v/>
      </c>
    </row>
    <row r="48">
      <c r="K48">
        <f>IF(J48="v4.0",L48,IF(J48="v3.1",M48,IF(J48="Both",L48,IF(AND(L48&lt;&gt;"",M48=""),L48,M48))))</f>
        <v/>
      </c>
      <c r="Y48">
        <f>IF(T48="P0",1,IF(T48="P1",3,IF(T48="P2",7,IF(T48="P3",30,IF(T48="P4",30,7)))))</f>
        <v/>
      </c>
      <c r="Z48">
        <f>IF(U48&lt;&gt;"",U48+Y48,"")</f>
        <v/>
      </c>
      <c r="AA48">
        <f>IF(Z48&lt;&gt;"",Z48-TODAY(),"")</f>
        <v/>
      </c>
      <c r="AB48">
        <f>IF(AA48&lt;&gt;"",IF(AA48&lt;0,"Overdue",IF(AA48&lt;=Y48*0.2,"At Risk","On Time")),"")</f>
        <v/>
      </c>
    </row>
    <row r="49">
      <c r="K49">
        <f>IF(J49="v4.0",L49,IF(J49="v3.1",M49,IF(J49="Both",L49,IF(AND(L49&lt;&gt;"",M49=""),L49,M49))))</f>
        <v/>
      </c>
      <c r="Y49">
        <f>IF(T49="P0",1,IF(T49="P1",3,IF(T49="P2",7,IF(T49="P3",30,IF(T49="P4",30,7)))))</f>
        <v/>
      </c>
      <c r="Z49">
        <f>IF(U49&lt;&gt;"",U49+Y49,"")</f>
        <v/>
      </c>
      <c r="AA49">
        <f>IF(Z49&lt;&gt;"",Z49-TODAY(),"")</f>
        <v/>
      </c>
      <c r="AB49">
        <f>IF(AA49&lt;&gt;"",IF(AA49&lt;0,"Overdue",IF(AA49&lt;=Y49*0.2,"At Risk","On Time")),"")</f>
        <v/>
      </c>
    </row>
    <row r="50">
      <c r="K50">
        <f>IF(J50="v4.0",L50,IF(J50="v3.1",M50,IF(J50="Both",L50,IF(AND(L50&lt;&gt;"",M50=""),L50,M50))))</f>
        <v/>
      </c>
      <c r="Y50">
        <f>IF(T50="P0",1,IF(T50="P1",3,IF(T50="P2",7,IF(T50="P3",30,IF(T50="P4",30,7)))))</f>
        <v/>
      </c>
      <c r="Z50">
        <f>IF(U50&lt;&gt;"",U50+Y50,"")</f>
        <v/>
      </c>
      <c r="AA50">
        <f>IF(Z50&lt;&gt;"",Z50-TODAY(),"")</f>
        <v/>
      </c>
      <c r="AB50">
        <f>IF(AA50&lt;&gt;"",IF(AA50&lt;0,"Overdue",IF(AA50&lt;=Y50*0.2,"At Risk","On Time")),"")</f>
        <v/>
      </c>
    </row>
    <row r="51">
      <c r="K51">
        <f>IF(J51="v4.0",L51,IF(J51="v3.1",M51,IF(J51="Both",L51,IF(AND(L51&lt;&gt;"",M51=""),L51,M51))))</f>
        <v/>
      </c>
      <c r="Y51">
        <f>IF(T51="P0",1,IF(T51="P1",3,IF(T51="P2",7,IF(T51="P3",30,IF(T51="P4",30,7)))))</f>
        <v/>
      </c>
      <c r="Z51">
        <f>IF(U51&lt;&gt;"",U51+Y51,"")</f>
        <v/>
      </c>
      <c r="AA51">
        <f>IF(Z51&lt;&gt;"",Z51-TODAY(),"")</f>
        <v/>
      </c>
      <c r="AB51">
        <f>IF(AA51&lt;&gt;"",IF(AA51&lt;0,"Overdue",IF(AA51&lt;=Y51*0.2,"At Risk","On Time")),"")</f>
        <v/>
      </c>
    </row>
    <row r="52">
      <c r="K52">
        <f>IF(J52="v4.0",L52,IF(J52="v3.1",M52,IF(J52="Both",L52,IF(AND(L52&lt;&gt;"",M52=""),L52,M52))))</f>
        <v/>
      </c>
      <c r="Y52">
        <f>IF(T52="P0",1,IF(T52="P1",3,IF(T52="P2",7,IF(T52="P3",30,IF(T52="P4",30,7)))))</f>
        <v/>
      </c>
      <c r="Z52">
        <f>IF(U52&lt;&gt;"",U52+Y52,"")</f>
        <v/>
      </c>
      <c r="AA52">
        <f>IF(Z52&lt;&gt;"",Z52-TODAY(),"")</f>
        <v/>
      </c>
      <c r="AB52">
        <f>IF(AA52&lt;&gt;"",IF(AA52&lt;0,"Overdue",IF(AA52&lt;=Y52*0.2,"At Risk","On Time")),"")</f>
        <v/>
      </c>
    </row>
    <row r="53">
      <c r="K53">
        <f>IF(J53="v4.0",L53,IF(J53="v3.1",M53,IF(J53="Both",L53,IF(AND(L53&lt;&gt;"",M53=""),L53,M53))))</f>
        <v/>
      </c>
      <c r="Y53">
        <f>IF(T53="P0",1,IF(T53="P1",3,IF(T53="P2",7,IF(T53="P3",30,IF(T53="P4",30,7)))))</f>
        <v/>
      </c>
      <c r="Z53">
        <f>IF(U53&lt;&gt;"",U53+Y53,"")</f>
        <v/>
      </c>
      <c r="AA53">
        <f>IF(Z53&lt;&gt;"",Z53-TODAY(),"")</f>
        <v/>
      </c>
      <c r="AB53">
        <f>IF(AA53&lt;&gt;"",IF(AA53&lt;0,"Overdue",IF(AA53&lt;=Y53*0.2,"At Risk","On Time")),"")</f>
        <v/>
      </c>
    </row>
    <row r="54">
      <c r="K54">
        <f>IF(J54="v4.0",L54,IF(J54="v3.1",M54,IF(J54="Both",L54,IF(AND(L54&lt;&gt;"",M54=""),L54,M54))))</f>
        <v/>
      </c>
      <c r="Y54">
        <f>IF(T54="P0",1,IF(T54="P1",3,IF(T54="P2",7,IF(T54="P3",30,IF(T54="P4",30,7)))))</f>
        <v/>
      </c>
      <c r="Z54">
        <f>IF(U54&lt;&gt;"",U54+Y54,"")</f>
        <v/>
      </c>
      <c r="AA54">
        <f>IF(Z54&lt;&gt;"",Z54-TODAY(),"")</f>
        <v/>
      </c>
      <c r="AB54">
        <f>IF(AA54&lt;&gt;"",IF(AA54&lt;0,"Overdue",IF(AA54&lt;=Y54*0.2,"At Risk","On Time")),"")</f>
        <v/>
      </c>
    </row>
    <row r="55">
      <c r="K55">
        <f>IF(J55="v4.0",L55,IF(J55="v3.1",M55,IF(J55="Both",L55,IF(AND(L55&lt;&gt;"",M55=""),L55,M55))))</f>
        <v/>
      </c>
      <c r="Y55">
        <f>IF(T55="P0",1,IF(T55="P1",3,IF(T55="P2",7,IF(T55="P3",30,IF(T55="P4",30,7)))))</f>
        <v/>
      </c>
      <c r="Z55">
        <f>IF(U55&lt;&gt;"",U55+Y55,"")</f>
        <v/>
      </c>
      <c r="AA55">
        <f>IF(Z55&lt;&gt;"",Z55-TODAY(),"")</f>
        <v/>
      </c>
      <c r="AB55">
        <f>IF(AA55&lt;&gt;"",IF(AA55&lt;0,"Overdue",IF(AA55&lt;=Y55*0.2,"At Risk","On Time")),"")</f>
        <v/>
      </c>
    </row>
    <row r="56">
      <c r="K56">
        <f>IF(J56="v4.0",L56,IF(J56="v3.1",M56,IF(J56="Both",L56,IF(AND(L56&lt;&gt;"",M56=""),L56,M56))))</f>
        <v/>
      </c>
      <c r="Y56">
        <f>IF(T56="P0",1,IF(T56="P1",3,IF(T56="P2",7,IF(T56="P3",30,IF(T56="P4",30,7)))))</f>
        <v/>
      </c>
      <c r="Z56">
        <f>IF(U56&lt;&gt;"",U56+Y56,"")</f>
        <v/>
      </c>
      <c r="AA56">
        <f>IF(Z56&lt;&gt;"",Z56-TODAY(),"")</f>
        <v/>
      </c>
      <c r="AB56">
        <f>IF(AA56&lt;&gt;"",IF(AA56&lt;0,"Overdue",IF(AA56&lt;=Y56*0.2,"At Risk","On Time")),"")</f>
        <v/>
      </c>
    </row>
    <row r="57">
      <c r="K57">
        <f>IF(J57="v4.0",L57,IF(J57="v3.1",M57,IF(J57="Both",L57,IF(AND(L57&lt;&gt;"",M57=""),L57,M57))))</f>
        <v/>
      </c>
      <c r="Y57">
        <f>IF(T57="P0",1,IF(T57="P1",3,IF(T57="P2",7,IF(T57="P3",30,IF(T57="P4",30,7)))))</f>
        <v/>
      </c>
      <c r="Z57">
        <f>IF(U57&lt;&gt;"",U57+Y57,"")</f>
        <v/>
      </c>
      <c r="AA57">
        <f>IF(Z57&lt;&gt;"",Z57-TODAY(),"")</f>
        <v/>
      </c>
      <c r="AB57">
        <f>IF(AA57&lt;&gt;"",IF(AA57&lt;0,"Overdue",IF(AA57&lt;=Y57*0.2,"At Risk","On Time")),"")</f>
        <v/>
      </c>
    </row>
    <row r="58">
      <c r="K58">
        <f>IF(J58="v4.0",L58,IF(J58="v3.1",M58,IF(J58="Both",L58,IF(AND(L58&lt;&gt;"",M58=""),L58,M58))))</f>
        <v/>
      </c>
      <c r="Y58">
        <f>IF(T58="P0",1,IF(T58="P1",3,IF(T58="P2",7,IF(T58="P3",30,IF(T58="P4",30,7)))))</f>
        <v/>
      </c>
      <c r="Z58">
        <f>IF(U58&lt;&gt;"",U58+Y58,"")</f>
        <v/>
      </c>
      <c r="AA58">
        <f>IF(Z58&lt;&gt;"",Z58-TODAY(),"")</f>
        <v/>
      </c>
      <c r="AB58">
        <f>IF(AA58&lt;&gt;"",IF(AA58&lt;0,"Overdue",IF(AA58&lt;=Y58*0.2,"At Risk","On Time")),"")</f>
        <v/>
      </c>
    </row>
    <row r="59">
      <c r="K59">
        <f>IF(J59="v4.0",L59,IF(J59="v3.1",M59,IF(J59="Both",L59,IF(AND(L59&lt;&gt;"",M59=""),L59,M59))))</f>
        <v/>
      </c>
      <c r="Y59">
        <f>IF(T59="P0",1,IF(T59="P1",3,IF(T59="P2",7,IF(T59="P3",30,IF(T59="P4",30,7)))))</f>
        <v/>
      </c>
      <c r="Z59">
        <f>IF(U59&lt;&gt;"",U59+Y59,"")</f>
        <v/>
      </c>
      <c r="AA59">
        <f>IF(Z59&lt;&gt;"",Z59-TODAY(),"")</f>
        <v/>
      </c>
      <c r="AB59">
        <f>IF(AA59&lt;&gt;"",IF(AA59&lt;0,"Overdue",IF(AA59&lt;=Y59*0.2,"At Risk","On Time")),"")</f>
        <v/>
      </c>
    </row>
    <row r="60">
      <c r="K60">
        <f>IF(J60="v4.0",L60,IF(J60="v3.1",M60,IF(J60="Both",L60,IF(AND(L60&lt;&gt;"",M60=""),L60,M60))))</f>
        <v/>
      </c>
      <c r="Y60">
        <f>IF(T60="P0",1,IF(T60="P1",3,IF(T60="P2",7,IF(T60="P3",30,IF(T60="P4",30,7)))))</f>
        <v/>
      </c>
      <c r="Z60">
        <f>IF(U60&lt;&gt;"",U60+Y60,"")</f>
        <v/>
      </c>
      <c r="AA60">
        <f>IF(Z60&lt;&gt;"",Z60-TODAY(),"")</f>
        <v/>
      </c>
      <c r="AB60">
        <f>IF(AA60&lt;&gt;"",IF(AA60&lt;0,"Overdue",IF(AA60&lt;=Y60*0.2,"At Risk","On Time")),"")</f>
        <v/>
      </c>
    </row>
    <row r="61">
      <c r="K61">
        <f>IF(J61="v4.0",L61,IF(J61="v3.1",M61,IF(J61="Both",L61,IF(AND(L61&lt;&gt;"",M61=""),L61,M61))))</f>
        <v/>
      </c>
      <c r="Y61">
        <f>IF(T61="P0",1,IF(T61="P1",3,IF(T61="P2",7,IF(T61="P3",30,IF(T61="P4",30,7)))))</f>
        <v/>
      </c>
      <c r="Z61">
        <f>IF(U61&lt;&gt;"",U61+Y61,"")</f>
        <v/>
      </c>
      <c r="AA61">
        <f>IF(Z61&lt;&gt;"",Z61-TODAY(),"")</f>
        <v/>
      </c>
      <c r="AB61">
        <f>IF(AA61&lt;&gt;"",IF(AA61&lt;0,"Overdue",IF(AA61&lt;=Y61*0.2,"At Risk","On Time")),"")</f>
        <v/>
      </c>
    </row>
    <row r="62">
      <c r="K62">
        <f>IF(J62="v4.0",L62,IF(J62="v3.1",M62,IF(J62="Both",L62,IF(AND(L62&lt;&gt;"",M62=""),L62,M62))))</f>
        <v/>
      </c>
      <c r="Y62">
        <f>IF(T62="P0",1,IF(T62="P1",3,IF(T62="P2",7,IF(T62="P3",30,IF(T62="P4",30,7)))))</f>
        <v/>
      </c>
      <c r="Z62">
        <f>IF(U62&lt;&gt;"",U62+Y62,"")</f>
        <v/>
      </c>
      <c r="AA62">
        <f>IF(Z62&lt;&gt;"",Z62-TODAY(),"")</f>
        <v/>
      </c>
      <c r="AB62">
        <f>IF(AA62&lt;&gt;"",IF(AA62&lt;0,"Overdue",IF(AA62&lt;=Y62*0.2,"At Risk","On Time")),"")</f>
        <v/>
      </c>
    </row>
    <row r="63">
      <c r="K63">
        <f>IF(J63="v4.0",L63,IF(J63="v3.1",M63,IF(J63="Both",L63,IF(AND(L63&lt;&gt;"",M63=""),L63,M63))))</f>
        <v/>
      </c>
      <c r="Y63">
        <f>IF(T63="P0",1,IF(T63="P1",3,IF(T63="P2",7,IF(T63="P3",30,IF(T63="P4",30,7)))))</f>
        <v/>
      </c>
      <c r="Z63">
        <f>IF(U63&lt;&gt;"",U63+Y63,"")</f>
        <v/>
      </c>
      <c r="AA63">
        <f>IF(Z63&lt;&gt;"",Z63-TODAY(),"")</f>
        <v/>
      </c>
      <c r="AB63">
        <f>IF(AA63&lt;&gt;"",IF(AA63&lt;0,"Overdue",IF(AA63&lt;=Y63*0.2,"At Risk","On Time")),"")</f>
        <v/>
      </c>
    </row>
    <row r="64">
      <c r="K64">
        <f>IF(J64="v4.0",L64,IF(J64="v3.1",M64,IF(J64="Both",L64,IF(AND(L64&lt;&gt;"",M64=""),L64,M64))))</f>
        <v/>
      </c>
      <c r="Y64">
        <f>IF(T64="P0",1,IF(T64="P1",3,IF(T64="P2",7,IF(T64="P3",30,IF(T64="P4",30,7)))))</f>
        <v/>
      </c>
      <c r="Z64">
        <f>IF(U64&lt;&gt;"",U64+Y64,"")</f>
        <v/>
      </c>
      <c r="AA64">
        <f>IF(Z64&lt;&gt;"",Z64-TODAY(),"")</f>
        <v/>
      </c>
      <c r="AB64">
        <f>IF(AA64&lt;&gt;"",IF(AA64&lt;0,"Overdue",IF(AA64&lt;=Y64*0.2,"At Risk","On Time")),"")</f>
        <v/>
      </c>
    </row>
    <row r="65">
      <c r="K65">
        <f>IF(J65="v4.0",L65,IF(J65="v3.1",M65,IF(J65="Both",L65,IF(AND(L65&lt;&gt;"",M65=""),L65,M65))))</f>
        <v/>
      </c>
      <c r="Y65">
        <f>IF(T65="P0",1,IF(T65="P1",3,IF(T65="P2",7,IF(T65="P3",30,IF(T65="P4",30,7)))))</f>
        <v/>
      </c>
      <c r="Z65">
        <f>IF(U65&lt;&gt;"",U65+Y65,"")</f>
        <v/>
      </c>
      <c r="AA65">
        <f>IF(Z65&lt;&gt;"",Z65-TODAY(),"")</f>
        <v/>
      </c>
      <c r="AB65">
        <f>IF(AA65&lt;&gt;"",IF(AA65&lt;0,"Overdue",IF(AA65&lt;=Y65*0.2,"At Risk","On Time")),"")</f>
        <v/>
      </c>
    </row>
    <row r="66">
      <c r="K66">
        <f>IF(J66="v4.0",L66,IF(J66="v3.1",M66,IF(J66="Both",L66,IF(AND(L66&lt;&gt;"",M66=""),L66,M66))))</f>
        <v/>
      </c>
      <c r="Y66">
        <f>IF(T66="P0",1,IF(T66="P1",3,IF(T66="P2",7,IF(T66="P3",30,IF(T66="P4",30,7)))))</f>
        <v/>
      </c>
      <c r="Z66">
        <f>IF(U66&lt;&gt;"",U66+Y66,"")</f>
        <v/>
      </c>
      <c r="AA66">
        <f>IF(Z66&lt;&gt;"",Z66-TODAY(),"")</f>
        <v/>
      </c>
      <c r="AB66">
        <f>IF(AA66&lt;&gt;"",IF(AA66&lt;0,"Overdue",IF(AA66&lt;=Y66*0.2,"At Risk","On Time")),"")</f>
        <v/>
      </c>
    </row>
    <row r="67">
      <c r="K67">
        <f>IF(J67="v4.0",L67,IF(J67="v3.1",M67,IF(J67="Both",L67,IF(AND(L67&lt;&gt;"",M67=""),L67,M67))))</f>
        <v/>
      </c>
      <c r="Y67">
        <f>IF(T67="P0",1,IF(T67="P1",3,IF(T67="P2",7,IF(T67="P3",30,IF(T67="P4",30,7)))))</f>
        <v/>
      </c>
      <c r="Z67">
        <f>IF(U67&lt;&gt;"",U67+Y67,"")</f>
        <v/>
      </c>
      <c r="AA67">
        <f>IF(Z67&lt;&gt;"",Z67-TODAY(),"")</f>
        <v/>
      </c>
      <c r="AB67">
        <f>IF(AA67&lt;&gt;"",IF(AA67&lt;0,"Overdue",IF(AA67&lt;=Y67*0.2,"At Risk","On Time")),"")</f>
        <v/>
      </c>
    </row>
    <row r="68">
      <c r="K68">
        <f>IF(J68="v4.0",L68,IF(J68="v3.1",M68,IF(J68="Both",L68,IF(AND(L68&lt;&gt;"",M68=""),L68,M68))))</f>
        <v/>
      </c>
      <c r="Y68">
        <f>IF(T68="P0",1,IF(T68="P1",3,IF(T68="P2",7,IF(T68="P3",30,IF(T68="P4",30,7)))))</f>
        <v/>
      </c>
      <c r="Z68">
        <f>IF(U68&lt;&gt;"",U68+Y68,"")</f>
        <v/>
      </c>
      <c r="AA68">
        <f>IF(Z68&lt;&gt;"",Z68-TODAY(),"")</f>
        <v/>
      </c>
      <c r="AB68">
        <f>IF(AA68&lt;&gt;"",IF(AA68&lt;0,"Overdue",IF(AA68&lt;=Y68*0.2,"At Risk","On Time")),"")</f>
        <v/>
      </c>
    </row>
    <row r="69">
      <c r="K69">
        <f>IF(J69="v4.0",L69,IF(J69="v3.1",M69,IF(J69="Both",L69,IF(AND(L69&lt;&gt;"",M69=""),L69,M69))))</f>
        <v/>
      </c>
      <c r="Y69">
        <f>IF(T69="P0",1,IF(T69="P1",3,IF(T69="P2",7,IF(T69="P3",30,IF(T69="P4",30,7)))))</f>
        <v/>
      </c>
      <c r="Z69">
        <f>IF(U69&lt;&gt;"",U69+Y69,"")</f>
        <v/>
      </c>
      <c r="AA69">
        <f>IF(Z69&lt;&gt;"",Z69-TODAY(),"")</f>
        <v/>
      </c>
      <c r="AB69">
        <f>IF(AA69&lt;&gt;"",IF(AA69&lt;0,"Overdue",IF(AA69&lt;=Y69*0.2,"At Risk","On Time")),"")</f>
        <v/>
      </c>
    </row>
    <row r="70">
      <c r="K70">
        <f>IF(J70="v4.0",L70,IF(J70="v3.1",M70,IF(J70="Both",L70,IF(AND(L70&lt;&gt;"",M70=""),L70,M70))))</f>
        <v/>
      </c>
      <c r="Y70">
        <f>IF(T70="P0",1,IF(T70="P1",3,IF(T70="P2",7,IF(T70="P3",30,IF(T70="P4",30,7)))))</f>
        <v/>
      </c>
      <c r="Z70">
        <f>IF(U70&lt;&gt;"",U70+Y70,"")</f>
        <v/>
      </c>
      <c r="AA70">
        <f>IF(Z70&lt;&gt;"",Z70-TODAY(),"")</f>
        <v/>
      </c>
      <c r="AB70">
        <f>IF(AA70&lt;&gt;"",IF(AA70&lt;0,"Overdue",IF(AA70&lt;=Y70*0.2,"At Risk","On Time")),"")</f>
        <v/>
      </c>
    </row>
    <row r="71">
      <c r="K71">
        <f>IF(J71="v4.0",L71,IF(J71="v3.1",M71,IF(J71="Both",L71,IF(AND(L71&lt;&gt;"",M71=""),L71,M71))))</f>
        <v/>
      </c>
      <c r="Y71">
        <f>IF(T71="P0",1,IF(T71="P1",3,IF(T71="P2",7,IF(T71="P3",30,IF(T71="P4",30,7)))))</f>
        <v/>
      </c>
      <c r="Z71">
        <f>IF(U71&lt;&gt;"",U71+Y71,"")</f>
        <v/>
      </c>
      <c r="AA71">
        <f>IF(Z71&lt;&gt;"",Z71-TODAY(),"")</f>
        <v/>
      </c>
      <c r="AB71">
        <f>IF(AA71&lt;&gt;"",IF(AA71&lt;0,"Overdue",IF(AA71&lt;=Y71*0.2,"At Risk","On Time")),"")</f>
        <v/>
      </c>
    </row>
    <row r="72">
      <c r="K72">
        <f>IF(J72="v4.0",L72,IF(J72="v3.1",M72,IF(J72="Both",L72,IF(AND(L72&lt;&gt;"",M72=""),L72,M72))))</f>
        <v/>
      </c>
      <c r="Y72">
        <f>IF(T72="P0",1,IF(T72="P1",3,IF(T72="P2",7,IF(T72="P3",30,IF(T72="P4",30,7)))))</f>
        <v/>
      </c>
      <c r="Z72">
        <f>IF(U72&lt;&gt;"",U72+Y72,"")</f>
        <v/>
      </c>
      <c r="AA72">
        <f>IF(Z72&lt;&gt;"",Z72-TODAY(),"")</f>
        <v/>
      </c>
      <c r="AB72">
        <f>IF(AA72&lt;&gt;"",IF(AA72&lt;0,"Overdue",IF(AA72&lt;=Y72*0.2,"At Risk","On Time")),"")</f>
        <v/>
      </c>
    </row>
    <row r="73">
      <c r="K73">
        <f>IF(J73="v4.0",L73,IF(J73="v3.1",M73,IF(J73="Both",L73,IF(AND(L73&lt;&gt;"",M73=""),L73,M73))))</f>
        <v/>
      </c>
      <c r="Y73">
        <f>IF(T73="P0",1,IF(T73="P1",3,IF(T73="P2",7,IF(T73="P3",30,IF(T73="P4",30,7)))))</f>
        <v/>
      </c>
      <c r="Z73">
        <f>IF(U73&lt;&gt;"",U73+Y73,"")</f>
        <v/>
      </c>
      <c r="AA73">
        <f>IF(Z73&lt;&gt;"",Z73-TODAY(),"")</f>
        <v/>
      </c>
      <c r="AB73">
        <f>IF(AA73&lt;&gt;"",IF(AA73&lt;0,"Overdue",IF(AA73&lt;=Y73*0.2,"At Risk","On Time")),"")</f>
        <v/>
      </c>
    </row>
    <row r="74">
      <c r="K74">
        <f>IF(J74="v4.0",L74,IF(J74="v3.1",M74,IF(J74="Both",L74,IF(AND(L74&lt;&gt;"",M74=""),L74,M74))))</f>
        <v/>
      </c>
      <c r="Y74">
        <f>IF(T74="P0",1,IF(T74="P1",3,IF(T74="P2",7,IF(T74="P3",30,IF(T74="P4",30,7)))))</f>
        <v/>
      </c>
      <c r="Z74">
        <f>IF(U74&lt;&gt;"",U74+Y74,"")</f>
        <v/>
      </c>
      <c r="AA74">
        <f>IF(Z74&lt;&gt;"",Z74-TODAY(),"")</f>
        <v/>
      </c>
      <c r="AB74">
        <f>IF(AA74&lt;&gt;"",IF(AA74&lt;0,"Overdue",IF(AA74&lt;=Y74*0.2,"At Risk","On Time")),"")</f>
        <v/>
      </c>
    </row>
    <row r="75">
      <c r="K75">
        <f>IF(J75="v4.0",L75,IF(J75="v3.1",M75,IF(J75="Both",L75,IF(AND(L75&lt;&gt;"",M75=""),L75,M75))))</f>
        <v/>
      </c>
      <c r="Y75">
        <f>IF(T75="P0",1,IF(T75="P1",3,IF(T75="P2",7,IF(T75="P3",30,IF(T75="P4",30,7)))))</f>
        <v/>
      </c>
      <c r="Z75">
        <f>IF(U75&lt;&gt;"",U75+Y75,"")</f>
        <v/>
      </c>
      <c r="AA75">
        <f>IF(Z75&lt;&gt;"",Z75-TODAY(),"")</f>
        <v/>
      </c>
      <c r="AB75">
        <f>IF(AA75&lt;&gt;"",IF(AA75&lt;0,"Overdue",IF(AA75&lt;=Y75*0.2,"At Risk","On Time")),"")</f>
        <v/>
      </c>
    </row>
    <row r="76">
      <c r="K76">
        <f>IF(J76="v4.0",L76,IF(J76="v3.1",M76,IF(J76="Both",L76,IF(AND(L76&lt;&gt;"",M76=""),L76,M76))))</f>
        <v/>
      </c>
      <c r="Y76">
        <f>IF(T76="P0",1,IF(T76="P1",3,IF(T76="P2",7,IF(T76="P3",30,IF(T76="P4",30,7)))))</f>
        <v/>
      </c>
      <c r="Z76">
        <f>IF(U76&lt;&gt;"",U76+Y76,"")</f>
        <v/>
      </c>
      <c r="AA76">
        <f>IF(Z76&lt;&gt;"",Z76-TODAY(),"")</f>
        <v/>
      </c>
      <c r="AB76">
        <f>IF(AA76&lt;&gt;"",IF(AA76&lt;0,"Overdue",IF(AA76&lt;=Y76*0.2,"At Risk","On Time")),"")</f>
        <v/>
      </c>
    </row>
    <row r="77">
      <c r="K77">
        <f>IF(J77="v4.0",L77,IF(J77="v3.1",M77,IF(J77="Both",L77,IF(AND(L77&lt;&gt;"",M77=""),L77,M77))))</f>
        <v/>
      </c>
      <c r="Y77">
        <f>IF(T77="P0",1,IF(T77="P1",3,IF(T77="P2",7,IF(T77="P3",30,IF(T77="P4",30,7)))))</f>
        <v/>
      </c>
      <c r="Z77">
        <f>IF(U77&lt;&gt;"",U77+Y77,"")</f>
        <v/>
      </c>
      <c r="AA77">
        <f>IF(Z77&lt;&gt;"",Z77-TODAY(),"")</f>
        <v/>
      </c>
      <c r="AB77">
        <f>IF(AA77&lt;&gt;"",IF(AA77&lt;0,"Overdue",IF(AA77&lt;=Y77*0.2,"At Risk","On Time")),"")</f>
        <v/>
      </c>
    </row>
    <row r="78">
      <c r="K78">
        <f>IF(J78="v4.0",L78,IF(J78="v3.1",M78,IF(J78="Both",L78,IF(AND(L78&lt;&gt;"",M78=""),L78,M78))))</f>
        <v/>
      </c>
      <c r="Y78">
        <f>IF(T78="P0",1,IF(T78="P1",3,IF(T78="P2",7,IF(T78="P3",30,IF(T78="P4",30,7)))))</f>
        <v/>
      </c>
      <c r="Z78">
        <f>IF(U78&lt;&gt;"",U78+Y78,"")</f>
        <v/>
      </c>
      <c r="AA78">
        <f>IF(Z78&lt;&gt;"",Z78-TODAY(),"")</f>
        <v/>
      </c>
      <c r="AB78">
        <f>IF(AA78&lt;&gt;"",IF(AA78&lt;0,"Overdue",IF(AA78&lt;=Y78*0.2,"At Risk","On Time")),"")</f>
        <v/>
      </c>
    </row>
    <row r="79">
      <c r="K79">
        <f>IF(J79="v4.0",L79,IF(J79="v3.1",M79,IF(J79="Both",L79,IF(AND(L79&lt;&gt;"",M79=""),L79,M79))))</f>
        <v/>
      </c>
      <c r="Y79">
        <f>IF(T79="P0",1,IF(T79="P1",3,IF(T79="P2",7,IF(T79="P3",30,IF(T79="P4",30,7)))))</f>
        <v/>
      </c>
      <c r="Z79">
        <f>IF(U79&lt;&gt;"",U79+Y79,"")</f>
        <v/>
      </c>
      <c r="AA79">
        <f>IF(Z79&lt;&gt;"",Z79-TODAY(),"")</f>
        <v/>
      </c>
      <c r="AB79">
        <f>IF(AA79&lt;&gt;"",IF(AA79&lt;0,"Overdue",IF(AA79&lt;=Y79*0.2,"At Risk","On Time")),"")</f>
        <v/>
      </c>
    </row>
    <row r="80">
      <c r="K80">
        <f>IF(J80="v4.0",L80,IF(J80="v3.1",M80,IF(J80="Both",L80,IF(AND(L80&lt;&gt;"",M80=""),L80,M80))))</f>
        <v/>
      </c>
      <c r="Y80">
        <f>IF(T80="P0",1,IF(T80="P1",3,IF(T80="P2",7,IF(T80="P3",30,IF(T80="P4",30,7)))))</f>
        <v/>
      </c>
      <c r="Z80">
        <f>IF(U80&lt;&gt;"",U80+Y80,"")</f>
        <v/>
      </c>
      <c r="AA80">
        <f>IF(Z80&lt;&gt;"",Z80-TODAY(),"")</f>
        <v/>
      </c>
      <c r="AB80">
        <f>IF(AA80&lt;&gt;"",IF(AA80&lt;0,"Overdue",IF(AA80&lt;=Y80*0.2,"At Risk","On Time")),"")</f>
        <v/>
      </c>
    </row>
    <row r="81">
      <c r="K81">
        <f>IF(J81="v4.0",L81,IF(J81="v3.1",M81,IF(J81="Both",L81,IF(AND(L81&lt;&gt;"",M81=""),L81,M81))))</f>
        <v/>
      </c>
      <c r="Y81">
        <f>IF(T81="P0",1,IF(T81="P1",3,IF(T81="P2",7,IF(T81="P3",30,IF(T81="P4",30,7)))))</f>
        <v/>
      </c>
      <c r="Z81">
        <f>IF(U81&lt;&gt;"",U81+Y81,"")</f>
        <v/>
      </c>
      <c r="AA81">
        <f>IF(Z81&lt;&gt;"",Z81-TODAY(),"")</f>
        <v/>
      </c>
      <c r="AB81">
        <f>IF(AA81&lt;&gt;"",IF(AA81&lt;0,"Overdue",IF(AA81&lt;=Y81*0.2,"At Risk","On Time")),"")</f>
        <v/>
      </c>
    </row>
    <row r="82">
      <c r="K82">
        <f>IF(J82="v4.0",L82,IF(J82="v3.1",M82,IF(J82="Both",L82,IF(AND(L82&lt;&gt;"",M82=""),L82,M82))))</f>
        <v/>
      </c>
      <c r="Y82">
        <f>IF(T82="P0",1,IF(T82="P1",3,IF(T82="P2",7,IF(T82="P3",30,IF(T82="P4",30,7)))))</f>
        <v/>
      </c>
      <c r="Z82">
        <f>IF(U82&lt;&gt;"",U82+Y82,"")</f>
        <v/>
      </c>
      <c r="AA82">
        <f>IF(Z82&lt;&gt;"",Z82-TODAY(),"")</f>
        <v/>
      </c>
      <c r="AB82">
        <f>IF(AA82&lt;&gt;"",IF(AA82&lt;0,"Overdue",IF(AA82&lt;=Y82*0.2,"At Risk","On Time")),"")</f>
        <v/>
      </c>
    </row>
    <row r="83">
      <c r="K83">
        <f>IF(J83="v4.0",L83,IF(J83="v3.1",M83,IF(J83="Both",L83,IF(AND(L83&lt;&gt;"",M83=""),L83,M83))))</f>
        <v/>
      </c>
      <c r="Y83">
        <f>IF(T83="P0",1,IF(T83="P1",3,IF(T83="P2",7,IF(T83="P3",30,IF(T83="P4",30,7)))))</f>
        <v/>
      </c>
      <c r="Z83">
        <f>IF(U83&lt;&gt;"",U83+Y83,"")</f>
        <v/>
      </c>
      <c r="AA83">
        <f>IF(Z83&lt;&gt;"",Z83-TODAY(),"")</f>
        <v/>
      </c>
      <c r="AB83">
        <f>IF(AA83&lt;&gt;"",IF(AA83&lt;0,"Overdue",IF(AA83&lt;=Y83*0.2,"At Risk","On Time")),"")</f>
        <v/>
      </c>
    </row>
    <row r="84">
      <c r="K84">
        <f>IF(J84="v4.0",L84,IF(J84="v3.1",M84,IF(J84="Both",L84,IF(AND(L84&lt;&gt;"",M84=""),L84,M84))))</f>
        <v/>
      </c>
      <c r="Y84">
        <f>IF(T84="P0",1,IF(T84="P1",3,IF(T84="P2",7,IF(T84="P3",30,IF(T84="P4",30,7)))))</f>
        <v/>
      </c>
      <c r="Z84">
        <f>IF(U84&lt;&gt;"",U84+Y84,"")</f>
        <v/>
      </c>
      <c r="AA84">
        <f>IF(Z84&lt;&gt;"",Z84-TODAY(),"")</f>
        <v/>
      </c>
      <c r="AB84">
        <f>IF(AA84&lt;&gt;"",IF(AA84&lt;0,"Overdue",IF(AA84&lt;=Y84*0.2,"At Risk","On Time")),"")</f>
        <v/>
      </c>
    </row>
    <row r="85">
      <c r="K85">
        <f>IF(J85="v4.0",L85,IF(J85="v3.1",M85,IF(J85="Both",L85,IF(AND(L85&lt;&gt;"",M85=""),L85,M85))))</f>
        <v/>
      </c>
      <c r="Y85">
        <f>IF(T85="P0",1,IF(T85="P1",3,IF(T85="P2",7,IF(T85="P3",30,IF(T85="P4",30,7)))))</f>
        <v/>
      </c>
      <c r="Z85">
        <f>IF(U85&lt;&gt;"",U85+Y85,"")</f>
        <v/>
      </c>
      <c r="AA85">
        <f>IF(Z85&lt;&gt;"",Z85-TODAY(),"")</f>
        <v/>
      </c>
      <c r="AB85">
        <f>IF(AA85&lt;&gt;"",IF(AA85&lt;0,"Overdue",IF(AA85&lt;=Y85*0.2,"At Risk","On Time")),"")</f>
        <v/>
      </c>
    </row>
    <row r="86">
      <c r="K86">
        <f>IF(J86="v4.0",L86,IF(J86="v3.1",M86,IF(J86="Both",L86,IF(AND(L86&lt;&gt;"",M86=""),L86,M86))))</f>
        <v/>
      </c>
      <c r="Y86">
        <f>IF(T86="P0",1,IF(T86="P1",3,IF(T86="P2",7,IF(T86="P3",30,IF(T86="P4",30,7)))))</f>
        <v/>
      </c>
      <c r="Z86">
        <f>IF(U86&lt;&gt;"",U86+Y86,"")</f>
        <v/>
      </c>
      <c r="AA86">
        <f>IF(Z86&lt;&gt;"",Z86-TODAY(),"")</f>
        <v/>
      </c>
      <c r="AB86">
        <f>IF(AA86&lt;&gt;"",IF(AA86&lt;0,"Overdue",IF(AA86&lt;=Y86*0.2,"At Risk","On Time")),"")</f>
        <v/>
      </c>
    </row>
    <row r="87">
      <c r="K87">
        <f>IF(J87="v4.0",L87,IF(J87="v3.1",M87,IF(J87="Both",L87,IF(AND(L87&lt;&gt;"",M87=""),L87,M87))))</f>
        <v/>
      </c>
      <c r="Y87">
        <f>IF(T87="P0",1,IF(T87="P1",3,IF(T87="P2",7,IF(T87="P3",30,IF(T87="P4",30,7)))))</f>
        <v/>
      </c>
      <c r="Z87">
        <f>IF(U87&lt;&gt;"",U87+Y87,"")</f>
        <v/>
      </c>
      <c r="AA87">
        <f>IF(Z87&lt;&gt;"",Z87-TODAY(),"")</f>
        <v/>
      </c>
      <c r="AB87">
        <f>IF(AA87&lt;&gt;"",IF(AA87&lt;0,"Overdue",IF(AA87&lt;=Y87*0.2,"At Risk","On Time")),"")</f>
        <v/>
      </c>
    </row>
    <row r="88">
      <c r="K88">
        <f>IF(J88="v4.0",L88,IF(J88="v3.1",M88,IF(J88="Both",L88,IF(AND(L88&lt;&gt;"",M88=""),L88,M88))))</f>
        <v/>
      </c>
      <c r="Y88">
        <f>IF(T88="P0",1,IF(T88="P1",3,IF(T88="P2",7,IF(T88="P3",30,IF(T88="P4",30,7)))))</f>
        <v/>
      </c>
      <c r="Z88">
        <f>IF(U88&lt;&gt;"",U88+Y88,"")</f>
        <v/>
      </c>
      <c r="AA88">
        <f>IF(Z88&lt;&gt;"",Z88-TODAY(),"")</f>
        <v/>
      </c>
      <c r="AB88">
        <f>IF(AA88&lt;&gt;"",IF(AA88&lt;0,"Overdue",IF(AA88&lt;=Y88*0.2,"At Risk","On Time")),"")</f>
        <v/>
      </c>
    </row>
    <row r="89">
      <c r="K89">
        <f>IF(J89="v4.0",L89,IF(J89="v3.1",M89,IF(J89="Both",L89,IF(AND(L89&lt;&gt;"",M89=""),L89,M89))))</f>
        <v/>
      </c>
      <c r="Y89">
        <f>IF(T89="P0",1,IF(T89="P1",3,IF(T89="P2",7,IF(T89="P3",30,IF(T89="P4",30,7)))))</f>
        <v/>
      </c>
      <c r="Z89">
        <f>IF(U89&lt;&gt;"",U89+Y89,"")</f>
        <v/>
      </c>
      <c r="AA89">
        <f>IF(Z89&lt;&gt;"",Z89-TODAY(),"")</f>
        <v/>
      </c>
      <c r="AB89">
        <f>IF(AA89&lt;&gt;"",IF(AA89&lt;0,"Overdue",IF(AA89&lt;=Y89*0.2,"At Risk","On Time")),"")</f>
        <v/>
      </c>
    </row>
    <row r="90">
      <c r="K90">
        <f>IF(J90="v4.0",L90,IF(J90="v3.1",M90,IF(J90="Both",L90,IF(AND(L90&lt;&gt;"",M90=""),L90,M90))))</f>
        <v/>
      </c>
      <c r="Y90">
        <f>IF(T90="P0",1,IF(T90="P1",3,IF(T90="P2",7,IF(T90="P3",30,IF(T90="P4",30,7)))))</f>
        <v/>
      </c>
      <c r="Z90">
        <f>IF(U90&lt;&gt;"",U90+Y90,"")</f>
        <v/>
      </c>
      <c r="AA90">
        <f>IF(Z90&lt;&gt;"",Z90-TODAY(),"")</f>
        <v/>
      </c>
      <c r="AB90">
        <f>IF(AA90&lt;&gt;"",IF(AA90&lt;0,"Overdue",IF(AA90&lt;=Y90*0.2,"At Risk","On Time")),"")</f>
        <v/>
      </c>
    </row>
    <row r="91">
      <c r="K91">
        <f>IF(J91="v4.0",L91,IF(J91="v3.1",M91,IF(J91="Both",L91,IF(AND(L91&lt;&gt;"",M91=""),L91,M91))))</f>
        <v/>
      </c>
      <c r="Y91">
        <f>IF(T91="P0",1,IF(T91="P1",3,IF(T91="P2",7,IF(T91="P3",30,IF(T91="P4",30,7)))))</f>
        <v/>
      </c>
      <c r="Z91">
        <f>IF(U91&lt;&gt;"",U91+Y91,"")</f>
        <v/>
      </c>
      <c r="AA91">
        <f>IF(Z91&lt;&gt;"",Z91-TODAY(),"")</f>
        <v/>
      </c>
      <c r="AB91">
        <f>IF(AA91&lt;&gt;"",IF(AA91&lt;0,"Overdue",IF(AA91&lt;=Y91*0.2,"At Risk","On Time")),"")</f>
        <v/>
      </c>
    </row>
    <row r="92">
      <c r="K92">
        <f>IF(J92="v4.0",L92,IF(J92="v3.1",M92,IF(J92="Both",L92,IF(AND(L92&lt;&gt;"",M92=""),L92,M92))))</f>
        <v/>
      </c>
      <c r="Y92">
        <f>IF(T92="P0",1,IF(T92="P1",3,IF(T92="P2",7,IF(T92="P3",30,IF(T92="P4",30,7)))))</f>
        <v/>
      </c>
      <c r="Z92">
        <f>IF(U92&lt;&gt;"",U92+Y92,"")</f>
        <v/>
      </c>
      <c r="AA92">
        <f>IF(Z92&lt;&gt;"",Z92-TODAY(),"")</f>
        <v/>
      </c>
      <c r="AB92">
        <f>IF(AA92&lt;&gt;"",IF(AA92&lt;0,"Overdue",IF(AA92&lt;=Y92*0.2,"At Risk","On Time")),"")</f>
        <v/>
      </c>
    </row>
    <row r="93">
      <c r="K93">
        <f>IF(J93="v4.0",L93,IF(J93="v3.1",M93,IF(J93="Both",L93,IF(AND(L93&lt;&gt;"",M93=""),L93,M93))))</f>
        <v/>
      </c>
      <c r="Y93">
        <f>IF(T93="P0",1,IF(T93="P1",3,IF(T93="P2",7,IF(T93="P3",30,IF(T93="P4",30,7)))))</f>
        <v/>
      </c>
      <c r="Z93">
        <f>IF(U93&lt;&gt;"",U93+Y93,"")</f>
        <v/>
      </c>
      <c r="AA93">
        <f>IF(Z93&lt;&gt;"",Z93-TODAY(),"")</f>
        <v/>
      </c>
      <c r="AB93">
        <f>IF(AA93&lt;&gt;"",IF(AA93&lt;0,"Overdue",IF(AA93&lt;=Y93*0.2,"At Risk","On Time")),"")</f>
        <v/>
      </c>
    </row>
    <row r="94">
      <c r="K94">
        <f>IF(J94="v4.0",L94,IF(J94="v3.1",M94,IF(J94="Both",L94,IF(AND(L94&lt;&gt;"",M94=""),L94,M94))))</f>
        <v/>
      </c>
      <c r="Y94">
        <f>IF(T94="P0",1,IF(T94="P1",3,IF(T94="P2",7,IF(T94="P3",30,IF(T94="P4",30,7)))))</f>
        <v/>
      </c>
      <c r="Z94">
        <f>IF(U94&lt;&gt;"",U94+Y94,"")</f>
        <v/>
      </c>
      <c r="AA94">
        <f>IF(Z94&lt;&gt;"",Z94-TODAY(),"")</f>
        <v/>
      </c>
      <c r="AB94">
        <f>IF(AA94&lt;&gt;"",IF(AA94&lt;0,"Overdue",IF(AA94&lt;=Y94*0.2,"At Risk","On Time")),"")</f>
        <v/>
      </c>
    </row>
    <row r="95">
      <c r="K95">
        <f>IF(J95="v4.0",L95,IF(J95="v3.1",M95,IF(J95="Both",L95,IF(AND(L95&lt;&gt;"",M95=""),L95,M95))))</f>
        <v/>
      </c>
      <c r="Y95">
        <f>IF(T95="P0",1,IF(T95="P1",3,IF(T95="P2",7,IF(T95="P3",30,IF(T95="P4",30,7)))))</f>
        <v/>
      </c>
      <c r="Z95">
        <f>IF(U95&lt;&gt;"",U95+Y95,"")</f>
        <v/>
      </c>
      <c r="AA95">
        <f>IF(Z95&lt;&gt;"",Z95-TODAY(),"")</f>
        <v/>
      </c>
      <c r="AB95">
        <f>IF(AA95&lt;&gt;"",IF(AA95&lt;0,"Overdue",IF(AA95&lt;=Y95*0.2,"At Risk","On Time")),"")</f>
        <v/>
      </c>
    </row>
    <row r="96">
      <c r="K96">
        <f>IF(J96="v4.0",L96,IF(J96="v3.1",M96,IF(J96="Both",L96,IF(AND(L96&lt;&gt;"",M96=""),L96,M96))))</f>
        <v/>
      </c>
      <c r="Y96">
        <f>IF(T96="P0",1,IF(T96="P1",3,IF(T96="P2",7,IF(T96="P3",30,IF(T96="P4",30,7)))))</f>
        <v/>
      </c>
      <c r="Z96">
        <f>IF(U96&lt;&gt;"",U96+Y96,"")</f>
        <v/>
      </c>
      <c r="AA96">
        <f>IF(Z96&lt;&gt;"",Z96-TODAY(),"")</f>
        <v/>
      </c>
      <c r="AB96">
        <f>IF(AA96&lt;&gt;"",IF(AA96&lt;0,"Overdue",IF(AA96&lt;=Y96*0.2,"At Risk","On Time")),"")</f>
        <v/>
      </c>
    </row>
    <row r="97">
      <c r="K97">
        <f>IF(J97="v4.0",L97,IF(J97="v3.1",M97,IF(J97="Both",L97,IF(AND(L97&lt;&gt;"",M97=""),L97,M97))))</f>
        <v/>
      </c>
      <c r="Y97">
        <f>IF(T97="P0",1,IF(T97="P1",3,IF(T97="P2",7,IF(T97="P3",30,IF(T97="P4",30,7)))))</f>
        <v/>
      </c>
      <c r="Z97">
        <f>IF(U97&lt;&gt;"",U97+Y97,"")</f>
        <v/>
      </c>
      <c r="AA97">
        <f>IF(Z97&lt;&gt;"",Z97-TODAY(),"")</f>
        <v/>
      </c>
      <c r="AB97">
        <f>IF(AA97&lt;&gt;"",IF(AA97&lt;0,"Overdue",IF(AA97&lt;=Y97*0.2,"At Risk","On Time")),"")</f>
        <v/>
      </c>
    </row>
    <row r="98">
      <c r="K98">
        <f>IF(J98="v4.0",L98,IF(J98="v3.1",M98,IF(J98="Both",L98,IF(AND(L98&lt;&gt;"",M98=""),L98,M98))))</f>
        <v/>
      </c>
      <c r="Y98">
        <f>IF(T98="P0",1,IF(T98="P1",3,IF(T98="P2",7,IF(T98="P3",30,IF(T98="P4",30,7)))))</f>
        <v/>
      </c>
      <c r="Z98">
        <f>IF(U98&lt;&gt;"",U98+Y98,"")</f>
        <v/>
      </c>
      <c r="AA98">
        <f>IF(Z98&lt;&gt;"",Z98-TODAY(),"")</f>
        <v/>
      </c>
      <c r="AB98">
        <f>IF(AA98&lt;&gt;"",IF(AA98&lt;0,"Overdue",IF(AA98&lt;=Y98*0.2,"At Risk","On Time")),"")</f>
        <v/>
      </c>
    </row>
    <row r="99">
      <c r="K99">
        <f>IF(J99="v4.0",L99,IF(J99="v3.1",M99,IF(J99="Both",L99,IF(AND(L99&lt;&gt;"",M99=""),L99,M99))))</f>
        <v/>
      </c>
      <c r="Y99">
        <f>IF(T99="P0",1,IF(T99="P1",3,IF(T99="P2",7,IF(T99="P3",30,IF(T99="P4",30,7)))))</f>
        <v/>
      </c>
      <c r="Z99">
        <f>IF(U99&lt;&gt;"",U99+Y99,"")</f>
        <v/>
      </c>
      <c r="AA99">
        <f>IF(Z99&lt;&gt;"",Z99-TODAY(),"")</f>
        <v/>
      </c>
      <c r="AB99">
        <f>IF(AA99&lt;&gt;"",IF(AA99&lt;0,"Overdue",IF(AA99&lt;=Y99*0.2,"At Risk","On Time")),"")</f>
        <v/>
      </c>
    </row>
    <row r="100">
      <c r="K100">
        <f>IF(J100="v4.0",L100,IF(J100="v3.1",M100,IF(J100="Both",L100,IF(AND(L100&lt;&gt;"",M100=""),L100,M100))))</f>
        <v/>
      </c>
      <c r="Y100">
        <f>IF(T100="P0",1,IF(T100="P1",3,IF(T100="P2",7,IF(T100="P3",30,IF(T100="P4",30,7)))))</f>
        <v/>
      </c>
      <c r="Z100">
        <f>IF(U100&lt;&gt;"",U100+Y100,"")</f>
        <v/>
      </c>
      <c r="AA100">
        <f>IF(Z100&lt;&gt;"",Z100-TODAY(),"")</f>
        <v/>
      </c>
      <c r="AB100">
        <f>IF(AA100&lt;&gt;"",IF(AA100&lt;0,"Overdue",IF(AA100&lt;=Y100*0.2,"At Risk","On Time")),"")</f>
        <v/>
      </c>
    </row>
    <row r="101">
      <c r="K101">
        <f>IF(J101="v4.0",L101,IF(J101="v3.1",M101,IF(J101="Both",L101,IF(AND(L101&lt;&gt;"",M101=""),L101,M101))))</f>
        <v/>
      </c>
      <c r="Y101">
        <f>IF(T101="P0",1,IF(T101="P1",3,IF(T101="P2",7,IF(T101="P3",30,IF(T101="P4",30,7)))))</f>
        <v/>
      </c>
      <c r="Z101">
        <f>IF(U101&lt;&gt;"",U101+Y101,"")</f>
        <v/>
      </c>
      <c r="AA101">
        <f>IF(Z101&lt;&gt;"",Z101-TODAY(),"")</f>
        <v/>
      </c>
      <c r="AB101">
        <f>IF(AA101&lt;&gt;"",IF(AA101&lt;0,"Overdue",IF(AA101&lt;=Y101*0.2,"At Risk","On Time")),"")</f>
        <v/>
      </c>
    </row>
    <row r="102">
      <c r="K102">
        <f>IF(J102="v4.0",L102,IF(J102="v3.1",M102,IF(J102="Both",L102,IF(AND(L102&lt;&gt;"",M102=""),L102,M102))))</f>
        <v/>
      </c>
      <c r="Y102">
        <f>IF(T102="P0",1,IF(T102="P1",3,IF(T102="P2",7,IF(T102="P3",30,IF(T102="P4",30,7)))))</f>
        <v/>
      </c>
      <c r="Z102">
        <f>IF(U102&lt;&gt;"",U102+Y102,"")</f>
        <v/>
      </c>
      <c r="AA102">
        <f>IF(Z102&lt;&gt;"",Z102-TODAY(),"")</f>
        <v/>
      </c>
      <c r="AB102">
        <f>IF(AA102&lt;&gt;"",IF(AA102&lt;0,"Overdue",IF(AA102&lt;=Y102*0.2,"At Risk","On Time")),"")</f>
        <v/>
      </c>
    </row>
    <row r="103">
      <c r="K103">
        <f>IF(J103="v4.0",L103,IF(J103="v3.1",M103,IF(J103="Both",L103,IF(AND(L103&lt;&gt;"",M103=""),L103,M103))))</f>
        <v/>
      </c>
      <c r="Y103">
        <f>IF(T103="P0",1,IF(T103="P1",3,IF(T103="P2",7,IF(T103="P3",30,IF(T103="P4",30,7)))))</f>
        <v/>
      </c>
      <c r="Z103">
        <f>IF(U103&lt;&gt;"",U103+Y103,"")</f>
        <v/>
      </c>
      <c r="AA103">
        <f>IF(Z103&lt;&gt;"",Z103-TODAY(),"")</f>
        <v/>
      </c>
      <c r="AB103">
        <f>IF(AA103&lt;&gt;"",IF(AA103&lt;0,"Overdue",IF(AA103&lt;=Y103*0.2,"At Risk","On Time")),"")</f>
        <v/>
      </c>
    </row>
    <row r="104">
      <c r="K104">
        <f>IF(J104="v4.0",L104,IF(J104="v3.1",M104,IF(J104="Both",L104,IF(AND(L104&lt;&gt;"",M104=""),L104,M104))))</f>
        <v/>
      </c>
      <c r="Y104">
        <f>IF(T104="P0",1,IF(T104="P1",3,IF(T104="P2",7,IF(T104="P3",30,IF(T104="P4",30,7)))))</f>
        <v/>
      </c>
      <c r="Z104">
        <f>IF(U104&lt;&gt;"",U104+Y104,"")</f>
        <v/>
      </c>
      <c r="AA104">
        <f>IF(Z104&lt;&gt;"",Z104-TODAY(),"")</f>
        <v/>
      </c>
      <c r="AB104">
        <f>IF(AA104&lt;&gt;"",IF(AA104&lt;0,"Overdue",IF(AA104&lt;=Y104*0.2,"At Risk","On Time")),"")</f>
        <v/>
      </c>
    </row>
    <row r="105">
      <c r="K105">
        <f>IF(J105="v4.0",L105,IF(J105="v3.1",M105,IF(J105="Both",L105,IF(AND(L105&lt;&gt;"",M105=""),L105,M105))))</f>
        <v/>
      </c>
      <c r="Y105">
        <f>IF(T105="P0",1,IF(T105="P1",3,IF(T105="P2",7,IF(T105="P3",30,IF(T105="P4",30,7)))))</f>
        <v/>
      </c>
      <c r="Z105">
        <f>IF(U105&lt;&gt;"",U105+Y105,"")</f>
        <v/>
      </c>
      <c r="AA105">
        <f>IF(Z105&lt;&gt;"",Z105-TODAY(),"")</f>
        <v/>
      </c>
      <c r="AB105">
        <f>IF(AA105&lt;&gt;"",IF(AA105&lt;0,"Overdue",IF(AA105&lt;=Y105*0.2,"At Risk","On Time")),"")</f>
        <v/>
      </c>
    </row>
    <row r="106">
      <c r="K106">
        <f>IF(J106="v4.0",L106,IF(J106="v3.1",M106,IF(J106="Both",L106,IF(AND(L106&lt;&gt;"",M106=""),L106,M106))))</f>
        <v/>
      </c>
      <c r="Y106">
        <f>IF(T106="P0",1,IF(T106="P1",3,IF(T106="P2",7,IF(T106="P3",30,IF(T106="P4",30,7)))))</f>
        <v/>
      </c>
      <c r="Z106">
        <f>IF(U106&lt;&gt;"",U106+Y106,"")</f>
        <v/>
      </c>
      <c r="AA106">
        <f>IF(Z106&lt;&gt;"",Z106-TODAY(),"")</f>
        <v/>
      </c>
      <c r="AB106">
        <f>IF(AA106&lt;&gt;"",IF(AA106&lt;0,"Overdue",IF(AA106&lt;=Y106*0.2,"At Risk","On Time")),"")</f>
        <v/>
      </c>
    </row>
    <row r="107">
      <c r="K107">
        <f>IF(J107="v4.0",L107,IF(J107="v3.1",M107,IF(J107="Both",L107,IF(AND(L107&lt;&gt;"",M107=""),L107,M107))))</f>
        <v/>
      </c>
      <c r="Y107">
        <f>IF(T107="P0",1,IF(T107="P1",3,IF(T107="P2",7,IF(T107="P3",30,IF(T107="P4",30,7)))))</f>
        <v/>
      </c>
      <c r="Z107">
        <f>IF(U107&lt;&gt;"",U107+Y107,"")</f>
        <v/>
      </c>
      <c r="AA107">
        <f>IF(Z107&lt;&gt;"",Z107-TODAY(),"")</f>
        <v/>
      </c>
      <c r="AB107">
        <f>IF(AA107&lt;&gt;"",IF(AA107&lt;0,"Overdue",IF(AA107&lt;=Y107*0.2,"At Risk","On Time")),"")</f>
        <v/>
      </c>
    </row>
    <row r="108">
      <c r="K108">
        <f>IF(J108="v4.0",L108,IF(J108="v3.1",M108,IF(J108="Both",L108,IF(AND(L108&lt;&gt;"",M108=""),L108,M108))))</f>
        <v/>
      </c>
      <c r="Y108">
        <f>IF(T108="P0",1,IF(T108="P1",3,IF(T108="P2",7,IF(T108="P3",30,IF(T108="P4",30,7)))))</f>
        <v/>
      </c>
      <c r="Z108">
        <f>IF(U108&lt;&gt;"",U108+Y108,"")</f>
        <v/>
      </c>
      <c r="AA108">
        <f>IF(Z108&lt;&gt;"",Z108-TODAY(),"")</f>
        <v/>
      </c>
      <c r="AB108">
        <f>IF(AA108&lt;&gt;"",IF(AA108&lt;0,"Overdue",IF(AA108&lt;=Y108*0.2,"At Risk","On Time")),"")</f>
        <v/>
      </c>
    </row>
    <row r="109">
      <c r="K109">
        <f>IF(J109="v4.0",L109,IF(J109="v3.1",M109,IF(J109="Both",L109,IF(AND(L109&lt;&gt;"",M109=""),L109,M109))))</f>
        <v/>
      </c>
      <c r="Y109">
        <f>IF(T109="P0",1,IF(T109="P1",3,IF(T109="P2",7,IF(T109="P3",30,IF(T109="P4",30,7)))))</f>
        <v/>
      </c>
      <c r="Z109">
        <f>IF(U109&lt;&gt;"",U109+Y109,"")</f>
        <v/>
      </c>
      <c r="AA109">
        <f>IF(Z109&lt;&gt;"",Z109-TODAY(),"")</f>
        <v/>
      </c>
      <c r="AB109">
        <f>IF(AA109&lt;&gt;"",IF(AA109&lt;0,"Overdue",IF(AA109&lt;=Y109*0.2,"At Risk","On Time")),"")</f>
        <v/>
      </c>
    </row>
    <row r="110">
      <c r="K110">
        <f>IF(J110="v4.0",L110,IF(J110="v3.1",M110,IF(J110="Both",L110,IF(AND(L110&lt;&gt;"",M110=""),L110,M110))))</f>
        <v/>
      </c>
      <c r="Y110">
        <f>IF(T110="P0",1,IF(T110="P1",3,IF(T110="P2",7,IF(T110="P3",30,IF(T110="P4",30,7)))))</f>
        <v/>
      </c>
      <c r="Z110">
        <f>IF(U110&lt;&gt;"",U110+Y110,"")</f>
        <v/>
      </c>
      <c r="AA110">
        <f>IF(Z110&lt;&gt;"",Z110-TODAY(),"")</f>
        <v/>
      </c>
      <c r="AB110">
        <f>IF(AA110&lt;&gt;"",IF(AA110&lt;0,"Overdue",IF(AA110&lt;=Y110*0.2,"At Risk","On Time")),"")</f>
        <v/>
      </c>
    </row>
    <row r="111">
      <c r="K111">
        <f>IF(J111="v4.0",L111,IF(J111="v3.1",M111,IF(J111="Both",L111,IF(AND(L111&lt;&gt;"",M111=""),L111,M111))))</f>
        <v/>
      </c>
      <c r="Y111">
        <f>IF(T111="P0",1,IF(T111="P1",3,IF(T111="P2",7,IF(T111="P3",30,IF(T111="P4",30,7)))))</f>
        <v/>
      </c>
      <c r="Z111">
        <f>IF(U111&lt;&gt;"",U111+Y111,"")</f>
        <v/>
      </c>
      <c r="AA111">
        <f>IF(Z111&lt;&gt;"",Z111-TODAY(),"")</f>
        <v/>
      </c>
      <c r="AB111">
        <f>IF(AA111&lt;&gt;"",IF(AA111&lt;0,"Overdue",IF(AA111&lt;=Y111*0.2,"At Risk","On Time")),"")</f>
        <v/>
      </c>
    </row>
    <row r="112">
      <c r="K112">
        <f>IF(J112="v4.0",L112,IF(J112="v3.1",M112,IF(J112="Both",L112,IF(AND(L112&lt;&gt;"",M112=""),L112,M112))))</f>
        <v/>
      </c>
      <c r="Y112">
        <f>IF(T112="P0",1,IF(T112="P1",3,IF(T112="P2",7,IF(T112="P3",30,IF(T112="P4",30,7)))))</f>
        <v/>
      </c>
      <c r="Z112">
        <f>IF(U112&lt;&gt;"",U112+Y112,"")</f>
        <v/>
      </c>
      <c r="AA112">
        <f>IF(Z112&lt;&gt;"",Z112-TODAY(),"")</f>
        <v/>
      </c>
      <c r="AB112">
        <f>IF(AA112&lt;&gt;"",IF(AA112&lt;0,"Overdue",IF(AA112&lt;=Y112*0.2,"At Risk","On Time")),"")</f>
        <v/>
      </c>
    </row>
    <row r="113">
      <c r="K113">
        <f>IF(J113="v4.0",L113,IF(J113="v3.1",M113,IF(J113="Both",L113,IF(AND(L113&lt;&gt;"",M113=""),L113,M113))))</f>
        <v/>
      </c>
      <c r="Y113">
        <f>IF(T113="P0",1,IF(T113="P1",3,IF(T113="P2",7,IF(T113="P3",30,IF(T113="P4",30,7)))))</f>
        <v/>
      </c>
      <c r="Z113">
        <f>IF(U113&lt;&gt;"",U113+Y113,"")</f>
        <v/>
      </c>
      <c r="AA113">
        <f>IF(Z113&lt;&gt;"",Z113-TODAY(),"")</f>
        <v/>
      </c>
      <c r="AB113">
        <f>IF(AA113&lt;&gt;"",IF(AA113&lt;0,"Overdue",IF(AA113&lt;=Y113*0.2,"At Risk","On Time")),"")</f>
        <v/>
      </c>
    </row>
    <row r="114">
      <c r="K114">
        <f>IF(J114="v4.0",L114,IF(J114="v3.1",M114,IF(J114="Both",L114,IF(AND(L114&lt;&gt;"",M114=""),L114,M114))))</f>
        <v/>
      </c>
      <c r="Y114">
        <f>IF(T114="P0",1,IF(T114="P1",3,IF(T114="P2",7,IF(T114="P3",30,IF(T114="P4",30,7)))))</f>
        <v/>
      </c>
      <c r="Z114">
        <f>IF(U114&lt;&gt;"",U114+Y114,"")</f>
        <v/>
      </c>
      <c r="AA114">
        <f>IF(Z114&lt;&gt;"",Z114-TODAY(),"")</f>
        <v/>
      </c>
      <c r="AB114">
        <f>IF(AA114&lt;&gt;"",IF(AA114&lt;0,"Overdue",IF(AA114&lt;=Y114*0.2,"At Risk","On Time")),"")</f>
        <v/>
      </c>
    </row>
    <row r="115">
      <c r="K115">
        <f>IF(J115="v4.0",L115,IF(J115="v3.1",M115,IF(J115="Both",L115,IF(AND(L115&lt;&gt;"",M115=""),L115,M115))))</f>
        <v/>
      </c>
      <c r="Y115">
        <f>IF(T115="P0",1,IF(T115="P1",3,IF(T115="P2",7,IF(T115="P3",30,IF(T115="P4",30,7)))))</f>
        <v/>
      </c>
      <c r="Z115">
        <f>IF(U115&lt;&gt;"",U115+Y115,"")</f>
        <v/>
      </c>
      <c r="AA115">
        <f>IF(Z115&lt;&gt;"",Z115-TODAY(),"")</f>
        <v/>
      </c>
      <c r="AB115">
        <f>IF(AA115&lt;&gt;"",IF(AA115&lt;0,"Overdue",IF(AA115&lt;=Y115*0.2,"At Risk","On Time")),"")</f>
        <v/>
      </c>
    </row>
    <row r="116">
      <c r="K116">
        <f>IF(J116="v4.0",L116,IF(J116="v3.1",M116,IF(J116="Both",L116,IF(AND(L116&lt;&gt;"",M116=""),L116,M116))))</f>
        <v/>
      </c>
      <c r="Y116">
        <f>IF(T116="P0",1,IF(T116="P1",3,IF(T116="P2",7,IF(T116="P3",30,IF(T116="P4",30,7)))))</f>
        <v/>
      </c>
      <c r="Z116">
        <f>IF(U116&lt;&gt;"",U116+Y116,"")</f>
        <v/>
      </c>
      <c r="AA116">
        <f>IF(Z116&lt;&gt;"",Z116-TODAY(),"")</f>
        <v/>
      </c>
      <c r="AB116">
        <f>IF(AA116&lt;&gt;"",IF(AA116&lt;0,"Overdue",IF(AA116&lt;=Y116*0.2,"At Risk","On Time")),"")</f>
        <v/>
      </c>
    </row>
    <row r="117">
      <c r="K117">
        <f>IF(J117="v4.0",L117,IF(J117="v3.1",M117,IF(J117="Both",L117,IF(AND(L117&lt;&gt;"",M117=""),L117,M117))))</f>
        <v/>
      </c>
      <c r="Y117">
        <f>IF(T117="P0",1,IF(T117="P1",3,IF(T117="P2",7,IF(T117="P3",30,IF(T117="P4",30,7)))))</f>
        <v/>
      </c>
      <c r="Z117">
        <f>IF(U117&lt;&gt;"",U117+Y117,"")</f>
        <v/>
      </c>
      <c r="AA117">
        <f>IF(Z117&lt;&gt;"",Z117-TODAY(),"")</f>
        <v/>
      </c>
      <c r="AB117">
        <f>IF(AA117&lt;&gt;"",IF(AA117&lt;0,"Overdue",IF(AA117&lt;=Y117*0.2,"At Risk","On Time")),"")</f>
        <v/>
      </c>
    </row>
    <row r="118">
      <c r="K118">
        <f>IF(J118="v4.0",L118,IF(J118="v3.1",M118,IF(J118="Both",L118,IF(AND(L118&lt;&gt;"",M118=""),L118,M118))))</f>
        <v/>
      </c>
      <c r="Y118">
        <f>IF(T118="P0",1,IF(T118="P1",3,IF(T118="P2",7,IF(T118="P3",30,IF(T118="P4",30,7)))))</f>
        <v/>
      </c>
      <c r="Z118">
        <f>IF(U118&lt;&gt;"",U118+Y118,"")</f>
        <v/>
      </c>
      <c r="AA118">
        <f>IF(Z118&lt;&gt;"",Z118-TODAY(),"")</f>
        <v/>
      </c>
      <c r="AB118">
        <f>IF(AA118&lt;&gt;"",IF(AA118&lt;0,"Overdue",IF(AA118&lt;=Y118*0.2,"At Risk","On Time")),"")</f>
        <v/>
      </c>
    </row>
    <row r="119">
      <c r="K119">
        <f>IF(J119="v4.0",L119,IF(J119="v3.1",M119,IF(J119="Both",L119,IF(AND(L119&lt;&gt;"",M119=""),L119,M119))))</f>
        <v/>
      </c>
      <c r="Y119">
        <f>IF(T119="P0",1,IF(T119="P1",3,IF(T119="P2",7,IF(T119="P3",30,IF(T119="P4",30,7)))))</f>
        <v/>
      </c>
      <c r="Z119">
        <f>IF(U119&lt;&gt;"",U119+Y119,"")</f>
        <v/>
      </c>
      <c r="AA119">
        <f>IF(Z119&lt;&gt;"",Z119-TODAY(),"")</f>
        <v/>
      </c>
      <c r="AB119">
        <f>IF(AA119&lt;&gt;"",IF(AA119&lt;0,"Overdue",IF(AA119&lt;=Y119*0.2,"At Risk","On Time")),"")</f>
        <v/>
      </c>
    </row>
    <row r="120">
      <c r="K120">
        <f>IF(J120="v4.0",L120,IF(J120="v3.1",M120,IF(J120="Both",L120,IF(AND(L120&lt;&gt;"",M120=""),L120,M120))))</f>
        <v/>
      </c>
      <c r="Y120">
        <f>IF(T120="P0",1,IF(T120="P1",3,IF(T120="P2",7,IF(T120="P3",30,IF(T120="P4",30,7)))))</f>
        <v/>
      </c>
      <c r="Z120">
        <f>IF(U120&lt;&gt;"",U120+Y120,"")</f>
        <v/>
      </c>
      <c r="AA120">
        <f>IF(Z120&lt;&gt;"",Z120-TODAY(),"")</f>
        <v/>
      </c>
      <c r="AB120">
        <f>IF(AA120&lt;&gt;"",IF(AA120&lt;0,"Overdue",IF(AA120&lt;=Y120*0.2,"At Risk","On Time")),"")</f>
        <v/>
      </c>
    </row>
    <row r="121">
      <c r="K121">
        <f>IF(J121="v4.0",L121,IF(J121="v3.1",M121,IF(J121="Both",L121,IF(AND(L121&lt;&gt;"",M121=""),L121,M121))))</f>
        <v/>
      </c>
      <c r="Y121">
        <f>IF(T121="P0",1,IF(T121="P1",3,IF(T121="P2",7,IF(T121="P3",30,IF(T121="P4",30,7)))))</f>
        <v/>
      </c>
      <c r="Z121">
        <f>IF(U121&lt;&gt;"",U121+Y121,"")</f>
        <v/>
      </c>
      <c r="AA121">
        <f>IF(Z121&lt;&gt;"",Z121-TODAY(),"")</f>
        <v/>
      </c>
      <c r="AB121">
        <f>IF(AA121&lt;&gt;"",IF(AA121&lt;0,"Overdue",IF(AA121&lt;=Y121*0.2,"At Risk","On Time")),"")</f>
        <v/>
      </c>
    </row>
    <row r="122">
      <c r="K122">
        <f>IF(J122="v4.0",L122,IF(J122="v3.1",M122,IF(J122="Both",L122,IF(AND(L122&lt;&gt;"",M122=""),L122,M122))))</f>
        <v/>
      </c>
      <c r="Y122">
        <f>IF(T122="P0",1,IF(T122="P1",3,IF(T122="P2",7,IF(T122="P3",30,IF(T122="P4",30,7)))))</f>
        <v/>
      </c>
      <c r="Z122">
        <f>IF(U122&lt;&gt;"",U122+Y122,"")</f>
        <v/>
      </c>
      <c r="AA122">
        <f>IF(Z122&lt;&gt;"",Z122-TODAY(),"")</f>
        <v/>
      </c>
      <c r="AB122">
        <f>IF(AA122&lt;&gt;"",IF(AA122&lt;0,"Overdue",IF(AA122&lt;=Y122*0.2,"At Risk","On Time")),"")</f>
        <v/>
      </c>
    </row>
    <row r="123">
      <c r="K123">
        <f>IF(J123="v4.0",L123,IF(J123="v3.1",M123,IF(J123="Both",L123,IF(AND(L123&lt;&gt;"",M123=""),L123,M123))))</f>
        <v/>
      </c>
      <c r="Y123">
        <f>IF(T123="P0",1,IF(T123="P1",3,IF(T123="P2",7,IF(T123="P3",30,IF(T123="P4",30,7)))))</f>
        <v/>
      </c>
      <c r="Z123">
        <f>IF(U123&lt;&gt;"",U123+Y123,"")</f>
        <v/>
      </c>
      <c r="AA123">
        <f>IF(Z123&lt;&gt;"",Z123-TODAY(),"")</f>
        <v/>
      </c>
      <c r="AB123">
        <f>IF(AA123&lt;&gt;"",IF(AA123&lt;0,"Overdue",IF(AA123&lt;=Y123*0.2,"At Risk","On Time")),"")</f>
        <v/>
      </c>
    </row>
    <row r="124">
      <c r="K124">
        <f>IF(J124="v4.0",L124,IF(J124="v3.1",M124,IF(J124="Both",L124,IF(AND(L124&lt;&gt;"",M124=""),L124,M124))))</f>
        <v/>
      </c>
      <c r="Y124">
        <f>IF(T124="P0",1,IF(T124="P1",3,IF(T124="P2",7,IF(T124="P3",30,IF(T124="P4",30,7)))))</f>
        <v/>
      </c>
      <c r="Z124">
        <f>IF(U124&lt;&gt;"",U124+Y124,"")</f>
        <v/>
      </c>
      <c r="AA124">
        <f>IF(Z124&lt;&gt;"",Z124-TODAY(),"")</f>
        <v/>
      </c>
      <c r="AB124">
        <f>IF(AA124&lt;&gt;"",IF(AA124&lt;0,"Overdue",IF(AA124&lt;=Y124*0.2,"At Risk","On Time")),"")</f>
        <v/>
      </c>
    </row>
    <row r="125">
      <c r="K125">
        <f>IF(J125="v4.0",L125,IF(J125="v3.1",M125,IF(J125="Both",L125,IF(AND(L125&lt;&gt;"",M125=""),L125,M125))))</f>
        <v/>
      </c>
      <c r="Y125">
        <f>IF(T125="P0",1,IF(T125="P1",3,IF(T125="P2",7,IF(T125="P3",30,IF(T125="P4",30,7)))))</f>
        <v/>
      </c>
      <c r="Z125">
        <f>IF(U125&lt;&gt;"",U125+Y125,"")</f>
        <v/>
      </c>
      <c r="AA125">
        <f>IF(Z125&lt;&gt;"",Z125-TODAY(),"")</f>
        <v/>
      </c>
      <c r="AB125">
        <f>IF(AA125&lt;&gt;"",IF(AA125&lt;0,"Overdue",IF(AA125&lt;=Y125*0.2,"At Risk","On Time")),"")</f>
        <v/>
      </c>
    </row>
    <row r="126">
      <c r="K126">
        <f>IF(J126="v4.0",L126,IF(J126="v3.1",M126,IF(J126="Both",L126,IF(AND(L126&lt;&gt;"",M126=""),L126,M126))))</f>
        <v/>
      </c>
      <c r="Y126">
        <f>IF(T126="P0",1,IF(T126="P1",3,IF(T126="P2",7,IF(T126="P3",30,IF(T126="P4",30,7)))))</f>
        <v/>
      </c>
      <c r="Z126">
        <f>IF(U126&lt;&gt;"",U126+Y126,"")</f>
        <v/>
      </c>
      <c r="AA126">
        <f>IF(Z126&lt;&gt;"",Z126-TODAY(),"")</f>
        <v/>
      </c>
      <c r="AB126">
        <f>IF(AA126&lt;&gt;"",IF(AA126&lt;0,"Overdue",IF(AA126&lt;=Y126*0.2,"At Risk","On Time")),"")</f>
        <v/>
      </c>
    </row>
    <row r="127">
      <c r="K127">
        <f>IF(J127="v4.0",L127,IF(J127="v3.1",M127,IF(J127="Both",L127,IF(AND(L127&lt;&gt;"",M127=""),L127,M127))))</f>
        <v/>
      </c>
      <c r="Y127">
        <f>IF(T127="P0",1,IF(T127="P1",3,IF(T127="P2",7,IF(T127="P3",30,IF(T127="P4",30,7)))))</f>
        <v/>
      </c>
      <c r="Z127">
        <f>IF(U127&lt;&gt;"",U127+Y127,"")</f>
        <v/>
      </c>
      <c r="AA127">
        <f>IF(Z127&lt;&gt;"",Z127-TODAY(),"")</f>
        <v/>
      </c>
      <c r="AB127">
        <f>IF(AA127&lt;&gt;"",IF(AA127&lt;0,"Overdue",IF(AA127&lt;=Y127*0.2,"At Risk","On Time")),"")</f>
        <v/>
      </c>
    </row>
    <row r="128">
      <c r="K128">
        <f>IF(J128="v4.0",L128,IF(J128="v3.1",M128,IF(J128="Both",L128,IF(AND(L128&lt;&gt;"",M128=""),L128,M128))))</f>
        <v/>
      </c>
      <c r="Y128">
        <f>IF(T128="P0",1,IF(T128="P1",3,IF(T128="P2",7,IF(T128="P3",30,IF(T128="P4",30,7)))))</f>
        <v/>
      </c>
      <c r="Z128">
        <f>IF(U128&lt;&gt;"",U128+Y128,"")</f>
        <v/>
      </c>
      <c r="AA128">
        <f>IF(Z128&lt;&gt;"",Z128-TODAY(),"")</f>
        <v/>
      </c>
      <c r="AB128">
        <f>IF(AA128&lt;&gt;"",IF(AA128&lt;0,"Overdue",IF(AA128&lt;=Y128*0.2,"At Risk","On Time")),"")</f>
        <v/>
      </c>
    </row>
    <row r="129">
      <c r="K129">
        <f>IF(J129="v4.0",L129,IF(J129="v3.1",M129,IF(J129="Both",L129,IF(AND(L129&lt;&gt;"",M129=""),L129,M129))))</f>
        <v/>
      </c>
      <c r="Y129">
        <f>IF(T129="P0",1,IF(T129="P1",3,IF(T129="P2",7,IF(T129="P3",30,IF(T129="P4",30,7)))))</f>
        <v/>
      </c>
      <c r="Z129">
        <f>IF(U129&lt;&gt;"",U129+Y129,"")</f>
        <v/>
      </c>
      <c r="AA129">
        <f>IF(Z129&lt;&gt;"",Z129-TODAY(),"")</f>
        <v/>
      </c>
      <c r="AB129">
        <f>IF(AA129&lt;&gt;"",IF(AA129&lt;0,"Overdue",IF(AA129&lt;=Y129*0.2,"At Risk","On Time")),"")</f>
        <v/>
      </c>
    </row>
    <row r="130">
      <c r="K130">
        <f>IF(J130="v4.0",L130,IF(J130="v3.1",M130,IF(J130="Both",L130,IF(AND(L130&lt;&gt;"",M130=""),L130,M130))))</f>
        <v/>
      </c>
      <c r="Y130">
        <f>IF(T130="P0",1,IF(T130="P1",3,IF(T130="P2",7,IF(T130="P3",30,IF(T130="P4",30,7)))))</f>
        <v/>
      </c>
      <c r="Z130">
        <f>IF(U130&lt;&gt;"",U130+Y130,"")</f>
        <v/>
      </c>
      <c r="AA130">
        <f>IF(Z130&lt;&gt;"",Z130-TODAY(),"")</f>
        <v/>
      </c>
      <c r="AB130">
        <f>IF(AA130&lt;&gt;"",IF(AA130&lt;0,"Overdue",IF(AA130&lt;=Y130*0.2,"At Risk","On Time")),"")</f>
        <v/>
      </c>
    </row>
    <row r="131">
      <c r="K131">
        <f>IF(J131="v4.0",L131,IF(J131="v3.1",M131,IF(J131="Both",L131,IF(AND(L131&lt;&gt;"",M131=""),L131,M131))))</f>
        <v/>
      </c>
      <c r="Y131">
        <f>IF(T131="P0",1,IF(T131="P1",3,IF(T131="P2",7,IF(T131="P3",30,IF(T131="P4",30,7)))))</f>
        <v/>
      </c>
      <c r="Z131">
        <f>IF(U131&lt;&gt;"",U131+Y131,"")</f>
        <v/>
      </c>
      <c r="AA131">
        <f>IF(Z131&lt;&gt;"",Z131-TODAY(),"")</f>
        <v/>
      </c>
      <c r="AB131">
        <f>IF(AA131&lt;&gt;"",IF(AA131&lt;0,"Overdue",IF(AA131&lt;=Y131*0.2,"At Risk","On Time")),"")</f>
        <v/>
      </c>
    </row>
    <row r="132">
      <c r="K132">
        <f>IF(J132="v4.0",L132,IF(J132="v3.1",M132,IF(J132="Both",L132,IF(AND(L132&lt;&gt;"",M132=""),L132,M132))))</f>
        <v/>
      </c>
      <c r="Y132">
        <f>IF(T132="P0",1,IF(T132="P1",3,IF(T132="P2",7,IF(T132="P3",30,IF(T132="P4",30,7)))))</f>
        <v/>
      </c>
      <c r="Z132">
        <f>IF(U132&lt;&gt;"",U132+Y132,"")</f>
        <v/>
      </c>
      <c r="AA132">
        <f>IF(Z132&lt;&gt;"",Z132-TODAY(),"")</f>
        <v/>
      </c>
      <c r="AB132">
        <f>IF(AA132&lt;&gt;"",IF(AA132&lt;0,"Overdue",IF(AA132&lt;=Y132*0.2,"At Risk","On Time")),"")</f>
        <v/>
      </c>
    </row>
    <row r="133">
      <c r="K133">
        <f>IF(J133="v4.0",L133,IF(J133="v3.1",M133,IF(J133="Both",L133,IF(AND(L133&lt;&gt;"",M133=""),L133,M133))))</f>
        <v/>
      </c>
      <c r="Y133">
        <f>IF(T133="P0",1,IF(T133="P1",3,IF(T133="P2",7,IF(T133="P3",30,IF(T133="P4",30,7)))))</f>
        <v/>
      </c>
      <c r="Z133">
        <f>IF(U133&lt;&gt;"",U133+Y133,"")</f>
        <v/>
      </c>
      <c r="AA133">
        <f>IF(Z133&lt;&gt;"",Z133-TODAY(),"")</f>
        <v/>
      </c>
      <c r="AB133">
        <f>IF(AA133&lt;&gt;"",IF(AA133&lt;0,"Overdue",IF(AA133&lt;=Y133*0.2,"At Risk","On Time")),"")</f>
        <v/>
      </c>
    </row>
    <row r="134">
      <c r="K134">
        <f>IF(J134="v4.0",L134,IF(J134="v3.1",M134,IF(J134="Both",L134,IF(AND(L134&lt;&gt;"",M134=""),L134,M134))))</f>
        <v/>
      </c>
      <c r="Y134">
        <f>IF(T134="P0",1,IF(T134="P1",3,IF(T134="P2",7,IF(T134="P3",30,IF(T134="P4",30,7)))))</f>
        <v/>
      </c>
      <c r="Z134">
        <f>IF(U134&lt;&gt;"",U134+Y134,"")</f>
        <v/>
      </c>
      <c r="AA134">
        <f>IF(Z134&lt;&gt;"",Z134-TODAY(),"")</f>
        <v/>
      </c>
      <c r="AB134">
        <f>IF(AA134&lt;&gt;"",IF(AA134&lt;0,"Overdue",IF(AA134&lt;=Y134*0.2,"At Risk","On Time")),"")</f>
        <v/>
      </c>
    </row>
    <row r="135">
      <c r="K135">
        <f>IF(J135="v4.0",L135,IF(J135="v3.1",M135,IF(J135="Both",L135,IF(AND(L135&lt;&gt;"",M135=""),L135,M135))))</f>
        <v/>
      </c>
      <c r="Y135">
        <f>IF(T135="P0",1,IF(T135="P1",3,IF(T135="P2",7,IF(T135="P3",30,IF(T135="P4",30,7)))))</f>
        <v/>
      </c>
      <c r="Z135">
        <f>IF(U135&lt;&gt;"",U135+Y135,"")</f>
        <v/>
      </c>
      <c r="AA135">
        <f>IF(Z135&lt;&gt;"",Z135-TODAY(),"")</f>
        <v/>
      </c>
      <c r="AB135">
        <f>IF(AA135&lt;&gt;"",IF(AA135&lt;0,"Overdue",IF(AA135&lt;=Y135*0.2,"At Risk","On Time")),"")</f>
        <v/>
      </c>
    </row>
    <row r="136">
      <c r="K136">
        <f>IF(J136="v4.0",L136,IF(J136="v3.1",M136,IF(J136="Both",L136,IF(AND(L136&lt;&gt;"",M136=""),L136,M136))))</f>
        <v/>
      </c>
      <c r="Y136">
        <f>IF(T136="P0",1,IF(T136="P1",3,IF(T136="P2",7,IF(T136="P3",30,IF(T136="P4",30,7)))))</f>
        <v/>
      </c>
      <c r="Z136">
        <f>IF(U136&lt;&gt;"",U136+Y136,"")</f>
        <v/>
      </c>
      <c r="AA136">
        <f>IF(Z136&lt;&gt;"",Z136-TODAY(),"")</f>
        <v/>
      </c>
      <c r="AB136">
        <f>IF(AA136&lt;&gt;"",IF(AA136&lt;0,"Overdue",IF(AA136&lt;=Y136*0.2,"At Risk","On Time")),"")</f>
        <v/>
      </c>
    </row>
    <row r="137">
      <c r="K137">
        <f>IF(J137="v4.0",L137,IF(J137="v3.1",M137,IF(J137="Both",L137,IF(AND(L137&lt;&gt;"",M137=""),L137,M137))))</f>
        <v/>
      </c>
      <c r="Y137">
        <f>IF(T137="P0",1,IF(T137="P1",3,IF(T137="P2",7,IF(T137="P3",30,IF(T137="P4",30,7)))))</f>
        <v/>
      </c>
      <c r="Z137">
        <f>IF(U137&lt;&gt;"",U137+Y137,"")</f>
        <v/>
      </c>
      <c r="AA137">
        <f>IF(Z137&lt;&gt;"",Z137-TODAY(),"")</f>
        <v/>
      </c>
      <c r="AB137">
        <f>IF(AA137&lt;&gt;"",IF(AA137&lt;0,"Overdue",IF(AA137&lt;=Y137*0.2,"At Risk","On Time")),"")</f>
        <v/>
      </c>
    </row>
    <row r="138">
      <c r="K138">
        <f>IF(J138="v4.0",L138,IF(J138="v3.1",M138,IF(J138="Both",L138,IF(AND(L138&lt;&gt;"",M138=""),L138,M138))))</f>
        <v/>
      </c>
      <c r="Y138">
        <f>IF(T138="P0",1,IF(T138="P1",3,IF(T138="P2",7,IF(T138="P3",30,IF(T138="P4",30,7)))))</f>
        <v/>
      </c>
      <c r="Z138">
        <f>IF(U138&lt;&gt;"",U138+Y138,"")</f>
        <v/>
      </c>
      <c r="AA138">
        <f>IF(Z138&lt;&gt;"",Z138-TODAY(),"")</f>
        <v/>
      </c>
      <c r="AB138">
        <f>IF(AA138&lt;&gt;"",IF(AA138&lt;0,"Overdue",IF(AA138&lt;=Y138*0.2,"At Risk","On Time")),"")</f>
        <v/>
      </c>
    </row>
    <row r="139">
      <c r="K139">
        <f>IF(J139="v4.0",L139,IF(J139="v3.1",M139,IF(J139="Both",L139,IF(AND(L139&lt;&gt;"",M139=""),L139,M139))))</f>
        <v/>
      </c>
      <c r="Y139">
        <f>IF(T139="P0",1,IF(T139="P1",3,IF(T139="P2",7,IF(T139="P3",30,IF(T139="P4",30,7)))))</f>
        <v/>
      </c>
      <c r="Z139">
        <f>IF(U139&lt;&gt;"",U139+Y139,"")</f>
        <v/>
      </c>
      <c r="AA139">
        <f>IF(Z139&lt;&gt;"",Z139-TODAY(),"")</f>
        <v/>
      </c>
      <c r="AB139">
        <f>IF(AA139&lt;&gt;"",IF(AA139&lt;0,"Overdue",IF(AA139&lt;=Y139*0.2,"At Risk","On Time")),"")</f>
        <v/>
      </c>
    </row>
    <row r="140">
      <c r="K140">
        <f>IF(J140="v4.0",L140,IF(J140="v3.1",M140,IF(J140="Both",L140,IF(AND(L140&lt;&gt;"",M140=""),L140,M140))))</f>
        <v/>
      </c>
      <c r="Y140">
        <f>IF(T140="P0",1,IF(T140="P1",3,IF(T140="P2",7,IF(T140="P3",30,IF(T140="P4",30,7)))))</f>
        <v/>
      </c>
      <c r="Z140">
        <f>IF(U140&lt;&gt;"",U140+Y140,"")</f>
        <v/>
      </c>
      <c r="AA140">
        <f>IF(Z140&lt;&gt;"",Z140-TODAY(),"")</f>
        <v/>
      </c>
      <c r="AB140">
        <f>IF(AA140&lt;&gt;"",IF(AA140&lt;0,"Overdue",IF(AA140&lt;=Y140*0.2,"At Risk","On Time")),"")</f>
        <v/>
      </c>
    </row>
    <row r="141">
      <c r="K141">
        <f>IF(J141="v4.0",L141,IF(J141="v3.1",M141,IF(J141="Both",L141,IF(AND(L141&lt;&gt;"",M141=""),L141,M141))))</f>
        <v/>
      </c>
      <c r="Y141">
        <f>IF(T141="P0",1,IF(T141="P1",3,IF(T141="P2",7,IF(T141="P3",30,IF(T141="P4",30,7)))))</f>
        <v/>
      </c>
      <c r="Z141">
        <f>IF(U141&lt;&gt;"",U141+Y141,"")</f>
        <v/>
      </c>
      <c r="AA141">
        <f>IF(Z141&lt;&gt;"",Z141-TODAY(),"")</f>
        <v/>
      </c>
      <c r="AB141">
        <f>IF(AA141&lt;&gt;"",IF(AA141&lt;0,"Overdue",IF(AA141&lt;=Y141*0.2,"At Risk","On Time")),"")</f>
        <v/>
      </c>
    </row>
    <row r="142">
      <c r="K142">
        <f>IF(J142="v4.0",L142,IF(J142="v3.1",M142,IF(J142="Both",L142,IF(AND(L142&lt;&gt;"",M142=""),L142,M142))))</f>
        <v/>
      </c>
      <c r="Y142">
        <f>IF(T142="P0",1,IF(T142="P1",3,IF(T142="P2",7,IF(T142="P3",30,IF(T142="P4",30,7)))))</f>
        <v/>
      </c>
      <c r="Z142">
        <f>IF(U142&lt;&gt;"",U142+Y142,"")</f>
        <v/>
      </c>
      <c r="AA142">
        <f>IF(Z142&lt;&gt;"",Z142-TODAY(),"")</f>
        <v/>
      </c>
      <c r="AB142">
        <f>IF(AA142&lt;&gt;"",IF(AA142&lt;0,"Overdue",IF(AA142&lt;=Y142*0.2,"At Risk","On Time")),"")</f>
        <v/>
      </c>
    </row>
    <row r="143">
      <c r="K143">
        <f>IF(J143="v4.0",L143,IF(J143="v3.1",M143,IF(J143="Both",L143,IF(AND(L143&lt;&gt;"",M143=""),L143,M143))))</f>
        <v/>
      </c>
      <c r="Y143">
        <f>IF(T143="P0",1,IF(T143="P1",3,IF(T143="P2",7,IF(T143="P3",30,IF(T143="P4",30,7)))))</f>
        <v/>
      </c>
      <c r="Z143">
        <f>IF(U143&lt;&gt;"",U143+Y143,"")</f>
        <v/>
      </c>
      <c r="AA143">
        <f>IF(Z143&lt;&gt;"",Z143-TODAY(),"")</f>
        <v/>
      </c>
      <c r="AB143">
        <f>IF(AA143&lt;&gt;"",IF(AA143&lt;0,"Overdue",IF(AA143&lt;=Y143*0.2,"At Risk","On Time")),"")</f>
        <v/>
      </c>
    </row>
    <row r="144">
      <c r="K144">
        <f>IF(J144="v4.0",L144,IF(J144="v3.1",M144,IF(J144="Both",L144,IF(AND(L144&lt;&gt;"",M144=""),L144,M144))))</f>
        <v/>
      </c>
      <c r="Y144">
        <f>IF(T144="P0",1,IF(T144="P1",3,IF(T144="P2",7,IF(T144="P3",30,IF(T144="P4",30,7)))))</f>
        <v/>
      </c>
      <c r="Z144">
        <f>IF(U144&lt;&gt;"",U144+Y144,"")</f>
        <v/>
      </c>
      <c r="AA144">
        <f>IF(Z144&lt;&gt;"",Z144-TODAY(),"")</f>
        <v/>
      </c>
      <c r="AB144">
        <f>IF(AA144&lt;&gt;"",IF(AA144&lt;0,"Overdue",IF(AA144&lt;=Y144*0.2,"At Risk","On Time")),"")</f>
        <v/>
      </c>
    </row>
    <row r="145">
      <c r="K145">
        <f>IF(J145="v4.0",L145,IF(J145="v3.1",M145,IF(J145="Both",L145,IF(AND(L145&lt;&gt;"",M145=""),L145,M145))))</f>
        <v/>
      </c>
      <c r="Y145">
        <f>IF(T145="P0",1,IF(T145="P1",3,IF(T145="P2",7,IF(T145="P3",30,IF(T145="P4",30,7)))))</f>
        <v/>
      </c>
      <c r="Z145">
        <f>IF(U145&lt;&gt;"",U145+Y145,"")</f>
        <v/>
      </c>
      <c r="AA145">
        <f>IF(Z145&lt;&gt;"",Z145-TODAY(),"")</f>
        <v/>
      </c>
      <c r="AB145">
        <f>IF(AA145&lt;&gt;"",IF(AA145&lt;0,"Overdue",IF(AA145&lt;=Y145*0.2,"At Risk","On Time")),"")</f>
        <v/>
      </c>
    </row>
    <row r="146">
      <c r="K146">
        <f>IF(J146="v4.0",L146,IF(J146="v3.1",M146,IF(J146="Both",L146,IF(AND(L146&lt;&gt;"",M146=""),L146,M146))))</f>
        <v/>
      </c>
      <c r="Y146">
        <f>IF(T146="P0",1,IF(T146="P1",3,IF(T146="P2",7,IF(T146="P3",30,IF(T146="P4",30,7)))))</f>
        <v/>
      </c>
      <c r="Z146">
        <f>IF(U146&lt;&gt;"",U146+Y146,"")</f>
        <v/>
      </c>
      <c r="AA146">
        <f>IF(Z146&lt;&gt;"",Z146-TODAY(),"")</f>
        <v/>
      </c>
      <c r="AB146">
        <f>IF(AA146&lt;&gt;"",IF(AA146&lt;0,"Overdue",IF(AA146&lt;=Y146*0.2,"At Risk","On Time")),"")</f>
        <v/>
      </c>
    </row>
    <row r="147">
      <c r="K147">
        <f>IF(J147="v4.0",L147,IF(J147="v3.1",M147,IF(J147="Both",L147,IF(AND(L147&lt;&gt;"",M147=""),L147,M147))))</f>
        <v/>
      </c>
      <c r="Y147">
        <f>IF(T147="P0",1,IF(T147="P1",3,IF(T147="P2",7,IF(T147="P3",30,IF(T147="P4",30,7)))))</f>
        <v/>
      </c>
      <c r="Z147">
        <f>IF(U147&lt;&gt;"",U147+Y147,"")</f>
        <v/>
      </c>
      <c r="AA147">
        <f>IF(Z147&lt;&gt;"",Z147-TODAY(),"")</f>
        <v/>
      </c>
      <c r="AB147">
        <f>IF(AA147&lt;&gt;"",IF(AA147&lt;0,"Overdue",IF(AA147&lt;=Y147*0.2,"At Risk","On Time")),"")</f>
        <v/>
      </c>
    </row>
    <row r="148">
      <c r="K148">
        <f>IF(J148="v4.0",L148,IF(J148="v3.1",M148,IF(J148="Both",L148,IF(AND(L148&lt;&gt;"",M148=""),L148,M148))))</f>
        <v/>
      </c>
      <c r="Y148">
        <f>IF(T148="P0",1,IF(T148="P1",3,IF(T148="P2",7,IF(T148="P3",30,IF(T148="P4",30,7)))))</f>
        <v/>
      </c>
      <c r="Z148">
        <f>IF(U148&lt;&gt;"",U148+Y148,"")</f>
        <v/>
      </c>
      <c r="AA148">
        <f>IF(Z148&lt;&gt;"",Z148-TODAY(),"")</f>
        <v/>
      </c>
      <c r="AB148">
        <f>IF(AA148&lt;&gt;"",IF(AA148&lt;0,"Overdue",IF(AA148&lt;=Y148*0.2,"At Risk","On Time")),"")</f>
        <v/>
      </c>
    </row>
    <row r="149">
      <c r="K149">
        <f>IF(J149="v4.0",L149,IF(J149="v3.1",M149,IF(J149="Both",L149,IF(AND(L149&lt;&gt;"",M149=""),L149,M149))))</f>
        <v/>
      </c>
      <c r="Y149">
        <f>IF(T149="P0",1,IF(T149="P1",3,IF(T149="P2",7,IF(T149="P3",30,IF(T149="P4",30,7)))))</f>
        <v/>
      </c>
      <c r="Z149">
        <f>IF(U149&lt;&gt;"",U149+Y149,"")</f>
        <v/>
      </c>
      <c r="AA149">
        <f>IF(Z149&lt;&gt;"",Z149-TODAY(),"")</f>
        <v/>
      </c>
      <c r="AB149">
        <f>IF(AA149&lt;&gt;"",IF(AA149&lt;0,"Overdue",IF(AA149&lt;=Y149*0.2,"At Risk","On Time")),"")</f>
        <v/>
      </c>
    </row>
    <row r="150">
      <c r="K150">
        <f>IF(J150="v4.0",L150,IF(J150="v3.1",M150,IF(J150="Both",L150,IF(AND(L150&lt;&gt;"",M150=""),L150,M150))))</f>
        <v/>
      </c>
      <c r="Y150">
        <f>IF(T150="P0",1,IF(T150="P1",3,IF(T150="P2",7,IF(T150="P3",30,IF(T150="P4",30,7)))))</f>
        <v/>
      </c>
      <c r="Z150">
        <f>IF(U150&lt;&gt;"",U150+Y150,"")</f>
        <v/>
      </c>
      <c r="AA150">
        <f>IF(Z150&lt;&gt;"",Z150-TODAY(),"")</f>
        <v/>
      </c>
      <c r="AB150">
        <f>IF(AA150&lt;&gt;"",IF(AA150&lt;0,"Overdue",IF(AA150&lt;=Y150*0.2,"At Risk","On Time")),"")</f>
        <v/>
      </c>
    </row>
    <row r="151">
      <c r="K151">
        <f>IF(J151="v4.0",L151,IF(J151="v3.1",M151,IF(J151="Both",L151,IF(AND(L151&lt;&gt;"",M151=""),L151,M151))))</f>
        <v/>
      </c>
      <c r="Y151">
        <f>IF(T151="P0",1,IF(T151="P1",3,IF(T151="P2",7,IF(T151="P3",30,IF(T151="P4",30,7)))))</f>
        <v/>
      </c>
      <c r="Z151">
        <f>IF(U151&lt;&gt;"",U151+Y151,"")</f>
        <v/>
      </c>
      <c r="AA151">
        <f>IF(Z151&lt;&gt;"",Z151-TODAY(),"")</f>
        <v/>
      </c>
      <c r="AB151">
        <f>IF(AA151&lt;&gt;"",IF(AA151&lt;0,"Overdue",IF(AA151&lt;=Y151*0.2,"At Risk","On Time")),"")</f>
        <v/>
      </c>
    </row>
    <row r="152">
      <c r="K152">
        <f>IF(J152="v4.0",L152,IF(J152="v3.1",M152,IF(J152="Both",L152,IF(AND(L152&lt;&gt;"",M152=""),L152,M152))))</f>
        <v/>
      </c>
      <c r="Y152">
        <f>IF(T152="P0",1,IF(T152="P1",3,IF(T152="P2",7,IF(T152="P3",30,IF(T152="P4",30,7)))))</f>
        <v/>
      </c>
      <c r="Z152">
        <f>IF(U152&lt;&gt;"",U152+Y152,"")</f>
        <v/>
      </c>
      <c r="AA152">
        <f>IF(Z152&lt;&gt;"",Z152-TODAY(),"")</f>
        <v/>
      </c>
      <c r="AB152">
        <f>IF(AA152&lt;&gt;"",IF(AA152&lt;0,"Overdue",IF(AA152&lt;=Y152*0.2,"At Risk","On Time")),"")</f>
        <v/>
      </c>
    </row>
    <row r="153">
      <c r="K153">
        <f>IF(J153="v4.0",L153,IF(J153="v3.1",M153,IF(J153="Both",L153,IF(AND(L153&lt;&gt;"",M153=""),L153,M153))))</f>
        <v/>
      </c>
      <c r="Y153">
        <f>IF(T153="P0",1,IF(T153="P1",3,IF(T153="P2",7,IF(T153="P3",30,IF(T153="P4",30,7)))))</f>
        <v/>
      </c>
      <c r="Z153">
        <f>IF(U153&lt;&gt;"",U153+Y153,"")</f>
        <v/>
      </c>
      <c r="AA153">
        <f>IF(Z153&lt;&gt;"",Z153-TODAY(),"")</f>
        <v/>
      </c>
      <c r="AB153">
        <f>IF(AA153&lt;&gt;"",IF(AA153&lt;0,"Overdue",IF(AA153&lt;=Y153*0.2,"At Risk","On Time")),"")</f>
        <v/>
      </c>
    </row>
    <row r="154">
      <c r="K154">
        <f>IF(J154="v4.0",L154,IF(J154="v3.1",M154,IF(J154="Both",L154,IF(AND(L154&lt;&gt;"",M154=""),L154,M154))))</f>
        <v/>
      </c>
      <c r="Y154">
        <f>IF(T154="P0",1,IF(T154="P1",3,IF(T154="P2",7,IF(T154="P3",30,IF(T154="P4",30,7)))))</f>
        <v/>
      </c>
      <c r="Z154">
        <f>IF(U154&lt;&gt;"",U154+Y154,"")</f>
        <v/>
      </c>
      <c r="AA154">
        <f>IF(Z154&lt;&gt;"",Z154-TODAY(),"")</f>
        <v/>
      </c>
      <c r="AB154">
        <f>IF(AA154&lt;&gt;"",IF(AA154&lt;0,"Overdue",IF(AA154&lt;=Y154*0.2,"At Risk","On Time")),"")</f>
        <v/>
      </c>
    </row>
    <row r="155">
      <c r="K155">
        <f>IF(J155="v4.0",L155,IF(J155="v3.1",M155,IF(J155="Both",L155,IF(AND(L155&lt;&gt;"",M155=""),L155,M155))))</f>
        <v/>
      </c>
      <c r="Y155">
        <f>IF(T155="P0",1,IF(T155="P1",3,IF(T155="P2",7,IF(T155="P3",30,IF(T155="P4",30,7)))))</f>
        <v/>
      </c>
      <c r="Z155">
        <f>IF(U155&lt;&gt;"",U155+Y155,"")</f>
        <v/>
      </c>
      <c r="AA155">
        <f>IF(Z155&lt;&gt;"",Z155-TODAY(),"")</f>
        <v/>
      </c>
      <c r="AB155">
        <f>IF(AA155&lt;&gt;"",IF(AA155&lt;0,"Overdue",IF(AA155&lt;=Y155*0.2,"At Risk","On Time")),"")</f>
        <v/>
      </c>
    </row>
    <row r="156">
      <c r="K156">
        <f>IF(J156="v4.0",L156,IF(J156="v3.1",M156,IF(J156="Both",L156,IF(AND(L156&lt;&gt;"",M156=""),L156,M156))))</f>
        <v/>
      </c>
      <c r="Y156">
        <f>IF(T156="P0",1,IF(T156="P1",3,IF(T156="P2",7,IF(T156="P3",30,IF(T156="P4",30,7)))))</f>
        <v/>
      </c>
      <c r="Z156">
        <f>IF(U156&lt;&gt;"",U156+Y156,"")</f>
        <v/>
      </c>
      <c r="AA156">
        <f>IF(Z156&lt;&gt;"",Z156-TODAY(),"")</f>
        <v/>
      </c>
      <c r="AB156">
        <f>IF(AA156&lt;&gt;"",IF(AA156&lt;0,"Overdue",IF(AA156&lt;=Y156*0.2,"At Risk","On Time")),"")</f>
        <v/>
      </c>
    </row>
    <row r="157">
      <c r="K157">
        <f>IF(J157="v4.0",L157,IF(J157="v3.1",M157,IF(J157="Both",L157,IF(AND(L157&lt;&gt;"",M157=""),L157,M157))))</f>
        <v/>
      </c>
      <c r="Y157">
        <f>IF(T157="P0",1,IF(T157="P1",3,IF(T157="P2",7,IF(T157="P3",30,IF(T157="P4",30,7)))))</f>
        <v/>
      </c>
      <c r="Z157">
        <f>IF(U157&lt;&gt;"",U157+Y157,"")</f>
        <v/>
      </c>
      <c r="AA157">
        <f>IF(Z157&lt;&gt;"",Z157-TODAY(),"")</f>
        <v/>
      </c>
      <c r="AB157">
        <f>IF(AA157&lt;&gt;"",IF(AA157&lt;0,"Overdue",IF(AA157&lt;=Y157*0.2,"At Risk","On Time")),"")</f>
        <v/>
      </c>
    </row>
    <row r="158">
      <c r="K158">
        <f>IF(J158="v4.0",L158,IF(J158="v3.1",M158,IF(J158="Both",L158,IF(AND(L158&lt;&gt;"",M158=""),L158,M158))))</f>
        <v/>
      </c>
      <c r="Y158">
        <f>IF(T158="P0",1,IF(T158="P1",3,IF(T158="P2",7,IF(T158="P3",30,IF(T158="P4",30,7)))))</f>
        <v/>
      </c>
      <c r="Z158">
        <f>IF(U158&lt;&gt;"",U158+Y158,"")</f>
        <v/>
      </c>
      <c r="AA158">
        <f>IF(Z158&lt;&gt;"",Z158-TODAY(),"")</f>
        <v/>
      </c>
      <c r="AB158">
        <f>IF(AA158&lt;&gt;"",IF(AA158&lt;0,"Overdue",IF(AA158&lt;=Y158*0.2,"At Risk","On Time")),"")</f>
        <v/>
      </c>
    </row>
    <row r="159">
      <c r="K159">
        <f>IF(J159="v4.0",L159,IF(J159="v3.1",M159,IF(J159="Both",L159,IF(AND(L159&lt;&gt;"",M159=""),L159,M159))))</f>
        <v/>
      </c>
      <c r="Y159">
        <f>IF(T159="P0",1,IF(T159="P1",3,IF(T159="P2",7,IF(T159="P3",30,IF(T159="P4",30,7)))))</f>
        <v/>
      </c>
      <c r="Z159">
        <f>IF(U159&lt;&gt;"",U159+Y159,"")</f>
        <v/>
      </c>
      <c r="AA159">
        <f>IF(Z159&lt;&gt;"",Z159-TODAY(),"")</f>
        <v/>
      </c>
      <c r="AB159">
        <f>IF(AA159&lt;&gt;"",IF(AA159&lt;0,"Overdue",IF(AA159&lt;=Y159*0.2,"At Risk","On Time")),"")</f>
        <v/>
      </c>
    </row>
    <row r="160">
      <c r="K160">
        <f>IF(J160="v4.0",L160,IF(J160="v3.1",M160,IF(J160="Both",L160,IF(AND(L160&lt;&gt;"",M160=""),L160,M160))))</f>
        <v/>
      </c>
      <c r="Y160">
        <f>IF(T160="P0",1,IF(T160="P1",3,IF(T160="P2",7,IF(T160="P3",30,IF(T160="P4",30,7)))))</f>
        <v/>
      </c>
      <c r="Z160">
        <f>IF(U160&lt;&gt;"",U160+Y160,"")</f>
        <v/>
      </c>
      <c r="AA160">
        <f>IF(Z160&lt;&gt;"",Z160-TODAY(),"")</f>
        <v/>
      </c>
      <c r="AB160">
        <f>IF(AA160&lt;&gt;"",IF(AA160&lt;0,"Overdue",IF(AA160&lt;=Y160*0.2,"At Risk","On Time")),"")</f>
        <v/>
      </c>
    </row>
    <row r="161">
      <c r="K161">
        <f>IF(J161="v4.0",L161,IF(J161="v3.1",M161,IF(J161="Both",L161,IF(AND(L161&lt;&gt;"",M161=""),L161,M161))))</f>
        <v/>
      </c>
      <c r="Y161">
        <f>IF(T161="P0",1,IF(T161="P1",3,IF(T161="P2",7,IF(T161="P3",30,IF(T161="P4",30,7)))))</f>
        <v/>
      </c>
      <c r="Z161">
        <f>IF(U161&lt;&gt;"",U161+Y161,"")</f>
        <v/>
      </c>
      <c r="AA161">
        <f>IF(Z161&lt;&gt;"",Z161-TODAY(),"")</f>
        <v/>
      </c>
      <c r="AB161">
        <f>IF(AA161&lt;&gt;"",IF(AA161&lt;0,"Overdue",IF(AA161&lt;=Y161*0.2,"At Risk","On Time")),"")</f>
        <v/>
      </c>
    </row>
    <row r="162">
      <c r="K162">
        <f>IF(J162="v4.0",L162,IF(J162="v3.1",M162,IF(J162="Both",L162,IF(AND(L162&lt;&gt;"",M162=""),L162,M162))))</f>
        <v/>
      </c>
      <c r="Y162">
        <f>IF(T162="P0",1,IF(T162="P1",3,IF(T162="P2",7,IF(T162="P3",30,IF(T162="P4",30,7)))))</f>
        <v/>
      </c>
      <c r="Z162">
        <f>IF(U162&lt;&gt;"",U162+Y162,"")</f>
        <v/>
      </c>
      <c r="AA162">
        <f>IF(Z162&lt;&gt;"",Z162-TODAY(),"")</f>
        <v/>
      </c>
      <c r="AB162">
        <f>IF(AA162&lt;&gt;"",IF(AA162&lt;0,"Overdue",IF(AA162&lt;=Y162*0.2,"At Risk","On Time")),"")</f>
        <v/>
      </c>
    </row>
    <row r="163">
      <c r="K163">
        <f>IF(J163="v4.0",L163,IF(J163="v3.1",M163,IF(J163="Both",L163,IF(AND(L163&lt;&gt;"",M163=""),L163,M163))))</f>
        <v/>
      </c>
      <c r="Y163">
        <f>IF(T163="P0",1,IF(T163="P1",3,IF(T163="P2",7,IF(T163="P3",30,IF(T163="P4",30,7)))))</f>
        <v/>
      </c>
      <c r="Z163">
        <f>IF(U163&lt;&gt;"",U163+Y163,"")</f>
        <v/>
      </c>
      <c r="AA163">
        <f>IF(Z163&lt;&gt;"",Z163-TODAY(),"")</f>
        <v/>
      </c>
      <c r="AB163">
        <f>IF(AA163&lt;&gt;"",IF(AA163&lt;0,"Overdue",IF(AA163&lt;=Y163*0.2,"At Risk","On Time")),"")</f>
        <v/>
      </c>
    </row>
    <row r="164">
      <c r="K164">
        <f>IF(J164="v4.0",L164,IF(J164="v3.1",M164,IF(J164="Both",L164,IF(AND(L164&lt;&gt;"",M164=""),L164,M164))))</f>
        <v/>
      </c>
      <c r="Y164">
        <f>IF(T164="P0",1,IF(T164="P1",3,IF(T164="P2",7,IF(T164="P3",30,IF(T164="P4",30,7)))))</f>
        <v/>
      </c>
      <c r="Z164">
        <f>IF(U164&lt;&gt;"",U164+Y164,"")</f>
        <v/>
      </c>
      <c r="AA164">
        <f>IF(Z164&lt;&gt;"",Z164-TODAY(),"")</f>
        <v/>
      </c>
      <c r="AB164">
        <f>IF(AA164&lt;&gt;"",IF(AA164&lt;0,"Overdue",IF(AA164&lt;=Y164*0.2,"At Risk","On Time")),"")</f>
        <v/>
      </c>
    </row>
    <row r="165">
      <c r="K165">
        <f>IF(J165="v4.0",L165,IF(J165="v3.1",M165,IF(J165="Both",L165,IF(AND(L165&lt;&gt;"",M165=""),L165,M165))))</f>
        <v/>
      </c>
      <c r="Y165">
        <f>IF(T165="P0",1,IF(T165="P1",3,IF(T165="P2",7,IF(T165="P3",30,IF(T165="P4",30,7)))))</f>
        <v/>
      </c>
      <c r="Z165">
        <f>IF(U165&lt;&gt;"",U165+Y165,"")</f>
        <v/>
      </c>
      <c r="AA165">
        <f>IF(Z165&lt;&gt;"",Z165-TODAY(),"")</f>
        <v/>
      </c>
      <c r="AB165">
        <f>IF(AA165&lt;&gt;"",IF(AA165&lt;0,"Overdue",IF(AA165&lt;=Y165*0.2,"At Risk","On Time")),"")</f>
        <v/>
      </c>
    </row>
    <row r="166">
      <c r="K166">
        <f>IF(J166="v4.0",L166,IF(J166="v3.1",M166,IF(J166="Both",L166,IF(AND(L166&lt;&gt;"",M166=""),L166,M166))))</f>
        <v/>
      </c>
      <c r="Y166">
        <f>IF(T166="P0",1,IF(T166="P1",3,IF(T166="P2",7,IF(T166="P3",30,IF(T166="P4",30,7)))))</f>
        <v/>
      </c>
      <c r="Z166">
        <f>IF(U166&lt;&gt;"",U166+Y166,"")</f>
        <v/>
      </c>
      <c r="AA166">
        <f>IF(Z166&lt;&gt;"",Z166-TODAY(),"")</f>
        <v/>
      </c>
      <c r="AB166">
        <f>IF(AA166&lt;&gt;"",IF(AA166&lt;0,"Overdue",IF(AA166&lt;=Y166*0.2,"At Risk","On Time")),"")</f>
        <v/>
      </c>
    </row>
    <row r="167">
      <c r="K167">
        <f>IF(J167="v4.0",L167,IF(J167="v3.1",M167,IF(J167="Both",L167,IF(AND(L167&lt;&gt;"",M167=""),L167,M167))))</f>
        <v/>
      </c>
      <c r="Y167">
        <f>IF(T167="P0",1,IF(T167="P1",3,IF(T167="P2",7,IF(T167="P3",30,IF(T167="P4",30,7)))))</f>
        <v/>
      </c>
      <c r="Z167">
        <f>IF(U167&lt;&gt;"",U167+Y167,"")</f>
        <v/>
      </c>
      <c r="AA167">
        <f>IF(Z167&lt;&gt;"",Z167-TODAY(),"")</f>
        <v/>
      </c>
      <c r="AB167">
        <f>IF(AA167&lt;&gt;"",IF(AA167&lt;0,"Overdue",IF(AA167&lt;=Y167*0.2,"At Risk","On Time")),"")</f>
        <v/>
      </c>
    </row>
    <row r="168">
      <c r="K168">
        <f>IF(J168="v4.0",L168,IF(J168="v3.1",M168,IF(J168="Both",L168,IF(AND(L168&lt;&gt;"",M168=""),L168,M168))))</f>
        <v/>
      </c>
      <c r="Y168">
        <f>IF(T168="P0",1,IF(T168="P1",3,IF(T168="P2",7,IF(T168="P3",30,IF(T168="P4",30,7)))))</f>
        <v/>
      </c>
      <c r="Z168">
        <f>IF(U168&lt;&gt;"",U168+Y168,"")</f>
        <v/>
      </c>
      <c r="AA168">
        <f>IF(Z168&lt;&gt;"",Z168-TODAY(),"")</f>
        <v/>
      </c>
      <c r="AB168">
        <f>IF(AA168&lt;&gt;"",IF(AA168&lt;0,"Overdue",IF(AA168&lt;=Y168*0.2,"At Risk","On Time")),"")</f>
        <v/>
      </c>
    </row>
    <row r="169">
      <c r="K169">
        <f>IF(J169="v4.0",L169,IF(J169="v3.1",M169,IF(J169="Both",L169,IF(AND(L169&lt;&gt;"",M169=""),L169,M169))))</f>
        <v/>
      </c>
      <c r="Y169">
        <f>IF(T169="P0",1,IF(T169="P1",3,IF(T169="P2",7,IF(T169="P3",30,IF(T169="P4",30,7)))))</f>
        <v/>
      </c>
      <c r="Z169">
        <f>IF(U169&lt;&gt;"",U169+Y169,"")</f>
        <v/>
      </c>
      <c r="AA169">
        <f>IF(Z169&lt;&gt;"",Z169-TODAY(),"")</f>
        <v/>
      </c>
      <c r="AB169">
        <f>IF(AA169&lt;&gt;"",IF(AA169&lt;0,"Overdue",IF(AA169&lt;=Y169*0.2,"At Risk","On Time")),"")</f>
        <v/>
      </c>
    </row>
    <row r="170">
      <c r="K170">
        <f>IF(J170="v4.0",L170,IF(J170="v3.1",M170,IF(J170="Both",L170,IF(AND(L170&lt;&gt;"",M170=""),L170,M170))))</f>
        <v/>
      </c>
      <c r="Y170">
        <f>IF(T170="P0",1,IF(T170="P1",3,IF(T170="P2",7,IF(T170="P3",30,IF(T170="P4",30,7)))))</f>
        <v/>
      </c>
      <c r="Z170">
        <f>IF(U170&lt;&gt;"",U170+Y170,"")</f>
        <v/>
      </c>
      <c r="AA170">
        <f>IF(Z170&lt;&gt;"",Z170-TODAY(),"")</f>
        <v/>
      </c>
      <c r="AB170">
        <f>IF(AA170&lt;&gt;"",IF(AA170&lt;0,"Overdue",IF(AA170&lt;=Y170*0.2,"At Risk","On Time")),"")</f>
        <v/>
      </c>
    </row>
    <row r="171">
      <c r="K171">
        <f>IF(J171="v4.0",L171,IF(J171="v3.1",M171,IF(J171="Both",L171,IF(AND(L171&lt;&gt;"",M171=""),L171,M171))))</f>
        <v/>
      </c>
      <c r="Y171">
        <f>IF(T171="P0",1,IF(T171="P1",3,IF(T171="P2",7,IF(T171="P3",30,IF(T171="P4",30,7)))))</f>
        <v/>
      </c>
      <c r="Z171">
        <f>IF(U171&lt;&gt;"",U171+Y171,"")</f>
        <v/>
      </c>
      <c r="AA171">
        <f>IF(Z171&lt;&gt;"",Z171-TODAY(),"")</f>
        <v/>
      </c>
      <c r="AB171">
        <f>IF(AA171&lt;&gt;"",IF(AA171&lt;0,"Overdue",IF(AA171&lt;=Y171*0.2,"At Risk","On Time")),"")</f>
        <v/>
      </c>
    </row>
    <row r="172">
      <c r="K172">
        <f>IF(J172="v4.0",L172,IF(J172="v3.1",M172,IF(J172="Both",L172,IF(AND(L172&lt;&gt;"",M172=""),L172,M172))))</f>
        <v/>
      </c>
      <c r="Y172">
        <f>IF(T172="P0",1,IF(T172="P1",3,IF(T172="P2",7,IF(T172="P3",30,IF(T172="P4",30,7)))))</f>
        <v/>
      </c>
      <c r="Z172">
        <f>IF(U172&lt;&gt;"",U172+Y172,"")</f>
        <v/>
      </c>
      <c r="AA172">
        <f>IF(Z172&lt;&gt;"",Z172-TODAY(),"")</f>
        <v/>
      </c>
      <c r="AB172">
        <f>IF(AA172&lt;&gt;"",IF(AA172&lt;0,"Overdue",IF(AA172&lt;=Y172*0.2,"At Risk","On Time")),"")</f>
        <v/>
      </c>
    </row>
    <row r="173">
      <c r="K173">
        <f>IF(J173="v4.0",L173,IF(J173="v3.1",M173,IF(J173="Both",L173,IF(AND(L173&lt;&gt;"",M173=""),L173,M173))))</f>
        <v/>
      </c>
      <c r="Y173">
        <f>IF(T173="P0",1,IF(T173="P1",3,IF(T173="P2",7,IF(T173="P3",30,IF(T173="P4",30,7)))))</f>
        <v/>
      </c>
      <c r="Z173">
        <f>IF(U173&lt;&gt;"",U173+Y173,"")</f>
        <v/>
      </c>
      <c r="AA173">
        <f>IF(Z173&lt;&gt;"",Z173-TODAY(),"")</f>
        <v/>
      </c>
      <c r="AB173">
        <f>IF(AA173&lt;&gt;"",IF(AA173&lt;0,"Overdue",IF(AA173&lt;=Y173*0.2,"At Risk","On Time")),"")</f>
        <v/>
      </c>
    </row>
    <row r="174">
      <c r="K174">
        <f>IF(J174="v4.0",L174,IF(J174="v3.1",M174,IF(J174="Both",L174,IF(AND(L174&lt;&gt;"",M174=""),L174,M174))))</f>
        <v/>
      </c>
      <c r="Y174">
        <f>IF(T174="P0",1,IF(T174="P1",3,IF(T174="P2",7,IF(T174="P3",30,IF(T174="P4",30,7)))))</f>
        <v/>
      </c>
      <c r="Z174">
        <f>IF(U174&lt;&gt;"",U174+Y174,"")</f>
        <v/>
      </c>
      <c r="AA174">
        <f>IF(Z174&lt;&gt;"",Z174-TODAY(),"")</f>
        <v/>
      </c>
      <c r="AB174">
        <f>IF(AA174&lt;&gt;"",IF(AA174&lt;0,"Overdue",IF(AA174&lt;=Y174*0.2,"At Risk","On Time")),"")</f>
        <v/>
      </c>
    </row>
    <row r="175">
      <c r="K175">
        <f>IF(J175="v4.0",L175,IF(J175="v3.1",M175,IF(J175="Both",L175,IF(AND(L175&lt;&gt;"",M175=""),L175,M175))))</f>
        <v/>
      </c>
      <c r="Y175">
        <f>IF(T175="P0",1,IF(T175="P1",3,IF(T175="P2",7,IF(T175="P3",30,IF(T175="P4",30,7)))))</f>
        <v/>
      </c>
      <c r="Z175">
        <f>IF(U175&lt;&gt;"",U175+Y175,"")</f>
        <v/>
      </c>
      <c r="AA175">
        <f>IF(Z175&lt;&gt;"",Z175-TODAY(),"")</f>
        <v/>
      </c>
      <c r="AB175">
        <f>IF(AA175&lt;&gt;"",IF(AA175&lt;0,"Overdue",IF(AA175&lt;=Y175*0.2,"At Risk","On Time")),"")</f>
        <v/>
      </c>
    </row>
    <row r="176">
      <c r="K176">
        <f>IF(J176="v4.0",L176,IF(J176="v3.1",M176,IF(J176="Both",L176,IF(AND(L176&lt;&gt;"",M176=""),L176,M176))))</f>
        <v/>
      </c>
      <c r="Y176">
        <f>IF(T176="P0",1,IF(T176="P1",3,IF(T176="P2",7,IF(T176="P3",30,IF(T176="P4",30,7)))))</f>
        <v/>
      </c>
      <c r="Z176">
        <f>IF(U176&lt;&gt;"",U176+Y176,"")</f>
        <v/>
      </c>
      <c r="AA176">
        <f>IF(Z176&lt;&gt;"",Z176-TODAY(),"")</f>
        <v/>
      </c>
      <c r="AB176">
        <f>IF(AA176&lt;&gt;"",IF(AA176&lt;0,"Overdue",IF(AA176&lt;=Y176*0.2,"At Risk","On Time")),"")</f>
        <v/>
      </c>
    </row>
    <row r="177">
      <c r="K177">
        <f>IF(J177="v4.0",L177,IF(J177="v3.1",M177,IF(J177="Both",L177,IF(AND(L177&lt;&gt;"",M177=""),L177,M177))))</f>
        <v/>
      </c>
      <c r="Y177">
        <f>IF(T177="P0",1,IF(T177="P1",3,IF(T177="P2",7,IF(T177="P3",30,IF(T177="P4",30,7)))))</f>
        <v/>
      </c>
      <c r="Z177">
        <f>IF(U177&lt;&gt;"",U177+Y177,"")</f>
        <v/>
      </c>
      <c r="AA177">
        <f>IF(Z177&lt;&gt;"",Z177-TODAY(),"")</f>
        <v/>
      </c>
      <c r="AB177">
        <f>IF(AA177&lt;&gt;"",IF(AA177&lt;0,"Overdue",IF(AA177&lt;=Y177*0.2,"At Risk","On Time")),"")</f>
        <v/>
      </c>
    </row>
    <row r="178">
      <c r="K178">
        <f>IF(J178="v4.0",L178,IF(J178="v3.1",M178,IF(J178="Both",L178,IF(AND(L178&lt;&gt;"",M178=""),L178,M178))))</f>
        <v/>
      </c>
      <c r="Y178">
        <f>IF(T178="P0",1,IF(T178="P1",3,IF(T178="P2",7,IF(T178="P3",30,IF(T178="P4",30,7)))))</f>
        <v/>
      </c>
      <c r="Z178">
        <f>IF(U178&lt;&gt;"",U178+Y178,"")</f>
        <v/>
      </c>
      <c r="AA178">
        <f>IF(Z178&lt;&gt;"",Z178-TODAY(),"")</f>
        <v/>
      </c>
      <c r="AB178">
        <f>IF(AA178&lt;&gt;"",IF(AA178&lt;0,"Overdue",IF(AA178&lt;=Y178*0.2,"At Risk","On Time")),"")</f>
        <v/>
      </c>
    </row>
    <row r="179">
      <c r="K179">
        <f>IF(J179="v4.0",L179,IF(J179="v3.1",M179,IF(J179="Both",L179,IF(AND(L179&lt;&gt;"",M179=""),L179,M179))))</f>
        <v/>
      </c>
      <c r="Y179">
        <f>IF(T179="P0",1,IF(T179="P1",3,IF(T179="P2",7,IF(T179="P3",30,IF(T179="P4",30,7)))))</f>
        <v/>
      </c>
      <c r="Z179">
        <f>IF(U179&lt;&gt;"",U179+Y179,"")</f>
        <v/>
      </c>
      <c r="AA179">
        <f>IF(Z179&lt;&gt;"",Z179-TODAY(),"")</f>
        <v/>
      </c>
      <c r="AB179">
        <f>IF(AA179&lt;&gt;"",IF(AA179&lt;0,"Overdue",IF(AA179&lt;=Y179*0.2,"At Risk","On Time")),"")</f>
        <v/>
      </c>
    </row>
    <row r="180">
      <c r="K180">
        <f>IF(J180="v4.0",L180,IF(J180="v3.1",M180,IF(J180="Both",L180,IF(AND(L180&lt;&gt;"",M180=""),L180,M180))))</f>
        <v/>
      </c>
      <c r="Y180">
        <f>IF(T180="P0",1,IF(T180="P1",3,IF(T180="P2",7,IF(T180="P3",30,IF(T180="P4",30,7)))))</f>
        <v/>
      </c>
      <c r="Z180">
        <f>IF(U180&lt;&gt;"",U180+Y180,"")</f>
        <v/>
      </c>
      <c r="AA180">
        <f>IF(Z180&lt;&gt;"",Z180-TODAY(),"")</f>
        <v/>
      </c>
      <c r="AB180">
        <f>IF(AA180&lt;&gt;"",IF(AA180&lt;0,"Overdue",IF(AA180&lt;=Y180*0.2,"At Risk","On Time")),"")</f>
        <v/>
      </c>
    </row>
    <row r="181">
      <c r="K181">
        <f>IF(J181="v4.0",L181,IF(J181="v3.1",M181,IF(J181="Both",L181,IF(AND(L181&lt;&gt;"",M181=""),L181,M181))))</f>
        <v/>
      </c>
      <c r="Y181">
        <f>IF(T181="P0",1,IF(T181="P1",3,IF(T181="P2",7,IF(T181="P3",30,IF(T181="P4",30,7)))))</f>
        <v/>
      </c>
      <c r="Z181">
        <f>IF(U181&lt;&gt;"",U181+Y181,"")</f>
        <v/>
      </c>
      <c r="AA181">
        <f>IF(Z181&lt;&gt;"",Z181-TODAY(),"")</f>
        <v/>
      </c>
      <c r="AB181">
        <f>IF(AA181&lt;&gt;"",IF(AA181&lt;0,"Overdue",IF(AA181&lt;=Y181*0.2,"At Risk","On Time")),"")</f>
        <v/>
      </c>
    </row>
    <row r="182">
      <c r="K182">
        <f>IF(J182="v4.0",L182,IF(J182="v3.1",M182,IF(J182="Both",L182,IF(AND(L182&lt;&gt;"",M182=""),L182,M182))))</f>
        <v/>
      </c>
      <c r="Y182">
        <f>IF(T182="P0",1,IF(T182="P1",3,IF(T182="P2",7,IF(T182="P3",30,IF(T182="P4",30,7)))))</f>
        <v/>
      </c>
      <c r="Z182">
        <f>IF(U182&lt;&gt;"",U182+Y182,"")</f>
        <v/>
      </c>
      <c r="AA182">
        <f>IF(Z182&lt;&gt;"",Z182-TODAY(),"")</f>
        <v/>
      </c>
      <c r="AB182">
        <f>IF(AA182&lt;&gt;"",IF(AA182&lt;0,"Overdue",IF(AA182&lt;=Y182*0.2,"At Risk","On Time")),"")</f>
        <v/>
      </c>
    </row>
    <row r="183">
      <c r="K183">
        <f>IF(J183="v4.0",L183,IF(J183="v3.1",M183,IF(J183="Both",L183,IF(AND(L183&lt;&gt;"",M183=""),L183,M183))))</f>
        <v/>
      </c>
      <c r="Y183">
        <f>IF(T183="P0",1,IF(T183="P1",3,IF(T183="P2",7,IF(T183="P3",30,IF(T183="P4",30,7)))))</f>
        <v/>
      </c>
      <c r="Z183">
        <f>IF(U183&lt;&gt;"",U183+Y183,"")</f>
        <v/>
      </c>
      <c r="AA183">
        <f>IF(Z183&lt;&gt;"",Z183-TODAY(),"")</f>
        <v/>
      </c>
      <c r="AB183">
        <f>IF(AA183&lt;&gt;"",IF(AA183&lt;0,"Overdue",IF(AA183&lt;=Y183*0.2,"At Risk","On Time")),"")</f>
        <v/>
      </c>
    </row>
    <row r="184">
      <c r="K184">
        <f>IF(J184="v4.0",L184,IF(J184="v3.1",M184,IF(J184="Both",L184,IF(AND(L184&lt;&gt;"",M184=""),L184,M184))))</f>
        <v/>
      </c>
      <c r="Y184">
        <f>IF(T184="P0",1,IF(T184="P1",3,IF(T184="P2",7,IF(T184="P3",30,IF(T184="P4",30,7)))))</f>
        <v/>
      </c>
      <c r="Z184">
        <f>IF(U184&lt;&gt;"",U184+Y184,"")</f>
        <v/>
      </c>
      <c r="AA184">
        <f>IF(Z184&lt;&gt;"",Z184-TODAY(),"")</f>
        <v/>
      </c>
      <c r="AB184">
        <f>IF(AA184&lt;&gt;"",IF(AA184&lt;0,"Overdue",IF(AA184&lt;=Y184*0.2,"At Risk","On Time")),"")</f>
        <v/>
      </c>
    </row>
    <row r="185">
      <c r="K185">
        <f>IF(J185="v4.0",L185,IF(J185="v3.1",M185,IF(J185="Both",L185,IF(AND(L185&lt;&gt;"",M185=""),L185,M185))))</f>
        <v/>
      </c>
      <c r="Y185">
        <f>IF(T185="P0",1,IF(T185="P1",3,IF(T185="P2",7,IF(T185="P3",30,IF(T185="P4",30,7)))))</f>
        <v/>
      </c>
      <c r="Z185">
        <f>IF(U185&lt;&gt;"",U185+Y185,"")</f>
        <v/>
      </c>
      <c r="AA185">
        <f>IF(Z185&lt;&gt;"",Z185-TODAY(),"")</f>
        <v/>
      </c>
      <c r="AB185">
        <f>IF(AA185&lt;&gt;"",IF(AA185&lt;0,"Overdue",IF(AA185&lt;=Y185*0.2,"At Risk","On Time")),"")</f>
        <v/>
      </c>
    </row>
    <row r="186">
      <c r="K186">
        <f>IF(J186="v4.0",L186,IF(J186="v3.1",M186,IF(J186="Both",L186,IF(AND(L186&lt;&gt;"",M186=""),L186,M186))))</f>
        <v/>
      </c>
      <c r="Y186">
        <f>IF(T186="P0",1,IF(T186="P1",3,IF(T186="P2",7,IF(T186="P3",30,IF(T186="P4",30,7)))))</f>
        <v/>
      </c>
      <c r="Z186">
        <f>IF(U186&lt;&gt;"",U186+Y186,"")</f>
        <v/>
      </c>
      <c r="AA186">
        <f>IF(Z186&lt;&gt;"",Z186-TODAY(),"")</f>
        <v/>
      </c>
      <c r="AB186">
        <f>IF(AA186&lt;&gt;"",IF(AA186&lt;0,"Overdue",IF(AA186&lt;=Y186*0.2,"At Risk","On Time")),"")</f>
        <v/>
      </c>
    </row>
    <row r="187">
      <c r="K187">
        <f>IF(J187="v4.0",L187,IF(J187="v3.1",M187,IF(J187="Both",L187,IF(AND(L187&lt;&gt;"",M187=""),L187,M187))))</f>
        <v/>
      </c>
      <c r="Y187">
        <f>IF(T187="P0",1,IF(T187="P1",3,IF(T187="P2",7,IF(T187="P3",30,IF(T187="P4",30,7)))))</f>
        <v/>
      </c>
      <c r="Z187">
        <f>IF(U187&lt;&gt;"",U187+Y187,"")</f>
        <v/>
      </c>
      <c r="AA187">
        <f>IF(Z187&lt;&gt;"",Z187-TODAY(),"")</f>
        <v/>
      </c>
      <c r="AB187">
        <f>IF(AA187&lt;&gt;"",IF(AA187&lt;0,"Overdue",IF(AA187&lt;=Y187*0.2,"At Risk","On Time")),"")</f>
        <v/>
      </c>
    </row>
    <row r="188">
      <c r="K188">
        <f>IF(J188="v4.0",L188,IF(J188="v3.1",M188,IF(J188="Both",L188,IF(AND(L188&lt;&gt;"",M188=""),L188,M188))))</f>
        <v/>
      </c>
      <c r="Y188">
        <f>IF(T188="P0",1,IF(T188="P1",3,IF(T188="P2",7,IF(T188="P3",30,IF(T188="P4",30,7)))))</f>
        <v/>
      </c>
      <c r="Z188">
        <f>IF(U188&lt;&gt;"",U188+Y188,"")</f>
        <v/>
      </c>
      <c r="AA188">
        <f>IF(Z188&lt;&gt;"",Z188-TODAY(),"")</f>
        <v/>
      </c>
      <c r="AB188">
        <f>IF(AA188&lt;&gt;"",IF(AA188&lt;0,"Overdue",IF(AA188&lt;=Y188*0.2,"At Risk","On Time")),"")</f>
        <v/>
      </c>
    </row>
    <row r="189">
      <c r="K189">
        <f>IF(J189="v4.0",L189,IF(J189="v3.1",M189,IF(J189="Both",L189,IF(AND(L189&lt;&gt;"",M189=""),L189,M189))))</f>
        <v/>
      </c>
      <c r="Y189">
        <f>IF(T189="P0",1,IF(T189="P1",3,IF(T189="P2",7,IF(T189="P3",30,IF(T189="P4",30,7)))))</f>
        <v/>
      </c>
      <c r="Z189">
        <f>IF(U189&lt;&gt;"",U189+Y189,"")</f>
        <v/>
      </c>
      <c r="AA189">
        <f>IF(Z189&lt;&gt;"",Z189-TODAY(),"")</f>
        <v/>
      </c>
      <c r="AB189">
        <f>IF(AA189&lt;&gt;"",IF(AA189&lt;0,"Overdue",IF(AA189&lt;=Y189*0.2,"At Risk","On Time")),"")</f>
        <v/>
      </c>
    </row>
    <row r="190">
      <c r="K190">
        <f>IF(J190="v4.0",L190,IF(J190="v3.1",M190,IF(J190="Both",L190,IF(AND(L190&lt;&gt;"",M190=""),L190,M190))))</f>
        <v/>
      </c>
      <c r="Y190">
        <f>IF(T190="P0",1,IF(T190="P1",3,IF(T190="P2",7,IF(T190="P3",30,IF(T190="P4",30,7)))))</f>
        <v/>
      </c>
      <c r="Z190">
        <f>IF(U190&lt;&gt;"",U190+Y190,"")</f>
        <v/>
      </c>
      <c r="AA190">
        <f>IF(Z190&lt;&gt;"",Z190-TODAY(),"")</f>
        <v/>
      </c>
      <c r="AB190">
        <f>IF(AA190&lt;&gt;"",IF(AA190&lt;0,"Overdue",IF(AA190&lt;=Y190*0.2,"At Risk","On Time")),"")</f>
        <v/>
      </c>
    </row>
    <row r="191">
      <c r="K191">
        <f>IF(J191="v4.0",L191,IF(J191="v3.1",M191,IF(J191="Both",L191,IF(AND(L191&lt;&gt;"",M191=""),L191,M191))))</f>
        <v/>
      </c>
      <c r="Y191">
        <f>IF(T191="P0",1,IF(T191="P1",3,IF(T191="P2",7,IF(T191="P3",30,IF(T191="P4",30,7)))))</f>
        <v/>
      </c>
      <c r="Z191">
        <f>IF(U191&lt;&gt;"",U191+Y191,"")</f>
        <v/>
      </c>
      <c r="AA191">
        <f>IF(Z191&lt;&gt;"",Z191-TODAY(),"")</f>
        <v/>
      </c>
      <c r="AB191">
        <f>IF(AA191&lt;&gt;"",IF(AA191&lt;0,"Overdue",IF(AA191&lt;=Y191*0.2,"At Risk","On Time")),"")</f>
        <v/>
      </c>
    </row>
    <row r="192">
      <c r="K192">
        <f>IF(J192="v4.0",L192,IF(J192="v3.1",M192,IF(J192="Both",L192,IF(AND(L192&lt;&gt;"",M192=""),L192,M192))))</f>
        <v/>
      </c>
      <c r="Y192">
        <f>IF(T192="P0",1,IF(T192="P1",3,IF(T192="P2",7,IF(T192="P3",30,IF(T192="P4",30,7)))))</f>
        <v/>
      </c>
      <c r="Z192">
        <f>IF(U192&lt;&gt;"",U192+Y192,"")</f>
        <v/>
      </c>
      <c r="AA192">
        <f>IF(Z192&lt;&gt;"",Z192-TODAY(),"")</f>
        <v/>
      </c>
      <c r="AB192">
        <f>IF(AA192&lt;&gt;"",IF(AA192&lt;0,"Overdue",IF(AA192&lt;=Y192*0.2,"At Risk","On Time")),"")</f>
        <v/>
      </c>
    </row>
    <row r="193">
      <c r="K193">
        <f>IF(J193="v4.0",L193,IF(J193="v3.1",M193,IF(J193="Both",L193,IF(AND(L193&lt;&gt;"",M193=""),L193,M193))))</f>
        <v/>
      </c>
      <c r="Y193">
        <f>IF(T193="P0",1,IF(T193="P1",3,IF(T193="P2",7,IF(T193="P3",30,IF(T193="P4",30,7)))))</f>
        <v/>
      </c>
      <c r="Z193">
        <f>IF(U193&lt;&gt;"",U193+Y193,"")</f>
        <v/>
      </c>
      <c r="AA193">
        <f>IF(Z193&lt;&gt;"",Z193-TODAY(),"")</f>
        <v/>
      </c>
      <c r="AB193">
        <f>IF(AA193&lt;&gt;"",IF(AA193&lt;0,"Overdue",IF(AA193&lt;=Y193*0.2,"At Risk","On Time")),"")</f>
        <v/>
      </c>
    </row>
    <row r="194">
      <c r="K194">
        <f>IF(J194="v4.0",L194,IF(J194="v3.1",M194,IF(J194="Both",L194,IF(AND(L194&lt;&gt;"",M194=""),L194,M194))))</f>
        <v/>
      </c>
      <c r="Y194">
        <f>IF(T194="P0",1,IF(T194="P1",3,IF(T194="P2",7,IF(T194="P3",30,IF(T194="P4",30,7)))))</f>
        <v/>
      </c>
      <c r="Z194">
        <f>IF(U194&lt;&gt;"",U194+Y194,"")</f>
        <v/>
      </c>
      <c r="AA194">
        <f>IF(Z194&lt;&gt;"",Z194-TODAY(),"")</f>
        <v/>
      </c>
      <c r="AB194">
        <f>IF(AA194&lt;&gt;"",IF(AA194&lt;0,"Overdue",IF(AA194&lt;=Y194*0.2,"At Risk","On Time")),"")</f>
        <v/>
      </c>
    </row>
    <row r="195">
      <c r="K195">
        <f>IF(J195="v4.0",L195,IF(J195="v3.1",M195,IF(J195="Both",L195,IF(AND(L195&lt;&gt;"",M195=""),L195,M195))))</f>
        <v/>
      </c>
      <c r="Y195">
        <f>IF(T195="P0",1,IF(T195="P1",3,IF(T195="P2",7,IF(T195="P3",30,IF(T195="P4",30,7)))))</f>
        <v/>
      </c>
      <c r="Z195">
        <f>IF(U195&lt;&gt;"",U195+Y195,"")</f>
        <v/>
      </c>
      <c r="AA195">
        <f>IF(Z195&lt;&gt;"",Z195-TODAY(),"")</f>
        <v/>
      </c>
      <c r="AB195">
        <f>IF(AA195&lt;&gt;"",IF(AA195&lt;0,"Overdue",IF(AA195&lt;=Y195*0.2,"At Risk","On Time")),"")</f>
        <v/>
      </c>
    </row>
    <row r="196">
      <c r="K196">
        <f>IF(J196="v4.0",L196,IF(J196="v3.1",M196,IF(J196="Both",L196,IF(AND(L196&lt;&gt;"",M196=""),L196,M196))))</f>
        <v/>
      </c>
      <c r="Y196">
        <f>IF(T196="P0",1,IF(T196="P1",3,IF(T196="P2",7,IF(T196="P3",30,IF(T196="P4",30,7)))))</f>
        <v/>
      </c>
      <c r="Z196">
        <f>IF(U196&lt;&gt;"",U196+Y196,"")</f>
        <v/>
      </c>
      <c r="AA196">
        <f>IF(Z196&lt;&gt;"",Z196-TODAY(),"")</f>
        <v/>
      </c>
      <c r="AB196">
        <f>IF(AA196&lt;&gt;"",IF(AA196&lt;0,"Overdue",IF(AA196&lt;=Y196*0.2,"At Risk","On Time")),"")</f>
        <v/>
      </c>
    </row>
    <row r="197">
      <c r="K197">
        <f>IF(J197="v4.0",L197,IF(J197="v3.1",M197,IF(J197="Both",L197,IF(AND(L197&lt;&gt;"",M197=""),L197,M197))))</f>
        <v/>
      </c>
      <c r="Y197">
        <f>IF(T197="P0",1,IF(T197="P1",3,IF(T197="P2",7,IF(T197="P3",30,IF(T197="P4",30,7)))))</f>
        <v/>
      </c>
      <c r="Z197">
        <f>IF(U197&lt;&gt;"",U197+Y197,"")</f>
        <v/>
      </c>
      <c r="AA197">
        <f>IF(Z197&lt;&gt;"",Z197-TODAY(),"")</f>
        <v/>
      </c>
      <c r="AB197">
        <f>IF(AA197&lt;&gt;"",IF(AA197&lt;0,"Overdue",IF(AA197&lt;=Y197*0.2,"At Risk","On Time")),"")</f>
        <v/>
      </c>
    </row>
    <row r="198">
      <c r="K198">
        <f>IF(J198="v4.0",L198,IF(J198="v3.1",M198,IF(J198="Both",L198,IF(AND(L198&lt;&gt;"",M198=""),L198,M198))))</f>
        <v/>
      </c>
      <c r="Y198">
        <f>IF(T198="P0",1,IF(T198="P1",3,IF(T198="P2",7,IF(T198="P3",30,IF(T198="P4",30,7)))))</f>
        <v/>
      </c>
      <c r="Z198">
        <f>IF(U198&lt;&gt;"",U198+Y198,"")</f>
        <v/>
      </c>
      <c r="AA198">
        <f>IF(Z198&lt;&gt;"",Z198-TODAY(),"")</f>
        <v/>
      </c>
      <c r="AB198">
        <f>IF(AA198&lt;&gt;"",IF(AA198&lt;0,"Overdue",IF(AA198&lt;=Y198*0.2,"At Risk","On Time")),"")</f>
        <v/>
      </c>
    </row>
    <row r="199">
      <c r="K199">
        <f>IF(J199="v4.0",L199,IF(J199="v3.1",M199,IF(J199="Both",L199,IF(AND(L199&lt;&gt;"",M199=""),L199,M199))))</f>
        <v/>
      </c>
      <c r="Y199">
        <f>IF(T199="P0",1,IF(T199="P1",3,IF(T199="P2",7,IF(T199="P3",30,IF(T199="P4",30,7)))))</f>
        <v/>
      </c>
      <c r="Z199">
        <f>IF(U199&lt;&gt;"",U199+Y199,"")</f>
        <v/>
      </c>
      <c r="AA199">
        <f>IF(Z199&lt;&gt;"",Z199-TODAY(),"")</f>
        <v/>
      </c>
      <c r="AB199">
        <f>IF(AA199&lt;&gt;"",IF(AA199&lt;0,"Overdue",IF(AA199&lt;=Y199*0.2,"At Risk","On Time")),"")</f>
        <v/>
      </c>
    </row>
    <row r="200">
      <c r="K200">
        <f>IF(J200="v4.0",L200,IF(J200="v3.1",M200,IF(J200="Both",L200,IF(AND(L200&lt;&gt;"",M200=""),L200,M200))))</f>
        <v/>
      </c>
      <c r="Y200">
        <f>IF(T200="P0",1,IF(T200="P1",3,IF(T200="P2",7,IF(T200="P3",30,IF(T200="P4",30,7)))))</f>
        <v/>
      </c>
      <c r="Z200">
        <f>IF(U200&lt;&gt;"",U200+Y200,"")</f>
        <v/>
      </c>
      <c r="AA200">
        <f>IF(Z200&lt;&gt;"",Z200-TODAY(),"")</f>
        <v/>
      </c>
      <c r="AB200">
        <f>IF(AA200&lt;&gt;"",IF(AA200&lt;0,"Overdue",IF(AA200&lt;=Y200*0.2,"At Risk","On Time")),"")</f>
        <v/>
      </c>
    </row>
    <row r="201">
      <c r="K201">
        <f>IF(J201="v4.0",L201,IF(J201="v3.1",M201,IF(J201="Both",L201,IF(AND(L201&lt;&gt;"",M201=""),L201,M201))))</f>
        <v/>
      </c>
      <c r="Y201">
        <f>IF(T201="P0",1,IF(T201="P1",3,IF(T201="P2",7,IF(T201="P3",30,IF(T201="P4",30,7)))))</f>
        <v/>
      </c>
      <c r="Z201">
        <f>IF(U201&lt;&gt;"",U201+Y201,"")</f>
        <v/>
      </c>
      <c r="AA201">
        <f>IF(Z201&lt;&gt;"",Z201-TODAY(),"")</f>
        <v/>
      </c>
      <c r="AB201">
        <f>IF(AA201&lt;&gt;"",IF(AA201&lt;0,"Overdue",IF(AA201&lt;=Y201*0.2,"At Risk","On Time")),"")</f>
        <v/>
      </c>
    </row>
    <row r="202">
      <c r="K202">
        <f>IF(J202="v4.0",L202,IF(J202="v3.1",M202,IF(J202="Both",L202,IF(AND(L202&lt;&gt;"",M202=""),L202,M202))))</f>
        <v/>
      </c>
      <c r="Y202">
        <f>IF(T202="P0",1,IF(T202="P1",3,IF(T202="P2",7,IF(T202="P3",30,IF(T202="P4",30,7)))))</f>
        <v/>
      </c>
      <c r="Z202">
        <f>IF(U202&lt;&gt;"",U202+Y202,"")</f>
        <v/>
      </c>
      <c r="AA202">
        <f>IF(Z202&lt;&gt;"",Z202-TODAY(),"")</f>
        <v/>
      </c>
      <c r="AB202">
        <f>IF(AA202&lt;&gt;"",IF(AA202&lt;0,"Overdue",IF(AA202&lt;=Y202*0.2,"At Risk","On Time")),"")</f>
        <v/>
      </c>
    </row>
    <row r="203">
      <c r="K203">
        <f>IF(J203="v4.0",L203,IF(J203="v3.1",M203,IF(J203="Both",L203,IF(AND(L203&lt;&gt;"",M203=""),L203,M203))))</f>
        <v/>
      </c>
      <c r="Y203">
        <f>IF(T203="P0",1,IF(T203="P1",3,IF(T203="P2",7,IF(T203="P3",30,IF(T203="P4",30,7)))))</f>
        <v/>
      </c>
      <c r="Z203">
        <f>IF(U203&lt;&gt;"",U203+Y203,"")</f>
        <v/>
      </c>
      <c r="AA203">
        <f>IF(Z203&lt;&gt;"",Z203-TODAY(),"")</f>
        <v/>
      </c>
      <c r="AB203">
        <f>IF(AA203&lt;&gt;"",IF(AA203&lt;0,"Overdue",IF(AA203&lt;=Y203*0.2,"At Risk","On Time")),"")</f>
        <v/>
      </c>
    </row>
    <row r="204">
      <c r="K204">
        <f>IF(J204="v4.0",L204,IF(J204="v3.1",M204,IF(J204="Both",L204,IF(AND(L204&lt;&gt;"",M204=""),L204,M204))))</f>
        <v/>
      </c>
      <c r="Y204">
        <f>IF(T204="P0",1,IF(T204="P1",3,IF(T204="P2",7,IF(T204="P3",30,IF(T204="P4",30,7)))))</f>
        <v/>
      </c>
      <c r="Z204">
        <f>IF(U204&lt;&gt;"",U204+Y204,"")</f>
        <v/>
      </c>
      <c r="AA204">
        <f>IF(Z204&lt;&gt;"",Z204-TODAY(),"")</f>
        <v/>
      </c>
      <c r="AB204">
        <f>IF(AA204&lt;&gt;"",IF(AA204&lt;0,"Overdue",IF(AA204&lt;=Y204*0.2,"At Risk","On Time")),"")</f>
        <v/>
      </c>
    </row>
    <row r="205">
      <c r="K205">
        <f>IF(J205="v4.0",L205,IF(J205="v3.1",M205,IF(J205="Both",L205,IF(AND(L205&lt;&gt;"",M205=""),L205,M205))))</f>
        <v/>
      </c>
      <c r="Y205">
        <f>IF(T205="P0",1,IF(T205="P1",3,IF(T205="P2",7,IF(T205="P3",30,IF(T205="P4",30,7)))))</f>
        <v/>
      </c>
      <c r="Z205">
        <f>IF(U205&lt;&gt;"",U205+Y205,"")</f>
        <v/>
      </c>
      <c r="AA205">
        <f>IF(Z205&lt;&gt;"",Z205-TODAY(),"")</f>
        <v/>
      </c>
      <c r="AB205">
        <f>IF(AA205&lt;&gt;"",IF(AA205&lt;0,"Overdue",IF(AA205&lt;=Y205*0.2,"At Risk","On Time")),"")</f>
        <v/>
      </c>
    </row>
    <row r="206">
      <c r="K206">
        <f>IF(J206="v4.0",L206,IF(J206="v3.1",M206,IF(J206="Both",L206,IF(AND(L206&lt;&gt;"",M206=""),L206,M206))))</f>
        <v/>
      </c>
      <c r="Y206">
        <f>IF(T206="P0",1,IF(T206="P1",3,IF(T206="P2",7,IF(T206="P3",30,IF(T206="P4",30,7)))))</f>
        <v/>
      </c>
      <c r="Z206">
        <f>IF(U206&lt;&gt;"",U206+Y206,"")</f>
        <v/>
      </c>
      <c r="AA206">
        <f>IF(Z206&lt;&gt;"",Z206-TODAY(),"")</f>
        <v/>
      </c>
      <c r="AB206">
        <f>IF(AA206&lt;&gt;"",IF(AA206&lt;0,"Overdue",IF(AA206&lt;=Y206*0.2,"At Risk","On Time")),"")</f>
        <v/>
      </c>
    </row>
    <row r="207">
      <c r="K207">
        <f>IF(J207="v4.0",L207,IF(J207="v3.1",M207,IF(J207="Both",L207,IF(AND(L207&lt;&gt;"",M207=""),L207,M207))))</f>
        <v/>
      </c>
      <c r="Y207">
        <f>IF(T207="P0",1,IF(T207="P1",3,IF(T207="P2",7,IF(T207="P3",30,IF(T207="P4",30,7)))))</f>
        <v/>
      </c>
      <c r="Z207">
        <f>IF(U207&lt;&gt;"",U207+Y207,"")</f>
        <v/>
      </c>
      <c r="AA207">
        <f>IF(Z207&lt;&gt;"",Z207-TODAY(),"")</f>
        <v/>
      </c>
      <c r="AB207">
        <f>IF(AA207&lt;&gt;"",IF(AA207&lt;0,"Overdue",IF(AA207&lt;=Y207*0.2,"At Risk","On Time")),"")</f>
        <v/>
      </c>
    </row>
    <row r="208">
      <c r="K208">
        <f>IF(J208="v4.0",L208,IF(J208="v3.1",M208,IF(J208="Both",L208,IF(AND(L208&lt;&gt;"",M208=""),L208,M208))))</f>
        <v/>
      </c>
      <c r="Y208">
        <f>IF(T208="P0",1,IF(T208="P1",3,IF(T208="P2",7,IF(T208="P3",30,IF(T208="P4",30,7)))))</f>
        <v/>
      </c>
      <c r="Z208">
        <f>IF(U208&lt;&gt;"",U208+Y208,"")</f>
        <v/>
      </c>
      <c r="AA208">
        <f>IF(Z208&lt;&gt;"",Z208-TODAY(),"")</f>
        <v/>
      </c>
      <c r="AB208">
        <f>IF(AA208&lt;&gt;"",IF(AA208&lt;0,"Overdue",IF(AA208&lt;=Y208*0.2,"At Risk","On Time")),"")</f>
        <v/>
      </c>
    </row>
    <row r="209">
      <c r="K209">
        <f>IF(J209="v4.0",L209,IF(J209="v3.1",M209,IF(J209="Both",L209,IF(AND(L209&lt;&gt;"",M209=""),L209,M209))))</f>
        <v/>
      </c>
      <c r="Y209">
        <f>IF(T209="P0",1,IF(T209="P1",3,IF(T209="P2",7,IF(T209="P3",30,IF(T209="P4",30,7)))))</f>
        <v/>
      </c>
      <c r="Z209">
        <f>IF(U209&lt;&gt;"",U209+Y209,"")</f>
        <v/>
      </c>
      <c r="AA209">
        <f>IF(Z209&lt;&gt;"",Z209-TODAY(),"")</f>
        <v/>
      </c>
      <c r="AB209">
        <f>IF(AA209&lt;&gt;"",IF(AA209&lt;0,"Overdue",IF(AA209&lt;=Y209*0.2,"At Risk","On Time")),"")</f>
        <v/>
      </c>
    </row>
    <row r="210">
      <c r="K210">
        <f>IF(J210="v4.0",L210,IF(J210="v3.1",M210,IF(J210="Both",L210,IF(AND(L210&lt;&gt;"",M210=""),L210,M210))))</f>
        <v/>
      </c>
      <c r="Y210">
        <f>IF(T210="P0",1,IF(T210="P1",3,IF(T210="P2",7,IF(T210="P3",30,IF(T210="P4",30,7)))))</f>
        <v/>
      </c>
      <c r="Z210">
        <f>IF(U210&lt;&gt;"",U210+Y210,"")</f>
        <v/>
      </c>
      <c r="AA210">
        <f>IF(Z210&lt;&gt;"",Z210-TODAY(),"")</f>
        <v/>
      </c>
      <c r="AB210">
        <f>IF(AA210&lt;&gt;"",IF(AA210&lt;0,"Overdue",IF(AA210&lt;=Y210*0.2,"At Risk","On Time")),"")</f>
        <v/>
      </c>
    </row>
    <row r="211">
      <c r="K211">
        <f>IF(J211="v4.0",L211,IF(J211="v3.1",M211,IF(J211="Both",L211,IF(AND(L211&lt;&gt;"",M211=""),L211,M211))))</f>
        <v/>
      </c>
      <c r="Y211">
        <f>IF(T211="P0",1,IF(T211="P1",3,IF(T211="P2",7,IF(T211="P3",30,IF(T211="P4",30,7)))))</f>
        <v/>
      </c>
      <c r="Z211">
        <f>IF(U211&lt;&gt;"",U211+Y211,"")</f>
        <v/>
      </c>
      <c r="AA211">
        <f>IF(Z211&lt;&gt;"",Z211-TODAY(),"")</f>
        <v/>
      </c>
      <c r="AB211">
        <f>IF(AA211&lt;&gt;"",IF(AA211&lt;0,"Overdue",IF(AA211&lt;=Y211*0.2,"At Risk","On Time")),"")</f>
        <v/>
      </c>
    </row>
    <row r="212">
      <c r="K212">
        <f>IF(J212="v4.0",L212,IF(J212="v3.1",M212,IF(J212="Both",L212,IF(AND(L212&lt;&gt;"",M212=""),L212,M212))))</f>
        <v/>
      </c>
      <c r="Y212">
        <f>IF(T212="P0",1,IF(T212="P1",3,IF(T212="P2",7,IF(T212="P3",30,IF(T212="P4",30,7)))))</f>
        <v/>
      </c>
      <c r="Z212">
        <f>IF(U212&lt;&gt;"",U212+Y212,"")</f>
        <v/>
      </c>
      <c r="AA212">
        <f>IF(Z212&lt;&gt;"",Z212-TODAY(),"")</f>
        <v/>
      </c>
      <c r="AB212">
        <f>IF(AA212&lt;&gt;"",IF(AA212&lt;0,"Overdue",IF(AA212&lt;=Y212*0.2,"At Risk","On Time")),"")</f>
        <v/>
      </c>
    </row>
    <row r="213">
      <c r="K213">
        <f>IF(J213="v4.0",L213,IF(J213="v3.1",M213,IF(J213="Both",L213,IF(AND(L213&lt;&gt;"",M213=""),L213,M213))))</f>
        <v/>
      </c>
      <c r="Y213">
        <f>IF(T213="P0",1,IF(T213="P1",3,IF(T213="P2",7,IF(T213="P3",30,IF(T213="P4",30,7)))))</f>
        <v/>
      </c>
      <c r="Z213">
        <f>IF(U213&lt;&gt;"",U213+Y213,"")</f>
        <v/>
      </c>
      <c r="AA213">
        <f>IF(Z213&lt;&gt;"",Z213-TODAY(),"")</f>
        <v/>
      </c>
      <c r="AB213">
        <f>IF(AA213&lt;&gt;"",IF(AA213&lt;0,"Overdue",IF(AA213&lt;=Y213*0.2,"At Risk","On Time")),"")</f>
        <v/>
      </c>
    </row>
    <row r="214">
      <c r="K214">
        <f>IF(J214="v4.0",L214,IF(J214="v3.1",M214,IF(J214="Both",L214,IF(AND(L214&lt;&gt;"",M214=""),L214,M214))))</f>
        <v/>
      </c>
      <c r="Y214">
        <f>IF(T214="P0",1,IF(T214="P1",3,IF(T214="P2",7,IF(T214="P3",30,IF(T214="P4",30,7)))))</f>
        <v/>
      </c>
      <c r="Z214">
        <f>IF(U214&lt;&gt;"",U214+Y214,"")</f>
        <v/>
      </c>
      <c r="AA214">
        <f>IF(Z214&lt;&gt;"",Z214-TODAY(),"")</f>
        <v/>
      </c>
      <c r="AB214">
        <f>IF(AA214&lt;&gt;"",IF(AA214&lt;0,"Overdue",IF(AA214&lt;=Y214*0.2,"At Risk","On Time")),"")</f>
        <v/>
      </c>
    </row>
    <row r="215">
      <c r="K215">
        <f>IF(J215="v4.0",L215,IF(J215="v3.1",M215,IF(J215="Both",L215,IF(AND(L215&lt;&gt;"",M215=""),L215,M215))))</f>
        <v/>
      </c>
      <c r="Y215">
        <f>IF(T215="P0",1,IF(T215="P1",3,IF(T215="P2",7,IF(T215="P3",30,IF(T215="P4",30,7)))))</f>
        <v/>
      </c>
      <c r="Z215">
        <f>IF(U215&lt;&gt;"",U215+Y215,"")</f>
        <v/>
      </c>
      <c r="AA215">
        <f>IF(Z215&lt;&gt;"",Z215-TODAY(),"")</f>
        <v/>
      </c>
      <c r="AB215">
        <f>IF(AA215&lt;&gt;"",IF(AA215&lt;0,"Overdue",IF(AA215&lt;=Y215*0.2,"At Risk","On Time")),"")</f>
        <v/>
      </c>
    </row>
    <row r="216">
      <c r="K216">
        <f>IF(J216="v4.0",L216,IF(J216="v3.1",M216,IF(J216="Both",L216,IF(AND(L216&lt;&gt;"",M216=""),L216,M216))))</f>
        <v/>
      </c>
      <c r="Y216">
        <f>IF(T216="P0",1,IF(T216="P1",3,IF(T216="P2",7,IF(T216="P3",30,IF(T216="P4",30,7)))))</f>
        <v/>
      </c>
      <c r="Z216">
        <f>IF(U216&lt;&gt;"",U216+Y216,"")</f>
        <v/>
      </c>
      <c r="AA216">
        <f>IF(Z216&lt;&gt;"",Z216-TODAY(),"")</f>
        <v/>
      </c>
      <c r="AB216">
        <f>IF(AA216&lt;&gt;"",IF(AA216&lt;0,"Overdue",IF(AA216&lt;=Y216*0.2,"At Risk","On Time")),"")</f>
        <v/>
      </c>
    </row>
    <row r="217">
      <c r="K217">
        <f>IF(J217="v4.0",L217,IF(J217="v3.1",M217,IF(J217="Both",L217,IF(AND(L217&lt;&gt;"",M217=""),L217,M217))))</f>
        <v/>
      </c>
      <c r="Y217">
        <f>IF(T217="P0",1,IF(T217="P1",3,IF(T217="P2",7,IF(T217="P3",30,IF(T217="P4",30,7)))))</f>
        <v/>
      </c>
      <c r="Z217">
        <f>IF(U217&lt;&gt;"",U217+Y217,"")</f>
        <v/>
      </c>
      <c r="AA217">
        <f>IF(Z217&lt;&gt;"",Z217-TODAY(),"")</f>
        <v/>
      </c>
      <c r="AB217">
        <f>IF(AA217&lt;&gt;"",IF(AA217&lt;0,"Overdue",IF(AA217&lt;=Y217*0.2,"At Risk","On Time")),"")</f>
        <v/>
      </c>
    </row>
    <row r="218">
      <c r="K218">
        <f>IF(J218="v4.0",L218,IF(J218="v3.1",M218,IF(J218="Both",L218,IF(AND(L218&lt;&gt;"",M218=""),L218,M218))))</f>
        <v/>
      </c>
      <c r="Y218">
        <f>IF(T218="P0",1,IF(T218="P1",3,IF(T218="P2",7,IF(T218="P3",30,IF(T218="P4",30,7)))))</f>
        <v/>
      </c>
      <c r="Z218">
        <f>IF(U218&lt;&gt;"",U218+Y218,"")</f>
        <v/>
      </c>
      <c r="AA218">
        <f>IF(Z218&lt;&gt;"",Z218-TODAY(),"")</f>
        <v/>
      </c>
      <c r="AB218">
        <f>IF(AA218&lt;&gt;"",IF(AA218&lt;0,"Overdue",IF(AA218&lt;=Y218*0.2,"At Risk","On Time")),"")</f>
        <v/>
      </c>
    </row>
    <row r="219">
      <c r="K219">
        <f>IF(J219="v4.0",L219,IF(J219="v3.1",M219,IF(J219="Both",L219,IF(AND(L219&lt;&gt;"",M219=""),L219,M219))))</f>
        <v/>
      </c>
      <c r="Y219">
        <f>IF(T219="P0",1,IF(T219="P1",3,IF(T219="P2",7,IF(T219="P3",30,IF(T219="P4",30,7)))))</f>
        <v/>
      </c>
      <c r="Z219">
        <f>IF(U219&lt;&gt;"",U219+Y219,"")</f>
        <v/>
      </c>
      <c r="AA219">
        <f>IF(Z219&lt;&gt;"",Z219-TODAY(),"")</f>
        <v/>
      </c>
      <c r="AB219">
        <f>IF(AA219&lt;&gt;"",IF(AA219&lt;0,"Overdue",IF(AA219&lt;=Y219*0.2,"At Risk","On Time")),"")</f>
        <v/>
      </c>
    </row>
    <row r="220">
      <c r="K220">
        <f>IF(J220="v4.0",L220,IF(J220="v3.1",M220,IF(J220="Both",L220,IF(AND(L220&lt;&gt;"",M220=""),L220,M220))))</f>
        <v/>
      </c>
      <c r="Y220">
        <f>IF(T220="P0",1,IF(T220="P1",3,IF(T220="P2",7,IF(T220="P3",30,IF(T220="P4",30,7)))))</f>
        <v/>
      </c>
      <c r="Z220">
        <f>IF(U220&lt;&gt;"",U220+Y220,"")</f>
        <v/>
      </c>
      <c r="AA220">
        <f>IF(Z220&lt;&gt;"",Z220-TODAY(),"")</f>
        <v/>
      </c>
      <c r="AB220">
        <f>IF(AA220&lt;&gt;"",IF(AA220&lt;0,"Overdue",IF(AA220&lt;=Y220*0.2,"At Risk","On Time")),"")</f>
        <v/>
      </c>
    </row>
    <row r="221">
      <c r="K221">
        <f>IF(J221="v4.0",L221,IF(J221="v3.1",M221,IF(J221="Both",L221,IF(AND(L221&lt;&gt;"",M221=""),L221,M221))))</f>
        <v/>
      </c>
      <c r="Y221">
        <f>IF(T221="P0",1,IF(T221="P1",3,IF(T221="P2",7,IF(T221="P3",30,IF(T221="P4",30,7)))))</f>
        <v/>
      </c>
      <c r="Z221">
        <f>IF(U221&lt;&gt;"",U221+Y221,"")</f>
        <v/>
      </c>
      <c r="AA221">
        <f>IF(Z221&lt;&gt;"",Z221-TODAY(),"")</f>
        <v/>
      </c>
      <c r="AB221">
        <f>IF(AA221&lt;&gt;"",IF(AA221&lt;0,"Overdue",IF(AA221&lt;=Y221*0.2,"At Risk","On Time")),"")</f>
        <v/>
      </c>
    </row>
    <row r="222">
      <c r="K222">
        <f>IF(J222="v4.0",L222,IF(J222="v3.1",M222,IF(J222="Both",L222,IF(AND(L222&lt;&gt;"",M222=""),L222,M222))))</f>
        <v/>
      </c>
      <c r="Y222">
        <f>IF(T222="P0",1,IF(T222="P1",3,IF(T222="P2",7,IF(T222="P3",30,IF(T222="P4",30,7)))))</f>
        <v/>
      </c>
      <c r="Z222">
        <f>IF(U222&lt;&gt;"",U222+Y222,"")</f>
        <v/>
      </c>
      <c r="AA222">
        <f>IF(Z222&lt;&gt;"",Z222-TODAY(),"")</f>
        <v/>
      </c>
      <c r="AB222">
        <f>IF(AA222&lt;&gt;"",IF(AA222&lt;0,"Overdue",IF(AA222&lt;=Y222*0.2,"At Risk","On Time")),"")</f>
        <v/>
      </c>
    </row>
    <row r="223">
      <c r="K223">
        <f>IF(J223="v4.0",L223,IF(J223="v3.1",M223,IF(J223="Both",L223,IF(AND(L223&lt;&gt;"",M223=""),L223,M223))))</f>
        <v/>
      </c>
      <c r="Y223">
        <f>IF(T223="P0",1,IF(T223="P1",3,IF(T223="P2",7,IF(T223="P3",30,IF(T223="P4",30,7)))))</f>
        <v/>
      </c>
      <c r="Z223">
        <f>IF(U223&lt;&gt;"",U223+Y223,"")</f>
        <v/>
      </c>
      <c r="AA223">
        <f>IF(Z223&lt;&gt;"",Z223-TODAY(),"")</f>
        <v/>
      </c>
      <c r="AB223">
        <f>IF(AA223&lt;&gt;"",IF(AA223&lt;0,"Overdue",IF(AA223&lt;=Y223*0.2,"At Risk","On Time")),"")</f>
        <v/>
      </c>
    </row>
    <row r="224">
      <c r="K224">
        <f>IF(J224="v4.0",L224,IF(J224="v3.1",M224,IF(J224="Both",L224,IF(AND(L224&lt;&gt;"",M224=""),L224,M224))))</f>
        <v/>
      </c>
      <c r="Y224">
        <f>IF(T224="P0",1,IF(T224="P1",3,IF(T224="P2",7,IF(T224="P3",30,IF(T224="P4",30,7)))))</f>
        <v/>
      </c>
      <c r="Z224">
        <f>IF(U224&lt;&gt;"",U224+Y224,"")</f>
        <v/>
      </c>
      <c r="AA224">
        <f>IF(Z224&lt;&gt;"",Z224-TODAY(),"")</f>
        <v/>
      </c>
      <c r="AB224">
        <f>IF(AA224&lt;&gt;"",IF(AA224&lt;0,"Overdue",IF(AA224&lt;=Y224*0.2,"At Risk","On Time")),"")</f>
        <v/>
      </c>
    </row>
    <row r="225">
      <c r="K225">
        <f>IF(J225="v4.0",L225,IF(J225="v3.1",M225,IF(J225="Both",L225,IF(AND(L225&lt;&gt;"",M225=""),L225,M225))))</f>
        <v/>
      </c>
      <c r="Y225">
        <f>IF(T225="P0",1,IF(T225="P1",3,IF(T225="P2",7,IF(T225="P3",30,IF(T225="P4",30,7)))))</f>
        <v/>
      </c>
      <c r="Z225">
        <f>IF(U225&lt;&gt;"",U225+Y225,"")</f>
        <v/>
      </c>
      <c r="AA225">
        <f>IF(Z225&lt;&gt;"",Z225-TODAY(),"")</f>
        <v/>
      </c>
      <c r="AB225">
        <f>IF(AA225&lt;&gt;"",IF(AA225&lt;0,"Overdue",IF(AA225&lt;=Y225*0.2,"At Risk","On Time")),"")</f>
        <v/>
      </c>
    </row>
    <row r="226">
      <c r="K226">
        <f>IF(J226="v4.0",L226,IF(J226="v3.1",M226,IF(J226="Both",L226,IF(AND(L226&lt;&gt;"",M226=""),L226,M226))))</f>
        <v/>
      </c>
      <c r="Y226">
        <f>IF(T226="P0",1,IF(T226="P1",3,IF(T226="P2",7,IF(T226="P3",30,IF(T226="P4",30,7)))))</f>
        <v/>
      </c>
      <c r="Z226">
        <f>IF(U226&lt;&gt;"",U226+Y226,"")</f>
        <v/>
      </c>
      <c r="AA226">
        <f>IF(Z226&lt;&gt;"",Z226-TODAY(),"")</f>
        <v/>
      </c>
      <c r="AB226">
        <f>IF(AA226&lt;&gt;"",IF(AA226&lt;0,"Overdue",IF(AA226&lt;=Y226*0.2,"At Risk","On Time")),"")</f>
        <v/>
      </c>
    </row>
    <row r="227">
      <c r="K227">
        <f>IF(J227="v4.0",L227,IF(J227="v3.1",M227,IF(J227="Both",L227,IF(AND(L227&lt;&gt;"",M227=""),L227,M227))))</f>
        <v/>
      </c>
      <c r="Y227">
        <f>IF(T227="P0",1,IF(T227="P1",3,IF(T227="P2",7,IF(T227="P3",30,IF(T227="P4",30,7)))))</f>
        <v/>
      </c>
      <c r="Z227">
        <f>IF(U227&lt;&gt;"",U227+Y227,"")</f>
        <v/>
      </c>
      <c r="AA227">
        <f>IF(Z227&lt;&gt;"",Z227-TODAY(),"")</f>
        <v/>
      </c>
      <c r="AB227">
        <f>IF(AA227&lt;&gt;"",IF(AA227&lt;0,"Overdue",IF(AA227&lt;=Y227*0.2,"At Risk","On Time")),"")</f>
        <v/>
      </c>
    </row>
    <row r="228">
      <c r="K228">
        <f>IF(J228="v4.0",L228,IF(J228="v3.1",M228,IF(J228="Both",L228,IF(AND(L228&lt;&gt;"",M228=""),L228,M228))))</f>
        <v/>
      </c>
      <c r="Y228">
        <f>IF(T228="P0",1,IF(T228="P1",3,IF(T228="P2",7,IF(T228="P3",30,IF(T228="P4",30,7)))))</f>
        <v/>
      </c>
      <c r="Z228">
        <f>IF(U228&lt;&gt;"",U228+Y228,"")</f>
        <v/>
      </c>
      <c r="AA228">
        <f>IF(Z228&lt;&gt;"",Z228-TODAY(),"")</f>
        <v/>
      </c>
      <c r="AB228">
        <f>IF(AA228&lt;&gt;"",IF(AA228&lt;0,"Overdue",IF(AA228&lt;=Y228*0.2,"At Risk","On Time")),"")</f>
        <v/>
      </c>
    </row>
    <row r="229">
      <c r="K229">
        <f>IF(J229="v4.0",L229,IF(J229="v3.1",M229,IF(J229="Both",L229,IF(AND(L229&lt;&gt;"",M229=""),L229,M229))))</f>
        <v/>
      </c>
      <c r="Y229">
        <f>IF(T229="P0",1,IF(T229="P1",3,IF(T229="P2",7,IF(T229="P3",30,IF(T229="P4",30,7)))))</f>
        <v/>
      </c>
      <c r="Z229">
        <f>IF(U229&lt;&gt;"",U229+Y229,"")</f>
        <v/>
      </c>
      <c r="AA229">
        <f>IF(Z229&lt;&gt;"",Z229-TODAY(),"")</f>
        <v/>
      </c>
      <c r="AB229">
        <f>IF(AA229&lt;&gt;"",IF(AA229&lt;0,"Overdue",IF(AA229&lt;=Y229*0.2,"At Risk","On Time")),"")</f>
        <v/>
      </c>
    </row>
    <row r="230">
      <c r="K230">
        <f>IF(J230="v4.0",L230,IF(J230="v3.1",M230,IF(J230="Both",L230,IF(AND(L230&lt;&gt;"",M230=""),L230,M230))))</f>
        <v/>
      </c>
      <c r="Y230">
        <f>IF(T230="P0",1,IF(T230="P1",3,IF(T230="P2",7,IF(T230="P3",30,IF(T230="P4",30,7)))))</f>
        <v/>
      </c>
      <c r="Z230">
        <f>IF(U230&lt;&gt;"",U230+Y230,"")</f>
        <v/>
      </c>
      <c r="AA230">
        <f>IF(Z230&lt;&gt;"",Z230-TODAY(),"")</f>
        <v/>
      </c>
      <c r="AB230">
        <f>IF(AA230&lt;&gt;"",IF(AA230&lt;0,"Overdue",IF(AA230&lt;=Y230*0.2,"At Risk","On Time")),"")</f>
        <v/>
      </c>
    </row>
    <row r="231">
      <c r="K231">
        <f>IF(J231="v4.0",L231,IF(J231="v3.1",M231,IF(J231="Both",L231,IF(AND(L231&lt;&gt;"",M231=""),L231,M231))))</f>
        <v/>
      </c>
      <c r="Y231">
        <f>IF(T231="P0",1,IF(T231="P1",3,IF(T231="P2",7,IF(T231="P3",30,IF(T231="P4",30,7)))))</f>
        <v/>
      </c>
      <c r="Z231">
        <f>IF(U231&lt;&gt;"",U231+Y231,"")</f>
        <v/>
      </c>
      <c r="AA231">
        <f>IF(Z231&lt;&gt;"",Z231-TODAY(),"")</f>
        <v/>
      </c>
      <c r="AB231">
        <f>IF(AA231&lt;&gt;"",IF(AA231&lt;0,"Overdue",IF(AA231&lt;=Y231*0.2,"At Risk","On Time")),"")</f>
        <v/>
      </c>
    </row>
    <row r="232">
      <c r="K232">
        <f>IF(J232="v4.0",L232,IF(J232="v3.1",M232,IF(J232="Both",L232,IF(AND(L232&lt;&gt;"",M232=""),L232,M232))))</f>
        <v/>
      </c>
      <c r="Y232">
        <f>IF(T232="P0",1,IF(T232="P1",3,IF(T232="P2",7,IF(T232="P3",30,IF(T232="P4",30,7)))))</f>
        <v/>
      </c>
      <c r="Z232">
        <f>IF(U232&lt;&gt;"",U232+Y232,"")</f>
        <v/>
      </c>
      <c r="AA232">
        <f>IF(Z232&lt;&gt;"",Z232-TODAY(),"")</f>
        <v/>
      </c>
      <c r="AB232">
        <f>IF(AA232&lt;&gt;"",IF(AA232&lt;0,"Overdue",IF(AA232&lt;=Y232*0.2,"At Risk","On Time")),"")</f>
        <v/>
      </c>
    </row>
    <row r="233">
      <c r="K233">
        <f>IF(J233="v4.0",L233,IF(J233="v3.1",M233,IF(J233="Both",L233,IF(AND(L233&lt;&gt;"",M233=""),L233,M233))))</f>
        <v/>
      </c>
      <c r="Y233">
        <f>IF(T233="P0",1,IF(T233="P1",3,IF(T233="P2",7,IF(T233="P3",30,IF(T233="P4",30,7)))))</f>
        <v/>
      </c>
      <c r="Z233">
        <f>IF(U233&lt;&gt;"",U233+Y233,"")</f>
        <v/>
      </c>
      <c r="AA233">
        <f>IF(Z233&lt;&gt;"",Z233-TODAY(),"")</f>
        <v/>
      </c>
      <c r="AB233">
        <f>IF(AA233&lt;&gt;"",IF(AA233&lt;0,"Overdue",IF(AA233&lt;=Y233*0.2,"At Risk","On Time")),"")</f>
        <v/>
      </c>
    </row>
    <row r="234">
      <c r="K234">
        <f>IF(J234="v4.0",L234,IF(J234="v3.1",M234,IF(J234="Both",L234,IF(AND(L234&lt;&gt;"",M234=""),L234,M234))))</f>
        <v/>
      </c>
      <c r="Y234">
        <f>IF(T234="P0",1,IF(T234="P1",3,IF(T234="P2",7,IF(T234="P3",30,IF(T234="P4",30,7)))))</f>
        <v/>
      </c>
      <c r="Z234">
        <f>IF(U234&lt;&gt;"",U234+Y234,"")</f>
        <v/>
      </c>
      <c r="AA234">
        <f>IF(Z234&lt;&gt;"",Z234-TODAY(),"")</f>
        <v/>
      </c>
      <c r="AB234">
        <f>IF(AA234&lt;&gt;"",IF(AA234&lt;0,"Overdue",IF(AA234&lt;=Y234*0.2,"At Risk","On Time")),"")</f>
        <v/>
      </c>
    </row>
    <row r="235">
      <c r="K235">
        <f>IF(J235="v4.0",L235,IF(J235="v3.1",M235,IF(J235="Both",L235,IF(AND(L235&lt;&gt;"",M235=""),L235,M235))))</f>
        <v/>
      </c>
      <c r="Y235">
        <f>IF(T235="P0",1,IF(T235="P1",3,IF(T235="P2",7,IF(T235="P3",30,IF(T235="P4",30,7)))))</f>
        <v/>
      </c>
      <c r="Z235">
        <f>IF(U235&lt;&gt;"",U235+Y235,"")</f>
        <v/>
      </c>
      <c r="AA235">
        <f>IF(Z235&lt;&gt;"",Z235-TODAY(),"")</f>
        <v/>
      </c>
      <c r="AB235">
        <f>IF(AA235&lt;&gt;"",IF(AA235&lt;0,"Overdue",IF(AA235&lt;=Y235*0.2,"At Risk","On Time")),"")</f>
        <v/>
      </c>
    </row>
    <row r="236">
      <c r="K236">
        <f>IF(J236="v4.0",L236,IF(J236="v3.1",M236,IF(J236="Both",L236,IF(AND(L236&lt;&gt;"",M236=""),L236,M236))))</f>
        <v/>
      </c>
      <c r="Y236">
        <f>IF(T236="P0",1,IF(T236="P1",3,IF(T236="P2",7,IF(T236="P3",30,IF(T236="P4",30,7)))))</f>
        <v/>
      </c>
      <c r="Z236">
        <f>IF(U236&lt;&gt;"",U236+Y236,"")</f>
        <v/>
      </c>
      <c r="AA236">
        <f>IF(Z236&lt;&gt;"",Z236-TODAY(),"")</f>
        <v/>
      </c>
      <c r="AB236">
        <f>IF(AA236&lt;&gt;"",IF(AA236&lt;0,"Overdue",IF(AA236&lt;=Y236*0.2,"At Risk","On Time")),"")</f>
        <v/>
      </c>
    </row>
    <row r="237">
      <c r="K237">
        <f>IF(J237="v4.0",L237,IF(J237="v3.1",M237,IF(J237="Both",L237,IF(AND(L237&lt;&gt;"",M237=""),L237,M237))))</f>
        <v/>
      </c>
      <c r="Y237">
        <f>IF(T237="P0",1,IF(T237="P1",3,IF(T237="P2",7,IF(T237="P3",30,IF(T237="P4",30,7)))))</f>
        <v/>
      </c>
      <c r="Z237">
        <f>IF(U237&lt;&gt;"",U237+Y237,"")</f>
        <v/>
      </c>
      <c r="AA237">
        <f>IF(Z237&lt;&gt;"",Z237-TODAY(),"")</f>
        <v/>
      </c>
      <c r="AB237">
        <f>IF(AA237&lt;&gt;"",IF(AA237&lt;0,"Overdue",IF(AA237&lt;=Y237*0.2,"At Risk","On Time")),"")</f>
        <v/>
      </c>
    </row>
    <row r="238">
      <c r="K238">
        <f>IF(J238="v4.0",L238,IF(J238="v3.1",M238,IF(J238="Both",L238,IF(AND(L238&lt;&gt;"",M238=""),L238,M238))))</f>
        <v/>
      </c>
      <c r="Y238">
        <f>IF(T238="P0",1,IF(T238="P1",3,IF(T238="P2",7,IF(T238="P3",30,IF(T238="P4",30,7)))))</f>
        <v/>
      </c>
      <c r="Z238">
        <f>IF(U238&lt;&gt;"",U238+Y238,"")</f>
        <v/>
      </c>
      <c r="AA238">
        <f>IF(Z238&lt;&gt;"",Z238-TODAY(),"")</f>
        <v/>
      </c>
      <c r="AB238">
        <f>IF(AA238&lt;&gt;"",IF(AA238&lt;0,"Overdue",IF(AA238&lt;=Y238*0.2,"At Risk","On Time")),"")</f>
        <v/>
      </c>
    </row>
    <row r="239">
      <c r="K239">
        <f>IF(J239="v4.0",L239,IF(J239="v3.1",M239,IF(J239="Both",L239,IF(AND(L239&lt;&gt;"",M239=""),L239,M239))))</f>
        <v/>
      </c>
      <c r="Y239">
        <f>IF(T239="P0",1,IF(T239="P1",3,IF(T239="P2",7,IF(T239="P3",30,IF(T239="P4",30,7)))))</f>
        <v/>
      </c>
      <c r="Z239">
        <f>IF(U239&lt;&gt;"",U239+Y239,"")</f>
        <v/>
      </c>
      <c r="AA239">
        <f>IF(Z239&lt;&gt;"",Z239-TODAY(),"")</f>
        <v/>
      </c>
      <c r="AB239">
        <f>IF(AA239&lt;&gt;"",IF(AA239&lt;0,"Overdue",IF(AA239&lt;=Y239*0.2,"At Risk","On Time")),"")</f>
        <v/>
      </c>
    </row>
    <row r="240">
      <c r="K240">
        <f>IF(J240="v4.0",L240,IF(J240="v3.1",M240,IF(J240="Both",L240,IF(AND(L240&lt;&gt;"",M240=""),L240,M240))))</f>
        <v/>
      </c>
      <c r="Y240">
        <f>IF(T240="P0",1,IF(T240="P1",3,IF(T240="P2",7,IF(T240="P3",30,IF(T240="P4",30,7)))))</f>
        <v/>
      </c>
      <c r="Z240">
        <f>IF(U240&lt;&gt;"",U240+Y240,"")</f>
        <v/>
      </c>
      <c r="AA240">
        <f>IF(Z240&lt;&gt;"",Z240-TODAY(),"")</f>
        <v/>
      </c>
      <c r="AB240">
        <f>IF(AA240&lt;&gt;"",IF(AA240&lt;0,"Overdue",IF(AA240&lt;=Y240*0.2,"At Risk","On Time")),"")</f>
        <v/>
      </c>
    </row>
    <row r="241">
      <c r="K241">
        <f>IF(J241="v4.0",L241,IF(J241="v3.1",M241,IF(J241="Both",L241,IF(AND(L241&lt;&gt;"",M241=""),L241,M241))))</f>
        <v/>
      </c>
      <c r="Y241">
        <f>IF(T241="P0",1,IF(T241="P1",3,IF(T241="P2",7,IF(T241="P3",30,IF(T241="P4",30,7)))))</f>
        <v/>
      </c>
      <c r="Z241">
        <f>IF(U241&lt;&gt;"",U241+Y241,"")</f>
        <v/>
      </c>
      <c r="AA241">
        <f>IF(Z241&lt;&gt;"",Z241-TODAY(),"")</f>
        <v/>
      </c>
      <c r="AB241">
        <f>IF(AA241&lt;&gt;"",IF(AA241&lt;0,"Overdue",IF(AA241&lt;=Y241*0.2,"At Risk","On Time")),"")</f>
        <v/>
      </c>
    </row>
    <row r="242">
      <c r="K242">
        <f>IF(J242="v4.0",L242,IF(J242="v3.1",M242,IF(J242="Both",L242,IF(AND(L242&lt;&gt;"",M242=""),L242,M242))))</f>
        <v/>
      </c>
      <c r="Y242">
        <f>IF(T242="P0",1,IF(T242="P1",3,IF(T242="P2",7,IF(T242="P3",30,IF(T242="P4",30,7)))))</f>
        <v/>
      </c>
      <c r="Z242">
        <f>IF(U242&lt;&gt;"",U242+Y242,"")</f>
        <v/>
      </c>
      <c r="AA242">
        <f>IF(Z242&lt;&gt;"",Z242-TODAY(),"")</f>
        <v/>
      </c>
      <c r="AB242">
        <f>IF(AA242&lt;&gt;"",IF(AA242&lt;0,"Overdue",IF(AA242&lt;=Y242*0.2,"At Risk","On Time")),"")</f>
        <v/>
      </c>
    </row>
    <row r="243">
      <c r="K243">
        <f>IF(J243="v4.0",L243,IF(J243="v3.1",M243,IF(J243="Both",L243,IF(AND(L243&lt;&gt;"",M243=""),L243,M243))))</f>
        <v/>
      </c>
      <c r="Y243">
        <f>IF(T243="P0",1,IF(T243="P1",3,IF(T243="P2",7,IF(T243="P3",30,IF(T243="P4",30,7)))))</f>
        <v/>
      </c>
      <c r="Z243">
        <f>IF(U243&lt;&gt;"",U243+Y243,"")</f>
        <v/>
      </c>
      <c r="AA243">
        <f>IF(Z243&lt;&gt;"",Z243-TODAY(),"")</f>
        <v/>
      </c>
      <c r="AB243">
        <f>IF(AA243&lt;&gt;"",IF(AA243&lt;0,"Overdue",IF(AA243&lt;=Y243*0.2,"At Risk","On Time")),"")</f>
        <v/>
      </c>
    </row>
    <row r="244">
      <c r="K244">
        <f>IF(J244="v4.0",L244,IF(J244="v3.1",M244,IF(J244="Both",L244,IF(AND(L244&lt;&gt;"",M244=""),L244,M244))))</f>
        <v/>
      </c>
      <c r="Y244">
        <f>IF(T244="P0",1,IF(T244="P1",3,IF(T244="P2",7,IF(T244="P3",30,IF(T244="P4",30,7)))))</f>
        <v/>
      </c>
      <c r="Z244">
        <f>IF(U244&lt;&gt;"",U244+Y244,"")</f>
        <v/>
      </c>
      <c r="AA244">
        <f>IF(Z244&lt;&gt;"",Z244-TODAY(),"")</f>
        <v/>
      </c>
      <c r="AB244">
        <f>IF(AA244&lt;&gt;"",IF(AA244&lt;0,"Overdue",IF(AA244&lt;=Y244*0.2,"At Risk","On Time")),"")</f>
        <v/>
      </c>
    </row>
    <row r="245">
      <c r="K245">
        <f>IF(J245="v4.0",L245,IF(J245="v3.1",M245,IF(J245="Both",L245,IF(AND(L245&lt;&gt;"",M245=""),L245,M245))))</f>
        <v/>
      </c>
      <c r="Y245">
        <f>IF(T245="P0",1,IF(T245="P1",3,IF(T245="P2",7,IF(T245="P3",30,IF(T245="P4",30,7)))))</f>
        <v/>
      </c>
      <c r="Z245">
        <f>IF(U245&lt;&gt;"",U245+Y245,"")</f>
        <v/>
      </c>
      <c r="AA245">
        <f>IF(Z245&lt;&gt;"",Z245-TODAY(),"")</f>
        <v/>
      </c>
      <c r="AB245">
        <f>IF(AA245&lt;&gt;"",IF(AA245&lt;0,"Overdue",IF(AA245&lt;=Y245*0.2,"At Risk","On Time")),"")</f>
        <v/>
      </c>
    </row>
    <row r="246">
      <c r="K246">
        <f>IF(J246="v4.0",L246,IF(J246="v3.1",M246,IF(J246="Both",L246,IF(AND(L246&lt;&gt;"",M246=""),L246,M246))))</f>
        <v/>
      </c>
      <c r="Y246">
        <f>IF(T246="P0",1,IF(T246="P1",3,IF(T246="P2",7,IF(T246="P3",30,IF(T246="P4",30,7)))))</f>
        <v/>
      </c>
      <c r="Z246">
        <f>IF(U246&lt;&gt;"",U246+Y246,"")</f>
        <v/>
      </c>
      <c r="AA246">
        <f>IF(Z246&lt;&gt;"",Z246-TODAY(),"")</f>
        <v/>
      </c>
      <c r="AB246">
        <f>IF(AA246&lt;&gt;"",IF(AA246&lt;0,"Overdue",IF(AA246&lt;=Y246*0.2,"At Risk","On Time")),"")</f>
        <v/>
      </c>
    </row>
    <row r="247">
      <c r="K247">
        <f>IF(J247="v4.0",L247,IF(J247="v3.1",M247,IF(J247="Both",L247,IF(AND(L247&lt;&gt;"",M247=""),L247,M247))))</f>
        <v/>
      </c>
      <c r="Y247">
        <f>IF(T247="P0",1,IF(T247="P1",3,IF(T247="P2",7,IF(T247="P3",30,IF(T247="P4",30,7)))))</f>
        <v/>
      </c>
      <c r="Z247">
        <f>IF(U247&lt;&gt;"",U247+Y247,"")</f>
        <v/>
      </c>
      <c r="AA247">
        <f>IF(Z247&lt;&gt;"",Z247-TODAY(),"")</f>
        <v/>
      </c>
      <c r="AB247">
        <f>IF(AA247&lt;&gt;"",IF(AA247&lt;0,"Overdue",IF(AA247&lt;=Y247*0.2,"At Risk","On Time")),"")</f>
        <v/>
      </c>
    </row>
    <row r="248">
      <c r="K248">
        <f>IF(J248="v4.0",L248,IF(J248="v3.1",M248,IF(J248="Both",L248,IF(AND(L248&lt;&gt;"",M248=""),L248,M248))))</f>
        <v/>
      </c>
      <c r="Y248">
        <f>IF(T248="P0",1,IF(T248="P1",3,IF(T248="P2",7,IF(T248="P3",30,IF(T248="P4",30,7)))))</f>
        <v/>
      </c>
      <c r="Z248">
        <f>IF(U248&lt;&gt;"",U248+Y248,"")</f>
        <v/>
      </c>
      <c r="AA248">
        <f>IF(Z248&lt;&gt;"",Z248-TODAY(),"")</f>
        <v/>
      </c>
      <c r="AB248">
        <f>IF(AA248&lt;&gt;"",IF(AA248&lt;0,"Overdue",IF(AA248&lt;=Y248*0.2,"At Risk","On Time")),"")</f>
        <v/>
      </c>
    </row>
    <row r="249">
      <c r="K249">
        <f>IF(J249="v4.0",L249,IF(J249="v3.1",M249,IF(J249="Both",L249,IF(AND(L249&lt;&gt;"",M249=""),L249,M249))))</f>
        <v/>
      </c>
      <c r="Y249">
        <f>IF(T249="P0",1,IF(T249="P1",3,IF(T249="P2",7,IF(T249="P3",30,IF(T249="P4",30,7)))))</f>
        <v/>
      </c>
      <c r="Z249">
        <f>IF(U249&lt;&gt;"",U249+Y249,"")</f>
        <v/>
      </c>
      <c r="AA249">
        <f>IF(Z249&lt;&gt;"",Z249-TODAY(),"")</f>
        <v/>
      </c>
      <c r="AB249">
        <f>IF(AA249&lt;&gt;"",IF(AA249&lt;0,"Overdue",IF(AA249&lt;=Y249*0.2,"At Risk","On Time")),"")</f>
        <v/>
      </c>
    </row>
    <row r="250">
      <c r="K250">
        <f>IF(J250="v4.0",L250,IF(J250="v3.1",M250,IF(J250="Both",L250,IF(AND(L250&lt;&gt;"",M250=""),L250,M250))))</f>
        <v/>
      </c>
      <c r="Y250">
        <f>IF(T250="P0",1,IF(T250="P1",3,IF(T250="P2",7,IF(T250="P3",30,IF(T250="P4",30,7)))))</f>
        <v/>
      </c>
      <c r="Z250">
        <f>IF(U250&lt;&gt;"",U250+Y250,"")</f>
        <v/>
      </c>
      <c r="AA250">
        <f>IF(Z250&lt;&gt;"",Z250-TODAY(),"")</f>
        <v/>
      </c>
      <c r="AB250">
        <f>IF(AA250&lt;&gt;"",IF(AA250&lt;0,"Overdue",IF(AA250&lt;=Y250*0.2,"At Risk","On Time")),"")</f>
        <v/>
      </c>
    </row>
    <row r="251">
      <c r="K251">
        <f>IF(J251="v4.0",L251,IF(J251="v3.1",M251,IF(J251="Both",L251,IF(AND(L251&lt;&gt;"",M251=""),L251,M251))))</f>
        <v/>
      </c>
      <c r="Y251">
        <f>IF(T251="P0",1,IF(T251="P1",3,IF(T251="P2",7,IF(T251="P3",30,IF(T251="P4",30,7)))))</f>
        <v/>
      </c>
      <c r="Z251">
        <f>IF(U251&lt;&gt;"",U251+Y251,"")</f>
        <v/>
      </c>
      <c r="AA251">
        <f>IF(Z251&lt;&gt;"",Z251-TODAY(),"")</f>
        <v/>
      </c>
      <c r="AB251">
        <f>IF(AA251&lt;&gt;"",IF(AA251&lt;0,"Overdue",IF(AA251&lt;=Y251*0.2,"At Risk","On Time")),"")</f>
        <v/>
      </c>
    </row>
    <row r="252">
      <c r="K252">
        <f>IF(J252="v4.0",L252,IF(J252="v3.1",M252,IF(J252="Both",L252,IF(AND(L252&lt;&gt;"",M252=""),L252,M252))))</f>
        <v/>
      </c>
      <c r="Y252">
        <f>IF(T252="P0",1,IF(T252="P1",3,IF(T252="P2",7,IF(T252="P3",30,IF(T252="P4",30,7)))))</f>
        <v/>
      </c>
      <c r="Z252">
        <f>IF(U252&lt;&gt;"",U252+Y252,"")</f>
        <v/>
      </c>
      <c r="AA252">
        <f>IF(Z252&lt;&gt;"",Z252-TODAY(),"")</f>
        <v/>
      </c>
      <c r="AB252">
        <f>IF(AA252&lt;&gt;"",IF(AA252&lt;0,"Overdue",IF(AA252&lt;=Y252*0.2,"At Risk","On Time")),"")</f>
        <v/>
      </c>
    </row>
    <row r="253">
      <c r="K253">
        <f>IF(J253="v4.0",L253,IF(J253="v3.1",M253,IF(J253="Both",L253,IF(AND(L253&lt;&gt;"",M253=""),L253,M253))))</f>
        <v/>
      </c>
      <c r="Y253">
        <f>IF(T253="P0",1,IF(T253="P1",3,IF(T253="P2",7,IF(T253="P3",30,IF(T253="P4",30,7)))))</f>
        <v/>
      </c>
      <c r="Z253">
        <f>IF(U253&lt;&gt;"",U253+Y253,"")</f>
        <v/>
      </c>
      <c r="AA253">
        <f>IF(Z253&lt;&gt;"",Z253-TODAY(),"")</f>
        <v/>
      </c>
      <c r="AB253">
        <f>IF(AA253&lt;&gt;"",IF(AA253&lt;0,"Overdue",IF(AA253&lt;=Y253*0.2,"At Risk","On Time")),"")</f>
        <v/>
      </c>
    </row>
    <row r="254">
      <c r="K254">
        <f>IF(J254="v4.0",L254,IF(J254="v3.1",M254,IF(J254="Both",L254,IF(AND(L254&lt;&gt;"",M254=""),L254,M254))))</f>
        <v/>
      </c>
      <c r="Y254">
        <f>IF(T254="P0",1,IF(T254="P1",3,IF(T254="P2",7,IF(T254="P3",30,IF(T254="P4",30,7)))))</f>
        <v/>
      </c>
      <c r="Z254">
        <f>IF(U254&lt;&gt;"",U254+Y254,"")</f>
        <v/>
      </c>
      <c r="AA254">
        <f>IF(Z254&lt;&gt;"",Z254-TODAY(),"")</f>
        <v/>
      </c>
      <c r="AB254">
        <f>IF(AA254&lt;&gt;"",IF(AA254&lt;0,"Overdue",IF(AA254&lt;=Y254*0.2,"At Risk","On Time")),"")</f>
        <v/>
      </c>
    </row>
    <row r="255">
      <c r="K255">
        <f>IF(J255="v4.0",L255,IF(J255="v3.1",M255,IF(J255="Both",L255,IF(AND(L255&lt;&gt;"",M255=""),L255,M255))))</f>
        <v/>
      </c>
      <c r="Y255">
        <f>IF(T255="P0",1,IF(T255="P1",3,IF(T255="P2",7,IF(T255="P3",30,IF(T255="P4",30,7)))))</f>
        <v/>
      </c>
      <c r="Z255">
        <f>IF(U255&lt;&gt;"",U255+Y255,"")</f>
        <v/>
      </c>
      <c r="AA255">
        <f>IF(Z255&lt;&gt;"",Z255-TODAY(),"")</f>
        <v/>
      </c>
      <c r="AB255">
        <f>IF(AA255&lt;&gt;"",IF(AA255&lt;0,"Overdue",IF(AA255&lt;=Y255*0.2,"At Risk","On Time")),"")</f>
        <v/>
      </c>
    </row>
    <row r="256">
      <c r="K256">
        <f>IF(J256="v4.0",L256,IF(J256="v3.1",M256,IF(J256="Both",L256,IF(AND(L256&lt;&gt;"",M256=""),L256,M256))))</f>
        <v/>
      </c>
      <c r="Y256">
        <f>IF(T256="P0",1,IF(T256="P1",3,IF(T256="P2",7,IF(T256="P3",30,IF(T256="P4",30,7)))))</f>
        <v/>
      </c>
      <c r="Z256">
        <f>IF(U256&lt;&gt;"",U256+Y256,"")</f>
        <v/>
      </c>
      <c r="AA256">
        <f>IF(Z256&lt;&gt;"",Z256-TODAY(),"")</f>
        <v/>
      </c>
      <c r="AB256">
        <f>IF(AA256&lt;&gt;"",IF(AA256&lt;0,"Overdue",IF(AA256&lt;=Y256*0.2,"At Risk","On Time")),"")</f>
        <v/>
      </c>
    </row>
    <row r="257">
      <c r="K257">
        <f>IF(J257="v4.0",L257,IF(J257="v3.1",M257,IF(J257="Both",L257,IF(AND(L257&lt;&gt;"",M257=""),L257,M257))))</f>
        <v/>
      </c>
      <c r="Y257">
        <f>IF(T257="P0",1,IF(T257="P1",3,IF(T257="P2",7,IF(T257="P3",30,IF(T257="P4",30,7)))))</f>
        <v/>
      </c>
      <c r="Z257">
        <f>IF(U257&lt;&gt;"",U257+Y257,"")</f>
        <v/>
      </c>
      <c r="AA257">
        <f>IF(Z257&lt;&gt;"",Z257-TODAY(),"")</f>
        <v/>
      </c>
      <c r="AB257">
        <f>IF(AA257&lt;&gt;"",IF(AA257&lt;0,"Overdue",IF(AA257&lt;=Y257*0.2,"At Risk","On Time")),"")</f>
        <v/>
      </c>
    </row>
    <row r="258">
      <c r="K258">
        <f>IF(J258="v4.0",L258,IF(J258="v3.1",M258,IF(J258="Both",L258,IF(AND(L258&lt;&gt;"",M258=""),L258,M258))))</f>
        <v/>
      </c>
      <c r="Y258">
        <f>IF(T258="P0",1,IF(T258="P1",3,IF(T258="P2",7,IF(T258="P3",30,IF(T258="P4",30,7)))))</f>
        <v/>
      </c>
      <c r="Z258">
        <f>IF(U258&lt;&gt;"",U258+Y258,"")</f>
        <v/>
      </c>
      <c r="AA258">
        <f>IF(Z258&lt;&gt;"",Z258-TODAY(),"")</f>
        <v/>
      </c>
      <c r="AB258">
        <f>IF(AA258&lt;&gt;"",IF(AA258&lt;0,"Overdue",IF(AA258&lt;=Y258*0.2,"At Risk","On Time")),"")</f>
        <v/>
      </c>
    </row>
    <row r="259">
      <c r="K259">
        <f>IF(J259="v4.0",L259,IF(J259="v3.1",M259,IF(J259="Both",L259,IF(AND(L259&lt;&gt;"",M259=""),L259,M259))))</f>
        <v/>
      </c>
      <c r="Y259">
        <f>IF(T259="P0",1,IF(T259="P1",3,IF(T259="P2",7,IF(T259="P3",30,IF(T259="P4",30,7)))))</f>
        <v/>
      </c>
      <c r="Z259">
        <f>IF(U259&lt;&gt;"",U259+Y259,"")</f>
        <v/>
      </c>
      <c r="AA259">
        <f>IF(Z259&lt;&gt;"",Z259-TODAY(),"")</f>
        <v/>
      </c>
      <c r="AB259">
        <f>IF(AA259&lt;&gt;"",IF(AA259&lt;0,"Overdue",IF(AA259&lt;=Y259*0.2,"At Risk","On Time")),"")</f>
        <v/>
      </c>
    </row>
    <row r="260">
      <c r="K260">
        <f>IF(J260="v4.0",L260,IF(J260="v3.1",M260,IF(J260="Both",L260,IF(AND(L260&lt;&gt;"",M260=""),L260,M260))))</f>
        <v/>
      </c>
      <c r="Y260">
        <f>IF(T260="P0",1,IF(T260="P1",3,IF(T260="P2",7,IF(T260="P3",30,IF(T260="P4",30,7)))))</f>
        <v/>
      </c>
      <c r="Z260">
        <f>IF(U260&lt;&gt;"",U260+Y260,"")</f>
        <v/>
      </c>
      <c r="AA260">
        <f>IF(Z260&lt;&gt;"",Z260-TODAY(),"")</f>
        <v/>
      </c>
      <c r="AB260">
        <f>IF(AA260&lt;&gt;"",IF(AA260&lt;0,"Overdue",IF(AA260&lt;=Y260*0.2,"At Risk","On Time")),"")</f>
        <v/>
      </c>
    </row>
    <row r="261">
      <c r="K261">
        <f>IF(J261="v4.0",L261,IF(J261="v3.1",M261,IF(J261="Both",L261,IF(AND(L261&lt;&gt;"",M261=""),L261,M261))))</f>
        <v/>
      </c>
      <c r="Y261">
        <f>IF(T261="P0",1,IF(T261="P1",3,IF(T261="P2",7,IF(T261="P3",30,IF(T261="P4",30,7)))))</f>
        <v/>
      </c>
      <c r="Z261">
        <f>IF(U261&lt;&gt;"",U261+Y261,"")</f>
        <v/>
      </c>
      <c r="AA261">
        <f>IF(Z261&lt;&gt;"",Z261-TODAY(),"")</f>
        <v/>
      </c>
      <c r="AB261">
        <f>IF(AA261&lt;&gt;"",IF(AA261&lt;0,"Overdue",IF(AA261&lt;=Y261*0.2,"At Risk","On Time")),"")</f>
        <v/>
      </c>
    </row>
    <row r="262">
      <c r="K262">
        <f>IF(J262="v4.0",L262,IF(J262="v3.1",M262,IF(J262="Both",L262,IF(AND(L262&lt;&gt;"",M262=""),L262,M262))))</f>
        <v/>
      </c>
      <c r="Y262">
        <f>IF(T262="P0",1,IF(T262="P1",3,IF(T262="P2",7,IF(T262="P3",30,IF(T262="P4",30,7)))))</f>
        <v/>
      </c>
      <c r="Z262">
        <f>IF(U262&lt;&gt;"",U262+Y262,"")</f>
        <v/>
      </c>
      <c r="AA262">
        <f>IF(Z262&lt;&gt;"",Z262-TODAY(),"")</f>
        <v/>
      </c>
      <c r="AB262">
        <f>IF(AA262&lt;&gt;"",IF(AA262&lt;0,"Overdue",IF(AA262&lt;=Y262*0.2,"At Risk","On Time")),"")</f>
        <v/>
      </c>
    </row>
    <row r="263">
      <c r="K263">
        <f>IF(J263="v4.0",L263,IF(J263="v3.1",M263,IF(J263="Both",L263,IF(AND(L263&lt;&gt;"",M263=""),L263,M263))))</f>
        <v/>
      </c>
      <c r="Y263">
        <f>IF(T263="P0",1,IF(T263="P1",3,IF(T263="P2",7,IF(T263="P3",30,IF(T263="P4",30,7)))))</f>
        <v/>
      </c>
      <c r="Z263">
        <f>IF(U263&lt;&gt;"",U263+Y263,"")</f>
        <v/>
      </c>
      <c r="AA263">
        <f>IF(Z263&lt;&gt;"",Z263-TODAY(),"")</f>
        <v/>
      </c>
      <c r="AB263">
        <f>IF(AA263&lt;&gt;"",IF(AA263&lt;0,"Overdue",IF(AA263&lt;=Y263*0.2,"At Risk","On Time")),"")</f>
        <v/>
      </c>
    </row>
    <row r="264">
      <c r="K264">
        <f>IF(J264="v4.0",L264,IF(J264="v3.1",M264,IF(J264="Both",L264,IF(AND(L264&lt;&gt;"",M264=""),L264,M264))))</f>
        <v/>
      </c>
      <c r="Y264">
        <f>IF(T264="P0",1,IF(T264="P1",3,IF(T264="P2",7,IF(T264="P3",30,IF(T264="P4",30,7)))))</f>
        <v/>
      </c>
      <c r="Z264">
        <f>IF(U264&lt;&gt;"",U264+Y264,"")</f>
        <v/>
      </c>
      <c r="AA264">
        <f>IF(Z264&lt;&gt;"",Z264-TODAY(),"")</f>
        <v/>
      </c>
      <c r="AB264">
        <f>IF(AA264&lt;&gt;"",IF(AA264&lt;0,"Overdue",IF(AA264&lt;=Y264*0.2,"At Risk","On Time")),"")</f>
        <v/>
      </c>
    </row>
    <row r="265">
      <c r="K265">
        <f>IF(J265="v4.0",L265,IF(J265="v3.1",M265,IF(J265="Both",L265,IF(AND(L265&lt;&gt;"",M265=""),L265,M265))))</f>
        <v/>
      </c>
      <c r="Y265">
        <f>IF(T265="P0",1,IF(T265="P1",3,IF(T265="P2",7,IF(T265="P3",30,IF(T265="P4",30,7)))))</f>
        <v/>
      </c>
      <c r="Z265">
        <f>IF(U265&lt;&gt;"",U265+Y265,"")</f>
        <v/>
      </c>
      <c r="AA265">
        <f>IF(Z265&lt;&gt;"",Z265-TODAY(),"")</f>
        <v/>
      </c>
      <c r="AB265">
        <f>IF(AA265&lt;&gt;"",IF(AA265&lt;0,"Overdue",IF(AA265&lt;=Y265*0.2,"At Risk","On Time")),"")</f>
        <v/>
      </c>
    </row>
    <row r="266">
      <c r="K266">
        <f>IF(J266="v4.0",L266,IF(J266="v3.1",M266,IF(J266="Both",L266,IF(AND(L266&lt;&gt;"",M266=""),L266,M266))))</f>
        <v/>
      </c>
      <c r="Y266">
        <f>IF(T266="P0",1,IF(T266="P1",3,IF(T266="P2",7,IF(T266="P3",30,IF(T266="P4",30,7)))))</f>
        <v/>
      </c>
      <c r="Z266">
        <f>IF(U266&lt;&gt;"",U266+Y266,"")</f>
        <v/>
      </c>
      <c r="AA266">
        <f>IF(Z266&lt;&gt;"",Z266-TODAY(),"")</f>
        <v/>
      </c>
      <c r="AB266">
        <f>IF(AA266&lt;&gt;"",IF(AA266&lt;0,"Overdue",IF(AA266&lt;=Y266*0.2,"At Risk","On Time")),"")</f>
        <v/>
      </c>
    </row>
    <row r="267">
      <c r="K267">
        <f>IF(J267="v4.0",L267,IF(J267="v3.1",M267,IF(J267="Both",L267,IF(AND(L267&lt;&gt;"",M267=""),L267,M267))))</f>
        <v/>
      </c>
      <c r="Y267">
        <f>IF(T267="P0",1,IF(T267="P1",3,IF(T267="P2",7,IF(T267="P3",30,IF(T267="P4",30,7)))))</f>
        <v/>
      </c>
      <c r="Z267">
        <f>IF(U267&lt;&gt;"",U267+Y267,"")</f>
        <v/>
      </c>
      <c r="AA267">
        <f>IF(Z267&lt;&gt;"",Z267-TODAY(),"")</f>
        <v/>
      </c>
      <c r="AB267">
        <f>IF(AA267&lt;&gt;"",IF(AA267&lt;0,"Overdue",IF(AA267&lt;=Y267*0.2,"At Risk","On Time")),"")</f>
        <v/>
      </c>
    </row>
    <row r="268">
      <c r="K268">
        <f>IF(J268="v4.0",L268,IF(J268="v3.1",M268,IF(J268="Both",L268,IF(AND(L268&lt;&gt;"",M268=""),L268,M268))))</f>
        <v/>
      </c>
      <c r="Y268">
        <f>IF(T268="P0",1,IF(T268="P1",3,IF(T268="P2",7,IF(T268="P3",30,IF(T268="P4",30,7)))))</f>
        <v/>
      </c>
      <c r="Z268">
        <f>IF(U268&lt;&gt;"",U268+Y268,"")</f>
        <v/>
      </c>
      <c r="AA268">
        <f>IF(Z268&lt;&gt;"",Z268-TODAY(),"")</f>
        <v/>
      </c>
      <c r="AB268">
        <f>IF(AA268&lt;&gt;"",IF(AA268&lt;0,"Overdue",IF(AA268&lt;=Y268*0.2,"At Risk","On Time")),"")</f>
        <v/>
      </c>
    </row>
    <row r="269">
      <c r="K269">
        <f>IF(J269="v4.0",L269,IF(J269="v3.1",M269,IF(J269="Both",L269,IF(AND(L269&lt;&gt;"",M269=""),L269,M269))))</f>
        <v/>
      </c>
      <c r="Y269">
        <f>IF(T269="P0",1,IF(T269="P1",3,IF(T269="P2",7,IF(T269="P3",30,IF(T269="P4",30,7)))))</f>
        <v/>
      </c>
      <c r="Z269">
        <f>IF(U269&lt;&gt;"",U269+Y269,"")</f>
        <v/>
      </c>
      <c r="AA269">
        <f>IF(Z269&lt;&gt;"",Z269-TODAY(),"")</f>
        <v/>
      </c>
      <c r="AB269">
        <f>IF(AA269&lt;&gt;"",IF(AA269&lt;0,"Overdue",IF(AA269&lt;=Y269*0.2,"At Risk","On Time")),"")</f>
        <v/>
      </c>
    </row>
    <row r="270">
      <c r="K270">
        <f>IF(J270="v4.0",L270,IF(J270="v3.1",M270,IF(J270="Both",L270,IF(AND(L270&lt;&gt;"",M270=""),L270,M270))))</f>
        <v/>
      </c>
      <c r="Y270">
        <f>IF(T270="P0",1,IF(T270="P1",3,IF(T270="P2",7,IF(T270="P3",30,IF(T270="P4",30,7)))))</f>
        <v/>
      </c>
      <c r="Z270">
        <f>IF(U270&lt;&gt;"",U270+Y270,"")</f>
        <v/>
      </c>
      <c r="AA270">
        <f>IF(Z270&lt;&gt;"",Z270-TODAY(),"")</f>
        <v/>
      </c>
      <c r="AB270">
        <f>IF(AA270&lt;&gt;"",IF(AA270&lt;0,"Overdue",IF(AA270&lt;=Y270*0.2,"At Risk","On Time")),"")</f>
        <v/>
      </c>
    </row>
    <row r="271">
      <c r="K271">
        <f>IF(J271="v4.0",L271,IF(J271="v3.1",M271,IF(J271="Both",L271,IF(AND(L271&lt;&gt;"",M271=""),L271,M271))))</f>
        <v/>
      </c>
      <c r="Y271">
        <f>IF(T271="P0",1,IF(T271="P1",3,IF(T271="P2",7,IF(T271="P3",30,IF(T271="P4",30,7)))))</f>
        <v/>
      </c>
      <c r="Z271">
        <f>IF(U271&lt;&gt;"",U271+Y271,"")</f>
        <v/>
      </c>
      <c r="AA271">
        <f>IF(Z271&lt;&gt;"",Z271-TODAY(),"")</f>
        <v/>
      </c>
      <c r="AB271">
        <f>IF(AA271&lt;&gt;"",IF(AA271&lt;0,"Overdue",IF(AA271&lt;=Y271*0.2,"At Risk","On Time")),"")</f>
        <v/>
      </c>
    </row>
    <row r="272">
      <c r="K272">
        <f>IF(J272="v4.0",L272,IF(J272="v3.1",M272,IF(J272="Both",L272,IF(AND(L272&lt;&gt;"",M272=""),L272,M272))))</f>
        <v/>
      </c>
      <c r="Y272">
        <f>IF(T272="P0",1,IF(T272="P1",3,IF(T272="P2",7,IF(T272="P3",30,IF(T272="P4",30,7)))))</f>
        <v/>
      </c>
      <c r="Z272">
        <f>IF(U272&lt;&gt;"",U272+Y272,"")</f>
        <v/>
      </c>
      <c r="AA272">
        <f>IF(Z272&lt;&gt;"",Z272-TODAY(),"")</f>
        <v/>
      </c>
      <c r="AB272">
        <f>IF(AA272&lt;&gt;"",IF(AA272&lt;0,"Overdue",IF(AA272&lt;=Y272*0.2,"At Risk","On Time")),"")</f>
        <v/>
      </c>
    </row>
    <row r="273">
      <c r="K273">
        <f>IF(J273="v4.0",L273,IF(J273="v3.1",M273,IF(J273="Both",L273,IF(AND(L273&lt;&gt;"",M273=""),L273,M273))))</f>
        <v/>
      </c>
      <c r="Y273">
        <f>IF(T273="P0",1,IF(T273="P1",3,IF(T273="P2",7,IF(T273="P3",30,IF(T273="P4",30,7)))))</f>
        <v/>
      </c>
      <c r="Z273">
        <f>IF(U273&lt;&gt;"",U273+Y273,"")</f>
        <v/>
      </c>
      <c r="AA273">
        <f>IF(Z273&lt;&gt;"",Z273-TODAY(),"")</f>
        <v/>
      </c>
      <c r="AB273">
        <f>IF(AA273&lt;&gt;"",IF(AA273&lt;0,"Overdue",IF(AA273&lt;=Y273*0.2,"At Risk","On Time")),"")</f>
        <v/>
      </c>
    </row>
    <row r="274">
      <c r="K274">
        <f>IF(J274="v4.0",L274,IF(J274="v3.1",M274,IF(J274="Both",L274,IF(AND(L274&lt;&gt;"",M274=""),L274,M274))))</f>
        <v/>
      </c>
      <c r="Y274">
        <f>IF(T274="P0",1,IF(T274="P1",3,IF(T274="P2",7,IF(T274="P3",30,IF(T274="P4",30,7)))))</f>
        <v/>
      </c>
      <c r="Z274">
        <f>IF(U274&lt;&gt;"",U274+Y274,"")</f>
        <v/>
      </c>
      <c r="AA274">
        <f>IF(Z274&lt;&gt;"",Z274-TODAY(),"")</f>
        <v/>
      </c>
      <c r="AB274">
        <f>IF(AA274&lt;&gt;"",IF(AA274&lt;0,"Overdue",IF(AA274&lt;=Y274*0.2,"At Risk","On Time")),"")</f>
        <v/>
      </c>
    </row>
    <row r="275">
      <c r="K275">
        <f>IF(J275="v4.0",L275,IF(J275="v3.1",M275,IF(J275="Both",L275,IF(AND(L275&lt;&gt;"",M275=""),L275,M275))))</f>
        <v/>
      </c>
      <c r="Y275">
        <f>IF(T275="P0",1,IF(T275="P1",3,IF(T275="P2",7,IF(T275="P3",30,IF(T275="P4",30,7)))))</f>
        <v/>
      </c>
      <c r="Z275">
        <f>IF(U275&lt;&gt;"",U275+Y275,"")</f>
        <v/>
      </c>
      <c r="AA275">
        <f>IF(Z275&lt;&gt;"",Z275-TODAY(),"")</f>
        <v/>
      </c>
      <c r="AB275">
        <f>IF(AA275&lt;&gt;"",IF(AA275&lt;0,"Overdue",IF(AA275&lt;=Y275*0.2,"At Risk","On Time")),"")</f>
        <v/>
      </c>
    </row>
    <row r="276">
      <c r="K276">
        <f>IF(J276="v4.0",L276,IF(J276="v3.1",M276,IF(J276="Both",L276,IF(AND(L276&lt;&gt;"",M276=""),L276,M276))))</f>
        <v/>
      </c>
      <c r="Y276">
        <f>IF(T276="P0",1,IF(T276="P1",3,IF(T276="P2",7,IF(T276="P3",30,IF(T276="P4",30,7)))))</f>
        <v/>
      </c>
      <c r="Z276">
        <f>IF(U276&lt;&gt;"",U276+Y276,"")</f>
        <v/>
      </c>
      <c r="AA276">
        <f>IF(Z276&lt;&gt;"",Z276-TODAY(),"")</f>
        <v/>
      </c>
      <c r="AB276">
        <f>IF(AA276&lt;&gt;"",IF(AA276&lt;0,"Overdue",IF(AA276&lt;=Y276*0.2,"At Risk","On Time")),"")</f>
        <v/>
      </c>
    </row>
    <row r="277">
      <c r="K277">
        <f>IF(J277="v4.0",L277,IF(J277="v3.1",M277,IF(J277="Both",L277,IF(AND(L277&lt;&gt;"",M277=""),L277,M277))))</f>
        <v/>
      </c>
      <c r="Y277">
        <f>IF(T277="P0",1,IF(T277="P1",3,IF(T277="P2",7,IF(T277="P3",30,IF(T277="P4",30,7)))))</f>
        <v/>
      </c>
      <c r="Z277">
        <f>IF(U277&lt;&gt;"",U277+Y277,"")</f>
        <v/>
      </c>
      <c r="AA277">
        <f>IF(Z277&lt;&gt;"",Z277-TODAY(),"")</f>
        <v/>
      </c>
      <c r="AB277">
        <f>IF(AA277&lt;&gt;"",IF(AA277&lt;0,"Overdue",IF(AA277&lt;=Y277*0.2,"At Risk","On Time")),"")</f>
        <v/>
      </c>
    </row>
    <row r="278">
      <c r="K278">
        <f>IF(J278="v4.0",L278,IF(J278="v3.1",M278,IF(J278="Both",L278,IF(AND(L278&lt;&gt;"",M278=""),L278,M278))))</f>
        <v/>
      </c>
      <c r="Y278">
        <f>IF(T278="P0",1,IF(T278="P1",3,IF(T278="P2",7,IF(T278="P3",30,IF(T278="P4",30,7)))))</f>
        <v/>
      </c>
      <c r="Z278">
        <f>IF(U278&lt;&gt;"",U278+Y278,"")</f>
        <v/>
      </c>
      <c r="AA278">
        <f>IF(Z278&lt;&gt;"",Z278-TODAY(),"")</f>
        <v/>
      </c>
      <c r="AB278">
        <f>IF(AA278&lt;&gt;"",IF(AA278&lt;0,"Overdue",IF(AA278&lt;=Y278*0.2,"At Risk","On Time")),"")</f>
        <v/>
      </c>
    </row>
    <row r="279">
      <c r="K279">
        <f>IF(J279="v4.0",L279,IF(J279="v3.1",M279,IF(J279="Both",L279,IF(AND(L279&lt;&gt;"",M279=""),L279,M279))))</f>
        <v/>
      </c>
      <c r="Y279">
        <f>IF(T279="P0",1,IF(T279="P1",3,IF(T279="P2",7,IF(T279="P3",30,IF(T279="P4",30,7)))))</f>
        <v/>
      </c>
      <c r="Z279">
        <f>IF(U279&lt;&gt;"",U279+Y279,"")</f>
        <v/>
      </c>
      <c r="AA279">
        <f>IF(Z279&lt;&gt;"",Z279-TODAY(),"")</f>
        <v/>
      </c>
      <c r="AB279">
        <f>IF(AA279&lt;&gt;"",IF(AA279&lt;0,"Overdue",IF(AA279&lt;=Y279*0.2,"At Risk","On Time")),"")</f>
        <v/>
      </c>
    </row>
    <row r="280">
      <c r="K280">
        <f>IF(J280="v4.0",L280,IF(J280="v3.1",M280,IF(J280="Both",L280,IF(AND(L280&lt;&gt;"",M280=""),L280,M280))))</f>
        <v/>
      </c>
      <c r="Y280">
        <f>IF(T280="P0",1,IF(T280="P1",3,IF(T280="P2",7,IF(T280="P3",30,IF(T280="P4",30,7)))))</f>
        <v/>
      </c>
      <c r="Z280">
        <f>IF(U280&lt;&gt;"",U280+Y280,"")</f>
        <v/>
      </c>
      <c r="AA280">
        <f>IF(Z280&lt;&gt;"",Z280-TODAY(),"")</f>
        <v/>
      </c>
      <c r="AB280">
        <f>IF(AA280&lt;&gt;"",IF(AA280&lt;0,"Overdue",IF(AA280&lt;=Y280*0.2,"At Risk","On Time")),"")</f>
        <v/>
      </c>
    </row>
    <row r="281">
      <c r="K281">
        <f>IF(J281="v4.0",L281,IF(J281="v3.1",M281,IF(J281="Both",L281,IF(AND(L281&lt;&gt;"",M281=""),L281,M281))))</f>
        <v/>
      </c>
      <c r="Y281">
        <f>IF(T281="P0",1,IF(T281="P1",3,IF(T281="P2",7,IF(T281="P3",30,IF(T281="P4",30,7)))))</f>
        <v/>
      </c>
      <c r="Z281">
        <f>IF(U281&lt;&gt;"",U281+Y281,"")</f>
        <v/>
      </c>
      <c r="AA281">
        <f>IF(Z281&lt;&gt;"",Z281-TODAY(),"")</f>
        <v/>
      </c>
      <c r="AB281">
        <f>IF(AA281&lt;&gt;"",IF(AA281&lt;0,"Overdue",IF(AA281&lt;=Y281*0.2,"At Risk","On Time")),"")</f>
        <v/>
      </c>
    </row>
    <row r="282">
      <c r="K282">
        <f>IF(J282="v4.0",L282,IF(J282="v3.1",M282,IF(J282="Both",L282,IF(AND(L282&lt;&gt;"",M282=""),L282,M282))))</f>
        <v/>
      </c>
      <c r="Y282">
        <f>IF(T282="P0",1,IF(T282="P1",3,IF(T282="P2",7,IF(T282="P3",30,IF(T282="P4",30,7)))))</f>
        <v/>
      </c>
      <c r="Z282">
        <f>IF(U282&lt;&gt;"",U282+Y282,"")</f>
        <v/>
      </c>
      <c r="AA282">
        <f>IF(Z282&lt;&gt;"",Z282-TODAY(),"")</f>
        <v/>
      </c>
      <c r="AB282">
        <f>IF(AA282&lt;&gt;"",IF(AA282&lt;0,"Overdue",IF(AA282&lt;=Y282*0.2,"At Risk","On Time")),"")</f>
        <v/>
      </c>
    </row>
    <row r="283">
      <c r="K283">
        <f>IF(J283="v4.0",L283,IF(J283="v3.1",M283,IF(J283="Both",L283,IF(AND(L283&lt;&gt;"",M283=""),L283,M283))))</f>
        <v/>
      </c>
      <c r="Y283">
        <f>IF(T283="P0",1,IF(T283="P1",3,IF(T283="P2",7,IF(T283="P3",30,IF(T283="P4",30,7)))))</f>
        <v/>
      </c>
      <c r="Z283">
        <f>IF(U283&lt;&gt;"",U283+Y283,"")</f>
        <v/>
      </c>
      <c r="AA283">
        <f>IF(Z283&lt;&gt;"",Z283-TODAY(),"")</f>
        <v/>
      </c>
      <c r="AB283">
        <f>IF(AA283&lt;&gt;"",IF(AA283&lt;0,"Overdue",IF(AA283&lt;=Y283*0.2,"At Risk","On Time")),"")</f>
        <v/>
      </c>
    </row>
    <row r="284">
      <c r="K284">
        <f>IF(J284="v4.0",L284,IF(J284="v3.1",M284,IF(J284="Both",L284,IF(AND(L284&lt;&gt;"",M284=""),L284,M284))))</f>
        <v/>
      </c>
      <c r="Y284">
        <f>IF(T284="P0",1,IF(T284="P1",3,IF(T284="P2",7,IF(T284="P3",30,IF(T284="P4",30,7)))))</f>
        <v/>
      </c>
      <c r="Z284">
        <f>IF(U284&lt;&gt;"",U284+Y284,"")</f>
        <v/>
      </c>
      <c r="AA284">
        <f>IF(Z284&lt;&gt;"",Z284-TODAY(),"")</f>
        <v/>
      </c>
      <c r="AB284">
        <f>IF(AA284&lt;&gt;"",IF(AA284&lt;0,"Overdue",IF(AA284&lt;=Y284*0.2,"At Risk","On Time")),"")</f>
        <v/>
      </c>
    </row>
    <row r="285">
      <c r="K285">
        <f>IF(J285="v4.0",L285,IF(J285="v3.1",M285,IF(J285="Both",L285,IF(AND(L285&lt;&gt;"",M285=""),L285,M285))))</f>
        <v/>
      </c>
      <c r="Y285">
        <f>IF(T285="P0",1,IF(T285="P1",3,IF(T285="P2",7,IF(T285="P3",30,IF(T285="P4",30,7)))))</f>
        <v/>
      </c>
      <c r="Z285">
        <f>IF(U285&lt;&gt;"",U285+Y285,"")</f>
        <v/>
      </c>
      <c r="AA285">
        <f>IF(Z285&lt;&gt;"",Z285-TODAY(),"")</f>
        <v/>
      </c>
      <c r="AB285">
        <f>IF(AA285&lt;&gt;"",IF(AA285&lt;0,"Overdue",IF(AA285&lt;=Y285*0.2,"At Risk","On Time")),"")</f>
        <v/>
      </c>
    </row>
    <row r="286">
      <c r="K286">
        <f>IF(J286="v4.0",L286,IF(J286="v3.1",M286,IF(J286="Both",L286,IF(AND(L286&lt;&gt;"",M286=""),L286,M286))))</f>
        <v/>
      </c>
      <c r="Y286">
        <f>IF(T286="P0",1,IF(T286="P1",3,IF(T286="P2",7,IF(T286="P3",30,IF(T286="P4",30,7)))))</f>
        <v/>
      </c>
      <c r="Z286">
        <f>IF(U286&lt;&gt;"",U286+Y286,"")</f>
        <v/>
      </c>
      <c r="AA286">
        <f>IF(Z286&lt;&gt;"",Z286-TODAY(),"")</f>
        <v/>
      </c>
      <c r="AB286">
        <f>IF(AA286&lt;&gt;"",IF(AA286&lt;0,"Overdue",IF(AA286&lt;=Y286*0.2,"At Risk","On Time")),"")</f>
        <v/>
      </c>
    </row>
    <row r="287">
      <c r="K287">
        <f>IF(J287="v4.0",L287,IF(J287="v3.1",M287,IF(J287="Both",L287,IF(AND(L287&lt;&gt;"",M287=""),L287,M287))))</f>
        <v/>
      </c>
      <c r="Y287">
        <f>IF(T287="P0",1,IF(T287="P1",3,IF(T287="P2",7,IF(T287="P3",30,IF(T287="P4",30,7)))))</f>
        <v/>
      </c>
      <c r="Z287">
        <f>IF(U287&lt;&gt;"",U287+Y287,"")</f>
        <v/>
      </c>
      <c r="AA287">
        <f>IF(Z287&lt;&gt;"",Z287-TODAY(),"")</f>
        <v/>
      </c>
      <c r="AB287">
        <f>IF(AA287&lt;&gt;"",IF(AA287&lt;0,"Overdue",IF(AA287&lt;=Y287*0.2,"At Risk","On Time")),"")</f>
        <v/>
      </c>
    </row>
    <row r="288">
      <c r="K288">
        <f>IF(J288="v4.0",L288,IF(J288="v3.1",M288,IF(J288="Both",L288,IF(AND(L288&lt;&gt;"",M288=""),L288,M288))))</f>
        <v/>
      </c>
      <c r="Y288">
        <f>IF(T288="P0",1,IF(T288="P1",3,IF(T288="P2",7,IF(T288="P3",30,IF(T288="P4",30,7)))))</f>
        <v/>
      </c>
      <c r="Z288">
        <f>IF(U288&lt;&gt;"",U288+Y288,"")</f>
        <v/>
      </c>
      <c r="AA288">
        <f>IF(Z288&lt;&gt;"",Z288-TODAY(),"")</f>
        <v/>
      </c>
      <c r="AB288">
        <f>IF(AA288&lt;&gt;"",IF(AA288&lt;0,"Overdue",IF(AA288&lt;=Y288*0.2,"At Risk","On Time")),"")</f>
        <v/>
      </c>
    </row>
    <row r="289">
      <c r="K289">
        <f>IF(J289="v4.0",L289,IF(J289="v3.1",M289,IF(J289="Both",L289,IF(AND(L289&lt;&gt;"",M289=""),L289,M289))))</f>
        <v/>
      </c>
      <c r="Y289">
        <f>IF(T289="P0",1,IF(T289="P1",3,IF(T289="P2",7,IF(T289="P3",30,IF(T289="P4",30,7)))))</f>
        <v/>
      </c>
      <c r="Z289">
        <f>IF(U289&lt;&gt;"",U289+Y289,"")</f>
        <v/>
      </c>
      <c r="AA289">
        <f>IF(Z289&lt;&gt;"",Z289-TODAY(),"")</f>
        <v/>
      </c>
      <c r="AB289">
        <f>IF(AA289&lt;&gt;"",IF(AA289&lt;0,"Overdue",IF(AA289&lt;=Y289*0.2,"At Risk","On Time")),"")</f>
        <v/>
      </c>
    </row>
    <row r="290">
      <c r="K290">
        <f>IF(J290="v4.0",L290,IF(J290="v3.1",M290,IF(J290="Both",L290,IF(AND(L290&lt;&gt;"",M290=""),L290,M290))))</f>
        <v/>
      </c>
      <c r="Y290">
        <f>IF(T290="P0",1,IF(T290="P1",3,IF(T290="P2",7,IF(T290="P3",30,IF(T290="P4",30,7)))))</f>
        <v/>
      </c>
      <c r="Z290">
        <f>IF(U290&lt;&gt;"",U290+Y290,"")</f>
        <v/>
      </c>
      <c r="AA290">
        <f>IF(Z290&lt;&gt;"",Z290-TODAY(),"")</f>
        <v/>
      </c>
      <c r="AB290">
        <f>IF(AA290&lt;&gt;"",IF(AA290&lt;0,"Overdue",IF(AA290&lt;=Y290*0.2,"At Risk","On Time")),"")</f>
        <v/>
      </c>
    </row>
    <row r="291">
      <c r="K291">
        <f>IF(J291="v4.0",L291,IF(J291="v3.1",M291,IF(J291="Both",L291,IF(AND(L291&lt;&gt;"",M291=""),L291,M291))))</f>
        <v/>
      </c>
      <c r="Y291">
        <f>IF(T291="P0",1,IF(T291="P1",3,IF(T291="P2",7,IF(T291="P3",30,IF(T291="P4",30,7)))))</f>
        <v/>
      </c>
      <c r="Z291">
        <f>IF(U291&lt;&gt;"",U291+Y291,"")</f>
        <v/>
      </c>
      <c r="AA291">
        <f>IF(Z291&lt;&gt;"",Z291-TODAY(),"")</f>
        <v/>
      </c>
      <c r="AB291">
        <f>IF(AA291&lt;&gt;"",IF(AA291&lt;0,"Overdue",IF(AA291&lt;=Y291*0.2,"At Risk","On Time")),"")</f>
        <v/>
      </c>
    </row>
    <row r="292">
      <c r="K292">
        <f>IF(J292="v4.0",L292,IF(J292="v3.1",M292,IF(J292="Both",L292,IF(AND(L292&lt;&gt;"",M292=""),L292,M292))))</f>
        <v/>
      </c>
      <c r="Y292">
        <f>IF(T292="P0",1,IF(T292="P1",3,IF(T292="P2",7,IF(T292="P3",30,IF(T292="P4",30,7)))))</f>
        <v/>
      </c>
      <c r="Z292">
        <f>IF(U292&lt;&gt;"",U292+Y292,"")</f>
        <v/>
      </c>
      <c r="AA292">
        <f>IF(Z292&lt;&gt;"",Z292-TODAY(),"")</f>
        <v/>
      </c>
      <c r="AB292">
        <f>IF(AA292&lt;&gt;"",IF(AA292&lt;0,"Overdue",IF(AA292&lt;=Y292*0.2,"At Risk","On Time")),"")</f>
        <v/>
      </c>
    </row>
    <row r="293">
      <c r="K293">
        <f>IF(J293="v4.0",L293,IF(J293="v3.1",M293,IF(J293="Both",L293,IF(AND(L293&lt;&gt;"",M293=""),L293,M293))))</f>
        <v/>
      </c>
      <c r="Y293">
        <f>IF(T293="P0",1,IF(T293="P1",3,IF(T293="P2",7,IF(T293="P3",30,IF(T293="P4",30,7)))))</f>
        <v/>
      </c>
      <c r="Z293">
        <f>IF(U293&lt;&gt;"",U293+Y293,"")</f>
        <v/>
      </c>
      <c r="AA293">
        <f>IF(Z293&lt;&gt;"",Z293-TODAY(),"")</f>
        <v/>
      </c>
      <c r="AB293">
        <f>IF(AA293&lt;&gt;"",IF(AA293&lt;0,"Overdue",IF(AA293&lt;=Y293*0.2,"At Risk","On Time")),"")</f>
        <v/>
      </c>
    </row>
    <row r="294">
      <c r="K294">
        <f>IF(J294="v4.0",L294,IF(J294="v3.1",M294,IF(J294="Both",L294,IF(AND(L294&lt;&gt;"",M294=""),L294,M294))))</f>
        <v/>
      </c>
      <c r="Y294">
        <f>IF(T294="P0",1,IF(T294="P1",3,IF(T294="P2",7,IF(T294="P3",30,IF(T294="P4",30,7)))))</f>
        <v/>
      </c>
      <c r="Z294">
        <f>IF(U294&lt;&gt;"",U294+Y294,"")</f>
        <v/>
      </c>
      <c r="AA294">
        <f>IF(Z294&lt;&gt;"",Z294-TODAY(),"")</f>
        <v/>
      </c>
      <c r="AB294">
        <f>IF(AA294&lt;&gt;"",IF(AA294&lt;0,"Overdue",IF(AA294&lt;=Y294*0.2,"At Risk","On Time")),"")</f>
        <v/>
      </c>
    </row>
    <row r="295">
      <c r="K295">
        <f>IF(J295="v4.0",L295,IF(J295="v3.1",M295,IF(J295="Both",L295,IF(AND(L295&lt;&gt;"",M295=""),L295,M295))))</f>
        <v/>
      </c>
      <c r="Y295">
        <f>IF(T295="P0",1,IF(T295="P1",3,IF(T295="P2",7,IF(T295="P3",30,IF(T295="P4",30,7)))))</f>
        <v/>
      </c>
      <c r="Z295">
        <f>IF(U295&lt;&gt;"",U295+Y295,"")</f>
        <v/>
      </c>
      <c r="AA295">
        <f>IF(Z295&lt;&gt;"",Z295-TODAY(),"")</f>
        <v/>
      </c>
      <c r="AB295">
        <f>IF(AA295&lt;&gt;"",IF(AA295&lt;0,"Overdue",IF(AA295&lt;=Y295*0.2,"At Risk","On Time")),"")</f>
        <v/>
      </c>
    </row>
    <row r="296">
      <c r="K296">
        <f>IF(J296="v4.0",L296,IF(J296="v3.1",M296,IF(J296="Both",L296,IF(AND(L296&lt;&gt;"",M296=""),L296,M296))))</f>
        <v/>
      </c>
      <c r="Y296">
        <f>IF(T296="P0",1,IF(T296="P1",3,IF(T296="P2",7,IF(T296="P3",30,IF(T296="P4",30,7)))))</f>
        <v/>
      </c>
      <c r="Z296">
        <f>IF(U296&lt;&gt;"",U296+Y296,"")</f>
        <v/>
      </c>
      <c r="AA296">
        <f>IF(Z296&lt;&gt;"",Z296-TODAY(),"")</f>
        <v/>
      </c>
      <c r="AB296">
        <f>IF(AA296&lt;&gt;"",IF(AA296&lt;0,"Overdue",IF(AA296&lt;=Y296*0.2,"At Risk","On Time")),"")</f>
        <v/>
      </c>
    </row>
    <row r="297">
      <c r="K297">
        <f>IF(J297="v4.0",L297,IF(J297="v3.1",M297,IF(J297="Both",L297,IF(AND(L297&lt;&gt;"",M297=""),L297,M297))))</f>
        <v/>
      </c>
      <c r="Y297">
        <f>IF(T297="P0",1,IF(T297="P1",3,IF(T297="P2",7,IF(T297="P3",30,IF(T297="P4",30,7)))))</f>
        <v/>
      </c>
      <c r="Z297">
        <f>IF(U297&lt;&gt;"",U297+Y297,"")</f>
        <v/>
      </c>
      <c r="AA297">
        <f>IF(Z297&lt;&gt;"",Z297-TODAY(),"")</f>
        <v/>
      </c>
      <c r="AB297">
        <f>IF(AA297&lt;&gt;"",IF(AA297&lt;0,"Overdue",IF(AA297&lt;=Y297*0.2,"At Risk","On Time")),"")</f>
        <v/>
      </c>
    </row>
    <row r="298">
      <c r="K298">
        <f>IF(J298="v4.0",L298,IF(J298="v3.1",M298,IF(J298="Both",L298,IF(AND(L298&lt;&gt;"",M298=""),L298,M298))))</f>
        <v/>
      </c>
      <c r="Y298">
        <f>IF(T298="P0",1,IF(T298="P1",3,IF(T298="P2",7,IF(T298="P3",30,IF(T298="P4",30,7)))))</f>
        <v/>
      </c>
      <c r="Z298">
        <f>IF(U298&lt;&gt;"",U298+Y298,"")</f>
        <v/>
      </c>
      <c r="AA298">
        <f>IF(Z298&lt;&gt;"",Z298-TODAY(),"")</f>
        <v/>
      </c>
      <c r="AB298">
        <f>IF(AA298&lt;&gt;"",IF(AA298&lt;0,"Overdue",IF(AA298&lt;=Y298*0.2,"At Risk","On Time")),"")</f>
        <v/>
      </c>
    </row>
    <row r="299">
      <c r="K299">
        <f>IF(J299="v4.0",L299,IF(J299="v3.1",M299,IF(J299="Both",L299,IF(AND(L299&lt;&gt;"",M299=""),L299,M299))))</f>
        <v/>
      </c>
      <c r="Y299">
        <f>IF(T299="P0",1,IF(T299="P1",3,IF(T299="P2",7,IF(T299="P3",30,IF(T299="P4",30,7)))))</f>
        <v/>
      </c>
      <c r="Z299">
        <f>IF(U299&lt;&gt;"",U299+Y299,"")</f>
        <v/>
      </c>
      <c r="AA299">
        <f>IF(Z299&lt;&gt;"",Z299-TODAY(),"")</f>
        <v/>
      </c>
      <c r="AB299">
        <f>IF(AA299&lt;&gt;"",IF(AA299&lt;0,"Overdue",IF(AA299&lt;=Y299*0.2,"At Risk","On Time")),"")</f>
        <v/>
      </c>
    </row>
    <row r="300">
      <c r="K300">
        <f>IF(J300="v4.0",L300,IF(J300="v3.1",M300,IF(J300="Both",L300,IF(AND(L300&lt;&gt;"",M300=""),L300,M300))))</f>
        <v/>
      </c>
      <c r="Y300">
        <f>IF(T300="P0",1,IF(T300="P1",3,IF(T300="P2",7,IF(T300="P3",30,IF(T300="P4",30,7)))))</f>
        <v/>
      </c>
      <c r="Z300">
        <f>IF(U300&lt;&gt;"",U300+Y300,"")</f>
        <v/>
      </c>
      <c r="AA300">
        <f>IF(Z300&lt;&gt;"",Z300-TODAY(),"")</f>
        <v/>
      </c>
      <c r="AB300">
        <f>IF(AA300&lt;&gt;"",IF(AA300&lt;0,"Overdue",IF(AA300&lt;=Y300*0.2,"At Risk","On Time")),"")</f>
        <v/>
      </c>
    </row>
    <row r="301">
      <c r="K301">
        <f>IF(J301="v4.0",L301,IF(J301="v3.1",M301,IF(J301="Both",L301,IF(AND(L301&lt;&gt;"",M301=""),L301,M301))))</f>
        <v/>
      </c>
      <c r="Y301">
        <f>IF(T301="P0",1,IF(T301="P1",3,IF(T301="P2",7,IF(T301="P3",30,IF(T301="P4",30,7)))))</f>
        <v/>
      </c>
      <c r="Z301">
        <f>IF(U301&lt;&gt;"",U301+Y301,"")</f>
        <v/>
      </c>
      <c r="AA301">
        <f>IF(Z301&lt;&gt;"",Z301-TODAY(),"")</f>
        <v/>
      </c>
      <c r="AB301">
        <f>IF(AA301&lt;&gt;"",IF(AA301&lt;0,"Overdue",IF(AA301&lt;=Y301*0.2,"At Risk","On Time")),"")</f>
        <v/>
      </c>
    </row>
    <row r="302">
      <c r="K302">
        <f>IF(J302="v4.0",L302,IF(J302="v3.1",M302,IF(J302="Both",L302,IF(AND(L302&lt;&gt;"",M302=""),L302,M302))))</f>
        <v/>
      </c>
      <c r="Y302">
        <f>IF(T302="P0",1,IF(T302="P1",3,IF(T302="P2",7,IF(T302="P3",30,IF(T302="P4",30,7)))))</f>
        <v/>
      </c>
      <c r="Z302">
        <f>IF(U302&lt;&gt;"",U302+Y302,"")</f>
        <v/>
      </c>
      <c r="AA302">
        <f>IF(Z302&lt;&gt;"",Z302-TODAY(),"")</f>
        <v/>
      </c>
      <c r="AB302">
        <f>IF(AA302&lt;&gt;"",IF(AA302&lt;0,"Overdue",IF(AA302&lt;=Y302*0.2,"At Risk","On Time")),"")</f>
        <v/>
      </c>
    </row>
    <row r="303">
      <c r="K303">
        <f>IF(J303="v4.0",L303,IF(J303="v3.1",M303,IF(J303="Both",L303,IF(AND(L303&lt;&gt;"",M303=""),L303,M303))))</f>
        <v/>
      </c>
      <c r="Y303">
        <f>IF(T303="P0",1,IF(T303="P1",3,IF(T303="P2",7,IF(T303="P3",30,IF(T303="P4",30,7)))))</f>
        <v/>
      </c>
      <c r="Z303">
        <f>IF(U303&lt;&gt;"",U303+Y303,"")</f>
        <v/>
      </c>
      <c r="AA303">
        <f>IF(Z303&lt;&gt;"",Z303-TODAY(),"")</f>
        <v/>
      </c>
      <c r="AB303">
        <f>IF(AA303&lt;&gt;"",IF(AA303&lt;0,"Overdue",IF(AA303&lt;=Y303*0.2,"At Risk","On Time")),"")</f>
        <v/>
      </c>
    </row>
    <row r="304">
      <c r="K304">
        <f>IF(J304="v4.0",L304,IF(J304="v3.1",M304,IF(J304="Both",L304,IF(AND(L304&lt;&gt;"",M304=""),L304,M304))))</f>
        <v/>
      </c>
      <c r="Y304">
        <f>IF(T304="P0",1,IF(T304="P1",3,IF(T304="P2",7,IF(T304="P3",30,IF(T304="P4",30,7)))))</f>
        <v/>
      </c>
      <c r="Z304">
        <f>IF(U304&lt;&gt;"",U304+Y304,"")</f>
        <v/>
      </c>
      <c r="AA304">
        <f>IF(Z304&lt;&gt;"",Z304-TODAY(),"")</f>
        <v/>
      </c>
      <c r="AB304">
        <f>IF(AA304&lt;&gt;"",IF(AA304&lt;0,"Overdue",IF(AA304&lt;=Y304*0.2,"At Risk","On Time")),"")</f>
        <v/>
      </c>
    </row>
    <row r="305">
      <c r="K305">
        <f>IF(J305="v4.0",L305,IF(J305="v3.1",M305,IF(J305="Both",L305,IF(AND(L305&lt;&gt;"",M305=""),L305,M305))))</f>
        <v/>
      </c>
      <c r="Y305">
        <f>IF(T305="P0",1,IF(T305="P1",3,IF(T305="P2",7,IF(T305="P3",30,IF(T305="P4",30,7)))))</f>
        <v/>
      </c>
      <c r="Z305">
        <f>IF(U305&lt;&gt;"",U305+Y305,"")</f>
        <v/>
      </c>
      <c r="AA305">
        <f>IF(Z305&lt;&gt;"",Z305-TODAY(),"")</f>
        <v/>
      </c>
      <c r="AB305">
        <f>IF(AA305&lt;&gt;"",IF(AA305&lt;0,"Overdue",IF(AA305&lt;=Y305*0.2,"At Risk","On Time")),"")</f>
        <v/>
      </c>
    </row>
    <row r="306">
      <c r="K306">
        <f>IF(J306="v4.0",L306,IF(J306="v3.1",M306,IF(J306="Both",L306,IF(AND(L306&lt;&gt;"",M306=""),L306,M306))))</f>
        <v/>
      </c>
      <c r="Y306">
        <f>IF(T306="P0",1,IF(T306="P1",3,IF(T306="P2",7,IF(T306="P3",30,IF(T306="P4",30,7)))))</f>
        <v/>
      </c>
      <c r="Z306">
        <f>IF(U306&lt;&gt;"",U306+Y306,"")</f>
        <v/>
      </c>
      <c r="AA306">
        <f>IF(Z306&lt;&gt;"",Z306-TODAY(),"")</f>
        <v/>
      </c>
      <c r="AB306">
        <f>IF(AA306&lt;&gt;"",IF(AA306&lt;0,"Overdue",IF(AA306&lt;=Y306*0.2,"At Risk","On Time")),"")</f>
        <v/>
      </c>
    </row>
    <row r="307">
      <c r="K307">
        <f>IF(J307="v4.0",L307,IF(J307="v3.1",M307,IF(J307="Both",L307,IF(AND(L307&lt;&gt;"",M307=""),L307,M307))))</f>
        <v/>
      </c>
      <c r="Y307">
        <f>IF(T307="P0",1,IF(T307="P1",3,IF(T307="P2",7,IF(T307="P3",30,IF(T307="P4",30,7)))))</f>
        <v/>
      </c>
      <c r="Z307">
        <f>IF(U307&lt;&gt;"",U307+Y307,"")</f>
        <v/>
      </c>
      <c r="AA307">
        <f>IF(Z307&lt;&gt;"",Z307-TODAY(),"")</f>
        <v/>
      </c>
      <c r="AB307">
        <f>IF(AA307&lt;&gt;"",IF(AA307&lt;0,"Overdue",IF(AA307&lt;=Y307*0.2,"At Risk","On Time")),"")</f>
        <v/>
      </c>
    </row>
    <row r="308">
      <c r="K308">
        <f>IF(J308="v4.0",L308,IF(J308="v3.1",M308,IF(J308="Both",L308,IF(AND(L308&lt;&gt;"",M308=""),L308,M308))))</f>
        <v/>
      </c>
      <c r="Y308">
        <f>IF(T308="P0",1,IF(T308="P1",3,IF(T308="P2",7,IF(T308="P3",30,IF(T308="P4",30,7)))))</f>
        <v/>
      </c>
      <c r="Z308">
        <f>IF(U308&lt;&gt;"",U308+Y308,"")</f>
        <v/>
      </c>
      <c r="AA308">
        <f>IF(Z308&lt;&gt;"",Z308-TODAY(),"")</f>
        <v/>
      </c>
      <c r="AB308">
        <f>IF(AA308&lt;&gt;"",IF(AA308&lt;0,"Overdue",IF(AA308&lt;=Y308*0.2,"At Risk","On Time")),"")</f>
        <v/>
      </c>
    </row>
    <row r="309">
      <c r="K309">
        <f>IF(J309="v4.0",L309,IF(J309="v3.1",M309,IF(J309="Both",L309,IF(AND(L309&lt;&gt;"",M309=""),L309,M309))))</f>
        <v/>
      </c>
      <c r="Y309">
        <f>IF(T309="P0",1,IF(T309="P1",3,IF(T309="P2",7,IF(T309="P3",30,IF(T309="P4",30,7)))))</f>
        <v/>
      </c>
      <c r="Z309">
        <f>IF(U309&lt;&gt;"",U309+Y309,"")</f>
        <v/>
      </c>
      <c r="AA309">
        <f>IF(Z309&lt;&gt;"",Z309-TODAY(),"")</f>
        <v/>
      </c>
      <c r="AB309">
        <f>IF(AA309&lt;&gt;"",IF(AA309&lt;0,"Overdue",IF(AA309&lt;=Y309*0.2,"At Risk","On Time")),"")</f>
        <v/>
      </c>
    </row>
    <row r="310">
      <c r="K310">
        <f>IF(J310="v4.0",L310,IF(J310="v3.1",M310,IF(J310="Both",L310,IF(AND(L310&lt;&gt;"",M310=""),L310,M310))))</f>
        <v/>
      </c>
      <c r="Y310">
        <f>IF(T310="P0",1,IF(T310="P1",3,IF(T310="P2",7,IF(T310="P3",30,IF(T310="P4",30,7)))))</f>
        <v/>
      </c>
      <c r="Z310">
        <f>IF(U310&lt;&gt;"",U310+Y310,"")</f>
        <v/>
      </c>
      <c r="AA310">
        <f>IF(Z310&lt;&gt;"",Z310-TODAY(),"")</f>
        <v/>
      </c>
      <c r="AB310">
        <f>IF(AA310&lt;&gt;"",IF(AA310&lt;0,"Overdue",IF(AA310&lt;=Y310*0.2,"At Risk","On Time")),"")</f>
        <v/>
      </c>
    </row>
    <row r="311">
      <c r="K311">
        <f>IF(J311="v4.0",L311,IF(J311="v3.1",M311,IF(J311="Both",L311,IF(AND(L311&lt;&gt;"",M311=""),L311,M311))))</f>
        <v/>
      </c>
      <c r="Y311">
        <f>IF(T311="P0",1,IF(T311="P1",3,IF(T311="P2",7,IF(T311="P3",30,IF(T311="P4",30,7)))))</f>
        <v/>
      </c>
      <c r="Z311">
        <f>IF(U311&lt;&gt;"",U311+Y311,"")</f>
        <v/>
      </c>
      <c r="AA311">
        <f>IF(Z311&lt;&gt;"",Z311-TODAY(),"")</f>
        <v/>
      </c>
      <c r="AB311">
        <f>IF(AA311&lt;&gt;"",IF(AA311&lt;0,"Overdue",IF(AA311&lt;=Y311*0.2,"At Risk","On Time")),"")</f>
        <v/>
      </c>
    </row>
    <row r="312">
      <c r="K312">
        <f>IF(J312="v4.0",L312,IF(J312="v3.1",M312,IF(J312="Both",L312,IF(AND(L312&lt;&gt;"",M312=""),L312,M312))))</f>
        <v/>
      </c>
      <c r="Y312">
        <f>IF(T312="P0",1,IF(T312="P1",3,IF(T312="P2",7,IF(T312="P3",30,IF(T312="P4",30,7)))))</f>
        <v/>
      </c>
      <c r="Z312">
        <f>IF(U312&lt;&gt;"",U312+Y312,"")</f>
        <v/>
      </c>
      <c r="AA312">
        <f>IF(Z312&lt;&gt;"",Z312-TODAY(),"")</f>
        <v/>
      </c>
      <c r="AB312">
        <f>IF(AA312&lt;&gt;"",IF(AA312&lt;0,"Overdue",IF(AA312&lt;=Y312*0.2,"At Risk","On Time")),"")</f>
        <v/>
      </c>
    </row>
    <row r="313">
      <c r="K313">
        <f>IF(J313="v4.0",L313,IF(J313="v3.1",M313,IF(J313="Both",L313,IF(AND(L313&lt;&gt;"",M313=""),L313,M313))))</f>
        <v/>
      </c>
      <c r="Y313">
        <f>IF(T313="P0",1,IF(T313="P1",3,IF(T313="P2",7,IF(T313="P3",30,IF(T313="P4",30,7)))))</f>
        <v/>
      </c>
      <c r="Z313">
        <f>IF(U313&lt;&gt;"",U313+Y313,"")</f>
        <v/>
      </c>
      <c r="AA313">
        <f>IF(Z313&lt;&gt;"",Z313-TODAY(),"")</f>
        <v/>
      </c>
      <c r="AB313">
        <f>IF(AA313&lt;&gt;"",IF(AA313&lt;0,"Overdue",IF(AA313&lt;=Y313*0.2,"At Risk","On Time")),"")</f>
        <v/>
      </c>
    </row>
    <row r="314">
      <c r="K314">
        <f>IF(J314="v4.0",L314,IF(J314="v3.1",M314,IF(J314="Both",L314,IF(AND(L314&lt;&gt;"",M314=""),L314,M314))))</f>
        <v/>
      </c>
      <c r="Y314">
        <f>IF(T314="P0",1,IF(T314="P1",3,IF(T314="P2",7,IF(T314="P3",30,IF(T314="P4",30,7)))))</f>
        <v/>
      </c>
      <c r="Z314">
        <f>IF(U314&lt;&gt;"",U314+Y314,"")</f>
        <v/>
      </c>
      <c r="AA314">
        <f>IF(Z314&lt;&gt;"",Z314-TODAY(),"")</f>
        <v/>
      </c>
      <c r="AB314">
        <f>IF(AA314&lt;&gt;"",IF(AA314&lt;0,"Overdue",IF(AA314&lt;=Y314*0.2,"At Risk","On Time")),"")</f>
        <v/>
      </c>
    </row>
    <row r="315">
      <c r="K315">
        <f>IF(J315="v4.0",L315,IF(J315="v3.1",M315,IF(J315="Both",L315,IF(AND(L315&lt;&gt;"",M315=""),L315,M315))))</f>
        <v/>
      </c>
      <c r="Y315">
        <f>IF(T315="P0",1,IF(T315="P1",3,IF(T315="P2",7,IF(T315="P3",30,IF(T315="P4",30,7)))))</f>
        <v/>
      </c>
      <c r="Z315">
        <f>IF(U315&lt;&gt;"",U315+Y315,"")</f>
        <v/>
      </c>
      <c r="AA315">
        <f>IF(Z315&lt;&gt;"",Z315-TODAY(),"")</f>
        <v/>
      </c>
      <c r="AB315">
        <f>IF(AA315&lt;&gt;"",IF(AA315&lt;0,"Overdue",IF(AA315&lt;=Y315*0.2,"At Risk","On Time")),"")</f>
        <v/>
      </c>
    </row>
    <row r="316">
      <c r="K316">
        <f>IF(J316="v4.0",L316,IF(J316="v3.1",M316,IF(J316="Both",L316,IF(AND(L316&lt;&gt;"",M316=""),L316,M316))))</f>
        <v/>
      </c>
      <c r="Y316">
        <f>IF(T316="P0",1,IF(T316="P1",3,IF(T316="P2",7,IF(T316="P3",30,IF(T316="P4",30,7)))))</f>
        <v/>
      </c>
      <c r="Z316">
        <f>IF(U316&lt;&gt;"",U316+Y316,"")</f>
        <v/>
      </c>
      <c r="AA316">
        <f>IF(Z316&lt;&gt;"",Z316-TODAY(),"")</f>
        <v/>
      </c>
      <c r="AB316">
        <f>IF(AA316&lt;&gt;"",IF(AA316&lt;0,"Overdue",IF(AA316&lt;=Y316*0.2,"At Risk","On Time")),"")</f>
        <v/>
      </c>
    </row>
    <row r="317">
      <c r="K317">
        <f>IF(J317="v4.0",L317,IF(J317="v3.1",M317,IF(J317="Both",L317,IF(AND(L317&lt;&gt;"",M317=""),L317,M317))))</f>
        <v/>
      </c>
      <c r="Y317">
        <f>IF(T317="P0",1,IF(T317="P1",3,IF(T317="P2",7,IF(T317="P3",30,IF(T317="P4",30,7)))))</f>
        <v/>
      </c>
      <c r="Z317">
        <f>IF(U317&lt;&gt;"",U317+Y317,"")</f>
        <v/>
      </c>
      <c r="AA317">
        <f>IF(Z317&lt;&gt;"",Z317-TODAY(),"")</f>
        <v/>
      </c>
      <c r="AB317">
        <f>IF(AA317&lt;&gt;"",IF(AA317&lt;0,"Overdue",IF(AA317&lt;=Y317*0.2,"At Risk","On Time")),"")</f>
        <v/>
      </c>
    </row>
    <row r="318">
      <c r="K318">
        <f>IF(J318="v4.0",L318,IF(J318="v3.1",M318,IF(J318="Both",L318,IF(AND(L318&lt;&gt;"",M318=""),L318,M318))))</f>
        <v/>
      </c>
      <c r="Y318">
        <f>IF(T318="P0",1,IF(T318="P1",3,IF(T318="P2",7,IF(T318="P3",30,IF(T318="P4",30,7)))))</f>
        <v/>
      </c>
      <c r="Z318">
        <f>IF(U318&lt;&gt;"",U318+Y318,"")</f>
        <v/>
      </c>
      <c r="AA318">
        <f>IF(Z318&lt;&gt;"",Z318-TODAY(),"")</f>
        <v/>
      </c>
      <c r="AB318">
        <f>IF(AA318&lt;&gt;"",IF(AA318&lt;0,"Overdue",IF(AA318&lt;=Y318*0.2,"At Risk","On Time")),"")</f>
        <v/>
      </c>
    </row>
    <row r="319">
      <c r="K319">
        <f>IF(J319="v4.0",L319,IF(J319="v3.1",M319,IF(J319="Both",L319,IF(AND(L319&lt;&gt;"",M319=""),L319,M319))))</f>
        <v/>
      </c>
      <c r="Y319">
        <f>IF(T319="P0",1,IF(T319="P1",3,IF(T319="P2",7,IF(T319="P3",30,IF(T319="P4",30,7)))))</f>
        <v/>
      </c>
      <c r="Z319">
        <f>IF(U319&lt;&gt;"",U319+Y319,"")</f>
        <v/>
      </c>
      <c r="AA319">
        <f>IF(Z319&lt;&gt;"",Z319-TODAY(),"")</f>
        <v/>
      </c>
      <c r="AB319">
        <f>IF(AA319&lt;&gt;"",IF(AA319&lt;0,"Overdue",IF(AA319&lt;=Y319*0.2,"At Risk","On Time")),"")</f>
        <v/>
      </c>
    </row>
    <row r="320">
      <c r="K320">
        <f>IF(J320="v4.0",L320,IF(J320="v3.1",M320,IF(J320="Both",L320,IF(AND(L320&lt;&gt;"",M320=""),L320,M320))))</f>
        <v/>
      </c>
      <c r="Y320">
        <f>IF(T320="P0",1,IF(T320="P1",3,IF(T320="P2",7,IF(T320="P3",30,IF(T320="P4",30,7)))))</f>
        <v/>
      </c>
      <c r="Z320">
        <f>IF(U320&lt;&gt;"",U320+Y320,"")</f>
        <v/>
      </c>
      <c r="AA320">
        <f>IF(Z320&lt;&gt;"",Z320-TODAY(),"")</f>
        <v/>
      </c>
      <c r="AB320">
        <f>IF(AA320&lt;&gt;"",IF(AA320&lt;0,"Overdue",IF(AA320&lt;=Y320*0.2,"At Risk","On Time")),"")</f>
        <v/>
      </c>
    </row>
    <row r="321">
      <c r="K321">
        <f>IF(J321="v4.0",L321,IF(J321="v3.1",M321,IF(J321="Both",L321,IF(AND(L321&lt;&gt;"",M321=""),L321,M321))))</f>
        <v/>
      </c>
      <c r="Y321">
        <f>IF(T321="P0",1,IF(T321="P1",3,IF(T321="P2",7,IF(T321="P3",30,IF(T321="P4",30,7)))))</f>
        <v/>
      </c>
      <c r="Z321">
        <f>IF(U321&lt;&gt;"",U321+Y321,"")</f>
        <v/>
      </c>
      <c r="AA321">
        <f>IF(Z321&lt;&gt;"",Z321-TODAY(),"")</f>
        <v/>
      </c>
      <c r="AB321">
        <f>IF(AA321&lt;&gt;"",IF(AA321&lt;0,"Overdue",IF(AA321&lt;=Y321*0.2,"At Risk","On Time")),"")</f>
        <v/>
      </c>
    </row>
    <row r="322">
      <c r="K322">
        <f>IF(J322="v4.0",L322,IF(J322="v3.1",M322,IF(J322="Both",L322,IF(AND(L322&lt;&gt;"",M322=""),L322,M322))))</f>
        <v/>
      </c>
      <c r="Y322">
        <f>IF(T322="P0",1,IF(T322="P1",3,IF(T322="P2",7,IF(T322="P3",30,IF(T322="P4",30,7)))))</f>
        <v/>
      </c>
      <c r="Z322">
        <f>IF(U322&lt;&gt;"",U322+Y322,"")</f>
        <v/>
      </c>
      <c r="AA322">
        <f>IF(Z322&lt;&gt;"",Z322-TODAY(),"")</f>
        <v/>
      </c>
      <c r="AB322">
        <f>IF(AA322&lt;&gt;"",IF(AA322&lt;0,"Overdue",IF(AA322&lt;=Y322*0.2,"At Risk","On Time")),"")</f>
        <v/>
      </c>
    </row>
    <row r="323">
      <c r="K323">
        <f>IF(J323="v4.0",L323,IF(J323="v3.1",M323,IF(J323="Both",L323,IF(AND(L323&lt;&gt;"",M323=""),L323,M323))))</f>
        <v/>
      </c>
      <c r="Y323">
        <f>IF(T323="P0",1,IF(T323="P1",3,IF(T323="P2",7,IF(T323="P3",30,IF(T323="P4",30,7)))))</f>
        <v/>
      </c>
      <c r="Z323">
        <f>IF(U323&lt;&gt;"",U323+Y323,"")</f>
        <v/>
      </c>
      <c r="AA323">
        <f>IF(Z323&lt;&gt;"",Z323-TODAY(),"")</f>
        <v/>
      </c>
      <c r="AB323">
        <f>IF(AA323&lt;&gt;"",IF(AA323&lt;0,"Overdue",IF(AA323&lt;=Y323*0.2,"At Risk","On Time")),"")</f>
        <v/>
      </c>
    </row>
    <row r="324">
      <c r="K324">
        <f>IF(J324="v4.0",L324,IF(J324="v3.1",M324,IF(J324="Both",L324,IF(AND(L324&lt;&gt;"",M324=""),L324,M324))))</f>
        <v/>
      </c>
      <c r="Y324">
        <f>IF(T324="P0",1,IF(T324="P1",3,IF(T324="P2",7,IF(T324="P3",30,IF(T324="P4",30,7)))))</f>
        <v/>
      </c>
      <c r="Z324">
        <f>IF(U324&lt;&gt;"",U324+Y324,"")</f>
        <v/>
      </c>
      <c r="AA324">
        <f>IF(Z324&lt;&gt;"",Z324-TODAY(),"")</f>
        <v/>
      </c>
      <c r="AB324">
        <f>IF(AA324&lt;&gt;"",IF(AA324&lt;0,"Overdue",IF(AA324&lt;=Y324*0.2,"At Risk","On Time")),"")</f>
        <v/>
      </c>
    </row>
    <row r="325">
      <c r="K325">
        <f>IF(J325="v4.0",L325,IF(J325="v3.1",M325,IF(J325="Both",L325,IF(AND(L325&lt;&gt;"",M325=""),L325,M325))))</f>
        <v/>
      </c>
      <c r="Y325">
        <f>IF(T325="P0",1,IF(T325="P1",3,IF(T325="P2",7,IF(T325="P3",30,IF(T325="P4",30,7)))))</f>
        <v/>
      </c>
      <c r="Z325">
        <f>IF(U325&lt;&gt;"",U325+Y325,"")</f>
        <v/>
      </c>
      <c r="AA325">
        <f>IF(Z325&lt;&gt;"",Z325-TODAY(),"")</f>
        <v/>
      </c>
      <c r="AB325">
        <f>IF(AA325&lt;&gt;"",IF(AA325&lt;0,"Overdue",IF(AA325&lt;=Y325*0.2,"At Risk","On Time")),"")</f>
        <v/>
      </c>
    </row>
    <row r="326">
      <c r="K326">
        <f>IF(J326="v4.0",L326,IF(J326="v3.1",M326,IF(J326="Both",L326,IF(AND(L326&lt;&gt;"",M326=""),L326,M326))))</f>
        <v/>
      </c>
      <c r="Y326">
        <f>IF(T326="P0",1,IF(T326="P1",3,IF(T326="P2",7,IF(T326="P3",30,IF(T326="P4",30,7)))))</f>
        <v/>
      </c>
      <c r="Z326">
        <f>IF(U326&lt;&gt;"",U326+Y326,"")</f>
        <v/>
      </c>
      <c r="AA326">
        <f>IF(Z326&lt;&gt;"",Z326-TODAY(),"")</f>
        <v/>
      </c>
      <c r="AB326">
        <f>IF(AA326&lt;&gt;"",IF(AA326&lt;0,"Overdue",IF(AA326&lt;=Y326*0.2,"At Risk","On Time")),"")</f>
        <v/>
      </c>
    </row>
    <row r="327">
      <c r="K327">
        <f>IF(J327="v4.0",L327,IF(J327="v3.1",M327,IF(J327="Both",L327,IF(AND(L327&lt;&gt;"",M327=""),L327,M327))))</f>
        <v/>
      </c>
      <c r="Y327">
        <f>IF(T327="P0",1,IF(T327="P1",3,IF(T327="P2",7,IF(T327="P3",30,IF(T327="P4",30,7)))))</f>
        <v/>
      </c>
      <c r="Z327">
        <f>IF(U327&lt;&gt;"",U327+Y327,"")</f>
        <v/>
      </c>
      <c r="AA327">
        <f>IF(Z327&lt;&gt;"",Z327-TODAY(),"")</f>
        <v/>
      </c>
      <c r="AB327">
        <f>IF(AA327&lt;&gt;"",IF(AA327&lt;0,"Overdue",IF(AA327&lt;=Y327*0.2,"At Risk","On Time")),"")</f>
        <v/>
      </c>
    </row>
    <row r="328">
      <c r="K328">
        <f>IF(J328="v4.0",L328,IF(J328="v3.1",M328,IF(J328="Both",L328,IF(AND(L328&lt;&gt;"",M328=""),L328,M328))))</f>
        <v/>
      </c>
      <c r="Y328">
        <f>IF(T328="P0",1,IF(T328="P1",3,IF(T328="P2",7,IF(T328="P3",30,IF(T328="P4",30,7)))))</f>
        <v/>
      </c>
      <c r="Z328">
        <f>IF(U328&lt;&gt;"",U328+Y328,"")</f>
        <v/>
      </c>
      <c r="AA328">
        <f>IF(Z328&lt;&gt;"",Z328-TODAY(),"")</f>
        <v/>
      </c>
      <c r="AB328">
        <f>IF(AA328&lt;&gt;"",IF(AA328&lt;0,"Overdue",IF(AA328&lt;=Y328*0.2,"At Risk","On Time")),"")</f>
        <v/>
      </c>
    </row>
    <row r="329">
      <c r="K329">
        <f>IF(J329="v4.0",L329,IF(J329="v3.1",M329,IF(J329="Both",L329,IF(AND(L329&lt;&gt;"",M329=""),L329,M329))))</f>
        <v/>
      </c>
      <c r="Y329">
        <f>IF(T329="P0",1,IF(T329="P1",3,IF(T329="P2",7,IF(T329="P3",30,IF(T329="P4",30,7)))))</f>
        <v/>
      </c>
      <c r="Z329">
        <f>IF(U329&lt;&gt;"",U329+Y329,"")</f>
        <v/>
      </c>
      <c r="AA329">
        <f>IF(Z329&lt;&gt;"",Z329-TODAY(),"")</f>
        <v/>
      </c>
      <c r="AB329">
        <f>IF(AA329&lt;&gt;"",IF(AA329&lt;0,"Overdue",IF(AA329&lt;=Y329*0.2,"At Risk","On Time")),"")</f>
        <v/>
      </c>
    </row>
    <row r="330">
      <c r="K330">
        <f>IF(J330="v4.0",L330,IF(J330="v3.1",M330,IF(J330="Both",L330,IF(AND(L330&lt;&gt;"",M330=""),L330,M330))))</f>
        <v/>
      </c>
      <c r="Y330">
        <f>IF(T330="P0",1,IF(T330="P1",3,IF(T330="P2",7,IF(T330="P3",30,IF(T330="P4",30,7)))))</f>
        <v/>
      </c>
      <c r="Z330">
        <f>IF(U330&lt;&gt;"",U330+Y330,"")</f>
        <v/>
      </c>
      <c r="AA330">
        <f>IF(Z330&lt;&gt;"",Z330-TODAY(),"")</f>
        <v/>
      </c>
      <c r="AB330">
        <f>IF(AA330&lt;&gt;"",IF(AA330&lt;0,"Overdue",IF(AA330&lt;=Y330*0.2,"At Risk","On Time")),"")</f>
        <v/>
      </c>
    </row>
    <row r="331">
      <c r="K331">
        <f>IF(J331="v4.0",L331,IF(J331="v3.1",M331,IF(J331="Both",L331,IF(AND(L331&lt;&gt;"",M331=""),L331,M331))))</f>
        <v/>
      </c>
      <c r="Y331">
        <f>IF(T331="P0",1,IF(T331="P1",3,IF(T331="P2",7,IF(T331="P3",30,IF(T331="P4",30,7)))))</f>
        <v/>
      </c>
      <c r="Z331">
        <f>IF(U331&lt;&gt;"",U331+Y331,"")</f>
        <v/>
      </c>
      <c r="AA331">
        <f>IF(Z331&lt;&gt;"",Z331-TODAY(),"")</f>
        <v/>
      </c>
      <c r="AB331">
        <f>IF(AA331&lt;&gt;"",IF(AA331&lt;0,"Overdue",IF(AA331&lt;=Y331*0.2,"At Risk","On Time")),"")</f>
        <v/>
      </c>
    </row>
    <row r="332">
      <c r="K332">
        <f>IF(J332="v4.0",L332,IF(J332="v3.1",M332,IF(J332="Both",L332,IF(AND(L332&lt;&gt;"",M332=""),L332,M332))))</f>
        <v/>
      </c>
      <c r="Y332">
        <f>IF(T332="P0",1,IF(T332="P1",3,IF(T332="P2",7,IF(T332="P3",30,IF(T332="P4",30,7)))))</f>
        <v/>
      </c>
      <c r="Z332">
        <f>IF(U332&lt;&gt;"",U332+Y332,"")</f>
        <v/>
      </c>
      <c r="AA332">
        <f>IF(Z332&lt;&gt;"",Z332-TODAY(),"")</f>
        <v/>
      </c>
      <c r="AB332">
        <f>IF(AA332&lt;&gt;"",IF(AA332&lt;0,"Overdue",IF(AA332&lt;=Y332*0.2,"At Risk","On Time")),"")</f>
        <v/>
      </c>
    </row>
    <row r="333">
      <c r="K333">
        <f>IF(J333="v4.0",L333,IF(J333="v3.1",M333,IF(J333="Both",L333,IF(AND(L333&lt;&gt;"",M333=""),L333,M333))))</f>
        <v/>
      </c>
      <c r="Y333">
        <f>IF(T333="P0",1,IF(T333="P1",3,IF(T333="P2",7,IF(T333="P3",30,IF(T333="P4",30,7)))))</f>
        <v/>
      </c>
      <c r="Z333">
        <f>IF(U333&lt;&gt;"",U333+Y333,"")</f>
        <v/>
      </c>
      <c r="AA333">
        <f>IF(Z333&lt;&gt;"",Z333-TODAY(),"")</f>
        <v/>
      </c>
      <c r="AB333">
        <f>IF(AA333&lt;&gt;"",IF(AA333&lt;0,"Overdue",IF(AA333&lt;=Y333*0.2,"At Risk","On Time")),"")</f>
        <v/>
      </c>
    </row>
    <row r="334">
      <c r="K334">
        <f>IF(J334="v4.0",L334,IF(J334="v3.1",M334,IF(J334="Both",L334,IF(AND(L334&lt;&gt;"",M334=""),L334,M334))))</f>
        <v/>
      </c>
      <c r="Y334">
        <f>IF(T334="P0",1,IF(T334="P1",3,IF(T334="P2",7,IF(T334="P3",30,IF(T334="P4",30,7)))))</f>
        <v/>
      </c>
      <c r="Z334">
        <f>IF(U334&lt;&gt;"",U334+Y334,"")</f>
        <v/>
      </c>
      <c r="AA334">
        <f>IF(Z334&lt;&gt;"",Z334-TODAY(),"")</f>
        <v/>
      </c>
      <c r="AB334">
        <f>IF(AA334&lt;&gt;"",IF(AA334&lt;0,"Overdue",IF(AA334&lt;=Y334*0.2,"At Risk","On Time")),"")</f>
        <v/>
      </c>
    </row>
    <row r="335">
      <c r="K335">
        <f>IF(J335="v4.0",L335,IF(J335="v3.1",M335,IF(J335="Both",L335,IF(AND(L335&lt;&gt;"",M335=""),L335,M335))))</f>
        <v/>
      </c>
      <c r="Y335">
        <f>IF(T335="P0",1,IF(T335="P1",3,IF(T335="P2",7,IF(T335="P3",30,IF(T335="P4",30,7)))))</f>
        <v/>
      </c>
      <c r="Z335">
        <f>IF(U335&lt;&gt;"",U335+Y335,"")</f>
        <v/>
      </c>
      <c r="AA335">
        <f>IF(Z335&lt;&gt;"",Z335-TODAY(),"")</f>
        <v/>
      </c>
      <c r="AB335">
        <f>IF(AA335&lt;&gt;"",IF(AA335&lt;0,"Overdue",IF(AA335&lt;=Y335*0.2,"At Risk","On Time")),"")</f>
        <v/>
      </c>
    </row>
    <row r="336">
      <c r="K336">
        <f>IF(J336="v4.0",L336,IF(J336="v3.1",M336,IF(J336="Both",L336,IF(AND(L336&lt;&gt;"",M336=""),L336,M336))))</f>
        <v/>
      </c>
      <c r="Y336">
        <f>IF(T336="P0",1,IF(T336="P1",3,IF(T336="P2",7,IF(T336="P3",30,IF(T336="P4",30,7)))))</f>
        <v/>
      </c>
      <c r="Z336">
        <f>IF(U336&lt;&gt;"",U336+Y336,"")</f>
        <v/>
      </c>
      <c r="AA336">
        <f>IF(Z336&lt;&gt;"",Z336-TODAY(),"")</f>
        <v/>
      </c>
      <c r="AB336">
        <f>IF(AA336&lt;&gt;"",IF(AA336&lt;0,"Overdue",IF(AA336&lt;=Y336*0.2,"At Risk","On Time")),"")</f>
        <v/>
      </c>
    </row>
    <row r="337">
      <c r="K337">
        <f>IF(J337="v4.0",L337,IF(J337="v3.1",M337,IF(J337="Both",L337,IF(AND(L337&lt;&gt;"",M337=""),L337,M337))))</f>
        <v/>
      </c>
      <c r="Y337">
        <f>IF(T337="P0",1,IF(T337="P1",3,IF(T337="P2",7,IF(T337="P3",30,IF(T337="P4",30,7)))))</f>
        <v/>
      </c>
      <c r="Z337">
        <f>IF(U337&lt;&gt;"",U337+Y337,"")</f>
        <v/>
      </c>
      <c r="AA337">
        <f>IF(Z337&lt;&gt;"",Z337-TODAY(),"")</f>
        <v/>
      </c>
      <c r="AB337">
        <f>IF(AA337&lt;&gt;"",IF(AA337&lt;0,"Overdue",IF(AA337&lt;=Y337*0.2,"At Risk","On Time")),"")</f>
        <v/>
      </c>
    </row>
    <row r="338">
      <c r="K338">
        <f>IF(J338="v4.0",L338,IF(J338="v3.1",M338,IF(J338="Both",L338,IF(AND(L338&lt;&gt;"",M338=""),L338,M338))))</f>
        <v/>
      </c>
      <c r="Y338">
        <f>IF(T338="P0",1,IF(T338="P1",3,IF(T338="P2",7,IF(T338="P3",30,IF(T338="P4",30,7)))))</f>
        <v/>
      </c>
      <c r="Z338">
        <f>IF(U338&lt;&gt;"",U338+Y338,"")</f>
        <v/>
      </c>
      <c r="AA338">
        <f>IF(Z338&lt;&gt;"",Z338-TODAY(),"")</f>
        <v/>
      </c>
      <c r="AB338">
        <f>IF(AA338&lt;&gt;"",IF(AA338&lt;0,"Overdue",IF(AA338&lt;=Y338*0.2,"At Risk","On Time")),"")</f>
        <v/>
      </c>
    </row>
    <row r="339">
      <c r="K339">
        <f>IF(J339="v4.0",L339,IF(J339="v3.1",M339,IF(J339="Both",L339,IF(AND(L339&lt;&gt;"",M339=""),L339,M339))))</f>
        <v/>
      </c>
      <c r="Y339">
        <f>IF(T339="P0",1,IF(T339="P1",3,IF(T339="P2",7,IF(T339="P3",30,IF(T339="P4",30,7)))))</f>
        <v/>
      </c>
      <c r="Z339">
        <f>IF(U339&lt;&gt;"",U339+Y339,"")</f>
        <v/>
      </c>
      <c r="AA339">
        <f>IF(Z339&lt;&gt;"",Z339-TODAY(),"")</f>
        <v/>
      </c>
      <c r="AB339">
        <f>IF(AA339&lt;&gt;"",IF(AA339&lt;0,"Overdue",IF(AA339&lt;=Y339*0.2,"At Risk","On Time")),"")</f>
        <v/>
      </c>
    </row>
    <row r="340">
      <c r="K340">
        <f>IF(J340="v4.0",L340,IF(J340="v3.1",M340,IF(J340="Both",L340,IF(AND(L340&lt;&gt;"",M340=""),L340,M340))))</f>
        <v/>
      </c>
      <c r="Y340">
        <f>IF(T340="P0",1,IF(T340="P1",3,IF(T340="P2",7,IF(T340="P3",30,IF(T340="P4",30,7)))))</f>
        <v/>
      </c>
      <c r="Z340">
        <f>IF(U340&lt;&gt;"",U340+Y340,"")</f>
        <v/>
      </c>
      <c r="AA340">
        <f>IF(Z340&lt;&gt;"",Z340-TODAY(),"")</f>
        <v/>
      </c>
      <c r="AB340">
        <f>IF(AA340&lt;&gt;"",IF(AA340&lt;0,"Overdue",IF(AA340&lt;=Y340*0.2,"At Risk","On Time")),"")</f>
        <v/>
      </c>
    </row>
    <row r="341">
      <c r="K341">
        <f>IF(J341="v4.0",L341,IF(J341="v3.1",M341,IF(J341="Both",L341,IF(AND(L341&lt;&gt;"",M341=""),L341,M341))))</f>
        <v/>
      </c>
      <c r="Y341">
        <f>IF(T341="P0",1,IF(T341="P1",3,IF(T341="P2",7,IF(T341="P3",30,IF(T341="P4",30,7)))))</f>
        <v/>
      </c>
      <c r="Z341">
        <f>IF(U341&lt;&gt;"",U341+Y341,"")</f>
        <v/>
      </c>
      <c r="AA341">
        <f>IF(Z341&lt;&gt;"",Z341-TODAY(),"")</f>
        <v/>
      </c>
      <c r="AB341">
        <f>IF(AA341&lt;&gt;"",IF(AA341&lt;0,"Overdue",IF(AA341&lt;=Y341*0.2,"At Risk","On Time")),"")</f>
        <v/>
      </c>
    </row>
    <row r="342">
      <c r="K342">
        <f>IF(J342="v4.0",L342,IF(J342="v3.1",M342,IF(J342="Both",L342,IF(AND(L342&lt;&gt;"",M342=""),L342,M342))))</f>
        <v/>
      </c>
      <c r="Y342">
        <f>IF(T342="P0",1,IF(T342="P1",3,IF(T342="P2",7,IF(T342="P3",30,IF(T342="P4",30,7)))))</f>
        <v/>
      </c>
      <c r="Z342">
        <f>IF(U342&lt;&gt;"",U342+Y342,"")</f>
        <v/>
      </c>
      <c r="AA342">
        <f>IF(Z342&lt;&gt;"",Z342-TODAY(),"")</f>
        <v/>
      </c>
      <c r="AB342">
        <f>IF(AA342&lt;&gt;"",IF(AA342&lt;0,"Overdue",IF(AA342&lt;=Y342*0.2,"At Risk","On Time")),"")</f>
        <v/>
      </c>
    </row>
    <row r="343">
      <c r="K343">
        <f>IF(J343="v4.0",L343,IF(J343="v3.1",M343,IF(J343="Both",L343,IF(AND(L343&lt;&gt;"",M343=""),L343,M343))))</f>
        <v/>
      </c>
      <c r="Y343">
        <f>IF(T343="P0",1,IF(T343="P1",3,IF(T343="P2",7,IF(T343="P3",30,IF(T343="P4",30,7)))))</f>
        <v/>
      </c>
      <c r="Z343">
        <f>IF(U343&lt;&gt;"",U343+Y343,"")</f>
        <v/>
      </c>
      <c r="AA343">
        <f>IF(Z343&lt;&gt;"",Z343-TODAY(),"")</f>
        <v/>
      </c>
      <c r="AB343">
        <f>IF(AA343&lt;&gt;"",IF(AA343&lt;0,"Overdue",IF(AA343&lt;=Y343*0.2,"At Risk","On Time")),"")</f>
        <v/>
      </c>
    </row>
    <row r="344">
      <c r="K344">
        <f>IF(J344="v4.0",L344,IF(J344="v3.1",M344,IF(J344="Both",L344,IF(AND(L344&lt;&gt;"",M344=""),L344,M344))))</f>
        <v/>
      </c>
      <c r="Y344">
        <f>IF(T344="P0",1,IF(T344="P1",3,IF(T344="P2",7,IF(T344="P3",30,IF(T344="P4",30,7)))))</f>
        <v/>
      </c>
      <c r="Z344">
        <f>IF(U344&lt;&gt;"",U344+Y344,"")</f>
        <v/>
      </c>
      <c r="AA344">
        <f>IF(Z344&lt;&gt;"",Z344-TODAY(),"")</f>
        <v/>
      </c>
      <c r="AB344">
        <f>IF(AA344&lt;&gt;"",IF(AA344&lt;0,"Overdue",IF(AA344&lt;=Y344*0.2,"At Risk","On Time")),"")</f>
        <v/>
      </c>
    </row>
    <row r="345">
      <c r="K345">
        <f>IF(J345="v4.0",L345,IF(J345="v3.1",M345,IF(J345="Both",L345,IF(AND(L345&lt;&gt;"",M345=""),L345,M345))))</f>
        <v/>
      </c>
      <c r="Y345">
        <f>IF(T345="P0",1,IF(T345="P1",3,IF(T345="P2",7,IF(T345="P3",30,IF(T345="P4",30,7)))))</f>
        <v/>
      </c>
      <c r="Z345">
        <f>IF(U345&lt;&gt;"",U345+Y345,"")</f>
        <v/>
      </c>
      <c r="AA345">
        <f>IF(Z345&lt;&gt;"",Z345-TODAY(),"")</f>
        <v/>
      </c>
      <c r="AB345">
        <f>IF(AA345&lt;&gt;"",IF(AA345&lt;0,"Overdue",IF(AA345&lt;=Y345*0.2,"At Risk","On Time")),"")</f>
        <v/>
      </c>
    </row>
    <row r="346">
      <c r="K346">
        <f>IF(J346="v4.0",L346,IF(J346="v3.1",M346,IF(J346="Both",L346,IF(AND(L346&lt;&gt;"",M346=""),L346,M346))))</f>
        <v/>
      </c>
      <c r="Y346">
        <f>IF(T346="P0",1,IF(T346="P1",3,IF(T346="P2",7,IF(T346="P3",30,IF(T346="P4",30,7)))))</f>
        <v/>
      </c>
      <c r="Z346">
        <f>IF(U346&lt;&gt;"",U346+Y346,"")</f>
        <v/>
      </c>
      <c r="AA346">
        <f>IF(Z346&lt;&gt;"",Z346-TODAY(),"")</f>
        <v/>
      </c>
      <c r="AB346">
        <f>IF(AA346&lt;&gt;"",IF(AA346&lt;0,"Overdue",IF(AA346&lt;=Y346*0.2,"At Risk","On Time")),"")</f>
        <v/>
      </c>
    </row>
    <row r="347">
      <c r="K347">
        <f>IF(J347="v4.0",L347,IF(J347="v3.1",M347,IF(J347="Both",L347,IF(AND(L347&lt;&gt;"",M347=""),L347,M347))))</f>
        <v/>
      </c>
      <c r="Y347">
        <f>IF(T347="P0",1,IF(T347="P1",3,IF(T347="P2",7,IF(T347="P3",30,IF(T347="P4",30,7)))))</f>
        <v/>
      </c>
      <c r="Z347">
        <f>IF(U347&lt;&gt;"",U347+Y347,"")</f>
        <v/>
      </c>
      <c r="AA347">
        <f>IF(Z347&lt;&gt;"",Z347-TODAY(),"")</f>
        <v/>
      </c>
      <c r="AB347">
        <f>IF(AA347&lt;&gt;"",IF(AA347&lt;0,"Overdue",IF(AA347&lt;=Y347*0.2,"At Risk","On Time")),"")</f>
        <v/>
      </c>
    </row>
    <row r="348">
      <c r="K348">
        <f>IF(J348="v4.0",L348,IF(J348="v3.1",M348,IF(J348="Both",L348,IF(AND(L348&lt;&gt;"",M348=""),L348,M348))))</f>
        <v/>
      </c>
      <c r="Y348">
        <f>IF(T348="P0",1,IF(T348="P1",3,IF(T348="P2",7,IF(T348="P3",30,IF(T348="P4",30,7)))))</f>
        <v/>
      </c>
      <c r="Z348">
        <f>IF(U348&lt;&gt;"",U348+Y348,"")</f>
        <v/>
      </c>
      <c r="AA348">
        <f>IF(Z348&lt;&gt;"",Z348-TODAY(),"")</f>
        <v/>
      </c>
      <c r="AB348">
        <f>IF(AA348&lt;&gt;"",IF(AA348&lt;0,"Overdue",IF(AA348&lt;=Y348*0.2,"At Risk","On Time")),"")</f>
        <v/>
      </c>
    </row>
    <row r="349">
      <c r="K349">
        <f>IF(J349="v4.0",L349,IF(J349="v3.1",M349,IF(J349="Both",L349,IF(AND(L349&lt;&gt;"",M349=""),L349,M349))))</f>
        <v/>
      </c>
      <c r="Y349">
        <f>IF(T349="P0",1,IF(T349="P1",3,IF(T349="P2",7,IF(T349="P3",30,IF(T349="P4",30,7)))))</f>
        <v/>
      </c>
      <c r="Z349">
        <f>IF(U349&lt;&gt;"",U349+Y349,"")</f>
        <v/>
      </c>
      <c r="AA349">
        <f>IF(Z349&lt;&gt;"",Z349-TODAY(),"")</f>
        <v/>
      </c>
      <c r="AB349">
        <f>IF(AA349&lt;&gt;"",IF(AA349&lt;0,"Overdue",IF(AA349&lt;=Y349*0.2,"At Risk","On Time")),"")</f>
        <v/>
      </c>
    </row>
    <row r="350">
      <c r="K350">
        <f>IF(J350="v4.0",L350,IF(J350="v3.1",M350,IF(J350="Both",L350,IF(AND(L350&lt;&gt;"",M350=""),L350,M350))))</f>
        <v/>
      </c>
      <c r="Y350">
        <f>IF(T350="P0",1,IF(T350="P1",3,IF(T350="P2",7,IF(T350="P3",30,IF(T350="P4",30,7)))))</f>
        <v/>
      </c>
      <c r="Z350">
        <f>IF(U350&lt;&gt;"",U350+Y350,"")</f>
        <v/>
      </c>
      <c r="AA350">
        <f>IF(Z350&lt;&gt;"",Z350-TODAY(),"")</f>
        <v/>
      </c>
      <c r="AB350">
        <f>IF(AA350&lt;&gt;"",IF(AA350&lt;0,"Overdue",IF(AA350&lt;=Y350*0.2,"At Risk","On Time")),"")</f>
        <v/>
      </c>
    </row>
    <row r="351">
      <c r="K351">
        <f>IF(J351="v4.0",L351,IF(J351="v3.1",M351,IF(J351="Both",L351,IF(AND(L351&lt;&gt;"",M351=""),L351,M351))))</f>
        <v/>
      </c>
      <c r="Y351">
        <f>IF(T351="P0",1,IF(T351="P1",3,IF(T351="P2",7,IF(T351="P3",30,IF(T351="P4",30,7)))))</f>
        <v/>
      </c>
      <c r="Z351">
        <f>IF(U351&lt;&gt;"",U351+Y351,"")</f>
        <v/>
      </c>
      <c r="AA351">
        <f>IF(Z351&lt;&gt;"",Z351-TODAY(),"")</f>
        <v/>
      </c>
      <c r="AB351">
        <f>IF(AA351&lt;&gt;"",IF(AA351&lt;0,"Overdue",IF(AA351&lt;=Y351*0.2,"At Risk","On Time")),"")</f>
        <v/>
      </c>
    </row>
    <row r="352">
      <c r="K352">
        <f>IF(J352="v4.0",L352,IF(J352="v3.1",M352,IF(J352="Both",L352,IF(AND(L352&lt;&gt;"",M352=""),L352,M352))))</f>
        <v/>
      </c>
      <c r="Y352">
        <f>IF(T352="P0",1,IF(T352="P1",3,IF(T352="P2",7,IF(T352="P3",30,IF(T352="P4",30,7)))))</f>
        <v/>
      </c>
      <c r="Z352">
        <f>IF(U352&lt;&gt;"",U352+Y352,"")</f>
        <v/>
      </c>
      <c r="AA352">
        <f>IF(Z352&lt;&gt;"",Z352-TODAY(),"")</f>
        <v/>
      </c>
      <c r="AB352">
        <f>IF(AA352&lt;&gt;"",IF(AA352&lt;0,"Overdue",IF(AA352&lt;=Y352*0.2,"At Risk","On Time")),"")</f>
        <v/>
      </c>
    </row>
    <row r="353">
      <c r="K353">
        <f>IF(J353="v4.0",L353,IF(J353="v3.1",M353,IF(J353="Both",L353,IF(AND(L353&lt;&gt;"",M353=""),L353,M353))))</f>
        <v/>
      </c>
      <c r="Y353">
        <f>IF(T353="P0",1,IF(T353="P1",3,IF(T353="P2",7,IF(T353="P3",30,IF(T353="P4",30,7)))))</f>
        <v/>
      </c>
      <c r="Z353">
        <f>IF(U353&lt;&gt;"",U353+Y353,"")</f>
        <v/>
      </c>
      <c r="AA353">
        <f>IF(Z353&lt;&gt;"",Z353-TODAY(),"")</f>
        <v/>
      </c>
      <c r="AB353">
        <f>IF(AA353&lt;&gt;"",IF(AA353&lt;0,"Overdue",IF(AA353&lt;=Y353*0.2,"At Risk","On Time")),"")</f>
        <v/>
      </c>
    </row>
    <row r="354">
      <c r="K354">
        <f>IF(J354="v4.0",L354,IF(J354="v3.1",M354,IF(J354="Both",L354,IF(AND(L354&lt;&gt;"",M354=""),L354,M354))))</f>
        <v/>
      </c>
      <c r="Y354">
        <f>IF(T354="P0",1,IF(T354="P1",3,IF(T354="P2",7,IF(T354="P3",30,IF(T354="P4",30,7)))))</f>
        <v/>
      </c>
      <c r="Z354">
        <f>IF(U354&lt;&gt;"",U354+Y354,"")</f>
        <v/>
      </c>
      <c r="AA354">
        <f>IF(Z354&lt;&gt;"",Z354-TODAY(),"")</f>
        <v/>
      </c>
      <c r="AB354">
        <f>IF(AA354&lt;&gt;"",IF(AA354&lt;0,"Overdue",IF(AA354&lt;=Y354*0.2,"At Risk","On Time")),"")</f>
        <v/>
      </c>
    </row>
    <row r="355">
      <c r="K355">
        <f>IF(J355="v4.0",L355,IF(J355="v3.1",M355,IF(J355="Both",L355,IF(AND(L355&lt;&gt;"",M355=""),L355,M355))))</f>
        <v/>
      </c>
      <c r="Y355">
        <f>IF(T355="P0",1,IF(T355="P1",3,IF(T355="P2",7,IF(T355="P3",30,IF(T355="P4",30,7)))))</f>
        <v/>
      </c>
      <c r="Z355">
        <f>IF(U355&lt;&gt;"",U355+Y355,"")</f>
        <v/>
      </c>
      <c r="AA355">
        <f>IF(Z355&lt;&gt;"",Z355-TODAY(),"")</f>
        <v/>
      </c>
      <c r="AB355">
        <f>IF(AA355&lt;&gt;"",IF(AA355&lt;0,"Overdue",IF(AA355&lt;=Y355*0.2,"At Risk","On Time")),"")</f>
        <v/>
      </c>
    </row>
    <row r="356">
      <c r="K356">
        <f>IF(J356="v4.0",L356,IF(J356="v3.1",M356,IF(J356="Both",L356,IF(AND(L356&lt;&gt;"",M356=""),L356,M356))))</f>
        <v/>
      </c>
      <c r="Y356">
        <f>IF(T356="P0",1,IF(T356="P1",3,IF(T356="P2",7,IF(T356="P3",30,IF(T356="P4",30,7)))))</f>
        <v/>
      </c>
      <c r="Z356">
        <f>IF(U356&lt;&gt;"",U356+Y356,"")</f>
        <v/>
      </c>
      <c r="AA356">
        <f>IF(Z356&lt;&gt;"",Z356-TODAY(),"")</f>
        <v/>
      </c>
      <c r="AB356">
        <f>IF(AA356&lt;&gt;"",IF(AA356&lt;0,"Overdue",IF(AA356&lt;=Y356*0.2,"At Risk","On Time")),"")</f>
        <v/>
      </c>
    </row>
    <row r="357">
      <c r="K357">
        <f>IF(J357="v4.0",L357,IF(J357="v3.1",M357,IF(J357="Both",L357,IF(AND(L357&lt;&gt;"",M357=""),L357,M357))))</f>
        <v/>
      </c>
      <c r="Y357">
        <f>IF(T357="P0",1,IF(T357="P1",3,IF(T357="P2",7,IF(T357="P3",30,IF(T357="P4",30,7)))))</f>
        <v/>
      </c>
      <c r="Z357">
        <f>IF(U357&lt;&gt;"",U357+Y357,"")</f>
        <v/>
      </c>
      <c r="AA357">
        <f>IF(Z357&lt;&gt;"",Z357-TODAY(),"")</f>
        <v/>
      </c>
      <c r="AB357">
        <f>IF(AA357&lt;&gt;"",IF(AA357&lt;0,"Overdue",IF(AA357&lt;=Y357*0.2,"At Risk","On Time")),"")</f>
        <v/>
      </c>
    </row>
    <row r="358">
      <c r="K358">
        <f>IF(J358="v4.0",L358,IF(J358="v3.1",M358,IF(J358="Both",L358,IF(AND(L358&lt;&gt;"",M358=""),L358,M358))))</f>
        <v/>
      </c>
      <c r="Y358">
        <f>IF(T358="P0",1,IF(T358="P1",3,IF(T358="P2",7,IF(T358="P3",30,IF(T358="P4",30,7)))))</f>
        <v/>
      </c>
      <c r="Z358">
        <f>IF(U358&lt;&gt;"",U358+Y358,"")</f>
        <v/>
      </c>
      <c r="AA358">
        <f>IF(Z358&lt;&gt;"",Z358-TODAY(),"")</f>
        <v/>
      </c>
      <c r="AB358">
        <f>IF(AA358&lt;&gt;"",IF(AA358&lt;0,"Overdue",IF(AA358&lt;=Y358*0.2,"At Risk","On Time")),"")</f>
        <v/>
      </c>
    </row>
    <row r="359">
      <c r="K359">
        <f>IF(J359="v4.0",L359,IF(J359="v3.1",M359,IF(J359="Both",L359,IF(AND(L359&lt;&gt;"",M359=""),L359,M359))))</f>
        <v/>
      </c>
      <c r="Y359">
        <f>IF(T359="P0",1,IF(T359="P1",3,IF(T359="P2",7,IF(T359="P3",30,IF(T359="P4",30,7)))))</f>
        <v/>
      </c>
      <c r="Z359">
        <f>IF(U359&lt;&gt;"",U359+Y359,"")</f>
        <v/>
      </c>
      <c r="AA359">
        <f>IF(Z359&lt;&gt;"",Z359-TODAY(),"")</f>
        <v/>
      </c>
      <c r="AB359">
        <f>IF(AA359&lt;&gt;"",IF(AA359&lt;0,"Overdue",IF(AA359&lt;=Y359*0.2,"At Risk","On Time")),"")</f>
        <v/>
      </c>
    </row>
    <row r="360">
      <c r="K360">
        <f>IF(J360="v4.0",L360,IF(J360="v3.1",M360,IF(J360="Both",L360,IF(AND(L360&lt;&gt;"",M360=""),L360,M360))))</f>
        <v/>
      </c>
      <c r="Y360">
        <f>IF(T360="P0",1,IF(T360="P1",3,IF(T360="P2",7,IF(T360="P3",30,IF(T360="P4",30,7)))))</f>
        <v/>
      </c>
      <c r="Z360">
        <f>IF(U360&lt;&gt;"",U360+Y360,"")</f>
        <v/>
      </c>
      <c r="AA360">
        <f>IF(Z360&lt;&gt;"",Z360-TODAY(),"")</f>
        <v/>
      </c>
      <c r="AB360">
        <f>IF(AA360&lt;&gt;"",IF(AA360&lt;0,"Overdue",IF(AA360&lt;=Y360*0.2,"At Risk","On Time")),"")</f>
        <v/>
      </c>
    </row>
    <row r="361">
      <c r="K361">
        <f>IF(J361="v4.0",L361,IF(J361="v3.1",M361,IF(J361="Both",L361,IF(AND(L361&lt;&gt;"",M361=""),L361,M361))))</f>
        <v/>
      </c>
      <c r="Y361">
        <f>IF(T361="P0",1,IF(T361="P1",3,IF(T361="P2",7,IF(T361="P3",30,IF(T361="P4",30,7)))))</f>
        <v/>
      </c>
      <c r="Z361">
        <f>IF(U361&lt;&gt;"",U361+Y361,"")</f>
        <v/>
      </c>
      <c r="AA361">
        <f>IF(Z361&lt;&gt;"",Z361-TODAY(),"")</f>
        <v/>
      </c>
      <c r="AB361">
        <f>IF(AA361&lt;&gt;"",IF(AA361&lt;0,"Overdue",IF(AA361&lt;=Y361*0.2,"At Risk","On Time")),"")</f>
        <v/>
      </c>
    </row>
    <row r="362">
      <c r="K362">
        <f>IF(J362="v4.0",L362,IF(J362="v3.1",M362,IF(J362="Both",L362,IF(AND(L362&lt;&gt;"",M362=""),L362,M362))))</f>
        <v/>
      </c>
      <c r="Y362">
        <f>IF(T362="P0",1,IF(T362="P1",3,IF(T362="P2",7,IF(T362="P3",30,IF(T362="P4",30,7)))))</f>
        <v/>
      </c>
      <c r="Z362">
        <f>IF(U362&lt;&gt;"",U362+Y362,"")</f>
        <v/>
      </c>
      <c r="AA362">
        <f>IF(Z362&lt;&gt;"",Z362-TODAY(),"")</f>
        <v/>
      </c>
      <c r="AB362">
        <f>IF(AA362&lt;&gt;"",IF(AA362&lt;0,"Overdue",IF(AA362&lt;=Y362*0.2,"At Risk","On Time")),"")</f>
        <v/>
      </c>
    </row>
    <row r="363">
      <c r="K363">
        <f>IF(J363="v4.0",L363,IF(J363="v3.1",M363,IF(J363="Both",L363,IF(AND(L363&lt;&gt;"",M363=""),L363,M363))))</f>
        <v/>
      </c>
      <c r="Y363">
        <f>IF(T363="P0",1,IF(T363="P1",3,IF(T363="P2",7,IF(T363="P3",30,IF(T363="P4",30,7)))))</f>
        <v/>
      </c>
      <c r="Z363">
        <f>IF(U363&lt;&gt;"",U363+Y363,"")</f>
        <v/>
      </c>
      <c r="AA363">
        <f>IF(Z363&lt;&gt;"",Z363-TODAY(),"")</f>
        <v/>
      </c>
      <c r="AB363">
        <f>IF(AA363&lt;&gt;"",IF(AA363&lt;0,"Overdue",IF(AA363&lt;=Y363*0.2,"At Risk","On Time")),"")</f>
        <v/>
      </c>
    </row>
    <row r="364">
      <c r="K364">
        <f>IF(J364="v4.0",L364,IF(J364="v3.1",M364,IF(J364="Both",L364,IF(AND(L364&lt;&gt;"",M364=""),L364,M364))))</f>
        <v/>
      </c>
      <c r="Y364">
        <f>IF(T364="P0",1,IF(T364="P1",3,IF(T364="P2",7,IF(T364="P3",30,IF(T364="P4",30,7)))))</f>
        <v/>
      </c>
      <c r="Z364">
        <f>IF(U364&lt;&gt;"",U364+Y364,"")</f>
        <v/>
      </c>
      <c r="AA364">
        <f>IF(Z364&lt;&gt;"",Z364-TODAY(),"")</f>
        <v/>
      </c>
      <c r="AB364">
        <f>IF(AA364&lt;&gt;"",IF(AA364&lt;0,"Overdue",IF(AA364&lt;=Y364*0.2,"At Risk","On Time")),"")</f>
        <v/>
      </c>
    </row>
    <row r="365">
      <c r="K365">
        <f>IF(J365="v4.0",L365,IF(J365="v3.1",M365,IF(J365="Both",L365,IF(AND(L365&lt;&gt;"",M365=""),L365,M365))))</f>
        <v/>
      </c>
      <c r="Y365">
        <f>IF(T365="P0",1,IF(T365="P1",3,IF(T365="P2",7,IF(T365="P3",30,IF(T365="P4",30,7)))))</f>
        <v/>
      </c>
      <c r="Z365">
        <f>IF(U365&lt;&gt;"",U365+Y365,"")</f>
        <v/>
      </c>
      <c r="AA365">
        <f>IF(Z365&lt;&gt;"",Z365-TODAY(),"")</f>
        <v/>
      </c>
      <c r="AB365">
        <f>IF(AA365&lt;&gt;"",IF(AA365&lt;0,"Overdue",IF(AA365&lt;=Y365*0.2,"At Risk","On Time")),"")</f>
        <v/>
      </c>
    </row>
    <row r="366">
      <c r="K366">
        <f>IF(J366="v4.0",L366,IF(J366="v3.1",M366,IF(J366="Both",L366,IF(AND(L366&lt;&gt;"",M366=""),L366,M366))))</f>
        <v/>
      </c>
      <c r="Y366">
        <f>IF(T366="P0",1,IF(T366="P1",3,IF(T366="P2",7,IF(T366="P3",30,IF(T366="P4",30,7)))))</f>
        <v/>
      </c>
      <c r="Z366">
        <f>IF(U366&lt;&gt;"",U366+Y366,"")</f>
        <v/>
      </c>
      <c r="AA366">
        <f>IF(Z366&lt;&gt;"",Z366-TODAY(),"")</f>
        <v/>
      </c>
      <c r="AB366">
        <f>IF(AA366&lt;&gt;"",IF(AA366&lt;0,"Overdue",IF(AA366&lt;=Y366*0.2,"At Risk","On Time")),"")</f>
        <v/>
      </c>
    </row>
    <row r="367">
      <c r="K367">
        <f>IF(J367="v4.0",L367,IF(J367="v3.1",M367,IF(J367="Both",L367,IF(AND(L367&lt;&gt;"",M367=""),L367,M367))))</f>
        <v/>
      </c>
      <c r="Y367">
        <f>IF(T367="P0",1,IF(T367="P1",3,IF(T367="P2",7,IF(T367="P3",30,IF(T367="P4",30,7)))))</f>
        <v/>
      </c>
      <c r="Z367">
        <f>IF(U367&lt;&gt;"",U367+Y367,"")</f>
        <v/>
      </c>
      <c r="AA367">
        <f>IF(Z367&lt;&gt;"",Z367-TODAY(),"")</f>
        <v/>
      </c>
      <c r="AB367">
        <f>IF(AA367&lt;&gt;"",IF(AA367&lt;0,"Overdue",IF(AA367&lt;=Y367*0.2,"At Risk","On Time")),"")</f>
        <v/>
      </c>
    </row>
    <row r="368">
      <c r="K368">
        <f>IF(J368="v4.0",L368,IF(J368="v3.1",M368,IF(J368="Both",L368,IF(AND(L368&lt;&gt;"",M368=""),L368,M368))))</f>
        <v/>
      </c>
      <c r="Y368">
        <f>IF(T368="P0",1,IF(T368="P1",3,IF(T368="P2",7,IF(T368="P3",30,IF(T368="P4",30,7)))))</f>
        <v/>
      </c>
      <c r="Z368">
        <f>IF(U368&lt;&gt;"",U368+Y368,"")</f>
        <v/>
      </c>
      <c r="AA368">
        <f>IF(Z368&lt;&gt;"",Z368-TODAY(),"")</f>
        <v/>
      </c>
      <c r="AB368">
        <f>IF(AA368&lt;&gt;"",IF(AA368&lt;0,"Overdue",IF(AA368&lt;=Y368*0.2,"At Risk","On Time")),"")</f>
        <v/>
      </c>
    </row>
    <row r="369">
      <c r="K369">
        <f>IF(J369="v4.0",L369,IF(J369="v3.1",M369,IF(J369="Both",L369,IF(AND(L369&lt;&gt;"",M369=""),L369,M369))))</f>
        <v/>
      </c>
      <c r="Y369">
        <f>IF(T369="P0",1,IF(T369="P1",3,IF(T369="P2",7,IF(T369="P3",30,IF(T369="P4",30,7)))))</f>
        <v/>
      </c>
      <c r="Z369">
        <f>IF(U369&lt;&gt;"",U369+Y369,"")</f>
        <v/>
      </c>
      <c r="AA369">
        <f>IF(Z369&lt;&gt;"",Z369-TODAY(),"")</f>
        <v/>
      </c>
      <c r="AB369">
        <f>IF(AA369&lt;&gt;"",IF(AA369&lt;0,"Overdue",IF(AA369&lt;=Y369*0.2,"At Risk","On Time")),"")</f>
        <v/>
      </c>
    </row>
    <row r="370">
      <c r="K370">
        <f>IF(J370="v4.0",L370,IF(J370="v3.1",M370,IF(J370="Both",L370,IF(AND(L370&lt;&gt;"",M370=""),L370,M370))))</f>
        <v/>
      </c>
      <c r="Y370">
        <f>IF(T370="P0",1,IF(T370="P1",3,IF(T370="P2",7,IF(T370="P3",30,IF(T370="P4",30,7)))))</f>
        <v/>
      </c>
      <c r="Z370">
        <f>IF(U370&lt;&gt;"",U370+Y370,"")</f>
        <v/>
      </c>
      <c r="AA370">
        <f>IF(Z370&lt;&gt;"",Z370-TODAY(),"")</f>
        <v/>
      </c>
      <c r="AB370">
        <f>IF(AA370&lt;&gt;"",IF(AA370&lt;0,"Overdue",IF(AA370&lt;=Y370*0.2,"At Risk","On Time")),"")</f>
        <v/>
      </c>
    </row>
    <row r="371">
      <c r="K371">
        <f>IF(J371="v4.0",L371,IF(J371="v3.1",M371,IF(J371="Both",L371,IF(AND(L371&lt;&gt;"",M371=""),L371,M371))))</f>
        <v/>
      </c>
      <c r="Y371">
        <f>IF(T371="P0",1,IF(T371="P1",3,IF(T371="P2",7,IF(T371="P3",30,IF(T371="P4",30,7)))))</f>
        <v/>
      </c>
      <c r="Z371">
        <f>IF(U371&lt;&gt;"",U371+Y371,"")</f>
        <v/>
      </c>
      <c r="AA371">
        <f>IF(Z371&lt;&gt;"",Z371-TODAY(),"")</f>
        <v/>
      </c>
      <c r="AB371">
        <f>IF(AA371&lt;&gt;"",IF(AA371&lt;0,"Overdue",IF(AA371&lt;=Y371*0.2,"At Risk","On Time")),"")</f>
        <v/>
      </c>
    </row>
    <row r="372">
      <c r="K372">
        <f>IF(J372="v4.0",L372,IF(J372="v3.1",M372,IF(J372="Both",L372,IF(AND(L372&lt;&gt;"",M372=""),L372,M372))))</f>
        <v/>
      </c>
      <c r="Y372">
        <f>IF(T372="P0",1,IF(T372="P1",3,IF(T372="P2",7,IF(T372="P3",30,IF(T372="P4",30,7)))))</f>
        <v/>
      </c>
      <c r="Z372">
        <f>IF(U372&lt;&gt;"",U372+Y372,"")</f>
        <v/>
      </c>
      <c r="AA372">
        <f>IF(Z372&lt;&gt;"",Z372-TODAY(),"")</f>
        <v/>
      </c>
      <c r="AB372">
        <f>IF(AA372&lt;&gt;"",IF(AA372&lt;0,"Overdue",IF(AA372&lt;=Y372*0.2,"At Risk","On Time")),"")</f>
        <v/>
      </c>
    </row>
    <row r="373">
      <c r="K373">
        <f>IF(J373="v4.0",L373,IF(J373="v3.1",M373,IF(J373="Both",L373,IF(AND(L373&lt;&gt;"",M373=""),L373,M373))))</f>
        <v/>
      </c>
      <c r="Y373">
        <f>IF(T373="P0",1,IF(T373="P1",3,IF(T373="P2",7,IF(T373="P3",30,IF(T373="P4",30,7)))))</f>
        <v/>
      </c>
      <c r="Z373">
        <f>IF(U373&lt;&gt;"",U373+Y373,"")</f>
        <v/>
      </c>
      <c r="AA373">
        <f>IF(Z373&lt;&gt;"",Z373-TODAY(),"")</f>
        <v/>
      </c>
      <c r="AB373">
        <f>IF(AA373&lt;&gt;"",IF(AA373&lt;0,"Overdue",IF(AA373&lt;=Y373*0.2,"At Risk","On Time")),"")</f>
        <v/>
      </c>
    </row>
    <row r="374">
      <c r="K374">
        <f>IF(J374="v4.0",L374,IF(J374="v3.1",M374,IF(J374="Both",L374,IF(AND(L374&lt;&gt;"",M374=""),L374,M374))))</f>
        <v/>
      </c>
      <c r="Y374">
        <f>IF(T374="P0",1,IF(T374="P1",3,IF(T374="P2",7,IF(T374="P3",30,IF(T374="P4",30,7)))))</f>
        <v/>
      </c>
      <c r="Z374">
        <f>IF(U374&lt;&gt;"",U374+Y374,"")</f>
        <v/>
      </c>
      <c r="AA374">
        <f>IF(Z374&lt;&gt;"",Z374-TODAY(),"")</f>
        <v/>
      </c>
      <c r="AB374">
        <f>IF(AA374&lt;&gt;"",IF(AA374&lt;0,"Overdue",IF(AA374&lt;=Y374*0.2,"At Risk","On Time")),"")</f>
        <v/>
      </c>
    </row>
    <row r="375">
      <c r="K375">
        <f>IF(J375="v4.0",L375,IF(J375="v3.1",M375,IF(J375="Both",L375,IF(AND(L375&lt;&gt;"",M375=""),L375,M375))))</f>
        <v/>
      </c>
      <c r="Y375">
        <f>IF(T375="P0",1,IF(T375="P1",3,IF(T375="P2",7,IF(T375="P3",30,IF(T375="P4",30,7)))))</f>
        <v/>
      </c>
      <c r="Z375">
        <f>IF(U375&lt;&gt;"",U375+Y375,"")</f>
        <v/>
      </c>
      <c r="AA375">
        <f>IF(Z375&lt;&gt;"",Z375-TODAY(),"")</f>
        <v/>
      </c>
      <c r="AB375">
        <f>IF(AA375&lt;&gt;"",IF(AA375&lt;0,"Overdue",IF(AA375&lt;=Y375*0.2,"At Risk","On Time")),"")</f>
        <v/>
      </c>
    </row>
    <row r="376">
      <c r="K376">
        <f>IF(J376="v4.0",L376,IF(J376="v3.1",M376,IF(J376="Both",L376,IF(AND(L376&lt;&gt;"",M376=""),L376,M376))))</f>
        <v/>
      </c>
      <c r="Y376">
        <f>IF(T376="P0",1,IF(T376="P1",3,IF(T376="P2",7,IF(T376="P3",30,IF(T376="P4",30,7)))))</f>
        <v/>
      </c>
      <c r="Z376">
        <f>IF(U376&lt;&gt;"",U376+Y376,"")</f>
        <v/>
      </c>
      <c r="AA376">
        <f>IF(Z376&lt;&gt;"",Z376-TODAY(),"")</f>
        <v/>
      </c>
      <c r="AB376">
        <f>IF(AA376&lt;&gt;"",IF(AA376&lt;0,"Overdue",IF(AA376&lt;=Y376*0.2,"At Risk","On Time")),"")</f>
        <v/>
      </c>
    </row>
    <row r="377">
      <c r="K377">
        <f>IF(J377="v4.0",L377,IF(J377="v3.1",M377,IF(J377="Both",L377,IF(AND(L377&lt;&gt;"",M377=""),L377,M377))))</f>
        <v/>
      </c>
      <c r="Y377">
        <f>IF(T377="P0",1,IF(T377="P1",3,IF(T377="P2",7,IF(T377="P3",30,IF(T377="P4",30,7)))))</f>
        <v/>
      </c>
      <c r="Z377">
        <f>IF(U377&lt;&gt;"",U377+Y377,"")</f>
        <v/>
      </c>
      <c r="AA377">
        <f>IF(Z377&lt;&gt;"",Z377-TODAY(),"")</f>
        <v/>
      </c>
      <c r="AB377">
        <f>IF(AA377&lt;&gt;"",IF(AA377&lt;0,"Overdue",IF(AA377&lt;=Y377*0.2,"At Risk","On Time")),"")</f>
        <v/>
      </c>
    </row>
    <row r="378">
      <c r="K378">
        <f>IF(J378="v4.0",L378,IF(J378="v3.1",M378,IF(J378="Both",L378,IF(AND(L378&lt;&gt;"",M378=""),L378,M378))))</f>
        <v/>
      </c>
      <c r="Y378">
        <f>IF(T378="P0",1,IF(T378="P1",3,IF(T378="P2",7,IF(T378="P3",30,IF(T378="P4",30,7)))))</f>
        <v/>
      </c>
      <c r="Z378">
        <f>IF(U378&lt;&gt;"",U378+Y378,"")</f>
        <v/>
      </c>
      <c r="AA378">
        <f>IF(Z378&lt;&gt;"",Z378-TODAY(),"")</f>
        <v/>
      </c>
      <c r="AB378">
        <f>IF(AA378&lt;&gt;"",IF(AA378&lt;0,"Overdue",IF(AA378&lt;=Y378*0.2,"At Risk","On Time")),"")</f>
        <v/>
      </c>
    </row>
    <row r="379">
      <c r="K379">
        <f>IF(J379="v4.0",L379,IF(J379="v3.1",M379,IF(J379="Both",L379,IF(AND(L379&lt;&gt;"",M379=""),L379,M379))))</f>
        <v/>
      </c>
      <c r="Y379">
        <f>IF(T379="P0",1,IF(T379="P1",3,IF(T379="P2",7,IF(T379="P3",30,IF(T379="P4",30,7)))))</f>
        <v/>
      </c>
      <c r="Z379">
        <f>IF(U379&lt;&gt;"",U379+Y379,"")</f>
        <v/>
      </c>
      <c r="AA379">
        <f>IF(Z379&lt;&gt;"",Z379-TODAY(),"")</f>
        <v/>
      </c>
      <c r="AB379">
        <f>IF(AA379&lt;&gt;"",IF(AA379&lt;0,"Overdue",IF(AA379&lt;=Y379*0.2,"At Risk","On Time")),"")</f>
        <v/>
      </c>
    </row>
    <row r="380">
      <c r="K380">
        <f>IF(J380="v4.0",L380,IF(J380="v3.1",M380,IF(J380="Both",L380,IF(AND(L380&lt;&gt;"",M380=""),L380,M380))))</f>
        <v/>
      </c>
      <c r="Y380">
        <f>IF(T380="P0",1,IF(T380="P1",3,IF(T380="P2",7,IF(T380="P3",30,IF(T380="P4",30,7)))))</f>
        <v/>
      </c>
      <c r="Z380">
        <f>IF(U380&lt;&gt;"",U380+Y380,"")</f>
        <v/>
      </c>
      <c r="AA380">
        <f>IF(Z380&lt;&gt;"",Z380-TODAY(),"")</f>
        <v/>
      </c>
      <c r="AB380">
        <f>IF(AA380&lt;&gt;"",IF(AA380&lt;0,"Overdue",IF(AA380&lt;=Y380*0.2,"At Risk","On Time")),"")</f>
        <v/>
      </c>
    </row>
    <row r="381">
      <c r="K381">
        <f>IF(J381="v4.0",L381,IF(J381="v3.1",M381,IF(J381="Both",L381,IF(AND(L381&lt;&gt;"",M381=""),L381,M381))))</f>
        <v/>
      </c>
      <c r="Y381">
        <f>IF(T381="P0",1,IF(T381="P1",3,IF(T381="P2",7,IF(T381="P3",30,IF(T381="P4",30,7)))))</f>
        <v/>
      </c>
      <c r="Z381">
        <f>IF(U381&lt;&gt;"",U381+Y381,"")</f>
        <v/>
      </c>
      <c r="AA381">
        <f>IF(Z381&lt;&gt;"",Z381-TODAY(),"")</f>
        <v/>
      </c>
      <c r="AB381">
        <f>IF(AA381&lt;&gt;"",IF(AA381&lt;0,"Overdue",IF(AA381&lt;=Y381*0.2,"At Risk","On Time")),"")</f>
        <v/>
      </c>
    </row>
    <row r="382">
      <c r="K382">
        <f>IF(J382="v4.0",L382,IF(J382="v3.1",M382,IF(J382="Both",L382,IF(AND(L382&lt;&gt;"",M382=""),L382,M382))))</f>
        <v/>
      </c>
      <c r="Y382">
        <f>IF(T382="P0",1,IF(T382="P1",3,IF(T382="P2",7,IF(T382="P3",30,IF(T382="P4",30,7)))))</f>
        <v/>
      </c>
      <c r="Z382">
        <f>IF(U382&lt;&gt;"",U382+Y382,"")</f>
        <v/>
      </c>
      <c r="AA382">
        <f>IF(Z382&lt;&gt;"",Z382-TODAY(),"")</f>
        <v/>
      </c>
      <c r="AB382">
        <f>IF(AA382&lt;&gt;"",IF(AA382&lt;0,"Overdue",IF(AA382&lt;=Y382*0.2,"At Risk","On Time")),"")</f>
        <v/>
      </c>
    </row>
    <row r="383">
      <c r="K383">
        <f>IF(J383="v4.0",L383,IF(J383="v3.1",M383,IF(J383="Both",L383,IF(AND(L383&lt;&gt;"",M383=""),L383,M383))))</f>
        <v/>
      </c>
      <c r="Y383">
        <f>IF(T383="P0",1,IF(T383="P1",3,IF(T383="P2",7,IF(T383="P3",30,IF(T383="P4",30,7)))))</f>
        <v/>
      </c>
      <c r="Z383">
        <f>IF(U383&lt;&gt;"",U383+Y383,"")</f>
        <v/>
      </c>
      <c r="AA383">
        <f>IF(Z383&lt;&gt;"",Z383-TODAY(),"")</f>
        <v/>
      </c>
      <c r="AB383">
        <f>IF(AA383&lt;&gt;"",IF(AA383&lt;0,"Overdue",IF(AA383&lt;=Y383*0.2,"At Risk","On Time")),"")</f>
        <v/>
      </c>
    </row>
    <row r="384">
      <c r="K384">
        <f>IF(J384="v4.0",L384,IF(J384="v3.1",M384,IF(J384="Both",L384,IF(AND(L384&lt;&gt;"",M384=""),L384,M384))))</f>
        <v/>
      </c>
      <c r="Y384">
        <f>IF(T384="P0",1,IF(T384="P1",3,IF(T384="P2",7,IF(T384="P3",30,IF(T384="P4",30,7)))))</f>
        <v/>
      </c>
      <c r="Z384">
        <f>IF(U384&lt;&gt;"",U384+Y384,"")</f>
        <v/>
      </c>
      <c r="AA384">
        <f>IF(Z384&lt;&gt;"",Z384-TODAY(),"")</f>
        <v/>
      </c>
      <c r="AB384">
        <f>IF(AA384&lt;&gt;"",IF(AA384&lt;0,"Overdue",IF(AA384&lt;=Y384*0.2,"At Risk","On Time")),"")</f>
        <v/>
      </c>
    </row>
    <row r="385">
      <c r="K385">
        <f>IF(J385="v4.0",L385,IF(J385="v3.1",M385,IF(J385="Both",L385,IF(AND(L385&lt;&gt;"",M385=""),L385,M385))))</f>
        <v/>
      </c>
      <c r="Y385">
        <f>IF(T385="P0",1,IF(T385="P1",3,IF(T385="P2",7,IF(T385="P3",30,IF(T385="P4",30,7)))))</f>
        <v/>
      </c>
      <c r="Z385">
        <f>IF(U385&lt;&gt;"",U385+Y385,"")</f>
        <v/>
      </c>
      <c r="AA385">
        <f>IF(Z385&lt;&gt;"",Z385-TODAY(),"")</f>
        <v/>
      </c>
      <c r="AB385">
        <f>IF(AA385&lt;&gt;"",IF(AA385&lt;0,"Overdue",IF(AA385&lt;=Y385*0.2,"At Risk","On Time")),"")</f>
        <v/>
      </c>
    </row>
    <row r="386">
      <c r="K386">
        <f>IF(J386="v4.0",L386,IF(J386="v3.1",M386,IF(J386="Both",L386,IF(AND(L386&lt;&gt;"",M386=""),L386,M386))))</f>
        <v/>
      </c>
      <c r="Y386">
        <f>IF(T386="P0",1,IF(T386="P1",3,IF(T386="P2",7,IF(T386="P3",30,IF(T386="P4",30,7)))))</f>
        <v/>
      </c>
      <c r="Z386">
        <f>IF(U386&lt;&gt;"",U386+Y386,"")</f>
        <v/>
      </c>
      <c r="AA386">
        <f>IF(Z386&lt;&gt;"",Z386-TODAY(),"")</f>
        <v/>
      </c>
      <c r="AB386">
        <f>IF(AA386&lt;&gt;"",IF(AA386&lt;0,"Overdue",IF(AA386&lt;=Y386*0.2,"At Risk","On Time")),"")</f>
        <v/>
      </c>
    </row>
    <row r="387">
      <c r="K387">
        <f>IF(J387="v4.0",L387,IF(J387="v3.1",M387,IF(J387="Both",L387,IF(AND(L387&lt;&gt;"",M387=""),L387,M387))))</f>
        <v/>
      </c>
      <c r="Y387">
        <f>IF(T387="P0",1,IF(T387="P1",3,IF(T387="P2",7,IF(T387="P3",30,IF(T387="P4",30,7)))))</f>
        <v/>
      </c>
      <c r="Z387">
        <f>IF(U387&lt;&gt;"",U387+Y387,"")</f>
        <v/>
      </c>
      <c r="AA387">
        <f>IF(Z387&lt;&gt;"",Z387-TODAY(),"")</f>
        <v/>
      </c>
      <c r="AB387">
        <f>IF(AA387&lt;&gt;"",IF(AA387&lt;0,"Overdue",IF(AA387&lt;=Y387*0.2,"At Risk","On Time")),"")</f>
        <v/>
      </c>
    </row>
    <row r="388">
      <c r="K388">
        <f>IF(J388="v4.0",L388,IF(J388="v3.1",M388,IF(J388="Both",L388,IF(AND(L388&lt;&gt;"",M388=""),L388,M388))))</f>
        <v/>
      </c>
      <c r="Y388">
        <f>IF(T388="P0",1,IF(T388="P1",3,IF(T388="P2",7,IF(T388="P3",30,IF(T388="P4",30,7)))))</f>
        <v/>
      </c>
      <c r="Z388">
        <f>IF(U388&lt;&gt;"",U388+Y388,"")</f>
        <v/>
      </c>
      <c r="AA388">
        <f>IF(Z388&lt;&gt;"",Z388-TODAY(),"")</f>
        <v/>
      </c>
      <c r="AB388">
        <f>IF(AA388&lt;&gt;"",IF(AA388&lt;0,"Overdue",IF(AA388&lt;=Y388*0.2,"At Risk","On Time")),"")</f>
        <v/>
      </c>
    </row>
    <row r="389">
      <c r="K389">
        <f>IF(J389="v4.0",L389,IF(J389="v3.1",M389,IF(J389="Both",L389,IF(AND(L389&lt;&gt;"",M389=""),L389,M389))))</f>
        <v/>
      </c>
      <c r="Y389">
        <f>IF(T389="P0",1,IF(T389="P1",3,IF(T389="P2",7,IF(T389="P3",30,IF(T389="P4",30,7)))))</f>
        <v/>
      </c>
      <c r="Z389">
        <f>IF(U389&lt;&gt;"",U389+Y389,"")</f>
        <v/>
      </c>
      <c r="AA389">
        <f>IF(Z389&lt;&gt;"",Z389-TODAY(),"")</f>
        <v/>
      </c>
      <c r="AB389">
        <f>IF(AA389&lt;&gt;"",IF(AA389&lt;0,"Overdue",IF(AA389&lt;=Y389*0.2,"At Risk","On Time")),"")</f>
        <v/>
      </c>
    </row>
    <row r="390">
      <c r="K390">
        <f>IF(J390="v4.0",L390,IF(J390="v3.1",M390,IF(J390="Both",L390,IF(AND(L390&lt;&gt;"",M390=""),L390,M390))))</f>
        <v/>
      </c>
      <c r="Y390">
        <f>IF(T390="P0",1,IF(T390="P1",3,IF(T390="P2",7,IF(T390="P3",30,IF(T390="P4",30,7)))))</f>
        <v/>
      </c>
      <c r="Z390">
        <f>IF(U390&lt;&gt;"",U390+Y390,"")</f>
        <v/>
      </c>
      <c r="AA390">
        <f>IF(Z390&lt;&gt;"",Z390-TODAY(),"")</f>
        <v/>
      </c>
      <c r="AB390">
        <f>IF(AA390&lt;&gt;"",IF(AA390&lt;0,"Overdue",IF(AA390&lt;=Y390*0.2,"At Risk","On Time")),"")</f>
        <v/>
      </c>
    </row>
    <row r="391">
      <c r="K391">
        <f>IF(J391="v4.0",L391,IF(J391="v3.1",M391,IF(J391="Both",L391,IF(AND(L391&lt;&gt;"",M391=""),L391,M391))))</f>
        <v/>
      </c>
      <c r="Y391">
        <f>IF(T391="P0",1,IF(T391="P1",3,IF(T391="P2",7,IF(T391="P3",30,IF(T391="P4",30,7)))))</f>
        <v/>
      </c>
      <c r="Z391">
        <f>IF(U391&lt;&gt;"",U391+Y391,"")</f>
        <v/>
      </c>
      <c r="AA391">
        <f>IF(Z391&lt;&gt;"",Z391-TODAY(),"")</f>
        <v/>
      </c>
      <c r="AB391">
        <f>IF(AA391&lt;&gt;"",IF(AA391&lt;0,"Overdue",IF(AA391&lt;=Y391*0.2,"At Risk","On Time")),"")</f>
        <v/>
      </c>
    </row>
    <row r="392">
      <c r="K392">
        <f>IF(J392="v4.0",L392,IF(J392="v3.1",M392,IF(J392="Both",L392,IF(AND(L392&lt;&gt;"",M392=""),L392,M392))))</f>
        <v/>
      </c>
      <c r="Y392">
        <f>IF(T392="P0",1,IF(T392="P1",3,IF(T392="P2",7,IF(T392="P3",30,IF(T392="P4",30,7)))))</f>
        <v/>
      </c>
      <c r="Z392">
        <f>IF(U392&lt;&gt;"",U392+Y392,"")</f>
        <v/>
      </c>
      <c r="AA392">
        <f>IF(Z392&lt;&gt;"",Z392-TODAY(),"")</f>
        <v/>
      </c>
      <c r="AB392">
        <f>IF(AA392&lt;&gt;"",IF(AA392&lt;0,"Overdue",IF(AA392&lt;=Y392*0.2,"At Risk","On Time")),"")</f>
        <v/>
      </c>
    </row>
    <row r="393">
      <c r="K393">
        <f>IF(J393="v4.0",L393,IF(J393="v3.1",M393,IF(J393="Both",L393,IF(AND(L393&lt;&gt;"",M393=""),L393,M393))))</f>
        <v/>
      </c>
      <c r="Y393">
        <f>IF(T393="P0",1,IF(T393="P1",3,IF(T393="P2",7,IF(T393="P3",30,IF(T393="P4",30,7)))))</f>
        <v/>
      </c>
      <c r="Z393">
        <f>IF(U393&lt;&gt;"",U393+Y393,"")</f>
        <v/>
      </c>
      <c r="AA393">
        <f>IF(Z393&lt;&gt;"",Z393-TODAY(),"")</f>
        <v/>
      </c>
      <c r="AB393">
        <f>IF(AA393&lt;&gt;"",IF(AA393&lt;0,"Overdue",IF(AA393&lt;=Y393*0.2,"At Risk","On Time")),"")</f>
        <v/>
      </c>
    </row>
    <row r="394">
      <c r="K394">
        <f>IF(J394="v4.0",L394,IF(J394="v3.1",M394,IF(J394="Both",L394,IF(AND(L394&lt;&gt;"",M394=""),L394,M394))))</f>
        <v/>
      </c>
      <c r="Y394">
        <f>IF(T394="P0",1,IF(T394="P1",3,IF(T394="P2",7,IF(T394="P3",30,IF(T394="P4",30,7)))))</f>
        <v/>
      </c>
      <c r="Z394">
        <f>IF(U394&lt;&gt;"",U394+Y394,"")</f>
        <v/>
      </c>
      <c r="AA394">
        <f>IF(Z394&lt;&gt;"",Z394-TODAY(),"")</f>
        <v/>
      </c>
      <c r="AB394">
        <f>IF(AA394&lt;&gt;"",IF(AA394&lt;0,"Overdue",IF(AA394&lt;=Y394*0.2,"At Risk","On Time")),"")</f>
        <v/>
      </c>
    </row>
    <row r="395">
      <c r="K395">
        <f>IF(J395="v4.0",L395,IF(J395="v3.1",M395,IF(J395="Both",L395,IF(AND(L395&lt;&gt;"",M395=""),L395,M395))))</f>
        <v/>
      </c>
      <c r="Y395">
        <f>IF(T395="P0",1,IF(T395="P1",3,IF(T395="P2",7,IF(T395="P3",30,IF(T395="P4",30,7)))))</f>
        <v/>
      </c>
      <c r="Z395">
        <f>IF(U395&lt;&gt;"",U395+Y395,"")</f>
        <v/>
      </c>
      <c r="AA395">
        <f>IF(Z395&lt;&gt;"",Z395-TODAY(),"")</f>
        <v/>
      </c>
      <c r="AB395">
        <f>IF(AA395&lt;&gt;"",IF(AA395&lt;0,"Overdue",IF(AA395&lt;=Y395*0.2,"At Risk","On Time")),"")</f>
        <v/>
      </c>
    </row>
    <row r="396">
      <c r="K396">
        <f>IF(J396="v4.0",L396,IF(J396="v3.1",M396,IF(J396="Both",L396,IF(AND(L396&lt;&gt;"",M396=""),L396,M396))))</f>
        <v/>
      </c>
      <c r="Y396">
        <f>IF(T396="P0",1,IF(T396="P1",3,IF(T396="P2",7,IF(T396="P3",30,IF(T396="P4",30,7)))))</f>
        <v/>
      </c>
      <c r="Z396">
        <f>IF(U396&lt;&gt;"",U396+Y396,"")</f>
        <v/>
      </c>
      <c r="AA396">
        <f>IF(Z396&lt;&gt;"",Z396-TODAY(),"")</f>
        <v/>
      </c>
      <c r="AB396">
        <f>IF(AA396&lt;&gt;"",IF(AA396&lt;0,"Overdue",IF(AA396&lt;=Y396*0.2,"At Risk","On Time")),"")</f>
        <v/>
      </c>
    </row>
    <row r="397">
      <c r="K397">
        <f>IF(J397="v4.0",L397,IF(J397="v3.1",M397,IF(J397="Both",L397,IF(AND(L397&lt;&gt;"",M397=""),L397,M397))))</f>
        <v/>
      </c>
      <c r="Y397">
        <f>IF(T397="P0",1,IF(T397="P1",3,IF(T397="P2",7,IF(T397="P3",30,IF(T397="P4",30,7)))))</f>
        <v/>
      </c>
      <c r="Z397">
        <f>IF(U397&lt;&gt;"",U397+Y397,"")</f>
        <v/>
      </c>
      <c r="AA397">
        <f>IF(Z397&lt;&gt;"",Z397-TODAY(),"")</f>
        <v/>
      </c>
      <c r="AB397">
        <f>IF(AA397&lt;&gt;"",IF(AA397&lt;0,"Overdue",IF(AA397&lt;=Y397*0.2,"At Risk","On Time")),"")</f>
        <v/>
      </c>
    </row>
    <row r="398">
      <c r="K398">
        <f>IF(J398="v4.0",L398,IF(J398="v3.1",M398,IF(J398="Both",L398,IF(AND(L398&lt;&gt;"",M398=""),L398,M398))))</f>
        <v/>
      </c>
      <c r="Y398">
        <f>IF(T398="P0",1,IF(T398="P1",3,IF(T398="P2",7,IF(T398="P3",30,IF(T398="P4",30,7)))))</f>
        <v/>
      </c>
      <c r="Z398">
        <f>IF(U398&lt;&gt;"",U398+Y398,"")</f>
        <v/>
      </c>
      <c r="AA398">
        <f>IF(Z398&lt;&gt;"",Z398-TODAY(),"")</f>
        <v/>
      </c>
      <c r="AB398">
        <f>IF(AA398&lt;&gt;"",IF(AA398&lt;0,"Overdue",IF(AA398&lt;=Y398*0.2,"At Risk","On Time")),"")</f>
        <v/>
      </c>
    </row>
    <row r="399">
      <c r="K399">
        <f>IF(J399="v4.0",L399,IF(J399="v3.1",M399,IF(J399="Both",L399,IF(AND(L399&lt;&gt;"",M399=""),L399,M399))))</f>
        <v/>
      </c>
      <c r="Y399">
        <f>IF(T399="P0",1,IF(T399="P1",3,IF(T399="P2",7,IF(T399="P3",30,IF(T399="P4",30,7)))))</f>
        <v/>
      </c>
      <c r="Z399">
        <f>IF(U399&lt;&gt;"",U399+Y399,"")</f>
        <v/>
      </c>
      <c r="AA399">
        <f>IF(Z399&lt;&gt;"",Z399-TODAY(),"")</f>
        <v/>
      </c>
      <c r="AB399">
        <f>IF(AA399&lt;&gt;"",IF(AA399&lt;0,"Overdue",IF(AA399&lt;=Y399*0.2,"At Risk","On Time")),"")</f>
        <v/>
      </c>
    </row>
    <row r="400">
      <c r="K400">
        <f>IF(J400="v4.0",L400,IF(J400="v3.1",M400,IF(J400="Both",L400,IF(AND(L400&lt;&gt;"",M400=""),L400,M400))))</f>
        <v/>
      </c>
      <c r="Y400">
        <f>IF(T400="P0",1,IF(T400="P1",3,IF(T400="P2",7,IF(T400="P3",30,IF(T400="P4",30,7)))))</f>
        <v/>
      </c>
      <c r="Z400">
        <f>IF(U400&lt;&gt;"",U400+Y400,"")</f>
        <v/>
      </c>
      <c r="AA400">
        <f>IF(Z400&lt;&gt;"",Z400-TODAY(),"")</f>
        <v/>
      </c>
      <c r="AB400">
        <f>IF(AA400&lt;&gt;"",IF(AA400&lt;0,"Overdue",IF(AA400&lt;=Y400*0.2,"At Risk","On Time")),"")</f>
        <v/>
      </c>
    </row>
    <row r="401">
      <c r="K401">
        <f>IF(J401="v4.0",L401,IF(J401="v3.1",M401,IF(J401="Both",L401,IF(AND(L401&lt;&gt;"",M401=""),L401,M401))))</f>
        <v/>
      </c>
      <c r="Y401">
        <f>IF(T401="P0",1,IF(T401="P1",3,IF(T401="P2",7,IF(T401="P3",30,IF(T401="P4",30,7)))))</f>
        <v/>
      </c>
      <c r="Z401">
        <f>IF(U401&lt;&gt;"",U401+Y401,"")</f>
        <v/>
      </c>
      <c r="AA401">
        <f>IF(Z401&lt;&gt;"",Z401-TODAY(),"")</f>
        <v/>
      </c>
      <c r="AB401">
        <f>IF(AA401&lt;&gt;"",IF(AA401&lt;0,"Overdue",IF(AA401&lt;=Y401*0.2,"At Risk","On Time")),"")</f>
        <v/>
      </c>
    </row>
    <row r="402">
      <c r="K402">
        <f>IF(J402="v4.0",L402,IF(J402="v3.1",M402,IF(J402="Both",L402,IF(AND(L402&lt;&gt;"",M402=""),L402,M402))))</f>
        <v/>
      </c>
      <c r="Y402">
        <f>IF(T402="P0",1,IF(T402="P1",3,IF(T402="P2",7,IF(T402="P3",30,IF(T402="P4",30,7)))))</f>
        <v/>
      </c>
      <c r="Z402">
        <f>IF(U402&lt;&gt;"",U402+Y402,"")</f>
        <v/>
      </c>
      <c r="AA402">
        <f>IF(Z402&lt;&gt;"",Z402-TODAY(),"")</f>
        <v/>
      </c>
      <c r="AB402">
        <f>IF(AA402&lt;&gt;"",IF(AA402&lt;0,"Overdue",IF(AA402&lt;=Y402*0.2,"At Risk","On Time")),"")</f>
        <v/>
      </c>
    </row>
    <row r="403">
      <c r="K403">
        <f>IF(J403="v4.0",L403,IF(J403="v3.1",M403,IF(J403="Both",L403,IF(AND(L403&lt;&gt;"",M403=""),L403,M403))))</f>
        <v/>
      </c>
      <c r="Y403">
        <f>IF(T403="P0",1,IF(T403="P1",3,IF(T403="P2",7,IF(T403="P3",30,IF(T403="P4",30,7)))))</f>
        <v/>
      </c>
      <c r="Z403">
        <f>IF(U403&lt;&gt;"",U403+Y403,"")</f>
        <v/>
      </c>
      <c r="AA403">
        <f>IF(Z403&lt;&gt;"",Z403-TODAY(),"")</f>
        <v/>
      </c>
      <c r="AB403">
        <f>IF(AA403&lt;&gt;"",IF(AA403&lt;0,"Overdue",IF(AA403&lt;=Y403*0.2,"At Risk","On Time")),"")</f>
        <v/>
      </c>
    </row>
    <row r="404">
      <c r="K404">
        <f>IF(J404="v4.0",L404,IF(J404="v3.1",M404,IF(J404="Both",L404,IF(AND(L404&lt;&gt;"",M404=""),L404,M404))))</f>
        <v/>
      </c>
      <c r="Y404">
        <f>IF(T404="P0",1,IF(T404="P1",3,IF(T404="P2",7,IF(T404="P3",30,IF(T404="P4",30,7)))))</f>
        <v/>
      </c>
      <c r="Z404">
        <f>IF(U404&lt;&gt;"",U404+Y404,"")</f>
        <v/>
      </c>
      <c r="AA404">
        <f>IF(Z404&lt;&gt;"",Z404-TODAY(),"")</f>
        <v/>
      </c>
      <c r="AB404">
        <f>IF(AA404&lt;&gt;"",IF(AA404&lt;0,"Overdue",IF(AA404&lt;=Y404*0.2,"At Risk","On Time")),"")</f>
        <v/>
      </c>
    </row>
    <row r="405">
      <c r="K405">
        <f>IF(J405="v4.0",L405,IF(J405="v3.1",M405,IF(J405="Both",L405,IF(AND(L405&lt;&gt;"",M405=""),L405,M405))))</f>
        <v/>
      </c>
      <c r="Y405">
        <f>IF(T405="P0",1,IF(T405="P1",3,IF(T405="P2",7,IF(T405="P3",30,IF(T405="P4",30,7)))))</f>
        <v/>
      </c>
      <c r="Z405">
        <f>IF(U405&lt;&gt;"",U405+Y405,"")</f>
        <v/>
      </c>
      <c r="AA405">
        <f>IF(Z405&lt;&gt;"",Z405-TODAY(),"")</f>
        <v/>
      </c>
      <c r="AB405">
        <f>IF(AA405&lt;&gt;"",IF(AA405&lt;0,"Overdue",IF(AA405&lt;=Y405*0.2,"At Risk","On Time")),"")</f>
        <v/>
      </c>
    </row>
    <row r="406">
      <c r="K406">
        <f>IF(J406="v4.0",L406,IF(J406="v3.1",M406,IF(J406="Both",L406,IF(AND(L406&lt;&gt;"",M406=""),L406,M406))))</f>
        <v/>
      </c>
      <c r="Y406">
        <f>IF(T406="P0",1,IF(T406="P1",3,IF(T406="P2",7,IF(T406="P3",30,IF(T406="P4",30,7)))))</f>
        <v/>
      </c>
      <c r="Z406">
        <f>IF(U406&lt;&gt;"",U406+Y406,"")</f>
        <v/>
      </c>
      <c r="AA406">
        <f>IF(Z406&lt;&gt;"",Z406-TODAY(),"")</f>
        <v/>
      </c>
      <c r="AB406">
        <f>IF(AA406&lt;&gt;"",IF(AA406&lt;0,"Overdue",IF(AA406&lt;=Y406*0.2,"At Risk","On Time")),"")</f>
        <v/>
      </c>
    </row>
    <row r="407">
      <c r="K407">
        <f>IF(J407="v4.0",L407,IF(J407="v3.1",M407,IF(J407="Both",L407,IF(AND(L407&lt;&gt;"",M407=""),L407,M407))))</f>
        <v/>
      </c>
      <c r="Y407">
        <f>IF(T407="P0",1,IF(T407="P1",3,IF(T407="P2",7,IF(T407="P3",30,IF(T407="P4",30,7)))))</f>
        <v/>
      </c>
      <c r="Z407">
        <f>IF(U407&lt;&gt;"",U407+Y407,"")</f>
        <v/>
      </c>
      <c r="AA407">
        <f>IF(Z407&lt;&gt;"",Z407-TODAY(),"")</f>
        <v/>
      </c>
      <c r="AB407">
        <f>IF(AA407&lt;&gt;"",IF(AA407&lt;0,"Overdue",IF(AA407&lt;=Y407*0.2,"At Risk","On Time")),"")</f>
        <v/>
      </c>
    </row>
    <row r="408">
      <c r="K408">
        <f>IF(J408="v4.0",L408,IF(J408="v3.1",M408,IF(J408="Both",L408,IF(AND(L408&lt;&gt;"",M408=""),L408,M408))))</f>
        <v/>
      </c>
      <c r="Y408">
        <f>IF(T408="P0",1,IF(T408="P1",3,IF(T408="P2",7,IF(T408="P3",30,IF(T408="P4",30,7)))))</f>
        <v/>
      </c>
      <c r="Z408">
        <f>IF(U408&lt;&gt;"",U408+Y408,"")</f>
        <v/>
      </c>
      <c r="AA408">
        <f>IF(Z408&lt;&gt;"",Z408-TODAY(),"")</f>
        <v/>
      </c>
      <c r="AB408">
        <f>IF(AA408&lt;&gt;"",IF(AA408&lt;0,"Overdue",IF(AA408&lt;=Y408*0.2,"At Risk","On Time")),"")</f>
        <v/>
      </c>
    </row>
    <row r="409">
      <c r="K409">
        <f>IF(J409="v4.0",L409,IF(J409="v3.1",M409,IF(J409="Both",L409,IF(AND(L409&lt;&gt;"",M409=""),L409,M409))))</f>
        <v/>
      </c>
      <c r="Y409">
        <f>IF(T409="P0",1,IF(T409="P1",3,IF(T409="P2",7,IF(T409="P3",30,IF(T409="P4",30,7)))))</f>
        <v/>
      </c>
      <c r="Z409">
        <f>IF(U409&lt;&gt;"",U409+Y409,"")</f>
        <v/>
      </c>
      <c r="AA409">
        <f>IF(Z409&lt;&gt;"",Z409-TODAY(),"")</f>
        <v/>
      </c>
      <c r="AB409">
        <f>IF(AA409&lt;&gt;"",IF(AA409&lt;0,"Overdue",IF(AA409&lt;=Y409*0.2,"At Risk","On Time")),"")</f>
        <v/>
      </c>
    </row>
    <row r="410">
      <c r="K410">
        <f>IF(J410="v4.0",L410,IF(J410="v3.1",M410,IF(J410="Both",L410,IF(AND(L410&lt;&gt;"",M410=""),L410,M410))))</f>
        <v/>
      </c>
      <c r="Y410">
        <f>IF(T410="P0",1,IF(T410="P1",3,IF(T410="P2",7,IF(T410="P3",30,IF(T410="P4",30,7)))))</f>
        <v/>
      </c>
      <c r="Z410">
        <f>IF(U410&lt;&gt;"",U410+Y410,"")</f>
        <v/>
      </c>
      <c r="AA410">
        <f>IF(Z410&lt;&gt;"",Z410-TODAY(),"")</f>
        <v/>
      </c>
      <c r="AB410">
        <f>IF(AA410&lt;&gt;"",IF(AA410&lt;0,"Overdue",IF(AA410&lt;=Y410*0.2,"At Risk","On Time")),"")</f>
        <v/>
      </c>
    </row>
    <row r="411">
      <c r="K411">
        <f>IF(J411="v4.0",L411,IF(J411="v3.1",M411,IF(J411="Both",L411,IF(AND(L411&lt;&gt;"",M411=""),L411,M411))))</f>
        <v/>
      </c>
      <c r="Y411">
        <f>IF(T411="P0",1,IF(T411="P1",3,IF(T411="P2",7,IF(T411="P3",30,IF(T411="P4",30,7)))))</f>
        <v/>
      </c>
      <c r="Z411">
        <f>IF(U411&lt;&gt;"",U411+Y411,"")</f>
        <v/>
      </c>
      <c r="AA411">
        <f>IF(Z411&lt;&gt;"",Z411-TODAY(),"")</f>
        <v/>
      </c>
      <c r="AB411">
        <f>IF(AA411&lt;&gt;"",IF(AA411&lt;0,"Overdue",IF(AA411&lt;=Y411*0.2,"At Risk","On Time")),"")</f>
        <v/>
      </c>
    </row>
    <row r="412">
      <c r="K412">
        <f>IF(J412="v4.0",L412,IF(J412="v3.1",M412,IF(J412="Both",L412,IF(AND(L412&lt;&gt;"",M412=""),L412,M412))))</f>
        <v/>
      </c>
      <c r="Y412">
        <f>IF(T412="P0",1,IF(T412="P1",3,IF(T412="P2",7,IF(T412="P3",30,IF(T412="P4",30,7)))))</f>
        <v/>
      </c>
      <c r="Z412">
        <f>IF(U412&lt;&gt;"",U412+Y412,"")</f>
        <v/>
      </c>
      <c r="AA412">
        <f>IF(Z412&lt;&gt;"",Z412-TODAY(),"")</f>
        <v/>
      </c>
      <c r="AB412">
        <f>IF(AA412&lt;&gt;"",IF(AA412&lt;0,"Overdue",IF(AA412&lt;=Y412*0.2,"At Risk","On Time")),"")</f>
        <v/>
      </c>
    </row>
    <row r="413">
      <c r="K413">
        <f>IF(J413="v4.0",L413,IF(J413="v3.1",M413,IF(J413="Both",L413,IF(AND(L413&lt;&gt;"",M413=""),L413,M413))))</f>
        <v/>
      </c>
      <c r="Y413">
        <f>IF(T413="P0",1,IF(T413="P1",3,IF(T413="P2",7,IF(T413="P3",30,IF(T413="P4",30,7)))))</f>
        <v/>
      </c>
      <c r="Z413">
        <f>IF(U413&lt;&gt;"",U413+Y413,"")</f>
        <v/>
      </c>
      <c r="AA413">
        <f>IF(Z413&lt;&gt;"",Z413-TODAY(),"")</f>
        <v/>
      </c>
      <c r="AB413">
        <f>IF(AA413&lt;&gt;"",IF(AA413&lt;0,"Overdue",IF(AA413&lt;=Y413*0.2,"At Risk","On Time")),"")</f>
        <v/>
      </c>
    </row>
    <row r="414">
      <c r="K414">
        <f>IF(J414="v4.0",L414,IF(J414="v3.1",M414,IF(J414="Both",L414,IF(AND(L414&lt;&gt;"",M414=""),L414,M414))))</f>
        <v/>
      </c>
      <c r="Y414">
        <f>IF(T414="P0",1,IF(T414="P1",3,IF(T414="P2",7,IF(T414="P3",30,IF(T414="P4",30,7)))))</f>
        <v/>
      </c>
      <c r="Z414">
        <f>IF(U414&lt;&gt;"",U414+Y414,"")</f>
        <v/>
      </c>
      <c r="AA414">
        <f>IF(Z414&lt;&gt;"",Z414-TODAY(),"")</f>
        <v/>
      </c>
      <c r="AB414">
        <f>IF(AA414&lt;&gt;"",IF(AA414&lt;0,"Overdue",IF(AA414&lt;=Y414*0.2,"At Risk","On Time")),"")</f>
        <v/>
      </c>
    </row>
    <row r="415">
      <c r="K415">
        <f>IF(J415="v4.0",L415,IF(J415="v3.1",M415,IF(J415="Both",L415,IF(AND(L415&lt;&gt;"",M415=""),L415,M415))))</f>
        <v/>
      </c>
      <c r="Y415">
        <f>IF(T415="P0",1,IF(T415="P1",3,IF(T415="P2",7,IF(T415="P3",30,IF(T415="P4",30,7)))))</f>
        <v/>
      </c>
      <c r="Z415">
        <f>IF(U415&lt;&gt;"",U415+Y415,"")</f>
        <v/>
      </c>
      <c r="AA415">
        <f>IF(Z415&lt;&gt;"",Z415-TODAY(),"")</f>
        <v/>
      </c>
      <c r="AB415">
        <f>IF(AA415&lt;&gt;"",IF(AA415&lt;0,"Overdue",IF(AA415&lt;=Y415*0.2,"At Risk","On Time")),"")</f>
        <v/>
      </c>
    </row>
    <row r="416">
      <c r="K416">
        <f>IF(J416="v4.0",L416,IF(J416="v3.1",M416,IF(J416="Both",L416,IF(AND(L416&lt;&gt;"",M416=""),L416,M416))))</f>
        <v/>
      </c>
      <c r="Y416">
        <f>IF(T416="P0",1,IF(T416="P1",3,IF(T416="P2",7,IF(T416="P3",30,IF(T416="P4",30,7)))))</f>
        <v/>
      </c>
      <c r="Z416">
        <f>IF(U416&lt;&gt;"",U416+Y416,"")</f>
        <v/>
      </c>
      <c r="AA416">
        <f>IF(Z416&lt;&gt;"",Z416-TODAY(),"")</f>
        <v/>
      </c>
      <c r="AB416">
        <f>IF(AA416&lt;&gt;"",IF(AA416&lt;0,"Overdue",IF(AA416&lt;=Y416*0.2,"At Risk","On Time")),"")</f>
        <v/>
      </c>
    </row>
    <row r="417">
      <c r="K417">
        <f>IF(J417="v4.0",L417,IF(J417="v3.1",M417,IF(J417="Both",L417,IF(AND(L417&lt;&gt;"",M417=""),L417,M417))))</f>
        <v/>
      </c>
      <c r="Y417">
        <f>IF(T417="P0",1,IF(T417="P1",3,IF(T417="P2",7,IF(T417="P3",30,IF(T417="P4",30,7)))))</f>
        <v/>
      </c>
      <c r="Z417">
        <f>IF(U417&lt;&gt;"",U417+Y417,"")</f>
        <v/>
      </c>
      <c r="AA417">
        <f>IF(Z417&lt;&gt;"",Z417-TODAY(),"")</f>
        <v/>
      </c>
      <c r="AB417">
        <f>IF(AA417&lt;&gt;"",IF(AA417&lt;0,"Overdue",IF(AA417&lt;=Y417*0.2,"At Risk","On Time")),"")</f>
        <v/>
      </c>
    </row>
    <row r="418">
      <c r="K418">
        <f>IF(J418="v4.0",L418,IF(J418="v3.1",M418,IF(J418="Both",L418,IF(AND(L418&lt;&gt;"",M418=""),L418,M418))))</f>
        <v/>
      </c>
      <c r="Y418">
        <f>IF(T418="P0",1,IF(T418="P1",3,IF(T418="P2",7,IF(T418="P3",30,IF(T418="P4",30,7)))))</f>
        <v/>
      </c>
      <c r="Z418">
        <f>IF(U418&lt;&gt;"",U418+Y418,"")</f>
        <v/>
      </c>
      <c r="AA418">
        <f>IF(Z418&lt;&gt;"",Z418-TODAY(),"")</f>
        <v/>
      </c>
      <c r="AB418">
        <f>IF(AA418&lt;&gt;"",IF(AA418&lt;0,"Overdue",IF(AA418&lt;=Y418*0.2,"At Risk","On Time")),"")</f>
        <v/>
      </c>
    </row>
    <row r="419">
      <c r="K419">
        <f>IF(J419="v4.0",L419,IF(J419="v3.1",M419,IF(J419="Both",L419,IF(AND(L419&lt;&gt;"",M419=""),L419,M419))))</f>
        <v/>
      </c>
      <c r="Y419">
        <f>IF(T419="P0",1,IF(T419="P1",3,IF(T419="P2",7,IF(T419="P3",30,IF(T419="P4",30,7)))))</f>
        <v/>
      </c>
      <c r="Z419">
        <f>IF(U419&lt;&gt;"",U419+Y419,"")</f>
        <v/>
      </c>
      <c r="AA419">
        <f>IF(Z419&lt;&gt;"",Z419-TODAY(),"")</f>
        <v/>
      </c>
      <c r="AB419">
        <f>IF(AA419&lt;&gt;"",IF(AA419&lt;0,"Overdue",IF(AA419&lt;=Y419*0.2,"At Risk","On Time")),"")</f>
        <v/>
      </c>
    </row>
    <row r="420">
      <c r="K420">
        <f>IF(J420="v4.0",L420,IF(J420="v3.1",M420,IF(J420="Both",L420,IF(AND(L420&lt;&gt;"",M420=""),L420,M420))))</f>
        <v/>
      </c>
      <c r="Y420">
        <f>IF(T420="P0",1,IF(T420="P1",3,IF(T420="P2",7,IF(T420="P3",30,IF(T420="P4",30,7)))))</f>
        <v/>
      </c>
      <c r="Z420">
        <f>IF(U420&lt;&gt;"",U420+Y420,"")</f>
        <v/>
      </c>
      <c r="AA420">
        <f>IF(Z420&lt;&gt;"",Z420-TODAY(),"")</f>
        <v/>
      </c>
      <c r="AB420">
        <f>IF(AA420&lt;&gt;"",IF(AA420&lt;0,"Overdue",IF(AA420&lt;=Y420*0.2,"At Risk","On Time")),"")</f>
        <v/>
      </c>
    </row>
    <row r="421">
      <c r="K421">
        <f>IF(J421="v4.0",L421,IF(J421="v3.1",M421,IF(J421="Both",L421,IF(AND(L421&lt;&gt;"",M421=""),L421,M421))))</f>
        <v/>
      </c>
      <c r="Y421">
        <f>IF(T421="P0",1,IF(T421="P1",3,IF(T421="P2",7,IF(T421="P3",30,IF(T421="P4",30,7)))))</f>
        <v/>
      </c>
      <c r="Z421">
        <f>IF(U421&lt;&gt;"",U421+Y421,"")</f>
        <v/>
      </c>
      <c r="AA421">
        <f>IF(Z421&lt;&gt;"",Z421-TODAY(),"")</f>
        <v/>
      </c>
      <c r="AB421">
        <f>IF(AA421&lt;&gt;"",IF(AA421&lt;0,"Overdue",IF(AA421&lt;=Y421*0.2,"At Risk","On Time")),"")</f>
        <v/>
      </c>
    </row>
    <row r="422">
      <c r="K422">
        <f>IF(J422="v4.0",L422,IF(J422="v3.1",M422,IF(J422="Both",L422,IF(AND(L422&lt;&gt;"",M422=""),L422,M422))))</f>
        <v/>
      </c>
      <c r="Y422">
        <f>IF(T422="P0",1,IF(T422="P1",3,IF(T422="P2",7,IF(T422="P3",30,IF(T422="P4",30,7)))))</f>
        <v/>
      </c>
      <c r="Z422">
        <f>IF(U422&lt;&gt;"",U422+Y422,"")</f>
        <v/>
      </c>
      <c r="AA422">
        <f>IF(Z422&lt;&gt;"",Z422-TODAY(),"")</f>
        <v/>
      </c>
      <c r="AB422">
        <f>IF(AA422&lt;&gt;"",IF(AA422&lt;0,"Overdue",IF(AA422&lt;=Y422*0.2,"At Risk","On Time")),"")</f>
        <v/>
      </c>
    </row>
    <row r="423">
      <c r="K423">
        <f>IF(J423="v4.0",L423,IF(J423="v3.1",M423,IF(J423="Both",L423,IF(AND(L423&lt;&gt;"",M423=""),L423,M423))))</f>
        <v/>
      </c>
      <c r="Y423">
        <f>IF(T423="P0",1,IF(T423="P1",3,IF(T423="P2",7,IF(T423="P3",30,IF(T423="P4",30,7)))))</f>
        <v/>
      </c>
      <c r="Z423">
        <f>IF(U423&lt;&gt;"",U423+Y423,"")</f>
        <v/>
      </c>
      <c r="AA423">
        <f>IF(Z423&lt;&gt;"",Z423-TODAY(),"")</f>
        <v/>
      </c>
      <c r="AB423">
        <f>IF(AA423&lt;&gt;"",IF(AA423&lt;0,"Overdue",IF(AA423&lt;=Y423*0.2,"At Risk","On Time")),"")</f>
        <v/>
      </c>
    </row>
    <row r="424">
      <c r="K424">
        <f>IF(J424="v4.0",L424,IF(J424="v3.1",M424,IF(J424="Both",L424,IF(AND(L424&lt;&gt;"",M424=""),L424,M424))))</f>
        <v/>
      </c>
      <c r="Y424">
        <f>IF(T424="P0",1,IF(T424="P1",3,IF(T424="P2",7,IF(T424="P3",30,IF(T424="P4",30,7)))))</f>
        <v/>
      </c>
      <c r="Z424">
        <f>IF(U424&lt;&gt;"",U424+Y424,"")</f>
        <v/>
      </c>
      <c r="AA424">
        <f>IF(Z424&lt;&gt;"",Z424-TODAY(),"")</f>
        <v/>
      </c>
      <c r="AB424">
        <f>IF(AA424&lt;&gt;"",IF(AA424&lt;0,"Overdue",IF(AA424&lt;=Y424*0.2,"At Risk","On Time")),"")</f>
        <v/>
      </c>
    </row>
    <row r="425">
      <c r="K425">
        <f>IF(J425="v4.0",L425,IF(J425="v3.1",M425,IF(J425="Both",L425,IF(AND(L425&lt;&gt;"",M425=""),L425,M425))))</f>
        <v/>
      </c>
      <c r="Y425">
        <f>IF(T425="P0",1,IF(T425="P1",3,IF(T425="P2",7,IF(T425="P3",30,IF(T425="P4",30,7)))))</f>
        <v/>
      </c>
      <c r="Z425">
        <f>IF(U425&lt;&gt;"",U425+Y425,"")</f>
        <v/>
      </c>
      <c r="AA425">
        <f>IF(Z425&lt;&gt;"",Z425-TODAY(),"")</f>
        <v/>
      </c>
      <c r="AB425">
        <f>IF(AA425&lt;&gt;"",IF(AA425&lt;0,"Overdue",IF(AA425&lt;=Y425*0.2,"At Risk","On Time")),"")</f>
        <v/>
      </c>
    </row>
    <row r="426">
      <c r="K426">
        <f>IF(J426="v4.0",L426,IF(J426="v3.1",M426,IF(J426="Both",L426,IF(AND(L426&lt;&gt;"",M426=""),L426,M426))))</f>
        <v/>
      </c>
      <c r="Y426">
        <f>IF(T426="P0",1,IF(T426="P1",3,IF(T426="P2",7,IF(T426="P3",30,IF(T426="P4",30,7)))))</f>
        <v/>
      </c>
      <c r="Z426">
        <f>IF(U426&lt;&gt;"",U426+Y426,"")</f>
        <v/>
      </c>
      <c r="AA426">
        <f>IF(Z426&lt;&gt;"",Z426-TODAY(),"")</f>
        <v/>
      </c>
      <c r="AB426">
        <f>IF(AA426&lt;&gt;"",IF(AA426&lt;0,"Overdue",IF(AA426&lt;=Y426*0.2,"At Risk","On Time")),"")</f>
        <v/>
      </c>
    </row>
    <row r="427">
      <c r="K427">
        <f>IF(J427="v4.0",L427,IF(J427="v3.1",M427,IF(J427="Both",L427,IF(AND(L427&lt;&gt;"",M427=""),L427,M427))))</f>
        <v/>
      </c>
      <c r="Y427">
        <f>IF(T427="P0",1,IF(T427="P1",3,IF(T427="P2",7,IF(T427="P3",30,IF(T427="P4",30,7)))))</f>
        <v/>
      </c>
      <c r="Z427">
        <f>IF(U427&lt;&gt;"",U427+Y427,"")</f>
        <v/>
      </c>
      <c r="AA427">
        <f>IF(Z427&lt;&gt;"",Z427-TODAY(),"")</f>
        <v/>
      </c>
      <c r="AB427">
        <f>IF(AA427&lt;&gt;"",IF(AA427&lt;0,"Overdue",IF(AA427&lt;=Y427*0.2,"At Risk","On Time")),"")</f>
        <v/>
      </c>
    </row>
    <row r="428">
      <c r="K428">
        <f>IF(J428="v4.0",L428,IF(J428="v3.1",M428,IF(J428="Both",L428,IF(AND(L428&lt;&gt;"",M428=""),L428,M428))))</f>
        <v/>
      </c>
      <c r="Y428">
        <f>IF(T428="P0",1,IF(T428="P1",3,IF(T428="P2",7,IF(T428="P3",30,IF(T428="P4",30,7)))))</f>
        <v/>
      </c>
      <c r="Z428">
        <f>IF(U428&lt;&gt;"",U428+Y428,"")</f>
        <v/>
      </c>
      <c r="AA428">
        <f>IF(Z428&lt;&gt;"",Z428-TODAY(),"")</f>
        <v/>
      </c>
      <c r="AB428">
        <f>IF(AA428&lt;&gt;"",IF(AA428&lt;0,"Overdue",IF(AA428&lt;=Y428*0.2,"At Risk","On Time")),"")</f>
        <v/>
      </c>
    </row>
    <row r="429">
      <c r="K429">
        <f>IF(J429="v4.0",L429,IF(J429="v3.1",M429,IF(J429="Both",L429,IF(AND(L429&lt;&gt;"",M429=""),L429,M429))))</f>
        <v/>
      </c>
      <c r="Y429">
        <f>IF(T429="P0",1,IF(T429="P1",3,IF(T429="P2",7,IF(T429="P3",30,IF(T429="P4",30,7)))))</f>
        <v/>
      </c>
      <c r="Z429">
        <f>IF(U429&lt;&gt;"",U429+Y429,"")</f>
        <v/>
      </c>
      <c r="AA429">
        <f>IF(Z429&lt;&gt;"",Z429-TODAY(),"")</f>
        <v/>
      </c>
      <c r="AB429">
        <f>IF(AA429&lt;&gt;"",IF(AA429&lt;0,"Overdue",IF(AA429&lt;=Y429*0.2,"At Risk","On Time")),"")</f>
        <v/>
      </c>
    </row>
    <row r="430">
      <c r="K430">
        <f>IF(J430="v4.0",L430,IF(J430="v3.1",M430,IF(J430="Both",L430,IF(AND(L430&lt;&gt;"",M430=""),L430,M430))))</f>
        <v/>
      </c>
      <c r="Y430">
        <f>IF(T430="P0",1,IF(T430="P1",3,IF(T430="P2",7,IF(T430="P3",30,IF(T430="P4",30,7)))))</f>
        <v/>
      </c>
      <c r="Z430">
        <f>IF(U430&lt;&gt;"",U430+Y430,"")</f>
        <v/>
      </c>
      <c r="AA430">
        <f>IF(Z430&lt;&gt;"",Z430-TODAY(),"")</f>
        <v/>
      </c>
      <c r="AB430">
        <f>IF(AA430&lt;&gt;"",IF(AA430&lt;0,"Overdue",IF(AA430&lt;=Y430*0.2,"At Risk","On Time")),"")</f>
        <v/>
      </c>
    </row>
    <row r="431">
      <c r="K431">
        <f>IF(J431="v4.0",L431,IF(J431="v3.1",M431,IF(J431="Both",L431,IF(AND(L431&lt;&gt;"",M431=""),L431,M431))))</f>
        <v/>
      </c>
      <c r="Y431">
        <f>IF(T431="P0",1,IF(T431="P1",3,IF(T431="P2",7,IF(T431="P3",30,IF(T431="P4",30,7)))))</f>
        <v/>
      </c>
      <c r="Z431">
        <f>IF(U431&lt;&gt;"",U431+Y431,"")</f>
        <v/>
      </c>
      <c r="AA431">
        <f>IF(Z431&lt;&gt;"",Z431-TODAY(),"")</f>
        <v/>
      </c>
      <c r="AB431">
        <f>IF(AA431&lt;&gt;"",IF(AA431&lt;0,"Overdue",IF(AA431&lt;=Y431*0.2,"At Risk","On Time")),"")</f>
        <v/>
      </c>
    </row>
    <row r="432">
      <c r="K432">
        <f>IF(J432="v4.0",L432,IF(J432="v3.1",M432,IF(J432="Both",L432,IF(AND(L432&lt;&gt;"",M432=""),L432,M432))))</f>
        <v/>
      </c>
      <c r="Y432">
        <f>IF(T432="P0",1,IF(T432="P1",3,IF(T432="P2",7,IF(T432="P3",30,IF(T432="P4",30,7)))))</f>
        <v/>
      </c>
      <c r="Z432">
        <f>IF(U432&lt;&gt;"",U432+Y432,"")</f>
        <v/>
      </c>
      <c r="AA432">
        <f>IF(Z432&lt;&gt;"",Z432-TODAY(),"")</f>
        <v/>
      </c>
      <c r="AB432">
        <f>IF(AA432&lt;&gt;"",IF(AA432&lt;0,"Overdue",IF(AA432&lt;=Y432*0.2,"At Risk","On Time")),"")</f>
        <v/>
      </c>
    </row>
    <row r="433">
      <c r="K433">
        <f>IF(J433="v4.0",L433,IF(J433="v3.1",M433,IF(J433="Both",L433,IF(AND(L433&lt;&gt;"",M433=""),L433,M433))))</f>
        <v/>
      </c>
      <c r="Y433">
        <f>IF(T433="P0",1,IF(T433="P1",3,IF(T433="P2",7,IF(T433="P3",30,IF(T433="P4",30,7)))))</f>
        <v/>
      </c>
      <c r="Z433">
        <f>IF(U433&lt;&gt;"",U433+Y433,"")</f>
        <v/>
      </c>
      <c r="AA433">
        <f>IF(Z433&lt;&gt;"",Z433-TODAY(),"")</f>
        <v/>
      </c>
      <c r="AB433">
        <f>IF(AA433&lt;&gt;"",IF(AA433&lt;0,"Overdue",IF(AA433&lt;=Y433*0.2,"At Risk","On Time")),"")</f>
        <v/>
      </c>
    </row>
    <row r="434">
      <c r="K434">
        <f>IF(J434="v4.0",L434,IF(J434="v3.1",M434,IF(J434="Both",L434,IF(AND(L434&lt;&gt;"",M434=""),L434,M434))))</f>
        <v/>
      </c>
      <c r="Y434">
        <f>IF(T434="P0",1,IF(T434="P1",3,IF(T434="P2",7,IF(T434="P3",30,IF(T434="P4",30,7)))))</f>
        <v/>
      </c>
      <c r="Z434">
        <f>IF(U434&lt;&gt;"",U434+Y434,"")</f>
        <v/>
      </c>
      <c r="AA434">
        <f>IF(Z434&lt;&gt;"",Z434-TODAY(),"")</f>
        <v/>
      </c>
      <c r="AB434">
        <f>IF(AA434&lt;&gt;"",IF(AA434&lt;0,"Overdue",IF(AA434&lt;=Y434*0.2,"At Risk","On Time")),"")</f>
        <v/>
      </c>
    </row>
    <row r="435">
      <c r="K435">
        <f>IF(J435="v4.0",L435,IF(J435="v3.1",M435,IF(J435="Both",L435,IF(AND(L435&lt;&gt;"",M435=""),L435,M435))))</f>
        <v/>
      </c>
      <c r="Y435">
        <f>IF(T435="P0",1,IF(T435="P1",3,IF(T435="P2",7,IF(T435="P3",30,IF(T435="P4",30,7)))))</f>
        <v/>
      </c>
      <c r="Z435">
        <f>IF(U435&lt;&gt;"",U435+Y435,"")</f>
        <v/>
      </c>
      <c r="AA435">
        <f>IF(Z435&lt;&gt;"",Z435-TODAY(),"")</f>
        <v/>
      </c>
      <c r="AB435">
        <f>IF(AA435&lt;&gt;"",IF(AA435&lt;0,"Overdue",IF(AA435&lt;=Y435*0.2,"At Risk","On Time")),"")</f>
        <v/>
      </c>
    </row>
    <row r="436">
      <c r="K436">
        <f>IF(J436="v4.0",L436,IF(J436="v3.1",M436,IF(J436="Both",L436,IF(AND(L436&lt;&gt;"",M436=""),L436,M436))))</f>
        <v/>
      </c>
      <c r="Y436">
        <f>IF(T436="P0",1,IF(T436="P1",3,IF(T436="P2",7,IF(T436="P3",30,IF(T436="P4",30,7)))))</f>
        <v/>
      </c>
      <c r="Z436">
        <f>IF(U436&lt;&gt;"",U436+Y436,"")</f>
        <v/>
      </c>
      <c r="AA436">
        <f>IF(Z436&lt;&gt;"",Z436-TODAY(),"")</f>
        <v/>
      </c>
      <c r="AB436">
        <f>IF(AA436&lt;&gt;"",IF(AA436&lt;0,"Overdue",IF(AA436&lt;=Y436*0.2,"At Risk","On Time")),"")</f>
        <v/>
      </c>
    </row>
    <row r="437">
      <c r="K437">
        <f>IF(J437="v4.0",L437,IF(J437="v3.1",M437,IF(J437="Both",L437,IF(AND(L437&lt;&gt;"",M437=""),L437,M437))))</f>
        <v/>
      </c>
      <c r="Y437">
        <f>IF(T437="P0",1,IF(T437="P1",3,IF(T437="P2",7,IF(T437="P3",30,IF(T437="P4",30,7)))))</f>
        <v/>
      </c>
      <c r="Z437">
        <f>IF(U437&lt;&gt;"",U437+Y437,"")</f>
        <v/>
      </c>
      <c r="AA437">
        <f>IF(Z437&lt;&gt;"",Z437-TODAY(),"")</f>
        <v/>
      </c>
      <c r="AB437">
        <f>IF(AA437&lt;&gt;"",IF(AA437&lt;0,"Overdue",IF(AA437&lt;=Y437*0.2,"At Risk","On Time")),"")</f>
        <v/>
      </c>
    </row>
    <row r="438">
      <c r="K438">
        <f>IF(J438="v4.0",L438,IF(J438="v3.1",M438,IF(J438="Both",L438,IF(AND(L438&lt;&gt;"",M438=""),L438,M438))))</f>
        <v/>
      </c>
      <c r="Y438">
        <f>IF(T438="P0",1,IF(T438="P1",3,IF(T438="P2",7,IF(T438="P3",30,IF(T438="P4",30,7)))))</f>
        <v/>
      </c>
      <c r="Z438">
        <f>IF(U438&lt;&gt;"",U438+Y438,"")</f>
        <v/>
      </c>
      <c r="AA438">
        <f>IF(Z438&lt;&gt;"",Z438-TODAY(),"")</f>
        <v/>
      </c>
      <c r="AB438">
        <f>IF(AA438&lt;&gt;"",IF(AA438&lt;0,"Overdue",IF(AA438&lt;=Y438*0.2,"At Risk","On Time")),"")</f>
        <v/>
      </c>
    </row>
    <row r="439">
      <c r="K439">
        <f>IF(J439="v4.0",L439,IF(J439="v3.1",M439,IF(J439="Both",L439,IF(AND(L439&lt;&gt;"",M439=""),L439,M439))))</f>
        <v/>
      </c>
      <c r="Y439">
        <f>IF(T439="P0",1,IF(T439="P1",3,IF(T439="P2",7,IF(T439="P3",30,IF(T439="P4",30,7)))))</f>
        <v/>
      </c>
      <c r="Z439">
        <f>IF(U439&lt;&gt;"",U439+Y439,"")</f>
        <v/>
      </c>
      <c r="AA439">
        <f>IF(Z439&lt;&gt;"",Z439-TODAY(),"")</f>
        <v/>
      </c>
      <c r="AB439">
        <f>IF(AA439&lt;&gt;"",IF(AA439&lt;0,"Overdue",IF(AA439&lt;=Y439*0.2,"At Risk","On Time")),"")</f>
        <v/>
      </c>
    </row>
    <row r="440">
      <c r="K440">
        <f>IF(J440="v4.0",L440,IF(J440="v3.1",M440,IF(J440="Both",L440,IF(AND(L440&lt;&gt;"",M440=""),L440,M440))))</f>
        <v/>
      </c>
      <c r="Y440">
        <f>IF(T440="P0",1,IF(T440="P1",3,IF(T440="P2",7,IF(T440="P3",30,IF(T440="P4",30,7)))))</f>
        <v/>
      </c>
      <c r="Z440">
        <f>IF(U440&lt;&gt;"",U440+Y440,"")</f>
        <v/>
      </c>
      <c r="AA440">
        <f>IF(Z440&lt;&gt;"",Z440-TODAY(),"")</f>
        <v/>
      </c>
      <c r="AB440">
        <f>IF(AA440&lt;&gt;"",IF(AA440&lt;0,"Overdue",IF(AA440&lt;=Y440*0.2,"At Risk","On Time")),"")</f>
        <v/>
      </c>
    </row>
    <row r="441">
      <c r="K441">
        <f>IF(J441="v4.0",L441,IF(J441="v3.1",M441,IF(J441="Both",L441,IF(AND(L441&lt;&gt;"",M441=""),L441,M441))))</f>
        <v/>
      </c>
      <c r="Y441">
        <f>IF(T441="P0",1,IF(T441="P1",3,IF(T441="P2",7,IF(T441="P3",30,IF(T441="P4",30,7)))))</f>
        <v/>
      </c>
      <c r="Z441">
        <f>IF(U441&lt;&gt;"",U441+Y441,"")</f>
        <v/>
      </c>
      <c r="AA441">
        <f>IF(Z441&lt;&gt;"",Z441-TODAY(),"")</f>
        <v/>
      </c>
      <c r="AB441">
        <f>IF(AA441&lt;&gt;"",IF(AA441&lt;0,"Overdue",IF(AA441&lt;=Y441*0.2,"At Risk","On Time")),"")</f>
        <v/>
      </c>
    </row>
    <row r="442">
      <c r="K442">
        <f>IF(J442="v4.0",L442,IF(J442="v3.1",M442,IF(J442="Both",L442,IF(AND(L442&lt;&gt;"",M442=""),L442,M442))))</f>
        <v/>
      </c>
      <c r="Y442">
        <f>IF(T442="P0",1,IF(T442="P1",3,IF(T442="P2",7,IF(T442="P3",30,IF(T442="P4",30,7)))))</f>
        <v/>
      </c>
      <c r="Z442">
        <f>IF(U442&lt;&gt;"",U442+Y442,"")</f>
        <v/>
      </c>
      <c r="AA442">
        <f>IF(Z442&lt;&gt;"",Z442-TODAY(),"")</f>
        <v/>
      </c>
      <c r="AB442">
        <f>IF(AA442&lt;&gt;"",IF(AA442&lt;0,"Overdue",IF(AA442&lt;=Y442*0.2,"At Risk","On Time")),"")</f>
        <v/>
      </c>
    </row>
    <row r="443">
      <c r="K443">
        <f>IF(J443="v4.0",L443,IF(J443="v3.1",M443,IF(J443="Both",L443,IF(AND(L443&lt;&gt;"",M443=""),L443,M443))))</f>
        <v/>
      </c>
      <c r="Y443">
        <f>IF(T443="P0",1,IF(T443="P1",3,IF(T443="P2",7,IF(T443="P3",30,IF(T443="P4",30,7)))))</f>
        <v/>
      </c>
      <c r="Z443">
        <f>IF(U443&lt;&gt;"",U443+Y443,"")</f>
        <v/>
      </c>
      <c r="AA443">
        <f>IF(Z443&lt;&gt;"",Z443-TODAY(),"")</f>
        <v/>
      </c>
      <c r="AB443">
        <f>IF(AA443&lt;&gt;"",IF(AA443&lt;0,"Overdue",IF(AA443&lt;=Y443*0.2,"At Risk","On Time")),"")</f>
        <v/>
      </c>
    </row>
    <row r="444">
      <c r="K444">
        <f>IF(J444="v4.0",L444,IF(J444="v3.1",M444,IF(J444="Both",L444,IF(AND(L444&lt;&gt;"",M444=""),L444,M444))))</f>
        <v/>
      </c>
      <c r="Y444">
        <f>IF(T444="P0",1,IF(T444="P1",3,IF(T444="P2",7,IF(T444="P3",30,IF(T444="P4",30,7)))))</f>
        <v/>
      </c>
      <c r="Z444">
        <f>IF(U444&lt;&gt;"",U444+Y444,"")</f>
        <v/>
      </c>
      <c r="AA444">
        <f>IF(Z444&lt;&gt;"",Z444-TODAY(),"")</f>
        <v/>
      </c>
      <c r="AB444">
        <f>IF(AA444&lt;&gt;"",IF(AA444&lt;0,"Overdue",IF(AA444&lt;=Y444*0.2,"At Risk","On Time")),"")</f>
        <v/>
      </c>
    </row>
    <row r="445">
      <c r="K445">
        <f>IF(J445="v4.0",L445,IF(J445="v3.1",M445,IF(J445="Both",L445,IF(AND(L445&lt;&gt;"",M445=""),L445,M445))))</f>
        <v/>
      </c>
      <c r="Y445">
        <f>IF(T445="P0",1,IF(T445="P1",3,IF(T445="P2",7,IF(T445="P3",30,IF(T445="P4",30,7)))))</f>
        <v/>
      </c>
      <c r="Z445">
        <f>IF(U445&lt;&gt;"",U445+Y445,"")</f>
        <v/>
      </c>
      <c r="AA445">
        <f>IF(Z445&lt;&gt;"",Z445-TODAY(),"")</f>
        <v/>
      </c>
      <c r="AB445">
        <f>IF(AA445&lt;&gt;"",IF(AA445&lt;0,"Overdue",IF(AA445&lt;=Y445*0.2,"At Risk","On Time")),"")</f>
        <v/>
      </c>
    </row>
    <row r="446">
      <c r="K446">
        <f>IF(J446="v4.0",L446,IF(J446="v3.1",M446,IF(J446="Both",L446,IF(AND(L446&lt;&gt;"",M446=""),L446,M446))))</f>
        <v/>
      </c>
      <c r="Y446">
        <f>IF(T446="P0",1,IF(T446="P1",3,IF(T446="P2",7,IF(T446="P3",30,IF(T446="P4",30,7)))))</f>
        <v/>
      </c>
      <c r="Z446">
        <f>IF(U446&lt;&gt;"",U446+Y446,"")</f>
        <v/>
      </c>
      <c r="AA446">
        <f>IF(Z446&lt;&gt;"",Z446-TODAY(),"")</f>
        <v/>
      </c>
      <c r="AB446">
        <f>IF(AA446&lt;&gt;"",IF(AA446&lt;0,"Overdue",IF(AA446&lt;=Y446*0.2,"At Risk","On Time")),"")</f>
        <v/>
      </c>
    </row>
    <row r="447">
      <c r="K447">
        <f>IF(J447="v4.0",L447,IF(J447="v3.1",M447,IF(J447="Both",L447,IF(AND(L447&lt;&gt;"",M447=""),L447,M447))))</f>
        <v/>
      </c>
      <c r="Y447">
        <f>IF(T447="P0",1,IF(T447="P1",3,IF(T447="P2",7,IF(T447="P3",30,IF(T447="P4",30,7)))))</f>
        <v/>
      </c>
      <c r="Z447">
        <f>IF(U447&lt;&gt;"",U447+Y447,"")</f>
        <v/>
      </c>
      <c r="AA447">
        <f>IF(Z447&lt;&gt;"",Z447-TODAY(),"")</f>
        <v/>
      </c>
      <c r="AB447">
        <f>IF(AA447&lt;&gt;"",IF(AA447&lt;0,"Overdue",IF(AA447&lt;=Y447*0.2,"At Risk","On Time")),"")</f>
        <v/>
      </c>
    </row>
    <row r="448">
      <c r="K448">
        <f>IF(J448="v4.0",L448,IF(J448="v3.1",M448,IF(J448="Both",L448,IF(AND(L448&lt;&gt;"",M448=""),L448,M448))))</f>
        <v/>
      </c>
      <c r="Y448">
        <f>IF(T448="P0",1,IF(T448="P1",3,IF(T448="P2",7,IF(T448="P3",30,IF(T448="P4",30,7)))))</f>
        <v/>
      </c>
      <c r="Z448">
        <f>IF(U448&lt;&gt;"",U448+Y448,"")</f>
        <v/>
      </c>
      <c r="AA448">
        <f>IF(Z448&lt;&gt;"",Z448-TODAY(),"")</f>
        <v/>
      </c>
      <c r="AB448">
        <f>IF(AA448&lt;&gt;"",IF(AA448&lt;0,"Overdue",IF(AA448&lt;=Y448*0.2,"At Risk","On Time")),"")</f>
        <v/>
      </c>
    </row>
    <row r="449">
      <c r="K449">
        <f>IF(J449="v4.0",L449,IF(J449="v3.1",M449,IF(J449="Both",L449,IF(AND(L449&lt;&gt;"",M449=""),L449,M449))))</f>
        <v/>
      </c>
      <c r="Y449">
        <f>IF(T449="P0",1,IF(T449="P1",3,IF(T449="P2",7,IF(T449="P3",30,IF(T449="P4",30,7)))))</f>
        <v/>
      </c>
      <c r="Z449">
        <f>IF(U449&lt;&gt;"",U449+Y449,"")</f>
        <v/>
      </c>
      <c r="AA449">
        <f>IF(Z449&lt;&gt;"",Z449-TODAY(),"")</f>
        <v/>
      </c>
      <c r="AB449">
        <f>IF(AA449&lt;&gt;"",IF(AA449&lt;0,"Overdue",IF(AA449&lt;=Y449*0.2,"At Risk","On Time")),"")</f>
        <v/>
      </c>
    </row>
    <row r="450">
      <c r="K450">
        <f>IF(J450="v4.0",L450,IF(J450="v3.1",M450,IF(J450="Both",L450,IF(AND(L450&lt;&gt;"",M450=""),L450,M450))))</f>
        <v/>
      </c>
      <c r="Y450">
        <f>IF(T450="P0",1,IF(T450="P1",3,IF(T450="P2",7,IF(T450="P3",30,IF(T450="P4",30,7)))))</f>
        <v/>
      </c>
      <c r="Z450">
        <f>IF(U450&lt;&gt;"",U450+Y450,"")</f>
        <v/>
      </c>
      <c r="AA450">
        <f>IF(Z450&lt;&gt;"",Z450-TODAY(),"")</f>
        <v/>
      </c>
      <c r="AB450">
        <f>IF(AA450&lt;&gt;"",IF(AA450&lt;0,"Overdue",IF(AA450&lt;=Y450*0.2,"At Risk","On Time")),"")</f>
        <v/>
      </c>
    </row>
    <row r="451">
      <c r="K451">
        <f>IF(J451="v4.0",L451,IF(J451="v3.1",M451,IF(J451="Both",L451,IF(AND(L451&lt;&gt;"",M451=""),L451,M451))))</f>
        <v/>
      </c>
      <c r="Y451">
        <f>IF(T451="P0",1,IF(T451="P1",3,IF(T451="P2",7,IF(T451="P3",30,IF(T451="P4",30,7)))))</f>
        <v/>
      </c>
      <c r="Z451">
        <f>IF(U451&lt;&gt;"",U451+Y451,"")</f>
        <v/>
      </c>
      <c r="AA451">
        <f>IF(Z451&lt;&gt;"",Z451-TODAY(),"")</f>
        <v/>
      </c>
      <c r="AB451">
        <f>IF(AA451&lt;&gt;"",IF(AA451&lt;0,"Overdue",IF(AA451&lt;=Y451*0.2,"At Risk","On Time")),"")</f>
        <v/>
      </c>
    </row>
    <row r="452">
      <c r="K452">
        <f>IF(J452="v4.0",L452,IF(J452="v3.1",M452,IF(J452="Both",L452,IF(AND(L452&lt;&gt;"",M452=""),L452,M452))))</f>
        <v/>
      </c>
      <c r="Y452">
        <f>IF(T452="P0",1,IF(T452="P1",3,IF(T452="P2",7,IF(T452="P3",30,IF(T452="P4",30,7)))))</f>
        <v/>
      </c>
      <c r="Z452">
        <f>IF(U452&lt;&gt;"",U452+Y452,"")</f>
        <v/>
      </c>
      <c r="AA452">
        <f>IF(Z452&lt;&gt;"",Z452-TODAY(),"")</f>
        <v/>
      </c>
      <c r="AB452">
        <f>IF(AA452&lt;&gt;"",IF(AA452&lt;0,"Overdue",IF(AA452&lt;=Y452*0.2,"At Risk","On Time")),"")</f>
        <v/>
      </c>
    </row>
    <row r="453">
      <c r="K453">
        <f>IF(J453="v4.0",L453,IF(J453="v3.1",M453,IF(J453="Both",L453,IF(AND(L453&lt;&gt;"",M453=""),L453,M453))))</f>
        <v/>
      </c>
      <c r="Y453">
        <f>IF(T453="P0",1,IF(T453="P1",3,IF(T453="P2",7,IF(T453="P3",30,IF(T453="P4",30,7)))))</f>
        <v/>
      </c>
      <c r="Z453">
        <f>IF(U453&lt;&gt;"",U453+Y453,"")</f>
        <v/>
      </c>
      <c r="AA453">
        <f>IF(Z453&lt;&gt;"",Z453-TODAY(),"")</f>
        <v/>
      </c>
      <c r="AB453">
        <f>IF(AA453&lt;&gt;"",IF(AA453&lt;0,"Overdue",IF(AA453&lt;=Y453*0.2,"At Risk","On Time")),"")</f>
        <v/>
      </c>
    </row>
    <row r="454">
      <c r="K454">
        <f>IF(J454="v4.0",L454,IF(J454="v3.1",M454,IF(J454="Both",L454,IF(AND(L454&lt;&gt;"",M454=""),L454,M454))))</f>
        <v/>
      </c>
      <c r="Y454">
        <f>IF(T454="P0",1,IF(T454="P1",3,IF(T454="P2",7,IF(T454="P3",30,IF(T454="P4",30,7)))))</f>
        <v/>
      </c>
      <c r="Z454">
        <f>IF(U454&lt;&gt;"",U454+Y454,"")</f>
        <v/>
      </c>
      <c r="AA454">
        <f>IF(Z454&lt;&gt;"",Z454-TODAY(),"")</f>
        <v/>
      </c>
      <c r="AB454">
        <f>IF(AA454&lt;&gt;"",IF(AA454&lt;0,"Overdue",IF(AA454&lt;=Y454*0.2,"At Risk","On Time")),"")</f>
        <v/>
      </c>
    </row>
    <row r="455">
      <c r="K455">
        <f>IF(J455="v4.0",L455,IF(J455="v3.1",M455,IF(J455="Both",L455,IF(AND(L455&lt;&gt;"",M455=""),L455,M455))))</f>
        <v/>
      </c>
      <c r="Y455">
        <f>IF(T455="P0",1,IF(T455="P1",3,IF(T455="P2",7,IF(T455="P3",30,IF(T455="P4",30,7)))))</f>
        <v/>
      </c>
      <c r="Z455">
        <f>IF(U455&lt;&gt;"",U455+Y455,"")</f>
        <v/>
      </c>
      <c r="AA455">
        <f>IF(Z455&lt;&gt;"",Z455-TODAY(),"")</f>
        <v/>
      </c>
      <c r="AB455">
        <f>IF(AA455&lt;&gt;"",IF(AA455&lt;0,"Overdue",IF(AA455&lt;=Y455*0.2,"At Risk","On Time")),"")</f>
        <v/>
      </c>
    </row>
    <row r="456">
      <c r="K456">
        <f>IF(J456="v4.0",L456,IF(J456="v3.1",M456,IF(J456="Both",L456,IF(AND(L456&lt;&gt;"",M456=""),L456,M456))))</f>
        <v/>
      </c>
      <c r="Y456">
        <f>IF(T456="P0",1,IF(T456="P1",3,IF(T456="P2",7,IF(T456="P3",30,IF(T456="P4",30,7)))))</f>
        <v/>
      </c>
      <c r="Z456">
        <f>IF(U456&lt;&gt;"",U456+Y456,"")</f>
        <v/>
      </c>
      <c r="AA456">
        <f>IF(Z456&lt;&gt;"",Z456-TODAY(),"")</f>
        <v/>
      </c>
      <c r="AB456">
        <f>IF(AA456&lt;&gt;"",IF(AA456&lt;0,"Overdue",IF(AA456&lt;=Y456*0.2,"At Risk","On Time")),"")</f>
        <v/>
      </c>
    </row>
    <row r="457">
      <c r="K457">
        <f>IF(J457="v4.0",L457,IF(J457="v3.1",M457,IF(J457="Both",L457,IF(AND(L457&lt;&gt;"",M457=""),L457,M457))))</f>
        <v/>
      </c>
      <c r="Y457">
        <f>IF(T457="P0",1,IF(T457="P1",3,IF(T457="P2",7,IF(T457="P3",30,IF(T457="P4",30,7)))))</f>
        <v/>
      </c>
      <c r="Z457">
        <f>IF(U457&lt;&gt;"",U457+Y457,"")</f>
        <v/>
      </c>
      <c r="AA457">
        <f>IF(Z457&lt;&gt;"",Z457-TODAY(),"")</f>
        <v/>
      </c>
      <c r="AB457">
        <f>IF(AA457&lt;&gt;"",IF(AA457&lt;0,"Overdue",IF(AA457&lt;=Y457*0.2,"At Risk","On Time")),"")</f>
        <v/>
      </c>
    </row>
    <row r="458">
      <c r="K458">
        <f>IF(J458="v4.0",L458,IF(J458="v3.1",M458,IF(J458="Both",L458,IF(AND(L458&lt;&gt;"",M458=""),L458,M458))))</f>
        <v/>
      </c>
      <c r="Y458">
        <f>IF(T458="P0",1,IF(T458="P1",3,IF(T458="P2",7,IF(T458="P3",30,IF(T458="P4",30,7)))))</f>
        <v/>
      </c>
      <c r="Z458">
        <f>IF(U458&lt;&gt;"",U458+Y458,"")</f>
        <v/>
      </c>
      <c r="AA458">
        <f>IF(Z458&lt;&gt;"",Z458-TODAY(),"")</f>
        <v/>
      </c>
      <c r="AB458">
        <f>IF(AA458&lt;&gt;"",IF(AA458&lt;0,"Overdue",IF(AA458&lt;=Y458*0.2,"At Risk","On Time")),"")</f>
        <v/>
      </c>
    </row>
    <row r="459">
      <c r="K459">
        <f>IF(J459="v4.0",L459,IF(J459="v3.1",M459,IF(J459="Both",L459,IF(AND(L459&lt;&gt;"",M459=""),L459,M459))))</f>
        <v/>
      </c>
      <c r="Y459">
        <f>IF(T459="P0",1,IF(T459="P1",3,IF(T459="P2",7,IF(T459="P3",30,IF(T459="P4",30,7)))))</f>
        <v/>
      </c>
      <c r="Z459">
        <f>IF(U459&lt;&gt;"",U459+Y459,"")</f>
        <v/>
      </c>
      <c r="AA459">
        <f>IF(Z459&lt;&gt;"",Z459-TODAY(),"")</f>
        <v/>
      </c>
      <c r="AB459">
        <f>IF(AA459&lt;&gt;"",IF(AA459&lt;0,"Overdue",IF(AA459&lt;=Y459*0.2,"At Risk","On Time")),"")</f>
        <v/>
      </c>
    </row>
    <row r="460">
      <c r="K460">
        <f>IF(J460="v4.0",L460,IF(J460="v3.1",M460,IF(J460="Both",L460,IF(AND(L460&lt;&gt;"",M460=""),L460,M460))))</f>
        <v/>
      </c>
      <c r="Y460">
        <f>IF(T460="P0",1,IF(T460="P1",3,IF(T460="P2",7,IF(T460="P3",30,IF(T460="P4",30,7)))))</f>
        <v/>
      </c>
      <c r="Z460">
        <f>IF(U460&lt;&gt;"",U460+Y460,"")</f>
        <v/>
      </c>
      <c r="AA460">
        <f>IF(Z460&lt;&gt;"",Z460-TODAY(),"")</f>
        <v/>
      </c>
      <c r="AB460">
        <f>IF(AA460&lt;&gt;"",IF(AA460&lt;0,"Overdue",IF(AA460&lt;=Y460*0.2,"At Risk","On Time")),"")</f>
        <v/>
      </c>
    </row>
    <row r="461">
      <c r="K461">
        <f>IF(J461="v4.0",L461,IF(J461="v3.1",M461,IF(J461="Both",L461,IF(AND(L461&lt;&gt;"",M461=""),L461,M461))))</f>
        <v/>
      </c>
      <c r="Y461">
        <f>IF(T461="P0",1,IF(T461="P1",3,IF(T461="P2",7,IF(T461="P3",30,IF(T461="P4",30,7)))))</f>
        <v/>
      </c>
      <c r="Z461">
        <f>IF(U461&lt;&gt;"",U461+Y461,"")</f>
        <v/>
      </c>
      <c r="AA461">
        <f>IF(Z461&lt;&gt;"",Z461-TODAY(),"")</f>
        <v/>
      </c>
      <c r="AB461">
        <f>IF(AA461&lt;&gt;"",IF(AA461&lt;0,"Overdue",IF(AA461&lt;=Y461*0.2,"At Risk","On Time")),"")</f>
        <v/>
      </c>
    </row>
    <row r="462">
      <c r="K462">
        <f>IF(J462="v4.0",L462,IF(J462="v3.1",M462,IF(J462="Both",L462,IF(AND(L462&lt;&gt;"",M462=""),L462,M462))))</f>
        <v/>
      </c>
      <c r="Y462">
        <f>IF(T462="P0",1,IF(T462="P1",3,IF(T462="P2",7,IF(T462="P3",30,IF(T462="P4",30,7)))))</f>
        <v/>
      </c>
      <c r="Z462">
        <f>IF(U462&lt;&gt;"",U462+Y462,"")</f>
        <v/>
      </c>
      <c r="AA462">
        <f>IF(Z462&lt;&gt;"",Z462-TODAY(),"")</f>
        <v/>
      </c>
      <c r="AB462">
        <f>IF(AA462&lt;&gt;"",IF(AA462&lt;0,"Overdue",IF(AA462&lt;=Y462*0.2,"At Risk","On Time")),"")</f>
        <v/>
      </c>
    </row>
    <row r="463">
      <c r="K463">
        <f>IF(J463="v4.0",L463,IF(J463="v3.1",M463,IF(J463="Both",L463,IF(AND(L463&lt;&gt;"",M463=""),L463,M463))))</f>
        <v/>
      </c>
      <c r="Y463">
        <f>IF(T463="P0",1,IF(T463="P1",3,IF(T463="P2",7,IF(T463="P3",30,IF(T463="P4",30,7)))))</f>
        <v/>
      </c>
      <c r="Z463">
        <f>IF(U463&lt;&gt;"",U463+Y463,"")</f>
        <v/>
      </c>
      <c r="AA463">
        <f>IF(Z463&lt;&gt;"",Z463-TODAY(),"")</f>
        <v/>
      </c>
      <c r="AB463">
        <f>IF(AA463&lt;&gt;"",IF(AA463&lt;0,"Overdue",IF(AA463&lt;=Y463*0.2,"At Risk","On Time")),"")</f>
        <v/>
      </c>
    </row>
    <row r="464">
      <c r="K464">
        <f>IF(J464="v4.0",L464,IF(J464="v3.1",M464,IF(J464="Both",L464,IF(AND(L464&lt;&gt;"",M464=""),L464,M464))))</f>
        <v/>
      </c>
      <c r="Y464">
        <f>IF(T464="P0",1,IF(T464="P1",3,IF(T464="P2",7,IF(T464="P3",30,IF(T464="P4",30,7)))))</f>
        <v/>
      </c>
      <c r="Z464">
        <f>IF(U464&lt;&gt;"",U464+Y464,"")</f>
        <v/>
      </c>
      <c r="AA464">
        <f>IF(Z464&lt;&gt;"",Z464-TODAY(),"")</f>
        <v/>
      </c>
      <c r="AB464">
        <f>IF(AA464&lt;&gt;"",IF(AA464&lt;0,"Overdue",IF(AA464&lt;=Y464*0.2,"At Risk","On Time")),"")</f>
        <v/>
      </c>
    </row>
    <row r="465">
      <c r="K465">
        <f>IF(J465="v4.0",L465,IF(J465="v3.1",M465,IF(J465="Both",L465,IF(AND(L465&lt;&gt;"",M465=""),L465,M465))))</f>
        <v/>
      </c>
      <c r="Y465">
        <f>IF(T465="P0",1,IF(T465="P1",3,IF(T465="P2",7,IF(T465="P3",30,IF(T465="P4",30,7)))))</f>
        <v/>
      </c>
      <c r="Z465">
        <f>IF(U465&lt;&gt;"",U465+Y465,"")</f>
        <v/>
      </c>
      <c r="AA465">
        <f>IF(Z465&lt;&gt;"",Z465-TODAY(),"")</f>
        <v/>
      </c>
      <c r="AB465">
        <f>IF(AA465&lt;&gt;"",IF(AA465&lt;0,"Overdue",IF(AA465&lt;=Y465*0.2,"At Risk","On Time")),"")</f>
        <v/>
      </c>
    </row>
    <row r="466">
      <c r="K466">
        <f>IF(J466="v4.0",L466,IF(J466="v3.1",M466,IF(J466="Both",L466,IF(AND(L466&lt;&gt;"",M466=""),L466,M466))))</f>
        <v/>
      </c>
      <c r="Y466">
        <f>IF(T466="P0",1,IF(T466="P1",3,IF(T466="P2",7,IF(T466="P3",30,IF(T466="P4",30,7)))))</f>
        <v/>
      </c>
      <c r="Z466">
        <f>IF(U466&lt;&gt;"",U466+Y466,"")</f>
        <v/>
      </c>
      <c r="AA466">
        <f>IF(Z466&lt;&gt;"",Z466-TODAY(),"")</f>
        <v/>
      </c>
      <c r="AB466">
        <f>IF(AA466&lt;&gt;"",IF(AA466&lt;0,"Overdue",IF(AA466&lt;=Y466*0.2,"At Risk","On Time")),"")</f>
        <v/>
      </c>
    </row>
    <row r="467">
      <c r="K467">
        <f>IF(J467="v4.0",L467,IF(J467="v3.1",M467,IF(J467="Both",L467,IF(AND(L467&lt;&gt;"",M467=""),L467,M467))))</f>
        <v/>
      </c>
      <c r="Y467">
        <f>IF(T467="P0",1,IF(T467="P1",3,IF(T467="P2",7,IF(T467="P3",30,IF(T467="P4",30,7)))))</f>
        <v/>
      </c>
      <c r="Z467">
        <f>IF(U467&lt;&gt;"",U467+Y467,"")</f>
        <v/>
      </c>
      <c r="AA467">
        <f>IF(Z467&lt;&gt;"",Z467-TODAY(),"")</f>
        <v/>
      </c>
      <c r="AB467">
        <f>IF(AA467&lt;&gt;"",IF(AA467&lt;0,"Overdue",IF(AA467&lt;=Y467*0.2,"At Risk","On Time")),"")</f>
        <v/>
      </c>
    </row>
    <row r="468">
      <c r="K468">
        <f>IF(J468="v4.0",L468,IF(J468="v3.1",M468,IF(J468="Both",L468,IF(AND(L468&lt;&gt;"",M468=""),L468,M468))))</f>
        <v/>
      </c>
      <c r="Y468">
        <f>IF(T468="P0",1,IF(T468="P1",3,IF(T468="P2",7,IF(T468="P3",30,IF(T468="P4",30,7)))))</f>
        <v/>
      </c>
      <c r="Z468">
        <f>IF(U468&lt;&gt;"",U468+Y468,"")</f>
        <v/>
      </c>
      <c r="AA468">
        <f>IF(Z468&lt;&gt;"",Z468-TODAY(),"")</f>
        <v/>
      </c>
      <c r="AB468">
        <f>IF(AA468&lt;&gt;"",IF(AA468&lt;0,"Overdue",IF(AA468&lt;=Y468*0.2,"At Risk","On Time")),"")</f>
        <v/>
      </c>
    </row>
    <row r="469">
      <c r="K469">
        <f>IF(J469="v4.0",L469,IF(J469="v3.1",M469,IF(J469="Both",L469,IF(AND(L469&lt;&gt;"",M469=""),L469,M469))))</f>
        <v/>
      </c>
      <c r="Y469">
        <f>IF(T469="P0",1,IF(T469="P1",3,IF(T469="P2",7,IF(T469="P3",30,IF(T469="P4",30,7)))))</f>
        <v/>
      </c>
      <c r="Z469">
        <f>IF(U469&lt;&gt;"",U469+Y469,"")</f>
        <v/>
      </c>
      <c r="AA469">
        <f>IF(Z469&lt;&gt;"",Z469-TODAY(),"")</f>
        <v/>
      </c>
      <c r="AB469">
        <f>IF(AA469&lt;&gt;"",IF(AA469&lt;0,"Overdue",IF(AA469&lt;=Y469*0.2,"At Risk","On Time")),"")</f>
        <v/>
      </c>
    </row>
    <row r="470">
      <c r="K470">
        <f>IF(J470="v4.0",L470,IF(J470="v3.1",M470,IF(J470="Both",L470,IF(AND(L470&lt;&gt;"",M470=""),L470,M470))))</f>
        <v/>
      </c>
      <c r="Y470">
        <f>IF(T470="P0",1,IF(T470="P1",3,IF(T470="P2",7,IF(T470="P3",30,IF(T470="P4",30,7)))))</f>
        <v/>
      </c>
      <c r="Z470">
        <f>IF(U470&lt;&gt;"",U470+Y470,"")</f>
        <v/>
      </c>
      <c r="AA470">
        <f>IF(Z470&lt;&gt;"",Z470-TODAY(),"")</f>
        <v/>
      </c>
      <c r="AB470">
        <f>IF(AA470&lt;&gt;"",IF(AA470&lt;0,"Overdue",IF(AA470&lt;=Y470*0.2,"At Risk","On Time")),"")</f>
        <v/>
      </c>
    </row>
    <row r="471">
      <c r="K471">
        <f>IF(J471="v4.0",L471,IF(J471="v3.1",M471,IF(J471="Both",L471,IF(AND(L471&lt;&gt;"",M471=""),L471,M471))))</f>
        <v/>
      </c>
      <c r="Y471">
        <f>IF(T471="P0",1,IF(T471="P1",3,IF(T471="P2",7,IF(T471="P3",30,IF(T471="P4",30,7)))))</f>
        <v/>
      </c>
      <c r="Z471">
        <f>IF(U471&lt;&gt;"",U471+Y471,"")</f>
        <v/>
      </c>
      <c r="AA471">
        <f>IF(Z471&lt;&gt;"",Z471-TODAY(),"")</f>
        <v/>
      </c>
      <c r="AB471">
        <f>IF(AA471&lt;&gt;"",IF(AA471&lt;0,"Overdue",IF(AA471&lt;=Y471*0.2,"At Risk","On Time")),"")</f>
        <v/>
      </c>
    </row>
    <row r="472">
      <c r="K472">
        <f>IF(J472="v4.0",L472,IF(J472="v3.1",M472,IF(J472="Both",L472,IF(AND(L472&lt;&gt;"",M472=""),L472,M472))))</f>
        <v/>
      </c>
      <c r="Y472">
        <f>IF(T472="P0",1,IF(T472="P1",3,IF(T472="P2",7,IF(T472="P3",30,IF(T472="P4",30,7)))))</f>
        <v/>
      </c>
      <c r="Z472">
        <f>IF(U472&lt;&gt;"",U472+Y472,"")</f>
        <v/>
      </c>
      <c r="AA472">
        <f>IF(Z472&lt;&gt;"",Z472-TODAY(),"")</f>
        <v/>
      </c>
      <c r="AB472">
        <f>IF(AA472&lt;&gt;"",IF(AA472&lt;0,"Overdue",IF(AA472&lt;=Y472*0.2,"At Risk","On Time")),"")</f>
        <v/>
      </c>
    </row>
    <row r="473">
      <c r="K473">
        <f>IF(J473="v4.0",L473,IF(J473="v3.1",M473,IF(J473="Both",L473,IF(AND(L473&lt;&gt;"",M473=""),L473,M473))))</f>
        <v/>
      </c>
      <c r="Y473">
        <f>IF(T473="P0",1,IF(T473="P1",3,IF(T473="P2",7,IF(T473="P3",30,IF(T473="P4",30,7)))))</f>
        <v/>
      </c>
      <c r="Z473">
        <f>IF(U473&lt;&gt;"",U473+Y473,"")</f>
        <v/>
      </c>
      <c r="AA473">
        <f>IF(Z473&lt;&gt;"",Z473-TODAY(),"")</f>
        <v/>
      </c>
      <c r="AB473">
        <f>IF(AA473&lt;&gt;"",IF(AA473&lt;0,"Overdue",IF(AA473&lt;=Y473*0.2,"At Risk","On Time")),"")</f>
        <v/>
      </c>
    </row>
    <row r="474">
      <c r="K474">
        <f>IF(J474="v4.0",L474,IF(J474="v3.1",M474,IF(J474="Both",L474,IF(AND(L474&lt;&gt;"",M474=""),L474,M474))))</f>
        <v/>
      </c>
      <c r="Y474">
        <f>IF(T474="P0",1,IF(T474="P1",3,IF(T474="P2",7,IF(T474="P3",30,IF(T474="P4",30,7)))))</f>
        <v/>
      </c>
      <c r="Z474">
        <f>IF(U474&lt;&gt;"",U474+Y474,"")</f>
        <v/>
      </c>
      <c r="AA474">
        <f>IF(Z474&lt;&gt;"",Z474-TODAY(),"")</f>
        <v/>
      </c>
      <c r="AB474">
        <f>IF(AA474&lt;&gt;"",IF(AA474&lt;0,"Overdue",IF(AA474&lt;=Y474*0.2,"At Risk","On Time")),"")</f>
        <v/>
      </c>
    </row>
    <row r="475">
      <c r="K475">
        <f>IF(J475="v4.0",L475,IF(J475="v3.1",M475,IF(J475="Both",L475,IF(AND(L475&lt;&gt;"",M475=""),L475,M475))))</f>
        <v/>
      </c>
      <c r="Y475">
        <f>IF(T475="P0",1,IF(T475="P1",3,IF(T475="P2",7,IF(T475="P3",30,IF(T475="P4",30,7)))))</f>
        <v/>
      </c>
      <c r="Z475">
        <f>IF(U475&lt;&gt;"",U475+Y475,"")</f>
        <v/>
      </c>
      <c r="AA475">
        <f>IF(Z475&lt;&gt;"",Z475-TODAY(),"")</f>
        <v/>
      </c>
      <c r="AB475">
        <f>IF(AA475&lt;&gt;"",IF(AA475&lt;0,"Overdue",IF(AA475&lt;=Y475*0.2,"At Risk","On Time")),"")</f>
        <v/>
      </c>
    </row>
    <row r="476">
      <c r="K476">
        <f>IF(J476="v4.0",L476,IF(J476="v3.1",M476,IF(J476="Both",L476,IF(AND(L476&lt;&gt;"",M476=""),L476,M476))))</f>
        <v/>
      </c>
      <c r="Y476">
        <f>IF(T476="P0",1,IF(T476="P1",3,IF(T476="P2",7,IF(T476="P3",30,IF(T476="P4",30,7)))))</f>
        <v/>
      </c>
      <c r="Z476">
        <f>IF(U476&lt;&gt;"",U476+Y476,"")</f>
        <v/>
      </c>
      <c r="AA476">
        <f>IF(Z476&lt;&gt;"",Z476-TODAY(),"")</f>
        <v/>
      </c>
      <c r="AB476">
        <f>IF(AA476&lt;&gt;"",IF(AA476&lt;0,"Overdue",IF(AA476&lt;=Y476*0.2,"At Risk","On Time")),"")</f>
        <v/>
      </c>
    </row>
    <row r="477">
      <c r="K477">
        <f>IF(J477="v4.0",L477,IF(J477="v3.1",M477,IF(J477="Both",L477,IF(AND(L477&lt;&gt;"",M477=""),L477,M477))))</f>
        <v/>
      </c>
      <c r="Y477">
        <f>IF(T477="P0",1,IF(T477="P1",3,IF(T477="P2",7,IF(T477="P3",30,IF(T477="P4",30,7)))))</f>
        <v/>
      </c>
      <c r="Z477">
        <f>IF(U477&lt;&gt;"",U477+Y477,"")</f>
        <v/>
      </c>
      <c r="AA477">
        <f>IF(Z477&lt;&gt;"",Z477-TODAY(),"")</f>
        <v/>
      </c>
      <c r="AB477">
        <f>IF(AA477&lt;&gt;"",IF(AA477&lt;0,"Overdue",IF(AA477&lt;=Y477*0.2,"At Risk","On Time")),"")</f>
        <v/>
      </c>
    </row>
    <row r="478">
      <c r="K478">
        <f>IF(J478="v4.0",L478,IF(J478="v3.1",M478,IF(J478="Both",L478,IF(AND(L478&lt;&gt;"",M478=""),L478,M478))))</f>
        <v/>
      </c>
      <c r="Y478">
        <f>IF(T478="P0",1,IF(T478="P1",3,IF(T478="P2",7,IF(T478="P3",30,IF(T478="P4",30,7)))))</f>
        <v/>
      </c>
      <c r="Z478">
        <f>IF(U478&lt;&gt;"",U478+Y478,"")</f>
        <v/>
      </c>
      <c r="AA478">
        <f>IF(Z478&lt;&gt;"",Z478-TODAY(),"")</f>
        <v/>
      </c>
      <c r="AB478">
        <f>IF(AA478&lt;&gt;"",IF(AA478&lt;0,"Overdue",IF(AA478&lt;=Y478*0.2,"At Risk","On Time")),"")</f>
        <v/>
      </c>
    </row>
    <row r="479">
      <c r="K479">
        <f>IF(J479="v4.0",L479,IF(J479="v3.1",M479,IF(J479="Both",L479,IF(AND(L479&lt;&gt;"",M479=""),L479,M479))))</f>
        <v/>
      </c>
      <c r="Y479">
        <f>IF(T479="P0",1,IF(T479="P1",3,IF(T479="P2",7,IF(T479="P3",30,IF(T479="P4",30,7)))))</f>
        <v/>
      </c>
      <c r="Z479">
        <f>IF(U479&lt;&gt;"",U479+Y479,"")</f>
        <v/>
      </c>
      <c r="AA479">
        <f>IF(Z479&lt;&gt;"",Z479-TODAY(),"")</f>
        <v/>
      </c>
      <c r="AB479">
        <f>IF(AA479&lt;&gt;"",IF(AA479&lt;0,"Overdue",IF(AA479&lt;=Y479*0.2,"At Risk","On Time")),"")</f>
        <v/>
      </c>
    </row>
    <row r="480">
      <c r="K480">
        <f>IF(J480="v4.0",L480,IF(J480="v3.1",M480,IF(J480="Both",L480,IF(AND(L480&lt;&gt;"",M480=""),L480,M480))))</f>
        <v/>
      </c>
      <c r="Y480">
        <f>IF(T480="P0",1,IF(T480="P1",3,IF(T480="P2",7,IF(T480="P3",30,IF(T480="P4",30,7)))))</f>
        <v/>
      </c>
      <c r="Z480">
        <f>IF(U480&lt;&gt;"",U480+Y480,"")</f>
        <v/>
      </c>
      <c r="AA480">
        <f>IF(Z480&lt;&gt;"",Z480-TODAY(),"")</f>
        <v/>
      </c>
      <c r="AB480">
        <f>IF(AA480&lt;&gt;"",IF(AA480&lt;0,"Overdue",IF(AA480&lt;=Y480*0.2,"At Risk","On Time")),"")</f>
        <v/>
      </c>
    </row>
    <row r="481">
      <c r="K481">
        <f>IF(J481="v4.0",L481,IF(J481="v3.1",M481,IF(J481="Both",L481,IF(AND(L481&lt;&gt;"",M481=""),L481,M481))))</f>
        <v/>
      </c>
      <c r="Y481">
        <f>IF(T481="P0",1,IF(T481="P1",3,IF(T481="P2",7,IF(T481="P3",30,IF(T481="P4",30,7)))))</f>
        <v/>
      </c>
      <c r="Z481">
        <f>IF(U481&lt;&gt;"",U481+Y481,"")</f>
        <v/>
      </c>
      <c r="AA481">
        <f>IF(Z481&lt;&gt;"",Z481-TODAY(),"")</f>
        <v/>
      </c>
      <c r="AB481">
        <f>IF(AA481&lt;&gt;"",IF(AA481&lt;0,"Overdue",IF(AA481&lt;=Y481*0.2,"At Risk","On Time")),"")</f>
        <v/>
      </c>
    </row>
    <row r="482">
      <c r="K482">
        <f>IF(J482="v4.0",L482,IF(J482="v3.1",M482,IF(J482="Both",L482,IF(AND(L482&lt;&gt;"",M482=""),L482,M482))))</f>
        <v/>
      </c>
      <c r="Y482">
        <f>IF(T482="P0",1,IF(T482="P1",3,IF(T482="P2",7,IF(T482="P3",30,IF(T482="P4",30,7)))))</f>
        <v/>
      </c>
      <c r="Z482">
        <f>IF(U482&lt;&gt;"",U482+Y482,"")</f>
        <v/>
      </c>
      <c r="AA482">
        <f>IF(Z482&lt;&gt;"",Z482-TODAY(),"")</f>
        <v/>
      </c>
      <c r="AB482">
        <f>IF(AA482&lt;&gt;"",IF(AA482&lt;0,"Overdue",IF(AA482&lt;=Y482*0.2,"At Risk","On Time")),"")</f>
        <v/>
      </c>
    </row>
    <row r="483">
      <c r="K483">
        <f>IF(J483="v4.0",L483,IF(J483="v3.1",M483,IF(J483="Both",L483,IF(AND(L483&lt;&gt;"",M483=""),L483,M483))))</f>
        <v/>
      </c>
      <c r="Y483">
        <f>IF(T483="P0",1,IF(T483="P1",3,IF(T483="P2",7,IF(T483="P3",30,IF(T483="P4",30,7)))))</f>
        <v/>
      </c>
      <c r="Z483">
        <f>IF(U483&lt;&gt;"",U483+Y483,"")</f>
        <v/>
      </c>
      <c r="AA483">
        <f>IF(Z483&lt;&gt;"",Z483-TODAY(),"")</f>
        <v/>
      </c>
      <c r="AB483">
        <f>IF(AA483&lt;&gt;"",IF(AA483&lt;0,"Overdue",IF(AA483&lt;=Y483*0.2,"At Risk","On Time")),"")</f>
        <v/>
      </c>
    </row>
    <row r="484">
      <c r="K484">
        <f>IF(J484="v4.0",L484,IF(J484="v3.1",M484,IF(J484="Both",L484,IF(AND(L484&lt;&gt;"",M484=""),L484,M484))))</f>
        <v/>
      </c>
      <c r="Y484">
        <f>IF(T484="P0",1,IF(T484="P1",3,IF(T484="P2",7,IF(T484="P3",30,IF(T484="P4",30,7)))))</f>
        <v/>
      </c>
      <c r="Z484">
        <f>IF(U484&lt;&gt;"",U484+Y484,"")</f>
        <v/>
      </c>
      <c r="AA484">
        <f>IF(Z484&lt;&gt;"",Z484-TODAY(),"")</f>
        <v/>
      </c>
      <c r="AB484">
        <f>IF(AA484&lt;&gt;"",IF(AA484&lt;0,"Overdue",IF(AA484&lt;=Y484*0.2,"At Risk","On Time")),"")</f>
        <v/>
      </c>
    </row>
    <row r="485">
      <c r="K485">
        <f>IF(J485="v4.0",L485,IF(J485="v3.1",M485,IF(J485="Both",L485,IF(AND(L485&lt;&gt;"",M485=""),L485,M485))))</f>
        <v/>
      </c>
      <c r="Y485">
        <f>IF(T485="P0",1,IF(T485="P1",3,IF(T485="P2",7,IF(T485="P3",30,IF(T485="P4",30,7)))))</f>
        <v/>
      </c>
      <c r="Z485">
        <f>IF(U485&lt;&gt;"",U485+Y485,"")</f>
        <v/>
      </c>
      <c r="AA485">
        <f>IF(Z485&lt;&gt;"",Z485-TODAY(),"")</f>
        <v/>
      </c>
      <c r="AB485">
        <f>IF(AA485&lt;&gt;"",IF(AA485&lt;0,"Overdue",IF(AA485&lt;=Y485*0.2,"At Risk","On Time")),"")</f>
        <v/>
      </c>
    </row>
    <row r="486">
      <c r="K486">
        <f>IF(J486="v4.0",L486,IF(J486="v3.1",M486,IF(J486="Both",L486,IF(AND(L486&lt;&gt;"",M486=""),L486,M486))))</f>
        <v/>
      </c>
      <c r="Y486">
        <f>IF(T486="P0",1,IF(T486="P1",3,IF(T486="P2",7,IF(T486="P3",30,IF(T486="P4",30,7)))))</f>
        <v/>
      </c>
      <c r="Z486">
        <f>IF(U486&lt;&gt;"",U486+Y486,"")</f>
        <v/>
      </c>
      <c r="AA486">
        <f>IF(Z486&lt;&gt;"",Z486-TODAY(),"")</f>
        <v/>
      </c>
      <c r="AB486">
        <f>IF(AA486&lt;&gt;"",IF(AA486&lt;0,"Overdue",IF(AA486&lt;=Y486*0.2,"At Risk","On Time")),"")</f>
        <v/>
      </c>
    </row>
    <row r="487">
      <c r="K487">
        <f>IF(J487="v4.0",L487,IF(J487="v3.1",M487,IF(J487="Both",L487,IF(AND(L487&lt;&gt;"",M487=""),L487,M487))))</f>
        <v/>
      </c>
      <c r="Y487">
        <f>IF(T487="P0",1,IF(T487="P1",3,IF(T487="P2",7,IF(T487="P3",30,IF(T487="P4",30,7)))))</f>
        <v/>
      </c>
      <c r="Z487">
        <f>IF(U487&lt;&gt;"",U487+Y487,"")</f>
        <v/>
      </c>
      <c r="AA487">
        <f>IF(Z487&lt;&gt;"",Z487-TODAY(),"")</f>
        <v/>
      </c>
      <c r="AB487">
        <f>IF(AA487&lt;&gt;"",IF(AA487&lt;0,"Overdue",IF(AA487&lt;=Y487*0.2,"At Risk","On Time")),"")</f>
        <v/>
      </c>
    </row>
    <row r="488">
      <c r="K488">
        <f>IF(J488="v4.0",L488,IF(J488="v3.1",M488,IF(J488="Both",L488,IF(AND(L488&lt;&gt;"",M488=""),L488,M488))))</f>
        <v/>
      </c>
      <c r="Y488">
        <f>IF(T488="P0",1,IF(T488="P1",3,IF(T488="P2",7,IF(T488="P3",30,IF(T488="P4",30,7)))))</f>
        <v/>
      </c>
      <c r="Z488">
        <f>IF(U488&lt;&gt;"",U488+Y488,"")</f>
        <v/>
      </c>
      <c r="AA488">
        <f>IF(Z488&lt;&gt;"",Z488-TODAY(),"")</f>
        <v/>
      </c>
      <c r="AB488">
        <f>IF(AA488&lt;&gt;"",IF(AA488&lt;0,"Overdue",IF(AA488&lt;=Y488*0.2,"At Risk","On Time")),"")</f>
        <v/>
      </c>
    </row>
    <row r="489">
      <c r="K489">
        <f>IF(J489="v4.0",L489,IF(J489="v3.1",M489,IF(J489="Both",L489,IF(AND(L489&lt;&gt;"",M489=""),L489,M489))))</f>
        <v/>
      </c>
      <c r="Y489">
        <f>IF(T489="P0",1,IF(T489="P1",3,IF(T489="P2",7,IF(T489="P3",30,IF(T489="P4",30,7)))))</f>
        <v/>
      </c>
      <c r="Z489">
        <f>IF(U489&lt;&gt;"",U489+Y489,"")</f>
        <v/>
      </c>
      <c r="AA489">
        <f>IF(Z489&lt;&gt;"",Z489-TODAY(),"")</f>
        <v/>
      </c>
      <c r="AB489">
        <f>IF(AA489&lt;&gt;"",IF(AA489&lt;0,"Overdue",IF(AA489&lt;=Y489*0.2,"At Risk","On Time")),"")</f>
        <v/>
      </c>
    </row>
    <row r="490">
      <c r="K490">
        <f>IF(J490="v4.0",L490,IF(J490="v3.1",M490,IF(J490="Both",L490,IF(AND(L490&lt;&gt;"",M490=""),L490,M490))))</f>
        <v/>
      </c>
      <c r="Y490">
        <f>IF(T490="P0",1,IF(T490="P1",3,IF(T490="P2",7,IF(T490="P3",30,IF(T490="P4",30,7)))))</f>
        <v/>
      </c>
      <c r="Z490">
        <f>IF(U490&lt;&gt;"",U490+Y490,"")</f>
        <v/>
      </c>
      <c r="AA490">
        <f>IF(Z490&lt;&gt;"",Z490-TODAY(),"")</f>
        <v/>
      </c>
      <c r="AB490">
        <f>IF(AA490&lt;&gt;"",IF(AA490&lt;0,"Overdue",IF(AA490&lt;=Y490*0.2,"At Risk","On Time")),"")</f>
        <v/>
      </c>
    </row>
    <row r="491">
      <c r="K491">
        <f>IF(J491="v4.0",L491,IF(J491="v3.1",M491,IF(J491="Both",L491,IF(AND(L491&lt;&gt;"",M491=""),L491,M491))))</f>
        <v/>
      </c>
      <c r="Y491">
        <f>IF(T491="P0",1,IF(T491="P1",3,IF(T491="P2",7,IF(T491="P3",30,IF(T491="P4",30,7)))))</f>
        <v/>
      </c>
      <c r="Z491">
        <f>IF(U491&lt;&gt;"",U491+Y491,"")</f>
        <v/>
      </c>
      <c r="AA491">
        <f>IF(Z491&lt;&gt;"",Z491-TODAY(),"")</f>
        <v/>
      </c>
      <c r="AB491">
        <f>IF(AA491&lt;&gt;"",IF(AA491&lt;0,"Overdue",IF(AA491&lt;=Y491*0.2,"At Risk","On Time")),"")</f>
        <v/>
      </c>
    </row>
    <row r="492">
      <c r="K492">
        <f>IF(J492="v4.0",L492,IF(J492="v3.1",M492,IF(J492="Both",L492,IF(AND(L492&lt;&gt;"",M492=""),L492,M492))))</f>
        <v/>
      </c>
      <c r="Y492">
        <f>IF(T492="P0",1,IF(T492="P1",3,IF(T492="P2",7,IF(T492="P3",30,IF(T492="P4",30,7)))))</f>
        <v/>
      </c>
      <c r="Z492">
        <f>IF(U492&lt;&gt;"",U492+Y492,"")</f>
        <v/>
      </c>
      <c r="AA492">
        <f>IF(Z492&lt;&gt;"",Z492-TODAY(),"")</f>
        <v/>
      </c>
      <c r="AB492">
        <f>IF(AA492&lt;&gt;"",IF(AA492&lt;0,"Overdue",IF(AA492&lt;=Y492*0.2,"At Risk","On Time")),"")</f>
        <v/>
      </c>
    </row>
    <row r="493">
      <c r="K493">
        <f>IF(J493="v4.0",L493,IF(J493="v3.1",M493,IF(J493="Both",L493,IF(AND(L493&lt;&gt;"",M493=""),L493,M493))))</f>
        <v/>
      </c>
      <c r="Y493">
        <f>IF(T493="P0",1,IF(T493="P1",3,IF(T493="P2",7,IF(T493="P3",30,IF(T493="P4",30,7)))))</f>
        <v/>
      </c>
      <c r="Z493">
        <f>IF(U493&lt;&gt;"",U493+Y493,"")</f>
        <v/>
      </c>
      <c r="AA493">
        <f>IF(Z493&lt;&gt;"",Z493-TODAY(),"")</f>
        <v/>
      </c>
      <c r="AB493">
        <f>IF(AA493&lt;&gt;"",IF(AA493&lt;0,"Overdue",IF(AA493&lt;=Y493*0.2,"At Risk","On Time")),"")</f>
        <v/>
      </c>
    </row>
    <row r="494">
      <c r="K494">
        <f>IF(J494="v4.0",L494,IF(J494="v3.1",M494,IF(J494="Both",L494,IF(AND(L494&lt;&gt;"",M494=""),L494,M494))))</f>
        <v/>
      </c>
      <c r="Y494">
        <f>IF(T494="P0",1,IF(T494="P1",3,IF(T494="P2",7,IF(T494="P3",30,IF(T494="P4",30,7)))))</f>
        <v/>
      </c>
      <c r="Z494">
        <f>IF(U494&lt;&gt;"",U494+Y494,"")</f>
        <v/>
      </c>
      <c r="AA494">
        <f>IF(Z494&lt;&gt;"",Z494-TODAY(),"")</f>
        <v/>
      </c>
      <c r="AB494">
        <f>IF(AA494&lt;&gt;"",IF(AA494&lt;0,"Overdue",IF(AA494&lt;=Y494*0.2,"At Risk","On Time")),"")</f>
        <v/>
      </c>
    </row>
    <row r="495">
      <c r="K495">
        <f>IF(J495="v4.0",L495,IF(J495="v3.1",M495,IF(J495="Both",L495,IF(AND(L495&lt;&gt;"",M495=""),L495,M495))))</f>
        <v/>
      </c>
      <c r="Y495">
        <f>IF(T495="P0",1,IF(T495="P1",3,IF(T495="P2",7,IF(T495="P3",30,IF(T495="P4",30,7)))))</f>
        <v/>
      </c>
      <c r="Z495">
        <f>IF(U495&lt;&gt;"",U495+Y495,"")</f>
        <v/>
      </c>
      <c r="AA495">
        <f>IF(Z495&lt;&gt;"",Z495-TODAY(),"")</f>
        <v/>
      </c>
      <c r="AB495">
        <f>IF(AA495&lt;&gt;"",IF(AA495&lt;0,"Overdue",IF(AA495&lt;=Y495*0.2,"At Risk","On Time")),"")</f>
        <v/>
      </c>
    </row>
    <row r="496">
      <c r="K496">
        <f>IF(J496="v4.0",L496,IF(J496="v3.1",M496,IF(J496="Both",L496,IF(AND(L496&lt;&gt;"",M496=""),L496,M496))))</f>
        <v/>
      </c>
      <c r="Y496">
        <f>IF(T496="P0",1,IF(T496="P1",3,IF(T496="P2",7,IF(T496="P3",30,IF(T496="P4",30,7)))))</f>
        <v/>
      </c>
      <c r="Z496">
        <f>IF(U496&lt;&gt;"",U496+Y496,"")</f>
        <v/>
      </c>
      <c r="AA496">
        <f>IF(Z496&lt;&gt;"",Z496-TODAY(),"")</f>
        <v/>
      </c>
      <c r="AB496">
        <f>IF(AA496&lt;&gt;"",IF(AA496&lt;0,"Overdue",IF(AA496&lt;=Y496*0.2,"At Risk","On Time")),"")</f>
        <v/>
      </c>
    </row>
    <row r="497">
      <c r="K497">
        <f>IF(J497="v4.0",L497,IF(J497="v3.1",M497,IF(J497="Both",L497,IF(AND(L497&lt;&gt;"",M497=""),L497,M497))))</f>
        <v/>
      </c>
      <c r="Y497">
        <f>IF(T497="P0",1,IF(T497="P1",3,IF(T497="P2",7,IF(T497="P3",30,IF(T497="P4",30,7)))))</f>
        <v/>
      </c>
      <c r="Z497">
        <f>IF(U497&lt;&gt;"",U497+Y497,"")</f>
        <v/>
      </c>
      <c r="AA497">
        <f>IF(Z497&lt;&gt;"",Z497-TODAY(),"")</f>
        <v/>
      </c>
      <c r="AB497">
        <f>IF(AA497&lt;&gt;"",IF(AA497&lt;0,"Overdue",IF(AA497&lt;=Y497*0.2,"At Risk","On Time")),"")</f>
        <v/>
      </c>
    </row>
    <row r="498">
      <c r="K498">
        <f>IF(J498="v4.0",L498,IF(J498="v3.1",M498,IF(J498="Both",L498,IF(AND(L498&lt;&gt;"",M498=""),L498,M498))))</f>
        <v/>
      </c>
      <c r="Y498">
        <f>IF(T498="P0",1,IF(T498="P1",3,IF(T498="P2",7,IF(T498="P3",30,IF(T498="P4",30,7)))))</f>
        <v/>
      </c>
      <c r="Z498">
        <f>IF(U498&lt;&gt;"",U498+Y498,"")</f>
        <v/>
      </c>
      <c r="AA498">
        <f>IF(Z498&lt;&gt;"",Z498-TODAY(),"")</f>
        <v/>
      </c>
      <c r="AB498">
        <f>IF(AA498&lt;&gt;"",IF(AA498&lt;0,"Overdue",IF(AA498&lt;=Y498*0.2,"At Risk","On Time")),"")</f>
        <v/>
      </c>
    </row>
    <row r="499">
      <c r="K499">
        <f>IF(J499="v4.0",L499,IF(J499="v3.1",M499,IF(J499="Both",L499,IF(AND(L499&lt;&gt;"",M499=""),L499,M499))))</f>
        <v/>
      </c>
      <c r="Y499">
        <f>IF(T499="P0",1,IF(T499="P1",3,IF(T499="P2",7,IF(T499="P3",30,IF(T499="P4",30,7)))))</f>
        <v/>
      </c>
      <c r="Z499">
        <f>IF(U499&lt;&gt;"",U499+Y499,"")</f>
        <v/>
      </c>
      <c r="AA499">
        <f>IF(Z499&lt;&gt;"",Z499-TODAY(),"")</f>
        <v/>
      </c>
      <c r="AB499">
        <f>IF(AA499&lt;&gt;"",IF(AA499&lt;0,"Overdue",IF(AA499&lt;=Y499*0.2,"At Risk","On Time")),"")</f>
        <v/>
      </c>
    </row>
    <row r="500">
      <c r="K500">
        <f>IF(J500="v4.0",L500,IF(J500="v3.1",M500,IF(J500="Both",L500,IF(AND(L500&lt;&gt;"",M500=""),L500,M500))))</f>
        <v/>
      </c>
      <c r="Y500">
        <f>IF(T500="P0",1,IF(T500="P1",3,IF(T500="P2",7,IF(T500="P3",30,IF(T500="P4",30,7)))))</f>
        <v/>
      </c>
      <c r="Z500">
        <f>IF(U500&lt;&gt;"",U500+Y500,"")</f>
        <v/>
      </c>
      <c r="AA500">
        <f>IF(Z500&lt;&gt;"",Z500-TODAY(),"")</f>
        <v/>
      </c>
      <c r="AB500">
        <f>IF(AA500&lt;&gt;"",IF(AA500&lt;0,"Overdue",IF(AA500&lt;=Y500*0.2,"At Risk","On Time")),"")</f>
        <v/>
      </c>
    </row>
    <row r="501">
      <c r="K501">
        <f>IF(J501="v4.0",L501,IF(J501="v3.1",M501,IF(J501="Both",L501,IF(AND(L501&lt;&gt;"",M501=""),L501,M501))))</f>
        <v/>
      </c>
      <c r="Y501">
        <f>IF(T501="P0",1,IF(T501="P1",3,IF(T501="P2",7,IF(T501="P3",30,IF(T501="P4",30,7)))))</f>
        <v/>
      </c>
      <c r="Z501">
        <f>IF(U501&lt;&gt;"",U501+Y501,"")</f>
        <v/>
      </c>
      <c r="AA501">
        <f>IF(Z501&lt;&gt;"",Z501-TODAY(),"")</f>
        <v/>
      </c>
      <c r="AB501">
        <f>IF(AA501&lt;&gt;"",IF(AA501&lt;0,"Overdue",IF(AA501&lt;=Y501*0.2,"At Risk","On Time")),"")</f>
        <v/>
      </c>
    </row>
    <row r="502">
      <c r="K502">
        <f>IF(J502="v4.0",L502,IF(J502="v3.1",M502,IF(J502="Both",L502,IF(AND(L502&lt;&gt;"",M502=""),L502,M502))))</f>
        <v/>
      </c>
      <c r="Y502">
        <f>IF(T502="P0",1,IF(T502="P1",3,IF(T502="P2",7,IF(T502="P3",30,IF(T502="P4",30,7)))))</f>
        <v/>
      </c>
      <c r="Z502">
        <f>IF(U502&lt;&gt;"",U502+Y502,"")</f>
        <v/>
      </c>
      <c r="AA502">
        <f>IF(Z502&lt;&gt;"",Z502-TODAY(),"")</f>
        <v/>
      </c>
      <c r="AB502">
        <f>IF(AA502&lt;&gt;"",IF(AA502&lt;0,"Overdue",IF(AA502&lt;=Y502*0.2,"At Risk","On Time")),"")</f>
        <v/>
      </c>
    </row>
    <row r="503">
      <c r="K503">
        <f>IF(J503="v4.0",L503,IF(J503="v3.1",M503,IF(J503="Both",L503,IF(AND(L503&lt;&gt;"",M503=""),L503,M503))))</f>
        <v/>
      </c>
      <c r="Y503">
        <f>IF(T503="P0",1,IF(T503="P1",3,IF(T503="P2",7,IF(T503="P3",30,IF(T503="P4",30,7)))))</f>
        <v/>
      </c>
      <c r="Z503">
        <f>IF(U503&lt;&gt;"",U503+Y503,"")</f>
        <v/>
      </c>
      <c r="AA503">
        <f>IF(Z503&lt;&gt;"",Z503-TODAY(),"")</f>
        <v/>
      </c>
      <c r="AB503">
        <f>IF(AA503&lt;&gt;"",IF(AA503&lt;0,"Overdue",IF(AA503&lt;=Y503*0.2,"At Risk","On Time")),"")</f>
        <v/>
      </c>
    </row>
    <row r="504">
      <c r="K504">
        <f>IF(J504="v4.0",L504,IF(J504="v3.1",M504,IF(J504="Both",L504,IF(AND(L504&lt;&gt;"",M504=""),L504,M504))))</f>
        <v/>
      </c>
      <c r="Y504">
        <f>IF(T504="P0",1,IF(T504="P1",3,IF(T504="P2",7,IF(T504="P3",30,IF(T504="P4",30,7)))))</f>
        <v/>
      </c>
      <c r="Z504">
        <f>IF(U504&lt;&gt;"",U504+Y504,"")</f>
        <v/>
      </c>
      <c r="AA504">
        <f>IF(Z504&lt;&gt;"",Z504-TODAY(),"")</f>
        <v/>
      </c>
      <c r="AB504">
        <f>IF(AA504&lt;&gt;"",IF(AA504&lt;0,"Overdue",IF(AA504&lt;=Y504*0.2,"At Risk","On Time")),"")</f>
        <v/>
      </c>
    </row>
    <row r="505">
      <c r="K505">
        <f>IF(J505="v4.0",L505,IF(J505="v3.1",M505,IF(J505="Both",L505,IF(AND(L505&lt;&gt;"",M505=""),L505,M505))))</f>
        <v/>
      </c>
      <c r="Y505">
        <f>IF(T505="P0",1,IF(T505="P1",3,IF(T505="P2",7,IF(T505="P3",30,IF(T505="P4",30,7)))))</f>
        <v/>
      </c>
      <c r="Z505">
        <f>IF(U505&lt;&gt;"",U505+Y505,"")</f>
        <v/>
      </c>
      <c r="AA505">
        <f>IF(Z505&lt;&gt;"",Z505-TODAY(),"")</f>
        <v/>
      </c>
      <c r="AB505">
        <f>IF(AA505&lt;&gt;"",IF(AA505&lt;0,"Overdue",IF(AA505&lt;=Y505*0.2,"At Risk","On Time")),"")</f>
        <v/>
      </c>
    </row>
    <row r="506">
      <c r="K506">
        <f>IF(J506="v4.0",L506,IF(J506="v3.1",M506,IF(J506="Both",L506,IF(AND(L506&lt;&gt;"",M506=""),L506,M506))))</f>
        <v/>
      </c>
      <c r="Y506">
        <f>IF(T506="P0",1,IF(T506="P1",3,IF(T506="P2",7,IF(T506="P3",30,IF(T506="P4",30,7)))))</f>
        <v/>
      </c>
      <c r="Z506">
        <f>IF(U506&lt;&gt;"",U506+Y506,"")</f>
        <v/>
      </c>
      <c r="AA506">
        <f>IF(Z506&lt;&gt;"",Z506-TODAY(),"")</f>
        <v/>
      </c>
      <c r="AB506">
        <f>IF(AA506&lt;&gt;"",IF(AA506&lt;0,"Overdue",IF(AA506&lt;=Y506*0.2,"At Risk","On Time")),"")</f>
        <v/>
      </c>
    </row>
    <row r="507">
      <c r="K507">
        <f>IF(J507="v4.0",L507,IF(J507="v3.1",M507,IF(J507="Both",L507,IF(AND(L507&lt;&gt;"",M507=""),L507,M507))))</f>
        <v/>
      </c>
      <c r="Y507">
        <f>IF(T507="P0",1,IF(T507="P1",3,IF(T507="P2",7,IF(T507="P3",30,IF(T507="P4",30,7)))))</f>
        <v/>
      </c>
      <c r="Z507">
        <f>IF(U507&lt;&gt;"",U507+Y507,"")</f>
        <v/>
      </c>
      <c r="AA507">
        <f>IF(Z507&lt;&gt;"",Z507-TODAY(),"")</f>
        <v/>
      </c>
      <c r="AB507">
        <f>IF(AA507&lt;&gt;"",IF(AA507&lt;0,"Overdue",IF(AA507&lt;=Y507*0.2,"At Risk","On Time")),"")</f>
        <v/>
      </c>
    </row>
    <row r="508">
      <c r="K508">
        <f>IF(J508="v4.0",L508,IF(J508="v3.1",M508,IF(J508="Both",L508,IF(AND(L508&lt;&gt;"",M508=""),L508,M508))))</f>
        <v/>
      </c>
      <c r="Y508">
        <f>IF(T508="P0",1,IF(T508="P1",3,IF(T508="P2",7,IF(T508="P3",30,IF(T508="P4",30,7)))))</f>
        <v/>
      </c>
      <c r="Z508">
        <f>IF(U508&lt;&gt;"",U508+Y508,"")</f>
        <v/>
      </c>
      <c r="AA508">
        <f>IF(Z508&lt;&gt;"",Z508-TODAY(),"")</f>
        <v/>
      </c>
      <c r="AB508">
        <f>IF(AA508&lt;&gt;"",IF(AA508&lt;0,"Overdue",IF(AA508&lt;=Y508*0.2,"At Risk","On Time")),"")</f>
        <v/>
      </c>
    </row>
    <row r="509">
      <c r="K509">
        <f>IF(J509="v4.0",L509,IF(J509="v3.1",M509,IF(J509="Both",L509,IF(AND(L509&lt;&gt;"",M509=""),L509,M509))))</f>
        <v/>
      </c>
      <c r="Y509">
        <f>IF(T509="P0",1,IF(T509="P1",3,IF(T509="P2",7,IF(T509="P3",30,IF(T509="P4",30,7)))))</f>
        <v/>
      </c>
      <c r="Z509">
        <f>IF(U509&lt;&gt;"",U509+Y509,"")</f>
        <v/>
      </c>
      <c r="AA509">
        <f>IF(Z509&lt;&gt;"",Z509-TODAY(),"")</f>
        <v/>
      </c>
      <c r="AB509">
        <f>IF(AA509&lt;&gt;"",IF(AA509&lt;0,"Overdue",IF(AA509&lt;=Y509*0.2,"At Risk","On Time")),"")</f>
        <v/>
      </c>
    </row>
    <row r="510">
      <c r="K510">
        <f>IF(J510="v4.0",L510,IF(J510="v3.1",M510,IF(J510="Both",L510,IF(AND(L510&lt;&gt;"",M510=""),L510,M510))))</f>
        <v/>
      </c>
      <c r="Y510">
        <f>IF(T510="P0",1,IF(T510="P1",3,IF(T510="P2",7,IF(T510="P3",30,IF(T510="P4",30,7)))))</f>
        <v/>
      </c>
      <c r="Z510">
        <f>IF(U510&lt;&gt;"",U510+Y510,"")</f>
        <v/>
      </c>
      <c r="AA510">
        <f>IF(Z510&lt;&gt;"",Z510-TODAY(),"")</f>
        <v/>
      </c>
      <c r="AB510">
        <f>IF(AA510&lt;&gt;"",IF(AA510&lt;0,"Overdue",IF(AA510&lt;=Y510*0.2,"At Risk","On Time")),"")</f>
        <v/>
      </c>
    </row>
    <row r="511">
      <c r="K511">
        <f>IF(J511="v4.0",L511,IF(J511="v3.1",M511,IF(J511="Both",L511,IF(AND(L511&lt;&gt;"",M511=""),L511,M511))))</f>
        <v/>
      </c>
      <c r="Y511">
        <f>IF(T511="P0",1,IF(T511="P1",3,IF(T511="P2",7,IF(T511="P3",30,IF(T511="P4",30,7)))))</f>
        <v/>
      </c>
      <c r="Z511">
        <f>IF(U511&lt;&gt;"",U511+Y511,"")</f>
        <v/>
      </c>
      <c r="AA511">
        <f>IF(Z511&lt;&gt;"",Z511-TODAY(),"")</f>
        <v/>
      </c>
      <c r="AB511">
        <f>IF(AA511&lt;&gt;"",IF(AA511&lt;0,"Overdue",IF(AA511&lt;=Y511*0.2,"At Risk","On Time")),"")</f>
        <v/>
      </c>
    </row>
    <row r="512">
      <c r="K512">
        <f>IF(J512="v4.0",L512,IF(J512="v3.1",M512,IF(J512="Both",L512,IF(AND(L512&lt;&gt;"",M512=""),L512,M512))))</f>
        <v/>
      </c>
      <c r="Y512">
        <f>IF(T512="P0",1,IF(T512="P1",3,IF(T512="P2",7,IF(T512="P3",30,IF(T512="P4",30,7)))))</f>
        <v/>
      </c>
      <c r="Z512">
        <f>IF(U512&lt;&gt;"",U512+Y512,"")</f>
        <v/>
      </c>
      <c r="AA512">
        <f>IF(Z512&lt;&gt;"",Z512-TODAY(),"")</f>
        <v/>
      </c>
      <c r="AB512">
        <f>IF(AA512&lt;&gt;"",IF(AA512&lt;0,"Overdue",IF(AA512&lt;=Y512*0.2,"At Risk","On Time")),"")</f>
        <v/>
      </c>
    </row>
    <row r="513">
      <c r="K513">
        <f>IF(J513="v4.0",L513,IF(J513="v3.1",M513,IF(J513="Both",L513,IF(AND(L513&lt;&gt;"",M513=""),L513,M513))))</f>
        <v/>
      </c>
      <c r="Y513">
        <f>IF(T513="P0",1,IF(T513="P1",3,IF(T513="P2",7,IF(T513="P3",30,IF(T513="P4",30,7)))))</f>
        <v/>
      </c>
      <c r="Z513">
        <f>IF(U513&lt;&gt;"",U513+Y513,"")</f>
        <v/>
      </c>
      <c r="AA513">
        <f>IF(Z513&lt;&gt;"",Z513-TODAY(),"")</f>
        <v/>
      </c>
      <c r="AB513">
        <f>IF(AA513&lt;&gt;"",IF(AA513&lt;0,"Overdue",IF(AA513&lt;=Y513*0.2,"At Risk","On Time")),"")</f>
        <v/>
      </c>
    </row>
    <row r="514">
      <c r="K514">
        <f>IF(J514="v4.0",L514,IF(J514="v3.1",M514,IF(J514="Both",L514,IF(AND(L514&lt;&gt;"",M514=""),L514,M514))))</f>
        <v/>
      </c>
      <c r="Y514">
        <f>IF(T514="P0",1,IF(T514="P1",3,IF(T514="P2",7,IF(T514="P3",30,IF(T514="P4",30,7)))))</f>
        <v/>
      </c>
      <c r="Z514">
        <f>IF(U514&lt;&gt;"",U514+Y514,"")</f>
        <v/>
      </c>
      <c r="AA514">
        <f>IF(Z514&lt;&gt;"",Z514-TODAY(),"")</f>
        <v/>
      </c>
      <c r="AB514">
        <f>IF(AA514&lt;&gt;"",IF(AA514&lt;0,"Overdue",IF(AA514&lt;=Y514*0.2,"At Risk","On Time")),"")</f>
        <v/>
      </c>
    </row>
    <row r="515">
      <c r="K515">
        <f>IF(J515="v4.0",L515,IF(J515="v3.1",M515,IF(J515="Both",L515,IF(AND(L515&lt;&gt;"",M515=""),L515,M515))))</f>
        <v/>
      </c>
      <c r="Y515">
        <f>IF(T515="P0",1,IF(T515="P1",3,IF(T515="P2",7,IF(T515="P3",30,IF(T515="P4",30,7)))))</f>
        <v/>
      </c>
      <c r="Z515">
        <f>IF(U515&lt;&gt;"",U515+Y515,"")</f>
        <v/>
      </c>
      <c r="AA515">
        <f>IF(Z515&lt;&gt;"",Z515-TODAY(),"")</f>
        <v/>
      </c>
      <c r="AB515">
        <f>IF(AA515&lt;&gt;"",IF(AA515&lt;0,"Overdue",IF(AA515&lt;=Y515*0.2,"At Risk","On Time")),"")</f>
        <v/>
      </c>
    </row>
    <row r="516">
      <c r="K516">
        <f>IF(J516="v4.0",L516,IF(J516="v3.1",M516,IF(J516="Both",L516,IF(AND(L516&lt;&gt;"",M516=""),L516,M516))))</f>
        <v/>
      </c>
      <c r="Y516">
        <f>IF(T516="P0",1,IF(T516="P1",3,IF(T516="P2",7,IF(T516="P3",30,IF(T516="P4",30,7)))))</f>
        <v/>
      </c>
      <c r="Z516">
        <f>IF(U516&lt;&gt;"",U516+Y516,"")</f>
        <v/>
      </c>
      <c r="AA516">
        <f>IF(Z516&lt;&gt;"",Z516-TODAY(),"")</f>
        <v/>
      </c>
      <c r="AB516">
        <f>IF(AA516&lt;&gt;"",IF(AA516&lt;0,"Overdue",IF(AA516&lt;=Y516*0.2,"At Risk","On Time")),"")</f>
        <v/>
      </c>
    </row>
    <row r="517">
      <c r="K517">
        <f>IF(J517="v4.0",L517,IF(J517="v3.1",M517,IF(J517="Both",L517,IF(AND(L517&lt;&gt;"",M517=""),L517,M517))))</f>
        <v/>
      </c>
      <c r="Y517">
        <f>IF(T517="P0",1,IF(T517="P1",3,IF(T517="P2",7,IF(T517="P3",30,IF(T517="P4",30,7)))))</f>
        <v/>
      </c>
      <c r="Z517">
        <f>IF(U517&lt;&gt;"",U517+Y517,"")</f>
        <v/>
      </c>
      <c r="AA517">
        <f>IF(Z517&lt;&gt;"",Z517-TODAY(),"")</f>
        <v/>
      </c>
      <c r="AB517">
        <f>IF(AA517&lt;&gt;"",IF(AA517&lt;0,"Overdue",IF(AA517&lt;=Y517*0.2,"At Risk","On Time")),"")</f>
        <v/>
      </c>
    </row>
    <row r="518">
      <c r="K518">
        <f>IF(J518="v4.0",L518,IF(J518="v3.1",M518,IF(J518="Both",L518,IF(AND(L518&lt;&gt;"",M518=""),L518,M518))))</f>
        <v/>
      </c>
      <c r="Y518">
        <f>IF(T518="P0",1,IF(T518="P1",3,IF(T518="P2",7,IF(T518="P3",30,IF(T518="P4",30,7)))))</f>
        <v/>
      </c>
      <c r="Z518">
        <f>IF(U518&lt;&gt;"",U518+Y518,"")</f>
        <v/>
      </c>
      <c r="AA518">
        <f>IF(Z518&lt;&gt;"",Z518-TODAY(),"")</f>
        <v/>
      </c>
      <c r="AB518">
        <f>IF(AA518&lt;&gt;"",IF(AA518&lt;0,"Overdue",IF(AA518&lt;=Y518*0.2,"At Risk","On Time")),"")</f>
        <v/>
      </c>
    </row>
    <row r="519">
      <c r="K519">
        <f>IF(J519="v4.0",L519,IF(J519="v3.1",M519,IF(J519="Both",L519,IF(AND(L519&lt;&gt;"",M519=""),L519,M519))))</f>
        <v/>
      </c>
      <c r="Y519">
        <f>IF(T519="P0",1,IF(T519="P1",3,IF(T519="P2",7,IF(T519="P3",30,IF(T519="P4",30,7)))))</f>
        <v/>
      </c>
      <c r="Z519">
        <f>IF(U519&lt;&gt;"",U519+Y519,"")</f>
        <v/>
      </c>
      <c r="AA519">
        <f>IF(Z519&lt;&gt;"",Z519-TODAY(),"")</f>
        <v/>
      </c>
      <c r="AB519">
        <f>IF(AA519&lt;&gt;"",IF(AA519&lt;0,"Overdue",IF(AA519&lt;=Y519*0.2,"At Risk","On Time")),"")</f>
        <v/>
      </c>
    </row>
    <row r="520">
      <c r="K520">
        <f>IF(J520="v4.0",L520,IF(J520="v3.1",M520,IF(J520="Both",L520,IF(AND(L520&lt;&gt;"",M520=""),L520,M520))))</f>
        <v/>
      </c>
      <c r="Y520">
        <f>IF(T520="P0",1,IF(T520="P1",3,IF(T520="P2",7,IF(T520="P3",30,IF(T520="P4",30,7)))))</f>
        <v/>
      </c>
      <c r="Z520">
        <f>IF(U520&lt;&gt;"",U520+Y520,"")</f>
        <v/>
      </c>
      <c r="AA520">
        <f>IF(Z520&lt;&gt;"",Z520-TODAY(),"")</f>
        <v/>
      </c>
      <c r="AB520">
        <f>IF(AA520&lt;&gt;"",IF(AA520&lt;0,"Overdue",IF(AA520&lt;=Y520*0.2,"At Risk","On Time")),"")</f>
        <v/>
      </c>
    </row>
    <row r="521">
      <c r="K521">
        <f>IF(J521="v4.0",L521,IF(J521="v3.1",M521,IF(J521="Both",L521,IF(AND(L521&lt;&gt;"",M521=""),L521,M521))))</f>
        <v/>
      </c>
      <c r="Y521">
        <f>IF(T521="P0",1,IF(T521="P1",3,IF(T521="P2",7,IF(T521="P3",30,IF(T521="P4",30,7)))))</f>
        <v/>
      </c>
      <c r="Z521">
        <f>IF(U521&lt;&gt;"",U521+Y521,"")</f>
        <v/>
      </c>
      <c r="AA521">
        <f>IF(Z521&lt;&gt;"",Z521-TODAY(),"")</f>
        <v/>
      </c>
      <c r="AB521">
        <f>IF(AA521&lt;&gt;"",IF(AA521&lt;0,"Overdue",IF(AA521&lt;=Y521*0.2,"At Risk","On Time")),"")</f>
        <v/>
      </c>
    </row>
    <row r="522">
      <c r="K522">
        <f>IF(J522="v4.0",L522,IF(J522="v3.1",M522,IF(J522="Both",L522,IF(AND(L522&lt;&gt;"",M522=""),L522,M522))))</f>
        <v/>
      </c>
      <c r="Y522">
        <f>IF(T522="P0",1,IF(T522="P1",3,IF(T522="P2",7,IF(T522="P3",30,IF(T522="P4",30,7)))))</f>
        <v/>
      </c>
      <c r="Z522">
        <f>IF(U522&lt;&gt;"",U522+Y522,"")</f>
        <v/>
      </c>
      <c r="AA522">
        <f>IF(Z522&lt;&gt;"",Z522-TODAY(),"")</f>
        <v/>
      </c>
      <c r="AB522">
        <f>IF(AA522&lt;&gt;"",IF(AA522&lt;0,"Overdue",IF(AA522&lt;=Y522*0.2,"At Risk","On Time")),"")</f>
        <v/>
      </c>
    </row>
    <row r="523">
      <c r="K523">
        <f>IF(J523="v4.0",L523,IF(J523="v3.1",M523,IF(J523="Both",L523,IF(AND(L523&lt;&gt;"",M523=""),L523,M523))))</f>
        <v/>
      </c>
      <c r="Y523">
        <f>IF(T523="P0",1,IF(T523="P1",3,IF(T523="P2",7,IF(T523="P3",30,IF(T523="P4",30,7)))))</f>
        <v/>
      </c>
      <c r="Z523">
        <f>IF(U523&lt;&gt;"",U523+Y523,"")</f>
        <v/>
      </c>
      <c r="AA523">
        <f>IF(Z523&lt;&gt;"",Z523-TODAY(),"")</f>
        <v/>
      </c>
      <c r="AB523">
        <f>IF(AA523&lt;&gt;"",IF(AA523&lt;0,"Overdue",IF(AA523&lt;=Y523*0.2,"At Risk","On Time")),"")</f>
        <v/>
      </c>
    </row>
    <row r="524">
      <c r="K524">
        <f>IF(J524="v4.0",L524,IF(J524="v3.1",M524,IF(J524="Both",L524,IF(AND(L524&lt;&gt;"",M524=""),L524,M524))))</f>
        <v/>
      </c>
      <c r="Y524">
        <f>IF(T524="P0",1,IF(T524="P1",3,IF(T524="P2",7,IF(T524="P3",30,IF(T524="P4",30,7)))))</f>
        <v/>
      </c>
      <c r="Z524">
        <f>IF(U524&lt;&gt;"",U524+Y524,"")</f>
        <v/>
      </c>
      <c r="AA524">
        <f>IF(Z524&lt;&gt;"",Z524-TODAY(),"")</f>
        <v/>
      </c>
      <c r="AB524">
        <f>IF(AA524&lt;&gt;"",IF(AA524&lt;0,"Overdue",IF(AA524&lt;=Y524*0.2,"At Risk","On Time")),"")</f>
        <v/>
      </c>
    </row>
    <row r="525">
      <c r="K525">
        <f>IF(J525="v4.0",L525,IF(J525="v3.1",M525,IF(J525="Both",L525,IF(AND(L525&lt;&gt;"",M525=""),L525,M525))))</f>
        <v/>
      </c>
      <c r="Y525">
        <f>IF(T525="P0",1,IF(T525="P1",3,IF(T525="P2",7,IF(T525="P3",30,IF(T525="P4",30,7)))))</f>
        <v/>
      </c>
      <c r="Z525">
        <f>IF(U525&lt;&gt;"",U525+Y525,"")</f>
        <v/>
      </c>
      <c r="AA525">
        <f>IF(Z525&lt;&gt;"",Z525-TODAY(),"")</f>
        <v/>
      </c>
      <c r="AB525">
        <f>IF(AA525&lt;&gt;"",IF(AA525&lt;0,"Overdue",IF(AA525&lt;=Y525*0.2,"At Risk","On Time")),"")</f>
        <v/>
      </c>
    </row>
    <row r="526">
      <c r="K526">
        <f>IF(J526="v4.0",L526,IF(J526="v3.1",M526,IF(J526="Both",L526,IF(AND(L526&lt;&gt;"",M526=""),L526,M526))))</f>
        <v/>
      </c>
      <c r="Y526">
        <f>IF(T526="P0",1,IF(T526="P1",3,IF(T526="P2",7,IF(T526="P3",30,IF(T526="P4",30,7)))))</f>
        <v/>
      </c>
      <c r="Z526">
        <f>IF(U526&lt;&gt;"",U526+Y526,"")</f>
        <v/>
      </c>
      <c r="AA526">
        <f>IF(Z526&lt;&gt;"",Z526-TODAY(),"")</f>
        <v/>
      </c>
      <c r="AB526">
        <f>IF(AA526&lt;&gt;"",IF(AA526&lt;0,"Overdue",IF(AA526&lt;=Y526*0.2,"At Risk","On Time")),"")</f>
        <v/>
      </c>
    </row>
    <row r="527">
      <c r="K527">
        <f>IF(J527="v4.0",L527,IF(J527="v3.1",M527,IF(J527="Both",L527,IF(AND(L527&lt;&gt;"",M527=""),L527,M527))))</f>
        <v/>
      </c>
      <c r="Y527">
        <f>IF(T527="P0",1,IF(T527="P1",3,IF(T527="P2",7,IF(T527="P3",30,IF(T527="P4",30,7)))))</f>
        <v/>
      </c>
      <c r="Z527">
        <f>IF(U527&lt;&gt;"",U527+Y527,"")</f>
        <v/>
      </c>
      <c r="AA527">
        <f>IF(Z527&lt;&gt;"",Z527-TODAY(),"")</f>
        <v/>
      </c>
      <c r="AB527">
        <f>IF(AA527&lt;&gt;"",IF(AA527&lt;0,"Overdue",IF(AA527&lt;=Y527*0.2,"At Risk","On Time")),"")</f>
        <v/>
      </c>
    </row>
    <row r="528">
      <c r="K528">
        <f>IF(J528="v4.0",L528,IF(J528="v3.1",M528,IF(J528="Both",L528,IF(AND(L528&lt;&gt;"",M528=""),L528,M528))))</f>
        <v/>
      </c>
      <c r="Y528">
        <f>IF(T528="P0",1,IF(T528="P1",3,IF(T528="P2",7,IF(T528="P3",30,IF(T528="P4",30,7)))))</f>
        <v/>
      </c>
      <c r="Z528">
        <f>IF(U528&lt;&gt;"",U528+Y528,"")</f>
        <v/>
      </c>
      <c r="AA528">
        <f>IF(Z528&lt;&gt;"",Z528-TODAY(),"")</f>
        <v/>
      </c>
      <c r="AB528">
        <f>IF(AA528&lt;&gt;"",IF(AA528&lt;0,"Overdue",IF(AA528&lt;=Y528*0.2,"At Risk","On Time")),"")</f>
        <v/>
      </c>
    </row>
    <row r="529">
      <c r="K529">
        <f>IF(J529="v4.0",L529,IF(J529="v3.1",M529,IF(J529="Both",L529,IF(AND(L529&lt;&gt;"",M529=""),L529,M529))))</f>
        <v/>
      </c>
      <c r="Y529">
        <f>IF(T529="P0",1,IF(T529="P1",3,IF(T529="P2",7,IF(T529="P3",30,IF(T529="P4",30,7)))))</f>
        <v/>
      </c>
      <c r="Z529">
        <f>IF(U529&lt;&gt;"",U529+Y529,"")</f>
        <v/>
      </c>
      <c r="AA529">
        <f>IF(Z529&lt;&gt;"",Z529-TODAY(),"")</f>
        <v/>
      </c>
      <c r="AB529">
        <f>IF(AA529&lt;&gt;"",IF(AA529&lt;0,"Overdue",IF(AA529&lt;=Y529*0.2,"At Risk","On Time")),"")</f>
        <v/>
      </c>
    </row>
    <row r="530">
      <c r="K530">
        <f>IF(J530="v4.0",L530,IF(J530="v3.1",M530,IF(J530="Both",L530,IF(AND(L530&lt;&gt;"",M530=""),L530,M530))))</f>
        <v/>
      </c>
      <c r="Y530">
        <f>IF(T530="P0",1,IF(T530="P1",3,IF(T530="P2",7,IF(T530="P3",30,IF(T530="P4",30,7)))))</f>
        <v/>
      </c>
      <c r="Z530">
        <f>IF(U530&lt;&gt;"",U530+Y530,"")</f>
        <v/>
      </c>
      <c r="AA530">
        <f>IF(Z530&lt;&gt;"",Z530-TODAY(),"")</f>
        <v/>
      </c>
      <c r="AB530">
        <f>IF(AA530&lt;&gt;"",IF(AA530&lt;0,"Overdue",IF(AA530&lt;=Y530*0.2,"At Risk","On Time")),"")</f>
        <v/>
      </c>
    </row>
    <row r="531">
      <c r="K531">
        <f>IF(J531="v4.0",L531,IF(J531="v3.1",M531,IF(J531="Both",L531,IF(AND(L531&lt;&gt;"",M531=""),L531,M531))))</f>
        <v/>
      </c>
      <c r="Y531">
        <f>IF(T531="P0",1,IF(T531="P1",3,IF(T531="P2",7,IF(T531="P3",30,IF(T531="P4",30,7)))))</f>
        <v/>
      </c>
      <c r="Z531">
        <f>IF(U531&lt;&gt;"",U531+Y531,"")</f>
        <v/>
      </c>
      <c r="AA531">
        <f>IF(Z531&lt;&gt;"",Z531-TODAY(),"")</f>
        <v/>
      </c>
      <c r="AB531">
        <f>IF(AA531&lt;&gt;"",IF(AA531&lt;0,"Overdue",IF(AA531&lt;=Y531*0.2,"At Risk","On Time")),"")</f>
        <v/>
      </c>
    </row>
    <row r="532">
      <c r="K532">
        <f>IF(J532="v4.0",L532,IF(J532="v3.1",M532,IF(J532="Both",L532,IF(AND(L532&lt;&gt;"",M532=""),L532,M532))))</f>
        <v/>
      </c>
      <c r="Y532">
        <f>IF(T532="P0",1,IF(T532="P1",3,IF(T532="P2",7,IF(T532="P3",30,IF(T532="P4",30,7)))))</f>
        <v/>
      </c>
      <c r="Z532">
        <f>IF(U532&lt;&gt;"",U532+Y532,"")</f>
        <v/>
      </c>
      <c r="AA532">
        <f>IF(Z532&lt;&gt;"",Z532-TODAY(),"")</f>
        <v/>
      </c>
      <c r="AB532">
        <f>IF(AA532&lt;&gt;"",IF(AA532&lt;0,"Overdue",IF(AA532&lt;=Y532*0.2,"At Risk","On Time")),"")</f>
        <v/>
      </c>
    </row>
    <row r="533">
      <c r="K533">
        <f>IF(J533="v4.0",L533,IF(J533="v3.1",M533,IF(J533="Both",L533,IF(AND(L533&lt;&gt;"",M533=""),L533,M533))))</f>
        <v/>
      </c>
      <c r="Y533">
        <f>IF(T533="P0",1,IF(T533="P1",3,IF(T533="P2",7,IF(T533="P3",30,IF(T533="P4",30,7)))))</f>
        <v/>
      </c>
      <c r="Z533">
        <f>IF(U533&lt;&gt;"",U533+Y533,"")</f>
        <v/>
      </c>
      <c r="AA533">
        <f>IF(Z533&lt;&gt;"",Z533-TODAY(),"")</f>
        <v/>
      </c>
      <c r="AB533">
        <f>IF(AA533&lt;&gt;"",IF(AA533&lt;0,"Overdue",IF(AA533&lt;=Y533*0.2,"At Risk","On Time")),"")</f>
        <v/>
      </c>
    </row>
    <row r="534">
      <c r="K534">
        <f>IF(J534="v4.0",L534,IF(J534="v3.1",M534,IF(J534="Both",L534,IF(AND(L534&lt;&gt;"",M534=""),L534,M534))))</f>
        <v/>
      </c>
      <c r="Y534">
        <f>IF(T534="P0",1,IF(T534="P1",3,IF(T534="P2",7,IF(T534="P3",30,IF(T534="P4",30,7)))))</f>
        <v/>
      </c>
      <c r="Z534">
        <f>IF(U534&lt;&gt;"",U534+Y534,"")</f>
        <v/>
      </c>
      <c r="AA534">
        <f>IF(Z534&lt;&gt;"",Z534-TODAY(),"")</f>
        <v/>
      </c>
      <c r="AB534">
        <f>IF(AA534&lt;&gt;"",IF(AA534&lt;0,"Overdue",IF(AA534&lt;=Y534*0.2,"At Risk","On Time")),"")</f>
        <v/>
      </c>
    </row>
    <row r="535">
      <c r="K535">
        <f>IF(J535="v4.0",L535,IF(J535="v3.1",M535,IF(J535="Both",L535,IF(AND(L535&lt;&gt;"",M535=""),L535,M535))))</f>
        <v/>
      </c>
      <c r="Y535">
        <f>IF(T535="P0",1,IF(T535="P1",3,IF(T535="P2",7,IF(T535="P3",30,IF(T535="P4",30,7)))))</f>
        <v/>
      </c>
      <c r="Z535">
        <f>IF(U535&lt;&gt;"",U535+Y535,"")</f>
        <v/>
      </c>
      <c r="AA535">
        <f>IF(Z535&lt;&gt;"",Z535-TODAY(),"")</f>
        <v/>
      </c>
      <c r="AB535">
        <f>IF(AA535&lt;&gt;"",IF(AA535&lt;0,"Overdue",IF(AA535&lt;=Y535*0.2,"At Risk","On Time")),"")</f>
        <v/>
      </c>
    </row>
    <row r="536">
      <c r="K536">
        <f>IF(J536="v4.0",L536,IF(J536="v3.1",M536,IF(J536="Both",L536,IF(AND(L536&lt;&gt;"",M536=""),L536,M536))))</f>
        <v/>
      </c>
      <c r="Y536">
        <f>IF(T536="P0",1,IF(T536="P1",3,IF(T536="P2",7,IF(T536="P3",30,IF(T536="P4",30,7)))))</f>
        <v/>
      </c>
      <c r="Z536">
        <f>IF(U536&lt;&gt;"",U536+Y536,"")</f>
        <v/>
      </c>
      <c r="AA536">
        <f>IF(Z536&lt;&gt;"",Z536-TODAY(),"")</f>
        <v/>
      </c>
      <c r="AB536">
        <f>IF(AA536&lt;&gt;"",IF(AA536&lt;0,"Overdue",IF(AA536&lt;=Y536*0.2,"At Risk","On Time")),"")</f>
        <v/>
      </c>
    </row>
    <row r="537">
      <c r="K537">
        <f>IF(J537="v4.0",L537,IF(J537="v3.1",M537,IF(J537="Both",L537,IF(AND(L537&lt;&gt;"",M537=""),L537,M537))))</f>
        <v/>
      </c>
      <c r="Y537">
        <f>IF(T537="P0",1,IF(T537="P1",3,IF(T537="P2",7,IF(T537="P3",30,IF(T537="P4",30,7)))))</f>
        <v/>
      </c>
      <c r="Z537">
        <f>IF(U537&lt;&gt;"",U537+Y537,"")</f>
        <v/>
      </c>
      <c r="AA537">
        <f>IF(Z537&lt;&gt;"",Z537-TODAY(),"")</f>
        <v/>
      </c>
      <c r="AB537">
        <f>IF(AA537&lt;&gt;"",IF(AA537&lt;0,"Overdue",IF(AA537&lt;=Y537*0.2,"At Risk","On Time")),"")</f>
        <v/>
      </c>
    </row>
    <row r="538">
      <c r="K538">
        <f>IF(J538="v4.0",L538,IF(J538="v3.1",M538,IF(J538="Both",L538,IF(AND(L538&lt;&gt;"",M538=""),L538,M538))))</f>
        <v/>
      </c>
      <c r="Y538">
        <f>IF(T538="P0",1,IF(T538="P1",3,IF(T538="P2",7,IF(T538="P3",30,IF(T538="P4",30,7)))))</f>
        <v/>
      </c>
      <c r="Z538">
        <f>IF(U538&lt;&gt;"",U538+Y538,"")</f>
        <v/>
      </c>
      <c r="AA538">
        <f>IF(Z538&lt;&gt;"",Z538-TODAY(),"")</f>
        <v/>
      </c>
      <c r="AB538">
        <f>IF(AA538&lt;&gt;"",IF(AA538&lt;0,"Overdue",IF(AA538&lt;=Y538*0.2,"At Risk","On Time")),"")</f>
        <v/>
      </c>
    </row>
    <row r="539">
      <c r="K539">
        <f>IF(J539="v4.0",L539,IF(J539="v3.1",M539,IF(J539="Both",L539,IF(AND(L539&lt;&gt;"",M539=""),L539,M539))))</f>
        <v/>
      </c>
      <c r="Y539">
        <f>IF(T539="P0",1,IF(T539="P1",3,IF(T539="P2",7,IF(T539="P3",30,IF(T539="P4",30,7)))))</f>
        <v/>
      </c>
      <c r="Z539">
        <f>IF(U539&lt;&gt;"",U539+Y539,"")</f>
        <v/>
      </c>
      <c r="AA539">
        <f>IF(Z539&lt;&gt;"",Z539-TODAY(),"")</f>
        <v/>
      </c>
      <c r="AB539">
        <f>IF(AA539&lt;&gt;"",IF(AA539&lt;0,"Overdue",IF(AA539&lt;=Y539*0.2,"At Risk","On Time")),"")</f>
        <v/>
      </c>
    </row>
    <row r="540">
      <c r="K540">
        <f>IF(J540="v4.0",L540,IF(J540="v3.1",M540,IF(J540="Both",L540,IF(AND(L540&lt;&gt;"",M540=""),L540,M540))))</f>
        <v/>
      </c>
      <c r="Y540">
        <f>IF(T540="P0",1,IF(T540="P1",3,IF(T540="P2",7,IF(T540="P3",30,IF(T540="P4",30,7)))))</f>
        <v/>
      </c>
      <c r="Z540">
        <f>IF(U540&lt;&gt;"",U540+Y540,"")</f>
        <v/>
      </c>
      <c r="AA540">
        <f>IF(Z540&lt;&gt;"",Z540-TODAY(),"")</f>
        <v/>
      </c>
      <c r="AB540">
        <f>IF(AA540&lt;&gt;"",IF(AA540&lt;0,"Overdue",IF(AA540&lt;=Y540*0.2,"At Risk","On Time")),"")</f>
        <v/>
      </c>
    </row>
    <row r="541">
      <c r="K541">
        <f>IF(J541="v4.0",L541,IF(J541="v3.1",M541,IF(J541="Both",L541,IF(AND(L541&lt;&gt;"",M541=""),L541,M541))))</f>
        <v/>
      </c>
      <c r="Y541">
        <f>IF(T541="P0",1,IF(T541="P1",3,IF(T541="P2",7,IF(T541="P3",30,IF(T541="P4",30,7)))))</f>
        <v/>
      </c>
      <c r="Z541">
        <f>IF(U541&lt;&gt;"",U541+Y541,"")</f>
        <v/>
      </c>
      <c r="AA541">
        <f>IF(Z541&lt;&gt;"",Z541-TODAY(),"")</f>
        <v/>
      </c>
      <c r="AB541">
        <f>IF(AA541&lt;&gt;"",IF(AA541&lt;0,"Overdue",IF(AA541&lt;=Y541*0.2,"At Risk","On Time")),"")</f>
        <v/>
      </c>
    </row>
    <row r="542">
      <c r="K542">
        <f>IF(J542="v4.0",L542,IF(J542="v3.1",M542,IF(J542="Both",L542,IF(AND(L542&lt;&gt;"",M542=""),L542,M542))))</f>
        <v/>
      </c>
      <c r="Y542">
        <f>IF(T542="P0",1,IF(T542="P1",3,IF(T542="P2",7,IF(T542="P3",30,IF(T542="P4",30,7)))))</f>
        <v/>
      </c>
      <c r="Z542">
        <f>IF(U542&lt;&gt;"",U542+Y542,"")</f>
        <v/>
      </c>
      <c r="AA542">
        <f>IF(Z542&lt;&gt;"",Z542-TODAY(),"")</f>
        <v/>
      </c>
      <c r="AB542">
        <f>IF(AA542&lt;&gt;"",IF(AA542&lt;0,"Overdue",IF(AA542&lt;=Y542*0.2,"At Risk","On Time")),"")</f>
        <v/>
      </c>
    </row>
    <row r="543">
      <c r="K543">
        <f>IF(J543="v4.0",L543,IF(J543="v3.1",M543,IF(J543="Both",L543,IF(AND(L543&lt;&gt;"",M543=""),L543,M543))))</f>
        <v/>
      </c>
      <c r="Y543">
        <f>IF(T543="P0",1,IF(T543="P1",3,IF(T543="P2",7,IF(T543="P3",30,IF(T543="P4",30,7)))))</f>
        <v/>
      </c>
      <c r="Z543">
        <f>IF(U543&lt;&gt;"",U543+Y543,"")</f>
        <v/>
      </c>
      <c r="AA543">
        <f>IF(Z543&lt;&gt;"",Z543-TODAY(),"")</f>
        <v/>
      </c>
      <c r="AB543">
        <f>IF(AA543&lt;&gt;"",IF(AA543&lt;0,"Overdue",IF(AA543&lt;=Y543*0.2,"At Risk","On Time")),"")</f>
        <v/>
      </c>
    </row>
    <row r="544">
      <c r="K544">
        <f>IF(J544="v4.0",L544,IF(J544="v3.1",M544,IF(J544="Both",L544,IF(AND(L544&lt;&gt;"",M544=""),L544,M544))))</f>
        <v/>
      </c>
      <c r="Y544">
        <f>IF(T544="P0",1,IF(T544="P1",3,IF(T544="P2",7,IF(T544="P3",30,IF(T544="P4",30,7)))))</f>
        <v/>
      </c>
      <c r="Z544">
        <f>IF(U544&lt;&gt;"",U544+Y544,"")</f>
        <v/>
      </c>
      <c r="AA544">
        <f>IF(Z544&lt;&gt;"",Z544-TODAY(),"")</f>
        <v/>
      </c>
      <c r="AB544">
        <f>IF(AA544&lt;&gt;"",IF(AA544&lt;0,"Overdue",IF(AA544&lt;=Y544*0.2,"At Risk","On Time")),"")</f>
        <v/>
      </c>
    </row>
    <row r="545">
      <c r="K545">
        <f>IF(J545="v4.0",L545,IF(J545="v3.1",M545,IF(J545="Both",L545,IF(AND(L545&lt;&gt;"",M545=""),L545,M545))))</f>
        <v/>
      </c>
      <c r="Y545">
        <f>IF(T545="P0",1,IF(T545="P1",3,IF(T545="P2",7,IF(T545="P3",30,IF(T545="P4",30,7)))))</f>
        <v/>
      </c>
      <c r="Z545">
        <f>IF(U545&lt;&gt;"",U545+Y545,"")</f>
        <v/>
      </c>
      <c r="AA545">
        <f>IF(Z545&lt;&gt;"",Z545-TODAY(),"")</f>
        <v/>
      </c>
      <c r="AB545">
        <f>IF(AA545&lt;&gt;"",IF(AA545&lt;0,"Overdue",IF(AA545&lt;=Y545*0.2,"At Risk","On Time")),"")</f>
        <v/>
      </c>
    </row>
    <row r="546">
      <c r="K546">
        <f>IF(J546="v4.0",L546,IF(J546="v3.1",M546,IF(J546="Both",L546,IF(AND(L546&lt;&gt;"",M546=""),L546,M546))))</f>
        <v/>
      </c>
      <c r="Y546">
        <f>IF(T546="P0",1,IF(T546="P1",3,IF(T546="P2",7,IF(T546="P3",30,IF(T546="P4",30,7)))))</f>
        <v/>
      </c>
      <c r="Z546">
        <f>IF(U546&lt;&gt;"",U546+Y546,"")</f>
        <v/>
      </c>
      <c r="AA546">
        <f>IF(Z546&lt;&gt;"",Z546-TODAY(),"")</f>
        <v/>
      </c>
      <c r="AB546">
        <f>IF(AA546&lt;&gt;"",IF(AA546&lt;0,"Overdue",IF(AA546&lt;=Y546*0.2,"At Risk","On Time")),"")</f>
        <v/>
      </c>
    </row>
    <row r="547">
      <c r="K547">
        <f>IF(J547="v4.0",L547,IF(J547="v3.1",M547,IF(J547="Both",L547,IF(AND(L547&lt;&gt;"",M547=""),L547,M547))))</f>
        <v/>
      </c>
      <c r="Y547">
        <f>IF(T547="P0",1,IF(T547="P1",3,IF(T547="P2",7,IF(T547="P3",30,IF(T547="P4",30,7)))))</f>
        <v/>
      </c>
      <c r="Z547">
        <f>IF(U547&lt;&gt;"",U547+Y547,"")</f>
        <v/>
      </c>
      <c r="AA547">
        <f>IF(Z547&lt;&gt;"",Z547-TODAY(),"")</f>
        <v/>
      </c>
      <c r="AB547">
        <f>IF(AA547&lt;&gt;"",IF(AA547&lt;0,"Overdue",IF(AA547&lt;=Y547*0.2,"At Risk","On Time")),"")</f>
        <v/>
      </c>
    </row>
    <row r="548">
      <c r="K548">
        <f>IF(J548="v4.0",L548,IF(J548="v3.1",M548,IF(J548="Both",L548,IF(AND(L548&lt;&gt;"",M548=""),L548,M548))))</f>
        <v/>
      </c>
      <c r="Y548">
        <f>IF(T548="P0",1,IF(T548="P1",3,IF(T548="P2",7,IF(T548="P3",30,IF(T548="P4",30,7)))))</f>
        <v/>
      </c>
      <c r="Z548">
        <f>IF(U548&lt;&gt;"",U548+Y548,"")</f>
        <v/>
      </c>
      <c r="AA548">
        <f>IF(Z548&lt;&gt;"",Z548-TODAY(),"")</f>
        <v/>
      </c>
      <c r="AB548">
        <f>IF(AA548&lt;&gt;"",IF(AA548&lt;0,"Overdue",IF(AA548&lt;=Y548*0.2,"At Risk","On Time")),"")</f>
        <v/>
      </c>
    </row>
    <row r="549">
      <c r="K549">
        <f>IF(J549="v4.0",L549,IF(J549="v3.1",M549,IF(J549="Both",L549,IF(AND(L549&lt;&gt;"",M549=""),L549,M549))))</f>
        <v/>
      </c>
      <c r="Y549">
        <f>IF(T549="P0",1,IF(T549="P1",3,IF(T549="P2",7,IF(T549="P3",30,IF(T549="P4",30,7)))))</f>
        <v/>
      </c>
      <c r="Z549">
        <f>IF(U549&lt;&gt;"",U549+Y549,"")</f>
        <v/>
      </c>
      <c r="AA549">
        <f>IF(Z549&lt;&gt;"",Z549-TODAY(),"")</f>
        <v/>
      </c>
      <c r="AB549">
        <f>IF(AA549&lt;&gt;"",IF(AA549&lt;0,"Overdue",IF(AA549&lt;=Y549*0.2,"At Risk","On Time")),"")</f>
        <v/>
      </c>
    </row>
    <row r="550">
      <c r="K550">
        <f>IF(J550="v4.0",L550,IF(J550="v3.1",M550,IF(J550="Both",L550,IF(AND(L550&lt;&gt;"",M550=""),L550,M550))))</f>
        <v/>
      </c>
      <c r="Y550">
        <f>IF(T550="P0",1,IF(T550="P1",3,IF(T550="P2",7,IF(T550="P3",30,IF(T550="P4",30,7)))))</f>
        <v/>
      </c>
      <c r="Z550">
        <f>IF(U550&lt;&gt;"",U550+Y550,"")</f>
        <v/>
      </c>
      <c r="AA550">
        <f>IF(Z550&lt;&gt;"",Z550-TODAY(),"")</f>
        <v/>
      </c>
      <c r="AB550">
        <f>IF(AA550&lt;&gt;"",IF(AA550&lt;0,"Overdue",IF(AA550&lt;=Y550*0.2,"At Risk","On Time")),"")</f>
        <v/>
      </c>
    </row>
    <row r="551">
      <c r="K551">
        <f>IF(J551="v4.0",L551,IF(J551="v3.1",M551,IF(J551="Both",L551,IF(AND(L551&lt;&gt;"",M551=""),L551,M551))))</f>
        <v/>
      </c>
      <c r="Y551">
        <f>IF(T551="P0",1,IF(T551="P1",3,IF(T551="P2",7,IF(T551="P3",30,IF(T551="P4",30,7)))))</f>
        <v/>
      </c>
      <c r="Z551">
        <f>IF(U551&lt;&gt;"",U551+Y551,"")</f>
        <v/>
      </c>
      <c r="AA551">
        <f>IF(Z551&lt;&gt;"",Z551-TODAY(),"")</f>
        <v/>
      </c>
      <c r="AB551">
        <f>IF(AA551&lt;&gt;"",IF(AA551&lt;0,"Overdue",IF(AA551&lt;=Y551*0.2,"At Risk","On Time")),"")</f>
        <v/>
      </c>
    </row>
    <row r="552">
      <c r="K552">
        <f>IF(J552="v4.0",L552,IF(J552="v3.1",M552,IF(J552="Both",L552,IF(AND(L552&lt;&gt;"",M552=""),L552,M552))))</f>
        <v/>
      </c>
      <c r="Y552">
        <f>IF(T552="P0",1,IF(T552="P1",3,IF(T552="P2",7,IF(T552="P3",30,IF(T552="P4",30,7)))))</f>
        <v/>
      </c>
      <c r="Z552">
        <f>IF(U552&lt;&gt;"",U552+Y552,"")</f>
        <v/>
      </c>
      <c r="AA552">
        <f>IF(Z552&lt;&gt;"",Z552-TODAY(),"")</f>
        <v/>
      </c>
      <c r="AB552">
        <f>IF(AA552&lt;&gt;"",IF(AA552&lt;0,"Overdue",IF(AA552&lt;=Y552*0.2,"At Risk","On Time")),"")</f>
        <v/>
      </c>
    </row>
    <row r="553">
      <c r="K553">
        <f>IF(J553="v4.0",L553,IF(J553="v3.1",M553,IF(J553="Both",L553,IF(AND(L553&lt;&gt;"",M553=""),L553,M553))))</f>
        <v/>
      </c>
      <c r="Y553">
        <f>IF(T553="P0",1,IF(T553="P1",3,IF(T553="P2",7,IF(T553="P3",30,IF(T553="P4",30,7)))))</f>
        <v/>
      </c>
      <c r="Z553">
        <f>IF(U553&lt;&gt;"",U553+Y553,"")</f>
        <v/>
      </c>
      <c r="AA553">
        <f>IF(Z553&lt;&gt;"",Z553-TODAY(),"")</f>
        <v/>
      </c>
      <c r="AB553">
        <f>IF(AA553&lt;&gt;"",IF(AA553&lt;0,"Overdue",IF(AA553&lt;=Y553*0.2,"At Risk","On Time")),"")</f>
        <v/>
      </c>
    </row>
    <row r="554">
      <c r="K554">
        <f>IF(J554="v4.0",L554,IF(J554="v3.1",M554,IF(J554="Both",L554,IF(AND(L554&lt;&gt;"",M554=""),L554,M554))))</f>
        <v/>
      </c>
      <c r="Y554">
        <f>IF(T554="P0",1,IF(T554="P1",3,IF(T554="P2",7,IF(T554="P3",30,IF(T554="P4",30,7)))))</f>
        <v/>
      </c>
      <c r="Z554">
        <f>IF(U554&lt;&gt;"",U554+Y554,"")</f>
        <v/>
      </c>
      <c r="AA554">
        <f>IF(Z554&lt;&gt;"",Z554-TODAY(),"")</f>
        <v/>
      </c>
      <c r="AB554">
        <f>IF(AA554&lt;&gt;"",IF(AA554&lt;0,"Overdue",IF(AA554&lt;=Y554*0.2,"At Risk","On Time")),"")</f>
        <v/>
      </c>
    </row>
    <row r="555">
      <c r="K555">
        <f>IF(J555="v4.0",L555,IF(J555="v3.1",M555,IF(J555="Both",L555,IF(AND(L555&lt;&gt;"",M555=""),L555,M555))))</f>
        <v/>
      </c>
      <c r="Y555">
        <f>IF(T555="P0",1,IF(T555="P1",3,IF(T555="P2",7,IF(T555="P3",30,IF(T555="P4",30,7)))))</f>
        <v/>
      </c>
      <c r="Z555">
        <f>IF(U555&lt;&gt;"",U555+Y555,"")</f>
        <v/>
      </c>
      <c r="AA555">
        <f>IF(Z555&lt;&gt;"",Z555-TODAY(),"")</f>
        <v/>
      </c>
      <c r="AB555">
        <f>IF(AA555&lt;&gt;"",IF(AA555&lt;0,"Overdue",IF(AA555&lt;=Y555*0.2,"At Risk","On Time")),"")</f>
        <v/>
      </c>
    </row>
    <row r="556">
      <c r="K556">
        <f>IF(J556="v4.0",L556,IF(J556="v3.1",M556,IF(J556="Both",L556,IF(AND(L556&lt;&gt;"",M556=""),L556,M556))))</f>
        <v/>
      </c>
      <c r="Y556">
        <f>IF(T556="P0",1,IF(T556="P1",3,IF(T556="P2",7,IF(T556="P3",30,IF(T556="P4",30,7)))))</f>
        <v/>
      </c>
      <c r="Z556">
        <f>IF(U556&lt;&gt;"",U556+Y556,"")</f>
        <v/>
      </c>
      <c r="AA556">
        <f>IF(Z556&lt;&gt;"",Z556-TODAY(),"")</f>
        <v/>
      </c>
      <c r="AB556">
        <f>IF(AA556&lt;&gt;"",IF(AA556&lt;0,"Overdue",IF(AA556&lt;=Y556*0.2,"At Risk","On Time")),"")</f>
        <v/>
      </c>
    </row>
    <row r="557">
      <c r="K557">
        <f>IF(J557="v4.0",L557,IF(J557="v3.1",M557,IF(J557="Both",L557,IF(AND(L557&lt;&gt;"",M557=""),L557,M557))))</f>
        <v/>
      </c>
      <c r="Y557">
        <f>IF(T557="P0",1,IF(T557="P1",3,IF(T557="P2",7,IF(T557="P3",30,IF(T557="P4",30,7)))))</f>
        <v/>
      </c>
      <c r="Z557">
        <f>IF(U557&lt;&gt;"",U557+Y557,"")</f>
        <v/>
      </c>
      <c r="AA557">
        <f>IF(Z557&lt;&gt;"",Z557-TODAY(),"")</f>
        <v/>
      </c>
      <c r="AB557">
        <f>IF(AA557&lt;&gt;"",IF(AA557&lt;0,"Overdue",IF(AA557&lt;=Y557*0.2,"At Risk","On Time")),"")</f>
        <v/>
      </c>
    </row>
    <row r="558">
      <c r="K558">
        <f>IF(J558="v4.0",L558,IF(J558="v3.1",M558,IF(J558="Both",L558,IF(AND(L558&lt;&gt;"",M558=""),L558,M558))))</f>
        <v/>
      </c>
      <c r="Y558">
        <f>IF(T558="P0",1,IF(T558="P1",3,IF(T558="P2",7,IF(T558="P3",30,IF(T558="P4",30,7)))))</f>
        <v/>
      </c>
      <c r="Z558">
        <f>IF(U558&lt;&gt;"",U558+Y558,"")</f>
        <v/>
      </c>
      <c r="AA558">
        <f>IF(Z558&lt;&gt;"",Z558-TODAY(),"")</f>
        <v/>
      </c>
      <c r="AB558">
        <f>IF(AA558&lt;&gt;"",IF(AA558&lt;0,"Overdue",IF(AA558&lt;=Y558*0.2,"At Risk","On Time")),"")</f>
        <v/>
      </c>
    </row>
    <row r="559">
      <c r="K559">
        <f>IF(J559="v4.0",L559,IF(J559="v3.1",M559,IF(J559="Both",L559,IF(AND(L559&lt;&gt;"",M559=""),L559,M559))))</f>
        <v/>
      </c>
      <c r="Y559">
        <f>IF(T559="P0",1,IF(T559="P1",3,IF(T559="P2",7,IF(T559="P3",30,IF(T559="P4",30,7)))))</f>
        <v/>
      </c>
      <c r="Z559">
        <f>IF(U559&lt;&gt;"",U559+Y559,"")</f>
        <v/>
      </c>
      <c r="AA559">
        <f>IF(Z559&lt;&gt;"",Z559-TODAY(),"")</f>
        <v/>
      </c>
      <c r="AB559">
        <f>IF(AA559&lt;&gt;"",IF(AA559&lt;0,"Overdue",IF(AA559&lt;=Y559*0.2,"At Risk","On Time")),"")</f>
        <v/>
      </c>
    </row>
    <row r="560">
      <c r="K560">
        <f>IF(J560="v4.0",L560,IF(J560="v3.1",M560,IF(J560="Both",L560,IF(AND(L560&lt;&gt;"",M560=""),L560,M560))))</f>
        <v/>
      </c>
      <c r="Y560">
        <f>IF(T560="P0",1,IF(T560="P1",3,IF(T560="P2",7,IF(T560="P3",30,IF(T560="P4",30,7)))))</f>
        <v/>
      </c>
      <c r="Z560">
        <f>IF(U560&lt;&gt;"",U560+Y560,"")</f>
        <v/>
      </c>
      <c r="AA560">
        <f>IF(Z560&lt;&gt;"",Z560-TODAY(),"")</f>
        <v/>
      </c>
      <c r="AB560">
        <f>IF(AA560&lt;&gt;"",IF(AA560&lt;0,"Overdue",IF(AA560&lt;=Y560*0.2,"At Risk","On Time")),"")</f>
        <v/>
      </c>
    </row>
    <row r="561">
      <c r="K561">
        <f>IF(J561="v4.0",L561,IF(J561="v3.1",M561,IF(J561="Both",L561,IF(AND(L561&lt;&gt;"",M561=""),L561,M561))))</f>
        <v/>
      </c>
      <c r="Y561">
        <f>IF(T561="P0",1,IF(T561="P1",3,IF(T561="P2",7,IF(T561="P3",30,IF(T561="P4",30,7)))))</f>
        <v/>
      </c>
      <c r="Z561">
        <f>IF(U561&lt;&gt;"",U561+Y561,"")</f>
        <v/>
      </c>
      <c r="AA561">
        <f>IF(Z561&lt;&gt;"",Z561-TODAY(),"")</f>
        <v/>
      </c>
      <c r="AB561">
        <f>IF(AA561&lt;&gt;"",IF(AA561&lt;0,"Overdue",IF(AA561&lt;=Y561*0.2,"At Risk","On Time")),"")</f>
        <v/>
      </c>
    </row>
    <row r="562">
      <c r="K562">
        <f>IF(J562="v4.0",L562,IF(J562="v3.1",M562,IF(J562="Both",L562,IF(AND(L562&lt;&gt;"",M562=""),L562,M562))))</f>
        <v/>
      </c>
      <c r="Y562">
        <f>IF(T562="P0",1,IF(T562="P1",3,IF(T562="P2",7,IF(T562="P3",30,IF(T562="P4",30,7)))))</f>
        <v/>
      </c>
      <c r="Z562">
        <f>IF(U562&lt;&gt;"",U562+Y562,"")</f>
        <v/>
      </c>
      <c r="AA562">
        <f>IF(Z562&lt;&gt;"",Z562-TODAY(),"")</f>
        <v/>
      </c>
      <c r="AB562">
        <f>IF(AA562&lt;&gt;"",IF(AA562&lt;0,"Overdue",IF(AA562&lt;=Y562*0.2,"At Risk","On Time")),"")</f>
        <v/>
      </c>
    </row>
    <row r="563">
      <c r="K563">
        <f>IF(J563="v4.0",L563,IF(J563="v3.1",M563,IF(J563="Both",L563,IF(AND(L563&lt;&gt;"",M563=""),L563,M563))))</f>
        <v/>
      </c>
      <c r="Y563">
        <f>IF(T563="P0",1,IF(T563="P1",3,IF(T563="P2",7,IF(T563="P3",30,IF(T563="P4",30,7)))))</f>
        <v/>
      </c>
      <c r="Z563">
        <f>IF(U563&lt;&gt;"",U563+Y563,"")</f>
        <v/>
      </c>
      <c r="AA563">
        <f>IF(Z563&lt;&gt;"",Z563-TODAY(),"")</f>
        <v/>
      </c>
      <c r="AB563">
        <f>IF(AA563&lt;&gt;"",IF(AA563&lt;0,"Overdue",IF(AA563&lt;=Y563*0.2,"At Risk","On Time")),"")</f>
        <v/>
      </c>
    </row>
    <row r="564">
      <c r="K564">
        <f>IF(J564="v4.0",L564,IF(J564="v3.1",M564,IF(J564="Both",L564,IF(AND(L564&lt;&gt;"",M564=""),L564,M564))))</f>
        <v/>
      </c>
      <c r="Y564">
        <f>IF(T564="P0",1,IF(T564="P1",3,IF(T564="P2",7,IF(T564="P3",30,IF(T564="P4",30,7)))))</f>
        <v/>
      </c>
      <c r="Z564">
        <f>IF(U564&lt;&gt;"",U564+Y564,"")</f>
        <v/>
      </c>
      <c r="AA564">
        <f>IF(Z564&lt;&gt;"",Z564-TODAY(),"")</f>
        <v/>
      </c>
      <c r="AB564">
        <f>IF(AA564&lt;&gt;"",IF(AA564&lt;0,"Overdue",IF(AA564&lt;=Y564*0.2,"At Risk","On Time")),"")</f>
        <v/>
      </c>
    </row>
    <row r="565">
      <c r="K565">
        <f>IF(J565="v4.0",L565,IF(J565="v3.1",M565,IF(J565="Both",L565,IF(AND(L565&lt;&gt;"",M565=""),L565,M565))))</f>
        <v/>
      </c>
      <c r="Y565">
        <f>IF(T565="P0",1,IF(T565="P1",3,IF(T565="P2",7,IF(T565="P3",30,IF(T565="P4",30,7)))))</f>
        <v/>
      </c>
      <c r="Z565">
        <f>IF(U565&lt;&gt;"",U565+Y565,"")</f>
        <v/>
      </c>
      <c r="AA565">
        <f>IF(Z565&lt;&gt;"",Z565-TODAY(),"")</f>
        <v/>
      </c>
      <c r="AB565">
        <f>IF(AA565&lt;&gt;"",IF(AA565&lt;0,"Overdue",IF(AA565&lt;=Y565*0.2,"At Risk","On Time")),"")</f>
        <v/>
      </c>
    </row>
    <row r="566">
      <c r="K566">
        <f>IF(J566="v4.0",L566,IF(J566="v3.1",M566,IF(J566="Both",L566,IF(AND(L566&lt;&gt;"",M566=""),L566,M566))))</f>
        <v/>
      </c>
      <c r="Y566">
        <f>IF(T566="P0",1,IF(T566="P1",3,IF(T566="P2",7,IF(T566="P3",30,IF(T566="P4",30,7)))))</f>
        <v/>
      </c>
      <c r="Z566">
        <f>IF(U566&lt;&gt;"",U566+Y566,"")</f>
        <v/>
      </c>
      <c r="AA566">
        <f>IF(Z566&lt;&gt;"",Z566-TODAY(),"")</f>
        <v/>
      </c>
      <c r="AB566">
        <f>IF(AA566&lt;&gt;"",IF(AA566&lt;0,"Overdue",IF(AA566&lt;=Y566*0.2,"At Risk","On Time")),"")</f>
        <v/>
      </c>
    </row>
    <row r="567">
      <c r="K567">
        <f>IF(J567="v4.0",L567,IF(J567="v3.1",M567,IF(J567="Both",L567,IF(AND(L567&lt;&gt;"",M567=""),L567,M567))))</f>
        <v/>
      </c>
      <c r="Y567">
        <f>IF(T567="P0",1,IF(T567="P1",3,IF(T567="P2",7,IF(T567="P3",30,IF(T567="P4",30,7)))))</f>
        <v/>
      </c>
      <c r="Z567">
        <f>IF(U567&lt;&gt;"",U567+Y567,"")</f>
        <v/>
      </c>
      <c r="AA567">
        <f>IF(Z567&lt;&gt;"",Z567-TODAY(),"")</f>
        <v/>
      </c>
      <c r="AB567">
        <f>IF(AA567&lt;&gt;"",IF(AA567&lt;0,"Overdue",IF(AA567&lt;=Y567*0.2,"At Risk","On Time")),"")</f>
        <v/>
      </c>
    </row>
    <row r="568">
      <c r="K568">
        <f>IF(J568="v4.0",L568,IF(J568="v3.1",M568,IF(J568="Both",L568,IF(AND(L568&lt;&gt;"",M568=""),L568,M568))))</f>
        <v/>
      </c>
      <c r="Y568">
        <f>IF(T568="P0",1,IF(T568="P1",3,IF(T568="P2",7,IF(T568="P3",30,IF(T568="P4",30,7)))))</f>
        <v/>
      </c>
      <c r="Z568">
        <f>IF(U568&lt;&gt;"",U568+Y568,"")</f>
        <v/>
      </c>
      <c r="AA568">
        <f>IF(Z568&lt;&gt;"",Z568-TODAY(),"")</f>
        <v/>
      </c>
      <c r="AB568">
        <f>IF(AA568&lt;&gt;"",IF(AA568&lt;0,"Overdue",IF(AA568&lt;=Y568*0.2,"At Risk","On Time")),"")</f>
        <v/>
      </c>
    </row>
    <row r="569">
      <c r="K569">
        <f>IF(J569="v4.0",L569,IF(J569="v3.1",M569,IF(J569="Both",L569,IF(AND(L569&lt;&gt;"",M569=""),L569,M569))))</f>
        <v/>
      </c>
      <c r="Y569">
        <f>IF(T569="P0",1,IF(T569="P1",3,IF(T569="P2",7,IF(T569="P3",30,IF(T569="P4",30,7)))))</f>
        <v/>
      </c>
      <c r="Z569">
        <f>IF(U569&lt;&gt;"",U569+Y569,"")</f>
        <v/>
      </c>
      <c r="AA569">
        <f>IF(Z569&lt;&gt;"",Z569-TODAY(),"")</f>
        <v/>
      </c>
      <c r="AB569">
        <f>IF(AA569&lt;&gt;"",IF(AA569&lt;0,"Overdue",IF(AA569&lt;=Y569*0.2,"At Risk","On Time")),"")</f>
        <v/>
      </c>
    </row>
    <row r="570">
      <c r="K570">
        <f>IF(J570="v4.0",L570,IF(J570="v3.1",M570,IF(J570="Both",L570,IF(AND(L570&lt;&gt;"",M570=""),L570,M570))))</f>
        <v/>
      </c>
      <c r="Y570">
        <f>IF(T570="P0",1,IF(T570="P1",3,IF(T570="P2",7,IF(T570="P3",30,IF(T570="P4",30,7)))))</f>
        <v/>
      </c>
      <c r="Z570">
        <f>IF(U570&lt;&gt;"",U570+Y570,"")</f>
        <v/>
      </c>
      <c r="AA570">
        <f>IF(Z570&lt;&gt;"",Z570-TODAY(),"")</f>
        <v/>
      </c>
      <c r="AB570">
        <f>IF(AA570&lt;&gt;"",IF(AA570&lt;0,"Overdue",IF(AA570&lt;=Y570*0.2,"At Risk","On Time")),"")</f>
        <v/>
      </c>
    </row>
    <row r="571">
      <c r="K571">
        <f>IF(J571="v4.0",L571,IF(J571="v3.1",M571,IF(J571="Both",L571,IF(AND(L571&lt;&gt;"",M571=""),L571,M571))))</f>
        <v/>
      </c>
      <c r="Y571">
        <f>IF(T571="P0",1,IF(T571="P1",3,IF(T571="P2",7,IF(T571="P3",30,IF(T571="P4",30,7)))))</f>
        <v/>
      </c>
      <c r="Z571">
        <f>IF(U571&lt;&gt;"",U571+Y571,"")</f>
        <v/>
      </c>
      <c r="AA571">
        <f>IF(Z571&lt;&gt;"",Z571-TODAY(),"")</f>
        <v/>
      </c>
      <c r="AB571">
        <f>IF(AA571&lt;&gt;"",IF(AA571&lt;0,"Overdue",IF(AA571&lt;=Y571*0.2,"At Risk","On Time")),"")</f>
        <v/>
      </c>
    </row>
    <row r="572">
      <c r="K572">
        <f>IF(J572="v4.0",L572,IF(J572="v3.1",M572,IF(J572="Both",L572,IF(AND(L572&lt;&gt;"",M572=""),L572,M572))))</f>
        <v/>
      </c>
      <c r="Y572">
        <f>IF(T572="P0",1,IF(T572="P1",3,IF(T572="P2",7,IF(T572="P3",30,IF(T572="P4",30,7)))))</f>
        <v/>
      </c>
      <c r="Z572">
        <f>IF(U572&lt;&gt;"",U572+Y572,"")</f>
        <v/>
      </c>
      <c r="AA572">
        <f>IF(Z572&lt;&gt;"",Z572-TODAY(),"")</f>
        <v/>
      </c>
      <c r="AB572">
        <f>IF(AA572&lt;&gt;"",IF(AA572&lt;0,"Overdue",IF(AA572&lt;=Y572*0.2,"At Risk","On Time")),"")</f>
        <v/>
      </c>
    </row>
    <row r="573">
      <c r="K573">
        <f>IF(J573="v4.0",L573,IF(J573="v3.1",M573,IF(J573="Both",L573,IF(AND(L573&lt;&gt;"",M573=""),L573,M573))))</f>
        <v/>
      </c>
      <c r="Y573">
        <f>IF(T573="P0",1,IF(T573="P1",3,IF(T573="P2",7,IF(T573="P3",30,IF(T573="P4",30,7)))))</f>
        <v/>
      </c>
      <c r="Z573">
        <f>IF(U573&lt;&gt;"",U573+Y573,"")</f>
        <v/>
      </c>
      <c r="AA573">
        <f>IF(Z573&lt;&gt;"",Z573-TODAY(),"")</f>
        <v/>
      </c>
      <c r="AB573">
        <f>IF(AA573&lt;&gt;"",IF(AA573&lt;0,"Overdue",IF(AA573&lt;=Y573*0.2,"At Risk","On Time")),"")</f>
        <v/>
      </c>
    </row>
    <row r="574">
      <c r="K574">
        <f>IF(J574="v4.0",L574,IF(J574="v3.1",M574,IF(J574="Both",L574,IF(AND(L574&lt;&gt;"",M574=""),L574,M574))))</f>
        <v/>
      </c>
      <c r="Y574">
        <f>IF(T574="P0",1,IF(T574="P1",3,IF(T574="P2",7,IF(T574="P3",30,IF(T574="P4",30,7)))))</f>
        <v/>
      </c>
      <c r="Z574">
        <f>IF(U574&lt;&gt;"",U574+Y574,"")</f>
        <v/>
      </c>
      <c r="AA574">
        <f>IF(Z574&lt;&gt;"",Z574-TODAY(),"")</f>
        <v/>
      </c>
      <c r="AB574">
        <f>IF(AA574&lt;&gt;"",IF(AA574&lt;0,"Overdue",IF(AA574&lt;=Y574*0.2,"At Risk","On Time")),"")</f>
        <v/>
      </c>
    </row>
    <row r="575">
      <c r="K575">
        <f>IF(J575="v4.0",L575,IF(J575="v3.1",M575,IF(J575="Both",L575,IF(AND(L575&lt;&gt;"",M575=""),L575,M575))))</f>
        <v/>
      </c>
      <c r="Y575">
        <f>IF(T575="P0",1,IF(T575="P1",3,IF(T575="P2",7,IF(T575="P3",30,IF(T575="P4",30,7)))))</f>
        <v/>
      </c>
      <c r="Z575">
        <f>IF(U575&lt;&gt;"",U575+Y575,"")</f>
        <v/>
      </c>
      <c r="AA575">
        <f>IF(Z575&lt;&gt;"",Z575-TODAY(),"")</f>
        <v/>
      </c>
      <c r="AB575">
        <f>IF(AA575&lt;&gt;"",IF(AA575&lt;0,"Overdue",IF(AA575&lt;=Y575*0.2,"At Risk","On Time")),"")</f>
        <v/>
      </c>
    </row>
    <row r="576">
      <c r="K576">
        <f>IF(J576="v4.0",L576,IF(J576="v3.1",M576,IF(J576="Both",L576,IF(AND(L576&lt;&gt;"",M576=""),L576,M576))))</f>
        <v/>
      </c>
      <c r="Y576">
        <f>IF(T576="P0",1,IF(T576="P1",3,IF(T576="P2",7,IF(T576="P3",30,IF(T576="P4",30,7)))))</f>
        <v/>
      </c>
      <c r="Z576">
        <f>IF(U576&lt;&gt;"",U576+Y576,"")</f>
        <v/>
      </c>
      <c r="AA576">
        <f>IF(Z576&lt;&gt;"",Z576-TODAY(),"")</f>
        <v/>
      </c>
      <c r="AB576">
        <f>IF(AA576&lt;&gt;"",IF(AA576&lt;0,"Overdue",IF(AA576&lt;=Y576*0.2,"At Risk","On Time")),"")</f>
        <v/>
      </c>
    </row>
    <row r="577">
      <c r="K577">
        <f>IF(J577="v4.0",L577,IF(J577="v3.1",M577,IF(J577="Both",L577,IF(AND(L577&lt;&gt;"",M577=""),L577,M577))))</f>
        <v/>
      </c>
      <c r="Y577">
        <f>IF(T577="P0",1,IF(T577="P1",3,IF(T577="P2",7,IF(T577="P3",30,IF(T577="P4",30,7)))))</f>
        <v/>
      </c>
      <c r="Z577">
        <f>IF(U577&lt;&gt;"",U577+Y577,"")</f>
        <v/>
      </c>
      <c r="AA577">
        <f>IF(Z577&lt;&gt;"",Z577-TODAY(),"")</f>
        <v/>
      </c>
      <c r="AB577">
        <f>IF(AA577&lt;&gt;"",IF(AA577&lt;0,"Overdue",IF(AA577&lt;=Y577*0.2,"At Risk","On Time")),"")</f>
        <v/>
      </c>
    </row>
    <row r="578">
      <c r="K578">
        <f>IF(J578="v4.0",L578,IF(J578="v3.1",M578,IF(J578="Both",L578,IF(AND(L578&lt;&gt;"",M578=""),L578,M578))))</f>
        <v/>
      </c>
      <c r="Y578">
        <f>IF(T578="P0",1,IF(T578="P1",3,IF(T578="P2",7,IF(T578="P3",30,IF(T578="P4",30,7)))))</f>
        <v/>
      </c>
      <c r="Z578">
        <f>IF(U578&lt;&gt;"",U578+Y578,"")</f>
        <v/>
      </c>
      <c r="AA578">
        <f>IF(Z578&lt;&gt;"",Z578-TODAY(),"")</f>
        <v/>
      </c>
      <c r="AB578">
        <f>IF(AA578&lt;&gt;"",IF(AA578&lt;0,"Overdue",IF(AA578&lt;=Y578*0.2,"At Risk","On Time")),"")</f>
        <v/>
      </c>
    </row>
    <row r="579">
      <c r="K579">
        <f>IF(J579="v4.0",L579,IF(J579="v3.1",M579,IF(J579="Both",L579,IF(AND(L579&lt;&gt;"",M579=""),L579,M579))))</f>
        <v/>
      </c>
      <c r="Y579">
        <f>IF(T579="P0",1,IF(T579="P1",3,IF(T579="P2",7,IF(T579="P3",30,IF(T579="P4",30,7)))))</f>
        <v/>
      </c>
      <c r="Z579">
        <f>IF(U579&lt;&gt;"",U579+Y579,"")</f>
        <v/>
      </c>
      <c r="AA579">
        <f>IF(Z579&lt;&gt;"",Z579-TODAY(),"")</f>
        <v/>
      </c>
      <c r="AB579">
        <f>IF(AA579&lt;&gt;"",IF(AA579&lt;0,"Overdue",IF(AA579&lt;=Y579*0.2,"At Risk","On Time")),"")</f>
        <v/>
      </c>
    </row>
    <row r="580">
      <c r="K580">
        <f>IF(J580="v4.0",L580,IF(J580="v3.1",M580,IF(J580="Both",L580,IF(AND(L580&lt;&gt;"",M580=""),L580,M580))))</f>
        <v/>
      </c>
      <c r="Y580">
        <f>IF(T580="P0",1,IF(T580="P1",3,IF(T580="P2",7,IF(T580="P3",30,IF(T580="P4",30,7)))))</f>
        <v/>
      </c>
      <c r="Z580">
        <f>IF(U580&lt;&gt;"",U580+Y580,"")</f>
        <v/>
      </c>
      <c r="AA580">
        <f>IF(Z580&lt;&gt;"",Z580-TODAY(),"")</f>
        <v/>
      </c>
      <c r="AB580">
        <f>IF(AA580&lt;&gt;"",IF(AA580&lt;0,"Overdue",IF(AA580&lt;=Y580*0.2,"At Risk","On Time")),"")</f>
        <v/>
      </c>
    </row>
    <row r="581">
      <c r="K581">
        <f>IF(J581="v4.0",L581,IF(J581="v3.1",M581,IF(J581="Both",L581,IF(AND(L581&lt;&gt;"",M581=""),L581,M581))))</f>
        <v/>
      </c>
      <c r="Y581">
        <f>IF(T581="P0",1,IF(T581="P1",3,IF(T581="P2",7,IF(T581="P3",30,IF(T581="P4",30,7)))))</f>
        <v/>
      </c>
      <c r="Z581">
        <f>IF(U581&lt;&gt;"",U581+Y581,"")</f>
        <v/>
      </c>
      <c r="AA581">
        <f>IF(Z581&lt;&gt;"",Z581-TODAY(),"")</f>
        <v/>
      </c>
      <c r="AB581">
        <f>IF(AA581&lt;&gt;"",IF(AA581&lt;0,"Overdue",IF(AA581&lt;=Y581*0.2,"At Risk","On Time")),"")</f>
        <v/>
      </c>
    </row>
    <row r="582">
      <c r="K582">
        <f>IF(J582="v4.0",L582,IF(J582="v3.1",M582,IF(J582="Both",L582,IF(AND(L582&lt;&gt;"",M582=""),L582,M582))))</f>
        <v/>
      </c>
      <c r="Y582">
        <f>IF(T582="P0",1,IF(T582="P1",3,IF(T582="P2",7,IF(T582="P3",30,IF(T582="P4",30,7)))))</f>
        <v/>
      </c>
      <c r="Z582">
        <f>IF(U582&lt;&gt;"",U582+Y582,"")</f>
        <v/>
      </c>
      <c r="AA582">
        <f>IF(Z582&lt;&gt;"",Z582-TODAY(),"")</f>
        <v/>
      </c>
      <c r="AB582">
        <f>IF(AA582&lt;&gt;"",IF(AA582&lt;0,"Overdue",IF(AA582&lt;=Y582*0.2,"At Risk","On Time")),"")</f>
        <v/>
      </c>
    </row>
    <row r="583">
      <c r="K583">
        <f>IF(J583="v4.0",L583,IF(J583="v3.1",M583,IF(J583="Both",L583,IF(AND(L583&lt;&gt;"",M583=""),L583,M583))))</f>
        <v/>
      </c>
      <c r="Y583">
        <f>IF(T583="P0",1,IF(T583="P1",3,IF(T583="P2",7,IF(T583="P3",30,IF(T583="P4",30,7)))))</f>
        <v/>
      </c>
      <c r="Z583">
        <f>IF(U583&lt;&gt;"",U583+Y583,"")</f>
        <v/>
      </c>
      <c r="AA583">
        <f>IF(Z583&lt;&gt;"",Z583-TODAY(),"")</f>
        <v/>
      </c>
      <c r="AB583">
        <f>IF(AA583&lt;&gt;"",IF(AA583&lt;0,"Overdue",IF(AA583&lt;=Y583*0.2,"At Risk","On Time")),"")</f>
        <v/>
      </c>
    </row>
    <row r="584">
      <c r="K584">
        <f>IF(J584="v4.0",L584,IF(J584="v3.1",M584,IF(J584="Both",L584,IF(AND(L584&lt;&gt;"",M584=""),L584,M584))))</f>
        <v/>
      </c>
      <c r="Y584">
        <f>IF(T584="P0",1,IF(T584="P1",3,IF(T584="P2",7,IF(T584="P3",30,IF(T584="P4",30,7)))))</f>
        <v/>
      </c>
      <c r="Z584">
        <f>IF(U584&lt;&gt;"",U584+Y584,"")</f>
        <v/>
      </c>
      <c r="AA584">
        <f>IF(Z584&lt;&gt;"",Z584-TODAY(),"")</f>
        <v/>
      </c>
      <c r="AB584">
        <f>IF(AA584&lt;&gt;"",IF(AA584&lt;0,"Overdue",IF(AA584&lt;=Y584*0.2,"At Risk","On Time")),"")</f>
        <v/>
      </c>
    </row>
    <row r="585">
      <c r="K585">
        <f>IF(J585="v4.0",L585,IF(J585="v3.1",M585,IF(J585="Both",L585,IF(AND(L585&lt;&gt;"",M585=""),L585,M585))))</f>
        <v/>
      </c>
      <c r="Y585">
        <f>IF(T585="P0",1,IF(T585="P1",3,IF(T585="P2",7,IF(T585="P3",30,IF(T585="P4",30,7)))))</f>
        <v/>
      </c>
      <c r="Z585">
        <f>IF(U585&lt;&gt;"",U585+Y585,"")</f>
        <v/>
      </c>
      <c r="AA585">
        <f>IF(Z585&lt;&gt;"",Z585-TODAY(),"")</f>
        <v/>
      </c>
      <c r="AB585">
        <f>IF(AA585&lt;&gt;"",IF(AA585&lt;0,"Overdue",IF(AA585&lt;=Y585*0.2,"At Risk","On Time")),"")</f>
        <v/>
      </c>
    </row>
    <row r="586">
      <c r="K586">
        <f>IF(J586="v4.0",L586,IF(J586="v3.1",M586,IF(J586="Both",L586,IF(AND(L586&lt;&gt;"",M586=""),L586,M586))))</f>
        <v/>
      </c>
      <c r="Y586">
        <f>IF(T586="P0",1,IF(T586="P1",3,IF(T586="P2",7,IF(T586="P3",30,IF(T586="P4",30,7)))))</f>
        <v/>
      </c>
      <c r="Z586">
        <f>IF(U586&lt;&gt;"",U586+Y586,"")</f>
        <v/>
      </c>
      <c r="AA586">
        <f>IF(Z586&lt;&gt;"",Z586-TODAY(),"")</f>
        <v/>
      </c>
      <c r="AB586">
        <f>IF(AA586&lt;&gt;"",IF(AA586&lt;0,"Overdue",IF(AA586&lt;=Y586*0.2,"At Risk","On Time")),"")</f>
        <v/>
      </c>
    </row>
    <row r="587">
      <c r="K587">
        <f>IF(J587="v4.0",L587,IF(J587="v3.1",M587,IF(J587="Both",L587,IF(AND(L587&lt;&gt;"",M587=""),L587,M587))))</f>
        <v/>
      </c>
      <c r="Y587">
        <f>IF(T587="P0",1,IF(T587="P1",3,IF(T587="P2",7,IF(T587="P3",30,IF(T587="P4",30,7)))))</f>
        <v/>
      </c>
      <c r="Z587">
        <f>IF(U587&lt;&gt;"",U587+Y587,"")</f>
        <v/>
      </c>
      <c r="AA587">
        <f>IF(Z587&lt;&gt;"",Z587-TODAY(),"")</f>
        <v/>
      </c>
      <c r="AB587">
        <f>IF(AA587&lt;&gt;"",IF(AA587&lt;0,"Overdue",IF(AA587&lt;=Y587*0.2,"At Risk","On Time")),"")</f>
        <v/>
      </c>
    </row>
    <row r="588">
      <c r="K588">
        <f>IF(J588="v4.0",L588,IF(J588="v3.1",M588,IF(J588="Both",L588,IF(AND(L588&lt;&gt;"",M588=""),L588,M588))))</f>
        <v/>
      </c>
      <c r="Y588">
        <f>IF(T588="P0",1,IF(T588="P1",3,IF(T588="P2",7,IF(T588="P3",30,IF(T588="P4",30,7)))))</f>
        <v/>
      </c>
      <c r="Z588">
        <f>IF(U588&lt;&gt;"",U588+Y588,"")</f>
        <v/>
      </c>
      <c r="AA588">
        <f>IF(Z588&lt;&gt;"",Z588-TODAY(),"")</f>
        <v/>
      </c>
      <c r="AB588">
        <f>IF(AA588&lt;&gt;"",IF(AA588&lt;0,"Overdue",IF(AA588&lt;=Y588*0.2,"At Risk","On Time")),"")</f>
        <v/>
      </c>
    </row>
    <row r="589">
      <c r="K589">
        <f>IF(J589="v4.0",L589,IF(J589="v3.1",M589,IF(J589="Both",L589,IF(AND(L589&lt;&gt;"",M589=""),L589,M589))))</f>
        <v/>
      </c>
      <c r="Y589">
        <f>IF(T589="P0",1,IF(T589="P1",3,IF(T589="P2",7,IF(T589="P3",30,IF(T589="P4",30,7)))))</f>
        <v/>
      </c>
      <c r="Z589">
        <f>IF(U589&lt;&gt;"",U589+Y589,"")</f>
        <v/>
      </c>
      <c r="AA589">
        <f>IF(Z589&lt;&gt;"",Z589-TODAY(),"")</f>
        <v/>
      </c>
      <c r="AB589">
        <f>IF(AA589&lt;&gt;"",IF(AA589&lt;0,"Overdue",IF(AA589&lt;=Y589*0.2,"At Risk","On Time")),"")</f>
        <v/>
      </c>
    </row>
    <row r="590">
      <c r="K590">
        <f>IF(J590="v4.0",L590,IF(J590="v3.1",M590,IF(J590="Both",L590,IF(AND(L590&lt;&gt;"",M590=""),L590,M590))))</f>
        <v/>
      </c>
      <c r="Y590">
        <f>IF(T590="P0",1,IF(T590="P1",3,IF(T590="P2",7,IF(T590="P3",30,IF(T590="P4",30,7)))))</f>
        <v/>
      </c>
      <c r="Z590">
        <f>IF(U590&lt;&gt;"",U590+Y590,"")</f>
        <v/>
      </c>
      <c r="AA590">
        <f>IF(Z590&lt;&gt;"",Z590-TODAY(),"")</f>
        <v/>
      </c>
      <c r="AB590">
        <f>IF(AA590&lt;&gt;"",IF(AA590&lt;0,"Overdue",IF(AA590&lt;=Y590*0.2,"At Risk","On Time")),"")</f>
        <v/>
      </c>
    </row>
    <row r="591">
      <c r="K591">
        <f>IF(J591="v4.0",L591,IF(J591="v3.1",M591,IF(J591="Both",L591,IF(AND(L591&lt;&gt;"",M591=""),L591,M591))))</f>
        <v/>
      </c>
      <c r="Y591">
        <f>IF(T591="P0",1,IF(T591="P1",3,IF(T591="P2",7,IF(T591="P3",30,IF(T591="P4",30,7)))))</f>
        <v/>
      </c>
      <c r="Z591">
        <f>IF(U591&lt;&gt;"",U591+Y591,"")</f>
        <v/>
      </c>
      <c r="AA591">
        <f>IF(Z591&lt;&gt;"",Z591-TODAY(),"")</f>
        <v/>
      </c>
      <c r="AB591">
        <f>IF(AA591&lt;&gt;"",IF(AA591&lt;0,"Overdue",IF(AA591&lt;=Y591*0.2,"At Risk","On Time")),"")</f>
        <v/>
      </c>
    </row>
    <row r="592">
      <c r="K592">
        <f>IF(J592="v4.0",L592,IF(J592="v3.1",M592,IF(J592="Both",L592,IF(AND(L592&lt;&gt;"",M592=""),L592,M592))))</f>
        <v/>
      </c>
      <c r="Y592">
        <f>IF(T592="P0",1,IF(T592="P1",3,IF(T592="P2",7,IF(T592="P3",30,IF(T592="P4",30,7)))))</f>
        <v/>
      </c>
      <c r="Z592">
        <f>IF(U592&lt;&gt;"",U592+Y592,"")</f>
        <v/>
      </c>
      <c r="AA592">
        <f>IF(Z592&lt;&gt;"",Z592-TODAY(),"")</f>
        <v/>
      </c>
      <c r="AB592">
        <f>IF(AA592&lt;&gt;"",IF(AA592&lt;0,"Overdue",IF(AA592&lt;=Y592*0.2,"At Risk","On Time")),"")</f>
        <v/>
      </c>
    </row>
    <row r="593">
      <c r="K593">
        <f>IF(J593="v4.0",L593,IF(J593="v3.1",M593,IF(J593="Both",L593,IF(AND(L593&lt;&gt;"",M593=""),L593,M593))))</f>
        <v/>
      </c>
      <c r="Y593">
        <f>IF(T593="P0",1,IF(T593="P1",3,IF(T593="P2",7,IF(T593="P3",30,IF(T593="P4",30,7)))))</f>
        <v/>
      </c>
      <c r="Z593">
        <f>IF(U593&lt;&gt;"",U593+Y593,"")</f>
        <v/>
      </c>
      <c r="AA593">
        <f>IF(Z593&lt;&gt;"",Z593-TODAY(),"")</f>
        <v/>
      </c>
      <c r="AB593">
        <f>IF(AA593&lt;&gt;"",IF(AA593&lt;0,"Overdue",IF(AA593&lt;=Y593*0.2,"At Risk","On Time")),"")</f>
        <v/>
      </c>
    </row>
    <row r="594">
      <c r="K594">
        <f>IF(J594="v4.0",L594,IF(J594="v3.1",M594,IF(J594="Both",L594,IF(AND(L594&lt;&gt;"",M594=""),L594,M594))))</f>
        <v/>
      </c>
      <c r="Y594">
        <f>IF(T594="P0",1,IF(T594="P1",3,IF(T594="P2",7,IF(T594="P3",30,IF(T594="P4",30,7)))))</f>
        <v/>
      </c>
      <c r="Z594">
        <f>IF(U594&lt;&gt;"",U594+Y594,"")</f>
        <v/>
      </c>
      <c r="AA594">
        <f>IF(Z594&lt;&gt;"",Z594-TODAY(),"")</f>
        <v/>
      </c>
      <c r="AB594">
        <f>IF(AA594&lt;&gt;"",IF(AA594&lt;0,"Overdue",IF(AA594&lt;=Y594*0.2,"At Risk","On Time")),"")</f>
        <v/>
      </c>
    </row>
    <row r="595">
      <c r="K595">
        <f>IF(J595="v4.0",L595,IF(J595="v3.1",M595,IF(J595="Both",L595,IF(AND(L595&lt;&gt;"",M595=""),L595,M595))))</f>
        <v/>
      </c>
      <c r="Y595">
        <f>IF(T595="P0",1,IF(T595="P1",3,IF(T595="P2",7,IF(T595="P3",30,IF(T595="P4",30,7)))))</f>
        <v/>
      </c>
      <c r="Z595">
        <f>IF(U595&lt;&gt;"",U595+Y595,"")</f>
        <v/>
      </c>
      <c r="AA595">
        <f>IF(Z595&lt;&gt;"",Z595-TODAY(),"")</f>
        <v/>
      </c>
      <c r="AB595">
        <f>IF(AA595&lt;&gt;"",IF(AA595&lt;0,"Overdue",IF(AA595&lt;=Y595*0.2,"At Risk","On Time")),"")</f>
        <v/>
      </c>
    </row>
    <row r="596">
      <c r="K596">
        <f>IF(J596="v4.0",L596,IF(J596="v3.1",M596,IF(J596="Both",L596,IF(AND(L596&lt;&gt;"",M596=""),L596,M596))))</f>
        <v/>
      </c>
      <c r="Y596">
        <f>IF(T596="P0",1,IF(T596="P1",3,IF(T596="P2",7,IF(T596="P3",30,IF(T596="P4",30,7)))))</f>
        <v/>
      </c>
      <c r="Z596">
        <f>IF(U596&lt;&gt;"",U596+Y596,"")</f>
        <v/>
      </c>
      <c r="AA596">
        <f>IF(Z596&lt;&gt;"",Z596-TODAY(),"")</f>
        <v/>
      </c>
      <c r="AB596">
        <f>IF(AA596&lt;&gt;"",IF(AA596&lt;0,"Overdue",IF(AA596&lt;=Y596*0.2,"At Risk","On Time")),"")</f>
        <v/>
      </c>
    </row>
    <row r="597">
      <c r="K597">
        <f>IF(J597="v4.0",L597,IF(J597="v3.1",M597,IF(J597="Both",L597,IF(AND(L597&lt;&gt;"",M597=""),L597,M597))))</f>
        <v/>
      </c>
      <c r="Y597">
        <f>IF(T597="P0",1,IF(T597="P1",3,IF(T597="P2",7,IF(T597="P3",30,IF(T597="P4",30,7)))))</f>
        <v/>
      </c>
      <c r="Z597">
        <f>IF(U597&lt;&gt;"",U597+Y597,"")</f>
        <v/>
      </c>
      <c r="AA597">
        <f>IF(Z597&lt;&gt;"",Z597-TODAY(),"")</f>
        <v/>
      </c>
      <c r="AB597">
        <f>IF(AA597&lt;&gt;"",IF(AA597&lt;0,"Overdue",IF(AA597&lt;=Y597*0.2,"At Risk","On Time")),"")</f>
        <v/>
      </c>
    </row>
    <row r="598">
      <c r="K598">
        <f>IF(J598="v4.0",L598,IF(J598="v3.1",M598,IF(J598="Both",L598,IF(AND(L598&lt;&gt;"",M598=""),L598,M598))))</f>
        <v/>
      </c>
      <c r="Y598">
        <f>IF(T598="P0",1,IF(T598="P1",3,IF(T598="P2",7,IF(T598="P3",30,IF(T598="P4",30,7)))))</f>
        <v/>
      </c>
      <c r="Z598">
        <f>IF(U598&lt;&gt;"",U598+Y598,"")</f>
        <v/>
      </c>
      <c r="AA598">
        <f>IF(Z598&lt;&gt;"",Z598-TODAY(),"")</f>
        <v/>
      </c>
      <c r="AB598">
        <f>IF(AA598&lt;&gt;"",IF(AA598&lt;0,"Overdue",IF(AA598&lt;=Y598*0.2,"At Risk","On Time")),"")</f>
        <v/>
      </c>
    </row>
    <row r="599">
      <c r="K599">
        <f>IF(J599="v4.0",L599,IF(J599="v3.1",M599,IF(J599="Both",L599,IF(AND(L599&lt;&gt;"",M599=""),L599,M599))))</f>
        <v/>
      </c>
      <c r="Y599">
        <f>IF(T599="P0",1,IF(T599="P1",3,IF(T599="P2",7,IF(T599="P3",30,IF(T599="P4",30,7)))))</f>
        <v/>
      </c>
      <c r="Z599">
        <f>IF(U599&lt;&gt;"",U599+Y599,"")</f>
        <v/>
      </c>
      <c r="AA599">
        <f>IF(Z599&lt;&gt;"",Z599-TODAY(),"")</f>
        <v/>
      </c>
      <c r="AB599">
        <f>IF(AA599&lt;&gt;"",IF(AA599&lt;0,"Overdue",IF(AA599&lt;=Y599*0.2,"At Risk","On Time")),"")</f>
        <v/>
      </c>
    </row>
    <row r="600">
      <c r="K600">
        <f>IF(J600="v4.0",L600,IF(J600="v3.1",M600,IF(J600="Both",L600,IF(AND(L600&lt;&gt;"",M600=""),L600,M600))))</f>
        <v/>
      </c>
      <c r="Y600">
        <f>IF(T600="P0",1,IF(T600="P1",3,IF(T600="P2",7,IF(T600="P3",30,IF(T600="P4",30,7)))))</f>
        <v/>
      </c>
      <c r="Z600">
        <f>IF(U600&lt;&gt;"",U600+Y600,"")</f>
        <v/>
      </c>
      <c r="AA600">
        <f>IF(Z600&lt;&gt;"",Z600-TODAY(),"")</f>
        <v/>
      </c>
      <c r="AB600">
        <f>IF(AA600&lt;&gt;"",IF(AA600&lt;0,"Overdue",IF(AA600&lt;=Y600*0.2,"At Risk","On Time")),"")</f>
        <v/>
      </c>
    </row>
    <row r="601">
      <c r="K601">
        <f>IF(J601="v4.0",L601,IF(J601="v3.1",M601,IF(J601="Both",L601,IF(AND(L601&lt;&gt;"",M601=""),L601,M601))))</f>
        <v/>
      </c>
      <c r="Y601">
        <f>IF(T601="P0",1,IF(T601="P1",3,IF(T601="P2",7,IF(T601="P3",30,IF(T601="P4",30,7)))))</f>
        <v/>
      </c>
      <c r="Z601">
        <f>IF(U601&lt;&gt;"",U601+Y601,"")</f>
        <v/>
      </c>
      <c r="AA601">
        <f>IF(Z601&lt;&gt;"",Z601-TODAY(),"")</f>
        <v/>
      </c>
      <c r="AB601">
        <f>IF(AA601&lt;&gt;"",IF(AA601&lt;0,"Overdue",IF(AA601&lt;=Y601*0.2,"At Risk","On Time")),"")</f>
        <v/>
      </c>
    </row>
    <row r="602">
      <c r="K602">
        <f>IF(J602="v4.0",L602,IF(J602="v3.1",M602,IF(J602="Both",L602,IF(AND(L602&lt;&gt;"",M602=""),L602,M602))))</f>
        <v/>
      </c>
      <c r="Y602">
        <f>IF(T602="P0",1,IF(T602="P1",3,IF(T602="P2",7,IF(T602="P3",30,IF(T602="P4",30,7)))))</f>
        <v/>
      </c>
      <c r="Z602">
        <f>IF(U602&lt;&gt;"",U602+Y602,"")</f>
        <v/>
      </c>
      <c r="AA602">
        <f>IF(Z602&lt;&gt;"",Z602-TODAY(),"")</f>
        <v/>
      </c>
      <c r="AB602">
        <f>IF(AA602&lt;&gt;"",IF(AA602&lt;0,"Overdue",IF(AA602&lt;=Y602*0.2,"At Risk","On Time")),"")</f>
        <v/>
      </c>
    </row>
    <row r="603">
      <c r="K603">
        <f>IF(J603="v4.0",L603,IF(J603="v3.1",M603,IF(J603="Both",L603,IF(AND(L603&lt;&gt;"",M603=""),L603,M603))))</f>
        <v/>
      </c>
      <c r="Y603">
        <f>IF(T603="P0",1,IF(T603="P1",3,IF(T603="P2",7,IF(T603="P3",30,IF(T603="P4",30,7)))))</f>
        <v/>
      </c>
      <c r="Z603">
        <f>IF(U603&lt;&gt;"",U603+Y603,"")</f>
        <v/>
      </c>
      <c r="AA603">
        <f>IF(Z603&lt;&gt;"",Z603-TODAY(),"")</f>
        <v/>
      </c>
      <c r="AB603">
        <f>IF(AA603&lt;&gt;"",IF(AA603&lt;0,"Overdue",IF(AA603&lt;=Y603*0.2,"At Risk","On Time")),"")</f>
        <v/>
      </c>
    </row>
    <row r="604">
      <c r="K604">
        <f>IF(J604="v4.0",L604,IF(J604="v3.1",M604,IF(J604="Both",L604,IF(AND(L604&lt;&gt;"",M604=""),L604,M604))))</f>
        <v/>
      </c>
      <c r="Y604">
        <f>IF(T604="P0",1,IF(T604="P1",3,IF(T604="P2",7,IF(T604="P3",30,IF(T604="P4",30,7)))))</f>
        <v/>
      </c>
      <c r="Z604">
        <f>IF(U604&lt;&gt;"",U604+Y604,"")</f>
        <v/>
      </c>
      <c r="AA604">
        <f>IF(Z604&lt;&gt;"",Z604-TODAY(),"")</f>
        <v/>
      </c>
      <c r="AB604">
        <f>IF(AA604&lt;&gt;"",IF(AA604&lt;0,"Overdue",IF(AA604&lt;=Y604*0.2,"At Risk","On Time")),"")</f>
        <v/>
      </c>
    </row>
    <row r="605">
      <c r="K605">
        <f>IF(J605="v4.0",L605,IF(J605="v3.1",M605,IF(J605="Both",L605,IF(AND(L605&lt;&gt;"",M605=""),L605,M605))))</f>
        <v/>
      </c>
      <c r="Y605">
        <f>IF(T605="P0",1,IF(T605="P1",3,IF(T605="P2",7,IF(T605="P3",30,IF(T605="P4",30,7)))))</f>
        <v/>
      </c>
      <c r="Z605">
        <f>IF(U605&lt;&gt;"",U605+Y605,"")</f>
        <v/>
      </c>
      <c r="AA605">
        <f>IF(Z605&lt;&gt;"",Z605-TODAY(),"")</f>
        <v/>
      </c>
      <c r="AB605">
        <f>IF(AA605&lt;&gt;"",IF(AA605&lt;0,"Overdue",IF(AA605&lt;=Y605*0.2,"At Risk","On Time")),"")</f>
        <v/>
      </c>
    </row>
    <row r="606">
      <c r="K606">
        <f>IF(J606="v4.0",L606,IF(J606="v3.1",M606,IF(J606="Both",L606,IF(AND(L606&lt;&gt;"",M606=""),L606,M606))))</f>
        <v/>
      </c>
      <c r="Y606">
        <f>IF(T606="P0",1,IF(T606="P1",3,IF(T606="P2",7,IF(T606="P3",30,IF(T606="P4",30,7)))))</f>
        <v/>
      </c>
      <c r="Z606">
        <f>IF(U606&lt;&gt;"",U606+Y606,"")</f>
        <v/>
      </c>
      <c r="AA606">
        <f>IF(Z606&lt;&gt;"",Z606-TODAY(),"")</f>
        <v/>
      </c>
      <c r="AB606">
        <f>IF(AA606&lt;&gt;"",IF(AA606&lt;0,"Overdue",IF(AA606&lt;=Y606*0.2,"At Risk","On Time")),"")</f>
        <v/>
      </c>
    </row>
    <row r="607">
      <c r="K607">
        <f>IF(J607="v4.0",L607,IF(J607="v3.1",M607,IF(J607="Both",L607,IF(AND(L607&lt;&gt;"",M607=""),L607,M607))))</f>
        <v/>
      </c>
      <c r="Y607">
        <f>IF(T607="P0",1,IF(T607="P1",3,IF(T607="P2",7,IF(T607="P3",30,IF(T607="P4",30,7)))))</f>
        <v/>
      </c>
      <c r="Z607">
        <f>IF(U607&lt;&gt;"",U607+Y607,"")</f>
        <v/>
      </c>
      <c r="AA607">
        <f>IF(Z607&lt;&gt;"",Z607-TODAY(),"")</f>
        <v/>
      </c>
      <c r="AB607">
        <f>IF(AA607&lt;&gt;"",IF(AA607&lt;0,"Overdue",IF(AA607&lt;=Y607*0.2,"At Risk","On Time")),"")</f>
        <v/>
      </c>
    </row>
    <row r="608">
      <c r="K608">
        <f>IF(J608="v4.0",L608,IF(J608="v3.1",M608,IF(J608="Both",L608,IF(AND(L608&lt;&gt;"",M608=""),L608,M608))))</f>
        <v/>
      </c>
      <c r="Y608">
        <f>IF(T608="P0",1,IF(T608="P1",3,IF(T608="P2",7,IF(T608="P3",30,IF(T608="P4",30,7)))))</f>
        <v/>
      </c>
      <c r="Z608">
        <f>IF(U608&lt;&gt;"",U608+Y608,"")</f>
        <v/>
      </c>
      <c r="AA608">
        <f>IF(Z608&lt;&gt;"",Z608-TODAY(),"")</f>
        <v/>
      </c>
      <c r="AB608">
        <f>IF(AA608&lt;&gt;"",IF(AA608&lt;0,"Overdue",IF(AA608&lt;=Y608*0.2,"At Risk","On Time")),"")</f>
        <v/>
      </c>
    </row>
    <row r="609">
      <c r="K609">
        <f>IF(J609="v4.0",L609,IF(J609="v3.1",M609,IF(J609="Both",L609,IF(AND(L609&lt;&gt;"",M609=""),L609,M609))))</f>
        <v/>
      </c>
      <c r="Y609">
        <f>IF(T609="P0",1,IF(T609="P1",3,IF(T609="P2",7,IF(T609="P3",30,IF(T609="P4",30,7)))))</f>
        <v/>
      </c>
      <c r="Z609">
        <f>IF(U609&lt;&gt;"",U609+Y609,"")</f>
        <v/>
      </c>
      <c r="AA609">
        <f>IF(Z609&lt;&gt;"",Z609-TODAY(),"")</f>
        <v/>
      </c>
      <c r="AB609">
        <f>IF(AA609&lt;&gt;"",IF(AA609&lt;0,"Overdue",IF(AA609&lt;=Y609*0.2,"At Risk","On Time")),"")</f>
        <v/>
      </c>
    </row>
    <row r="610">
      <c r="K610">
        <f>IF(J610="v4.0",L610,IF(J610="v3.1",M610,IF(J610="Both",L610,IF(AND(L610&lt;&gt;"",M610=""),L610,M610))))</f>
        <v/>
      </c>
      <c r="Y610">
        <f>IF(T610="P0",1,IF(T610="P1",3,IF(T610="P2",7,IF(T610="P3",30,IF(T610="P4",30,7)))))</f>
        <v/>
      </c>
      <c r="Z610">
        <f>IF(U610&lt;&gt;"",U610+Y610,"")</f>
        <v/>
      </c>
      <c r="AA610">
        <f>IF(Z610&lt;&gt;"",Z610-TODAY(),"")</f>
        <v/>
      </c>
      <c r="AB610">
        <f>IF(AA610&lt;&gt;"",IF(AA610&lt;0,"Overdue",IF(AA610&lt;=Y610*0.2,"At Risk","On Time")),"")</f>
        <v/>
      </c>
    </row>
    <row r="611">
      <c r="K611">
        <f>IF(J611="v4.0",L611,IF(J611="v3.1",M611,IF(J611="Both",L611,IF(AND(L611&lt;&gt;"",M611=""),L611,M611))))</f>
        <v/>
      </c>
      <c r="Y611">
        <f>IF(T611="P0",1,IF(T611="P1",3,IF(T611="P2",7,IF(T611="P3",30,IF(T611="P4",30,7)))))</f>
        <v/>
      </c>
      <c r="Z611">
        <f>IF(U611&lt;&gt;"",U611+Y611,"")</f>
        <v/>
      </c>
      <c r="AA611">
        <f>IF(Z611&lt;&gt;"",Z611-TODAY(),"")</f>
        <v/>
      </c>
      <c r="AB611">
        <f>IF(AA611&lt;&gt;"",IF(AA611&lt;0,"Overdue",IF(AA611&lt;=Y611*0.2,"At Risk","On Time")),"")</f>
        <v/>
      </c>
    </row>
    <row r="612">
      <c r="K612">
        <f>IF(J612="v4.0",L612,IF(J612="v3.1",M612,IF(J612="Both",L612,IF(AND(L612&lt;&gt;"",M612=""),L612,M612))))</f>
        <v/>
      </c>
      <c r="Y612">
        <f>IF(T612="P0",1,IF(T612="P1",3,IF(T612="P2",7,IF(T612="P3",30,IF(T612="P4",30,7)))))</f>
        <v/>
      </c>
      <c r="Z612">
        <f>IF(U612&lt;&gt;"",U612+Y612,"")</f>
        <v/>
      </c>
      <c r="AA612">
        <f>IF(Z612&lt;&gt;"",Z612-TODAY(),"")</f>
        <v/>
      </c>
      <c r="AB612">
        <f>IF(AA612&lt;&gt;"",IF(AA612&lt;0,"Overdue",IF(AA612&lt;=Y612*0.2,"At Risk","On Time")),"")</f>
        <v/>
      </c>
    </row>
    <row r="613">
      <c r="K613">
        <f>IF(J613="v4.0",L613,IF(J613="v3.1",M613,IF(J613="Both",L613,IF(AND(L613&lt;&gt;"",M613=""),L613,M613))))</f>
        <v/>
      </c>
      <c r="Y613">
        <f>IF(T613="P0",1,IF(T613="P1",3,IF(T613="P2",7,IF(T613="P3",30,IF(T613="P4",30,7)))))</f>
        <v/>
      </c>
      <c r="Z613">
        <f>IF(U613&lt;&gt;"",U613+Y613,"")</f>
        <v/>
      </c>
      <c r="AA613">
        <f>IF(Z613&lt;&gt;"",Z613-TODAY(),"")</f>
        <v/>
      </c>
      <c r="AB613">
        <f>IF(AA613&lt;&gt;"",IF(AA613&lt;0,"Overdue",IF(AA613&lt;=Y613*0.2,"At Risk","On Time")),"")</f>
        <v/>
      </c>
    </row>
    <row r="614">
      <c r="K614">
        <f>IF(J614="v4.0",L614,IF(J614="v3.1",M614,IF(J614="Both",L614,IF(AND(L614&lt;&gt;"",M614=""),L614,M614))))</f>
        <v/>
      </c>
      <c r="Y614">
        <f>IF(T614="P0",1,IF(T614="P1",3,IF(T614="P2",7,IF(T614="P3",30,IF(T614="P4",30,7)))))</f>
        <v/>
      </c>
      <c r="Z614">
        <f>IF(U614&lt;&gt;"",U614+Y614,"")</f>
        <v/>
      </c>
      <c r="AA614">
        <f>IF(Z614&lt;&gt;"",Z614-TODAY(),"")</f>
        <v/>
      </c>
      <c r="AB614">
        <f>IF(AA614&lt;&gt;"",IF(AA614&lt;0,"Overdue",IF(AA614&lt;=Y614*0.2,"At Risk","On Time")),"")</f>
        <v/>
      </c>
    </row>
    <row r="615">
      <c r="K615">
        <f>IF(J615="v4.0",L615,IF(J615="v3.1",M615,IF(J615="Both",L615,IF(AND(L615&lt;&gt;"",M615=""),L615,M615))))</f>
        <v/>
      </c>
      <c r="Y615">
        <f>IF(T615="P0",1,IF(T615="P1",3,IF(T615="P2",7,IF(T615="P3",30,IF(T615="P4",30,7)))))</f>
        <v/>
      </c>
      <c r="Z615">
        <f>IF(U615&lt;&gt;"",U615+Y615,"")</f>
        <v/>
      </c>
      <c r="AA615">
        <f>IF(Z615&lt;&gt;"",Z615-TODAY(),"")</f>
        <v/>
      </c>
      <c r="AB615">
        <f>IF(AA615&lt;&gt;"",IF(AA615&lt;0,"Overdue",IF(AA615&lt;=Y615*0.2,"At Risk","On Time")),"")</f>
        <v/>
      </c>
    </row>
    <row r="616">
      <c r="K616">
        <f>IF(J616="v4.0",L616,IF(J616="v3.1",M616,IF(J616="Both",L616,IF(AND(L616&lt;&gt;"",M616=""),L616,M616))))</f>
        <v/>
      </c>
      <c r="Y616">
        <f>IF(T616="P0",1,IF(T616="P1",3,IF(T616="P2",7,IF(T616="P3",30,IF(T616="P4",30,7)))))</f>
        <v/>
      </c>
      <c r="Z616">
        <f>IF(U616&lt;&gt;"",U616+Y616,"")</f>
        <v/>
      </c>
      <c r="AA616">
        <f>IF(Z616&lt;&gt;"",Z616-TODAY(),"")</f>
        <v/>
      </c>
      <c r="AB616">
        <f>IF(AA616&lt;&gt;"",IF(AA616&lt;0,"Overdue",IF(AA616&lt;=Y616*0.2,"At Risk","On Time")),"")</f>
        <v/>
      </c>
    </row>
    <row r="617">
      <c r="K617">
        <f>IF(J617="v4.0",L617,IF(J617="v3.1",M617,IF(J617="Both",L617,IF(AND(L617&lt;&gt;"",M617=""),L617,M617))))</f>
        <v/>
      </c>
      <c r="Y617">
        <f>IF(T617="P0",1,IF(T617="P1",3,IF(T617="P2",7,IF(T617="P3",30,IF(T617="P4",30,7)))))</f>
        <v/>
      </c>
      <c r="Z617">
        <f>IF(U617&lt;&gt;"",U617+Y617,"")</f>
        <v/>
      </c>
      <c r="AA617">
        <f>IF(Z617&lt;&gt;"",Z617-TODAY(),"")</f>
        <v/>
      </c>
      <c r="AB617">
        <f>IF(AA617&lt;&gt;"",IF(AA617&lt;0,"Overdue",IF(AA617&lt;=Y617*0.2,"At Risk","On Time")),"")</f>
        <v/>
      </c>
    </row>
    <row r="618">
      <c r="K618">
        <f>IF(J618="v4.0",L618,IF(J618="v3.1",M618,IF(J618="Both",L618,IF(AND(L618&lt;&gt;"",M618=""),L618,M618))))</f>
        <v/>
      </c>
      <c r="Y618">
        <f>IF(T618="P0",1,IF(T618="P1",3,IF(T618="P2",7,IF(T618="P3",30,IF(T618="P4",30,7)))))</f>
        <v/>
      </c>
      <c r="Z618">
        <f>IF(U618&lt;&gt;"",U618+Y618,"")</f>
        <v/>
      </c>
      <c r="AA618">
        <f>IF(Z618&lt;&gt;"",Z618-TODAY(),"")</f>
        <v/>
      </c>
      <c r="AB618">
        <f>IF(AA618&lt;&gt;"",IF(AA618&lt;0,"Overdue",IF(AA618&lt;=Y618*0.2,"At Risk","On Time")),"")</f>
        <v/>
      </c>
    </row>
    <row r="619">
      <c r="K619">
        <f>IF(J619="v4.0",L619,IF(J619="v3.1",M619,IF(J619="Both",L619,IF(AND(L619&lt;&gt;"",M619=""),L619,M619))))</f>
        <v/>
      </c>
      <c r="Y619">
        <f>IF(T619="P0",1,IF(T619="P1",3,IF(T619="P2",7,IF(T619="P3",30,IF(T619="P4",30,7)))))</f>
        <v/>
      </c>
      <c r="Z619">
        <f>IF(U619&lt;&gt;"",U619+Y619,"")</f>
        <v/>
      </c>
      <c r="AA619">
        <f>IF(Z619&lt;&gt;"",Z619-TODAY(),"")</f>
        <v/>
      </c>
      <c r="AB619">
        <f>IF(AA619&lt;&gt;"",IF(AA619&lt;0,"Overdue",IF(AA619&lt;=Y619*0.2,"At Risk","On Time")),"")</f>
        <v/>
      </c>
    </row>
    <row r="620">
      <c r="K620">
        <f>IF(J620="v4.0",L620,IF(J620="v3.1",M620,IF(J620="Both",L620,IF(AND(L620&lt;&gt;"",M620=""),L620,M620))))</f>
        <v/>
      </c>
      <c r="Y620">
        <f>IF(T620="P0",1,IF(T620="P1",3,IF(T620="P2",7,IF(T620="P3",30,IF(T620="P4",30,7)))))</f>
        <v/>
      </c>
      <c r="Z620">
        <f>IF(U620&lt;&gt;"",U620+Y620,"")</f>
        <v/>
      </c>
      <c r="AA620">
        <f>IF(Z620&lt;&gt;"",Z620-TODAY(),"")</f>
        <v/>
      </c>
      <c r="AB620">
        <f>IF(AA620&lt;&gt;"",IF(AA620&lt;0,"Overdue",IF(AA620&lt;=Y620*0.2,"At Risk","On Time")),"")</f>
        <v/>
      </c>
    </row>
    <row r="621">
      <c r="K621">
        <f>IF(J621="v4.0",L621,IF(J621="v3.1",M621,IF(J621="Both",L621,IF(AND(L621&lt;&gt;"",M621=""),L621,M621))))</f>
        <v/>
      </c>
      <c r="Y621">
        <f>IF(T621="P0",1,IF(T621="P1",3,IF(T621="P2",7,IF(T621="P3",30,IF(T621="P4",30,7)))))</f>
        <v/>
      </c>
      <c r="Z621">
        <f>IF(U621&lt;&gt;"",U621+Y621,"")</f>
        <v/>
      </c>
      <c r="AA621">
        <f>IF(Z621&lt;&gt;"",Z621-TODAY(),"")</f>
        <v/>
      </c>
      <c r="AB621">
        <f>IF(AA621&lt;&gt;"",IF(AA621&lt;0,"Overdue",IF(AA621&lt;=Y621*0.2,"At Risk","On Time")),"")</f>
        <v/>
      </c>
    </row>
    <row r="622">
      <c r="K622">
        <f>IF(J622="v4.0",L622,IF(J622="v3.1",M622,IF(J622="Both",L622,IF(AND(L622&lt;&gt;"",M622=""),L622,M622))))</f>
        <v/>
      </c>
      <c r="Y622">
        <f>IF(T622="P0",1,IF(T622="P1",3,IF(T622="P2",7,IF(T622="P3",30,IF(T622="P4",30,7)))))</f>
        <v/>
      </c>
      <c r="Z622">
        <f>IF(U622&lt;&gt;"",U622+Y622,"")</f>
        <v/>
      </c>
      <c r="AA622">
        <f>IF(Z622&lt;&gt;"",Z622-TODAY(),"")</f>
        <v/>
      </c>
      <c r="AB622">
        <f>IF(AA622&lt;&gt;"",IF(AA622&lt;0,"Overdue",IF(AA622&lt;=Y622*0.2,"At Risk","On Time")),"")</f>
        <v/>
      </c>
    </row>
    <row r="623">
      <c r="K623">
        <f>IF(J623="v4.0",L623,IF(J623="v3.1",M623,IF(J623="Both",L623,IF(AND(L623&lt;&gt;"",M623=""),L623,M623))))</f>
        <v/>
      </c>
      <c r="Y623">
        <f>IF(T623="P0",1,IF(T623="P1",3,IF(T623="P2",7,IF(T623="P3",30,IF(T623="P4",30,7)))))</f>
        <v/>
      </c>
      <c r="Z623">
        <f>IF(U623&lt;&gt;"",U623+Y623,"")</f>
        <v/>
      </c>
      <c r="AA623">
        <f>IF(Z623&lt;&gt;"",Z623-TODAY(),"")</f>
        <v/>
      </c>
      <c r="AB623">
        <f>IF(AA623&lt;&gt;"",IF(AA623&lt;0,"Overdue",IF(AA623&lt;=Y623*0.2,"At Risk","On Time")),"")</f>
        <v/>
      </c>
    </row>
    <row r="624">
      <c r="K624">
        <f>IF(J624="v4.0",L624,IF(J624="v3.1",M624,IF(J624="Both",L624,IF(AND(L624&lt;&gt;"",M624=""),L624,M624))))</f>
        <v/>
      </c>
      <c r="Y624">
        <f>IF(T624="P0",1,IF(T624="P1",3,IF(T624="P2",7,IF(T624="P3",30,IF(T624="P4",30,7)))))</f>
        <v/>
      </c>
      <c r="Z624">
        <f>IF(U624&lt;&gt;"",U624+Y624,"")</f>
        <v/>
      </c>
      <c r="AA624">
        <f>IF(Z624&lt;&gt;"",Z624-TODAY(),"")</f>
        <v/>
      </c>
      <c r="AB624">
        <f>IF(AA624&lt;&gt;"",IF(AA624&lt;0,"Overdue",IF(AA624&lt;=Y624*0.2,"At Risk","On Time")),"")</f>
        <v/>
      </c>
    </row>
    <row r="625">
      <c r="K625">
        <f>IF(J625="v4.0",L625,IF(J625="v3.1",M625,IF(J625="Both",L625,IF(AND(L625&lt;&gt;"",M625=""),L625,M625))))</f>
        <v/>
      </c>
      <c r="Y625">
        <f>IF(T625="P0",1,IF(T625="P1",3,IF(T625="P2",7,IF(T625="P3",30,IF(T625="P4",30,7)))))</f>
        <v/>
      </c>
      <c r="Z625">
        <f>IF(U625&lt;&gt;"",U625+Y625,"")</f>
        <v/>
      </c>
      <c r="AA625">
        <f>IF(Z625&lt;&gt;"",Z625-TODAY(),"")</f>
        <v/>
      </c>
      <c r="AB625">
        <f>IF(AA625&lt;&gt;"",IF(AA625&lt;0,"Overdue",IF(AA625&lt;=Y625*0.2,"At Risk","On Time")),"")</f>
        <v/>
      </c>
    </row>
    <row r="626">
      <c r="K626">
        <f>IF(J626="v4.0",L626,IF(J626="v3.1",M626,IF(J626="Both",L626,IF(AND(L626&lt;&gt;"",M626=""),L626,M626))))</f>
        <v/>
      </c>
      <c r="Y626">
        <f>IF(T626="P0",1,IF(T626="P1",3,IF(T626="P2",7,IF(T626="P3",30,IF(T626="P4",30,7)))))</f>
        <v/>
      </c>
      <c r="Z626">
        <f>IF(U626&lt;&gt;"",U626+Y626,"")</f>
        <v/>
      </c>
      <c r="AA626">
        <f>IF(Z626&lt;&gt;"",Z626-TODAY(),"")</f>
        <v/>
      </c>
      <c r="AB626">
        <f>IF(AA626&lt;&gt;"",IF(AA626&lt;0,"Overdue",IF(AA626&lt;=Y626*0.2,"At Risk","On Time")),"")</f>
        <v/>
      </c>
    </row>
    <row r="627">
      <c r="K627">
        <f>IF(J627="v4.0",L627,IF(J627="v3.1",M627,IF(J627="Both",L627,IF(AND(L627&lt;&gt;"",M627=""),L627,M627))))</f>
        <v/>
      </c>
      <c r="Y627">
        <f>IF(T627="P0",1,IF(T627="P1",3,IF(T627="P2",7,IF(T627="P3",30,IF(T627="P4",30,7)))))</f>
        <v/>
      </c>
      <c r="Z627">
        <f>IF(U627&lt;&gt;"",U627+Y627,"")</f>
        <v/>
      </c>
      <c r="AA627">
        <f>IF(Z627&lt;&gt;"",Z627-TODAY(),"")</f>
        <v/>
      </c>
      <c r="AB627">
        <f>IF(AA627&lt;&gt;"",IF(AA627&lt;0,"Overdue",IF(AA627&lt;=Y627*0.2,"At Risk","On Time")),"")</f>
        <v/>
      </c>
    </row>
    <row r="628">
      <c r="K628">
        <f>IF(J628="v4.0",L628,IF(J628="v3.1",M628,IF(J628="Both",L628,IF(AND(L628&lt;&gt;"",M628=""),L628,M628))))</f>
        <v/>
      </c>
      <c r="Y628">
        <f>IF(T628="P0",1,IF(T628="P1",3,IF(T628="P2",7,IF(T628="P3",30,IF(T628="P4",30,7)))))</f>
        <v/>
      </c>
      <c r="Z628">
        <f>IF(U628&lt;&gt;"",U628+Y628,"")</f>
        <v/>
      </c>
      <c r="AA628">
        <f>IF(Z628&lt;&gt;"",Z628-TODAY(),"")</f>
        <v/>
      </c>
      <c r="AB628">
        <f>IF(AA628&lt;&gt;"",IF(AA628&lt;0,"Overdue",IF(AA628&lt;=Y628*0.2,"At Risk","On Time")),"")</f>
        <v/>
      </c>
    </row>
    <row r="629">
      <c r="K629">
        <f>IF(J629="v4.0",L629,IF(J629="v3.1",M629,IF(J629="Both",L629,IF(AND(L629&lt;&gt;"",M629=""),L629,M629))))</f>
        <v/>
      </c>
      <c r="Y629">
        <f>IF(T629="P0",1,IF(T629="P1",3,IF(T629="P2",7,IF(T629="P3",30,IF(T629="P4",30,7)))))</f>
        <v/>
      </c>
      <c r="Z629">
        <f>IF(U629&lt;&gt;"",U629+Y629,"")</f>
        <v/>
      </c>
      <c r="AA629">
        <f>IF(Z629&lt;&gt;"",Z629-TODAY(),"")</f>
        <v/>
      </c>
      <c r="AB629">
        <f>IF(AA629&lt;&gt;"",IF(AA629&lt;0,"Overdue",IF(AA629&lt;=Y629*0.2,"At Risk","On Time")),"")</f>
        <v/>
      </c>
    </row>
    <row r="630">
      <c r="K630">
        <f>IF(J630="v4.0",L630,IF(J630="v3.1",M630,IF(J630="Both",L630,IF(AND(L630&lt;&gt;"",M630=""),L630,M630))))</f>
        <v/>
      </c>
      <c r="Y630">
        <f>IF(T630="P0",1,IF(T630="P1",3,IF(T630="P2",7,IF(T630="P3",30,IF(T630="P4",30,7)))))</f>
        <v/>
      </c>
      <c r="Z630">
        <f>IF(U630&lt;&gt;"",U630+Y630,"")</f>
        <v/>
      </c>
      <c r="AA630">
        <f>IF(Z630&lt;&gt;"",Z630-TODAY(),"")</f>
        <v/>
      </c>
      <c r="AB630">
        <f>IF(AA630&lt;&gt;"",IF(AA630&lt;0,"Overdue",IF(AA630&lt;=Y630*0.2,"At Risk","On Time")),"")</f>
        <v/>
      </c>
    </row>
    <row r="631">
      <c r="K631">
        <f>IF(J631="v4.0",L631,IF(J631="v3.1",M631,IF(J631="Both",L631,IF(AND(L631&lt;&gt;"",M631=""),L631,M631))))</f>
        <v/>
      </c>
      <c r="Y631">
        <f>IF(T631="P0",1,IF(T631="P1",3,IF(T631="P2",7,IF(T631="P3",30,IF(T631="P4",30,7)))))</f>
        <v/>
      </c>
      <c r="Z631">
        <f>IF(U631&lt;&gt;"",U631+Y631,"")</f>
        <v/>
      </c>
      <c r="AA631">
        <f>IF(Z631&lt;&gt;"",Z631-TODAY(),"")</f>
        <v/>
      </c>
      <c r="AB631">
        <f>IF(AA631&lt;&gt;"",IF(AA631&lt;0,"Overdue",IF(AA631&lt;=Y631*0.2,"At Risk","On Time")),"")</f>
        <v/>
      </c>
    </row>
    <row r="632">
      <c r="K632">
        <f>IF(J632="v4.0",L632,IF(J632="v3.1",M632,IF(J632="Both",L632,IF(AND(L632&lt;&gt;"",M632=""),L632,M632))))</f>
        <v/>
      </c>
      <c r="Y632">
        <f>IF(T632="P0",1,IF(T632="P1",3,IF(T632="P2",7,IF(T632="P3",30,IF(T632="P4",30,7)))))</f>
        <v/>
      </c>
      <c r="Z632">
        <f>IF(U632&lt;&gt;"",U632+Y632,"")</f>
        <v/>
      </c>
      <c r="AA632">
        <f>IF(Z632&lt;&gt;"",Z632-TODAY(),"")</f>
        <v/>
      </c>
      <c r="AB632">
        <f>IF(AA632&lt;&gt;"",IF(AA632&lt;0,"Overdue",IF(AA632&lt;=Y632*0.2,"At Risk","On Time")),"")</f>
        <v/>
      </c>
    </row>
    <row r="633">
      <c r="K633">
        <f>IF(J633="v4.0",L633,IF(J633="v3.1",M633,IF(J633="Both",L633,IF(AND(L633&lt;&gt;"",M633=""),L633,M633))))</f>
        <v/>
      </c>
      <c r="Y633">
        <f>IF(T633="P0",1,IF(T633="P1",3,IF(T633="P2",7,IF(T633="P3",30,IF(T633="P4",30,7)))))</f>
        <v/>
      </c>
      <c r="Z633">
        <f>IF(U633&lt;&gt;"",U633+Y633,"")</f>
        <v/>
      </c>
      <c r="AA633">
        <f>IF(Z633&lt;&gt;"",Z633-TODAY(),"")</f>
        <v/>
      </c>
      <c r="AB633">
        <f>IF(AA633&lt;&gt;"",IF(AA633&lt;0,"Overdue",IF(AA633&lt;=Y633*0.2,"At Risk","On Time")),"")</f>
        <v/>
      </c>
    </row>
    <row r="634">
      <c r="K634">
        <f>IF(J634="v4.0",L634,IF(J634="v3.1",M634,IF(J634="Both",L634,IF(AND(L634&lt;&gt;"",M634=""),L634,M634))))</f>
        <v/>
      </c>
      <c r="Y634">
        <f>IF(T634="P0",1,IF(T634="P1",3,IF(T634="P2",7,IF(T634="P3",30,IF(T634="P4",30,7)))))</f>
        <v/>
      </c>
      <c r="Z634">
        <f>IF(U634&lt;&gt;"",U634+Y634,"")</f>
        <v/>
      </c>
      <c r="AA634">
        <f>IF(Z634&lt;&gt;"",Z634-TODAY(),"")</f>
        <v/>
      </c>
      <c r="AB634">
        <f>IF(AA634&lt;&gt;"",IF(AA634&lt;0,"Overdue",IF(AA634&lt;=Y634*0.2,"At Risk","On Time")),"")</f>
        <v/>
      </c>
    </row>
    <row r="635">
      <c r="K635">
        <f>IF(J635="v4.0",L635,IF(J635="v3.1",M635,IF(J635="Both",L635,IF(AND(L635&lt;&gt;"",M635=""),L635,M635))))</f>
        <v/>
      </c>
      <c r="Y635">
        <f>IF(T635="P0",1,IF(T635="P1",3,IF(T635="P2",7,IF(T635="P3",30,IF(T635="P4",30,7)))))</f>
        <v/>
      </c>
      <c r="Z635">
        <f>IF(U635&lt;&gt;"",U635+Y635,"")</f>
        <v/>
      </c>
      <c r="AA635">
        <f>IF(Z635&lt;&gt;"",Z635-TODAY(),"")</f>
        <v/>
      </c>
      <c r="AB635">
        <f>IF(AA635&lt;&gt;"",IF(AA635&lt;0,"Overdue",IF(AA635&lt;=Y635*0.2,"At Risk","On Time")),"")</f>
        <v/>
      </c>
    </row>
    <row r="636">
      <c r="K636">
        <f>IF(J636="v4.0",L636,IF(J636="v3.1",M636,IF(J636="Both",L636,IF(AND(L636&lt;&gt;"",M636=""),L636,M636))))</f>
        <v/>
      </c>
      <c r="Y636">
        <f>IF(T636="P0",1,IF(T636="P1",3,IF(T636="P2",7,IF(T636="P3",30,IF(T636="P4",30,7)))))</f>
        <v/>
      </c>
      <c r="Z636">
        <f>IF(U636&lt;&gt;"",U636+Y636,"")</f>
        <v/>
      </c>
      <c r="AA636">
        <f>IF(Z636&lt;&gt;"",Z636-TODAY(),"")</f>
        <v/>
      </c>
      <c r="AB636">
        <f>IF(AA636&lt;&gt;"",IF(AA636&lt;0,"Overdue",IF(AA636&lt;=Y636*0.2,"At Risk","On Time")),"")</f>
        <v/>
      </c>
    </row>
    <row r="637">
      <c r="K637">
        <f>IF(J637="v4.0",L637,IF(J637="v3.1",M637,IF(J637="Both",L637,IF(AND(L637&lt;&gt;"",M637=""),L637,M637))))</f>
        <v/>
      </c>
      <c r="Y637">
        <f>IF(T637="P0",1,IF(T637="P1",3,IF(T637="P2",7,IF(T637="P3",30,IF(T637="P4",30,7)))))</f>
        <v/>
      </c>
      <c r="Z637">
        <f>IF(U637&lt;&gt;"",U637+Y637,"")</f>
        <v/>
      </c>
      <c r="AA637">
        <f>IF(Z637&lt;&gt;"",Z637-TODAY(),"")</f>
        <v/>
      </c>
      <c r="AB637">
        <f>IF(AA637&lt;&gt;"",IF(AA637&lt;0,"Overdue",IF(AA637&lt;=Y637*0.2,"At Risk","On Time")),"")</f>
        <v/>
      </c>
    </row>
    <row r="638">
      <c r="K638">
        <f>IF(J638="v4.0",L638,IF(J638="v3.1",M638,IF(J638="Both",L638,IF(AND(L638&lt;&gt;"",M638=""),L638,M638))))</f>
        <v/>
      </c>
      <c r="Y638">
        <f>IF(T638="P0",1,IF(T638="P1",3,IF(T638="P2",7,IF(T638="P3",30,IF(T638="P4",30,7)))))</f>
        <v/>
      </c>
      <c r="Z638">
        <f>IF(U638&lt;&gt;"",U638+Y638,"")</f>
        <v/>
      </c>
      <c r="AA638">
        <f>IF(Z638&lt;&gt;"",Z638-TODAY(),"")</f>
        <v/>
      </c>
      <c r="AB638">
        <f>IF(AA638&lt;&gt;"",IF(AA638&lt;0,"Overdue",IF(AA638&lt;=Y638*0.2,"At Risk","On Time")),"")</f>
        <v/>
      </c>
    </row>
    <row r="639">
      <c r="K639">
        <f>IF(J639="v4.0",L639,IF(J639="v3.1",M639,IF(J639="Both",L639,IF(AND(L639&lt;&gt;"",M639=""),L639,M639))))</f>
        <v/>
      </c>
      <c r="Y639">
        <f>IF(T639="P0",1,IF(T639="P1",3,IF(T639="P2",7,IF(T639="P3",30,IF(T639="P4",30,7)))))</f>
        <v/>
      </c>
      <c r="Z639">
        <f>IF(U639&lt;&gt;"",U639+Y639,"")</f>
        <v/>
      </c>
      <c r="AA639">
        <f>IF(Z639&lt;&gt;"",Z639-TODAY(),"")</f>
        <v/>
      </c>
      <c r="AB639">
        <f>IF(AA639&lt;&gt;"",IF(AA639&lt;0,"Overdue",IF(AA639&lt;=Y639*0.2,"At Risk","On Time")),"")</f>
        <v/>
      </c>
    </row>
    <row r="640">
      <c r="K640">
        <f>IF(J640="v4.0",L640,IF(J640="v3.1",M640,IF(J640="Both",L640,IF(AND(L640&lt;&gt;"",M640=""),L640,M640))))</f>
        <v/>
      </c>
      <c r="Y640">
        <f>IF(T640="P0",1,IF(T640="P1",3,IF(T640="P2",7,IF(T640="P3",30,IF(T640="P4",30,7)))))</f>
        <v/>
      </c>
      <c r="Z640">
        <f>IF(U640&lt;&gt;"",U640+Y640,"")</f>
        <v/>
      </c>
      <c r="AA640">
        <f>IF(Z640&lt;&gt;"",Z640-TODAY(),"")</f>
        <v/>
      </c>
      <c r="AB640">
        <f>IF(AA640&lt;&gt;"",IF(AA640&lt;0,"Overdue",IF(AA640&lt;=Y640*0.2,"At Risk","On Time")),"")</f>
        <v/>
      </c>
    </row>
    <row r="641">
      <c r="K641">
        <f>IF(J641="v4.0",L641,IF(J641="v3.1",M641,IF(J641="Both",L641,IF(AND(L641&lt;&gt;"",M641=""),L641,M641))))</f>
        <v/>
      </c>
      <c r="Y641">
        <f>IF(T641="P0",1,IF(T641="P1",3,IF(T641="P2",7,IF(T641="P3",30,IF(T641="P4",30,7)))))</f>
        <v/>
      </c>
      <c r="Z641">
        <f>IF(U641&lt;&gt;"",U641+Y641,"")</f>
        <v/>
      </c>
      <c r="AA641">
        <f>IF(Z641&lt;&gt;"",Z641-TODAY(),"")</f>
        <v/>
      </c>
      <c r="AB641">
        <f>IF(AA641&lt;&gt;"",IF(AA641&lt;0,"Overdue",IF(AA641&lt;=Y641*0.2,"At Risk","On Time")),"")</f>
        <v/>
      </c>
    </row>
    <row r="642">
      <c r="K642">
        <f>IF(J642="v4.0",L642,IF(J642="v3.1",M642,IF(J642="Both",L642,IF(AND(L642&lt;&gt;"",M642=""),L642,M642))))</f>
        <v/>
      </c>
      <c r="Y642">
        <f>IF(T642="P0",1,IF(T642="P1",3,IF(T642="P2",7,IF(T642="P3",30,IF(T642="P4",30,7)))))</f>
        <v/>
      </c>
      <c r="Z642">
        <f>IF(U642&lt;&gt;"",U642+Y642,"")</f>
        <v/>
      </c>
      <c r="AA642">
        <f>IF(Z642&lt;&gt;"",Z642-TODAY(),"")</f>
        <v/>
      </c>
      <c r="AB642">
        <f>IF(AA642&lt;&gt;"",IF(AA642&lt;0,"Overdue",IF(AA642&lt;=Y642*0.2,"At Risk","On Time")),"")</f>
        <v/>
      </c>
    </row>
    <row r="643">
      <c r="K643">
        <f>IF(J643="v4.0",L643,IF(J643="v3.1",M643,IF(J643="Both",L643,IF(AND(L643&lt;&gt;"",M643=""),L643,M643))))</f>
        <v/>
      </c>
      <c r="Y643">
        <f>IF(T643="P0",1,IF(T643="P1",3,IF(T643="P2",7,IF(T643="P3",30,IF(T643="P4",30,7)))))</f>
        <v/>
      </c>
      <c r="Z643">
        <f>IF(U643&lt;&gt;"",U643+Y643,"")</f>
        <v/>
      </c>
      <c r="AA643">
        <f>IF(Z643&lt;&gt;"",Z643-TODAY(),"")</f>
        <v/>
      </c>
      <c r="AB643">
        <f>IF(AA643&lt;&gt;"",IF(AA643&lt;0,"Overdue",IF(AA643&lt;=Y643*0.2,"At Risk","On Time")),"")</f>
        <v/>
      </c>
    </row>
    <row r="644">
      <c r="K644">
        <f>IF(J644="v4.0",L644,IF(J644="v3.1",M644,IF(J644="Both",L644,IF(AND(L644&lt;&gt;"",M644=""),L644,M644))))</f>
        <v/>
      </c>
      <c r="Y644">
        <f>IF(T644="P0",1,IF(T644="P1",3,IF(T644="P2",7,IF(T644="P3",30,IF(T644="P4",30,7)))))</f>
        <v/>
      </c>
      <c r="Z644">
        <f>IF(U644&lt;&gt;"",U644+Y644,"")</f>
        <v/>
      </c>
      <c r="AA644">
        <f>IF(Z644&lt;&gt;"",Z644-TODAY(),"")</f>
        <v/>
      </c>
      <c r="AB644">
        <f>IF(AA644&lt;&gt;"",IF(AA644&lt;0,"Overdue",IF(AA644&lt;=Y644*0.2,"At Risk","On Time")),"")</f>
        <v/>
      </c>
    </row>
    <row r="645">
      <c r="K645">
        <f>IF(J645="v4.0",L645,IF(J645="v3.1",M645,IF(J645="Both",L645,IF(AND(L645&lt;&gt;"",M645=""),L645,M645))))</f>
        <v/>
      </c>
      <c r="Y645">
        <f>IF(T645="P0",1,IF(T645="P1",3,IF(T645="P2",7,IF(T645="P3",30,IF(T645="P4",30,7)))))</f>
        <v/>
      </c>
      <c r="Z645">
        <f>IF(U645&lt;&gt;"",U645+Y645,"")</f>
        <v/>
      </c>
      <c r="AA645">
        <f>IF(Z645&lt;&gt;"",Z645-TODAY(),"")</f>
        <v/>
      </c>
      <c r="AB645">
        <f>IF(AA645&lt;&gt;"",IF(AA645&lt;0,"Overdue",IF(AA645&lt;=Y645*0.2,"At Risk","On Time")),"")</f>
        <v/>
      </c>
    </row>
    <row r="646">
      <c r="K646">
        <f>IF(J646="v4.0",L646,IF(J646="v3.1",M646,IF(J646="Both",L646,IF(AND(L646&lt;&gt;"",M646=""),L646,M646))))</f>
        <v/>
      </c>
      <c r="Y646">
        <f>IF(T646="P0",1,IF(T646="P1",3,IF(T646="P2",7,IF(T646="P3",30,IF(T646="P4",30,7)))))</f>
        <v/>
      </c>
      <c r="Z646">
        <f>IF(U646&lt;&gt;"",U646+Y646,"")</f>
        <v/>
      </c>
      <c r="AA646">
        <f>IF(Z646&lt;&gt;"",Z646-TODAY(),"")</f>
        <v/>
      </c>
      <c r="AB646">
        <f>IF(AA646&lt;&gt;"",IF(AA646&lt;0,"Overdue",IF(AA646&lt;=Y646*0.2,"At Risk","On Time")),"")</f>
        <v/>
      </c>
    </row>
    <row r="647">
      <c r="K647">
        <f>IF(J647="v4.0",L647,IF(J647="v3.1",M647,IF(J647="Both",L647,IF(AND(L647&lt;&gt;"",M647=""),L647,M647))))</f>
        <v/>
      </c>
      <c r="Y647">
        <f>IF(T647="P0",1,IF(T647="P1",3,IF(T647="P2",7,IF(T647="P3",30,IF(T647="P4",30,7)))))</f>
        <v/>
      </c>
      <c r="Z647">
        <f>IF(U647&lt;&gt;"",U647+Y647,"")</f>
        <v/>
      </c>
      <c r="AA647">
        <f>IF(Z647&lt;&gt;"",Z647-TODAY(),"")</f>
        <v/>
      </c>
      <c r="AB647">
        <f>IF(AA647&lt;&gt;"",IF(AA647&lt;0,"Overdue",IF(AA647&lt;=Y647*0.2,"At Risk","On Time")),"")</f>
        <v/>
      </c>
    </row>
    <row r="648">
      <c r="K648">
        <f>IF(J648="v4.0",L648,IF(J648="v3.1",M648,IF(J648="Both",L648,IF(AND(L648&lt;&gt;"",M648=""),L648,M648))))</f>
        <v/>
      </c>
      <c r="Y648">
        <f>IF(T648="P0",1,IF(T648="P1",3,IF(T648="P2",7,IF(T648="P3",30,IF(T648="P4",30,7)))))</f>
        <v/>
      </c>
      <c r="Z648">
        <f>IF(U648&lt;&gt;"",U648+Y648,"")</f>
        <v/>
      </c>
      <c r="AA648">
        <f>IF(Z648&lt;&gt;"",Z648-TODAY(),"")</f>
        <v/>
      </c>
      <c r="AB648">
        <f>IF(AA648&lt;&gt;"",IF(AA648&lt;0,"Overdue",IF(AA648&lt;=Y648*0.2,"At Risk","On Time")),"")</f>
        <v/>
      </c>
    </row>
    <row r="649">
      <c r="K649">
        <f>IF(J649="v4.0",L649,IF(J649="v3.1",M649,IF(J649="Both",L649,IF(AND(L649&lt;&gt;"",M649=""),L649,M649))))</f>
        <v/>
      </c>
      <c r="Y649">
        <f>IF(T649="P0",1,IF(T649="P1",3,IF(T649="P2",7,IF(T649="P3",30,IF(T649="P4",30,7)))))</f>
        <v/>
      </c>
      <c r="Z649">
        <f>IF(U649&lt;&gt;"",U649+Y649,"")</f>
        <v/>
      </c>
      <c r="AA649">
        <f>IF(Z649&lt;&gt;"",Z649-TODAY(),"")</f>
        <v/>
      </c>
      <c r="AB649">
        <f>IF(AA649&lt;&gt;"",IF(AA649&lt;0,"Overdue",IF(AA649&lt;=Y649*0.2,"At Risk","On Time")),"")</f>
        <v/>
      </c>
    </row>
    <row r="650">
      <c r="K650">
        <f>IF(J650="v4.0",L650,IF(J650="v3.1",M650,IF(J650="Both",L650,IF(AND(L650&lt;&gt;"",M650=""),L650,M650))))</f>
        <v/>
      </c>
      <c r="Y650">
        <f>IF(T650="P0",1,IF(T650="P1",3,IF(T650="P2",7,IF(T650="P3",30,IF(T650="P4",30,7)))))</f>
        <v/>
      </c>
      <c r="Z650">
        <f>IF(U650&lt;&gt;"",U650+Y650,"")</f>
        <v/>
      </c>
      <c r="AA650">
        <f>IF(Z650&lt;&gt;"",Z650-TODAY(),"")</f>
        <v/>
      </c>
      <c r="AB650">
        <f>IF(AA650&lt;&gt;"",IF(AA650&lt;0,"Overdue",IF(AA650&lt;=Y650*0.2,"At Risk","On Time")),"")</f>
        <v/>
      </c>
    </row>
    <row r="651">
      <c r="K651">
        <f>IF(J651="v4.0",L651,IF(J651="v3.1",M651,IF(J651="Both",L651,IF(AND(L651&lt;&gt;"",M651=""),L651,M651))))</f>
        <v/>
      </c>
      <c r="Y651">
        <f>IF(T651="P0",1,IF(T651="P1",3,IF(T651="P2",7,IF(T651="P3",30,IF(T651="P4",30,7)))))</f>
        <v/>
      </c>
      <c r="Z651">
        <f>IF(U651&lt;&gt;"",U651+Y651,"")</f>
        <v/>
      </c>
      <c r="AA651">
        <f>IF(Z651&lt;&gt;"",Z651-TODAY(),"")</f>
        <v/>
      </c>
      <c r="AB651">
        <f>IF(AA651&lt;&gt;"",IF(AA651&lt;0,"Overdue",IF(AA651&lt;=Y651*0.2,"At Risk","On Time")),"")</f>
        <v/>
      </c>
    </row>
    <row r="652">
      <c r="K652">
        <f>IF(J652="v4.0",L652,IF(J652="v3.1",M652,IF(J652="Both",L652,IF(AND(L652&lt;&gt;"",M652=""),L652,M652))))</f>
        <v/>
      </c>
      <c r="Y652">
        <f>IF(T652="P0",1,IF(T652="P1",3,IF(T652="P2",7,IF(T652="P3",30,IF(T652="P4",30,7)))))</f>
        <v/>
      </c>
      <c r="Z652">
        <f>IF(U652&lt;&gt;"",U652+Y652,"")</f>
        <v/>
      </c>
      <c r="AA652">
        <f>IF(Z652&lt;&gt;"",Z652-TODAY(),"")</f>
        <v/>
      </c>
      <c r="AB652">
        <f>IF(AA652&lt;&gt;"",IF(AA652&lt;0,"Overdue",IF(AA652&lt;=Y652*0.2,"At Risk","On Time")),"")</f>
        <v/>
      </c>
    </row>
    <row r="653">
      <c r="K653">
        <f>IF(J653="v4.0",L653,IF(J653="v3.1",M653,IF(J653="Both",L653,IF(AND(L653&lt;&gt;"",M653=""),L653,M653))))</f>
        <v/>
      </c>
      <c r="Y653">
        <f>IF(T653="P0",1,IF(T653="P1",3,IF(T653="P2",7,IF(T653="P3",30,IF(T653="P4",30,7)))))</f>
        <v/>
      </c>
      <c r="Z653">
        <f>IF(U653&lt;&gt;"",U653+Y653,"")</f>
        <v/>
      </c>
      <c r="AA653">
        <f>IF(Z653&lt;&gt;"",Z653-TODAY(),"")</f>
        <v/>
      </c>
      <c r="AB653">
        <f>IF(AA653&lt;&gt;"",IF(AA653&lt;0,"Overdue",IF(AA653&lt;=Y653*0.2,"At Risk","On Time")),"")</f>
        <v/>
      </c>
    </row>
    <row r="654">
      <c r="K654">
        <f>IF(J654="v4.0",L654,IF(J654="v3.1",M654,IF(J654="Both",L654,IF(AND(L654&lt;&gt;"",M654=""),L654,M654))))</f>
        <v/>
      </c>
      <c r="Y654">
        <f>IF(T654="P0",1,IF(T654="P1",3,IF(T654="P2",7,IF(T654="P3",30,IF(T654="P4",30,7)))))</f>
        <v/>
      </c>
      <c r="Z654">
        <f>IF(U654&lt;&gt;"",U654+Y654,"")</f>
        <v/>
      </c>
      <c r="AA654">
        <f>IF(Z654&lt;&gt;"",Z654-TODAY(),"")</f>
        <v/>
      </c>
      <c r="AB654">
        <f>IF(AA654&lt;&gt;"",IF(AA654&lt;0,"Overdue",IF(AA654&lt;=Y654*0.2,"At Risk","On Time")),"")</f>
        <v/>
      </c>
    </row>
    <row r="655">
      <c r="K655">
        <f>IF(J655="v4.0",L655,IF(J655="v3.1",M655,IF(J655="Both",L655,IF(AND(L655&lt;&gt;"",M655=""),L655,M655))))</f>
        <v/>
      </c>
      <c r="Y655">
        <f>IF(T655="P0",1,IF(T655="P1",3,IF(T655="P2",7,IF(T655="P3",30,IF(T655="P4",30,7)))))</f>
        <v/>
      </c>
      <c r="Z655">
        <f>IF(U655&lt;&gt;"",U655+Y655,"")</f>
        <v/>
      </c>
      <c r="AA655">
        <f>IF(Z655&lt;&gt;"",Z655-TODAY(),"")</f>
        <v/>
      </c>
      <c r="AB655">
        <f>IF(AA655&lt;&gt;"",IF(AA655&lt;0,"Overdue",IF(AA655&lt;=Y655*0.2,"At Risk","On Time")),"")</f>
        <v/>
      </c>
    </row>
    <row r="656">
      <c r="K656">
        <f>IF(J656="v4.0",L656,IF(J656="v3.1",M656,IF(J656="Both",L656,IF(AND(L656&lt;&gt;"",M656=""),L656,M656))))</f>
        <v/>
      </c>
      <c r="Y656">
        <f>IF(T656="P0",1,IF(T656="P1",3,IF(T656="P2",7,IF(T656="P3",30,IF(T656="P4",30,7)))))</f>
        <v/>
      </c>
      <c r="Z656">
        <f>IF(U656&lt;&gt;"",U656+Y656,"")</f>
        <v/>
      </c>
      <c r="AA656">
        <f>IF(Z656&lt;&gt;"",Z656-TODAY(),"")</f>
        <v/>
      </c>
      <c r="AB656">
        <f>IF(AA656&lt;&gt;"",IF(AA656&lt;0,"Overdue",IF(AA656&lt;=Y656*0.2,"At Risk","On Time")),"")</f>
        <v/>
      </c>
    </row>
    <row r="657">
      <c r="K657">
        <f>IF(J657="v4.0",L657,IF(J657="v3.1",M657,IF(J657="Both",L657,IF(AND(L657&lt;&gt;"",M657=""),L657,M657))))</f>
        <v/>
      </c>
      <c r="Y657">
        <f>IF(T657="P0",1,IF(T657="P1",3,IF(T657="P2",7,IF(T657="P3",30,IF(T657="P4",30,7)))))</f>
        <v/>
      </c>
      <c r="Z657">
        <f>IF(U657&lt;&gt;"",U657+Y657,"")</f>
        <v/>
      </c>
      <c r="AA657">
        <f>IF(Z657&lt;&gt;"",Z657-TODAY(),"")</f>
        <v/>
      </c>
      <c r="AB657">
        <f>IF(AA657&lt;&gt;"",IF(AA657&lt;0,"Overdue",IF(AA657&lt;=Y657*0.2,"At Risk","On Time")),"")</f>
        <v/>
      </c>
    </row>
    <row r="658">
      <c r="K658">
        <f>IF(J658="v4.0",L658,IF(J658="v3.1",M658,IF(J658="Both",L658,IF(AND(L658&lt;&gt;"",M658=""),L658,M658))))</f>
        <v/>
      </c>
      <c r="Y658">
        <f>IF(T658="P0",1,IF(T658="P1",3,IF(T658="P2",7,IF(T658="P3",30,IF(T658="P4",30,7)))))</f>
        <v/>
      </c>
      <c r="Z658">
        <f>IF(U658&lt;&gt;"",U658+Y658,"")</f>
        <v/>
      </c>
      <c r="AA658">
        <f>IF(Z658&lt;&gt;"",Z658-TODAY(),"")</f>
        <v/>
      </c>
      <c r="AB658">
        <f>IF(AA658&lt;&gt;"",IF(AA658&lt;0,"Overdue",IF(AA658&lt;=Y658*0.2,"At Risk","On Time")),"")</f>
        <v/>
      </c>
    </row>
    <row r="659">
      <c r="K659">
        <f>IF(J659="v4.0",L659,IF(J659="v3.1",M659,IF(J659="Both",L659,IF(AND(L659&lt;&gt;"",M659=""),L659,M659))))</f>
        <v/>
      </c>
      <c r="Y659">
        <f>IF(T659="P0",1,IF(T659="P1",3,IF(T659="P2",7,IF(T659="P3",30,IF(T659="P4",30,7)))))</f>
        <v/>
      </c>
      <c r="Z659">
        <f>IF(U659&lt;&gt;"",U659+Y659,"")</f>
        <v/>
      </c>
      <c r="AA659">
        <f>IF(Z659&lt;&gt;"",Z659-TODAY(),"")</f>
        <v/>
      </c>
      <c r="AB659">
        <f>IF(AA659&lt;&gt;"",IF(AA659&lt;0,"Overdue",IF(AA659&lt;=Y659*0.2,"At Risk","On Time")),"")</f>
        <v/>
      </c>
    </row>
    <row r="660">
      <c r="K660">
        <f>IF(J660="v4.0",L660,IF(J660="v3.1",M660,IF(J660="Both",L660,IF(AND(L660&lt;&gt;"",M660=""),L660,M660))))</f>
        <v/>
      </c>
      <c r="Y660">
        <f>IF(T660="P0",1,IF(T660="P1",3,IF(T660="P2",7,IF(T660="P3",30,IF(T660="P4",30,7)))))</f>
        <v/>
      </c>
      <c r="Z660">
        <f>IF(U660&lt;&gt;"",U660+Y660,"")</f>
        <v/>
      </c>
      <c r="AA660">
        <f>IF(Z660&lt;&gt;"",Z660-TODAY(),"")</f>
        <v/>
      </c>
      <c r="AB660">
        <f>IF(AA660&lt;&gt;"",IF(AA660&lt;0,"Overdue",IF(AA660&lt;=Y660*0.2,"At Risk","On Time")),"")</f>
        <v/>
      </c>
    </row>
    <row r="661">
      <c r="K661">
        <f>IF(J661="v4.0",L661,IF(J661="v3.1",M661,IF(J661="Both",L661,IF(AND(L661&lt;&gt;"",M661=""),L661,M661))))</f>
        <v/>
      </c>
      <c r="Y661">
        <f>IF(T661="P0",1,IF(T661="P1",3,IF(T661="P2",7,IF(T661="P3",30,IF(T661="P4",30,7)))))</f>
        <v/>
      </c>
      <c r="Z661">
        <f>IF(U661&lt;&gt;"",U661+Y661,"")</f>
        <v/>
      </c>
      <c r="AA661">
        <f>IF(Z661&lt;&gt;"",Z661-TODAY(),"")</f>
        <v/>
      </c>
      <c r="AB661">
        <f>IF(AA661&lt;&gt;"",IF(AA661&lt;0,"Overdue",IF(AA661&lt;=Y661*0.2,"At Risk","On Time")),"")</f>
        <v/>
      </c>
    </row>
    <row r="662">
      <c r="K662">
        <f>IF(J662="v4.0",L662,IF(J662="v3.1",M662,IF(J662="Both",L662,IF(AND(L662&lt;&gt;"",M662=""),L662,M662))))</f>
        <v/>
      </c>
      <c r="Y662">
        <f>IF(T662="P0",1,IF(T662="P1",3,IF(T662="P2",7,IF(T662="P3",30,IF(T662="P4",30,7)))))</f>
        <v/>
      </c>
      <c r="Z662">
        <f>IF(U662&lt;&gt;"",U662+Y662,"")</f>
        <v/>
      </c>
      <c r="AA662">
        <f>IF(Z662&lt;&gt;"",Z662-TODAY(),"")</f>
        <v/>
      </c>
      <c r="AB662">
        <f>IF(AA662&lt;&gt;"",IF(AA662&lt;0,"Overdue",IF(AA662&lt;=Y662*0.2,"At Risk","On Time")),"")</f>
        <v/>
      </c>
    </row>
    <row r="663">
      <c r="K663">
        <f>IF(J663="v4.0",L663,IF(J663="v3.1",M663,IF(J663="Both",L663,IF(AND(L663&lt;&gt;"",M663=""),L663,M663))))</f>
        <v/>
      </c>
      <c r="Y663">
        <f>IF(T663="P0",1,IF(T663="P1",3,IF(T663="P2",7,IF(T663="P3",30,IF(T663="P4",30,7)))))</f>
        <v/>
      </c>
      <c r="Z663">
        <f>IF(U663&lt;&gt;"",U663+Y663,"")</f>
        <v/>
      </c>
      <c r="AA663">
        <f>IF(Z663&lt;&gt;"",Z663-TODAY(),"")</f>
        <v/>
      </c>
      <c r="AB663">
        <f>IF(AA663&lt;&gt;"",IF(AA663&lt;0,"Overdue",IF(AA663&lt;=Y663*0.2,"At Risk","On Time")),"")</f>
        <v/>
      </c>
    </row>
    <row r="664">
      <c r="K664">
        <f>IF(J664="v4.0",L664,IF(J664="v3.1",M664,IF(J664="Both",L664,IF(AND(L664&lt;&gt;"",M664=""),L664,M664))))</f>
        <v/>
      </c>
      <c r="Y664">
        <f>IF(T664="P0",1,IF(T664="P1",3,IF(T664="P2",7,IF(T664="P3",30,IF(T664="P4",30,7)))))</f>
        <v/>
      </c>
      <c r="Z664">
        <f>IF(U664&lt;&gt;"",U664+Y664,"")</f>
        <v/>
      </c>
      <c r="AA664">
        <f>IF(Z664&lt;&gt;"",Z664-TODAY(),"")</f>
        <v/>
      </c>
      <c r="AB664">
        <f>IF(AA664&lt;&gt;"",IF(AA664&lt;0,"Overdue",IF(AA664&lt;=Y664*0.2,"At Risk","On Time")),"")</f>
        <v/>
      </c>
    </row>
    <row r="665">
      <c r="K665">
        <f>IF(J665="v4.0",L665,IF(J665="v3.1",M665,IF(J665="Both",L665,IF(AND(L665&lt;&gt;"",M665=""),L665,M665))))</f>
        <v/>
      </c>
      <c r="Y665">
        <f>IF(T665="P0",1,IF(T665="P1",3,IF(T665="P2",7,IF(T665="P3",30,IF(T665="P4",30,7)))))</f>
        <v/>
      </c>
      <c r="Z665">
        <f>IF(U665&lt;&gt;"",U665+Y665,"")</f>
        <v/>
      </c>
      <c r="AA665">
        <f>IF(Z665&lt;&gt;"",Z665-TODAY(),"")</f>
        <v/>
      </c>
      <c r="AB665">
        <f>IF(AA665&lt;&gt;"",IF(AA665&lt;0,"Overdue",IF(AA665&lt;=Y665*0.2,"At Risk","On Time")),"")</f>
        <v/>
      </c>
    </row>
    <row r="666">
      <c r="K666">
        <f>IF(J666="v4.0",L666,IF(J666="v3.1",M666,IF(J666="Both",L666,IF(AND(L666&lt;&gt;"",M666=""),L666,M666))))</f>
        <v/>
      </c>
      <c r="Y666">
        <f>IF(T666="P0",1,IF(T666="P1",3,IF(T666="P2",7,IF(T666="P3",30,IF(T666="P4",30,7)))))</f>
        <v/>
      </c>
      <c r="Z666">
        <f>IF(U666&lt;&gt;"",U666+Y666,"")</f>
        <v/>
      </c>
      <c r="AA666">
        <f>IF(Z666&lt;&gt;"",Z666-TODAY(),"")</f>
        <v/>
      </c>
      <c r="AB666">
        <f>IF(AA666&lt;&gt;"",IF(AA666&lt;0,"Overdue",IF(AA666&lt;=Y666*0.2,"At Risk","On Time")),"")</f>
        <v/>
      </c>
    </row>
    <row r="667">
      <c r="K667">
        <f>IF(J667="v4.0",L667,IF(J667="v3.1",M667,IF(J667="Both",L667,IF(AND(L667&lt;&gt;"",M667=""),L667,M667))))</f>
        <v/>
      </c>
      <c r="Y667">
        <f>IF(T667="P0",1,IF(T667="P1",3,IF(T667="P2",7,IF(T667="P3",30,IF(T667="P4",30,7)))))</f>
        <v/>
      </c>
      <c r="Z667">
        <f>IF(U667&lt;&gt;"",U667+Y667,"")</f>
        <v/>
      </c>
      <c r="AA667">
        <f>IF(Z667&lt;&gt;"",Z667-TODAY(),"")</f>
        <v/>
      </c>
      <c r="AB667">
        <f>IF(AA667&lt;&gt;"",IF(AA667&lt;0,"Overdue",IF(AA667&lt;=Y667*0.2,"At Risk","On Time")),"")</f>
        <v/>
      </c>
    </row>
    <row r="668">
      <c r="K668">
        <f>IF(J668="v4.0",L668,IF(J668="v3.1",M668,IF(J668="Both",L668,IF(AND(L668&lt;&gt;"",M668=""),L668,M668))))</f>
        <v/>
      </c>
      <c r="Y668">
        <f>IF(T668="P0",1,IF(T668="P1",3,IF(T668="P2",7,IF(T668="P3",30,IF(T668="P4",30,7)))))</f>
        <v/>
      </c>
      <c r="Z668">
        <f>IF(U668&lt;&gt;"",U668+Y668,"")</f>
        <v/>
      </c>
      <c r="AA668">
        <f>IF(Z668&lt;&gt;"",Z668-TODAY(),"")</f>
        <v/>
      </c>
      <c r="AB668">
        <f>IF(AA668&lt;&gt;"",IF(AA668&lt;0,"Overdue",IF(AA668&lt;=Y668*0.2,"At Risk","On Time")),"")</f>
        <v/>
      </c>
    </row>
    <row r="669">
      <c r="K669">
        <f>IF(J669="v4.0",L669,IF(J669="v3.1",M669,IF(J669="Both",L669,IF(AND(L669&lt;&gt;"",M669=""),L669,M669))))</f>
        <v/>
      </c>
      <c r="Y669">
        <f>IF(T669="P0",1,IF(T669="P1",3,IF(T669="P2",7,IF(T669="P3",30,IF(T669="P4",30,7)))))</f>
        <v/>
      </c>
      <c r="Z669">
        <f>IF(U669&lt;&gt;"",U669+Y669,"")</f>
        <v/>
      </c>
      <c r="AA669">
        <f>IF(Z669&lt;&gt;"",Z669-TODAY(),"")</f>
        <v/>
      </c>
      <c r="AB669">
        <f>IF(AA669&lt;&gt;"",IF(AA669&lt;0,"Overdue",IF(AA669&lt;=Y669*0.2,"At Risk","On Time")),"")</f>
        <v/>
      </c>
    </row>
    <row r="670">
      <c r="K670">
        <f>IF(J670="v4.0",L670,IF(J670="v3.1",M670,IF(J670="Both",L670,IF(AND(L670&lt;&gt;"",M670=""),L670,M670))))</f>
        <v/>
      </c>
      <c r="Y670">
        <f>IF(T670="P0",1,IF(T670="P1",3,IF(T670="P2",7,IF(T670="P3",30,IF(T670="P4",30,7)))))</f>
        <v/>
      </c>
      <c r="Z670">
        <f>IF(U670&lt;&gt;"",U670+Y670,"")</f>
        <v/>
      </c>
      <c r="AA670">
        <f>IF(Z670&lt;&gt;"",Z670-TODAY(),"")</f>
        <v/>
      </c>
      <c r="AB670">
        <f>IF(AA670&lt;&gt;"",IF(AA670&lt;0,"Overdue",IF(AA670&lt;=Y670*0.2,"At Risk","On Time")),"")</f>
        <v/>
      </c>
    </row>
    <row r="671">
      <c r="K671">
        <f>IF(J671="v4.0",L671,IF(J671="v3.1",M671,IF(J671="Both",L671,IF(AND(L671&lt;&gt;"",M671=""),L671,M671))))</f>
        <v/>
      </c>
      <c r="Y671">
        <f>IF(T671="P0",1,IF(T671="P1",3,IF(T671="P2",7,IF(T671="P3",30,IF(T671="P4",30,7)))))</f>
        <v/>
      </c>
      <c r="Z671">
        <f>IF(U671&lt;&gt;"",U671+Y671,"")</f>
        <v/>
      </c>
      <c r="AA671">
        <f>IF(Z671&lt;&gt;"",Z671-TODAY(),"")</f>
        <v/>
      </c>
      <c r="AB671">
        <f>IF(AA671&lt;&gt;"",IF(AA671&lt;0,"Overdue",IF(AA671&lt;=Y671*0.2,"At Risk","On Time")),"")</f>
        <v/>
      </c>
    </row>
    <row r="672">
      <c r="K672">
        <f>IF(J672="v4.0",L672,IF(J672="v3.1",M672,IF(J672="Both",L672,IF(AND(L672&lt;&gt;"",M672=""),L672,M672))))</f>
        <v/>
      </c>
      <c r="Y672">
        <f>IF(T672="P0",1,IF(T672="P1",3,IF(T672="P2",7,IF(T672="P3",30,IF(T672="P4",30,7)))))</f>
        <v/>
      </c>
      <c r="Z672">
        <f>IF(U672&lt;&gt;"",U672+Y672,"")</f>
        <v/>
      </c>
      <c r="AA672">
        <f>IF(Z672&lt;&gt;"",Z672-TODAY(),"")</f>
        <v/>
      </c>
      <c r="AB672">
        <f>IF(AA672&lt;&gt;"",IF(AA672&lt;0,"Overdue",IF(AA672&lt;=Y672*0.2,"At Risk","On Time")),"")</f>
        <v/>
      </c>
    </row>
    <row r="673">
      <c r="K673">
        <f>IF(J673="v4.0",L673,IF(J673="v3.1",M673,IF(J673="Both",L673,IF(AND(L673&lt;&gt;"",M673=""),L673,M673))))</f>
        <v/>
      </c>
      <c r="Y673">
        <f>IF(T673="P0",1,IF(T673="P1",3,IF(T673="P2",7,IF(T673="P3",30,IF(T673="P4",30,7)))))</f>
        <v/>
      </c>
      <c r="Z673">
        <f>IF(U673&lt;&gt;"",U673+Y673,"")</f>
        <v/>
      </c>
      <c r="AA673">
        <f>IF(Z673&lt;&gt;"",Z673-TODAY(),"")</f>
        <v/>
      </c>
      <c r="AB673">
        <f>IF(AA673&lt;&gt;"",IF(AA673&lt;0,"Overdue",IF(AA673&lt;=Y673*0.2,"At Risk","On Time")),"")</f>
        <v/>
      </c>
    </row>
    <row r="674">
      <c r="K674">
        <f>IF(J674="v4.0",L674,IF(J674="v3.1",M674,IF(J674="Both",L674,IF(AND(L674&lt;&gt;"",M674=""),L674,M674))))</f>
        <v/>
      </c>
      <c r="Y674">
        <f>IF(T674="P0",1,IF(T674="P1",3,IF(T674="P2",7,IF(T674="P3",30,IF(T674="P4",30,7)))))</f>
        <v/>
      </c>
      <c r="Z674">
        <f>IF(U674&lt;&gt;"",U674+Y674,"")</f>
        <v/>
      </c>
      <c r="AA674">
        <f>IF(Z674&lt;&gt;"",Z674-TODAY(),"")</f>
        <v/>
      </c>
      <c r="AB674">
        <f>IF(AA674&lt;&gt;"",IF(AA674&lt;0,"Overdue",IF(AA674&lt;=Y674*0.2,"At Risk","On Time")),"")</f>
        <v/>
      </c>
    </row>
    <row r="675">
      <c r="K675">
        <f>IF(J675="v4.0",L675,IF(J675="v3.1",M675,IF(J675="Both",L675,IF(AND(L675&lt;&gt;"",M675=""),L675,M675))))</f>
        <v/>
      </c>
      <c r="Y675">
        <f>IF(T675="P0",1,IF(T675="P1",3,IF(T675="P2",7,IF(T675="P3",30,IF(T675="P4",30,7)))))</f>
        <v/>
      </c>
      <c r="Z675">
        <f>IF(U675&lt;&gt;"",U675+Y675,"")</f>
        <v/>
      </c>
      <c r="AA675">
        <f>IF(Z675&lt;&gt;"",Z675-TODAY(),"")</f>
        <v/>
      </c>
      <c r="AB675">
        <f>IF(AA675&lt;&gt;"",IF(AA675&lt;0,"Overdue",IF(AA675&lt;=Y675*0.2,"At Risk","On Time")),"")</f>
        <v/>
      </c>
    </row>
    <row r="676">
      <c r="K676">
        <f>IF(J676="v4.0",L676,IF(J676="v3.1",M676,IF(J676="Both",L676,IF(AND(L676&lt;&gt;"",M676=""),L676,M676))))</f>
        <v/>
      </c>
      <c r="Y676">
        <f>IF(T676="P0",1,IF(T676="P1",3,IF(T676="P2",7,IF(T676="P3",30,IF(T676="P4",30,7)))))</f>
        <v/>
      </c>
      <c r="Z676">
        <f>IF(U676&lt;&gt;"",U676+Y676,"")</f>
        <v/>
      </c>
      <c r="AA676">
        <f>IF(Z676&lt;&gt;"",Z676-TODAY(),"")</f>
        <v/>
      </c>
      <c r="AB676">
        <f>IF(AA676&lt;&gt;"",IF(AA676&lt;0,"Overdue",IF(AA676&lt;=Y676*0.2,"At Risk","On Time")),"")</f>
        <v/>
      </c>
    </row>
    <row r="677">
      <c r="K677">
        <f>IF(J677="v4.0",L677,IF(J677="v3.1",M677,IF(J677="Both",L677,IF(AND(L677&lt;&gt;"",M677=""),L677,M677))))</f>
        <v/>
      </c>
      <c r="Y677">
        <f>IF(T677="P0",1,IF(T677="P1",3,IF(T677="P2",7,IF(T677="P3",30,IF(T677="P4",30,7)))))</f>
        <v/>
      </c>
      <c r="Z677">
        <f>IF(U677&lt;&gt;"",U677+Y677,"")</f>
        <v/>
      </c>
      <c r="AA677">
        <f>IF(Z677&lt;&gt;"",Z677-TODAY(),"")</f>
        <v/>
      </c>
      <c r="AB677">
        <f>IF(AA677&lt;&gt;"",IF(AA677&lt;0,"Overdue",IF(AA677&lt;=Y677*0.2,"At Risk","On Time")),"")</f>
        <v/>
      </c>
    </row>
    <row r="678">
      <c r="K678">
        <f>IF(J678="v4.0",L678,IF(J678="v3.1",M678,IF(J678="Both",L678,IF(AND(L678&lt;&gt;"",M678=""),L678,M678))))</f>
        <v/>
      </c>
      <c r="Y678">
        <f>IF(T678="P0",1,IF(T678="P1",3,IF(T678="P2",7,IF(T678="P3",30,IF(T678="P4",30,7)))))</f>
        <v/>
      </c>
      <c r="Z678">
        <f>IF(U678&lt;&gt;"",U678+Y678,"")</f>
        <v/>
      </c>
      <c r="AA678">
        <f>IF(Z678&lt;&gt;"",Z678-TODAY(),"")</f>
        <v/>
      </c>
      <c r="AB678">
        <f>IF(AA678&lt;&gt;"",IF(AA678&lt;0,"Overdue",IF(AA678&lt;=Y678*0.2,"At Risk","On Time")),"")</f>
        <v/>
      </c>
    </row>
    <row r="679">
      <c r="K679">
        <f>IF(J679="v4.0",L679,IF(J679="v3.1",M679,IF(J679="Both",L679,IF(AND(L679&lt;&gt;"",M679=""),L679,M679))))</f>
        <v/>
      </c>
      <c r="Y679">
        <f>IF(T679="P0",1,IF(T679="P1",3,IF(T679="P2",7,IF(T679="P3",30,IF(T679="P4",30,7)))))</f>
        <v/>
      </c>
      <c r="Z679">
        <f>IF(U679&lt;&gt;"",U679+Y679,"")</f>
        <v/>
      </c>
      <c r="AA679">
        <f>IF(Z679&lt;&gt;"",Z679-TODAY(),"")</f>
        <v/>
      </c>
      <c r="AB679">
        <f>IF(AA679&lt;&gt;"",IF(AA679&lt;0,"Overdue",IF(AA679&lt;=Y679*0.2,"At Risk","On Time")),"")</f>
        <v/>
      </c>
    </row>
    <row r="680">
      <c r="K680">
        <f>IF(J680="v4.0",L680,IF(J680="v3.1",M680,IF(J680="Both",L680,IF(AND(L680&lt;&gt;"",M680=""),L680,M680))))</f>
        <v/>
      </c>
      <c r="Y680">
        <f>IF(T680="P0",1,IF(T680="P1",3,IF(T680="P2",7,IF(T680="P3",30,IF(T680="P4",30,7)))))</f>
        <v/>
      </c>
      <c r="Z680">
        <f>IF(U680&lt;&gt;"",U680+Y680,"")</f>
        <v/>
      </c>
      <c r="AA680">
        <f>IF(Z680&lt;&gt;"",Z680-TODAY(),"")</f>
        <v/>
      </c>
      <c r="AB680">
        <f>IF(AA680&lt;&gt;"",IF(AA680&lt;0,"Overdue",IF(AA680&lt;=Y680*0.2,"At Risk","On Time")),"")</f>
        <v/>
      </c>
    </row>
    <row r="681">
      <c r="K681">
        <f>IF(J681="v4.0",L681,IF(J681="v3.1",M681,IF(J681="Both",L681,IF(AND(L681&lt;&gt;"",M681=""),L681,M681))))</f>
        <v/>
      </c>
      <c r="Y681">
        <f>IF(T681="P0",1,IF(T681="P1",3,IF(T681="P2",7,IF(T681="P3",30,IF(T681="P4",30,7)))))</f>
        <v/>
      </c>
      <c r="Z681">
        <f>IF(U681&lt;&gt;"",U681+Y681,"")</f>
        <v/>
      </c>
      <c r="AA681">
        <f>IF(Z681&lt;&gt;"",Z681-TODAY(),"")</f>
        <v/>
      </c>
      <c r="AB681">
        <f>IF(AA681&lt;&gt;"",IF(AA681&lt;0,"Overdue",IF(AA681&lt;=Y681*0.2,"At Risk","On Time")),"")</f>
        <v/>
      </c>
    </row>
    <row r="682">
      <c r="K682">
        <f>IF(J682="v4.0",L682,IF(J682="v3.1",M682,IF(J682="Both",L682,IF(AND(L682&lt;&gt;"",M682=""),L682,M682))))</f>
        <v/>
      </c>
      <c r="Y682">
        <f>IF(T682="P0",1,IF(T682="P1",3,IF(T682="P2",7,IF(T682="P3",30,IF(T682="P4",30,7)))))</f>
        <v/>
      </c>
      <c r="Z682">
        <f>IF(U682&lt;&gt;"",U682+Y682,"")</f>
        <v/>
      </c>
      <c r="AA682">
        <f>IF(Z682&lt;&gt;"",Z682-TODAY(),"")</f>
        <v/>
      </c>
      <c r="AB682">
        <f>IF(AA682&lt;&gt;"",IF(AA682&lt;0,"Overdue",IF(AA682&lt;=Y682*0.2,"At Risk","On Time")),"")</f>
        <v/>
      </c>
    </row>
    <row r="683">
      <c r="K683">
        <f>IF(J683="v4.0",L683,IF(J683="v3.1",M683,IF(J683="Both",L683,IF(AND(L683&lt;&gt;"",M683=""),L683,M683))))</f>
        <v/>
      </c>
      <c r="Y683">
        <f>IF(T683="P0",1,IF(T683="P1",3,IF(T683="P2",7,IF(T683="P3",30,IF(T683="P4",30,7)))))</f>
        <v/>
      </c>
      <c r="Z683">
        <f>IF(U683&lt;&gt;"",U683+Y683,"")</f>
        <v/>
      </c>
      <c r="AA683">
        <f>IF(Z683&lt;&gt;"",Z683-TODAY(),"")</f>
        <v/>
      </c>
      <c r="AB683">
        <f>IF(AA683&lt;&gt;"",IF(AA683&lt;0,"Overdue",IF(AA683&lt;=Y683*0.2,"At Risk","On Time")),"")</f>
        <v/>
      </c>
    </row>
    <row r="684">
      <c r="K684">
        <f>IF(J684="v4.0",L684,IF(J684="v3.1",M684,IF(J684="Both",L684,IF(AND(L684&lt;&gt;"",M684=""),L684,M684))))</f>
        <v/>
      </c>
      <c r="Y684">
        <f>IF(T684="P0",1,IF(T684="P1",3,IF(T684="P2",7,IF(T684="P3",30,IF(T684="P4",30,7)))))</f>
        <v/>
      </c>
      <c r="Z684">
        <f>IF(U684&lt;&gt;"",U684+Y684,"")</f>
        <v/>
      </c>
      <c r="AA684">
        <f>IF(Z684&lt;&gt;"",Z684-TODAY(),"")</f>
        <v/>
      </c>
      <c r="AB684">
        <f>IF(AA684&lt;&gt;"",IF(AA684&lt;0,"Overdue",IF(AA684&lt;=Y684*0.2,"At Risk","On Time")),"")</f>
        <v/>
      </c>
    </row>
    <row r="685">
      <c r="K685">
        <f>IF(J685="v4.0",L685,IF(J685="v3.1",M685,IF(J685="Both",L685,IF(AND(L685&lt;&gt;"",M685=""),L685,M685))))</f>
        <v/>
      </c>
      <c r="Y685">
        <f>IF(T685="P0",1,IF(T685="P1",3,IF(T685="P2",7,IF(T685="P3",30,IF(T685="P4",30,7)))))</f>
        <v/>
      </c>
      <c r="Z685">
        <f>IF(U685&lt;&gt;"",U685+Y685,"")</f>
        <v/>
      </c>
      <c r="AA685">
        <f>IF(Z685&lt;&gt;"",Z685-TODAY(),"")</f>
        <v/>
      </c>
      <c r="AB685">
        <f>IF(AA685&lt;&gt;"",IF(AA685&lt;0,"Overdue",IF(AA685&lt;=Y685*0.2,"At Risk","On Time")),"")</f>
        <v/>
      </c>
    </row>
    <row r="686">
      <c r="K686">
        <f>IF(J686="v4.0",L686,IF(J686="v3.1",M686,IF(J686="Both",L686,IF(AND(L686&lt;&gt;"",M686=""),L686,M686))))</f>
        <v/>
      </c>
      <c r="Y686">
        <f>IF(T686="P0",1,IF(T686="P1",3,IF(T686="P2",7,IF(T686="P3",30,IF(T686="P4",30,7)))))</f>
        <v/>
      </c>
      <c r="Z686">
        <f>IF(U686&lt;&gt;"",U686+Y686,"")</f>
        <v/>
      </c>
      <c r="AA686">
        <f>IF(Z686&lt;&gt;"",Z686-TODAY(),"")</f>
        <v/>
      </c>
      <c r="AB686">
        <f>IF(AA686&lt;&gt;"",IF(AA686&lt;0,"Overdue",IF(AA686&lt;=Y686*0.2,"At Risk","On Time")),"")</f>
        <v/>
      </c>
    </row>
    <row r="687">
      <c r="K687">
        <f>IF(J687="v4.0",L687,IF(J687="v3.1",M687,IF(J687="Both",L687,IF(AND(L687&lt;&gt;"",M687=""),L687,M687))))</f>
        <v/>
      </c>
      <c r="Y687">
        <f>IF(T687="P0",1,IF(T687="P1",3,IF(T687="P2",7,IF(T687="P3",30,IF(T687="P4",30,7)))))</f>
        <v/>
      </c>
      <c r="Z687">
        <f>IF(U687&lt;&gt;"",U687+Y687,"")</f>
        <v/>
      </c>
      <c r="AA687">
        <f>IF(Z687&lt;&gt;"",Z687-TODAY(),"")</f>
        <v/>
      </c>
      <c r="AB687">
        <f>IF(AA687&lt;&gt;"",IF(AA687&lt;0,"Overdue",IF(AA687&lt;=Y687*0.2,"At Risk","On Time")),"")</f>
        <v/>
      </c>
    </row>
    <row r="688">
      <c r="K688">
        <f>IF(J688="v4.0",L688,IF(J688="v3.1",M688,IF(J688="Both",L688,IF(AND(L688&lt;&gt;"",M688=""),L688,M688))))</f>
        <v/>
      </c>
      <c r="Y688">
        <f>IF(T688="P0",1,IF(T688="P1",3,IF(T688="P2",7,IF(T688="P3",30,IF(T688="P4",30,7)))))</f>
        <v/>
      </c>
      <c r="Z688">
        <f>IF(U688&lt;&gt;"",U688+Y688,"")</f>
        <v/>
      </c>
      <c r="AA688">
        <f>IF(Z688&lt;&gt;"",Z688-TODAY(),"")</f>
        <v/>
      </c>
      <c r="AB688">
        <f>IF(AA688&lt;&gt;"",IF(AA688&lt;0,"Overdue",IF(AA688&lt;=Y688*0.2,"At Risk","On Time")),"")</f>
        <v/>
      </c>
    </row>
    <row r="689">
      <c r="K689">
        <f>IF(J689="v4.0",L689,IF(J689="v3.1",M689,IF(J689="Both",L689,IF(AND(L689&lt;&gt;"",M689=""),L689,M689))))</f>
        <v/>
      </c>
      <c r="Y689">
        <f>IF(T689="P0",1,IF(T689="P1",3,IF(T689="P2",7,IF(T689="P3",30,IF(T689="P4",30,7)))))</f>
        <v/>
      </c>
      <c r="Z689">
        <f>IF(U689&lt;&gt;"",U689+Y689,"")</f>
        <v/>
      </c>
      <c r="AA689">
        <f>IF(Z689&lt;&gt;"",Z689-TODAY(),"")</f>
        <v/>
      </c>
      <c r="AB689">
        <f>IF(AA689&lt;&gt;"",IF(AA689&lt;0,"Overdue",IF(AA689&lt;=Y689*0.2,"At Risk","On Time")),"")</f>
        <v/>
      </c>
    </row>
    <row r="690">
      <c r="K690">
        <f>IF(J690="v4.0",L690,IF(J690="v3.1",M690,IF(J690="Both",L690,IF(AND(L690&lt;&gt;"",M690=""),L690,M690))))</f>
        <v/>
      </c>
      <c r="Y690">
        <f>IF(T690="P0",1,IF(T690="P1",3,IF(T690="P2",7,IF(T690="P3",30,IF(T690="P4",30,7)))))</f>
        <v/>
      </c>
      <c r="Z690">
        <f>IF(U690&lt;&gt;"",U690+Y690,"")</f>
        <v/>
      </c>
      <c r="AA690">
        <f>IF(Z690&lt;&gt;"",Z690-TODAY(),"")</f>
        <v/>
      </c>
      <c r="AB690">
        <f>IF(AA690&lt;&gt;"",IF(AA690&lt;0,"Overdue",IF(AA690&lt;=Y690*0.2,"At Risk","On Time")),"")</f>
        <v/>
      </c>
    </row>
    <row r="691">
      <c r="K691">
        <f>IF(J691="v4.0",L691,IF(J691="v3.1",M691,IF(J691="Both",L691,IF(AND(L691&lt;&gt;"",M691=""),L691,M691))))</f>
        <v/>
      </c>
      <c r="Y691">
        <f>IF(T691="P0",1,IF(T691="P1",3,IF(T691="P2",7,IF(T691="P3",30,IF(T691="P4",30,7)))))</f>
        <v/>
      </c>
      <c r="Z691">
        <f>IF(U691&lt;&gt;"",U691+Y691,"")</f>
        <v/>
      </c>
      <c r="AA691">
        <f>IF(Z691&lt;&gt;"",Z691-TODAY(),"")</f>
        <v/>
      </c>
      <c r="AB691">
        <f>IF(AA691&lt;&gt;"",IF(AA691&lt;0,"Overdue",IF(AA691&lt;=Y691*0.2,"At Risk","On Time")),"")</f>
        <v/>
      </c>
    </row>
    <row r="692">
      <c r="K692">
        <f>IF(J692="v4.0",L692,IF(J692="v3.1",M692,IF(J692="Both",L692,IF(AND(L692&lt;&gt;"",M692=""),L692,M692))))</f>
        <v/>
      </c>
      <c r="Y692">
        <f>IF(T692="P0",1,IF(T692="P1",3,IF(T692="P2",7,IF(T692="P3",30,IF(T692="P4",30,7)))))</f>
        <v/>
      </c>
      <c r="Z692">
        <f>IF(U692&lt;&gt;"",U692+Y692,"")</f>
        <v/>
      </c>
      <c r="AA692">
        <f>IF(Z692&lt;&gt;"",Z692-TODAY(),"")</f>
        <v/>
      </c>
      <c r="AB692">
        <f>IF(AA692&lt;&gt;"",IF(AA692&lt;0,"Overdue",IF(AA692&lt;=Y692*0.2,"At Risk","On Time")),"")</f>
        <v/>
      </c>
    </row>
    <row r="693">
      <c r="K693">
        <f>IF(J693="v4.0",L693,IF(J693="v3.1",M693,IF(J693="Both",L693,IF(AND(L693&lt;&gt;"",M693=""),L693,M693))))</f>
        <v/>
      </c>
      <c r="Y693">
        <f>IF(T693="P0",1,IF(T693="P1",3,IF(T693="P2",7,IF(T693="P3",30,IF(T693="P4",30,7)))))</f>
        <v/>
      </c>
      <c r="Z693">
        <f>IF(U693&lt;&gt;"",U693+Y693,"")</f>
        <v/>
      </c>
      <c r="AA693">
        <f>IF(Z693&lt;&gt;"",Z693-TODAY(),"")</f>
        <v/>
      </c>
      <c r="AB693">
        <f>IF(AA693&lt;&gt;"",IF(AA693&lt;0,"Overdue",IF(AA693&lt;=Y693*0.2,"At Risk","On Time")),"")</f>
        <v/>
      </c>
    </row>
    <row r="694">
      <c r="K694">
        <f>IF(J694="v4.0",L694,IF(J694="v3.1",M694,IF(J694="Both",L694,IF(AND(L694&lt;&gt;"",M694=""),L694,M694))))</f>
        <v/>
      </c>
      <c r="Y694">
        <f>IF(T694="P0",1,IF(T694="P1",3,IF(T694="P2",7,IF(T694="P3",30,IF(T694="P4",30,7)))))</f>
        <v/>
      </c>
      <c r="Z694">
        <f>IF(U694&lt;&gt;"",U694+Y694,"")</f>
        <v/>
      </c>
      <c r="AA694">
        <f>IF(Z694&lt;&gt;"",Z694-TODAY(),"")</f>
        <v/>
      </c>
      <c r="AB694">
        <f>IF(AA694&lt;&gt;"",IF(AA694&lt;0,"Overdue",IF(AA694&lt;=Y694*0.2,"At Risk","On Time")),"")</f>
        <v/>
      </c>
    </row>
    <row r="695">
      <c r="K695">
        <f>IF(J695="v4.0",L695,IF(J695="v3.1",M695,IF(J695="Both",L695,IF(AND(L695&lt;&gt;"",M695=""),L695,M695))))</f>
        <v/>
      </c>
      <c r="Y695">
        <f>IF(T695="P0",1,IF(T695="P1",3,IF(T695="P2",7,IF(T695="P3",30,IF(T695="P4",30,7)))))</f>
        <v/>
      </c>
      <c r="Z695">
        <f>IF(U695&lt;&gt;"",U695+Y695,"")</f>
        <v/>
      </c>
      <c r="AA695">
        <f>IF(Z695&lt;&gt;"",Z695-TODAY(),"")</f>
        <v/>
      </c>
      <c r="AB695">
        <f>IF(AA695&lt;&gt;"",IF(AA695&lt;0,"Overdue",IF(AA695&lt;=Y695*0.2,"At Risk","On Time")),"")</f>
        <v/>
      </c>
    </row>
    <row r="696">
      <c r="K696">
        <f>IF(J696="v4.0",L696,IF(J696="v3.1",M696,IF(J696="Both",L696,IF(AND(L696&lt;&gt;"",M696=""),L696,M696))))</f>
        <v/>
      </c>
      <c r="Y696">
        <f>IF(T696="P0",1,IF(T696="P1",3,IF(T696="P2",7,IF(T696="P3",30,IF(T696="P4",30,7)))))</f>
        <v/>
      </c>
      <c r="Z696">
        <f>IF(U696&lt;&gt;"",U696+Y696,"")</f>
        <v/>
      </c>
      <c r="AA696">
        <f>IF(Z696&lt;&gt;"",Z696-TODAY(),"")</f>
        <v/>
      </c>
      <c r="AB696">
        <f>IF(AA696&lt;&gt;"",IF(AA696&lt;0,"Overdue",IF(AA696&lt;=Y696*0.2,"At Risk","On Time")),"")</f>
        <v/>
      </c>
    </row>
    <row r="697">
      <c r="K697">
        <f>IF(J697="v4.0",L697,IF(J697="v3.1",M697,IF(J697="Both",L697,IF(AND(L697&lt;&gt;"",M697=""),L697,M697))))</f>
        <v/>
      </c>
      <c r="Y697">
        <f>IF(T697="P0",1,IF(T697="P1",3,IF(T697="P2",7,IF(T697="P3",30,IF(T697="P4",30,7)))))</f>
        <v/>
      </c>
      <c r="Z697">
        <f>IF(U697&lt;&gt;"",U697+Y697,"")</f>
        <v/>
      </c>
      <c r="AA697">
        <f>IF(Z697&lt;&gt;"",Z697-TODAY(),"")</f>
        <v/>
      </c>
      <c r="AB697">
        <f>IF(AA697&lt;&gt;"",IF(AA697&lt;0,"Overdue",IF(AA697&lt;=Y697*0.2,"At Risk","On Time")),"")</f>
        <v/>
      </c>
    </row>
    <row r="698">
      <c r="K698">
        <f>IF(J698="v4.0",L698,IF(J698="v3.1",M698,IF(J698="Both",L698,IF(AND(L698&lt;&gt;"",M698=""),L698,M698))))</f>
        <v/>
      </c>
      <c r="Y698">
        <f>IF(T698="P0",1,IF(T698="P1",3,IF(T698="P2",7,IF(T698="P3",30,IF(T698="P4",30,7)))))</f>
        <v/>
      </c>
      <c r="Z698">
        <f>IF(U698&lt;&gt;"",U698+Y698,"")</f>
        <v/>
      </c>
      <c r="AA698">
        <f>IF(Z698&lt;&gt;"",Z698-TODAY(),"")</f>
        <v/>
      </c>
      <c r="AB698">
        <f>IF(AA698&lt;&gt;"",IF(AA698&lt;0,"Overdue",IF(AA698&lt;=Y698*0.2,"At Risk","On Time")),"")</f>
        <v/>
      </c>
    </row>
    <row r="699">
      <c r="K699">
        <f>IF(J699="v4.0",L699,IF(J699="v3.1",M699,IF(J699="Both",L699,IF(AND(L699&lt;&gt;"",M699=""),L699,M699))))</f>
        <v/>
      </c>
      <c r="Y699">
        <f>IF(T699="P0",1,IF(T699="P1",3,IF(T699="P2",7,IF(T699="P3",30,IF(T699="P4",30,7)))))</f>
        <v/>
      </c>
      <c r="Z699">
        <f>IF(U699&lt;&gt;"",U699+Y699,"")</f>
        <v/>
      </c>
      <c r="AA699">
        <f>IF(Z699&lt;&gt;"",Z699-TODAY(),"")</f>
        <v/>
      </c>
      <c r="AB699">
        <f>IF(AA699&lt;&gt;"",IF(AA699&lt;0,"Overdue",IF(AA699&lt;=Y699*0.2,"At Risk","On Time")),"")</f>
        <v/>
      </c>
    </row>
    <row r="700">
      <c r="K700">
        <f>IF(J700="v4.0",L700,IF(J700="v3.1",M700,IF(J700="Both",L700,IF(AND(L700&lt;&gt;"",M700=""),L700,M700))))</f>
        <v/>
      </c>
      <c r="Y700">
        <f>IF(T700="P0",1,IF(T700="P1",3,IF(T700="P2",7,IF(T700="P3",30,IF(T700="P4",30,7)))))</f>
        <v/>
      </c>
      <c r="Z700">
        <f>IF(U700&lt;&gt;"",U700+Y700,"")</f>
        <v/>
      </c>
      <c r="AA700">
        <f>IF(Z700&lt;&gt;"",Z700-TODAY(),"")</f>
        <v/>
      </c>
      <c r="AB700">
        <f>IF(AA700&lt;&gt;"",IF(AA700&lt;0,"Overdue",IF(AA700&lt;=Y700*0.2,"At Risk","On Time")),"")</f>
        <v/>
      </c>
    </row>
    <row r="701">
      <c r="K701">
        <f>IF(J701="v4.0",L701,IF(J701="v3.1",M701,IF(J701="Both",L701,IF(AND(L701&lt;&gt;"",M701=""),L701,M701))))</f>
        <v/>
      </c>
      <c r="Y701">
        <f>IF(T701="P0",1,IF(T701="P1",3,IF(T701="P2",7,IF(T701="P3",30,IF(T701="P4",30,7)))))</f>
        <v/>
      </c>
      <c r="Z701">
        <f>IF(U701&lt;&gt;"",U701+Y701,"")</f>
        <v/>
      </c>
      <c r="AA701">
        <f>IF(Z701&lt;&gt;"",Z701-TODAY(),"")</f>
        <v/>
      </c>
      <c r="AB701">
        <f>IF(AA701&lt;&gt;"",IF(AA701&lt;0,"Overdue",IF(AA701&lt;=Y701*0.2,"At Risk","On Time")),"")</f>
        <v/>
      </c>
    </row>
    <row r="702">
      <c r="K702">
        <f>IF(J702="v4.0",L702,IF(J702="v3.1",M702,IF(J702="Both",L702,IF(AND(L702&lt;&gt;"",M702=""),L702,M702))))</f>
        <v/>
      </c>
      <c r="Y702">
        <f>IF(T702="P0",1,IF(T702="P1",3,IF(T702="P2",7,IF(T702="P3",30,IF(T702="P4",30,7)))))</f>
        <v/>
      </c>
      <c r="Z702">
        <f>IF(U702&lt;&gt;"",U702+Y702,"")</f>
        <v/>
      </c>
      <c r="AA702">
        <f>IF(Z702&lt;&gt;"",Z702-TODAY(),"")</f>
        <v/>
      </c>
      <c r="AB702">
        <f>IF(AA702&lt;&gt;"",IF(AA702&lt;0,"Overdue",IF(AA702&lt;=Y702*0.2,"At Risk","On Time")),"")</f>
        <v/>
      </c>
    </row>
    <row r="703">
      <c r="K703">
        <f>IF(J703="v4.0",L703,IF(J703="v3.1",M703,IF(J703="Both",L703,IF(AND(L703&lt;&gt;"",M703=""),L703,M703))))</f>
        <v/>
      </c>
      <c r="Y703">
        <f>IF(T703="P0",1,IF(T703="P1",3,IF(T703="P2",7,IF(T703="P3",30,IF(T703="P4",30,7)))))</f>
        <v/>
      </c>
      <c r="Z703">
        <f>IF(U703&lt;&gt;"",U703+Y703,"")</f>
        <v/>
      </c>
      <c r="AA703">
        <f>IF(Z703&lt;&gt;"",Z703-TODAY(),"")</f>
        <v/>
      </c>
      <c r="AB703">
        <f>IF(AA703&lt;&gt;"",IF(AA703&lt;0,"Overdue",IF(AA703&lt;=Y703*0.2,"At Risk","On Time")),"")</f>
        <v/>
      </c>
    </row>
    <row r="704">
      <c r="K704">
        <f>IF(J704="v4.0",L704,IF(J704="v3.1",M704,IF(J704="Both",L704,IF(AND(L704&lt;&gt;"",M704=""),L704,M704))))</f>
        <v/>
      </c>
      <c r="Y704">
        <f>IF(T704="P0",1,IF(T704="P1",3,IF(T704="P2",7,IF(T704="P3",30,IF(T704="P4",30,7)))))</f>
        <v/>
      </c>
      <c r="Z704">
        <f>IF(U704&lt;&gt;"",U704+Y704,"")</f>
        <v/>
      </c>
      <c r="AA704">
        <f>IF(Z704&lt;&gt;"",Z704-TODAY(),"")</f>
        <v/>
      </c>
      <c r="AB704">
        <f>IF(AA704&lt;&gt;"",IF(AA704&lt;0,"Overdue",IF(AA704&lt;=Y704*0.2,"At Risk","On Time")),"")</f>
        <v/>
      </c>
    </row>
    <row r="705">
      <c r="K705">
        <f>IF(J705="v4.0",L705,IF(J705="v3.1",M705,IF(J705="Both",L705,IF(AND(L705&lt;&gt;"",M705=""),L705,M705))))</f>
        <v/>
      </c>
      <c r="Y705">
        <f>IF(T705="P0",1,IF(T705="P1",3,IF(T705="P2",7,IF(T705="P3",30,IF(T705="P4",30,7)))))</f>
        <v/>
      </c>
      <c r="Z705">
        <f>IF(U705&lt;&gt;"",U705+Y705,"")</f>
        <v/>
      </c>
      <c r="AA705">
        <f>IF(Z705&lt;&gt;"",Z705-TODAY(),"")</f>
        <v/>
      </c>
      <c r="AB705">
        <f>IF(AA705&lt;&gt;"",IF(AA705&lt;0,"Overdue",IF(AA705&lt;=Y705*0.2,"At Risk","On Time")),"")</f>
        <v/>
      </c>
    </row>
    <row r="706">
      <c r="K706">
        <f>IF(J706="v4.0",L706,IF(J706="v3.1",M706,IF(J706="Both",L706,IF(AND(L706&lt;&gt;"",M706=""),L706,M706))))</f>
        <v/>
      </c>
      <c r="Y706">
        <f>IF(T706="P0",1,IF(T706="P1",3,IF(T706="P2",7,IF(T706="P3",30,IF(T706="P4",30,7)))))</f>
        <v/>
      </c>
      <c r="Z706">
        <f>IF(U706&lt;&gt;"",U706+Y706,"")</f>
        <v/>
      </c>
      <c r="AA706">
        <f>IF(Z706&lt;&gt;"",Z706-TODAY(),"")</f>
        <v/>
      </c>
      <c r="AB706">
        <f>IF(AA706&lt;&gt;"",IF(AA706&lt;0,"Overdue",IF(AA706&lt;=Y706*0.2,"At Risk","On Time")),"")</f>
        <v/>
      </c>
    </row>
    <row r="707">
      <c r="K707">
        <f>IF(J707="v4.0",L707,IF(J707="v3.1",M707,IF(J707="Both",L707,IF(AND(L707&lt;&gt;"",M707=""),L707,M707))))</f>
        <v/>
      </c>
      <c r="Y707">
        <f>IF(T707="P0",1,IF(T707="P1",3,IF(T707="P2",7,IF(T707="P3",30,IF(T707="P4",30,7)))))</f>
        <v/>
      </c>
      <c r="Z707">
        <f>IF(U707&lt;&gt;"",U707+Y707,"")</f>
        <v/>
      </c>
      <c r="AA707">
        <f>IF(Z707&lt;&gt;"",Z707-TODAY(),"")</f>
        <v/>
      </c>
      <c r="AB707">
        <f>IF(AA707&lt;&gt;"",IF(AA707&lt;0,"Overdue",IF(AA707&lt;=Y707*0.2,"At Risk","On Time")),"")</f>
        <v/>
      </c>
    </row>
    <row r="708">
      <c r="K708">
        <f>IF(J708="v4.0",L708,IF(J708="v3.1",M708,IF(J708="Both",L708,IF(AND(L708&lt;&gt;"",M708=""),L708,M708))))</f>
        <v/>
      </c>
      <c r="Y708">
        <f>IF(T708="P0",1,IF(T708="P1",3,IF(T708="P2",7,IF(T708="P3",30,IF(T708="P4",30,7)))))</f>
        <v/>
      </c>
      <c r="Z708">
        <f>IF(U708&lt;&gt;"",U708+Y708,"")</f>
        <v/>
      </c>
      <c r="AA708">
        <f>IF(Z708&lt;&gt;"",Z708-TODAY(),"")</f>
        <v/>
      </c>
      <c r="AB708">
        <f>IF(AA708&lt;&gt;"",IF(AA708&lt;0,"Overdue",IF(AA708&lt;=Y708*0.2,"At Risk","On Time")),"")</f>
        <v/>
      </c>
    </row>
    <row r="709">
      <c r="K709">
        <f>IF(J709="v4.0",L709,IF(J709="v3.1",M709,IF(J709="Both",L709,IF(AND(L709&lt;&gt;"",M709=""),L709,M709))))</f>
        <v/>
      </c>
      <c r="Y709">
        <f>IF(T709="P0",1,IF(T709="P1",3,IF(T709="P2",7,IF(T709="P3",30,IF(T709="P4",30,7)))))</f>
        <v/>
      </c>
      <c r="Z709">
        <f>IF(U709&lt;&gt;"",U709+Y709,"")</f>
        <v/>
      </c>
      <c r="AA709">
        <f>IF(Z709&lt;&gt;"",Z709-TODAY(),"")</f>
        <v/>
      </c>
      <c r="AB709">
        <f>IF(AA709&lt;&gt;"",IF(AA709&lt;0,"Overdue",IF(AA709&lt;=Y709*0.2,"At Risk","On Time")),"")</f>
        <v/>
      </c>
    </row>
    <row r="710">
      <c r="K710">
        <f>IF(J710="v4.0",L710,IF(J710="v3.1",M710,IF(J710="Both",L710,IF(AND(L710&lt;&gt;"",M710=""),L710,M710))))</f>
        <v/>
      </c>
      <c r="Y710">
        <f>IF(T710="P0",1,IF(T710="P1",3,IF(T710="P2",7,IF(T710="P3",30,IF(T710="P4",30,7)))))</f>
        <v/>
      </c>
      <c r="Z710">
        <f>IF(U710&lt;&gt;"",U710+Y710,"")</f>
        <v/>
      </c>
      <c r="AA710">
        <f>IF(Z710&lt;&gt;"",Z710-TODAY(),"")</f>
        <v/>
      </c>
      <c r="AB710">
        <f>IF(AA710&lt;&gt;"",IF(AA710&lt;0,"Overdue",IF(AA710&lt;=Y710*0.2,"At Risk","On Time")),"")</f>
        <v/>
      </c>
    </row>
    <row r="711">
      <c r="K711">
        <f>IF(J711="v4.0",L711,IF(J711="v3.1",M711,IF(J711="Both",L711,IF(AND(L711&lt;&gt;"",M711=""),L711,M711))))</f>
        <v/>
      </c>
      <c r="Y711">
        <f>IF(T711="P0",1,IF(T711="P1",3,IF(T711="P2",7,IF(T711="P3",30,IF(T711="P4",30,7)))))</f>
        <v/>
      </c>
      <c r="Z711">
        <f>IF(U711&lt;&gt;"",U711+Y711,"")</f>
        <v/>
      </c>
      <c r="AA711">
        <f>IF(Z711&lt;&gt;"",Z711-TODAY(),"")</f>
        <v/>
      </c>
      <c r="AB711">
        <f>IF(AA711&lt;&gt;"",IF(AA711&lt;0,"Overdue",IF(AA711&lt;=Y711*0.2,"At Risk","On Time")),"")</f>
        <v/>
      </c>
    </row>
    <row r="712">
      <c r="K712">
        <f>IF(J712="v4.0",L712,IF(J712="v3.1",M712,IF(J712="Both",L712,IF(AND(L712&lt;&gt;"",M712=""),L712,M712))))</f>
        <v/>
      </c>
      <c r="Y712">
        <f>IF(T712="P0",1,IF(T712="P1",3,IF(T712="P2",7,IF(T712="P3",30,IF(T712="P4",30,7)))))</f>
        <v/>
      </c>
      <c r="Z712">
        <f>IF(U712&lt;&gt;"",U712+Y712,"")</f>
        <v/>
      </c>
      <c r="AA712">
        <f>IF(Z712&lt;&gt;"",Z712-TODAY(),"")</f>
        <v/>
      </c>
      <c r="AB712">
        <f>IF(AA712&lt;&gt;"",IF(AA712&lt;0,"Overdue",IF(AA712&lt;=Y712*0.2,"At Risk","On Time")),"")</f>
        <v/>
      </c>
    </row>
    <row r="713">
      <c r="K713">
        <f>IF(J713="v4.0",L713,IF(J713="v3.1",M713,IF(J713="Both",L713,IF(AND(L713&lt;&gt;"",M713=""),L713,M713))))</f>
        <v/>
      </c>
      <c r="Y713">
        <f>IF(T713="P0",1,IF(T713="P1",3,IF(T713="P2",7,IF(T713="P3",30,IF(T713="P4",30,7)))))</f>
        <v/>
      </c>
      <c r="Z713">
        <f>IF(U713&lt;&gt;"",U713+Y713,"")</f>
        <v/>
      </c>
      <c r="AA713">
        <f>IF(Z713&lt;&gt;"",Z713-TODAY(),"")</f>
        <v/>
      </c>
      <c r="AB713">
        <f>IF(AA713&lt;&gt;"",IF(AA713&lt;0,"Overdue",IF(AA713&lt;=Y713*0.2,"At Risk","On Time")),"")</f>
        <v/>
      </c>
    </row>
    <row r="714">
      <c r="K714">
        <f>IF(J714="v4.0",L714,IF(J714="v3.1",M714,IF(J714="Both",L714,IF(AND(L714&lt;&gt;"",M714=""),L714,M714))))</f>
        <v/>
      </c>
      <c r="Y714">
        <f>IF(T714="P0",1,IF(T714="P1",3,IF(T714="P2",7,IF(T714="P3",30,IF(T714="P4",30,7)))))</f>
        <v/>
      </c>
      <c r="Z714">
        <f>IF(U714&lt;&gt;"",U714+Y714,"")</f>
        <v/>
      </c>
      <c r="AA714">
        <f>IF(Z714&lt;&gt;"",Z714-TODAY(),"")</f>
        <v/>
      </c>
      <c r="AB714">
        <f>IF(AA714&lt;&gt;"",IF(AA714&lt;0,"Overdue",IF(AA714&lt;=Y714*0.2,"At Risk","On Time")),"")</f>
        <v/>
      </c>
    </row>
    <row r="715">
      <c r="K715">
        <f>IF(J715="v4.0",L715,IF(J715="v3.1",M715,IF(J715="Both",L715,IF(AND(L715&lt;&gt;"",M715=""),L715,M715))))</f>
        <v/>
      </c>
      <c r="Y715">
        <f>IF(T715="P0",1,IF(T715="P1",3,IF(T715="P2",7,IF(T715="P3",30,IF(T715="P4",30,7)))))</f>
        <v/>
      </c>
      <c r="Z715">
        <f>IF(U715&lt;&gt;"",U715+Y715,"")</f>
        <v/>
      </c>
      <c r="AA715">
        <f>IF(Z715&lt;&gt;"",Z715-TODAY(),"")</f>
        <v/>
      </c>
      <c r="AB715">
        <f>IF(AA715&lt;&gt;"",IF(AA715&lt;0,"Overdue",IF(AA715&lt;=Y715*0.2,"At Risk","On Time")),"")</f>
        <v/>
      </c>
    </row>
    <row r="716">
      <c r="K716">
        <f>IF(J716="v4.0",L716,IF(J716="v3.1",M716,IF(J716="Both",L716,IF(AND(L716&lt;&gt;"",M716=""),L716,M716))))</f>
        <v/>
      </c>
      <c r="Y716">
        <f>IF(T716="P0",1,IF(T716="P1",3,IF(T716="P2",7,IF(T716="P3",30,IF(T716="P4",30,7)))))</f>
        <v/>
      </c>
      <c r="Z716">
        <f>IF(U716&lt;&gt;"",U716+Y716,"")</f>
        <v/>
      </c>
      <c r="AA716">
        <f>IF(Z716&lt;&gt;"",Z716-TODAY(),"")</f>
        <v/>
      </c>
      <c r="AB716">
        <f>IF(AA716&lt;&gt;"",IF(AA716&lt;0,"Overdue",IF(AA716&lt;=Y716*0.2,"At Risk","On Time")),"")</f>
        <v/>
      </c>
    </row>
    <row r="717">
      <c r="K717">
        <f>IF(J717="v4.0",L717,IF(J717="v3.1",M717,IF(J717="Both",L717,IF(AND(L717&lt;&gt;"",M717=""),L717,M717))))</f>
        <v/>
      </c>
      <c r="Y717">
        <f>IF(T717="P0",1,IF(T717="P1",3,IF(T717="P2",7,IF(T717="P3",30,IF(T717="P4",30,7)))))</f>
        <v/>
      </c>
      <c r="Z717">
        <f>IF(U717&lt;&gt;"",U717+Y717,"")</f>
        <v/>
      </c>
      <c r="AA717">
        <f>IF(Z717&lt;&gt;"",Z717-TODAY(),"")</f>
        <v/>
      </c>
      <c r="AB717">
        <f>IF(AA717&lt;&gt;"",IF(AA717&lt;0,"Overdue",IF(AA717&lt;=Y717*0.2,"At Risk","On Time")),"")</f>
        <v/>
      </c>
    </row>
    <row r="718">
      <c r="K718">
        <f>IF(J718="v4.0",L718,IF(J718="v3.1",M718,IF(J718="Both",L718,IF(AND(L718&lt;&gt;"",M718=""),L718,M718))))</f>
        <v/>
      </c>
      <c r="Y718">
        <f>IF(T718="P0",1,IF(T718="P1",3,IF(T718="P2",7,IF(T718="P3",30,IF(T718="P4",30,7)))))</f>
        <v/>
      </c>
      <c r="Z718">
        <f>IF(U718&lt;&gt;"",U718+Y718,"")</f>
        <v/>
      </c>
      <c r="AA718">
        <f>IF(Z718&lt;&gt;"",Z718-TODAY(),"")</f>
        <v/>
      </c>
      <c r="AB718">
        <f>IF(AA718&lt;&gt;"",IF(AA718&lt;0,"Overdue",IF(AA718&lt;=Y718*0.2,"At Risk","On Time")),"")</f>
        <v/>
      </c>
    </row>
    <row r="719">
      <c r="K719">
        <f>IF(J719="v4.0",L719,IF(J719="v3.1",M719,IF(J719="Both",L719,IF(AND(L719&lt;&gt;"",M719=""),L719,M719))))</f>
        <v/>
      </c>
      <c r="Y719">
        <f>IF(T719="P0",1,IF(T719="P1",3,IF(T719="P2",7,IF(T719="P3",30,IF(T719="P4",30,7)))))</f>
        <v/>
      </c>
      <c r="Z719">
        <f>IF(U719&lt;&gt;"",U719+Y719,"")</f>
        <v/>
      </c>
      <c r="AA719">
        <f>IF(Z719&lt;&gt;"",Z719-TODAY(),"")</f>
        <v/>
      </c>
      <c r="AB719">
        <f>IF(AA719&lt;&gt;"",IF(AA719&lt;0,"Overdue",IF(AA719&lt;=Y719*0.2,"At Risk","On Time")),"")</f>
        <v/>
      </c>
    </row>
    <row r="720">
      <c r="K720">
        <f>IF(J720="v4.0",L720,IF(J720="v3.1",M720,IF(J720="Both",L720,IF(AND(L720&lt;&gt;"",M720=""),L720,M720))))</f>
        <v/>
      </c>
      <c r="Y720">
        <f>IF(T720="P0",1,IF(T720="P1",3,IF(T720="P2",7,IF(T720="P3",30,IF(T720="P4",30,7)))))</f>
        <v/>
      </c>
      <c r="Z720">
        <f>IF(U720&lt;&gt;"",U720+Y720,"")</f>
        <v/>
      </c>
      <c r="AA720">
        <f>IF(Z720&lt;&gt;"",Z720-TODAY(),"")</f>
        <v/>
      </c>
      <c r="AB720">
        <f>IF(AA720&lt;&gt;"",IF(AA720&lt;0,"Overdue",IF(AA720&lt;=Y720*0.2,"At Risk","On Time")),"")</f>
        <v/>
      </c>
    </row>
    <row r="721">
      <c r="K721">
        <f>IF(J721="v4.0",L721,IF(J721="v3.1",M721,IF(J721="Both",L721,IF(AND(L721&lt;&gt;"",M721=""),L721,M721))))</f>
        <v/>
      </c>
      <c r="Y721">
        <f>IF(T721="P0",1,IF(T721="P1",3,IF(T721="P2",7,IF(T721="P3",30,IF(T721="P4",30,7)))))</f>
        <v/>
      </c>
      <c r="Z721">
        <f>IF(U721&lt;&gt;"",U721+Y721,"")</f>
        <v/>
      </c>
      <c r="AA721">
        <f>IF(Z721&lt;&gt;"",Z721-TODAY(),"")</f>
        <v/>
      </c>
      <c r="AB721">
        <f>IF(AA721&lt;&gt;"",IF(AA721&lt;0,"Overdue",IF(AA721&lt;=Y721*0.2,"At Risk","On Time")),"")</f>
        <v/>
      </c>
    </row>
    <row r="722">
      <c r="K722">
        <f>IF(J722="v4.0",L722,IF(J722="v3.1",M722,IF(J722="Both",L722,IF(AND(L722&lt;&gt;"",M722=""),L722,M722))))</f>
        <v/>
      </c>
      <c r="Y722">
        <f>IF(T722="P0",1,IF(T722="P1",3,IF(T722="P2",7,IF(T722="P3",30,IF(T722="P4",30,7)))))</f>
        <v/>
      </c>
      <c r="Z722">
        <f>IF(U722&lt;&gt;"",U722+Y722,"")</f>
        <v/>
      </c>
      <c r="AA722">
        <f>IF(Z722&lt;&gt;"",Z722-TODAY(),"")</f>
        <v/>
      </c>
      <c r="AB722">
        <f>IF(AA722&lt;&gt;"",IF(AA722&lt;0,"Overdue",IF(AA722&lt;=Y722*0.2,"At Risk","On Time")),"")</f>
        <v/>
      </c>
    </row>
    <row r="723">
      <c r="K723">
        <f>IF(J723="v4.0",L723,IF(J723="v3.1",M723,IF(J723="Both",L723,IF(AND(L723&lt;&gt;"",M723=""),L723,M723))))</f>
        <v/>
      </c>
      <c r="Y723">
        <f>IF(T723="P0",1,IF(T723="P1",3,IF(T723="P2",7,IF(T723="P3",30,IF(T723="P4",30,7)))))</f>
        <v/>
      </c>
      <c r="Z723">
        <f>IF(U723&lt;&gt;"",U723+Y723,"")</f>
        <v/>
      </c>
      <c r="AA723">
        <f>IF(Z723&lt;&gt;"",Z723-TODAY(),"")</f>
        <v/>
      </c>
      <c r="AB723">
        <f>IF(AA723&lt;&gt;"",IF(AA723&lt;0,"Overdue",IF(AA723&lt;=Y723*0.2,"At Risk","On Time")),"")</f>
        <v/>
      </c>
    </row>
    <row r="724">
      <c r="K724">
        <f>IF(J724="v4.0",L724,IF(J724="v3.1",M724,IF(J724="Both",L724,IF(AND(L724&lt;&gt;"",M724=""),L724,M724))))</f>
        <v/>
      </c>
      <c r="Y724">
        <f>IF(T724="P0",1,IF(T724="P1",3,IF(T724="P2",7,IF(T724="P3",30,IF(T724="P4",30,7)))))</f>
        <v/>
      </c>
      <c r="Z724">
        <f>IF(U724&lt;&gt;"",U724+Y724,"")</f>
        <v/>
      </c>
      <c r="AA724">
        <f>IF(Z724&lt;&gt;"",Z724-TODAY(),"")</f>
        <v/>
      </c>
      <c r="AB724">
        <f>IF(AA724&lt;&gt;"",IF(AA724&lt;0,"Overdue",IF(AA724&lt;=Y724*0.2,"At Risk","On Time")),"")</f>
        <v/>
      </c>
    </row>
    <row r="725">
      <c r="K725">
        <f>IF(J725="v4.0",L725,IF(J725="v3.1",M725,IF(J725="Both",L725,IF(AND(L725&lt;&gt;"",M725=""),L725,M725))))</f>
        <v/>
      </c>
      <c r="Y725">
        <f>IF(T725="P0",1,IF(T725="P1",3,IF(T725="P2",7,IF(T725="P3",30,IF(T725="P4",30,7)))))</f>
        <v/>
      </c>
      <c r="Z725">
        <f>IF(U725&lt;&gt;"",U725+Y725,"")</f>
        <v/>
      </c>
      <c r="AA725">
        <f>IF(Z725&lt;&gt;"",Z725-TODAY(),"")</f>
        <v/>
      </c>
      <c r="AB725">
        <f>IF(AA725&lt;&gt;"",IF(AA725&lt;0,"Overdue",IF(AA725&lt;=Y725*0.2,"At Risk","On Time")),"")</f>
        <v/>
      </c>
    </row>
    <row r="726">
      <c r="K726">
        <f>IF(J726="v4.0",L726,IF(J726="v3.1",M726,IF(J726="Both",L726,IF(AND(L726&lt;&gt;"",M726=""),L726,M726))))</f>
        <v/>
      </c>
      <c r="Y726">
        <f>IF(T726="P0",1,IF(T726="P1",3,IF(T726="P2",7,IF(T726="P3",30,IF(T726="P4",30,7)))))</f>
        <v/>
      </c>
      <c r="Z726">
        <f>IF(U726&lt;&gt;"",U726+Y726,"")</f>
        <v/>
      </c>
      <c r="AA726">
        <f>IF(Z726&lt;&gt;"",Z726-TODAY(),"")</f>
        <v/>
      </c>
      <c r="AB726">
        <f>IF(AA726&lt;&gt;"",IF(AA726&lt;0,"Overdue",IF(AA726&lt;=Y726*0.2,"At Risk","On Time")),"")</f>
        <v/>
      </c>
    </row>
    <row r="727">
      <c r="K727">
        <f>IF(J727="v4.0",L727,IF(J727="v3.1",M727,IF(J727="Both",L727,IF(AND(L727&lt;&gt;"",M727=""),L727,M727))))</f>
        <v/>
      </c>
      <c r="Y727">
        <f>IF(T727="P0",1,IF(T727="P1",3,IF(T727="P2",7,IF(T727="P3",30,IF(T727="P4",30,7)))))</f>
        <v/>
      </c>
      <c r="Z727">
        <f>IF(U727&lt;&gt;"",U727+Y727,"")</f>
        <v/>
      </c>
      <c r="AA727">
        <f>IF(Z727&lt;&gt;"",Z727-TODAY(),"")</f>
        <v/>
      </c>
      <c r="AB727">
        <f>IF(AA727&lt;&gt;"",IF(AA727&lt;0,"Overdue",IF(AA727&lt;=Y727*0.2,"At Risk","On Time")),"")</f>
        <v/>
      </c>
    </row>
    <row r="728">
      <c r="K728">
        <f>IF(J728="v4.0",L728,IF(J728="v3.1",M728,IF(J728="Both",L728,IF(AND(L728&lt;&gt;"",M728=""),L728,M728))))</f>
        <v/>
      </c>
      <c r="Y728">
        <f>IF(T728="P0",1,IF(T728="P1",3,IF(T728="P2",7,IF(T728="P3",30,IF(T728="P4",30,7)))))</f>
        <v/>
      </c>
      <c r="Z728">
        <f>IF(U728&lt;&gt;"",U728+Y728,"")</f>
        <v/>
      </c>
      <c r="AA728">
        <f>IF(Z728&lt;&gt;"",Z728-TODAY(),"")</f>
        <v/>
      </c>
      <c r="AB728">
        <f>IF(AA728&lt;&gt;"",IF(AA728&lt;0,"Overdue",IF(AA728&lt;=Y728*0.2,"At Risk","On Time")),"")</f>
        <v/>
      </c>
    </row>
    <row r="729">
      <c r="K729">
        <f>IF(J729="v4.0",L729,IF(J729="v3.1",M729,IF(J729="Both",L729,IF(AND(L729&lt;&gt;"",M729=""),L729,M729))))</f>
        <v/>
      </c>
      <c r="Y729">
        <f>IF(T729="P0",1,IF(T729="P1",3,IF(T729="P2",7,IF(T729="P3",30,IF(T729="P4",30,7)))))</f>
        <v/>
      </c>
      <c r="Z729">
        <f>IF(U729&lt;&gt;"",U729+Y729,"")</f>
        <v/>
      </c>
      <c r="AA729">
        <f>IF(Z729&lt;&gt;"",Z729-TODAY(),"")</f>
        <v/>
      </c>
      <c r="AB729">
        <f>IF(AA729&lt;&gt;"",IF(AA729&lt;0,"Overdue",IF(AA729&lt;=Y729*0.2,"At Risk","On Time")),"")</f>
        <v/>
      </c>
    </row>
    <row r="730">
      <c r="K730">
        <f>IF(J730="v4.0",L730,IF(J730="v3.1",M730,IF(J730="Both",L730,IF(AND(L730&lt;&gt;"",M730=""),L730,M730))))</f>
        <v/>
      </c>
      <c r="Y730">
        <f>IF(T730="P0",1,IF(T730="P1",3,IF(T730="P2",7,IF(T730="P3",30,IF(T730="P4",30,7)))))</f>
        <v/>
      </c>
      <c r="Z730">
        <f>IF(U730&lt;&gt;"",U730+Y730,"")</f>
        <v/>
      </c>
      <c r="AA730">
        <f>IF(Z730&lt;&gt;"",Z730-TODAY(),"")</f>
        <v/>
      </c>
      <c r="AB730">
        <f>IF(AA730&lt;&gt;"",IF(AA730&lt;0,"Overdue",IF(AA730&lt;=Y730*0.2,"At Risk","On Time")),"")</f>
        <v/>
      </c>
    </row>
    <row r="731">
      <c r="K731">
        <f>IF(J731="v4.0",L731,IF(J731="v3.1",M731,IF(J731="Both",L731,IF(AND(L731&lt;&gt;"",M731=""),L731,M731))))</f>
        <v/>
      </c>
      <c r="Y731">
        <f>IF(T731="P0",1,IF(T731="P1",3,IF(T731="P2",7,IF(T731="P3",30,IF(T731="P4",30,7)))))</f>
        <v/>
      </c>
      <c r="Z731">
        <f>IF(U731&lt;&gt;"",U731+Y731,"")</f>
        <v/>
      </c>
      <c r="AA731">
        <f>IF(Z731&lt;&gt;"",Z731-TODAY(),"")</f>
        <v/>
      </c>
      <c r="AB731">
        <f>IF(AA731&lt;&gt;"",IF(AA731&lt;0,"Overdue",IF(AA731&lt;=Y731*0.2,"At Risk","On Time")),"")</f>
        <v/>
      </c>
    </row>
    <row r="732">
      <c r="K732">
        <f>IF(J732="v4.0",L732,IF(J732="v3.1",M732,IF(J732="Both",L732,IF(AND(L732&lt;&gt;"",M732=""),L732,M732))))</f>
        <v/>
      </c>
      <c r="Y732">
        <f>IF(T732="P0",1,IF(T732="P1",3,IF(T732="P2",7,IF(T732="P3",30,IF(T732="P4",30,7)))))</f>
        <v/>
      </c>
      <c r="Z732">
        <f>IF(U732&lt;&gt;"",U732+Y732,"")</f>
        <v/>
      </c>
      <c r="AA732">
        <f>IF(Z732&lt;&gt;"",Z732-TODAY(),"")</f>
        <v/>
      </c>
      <c r="AB732">
        <f>IF(AA732&lt;&gt;"",IF(AA732&lt;0,"Overdue",IF(AA732&lt;=Y732*0.2,"At Risk","On Time")),"")</f>
        <v/>
      </c>
    </row>
    <row r="733">
      <c r="K733">
        <f>IF(J733="v4.0",L733,IF(J733="v3.1",M733,IF(J733="Both",L733,IF(AND(L733&lt;&gt;"",M733=""),L733,M733))))</f>
        <v/>
      </c>
      <c r="Y733">
        <f>IF(T733="P0",1,IF(T733="P1",3,IF(T733="P2",7,IF(T733="P3",30,IF(T733="P4",30,7)))))</f>
        <v/>
      </c>
      <c r="Z733">
        <f>IF(U733&lt;&gt;"",U733+Y733,"")</f>
        <v/>
      </c>
      <c r="AA733">
        <f>IF(Z733&lt;&gt;"",Z733-TODAY(),"")</f>
        <v/>
      </c>
      <c r="AB733">
        <f>IF(AA733&lt;&gt;"",IF(AA733&lt;0,"Overdue",IF(AA733&lt;=Y733*0.2,"At Risk","On Time")),"")</f>
        <v/>
      </c>
    </row>
    <row r="734">
      <c r="K734">
        <f>IF(J734="v4.0",L734,IF(J734="v3.1",M734,IF(J734="Both",L734,IF(AND(L734&lt;&gt;"",M734=""),L734,M734))))</f>
        <v/>
      </c>
      <c r="Y734">
        <f>IF(T734="P0",1,IF(T734="P1",3,IF(T734="P2",7,IF(T734="P3",30,IF(T734="P4",30,7)))))</f>
        <v/>
      </c>
      <c r="Z734">
        <f>IF(U734&lt;&gt;"",U734+Y734,"")</f>
        <v/>
      </c>
      <c r="AA734">
        <f>IF(Z734&lt;&gt;"",Z734-TODAY(),"")</f>
        <v/>
      </c>
      <c r="AB734">
        <f>IF(AA734&lt;&gt;"",IF(AA734&lt;0,"Overdue",IF(AA734&lt;=Y734*0.2,"At Risk","On Time")),"")</f>
        <v/>
      </c>
    </row>
    <row r="735">
      <c r="K735">
        <f>IF(J735="v4.0",L735,IF(J735="v3.1",M735,IF(J735="Both",L735,IF(AND(L735&lt;&gt;"",M735=""),L735,M735))))</f>
        <v/>
      </c>
      <c r="Y735">
        <f>IF(T735="P0",1,IF(T735="P1",3,IF(T735="P2",7,IF(T735="P3",30,IF(T735="P4",30,7)))))</f>
        <v/>
      </c>
      <c r="Z735">
        <f>IF(U735&lt;&gt;"",U735+Y735,"")</f>
        <v/>
      </c>
      <c r="AA735">
        <f>IF(Z735&lt;&gt;"",Z735-TODAY(),"")</f>
        <v/>
      </c>
      <c r="AB735">
        <f>IF(AA735&lt;&gt;"",IF(AA735&lt;0,"Overdue",IF(AA735&lt;=Y735*0.2,"At Risk","On Time")),"")</f>
        <v/>
      </c>
    </row>
    <row r="736">
      <c r="K736">
        <f>IF(J736="v4.0",L736,IF(J736="v3.1",M736,IF(J736="Both",L736,IF(AND(L736&lt;&gt;"",M736=""),L736,M736))))</f>
        <v/>
      </c>
      <c r="Y736">
        <f>IF(T736="P0",1,IF(T736="P1",3,IF(T736="P2",7,IF(T736="P3",30,IF(T736="P4",30,7)))))</f>
        <v/>
      </c>
      <c r="Z736">
        <f>IF(U736&lt;&gt;"",U736+Y736,"")</f>
        <v/>
      </c>
      <c r="AA736">
        <f>IF(Z736&lt;&gt;"",Z736-TODAY(),"")</f>
        <v/>
      </c>
      <c r="AB736">
        <f>IF(AA736&lt;&gt;"",IF(AA736&lt;0,"Overdue",IF(AA736&lt;=Y736*0.2,"At Risk","On Time")),"")</f>
        <v/>
      </c>
    </row>
    <row r="737">
      <c r="K737">
        <f>IF(J737="v4.0",L737,IF(J737="v3.1",M737,IF(J737="Both",L737,IF(AND(L737&lt;&gt;"",M737=""),L737,M737))))</f>
        <v/>
      </c>
      <c r="Y737">
        <f>IF(T737="P0",1,IF(T737="P1",3,IF(T737="P2",7,IF(T737="P3",30,IF(T737="P4",30,7)))))</f>
        <v/>
      </c>
      <c r="Z737">
        <f>IF(U737&lt;&gt;"",U737+Y737,"")</f>
        <v/>
      </c>
      <c r="AA737">
        <f>IF(Z737&lt;&gt;"",Z737-TODAY(),"")</f>
        <v/>
      </c>
      <c r="AB737">
        <f>IF(AA737&lt;&gt;"",IF(AA737&lt;0,"Overdue",IF(AA737&lt;=Y737*0.2,"At Risk","On Time")),"")</f>
        <v/>
      </c>
    </row>
    <row r="738">
      <c r="K738">
        <f>IF(J738="v4.0",L738,IF(J738="v3.1",M738,IF(J738="Both",L738,IF(AND(L738&lt;&gt;"",M738=""),L738,M738))))</f>
        <v/>
      </c>
      <c r="Y738">
        <f>IF(T738="P0",1,IF(T738="P1",3,IF(T738="P2",7,IF(T738="P3",30,IF(T738="P4",30,7)))))</f>
        <v/>
      </c>
      <c r="Z738">
        <f>IF(U738&lt;&gt;"",U738+Y738,"")</f>
        <v/>
      </c>
      <c r="AA738">
        <f>IF(Z738&lt;&gt;"",Z738-TODAY(),"")</f>
        <v/>
      </c>
      <c r="AB738">
        <f>IF(AA738&lt;&gt;"",IF(AA738&lt;0,"Overdue",IF(AA738&lt;=Y738*0.2,"At Risk","On Time")),"")</f>
        <v/>
      </c>
    </row>
    <row r="739">
      <c r="K739">
        <f>IF(J739="v4.0",L739,IF(J739="v3.1",M739,IF(J739="Both",L739,IF(AND(L739&lt;&gt;"",M739=""),L739,M739))))</f>
        <v/>
      </c>
      <c r="Y739">
        <f>IF(T739="P0",1,IF(T739="P1",3,IF(T739="P2",7,IF(T739="P3",30,IF(T739="P4",30,7)))))</f>
        <v/>
      </c>
      <c r="Z739">
        <f>IF(U739&lt;&gt;"",U739+Y739,"")</f>
        <v/>
      </c>
      <c r="AA739">
        <f>IF(Z739&lt;&gt;"",Z739-TODAY(),"")</f>
        <v/>
      </c>
      <c r="AB739">
        <f>IF(AA739&lt;&gt;"",IF(AA739&lt;0,"Overdue",IF(AA739&lt;=Y739*0.2,"At Risk","On Time")),"")</f>
        <v/>
      </c>
    </row>
    <row r="740">
      <c r="K740">
        <f>IF(J740="v4.0",L740,IF(J740="v3.1",M740,IF(J740="Both",L740,IF(AND(L740&lt;&gt;"",M740=""),L740,M740))))</f>
        <v/>
      </c>
      <c r="Y740">
        <f>IF(T740="P0",1,IF(T740="P1",3,IF(T740="P2",7,IF(T740="P3",30,IF(T740="P4",30,7)))))</f>
        <v/>
      </c>
      <c r="Z740">
        <f>IF(U740&lt;&gt;"",U740+Y740,"")</f>
        <v/>
      </c>
      <c r="AA740">
        <f>IF(Z740&lt;&gt;"",Z740-TODAY(),"")</f>
        <v/>
      </c>
      <c r="AB740">
        <f>IF(AA740&lt;&gt;"",IF(AA740&lt;0,"Overdue",IF(AA740&lt;=Y740*0.2,"At Risk","On Time")),"")</f>
        <v/>
      </c>
    </row>
    <row r="741">
      <c r="K741">
        <f>IF(J741="v4.0",L741,IF(J741="v3.1",M741,IF(J741="Both",L741,IF(AND(L741&lt;&gt;"",M741=""),L741,M741))))</f>
        <v/>
      </c>
      <c r="Y741">
        <f>IF(T741="P0",1,IF(T741="P1",3,IF(T741="P2",7,IF(T741="P3",30,IF(T741="P4",30,7)))))</f>
        <v/>
      </c>
      <c r="Z741">
        <f>IF(U741&lt;&gt;"",U741+Y741,"")</f>
        <v/>
      </c>
      <c r="AA741">
        <f>IF(Z741&lt;&gt;"",Z741-TODAY(),"")</f>
        <v/>
      </c>
      <c r="AB741">
        <f>IF(AA741&lt;&gt;"",IF(AA741&lt;0,"Overdue",IF(AA741&lt;=Y741*0.2,"At Risk","On Time")),"")</f>
        <v/>
      </c>
    </row>
    <row r="742">
      <c r="K742">
        <f>IF(J742="v4.0",L742,IF(J742="v3.1",M742,IF(J742="Both",L742,IF(AND(L742&lt;&gt;"",M742=""),L742,M742))))</f>
        <v/>
      </c>
      <c r="Y742">
        <f>IF(T742="P0",1,IF(T742="P1",3,IF(T742="P2",7,IF(T742="P3",30,IF(T742="P4",30,7)))))</f>
        <v/>
      </c>
      <c r="Z742">
        <f>IF(U742&lt;&gt;"",U742+Y742,"")</f>
        <v/>
      </c>
      <c r="AA742">
        <f>IF(Z742&lt;&gt;"",Z742-TODAY(),"")</f>
        <v/>
      </c>
      <c r="AB742">
        <f>IF(AA742&lt;&gt;"",IF(AA742&lt;0,"Overdue",IF(AA742&lt;=Y742*0.2,"At Risk","On Time")),"")</f>
        <v/>
      </c>
    </row>
    <row r="743">
      <c r="K743">
        <f>IF(J743="v4.0",L743,IF(J743="v3.1",M743,IF(J743="Both",L743,IF(AND(L743&lt;&gt;"",M743=""),L743,M743))))</f>
        <v/>
      </c>
      <c r="Y743">
        <f>IF(T743="P0",1,IF(T743="P1",3,IF(T743="P2",7,IF(T743="P3",30,IF(T743="P4",30,7)))))</f>
        <v/>
      </c>
      <c r="Z743">
        <f>IF(U743&lt;&gt;"",U743+Y743,"")</f>
        <v/>
      </c>
      <c r="AA743">
        <f>IF(Z743&lt;&gt;"",Z743-TODAY(),"")</f>
        <v/>
      </c>
      <c r="AB743">
        <f>IF(AA743&lt;&gt;"",IF(AA743&lt;0,"Overdue",IF(AA743&lt;=Y743*0.2,"At Risk","On Time")),"")</f>
        <v/>
      </c>
    </row>
    <row r="744">
      <c r="K744">
        <f>IF(J744="v4.0",L744,IF(J744="v3.1",M744,IF(J744="Both",L744,IF(AND(L744&lt;&gt;"",M744=""),L744,M744))))</f>
        <v/>
      </c>
      <c r="Y744">
        <f>IF(T744="P0",1,IF(T744="P1",3,IF(T744="P2",7,IF(T744="P3",30,IF(T744="P4",30,7)))))</f>
        <v/>
      </c>
      <c r="Z744">
        <f>IF(U744&lt;&gt;"",U744+Y744,"")</f>
        <v/>
      </c>
      <c r="AA744">
        <f>IF(Z744&lt;&gt;"",Z744-TODAY(),"")</f>
        <v/>
      </c>
      <c r="AB744">
        <f>IF(AA744&lt;&gt;"",IF(AA744&lt;0,"Overdue",IF(AA744&lt;=Y744*0.2,"At Risk","On Time")),"")</f>
        <v/>
      </c>
    </row>
    <row r="745">
      <c r="K745">
        <f>IF(J745="v4.0",L745,IF(J745="v3.1",M745,IF(J745="Both",L745,IF(AND(L745&lt;&gt;"",M745=""),L745,M745))))</f>
        <v/>
      </c>
      <c r="Y745">
        <f>IF(T745="P0",1,IF(T745="P1",3,IF(T745="P2",7,IF(T745="P3",30,IF(T745="P4",30,7)))))</f>
        <v/>
      </c>
      <c r="Z745">
        <f>IF(U745&lt;&gt;"",U745+Y745,"")</f>
        <v/>
      </c>
      <c r="AA745">
        <f>IF(Z745&lt;&gt;"",Z745-TODAY(),"")</f>
        <v/>
      </c>
      <c r="AB745">
        <f>IF(AA745&lt;&gt;"",IF(AA745&lt;0,"Overdue",IF(AA745&lt;=Y745*0.2,"At Risk","On Time")),"")</f>
        <v/>
      </c>
    </row>
    <row r="746">
      <c r="K746">
        <f>IF(J746="v4.0",L746,IF(J746="v3.1",M746,IF(J746="Both",L746,IF(AND(L746&lt;&gt;"",M746=""),L746,M746))))</f>
        <v/>
      </c>
      <c r="Y746">
        <f>IF(T746="P0",1,IF(T746="P1",3,IF(T746="P2",7,IF(T746="P3",30,IF(T746="P4",30,7)))))</f>
        <v/>
      </c>
      <c r="Z746">
        <f>IF(U746&lt;&gt;"",U746+Y746,"")</f>
        <v/>
      </c>
      <c r="AA746">
        <f>IF(Z746&lt;&gt;"",Z746-TODAY(),"")</f>
        <v/>
      </c>
      <c r="AB746">
        <f>IF(AA746&lt;&gt;"",IF(AA746&lt;0,"Overdue",IF(AA746&lt;=Y746*0.2,"At Risk","On Time")),"")</f>
        <v/>
      </c>
    </row>
    <row r="747">
      <c r="K747">
        <f>IF(J747="v4.0",L747,IF(J747="v3.1",M747,IF(J747="Both",L747,IF(AND(L747&lt;&gt;"",M747=""),L747,M747))))</f>
        <v/>
      </c>
      <c r="Y747">
        <f>IF(T747="P0",1,IF(T747="P1",3,IF(T747="P2",7,IF(T747="P3",30,IF(T747="P4",30,7)))))</f>
        <v/>
      </c>
      <c r="Z747">
        <f>IF(U747&lt;&gt;"",U747+Y747,"")</f>
        <v/>
      </c>
      <c r="AA747">
        <f>IF(Z747&lt;&gt;"",Z747-TODAY(),"")</f>
        <v/>
      </c>
      <c r="AB747">
        <f>IF(AA747&lt;&gt;"",IF(AA747&lt;0,"Overdue",IF(AA747&lt;=Y747*0.2,"At Risk","On Time")),"")</f>
        <v/>
      </c>
    </row>
    <row r="748">
      <c r="K748">
        <f>IF(J748="v4.0",L748,IF(J748="v3.1",M748,IF(J748="Both",L748,IF(AND(L748&lt;&gt;"",M748=""),L748,M748))))</f>
        <v/>
      </c>
      <c r="Y748">
        <f>IF(T748="P0",1,IF(T748="P1",3,IF(T748="P2",7,IF(T748="P3",30,IF(T748="P4",30,7)))))</f>
        <v/>
      </c>
      <c r="Z748">
        <f>IF(U748&lt;&gt;"",U748+Y748,"")</f>
        <v/>
      </c>
      <c r="AA748">
        <f>IF(Z748&lt;&gt;"",Z748-TODAY(),"")</f>
        <v/>
      </c>
      <c r="AB748">
        <f>IF(AA748&lt;&gt;"",IF(AA748&lt;0,"Overdue",IF(AA748&lt;=Y748*0.2,"At Risk","On Time")),"")</f>
        <v/>
      </c>
    </row>
    <row r="749">
      <c r="K749">
        <f>IF(J749="v4.0",L749,IF(J749="v3.1",M749,IF(J749="Both",L749,IF(AND(L749&lt;&gt;"",M749=""),L749,M749))))</f>
        <v/>
      </c>
      <c r="Y749">
        <f>IF(T749="P0",1,IF(T749="P1",3,IF(T749="P2",7,IF(T749="P3",30,IF(T749="P4",30,7)))))</f>
        <v/>
      </c>
      <c r="Z749">
        <f>IF(U749&lt;&gt;"",U749+Y749,"")</f>
        <v/>
      </c>
      <c r="AA749">
        <f>IF(Z749&lt;&gt;"",Z749-TODAY(),"")</f>
        <v/>
      </c>
      <c r="AB749">
        <f>IF(AA749&lt;&gt;"",IF(AA749&lt;0,"Overdue",IF(AA749&lt;=Y749*0.2,"At Risk","On Time")),"")</f>
        <v/>
      </c>
    </row>
    <row r="750">
      <c r="K750">
        <f>IF(J750="v4.0",L750,IF(J750="v3.1",M750,IF(J750="Both",L750,IF(AND(L750&lt;&gt;"",M750=""),L750,M750))))</f>
        <v/>
      </c>
      <c r="Y750">
        <f>IF(T750="P0",1,IF(T750="P1",3,IF(T750="P2",7,IF(T750="P3",30,IF(T750="P4",30,7)))))</f>
        <v/>
      </c>
      <c r="Z750">
        <f>IF(U750&lt;&gt;"",U750+Y750,"")</f>
        <v/>
      </c>
      <c r="AA750">
        <f>IF(Z750&lt;&gt;"",Z750-TODAY(),"")</f>
        <v/>
      </c>
      <c r="AB750">
        <f>IF(AA750&lt;&gt;"",IF(AA750&lt;0,"Overdue",IF(AA750&lt;=Y750*0.2,"At Risk","On Time")),"")</f>
        <v/>
      </c>
    </row>
    <row r="751">
      <c r="K751">
        <f>IF(J751="v4.0",L751,IF(J751="v3.1",M751,IF(J751="Both",L751,IF(AND(L751&lt;&gt;"",M751=""),L751,M751))))</f>
        <v/>
      </c>
      <c r="Y751">
        <f>IF(T751="P0",1,IF(T751="P1",3,IF(T751="P2",7,IF(T751="P3",30,IF(T751="P4",30,7)))))</f>
        <v/>
      </c>
      <c r="Z751">
        <f>IF(U751&lt;&gt;"",U751+Y751,"")</f>
        <v/>
      </c>
      <c r="AA751">
        <f>IF(Z751&lt;&gt;"",Z751-TODAY(),"")</f>
        <v/>
      </c>
      <c r="AB751">
        <f>IF(AA751&lt;&gt;"",IF(AA751&lt;0,"Overdue",IF(AA751&lt;=Y751*0.2,"At Risk","On Time")),"")</f>
        <v/>
      </c>
    </row>
    <row r="752">
      <c r="K752">
        <f>IF(J752="v4.0",L752,IF(J752="v3.1",M752,IF(J752="Both",L752,IF(AND(L752&lt;&gt;"",M752=""),L752,M752))))</f>
        <v/>
      </c>
      <c r="Y752">
        <f>IF(T752="P0",1,IF(T752="P1",3,IF(T752="P2",7,IF(T752="P3",30,IF(T752="P4",30,7)))))</f>
        <v/>
      </c>
      <c r="Z752">
        <f>IF(U752&lt;&gt;"",U752+Y752,"")</f>
        <v/>
      </c>
      <c r="AA752">
        <f>IF(Z752&lt;&gt;"",Z752-TODAY(),"")</f>
        <v/>
      </c>
      <c r="AB752">
        <f>IF(AA752&lt;&gt;"",IF(AA752&lt;0,"Overdue",IF(AA752&lt;=Y752*0.2,"At Risk","On Time")),"")</f>
        <v/>
      </c>
    </row>
    <row r="753">
      <c r="K753">
        <f>IF(J753="v4.0",L753,IF(J753="v3.1",M753,IF(J753="Both",L753,IF(AND(L753&lt;&gt;"",M753=""),L753,M753))))</f>
        <v/>
      </c>
      <c r="Y753">
        <f>IF(T753="P0",1,IF(T753="P1",3,IF(T753="P2",7,IF(T753="P3",30,IF(T753="P4",30,7)))))</f>
        <v/>
      </c>
      <c r="Z753">
        <f>IF(U753&lt;&gt;"",U753+Y753,"")</f>
        <v/>
      </c>
      <c r="AA753">
        <f>IF(Z753&lt;&gt;"",Z753-TODAY(),"")</f>
        <v/>
      </c>
      <c r="AB753">
        <f>IF(AA753&lt;&gt;"",IF(AA753&lt;0,"Overdue",IF(AA753&lt;=Y753*0.2,"At Risk","On Time")),"")</f>
        <v/>
      </c>
    </row>
    <row r="754">
      <c r="K754">
        <f>IF(J754="v4.0",L754,IF(J754="v3.1",M754,IF(J754="Both",L754,IF(AND(L754&lt;&gt;"",M754=""),L754,M754))))</f>
        <v/>
      </c>
      <c r="Y754">
        <f>IF(T754="P0",1,IF(T754="P1",3,IF(T754="P2",7,IF(T754="P3",30,IF(T754="P4",30,7)))))</f>
        <v/>
      </c>
      <c r="Z754">
        <f>IF(U754&lt;&gt;"",U754+Y754,"")</f>
        <v/>
      </c>
      <c r="AA754">
        <f>IF(Z754&lt;&gt;"",Z754-TODAY(),"")</f>
        <v/>
      </c>
      <c r="AB754">
        <f>IF(AA754&lt;&gt;"",IF(AA754&lt;0,"Overdue",IF(AA754&lt;=Y754*0.2,"At Risk","On Time")),"")</f>
        <v/>
      </c>
    </row>
    <row r="755">
      <c r="K755">
        <f>IF(J755="v4.0",L755,IF(J755="v3.1",M755,IF(J755="Both",L755,IF(AND(L755&lt;&gt;"",M755=""),L755,M755))))</f>
        <v/>
      </c>
      <c r="Y755">
        <f>IF(T755="P0",1,IF(T755="P1",3,IF(T755="P2",7,IF(T755="P3",30,IF(T755="P4",30,7)))))</f>
        <v/>
      </c>
      <c r="Z755">
        <f>IF(U755&lt;&gt;"",U755+Y755,"")</f>
        <v/>
      </c>
      <c r="AA755">
        <f>IF(Z755&lt;&gt;"",Z755-TODAY(),"")</f>
        <v/>
      </c>
      <c r="AB755">
        <f>IF(AA755&lt;&gt;"",IF(AA755&lt;0,"Overdue",IF(AA755&lt;=Y755*0.2,"At Risk","On Time")),"")</f>
        <v/>
      </c>
    </row>
    <row r="756">
      <c r="K756">
        <f>IF(J756="v4.0",L756,IF(J756="v3.1",M756,IF(J756="Both",L756,IF(AND(L756&lt;&gt;"",M756=""),L756,M756))))</f>
        <v/>
      </c>
      <c r="Y756">
        <f>IF(T756="P0",1,IF(T756="P1",3,IF(T756="P2",7,IF(T756="P3",30,IF(T756="P4",30,7)))))</f>
        <v/>
      </c>
      <c r="Z756">
        <f>IF(U756&lt;&gt;"",U756+Y756,"")</f>
        <v/>
      </c>
      <c r="AA756">
        <f>IF(Z756&lt;&gt;"",Z756-TODAY(),"")</f>
        <v/>
      </c>
      <c r="AB756">
        <f>IF(AA756&lt;&gt;"",IF(AA756&lt;0,"Overdue",IF(AA756&lt;=Y756*0.2,"At Risk","On Time")),"")</f>
        <v/>
      </c>
    </row>
    <row r="757">
      <c r="K757">
        <f>IF(J757="v4.0",L757,IF(J757="v3.1",M757,IF(J757="Both",L757,IF(AND(L757&lt;&gt;"",M757=""),L757,M757))))</f>
        <v/>
      </c>
      <c r="Y757">
        <f>IF(T757="P0",1,IF(T757="P1",3,IF(T757="P2",7,IF(T757="P3",30,IF(T757="P4",30,7)))))</f>
        <v/>
      </c>
      <c r="Z757">
        <f>IF(U757&lt;&gt;"",U757+Y757,"")</f>
        <v/>
      </c>
      <c r="AA757">
        <f>IF(Z757&lt;&gt;"",Z757-TODAY(),"")</f>
        <v/>
      </c>
      <c r="AB757">
        <f>IF(AA757&lt;&gt;"",IF(AA757&lt;0,"Overdue",IF(AA757&lt;=Y757*0.2,"At Risk","On Time")),"")</f>
        <v/>
      </c>
    </row>
    <row r="758">
      <c r="K758">
        <f>IF(J758="v4.0",L758,IF(J758="v3.1",M758,IF(J758="Both",L758,IF(AND(L758&lt;&gt;"",M758=""),L758,M758))))</f>
        <v/>
      </c>
      <c r="Y758">
        <f>IF(T758="P0",1,IF(T758="P1",3,IF(T758="P2",7,IF(T758="P3",30,IF(T758="P4",30,7)))))</f>
        <v/>
      </c>
      <c r="Z758">
        <f>IF(U758&lt;&gt;"",U758+Y758,"")</f>
        <v/>
      </c>
      <c r="AA758">
        <f>IF(Z758&lt;&gt;"",Z758-TODAY(),"")</f>
        <v/>
      </c>
      <c r="AB758">
        <f>IF(AA758&lt;&gt;"",IF(AA758&lt;0,"Overdue",IF(AA758&lt;=Y758*0.2,"At Risk","On Time")),"")</f>
        <v/>
      </c>
    </row>
    <row r="759">
      <c r="K759">
        <f>IF(J759="v4.0",L759,IF(J759="v3.1",M759,IF(J759="Both",L759,IF(AND(L759&lt;&gt;"",M759=""),L759,M759))))</f>
        <v/>
      </c>
      <c r="Y759">
        <f>IF(T759="P0",1,IF(T759="P1",3,IF(T759="P2",7,IF(T759="P3",30,IF(T759="P4",30,7)))))</f>
        <v/>
      </c>
      <c r="Z759">
        <f>IF(U759&lt;&gt;"",U759+Y759,"")</f>
        <v/>
      </c>
      <c r="AA759">
        <f>IF(Z759&lt;&gt;"",Z759-TODAY(),"")</f>
        <v/>
      </c>
      <c r="AB759">
        <f>IF(AA759&lt;&gt;"",IF(AA759&lt;0,"Overdue",IF(AA759&lt;=Y759*0.2,"At Risk","On Time")),"")</f>
        <v/>
      </c>
    </row>
    <row r="760">
      <c r="K760">
        <f>IF(J760="v4.0",L760,IF(J760="v3.1",M760,IF(J760="Both",L760,IF(AND(L760&lt;&gt;"",M760=""),L760,M760))))</f>
        <v/>
      </c>
      <c r="Y760">
        <f>IF(T760="P0",1,IF(T760="P1",3,IF(T760="P2",7,IF(T760="P3",30,IF(T760="P4",30,7)))))</f>
        <v/>
      </c>
      <c r="Z760">
        <f>IF(U760&lt;&gt;"",U760+Y760,"")</f>
        <v/>
      </c>
      <c r="AA760">
        <f>IF(Z760&lt;&gt;"",Z760-TODAY(),"")</f>
        <v/>
      </c>
      <c r="AB760">
        <f>IF(AA760&lt;&gt;"",IF(AA760&lt;0,"Overdue",IF(AA760&lt;=Y760*0.2,"At Risk","On Time")),"")</f>
        <v/>
      </c>
    </row>
    <row r="761">
      <c r="K761">
        <f>IF(J761="v4.0",L761,IF(J761="v3.1",M761,IF(J761="Both",L761,IF(AND(L761&lt;&gt;"",M761=""),L761,M761))))</f>
        <v/>
      </c>
      <c r="Y761">
        <f>IF(T761="P0",1,IF(T761="P1",3,IF(T761="P2",7,IF(T761="P3",30,IF(T761="P4",30,7)))))</f>
        <v/>
      </c>
      <c r="Z761">
        <f>IF(U761&lt;&gt;"",U761+Y761,"")</f>
        <v/>
      </c>
      <c r="AA761">
        <f>IF(Z761&lt;&gt;"",Z761-TODAY(),"")</f>
        <v/>
      </c>
      <c r="AB761">
        <f>IF(AA761&lt;&gt;"",IF(AA761&lt;0,"Overdue",IF(AA761&lt;=Y761*0.2,"At Risk","On Time")),"")</f>
        <v/>
      </c>
    </row>
    <row r="762">
      <c r="K762">
        <f>IF(J762="v4.0",L762,IF(J762="v3.1",M762,IF(J762="Both",L762,IF(AND(L762&lt;&gt;"",M762=""),L762,M762))))</f>
        <v/>
      </c>
      <c r="Y762">
        <f>IF(T762="P0",1,IF(T762="P1",3,IF(T762="P2",7,IF(T762="P3",30,IF(T762="P4",30,7)))))</f>
        <v/>
      </c>
      <c r="Z762">
        <f>IF(U762&lt;&gt;"",U762+Y762,"")</f>
        <v/>
      </c>
      <c r="AA762">
        <f>IF(Z762&lt;&gt;"",Z762-TODAY(),"")</f>
        <v/>
      </c>
      <c r="AB762">
        <f>IF(AA762&lt;&gt;"",IF(AA762&lt;0,"Overdue",IF(AA762&lt;=Y762*0.2,"At Risk","On Time")),"")</f>
        <v/>
      </c>
    </row>
    <row r="763">
      <c r="K763">
        <f>IF(J763="v4.0",L763,IF(J763="v3.1",M763,IF(J763="Both",L763,IF(AND(L763&lt;&gt;"",M763=""),L763,M763))))</f>
        <v/>
      </c>
      <c r="Y763">
        <f>IF(T763="P0",1,IF(T763="P1",3,IF(T763="P2",7,IF(T763="P3",30,IF(T763="P4",30,7)))))</f>
        <v/>
      </c>
      <c r="Z763">
        <f>IF(U763&lt;&gt;"",U763+Y763,"")</f>
        <v/>
      </c>
      <c r="AA763">
        <f>IF(Z763&lt;&gt;"",Z763-TODAY(),"")</f>
        <v/>
      </c>
      <c r="AB763">
        <f>IF(AA763&lt;&gt;"",IF(AA763&lt;0,"Overdue",IF(AA763&lt;=Y763*0.2,"At Risk","On Time")),"")</f>
        <v/>
      </c>
    </row>
    <row r="764">
      <c r="K764">
        <f>IF(J764="v4.0",L764,IF(J764="v3.1",M764,IF(J764="Both",L764,IF(AND(L764&lt;&gt;"",M764=""),L764,M764))))</f>
        <v/>
      </c>
      <c r="Y764">
        <f>IF(T764="P0",1,IF(T764="P1",3,IF(T764="P2",7,IF(T764="P3",30,IF(T764="P4",30,7)))))</f>
        <v/>
      </c>
      <c r="Z764">
        <f>IF(U764&lt;&gt;"",U764+Y764,"")</f>
        <v/>
      </c>
      <c r="AA764">
        <f>IF(Z764&lt;&gt;"",Z764-TODAY(),"")</f>
        <v/>
      </c>
      <c r="AB764">
        <f>IF(AA764&lt;&gt;"",IF(AA764&lt;0,"Overdue",IF(AA764&lt;=Y764*0.2,"At Risk","On Time")),"")</f>
        <v/>
      </c>
    </row>
    <row r="765">
      <c r="K765">
        <f>IF(J765="v4.0",L765,IF(J765="v3.1",M765,IF(J765="Both",L765,IF(AND(L765&lt;&gt;"",M765=""),L765,M765))))</f>
        <v/>
      </c>
      <c r="Y765">
        <f>IF(T765="P0",1,IF(T765="P1",3,IF(T765="P2",7,IF(T765="P3",30,IF(T765="P4",30,7)))))</f>
        <v/>
      </c>
      <c r="Z765">
        <f>IF(U765&lt;&gt;"",U765+Y765,"")</f>
        <v/>
      </c>
      <c r="AA765">
        <f>IF(Z765&lt;&gt;"",Z765-TODAY(),"")</f>
        <v/>
      </c>
      <c r="AB765">
        <f>IF(AA765&lt;&gt;"",IF(AA765&lt;0,"Overdue",IF(AA765&lt;=Y765*0.2,"At Risk","On Time")),"")</f>
        <v/>
      </c>
    </row>
    <row r="766">
      <c r="K766">
        <f>IF(J766="v4.0",L766,IF(J766="v3.1",M766,IF(J766="Both",L766,IF(AND(L766&lt;&gt;"",M766=""),L766,M766))))</f>
        <v/>
      </c>
      <c r="Y766">
        <f>IF(T766="P0",1,IF(T766="P1",3,IF(T766="P2",7,IF(T766="P3",30,IF(T766="P4",30,7)))))</f>
        <v/>
      </c>
      <c r="Z766">
        <f>IF(U766&lt;&gt;"",U766+Y766,"")</f>
        <v/>
      </c>
      <c r="AA766">
        <f>IF(Z766&lt;&gt;"",Z766-TODAY(),"")</f>
        <v/>
      </c>
      <c r="AB766">
        <f>IF(AA766&lt;&gt;"",IF(AA766&lt;0,"Overdue",IF(AA766&lt;=Y766*0.2,"At Risk","On Time")),"")</f>
        <v/>
      </c>
    </row>
    <row r="767">
      <c r="K767">
        <f>IF(J767="v4.0",L767,IF(J767="v3.1",M767,IF(J767="Both",L767,IF(AND(L767&lt;&gt;"",M767=""),L767,M767))))</f>
        <v/>
      </c>
      <c r="Y767">
        <f>IF(T767="P0",1,IF(T767="P1",3,IF(T767="P2",7,IF(T767="P3",30,IF(T767="P4",30,7)))))</f>
        <v/>
      </c>
      <c r="Z767">
        <f>IF(U767&lt;&gt;"",U767+Y767,"")</f>
        <v/>
      </c>
      <c r="AA767">
        <f>IF(Z767&lt;&gt;"",Z767-TODAY(),"")</f>
        <v/>
      </c>
      <c r="AB767">
        <f>IF(AA767&lt;&gt;"",IF(AA767&lt;0,"Overdue",IF(AA767&lt;=Y767*0.2,"At Risk","On Time")),"")</f>
        <v/>
      </c>
    </row>
    <row r="768">
      <c r="K768">
        <f>IF(J768="v4.0",L768,IF(J768="v3.1",M768,IF(J768="Both",L768,IF(AND(L768&lt;&gt;"",M768=""),L768,M768))))</f>
        <v/>
      </c>
      <c r="Y768">
        <f>IF(T768="P0",1,IF(T768="P1",3,IF(T768="P2",7,IF(T768="P3",30,IF(T768="P4",30,7)))))</f>
        <v/>
      </c>
      <c r="Z768">
        <f>IF(U768&lt;&gt;"",U768+Y768,"")</f>
        <v/>
      </c>
      <c r="AA768">
        <f>IF(Z768&lt;&gt;"",Z768-TODAY(),"")</f>
        <v/>
      </c>
      <c r="AB768">
        <f>IF(AA768&lt;&gt;"",IF(AA768&lt;0,"Overdue",IF(AA768&lt;=Y768*0.2,"At Risk","On Time")),"")</f>
        <v/>
      </c>
    </row>
    <row r="769">
      <c r="K769">
        <f>IF(J769="v4.0",L769,IF(J769="v3.1",M769,IF(J769="Both",L769,IF(AND(L769&lt;&gt;"",M769=""),L769,M769))))</f>
        <v/>
      </c>
      <c r="Y769">
        <f>IF(T769="P0",1,IF(T769="P1",3,IF(T769="P2",7,IF(T769="P3",30,IF(T769="P4",30,7)))))</f>
        <v/>
      </c>
      <c r="Z769">
        <f>IF(U769&lt;&gt;"",U769+Y769,"")</f>
        <v/>
      </c>
      <c r="AA769">
        <f>IF(Z769&lt;&gt;"",Z769-TODAY(),"")</f>
        <v/>
      </c>
      <c r="AB769">
        <f>IF(AA769&lt;&gt;"",IF(AA769&lt;0,"Overdue",IF(AA769&lt;=Y769*0.2,"At Risk","On Time")),"")</f>
        <v/>
      </c>
    </row>
    <row r="770">
      <c r="K770">
        <f>IF(J770="v4.0",L770,IF(J770="v3.1",M770,IF(J770="Both",L770,IF(AND(L770&lt;&gt;"",M770=""),L770,M770))))</f>
        <v/>
      </c>
      <c r="Y770">
        <f>IF(T770="P0",1,IF(T770="P1",3,IF(T770="P2",7,IF(T770="P3",30,IF(T770="P4",30,7)))))</f>
        <v/>
      </c>
      <c r="Z770">
        <f>IF(U770&lt;&gt;"",U770+Y770,"")</f>
        <v/>
      </c>
      <c r="AA770">
        <f>IF(Z770&lt;&gt;"",Z770-TODAY(),"")</f>
        <v/>
      </c>
      <c r="AB770">
        <f>IF(AA770&lt;&gt;"",IF(AA770&lt;0,"Overdue",IF(AA770&lt;=Y770*0.2,"At Risk","On Time")),"")</f>
        <v/>
      </c>
    </row>
    <row r="771">
      <c r="K771">
        <f>IF(J771="v4.0",L771,IF(J771="v3.1",M771,IF(J771="Both",L771,IF(AND(L771&lt;&gt;"",M771=""),L771,M771))))</f>
        <v/>
      </c>
      <c r="Y771">
        <f>IF(T771="P0",1,IF(T771="P1",3,IF(T771="P2",7,IF(T771="P3",30,IF(T771="P4",30,7)))))</f>
        <v/>
      </c>
      <c r="Z771">
        <f>IF(U771&lt;&gt;"",U771+Y771,"")</f>
        <v/>
      </c>
      <c r="AA771">
        <f>IF(Z771&lt;&gt;"",Z771-TODAY(),"")</f>
        <v/>
      </c>
      <c r="AB771">
        <f>IF(AA771&lt;&gt;"",IF(AA771&lt;0,"Overdue",IF(AA771&lt;=Y771*0.2,"At Risk","On Time")),"")</f>
        <v/>
      </c>
    </row>
    <row r="772">
      <c r="K772">
        <f>IF(J772="v4.0",L772,IF(J772="v3.1",M772,IF(J772="Both",L772,IF(AND(L772&lt;&gt;"",M772=""),L772,M772))))</f>
        <v/>
      </c>
      <c r="Y772">
        <f>IF(T772="P0",1,IF(T772="P1",3,IF(T772="P2",7,IF(T772="P3",30,IF(T772="P4",30,7)))))</f>
        <v/>
      </c>
      <c r="Z772">
        <f>IF(U772&lt;&gt;"",U772+Y772,"")</f>
        <v/>
      </c>
      <c r="AA772">
        <f>IF(Z772&lt;&gt;"",Z772-TODAY(),"")</f>
        <v/>
      </c>
      <c r="AB772">
        <f>IF(AA772&lt;&gt;"",IF(AA772&lt;0,"Overdue",IF(AA772&lt;=Y772*0.2,"At Risk","On Time")),"")</f>
        <v/>
      </c>
    </row>
    <row r="773">
      <c r="K773">
        <f>IF(J773="v4.0",L773,IF(J773="v3.1",M773,IF(J773="Both",L773,IF(AND(L773&lt;&gt;"",M773=""),L773,M773))))</f>
        <v/>
      </c>
      <c r="Y773">
        <f>IF(T773="P0",1,IF(T773="P1",3,IF(T773="P2",7,IF(T773="P3",30,IF(T773="P4",30,7)))))</f>
        <v/>
      </c>
      <c r="Z773">
        <f>IF(U773&lt;&gt;"",U773+Y773,"")</f>
        <v/>
      </c>
      <c r="AA773">
        <f>IF(Z773&lt;&gt;"",Z773-TODAY(),"")</f>
        <v/>
      </c>
      <c r="AB773">
        <f>IF(AA773&lt;&gt;"",IF(AA773&lt;0,"Overdue",IF(AA773&lt;=Y773*0.2,"At Risk","On Time")),"")</f>
        <v/>
      </c>
    </row>
    <row r="774">
      <c r="K774">
        <f>IF(J774="v4.0",L774,IF(J774="v3.1",M774,IF(J774="Both",L774,IF(AND(L774&lt;&gt;"",M774=""),L774,M774))))</f>
        <v/>
      </c>
      <c r="Y774">
        <f>IF(T774="P0",1,IF(T774="P1",3,IF(T774="P2",7,IF(T774="P3",30,IF(T774="P4",30,7)))))</f>
        <v/>
      </c>
      <c r="Z774">
        <f>IF(U774&lt;&gt;"",U774+Y774,"")</f>
        <v/>
      </c>
      <c r="AA774">
        <f>IF(Z774&lt;&gt;"",Z774-TODAY(),"")</f>
        <v/>
      </c>
      <c r="AB774">
        <f>IF(AA774&lt;&gt;"",IF(AA774&lt;0,"Overdue",IF(AA774&lt;=Y774*0.2,"At Risk","On Time")),"")</f>
        <v/>
      </c>
    </row>
    <row r="775">
      <c r="K775">
        <f>IF(J775="v4.0",L775,IF(J775="v3.1",M775,IF(J775="Both",L775,IF(AND(L775&lt;&gt;"",M775=""),L775,M775))))</f>
        <v/>
      </c>
      <c r="Y775">
        <f>IF(T775="P0",1,IF(T775="P1",3,IF(T775="P2",7,IF(T775="P3",30,IF(T775="P4",30,7)))))</f>
        <v/>
      </c>
      <c r="Z775">
        <f>IF(U775&lt;&gt;"",U775+Y775,"")</f>
        <v/>
      </c>
      <c r="AA775">
        <f>IF(Z775&lt;&gt;"",Z775-TODAY(),"")</f>
        <v/>
      </c>
      <c r="AB775">
        <f>IF(AA775&lt;&gt;"",IF(AA775&lt;0,"Overdue",IF(AA775&lt;=Y775*0.2,"At Risk","On Time")),"")</f>
        <v/>
      </c>
    </row>
    <row r="776">
      <c r="K776">
        <f>IF(J776="v4.0",L776,IF(J776="v3.1",M776,IF(J776="Both",L776,IF(AND(L776&lt;&gt;"",M776=""),L776,M776))))</f>
        <v/>
      </c>
      <c r="Y776">
        <f>IF(T776="P0",1,IF(T776="P1",3,IF(T776="P2",7,IF(T776="P3",30,IF(T776="P4",30,7)))))</f>
        <v/>
      </c>
      <c r="Z776">
        <f>IF(U776&lt;&gt;"",U776+Y776,"")</f>
        <v/>
      </c>
      <c r="AA776">
        <f>IF(Z776&lt;&gt;"",Z776-TODAY(),"")</f>
        <v/>
      </c>
      <c r="AB776">
        <f>IF(AA776&lt;&gt;"",IF(AA776&lt;0,"Overdue",IF(AA776&lt;=Y776*0.2,"At Risk","On Time")),"")</f>
        <v/>
      </c>
    </row>
    <row r="777">
      <c r="K777">
        <f>IF(J777="v4.0",L777,IF(J777="v3.1",M777,IF(J777="Both",L777,IF(AND(L777&lt;&gt;"",M777=""),L777,M777))))</f>
        <v/>
      </c>
      <c r="Y777">
        <f>IF(T777="P0",1,IF(T777="P1",3,IF(T777="P2",7,IF(T777="P3",30,IF(T777="P4",30,7)))))</f>
        <v/>
      </c>
      <c r="Z777">
        <f>IF(U777&lt;&gt;"",U777+Y777,"")</f>
        <v/>
      </c>
      <c r="AA777">
        <f>IF(Z777&lt;&gt;"",Z777-TODAY(),"")</f>
        <v/>
      </c>
      <c r="AB777">
        <f>IF(AA777&lt;&gt;"",IF(AA777&lt;0,"Overdue",IF(AA777&lt;=Y777*0.2,"At Risk","On Time")),"")</f>
        <v/>
      </c>
    </row>
    <row r="778">
      <c r="K778">
        <f>IF(J778="v4.0",L778,IF(J778="v3.1",M778,IF(J778="Both",L778,IF(AND(L778&lt;&gt;"",M778=""),L778,M778))))</f>
        <v/>
      </c>
      <c r="Y778">
        <f>IF(T778="P0",1,IF(T778="P1",3,IF(T778="P2",7,IF(T778="P3",30,IF(T778="P4",30,7)))))</f>
        <v/>
      </c>
      <c r="Z778">
        <f>IF(U778&lt;&gt;"",U778+Y778,"")</f>
        <v/>
      </c>
      <c r="AA778">
        <f>IF(Z778&lt;&gt;"",Z778-TODAY(),"")</f>
        <v/>
      </c>
      <c r="AB778">
        <f>IF(AA778&lt;&gt;"",IF(AA778&lt;0,"Overdue",IF(AA778&lt;=Y778*0.2,"At Risk","On Time")),"")</f>
        <v/>
      </c>
    </row>
    <row r="779">
      <c r="K779">
        <f>IF(J779="v4.0",L779,IF(J779="v3.1",M779,IF(J779="Both",L779,IF(AND(L779&lt;&gt;"",M779=""),L779,M779))))</f>
        <v/>
      </c>
      <c r="Y779">
        <f>IF(T779="P0",1,IF(T779="P1",3,IF(T779="P2",7,IF(T779="P3",30,IF(T779="P4",30,7)))))</f>
        <v/>
      </c>
      <c r="Z779">
        <f>IF(U779&lt;&gt;"",U779+Y779,"")</f>
        <v/>
      </c>
      <c r="AA779">
        <f>IF(Z779&lt;&gt;"",Z779-TODAY(),"")</f>
        <v/>
      </c>
      <c r="AB779">
        <f>IF(AA779&lt;&gt;"",IF(AA779&lt;0,"Overdue",IF(AA779&lt;=Y779*0.2,"At Risk","On Time")),"")</f>
        <v/>
      </c>
    </row>
    <row r="780">
      <c r="K780">
        <f>IF(J780="v4.0",L780,IF(J780="v3.1",M780,IF(J780="Both",L780,IF(AND(L780&lt;&gt;"",M780=""),L780,M780))))</f>
        <v/>
      </c>
      <c r="Y780">
        <f>IF(T780="P0",1,IF(T780="P1",3,IF(T780="P2",7,IF(T780="P3",30,IF(T780="P4",30,7)))))</f>
        <v/>
      </c>
      <c r="Z780">
        <f>IF(U780&lt;&gt;"",U780+Y780,"")</f>
        <v/>
      </c>
      <c r="AA780">
        <f>IF(Z780&lt;&gt;"",Z780-TODAY(),"")</f>
        <v/>
      </c>
      <c r="AB780">
        <f>IF(AA780&lt;&gt;"",IF(AA780&lt;0,"Overdue",IF(AA780&lt;=Y780*0.2,"At Risk","On Time")),"")</f>
        <v/>
      </c>
    </row>
    <row r="781">
      <c r="K781">
        <f>IF(J781="v4.0",L781,IF(J781="v3.1",M781,IF(J781="Both",L781,IF(AND(L781&lt;&gt;"",M781=""),L781,M781))))</f>
        <v/>
      </c>
      <c r="Y781">
        <f>IF(T781="P0",1,IF(T781="P1",3,IF(T781="P2",7,IF(T781="P3",30,IF(T781="P4",30,7)))))</f>
        <v/>
      </c>
      <c r="Z781">
        <f>IF(U781&lt;&gt;"",U781+Y781,"")</f>
        <v/>
      </c>
      <c r="AA781">
        <f>IF(Z781&lt;&gt;"",Z781-TODAY(),"")</f>
        <v/>
      </c>
      <c r="AB781">
        <f>IF(AA781&lt;&gt;"",IF(AA781&lt;0,"Overdue",IF(AA781&lt;=Y781*0.2,"At Risk","On Time")),"")</f>
        <v/>
      </c>
    </row>
    <row r="782">
      <c r="K782">
        <f>IF(J782="v4.0",L782,IF(J782="v3.1",M782,IF(J782="Both",L782,IF(AND(L782&lt;&gt;"",M782=""),L782,M782))))</f>
        <v/>
      </c>
      <c r="Y782">
        <f>IF(T782="P0",1,IF(T782="P1",3,IF(T782="P2",7,IF(T782="P3",30,IF(T782="P4",30,7)))))</f>
        <v/>
      </c>
      <c r="Z782">
        <f>IF(U782&lt;&gt;"",U782+Y782,"")</f>
        <v/>
      </c>
      <c r="AA782">
        <f>IF(Z782&lt;&gt;"",Z782-TODAY(),"")</f>
        <v/>
      </c>
      <c r="AB782">
        <f>IF(AA782&lt;&gt;"",IF(AA782&lt;0,"Overdue",IF(AA782&lt;=Y782*0.2,"At Risk","On Time")),"")</f>
        <v/>
      </c>
    </row>
    <row r="783">
      <c r="K783">
        <f>IF(J783="v4.0",L783,IF(J783="v3.1",M783,IF(J783="Both",L783,IF(AND(L783&lt;&gt;"",M783=""),L783,M783))))</f>
        <v/>
      </c>
      <c r="Y783">
        <f>IF(T783="P0",1,IF(T783="P1",3,IF(T783="P2",7,IF(T783="P3",30,IF(T783="P4",30,7)))))</f>
        <v/>
      </c>
      <c r="Z783">
        <f>IF(U783&lt;&gt;"",U783+Y783,"")</f>
        <v/>
      </c>
      <c r="AA783">
        <f>IF(Z783&lt;&gt;"",Z783-TODAY(),"")</f>
        <v/>
      </c>
      <c r="AB783">
        <f>IF(AA783&lt;&gt;"",IF(AA783&lt;0,"Overdue",IF(AA783&lt;=Y783*0.2,"At Risk","On Time")),"")</f>
        <v/>
      </c>
    </row>
    <row r="784">
      <c r="K784">
        <f>IF(J784="v4.0",L784,IF(J784="v3.1",M784,IF(J784="Both",L784,IF(AND(L784&lt;&gt;"",M784=""),L784,M784))))</f>
        <v/>
      </c>
      <c r="Y784">
        <f>IF(T784="P0",1,IF(T784="P1",3,IF(T784="P2",7,IF(T784="P3",30,IF(T784="P4",30,7)))))</f>
        <v/>
      </c>
      <c r="Z784">
        <f>IF(U784&lt;&gt;"",U784+Y784,"")</f>
        <v/>
      </c>
      <c r="AA784">
        <f>IF(Z784&lt;&gt;"",Z784-TODAY(),"")</f>
        <v/>
      </c>
      <c r="AB784">
        <f>IF(AA784&lt;&gt;"",IF(AA784&lt;0,"Overdue",IF(AA784&lt;=Y784*0.2,"At Risk","On Time")),"")</f>
        <v/>
      </c>
    </row>
    <row r="785">
      <c r="K785">
        <f>IF(J785="v4.0",L785,IF(J785="v3.1",M785,IF(J785="Both",L785,IF(AND(L785&lt;&gt;"",M785=""),L785,M785))))</f>
        <v/>
      </c>
      <c r="Y785">
        <f>IF(T785="P0",1,IF(T785="P1",3,IF(T785="P2",7,IF(T785="P3",30,IF(T785="P4",30,7)))))</f>
        <v/>
      </c>
      <c r="Z785">
        <f>IF(U785&lt;&gt;"",U785+Y785,"")</f>
        <v/>
      </c>
      <c r="AA785">
        <f>IF(Z785&lt;&gt;"",Z785-TODAY(),"")</f>
        <v/>
      </c>
      <c r="AB785">
        <f>IF(AA785&lt;&gt;"",IF(AA785&lt;0,"Overdue",IF(AA785&lt;=Y785*0.2,"At Risk","On Time")),"")</f>
        <v/>
      </c>
    </row>
    <row r="786">
      <c r="K786">
        <f>IF(J786="v4.0",L786,IF(J786="v3.1",M786,IF(J786="Both",L786,IF(AND(L786&lt;&gt;"",M786=""),L786,M786))))</f>
        <v/>
      </c>
      <c r="Y786">
        <f>IF(T786="P0",1,IF(T786="P1",3,IF(T786="P2",7,IF(T786="P3",30,IF(T786="P4",30,7)))))</f>
        <v/>
      </c>
      <c r="Z786">
        <f>IF(U786&lt;&gt;"",U786+Y786,"")</f>
        <v/>
      </c>
      <c r="AA786">
        <f>IF(Z786&lt;&gt;"",Z786-TODAY(),"")</f>
        <v/>
      </c>
      <c r="AB786">
        <f>IF(AA786&lt;&gt;"",IF(AA786&lt;0,"Overdue",IF(AA786&lt;=Y786*0.2,"At Risk","On Time")),"")</f>
        <v/>
      </c>
    </row>
    <row r="787">
      <c r="K787">
        <f>IF(J787="v4.0",L787,IF(J787="v3.1",M787,IF(J787="Both",L787,IF(AND(L787&lt;&gt;"",M787=""),L787,M787))))</f>
        <v/>
      </c>
      <c r="Y787">
        <f>IF(T787="P0",1,IF(T787="P1",3,IF(T787="P2",7,IF(T787="P3",30,IF(T787="P4",30,7)))))</f>
        <v/>
      </c>
      <c r="Z787">
        <f>IF(U787&lt;&gt;"",U787+Y787,"")</f>
        <v/>
      </c>
      <c r="AA787">
        <f>IF(Z787&lt;&gt;"",Z787-TODAY(),"")</f>
        <v/>
      </c>
      <c r="AB787">
        <f>IF(AA787&lt;&gt;"",IF(AA787&lt;0,"Overdue",IF(AA787&lt;=Y787*0.2,"At Risk","On Time")),"")</f>
        <v/>
      </c>
    </row>
    <row r="788">
      <c r="K788">
        <f>IF(J788="v4.0",L788,IF(J788="v3.1",M788,IF(J788="Both",L788,IF(AND(L788&lt;&gt;"",M788=""),L788,M788))))</f>
        <v/>
      </c>
      <c r="Y788">
        <f>IF(T788="P0",1,IF(T788="P1",3,IF(T788="P2",7,IF(T788="P3",30,IF(T788="P4",30,7)))))</f>
        <v/>
      </c>
      <c r="Z788">
        <f>IF(U788&lt;&gt;"",U788+Y788,"")</f>
        <v/>
      </c>
      <c r="AA788">
        <f>IF(Z788&lt;&gt;"",Z788-TODAY(),"")</f>
        <v/>
      </c>
      <c r="AB788">
        <f>IF(AA788&lt;&gt;"",IF(AA788&lt;0,"Overdue",IF(AA788&lt;=Y788*0.2,"At Risk","On Time")),"")</f>
        <v/>
      </c>
    </row>
    <row r="789">
      <c r="K789">
        <f>IF(J789="v4.0",L789,IF(J789="v3.1",M789,IF(J789="Both",L789,IF(AND(L789&lt;&gt;"",M789=""),L789,M789))))</f>
        <v/>
      </c>
      <c r="Y789">
        <f>IF(T789="P0",1,IF(T789="P1",3,IF(T789="P2",7,IF(T789="P3",30,IF(T789="P4",30,7)))))</f>
        <v/>
      </c>
      <c r="Z789">
        <f>IF(U789&lt;&gt;"",U789+Y789,"")</f>
        <v/>
      </c>
      <c r="AA789">
        <f>IF(Z789&lt;&gt;"",Z789-TODAY(),"")</f>
        <v/>
      </c>
      <c r="AB789">
        <f>IF(AA789&lt;&gt;"",IF(AA789&lt;0,"Overdue",IF(AA789&lt;=Y789*0.2,"At Risk","On Time")),"")</f>
        <v/>
      </c>
    </row>
    <row r="790">
      <c r="K790">
        <f>IF(J790="v4.0",L790,IF(J790="v3.1",M790,IF(J790="Both",L790,IF(AND(L790&lt;&gt;"",M790=""),L790,M790))))</f>
        <v/>
      </c>
      <c r="Y790">
        <f>IF(T790="P0",1,IF(T790="P1",3,IF(T790="P2",7,IF(T790="P3",30,IF(T790="P4",30,7)))))</f>
        <v/>
      </c>
      <c r="Z790">
        <f>IF(U790&lt;&gt;"",U790+Y790,"")</f>
        <v/>
      </c>
      <c r="AA790">
        <f>IF(Z790&lt;&gt;"",Z790-TODAY(),"")</f>
        <v/>
      </c>
      <c r="AB790">
        <f>IF(AA790&lt;&gt;"",IF(AA790&lt;0,"Overdue",IF(AA790&lt;=Y790*0.2,"At Risk","On Time")),"")</f>
        <v/>
      </c>
    </row>
    <row r="791">
      <c r="K791">
        <f>IF(J791="v4.0",L791,IF(J791="v3.1",M791,IF(J791="Both",L791,IF(AND(L791&lt;&gt;"",M791=""),L791,M791))))</f>
        <v/>
      </c>
      <c r="Y791">
        <f>IF(T791="P0",1,IF(T791="P1",3,IF(T791="P2",7,IF(T791="P3",30,IF(T791="P4",30,7)))))</f>
        <v/>
      </c>
      <c r="Z791">
        <f>IF(U791&lt;&gt;"",U791+Y791,"")</f>
        <v/>
      </c>
      <c r="AA791">
        <f>IF(Z791&lt;&gt;"",Z791-TODAY(),"")</f>
        <v/>
      </c>
      <c r="AB791">
        <f>IF(AA791&lt;&gt;"",IF(AA791&lt;0,"Overdue",IF(AA791&lt;=Y791*0.2,"At Risk","On Time")),"")</f>
        <v/>
      </c>
    </row>
    <row r="792">
      <c r="K792">
        <f>IF(J792="v4.0",L792,IF(J792="v3.1",M792,IF(J792="Both",L792,IF(AND(L792&lt;&gt;"",M792=""),L792,M792))))</f>
        <v/>
      </c>
      <c r="Y792">
        <f>IF(T792="P0",1,IF(T792="P1",3,IF(T792="P2",7,IF(T792="P3",30,IF(T792="P4",30,7)))))</f>
        <v/>
      </c>
      <c r="Z792">
        <f>IF(U792&lt;&gt;"",U792+Y792,"")</f>
        <v/>
      </c>
      <c r="AA792">
        <f>IF(Z792&lt;&gt;"",Z792-TODAY(),"")</f>
        <v/>
      </c>
      <c r="AB792">
        <f>IF(AA792&lt;&gt;"",IF(AA792&lt;0,"Overdue",IF(AA792&lt;=Y792*0.2,"At Risk","On Time")),"")</f>
        <v/>
      </c>
    </row>
    <row r="793">
      <c r="K793">
        <f>IF(J793="v4.0",L793,IF(J793="v3.1",M793,IF(J793="Both",L793,IF(AND(L793&lt;&gt;"",M793=""),L793,M793))))</f>
        <v/>
      </c>
      <c r="Y793">
        <f>IF(T793="P0",1,IF(T793="P1",3,IF(T793="P2",7,IF(T793="P3",30,IF(T793="P4",30,7)))))</f>
        <v/>
      </c>
      <c r="Z793">
        <f>IF(U793&lt;&gt;"",U793+Y793,"")</f>
        <v/>
      </c>
      <c r="AA793">
        <f>IF(Z793&lt;&gt;"",Z793-TODAY(),"")</f>
        <v/>
      </c>
      <c r="AB793">
        <f>IF(AA793&lt;&gt;"",IF(AA793&lt;0,"Overdue",IF(AA793&lt;=Y793*0.2,"At Risk","On Time")),"")</f>
        <v/>
      </c>
    </row>
    <row r="794">
      <c r="K794">
        <f>IF(J794="v4.0",L794,IF(J794="v3.1",M794,IF(J794="Both",L794,IF(AND(L794&lt;&gt;"",M794=""),L794,M794))))</f>
        <v/>
      </c>
      <c r="Y794">
        <f>IF(T794="P0",1,IF(T794="P1",3,IF(T794="P2",7,IF(T794="P3",30,IF(T794="P4",30,7)))))</f>
        <v/>
      </c>
      <c r="Z794">
        <f>IF(U794&lt;&gt;"",U794+Y794,"")</f>
        <v/>
      </c>
      <c r="AA794">
        <f>IF(Z794&lt;&gt;"",Z794-TODAY(),"")</f>
        <v/>
      </c>
      <c r="AB794">
        <f>IF(AA794&lt;&gt;"",IF(AA794&lt;0,"Overdue",IF(AA794&lt;=Y794*0.2,"At Risk","On Time")),"")</f>
        <v/>
      </c>
    </row>
    <row r="795">
      <c r="K795">
        <f>IF(J795="v4.0",L795,IF(J795="v3.1",M795,IF(J795="Both",L795,IF(AND(L795&lt;&gt;"",M795=""),L795,M795))))</f>
        <v/>
      </c>
      <c r="Y795">
        <f>IF(T795="P0",1,IF(T795="P1",3,IF(T795="P2",7,IF(T795="P3",30,IF(T795="P4",30,7)))))</f>
        <v/>
      </c>
      <c r="Z795">
        <f>IF(U795&lt;&gt;"",U795+Y795,"")</f>
        <v/>
      </c>
      <c r="AA795">
        <f>IF(Z795&lt;&gt;"",Z795-TODAY(),"")</f>
        <v/>
      </c>
      <c r="AB795">
        <f>IF(AA795&lt;&gt;"",IF(AA795&lt;0,"Overdue",IF(AA795&lt;=Y795*0.2,"At Risk","On Time")),"")</f>
        <v/>
      </c>
    </row>
    <row r="796">
      <c r="K796">
        <f>IF(J796="v4.0",L796,IF(J796="v3.1",M796,IF(J796="Both",L796,IF(AND(L796&lt;&gt;"",M796=""),L796,M796))))</f>
        <v/>
      </c>
      <c r="Y796">
        <f>IF(T796="P0",1,IF(T796="P1",3,IF(T796="P2",7,IF(T796="P3",30,IF(T796="P4",30,7)))))</f>
        <v/>
      </c>
      <c r="Z796">
        <f>IF(U796&lt;&gt;"",U796+Y796,"")</f>
        <v/>
      </c>
      <c r="AA796">
        <f>IF(Z796&lt;&gt;"",Z796-TODAY(),"")</f>
        <v/>
      </c>
      <c r="AB796">
        <f>IF(AA796&lt;&gt;"",IF(AA796&lt;0,"Overdue",IF(AA796&lt;=Y796*0.2,"At Risk","On Time")),"")</f>
        <v/>
      </c>
    </row>
    <row r="797">
      <c r="K797">
        <f>IF(J797="v4.0",L797,IF(J797="v3.1",M797,IF(J797="Both",L797,IF(AND(L797&lt;&gt;"",M797=""),L797,M797))))</f>
        <v/>
      </c>
      <c r="Y797">
        <f>IF(T797="P0",1,IF(T797="P1",3,IF(T797="P2",7,IF(T797="P3",30,IF(T797="P4",30,7)))))</f>
        <v/>
      </c>
      <c r="Z797">
        <f>IF(U797&lt;&gt;"",U797+Y797,"")</f>
        <v/>
      </c>
      <c r="AA797">
        <f>IF(Z797&lt;&gt;"",Z797-TODAY(),"")</f>
        <v/>
      </c>
      <c r="AB797">
        <f>IF(AA797&lt;&gt;"",IF(AA797&lt;0,"Overdue",IF(AA797&lt;=Y797*0.2,"At Risk","On Time")),"")</f>
        <v/>
      </c>
    </row>
    <row r="798">
      <c r="K798">
        <f>IF(J798="v4.0",L798,IF(J798="v3.1",M798,IF(J798="Both",L798,IF(AND(L798&lt;&gt;"",M798=""),L798,M798))))</f>
        <v/>
      </c>
      <c r="Y798">
        <f>IF(T798="P0",1,IF(T798="P1",3,IF(T798="P2",7,IF(T798="P3",30,IF(T798="P4",30,7)))))</f>
        <v/>
      </c>
      <c r="Z798">
        <f>IF(U798&lt;&gt;"",U798+Y798,"")</f>
        <v/>
      </c>
      <c r="AA798">
        <f>IF(Z798&lt;&gt;"",Z798-TODAY(),"")</f>
        <v/>
      </c>
      <c r="AB798">
        <f>IF(AA798&lt;&gt;"",IF(AA798&lt;0,"Overdue",IF(AA798&lt;=Y798*0.2,"At Risk","On Time")),"")</f>
        <v/>
      </c>
    </row>
    <row r="799">
      <c r="K799">
        <f>IF(J799="v4.0",L799,IF(J799="v3.1",M799,IF(J799="Both",L799,IF(AND(L799&lt;&gt;"",M799=""),L799,M799))))</f>
        <v/>
      </c>
      <c r="Y799">
        <f>IF(T799="P0",1,IF(T799="P1",3,IF(T799="P2",7,IF(T799="P3",30,IF(T799="P4",30,7)))))</f>
        <v/>
      </c>
      <c r="Z799">
        <f>IF(U799&lt;&gt;"",U799+Y799,"")</f>
        <v/>
      </c>
      <c r="AA799">
        <f>IF(Z799&lt;&gt;"",Z799-TODAY(),"")</f>
        <v/>
      </c>
      <c r="AB799">
        <f>IF(AA799&lt;&gt;"",IF(AA799&lt;0,"Overdue",IF(AA799&lt;=Y799*0.2,"At Risk","On Time")),"")</f>
        <v/>
      </c>
    </row>
    <row r="800">
      <c r="K800">
        <f>IF(J800="v4.0",L800,IF(J800="v3.1",M800,IF(J800="Both",L800,IF(AND(L800&lt;&gt;"",M800=""),L800,M800))))</f>
        <v/>
      </c>
      <c r="Y800">
        <f>IF(T800="P0",1,IF(T800="P1",3,IF(T800="P2",7,IF(T800="P3",30,IF(T800="P4",30,7)))))</f>
        <v/>
      </c>
      <c r="Z800">
        <f>IF(U800&lt;&gt;"",U800+Y800,"")</f>
        <v/>
      </c>
      <c r="AA800">
        <f>IF(Z800&lt;&gt;"",Z800-TODAY(),"")</f>
        <v/>
      </c>
      <c r="AB800">
        <f>IF(AA800&lt;&gt;"",IF(AA800&lt;0,"Overdue",IF(AA800&lt;=Y800*0.2,"At Risk","On Time")),"")</f>
        <v/>
      </c>
    </row>
    <row r="801">
      <c r="K801">
        <f>IF(J801="v4.0",L801,IF(J801="v3.1",M801,IF(J801="Both",L801,IF(AND(L801&lt;&gt;"",M801=""),L801,M801))))</f>
        <v/>
      </c>
      <c r="Y801">
        <f>IF(T801="P0",1,IF(T801="P1",3,IF(T801="P2",7,IF(T801="P3",30,IF(T801="P4",30,7)))))</f>
        <v/>
      </c>
      <c r="Z801">
        <f>IF(U801&lt;&gt;"",U801+Y801,"")</f>
        <v/>
      </c>
      <c r="AA801">
        <f>IF(Z801&lt;&gt;"",Z801-TODAY(),"")</f>
        <v/>
      </c>
      <c r="AB801">
        <f>IF(AA801&lt;&gt;"",IF(AA801&lt;0,"Overdue",IF(AA801&lt;=Y801*0.2,"At Risk","On Time")),"")</f>
        <v/>
      </c>
    </row>
    <row r="802">
      <c r="K802">
        <f>IF(J802="v4.0",L802,IF(J802="v3.1",M802,IF(J802="Both",L802,IF(AND(L802&lt;&gt;"",M802=""),L802,M802))))</f>
        <v/>
      </c>
      <c r="Y802">
        <f>IF(T802="P0",1,IF(T802="P1",3,IF(T802="P2",7,IF(T802="P3",30,IF(T802="P4",30,7)))))</f>
        <v/>
      </c>
      <c r="Z802">
        <f>IF(U802&lt;&gt;"",U802+Y802,"")</f>
        <v/>
      </c>
      <c r="AA802">
        <f>IF(Z802&lt;&gt;"",Z802-TODAY(),"")</f>
        <v/>
      </c>
      <c r="AB802">
        <f>IF(AA802&lt;&gt;"",IF(AA802&lt;0,"Overdue",IF(AA802&lt;=Y802*0.2,"At Risk","On Time")),"")</f>
        <v/>
      </c>
    </row>
    <row r="803">
      <c r="K803">
        <f>IF(J803="v4.0",L803,IF(J803="v3.1",M803,IF(J803="Both",L803,IF(AND(L803&lt;&gt;"",M803=""),L803,M803))))</f>
        <v/>
      </c>
      <c r="Y803">
        <f>IF(T803="P0",1,IF(T803="P1",3,IF(T803="P2",7,IF(T803="P3",30,IF(T803="P4",30,7)))))</f>
        <v/>
      </c>
      <c r="Z803">
        <f>IF(U803&lt;&gt;"",U803+Y803,"")</f>
        <v/>
      </c>
      <c r="AA803">
        <f>IF(Z803&lt;&gt;"",Z803-TODAY(),"")</f>
        <v/>
      </c>
      <c r="AB803">
        <f>IF(AA803&lt;&gt;"",IF(AA803&lt;0,"Overdue",IF(AA803&lt;=Y803*0.2,"At Risk","On Time")),"")</f>
        <v/>
      </c>
    </row>
    <row r="804">
      <c r="K804">
        <f>IF(J804="v4.0",L804,IF(J804="v3.1",M804,IF(J804="Both",L804,IF(AND(L804&lt;&gt;"",M804=""),L804,M804))))</f>
        <v/>
      </c>
      <c r="Y804">
        <f>IF(T804="P0",1,IF(T804="P1",3,IF(T804="P2",7,IF(T804="P3",30,IF(T804="P4",30,7)))))</f>
        <v/>
      </c>
      <c r="Z804">
        <f>IF(U804&lt;&gt;"",U804+Y804,"")</f>
        <v/>
      </c>
      <c r="AA804">
        <f>IF(Z804&lt;&gt;"",Z804-TODAY(),"")</f>
        <v/>
      </c>
      <c r="AB804">
        <f>IF(AA804&lt;&gt;"",IF(AA804&lt;0,"Overdue",IF(AA804&lt;=Y804*0.2,"At Risk","On Time")),"")</f>
        <v/>
      </c>
    </row>
    <row r="805">
      <c r="K805">
        <f>IF(J805="v4.0",L805,IF(J805="v3.1",M805,IF(J805="Both",L805,IF(AND(L805&lt;&gt;"",M805=""),L805,M805))))</f>
        <v/>
      </c>
      <c r="Y805">
        <f>IF(T805="P0",1,IF(T805="P1",3,IF(T805="P2",7,IF(T805="P3",30,IF(T805="P4",30,7)))))</f>
        <v/>
      </c>
      <c r="Z805">
        <f>IF(U805&lt;&gt;"",U805+Y805,"")</f>
        <v/>
      </c>
      <c r="AA805">
        <f>IF(Z805&lt;&gt;"",Z805-TODAY(),"")</f>
        <v/>
      </c>
      <c r="AB805">
        <f>IF(AA805&lt;&gt;"",IF(AA805&lt;0,"Overdue",IF(AA805&lt;=Y805*0.2,"At Risk","On Time")),"")</f>
        <v/>
      </c>
    </row>
    <row r="806">
      <c r="K806">
        <f>IF(J806="v4.0",L806,IF(J806="v3.1",M806,IF(J806="Both",L806,IF(AND(L806&lt;&gt;"",M806=""),L806,M806))))</f>
        <v/>
      </c>
      <c r="Y806">
        <f>IF(T806="P0",1,IF(T806="P1",3,IF(T806="P2",7,IF(T806="P3",30,IF(T806="P4",30,7)))))</f>
        <v/>
      </c>
      <c r="Z806">
        <f>IF(U806&lt;&gt;"",U806+Y806,"")</f>
        <v/>
      </c>
      <c r="AA806">
        <f>IF(Z806&lt;&gt;"",Z806-TODAY(),"")</f>
        <v/>
      </c>
      <c r="AB806">
        <f>IF(AA806&lt;&gt;"",IF(AA806&lt;0,"Overdue",IF(AA806&lt;=Y806*0.2,"At Risk","On Time")),"")</f>
        <v/>
      </c>
    </row>
    <row r="807">
      <c r="K807">
        <f>IF(J807="v4.0",L807,IF(J807="v3.1",M807,IF(J807="Both",L807,IF(AND(L807&lt;&gt;"",M807=""),L807,M807))))</f>
        <v/>
      </c>
      <c r="Y807">
        <f>IF(T807="P0",1,IF(T807="P1",3,IF(T807="P2",7,IF(T807="P3",30,IF(T807="P4",30,7)))))</f>
        <v/>
      </c>
      <c r="Z807">
        <f>IF(U807&lt;&gt;"",U807+Y807,"")</f>
        <v/>
      </c>
      <c r="AA807">
        <f>IF(Z807&lt;&gt;"",Z807-TODAY(),"")</f>
        <v/>
      </c>
      <c r="AB807">
        <f>IF(AA807&lt;&gt;"",IF(AA807&lt;0,"Overdue",IF(AA807&lt;=Y807*0.2,"At Risk","On Time")),"")</f>
        <v/>
      </c>
    </row>
    <row r="808">
      <c r="K808">
        <f>IF(J808="v4.0",L808,IF(J808="v3.1",M808,IF(J808="Both",L808,IF(AND(L808&lt;&gt;"",M808=""),L808,M808))))</f>
        <v/>
      </c>
      <c r="Y808">
        <f>IF(T808="P0",1,IF(T808="P1",3,IF(T808="P2",7,IF(T808="P3",30,IF(T808="P4",30,7)))))</f>
        <v/>
      </c>
      <c r="Z808">
        <f>IF(U808&lt;&gt;"",U808+Y808,"")</f>
        <v/>
      </c>
      <c r="AA808">
        <f>IF(Z808&lt;&gt;"",Z808-TODAY(),"")</f>
        <v/>
      </c>
      <c r="AB808">
        <f>IF(AA808&lt;&gt;"",IF(AA808&lt;0,"Overdue",IF(AA808&lt;=Y808*0.2,"At Risk","On Time")),"")</f>
        <v/>
      </c>
    </row>
    <row r="809">
      <c r="K809">
        <f>IF(J809="v4.0",L809,IF(J809="v3.1",M809,IF(J809="Both",L809,IF(AND(L809&lt;&gt;"",M809=""),L809,M809))))</f>
        <v/>
      </c>
      <c r="Y809">
        <f>IF(T809="P0",1,IF(T809="P1",3,IF(T809="P2",7,IF(T809="P3",30,IF(T809="P4",30,7)))))</f>
        <v/>
      </c>
      <c r="Z809">
        <f>IF(U809&lt;&gt;"",U809+Y809,"")</f>
        <v/>
      </c>
      <c r="AA809">
        <f>IF(Z809&lt;&gt;"",Z809-TODAY(),"")</f>
        <v/>
      </c>
      <c r="AB809">
        <f>IF(AA809&lt;&gt;"",IF(AA809&lt;0,"Overdue",IF(AA809&lt;=Y809*0.2,"At Risk","On Time")),"")</f>
        <v/>
      </c>
    </row>
    <row r="810">
      <c r="K810">
        <f>IF(J810="v4.0",L810,IF(J810="v3.1",M810,IF(J810="Both",L810,IF(AND(L810&lt;&gt;"",M810=""),L810,M810))))</f>
        <v/>
      </c>
      <c r="Y810">
        <f>IF(T810="P0",1,IF(T810="P1",3,IF(T810="P2",7,IF(T810="P3",30,IF(T810="P4",30,7)))))</f>
        <v/>
      </c>
      <c r="Z810">
        <f>IF(U810&lt;&gt;"",U810+Y810,"")</f>
        <v/>
      </c>
      <c r="AA810">
        <f>IF(Z810&lt;&gt;"",Z810-TODAY(),"")</f>
        <v/>
      </c>
      <c r="AB810">
        <f>IF(AA810&lt;&gt;"",IF(AA810&lt;0,"Overdue",IF(AA810&lt;=Y810*0.2,"At Risk","On Time")),"")</f>
        <v/>
      </c>
    </row>
    <row r="811">
      <c r="K811">
        <f>IF(J811="v4.0",L811,IF(J811="v3.1",M811,IF(J811="Both",L811,IF(AND(L811&lt;&gt;"",M811=""),L811,M811))))</f>
        <v/>
      </c>
      <c r="Y811">
        <f>IF(T811="P0",1,IF(T811="P1",3,IF(T811="P2",7,IF(T811="P3",30,IF(T811="P4",30,7)))))</f>
        <v/>
      </c>
      <c r="Z811">
        <f>IF(U811&lt;&gt;"",U811+Y811,"")</f>
        <v/>
      </c>
      <c r="AA811">
        <f>IF(Z811&lt;&gt;"",Z811-TODAY(),"")</f>
        <v/>
      </c>
      <c r="AB811">
        <f>IF(AA811&lt;&gt;"",IF(AA811&lt;0,"Overdue",IF(AA811&lt;=Y811*0.2,"At Risk","On Time")),"")</f>
        <v/>
      </c>
    </row>
    <row r="812">
      <c r="K812">
        <f>IF(J812="v4.0",L812,IF(J812="v3.1",M812,IF(J812="Both",L812,IF(AND(L812&lt;&gt;"",M812=""),L812,M812))))</f>
        <v/>
      </c>
      <c r="Y812">
        <f>IF(T812="P0",1,IF(T812="P1",3,IF(T812="P2",7,IF(T812="P3",30,IF(T812="P4",30,7)))))</f>
        <v/>
      </c>
      <c r="Z812">
        <f>IF(U812&lt;&gt;"",U812+Y812,"")</f>
        <v/>
      </c>
      <c r="AA812">
        <f>IF(Z812&lt;&gt;"",Z812-TODAY(),"")</f>
        <v/>
      </c>
      <c r="AB812">
        <f>IF(AA812&lt;&gt;"",IF(AA812&lt;0,"Overdue",IF(AA812&lt;=Y812*0.2,"At Risk","On Time")),"")</f>
        <v/>
      </c>
    </row>
    <row r="813">
      <c r="K813">
        <f>IF(J813="v4.0",L813,IF(J813="v3.1",M813,IF(J813="Both",L813,IF(AND(L813&lt;&gt;"",M813=""),L813,M813))))</f>
        <v/>
      </c>
      <c r="Y813">
        <f>IF(T813="P0",1,IF(T813="P1",3,IF(T813="P2",7,IF(T813="P3",30,IF(T813="P4",30,7)))))</f>
        <v/>
      </c>
      <c r="Z813">
        <f>IF(U813&lt;&gt;"",U813+Y813,"")</f>
        <v/>
      </c>
      <c r="AA813">
        <f>IF(Z813&lt;&gt;"",Z813-TODAY(),"")</f>
        <v/>
      </c>
      <c r="AB813">
        <f>IF(AA813&lt;&gt;"",IF(AA813&lt;0,"Overdue",IF(AA813&lt;=Y813*0.2,"At Risk","On Time")),"")</f>
        <v/>
      </c>
    </row>
    <row r="814">
      <c r="K814">
        <f>IF(J814="v4.0",L814,IF(J814="v3.1",M814,IF(J814="Both",L814,IF(AND(L814&lt;&gt;"",M814=""),L814,M814))))</f>
        <v/>
      </c>
      <c r="Y814">
        <f>IF(T814="P0",1,IF(T814="P1",3,IF(T814="P2",7,IF(T814="P3",30,IF(T814="P4",30,7)))))</f>
        <v/>
      </c>
      <c r="Z814">
        <f>IF(U814&lt;&gt;"",U814+Y814,"")</f>
        <v/>
      </c>
      <c r="AA814">
        <f>IF(Z814&lt;&gt;"",Z814-TODAY(),"")</f>
        <v/>
      </c>
      <c r="AB814">
        <f>IF(AA814&lt;&gt;"",IF(AA814&lt;0,"Overdue",IF(AA814&lt;=Y814*0.2,"At Risk","On Time")),"")</f>
        <v/>
      </c>
    </row>
    <row r="815">
      <c r="K815">
        <f>IF(J815="v4.0",L815,IF(J815="v3.1",M815,IF(J815="Both",L815,IF(AND(L815&lt;&gt;"",M815=""),L815,M815))))</f>
        <v/>
      </c>
      <c r="Y815">
        <f>IF(T815="P0",1,IF(T815="P1",3,IF(T815="P2",7,IF(T815="P3",30,IF(T815="P4",30,7)))))</f>
        <v/>
      </c>
      <c r="Z815">
        <f>IF(U815&lt;&gt;"",U815+Y815,"")</f>
        <v/>
      </c>
      <c r="AA815">
        <f>IF(Z815&lt;&gt;"",Z815-TODAY(),"")</f>
        <v/>
      </c>
      <c r="AB815">
        <f>IF(AA815&lt;&gt;"",IF(AA815&lt;0,"Overdue",IF(AA815&lt;=Y815*0.2,"At Risk","On Time")),"")</f>
        <v/>
      </c>
    </row>
    <row r="816">
      <c r="K816">
        <f>IF(J816="v4.0",L816,IF(J816="v3.1",M816,IF(J816="Both",L816,IF(AND(L816&lt;&gt;"",M816=""),L816,M816))))</f>
        <v/>
      </c>
      <c r="Y816">
        <f>IF(T816="P0",1,IF(T816="P1",3,IF(T816="P2",7,IF(T816="P3",30,IF(T816="P4",30,7)))))</f>
        <v/>
      </c>
      <c r="Z816">
        <f>IF(U816&lt;&gt;"",U816+Y816,"")</f>
        <v/>
      </c>
      <c r="AA816">
        <f>IF(Z816&lt;&gt;"",Z816-TODAY(),"")</f>
        <v/>
      </c>
      <c r="AB816">
        <f>IF(AA816&lt;&gt;"",IF(AA816&lt;0,"Overdue",IF(AA816&lt;=Y816*0.2,"At Risk","On Time")),"")</f>
        <v/>
      </c>
    </row>
    <row r="817">
      <c r="K817">
        <f>IF(J817="v4.0",L817,IF(J817="v3.1",M817,IF(J817="Both",L817,IF(AND(L817&lt;&gt;"",M817=""),L817,M817))))</f>
        <v/>
      </c>
      <c r="Y817">
        <f>IF(T817="P0",1,IF(T817="P1",3,IF(T817="P2",7,IF(T817="P3",30,IF(T817="P4",30,7)))))</f>
        <v/>
      </c>
      <c r="Z817">
        <f>IF(U817&lt;&gt;"",U817+Y817,"")</f>
        <v/>
      </c>
      <c r="AA817">
        <f>IF(Z817&lt;&gt;"",Z817-TODAY(),"")</f>
        <v/>
      </c>
      <c r="AB817">
        <f>IF(AA817&lt;&gt;"",IF(AA817&lt;0,"Overdue",IF(AA817&lt;=Y817*0.2,"At Risk","On Time")),"")</f>
        <v/>
      </c>
    </row>
    <row r="818">
      <c r="K818">
        <f>IF(J818="v4.0",L818,IF(J818="v3.1",M818,IF(J818="Both",L818,IF(AND(L818&lt;&gt;"",M818=""),L818,M818))))</f>
        <v/>
      </c>
      <c r="Y818">
        <f>IF(T818="P0",1,IF(T818="P1",3,IF(T818="P2",7,IF(T818="P3",30,IF(T818="P4",30,7)))))</f>
        <v/>
      </c>
      <c r="Z818">
        <f>IF(U818&lt;&gt;"",U818+Y818,"")</f>
        <v/>
      </c>
      <c r="AA818">
        <f>IF(Z818&lt;&gt;"",Z818-TODAY(),"")</f>
        <v/>
      </c>
      <c r="AB818">
        <f>IF(AA818&lt;&gt;"",IF(AA818&lt;0,"Overdue",IF(AA818&lt;=Y818*0.2,"At Risk","On Time")),"")</f>
        <v/>
      </c>
    </row>
    <row r="819">
      <c r="K819">
        <f>IF(J819="v4.0",L819,IF(J819="v3.1",M819,IF(J819="Both",L819,IF(AND(L819&lt;&gt;"",M819=""),L819,M819))))</f>
        <v/>
      </c>
      <c r="Y819">
        <f>IF(T819="P0",1,IF(T819="P1",3,IF(T819="P2",7,IF(T819="P3",30,IF(T819="P4",30,7)))))</f>
        <v/>
      </c>
      <c r="Z819">
        <f>IF(U819&lt;&gt;"",U819+Y819,"")</f>
        <v/>
      </c>
      <c r="AA819">
        <f>IF(Z819&lt;&gt;"",Z819-TODAY(),"")</f>
        <v/>
      </c>
      <c r="AB819">
        <f>IF(AA819&lt;&gt;"",IF(AA819&lt;0,"Overdue",IF(AA819&lt;=Y819*0.2,"At Risk","On Time")),"")</f>
        <v/>
      </c>
    </row>
    <row r="820">
      <c r="K820">
        <f>IF(J820="v4.0",L820,IF(J820="v3.1",M820,IF(J820="Both",L820,IF(AND(L820&lt;&gt;"",M820=""),L820,M820))))</f>
        <v/>
      </c>
      <c r="Y820">
        <f>IF(T820="P0",1,IF(T820="P1",3,IF(T820="P2",7,IF(T820="P3",30,IF(T820="P4",30,7)))))</f>
        <v/>
      </c>
      <c r="Z820">
        <f>IF(U820&lt;&gt;"",U820+Y820,"")</f>
        <v/>
      </c>
      <c r="AA820">
        <f>IF(Z820&lt;&gt;"",Z820-TODAY(),"")</f>
        <v/>
      </c>
      <c r="AB820">
        <f>IF(AA820&lt;&gt;"",IF(AA820&lt;0,"Overdue",IF(AA820&lt;=Y820*0.2,"At Risk","On Time")),"")</f>
        <v/>
      </c>
    </row>
    <row r="821">
      <c r="K821">
        <f>IF(J821="v4.0",L821,IF(J821="v3.1",M821,IF(J821="Both",L821,IF(AND(L821&lt;&gt;"",M821=""),L821,M821))))</f>
        <v/>
      </c>
      <c r="Y821">
        <f>IF(T821="P0",1,IF(T821="P1",3,IF(T821="P2",7,IF(T821="P3",30,IF(T821="P4",30,7)))))</f>
        <v/>
      </c>
      <c r="Z821">
        <f>IF(U821&lt;&gt;"",U821+Y821,"")</f>
        <v/>
      </c>
      <c r="AA821">
        <f>IF(Z821&lt;&gt;"",Z821-TODAY(),"")</f>
        <v/>
      </c>
      <c r="AB821">
        <f>IF(AA821&lt;&gt;"",IF(AA821&lt;0,"Overdue",IF(AA821&lt;=Y821*0.2,"At Risk","On Time")),"")</f>
        <v/>
      </c>
    </row>
    <row r="822">
      <c r="K822">
        <f>IF(J822="v4.0",L822,IF(J822="v3.1",M822,IF(J822="Both",L822,IF(AND(L822&lt;&gt;"",M822=""),L822,M822))))</f>
        <v/>
      </c>
      <c r="Y822">
        <f>IF(T822="P0",1,IF(T822="P1",3,IF(T822="P2",7,IF(T822="P3",30,IF(T822="P4",30,7)))))</f>
        <v/>
      </c>
      <c r="Z822">
        <f>IF(U822&lt;&gt;"",U822+Y822,"")</f>
        <v/>
      </c>
      <c r="AA822">
        <f>IF(Z822&lt;&gt;"",Z822-TODAY(),"")</f>
        <v/>
      </c>
      <c r="AB822">
        <f>IF(AA822&lt;&gt;"",IF(AA822&lt;0,"Overdue",IF(AA822&lt;=Y822*0.2,"At Risk","On Time")),"")</f>
        <v/>
      </c>
    </row>
    <row r="823">
      <c r="K823">
        <f>IF(J823="v4.0",L823,IF(J823="v3.1",M823,IF(J823="Both",L823,IF(AND(L823&lt;&gt;"",M823=""),L823,M823))))</f>
        <v/>
      </c>
      <c r="Y823">
        <f>IF(T823="P0",1,IF(T823="P1",3,IF(T823="P2",7,IF(T823="P3",30,IF(T823="P4",30,7)))))</f>
        <v/>
      </c>
      <c r="Z823">
        <f>IF(U823&lt;&gt;"",U823+Y823,"")</f>
        <v/>
      </c>
      <c r="AA823">
        <f>IF(Z823&lt;&gt;"",Z823-TODAY(),"")</f>
        <v/>
      </c>
      <c r="AB823">
        <f>IF(AA823&lt;&gt;"",IF(AA823&lt;0,"Overdue",IF(AA823&lt;=Y823*0.2,"At Risk","On Time")),"")</f>
        <v/>
      </c>
    </row>
    <row r="824">
      <c r="K824">
        <f>IF(J824="v4.0",L824,IF(J824="v3.1",M824,IF(J824="Both",L824,IF(AND(L824&lt;&gt;"",M824=""),L824,M824))))</f>
        <v/>
      </c>
      <c r="Y824">
        <f>IF(T824="P0",1,IF(T824="P1",3,IF(T824="P2",7,IF(T824="P3",30,IF(T824="P4",30,7)))))</f>
        <v/>
      </c>
      <c r="Z824">
        <f>IF(U824&lt;&gt;"",U824+Y824,"")</f>
        <v/>
      </c>
      <c r="AA824">
        <f>IF(Z824&lt;&gt;"",Z824-TODAY(),"")</f>
        <v/>
      </c>
      <c r="AB824">
        <f>IF(AA824&lt;&gt;"",IF(AA824&lt;0,"Overdue",IF(AA824&lt;=Y824*0.2,"At Risk","On Time")),"")</f>
        <v/>
      </c>
    </row>
    <row r="825">
      <c r="K825">
        <f>IF(J825="v4.0",L825,IF(J825="v3.1",M825,IF(J825="Both",L825,IF(AND(L825&lt;&gt;"",M825=""),L825,M825))))</f>
        <v/>
      </c>
      <c r="Y825">
        <f>IF(T825="P0",1,IF(T825="P1",3,IF(T825="P2",7,IF(T825="P3",30,IF(T825="P4",30,7)))))</f>
        <v/>
      </c>
      <c r="Z825">
        <f>IF(U825&lt;&gt;"",U825+Y825,"")</f>
        <v/>
      </c>
      <c r="AA825">
        <f>IF(Z825&lt;&gt;"",Z825-TODAY(),"")</f>
        <v/>
      </c>
      <c r="AB825">
        <f>IF(AA825&lt;&gt;"",IF(AA825&lt;0,"Overdue",IF(AA825&lt;=Y825*0.2,"At Risk","On Time")),"")</f>
        <v/>
      </c>
    </row>
    <row r="826">
      <c r="K826">
        <f>IF(J826="v4.0",L826,IF(J826="v3.1",M826,IF(J826="Both",L826,IF(AND(L826&lt;&gt;"",M826=""),L826,M826))))</f>
        <v/>
      </c>
      <c r="Y826">
        <f>IF(T826="P0",1,IF(T826="P1",3,IF(T826="P2",7,IF(T826="P3",30,IF(T826="P4",30,7)))))</f>
        <v/>
      </c>
      <c r="Z826">
        <f>IF(U826&lt;&gt;"",U826+Y826,"")</f>
        <v/>
      </c>
      <c r="AA826">
        <f>IF(Z826&lt;&gt;"",Z826-TODAY(),"")</f>
        <v/>
      </c>
      <c r="AB826">
        <f>IF(AA826&lt;&gt;"",IF(AA826&lt;0,"Overdue",IF(AA826&lt;=Y826*0.2,"At Risk","On Time")),"")</f>
        <v/>
      </c>
    </row>
    <row r="827">
      <c r="K827">
        <f>IF(J827="v4.0",L827,IF(J827="v3.1",M827,IF(J827="Both",L827,IF(AND(L827&lt;&gt;"",M827=""),L827,M827))))</f>
        <v/>
      </c>
      <c r="Y827">
        <f>IF(T827="P0",1,IF(T827="P1",3,IF(T827="P2",7,IF(T827="P3",30,IF(T827="P4",30,7)))))</f>
        <v/>
      </c>
      <c r="Z827">
        <f>IF(U827&lt;&gt;"",U827+Y827,"")</f>
        <v/>
      </c>
      <c r="AA827">
        <f>IF(Z827&lt;&gt;"",Z827-TODAY(),"")</f>
        <v/>
      </c>
      <c r="AB827">
        <f>IF(AA827&lt;&gt;"",IF(AA827&lt;0,"Overdue",IF(AA827&lt;=Y827*0.2,"At Risk","On Time")),"")</f>
        <v/>
      </c>
    </row>
    <row r="828">
      <c r="K828">
        <f>IF(J828="v4.0",L828,IF(J828="v3.1",M828,IF(J828="Both",L828,IF(AND(L828&lt;&gt;"",M828=""),L828,M828))))</f>
        <v/>
      </c>
      <c r="Y828">
        <f>IF(T828="P0",1,IF(T828="P1",3,IF(T828="P2",7,IF(T828="P3",30,IF(T828="P4",30,7)))))</f>
        <v/>
      </c>
      <c r="Z828">
        <f>IF(U828&lt;&gt;"",U828+Y828,"")</f>
        <v/>
      </c>
      <c r="AA828">
        <f>IF(Z828&lt;&gt;"",Z828-TODAY(),"")</f>
        <v/>
      </c>
      <c r="AB828">
        <f>IF(AA828&lt;&gt;"",IF(AA828&lt;0,"Overdue",IF(AA828&lt;=Y828*0.2,"At Risk","On Time")),"")</f>
        <v/>
      </c>
    </row>
    <row r="829">
      <c r="K829">
        <f>IF(J829="v4.0",L829,IF(J829="v3.1",M829,IF(J829="Both",L829,IF(AND(L829&lt;&gt;"",M829=""),L829,M829))))</f>
        <v/>
      </c>
      <c r="Y829">
        <f>IF(T829="P0",1,IF(T829="P1",3,IF(T829="P2",7,IF(T829="P3",30,IF(T829="P4",30,7)))))</f>
        <v/>
      </c>
      <c r="Z829">
        <f>IF(U829&lt;&gt;"",U829+Y829,"")</f>
        <v/>
      </c>
      <c r="AA829">
        <f>IF(Z829&lt;&gt;"",Z829-TODAY(),"")</f>
        <v/>
      </c>
      <c r="AB829">
        <f>IF(AA829&lt;&gt;"",IF(AA829&lt;0,"Overdue",IF(AA829&lt;=Y829*0.2,"At Risk","On Time")),"")</f>
        <v/>
      </c>
    </row>
    <row r="830">
      <c r="K830">
        <f>IF(J830="v4.0",L830,IF(J830="v3.1",M830,IF(J830="Both",L830,IF(AND(L830&lt;&gt;"",M830=""),L830,M830))))</f>
        <v/>
      </c>
      <c r="Y830">
        <f>IF(T830="P0",1,IF(T830="P1",3,IF(T830="P2",7,IF(T830="P3",30,IF(T830="P4",30,7)))))</f>
        <v/>
      </c>
      <c r="Z830">
        <f>IF(U830&lt;&gt;"",U830+Y830,"")</f>
        <v/>
      </c>
      <c r="AA830">
        <f>IF(Z830&lt;&gt;"",Z830-TODAY(),"")</f>
        <v/>
      </c>
      <c r="AB830">
        <f>IF(AA830&lt;&gt;"",IF(AA830&lt;0,"Overdue",IF(AA830&lt;=Y830*0.2,"At Risk","On Time")),"")</f>
        <v/>
      </c>
    </row>
    <row r="831">
      <c r="K831">
        <f>IF(J831="v4.0",L831,IF(J831="v3.1",M831,IF(J831="Both",L831,IF(AND(L831&lt;&gt;"",M831=""),L831,M831))))</f>
        <v/>
      </c>
      <c r="Y831">
        <f>IF(T831="P0",1,IF(T831="P1",3,IF(T831="P2",7,IF(T831="P3",30,IF(T831="P4",30,7)))))</f>
        <v/>
      </c>
      <c r="Z831">
        <f>IF(U831&lt;&gt;"",U831+Y831,"")</f>
        <v/>
      </c>
      <c r="AA831">
        <f>IF(Z831&lt;&gt;"",Z831-TODAY(),"")</f>
        <v/>
      </c>
      <c r="AB831">
        <f>IF(AA831&lt;&gt;"",IF(AA831&lt;0,"Overdue",IF(AA831&lt;=Y831*0.2,"At Risk","On Time")),"")</f>
        <v/>
      </c>
    </row>
    <row r="832">
      <c r="K832">
        <f>IF(J832="v4.0",L832,IF(J832="v3.1",M832,IF(J832="Both",L832,IF(AND(L832&lt;&gt;"",M832=""),L832,M832))))</f>
        <v/>
      </c>
      <c r="Y832">
        <f>IF(T832="P0",1,IF(T832="P1",3,IF(T832="P2",7,IF(T832="P3",30,IF(T832="P4",30,7)))))</f>
        <v/>
      </c>
      <c r="Z832">
        <f>IF(U832&lt;&gt;"",U832+Y832,"")</f>
        <v/>
      </c>
      <c r="AA832">
        <f>IF(Z832&lt;&gt;"",Z832-TODAY(),"")</f>
        <v/>
      </c>
      <c r="AB832">
        <f>IF(AA832&lt;&gt;"",IF(AA832&lt;0,"Overdue",IF(AA832&lt;=Y832*0.2,"At Risk","On Time")),"")</f>
        <v/>
      </c>
    </row>
    <row r="833">
      <c r="K833">
        <f>IF(J833="v4.0",L833,IF(J833="v3.1",M833,IF(J833="Both",L833,IF(AND(L833&lt;&gt;"",M833=""),L833,M833))))</f>
        <v/>
      </c>
      <c r="Y833">
        <f>IF(T833="P0",1,IF(T833="P1",3,IF(T833="P2",7,IF(T833="P3",30,IF(T833="P4",30,7)))))</f>
        <v/>
      </c>
      <c r="Z833">
        <f>IF(U833&lt;&gt;"",U833+Y833,"")</f>
        <v/>
      </c>
      <c r="AA833">
        <f>IF(Z833&lt;&gt;"",Z833-TODAY(),"")</f>
        <v/>
      </c>
      <c r="AB833">
        <f>IF(AA833&lt;&gt;"",IF(AA833&lt;0,"Overdue",IF(AA833&lt;=Y833*0.2,"At Risk","On Time")),"")</f>
        <v/>
      </c>
    </row>
    <row r="834">
      <c r="K834">
        <f>IF(J834="v4.0",L834,IF(J834="v3.1",M834,IF(J834="Both",L834,IF(AND(L834&lt;&gt;"",M834=""),L834,M834))))</f>
        <v/>
      </c>
      <c r="Y834">
        <f>IF(T834="P0",1,IF(T834="P1",3,IF(T834="P2",7,IF(T834="P3",30,IF(T834="P4",30,7)))))</f>
        <v/>
      </c>
      <c r="Z834">
        <f>IF(U834&lt;&gt;"",U834+Y834,"")</f>
        <v/>
      </c>
      <c r="AA834">
        <f>IF(Z834&lt;&gt;"",Z834-TODAY(),"")</f>
        <v/>
      </c>
      <c r="AB834">
        <f>IF(AA834&lt;&gt;"",IF(AA834&lt;0,"Overdue",IF(AA834&lt;=Y834*0.2,"At Risk","On Time")),"")</f>
        <v/>
      </c>
    </row>
    <row r="835">
      <c r="K835">
        <f>IF(J835="v4.0",L835,IF(J835="v3.1",M835,IF(J835="Both",L835,IF(AND(L835&lt;&gt;"",M835=""),L835,M835))))</f>
        <v/>
      </c>
      <c r="Y835">
        <f>IF(T835="P0",1,IF(T835="P1",3,IF(T835="P2",7,IF(T835="P3",30,IF(T835="P4",30,7)))))</f>
        <v/>
      </c>
      <c r="Z835">
        <f>IF(U835&lt;&gt;"",U835+Y835,"")</f>
        <v/>
      </c>
      <c r="AA835">
        <f>IF(Z835&lt;&gt;"",Z835-TODAY(),"")</f>
        <v/>
      </c>
      <c r="AB835">
        <f>IF(AA835&lt;&gt;"",IF(AA835&lt;0,"Overdue",IF(AA835&lt;=Y835*0.2,"At Risk","On Time")),"")</f>
        <v/>
      </c>
    </row>
    <row r="836">
      <c r="K836">
        <f>IF(J836="v4.0",L836,IF(J836="v3.1",M836,IF(J836="Both",L836,IF(AND(L836&lt;&gt;"",M836=""),L836,M836))))</f>
        <v/>
      </c>
      <c r="Y836">
        <f>IF(T836="P0",1,IF(T836="P1",3,IF(T836="P2",7,IF(T836="P3",30,IF(T836="P4",30,7)))))</f>
        <v/>
      </c>
      <c r="Z836">
        <f>IF(U836&lt;&gt;"",U836+Y836,"")</f>
        <v/>
      </c>
      <c r="AA836">
        <f>IF(Z836&lt;&gt;"",Z836-TODAY(),"")</f>
        <v/>
      </c>
      <c r="AB836">
        <f>IF(AA836&lt;&gt;"",IF(AA836&lt;0,"Overdue",IF(AA836&lt;=Y836*0.2,"At Risk","On Time")),"")</f>
        <v/>
      </c>
    </row>
    <row r="837">
      <c r="K837">
        <f>IF(J837="v4.0",L837,IF(J837="v3.1",M837,IF(J837="Both",L837,IF(AND(L837&lt;&gt;"",M837=""),L837,M837))))</f>
        <v/>
      </c>
      <c r="Y837">
        <f>IF(T837="P0",1,IF(T837="P1",3,IF(T837="P2",7,IF(T837="P3",30,IF(T837="P4",30,7)))))</f>
        <v/>
      </c>
      <c r="Z837">
        <f>IF(U837&lt;&gt;"",U837+Y837,"")</f>
        <v/>
      </c>
      <c r="AA837">
        <f>IF(Z837&lt;&gt;"",Z837-TODAY(),"")</f>
        <v/>
      </c>
      <c r="AB837">
        <f>IF(AA837&lt;&gt;"",IF(AA837&lt;0,"Overdue",IF(AA837&lt;=Y837*0.2,"At Risk","On Time")),"")</f>
        <v/>
      </c>
    </row>
    <row r="838">
      <c r="K838">
        <f>IF(J838="v4.0",L838,IF(J838="v3.1",M838,IF(J838="Both",L838,IF(AND(L838&lt;&gt;"",M838=""),L838,M838))))</f>
        <v/>
      </c>
      <c r="Y838">
        <f>IF(T838="P0",1,IF(T838="P1",3,IF(T838="P2",7,IF(T838="P3",30,IF(T838="P4",30,7)))))</f>
        <v/>
      </c>
      <c r="Z838">
        <f>IF(U838&lt;&gt;"",U838+Y838,"")</f>
        <v/>
      </c>
      <c r="AA838">
        <f>IF(Z838&lt;&gt;"",Z838-TODAY(),"")</f>
        <v/>
      </c>
      <c r="AB838">
        <f>IF(AA838&lt;&gt;"",IF(AA838&lt;0,"Overdue",IF(AA838&lt;=Y838*0.2,"At Risk","On Time")),"")</f>
        <v/>
      </c>
    </row>
    <row r="839">
      <c r="K839">
        <f>IF(J839="v4.0",L839,IF(J839="v3.1",M839,IF(J839="Both",L839,IF(AND(L839&lt;&gt;"",M839=""),L839,M839))))</f>
        <v/>
      </c>
      <c r="Y839">
        <f>IF(T839="P0",1,IF(T839="P1",3,IF(T839="P2",7,IF(T839="P3",30,IF(T839="P4",30,7)))))</f>
        <v/>
      </c>
      <c r="Z839">
        <f>IF(U839&lt;&gt;"",U839+Y839,"")</f>
        <v/>
      </c>
      <c r="AA839">
        <f>IF(Z839&lt;&gt;"",Z839-TODAY(),"")</f>
        <v/>
      </c>
      <c r="AB839">
        <f>IF(AA839&lt;&gt;"",IF(AA839&lt;0,"Overdue",IF(AA839&lt;=Y839*0.2,"At Risk","On Time")),"")</f>
        <v/>
      </c>
    </row>
    <row r="840">
      <c r="K840">
        <f>IF(J840="v4.0",L840,IF(J840="v3.1",M840,IF(J840="Both",L840,IF(AND(L840&lt;&gt;"",M840=""),L840,M840))))</f>
        <v/>
      </c>
      <c r="Y840">
        <f>IF(T840="P0",1,IF(T840="P1",3,IF(T840="P2",7,IF(T840="P3",30,IF(T840="P4",30,7)))))</f>
        <v/>
      </c>
      <c r="Z840">
        <f>IF(U840&lt;&gt;"",U840+Y840,"")</f>
        <v/>
      </c>
      <c r="AA840">
        <f>IF(Z840&lt;&gt;"",Z840-TODAY(),"")</f>
        <v/>
      </c>
      <c r="AB840">
        <f>IF(AA840&lt;&gt;"",IF(AA840&lt;0,"Overdue",IF(AA840&lt;=Y840*0.2,"At Risk","On Time")),"")</f>
        <v/>
      </c>
    </row>
    <row r="841">
      <c r="K841">
        <f>IF(J841="v4.0",L841,IF(J841="v3.1",M841,IF(J841="Both",L841,IF(AND(L841&lt;&gt;"",M841=""),L841,M841))))</f>
        <v/>
      </c>
      <c r="Y841">
        <f>IF(T841="P0",1,IF(T841="P1",3,IF(T841="P2",7,IF(T841="P3",30,IF(T841="P4",30,7)))))</f>
        <v/>
      </c>
      <c r="Z841">
        <f>IF(U841&lt;&gt;"",U841+Y841,"")</f>
        <v/>
      </c>
      <c r="AA841">
        <f>IF(Z841&lt;&gt;"",Z841-TODAY(),"")</f>
        <v/>
      </c>
      <c r="AB841">
        <f>IF(AA841&lt;&gt;"",IF(AA841&lt;0,"Overdue",IF(AA841&lt;=Y841*0.2,"At Risk","On Time")),"")</f>
        <v/>
      </c>
    </row>
    <row r="842">
      <c r="K842">
        <f>IF(J842="v4.0",L842,IF(J842="v3.1",M842,IF(J842="Both",L842,IF(AND(L842&lt;&gt;"",M842=""),L842,M842))))</f>
        <v/>
      </c>
      <c r="Y842">
        <f>IF(T842="P0",1,IF(T842="P1",3,IF(T842="P2",7,IF(T842="P3",30,IF(T842="P4",30,7)))))</f>
        <v/>
      </c>
      <c r="Z842">
        <f>IF(U842&lt;&gt;"",U842+Y842,"")</f>
        <v/>
      </c>
      <c r="AA842">
        <f>IF(Z842&lt;&gt;"",Z842-TODAY(),"")</f>
        <v/>
      </c>
      <c r="AB842">
        <f>IF(AA842&lt;&gt;"",IF(AA842&lt;0,"Overdue",IF(AA842&lt;=Y842*0.2,"At Risk","On Time")),"")</f>
        <v/>
      </c>
    </row>
    <row r="843">
      <c r="K843">
        <f>IF(J843="v4.0",L843,IF(J843="v3.1",M843,IF(J843="Both",L843,IF(AND(L843&lt;&gt;"",M843=""),L843,M843))))</f>
        <v/>
      </c>
      <c r="Y843">
        <f>IF(T843="P0",1,IF(T843="P1",3,IF(T843="P2",7,IF(T843="P3",30,IF(T843="P4",30,7)))))</f>
        <v/>
      </c>
      <c r="Z843">
        <f>IF(U843&lt;&gt;"",U843+Y843,"")</f>
        <v/>
      </c>
      <c r="AA843">
        <f>IF(Z843&lt;&gt;"",Z843-TODAY(),"")</f>
        <v/>
      </c>
      <c r="AB843">
        <f>IF(AA843&lt;&gt;"",IF(AA843&lt;0,"Overdue",IF(AA843&lt;=Y843*0.2,"At Risk","On Time")),"")</f>
        <v/>
      </c>
    </row>
    <row r="844">
      <c r="K844">
        <f>IF(J844="v4.0",L844,IF(J844="v3.1",M844,IF(J844="Both",L844,IF(AND(L844&lt;&gt;"",M844=""),L844,M844))))</f>
        <v/>
      </c>
      <c r="Y844">
        <f>IF(T844="P0",1,IF(T844="P1",3,IF(T844="P2",7,IF(T844="P3",30,IF(T844="P4",30,7)))))</f>
        <v/>
      </c>
      <c r="Z844">
        <f>IF(U844&lt;&gt;"",U844+Y844,"")</f>
        <v/>
      </c>
      <c r="AA844">
        <f>IF(Z844&lt;&gt;"",Z844-TODAY(),"")</f>
        <v/>
      </c>
      <c r="AB844">
        <f>IF(AA844&lt;&gt;"",IF(AA844&lt;0,"Overdue",IF(AA844&lt;=Y844*0.2,"At Risk","On Time")),"")</f>
        <v/>
      </c>
    </row>
    <row r="845">
      <c r="K845">
        <f>IF(J845="v4.0",L845,IF(J845="v3.1",M845,IF(J845="Both",L845,IF(AND(L845&lt;&gt;"",M845=""),L845,M845))))</f>
        <v/>
      </c>
      <c r="Y845">
        <f>IF(T845="P0",1,IF(T845="P1",3,IF(T845="P2",7,IF(T845="P3",30,IF(T845="P4",30,7)))))</f>
        <v/>
      </c>
      <c r="Z845">
        <f>IF(U845&lt;&gt;"",U845+Y845,"")</f>
        <v/>
      </c>
      <c r="AA845">
        <f>IF(Z845&lt;&gt;"",Z845-TODAY(),"")</f>
        <v/>
      </c>
      <c r="AB845">
        <f>IF(AA845&lt;&gt;"",IF(AA845&lt;0,"Overdue",IF(AA845&lt;=Y845*0.2,"At Risk","On Time")),"")</f>
        <v/>
      </c>
    </row>
    <row r="846">
      <c r="K846">
        <f>IF(J846="v4.0",L846,IF(J846="v3.1",M846,IF(J846="Both",L846,IF(AND(L846&lt;&gt;"",M846=""),L846,M846))))</f>
        <v/>
      </c>
      <c r="Y846">
        <f>IF(T846="P0",1,IF(T846="P1",3,IF(T846="P2",7,IF(T846="P3",30,IF(T846="P4",30,7)))))</f>
        <v/>
      </c>
      <c r="Z846">
        <f>IF(U846&lt;&gt;"",U846+Y846,"")</f>
        <v/>
      </c>
      <c r="AA846">
        <f>IF(Z846&lt;&gt;"",Z846-TODAY(),"")</f>
        <v/>
      </c>
      <c r="AB846">
        <f>IF(AA846&lt;&gt;"",IF(AA846&lt;0,"Overdue",IF(AA846&lt;=Y846*0.2,"At Risk","On Time")),"")</f>
        <v/>
      </c>
    </row>
    <row r="847">
      <c r="K847">
        <f>IF(J847="v4.0",L847,IF(J847="v3.1",M847,IF(J847="Both",L847,IF(AND(L847&lt;&gt;"",M847=""),L847,M847))))</f>
        <v/>
      </c>
      <c r="Y847">
        <f>IF(T847="P0",1,IF(T847="P1",3,IF(T847="P2",7,IF(T847="P3",30,IF(T847="P4",30,7)))))</f>
        <v/>
      </c>
      <c r="Z847">
        <f>IF(U847&lt;&gt;"",U847+Y847,"")</f>
        <v/>
      </c>
      <c r="AA847">
        <f>IF(Z847&lt;&gt;"",Z847-TODAY(),"")</f>
        <v/>
      </c>
      <c r="AB847">
        <f>IF(AA847&lt;&gt;"",IF(AA847&lt;0,"Overdue",IF(AA847&lt;=Y847*0.2,"At Risk","On Time")),"")</f>
        <v/>
      </c>
    </row>
    <row r="848">
      <c r="K848">
        <f>IF(J848="v4.0",L848,IF(J848="v3.1",M848,IF(J848="Both",L848,IF(AND(L848&lt;&gt;"",M848=""),L848,M848))))</f>
        <v/>
      </c>
      <c r="Y848">
        <f>IF(T848="P0",1,IF(T848="P1",3,IF(T848="P2",7,IF(T848="P3",30,IF(T848="P4",30,7)))))</f>
        <v/>
      </c>
      <c r="Z848">
        <f>IF(U848&lt;&gt;"",U848+Y848,"")</f>
        <v/>
      </c>
      <c r="AA848">
        <f>IF(Z848&lt;&gt;"",Z848-TODAY(),"")</f>
        <v/>
      </c>
      <c r="AB848">
        <f>IF(AA848&lt;&gt;"",IF(AA848&lt;0,"Overdue",IF(AA848&lt;=Y848*0.2,"At Risk","On Time")),"")</f>
        <v/>
      </c>
    </row>
    <row r="849">
      <c r="K849">
        <f>IF(J849="v4.0",L849,IF(J849="v3.1",M849,IF(J849="Both",L849,IF(AND(L849&lt;&gt;"",M849=""),L849,M849))))</f>
        <v/>
      </c>
      <c r="Y849">
        <f>IF(T849="P0",1,IF(T849="P1",3,IF(T849="P2",7,IF(T849="P3",30,IF(T849="P4",30,7)))))</f>
        <v/>
      </c>
      <c r="Z849">
        <f>IF(U849&lt;&gt;"",U849+Y849,"")</f>
        <v/>
      </c>
      <c r="AA849">
        <f>IF(Z849&lt;&gt;"",Z849-TODAY(),"")</f>
        <v/>
      </c>
      <c r="AB849">
        <f>IF(AA849&lt;&gt;"",IF(AA849&lt;0,"Overdue",IF(AA849&lt;=Y849*0.2,"At Risk","On Time")),"")</f>
        <v/>
      </c>
    </row>
    <row r="850">
      <c r="K850">
        <f>IF(J850="v4.0",L850,IF(J850="v3.1",M850,IF(J850="Both",L850,IF(AND(L850&lt;&gt;"",M850=""),L850,M850))))</f>
        <v/>
      </c>
      <c r="Y850">
        <f>IF(T850="P0",1,IF(T850="P1",3,IF(T850="P2",7,IF(T850="P3",30,IF(T850="P4",30,7)))))</f>
        <v/>
      </c>
      <c r="Z850">
        <f>IF(U850&lt;&gt;"",U850+Y850,"")</f>
        <v/>
      </c>
      <c r="AA850">
        <f>IF(Z850&lt;&gt;"",Z850-TODAY(),"")</f>
        <v/>
      </c>
      <c r="AB850">
        <f>IF(AA850&lt;&gt;"",IF(AA850&lt;0,"Overdue",IF(AA850&lt;=Y850*0.2,"At Risk","On Time")),"")</f>
        <v/>
      </c>
    </row>
    <row r="851">
      <c r="K851">
        <f>IF(J851="v4.0",L851,IF(J851="v3.1",M851,IF(J851="Both",L851,IF(AND(L851&lt;&gt;"",M851=""),L851,M851))))</f>
        <v/>
      </c>
      <c r="Y851">
        <f>IF(T851="P0",1,IF(T851="P1",3,IF(T851="P2",7,IF(T851="P3",30,IF(T851="P4",30,7)))))</f>
        <v/>
      </c>
      <c r="Z851">
        <f>IF(U851&lt;&gt;"",U851+Y851,"")</f>
        <v/>
      </c>
      <c r="AA851">
        <f>IF(Z851&lt;&gt;"",Z851-TODAY(),"")</f>
        <v/>
      </c>
      <c r="AB851">
        <f>IF(AA851&lt;&gt;"",IF(AA851&lt;0,"Overdue",IF(AA851&lt;=Y851*0.2,"At Risk","On Time")),"")</f>
        <v/>
      </c>
    </row>
    <row r="852">
      <c r="K852">
        <f>IF(J852="v4.0",L852,IF(J852="v3.1",M852,IF(J852="Both",L852,IF(AND(L852&lt;&gt;"",M852=""),L852,M852))))</f>
        <v/>
      </c>
      <c r="Y852">
        <f>IF(T852="P0",1,IF(T852="P1",3,IF(T852="P2",7,IF(T852="P3",30,IF(T852="P4",30,7)))))</f>
        <v/>
      </c>
      <c r="Z852">
        <f>IF(U852&lt;&gt;"",U852+Y852,"")</f>
        <v/>
      </c>
      <c r="AA852">
        <f>IF(Z852&lt;&gt;"",Z852-TODAY(),"")</f>
        <v/>
      </c>
      <c r="AB852">
        <f>IF(AA852&lt;&gt;"",IF(AA852&lt;0,"Overdue",IF(AA852&lt;=Y852*0.2,"At Risk","On Time")),"")</f>
        <v/>
      </c>
    </row>
    <row r="853">
      <c r="K853">
        <f>IF(J853="v4.0",L853,IF(J853="v3.1",M853,IF(J853="Both",L853,IF(AND(L853&lt;&gt;"",M853=""),L853,M853))))</f>
        <v/>
      </c>
      <c r="Y853">
        <f>IF(T853="P0",1,IF(T853="P1",3,IF(T853="P2",7,IF(T853="P3",30,IF(T853="P4",30,7)))))</f>
        <v/>
      </c>
      <c r="Z853">
        <f>IF(U853&lt;&gt;"",U853+Y853,"")</f>
        <v/>
      </c>
      <c r="AA853">
        <f>IF(Z853&lt;&gt;"",Z853-TODAY(),"")</f>
        <v/>
      </c>
      <c r="AB853">
        <f>IF(AA853&lt;&gt;"",IF(AA853&lt;0,"Overdue",IF(AA853&lt;=Y853*0.2,"At Risk","On Time")),"")</f>
        <v/>
      </c>
    </row>
    <row r="854">
      <c r="K854">
        <f>IF(J854="v4.0",L854,IF(J854="v3.1",M854,IF(J854="Both",L854,IF(AND(L854&lt;&gt;"",M854=""),L854,M854))))</f>
        <v/>
      </c>
      <c r="Y854">
        <f>IF(T854="P0",1,IF(T854="P1",3,IF(T854="P2",7,IF(T854="P3",30,IF(T854="P4",30,7)))))</f>
        <v/>
      </c>
      <c r="Z854">
        <f>IF(U854&lt;&gt;"",U854+Y854,"")</f>
        <v/>
      </c>
      <c r="AA854">
        <f>IF(Z854&lt;&gt;"",Z854-TODAY(),"")</f>
        <v/>
      </c>
      <c r="AB854">
        <f>IF(AA854&lt;&gt;"",IF(AA854&lt;0,"Overdue",IF(AA854&lt;=Y854*0.2,"At Risk","On Time")),"")</f>
        <v/>
      </c>
    </row>
    <row r="855">
      <c r="K855">
        <f>IF(J855="v4.0",L855,IF(J855="v3.1",M855,IF(J855="Both",L855,IF(AND(L855&lt;&gt;"",M855=""),L855,M855))))</f>
        <v/>
      </c>
      <c r="Y855">
        <f>IF(T855="P0",1,IF(T855="P1",3,IF(T855="P2",7,IF(T855="P3",30,IF(T855="P4",30,7)))))</f>
        <v/>
      </c>
      <c r="Z855">
        <f>IF(U855&lt;&gt;"",U855+Y855,"")</f>
        <v/>
      </c>
      <c r="AA855">
        <f>IF(Z855&lt;&gt;"",Z855-TODAY(),"")</f>
        <v/>
      </c>
      <c r="AB855">
        <f>IF(AA855&lt;&gt;"",IF(AA855&lt;0,"Overdue",IF(AA855&lt;=Y855*0.2,"At Risk","On Time")),"")</f>
        <v/>
      </c>
    </row>
    <row r="856">
      <c r="K856">
        <f>IF(J856="v4.0",L856,IF(J856="v3.1",M856,IF(J856="Both",L856,IF(AND(L856&lt;&gt;"",M856=""),L856,M856))))</f>
        <v/>
      </c>
      <c r="Y856">
        <f>IF(T856="P0",1,IF(T856="P1",3,IF(T856="P2",7,IF(T856="P3",30,IF(T856="P4",30,7)))))</f>
        <v/>
      </c>
      <c r="Z856">
        <f>IF(U856&lt;&gt;"",U856+Y856,"")</f>
        <v/>
      </c>
      <c r="AA856">
        <f>IF(Z856&lt;&gt;"",Z856-TODAY(),"")</f>
        <v/>
      </c>
      <c r="AB856">
        <f>IF(AA856&lt;&gt;"",IF(AA856&lt;0,"Overdue",IF(AA856&lt;=Y856*0.2,"At Risk","On Time")),"")</f>
        <v/>
      </c>
    </row>
    <row r="857">
      <c r="K857">
        <f>IF(J857="v4.0",L857,IF(J857="v3.1",M857,IF(J857="Both",L857,IF(AND(L857&lt;&gt;"",M857=""),L857,M857))))</f>
        <v/>
      </c>
      <c r="Y857">
        <f>IF(T857="P0",1,IF(T857="P1",3,IF(T857="P2",7,IF(T857="P3",30,IF(T857="P4",30,7)))))</f>
        <v/>
      </c>
      <c r="Z857">
        <f>IF(U857&lt;&gt;"",U857+Y857,"")</f>
        <v/>
      </c>
      <c r="AA857">
        <f>IF(Z857&lt;&gt;"",Z857-TODAY(),"")</f>
        <v/>
      </c>
      <c r="AB857">
        <f>IF(AA857&lt;&gt;"",IF(AA857&lt;0,"Overdue",IF(AA857&lt;=Y857*0.2,"At Risk","On Time")),"")</f>
        <v/>
      </c>
    </row>
    <row r="858">
      <c r="K858">
        <f>IF(J858="v4.0",L858,IF(J858="v3.1",M858,IF(J858="Both",L858,IF(AND(L858&lt;&gt;"",M858=""),L858,M858))))</f>
        <v/>
      </c>
      <c r="Y858">
        <f>IF(T858="P0",1,IF(T858="P1",3,IF(T858="P2",7,IF(T858="P3",30,IF(T858="P4",30,7)))))</f>
        <v/>
      </c>
      <c r="Z858">
        <f>IF(U858&lt;&gt;"",U858+Y858,"")</f>
        <v/>
      </c>
      <c r="AA858">
        <f>IF(Z858&lt;&gt;"",Z858-TODAY(),"")</f>
        <v/>
      </c>
      <c r="AB858">
        <f>IF(AA858&lt;&gt;"",IF(AA858&lt;0,"Overdue",IF(AA858&lt;=Y858*0.2,"At Risk","On Time")),"")</f>
        <v/>
      </c>
    </row>
    <row r="859">
      <c r="K859">
        <f>IF(J859="v4.0",L859,IF(J859="v3.1",M859,IF(J859="Both",L859,IF(AND(L859&lt;&gt;"",M859=""),L859,M859))))</f>
        <v/>
      </c>
      <c r="Y859">
        <f>IF(T859="P0",1,IF(T859="P1",3,IF(T859="P2",7,IF(T859="P3",30,IF(T859="P4",30,7)))))</f>
        <v/>
      </c>
      <c r="Z859">
        <f>IF(U859&lt;&gt;"",U859+Y859,"")</f>
        <v/>
      </c>
      <c r="AA859">
        <f>IF(Z859&lt;&gt;"",Z859-TODAY(),"")</f>
        <v/>
      </c>
      <c r="AB859">
        <f>IF(AA859&lt;&gt;"",IF(AA859&lt;0,"Overdue",IF(AA859&lt;=Y859*0.2,"At Risk","On Time")),"")</f>
        <v/>
      </c>
    </row>
    <row r="860">
      <c r="K860">
        <f>IF(J860="v4.0",L860,IF(J860="v3.1",M860,IF(J860="Both",L860,IF(AND(L860&lt;&gt;"",M860=""),L860,M860))))</f>
        <v/>
      </c>
      <c r="Y860">
        <f>IF(T860="P0",1,IF(T860="P1",3,IF(T860="P2",7,IF(T860="P3",30,IF(T860="P4",30,7)))))</f>
        <v/>
      </c>
      <c r="Z860">
        <f>IF(U860&lt;&gt;"",U860+Y860,"")</f>
        <v/>
      </c>
      <c r="AA860">
        <f>IF(Z860&lt;&gt;"",Z860-TODAY(),"")</f>
        <v/>
      </c>
      <c r="AB860">
        <f>IF(AA860&lt;&gt;"",IF(AA860&lt;0,"Overdue",IF(AA860&lt;=Y860*0.2,"At Risk","On Time")),"")</f>
        <v/>
      </c>
    </row>
    <row r="861">
      <c r="K861">
        <f>IF(J861="v4.0",L861,IF(J861="v3.1",M861,IF(J861="Both",L861,IF(AND(L861&lt;&gt;"",M861=""),L861,M861))))</f>
        <v/>
      </c>
      <c r="Y861">
        <f>IF(T861="P0",1,IF(T861="P1",3,IF(T861="P2",7,IF(T861="P3",30,IF(T861="P4",30,7)))))</f>
        <v/>
      </c>
      <c r="Z861">
        <f>IF(U861&lt;&gt;"",U861+Y861,"")</f>
        <v/>
      </c>
      <c r="AA861">
        <f>IF(Z861&lt;&gt;"",Z861-TODAY(),"")</f>
        <v/>
      </c>
      <c r="AB861">
        <f>IF(AA861&lt;&gt;"",IF(AA861&lt;0,"Overdue",IF(AA861&lt;=Y861*0.2,"At Risk","On Time")),"")</f>
        <v/>
      </c>
    </row>
    <row r="862">
      <c r="K862">
        <f>IF(J862="v4.0",L862,IF(J862="v3.1",M862,IF(J862="Both",L862,IF(AND(L862&lt;&gt;"",M862=""),L862,M862))))</f>
        <v/>
      </c>
      <c r="Y862">
        <f>IF(T862="P0",1,IF(T862="P1",3,IF(T862="P2",7,IF(T862="P3",30,IF(T862="P4",30,7)))))</f>
        <v/>
      </c>
      <c r="Z862">
        <f>IF(U862&lt;&gt;"",U862+Y862,"")</f>
        <v/>
      </c>
      <c r="AA862">
        <f>IF(Z862&lt;&gt;"",Z862-TODAY(),"")</f>
        <v/>
      </c>
      <c r="AB862">
        <f>IF(AA862&lt;&gt;"",IF(AA862&lt;0,"Overdue",IF(AA862&lt;=Y862*0.2,"At Risk","On Time")),"")</f>
        <v/>
      </c>
    </row>
    <row r="863">
      <c r="K863">
        <f>IF(J863="v4.0",L863,IF(J863="v3.1",M863,IF(J863="Both",L863,IF(AND(L863&lt;&gt;"",M863=""),L863,M863))))</f>
        <v/>
      </c>
      <c r="Y863">
        <f>IF(T863="P0",1,IF(T863="P1",3,IF(T863="P2",7,IF(T863="P3",30,IF(T863="P4",30,7)))))</f>
        <v/>
      </c>
      <c r="Z863">
        <f>IF(U863&lt;&gt;"",U863+Y863,"")</f>
        <v/>
      </c>
      <c r="AA863">
        <f>IF(Z863&lt;&gt;"",Z863-TODAY(),"")</f>
        <v/>
      </c>
      <c r="AB863">
        <f>IF(AA863&lt;&gt;"",IF(AA863&lt;0,"Overdue",IF(AA863&lt;=Y863*0.2,"At Risk","On Time")),"")</f>
        <v/>
      </c>
    </row>
    <row r="864">
      <c r="K864">
        <f>IF(J864="v4.0",L864,IF(J864="v3.1",M864,IF(J864="Both",L864,IF(AND(L864&lt;&gt;"",M864=""),L864,M864))))</f>
        <v/>
      </c>
      <c r="Y864">
        <f>IF(T864="P0",1,IF(T864="P1",3,IF(T864="P2",7,IF(T864="P3",30,IF(T864="P4",30,7)))))</f>
        <v/>
      </c>
      <c r="Z864">
        <f>IF(U864&lt;&gt;"",U864+Y864,"")</f>
        <v/>
      </c>
      <c r="AA864">
        <f>IF(Z864&lt;&gt;"",Z864-TODAY(),"")</f>
        <v/>
      </c>
      <c r="AB864">
        <f>IF(AA864&lt;&gt;"",IF(AA864&lt;0,"Overdue",IF(AA864&lt;=Y864*0.2,"At Risk","On Time")),"")</f>
        <v/>
      </c>
    </row>
    <row r="865">
      <c r="K865">
        <f>IF(J865="v4.0",L865,IF(J865="v3.1",M865,IF(J865="Both",L865,IF(AND(L865&lt;&gt;"",M865=""),L865,M865))))</f>
        <v/>
      </c>
      <c r="Y865">
        <f>IF(T865="P0",1,IF(T865="P1",3,IF(T865="P2",7,IF(T865="P3",30,IF(T865="P4",30,7)))))</f>
        <v/>
      </c>
      <c r="Z865">
        <f>IF(U865&lt;&gt;"",U865+Y865,"")</f>
        <v/>
      </c>
      <c r="AA865">
        <f>IF(Z865&lt;&gt;"",Z865-TODAY(),"")</f>
        <v/>
      </c>
      <c r="AB865">
        <f>IF(AA865&lt;&gt;"",IF(AA865&lt;0,"Overdue",IF(AA865&lt;=Y865*0.2,"At Risk","On Time")),"")</f>
        <v/>
      </c>
    </row>
    <row r="866">
      <c r="K866">
        <f>IF(J866="v4.0",L866,IF(J866="v3.1",M866,IF(J866="Both",L866,IF(AND(L866&lt;&gt;"",M866=""),L866,M866))))</f>
        <v/>
      </c>
      <c r="Y866">
        <f>IF(T866="P0",1,IF(T866="P1",3,IF(T866="P2",7,IF(T866="P3",30,IF(T866="P4",30,7)))))</f>
        <v/>
      </c>
      <c r="Z866">
        <f>IF(U866&lt;&gt;"",U866+Y866,"")</f>
        <v/>
      </c>
      <c r="AA866">
        <f>IF(Z866&lt;&gt;"",Z866-TODAY(),"")</f>
        <v/>
      </c>
      <c r="AB866">
        <f>IF(AA866&lt;&gt;"",IF(AA866&lt;0,"Overdue",IF(AA866&lt;=Y866*0.2,"At Risk","On Time")),"")</f>
        <v/>
      </c>
    </row>
    <row r="867">
      <c r="K867">
        <f>IF(J867="v4.0",L867,IF(J867="v3.1",M867,IF(J867="Both",L867,IF(AND(L867&lt;&gt;"",M867=""),L867,M867))))</f>
        <v/>
      </c>
      <c r="Y867">
        <f>IF(T867="P0",1,IF(T867="P1",3,IF(T867="P2",7,IF(T867="P3",30,IF(T867="P4",30,7)))))</f>
        <v/>
      </c>
      <c r="Z867">
        <f>IF(U867&lt;&gt;"",U867+Y867,"")</f>
        <v/>
      </c>
      <c r="AA867">
        <f>IF(Z867&lt;&gt;"",Z867-TODAY(),"")</f>
        <v/>
      </c>
      <c r="AB867">
        <f>IF(AA867&lt;&gt;"",IF(AA867&lt;0,"Overdue",IF(AA867&lt;=Y867*0.2,"At Risk","On Time")),"")</f>
        <v/>
      </c>
    </row>
    <row r="868">
      <c r="K868">
        <f>IF(J868="v4.0",L868,IF(J868="v3.1",M868,IF(J868="Both",L868,IF(AND(L868&lt;&gt;"",M868=""),L868,M868))))</f>
        <v/>
      </c>
      <c r="Y868">
        <f>IF(T868="P0",1,IF(T868="P1",3,IF(T868="P2",7,IF(T868="P3",30,IF(T868="P4",30,7)))))</f>
        <v/>
      </c>
      <c r="Z868">
        <f>IF(U868&lt;&gt;"",U868+Y868,"")</f>
        <v/>
      </c>
      <c r="AA868">
        <f>IF(Z868&lt;&gt;"",Z868-TODAY(),"")</f>
        <v/>
      </c>
      <c r="AB868">
        <f>IF(AA868&lt;&gt;"",IF(AA868&lt;0,"Overdue",IF(AA868&lt;=Y868*0.2,"At Risk","On Time")),"")</f>
        <v/>
      </c>
    </row>
    <row r="869">
      <c r="K869">
        <f>IF(J869="v4.0",L869,IF(J869="v3.1",M869,IF(J869="Both",L869,IF(AND(L869&lt;&gt;"",M869=""),L869,M869))))</f>
        <v/>
      </c>
      <c r="Y869">
        <f>IF(T869="P0",1,IF(T869="P1",3,IF(T869="P2",7,IF(T869="P3",30,IF(T869="P4",30,7)))))</f>
        <v/>
      </c>
      <c r="Z869">
        <f>IF(U869&lt;&gt;"",U869+Y869,"")</f>
        <v/>
      </c>
      <c r="AA869">
        <f>IF(Z869&lt;&gt;"",Z869-TODAY(),"")</f>
        <v/>
      </c>
      <c r="AB869">
        <f>IF(AA869&lt;&gt;"",IF(AA869&lt;0,"Overdue",IF(AA869&lt;=Y869*0.2,"At Risk","On Time")),"")</f>
        <v/>
      </c>
    </row>
    <row r="870">
      <c r="K870">
        <f>IF(J870="v4.0",L870,IF(J870="v3.1",M870,IF(J870="Both",L870,IF(AND(L870&lt;&gt;"",M870=""),L870,M870))))</f>
        <v/>
      </c>
      <c r="Y870">
        <f>IF(T870="P0",1,IF(T870="P1",3,IF(T870="P2",7,IF(T870="P3",30,IF(T870="P4",30,7)))))</f>
        <v/>
      </c>
      <c r="Z870">
        <f>IF(U870&lt;&gt;"",U870+Y870,"")</f>
        <v/>
      </c>
      <c r="AA870">
        <f>IF(Z870&lt;&gt;"",Z870-TODAY(),"")</f>
        <v/>
      </c>
      <c r="AB870">
        <f>IF(AA870&lt;&gt;"",IF(AA870&lt;0,"Overdue",IF(AA870&lt;=Y870*0.2,"At Risk","On Time")),"")</f>
        <v/>
      </c>
    </row>
    <row r="871">
      <c r="K871">
        <f>IF(J871="v4.0",L871,IF(J871="v3.1",M871,IF(J871="Both",L871,IF(AND(L871&lt;&gt;"",M871=""),L871,M871))))</f>
        <v/>
      </c>
      <c r="Y871">
        <f>IF(T871="P0",1,IF(T871="P1",3,IF(T871="P2",7,IF(T871="P3",30,IF(T871="P4",30,7)))))</f>
        <v/>
      </c>
      <c r="Z871">
        <f>IF(U871&lt;&gt;"",U871+Y871,"")</f>
        <v/>
      </c>
      <c r="AA871">
        <f>IF(Z871&lt;&gt;"",Z871-TODAY(),"")</f>
        <v/>
      </c>
      <c r="AB871">
        <f>IF(AA871&lt;&gt;"",IF(AA871&lt;0,"Overdue",IF(AA871&lt;=Y871*0.2,"At Risk","On Time")),"")</f>
        <v/>
      </c>
    </row>
    <row r="872">
      <c r="K872">
        <f>IF(J872="v4.0",L872,IF(J872="v3.1",M872,IF(J872="Both",L872,IF(AND(L872&lt;&gt;"",M872=""),L872,M872))))</f>
        <v/>
      </c>
      <c r="Y872">
        <f>IF(T872="P0",1,IF(T872="P1",3,IF(T872="P2",7,IF(T872="P3",30,IF(T872="P4",30,7)))))</f>
        <v/>
      </c>
      <c r="Z872">
        <f>IF(U872&lt;&gt;"",U872+Y872,"")</f>
        <v/>
      </c>
      <c r="AA872">
        <f>IF(Z872&lt;&gt;"",Z872-TODAY(),"")</f>
        <v/>
      </c>
      <c r="AB872">
        <f>IF(AA872&lt;&gt;"",IF(AA872&lt;0,"Overdue",IF(AA872&lt;=Y872*0.2,"At Risk","On Time")),"")</f>
        <v/>
      </c>
    </row>
    <row r="873">
      <c r="K873">
        <f>IF(J873="v4.0",L873,IF(J873="v3.1",M873,IF(J873="Both",L873,IF(AND(L873&lt;&gt;"",M873=""),L873,M873))))</f>
        <v/>
      </c>
      <c r="Y873">
        <f>IF(T873="P0",1,IF(T873="P1",3,IF(T873="P2",7,IF(T873="P3",30,IF(T873="P4",30,7)))))</f>
        <v/>
      </c>
      <c r="Z873">
        <f>IF(U873&lt;&gt;"",U873+Y873,"")</f>
        <v/>
      </c>
      <c r="AA873">
        <f>IF(Z873&lt;&gt;"",Z873-TODAY(),"")</f>
        <v/>
      </c>
      <c r="AB873">
        <f>IF(AA873&lt;&gt;"",IF(AA873&lt;0,"Overdue",IF(AA873&lt;=Y873*0.2,"At Risk","On Time")),"")</f>
        <v/>
      </c>
    </row>
    <row r="874">
      <c r="K874">
        <f>IF(J874="v4.0",L874,IF(J874="v3.1",M874,IF(J874="Both",L874,IF(AND(L874&lt;&gt;"",M874=""),L874,M874))))</f>
        <v/>
      </c>
      <c r="Y874">
        <f>IF(T874="P0",1,IF(T874="P1",3,IF(T874="P2",7,IF(T874="P3",30,IF(T874="P4",30,7)))))</f>
        <v/>
      </c>
      <c r="Z874">
        <f>IF(U874&lt;&gt;"",U874+Y874,"")</f>
        <v/>
      </c>
      <c r="AA874">
        <f>IF(Z874&lt;&gt;"",Z874-TODAY(),"")</f>
        <v/>
      </c>
      <c r="AB874">
        <f>IF(AA874&lt;&gt;"",IF(AA874&lt;0,"Overdue",IF(AA874&lt;=Y874*0.2,"At Risk","On Time")),"")</f>
        <v/>
      </c>
    </row>
    <row r="875">
      <c r="K875">
        <f>IF(J875="v4.0",L875,IF(J875="v3.1",M875,IF(J875="Both",L875,IF(AND(L875&lt;&gt;"",M875=""),L875,M875))))</f>
        <v/>
      </c>
      <c r="Y875">
        <f>IF(T875="P0",1,IF(T875="P1",3,IF(T875="P2",7,IF(T875="P3",30,IF(T875="P4",30,7)))))</f>
        <v/>
      </c>
      <c r="Z875">
        <f>IF(U875&lt;&gt;"",U875+Y875,"")</f>
        <v/>
      </c>
      <c r="AA875">
        <f>IF(Z875&lt;&gt;"",Z875-TODAY(),"")</f>
        <v/>
      </c>
      <c r="AB875">
        <f>IF(AA875&lt;&gt;"",IF(AA875&lt;0,"Overdue",IF(AA875&lt;=Y875*0.2,"At Risk","On Time")),"")</f>
        <v/>
      </c>
    </row>
    <row r="876">
      <c r="K876">
        <f>IF(J876="v4.0",L876,IF(J876="v3.1",M876,IF(J876="Both",L876,IF(AND(L876&lt;&gt;"",M876=""),L876,M876))))</f>
        <v/>
      </c>
      <c r="Y876">
        <f>IF(T876="P0",1,IF(T876="P1",3,IF(T876="P2",7,IF(T876="P3",30,IF(T876="P4",30,7)))))</f>
        <v/>
      </c>
      <c r="Z876">
        <f>IF(U876&lt;&gt;"",U876+Y876,"")</f>
        <v/>
      </c>
      <c r="AA876">
        <f>IF(Z876&lt;&gt;"",Z876-TODAY(),"")</f>
        <v/>
      </c>
      <c r="AB876">
        <f>IF(AA876&lt;&gt;"",IF(AA876&lt;0,"Overdue",IF(AA876&lt;=Y876*0.2,"At Risk","On Time")),"")</f>
        <v/>
      </c>
    </row>
    <row r="877">
      <c r="K877">
        <f>IF(J877="v4.0",L877,IF(J877="v3.1",M877,IF(J877="Both",L877,IF(AND(L877&lt;&gt;"",M877=""),L877,M877))))</f>
        <v/>
      </c>
      <c r="Y877">
        <f>IF(T877="P0",1,IF(T877="P1",3,IF(T877="P2",7,IF(T877="P3",30,IF(T877="P4",30,7)))))</f>
        <v/>
      </c>
      <c r="Z877">
        <f>IF(U877&lt;&gt;"",U877+Y877,"")</f>
        <v/>
      </c>
      <c r="AA877">
        <f>IF(Z877&lt;&gt;"",Z877-TODAY(),"")</f>
        <v/>
      </c>
      <c r="AB877">
        <f>IF(AA877&lt;&gt;"",IF(AA877&lt;0,"Overdue",IF(AA877&lt;=Y877*0.2,"At Risk","On Time")),"")</f>
        <v/>
      </c>
    </row>
    <row r="878">
      <c r="K878">
        <f>IF(J878="v4.0",L878,IF(J878="v3.1",M878,IF(J878="Both",L878,IF(AND(L878&lt;&gt;"",M878=""),L878,M878))))</f>
        <v/>
      </c>
      <c r="Y878">
        <f>IF(T878="P0",1,IF(T878="P1",3,IF(T878="P2",7,IF(T878="P3",30,IF(T878="P4",30,7)))))</f>
        <v/>
      </c>
      <c r="Z878">
        <f>IF(U878&lt;&gt;"",U878+Y878,"")</f>
        <v/>
      </c>
      <c r="AA878">
        <f>IF(Z878&lt;&gt;"",Z878-TODAY(),"")</f>
        <v/>
      </c>
      <c r="AB878">
        <f>IF(AA878&lt;&gt;"",IF(AA878&lt;0,"Overdue",IF(AA878&lt;=Y878*0.2,"At Risk","On Time")),"")</f>
        <v/>
      </c>
    </row>
    <row r="879">
      <c r="K879">
        <f>IF(J879="v4.0",L879,IF(J879="v3.1",M879,IF(J879="Both",L879,IF(AND(L879&lt;&gt;"",M879=""),L879,M879))))</f>
        <v/>
      </c>
      <c r="Y879">
        <f>IF(T879="P0",1,IF(T879="P1",3,IF(T879="P2",7,IF(T879="P3",30,IF(T879="P4",30,7)))))</f>
        <v/>
      </c>
      <c r="Z879">
        <f>IF(U879&lt;&gt;"",U879+Y879,"")</f>
        <v/>
      </c>
      <c r="AA879">
        <f>IF(Z879&lt;&gt;"",Z879-TODAY(),"")</f>
        <v/>
      </c>
      <c r="AB879">
        <f>IF(AA879&lt;&gt;"",IF(AA879&lt;0,"Overdue",IF(AA879&lt;=Y879*0.2,"At Risk","On Time")),"")</f>
        <v/>
      </c>
    </row>
    <row r="880">
      <c r="K880">
        <f>IF(J880="v4.0",L880,IF(J880="v3.1",M880,IF(J880="Both",L880,IF(AND(L880&lt;&gt;"",M880=""),L880,M880))))</f>
        <v/>
      </c>
      <c r="Y880">
        <f>IF(T880="P0",1,IF(T880="P1",3,IF(T880="P2",7,IF(T880="P3",30,IF(T880="P4",30,7)))))</f>
        <v/>
      </c>
      <c r="Z880">
        <f>IF(U880&lt;&gt;"",U880+Y880,"")</f>
        <v/>
      </c>
      <c r="AA880">
        <f>IF(Z880&lt;&gt;"",Z880-TODAY(),"")</f>
        <v/>
      </c>
      <c r="AB880">
        <f>IF(AA880&lt;&gt;"",IF(AA880&lt;0,"Overdue",IF(AA880&lt;=Y880*0.2,"At Risk","On Time")),"")</f>
        <v/>
      </c>
    </row>
    <row r="881">
      <c r="K881">
        <f>IF(J881="v4.0",L881,IF(J881="v3.1",M881,IF(J881="Both",L881,IF(AND(L881&lt;&gt;"",M881=""),L881,M881))))</f>
        <v/>
      </c>
      <c r="Y881">
        <f>IF(T881="P0",1,IF(T881="P1",3,IF(T881="P2",7,IF(T881="P3",30,IF(T881="P4",30,7)))))</f>
        <v/>
      </c>
      <c r="Z881">
        <f>IF(U881&lt;&gt;"",U881+Y881,"")</f>
        <v/>
      </c>
      <c r="AA881">
        <f>IF(Z881&lt;&gt;"",Z881-TODAY(),"")</f>
        <v/>
      </c>
      <c r="AB881">
        <f>IF(AA881&lt;&gt;"",IF(AA881&lt;0,"Overdue",IF(AA881&lt;=Y881*0.2,"At Risk","On Time")),"")</f>
        <v/>
      </c>
    </row>
    <row r="882">
      <c r="K882">
        <f>IF(J882="v4.0",L882,IF(J882="v3.1",M882,IF(J882="Both",L882,IF(AND(L882&lt;&gt;"",M882=""),L882,M882))))</f>
        <v/>
      </c>
      <c r="Y882">
        <f>IF(T882="P0",1,IF(T882="P1",3,IF(T882="P2",7,IF(T882="P3",30,IF(T882="P4",30,7)))))</f>
        <v/>
      </c>
      <c r="Z882">
        <f>IF(U882&lt;&gt;"",U882+Y882,"")</f>
        <v/>
      </c>
      <c r="AA882">
        <f>IF(Z882&lt;&gt;"",Z882-TODAY(),"")</f>
        <v/>
      </c>
      <c r="AB882">
        <f>IF(AA882&lt;&gt;"",IF(AA882&lt;0,"Overdue",IF(AA882&lt;=Y882*0.2,"At Risk","On Time")),"")</f>
        <v/>
      </c>
    </row>
    <row r="883">
      <c r="K883">
        <f>IF(J883="v4.0",L883,IF(J883="v3.1",M883,IF(J883="Both",L883,IF(AND(L883&lt;&gt;"",M883=""),L883,M883))))</f>
        <v/>
      </c>
      <c r="Y883">
        <f>IF(T883="P0",1,IF(T883="P1",3,IF(T883="P2",7,IF(T883="P3",30,IF(T883="P4",30,7)))))</f>
        <v/>
      </c>
      <c r="Z883">
        <f>IF(U883&lt;&gt;"",U883+Y883,"")</f>
        <v/>
      </c>
      <c r="AA883">
        <f>IF(Z883&lt;&gt;"",Z883-TODAY(),"")</f>
        <v/>
      </c>
      <c r="AB883">
        <f>IF(AA883&lt;&gt;"",IF(AA883&lt;0,"Overdue",IF(AA883&lt;=Y883*0.2,"At Risk","On Time")),"")</f>
        <v/>
      </c>
    </row>
    <row r="884">
      <c r="K884">
        <f>IF(J884="v4.0",L884,IF(J884="v3.1",M884,IF(J884="Both",L884,IF(AND(L884&lt;&gt;"",M884=""),L884,M884))))</f>
        <v/>
      </c>
      <c r="Y884">
        <f>IF(T884="P0",1,IF(T884="P1",3,IF(T884="P2",7,IF(T884="P3",30,IF(T884="P4",30,7)))))</f>
        <v/>
      </c>
      <c r="Z884">
        <f>IF(U884&lt;&gt;"",U884+Y884,"")</f>
        <v/>
      </c>
      <c r="AA884">
        <f>IF(Z884&lt;&gt;"",Z884-TODAY(),"")</f>
        <v/>
      </c>
      <c r="AB884">
        <f>IF(AA884&lt;&gt;"",IF(AA884&lt;0,"Overdue",IF(AA884&lt;=Y884*0.2,"At Risk","On Time")),"")</f>
        <v/>
      </c>
    </row>
    <row r="885">
      <c r="K885">
        <f>IF(J885="v4.0",L885,IF(J885="v3.1",M885,IF(J885="Both",L885,IF(AND(L885&lt;&gt;"",M885=""),L885,M885))))</f>
        <v/>
      </c>
      <c r="Y885">
        <f>IF(T885="P0",1,IF(T885="P1",3,IF(T885="P2",7,IF(T885="P3",30,IF(T885="P4",30,7)))))</f>
        <v/>
      </c>
      <c r="Z885">
        <f>IF(U885&lt;&gt;"",U885+Y885,"")</f>
        <v/>
      </c>
      <c r="AA885">
        <f>IF(Z885&lt;&gt;"",Z885-TODAY(),"")</f>
        <v/>
      </c>
      <c r="AB885">
        <f>IF(AA885&lt;&gt;"",IF(AA885&lt;0,"Overdue",IF(AA885&lt;=Y885*0.2,"At Risk","On Time")),"")</f>
        <v/>
      </c>
    </row>
    <row r="886">
      <c r="K886">
        <f>IF(J886="v4.0",L886,IF(J886="v3.1",M886,IF(J886="Both",L886,IF(AND(L886&lt;&gt;"",M886=""),L886,M886))))</f>
        <v/>
      </c>
      <c r="Y886">
        <f>IF(T886="P0",1,IF(T886="P1",3,IF(T886="P2",7,IF(T886="P3",30,IF(T886="P4",30,7)))))</f>
        <v/>
      </c>
      <c r="Z886">
        <f>IF(U886&lt;&gt;"",U886+Y886,"")</f>
        <v/>
      </c>
      <c r="AA886">
        <f>IF(Z886&lt;&gt;"",Z886-TODAY(),"")</f>
        <v/>
      </c>
      <c r="AB886">
        <f>IF(AA886&lt;&gt;"",IF(AA886&lt;0,"Overdue",IF(AA886&lt;=Y886*0.2,"At Risk","On Time")),"")</f>
        <v/>
      </c>
    </row>
    <row r="887">
      <c r="K887">
        <f>IF(J887="v4.0",L887,IF(J887="v3.1",M887,IF(J887="Both",L887,IF(AND(L887&lt;&gt;"",M887=""),L887,M887))))</f>
        <v/>
      </c>
      <c r="Y887">
        <f>IF(T887="P0",1,IF(T887="P1",3,IF(T887="P2",7,IF(T887="P3",30,IF(T887="P4",30,7)))))</f>
        <v/>
      </c>
      <c r="Z887">
        <f>IF(U887&lt;&gt;"",U887+Y887,"")</f>
        <v/>
      </c>
      <c r="AA887">
        <f>IF(Z887&lt;&gt;"",Z887-TODAY(),"")</f>
        <v/>
      </c>
      <c r="AB887">
        <f>IF(AA887&lt;&gt;"",IF(AA887&lt;0,"Overdue",IF(AA887&lt;=Y887*0.2,"At Risk","On Time")),"")</f>
        <v/>
      </c>
    </row>
    <row r="888">
      <c r="K888">
        <f>IF(J888="v4.0",L888,IF(J888="v3.1",M888,IF(J888="Both",L888,IF(AND(L888&lt;&gt;"",M888=""),L888,M888))))</f>
        <v/>
      </c>
      <c r="Y888">
        <f>IF(T888="P0",1,IF(T888="P1",3,IF(T888="P2",7,IF(T888="P3",30,IF(T888="P4",30,7)))))</f>
        <v/>
      </c>
      <c r="Z888">
        <f>IF(U888&lt;&gt;"",U888+Y888,"")</f>
        <v/>
      </c>
      <c r="AA888">
        <f>IF(Z888&lt;&gt;"",Z888-TODAY(),"")</f>
        <v/>
      </c>
      <c r="AB888">
        <f>IF(AA888&lt;&gt;"",IF(AA888&lt;0,"Overdue",IF(AA888&lt;=Y888*0.2,"At Risk","On Time")),"")</f>
        <v/>
      </c>
    </row>
    <row r="889">
      <c r="K889">
        <f>IF(J889="v4.0",L889,IF(J889="v3.1",M889,IF(J889="Both",L889,IF(AND(L889&lt;&gt;"",M889=""),L889,M889))))</f>
        <v/>
      </c>
      <c r="Y889">
        <f>IF(T889="P0",1,IF(T889="P1",3,IF(T889="P2",7,IF(T889="P3",30,IF(T889="P4",30,7)))))</f>
        <v/>
      </c>
      <c r="Z889">
        <f>IF(U889&lt;&gt;"",U889+Y889,"")</f>
        <v/>
      </c>
      <c r="AA889">
        <f>IF(Z889&lt;&gt;"",Z889-TODAY(),"")</f>
        <v/>
      </c>
      <c r="AB889">
        <f>IF(AA889&lt;&gt;"",IF(AA889&lt;0,"Overdue",IF(AA889&lt;=Y889*0.2,"At Risk","On Time")),"")</f>
        <v/>
      </c>
    </row>
    <row r="890">
      <c r="K890">
        <f>IF(J890="v4.0",L890,IF(J890="v3.1",M890,IF(J890="Both",L890,IF(AND(L890&lt;&gt;"",M890=""),L890,M890))))</f>
        <v/>
      </c>
      <c r="Y890">
        <f>IF(T890="P0",1,IF(T890="P1",3,IF(T890="P2",7,IF(T890="P3",30,IF(T890="P4",30,7)))))</f>
        <v/>
      </c>
      <c r="Z890">
        <f>IF(U890&lt;&gt;"",U890+Y890,"")</f>
        <v/>
      </c>
      <c r="AA890">
        <f>IF(Z890&lt;&gt;"",Z890-TODAY(),"")</f>
        <v/>
      </c>
      <c r="AB890">
        <f>IF(AA890&lt;&gt;"",IF(AA890&lt;0,"Overdue",IF(AA890&lt;=Y890*0.2,"At Risk","On Time")),"")</f>
        <v/>
      </c>
    </row>
    <row r="891">
      <c r="K891">
        <f>IF(J891="v4.0",L891,IF(J891="v3.1",M891,IF(J891="Both",L891,IF(AND(L891&lt;&gt;"",M891=""),L891,M891))))</f>
        <v/>
      </c>
      <c r="Y891">
        <f>IF(T891="P0",1,IF(T891="P1",3,IF(T891="P2",7,IF(T891="P3",30,IF(T891="P4",30,7)))))</f>
        <v/>
      </c>
      <c r="Z891">
        <f>IF(U891&lt;&gt;"",U891+Y891,"")</f>
        <v/>
      </c>
      <c r="AA891">
        <f>IF(Z891&lt;&gt;"",Z891-TODAY(),"")</f>
        <v/>
      </c>
      <c r="AB891">
        <f>IF(AA891&lt;&gt;"",IF(AA891&lt;0,"Overdue",IF(AA891&lt;=Y891*0.2,"At Risk","On Time")),"")</f>
        <v/>
      </c>
    </row>
    <row r="892">
      <c r="K892">
        <f>IF(J892="v4.0",L892,IF(J892="v3.1",M892,IF(J892="Both",L892,IF(AND(L892&lt;&gt;"",M892=""),L892,M892))))</f>
        <v/>
      </c>
      <c r="Y892">
        <f>IF(T892="P0",1,IF(T892="P1",3,IF(T892="P2",7,IF(T892="P3",30,IF(T892="P4",30,7)))))</f>
        <v/>
      </c>
      <c r="Z892">
        <f>IF(U892&lt;&gt;"",U892+Y892,"")</f>
        <v/>
      </c>
      <c r="AA892">
        <f>IF(Z892&lt;&gt;"",Z892-TODAY(),"")</f>
        <v/>
      </c>
      <c r="AB892">
        <f>IF(AA892&lt;&gt;"",IF(AA892&lt;0,"Overdue",IF(AA892&lt;=Y892*0.2,"At Risk","On Time")),"")</f>
        <v/>
      </c>
    </row>
    <row r="893">
      <c r="K893">
        <f>IF(J893="v4.0",L893,IF(J893="v3.1",M893,IF(J893="Both",L893,IF(AND(L893&lt;&gt;"",M893=""),L893,M893))))</f>
        <v/>
      </c>
      <c r="Y893">
        <f>IF(T893="P0",1,IF(T893="P1",3,IF(T893="P2",7,IF(T893="P3",30,IF(T893="P4",30,7)))))</f>
        <v/>
      </c>
      <c r="Z893">
        <f>IF(U893&lt;&gt;"",U893+Y893,"")</f>
        <v/>
      </c>
      <c r="AA893">
        <f>IF(Z893&lt;&gt;"",Z893-TODAY(),"")</f>
        <v/>
      </c>
      <c r="AB893">
        <f>IF(AA893&lt;&gt;"",IF(AA893&lt;0,"Overdue",IF(AA893&lt;=Y893*0.2,"At Risk","On Time")),"")</f>
        <v/>
      </c>
    </row>
    <row r="894">
      <c r="K894">
        <f>IF(J894="v4.0",L894,IF(J894="v3.1",M894,IF(J894="Both",L894,IF(AND(L894&lt;&gt;"",M894=""),L894,M894))))</f>
        <v/>
      </c>
      <c r="Y894">
        <f>IF(T894="P0",1,IF(T894="P1",3,IF(T894="P2",7,IF(T894="P3",30,IF(T894="P4",30,7)))))</f>
        <v/>
      </c>
      <c r="Z894">
        <f>IF(U894&lt;&gt;"",U894+Y894,"")</f>
        <v/>
      </c>
      <c r="AA894">
        <f>IF(Z894&lt;&gt;"",Z894-TODAY(),"")</f>
        <v/>
      </c>
      <c r="AB894">
        <f>IF(AA894&lt;&gt;"",IF(AA894&lt;0,"Overdue",IF(AA894&lt;=Y894*0.2,"At Risk","On Time")),"")</f>
        <v/>
      </c>
    </row>
    <row r="895">
      <c r="K895">
        <f>IF(J895="v4.0",L895,IF(J895="v3.1",M895,IF(J895="Both",L895,IF(AND(L895&lt;&gt;"",M895=""),L895,M895))))</f>
        <v/>
      </c>
      <c r="Y895">
        <f>IF(T895="P0",1,IF(T895="P1",3,IF(T895="P2",7,IF(T895="P3",30,IF(T895="P4",30,7)))))</f>
        <v/>
      </c>
      <c r="Z895">
        <f>IF(U895&lt;&gt;"",U895+Y895,"")</f>
        <v/>
      </c>
      <c r="AA895">
        <f>IF(Z895&lt;&gt;"",Z895-TODAY(),"")</f>
        <v/>
      </c>
      <c r="AB895">
        <f>IF(AA895&lt;&gt;"",IF(AA895&lt;0,"Overdue",IF(AA895&lt;=Y895*0.2,"At Risk","On Time")),"")</f>
        <v/>
      </c>
    </row>
    <row r="896">
      <c r="K896">
        <f>IF(J896="v4.0",L896,IF(J896="v3.1",M896,IF(J896="Both",L896,IF(AND(L896&lt;&gt;"",M896=""),L896,M896))))</f>
        <v/>
      </c>
      <c r="Y896">
        <f>IF(T896="P0",1,IF(T896="P1",3,IF(T896="P2",7,IF(T896="P3",30,IF(T896="P4",30,7)))))</f>
        <v/>
      </c>
      <c r="Z896">
        <f>IF(U896&lt;&gt;"",U896+Y896,"")</f>
        <v/>
      </c>
      <c r="AA896">
        <f>IF(Z896&lt;&gt;"",Z896-TODAY(),"")</f>
        <v/>
      </c>
      <c r="AB896">
        <f>IF(AA896&lt;&gt;"",IF(AA896&lt;0,"Overdue",IF(AA896&lt;=Y896*0.2,"At Risk","On Time")),"")</f>
        <v/>
      </c>
    </row>
    <row r="897">
      <c r="K897">
        <f>IF(J897="v4.0",L897,IF(J897="v3.1",M897,IF(J897="Both",L897,IF(AND(L897&lt;&gt;"",M897=""),L897,M897))))</f>
        <v/>
      </c>
      <c r="Y897">
        <f>IF(T897="P0",1,IF(T897="P1",3,IF(T897="P2",7,IF(T897="P3",30,IF(T897="P4",30,7)))))</f>
        <v/>
      </c>
      <c r="Z897">
        <f>IF(U897&lt;&gt;"",U897+Y897,"")</f>
        <v/>
      </c>
      <c r="AA897">
        <f>IF(Z897&lt;&gt;"",Z897-TODAY(),"")</f>
        <v/>
      </c>
      <c r="AB897">
        <f>IF(AA897&lt;&gt;"",IF(AA897&lt;0,"Overdue",IF(AA897&lt;=Y897*0.2,"At Risk","On Time")),"")</f>
        <v/>
      </c>
    </row>
    <row r="898">
      <c r="K898">
        <f>IF(J898="v4.0",L898,IF(J898="v3.1",M898,IF(J898="Both",L898,IF(AND(L898&lt;&gt;"",M898=""),L898,M898))))</f>
        <v/>
      </c>
      <c r="Y898">
        <f>IF(T898="P0",1,IF(T898="P1",3,IF(T898="P2",7,IF(T898="P3",30,IF(T898="P4",30,7)))))</f>
        <v/>
      </c>
      <c r="Z898">
        <f>IF(U898&lt;&gt;"",U898+Y898,"")</f>
        <v/>
      </c>
      <c r="AA898">
        <f>IF(Z898&lt;&gt;"",Z898-TODAY(),"")</f>
        <v/>
      </c>
      <c r="AB898">
        <f>IF(AA898&lt;&gt;"",IF(AA898&lt;0,"Overdue",IF(AA898&lt;=Y898*0.2,"At Risk","On Time")),"")</f>
        <v/>
      </c>
    </row>
    <row r="899">
      <c r="K899">
        <f>IF(J899="v4.0",L899,IF(J899="v3.1",M899,IF(J899="Both",L899,IF(AND(L899&lt;&gt;"",M899=""),L899,M899))))</f>
        <v/>
      </c>
      <c r="Y899">
        <f>IF(T899="P0",1,IF(T899="P1",3,IF(T899="P2",7,IF(T899="P3",30,IF(T899="P4",30,7)))))</f>
        <v/>
      </c>
      <c r="Z899">
        <f>IF(U899&lt;&gt;"",U899+Y899,"")</f>
        <v/>
      </c>
      <c r="AA899">
        <f>IF(Z899&lt;&gt;"",Z899-TODAY(),"")</f>
        <v/>
      </c>
      <c r="AB899">
        <f>IF(AA899&lt;&gt;"",IF(AA899&lt;0,"Overdue",IF(AA899&lt;=Y899*0.2,"At Risk","On Time")),"")</f>
        <v/>
      </c>
    </row>
    <row r="900">
      <c r="K900">
        <f>IF(J900="v4.0",L900,IF(J900="v3.1",M900,IF(J900="Both",L900,IF(AND(L900&lt;&gt;"",M900=""),L900,M900))))</f>
        <v/>
      </c>
      <c r="Y900">
        <f>IF(T900="P0",1,IF(T900="P1",3,IF(T900="P2",7,IF(T900="P3",30,IF(T900="P4",30,7)))))</f>
        <v/>
      </c>
      <c r="Z900">
        <f>IF(U900&lt;&gt;"",U900+Y900,"")</f>
        <v/>
      </c>
      <c r="AA900">
        <f>IF(Z900&lt;&gt;"",Z900-TODAY(),"")</f>
        <v/>
      </c>
      <c r="AB900">
        <f>IF(AA900&lt;&gt;"",IF(AA900&lt;0,"Overdue",IF(AA900&lt;=Y900*0.2,"At Risk","On Time")),"")</f>
        <v/>
      </c>
    </row>
    <row r="901">
      <c r="K901">
        <f>IF(J901="v4.0",L901,IF(J901="v3.1",M901,IF(J901="Both",L901,IF(AND(L901&lt;&gt;"",M901=""),L901,M901))))</f>
        <v/>
      </c>
      <c r="Y901">
        <f>IF(T901="P0",1,IF(T901="P1",3,IF(T901="P2",7,IF(T901="P3",30,IF(T901="P4",30,7)))))</f>
        <v/>
      </c>
      <c r="Z901">
        <f>IF(U901&lt;&gt;"",U901+Y901,"")</f>
        <v/>
      </c>
      <c r="AA901">
        <f>IF(Z901&lt;&gt;"",Z901-TODAY(),"")</f>
        <v/>
      </c>
      <c r="AB901">
        <f>IF(AA901&lt;&gt;"",IF(AA901&lt;0,"Overdue",IF(AA901&lt;=Y901*0.2,"At Risk","On Time")),"")</f>
        <v/>
      </c>
    </row>
    <row r="902">
      <c r="K902">
        <f>IF(J902="v4.0",L902,IF(J902="v3.1",M902,IF(J902="Both",L902,IF(AND(L902&lt;&gt;"",M902=""),L902,M902))))</f>
        <v/>
      </c>
      <c r="Y902">
        <f>IF(T902="P0",1,IF(T902="P1",3,IF(T902="P2",7,IF(T902="P3",30,IF(T902="P4",30,7)))))</f>
        <v/>
      </c>
      <c r="Z902">
        <f>IF(U902&lt;&gt;"",U902+Y902,"")</f>
        <v/>
      </c>
      <c r="AA902">
        <f>IF(Z902&lt;&gt;"",Z902-TODAY(),"")</f>
        <v/>
      </c>
      <c r="AB902">
        <f>IF(AA902&lt;&gt;"",IF(AA902&lt;0,"Overdue",IF(AA902&lt;=Y902*0.2,"At Risk","On Time")),"")</f>
        <v/>
      </c>
    </row>
    <row r="903">
      <c r="K903">
        <f>IF(J903="v4.0",L903,IF(J903="v3.1",M903,IF(J903="Both",L903,IF(AND(L903&lt;&gt;"",M903=""),L903,M903))))</f>
        <v/>
      </c>
      <c r="Y903">
        <f>IF(T903="P0",1,IF(T903="P1",3,IF(T903="P2",7,IF(T903="P3",30,IF(T903="P4",30,7)))))</f>
        <v/>
      </c>
      <c r="Z903">
        <f>IF(U903&lt;&gt;"",U903+Y903,"")</f>
        <v/>
      </c>
      <c r="AA903">
        <f>IF(Z903&lt;&gt;"",Z903-TODAY(),"")</f>
        <v/>
      </c>
      <c r="AB903">
        <f>IF(AA903&lt;&gt;"",IF(AA903&lt;0,"Overdue",IF(AA903&lt;=Y903*0.2,"At Risk","On Time")),"")</f>
        <v/>
      </c>
    </row>
    <row r="904">
      <c r="K904">
        <f>IF(J904="v4.0",L904,IF(J904="v3.1",M904,IF(J904="Both",L904,IF(AND(L904&lt;&gt;"",M904=""),L904,M904))))</f>
        <v/>
      </c>
      <c r="Y904">
        <f>IF(T904="P0",1,IF(T904="P1",3,IF(T904="P2",7,IF(T904="P3",30,IF(T904="P4",30,7)))))</f>
        <v/>
      </c>
      <c r="Z904">
        <f>IF(U904&lt;&gt;"",U904+Y904,"")</f>
        <v/>
      </c>
      <c r="AA904">
        <f>IF(Z904&lt;&gt;"",Z904-TODAY(),"")</f>
        <v/>
      </c>
      <c r="AB904">
        <f>IF(AA904&lt;&gt;"",IF(AA904&lt;0,"Overdue",IF(AA904&lt;=Y904*0.2,"At Risk","On Time")),"")</f>
        <v/>
      </c>
    </row>
    <row r="905">
      <c r="K905">
        <f>IF(J905="v4.0",L905,IF(J905="v3.1",M905,IF(J905="Both",L905,IF(AND(L905&lt;&gt;"",M905=""),L905,M905))))</f>
        <v/>
      </c>
      <c r="Y905">
        <f>IF(T905="P0",1,IF(T905="P1",3,IF(T905="P2",7,IF(T905="P3",30,IF(T905="P4",30,7)))))</f>
        <v/>
      </c>
      <c r="Z905">
        <f>IF(U905&lt;&gt;"",U905+Y905,"")</f>
        <v/>
      </c>
      <c r="AA905">
        <f>IF(Z905&lt;&gt;"",Z905-TODAY(),"")</f>
        <v/>
      </c>
      <c r="AB905">
        <f>IF(AA905&lt;&gt;"",IF(AA905&lt;0,"Overdue",IF(AA905&lt;=Y905*0.2,"At Risk","On Time")),"")</f>
        <v/>
      </c>
    </row>
    <row r="906">
      <c r="K906">
        <f>IF(J906="v4.0",L906,IF(J906="v3.1",M906,IF(J906="Both",L906,IF(AND(L906&lt;&gt;"",M906=""),L906,M906))))</f>
        <v/>
      </c>
      <c r="Y906">
        <f>IF(T906="P0",1,IF(T906="P1",3,IF(T906="P2",7,IF(T906="P3",30,IF(T906="P4",30,7)))))</f>
        <v/>
      </c>
      <c r="Z906">
        <f>IF(U906&lt;&gt;"",U906+Y906,"")</f>
        <v/>
      </c>
      <c r="AA906">
        <f>IF(Z906&lt;&gt;"",Z906-TODAY(),"")</f>
        <v/>
      </c>
      <c r="AB906">
        <f>IF(AA906&lt;&gt;"",IF(AA906&lt;0,"Overdue",IF(AA906&lt;=Y906*0.2,"At Risk","On Time")),"")</f>
        <v/>
      </c>
    </row>
    <row r="907">
      <c r="K907">
        <f>IF(J907="v4.0",L907,IF(J907="v3.1",M907,IF(J907="Both",L907,IF(AND(L907&lt;&gt;"",M907=""),L907,M907))))</f>
        <v/>
      </c>
      <c r="Y907">
        <f>IF(T907="P0",1,IF(T907="P1",3,IF(T907="P2",7,IF(T907="P3",30,IF(T907="P4",30,7)))))</f>
        <v/>
      </c>
      <c r="Z907">
        <f>IF(U907&lt;&gt;"",U907+Y907,"")</f>
        <v/>
      </c>
      <c r="AA907">
        <f>IF(Z907&lt;&gt;"",Z907-TODAY(),"")</f>
        <v/>
      </c>
      <c r="AB907">
        <f>IF(AA907&lt;&gt;"",IF(AA907&lt;0,"Overdue",IF(AA907&lt;=Y907*0.2,"At Risk","On Time")),"")</f>
        <v/>
      </c>
    </row>
    <row r="908">
      <c r="K908">
        <f>IF(J908="v4.0",L908,IF(J908="v3.1",M908,IF(J908="Both",L908,IF(AND(L908&lt;&gt;"",M908=""),L908,M908))))</f>
        <v/>
      </c>
      <c r="Y908">
        <f>IF(T908="P0",1,IF(T908="P1",3,IF(T908="P2",7,IF(T908="P3",30,IF(T908="P4",30,7)))))</f>
        <v/>
      </c>
      <c r="Z908">
        <f>IF(U908&lt;&gt;"",U908+Y908,"")</f>
        <v/>
      </c>
      <c r="AA908">
        <f>IF(Z908&lt;&gt;"",Z908-TODAY(),"")</f>
        <v/>
      </c>
      <c r="AB908">
        <f>IF(AA908&lt;&gt;"",IF(AA908&lt;0,"Overdue",IF(AA908&lt;=Y908*0.2,"At Risk","On Time")),"")</f>
        <v/>
      </c>
    </row>
    <row r="909">
      <c r="K909">
        <f>IF(J909="v4.0",L909,IF(J909="v3.1",M909,IF(J909="Both",L909,IF(AND(L909&lt;&gt;"",M909=""),L909,M909))))</f>
        <v/>
      </c>
      <c r="Y909">
        <f>IF(T909="P0",1,IF(T909="P1",3,IF(T909="P2",7,IF(T909="P3",30,IF(T909="P4",30,7)))))</f>
        <v/>
      </c>
      <c r="Z909">
        <f>IF(U909&lt;&gt;"",U909+Y909,"")</f>
        <v/>
      </c>
      <c r="AA909">
        <f>IF(Z909&lt;&gt;"",Z909-TODAY(),"")</f>
        <v/>
      </c>
      <c r="AB909">
        <f>IF(AA909&lt;&gt;"",IF(AA909&lt;0,"Overdue",IF(AA909&lt;=Y909*0.2,"At Risk","On Time")),"")</f>
        <v/>
      </c>
    </row>
    <row r="910">
      <c r="K910">
        <f>IF(J910="v4.0",L910,IF(J910="v3.1",M910,IF(J910="Both",L910,IF(AND(L910&lt;&gt;"",M910=""),L910,M910))))</f>
        <v/>
      </c>
      <c r="Y910">
        <f>IF(T910="P0",1,IF(T910="P1",3,IF(T910="P2",7,IF(T910="P3",30,IF(T910="P4",30,7)))))</f>
        <v/>
      </c>
      <c r="Z910">
        <f>IF(U910&lt;&gt;"",U910+Y910,"")</f>
        <v/>
      </c>
      <c r="AA910">
        <f>IF(Z910&lt;&gt;"",Z910-TODAY(),"")</f>
        <v/>
      </c>
      <c r="AB910">
        <f>IF(AA910&lt;&gt;"",IF(AA910&lt;0,"Overdue",IF(AA910&lt;=Y910*0.2,"At Risk","On Time")),"")</f>
        <v/>
      </c>
    </row>
    <row r="911">
      <c r="K911">
        <f>IF(J911="v4.0",L911,IF(J911="v3.1",M911,IF(J911="Both",L911,IF(AND(L911&lt;&gt;"",M911=""),L911,M911))))</f>
        <v/>
      </c>
      <c r="Y911">
        <f>IF(T911="P0",1,IF(T911="P1",3,IF(T911="P2",7,IF(T911="P3",30,IF(T911="P4",30,7)))))</f>
        <v/>
      </c>
      <c r="Z911">
        <f>IF(U911&lt;&gt;"",U911+Y911,"")</f>
        <v/>
      </c>
      <c r="AA911">
        <f>IF(Z911&lt;&gt;"",Z911-TODAY(),"")</f>
        <v/>
      </c>
      <c r="AB911">
        <f>IF(AA911&lt;&gt;"",IF(AA911&lt;0,"Overdue",IF(AA911&lt;=Y911*0.2,"At Risk","On Time")),"")</f>
        <v/>
      </c>
    </row>
    <row r="912">
      <c r="K912">
        <f>IF(J912="v4.0",L912,IF(J912="v3.1",M912,IF(J912="Both",L912,IF(AND(L912&lt;&gt;"",M912=""),L912,M912))))</f>
        <v/>
      </c>
      <c r="Y912">
        <f>IF(T912="P0",1,IF(T912="P1",3,IF(T912="P2",7,IF(T912="P3",30,IF(T912="P4",30,7)))))</f>
        <v/>
      </c>
      <c r="Z912">
        <f>IF(U912&lt;&gt;"",U912+Y912,"")</f>
        <v/>
      </c>
      <c r="AA912">
        <f>IF(Z912&lt;&gt;"",Z912-TODAY(),"")</f>
        <v/>
      </c>
      <c r="AB912">
        <f>IF(AA912&lt;&gt;"",IF(AA912&lt;0,"Overdue",IF(AA912&lt;=Y912*0.2,"At Risk","On Time")),"")</f>
        <v/>
      </c>
    </row>
    <row r="913">
      <c r="K913">
        <f>IF(J913="v4.0",L913,IF(J913="v3.1",M913,IF(J913="Both",L913,IF(AND(L913&lt;&gt;"",M913=""),L913,M913))))</f>
        <v/>
      </c>
      <c r="Y913">
        <f>IF(T913="P0",1,IF(T913="P1",3,IF(T913="P2",7,IF(T913="P3",30,IF(T913="P4",30,7)))))</f>
        <v/>
      </c>
      <c r="Z913">
        <f>IF(U913&lt;&gt;"",U913+Y913,"")</f>
        <v/>
      </c>
      <c r="AA913">
        <f>IF(Z913&lt;&gt;"",Z913-TODAY(),"")</f>
        <v/>
      </c>
      <c r="AB913">
        <f>IF(AA913&lt;&gt;"",IF(AA913&lt;0,"Overdue",IF(AA913&lt;=Y913*0.2,"At Risk","On Time")),"")</f>
        <v/>
      </c>
    </row>
    <row r="914">
      <c r="K914">
        <f>IF(J914="v4.0",L914,IF(J914="v3.1",M914,IF(J914="Both",L914,IF(AND(L914&lt;&gt;"",M914=""),L914,M914))))</f>
        <v/>
      </c>
      <c r="Y914">
        <f>IF(T914="P0",1,IF(T914="P1",3,IF(T914="P2",7,IF(T914="P3",30,IF(T914="P4",30,7)))))</f>
        <v/>
      </c>
      <c r="Z914">
        <f>IF(U914&lt;&gt;"",U914+Y914,"")</f>
        <v/>
      </c>
      <c r="AA914">
        <f>IF(Z914&lt;&gt;"",Z914-TODAY(),"")</f>
        <v/>
      </c>
      <c r="AB914">
        <f>IF(AA914&lt;&gt;"",IF(AA914&lt;0,"Overdue",IF(AA914&lt;=Y914*0.2,"At Risk","On Time")),"")</f>
        <v/>
      </c>
    </row>
    <row r="915">
      <c r="K915">
        <f>IF(J915="v4.0",L915,IF(J915="v3.1",M915,IF(J915="Both",L915,IF(AND(L915&lt;&gt;"",M915=""),L915,M915))))</f>
        <v/>
      </c>
      <c r="Y915">
        <f>IF(T915="P0",1,IF(T915="P1",3,IF(T915="P2",7,IF(T915="P3",30,IF(T915="P4",30,7)))))</f>
        <v/>
      </c>
      <c r="Z915">
        <f>IF(U915&lt;&gt;"",U915+Y915,"")</f>
        <v/>
      </c>
      <c r="AA915">
        <f>IF(Z915&lt;&gt;"",Z915-TODAY(),"")</f>
        <v/>
      </c>
      <c r="AB915">
        <f>IF(AA915&lt;&gt;"",IF(AA915&lt;0,"Overdue",IF(AA915&lt;=Y915*0.2,"At Risk","On Time")),"")</f>
        <v/>
      </c>
    </row>
    <row r="916">
      <c r="K916">
        <f>IF(J916="v4.0",L916,IF(J916="v3.1",M916,IF(J916="Both",L916,IF(AND(L916&lt;&gt;"",M916=""),L916,M916))))</f>
        <v/>
      </c>
      <c r="Y916">
        <f>IF(T916="P0",1,IF(T916="P1",3,IF(T916="P2",7,IF(T916="P3",30,IF(T916="P4",30,7)))))</f>
        <v/>
      </c>
      <c r="Z916">
        <f>IF(U916&lt;&gt;"",U916+Y916,"")</f>
        <v/>
      </c>
      <c r="AA916">
        <f>IF(Z916&lt;&gt;"",Z916-TODAY(),"")</f>
        <v/>
      </c>
      <c r="AB916">
        <f>IF(AA916&lt;&gt;"",IF(AA916&lt;0,"Overdue",IF(AA916&lt;=Y916*0.2,"At Risk","On Time")),"")</f>
        <v/>
      </c>
    </row>
    <row r="917">
      <c r="K917">
        <f>IF(J917="v4.0",L917,IF(J917="v3.1",M917,IF(J917="Both",L917,IF(AND(L917&lt;&gt;"",M917=""),L917,M917))))</f>
        <v/>
      </c>
      <c r="Y917">
        <f>IF(T917="P0",1,IF(T917="P1",3,IF(T917="P2",7,IF(T917="P3",30,IF(T917="P4",30,7)))))</f>
        <v/>
      </c>
      <c r="Z917">
        <f>IF(U917&lt;&gt;"",U917+Y917,"")</f>
        <v/>
      </c>
      <c r="AA917">
        <f>IF(Z917&lt;&gt;"",Z917-TODAY(),"")</f>
        <v/>
      </c>
      <c r="AB917">
        <f>IF(AA917&lt;&gt;"",IF(AA917&lt;0,"Overdue",IF(AA917&lt;=Y917*0.2,"At Risk","On Time")),"")</f>
        <v/>
      </c>
    </row>
    <row r="918">
      <c r="K918">
        <f>IF(J918="v4.0",L918,IF(J918="v3.1",M918,IF(J918="Both",L918,IF(AND(L918&lt;&gt;"",M918=""),L918,M918))))</f>
        <v/>
      </c>
      <c r="Y918">
        <f>IF(T918="P0",1,IF(T918="P1",3,IF(T918="P2",7,IF(T918="P3",30,IF(T918="P4",30,7)))))</f>
        <v/>
      </c>
      <c r="Z918">
        <f>IF(U918&lt;&gt;"",U918+Y918,"")</f>
        <v/>
      </c>
      <c r="AA918">
        <f>IF(Z918&lt;&gt;"",Z918-TODAY(),"")</f>
        <v/>
      </c>
      <c r="AB918">
        <f>IF(AA918&lt;&gt;"",IF(AA918&lt;0,"Overdue",IF(AA918&lt;=Y918*0.2,"At Risk","On Time")),"")</f>
        <v/>
      </c>
    </row>
    <row r="919">
      <c r="K919">
        <f>IF(J919="v4.0",L919,IF(J919="v3.1",M919,IF(J919="Both",L919,IF(AND(L919&lt;&gt;"",M919=""),L919,M919))))</f>
        <v/>
      </c>
      <c r="Y919">
        <f>IF(T919="P0",1,IF(T919="P1",3,IF(T919="P2",7,IF(T919="P3",30,IF(T919="P4",30,7)))))</f>
        <v/>
      </c>
      <c r="Z919">
        <f>IF(U919&lt;&gt;"",U919+Y919,"")</f>
        <v/>
      </c>
      <c r="AA919">
        <f>IF(Z919&lt;&gt;"",Z919-TODAY(),"")</f>
        <v/>
      </c>
      <c r="AB919">
        <f>IF(AA919&lt;&gt;"",IF(AA919&lt;0,"Overdue",IF(AA919&lt;=Y919*0.2,"At Risk","On Time")),"")</f>
        <v/>
      </c>
    </row>
    <row r="920">
      <c r="K920">
        <f>IF(J920="v4.0",L920,IF(J920="v3.1",M920,IF(J920="Both",L920,IF(AND(L920&lt;&gt;"",M920=""),L920,M920))))</f>
        <v/>
      </c>
      <c r="Y920">
        <f>IF(T920="P0",1,IF(T920="P1",3,IF(T920="P2",7,IF(T920="P3",30,IF(T920="P4",30,7)))))</f>
        <v/>
      </c>
      <c r="Z920">
        <f>IF(U920&lt;&gt;"",U920+Y920,"")</f>
        <v/>
      </c>
      <c r="AA920">
        <f>IF(Z920&lt;&gt;"",Z920-TODAY(),"")</f>
        <v/>
      </c>
      <c r="AB920">
        <f>IF(AA920&lt;&gt;"",IF(AA920&lt;0,"Overdue",IF(AA920&lt;=Y920*0.2,"At Risk","On Time")),"")</f>
        <v/>
      </c>
    </row>
    <row r="921">
      <c r="K921">
        <f>IF(J921="v4.0",L921,IF(J921="v3.1",M921,IF(J921="Both",L921,IF(AND(L921&lt;&gt;"",M921=""),L921,M921))))</f>
        <v/>
      </c>
      <c r="Y921">
        <f>IF(T921="P0",1,IF(T921="P1",3,IF(T921="P2",7,IF(T921="P3",30,IF(T921="P4",30,7)))))</f>
        <v/>
      </c>
      <c r="Z921">
        <f>IF(U921&lt;&gt;"",U921+Y921,"")</f>
        <v/>
      </c>
      <c r="AA921">
        <f>IF(Z921&lt;&gt;"",Z921-TODAY(),"")</f>
        <v/>
      </c>
      <c r="AB921">
        <f>IF(AA921&lt;&gt;"",IF(AA921&lt;0,"Overdue",IF(AA921&lt;=Y921*0.2,"At Risk","On Time")),"")</f>
        <v/>
      </c>
    </row>
    <row r="922">
      <c r="K922">
        <f>IF(J922="v4.0",L922,IF(J922="v3.1",M922,IF(J922="Both",L922,IF(AND(L922&lt;&gt;"",M922=""),L922,M922))))</f>
        <v/>
      </c>
      <c r="Y922">
        <f>IF(T922="P0",1,IF(T922="P1",3,IF(T922="P2",7,IF(T922="P3",30,IF(T922="P4",30,7)))))</f>
        <v/>
      </c>
      <c r="Z922">
        <f>IF(U922&lt;&gt;"",U922+Y922,"")</f>
        <v/>
      </c>
      <c r="AA922">
        <f>IF(Z922&lt;&gt;"",Z922-TODAY(),"")</f>
        <v/>
      </c>
      <c r="AB922">
        <f>IF(AA922&lt;&gt;"",IF(AA922&lt;0,"Overdue",IF(AA922&lt;=Y922*0.2,"At Risk","On Time")),"")</f>
        <v/>
      </c>
    </row>
    <row r="923">
      <c r="K923">
        <f>IF(J923="v4.0",L923,IF(J923="v3.1",M923,IF(J923="Both",L923,IF(AND(L923&lt;&gt;"",M923=""),L923,M923))))</f>
        <v/>
      </c>
      <c r="Y923">
        <f>IF(T923="P0",1,IF(T923="P1",3,IF(T923="P2",7,IF(T923="P3",30,IF(T923="P4",30,7)))))</f>
        <v/>
      </c>
      <c r="Z923">
        <f>IF(U923&lt;&gt;"",U923+Y923,"")</f>
        <v/>
      </c>
      <c r="AA923">
        <f>IF(Z923&lt;&gt;"",Z923-TODAY(),"")</f>
        <v/>
      </c>
      <c r="AB923">
        <f>IF(AA923&lt;&gt;"",IF(AA923&lt;0,"Overdue",IF(AA923&lt;=Y923*0.2,"At Risk","On Time")),"")</f>
        <v/>
      </c>
    </row>
    <row r="924">
      <c r="K924">
        <f>IF(J924="v4.0",L924,IF(J924="v3.1",M924,IF(J924="Both",L924,IF(AND(L924&lt;&gt;"",M924=""),L924,M924))))</f>
        <v/>
      </c>
      <c r="Y924">
        <f>IF(T924="P0",1,IF(T924="P1",3,IF(T924="P2",7,IF(T924="P3",30,IF(T924="P4",30,7)))))</f>
        <v/>
      </c>
      <c r="Z924">
        <f>IF(U924&lt;&gt;"",U924+Y924,"")</f>
        <v/>
      </c>
      <c r="AA924">
        <f>IF(Z924&lt;&gt;"",Z924-TODAY(),"")</f>
        <v/>
      </c>
      <c r="AB924">
        <f>IF(AA924&lt;&gt;"",IF(AA924&lt;0,"Overdue",IF(AA924&lt;=Y924*0.2,"At Risk","On Time")),"")</f>
        <v/>
      </c>
    </row>
    <row r="925">
      <c r="K925">
        <f>IF(J925="v4.0",L925,IF(J925="v3.1",M925,IF(J925="Both",L925,IF(AND(L925&lt;&gt;"",M925=""),L925,M925))))</f>
        <v/>
      </c>
      <c r="Y925">
        <f>IF(T925="P0",1,IF(T925="P1",3,IF(T925="P2",7,IF(T925="P3",30,IF(T925="P4",30,7)))))</f>
        <v/>
      </c>
      <c r="Z925">
        <f>IF(U925&lt;&gt;"",U925+Y925,"")</f>
        <v/>
      </c>
      <c r="AA925">
        <f>IF(Z925&lt;&gt;"",Z925-TODAY(),"")</f>
        <v/>
      </c>
      <c r="AB925">
        <f>IF(AA925&lt;&gt;"",IF(AA925&lt;0,"Overdue",IF(AA925&lt;=Y925*0.2,"At Risk","On Time")),"")</f>
        <v/>
      </c>
    </row>
    <row r="926">
      <c r="K926">
        <f>IF(J926="v4.0",L926,IF(J926="v3.1",M926,IF(J926="Both",L926,IF(AND(L926&lt;&gt;"",M926=""),L926,M926))))</f>
        <v/>
      </c>
      <c r="Y926">
        <f>IF(T926="P0",1,IF(T926="P1",3,IF(T926="P2",7,IF(T926="P3",30,IF(T926="P4",30,7)))))</f>
        <v/>
      </c>
      <c r="Z926">
        <f>IF(U926&lt;&gt;"",U926+Y926,"")</f>
        <v/>
      </c>
      <c r="AA926">
        <f>IF(Z926&lt;&gt;"",Z926-TODAY(),"")</f>
        <v/>
      </c>
      <c r="AB926">
        <f>IF(AA926&lt;&gt;"",IF(AA926&lt;0,"Overdue",IF(AA926&lt;=Y926*0.2,"At Risk","On Time")),"")</f>
        <v/>
      </c>
    </row>
    <row r="927">
      <c r="K927">
        <f>IF(J927="v4.0",L927,IF(J927="v3.1",M927,IF(J927="Both",L927,IF(AND(L927&lt;&gt;"",M927=""),L927,M927))))</f>
        <v/>
      </c>
      <c r="Y927">
        <f>IF(T927="P0",1,IF(T927="P1",3,IF(T927="P2",7,IF(T927="P3",30,IF(T927="P4",30,7)))))</f>
        <v/>
      </c>
      <c r="Z927">
        <f>IF(U927&lt;&gt;"",U927+Y927,"")</f>
        <v/>
      </c>
      <c r="AA927">
        <f>IF(Z927&lt;&gt;"",Z927-TODAY(),"")</f>
        <v/>
      </c>
      <c r="AB927">
        <f>IF(AA927&lt;&gt;"",IF(AA927&lt;0,"Overdue",IF(AA927&lt;=Y927*0.2,"At Risk","On Time")),"")</f>
        <v/>
      </c>
    </row>
    <row r="928">
      <c r="K928">
        <f>IF(J928="v4.0",L928,IF(J928="v3.1",M928,IF(J928="Both",L928,IF(AND(L928&lt;&gt;"",M928=""),L928,M928))))</f>
        <v/>
      </c>
      <c r="Y928">
        <f>IF(T928="P0",1,IF(T928="P1",3,IF(T928="P2",7,IF(T928="P3",30,IF(T928="P4",30,7)))))</f>
        <v/>
      </c>
      <c r="Z928">
        <f>IF(U928&lt;&gt;"",U928+Y928,"")</f>
        <v/>
      </c>
      <c r="AA928">
        <f>IF(Z928&lt;&gt;"",Z928-TODAY(),"")</f>
        <v/>
      </c>
      <c r="AB928">
        <f>IF(AA928&lt;&gt;"",IF(AA928&lt;0,"Overdue",IF(AA928&lt;=Y928*0.2,"At Risk","On Time")),"")</f>
        <v/>
      </c>
    </row>
    <row r="929">
      <c r="K929">
        <f>IF(J929="v4.0",L929,IF(J929="v3.1",M929,IF(J929="Both",L929,IF(AND(L929&lt;&gt;"",M929=""),L929,M929))))</f>
        <v/>
      </c>
      <c r="Y929">
        <f>IF(T929="P0",1,IF(T929="P1",3,IF(T929="P2",7,IF(T929="P3",30,IF(T929="P4",30,7)))))</f>
        <v/>
      </c>
      <c r="Z929">
        <f>IF(U929&lt;&gt;"",U929+Y929,"")</f>
        <v/>
      </c>
      <c r="AA929">
        <f>IF(Z929&lt;&gt;"",Z929-TODAY(),"")</f>
        <v/>
      </c>
      <c r="AB929">
        <f>IF(AA929&lt;&gt;"",IF(AA929&lt;0,"Overdue",IF(AA929&lt;=Y929*0.2,"At Risk","On Time")),"")</f>
        <v/>
      </c>
    </row>
    <row r="930">
      <c r="K930">
        <f>IF(J930="v4.0",L930,IF(J930="v3.1",M930,IF(J930="Both",L930,IF(AND(L930&lt;&gt;"",M930=""),L930,M930))))</f>
        <v/>
      </c>
      <c r="Y930">
        <f>IF(T930="P0",1,IF(T930="P1",3,IF(T930="P2",7,IF(T930="P3",30,IF(T930="P4",30,7)))))</f>
        <v/>
      </c>
      <c r="Z930">
        <f>IF(U930&lt;&gt;"",U930+Y930,"")</f>
        <v/>
      </c>
      <c r="AA930">
        <f>IF(Z930&lt;&gt;"",Z930-TODAY(),"")</f>
        <v/>
      </c>
      <c r="AB930">
        <f>IF(AA930&lt;&gt;"",IF(AA930&lt;0,"Overdue",IF(AA930&lt;=Y930*0.2,"At Risk","On Time")),"")</f>
        <v/>
      </c>
    </row>
    <row r="931">
      <c r="K931">
        <f>IF(J931="v4.0",L931,IF(J931="v3.1",M931,IF(J931="Both",L931,IF(AND(L931&lt;&gt;"",M931=""),L931,M931))))</f>
        <v/>
      </c>
      <c r="Y931">
        <f>IF(T931="P0",1,IF(T931="P1",3,IF(T931="P2",7,IF(T931="P3",30,IF(T931="P4",30,7)))))</f>
        <v/>
      </c>
      <c r="Z931">
        <f>IF(U931&lt;&gt;"",U931+Y931,"")</f>
        <v/>
      </c>
      <c r="AA931">
        <f>IF(Z931&lt;&gt;"",Z931-TODAY(),"")</f>
        <v/>
      </c>
      <c r="AB931">
        <f>IF(AA931&lt;&gt;"",IF(AA931&lt;0,"Overdue",IF(AA931&lt;=Y931*0.2,"At Risk","On Time")),"")</f>
        <v/>
      </c>
    </row>
    <row r="932">
      <c r="K932">
        <f>IF(J932="v4.0",L932,IF(J932="v3.1",M932,IF(J932="Both",L932,IF(AND(L932&lt;&gt;"",M932=""),L932,M932))))</f>
        <v/>
      </c>
      <c r="Y932">
        <f>IF(T932="P0",1,IF(T932="P1",3,IF(T932="P2",7,IF(T932="P3",30,IF(T932="P4",30,7)))))</f>
        <v/>
      </c>
      <c r="Z932">
        <f>IF(U932&lt;&gt;"",U932+Y932,"")</f>
        <v/>
      </c>
      <c r="AA932">
        <f>IF(Z932&lt;&gt;"",Z932-TODAY(),"")</f>
        <v/>
      </c>
      <c r="AB932">
        <f>IF(AA932&lt;&gt;"",IF(AA932&lt;0,"Overdue",IF(AA932&lt;=Y932*0.2,"At Risk","On Time")),"")</f>
        <v/>
      </c>
    </row>
    <row r="933">
      <c r="K933">
        <f>IF(J933="v4.0",L933,IF(J933="v3.1",M933,IF(J933="Both",L933,IF(AND(L933&lt;&gt;"",M933=""),L933,M933))))</f>
        <v/>
      </c>
      <c r="Y933">
        <f>IF(T933="P0",1,IF(T933="P1",3,IF(T933="P2",7,IF(T933="P3",30,IF(T933="P4",30,7)))))</f>
        <v/>
      </c>
      <c r="Z933">
        <f>IF(U933&lt;&gt;"",U933+Y933,"")</f>
        <v/>
      </c>
      <c r="AA933">
        <f>IF(Z933&lt;&gt;"",Z933-TODAY(),"")</f>
        <v/>
      </c>
      <c r="AB933">
        <f>IF(AA933&lt;&gt;"",IF(AA933&lt;0,"Overdue",IF(AA933&lt;=Y933*0.2,"At Risk","On Time")),"")</f>
        <v/>
      </c>
    </row>
    <row r="934">
      <c r="K934">
        <f>IF(J934="v4.0",L934,IF(J934="v3.1",M934,IF(J934="Both",L934,IF(AND(L934&lt;&gt;"",M934=""),L934,M934))))</f>
        <v/>
      </c>
      <c r="Y934">
        <f>IF(T934="P0",1,IF(T934="P1",3,IF(T934="P2",7,IF(T934="P3",30,IF(T934="P4",30,7)))))</f>
        <v/>
      </c>
      <c r="Z934">
        <f>IF(U934&lt;&gt;"",U934+Y934,"")</f>
        <v/>
      </c>
      <c r="AA934">
        <f>IF(Z934&lt;&gt;"",Z934-TODAY(),"")</f>
        <v/>
      </c>
      <c r="AB934">
        <f>IF(AA934&lt;&gt;"",IF(AA934&lt;0,"Overdue",IF(AA934&lt;=Y934*0.2,"At Risk","On Time")),"")</f>
        <v/>
      </c>
    </row>
    <row r="935">
      <c r="K935">
        <f>IF(J935="v4.0",L935,IF(J935="v3.1",M935,IF(J935="Both",L935,IF(AND(L935&lt;&gt;"",M935=""),L935,M935))))</f>
        <v/>
      </c>
      <c r="Y935">
        <f>IF(T935="P0",1,IF(T935="P1",3,IF(T935="P2",7,IF(T935="P3",30,IF(T935="P4",30,7)))))</f>
        <v/>
      </c>
      <c r="Z935">
        <f>IF(U935&lt;&gt;"",U935+Y935,"")</f>
        <v/>
      </c>
      <c r="AA935">
        <f>IF(Z935&lt;&gt;"",Z935-TODAY(),"")</f>
        <v/>
      </c>
      <c r="AB935">
        <f>IF(AA935&lt;&gt;"",IF(AA935&lt;0,"Overdue",IF(AA935&lt;=Y935*0.2,"At Risk","On Time")),"")</f>
        <v/>
      </c>
    </row>
    <row r="936">
      <c r="K936">
        <f>IF(J936="v4.0",L936,IF(J936="v3.1",M936,IF(J936="Both",L936,IF(AND(L936&lt;&gt;"",M936=""),L936,M936))))</f>
        <v/>
      </c>
      <c r="Y936">
        <f>IF(T936="P0",1,IF(T936="P1",3,IF(T936="P2",7,IF(T936="P3",30,IF(T936="P4",30,7)))))</f>
        <v/>
      </c>
      <c r="Z936">
        <f>IF(U936&lt;&gt;"",U936+Y936,"")</f>
        <v/>
      </c>
      <c r="AA936">
        <f>IF(Z936&lt;&gt;"",Z936-TODAY(),"")</f>
        <v/>
      </c>
      <c r="AB936">
        <f>IF(AA936&lt;&gt;"",IF(AA936&lt;0,"Overdue",IF(AA936&lt;=Y936*0.2,"At Risk","On Time")),"")</f>
        <v/>
      </c>
    </row>
    <row r="937">
      <c r="K937">
        <f>IF(J937="v4.0",L937,IF(J937="v3.1",M937,IF(J937="Both",L937,IF(AND(L937&lt;&gt;"",M937=""),L937,M937))))</f>
        <v/>
      </c>
      <c r="Y937">
        <f>IF(T937="P0",1,IF(T937="P1",3,IF(T937="P2",7,IF(T937="P3",30,IF(T937="P4",30,7)))))</f>
        <v/>
      </c>
      <c r="Z937">
        <f>IF(U937&lt;&gt;"",U937+Y937,"")</f>
        <v/>
      </c>
      <c r="AA937">
        <f>IF(Z937&lt;&gt;"",Z937-TODAY(),"")</f>
        <v/>
      </c>
      <c r="AB937">
        <f>IF(AA937&lt;&gt;"",IF(AA937&lt;0,"Overdue",IF(AA937&lt;=Y937*0.2,"At Risk","On Time")),"")</f>
        <v/>
      </c>
    </row>
    <row r="938">
      <c r="K938">
        <f>IF(J938="v4.0",L938,IF(J938="v3.1",M938,IF(J938="Both",L938,IF(AND(L938&lt;&gt;"",M938=""),L938,M938))))</f>
        <v/>
      </c>
      <c r="Y938">
        <f>IF(T938="P0",1,IF(T938="P1",3,IF(T938="P2",7,IF(T938="P3",30,IF(T938="P4",30,7)))))</f>
        <v/>
      </c>
      <c r="Z938">
        <f>IF(U938&lt;&gt;"",U938+Y938,"")</f>
        <v/>
      </c>
      <c r="AA938">
        <f>IF(Z938&lt;&gt;"",Z938-TODAY(),"")</f>
        <v/>
      </c>
      <c r="AB938">
        <f>IF(AA938&lt;&gt;"",IF(AA938&lt;0,"Overdue",IF(AA938&lt;=Y938*0.2,"At Risk","On Time")),"")</f>
        <v/>
      </c>
    </row>
    <row r="939">
      <c r="K939">
        <f>IF(J939="v4.0",L939,IF(J939="v3.1",M939,IF(J939="Both",L939,IF(AND(L939&lt;&gt;"",M939=""),L939,M939))))</f>
        <v/>
      </c>
      <c r="Y939">
        <f>IF(T939="P0",1,IF(T939="P1",3,IF(T939="P2",7,IF(T939="P3",30,IF(T939="P4",30,7)))))</f>
        <v/>
      </c>
      <c r="Z939">
        <f>IF(U939&lt;&gt;"",U939+Y939,"")</f>
        <v/>
      </c>
      <c r="AA939">
        <f>IF(Z939&lt;&gt;"",Z939-TODAY(),"")</f>
        <v/>
      </c>
      <c r="AB939">
        <f>IF(AA939&lt;&gt;"",IF(AA939&lt;0,"Overdue",IF(AA939&lt;=Y939*0.2,"At Risk","On Time")),"")</f>
        <v/>
      </c>
    </row>
    <row r="940">
      <c r="K940">
        <f>IF(J940="v4.0",L940,IF(J940="v3.1",M940,IF(J940="Both",L940,IF(AND(L940&lt;&gt;"",M940=""),L940,M940))))</f>
        <v/>
      </c>
      <c r="Y940">
        <f>IF(T940="P0",1,IF(T940="P1",3,IF(T940="P2",7,IF(T940="P3",30,IF(T940="P4",30,7)))))</f>
        <v/>
      </c>
      <c r="Z940">
        <f>IF(U940&lt;&gt;"",U940+Y940,"")</f>
        <v/>
      </c>
      <c r="AA940">
        <f>IF(Z940&lt;&gt;"",Z940-TODAY(),"")</f>
        <v/>
      </c>
      <c r="AB940">
        <f>IF(AA940&lt;&gt;"",IF(AA940&lt;0,"Overdue",IF(AA940&lt;=Y940*0.2,"At Risk","On Time")),"")</f>
        <v/>
      </c>
    </row>
    <row r="941">
      <c r="K941">
        <f>IF(J941="v4.0",L941,IF(J941="v3.1",M941,IF(J941="Both",L941,IF(AND(L941&lt;&gt;"",M941=""),L941,M941))))</f>
        <v/>
      </c>
      <c r="Y941">
        <f>IF(T941="P0",1,IF(T941="P1",3,IF(T941="P2",7,IF(T941="P3",30,IF(T941="P4",30,7)))))</f>
        <v/>
      </c>
      <c r="Z941">
        <f>IF(U941&lt;&gt;"",U941+Y941,"")</f>
        <v/>
      </c>
      <c r="AA941">
        <f>IF(Z941&lt;&gt;"",Z941-TODAY(),"")</f>
        <v/>
      </c>
      <c r="AB941">
        <f>IF(AA941&lt;&gt;"",IF(AA941&lt;0,"Overdue",IF(AA941&lt;=Y941*0.2,"At Risk","On Time")),"")</f>
        <v/>
      </c>
    </row>
    <row r="942">
      <c r="K942">
        <f>IF(J942="v4.0",L942,IF(J942="v3.1",M942,IF(J942="Both",L942,IF(AND(L942&lt;&gt;"",M942=""),L942,M942))))</f>
        <v/>
      </c>
      <c r="Y942">
        <f>IF(T942="P0",1,IF(T942="P1",3,IF(T942="P2",7,IF(T942="P3",30,IF(T942="P4",30,7)))))</f>
        <v/>
      </c>
      <c r="Z942">
        <f>IF(U942&lt;&gt;"",U942+Y942,"")</f>
        <v/>
      </c>
      <c r="AA942">
        <f>IF(Z942&lt;&gt;"",Z942-TODAY(),"")</f>
        <v/>
      </c>
      <c r="AB942">
        <f>IF(AA942&lt;&gt;"",IF(AA942&lt;0,"Overdue",IF(AA942&lt;=Y942*0.2,"At Risk","On Time")),"")</f>
        <v/>
      </c>
    </row>
    <row r="943">
      <c r="K943">
        <f>IF(J943="v4.0",L943,IF(J943="v3.1",M943,IF(J943="Both",L943,IF(AND(L943&lt;&gt;"",M943=""),L943,M943))))</f>
        <v/>
      </c>
      <c r="Y943">
        <f>IF(T943="P0",1,IF(T943="P1",3,IF(T943="P2",7,IF(T943="P3",30,IF(T943="P4",30,7)))))</f>
        <v/>
      </c>
      <c r="Z943">
        <f>IF(U943&lt;&gt;"",U943+Y943,"")</f>
        <v/>
      </c>
      <c r="AA943">
        <f>IF(Z943&lt;&gt;"",Z943-TODAY(),"")</f>
        <v/>
      </c>
      <c r="AB943">
        <f>IF(AA943&lt;&gt;"",IF(AA943&lt;0,"Overdue",IF(AA943&lt;=Y943*0.2,"At Risk","On Time")),"")</f>
        <v/>
      </c>
    </row>
    <row r="944">
      <c r="K944">
        <f>IF(J944="v4.0",L944,IF(J944="v3.1",M944,IF(J944="Both",L944,IF(AND(L944&lt;&gt;"",M944=""),L944,M944))))</f>
        <v/>
      </c>
      <c r="Y944">
        <f>IF(T944="P0",1,IF(T944="P1",3,IF(T944="P2",7,IF(T944="P3",30,IF(T944="P4",30,7)))))</f>
        <v/>
      </c>
      <c r="Z944">
        <f>IF(U944&lt;&gt;"",U944+Y944,"")</f>
        <v/>
      </c>
      <c r="AA944">
        <f>IF(Z944&lt;&gt;"",Z944-TODAY(),"")</f>
        <v/>
      </c>
      <c r="AB944">
        <f>IF(AA944&lt;&gt;"",IF(AA944&lt;0,"Overdue",IF(AA944&lt;=Y944*0.2,"At Risk","On Time")),"")</f>
        <v/>
      </c>
    </row>
    <row r="945">
      <c r="K945">
        <f>IF(J945="v4.0",L945,IF(J945="v3.1",M945,IF(J945="Both",L945,IF(AND(L945&lt;&gt;"",M945=""),L945,M945))))</f>
        <v/>
      </c>
      <c r="Y945">
        <f>IF(T945="P0",1,IF(T945="P1",3,IF(T945="P2",7,IF(T945="P3",30,IF(T945="P4",30,7)))))</f>
        <v/>
      </c>
      <c r="Z945">
        <f>IF(U945&lt;&gt;"",U945+Y945,"")</f>
        <v/>
      </c>
      <c r="AA945">
        <f>IF(Z945&lt;&gt;"",Z945-TODAY(),"")</f>
        <v/>
      </c>
      <c r="AB945">
        <f>IF(AA945&lt;&gt;"",IF(AA945&lt;0,"Overdue",IF(AA945&lt;=Y945*0.2,"At Risk","On Time")),"")</f>
        <v/>
      </c>
    </row>
    <row r="946">
      <c r="K946">
        <f>IF(J946="v4.0",L946,IF(J946="v3.1",M946,IF(J946="Both",L946,IF(AND(L946&lt;&gt;"",M946=""),L946,M946))))</f>
        <v/>
      </c>
      <c r="Y946">
        <f>IF(T946="P0",1,IF(T946="P1",3,IF(T946="P2",7,IF(T946="P3",30,IF(T946="P4",30,7)))))</f>
        <v/>
      </c>
      <c r="Z946">
        <f>IF(U946&lt;&gt;"",U946+Y946,"")</f>
        <v/>
      </c>
      <c r="AA946">
        <f>IF(Z946&lt;&gt;"",Z946-TODAY(),"")</f>
        <v/>
      </c>
      <c r="AB946">
        <f>IF(AA946&lt;&gt;"",IF(AA946&lt;0,"Overdue",IF(AA946&lt;=Y946*0.2,"At Risk","On Time")),"")</f>
        <v/>
      </c>
    </row>
    <row r="947">
      <c r="K947">
        <f>IF(J947="v4.0",L947,IF(J947="v3.1",M947,IF(J947="Both",L947,IF(AND(L947&lt;&gt;"",M947=""),L947,M947))))</f>
        <v/>
      </c>
      <c r="Y947">
        <f>IF(T947="P0",1,IF(T947="P1",3,IF(T947="P2",7,IF(T947="P3",30,IF(T947="P4",30,7)))))</f>
        <v/>
      </c>
      <c r="Z947">
        <f>IF(U947&lt;&gt;"",U947+Y947,"")</f>
        <v/>
      </c>
      <c r="AA947">
        <f>IF(Z947&lt;&gt;"",Z947-TODAY(),"")</f>
        <v/>
      </c>
      <c r="AB947">
        <f>IF(AA947&lt;&gt;"",IF(AA947&lt;0,"Overdue",IF(AA947&lt;=Y947*0.2,"At Risk","On Time")),"")</f>
        <v/>
      </c>
    </row>
    <row r="948">
      <c r="K948">
        <f>IF(J948="v4.0",L948,IF(J948="v3.1",M948,IF(J948="Both",L948,IF(AND(L948&lt;&gt;"",M948=""),L948,M948))))</f>
        <v/>
      </c>
      <c r="Y948">
        <f>IF(T948="P0",1,IF(T948="P1",3,IF(T948="P2",7,IF(T948="P3",30,IF(T948="P4",30,7)))))</f>
        <v/>
      </c>
      <c r="Z948">
        <f>IF(U948&lt;&gt;"",U948+Y948,"")</f>
        <v/>
      </c>
      <c r="AA948">
        <f>IF(Z948&lt;&gt;"",Z948-TODAY(),"")</f>
        <v/>
      </c>
      <c r="AB948">
        <f>IF(AA948&lt;&gt;"",IF(AA948&lt;0,"Overdue",IF(AA948&lt;=Y948*0.2,"At Risk","On Time")),"")</f>
        <v/>
      </c>
    </row>
    <row r="949">
      <c r="K949">
        <f>IF(J949="v4.0",L949,IF(J949="v3.1",M949,IF(J949="Both",L949,IF(AND(L949&lt;&gt;"",M949=""),L949,M949))))</f>
        <v/>
      </c>
      <c r="Y949">
        <f>IF(T949="P0",1,IF(T949="P1",3,IF(T949="P2",7,IF(T949="P3",30,IF(T949="P4",30,7)))))</f>
        <v/>
      </c>
      <c r="Z949">
        <f>IF(U949&lt;&gt;"",U949+Y949,"")</f>
        <v/>
      </c>
      <c r="AA949">
        <f>IF(Z949&lt;&gt;"",Z949-TODAY(),"")</f>
        <v/>
      </c>
      <c r="AB949">
        <f>IF(AA949&lt;&gt;"",IF(AA949&lt;0,"Overdue",IF(AA949&lt;=Y949*0.2,"At Risk","On Time")),"")</f>
        <v/>
      </c>
    </row>
    <row r="950">
      <c r="K950">
        <f>IF(J950="v4.0",L950,IF(J950="v3.1",M950,IF(J950="Both",L950,IF(AND(L950&lt;&gt;"",M950=""),L950,M950))))</f>
        <v/>
      </c>
      <c r="Y950">
        <f>IF(T950="P0",1,IF(T950="P1",3,IF(T950="P2",7,IF(T950="P3",30,IF(T950="P4",30,7)))))</f>
        <v/>
      </c>
      <c r="Z950">
        <f>IF(U950&lt;&gt;"",U950+Y950,"")</f>
        <v/>
      </c>
      <c r="AA950">
        <f>IF(Z950&lt;&gt;"",Z950-TODAY(),"")</f>
        <v/>
      </c>
      <c r="AB950">
        <f>IF(AA950&lt;&gt;"",IF(AA950&lt;0,"Overdue",IF(AA950&lt;=Y950*0.2,"At Risk","On Time")),"")</f>
        <v/>
      </c>
    </row>
    <row r="951">
      <c r="K951">
        <f>IF(J951="v4.0",L951,IF(J951="v3.1",M951,IF(J951="Both",L951,IF(AND(L951&lt;&gt;"",M951=""),L951,M951))))</f>
        <v/>
      </c>
      <c r="Y951">
        <f>IF(T951="P0",1,IF(T951="P1",3,IF(T951="P2",7,IF(T951="P3",30,IF(T951="P4",30,7)))))</f>
        <v/>
      </c>
      <c r="Z951">
        <f>IF(U951&lt;&gt;"",U951+Y951,"")</f>
        <v/>
      </c>
      <c r="AA951">
        <f>IF(Z951&lt;&gt;"",Z951-TODAY(),"")</f>
        <v/>
      </c>
      <c r="AB951">
        <f>IF(AA951&lt;&gt;"",IF(AA951&lt;0,"Overdue",IF(AA951&lt;=Y951*0.2,"At Risk","On Time")),"")</f>
        <v/>
      </c>
    </row>
    <row r="952">
      <c r="K952">
        <f>IF(J952="v4.0",L952,IF(J952="v3.1",M952,IF(J952="Both",L952,IF(AND(L952&lt;&gt;"",M952=""),L952,M952))))</f>
        <v/>
      </c>
      <c r="Y952">
        <f>IF(T952="P0",1,IF(T952="P1",3,IF(T952="P2",7,IF(T952="P3",30,IF(T952="P4",30,7)))))</f>
        <v/>
      </c>
      <c r="Z952">
        <f>IF(U952&lt;&gt;"",U952+Y952,"")</f>
        <v/>
      </c>
      <c r="AA952">
        <f>IF(Z952&lt;&gt;"",Z952-TODAY(),"")</f>
        <v/>
      </c>
      <c r="AB952">
        <f>IF(AA952&lt;&gt;"",IF(AA952&lt;0,"Overdue",IF(AA952&lt;=Y952*0.2,"At Risk","On Time")),"")</f>
        <v/>
      </c>
    </row>
    <row r="953">
      <c r="K953">
        <f>IF(J953="v4.0",L953,IF(J953="v3.1",M953,IF(J953="Both",L953,IF(AND(L953&lt;&gt;"",M953=""),L953,M953))))</f>
        <v/>
      </c>
      <c r="Y953">
        <f>IF(T953="P0",1,IF(T953="P1",3,IF(T953="P2",7,IF(T953="P3",30,IF(T953="P4",30,7)))))</f>
        <v/>
      </c>
      <c r="Z953">
        <f>IF(U953&lt;&gt;"",U953+Y953,"")</f>
        <v/>
      </c>
      <c r="AA953">
        <f>IF(Z953&lt;&gt;"",Z953-TODAY(),"")</f>
        <v/>
      </c>
      <c r="AB953">
        <f>IF(AA953&lt;&gt;"",IF(AA953&lt;0,"Overdue",IF(AA953&lt;=Y953*0.2,"At Risk","On Time")),"")</f>
        <v/>
      </c>
    </row>
    <row r="954">
      <c r="K954">
        <f>IF(J954="v4.0",L954,IF(J954="v3.1",M954,IF(J954="Both",L954,IF(AND(L954&lt;&gt;"",M954=""),L954,M954))))</f>
        <v/>
      </c>
      <c r="Y954">
        <f>IF(T954="P0",1,IF(T954="P1",3,IF(T954="P2",7,IF(T954="P3",30,IF(T954="P4",30,7)))))</f>
        <v/>
      </c>
      <c r="Z954">
        <f>IF(U954&lt;&gt;"",U954+Y954,"")</f>
        <v/>
      </c>
      <c r="AA954">
        <f>IF(Z954&lt;&gt;"",Z954-TODAY(),"")</f>
        <v/>
      </c>
      <c r="AB954">
        <f>IF(AA954&lt;&gt;"",IF(AA954&lt;0,"Overdue",IF(AA954&lt;=Y954*0.2,"At Risk","On Time")),"")</f>
        <v/>
      </c>
    </row>
    <row r="955">
      <c r="K955">
        <f>IF(J955="v4.0",L955,IF(J955="v3.1",M955,IF(J955="Both",L955,IF(AND(L955&lt;&gt;"",M955=""),L955,M955))))</f>
        <v/>
      </c>
      <c r="Y955">
        <f>IF(T955="P0",1,IF(T955="P1",3,IF(T955="P2",7,IF(T955="P3",30,IF(T955="P4",30,7)))))</f>
        <v/>
      </c>
      <c r="Z955">
        <f>IF(U955&lt;&gt;"",U955+Y955,"")</f>
        <v/>
      </c>
      <c r="AA955">
        <f>IF(Z955&lt;&gt;"",Z955-TODAY(),"")</f>
        <v/>
      </c>
      <c r="AB955">
        <f>IF(AA955&lt;&gt;"",IF(AA955&lt;0,"Overdue",IF(AA955&lt;=Y955*0.2,"At Risk","On Time")),"")</f>
        <v/>
      </c>
    </row>
    <row r="956">
      <c r="K956">
        <f>IF(J956="v4.0",L956,IF(J956="v3.1",M956,IF(J956="Both",L956,IF(AND(L956&lt;&gt;"",M956=""),L956,M956))))</f>
        <v/>
      </c>
      <c r="Y956">
        <f>IF(T956="P0",1,IF(T956="P1",3,IF(T956="P2",7,IF(T956="P3",30,IF(T956="P4",30,7)))))</f>
        <v/>
      </c>
      <c r="Z956">
        <f>IF(U956&lt;&gt;"",U956+Y956,"")</f>
        <v/>
      </c>
      <c r="AA956">
        <f>IF(Z956&lt;&gt;"",Z956-TODAY(),"")</f>
        <v/>
      </c>
      <c r="AB956">
        <f>IF(AA956&lt;&gt;"",IF(AA956&lt;0,"Overdue",IF(AA956&lt;=Y956*0.2,"At Risk","On Time")),"")</f>
        <v/>
      </c>
    </row>
    <row r="957">
      <c r="K957">
        <f>IF(J957="v4.0",L957,IF(J957="v3.1",M957,IF(J957="Both",L957,IF(AND(L957&lt;&gt;"",M957=""),L957,M957))))</f>
        <v/>
      </c>
      <c r="Y957">
        <f>IF(T957="P0",1,IF(T957="P1",3,IF(T957="P2",7,IF(T957="P3",30,IF(T957="P4",30,7)))))</f>
        <v/>
      </c>
      <c r="Z957">
        <f>IF(U957&lt;&gt;"",U957+Y957,"")</f>
        <v/>
      </c>
      <c r="AA957">
        <f>IF(Z957&lt;&gt;"",Z957-TODAY(),"")</f>
        <v/>
      </c>
      <c r="AB957">
        <f>IF(AA957&lt;&gt;"",IF(AA957&lt;0,"Overdue",IF(AA957&lt;=Y957*0.2,"At Risk","On Time")),"")</f>
        <v/>
      </c>
    </row>
    <row r="958">
      <c r="K958">
        <f>IF(J958="v4.0",L958,IF(J958="v3.1",M958,IF(J958="Both",L958,IF(AND(L958&lt;&gt;"",M958=""),L958,M958))))</f>
        <v/>
      </c>
      <c r="Y958">
        <f>IF(T958="P0",1,IF(T958="P1",3,IF(T958="P2",7,IF(T958="P3",30,IF(T958="P4",30,7)))))</f>
        <v/>
      </c>
      <c r="Z958">
        <f>IF(U958&lt;&gt;"",U958+Y958,"")</f>
        <v/>
      </c>
      <c r="AA958">
        <f>IF(Z958&lt;&gt;"",Z958-TODAY(),"")</f>
        <v/>
      </c>
      <c r="AB958">
        <f>IF(AA958&lt;&gt;"",IF(AA958&lt;0,"Overdue",IF(AA958&lt;=Y958*0.2,"At Risk","On Time")),"")</f>
        <v/>
      </c>
    </row>
    <row r="959">
      <c r="K959">
        <f>IF(J959="v4.0",L959,IF(J959="v3.1",M959,IF(J959="Both",L959,IF(AND(L959&lt;&gt;"",M959=""),L959,M959))))</f>
        <v/>
      </c>
      <c r="Y959">
        <f>IF(T959="P0",1,IF(T959="P1",3,IF(T959="P2",7,IF(T959="P3",30,IF(T959="P4",30,7)))))</f>
        <v/>
      </c>
      <c r="Z959">
        <f>IF(U959&lt;&gt;"",U959+Y959,"")</f>
        <v/>
      </c>
      <c r="AA959">
        <f>IF(Z959&lt;&gt;"",Z959-TODAY(),"")</f>
        <v/>
      </c>
      <c r="AB959">
        <f>IF(AA959&lt;&gt;"",IF(AA959&lt;0,"Overdue",IF(AA959&lt;=Y959*0.2,"At Risk","On Time")),"")</f>
        <v/>
      </c>
    </row>
    <row r="960">
      <c r="K960">
        <f>IF(J960="v4.0",L960,IF(J960="v3.1",M960,IF(J960="Both",L960,IF(AND(L960&lt;&gt;"",M960=""),L960,M960))))</f>
        <v/>
      </c>
      <c r="Y960">
        <f>IF(T960="P0",1,IF(T960="P1",3,IF(T960="P2",7,IF(T960="P3",30,IF(T960="P4",30,7)))))</f>
        <v/>
      </c>
      <c r="Z960">
        <f>IF(U960&lt;&gt;"",U960+Y960,"")</f>
        <v/>
      </c>
      <c r="AA960">
        <f>IF(Z960&lt;&gt;"",Z960-TODAY(),"")</f>
        <v/>
      </c>
      <c r="AB960">
        <f>IF(AA960&lt;&gt;"",IF(AA960&lt;0,"Overdue",IF(AA960&lt;=Y960*0.2,"At Risk","On Time")),"")</f>
        <v/>
      </c>
    </row>
    <row r="961">
      <c r="K961">
        <f>IF(J961="v4.0",L961,IF(J961="v3.1",M961,IF(J961="Both",L961,IF(AND(L961&lt;&gt;"",M961=""),L961,M961))))</f>
        <v/>
      </c>
      <c r="Y961">
        <f>IF(T961="P0",1,IF(T961="P1",3,IF(T961="P2",7,IF(T961="P3",30,IF(T961="P4",30,7)))))</f>
        <v/>
      </c>
      <c r="Z961">
        <f>IF(U961&lt;&gt;"",U961+Y961,"")</f>
        <v/>
      </c>
      <c r="AA961">
        <f>IF(Z961&lt;&gt;"",Z961-TODAY(),"")</f>
        <v/>
      </c>
      <c r="AB961">
        <f>IF(AA961&lt;&gt;"",IF(AA961&lt;0,"Overdue",IF(AA961&lt;=Y961*0.2,"At Risk","On Time")),"")</f>
        <v/>
      </c>
    </row>
    <row r="962">
      <c r="K962">
        <f>IF(J962="v4.0",L962,IF(J962="v3.1",M962,IF(J962="Both",L962,IF(AND(L962&lt;&gt;"",M962=""),L962,M962))))</f>
        <v/>
      </c>
      <c r="Y962">
        <f>IF(T962="P0",1,IF(T962="P1",3,IF(T962="P2",7,IF(T962="P3",30,IF(T962="P4",30,7)))))</f>
        <v/>
      </c>
      <c r="Z962">
        <f>IF(U962&lt;&gt;"",U962+Y962,"")</f>
        <v/>
      </c>
      <c r="AA962">
        <f>IF(Z962&lt;&gt;"",Z962-TODAY(),"")</f>
        <v/>
      </c>
      <c r="AB962">
        <f>IF(AA962&lt;&gt;"",IF(AA962&lt;0,"Overdue",IF(AA962&lt;=Y962*0.2,"At Risk","On Time")),"")</f>
        <v/>
      </c>
    </row>
    <row r="963">
      <c r="K963">
        <f>IF(J963="v4.0",L963,IF(J963="v3.1",M963,IF(J963="Both",L963,IF(AND(L963&lt;&gt;"",M963=""),L963,M963))))</f>
        <v/>
      </c>
      <c r="Y963">
        <f>IF(T963="P0",1,IF(T963="P1",3,IF(T963="P2",7,IF(T963="P3",30,IF(T963="P4",30,7)))))</f>
        <v/>
      </c>
      <c r="Z963">
        <f>IF(U963&lt;&gt;"",U963+Y963,"")</f>
        <v/>
      </c>
      <c r="AA963">
        <f>IF(Z963&lt;&gt;"",Z963-TODAY(),"")</f>
        <v/>
      </c>
      <c r="AB963">
        <f>IF(AA963&lt;&gt;"",IF(AA963&lt;0,"Overdue",IF(AA963&lt;=Y963*0.2,"At Risk","On Time")),"")</f>
        <v/>
      </c>
    </row>
    <row r="964">
      <c r="K964">
        <f>IF(J964="v4.0",L964,IF(J964="v3.1",M964,IF(J964="Both",L964,IF(AND(L964&lt;&gt;"",M964=""),L964,M964))))</f>
        <v/>
      </c>
      <c r="Y964">
        <f>IF(T964="P0",1,IF(T964="P1",3,IF(T964="P2",7,IF(T964="P3",30,IF(T964="P4",30,7)))))</f>
        <v/>
      </c>
      <c r="Z964">
        <f>IF(U964&lt;&gt;"",U964+Y964,"")</f>
        <v/>
      </c>
      <c r="AA964">
        <f>IF(Z964&lt;&gt;"",Z964-TODAY(),"")</f>
        <v/>
      </c>
      <c r="AB964">
        <f>IF(AA964&lt;&gt;"",IF(AA964&lt;0,"Overdue",IF(AA964&lt;=Y964*0.2,"At Risk","On Time")),"")</f>
        <v/>
      </c>
    </row>
    <row r="965">
      <c r="K965">
        <f>IF(J965="v4.0",L965,IF(J965="v3.1",M965,IF(J965="Both",L965,IF(AND(L965&lt;&gt;"",M965=""),L965,M965))))</f>
        <v/>
      </c>
      <c r="Y965">
        <f>IF(T965="P0",1,IF(T965="P1",3,IF(T965="P2",7,IF(T965="P3",30,IF(T965="P4",30,7)))))</f>
        <v/>
      </c>
      <c r="Z965">
        <f>IF(U965&lt;&gt;"",U965+Y965,"")</f>
        <v/>
      </c>
      <c r="AA965">
        <f>IF(Z965&lt;&gt;"",Z965-TODAY(),"")</f>
        <v/>
      </c>
      <c r="AB965">
        <f>IF(AA965&lt;&gt;"",IF(AA965&lt;0,"Overdue",IF(AA965&lt;=Y965*0.2,"At Risk","On Time")),"")</f>
        <v/>
      </c>
    </row>
    <row r="966">
      <c r="K966">
        <f>IF(J966="v4.0",L966,IF(J966="v3.1",M966,IF(J966="Both",L966,IF(AND(L966&lt;&gt;"",M966=""),L966,M966))))</f>
        <v/>
      </c>
      <c r="Y966">
        <f>IF(T966="P0",1,IF(T966="P1",3,IF(T966="P2",7,IF(T966="P3",30,IF(T966="P4",30,7)))))</f>
        <v/>
      </c>
      <c r="Z966">
        <f>IF(U966&lt;&gt;"",U966+Y966,"")</f>
        <v/>
      </c>
      <c r="AA966">
        <f>IF(Z966&lt;&gt;"",Z966-TODAY(),"")</f>
        <v/>
      </c>
      <c r="AB966">
        <f>IF(AA966&lt;&gt;"",IF(AA966&lt;0,"Overdue",IF(AA966&lt;=Y966*0.2,"At Risk","On Time")),"")</f>
        <v/>
      </c>
    </row>
    <row r="967">
      <c r="K967">
        <f>IF(J967="v4.0",L967,IF(J967="v3.1",M967,IF(J967="Both",L967,IF(AND(L967&lt;&gt;"",M967=""),L967,M967))))</f>
        <v/>
      </c>
      <c r="Y967">
        <f>IF(T967="P0",1,IF(T967="P1",3,IF(T967="P2",7,IF(T967="P3",30,IF(T967="P4",30,7)))))</f>
        <v/>
      </c>
      <c r="Z967">
        <f>IF(U967&lt;&gt;"",U967+Y967,"")</f>
        <v/>
      </c>
      <c r="AA967">
        <f>IF(Z967&lt;&gt;"",Z967-TODAY(),"")</f>
        <v/>
      </c>
      <c r="AB967">
        <f>IF(AA967&lt;&gt;"",IF(AA967&lt;0,"Overdue",IF(AA967&lt;=Y967*0.2,"At Risk","On Time")),"")</f>
        <v/>
      </c>
    </row>
    <row r="968">
      <c r="K968">
        <f>IF(J968="v4.0",L968,IF(J968="v3.1",M968,IF(J968="Both",L968,IF(AND(L968&lt;&gt;"",M968=""),L968,M968))))</f>
        <v/>
      </c>
      <c r="Y968">
        <f>IF(T968="P0",1,IF(T968="P1",3,IF(T968="P2",7,IF(T968="P3",30,IF(T968="P4",30,7)))))</f>
        <v/>
      </c>
      <c r="Z968">
        <f>IF(U968&lt;&gt;"",U968+Y968,"")</f>
        <v/>
      </c>
      <c r="AA968">
        <f>IF(Z968&lt;&gt;"",Z968-TODAY(),"")</f>
        <v/>
      </c>
      <c r="AB968">
        <f>IF(AA968&lt;&gt;"",IF(AA968&lt;0,"Overdue",IF(AA968&lt;=Y968*0.2,"At Risk","On Time")),"")</f>
        <v/>
      </c>
    </row>
    <row r="969">
      <c r="K969">
        <f>IF(J969="v4.0",L969,IF(J969="v3.1",M969,IF(J969="Both",L969,IF(AND(L969&lt;&gt;"",M969=""),L969,M969))))</f>
        <v/>
      </c>
      <c r="Y969">
        <f>IF(T969="P0",1,IF(T969="P1",3,IF(T969="P2",7,IF(T969="P3",30,IF(T969="P4",30,7)))))</f>
        <v/>
      </c>
      <c r="Z969">
        <f>IF(U969&lt;&gt;"",U969+Y969,"")</f>
        <v/>
      </c>
      <c r="AA969">
        <f>IF(Z969&lt;&gt;"",Z969-TODAY(),"")</f>
        <v/>
      </c>
      <c r="AB969">
        <f>IF(AA969&lt;&gt;"",IF(AA969&lt;0,"Overdue",IF(AA969&lt;=Y969*0.2,"At Risk","On Time")),"")</f>
        <v/>
      </c>
    </row>
    <row r="970">
      <c r="K970">
        <f>IF(J970="v4.0",L970,IF(J970="v3.1",M970,IF(J970="Both",L970,IF(AND(L970&lt;&gt;"",M970=""),L970,M970))))</f>
        <v/>
      </c>
      <c r="Y970">
        <f>IF(T970="P0",1,IF(T970="P1",3,IF(T970="P2",7,IF(T970="P3",30,IF(T970="P4",30,7)))))</f>
        <v/>
      </c>
      <c r="Z970">
        <f>IF(U970&lt;&gt;"",U970+Y970,"")</f>
        <v/>
      </c>
      <c r="AA970">
        <f>IF(Z970&lt;&gt;"",Z970-TODAY(),"")</f>
        <v/>
      </c>
      <c r="AB970">
        <f>IF(AA970&lt;&gt;"",IF(AA970&lt;0,"Overdue",IF(AA970&lt;=Y970*0.2,"At Risk","On Time")),"")</f>
        <v/>
      </c>
    </row>
    <row r="971">
      <c r="K971">
        <f>IF(J971="v4.0",L971,IF(J971="v3.1",M971,IF(J971="Both",L971,IF(AND(L971&lt;&gt;"",M971=""),L971,M971))))</f>
        <v/>
      </c>
      <c r="Y971">
        <f>IF(T971="P0",1,IF(T971="P1",3,IF(T971="P2",7,IF(T971="P3",30,IF(T971="P4",30,7)))))</f>
        <v/>
      </c>
      <c r="Z971">
        <f>IF(U971&lt;&gt;"",U971+Y971,"")</f>
        <v/>
      </c>
      <c r="AA971">
        <f>IF(Z971&lt;&gt;"",Z971-TODAY(),"")</f>
        <v/>
      </c>
      <c r="AB971">
        <f>IF(AA971&lt;&gt;"",IF(AA971&lt;0,"Overdue",IF(AA971&lt;=Y971*0.2,"At Risk","On Time")),"")</f>
        <v/>
      </c>
    </row>
    <row r="972">
      <c r="K972">
        <f>IF(J972="v4.0",L972,IF(J972="v3.1",M972,IF(J972="Both",L972,IF(AND(L972&lt;&gt;"",M972=""),L972,M972))))</f>
        <v/>
      </c>
      <c r="Y972">
        <f>IF(T972="P0",1,IF(T972="P1",3,IF(T972="P2",7,IF(T972="P3",30,IF(T972="P4",30,7)))))</f>
        <v/>
      </c>
      <c r="Z972">
        <f>IF(U972&lt;&gt;"",U972+Y972,"")</f>
        <v/>
      </c>
      <c r="AA972">
        <f>IF(Z972&lt;&gt;"",Z972-TODAY(),"")</f>
        <v/>
      </c>
      <c r="AB972">
        <f>IF(AA972&lt;&gt;"",IF(AA972&lt;0,"Overdue",IF(AA972&lt;=Y972*0.2,"At Risk","On Time")),"")</f>
        <v/>
      </c>
    </row>
    <row r="973">
      <c r="K973">
        <f>IF(J973="v4.0",L973,IF(J973="v3.1",M973,IF(J973="Both",L973,IF(AND(L973&lt;&gt;"",M973=""),L973,M973))))</f>
        <v/>
      </c>
      <c r="Y973">
        <f>IF(T973="P0",1,IF(T973="P1",3,IF(T973="P2",7,IF(T973="P3",30,IF(T973="P4",30,7)))))</f>
        <v/>
      </c>
      <c r="Z973">
        <f>IF(U973&lt;&gt;"",U973+Y973,"")</f>
        <v/>
      </c>
      <c r="AA973">
        <f>IF(Z973&lt;&gt;"",Z973-TODAY(),"")</f>
        <v/>
      </c>
      <c r="AB973">
        <f>IF(AA973&lt;&gt;"",IF(AA973&lt;0,"Overdue",IF(AA973&lt;=Y973*0.2,"At Risk","On Time")),"")</f>
        <v/>
      </c>
    </row>
    <row r="974">
      <c r="K974">
        <f>IF(J974="v4.0",L974,IF(J974="v3.1",M974,IF(J974="Both",L974,IF(AND(L974&lt;&gt;"",M974=""),L974,M974))))</f>
        <v/>
      </c>
      <c r="Y974">
        <f>IF(T974="P0",1,IF(T974="P1",3,IF(T974="P2",7,IF(T974="P3",30,IF(T974="P4",30,7)))))</f>
        <v/>
      </c>
      <c r="Z974">
        <f>IF(U974&lt;&gt;"",U974+Y974,"")</f>
        <v/>
      </c>
      <c r="AA974">
        <f>IF(Z974&lt;&gt;"",Z974-TODAY(),"")</f>
        <v/>
      </c>
      <c r="AB974">
        <f>IF(AA974&lt;&gt;"",IF(AA974&lt;0,"Overdue",IF(AA974&lt;=Y974*0.2,"At Risk","On Time")),"")</f>
        <v/>
      </c>
    </row>
    <row r="975">
      <c r="K975">
        <f>IF(J975="v4.0",L975,IF(J975="v3.1",M975,IF(J975="Both",L975,IF(AND(L975&lt;&gt;"",M975=""),L975,M975))))</f>
        <v/>
      </c>
      <c r="Y975">
        <f>IF(T975="P0",1,IF(T975="P1",3,IF(T975="P2",7,IF(T975="P3",30,IF(T975="P4",30,7)))))</f>
        <v/>
      </c>
      <c r="Z975">
        <f>IF(U975&lt;&gt;"",U975+Y975,"")</f>
        <v/>
      </c>
      <c r="AA975">
        <f>IF(Z975&lt;&gt;"",Z975-TODAY(),"")</f>
        <v/>
      </c>
      <c r="AB975">
        <f>IF(AA975&lt;&gt;"",IF(AA975&lt;0,"Overdue",IF(AA975&lt;=Y975*0.2,"At Risk","On Time")),"")</f>
        <v/>
      </c>
    </row>
    <row r="976">
      <c r="K976">
        <f>IF(J976="v4.0",L976,IF(J976="v3.1",M976,IF(J976="Both",L976,IF(AND(L976&lt;&gt;"",M976=""),L976,M976))))</f>
        <v/>
      </c>
      <c r="Y976">
        <f>IF(T976="P0",1,IF(T976="P1",3,IF(T976="P2",7,IF(T976="P3",30,IF(T976="P4",30,7)))))</f>
        <v/>
      </c>
      <c r="Z976">
        <f>IF(U976&lt;&gt;"",U976+Y976,"")</f>
        <v/>
      </c>
      <c r="AA976">
        <f>IF(Z976&lt;&gt;"",Z976-TODAY(),"")</f>
        <v/>
      </c>
      <c r="AB976">
        <f>IF(AA976&lt;&gt;"",IF(AA976&lt;0,"Overdue",IF(AA976&lt;=Y976*0.2,"At Risk","On Time")),"")</f>
        <v/>
      </c>
    </row>
    <row r="977">
      <c r="K977">
        <f>IF(J977="v4.0",L977,IF(J977="v3.1",M977,IF(J977="Both",L977,IF(AND(L977&lt;&gt;"",M977=""),L977,M977))))</f>
        <v/>
      </c>
      <c r="Y977">
        <f>IF(T977="P0",1,IF(T977="P1",3,IF(T977="P2",7,IF(T977="P3",30,IF(T977="P4",30,7)))))</f>
        <v/>
      </c>
      <c r="Z977">
        <f>IF(U977&lt;&gt;"",U977+Y977,"")</f>
        <v/>
      </c>
      <c r="AA977">
        <f>IF(Z977&lt;&gt;"",Z977-TODAY(),"")</f>
        <v/>
      </c>
      <c r="AB977">
        <f>IF(AA977&lt;&gt;"",IF(AA977&lt;0,"Overdue",IF(AA977&lt;=Y977*0.2,"At Risk","On Time")),"")</f>
        <v/>
      </c>
    </row>
    <row r="978">
      <c r="K978">
        <f>IF(J978="v4.0",L978,IF(J978="v3.1",M978,IF(J978="Both",L978,IF(AND(L978&lt;&gt;"",M978=""),L978,M978))))</f>
        <v/>
      </c>
      <c r="Y978">
        <f>IF(T978="P0",1,IF(T978="P1",3,IF(T978="P2",7,IF(T978="P3",30,IF(T978="P4",30,7)))))</f>
        <v/>
      </c>
      <c r="Z978">
        <f>IF(U978&lt;&gt;"",U978+Y978,"")</f>
        <v/>
      </c>
      <c r="AA978">
        <f>IF(Z978&lt;&gt;"",Z978-TODAY(),"")</f>
        <v/>
      </c>
      <c r="AB978">
        <f>IF(AA978&lt;&gt;"",IF(AA978&lt;0,"Overdue",IF(AA978&lt;=Y978*0.2,"At Risk","On Time")),"")</f>
        <v/>
      </c>
    </row>
    <row r="979">
      <c r="K979">
        <f>IF(J979="v4.0",L979,IF(J979="v3.1",M979,IF(J979="Both",L979,IF(AND(L979&lt;&gt;"",M979=""),L979,M979))))</f>
        <v/>
      </c>
      <c r="Y979">
        <f>IF(T979="P0",1,IF(T979="P1",3,IF(T979="P2",7,IF(T979="P3",30,IF(T979="P4",30,7)))))</f>
        <v/>
      </c>
      <c r="Z979">
        <f>IF(U979&lt;&gt;"",U979+Y979,"")</f>
        <v/>
      </c>
      <c r="AA979">
        <f>IF(Z979&lt;&gt;"",Z979-TODAY(),"")</f>
        <v/>
      </c>
      <c r="AB979">
        <f>IF(AA979&lt;&gt;"",IF(AA979&lt;0,"Overdue",IF(AA979&lt;=Y979*0.2,"At Risk","On Time")),"")</f>
        <v/>
      </c>
    </row>
    <row r="980">
      <c r="K980">
        <f>IF(J980="v4.0",L980,IF(J980="v3.1",M980,IF(J980="Both",L980,IF(AND(L980&lt;&gt;"",M980=""),L980,M980))))</f>
        <v/>
      </c>
      <c r="Y980">
        <f>IF(T980="P0",1,IF(T980="P1",3,IF(T980="P2",7,IF(T980="P3",30,IF(T980="P4",30,7)))))</f>
        <v/>
      </c>
      <c r="Z980">
        <f>IF(U980&lt;&gt;"",U980+Y980,"")</f>
        <v/>
      </c>
      <c r="AA980">
        <f>IF(Z980&lt;&gt;"",Z980-TODAY(),"")</f>
        <v/>
      </c>
      <c r="AB980">
        <f>IF(AA980&lt;&gt;"",IF(AA980&lt;0,"Overdue",IF(AA980&lt;=Y980*0.2,"At Risk","On Time")),"")</f>
        <v/>
      </c>
    </row>
    <row r="981">
      <c r="K981">
        <f>IF(J981="v4.0",L981,IF(J981="v3.1",M981,IF(J981="Both",L981,IF(AND(L981&lt;&gt;"",M981=""),L981,M981))))</f>
        <v/>
      </c>
      <c r="Y981">
        <f>IF(T981="P0",1,IF(T981="P1",3,IF(T981="P2",7,IF(T981="P3",30,IF(T981="P4",30,7)))))</f>
        <v/>
      </c>
      <c r="Z981">
        <f>IF(U981&lt;&gt;"",U981+Y981,"")</f>
        <v/>
      </c>
      <c r="AA981">
        <f>IF(Z981&lt;&gt;"",Z981-TODAY(),"")</f>
        <v/>
      </c>
      <c r="AB981">
        <f>IF(AA981&lt;&gt;"",IF(AA981&lt;0,"Overdue",IF(AA981&lt;=Y981*0.2,"At Risk","On Time")),"")</f>
        <v/>
      </c>
    </row>
    <row r="982">
      <c r="K982">
        <f>IF(J982="v4.0",L982,IF(J982="v3.1",M982,IF(J982="Both",L982,IF(AND(L982&lt;&gt;"",M982=""),L982,M982))))</f>
        <v/>
      </c>
      <c r="Y982">
        <f>IF(T982="P0",1,IF(T982="P1",3,IF(T982="P2",7,IF(T982="P3",30,IF(T982="P4",30,7)))))</f>
        <v/>
      </c>
      <c r="Z982">
        <f>IF(U982&lt;&gt;"",U982+Y982,"")</f>
        <v/>
      </c>
      <c r="AA982">
        <f>IF(Z982&lt;&gt;"",Z982-TODAY(),"")</f>
        <v/>
      </c>
      <c r="AB982">
        <f>IF(AA982&lt;&gt;"",IF(AA982&lt;0,"Overdue",IF(AA982&lt;=Y982*0.2,"At Risk","On Time")),"")</f>
        <v/>
      </c>
    </row>
    <row r="983">
      <c r="K983">
        <f>IF(J983="v4.0",L983,IF(J983="v3.1",M983,IF(J983="Both",L983,IF(AND(L983&lt;&gt;"",M983=""),L983,M983))))</f>
        <v/>
      </c>
      <c r="Y983">
        <f>IF(T983="P0",1,IF(T983="P1",3,IF(T983="P2",7,IF(T983="P3",30,IF(T983="P4",30,7)))))</f>
        <v/>
      </c>
      <c r="Z983">
        <f>IF(U983&lt;&gt;"",U983+Y983,"")</f>
        <v/>
      </c>
      <c r="AA983">
        <f>IF(Z983&lt;&gt;"",Z983-TODAY(),"")</f>
        <v/>
      </c>
      <c r="AB983">
        <f>IF(AA983&lt;&gt;"",IF(AA983&lt;0,"Overdue",IF(AA983&lt;=Y983*0.2,"At Risk","On Time")),"")</f>
        <v/>
      </c>
    </row>
    <row r="984">
      <c r="K984">
        <f>IF(J984="v4.0",L984,IF(J984="v3.1",M984,IF(J984="Both",L984,IF(AND(L984&lt;&gt;"",M984=""),L984,M984))))</f>
        <v/>
      </c>
      <c r="Y984">
        <f>IF(T984="P0",1,IF(T984="P1",3,IF(T984="P2",7,IF(T984="P3",30,IF(T984="P4",30,7)))))</f>
        <v/>
      </c>
      <c r="Z984">
        <f>IF(U984&lt;&gt;"",U984+Y984,"")</f>
        <v/>
      </c>
      <c r="AA984">
        <f>IF(Z984&lt;&gt;"",Z984-TODAY(),"")</f>
        <v/>
      </c>
      <c r="AB984">
        <f>IF(AA984&lt;&gt;"",IF(AA984&lt;0,"Overdue",IF(AA984&lt;=Y984*0.2,"At Risk","On Time")),"")</f>
        <v/>
      </c>
    </row>
    <row r="985">
      <c r="K985">
        <f>IF(J985="v4.0",L985,IF(J985="v3.1",M985,IF(J985="Both",L985,IF(AND(L985&lt;&gt;"",M985=""),L985,M985))))</f>
        <v/>
      </c>
      <c r="Y985">
        <f>IF(T985="P0",1,IF(T985="P1",3,IF(T985="P2",7,IF(T985="P3",30,IF(T985="P4",30,7)))))</f>
        <v/>
      </c>
      <c r="Z985">
        <f>IF(U985&lt;&gt;"",U985+Y985,"")</f>
        <v/>
      </c>
      <c r="AA985">
        <f>IF(Z985&lt;&gt;"",Z985-TODAY(),"")</f>
        <v/>
      </c>
      <c r="AB985">
        <f>IF(AA985&lt;&gt;"",IF(AA985&lt;0,"Overdue",IF(AA985&lt;=Y985*0.2,"At Risk","On Time")),"")</f>
        <v/>
      </c>
    </row>
    <row r="986">
      <c r="K986">
        <f>IF(J986="v4.0",L986,IF(J986="v3.1",M986,IF(J986="Both",L986,IF(AND(L986&lt;&gt;"",M986=""),L986,M986))))</f>
        <v/>
      </c>
      <c r="Y986">
        <f>IF(T986="P0",1,IF(T986="P1",3,IF(T986="P2",7,IF(T986="P3",30,IF(T986="P4",30,7)))))</f>
        <v/>
      </c>
      <c r="Z986">
        <f>IF(U986&lt;&gt;"",U986+Y986,"")</f>
        <v/>
      </c>
      <c r="AA986">
        <f>IF(Z986&lt;&gt;"",Z986-TODAY(),"")</f>
        <v/>
      </c>
      <c r="AB986">
        <f>IF(AA986&lt;&gt;"",IF(AA986&lt;0,"Overdue",IF(AA986&lt;=Y986*0.2,"At Risk","On Time")),"")</f>
        <v/>
      </c>
    </row>
    <row r="987">
      <c r="K987">
        <f>IF(J987="v4.0",L987,IF(J987="v3.1",M987,IF(J987="Both",L987,IF(AND(L987&lt;&gt;"",M987=""),L987,M987))))</f>
        <v/>
      </c>
      <c r="Y987">
        <f>IF(T987="P0",1,IF(T987="P1",3,IF(T987="P2",7,IF(T987="P3",30,IF(T987="P4",30,7)))))</f>
        <v/>
      </c>
      <c r="Z987">
        <f>IF(U987&lt;&gt;"",U987+Y987,"")</f>
        <v/>
      </c>
      <c r="AA987">
        <f>IF(Z987&lt;&gt;"",Z987-TODAY(),"")</f>
        <v/>
      </c>
      <c r="AB987">
        <f>IF(AA987&lt;&gt;"",IF(AA987&lt;0,"Overdue",IF(AA987&lt;=Y987*0.2,"At Risk","On Time")),"")</f>
        <v/>
      </c>
    </row>
    <row r="988">
      <c r="K988">
        <f>IF(J988="v4.0",L988,IF(J988="v3.1",M988,IF(J988="Both",L988,IF(AND(L988&lt;&gt;"",M988=""),L988,M988))))</f>
        <v/>
      </c>
      <c r="Y988">
        <f>IF(T988="P0",1,IF(T988="P1",3,IF(T988="P2",7,IF(T988="P3",30,IF(T988="P4",30,7)))))</f>
        <v/>
      </c>
      <c r="Z988">
        <f>IF(U988&lt;&gt;"",U988+Y988,"")</f>
        <v/>
      </c>
      <c r="AA988">
        <f>IF(Z988&lt;&gt;"",Z988-TODAY(),"")</f>
        <v/>
      </c>
      <c r="AB988">
        <f>IF(AA988&lt;&gt;"",IF(AA988&lt;0,"Overdue",IF(AA988&lt;=Y988*0.2,"At Risk","On Time")),"")</f>
        <v/>
      </c>
    </row>
    <row r="989">
      <c r="K989">
        <f>IF(J989="v4.0",L989,IF(J989="v3.1",M989,IF(J989="Both",L989,IF(AND(L989&lt;&gt;"",M989=""),L989,M989))))</f>
        <v/>
      </c>
      <c r="Y989">
        <f>IF(T989="P0",1,IF(T989="P1",3,IF(T989="P2",7,IF(T989="P3",30,IF(T989="P4",30,7)))))</f>
        <v/>
      </c>
      <c r="Z989">
        <f>IF(U989&lt;&gt;"",U989+Y989,"")</f>
        <v/>
      </c>
      <c r="AA989">
        <f>IF(Z989&lt;&gt;"",Z989-TODAY(),"")</f>
        <v/>
      </c>
      <c r="AB989">
        <f>IF(AA989&lt;&gt;"",IF(AA989&lt;0,"Overdue",IF(AA989&lt;=Y989*0.2,"At Risk","On Time")),"")</f>
        <v/>
      </c>
    </row>
    <row r="990">
      <c r="K990">
        <f>IF(J990="v4.0",L990,IF(J990="v3.1",M990,IF(J990="Both",L990,IF(AND(L990&lt;&gt;"",M990=""),L990,M990))))</f>
        <v/>
      </c>
      <c r="Y990">
        <f>IF(T990="P0",1,IF(T990="P1",3,IF(T990="P2",7,IF(T990="P3",30,IF(T990="P4",30,7)))))</f>
        <v/>
      </c>
      <c r="Z990">
        <f>IF(U990&lt;&gt;"",U990+Y990,"")</f>
        <v/>
      </c>
      <c r="AA990">
        <f>IF(Z990&lt;&gt;"",Z990-TODAY(),"")</f>
        <v/>
      </c>
      <c r="AB990">
        <f>IF(AA990&lt;&gt;"",IF(AA990&lt;0,"Overdue",IF(AA990&lt;=Y990*0.2,"At Risk","On Time")),"")</f>
        <v/>
      </c>
    </row>
    <row r="991">
      <c r="K991">
        <f>IF(J991="v4.0",L991,IF(J991="v3.1",M991,IF(J991="Both",L991,IF(AND(L991&lt;&gt;"",M991=""),L991,M991))))</f>
        <v/>
      </c>
      <c r="Y991">
        <f>IF(T991="P0",1,IF(T991="P1",3,IF(T991="P2",7,IF(T991="P3",30,IF(T991="P4",30,7)))))</f>
        <v/>
      </c>
      <c r="Z991">
        <f>IF(U991&lt;&gt;"",U991+Y991,"")</f>
        <v/>
      </c>
      <c r="AA991">
        <f>IF(Z991&lt;&gt;"",Z991-TODAY(),"")</f>
        <v/>
      </c>
      <c r="AB991">
        <f>IF(AA991&lt;&gt;"",IF(AA991&lt;0,"Overdue",IF(AA991&lt;=Y991*0.2,"At Risk","On Time")),"")</f>
        <v/>
      </c>
    </row>
    <row r="992">
      <c r="K992">
        <f>IF(J992="v4.0",L992,IF(J992="v3.1",M992,IF(J992="Both",L992,IF(AND(L992&lt;&gt;"",M992=""),L992,M992))))</f>
        <v/>
      </c>
      <c r="Y992">
        <f>IF(T992="P0",1,IF(T992="P1",3,IF(T992="P2",7,IF(T992="P3",30,IF(T992="P4",30,7)))))</f>
        <v/>
      </c>
      <c r="Z992">
        <f>IF(U992&lt;&gt;"",U992+Y992,"")</f>
        <v/>
      </c>
      <c r="AA992">
        <f>IF(Z992&lt;&gt;"",Z992-TODAY(),"")</f>
        <v/>
      </c>
      <c r="AB992">
        <f>IF(AA992&lt;&gt;"",IF(AA992&lt;0,"Overdue",IF(AA992&lt;=Y992*0.2,"At Risk","On Time")),"")</f>
        <v/>
      </c>
    </row>
    <row r="993">
      <c r="K993">
        <f>IF(J993="v4.0",L993,IF(J993="v3.1",M993,IF(J993="Both",L993,IF(AND(L993&lt;&gt;"",M993=""),L993,M993))))</f>
        <v/>
      </c>
      <c r="Y993">
        <f>IF(T993="P0",1,IF(T993="P1",3,IF(T993="P2",7,IF(T993="P3",30,IF(T993="P4",30,7)))))</f>
        <v/>
      </c>
      <c r="Z993">
        <f>IF(U993&lt;&gt;"",U993+Y993,"")</f>
        <v/>
      </c>
      <c r="AA993">
        <f>IF(Z993&lt;&gt;"",Z993-TODAY(),"")</f>
        <v/>
      </c>
      <c r="AB993">
        <f>IF(AA993&lt;&gt;"",IF(AA993&lt;0,"Overdue",IF(AA993&lt;=Y993*0.2,"At Risk","On Time")),"")</f>
        <v/>
      </c>
    </row>
    <row r="994">
      <c r="K994">
        <f>IF(J994="v4.0",L994,IF(J994="v3.1",M994,IF(J994="Both",L994,IF(AND(L994&lt;&gt;"",M994=""),L994,M994))))</f>
        <v/>
      </c>
      <c r="Y994">
        <f>IF(T994="P0",1,IF(T994="P1",3,IF(T994="P2",7,IF(T994="P3",30,IF(T994="P4",30,7)))))</f>
        <v/>
      </c>
      <c r="Z994">
        <f>IF(U994&lt;&gt;"",U994+Y994,"")</f>
        <v/>
      </c>
      <c r="AA994">
        <f>IF(Z994&lt;&gt;"",Z994-TODAY(),"")</f>
        <v/>
      </c>
      <c r="AB994">
        <f>IF(AA994&lt;&gt;"",IF(AA994&lt;0,"Overdue",IF(AA994&lt;=Y994*0.2,"At Risk","On Time")),"")</f>
        <v/>
      </c>
    </row>
    <row r="995">
      <c r="K995">
        <f>IF(J995="v4.0",L995,IF(J995="v3.1",M995,IF(J995="Both",L995,IF(AND(L995&lt;&gt;"",M995=""),L995,M995))))</f>
        <v/>
      </c>
      <c r="Y995">
        <f>IF(T995="P0",1,IF(T995="P1",3,IF(T995="P2",7,IF(T995="P3",30,IF(T995="P4",30,7)))))</f>
        <v/>
      </c>
      <c r="Z995">
        <f>IF(U995&lt;&gt;"",U995+Y995,"")</f>
        <v/>
      </c>
      <c r="AA995">
        <f>IF(Z995&lt;&gt;"",Z995-TODAY(),"")</f>
        <v/>
      </c>
      <c r="AB995">
        <f>IF(AA995&lt;&gt;"",IF(AA995&lt;0,"Overdue",IF(AA995&lt;=Y995*0.2,"At Risk","On Time")),"")</f>
        <v/>
      </c>
    </row>
    <row r="996">
      <c r="K996">
        <f>IF(J996="v4.0",L996,IF(J996="v3.1",M996,IF(J996="Both",L996,IF(AND(L996&lt;&gt;"",M996=""),L996,M996))))</f>
        <v/>
      </c>
      <c r="Y996">
        <f>IF(T996="P0",1,IF(T996="P1",3,IF(T996="P2",7,IF(T996="P3",30,IF(T996="P4",30,7)))))</f>
        <v/>
      </c>
      <c r="Z996">
        <f>IF(U996&lt;&gt;"",U996+Y996,"")</f>
        <v/>
      </c>
      <c r="AA996">
        <f>IF(Z996&lt;&gt;"",Z996-TODAY(),"")</f>
        <v/>
      </c>
      <c r="AB996">
        <f>IF(AA996&lt;&gt;"",IF(AA996&lt;0,"Overdue",IF(AA996&lt;=Y996*0.2,"At Risk","On Time")),"")</f>
        <v/>
      </c>
    </row>
    <row r="997">
      <c r="K997">
        <f>IF(J997="v4.0",L997,IF(J997="v3.1",M997,IF(J997="Both",L997,IF(AND(L997&lt;&gt;"",M997=""),L997,M997))))</f>
        <v/>
      </c>
      <c r="Y997">
        <f>IF(T997="P0",1,IF(T997="P1",3,IF(T997="P2",7,IF(T997="P3",30,IF(T997="P4",30,7)))))</f>
        <v/>
      </c>
      <c r="Z997">
        <f>IF(U997&lt;&gt;"",U997+Y997,"")</f>
        <v/>
      </c>
      <c r="AA997">
        <f>IF(Z997&lt;&gt;"",Z997-TODAY(),"")</f>
        <v/>
      </c>
      <c r="AB997">
        <f>IF(AA997&lt;&gt;"",IF(AA997&lt;0,"Overdue",IF(AA997&lt;=Y997*0.2,"At Risk","On Time")),"")</f>
        <v/>
      </c>
    </row>
    <row r="998">
      <c r="K998">
        <f>IF(J998="v4.0",L998,IF(J998="v3.1",M998,IF(J998="Both",L998,IF(AND(L998&lt;&gt;"",M998=""),L998,M998))))</f>
        <v/>
      </c>
      <c r="Y998">
        <f>IF(T998="P0",1,IF(T998="P1",3,IF(T998="P2",7,IF(T998="P3",30,IF(T998="P4",30,7)))))</f>
        <v/>
      </c>
      <c r="Z998">
        <f>IF(U998&lt;&gt;"",U998+Y998,"")</f>
        <v/>
      </c>
      <c r="AA998">
        <f>IF(Z998&lt;&gt;"",Z998-TODAY(),"")</f>
        <v/>
      </c>
      <c r="AB998">
        <f>IF(AA998&lt;&gt;"",IF(AA998&lt;0,"Overdue",IF(AA998&lt;=Y998*0.2,"At Risk","On Time")),"")</f>
        <v/>
      </c>
    </row>
    <row r="999">
      <c r="K999">
        <f>IF(J999="v4.0",L999,IF(J999="v3.1",M999,IF(J999="Both",L999,IF(AND(L999&lt;&gt;"",M999=""),L999,M999))))</f>
        <v/>
      </c>
      <c r="Y999">
        <f>IF(T999="P0",1,IF(T999="P1",3,IF(T999="P2",7,IF(T999="P3",30,IF(T999="P4",30,7)))))</f>
        <v/>
      </c>
      <c r="Z999">
        <f>IF(U999&lt;&gt;"",U999+Y999,"")</f>
        <v/>
      </c>
      <c r="AA999">
        <f>IF(Z999&lt;&gt;"",Z999-TODAY(),"")</f>
        <v/>
      </c>
      <c r="AB999">
        <f>IF(AA999&lt;&gt;"",IF(AA999&lt;0,"Overdue",IF(AA999&lt;=Y999*0.2,"At Risk","On Time")),"")</f>
        <v/>
      </c>
    </row>
    <row r="1000">
      <c r="K1000">
        <f>IF(J1000="v4.0",L1000,IF(J1000="v3.1",M1000,IF(J1000="Both",L1000,IF(AND(L1000&lt;&gt;"",M1000=""),L1000,M1000))))</f>
        <v/>
      </c>
      <c r="Y1000">
        <f>IF(T1000="P0",1,IF(T1000="P1",3,IF(T1000="P2",7,IF(T1000="P3",30,IF(T1000="P4",30,7)))))</f>
        <v/>
      </c>
      <c r="Z1000">
        <f>IF(U1000&lt;&gt;"",U1000+Y1000,"")</f>
        <v/>
      </c>
      <c r="AA1000">
        <f>IF(Z1000&lt;&gt;"",Z1000-TODAY(),"")</f>
        <v/>
      </c>
      <c r="AB1000">
        <f>IF(AA1000&lt;&gt;"",IF(AA1000&lt;0,"Overdue",IF(AA1000&lt;=Y1000*0.2,"At Risk","On Time")),"")</f>
        <v/>
      </c>
    </row>
  </sheetData>
  <conditionalFormatting sqref="A2:AF1000">
    <cfRule type="expression" priority="1" dxfId="0">
      <formula>$T2="P0"</formula>
    </cfRule>
    <cfRule type="expression" priority="2" dxfId="1">
      <formula>$AB2="Overdue"</formula>
    </cfRule>
    <cfRule type="expression" priority="5" dxfId="2">
      <formula>AND($Q2="P",$K2&gt;=7.0)</formula>
    </cfRule>
  </conditionalFormatting>
  <conditionalFormatting sqref="AB2:AB1000">
    <cfRule type="cellIs" priority="3" operator="equal" dxfId="3">
      <formula>"At Risk"</formula>
    </cfRule>
  </conditionalFormatting>
  <conditionalFormatting sqref="P2:P1000">
    <cfRule type="cellIs" priority="4" operator="equal" dxfId="4">
      <formula>"Y"</formula>
    </cfRule>
  </conditionalFormatting>
  <dataValidations count="11">
    <dataValidation sqref="F2:F1000" showDropDown="0" showInputMessage="0" showErrorMessage="0" allowBlank="0" type="list">
      <formula1>"Server,Endpoint,Network Device,Cloud Service,OT/ICS,Application,Database,Other"</formula1>
    </dataValidation>
    <dataValidation sqref="G2:G1000" showDropDown="0" showInputMessage="0" showErrorMessage="0" allowBlank="0" type="list">
      <formula1>"Production,Staging,Development,DR/Backup,Management,DMZ"</formula1>
    </dataValidation>
    <dataValidation sqref="J2:J1000" showDropDown="0" showInputMessage="0" showErrorMessage="0" allowBlank="0" type="list">
      <formula1>"v4.0,v3.1,Both,Unknown"</formula1>
    </dataValidation>
    <dataValidation sqref="L2:L1000" showDropDown="0" showInputMessage="0" showErrorMessage="0" allowBlank="1" type="decimal" operator="between">
      <formula1>0.0</formula1>
      <formula2>10.0</formula2>
    </dataValidation>
    <dataValidation sqref="M2:M1000" showDropDown="0" showInputMessage="0" showErrorMessage="0" allowBlank="1" type="decimal" operator="between">
      <formula1>0.0</formula1>
      <formula2>10.0</formula2>
    </dataValidation>
    <dataValidation sqref="P2:P1000" showDropDown="0" showInputMessage="0" showErrorMessage="0" allowBlank="0" type="list">
      <formula1>"Y,N,X,N/A"</formula1>
    </dataValidation>
    <dataValidation sqref="Q2:Q1000" showDropDown="0" showInputMessage="0" showErrorMessage="0" allowBlank="0" type="list">
      <formula1>"P,N,X,N/A"</formula1>
    </dataValidation>
    <dataValidation sqref="R2:R1000" showDropDown="0" showInputMessage="0" showErrorMessage="0" allowBlank="0" type="list">
      <formula1>"NVD,Vendor,Scanner,Manual"</formula1>
    </dataValidation>
    <dataValidation sqref="V2:V1000" showDropDown="0" showInputMessage="0" showErrorMessage="0" allowBlank="0" type="list">
      <formula1>"Patch,Configuration Change,Software Upgrade,Workaround,System Replacement,Other"</formula1>
    </dataValidation>
    <dataValidation sqref="X2:X1000" showDropDown="0" showInputMessage="0" showErrorMessage="0" allowBlank="0" type="list">
      <formula1>"Vulnerability Scan,Manual Verification,Penetration Test,Exploit Attempt,Combination,Other"</formula1>
    </dataValidation>
    <dataValidation sqref="AE2:AE1000" showDropDown="0" showInputMessage="0" showErrorMessage="0" allowBlank="0" type="list">
      <formula1>"Pending,In Progress,Complete,Failed,Cancelled"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80" customWidth="1" min="4" max="4"/>
    <col width="60" customWidth="1" min="5" max="5"/>
    <col width="40" customWidth="1" min="6" max="6"/>
    <col width="12" customWidth="1" min="7" max="7"/>
    <col width="14" customWidth="1" min="8" max="8"/>
    <col width="14" customWidth="1" min="9" max="9"/>
    <col width="60" customWidth="1" min="10" max="10"/>
  </cols>
  <sheetData>
    <row r="1">
      <c r="A1" s="4" t="inlineStr">
        <is>
          <t>Vulnerability_Category</t>
        </is>
      </c>
      <c r="B1" s="4" t="inlineStr">
        <is>
          <t>Recommended_Method</t>
        </is>
      </c>
      <c r="C1" s="4" t="inlineStr">
        <is>
          <t>Alternate_Method</t>
        </is>
      </c>
      <c r="D1" s="4" t="inlineStr">
        <is>
          <t>Test_Procedure</t>
        </is>
      </c>
      <c r="E1" s="4" t="inlineStr">
        <is>
          <t>Success_Criteria</t>
        </is>
      </c>
      <c r="F1" s="4" t="inlineStr">
        <is>
          <t>Tools_Required</t>
        </is>
      </c>
      <c r="G1" s="4" t="inlineStr">
        <is>
          <t>Estimated_Time</t>
        </is>
      </c>
      <c r="H1" s="4" t="inlineStr">
        <is>
          <t>Requires_Penetration_Test</t>
        </is>
      </c>
      <c r="I1" s="4" t="inlineStr">
        <is>
          <t>Priority_Level</t>
        </is>
      </c>
      <c r="J1" s="4" t="inlineStr">
        <is>
          <t>Evidence_Required</t>
        </is>
      </c>
    </row>
    <row r="2">
      <c r="A2" t="inlineStr">
        <is>
          <t>SQL Injection</t>
        </is>
      </c>
      <c r="B2" t="inlineStr">
        <is>
          <t>Vulnerability Scan + Manual</t>
        </is>
      </c>
      <c r="C2" t="inlineStr">
        <is>
          <t>Penetration Test</t>
        </is>
      </c>
      <c r="D2" t="inlineStr">
        <is>
          <t>1) Run authenticated scan 2) Confirm fixed 3) Manual SQLi attempts 4) Document results</t>
        </is>
      </c>
      <c r="E2" t="inlineStr">
        <is>
          <t>Scanner confirms patched, manual injection attempts blocked</t>
        </is>
      </c>
      <c r="F2" t="inlineStr">
        <is>
          <t>SQLMap, Burp Suite, Nessus</t>
        </is>
      </c>
      <c r="G2" t="inlineStr">
        <is>
          <t>2-4 hours</t>
        </is>
      </c>
      <c r="H2" t="inlineStr">
        <is>
          <t>Y</t>
        </is>
      </c>
      <c r="I2" t="inlineStr">
        <is>
          <t>P0/P1</t>
        </is>
      </c>
      <c r="J2" t="inlineStr">
        <is>
          <t>Scan report, screenshots, WAF logs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Execution_ID</t>
        </is>
      </c>
      <c r="B1" s="4" t="inlineStr">
        <is>
          <t>Verification_ID</t>
        </is>
      </c>
      <c r="C1" s="4" t="inlineStr">
        <is>
          <t>Test_Date</t>
        </is>
      </c>
      <c r="D1" s="4" t="inlineStr">
        <is>
          <t>Tester_Name</t>
        </is>
      </c>
      <c r="E1" s="4" t="inlineStr">
        <is>
          <t>Test_Method</t>
        </is>
      </c>
      <c r="F1" s="4" t="inlineStr">
        <is>
          <t>Test_Procedure_Used</t>
        </is>
      </c>
      <c r="G1" s="4" t="inlineStr">
        <is>
          <t>Tools_Used</t>
        </is>
      </c>
      <c r="H1" s="4" t="inlineStr">
        <is>
          <t>Test_Duration_Minutes</t>
        </is>
      </c>
      <c r="I1" s="4" t="inlineStr">
        <is>
          <t>Pre_Test_State</t>
        </is>
      </c>
      <c r="J1" s="4" t="inlineStr">
        <is>
          <t>Test_Steps_Executed</t>
        </is>
      </c>
      <c r="K1" s="4" t="inlineStr">
        <is>
          <t>Test_Results</t>
        </is>
      </c>
      <c r="L1" s="4" t="inlineStr">
        <is>
          <t>Evidence_Location</t>
        </is>
      </c>
      <c r="M1" s="4" t="inlineStr">
        <is>
          <t>Exploitation_Attempted</t>
        </is>
      </c>
      <c r="N1" s="4" t="inlineStr">
        <is>
          <t>Verification_Result</t>
        </is>
      </c>
      <c r="O1" s="4" t="inlineStr">
        <is>
          <t>Time_to_Verify_Days</t>
        </is>
      </c>
      <c r="P1" s="4" t="inlineStr">
        <is>
          <t>Issues_Found</t>
        </is>
      </c>
      <c r="Q1" s="4" t="inlineStr">
        <is>
          <t>Recommendations</t>
        </is>
      </c>
      <c r="R1" s="4" t="inlineStr">
        <is>
          <t>Reviewed_By</t>
        </is>
      </c>
      <c r="S1" s="4" t="inlineStr">
        <is>
          <t>Review_Date</t>
        </is>
      </c>
      <c r="T1" s="4" t="inlineStr">
        <is>
          <t>Sign_Off_Status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Scan_ID</t>
        </is>
      </c>
      <c r="B1" s="4" t="inlineStr">
        <is>
          <t>Verification_ID</t>
        </is>
      </c>
      <c r="C1" s="4" t="inlineStr">
        <is>
          <t>Scan_Date</t>
        </is>
      </c>
      <c r="D1" s="4" t="inlineStr">
        <is>
          <t>Scanner_Name</t>
        </is>
      </c>
      <c r="E1" s="4" t="inlineStr">
        <is>
          <t>Scanner_Version</t>
        </is>
      </c>
      <c r="F1" s="4" t="inlineStr">
        <is>
          <t>Scan_Type</t>
        </is>
      </c>
      <c r="G1" s="4" t="inlineStr">
        <is>
          <t>Target_System</t>
        </is>
      </c>
      <c r="H1" s="4" t="inlineStr">
        <is>
          <t>CVE_Searched</t>
        </is>
      </c>
      <c r="I1" s="4" t="inlineStr">
        <is>
          <t>Vulnerability_Found</t>
        </is>
      </c>
      <c r="J1" s="4" t="inlineStr">
        <is>
          <t>Current_Severity</t>
        </is>
      </c>
      <c r="K1" s="4" t="inlineStr">
        <is>
          <t>Previous_Severity</t>
        </is>
      </c>
      <c r="L1" s="4" t="inlineStr">
        <is>
          <t>Version_Detected</t>
        </is>
      </c>
      <c r="M1" s="4" t="inlineStr">
        <is>
          <t>Expected_Version</t>
        </is>
      </c>
      <c r="N1" s="4" t="inlineStr">
        <is>
          <t>Version_Match</t>
        </is>
      </c>
      <c r="O1" s="4" t="inlineStr">
        <is>
          <t>Related_Findings</t>
        </is>
      </c>
      <c r="P1" s="4" t="inlineStr">
        <is>
          <t>False_Positive</t>
        </is>
      </c>
      <c r="Q1" s="4" t="inlineStr">
        <is>
          <t>Scan_Report_Path</t>
        </is>
      </c>
      <c r="R1" s="4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Manual_Test_ID</t>
        </is>
      </c>
      <c r="B1" s="4" t="inlineStr">
        <is>
          <t>Verification_ID</t>
        </is>
      </c>
      <c r="C1" s="4" t="inlineStr">
        <is>
          <t>Test_Date</t>
        </is>
      </c>
      <c r="D1" s="4" t="inlineStr">
        <is>
          <t>Tester_Name</t>
        </is>
      </c>
      <c r="E1" s="4" t="inlineStr">
        <is>
          <t>Test_Type</t>
        </is>
      </c>
      <c r="F1" s="4" t="inlineStr">
        <is>
          <t>Test_Description</t>
        </is>
      </c>
      <c r="G1" s="4" t="inlineStr">
        <is>
          <t>Pre_Patch_Behavior</t>
        </is>
      </c>
      <c r="H1" s="4" t="inlineStr">
        <is>
          <t>Post_Patch_Behavior</t>
        </is>
      </c>
      <c r="I1" s="4" t="inlineStr">
        <is>
          <t>Exploit_Successful</t>
        </is>
      </c>
      <c r="J1" s="4" t="inlineStr">
        <is>
          <t>Evidence_Type</t>
        </is>
      </c>
      <c r="K1" s="4" t="inlineStr">
        <is>
          <t>Evidence_Location</t>
        </is>
      </c>
      <c r="L1" s="4" t="inlineStr">
        <is>
          <t>Test_Conclusion</t>
        </is>
      </c>
      <c r="M1" s="4" t="inlineStr">
        <is>
          <t>Confidence_Level</t>
        </is>
      </c>
      <c r="N1" s="4" t="inlineStr">
        <is>
          <t>Retesting_Required</t>
        </is>
      </c>
      <c r="O1" s="4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Re_Remediation_ID</t>
        </is>
      </c>
      <c r="B1" s="4" t="inlineStr">
        <is>
          <t>Verification_ID</t>
        </is>
      </c>
      <c r="C1" s="4" t="inlineStr">
        <is>
          <t>Original_Remediation_Date</t>
        </is>
      </c>
      <c r="D1" s="4" t="inlineStr">
        <is>
          <t>Verification_Fail_Date</t>
        </is>
      </c>
      <c r="E1" s="4" t="inlineStr">
        <is>
          <t>Failure_Reason</t>
        </is>
      </c>
      <c r="F1" s="4" t="inlineStr">
        <is>
          <t>Root_Cause</t>
        </is>
      </c>
      <c r="G1" s="4" t="inlineStr">
        <is>
          <t>Remediation_Method_Failed</t>
        </is>
      </c>
      <c r="H1" s="4" t="inlineStr">
        <is>
          <t>New_Remediation_Plan</t>
        </is>
      </c>
      <c r="I1" s="4" t="inlineStr">
        <is>
          <t>Re_Remediation_Date</t>
        </is>
      </c>
      <c r="J1" s="4" t="inlineStr">
        <is>
          <t>Re_Deployed_By</t>
        </is>
      </c>
      <c r="K1" s="4" t="inlineStr">
        <is>
          <t>Re_Verification_ID</t>
        </is>
      </c>
      <c r="L1" s="4" t="inlineStr">
        <is>
          <t>Re_Verification_Result</t>
        </is>
      </c>
      <c r="M1" s="4" t="inlineStr">
        <is>
          <t>Total_Remediation_Attempts</t>
        </is>
      </c>
      <c r="N1" s="4" t="inlineStr">
        <is>
          <t>Escalated_To</t>
        </is>
      </c>
      <c r="O1" s="4" t="inlineStr">
        <is>
          <t>Closure_Status</t>
        </is>
      </c>
      <c r="P1" s="4" t="inlineStr">
        <is>
          <t>Lessons_Learned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20" customWidth="1" min="4" max="4"/>
  </cols>
  <sheetData>
    <row r="1">
      <c r="A1" s="6" t="inlineStr">
        <is>
          <t>VERIFICATION TESTING DASHBOARD</t>
        </is>
      </c>
    </row>
    <row r="3">
      <c r="A3" s="2" t="inlineStr">
        <is>
          <t>SECTION A: EXECUTIVE SUMMARY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Target</t>
        </is>
      </c>
      <c r="D5" s="4" t="inlineStr">
        <is>
          <t>Status</t>
        </is>
      </c>
    </row>
    <row r="6">
      <c r="A6" t="inlineStr">
        <is>
          <t>Total Pending Verifications</t>
        </is>
      </c>
      <c r="B6">
        <f>COUNTA(Verification_Queue!A:A)-1</f>
        <v/>
      </c>
      <c r="C6" t="inlineStr">
        <is>
          <t>&lt;50</t>
        </is>
      </c>
      <c r="D6" t="inlineStr">
        <is>
          <t>[Gauge]</t>
        </is>
      </c>
    </row>
    <row r="7">
      <c r="A7" t="inlineStr">
        <is>
          <t>Overdue Verifications</t>
        </is>
      </c>
      <c r="B7">
        <f>COUNTIF(Verification_Queue!AB:AB,"Overdue")</f>
        <v/>
      </c>
      <c r="C7" t="inlineStr">
        <is>
          <t>0</t>
        </is>
      </c>
      <c r="D7" t="inlineStr">
        <is>
          <t>🔴/🟢</t>
        </is>
      </c>
    </row>
    <row r="8">
      <c r="A8" t="inlineStr">
        <is>
          <t>Verification Success Rate</t>
        </is>
      </c>
      <c r="B8">
        <f>IFERROR(Passed/(Passed+Failed),0)</f>
        <v/>
      </c>
      <c r="C8" t="inlineStr">
        <is>
          <t>&gt;95%</t>
        </is>
      </c>
      <c r="D8" t="inlineStr">
        <is>
          <t>[Gauge]</t>
        </is>
      </c>
    </row>
    <row r="9">
      <c r="A9" t="inlineStr">
        <is>
          <t>Avg Time to Verify</t>
        </is>
      </c>
      <c r="B9">
        <f>AVERAGE(Execution_Log!O:O)</f>
        <v/>
      </c>
      <c r="C9" t="inlineStr">
        <is>
          <t>&lt;2 days</t>
        </is>
      </c>
      <c r="D9" t="inlineStr">
        <is>
          <t>[Number]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2026-01-31T02:16:46Z</dcterms:created>
  <dcterms:modified xmlns:dcterms="http://purl.org/dc/terms/" xmlns:xsi="http://www.w3.org/2001/XMLSchema-instance" xsi:type="dcterms:W3CDTF">2026-01-31T02:16:46Z</dcterms:modified>
</cp:coreProperties>
</file>