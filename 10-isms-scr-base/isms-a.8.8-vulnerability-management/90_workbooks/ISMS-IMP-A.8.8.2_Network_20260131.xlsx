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etwork_Segment_Inventory" sheetId="2" state="visible" r:id="rId2"/>
    <sheet xmlns:r="http://schemas.openxmlformats.org/officeDocument/2006/relationships" name="Scanner_Placement" sheetId="3" state="visible" r:id="rId3"/>
    <sheet xmlns:r="http://schemas.openxmlformats.org/officeDocument/2006/relationships" name="Segment_Scanner_Matrix" sheetId="4" state="visible" r:id="rId4"/>
    <sheet xmlns:r="http://schemas.openxmlformats.org/officeDocument/2006/relationships" name="Firewall_Rules" sheetId="5" state="visible" r:id="rId5"/>
    <sheet xmlns:r="http://schemas.openxmlformats.org/officeDocument/2006/relationships" name="Network_Zone_Mapping" sheetId="6" state="visible" r:id="rId6"/>
    <sheet xmlns:r="http://schemas.openxmlformats.org/officeDocument/2006/relationships" name="Coverage_Gap_Analysis" sheetId="7" state="visible" r:id="rId7"/>
    <sheet xmlns:r="http://schemas.openxmlformats.org/officeDocument/2006/relationships" name="Scan_Path_Validation" sheetId="8" state="visible" r:id="rId8"/>
    <sheet xmlns:r="http://schemas.openxmlformats.org/officeDocument/2006/relationships" name="Topology_Diagrams" sheetId="9" state="visible" r:id="rId9"/>
    <sheet xmlns:r="http://schemas.openxmlformats.org/officeDocument/2006/relationships" name="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name val="Calibri"/>
      <b val="1"/>
      <color rgb="00FFFFFF"/>
      <sz val="11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ont>
        <b val="1"/>
        <color rgb="00FF0000"/>
      </font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ISMS-IMP-A.8.8.2</t>
        </is>
      </c>
    </row>
    <row r="2">
      <c r="A2" s="1" t="inlineStr">
        <is>
          <t>Workbook Title</t>
        </is>
      </c>
      <c r="B2" t="inlineStr">
        <is>
          <t>Network Coverage Assessment</t>
        </is>
      </c>
    </row>
    <row r="3">
      <c r="A3" s="1" t="inlineStr">
        <is>
          <t>Version</t>
        </is>
      </c>
      <c r="B3" t="inlineStr">
        <is>
          <t>1.1</t>
        </is>
      </c>
    </row>
    <row r="4">
      <c r="A4" s="1" t="inlineStr">
        <is>
          <t>Generated Date</t>
        </is>
      </c>
      <c r="B4" t="inlineStr">
        <is>
          <t>2026-01-31 03:16:47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Review Frequency</t>
        </is>
      </c>
      <c r="B7" t="inlineStr">
        <is>
          <t>Quarterly</t>
        </is>
      </c>
    </row>
    <row r="8">
      <c r="A8" s="1" t="inlineStr">
        <is>
          <t>Next Review Date</t>
        </is>
      </c>
      <c r="B8" t="inlineStr">
        <is>
          <t>[Date]</t>
        </is>
      </c>
    </row>
    <row r="9">
      <c r="A9" s="1" t="inlineStr">
        <is>
          <t>Status</t>
        </is>
      </c>
      <c r="B9" t="inlineStr">
        <is>
          <t>Active</t>
        </is>
      </c>
    </row>
    <row r="10">
      <c r="A10" t="inlineStr"/>
      <c r="B10" t="inlineStr"/>
    </row>
    <row r="11">
      <c r="A11" s="1" t="inlineStr">
        <is>
          <t>Related Policy</t>
        </is>
      </c>
      <c r="B11" t="inlineStr">
        <is>
          <t>ISMS-POL-A.8.8-S2 v1.1</t>
        </is>
      </c>
    </row>
    <row r="12">
      <c r="A12" s="1" t="inlineStr">
        <is>
          <t>ISO Control</t>
        </is>
      </c>
      <c r="B12" t="inlineStr">
        <is>
          <t>A.8.8</t>
        </is>
      </c>
    </row>
    <row r="13">
      <c r="A13" s="1" t="inlineStr">
        <is>
          <t>Integration</t>
        </is>
      </c>
      <c r="B13" t="inlineStr">
        <is>
          <t>A.8.8.01 v1.1, A.8.8.05, A.8.8.12</t>
        </is>
      </c>
    </row>
    <row r="14">
      <c r="A14" t="inlineStr"/>
      <c r="B14" t="inlineStr"/>
    </row>
    <row r="15">
      <c r="A15" s="1" t="inlineStr">
        <is>
          <t>Generated By</t>
        </is>
      </c>
      <c r="B15" t="inlineStr">
        <is>
          <t>Python automation script</t>
        </is>
      </c>
    </row>
    <row r="17">
      <c r="A17" s="2" t="inlineStr">
        <is>
          <t>NETWORK COVERAGE KPIS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Target</t>
        </is>
      </c>
      <c r="D18" s="3" t="inlineStr">
        <is>
          <t>Status</t>
        </is>
      </c>
    </row>
    <row r="19">
      <c r="A19" t="inlineStr">
        <is>
          <t>Total Network Segments</t>
        </is>
      </c>
      <c r="B19">
        <f>COUNTA(Network_Segment_Inventory!A2:A200)</f>
        <v/>
      </c>
      <c r="C19" t="inlineStr">
        <is>
          <t>N/A</t>
        </is>
      </c>
      <c r="D19">
        <f>IF(B19&gt;0,"✅","⚠️")</f>
        <v/>
      </c>
    </row>
    <row r="20">
      <c r="A20" t="inlineStr">
        <is>
          <t>Segments with Scanner</t>
        </is>
      </c>
      <c r="B20">
        <f>COUNTIF(Segment_Scanner_Matrix!D2:D200,"&lt;&gt;")</f>
        <v/>
      </c>
      <c r="C20" t="inlineStr">
        <is>
          <t>100%</t>
        </is>
      </c>
      <c r="D20">
        <f>IF(B20&gt;0,"✅","⚠️")</f>
        <v/>
      </c>
    </row>
    <row r="21">
      <c r="A21" t="inlineStr">
        <is>
          <t>Network Coverage %</t>
        </is>
      </c>
      <c r="B21">
        <f>IFERROR((B20/B19)*100,0)</f>
        <v/>
      </c>
      <c r="C21" t="inlineStr">
        <is>
          <t>100</t>
        </is>
      </c>
      <c r="D21">
        <f>IF(B21&gt;=100,"✅","⚠️")</f>
        <v/>
      </c>
    </row>
    <row r="22">
      <c r="A22" t="inlineStr">
        <is>
          <t>Critical Segments Covered</t>
        </is>
      </c>
      <c r="B22">
        <f>COUNTIFS(Network_Segment_Inventory!F2:F200,"Critical",Segment_Scanner_Matrix!L2:L200,"OK Covered")</f>
        <v/>
      </c>
      <c r="C22" t="inlineStr">
        <is>
          <t>All</t>
        </is>
      </c>
      <c r="D22" t="inlineStr">
        <is>
          <t>Status</t>
        </is>
      </c>
    </row>
    <row r="23">
      <c r="A23" t="inlineStr">
        <is>
          <t>Coverage Gaps</t>
        </is>
      </c>
      <c r="B23">
        <f>COUNTA(Coverage_Gap_Analysis!A2:A100)</f>
        <v/>
      </c>
      <c r="C23" t="inlineStr">
        <is>
          <t>0</t>
        </is>
      </c>
      <c r="D23">
        <f>IF(B23=0,"✅","⚠️")</f>
        <v/>
      </c>
    </row>
    <row r="24">
      <c r="A24" t="inlineStr">
        <is>
          <t>DMZ Coverage %</t>
        </is>
      </c>
      <c r="B24">
        <f>IFERROR(COUNTIFS(Network_Zone_Mapping!A2:A50,"DMZ",Network_Zone_Mapping!E2:E50,100)/COUNTIF(Network_Zone_Mapping!A2:A50,"DMZ")*100,0)</f>
        <v/>
      </c>
      <c r="C24" t="inlineStr">
        <is>
          <t>100</t>
        </is>
      </c>
      <c r="D24">
        <f>IF(B24&gt;=100,"✅","⚠️")</f>
        <v/>
      </c>
    </row>
    <row r="26">
      <c r="A26" s="2" t="inlineStr">
        <is>
          <t>NAVIGATION</t>
        </is>
      </c>
    </row>
    <row r="27">
      <c r="A27" s="4" t="inlineStr">
        <is>
          <t>-&gt; Sheet 2: Network Segment Inventory</t>
        </is>
      </c>
    </row>
    <row r="28">
      <c r="A28" s="4" t="inlineStr">
        <is>
          <t>-&gt; Sheet 3: Scanner Placement</t>
        </is>
      </c>
    </row>
    <row r="29">
      <c r="A29" s="4" t="inlineStr">
        <is>
          <t>-&gt; Sheet 4: Segment-Scanner Matrix</t>
        </is>
      </c>
    </row>
    <row r="30">
      <c r="A30" s="4" t="inlineStr">
        <is>
          <t>-&gt; Sheet 5: Firewall Rules</t>
        </is>
      </c>
    </row>
    <row r="31">
      <c r="A31" s="4" t="inlineStr">
        <is>
          <t>-&gt; Sheet 6: Network Zone Mapping</t>
        </is>
      </c>
    </row>
    <row r="32">
      <c r="A32" s="4" t="inlineStr">
        <is>
          <t>-&gt; Sheet 7: Coverage Gap Analysis</t>
        </is>
      </c>
    </row>
    <row r="33">
      <c r="A33" s="4" t="inlineStr">
        <is>
          <t>-&gt; Sheet 8: Scan Path Validation</t>
        </is>
      </c>
    </row>
    <row r="34">
      <c r="A34" s="4" t="inlineStr">
        <is>
          <t>-&gt; Sheet 9: Topology Diagrams</t>
        </is>
      </c>
    </row>
    <row r="35">
      <c r="A35" s="4" t="inlineStr">
        <is>
          <t>-&gt; Sheet 10: Reference</t>
        </is>
      </c>
    </row>
  </sheetData>
  <mergeCells count="1"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0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  <col width="12" customWidth="1" min="10" max="10"/>
    <col width="15" customWidth="1" min="11" max="11"/>
    <col width="20" customWidth="1" min="12" max="12"/>
    <col width="12" customWidth="1" min="13" max="13"/>
    <col width="25" customWidth="1" min="14" max="14"/>
    <col width="12" customWidth="1" min="15" max="15"/>
    <col width="20" customWidth="1" min="16" max="16"/>
    <col width="15" customWidth="1" min="17" max="17"/>
    <col width="40" customWidth="1" min="18" max="18"/>
  </cols>
  <sheetData>
    <row r="1">
      <c r="A1" s="3" t="inlineStr">
        <is>
          <t>Segment_ID</t>
        </is>
      </c>
      <c r="B1" s="3" t="inlineStr">
        <is>
          <t>Segment_Name</t>
        </is>
      </c>
      <c r="C1" s="3" t="inlineStr">
        <is>
          <t>CIDR_Notation</t>
        </is>
      </c>
      <c r="D1" s="3" t="inlineStr">
        <is>
          <t>VLAN_ID</t>
        </is>
      </c>
      <c r="E1" s="3" t="inlineStr">
        <is>
          <t>Network_Zone</t>
        </is>
      </c>
      <c r="F1" s="3" t="inlineStr">
        <is>
          <t>Segment_Criticality</t>
        </is>
      </c>
      <c r="G1" s="3" t="inlineStr">
        <is>
          <t>Environment</t>
        </is>
      </c>
      <c r="H1" s="3" t="inlineStr">
        <is>
          <t>Location</t>
        </is>
      </c>
      <c r="I1" s="3" t="inlineStr">
        <is>
          <t>Total_IP_Addresses</t>
        </is>
      </c>
      <c r="J1" s="3" t="inlineStr">
        <is>
          <t>Assets_Count</t>
        </is>
      </c>
      <c r="K1" s="3" t="inlineStr">
        <is>
          <t>Primary_Gateway</t>
        </is>
      </c>
      <c r="L1" s="3" t="inlineStr">
        <is>
          <t>Routing_Domain</t>
        </is>
      </c>
      <c r="M1" s="3" t="inlineStr">
        <is>
          <t>Firewall_Protected</t>
        </is>
      </c>
      <c r="N1" s="3" t="inlineStr">
        <is>
          <t>Firewall_Name</t>
        </is>
      </c>
      <c r="O1" s="3" t="inlineStr">
        <is>
          <t>NAT_Applied</t>
        </is>
      </c>
      <c r="P1" s="3" t="inlineStr">
        <is>
          <t>Owner_Team</t>
        </is>
      </c>
      <c r="Q1" s="3" t="inlineStr">
        <is>
          <t>Last_Verified</t>
        </is>
      </c>
      <c r="R1" s="3" t="inlineStr">
        <is>
          <t>Notes</t>
        </is>
      </c>
    </row>
    <row r="2">
      <c r="A2" t="inlineStr">
        <is>
          <t>NET-2025-001</t>
        </is>
      </c>
      <c r="B2" t="inlineStr">
        <is>
          <t>VLAN-100-Web-Prod</t>
        </is>
      </c>
      <c r="C2" t="inlineStr">
        <is>
          <t>10.50.100.0/24</t>
        </is>
      </c>
      <c r="D2" t="n">
        <v>100</v>
      </c>
      <c r="E2" t="inlineStr">
        <is>
          <t>Internal-Prod</t>
        </is>
      </c>
      <c r="F2" t="inlineStr">
        <is>
          <t>Critical</t>
        </is>
      </c>
      <c r="G2" t="inlineStr">
        <is>
          <t>Production</t>
        </is>
      </c>
      <c r="H2" t="inlineStr">
        <is>
          <t>Datacenter-ZH</t>
        </is>
      </c>
      <c r="I2" t="n">
        <v>254</v>
      </c>
      <c r="J2" t="n">
        <v>15</v>
      </c>
      <c r="K2" t="inlineStr">
        <is>
          <t>10.50.100.1</t>
        </is>
      </c>
      <c r="L2" t="inlineStr">
        <is>
          <t>VRF-Prod</t>
        </is>
      </c>
      <c r="M2" t="inlineStr">
        <is>
          <t>YES</t>
        </is>
      </c>
      <c r="N2" t="inlineStr">
        <is>
          <t>FW-Core-01</t>
        </is>
      </c>
      <c r="O2" t="inlineStr">
        <is>
          <t>NO</t>
        </is>
      </c>
      <c r="P2" t="inlineStr">
        <is>
          <t>IT Operations</t>
        </is>
      </c>
      <c r="Q2" t="inlineStr">
        <is>
          <t>31.01.2026</t>
        </is>
      </c>
      <c r="R2" t="inlineStr">
        <is>
          <t>Production web servers</t>
        </is>
      </c>
    </row>
    <row r="3">
      <c r="A3" t="inlineStr">
        <is>
          <t>NET-2025-002</t>
        </is>
      </c>
      <c r="B3" t="inlineStr">
        <is>
          <t>VLAN-110-App-Prod</t>
        </is>
      </c>
      <c r="C3" t="inlineStr">
        <is>
          <t>10.50.110.0/24</t>
        </is>
      </c>
      <c r="D3" t="n">
        <v>110</v>
      </c>
      <c r="E3" t="inlineStr">
        <is>
          <t>Internal-Prod</t>
        </is>
      </c>
      <c r="F3" t="inlineStr">
        <is>
          <t>Critical</t>
        </is>
      </c>
      <c r="G3" t="inlineStr">
        <is>
          <t>Production</t>
        </is>
      </c>
      <c r="H3" t="inlineStr">
        <is>
          <t>Datacenter-ZH</t>
        </is>
      </c>
      <c r="I3" t="n">
        <v>254</v>
      </c>
      <c r="J3" t="n">
        <v>20</v>
      </c>
      <c r="K3" t="inlineStr">
        <is>
          <t>10.50.110.1</t>
        </is>
      </c>
      <c r="L3" t="inlineStr">
        <is>
          <t>VRF-Prod</t>
        </is>
      </c>
      <c r="M3" t="inlineStr">
        <is>
          <t>YES</t>
        </is>
      </c>
      <c r="N3" t="inlineStr">
        <is>
          <t>FW-Core-01</t>
        </is>
      </c>
      <c r="O3" t="inlineStr">
        <is>
          <t>NO</t>
        </is>
      </c>
      <c r="P3" t="inlineStr">
        <is>
          <t>Application Team</t>
        </is>
      </c>
      <c r="Q3" t="inlineStr">
        <is>
          <t>31.01.2026</t>
        </is>
      </c>
      <c r="R3" t="inlineStr">
        <is>
          <t>Production application servers</t>
        </is>
      </c>
    </row>
    <row r="4">
      <c r="A4" t="inlineStr">
        <is>
          <t>NET-2025-003</t>
        </is>
      </c>
      <c r="B4" t="inlineStr">
        <is>
          <t>DMZ-External</t>
        </is>
      </c>
      <c r="C4" t="inlineStr">
        <is>
          <t>203.0.113.0/28</t>
        </is>
      </c>
      <c r="D4" t="n">
        <v>10</v>
      </c>
      <c r="E4" t="inlineStr">
        <is>
          <t>DMZ</t>
        </is>
      </c>
      <c r="F4" t="inlineStr">
        <is>
          <t>Critical</t>
        </is>
      </c>
      <c r="G4" t="inlineStr">
        <is>
          <t>Production</t>
        </is>
      </c>
      <c r="H4" t="inlineStr">
        <is>
          <t>Perimeter</t>
        </is>
      </c>
      <c r="I4" t="n">
        <v>14</v>
      </c>
      <c r="J4" t="n">
        <v>5</v>
      </c>
      <c r="K4" t="inlineStr">
        <is>
          <t>203.0.113.1</t>
        </is>
      </c>
      <c r="L4" t="inlineStr">
        <is>
          <t>VRF-DMZ</t>
        </is>
      </c>
      <c r="M4" t="inlineStr">
        <is>
          <t>YES</t>
        </is>
      </c>
      <c r="N4" t="inlineStr">
        <is>
          <t>FW-DMZ-01</t>
        </is>
      </c>
      <c r="O4" t="inlineStr">
        <is>
          <t>YES</t>
        </is>
      </c>
      <c r="P4" t="inlineStr">
        <is>
          <t>Security Operations</t>
        </is>
      </c>
      <c r="Q4" t="inlineStr">
        <is>
          <t>31.01.2026</t>
        </is>
      </c>
      <c r="R4" t="inlineStr">
        <is>
          <t>Public-facing DMZ</t>
        </is>
      </c>
    </row>
    <row r="5">
      <c r="A5" t="inlineStr">
        <is>
          <t>NET-2025-004</t>
        </is>
      </c>
      <c r="B5" t="inlineStr">
        <is>
          <t>VLAN-200-Dev</t>
        </is>
      </c>
      <c r="C5" t="inlineStr">
        <is>
          <t>10.60.200.0/24</t>
        </is>
      </c>
      <c r="D5" t="n">
        <v>200</v>
      </c>
      <c r="E5" t="inlineStr">
        <is>
          <t>Internal-Dev</t>
        </is>
      </c>
      <c r="F5" t="inlineStr">
        <is>
          <t>Low</t>
        </is>
      </c>
      <c r="G5" t="inlineStr">
        <is>
          <t>Development</t>
        </is>
      </c>
      <c r="H5" t="inlineStr">
        <is>
          <t>Datacenter-ZH</t>
        </is>
      </c>
      <c r="I5" t="n">
        <v>254</v>
      </c>
      <c r="J5" t="n">
        <v>30</v>
      </c>
      <c r="K5" t="inlineStr">
        <is>
          <t>10.60.200.1</t>
        </is>
      </c>
      <c r="L5" t="inlineStr">
        <is>
          <t>VRF-Dev</t>
        </is>
      </c>
      <c r="M5" t="inlineStr">
        <is>
          <t>YES</t>
        </is>
      </c>
      <c r="N5" t="inlineStr">
        <is>
          <t>FW-Core-01</t>
        </is>
      </c>
      <c r="O5" t="inlineStr">
        <is>
          <t>NO</t>
        </is>
      </c>
      <c r="P5" t="inlineStr">
        <is>
          <t>Development Team</t>
        </is>
      </c>
      <c r="Q5" t="inlineStr">
        <is>
          <t>31.01.2026</t>
        </is>
      </c>
      <c r="R5" t="inlineStr">
        <is>
          <t>Development environment</t>
        </is>
      </c>
    </row>
  </sheetData>
  <conditionalFormatting sqref="F2:F200">
    <cfRule type="cellIs" priority="1" operator="equal" dxfId="0">
      <formula>"Critical"</formula>
    </cfRule>
  </conditionalFormatting>
  <conditionalFormatting sqref="M2:M200">
    <cfRule type="cellIs" priority="2" operator="equal" dxfId="1">
      <formula>"NO"</formula>
    </cfRule>
  </conditionalFormatting>
  <dataValidations count="4">
    <dataValidation sqref="E2:E200" showDropDown="0" showInputMessage="0" showErrorMessage="0" allowBlank="0" type="list">
      <formula1>"DMZ,Internal-Prod,Internal-Dev,Internal-Test,Management,Cloud-AWS,Cloud-Azure,Guest,Partner"</formula1>
    </dataValidation>
    <dataValidation sqref="F2:F200" showDropDown="0" showInputMessage="0" showErrorMessage="0" allowBlank="0" type="list">
      <formula1>"Critical,High,Medium,Low"</formula1>
    </dataValidation>
    <dataValidation sqref="G2:G200" showDropDown="0" showInputMessage="0" showErrorMessage="0" allowBlank="0" type="list">
      <formula1>"Production,Staging,Development,Test,Management"</formula1>
    </dataValidation>
    <dataValidation sqref="M2:M200 O2:O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0" customWidth="1" min="4" max="4"/>
    <col width="15" customWidth="1" min="5" max="5"/>
    <col width="15" customWidth="1" min="6" max="6"/>
    <col width="40" customWidth="1" min="7" max="7"/>
    <col width="10" customWidth="1" min="8" max="8"/>
    <col width="15" customWidth="1" min="9" max="9"/>
    <col width="15" customWidth="1" min="10" max="10"/>
    <col width="12" customWidth="1" min="11" max="11"/>
    <col width="40" customWidth="1" min="12" max="12"/>
    <col width="40" customWidth="1" min="13" max="13"/>
    <col width="15" customWidth="1" min="14" max="14"/>
    <col width="40" customWidth="1" min="15" max="15"/>
  </cols>
  <sheetData>
    <row r="1">
      <c r="A1" s="3" t="inlineStr">
        <is>
          <t>Scanner_ID</t>
        </is>
      </c>
      <c r="B1" s="3" t="inlineStr">
        <is>
          <t>Scanner_Name</t>
        </is>
      </c>
      <c r="C1" s="3" t="inlineStr">
        <is>
          <t>Deployment_Type</t>
        </is>
      </c>
      <c r="D1" s="3" t="inlineStr">
        <is>
          <t>Network_Location</t>
        </is>
      </c>
      <c r="E1" s="3" t="inlineStr">
        <is>
          <t>Connected_Segment_ID</t>
        </is>
      </c>
      <c r="F1" s="3" t="inlineStr">
        <is>
          <t>Management_IP</t>
        </is>
      </c>
      <c r="G1" s="3" t="inlineStr">
        <is>
          <t>Scan_Source_IPs</t>
        </is>
      </c>
      <c r="H1" s="3" t="inlineStr">
        <is>
          <t>Network_Interfaces</t>
        </is>
      </c>
      <c r="I1" s="3" t="inlineStr">
        <is>
          <t>Interface_1_Segment</t>
        </is>
      </c>
      <c r="J1" s="3" t="inlineStr">
        <is>
          <t>Interface_2_Segment</t>
        </is>
      </c>
      <c r="K1" s="3" t="inlineStr">
        <is>
          <t>Routing_Enabled</t>
        </is>
      </c>
      <c r="L1" s="3" t="inlineStr">
        <is>
          <t>Can_Reach_Zones</t>
        </is>
      </c>
      <c r="M1" s="3" t="inlineStr">
        <is>
          <t>Network_Constraints</t>
        </is>
      </c>
      <c r="N1" s="3" t="inlineStr">
        <is>
          <t>Last_Network_Test</t>
        </is>
      </c>
      <c r="O1" s="3" t="inlineStr">
        <is>
          <t>Notes</t>
        </is>
      </c>
    </row>
    <row r="2">
      <c r="A2" t="inlineStr">
        <is>
          <t>SCAN-2025-001</t>
        </is>
      </c>
      <c r="B2" t="inlineStr">
        <is>
          <t>Nessus Pro 01</t>
        </is>
      </c>
      <c r="C2" t="inlineStr">
        <is>
          <t>Virtual</t>
        </is>
      </c>
      <c r="D2" t="inlineStr">
        <is>
          <t>Datacenter-ZH</t>
        </is>
      </c>
      <c r="E2" t="inlineStr">
        <is>
          <t>NET-2025-050</t>
        </is>
      </c>
      <c r="F2" t="inlineStr">
        <is>
          <t>10.50.50.10</t>
        </is>
      </c>
      <c r="G2" t="inlineStr">
        <is>
          <t>10.50.50.10</t>
        </is>
      </c>
      <c r="H2" t="n">
        <v>2</v>
      </c>
      <c r="I2" t="inlineStr">
        <is>
          <t>NET-2025-050</t>
        </is>
      </c>
      <c r="J2" t="inlineStr">
        <is>
          <t>NET-2025-001</t>
        </is>
      </c>
      <c r="K2" t="inlineStr">
        <is>
          <t>NO</t>
        </is>
      </c>
      <c r="L2" t="inlineStr">
        <is>
          <t>DMZ, Internal-Prod, Internal-Dev</t>
        </is>
      </c>
      <c r="M2" t="inlineStr">
        <is>
          <t>Rate limited to 100 Mbps</t>
        </is>
      </c>
      <c r="N2" t="inlineStr">
        <is>
          <t>31.01.2026</t>
        </is>
      </c>
      <c r="O2" t="inlineStr">
        <is>
          <t>Primary internal scanner</t>
        </is>
      </c>
    </row>
    <row r="3">
      <c r="A3" t="inlineStr">
        <is>
          <t>SCAN-2025-002</t>
        </is>
      </c>
      <c r="B3" t="inlineStr">
        <is>
          <t>Qualys Cloud</t>
        </is>
      </c>
      <c r="C3" t="inlineStr">
        <is>
          <t>Cloud</t>
        </is>
      </c>
      <c r="D3" t="inlineStr">
        <is>
          <t>AWS eu-central-1</t>
        </is>
      </c>
      <c r="E3" t="inlineStr">
        <is>
          <t>NET-2025-200</t>
        </is>
      </c>
      <c r="F3" t="inlineStr">
        <is>
          <t>N/A</t>
        </is>
      </c>
      <c r="G3" t="inlineStr">
        <is>
          <t>Cloud IPs (dynamic)</t>
        </is>
      </c>
      <c r="H3" t="n">
        <v>1</v>
      </c>
      <c r="I3" t="inlineStr">
        <is>
          <t>NET-2025-200</t>
        </is>
      </c>
      <c r="J3" t="inlineStr"/>
      <c r="K3" t="inlineStr">
        <is>
          <t>NO</t>
        </is>
      </c>
      <c r="L3" t="inlineStr">
        <is>
          <t>Cloud-AWS, Cloud-Azure</t>
        </is>
      </c>
      <c r="M3" t="inlineStr">
        <is>
          <t>Cloud connector required</t>
        </is>
      </c>
      <c r="N3" t="inlineStr">
        <is>
          <t>31.01.2026</t>
        </is>
      </c>
      <c r="O3" t="inlineStr">
        <is>
          <t>Cloud-native scanner</t>
        </is>
      </c>
    </row>
  </sheetData>
  <dataValidations count="2">
    <dataValidation sqref="C2:C100" showDropDown="0" showInputMessage="0" showErrorMessage="0" allowBlank="0" type="list">
      <formula1>"Physical,Virtual,Cloud,Agent"</formula1>
    </dataValidation>
    <dataValidation sqref="K2:K1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40" customWidth="1" min="7" max="7"/>
    <col width="40" customWidth="1" min="8" max="8"/>
    <col width="12" customWidth="1" min="9" max="9"/>
    <col width="15" customWidth="1" min="10" max="10"/>
    <col width="15" customWidth="1" min="11" max="11"/>
    <col width="15" customWidth="1" min="12" max="12"/>
    <col width="40" customWidth="1" min="13" max="13"/>
    <col width="40" customWidth="1" min="14" max="14"/>
  </cols>
  <sheetData>
    <row r="1">
      <c r="A1" s="3" t="inlineStr">
        <is>
          <t>Segment_ID</t>
        </is>
      </c>
      <c r="B1" s="3" t="inlineStr">
        <is>
          <t>Segment_Name</t>
        </is>
      </c>
      <c r="C1" s="3" t="inlineStr">
        <is>
          <t>Network_Zone</t>
        </is>
      </c>
      <c r="D1" s="3" t="inlineStr">
        <is>
          <t>Primary_Scanner_ID</t>
        </is>
      </c>
      <c r="E1" s="3" t="inlineStr">
        <is>
          <t>Backup_Scanner_ID</t>
        </is>
      </c>
      <c r="F1" s="3" t="inlineStr">
        <is>
          <t>Scan_Method</t>
        </is>
      </c>
      <c r="G1" s="3" t="inlineStr">
        <is>
          <t>Network_Path</t>
        </is>
      </c>
      <c r="H1" s="3" t="inlineStr">
        <is>
          <t>Required_Firewall_Rules</t>
        </is>
      </c>
      <c r="I1" s="3" t="inlineStr">
        <is>
          <t>Authenticated_Scan_Possible</t>
        </is>
      </c>
      <c r="J1" s="3" t="inlineStr">
        <is>
          <t>Scan_Frequency</t>
        </is>
      </c>
      <c r="K1" s="3" t="inlineStr">
        <is>
          <t>Last_Successful_Scan</t>
        </is>
      </c>
      <c r="L1" s="3" t="inlineStr">
        <is>
          <t>Coverage_Status</t>
        </is>
      </c>
      <c r="M1" s="3" t="inlineStr">
        <is>
          <t>Impediments</t>
        </is>
      </c>
      <c r="N1" s="3" t="inlineStr">
        <is>
          <t>Notes</t>
        </is>
      </c>
    </row>
    <row r="2">
      <c r="A2" t="inlineStr">
        <is>
          <t>NET-2025-001</t>
        </is>
      </c>
      <c r="B2" t="inlineStr">
        <is>
          <t>VLAN-100-Web-Prod</t>
        </is>
      </c>
      <c r="C2" t="inlineStr">
        <is>
          <t>Internal-Prod</t>
        </is>
      </c>
      <c r="D2" t="inlineStr">
        <is>
          <t>SCAN-2025-001</t>
        </is>
      </c>
      <c r="E2" t="inlineStr"/>
      <c r="F2" t="inlineStr">
        <is>
          <t>Direct</t>
        </is>
      </c>
      <c r="G2" t="inlineStr">
        <is>
          <t>Scanner-&gt;Core-Switch-&gt;VLAN100</t>
        </is>
      </c>
      <c r="H2" t="inlineStr">
        <is>
          <t>FW-SCAN-001</t>
        </is>
      </c>
      <c r="I2" t="inlineStr">
        <is>
          <t>YES</t>
        </is>
      </c>
      <c r="J2" t="inlineStr">
        <is>
          <t>Weekly</t>
        </is>
      </c>
      <c r="K2" t="inlineStr">
        <is>
          <t>29.01.2026</t>
        </is>
      </c>
      <c r="L2" t="inlineStr">
        <is>
          <t>OK Covered</t>
        </is>
      </c>
      <c r="M2" t="inlineStr"/>
      <c r="N2" t="inlineStr">
        <is>
          <t>Full coverage</t>
        </is>
      </c>
    </row>
    <row r="3">
      <c r="A3" t="inlineStr">
        <is>
          <t>NET-2025-003</t>
        </is>
      </c>
      <c r="B3" t="inlineStr">
        <is>
          <t>DMZ-External</t>
        </is>
      </c>
      <c r="C3" t="inlineStr">
        <is>
          <t>DMZ</t>
        </is>
      </c>
      <c r="D3" t="inlineStr">
        <is>
          <t>SCAN-2025-001</t>
        </is>
      </c>
      <c r="E3" t="inlineStr"/>
      <c r="F3" t="inlineStr">
        <is>
          <t>Direct</t>
        </is>
      </c>
      <c r="G3" t="inlineStr">
        <is>
          <t>Scanner-&gt;FW-DMZ-&gt;DMZ</t>
        </is>
      </c>
      <c r="H3" t="inlineStr">
        <is>
          <t>FW-SCAN-002</t>
        </is>
      </c>
      <c r="I3" t="inlineStr">
        <is>
          <t>NO</t>
        </is>
      </c>
      <c r="J3" t="inlineStr">
        <is>
          <t>Weekly</t>
        </is>
      </c>
      <c r="K3" t="inlineStr">
        <is>
          <t>28.01.2026</t>
        </is>
      </c>
      <c r="L3" t="inlineStr">
        <is>
          <t>WARN Partial</t>
        </is>
      </c>
      <c r="M3" t="inlineStr">
        <is>
          <t>Cannot use credentials</t>
        </is>
      </c>
      <c r="N3" t="inlineStr">
        <is>
          <t>External-facing, limited scan</t>
        </is>
      </c>
    </row>
    <row r="4">
      <c r="A4" t="inlineStr">
        <is>
          <t>NET-2025-004</t>
        </is>
      </c>
      <c r="B4" t="inlineStr">
        <is>
          <t>VLAN-200-Dev</t>
        </is>
      </c>
      <c r="C4" t="inlineStr">
        <is>
          <t>Internal-Dev</t>
        </is>
      </c>
      <c r="D4" t="inlineStr">
        <is>
          <t>SCAN-2025-001</t>
        </is>
      </c>
      <c r="E4" t="inlineStr"/>
      <c r="F4" t="inlineStr">
        <is>
          <t>Direct</t>
        </is>
      </c>
      <c r="G4" t="inlineStr">
        <is>
          <t>Scanner-&gt;Core-Switch-&gt;VLAN200</t>
        </is>
      </c>
      <c r="H4" t="inlineStr">
        <is>
          <t>FW-SCAN-001</t>
        </is>
      </c>
      <c r="I4" t="inlineStr">
        <is>
          <t>YES</t>
        </is>
      </c>
      <c r="J4" t="inlineStr">
        <is>
          <t>Monthly</t>
        </is>
      </c>
      <c r="K4" t="inlineStr">
        <is>
          <t>16.01.2026</t>
        </is>
      </c>
      <c r="L4" t="inlineStr">
        <is>
          <t>OK Covered</t>
        </is>
      </c>
      <c r="M4" t="inlineStr"/>
      <c r="N4" t="inlineStr">
        <is>
          <t>Development environment</t>
        </is>
      </c>
    </row>
  </sheetData>
  <conditionalFormatting sqref="L2:L200">
    <cfRule type="cellIs" priority="1" operator="equal" dxfId="2">
      <formula>"OK Covered"</formula>
    </cfRule>
    <cfRule type="cellIs" priority="2" operator="equal" dxfId="1">
      <formula>"WARN Partial"</formula>
    </cfRule>
    <cfRule type="cellIs" priority="3" operator="equal" dxfId="3">
      <formula>"FAIL No Coverage"</formula>
    </cfRule>
  </conditionalFormatting>
  <dataValidations count="3">
    <dataValidation sqref="F2:F200" showDropDown="0" showInputMessage="0" showErrorMessage="0" allowBlank="0" type="list">
      <formula1>"Direct,Via_Jump_Host,VPN,Cloud_Connector,Agent_Based"</formula1>
    </dataValidation>
    <dataValidation sqref="I2:I200" showDropDown="0" showInputMessage="0" showErrorMessage="0" allowBlank="0" type="list">
      <formula1>"YES,NO"</formula1>
    </dataValidation>
    <dataValidation sqref="J2:J200" showDropDown="0" showInputMessage="0" showErrorMessage="0" allowBlank="0" type="list">
      <formula1>"Daily,Weekly,Biweekly,Monthly,Quarterly"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3" t="inlineStr">
        <is>
          <t>Rule_ID</t>
        </is>
      </c>
      <c r="B1" s="3" t="inlineStr">
        <is>
          <t>Firewall_Name</t>
        </is>
      </c>
      <c r="C1" s="3" t="inlineStr">
        <is>
          <t>Rule_Description</t>
        </is>
      </c>
      <c r="D1" s="3" t="inlineStr">
        <is>
          <t>Source_IP</t>
        </is>
      </c>
      <c r="E1" s="3" t="inlineStr">
        <is>
          <t>Destination_Segment</t>
        </is>
      </c>
      <c r="F1" s="3" t="inlineStr">
        <is>
          <t>Destination_Ports</t>
        </is>
      </c>
      <c r="G1" s="3" t="inlineStr">
        <is>
          <t>Protocol</t>
        </is>
      </c>
      <c r="H1" s="3" t="inlineStr">
        <is>
          <t>Rule_Status</t>
        </is>
      </c>
      <c r="I1" s="3" t="inlineStr">
        <is>
          <t>Change_Request</t>
        </is>
      </c>
      <c r="J1" s="3" t="inlineStr">
        <is>
          <t>Implemented_Date</t>
        </is>
      </c>
      <c r="K1" s="3" t="inlineStr">
        <is>
          <t>Last_Verified</t>
        </is>
      </c>
      <c r="L1" s="3" t="inlineStr">
        <is>
          <t>Review_Frequency</t>
        </is>
      </c>
      <c r="M1" s="3" t="inlineStr">
        <is>
          <t>Owner</t>
        </is>
      </c>
      <c r="N1" s="3" t="inlineStr">
        <is>
          <t>Notes</t>
        </is>
      </c>
    </row>
    <row r="2">
      <c r="A2" t="inlineStr">
        <is>
          <t>FW-SCAN-001</t>
        </is>
      </c>
      <c r="B2" t="inlineStr">
        <is>
          <t>FW-Core-01</t>
        </is>
      </c>
      <c r="C2" t="inlineStr">
        <is>
          <t>Allow Nessus to Prod Web</t>
        </is>
      </c>
      <c r="D2" t="inlineStr">
        <is>
          <t>10.50.50.10</t>
        </is>
      </c>
      <c r="E2" t="inlineStr">
        <is>
          <t>NET-2025-001</t>
        </is>
      </c>
      <c r="F2" t="inlineStr">
        <is>
          <t>TCP/1-65535</t>
        </is>
      </c>
      <c r="G2" t="inlineStr">
        <is>
          <t>TCP</t>
        </is>
      </c>
      <c r="H2" t="inlineStr">
        <is>
          <t>Active</t>
        </is>
      </c>
      <c r="I2" t="inlineStr">
        <is>
          <t>CR-2024-1234</t>
        </is>
      </c>
      <c r="J2" t="inlineStr">
        <is>
          <t>2024-11-15</t>
        </is>
      </c>
      <c r="K2" t="inlineStr">
        <is>
          <t>31.01.2026</t>
        </is>
      </c>
      <c r="L2" t="inlineStr">
        <is>
          <t>Quarterly</t>
        </is>
      </c>
      <c r="M2" t="inlineStr">
        <is>
          <t>Firewall Team</t>
        </is>
      </c>
      <c r="N2" t="inlineStr">
        <is>
          <t>Full port scan access</t>
        </is>
      </c>
    </row>
    <row r="3">
      <c r="A3" t="inlineStr">
        <is>
          <t>FW-SCAN-002</t>
        </is>
      </c>
      <c r="B3" t="inlineStr">
        <is>
          <t>FW-DMZ-01</t>
        </is>
      </c>
      <c r="C3" t="inlineStr">
        <is>
          <t>Allow Nessus to DMZ</t>
        </is>
      </c>
      <c r="D3" t="inlineStr">
        <is>
          <t>10.50.50.10</t>
        </is>
      </c>
      <c r="E3" t="inlineStr">
        <is>
          <t>NET-2025-003</t>
        </is>
      </c>
      <c r="F3" t="inlineStr">
        <is>
          <t>TCP/80,443,22</t>
        </is>
      </c>
      <c r="G3" t="inlineStr">
        <is>
          <t>TCP</t>
        </is>
      </c>
      <c r="H3" t="inlineStr">
        <is>
          <t>Active</t>
        </is>
      </c>
      <c r="I3" t="inlineStr">
        <is>
          <t>CR-2024-1235</t>
        </is>
      </c>
      <c r="J3" t="inlineStr">
        <is>
          <t>2024-11-15</t>
        </is>
      </c>
      <c r="K3" t="inlineStr">
        <is>
          <t>31.01.2026</t>
        </is>
      </c>
      <c r="L3" t="inlineStr">
        <is>
          <t>Quarterly</t>
        </is>
      </c>
      <c r="M3" t="inlineStr">
        <is>
          <t>Firewall Team</t>
        </is>
      </c>
      <c r="N3" t="inlineStr">
        <is>
          <t>Limited ports for DMZ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Network_Zone</t>
        </is>
      </c>
      <c r="B1" s="3" t="inlineStr">
        <is>
          <t>Zone_Description</t>
        </is>
      </c>
      <c r="C1" s="3" t="inlineStr">
        <is>
          <t>Total_Segments</t>
        </is>
      </c>
      <c r="D1" s="3" t="inlineStr">
        <is>
          <t>Segments_with_Scanner</t>
        </is>
      </c>
      <c r="E1" s="3" t="inlineStr">
        <is>
          <t>Coverage_Percentage</t>
        </is>
      </c>
      <c r="F1" s="3" t="inlineStr">
        <is>
          <t>Zone_Criticality</t>
        </is>
      </c>
      <c r="G1" s="3" t="inlineStr">
        <is>
          <t>Compliance_Requirement</t>
        </is>
      </c>
      <c r="H1" s="3" t="inlineStr">
        <is>
          <t>Owner_Team</t>
        </is>
      </c>
      <c r="I1" s="3" t="inlineStr">
        <is>
          <t>Last_Review_Date</t>
        </is>
      </c>
      <c r="J1" s="3" t="inlineStr">
        <is>
          <t>Notes</t>
        </is>
      </c>
    </row>
    <row r="2">
      <c r="A2" t="inlineStr">
        <is>
          <t>DMZ</t>
        </is>
      </c>
      <c r="B2" t="inlineStr">
        <is>
          <t>Perimeter/public-facing systems</t>
        </is>
      </c>
      <c r="C2" t="n">
        <v>5</v>
      </c>
      <c r="D2" t="n">
        <v>5</v>
      </c>
      <c r="E2" t="n">
        <v>100</v>
      </c>
      <c r="F2" t="inlineStr">
        <is>
          <t>Critical</t>
        </is>
      </c>
      <c r="G2" t="inlineStr">
        <is>
          <t>PCI-DSS, ISO 27001</t>
        </is>
      </c>
      <c r="H2" t="inlineStr">
        <is>
          <t>Security Operations</t>
        </is>
      </c>
      <c r="I2" t="inlineStr">
        <is>
          <t>31.01.2026</t>
        </is>
      </c>
      <c r="J2" t="inlineStr">
        <is>
          <t>Full coverage achieved</t>
        </is>
      </c>
    </row>
    <row r="3">
      <c r="A3" t="inlineStr">
        <is>
          <t>Internal-Prod</t>
        </is>
      </c>
      <c r="B3" t="inlineStr">
        <is>
          <t>Production internal systems</t>
        </is>
      </c>
      <c r="C3" t="n">
        <v>25</v>
      </c>
      <c r="D3" t="n">
        <v>24</v>
      </c>
      <c r="E3" t="n">
        <v>96</v>
      </c>
      <c r="F3" t="inlineStr">
        <is>
          <t>Critical</t>
        </is>
      </c>
      <c r="G3" t="inlineStr">
        <is>
          <t>ISO 27001</t>
        </is>
      </c>
      <c r="H3" t="inlineStr">
        <is>
          <t>IT Operations</t>
        </is>
      </c>
      <c r="I3" t="inlineStr">
        <is>
          <t>31.01.2026</t>
        </is>
      </c>
      <c r="J3" t="inlineStr">
        <is>
          <t>1 management segment pending</t>
        </is>
      </c>
    </row>
    <row r="4">
      <c r="A4" t="inlineStr">
        <is>
          <t>Internal-Dev</t>
        </is>
      </c>
      <c r="B4" t="inlineStr">
        <is>
          <t>Development/testing</t>
        </is>
      </c>
      <c r="C4" t="n">
        <v>15</v>
      </c>
      <c r="D4" t="n">
        <v>12</v>
      </c>
      <c r="E4" t="n">
        <v>80</v>
      </c>
      <c r="F4" t="inlineStr">
        <is>
          <t>Medium</t>
        </is>
      </c>
      <c r="G4" t="inlineStr">
        <is>
          <t>ISO 27001</t>
        </is>
      </c>
      <c r="H4" t="inlineStr">
        <is>
          <t>Development Team</t>
        </is>
      </c>
      <c r="I4" t="inlineStr">
        <is>
          <t>31.01.2026</t>
        </is>
      </c>
      <c r="J4" t="inlineStr">
        <is>
          <t>3 segments without scanner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Segment_ID</t>
        </is>
      </c>
      <c r="B1" s="3" t="inlineStr">
        <is>
          <t>Segment_Name</t>
        </is>
      </c>
      <c r="C1" s="3" t="inlineStr">
        <is>
          <t>Network_Zone</t>
        </is>
      </c>
      <c r="D1" s="3" t="inlineStr">
        <is>
          <t>Segment_Criticality</t>
        </is>
      </c>
      <c r="E1" s="3" t="inlineStr">
        <is>
          <t>Gap_Reason</t>
        </is>
      </c>
      <c r="F1" s="3" t="inlineStr">
        <is>
          <t>Impact_Assessment</t>
        </is>
      </c>
      <c r="G1" s="3" t="inlineStr">
        <is>
          <t>Remediation_Plan</t>
        </is>
      </c>
      <c r="H1" s="3" t="inlineStr">
        <is>
          <t>Priority</t>
        </is>
      </c>
      <c r="I1" s="3" t="inlineStr">
        <is>
          <t>Assigned_To</t>
        </is>
      </c>
      <c r="J1" s="3" t="inlineStr">
        <is>
          <t>Target_Date</t>
        </is>
      </c>
      <c r="K1" s="3" t="inlineStr">
        <is>
          <t>Status</t>
        </is>
      </c>
      <c r="L1" s="3" t="inlineStr">
        <is>
          <t>Approval</t>
        </is>
      </c>
      <c r="M1" s="3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Test_ID</t>
        </is>
      </c>
      <c r="B1" s="3" t="inlineStr">
        <is>
          <t>Test_Date</t>
        </is>
      </c>
      <c r="C1" s="3" t="inlineStr">
        <is>
          <t>Scanner_ID</t>
        </is>
      </c>
      <c r="D1" s="3" t="inlineStr">
        <is>
          <t>Target_Segment_ID</t>
        </is>
      </c>
      <c r="E1" s="3" t="inlineStr">
        <is>
          <t>Test_Type</t>
        </is>
      </c>
      <c r="F1" s="3" t="inlineStr">
        <is>
          <t>Test_Result</t>
        </is>
      </c>
      <c r="G1" s="3" t="inlineStr">
        <is>
          <t>Response_Time_ms</t>
        </is>
      </c>
      <c r="H1" s="3" t="inlineStr">
        <is>
          <t>Ports_Tested</t>
        </is>
      </c>
      <c r="I1" s="3" t="inlineStr">
        <is>
          <t>Ports_Accessible</t>
        </is>
      </c>
      <c r="J1" s="3" t="inlineStr">
        <is>
          <t>Failures</t>
        </is>
      </c>
      <c r="K1" s="3" t="inlineStr">
        <is>
          <t>Tested_By</t>
        </is>
      </c>
      <c r="L1" s="3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>
      <c r="A1" s="5" t="inlineStr">
        <is>
          <t>NETWORK TOPOLOGY DIAGRAMS</t>
        </is>
      </c>
    </row>
    <row r="3">
      <c r="A3" t="inlineStr">
        <is>
          <t>Link network topology diagrams and visual references here.</t>
        </is>
      </c>
    </row>
    <row r="5">
      <c r="A5" s="3" t="inlineStr">
        <is>
          <t>Diagram_Name</t>
        </is>
      </c>
      <c r="B5" s="3" t="inlineStr">
        <is>
          <t>Description</t>
        </is>
      </c>
      <c r="C5" s="3" t="inlineStr">
        <is>
          <t>File_Path</t>
        </is>
      </c>
      <c r="D5" s="3" t="inlineStr">
        <is>
          <t>Last_Updated</t>
        </is>
      </c>
      <c r="E5" s="3" t="inlineStr">
        <is>
          <t>Owner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2" t="inlineStr">
        <is>
          <t>RELATED POLICY DOCUMENTS</t>
        </is>
      </c>
    </row>
    <row r="2">
      <c r="A2" t="inlineStr">
        <is>
          <t>ISMS-POL-A.8.8-S2 v1.1</t>
        </is>
      </c>
      <c r="B2" t="inlineStr">
        <is>
          <t>Requirements - Network Scanning Coverage</t>
        </is>
      </c>
    </row>
    <row r="3">
      <c r="A3" t="inlineStr">
        <is>
          <t>ISMS-POL-A.8.8-S2 v1.1</t>
        </is>
      </c>
      <c r="B3" t="inlineStr">
        <is>
          <t>Section 2.1.2 - Scan Coverage Requirements</t>
        </is>
      </c>
    </row>
    <row r="4">
      <c r="A4" t="inlineStr">
        <is>
          <t>Control 8.20</t>
        </is>
      </c>
      <c r="B4" t="inlineStr">
        <is>
          <t>Network Security</t>
        </is>
      </c>
    </row>
    <row r="5">
      <c r="A5" t="inlineStr">
        <is>
          <t>Control 8.21</t>
        </is>
      </c>
      <c r="B5" t="inlineStr">
        <is>
          <t>Security of Network Services</t>
        </is>
      </c>
    </row>
    <row r="10">
      <c r="A10" s="2" t="inlineStr">
        <is>
          <t>RELATED WORKBOOKS</t>
        </is>
      </c>
    </row>
    <row r="11">
      <c r="A11" t="inlineStr">
        <is>
          <t>ISMS-IMP-A.8.8.1</t>
        </is>
      </c>
      <c r="B11" t="inlineStr">
        <is>
          <t>Vulnerability Scanning Infrastructure</t>
        </is>
      </c>
    </row>
    <row r="12">
      <c r="A12" t="inlineStr">
        <is>
          <t>ISMS-IMP-A.8.8.5</t>
        </is>
      </c>
      <c r="B12" t="inlineStr">
        <is>
          <t>Vulnerability Inventory</t>
        </is>
      </c>
    </row>
    <row r="13">
      <c r="A13" t="inlineStr">
        <is>
          <t>ISMS-IMP-A.8.8.12</t>
        </is>
      </c>
      <c r="B13" t="inlineStr">
        <is>
          <t>Metrics &amp; KPIs</t>
        </is>
      </c>
    </row>
    <row r="18">
      <c r="A18" s="2" t="inlineStr">
        <is>
          <t>CONTACT INFORMATION</t>
        </is>
      </c>
    </row>
    <row r="19">
      <c r="A19" s="1" t="inlineStr">
        <is>
          <t>Role</t>
        </is>
      </c>
      <c r="B19" s="1" t="inlineStr">
        <is>
          <t>Contact</t>
        </is>
      </c>
    </row>
    <row r="20">
      <c r="A20" t="inlineStr">
        <is>
          <t>Vulnerability Management Coordinator</t>
        </is>
      </c>
      <c r="B20" t="inlineStr">
        <is>
          <t>vm-coordinator@example.com</t>
        </is>
      </c>
    </row>
    <row r="21">
      <c r="A21" t="inlineStr">
        <is>
          <t>Network Engineering Team</t>
        </is>
      </c>
      <c r="B21" t="inlineStr">
        <is>
          <t>network-eng@example.com</t>
        </is>
      </c>
    </row>
    <row r="22">
      <c r="A22" t="inlineStr">
        <is>
          <t>Firewall Team</t>
        </is>
      </c>
      <c r="B22" t="inlineStr">
        <is>
          <t>firewall-team@example.com</t>
        </is>
      </c>
    </row>
    <row r="23">
      <c r="A23" t="inlineStr">
        <is>
          <t>CISO</t>
        </is>
      </c>
      <c r="B23" t="inlineStr">
        <is>
          <t>ciso@example.com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2026-01-31T02:16:47Z</dcterms:created>
  <dcterms:modified xmlns:dcterms="http://purl.org/dc/terms/" xmlns:xsi="http://www.w3.org/2001/XMLSchema-instance" xsi:type="dcterms:W3CDTF">2026-01-31T02:16:47Z</dcterms:modified>
</cp:coreProperties>
</file>