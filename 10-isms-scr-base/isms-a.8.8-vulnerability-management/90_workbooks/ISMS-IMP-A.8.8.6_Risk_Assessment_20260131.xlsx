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ulnerability_Risk_Assessment" sheetId="2" state="visible" r:id="rId2"/>
    <sheet xmlns:r="http://schemas.openxmlformats.org/officeDocument/2006/relationships" name="Asset_Criticality_Matrix" sheetId="3" state="visible" r:id="rId3"/>
    <sheet xmlns:r="http://schemas.openxmlformats.org/officeDocument/2006/relationships" name="Business_Impact_Assessment" sheetId="4" state="visible" r:id="rId4"/>
    <sheet xmlns:r="http://schemas.openxmlformats.org/officeDocument/2006/relationships" name="Risk_Heat_Map" sheetId="5" state="visible" r:id="rId5"/>
    <sheet xmlns:r="http://schemas.openxmlformats.org/officeDocument/2006/relationships" name="High_Risk_Register" sheetId="6" state="visible" r:id="rId6"/>
    <sheet xmlns:r="http://schemas.openxmlformats.org/officeDocument/2006/relationships" name="Risk_Treatment_Decisions" sheetId="7" state="visible" r:id="rId7"/>
    <sheet xmlns:r="http://schemas.openxmlformats.org/officeDocument/2006/relationships" name="Residual_Risk_Tracking" sheetId="8" state="visible" r:id="rId8"/>
    <sheet xmlns:r="http://schemas.openxmlformats.org/officeDocument/2006/relationships" name="Risk_Appetite_Thresholds" sheetId="9" state="visible" r:id="rId9"/>
    <sheet xmlns:r="http://schemas.openxmlformats.org/officeDocument/2006/relationships" name="Compliance_Risk_Mapping" sheetId="10" state="visible" r:id="rId10"/>
    <sheet xmlns:r="http://schemas.openxmlformats.org/officeDocument/2006/relationships" name="Risk_Review_Log" sheetId="11" state="visible" r:id="rId11"/>
    <sheet xmlns:r="http://schemas.openxmlformats.org/officeDocument/2006/relationships" name="Referen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 h:mm:ss"/>
  </numFmts>
  <fonts count="7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b val="1"/>
    </font>
    <font>
      <name val="Calibri"/>
      <b val="1"/>
      <sz val="12"/>
    </font>
    <font>
      <name val="Calibri"/>
      <b val="1"/>
      <color rgb="00FFFFFF"/>
      <sz val="11"/>
    </font>
    <font>
      <i val="1"/>
    </font>
    <font>
      <name val="Calibri"/>
      <b val="1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0" borderId="1" pivotButton="0" quotePrefix="0" xfId="0"/>
    <xf numFmtId="0" fontId="5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font>
        <b val="1"/>
        <color rgb="00FFFFFF"/>
      </font>
      <fill>
        <patternFill patternType="solid">
          <fgColor rgb="00FF0000"/>
          <bgColor rgb="00FF0000"/>
        </patternFill>
      </fill>
    </dxf>
    <dxf>
      <fill>
        <patternFill patternType="solid">
          <fgColor rgb="00FF8C00"/>
          <bgColor rgb="00FF8C00"/>
        </patternFill>
      </fill>
    </dxf>
    <dxf>
      <fill>
        <patternFill patternType="solid">
          <fgColor rgb="00FFA500"/>
          <bgColor rgb="00FFA500"/>
        </patternFill>
      </fill>
    </dxf>
    <dxf>
      <font>
        <b val="1"/>
        <color rgb="0000008B"/>
      </font>
      <fill>
        <patternFill patternType="solid">
          <fgColor rgb="00ADD8E6"/>
          <bgColor rgb="00ADD8E6"/>
        </patternFill>
      </fill>
    </dxf>
    <dxf>
      <fill>
        <patternFill patternType="solid">
          <fgColor rgb="00FFFF00"/>
          <bgColor rgb="00FFFF00"/>
        </patternFill>
      </fill>
    </dxf>
    <dxf>
      <font>
        <b val="1"/>
        <color rgb="00FF0000"/>
      </font>
      <fill>
        <patternFill patternType="solid">
          <fgColor rgb="00FFB6C1"/>
          <bgColor rgb="00FFB6C1"/>
        </patternFill>
      </fill>
    </dxf>
    <dxf>
      <font>
        <b val="1"/>
        <color rgb="00FF0000"/>
      </font>
      <fill>
        <patternFill patternType="solid">
          <fgColor rgb="00FFFF00"/>
          <b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ISMS Generator</author>
  </authors>
  <commentList>
    <comment ref="K1" authorId="0" shapeId="0">
      <text>
        <t>AUTO-CALCULATED: Uses v4.0 if available, else v3.1. Formula selects based on CVSS_Version (Column J).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0" customWidth="1" min="4" max="4"/>
  </cols>
  <sheetData>
    <row r="1">
      <c r="A1" s="1" t="inlineStr">
        <is>
          <t>ISMS-IMP-A.8.8.6 - Vulnerability Risk Assessment Tracker</t>
        </is>
      </c>
    </row>
    <row r="3">
      <c r="A3" s="2" t="inlineStr">
        <is>
          <t>Document ID:</t>
        </is>
      </c>
      <c r="B3" t="inlineStr">
        <is>
          <t>ISMS-IMP-A.8.8.6</t>
        </is>
      </c>
    </row>
    <row r="4">
      <c r="A4" s="2" t="inlineStr">
        <is>
          <t>Title:</t>
        </is>
      </c>
      <c r="B4" t="inlineStr">
        <is>
          <t>Vulnerability Risk Assessment Tracker</t>
        </is>
      </c>
    </row>
    <row r="5">
      <c r="A5" s="2" t="inlineStr">
        <is>
          <t>Version:</t>
        </is>
      </c>
      <c r="B5" t="inlineStr">
        <is>
          <t>1.0</t>
        </is>
      </c>
    </row>
    <row r="6">
      <c r="A6" s="2" t="inlineStr">
        <is>
          <t>Date:</t>
        </is>
      </c>
      <c r="B6" t="inlineStr">
        <is>
          <t>31.01.2026</t>
        </is>
      </c>
    </row>
    <row r="7">
      <c r="A7" s="2" t="inlineStr">
        <is>
          <t>Owner:</t>
        </is>
      </c>
      <c r="B7" t="inlineStr">
        <is>
          <t>Risk Management Team / Vulnerability Management Coordinator</t>
        </is>
      </c>
    </row>
    <row r="8">
      <c r="A8" s="2" t="inlineStr">
        <is>
          <t>Classification:</t>
        </is>
      </c>
      <c r="B8" t="inlineStr">
        <is>
          <t>Internal</t>
        </is>
      </c>
    </row>
    <row r="9">
      <c r="A9" s="2" t="inlineStr">
        <is>
          <t>Last Update:</t>
        </is>
      </c>
      <c r="B9">
        <f>TODAY()</f>
        <v/>
      </c>
    </row>
    <row r="10">
      <c r="A10" s="2" t="inlineStr">
        <is>
          <t>Review Frequency:</t>
        </is>
      </c>
      <c r="B10" t="inlineStr">
        <is>
          <t>Monthly</t>
        </is>
      </c>
    </row>
    <row r="11">
      <c r="A11" s="2" t="inlineStr">
        <is>
          <t>Status:</t>
        </is>
      </c>
      <c r="B11" t="inlineStr">
        <is>
          <t>Active</t>
        </is>
      </c>
    </row>
    <row r="12">
      <c r="A12" s="2" t="inlineStr">
        <is>
          <t>Related Documents:</t>
        </is>
      </c>
      <c r="B12" t="inlineStr">
        <is>
          <t>ISMS-IMP-A.8.8.5 (Vulnerability Inventory), ISMS-IMP-A.8.8.4 (TI Integration)</t>
        </is>
      </c>
    </row>
    <row r="13">
      <c r="A13" s="2" t="inlineStr">
        <is>
          <t>Policy Reference:</t>
        </is>
      </c>
      <c r="B13" t="inlineStr">
        <is>
          <t>ISMS-POL-A.8.8-S2 Section 2.2.3-2.2.4 (Risk Assessment)</t>
        </is>
      </c>
    </row>
    <row r="15">
      <c r="A15" s="3" t="inlineStr">
        <is>
          <t>Risk Assessment KPIs</t>
        </is>
      </c>
    </row>
    <row r="17">
      <c r="A17" s="4" t="inlineStr">
        <is>
          <t>Metric</t>
        </is>
      </c>
      <c r="B17" s="4" t="inlineStr">
        <is>
          <t>Value</t>
        </is>
      </c>
      <c r="C17" s="4" t="inlineStr">
        <is>
          <t>Target</t>
        </is>
      </c>
      <c r="D17" s="4" t="inlineStr">
        <is>
          <t>Status</t>
        </is>
      </c>
    </row>
    <row r="18">
      <c r="A18" s="5" t="inlineStr">
        <is>
          <t>Total Vulnerabilities Assessed</t>
        </is>
      </c>
      <c r="B18" s="6">
        <f>COUNTA(Vulnerability_Risk_Assessment!A2:A1000)</f>
        <v/>
      </c>
      <c r="C18" s="5" t="inlineStr">
        <is>
          <t>N/A</t>
        </is>
      </c>
      <c r="D18" s="5" t="inlineStr">
        <is>
          <t>Info</t>
        </is>
      </c>
    </row>
    <row r="19">
      <c r="A19" s="5" t="inlineStr">
        <is>
          <t>Critical Risk Count (≥9.0)</t>
        </is>
      </c>
      <c r="B19" s="6">
        <f>COUNTIF(Vulnerability_Risk_Assessment!AE2:AE1000,"&gt;=9.0")</f>
        <v/>
      </c>
      <c r="C19" s="5" t="inlineStr">
        <is>
          <t>0</t>
        </is>
      </c>
      <c r="D19" s="5" t="inlineStr">
        <is>
          <t>RED if &gt;0</t>
        </is>
      </c>
    </row>
    <row r="20">
      <c r="A20" s="5" t="inlineStr">
        <is>
          <t>High Risk Count (7.0-8.9)</t>
        </is>
      </c>
      <c r="B20" s="6">
        <f>COUNTIFS(Vulnerability_Risk_Assessment!AE2:AE1000,"&gt;=7.0",Vulnerability_Risk_Assessment!AE2:AE1000,"&lt;9.0")</f>
        <v/>
      </c>
      <c r="C20" s="5" t="inlineStr">
        <is>
          <t>≤5</t>
        </is>
      </c>
      <c r="D20" s="5" t="inlineStr">
        <is>
          <t>AMBER if &gt;5</t>
        </is>
      </c>
    </row>
    <row r="21">
      <c r="A21" s="5" t="inlineStr">
        <is>
          <t>Medium Risk Count (4.0-6.9)</t>
        </is>
      </c>
      <c r="B21" s="6">
        <f>COUNTIFS(Vulnerability_Risk_Assessment!AE2:AE1000,"&gt;=4.0",Vulnerability_Risk_Assessment!AE2:AE1000,"&lt;7.0")</f>
        <v/>
      </c>
      <c r="C21" s="5" t="inlineStr">
        <is>
          <t>≤20</t>
        </is>
      </c>
      <c r="D21" s="5" t="inlineStr">
        <is>
          <t>Info</t>
        </is>
      </c>
    </row>
    <row r="22">
      <c r="A22" s="5" t="inlineStr">
        <is>
          <t>Low Risk Count (&lt;4.0)</t>
        </is>
      </c>
      <c r="B22" s="6">
        <f>COUNTIF(Vulnerability_Risk_Assessment!AE2:AE1000,"&lt;4.0")</f>
        <v/>
      </c>
      <c r="C22" s="5" t="inlineStr">
        <is>
          <t>N/A</t>
        </is>
      </c>
      <c r="D22" s="5" t="inlineStr">
        <is>
          <t>Info</t>
        </is>
      </c>
    </row>
    <row r="23">
      <c r="A23" s="5" t="inlineStr">
        <is>
          <t>Risk Assessment Coverage %</t>
        </is>
      </c>
      <c r="B23" s="6">
        <f>(B18/500)*100</f>
        <v/>
      </c>
      <c r="C23" s="5" t="inlineStr">
        <is>
          <t>≥95%</t>
        </is>
      </c>
      <c r="D23" s="5" t="inlineStr">
        <is>
          <t>Status</t>
        </is>
      </c>
    </row>
    <row r="24">
      <c r="A24" s="5" t="inlineStr">
        <is>
          <t>Avg Business Impact Score</t>
        </is>
      </c>
      <c r="B24" s="6">
        <f>AVERAGE(Vulnerability_Risk_Assessment!AA2:AA1000)</f>
        <v/>
      </c>
      <c r="C24" s="5" t="inlineStr">
        <is>
          <t>N/A</t>
        </is>
      </c>
      <c r="D24" s="5" t="inlineStr">
        <is>
          <t>Trend</t>
        </is>
      </c>
    </row>
    <row r="25">
      <c r="A25" s="5" t="inlineStr">
        <is>
          <t>Assets at Critical Risk</t>
        </is>
      </c>
      <c r="B25" s="6">
        <f>COUNTIF(High_Risk_Register!D2:D200,"Tier 1")</f>
        <v/>
      </c>
      <c r="C25" s="5" t="inlineStr">
        <is>
          <t>0</t>
        </is>
      </c>
      <c r="D25" s="5" t="inlineStr">
        <is>
          <t>RED if &gt;0</t>
        </is>
      </c>
    </row>
    <row r="26">
      <c r="A26" s="5" t="inlineStr">
        <is>
          <t>Risk Treatment Pending</t>
        </is>
      </c>
      <c r="B26" s="6">
        <f>COUNTIF(Risk_Treatment_Decisions!L2:L100,"Pending")</f>
        <v/>
      </c>
      <c r="C26" s="5" t="inlineStr">
        <is>
          <t>≤10</t>
        </is>
      </c>
      <c r="D26" s="5" t="inlineStr">
        <is>
          <t>Status</t>
        </is>
      </c>
    </row>
    <row r="27">
      <c r="A27" s="5" t="inlineStr">
        <is>
          <t>Risk Acceptance Overdue</t>
        </is>
      </c>
      <c r="B27" s="6">
        <f>COUNTIF(Risk_Treatment_Decisions!L2:L100,"Expired")</f>
        <v/>
      </c>
      <c r="C27" s="5" t="inlineStr">
        <is>
          <t>0</t>
        </is>
      </c>
      <c r="D27" s="5" t="inlineStr">
        <is>
          <t>RED if &gt;0</t>
        </is>
      </c>
    </row>
    <row r="32">
      <c r="A32" s="3" t="inlineStr">
        <is>
          <t>Risk Appetite Compliance</t>
        </is>
      </c>
    </row>
    <row r="33">
      <c r="A33" s="7" t="inlineStr">
        <is>
          <t>Current risk exposure vs. organizational risk appetite thresholds</t>
        </is>
      </c>
    </row>
    <row r="34">
      <c r="A34" s="2" t="inlineStr">
        <is>
          <t>Status:</t>
        </is>
      </c>
      <c r="B34">
        <f>IF(B19&gt;0,"BREACH - Executive escalation required","Within Appetite")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0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40" customWidth="1" min="3" max="3"/>
    <col width="12" customWidth="1" min="4" max="4"/>
    <col width="30" customWidth="1" min="5" max="5"/>
    <col width="12" customWidth="1" min="6" max="6"/>
    <col width="10" customWidth="1" min="7" max="7"/>
    <col width="12" customWidth="1" min="8" max="8"/>
    <col width="12" customWidth="1" min="9" max="9"/>
    <col width="14" customWidth="1" min="10" max="10"/>
    <col width="14" customWidth="1" min="11" max="11"/>
    <col width="12" customWidth="1" min="12" max="12"/>
    <col width="12" customWidth="1" min="13" max="13"/>
    <col width="85" customWidth="1" min="14" max="14"/>
    <col width="85" customWidth="1" min="15" max="15"/>
    <col width="14" customWidth="1" min="16" max="16"/>
    <col width="14" customWidth="1" min="17" max="17"/>
    <col width="16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  <col width="30" customWidth="1" min="24" max="24"/>
    <col width="12" customWidth="1" min="25" max="25"/>
    <col width="12" customWidth="1" min="26" max="26"/>
    <col width="10" customWidth="1" min="27" max="27"/>
    <col width="10" customWidth="1" min="28" max="28"/>
    <col width="10" customWidth="1" min="29" max="29"/>
    <col width="10" customWidth="1" min="30" max="30"/>
    <col width="12" customWidth="1" min="31" max="31"/>
    <col width="12" customWidth="1" min="32" max="32"/>
    <col width="15" customWidth="1" min="33" max="33"/>
  </cols>
  <sheetData>
    <row r="1">
      <c r="A1" s="4" t="inlineStr">
        <is>
          <t>Vuln_ID</t>
        </is>
      </c>
      <c r="B1" s="4" t="inlineStr">
        <is>
          <t>CVE_ID</t>
        </is>
      </c>
      <c r="C1" s="4" t="inlineStr">
        <is>
          <t>Vuln_Title</t>
        </is>
      </c>
      <c r="D1" s="4" t="inlineStr">
        <is>
          <t>Discovery_Date</t>
        </is>
      </c>
      <c r="E1" s="4" t="inlineStr">
        <is>
          <t>Affected_Systems</t>
        </is>
      </c>
      <c r="F1" s="4" t="inlineStr">
        <is>
          <t>Affected_Asset_Count</t>
        </is>
      </c>
      <c r="G1" s="4" t="inlineStr">
        <is>
          <t>KEV_Listed</t>
        </is>
      </c>
      <c r="H1" s="4" t="inlineStr">
        <is>
          <t>Active_Exploitation</t>
        </is>
      </c>
      <c r="I1" s="4" t="inlineStr">
        <is>
          <t>Days_Since_Discovery</t>
        </is>
      </c>
      <c r="J1" s="4" t="inlineStr">
        <is>
          <t>CVSS_Version</t>
        </is>
      </c>
      <c r="K1" s="4" t="inlineStr">
        <is>
          <t>CVSS_Primary_Score</t>
        </is>
      </c>
      <c r="L1" s="4" t="inlineStr">
        <is>
          <t>CVSS_v40_Score</t>
        </is>
      </c>
      <c r="M1" s="4" t="inlineStr">
        <is>
          <t>CVSS_v31_Score</t>
        </is>
      </c>
      <c r="N1" s="4" t="inlineStr">
        <is>
          <t>CVSS_v40_Vector</t>
        </is>
      </c>
      <c r="O1" s="4" t="inlineStr">
        <is>
          <t>CVSS_v31_Vector</t>
        </is>
      </c>
      <c r="P1" s="4" t="inlineStr">
        <is>
          <t>Supplemental_AU</t>
        </is>
      </c>
      <c r="Q1" s="4" t="inlineStr">
        <is>
          <t>Supplemental_S</t>
        </is>
      </c>
      <c r="R1" s="4" t="inlineStr">
        <is>
          <t>Version_Source</t>
        </is>
      </c>
      <c r="S1" s="4" t="inlineStr">
        <is>
          <t>Score_Date</t>
        </is>
      </c>
      <c r="T1" s="4" t="inlineStr">
        <is>
          <t>Max_Asset_Criticality</t>
        </is>
      </c>
      <c r="U1" s="4" t="inlineStr">
        <is>
          <t>Asset_Criticality_Score</t>
        </is>
      </c>
      <c r="V1" s="4" t="inlineStr">
        <is>
          <t>Max_Data_Sensitivity</t>
        </is>
      </c>
      <c r="W1" s="4" t="inlineStr">
        <is>
          <t>Data_Sensitivity_Score</t>
        </is>
      </c>
      <c r="X1" s="4" t="inlineStr">
        <is>
          <t>Business_Function</t>
        </is>
      </c>
      <c r="Y1" s="4" t="inlineStr">
        <is>
          <t>Regulatory_Impact</t>
        </is>
      </c>
      <c r="Z1" s="4" t="inlineStr">
        <is>
          <t>Financial_Exposure</t>
        </is>
      </c>
      <c r="AA1" s="4" t="inlineStr">
        <is>
          <t>Business_Impact_Score</t>
        </is>
      </c>
      <c r="AB1" s="4" t="inlineStr">
        <is>
          <t>TI_Modifier</t>
        </is>
      </c>
      <c r="AC1" s="4" t="inlineStr">
        <is>
          <t>Environmental_Modifier</t>
        </is>
      </c>
      <c r="AD1" s="4" t="inlineStr">
        <is>
          <t>Raw_Risk_Score</t>
        </is>
      </c>
      <c r="AE1" s="4" t="inlineStr">
        <is>
          <t>Composite_Risk_Score</t>
        </is>
      </c>
      <c r="AF1" s="4" t="inlineStr">
        <is>
          <t>Risk_Level</t>
        </is>
      </c>
      <c r="AG1" s="4" t="inlineStr">
        <is>
          <t>Risk_Treatment_Status</t>
        </is>
      </c>
    </row>
    <row r="2">
      <c r="A2" t="inlineStr">
        <is>
          <t>VULN-001</t>
        </is>
      </c>
      <c r="B2" t="inlineStr">
        <is>
          <t>CVE-2024-1234</t>
        </is>
      </c>
      <c r="C2" t="inlineStr">
        <is>
          <t>Log4j Remote Code Execution</t>
        </is>
      </c>
      <c r="D2" s="8" t="n">
        <v>45306</v>
      </c>
      <c r="E2" t="inlineStr">
        <is>
          <t>Production E-commerce Cluster</t>
        </is>
      </c>
      <c r="F2" t="n">
        <v>1</v>
      </c>
      <c r="G2" t="inlineStr">
        <is>
          <t>YES</t>
        </is>
      </c>
      <c r="H2" t="inlineStr">
        <is>
          <t>NO</t>
        </is>
      </c>
      <c r="I2">
        <f>IF(D2="","",TODAY()-D2)</f>
        <v/>
      </c>
      <c r="J2" t="inlineStr">
        <is>
          <t>v4.0</t>
        </is>
      </c>
      <c r="K2">
        <f>IF(J2="v4.0",L2,IF(J2="v3.1",M2,IF(J2="Both",L2,IF(AND(L2&lt;&gt;"",M2=""),L2,M2))))</f>
        <v/>
      </c>
      <c r="L2" t="n">
        <v>9.800000000000001</v>
      </c>
      <c r="M2" t="inlineStr"/>
      <c r="N2" t="inlineStr">
        <is>
          <t>CVSS:4.0/AV:N/AC:L/AT:N/PR:N/UI:N/VC:H/VI:H/VA:H/SC:N/SI:N/SA:N</t>
        </is>
      </c>
      <c r="O2" t="inlineStr"/>
      <c r="P2" t="inlineStr">
        <is>
          <t>Y</t>
        </is>
      </c>
      <c r="Q2" t="inlineStr">
        <is>
          <t>N/A</t>
        </is>
      </c>
      <c r="R2" t="inlineStr">
        <is>
          <t>NVD</t>
        </is>
      </c>
      <c r="S2" s="8" t="n">
        <v>45306</v>
      </c>
      <c r="T2" t="inlineStr">
        <is>
          <t>Tier 1</t>
        </is>
      </c>
      <c r="U2">
        <f>IF(T2="Tier 1",10,IF(T2="Tier 2",7,IF(T2="Tier 3",4,IF(T2="Tier 4",1,0))))</f>
        <v/>
      </c>
      <c r="V2" t="inlineStr">
        <is>
          <t>Restricted</t>
        </is>
      </c>
      <c r="W2">
        <f>IF(V2="Restricted",10,IF(V2="Confidential",7,IF(V2="Internal",4,IF(V2="Public",1,0))))</f>
        <v/>
      </c>
      <c r="X2" t="inlineStr">
        <is>
          <t>E-commerce</t>
        </is>
      </c>
      <c r="Y2" t="inlineStr">
        <is>
          <t>YES</t>
        </is>
      </c>
      <c r="Z2" t="inlineStr">
        <is>
          <t>Critical</t>
        </is>
      </c>
      <c r="AA2" s="9">
        <f>(U2*0.4)+(W2*0.3)+(IF(Z2="Critical",10,IF(Z2="High",7,IF(Z2="Medium",4,1)))*0.2)+(IF(Y2="YES",10,0)*0.1)</f>
        <v/>
      </c>
      <c r="AB2" s="9">
        <f>IF(G2="YES",2.0,0)+IF(H2="YES",2.0,0)</f>
        <v/>
      </c>
      <c r="AC2" s="9" t="n">
        <v>0</v>
      </c>
      <c r="AD2" s="9">
        <f>K2+AB2+AC2</f>
        <v/>
      </c>
      <c r="AE2" s="9">
        <f>(AD2*0.6)+(AA2*0.4)</f>
        <v/>
      </c>
      <c r="AF2">
        <f>IF(AE2&gt;=9,"Critical",IF(AE2&gt;=7,"High",IF(AE2&gt;=4,"Medium","Low")))</f>
        <v/>
      </c>
      <c r="AG2" t="inlineStr">
        <is>
          <t>Pending Approval</t>
        </is>
      </c>
    </row>
    <row r="3">
      <c r="A3" t="inlineStr">
        <is>
          <t>VULN-002</t>
        </is>
      </c>
      <c r="B3" t="inlineStr">
        <is>
          <t>CVE-2024-5678</t>
        </is>
      </c>
      <c r="C3" t="inlineStr">
        <is>
          <t>Exchange Server SSRF</t>
        </is>
      </c>
      <c r="D3" s="8" t="n">
        <v>45323</v>
      </c>
      <c r="E3" t="inlineStr">
        <is>
          <t>Financial ERP System</t>
        </is>
      </c>
      <c r="F3" t="n">
        <v>1</v>
      </c>
      <c r="G3" t="inlineStr">
        <is>
          <t>YES</t>
        </is>
      </c>
      <c r="H3" t="inlineStr">
        <is>
          <t>YES</t>
        </is>
      </c>
      <c r="I3">
        <f>IF(D3="","",TODAY()-D3)</f>
        <v/>
      </c>
      <c r="J3" t="inlineStr">
        <is>
          <t>v4.0</t>
        </is>
      </c>
      <c r="K3">
        <f>IF(J3="v4.0",L3,IF(J3="v3.1",M3,IF(J3="Both",L3,IF(AND(L3&lt;&gt;"",M3=""),L3,M3))))</f>
        <v/>
      </c>
      <c r="L3" t="n">
        <v>8.800000000000001</v>
      </c>
      <c r="M3" t="inlineStr"/>
      <c r="N3" t="inlineStr">
        <is>
          <t>CVSS:4.0/AV:N/AC:L/AT:N/PR:L/UI:N/VC:H/VI:H/VA:H/SC:N/SI:N/SA:N</t>
        </is>
      </c>
      <c r="O3" t="inlineStr"/>
      <c r="P3" t="inlineStr">
        <is>
          <t>N</t>
        </is>
      </c>
      <c r="Q3" t="inlineStr">
        <is>
          <t>N/A</t>
        </is>
      </c>
      <c r="R3" t="inlineStr">
        <is>
          <t>Vendor</t>
        </is>
      </c>
      <c r="S3" s="8" t="n">
        <v>45323</v>
      </c>
      <c r="T3" t="inlineStr">
        <is>
          <t>Tier 1</t>
        </is>
      </c>
      <c r="U3">
        <f>IF(T3="Tier 1",10,IF(T3="Tier 2",7,IF(T3="Tier 3",4,IF(T3="Tier 4",1,0))))</f>
        <v/>
      </c>
      <c r="V3" t="inlineStr">
        <is>
          <t>Confidential</t>
        </is>
      </c>
      <c r="W3">
        <f>IF(V3="Restricted",10,IF(V3="Confidential",7,IF(V3="Internal",4,IF(V3="Public",1,0))))</f>
        <v/>
      </c>
      <c r="X3" t="inlineStr">
        <is>
          <t>Finance</t>
        </is>
      </c>
      <c r="Y3" t="inlineStr">
        <is>
          <t>YES</t>
        </is>
      </c>
      <c r="Z3" t="inlineStr">
        <is>
          <t>High</t>
        </is>
      </c>
      <c r="AA3" s="9">
        <f>(U3*0.4)+(W3*0.3)+(IF(Z3="Critical",10,IF(Z3="High",7,IF(Z3="Medium",4,1)))*0.2)+(IF(Y3="YES",10,0)*0.1)</f>
        <v/>
      </c>
      <c r="AB3" s="9">
        <f>IF(G3="YES",2.0,0)+IF(H3="YES",2.0,0)</f>
        <v/>
      </c>
      <c r="AC3" s="9" t="n">
        <v>0</v>
      </c>
      <c r="AD3" s="9">
        <f>K3+AB3+AC3</f>
        <v/>
      </c>
      <c r="AE3" s="9">
        <f>(AD3*0.6)+(AA3*0.4)</f>
        <v/>
      </c>
      <c r="AF3">
        <f>IF(AE3&gt;=9,"Critical",IF(AE3&gt;=7,"High",IF(AE3&gt;=4,"Medium","Low")))</f>
        <v/>
      </c>
      <c r="AG3" t="inlineStr">
        <is>
          <t>Assessed</t>
        </is>
      </c>
    </row>
    <row r="4">
      <c r="A4" t="inlineStr">
        <is>
          <t>VULN-003</t>
        </is>
      </c>
      <c r="B4" t="inlineStr">
        <is>
          <t>CVE-2024-9012</t>
        </is>
      </c>
      <c r="C4" t="inlineStr">
        <is>
          <t>Development Tool RCE</t>
        </is>
      </c>
      <c r="D4" s="8" t="n">
        <v>45361</v>
      </c>
      <c r="E4" t="inlineStr">
        <is>
          <t>Development Server</t>
        </is>
      </c>
      <c r="F4" t="n">
        <v>1</v>
      </c>
      <c r="G4" t="inlineStr">
        <is>
          <t>NO</t>
        </is>
      </c>
      <c r="H4" t="inlineStr">
        <is>
          <t>NO</t>
        </is>
      </c>
      <c r="I4">
        <f>IF(D4="","",TODAY()-D4)</f>
        <v/>
      </c>
      <c r="J4" t="inlineStr">
        <is>
          <t>v4.0</t>
        </is>
      </c>
      <c r="K4">
        <f>IF(J4="v4.0",L4,IF(J4="v3.1",M4,IF(J4="Both",L4,IF(AND(L4&lt;&gt;"",M4=""),L4,M4))))</f>
        <v/>
      </c>
      <c r="L4" t="n">
        <v>9.1</v>
      </c>
      <c r="M4" t="inlineStr"/>
      <c r="N4" t="inlineStr">
        <is>
          <t>CVSS:4.0/AV:N/AC:L/AT:N/PR:N/UI:N/VC:H/VI:H/VA:H/SC:N/SI:N/SA:N</t>
        </is>
      </c>
      <c r="O4" t="inlineStr"/>
      <c r="P4" t="inlineStr">
        <is>
          <t>N</t>
        </is>
      </c>
      <c r="Q4" t="inlineStr">
        <is>
          <t>N/A</t>
        </is>
      </c>
      <c r="R4" t="inlineStr">
        <is>
          <t>Scanner</t>
        </is>
      </c>
      <c r="S4" s="8" t="n">
        <v>45361</v>
      </c>
      <c r="T4" t="inlineStr">
        <is>
          <t>Tier 3</t>
        </is>
      </c>
      <c r="U4">
        <f>IF(T4="Tier 1",10,IF(T4="Tier 2",7,IF(T4="Tier 3",4,IF(T4="Tier 4",1,0))))</f>
        <v/>
      </c>
      <c r="V4" t="inlineStr">
        <is>
          <t>Internal</t>
        </is>
      </c>
      <c r="W4">
        <f>IF(V4="Restricted",10,IF(V4="Confidential",7,IF(V4="Internal",4,IF(V4="Public",1,0))))</f>
        <v/>
      </c>
      <c r="X4" t="inlineStr">
        <is>
          <t>IT Infrastructure</t>
        </is>
      </c>
      <c r="Y4" t="inlineStr">
        <is>
          <t>NO</t>
        </is>
      </c>
      <c r="Z4" t="inlineStr">
        <is>
          <t>Low</t>
        </is>
      </c>
      <c r="AA4" s="9">
        <f>(U4*0.4)+(W4*0.3)+(IF(Z4="Critical",10,IF(Z4="High",7,IF(Z4="Medium",4,1)))*0.2)+(IF(Y4="YES",10,0)*0.1)</f>
        <v/>
      </c>
      <c r="AB4" s="9">
        <f>IF(G4="YES",2.0,0)+IF(H4="YES",2.0,0)</f>
        <v/>
      </c>
      <c r="AC4" s="9" t="n">
        <v>0</v>
      </c>
      <c r="AD4" s="9">
        <f>K4+AB4+AC4</f>
        <v/>
      </c>
      <c r="AE4" s="9">
        <f>(AD4*0.6)+(AA4*0.4)</f>
        <v/>
      </c>
      <c r="AF4">
        <f>IF(AE4&gt;=9,"Critical",IF(AE4&gt;=7,"High",IF(AE4&gt;=4,"Medium","Low")))</f>
        <v/>
      </c>
      <c r="AG4" t="inlineStr">
        <is>
          <t>Approved</t>
        </is>
      </c>
    </row>
    <row r="5">
      <c r="A5" t="inlineStr">
        <is>
          <t>VULN-004</t>
        </is>
      </c>
      <c r="B5" t="inlineStr">
        <is>
          <t>CVE-2024-7890</t>
        </is>
      </c>
      <c r="C5" t="inlineStr">
        <is>
          <t>Minor XSS in Internal Wiki</t>
        </is>
      </c>
      <c r="D5" s="8" t="n">
        <v>45387</v>
      </c>
      <c r="E5" t="inlineStr">
        <is>
          <t>Internal Wiki</t>
        </is>
      </c>
      <c r="F5" t="n">
        <v>1</v>
      </c>
      <c r="G5" t="inlineStr">
        <is>
          <t>NO</t>
        </is>
      </c>
      <c r="H5" t="inlineStr">
        <is>
          <t>NO</t>
        </is>
      </c>
      <c r="I5">
        <f>IF(D5="","",TODAY()-D5)</f>
        <v/>
      </c>
      <c r="J5" t="inlineStr">
        <is>
          <t>v3.1</t>
        </is>
      </c>
      <c r="K5">
        <f>IF(J5="v4.0",L5,IF(J5="v3.1",M5,IF(J5="Both",L5,IF(AND(L5&lt;&gt;"",M5=""),L5,M5))))</f>
        <v/>
      </c>
      <c r="L5" t="inlineStr"/>
      <c r="M5" t="n">
        <v>4.3</v>
      </c>
      <c r="N5" t="inlineStr"/>
      <c r="O5" t="inlineStr">
        <is>
          <t>CVSS:3.1/AV:N/AC:L/PR:N/UI:R/S:U/C:N/I:L/A:N</t>
        </is>
      </c>
      <c r="P5" t="inlineStr">
        <is>
          <t>N/A</t>
        </is>
      </c>
      <c r="Q5" t="inlineStr">
        <is>
          <t>N/A</t>
        </is>
      </c>
      <c r="R5" t="inlineStr">
        <is>
          <t>Manual</t>
        </is>
      </c>
      <c r="S5" s="8" t="n">
        <v>45387</v>
      </c>
      <c r="T5" t="inlineStr">
        <is>
          <t>Tier 4</t>
        </is>
      </c>
      <c r="U5">
        <f>IF(T5="Tier 1",10,IF(T5="Tier 2",7,IF(T5="Tier 3",4,IF(T5="Tier 4",1,0))))</f>
        <v/>
      </c>
      <c r="V5" t="inlineStr">
        <is>
          <t>Public</t>
        </is>
      </c>
      <c r="W5">
        <f>IF(V5="Restricted",10,IF(V5="Confidential",7,IF(V5="Internal",4,IF(V5="Public",1,0))))</f>
        <v/>
      </c>
      <c r="X5" t="inlineStr">
        <is>
          <t>Other</t>
        </is>
      </c>
      <c r="Y5" t="inlineStr">
        <is>
          <t>NO</t>
        </is>
      </c>
      <c r="Z5" t="inlineStr">
        <is>
          <t>Low</t>
        </is>
      </c>
      <c r="AA5" s="9">
        <f>(U5*0.4)+(W5*0.3)+(IF(Z5="Critical",10,IF(Z5="High",7,IF(Z5="Medium",4,1)))*0.2)+(IF(Y5="YES",10,0)*0.1)</f>
        <v/>
      </c>
      <c r="AB5" s="9">
        <f>IF(G5="YES",2.0,0)+IF(H5="YES",2.0,0)</f>
        <v/>
      </c>
      <c r="AC5" s="9" t="n">
        <v>0</v>
      </c>
      <c r="AD5" s="9">
        <f>K5+AB5+AC5</f>
        <v/>
      </c>
      <c r="AE5" s="9">
        <f>(AD5*0.6)+(AA5*0.4)</f>
        <v/>
      </c>
      <c r="AF5">
        <f>IF(AE5&gt;=9,"Critical",IF(AE5&gt;=7,"High",IF(AE5&gt;=4,"Medium","Low")))</f>
        <v/>
      </c>
      <c r="AG5" t="inlineStr">
        <is>
          <t>Completed</t>
        </is>
      </c>
    </row>
    <row r="6">
      <c r="F6" t="n">
        <v>1</v>
      </c>
      <c r="I6">
        <f>IF(D6="","",TODAY()-D6)</f>
        <v/>
      </c>
      <c r="K6">
        <f>IF(J6="v4.0",L6,IF(J6="v3.1",M6,IF(J6="Both",L6,IF(AND(L6&lt;&gt;"",M6=""),L6,M6))))</f>
        <v/>
      </c>
      <c r="U6">
        <f>IF(T6="Tier 1",10,IF(T6="Tier 2",7,IF(T6="Tier 3",4,IF(T6="Tier 4",1,0))))</f>
        <v/>
      </c>
      <c r="W6">
        <f>IF(V6="Restricted",10,IF(V6="Confidential",7,IF(V6="Internal",4,IF(V6="Public",1,0))))</f>
        <v/>
      </c>
      <c r="AA6" s="9">
        <f>(U6*0.4)+(W6*0.3)+(IF(Z6="Critical",10,IF(Z6="High",7,IF(Z6="Medium",4,1)))*0.2)+(IF(Y6="YES",10,0)*0.1)</f>
        <v/>
      </c>
      <c r="AB6" s="9">
        <f>IF(G6="YES",2.0,0)+IF(H6="YES",2.0,0)</f>
        <v/>
      </c>
      <c r="AC6" s="9" t="n">
        <v>0</v>
      </c>
      <c r="AD6" s="9">
        <f>K6+AB6+AC6</f>
        <v/>
      </c>
      <c r="AE6" s="9">
        <f>(AD6*0.6)+(AA6*0.4)</f>
        <v/>
      </c>
      <c r="AF6">
        <f>IF(AE6&gt;=9,"Critical",IF(AE6&gt;=7,"High",IF(AE6&gt;=4,"Medium","Low")))</f>
        <v/>
      </c>
    </row>
    <row r="7">
      <c r="F7" t="n">
        <v>1</v>
      </c>
      <c r="I7">
        <f>IF(D7="","",TODAY()-D7)</f>
        <v/>
      </c>
      <c r="K7">
        <f>IF(J7="v4.0",L7,IF(J7="v3.1",M7,IF(J7="Both",L7,IF(AND(L7&lt;&gt;"",M7=""),L7,M7))))</f>
        <v/>
      </c>
      <c r="U7">
        <f>IF(T7="Tier 1",10,IF(T7="Tier 2",7,IF(T7="Tier 3",4,IF(T7="Tier 4",1,0))))</f>
        <v/>
      </c>
      <c r="W7">
        <f>IF(V7="Restricted",10,IF(V7="Confidential",7,IF(V7="Internal",4,IF(V7="Public",1,0))))</f>
        <v/>
      </c>
      <c r="AA7" s="9">
        <f>(U7*0.4)+(W7*0.3)+(IF(Z7="Critical",10,IF(Z7="High",7,IF(Z7="Medium",4,1)))*0.2)+(IF(Y7="YES",10,0)*0.1)</f>
        <v/>
      </c>
      <c r="AB7" s="9">
        <f>IF(G7="YES",2.0,0)+IF(H7="YES",2.0,0)</f>
        <v/>
      </c>
      <c r="AC7" s="9" t="n">
        <v>0</v>
      </c>
      <c r="AD7" s="9">
        <f>K7+AB7+AC7</f>
        <v/>
      </c>
      <c r="AE7" s="9">
        <f>(AD7*0.6)+(AA7*0.4)</f>
        <v/>
      </c>
      <c r="AF7">
        <f>IF(AE7&gt;=9,"Critical",IF(AE7&gt;=7,"High",IF(AE7&gt;=4,"Medium","Low")))</f>
        <v/>
      </c>
    </row>
    <row r="8">
      <c r="F8" t="n">
        <v>1</v>
      </c>
      <c r="I8">
        <f>IF(D8="","",TODAY()-D8)</f>
        <v/>
      </c>
      <c r="K8">
        <f>IF(J8="v4.0",L8,IF(J8="v3.1",M8,IF(J8="Both",L8,IF(AND(L8&lt;&gt;"",M8=""),L8,M8))))</f>
        <v/>
      </c>
      <c r="U8">
        <f>IF(T8="Tier 1",10,IF(T8="Tier 2",7,IF(T8="Tier 3",4,IF(T8="Tier 4",1,0))))</f>
        <v/>
      </c>
      <c r="W8">
        <f>IF(V8="Restricted",10,IF(V8="Confidential",7,IF(V8="Internal",4,IF(V8="Public",1,0))))</f>
        <v/>
      </c>
      <c r="AA8" s="9">
        <f>(U8*0.4)+(W8*0.3)+(IF(Z8="Critical",10,IF(Z8="High",7,IF(Z8="Medium",4,1)))*0.2)+(IF(Y8="YES",10,0)*0.1)</f>
        <v/>
      </c>
      <c r="AB8" s="9">
        <f>IF(G8="YES",2.0,0)+IF(H8="YES",2.0,0)</f>
        <v/>
      </c>
      <c r="AC8" s="9" t="n">
        <v>0</v>
      </c>
      <c r="AD8" s="9">
        <f>K8+AB8+AC8</f>
        <v/>
      </c>
      <c r="AE8" s="9">
        <f>(AD8*0.6)+(AA8*0.4)</f>
        <v/>
      </c>
      <c r="AF8">
        <f>IF(AE8&gt;=9,"Critical",IF(AE8&gt;=7,"High",IF(AE8&gt;=4,"Medium","Low")))</f>
        <v/>
      </c>
    </row>
    <row r="9">
      <c r="F9" t="n">
        <v>1</v>
      </c>
      <c r="I9">
        <f>IF(D9="","",TODAY()-D9)</f>
        <v/>
      </c>
      <c r="K9">
        <f>IF(J9="v4.0",L9,IF(J9="v3.1",M9,IF(J9="Both",L9,IF(AND(L9&lt;&gt;"",M9=""),L9,M9))))</f>
        <v/>
      </c>
      <c r="U9">
        <f>IF(T9="Tier 1",10,IF(T9="Tier 2",7,IF(T9="Tier 3",4,IF(T9="Tier 4",1,0))))</f>
        <v/>
      </c>
      <c r="W9">
        <f>IF(V9="Restricted",10,IF(V9="Confidential",7,IF(V9="Internal",4,IF(V9="Public",1,0))))</f>
        <v/>
      </c>
      <c r="AA9" s="9">
        <f>(U9*0.4)+(W9*0.3)+(IF(Z9="Critical",10,IF(Z9="High",7,IF(Z9="Medium",4,1)))*0.2)+(IF(Y9="YES",10,0)*0.1)</f>
        <v/>
      </c>
      <c r="AB9" s="9">
        <f>IF(G9="YES",2.0,0)+IF(H9="YES",2.0,0)</f>
        <v/>
      </c>
      <c r="AC9" s="9" t="n">
        <v>0</v>
      </c>
      <c r="AD9" s="9">
        <f>K9+AB9+AC9</f>
        <v/>
      </c>
      <c r="AE9" s="9">
        <f>(AD9*0.6)+(AA9*0.4)</f>
        <v/>
      </c>
      <c r="AF9">
        <f>IF(AE9&gt;=9,"Critical",IF(AE9&gt;=7,"High",IF(AE9&gt;=4,"Medium","Low")))</f>
        <v/>
      </c>
    </row>
    <row r="10">
      <c r="F10" t="n">
        <v>1</v>
      </c>
      <c r="I10">
        <f>IF(D10="","",TODAY()-D10)</f>
        <v/>
      </c>
      <c r="K10">
        <f>IF(J10="v4.0",L10,IF(J10="v3.1",M10,IF(J10="Both",L10,IF(AND(L10&lt;&gt;"",M10=""),L10,M10))))</f>
        <v/>
      </c>
      <c r="U10">
        <f>IF(T10="Tier 1",10,IF(T10="Tier 2",7,IF(T10="Tier 3",4,IF(T10="Tier 4",1,0))))</f>
        <v/>
      </c>
      <c r="W10">
        <f>IF(V10="Restricted",10,IF(V10="Confidential",7,IF(V10="Internal",4,IF(V10="Public",1,0))))</f>
        <v/>
      </c>
      <c r="AA10" s="9">
        <f>(U10*0.4)+(W10*0.3)+(IF(Z10="Critical",10,IF(Z10="High",7,IF(Z10="Medium",4,1)))*0.2)+(IF(Y10="YES",10,0)*0.1)</f>
        <v/>
      </c>
      <c r="AB10" s="9">
        <f>IF(G10="YES",2.0,0)+IF(H10="YES",2.0,0)</f>
        <v/>
      </c>
      <c r="AC10" s="9" t="n">
        <v>0</v>
      </c>
      <c r="AD10" s="9">
        <f>K10+AB10+AC10</f>
        <v/>
      </c>
      <c r="AE10" s="9">
        <f>(AD10*0.6)+(AA10*0.4)</f>
        <v/>
      </c>
      <c r="AF10">
        <f>IF(AE10&gt;=9,"Critical",IF(AE10&gt;=7,"High",IF(AE10&gt;=4,"Medium","Low")))</f>
        <v/>
      </c>
    </row>
    <row r="11">
      <c r="F11" t="n">
        <v>1</v>
      </c>
      <c r="I11">
        <f>IF(D11="","",TODAY()-D11)</f>
        <v/>
      </c>
      <c r="K11">
        <f>IF(J11="v4.0",L11,IF(J11="v3.1",M11,IF(J11="Both",L11,IF(AND(L11&lt;&gt;"",M11=""),L11,M11))))</f>
        <v/>
      </c>
      <c r="U11">
        <f>IF(T11="Tier 1",10,IF(T11="Tier 2",7,IF(T11="Tier 3",4,IF(T11="Tier 4",1,0))))</f>
        <v/>
      </c>
      <c r="W11">
        <f>IF(V11="Restricted",10,IF(V11="Confidential",7,IF(V11="Internal",4,IF(V11="Public",1,0))))</f>
        <v/>
      </c>
      <c r="AA11" s="9">
        <f>(U11*0.4)+(W11*0.3)+(IF(Z11="Critical",10,IF(Z11="High",7,IF(Z11="Medium",4,1)))*0.2)+(IF(Y11="YES",10,0)*0.1)</f>
        <v/>
      </c>
      <c r="AB11" s="9">
        <f>IF(G11="YES",2.0,0)+IF(H11="YES",2.0,0)</f>
        <v/>
      </c>
      <c r="AC11" s="9" t="n">
        <v>0</v>
      </c>
      <c r="AD11" s="9">
        <f>K11+AB11+AC11</f>
        <v/>
      </c>
      <c r="AE11" s="9">
        <f>(AD11*0.6)+(AA11*0.4)</f>
        <v/>
      </c>
      <c r="AF11">
        <f>IF(AE11&gt;=9,"Critical",IF(AE11&gt;=7,"High",IF(AE11&gt;=4,"Medium","Low")))</f>
        <v/>
      </c>
    </row>
    <row r="12">
      <c r="F12" t="n">
        <v>1</v>
      </c>
      <c r="I12">
        <f>IF(D12="","",TODAY()-D12)</f>
        <v/>
      </c>
      <c r="K12">
        <f>IF(J12="v4.0",L12,IF(J12="v3.1",M12,IF(J12="Both",L12,IF(AND(L12&lt;&gt;"",M12=""),L12,M12))))</f>
        <v/>
      </c>
      <c r="U12">
        <f>IF(T12="Tier 1",10,IF(T12="Tier 2",7,IF(T12="Tier 3",4,IF(T12="Tier 4",1,0))))</f>
        <v/>
      </c>
      <c r="W12">
        <f>IF(V12="Restricted",10,IF(V12="Confidential",7,IF(V12="Internal",4,IF(V12="Public",1,0))))</f>
        <v/>
      </c>
      <c r="AA12" s="9">
        <f>(U12*0.4)+(W12*0.3)+(IF(Z12="Critical",10,IF(Z12="High",7,IF(Z12="Medium",4,1)))*0.2)+(IF(Y12="YES",10,0)*0.1)</f>
        <v/>
      </c>
      <c r="AB12" s="9">
        <f>IF(G12="YES",2.0,0)+IF(H12="YES",2.0,0)</f>
        <v/>
      </c>
      <c r="AC12" s="9" t="n">
        <v>0</v>
      </c>
      <c r="AD12" s="9">
        <f>K12+AB12+AC12</f>
        <v/>
      </c>
      <c r="AE12" s="9">
        <f>(AD12*0.6)+(AA12*0.4)</f>
        <v/>
      </c>
      <c r="AF12">
        <f>IF(AE12&gt;=9,"Critical",IF(AE12&gt;=7,"High",IF(AE12&gt;=4,"Medium","Low")))</f>
        <v/>
      </c>
    </row>
    <row r="13">
      <c r="F13" t="n">
        <v>1</v>
      </c>
      <c r="I13">
        <f>IF(D13="","",TODAY()-D13)</f>
        <v/>
      </c>
      <c r="K13">
        <f>IF(J13="v4.0",L13,IF(J13="v3.1",M13,IF(J13="Both",L13,IF(AND(L13&lt;&gt;"",M13=""),L13,M13))))</f>
        <v/>
      </c>
      <c r="U13">
        <f>IF(T13="Tier 1",10,IF(T13="Tier 2",7,IF(T13="Tier 3",4,IF(T13="Tier 4",1,0))))</f>
        <v/>
      </c>
      <c r="W13">
        <f>IF(V13="Restricted",10,IF(V13="Confidential",7,IF(V13="Internal",4,IF(V13="Public",1,0))))</f>
        <v/>
      </c>
      <c r="AA13" s="9">
        <f>(U13*0.4)+(W13*0.3)+(IF(Z13="Critical",10,IF(Z13="High",7,IF(Z13="Medium",4,1)))*0.2)+(IF(Y13="YES",10,0)*0.1)</f>
        <v/>
      </c>
      <c r="AB13" s="9">
        <f>IF(G13="YES",2.0,0)+IF(H13="YES",2.0,0)</f>
        <v/>
      </c>
      <c r="AC13" s="9" t="n">
        <v>0</v>
      </c>
      <c r="AD13" s="9">
        <f>K13+AB13+AC13</f>
        <v/>
      </c>
      <c r="AE13" s="9">
        <f>(AD13*0.6)+(AA13*0.4)</f>
        <v/>
      </c>
      <c r="AF13">
        <f>IF(AE13&gt;=9,"Critical",IF(AE13&gt;=7,"High",IF(AE13&gt;=4,"Medium","Low")))</f>
        <v/>
      </c>
    </row>
    <row r="14">
      <c r="F14" t="n">
        <v>1</v>
      </c>
      <c r="I14">
        <f>IF(D14="","",TODAY()-D14)</f>
        <v/>
      </c>
      <c r="K14">
        <f>IF(J14="v4.0",L14,IF(J14="v3.1",M14,IF(J14="Both",L14,IF(AND(L14&lt;&gt;"",M14=""),L14,M14))))</f>
        <v/>
      </c>
      <c r="U14">
        <f>IF(T14="Tier 1",10,IF(T14="Tier 2",7,IF(T14="Tier 3",4,IF(T14="Tier 4",1,0))))</f>
        <v/>
      </c>
      <c r="W14">
        <f>IF(V14="Restricted",10,IF(V14="Confidential",7,IF(V14="Internal",4,IF(V14="Public",1,0))))</f>
        <v/>
      </c>
      <c r="AA14" s="9">
        <f>(U14*0.4)+(W14*0.3)+(IF(Z14="Critical",10,IF(Z14="High",7,IF(Z14="Medium",4,1)))*0.2)+(IF(Y14="YES",10,0)*0.1)</f>
        <v/>
      </c>
      <c r="AB14" s="9">
        <f>IF(G14="YES",2.0,0)+IF(H14="YES",2.0,0)</f>
        <v/>
      </c>
      <c r="AC14" s="9" t="n">
        <v>0</v>
      </c>
      <c r="AD14" s="9">
        <f>K14+AB14+AC14</f>
        <v/>
      </c>
      <c r="AE14" s="9">
        <f>(AD14*0.6)+(AA14*0.4)</f>
        <v/>
      </c>
      <c r="AF14">
        <f>IF(AE14&gt;=9,"Critical",IF(AE14&gt;=7,"High",IF(AE14&gt;=4,"Medium","Low")))</f>
        <v/>
      </c>
    </row>
    <row r="15">
      <c r="F15" t="n">
        <v>1</v>
      </c>
      <c r="I15">
        <f>IF(D15="","",TODAY()-D15)</f>
        <v/>
      </c>
      <c r="K15">
        <f>IF(J15="v4.0",L15,IF(J15="v3.1",M15,IF(J15="Both",L15,IF(AND(L15&lt;&gt;"",M15=""),L15,M15))))</f>
        <v/>
      </c>
      <c r="U15">
        <f>IF(T15="Tier 1",10,IF(T15="Tier 2",7,IF(T15="Tier 3",4,IF(T15="Tier 4",1,0))))</f>
        <v/>
      </c>
      <c r="W15">
        <f>IF(V15="Restricted",10,IF(V15="Confidential",7,IF(V15="Internal",4,IF(V15="Public",1,0))))</f>
        <v/>
      </c>
      <c r="AA15" s="9">
        <f>(U15*0.4)+(W15*0.3)+(IF(Z15="Critical",10,IF(Z15="High",7,IF(Z15="Medium",4,1)))*0.2)+(IF(Y15="YES",10,0)*0.1)</f>
        <v/>
      </c>
      <c r="AB15" s="9">
        <f>IF(G15="YES",2.0,0)+IF(H15="YES",2.0,0)</f>
        <v/>
      </c>
      <c r="AC15" s="9" t="n">
        <v>0</v>
      </c>
      <c r="AD15" s="9">
        <f>K15+AB15+AC15</f>
        <v/>
      </c>
      <c r="AE15" s="9">
        <f>(AD15*0.6)+(AA15*0.4)</f>
        <v/>
      </c>
      <c r="AF15">
        <f>IF(AE15&gt;=9,"Critical",IF(AE15&gt;=7,"High",IF(AE15&gt;=4,"Medium","Low")))</f>
        <v/>
      </c>
    </row>
    <row r="16">
      <c r="F16" t="n">
        <v>1</v>
      </c>
      <c r="I16">
        <f>IF(D16="","",TODAY()-D16)</f>
        <v/>
      </c>
      <c r="K16">
        <f>IF(J16="v4.0",L16,IF(J16="v3.1",M16,IF(J16="Both",L16,IF(AND(L16&lt;&gt;"",M16=""),L16,M16))))</f>
        <v/>
      </c>
      <c r="U16">
        <f>IF(T16="Tier 1",10,IF(T16="Tier 2",7,IF(T16="Tier 3",4,IF(T16="Tier 4",1,0))))</f>
        <v/>
      </c>
      <c r="W16">
        <f>IF(V16="Restricted",10,IF(V16="Confidential",7,IF(V16="Internal",4,IF(V16="Public",1,0))))</f>
        <v/>
      </c>
      <c r="AA16" s="9">
        <f>(U16*0.4)+(W16*0.3)+(IF(Z16="Critical",10,IF(Z16="High",7,IF(Z16="Medium",4,1)))*0.2)+(IF(Y16="YES",10,0)*0.1)</f>
        <v/>
      </c>
      <c r="AB16" s="9">
        <f>IF(G16="YES",2.0,0)+IF(H16="YES",2.0,0)</f>
        <v/>
      </c>
      <c r="AC16" s="9" t="n">
        <v>0</v>
      </c>
      <c r="AD16" s="9">
        <f>K16+AB16+AC16</f>
        <v/>
      </c>
      <c r="AE16" s="9">
        <f>(AD16*0.6)+(AA16*0.4)</f>
        <v/>
      </c>
      <c r="AF16">
        <f>IF(AE16&gt;=9,"Critical",IF(AE16&gt;=7,"High",IF(AE16&gt;=4,"Medium","Low")))</f>
        <v/>
      </c>
    </row>
    <row r="17">
      <c r="F17" t="n">
        <v>1</v>
      </c>
      <c r="I17">
        <f>IF(D17="","",TODAY()-D17)</f>
        <v/>
      </c>
      <c r="K17">
        <f>IF(J17="v4.0",L17,IF(J17="v3.1",M17,IF(J17="Both",L17,IF(AND(L17&lt;&gt;"",M17=""),L17,M17))))</f>
        <v/>
      </c>
      <c r="U17">
        <f>IF(T17="Tier 1",10,IF(T17="Tier 2",7,IF(T17="Tier 3",4,IF(T17="Tier 4",1,0))))</f>
        <v/>
      </c>
      <c r="W17">
        <f>IF(V17="Restricted",10,IF(V17="Confidential",7,IF(V17="Internal",4,IF(V17="Public",1,0))))</f>
        <v/>
      </c>
      <c r="AA17" s="9">
        <f>(U17*0.4)+(W17*0.3)+(IF(Z17="Critical",10,IF(Z17="High",7,IF(Z17="Medium",4,1)))*0.2)+(IF(Y17="YES",10,0)*0.1)</f>
        <v/>
      </c>
      <c r="AB17" s="9">
        <f>IF(G17="YES",2.0,0)+IF(H17="YES",2.0,0)</f>
        <v/>
      </c>
      <c r="AC17" s="9" t="n">
        <v>0</v>
      </c>
      <c r="AD17" s="9">
        <f>K17+AB17+AC17</f>
        <v/>
      </c>
      <c r="AE17" s="9">
        <f>(AD17*0.6)+(AA17*0.4)</f>
        <v/>
      </c>
      <c r="AF17">
        <f>IF(AE17&gt;=9,"Critical",IF(AE17&gt;=7,"High",IF(AE17&gt;=4,"Medium","Low")))</f>
        <v/>
      </c>
    </row>
    <row r="18">
      <c r="F18" t="n">
        <v>1</v>
      </c>
      <c r="I18">
        <f>IF(D18="","",TODAY()-D18)</f>
        <v/>
      </c>
      <c r="K18">
        <f>IF(J18="v4.0",L18,IF(J18="v3.1",M18,IF(J18="Both",L18,IF(AND(L18&lt;&gt;"",M18=""),L18,M18))))</f>
        <v/>
      </c>
      <c r="U18">
        <f>IF(T18="Tier 1",10,IF(T18="Tier 2",7,IF(T18="Tier 3",4,IF(T18="Tier 4",1,0))))</f>
        <v/>
      </c>
      <c r="W18">
        <f>IF(V18="Restricted",10,IF(V18="Confidential",7,IF(V18="Internal",4,IF(V18="Public",1,0))))</f>
        <v/>
      </c>
      <c r="AA18" s="9">
        <f>(U18*0.4)+(W18*0.3)+(IF(Z18="Critical",10,IF(Z18="High",7,IF(Z18="Medium",4,1)))*0.2)+(IF(Y18="YES",10,0)*0.1)</f>
        <v/>
      </c>
      <c r="AB18" s="9">
        <f>IF(G18="YES",2.0,0)+IF(H18="YES",2.0,0)</f>
        <v/>
      </c>
      <c r="AC18" s="9" t="n">
        <v>0</v>
      </c>
      <c r="AD18" s="9">
        <f>K18+AB18+AC18</f>
        <v/>
      </c>
      <c r="AE18" s="9">
        <f>(AD18*0.6)+(AA18*0.4)</f>
        <v/>
      </c>
      <c r="AF18">
        <f>IF(AE18&gt;=9,"Critical",IF(AE18&gt;=7,"High",IF(AE18&gt;=4,"Medium","Low")))</f>
        <v/>
      </c>
    </row>
    <row r="19">
      <c r="F19" t="n">
        <v>1</v>
      </c>
      <c r="I19">
        <f>IF(D19="","",TODAY()-D19)</f>
        <v/>
      </c>
      <c r="K19">
        <f>IF(J19="v4.0",L19,IF(J19="v3.1",M19,IF(J19="Both",L19,IF(AND(L19&lt;&gt;"",M19=""),L19,M19))))</f>
        <v/>
      </c>
      <c r="U19">
        <f>IF(T19="Tier 1",10,IF(T19="Tier 2",7,IF(T19="Tier 3",4,IF(T19="Tier 4",1,0))))</f>
        <v/>
      </c>
      <c r="W19">
        <f>IF(V19="Restricted",10,IF(V19="Confidential",7,IF(V19="Internal",4,IF(V19="Public",1,0))))</f>
        <v/>
      </c>
      <c r="AA19" s="9">
        <f>(U19*0.4)+(W19*0.3)+(IF(Z19="Critical",10,IF(Z19="High",7,IF(Z19="Medium",4,1)))*0.2)+(IF(Y19="YES",10,0)*0.1)</f>
        <v/>
      </c>
      <c r="AB19" s="9">
        <f>IF(G19="YES",2.0,0)+IF(H19="YES",2.0,0)</f>
        <v/>
      </c>
      <c r="AC19" s="9" t="n">
        <v>0</v>
      </c>
      <c r="AD19" s="9">
        <f>K19+AB19+AC19</f>
        <v/>
      </c>
      <c r="AE19" s="9">
        <f>(AD19*0.6)+(AA19*0.4)</f>
        <v/>
      </c>
      <c r="AF19">
        <f>IF(AE19&gt;=9,"Critical",IF(AE19&gt;=7,"High",IF(AE19&gt;=4,"Medium","Low")))</f>
        <v/>
      </c>
    </row>
    <row r="20">
      <c r="F20" t="n">
        <v>1</v>
      </c>
      <c r="I20">
        <f>IF(D20="","",TODAY()-D20)</f>
        <v/>
      </c>
      <c r="K20">
        <f>IF(J20="v4.0",L20,IF(J20="v3.1",M20,IF(J20="Both",L20,IF(AND(L20&lt;&gt;"",M20=""),L20,M20))))</f>
        <v/>
      </c>
      <c r="U20">
        <f>IF(T20="Tier 1",10,IF(T20="Tier 2",7,IF(T20="Tier 3",4,IF(T20="Tier 4",1,0))))</f>
        <v/>
      </c>
      <c r="W20">
        <f>IF(V20="Restricted",10,IF(V20="Confidential",7,IF(V20="Internal",4,IF(V20="Public",1,0))))</f>
        <v/>
      </c>
      <c r="AA20" s="9">
        <f>(U20*0.4)+(W20*0.3)+(IF(Z20="Critical",10,IF(Z20="High",7,IF(Z20="Medium",4,1)))*0.2)+(IF(Y20="YES",10,0)*0.1)</f>
        <v/>
      </c>
      <c r="AB20" s="9">
        <f>IF(G20="YES",2.0,0)+IF(H20="YES",2.0,0)</f>
        <v/>
      </c>
      <c r="AC20" s="9" t="n">
        <v>0</v>
      </c>
      <c r="AD20" s="9">
        <f>K20+AB20+AC20</f>
        <v/>
      </c>
      <c r="AE20" s="9">
        <f>(AD20*0.6)+(AA20*0.4)</f>
        <v/>
      </c>
      <c r="AF20">
        <f>IF(AE20&gt;=9,"Critical",IF(AE20&gt;=7,"High",IF(AE20&gt;=4,"Medium","Low")))</f>
        <v/>
      </c>
    </row>
    <row r="21">
      <c r="F21" t="n">
        <v>1</v>
      </c>
      <c r="I21">
        <f>IF(D21="","",TODAY()-D21)</f>
        <v/>
      </c>
      <c r="K21">
        <f>IF(J21="v4.0",L21,IF(J21="v3.1",M21,IF(J21="Both",L21,IF(AND(L21&lt;&gt;"",M21=""),L21,M21))))</f>
        <v/>
      </c>
      <c r="U21">
        <f>IF(T21="Tier 1",10,IF(T21="Tier 2",7,IF(T21="Tier 3",4,IF(T21="Tier 4",1,0))))</f>
        <v/>
      </c>
      <c r="W21">
        <f>IF(V21="Restricted",10,IF(V21="Confidential",7,IF(V21="Internal",4,IF(V21="Public",1,0))))</f>
        <v/>
      </c>
      <c r="AA21" s="9">
        <f>(U21*0.4)+(W21*0.3)+(IF(Z21="Critical",10,IF(Z21="High",7,IF(Z21="Medium",4,1)))*0.2)+(IF(Y21="YES",10,0)*0.1)</f>
        <v/>
      </c>
      <c r="AB21" s="9">
        <f>IF(G21="YES",2.0,0)+IF(H21="YES",2.0,0)</f>
        <v/>
      </c>
      <c r="AC21" s="9" t="n">
        <v>0</v>
      </c>
      <c r="AD21" s="9">
        <f>K21+AB21+AC21</f>
        <v/>
      </c>
      <c r="AE21" s="9">
        <f>(AD21*0.6)+(AA21*0.4)</f>
        <v/>
      </c>
      <c r="AF21">
        <f>IF(AE21&gt;=9,"Critical",IF(AE21&gt;=7,"High",IF(AE21&gt;=4,"Medium","Low")))</f>
        <v/>
      </c>
    </row>
    <row r="22">
      <c r="F22" t="n">
        <v>1</v>
      </c>
      <c r="I22">
        <f>IF(D22="","",TODAY()-D22)</f>
        <v/>
      </c>
      <c r="K22">
        <f>IF(J22="v4.0",L22,IF(J22="v3.1",M22,IF(J22="Both",L22,IF(AND(L22&lt;&gt;"",M22=""),L22,M22))))</f>
        <v/>
      </c>
      <c r="U22">
        <f>IF(T22="Tier 1",10,IF(T22="Tier 2",7,IF(T22="Tier 3",4,IF(T22="Tier 4",1,0))))</f>
        <v/>
      </c>
      <c r="W22">
        <f>IF(V22="Restricted",10,IF(V22="Confidential",7,IF(V22="Internal",4,IF(V22="Public",1,0))))</f>
        <v/>
      </c>
      <c r="AA22" s="9">
        <f>(U22*0.4)+(W22*0.3)+(IF(Z22="Critical",10,IF(Z22="High",7,IF(Z22="Medium",4,1)))*0.2)+(IF(Y22="YES",10,0)*0.1)</f>
        <v/>
      </c>
      <c r="AB22" s="9">
        <f>IF(G22="YES",2.0,0)+IF(H22="YES",2.0,0)</f>
        <v/>
      </c>
      <c r="AC22" s="9" t="n">
        <v>0</v>
      </c>
      <c r="AD22" s="9">
        <f>K22+AB22+AC22</f>
        <v/>
      </c>
      <c r="AE22" s="9">
        <f>(AD22*0.6)+(AA22*0.4)</f>
        <v/>
      </c>
      <c r="AF22">
        <f>IF(AE22&gt;=9,"Critical",IF(AE22&gt;=7,"High",IF(AE22&gt;=4,"Medium","Low")))</f>
        <v/>
      </c>
    </row>
    <row r="23">
      <c r="F23" t="n">
        <v>1</v>
      </c>
      <c r="I23">
        <f>IF(D23="","",TODAY()-D23)</f>
        <v/>
      </c>
      <c r="K23">
        <f>IF(J23="v4.0",L23,IF(J23="v3.1",M23,IF(J23="Both",L23,IF(AND(L23&lt;&gt;"",M23=""),L23,M23))))</f>
        <v/>
      </c>
      <c r="U23">
        <f>IF(T23="Tier 1",10,IF(T23="Tier 2",7,IF(T23="Tier 3",4,IF(T23="Tier 4",1,0))))</f>
        <v/>
      </c>
      <c r="W23">
        <f>IF(V23="Restricted",10,IF(V23="Confidential",7,IF(V23="Internal",4,IF(V23="Public",1,0))))</f>
        <v/>
      </c>
      <c r="AA23" s="9">
        <f>(U23*0.4)+(W23*0.3)+(IF(Z23="Critical",10,IF(Z23="High",7,IF(Z23="Medium",4,1)))*0.2)+(IF(Y23="YES",10,0)*0.1)</f>
        <v/>
      </c>
      <c r="AB23" s="9">
        <f>IF(G23="YES",2.0,0)+IF(H23="YES",2.0,0)</f>
        <v/>
      </c>
      <c r="AC23" s="9" t="n">
        <v>0</v>
      </c>
      <c r="AD23" s="9">
        <f>K23+AB23+AC23</f>
        <v/>
      </c>
      <c r="AE23" s="9">
        <f>(AD23*0.6)+(AA23*0.4)</f>
        <v/>
      </c>
      <c r="AF23">
        <f>IF(AE23&gt;=9,"Critical",IF(AE23&gt;=7,"High",IF(AE23&gt;=4,"Medium","Low")))</f>
        <v/>
      </c>
    </row>
    <row r="24">
      <c r="F24" t="n">
        <v>1</v>
      </c>
      <c r="I24">
        <f>IF(D24="","",TODAY()-D24)</f>
        <v/>
      </c>
      <c r="K24">
        <f>IF(J24="v4.0",L24,IF(J24="v3.1",M24,IF(J24="Both",L24,IF(AND(L24&lt;&gt;"",M24=""),L24,M24))))</f>
        <v/>
      </c>
      <c r="U24">
        <f>IF(T24="Tier 1",10,IF(T24="Tier 2",7,IF(T24="Tier 3",4,IF(T24="Tier 4",1,0))))</f>
        <v/>
      </c>
      <c r="W24">
        <f>IF(V24="Restricted",10,IF(V24="Confidential",7,IF(V24="Internal",4,IF(V24="Public",1,0))))</f>
        <v/>
      </c>
      <c r="AA24" s="9">
        <f>(U24*0.4)+(W24*0.3)+(IF(Z24="Critical",10,IF(Z24="High",7,IF(Z24="Medium",4,1)))*0.2)+(IF(Y24="YES",10,0)*0.1)</f>
        <v/>
      </c>
      <c r="AB24" s="9">
        <f>IF(G24="YES",2.0,0)+IF(H24="YES",2.0,0)</f>
        <v/>
      </c>
      <c r="AC24" s="9" t="n">
        <v>0</v>
      </c>
      <c r="AD24" s="9">
        <f>K24+AB24+AC24</f>
        <v/>
      </c>
      <c r="AE24" s="9">
        <f>(AD24*0.6)+(AA24*0.4)</f>
        <v/>
      </c>
      <c r="AF24">
        <f>IF(AE24&gt;=9,"Critical",IF(AE24&gt;=7,"High",IF(AE24&gt;=4,"Medium","Low")))</f>
        <v/>
      </c>
    </row>
    <row r="25">
      <c r="F25" t="n">
        <v>1</v>
      </c>
      <c r="I25">
        <f>IF(D25="","",TODAY()-D25)</f>
        <v/>
      </c>
      <c r="K25">
        <f>IF(J25="v4.0",L25,IF(J25="v3.1",M25,IF(J25="Both",L25,IF(AND(L25&lt;&gt;"",M25=""),L25,M25))))</f>
        <v/>
      </c>
      <c r="U25">
        <f>IF(T25="Tier 1",10,IF(T25="Tier 2",7,IF(T25="Tier 3",4,IF(T25="Tier 4",1,0))))</f>
        <v/>
      </c>
      <c r="W25">
        <f>IF(V25="Restricted",10,IF(V25="Confidential",7,IF(V25="Internal",4,IF(V25="Public",1,0))))</f>
        <v/>
      </c>
      <c r="AA25" s="9">
        <f>(U25*0.4)+(W25*0.3)+(IF(Z25="Critical",10,IF(Z25="High",7,IF(Z25="Medium",4,1)))*0.2)+(IF(Y25="YES",10,0)*0.1)</f>
        <v/>
      </c>
      <c r="AB25" s="9">
        <f>IF(G25="YES",2.0,0)+IF(H25="YES",2.0,0)</f>
        <v/>
      </c>
      <c r="AC25" s="9" t="n">
        <v>0</v>
      </c>
      <c r="AD25" s="9">
        <f>K25+AB25+AC25</f>
        <v/>
      </c>
      <c r="AE25" s="9">
        <f>(AD25*0.6)+(AA25*0.4)</f>
        <v/>
      </c>
      <c r="AF25">
        <f>IF(AE25&gt;=9,"Critical",IF(AE25&gt;=7,"High",IF(AE25&gt;=4,"Medium","Low")))</f>
        <v/>
      </c>
    </row>
    <row r="26">
      <c r="F26" t="n">
        <v>1</v>
      </c>
      <c r="I26">
        <f>IF(D26="","",TODAY()-D26)</f>
        <v/>
      </c>
      <c r="K26">
        <f>IF(J26="v4.0",L26,IF(J26="v3.1",M26,IF(J26="Both",L26,IF(AND(L26&lt;&gt;"",M26=""),L26,M26))))</f>
        <v/>
      </c>
      <c r="U26">
        <f>IF(T26="Tier 1",10,IF(T26="Tier 2",7,IF(T26="Tier 3",4,IF(T26="Tier 4",1,0))))</f>
        <v/>
      </c>
      <c r="W26">
        <f>IF(V26="Restricted",10,IF(V26="Confidential",7,IF(V26="Internal",4,IF(V26="Public",1,0))))</f>
        <v/>
      </c>
      <c r="AA26" s="9">
        <f>(U26*0.4)+(W26*0.3)+(IF(Z26="Critical",10,IF(Z26="High",7,IF(Z26="Medium",4,1)))*0.2)+(IF(Y26="YES",10,0)*0.1)</f>
        <v/>
      </c>
      <c r="AB26" s="9">
        <f>IF(G26="YES",2.0,0)+IF(H26="YES",2.0,0)</f>
        <v/>
      </c>
      <c r="AC26" s="9" t="n">
        <v>0</v>
      </c>
      <c r="AD26" s="9">
        <f>K26+AB26+AC26</f>
        <v/>
      </c>
      <c r="AE26" s="9">
        <f>(AD26*0.6)+(AA26*0.4)</f>
        <v/>
      </c>
      <c r="AF26">
        <f>IF(AE26&gt;=9,"Critical",IF(AE26&gt;=7,"High",IF(AE26&gt;=4,"Medium","Low")))</f>
        <v/>
      </c>
    </row>
    <row r="27">
      <c r="F27" t="n">
        <v>1</v>
      </c>
      <c r="I27">
        <f>IF(D27="","",TODAY()-D27)</f>
        <v/>
      </c>
      <c r="K27">
        <f>IF(J27="v4.0",L27,IF(J27="v3.1",M27,IF(J27="Both",L27,IF(AND(L27&lt;&gt;"",M27=""),L27,M27))))</f>
        <v/>
      </c>
      <c r="U27">
        <f>IF(T27="Tier 1",10,IF(T27="Tier 2",7,IF(T27="Tier 3",4,IF(T27="Tier 4",1,0))))</f>
        <v/>
      </c>
      <c r="W27">
        <f>IF(V27="Restricted",10,IF(V27="Confidential",7,IF(V27="Internal",4,IF(V27="Public",1,0))))</f>
        <v/>
      </c>
      <c r="AA27" s="9">
        <f>(U27*0.4)+(W27*0.3)+(IF(Z27="Critical",10,IF(Z27="High",7,IF(Z27="Medium",4,1)))*0.2)+(IF(Y27="YES",10,0)*0.1)</f>
        <v/>
      </c>
      <c r="AB27" s="9">
        <f>IF(G27="YES",2.0,0)+IF(H27="YES",2.0,0)</f>
        <v/>
      </c>
      <c r="AC27" s="9" t="n">
        <v>0</v>
      </c>
      <c r="AD27" s="9">
        <f>K27+AB27+AC27</f>
        <v/>
      </c>
      <c r="AE27" s="9">
        <f>(AD27*0.6)+(AA27*0.4)</f>
        <v/>
      </c>
      <c r="AF27">
        <f>IF(AE27&gt;=9,"Critical",IF(AE27&gt;=7,"High",IF(AE27&gt;=4,"Medium","Low")))</f>
        <v/>
      </c>
    </row>
    <row r="28">
      <c r="F28" t="n">
        <v>1</v>
      </c>
      <c r="I28">
        <f>IF(D28="","",TODAY()-D28)</f>
        <v/>
      </c>
      <c r="K28">
        <f>IF(J28="v4.0",L28,IF(J28="v3.1",M28,IF(J28="Both",L28,IF(AND(L28&lt;&gt;"",M28=""),L28,M28))))</f>
        <v/>
      </c>
      <c r="U28">
        <f>IF(T28="Tier 1",10,IF(T28="Tier 2",7,IF(T28="Tier 3",4,IF(T28="Tier 4",1,0))))</f>
        <v/>
      </c>
      <c r="W28">
        <f>IF(V28="Restricted",10,IF(V28="Confidential",7,IF(V28="Internal",4,IF(V28="Public",1,0))))</f>
        <v/>
      </c>
      <c r="AA28" s="9">
        <f>(U28*0.4)+(W28*0.3)+(IF(Z28="Critical",10,IF(Z28="High",7,IF(Z28="Medium",4,1)))*0.2)+(IF(Y28="YES",10,0)*0.1)</f>
        <v/>
      </c>
      <c r="AB28" s="9">
        <f>IF(G28="YES",2.0,0)+IF(H28="YES",2.0,0)</f>
        <v/>
      </c>
      <c r="AC28" s="9" t="n">
        <v>0</v>
      </c>
      <c r="AD28" s="9">
        <f>K28+AB28+AC28</f>
        <v/>
      </c>
      <c r="AE28" s="9">
        <f>(AD28*0.6)+(AA28*0.4)</f>
        <v/>
      </c>
      <c r="AF28">
        <f>IF(AE28&gt;=9,"Critical",IF(AE28&gt;=7,"High",IF(AE28&gt;=4,"Medium","Low")))</f>
        <v/>
      </c>
    </row>
    <row r="29">
      <c r="F29" t="n">
        <v>1</v>
      </c>
      <c r="I29">
        <f>IF(D29="","",TODAY()-D29)</f>
        <v/>
      </c>
      <c r="K29">
        <f>IF(J29="v4.0",L29,IF(J29="v3.1",M29,IF(J29="Both",L29,IF(AND(L29&lt;&gt;"",M29=""),L29,M29))))</f>
        <v/>
      </c>
      <c r="U29">
        <f>IF(T29="Tier 1",10,IF(T29="Tier 2",7,IF(T29="Tier 3",4,IF(T29="Tier 4",1,0))))</f>
        <v/>
      </c>
      <c r="W29">
        <f>IF(V29="Restricted",10,IF(V29="Confidential",7,IF(V29="Internal",4,IF(V29="Public",1,0))))</f>
        <v/>
      </c>
      <c r="AA29" s="9">
        <f>(U29*0.4)+(W29*0.3)+(IF(Z29="Critical",10,IF(Z29="High",7,IF(Z29="Medium",4,1)))*0.2)+(IF(Y29="YES",10,0)*0.1)</f>
        <v/>
      </c>
      <c r="AB29" s="9">
        <f>IF(G29="YES",2.0,0)+IF(H29="YES",2.0,0)</f>
        <v/>
      </c>
      <c r="AC29" s="9" t="n">
        <v>0</v>
      </c>
      <c r="AD29" s="9">
        <f>K29+AB29+AC29</f>
        <v/>
      </c>
      <c r="AE29" s="9">
        <f>(AD29*0.6)+(AA29*0.4)</f>
        <v/>
      </c>
      <c r="AF29">
        <f>IF(AE29&gt;=9,"Critical",IF(AE29&gt;=7,"High",IF(AE29&gt;=4,"Medium","Low")))</f>
        <v/>
      </c>
    </row>
    <row r="30">
      <c r="F30" t="n">
        <v>1</v>
      </c>
      <c r="I30">
        <f>IF(D30="","",TODAY()-D30)</f>
        <v/>
      </c>
      <c r="K30">
        <f>IF(J30="v4.0",L30,IF(J30="v3.1",M30,IF(J30="Both",L30,IF(AND(L30&lt;&gt;"",M30=""),L30,M30))))</f>
        <v/>
      </c>
      <c r="U30">
        <f>IF(T30="Tier 1",10,IF(T30="Tier 2",7,IF(T30="Tier 3",4,IF(T30="Tier 4",1,0))))</f>
        <v/>
      </c>
      <c r="W30">
        <f>IF(V30="Restricted",10,IF(V30="Confidential",7,IF(V30="Internal",4,IF(V30="Public",1,0))))</f>
        <v/>
      </c>
      <c r="AA30" s="9">
        <f>(U30*0.4)+(W30*0.3)+(IF(Z30="Critical",10,IF(Z30="High",7,IF(Z30="Medium",4,1)))*0.2)+(IF(Y30="YES",10,0)*0.1)</f>
        <v/>
      </c>
      <c r="AB30" s="9">
        <f>IF(G30="YES",2.0,0)+IF(H30="YES",2.0,0)</f>
        <v/>
      </c>
      <c r="AC30" s="9" t="n">
        <v>0</v>
      </c>
      <c r="AD30" s="9">
        <f>K30+AB30+AC30</f>
        <v/>
      </c>
      <c r="AE30" s="9">
        <f>(AD30*0.6)+(AA30*0.4)</f>
        <v/>
      </c>
      <c r="AF30">
        <f>IF(AE30&gt;=9,"Critical",IF(AE30&gt;=7,"High",IF(AE30&gt;=4,"Medium","Low")))</f>
        <v/>
      </c>
    </row>
    <row r="31">
      <c r="F31" t="n">
        <v>1</v>
      </c>
      <c r="I31">
        <f>IF(D31="","",TODAY()-D31)</f>
        <v/>
      </c>
      <c r="K31">
        <f>IF(J31="v4.0",L31,IF(J31="v3.1",M31,IF(J31="Both",L31,IF(AND(L31&lt;&gt;"",M31=""),L31,M31))))</f>
        <v/>
      </c>
      <c r="U31">
        <f>IF(T31="Tier 1",10,IF(T31="Tier 2",7,IF(T31="Tier 3",4,IF(T31="Tier 4",1,0))))</f>
        <v/>
      </c>
      <c r="W31">
        <f>IF(V31="Restricted",10,IF(V31="Confidential",7,IF(V31="Internal",4,IF(V31="Public",1,0))))</f>
        <v/>
      </c>
      <c r="AA31" s="9">
        <f>(U31*0.4)+(W31*0.3)+(IF(Z31="Critical",10,IF(Z31="High",7,IF(Z31="Medium",4,1)))*0.2)+(IF(Y31="YES",10,0)*0.1)</f>
        <v/>
      </c>
      <c r="AB31" s="9">
        <f>IF(G31="YES",2.0,0)+IF(H31="YES",2.0,0)</f>
        <v/>
      </c>
      <c r="AC31" s="9" t="n">
        <v>0</v>
      </c>
      <c r="AD31" s="9">
        <f>K31+AB31+AC31</f>
        <v/>
      </c>
      <c r="AE31" s="9">
        <f>(AD31*0.6)+(AA31*0.4)</f>
        <v/>
      </c>
      <c r="AF31">
        <f>IF(AE31&gt;=9,"Critical",IF(AE31&gt;=7,"High",IF(AE31&gt;=4,"Medium","Low")))</f>
        <v/>
      </c>
    </row>
    <row r="32">
      <c r="F32" t="n">
        <v>1</v>
      </c>
      <c r="I32">
        <f>IF(D32="","",TODAY()-D32)</f>
        <v/>
      </c>
      <c r="K32">
        <f>IF(J32="v4.0",L32,IF(J32="v3.1",M32,IF(J32="Both",L32,IF(AND(L32&lt;&gt;"",M32=""),L32,M32))))</f>
        <v/>
      </c>
      <c r="U32">
        <f>IF(T32="Tier 1",10,IF(T32="Tier 2",7,IF(T32="Tier 3",4,IF(T32="Tier 4",1,0))))</f>
        <v/>
      </c>
      <c r="W32">
        <f>IF(V32="Restricted",10,IF(V32="Confidential",7,IF(V32="Internal",4,IF(V32="Public",1,0))))</f>
        <v/>
      </c>
      <c r="AA32" s="9">
        <f>(U32*0.4)+(W32*0.3)+(IF(Z32="Critical",10,IF(Z32="High",7,IF(Z32="Medium",4,1)))*0.2)+(IF(Y32="YES",10,0)*0.1)</f>
        <v/>
      </c>
      <c r="AB32" s="9">
        <f>IF(G32="YES",2.0,0)+IF(H32="YES",2.0,0)</f>
        <v/>
      </c>
      <c r="AC32" s="9" t="n">
        <v>0</v>
      </c>
      <c r="AD32" s="9">
        <f>K32+AB32+AC32</f>
        <v/>
      </c>
      <c r="AE32" s="9">
        <f>(AD32*0.6)+(AA32*0.4)</f>
        <v/>
      </c>
      <c r="AF32">
        <f>IF(AE32&gt;=9,"Critical",IF(AE32&gt;=7,"High",IF(AE32&gt;=4,"Medium","Low")))</f>
        <v/>
      </c>
    </row>
    <row r="33">
      <c r="F33" t="n">
        <v>1</v>
      </c>
      <c r="I33">
        <f>IF(D33="","",TODAY()-D33)</f>
        <v/>
      </c>
      <c r="K33">
        <f>IF(J33="v4.0",L33,IF(J33="v3.1",M33,IF(J33="Both",L33,IF(AND(L33&lt;&gt;"",M33=""),L33,M33))))</f>
        <v/>
      </c>
      <c r="U33">
        <f>IF(T33="Tier 1",10,IF(T33="Tier 2",7,IF(T33="Tier 3",4,IF(T33="Tier 4",1,0))))</f>
        <v/>
      </c>
      <c r="W33">
        <f>IF(V33="Restricted",10,IF(V33="Confidential",7,IF(V33="Internal",4,IF(V33="Public",1,0))))</f>
        <v/>
      </c>
      <c r="AA33" s="9">
        <f>(U33*0.4)+(W33*0.3)+(IF(Z33="Critical",10,IF(Z33="High",7,IF(Z33="Medium",4,1)))*0.2)+(IF(Y33="YES",10,0)*0.1)</f>
        <v/>
      </c>
      <c r="AB33" s="9">
        <f>IF(G33="YES",2.0,0)+IF(H33="YES",2.0,0)</f>
        <v/>
      </c>
      <c r="AC33" s="9" t="n">
        <v>0</v>
      </c>
      <c r="AD33" s="9">
        <f>K33+AB33+AC33</f>
        <v/>
      </c>
      <c r="AE33" s="9">
        <f>(AD33*0.6)+(AA33*0.4)</f>
        <v/>
      </c>
      <c r="AF33">
        <f>IF(AE33&gt;=9,"Critical",IF(AE33&gt;=7,"High",IF(AE33&gt;=4,"Medium","Low")))</f>
        <v/>
      </c>
    </row>
    <row r="34">
      <c r="F34" t="n">
        <v>1</v>
      </c>
      <c r="I34">
        <f>IF(D34="","",TODAY()-D34)</f>
        <v/>
      </c>
      <c r="K34">
        <f>IF(J34="v4.0",L34,IF(J34="v3.1",M34,IF(J34="Both",L34,IF(AND(L34&lt;&gt;"",M34=""),L34,M34))))</f>
        <v/>
      </c>
      <c r="U34">
        <f>IF(T34="Tier 1",10,IF(T34="Tier 2",7,IF(T34="Tier 3",4,IF(T34="Tier 4",1,0))))</f>
        <v/>
      </c>
      <c r="W34">
        <f>IF(V34="Restricted",10,IF(V34="Confidential",7,IF(V34="Internal",4,IF(V34="Public",1,0))))</f>
        <v/>
      </c>
      <c r="AA34" s="9">
        <f>(U34*0.4)+(W34*0.3)+(IF(Z34="Critical",10,IF(Z34="High",7,IF(Z34="Medium",4,1)))*0.2)+(IF(Y34="YES",10,0)*0.1)</f>
        <v/>
      </c>
      <c r="AB34" s="9">
        <f>IF(G34="YES",2.0,0)+IF(H34="YES",2.0,0)</f>
        <v/>
      </c>
      <c r="AC34" s="9" t="n">
        <v>0</v>
      </c>
      <c r="AD34" s="9">
        <f>K34+AB34+AC34</f>
        <v/>
      </c>
      <c r="AE34" s="9">
        <f>(AD34*0.6)+(AA34*0.4)</f>
        <v/>
      </c>
      <c r="AF34">
        <f>IF(AE34&gt;=9,"Critical",IF(AE34&gt;=7,"High",IF(AE34&gt;=4,"Medium","Low")))</f>
        <v/>
      </c>
    </row>
    <row r="35">
      <c r="F35" t="n">
        <v>1</v>
      </c>
      <c r="I35">
        <f>IF(D35="","",TODAY()-D35)</f>
        <v/>
      </c>
      <c r="K35">
        <f>IF(J35="v4.0",L35,IF(J35="v3.1",M35,IF(J35="Both",L35,IF(AND(L35&lt;&gt;"",M35=""),L35,M35))))</f>
        <v/>
      </c>
      <c r="U35">
        <f>IF(T35="Tier 1",10,IF(T35="Tier 2",7,IF(T35="Tier 3",4,IF(T35="Tier 4",1,0))))</f>
        <v/>
      </c>
      <c r="W35">
        <f>IF(V35="Restricted",10,IF(V35="Confidential",7,IF(V35="Internal",4,IF(V35="Public",1,0))))</f>
        <v/>
      </c>
      <c r="AA35" s="9">
        <f>(U35*0.4)+(W35*0.3)+(IF(Z35="Critical",10,IF(Z35="High",7,IF(Z35="Medium",4,1)))*0.2)+(IF(Y35="YES",10,0)*0.1)</f>
        <v/>
      </c>
      <c r="AB35" s="9">
        <f>IF(G35="YES",2.0,0)+IF(H35="YES",2.0,0)</f>
        <v/>
      </c>
      <c r="AC35" s="9" t="n">
        <v>0</v>
      </c>
      <c r="AD35" s="9">
        <f>K35+AB35+AC35</f>
        <v/>
      </c>
      <c r="AE35" s="9">
        <f>(AD35*0.6)+(AA35*0.4)</f>
        <v/>
      </c>
      <c r="AF35">
        <f>IF(AE35&gt;=9,"Critical",IF(AE35&gt;=7,"High",IF(AE35&gt;=4,"Medium","Low")))</f>
        <v/>
      </c>
    </row>
    <row r="36">
      <c r="F36" t="n">
        <v>1</v>
      </c>
      <c r="I36">
        <f>IF(D36="","",TODAY()-D36)</f>
        <v/>
      </c>
      <c r="K36">
        <f>IF(J36="v4.0",L36,IF(J36="v3.1",M36,IF(J36="Both",L36,IF(AND(L36&lt;&gt;"",M36=""),L36,M36))))</f>
        <v/>
      </c>
      <c r="U36">
        <f>IF(T36="Tier 1",10,IF(T36="Tier 2",7,IF(T36="Tier 3",4,IF(T36="Tier 4",1,0))))</f>
        <v/>
      </c>
      <c r="W36">
        <f>IF(V36="Restricted",10,IF(V36="Confidential",7,IF(V36="Internal",4,IF(V36="Public",1,0))))</f>
        <v/>
      </c>
      <c r="AA36" s="9">
        <f>(U36*0.4)+(W36*0.3)+(IF(Z36="Critical",10,IF(Z36="High",7,IF(Z36="Medium",4,1)))*0.2)+(IF(Y36="YES",10,0)*0.1)</f>
        <v/>
      </c>
      <c r="AB36" s="9">
        <f>IF(G36="YES",2.0,0)+IF(H36="YES",2.0,0)</f>
        <v/>
      </c>
      <c r="AC36" s="9" t="n">
        <v>0</v>
      </c>
      <c r="AD36" s="9">
        <f>K36+AB36+AC36</f>
        <v/>
      </c>
      <c r="AE36" s="9">
        <f>(AD36*0.6)+(AA36*0.4)</f>
        <v/>
      </c>
      <c r="AF36">
        <f>IF(AE36&gt;=9,"Critical",IF(AE36&gt;=7,"High",IF(AE36&gt;=4,"Medium","Low")))</f>
        <v/>
      </c>
    </row>
    <row r="37">
      <c r="F37" t="n">
        <v>1</v>
      </c>
      <c r="I37">
        <f>IF(D37="","",TODAY()-D37)</f>
        <v/>
      </c>
      <c r="K37">
        <f>IF(J37="v4.0",L37,IF(J37="v3.1",M37,IF(J37="Both",L37,IF(AND(L37&lt;&gt;"",M37=""),L37,M37))))</f>
        <v/>
      </c>
      <c r="U37">
        <f>IF(T37="Tier 1",10,IF(T37="Tier 2",7,IF(T37="Tier 3",4,IF(T37="Tier 4",1,0))))</f>
        <v/>
      </c>
      <c r="W37">
        <f>IF(V37="Restricted",10,IF(V37="Confidential",7,IF(V37="Internal",4,IF(V37="Public",1,0))))</f>
        <v/>
      </c>
      <c r="AA37" s="9">
        <f>(U37*0.4)+(W37*0.3)+(IF(Z37="Critical",10,IF(Z37="High",7,IF(Z37="Medium",4,1)))*0.2)+(IF(Y37="YES",10,0)*0.1)</f>
        <v/>
      </c>
      <c r="AB37" s="9">
        <f>IF(G37="YES",2.0,0)+IF(H37="YES",2.0,0)</f>
        <v/>
      </c>
      <c r="AC37" s="9" t="n">
        <v>0</v>
      </c>
      <c r="AD37" s="9">
        <f>K37+AB37+AC37</f>
        <v/>
      </c>
      <c r="AE37" s="9">
        <f>(AD37*0.6)+(AA37*0.4)</f>
        <v/>
      </c>
      <c r="AF37">
        <f>IF(AE37&gt;=9,"Critical",IF(AE37&gt;=7,"High",IF(AE37&gt;=4,"Medium","Low")))</f>
        <v/>
      </c>
    </row>
    <row r="38">
      <c r="F38" t="n">
        <v>1</v>
      </c>
      <c r="I38">
        <f>IF(D38="","",TODAY()-D38)</f>
        <v/>
      </c>
      <c r="K38">
        <f>IF(J38="v4.0",L38,IF(J38="v3.1",M38,IF(J38="Both",L38,IF(AND(L38&lt;&gt;"",M38=""),L38,M38))))</f>
        <v/>
      </c>
      <c r="U38">
        <f>IF(T38="Tier 1",10,IF(T38="Tier 2",7,IF(T38="Tier 3",4,IF(T38="Tier 4",1,0))))</f>
        <v/>
      </c>
      <c r="W38">
        <f>IF(V38="Restricted",10,IF(V38="Confidential",7,IF(V38="Internal",4,IF(V38="Public",1,0))))</f>
        <v/>
      </c>
      <c r="AA38" s="9">
        <f>(U38*0.4)+(W38*0.3)+(IF(Z38="Critical",10,IF(Z38="High",7,IF(Z38="Medium",4,1)))*0.2)+(IF(Y38="YES",10,0)*0.1)</f>
        <v/>
      </c>
      <c r="AB38" s="9">
        <f>IF(G38="YES",2.0,0)+IF(H38="YES",2.0,0)</f>
        <v/>
      </c>
      <c r="AC38" s="9" t="n">
        <v>0</v>
      </c>
      <c r="AD38" s="9">
        <f>K38+AB38+AC38</f>
        <v/>
      </c>
      <c r="AE38" s="9">
        <f>(AD38*0.6)+(AA38*0.4)</f>
        <v/>
      </c>
      <c r="AF38">
        <f>IF(AE38&gt;=9,"Critical",IF(AE38&gt;=7,"High",IF(AE38&gt;=4,"Medium","Low")))</f>
        <v/>
      </c>
    </row>
    <row r="39">
      <c r="F39" t="n">
        <v>1</v>
      </c>
      <c r="I39">
        <f>IF(D39="","",TODAY()-D39)</f>
        <v/>
      </c>
      <c r="K39">
        <f>IF(J39="v4.0",L39,IF(J39="v3.1",M39,IF(J39="Both",L39,IF(AND(L39&lt;&gt;"",M39=""),L39,M39))))</f>
        <v/>
      </c>
      <c r="U39">
        <f>IF(T39="Tier 1",10,IF(T39="Tier 2",7,IF(T39="Tier 3",4,IF(T39="Tier 4",1,0))))</f>
        <v/>
      </c>
      <c r="W39">
        <f>IF(V39="Restricted",10,IF(V39="Confidential",7,IF(V39="Internal",4,IF(V39="Public",1,0))))</f>
        <v/>
      </c>
      <c r="AA39" s="9">
        <f>(U39*0.4)+(W39*0.3)+(IF(Z39="Critical",10,IF(Z39="High",7,IF(Z39="Medium",4,1)))*0.2)+(IF(Y39="YES",10,0)*0.1)</f>
        <v/>
      </c>
      <c r="AB39" s="9">
        <f>IF(G39="YES",2.0,0)+IF(H39="YES",2.0,0)</f>
        <v/>
      </c>
      <c r="AC39" s="9" t="n">
        <v>0</v>
      </c>
      <c r="AD39" s="9">
        <f>K39+AB39+AC39</f>
        <v/>
      </c>
      <c r="AE39" s="9">
        <f>(AD39*0.6)+(AA39*0.4)</f>
        <v/>
      </c>
      <c r="AF39">
        <f>IF(AE39&gt;=9,"Critical",IF(AE39&gt;=7,"High",IF(AE39&gt;=4,"Medium","Low")))</f>
        <v/>
      </c>
    </row>
    <row r="40">
      <c r="F40" t="n">
        <v>1</v>
      </c>
      <c r="I40">
        <f>IF(D40="","",TODAY()-D40)</f>
        <v/>
      </c>
      <c r="K40">
        <f>IF(J40="v4.0",L40,IF(J40="v3.1",M40,IF(J40="Both",L40,IF(AND(L40&lt;&gt;"",M40=""),L40,M40))))</f>
        <v/>
      </c>
      <c r="U40">
        <f>IF(T40="Tier 1",10,IF(T40="Tier 2",7,IF(T40="Tier 3",4,IF(T40="Tier 4",1,0))))</f>
        <v/>
      </c>
      <c r="W40">
        <f>IF(V40="Restricted",10,IF(V40="Confidential",7,IF(V40="Internal",4,IF(V40="Public",1,0))))</f>
        <v/>
      </c>
      <c r="AA40" s="9">
        <f>(U40*0.4)+(W40*0.3)+(IF(Z40="Critical",10,IF(Z40="High",7,IF(Z40="Medium",4,1)))*0.2)+(IF(Y40="YES",10,0)*0.1)</f>
        <v/>
      </c>
      <c r="AB40" s="9">
        <f>IF(G40="YES",2.0,0)+IF(H40="YES",2.0,0)</f>
        <v/>
      </c>
      <c r="AC40" s="9" t="n">
        <v>0</v>
      </c>
      <c r="AD40" s="9">
        <f>K40+AB40+AC40</f>
        <v/>
      </c>
      <c r="AE40" s="9">
        <f>(AD40*0.6)+(AA40*0.4)</f>
        <v/>
      </c>
      <c r="AF40">
        <f>IF(AE40&gt;=9,"Critical",IF(AE40&gt;=7,"High",IF(AE40&gt;=4,"Medium","Low")))</f>
        <v/>
      </c>
    </row>
    <row r="41">
      <c r="F41" t="n">
        <v>1</v>
      </c>
      <c r="I41">
        <f>IF(D41="","",TODAY()-D41)</f>
        <v/>
      </c>
      <c r="K41">
        <f>IF(J41="v4.0",L41,IF(J41="v3.1",M41,IF(J41="Both",L41,IF(AND(L41&lt;&gt;"",M41=""),L41,M41))))</f>
        <v/>
      </c>
      <c r="U41">
        <f>IF(T41="Tier 1",10,IF(T41="Tier 2",7,IF(T41="Tier 3",4,IF(T41="Tier 4",1,0))))</f>
        <v/>
      </c>
      <c r="W41">
        <f>IF(V41="Restricted",10,IF(V41="Confidential",7,IF(V41="Internal",4,IF(V41="Public",1,0))))</f>
        <v/>
      </c>
      <c r="AA41" s="9">
        <f>(U41*0.4)+(W41*0.3)+(IF(Z41="Critical",10,IF(Z41="High",7,IF(Z41="Medium",4,1)))*0.2)+(IF(Y41="YES",10,0)*0.1)</f>
        <v/>
      </c>
      <c r="AB41" s="9">
        <f>IF(G41="YES",2.0,0)+IF(H41="YES",2.0,0)</f>
        <v/>
      </c>
      <c r="AC41" s="9" t="n">
        <v>0</v>
      </c>
      <c r="AD41" s="9">
        <f>K41+AB41+AC41</f>
        <v/>
      </c>
      <c r="AE41" s="9">
        <f>(AD41*0.6)+(AA41*0.4)</f>
        <v/>
      </c>
      <c r="AF41">
        <f>IF(AE41&gt;=9,"Critical",IF(AE41&gt;=7,"High",IF(AE41&gt;=4,"Medium","Low")))</f>
        <v/>
      </c>
    </row>
    <row r="42">
      <c r="F42" t="n">
        <v>1</v>
      </c>
      <c r="I42">
        <f>IF(D42="","",TODAY()-D42)</f>
        <v/>
      </c>
      <c r="K42">
        <f>IF(J42="v4.0",L42,IF(J42="v3.1",M42,IF(J42="Both",L42,IF(AND(L42&lt;&gt;"",M42=""),L42,M42))))</f>
        <v/>
      </c>
      <c r="U42">
        <f>IF(T42="Tier 1",10,IF(T42="Tier 2",7,IF(T42="Tier 3",4,IF(T42="Tier 4",1,0))))</f>
        <v/>
      </c>
      <c r="W42">
        <f>IF(V42="Restricted",10,IF(V42="Confidential",7,IF(V42="Internal",4,IF(V42="Public",1,0))))</f>
        <v/>
      </c>
      <c r="AA42" s="9">
        <f>(U42*0.4)+(W42*0.3)+(IF(Z42="Critical",10,IF(Z42="High",7,IF(Z42="Medium",4,1)))*0.2)+(IF(Y42="YES",10,0)*0.1)</f>
        <v/>
      </c>
      <c r="AB42" s="9">
        <f>IF(G42="YES",2.0,0)+IF(H42="YES",2.0,0)</f>
        <v/>
      </c>
      <c r="AC42" s="9" t="n">
        <v>0</v>
      </c>
      <c r="AD42" s="9">
        <f>K42+AB42+AC42</f>
        <v/>
      </c>
      <c r="AE42" s="9">
        <f>(AD42*0.6)+(AA42*0.4)</f>
        <v/>
      </c>
      <c r="AF42">
        <f>IF(AE42&gt;=9,"Critical",IF(AE42&gt;=7,"High",IF(AE42&gt;=4,"Medium","Low")))</f>
        <v/>
      </c>
    </row>
    <row r="43">
      <c r="F43" t="n">
        <v>1</v>
      </c>
      <c r="I43">
        <f>IF(D43="","",TODAY()-D43)</f>
        <v/>
      </c>
      <c r="K43">
        <f>IF(J43="v4.0",L43,IF(J43="v3.1",M43,IF(J43="Both",L43,IF(AND(L43&lt;&gt;"",M43=""),L43,M43))))</f>
        <v/>
      </c>
      <c r="U43">
        <f>IF(T43="Tier 1",10,IF(T43="Tier 2",7,IF(T43="Tier 3",4,IF(T43="Tier 4",1,0))))</f>
        <v/>
      </c>
      <c r="W43">
        <f>IF(V43="Restricted",10,IF(V43="Confidential",7,IF(V43="Internal",4,IF(V43="Public",1,0))))</f>
        <v/>
      </c>
      <c r="AA43" s="9">
        <f>(U43*0.4)+(W43*0.3)+(IF(Z43="Critical",10,IF(Z43="High",7,IF(Z43="Medium",4,1)))*0.2)+(IF(Y43="YES",10,0)*0.1)</f>
        <v/>
      </c>
      <c r="AB43" s="9">
        <f>IF(G43="YES",2.0,0)+IF(H43="YES",2.0,0)</f>
        <v/>
      </c>
      <c r="AC43" s="9" t="n">
        <v>0</v>
      </c>
      <c r="AD43" s="9">
        <f>K43+AB43+AC43</f>
        <v/>
      </c>
      <c r="AE43" s="9">
        <f>(AD43*0.6)+(AA43*0.4)</f>
        <v/>
      </c>
      <c r="AF43">
        <f>IF(AE43&gt;=9,"Critical",IF(AE43&gt;=7,"High",IF(AE43&gt;=4,"Medium","Low")))</f>
        <v/>
      </c>
    </row>
    <row r="44">
      <c r="F44" t="n">
        <v>1</v>
      </c>
      <c r="I44">
        <f>IF(D44="","",TODAY()-D44)</f>
        <v/>
      </c>
      <c r="K44">
        <f>IF(J44="v4.0",L44,IF(J44="v3.1",M44,IF(J44="Both",L44,IF(AND(L44&lt;&gt;"",M44=""),L44,M44))))</f>
        <v/>
      </c>
      <c r="U44">
        <f>IF(T44="Tier 1",10,IF(T44="Tier 2",7,IF(T44="Tier 3",4,IF(T44="Tier 4",1,0))))</f>
        <v/>
      </c>
      <c r="W44">
        <f>IF(V44="Restricted",10,IF(V44="Confidential",7,IF(V44="Internal",4,IF(V44="Public",1,0))))</f>
        <v/>
      </c>
      <c r="AA44" s="9">
        <f>(U44*0.4)+(W44*0.3)+(IF(Z44="Critical",10,IF(Z44="High",7,IF(Z44="Medium",4,1)))*0.2)+(IF(Y44="YES",10,0)*0.1)</f>
        <v/>
      </c>
      <c r="AB44" s="9">
        <f>IF(G44="YES",2.0,0)+IF(H44="YES",2.0,0)</f>
        <v/>
      </c>
      <c r="AC44" s="9" t="n">
        <v>0</v>
      </c>
      <c r="AD44" s="9">
        <f>K44+AB44+AC44</f>
        <v/>
      </c>
      <c r="AE44" s="9">
        <f>(AD44*0.6)+(AA44*0.4)</f>
        <v/>
      </c>
      <c r="AF44">
        <f>IF(AE44&gt;=9,"Critical",IF(AE44&gt;=7,"High",IF(AE44&gt;=4,"Medium","Low")))</f>
        <v/>
      </c>
    </row>
    <row r="45">
      <c r="F45" t="n">
        <v>1</v>
      </c>
      <c r="I45">
        <f>IF(D45="","",TODAY()-D45)</f>
        <v/>
      </c>
      <c r="K45">
        <f>IF(J45="v4.0",L45,IF(J45="v3.1",M45,IF(J45="Both",L45,IF(AND(L45&lt;&gt;"",M45=""),L45,M45))))</f>
        <v/>
      </c>
      <c r="U45">
        <f>IF(T45="Tier 1",10,IF(T45="Tier 2",7,IF(T45="Tier 3",4,IF(T45="Tier 4",1,0))))</f>
        <v/>
      </c>
      <c r="W45">
        <f>IF(V45="Restricted",10,IF(V45="Confidential",7,IF(V45="Internal",4,IF(V45="Public",1,0))))</f>
        <v/>
      </c>
      <c r="AA45" s="9">
        <f>(U45*0.4)+(W45*0.3)+(IF(Z45="Critical",10,IF(Z45="High",7,IF(Z45="Medium",4,1)))*0.2)+(IF(Y45="YES",10,0)*0.1)</f>
        <v/>
      </c>
      <c r="AB45" s="9">
        <f>IF(G45="YES",2.0,0)+IF(H45="YES",2.0,0)</f>
        <v/>
      </c>
      <c r="AC45" s="9" t="n">
        <v>0</v>
      </c>
      <c r="AD45" s="9">
        <f>K45+AB45+AC45</f>
        <v/>
      </c>
      <c r="AE45" s="9">
        <f>(AD45*0.6)+(AA45*0.4)</f>
        <v/>
      </c>
      <c r="AF45">
        <f>IF(AE45&gt;=9,"Critical",IF(AE45&gt;=7,"High",IF(AE45&gt;=4,"Medium","Low")))</f>
        <v/>
      </c>
    </row>
    <row r="46">
      <c r="F46" t="n">
        <v>1</v>
      </c>
      <c r="I46">
        <f>IF(D46="","",TODAY()-D46)</f>
        <v/>
      </c>
      <c r="K46">
        <f>IF(J46="v4.0",L46,IF(J46="v3.1",M46,IF(J46="Both",L46,IF(AND(L46&lt;&gt;"",M46=""),L46,M46))))</f>
        <v/>
      </c>
      <c r="U46">
        <f>IF(T46="Tier 1",10,IF(T46="Tier 2",7,IF(T46="Tier 3",4,IF(T46="Tier 4",1,0))))</f>
        <v/>
      </c>
      <c r="W46">
        <f>IF(V46="Restricted",10,IF(V46="Confidential",7,IF(V46="Internal",4,IF(V46="Public",1,0))))</f>
        <v/>
      </c>
      <c r="AA46" s="9">
        <f>(U46*0.4)+(W46*0.3)+(IF(Z46="Critical",10,IF(Z46="High",7,IF(Z46="Medium",4,1)))*0.2)+(IF(Y46="YES",10,0)*0.1)</f>
        <v/>
      </c>
      <c r="AB46" s="9">
        <f>IF(G46="YES",2.0,0)+IF(H46="YES",2.0,0)</f>
        <v/>
      </c>
      <c r="AC46" s="9" t="n">
        <v>0</v>
      </c>
      <c r="AD46" s="9">
        <f>K46+AB46+AC46</f>
        <v/>
      </c>
      <c r="AE46" s="9">
        <f>(AD46*0.6)+(AA46*0.4)</f>
        <v/>
      </c>
      <c r="AF46">
        <f>IF(AE46&gt;=9,"Critical",IF(AE46&gt;=7,"High",IF(AE46&gt;=4,"Medium","Low")))</f>
        <v/>
      </c>
    </row>
    <row r="47">
      <c r="F47" t="n">
        <v>1</v>
      </c>
      <c r="I47">
        <f>IF(D47="","",TODAY()-D47)</f>
        <v/>
      </c>
      <c r="K47">
        <f>IF(J47="v4.0",L47,IF(J47="v3.1",M47,IF(J47="Both",L47,IF(AND(L47&lt;&gt;"",M47=""),L47,M47))))</f>
        <v/>
      </c>
      <c r="U47">
        <f>IF(T47="Tier 1",10,IF(T47="Tier 2",7,IF(T47="Tier 3",4,IF(T47="Tier 4",1,0))))</f>
        <v/>
      </c>
      <c r="W47">
        <f>IF(V47="Restricted",10,IF(V47="Confidential",7,IF(V47="Internal",4,IF(V47="Public",1,0))))</f>
        <v/>
      </c>
      <c r="AA47" s="9">
        <f>(U47*0.4)+(W47*0.3)+(IF(Z47="Critical",10,IF(Z47="High",7,IF(Z47="Medium",4,1)))*0.2)+(IF(Y47="YES",10,0)*0.1)</f>
        <v/>
      </c>
      <c r="AB47" s="9">
        <f>IF(G47="YES",2.0,0)+IF(H47="YES",2.0,0)</f>
        <v/>
      </c>
      <c r="AC47" s="9" t="n">
        <v>0</v>
      </c>
      <c r="AD47" s="9">
        <f>K47+AB47+AC47</f>
        <v/>
      </c>
      <c r="AE47" s="9">
        <f>(AD47*0.6)+(AA47*0.4)</f>
        <v/>
      </c>
      <c r="AF47">
        <f>IF(AE47&gt;=9,"Critical",IF(AE47&gt;=7,"High",IF(AE47&gt;=4,"Medium","Low")))</f>
        <v/>
      </c>
    </row>
    <row r="48">
      <c r="F48" t="n">
        <v>1</v>
      </c>
      <c r="I48">
        <f>IF(D48="","",TODAY()-D48)</f>
        <v/>
      </c>
      <c r="K48">
        <f>IF(J48="v4.0",L48,IF(J48="v3.1",M48,IF(J48="Both",L48,IF(AND(L48&lt;&gt;"",M48=""),L48,M48))))</f>
        <v/>
      </c>
      <c r="U48">
        <f>IF(T48="Tier 1",10,IF(T48="Tier 2",7,IF(T48="Tier 3",4,IF(T48="Tier 4",1,0))))</f>
        <v/>
      </c>
      <c r="W48">
        <f>IF(V48="Restricted",10,IF(V48="Confidential",7,IF(V48="Internal",4,IF(V48="Public",1,0))))</f>
        <v/>
      </c>
      <c r="AA48" s="9">
        <f>(U48*0.4)+(W48*0.3)+(IF(Z48="Critical",10,IF(Z48="High",7,IF(Z48="Medium",4,1)))*0.2)+(IF(Y48="YES",10,0)*0.1)</f>
        <v/>
      </c>
      <c r="AB48" s="9">
        <f>IF(G48="YES",2.0,0)+IF(H48="YES",2.0,0)</f>
        <v/>
      </c>
      <c r="AC48" s="9" t="n">
        <v>0</v>
      </c>
      <c r="AD48" s="9">
        <f>K48+AB48+AC48</f>
        <v/>
      </c>
      <c r="AE48" s="9">
        <f>(AD48*0.6)+(AA48*0.4)</f>
        <v/>
      </c>
      <c r="AF48">
        <f>IF(AE48&gt;=9,"Critical",IF(AE48&gt;=7,"High",IF(AE48&gt;=4,"Medium","Low")))</f>
        <v/>
      </c>
    </row>
    <row r="49">
      <c r="F49" t="n">
        <v>1</v>
      </c>
      <c r="I49">
        <f>IF(D49="","",TODAY()-D49)</f>
        <v/>
      </c>
      <c r="K49">
        <f>IF(J49="v4.0",L49,IF(J49="v3.1",M49,IF(J49="Both",L49,IF(AND(L49&lt;&gt;"",M49=""),L49,M49))))</f>
        <v/>
      </c>
      <c r="U49">
        <f>IF(T49="Tier 1",10,IF(T49="Tier 2",7,IF(T49="Tier 3",4,IF(T49="Tier 4",1,0))))</f>
        <v/>
      </c>
      <c r="W49">
        <f>IF(V49="Restricted",10,IF(V49="Confidential",7,IF(V49="Internal",4,IF(V49="Public",1,0))))</f>
        <v/>
      </c>
      <c r="AA49" s="9">
        <f>(U49*0.4)+(W49*0.3)+(IF(Z49="Critical",10,IF(Z49="High",7,IF(Z49="Medium",4,1)))*0.2)+(IF(Y49="YES",10,0)*0.1)</f>
        <v/>
      </c>
      <c r="AB49" s="9">
        <f>IF(G49="YES",2.0,0)+IF(H49="YES",2.0,0)</f>
        <v/>
      </c>
      <c r="AC49" s="9" t="n">
        <v>0</v>
      </c>
      <c r="AD49" s="9">
        <f>K49+AB49+AC49</f>
        <v/>
      </c>
      <c r="AE49" s="9">
        <f>(AD49*0.6)+(AA49*0.4)</f>
        <v/>
      </c>
      <c r="AF49">
        <f>IF(AE49&gt;=9,"Critical",IF(AE49&gt;=7,"High",IF(AE49&gt;=4,"Medium","Low")))</f>
        <v/>
      </c>
    </row>
    <row r="50">
      <c r="F50" t="n">
        <v>1</v>
      </c>
      <c r="I50">
        <f>IF(D50="","",TODAY()-D50)</f>
        <v/>
      </c>
      <c r="K50">
        <f>IF(J50="v4.0",L50,IF(J50="v3.1",M50,IF(J50="Both",L50,IF(AND(L50&lt;&gt;"",M50=""),L50,M50))))</f>
        <v/>
      </c>
      <c r="U50">
        <f>IF(T50="Tier 1",10,IF(T50="Tier 2",7,IF(T50="Tier 3",4,IF(T50="Tier 4",1,0))))</f>
        <v/>
      </c>
      <c r="W50">
        <f>IF(V50="Restricted",10,IF(V50="Confidential",7,IF(V50="Internal",4,IF(V50="Public",1,0))))</f>
        <v/>
      </c>
      <c r="AA50" s="9">
        <f>(U50*0.4)+(W50*0.3)+(IF(Z50="Critical",10,IF(Z50="High",7,IF(Z50="Medium",4,1)))*0.2)+(IF(Y50="YES",10,0)*0.1)</f>
        <v/>
      </c>
      <c r="AB50" s="9">
        <f>IF(G50="YES",2.0,0)+IF(H50="YES",2.0,0)</f>
        <v/>
      </c>
      <c r="AC50" s="9" t="n">
        <v>0</v>
      </c>
      <c r="AD50" s="9">
        <f>K50+AB50+AC50</f>
        <v/>
      </c>
      <c r="AE50" s="9">
        <f>(AD50*0.6)+(AA50*0.4)</f>
        <v/>
      </c>
      <c r="AF50">
        <f>IF(AE50&gt;=9,"Critical",IF(AE50&gt;=7,"High",IF(AE50&gt;=4,"Medium","Low")))</f>
        <v/>
      </c>
    </row>
    <row r="51">
      <c r="F51" t="n">
        <v>1</v>
      </c>
      <c r="I51">
        <f>IF(D51="","",TODAY()-D51)</f>
        <v/>
      </c>
      <c r="K51">
        <f>IF(J51="v4.0",L51,IF(J51="v3.1",M51,IF(J51="Both",L51,IF(AND(L51&lt;&gt;"",M51=""),L51,M51))))</f>
        <v/>
      </c>
      <c r="U51">
        <f>IF(T51="Tier 1",10,IF(T51="Tier 2",7,IF(T51="Tier 3",4,IF(T51="Tier 4",1,0))))</f>
        <v/>
      </c>
      <c r="W51">
        <f>IF(V51="Restricted",10,IF(V51="Confidential",7,IF(V51="Internal",4,IF(V51="Public",1,0))))</f>
        <v/>
      </c>
      <c r="AA51" s="9">
        <f>(U51*0.4)+(W51*0.3)+(IF(Z51="Critical",10,IF(Z51="High",7,IF(Z51="Medium",4,1)))*0.2)+(IF(Y51="YES",10,0)*0.1)</f>
        <v/>
      </c>
      <c r="AB51" s="9">
        <f>IF(G51="YES",2.0,0)+IF(H51="YES",2.0,0)</f>
        <v/>
      </c>
      <c r="AC51" s="9" t="n">
        <v>0</v>
      </c>
      <c r="AD51" s="9">
        <f>K51+AB51+AC51</f>
        <v/>
      </c>
      <c r="AE51" s="9">
        <f>(AD51*0.6)+(AA51*0.4)</f>
        <v/>
      </c>
      <c r="AF51">
        <f>IF(AE51&gt;=9,"Critical",IF(AE51&gt;=7,"High",IF(AE51&gt;=4,"Medium","Low")))</f>
        <v/>
      </c>
    </row>
    <row r="52">
      <c r="F52" t="n">
        <v>1</v>
      </c>
      <c r="I52">
        <f>IF(D52="","",TODAY()-D52)</f>
        <v/>
      </c>
      <c r="K52">
        <f>IF(J52="v4.0",L52,IF(J52="v3.1",M52,IF(J52="Both",L52,IF(AND(L52&lt;&gt;"",M52=""),L52,M52))))</f>
        <v/>
      </c>
      <c r="U52">
        <f>IF(T52="Tier 1",10,IF(T52="Tier 2",7,IF(T52="Tier 3",4,IF(T52="Tier 4",1,0))))</f>
        <v/>
      </c>
      <c r="W52">
        <f>IF(V52="Restricted",10,IF(V52="Confidential",7,IF(V52="Internal",4,IF(V52="Public",1,0))))</f>
        <v/>
      </c>
      <c r="AA52" s="9">
        <f>(U52*0.4)+(W52*0.3)+(IF(Z52="Critical",10,IF(Z52="High",7,IF(Z52="Medium",4,1)))*0.2)+(IF(Y52="YES",10,0)*0.1)</f>
        <v/>
      </c>
      <c r="AB52" s="9">
        <f>IF(G52="YES",2.0,0)+IF(H52="YES",2.0,0)</f>
        <v/>
      </c>
      <c r="AC52" s="9" t="n">
        <v>0</v>
      </c>
      <c r="AD52" s="9">
        <f>K52+AB52+AC52</f>
        <v/>
      </c>
      <c r="AE52" s="9">
        <f>(AD52*0.6)+(AA52*0.4)</f>
        <v/>
      </c>
      <c r="AF52">
        <f>IF(AE52&gt;=9,"Critical",IF(AE52&gt;=7,"High",IF(AE52&gt;=4,"Medium","Low")))</f>
        <v/>
      </c>
    </row>
    <row r="53">
      <c r="F53" t="n">
        <v>1</v>
      </c>
      <c r="I53">
        <f>IF(D53="","",TODAY()-D53)</f>
        <v/>
      </c>
      <c r="K53">
        <f>IF(J53="v4.0",L53,IF(J53="v3.1",M53,IF(J53="Both",L53,IF(AND(L53&lt;&gt;"",M53=""),L53,M53))))</f>
        <v/>
      </c>
      <c r="U53">
        <f>IF(T53="Tier 1",10,IF(T53="Tier 2",7,IF(T53="Tier 3",4,IF(T53="Tier 4",1,0))))</f>
        <v/>
      </c>
      <c r="W53">
        <f>IF(V53="Restricted",10,IF(V53="Confidential",7,IF(V53="Internal",4,IF(V53="Public",1,0))))</f>
        <v/>
      </c>
      <c r="AA53" s="9">
        <f>(U53*0.4)+(W53*0.3)+(IF(Z53="Critical",10,IF(Z53="High",7,IF(Z53="Medium",4,1)))*0.2)+(IF(Y53="YES",10,0)*0.1)</f>
        <v/>
      </c>
      <c r="AB53" s="9">
        <f>IF(G53="YES",2.0,0)+IF(H53="YES",2.0,0)</f>
        <v/>
      </c>
      <c r="AC53" s="9" t="n">
        <v>0</v>
      </c>
      <c r="AD53" s="9">
        <f>K53+AB53+AC53</f>
        <v/>
      </c>
      <c r="AE53" s="9">
        <f>(AD53*0.6)+(AA53*0.4)</f>
        <v/>
      </c>
      <c r="AF53">
        <f>IF(AE53&gt;=9,"Critical",IF(AE53&gt;=7,"High",IF(AE53&gt;=4,"Medium","Low")))</f>
        <v/>
      </c>
    </row>
    <row r="54">
      <c r="F54" t="n">
        <v>1</v>
      </c>
      <c r="I54">
        <f>IF(D54="","",TODAY()-D54)</f>
        <v/>
      </c>
      <c r="K54">
        <f>IF(J54="v4.0",L54,IF(J54="v3.1",M54,IF(J54="Both",L54,IF(AND(L54&lt;&gt;"",M54=""),L54,M54))))</f>
        <v/>
      </c>
      <c r="U54">
        <f>IF(T54="Tier 1",10,IF(T54="Tier 2",7,IF(T54="Tier 3",4,IF(T54="Tier 4",1,0))))</f>
        <v/>
      </c>
      <c r="W54">
        <f>IF(V54="Restricted",10,IF(V54="Confidential",7,IF(V54="Internal",4,IF(V54="Public",1,0))))</f>
        <v/>
      </c>
      <c r="AA54" s="9">
        <f>(U54*0.4)+(W54*0.3)+(IF(Z54="Critical",10,IF(Z54="High",7,IF(Z54="Medium",4,1)))*0.2)+(IF(Y54="YES",10,0)*0.1)</f>
        <v/>
      </c>
      <c r="AB54" s="9">
        <f>IF(G54="YES",2.0,0)+IF(H54="YES",2.0,0)</f>
        <v/>
      </c>
      <c r="AC54" s="9" t="n">
        <v>0</v>
      </c>
      <c r="AD54" s="9">
        <f>K54+AB54+AC54</f>
        <v/>
      </c>
      <c r="AE54" s="9">
        <f>(AD54*0.6)+(AA54*0.4)</f>
        <v/>
      </c>
      <c r="AF54">
        <f>IF(AE54&gt;=9,"Critical",IF(AE54&gt;=7,"High",IF(AE54&gt;=4,"Medium","Low")))</f>
        <v/>
      </c>
    </row>
    <row r="55">
      <c r="F55" t="n">
        <v>1</v>
      </c>
      <c r="I55">
        <f>IF(D55="","",TODAY()-D55)</f>
        <v/>
      </c>
      <c r="K55">
        <f>IF(J55="v4.0",L55,IF(J55="v3.1",M55,IF(J55="Both",L55,IF(AND(L55&lt;&gt;"",M55=""),L55,M55))))</f>
        <v/>
      </c>
      <c r="U55">
        <f>IF(T55="Tier 1",10,IF(T55="Tier 2",7,IF(T55="Tier 3",4,IF(T55="Tier 4",1,0))))</f>
        <v/>
      </c>
      <c r="W55">
        <f>IF(V55="Restricted",10,IF(V55="Confidential",7,IF(V55="Internal",4,IF(V55="Public",1,0))))</f>
        <v/>
      </c>
      <c r="AA55" s="9">
        <f>(U55*0.4)+(W55*0.3)+(IF(Z55="Critical",10,IF(Z55="High",7,IF(Z55="Medium",4,1)))*0.2)+(IF(Y55="YES",10,0)*0.1)</f>
        <v/>
      </c>
      <c r="AB55" s="9">
        <f>IF(G55="YES",2.0,0)+IF(H55="YES",2.0,0)</f>
        <v/>
      </c>
      <c r="AC55" s="9" t="n">
        <v>0</v>
      </c>
      <c r="AD55" s="9">
        <f>K55+AB55+AC55</f>
        <v/>
      </c>
      <c r="AE55" s="9">
        <f>(AD55*0.6)+(AA55*0.4)</f>
        <v/>
      </c>
      <c r="AF55">
        <f>IF(AE55&gt;=9,"Critical",IF(AE55&gt;=7,"High",IF(AE55&gt;=4,"Medium","Low")))</f>
        <v/>
      </c>
    </row>
    <row r="56">
      <c r="F56" t="n">
        <v>1</v>
      </c>
      <c r="I56">
        <f>IF(D56="","",TODAY()-D56)</f>
        <v/>
      </c>
      <c r="K56">
        <f>IF(J56="v4.0",L56,IF(J56="v3.1",M56,IF(J56="Both",L56,IF(AND(L56&lt;&gt;"",M56=""),L56,M56))))</f>
        <v/>
      </c>
      <c r="U56">
        <f>IF(T56="Tier 1",10,IF(T56="Tier 2",7,IF(T56="Tier 3",4,IF(T56="Tier 4",1,0))))</f>
        <v/>
      </c>
      <c r="W56">
        <f>IF(V56="Restricted",10,IF(V56="Confidential",7,IF(V56="Internal",4,IF(V56="Public",1,0))))</f>
        <v/>
      </c>
      <c r="AA56" s="9">
        <f>(U56*0.4)+(W56*0.3)+(IF(Z56="Critical",10,IF(Z56="High",7,IF(Z56="Medium",4,1)))*0.2)+(IF(Y56="YES",10,0)*0.1)</f>
        <v/>
      </c>
      <c r="AB56" s="9">
        <f>IF(G56="YES",2.0,0)+IF(H56="YES",2.0,0)</f>
        <v/>
      </c>
      <c r="AC56" s="9" t="n">
        <v>0</v>
      </c>
      <c r="AD56" s="9">
        <f>K56+AB56+AC56</f>
        <v/>
      </c>
      <c r="AE56" s="9">
        <f>(AD56*0.6)+(AA56*0.4)</f>
        <v/>
      </c>
      <c r="AF56">
        <f>IF(AE56&gt;=9,"Critical",IF(AE56&gt;=7,"High",IF(AE56&gt;=4,"Medium","Low")))</f>
        <v/>
      </c>
    </row>
    <row r="57">
      <c r="F57" t="n">
        <v>1</v>
      </c>
      <c r="I57">
        <f>IF(D57="","",TODAY()-D57)</f>
        <v/>
      </c>
      <c r="K57">
        <f>IF(J57="v4.0",L57,IF(J57="v3.1",M57,IF(J57="Both",L57,IF(AND(L57&lt;&gt;"",M57=""),L57,M57))))</f>
        <v/>
      </c>
      <c r="U57">
        <f>IF(T57="Tier 1",10,IF(T57="Tier 2",7,IF(T57="Tier 3",4,IF(T57="Tier 4",1,0))))</f>
        <v/>
      </c>
      <c r="W57">
        <f>IF(V57="Restricted",10,IF(V57="Confidential",7,IF(V57="Internal",4,IF(V57="Public",1,0))))</f>
        <v/>
      </c>
      <c r="AA57" s="9">
        <f>(U57*0.4)+(W57*0.3)+(IF(Z57="Critical",10,IF(Z57="High",7,IF(Z57="Medium",4,1)))*0.2)+(IF(Y57="YES",10,0)*0.1)</f>
        <v/>
      </c>
      <c r="AB57" s="9">
        <f>IF(G57="YES",2.0,0)+IF(H57="YES",2.0,0)</f>
        <v/>
      </c>
      <c r="AC57" s="9" t="n">
        <v>0</v>
      </c>
      <c r="AD57" s="9">
        <f>K57+AB57+AC57</f>
        <v/>
      </c>
      <c r="AE57" s="9">
        <f>(AD57*0.6)+(AA57*0.4)</f>
        <v/>
      </c>
      <c r="AF57">
        <f>IF(AE57&gt;=9,"Critical",IF(AE57&gt;=7,"High",IF(AE57&gt;=4,"Medium","Low")))</f>
        <v/>
      </c>
    </row>
    <row r="58">
      <c r="F58" t="n">
        <v>1</v>
      </c>
      <c r="I58">
        <f>IF(D58="","",TODAY()-D58)</f>
        <v/>
      </c>
      <c r="K58">
        <f>IF(J58="v4.0",L58,IF(J58="v3.1",M58,IF(J58="Both",L58,IF(AND(L58&lt;&gt;"",M58=""),L58,M58))))</f>
        <v/>
      </c>
      <c r="U58">
        <f>IF(T58="Tier 1",10,IF(T58="Tier 2",7,IF(T58="Tier 3",4,IF(T58="Tier 4",1,0))))</f>
        <v/>
      </c>
      <c r="W58">
        <f>IF(V58="Restricted",10,IF(V58="Confidential",7,IF(V58="Internal",4,IF(V58="Public",1,0))))</f>
        <v/>
      </c>
      <c r="AA58" s="9">
        <f>(U58*0.4)+(W58*0.3)+(IF(Z58="Critical",10,IF(Z58="High",7,IF(Z58="Medium",4,1)))*0.2)+(IF(Y58="YES",10,0)*0.1)</f>
        <v/>
      </c>
      <c r="AB58" s="9">
        <f>IF(G58="YES",2.0,0)+IF(H58="YES",2.0,0)</f>
        <v/>
      </c>
      <c r="AC58" s="9" t="n">
        <v>0</v>
      </c>
      <c r="AD58" s="9">
        <f>K58+AB58+AC58</f>
        <v/>
      </c>
      <c r="AE58" s="9">
        <f>(AD58*0.6)+(AA58*0.4)</f>
        <v/>
      </c>
      <c r="AF58">
        <f>IF(AE58&gt;=9,"Critical",IF(AE58&gt;=7,"High",IF(AE58&gt;=4,"Medium","Low")))</f>
        <v/>
      </c>
    </row>
    <row r="59">
      <c r="F59" t="n">
        <v>1</v>
      </c>
      <c r="I59">
        <f>IF(D59="","",TODAY()-D59)</f>
        <v/>
      </c>
      <c r="K59">
        <f>IF(J59="v4.0",L59,IF(J59="v3.1",M59,IF(J59="Both",L59,IF(AND(L59&lt;&gt;"",M59=""),L59,M59))))</f>
        <v/>
      </c>
      <c r="U59">
        <f>IF(T59="Tier 1",10,IF(T59="Tier 2",7,IF(T59="Tier 3",4,IF(T59="Tier 4",1,0))))</f>
        <v/>
      </c>
      <c r="W59">
        <f>IF(V59="Restricted",10,IF(V59="Confidential",7,IF(V59="Internal",4,IF(V59="Public",1,0))))</f>
        <v/>
      </c>
      <c r="AA59" s="9">
        <f>(U59*0.4)+(W59*0.3)+(IF(Z59="Critical",10,IF(Z59="High",7,IF(Z59="Medium",4,1)))*0.2)+(IF(Y59="YES",10,0)*0.1)</f>
        <v/>
      </c>
      <c r="AB59" s="9">
        <f>IF(G59="YES",2.0,0)+IF(H59="YES",2.0,0)</f>
        <v/>
      </c>
      <c r="AC59" s="9" t="n">
        <v>0</v>
      </c>
      <c r="AD59" s="9">
        <f>K59+AB59+AC59</f>
        <v/>
      </c>
      <c r="AE59" s="9">
        <f>(AD59*0.6)+(AA59*0.4)</f>
        <v/>
      </c>
      <c r="AF59">
        <f>IF(AE59&gt;=9,"Critical",IF(AE59&gt;=7,"High",IF(AE59&gt;=4,"Medium","Low")))</f>
        <v/>
      </c>
    </row>
    <row r="60">
      <c r="F60" t="n">
        <v>1</v>
      </c>
      <c r="I60">
        <f>IF(D60="","",TODAY()-D60)</f>
        <v/>
      </c>
      <c r="K60">
        <f>IF(J60="v4.0",L60,IF(J60="v3.1",M60,IF(J60="Both",L60,IF(AND(L60&lt;&gt;"",M60=""),L60,M60))))</f>
        <v/>
      </c>
      <c r="U60">
        <f>IF(T60="Tier 1",10,IF(T60="Tier 2",7,IF(T60="Tier 3",4,IF(T60="Tier 4",1,0))))</f>
        <v/>
      </c>
      <c r="W60">
        <f>IF(V60="Restricted",10,IF(V60="Confidential",7,IF(V60="Internal",4,IF(V60="Public",1,0))))</f>
        <v/>
      </c>
      <c r="AA60" s="9">
        <f>(U60*0.4)+(W60*0.3)+(IF(Z60="Critical",10,IF(Z60="High",7,IF(Z60="Medium",4,1)))*0.2)+(IF(Y60="YES",10,0)*0.1)</f>
        <v/>
      </c>
      <c r="AB60" s="9">
        <f>IF(G60="YES",2.0,0)+IF(H60="YES",2.0,0)</f>
        <v/>
      </c>
      <c r="AC60" s="9" t="n">
        <v>0</v>
      </c>
      <c r="AD60" s="9">
        <f>K60+AB60+AC60</f>
        <v/>
      </c>
      <c r="AE60" s="9">
        <f>(AD60*0.6)+(AA60*0.4)</f>
        <v/>
      </c>
      <c r="AF60">
        <f>IF(AE60&gt;=9,"Critical",IF(AE60&gt;=7,"High",IF(AE60&gt;=4,"Medium","Low")))</f>
        <v/>
      </c>
    </row>
    <row r="61">
      <c r="F61" t="n">
        <v>1</v>
      </c>
      <c r="I61">
        <f>IF(D61="","",TODAY()-D61)</f>
        <v/>
      </c>
      <c r="K61">
        <f>IF(J61="v4.0",L61,IF(J61="v3.1",M61,IF(J61="Both",L61,IF(AND(L61&lt;&gt;"",M61=""),L61,M61))))</f>
        <v/>
      </c>
      <c r="U61">
        <f>IF(T61="Tier 1",10,IF(T61="Tier 2",7,IF(T61="Tier 3",4,IF(T61="Tier 4",1,0))))</f>
        <v/>
      </c>
      <c r="W61">
        <f>IF(V61="Restricted",10,IF(V61="Confidential",7,IF(V61="Internal",4,IF(V61="Public",1,0))))</f>
        <v/>
      </c>
      <c r="AA61" s="9">
        <f>(U61*0.4)+(W61*0.3)+(IF(Z61="Critical",10,IF(Z61="High",7,IF(Z61="Medium",4,1)))*0.2)+(IF(Y61="YES",10,0)*0.1)</f>
        <v/>
      </c>
      <c r="AB61" s="9">
        <f>IF(G61="YES",2.0,0)+IF(H61="YES",2.0,0)</f>
        <v/>
      </c>
      <c r="AC61" s="9" t="n">
        <v>0</v>
      </c>
      <c r="AD61" s="9">
        <f>K61+AB61+AC61</f>
        <v/>
      </c>
      <c r="AE61" s="9">
        <f>(AD61*0.6)+(AA61*0.4)</f>
        <v/>
      </c>
      <c r="AF61">
        <f>IF(AE61&gt;=9,"Critical",IF(AE61&gt;=7,"High",IF(AE61&gt;=4,"Medium","Low")))</f>
        <v/>
      </c>
    </row>
    <row r="62">
      <c r="F62" t="n">
        <v>1</v>
      </c>
      <c r="I62">
        <f>IF(D62="","",TODAY()-D62)</f>
        <v/>
      </c>
      <c r="K62">
        <f>IF(J62="v4.0",L62,IF(J62="v3.1",M62,IF(J62="Both",L62,IF(AND(L62&lt;&gt;"",M62=""),L62,M62))))</f>
        <v/>
      </c>
      <c r="U62">
        <f>IF(T62="Tier 1",10,IF(T62="Tier 2",7,IF(T62="Tier 3",4,IF(T62="Tier 4",1,0))))</f>
        <v/>
      </c>
      <c r="W62">
        <f>IF(V62="Restricted",10,IF(V62="Confidential",7,IF(V62="Internal",4,IF(V62="Public",1,0))))</f>
        <v/>
      </c>
      <c r="AA62" s="9">
        <f>(U62*0.4)+(W62*0.3)+(IF(Z62="Critical",10,IF(Z62="High",7,IF(Z62="Medium",4,1)))*0.2)+(IF(Y62="YES",10,0)*0.1)</f>
        <v/>
      </c>
      <c r="AB62" s="9">
        <f>IF(G62="YES",2.0,0)+IF(H62="YES",2.0,0)</f>
        <v/>
      </c>
      <c r="AC62" s="9" t="n">
        <v>0</v>
      </c>
      <c r="AD62" s="9">
        <f>K62+AB62+AC62</f>
        <v/>
      </c>
      <c r="AE62" s="9">
        <f>(AD62*0.6)+(AA62*0.4)</f>
        <v/>
      </c>
      <c r="AF62">
        <f>IF(AE62&gt;=9,"Critical",IF(AE62&gt;=7,"High",IF(AE62&gt;=4,"Medium","Low")))</f>
        <v/>
      </c>
    </row>
    <row r="63">
      <c r="F63" t="n">
        <v>1</v>
      </c>
      <c r="I63">
        <f>IF(D63="","",TODAY()-D63)</f>
        <v/>
      </c>
      <c r="K63">
        <f>IF(J63="v4.0",L63,IF(J63="v3.1",M63,IF(J63="Both",L63,IF(AND(L63&lt;&gt;"",M63=""),L63,M63))))</f>
        <v/>
      </c>
      <c r="U63">
        <f>IF(T63="Tier 1",10,IF(T63="Tier 2",7,IF(T63="Tier 3",4,IF(T63="Tier 4",1,0))))</f>
        <v/>
      </c>
      <c r="W63">
        <f>IF(V63="Restricted",10,IF(V63="Confidential",7,IF(V63="Internal",4,IF(V63="Public",1,0))))</f>
        <v/>
      </c>
      <c r="AA63" s="9">
        <f>(U63*0.4)+(W63*0.3)+(IF(Z63="Critical",10,IF(Z63="High",7,IF(Z63="Medium",4,1)))*0.2)+(IF(Y63="YES",10,0)*0.1)</f>
        <v/>
      </c>
      <c r="AB63" s="9">
        <f>IF(G63="YES",2.0,0)+IF(H63="YES",2.0,0)</f>
        <v/>
      </c>
      <c r="AC63" s="9" t="n">
        <v>0</v>
      </c>
      <c r="AD63" s="9">
        <f>K63+AB63+AC63</f>
        <v/>
      </c>
      <c r="AE63" s="9">
        <f>(AD63*0.6)+(AA63*0.4)</f>
        <v/>
      </c>
      <c r="AF63">
        <f>IF(AE63&gt;=9,"Critical",IF(AE63&gt;=7,"High",IF(AE63&gt;=4,"Medium","Low")))</f>
        <v/>
      </c>
    </row>
    <row r="64">
      <c r="F64" t="n">
        <v>1</v>
      </c>
      <c r="I64">
        <f>IF(D64="","",TODAY()-D64)</f>
        <v/>
      </c>
      <c r="K64">
        <f>IF(J64="v4.0",L64,IF(J64="v3.1",M64,IF(J64="Both",L64,IF(AND(L64&lt;&gt;"",M64=""),L64,M64))))</f>
        <v/>
      </c>
      <c r="U64">
        <f>IF(T64="Tier 1",10,IF(T64="Tier 2",7,IF(T64="Tier 3",4,IF(T64="Tier 4",1,0))))</f>
        <v/>
      </c>
      <c r="W64">
        <f>IF(V64="Restricted",10,IF(V64="Confidential",7,IF(V64="Internal",4,IF(V64="Public",1,0))))</f>
        <v/>
      </c>
      <c r="AA64" s="9">
        <f>(U64*0.4)+(W64*0.3)+(IF(Z64="Critical",10,IF(Z64="High",7,IF(Z64="Medium",4,1)))*0.2)+(IF(Y64="YES",10,0)*0.1)</f>
        <v/>
      </c>
      <c r="AB64" s="9">
        <f>IF(G64="YES",2.0,0)+IF(H64="YES",2.0,0)</f>
        <v/>
      </c>
      <c r="AC64" s="9" t="n">
        <v>0</v>
      </c>
      <c r="AD64" s="9">
        <f>K64+AB64+AC64</f>
        <v/>
      </c>
      <c r="AE64" s="9">
        <f>(AD64*0.6)+(AA64*0.4)</f>
        <v/>
      </c>
      <c r="AF64">
        <f>IF(AE64&gt;=9,"Critical",IF(AE64&gt;=7,"High",IF(AE64&gt;=4,"Medium","Low")))</f>
        <v/>
      </c>
    </row>
    <row r="65">
      <c r="F65" t="n">
        <v>1</v>
      </c>
      <c r="I65">
        <f>IF(D65="","",TODAY()-D65)</f>
        <v/>
      </c>
      <c r="K65">
        <f>IF(J65="v4.0",L65,IF(J65="v3.1",M65,IF(J65="Both",L65,IF(AND(L65&lt;&gt;"",M65=""),L65,M65))))</f>
        <v/>
      </c>
      <c r="U65">
        <f>IF(T65="Tier 1",10,IF(T65="Tier 2",7,IF(T65="Tier 3",4,IF(T65="Tier 4",1,0))))</f>
        <v/>
      </c>
      <c r="W65">
        <f>IF(V65="Restricted",10,IF(V65="Confidential",7,IF(V65="Internal",4,IF(V65="Public",1,0))))</f>
        <v/>
      </c>
      <c r="AA65" s="9">
        <f>(U65*0.4)+(W65*0.3)+(IF(Z65="Critical",10,IF(Z65="High",7,IF(Z65="Medium",4,1)))*0.2)+(IF(Y65="YES",10,0)*0.1)</f>
        <v/>
      </c>
      <c r="AB65" s="9">
        <f>IF(G65="YES",2.0,0)+IF(H65="YES",2.0,0)</f>
        <v/>
      </c>
      <c r="AC65" s="9" t="n">
        <v>0</v>
      </c>
      <c r="AD65" s="9">
        <f>K65+AB65+AC65</f>
        <v/>
      </c>
      <c r="AE65" s="9">
        <f>(AD65*0.6)+(AA65*0.4)</f>
        <v/>
      </c>
      <c r="AF65">
        <f>IF(AE65&gt;=9,"Critical",IF(AE65&gt;=7,"High",IF(AE65&gt;=4,"Medium","Low")))</f>
        <v/>
      </c>
    </row>
    <row r="66">
      <c r="F66" t="n">
        <v>1</v>
      </c>
      <c r="I66">
        <f>IF(D66="","",TODAY()-D66)</f>
        <v/>
      </c>
      <c r="K66">
        <f>IF(J66="v4.0",L66,IF(J66="v3.1",M66,IF(J66="Both",L66,IF(AND(L66&lt;&gt;"",M66=""),L66,M66))))</f>
        <v/>
      </c>
      <c r="U66">
        <f>IF(T66="Tier 1",10,IF(T66="Tier 2",7,IF(T66="Tier 3",4,IF(T66="Tier 4",1,0))))</f>
        <v/>
      </c>
      <c r="W66">
        <f>IF(V66="Restricted",10,IF(V66="Confidential",7,IF(V66="Internal",4,IF(V66="Public",1,0))))</f>
        <v/>
      </c>
      <c r="AA66" s="9">
        <f>(U66*0.4)+(W66*0.3)+(IF(Z66="Critical",10,IF(Z66="High",7,IF(Z66="Medium",4,1)))*0.2)+(IF(Y66="YES",10,0)*0.1)</f>
        <v/>
      </c>
      <c r="AB66" s="9">
        <f>IF(G66="YES",2.0,0)+IF(H66="YES",2.0,0)</f>
        <v/>
      </c>
      <c r="AC66" s="9" t="n">
        <v>0</v>
      </c>
      <c r="AD66" s="9">
        <f>K66+AB66+AC66</f>
        <v/>
      </c>
      <c r="AE66" s="9">
        <f>(AD66*0.6)+(AA66*0.4)</f>
        <v/>
      </c>
      <c r="AF66">
        <f>IF(AE66&gt;=9,"Critical",IF(AE66&gt;=7,"High",IF(AE66&gt;=4,"Medium","Low")))</f>
        <v/>
      </c>
    </row>
    <row r="67">
      <c r="F67" t="n">
        <v>1</v>
      </c>
      <c r="I67">
        <f>IF(D67="","",TODAY()-D67)</f>
        <v/>
      </c>
      <c r="K67">
        <f>IF(J67="v4.0",L67,IF(J67="v3.1",M67,IF(J67="Both",L67,IF(AND(L67&lt;&gt;"",M67=""),L67,M67))))</f>
        <v/>
      </c>
      <c r="U67">
        <f>IF(T67="Tier 1",10,IF(T67="Tier 2",7,IF(T67="Tier 3",4,IF(T67="Tier 4",1,0))))</f>
        <v/>
      </c>
      <c r="W67">
        <f>IF(V67="Restricted",10,IF(V67="Confidential",7,IF(V67="Internal",4,IF(V67="Public",1,0))))</f>
        <v/>
      </c>
      <c r="AA67" s="9">
        <f>(U67*0.4)+(W67*0.3)+(IF(Z67="Critical",10,IF(Z67="High",7,IF(Z67="Medium",4,1)))*0.2)+(IF(Y67="YES",10,0)*0.1)</f>
        <v/>
      </c>
      <c r="AB67" s="9">
        <f>IF(G67="YES",2.0,0)+IF(H67="YES",2.0,0)</f>
        <v/>
      </c>
      <c r="AC67" s="9" t="n">
        <v>0</v>
      </c>
      <c r="AD67" s="9">
        <f>K67+AB67+AC67</f>
        <v/>
      </c>
      <c r="AE67" s="9">
        <f>(AD67*0.6)+(AA67*0.4)</f>
        <v/>
      </c>
      <c r="AF67">
        <f>IF(AE67&gt;=9,"Critical",IF(AE67&gt;=7,"High",IF(AE67&gt;=4,"Medium","Low")))</f>
        <v/>
      </c>
    </row>
    <row r="68">
      <c r="F68" t="n">
        <v>1</v>
      </c>
      <c r="I68">
        <f>IF(D68="","",TODAY()-D68)</f>
        <v/>
      </c>
      <c r="K68">
        <f>IF(J68="v4.0",L68,IF(J68="v3.1",M68,IF(J68="Both",L68,IF(AND(L68&lt;&gt;"",M68=""),L68,M68))))</f>
        <v/>
      </c>
      <c r="U68">
        <f>IF(T68="Tier 1",10,IF(T68="Tier 2",7,IF(T68="Tier 3",4,IF(T68="Tier 4",1,0))))</f>
        <v/>
      </c>
      <c r="W68">
        <f>IF(V68="Restricted",10,IF(V68="Confidential",7,IF(V68="Internal",4,IF(V68="Public",1,0))))</f>
        <v/>
      </c>
      <c r="AA68" s="9">
        <f>(U68*0.4)+(W68*0.3)+(IF(Z68="Critical",10,IF(Z68="High",7,IF(Z68="Medium",4,1)))*0.2)+(IF(Y68="YES",10,0)*0.1)</f>
        <v/>
      </c>
      <c r="AB68" s="9">
        <f>IF(G68="YES",2.0,0)+IF(H68="YES",2.0,0)</f>
        <v/>
      </c>
      <c r="AC68" s="9" t="n">
        <v>0</v>
      </c>
      <c r="AD68" s="9">
        <f>K68+AB68+AC68</f>
        <v/>
      </c>
      <c r="AE68" s="9">
        <f>(AD68*0.6)+(AA68*0.4)</f>
        <v/>
      </c>
      <c r="AF68">
        <f>IF(AE68&gt;=9,"Critical",IF(AE68&gt;=7,"High",IF(AE68&gt;=4,"Medium","Low")))</f>
        <v/>
      </c>
    </row>
    <row r="69">
      <c r="F69" t="n">
        <v>1</v>
      </c>
      <c r="I69">
        <f>IF(D69="","",TODAY()-D69)</f>
        <v/>
      </c>
      <c r="K69">
        <f>IF(J69="v4.0",L69,IF(J69="v3.1",M69,IF(J69="Both",L69,IF(AND(L69&lt;&gt;"",M69=""),L69,M69))))</f>
        <v/>
      </c>
      <c r="U69">
        <f>IF(T69="Tier 1",10,IF(T69="Tier 2",7,IF(T69="Tier 3",4,IF(T69="Tier 4",1,0))))</f>
        <v/>
      </c>
      <c r="W69">
        <f>IF(V69="Restricted",10,IF(V69="Confidential",7,IF(V69="Internal",4,IF(V69="Public",1,0))))</f>
        <v/>
      </c>
      <c r="AA69" s="9">
        <f>(U69*0.4)+(W69*0.3)+(IF(Z69="Critical",10,IF(Z69="High",7,IF(Z69="Medium",4,1)))*0.2)+(IF(Y69="YES",10,0)*0.1)</f>
        <v/>
      </c>
      <c r="AB69" s="9">
        <f>IF(G69="YES",2.0,0)+IF(H69="YES",2.0,0)</f>
        <v/>
      </c>
      <c r="AC69" s="9" t="n">
        <v>0</v>
      </c>
      <c r="AD69" s="9">
        <f>K69+AB69+AC69</f>
        <v/>
      </c>
      <c r="AE69" s="9">
        <f>(AD69*0.6)+(AA69*0.4)</f>
        <v/>
      </c>
      <c r="AF69">
        <f>IF(AE69&gt;=9,"Critical",IF(AE69&gt;=7,"High",IF(AE69&gt;=4,"Medium","Low")))</f>
        <v/>
      </c>
    </row>
    <row r="70">
      <c r="F70" t="n">
        <v>1</v>
      </c>
      <c r="I70">
        <f>IF(D70="","",TODAY()-D70)</f>
        <v/>
      </c>
      <c r="K70">
        <f>IF(J70="v4.0",L70,IF(J70="v3.1",M70,IF(J70="Both",L70,IF(AND(L70&lt;&gt;"",M70=""),L70,M70))))</f>
        <v/>
      </c>
      <c r="U70">
        <f>IF(T70="Tier 1",10,IF(T70="Tier 2",7,IF(T70="Tier 3",4,IF(T70="Tier 4",1,0))))</f>
        <v/>
      </c>
      <c r="W70">
        <f>IF(V70="Restricted",10,IF(V70="Confidential",7,IF(V70="Internal",4,IF(V70="Public",1,0))))</f>
        <v/>
      </c>
      <c r="AA70" s="9">
        <f>(U70*0.4)+(W70*0.3)+(IF(Z70="Critical",10,IF(Z70="High",7,IF(Z70="Medium",4,1)))*0.2)+(IF(Y70="YES",10,0)*0.1)</f>
        <v/>
      </c>
      <c r="AB70" s="9">
        <f>IF(G70="YES",2.0,0)+IF(H70="YES",2.0,0)</f>
        <v/>
      </c>
      <c r="AC70" s="9" t="n">
        <v>0</v>
      </c>
      <c r="AD70" s="9">
        <f>K70+AB70+AC70</f>
        <v/>
      </c>
      <c r="AE70" s="9">
        <f>(AD70*0.6)+(AA70*0.4)</f>
        <v/>
      </c>
      <c r="AF70">
        <f>IF(AE70&gt;=9,"Critical",IF(AE70&gt;=7,"High",IF(AE70&gt;=4,"Medium","Low")))</f>
        <v/>
      </c>
    </row>
    <row r="71">
      <c r="F71" t="n">
        <v>1</v>
      </c>
      <c r="I71">
        <f>IF(D71="","",TODAY()-D71)</f>
        <v/>
      </c>
      <c r="K71">
        <f>IF(J71="v4.0",L71,IF(J71="v3.1",M71,IF(J71="Both",L71,IF(AND(L71&lt;&gt;"",M71=""),L71,M71))))</f>
        <v/>
      </c>
      <c r="U71">
        <f>IF(T71="Tier 1",10,IF(T71="Tier 2",7,IF(T71="Tier 3",4,IF(T71="Tier 4",1,0))))</f>
        <v/>
      </c>
      <c r="W71">
        <f>IF(V71="Restricted",10,IF(V71="Confidential",7,IF(V71="Internal",4,IF(V71="Public",1,0))))</f>
        <v/>
      </c>
      <c r="AA71" s="9">
        <f>(U71*0.4)+(W71*0.3)+(IF(Z71="Critical",10,IF(Z71="High",7,IF(Z71="Medium",4,1)))*0.2)+(IF(Y71="YES",10,0)*0.1)</f>
        <v/>
      </c>
      <c r="AB71" s="9">
        <f>IF(G71="YES",2.0,0)+IF(H71="YES",2.0,0)</f>
        <v/>
      </c>
      <c r="AC71" s="9" t="n">
        <v>0</v>
      </c>
      <c r="AD71" s="9">
        <f>K71+AB71+AC71</f>
        <v/>
      </c>
      <c r="AE71" s="9">
        <f>(AD71*0.6)+(AA71*0.4)</f>
        <v/>
      </c>
      <c r="AF71">
        <f>IF(AE71&gt;=9,"Critical",IF(AE71&gt;=7,"High",IF(AE71&gt;=4,"Medium","Low")))</f>
        <v/>
      </c>
    </row>
    <row r="72">
      <c r="F72" t="n">
        <v>1</v>
      </c>
      <c r="I72">
        <f>IF(D72="","",TODAY()-D72)</f>
        <v/>
      </c>
      <c r="K72">
        <f>IF(J72="v4.0",L72,IF(J72="v3.1",M72,IF(J72="Both",L72,IF(AND(L72&lt;&gt;"",M72=""),L72,M72))))</f>
        <v/>
      </c>
      <c r="U72">
        <f>IF(T72="Tier 1",10,IF(T72="Tier 2",7,IF(T72="Tier 3",4,IF(T72="Tier 4",1,0))))</f>
        <v/>
      </c>
      <c r="W72">
        <f>IF(V72="Restricted",10,IF(V72="Confidential",7,IF(V72="Internal",4,IF(V72="Public",1,0))))</f>
        <v/>
      </c>
      <c r="AA72" s="9">
        <f>(U72*0.4)+(W72*0.3)+(IF(Z72="Critical",10,IF(Z72="High",7,IF(Z72="Medium",4,1)))*0.2)+(IF(Y72="YES",10,0)*0.1)</f>
        <v/>
      </c>
      <c r="AB72" s="9">
        <f>IF(G72="YES",2.0,0)+IF(H72="YES",2.0,0)</f>
        <v/>
      </c>
      <c r="AC72" s="9" t="n">
        <v>0</v>
      </c>
      <c r="AD72" s="9">
        <f>K72+AB72+AC72</f>
        <v/>
      </c>
      <c r="AE72" s="9">
        <f>(AD72*0.6)+(AA72*0.4)</f>
        <v/>
      </c>
      <c r="AF72">
        <f>IF(AE72&gt;=9,"Critical",IF(AE72&gt;=7,"High",IF(AE72&gt;=4,"Medium","Low")))</f>
        <v/>
      </c>
    </row>
    <row r="73">
      <c r="F73" t="n">
        <v>1</v>
      </c>
      <c r="I73">
        <f>IF(D73="","",TODAY()-D73)</f>
        <v/>
      </c>
      <c r="K73">
        <f>IF(J73="v4.0",L73,IF(J73="v3.1",M73,IF(J73="Both",L73,IF(AND(L73&lt;&gt;"",M73=""),L73,M73))))</f>
        <v/>
      </c>
      <c r="U73">
        <f>IF(T73="Tier 1",10,IF(T73="Tier 2",7,IF(T73="Tier 3",4,IF(T73="Tier 4",1,0))))</f>
        <v/>
      </c>
      <c r="W73">
        <f>IF(V73="Restricted",10,IF(V73="Confidential",7,IF(V73="Internal",4,IF(V73="Public",1,0))))</f>
        <v/>
      </c>
      <c r="AA73" s="9">
        <f>(U73*0.4)+(W73*0.3)+(IF(Z73="Critical",10,IF(Z73="High",7,IF(Z73="Medium",4,1)))*0.2)+(IF(Y73="YES",10,0)*0.1)</f>
        <v/>
      </c>
      <c r="AB73" s="9">
        <f>IF(G73="YES",2.0,0)+IF(H73="YES",2.0,0)</f>
        <v/>
      </c>
      <c r="AC73" s="9" t="n">
        <v>0</v>
      </c>
      <c r="AD73" s="9">
        <f>K73+AB73+AC73</f>
        <v/>
      </c>
      <c r="AE73" s="9">
        <f>(AD73*0.6)+(AA73*0.4)</f>
        <v/>
      </c>
      <c r="AF73">
        <f>IF(AE73&gt;=9,"Critical",IF(AE73&gt;=7,"High",IF(AE73&gt;=4,"Medium","Low")))</f>
        <v/>
      </c>
    </row>
    <row r="74">
      <c r="F74" t="n">
        <v>1</v>
      </c>
      <c r="I74">
        <f>IF(D74="","",TODAY()-D74)</f>
        <v/>
      </c>
      <c r="K74">
        <f>IF(J74="v4.0",L74,IF(J74="v3.1",M74,IF(J74="Both",L74,IF(AND(L74&lt;&gt;"",M74=""),L74,M74))))</f>
        <v/>
      </c>
      <c r="U74">
        <f>IF(T74="Tier 1",10,IF(T74="Tier 2",7,IF(T74="Tier 3",4,IF(T74="Tier 4",1,0))))</f>
        <v/>
      </c>
      <c r="W74">
        <f>IF(V74="Restricted",10,IF(V74="Confidential",7,IF(V74="Internal",4,IF(V74="Public",1,0))))</f>
        <v/>
      </c>
      <c r="AA74" s="9">
        <f>(U74*0.4)+(W74*0.3)+(IF(Z74="Critical",10,IF(Z74="High",7,IF(Z74="Medium",4,1)))*0.2)+(IF(Y74="YES",10,0)*0.1)</f>
        <v/>
      </c>
      <c r="AB74" s="9">
        <f>IF(G74="YES",2.0,0)+IF(H74="YES",2.0,0)</f>
        <v/>
      </c>
      <c r="AC74" s="9" t="n">
        <v>0</v>
      </c>
      <c r="AD74" s="9">
        <f>K74+AB74+AC74</f>
        <v/>
      </c>
      <c r="AE74" s="9">
        <f>(AD74*0.6)+(AA74*0.4)</f>
        <v/>
      </c>
      <c r="AF74">
        <f>IF(AE74&gt;=9,"Critical",IF(AE74&gt;=7,"High",IF(AE74&gt;=4,"Medium","Low")))</f>
        <v/>
      </c>
    </row>
    <row r="75">
      <c r="F75" t="n">
        <v>1</v>
      </c>
      <c r="I75">
        <f>IF(D75="","",TODAY()-D75)</f>
        <v/>
      </c>
      <c r="K75">
        <f>IF(J75="v4.0",L75,IF(J75="v3.1",M75,IF(J75="Both",L75,IF(AND(L75&lt;&gt;"",M75=""),L75,M75))))</f>
        <v/>
      </c>
      <c r="U75">
        <f>IF(T75="Tier 1",10,IF(T75="Tier 2",7,IF(T75="Tier 3",4,IF(T75="Tier 4",1,0))))</f>
        <v/>
      </c>
      <c r="W75">
        <f>IF(V75="Restricted",10,IF(V75="Confidential",7,IF(V75="Internal",4,IF(V75="Public",1,0))))</f>
        <v/>
      </c>
      <c r="AA75" s="9">
        <f>(U75*0.4)+(W75*0.3)+(IF(Z75="Critical",10,IF(Z75="High",7,IF(Z75="Medium",4,1)))*0.2)+(IF(Y75="YES",10,0)*0.1)</f>
        <v/>
      </c>
      <c r="AB75" s="9">
        <f>IF(G75="YES",2.0,0)+IF(H75="YES",2.0,0)</f>
        <v/>
      </c>
      <c r="AC75" s="9" t="n">
        <v>0</v>
      </c>
      <c r="AD75" s="9">
        <f>K75+AB75+AC75</f>
        <v/>
      </c>
      <c r="AE75" s="9">
        <f>(AD75*0.6)+(AA75*0.4)</f>
        <v/>
      </c>
      <c r="AF75">
        <f>IF(AE75&gt;=9,"Critical",IF(AE75&gt;=7,"High",IF(AE75&gt;=4,"Medium","Low")))</f>
        <v/>
      </c>
    </row>
    <row r="76">
      <c r="F76" t="n">
        <v>1</v>
      </c>
      <c r="I76">
        <f>IF(D76="","",TODAY()-D76)</f>
        <v/>
      </c>
      <c r="K76">
        <f>IF(J76="v4.0",L76,IF(J76="v3.1",M76,IF(J76="Both",L76,IF(AND(L76&lt;&gt;"",M76=""),L76,M76))))</f>
        <v/>
      </c>
      <c r="U76">
        <f>IF(T76="Tier 1",10,IF(T76="Tier 2",7,IF(T76="Tier 3",4,IF(T76="Tier 4",1,0))))</f>
        <v/>
      </c>
      <c r="W76">
        <f>IF(V76="Restricted",10,IF(V76="Confidential",7,IF(V76="Internal",4,IF(V76="Public",1,0))))</f>
        <v/>
      </c>
      <c r="AA76" s="9">
        <f>(U76*0.4)+(W76*0.3)+(IF(Z76="Critical",10,IF(Z76="High",7,IF(Z76="Medium",4,1)))*0.2)+(IF(Y76="YES",10,0)*0.1)</f>
        <v/>
      </c>
      <c r="AB76" s="9">
        <f>IF(G76="YES",2.0,0)+IF(H76="YES",2.0,0)</f>
        <v/>
      </c>
      <c r="AC76" s="9" t="n">
        <v>0</v>
      </c>
      <c r="AD76" s="9">
        <f>K76+AB76+AC76</f>
        <v/>
      </c>
      <c r="AE76" s="9">
        <f>(AD76*0.6)+(AA76*0.4)</f>
        <v/>
      </c>
      <c r="AF76">
        <f>IF(AE76&gt;=9,"Critical",IF(AE76&gt;=7,"High",IF(AE76&gt;=4,"Medium","Low")))</f>
        <v/>
      </c>
    </row>
    <row r="77">
      <c r="F77" t="n">
        <v>1</v>
      </c>
      <c r="I77">
        <f>IF(D77="","",TODAY()-D77)</f>
        <v/>
      </c>
      <c r="K77">
        <f>IF(J77="v4.0",L77,IF(J77="v3.1",M77,IF(J77="Both",L77,IF(AND(L77&lt;&gt;"",M77=""),L77,M77))))</f>
        <v/>
      </c>
      <c r="U77">
        <f>IF(T77="Tier 1",10,IF(T77="Tier 2",7,IF(T77="Tier 3",4,IF(T77="Tier 4",1,0))))</f>
        <v/>
      </c>
      <c r="W77">
        <f>IF(V77="Restricted",10,IF(V77="Confidential",7,IF(V77="Internal",4,IF(V77="Public",1,0))))</f>
        <v/>
      </c>
      <c r="AA77" s="9">
        <f>(U77*0.4)+(W77*0.3)+(IF(Z77="Critical",10,IF(Z77="High",7,IF(Z77="Medium",4,1)))*0.2)+(IF(Y77="YES",10,0)*0.1)</f>
        <v/>
      </c>
      <c r="AB77" s="9">
        <f>IF(G77="YES",2.0,0)+IF(H77="YES",2.0,0)</f>
        <v/>
      </c>
      <c r="AC77" s="9" t="n">
        <v>0</v>
      </c>
      <c r="AD77" s="9">
        <f>K77+AB77+AC77</f>
        <v/>
      </c>
      <c r="AE77" s="9">
        <f>(AD77*0.6)+(AA77*0.4)</f>
        <v/>
      </c>
      <c r="AF77">
        <f>IF(AE77&gt;=9,"Critical",IF(AE77&gt;=7,"High",IF(AE77&gt;=4,"Medium","Low")))</f>
        <v/>
      </c>
    </row>
    <row r="78">
      <c r="F78" t="n">
        <v>1</v>
      </c>
      <c r="I78">
        <f>IF(D78="","",TODAY()-D78)</f>
        <v/>
      </c>
      <c r="K78">
        <f>IF(J78="v4.0",L78,IF(J78="v3.1",M78,IF(J78="Both",L78,IF(AND(L78&lt;&gt;"",M78=""),L78,M78))))</f>
        <v/>
      </c>
      <c r="U78">
        <f>IF(T78="Tier 1",10,IF(T78="Tier 2",7,IF(T78="Tier 3",4,IF(T78="Tier 4",1,0))))</f>
        <v/>
      </c>
      <c r="W78">
        <f>IF(V78="Restricted",10,IF(V78="Confidential",7,IF(V78="Internal",4,IF(V78="Public",1,0))))</f>
        <v/>
      </c>
      <c r="AA78" s="9">
        <f>(U78*0.4)+(W78*0.3)+(IF(Z78="Critical",10,IF(Z78="High",7,IF(Z78="Medium",4,1)))*0.2)+(IF(Y78="YES",10,0)*0.1)</f>
        <v/>
      </c>
      <c r="AB78" s="9">
        <f>IF(G78="YES",2.0,0)+IF(H78="YES",2.0,0)</f>
        <v/>
      </c>
      <c r="AC78" s="9" t="n">
        <v>0</v>
      </c>
      <c r="AD78" s="9">
        <f>K78+AB78+AC78</f>
        <v/>
      </c>
      <c r="AE78" s="9">
        <f>(AD78*0.6)+(AA78*0.4)</f>
        <v/>
      </c>
      <c r="AF78">
        <f>IF(AE78&gt;=9,"Critical",IF(AE78&gt;=7,"High",IF(AE78&gt;=4,"Medium","Low")))</f>
        <v/>
      </c>
    </row>
    <row r="79">
      <c r="F79" t="n">
        <v>1</v>
      </c>
      <c r="I79">
        <f>IF(D79="","",TODAY()-D79)</f>
        <v/>
      </c>
      <c r="K79">
        <f>IF(J79="v4.0",L79,IF(J79="v3.1",M79,IF(J79="Both",L79,IF(AND(L79&lt;&gt;"",M79=""),L79,M79))))</f>
        <v/>
      </c>
      <c r="U79">
        <f>IF(T79="Tier 1",10,IF(T79="Tier 2",7,IF(T79="Tier 3",4,IF(T79="Tier 4",1,0))))</f>
        <v/>
      </c>
      <c r="W79">
        <f>IF(V79="Restricted",10,IF(V79="Confidential",7,IF(V79="Internal",4,IF(V79="Public",1,0))))</f>
        <v/>
      </c>
      <c r="AA79" s="9">
        <f>(U79*0.4)+(W79*0.3)+(IF(Z79="Critical",10,IF(Z79="High",7,IF(Z79="Medium",4,1)))*0.2)+(IF(Y79="YES",10,0)*0.1)</f>
        <v/>
      </c>
      <c r="AB79" s="9">
        <f>IF(G79="YES",2.0,0)+IF(H79="YES",2.0,0)</f>
        <v/>
      </c>
      <c r="AC79" s="9" t="n">
        <v>0</v>
      </c>
      <c r="AD79" s="9">
        <f>K79+AB79+AC79</f>
        <v/>
      </c>
      <c r="AE79" s="9">
        <f>(AD79*0.6)+(AA79*0.4)</f>
        <v/>
      </c>
      <c r="AF79">
        <f>IF(AE79&gt;=9,"Critical",IF(AE79&gt;=7,"High",IF(AE79&gt;=4,"Medium","Low")))</f>
        <v/>
      </c>
    </row>
    <row r="80">
      <c r="F80" t="n">
        <v>1</v>
      </c>
      <c r="I80">
        <f>IF(D80="","",TODAY()-D80)</f>
        <v/>
      </c>
      <c r="K80">
        <f>IF(J80="v4.0",L80,IF(J80="v3.1",M80,IF(J80="Both",L80,IF(AND(L80&lt;&gt;"",M80=""),L80,M80))))</f>
        <v/>
      </c>
      <c r="U80">
        <f>IF(T80="Tier 1",10,IF(T80="Tier 2",7,IF(T80="Tier 3",4,IF(T80="Tier 4",1,0))))</f>
        <v/>
      </c>
      <c r="W80">
        <f>IF(V80="Restricted",10,IF(V80="Confidential",7,IF(V80="Internal",4,IF(V80="Public",1,0))))</f>
        <v/>
      </c>
      <c r="AA80" s="9">
        <f>(U80*0.4)+(W80*0.3)+(IF(Z80="Critical",10,IF(Z80="High",7,IF(Z80="Medium",4,1)))*0.2)+(IF(Y80="YES",10,0)*0.1)</f>
        <v/>
      </c>
      <c r="AB80" s="9">
        <f>IF(G80="YES",2.0,0)+IF(H80="YES",2.0,0)</f>
        <v/>
      </c>
      <c r="AC80" s="9" t="n">
        <v>0</v>
      </c>
      <c r="AD80" s="9">
        <f>K80+AB80+AC80</f>
        <v/>
      </c>
      <c r="AE80" s="9">
        <f>(AD80*0.6)+(AA80*0.4)</f>
        <v/>
      </c>
      <c r="AF80">
        <f>IF(AE80&gt;=9,"Critical",IF(AE80&gt;=7,"High",IF(AE80&gt;=4,"Medium","Low")))</f>
        <v/>
      </c>
    </row>
    <row r="81">
      <c r="F81" t="n">
        <v>1</v>
      </c>
      <c r="I81">
        <f>IF(D81="","",TODAY()-D81)</f>
        <v/>
      </c>
      <c r="K81">
        <f>IF(J81="v4.0",L81,IF(J81="v3.1",M81,IF(J81="Both",L81,IF(AND(L81&lt;&gt;"",M81=""),L81,M81))))</f>
        <v/>
      </c>
      <c r="U81">
        <f>IF(T81="Tier 1",10,IF(T81="Tier 2",7,IF(T81="Tier 3",4,IF(T81="Tier 4",1,0))))</f>
        <v/>
      </c>
      <c r="W81">
        <f>IF(V81="Restricted",10,IF(V81="Confidential",7,IF(V81="Internal",4,IF(V81="Public",1,0))))</f>
        <v/>
      </c>
      <c r="AA81" s="9">
        <f>(U81*0.4)+(W81*0.3)+(IF(Z81="Critical",10,IF(Z81="High",7,IF(Z81="Medium",4,1)))*0.2)+(IF(Y81="YES",10,0)*0.1)</f>
        <v/>
      </c>
      <c r="AB81" s="9">
        <f>IF(G81="YES",2.0,0)+IF(H81="YES",2.0,0)</f>
        <v/>
      </c>
      <c r="AC81" s="9" t="n">
        <v>0</v>
      </c>
      <c r="AD81" s="9">
        <f>K81+AB81+AC81</f>
        <v/>
      </c>
      <c r="AE81" s="9">
        <f>(AD81*0.6)+(AA81*0.4)</f>
        <v/>
      </c>
      <c r="AF81">
        <f>IF(AE81&gt;=9,"Critical",IF(AE81&gt;=7,"High",IF(AE81&gt;=4,"Medium","Low")))</f>
        <v/>
      </c>
    </row>
    <row r="82">
      <c r="F82" t="n">
        <v>1</v>
      </c>
      <c r="I82">
        <f>IF(D82="","",TODAY()-D82)</f>
        <v/>
      </c>
      <c r="K82">
        <f>IF(J82="v4.0",L82,IF(J82="v3.1",M82,IF(J82="Both",L82,IF(AND(L82&lt;&gt;"",M82=""),L82,M82))))</f>
        <v/>
      </c>
      <c r="U82">
        <f>IF(T82="Tier 1",10,IF(T82="Tier 2",7,IF(T82="Tier 3",4,IF(T82="Tier 4",1,0))))</f>
        <v/>
      </c>
      <c r="W82">
        <f>IF(V82="Restricted",10,IF(V82="Confidential",7,IF(V82="Internal",4,IF(V82="Public",1,0))))</f>
        <v/>
      </c>
      <c r="AA82" s="9">
        <f>(U82*0.4)+(W82*0.3)+(IF(Z82="Critical",10,IF(Z82="High",7,IF(Z82="Medium",4,1)))*0.2)+(IF(Y82="YES",10,0)*0.1)</f>
        <v/>
      </c>
      <c r="AB82" s="9">
        <f>IF(G82="YES",2.0,0)+IF(H82="YES",2.0,0)</f>
        <v/>
      </c>
      <c r="AC82" s="9" t="n">
        <v>0</v>
      </c>
      <c r="AD82" s="9">
        <f>K82+AB82+AC82</f>
        <v/>
      </c>
      <c r="AE82" s="9">
        <f>(AD82*0.6)+(AA82*0.4)</f>
        <v/>
      </c>
      <c r="AF82">
        <f>IF(AE82&gt;=9,"Critical",IF(AE82&gt;=7,"High",IF(AE82&gt;=4,"Medium","Low")))</f>
        <v/>
      </c>
    </row>
    <row r="83">
      <c r="F83" t="n">
        <v>1</v>
      </c>
      <c r="I83">
        <f>IF(D83="","",TODAY()-D83)</f>
        <v/>
      </c>
      <c r="K83">
        <f>IF(J83="v4.0",L83,IF(J83="v3.1",M83,IF(J83="Both",L83,IF(AND(L83&lt;&gt;"",M83=""),L83,M83))))</f>
        <v/>
      </c>
      <c r="U83">
        <f>IF(T83="Tier 1",10,IF(T83="Tier 2",7,IF(T83="Tier 3",4,IF(T83="Tier 4",1,0))))</f>
        <v/>
      </c>
      <c r="W83">
        <f>IF(V83="Restricted",10,IF(V83="Confidential",7,IF(V83="Internal",4,IF(V83="Public",1,0))))</f>
        <v/>
      </c>
      <c r="AA83" s="9">
        <f>(U83*0.4)+(W83*0.3)+(IF(Z83="Critical",10,IF(Z83="High",7,IF(Z83="Medium",4,1)))*0.2)+(IF(Y83="YES",10,0)*0.1)</f>
        <v/>
      </c>
      <c r="AB83" s="9">
        <f>IF(G83="YES",2.0,0)+IF(H83="YES",2.0,0)</f>
        <v/>
      </c>
      <c r="AC83" s="9" t="n">
        <v>0</v>
      </c>
      <c r="AD83" s="9">
        <f>K83+AB83+AC83</f>
        <v/>
      </c>
      <c r="AE83" s="9">
        <f>(AD83*0.6)+(AA83*0.4)</f>
        <v/>
      </c>
      <c r="AF83">
        <f>IF(AE83&gt;=9,"Critical",IF(AE83&gt;=7,"High",IF(AE83&gt;=4,"Medium","Low")))</f>
        <v/>
      </c>
    </row>
    <row r="84">
      <c r="F84" t="n">
        <v>1</v>
      </c>
      <c r="I84">
        <f>IF(D84="","",TODAY()-D84)</f>
        <v/>
      </c>
      <c r="K84">
        <f>IF(J84="v4.0",L84,IF(J84="v3.1",M84,IF(J84="Both",L84,IF(AND(L84&lt;&gt;"",M84=""),L84,M84))))</f>
        <v/>
      </c>
      <c r="U84">
        <f>IF(T84="Tier 1",10,IF(T84="Tier 2",7,IF(T84="Tier 3",4,IF(T84="Tier 4",1,0))))</f>
        <v/>
      </c>
      <c r="W84">
        <f>IF(V84="Restricted",10,IF(V84="Confidential",7,IF(V84="Internal",4,IF(V84="Public",1,0))))</f>
        <v/>
      </c>
      <c r="AA84" s="9">
        <f>(U84*0.4)+(W84*0.3)+(IF(Z84="Critical",10,IF(Z84="High",7,IF(Z84="Medium",4,1)))*0.2)+(IF(Y84="YES",10,0)*0.1)</f>
        <v/>
      </c>
      <c r="AB84" s="9">
        <f>IF(G84="YES",2.0,0)+IF(H84="YES",2.0,0)</f>
        <v/>
      </c>
      <c r="AC84" s="9" t="n">
        <v>0</v>
      </c>
      <c r="AD84" s="9">
        <f>K84+AB84+AC84</f>
        <v/>
      </c>
      <c r="AE84" s="9">
        <f>(AD84*0.6)+(AA84*0.4)</f>
        <v/>
      </c>
      <c r="AF84">
        <f>IF(AE84&gt;=9,"Critical",IF(AE84&gt;=7,"High",IF(AE84&gt;=4,"Medium","Low")))</f>
        <v/>
      </c>
    </row>
    <row r="85">
      <c r="F85" t="n">
        <v>1</v>
      </c>
      <c r="I85">
        <f>IF(D85="","",TODAY()-D85)</f>
        <v/>
      </c>
      <c r="K85">
        <f>IF(J85="v4.0",L85,IF(J85="v3.1",M85,IF(J85="Both",L85,IF(AND(L85&lt;&gt;"",M85=""),L85,M85))))</f>
        <v/>
      </c>
      <c r="U85">
        <f>IF(T85="Tier 1",10,IF(T85="Tier 2",7,IF(T85="Tier 3",4,IF(T85="Tier 4",1,0))))</f>
        <v/>
      </c>
      <c r="W85">
        <f>IF(V85="Restricted",10,IF(V85="Confidential",7,IF(V85="Internal",4,IF(V85="Public",1,0))))</f>
        <v/>
      </c>
      <c r="AA85" s="9">
        <f>(U85*0.4)+(W85*0.3)+(IF(Z85="Critical",10,IF(Z85="High",7,IF(Z85="Medium",4,1)))*0.2)+(IF(Y85="YES",10,0)*0.1)</f>
        <v/>
      </c>
      <c r="AB85" s="9">
        <f>IF(G85="YES",2.0,0)+IF(H85="YES",2.0,0)</f>
        <v/>
      </c>
      <c r="AC85" s="9" t="n">
        <v>0</v>
      </c>
      <c r="AD85" s="9">
        <f>K85+AB85+AC85</f>
        <v/>
      </c>
      <c r="AE85" s="9">
        <f>(AD85*0.6)+(AA85*0.4)</f>
        <v/>
      </c>
      <c r="AF85">
        <f>IF(AE85&gt;=9,"Critical",IF(AE85&gt;=7,"High",IF(AE85&gt;=4,"Medium","Low")))</f>
        <v/>
      </c>
    </row>
    <row r="86">
      <c r="F86" t="n">
        <v>1</v>
      </c>
      <c r="I86">
        <f>IF(D86="","",TODAY()-D86)</f>
        <v/>
      </c>
      <c r="K86">
        <f>IF(J86="v4.0",L86,IF(J86="v3.1",M86,IF(J86="Both",L86,IF(AND(L86&lt;&gt;"",M86=""),L86,M86))))</f>
        <v/>
      </c>
      <c r="U86">
        <f>IF(T86="Tier 1",10,IF(T86="Tier 2",7,IF(T86="Tier 3",4,IF(T86="Tier 4",1,0))))</f>
        <v/>
      </c>
      <c r="W86">
        <f>IF(V86="Restricted",10,IF(V86="Confidential",7,IF(V86="Internal",4,IF(V86="Public",1,0))))</f>
        <v/>
      </c>
      <c r="AA86" s="9">
        <f>(U86*0.4)+(W86*0.3)+(IF(Z86="Critical",10,IF(Z86="High",7,IF(Z86="Medium",4,1)))*0.2)+(IF(Y86="YES",10,0)*0.1)</f>
        <v/>
      </c>
      <c r="AB86" s="9">
        <f>IF(G86="YES",2.0,0)+IF(H86="YES",2.0,0)</f>
        <v/>
      </c>
      <c r="AC86" s="9" t="n">
        <v>0</v>
      </c>
      <c r="AD86" s="9">
        <f>K86+AB86+AC86</f>
        <v/>
      </c>
      <c r="AE86" s="9">
        <f>(AD86*0.6)+(AA86*0.4)</f>
        <v/>
      </c>
      <c r="AF86">
        <f>IF(AE86&gt;=9,"Critical",IF(AE86&gt;=7,"High",IF(AE86&gt;=4,"Medium","Low")))</f>
        <v/>
      </c>
    </row>
    <row r="87">
      <c r="F87" t="n">
        <v>1</v>
      </c>
      <c r="I87">
        <f>IF(D87="","",TODAY()-D87)</f>
        <v/>
      </c>
      <c r="K87">
        <f>IF(J87="v4.0",L87,IF(J87="v3.1",M87,IF(J87="Both",L87,IF(AND(L87&lt;&gt;"",M87=""),L87,M87))))</f>
        <v/>
      </c>
      <c r="U87">
        <f>IF(T87="Tier 1",10,IF(T87="Tier 2",7,IF(T87="Tier 3",4,IF(T87="Tier 4",1,0))))</f>
        <v/>
      </c>
      <c r="W87">
        <f>IF(V87="Restricted",10,IF(V87="Confidential",7,IF(V87="Internal",4,IF(V87="Public",1,0))))</f>
        <v/>
      </c>
      <c r="AA87" s="9">
        <f>(U87*0.4)+(W87*0.3)+(IF(Z87="Critical",10,IF(Z87="High",7,IF(Z87="Medium",4,1)))*0.2)+(IF(Y87="YES",10,0)*0.1)</f>
        <v/>
      </c>
      <c r="AB87" s="9">
        <f>IF(G87="YES",2.0,0)+IF(H87="YES",2.0,0)</f>
        <v/>
      </c>
      <c r="AC87" s="9" t="n">
        <v>0</v>
      </c>
      <c r="AD87" s="9">
        <f>K87+AB87+AC87</f>
        <v/>
      </c>
      <c r="AE87" s="9">
        <f>(AD87*0.6)+(AA87*0.4)</f>
        <v/>
      </c>
      <c r="AF87">
        <f>IF(AE87&gt;=9,"Critical",IF(AE87&gt;=7,"High",IF(AE87&gt;=4,"Medium","Low")))</f>
        <v/>
      </c>
    </row>
    <row r="88">
      <c r="F88" t="n">
        <v>1</v>
      </c>
      <c r="I88">
        <f>IF(D88="","",TODAY()-D88)</f>
        <v/>
      </c>
      <c r="K88">
        <f>IF(J88="v4.0",L88,IF(J88="v3.1",M88,IF(J88="Both",L88,IF(AND(L88&lt;&gt;"",M88=""),L88,M88))))</f>
        <v/>
      </c>
      <c r="U88">
        <f>IF(T88="Tier 1",10,IF(T88="Tier 2",7,IF(T88="Tier 3",4,IF(T88="Tier 4",1,0))))</f>
        <v/>
      </c>
      <c r="W88">
        <f>IF(V88="Restricted",10,IF(V88="Confidential",7,IF(V88="Internal",4,IF(V88="Public",1,0))))</f>
        <v/>
      </c>
      <c r="AA88" s="9">
        <f>(U88*0.4)+(W88*0.3)+(IF(Z88="Critical",10,IF(Z88="High",7,IF(Z88="Medium",4,1)))*0.2)+(IF(Y88="YES",10,0)*0.1)</f>
        <v/>
      </c>
      <c r="AB88" s="9">
        <f>IF(G88="YES",2.0,0)+IF(H88="YES",2.0,0)</f>
        <v/>
      </c>
      <c r="AC88" s="9" t="n">
        <v>0</v>
      </c>
      <c r="AD88" s="9">
        <f>K88+AB88+AC88</f>
        <v/>
      </c>
      <c r="AE88" s="9">
        <f>(AD88*0.6)+(AA88*0.4)</f>
        <v/>
      </c>
      <c r="AF88">
        <f>IF(AE88&gt;=9,"Critical",IF(AE88&gt;=7,"High",IF(AE88&gt;=4,"Medium","Low")))</f>
        <v/>
      </c>
    </row>
    <row r="89">
      <c r="F89" t="n">
        <v>1</v>
      </c>
      <c r="I89">
        <f>IF(D89="","",TODAY()-D89)</f>
        <v/>
      </c>
      <c r="K89">
        <f>IF(J89="v4.0",L89,IF(J89="v3.1",M89,IF(J89="Both",L89,IF(AND(L89&lt;&gt;"",M89=""),L89,M89))))</f>
        <v/>
      </c>
      <c r="U89">
        <f>IF(T89="Tier 1",10,IF(T89="Tier 2",7,IF(T89="Tier 3",4,IF(T89="Tier 4",1,0))))</f>
        <v/>
      </c>
      <c r="W89">
        <f>IF(V89="Restricted",10,IF(V89="Confidential",7,IF(V89="Internal",4,IF(V89="Public",1,0))))</f>
        <v/>
      </c>
      <c r="AA89" s="9">
        <f>(U89*0.4)+(W89*0.3)+(IF(Z89="Critical",10,IF(Z89="High",7,IF(Z89="Medium",4,1)))*0.2)+(IF(Y89="YES",10,0)*0.1)</f>
        <v/>
      </c>
      <c r="AB89" s="9">
        <f>IF(G89="YES",2.0,0)+IF(H89="YES",2.0,0)</f>
        <v/>
      </c>
      <c r="AC89" s="9" t="n">
        <v>0</v>
      </c>
      <c r="AD89" s="9">
        <f>K89+AB89+AC89</f>
        <v/>
      </c>
      <c r="AE89" s="9">
        <f>(AD89*0.6)+(AA89*0.4)</f>
        <v/>
      </c>
      <c r="AF89">
        <f>IF(AE89&gt;=9,"Critical",IF(AE89&gt;=7,"High",IF(AE89&gt;=4,"Medium","Low")))</f>
        <v/>
      </c>
    </row>
    <row r="90">
      <c r="F90" t="n">
        <v>1</v>
      </c>
      <c r="I90">
        <f>IF(D90="","",TODAY()-D90)</f>
        <v/>
      </c>
      <c r="K90">
        <f>IF(J90="v4.0",L90,IF(J90="v3.1",M90,IF(J90="Both",L90,IF(AND(L90&lt;&gt;"",M90=""),L90,M90))))</f>
        <v/>
      </c>
      <c r="U90">
        <f>IF(T90="Tier 1",10,IF(T90="Tier 2",7,IF(T90="Tier 3",4,IF(T90="Tier 4",1,0))))</f>
        <v/>
      </c>
      <c r="W90">
        <f>IF(V90="Restricted",10,IF(V90="Confidential",7,IF(V90="Internal",4,IF(V90="Public",1,0))))</f>
        <v/>
      </c>
      <c r="AA90" s="9">
        <f>(U90*0.4)+(W90*0.3)+(IF(Z90="Critical",10,IF(Z90="High",7,IF(Z90="Medium",4,1)))*0.2)+(IF(Y90="YES",10,0)*0.1)</f>
        <v/>
      </c>
      <c r="AB90" s="9">
        <f>IF(G90="YES",2.0,0)+IF(H90="YES",2.0,0)</f>
        <v/>
      </c>
      <c r="AC90" s="9" t="n">
        <v>0</v>
      </c>
      <c r="AD90" s="9">
        <f>K90+AB90+AC90</f>
        <v/>
      </c>
      <c r="AE90" s="9">
        <f>(AD90*0.6)+(AA90*0.4)</f>
        <v/>
      </c>
      <c r="AF90">
        <f>IF(AE90&gt;=9,"Critical",IF(AE90&gt;=7,"High",IF(AE90&gt;=4,"Medium","Low")))</f>
        <v/>
      </c>
    </row>
    <row r="91">
      <c r="F91" t="n">
        <v>1</v>
      </c>
      <c r="I91">
        <f>IF(D91="","",TODAY()-D91)</f>
        <v/>
      </c>
      <c r="K91">
        <f>IF(J91="v4.0",L91,IF(J91="v3.1",M91,IF(J91="Both",L91,IF(AND(L91&lt;&gt;"",M91=""),L91,M91))))</f>
        <v/>
      </c>
      <c r="U91">
        <f>IF(T91="Tier 1",10,IF(T91="Tier 2",7,IF(T91="Tier 3",4,IF(T91="Tier 4",1,0))))</f>
        <v/>
      </c>
      <c r="W91">
        <f>IF(V91="Restricted",10,IF(V91="Confidential",7,IF(V91="Internal",4,IF(V91="Public",1,0))))</f>
        <v/>
      </c>
      <c r="AA91" s="9">
        <f>(U91*0.4)+(W91*0.3)+(IF(Z91="Critical",10,IF(Z91="High",7,IF(Z91="Medium",4,1)))*0.2)+(IF(Y91="YES",10,0)*0.1)</f>
        <v/>
      </c>
      <c r="AB91" s="9">
        <f>IF(G91="YES",2.0,0)+IF(H91="YES",2.0,0)</f>
        <v/>
      </c>
      <c r="AC91" s="9" t="n">
        <v>0</v>
      </c>
      <c r="AD91" s="9">
        <f>K91+AB91+AC91</f>
        <v/>
      </c>
      <c r="AE91" s="9">
        <f>(AD91*0.6)+(AA91*0.4)</f>
        <v/>
      </c>
      <c r="AF91">
        <f>IF(AE91&gt;=9,"Critical",IF(AE91&gt;=7,"High",IF(AE91&gt;=4,"Medium","Low")))</f>
        <v/>
      </c>
    </row>
    <row r="92">
      <c r="F92" t="n">
        <v>1</v>
      </c>
      <c r="I92">
        <f>IF(D92="","",TODAY()-D92)</f>
        <v/>
      </c>
      <c r="K92">
        <f>IF(J92="v4.0",L92,IF(J92="v3.1",M92,IF(J92="Both",L92,IF(AND(L92&lt;&gt;"",M92=""),L92,M92))))</f>
        <v/>
      </c>
      <c r="U92">
        <f>IF(T92="Tier 1",10,IF(T92="Tier 2",7,IF(T92="Tier 3",4,IF(T92="Tier 4",1,0))))</f>
        <v/>
      </c>
      <c r="W92">
        <f>IF(V92="Restricted",10,IF(V92="Confidential",7,IF(V92="Internal",4,IF(V92="Public",1,0))))</f>
        <v/>
      </c>
      <c r="AA92" s="9">
        <f>(U92*0.4)+(W92*0.3)+(IF(Z92="Critical",10,IF(Z92="High",7,IF(Z92="Medium",4,1)))*0.2)+(IF(Y92="YES",10,0)*0.1)</f>
        <v/>
      </c>
      <c r="AB92" s="9">
        <f>IF(G92="YES",2.0,0)+IF(H92="YES",2.0,0)</f>
        <v/>
      </c>
      <c r="AC92" s="9" t="n">
        <v>0</v>
      </c>
      <c r="AD92" s="9">
        <f>K92+AB92+AC92</f>
        <v/>
      </c>
      <c r="AE92" s="9">
        <f>(AD92*0.6)+(AA92*0.4)</f>
        <v/>
      </c>
      <c r="AF92">
        <f>IF(AE92&gt;=9,"Critical",IF(AE92&gt;=7,"High",IF(AE92&gt;=4,"Medium","Low")))</f>
        <v/>
      </c>
    </row>
    <row r="93">
      <c r="F93" t="n">
        <v>1</v>
      </c>
      <c r="I93">
        <f>IF(D93="","",TODAY()-D93)</f>
        <v/>
      </c>
      <c r="K93">
        <f>IF(J93="v4.0",L93,IF(J93="v3.1",M93,IF(J93="Both",L93,IF(AND(L93&lt;&gt;"",M93=""),L93,M93))))</f>
        <v/>
      </c>
      <c r="U93">
        <f>IF(T93="Tier 1",10,IF(T93="Tier 2",7,IF(T93="Tier 3",4,IF(T93="Tier 4",1,0))))</f>
        <v/>
      </c>
      <c r="W93">
        <f>IF(V93="Restricted",10,IF(V93="Confidential",7,IF(V93="Internal",4,IF(V93="Public",1,0))))</f>
        <v/>
      </c>
      <c r="AA93" s="9">
        <f>(U93*0.4)+(W93*0.3)+(IF(Z93="Critical",10,IF(Z93="High",7,IF(Z93="Medium",4,1)))*0.2)+(IF(Y93="YES",10,0)*0.1)</f>
        <v/>
      </c>
      <c r="AB93" s="9">
        <f>IF(G93="YES",2.0,0)+IF(H93="YES",2.0,0)</f>
        <v/>
      </c>
      <c r="AC93" s="9" t="n">
        <v>0</v>
      </c>
      <c r="AD93" s="9">
        <f>K93+AB93+AC93</f>
        <v/>
      </c>
      <c r="AE93" s="9">
        <f>(AD93*0.6)+(AA93*0.4)</f>
        <v/>
      </c>
      <c r="AF93">
        <f>IF(AE93&gt;=9,"Critical",IF(AE93&gt;=7,"High",IF(AE93&gt;=4,"Medium","Low")))</f>
        <v/>
      </c>
    </row>
    <row r="94">
      <c r="F94" t="n">
        <v>1</v>
      </c>
      <c r="I94">
        <f>IF(D94="","",TODAY()-D94)</f>
        <v/>
      </c>
      <c r="K94">
        <f>IF(J94="v4.0",L94,IF(J94="v3.1",M94,IF(J94="Both",L94,IF(AND(L94&lt;&gt;"",M94=""),L94,M94))))</f>
        <v/>
      </c>
      <c r="U94">
        <f>IF(T94="Tier 1",10,IF(T94="Tier 2",7,IF(T94="Tier 3",4,IF(T94="Tier 4",1,0))))</f>
        <v/>
      </c>
      <c r="W94">
        <f>IF(V94="Restricted",10,IF(V94="Confidential",7,IF(V94="Internal",4,IF(V94="Public",1,0))))</f>
        <v/>
      </c>
      <c r="AA94" s="9">
        <f>(U94*0.4)+(W94*0.3)+(IF(Z94="Critical",10,IF(Z94="High",7,IF(Z94="Medium",4,1)))*0.2)+(IF(Y94="YES",10,0)*0.1)</f>
        <v/>
      </c>
      <c r="AB94" s="9">
        <f>IF(G94="YES",2.0,0)+IF(H94="YES",2.0,0)</f>
        <v/>
      </c>
      <c r="AC94" s="9" t="n">
        <v>0</v>
      </c>
      <c r="AD94" s="9">
        <f>K94+AB94+AC94</f>
        <v/>
      </c>
      <c r="AE94" s="9">
        <f>(AD94*0.6)+(AA94*0.4)</f>
        <v/>
      </c>
      <c r="AF94">
        <f>IF(AE94&gt;=9,"Critical",IF(AE94&gt;=7,"High",IF(AE94&gt;=4,"Medium","Low")))</f>
        <v/>
      </c>
    </row>
    <row r="95">
      <c r="F95" t="n">
        <v>1</v>
      </c>
      <c r="I95">
        <f>IF(D95="","",TODAY()-D95)</f>
        <v/>
      </c>
      <c r="K95">
        <f>IF(J95="v4.0",L95,IF(J95="v3.1",M95,IF(J95="Both",L95,IF(AND(L95&lt;&gt;"",M95=""),L95,M95))))</f>
        <v/>
      </c>
      <c r="U95">
        <f>IF(T95="Tier 1",10,IF(T95="Tier 2",7,IF(T95="Tier 3",4,IF(T95="Tier 4",1,0))))</f>
        <v/>
      </c>
      <c r="W95">
        <f>IF(V95="Restricted",10,IF(V95="Confidential",7,IF(V95="Internal",4,IF(V95="Public",1,0))))</f>
        <v/>
      </c>
      <c r="AA95" s="9">
        <f>(U95*0.4)+(W95*0.3)+(IF(Z95="Critical",10,IF(Z95="High",7,IF(Z95="Medium",4,1)))*0.2)+(IF(Y95="YES",10,0)*0.1)</f>
        <v/>
      </c>
      <c r="AB95" s="9">
        <f>IF(G95="YES",2.0,0)+IF(H95="YES",2.0,0)</f>
        <v/>
      </c>
      <c r="AC95" s="9" t="n">
        <v>0</v>
      </c>
      <c r="AD95" s="9">
        <f>K95+AB95+AC95</f>
        <v/>
      </c>
      <c r="AE95" s="9">
        <f>(AD95*0.6)+(AA95*0.4)</f>
        <v/>
      </c>
      <c r="AF95">
        <f>IF(AE95&gt;=9,"Critical",IF(AE95&gt;=7,"High",IF(AE95&gt;=4,"Medium","Low")))</f>
        <v/>
      </c>
    </row>
    <row r="96">
      <c r="F96" t="n">
        <v>1</v>
      </c>
      <c r="I96">
        <f>IF(D96="","",TODAY()-D96)</f>
        <v/>
      </c>
      <c r="K96">
        <f>IF(J96="v4.0",L96,IF(J96="v3.1",M96,IF(J96="Both",L96,IF(AND(L96&lt;&gt;"",M96=""),L96,M96))))</f>
        <v/>
      </c>
      <c r="U96">
        <f>IF(T96="Tier 1",10,IF(T96="Tier 2",7,IF(T96="Tier 3",4,IF(T96="Tier 4",1,0))))</f>
        <v/>
      </c>
      <c r="W96">
        <f>IF(V96="Restricted",10,IF(V96="Confidential",7,IF(V96="Internal",4,IF(V96="Public",1,0))))</f>
        <v/>
      </c>
      <c r="AA96" s="9">
        <f>(U96*0.4)+(W96*0.3)+(IF(Z96="Critical",10,IF(Z96="High",7,IF(Z96="Medium",4,1)))*0.2)+(IF(Y96="YES",10,0)*0.1)</f>
        <v/>
      </c>
      <c r="AB96" s="9">
        <f>IF(G96="YES",2.0,0)+IF(H96="YES",2.0,0)</f>
        <v/>
      </c>
      <c r="AC96" s="9" t="n">
        <v>0</v>
      </c>
      <c r="AD96" s="9">
        <f>K96+AB96+AC96</f>
        <v/>
      </c>
      <c r="AE96" s="9">
        <f>(AD96*0.6)+(AA96*0.4)</f>
        <v/>
      </c>
      <c r="AF96">
        <f>IF(AE96&gt;=9,"Critical",IF(AE96&gt;=7,"High",IF(AE96&gt;=4,"Medium","Low")))</f>
        <v/>
      </c>
    </row>
    <row r="97">
      <c r="F97" t="n">
        <v>1</v>
      </c>
      <c r="I97">
        <f>IF(D97="","",TODAY()-D97)</f>
        <v/>
      </c>
      <c r="K97">
        <f>IF(J97="v4.0",L97,IF(J97="v3.1",M97,IF(J97="Both",L97,IF(AND(L97&lt;&gt;"",M97=""),L97,M97))))</f>
        <v/>
      </c>
      <c r="U97">
        <f>IF(T97="Tier 1",10,IF(T97="Tier 2",7,IF(T97="Tier 3",4,IF(T97="Tier 4",1,0))))</f>
        <v/>
      </c>
      <c r="W97">
        <f>IF(V97="Restricted",10,IF(V97="Confidential",7,IF(V97="Internal",4,IF(V97="Public",1,0))))</f>
        <v/>
      </c>
      <c r="AA97" s="9">
        <f>(U97*0.4)+(W97*0.3)+(IF(Z97="Critical",10,IF(Z97="High",7,IF(Z97="Medium",4,1)))*0.2)+(IF(Y97="YES",10,0)*0.1)</f>
        <v/>
      </c>
      <c r="AB97" s="9">
        <f>IF(G97="YES",2.0,0)+IF(H97="YES",2.0,0)</f>
        <v/>
      </c>
      <c r="AC97" s="9" t="n">
        <v>0</v>
      </c>
      <c r="AD97" s="9">
        <f>K97+AB97+AC97</f>
        <v/>
      </c>
      <c r="AE97" s="9">
        <f>(AD97*0.6)+(AA97*0.4)</f>
        <v/>
      </c>
      <c r="AF97">
        <f>IF(AE97&gt;=9,"Critical",IF(AE97&gt;=7,"High",IF(AE97&gt;=4,"Medium","Low")))</f>
        <v/>
      </c>
    </row>
    <row r="98">
      <c r="F98" t="n">
        <v>1</v>
      </c>
      <c r="I98">
        <f>IF(D98="","",TODAY()-D98)</f>
        <v/>
      </c>
      <c r="K98">
        <f>IF(J98="v4.0",L98,IF(J98="v3.1",M98,IF(J98="Both",L98,IF(AND(L98&lt;&gt;"",M98=""),L98,M98))))</f>
        <v/>
      </c>
      <c r="U98">
        <f>IF(T98="Tier 1",10,IF(T98="Tier 2",7,IF(T98="Tier 3",4,IF(T98="Tier 4",1,0))))</f>
        <v/>
      </c>
      <c r="W98">
        <f>IF(V98="Restricted",10,IF(V98="Confidential",7,IF(V98="Internal",4,IF(V98="Public",1,0))))</f>
        <v/>
      </c>
      <c r="AA98" s="9">
        <f>(U98*0.4)+(W98*0.3)+(IF(Z98="Critical",10,IF(Z98="High",7,IF(Z98="Medium",4,1)))*0.2)+(IF(Y98="YES",10,0)*0.1)</f>
        <v/>
      </c>
      <c r="AB98" s="9">
        <f>IF(G98="YES",2.0,0)+IF(H98="YES",2.0,0)</f>
        <v/>
      </c>
      <c r="AC98" s="9" t="n">
        <v>0</v>
      </c>
      <c r="AD98" s="9">
        <f>K98+AB98+AC98</f>
        <v/>
      </c>
      <c r="AE98" s="9">
        <f>(AD98*0.6)+(AA98*0.4)</f>
        <v/>
      </c>
      <c r="AF98">
        <f>IF(AE98&gt;=9,"Critical",IF(AE98&gt;=7,"High",IF(AE98&gt;=4,"Medium","Low")))</f>
        <v/>
      </c>
    </row>
    <row r="99">
      <c r="F99" t="n">
        <v>1</v>
      </c>
      <c r="I99">
        <f>IF(D99="","",TODAY()-D99)</f>
        <v/>
      </c>
      <c r="K99">
        <f>IF(J99="v4.0",L99,IF(J99="v3.1",M99,IF(J99="Both",L99,IF(AND(L99&lt;&gt;"",M99=""),L99,M99))))</f>
        <v/>
      </c>
      <c r="U99">
        <f>IF(T99="Tier 1",10,IF(T99="Tier 2",7,IF(T99="Tier 3",4,IF(T99="Tier 4",1,0))))</f>
        <v/>
      </c>
      <c r="W99">
        <f>IF(V99="Restricted",10,IF(V99="Confidential",7,IF(V99="Internal",4,IF(V99="Public",1,0))))</f>
        <v/>
      </c>
      <c r="AA99" s="9">
        <f>(U99*0.4)+(W99*0.3)+(IF(Z99="Critical",10,IF(Z99="High",7,IF(Z99="Medium",4,1)))*0.2)+(IF(Y99="YES",10,0)*0.1)</f>
        <v/>
      </c>
      <c r="AB99" s="9">
        <f>IF(G99="YES",2.0,0)+IF(H99="YES",2.0,0)</f>
        <v/>
      </c>
      <c r="AC99" s="9" t="n">
        <v>0</v>
      </c>
      <c r="AD99" s="9">
        <f>K99+AB99+AC99</f>
        <v/>
      </c>
      <c r="AE99" s="9">
        <f>(AD99*0.6)+(AA99*0.4)</f>
        <v/>
      </c>
      <c r="AF99">
        <f>IF(AE99&gt;=9,"Critical",IF(AE99&gt;=7,"High",IF(AE99&gt;=4,"Medium","Low")))</f>
        <v/>
      </c>
    </row>
    <row r="100">
      <c r="F100" t="n">
        <v>1</v>
      </c>
      <c r="I100">
        <f>IF(D100="","",TODAY()-D100)</f>
        <v/>
      </c>
      <c r="K100">
        <f>IF(J100="v4.0",L100,IF(J100="v3.1",M100,IF(J100="Both",L100,IF(AND(L100&lt;&gt;"",M100=""),L100,M100))))</f>
        <v/>
      </c>
      <c r="U100">
        <f>IF(T100="Tier 1",10,IF(T100="Tier 2",7,IF(T100="Tier 3",4,IF(T100="Tier 4",1,0))))</f>
        <v/>
      </c>
      <c r="W100">
        <f>IF(V100="Restricted",10,IF(V100="Confidential",7,IF(V100="Internal",4,IF(V100="Public",1,0))))</f>
        <v/>
      </c>
      <c r="AA100" s="9">
        <f>(U100*0.4)+(W100*0.3)+(IF(Z100="Critical",10,IF(Z100="High",7,IF(Z100="Medium",4,1)))*0.2)+(IF(Y100="YES",10,0)*0.1)</f>
        <v/>
      </c>
      <c r="AB100" s="9">
        <f>IF(G100="YES",2.0,0)+IF(H100="YES",2.0,0)</f>
        <v/>
      </c>
      <c r="AC100" s="9" t="n">
        <v>0</v>
      </c>
      <c r="AD100" s="9">
        <f>K100+AB100+AC100</f>
        <v/>
      </c>
      <c r="AE100" s="9">
        <f>(AD100*0.6)+(AA100*0.4)</f>
        <v/>
      </c>
      <c r="AF100">
        <f>IF(AE100&gt;=9,"Critical",IF(AE100&gt;=7,"High",IF(AE100&gt;=4,"Medium","Low")))</f>
        <v/>
      </c>
    </row>
    <row r="101">
      <c r="F101" t="n">
        <v>1</v>
      </c>
      <c r="I101">
        <f>IF(D101="","",TODAY()-D101)</f>
        <v/>
      </c>
      <c r="K101">
        <f>IF(J101="v4.0",L101,IF(J101="v3.1",M101,IF(J101="Both",L101,IF(AND(L101&lt;&gt;"",M101=""),L101,M101))))</f>
        <v/>
      </c>
      <c r="U101">
        <f>IF(T101="Tier 1",10,IF(T101="Tier 2",7,IF(T101="Tier 3",4,IF(T101="Tier 4",1,0))))</f>
        <v/>
      </c>
      <c r="W101">
        <f>IF(V101="Restricted",10,IF(V101="Confidential",7,IF(V101="Internal",4,IF(V101="Public",1,0))))</f>
        <v/>
      </c>
      <c r="AA101" s="9">
        <f>(U101*0.4)+(W101*0.3)+(IF(Z101="Critical",10,IF(Z101="High",7,IF(Z101="Medium",4,1)))*0.2)+(IF(Y101="YES",10,0)*0.1)</f>
        <v/>
      </c>
      <c r="AB101" s="9">
        <f>IF(G101="YES",2.0,0)+IF(H101="YES",2.0,0)</f>
        <v/>
      </c>
      <c r="AC101" s="9" t="n">
        <v>0</v>
      </c>
      <c r="AD101" s="9">
        <f>K101+AB101+AC101</f>
        <v/>
      </c>
      <c r="AE101" s="9">
        <f>(AD101*0.6)+(AA101*0.4)</f>
        <v/>
      </c>
      <c r="AF101">
        <f>IF(AE101&gt;=9,"Critical",IF(AE101&gt;=7,"High",IF(AE101&gt;=4,"Medium","Low")))</f>
        <v/>
      </c>
    </row>
    <row r="102">
      <c r="F102" t="n">
        <v>1</v>
      </c>
      <c r="I102">
        <f>IF(D102="","",TODAY()-D102)</f>
        <v/>
      </c>
      <c r="K102">
        <f>IF(J102="v4.0",L102,IF(J102="v3.1",M102,IF(J102="Both",L102,IF(AND(L102&lt;&gt;"",M102=""),L102,M102))))</f>
        <v/>
      </c>
      <c r="U102">
        <f>IF(T102="Tier 1",10,IF(T102="Tier 2",7,IF(T102="Tier 3",4,IF(T102="Tier 4",1,0))))</f>
        <v/>
      </c>
      <c r="W102">
        <f>IF(V102="Restricted",10,IF(V102="Confidential",7,IF(V102="Internal",4,IF(V102="Public",1,0))))</f>
        <v/>
      </c>
      <c r="AA102" s="9">
        <f>(U102*0.4)+(W102*0.3)+(IF(Z102="Critical",10,IF(Z102="High",7,IF(Z102="Medium",4,1)))*0.2)+(IF(Y102="YES",10,0)*0.1)</f>
        <v/>
      </c>
      <c r="AB102" s="9">
        <f>IF(G102="YES",2.0,0)+IF(H102="YES",2.0,0)</f>
        <v/>
      </c>
      <c r="AC102" s="9" t="n">
        <v>0</v>
      </c>
      <c r="AD102" s="9">
        <f>K102+AB102+AC102</f>
        <v/>
      </c>
      <c r="AE102" s="9">
        <f>(AD102*0.6)+(AA102*0.4)</f>
        <v/>
      </c>
      <c r="AF102">
        <f>IF(AE102&gt;=9,"Critical",IF(AE102&gt;=7,"High",IF(AE102&gt;=4,"Medium","Low")))</f>
        <v/>
      </c>
    </row>
    <row r="103">
      <c r="F103" t="n">
        <v>1</v>
      </c>
      <c r="I103">
        <f>IF(D103="","",TODAY()-D103)</f>
        <v/>
      </c>
      <c r="K103">
        <f>IF(J103="v4.0",L103,IF(J103="v3.1",M103,IF(J103="Both",L103,IF(AND(L103&lt;&gt;"",M103=""),L103,M103))))</f>
        <v/>
      </c>
      <c r="U103">
        <f>IF(T103="Tier 1",10,IF(T103="Tier 2",7,IF(T103="Tier 3",4,IF(T103="Tier 4",1,0))))</f>
        <v/>
      </c>
      <c r="W103">
        <f>IF(V103="Restricted",10,IF(V103="Confidential",7,IF(V103="Internal",4,IF(V103="Public",1,0))))</f>
        <v/>
      </c>
      <c r="AA103" s="9">
        <f>(U103*0.4)+(W103*0.3)+(IF(Z103="Critical",10,IF(Z103="High",7,IF(Z103="Medium",4,1)))*0.2)+(IF(Y103="YES",10,0)*0.1)</f>
        <v/>
      </c>
      <c r="AB103" s="9">
        <f>IF(G103="YES",2.0,0)+IF(H103="YES",2.0,0)</f>
        <v/>
      </c>
      <c r="AC103" s="9" t="n">
        <v>0</v>
      </c>
      <c r="AD103" s="9">
        <f>K103+AB103+AC103</f>
        <v/>
      </c>
      <c r="AE103" s="9">
        <f>(AD103*0.6)+(AA103*0.4)</f>
        <v/>
      </c>
      <c r="AF103">
        <f>IF(AE103&gt;=9,"Critical",IF(AE103&gt;=7,"High",IF(AE103&gt;=4,"Medium","Low")))</f>
        <v/>
      </c>
    </row>
    <row r="104">
      <c r="F104" t="n">
        <v>1</v>
      </c>
      <c r="I104">
        <f>IF(D104="","",TODAY()-D104)</f>
        <v/>
      </c>
      <c r="K104">
        <f>IF(J104="v4.0",L104,IF(J104="v3.1",M104,IF(J104="Both",L104,IF(AND(L104&lt;&gt;"",M104=""),L104,M104))))</f>
        <v/>
      </c>
      <c r="U104">
        <f>IF(T104="Tier 1",10,IF(T104="Tier 2",7,IF(T104="Tier 3",4,IF(T104="Tier 4",1,0))))</f>
        <v/>
      </c>
      <c r="W104">
        <f>IF(V104="Restricted",10,IF(V104="Confidential",7,IF(V104="Internal",4,IF(V104="Public",1,0))))</f>
        <v/>
      </c>
      <c r="AA104" s="9">
        <f>(U104*0.4)+(W104*0.3)+(IF(Z104="Critical",10,IF(Z104="High",7,IF(Z104="Medium",4,1)))*0.2)+(IF(Y104="YES",10,0)*0.1)</f>
        <v/>
      </c>
      <c r="AB104" s="9">
        <f>IF(G104="YES",2.0,0)+IF(H104="YES",2.0,0)</f>
        <v/>
      </c>
      <c r="AC104" s="9" t="n">
        <v>0</v>
      </c>
      <c r="AD104" s="9">
        <f>K104+AB104+AC104</f>
        <v/>
      </c>
      <c r="AE104" s="9">
        <f>(AD104*0.6)+(AA104*0.4)</f>
        <v/>
      </c>
      <c r="AF104">
        <f>IF(AE104&gt;=9,"Critical",IF(AE104&gt;=7,"High",IF(AE104&gt;=4,"Medium","Low")))</f>
        <v/>
      </c>
    </row>
    <row r="105">
      <c r="F105" t="n">
        <v>1</v>
      </c>
      <c r="I105">
        <f>IF(D105="","",TODAY()-D105)</f>
        <v/>
      </c>
      <c r="K105">
        <f>IF(J105="v4.0",L105,IF(J105="v3.1",M105,IF(J105="Both",L105,IF(AND(L105&lt;&gt;"",M105=""),L105,M105))))</f>
        <v/>
      </c>
      <c r="U105">
        <f>IF(T105="Tier 1",10,IF(T105="Tier 2",7,IF(T105="Tier 3",4,IF(T105="Tier 4",1,0))))</f>
        <v/>
      </c>
      <c r="W105">
        <f>IF(V105="Restricted",10,IF(V105="Confidential",7,IF(V105="Internal",4,IF(V105="Public",1,0))))</f>
        <v/>
      </c>
      <c r="AA105" s="9">
        <f>(U105*0.4)+(W105*0.3)+(IF(Z105="Critical",10,IF(Z105="High",7,IF(Z105="Medium",4,1)))*0.2)+(IF(Y105="YES",10,0)*0.1)</f>
        <v/>
      </c>
      <c r="AB105" s="9">
        <f>IF(G105="YES",2.0,0)+IF(H105="YES",2.0,0)</f>
        <v/>
      </c>
      <c r="AC105" s="9" t="n">
        <v>0</v>
      </c>
      <c r="AD105" s="9">
        <f>K105+AB105+AC105</f>
        <v/>
      </c>
      <c r="AE105" s="9">
        <f>(AD105*0.6)+(AA105*0.4)</f>
        <v/>
      </c>
      <c r="AF105">
        <f>IF(AE105&gt;=9,"Critical",IF(AE105&gt;=7,"High",IF(AE105&gt;=4,"Medium","Low")))</f>
        <v/>
      </c>
    </row>
    <row r="106">
      <c r="F106" t="n">
        <v>1</v>
      </c>
      <c r="I106">
        <f>IF(D106="","",TODAY()-D106)</f>
        <v/>
      </c>
      <c r="K106">
        <f>IF(J106="v4.0",L106,IF(J106="v3.1",M106,IF(J106="Both",L106,IF(AND(L106&lt;&gt;"",M106=""),L106,M106))))</f>
        <v/>
      </c>
      <c r="U106">
        <f>IF(T106="Tier 1",10,IF(T106="Tier 2",7,IF(T106="Tier 3",4,IF(T106="Tier 4",1,0))))</f>
        <v/>
      </c>
      <c r="W106">
        <f>IF(V106="Restricted",10,IF(V106="Confidential",7,IF(V106="Internal",4,IF(V106="Public",1,0))))</f>
        <v/>
      </c>
      <c r="AA106" s="9">
        <f>(U106*0.4)+(W106*0.3)+(IF(Z106="Critical",10,IF(Z106="High",7,IF(Z106="Medium",4,1)))*0.2)+(IF(Y106="YES",10,0)*0.1)</f>
        <v/>
      </c>
      <c r="AB106" s="9">
        <f>IF(G106="YES",2.0,0)+IF(H106="YES",2.0,0)</f>
        <v/>
      </c>
      <c r="AC106" s="9" t="n">
        <v>0</v>
      </c>
      <c r="AD106" s="9">
        <f>K106+AB106+AC106</f>
        <v/>
      </c>
      <c r="AE106" s="9">
        <f>(AD106*0.6)+(AA106*0.4)</f>
        <v/>
      </c>
      <c r="AF106">
        <f>IF(AE106&gt;=9,"Critical",IF(AE106&gt;=7,"High",IF(AE106&gt;=4,"Medium","Low")))</f>
        <v/>
      </c>
    </row>
    <row r="107">
      <c r="F107" t="n">
        <v>1</v>
      </c>
      <c r="I107">
        <f>IF(D107="","",TODAY()-D107)</f>
        <v/>
      </c>
      <c r="K107">
        <f>IF(J107="v4.0",L107,IF(J107="v3.1",M107,IF(J107="Both",L107,IF(AND(L107&lt;&gt;"",M107=""),L107,M107))))</f>
        <v/>
      </c>
      <c r="U107">
        <f>IF(T107="Tier 1",10,IF(T107="Tier 2",7,IF(T107="Tier 3",4,IF(T107="Tier 4",1,0))))</f>
        <v/>
      </c>
      <c r="W107">
        <f>IF(V107="Restricted",10,IF(V107="Confidential",7,IF(V107="Internal",4,IF(V107="Public",1,0))))</f>
        <v/>
      </c>
      <c r="AA107" s="9">
        <f>(U107*0.4)+(W107*0.3)+(IF(Z107="Critical",10,IF(Z107="High",7,IF(Z107="Medium",4,1)))*0.2)+(IF(Y107="YES",10,0)*0.1)</f>
        <v/>
      </c>
      <c r="AB107" s="9">
        <f>IF(G107="YES",2.0,0)+IF(H107="YES",2.0,0)</f>
        <v/>
      </c>
      <c r="AC107" s="9" t="n">
        <v>0</v>
      </c>
      <c r="AD107" s="9">
        <f>K107+AB107+AC107</f>
        <v/>
      </c>
      <c r="AE107" s="9">
        <f>(AD107*0.6)+(AA107*0.4)</f>
        <v/>
      </c>
      <c r="AF107">
        <f>IF(AE107&gt;=9,"Critical",IF(AE107&gt;=7,"High",IF(AE107&gt;=4,"Medium","Low")))</f>
        <v/>
      </c>
    </row>
    <row r="108">
      <c r="F108" t="n">
        <v>1</v>
      </c>
      <c r="I108">
        <f>IF(D108="","",TODAY()-D108)</f>
        <v/>
      </c>
      <c r="K108">
        <f>IF(J108="v4.0",L108,IF(J108="v3.1",M108,IF(J108="Both",L108,IF(AND(L108&lt;&gt;"",M108=""),L108,M108))))</f>
        <v/>
      </c>
      <c r="U108">
        <f>IF(T108="Tier 1",10,IF(T108="Tier 2",7,IF(T108="Tier 3",4,IF(T108="Tier 4",1,0))))</f>
        <v/>
      </c>
      <c r="W108">
        <f>IF(V108="Restricted",10,IF(V108="Confidential",7,IF(V108="Internal",4,IF(V108="Public",1,0))))</f>
        <v/>
      </c>
      <c r="AA108" s="9">
        <f>(U108*0.4)+(W108*0.3)+(IF(Z108="Critical",10,IF(Z108="High",7,IF(Z108="Medium",4,1)))*0.2)+(IF(Y108="YES",10,0)*0.1)</f>
        <v/>
      </c>
      <c r="AB108" s="9">
        <f>IF(G108="YES",2.0,0)+IF(H108="YES",2.0,0)</f>
        <v/>
      </c>
      <c r="AC108" s="9" t="n">
        <v>0</v>
      </c>
      <c r="AD108" s="9">
        <f>K108+AB108+AC108</f>
        <v/>
      </c>
      <c r="AE108" s="9">
        <f>(AD108*0.6)+(AA108*0.4)</f>
        <v/>
      </c>
      <c r="AF108">
        <f>IF(AE108&gt;=9,"Critical",IF(AE108&gt;=7,"High",IF(AE108&gt;=4,"Medium","Low")))</f>
        <v/>
      </c>
    </row>
    <row r="109">
      <c r="F109" t="n">
        <v>1</v>
      </c>
      <c r="I109">
        <f>IF(D109="","",TODAY()-D109)</f>
        <v/>
      </c>
      <c r="K109">
        <f>IF(J109="v4.0",L109,IF(J109="v3.1",M109,IF(J109="Both",L109,IF(AND(L109&lt;&gt;"",M109=""),L109,M109))))</f>
        <v/>
      </c>
      <c r="U109">
        <f>IF(T109="Tier 1",10,IF(T109="Tier 2",7,IF(T109="Tier 3",4,IF(T109="Tier 4",1,0))))</f>
        <v/>
      </c>
      <c r="W109">
        <f>IF(V109="Restricted",10,IF(V109="Confidential",7,IF(V109="Internal",4,IF(V109="Public",1,0))))</f>
        <v/>
      </c>
      <c r="AA109" s="9">
        <f>(U109*0.4)+(W109*0.3)+(IF(Z109="Critical",10,IF(Z109="High",7,IF(Z109="Medium",4,1)))*0.2)+(IF(Y109="YES",10,0)*0.1)</f>
        <v/>
      </c>
      <c r="AB109" s="9">
        <f>IF(G109="YES",2.0,0)+IF(H109="YES",2.0,0)</f>
        <v/>
      </c>
      <c r="AC109" s="9" t="n">
        <v>0</v>
      </c>
      <c r="AD109" s="9">
        <f>K109+AB109+AC109</f>
        <v/>
      </c>
      <c r="AE109" s="9">
        <f>(AD109*0.6)+(AA109*0.4)</f>
        <v/>
      </c>
      <c r="AF109">
        <f>IF(AE109&gt;=9,"Critical",IF(AE109&gt;=7,"High",IF(AE109&gt;=4,"Medium","Low")))</f>
        <v/>
      </c>
    </row>
    <row r="110">
      <c r="F110" t="n">
        <v>1</v>
      </c>
      <c r="I110">
        <f>IF(D110="","",TODAY()-D110)</f>
        <v/>
      </c>
      <c r="K110">
        <f>IF(J110="v4.0",L110,IF(J110="v3.1",M110,IF(J110="Both",L110,IF(AND(L110&lt;&gt;"",M110=""),L110,M110))))</f>
        <v/>
      </c>
      <c r="U110">
        <f>IF(T110="Tier 1",10,IF(T110="Tier 2",7,IF(T110="Tier 3",4,IF(T110="Tier 4",1,0))))</f>
        <v/>
      </c>
      <c r="W110">
        <f>IF(V110="Restricted",10,IF(V110="Confidential",7,IF(V110="Internal",4,IF(V110="Public",1,0))))</f>
        <v/>
      </c>
      <c r="AA110" s="9">
        <f>(U110*0.4)+(W110*0.3)+(IF(Z110="Critical",10,IF(Z110="High",7,IF(Z110="Medium",4,1)))*0.2)+(IF(Y110="YES",10,0)*0.1)</f>
        <v/>
      </c>
      <c r="AB110" s="9">
        <f>IF(G110="YES",2.0,0)+IF(H110="YES",2.0,0)</f>
        <v/>
      </c>
      <c r="AC110" s="9" t="n">
        <v>0</v>
      </c>
      <c r="AD110" s="9">
        <f>K110+AB110+AC110</f>
        <v/>
      </c>
      <c r="AE110" s="9">
        <f>(AD110*0.6)+(AA110*0.4)</f>
        <v/>
      </c>
      <c r="AF110">
        <f>IF(AE110&gt;=9,"Critical",IF(AE110&gt;=7,"High",IF(AE110&gt;=4,"Medium","Low")))</f>
        <v/>
      </c>
    </row>
    <row r="111">
      <c r="F111" t="n">
        <v>1</v>
      </c>
      <c r="I111">
        <f>IF(D111="","",TODAY()-D111)</f>
        <v/>
      </c>
      <c r="K111">
        <f>IF(J111="v4.0",L111,IF(J111="v3.1",M111,IF(J111="Both",L111,IF(AND(L111&lt;&gt;"",M111=""),L111,M111))))</f>
        <v/>
      </c>
      <c r="U111">
        <f>IF(T111="Tier 1",10,IF(T111="Tier 2",7,IF(T111="Tier 3",4,IF(T111="Tier 4",1,0))))</f>
        <v/>
      </c>
      <c r="W111">
        <f>IF(V111="Restricted",10,IF(V111="Confidential",7,IF(V111="Internal",4,IF(V111="Public",1,0))))</f>
        <v/>
      </c>
      <c r="AA111" s="9">
        <f>(U111*0.4)+(W111*0.3)+(IF(Z111="Critical",10,IF(Z111="High",7,IF(Z111="Medium",4,1)))*0.2)+(IF(Y111="YES",10,0)*0.1)</f>
        <v/>
      </c>
      <c r="AB111" s="9">
        <f>IF(G111="YES",2.0,0)+IF(H111="YES",2.0,0)</f>
        <v/>
      </c>
      <c r="AC111" s="9" t="n">
        <v>0</v>
      </c>
      <c r="AD111" s="9">
        <f>K111+AB111+AC111</f>
        <v/>
      </c>
      <c r="AE111" s="9">
        <f>(AD111*0.6)+(AA111*0.4)</f>
        <v/>
      </c>
      <c r="AF111">
        <f>IF(AE111&gt;=9,"Critical",IF(AE111&gt;=7,"High",IF(AE111&gt;=4,"Medium","Low")))</f>
        <v/>
      </c>
    </row>
    <row r="112">
      <c r="F112" t="n">
        <v>1</v>
      </c>
      <c r="I112">
        <f>IF(D112="","",TODAY()-D112)</f>
        <v/>
      </c>
      <c r="K112">
        <f>IF(J112="v4.0",L112,IF(J112="v3.1",M112,IF(J112="Both",L112,IF(AND(L112&lt;&gt;"",M112=""),L112,M112))))</f>
        <v/>
      </c>
      <c r="U112">
        <f>IF(T112="Tier 1",10,IF(T112="Tier 2",7,IF(T112="Tier 3",4,IF(T112="Tier 4",1,0))))</f>
        <v/>
      </c>
      <c r="W112">
        <f>IF(V112="Restricted",10,IF(V112="Confidential",7,IF(V112="Internal",4,IF(V112="Public",1,0))))</f>
        <v/>
      </c>
      <c r="AA112" s="9">
        <f>(U112*0.4)+(W112*0.3)+(IF(Z112="Critical",10,IF(Z112="High",7,IF(Z112="Medium",4,1)))*0.2)+(IF(Y112="YES",10,0)*0.1)</f>
        <v/>
      </c>
      <c r="AB112" s="9">
        <f>IF(G112="YES",2.0,0)+IF(H112="YES",2.0,0)</f>
        <v/>
      </c>
      <c r="AC112" s="9" t="n">
        <v>0</v>
      </c>
      <c r="AD112" s="9">
        <f>K112+AB112+AC112</f>
        <v/>
      </c>
      <c r="AE112" s="9">
        <f>(AD112*0.6)+(AA112*0.4)</f>
        <v/>
      </c>
      <c r="AF112">
        <f>IF(AE112&gt;=9,"Critical",IF(AE112&gt;=7,"High",IF(AE112&gt;=4,"Medium","Low")))</f>
        <v/>
      </c>
    </row>
    <row r="113">
      <c r="F113" t="n">
        <v>1</v>
      </c>
      <c r="I113">
        <f>IF(D113="","",TODAY()-D113)</f>
        <v/>
      </c>
      <c r="K113">
        <f>IF(J113="v4.0",L113,IF(J113="v3.1",M113,IF(J113="Both",L113,IF(AND(L113&lt;&gt;"",M113=""),L113,M113))))</f>
        <v/>
      </c>
      <c r="U113">
        <f>IF(T113="Tier 1",10,IF(T113="Tier 2",7,IF(T113="Tier 3",4,IF(T113="Tier 4",1,0))))</f>
        <v/>
      </c>
      <c r="W113">
        <f>IF(V113="Restricted",10,IF(V113="Confidential",7,IF(V113="Internal",4,IF(V113="Public",1,0))))</f>
        <v/>
      </c>
      <c r="AA113" s="9">
        <f>(U113*0.4)+(W113*0.3)+(IF(Z113="Critical",10,IF(Z113="High",7,IF(Z113="Medium",4,1)))*0.2)+(IF(Y113="YES",10,0)*0.1)</f>
        <v/>
      </c>
      <c r="AB113" s="9">
        <f>IF(G113="YES",2.0,0)+IF(H113="YES",2.0,0)</f>
        <v/>
      </c>
      <c r="AC113" s="9" t="n">
        <v>0</v>
      </c>
      <c r="AD113" s="9">
        <f>K113+AB113+AC113</f>
        <v/>
      </c>
      <c r="AE113" s="9">
        <f>(AD113*0.6)+(AA113*0.4)</f>
        <v/>
      </c>
      <c r="AF113">
        <f>IF(AE113&gt;=9,"Critical",IF(AE113&gt;=7,"High",IF(AE113&gt;=4,"Medium","Low")))</f>
        <v/>
      </c>
    </row>
    <row r="114">
      <c r="F114" t="n">
        <v>1</v>
      </c>
      <c r="I114">
        <f>IF(D114="","",TODAY()-D114)</f>
        <v/>
      </c>
      <c r="K114">
        <f>IF(J114="v4.0",L114,IF(J114="v3.1",M114,IF(J114="Both",L114,IF(AND(L114&lt;&gt;"",M114=""),L114,M114))))</f>
        <v/>
      </c>
      <c r="U114">
        <f>IF(T114="Tier 1",10,IF(T114="Tier 2",7,IF(T114="Tier 3",4,IF(T114="Tier 4",1,0))))</f>
        <v/>
      </c>
      <c r="W114">
        <f>IF(V114="Restricted",10,IF(V114="Confidential",7,IF(V114="Internal",4,IF(V114="Public",1,0))))</f>
        <v/>
      </c>
      <c r="AA114" s="9">
        <f>(U114*0.4)+(W114*0.3)+(IF(Z114="Critical",10,IF(Z114="High",7,IF(Z114="Medium",4,1)))*0.2)+(IF(Y114="YES",10,0)*0.1)</f>
        <v/>
      </c>
      <c r="AB114" s="9">
        <f>IF(G114="YES",2.0,0)+IF(H114="YES",2.0,0)</f>
        <v/>
      </c>
      <c r="AC114" s="9" t="n">
        <v>0</v>
      </c>
      <c r="AD114" s="9">
        <f>K114+AB114+AC114</f>
        <v/>
      </c>
      <c r="AE114" s="9">
        <f>(AD114*0.6)+(AA114*0.4)</f>
        <v/>
      </c>
      <c r="AF114">
        <f>IF(AE114&gt;=9,"Critical",IF(AE114&gt;=7,"High",IF(AE114&gt;=4,"Medium","Low")))</f>
        <v/>
      </c>
    </row>
    <row r="115">
      <c r="F115" t="n">
        <v>1</v>
      </c>
      <c r="I115">
        <f>IF(D115="","",TODAY()-D115)</f>
        <v/>
      </c>
      <c r="K115">
        <f>IF(J115="v4.0",L115,IF(J115="v3.1",M115,IF(J115="Both",L115,IF(AND(L115&lt;&gt;"",M115=""),L115,M115))))</f>
        <v/>
      </c>
      <c r="U115">
        <f>IF(T115="Tier 1",10,IF(T115="Tier 2",7,IF(T115="Tier 3",4,IF(T115="Tier 4",1,0))))</f>
        <v/>
      </c>
      <c r="W115">
        <f>IF(V115="Restricted",10,IF(V115="Confidential",7,IF(V115="Internal",4,IF(V115="Public",1,0))))</f>
        <v/>
      </c>
      <c r="AA115" s="9">
        <f>(U115*0.4)+(W115*0.3)+(IF(Z115="Critical",10,IF(Z115="High",7,IF(Z115="Medium",4,1)))*0.2)+(IF(Y115="YES",10,0)*0.1)</f>
        <v/>
      </c>
      <c r="AB115" s="9">
        <f>IF(G115="YES",2.0,0)+IF(H115="YES",2.0,0)</f>
        <v/>
      </c>
      <c r="AC115" s="9" t="n">
        <v>0</v>
      </c>
      <c r="AD115" s="9">
        <f>K115+AB115+AC115</f>
        <v/>
      </c>
      <c r="AE115" s="9">
        <f>(AD115*0.6)+(AA115*0.4)</f>
        <v/>
      </c>
      <c r="AF115">
        <f>IF(AE115&gt;=9,"Critical",IF(AE115&gt;=7,"High",IF(AE115&gt;=4,"Medium","Low")))</f>
        <v/>
      </c>
    </row>
    <row r="116">
      <c r="F116" t="n">
        <v>1</v>
      </c>
      <c r="I116">
        <f>IF(D116="","",TODAY()-D116)</f>
        <v/>
      </c>
      <c r="K116">
        <f>IF(J116="v4.0",L116,IF(J116="v3.1",M116,IF(J116="Both",L116,IF(AND(L116&lt;&gt;"",M116=""),L116,M116))))</f>
        <v/>
      </c>
      <c r="U116">
        <f>IF(T116="Tier 1",10,IF(T116="Tier 2",7,IF(T116="Tier 3",4,IF(T116="Tier 4",1,0))))</f>
        <v/>
      </c>
      <c r="W116">
        <f>IF(V116="Restricted",10,IF(V116="Confidential",7,IF(V116="Internal",4,IF(V116="Public",1,0))))</f>
        <v/>
      </c>
      <c r="AA116" s="9">
        <f>(U116*0.4)+(W116*0.3)+(IF(Z116="Critical",10,IF(Z116="High",7,IF(Z116="Medium",4,1)))*0.2)+(IF(Y116="YES",10,0)*0.1)</f>
        <v/>
      </c>
      <c r="AB116" s="9">
        <f>IF(G116="YES",2.0,0)+IF(H116="YES",2.0,0)</f>
        <v/>
      </c>
      <c r="AC116" s="9" t="n">
        <v>0</v>
      </c>
      <c r="AD116" s="9">
        <f>K116+AB116+AC116</f>
        <v/>
      </c>
      <c r="AE116" s="9">
        <f>(AD116*0.6)+(AA116*0.4)</f>
        <v/>
      </c>
      <c r="AF116">
        <f>IF(AE116&gt;=9,"Critical",IF(AE116&gt;=7,"High",IF(AE116&gt;=4,"Medium","Low")))</f>
        <v/>
      </c>
    </row>
    <row r="117">
      <c r="F117" t="n">
        <v>1</v>
      </c>
      <c r="I117">
        <f>IF(D117="","",TODAY()-D117)</f>
        <v/>
      </c>
      <c r="K117">
        <f>IF(J117="v4.0",L117,IF(J117="v3.1",M117,IF(J117="Both",L117,IF(AND(L117&lt;&gt;"",M117=""),L117,M117))))</f>
        <v/>
      </c>
      <c r="U117">
        <f>IF(T117="Tier 1",10,IF(T117="Tier 2",7,IF(T117="Tier 3",4,IF(T117="Tier 4",1,0))))</f>
        <v/>
      </c>
      <c r="W117">
        <f>IF(V117="Restricted",10,IF(V117="Confidential",7,IF(V117="Internal",4,IF(V117="Public",1,0))))</f>
        <v/>
      </c>
      <c r="AA117" s="9">
        <f>(U117*0.4)+(W117*0.3)+(IF(Z117="Critical",10,IF(Z117="High",7,IF(Z117="Medium",4,1)))*0.2)+(IF(Y117="YES",10,0)*0.1)</f>
        <v/>
      </c>
      <c r="AB117" s="9">
        <f>IF(G117="YES",2.0,0)+IF(H117="YES",2.0,0)</f>
        <v/>
      </c>
      <c r="AC117" s="9" t="n">
        <v>0</v>
      </c>
      <c r="AD117" s="9">
        <f>K117+AB117+AC117</f>
        <v/>
      </c>
      <c r="AE117" s="9">
        <f>(AD117*0.6)+(AA117*0.4)</f>
        <v/>
      </c>
      <c r="AF117">
        <f>IF(AE117&gt;=9,"Critical",IF(AE117&gt;=7,"High",IF(AE117&gt;=4,"Medium","Low")))</f>
        <v/>
      </c>
    </row>
    <row r="118">
      <c r="F118" t="n">
        <v>1</v>
      </c>
      <c r="I118">
        <f>IF(D118="","",TODAY()-D118)</f>
        <v/>
      </c>
      <c r="K118">
        <f>IF(J118="v4.0",L118,IF(J118="v3.1",M118,IF(J118="Both",L118,IF(AND(L118&lt;&gt;"",M118=""),L118,M118))))</f>
        <v/>
      </c>
      <c r="U118">
        <f>IF(T118="Tier 1",10,IF(T118="Tier 2",7,IF(T118="Tier 3",4,IF(T118="Tier 4",1,0))))</f>
        <v/>
      </c>
      <c r="W118">
        <f>IF(V118="Restricted",10,IF(V118="Confidential",7,IF(V118="Internal",4,IF(V118="Public",1,0))))</f>
        <v/>
      </c>
      <c r="AA118" s="9">
        <f>(U118*0.4)+(W118*0.3)+(IF(Z118="Critical",10,IF(Z118="High",7,IF(Z118="Medium",4,1)))*0.2)+(IF(Y118="YES",10,0)*0.1)</f>
        <v/>
      </c>
      <c r="AB118" s="9">
        <f>IF(G118="YES",2.0,0)+IF(H118="YES",2.0,0)</f>
        <v/>
      </c>
      <c r="AC118" s="9" t="n">
        <v>0</v>
      </c>
      <c r="AD118" s="9">
        <f>K118+AB118+AC118</f>
        <v/>
      </c>
      <c r="AE118" s="9">
        <f>(AD118*0.6)+(AA118*0.4)</f>
        <v/>
      </c>
      <c r="AF118">
        <f>IF(AE118&gt;=9,"Critical",IF(AE118&gt;=7,"High",IF(AE118&gt;=4,"Medium","Low")))</f>
        <v/>
      </c>
    </row>
    <row r="119">
      <c r="F119" t="n">
        <v>1</v>
      </c>
      <c r="I119">
        <f>IF(D119="","",TODAY()-D119)</f>
        <v/>
      </c>
      <c r="K119">
        <f>IF(J119="v4.0",L119,IF(J119="v3.1",M119,IF(J119="Both",L119,IF(AND(L119&lt;&gt;"",M119=""),L119,M119))))</f>
        <v/>
      </c>
      <c r="U119">
        <f>IF(T119="Tier 1",10,IF(T119="Tier 2",7,IF(T119="Tier 3",4,IF(T119="Tier 4",1,0))))</f>
        <v/>
      </c>
      <c r="W119">
        <f>IF(V119="Restricted",10,IF(V119="Confidential",7,IF(V119="Internal",4,IF(V119="Public",1,0))))</f>
        <v/>
      </c>
      <c r="AA119" s="9">
        <f>(U119*0.4)+(W119*0.3)+(IF(Z119="Critical",10,IF(Z119="High",7,IF(Z119="Medium",4,1)))*0.2)+(IF(Y119="YES",10,0)*0.1)</f>
        <v/>
      </c>
      <c r="AB119" s="9">
        <f>IF(G119="YES",2.0,0)+IF(H119="YES",2.0,0)</f>
        <v/>
      </c>
      <c r="AC119" s="9" t="n">
        <v>0</v>
      </c>
      <c r="AD119" s="9">
        <f>K119+AB119+AC119</f>
        <v/>
      </c>
      <c r="AE119" s="9">
        <f>(AD119*0.6)+(AA119*0.4)</f>
        <v/>
      </c>
      <c r="AF119">
        <f>IF(AE119&gt;=9,"Critical",IF(AE119&gt;=7,"High",IF(AE119&gt;=4,"Medium","Low")))</f>
        <v/>
      </c>
    </row>
    <row r="120">
      <c r="F120" t="n">
        <v>1</v>
      </c>
      <c r="I120">
        <f>IF(D120="","",TODAY()-D120)</f>
        <v/>
      </c>
      <c r="K120">
        <f>IF(J120="v4.0",L120,IF(J120="v3.1",M120,IF(J120="Both",L120,IF(AND(L120&lt;&gt;"",M120=""),L120,M120))))</f>
        <v/>
      </c>
      <c r="U120">
        <f>IF(T120="Tier 1",10,IF(T120="Tier 2",7,IF(T120="Tier 3",4,IF(T120="Tier 4",1,0))))</f>
        <v/>
      </c>
      <c r="W120">
        <f>IF(V120="Restricted",10,IF(V120="Confidential",7,IF(V120="Internal",4,IF(V120="Public",1,0))))</f>
        <v/>
      </c>
      <c r="AA120" s="9">
        <f>(U120*0.4)+(W120*0.3)+(IF(Z120="Critical",10,IF(Z120="High",7,IF(Z120="Medium",4,1)))*0.2)+(IF(Y120="YES",10,0)*0.1)</f>
        <v/>
      </c>
      <c r="AB120" s="9">
        <f>IF(G120="YES",2.0,0)+IF(H120="YES",2.0,0)</f>
        <v/>
      </c>
      <c r="AC120" s="9" t="n">
        <v>0</v>
      </c>
      <c r="AD120" s="9">
        <f>K120+AB120+AC120</f>
        <v/>
      </c>
      <c r="AE120" s="9">
        <f>(AD120*0.6)+(AA120*0.4)</f>
        <v/>
      </c>
      <c r="AF120">
        <f>IF(AE120&gt;=9,"Critical",IF(AE120&gt;=7,"High",IF(AE120&gt;=4,"Medium","Low")))</f>
        <v/>
      </c>
    </row>
    <row r="121">
      <c r="F121" t="n">
        <v>1</v>
      </c>
      <c r="I121">
        <f>IF(D121="","",TODAY()-D121)</f>
        <v/>
      </c>
      <c r="K121">
        <f>IF(J121="v4.0",L121,IF(J121="v3.1",M121,IF(J121="Both",L121,IF(AND(L121&lt;&gt;"",M121=""),L121,M121))))</f>
        <v/>
      </c>
      <c r="U121">
        <f>IF(T121="Tier 1",10,IF(T121="Tier 2",7,IF(T121="Tier 3",4,IF(T121="Tier 4",1,0))))</f>
        <v/>
      </c>
      <c r="W121">
        <f>IF(V121="Restricted",10,IF(V121="Confidential",7,IF(V121="Internal",4,IF(V121="Public",1,0))))</f>
        <v/>
      </c>
      <c r="AA121" s="9">
        <f>(U121*0.4)+(W121*0.3)+(IF(Z121="Critical",10,IF(Z121="High",7,IF(Z121="Medium",4,1)))*0.2)+(IF(Y121="YES",10,0)*0.1)</f>
        <v/>
      </c>
      <c r="AB121" s="9">
        <f>IF(G121="YES",2.0,0)+IF(H121="YES",2.0,0)</f>
        <v/>
      </c>
      <c r="AC121" s="9" t="n">
        <v>0</v>
      </c>
      <c r="AD121" s="9">
        <f>K121+AB121+AC121</f>
        <v/>
      </c>
      <c r="AE121" s="9">
        <f>(AD121*0.6)+(AA121*0.4)</f>
        <v/>
      </c>
      <c r="AF121">
        <f>IF(AE121&gt;=9,"Critical",IF(AE121&gt;=7,"High",IF(AE121&gt;=4,"Medium","Low")))</f>
        <v/>
      </c>
    </row>
    <row r="122">
      <c r="F122" t="n">
        <v>1</v>
      </c>
      <c r="I122">
        <f>IF(D122="","",TODAY()-D122)</f>
        <v/>
      </c>
      <c r="K122">
        <f>IF(J122="v4.0",L122,IF(J122="v3.1",M122,IF(J122="Both",L122,IF(AND(L122&lt;&gt;"",M122=""),L122,M122))))</f>
        <v/>
      </c>
      <c r="U122">
        <f>IF(T122="Tier 1",10,IF(T122="Tier 2",7,IF(T122="Tier 3",4,IF(T122="Tier 4",1,0))))</f>
        <v/>
      </c>
      <c r="W122">
        <f>IF(V122="Restricted",10,IF(V122="Confidential",7,IF(V122="Internal",4,IF(V122="Public",1,0))))</f>
        <v/>
      </c>
      <c r="AA122" s="9">
        <f>(U122*0.4)+(W122*0.3)+(IF(Z122="Critical",10,IF(Z122="High",7,IF(Z122="Medium",4,1)))*0.2)+(IF(Y122="YES",10,0)*0.1)</f>
        <v/>
      </c>
      <c r="AB122" s="9">
        <f>IF(G122="YES",2.0,0)+IF(H122="YES",2.0,0)</f>
        <v/>
      </c>
      <c r="AC122" s="9" t="n">
        <v>0</v>
      </c>
      <c r="AD122" s="9">
        <f>K122+AB122+AC122</f>
        <v/>
      </c>
      <c r="AE122" s="9">
        <f>(AD122*0.6)+(AA122*0.4)</f>
        <v/>
      </c>
      <c r="AF122">
        <f>IF(AE122&gt;=9,"Critical",IF(AE122&gt;=7,"High",IF(AE122&gt;=4,"Medium","Low")))</f>
        <v/>
      </c>
    </row>
    <row r="123">
      <c r="F123" t="n">
        <v>1</v>
      </c>
      <c r="I123">
        <f>IF(D123="","",TODAY()-D123)</f>
        <v/>
      </c>
      <c r="K123">
        <f>IF(J123="v4.0",L123,IF(J123="v3.1",M123,IF(J123="Both",L123,IF(AND(L123&lt;&gt;"",M123=""),L123,M123))))</f>
        <v/>
      </c>
      <c r="U123">
        <f>IF(T123="Tier 1",10,IF(T123="Tier 2",7,IF(T123="Tier 3",4,IF(T123="Tier 4",1,0))))</f>
        <v/>
      </c>
      <c r="W123">
        <f>IF(V123="Restricted",10,IF(V123="Confidential",7,IF(V123="Internal",4,IF(V123="Public",1,0))))</f>
        <v/>
      </c>
      <c r="AA123" s="9">
        <f>(U123*0.4)+(W123*0.3)+(IF(Z123="Critical",10,IF(Z123="High",7,IF(Z123="Medium",4,1)))*0.2)+(IF(Y123="YES",10,0)*0.1)</f>
        <v/>
      </c>
      <c r="AB123" s="9">
        <f>IF(G123="YES",2.0,0)+IF(H123="YES",2.0,0)</f>
        <v/>
      </c>
      <c r="AC123" s="9" t="n">
        <v>0</v>
      </c>
      <c r="AD123" s="9">
        <f>K123+AB123+AC123</f>
        <v/>
      </c>
      <c r="AE123" s="9">
        <f>(AD123*0.6)+(AA123*0.4)</f>
        <v/>
      </c>
      <c r="AF123">
        <f>IF(AE123&gt;=9,"Critical",IF(AE123&gt;=7,"High",IF(AE123&gt;=4,"Medium","Low")))</f>
        <v/>
      </c>
    </row>
    <row r="124">
      <c r="F124" t="n">
        <v>1</v>
      </c>
      <c r="I124">
        <f>IF(D124="","",TODAY()-D124)</f>
        <v/>
      </c>
      <c r="K124">
        <f>IF(J124="v4.0",L124,IF(J124="v3.1",M124,IF(J124="Both",L124,IF(AND(L124&lt;&gt;"",M124=""),L124,M124))))</f>
        <v/>
      </c>
      <c r="U124">
        <f>IF(T124="Tier 1",10,IF(T124="Tier 2",7,IF(T124="Tier 3",4,IF(T124="Tier 4",1,0))))</f>
        <v/>
      </c>
      <c r="W124">
        <f>IF(V124="Restricted",10,IF(V124="Confidential",7,IF(V124="Internal",4,IF(V124="Public",1,0))))</f>
        <v/>
      </c>
      <c r="AA124" s="9">
        <f>(U124*0.4)+(W124*0.3)+(IF(Z124="Critical",10,IF(Z124="High",7,IF(Z124="Medium",4,1)))*0.2)+(IF(Y124="YES",10,0)*0.1)</f>
        <v/>
      </c>
      <c r="AB124" s="9">
        <f>IF(G124="YES",2.0,0)+IF(H124="YES",2.0,0)</f>
        <v/>
      </c>
      <c r="AC124" s="9" t="n">
        <v>0</v>
      </c>
      <c r="AD124" s="9">
        <f>K124+AB124+AC124</f>
        <v/>
      </c>
      <c r="AE124" s="9">
        <f>(AD124*0.6)+(AA124*0.4)</f>
        <v/>
      </c>
      <c r="AF124">
        <f>IF(AE124&gt;=9,"Critical",IF(AE124&gt;=7,"High",IF(AE124&gt;=4,"Medium","Low")))</f>
        <v/>
      </c>
    </row>
    <row r="125">
      <c r="F125" t="n">
        <v>1</v>
      </c>
      <c r="I125">
        <f>IF(D125="","",TODAY()-D125)</f>
        <v/>
      </c>
      <c r="K125">
        <f>IF(J125="v4.0",L125,IF(J125="v3.1",M125,IF(J125="Both",L125,IF(AND(L125&lt;&gt;"",M125=""),L125,M125))))</f>
        <v/>
      </c>
      <c r="U125">
        <f>IF(T125="Tier 1",10,IF(T125="Tier 2",7,IF(T125="Tier 3",4,IF(T125="Tier 4",1,0))))</f>
        <v/>
      </c>
      <c r="W125">
        <f>IF(V125="Restricted",10,IF(V125="Confidential",7,IF(V125="Internal",4,IF(V125="Public",1,0))))</f>
        <v/>
      </c>
      <c r="AA125" s="9">
        <f>(U125*0.4)+(W125*0.3)+(IF(Z125="Critical",10,IF(Z125="High",7,IF(Z125="Medium",4,1)))*0.2)+(IF(Y125="YES",10,0)*0.1)</f>
        <v/>
      </c>
      <c r="AB125" s="9">
        <f>IF(G125="YES",2.0,0)+IF(H125="YES",2.0,0)</f>
        <v/>
      </c>
      <c r="AC125" s="9" t="n">
        <v>0</v>
      </c>
      <c r="AD125" s="9">
        <f>K125+AB125+AC125</f>
        <v/>
      </c>
      <c r="AE125" s="9">
        <f>(AD125*0.6)+(AA125*0.4)</f>
        <v/>
      </c>
      <c r="AF125">
        <f>IF(AE125&gt;=9,"Critical",IF(AE125&gt;=7,"High",IF(AE125&gt;=4,"Medium","Low")))</f>
        <v/>
      </c>
    </row>
    <row r="126">
      <c r="F126" t="n">
        <v>1</v>
      </c>
      <c r="I126">
        <f>IF(D126="","",TODAY()-D126)</f>
        <v/>
      </c>
      <c r="K126">
        <f>IF(J126="v4.0",L126,IF(J126="v3.1",M126,IF(J126="Both",L126,IF(AND(L126&lt;&gt;"",M126=""),L126,M126))))</f>
        <v/>
      </c>
      <c r="U126">
        <f>IF(T126="Tier 1",10,IF(T126="Tier 2",7,IF(T126="Tier 3",4,IF(T126="Tier 4",1,0))))</f>
        <v/>
      </c>
      <c r="W126">
        <f>IF(V126="Restricted",10,IF(V126="Confidential",7,IF(V126="Internal",4,IF(V126="Public",1,0))))</f>
        <v/>
      </c>
      <c r="AA126" s="9">
        <f>(U126*0.4)+(W126*0.3)+(IF(Z126="Critical",10,IF(Z126="High",7,IF(Z126="Medium",4,1)))*0.2)+(IF(Y126="YES",10,0)*0.1)</f>
        <v/>
      </c>
      <c r="AB126" s="9">
        <f>IF(G126="YES",2.0,0)+IF(H126="YES",2.0,0)</f>
        <v/>
      </c>
      <c r="AC126" s="9" t="n">
        <v>0</v>
      </c>
      <c r="AD126" s="9">
        <f>K126+AB126+AC126</f>
        <v/>
      </c>
      <c r="AE126" s="9">
        <f>(AD126*0.6)+(AA126*0.4)</f>
        <v/>
      </c>
      <c r="AF126">
        <f>IF(AE126&gt;=9,"Critical",IF(AE126&gt;=7,"High",IF(AE126&gt;=4,"Medium","Low")))</f>
        <v/>
      </c>
    </row>
    <row r="127">
      <c r="F127" t="n">
        <v>1</v>
      </c>
      <c r="I127">
        <f>IF(D127="","",TODAY()-D127)</f>
        <v/>
      </c>
      <c r="K127">
        <f>IF(J127="v4.0",L127,IF(J127="v3.1",M127,IF(J127="Both",L127,IF(AND(L127&lt;&gt;"",M127=""),L127,M127))))</f>
        <v/>
      </c>
      <c r="U127">
        <f>IF(T127="Tier 1",10,IF(T127="Tier 2",7,IF(T127="Tier 3",4,IF(T127="Tier 4",1,0))))</f>
        <v/>
      </c>
      <c r="W127">
        <f>IF(V127="Restricted",10,IF(V127="Confidential",7,IF(V127="Internal",4,IF(V127="Public",1,0))))</f>
        <v/>
      </c>
      <c r="AA127" s="9">
        <f>(U127*0.4)+(W127*0.3)+(IF(Z127="Critical",10,IF(Z127="High",7,IF(Z127="Medium",4,1)))*0.2)+(IF(Y127="YES",10,0)*0.1)</f>
        <v/>
      </c>
      <c r="AB127" s="9">
        <f>IF(G127="YES",2.0,0)+IF(H127="YES",2.0,0)</f>
        <v/>
      </c>
      <c r="AC127" s="9" t="n">
        <v>0</v>
      </c>
      <c r="AD127" s="9">
        <f>K127+AB127+AC127</f>
        <v/>
      </c>
      <c r="AE127" s="9">
        <f>(AD127*0.6)+(AA127*0.4)</f>
        <v/>
      </c>
      <c r="AF127">
        <f>IF(AE127&gt;=9,"Critical",IF(AE127&gt;=7,"High",IF(AE127&gt;=4,"Medium","Low")))</f>
        <v/>
      </c>
    </row>
    <row r="128">
      <c r="F128" t="n">
        <v>1</v>
      </c>
      <c r="I128">
        <f>IF(D128="","",TODAY()-D128)</f>
        <v/>
      </c>
      <c r="K128">
        <f>IF(J128="v4.0",L128,IF(J128="v3.1",M128,IF(J128="Both",L128,IF(AND(L128&lt;&gt;"",M128=""),L128,M128))))</f>
        <v/>
      </c>
      <c r="U128">
        <f>IF(T128="Tier 1",10,IF(T128="Tier 2",7,IF(T128="Tier 3",4,IF(T128="Tier 4",1,0))))</f>
        <v/>
      </c>
      <c r="W128">
        <f>IF(V128="Restricted",10,IF(V128="Confidential",7,IF(V128="Internal",4,IF(V128="Public",1,0))))</f>
        <v/>
      </c>
      <c r="AA128" s="9">
        <f>(U128*0.4)+(W128*0.3)+(IF(Z128="Critical",10,IF(Z128="High",7,IF(Z128="Medium",4,1)))*0.2)+(IF(Y128="YES",10,0)*0.1)</f>
        <v/>
      </c>
      <c r="AB128" s="9">
        <f>IF(G128="YES",2.0,0)+IF(H128="YES",2.0,0)</f>
        <v/>
      </c>
      <c r="AC128" s="9" t="n">
        <v>0</v>
      </c>
      <c r="AD128" s="9">
        <f>K128+AB128+AC128</f>
        <v/>
      </c>
      <c r="AE128" s="9">
        <f>(AD128*0.6)+(AA128*0.4)</f>
        <v/>
      </c>
      <c r="AF128">
        <f>IF(AE128&gt;=9,"Critical",IF(AE128&gt;=7,"High",IF(AE128&gt;=4,"Medium","Low")))</f>
        <v/>
      </c>
    </row>
    <row r="129">
      <c r="F129" t="n">
        <v>1</v>
      </c>
      <c r="I129">
        <f>IF(D129="","",TODAY()-D129)</f>
        <v/>
      </c>
      <c r="K129">
        <f>IF(J129="v4.0",L129,IF(J129="v3.1",M129,IF(J129="Both",L129,IF(AND(L129&lt;&gt;"",M129=""),L129,M129))))</f>
        <v/>
      </c>
      <c r="U129">
        <f>IF(T129="Tier 1",10,IF(T129="Tier 2",7,IF(T129="Tier 3",4,IF(T129="Tier 4",1,0))))</f>
        <v/>
      </c>
      <c r="W129">
        <f>IF(V129="Restricted",10,IF(V129="Confidential",7,IF(V129="Internal",4,IF(V129="Public",1,0))))</f>
        <v/>
      </c>
      <c r="AA129" s="9">
        <f>(U129*0.4)+(W129*0.3)+(IF(Z129="Critical",10,IF(Z129="High",7,IF(Z129="Medium",4,1)))*0.2)+(IF(Y129="YES",10,0)*0.1)</f>
        <v/>
      </c>
      <c r="AB129" s="9">
        <f>IF(G129="YES",2.0,0)+IF(H129="YES",2.0,0)</f>
        <v/>
      </c>
      <c r="AC129" s="9" t="n">
        <v>0</v>
      </c>
      <c r="AD129" s="9">
        <f>K129+AB129+AC129</f>
        <v/>
      </c>
      <c r="AE129" s="9">
        <f>(AD129*0.6)+(AA129*0.4)</f>
        <v/>
      </c>
      <c r="AF129">
        <f>IF(AE129&gt;=9,"Critical",IF(AE129&gt;=7,"High",IF(AE129&gt;=4,"Medium","Low")))</f>
        <v/>
      </c>
    </row>
    <row r="130">
      <c r="F130" t="n">
        <v>1</v>
      </c>
      <c r="I130">
        <f>IF(D130="","",TODAY()-D130)</f>
        <v/>
      </c>
      <c r="K130">
        <f>IF(J130="v4.0",L130,IF(J130="v3.1",M130,IF(J130="Both",L130,IF(AND(L130&lt;&gt;"",M130=""),L130,M130))))</f>
        <v/>
      </c>
      <c r="U130">
        <f>IF(T130="Tier 1",10,IF(T130="Tier 2",7,IF(T130="Tier 3",4,IF(T130="Tier 4",1,0))))</f>
        <v/>
      </c>
      <c r="W130">
        <f>IF(V130="Restricted",10,IF(V130="Confidential",7,IF(V130="Internal",4,IF(V130="Public",1,0))))</f>
        <v/>
      </c>
      <c r="AA130" s="9">
        <f>(U130*0.4)+(W130*0.3)+(IF(Z130="Critical",10,IF(Z130="High",7,IF(Z130="Medium",4,1)))*0.2)+(IF(Y130="YES",10,0)*0.1)</f>
        <v/>
      </c>
      <c r="AB130" s="9">
        <f>IF(G130="YES",2.0,0)+IF(H130="YES",2.0,0)</f>
        <v/>
      </c>
      <c r="AC130" s="9" t="n">
        <v>0</v>
      </c>
      <c r="AD130" s="9">
        <f>K130+AB130+AC130</f>
        <v/>
      </c>
      <c r="AE130" s="9">
        <f>(AD130*0.6)+(AA130*0.4)</f>
        <v/>
      </c>
      <c r="AF130">
        <f>IF(AE130&gt;=9,"Critical",IF(AE130&gt;=7,"High",IF(AE130&gt;=4,"Medium","Low")))</f>
        <v/>
      </c>
    </row>
    <row r="131">
      <c r="F131" t="n">
        <v>1</v>
      </c>
      <c r="I131">
        <f>IF(D131="","",TODAY()-D131)</f>
        <v/>
      </c>
      <c r="K131">
        <f>IF(J131="v4.0",L131,IF(J131="v3.1",M131,IF(J131="Both",L131,IF(AND(L131&lt;&gt;"",M131=""),L131,M131))))</f>
        <v/>
      </c>
      <c r="U131">
        <f>IF(T131="Tier 1",10,IF(T131="Tier 2",7,IF(T131="Tier 3",4,IF(T131="Tier 4",1,0))))</f>
        <v/>
      </c>
      <c r="W131">
        <f>IF(V131="Restricted",10,IF(V131="Confidential",7,IF(V131="Internal",4,IF(V131="Public",1,0))))</f>
        <v/>
      </c>
      <c r="AA131" s="9">
        <f>(U131*0.4)+(W131*0.3)+(IF(Z131="Critical",10,IF(Z131="High",7,IF(Z131="Medium",4,1)))*0.2)+(IF(Y131="YES",10,0)*0.1)</f>
        <v/>
      </c>
      <c r="AB131" s="9">
        <f>IF(G131="YES",2.0,0)+IF(H131="YES",2.0,0)</f>
        <v/>
      </c>
      <c r="AC131" s="9" t="n">
        <v>0</v>
      </c>
      <c r="AD131" s="9">
        <f>K131+AB131+AC131</f>
        <v/>
      </c>
      <c r="AE131" s="9">
        <f>(AD131*0.6)+(AA131*0.4)</f>
        <v/>
      </c>
      <c r="AF131">
        <f>IF(AE131&gt;=9,"Critical",IF(AE131&gt;=7,"High",IF(AE131&gt;=4,"Medium","Low")))</f>
        <v/>
      </c>
    </row>
    <row r="132">
      <c r="F132" t="n">
        <v>1</v>
      </c>
      <c r="I132">
        <f>IF(D132="","",TODAY()-D132)</f>
        <v/>
      </c>
      <c r="K132">
        <f>IF(J132="v4.0",L132,IF(J132="v3.1",M132,IF(J132="Both",L132,IF(AND(L132&lt;&gt;"",M132=""),L132,M132))))</f>
        <v/>
      </c>
      <c r="U132">
        <f>IF(T132="Tier 1",10,IF(T132="Tier 2",7,IF(T132="Tier 3",4,IF(T132="Tier 4",1,0))))</f>
        <v/>
      </c>
      <c r="W132">
        <f>IF(V132="Restricted",10,IF(V132="Confidential",7,IF(V132="Internal",4,IF(V132="Public",1,0))))</f>
        <v/>
      </c>
      <c r="AA132" s="9">
        <f>(U132*0.4)+(W132*0.3)+(IF(Z132="Critical",10,IF(Z132="High",7,IF(Z132="Medium",4,1)))*0.2)+(IF(Y132="YES",10,0)*0.1)</f>
        <v/>
      </c>
      <c r="AB132" s="9">
        <f>IF(G132="YES",2.0,0)+IF(H132="YES",2.0,0)</f>
        <v/>
      </c>
      <c r="AC132" s="9" t="n">
        <v>0</v>
      </c>
      <c r="AD132" s="9">
        <f>K132+AB132+AC132</f>
        <v/>
      </c>
      <c r="AE132" s="9">
        <f>(AD132*0.6)+(AA132*0.4)</f>
        <v/>
      </c>
      <c r="AF132">
        <f>IF(AE132&gt;=9,"Critical",IF(AE132&gt;=7,"High",IF(AE132&gt;=4,"Medium","Low")))</f>
        <v/>
      </c>
    </row>
    <row r="133">
      <c r="F133" t="n">
        <v>1</v>
      </c>
      <c r="I133">
        <f>IF(D133="","",TODAY()-D133)</f>
        <v/>
      </c>
      <c r="K133">
        <f>IF(J133="v4.0",L133,IF(J133="v3.1",M133,IF(J133="Both",L133,IF(AND(L133&lt;&gt;"",M133=""),L133,M133))))</f>
        <v/>
      </c>
      <c r="U133">
        <f>IF(T133="Tier 1",10,IF(T133="Tier 2",7,IF(T133="Tier 3",4,IF(T133="Tier 4",1,0))))</f>
        <v/>
      </c>
      <c r="W133">
        <f>IF(V133="Restricted",10,IF(V133="Confidential",7,IF(V133="Internal",4,IF(V133="Public",1,0))))</f>
        <v/>
      </c>
      <c r="AA133" s="9">
        <f>(U133*0.4)+(W133*0.3)+(IF(Z133="Critical",10,IF(Z133="High",7,IF(Z133="Medium",4,1)))*0.2)+(IF(Y133="YES",10,0)*0.1)</f>
        <v/>
      </c>
      <c r="AB133" s="9">
        <f>IF(G133="YES",2.0,0)+IF(H133="YES",2.0,0)</f>
        <v/>
      </c>
      <c r="AC133" s="9" t="n">
        <v>0</v>
      </c>
      <c r="AD133" s="9">
        <f>K133+AB133+AC133</f>
        <v/>
      </c>
      <c r="AE133" s="9">
        <f>(AD133*0.6)+(AA133*0.4)</f>
        <v/>
      </c>
      <c r="AF133">
        <f>IF(AE133&gt;=9,"Critical",IF(AE133&gt;=7,"High",IF(AE133&gt;=4,"Medium","Low")))</f>
        <v/>
      </c>
    </row>
    <row r="134">
      <c r="F134" t="n">
        <v>1</v>
      </c>
      <c r="I134">
        <f>IF(D134="","",TODAY()-D134)</f>
        <v/>
      </c>
      <c r="K134">
        <f>IF(J134="v4.0",L134,IF(J134="v3.1",M134,IF(J134="Both",L134,IF(AND(L134&lt;&gt;"",M134=""),L134,M134))))</f>
        <v/>
      </c>
      <c r="U134">
        <f>IF(T134="Tier 1",10,IF(T134="Tier 2",7,IF(T134="Tier 3",4,IF(T134="Tier 4",1,0))))</f>
        <v/>
      </c>
      <c r="W134">
        <f>IF(V134="Restricted",10,IF(V134="Confidential",7,IF(V134="Internal",4,IF(V134="Public",1,0))))</f>
        <v/>
      </c>
      <c r="AA134" s="9">
        <f>(U134*0.4)+(W134*0.3)+(IF(Z134="Critical",10,IF(Z134="High",7,IF(Z134="Medium",4,1)))*0.2)+(IF(Y134="YES",10,0)*0.1)</f>
        <v/>
      </c>
      <c r="AB134" s="9">
        <f>IF(G134="YES",2.0,0)+IF(H134="YES",2.0,0)</f>
        <v/>
      </c>
      <c r="AC134" s="9" t="n">
        <v>0</v>
      </c>
      <c r="AD134" s="9">
        <f>K134+AB134+AC134</f>
        <v/>
      </c>
      <c r="AE134" s="9">
        <f>(AD134*0.6)+(AA134*0.4)</f>
        <v/>
      </c>
      <c r="AF134">
        <f>IF(AE134&gt;=9,"Critical",IF(AE134&gt;=7,"High",IF(AE134&gt;=4,"Medium","Low")))</f>
        <v/>
      </c>
    </row>
    <row r="135">
      <c r="F135" t="n">
        <v>1</v>
      </c>
      <c r="I135">
        <f>IF(D135="","",TODAY()-D135)</f>
        <v/>
      </c>
      <c r="K135">
        <f>IF(J135="v4.0",L135,IF(J135="v3.1",M135,IF(J135="Both",L135,IF(AND(L135&lt;&gt;"",M135=""),L135,M135))))</f>
        <v/>
      </c>
      <c r="U135">
        <f>IF(T135="Tier 1",10,IF(T135="Tier 2",7,IF(T135="Tier 3",4,IF(T135="Tier 4",1,0))))</f>
        <v/>
      </c>
      <c r="W135">
        <f>IF(V135="Restricted",10,IF(V135="Confidential",7,IF(V135="Internal",4,IF(V135="Public",1,0))))</f>
        <v/>
      </c>
      <c r="AA135" s="9">
        <f>(U135*0.4)+(W135*0.3)+(IF(Z135="Critical",10,IF(Z135="High",7,IF(Z135="Medium",4,1)))*0.2)+(IF(Y135="YES",10,0)*0.1)</f>
        <v/>
      </c>
      <c r="AB135" s="9">
        <f>IF(G135="YES",2.0,0)+IF(H135="YES",2.0,0)</f>
        <v/>
      </c>
      <c r="AC135" s="9" t="n">
        <v>0</v>
      </c>
      <c r="AD135" s="9">
        <f>K135+AB135+AC135</f>
        <v/>
      </c>
      <c r="AE135" s="9">
        <f>(AD135*0.6)+(AA135*0.4)</f>
        <v/>
      </c>
      <c r="AF135">
        <f>IF(AE135&gt;=9,"Critical",IF(AE135&gt;=7,"High",IF(AE135&gt;=4,"Medium","Low")))</f>
        <v/>
      </c>
    </row>
    <row r="136">
      <c r="F136" t="n">
        <v>1</v>
      </c>
      <c r="I136">
        <f>IF(D136="","",TODAY()-D136)</f>
        <v/>
      </c>
      <c r="K136">
        <f>IF(J136="v4.0",L136,IF(J136="v3.1",M136,IF(J136="Both",L136,IF(AND(L136&lt;&gt;"",M136=""),L136,M136))))</f>
        <v/>
      </c>
      <c r="U136">
        <f>IF(T136="Tier 1",10,IF(T136="Tier 2",7,IF(T136="Tier 3",4,IF(T136="Tier 4",1,0))))</f>
        <v/>
      </c>
      <c r="W136">
        <f>IF(V136="Restricted",10,IF(V136="Confidential",7,IF(V136="Internal",4,IF(V136="Public",1,0))))</f>
        <v/>
      </c>
      <c r="AA136" s="9">
        <f>(U136*0.4)+(W136*0.3)+(IF(Z136="Critical",10,IF(Z136="High",7,IF(Z136="Medium",4,1)))*0.2)+(IF(Y136="YES",10,0)*0.1)</f>
        <v/>
      </c>
      <c r="AB136" s="9">
        <f>IF(G136="YES",2.0,0)+IF(H136="YES",2.0,0)</f>
        <v/>
      </c>
      <c r="AC136" s="9" t="n">
        <v>0</v>
      </c>
      <c r="AD136" s="9">
        <f>K136+AB136+AC136</f>
        <v/>
      </c>
      <c r="AE136" s="9">
        <f>(AD136*0.6)+(AA136*0.4)</f>
        <v/>
      </c>
      <c r="AF136">
        <f>IF(AE136&gt;=9,"Critical",IF(AE136&gt;=7,"High",IF(AE136&gt;=4,"Medium","Low")))</f>
        <v/>
      </c>
    </row>
    <row r="137">
      <c r="F137" t="n">
        <v>1</v>
      </c>
      <c r="I137">
        <f>IF(D137="","",TODAY()-D137)</f>
        <v/>
      </c>
      <c r="K137">
        <f>IF(J137="v4.0",L137,IF(J137="v3.1",M137,IF(J137="Both",L137,IF(AND(L137&lt;&gt;"",M137=""),L137,M137))))</f>
        <v/>
      </c>
      <c r="U137">
        <f>IF(T137="Tier 1",10,IF(T137="Tier 2",7,IF(T137="Tier 3",4,IF(T137="Tier 4",1,0))))</f>
        <v/>
      </c>
      <c r="W137">
        <f>IF(V137="Restricted",10,IF(V137="Confidential",7,IF(V137="Internal",4,IF(V137="Public",1,0))))</f>
        <v/>
      </c>
      <c r="AA137" s="9">
        <f>(U137*0.4)+(W137*0.3)+(IF(Z137="Critical",10,IF(Z137="High",7,IF(Z137="Medium",4,1)))*0.2)+(IF(Y137="YES",10,0)*0.1)</f>
        <v/>
      </c>
      <c r="AB137" s="9">
        <f>IF(G137="YES",2.0,0)+IF(H137="YES",2.0,0)</f>
        <v/>
      </c>
      <c r="AC137" s="9" t="n">
        <v>0</v>
      </c>
      <c r="AD137" s="9">
        <f>K137+AB137+AC137</f>
        <v/>
      </c>
      <c r="AE137" s="9">
        <f>(AD137*0.6)+(AA137*0.4)</f>
        <v/>
      </c>
      <c r="AF137">
        <f>IF(AE137&gt;=9,"Critical",IF(AE137&gt;=7,"High",IF(AE137&gt;=4,"Medium","Low")))</f>
        <v/>
      </c>
    </row>
    <row r="138">
      <c r="F138" t="n">
        <v>1</v>
      </c>
      <c r="I138">
        <f>IF(D138="","",TODAY()-D138)</f>
        <v/>
      </c>
      <c r="K138">
        <f>IF(J138="v4.0",L138,IF(J138="v3.1",M138,IF(J138="Both",L138,IF(AND(L138&lt;&gt;"",M138=""),L138,M138))))</f>
        <v/>
      </c>
      <c r="U138">
        <f>IF(T138="Tier 1",10,IF(T138="Tier 2",7,IF(T138="Tier 3",4,IF(T138="Tier 4",1,0))))</f>
        <v/>
      </c>
      <c r="W138">
        <f>IF(V138="Restricted",10,IF(V138="Confidential",7,IF(V138="Internal",4,IF(V138="Public",1,0))))</f>
        <v/>
      </c>
      <c r="AA138" s="9">
        <f>(U138*0.4)+(W138*0.3)+(IF(Z138="Critical",10,IF(Z138="High",7,IF(Z138="Medium",4,1)))*0.2)+(IF(Y138="YES",10,0)*0.1)</f>
        <v/>
      </c>
      <c r="AB138" s="9">
        <f>IF(G138="YES",2.0,0)+IF(H138="YES",2.0,0)</f>
        <v/>
      </c>
      <c r="AC138" s="9" t="n">
        <v>0</v>
      </c>
      <c r="AD138" s="9">
        <f>K138+AB138+AC138</f>
        <v/>
      </c>
      <c r="AE138" s="9">
        <f>(AD138*0.6)+(AA138*0.4)</f>
        <v/>
      </c>
      <c r="AF138">
        <f>IF(AE138&gt;=9,"Critical",IF(AE138&gt;=7,"High",IF(AE138&gt;=4,"Medium","Low")))</f>
        <v/>
      </c>
    </row>
    <row r="139">
      <c r="F139" t="n">
        <v>1</v>
      </c>
      <c r="I139">
        <f>IF(D139="","",TODAY()-D139)</f>
        <v/>
      </c>
      <c r="K139">
        <f>IF(J139="v4.0",L139,IF(J139="v3.1",M139,IF(J139="Both",L139,IF(AND(L139&lt;&gt;"",M139=""),L139,M139))))</f>
        <v/>
      </c>
      <c r="U139">
        <f>IF(T139="Tier 1",10,IF(T139="Tier 2",7,IF(T139="Tier 3",4,IF(T139="Tier 4",1,0))))</f>
        <v/>
      </c>
      <c r="W139">
        <f>IF(V139="Restricted",10,IF(V139="Confidential",7,IF(V139="Internal",4,IF(V139="Public",1,0))))</f>
        <v/>
      </c>
      <c r="AA139" s="9">
        <f>(U139*0.4)+(W139*0.3)+(IF(Z139="Critical",10,IF(Z139="High",7,IF(Z139="Medium",4,1)))*0.2)+(IF(Y139="YES",10,0)*0.1)</f>
        <v/>
      </c>
      <c r="AB139" s="9">
        <f>IF(G139="YES",2.0,0)+IF(H139="YES",2.0,0)</f>
        <v/>
      </c>
      <c r="AC139" s="9" t="n">
        <v>0</v>
      </c>
      <c r="AD139" s="9">
        <f>K139+AB139+AC139</f>
        <v/>
      </c>
      <c r="AE139" s="9">
        <f>(AD139*0.6)+(AA139*0.4)</f>
        <v/>
      </c>
      <c r="AF139">
        <f>IF(AE139&gt;=9,"Critical",IF(AE139&gt;=7,"High",IF(AE139&gt;=4,"Medium","Low")))</f>
        <v/>
      </c>
    </row>
    <row r="140">
      <c r="F140" t="n">
        <v>1</v>
      </c>
      <c r="I140">
        <f>IF(D140="","",TODAY()-D140)</f>
        <v/>
      </c>
      <c r="K140">
        <f>IF(J140="v4.0",L140,IF(J140="v3.1",M140,IF(J140="Both",L140,IF(AND(L140&lt;&gt;"",M140=""),L140,M140))))</f>
        <v/>
      </c>
      <c r="U140">
        <f>IF(T140="Tier 1",10,IF(T140="Tier 2",7,IF(T140="Tier 3",4,IF(T140="Tier 4",1,0))))</f>
        <v/>
      </c>
      <c r="W140">
        <f>IF(V140="Restricted",10,IF(V140="Confidential",7,IF(V140="Internal",4,IF(V140="Public",1,0))))</f>
        <v/>
      </c>
      <c r="AA140" s="9">
        <f>(U140*0.4)+(W140*0.3)+(IF(Z140="Critical",10,IF(Z140="High",7,IF(Z140="Medium",4,1)))*0.2)+(IF(Y140="YES",10,0)*0.1)</f>
        <v/>
      </c>
      <c r="AB140" s="9">
        <f>IF(G140="YES",2.0,0)+IF(H140="YES",2.0,0)</f>
        <v/>
      </c>
      <c r="AC140" s="9" t="n">
        <v>0</v>
      </c>
      <c r="AD140" s="9">
        <f>K140+AB140+AC140</f>
        <v/>
      </c>
      <c r="AE140" s="9">
        <f>(AD140*0.6)+(AA140*0.4)</f>
        <v/>
      </c>
      <c r="AF140">
        <f>IF(AE140&gt;=9,"Critical",IF(AE140&gt;=7,"High",IF(AE140&gt;=4,"Medium","Low")))</f>
        <v/>
      </c>
    </row>
    <row r="141">
      <c r="F141" t="n">
        <v>1</v>
      </c>
      <c r="I141">
        <f>IF(D141="","",TODAY()-D141)</f>
        <v/>
      </c>
      <c r="K141">
        <f>IF(J141="v4.0",L141,IF(J141="v3.1",M141,IF(J141="Both",L141,IF(AND(L141&lt;&gt;"",M141=""),L141,M141))))</f>
        <v/>
      </c>
      <c r="U141">
        <f>IF(T141="Tier 1",10,IF(T141="Tier 2",7,IF(T141="Tier 3",4,IF(T141="Tier 4",1,0))))</f>
        <v/>
      </c>
      <c r="W141">
        <f>IF(V141="Restricted",10,IF(V141="Confidential",7,IF(V141="Internal",4,IF(V141="Public",1,0))))</f>
        <v/>
      </c>
      <c r="AA141" s="9">
        <f>(U141*0.4)+(W141*0.3)+(IF(Z141="Critical",10,IF(Z141="High",7,IF(Z141="Medium",4,1)))*0.2)+(IF(Y141="YES",10,0)*0.1)</f>
        <v/>
      </c>
      <c r="AB141" s="9">
        <f>IF(G141="YES",2.0,0)+IF(H141="YES",2.0,0)</f>
        <v/>
      </c>
      <c r="AC141" s="9" t="n">
        <v>0</v>
      </c>
      <c r="AD141" s="9">
        <f>K141+AB141+AC141</f>
        <v/>
      </c>
      <c r="AE141" s="9">
        <f>(AD141*0.6)+(AA141*0.4)</f>
        <v/>
      </c>
      <c r="AF141">
        <f>IF(AE141&gt;=9,"Critical",IF(AE141&gt;=7,"High",IF(AE141&gt;=4,"Medium","Low")))</f>
        <v/>
      </c>
    </row>
    <row r="142">
      <c r="F142" t="n">
        <v>1</v>
      </c>
      <c r="I142">
        <f>IF(D142="","",TODAY()-D142)</f>
        <v/>
      </c>
      <c r="K142">
        <f>IF(J142="v4.0",L142,IF(J142="v3.1",M142,IF(J142="Both",L142,IF(AND(L142&lt;&gt;"",M142=""),L142,M142))))</f>
        <v/>
      </c>
      <c r="U142">
        <f>IF(T142="Tier 1",10,IF(T142="Tier 2",7,IF(T142="Tier 3",4,IF(T142="Tier 4",1,0))))</f>
        <v/>
      </c>
      <c r="W142">
        <f>IF(V142="Restricted",10,IF(V142="Confidential",7,IF(V142="Internal",4,IF(V142="Public",1,0))))</f>
        <v/>
      </c>
      <c r="AA142" s="9">
        <f>(U142*0.4)+(W142*0.3)+(IF(Z142="Critical",10,IF(Z142="High",7,IF(Z142="Medium",4,1)))*0.2)+(IF(Y142="YES",10,0)*0.1)</f>
        <v/>
      </c>
      <c r="AB142" s="9">
        <f>IF(G142="YES",2.0,0)+IF(H142="YES",2.0,0)</f>
        <v/>
      </c>
      <c r="AC142" s="9" t="n">
        <v>0</v>
      </c>
      <c r="AD142" s="9">
        <f>K142+AB142+AC142</f>
        <v/>
      </c>
      <c r="AE142" s="9">
        <f>(AD142*0.6)+(AA142*0.4)</f>
        <v/>
      </c>
      <c r="AF142">
        <f>IF(AE142&gt;=9,"Critical",IF(AE142&gt;=7,"High",IF(AE142&gt;=4,"Medium","Low")))</f>
        <v/>
      </c>
    </row>
    <row r="143">
      <c r="F143" t="n">
        <v>1</v>
      </c>
      <c r="I143">
        <f>IF(D143="","",TODAY()-D143)</f>
        <v/>
      </c>
      <c r="K143">
        <f>IF(J143="v4.0",L143,IF(J143="v3.1",M143,IF(J143="Both",L143,IF(AND(L143&lt;&gt;"",M143=""),L143,M143))))</f>
        <v/>
      </c>
      <c r="U143">
        <f>IF(T143="Tier 1",10,IF(T143="Tier 2",7,IF(T143="Tier 3",4,IF(T143="Tier 4",1,0))))</f>
        <v/>
      </c>
      <c r="W143">
        <f>IF(V143="Restricted",10,IF(V143="Confidential",7,IF(V143="Internal",4,IF(V143="Public",1,0))))</f>
        <v/>
      </c>
      <c r="AA143" s="9">
        <f>(U143*0.4)+(W143*0.3)+(IF(Z143="Critical",10,IF(Z143="High",7,IF(Z143="Medium",4,1)))*0.2)+(IF(Y143="YES",10,0)*0.1)</f>
        <v/>
      </c>
      <c r="AB143" s="9">
        <f>IF(G143="YES",2.0,0)+IF(H143="YES",2.0,0)</f>
        <v/>
      </c>
      <c r="AC143" s="9" t="n">
        <v>0</v>
      </c>
      <c r="AD143" s="9">
        <f>K143+AB143+AC143</f>
        <v/>
      </c>
      <c r="AE143" s="9">
        <f>(AD143*0.6)+(AA143*0.4)</f>
        <v/>
      </c>
      <c r="AF143">
        <f>IF(AE143&gt;=9,"Critical",IF(AE143&gt;=7,"High",IF(AE143&gt;=4,"Medium","Low")))</f>
        <v/>
      </c>
    </row>
    <row r="144">
      <c r="F144" t="n">
        <v>1</v>
      </c>
      <c r="I144">
        <f>IF(D144="","",TODAY()-D144)</f>
        <v/>
      </c>
      <c r="K144">
        <f>IF(J144="v4.0",L144,IF(J144="v3.1",M144,IF(J144="Both",L144,IF(AND(L144&lt;&gt;"",M144=""),L144,M144))))</f>
        <v/>
      </c>
      <c r="U144">
        <f>IF(T144="Tier 1",10,IF(T144="Tier 2",7,IF(T144="Tier 3",4,IF(T144="Tier 4",1,0))))</f>
        <v/>
      </c>
      <c r="W144">
        <f>IF(V144="Restricted",10,IF(V144="Confidential",7,IF(V144="Internal",4,IF(V144="Public",1,0))))</f>
        <v/>
      </c>
      <c r="AA144" s="9">
        <f>(U144*0.4)+(W144*0.3)+(IF(Z144="Critical",10,IF(Z144="High",7,IF(Z144="Medium",4,1)))*0.2)+(IF(Y144="YES",10,0)*0.1)</f>
        <v/>
      </c>
      <c r="AB144" s="9">
        <f>IF(G144="YES",2.0,0)+IF(H144="YES",2.0,0)</f>
        <v/>
      </c>
      <c r="AC144" s="9" t="n">
        <v>0</v>
      </c>
      <c r="AD144" s="9">
        <f>K144+AB144+AC144</f>
        <v/>
      </c>
      <c r="AE144" s="9">
        <f>(AD144*0.6)+(AA144*0.4)</f>
        <v/>
      </c>
      <c r="AF144">
        <f>IF(AE144&gt;=9,"Critical",IF(AE144&gt;=7,"High",IF(AE144&gt;=4,"Medium","Low")))</f>
        <v/>
      </c>
    </row>
    <row r="145">
      <c r="F145" t="n">
        <v>1</v>
      </c>
      <c r="I145">
        <f>IF(D145="","",TODAY()-D145)</f>
        <v/>
      </c>
      <c r="K145">
        <f>IF(J145="v4.0",L145,IF(J145="v3.1",M145,IF(J145="Both",L145,IF(AND(L145&lt;&gt;"",M145=""),L145,M145))))</f>
        <v/>
      </c>
      <c r="U145">
        <f>IF(T145="Tier 1",10,IF(T145="Tier 2",7,IF(T145="Tier 3",4,IF(T145="Tier 4",1,0))))</f>
        <v/>
      </c>
      <c r="W145">
        <f>IF(V145="Restricted",10,IF(V145="Confidential",7,IF(V145="Internal",4,IF(V145="Public",1,0))))</f>
        <v/>
      </c>
      <c r="AA145" s="9">
        <f>(U145*0.4)+(W145*0.3)+(IF(Z145="Critical",10,IF(Z145="High",7,IF(Z145="Medium",4,1)))*0.2)+(IF(Y145="YES",10,0)*0.1)</f>
        <v/>
      </c>
      <c r="AB145" s="9">
        <f>IF(G145="YES",2.0,0)+IF(H145="YES",2.0,0)</f>
        <v/>
      </c>
      <c r="AC145" s="9" t="n">
        <v>0</v>
      </c>
      <c r="AD145" s="9">
        <f>K145+AB145+AC145</f>
        <v/>
      </c>
      <c r="AE145" s="9">
        <f>(AD145*0.6)+(AA145*0.4)</f>
        <v/>
      </c>
      <c r="AF145">
        <f>IF(AE145&gt;=9,"Critical",IF(AE145&gt;=7,"High",IF(AE145&gt;=4,"Medium","Low")))</f>
        <v/>
      </c>
    </row>
    <row r="146">
      <c r="F146" t="n">
        <v>1</v>
      </c>
      <c r="I146">
        <f>IF(D146="","",TODAY()-D146)</f>
        <v/>
      </c>
      <c r="K146">
        <f>IF(J146="v4.0",L146,IF(J146="v3.1",M146,IF(J146="Both",L146,IF(AND(L146&lt;&gt;"",M146=""),L146,M146))))</f>
        <v/>
      </c>
      <c r="U146">
        <f>IF(T146="Tier 1",10,IF(T146="Tier 2",7,IF(T146="Tier 3",4,IF(T146="Tier 4",1,0))))</f>
        <v/>
      </c>
      <c r="W146">
        <f>IF(V146="Restricted",10,IF(V146="Confidential",7,IF(V146="Internal",4,IF(V146="Public",1,0))))</f>
        <v/>
      </c>
      <c r="AA146" s="9">
        <f>(U146*0.4)+(W146*0.3)+(IF(Z146="Critical",10,IF(Z146="High",7,IF(Z146="Medium",4,1)))*0.2)+(IF(Y146="YES",10,0)*0.1)</f>
        <v/>
      </c>
      <c r="AB146" s="9">
        <f>IF(G146="YES",2.0,0)+IF(H146="YES",2.0,0)</f>
        <v/>
      </c>
      <c r="AC146" s="9" t="n">
        <v>0</v>
      </c>
      <c r="AD146" s="9">
        <f>K146+AB146+AC146</f>
        <v/>
      </c>
      <c r="AE146" s="9">
        <f>(AD146*0.6)+(AA146*0.4)</f>
        <v/>
      </c>
      <c r="AF146">
        <f>IF(AE146&gt;=9,"Critical",IF(AE146&gt;=7,"High",IF(AE146&gt;=4,"Medium","Low")))</f>
        <v/>
      </c>
    </row>
    <row r="147">
      <c r="F147" t="n">
        <v>1</v>
      </c>
      <c r="I147">
        <f>IF(D147="","",TODAY()-D147)</f>
        <v/>
      </c>
      <c r="K147">
        <f>IF(J147="v4.0",L147,IF(J147="v3.1",M147,IF(J147="Both",L147,IF(AND(L147&lt;&gt;"",M147=""),L147,M147))))</f>
        <v/>
      </c>
      <c r="U147">
        <f>IF(T147="Tier 1",10,IF(T147="Tier 2",7,IF(T147="Tier 3",4,IF(T147="Tier 4",1,0))))</f>
        <v/>
      </c>
      <c r="W147">
        <f>IF(V147="Restricted",10,IF(V147="Confidential",7,IF(V147="Internal",4,IF(V147="Public",1,0))))</f>
        <v/>
      </c>
      <c r="AA147" s="9">
        <f>(U147*0.4)+(W147*0.3)+(IF(Z147="Critical",10,IF(Z147="High",7,IF(Z147="Medium",4,1)))*0.2)+(IF(Y147="YES",10,0)*0.1)</f>
        <v/>
      </c>
      <c r="AB147" s="9">
        <f>IF(G147="YES",2.0,0)+IF(H147="YES",2.0,0)</f>
        <v/>
      </c>
      <c r="AC147" s="9" t="n">
        <v>0</v>
      </c>
      <c r="AD147" s="9">
        <f>K147+AB147+AC147</f>
        <v/>
      </c>
      <c r="AE147" s="9">
        <f>(AD147*0.6)+(AA147*0.4)</f>
        <v/>
      </c>
      <c r="AF147">
        <f>IF(AE147&gt;=9,"Critical",IF(AE147&gt;=7,"High",IF(AE147&gt;=4,"Medium","Low")))</f>
        <v/>
      </c>
    </row>
    <row r="148">
      <c r="F148" t="n">
        <v>1</v>
      </c>
      <c r="I148">
        <f>IF(D148="","",TODAY()-D148)</f>
        <v/>
      </c>
      <c r="K148">
        <f>IF(J148="v4.0",L148,IF(J148="v3.1",M148,IF(J148="Both",L148,IF(AND(L148&lt;&gt;"",M148=""),L148,M148))))</f>
        <v/>
      </c>
      <c r="U148">
        <f>IF(T148="Tier 1",10,IF(T148="Tier 2",7,IF(T148="Tier 3",4,IF(T148="Tier 4",1,0))))</f>
        <v/>
      </c>
      <c r="W148">
        <f>IF(V148="Restricted",10,IF(V148="Confidential",7,IF(V148="Internal",4,IF(V148="Public",1,0))))</f>
        <v/>
      </c>
      <c r="AA148" s="9">
        <f>(U148*0.4)+(W148*0.3)+(IF(Z148="Critical",10,IF(Z148="High",7,IF(Z148="Medium",4,1)))*0.2)+(IF(Y148="YES",10,0)*0.1)</f>
        <v/>
      </c>
      <c r="AB148" s="9">
        <f>IF(G148="YES",2.0,0)+IF(H148="YES",2.0,0)</f>
        <v/>
      </c>
      <c r="AC148" s="9" t="n">
        <v>0</v>
      </c>
      <c r="AD148" s="9">
        <f>K148+AB148+AC148</f>
        <v/>
      </c>
      <c r="AE148" s="9">
        <f>(AD148*0.6)+(AA148*0.4)</f>
        <v/>
      </c>
      <c r="AF148">
        <f>IF(AE148&gt;=9,"Critical",IF(AE148&gt;=7,"High",IF(AE148&gt;=4,"Medium","Low")))</f>
        <v/>
      </c>
    </row>
    <row r="149">
      <c r="F149" t="n">
        <v>1</v>
      </c>
      <c r="I149">
        <f>IF(D149="","",TODAY()-D149)</f>
        <v/>
      </c>
      <c r="K149">
        <f>IF(J149="v4.0",L149,IF(J149="v3.1",M149,IF(J149="Both",L149,IF(AND(L149&lt;&gt;"",M149=""),L149,M149))))</f>
        <v/>
      </c>
      <c r="U149">
        <f>IF(T149="Tier 1",10,IF(T149="Tier 2",7,IF(T149="Tier 3",4,IF(T149="Tier 4",1,0))))</f>
        <v/>
      </c>
      <c r="W149">
        <f>IF(V149="Restricted",10,IF(V149="Confidential",7,IF(V149="Internal",4,IF(V149="Public",1,0))))</f>
        <v/>
      </c>
      <c r="AA149" s="9">
        <f>(U149*0.4)+(W149*0.3)+(IF(Z149="Critical",10,IF(Z149="High",7,IF(Z149="Medium",4,1)))*0.2)+(IF(Y149="YES",10,0)*0.1)</f>
        <v/>
      </c>
      <c r="AB149" s="9">
        <f>IF(G149="YES",2.0,0)+IF(H149="YES",2.0,0)</f>
        <v/>
      </c>
      <c r="AC149" s="9" t="n">
        <v>0</v>
      </c>
      <c r="AD149" s="9">
        <f>K149+AB149+AC149</f>
        <v/>
      </c>
      <c r="AE149" s="9">
        <f>(AD149*0.6)+(AA149*0.4)</f>
        <v/>
      </c>
      <c r="AF149">
        <f>IF(AE149&gt;=9,"Critical",IF(AE149&gt;=7,"High",IF(AE149&gt;=4,"Medium","Low")))</f>
        <v/>
      </c>
    </row>
    <row r="150">
      <c r="F150" t="n">
        <v>1</v>
      </c>
      <c r="I150">
        <f>IF(D150="","",TODAY()-D150)</f>
        <v/>
      </c>
      <c r="K150">
        <f>IF(J150="v4.0",L150,IF(J150="v3.1",M150,IF(J150="Both",L150,IF(AND(L150&lt;&gt;"",M150=""),L150,M150))))</f>
        <v/>
      </c>
      <c r="U150">
        <f>IF(T150="Tier 1",10,IF(T150="Tier 2",7,IF(T150="Tier 3",4,IF(T150="Tier 4",1,0))))</f>
        <v/>
      </c>
      <c r="W150">
        <f>IF(V150="Restricted",10,IF(V150="Confidential",7,IF(V150="Internal",4,IF(V150="Public",1,0))))</f>
        <v/>
      </c>
      <c r="AA150" s="9">
        <f>(U150*0.4)+(W150*0.3)+(IF(Z150="Critical",10,IF(Z150="High",7,IF(Z150="Medium",4,1)))*0.2)+(IF(Y150="YES",10,0)*0.1)</f>
        <v/>
      </c>
      <c r="AB150" s="9">
        <f>IF(G150="YES",2.0,0)+IF(H150="YES",2.0,0)</f>
        <v/>
      </c>
      <c r="AC150" s="9" t="n">
        <v>0</v>
      </c>
      <c r="AD150" s="9">
        <f>K150+AB150+AC150</f>
        <v/>
      </c>
      <c r="AE150" s="9">
        <f>(AD150*0.6)+(AA150*0.4)</f>
        <v/>
      </c>
      <c r="AF150">
        <f>IF(AE150&gt;=9,"Critical",IF(AE150&gt;=7,"High",IF(AE150&gt;=4,"Medium","Low")))</f>
        <v/>
      </c>
    </row>
    <row r="151">
      <c r="F151" t="n">
        <v>1</v>
      </c>
      <c r="I151">
        <f>IF(D151="","",TODAY()-D151)</f>
        <v/>
      </c>
      <c r="K151">
        <f>IF(J151="v4.0",L151,IF(J151="v3.1",M151,IF(J151="Both",L151,IF(AND(L151&lt;&gt;"",M151=""),L151,M151))))</f>
        <v/>
      </c>
      <c r="U151">
        <f>IF(T151="Tier 1",10,IF(T151="Tier 2",7,IF(T151="Tier 3",4,IF(T151="Tier 4",1,0))))</f>
        <v/>
      </c>
      <c r="W151">
        <f>IF(V151="Restricted",10,IF(V151="Confidential",7,IF(V151="Internal",4,IF(V151="Public",1,0))))</f>
        <v/>
      </c>
      <c r="AA151" s="9">
        <f>(U151*0.4)+(W151*0.3)+(IF(Z151="Critical",10,IF(Z151="High",7,IF(Z151="Medium",4,1)))*0.2)+(IF(Y151="YES",10,0)*0.1)</f>
        <v/>
      </c>
      <c r="AB151" s="9">
        <f>IF(G151="YES",2.0,0)+IF(H151="YES",2.0,0)</f>
        <v/>
      </c>
      <c r="AC151" s="9" t="n">
        <v>0</v>
      </c>
      <c r="AD151" s="9">
        <f>K151+AB151+AC151</f>
        <v/>
      </c>
      <c r="AE151" s="9">
        <f>(AD151*0.6)+(AA151*0.4)</f>
        <v/>
      </c>
      <c r="AF151">
        <f>IF(AE151&gt;=9,"Critical",IF(AE151&gt;=7,"High",IF(AE151&gt;=4,"Medium","Low")))</f>
        <v/>
      </c>
    </row>
    <row r="152">
      <c r="F152" t="n">
        <v>1</v>
      </c>
      <c r="I152">
        <f>IF(D152="","",TODAY()-D152)</f>
        <v/>
      </c>
      <c r="K152">
        <f>IF(J152="v4.0",L152,IF(J152="v3.1",M152,IF(J152="Both",L152,IF(AND(L152&lt;&gt;"",M152=""),L152,M152))))</f>
        <v/>
      </c>
      <c r="U152">
        <f>IF(T152="Tier 1",10,IF(T152="Tier 2",7,IF(T152="Tier 3",4,IF(T152="Tier 4",1,0))))</f>
        <v/>
      </c>
      <c r="W152">
        <f>IF(V152="Restricted",10,IF(V152="Confidential",7,IF(V152="Internal",4,IF(V152="Public",1,0))))</f>
        <v/>
      </c>
      <c r="AA152" s="9">
        <f>(U152*0.4)+(W152*0.3)+(IF(Z152="Critical",10,IF(Z152="High",7,IF(Z152="Medium",4,1)))*0.2)+(IF(Y152="YES",10,0)*0.1)</f>
        <v/>
      </c>
      <c r="AB152" s="9">
        <f>IF(G152="YES",2.0,0)+IF(H152="YES",2.0,0)</f>
        <v/>
      </c>
      <c r="AC152" s="9" t="n">
        <v>0</v>
      </c>
      <c r="AD152" s="9">
        <f>K152+AB152+AC152</f>
        <v/>
      </c>
      <c r="AE152" s="9">
        <f>(AD152*0.6)+(AA152*0.4)</f>
        <v/>
      </c>
      <c r="AF152">
        <f>IF(AE152&gt;=9,"Critical",IF(AE152&gt;=7,"High",IF(AE152&gt;=4,"Medium","Low")))</f>
        <v/>
      </c>
    </row>
    <row r="153">
      <c r="F153" t="n">
        <v>1</v>
      </c>
      <c r="I153">
        <f>IF(D153="","",TODAY()-D153)</f>
        <v/>
      </c>
      <c r="K153">
        <f>IF(J153="v4.0",L153,IF(J153="v3.1",M153,IF(J153="Both",L153,IF(AND(L153&lt;&gt;"",M153=""),L153,M153))))</f>
        <v/>
      </c>
      <c r="U153">
        <f>IF(T153="Tier 1",10,IF(T153="Tier 2",7,IF(T153="Tier 3",4,IF(T153="Tier 4",1,0))))</f>
        <v/>
      </c>
      <c r="W153">
        <f>IF(V153="Restricted",10,IF(V153="Confidential",7,IF(V153="Internal",4,IF(V153="Public",1,0))))</f>
        <v/>
      </c>
      <c r="AA153" s="9">
        <f>(U153*0.4)+(W153*0.3)+(IF(Z153="Critical",10,IF(Z153="High",7,IF(Z153="Medium",4,1)))*0.2)+(IF(Y153="YES",10,0)*0.1)</f>
        <v/>
      </c>
      <c r="AB153" s="9">
        <f>IF(G153="YES",2.0,0)+IF(H153="YES",2.0,0)</f>
        <v/>
      </c>
      <c r="AC153" s="9" t="n">
        <v>0</v>
      </c>
      <c r="AD153" s="9">
        <f>K153+AB153+AC153</f>
        <v/>
      </c>
      <c r="AE153" s="9">
        <f>(AD153*0.6)+(AA153*0.4)</f>
        <v/>
      </c>
      <c r="AF153">
        <f>IF(AE153&gt;=9,"Critical",IF(AE153&gt;=7,"High",IF(AE153&gt;=4,"Medium","Low")))</f>
        <v/>
      </c>
    </row>
    <row r="154">
      <c r="F154" t="n">
        <v>1</v>
      </c>
      <c r="I154">
        <f>IF(D154="","",TODAY()-D154)</f>
        <v/>
      </c>
      <c r="K154">
        <f>IF(J154="v4.0",L154,IF(J154="v3.1",M154,IF(J154="Both",L154,IF(AND(L154&lt;&gt;"",M154=""),L154,M154))))</f>
        <v/>
      </c>
      <c r="U154">
        <f>IF(T154="Tier 1",10,IF(T154="Tier 2",7,IF(T154="Tier 3",4,IF(T154="Tier 4",1,0))))</f>
        <v/>
      </c>
      <c r="W154">
        <f>IF(V154="Restricted",10,IF(V154="Confidential",7,IF(V154="Internal",4,IF(V154="Public",1,0))))</f>
        <v/>
      </c>
      <c r="AA154" s="9">
        <f>(U154*0.4)+(W154*0.3)+(IF(Z154="Critical",10,IF(Z154="High",7,IF(Z154="Medium",4,1)))*0.2)+(IF(Y154="YES",10,0)*0.1)</f>
        <v/>
      </c>
      <c r="AB154" s="9">
        <f>IF(G154="YES",2.0,0)+IF(H154="YES",2.0,0)</f>
        <v/>
      </c>
      <c r="AC154" s="9" t="n">
        <v>0</v>
      </c>
      <c r="AD154" s="9">
        <f>K154+AB154+AC154</f>
        <v/>
      </c>
      <c r="AE154" s="9">
        <f>(AD154*0.6)+(AA154*0.4)</f>
        <v/>
      </c>
      <c r="AF154">
        <f>IF(AE154&gt;=9,"Critical",IF(AE154&gt;=7,"High",IF(AE154&gt;=4,"Medium","Low")))</f>
        <v/>
      </c>
    </row>
    <row r="155">
      <c r="F155" t="n">
        <v>1</v>
      </c>
      <c r="I155">
        <f>IF(D155="","",TODAY()-D155)</f>
        <v/>
      </c>
      <c r="K155">
        <f>IF(J155="v4.0",L155,IF(J155="v3.1",M155,IF(J155="Both",L155,IF(AND(L155&lt;&gt;"",M155=""),L155,M155))))</f>
        <v/>
      </c>
      <c r="U155">
        <f>IF(T155="Tier 1",10,IF(T155="Tier 2",7,IF(T155="Tier 3",4,IF(T155="Tier 4",1,0))))</f>
        <v/>
      </c>
      <c r="W155">
        <f>IF(V155="Restricted",10,IF(V155="Confidential",7,IF(V155="Internal",4,IF(V155="Public",1,0))))</f>
        <v/>
      </c>
      <c r="AA155" s="9">
        <f>(U155*0.4)+(W155*0.3)+(IF(Z155="Critical",10,IF(Z155="High",7,IF(Z155="Medium",4,1)))*0.2)+(IF(Y155="YES",10,0)*0.1)</f>
        <v/>
      </c>
      <c r="AB155" s="9">
        <f>IF(G155="YES",2.0,0)+IF(H155="YES",2.0,0)</f>
        <v/>
      </c>
      <c r="AC155" s="9" t="n">
        <v>0</v>
      </c>
      <c r="AD155" s="9">
        <f>K155+AB155+AC155</f>
        <v/>
      </c>
      <c r="AE155" s="9">
        <f>(AD155*0.6)+(AA155*0.4)</f>
        <v/>
      </c>
      <c r="AF155">
        <f>IF(AE155&gt;=9,"Critical",IF(AE155&gt;=7,"High",IF(AE155&gt;=4,"Medium","Low")))</f>
        <v/>
      </c>
    </row>
    <row r="156">
      <c r="F156" t="n">
        <v>1</v>
      </c>
      <c r="I156">
        <f>IF(D156="","",TODAY()-D156)</f>
        <v/>
      </c>
      <c r="K156">
        <f>IF(J156="v4.0",L156,IF(J156="v3.1",M156,IF(J156="Both",L156,IF(AND(L156&lt;&gt;"",M156=""),L156,M156))))</f>
        <v/>
      </c>
      <c r="U156">
        <f>IF(T156="Tier 1",10,IF(T156="Tier 2",7,IF(T156="Tier 3",4,IF(T156="Tier 4",1,0))))</f>
        <v/>
      </c>
      <c r="W156">
        <f>IF(V156="Restricted",10,IF(V156="Confidential",7,IF(V156="Internal",4,IF(V156="Public",1,0))))</f>
        <v/>
      </c>
      <c r="AA156" s="9">
        <f>(U156*0.4)+(W156*0.3)+(IF(Z156="Critical",10,IF(Z156="High",7,IF(Z156="Medium",4,1)))*0.2)+(IF(Y156="YES",10,0)*0.1)</f>
        <v/>
      </c>
      <c r="AB156" s="9">
        <f>IF(G156="YES",2.0,0)+IF(H156="YES",2.0,0)</f>
        <v/>
      </c>
      <c r="AC156" s="9" t="n">
        <v>0</v>
      </c>
      <c r="AD156" s="9">
        <f>K156+AB156+AC156</f>
        <v/>
      </c>
      <c r="AE156" s="9">
        <f>(AD156*0.6)+(AA156*0.4)</f>
        <v/>
      </c>
      <c r="AF156">
        <f>IF(AE156&gt;=9,"Critical",IF(AE156&gt;=7,"High",IF(AE156&gt;=4,"Medium","Low")))</f>
        <v/>
      </c>
    </row>
    <row r="157">
      <c r="F157" t="n">
        <v>1</v>
      </c>
      <c r="I157">
        <f>IF(D157="","",TODAY()-D157)</f>
        <v/>
      </c>
      <c r="K157">
        <f>IF(J157="v4.0",L157,IF(J157="v3.1",M157,IF(J157="Both",L157,IF(AND(L157&lt;&gt;"",M157=""),L157,M157))))</f>
        <v/>
      </c>
      <c r="U157">
        <f>IF(T157="Tier 1",10,IF(T157="Tier 2",7,IF(T157="Tier 3",4,IF(T157="Tier 4",1,0))))</f>
        <v/>
      </c>
      <c r="W157">
        <f>IF(V157="Restricted",10,IF(V157="Confidential",7,IF(V157="Internal",4,IF(V157="Public",1,0))))</f>
        <v/>
      </c>
      <c r="AA157" s="9">
        <f>(U157*0.4)+(W157*0.3)+(IF(Z157="Critical",10,IF(Z157="High",7,IF(Z157="Medium",4,1)))*0.2)+(IF(Y157="YES",10,0)*0.1)</f>
        <v/>
      </c>
      <c r="AB157" s="9">
        <f>IF(G157="YES",2.0,0)+IF(H157="YES",2.0,0)</f>
        <v/>
      </c>
      <c r="AC157" s="9" t="n">
        <v>0</v>
      </c>
      <c r="AD157" s="9">
        <f>K157+AB157+AC157</f>
        <v/>
      </c>
      <c r="AE157" s="9">
        <f>(AD157*0.6)+(AA157*0.4)</f>
        <v/>
      </c>
      <c r="AF157">
        <f>IF(AE157&gt;=9,"Critical",IF(AE157&gt;=7,"High",IF(AE157&gt;=4,"Medium","Low")))</f>
        <v/>
      </c>
    </row>
    <row r="158">
      <c r="F158" t="n">
        <v>1</v>
      </c>
      <c r="I158">
        <f>IF(D158="","",TODAY()-D158)</f>
        <v/>
      </c>
      <c r="K158">
        <f>IF(J158="v4.0",L158,IF(J158="v3.1",M158,IF(J158="Both",L158,IF(AND(L158&lt;&gt;"",M158=""),L158,M158))))</f>
        <v/>
      </c>
      <c r="U158">
        <f>IF(T158="Tier 1",10,IF(T158="Tier 2",7,IF(T158="Tier 3",4,IF(T158="Tier 4",1,0))))</f>
        <v/>
      </c>
      <c r="W158">
        <f>IF(V158="Restricted",10,IF(V158="Confidential",7,IF(V158="Internal",4,IF(V158="Public",1,0))))</f>
        <v/>
      </c>
      <c r="AA158" s="9">
        <f>(U158*0.4)+(W158*0.3)+(IF(Z158="Critical",10,IF(Z158="High",7,IF(Z158="Medium",4,1)))*0.2)+(IF(Y158="YES",10,0)*0.1)</f>
        <v/>
      </c>
      <c r="AB158" s="9">
        <f>IF(G158="YES",2.0,0)+IF(H158="YES",2.0,0)</f>
        <v/>
      </c>
      <c r="AC158" s="9" t="n">
        <v>0</v>
      </c>
      <c r="AD158" s="9">
        <f>K158+AB158+AC158</f>
        <v/>
      </c>
      <c r="AE158" s="9">
        <f>(AD158*0.6)+(AA158*0.4)</f>
        <v/>
      </c>
      <c r="AF158">
        <f>IF(AE158&gt;=9,"Critical",IF(AE158&gt;=7,"High",IF(AE158&gt;=4,"Medium","Low")))</f>
        <v/>
      </c>
    </row>
    <row r="159">
      <c r="F159" t="n">
        <v>1</v>
      </c>
      <c r="I159">
        <f>IF(D159="","",TODAY()-D159)</f>
        <v/>
      </c>
      <c r="K159">
        <f>IF(J159="v4.0",L159,IF(J159="v3.1",M159,IF(J159="Both",L159,IF(AND(L159&lt;&gt;"",M159=""),L159,M159))))</f>
        <v/>
      </c>
      <c r="U159">
        <f>IF(T159="Tier 1",10,IF(T159="Tier 2",7,IF(T159="Tier 3",4,IF(T159="Tier 4",1,0))))</f>
        <v/>
      </c>
      <c r="W159">
        <f>IF(V159="Restricted",10,IF(V159="Confidential",7,IF(V159="Internal",4,IF(V159="Public",1,0))))</f>
        <v/>
      </c>
      <c r="AA159" s="9">
        <f>(U159*0.4)+(W159*0.3)+(IF(Z159="Critical",10,IF(Z159="High",7,IF(Z159="Medium",4,1)))*0.2)+(IF(Y159="YES",10,0)*0.1)</f>
        <v/>
      </c>
      <c r="AB159" s="9">
        <f>IF(G159="YES",2.0,0)+IF(H159="YES",2.0,0)</f>
        <v/>
      </c>
      <c r="AC159" s="9" t="n">
        <v>0</v>
      </c>
      <c r="AD159" s="9">
        <f>K159+AB159+AC159</f>
        <v/>
      </c>
      <c r="AE159" s="9">
        <f>(AD159*0.6)+(AA159*0.4)</f>
        <v/>
      </c>
      <c r="AF159">
        <f>IF(AE159&gt;=9,"Critical",IF(AE159&gt;=7,"High",IF(AE159&gt;=4,"Medium","Low")))</f>
        <v/>
      </c>
    </row>
    <row r="160">
      <c r="F160" t="n">
        <v>1</v>
      </c>
      <c r="I160">
        <f>IF(D160="","",TODAY()-D160)</f>
        <v/>
      </c>
      <c r="K160">
        <f>IF(J160="v4.0",L160,IF(J160="v3.1",M160,IF(J160="Both",L160,IF(AND(L160&lt;&gt;"",M160=""),L160,M160))))</f>
        <v/>
      </c>
      <c r="U160">
        <f>IF(T160="Tier 1",10,IF(T160="Tier 2",7,IF(T160="Tier 3",4,IF(T160="Tier 4",1,0))))</f>
        <v/>
      </c>
      <c r="W160">
        <f>IF(V160="Restricted",10,IF(V160="Confidential",7,IF(V160="Internal",4,IF(V160="Public",1,0))))</f>
        <v/>
      </c>
      <c r="AA160" s="9">
        <f>(U160*0.4)+(W160*0.3)+(IF(Z160="Critical",10,IF(Z160="High",7,IF(Z160="Medium",4,1)))*0.2)+(IF(Y160="YES",10,0)*0.1)</f>
        <v/>
      </c>
      <c r="AB160" s="9">
        <f>IF(G160="YES",2.0,0)+IF(H160="YES",2.0,0)</f>
        <v/>
      </c>
      <c r="AC160" s="9" t="n">
        <v>0</v>
      </c>
      <c r="AD160" s="9">
        <f>K160+AB160+AC160</f>
        <v/>
      </c>
      <c r="AE160" s="9">
        <f>(AD160*0.6)+(AA160*0.4)</f>
        <v/>
      </c>
      <c r="AF160">
        <f>IF(AE160&gt;=9,"Critical",IF(AE160&gt;=7,"High",IF(AE160&gt;=4,"Medium","Low")))</f>
        <v/>
      </c>
    </row>
    <row r="161">
      <c r="F161" t="n">
        <v>1</v>
      </c>
      <c r="I161">
        <f>IF(D161="","",TODAY()-D161)</f>
        <v/>
      </c>
      <c r="K161">
        <f>IF(J161="v4.0",L161,IF(J161="v3.1",M161,IF(J161="Both",L161,IF(AND(L161&lt;&gt;"",M161=""),L161,M161))))</f>
        <v/>
      </c>
      <c r="U161">
        <f>IF(T161="Tier 1",10,IF(T161="Tier 2",7,IF(T161="Tier 3",4,IF(T161="Tier 4",1,0))))</f>
        <v/>
      </c>
      <c r="W161">
        <f>IF(V161="Restricted",10,IF(V161="Confidential",7,IF(V161="Internal",4,IF(V161="Public",1,0))))</f>
        <v/>
      </c>
      <c r="AA161" s="9">
        <f>(U161*0.4)+(W161*0.3)+(IF(Z161="Critical",10,IF(Z161="High",7,IF(Z161="Medium",4,1)))*0.2)+(IF(Y161="YES",10,0)*0.1)</f>
        <v/>
      </c>
      <c r="AB161" s="9">
        <f>IF(G161="YES",2.0,0)+IF(H161="YES",2.0,0)</f>
        <v/>
      </c>
      <c r="AC161" s="9" t="n">
        <v>0</v>
      </c>
      <c r="AD161" s="9">
        <f>K161+AB161+AC161</f>
        <v/>
      </c>
      <c r="AE161" s="9">
        <f>(AD161*0.6)+(AA161*0.4)</f>
        <v/>
      </c>
      <c r="AF161">
        <f>IF(AE161&gt;=9,"Critical",IF(AE161&gt;=7,"High",IF(AE161&gt;=4,"Medium","Low")))</f>
        <v/>
      </c>
    </row>
    <row r="162">
      <c r="F162" t="n">
        <v>1</v>
      </c>
      <c r="I162">
        <f>IF(D162="","",TODAY()-D162)</f>
        <v/>
      </c>
      <c r="K162">
        <f>IF(J162="v4.0",L162,IF(J162="v3.1",M162,IF(J162="Both",L162,IF(AND(L162&lt;&gt;"",M162=""),L162,M162))))</f>
        <v/>
      </c>
      <c r="U162">
        <f>IF(T162="Tier 1",10,IF(T162="Tier 2",7,IF(T162="Tier 3",4,IF(T162="Tier 4",1,0))))</f>
        <v/>
      </c>
      <c r="W162">
        <f>IF(V162="Restricted",10,IF(V162="Confidential",7,IF(V162="Internal",4,IF(V162="Public",1,0))))</f>
        <v/>
      </c>
      <c r="AA162" s="9">
        <f>(U162*0.4)+(W162*0.3)+(IF(Z162="Critical",10,IF(Z162="High",7,IF(Z162="Medium",4,1)))*0.2)+(IF(Y162="YES",10,0)*0.1)</f>
        <v/>
      </c>
      <c r="AB162" s="9">
        <f>IF(G162="YES",2.0,0)+IF(H162="YES",2.0,0)</f>
        <v/>
      </c>
      <c r="AC162" s="9" t="n">
        <v>0</v>
      </c>
      <c r="AD162" s="9">
        <f>K162+AB162+AC162</f>
        <v/>
      </c>
      <c r="AE162" s="9">
        <f>(AD162*0.6)+(AA162*0.4)</f>
        <v/>
      </c>
      <c r="AF162">
        <f>IF(AE162&gt;=9,"Critical",IF(AE162&gt;=7,"High",IF(AE162&gt;=4,"Medium","Low")))</f>
        <v/>
      </c>
    </row>
    <row r="163">
      <c r="F163" t="n">
        <v>1</v>
      </c>
      <c r="I163">
        <f>IF(D163="","",TODAY()-D163)</f>
        <v/>
      </c>
      <c r="K163">
        <f>IF(J163="v4.0",L163,IF(J163="v3.1",M163,IF(J163="Both",L163,IF(AND(L163&lt;&gt;"",M163=""),L163,M163))))</f>
        <v/>
      </c>
      <c r="U163">
        <f>IF(T163="Tier 1",10,IF(T163="Tier 2",7,IF(T163="Tier 3",4,IF(T163="Tier 4",1,0))))</f>
        <v/>
      </c>
      <c r="W163">
        <f>IF(V163="Restricted",10,IF(V163="Confidential",7,IF(V163="Internal",4,IF(V163="Public",1,0))))</f>
        <v/>
      </c>
      <c r="AA163" s="9">
        <f>(U163*0.4)+(W163*0.3)+(IF(Z163="Critical",10,IF(Z163="High",7,IF(Z163="Medium",4,1)))*0.2)+(IF(Y163="YES",10,0)*0.1)</f>
        <v/>
      </c>
      <c r="AB163" s="9">
        <f>IF(G163="YES",2.0,0)+IF(H163="YES",2.0,0)</f>
        <v/>
      </c>
      <c r="AC163" s="9" t="n">
        <v>0</v>
      </c>
      <c r="AD163" s="9">
        <f>K163+AB163+AC163</f>
        <v/>
      </c>
      <c r="AE163" s="9">
        <f>(AD163*0.6)+(AA163*0.4)</f>
        <v/>
      </c>
      <c r="AF163">
        <f>IF(AE163&gt;=9,"Critical",IF(AE163&gt;=7,"High",IF(AE163&gt;=4,"Medium","Low")))</f>
        <v/>
      </c>
    </row>
    <row r="164">
      <c r="F164" t="n">
        <v>1</v>
      </c>
      <c r="I164">
        <f>IF(D164="","",TODAY()-D164)</f>
        <v/>
      </c>
      <c r="K164">
        <f>IF(J164="v4.0",L164,IF(J164="v3.1",M164,IF(J164="Both",L164,IF(AND(L164&lt;&gt;"",M164=""),L164,M164))))</f>
        <v/>
      </c>
      <c r="U164">
        <f>IF(T164="Tier 1",10,IF(T164="Tier 2",7,IF(T164="Tier 3",4,IF(T164="Tier 4",1,0))))</f>
        <v/>
      </c>
      <c r="W164">
        <f>IF(V164="Restricted",10,IF(V164="Confidential",7,IF(V164="Internal",4,IF(V164="Public",1,0))))</f>
        <v/>
      </c>
      <c r="AA164" s="9">
        <f>(U164*0.4)+(W164*0.3)+(IF(Z164="Critical",10,IF(Z164="High",7,IF(Z164="Medium",4,1)))*0.2)+(IF(Y164="YES",10,0)*0.1)</f>
        <v/>
      </c>
      <c r="AB164" s="9">
        <f>IF(G164="YES",2.0,0)+IF(H164="YES",2.0,0)</f>
        <v/>
      </c>
      <c r="AC164" s="9" t="n">
        <v>0</v>
      </c>
      <c r="AD164" s="9">
        <f>K164+AB164+AC164</f>
        <v/>
      </c>
      <c r="AE164" s="9">
        <f>(AD164*0.6)+(AA164*0.4)</f>
        <v/>
      </c>
      <c r="AF164">
        <f>IF(AE164&gt;=9,"Critical",IF(AE164&gt;=7,"High",IF(AE164&gt;=4,"Medium","Low")))</f>
        <v/>
      </c>
    </row>
    <row r="165">
      <c r="F165" t="n">
        <v>1</v>
      </c>
      <c r="I165">
        <f>IF(D165="","",TODAY()-D165)</f>
        <v/>
      </c>
      <c r="K165">
        <f>IF(J165="v4.0",L165,IF(J165="v3.1",M165,IF(J165="Both",L165,IF(AND(L165&lt;&gt;"",M165=""),L165,M165))))</f>
        <v/>
      </c>
      <c r="U165">
        <f>IF(T165="Tier 1",10,IF(T165="Tier 2",7,IF(T165="Tier 3",4,IF(T165="Tier 4",1,0))))</f>
        <v/>
      </c>
      <c r="W165">
        <f>IF(V165="Restricted",10,IF(V165="Confidential",7,IF(V165="Internal",4,IF(V165="Public",1,0))))</f>
        <v/>
      </c>
      <c r="AA165" s="9">
        <f>(U165*0.4)+(W165*0.3)+(IF(Z165="Critical",10,IF(Z165="High",7,IF(Z165="Medium",4,1)))*0.2)+(IF(Y165="YES",10,0)*0.1)</f>
        <v/>
      </c>
      <c r="AB165" s="9">
        <f>IF(G165="YES",2.0,0)+IF(H165="YES",2.0,0)</f>
        <v/>
      </c>
      <c r="AC165" s="9" t="n">
        <v>0</v>
      </c>
      <c r="AD165" s="9">
        <f>K165+AB165+AC165</f>
        <v/>
      </c>
      <c r="AE165" s="9">
        <f>(AD165*0.6)+(AA165*0.4)</f>
        <v/>
      </c>
      <c r="AF165">
        <f>IF(AE165&gt;=9,"Critical",IF(AE165&gt;=7,"High",IF(AE165&gt;=4,"Medium","Low")))</f>
        <v/>
      </c>
    </row>
    <row r="166">
      <c r="F166" t="n">
        <v>1</v>
      </c>
      <c r="I166">
        <f>IF(D166="","",TODAY()-D166)</f>
        <v/>
      </c>
      <c r="K166">
        <f>IF(J166="v4.0",L166,IF(J166="v3.1",M166,IF(J166="Both",L166,IF(AND(L166&lt;&gt;"",M166=""),L166,M166))))</f>
        <v/>
      </c>
      <c r="U166">
        <f>IF(T166="Tier 1",10,IF(T166="Tier 2",7,IF(T166="Tier 3",4,IF(T166="Tier 4",1,0))))</f>
        <v/>
      </c>
      <c r="W166">
        <f>IF(V166="Restricted",10,IF(V166="Confidential",7,IF(V166="Internal",4,IF(V166="Public",1,0))))</f>
        <v/>
      </c>
      <c r="AA166" s="9">
        <f>(U166*0.4)+(W166*0.3)+(IF(Z166="Critical",10,IF(Z166="High",7,IF(Z166="Medium",4,1)))*0.2)+(IF(Y166="YES",10,0)*0.1)</f>
        <v/>
      </c>
      <c r="AB166" s="9">
        <f>IF(G166="YES",2.0,0)+IF(H166="YES",2.0,0)</f>
        <v/>
      </c>
      <c r="AC166" s="9" t="n">
        <v>0</v>
      </c>
      <c r="AD166" s="9">
        <f>K166+AB166+AC166</f>
        <v/>
      </c>
      <c r="AE166" s="9">
        <f>(AD166*0.6)+(AA166*0.4)</f>
        <v/>
      </c>
      <c r="AF166">
        <f>IF(AE166&gt;=9,"Critical",IF(AE166&gt;=7,"High",IF(AE166&gt;=4,"Medium","Low")))</f>
        <v/>
      </c>
    </row>
    <row r="167">
      <c r="F167" t="n">
        <v>1</v>
      </c>
      <c r="I167">
        <f>IF(D167="","",TODAY()-D167)</f>
        <v/>
      </c>
      <c r="K167">
        <f>IF(J167="v4.0",L167,IF(J167="v3.1",M167,IF(J167="Both",L167,IF(AND(L167&lt;&gt;"",M167=""),L167,M167))))</f>
        <v/>
      </c>
      <c r="U167">
        <f>IF(T167="Tier 1",10,IF(T167="Tier 2",7,IF(T167="Tier 3",4,IF(T167="Tier 4",1,0))))</f>
        <v/>
      </c>
      <c r="W167">
        <f>IF(V167="Restricted",10,IF(V167="Confidential",7,IF(V167="Internal",4,IF(V167="Public",1,0))))</f>
        <v/>
      </c>
      <c r="AA167" s="9">
        <f>(U167*0.4)+(W167*0.3)+(IF(Z167="Critical",10,IF(Z167="High",7,IF(Z167="Medium",4,1)))*0.2)+(IF(Y167="YES",10,0)*0.1)</f>
        <v/>
      </c>
      <c r="AB167" s="9">
        <f>IF(G167="YES",2.0,0)+IF(H167="YES",2.0,0)</f>
        <v/>
      </c>
      <c r="AC167" s="9" t="n">
        <v>0</v>
      </c>
      <c r="AD167" s="9">
        <f>K167+AB167+AC167</f>
        <v/>
      </c>
      <c r="AE167" s="9">
        <f>(AD167*0.6)+(AA167*0.4)</f>
        <v/>
      </c>
      <c r="AF167">
        <f>IF(AE167&gt;=9,"Critical",IF(AE167&gt;=7,"High",IF(AE167&gt;=4,"Medium","Low")))</f>
        <v/>
      </c>
    </row>
    <row r="168">
      <c r="F168" t="n">
        <v>1</v>
      </c>
      <c r="I168">
        <f>IF(D168="","",TODAY()-D168)</f>
        <v/>
      </c>
      <c r="K168">
        <f>IF(J168="v4.0",L168,IF(J168="v3.1",M168,IF(J168="Both",L168,IF(AND(L168&lt;&gt;"",M168=""),L168,M168))))</f>
        <v/>
      </c>
      <c r="U168">
        <f>IF(T168="Tier 1",10,IF(T168="Tier 2",7,IF(T168="Tier 3",4,IF(T168="Tier 4",1,0))))</f>
        <v/>
      </c>
      <c r="W168">
        <f>IF(V168="Restricted",10,IF(V168="Confidential",7,IF(V168="Internal",4,IF(V168="Public",1,0))))</f>
        <v/>
      </c>
      <c r="AA168" s="9">
        <f>(U168*0.4)+(W168*0.3)+(IF(Z168="Critical",10,IF(Z168="High",7,IF(Z168="Medium",4,1)))*0.2)+(IF(Y168="YES",10,0)*0.1)</f>
        <v/>
      </c>
      <c r="AB168" s="9">
        <f>IF(G168="YES",2.0,0)+IF(H168="YES",2.0,0)</f>
        <v/>
      </c>
      <c r="AC168" s="9" t="n">
        <v>0</v>
      </c>
      <c r="AD168" s="9">
        <f>K168+AB168+AC168</f>
        <v/>
      </c>
      <c r="AE168" s="9">
        <f>(AD168*0.6)+(AA168*0.4)</f>
        <v/>
      </c>
      <c r="AF168">
        <f>IF(AE168&gt;=9,"Critical",IF(AE168&gt;=7,"High",IF(AE168&gt;=4,"Medium","Low")))</f>
        <v/>
      </c>
    </row>
    <row r="169">
      <c r="F169" t="n">
        <v>1</v>
      </c>
      <c r="I169">
        <f>IF(D169="","",TODAY()-D169)</f>
        <v/>
      </c>
      <c r="K169">
        <f>IF(J169="v4.0",L169,IF(J169="v3.1",M169,IF(J169="Both",L169,IF(AND(L169&lt;&gt;"",M169=""),L169,M169))))</f>
        <v/>
      </c>
      <c r="U169">
        <f>IF(T169="Tier 1",10,IF(T169="Tier 2",7,IF(T169="Tier 3",4,IF(T169="Tier 4",1,0))))</f>
        <v/>
      </c>
      <c r="W169">
        <f>IF(V169="Restricted",10,IF(V169="Confidential",7,IF(V169="Internal",4,IF(V169="Public",1,0))))</f>
        <v/>
      </c>
      <c r="AA169" s="9">
        <f>(U169*0.4)+(W169*0.3)+(IF(Z169="Critical",10,IF(Z169="High",7,IF(Z169="Medium",4,1)))*0.2)+(IF(Y169="YES",10,0)*0.1)</f>
        <v/>
      </c>
      <c r="AB169" s="9">
        <f>IF(G169="YES",2.0,0)+IF(H169="YES",2.0,0)</f>
        <v/>
      </c>
      <c r="AC169" s="9" t="n">
        <v>0</v>
      </c>
      <c r="AD169" s="9">
        <f>K169+AB169+AC169</f>
        <v/>
      </c>
      <c r="AE169" s="9">
        <f>(AD169*0.6)+(AA169*0.4)</f>
        <v/>
      </c>
      <c r="AF169">
        <f>IF(AE169&gt;=9,"Critical",IF(AE169&gt;=7,"High",IF(AE169&gt;=4,"Medium","Low")))</f>
        <v/>
      </c>
    </row>
    <row r="170">
      <c r="F170" t="n">
        <v>1</v>
      </c>
      <c r="I170">
        <f>IF(D170="","",TODAY()-D170)</f>
        <v/>
      </c>
      <c r="K170">
        <f>IF(J170="v4.0",L170,IF(J170="v3.1",M170,IF(J170="Both",L170,IF(AND(L170&lt;&gt;"",M170=""),L170,M170))))</f>
        <v/>
      </c>
      <c r="U170">
        <f>IF(T170="Tier 1",10,IF(T170="Tier 2",7,IF(T170="Tier 3",4,IF(T170="Tier 4",1,0))))</f>
        <v/>
      </c>
      <c r="W170">
        <f>IF(V170="Restricted",10,IF(V170="Confidential",7,IF(V170="Internal",4,IF(V170="Public",1,0))))</f>
        <v/>
      </c>
      <c r="AA170" s="9">
        <f>(U170*0.4)+(W170*0.3)+(IF(Z170="Critical",10,IF(Z170="High",7,IF(Z170="Medium",4,1)))*0.2)+(IF(Y170="YES",10,0)*0.1)</f>
        <v/>
      </c>
      <c r="AB170" s="9">
        <f>IF(G170="YES",2.0,0)+IF(H170="YES",2.0,0)</f>
        <v/>
      </c>
      <c r="AC170" s="9" t="n">
        <v>0</v>
      </c>
      <c r="AD170" s="9">
        <f>K170+AB170+AC170</f>
        <v/>
      </c>
      <c r="AE170" s="9">
        <f>(AD170*0.6)+(AA170*0.4)</f>
        <v/>
      </c>
      <c r="AF170">
        <f>IF(AE170&gt;=9,"Critical",IF(AE170&gt;=7,"High",IF(AE170&gt;=4,"Medium","Low")))</f>
        <v/>
      </c>
    </row>
    <row r="171">
      <c r="F171" t="n">
        <v>1</v>
      </c>
      <c r="I171">
        <f>IF(D171="","",TODAY()-D171)</f>
        <v/>
      </c>
      <c r="K171">
        <f>IF(J171="v4.0",L171,IF(J171="v3.1",M171,IF(J171="Both",L171,IF(AND(L171&lt;&gt;"",M171=""),L171,M171))))</f>
        <v/>
      </c>
      <c r="U171">
        <f>IF(T171="Tier 1",10,IF(T171="Tier 2",7,IF(T171="Tier 3",4,IF(T171="Tier 4",1,0))))</f>
        <v/>
      </c>
      <c r="W171">
        <f>IF(V171="Restricted",10,IF(V171="Confidential",7,IF(V171="Internal",4,IF(V171="Public",1,0))))</f>
        <v/>
      </c>
      <c r="AA171" s="9">
        <f>(U171*0.4)+(W171*0.3)+(IF(Z171="Critical",10,IF(Z171="High",7,IF(Z171="Medium",4,1)))*0.2)+(IF(Y171="YES",10,0)*0.1)</f>
        <v/>
      </c>
      <c r="AB171" s="9">
        <f>IF(G171="YES",2.0,0)+IF(H171="YES",2.0,0)</f>
        <v/>
      </c>
      <c r="AC171" s="9" t="n">
        <v>0</v>
      </c>
      <c r="AD171" s="9">
        <f>K171+AB171+AC171</f>
        <v/>
      </c>
      <c r="AE171" s="9">
        <f>(AD171*0.6)+(AA171*0.4)</f>
        <v/>
      </c>
      <c r="AF171">
        <f>IF(AE171&gt;=9,"Critical",IF(AE171&gt;=7,"High",IF(AE171&gt;=4,"Medium","Low")))</f>
        <v/>
      </c>
    </row>
    <row r="172">
      <c r="F172" t="n">
        <v>1</v>
      </c>
      <c r="I172">
        <f>IF(D172="","",TODAY()-D172)</f>
        <v/>
      </c>
      <c r="K172">
        <f>IF(J172="v4.0",L172,IF(J172="v3.1",M172,IF(J172="Both",L172,IF(AND(L172&lt;&gt;"",M172=""),L172,M172))))</f>
        <v/>
      </c>
      <c r="U172">
        <f>IF(T172="Tier 1",10,IF(T172="Tier 2",7,IF(T172="Tier 3",4,IF(T172="Tier 4",1,0))))</f>
        <v/>
      </c>
      <c r="W172">
        <f>IF(V172="Restricted",10,IF(V172="Confidential",7,IF(V172="Internal",4,IF(V172="Public",1,0))))</f>
        <v/>
      </c>
      <c r="AA172" s="9">
        <f>(U172*0.4)+(W172*0.3)+(IF(Z172="Critical",10,IF(Z172="High",7,IF(Z172="Medium",4,1)))*0.2)+(IF(Y172="YES",10,0)*0.1)</f>
        <v/>
      </c>
      <c r="AB172" s="9">
        <f>IF(G172="YES",2.0,0)+IF(H172="YES",2.0,0)</f>
        <v/>
      </c>
      <c r="AC172" s="9" t="n">
        <v>0</v>
      </c>
      <c r="AD172" s="9">
        <f>K172+AB172+AC172</f>
        <v/>
      </c>
      <c r="AE172" s="9">
        <f>(AD172*0.6)+(AA172*0.4)</f>
        <v/>
      </c>
      <c r="AF172">
        <f>IF(AE172&gt;=9,"Critical",IF(AE172&gt;=7,"High",IF(AE172&gt;=4,"Medium","Low")))</f>
        <v/>
      </c>
    </row>
    <row r="173">
      <c r="F173" t="n">
        <v>1</v>
      </c>
      <c r="I173">
        <f>IF(D173="","",TODAY()-D173)</f>
        <v/>
      </c>
      <c r="K173">
        <f>IF(J173="v4.0",L173,IF(J173="v3.1",M173,IF(J173="Both",L173,IF(AND(L173&lt;&gt;"",M173=""),L173,M173))))</f>
        <v/>
      </c>
      <c r="U173">
        <f>IF(T173="Tier 1",10,IF(T173="Tier 2",7,IF(T173="Tier 3",4,IF(T173="Tier 4",1,0))))</f>
        <v/>
      </c>
      <c r="W173">
        <f>IF(V173="Restricted",10,IF(V173="Confidential",7,IF(V173="Internal",4,IF(V173="Public",1,0))))</f>
        <v/>
      </c>
      <c r="AA173" s="9">
        <f>(U173*0.4)+(W173*0.3)+(IF(Z173="Critical",10,IF(Z173="High",7,IF(Z173="Medium",4,1)))*0.2)+(IF(Y173="YES",10,0)*0.1)</f>
        <v/>
      </c>
      <c r="AB173" s="9">
        <f>IF(G173="YES",2.0,0)+IF(H173="YES",2.0,0)</f>
        <v/>
      </c>
      <c r="AC173" s="9" t="n">
        <v>0</v>
      </c>
      <c r="AD173" s="9">
        <f>K173+AB173+AC173</f>
        <v/>
      </c>
      <c r="AE173" s="9">
        <f>(AD173*0.6)+(AA173*0.4)</f>
        <v/>
      </c>
      <c r="AF173">
        <f>IF(AE173&gt;=9,"Critical",IF(AE173&gt;=7,"High",IF(AE173&gt;=4,"Medium","Low")))</f>
        <v/>
      </c>
    </row>
    <row r="174">
      <c r="F174" t="n">
        <v>1</v>
      </c>
      <c r="I174">
        <f>IF(D174="","",TODAY()-D174)</f>
        <v/>
      </c>
      <c r="K174">
        <f>IF(J174="v4.0",L174,IF(J174="v3.1",M174,IF(J174="Both",L174,IF(AND(L174&lt;&gt;"",M174=""),L174,M174))))</f>
        <v/>
      </c>
      <c r="U174">
        <f>IF(T174="Tier 1",10,IF(T174="Tier 2",7,IF(T174="Tier 3",4,IF(T174="Tier 4",1,0))))</f>
        <v/>
      </c>
      <c r="W174">
        <f>IF(V174="Restricted",10,IF(V174="Confidential",7,IF(V174="Internal",4,IF(V174="Public",1,0))))</f>
        <v/>
      </c>
      <c r="AA174" s="9">
        <f>(U174*0.4)+(W174*0.3)+(IF(Z174="Critical",10,IF(Z174="High",7,IF(Z174="Medium",4,1)))*0.2)+(IF(Y174="YES",10,0)*0.1)</f>
        <v/>
      </c>
      <c r="AB174" s="9">
        <f>IF(G174="YES",2.0,0)+IF(H174="YES",2.0,0)</f>
        <v/>
      </c>
      <c r="AC174" s="9" t="n">
        <v>0</v>
      </c>
      <c r="AD174" s="9">
        <f>K174+AB174+AC174</f>
        <v/>
      </c>
      <c r="AE174" s="9">
        <f>(AD174*0.6)+(AA174*0.4)</f>
        <v/>
      </c>
      <c r="AF174">
        <f>IF(AE174&gt;=9,"Critical",IF(AE174&gt;=7,"High",IF(AE174&gt;=4,"Medium","Low")))</f>
        <v/>
      </c>
    </row>
    <row r="175">
      <c r="F175" t="n">
        <v>1</v>
      </c>
      <c r="I175">
        <f>IF(D175="","",TODAY()-D175)</f>
        <v/>
      </c>
      <c r="K175">
        <f>IF(J175="v4.0",L175,IF(J175="v3.1",M175,IF(J175="Both",L175,IF(AND(L175&lt;&gt;"",M175=""),L175,M175))))</f>
        <v/>
      </c>
      <c r="U175">
        <f>IF(T175="Tier 1",10,IF(T175="Tier 2",7,IF(T175="Tier 3",4,IF(T175="Tier 4",1,0))))</f>
        <v/>
      </c>
      <c r="W175">
        <f>IF(V175="Restricted",10,IF(V175="Confidential",7,IF(V175="Internal",4,IF(V175="Public",1,0))))</f>
        <v/>
      </c>
      <c r="AA175" s="9">
        <f>(U175*0.4)+(W175*0.3)+(IF(Z175="Critical",10,IF(Z175="High",7,IF(Z175="Medium",4,1)))*0.2)+(IF(Y175="YES",10,0)*0.1)</f>
        <v/>
      </c>
      <c r="AB175" s="9">
        <f>IF(G175="YES",2.0,0)+IF(H175="YES",2.0,0)</f>
        <v/>
      </c>
      <c r="AC175" s="9" t="n">
        <v>0</v>
      </c>
      <c r="AD175" s="9">
        <f>K175+AB175+AC175</f>
        <v/>
      </c>
      <c r="AE175" s="9">
        <f>(AD175*0.6)+(AA175*0.4)</f>
        <v/>
      </c>
      <c r="AF175">
        <f>IF(AE175&gt;=9,"Critical",IF(AE175&gt;=7,"High",IF(AE175&gt;=4,"Medium","Low")))</f>
        <v/>
      </c>
    </row>
    <row r="176">
      <c r="F176" t="n">
        <v>1</v>
      </c>
      <c r="I176">
        <f>IF(D176="","",TODAY()-D176)</f>
        <v/>
      </c>
      <c r="K176">
        <f>IF(J176="v4.0",L176,IF(J176="v3.1",M176,IF(J176="Both",L176,IF(AND(L176&lt;&gt;"",M176=""),L176,M176))))</f>
        <v/>
      </c>
      <c r="U176">
        <f>IF(T176="Tier 1",10,IF(T176="Tier 2",7,IF(T176="Tier 3",4,IF(T176="Tier 4",1,0))))</f>
        <v/>
      </c>
      <c r="W176">
        <f>IF(V176="Restricted",10,IF(V176="Confidential",7,IF(V176="Internal",4,IF(V176="Public",1,0))))</f>
        <v/>
      </c>
      <c r="AA176" s="9">
        <f>(U176*0.4)+(W176*0.3)+(IF(Z176="Critical",10,IF(Z176="High",7,IF(Z176="Medium",4,1)))*0.2)+(IF(Y176="YES",10,0)*0.1)</f>
        <v/>
      </c>
      <c r="AB176" s="9">
        <f>IF(G176="YES",2.0,0)+IF(H176="YES",2.0,0)</f>
        <v/>
      </c>
      <c r="AC176" s="9" t="n">
        <v>0</v>
      </c>
      <c r="AD176" s="9">
        <f>K176+AB176+AC176</f>
        <v/>
      </c>
      <c r="AE176" s="9">
        <f>(AD176*0.6)+(AA176*0.4)</f>
        <v/>
      </c>
      <c r="AF176">
        <f>IF(AE176&gt;=9,"Critical",IF(AE176&gt;=7,"High",IF(AE176&gt;=4,"Medium","Low")))</f>
        <v/>
      </c>
    </row>
    <row r="177">
      <c r="F177" t="n">
        <v>1</v>
      </c>
      <c r="I177">
        <f>IF(D177="","",TODAY()-D177)</f>
        <v/>
      </c>
      <c r="K177">
        <f>IF(J177="v4.0",L177,IF(J177="v3.1",M177,IF(J177="Both",L177,IF(AND(L177&lt;&gt;"",M177=""),L177,M177))))</f>
        <v/>
      </c>
      <c r="U177">
        <f>IF(T177="Tier 1",10,IF(T177="Tier 2",7,IF(T177="Tier 3",4,IF(T177="Tier 4",1,0))))</f>
        <v/>
      </c>
      <c r="W177">
        <f>IF(V177="Restricted",10,IF(V177="Confidential",7,IF(V177="Internal",4,IF(V177="Public",1,0))))</f>
        <v/>
      </c>
      <c r="AA177" s="9">
        <f>(U177*0.4)+(W177*0.3)+(IF(Z177="Critical",10,IF(Z177="High",7,IF(Z177="Medium",4,1)))*0.2)+(IF(Y177="YES",10,0)*0.1)</f>
        <v/>
      </c>
      <c r="AB177" s="9">
        <f>IF(G177="YES",2.0,0)+IF(H177="YES",2.0,0)</f>
        <v/>
      </c>
      <c r="AC177" s="9" t="n">
        <v>0</v>
      </c>
      <c r="AD177" s="9">
        <f>K177+AB177+AC177</f>
        <v/>
      </c>
      <c r="AE177" s="9">
        <f>(AD177*0.6)+(AA177*0.4)</f>
        <v/>
      </c>
      <c r="AF177">
        <f>IF(AE177&gt;=9,"Critical",IF(AE177&gt;=7,"High",IF(AE177&gt;=4,"Medium","Low")))</f>
        <v/>
      </c>
    </row>
    <row r="178">
      <c r="F178" t="n">
        <v>1</v>
      </c>
      <c r="I178">
        <f>IF(D178="","",TODAY()-D178)</f>
        <v/>
      </c>
      <c r="K178">
        <f>IF(J178="v4.0",L178,IF(J178="v3.1",M178,IF(J178="Both",L178,IF(AND(L178&lt;&gt;"",M178=""),L178,M178))))</f>
        <v/>
      </c>
      <c r="U178">
        <f>IF(T178="Tier 1",10,IF(T178="Tier 2",7,IF(T178="Tier 3",4,IF(T178="Tier 4",1,0))))</f>
        <v/>
      </c>
      <c r="W178">
        <f>IF(V178="Restricted",10,IF(V178="Confidential",7,IF(V178="Internal",4,IF(V178="Public",1,0))))</f>
        <v/>
      </c>
      <c r="AA178" s="9">
        <f>(U178*0.4)+(W178*0.3)+(IF(Z178="Critical",10,IF(Z178="High",7,IF(Z178="Medium",4,1)))*0.2)+(IF(Y178="YES",10,0)*0.1)</f>
        <v/>
      </c>
      <c r="AB178" s="9">
        <f>IF(G178="YES",2.0,0)+IF(H178="YES",2.0,0)</f>
        <v/>
      </c>
      <c r="AC178" s="9" t="n">
        <v>0</v>
      </c>
      <c r="AD178" s="9">
        <f>K178+AB178+AC178</f>
        <v/>
      </c>
      <c r="AE178" s="9">
        <f>(AD178*0.6)+(AA178*0.4)</f>
        <v/>
      </c>
      <c r="AF178">
        <f>IF(AE178&gt;=9,"Critical",IF(AE178&gt;=7,"High",IF(AE178&gt;=4,"Medium","Low")))</f>
        <v/>
      </c>
    </row>
    <row r="179">
      <c r="F179" t="n">
        <v>1</v>
      </c>
      <c r="I179">
        <f>IF(D179="","",TODAY()-D179)</f>
        <v/>
      </c>
      <c r="K179">
        <f>IF(J179="v4.0",L179,IF(J179="v3.1",M179,IF(J179="Both",L179,IF(AND(L179&lt;&gt;"",M179=""),L179,M179))))</f>
        <v/>
      </c>
      <c r="U179">
        <f>IF(T179="Tier 1",10,IF(T179="Tier 2",7,IF(T179="Tier 3",4,IF(T179="Tier 4",1,0))))</f>
        <v/>
      </c>
      <c r="W179">
        <f>IF(V179="Restricted",10,IF(V179="Confidential",7,IF(V179="Internal",4,IF(V179="Public",1,0))))</f>
        <v/>
      </c>
      <c r="AA179" s="9">
        <f>(U179*0.4)+(W179*0.3)+(IF(Z179="Critical",10,IF(Z179="High",7,IF(Z179="Medium",4,1)))*0.2)+(IF(Y179="YES",10,0)*0.1)</f>
        <v/>
      </c>
      <c r="AB179" s="9">
        <f>IF(G179="YES",2.0,0)+IF(H179="YES",2.0,0)</f>
        <v/>
      </c>
      <c r="AC179" s="9" t="n">
        <v>0</v>
      </c>
      <c r="AD179" s="9">
        <f>K179+AB179+AC179</f>
        <v/>
      </c>
      <c r="AE179" s="9">
        <f>(AD179*0.6)+(AA179*0.4)</f>
        <v/>
      </c>
      <c r="AF179">
        <f>IF(AE179&gt;=9,"Critical",IF(AE179&gt;=7,"High",IF(AE179&gt;=4,"Medium","Low")))</f>
        <v/>
      </c>
    </row>
    <row r="180">
      <c r="F180" t="n">
        <v>1</v>
      </c>
      <c r="I180">
        <f>IF(D180="","",TODAY()-D180)</f>
        <v/>
      </c>
      <c r="K180">
        <f>IF(J180="v4.0",L180,IF(J180="v3.1",M180,IF(J180="Both",L180,IF(AND(L180&lt;&gt;"",M180=""),L180,M180))))</f>
        <v/>
      </c>
      <c r="U180">
        <f>IF(T180="Tier 1",10,IF(T180="Tier 2",7,IF(T180="Tier 3",4,IF(T180="Tier 4",1,0))))</f>
        <v/>
      </c>
      <c r="W180">
        <f>IF(V180="Restricted",10,IF(V180="Confidential",7,IF(V180="Internal",4,IF(V180="Public",1,0))))</f>
        <v/>
      </c>
      <c r="AA180" s="9">
        <f>(U180*0.4)+(W180*0.3)+(IF(Z180="Critical",10,IF(Z180="High",7,IF(Z180="Medium",4,1)))*0.2)+(IF(Y180="YES",10,0)*0.1)</f>
        <v/>
      </c>
      <c r="AB180" s="9">
        <f>IF(G180="YES",2.0,0)+IF(H180="YES",2.0,0)</f>
        <v/>
      </c>
      <c r="AC180" s="9" t="n">
        <v>0</v>
      </c>
      <c r="AD180" s="9">
        <f>K180+AB180+AC180</f>
        <v/>
      </c>
      <c r="AE180" s="9">
        <f>(AD180*0.6)+(AA180*0.4)</f>
        <v/>
      </c>
      <c r="AF180">
        <f>IF(AE180&gt;=9,"Critical",IF(AE180&gt;=7,"High",IF(AE180&gt;=4,"Medium","Low")))</f>
        <v/>
      </c>
    </row>
    <row r="181">
      <c r="F181" t="n">
        <v>1</v>
      </c>
      <c r="I181">
        <f>IF(D181="","",TODAY()-D181)</f>
        <v/>
      </c>
      <c r="K181">
        <f>IF(J181="v4.0",L181,IF(J181="v3.1",M181,IF(J181="Both",L181,IF(AND(L181&lt;&gt;"",M181=""),L181,M181))))</f>
        <v/>
      </c>
      <c r="U181">
        <f>IF(T181="Tier 1",10,IF(T181="Tier 2",7,IF(T181="Tier 3",4,IF(T181="Tier 4",1,0))))</f>
        <v/>
      </c>
      <c r="W181">
        <f>IF(V181="Restricted",10,IF(V181="Confidential",7,IF(V181="Internal",4,IF(V181="Public",1,0))))</f>
        <v/>
      </c>
      <c r="AA181" s="9">
        <f>(U181*0.4)+(W181*0.3)+(IF(Z181="Critical",10,IF(Z181="High",7,IF(Z181="Medium",4,1)))*0.2)+(IF(Y181="YES",10,0)*0.1)</f>
        <v/>
      </c>
      <c r="AB181" s="9">
        <f>IF(G181="YES",2.0,0)+IF(H181="YES",2.0,0)</f>
        <v/>
      </c>
      <c r="AC181" s="9" t="n">
        <v>0</v>
      </c>
      <c r="AD181" s="9">
        <f>K181+AB181+AC181</f>
        <v/>
      </c>
      <c r="AE181" s="9">
        <f>(AD181*0.6)+(AA181*0.4)</f>
        <v/>
      </c>
      <c r="AF181">
        <f>IF(AE181&gt;=9,"Critical",IF(AE181&gt;=7,"High",IF(AE181&gt;=4,"Medium","Low")))</f>
        <v/>
      </c>
    </row>
    <row r="182">
      <c r="F182" t="n">
        <v>1</v>
      </c>
      <c r="I182">
        <f>IF(D182="","",TODAY()-D182)</f>
        <v/>
      </c>
      <c r="K182">
        <f>IF(J182="v4.0",L182,IF(J182="v3.1",M182,IF(J182="Both",L182,IF(AND(L182&lt;&gt;"",M182=""),L182,M182))))</f>
        <v/>
      </c>
      <c r="U182">
        <f>IF(T182="Tier 1",10,IF(T182="Tier 2",7,IF(T182="Tier 3",4,IF(T182="Tier 4",1,0))))</f>
        <v/>
      </c>
      <c r="W182">
        <f>IF(V182="Restricted",10,IF(V182="Confidential",7,IF(V182="Internal",4,IF(V182="Public",1,0))))</f>
        <v/>
      </c>
      <c r="AA182" s="9">
        <f>(U182*0.4)+(W182*0.3)+(IF(Z182="Critical",10,IF(Z182="High",7,IF(Z182="Medium",4,1)))*0.2)+(IF(Y182="YES",10,0)*0.1)</f>
        <v/>
      </c>
      <c r="AB182" s="9">
        <f>IF(G182="YES",2.0,0)+IF(H182="YES",2.0,0)</f>
        <v/>
      </c>
      <c r="AC182" s="9" t="n">
        <v>0</v>
      </c>
      <c r="AD182" s="9">
        <f>K182+AB182+AC182</f>
        <v/>
      </c>
      <c r="AE182" s="9">
        <f>(AD182*0.6)+(AA182*0.4)</f>
        <v/>
      </c>
      <c r="AF182">
        <f>IF(AE182&gt;=9,"Critical",IF(AE182&gt;=7,"High",IF(AE182&gt;=4,"Medium","Low")))</f>
        <v/>
      </c>
    </row>
    <row r="183">
      <c r="F183" t="n">
        <v>1</v>
      </c>
      <c r="I183">
        <f>IF(D183="","",TODAY()-D183)</f>
        <v/>
      </c>
      <c r="K183">
        <f>IF(J183="v4.0",L183,IF(J183="v3.1",M183,IF(J183="Both",L183,IF(AND(L183&lt;&gt;"",M183=""),L183,M183))))</f>
        <v/>
      </c>
      <c r="U183">
        <f>IF(T183="Tier 1",10,IF(T183="Tier 2",7,IF(T183="Tier 3",4,IF(T183="Tier 4",1,0))))</f>
        <v/>
      </c>
      <c r="W183">
        <f>IF(V183="Restricted",10,IF(V183="Confidential",7,IF(V183="Internal",4,IF(V183="Public",1,0))))</f>
        <v/>
      </c>
      <c r="AA183" s="9">
        <f>(U183*0.4)+(W183*0.3)+(IF(Z183="Critical",10,IF(Z183="High",7,IF(Z183="Medium",4,1)))*0.2)+(IF(Y183="YES",10,0)*0.1)</f>
        <v/>
      </c>
      <c r="AB183" s="9">
        <f>IF(G183="YES",2.0,0)+IF(H183="YES",2.0,0)</f>
        <v/>
      </c>
      <c r="AC183" s="9" t="n">
        <v>0</v>
      </c>
      <c r="AD183" s="9">
        <f>K183+AB183+AC183</f>
        <v/>
      </c>
      <c r="AE183" s="9">
        <f>(AD183*0.6)+(AA183*0.4)</f>
        <v/>
      </c>
      <c r="AF183">
        <f>IF(AE183&gt;=9,"Critical",IF(AE183&gt;=7,"High",IF(AE183&gt;=4,"Medium","Low")))</f>
        <v/>
      </c>
    </row>
    <row r="184">
      <c r="F184" t="n">
        <v>1</v>
      </c>
      <c r="I184">
        <f>IF(D184="","",TODAY()-D184)</f>
        <v/>
      </c>
      <c r="K184">
        <f>IF(J184="v4.0",L184,IF(J184="v3.1",M184,IF(J184="Both",L184,IF(AND(L184&lt;&gt;"",M184=""),L184,M184))))</f>
        <v/>
      </c>
      <c r="U184">
        <f>IF(T184="Tier 1",10,IF(T184="Tier 2",7,IF(T184="Tier 3",4,IF(T184="Tier 4",1,0))))</f>
        <v/>
      </c>
      <c r="W184">
        <f>IF(V184="Restricted",10,IF(V184="Confidential",7,IF(V184="Internal",4,IF(V184="Public",1,0))))</f>
        <v/>
      </c>
      <c r="AA184" s="9">
        <f>(U184*0.4)+(W184*0.3)+(IF(Z184="Critical",10,IF(Z184="High",7,IF(Z184="Medium",4,1)))*0.2)+(IF(Y184="YES",10,0)*0.1)</f>
        <v/>
      </c>
      <c r="AB184" s="9">
        <f>IF(G184="YES",2.0,0)+IF(H184="YES",2.0,0)</f>
        <v/>
      </c>
      <c r="AC184" s="9" t="n">
        <v>0</v>
      </c>
      <c r="AD184" s="9">
        <f>K184+AB184+AC184</f>
        <v/>
      </c>
      <c r="AE184" s="9">
        <f>(AD184*0.6)+(AA184*0.4)</f>
        <v/>
      </c>
      <c r="AF184">
        <f>IF(AE184&gt;=9,"Critical",IF(AE184&gt;=7,"High",IF(AE184&gt;=4,"Medium","Low")))</f>
        <v/>
      </c>
    </row>
    <row r="185">
      <c r="F185" t="n">
        <v>1</v>
      </c>
      <c r="I185">
        <f>IF(D185="","",TODAY()-D185)</f>
        <v/>
      </c>
      <c r="K185">
        <f>IF(J185="v4.0",L185,IF(J185="v3.1",M185,IF(J185="Both",L185,IF(AND(L185&lt;&gt;"",M185=""),L185,M185))))</f>
        <v/>
      </c>
      <c r="U185">
        <f>IF(T185="Tier 1",10,IF(T185="Tier 2",7,IF(T185="Tier 3",4,IF(T185="Tier 4",1,0))))</f>
        <v/>
      </c>
      <c r="W185">
        <f>IF(V185="Restricted",10,IF(V185="Confidential",7,IF(V185="Internal",4,IF(V185="Public",1,0))))</f>
        <v/>
      </c>
      <c r="AA185" s="9">
        <f>(U185*0.4)+(W185*0.3)+(IF(Z185="Critical",10,IF(Z185="High",7,IF(Z185="Medium",4,1)))*0.2)+(IF(Y185="YES",10,0)*0.1)</f>
        <v/>
      </c>
      <c r="AB185" s="9">
        <f>IF(G185="YES",2.0,0)+IF(H185="YES",2.0,0)</f>
        <v/>
      </c>
      <c r="AC185" s="9" t="n">
        <v>0</v>
      </c>
      <c r="AD185" s="9">
        <f>K185+AB185+AC185</f>
        <v/>
      </c>
      <c r="AE185" s="9">
        <f>(AD185*0.6)+(AA185*0.4)</f>
        <v/>
      </c>
      <c r="AF185">
        <f>IF(AE185&gt;=9,"Critical",IF(AE185&gt;=7,"High",IF(AE185&gt;=4,"Medium","Low")))</f>
        <v/>
      </c>
    </row>
    <row r="186">
      <c r="F186" t="n">
        <v>1</v>
      </c>
      <c r="I186">
        <f>IF(D186="","",TODAY()-D186)</f>
        <v/>
      </c>
      <c r="K186">
        <f>IF(J186="v4.0",L186,IF(J186="v3.1",M186,IF(J186="Both",L186,IF(AND(L186&lt;&gt;"",M186=""),L186,M186))))</f>
        <v/>
      </c>
      <c r="U186">
        <f>IF(T186="Tier 1",10,IF(T186="Tier 2",7,IF(T186="Tier 3",4,IF(T186="Tier 4",1,0))))</f>
        <v/>
      </c>
      <c r="W186">
        <f>IF(V186="Restricted",10,IF(V186="Confidential",7,IF(V186="Internal",4,IF(V186="Public",1,0))))</f>
        <v/>
      </c>
      <c r="AA186" s="9">
        <f>(U186*0.4)+(W186*0.3)+(IF(Z186="Critical",10,IF(Z186="High",7,IF(Z186="Medium",4,1)))*0.2)+(IF(Y186="YES",10,0)*0.1)</f>
        <v/>
      </c>
      <c r="AB186" s="9">
        <f>IF(G186="YES",2.0,0)+IF(H186="YES",2.0,0)</f>
        <v/>
      </c>
      <c r="AC186" s="9" t="n">
        <v>0</v>
      </c>
      <c r="AD186" s="9">
        <f>K186+AB186+AC186</f>
        <v/>
      </c>
      <c r="AE186" s="9">
        <f>(AD186*0.6)+(AA186*0.4)</f>
        <v/>
      </c>
      <c r="AF186">
        <f>IF(AE186&gt;=9,"Critical",IF(AE186&gt;=7,"High",IF(AE186&gt;=4,"Medium","Low")))</f>
        <v/>
      </c>
    </row>
    <row r="187">
      <c r="F187" t="n">
        <v>1</v>
      </c>
      <c r="I187">
        <f>IF(D187="","",TODAY()-D187)</f>
        <v/>
      </c>
      <c r="K187">
        <f>IF(J187="v4.0",L187,IF(J187="v3.1",M187,IF(J187="Both",L187,IF(AND(L187&lt;&gt;"",M187=""),L187,M187))))</f>
        <v/>
      </c>
      <c r="U187">
        <f>IF(T187="Tier 1",10,IF(T187="Tier 2",7,IF(T187="Tier 3",4,IF(T187="Tier 4",1,0))))</f>
        <v/>
      </c>
      <c r="W187">
        <f>IF(V187="Restricted",10,IF(V187="Confidential",7,IF(V187="Internal",4,IF(V187="Public",1,0))))</f>
        <v/>
      </c>
      <c r="AA187" s="9">
        <f>(U187*0.4)+(W187*0.3)+(IF(Z187="Critical",10,IF(Z187="High",7,IF(Z187="Medium",4,1)))*0.2)+(IF(Y187="YES",10,0)*0.1)</f>
        <v/>
      </c>
      <c r="AB187" s="9">
        <f>IF(G187="YES",2.0,0)+IF(H187="YES",2.0,0)</f>
        <v/>
      </c>
      <c r="AC187" s="9" t="n">
        <v>0</v>
      </c>
      <c r="AD187" s="9">
        <f>K187+AB187+AC187</f>
        <v/>
      </c>
      <c r="AE187" s="9">
        <f>(AD187*0.6)+(AA187*0.4)</f>
        <v/>
      </c>
      <c r="AF187">
        <f>IF(AE187&gt;=9,"Critical",IF(AE187&gt;=7,"High",IF(AE187&gt;=4,"Medium","Low")))</f>
        <v/>
      </c>
    </row>
    <row r="188">
      <c r="F188" t="n">
        <v>1</v>
      </c>
      <c r="I188">
        <f>IF(D188="","",TODAY()-D188)</f>
        <v/>
      </c>
      <c r="K188">
        <f>IF(J188="v4.0",L188,IF(J188="v3.1",M188,IF(J188="Both",L188,IF(AND(L188&lt;&gt;"",M188=""),L188,M188))))</f>
        <v/>
      </c>
      <c r="U188">
        <f>IF(T188="Tier 1",10,IF(T188="Tier 2",7,IF(T188="Tier 3",4,IF(T188="Tier 4",1,0))))</f>
        <v/>
      </c>
      <c r="W188">
        <f>IF(V188="Restricted",10,IF(V188="Confidential",7,IF(V188="Internal",4,IF(V188="Public",1,0))))</f>
        <v/>
      </c>
      <c r="AA188" s="9">
        <f>(U188*0.4)+(W188*0.3)+(IF(Z188="Critical",10,IF(Z188="High",7,IF(Z188="Medium",4,1)))*0.2)+(IF(Y188="YES",10,0)*0.1)</f>
        <v/>
      </c>
      <c r="AB188" s="9">
        <f>IF(G188="YES",2.0,0)+IF(H188="YES",2.0,0)</f>
        <v/>
      </c>
      <c r="AC188" s="9" t="n">
        <v>0</v>
      </c>
      <c r="AD188" s="9">
        <f>K188+AB188+AC188</f>
        <v/>
      </c>
      <c r="AE188" s="9">
        <f>(AD188*0.6)+(AA188*0.4)</f>
        <v/>
      </c>
      <c r="AF188">
        <f>IF(AE188&gt;=9,"Critical",IF(AE188&gt;=7,"High",IF(AE188&gt;=4,"Medium","Low")))</f>
        <v/>
      </c>
    </row>
    <row r="189">
      <c r="F189" t="n">
        <v>1</v>
      </c>
      <c r="I189">
        <f>IF(D189="","",TODAY()-D189)</f>
        <v/>
      </c>
      <c r="K189">
        <f>IF(J189="v4.0",L189,IF(J189="v3.1",M189,IF(J189="Both",L189,IF(AND(L189&lt;&gt;"",M189=""),L189,M189))))</f>
        <v/>
      </c>
      <c r="U189">
        <f>IF(T189="Tier 1",10,IF(T189="Tier 2",7,IF(T189="Tier 3",4,IF(T189="Tier 4",1,0))))</f>
        <v/>
      </c>
      <c r="W189">
        <f>IF(V189="Restricted",10,IF(V189="Confidential",7,IF(V189="Internal",4,IF(V189="Public",1,0))))</f>
        <v/>
      </c>
      <c r="AA189" s="9">
        <f>(U189*0.4)+(W189*0.3)+(IF(Z189="Critical",10,IF(Z189="High",7,IF(Z189="Medium",4,1)))*0.2)+(IF(Y189="YES",10,0)*0.1)</f>
        <v/>
      </c>
      <c r="AB189" s="9">
        <f>IF(G189="YES",2.0,0)+IF(H189="YES",2.0,0)</f>
        <v/>
      </c>
      <c r="AC189" s="9" t="n">
        <v>0</v>
      </c>
      <c r="AD189" s="9">
        <f>K189+AB189+AC189</f>
        <v/>
      </c>
      <c r="AE189" s="9">
        <f>(AD189*0.6)+(AA189*0.4)</f>
        <v/>
      </c>
      <c r="AF189">
        <f>IF(AE189&gt;=9,"Critical",IF(AE189&gt;=7,"High",IF(AE189&gt;=4,"Medium","Low")))</f>
        <v/>
      </c>
    </row>
    <row r="190">
      <c r="F190" t="n">
        <v>1</v>
      </c>
      <c r="I190">
        <f>IF(D190="","",TODAY()-D190)</f>
        <v/>
      </c>
      <c r="K190">
        <f>IF(J190="v4.0",L190,IF(J190="v3.1",M190,IF(J190="Both",L190,IF(AND(L190&lt;&gt;"",M190=""),L190,M190))))</f>
        <v/>
      </c>
      <c r="U190">
        <f>IF(T190="Tier 1",10,IF(T190="Tier 2",7,IF(T190="Tier 3",4,IF(T190="Tier 4",1,0))))</f>
        <v/>
      </c>
      <c r="W190">
        <f>IF(V190="Restricted",10,IF(V190="Confidential",7,IF(V190="Internal",4,IF(V190="Public",1,0))))</f>
        <v/>
      </c>
      <c r="AA190" s="9">
        <f>(U190*0.4)+(W190*0.3)+(IF(Z190="Critical",10,IF(Z190="High",7,IF(Z190="Medium",4,1)))*0.2)+(IF(Y190="YES",10,0)*0.1)</f>
        <v/>
      </c>
      <c r="AB190" s="9">
        <f>IF(G190="YES",2.0,0)+IF(H190="YES",2.0,0)</f>
        <v/>
      </c>
      <c r="AC190" s="9" t="n">
        <v>0</v>
      </c>
      <c r="AD190" s="9">
        <f>K190+AB190+AC190</f>
        <v/>
      </c>
      <c r="AE190" s="9">
        <f>(AD190*0.6)+(AA190*0.4)</f>
        <v/>
      </c>
      <c r="AF190">
        <f>IF(AE190&gt;=9,"Critical",IF(AE190&gt;=7,"High",IF(AE190&gt;=4,"Medium","Low")))</f>
        <v/>
      </c>
    </row>
    <row r="191">
      <c r="F191" t="n">
        <v>1</v>
      </c>
      <c r="I191">
        <f>IF(D191="","",TODAY()-D191)</f>
        <v/>
      </c>
      <c r="K191">
        <f>IF(J191="v4.0",L191,IF(J191="v3.1",M191,IF(J191="Both",L191,IF(AND(L191&lt;&gt;"",M191=""),L191,M191))))</f>
        <v/>
      </c>
      <c r="U191">
        <f>IF(T191="Tier 1",10,IF(T191="Tier 2",7,IF(T191="Tier 3",4,IF(T191="Tier 4",1,0))))</f>
        <v/>
      </c>
      <c r="W191">
        <f>IF(V191="Restricted",10,IF(V191="Confidential",7,IF(V191="Internal",4,IF(V191="Public",1,0))))</f>
        <v/>
      </c>
      <c r="AA191" s="9">
        <f>(U191*0.4)+(W191*0.3)+(IF(Z191="Critical",10,IF(Z191="High",7,IF(Z191="Medium",4,1)))*0.2)+(IF(Y191="YES",10,0)*0.1)</f>
        <v/>
      </c>
      <c r="AB191" s="9">
        <f>IF(G191="YES",2.0,0)+IF(H191="YES",2.0,0)</f>
        <v/>
      </c>
      <c r="AC191" s="9" t="n">
        <v>0</v>
      </c>
      <c r="AD191" s="9">
        <f>K191+AB191+AC191</f>
        <v/>
      </c>
      <c r="AE191" s="9">
        <f>(AD191*0.6)+(AA191*0.4)</f>
        <v/>
      </c>
      <c r="AF191">
        <f>IF(AE191&gt;=9,"Critical",IF(AE191&gt;=7,"High",IF(AE191&gt;=4,"Medium","Low")))</f>
        <v/>
      </c>
    </row>
    <row r="192">
      <c r="F192" t="n">
        <v>1</v>
      </c>
      <c r="I192">
        <f>IF(D192="","",TODAY()-D192)</f>
        <v/>
      </c>
      <c r="K192">
        <f>IF(J192="v4.0",L192,IF(J192="v3.1",M192,IF(J192="Both",L192,IF(AND(L192&lt;&gt;"",M192=""),L192,M192))))</f>
        <v/>
      </c>
      <c r="U192">
        <f>IF(T192="Tier 1",10,IF(T192="Tier 2",7,IF(T192="Tier 3",4,IF(T192="Tier 4",1,0))))</f>
        <v/>
      </c>
      <c r="W192">
        <f>IF(V192="Restricted",10,IF(V192="Confidential",7,IF(V192="Internal",4,IF(V192="Public",1,0))))</f>
        <v/>
      </c>
      <c r="AA192" s="9">
        <f>(U192*0.4)+(W192*0.3)+(IF(Z192="Critical",10,IF(Z192="High",7,IF(Z192="Medium",4,1)))*0.2)+(IF(Y192="YES",10,0)*0.1)</f>
        <v/>
      </c>
      <c r="AB192" s="9">
        <f>IF(G192="YES",2.0,0)+IF(H192="YES",2.0,0)</f>
        <v/>
      </c>
      <c r="AC192" s="9" t="n">
        <v>0</v>
      </c>
      <c r="AD192" s="9">
        <f>K192+AB192+AC192</f>
        <v/>
      </c>
      <c r="AE192" s="9">
        <f>(AD192*0.6)+(AA192*0.4)</f>
        <v/>
      </c>
      <c r="AF192">
        <f>IF(AE192&gt;=9,"Critical",IF(AE192&gt;=7,"High",IF(AE192&gt;=4,"Medium","Low")))</f>
        <v/>
      </c>
    </row>
    <row r="193">
      <c r="F193" t="n">
        <v>1</v>
      </c>
      <c r="I193">
        <f>IF(D193="","",TODAY()-D193)</f>
        <v/>
      </c>
      <c r="K193">
        <f>IF(J193="v4.0",L193,IF(J193="v3.1",M193,IF(J193="Both",L193,IF(AND(L193&lt;&gt;"",M193=""),L193,M193))))</f>
        <v/>
      </c>
      <c r="U193">
        <f>IF(T193="Tier 1",10,IF(T193="Tier 2",7,IF(T193="Tier 3",4,IF(T193="Tier 4",1,0))))</f>
        <v/>
      </c>
      <c r="W193">
        <f>IF(V193="Restricted",10,IF(V193="Confidential",7,IF(V193="Internal",4,IF(V193="Public",1,0))))</f>
        <v/>
      </c>
      <c r="AA193" s="9">
        <f>(U193*0.4)+(W193*0.3)+(IF(Z193="Critical",10,IF(Z193="High",7,IF(Z193="Medium",4,1)))*0.2)+(IF(Y193="YES",10,0)*0.1)</f>
        <v/>
      </c>
      <c r="AB193" s="9">
        <f>IF(G193="YES",2.0,0)+IF(H193="YES",2.0,0)</f>
        <v/>
      </c>
      <c r="AC193" s="9" t="n">
        <v>0</v>
      </c>
      <c r="AD193" s="9">
        <f>K193+AB193+AC193</f>
        <v/>
      </c>
      <c r="AE193" s="9">
        <f>(AD193*0.6)+(AA193*0.4)</f>
        <v/>
      </c>
      <c r="AF193">
        <f>IF(AE193&gt;=9,"Critical",IF(AE193&gt;=7,"High",IF(AE193&gt;=4,"Medium","Low")))</f>
        <v/>
      </c>
    </row>
    <row r="194">
      <c r="F194" t="n">
        <v>1</v>
      </c>
      <c r="I194">
        <f>IF(D194="","",TODAY()-D194)</f>
        <v/>
      </c>
      <c r="K194">
        <f>IF(J194="v4.0",L194,IF(J194="v3.1",M194,IF(J194="Both",L194,IF(AND(L194&lt;&gt;"",M194=""),L194,M194))))</f>
        <v/>
      </c>
      <c r="U194">
        <f>IF(T194="Tier 1",10,IF(T194="Tier 2",7,IF(T194="Tier 3",4,IF(T194="Tier 4",1,0))))</f>
        <v/>
      </c>
      <c r="W194">
        <f>IF(V194="Restricted",10,IF(V194="Confidential",7,IF(V194="Internal",4,IF(V194="Public",1,0))))</f>
        <v/>
      </c>
      <c r="AA194" s="9">
        <f>(U194*0.4)+(W194*0.3)+(IF(Z194="Critical",10,IF(Z194="High",7,IF(Z194="Medium",4,1)))*0.2)+(IF(Y194="YES",10,0)*0.1)</f>
        <v/>
      </c>
      <c r="AB194" s="9">
        <f>IF(G194="YES",2.0,0)+IF(H194="YES",2.0,0)</f>
        <v/>
      </c>
      <c r="AC194" s="9" t="n">
        <v>0</v>
      </c>
      <c r="AD194" s="9">
        <f>K194+AB194+AC194</f>
        <v/>
      </c>
      <c r="AE194" s="9">
        <f>(AD194*0.6)+(AA194*0.4)</f>
        <v/>
      </c>
      <c r="AF194">
        <f>IF(AE194&gt;=9,"Critical",IF(AE194&gt;=7,"High",IF(AE194&gt;=4,"Medium","Low")))</f>
        <v/>
      </c>
    </row>
    <row r="195">
      <c r="F195" t="n">
        <v>1</v>
      </c>
      <c r="I195">
        <f>IF(D195="","",TODAY()-D195)</f>
        <v/>
      </c>
      <c r="K195">
        <f>IF(J195="v4.0",L195,IF(J195="v3.1",M195,IF(J195="Both",L195,IF(AND(L195&lt;&gt;"",M195=""),L195,M195))))</f>
        <v/>
      </c>
      <c r="U195">
        <f>IF(T195="Tier 1",10,IF(T195="Tier 2",7,IF(T195="Tier 3",4,IF(T195="Tier 4",1,0))))</f>
        <v/>
      </c>
      <c r="W195">
        <f>IF(V195="Restricted",10,IF(V195="Confidential",7,IF(V195="Internal",4,IF(V195="Public",1,0))))</f>
        <v/>
      </c>
      <c r="AA195" s="9">
        <f>(U195*0.4)+(W195*0.3)+(IF(Z195="Critical",10,IF(Z195="High",7,IF(Z195="Medium",4,1)))*0.2)+(IF(Y195="YES",10,0)*0.1)</f>
        <v/>
      </c>
      <c r="AB195" s="9">
        <f>IF(G195="YES",2.0,0)+IF(H195="YES",2.0,0)</f>
        <v/>
      </c>
      <c r="AC195" s="9" t="n">
        <v>0</v>
      </c>
      <c r="AD195" s="9">
        <f>K195+AB195+AC195</f>
        <v/>
      </c>
      <c r="AE195" s="9">
        <f>(AD195*0.6)+(AA195*0.4)</f>
        <v/>
      </c>
      <c r="AF195">
        <f>IF(AE195&gt;=9,"Critical",IF(AE195&gt;=7,"High",IF(AE195&gt;=4,"Medium","Low")))</f>
        <v/>
      </c>
    </row>
    <row r="196">
      <c r="F196" t="n">
        <v>1</v>
      </c>
      <c r="I196">
        <f>IF(D196="","",TODAY()-D196)</f>
        <v/>
      </c>
      <c r="K196">
        <f>IF(J196="v4.0",L196,IF(J196="v3.1",M196,IF(J196="Both",L196,IF(AND(L196&lt;&gt;"",M196=""),L196,M196))))</f>
        <v/>
      </c>
      <c r="U196">
        <f>IF(T196="Tier 1",10,IF(T196="Tier 2",7,IF(T196="Tier 3",4,IF(T196="Tier 4",1,0))))</f>
        <v/>
      </c>
      <c r="W196">
        <f>IF(V196="Restricted",10,IF(V196="Confidential",7,IF(V196="Internal",4,IF(V196="Public",1,0))))</f>
        <v/>
      </c>
      <c r="AA196" s="9">
        <f>(U196*0.4)+(W196*0.3)+(IF(Z196="Critical",10,IF(Z196="High",7,IF(Z196="Medium",4,1)))*0.2)+(IF(Y196="YES",10,0)*0.1)</f>
        <v/>
      </c>
      <c r="AB196" s="9">
        <f>IF(G196="YES",2.0,0)+IF(H196="YES",2.0,0)</f>
        <v/>
      </c>
      <c r="AC196" s="9" t="n">
        <v>0</v>
      </c>
      <c r="AD196" s="9">
        <f>K196+AB196+AC196</f>
        <v/>
      </c>
      <c r="AE196" s="9">
        <f>(AD196*0.6)+(AA196*0.4)</f>
        <v/>
      </c>
      <c r="AF196">
        <f>IF(AE196&gt;=9,"Critical",IF(AE196&gt;=7,"High",IF(AE196&gt;=4,"Medium","Low")))</f>
        <v/>
      </c>
    </row>
    <row r="197">
      <c r="F197" t="n">
        <v>1</v>
      </c>
      <c r="I197">
        <f>IF(D197="","",TODAY()-D197)</f>
        <v/>
      </c>
      <c r="K197">
        <f>IF(J197="v4.0",L197,IF(J197="v3.1",M197,IF(J197="Both",L197,IF(AND(L197&lt;&gt;"",M197=""),L197,M197))))</f>
        <v/>
      </c>
      <c r="U197">
        <f>IF(T197="Tier 1",10,IF(T197="Tier 2",7,IF(T197="Tier 3",4,IF(T197="Tier 4",1,0))))</f>
        <v/>
      </c>
      <c r="W197">
        <f>IF(V197="Restricted",10,IF(V197="Confidential",7,IF(V197="Internal",4,IF(V197="Public",1,0))))</f>
        <v/>
      </c>
      <c r="AA197" s="9">
        <f>(U197*0.4)+(W197*0.3)+(IF(Z197="Critical",10,IF(Z197="High",7,IF(Z197="Medium",4,1)))*0.2)+(IF(Y197="YES",10,0)*0.1)</f>
        <v/>
      </c>
      <c r="AB197" s="9">
        <f>IF(G197="YES",2.0,0)+IF(H197="YES",2.0,0)</f>
        <v/>
      </c>
      <c r="AC197" s="9" t="n">
        <v>0</v>
      </c>
      <c r="AD197" s="9">
        <f>K197+AB197+AC197</f>
        <v/>
      </c>
      <c r="AE197" s="9">
        <f>(AD197*0.6)+(AA197*0.4)</f>
        <v/>
      </c>
      <c r="AF197">
        <f>IF(AE197&gt;=9,"Critical",IF(AE197&gt;=7,"High",IF(AE197&gt;=4,"Medium","Low")))</f>
        <v/>
      </c>
    </row>
    <row r="198">
      <c r="F198" t="n">
        <v>1</v>
      </c>
      <c r="I198">
        <f>IF(D198="","",TODAY()-D198)</f>
        <v/>
      </c>
      <c r="K198">
        <f>IF(J198="v4.0",L198,IF(J198="v3.1",M198,IF(J198="Both",L198,IF(AND(L198&lt;&gt;"",M198=""),L198,M198))))</f>
        <v/>
      </c>
      <c r="U198">
        <f>IF(T198="Tier 1",10,IF(T198="Tier 2",7,IF(T198="Tier 3",4,IF(T198="Tier 4",1,0))))</f>
        <v/>
      </c>
      <c r="W198">
        <f>IF(V198="Restricted",10,IF(V198="Confidential",7,IF(V198="Internal",4,IF(V198="Public",1,0))))</f>
        <v/>
      </c>
      <c r="AA198" s="9">
        <f>(U198*0.4)+(W198*0.3)+(IF(Z198="Critical",10,IF(Z198="High",7,IF(Z198="Medium",4,1)))*0.2)+(IF(Y198="YES",10,0)*0.1)</f>
        <v/>
      </c>
      <c r="AB198" s="9">
        <f>IF(G198="YES",2.0,0)+IF(H198="YES",2.0,0)</f>
        <v/>
      </c>
      <c r="AC198" s="9" t="n">
        <v>0</v>
      </c>
      <c r="AD198" s="9">
        <f>K198+AB198+AC198</f>
        <v/>
      </c>
      <c r="AE198" s="9">
        <f>(AD198*0.6)+(AA198*0.4)</f>
        <v/>
      </c>
      <c r="AF198">
        <f>IF(AE198&gt;=9,"Critical",IF(AE198&gt;=7,"High",IF(AE198&gt;=4,"Medium","Low")))</f>
        <v/>
      </c>
    </row>
    <row r="199">
      <c r="F199" t="n">
        <v>1</v>
      </c>
      <c r="I199">
        <f>IF(D199="","",TODAY()-D199)</f>
        <v/>
      </c>
      <c r="K199">
        <f>IF(J199="v4.0",L199,IF(J199="v3.1",M199,IF(J199="Both",L199,IF(AND(L199&lt;&gt;"",M199=""),L199,M199))))</f>
        <v/>
      </c>
      <c r="U199">
        <f>IF(T199="Tier 1",10,IF(T199="Tier 2",7,IF(T199="Tier 3",4,IF(T199="Tier 4",1,0))))</f>
        <v/>
      </c>
      <c r="W199">
        <f>IF(V199="Restricted",10,IF(V199="Confidential",7,IF(V199="Internal",4,IF(V199="Public",1,0))))</f>
        <v/>
      </c>
      <c r="AA199" s="9">
        <f>(U199*0.4)+(W199*0.3)+(IF(Z199="Critical",10,IF(Z199="High",7,IF(Z199="Medium",4,1)))*0.2)+(IF(Y199="YES",10,0)*0.1)</f>
        <v/>
      </c>
      <c r="AB199" s="9">
        <f>IF(G199="YES",2.0,0)+IF(H199="YES",2.0,0)</f>
        <v/>
      </c>
      <c r="AC199" s="9" t="n">
        <v>0</v>
      </c>
      <c r="AD199" s="9">
        <f>K199+AB199+AC199</f>
        <v/>
      </c>
      <c r="AE199" s="9">
        <f>(AD199*0.6)+(AA199*0.4)</f>
        <v/>
      </c>
      <c r="AF199">
        <f>IF(AE199&gt;=9,"Critical",IF(AE199&gt;=7,"High",IF(AE199&gt;=4,"Medium","Low")))</f>
        <v/>
      </c>
    </row>
    <row r="200">
      <c r="F200" t="n">
        <v>1</v>
      </c>
      <c r="I200">
        <f>IF(D200="","",TODAY()-D200)</f>
        <v/>
      </c>
      <c r="K200">
        <f>IF(J200="v4.0",L200,IF(J200="v3.1",M200,IF(J200="Both",L200,IF(AND(L200&lt;&gt;"",M200=""),L200,M200))))</f>
        <v/>
      </c>
      <c r="U200">
        <f>IF(T200="Tier 1",10,IF(T200="Tier 2",7,IF(T200="Tier 3",4,IF(T200="Tier 4",1,0))))</f>
        <v/>
      </c>
      <c r="W200">
        <f>IF(V200="Restricted",10,IF(V200="Confidential",7,IF(V200="Internal",4,IF(V200="Public",1,0))))</f>
        <v/>
      </c>
      <c r="AA200" s="9">
        <f>(U200*0.4)+(W200*0.3)+(IF(Z200="Critical",10,IF(Z200="High",7,IF(Z200="Medium",4,1)))*0.2)+(IF(Y200="YES",10,0)*0.1)</f>
        <v/>
      </c>
      <c r="AB200" s="9">
        <f>IF(G200="YES",2.0,0)+IF(H200="YES",2.0,0)</f>
        <v/>
      </c>
      <c r="AC200" s="9" t="n">
        <v>0</v>
      </c>
      <c r="AD200" s="9">
        <f>K200+AB200+AC200</f>
        <v/>
      </c>
      <c r="AE200" s="9">
        <f>(AD200*0.6)+(AA200*0.4)</f>
        <v/>
      </c>
      <c r="AF200">
        <f>IF(AE200&gt;=9,"Critical",IF(AE200&gt;=7,"High",IF(AE200&gt;=4,"Medium","Low")))</f>
        <v/>
      </c>
    </row>
    <row r="201">
      <c r="F201" t="n">
        <v>1</v>
      </c>
      <c r="I201">
        <f>IF(D201="","",TODAY()-D201)</f>
        <v/>
      </c>
      <c r="K201">
        <f>IF(J201="v4.0",L201,IF(J201="v3.1",M201,IF(J201="Both",L201,IF(AND(L201&lt;&gt;"",M201=""),L201,M201))))</f>
        <v/>
      </c>
      <c r="U201">
        <f>IF(T201="Tier 1",10,IF(T201="Tier 2",7,IF(T201="Tier 3",4,IF(T201="Tier 4",1,0))))</f>
        <v/>
      </c>
      <c r="W201">
        <f>IF(V201="Restricted",10,IF(V201="Confidential",7,IF(V201="Internal",4,IF(V201="Public",1,0))))</f>
        <v/>
      </c>
      <c r="AA201" s="9">
        <f>(U201*0.4)+(W201*0.3)+(IF(Z201="Critical",10,IF(Z201="High",7,IF(Z201="Medium",4,1)))*0.2)+(IF(Y201="YES",10,0)*0.1)</f>
        <v/>
      </c>
      <c r="AB201" s="9">
        <f>IF(G201="YES",2.0,0)+IF(H201="YES",2.0,0)</f>
        <v/>
      </c>
      <c r="AC201" s="9" t="n">
        <v>0</v>
      </c>
      <c r="AD201" s="9">
        <f>K201+AB201+AC201</f>
        <v/>
      </c>
      <c r="AE201" s="9">
        <f>(AD201*0.6)+(AA201*0.4)</f>
        <v/>
      </c>
      <c r="AF201">
        <f>IF(AE201&gt;=9,"Critical",IF(AE201&gt;=7,"High",IF(AE201&gt;=4,"Medium","Low")))</f>
        <v/>
      </c>
    </row>
    <row r="202">
      <c r="F202" t="n">
        <v>1</v>
      </c>
      <c r="I202">
        <f>IF(D202="","",TODAY()-D202)</f>
        <v/>
      </c>
      <c r="K202">
        <f>IF(J202="v4.0",L202,IF(J202="v3.1",M202,IF(J202="Both",L202,IF(AND(L202&lt;&gt;"",M202=""),L202,M202))))</f>
        <v/>
      </c>
      <c r="U202">
        <f>IF(T202="Tier 1",10,IF(T202="Tier 2",7,IF(T202="Tier 3",4,IF(T202="Tier 4",1,0))))</f>
        <v/>
      </c>
      <c r="W202">
        <f>IF(V202="Restricted",10,IF(V202="Confidential",7,IF(V202="Internal",4,IF(V202="Public",1,0))))</f>
        <v/>
      </c>
      <c r="AA202" s="9">
        <f>(U202*0.4)+(W202*0.3)+(IF(Z202="Critical",10,IF(Z202="High",7,IF(Z202="Medium",4,1)))*0.2)+(IF(Y202="YES",10,0)*0.1)</f>
        <v/>
      </c>
      <c r="AB202" s="9">
        <f>IF(G202="YES",2.0,0)+IF(H202="YES",2.0,0)</f>
        <v/>
      </c>
      <c r="AC202" s="9" t="n">
        <v>0</v>
      </c>
      <c r="AD202" s="9">
        <f>K202+AB202+AC202</f>
        <v/>
      </c>
      <c r="AE202" s="9">
        <f>(AD202*0.6)+(AA202*0.4)</f>
        <v/>
      </c>
      <c r="AF202">
        <f>IF(AE202&gt;=9,"Critical",IF(AE202&gt;=7,"High",IF(AE202&gt;=4,"Medium","Low")))</f>
        <v/>
      </c>
    </row>
    <row r="203">
      <c r="F203" t="n">
        <v>1</v>
      </c>
      <c r="I203">
        <f>IF(D203="","",TODAY()-D203)</f>
        <v/>
      </c>
      <c r="K203">
        <f>IF(J203="v4.0",L203,IF(J203="v3.1",M203,IF(J203="Both",L203,IF(AND(L203&lt;&gt;"",M203=""),L203,M203))))</f>
        <v/>
      </c>
      <c r="U203">
        <f>IF(T203="Tier 1",10,IF(T203="Tier 2",7,IF(T203="Tier 3",4,IF(T203="Tier 4",1,0))))</f>
        <v/>
      </c>
      <c r="W203">
        <f>IF(V203="Restricted",10,IF(V203="Confidential",7,IF(V203="Internal",4,IF(V203="Public",1,0))))</f>
        <v/>
      </c>
      <c r="AA203" s="9">
        <f>(U203*0.4)+(W203*0.3)+(IF(Z203="Critical",10,IF(Z203="High",7,IF(Z203="Medium",4,1)))*0.2)+(IF(Y203="YES",10,0)*0.1)</f>
        <v/>
      </c>
      <c r="AB203" s="9">
        <f>IF(G203="YES",2.0,0)+IF(H203="YES",2.0,0)</f>
        <v/>
      </c>
      <c r="AC203" s="9" t="n">
        <v>0</v>
      </c>
      <c r="AD203" s="9">
        <f>K203+AB203+AC203</f>
        <v/>
      </c>
      <c r="AE203" s="9">
        <f>(AD203*0.6)+(AA203*0.4)</f>
        <v/>
      </c>
      <c r="AF203">
        <f>IF(AE203&gt;=9,"Critical",IF(AE203&gt;=7,"High",IF(AE203&gt;=4,"Medium","Low")))</f>
        <v/>
      </c>
    </row>
    <row r="204">
      <c r="F204" t="n">
        <v>1</v>
      </c>
      <c r="I204">
        <f>IF(D204="","",TODAY()-D204)</f>
        <v/>
      </c>
      <c r="K204">
        <f>IF(J204="v4.0",L204,IF(J204="v3.1",M204,IF(J204="Both",L204,IF(AND(L204&lt;&gt;"",M204=""),L204,M204))))</f>
        <v/>
      </c>
      <c r="U204">
        <f>IF(T204="Tier 1",10,IF(T204="Tier 2",7,IF(T204="Tier 3",4,IF(T204="Tier 4",1,0))))</f>
        <v/>
      </c>
      <c r="W204">
        <f>IF(V204="Restricted",10,IF(V204="Confidential",7,IF(V204="Internal",4,IF(V204="Public",1,0))))</f>
        <v/>
      </c>
      <c r="AA204" s="9">
        <f>(U204*0.4)+(W204*0.3)+(IF(Z204="Critical",10,IF(Z204="High",7,IF(Z204="Medium",4,1)))*0.2)+(IF(Y204="YES",10,0)*0.1)</f>
        <v/>
      </c>
      <c r="AB204" s="9">
        <f>IF(G204="YES",2.0,0)+IF(H204="YES",2.0,0)</f>
        <v/>
      </c>
      <c r="AC204" s="9" t="n">
        <v>0</v>
      </c>
      <c r="AD204" s="9">
        <f>K204+AB204+AC204</f>
        <v/>
      </c>
      <c r="AE204" s="9">
        <f>(AD204*0.6)+(AA204*0.4)</f>
        <v/>
      </c>
      <c r="AF204">
        <f>IF(AE204&gt;=9,"Critical",IF(AE204&gt;=7,"High",IF(AE204&gt;=4,"Medium","Low")))</f>
        <v/>
      </c>
    </row>
    <row r="205">
      <c r="F205" t="n">
        <v>1</v>
      </c>
      <c r="I205">
        <f>IF(D205="","",TODAY()-D205)</f>
        <v/>
      </c>
      <c r="K205">
        <f>IF(J205="v4.0",L205,IF(J205="v3.1",M205,IF(J205="Both",L205,IF(AND(L205&lt;&gt;"",M205=""),L205,M205))))</f>
        <v/>
      </c>
      <c r="U205">
        <f>IF(T205="Tier 1",10,IF(T205="Tier 2",7,IF(T205="Tier 3",4,IF(T205="Tier 4",1,0))))</f>
        <v/>
      </c>
      <c r="W205">
        <f>IF(V205="Restricted",10,IF(V205="Confidential",7,IF(V205="Internal",4,IF(V205="Public",1,0))))</f>
        <v/>
      </c>
      <c r="AA205" s="9">
        <f>(U205*0.4)+(W205*0.3)+(IF(Z205="Critical",10,IF(Z205="High",7,IF(Z205="Medium",4,1)))*0.2)+(IF(Y205="YES",10,0)*0.1)</f>
        <v/>
      </c>
      <c r="AB205" s="9">
        <f>IF(G205="YES",2.0,0)+IF(H205="YES",2.0,0)</f>
        <v/>
      </c>
      <c r="AC205" s="9" t="n">
        <v>0</v>
      </c>
      <c r="AD205" s="9">
        <f>K205+AB205+AC205</f>
        <v/>
      </c>
      <c r="AE205" s="9">
        <f>(AD205*0.6)+(AA205*0.4)</f>
        <v/>
      </c>
      <c r="AF205">
        <f>IF(AE205&gt;=9,"Critical",IF(AE205&gt;=7,"High",IF(AE205&gt;=4,"Medium","Low")))</f>
        <v/>
      </c>
    </row>
    <row r="206">
      <c r="F206" t="n">
        <v>1</v>
      </c>
      <c r="I206">
        <f>IF(D206="","",TODAY()-D206)</f>
        <v/>
      </c>
      <c r="K206">
        <f>IF(J206="v4.0",L206,IF(J206="v3.1",M206,IF(J206="Both",L206,IF(AND(L206&lt;&gt;"",M206=""),L206,M206))))</f>
        <v/>
      </c>
      <c r="U206">
        <f>IF(T206="Tier 1",10,IF(T206="Tier 2",7,IF(T206="Tier 3",4,IF(T206="Tier 4",1,0))))</f>
        <v/>
      </c>
      <c r="W206">
        <f>IF(V206="Restricted",10,IF(V206="Confidential",7,IF(V206="Internal",4,IF(V206="Public",1,0))))</f>
        <v/>
      </c>
      <c r="AA206" s="9">
        <f>(U206*0.4)+(W206*0.3)+(IF(Z206="Critical",10,IF(Z206="High",7,IF(Z206="Medium",4,1)))*0.2)+(IF(Y206="YES",10,0)*0.1)</f>
        <v/>
      </c>
      <c r="AB206" s="9">
        <f>IF(G206="YES",2.0,0)+IF(H206="YES",2.0,0)</f>
        <v/>
      </c>
      <c r="AC206" s="9" t="n">
        <v>0</v>
      </c>
      <c r="AD206" s="9">
        <f>K206+AB206+AC206</f>
        <v/>
      </c>
      <c r="AE206" s="9">
        <f>(AD206*0.6)+(AA206*0.4)</f>
        <v/>
      </c>
      <c r="AF206">
        <f>IF(AE206&gt;=9,"Critical",IF(AE206&gt;=7,"High",IF(AE206&gt;=4,"Medium","Low")))</f>
        <v/>
      </c>
    </row>
    <row r="207">
      <c r="F207" t="n">
        <v>1</v>
      </c>
      <c r="I207">
        <f>IF(D207="","",TODAY()-D207)</f>
        <v/>
      </c>
      <c r="K207">
        <f>IF(J207="v4.0",L207,IF(J207="v3.1",M207,IF(J207="Both",L207,IF(AND(L207&lt;&gt;"",M207=""),L207,M207))))</f>
        <v/>
      </c>
      <c r="U207">
        <f>IF(T207="Tier 1",10,IF(T207="Tier 2",7,IF(T207="Tier 3",4,IF(T207="Tier 4",1,0))))</f>
        <v/>
      </c>
      <c r="W207">
        <f>IF(V207="Restricted",10,IF(V207="Confidential",7,IF(V207="Internal",4,IF(V207="Public",1,0))))</f>
        <v/>
      </c>
      <c r="AA207" s="9">
        <f>(U207*0.4)+(W207*0.3)+(IF(Z207="Critical",10,IF(Z207="High",7,IF(Z207="Medium",4,1)))*0.2)+(IF(Y207="YES",10,0)*0.1)</f>
        <v/>
      </c>
      <c r="AB207" s="9">
        <f>IF(G207="YES",2.0,0)+IF(H207="YES",2.0,0)</f>
        <v/>
      </c>
      <c r="AC207" s="9" t="n">
        <v>0</v>
      </c>
      <c r="AD207" s="9">
        <f>K207+AB207+AC207</f>
        <v/>
      </c>
      <c r="AE207" s="9">
        <f>(AD207*0.6)+(AA207*0.4)</f>
        <v/>
      </c>
      <c r="AF207">
        <f>IF(AE207&gt;=9,"Critical",IF(AE207&gt;=7,"High",IF(AE207&gt;=4,"Medium","Low")))</f>
        <v/>
      </c>
    </row>
    <row r="208">
      <c r="F208" t="n">
        <v>1</v>
      </c>
      <c r="I208">
        <f>IF(D208="","",TODAY()-D208)</f>
        <v/>
      </c>
      <c r="K208">
        <f>IF(J208="v4.0",L208,IF(J208="v3.1",M208,IF(J208="Both",L208,IF(AND(L208&lt;&gt;"",M208=""),L208,M208))))</f>
        <v/>
      </c>
      <c r="U208">
        <f>IF(T208="Tier 1",10,IF(T208="Tier 2",7,IF(T208="Tier 3",4,IF(T208="Tier 4",1,0))))</f>
        <v/>
      </c>
      <c r="W208">
        <f>IF(V208="Restricted",10,IF(V208="Confidential",7,IF(V208="Internal",4,IF(V208="Public",1,0))))</f>
        <v/>
      </c>
      <c r="AA208" s="9">
        <f>(U208*0.4)+(W208*0.3)+(IF(Z208="Critical",10,IF(Z208="High",7,IF(Z208="Medium",4,1)))*0.2)+(IF(Y208="YES",10,0)*0.1)</f>
        <v/>
      </c>
      <c r="AB208" s="9">
        <f>IF(G208="YES",2.0,0)+IF(H208="YES",2.0,0)</f>
        <v/>
      </c>
      <c r="AC208" s="9" t="n">
        <v>0</v>
      </c>
      <c r="AD208" s="9">
        <f>K208+AB208+AC208</f>
        <v/>
      </c>
      <c r="AE208" s="9">
        <f>(AD208*0.6)+(AA208*0.4)</f>
        <v/>
      </c>
      <c r="AF208">
        <f>IF(AE208&gt;=9,"Critical",IF(AE208&gt;=7,"High",IF(AE208&gt;=4,"Medium","Low")))</f>
        <v/>
      </c>
    </row>
    <row r="209">
      <c r="F209" t="n">
        <v>1</v>
      </c>
      <c r="I209">
        <f>IF(D209="","",TODAY()-D209)</f>
        <v/>
      </c>
      <c r="K209">
        <f>IF(J209="v4.0",L209,IF(J209="v3.1",M209,IF(J209="Both",L209,IF(AND(L209&lt;&gt;"",M209=""),L209,M209))))</f>
        <v/>
      </c>
      <c r="U209">
        <f>IF(T209="Tier 1",10,IF(T209="Tier 2",7,IF(T209="Tier 3",4,IF(T209="Tier 4",1,0))))</f>
        <v/>
      </c>
      <c r="W209">
        <f>IF(V209="Restricted",10,IF(V209="Confidential",7,IF(V209="Internal",4,IF(V209="Public",1,0))))</f>
        <v/>
      </c>
      <c r="AA209" s="9">
        <f>(U209*0.4)+(W209*0.3)+(IF(Z209="Critical",10,IF(Z209="High",7,IF(Z209="Medium",4,1)))*0.2)+(IF(Y209="YES",10,0)*0.1)</f>
        <v/>
      </c>
      <c r="AB209" s="9">
        <f>IF(G209="YES",2.0,0)+IF(H209="YES",2.0,0)</f>
        <v/>
      </c>
      <c r="AC209" s="9" t="n">
        <v>0</v>
      </c>
      <c r="AD209" s="9">
        <f>K209+AB209+AC209</f>
        <v/>
      </c>
      <c r="AE209" s="9">
        <f>(AD209*0.6)+(AA209*0.4)</f>
        <v/>
      </c>
      <c r="AF209">
        <f>IF(AE209&gt;=9,"Critical",IF(AE209&gt;=7,"High",IF(AE209&gt;=4,"Medium","Low")))</f>
        <v/>
      </c>
    </row>
    <row r="210">
      <c r="F210" t="n">
        <v>1</v>
      </c>
      <c r="I210">
        <f>IF(D210="","",TODAY()-D210)</f>
        <v/>
      </c>
      <c r="K210">
        <f>IF(J210="v4.0",L210,IF(J210="v3.1",M210,IF(J210="Both",L210,IF(AND(L210&lt;&gt;"",M210=""),L210,M210))))</f>
        <v/>
      </c>
      <c r="U210">
        <f>IF(T210="Tier 1",10,IF(T210="Tier 2",7,IF(T210="Tier 3",4,IF(T210="Tier 4",1,0))))</f>
        <v/>
      </c>
      <c r="W210">
        <f>IF(V210="Restricted",10,IF(V210="Confidential",7,IF(V210="Internal",4,IF(V210="Public",1,0))))</f>
        <v/>
      </c>
      <c r="AA210" s="9">
        <f>(U210*0.4)+(W210*0.3)+(IF(Z210="Critical",10,IF(Z210="High",7,IF(Z210="Medium",4,1)))*0.2)+(IF(Y210="YES",10,0)*0.1)</f>
        <v/>
      </c>
      <c r="AB210" s="9">
        <f>IF(G210="YES",2.0,0)+IF(H210="YES",2.0,0)</f>
        <v/>
      </c>
      <c r="AC210" s="9" t="n">
        <v>0</v>
      </c>
      <c r="AD210" s="9">
        <f>K210+AB210+AC210</f>
        <v/>
      </c>
      <c r="AE210" s="9">
        <f>(AD210*0.6)+(AA210*0.4)</f>
        <v/>
      </c>
      <c r="AF210">
        <f>IF(AE210&gt;=9,"Critical",IF(AE210&gt;=7,"High",IF(AE210&gt;=4,"Medium","Low")))</f>
        <v/>
      </c>
    </row>
    <row r="211">
      <c r="F211" t="n">
        <v>1</v>
      </c>
      <c r="I211">
        <f>IF(D211="","",TODAY()-D211)</f>
        <v/>
      </c>
      <c r="K211">
        <f>IF(J211="v4.0",L211,IF(J211="v3.1",M211,IF(J211="Both",L211,IF(AND(L211&lt;&gt;"",M211=""),L211,M211))))</f>
        <v/>
      </c>
      <c r="U211">
        <f>IF(T211="Tier 1",10,IF(T211="Tier 2",7,IF(T211="Tier 3",4,IF(T211="Tier 4",1,0))))</f>
        <v/>
      </c>
      <c r="W211">
        <f>IF(V211="Restricted",10,IF(V211="Confidential",7,IF(V211="Internal",4,IF(V211="Public",1,0))))</f>
        <v/>
      </c>
      <c r="AA211" s="9">
        <f>(U211*0.4)+(W211*0.3)+(IF(Z211="Critical",10,IF(Z211="High",7,IF(Z211="Medium",4,1)))*0.2)+(IF(Y211="YES",10,0)*0.1)</f>
        <v/>
      </c>
      <c r="AB211" s="9">
        <f>IF(G211="YES",2.0,0)+IF(H211="YES",2.0,0)</f>
        <v/>
      </c>
      <c r="AC211" s="9" t="n">
        <v>0</v>
      </c>
      <c r="AD211" s="9">
        <f>K211+AB211+AC211</f>
        <v/>
      </c>
      <c r="AE211" s="9">
        <f>(AD211*0.6)+(AA211*0.4)</f>
        <v/>
      </c>
      <c r="AF211">
        <f>IF(AE211&gt;=9,"Critical",IF(AE211&gt;=7,"High",IF(AE211&gt;=4,"Medium","Low")))</f>
        <v/>
      </c>
    </row>
    <row r="212">
      <c r="F212" t="n">
        <v>1</v>
      </c>
      <c r="I212">
        <f>IF(D212="","",TODAY()-D212)</f>
        <v/>
      </c>
      <c r="K212">
        <f>IF(J212="v4.0",L212,IF(J212="v3.1",M212,IF(J212="Both",L212,IF(AND(L212&lt;&gt;"",M212=""),L212,M212))))</f>
        <v/>
      </c>
      <c r="U212">
        <f>IF(T212="Tier 1",10,IF(T212="Tier 2",7,IF(T212="Tier 3",4,IF(T212="Tier 4",1,0))))</f>
        <v/>
      </c>
      <c r="W212">
        <f>IF(V212="Restricted",10,IF(V212="Confidential",7,IF(V212="Internal",4,IF(V212="Public",1,0))))</f>
        <v/>
      </c>
      <c r="AA212" s="9">
        <f>(U212*0.4)+(W212*0.3)+(IF(Z212="Critical",10,IF(Z212="High",7,IF(Z212="Medium",4,1)))*0.2)+(IF(Y212="YES",10,0)*0.1)</f>
        <v/>
      </c>
      <c r="AB212" s="9">
        <f>IF(G212="YES",2.0,0)+IF(H212="YES",2.0,0)</f>
        <v/>
      </c>
      <c r="AC212" s="9" t="n">
        <v>0</v>
      </c>
      <c r="AD212" s="9">
        <f>K212+AB212+AC212</f>
        <v/>
      </c>
      <c r="AE212" s="9">
        <f>(AD212*0.6)+(AA212*0.4)</f>
        <v/>
      </c>
      <c r="AF212">
        <f>IF(AE212&gt;=9,"Critical",IF(AE212&gt;=7,"High",IF(AE212&gt;=4,"Medium","Low")))</f>
        <v/>
      </c>
    </row>
    <row r="213">
      <c r="F213" t="n">
        <v>1</v>
      </c>
      <c r="I213">
        <f>IF(D213="","",TODAY()-D213)</f>
        <v/>
      </c>
      <c r="K213">
        <f>IF(J213="v4.0",L213,IF(J213="v3.1",M213,IF(J213="Both",L213,IF(AND(L213&lt;&gt;"",M213=""),L213,M213))))</f>
        <v/>
      </c>
      <c r="U213">
        <f>IF(T213="Tier 1",10,IF(T213="Tier 2",7,IF(T213="Tier 3",4,IF(T213="Tier 4",1,0))))</f>
        <v/>
      </c>
      <c r="W213">
        <f>IF(V213="Restricted",10,IF(V213="Confidential",7,IF(V213="Internal",4,IF(V213="Public",1,0))))</f>
        <v/>
      </c>
      <c r="AA213" s="9">
        <f>(U213*0.4)+(W213*0.3)+(IF(Z213="Critical",10,IF(Z213="High",7,IF(Z213="Medium",4,1)))*0.2)+(IF(Y213="YES",10,0)*0.1)</f>
        <v/>
      </c>
      <c r="AB213" s="9">
        <f>IF(G213="YES",2.0,0)+IF(H213="YES",2.0,0)</f>
        <v/>
      </c>
      <c r="AC213" s="9" t="n">
        <v>0</v>
      </c>
      <c r="AD213" s="9">
        <f>K213+AB213+AC213</f>
        <v/>
      </c>
      <c r="AE213" s="9">
        <f>(AD213*0.6)+(AA213*0.4)</f>
        <v/>
      </c>
      <c r="AF213">
        <f>IF(AE213&gt;=9,"Critical",IF(AE213&gt;=7,"High",IF(AE213&gt;=4,"Medium","Low")))</f>
        <v/>
      </c>
    </row>
    <row r="214">
      <c r="F214" t="n">
        <v>1</v>
      </c>
      <c r="I214">
        <f>IF(D214="","",TODAY()-D214)</f>
        <v/>
      </c>
      <c r="K214">
        <f>IF(J214="v4.0",L214,IF(J214="v3.1",M214,IF(J214="Both",L214,IF(AND(L214&lt;&gt;"",M214=""),L214,M214))))</f>
        <v/>
      </c>
      <c r="U214">
        <f>IF(T214="Tier 1",10,IF(T214="Tier 2",7,IF(T214="Tier 3",4,IF(T214="Tier 4",1,0))))</f>
        <v/>
      </c>
      <c r="W214">
        <f>IF(V214="Restricted",10,IF(V214="Confidential",7,IF(V214="Internal",4,IF(V214="Public",1,0))))</f>
        <v/>
      </c>
      <c r="AA214" s="9">
        <f>(U214*0.4)+(W214*0.3)+(IF(Z214="Critical",10,IF(Z214="High",7,IF(Z214="Medium",4,1)))*0.2)+(IF(Y214="YES",10,0)*0.1)</f>
        <v/>
      </c>
      <c r="AB214" s="9">
        <f>IF(G214="YES",2.0,0)+IF(H214="YES",2.0,0)</f>
        <v/>
      </c>
      <c r="AC214" s="9" t="n">
        <v>0</v>
      </c>
      <c r="AD214" s="9">
        <f>K214+AB214+AC214</f>
        <v/>
      </c>
      <c r="AE214" s="9">
        <f>(AD214*0.6)+(AA214*0.4)</f>
        <v/>
      </c>
      <c r="AF214">
        <f>IF(AE214&gt;=9,"Critical",IF(AE214&gt;=7,"High",IF(AE214&gt;=4,"Medium","Low")))</f>
        <v/>
      </c>
    </row>
    <row r="215">
      <c r="F215" t="n">
        <v>1</v>
      </c>
      <c r="I215">
        <f>IF(D215="","",TODAY()-D215)</f>
        <v/>
      </c>
      <c r="K215">
        <f>IF(J215="v4.0",L215,IF(J215="v3.1",M215,IF(J215="Both",L215,IF(AND(L215&lt;&gt;"",M215=""),L215,M215))))</f>
        <v/>
      </c>
      <c r="U215">
        <f>IF(T215="Tier 1",10,IF(T215="Tier 2",7,IF(T215="Tier 3",4,IF(T215="Tier 4",1,0))))</f>
        <v/>
      </c>
      <c r="W215">
        <f>IF(V215="Restricted",10,IF(V215="Confidential",7,IF(V215="Internal",4,IF(V215="Public",1,0))))</f>
        <v/>
      </c>
      <c r="AA215" s="9">
        <f>(U215*0.4)+(W215*0.3)+(IF(Z215="Critical",10,IF(Z215="High",7,IF(Z215="Medium",4,1)))*0.2)+(IF(Y215="YES",10,0)*0.1)</f>
        <v/>
      </c>
      <c r="AB215" s="9">
        <f>IF(G215="YES",2.0,0)+IF(H215="YES",2.0,0)</f>
        <v/>
      </c>
      <c r="AC215" s="9" t="n">
        <v>0</v>
      </c>
      <c r="AD215" s="9">
        <f>K215+AB215+AC215</f>
        <v/>
      </c>
      <c r="AE215" s="9">
        <f>(AD215*0.6)+(AA215*0.4)</f>
        <v/>
      </c>
      <c r="AF215">
        <f>IF(AE215&gt;=9,"Critical",IF(AE215&gt;=7,"High",IF(AE215&gt;=4,"Medium","Low")))</f>
        <v/>
      </c>
    </row>
    <row r="216">
      <c r="F216" t="n">
        <v>1</v>
      </c>
      <c r="I216">
        <f>IF(D216="","",TODAY()-D216)</f>
        <v/>
      </c>
      <c r="K216">
        <f>IF(J216="v4.0",L216,IF(J216="v3.1",M216,IF(J216="Both",L216,IF(AND(L216&lt;&gt;"",M216=""),L216,M216))))</f>
        <v/>
      </c>
      <c r="U216">
        <f>IF(T216="Tier 1",10,IF(T216="Tier 2",7,IF(T216="Tier 3",4,IF(T216="Tier 4",1,0))))</f>
        <v/>
      </c>
      <c r="W216">
        <f>IF(V216="Restricted",10,IF(V216="Confidential",7,IF(V216="Internal",4,IF(V216="Public",1,0))))</f>
        <v/>
      </c>
      <c r="AA216" s="9">
        <f>(U216*0.4)+(W216*0.3)+(IF(Z216="Critical",10,IF(Z216="High",7,IF(Z216="Medium",4,1)))*0.2)+(IF(Y216="YES",10,0)*0.1)</f>
        <v/>
      </c>
      <c r="AB216" s="9">
        <f>IF(G216="YES",2.0,0)+IF(H216="YES",2.0,0)</f>
        <v/>
      </c>
      <c r="AC216" s="9" t="n">
        <v>0</v>
      </c>
      <c r="AD216" s="9">
        <f>K216+AB216+AC216</f>
        <v/>
      </c>
      <c r="AE216" s="9">
        <f>(AD216*0.6)+(AA216*0.4)</f>
        <v/>
      </c>
      <c r="AF216">
        <f>IF(AE216&gt;=9,"Critical",IF(AE216&gt;=7,"High",IF(AE216&gt;=4,"Medium","Low")))</f>
        <v/>
      </c>
    </row>
    <row r="217">
      <c r="F217" t="n">
        <v>1</v>
      </c>
      <c r="I217">
        <f>IF(D217="","",TODAY()-D217)</f>
        <v/>
      </c>
      <c r="K217">
        <f>IF(J217="v4.0",L217,IF(J217="v3.1",M217,IF(J217="Both",L217,IF(AND(L217&lt;&gt;"",M217=""),L217,M217))))</f>
        <v/>
      </c>
      <c r="U217">
        <f>IF(T217="Tier 1",10,IF(T217="Tier 2",7,IF(T217="Tier 3",4,IF(T217="Tier 4",1,0))))</f>
        <v/>
      </c>
      <c r="W217">
        <f>IF(V217="Restricted",10,IF(V217="Confidential",7,IF(V217="Internal",4,IF(V217="Public",1,0))))</f>
        <v/>
      </c>
      <c r="AA217" s="9">
        <f>(U217*0.4)+(W217*0.3)+(IF(Z217="Critical",10,IF(Z217="High",7,IF(Z217="Medium",4,1)))*0.2)+(IF(Y217="YES",10,0)*0.1)</f>
        <v/>
      </c>
      <c r="AB217" s="9">
        <f>IF(G217="YES",2.0,0)+IF(H217="YES",2.0,0)</f>
        <v/>
      </c>
      <c r="AC217" s="9" t="n">
        <v>0</v>
      </c>
      <c r="AD217" s="9">
        <f>K217+AB217+AC217</f>
        <v/>
      </c>
      <c r="AE217" s="9">
        <f>(AD217*0.6)+(AA217*0.4)</f>
        <v/>
      </c>
      <c r="AF217">
        <f>IF(AE217&gt;=9,"Critical",IF(AE217&gt;=7,"High",IF(AE217&gt;=4,"Medium","Low")))</f>
        <v/>
      </c>
    </row>
    <row r="218">
      <c r="F218" t="n">
        <v>1</v>
      </c>
      <c r="I218">
        <f>IF(D218="","",TODAY()-D218)</f>
        <v/>
      </c>
      <c r="K218">
        <f>IF(J218="v4.0",L218,IF(J218="v3.1",M218,IF(J218="Both",L218,IF(AND(L218&lt;&gt;"",M218=""),L218,M218))))</f>
        <v/>
      </c>
      <c r="U218">
        <f>IF(T218="Tier 1",10,IF(T218="Tier 2",7,IF(T218="Tier 3",4,IF(T218="Tier 4",1,0))))</f>
        <v/>
      </c>
      <c r="W218">
        <f>IF(V218="Restricted",10,IF(V218="Confidential",7,IF(V218="Internal",4,IF(V218="Public",1,0))))</f>
        <v/>
      </c>
      <c r="AA218" s="9">
        <f>(U218*0.4)+(W218*0.3)+(IF(Z218="Critical",10,IF(Z218="High",7,IF(Z218="Medium",4,1)))*0.2)+(IF(Y218="YES",10,0)*0.1)</f>
        <v/>
      </c>
      <c r="AB218" s="9">
        <f>IF(G218="YES",2.0,0)+IF(H218="YES",2.0,0)</f>
        <v/>
      </c>
      <c r="AC218" s="9" t="n">
        <v>0</v>
      </c>
      <c r="AD218" s="9">
        <f>K218+AB218+AC218</f>
        <v/>
      </c>
      <c r="AE218" s="9">
        <f>(AD218*0.6)+(AA218*0.4)</f>
        <v/>
      </c>
      <c r="AF218">
        <f>IF(AE218&gt;=9,"Critical",IF(AE218&gt;=7,"High",IF(AE218&gt;=4,"Medium","Low")))</f>
        <v/>
      </c>
    </row>
    <row r="219">
      <c r="F219" t="n">
        <v>1</v>
      </c>
      <c r="I219">
        <f>IF(D219="","",TODAY()-D219)</f>
        <v/>
      </c>
      <c r="K219">
        <f>IF(J219="v4.0",L219,IF(J219="v3.1",M219,IF(J219="Both",L219,IF(AND(L219&lt;&gt;"",M219=""),L219,M219))))</f>
        <v/>
      </c>
      <c r="U219">
        <f>IF(T219="Tier 1",10,IF(T219="Tier 2",7,IF(T219="Tier 3",4,IF(T219="Tier 4",1,0))))</f>
        <v/>
      </c>
      <c r="W219">
        <f>IF(V219="Restricted",10,IF(V219="Confidential",7,IF(V219="Internal",4,IF(V219="Public",1,0))))</f>
        <v/>
      </c>
      <c r="AA219" s="9">
        <f>(U219*0.4)+(W219*0.3)+(IF(Z219="Critical",10,IF(Z219="High",7,IF(Z219="Medium",4,1)))*0.2)+(IF(Y219="YES",10,0)*0.1)</f>
        <v/>
      </c>
      <c r="AB219" s="9">
        <f>IF(G219="YES",2.0,0)+IF(H219="YES",2.0,0)</f>
        <v/>
      </c>
      <c r="AC219" s="9" t="n">
        <v>0</v>
      </c>
      <c r="AD219" s="9">
        <f>K219+AB219+AC219</f>
        <v/>
      </c>
      <c r="AE219" s="9">
        <f>(AD219*0.6)+(AA219*0.4)</f>
        <v/>
      </c>
      <c r="AF219">
        <f>IF(AE219&gt;=9,"Critical",IF(AE219&gt;=7,"High",IF(AE219&gt;=4,"Medium","Low")))</f>
        <v/>
      </c>
    </row>
    <row r="220">
      <c r="F220" t="n">
        <v>1</v>
      </c>
      <c r="I220">
        <f>IF(D220="","",TODAY()-D220)</f>
        <v/>
      </c>
      <c r="K220">
        <f>IF(J220="v4.0",L220,IF(J220="v3.1",M220,IF(J220="Both",L220,IF(AND(L220&lt;&gt;"",M220=""),L220,M220))))</f>
        <v/>
      </c>
      <c r="U220">
        <f>IF(T220="Tier 1",10,IF(T220="Tier 2",7,IF(T220="Tier 3",4,IF(T220="Tier 4",1,0))))</f>
        <v/>
      </c>
      <c r="W220">
        <f>IF(V220="Restricted",10,IF(V220="Confidential",7,IF(V220="Internal",4,IF(V220="Public",1,0))))</f>
        <v/>
      </c>
      <c r="AA220" s="9">
        <f>(U220*0.4)+(W220*0.3)+(IF(Z220="Critical",10,IF(Z220="High",7,IF(Z220="Medium",4,1)))*0.2)+(IF(Y220="YES",10,0)*0.1)</f>
        <v/>
      </c>
      <c r="AB220" s="9">
        <f>IF(G220="YES",2.0,0)+IF(H220="YES",2.0,0)</f>
        <v/>
      </c>
      <c r="AC220" s="9" t="n">
        <v>0</v>
      </c>
      <c r="AD220" s="9">
        <f>K220+AB220+AC220</f>
        <v/>
      </c>
      <c r="AE220" s="9">
        <f>(AD220*0.6)+(AA220*0.4)</f>
        <v/>
      </c>
      <c r="AF220">
        <f>IF(AE220&gt;=9,"Critical",IF(AE220&gt;=7,"High",IF(AE220&gt;=4,"Medium","Low")))</f>
        <v/>
      </c>
    </row>
    <row r="221">
      <c r="F221" t="n">
        <v>1</v>
      </c>
      <c r="I221">
        <f>IF(D221="","",TODAY()-D221)</f>
        <v/>
      </c>
      <c r="K221">
        <f>IF(J221="v4.0",L221,IF(J221="v3.1",M221,IF(J221="Both",L221,IF(AND(L221&lt;&gt;"",M221=""),L221,M221))))</f>
        <v/>
      </c>
      <c r="U221">
        <f>IF(T221="Tier 1",10,IF(T221="Tier 2",7,IF(T221="Tier 3",4,IF(T221="Tier 4",1,0))))</f>
        <v/>
      </c>
      <c r="W221">
        <f>IF(V221="Restricted",10,IF(V221="Confidential",7,IF(V221="Internal",4,IF(V221="Public",1,0))))</f>
        <v/>
      </c>
      <c r="AA221" s="9">
        <f>(U221*0.4)+(W221*0.3)+(IF(Z221="Critical",10,IF(Z221="High",7,IF(Z221="Medium",4,1)))*0.2)+(IF(Y221="YES",10,0)*0.1)</f>
        <v/>
      </c>
      <c r="AB221" s="9">
        <f>IF(G221="YES",2.0,0)+IF(H221="YES",2.0,0)</f>
        <v/>
      </c>
      <c r="AC221" s="9" t="n">
        <v>0</v>
      </c>
      <c r="AD221" s="9">
        <f>K221+AB221+AC221</f>
        <v/>
      </c>
      <c r="AE221" s="9">
        <f>(AD221*0.6)+(AA221*0.4)</f>
        <v/>
      </c>
      <c r="AF221">
        <f>IF(AE221&gt;=9,"Critical",IF(AE221&gt;=7,"High",IF(AE221&gt;=4,"Medium","Low")))</f>
        <v/>
      </c>
    </row>
    <row r="222">
      <c r="F222" t="n">
        <v>1</v>
      </c>
      <c r="I222">
        <f>IF(D222="","",TODAY()-D222)</f>
        <v/>
      </c>
      <c r="K222">
        <f>IF(J222="v4.0",L222,IF(J222="v3.1",M222,IF(J222="Both",L222,IF(AND(L222&lt;&gt;"",M222=""),L222,M222))))</f>
        <v/>
      </c>
      <c r="U222">
        <f>IF(T222="Tier 1",10,IF(T222="Tier 2",7,IF(T222="Tier 3",4,IF(T222="Tier 4",1,0))))</f>
        <v/>
      </c>
      <c r="W222">
        <f>IF(V222="Restricted",10,IF(V222="Confidential",7,IF(V222="Internal",4,IF(V222="Public",1,0))))</f>
        <v/>
      </c>
      <c r="AA222" s="9">
        <f>(U222*0.4)+(W222*0.3)+(IF(Z222="Critical",10,IF(Z222="High",7,IF(Z222="Medium",4,1)))*0.2)+(IF(Y222="YES",10,0)*0.1)</f>
        <v/>
      </c>
      <c r="AB222" s="9">
        <f>IF(G222="YES",2.0,0)+IF(H222="YES",2.0,0)</f>
        <v/>
      </c>
      <c r="AC222" s="9" t="n">
        <v>0</v>
      </c>
      <c r="AD222" s="9">
        <f>K222+AB222+AC222</f>
        <v/>
      </c>
      <c r="AE222" s="9">
        <f>(AD222*0.6)+(AA222*0.4)</f>
        <v/>
      </c>
      <c r="AF222">
        <f>IF(AE222&gt;=9,"Critical",IF(AE222&gt;=7,"High",IF(AE222&gt;=4,"Medium","Low")))</f>
        <v/>
      </c>
    </row>
    <row r="223">
      <c r="F223" t="n">
        <v>1</v>
      </c>
      <c r="I223">
        <f>IF(D223="","",TODAY()-D223)</f>
        <v/>
      </c>
      <c r="K223">
        <f>IF(J223="v4.0",L223,IF(J223="v3.1",M223,IF(J223="Both",L223,IF(AND(L223&lt;&gt;"",M223=""),L223,M223))))</f>
        <v/>
      </c>
      <c r="U223">
        <f>IF(T223="Tier 1",10,IF(T223="Tier 2",7,IF(T223="Tier 3",4,IF(T223="Tier 4",1,0))))</f>
        <v/>
      </c>
      <c r="W223">
        <f>IF(V223="Restricted",10,IF(V223="Confidential",7,IF(V223="Internal",4,IF(V223="Public",1,0))))</f>
        <v/>
      </c>
      <c r="AA223" s="9">
        <f>(U223*0.4)+(W223*0.3)+(IF(Z223="Critical",10,IF(Z223="High",7,IF(Z223="Medium",4,1)))*0.2)+(IF(Y223="YES",10,0)*0.1)</f>
        <v/>
      </c>
      <c r="AB223" s="9">
        <f>IF(G223="YES",2.0,0)+IF(H223="YES",2.0,0)</f>
        <v/>
      </c>
      <c r="AC223" s="9" t="n">
        <v>0</v>
      </c>
      <c r="AD223" s="9">
        <f>K223+AB223+AC223</f>
        <v/>
      </c>
      <c r="AE223" s="9">
        <f>(AD223*0.6)+(AA223*0.4)</f>
        <v/>
      </c>
      <c r="AF223">
        <f>IF(AE223&gt;=9,"Critical",IF(AE223&gt;=7,"High",IF(AE223&gt;=4,"Medium","Low")))</f>
        <v/>
      </c>
    </row>
    <row r="224">
      <c r="F224" t="n">
        <v>1</v>
      </c>
      <c r="I224">
        <f>IF(D224="","",TODAY()-D224)</f>
        <v/>
      </c>
      <c r="K224">
        <f>IF(J224="v4.0",L224,IF(J224="v3.1",M224,IF(J224="Both",L224,IF(AND(L224&lt;&gt;"",M224=""),L224,M224))))</f>
        <v/>
      </c>
      <c r="U224">
        <f>IF(T224="Tier 1",10,IF(T224="Tier 2",7,IF(T224="Tier 3",4,IF(T224="Tier 4",1,0))))</f>
        <v/>
      </c>
      <c r="W224">
        <f>IF(V224="Restricted",10,IF(V224="Confidential",7,IF(V224="Internal",4,IF(V224="Public",1,0))))</f>
        <v/>
      </c>
      <c r="AA224" s="9">
        <f>(U224*0.4)+(W224*0.3)+(IF(Z224="Critical",10,IF(Z224="High",7,IF(Z224="Medium",4,1)))*0.2)+(IF(Y224="YES",10,0)*0.1)</f>
        <v/>
      </c>
      <c r="AB224" s="9">
        <f>IF(G224="YES",2.0,0)+IF(H224="YES",2.0,0)</f>
        <v/>
      </c>
      <c r="AC224" s="9" t="n">
        <v>0</v>
      </c>
      <c r="AD224" s="9">
        <f>K224+AB224+AC224</f>
        <v/>
      </c>
      <c r="AE224" s="9">
        <f>(AD224*0.6)+(AA224*0.4)</f>
        <v/>
      </c>
      <c r="AF224">
        <f>IF(AE224&gt;=9,"Critical",IF(AE224&gt;=7,"High",IF(AE224&gt;=4,"Medium","Low")))</f>
        <v/>
      </c>
    </row>
    <row r="225">
      <c r="F225" t="n">
        <v>1</v>
      </c>
      <c r="I225">
        <f>IF(D225="","",TODAY()-D225)</f>
        <v/>
      </c>
      <c r="K225">
        <f>IF(J225="v4.0",L225,IF(J225="v3.1",M225,IF(J225="Both",L225,IF(AND(L225&lt;&gt;"",M225=""),L225,M225))))</f>
        <v/>
      </c>
      <c r="U225">
        <f>IF(T225="Tier 1",10,IF(T225="Tier 2",7,IF(T225="Tier 3",4,IF(T225="Tier 4",1,0))))</f>
        <v/>
      </c>
      <c r="W225">
        <f>IF(V225="Restricted",10,IF(V225="Confidential",7,IF(V225="Internal",4,IF(V225="Public",1,0))))</f>
        <v/>
      </c>
      <c r="AA225" s="9">
        <f>(U225*0.4)+(W225*0.3)+(IF(Z225="Critical",10,IF(Z225="High",7,IF(Z225="Medium",4,1)))*0.2)+(IF(Y225="YES",10,0)*0.1)</f>
        <v/>
      </c>
      <c r="AB225" s="9">
        <f>IF(G225="YES",2.0,0)+IF(H225="YES",2.0,0)</f>
        <v/>
      </c>
      <c r="AC225" s="9" t="n">
        <v>0</v>
      </c>
      <c r="AD225" s="9">
        <f>K225+AB225+AC225</f>
        <v/>
      </c>
      <c r="AE225" s="9">
        <f>(AD225*0.6)+(AA225*0.4)</f>
        <v/>
      </c>
      <c r="AF225">
        <f>IF(AE225&gt;=9,"Critical",IF(AE225&gt;=7,"High",IF(AE225&gt;=4,"Medium","Low")))</f>
        <v/>
      </c>
    </row>
    <row r="226">
      <c r="F226" t="n">
        <v>1</v>
      </c>
      <c r="I226">
        <f>IF(D226="","",TODAY()-D226)</f>
        <v/>
      </c>
      <c r="K226">
        <f>IF(J226="v4.0",L226,IF(J226="v3.1",M226,IF(J226="Both",L226,IF(AND(L226&lt;&gt;"",M226=""),L226,M226))))</f>
        <v/>
      </c>
      <c r="U226">
        <f>IF(T226="Tier 1",10,IF(T226="Tier 2",7,IF(T226="Tier 3",4,IF(T226="Tier 4",1,0))))</f>
        <v/>
      </c>
      <c r="W226">
        <f>IF(V226="Restricted",10,IF(V226="Confidential",7,IF(V226="Internal",4,IF(V226="Public",1,0))))</f>
        <v/>
      </c>
      <c r="AA226" s="9">
        <f>(U226*0.4)+(W226*0.3)+(IF(Z226="Critical",10,IF(Z226="High",7,IF(Z226="Medium",4,1)))*0.2)+(IF(Y226="YES",10,0)*0.1)</f>
        <v/>
      </c>
      <c r="AB226" s="9">
        <f>IF(G226="YES",2.0,0)+IF(H226="YES",2.0,0)</f>
        <v/>
      </c>
      <c r="AC226" s="9" t="n">
        <v>0</v>
      </c>
      <c r="AD226" s="9">
        <f>K226+AB226+AC226</f>
        <v/>
      </c>
      <c r="AE226" s="9">
        <f>(AD226*0.6)+(AA226*0.4)</f>
        <v/>
      </c>
      <c r="AF226">
        <f>IF(AE226&gt;=9,"Critical",IF(AE226&gt;=7,"High",IF(AE226&gt;=4,"Medium","Low")))</f>
        <v/>
      </c>
    </row>
    <row r="227">
      <c r="F227" t="n">
        <v>1</v>
      </c>
      <c r="I227">
        <f>IF(D227="","",TODAY()-D227)</f>
        <v/>
      </c>
      <c r="K227">
        <f>IF(J227="v4.0",L227,IF(J227="v3.1",M227,IF(J227="Both",L227,IF(AND(L227&lt;&gt;"",M227=""),L227,M227))))</f>
        <v/>
      </c>
      <c r="U227">
        <f>IF(T227="Tier 1",10,IF(T227="Tier 2",7,IF(T227="Tier 3",4,IF(T227="Tier 4",1,0))))</f>
        <v/>
      </c>
      <c r="W227">
        <f>IF(V227="Restricted",10,IF(V227="Confidential",7,IF(V227="Internal",4,IF(V227="Public",1,0))))</f>
        <v/>
      </c>
      <c r="AA227" s="9">
        <f>(U227*0.4)+(W227*0.3)+(IF(Z227="Critical",10,IF(Z227="High",7,IF(Z227="Medium",4,1)))*0.2)+(IF(Y227="YES",10,0)*0.1)</f>
        <v/>
      </c>
      <c r="AB227" s="9">
        <f>IF(G227="YES",2.0,0)+IF(H227="YES",2.0,0)</f>
        <v/>
      </c>
      <c r="AC227" s="9" t="n">
        <v>0</v>
      </c>
      <c r="AD227" s="9">
        <f>K227+AB227+AC227</f>
        <v/>
      </c>
      <c r="AE227" s="9">
        <f>(AD227*0.6)+(AA227*0.4)</f>
        <v/>
      </c>
      <c r="AF227">
        <f>IF(AE227&gt;=9,"Critical",IF(AE227&gt;=7,"High",IF(AE227&gt;=4,"Medium","Low")))</f>
        <v/>
      </c>
    </row>
    <row r="228">
      <c r="F228" t="n">
        <v>1</v>
      </c>
      <c r="I228">
        <f>IF(D228="","",TODAY()-D228)</f>
        <v/>
      </c>
      <c r="K228">
        <f>IF(J228="v4.0",L228,IF(J228="v3.1",M228,IF(J228="Both",L228,IF(AND(L228&lt;&gt;"",M228=""),L228,M228))))</f>
        <v/>
      </c>
      <c r="U228">
        <f>IF(T228="Tier 1",10,IF(T228="Tier 2",7,IF(T228="Tier 3",4,IF(T228="Tier 4",1,0))))</f>
        <v/>
      </c>
      <c r="W228">
        <f>IF(V228="Restricted",10,IF(V228="Confidential",7,IF(V228="Internal",4,IF(V228="Public",1,0))))</f>
        <v/>
      </c>
      <c r="AA228" s="9">
        <f>(U228*0.4)+(W228*0.3)+(IF(Z228="Critical",10,IF(Z228="High",7,IF(Z228="Medium",4,1)))*0.2)+(IF(Y228="YES",10,0)*0.1)</f>
        <v/>
      </c>
      <c r="AB228" s="9">
        <f>IF(G228="YES",2.0,0)+IF(H228="YES",2.0,0)</f>
        <v/>
      </c>
      <c r="AC228" s="9" t="n">
        <v>0</v>
      </c>
      <c r="AD228" s="9">
        <f>K228+AB228+AC228</f>
        <v/>
      </c>
      <c r="AE228" s="9">
        <f>(AD228*0.6)+(AA228*0.4)</f>
        <v/>
      </c>
      <c r="AF228">
        <f>IF(AE228&gt;=9,"Critical",IF(AE228&gt;=7,"High",IF(AE228&gt;=4,"Medium","Low")))</f>
        <v/>
      </c>
    </row>
    <row r="229">
      <c r="F229" t="n">
        <v>1</v>
      </c>
      <c r="I229">
        <f>IF(D229="","",TODAY()-D229)</f>
        <v/>
      </c>
      <c r="K229">
        <f>IF(J229="v4.0",L229,IF(J229="v3.1",M229,IF(J229="Both",L229,IF(AND(L229&lt;&gt;"",M229=""),L229,M229))))</f>
        <v/>
      </c>
      <c r="U229">
        <f>IF(T229="Tier 1",10,IF(T229="Tier 2",7,IF(T229="Tier 3",4,IF(T229="Tier 4",1,0))))</f>
        <v/>
      </c>
      <c r="W229">
        <f>IF(V229="Restricted",10,IF(V229="Confidential",7,IF(V229="Internal",4,IF(V229="Public",1,0))))</f>
        <v/>
      </c>
      <c r="AA229" s="9">
        <f>(U229*0.4)+(W229*0.3)+(IF(Z229="Critical",10,IF(Z229="High",7,IF(Z229="Medium",4,1)))*0.2)+(IF(Y229="YES",10,0)*0.1)</f>
        <v/>
      </c>
      <c r="AB229" s="9">
        <f>IF(G229="YES",2.0,0)+IF(H229="YES",2.0,0)</f>
        <v/>
      </c>
      <c r="AC229" s="9" t="n">
        <v>0</v>
      </c>
      <c r="AD229" s="9">
        <f>K229+AB229+AC229</f>
        <v/>
      </c>
      <c r="AE229" s="9">
        <f>(AD229*0.6)+(AA229*0.4)</f>
        <v/>
      </c>
      <c r="AF229">
        <f>IF(AE229&gt;=9,"Critical",IF(AE229&gt;=7,"High",IF(AE229&gt;=4,"Medium","Low")))</f>
        <v/>
      </c>
    </row>
    <row r="230">
      <c r="F230" t="n">
        <v>1</v>
      </c>
      <c r="I230">
        <f>IF(D230="","",TODAY()-D230)</f>
        <v/>
      </c>
      <c r="K230">
        <f>IF(J230="v4.0",L230,IF(J230="v3.1",M230,IF(J230="Both",L230,IF(AND(L230&lt;&gt;"",M230=""),L230,M230))))</f>
        <v/>
      </c>
      <c r="U230">
        <f>IF(T230="Tier 1",10,IF(T230="Tier 2",7,IF(T230="Tier 3",4,IF(T230="Tier 4",1,0))))</f>
        <v/>
      </c>
      <c r="W230">
        <f>IF(V230="Restricted",10,IF(V230="Confidential",7,IF(V230="Internal",4,IF(V230="Public",1,0))))</f>
        <v/>
      </c>
      <c r="AA230" s="9">
        <f>(U230*0.4)+(W230*0.3)+(IF(Z230="Critical",10,IF(Z230="High",7,IF(Z230="Medium",4,1)))*0.2)+(IF(Y230="YES",10,0)*0.1)</f>
        <v/>
      </c>
      <c r="AB230" s="9">
        <f>IF(G230="YES",2.0,0)+IF(H230="YES",2.0,0)</f>
        <v/>
      </c>
      <c r="AC230" s="9" t="n">
        <v>0</v>
      </c>
      <c r="AD230" s="9">
        <f>K230+AB230+AC230</f>
        <v/>
      </c>
      <c r="AE230" s="9">
        <f>(AD230*0.6)+(AA230*0.4)</f>
        <v/>
      </c>
      <c r="AF230">
        <f>IF(AE230&gt;=9,"Critical",IF(AE230&gt;=7,"High",IF(AE230&gt;=4,"Medium","Low")))</f>
        <v/>
      </c>
    </row>
    <row r="231">
      <c r="F231" t="n">
        <v>1</v>
      </c>
      <c r="I231">
        <f>IF(D231="","",TODAY()-D231)</f>
        <v/>
      </c>
      <c r="K231">
        <f>IF(J231="v4.0",L231,IF(J231="v3.1",M231,IF(J231="Both",L231,IF(AND(L231&lt;&gt;"",M231=""),L231,M231))))</f>
        <v/>
      </c>
      <c r="U231">
        <f>IF(T231="Tier 1",10,IF(T231="Tier 2",7,IF(T231="Tier 3",4,IF(T231="Tier 4",1,0))))</f>
        <v/>
      </c>
      <c r="W231">
        <f>IF(V231="Restricted",10,IF(V231="Confidential",7,IF(V231="Internal",4,IF(V231="Public",1,0))))</f>
        <v/>
      </c>
      <c r="AA231" s="9">
        <f>(U231*0.4)+(W231*0.3)+(IF(Z231="Critical",10,IF(Z231="High",7,IF(Z231="Medium",4,1)))*0.2)+(IF(Y231="YES",10,0)*0.1)</f>
        <v/>
      </c>
      <c r="AB231" s="9">
        <f>IF(G231="YES",2.0,0)+IF(H231="YES",2.0,0)</f>
        <v/>
      </c>
      <c r="AC231" s="9" t="n">
        <v>0</v>
      </c>
      <c r="AD231" s="9">
        <f>K231+AB231+AC231</f>
        <v/>
      </c>
      <c r="AE231" s="9">
        <f>(AD231*0.6)+(AA231*0.4)</f>
        <v/>
      </c>
      <c r="AF231">
        <f>IF(AE231&gt;=9,"Critical",IF(AE231&gt;=7,"High",IF(AE231&gt;=4,"Medium","Low")))</f>
        <v/>
      </c>
    </row>
    <row r="232">
      <c r="F232" t="n">
        <v>1</v>
      </c>
      <c r="I232">
        <f>IF(D232="","",TODAY()-D232)</f>
        <v/>
      </c>
      <c r="K232">
        <f>IF(J232="v4.0",L232,IF(J232="v3.1",M232,IF(J232="Both",L232,IF(AND(L232&lt;&gt;"",M232=""),L232,M232))))</f>
        <v/>
      </c>
      <c r="U232">
        <f>IF(T232="Tier 1",10,IF(T232="Tier 2",7,IF(T232="Tier 3",4,IF(T232="Tier 4",1,0))))</f>
        <v/>
      </c>
      <c r="W232">
        <f>IF(V232="Restricted",10,IF(V232="Confidential",7,IF(V232="Internal",4,IF(V232="Public",1,0))))</f>
        <v/>
      </c>
      <c r="AA232" s="9">
        <f>(U232*0.4)+(W232*0.3)+(IF(Z232="Critical",10,IF(Z232="High",7,IF(Z232="Medium",4,1)))*0.2)+(IF(Y232="YES",10,0)*0.1)</f>
        <v/>
      </c>
      <c r="AB232" s="9">
        <f>IF(G232="YES",2.0,0)+IF(H232="YES",2.0,0)</f>
        <v/>
      </c>
      <c r="AC232" s="9" t="n">
        <v>0</v>
      </c>
      <c r="AD232" s="9">
        <f>K232+AB232+AC232</f>
        <v/>
      </c>
      <c r="AE232" s="9">
        <f>(AD232*0.6)+(AA232*0.4)</f>
        <v/>
      </c>
      <c r="AF232">
        <f>IF(AE232&gt;=9,"Critical",IF(AE232&gt;=7,"High",IF(AE232&gt;=4,"Medium","Low")))</f>
        <v/>
      </c>
    </row>
    <row r="233">
      <c r="F233" t="n">
        <v>1</v>
      </c>
      <c r="I233">
        <f>IF(D233="","",TODAY()-D233)</f>
        <v/>
      </c>
      <c r="K233">
        <f>IF(J233="v4.0",L233,IF(J233="v3.1",M233,IF(J233="Both",L233,IF(AND(L233&lt;&gt;"",M233=""),L233,M233))))</f>
        <v/>
      </c>
      <c r="U233">
        <f>IF(T233="Tier 1",10,IF(T233="Tier 2",7,IF(T233="Tier 3",4,IF(T233="Tier 4",1,0))))</f>
        <v/>
      </c>
      <c r="W233">
        <f>IF(V233="Restricted",10,IF(V233="Confidential",7,IF(V233="Internal",4,IF(V233="Public",1,0))))</f>
        <v/>
      </c>
      <c r="AA233" s="9">
        <f>(U233*0.4)+(W233*0.3)+(IF(Z233="Critical",10,IF(Z233="High",7,IF(Z233="Medium",4,1)))*0.2)+(IF(Y233="YES",10,0)*0.1)</f>
        <v/>
      </c>
      <c r="AB233" s="9">
        <f>IF(G233="YES",2.0,0)+IF(H233="YES",2.0,0)</f>
        <v/>
      </c>
      <c r="AC233" s="9" t="n">
        <v>0</v>
      </c>
      <c r="AD233" s="9">
        <f>K233+AB233+AC233</f>
        <v/>
      </c>
      <c r="AE233" s="9">
        <f>(AD233*0.6)+(AA233*0.4)</f>
        <v/>
      </c>
      <c r="AF233">
        <f>IF(AE233&gt;=9,"Critical",IF(AE233&gt;=7,"High",IF(AE233&gt;=4,"Medium","Low")))</f>
        <v/>
      </c>
    </row>
    <row r="234">
      <c r="F234" t="n">
        <v>1</v>
      </c>
      <c r="I234">
        <f>IF(D234="","",TODAY()-D234)</f>
        <v/>
      </c>
      <c r="K234">
        <f>IF(J234="v4.0",L234,IF(J234="v3.1",M234,IF(J234="Both",L234,IF(AND(L234&lt;&gt;"",M234=""),L234,M234))))</f>
        <v/>
      </c>
      <c r="U234">
        <f>IF(T234="Tier 1",10,IF(T234="Tier 2",7,IF(T234="Tier 3",4,IF(T234="Tier 4",1,0))))</f>
        <v/>
      </c>
      <c r="W234">
        <f>IF(V234="Restricted",10,IF(V234="Confidential",7,IF(V234="Internal",4,IF(V234="Public",1,0))))</f>
        <v/>
      </c>
      <c r="AA234" s="9">
        <f>(U234*0.4)+(W234*0.3)+(IF(Z234="Critical",10,IF(Z234="High",7,IF(Z234="Medium",4,1)))*0.2)+(IF(Y234="YES",10,0)*0.1)</f>
        <v/>
      </c>
      <c r="AB234" s="9">
        <f>IF(G234="YES",2.0,0)+IF(H234="YES",2.0,0)</f>
        <v/>
      </c>
      <c r="AC234" s="9" t="n">
        <v>0</v>
      </c>
      <c r="AD234" s="9">
        <f>K234+AB234+AC234</f>
        <v/>
      </c>
      <c r="AE234" s="9">
        <f>(AD234*0.6)+(AA234*0.4)</f>
        <v/>
      </c>
      <c r="AF234">
        <f>IF(AE234&gt;=9,"Critical",IF(AE234&gt;=7,"High",IF(AE234&gt;=4,"Medium","Low")))</f>
        <v/>
      </c>
    </row>
    <row r="235">
      <c r="F235" t="n">
        <v>1</v>
      </c>
      <c r="I235">
        <f>IF(D235="","",TODAY()-D235)</f>
        <v/>
      </c>
      <c r="K235">
        <f>IF(J235="v4.0",L235,IF(J235="v3.1",M235,IF(J235="Both",L235,IF(AND(L235&lt;&gt;"",M235=""),L235,M235))))</f>
        <v/>
      </c>
      <c r="U235">
        <f>IF(T235="Tier 1",10,IF(T235="Tier 2",7,IF(T235="Tier 3",4,IF(T235="Tier 4",1,0))))</f>
        <v/>
      </c>
      <c r="W235">
        <f>IF(V235="Restricted",10,IF(V235="Confidential",7,IF(V235="Internal",4,IF(V235="Public",1,0))))</f>
        <v/>
      </c>
      <c r="AA235" s="9">
        <f>(U235*0.4)+(W235*0.3)+(IF(Z235="Critical",10,IF(Z235="High",7,IF(Z235="Medium",4,1)))*0.2)+(IF(Y235="YES",10,0)*0.1)</f>
        <v/>
      </c>
      <c r="AB235" s="9">
        <f>IF(G235="YES",2.0,0)+IF(H235="YES",2.0,0)</f>
        <v/>
      </c>
      <c r="AC235" s="9" t="n">
        <v>0</v>
      </c>
      <c r="AD235" s="9">
        <f>K235+AB235+AC235</f>
        <v/>
      </c>
      <c r="AE235" s="9">
        <f>(AD235*0.6)+(AA235*0.4)</f>
        <v/>
      </c>
      <c r="AF235">
        <f>IF(AE235&gt;=9,"Critical",IF(AE235&gt;=7,"High",IF(AE235&gt;=4,"Medium","Low")))</f>
        <v/>
      </c>
    </row>
    <row r="236">
      <c r="F236" t="n">
        <v>1</v>
      </c>
      <c r="I236">
        <f>IF(D236="","",TODAY()-D236)</f>
        <v/>
      </c>
      <c r="K236">
        <f>IF(J236="v4.0",L236,IF(J236="v3.1",M236,IF(J236="Both",L236,IF(AND(L236&lt;&gt;"",M236=""),L236,M236))))</f>
        <v/>
      </c>
      <c r="U236">
        <f>IF(T236="Tier 1",10,IF(T236="Tier 2",7,IF(T236="Tier 3",4,IF(T236="Tier 4",1,0))))</f>
        <v/>
      </c>
      <c r="W236">
        <f>IF(V236="Restricted",10,IF(V236="Confidential",7,IF(V236="Internal",4,IF(V236="Public",1,0))))</f>
        <v/>
      </c>
      <c r="AA236" s="9">
        <f>(U236*0.4)+(W236*0.3)+(IF(Z236="Critical",10,IF(Z236="High",7,IF(Z236="Medium",4,1)))*0.2)+(IF(Y236="YES",10,0)*0.1)</f>
        <v/>
      </c>
      <c r="AB236" s="9">
        <f>IF(G236="YES",2.0,0)+IF(H236="YES",2.0,0)</f>
        <v/>
      </c>
      <c r="AC236" s="9" t="n">
        <v>0</v>
      </c>
      <c r="AD236" s="9">
        <f>K236+AB236+AC236</f>
        <v/>
      </c>
      <c r="AE236" s="9">
        <f>(AD236*0.6)+(AA236*0.4)</f>
        <v/>
      </c>
      <c r="AF236">
        <f>IF(AE236&gt;=9,"Critical",IF(AE236&gt;=7,"High",IF(AE236&gt;=4,"Medium","Low")))</f>
        <v/>
      </c>
    </row>
    <row r="237">
      <c r="F237" t="n">
        <v>1</v>
      </c>
      <c r="I237">
        <f>IF(D237="","",TODAY()-D237)</f>
        <v/>
      </c>
      <c r="K237">
        <f>IF(J237="v4.0",L237,IF(J237="v3.1",M237,IF(J237="Both",L237,IF(AND(L237&lt;&gt;"",M237=""),L237,M237))))</f>
        <v/>
      </c>
      <c r="U237">
        <f>IF(T237="Tier 1",10,IF(T237="Tier 2",7,IF(T237="Tier 3",4,IF(T237="Tier 4",1,0))))</f>
        <v/>
      </c>
      <c r="W237">
        <f>IF(V237="Restricted",10,IF(V237="Confidential",7,IF(V237="Internal",4,IF(V237="Public",1,0))))</f>
        <v/>
      </c>
      <c r="AA237" s="9">
        <f>(U237*0.4)+(W237*0.3)+(IF(Z237="Critical",10,IF(Z237="High",7,IF(Z237="Medium",4,1)))*0.2)+(IF(Y237="YES",10,0)*0.1)</f>
        <v/>
      </c>
      <c r="AB237" s="9">
        <f>IF(G237="YES",2.0,0)+IF(H237="YES",2.0,0)</f>
        <v/>
      </c>
      <c r="AC237" s="9" t="n">
        <v>0</v>
      </c>
      <c r="AD237" s="9">
        <f>K237+AB237+AC237</f>
        <v/>
      </c>
      <c r="AE237" s="9">
        <f>(AD237*0.6)+(AA237*0.4)</f>
        <v/>
      </c>
      <c r="AF237">
        <f>IF(AE237&gt;=9,"Critical",IF(AE237&gt;=7,"High",IF(AE237&gt;=4,"Medium","Low")))</f>
        <v/>
      </c>
    </row>
    <row r="238">
      <c r="F238" t="n">
        <v>1</v>
      </c>
      <c r="I238">
        <f>IF(D238="","",TODAY()-D238)</f>
        <v/>
      </c>
      <c r="K238">
        <f>IF(J238="v4.0",L238,IF(J238="v3.1",M238,IF(J238="Both",L238,IF(AND(L238&lt;&gt;"",M238=""),L238,M238))))</f>
        <v/>
      </c>
      <c r="U238">
        <f>IF(T238="Tier 1",10,IF(T238="Tier 2",7,IF(T238="Tier 3",4,IF(T238="Tier 4",1,0))))</f>
        <v/>
      </c>
      <c r="W238">
        <f>IF(V238="Restricted",10,IF(V238="Confidential",7,IF(V238="Internal",4,IF(V238="Public",1,0))))</f>
        <v/>
      </c>
      <c r="AA238" s="9">
        <f>(U238*0.4)+(W238*0.3)+(IF(Z238="Critical",10,IF(Z238="High",7,IF(Z238="Medium",4,1)))*0.2)+(IF(Y238="YES",10,0)*0.1)</f>
        <v/>
      </c>
      <c r="AB238" s="9">
        <f>IF(G238="YES",2.0,0)+IF(H238="YES",2.0,0)</f>
        <v/>
      </c>
      <c r="AC238" s="9" t="n">
        <v>0</v>
      </c>
      <c r="AD238" s="9">
        <f>K238+AB238+AC238</f>
        <v/>
      </c>
      <c r="AE238" s="9">
        <f>(AD238*0.6)+(AA238*0.4)</f>
        <v/>
      </c>
      <c r="AF238">
        <f>IF(AE238&gt;=9,"Critical",IF(AE238&gt;=7,"High",IF(AE238&gt;=4,"Medium","Low")))</f>
        <v/>
      </c>
    </row>
    <row r="239">
      <c r="F239" t="n">
        <v>1</v>
      </c>
      <c r="I239">
        <f>IF(D239="","",TODAY()-D239)</f>
        <v/>
      </c>
      <c r="K239">
        <f>IF(J239="v4.0",L239,IF(J239="v3.1",M239,IF(J239="Both",L239,IF(AND(L239&lt;&gt;"",M239=""),L239,M239))))</f>
        <v/>
      </c>
      <c r="U239">
        <f>IF(T239="Tier 1",10,IF(T239="Tier 2",7,IF(T239="Tier 3",4,IF(T239="Tier 4",1,0))))</f>
        <v/>
      </c>
      <c r="W239">
        <f>IF(V239="Restricted",10,IF(V239="Confidential",7,IF(V239="Internal",4,IF(V239="Public",1,0))))</f>
        <v/>
      </c>
      <c r="AA239" s="9">
        <f>(U239*0.4)+(W239*0.3)+(IF(Z239="Critical",10,IF(Z239="High",7,IF(Z239="Medium",4,1)))*0.2)+(IF(Y239="YES",10,0)*0.1)</f>
        <v/>
      </c>
      <c r="AB239" s="9">
        <f>IF(G239="YES",2.0,0)+IF(H239="YES",2.0,0)</f>
        <v/>
      </c>
      <c r="AC239" s="9" t="n">
        <v>0</v>
      </c>
      <c r="AD239" s="9">
        <f>K239+AB239+AC239</f>
        <v/>
      </c>
      <c r="AE239" s="9">
        <f>(AD239*0.6)+(AA239*0.4)</f>
        <v/>
      </c>
      <c r="AF239">
        <f>IF(AE239&gt;=9,"Critical",IF(AE239&gt;=7,"High",IF(AE239&gt;=4,"Medium","Low")))</f>
        <v/>
      </c>
    </row>
    <row r="240">
      <c r="F240" t="n">
        <v>1</v>
      </c>
      <c r="I240">
        <f>IF(D240="","",TODAY()-D240)</f>
        <v/>
      </c>
      <c r="K240">
        <f>IF(J240="v4.0",L240,IF(J240="v3.1",M240,IF(J240="Both",L240,IF(AND(L240&lt;&gt;"",M240=""),L240,M240))))</f>
        <v/>
      </c>
      <c r="U240">
        <f>IF(T240="Tier 1",10,IF(T240="Tier 2",7,IF(T240="Tier 3",4,IF(T240="Tier 4",1,0))))</f>
        <v/>
      </c>
      <c r="W240">
        <f>IF(V240="Restricted",10,IF(V240="Confidential",7,IF(V240="Internal",4,IF(V240="Public",1,0))))</f>
        <v/>
      </c>
      <c r="AA240" s="9">
        <f>(U240*0.4)+(W240*0.3)+(IF(Z240="Critical",10,IF(Z240="High",7,IF(Z240="Medium",4,1)))*0.2)+(IF(Y240="YES",10,0)*0.1)</f>
        <v/>
      </c>
      <c r="AB240" s="9">
        <f>IF(G240="YES",2.0,0)+IF(H240="YES",2.0,0)</f>
        <v/>
      </c>
      <c r="AC240" s="9" t="n">
        <v>0</v>
      </c>
      <c r="AD240" s="9">
        <f>K240+AB240+AC240</f>
        <v/>
      </c>
      <c r="AE240" s="9">
        <f>(AD240*0.6)+(AA240*0.4)</f>
        <v/>
      </c>
      <c r="AF240">
        <f>IF(AE240&gt;=9,"Critical",IF(AE240&gt;=7,"High",IF(AE240&gt;=4,"Medium","Low")))</f>
        <v/>
      </c>
    </row>
    <row r="241">
      <c r="F241" t="n">
        <v>1</v>
      </c>
      <c r="I241">
        <f>IF(D241="","",TODAY()-D241)</f>
        <v/>
      </c>
      <c r="K241">
        <f>IF(J241="v4.0",L241,IF(J241="v3.1",M241,IF(J241="Both",L241,IF(AND(L241&lt;&gt;"",M241=""),L241,M241))))</f>
        <v/>
      </c>
      <c r="U241">
        <f>IF(T241="Tier 1",10,IF(T241="Tier 2",7,IF(T241="Tier 3",4,IF(T241="Tier 4",1,0))))</f>
        <v/>
      </c>
      <c r="W241">
        <f>IF(V241="Restricted",10,IF(V241="Confidential",7,IF(V241="Internal",4,IF(V241="Public",1,0))))</f>
        <v/>
      </c>
      <c r="AA241" s="9">
        <f>(U241*0.4)+(W241*0.3)+(IF(Z241="Critical",10,IF(Z241="High",7,IF(Z241="Medium",4,1)))*0.2)+(IF(Y241="YES",10,0)*0.1)</f>
        <v/>
      </c>
      <c r="AB241" s="9">
        <f>IF(G241="YES",2.0,0)+IF(H241="YES",2.0,0)</f>
        <v/>
      </c>
      <c r="AC241" s="9" t="n">
        <v>0</v>
      </c>
      <c r="AD241" s="9">
        <f>K241+AB241+AC241</f>
        <v/>
      </c>
      <c r="AE241" s="9">
        <f>(AD241*0.6)+(AA241*0.4)</f>
        <v/>
      </c>
      <c r="AF241">
        <f>IF(AE241&gt;=9,"Critical",IF(AE241&gt;=7,"High",IF(AE241&gt;=4,"Medium","Low")))</f>
        <v/>
      </c>
    </row>
    <row r="242">
      <c r="F242" t="n">
        <v>1</v>
      </c>
      <c r="I242">
        <f>IF(D242="","",TODAY()-D242)</f>
        <v/>
      </c>
      <c r="K242">
        <f>IF(J242="v4.0",L242,IF(J242="v3.1",M242,IF(J242="Both",L242,IF(AND(L242&lt;&gt;"",M242=""),L242,M242))))</f>
        <v/>
      </c>
      <c r="U242">
        <f>IF(T242="Tier 1",10,IF(T242="Tier 2",7,IF(T242="Tier 3",4,IF(T242="Tier 4",1,0))))</f>
        <v/>
      </c>
      <c r="W242">
        <f>IF(V242="Restricted",10,IF(V242="Confidential",7,IF(V242="Internal",4,IF(V242="Public",1,0))))</f>
        <v/>
      </c>
      <c r="AA242" s="9">
        <f>(U242*0.4)+(W242*0.3)+(IF(Z242="Critical",10,IF(Z242="High",7,IF(Z242="Medium",4,1)))*0.2)+(IF(Y242="YES",10,0)*0.1)</f>
        <v/>
      </c>
      <c r="AB242" s="9">
        <f>IF(G242="YES",2.0,0)+IF(H242="YES",2.0,0)</f>
        <v/>
      </c>
      <c r="AC242" s="9" t="n">
        <v>0</v>
      </c>
      <c r="AD242" s="9">
        <f>K242+AB242+AC242</f>
        <v/>
      </c>
      <c r="AE242" s="9">
        <f>(AD242*0.6)+(AA242*0.4)</f>
        <v/>
      </c>
      <c r="AF242">
        <f>IF(AE242&gt;=9,"Critical",IF(AE242&gt;=7,"High",IF(AE242&gt;=4,"Medium","Low")))</f>
        <v/>
      </c>
    </row>
    <row r="243">
      <c r="F243" t="n">
        <v>1</v>
      </c>
      <c r="I243">
        <f>IF(D243="","",TODAY()-D243)</f>
        <v/>
      </c>
      <c r="K243">
        <f>IF(J243="v4.0",L243,IF(J243="v3.1",M243,IF(J243="Both",L243,IF(AND(L243&lt;&gt;"",M243=""),L243,M243))))</f>
        <v/>
      </c>
      <c r="U243">
        <f>IF(T243="Tier 1",10,IF(T243="Tier 2",7,IF(T243="Tier 3",4,IF(T243="Tier 4",1,0))))</f>
        <v/>
      </c>
      <c r="W243">
        <f>IF(V243="Restricted",10,IF(V243="Confidential",7,IF(V243="Internal",4,IF(V243="Public",1,0))))</f>
        <v/>
      </c>
      <c r="AA243" s="9">
        <f>(U243*0.4)+(W243*0.3)+(IF(Z243="Critical",10,IF(Z243="High",7,IF(Z243="Medium",4,1)))*0.2)+(IF(Y243="YES",10,0)*0.1)</f>
        <v/>
      </c>
      <c r="AB243" s="9">
        <f>IF(G243="YES",2.0,0)+IF(H243="YES",2.0,0)</f>
        <v/>
      </c>
      <c r="AC243" s="9" t="n">
        <v>0</v>
      </c>
      <c r="AD243" s="9">
        <f>K243+AB243+AC243</f>
        <v/>
      </c>
      <c r="AE243" s="9">
        <f>(AD243*0.6)+(AA243*0.4)</f>
        <v/>
      </c>
      <c r="AF243">
        <f>IF(AE243&gt;=9,"Critical",IF(AE243&gt;=7,"High",IF(AE243&gt;=4,"Medium","Low")))</f>
        <v/>
      </c>
    </row>
    <row r="244">
      <c r="F244" t="n">
        <v>1</v>
      </c>
      <c r="I244">
        <f>IF(D244="","",TODAY()-D244)</f>
        <v/>
      </c>
      <c r="K244">
        <f>IF(J244="v4.0",L244,IF(J244="v3.1",M244,IF(J244="Both",L244,IF(AND(L244&lt;&gt;"",M244=""),L244,M244))))</f>
        <v/>
      </c>
      <c r="U244">
        <f>IF(T244="Tier 1",10,IF(T244="Tier 2",7,IF(T244="Tier 3",4,IF(T244="Tier 4",1,0))))</f>
        <v/>
      </c>
      <c r="W244">
        <f>IF(V244="Restricted",10,IF(V244="Confidential",7,IF(V244="Internal",4,IF(V244="Public",1,0))))</f>
        <v/>
      </c>
      <c r="AA244" s="9">
        <f>(U244*0.4)+(W244*0.3)+(IF(Z244="Critical",10,IF(Z244="High",7,IF(Z244="Medium",4,1)))*0.2)+(IF(Y244="YES",10,0)*0.1)</f>
        <v/>
      </c>
      <c r="AB244" s="9">
        <f>IF(G244="YES",2.0,0)+IF(H244="YES",2.0,0)</f>
        <v/>
      </c>
      <c r="AC244" s="9" t="n">
        <v>0</v>
      </c>
      <c r="AD244" s="9">
        <f>K244+AB244+AC244</f>
        <v/>
      </c>
      <c r="AE244" s="9">
        <f>(AD244*0.6)+(AA244*0.4)</f>
        <v/>
      </c>
      <c r="AF244">
        <f>IF(AE244&gt;=9,"Critical",IF(AE244&gt;=7,"High",IF(AE244&gt;=4,"Medium","Low")))</f>
        <v/>
      </c>
    </row>
    <row r="245">
      <c r="F245" t="n">
        <v>1</v>
      </c>
      <c r="I245">
        <f>IF(D245="","",TODAY()-D245)</f>
        <v/>
      </c>
      <c r="K245">
        <f>IF(J245="v4.0",L245,IF(J245="v3.1",M245,IF(J245="Both",L245,IF(AND(L245&lt;&gt;"",M245=""),L245,M245))))</f>
        <v/>
      </c>
      <c r="U245">
        <f>IF(T245="Tier 1",10,IF(T245="Tier 2",7,IF(T245="Tier 3",4,IF(T245="Tier 4",1,0))))</f>
        <v/>
      </c>
      <c r="W245">
        <f>IF(V245="Restricted",10,IF(V245="Confidential",7,IF(V245="Internal",4,IF(V245="Public",1,0))))</f>
        <v/>
      </c>
      <c r="AA245" s="9">
        <f>(U245*0.4)+(W245*0.3)+(IF(Z245="Critical",10,IF(Z245="High",7,IF(Z245="Medium",4,1)))*0.2)+(IF(Y245="YES",10,0)*0.1)</f>
        <v/>
      </c>
      <c r="AB245" s="9">
        <f>IF(G245="YES",2.0,0)+IF(H245="YES",2.0,0)</f>
        <v/>
      </c>
      <c r="AC245" s="9" t="n">
        <v>0</v>
      </c>
      <c r="AD245" s="9">
        <f>K245+AB245+AC245</f>
        <v/>
      </c>
      <c r="AE245" s="9">
        <f>(AD245*0.6)+(AA245*0.4)</f>
        <v/>
      </c>
      <c r="AF245">
        <f>IF(AE245&gt;=9,"Critical",IF(AE245&gt;=7,"High",IF(AE245&gt;=4,"Medium","Low")))</f>
        <v/>
      </c>
    </row>
    <row r="246">
      <c r="F246" t="n">
        <v>1</v>
      </c>
      <c r="I246">
        <f>IF(D246="","",TODAY()-D246)</f>
        <v/>
      </c>
      <c r="K246">
        <f>IF(J246="v4.0",L246,IF(J246="v3.1",M246,IF(J246="Both",L246,IF(AND(L246&lt;&gt;"",M246=""),L246,M246))))</f>
        <v/>
      </c>
      <c r="U246">
        <f>IF(T246="Tier 1",10,IF(T246="Tier 2",7,IF(T246="Tier 3",4,IF(T246="Tier 4",1,0))))</f>
        <v/>
      </c>
      <c r="W246">
        <f>IF(V246="Restricted",10,IF(V246="Confidential",7,IF(V246="Internal",4,IF(V246="Public",1,0))))</f>
        <v/>
      </c>
      <c r="AA246" s="9">
        <f>(U246*0.4)+(W246*0.3)+(IF(Z246="Critical",10,IF(Z246="High",7,IF(Z246="Medium",4,1)))*0.2)+(IF(Y246="YES",10,0)*0.1)</f>
        <v/>
      </c>
      <c r="AB246" s="9">
        <f>IF(G246="YES",2.0,0)+IF(H246="YES",2.0,0)</f>
        <v/>
      </c>
      <c r="AC246" s="9" t="n">
        <v>0</v>
      </c>
      <c r="AD246" s="9">
        <f>K246+AB246+AC246</f>
        <v/>
      </c>
      <c r="AE246" s="9">
        <f>(AD246*0.6)+(AA246*0.4)</f>
        <v/>
      </c>
      <c r="AF246">
        <f>IF(AE246&gt;=9,"Critical",IF(AE246&gt;=7,"High",IF(AE246&gt;=4,"Medium","Low")))</f>
        <v/>
      </c>
    </row>
    <row r="247">
      <c r="F247" t="n">
        <v>1</v>
      </c>
      <c r="I247">
        <f>IF(D247="","",TODAY()-D247)</f>
        <v/>
      </c>
      <c r="K247">
        <f>IF(J247="v4.0",L247,IF(J247="v3.1",M247,IF(J247="Both",L247,IF(AND(L247&lt;&gt;"",M247=""),L247,M247))))</f>
        <v/>
      </c>
      <c r="U247">
        <f>IF(T247="Tier 1",10,IF(T247="Tier 2",7,IF(T247="Tier 3",4,IF(T247="Tier 4",1,0))))</f>
        <v/>
      </c>
      <c r="W247">
        <f>IF(V247="Restricted",10,IF(V247="Confidential",7,IF(V247="Internal",4,IF(V247="Public",1,0))))</f>
        <v/>
      </c>
      <c r="AA247" s="9">
        <f>(U247*0.4)+(W247*0.3)+(IF(Z247="Critical",10,IF(Z247="High",7,IF(Z247="Medium",4,1)))*0.2)+(IF(Y247="YES",10,0)*0.1)</f>
        <v/>
      </c>
      <c r="AB247" s="9">
        <f>IF(G247="YES",2.0,0)+IF(H247="YES",2.0,0)</f>
        <v/>
      </c>
      <c r="AC247" s="9" t="n">
        <v>0</v>
      </c>
      <c r="AD247" s="9">
        <f>K247+AB247+AC247</f>
        <v/>
      </c>
      <c r="AE247" s="9">
        <f>(AD247*0.6)+(AA247*0.4)</f>
        <v/>
      </c>
      <c r="AF247">
        <f>IF(AE247&gt;=9,"Critical",IF(AE247&gt;=7,"High",IF(AE247&gt;=4,"Medium","Low")))</f>
        <v/>
      </c>
    </row>
    <row r="248">
      <c r="F248" t="n">
        <v>1</v>
      </c>
      <c r="I248">
        <f>IF(D248="","",TODAY()-D248)</f>
        <v/>
      </c>
      <c r="K248">
        <f>IF(J248="v4.0",L248,IF(J248="v3.1",M248,IF(J248="Both",L248,IF(AND(L248&lt;&gt;"",M248=""),L248,M248))))</f>
        <v/>
      </c>
      <c r="U248">
        <f>IF(T248="Tier 1",10,IF(T248="Tier 2",7,IF(T248="Tier 3",4,IF(T248="Tier 4",1,0))))</f>
        <v/>
      </c>
      <c r="W248">
        <f>IF(V248="Restricted",10,IF(V248="Confidential",7,IF(V248="Internal",4,IF(V248="Public",1,0))))</f>
        <v/>
      </c>
      <c r="AA248" s="9">
        <f>(U248*0.4)+(W248*0.3)+(IF(Z248="Critical",10,IF(Z248="High",7,IF(Z248="Medium",4,1)))*0.2)+(IF(Y248="YES",10,0)*0.1)</f>
        <v/>
      </c>
      <c r="AB248" s="9">
        <f>IF(G248="YES",2.0,0)+IF(H248="YES",2.0,0)</f>
        <v/>
      </c>
      <c r="AC248" s="9" t="n">
        <v>0</v>
      </c>
      <c r="AD248" s="9">
        <f>K248+AB248+AC248</f>
        <v/>
      </c>
      <c r="AE248" s="9">
        <f>(AD248*0.6)+(AA248*0.4)</f>
        <v/>
      </c>
      <c r="AF248">
        <f>IF(AE248&gt;=9,"Critical",IF(AE248&gt;=7,"High",IF(AE248&gt;=4,"Medium","Low")))</f>
        <v/>
      </c>
    </row>
    <row r="249">
      <c r="F249" t="n">
        <v>1</v>
      </c>
      <c r="I249">
        <f>IF(D249="","",TODAY()-D249)</f>
        <v/>
      </c>
      <c r="K249">
        <f>IF(J249="v4.0",L249,IF(J249="v3.1",M249,IF(J249="Both",L249,IF(AND(L249&lt;&gt;"",M249=""),L249,M249))))</f>
        <v/>
      </c>
      <c r="U249">
        <f>IF(T249="Tier 1",10,IF(T249="Tier 2",7,IF(T249="Tier 3",4,IF(T249="Tier 4",1,0))))</f>
        <v/>
      </c>
      <c r="W249">
        <f>IF(V249="Restricted",10,IF(V249="Confidential",7,IF(V249="Internal",4,IF(V249="Public",1,0))))</f>
        <v/>
      </c>
      <c r="AA249" s="9">
        <f>(U249*0.4)+(W249*0.3)+(IF(Z249="Critical",10,IF(Z249="High",7,IF(Z249="Medium",4,1)))*0.2)+(IF(Y249="YES",10,0)*0.1)</f>
        <v/>
      </c>
      <c r="AB249" s="9">
        <f>IF(G249="YES",2.0,0)+IF(H249="YES",2.0,0)</f>
        <v/>
      </c>
      <c r="AC249" s="9" t="n">
        <v>0</v>
      </c>
      <c r="AD249" s="9">
        <f>K249+AB249+AC249</f>
        <v/>
      </c>
      <c r="AE249" s="9">
        <f>(AD249*0.6)+(AA249*0.4)</f>
        <v/>
      </c>
      <c r="AF249">
        <f>IF(AE249&gt;=9,"Critical",IF(AE249&gt;=7,"High",IF(AE249&gt;=4,"Medium","Low")))</f>
        <v/>
      </c>
    </row>
    <row r="250">
      <c r="F250" t="n">
        <v>1</v>
      </c>
      <c r="I250">
        <f>IF(D250="","",TODAY()-D250)</f>
        <v/>
      </c>
      <c r="K250">
        <f>IF(J250="v4.0",L250,IF(J250="v3.1",M250,IF(J250="Both",L250,IF(AND(L250&lt;&gt;"",M250=""),L250,M250))))</f>
        <v/>
      </c>
      <c r="U250">
        <f>IF(T250="Tier 1",10,IF(T250="Tier 2",7,IF(T250="Tier 3",4,IF(T250="Tier 4",1,0))))</f>
        <v/>
      </c>
      <c r="W250">
        <f>IF(V250="Restricted",10,IF(V250="Confidential",7,IF(V250="Internal",4,IF(V250="Public",1,0))))</f>
        <v/>
      </c>
      <c r="AA250" s="9">
        <f>(U250*0.4)+(W250*0.3)+(IF(Z250="Critical",10,IF(Z250="High",7,IF(Z250="Medium",4,1)))*0.2)+(IF(Y250="YES",10,0)*0.1)</f>
        <v/>
      </c>
      <c r="AB250" s="9">
        <f>IF(G250="YES",2.0,0)+IF(H250="YES",2.0,0)</f>
        <v/>
      </c>
      <c r="AC250" s="9" t="n">
        <v>0</v>
      </c>
      <c r="AD250" s="9">
        <f>K250+AB250+AC250</f>
        <v/>
      </c>
      <c r="AE250" s="9">
        <f>(AD250*0.6)+(AA250*0.4)</f>
        <v/>
      </c>
      <c r="AF250">
        <f>IF(AE250&gt;=9,"Critical",IF(AE250&gt;=7,"High",IF(AE250&gt;=4,"Medium","Low")))</f>
        <v/>
      </c>
    </row>
    <row r="251">
      <c r="F251" t="n">
        <v>1</v>
      </c>
      <c r="I251">
        <f>IF(D251="","",TODAY()-D251)</f>
        <v/>
      </c>
      <c r="K251">
        <f>IF(J251="v4.0",L251,IF(J251="v3.1",M251,IF(J251="Both",L251,IF(AND(L251&lt;&gt;"",M251=""),L251,M251))))</f>
        <v/>
      </c>
      <c r="U251">
        <f>IF(T251="Tier 1",10,IF(T251="Tier 2",7,IF(T251="Tier 3",4,IF(T251="Tier 4",1,0))))</f>
        <v/>
      </c>
      <c r="W251">
        <f>IF(V251="Restricted",10,IF(V251="Confidential",7,IF(V251="Internal",4,IF(V251="Public",1,0))))</f>
        <v/>
      </c>
      <c r="AA251" s="9">
        <f>(U251*0.4)+(W251*0.3)+(IF(Z251="Critical",10,IF(Z251="High",7,IF(Z251="Medium",4,1)))*0.2)+(IF(Y251="YES",10,0)*0.1)</f>
        <v/>
      </c>
      <c r="AB251" s="9">
        <f>IF(G251="YES",2.0,0)+IF(H251="YES",2.0,0)</f>
        <v/>
      </c>
      <c r="AC251" s="9" t="n">
        <v>0</v>
      </c>
      <c r="AD251" s="9">
        <f>K251+AB251+AC251</f>
        <v/>
      </c>
      <c r="AE251" s="9">
        <f>(AD251*0.6)+(AA251*0.4)</f>
        <v/>
      </c>
      <c r="AF251">
        <f>IF(AE251&gt;=9,"Critical",IF(AE251&gt;=7,"High",IF(AE251&gt;=4,"Medium","Low")))</f>
        <v/>
      </c>
    </row>
    <row r="252">
      <c r="F252" t="n">
        <v>1</v>
      </c>
      <c r="I252">
        <f>IF(D252="","",TODAY()-D252)</f>
        <v/>
      </c>
      <c r="K252">
        <f>IF(J252="v4.0",L252,IF(J252="v3.1",M252,IF(J252="Both",L252,IF(AND(L252&lt;&gt;"",M252=""),L252,M252))))</f>
        <v/>
      </c>
      <c r="U252">
        <f>IF(T252="Tier 1",10,IF(T252="Tier 2",7,IF(T252="Tier 3",4,IF(T252="Tier 4",1,0))))</f>
        <v/>
      </c>
      <c r="W252">
        <f>IF(V252="Restricted",10,IF(V252="Confidential",7,IF(V252="Internal",4,IF(V252="Public",1,0))))</f>
        <v/>
      </c>
      <c r="AA252" s="9">
        <f>(U252*0.4)+(W252*0.3)+(IF(Z252="Critical",10,IF(Z252="High",7,IF(Z252="Medium",4,1)))*0.2)+(IF(Y252="YES",10,0)*0.1)</f>
        <v/>
      </c>
      <c r="AB252" s="9">
        <f>IF(G252="YES",2.0,0)+IF(H252="YES",2.0,0)</f>
        <v/>
      </c>
      <c r="AC252" s="9" t="n">
        <v>0</v>
      </c>
      <c r="AD252" s="9">
        <f>K252+AB252+AC252</f>
        <v/>
      </c>
      <c r="AE252" s="9">
        <f>(AD252*0.6)+(AA252*0.4)</f>
        <v/>
      </c>
      <c r="AF252">
        <f>IF(AE252&gt;=9,"Critical",IF(AE252&gt;=7,"High",IF(AE252&gt;=4,"Medium","Low")))</f>
        <v/>
      </c>
    </row>
    <row r="253">
      <c r="F253" t="n">
        <v>1</v>
      </c>
      <c r="I253">
        <f>IF(D253="","",TODAY()-D253)</f>
        <v/>
      </c>
      <c r="K253">
        <f>IF(J253="v4.0",L253,IF(J253="v3.1",M253,IF(J253="Both",L253,IF(AND(L253&lt;&gt;"",M253=""),L253,M253))))</f>
        <v/>
      </c>
      <c r="U253">
        <f>IF(T253="Tier 1",10,IF(T253="Tier 2",7,IF(T253="Tier 3",4,IF(T253="Tier 4",1,0))))</f>
        <v/>
      </c>
      <c r="W253">
        <f>IF(V253="Restricted",10,IF(V253="Confidential",7,IF(V253="Internal",4,IF(V253="Public",1,0))))</f>
        <v/>
      </c>
      <c r="AA253" s="9">
        <f>(U253*0.4)+(W253*0.3)+(IF(Z253="Critical",10,IF(Z253="High",7,IF(Z253="Medium",4,1)))*0.2)+(IF(Y253="YES",10,0)*0.1)</f>
        <v/>
      </c>
      <c r="AB253" s="9">
        <f>IF(G253="YES",2.0,0)+IF(H253="YES",2.0,0)</f>
        <v/>
      </c>
      <c r="AC253" s="9" t="n">
        <v>0</v>
      </c>
      <c r="AD253" s="9">
        <f>K253+AB253+AC253</f>
        <v/>
      </c>
      <c r="AE253" s="9">
        <f>(AD253*0.6)+(AA253*0.4)</f>
        <v/>
      </c>
      <c r="AF253">
        <f>IF(AE253&gt;=9,"Critical",IF(AE253&gt;=7,"High",IF(AE253&gt;=4,"Medium","Low")))</f>
        <v/>
      </c>
    </row>
    <row r="254">
      <c r="F254" t="n">
        <v>1</v>
      </c>
      <c r="I254">
        <f>IF(D254="","",TODAY()-D254)</f>
        <v/>
      </c>
      <c r="K254">
        <f>IF(J254="v4.0",L254,IF(J254="v3.1",M254,IF(J254="Both",L254,IF(AND(L254&lt;&gt;"",M254=""),L254,M254))))</f>
        <v/>
      </c>
      <c r="U254">
        <f>IF(T254="Tier 1",10,IF(T254="Tier 2",7,IF(T254="Tier 3",4,IF(T254="Tier 4",1,0))))</f>
        <v/>
      </c>
      <c r="W254">
        <f>IF(V254="Restricted",10,IF(V254="Confidential",7,IF(V254="Internal",4,IF(V254="Public",1,0))))</f>
        <v/>
      </c>
      <c r="AA254" s="9">
        <f>(U254*0.4)+(W254*0.3)+(IF(Z254="Critical",10,IF(Z254="High",7,IF(Z254="Medium",4,1)))*0.2)+(IF(Y254="YES",10,0)*0.1)</f>
        <v/>
      </c>
      <c r="AB254" s="9">
        <f>IF(G254="YES",2.0,0)+IF(H254="YES",2.0,0)</f>
        <v/>
      </c>
      <c r="AC254" s="9" t="n">
        <v>0</v>
      </c>
      <c r="AD254" s="9">
        <f>K254+AB254+AC254</f>
        <v/>
      </c>
      <c r="AE254" s="9">
        <f>(AD254*0.6)+(AA254*0.4)</f>
        <v/>
      </c>
      <c r="AF254">
        <f>IF(AE254&gt;=9,"Critical",IF(AE254&gt;=7,"High",IF(AE254&gt;=4,"Medium","Low")))</f>
        <v/>
      </c>
    </row>
    <row r="255">
      <c r="F255" t="n">
        <v>1</v>
      </c>
      <c r="I255">
        <f>IF(D255="","",TODAY()-D255)</f>
        <v/>
      </c>
      <c r="K255">
        <f>IF(J255="v4.0",L255,IF(J255="v3.1",M255,IF(J255="Both",L255,IF(AND(L255&lt;&gt;"",M255=""),L255,M255))))</f>
        <v/>
      </c>
      <c r="U255">
        <f>IF(T255="Tier 1",10,IF(T255="Tier 2",7,IF(T255="Tier 3",4,IF(T255="Tier 4",1,0))))</f>
        <v/>
      </c>
      <c r="W255">
        <f>IF(V255="Restricted",10,IF(V255="Confidential",7,IF(V255="Internal",4,IF(V255="Public",1,0))))</f>
        <v/>
      </c>
      <c r="AA255" s="9">
        <f>(U255*0.4)+(W255*0.3)+(IF(Z255="Critical",10,IF(Z255="High",7,IF(Z255="Medium",4,1)))*0.2)+(IF(Y255="YES",10,0)*0.1)</f>
        <v/>
      </c>
      <c r="AB255" s="9">
        <f>IF(G255="YES",2.0,0)+IF(H255="YES",2.0,0)</f>
        <v/>
      </c>
      <c r="AC255" s="9" t="n">
        <v>0</v>
      </c>
      <c r="AD255" s="9">
        <f>K255+AB255+AC255</f>
        <v/>
      </c>
      <c r="AE255" s="9">
        <f>(AD255*0.6)+(AA255*0.4)</f>
        <v/>
      </c>
      <c r="AF255">
        <f>IF(AE255&gt;=9,"Critical",IF(AE255&gt;=7,"High",IF(AE255&gt;=4,"Medium","Low")))</f>
        <v/>
      </c>
    </row>
    <row r="256">
      <c r="F256" t="n">
        <v>1</v>
      </c>
      <c r="I256">
        <f>IF(D256="","",TODAY()-D256)</f>
        <v/>
      </c>
      <c r="K256">
        <f>IF(J256="v4.0",L256,IF(J256="v3.1",M256,IF(J256="Both",L256,IF(AND(L256&lt;&gt;"",M256=""),L256,M256))))</f>
        <v/>
      </c>
      <c r="U256">
        <f>IF(T256="Tier 1",10,IF(T256="Tier 2",7,IF(T256="Tier 3",4,IF(T256="Tier 4",1,0))))</f>
        <v/>
      </c>
      <c r="W256">
        <f>IF(V256="Restricted",10,IF(V256="Confidential",7,IF(V256="Internal",4,IF(V256="Public",1,0))))</f>
        <v/>
      </c>
      <c r="AA256" s="9">
        <f>(U256*0.4)+(W256*0.3)+(IF(Z256="Critical",10,IF(Z256="High",7,IF(Z256="Medium",4,1)))*0.2)+(IF(Y256="YES",10,0)*0.1)</f>
        <v/>
      </c>
      <c r="AB256" s="9">
        <f>IF(G256="YES",2.0,0)+IF(H256="YES",2.0,0)</f>
        <v/>
      </c>
      <c r="AC256" s="9" t="n">
        <v>0</v>
      </c>
      <c r="AD256" s="9">
        <f>K256+AB256+AC256</f>
        <v/>
      </c>
      <c r="AE256" s="9">
        <f>(AD256*0.6)+(AA256*0.4)</f>
        <v/>
      </c>
      <c r="AF256">
        <f>IF(AE256&gt;=9,"Critical",IF(AE256&gt;=7,"High",IF(AE256&gt;=4,"Medium","Low")))</f>
        <v/>
      </c>
    </row>
    <row r="257">
      <c r="F257" t="n">
        <v>1</v>
      </c>
      <c r="I257">
        <f>IF(D257="","",TODAY()-D257)</f>
        <v/>
      </c>
      <c r="K257">
        <f>IF(J257="v4.0",L257,IF(J257="v3.1",M257,IF(J257="Both",L257,IF(AND(L257&lt;&gt;"",M257=""),L257,M257))))</f>
        <v/>
      </c>
      <c r="U257">
        <f>IF(T257="Tier 1",10,IF(T257="Tier 2",7,IF(T257="Tier 3",4,IF(T257="Tier 4",1,0))))</f>
        <v/>
      </c>
      <c r="W257">
        <f>IF(V257="Restricted",10,IF(V257="Confidential",7,IF(V257="Internal",4,IF(V257="Public",1,0))))</f>
        <v/>
      </c>
      <c r="AA257" s="9">
        <f>(U257*0.4)+(W257*0.3)+(IF(Z257="Critical",10,IF(Z257="High",7,IF(Z257="Medium",4,1)))*0.2)+(IF(Y257="YES",10,0)*0.1)</f>
        <v/>
      </c>
      <c r="AB257" s="9">
        <f>IF(G257="YES",2.0,0)+IF(H257="YES",2.0,0)</f>
        <v/>
      </c>
      <c r="AC257" s="9" t="n">
        <v>0</v>
      </c>
      <c r="AD257" s="9">
        <f>K257+AB257+AC257</f>
        <v/>
      </c>
      <c r="AE257" s="9">
        <f>(AD257*0.6)+(AA257*0.4)</f>
        <v/>
      </c>
      <c r="AF257">
        <f>IF(AE257&gt;=9,"Critical",IF(AE257&gt;=7,"High",IF(AE257&gt;=4,"Medium","Low")))</f>
        <v/>
      </c>
    </row>
    <row r="258">
      <c r="F258" t="n">
        <v>1</v>
      </c>
      <c r="I258">
        <f>IF(D258="","",TODAY()-D258)</f>
        <v/>
      </c>
      <c r="K258">
        <f>IF(J258="v4.0",L258,IF(J258="v3.1",M258,IF(J258="Both",L258,IF(AND(L258&lt;&gt;"",M258=""),L258,M258))))</f>
        <v/>
      </c>
      <c r="U258">
        <f>IF(T258="Tier 1",10,IF(T258="Tier 2",7,IF(T258="Tier 3",4,IF(T258="Tier 4",1,0))))</f>
        <v/>
      </c>
      <c r="W258">
        <f>IF(V258="Restricted",10,IF(V258="Confidential",7,IF(V258="Internal",4,IF(V258="Public",1,0))))</f>
        <v/>
      </c>
      <c r="AA258" s="9">
        <f>(U258*0.4)+(W258*0.3)+(IF(Z258="Critical",10,IF(Z258="High",7,IF(Z258="Medium",4,1)))*0.2)+(IF(Y258="YES",10,0)*0.1)</f>
        <v/>
      </c>
      <c r="AB258" s="9">
        <f>IF(G258="YES",2.0,0)+IF(H258="YES",2.0,0)</f>
        <v/>
      </c>
      <c r="AC258" s="9" t="n">
        <v>0</v>
      </c>
      <c r="AD258" s="9">
        <f>K258+AB258+AC258</f>
        <v/>
      </c>
      <c r="AE258" s="9">
        <f>(AD258*0.6)+(AA258*0.4)</f>
        <v/>
      </c>
      <c r="AF258">
        <f>IF(AE258&gt;=9,"Critical",IF(AE258&gt;=7,"High",IF(AE258&gt;=4,"Medium","Low")))</f>
        <v/>
      </c>
    </row>
    <row r="259">
      <c r="F259" t="n">
        <v>1</v>
      </c>
      <c r="I259">
        <f>IF(D259="","",TODAY()-D259)</f>
        <v/>
      </c>
      <c r="K259">
        <f>IF(J259="v4.0",L259,IF(J259="v3.1",M259,IF(J259="Both",L259,IF(AND(L259&lt;&gt;"",M259=""),L259,M259))))</f>
        <v/>
      </c>
      <c r="U259">
        <f>IF(T259="Tier 1",10,IF(T259="Tier 2",7,IF(T259="Tier 3",4,IF(T259="Tier 4",1,0))))</f>
        <v/>
      </c>
      <c r="W259">
        <f>IF(V259="Restricted",10,IF(V259="Confidential",7,IF(V259="Internal",4,IF(V259="Public",1,0))))</f>
        <v/>
      </c>
      <c r="AA259" s="9">
        <f>(U259*0.4)+(W259*0.3)+(IF(Z259="Critical",10,IF(Z259="High",7,IF(Z259="Medium",4,1)))*0.2)+(IF(Y259="YES",10,0)*0.1)</f>
        <v/>
      </c>
      <c r="AB259" s="9">
        <f>IF(G259="YES",2.0,0)+IF(H259="YES",2.0,0)</f>
        <v/>
      </c>
      <c r="AC259" s="9" t="n">
        <v>0</v>
      </c>
      <c r="AD259" s="9">
        <f>K259+AB259+AC259</f>
        <v/>
      </c>
      <c r="AE259" s="9">
        <f>(AD259*0.6)+(AA259*0.4)</f>
        <v/>
      </c>
      <c r="AF259">
        <f>IF(AE259&gt;=9,"Critical",IF(AE259&gt;=7,"High",IF(AE259&gt;=4,"Medium","Low")))</f>
        <v/>
      </c>
    </row>
    <row r="260">
      <c r="F260" t="n">
        <v>1</v>
      </c>
      <c r="I260">
        <f>IF(D260="","",TODAY()-D260)</f>
        <v/>
      </c>
      <c r="K260">
        <f>IF(J260="v4.0",L260,IF(J260="v3.1",M260,IF(J260="Both",L260,IF(AND(L260&lt;&gt;"",M260=""),L260,M260))))</f>
        <v/>
      </c>
      <c r="U260">
        <f>IF(T260="Tier 1",10,IF(T260="Tier 2",7,IF(T260="Tier 3",4,IF(T260="Tier 4",1,0))))</f>
        <v/>
      </c>
      <c r="W260">
        <f>IF(V260="Restricted",10,IF(V260="Confidential",7,IF(V260="Internal",4,IF(V260="Public",1,0))))</f>
        <v/>
      </c>
      <c r="AA260" s="9">
        <f>(U260*0.4)+(W260*0.3)+(IF(Z260="Critical",10,IF(Z260="High",7,IF(Z260="Medium",4,1)))*0.2)+(IF(Y260="YES",10,0)*0.1)</f>
        <v/>
      </c>
      <c r="AB260" s="9">
        <f>IF(G260="YES",2.0,0)+IF(H260="YES",2.0,0)</f>
        <v/>
      </c>
      <c r="AC260" s="9" t="n">
        <v>0</v>
      </c>
      <c r="AD260" s="9">
        <f>K260+AB260+AC260</f>
        <v/>
      </c>
      <c r="AE260" s="9">
        <f>(AD260*0.6)+(AA260*0.4)</f>
        <v/>
      </c>
      <c r="AF260">
        <f>IF(AE260&gt;=9,"Critical",IF(AE260&gt;=7,"High",IF(AE260&gt;=4,"Medium","Low")))</f>
        <v/>
      </c>
    </row>
    <row r="261">
      <c r="F261" t="n">
        <v>1</v>
      </c>
      <c r="I261">
        <f>IF(D261="","",TODAY()-D261)</f>
        <v/>
      </c>
      <c r="K261">
        <f>IF(J261="v4.0",L261,IF(J261="v3.1",M261,IF(J261="Both",L261,IF(AND(L261&lt;&gt;"",M261=""),L261,M261))))</f>
        <v/>
      </c>
      <c r="U261">
        <f>IF(T261="Tier 1",10,IF(T261="Tier 2",7,IF(T261="Tier 3",4,IF(T261="Tier 4",1,0))))</f>
        <v/>
      </c>
      <c r="W261">
        <f>IF(V261="Restricted",10,IF(V261="Confidential",7,IF(V261="Internal",4,IF(V261="Public",1,0))))</f>
        <v/>
      </c>
      <c r="AA261" s="9">
        <f>(U261*0.4)+(W261*0.3)+(IF(Z261="Critical",10,IF(Z261="High",7,IF(Z261="Medium",4,1)))*0.2)+(IF(Y261="YES",10,0)*0.1)</f>
        <v/>
      </c>
      <c r="AB261" s="9">
        <f>IF(G261="YES",2.0,0)+IF(H261="YES",2.0,0)</f>
        <v/>
      </c>
      <c r="AC261" s="9" t="n">
        <v>0</v>
      </c>
      <c r="AD261" s="9">
        <f>K261+AB261+AC261</f>
        <v/>
      </c>
      <c r="AE261" s="9">
        <f>(AD261*0.6)+(AA261*0.4)</f>
        <v/>
      </c>
      <c r="AF261">
        <f>IF(AE261&gt;=9,"Critical",IF(AE261&gt;=7,"High",IF(AE261&gt;=4,"Medium","Low")))</f>
        <v/>
      </c>
    </row>
    <row r="262">
      <c r="F262" t="n">
        <v>1</v>
      </c>
      <c r="I262">
        <f>IF(D262="","",TODAY()-D262)</f>
        <v/>
      </c>
      <c r="K262">
        <f>IF(J262="v4.0",L262,IF(J262="v3.1",M262,IF(J262="Both",L262,IF(AND(L262&lt;&gt;"",M262=""),L262,M262))))</f>
        <v/>
      </c>
      <c r="U262">
        <f>IF(T262="Tier 1",10,IF(T262="Tier 2",7,IF(T262="Tier 3",4,IF(T262="Tier 4",1,0))))</f>
        <v/>
      </c>
      <c r="W262">
        <f>IF(V262="Restricted",10,IF(V262="Confidential",7,IF(V262="Internal",4,IF(V262="Public",1,0))))</f>
        <v/>
      </c>
      <c r="AA262" s="9">
        <f>(U262*0.4)+(W262*0.3)+(IF(Z262="Critical",10,IF(Z262="High",7,IF(Z262="Medium",4,1)))*0.2)+(IF(Y262="YES",10,0)*0.1)</f>
        <v/>
      </c>
      <c r="AB262" s="9">
        <f>IF(G262="YES",2.0,0)+IF(H262="YES",2.0,0)</f>
        <v/>
      </c>
      <c r="AC262" s="9" t="n">
        <v>0</v>
      </c>
      <c r="AD262" s="9">
        <f>K262+AB262+AC262</f>
        <v/>
      </c>
      <c r="AE262" s="9">
        <f>(AD262*0.6)+(AA262*0.4)</f>
        <v/>
      </c>
      <c r="AF262">
        <f>IF(AE262&gt;=9,"Critical",IF(AE262&gt;=7,"High",IF(AE262&gt;=4,"Medium","Low")))</f>
        <v/>
      </c>
    </row>
    <row r="263">
      <c r="F263" t="n">
        <v>1</v>
      </c>
      <c r="I263">
        <f>IF(D263="","",TODAY()-D263)</f>
        <v/>
      </c>
      <c r="K263">
        <f>IF(J263="v4.0",L263,IF(J263="v3.1",M263,IF(J263="Both",L263,IF(AND(L263&lt;&gt;"",M263=""),L263,M263))))</f>
        <v/>
      </c>
      <c r="U263">
        <f>IF(T263="Tier 1",10,IF(T263="Tier 2",7,IF(T263="Tier 3",4,IF(T263="Tier 4",1,0))))</f>
        <v/>
      </c>
      <c r="W263">
        <f>IF(V263="Restricted",10,IF(V263="Confidential",7,IF(V263="Internal",4,IF(V263="Public",1,0))))</f>
        <v/>
      </c>
      <c r="AA263" s="9">
        <f>(U263*0.4)+(W263*0.3)+(IF(Z263="Critical",10,IF(Z263="High",7,IF(Z263="Medium",4,1)))*0.2)+(IF(Y263="YES",10,0)*0.1)</f>
        <v/>
      </c>
      <c r="AB263" s="9">
        <f>IF(G263="YES",2.0,0)+IF(H263="YES",2.0,0)</f>
        <v/>
      </c>
      <c r="AC263" s="9" t="n">
        <v>0</v>
      </c>
      <c r="AD263" s="9">
        <f>K263+AB263+AC263</f>
        <v/>
      </c>
      <c r="AE263" s="9">
        <f>(AD263*0.6)+(AA263*0.4)</f>
        <v/>
      </c>
      <c r="AF263">
        <f>IF(AE263&gt;=9,"Critical",IF(AE263&gt;=7,"High",IF(AE263&gt;=4,"Medium","Low")))</f>
        <v/>
      </c>
    </row>
    <row r="264">
      <c r="F264" t="n">
        <v>1</v>
      </c>
      <c r="I264">
        <f>IF(D264="","",TODAY()-D264)</f>
        <v/>
      </c>
      <c r="K264">
        <f>IF(J264="v4.0",L264,IF(J264="v3.1",M264,IF(J264="Both",L264,IF(AND(L264&lt;&gt;"",M264=""),L264,M264))))</f>
        <v/>
      </c>
      <c r="U264">
        <f>IF(T264="Tier 1",10,IF(T264="Tier 2",7,IF(T264="Tier 3",4,IF(T264="Tier 4",1,0))))</f>
        <v/>
      </c>
      <c r="W264">
        <f>IF(V264="Restricted",10,IF(V264="Confidential",7,IF(V264="Internal",4,IF(V264="Public",1,0))))</f>
        <v/>
      </c>
      <c r="AA264" s="9">
        <f>(U264*0.4)+(W264*0.3)+(IF(Z264="Critical",10,IF(Z264="High",7,IF(Z264="Medium",4,1)))*0.2)+(IF(Y264="YES",10,0)*0.1)</f>
        <v/>
      </c>
      <c r="AB264" s="9">
        <f>IF(G264="YES",2.0,0)+IF(H264="YES",2.0,0)</f>
        <v/>
      </c>
      <c r="AC264" s="9" t="n">
        <v>0</v>
      </c>
      <c r="AD264" s="9">
        <f>K264+AB264+AC264</f>
        <v/>
      </c>
      <c r="AE264" s="9">
        <f>(AD264*0.6)+(AA264*0.4)</f>
        <v/>
      </c>
      <c r="AF264">
        <f>IF(AE264&gt;=9,"Critical",IF(AE264&gt;=7,"High",IF(AE264&gt;=4,"Medium","Low")))</f>
        <v/>
      </c>
    </row>
    <row r="265">
      <c r="F265" t="n">
        <v>1</v>
      </c>
      <c r="I265">
        <f>IF(D265="","",TODAY()-D265)</f>
        <v/>
      </c>
      <c r="K265">
        <f>IF(J265="v4.0",L265,IF(J265="v3.1",M265,IF(J265="Both",L265,IF(AND(L265&lt;&gt;"",M265=""),L265,M265))))</f>
        <v/>
      </c>
      <c r="U265">
        <f>IF(T265="Tier 1",10,IF(T265="Tier 2",7,IF(T265="Tier 3",4,IF(T265="Tier 4",1,0))))</f>
        <v/>
      </c>
      <c r="W265">
        <f>IF(V265="Restricted",10,IF(V265="Confidential",7,IF(V265="Internal",4,IF(V265="Public",1,0))))</f>
        <v/>
      </c>
      <c r="AA265" s="9">
        <f>(U265*0.4)+(W265*0.3)+(IF(Z265="Critical",10,IF(Z265="High",7,IF(Z265="Medium",4,1)))*0.2)+(IF(Y265="YES",10,0)*0.1)</f>
        <v/>
      </c>
      <c r="AB265" s="9">
        <f>IF(G265="YES",2.0,0)+IF(H265="YES",2.0,0)</f>
        <v/>
      </c>
      <c r="AC265" s="9" t="n">
        <v>0</v>
      </c>
      <c r="AD265" s="9">
        <f>K265+AB265+AC265</f>
        <v/>
      </c>
      <c r="AE265" s="9">
        <f>(AD265*0.6)+(AA265*0.4)</f>
        <v/>
      </c>
      <c r="AF265">
        <f>IF(AE265&gt;=9,"Critical",IF(AE265&gt;=7,"High",IF(AE265&gt;=4,"Medium","Low")))</f>
        <v/>
      </c>
    </row>
    <row r="266">
      <c r="F266" t="n">
        <v>1</v>
      </c>
      <c r="I266">
        <f>IF(D266="","",TODAY()-D266)</f>
        <v/>
      </c>
      <c r="K266">
        <f>IF(J266="v4.0",L266,IF(J266="v3.1",M266,IF(J266="Both",L266,IF(AND(L266&lt;&gt;"",M266=""),L266,M266))))</f>
        <v/>
      </c>
      <c r="U266">
        <f>IF(T266="Tier 1",10,IF(T266="Tier 2",7,IF(T266="Tier 3",4,IF(T266="Tier 4",1,0))))</f>
        <v/>
      </c>
      <c r="W266">
        <f>IF(V266="Restricted",10,IF(V266="Confidential",7,IF(V266="Internal",4,IF(V266="Public",1,0))))</f>
        <v/>
      </c>
      <c r="AA266" s="9">
        <f>(U266*0.4)+(W266*0.3)+(IF(Z266="Critical",10,IF(Z266="High",7,IF(Z266="Medium",4,1)))*0.2)+(IF(Y266="YES",10,0)*0.1)</f>
        <v/>
      </c>
      <c r="AB266" s="9">
        <f>IF(G266="YES",2.0,0)+IF(H266="YES",2.0,0)</f>
        <v/>
      </c>
      <c r="AC266" s="9" t="n">
        <v>0</v>
      </c>
      <c r="AD266" s="9">
        <f>K266+AB266+AC266</f>
        <v/>
      </c>
      <c r="AE266" s="9">
        <f>(AD266*0.6)+(AA266*0.4)</f>
        <v/>
      </c>
      <c r="AF266">
        <f>IF(AE266&gt;=9,"Critical",IF(AE266&gt;=7,"High",IF(AE266&gt;=4,"Medium","Low")))</f>
        <v/>
      </c>
    </row>
    <row r="267">
      <c r="F267" t="n">
        <v>1</v>
      </c>
      <c r="I267">
        <f>IF(D267="","",TODAY()-D267)</f>
        <v/>
      </c>
      <c r="K267">
        <f>IF(J267="v4.0",L267,IF(J267="v3.1",M267,IF(J267="Both",L267,IF(AND(L267&lt;&gt;"",M267=""),L267,M267))))</f>
        <v/>
      </c>
      <c r="U267">
        <f>IF(T267="Tier 1",10,IF(T267="Tier 2",7,IF(T267="Tier 3",4,IF(T267="Tier 4",1,0))))</f>
        <v/>
      </c>
      <c r="W267">
        <f>IF(V267="Restricted",10,IF(V267="Confidential",7,IF(V267="Internal",4,IF(V267="Public",1,0))))</f>
        <v/>
      </c>
      <c r="AA267" s="9">
        <f>(U267*0.4)+(W267*0.3)+(IF(Z267="Critical",10,IF(Z267="High",7,IF(Z267="Medium",4,1)))*0.2)+(IF(Y267="YES",10,0)*0.1)</f>
        <v/>
      </c>
      <c r="AB267" s="9">
        <f>IF(G267="YES",2.0,0)+IF(H267="YES",2.0,0)</f>
        <v/>
      </c>
      <c r="AC267" s="9" t="n">
        <v>0</v>
      </c>
      <c r="AD267" s="9">
        <f>K267+AB267+AC267</f>
        <v/>
      </c>
      <c r="AE267" s="9">
        <f>(AD267*0.6)+(AA267*0.4)</f>
        <v/>
      </c>
      <c r="AF267">
        <f>IF(AE267&gt;=9,"Critical",IF(AE267&gt;=7,"High",IF(AE267&gt;=4,"Medium","Low")))</f>
        <v/>
      </c>
    </row>
    <row r="268">
      <c r="F268" t="n">
        <v>1</v>
      </c>
      <c r="I268">
        <f>IF(D268="","",TODAY()-D268)</f>
        <v/>
      </c>
      <c r="K268">
        <f>IF(J268="v4.0",L268,IF(J268="v3.1",M268,IF(J268="Both",L268,IF(AND(L268&lt;&gt;"",M268=""),L268,M268))))</f>
        <v/>
      </c>
      <c r="U268">
        <f>IF(T268="Tier 1",10,IF(T268="Tier 2",7,IF(T268="Tier 3",4,IF(T268="Tier 4",1,0))))</f>
        <v/>
      </c>
      <c r="W268">
        <f>IF(V268="Restricted",10,IF(V268="Confidential",7,IF(V268="Internal",4,IF(V268="Public",1,0))))</f>
        <v/>
      </c>
      <c r="AA268" s="9">
        <f>(U268*0.4)+(W268*0.3)+(IF(Z268="Critical",10,IF(Z268="High",7,IF(Z268="Medium",4,1)))*0.2)+(IF(Y268="YES",10,0)*0.1)</f>
        <v/>
      </c>
      <c r="AB268" s="9">
        <f>IF(G268="YES",2.0,0)+IF(H268="YES",2.0,0)</f>
        <v/>
      </c>
      <c r="AC268" s="9" t="n">
        <v>0</v>
      </c>
      <c r="AD268" s="9">
        <f>K268+AB268+AC268</f>
        <v/>
      </c>
      <c r="AE268" s="9">
        <f>(AD268*0.6)+(AA268*0.4)</f>
        <v/>
      </c>
      <c r="AF268">
        <f>IF(AE268&gt;=9,"Critical",IF(AE268&gt;=7,"High",IF(AE268&gt;=4,"Medium","Low")))</f>
        <v/>
      </c>
    </row>
    <row r="269">
      <c r="F269" t="n">
        <v>1</v>
      </c>
      <c r="I269">
        <f>IF(D269="","",TODAY()-D269)</f>
        <v/>
      </c>
      <c r="K269">
        <f>IF(J269="v4.0",L269,IF(J269="v3.1",M269,IF(J269="Both",L269,IF(AND(L269&lt;&gt;"",M269=""),L269,M269))))</f>
        <v/>
      </c>
      <c r="U269">
        <f>IF(T269="Tier 1",10,IF(T269="Tier 2",7,IF(T269="Tier 3",4,IF(T269="Tier 4",1,0))))</f>
        <v/>
      </c>
      <c r="W269">
        <f>IF(V269="Restricted",10,IF(V269="Confidential",7,IF(V269="Internal",4,IF(V269="Public",1,0))))</f>
        <v/>
      </c>
      <c r="AA269" s="9">
        <f>(U269*0.4)+(W269*0.3)+(IF(Z269="Critical",10,IF(Z269="High",7,IF(Z269="Medium",4,1)))*0.2)+(IF(Y269="YES",10,0)*0.1)</f>
        <v/>
      </c>
      <c r="AB269" s="9">
        <f>IF(G269="YES",2.0,0)+IF(H269="YES",2.0,0)</f>
        <v/>
      </c>
      <c r="AC269" s="9" t="n">
        <v>0</v>
      </c>
      <c r="AD269" s="9">
        <f>K269+AB269+AC269</f>
        <v/>
      </c>
      <c r="AE269" s="9">
        <f>(AD269*0.6)+(AA269*0.4)</f>
        <v/>
      </c>
      <c r="AF269">
        <f>IF(AE269&gt;=9,"Critical",IF(AE269&gt;=7,"High",IF(AE269&gt;=4,"Medium","Low")))</f>
        <v/>
      </c>
    </row>
    <row r="270">
      <c r="F270" t="n">
        <v>1</v>
      </c>
      <c r="I270">
        <f>IF(D270="","",TODAY()-D270)</f>
        <v/>
      </c>
      <c r="K270">
        <f>IF(J270="v4.0",L270,IF(J270="v3.1",M270,IF(J270="Both",L270,IF(AND(L270&lt;&gt;"",M270=""),L270,M270))))</f>
        <v/>
      </c>
      <c r="U270">
        <f>IF(T270="Tier 1",10,IF(T270="Tier 2",7,IF(T270="Tier 3",4,IF(T270="Tier 4",1,0))))</f>
        <v/>
      </c>
      <c r="W270">
        <f>IF(V270="Restricted",10,IF(V270="Confidential",7,IF(V270="Internal",4,IF(V270="Public",1,0))))</f>
        <v/>
      </c>
      <c r="AA270" s="9">
        <f>(U270*0.4)+(W270*0.3)+(IF(Z270="Critical",10,IF(Z270="High",7,IF(Z270="Medium",4,1)))*0.2)+(IF(Y270="YES",10,0)*0.1)</f>
        <v/>
      </c>
      <c r="AB270" s="9">
        <f>IF(G270="YES",2.0,0)+IF(H270="YES",2.0,0)</f>
        <v/>
      </c>
      <c r="AC270" s="9" t="n">
        <v>0</v>
      </c>
      <c r="AD270" s="9">
        <f>K270+AB270+AC270</f>
        <v/>
      </c>
      <c r="AE270" s="9">
        <f>(AD270*0.6)+(AA270*0.4)</f>
        <v/>
      </c>
      <c r="AF270">
        <f>IF(AE270&gt;=9,"Critical",IF(AE270&gt;=7,"High",IF(AE270&gt;=4,"Medium","Low")))</f>
        <v/>
      </c>
    </row>
    <row r="271">
      <c r="F271" t="n">
        <v>1</v>
      </c>
      <c r="I271">
        <f>IF(D271="","",TODAY()-D271)</f>
        <v/>
      </c>
      <c r="K271">
        <f>IF(J271="v4.0",L271,IF(J271="v3.1",M271,IF(J271="Both",L271,IF(AND(L271&lt;&gt;"",M271=""),L271,M271))))</f>
        <v/>
      </c>
      <c r="U271">
        <f>IF(T271="Tier 1",10,IF(T271="Tier 2",7,IF(T271="Tier 3",4,IF(T271="Tier 4",1,0))))</f>
        <v/>
      </c>
      <c r="W271">
        <f>IF(V271="Restricted",10,IF(V271="Confidential",7,IF(V271="Internal",4,IF(V271="Public",1,0))))</f>
        <v/>
      </c>
      <c r="AA271" s="9">
        <f>(U271*0.4)+(W271*0.3)+(IF(Z271="Critical",10,IF(Z271="High",7,IF(Z271="Medium",4,1)))*0.2)+(IF(Y271="YES",10,0)*0.1)</f>
        <v/>
      </c>
      <c r="AB271" s="9">
        <f>IF(G271="YES",2.0,0)+IF(H271="YES",2.0,0)</f>
        <v/>
      </c>
      <c r="AC271" s="9" t="n">
        <v>0</v>
      </c>
      <c r="AD271" s="9">
        <f>K271+AB271+AC271</f>
        <v/>
      </c>
      <c r="AE271" s="9">
        <f>(AD271*0.6)+(AA271*0.4)</f>
        <v/>
      </c>
      <c r="AF271">
        <f>IF(AE271&gt;=9,"Critical",IF(AE271&gt;=7,"High",IF(AE271&gt;=4,"Medium","Low")))</f>
        <v/>
      </c>
    </row>
    <row r="272">
      <c r="F272" t="n">
        <v>1</v>
      </c>
      <c r="I272">
        <f>IF(D272="","",TODAY()-D272)</f>
        <v/>
      </c>
      <c r="K272">
        <f>IF(J272="v4.0",L272,IF(J272="v3.1",M272,IF(J272="Both",L272,IF(AND(L272&lt;&gt;"",M272=""),L272,M272))))</f>
        <v/>
      </c>
      <c r="U272">
        <f>IF(T272="Tier 1",10,IF(T272="Tier 2",7,IF(T272="Tier 3",4,IF(T272="Tier 4",1,0))))</f>
        <v/>
      </c>
      <c r="W272">
        <f>IF(V272="Restricted",10,IF(V272="Confidential",7,IF(V272="Internal",4,IF(V272="Public",1,0))))</f>
        <v/>
      </c>
      <c r="AA272" s="9">
        <f>(U272*0.4)+(W272*0.3)+(IF(Z272="Critical",10,IF(Z272="High",7,IF(Z272="Medium",4,1)))*0.2)+(IF(Y272="YES",10,0)*0.1)</f>
        <v/>
      </c>
      <c r="AB272" s="9">
        <f>IF(G272="YES",2.0,0)+IF(H272="YES",2.0,0)</f>
        <v/>
      </c>
      <c r="AC272" s="9" t="n">
        <v>0</v>
      </c>
      <c r="AD272" s="9">
        <f>K272+AB272+AC272</f>
        <v/>
      </c>
      <c r="AE272" s="9">
        <f>(AD272*0.6)+(AA272*0.4)</f>
        <v/>
      </c>
      <c r="AF272">
        <f>IF(AE272&gt;=9,"Critical",IF(AE272&gt;=7,"High",IF(AE272&gt;=4,"Medium","Low")))</f>
        <v/>
      </c>
    </row>
    <row r="273">
      <c r="F273" t="n">
        <v>1</v>
      </c>
      <c r="I273">
        <f>IF(D273="","",TODAY()-D273)</f>
        <v/>
      </c>
      <c r="K273">
        <f>IF(J273="v4.0",L273,IF(J273="v3.1",M273,IF(J273="Both",L273,IF(AND(L273&lt;&gt;"",M273=""),L273,M273))))</f>
        <v/>
      </c>
      <c r="U273">
        <f>IF(T273="Tier 1",10,IF(T273="Tier 2",7,IF(T273="Tier 3",4,IF(T273="Tier 4",1,0))))</f>
        <v/>
      </c>
      <c r="W273">
        <f>IF(V273="Restricted",10,IF(V273="Confidential",7,IF(V273="Internal",4,IF(V273="Public",1,0))))</f>
        <v/>
      </c>
      <c r="AA273" s="9">
        <f>(U273*0.4)+(W273*0.3)+(IF(Z273="Critical",10,IF(Z273="High",7,IF(Z273="Medium",4,1)))*0.2)+(IF(Y273="YES",10,0)*0.1)</f>
        <v/>
      </c>
      <c r="AB273" s="9">
        <f>IF(G273="YES",2.0,0)+IF(H273="YES",2.0,0)</f>
        <v/>
      </c>
      <c r="AC273" s="9" t="n">
        <v>0</v>
      </c>
      <c r="AD273" s="9">
        <f>K273+AB273+AC273</f>
        <v/>
      </c>
      <c r="AE273" s="9">
        <f>(AD273*0.6)+(AA273*0.4)</f>
        <v/>
      </c>
      <c r="AF273">
        <f>IF(AE273&gt;=9,"Critical",IF(AE273&gt;=7,"High",IF(AE273&gt;=4,"Medium","Low")))</f>
        <v/>
      </c>
    </row>
    <row r="274">
      <c r="F274" t="n">
        <v>1</v>
      </c>
      <c r="I274">
        <f>IF(D274="","",TODAY()-D274)</f>
        <v/>
      </c>
      <c r="K274">
        <f>IF(J274="v4.0",L274,IF(J274="v3.1",M274,IF(J274="Both",L274,IF(AND(L274&lt;&gt;"",M274=""),L274,M274))))</f>
        <v/>
      </c>
      <c r="U274">
        <f>IF(T274="Tier 1",10,IF(T274="Tier 2",7,IF(T274="Tier 3",4,IF(T274="Tier 4",1,0))))</f>
        <v/>
      </c>
      <c r="W274">
        <f>IF(V274="Restricted",10,IF(V274="Confidential",7,IF(V274="Internal",4,IF(V274="Public",1,0))))</f>
        <v/>
      </c>
      <c r="AA274" s="9">
        <f>(U274*0.4)+(W274*0.3)+(IF(Z274="Critical",10,IF(Z274="High",7,IF(Z274="Medium",4,1)))*0.2)+(IF(Y274="YES",10,0)*0.1)</f>
        <v/>
      </c>
      <c r="AB274" s="9">
        <f>IF(G274="YES",2.0,0)+IF(H274="YES",2.0,0)</f>
        <v/>
      </c>
      <c r="AC274" s="9" t="n">
        <v>0</v>
      </c>
      <c r="AD274" s="9">
        <f>K274+AB274+AC274</f>
        <v/>
      </c>
      <c r="AE274" s="9">
        <f>(AD274*0.6)+(AA274*0.4)</f>
        <v/>
      </c>
      <c r="AF274">
        <f>IF(AE274&gt;=9,"Critical",IF(AE274&gt;=7,"High",IF(AE274&gt;=4,"Medium","Low")))</f>
        <v/>
      </c>
    </row>
    <row r="275">
      <c r="F275" t="n">
        <v>1</v>
      </c>
      <c r="I275">
        <f>IF(D275="","",TODAY()-D275)</f>
        <v/>
      </c>
      <c r="K275">
        <f>IF(J275="v4.0",L275,IF(J275="v3.1",M275,IF(J275="Both",L275,IF(AND(L275&lt;&gt;"",M275=""),L275,M275))))</f>
        <v/>
      </c>
      <c r="U275">
        <f>IF(T275="Tier 1",10,IF(T275="Tier 2",7,IF(T275="Tier 3",4,IF(T275="Tier 4",1,0))))</f>
        <v/>
      </c>
      <c r="W275">
        <f>IF(V275="Restricted",10,IF(V275="Confidential",7,IF(V275="Internal",4,IF(V275="Public",1,0))))</f>
        <v/>
      </c>
      <c r="AA275" s="9">
        <f>(U275*0.4)+(W275*0.3)+(IF(Z275="Critical",10,IF(Z275="High",7,IF(Z275="Medium",4,1)))*0.2)+(IF(Y275="YES",10,0)*0.1)</f>
        <v/>
      </c>
      <c r="AB275" s="9">
        <f>IF(G275="YES",2.0,0)+IF(H275="YES",2.0,0)</f>
        <v/>
      </c>
      <c r="AC275" s="9" t="n">
        <v>0</v>
      </c>
      <c r="AD275" s="9">
        <f>K275+AB275+AC275</f>
        <v/>
      </c>
      <c r="AE275" s="9">
        <f>(AD275*0.6)+(AA275*0.4)</f>
        <v/>
      </c>
      <c r="AF275">
        <f>IF(AE275&gt;=9,"Critical",IF(AE275&gt;=7,"High",IF(AE275&gt;=4,"Medium","Low")))</f>
        <v/>
      </c>
    </row>
    <row r="276">
      <c r="F276" t="n">
        <v>1</v>
      </c>
      <c r="I276">
        <f>IF(D276="","",TODAY()-D276)</f>
        <v/>
      </c>
      <c r="K276">
        <f>IF(J276="v4.0",L276,IF(J276="v3.1",M276,IF(J276="Both",L276,IF(AND(L276&lt;&gt;"",M276=""),L276,M276))))</f>
        <v/>
      </c>
      <c r="U276">
        <f>IF(T276="Tier 1",10,IF(T276="Tier 2",7,IF(T276="Tier 3",4,IF(T276="Tier 4",1,0))))</f>
        <v/>
      </c>
      <c r="W276">
        <f>IF(V276="Restricted",10,IF(V276="Confidential",7,IF(V276="Internal",4,IF(V276="Public",1,0))))</f>
        <v/>
      </c>
      <c r="AA276" s="9">
        <f>(U276*0.4)+(W276*0.3)+(IF(Z276="Critical",10,IF(Z276="High",7,IF(Z276="Medium",4,1)))*0.2)+(IF(Y276="YES",10,0)*0.1)</f>
        <v/>
      </c>
      <c r="AB276" s="9">
        <f>IF(G276="YES",2.0,0)+IF(H276="YES",2.0,0)</f>
        <v/>
      </c>
      <c r="AC276" s="9" t="n">
        <v>0</v>
      </c>
      <c r="AD276" s="9">
        <f>K276+AB276+AC276</f>
        <v/>
      </c>
      <c r="AE276" s="9">
        <f>(AD276*0.6)+(AA276*0.4)</f>
        <v/>
      </c>
      <c r="AF276">
        <f>IF(AE276&gt;=9,"Critical",IF(AE276&gt;=7,"High",IF(AE276&gt;=4,"Medium","Low")))</f>
        <v/>
      </c>
    </row>
    <row r="277">
      <c r="F277" t="n">
        <v>1</v>
      </c>
      <c r="I277">
        <f>IF(D277="","",TODAY()-D277)</f>
        <v/>
      </c>
      <c r="K277">
        <f>IF(J277="v4.0",L277,IF(J277="v3.1",M277,IF(J277="Both",L277,IF(AND(L277&lt;&gt;"",M277=""),L277,M277))))</f>
        <v/>
      </c>
      <c r="U277">
        <f>IF(T277="Tier 1",10,IF(T277="Tier 2",7,IF(T277="Tier 3",4,IF(T277="Tier 4",1,0))))</f>
        <v/>
      </c>
      <c r="W277">
        <f>IF(V277="Restricted",10,IF(V277="Confidential",7,IF(V277="Internal",4,IF(V277="Public",1,0))))</f>
        <v/>
      </c>
      <c r="AA277" s="9">
        <f>(U277*0.4)+(W277*0.3)+(IF(Z277="Critical",10,IF(Z277="High",7,IF(Z277="Medium",4,1)))*0.2)+(IF(Y277="YES",10,0)*0.1)</f>
        <v/>
      </c>
      <c r="AB277" s="9">
        <f>IF(G277="YES",2.0,0)+IF(H277="YES",2.0,0)</f>
        <v/>
      </c>
      <c r="AC277" s="9" t="n">
        <v>0</v>
      </c>
      <c r="AD277" s="9">
        <f>K277+AB277+AC277</f>
        <v/>
      </c>
      <c r="AE277" s="9">
        <f>(AD277*0.6)+(AA277*0.4)</f>
        <v/>
      </c>
      <c r="AF277">
        <f>IF(AE277&gt;=9,"Critical",IF(AE277&gt;=7,"High",IF(AE277&gt;=4,"Medium","Low")))</f>
        <v/>
      </c>
    </row>
    <row r="278">
      <c r="F278" t="n">
        <v>1</v>
      </c>
      <c r="I278">
        <f>IF(D278="","",TODAY()-D278)</f>
        <v/>
      </c>
      <c r="K278">
        <f>IF(J278="v4.0",L278,IF(J278="v3.1",M278,IF(J278="Both",L278,IF(AND(L278&lt;&gt;"",M278=""),L278,M278))))</f>
        <v/>
      </c>
      <c r="U278">
        <f>IF(T278="Tier 1",10,IF(T278="Tier 2",7,IF(T278="Tier 3",4,IF(T278="Tier 4",1,0))))</f>
        <v/>
      </c>
      <c r="W278">
        <f>IF(V278="Restricted",10,IF(V278="Confidential",7,IF(V278="Internal",4,IF(V278="Public",1,0))))</f>
        <v/>
      </c>
      <c r="AA278" s="9">
        <f>(U278*0.4)+(W278*0.3)+(IF(Z278="Critical",10,IF(Z278="High",7,IF(Z278="Medium",4,1)))*0.2)+(IF(Y278="YES",10,0)*0.1)</f>
        <v/>
      </c>
      <c r="AB278" s="9">
        <f>IF(G278="YES",2.0,0)+IF(H278="YES",2.0,0)</f>
        <v/>
      </c>
      <c r="AC278" s="9" t="n">
        <v>0</v>
      </c>
      <c r="AD278" s="9">
        <f>K278+AB278+AC278</f>
        <v/>
      </c>
      <c r="AE278" s="9">
        <f>(AD278*0.6)+(AA278*0.4)</f>
        <v/>
      </c>
      <c r="AF278">
        <f>IF(AE278&gt;=9,"Critical",IF(AE278&gt;=7,"High",IF(AE278&gt;=4,"Medium","Low")))</f>
        <v/>
      </c>
    </row>
    <row r="279">
      <c r="F279" t="n">
        <v>1</v>
      </c>
      <c r="I279">
        <f>IF(D279="","",TODAY()-D279)</f>
        <v/>
      </c>
      <c r="K279">
        <f>IF(J279="v4.0",L279,IF(J279="v3.1",M279,IF(J279="Both",L279,IF(AND(L279&lt;&gt;"",M279=""),L279,M279))))</f>
        <v/>
      </c>
      <c r="U279">
        <f>IF(T279="Tier 1",10,IF(T279="Tier 2",7,IF(T279="Tier 3",4,IF(T279="Tier 4",1,0))))</f>
        <v/>
      </c>
      <c r="W279">
        <f>IF(V279="Restricted",10,IF(V279="Confidential",7,IF(V279="Internal",4,IF(V279="Public",1,0))))</f>
        <v/>
      </c>
      <c r="AA279" s="9">
        <f>(U279*0.4)+(W279*0.3)+(IF(Z279="Critical",10,IF(Z279="High",7,IF(Z279="Medium",4,1)))*0.2)+(IF(Y279="YES",10,0)*0.1)</f>
        <v/>
      </c>
      <c r="AB279" s="9">
        <f>IF(G279="YES",2.0,0)+IF(H279="YES",2.0,0)</f>
        <v/>
      </c>
      <c r="AC279" s="9" t="n">
        <v>0</v>
      </c>
      <c r="AD279" s="9">
        <f>K279+AB279+AC279</f>
        <v/>
      </c>
      <c r="AE279" s="9">
        <f>(AD279*0.6)+(AA279*0.4)</f>
        <v/>
      </c>
      <c r="AF279">
        <f>IF(AE279&gt;=9,"Critical",IF(AE279&gt;=7,"High",IF(AE279&gt;=4,"Medium","Low")))</f>
        <v/>
      </c>
    </row>
    <row r="280">
      <c r="F280" t="n">
        <v>1</v>
      </c>
      <c r="I280">
        <f>IF(D280="","",TODAY()-D280)</f>
        <v/>
      </c>
      <c r="K280">
        <f>IF(J280="v4.0",L280,IF(J280="v3.1",M280,IF(J280="Both",L280,IF(AND(L280&lt;&gt;"",M280=""),L280,M280))))</f>
        <v/>
      </c>
      <c r="U280">
        <f>IF(T280="Tier 1",10,IF(T280="Tier 2",7,IF(T280="Tier 3",4,IF(T280="Tier 4",1,0))))</f>
        <v/>
      </c>
      <c r="W280">
        <f>IF(V280="Restricted",10,IF(V280="Confidential",7,IF(V280="Internal",4,IF(V280="Public",1,0))))</f>
        <v/>
      </c>
      <c r="AA280" s="9">
        <f>(U280*0.4)+(W280*0.3)+(IF(Z280="Critical",10,IF(Z280="High",7,IF(Z280="Medium",4,1)))*0.2)+(IF(Y280="YES",10,0)*0.1)</f>
        <v/>
      </c>
      <c r="AB280" s="9">
        <f>IF(G280="YES",2.0,0)+IF(H280="YES",2.0,0)</f>
        <v/>
      </c>
      <c r="AC280" s="9" t="n">
        <v>0</v>
      </c>
      <c r="AD280" s="9">
        <f>K280+AB280+AC280</f>
        <v/>
      </c>
      <c r="AE280" s="9">
        <f>(AD280*0.6)+(AA280*0.4)</f>
        <v/>
      </c>
      <c r="AF280">
        <f>IF(AE280&gt;=9,"Critical",IF(AE280&gt;=7,"High",IF(AE280&gt;=4,"Medium","Low")))</f>
        <v/>
      </c>
    </row>
    <row r="281">
      <c r="F281" t="n">
        <v>1</v>
      </c>
      <c r="I281">
        <f>IF(D281="","",TODAY()-D281)</f>
        <v/>
      </c>
      <c r="K281">
        <f>IF(J281="v4.0",L281,IF(J281="v3.1",M281,IF(J281="Both",L281,IF(AND(L281&lt;&gt;"",M281=""),L281,M281))))</f>
        <v/>
      </c>
      <c r="U281">
        <f>IF(T281="Tier 1",10,IF(T281="Tier 2",7,IF(T281="Tier 3",4,IF(T281="Tier 4",1,0))))</f>
        <v/>
      </c>
      <c r="W281">
        <f>IF(V281="Restricted",10,IF(V281="Confidential",7,IF(V281="Internal",4,IF(V281="Public",1,0))))</f>
        <v/>
      </c>
      <c r="AA281" s="9">
        <f>(U281*0.4)+(W281*0.3)+(IF(Z281="Critical",10,IF(Z281="High",7,IF(Z281="Medium",4,1)))*0.2)+(IF(Y281="YES",10,0)*0.1)</f>
        <v/>
      </c>
      <c r="AB281" s="9">
        <f>IF(G281="YES",2.0,0)+IF(H281="YES",2.0,0)</f>
        <v/>
      </c>
      <c r="AC281" s="9" t="n">
        <v>0</v>
      </c>
      <c r="AD281" s="9">
        <f>K281+AB281+AC281</f>
        <v/>
      </c>
      <c r="AE281" s="9">
        <f>(AD281*0.6)+(AA281*0.4)</f>
        <v/>
      </c>
      <c r="AF281">
        <f>IF(AE281&gt;=9,"Critical",IF(AE281&gt;=7,"High",IF(AE281&gt;=4,"Medium","Low")))</f>
        <v/>
      </c>
    </row>
    <row r="282">
      <c r="F282" t="n">
        <v>1</v>
      </c>
      <c r="I282">
        <f>IF(D282="","",TODAY()-D282)</f>
        <v/>
      </c>
      <c r="K282">
        <f>IF(J282="v4.0",L282,IF(J282="v3.1",M282,IF(J282="Both",L282,IF(AND(L282&lt;&gt;"",M282=""),L282,M282))))</f>
        <v/>
      </c>
      <c r="U282">
        <f>IF(T282="Tier 1",10,IF(T282="Tier 2",7,IF(T282="Tier 3",4,IF(T282="Tier 4",1,0))))</f>
        <v/>
      </c>
      <c r="W282">
        <f>IF(V282="Restricted",10,IF(V282="Confidential",7,IF(V282="Internal",4,IF(V282="Public",1,0))))</f>
        <v/>
      </c>
      <c r="AA282" s="9">
        <f>(U282*0.4)+(W282*0.3)+(IF(Z282="Critical",10,IF(Z282="High",7,IF(Z282="Medium",4,1)))*0.2)+(IF(Y282="YES",10,0)*0.1)</f>
        <v/>
      </c>
      <c r="AB282" s="9">
        <f>IF(G282="YES",2.0,0)+IF(H282="YES",2.0,0)</f>
        <v/>
      </c>
      <c r="AC282" s="9" t="n">
        <v>0</v>
      </c>
      <c r="AD282" s="9">
        <f>K282+AB282+AC282</f>
        <v/>
      </c>
      <c r="AE282" s="9">
        <f>(AD282*0.6)+(AA282*0.4)</f>
        <v/>
      </c>
      <c r="AF282">
        <f>IF(AE282&gt;=9,"Critical",IF(AE282&gt;=7,"High",IF(AE282&gt;=4,"Medium","Low")))</f>
        <v/>
      </c>
    </row>
    <row r="283">
      <c r="F283" t="n">
        <v>1</v>
      </c>
      <c r="I283">
        <f>IF(D283="","",TODAY()-D283)</f>
        <v/>
      </c>
      <c r="K283">
        <f>IF(J283="v4.0",L283,IF(J283="v3.1",M283,IF(J283="Both",L283,IF(AND(L283&lt;&gt;"",M283=""),L283,M283))))</f>
        <v/>
      </c>
      <c r="U283">
        <f>IF(T283="Tier 1",10,IF(T283="Tier 2",7,IF(T283="Tier 3",4,IF(T283="Tier 4",1,0))))</f>
        <v/>
      </c>
      <c r="W283">
        <f>IF(V283="Restricted",10,IF(V283="Confidential",7,IF(V283="Internal",4,IF(V283="Public",1,0))))</f>
        <v/>
      </c>
      <c r="AA283" s="9">
        <f>(U283*0.4)+(W283*0.3)+(IF(Z283="Critical",10,IF(Z283="High",7,IF(Z283="Medium",4,1)))*0.2)+(IF(Y283="YES",10,0)*0.1)</f>
        <v/>
      </c>
      <c r="AB283" s="9">
        <f>IF(G283="YES",2.0,0)+IF(H283="YES",2.0,0)</f>
        <v/>
      </c>
      <c r="AC283" s="9" t="n">
        <v>0</v>
      </c>
      <c r="AD283" s="9">
        <f>K283+AB283+AC283</f>
        <v/>
      </c>
      <c r="AE283" s="9">
        <f>(AD283*0.6)+(AA283*0.4)</f>
        <v/>
      </c>
      <c r="AF283">
        <f>IF(AE283&gt;=9,"Critical",IF(AE283&gt;=7,"High",IF(AE283&gt;=4,"Medium","Low")))</f>
        <v/>
      </c>
    </row>
    <row r="284">
      <c r="F284" t="n">
        <v>1</v>
      </c>
      <c r="I284">
        <f>IF(D284="","",TODAY()-D284)</f>
        <v/>
      </c>
      <c r="K284">
        <f>IF(J284="v4.0",L284,IF(J284="v3.1",M284,IF(J284="Both",L284,IF(AND(L284&lt;&gt;"",M284=""),L284,M284))))</f>
        <v/>
      </c>
      <c r="U284">
        <f>IF(T284="Tier 1",10,IF(T284="Tier 2",7,IF(T284="Tier 3",4,IF(T284="Tier 4",1,0))))</f>
        <v/>
      </c>
      <c r="W284">
        <f>IF(V284="Restricted",10,IF(V284="Confidential",7,IF(V284="Internal",4,IF(V284="Public",1,0))))</f>
        <v/>
      </c>
      <c r="AA284" s="9">
        <f>(U284*0.4)+(W284*0.3)+(IF(Z284="Critical",10,IF(Z284="High",7,IF(Z284="Medium",4,1)))*0.2)+(IF(Y284="YES",10,0)*0.1)</f>
        <v/>
      </c>
      <c r="AB284" s="9">
        <f>IF(G284="YES",2.0,0)+IF(H284="YES",2.0,0)</f>
        <v/>
      </c>
      <c r="AC284" s="9" t="n">
        <v>0</v>
      </c>
      <c r="AD284" s="9">
        <f>K284+AB284+AC284</f>
        <v/>
      </c>
      <c r="AE284" s="9">
        <f>(AD284*0.6)+(AA284*0.4)</f>
        <v/>
      </c>
      <c r="AF284">
        <f>IF(AE284&gt;=9,"Critical",IF(AE284&gt;=7,"High",IF(AE284&gt;=4,"Medium","Low")))</f>
        <v/>
      </c>
    </row>
    <row r="285">
      <c r="F285" t="n">
        <v>1</v>
      </c>
      <c r="I285">
        <f>IF(D285="","",TODAY()-D285)</f>
        <v/>
      </c>
      <c r="K285">
        <f>IF(J285="v4.0",L285,IF(J285="v3.1",M285,IF(J285="Both",L285,IF(AND(L285&lt;&gt;"",M285=""),L285,M285))))</f>
        <v/>
      </c>
      <c r="U285">
        <f>IF(T285="Tier 1",10,IF(T285="Tier 2",7,IF(T285="Tier 3",4,IF(T285="Tier 4",1,0))))</f>
        <v/>
      </c>
      <c r="W285">
        <f>IF(V285="Restricted",10,IF(V285="Confidential",7,IF(V285="Internal",4,IF(V285="Public",1,0))))</f>
        <v/>
      </c>
      <c r="AA285" s="9">
        <f>(U285*0.4)+(W285*0.3)+(IF(Z285="Critical",10,IF(Z285="High",7,IF(Z285="Medium",4,1)))*0.2)+(IF(Y285="YES",10,0)*0.1)</f>
        <v/>
      </c>
      <c r="AB285" s="9">
        <f>IF(G285="YES",2.0,0)+IF(H285="YES",2.0,0)</f>
        <v/>
      </c>
      <c r="AC285" s="9" t="n">
        <v>0</v>
      </c>
      <c r="AD285" s="9">
        <f>K285+AB285+AC285</f>
        <v/>
      </c>
      <c r="AE285" s="9">
        <f>(AD285*0.6)+(AA285*0.4)</f>
        <v/>
      </c>
      <c r="AF285">
        <f>IF(AE285&gt;=9,"Critical",IF(AE285&gt;=7,"High",IF(AE285&gt;=4,"Medium","Low")))</f>
        <v/>
      </c>
    </row>
    <row r="286">
      <c r="F286" t="n">
        <v>1</v>
      </c>
      <c r="I286">
        <f>IF(D286="","",TODAY()-D286)</f>
        <v/>
      </c>
      <c r="K286">
        <f>IF(J286="v4.0",L286,IF(J286="v3.1",M286,IF(J286="Both",L286,IF(AND(L286&lt;&gt;"",M286=""),L286,M286))))</f>
        <v/>
      </c>
      <c r="U286">
        <f>IF(T286="Tier 1",10,IF(T286="Tier 2",7,IF(T286="Tier 3",4,IF(T286="Tier 4",1,0))))</f>
        <v/>
      </c>
      <c r="W286">
        <f>IF(V286="Restricted",10,IF(V286="Confidential",7,IF(V286="Internal",4,IF(V286="Public",1,0))))</f>
        <v/>
      </c>
      <c r="AA286" s="9">
        <f>(U286*0.4)+(W286*0.3)+(IF(Z286="Critical",10,IF(Z286="High",7,IF(Z286="Medium",4,1)))*0.2)+(IF(Y286="YES",10,0)*0.1)</f>
        <v/>
      </c>
      <c r="AB286" s="9">
        <f>IF(G286="YES",2.0,0)+IF(H286="YES",2.0,0)</f>
        <v/>
      </c>
      <c r="AC286" s="9" t="n">
        <v>0</v>
      </c>
      <c r="AD286" s="9">
        <f>K286+AB286+AC286</f>
        <v/>
      </c>
      <c r="AE286" s="9">
        <f>(AD286*0.6)+(AA286*0.4)</f>
        <v/>
      </c>
      <c r="AF286">
        <f>IF(AE286&gt;=9,"Critical",IF(AE286&gt;=7,"High",IF(AE286&gt;=4,"Medium","Low")))</f>
        <v/>
      </c>
    </row>
    <row r="287">
      <c r="F287" t="n">
        <v>1</v>
      </c>
      <c r="I287">
        <f>IF(D287="","",TODAY()-D287)</f>
        <v/>
      </c>
      <c r="K287">
        <f>IF(J287="v4.0",L287,IF(J287="v3.1",M287,IF(J287="Both",L287,IF(AND(L287&lt;&gt;"",M287=""),L287,M287))))</f>
        <v/>
      </c>
      <c r="U287">
        <f>IF(T287="Tier 1",10,IF(T287="Tier 2",7,IF(T287="Tier 3",4,IF(T287="Tier 4",1,0))))</f>
        <v/>
      </c>
      <c r="W287">
        <f>IF(V287="Restricted",10,IF(V287="Confidential",7,IF(V287="Internal",4,IF(V287="Public",1,0))))</f>
        <v/>
      </c>
      <c r="AA287" s="9">
        <f>(U287*0.4)+(W287*0.3)+(IF(Z287="Critical",10,IF(Z287="High",7,IF(Z287="Medium",4,1)))*0.2)+(IF(Y287="YES",10,0)*0.1)</f>
        <v/>
      </c>
      <c r="AB287" s="9">
        <f>IF(G287="YES",2.0,0)+IF(H287="YES",2.0,0)</f>
        <v/>
      </c>
      <c r="AC287" s="9" t="n">
        <v>0</v>
      </c>
      <c r="AD287" s="9">
        <f>K287+AB287+AC287</f>
        <v/>
      </c>
      <c r="AE287" s="9">
        <f>(AD287*0.6)+(AA287*0.4)</f>
        <v/>
      </c>
      <c r="AF287">
        <f>IF(AE287&gt;=9,"Critical",IF(AE287&gt;=7,"High",IF(AE287&gt;=4,"Medium","Low")))</f>
        <v/>
      </c>
    </row>
    <row r="288">
      <c r="F288" t="n">
        <v>1</v>
      </c>
      <c r="I288">
        <f>IF(D288="","",TODAY()-D288)</f>
        <v/>
      </c>
      <c r="K288">
        <f>IF(J288="v4.0",L288,IF(J288="v3.1",M288,IF(J288="Both",L288,IF(AND(L288&lt;&gt;"",M288=""),L288,M288))))</f>
        <v/>
      </c>
      <c r="U288">
        <f>IF(T288="Tier 1",10,IF(T288="Tier 2",7,IF(T288="Tier 3",4,IF(T288="Tier 4",1,0))))</f>
        <v/>
      </c>
      <c r="W288">
        <f>IF(V288="Restricted",10,IF(V288="Confidential",7,IF(V288="Internal",4,IF(V288="Public",1,0))))</f>
        <v/>
      </c>
      <c r="AA288" s="9">
        <f>(U288*0.4)+(W288*0.3)+(IF(Z288="Critical",10,IF(Z288="High",7,IF(Z288="Medium",4,1)))*0.2)+(IF(Y288="YES",10,0)*0.1)</f>
        <v/>
      </c>
      <c r="AB288" s="9">
        <f>IF(G288="YES",2.0,0)+IF(H288="YES",2.0,0)</f>
        <v/>
      </c>
      <c r="AC288" s="9" t="n">
        <v>0</v>
      </c>
      <c r="AD288" s="9">
        <f>K288+AB288+AC288</f>
        <v/>
      </c>
      <c r="AE288" s="9">
        <f>(AD288*0.6)+(AA288*0.4)</f>
        <v/>
      </c>
      <c r="AF288">
        <f>IF(AE288&gt;=9,"Critical",IF(AE288&gt;=7,"High",IF(AE288&gt;=4,"Medium","Low")))</f>
        <v/>
      </c>
    </row>
    <row r="289">
      <c r="F289" t="n">
        <v>1</v>
      </c>
      <c r="I289">
        <f>IF(D289="","",TODAY()-D289)</f>
        <v/>
      </c>
      <c r="K289">
        <f>IF(J289="v4.0",L289,IF(J289="v3.1",M289,IF(J289="Both",L289,IF(AND(L289&lt;&gt;"",M289=""),L289,M289))))</f>
        <v/>
      </c>
      <c r="U289">
        <f>IF(T289="Tier 1",10,IF(T289="Tier 2",7,IF(T289="Tier 3",4,IF(T289="Tier 4",1,0))))</f>
        <v/>
      </c>
      <c r="W289">
        <f>IF(V289="Restricted",10,IF(V289="Confidential",7,IF(V289="Internal",4,IF(V289="Public",1,0))))</f>
        <v/>
      </c>
      <c r="AA289" s="9">
        <f>(U289*0.4)+(W289*0.3)+(IF(Z289="Critical",10,IF(Z289="High",7,IF(Z289="Medium",4,1)))*0.2)+(IF(Y289="YES",10,0)*0.1)</f>
        <v/>
      </c>
      <c r="AB289" s="9">
        <f>IF(G289="YES",2.0,0)+IF(H289="YES",2.0,0)</f>
        <v/>
      </c>
      <c r="AC289" s="9" t="n">
        <v>0</v>
      </c>
      <c r="AD289" s="9">
        <f>K289+AB289+AC289</f>
        <v/>
      </c>
      <c r="AE289" s="9">
        <f>(AD289*0.6)+(AA289*0.4)</f>
        <v/>
      </c>
      <c r="AF289">
        <f>IF(AE289&gt;=9,"Critical",IF(AE289&gt;=7,"High",IF(AE289&gt;=4,"Medium","Low")))</f>
        <v/>
      </c>
    </row>
    <row r="290">
      <c r="F290" t="n">
        <v>1</v>
      </c>
      <c r="I290">
        <f>IF(D290="","",TODAY()-D290)</f>
        <v/>
      </c>
      <c r="K290">
        <f>IF(J290="v4.0",L290,IF(J290="v3.1",M290,IF(J290="Both",L290,IF(AND(L290&lt;&gt;"",M290=""),L290,M290))))</f>
        <v/>
      </c>
      <c r="U290">
        <f>IF(T290="Tier 1",10,IF(T290="Tier 2",7,IF(T290="Tier 3",4,IF(T290="Tier 4",1,0))))</f>
        <v/>
      </c>
      <c r="W290">
        <f>IF(V290="Restricted",10,IF(V290="Confidential",7,IF(V290="Internal",4,IF(V290="Public",1,0))))</f>
        <v/>
      </c>
      <c r="AA290" s="9">
        <f>(U290*0.4)+(W290*0.3)+(IF(Z290="Critical",10,IF(Z290="High",7,IF(Z290="Medium",4,1)))*0.2)+(IF(Y290="YES",10,0)*0.1)</f>
        <v/>
      </c>
      <c r="AB290" s="9">
        <f>IF(G290="YES",2.0,0)+IF(H290="YES",2.0,0)</f>
        <v/>
      </c>
      <c r="AC290" s="9" t="n">
        <v>0</v>
      </c>
      <c r="AD290" s="9">
        <f>K290+AB290+AC290</f>
        <v/>
      </c>
      <c r="AE290" s="9">
        <f>(AD290*0.6)+(AA290*0.4)</f>
        <v/>
      </c>
      <c r="AF290">
        <f>IF(AE290&gt;=9,"Critical",IF(AE290&gt;=7,"High",IF(AE290&gt;=4,"Medium","Low")))</f>
        <v/>
      </c>
    </row>
    <row r="291">
      <c r="F291" t="n">
        <v>1</v>
      </c>
      <c r="I291">
        <f>IF(D291="","",TODAY()-D291)</f>
        <v/>
      </c>
      <c r="K291">
        <f>IF(J291="v4.0",L291,IF(J291="v3.1",M291,IF(J291="Both",L291,IF(AND(L291&lt;&gt;"",M291=""),L291,M291))))</f>
        <v/>
      </c>
      <c r="U291">
        <f>IF(T291="Tier 1",10,IF(T291="Tier 2",7,IF(T291="Tier 3",4,IF(T291="Tier 4",1,0))))</f>
        <v/>
      </c>
      <c r="W291">
        <f>IF(V291="Restricted",10,IF(V291="Confidential",7,IF(V291="Internal",4,IF(V291="Public",1,0))))</f>
        <v/>
      </c>
      <c r="AA291" s="9">
        <f>(U291*0.4)+(W291*0.3)+(IF(Z291="Critical",10,IF(Z291="High",7,IF(Z291="Medium",4,1)))*0.2)+(IF(Y291="YES",10,0)*0.1)</f>
        <v/>
      </c>
      <c r="AB291" s="9">
        <f>IF(G291="YES",2.0,0)+IF(H291="YES",2.0,0)</f>
        <v/>
      </c>
      <c r="AC291" s="9" t="n">
        <v>0</v>
      </c>
      <c r="AD291" s="9">
        <f>K291+AB291+AC291</f>
        <v/>
      </c>
      <c r="AE291" s="9">
        <f>(AD291*0.6)+(AA291*0.4)</f>
        <v/>
      </c>
      <c r="AF291">
        <f>IF(AE291&gt;=9,"Critical",IF(AE291&gt;=7,"High",IF(AE291&gt;=4,"Medium","Low")))</f>
        <v/>
      </c>
    </row>
    <row r="292">
      <c r="F292" t="n">
        <v>1</v>
      </c>
      <c r="I292">
        <f>IF(D292="","",TODAY()-D292)</f>
        <v/>
      </c>
      <c r="K292">
        <f>IF(J292="v4.0",L292,IF(J292="v3.1",M292,IF(J292="Both",L292,IF(AND(L292&lt;&gt;"",M292=""),L292,M292))))</f>
        <v/>
      </c>
      <c r="U292">
        <f>IF(T292="Tier 1",10,IF(T292="Tier 2",7,IF(T292="Tier 3",4,IF(T292="Tier 4",1,0))))</f>
        <v/>
      </c>
      <c r="W292">
        <f>IF(V292="Restricted",10,IF(V292="Confidential",7,IF(V292="Internal",4,IF(V292="Public",1,0))))</f>
        <v/>
      </c>
      <c r="AA292" s="9">
        <f>(U292*0.4)+(W292*0.3)+(IF(Z292="Critical",10,IF(Z292="High",7,IF(Z292="Medium",4,1)))*0.2)+(IF(Y292="YES",10,0)*0.1)</f>
        <v/>
      </c>
      <c r="AB292" s="9">
        <f>IF(G292="YES",2.0,0)+IF(H292="YES",2.0,0)</f>
        <v/>
      </c>
      <c r="AC292" s="9" t="n">
        <v>0</v>
      </c>
      <c r="AD292" s="9">
        <f>K292+AB292+AC292</f>
        <v/>
      </c>
      <c r="AE292" s="9">
        <f>(AD292*0.6)+(AA292*0.4)</f>
        <v/>
      </c>
      <c r="AF292">
        <f>IF(AE292&gt;=9,"Critical",IF(AE292&gt;=7,"High",IF(AE292&gt;=4,"Medium","Low")))</f>
        <v/>
      </c>
    </row>
    <row r="293">
      <c r="F293" t="n">
        <v>1</v>
      </c>
      <c r="I293">
        <f>IF(D293="","",TODAY()-D293)</f>
        <v/>
      </c>
      <c r="K293">
        <f>IF(J293="v4.0",L293,IF(J293="v3.1",M293,IF(J293="Both",L293,IF(AND(L293&lt;&gt;"",M293=""),L293,M293))))</f>
        <v/>
      </c>
      <c r="U293">
        <f>IF(T293="Tier 1",10,IF(T293="Tier 2",7,IF(T293="Tier 3",4,IF(T293="Tier 4",1,0))))</f>
        <v/>
      </c>
      <c r="W293">
        <f>IF(V293="Restricted",10,IF(V293="Confidential",7,IF(V293="Internal",4,IF(V293="Public",1,0))))</f>
        <v/>
      </c>
      <c r="AA293" s="9">
        <f>(U293*0.4)+(W293*0.3)+(IF(Z293="Critical",10,IF(Z293="High",7,IF(Z293="Medium",4,1)))*0.2)+(IF(Y293="YES",10,0)*0.1)</f>
        <v/>
      </c>
      <c r="AB293" s="9">
        <f>IF(G293="YES",2.0,0)+IF(H293="YES",2.0,0)</f>
        <v/>
      </c>
      <c r="AC293" s="9" t="n">
        <v>0</v>
      </c>
      <c r="AD293" s="9">
        <f>K293+AB293+AC293</f>
        <v/>
      </c>
      <c r="AE293" s="9">
        <f>(AD293*0.6)+(AA293*0.4)</f>
        <v/>
      </c>
      <c r="AF293">
        <f>IF(AE293&gt;=9,"Critical",IF(AE293&gt;=7,"High",IF(AE293&gt;=4,"Medium","Low")))</f>
        <v/>
      </c>
    </row>
    <row r="294">
      <c r="F294" t="n">
        <v>1</v>
      </c>
      <c r="I294">
        <f>IF(D294="","",TODAY()-D294)</f>
        <v/>
      </c>
      <c r="K294">
        <f>IF(J294="v4.0",L294,IF(J294="v3.1",M294,IF(J294="Both",L294,IF(AND(L294&lt;&gt;"",M294=""),L294,M294))))</f>
        <v/>
      </c>
      <c r="U294">
        <f>IF(T294="Tier 1",10,IF(T294="Tier 2",7,IF(T294="Tier 3",4,IF(T294="Tier 4",1,0))))</f>
        <v/>
      </c>
      <c r="W294">
        <f>IF(V294="Restricted",10,IF(V294="Confidential",7,IF(V294="Internal",4,IF(V294="Public",1,0))))</f>
        <v/>
      </c>
      <c r="AA294" s="9">
        <f>(U294*0.4)+(W294*0.3)+(IF(Z294="Critical",10,IF(Z294="High",7,IF(Z294="Medium",4,1)))*0.2)+(IF(Y294="YES",10,0)*0.1)</f>
        <v/>
      </c>
      <c r="AB294" s="9">
        <f>IF(G294="YES",2.0,0)+IF(H294="YES",2.0,0)</f>
        <v/>
      </c>
      <c r="AC294" s="9" t="n">
        <v>0</v>
      </c>
      <c r="AD294" s="9">
        <f>K294+AB294+AC294</f>
        <v/>
      </c>
      <c r="AE294" s="9">
        <f>(AD294*0.6)+(AA294*0.4)</f>
        <v/>
      </c>
      <c r="AF294">
        <f>IF(AE294&gt;=9,"Critical",IF(AE294&gt;=7,"High",IF(AE294&gt;=4,"Medium","Low")))</f>
        <v/>
      </c>
    </row>
    <row r="295">
      <c r="F295" t="n">
        <v>1</v>
      </c>
      <c r="I295">
        <f>IF(D295="","",TODAY()-D295)</f>
        <v/>
      </c>
      <c r="K295">
        <f>IF(J295="v4.0",L295,IF(J295="v3.1",M295,IF(J295="Both",L295,IF(AND(L295&lt;&gt;"",M295=""),L295,M295))))</f>
        <v/>
      </c>
      <c r="U295">
        <f>IF(T295="Tier 1",10,IF(T295="Tier 2",7,IF(T295="Tier 3",4,IF(T295="Tier 4",1,0))))</f>
        <v/>
      </c>
      <c r="W295">
        <f>IF(V295="Restricted",10,IF(V295="Confidential",7,IF(V295="Internal",4,IF(V295="Public",1,0))))</f>
        <v/>
      </c>
      <c r="AA295" s="9">
        <f>(U295*0.4)+(W295*0.3)+(IF(Z295="Critical",10,IF(Z295="High",7,IF(Z295="Medium",4,1)))*0.2)+(IF(Y295="YES",10,0)*0.1)</f>
        <v/>
      </c>
      <c r="AB295" s="9">
        <f>IF(G295="YES",2.0,0)+IF(H295="YES",2.0,0)</f>
        <v/>
      </c>
      <c r="AC295" s="9" t="n">
        <v>0</v>
      </c>
      <c r="AD295" s="9">
        <f>K295+AB295+AC295</f>
        <v/>
      </c>
      <c r="AE295" s="9">
        <f>(AD295*0.6)+(AA295*0.4)</f>
        <v/>
      </c>
      <c r="AF295">
        <f>IF(AE295&gt;=9,"Critical",IF(AE295&gt;=7,"High",IF(AE295&gt;=4,"Medium","Low")))</f>
        <v/>
      </c>
    </row>
    <row r="296">
      <c r="F296" t="n">
        <v>1</v>
      </c>
      <c r="I296">
        <f>IF(D296="","",TODAY()-D296)</f>
        <v/>
      </c>
      <c r="K296">
        <f>IF(J296="v4.0",L296,IF(J296="v3.1",M296,IF(J296="Both",L296,IF(AND(L296&lt;&gt;"",M296=""),L296,M296))))</f>
        <v/>
      </c>
      <c r="U296">
        <f>IF(T296="Tier 1",10,IF(T296="Tier 2",7,IF(T296="Tier 3",4,IF(T296="Tier 4",1,0))))</f>
        <v/>
      </c>
      <c r="W296">
        <f>IF(V296="Restricted",10,IF(V296="Confidential",7,IF(V296="Internal",4,IF(V296="Public",1,0))))</f>
        <v/>
      </c>
      <c r="AA296" s="9">
        <f>(U296*0.4)+(W296*0.3)+(IF(Z296="Critical",10,IF(Z296="High",7,IF(Z296="Medium",4,1)))*0.2)+(IF(Y296="YES",10,0)*0.1)</f>
        <v/>
      </c>
      <c r="AB296" s="9">
        <f>IF(G296="YES",2.0,0)+IF(H296="YES",2.0,0)</f>
        <v/>
      </c>
      <c r="AC296" s="9" t="n">
        <v>0</v>
      </c>
      <c r="AD296" s="9">
        <f>K296+AB296+AC296</f>
        <v/>
      </c>
      <c r="AE296" s="9">
        <f>(AD296*0.6)+(AA296*0.4)</f>
        <v/>
      </c>
      <c r="AF296">
        <f>IF(AE296&gt;=9,"Critical",IF(AE296&gt;=7,"High",IF(AE296&gt;=4,"Medium","Low")))</f>
        <v/>
      </c>
    </row>
    <row r="297">
      <c r="F297" t="n">
        <v>1</v>
      </c>
      <c r="I297">
        <f>IF(D297="","",TODAY()-D297)</f>
        <v/>
      </c>
      <c r="K297">
        <f>IF(J297="v4.0",L297,IF(J297="v3.1",M297,IF(J297="Both",L297,IF(AND(L297&lt;&gt;"",M297=""),L297,M297))))</f>
        <v/>
      </c>
      <c r="U297">
        <f>IF(T297="Tier 1",10,IF(T297="Tier 2",7,IF(T297="Tier 3",4,IF(T297="Tier 4",1,0))))</f>
        <v/>
      </c>
      <c r="W297">
        <f>IF(V297="Restricted",10,IF(V297="Confidential",7,IF(V297="Internal",4,IF(V297="Public",1,0))))</f>
        <v/>
      </c>
      <c r="AA297" s="9">
        <f>(U297*0.4)+(W297*0.3)+(IF(Z297="Critical",10,IF(Z297="High",7,IF(Z297="Medium",4,1)))*0.2)+(IF(Y297="YES",10,0)*0.1)</f>
        <v/>
      </c>
      <c r="AB297" s="9">
        <f>IF(G297="YES",2.0,0)+IF(H297="YES",2.0,0)</f>
        <v/>
      </c>
      <c r="AC297" s="9" t="n">
        <v>0</v>
      </c>
      <c r="AD297" s="9">
        <f>K297+AB297+AC297</f>
        <v/>
      </c>
      <c r="AE297" s="9">
        <f>(AD297*0.6)+(AA297*0.4)</f>
        <v/>
      </c>
      <c r="AF297">
        <f>IF(AE297&gt;=9,"Critical",IF(AE297&gt;=7,"High",IF(AE297&gt;=4,"Medium","Low")))</f>
        <v/>
      </c>
    </row>
    <row r="298">
      <c r="F298" t="n">
        <v>1</v>
      </c>
      <c r="I298">
        <f>IF(D298="","",TODAY()-D298)</f>
        <v/>
      </c>
      <c r="K298">
        <f>IF(J298="v4.0",L298,IF(J298="v3.1",M298,IF(J298="Both",L298,IF(AND(L298&lt;&gt;"",M298=""),L298,M298))))</f>
        <v/>
      </c>
      <c r="U298">
        <f>IF(T298="Tier 1",10,IF(T298="Tier 2",7,IF(T298="Tier 3",4,IF(T298="Tier 4",1,0))))</f>
        <v/>
      </c>
      <c r="W298">
        <f>IF(V298="Restricted",10,IF(V298="Confidential",7,IF(V298="Internal",4,IF(V298="Public",1,0))))</f>
        <v/>
      </c>
      <c r="AA298" s="9">
        <f>(U298*0.4)+(W298*0.3)+(IF(Z298="Critical",10,IF(Z298="High",7,IF(Z298="Medium",4,1)))*0.2)+(IF(Y298="YES",10,0)*0.1)</f>
        <v/>
      </c>
      <c r="AB298" s="9">
        <f>IF(G298="YES",2.0,0)+IF(H298="YES",2.0,0)</f>
        <v/>
      </c>
      <c r="AC298" s="9" t="n">
        <v>0</v>
      </c>
      <c r="AD298" s="9">
        <f>K298+AB298+AC298</f>
        <v/>
      </c>
      <c r="AE298" s="9">
        <f>(AD298*0.6)+(AA298*0.4)</f>
        <v/>
      </c>
      <c r="AF298">
        <f>IF(AE298&gt;=9,"Critical",IF(AE298&gt;=7,"High",IF(AE298&gt;=4,"Medium","Low")))</f>
        <v/>
      </c>
    </row>
    <row r="299">
      <c r="F299" t="n">
        <v>1</v>
      </c>
      <c r="I299">
        <f>IF(D299="","",TODAY()-D299)</f>
        <v/>
      </c>
      <c r="K299">
        <f>IF(J299="v4.0",L299,IF(J299="v3.1",M299,IF(J299="Both",L299,IF(AND(L299&lt;&gt;"",M299=""),L299,M299))))</f>
        <v/>
      </c>
      <c r="U299">
        <f>IF(T299="Tier 1",10,IF(T299="Tier 2",7,IF(T299="Tier 3",4,IF(T299="Tier 4",1,0))))</f>
        <v/>
      </c>
      <c r="W299">
        <f>IF(V299="Restricted",10,IF(V299="Confidential",7,IF(V299="Internal",4,IF(V299="Public",1,0))))</f>
        <v/>
      </c>
      <c r="AA299" s="9">
        <f>(U299*0.4)+(W299*0.3)+(IF(Z299="Critical",10,IF(Z299="High",7,IF(Z299="Medium",4,1)))*0.2)+(IF(Y299="YES",10,0)*0.1)</f>
        <v/>
      </c>
      <c r="AB299" s="9">
        <f>IF(G299="YES",2.0,0)+IF(H299="YES",2.0,0)</f>
        <v/>
      </c>
      <c r="AC299" s="9" t="n">
        <v>0</v>
      </c>
      <c r="AD299" s="9">
        <f>K299+AB299+AC299</f>
        <v/>
      </c>
      <c r="AE299" s="9">
        <f>(AD299*0.6)+(AA299*0.4)</f>
        <v/>
      </c>
      <c r="AF299">
        <f>IF(AE299&gt;=9,"Critical",IF(AE299&gt;=7,"High",IF(AE299&gt;=4,"Medium","Low")))</f>
        <v/>
      </c>
    </row>
    <row r="300">
      <c r="F300" t="n">
        <v>1</v>
      </c>
      <c r="I300">
        <f>IF(D300="","",TODAY()-D300)</f>
        <v/>
      </c>
      <c r="K300">
        <f>IF(J300="v4.0",L300,IF(J300="v3.1",M300,IF(J300="Both",L300,IF(AND(L300&lt;&gt;"",M300=""),L300,M300))))</f>
        <v/>
      </c>
      <c r="U300">
        <f>IF(T300="Tier 1",10,IF(T300="Tier 2",7,IF(T300="Tier 3",4,IF(T300="Tier 4",1,0))))</f>
        <v/>
      </c>
      <c r="W300">
        <f>IF(V300="Restricted",10,IF(V300="Confidential",7,IF(V300="Internal",4,IF(V300="Public",1,0))))</f>
        <v/>
      </c>
      <c r="AA300" s="9">
        <f>(U300*0.4)+(W300*0.3)+(IF(Z300="Critical",10,IF(Z300="High",7,IF(Z300="Medium",4,1)))*0.2)+(IF(Y300="YES",10,0)*0.1)</f>
        <v/>
      </c>
      <c r="AB300" s="9">
        <f>IF(G300="YES",2.0,0)+IF(H300="YES",2.0,0)</f>
        <v/>
      </c>
      <c r="AC300" s="9" t="n">
        <v>0</v>
      </c>
      <c r="AD300" s="9">
        <f>K300+AB300+AC300</f>
        <v/>
      </c>
      <c r="AE300" s="9">
        <f>(AD300*0.6)+(AA300*0.4)</f>
        <v/>
      </c>
      <c r="AF300">
        <f>IF(AE300&gt;=9,"Critical",IF(AE300&gt;=7,"High",IF(AE300&gt;=4,"Medium","Low")))</f>
        <v/>
      </c>
    </row>
    <row r="301">
      <c r="F301" t="n">
        <v>1</v>
      </c>
      <c r="I301">
        <f>IF(D301="","",TODAY()-D301)</f>
        <v/>
      </c>
      <c r="K301">
        <f>IF(J301="v4.0",L301,IF(J301="v3.1",M301,IF(J301="Both",L301,IF(AND(L301&lt;&gt;"",M301=""),L301,M301))))</f>
        <v/>
      </c>
      <c r="U301">
        <f>IF(T301="Tier 1",10,IF(T301="Tier 2",7,IF(T301="Tier 3",4,IF(T301="Tier 4",1,0))))</f>
        <v/>
      </c>
      <c r="W301">
        <f>IF(V301="Restricted",10,IF(V301="Confidential",7,IF(V301="Internal",4,IF(V301="Public",1,0))))</f>
        <v/>
      </c>
      <c r="AA301" s="9">
        <f>(U301*0.4)+(W301*0.3)+(IF(Z301="Critical",10,IF(Z301="High",7,IF(Z301="Medium",4,1)))*0.2)+(IF(Y301="YES",10,0)*0.1)</f>
        <v/>
      </c>
      <c r="AB301" s="9">
        <f>IF(G301="YES",2.0,0)+IF(H301="YES",2.0,0)</f>
        <v/>
      </c>
      <c r="AC301" s="9" t="n">
        <v>0</v>
      </c>
      <c r="AD301" s="9">
        <f>K301+AB301+AC301</f>
        <v/>
      </c>
      <c r="AE301" s="9">
        <f>(AD301*0.6)+(AA301*0.4)</f>
        <v/>
      </c>
      <c r="AF301">
        <f>IF(AE301&gt;=9,"Critical",IF(AE301&gt;=7,"High",IF(AE301&gt;=4,"Medium","Low")))</f>
        <v/>
      </c>
    </row>
    <row r="302">
      <c r="F302" t="n">
        <v>1</v>
      </c>
      <c r="I302">
        <f>IF(D302="","",TODAY()-D302)</f>
        <v/>
      </c>
      <c r="K302">
        <f>IF(J302="v4.0",L302,IF(J302="v3.1",M302,IF(J302="Both",L302,IF(AND(L302&lt;&gt;"",M302=""),L302,M302))))</f>
        <v/>
      </c>
      <c r="U302">
        <f>IF(T302="Tier 1",10,IF(T302="Tier 2",7,IF(T302="Tier 3",4,IF(T302="Tier 4",1,0))))</f>
        <v/>
      </c>
      <c r="W302">
        <f>IF(V302="Restricted",10,IF(V302="Confidential",7,IF(V302="Internal",4,IF(V302="Public",1,0))))</f>
        <v/>
      </c>
      <c r="AA302" s="9">
        <f>(U302*0.4)+(W302*0.3)+(IF(Z302="Critical",10,IF(Z302="High",7,IF(Z302="Medium",4,1)))*0.2)+(IF(Y302="YES",10,0)*0.1)</f>
        <v/>
      </c>
      <c r="AB302" s="9">
        <f>IF(G302="YES",2.0,0)+IF(H302="YES",2.0,0)</f>
        <v/>
      </c>
      <c r="AC302" s="9" t="n">
        <v>0</v>
      </c>
      <c r="AD302" s="9">
        <f>K302+AB302+AC302</f>
        <v/>
      </c>
      <c r="AE302" s="9">
        <f>(AD302*0.6)+(AA302*0.4)</f>
        <v/>
      </c>
      <c r="AF302">
        <f>IF(AE302&gt;=9,"Critical",IF(AE302&gt;=7,"High",IF(AE302&gt;=4,"Medium","Low")))</f>
        <v/>
      </c>
    </row>
    <row r="303">
      <c r="F303" t="n">
        <v>1</v>
      </c>
      <c r="I303">
        <f>IF(D303="","",TODAY()-D303)</f>
        <v/>
      </c>
      <c r="K303">
        <f>IF(J303="v4.0",L303,IF(J303="v3.1",M303,IF(J303="Both",L303,IF(AND(L303&lt;&gt;"",M303=""),L303,M303))))</f>
        <v/>
      </c>
      <c r="U303">
        <f>IF(T303="Tier 1",10,IF(T303="Tier 2",7,IF(T303="Tier 3",4,IF(T303="Tier 4",1,0))))</f>
        <v/>
      </c>
      <c r="W303">
        <f>IF(V303="Restricted",10,IF(V303="Confidential",7,IF(V303="Internal",4,IF(V303="Public",1,0))))</f>
        <v/>
      </c>
      <c r="AA303" s="9">
        <f>(U303*0.4)+(W303*0.3)+(IF(Z303="Critical",10,IF(Z303="High",7,IF(Z303="Medium",4,1)))*0.2)+(IF(Y303="YES",10,0)*0.1)</f>
        <v/>
      </c>
      <c r="AB303" s="9">
        <f>IF(G303="YES",2.0,0)+IF(H303="YES",2.0,0)</f>
        <v/>
      </c>
      <c r="AC303" s="9" t="n">
        <v>0</v>
      </c>
      <c r="AD303" s="9">
        <f>K303+AB303+AC303</f>
        <v/>
      </c>
      <c r="AE303" s="9">
        <f>(AD303*0.6)+(AA303*0.4)</f>
        <v/>
      </c>
      <c r="AF303">
        <f>IF(AE303&gt;=9,"Critical",IF(AE303&gt;=7,"High",IF(AE303&gt;=4,"Medium","Low")))</f>
        <v/>
      </c>
    </row>
    <row r="304">
      <c r="F304" t="n">
        <v>1</v>
      </c>
      <c r="I304">
        <f>IF(D304="","",TODAY()-D304)</f>
        <v/>
      </c>
      <c r="K304">
        <f>IF(J304="v4.0",L304,IF(J304="v3.1",M304,IF(J304="Both",L304,IF(AND(L304&lt;&gt;"",M304=""),L304,M304))))</f>
        <v/>
      </c>
      <c r="U304">
        <f>IF(T304="Tier 1",10,IF(T304="Tier 2",7,IF(T304="Tier 3",4,IF(T304="Tier 4",1,0))))</f>
        <v/>
      </c>
      <c r="W304">
        <f>IF(V304="Restricted",10,IF(V304="Confidential",7,IF(V304="Internal",4,IF(V304="Public",1,0))))</f>
        <v/>
      </c>
      <c r="AA304" s="9">
        <f>(U304*0.4)+(W304*0.3)+(IF(Z304="Critical",10,IF(Z304="High",7,IF(Z304="Medium",4,1)))*0.2)+(IF(Y304="YES",10,0)*0.1)</f>
        <v/>
      </c>
      <c r="AB304" s="9">
        <f>IF(G304="YES",2.0,0)+IF(H304="YES",2.0,0)</f>
        <v/>
      </c>
      <c r="AC304" s="9" t="n">
        <v>0</v>
      </c>
      <c r="AD304" s="9">
        <f>K304+AB304+AC304</f>
        <v/>
      </c>
      <c r="AE304" s="9">
        <f>(AD304*0.6)+(AA304*0.4)</f>
        <v/>
      </c>
      <c r="AF304">
        <f>IF(AE304&gt;=9,"Critical",IF(AE304&gt;=7,"High",IF(AE304&gt;=4,"Medium","Low")))</f>
        <v/>
      </c>
    </row>
    <row r="305">
      <c r="F305" t="n">
        <v>1</v>
      </c>
      <c r="I305">
        <f>IF(D305="","",TODAY()-D305)</f>
        <v/>
      </c>
      <c r="K305">
        <f>IF(J305="v4.0",L305,IF(J305="v3.1",M305,IF(J305="Both",L305,IF(AND(L305&lt;&gt;"",M305=""),L305,M305))))</f>
        <v/>
      </c>
      <c r="U305">
        <f>IF(T305="Tier 1",10,IF(T305="Tier 2",7,IF(T305="Tier 3",4,IF(T305="Tier 4",1,0))))</f>
        <v/>
      </c>
      <c r="W305">
        <f>IF(V305="Restricted",10,IF(V305="Confidential",7,IF(V305="Internal",4,IF(V305="Public",1,0))))</f>
        <v/>
      </c>
      <c r="AA305" s="9">
        <f>(U305*0.4)+(W305*0.3)+(IF(Z305="Critical",10,IF(Z305="High",7,IF(Z305="Medium",4,1)))*0.2)+(IF(Y305="YES",10,0)*0.1)</f>
        <v/>
      </c>
      <c r="AB305" s="9">
        <f>IF(G305="YES",2.0,0)+IF(H305="YES",2.0,0)</f>
        <v/>
      </c>
      <c r="AC305" s="9" t="n">
        <v>0</v>
      </c>
      <c r="AD305" s="9">
        <f>K305+AB305+AC305</f>
        <v/>
      </c>
      <c r="AE305" s="9">
        <f>(AD305*0.6)+(AA305*0.4)</f>
        <v/>
      </c>
      <c r="AF305">
        <f>IF(AE305&gt;=9,"Critical",IF(AE305&gt;=7,"High",IF(AE305&gt;=4,"Medium","Low")))</f>
        <v/>
      </c>
    </row>
    <row r="306">
      <c r="F306" t="n">
        <v>1</v>
      </c>
      <c r="I306">
        <f>IF(D306="","",TODAY()-D306)</f>
        <v/>
      </c>
      <c r="K306">
        <f>IF(J306="v4.0",L306,IF(J306="v3.1",M306,IF(J306="Both",L306,IF(AND(L306&lt;&gt;"",M306=""),L306,M306))))</f>
        <v/>
      </c>
      <c r="U306">
        <f>IF(T306="Tier 1",10,IF(T306="Tier 2",7,IF(T306="Tier 3",4,IF(T306="Tier 4",1,0))))</f>
        <v/>
      </c>
      <c r="W306">
        <f>IF(V306="Restricted",10,IF(V306="Confidential",7,IF(V306="Internal",4,IF(V306="Public",1,0))))</f>
        <v/>
      </c>
      <c r="AA306" s="9">
        <f>(U306*0.4)+(W306*0.3)+(IF(Z306="Critical",10,IF(Z306="High",7,IF(Z306="Medium",4,1)))*0.2)+(IF(Y306="YES",10,0)*0.1)</f>
        <v/>
      </c>
      <c r="AB306" s="9">
        <f>IF(G306="YES",2.0,0)+IF(H306="YES",2.0,0)</f>
        <v/>
      </c>
      <c r="AC306" s="9" t="n">
        <v>0</v>
      </c>
      <c r="AD306" s="9">
        <f>K306+AB306+AC306</f>
        <v/>
      </c>
      <c r="AE306" s="9">
        <f>(AD306*0.6)+(AA306*0.4)</f>
        <v/>
      </c>
      <c r="AF306">
        <f>IF(AE306&gt;=9,"Critical",IF(AE306&gt;=7,"High",IF(AE306&gt;=4,"Medium","Low")))</f>
        <v/>
      </c>
    </row>
    <row r="307">
      <c r="F307" t="n">
        <v>1</v>
      </c>
      <c r="I307">
        <f>IF(D307="","",TODAY()-D307)</f>
        <v/>
      </c>
      <c r="K307">
        <f>IF(J307="v4.0",L307,IF(J307="v3.1",M307,IF(J307="Both",L307,IF(AND(L307&lt;&gt;"",M307=""),L307,M307))))</f>
        <v/>
      </c>
      <c r="U307">
        <f>IF(T307="Tier 1",10,IF(T307="Tier 2",7,IF(T307="Tier 3",4,IF(T307="Tier 4",1,0))))</f>
        <v/>
      </c>
      <c r="W307">
        <f>IF(V307="Restricted",10,IF(V307="Confidential",7,IF(V307="Internal",4,IF(V307="Public",1,0))))</f>
        <v/>
      </c>
      <c r="AA307" s="9">
        <f>(U307*0.4)+(W307*0.3)+(IF(Z307="Critical",10,IF(Z307="High",7,IF(Z307="Medium",4,1)))*0.2)+(IF(Y307="YES",10,0)*0.1)</f>
        <v/>
      </c>
      <c r="AB307" s="9">
        <f>IF(G307="YES",2.0,0)+IF(H307="YES",2.0,0)</f>
        <v/>
      </c>
      <c r="AC307" s="9" t="n">
        <v>0</v>
      </c>
      <c r="AD307" s="9">
        <f>K307+AB307+AC307</f>
        <v/>
      </c>
      <c r="AE307" s="9">
        <f>(AD307*0.6)+(AA307*0.4)</f>
        <v/>
      </c>
      <c r="AF307">
        <f>IF(AE307&gt;=9,"Critical",IF(AE307&gt;=7,"High",IF(AE307&gt;=4,"Medium","Low")))</f>
        <v/>
      </c>
    </row>
    <row r="308">
      <c r="F308" t="n">
        <v>1</v>
      </c>
      <c r="I308">
        <f>IF(D308="","",TODAY()-D308)</f>
        <v/>
      </c>
      <c r="K308">
        <f>IF(J308="v4.0",L308,IF(J308="v3.1",M308,IF(J308="Both",L308,IF(AND(L308&lt;&gt;"",M308=""),L308,M308))))</f>
        <v/>
      </c>
      <c r="U308">
        <f>IF(T308="Tier 1",10,IF(T308="Tier 2",7,IF(T308="Tier 3",4,IF(T308="Tier 4",1,0))))</f>
        <v/>
      </c>
      <c r="W308">
        <f>IF(V308="Restricted",10,IF(V308="Confidential",7,IF(V308="Internal",4,IF(V308="Public",1,0))))</f>
        <v/>
      </c>
      <c r="AA308" s="9">
        <f>(U308*0.4)+(W308*0.3)+(IF(Z308="Critical",10,IF(Z308="High",7,IF(Z308="Medium",4,1)))*0.2)+(IF(Y308="YES",10,0)*0.1)</f>
        <v/>
      </c>
      <c r="AB308" s="9">
        <f>IF(G308="YES",2.0,0)+IF(H308="YES",2.0,0)</f>
        <v/>
      </c>
      <c r="AC308" s="9" t="n">
        <v>0</v>
      </c>
      <c r="AD308" s="9">
        <f>K308+AB308+AC308</f>
        <v/>
      </c>
      <c r="AE308" s="9">
        <f>(AD308*0.6)+(AA308*0.4)</f>
        <v/>
      </c>
      <c r="AF308">
        <f>IF(AE308&gt;=9,"Critical",IF(AE308&gt;=7,"High",IF(AE308&gt;=4,"Medium","Low")))</f>
        <v/>
      </c>
    </row>
    <row r="309">
      <c r="F309" t="n">
        <v>1</v>
      </c>
      <c r="I309">
        <f>IF(D309="","",TODAY()-D309)</f>
        <v/>
      </c>
      <c r="K309">
        <f>IF(J309="v4.0",L309,IF(J309="v3.1",M309,IF(J309="Both",L309,IF(AND(L309&lt;&gt;"",M309=""),L309,M309))))</f>
        <v/>
      </c>
      <c r="U309">
        <f>IF(T309="Tier 1",10,IF(T309="Tier 2",7,IF(T309="Tier 3",4,IF(T309="Tier 4",1,0))))</f>
        <v/>
      </c>
      <c r="W309">
        <f>IF(V309="Restricted",10,IF(V309="Confidential",7,IF(V309="Internal",4,IF(V309="Public",1,0))))</f>
        <v/>
      </c>
      <c r="AA309" s="9">
        <f>(U309*0.4)+(W309*0.3)+(IF(Z309="Critical",10,IF(Z309="High",7,IF(Z309="Medium",4,1)))*0.2)+(IF(Y309="YES",10,0)*0.1)</f>
        <v/>
      </c>
      <c r="AB309" s="9">
        <f>IF(G309="YES",2.0,0)+IF(H309="YES",2.0,0)</f>
        <v/>
      </c>
      <c r="AC309" s="9" t="n">
        <v>0</v>
      </c>
      <c r="AD309" s="9">
        <f>K309+AB309+AC309</f>
        <v/>
      </c>
      <c r="AE309" s="9">
        <f>(AD309*0.6)+(AA309*0.4)</f>
        <v/>
      </c>
      <c r="AF309">
        <f>IF(AE309&gt;=9,"Critical",IF(AE309&gt;=7,"High",IF(AE309&gt;=4,"Medium","Low")))</f>
        <v/>
      </c>
    </row>
    <row r="310">
      <c r="F310" t="n">
        <v>1</v>
      </c>
      <c r="I310">
        <f>IF(D310="","",TODAY()-D310)</f>
        <v/>
      </c>
      <c r="K310">
        <f>IF(J310="v4.0",L310,IF(J310="v3.1",M310,IF(J310="Both",L310,IF(AND(L310&lt;&gt;"",M310=""),L310,M310))))</f>
        <v/>
      </c>
      <c r="U310">
        <f>IF(T310="Tier 1",10,IF(T310="Tier 2",7,IF(T310="Tier 3",4,IF(T310="Tier 4",1,0))))</f>
        <v/>
      </c>
      <c r="W310">
        <f>IF(V310="Restricted",10,IF(V310="Confidential",7,IF(V310="Internal",4,IF(V310="Public",1,0))))</f>
        <v/>
      </c>
      <c r="AA310" s="9">
        <f>(U310*0.4)+(W310*0.3)+(IF(Z310="Critical",10,IF(Z310="High",7,IF(Z310="Medium",4,1)))*0.2)+(IF(Y310="YES",10,0)*0.1)</f>
        <v/>
      </c>
      <c r="AB310" s="9">
        <f>IF(G310="YES",2.0,0)+IF(H310="YES",2.0,0)</f>
        <v/>
      </c>
      <c r="AC310" s="9" t="n">
        <v>0</v>
      </c>
      <c r="AD310" s="9">
        <f>K310+AB310+AC310</f>
        <v/>
      </c>
      <c r="AE310" s="9">
        <f>(AD310*0.6)+(AA310*0.4)</f>
        <v/>
      </c>
      <c r="AF310">
        <f>IF(AE310&gt;=9,"Critical",IF(AE310&gt;=7,"High",IF(AE310&gt;=4,"Medium","Low")))</f>
        <v/>
      </c>
    </row>
    <row r="311">
      <c r="F311" t="n">
        <v>1</v>
      </c>
      <c r="I311">
        <f>IF(D311="","",TODAY()-D311)</f>
        <v/>
      </c>
      <c r="K311">
        <f>IF(J311="v4.0",L311,IF(J311="v3.1",M311,IF(J311="Both",L311,IF(AND(L311&lt;&gt;"",M311=""),L311,M311))))</f>
        <v/>
      </c>
      <c r="U311">
        <f>IF(T311="Tier 1",10,IF(T311="Tier 2",7,IF(T311="Tier 3",4,IF(T311="Tier 4",1,0))))</f>
        <v/>
      </c>
      <c r="W311">
        <f>IF(V311="Restricted",10,IF(V311="Confidential",7,IF(V311="Internal",4,IF(V311="Public",1,0))))</f>
        <v/>
      </c>
      <c r="AA311" s="9">
        <f>(U311*0.4)+(W311*0.3)+(IF(Z311="Critical",10,IF(Z311="High",7,IF(Z311="Medium",4,1)))*0.2)+(IF(Y311="YES",10,0)*0.1)</f>
        <v/>
      </c>
      <c r="AB311" s="9">
        <f>IF(G311="YES",2.0,0)+IF(H311="YES",2.0,0)</f>
        <v/>
      </c>
      <c r="AC311" s="9" t="n">
        <v>0</v>
      </c>
      <c r="AD311" s="9">
        <f>K311+AB311+AC311</f>
        <v/>
      </c>
      <c r="AE311" s="9">
        <f>(AD311*0.6)+(AA311*0.4)</f>
        <v/>
      </c>
      <c r="AF311">
        <f>IF(AE311&gt;=9,"Critical",IF(AE311&gt;=7,"High",IF(AE311&gt;=4,"Medium","Low")))</f>
        <v/>
      </c>
    </row>
    <row r="312">
      <c r="F312" t="n">
        <v>1</v>
      </c>
      <c r="I312">
        <f>IF(D312="","",TODAY()-D312)</f>
        <v/>
      </c>
      <c r="K312">
        <f>IF(J312="v4.0",L312,IF(J312="v3.1",M312,IF(J312="Both",L312,IF(AND(L312&lt;&gt;"",M312=""),L312,M312))))</f>
        <v/>
      </c>
      <c r="U312">
        <f>IF(T312="Tier 1",10,IF(T312="Tier 2",7,IF(T312="Tier 3",4,IF(T312="Tier 4",1,0))))</f>
        <v/>
      </c>
      <c r="W312">
        <f>IF(V312="Restricted",10,IF(V312="Confidential",7,IF(V312="Internal",4,IF(V312="Public",1,0))))</f>
        <v/>
      </c>
      <c r="AA312" s="9">
        <f>(U312*0.4)+(W312*0.3)+(IF(Z312="Critical",10,IF(Z312="High",7,IF(Z312="Medium",4,1)))*0.2)+(IF(Y312="YES",10,0)*0.1)</f>
        <v/>
      </c>
      <c r="AB312" s="9">
        <f>IF(G312="YES",2.0,0)+IF(H312="YES",2.0,0)</f>
        <v/>
      </c>
      <c r="AC312" s="9" t="n">
        <v>0</v>
      </c>
      <c r="AD312" s="9">
        <f>K312+AB312+AC312</f>
        <v/>
      </c>
      <c r="AE312" s="9">
        <f>(AD312*0.6)+(AA312*0.4)</f>
        <v/>
      </c>
      <c r="AF312">
        <f>IF(AE312&gt;=9,"Critical",IF(AE312&gt;=7,"High",IF(AE312&gt;=4,"Medium","Low")))</f>
        <v/>
      </c>
    </row>
    <row r="313">
      <c r="F313" t="n">
        <v>1</v>
      </c>
      <c r="I313">
        <f>IF(D313="","",TODAY()-D313)</f>
        <v/>
      </c>
      <c r="K313">
        <f>IF(J313="v4.0",L313,IF(J313="v3.1",M313,IF(J313="Both",L313,IF(AND(L313&lt;&gt;"",M313=""),L313,M313))))</f>
        <v/>
      </c>
      <c r="U313">
        <f>IF(T313="Tier 1",10,IF(T313="Tier 2",7,IF(T313="Tier 3",4,IF(T313="Tier 4",1,0))))</f>
        <v/>
      </c>
      <c r="W313">
        <f>IF(V313="Restricted",10,IF(V313="Confidential",7,IF(V313="Internal",4,IF(V313="Public",1,0))))</f>
        <v/>
      </c>
      <c r="AA313" s="9">
        <f>(U313*0.4)+(W313*0.3)+(IF(Z313="Critical",10,IF(Z313="High",7,IF(Z313="Medium",4,1)))*0.2)+(IF(Y313="YES",10,0)*0.1)</f>
        <v/>
      </c>
      <c r="AB313" s="9">
        <f>IF(G313="YES",2.0,0)+IF(H313="YES",2.0,0)</f>
        <v/>
      </c>
      <c r="AC313" s="9" t="n">
        <v>0</v>
      </c>
      <c r="AD313" s="9">
        <f>K313+AB313+AC313</f>
        <v/>
      </c>
      <c r="AE313" s="9">
        <f>(AD313*0.6)+(AA313*0.4)</f>
        <v/>
      </c>
      <c r="AF313">
        <f>IF(AE313&gt;=9,"Critical",IF(AE313&gt;=7,"High",IF(AE313&gt;=4,"Medium","Low")))</f>
        <v/>
      </c>
    </row>
    <row r="314">
      <c r="F314" t="n">
        <v>1</v>
      </c>
      <c r="I314">
        <f>IF(D314="","",TODAY()-D314)</f>
        <v/>
      </c>
      <c r="K314">
        <f>IF(J314="v4.0",L314,IF(J314="v3.1",M314,IF(J314="Both",L314,IF(AND(L314&lt;&gt;"",M314=""),L314,M314))))</f>
        <v/>
      </c>
      <c r="U314">
        <f>IF(T314="Tier 1",10,IF(T314="Tier 2",7,IF(T314="Tier 3",4,IF(T314="Tier 4",1,0))))</f>
        <v/>
      </c>
      <c r="W314">
        <f>IF(V314="Restricted",10,IF(V314="Confidential",7,IF(V314="Internal",4,IF(V314="Public",1,0))))</f>
        <v/>
      </c>
      <c r="AA314" s="9">
        <f>(U314*0.4)+(W314*0.3)+(IF(Z314="Critical",10,IF(Z314="High",7,IF(Z314="Medium",4,1)))*0.2)+(IF(Y314="YES",10,0)*0.1)</f>
        <v/>
      </c>
      <c r="AB314" s="9">
        <f>IF(G314="YES",2.0,0)+IF(H314="YES",2.0,0)</f>
        <v/>
      </c>
      <c r="AC314" s="9" t="n">
        <v>0</v>
      </c>
      <c r="AD314" s="9">
        <f>K314+AB314+AC314</f>
        <v/>
      </c>
      <c r="AE314" s="9">
        <f>(AD314*0.6)+(AA314*0.4)</f>
        <v/>
      </c>
      <c r="AF314">
        <f>IF(AE314&gt;=9,"Critical",IF(AE314&gt;=7,"High",IF(AE314&gt;=4,"Medium","Low")))</f>
        <v/>
      </c>
    </row>
    <row r="315">
      <c r="F315" t="n">
        <v>1</v>
      </c>
      <c r="I315">
        <f>IF(D315="","",TODAY()-D315)</f>
        <v/>
      </c>
      <c r="K315">
        <f>IF(J315="v4.0",L315,IF(J315="v3.1",M315,IF(J315="Both",L315,IF(AND(L315&lt;&gt;"",M315=""),L315,M315))))</f>
        <v/>
      </c>
      <c r="U315">
        <f>IF(T315="Tier 1",10,IF(T315="Tier 2",7,IF(T315="Tier 3",4,IF(T315="Tier 4",1,0))))</f>
        <v/>
      </c>
      <c r="W315">
        <f>IF(V315="Restricted",10,IF(V315="Confidential",7,IF(V315="Internal",4,IF(V315="Public",1,0))))</f>
        <v/>
      </c>
      <c r="AA315" s="9">
        <f>(U315*0.4)+(W315*0.3)+(IF(Z315="Critical",10,IF(Z315="High",7,IF(Z315="Medium",4,1)))*0.2)+(IF(Y315="YES",10,0)*0.1)</f>
        <v/>
      </c>
      <c r="AB315" s="9">
        <f>IF(G315="YES",2.0,0)+IF(H315="YES",2.0,0)</f>
        <v/>
      </c>
      <c r="AC315" s="9" t="n">
        <v>0</v>
      </c>
      <c r="AD315" s="9">
        <f>K315+AB315+AC315</f>
        <v/>
      </c>
      <c r="AE315" s="9">
        <f>(AD315*0.6)+(AA315*0.4)</f>
        <v/>
      </c>
      <c r="AF315">
        <f>IF(AE315&gt;=9,"Critical",IF(AE315&gt;=7,"High",IF(AE315&gt;=4,"Medium","Low")))</f>
        <v/>
      </c>
    </row>
    <row r="316">
      <c r="F316" t="n">
        <v>1</v>
      </c>
      <c r="I316">
        <f>IF(D316="","",TODAY()-D316)</f>
        <v/>
      </c>
      <c r="K316">
        <f>IF(J316="v4.0",L316,IF(J316="v3.1",M316,IF(J316="Both",L316,IF(AND(L316&lt;&gt;"",M316=""),L316,M316))))</f>
        <v/>
      </c>
      <c r="U316">
        <f>IF(T316="Tier 1",10,IF(T316="Tier 2",7,IF(T316="Tier 3",4,IF(T316="Tier 4",1,0))))</f>
        <v/>
      </c>
      <c r="W316">
        <f>IF(V316="Restricted",10,IF(V316="Confidential",7,IF(V316="Internal",4,IF(V316="Public",1,0))))</f>
        <v/>
      </c>
      <c r="AA316" s="9">
        <f>(U316*0.4)+(W316*0.3)+(IF(Z316="Critical",10,IF(Z316="High",7,IF(Z316="Medium",4,1)))*0.2)+(IF(Y316="YES",10,0)*0.1)</f>
        <v/>
      </c>
      <c r="AB316" s="9">
        <f>IF(G316="YES",2.0,0)+IF(H316="YES",2.0,0)</f>
        <v/>
      </c>
      <c r="AC316" s="9" t="n">
        <v>0</v>
      </c>
      <c r="AD316" s="9">
        <f>K316+AB316+AC316</f>
        <v/>
      </c>
      <c r="AE316" s="9">
        <f>(AD316*0.6)+(AA316*0.4)</f>
        <v/>
      </c>
      <c r="AF316">
        <f>IF(AE316&gt;=9,"Critical",IF(AE316&gt;=7,"High",IF(AE316&gt;=4,"Medium","Low")))</f>
        <v/>
      </c>
    </row>
    <row r="317">
      <c r="F317" t="n">
        <v>1</v>
      </c>
      <c r="I317">
        <f>IF(D317="","",TODAY()-D317)</f>
        <v/>
      </c>
      <c r="K317">
        <f>IF(J317="v4.0",L317,IF(J317="v3.1",M317,IF(J317="Both",L317,IF(AND(L317&lt;&gt;"",M317=""),L317,M317))))</f>
        <v/>
      </c>
      <c r="U317">
        <f>IF(T317="Tier 1",10,IF(T317="Tier 2",7,IF(T317="Tier 3",4,IF(T317="Tier 4",1,0))))</f>
        <v/>
      </c>
      <c r="W317">
        <f>IF(V317="Restricted",10,IF(V317="Confidential",7,IF(V317="Internal",4,IF(V317="Public",1,0))))</f>
        <v/>
      </c>
      <c r="AA317" s="9">
        <f>(U317*0.4)+(W317*0.3)+(IF(Z317="Critical",10,IF(Z317="High",7,IF(Z317="Medium",4,1)))*0.2)+(IF(Y317="YES",10,0)*0.1)</f>
        <v/>
      </c>
      <c r="AB317" s="9">
        <f>IF(G317="YES",2.0,0)+IF(H317="YES",2.0,0)</f>
        <v/>
      </c>
      <c r="AC317" s="9" t="n">
        <v>0</v>
      </c>
      <c r="AD317" s="9">
        <f>K317+AB317+AC317</f>
        <v/>
      </c>
      <c r="AE317" s="9">
        <f>(AD317*0.6)+(AA317*0.4)</f>
        <v/>
      </c>
      <c r="AF317">
        <f>IF(AE317&gt;=9,"Critical",IF(AE317&gt;=7,"High",IF(AE317&gt;=4,"Medium","Low")))</f>
        <v/>
      </c>
    </row>
    <row r="318">
      <c r="F318" t="n">
        <v>1</v>
      </c>
      <c r="I318">
        <f>IF(D318="","",TODAY()-D318)</f>
        <v/>
      </c>
      <c r="K318">
        <f>IF(J318="v4.0",L318,IF(J318="v3.1",M318,IF(J318="Both",L318,IF(AND(L318&lt;&gt;"",M318=""),L318,M318))))</f>
        <v/>
      </c>
      <c r="U318">
        <f>IF(T318="Tier 1",10,IF(T318="Tier 2",7,IF(T318="Tier 3",4,IF(T318="Tier 4",1,0))))</f>
        <v/>
      </c>
      <c r="W318">
        <f>IF(V318="Restricted",10,IF(V318="Confidential",7,IF(V318="Internal",4,IF(V318="Public",1,0))))</f>
        <v/>
      </c>
      <c r="AA318" s="9">
        <f>(U318*0.4)+(W318*0.3)+(IF(Z318="Critical",10,IF(Z318="High",7,IF(Z318="Medium",4,1)))*0.2)+(IF(Y318="YES",10,0)*0.1)</f>
        <v/>
      </c>
      <c r="AB318" s="9">
        <f>IF(G318="YES",2.0,0)+IF(H318="YES",2.0,0)</f>
        <v/>
      </c>
      <c r="AC318" s="9" t="n">
        <v>0</v>
      </c>
      <c r="AD318" s="9">
        <f>K318+AB318+AC318</f>
        <v/>
      </c>
      <c r="AE318" s="9">
        <f>(AD318*0.6)+(AA318*0.4)</f>
        <v/>
      </c>
      <c r="AF318">
        <f>IF(AE318&gt;=9,"Critical",IF(AE318&gt;=7,"High",IF(AE318&gt;=4,"Medium","Low")))</f>
        <v/>
      </c>
    </row>
    <row r="319">
      <c r="F319" t="n">
        <v>1</v>
      </c>
      <c r="I319">
        <f>IF(D319="","",TODAY()-D319)</f>
        <v/>
      </c>
      <c r="K319">
        <f>IF(J319="v4.0",L319,IF(J319="v3.1",M319,IF(J319="Both",L319,IF(AND(L319&lt;&gt;"",M319=""),L319,M319))))</f>
        <v/>
      </c>
      <c r="U319">
        <f>IF(T319="Tier 1",10,IF(T319="Tier 2",7,IF(T319="Tier 3",4,IF(T319="Tier 4",1,0))))</f>
        <v/>
      </c>
      <c r="W319">
        <f>IF(V319="Restricted",10,IF(V319="Confidential",7,IF(V319="Internal",4,IF(V319="Public",1,0))))</f>
        <v/>
      </c>
      <c r="AA319" s="9">
        <f>(U319*0.4)+(W319*0.3)+(IF(Z319="Critical",10,IF(Z319="High",7,IF(Z319="Medium",4,1)))*0.2)+(IF(Y319="YES",10,0)*0.1)</f>
        <v/>
      </c>
      <c r="AB319" s="9">
        <f>IF(G319="YES",2.0,0)+IF(H319="YES",2.0,0)</f>
        <v/>
      </c>
      <c r="AC319" s="9" t="n">
        <v>0</v>
      </c>
      <c r="AD319" s="9">
        <f>K319+AB319+AC319</f>
        <v/>
      </c>
      <c r="AE319" s="9">
        <f>(AD319*0.6)+(AA319*0.4)</f>
        <v/>
      </c>
      <c r="AF319">
        <f>IF(AE319&gt;=9,"Critical",IF(AE319&gt;=7,"High",IF(AE319&gt;=4,"Medium","Low")))</f>
        <v/>
      </c>
    </row>
    <row r="320">
      <c r="F320" t="n">
        <v>1</v>
      </c>
      <c r="I320">
        <f>IF(D320="","",TODAY()-D320)</f>
        <v/>
      </c>
      <c r="K320">
        <f>IF(J320="v4.0",L320,IF(J320="v3.1",M320,IF(J320="Both",L320,IF(AND(L320&lt;&gt;"",M320=""),L320,M320))))</f>
        <v/>
      </c>
      <c r="U320">
        <f>IF(T320="Tier 1",10,IF(T320="Tier 2",7,IF(T320="Tier 3",4,IF(T320="Tier 4",1,0))))</f>
        <v/>
      </c>
      <c r="W320">
        <f>IF(V320="Restricted",10,IF(V320="Confidential",7,IF(V320="Internal",4,IF(V320="Public",1,0))))</f>
        <v/>
      </c>
      <c r="AA320" s="9">
        <f>(U320*0.4)+(W320*0.3)+(IF(Z320="Critical",10,IF(Z320="High",7,IF(Z320="Medium",4,1)))*0.2)+(IF(Y320="YES",10,0)*0.1)</f>
        <v/>
      </c>
      <c r="AB320" s="9">
        <f>IF(G320="YES",2.0,0)+IF(H320="YES",2.0,0)</f>
        <v/>
      </c>
      <c r="AC320" s="9" t="n">
        <v>0</v>
      </c>
      <c r="AD320" s="9">
        <f>K320+AB320+AC320</f>
        <v/>
      </c>
      <c r="AE320" s="9">
        <f>(AD320*0.6)+(AA320*0.4)</f>
        <v/>
      </c>
      <c r="AF320">
        <f>IF(AE320&gt;=9,"Critical",IF(AE320&gt;=7,"High",IF(AE320&gt;=4,"Medium","Low")))</f>
        <v/>
      </c>
    </row>
    <row r="321">
      <c r="F321" t="n">
        <v>1</v>
      </c>
      <c r="I321">
        <f>IF(D321="","",TODAY()-D321)</f>
        <v/>
      </c>
      <c r="K321">
        <f>IF(J321="v4.0",L321,IF(J321="v3.1",M321,IF(J321="Both",L321,IF(AND(L321&lt;&gt;"",M321=""),L321,M321))))</f>
        <v/>
      </c>
      <c r="U321">
        <f>IF(T321="Tier 1",10,IF(T321="Tier 2",7,IF(T321="Tier 3",4,IF(T321="Tier 4",1,0))))</f>
        <v/>
      </c>
      <c r="W321">
        <f>IF(V321="Restricted",10,IF(V321="Confidential",7,IF(V321="Internal",4,IF(V321="Public",1,0))))</f>
        <v/>
      </c>
      <c r="AA321" s="9">
        <f>(U321*0.4)+(W321*0.3)+(IF(Z321="Critical",10,IF(Z321="High",7,IF(Z321="Medium",4,1)))*0.2)+(IF(Y321="YES",10,0)*0.1)</f>
        <v/>
      </c>
      <c r="AB321" s="9">
        <f>IF(G321="YES",2.0,0)+IF(H321="YES",2.0,0)</f>
        <v/>
      </c>
      <c r="AC321" s="9" t="n">
        <v>0</v>
      </c>
      <c r="AD321" s="9">
        <f>K321+AB321+AC321</f>
        <v/>
      </c>
      <c r="AE321" s="9">
        <f>(AD321*0.6)+(AA321*0.4)</f>
        <v/>
      </c>
      <c r="AF321">
        <f>IF(AE321&gt;=9,"Critical",IF(AE321&gt;=7,"High",IF(AE321&gt;=4,"Medium","Low")))</f>
        <v/>
      </c>
    </row>
    <row r="322">
      <c r="F322" t="n">
        <v>1</v>
      </c>
      <c r="I322">
        <f>IF(D322="","",TODAY()-D322)</f>
        <v/>
      </c>
      <c r="K322">
        <f>IF(J322="v4.0",L322,IF(J322="v3.1",M322,IF(J322="Both",L322,IF(AND(L322&lt;&gt;"",M322=""),L322,M322))))</f>
        <v/>
      </c>
      <c r="U322">
        <f>IF(T322="Tier 1",10,IF(T322="Tier 2",7,IF(T322="Tier 3",4,IF(T322="Tier 4",1,0))))</f>
        <v/>
      </c>
      <c r="W322">
        <f>IF(V322="Restricted",10,IF(V322="Confidential",7,IF(V322="Internal",4,IF(V322="Public",1,0))))</f>
        <v/>
      </c>
      <c r="AA322" s="9">
        <f>(U322*0.4)+(W322*0.3)+(IF(Z322="Critical",10,IF(Z322="High",7,IF(Z322="Medium",4,1)))*0.2)+(IF(Y322="YES",10,0)*0.1)</f>
        <v/>
      </c>
      <c r="AB322" s="9">
        <f>IF(G322="YES",2.0,0)+IF(H322="YES",2.0,0)</f>
        <v/>
      </c>
      <c r="AC322" s="9" t="n">
        <v>0</v>
      </c>
      <c r="AD322" s="9">
        <f>K322+AB322+AC322</f>
        <v/>
      </c>
      <c r="AE322" s="9">
        <f>(AD322*0.6)+(AA322*0.4)</f>
        <v/>
      </c>
      <c r="AF322">
        <f>IF(AE322&gt;=9,"Critical",IF(AE322&gt;=7,"High",IF(AE322&gt;=4,"Medium","Low")))</f>
        <v/>
      </c>
    </row>
    <row r="323">
      <c r="F323" t="n">
        <v>1</v>
      </c>
      <c r="I323">
        <f>IF(D323="","",TODAY()-D323)</f>
        <v/>
      </c>
      <c r="K323">
        <f>IF(J323="v4.0",L323,IF(J323="v3.1",M323,IF(J323="Both",L323,IF(AND(L323&lt;&gt;"",M323=""),L323,M323))))</f>
        <v/>
      </c>
      <c r="U323">
        <f>IF(T323="Tier 1",10,IF(T323="Tier 2",7,IF(T323="Tier 3",4,IF(T323="Tier 4",1,0))))</f>
        <v/>
      </c>
      <c r="W323">
        <f>IF(V323="Restricted",10,IF(V323="Confidential",7,IF(V323="Internal",4,IF(V323="Public",1,0))))</f>
        <v/>
      </c>
      <c r="AA323" s="9">
        <f>(U323*0.4)+(W323*0.3)+(IF(Z323="Critical",10,IF(Z323="High",7,IF(Z323="Medium",4,1)))*0.2)+(IF(Y323="YES",10,0)*0.1)</f>
        <v/>
      </c>
      <c r="AB323" s="9">
        <f>IF(G323="YES",2.0,0)+IF(H323="YES",2.0,0)</f>
        <v/>
      </c>
      <c r="AC323" s="9" t="n">
        <v>0</v>
      </c>
      <c r="AD323" s="9">
        <f>K323+AB323+AC323</f>
        <v/>
      </c>
      <c r="AE323" s="9">
        <f>(AD323*0.6)+(AA323*0.4)</f>
        <v/>
      </c>
      <c r="AF323">
        <f>IF(AE323&gt;=9,"Critical",IF(AE323&gt;=7,"High",IF(AE323&gt;=4,"Medium","Low")))</f>
        <v/>
      </c>
    </row>
    <row r="324">
      <c r="F324" t="n">
        <v>1</v>
      </c>
      <c r="I324">
        <f>IF(D324="","",TODAY()-D324)</f>
        <v/>
      </c>
      <c r="K324">
        <f>IF(J324="v4.0",L324,IF(J324="v3.1",M324,IF(J324="Both",L324,IF(AND(L324&lt;&gt;"",M324=""),L324,M324))))</f>
        <v/>
      </c>
      <c r="U324">
        <f>IF(T324="Tier 1",10,IF(T324="Tier 2",7,IF(T324="Tier 3",4,IF(T324="Tier 4",1,0))))</f>
        <v/>
      </c>
      <c r="W324">
        <f>IF(V324="Restricted",10,IF(V324="Confidential",7,IF(V324="Internal",4,IF(V324="Public",1,0))))</f>
        <v/>
      </c>
      <c r="AA324" s="9">
        <f>(U324*0.4)+(W324*0.3)+(IF(Z324="Critical",10,IF(Z324="High",7,IF(Z324="Medium",4,1)))*0.2)+(IF(Y324="YES",10,0)*0.1)</f>
        <v/>
      </c>
      <c r="AB324" s="9">
        <f>IF(G324="YES",2.0,0)+IF(H324="YES",2.0,0)</f>
        <v/>
      </c>
      <c r="AC324" s="9" t="n">
        <v>0</v>
      </c>
      <c r="AD324" s="9">
        <f>K324+AB324+AC324</f>
        <v/>
      </c>
      <c r="AE324" s="9">
        <f>(AD324*0.6)+(AA324*0.4)</f>
        <v/>
      </c>
      <c r="AF324">
        <f>IF(AE324&gt;=9,"Critical",IF(AE324&gt;=7,"High",IF(AE324&gt;=4,"Medium","Low")))</f>
        <v/>
      </c>
    </row>
    <row r="325">
      <c r="F325" t="n">
        <v>1</v>
      </c>
      <c r="I325">
        <f>IF(D325="","",TODAY()-D325)</f>
        <v/>
      </c>
      <c r="K325">
        <f>IF(J325="v4.0",L325,IF(J325="v3.1",M325,IF(J325="Both",L325,IF(AND(L325&lt;&gt;"",M325=""),L325,M325))))</f>
        <v/>
      </c>
      <c r="U325">
        <f>IF(T325="Tier 1",10,IF(T325="Tier 2",7,IF(T325="Tier 3",4,IF(T325="Tier 4",1,0))))</f>
        <v/>
      </c>
      <c r="W325">
        <f>IF(V325="Restricted",10,IF(V325="Confidential",7,IF(V325="Internal",4,IF(V325="Public",1,0))))</f>
        <v/>
      </c>
      <c r="AA325" s="9">
        <f>(U325*0.4)+(W325*0.3)+(IF(Z325="Critical",10,IF(Z325="High",7,IF(Z325="Medium",4,1)))*0.2)+(IF(Y325="YES",10,0)*0.1)</f>
        <v/>
      </c>
      <c r="AB325" s="9">
        <f>IF(G325="YES",2.0,0)+IF(H325="YES",2.0,0)</f>
        <v/>
      </c>
      <c r="AC325" s="9" t="n">
        <v>0</v>
      </c>
      <c r="AD325" s="9">
        <f>K325+AB325+AC325</f>
        <v/>
      </c>
      <c r="AE325" s="9">
        <f>(AD325*0.6)+(AA325*0.4)</f>
        <v/>
      </c>
      <c r="AF325">
        <f>IF(AE325&gt;=9,"Critical",IF(AE325&gt;=7,"High",IF(AE325&gt;=4,"Medium","Low")))</f>
        <v/>
      </c>
    </row>
    <row r="326">
      <c r="F326" t="n">
        <v>1</v>
      </c>
      <c r="I326">
        <f>IF(D326="","",TODAY()-D326)</f>
        <v/>
      </c>
      <c r="K326">
        <f>IF(J326="v4.0",L326,IF(J326="v3.1",M326,IF(J326="Both",L326,IF(AND(L326&lt;&gt;"",M326=""),L326,M326))))</f>
        <v/>
      </c>
      <c r="U326">
        <f>IF(T326="Tier 1",10,IF(T326="Tier 2",7,IF(T326="Tier 3",4,IF(T326="Tier 4",1,0))))</f>
        <v/>
      </c>
      <c r="W326">
        <f>IF(V326="Restricted",10,IF(V326="Confidential",7,IF(V326="Internal",4,IF(V326="Public",1,0))))</f>
        <v/>
      </c>
      <c r="AA326" s="9">
        <f>(U326*0.4)+(W326*0.3)+(IF(Z326="Critical",10,IF(Z326="High",7,IF(Z326="Medium",4,1)))*0.2)+(IF(Y326="YES",10,0)*0.1)</f>
        <v/>
      </c>
      <c r="AB326" s="9">
        <f>IF(G326="YES",2.0,0)+IF(H326="YES",2.0,0)</f>
        <v/>
      </c>
      <c r="AC326" s="9" t="n">
        <v>0</v>
      </c>
      <c r="AD326" s="9">
        <f>K326+AB326+AC326</f>
        <v/>
      </c>
      <c r="AE326" s="9">
        <f>(AD326*0.6)+(AA326*0.4)</f>
        <v/>
      </c>
      <c r="AF326">
        <f>IF(AE326&gt;=9,"Critical",IF(AE326&gt;=7,"High",IF(AE326&gt;=4,"Medium","Low")))</f>
        <v/>
      </c>
    </row>
    <row r="327">
      <c r="F327" t="n">
        <v>1</v>
      </c>
      <c r="I327">
        <f>IF(D327="","",TODAY()-D327)</f>
        <v/>
      </c>
      <c r="K327">
        <f>IF(J327="v4.0",L327,IF(J327="v3.1",M327,IF(J327="Both",L327,IF(AND(L327&lt;&gt;"",M327=""),L327,M327))))</f>
        <v/>
      </c>
      <c r="U327">
        <f>IF(T327="Tier 1",10,IF(T327="Tier 2",7,IF(T327="Tier 3",4,IF(T327="Tier 4",1,0))))</f>
        <v/>
      </c>
      <c r="W327">
        <f>IF(V327="Restricted",10,IF(V327="Confidential",7,IF(V327="Internal",4,IF(V327="Public",1,0))))</f>
        <v/>
      </c>
      <c r="AA327" s="9">
        <f>(U327*0.4)+(W327*0.3)+(IF(Z327="Critical",10,IF(Z327="High",7,IF(Z327="Medium",4,1)))*0.2)+(IF(Y327="YES",10,0)*0.1)</f>
        <v/>
      </c>
      <c r="AB327" s="9">
        <f>IF(G327="YES",2.0,0)+IF(H327="YES",2.0,0)</f>
        <v/>
      </c>
      <c r="AC327" s="9" t="n">
        <v>0</v>
      </c>
      <c r="AD327" s="9">
        <f>K327+AB327+AC327</f>
        <v/>
      </c>
      <c r="AE327" s="9">
        <f>(AD327*0.6)+(AA327*0.4)</f>
        <v/>
      </c>
      <c r="AF327">
        <f>IF(AE327&gt;=9,"Critical",IF(AE327&gt;=7,"High",IF(AE327&gt;=4,"Medium","Low")))</f>
        <v/>
      </c>
    </row>
    <row r="328">
      <c r="F328" t="n">
        <v>1</v>
      </c>
      <c r="I328">
        <f>IF(D328="","",TODAY()-D328)</f>
        <v/>
      </c>
      <c r="K328">
        <f>IF(J328="v4.0",L328,IF(J328="v3.1",M328,IF(J328="Both",L328,IF(AND(L328&lt;&gt;"",M328=""),L328,M328))))</f>
        <v/>
      </c>
      <c r="U328">
        <f>IF(T328="Tier 1",10,IF(T328="Tier 2",7,IF(T328="Tier 3",4,IF(T328="Tier 4",1,0))))</f>
        <v/>
      </c>
      <c r="W328">
        <f>IF(V328="Restricted",10,IF(V328="Confidential",7,IF(V328="Internal",4,IF(V328="Public",1,0))))</f>
        <v/>
      </c>
      <c r="AA328" s="9">
        <f>(U328*0.4)+(W328*0.3)+(IF(Z328="Critical",10,IF(Z328="High",7,IF(Z328="Medium",4,1)))*0.2)+(IF(Y328="YES",10,0)*0.1)</f>
        <v/>
      </c>
      <c r="AB328" s="9">
        <f>IF(G328="YES",2.0,0)+IF(H328="YES",2.0,0)</f>
        <v/>
      </c>
      <c r="AC328" s="9" t="n">
        <v>0</v>
      </c>
      <c r="AD328" s="9">
        <f>K328+AB328+AC328</f>
        <v/>
      </c>
      <c r="AE328" s="9">
        <f>(AD328*0.6)+(AA328*0.4)</f>
        <v/>
      </c>
      <c r="AF328">
        <f>IF(AE328&gt;=9,"Critical",IF(AE328&gt;=7,"High",IF(AE328&gt;=4,"Medium","Low")))</f>
        <v/>
      </c>
    </row>
    <row r="329">
      <c r="F329" t="n">
        <v>1</v>
      </c>
      <c r="I329">
        <f>IF(D329="","",TODAY()-D329)</f>
        <v/>
      </c>
      <c r="K329">
        <f>IF(J329="v4.0",L329,IF(J329="v3.1",M329,IF(J329="Both",L329,IF(AND(L329&lt;&gt;"",M329=""),L329,M329))))</f>
        <v/>
      </c>
      <c r="U329">
        <f>IF(T329="Tier 1",10,IF(T329="Tier 2",7,IF(T329="Tier 3",4,IF(T329="Tier 4",1,0))))</f>
        <v/>
      </c>
      <c r="W329">
        <f>IF(V329="Restricted",10,IF(V329="Confidential",7,IF(V329="Internal",4,IF(V329="Public",1,0))))</f>
        <v/>
      </c>
      <c r="AA329" s="9">
        <f>(U329*0.4)+(W329*0.3)+(IF(Z329="Critical",10,IF(Z329="High",7,IF(Z329="Medium",4,1)))*0.2)+(IF(Y329="YES",10,0)*0.1)</f>
        <v/>
      </c>
      <c r="AB329" s="9">
        <f>IF(G329="YES",2.0,0)+IF(H329="YES",2.0,0)</f>
        <v/>
      </c>
      <c r="AC329" s="9" t="n">
        <v>0</v>
      </c>
      <c r="AD329" s="9">
        <f>K329+AB329+AC329</f>
        <v/>
      </c>
      <c r="AE329" s="9">
        <f>(AD329*0.6)+(AA329*0.4)</f>
        <v/>
      </c>
      <c r="AF329">
        <f>IF(AE329&gt;=9,"Critical",IF(AE329&gt;=7,"High",IF(AE329&gt;=4,"Medium","Low")))</f>
        <v/>
      </c>
    </row>
    <row r="330">
      <c r="F330" t="n">
        <v>1</v>
      </c>
      <c r="I330">
        <f>IF(D330="","",TODAY()-D330)</f>
        <v/>
      </c>
      <c r="K330">
        <f>IF(J330="v4.0",L330,IF(J330="v3.1",M330,IF(J330="Both",L330,IF(AND(L330&lt;&gt;"",M330=""),L330,M330))))</f>
        <v/>
      </c>
      <c r="U330">
        <f>IF(T330="Tier 1",10,IF(T330="Tier 2",7,IF(T330="Tier 3",4,IF(T330="Tier 4",1,0))))</f>
        <v/>
      </c>
      <c r="W330">
        <f>IF(V330="Restricted",10,IF(V330="Confidential",7,IF(V330="Internal",4,IF(V330="Public",1,0))))</f>
        <v/>
      </c>
      <c r="AA330" s="9">
        <f>(U330*0.4)+(W330*0.3)+(IF(Z330="Critical",10,IF(Z330="High",7,IF(Z330="Medium",4,1)))*0.2)+(IF(Y330="YES",10,0)*0.1)</f>
        <v/>
      </c>
      <c r="AB330" s="9">
        <f>IF(G330="YES",2.0,0)+IF(H330="YES",2.0,0)</f>
        <v/>
      </c>
      <c r="AC330" s="9" t="n">
        <v>0</v>
      </c>
      <c r="AD330" s="9">
        <f>K330+AB330+AC330</f>
        <v/>
      </c>
      <c r="AE330" s="9">
        <f>(AD330*0.6)+(AA330*0.4)</f>
        <v/>
      </c>
      <c r="AF330">
        <f>IF(AE330&gt;=9,"Critical",IF(AE330&gt;=7,"High",IF(AE330&gt;=4,"Medium","Low")))</f>
        <v/>
      </c>
    </row>
    <row r="331">
      <c r="F331" t="n">
        <v>1</v>
      </c>
      <c r="I331">
        <f>IF(D331="","",TODAY()-D331)</f>
        <v/>
      </c>
      <c r="K331">
        <f>IF(J331="v4.0",L331,IF(J331="v3.1",M331,IF(J331="Both",L331,IF(AND(L331&lt;&gt;"",M331=""),L331,M331))))</f>
        <v/>
      </c>
      <c r="U331">
        <f>IF(T331="Tier 1",10,IF(T331="Tier 2",7,IF(T331="Tier 3",4,IF(T331="Tier 4",1,0))))</f>
        <v/>
      </c>
      <c r="W331">
        <f>IF(V331="Restricted",10,IF(V331="Confidential",7,IF(V331="Internal",4,IF(V331="Public",1,0))))</f>
        <v/>
      </c>
      <c r="AA331" s="9">
        <f>(U331*0.4)+(W331*0.3)+(IF(Z331="Critical",10,IF(Z331="High",7,IF(Z331="Medium",4,1)))*0.2)+(IF(Y331="YES",10,0)*0.1)</f>
        <v/>
      </c>
      <c r="AB331" s="9">
        <f>IF(G331="YES",2.0,0)+IF(H331="YES",2.0,0)</f>
        <v/>
      </c>
      <c r="AC331" s="9" t="n">
        <v>0</v>
      </c>
      <c r="AD331" s="9">
        <f>K331+AB331+AC331</f>
        <v/>
      </c>
      <c r="AE331" s="9">
        <f>(AD331*0.6)+(AA331*0.4)</f>
        <v/>
      </c>
      <c r="AF331">
        <f>IF(AE331&gt;=9,"Critical",IF(AE331&gt;=7,"High",IF(AE331&gt;=4,"Medium","Low")))</f>
        <v/>
      </c>
    </row>
    <row r="332">
      <c r="F332" t="n">
        <v>1</v>
      </c>
      <c r="I332">
        <f>IF(D332="","",TODAY()-D332)</f>
        <v/>
      </c>
      <c r="K332">
        <f>IF(J332="v4.0",L332,IF(J332="v3.1",M332,IF(J332="Both",L332,IF(AND(L332&lt;&gt;"",M332=""),L332,M332))))</f>
        <v/>
      </c>
      <c r="U332">
        <f>IF(T332="Tier 1",10,IF(T332="Tier 2",7,IF(T332="Tier 3",4,IF(T332="Tier 4",1,0))))</f>
        <v/>
      </c>
      <c r="W332">
        <f>IF(V332="Restricted",10,IF(V332="Confidential",7,IF(V332="Internal",4,IF(V332="Public",1,0))))</f>
        <v/>
      </c>
      <c r="AA332" s="9">
        <f>(U332*0.4)+(W332*0.3)+(IF(Z332="Critical",10,IF(Z332="High",7,IF(Z332="Medium",4,1)))*0.2)+(IF(Y332="YES",10,0)*0.1)</f>
        <v/>
      </c>
      <c r="AB332" s="9">
        <f>IF(G332="YES",2.0,0)+IF(H332="YES",2.0,0)</f>
        <v/>
      </c>
      <c r="AC332" s="9" t="n">
        <v>0</v>
      </c>
      <c r="AD332" s="9">
        <f>K332+AB332+AC332</f>
        <v/>
      </c>
      <c r="AE332" s="9">
        <f>(AD332*0.6)+(AA332*0.4)</f>
        <v/>
      </c>
      <c r="AF332">
        <f>IF(AE332&gt;=9,"Critical",IF(AE332&gt;=7,"High",IF(AE332&gt;=4,"Medium","Low")))</f>
        <v/>
      </c>
    </row>
    <row r="333">
      <c r="F333" t="n">
        <v>1</v>
      </c>
      <c r="I333">
        <f>IF(D333="","",TODAY()-D333)</f>
        <v/>
      </c>
      <c r="K333">
        <f>IF(J333="v4.0",L333,IF(J333="v3.1",M333,IF(J333="Both",L333,IF(AND(L333&lt;&gt;"",M333=""),L333,M333))))</f>
        <v/>
      </c>
      <c r="U333">
        <f>IF(T333="Tier 1",10,IF(T333="Tier 2",7,IF(T333="Tier 3",4,IF(T333="Tier 4",1,0))))</f>
        <v/>
      </c>
      <c r="W333">
        <f>IF(V333="Restricted",10,IF(V333="Confidential",7,IF(V333="Internal",4,IF(V333="Public",1,0))))</f>
        <v/>
      </c>
      <c r="AA333" s="9">
        <f>(U333*0.4)+(W333*0.3)+(IF(Z333="Critical",10,IF(Z333="High",7,IF(Z333="Medium",4,1)))*0.2)+(IF(Y333="YES",10,0)*0.1)</f>
        <v/>
      </c>
      <c r="AB333" s="9">
        <f>IF(G333="YES",2.0,0)+IF(H333="YES",2.0,0)</f>
        <v/>
      </c>
      <c r="AC333" s="9" t="n">
        <v>0</v>
      </c>
      <c r="AD333" s="9">
        <f>K333+AB333+AC333</f>
        <v/>
      </c>
      <c r="AE333" s="9">
        <f>(AD333*0.6)+(AA333*0.4)</f>
        <v/>
      </c>
      <c r="AF333">
        <f>IF(AE333&gt;=9,"Critical",IF(AE333&gt;=7,"High",IF(AE333&gt;=4,"Medium","Low")))</f>
        <v/>
      </c>
    </row>
    <row r="334">
      <c r="F334" t="n">
        <v>1</v>
      </c>
      <c r="I334">
        <f>IF(D334="","",TODAY()-D334)</f>
        <v/>
      </c>
      <c r="K334">
        <f>IF(J334="v4.0",L334,IF(J334="v3.1",M334,IF(J334="Both",L334,IF(AND(L334&lt;&gt;"",M334=""),L334,M334))))</f>
        <v/>
      </c>
      <c r="U334">
        <f>IF(T334="Tier 1",10,IF(T334="Tier 2",7,IF(T334="Tier 3",4,IF(T334="Tier 4",1,0))))</f>
        <v/>
      </c>
      <c r="W334">
        <f>IF(V334="Restricted",10,IF(V334="Confidential",7,IF(V334="Internal",4,IF(V334="Public",1,0))))</f>
        <v/>
      </c>
      <c r="AA334" s="9">
        <f>(U334*0.4)+(W334*0.3)+(IF(Z334="Critical",10,IF(Z334="High",7,IF(Z334="Medium",4,1)))*0.2)+(IF(Y334="YES",10,0)*0.1)</f>
        <v/>
      </c>
      <c r="AB334" s="9">
        <f>IF(G334="YES",2.0,0)+IF(H334="YES",2.0,0)</f>
        <v/>
      </c>
      <c r="AC334" s="9" t="n">
        <v>0</v>
      </c>
      <c r="AD334" s="9">
        <f>K334+AB334+AC334</f>
        <v/>
      </c>
      <c r="AE334" s="9">
        <f>(AD334*0.6)+(AA334*0.4)</f>
        <v/>
      </c>
      <c r="AF334">
        <f>IF(AE334&gt;=9,"Critical",IF(AE334&gt;=7,"High",IF(AE334&gt;=4,"Medium","Low")))</f>
        <v/>
      </c>
    </row>
    <row r="335">
      <c r="F335" t="n">
        <v>1</v>
      </c>
      <c r="I335">
        <f>IF(D335="","",TODAY()-D335)</f>
        <v/>
      </c>
      <c r="K335">
        <f>IF(J335="v4.0",L335,IF(J335="v3.1",M335,IF(J335="Both",L335,IF(AND(L335&lt;&gt;"",M335=""),L335,M335))))</f>
        <v/>
      </c>
      <c r="U335">
        <f>IF(T335="Tier 1",10,IF(T335="Tier 2",7,IF(T335="Tier 3",4,IF(T335="Tier 4",1,0))))</f>
        <v/>
      </c>
      <c r="W335">
        <f>IF(V335="Restricted",10,IF(V335="Confidential",7,IF(V335="Internal",4,IF(V335="Public",1,0))))</f>
        <v/>
      </c>
      <c r="AA335" s="9">
        <f>(U335*0.4)+(W335*0.3)+(IF(Z335="Critical",10,IF(Z335="High",7,IF(Z335="Medium",4,1)))*0.2)+(IF(Y335="YES",10,0)*0.1)</f>
        <v/>
      </c>
      <c r="AB335" s="9">
        <f>IF(G335="YES",2.0,0)+IF(H335="YES",2.0,0)</f>
        <v/>
      </c>
      <c r="AC335" s="9" t="n">
        <v>0</v>
      </c>
      <c r="AD335" s="9">
        <f>K335+AB335+AC335</f>
        <v/>
      </c>
      <c r="AE335" s="9">
        <f>(AD335*0.6)+(AA335*0.4)</f>
        <v/>
      </c>
      <c r="AF335">
        <f>IF(AE335&gt;=9,"Critical",IF(AE335&gt;=7,"High",IF(AE335&gt;=4,"Medium","Low")))</f>
        <v/>
      </c>
    </row>
    <row r="336">
      <c r="F336" t="n">
        <v>1</v>
      </c>
      <c r="I336">
        <f>IF(D336="","",TODAY()-D336)</f>
        <v/>
      </c>
      <c r="K336">
        <f>IF(J336="v4.0",L336,IF(J336="v3.1",M336,IF(J336="Both",L336,IF(AND(L336&lt;&gt;"",M336=""),L336,M336))))</f>
        <v/>
      </c>
      <c r="U336">
        <f>IF(T336="Tier 1",10,IF(T336="Tier 2",7,IF(T336="Tier 3",4,IF(T336="Tier 4",1,0))))</f>
        <v/>
      </c>
      <c r="W336">
        <f>IF(V336="Restricted",10,IF(V336="Confidential",7,IF(V336="Internal",4,IF(V336="Public",1,0))))</f>
        <v/>
      </c>
      <c r="AA336" s="9">
        <f>(U336*0.4)+(W336*0.3)+(IF(Z336="Critical",10,IF(Z336="High",7,IF(Z336="Medium",4,1)))*0.2)+(IF(Y336="YES",10,0)*0.1)</f>
        <v/>
      </c>
      <c r="AB336" s="9">
        <f>IF(G336="YES",2.0,0)+IF(H336="YES",2.0,0)</f>
        <v/>
      </c>
      <c r="AC336" s="9" t="n">
        <v>0</v>
      </c>
      <c r="AD336" s="9">
        <f>K336+AB336+AC336</f>
        <v/>
      </c>
      <c r="AE336" s="9">
        <f>(AD336*0.6)+(AA336*0.4)</f>
        <v/>
      </c>
      <c r="AF336">
        <f>IF(AE336&gt;=9,"Critical",IF(AE336&gt;=7,"High",IF(AE336&gt;=4,"Medium","Low")))</f>
        <v/>
      </c>
    </row>
    <row r="337">
      <c r="F337" t="n">
        <v>1</v>
      </c>
      <c r="I337">
        <f>IF(D337="","",TODAY()-D337)</f>
        <v/>
      </c>
      <c r="K337">
        <f>IF(J337="v4.0",L337,IF(J337="v3.1",M337,IF(J337="Both",L337,IF(AND(L337&lt;&gt;"",M337=""),L337,M337))))</f>
        <v/>
      </c>
      <c r="U337">
        <f>IF(T337="Tier 1",10,IF(T337="Tier 2",7,IF(T337="Tier 3",4,IF(T337="Tier 4",1,0))))</f>
        <v/>
      </c>
      <c r="W337">
        <f>IF(V337="Restricted",10,IF(V337="Confidential",7,IF(V337="Internal",4,IF(V337="Public",1,0))))</f>
        <v/>
      </c>
      <c r="AA337" s="9">
        <f>(U337*0.4)+(W337*0.3)+(IF(Z337="Critical",10,IF(Z337="High",7,IF(Z337="Medium",4,1)))*0.2)+(IF(Y337="YES",10,0)*0.1)</f>
        <v/>
      </c>
      <c r="AB337" s="9">
        <f>IF(G337="YES",2.0,0)+IF(H337="YES",2.0,0)</f>
        <v/>
      </c>
      <c r="AC337" s="9" t="n">
        <v>0</v>
      </c>
      <c r="AD337" s="9">
        <f>K337+AB337+AC337</f>
        <v/>
      </c>
      <c r="AE337" s="9">
        <f>(AD337*0.6)+(AA337*0.4)</f>
        <v/>
      </c>
      <c r="AF337">
        <f>IF(AE337&gt;=9,"Critical",IF(AE337&gt;=7,"High",IF(AE337&gt;=4,"Medium","Low")))</f>
        <v/>
      </c>
    </row>
    <row r="338">
      <c r="F338" t="n">
        <v>1</v>
      </c>
      <c r="I338">
        <f>IF(D338="","",TODAY()-D338)</f>
        <v/>
      </c>
      <c r="K338">
        <f>IF(J338="v4.0",L338,IF(J338="v3.1",M338,IF(J338="Both",L338,IF(AND(L338&lt;&gt;"",M338=""),L338,M338))))</f>
        <v/>
      </c>
      <c r="U338">
        <f>IF(T338="Tier 1",10,IF(T338="Tier 2",7,IF(T338="Tier 3",4,IF(T338="Tier 4",1,0))))</f>
        <v/>
      </c>
      <c r="W338">
        <f>IF(V338="Restricted",10,IF(V338="Confidential",7,IF(V338="Internal",4,IF(V338="Public",1,0))))</f>
        <v/>
      </c>
      <c r="AA338" s="9">
        <f>(U338*0.4)+(W338*0.3)+(IF(Z338="Critical",10,IF(Z338="High",7,IF(Z338="Medium",4,1)))*0.2)+(IF(Y338="YES",10,0)*0.1)</f>
        <v/>
      </c>
      <c r="AB338" s="9">
        <f>IF(G338="YES",2.0,0)+IF(H338="YES",2.0,0)</f>
        <v/>
      </c>
      <c r="AC338" s="9" t="n">
        <v>0</v>
      </c>
      <c r="AD338" s="9">
        <f>K338+AB338+AC338</f>
        <v/>
      </c>
      <c r="AE338" s="9">
        <f>(AD338*0.6)+(AA338*0.4)</f>
        <v/>
      </c>
      <c r="AF338">
        <f>IF(AE338&gt;=9,"Critical",IF(AE338&gt;=7,"High",IF(AE338&gt;=4,"Medium","Low")))</f>
        <v/>
      </c>
    </row>
    <row r="339">
      <c r="F339" t="n">
        <v>1</v>
      </c>
      <c r="I339">
        <f>IF(D339="","",TODAY()-D339)</f>
        <v/>
      </c>
      <c r="K339">
        <f>IF(J339="v4.0",L339,IF(J339="v3.1",M339,IF(J339="Both",L339,IF(AND(L339&lt;&gt;"",M339=""),L339,M339))))</f>
        <v/>
      </c>
      <c r="U339">
        <f>IF(T339="Tier 1",10,IF(T339="Tier 2",7,IF(T339="Tier 3",4,IF(T339="Tier 4",1,0))))</f>
        <v/>
      </c>
      <c r="W339">
        <f>IF(V339="Restricted",10,IF(V339="Confidential",7,IF(V339="Internal",4,IF(V339="Public",1,0))))</f>
        <v/>
      </c>
      <c r="AA339" s="9">
        <f>(U339*0.4)+(W339*0.3)+(IF(Z339="Critical",10,IF(Z339="High",7,IF(Z339="Medium",4,1)))*0.2)+(IF(Y339="YES",10,0)*0.1)</f>
        <v/>
      </c>
      <c r="AB339" s="9">
        <f>IF(G339="YES",2.0,0)+IF(H339="YES",2.0,0)</f>
        <v/>
      </c>
      <c r="AC339" s="9" t="n">
        <v>0</v>
      </c>
      <c r="AD339" s="9">
        <f>K339+AB339+AC339</f>
        <v/>
      </c>
      <c r="AE339" s="9">
        <f>(AD339*0.6)+(AA339*0.4)</f>
        <v/>
      </c>
      <c r="AF339">
        <f>IF(AE339&gt;=9,"Critical",IF(AE339&gt;=7,"High",IF(AE339&gt;=4,"Medium","Low")))</f>
        <v/>
      </c>
    </row>
    <row r="340">
      <c r="F340" t="n">
        <v>1</v>
      </c>
      <c r="I340">
        <f>IF(D340="","",TODAY()-D340)</f>
        <v/>
      </c>
      <c r="K340">
        <f>IF(J340="v4.0",L340,IF(J340="v3.1",M340,IF(J340="Both",L340,IF(AND(L340&lt;&gt;"",M340=""),L340,M340))))</f>
        <v/>
      </c>
      <c r="U340">
        <f>IF(T340="Tier 1",10,IF(T340="Tier 2",7,IF(T340="Tier 3",4,IF(T340="Tier 4",1,0))))</f>
        <v/>
      </c>
      <c r="W340">
        <f>IF(V340="Restricted",10,IF(V340="Confidential",7,IF(V340="Internal",4,IF(V340="Public",1,0))))</f>
        <v/>
      </c>
      <c r="AA340" s="9">
        <f>(U340*0.4)+(W340*0.3)+(IF(Z340="Critical",10,IF(Z340="High",7,IF(Z340="Medium",4,1)))*0.2)+(IF(Y340="YES",10,0)*0.1)</f>
        <v/>
      </c>
      <c r="AB340" s="9">
        <f>IF(G340="YES",2.0,0)+IF(H340="YES",2.0,0)</f>
        <v/>
      </c>
      <c r="AC340" s="9" t="n">
        <v>0</v>
      </c>
      <c r="AD340" s="9">
        <f>K340+AB340+AC340</f>
        <v/>
      </c>
      <c r="AE340" s="9">
        <f>(AD340*0.6)+(AA340*0.4)</f>
        <v/>
      </c>
      <c r="AF340">
        <f>IF(AE340&gt;=9,"Critical",IF(AE340&gt;=7,"High",IF(AE340&gt;=4,"Medium","Low")))</f>
        <v/>
      </c>
    </row>
    <row r="341">
      <c r="F341" t="n">
        <v>1</v>
      </c>
      <c r="I341">
        <f>IF(D341="","",TODAY()-D341)</f>
        <v/>
      </c>
      <c r="K341">
        <f>IF(J341="v4.0",L341,IF(J341="v3.1",M341,IF(J341="Both",L341,IF(AND(L341&lt;&gt;"",M341=""),L341,M341))))</f>
        <v/>
      </c>
      <c r="U341">
        <f>IF(T341="Tier 1",10,IF(T341="Tier 2",7,IF(T341="Tier 3",4,IF(T341="Tier 4",1,0))))</f>
        <v/>
      </c>
      <c r="W341">
        <f>IF(V341="Restricted",10,IF(V341="Confidential",7,IF(V341="Internal",4,IF(V341="Public",1,0))))</f>
        <v/>
      </c>
      <c r="AA341" s="9">
        <f>(U341*0.4)+(W341*0.3)+(IF(Z341="Critical",10,IF(Z341="High",7,IF(Z341="Medium",4,1)))*0.2)+(IF(Y341="YES",10,0)*0.1)</f>
        <v/>
      </c>
      <c r="AB341" s="9">
        <f>IF(G341="YES",2.0,0)+IF(H341="YES",2.0,0)</f>
        <v/>
      </c>
      <c r="AC341" s="9" t="n">
        <v>0</v>
      </c>
      <c r="AD341" s="9">
        <f>K341+AB341+AC341</f>
        <v/>
      </c>
      <c r="AE341" s="9">
        <f>(AD341*0.6)+(AA341*0.4)</f>
        <v/>
      </c>
      <c r="AF341">
        <f>IF(AE341&gt;=9,"Critical",IF(AE341&gt;=7,"High",IF(AE341&gt;=4,"Medium","Low")))</f>
        <v/>
      </c>
    </row>
    <row r="342">
      <c r="F342" t="n">
        <v>1</v>
      </c>
      <c r="I342">
        <f>IF(D342="","",TODAY()-D342)</f>
        <v/>
      </c>
      <c r="K342">
        <f>IF(J342="v4.0",L342,IF(J342="v3.1",M342,IF(J342="Both",L342,IF(AND(L342&lt;&gt;"",M342=""),L342,M342))))</f>
        <v/>
      </c>
      <c r="U342">
        <f>IF(T342="Tier 1",10,IF(T342="Tier 2",7,IF(T342="Tier 3",4,IF(T342="Tier 4",1,0))))</f>
        <v/>
      </c>
      <c r="W342">
        <f>IF(V342="Restricted",10,IF(V342="Confidential",7,IF(V342="Internal",4,IF(V342="Public",1,0))))</f>
        <v/>
      </c>
      <c r="AA342" s="9">
        <f>(U342*0.4)+(W342*0.3)+(IF(Z342="Critical",10,IF(Z342="High",7,IF(Z342="Medium",4,1)))*0.2)+(IF(Y342="YES",10,0)*0.1)</f>
        <v/>
      </c>
      <c r="AB342" s="9">
        <f>IF(G342="YES",2.0,0)+IF(H342="YES",2.0,0)</f>
        <v/>
      </c>
      <c r="AC342" s="9" t="n">
        <v>0</v>
      </c>
      <c r="AD342" s="9">
        <f>K342+AB342+AC342</f>
        <v/>
      </c>
      <c r="AE342" s="9">
        <f>(AD342*0.6)+(AA342*0.4)</f>
        <v/>
      </c>
      <c r="AF342">
        <f>IF(AE342&gt;=9,"Critical",IF(AE342&gt;=7,"High",IF(AE342&gt;=4,"Medium","Low")))</f>
        <v/>
      </c>
    </row>
    <row r="343">
      <c r="F343" t="n">
        <v>1</v>
      </c>
      <c r="I343">
        <f>IF(D343="","",TODAY()-D343)</f>
        <v/>
      </c>
      <c r="K343">
        <f>IF(J343="v4.0",L343,IF(J343="v3.1",M343,IF(J343="Both",L343,IF(AND(L343&lt;&gt;"",M343=""),L343,M343))))</f>
        <v/>
      </c>
      <c r="U343">
        <f>IF(T343="Tier 1",10,IF(T343="Tier 2",7,IF(T343="Tier 3",4,IF(T343="Tier 4",1,0))))</f>
        <v/>
      </c>
      <c r="W343">
        <f>IF(V343="Restricted",10,IF(V343="Confidential",7,IF(V343="Internal",4,IF(V343="Public",1,0))))</f>
        <v/>
      </c>
      <c r="AA343" s="9">
        <f>(U343*0.4)+(W343*0.3)+(IF(Z343="Critical",10,IF(Z343="High",7,IF(Z343="Medium",4,1)))*0.2)+(IF(Y343="YES",10,0)*0.1)</f>
        <v/>
      </c>
      <c r="AB343" s="9">
        <f>IF(G343="YES",2.0,0)+IF(H343="YES",2.0,0)</f>
        <v/>
      </c>
      <c r="AC343" s="9" t="n">
        <v>0</v>
      </c>
      <c r="AD343" s="9">
        <f>K343+AB343+AC343</f>
        <v/>
      </c>
      <c r="AE343" s="9">
        <f>(AD343*0.6)+(AA343*0.4)</f>
        <v/>
      </c>
      <c r="AF343">
        <f>IF(AE343&gt;=9,"Critical",IF(AE343&gt;=7,"High",IF(AE343&gt;=4,"Medium","Low")))</f>
        <v/>
      </c>
    </row>
    <row r="344">
      <c r="F344" t="n">
        <v>1</v>
      </c>
      <c r="I344">
        <f>IF(D344="","",TODAY()-D344)</f>
        <v/>
      </c>
      <c r="K344">
        <f>IF(J344="v4.0",L344,IF(J344="v3.1",M344,IF(J344="Both",L344,IF(AND(L344&lt;&gt;"",M344=""),L344,M344))))</f>
        <v/>
      </c>
      <c r="U344">
        <f>IF(T344="Tier 1",10,IF(T344="Tier 2",7,IF(T344="Tier 3",4,IF(T344="Tier 4",1,0))))</f>
        <v/>
      </c>
      <c r="W344">
        <f>IF(V344="Restricted",10,IF(V344="Confidential",7,IF(V344="Internal",4,IF(V344="Public",1,0))))</f>
        <v/>
      </c>
      <c r="AA344" s="9">
        <f>(U344*0.4)+(W344*0.3)+(IF(Z344="Critical",10,IF(Z344="High",7,IF(Z344="Medium",4,1)))*0.2)+(IF(Y344="YES",10,0)*0.1)</f>
        <v/>
      </c>
      <c r="AB344" s="9">
        <f>IF(G344="YES",2.0,0)+IF(H344="YES",2.0,0)</f>
        <v/>
      </c>
      <c r="AC344" s="9" t="n">
        <v>0</v>
      </c>
      <c r="AD344" s="9">
        <f>K344+AB344+AC344</f>
        <v/>
      </c>
      <c r="AE344" s="9">
        <f>(AD344*0.6)+(AA344*0.4)</f>
        <v/>
      </c>
      <c r="AF344">
        <f>IF(AE344&gt;=9,"Critical",IF(AE344&gt;=7,"High",IF(AE344&gt;=4,"Medium","Low")))</f>
        <v/>
      </c>
    </row>
    <row r="345">
      <c r="F345" t="n">
        <v>1</v>
      </c>
      <c r="I345">
        <f>IF(D345="","",TODAY()-D345)</f>
        <v/>
      </c>
      <c r="K345">
        <f>IF(J345="v4.0",L345,IF(J345="v3.1",M345,IF(J345="Both",L345,IF(AND(L345&lt;&gt;"",M345=""),L345,M345))))</f>
        <v/>
      </c>
      <c r="U345">
        <f>IF(T345="Tier 1",10,IF(T345="Tier 2",7,IF(T345="Tier 3",4,IF(T345="Tier 4",1,0))))</f>
        <v/>
      </c>
      <c r="W345">
        <f>IF(V345="Restricted",10,IF(V345="Confidential",7,IF(V345="Internal",4,IF(V345="Public",1,0))))</f>
        <v/>
      </c>
      <c r="AA345" s="9">
        <f>(U345*0.4)+(W345*0.3)+(IF(Z345="Critical",10,IF(Z345="High",7,IF(Z345="Medium",4,1)))*0.2)+(IF(Y345="YES",10,0)*0.1)</f>
        <v/>
      </c>
      <c r="AB345" s="9">
        <f>IF(G345="YES",2.0,0)+IF(H345="YES",2.0,0)</f>
        <v/>
      </c>
      <c r="AC345" s="9" t="n">
        <v>0</v>
      </c>
      <c r="AD345" s="9">
        <f>K345+AB345+AC345</f>
        <v/>
      </c>
      <c r="AE345" s="9">
        <f>(AD345*0.6)+(AA345*0.4)</f>
        <v/>
      </c>
      <c r="AF345">
        <f>IF(AE345&gt;=9,"Critical",IF(AE345&gt;=7,"High",IF(AE345&gt;=4,"Medium","Low")))</f>
        <v/>
      </c>
    </row>
    <row r="346">
      <c r="F346" t="n">
        <v>1</v>
      </c>
      <c r="I346">
        <f>IF(D346="","",TODAY()-D346)</f>
        <v/>
      </c>
      <c r="K346">
        <f>IF(J346="v4.0",L346,IF(J346="v3.1",M346,IF(J346="Both",L346,IF(AND(L346&lt;&gt;"",M346=""),L346,M346))))</f>
        <v/>
      </c>
      <c r="U346">
        <f>IF(T346="Tier 1",10,IF(T346="Tier 2",7,IF(T346="Tier 3",4,IF(T346="Tier 4",1,0))))</f>
        <v/>
      </c>
      <c r="W346">
        <f>IF(V346="Restricted",10,IF(V346="Confidential",7,IF(V346="Internal",4,IF(V346="Public",1,0))))</f>
        <v/>
      </c>
      <c r="AA346" s="9">
        <f>(U346*0.4)+(W346*0.3)+(IF(Z346="Critical",10,IF(Z346="High",7,IF(Z346="Medium",4,1)))*0.2)+(IF(Y346="YES",10,0)*0.1)</f>
        <v/>
      </c>
      <c r="AB346" s="9">
        <f>IF(G346="YES",2.0,0)+IF(H346="YES",2.0,0)</f>
        <v/>
      </c>
      <c r="AC346" s="9" t="n">
        <v>0</v>
      </c>
      <c r="AD346" s="9">
        <f>K346+AB346+AC346</f>
        <v/>
      </c>
      <c r="AE346" s="9">
        <f>(AD346*0.6)+(AA346*0.4)</f>
        <v/>
      </c>
      <c r="AF346">
        <f>IF(AE346&gt;=9,"Critical",IF(AE346&gt;=7,"High",IF(AE346&gt;=4,"Medium","Low")))</f>
        <v/>
      </c>
    </row>
    <row r="347">
      <c r="F347" t="n">
        <v>1</v>
      </c>
      <c r="I347">
        <f>IF(D347="","",TODAY()-D347)</f>
        <v/>
      </c>
      <c r="K347">
        <f>IF(J347="v4.0",L347,IF(J347="v3.1",M347,IF(J347="Both",L347,IF(AND(L347&lt;&gt;"",M347=""),L347,M347))))</f>
        <v/>
      </c>
      <c r="U347">
        <f>IF(T347="Tier 1",10,IF(T347="Tier 2",7,IF(T347="Tier 3",4,IF(T347="Tier 4",1,0))))</f>
        <v/>
      </c>
      <c r="W347">
        <f>IF(V347="Restricted",10,IF(V347="Confidential",7,IF(V347="Internal",4,IF(V347="Public",1,0))))</f>
        <v/>
      </c>
      <c r="AA347" s="9">
        <f>(U347*0.4)+(W347*0.3)+(IF(Z347="Critical",10,IF(Z347="High",7,IF(Z347="Medium",4,1)))*0.2)+(IF(Y347="YES",10,0)*0.1)</f>
        <v/>
      </c>
      <c r="AB347" s="9">
        <f>IF(G347="YES",2.0,0)+IF(H347="YES",2.0,0)</f>
        <v/>
      </c>
      <c r="AC347" s="9" t="n">
        <v>0</v>
      </c>
      <c r="AD347" s="9">
        <f>K347+AB347+AC347</f>
        <v/>
      </c>
      <c r="AE347" s="9">
        <f>(AD347*0.6)+(AA347*0.4)</f>
        <v/>
      </c>
      <c r="AF347">
        <f>IF(AE347&gt;=9,"Critical",IF(AE347&gt;=7,"High",IF(AE347&gt;=4,"Medium","Low")))</f>
        <v/>
      </c>
    </row>
    <row r="348">
      <c r="F348" t="n">
        <v>1</v>
      </c>
      <c r="I348">
        <f>IF(D348="","",TODAY()-D348)</f>
        <v/>
      </c>
      <c r="K348">
        <f>IF(J348="v4.0",L348,IF(J348="v3.1",M348,IF(J348="Both",L348,IF(AND(L348&lt;&gt;"",M348=""),L348,M348))))</f>
        <v/>
      </c>
      <c r="U348">
        <f>IF(T348="Tier 1",10,IF(T348="Tier 2",7,IF(T348="Tier 3",4,IF(T348="Tier 4",1,0))))</f>
        <v/>
      </c>
      <c r="W348">
        <f>IF(V348="Restricted",10,IF(V348="Confidential",7,IF(V348="Internal",4,IF(V348="Public",1,0))))</f>
        <v/>
      </c>
      <c r="AA348" s="9">
        <f>(U348*0.4)+(W348*0.3)+(IF(Z348="Critical",10,IF(Z348="High",7,IF(Z348="Medium",4,1)))*0.2)+(IF(Y348="YES",10,0)*0.1)</f>
        <v/>
      </c>
      <c r="AB348" s="9">
        <f>IF(G348="YES",2.0,0)+IF(H348="YES",2.0,0)</f>
        <v/>
      </c>
      <c r="AC348" s="9" t="n">
        <v>0</v>
      </c>
      <c r="AD348" s="9">
        <f>K348+AB348+AC348</f>
        <v/>
      </c>
      <c r="AE348" s="9">
        <f>(AD348*0.6)+(AA348*0.4)</f>
        <v/>
      </c>
      <c r="AF348">
        <f>IF(AE348&gt;=9,"Critical",IF(AE348&gt;=7,"High",IF(AE348&gt;=4,"Medium","Low")))</f>
        <v/>
      </c>
    </row>
    <row r="349">
      <c r="F349" t="n">
        <v>1</v>
      </c>
      <c r="I349">
        <f>IF(D349="","",TODAY()-D349)</f>
        <v/>
      </c>
      <c r="K349">
        <f>IF(J349="v4.0",L349,IF(J349="v3.1",M349,IF(J349="Both",L349,IF(AND(L349&lt;&gt;"",M349=""),L349,M349))))</f>
        <v/>
      </c>
      <c r="U349">
        <f>IF(T349="Tier 1",10,IF(T349="Tier 2",7,IF(T349="Tier 3",4,IF(T349="Tier 4",1,0))))</f>
        <v/>
      </c>
      <c r="W349">
        <f>IF(V349="Restricted",10,IF(V349="Confidential",7,IF(V349="Internal",4,IF(V349="Public",1,0))))</f>
        <v/>
      </c>
      <c r="AA349" s="9">
        <f>(U349*0.4)+(W349*0.3)+(IF(Z349="Critical",10,IF(Z349="High",7,IF(Z349="Medium",4,1)))*0.2)+(IF(Y349="YES",10,0)*0.1)</f>
        <v/>
      </c>
      <c r="AB349" s="9">
        <f>IF(G349="YES",2.0,0)+IF(H349="YES",2.0,0)</f>
        <v/>
      </c>
      <c r="AC349" s="9" t="n">
        <v>0</v>
      </c>
      <c r="AD349" s="9">
        <f>K349+AB349+AC349</f>
        <v/>
      </c>
      <c r="AE349" s="9">
        <f>(AD349*0.6)+(AA349*0.4)</f>
        <v/>
      </c>
      <c r="AF349">
        <f>IF(AE349&gt;=9,"Critical",IF(AE349&gt;=7,"High",IF(AE349&gt;=4,"Medium","Low")))</f>
        <v/>
      </c>
    </row>
    <row r="350">
      <c r="F350" t="n">
        <v>1</v>
      </c>
      <c r="I350">
        <f>IF(D350="","",TODAY()-D350)</f>
        <v/>
      </c>
      <c r="K350">
        <f>IF(J350="v4.0",L350,IF(J350="v3.1",M350,IF(J350="Both",L350,IF(AND(L350&lt;&gt;"",M350=""),L350,M350))))</f>
        <v/>
      </c>
      <c r="U350">
        <f>IF(T350="Tier 1",10,IF(T350="Tier 2",7,IF(T350="Tier 3",4,IF(T350="Tier 4",1,0))))</f>
        <v/>
      </c>
      <c r="W350">
        <f>IF(V350="Restricted",10,IF(V350="Confidential",7,IF(V350="Internal",4,IF(V350="Public",1,0))))</f>
        <v/>
      </c>
      <c r="AA350" s="9">
        <f>(U350*0.4)+(W350*0.3)+(IF(Z350="Critical",10,IF(Z350="High",7,IF(Z350="Medium",4,1)))*0.2)+(IF(Y350="YES",10,0)*0.1)</f>
        <v/>
      </c>
      <c r="AB350" s="9">
        <f>IF(G350="YES",2.0,0)+IF(H350="YES",2.0,0)</f>
        <v/>
      </c>
      <c r="AC350" s="9" t="n">
        <v>0</v>
      </c>
      <c r="AD350" s="9">
        <f>K350+AB350+AC350</f>
        <v/>
      </c>
      <c r="AE350" s="9">
        <f>(AD350*0.6)+(AA350*0.4)</f>
        <v/>
      </c>
      <c r="AF350">
        <f>IF(AE350&gt;=9,"Critical",IF(AE350&gt;=7,"High",IF(AE350&gt;=4,"Medium","Low")))</f>
        <v/>
      </c>
    </row>
    <row r="351">
      <c r="F351" t="n">
        <v>1</v>
      </c>
      <c r="I351">
        <f>IF(D351="","",TODAY()-D351)</f>
        <v/>
      </c>
      <c r="K351">
        <f>IF(J351="v4.0",L351,IF(J351="v3.1",M351,IF(J351="Both",L351,IF(AND(L351&lt;&gt;"",M351=""),L351,M351))))</f>
        <v/>
      </c>
      <c r="U351">
        <f>IF(T351="Tier 1",10,IF(T351="Tier 2",7,IF(T351="Tier 3",4,IF(T351="Tier 4",1,0))))</f>
        <v/>
      </c>
      <c r="W351">
        <f>IF(V351="Restricted",10,IF(V351="Confidential",7,IF(V351="Internal",4,IF(V351="Public",1,0))))</f>
        <v/>
      </c>
      <c r="AA351" s="9">
        <f>(U351*0.4)+(W351*0.3)+(IF(Z351="Critical",10,IF(Z351="High",7,IF(Z351="Medium",4,1)))*0.2)+(IF(Y351="YES",10,0)*0.1)</f>
        <v/>
      </c>
      <c r="AB351" s="9">
        <f>IF(G351="YES",2.0,0)+IF(H351="YES",2.0,0)</f>
        <v/>
      </c>
      <c r="AC351" s="9" t="n">
        <v>0</v>
      </c>
      <c r="AD351" s="9">
        <f>K351+AB351+AC351</f>
        <v/>
      </c>
      <c r="AE351" s="9">
        <f>(AD351*0.6)+(AA351*0.4)</f>
        <v/>
      </c>
      <c r="AF351">
        <f>IF(AE351&gt;=9,"Critical",IF(AE351&gt;=7,"High",IF(AE351&gt;=4,"Medium","Low")))</f>
        <v/>
      </c>
    </row>
    <row r="352">
      <c r="F352" t="n">
        <v>1</v>
      </c>
      <c r="I352">
        <f>IF(D352="","",TODAY()-D352)</f>
        <v/>
      </c>
      <c r="K352">
        <f>IF(J352="v4.0",L352,IF(J352="v3.1",M352,IF(J352="Both",L352,IF(AND(L352&lt;&gt;"",M352=""),L352,M352))))</f>
        <v/>
      </c>
      <c r="U352">
        <f>IF(T352="Tier 1",10,IF(T352="Tier 2",7,IF(T352="Tier 3",4,IF(T352="Tier 4",1,0))))</f>
        <v/>
      </c>
      <c r="W352">
        <f>IF(V352="Restricted",10,IF(V352="Confidential",7,IF(V352="Internal",4,IF(V352="Public",1,0))))</f>
        <v/>
      </c>
      <c r="AA352" s="9">
        <f>(U352*0.4)+(W352*0.3)+(IF(Z352="Critical",10,IF(Z352="High",7,IF(Z352="Medium",4,1)))*0.2)+(IF(Y352="YES",10,0)*0.1)</f>
        <v/>
      </c>
      <c r="AB352" s="9">
        <f>IF(G352="YES",2.0,0)+IF(H352="YES",2.0,0)</f>
        <v/>
      </c>
      <c r="AC352" s="9" t="n">
        <v>0</v>
      </c>
      <c r="AD352" s="9">
        <f>K352+AB352+AC352</f>
        <v/>
      </c>
      <c r="AE352" s="9">
        <f>(AD352*0.6)+(AA352*0.4)</f>
        <v/>
      </c>
      <c r="AF352">
        <f>IF(AE352&gt;=9,"Critical",IF(AE352&gt;=7,"High",IF(AE352&gt;=4,"Medium","Low")))</f>
        <v/>
      </c>
    </row>
    <row r="353">
      <c r="F353" t="n">
        <v>1</v>
      </c>
      <c r="I353">
        <f>IF(D353="","",TODAY()-D353)</f>
        <v/>
      </c>
      <c r="K353">
        <f>IF(J353="v4.0",L353,IF(J353="v3.1",M353,IF(J353="Both",L353,IF(AND(L353&lt;&gt;"",M353=""),L353,M353))))</f>
        <v/>
      </c>
      <c r="U353">
        <f>IF(T353="Tier 1",10,IF(T353="Tier 2",7,IF(T353="Tier 3",4,IF(T353="Tier 4",1,0))))</f>
        <v/>
      </c>
      <c r="W353">
        <f>IF(V353="Restricted",10,IF(V353="Confidential",7,IF(V353="Internal",4,IF(V353="Public",1,0))))</f>
        <v/>
      </c>
      <c r="AA353" s="9">
        <f>(U353*0.4)+(W353*0.3)+(IF(Z353="Critical",10,IF(Z353="High",7,IF(Z353="Medium",4,1)))*0.2)+(IF(Y353="YES",10,0)*0.1)</f>
        <v/>
      </c>
      <c r="AB353" s="9">
        <f>IF(G353="YES",2.0,0)+IF(H353="YES",2.0,0)</f>
        <v/>
      </c>
      <c r="AC353" s="9" t="n">
        <v>0</v>
      </c>
      <c r="AD353" s="9">
        <f>K353+AB353+AC353</f>
        <v/>
      </c>
      <c r="AE353" s="9">
        <f>(AD353*0.6)+(AA353*0.4)</f>
        <v/>
      </c>
      <c r="AF353">
        <f>IF(AE353&gt;=9,"Critical",IF(AE353&gt;=7,"High",IF(AE353&gt;=4,"Medium","Low")))</f>
        <v/>
      </c>
    </row>
    <row r="354">
      <c r="F354" t="n">
        <v>1</v>
      </c>
      <c r="I354">
        <f>IF(D354="","",TODAY()-D354)</f>
        <v/>
      </c>
      <c r="K354">
        <f>IF(J354="v4.0",L354,IF(J354="v3.1",M354,IF(J354="Both",L354,IF(AND(L354&lt;&gt;"",M354=""),L354,M354))))</f>
        <v/>
      </c>
      <c r="U354">
        <f>IF(T354="Tier 1",10,IF(T354="Tier 2",7,IF(T354="Tier 3",4,IF(T354="Tier 4",1,0))))</f>
        <v/>
      </c>
      <c r="W354">
        <f>IF(V354="Restricted",10,IF(V354="Confidential",7,IF(V354="Internal",4,IF(V354="Public",1,0))))</f>
        <v/>
      </c>
      <c r="AA354" s="9">
        <f>(U354*0.4)+(W354*0.3)+(IF(Z354="Critical",10,IF(Z354="High",7,IF(Z354="Medium",4,1)))*0.2)+(IF(Y354="YES",10,0)*0.1)</f>
        <v/>
      </c>
      <c r="AB354" s="9">
        <f>IF(G354="YES",2.0,0)+IF(H354="YES",2.0,0)</f>
        <v/>
      </c>
      <c r="AC354" s="9" t="n">
        <v>0</v>
      </c>
      <c r="AD354" s="9">
        <f>K354+AB354+AC354</f>
        <v/>
      </c>
      <c r="AE354" s="9">
        <f>(AD354*0.6)+(AA354*0.4)</f>
        <v/>
      </c>
      <c r="AF354">
        <f>IF(AE354&gt;=9,"Critical",IF(AE354&gt;=7,"High",IF(AE354&gt;=4,"Medium","Low")))</f>
        <v/>
      </c>
    </row>
    <row r="355">
      <c r="F355" t="n">
        <v>1</v>
      </c>
      <c r="I355">
        <f>IF(D355="","",TODAY()-D355)</f>
        <v/>
      </c>
      <c r="K355">
        <f>IF(J355="v4.0",L355,IF(J355="v3.1",M355,IF(J355="Both",L355,IF(AND(L355&lt;&gt;"",M355=""),L355,M355))))</f>
        <v/>
      </c>
      <c r="U355">
        <f>IF(T355="Tier 1",10,IF(T355="Tier 2",7,IF(T355="Tier 3",4,IF(T355="Tier 4",1,0))))</f>
        <v/>
      </c>
      <c r="W355">
        <f>IF(V355="Restricted",10,IF(V355="Confidential",7,IF(V355="Internal",4,IF(V355="Public",1,0))))</f>
        <v/>
      </c>
      <c r="AA355" s="9">
        <f>(U355*0.4)+(W355*0.3)+(IF(Z355="Critical",10,IF(Z355="High",7,IF(Z355="Medium",4,1)))*0.2)+(IF(Y355="YES",10,0)*0.1)</f>
        <v/>
      </c>
      <c r="AB355" s="9">
        <f>IF(G355="YES",2.0,0)+IF(H355="YES",2.0,0)</f>
        <v/>
      </c>
      <c r="AC355" s="9" t="n">
        <v>0</v>
      </c>
      <c r="AD355" s="9">
        <f>K355+AB355+AC355</f>
        <v/>
      </c>
      <c r="AE355" s="9">
        <f>(AD355*0.6)+(AA355*0.4)</f>
        <v/>
      </c>
      <c r="AF355">
        <f>IF(AE355&gt;=9,"Critical",IF(AE355&gt;=7,"High",IF(AE355&gt;=4,"Medium","Low")))</f>
        <v/>
      </c>
    </row>
    <row r="356">
      <c r="F356" t="n">
        <v>1</v>
      </c>
      <c r="I356">
        <f>IF(D356="","",TODAY()-D356)</f>
        <v/>
      </c>
      <c r="K356">
        <f>IF(J356="v4.0",L356,IF(J356="v3.1",M356,IF(J356="Both",L356,IF(AND(L356&lt;&gt;"",M356=""),L356,M356))))</f>
        <v/>
      </c>
      <c r="U356">
        <f>IF(T356="Tier 1",10,IF(T356="Tier 2",7,IF(T356="Tier 3",4,IF(T356="Tier 4",1,0))))</f>
        <v/>
      </c>
      <c r="W356">
        <f>IF(V356="Restricted",10,IF(V356="Confidential",7,IF(V356="Internal",4,IF(V356="Public",1,0))))</f>
        <v/>
      </c>
      <c r="AA356" s="9">
        <f>(U356*0.4)+(W356*0.3)+(IF(Z356="Critical",10,IF(Z356="High",7,IF(Z356="Medium",4,1)))*0.2)+(IF(Y356="YES",10,0)*0.1)</f>
        <v/>
      </c>
      <c r="AB356" s="9">
        <f>IF(G356="YES",2.0,0)+IF(H356="YES",2.0,0)</f>
        <v/>
      </c>
      <c r="AC356" s="9" t="n">
        <v>0</v>
      </c>
      <c r="AD356" s="9">
        <f>K356+AB356+AC356</f>
        <v/>
      </c>
      <c r="AE356" s="9">
        <f>(AD356*0.6)+(AA356*0.4)</f>
        <v/>
      </c>
      <c r="AF356">
        <f>IF(AE356&gt;=9,"Critical",IF(AE356&gt;=7,"High",IF(AE356&gt;=4,"Medium","Low")))</f>
        <v/>
      </c>
    </row>
    <row r="357">
      <c r="F357" t="n">
        <v>1</v>
      </c>
      <c r="I357">
        <f>IF(D357="","",TODAY()-D357)</f>
        <v/>
      </c>
      <c r="K357">
        <f>IF(J357="v4.0",L357,IF(J357="v3.1",M357,IF(J357="Both",L357,IF(AND(L357&lt;&gt;"",M357=""),L357,M357))))</f>
        <v/>
      </c>
      <c r="U357">
        <f>IF(T357="Tier 1",10,IF(T357="Tier 2",7,IF(T357="Tier 3",4,IF(T357="Tier 4",1,0))))</f>
        <v/>
      </c>
      <c r="W357">
        <f>IF(V357="Restricted",10,IF(V357="Confidential",7,IF(V357="Internal",4,IF(V357="Public",1,0))))</f>
        <v/>
      </c>
      <c r="AA357" s="9">
        <f>(U357*0.4)+(W357*0.3)+(IF(Z357="Critical",10,IF(Z357="High",7,IF(Z357="Medium",4,1)))*0.2)+(IF(Y357="YES",10,0)*0.1)</f>
        <v/>
      </c>
      <c r="AB357" s="9">
        <f>IF(G357="YES",2.0,0)+IF(H357="YES",2.0,0)</f>
        <v/>
      </c>
      <c r="AC357" s="9" t="n">
        <v>0</v>
      </c>
      <c r="AD357" s="9">
        <f>K357+AB357+AC357</f>
        <v/>
      </c>
      <c r="AE357" s="9">
        <f>(AD357*0.6)+(AA357*0.4)</f>
        <v/>
      </c>
      <c r="AF357">
        <f>IF(AE357&gt;=9,"Critical",IF(AE357&gt;=7,"High",IF(AE357&gt;=4,"Medium","Low")))</f>
        <v/>
      </c>
    </row>
    <row r="358">
      <c r="F358" t="n">
        <v>1</v>
      </c>
      <c r="I358">
        <f>IF(D358="","",TODAY()-D358)</f>
        <v/>
      </c>
      <c r="K358">
        <f>IF(J358="v4.0",L358,IF(J358="v3.1",M358,IF(J358="Both",L358,IF(AND(L358&lt;&gt;"",M358=""),L358,M358))))</f>
        <v/>
      </c>
      <c r="U358">
        <f>IF(T358="Tier 1",10,IF(T358="Tier 2",7,IF(T358="Tier 3",4,IF(T358="Tier 4",1,0))))</f>
        <v/>
      </c>
      <c r="W358">
        <f>IF(V358="Restricted",10,IF(V358="Confidential",7,IF(V358="Internal",4,IF(V358="Public",1,0))))</f>
        <v/>
      </c>
      <c r="AA358" s="9">
        <f>(U358*0.4)+(W358*0.3)+(IF(Z358="Critical",10,IF(Z358="High",7,IF(Z358="Medium",4,1)))*0.2)+(IF(Y358="YES",10,0)*0.1)</f>
        <v/>
      </c>
      <c r="AB358" s="9">
        <f>IF(G358="YES",2.0,0)+IF(H358="YES",2.0,0)</f>
        <v/>
      </c>
      <c r="AC358" s="9" t="n">
        <v>0</v>
      </c>
      <c r="AD358" s="9">
        <f>K358+AB358+AC358</f>
        <v/>
      </c>
      <c r="AE358" s="9">
        <f>(AD358*0.6)+(AA358*0.4)</f>
        <v/>
      </c>
      <c r="AF358">
        <f>IF(AE358&gt;=9,"Critical",IF(AE358&gt;=7,"High",IF(AE358&gt;=4,"Medium","Low")))</f>
        <v/>
      </c>
    </row>
    <row r="359">
      <c r="F359" t="n">
        <v>1</v>
      </c>
      <c r="I359">
        <f>IF(D359="","",TODAY()-D359)</f>
        <v/>
      </c>
      <c r="K359">
        <f>IF(J359="v4.0",L359,IF(J359="v3.1",M359,IF(J359="Both",L359,IF(AND(L359&lt;&gt;"",M359=""),L359,M359))))</f>
        <v/>
      </c>
      <c r="U359">
        <f>IF(T359="Tier 1",10,IF(T359="Tier 2",7,IF(T359="Tier 3",4,IF(T359="Tier 4",1,0))))</f>
        <v/>
      </c>
      <c r="W359">
        <f>IF(V359="Restricted",10,IF(V359="Confidential",7,IF(V359="Internal",4,IF(V359="Public",1,0))))</f>
        <v/>
      </c>
      <c r="AA359" s="9">
        <f>(U359*0.4)+(W359*0.3)+(IF(Z359="Critical",10,IF(Z359="High",7,IF(Z359="Medium",4,1)))*0.2)+(IF(Y359="YES",10,0)*0.1)</f>
        <v/>
      </c>
      <c r="AB359" s="9">
        <f>IF(G359="YES",2.0,0)+IF(H359="YES",2.0,0)</f>
        <v/>
      </c>
      <c r="AC359" s="9" t="n">
        <v>0</v>
      </c>
      <c r="AD359" s="9">
        <f>K359+AB359+AC359</f>
        <v/>
      </c>
      <c r="AE359" s="9">
        <f>(AD359*0.6)+(AA359*0.4)</f>
        <v/>
      </c>
      <c r="AF359">
        <f>IF(AE359&gt;=9,"Critical",IF(AE359&gt;=7,"High",IF(AE359&gt;=4,"Medium","Low")))</f>
        <v/>
      </c>
    </row>
    <row r="360">
      <c r="F360" t="n">
        <v>1</v>
      </c>
      <c r="I360">
        <f>IF(D360="","",TODAY()-D360)</f>
        <v/>
      </c>
      <c r="K360">
        <f>IF(J360="v4.0",L360,IF(J360="v3.1",M360,IF(J360="Both",L360,IF(AND(L360&lt;&gt;"",M360=""),L360,M360))))</f>
        <v/>
      </c>
      <c r="U360">
        <f>IF(T360="Tier 1",10,IF(T360="Tier 2",7,IF(T360="Tier 3",4,IF(T360="Tier 4",1,0))))</f>
        <v/>
      </c>
      <c r="W360">
        <f>IF(V360="Restricted",10,IF(V360="Confidential",7,IF(V360="Internal",4,IF(V360="Public",1,0))))</f>
        <v/>
      </c>
      <c r="AA360" s="9">
        <f>(U360*0.4)+(W360*0.3)+(IF(Z360="Critical",10,IF(Z360="High",7,IF(Z360="Medium",4,1)))*0.2)+(IF(Y360="YES",10,0)*0.1)</f>
        <v/>
      </c>
      <c r="AB360" s="9">
        <f>IF(G360="YES",2.0,0)+IF(H360="YES",2.0,0)</f>
        <v/>
      </c>
      <c r="AC360" s="9" t="n">
        <v>0</v>
      </c>
      <c r="AD360" s="9">
        <f>K360+AB360+AC360</f>
        <v/>
      </c>
      <c r="AE360" s="9">
        <f>(AD360*0.6)+(AA360*0.4)</f>
        <v/>
      </c>
      <c r="AF360">
        <f>IF(AE360&gt;=9,"Critical",IF(AE360&gt;=7,"High",IF(AE360&gt;=4,"Medium","Low")))</f>
        <v/>
      </c>
    </row>
    <row r="361">
      <c r="F361" t="n">
        <v>1</v>
      </c>
      <c r="I361">
        <f>IF(D361="","",TODAY()-D361)</f>
        <v/>
      </c>
      <c r="K361">
        <f>IF(J361="v4.0",L361,IF(J361="v3.1",M361,IF(J361="Both",L361,IF(AND(L361&lt;&gt;"",M361=""),L361,M361))))</f>
        <v/>
      </c>
      <c r="U361">
        <f>IF(T361="Tier 1",10,IF(T361="Tier 2",7,IF(T361="Tier 3",4,IF(T361="Tier 4",1,0))))</f>
        <v/>
      </c>
      <c r="W361">
        <f>IF(V361="Restricted",10,IF(V361="Confidential",7,IF(V361="Internal",4,IF(V361="Public",1,0))))</f>
        <v/>
      </c>
      <c r="AA361" s="9">
        <f>(U361*0.4)+(W361*0.3)+(IF(Z361="Critical",10,IF(Z361="High",7,IF(Z361="Medium",4,1)))*0.2)+(IF(Y361="YES",10,0)*0.1)</f>
        <v/>
      </c>
      <c r="AB361" s="9">
        <f>IF(G361="YES",2.0,0)+IF(H361="YES",2.0,0)</f>
        <v/>
      </c>
      <c r="AC361" s="9" t="n">
        <v>0</v>
      </c>
      <c r="AD361" s="9">
        <f>K361+AB361+AC361</f>
        <v/>
      </c>
      <c r="AE361" s="9">
        <f>(AD361*0.6)+(AA361*0.4)</f>
        <v/>
      </c>
      <c r="AF361">
        <f>IF(AE361&gt;=9,"Critical",IF(AE361&gt;=7,"High",IF(AE361&gt;=4,"Medium","Low")))</f>
        <v/>
      </c>
    </row>
    <row r="362">
      <c r="F362" t="n">
        <v>1</v>
      </c>
      <c r="I362">
        <f>IF(D362="","",TODAY()-D362)</f>
        <v/>
      </c>
      <c r="K362">
        <f>IF(J362="v4.0",L362,IF(J362="v3.1",M362,IF(J362="Both",L362,IF(AND(L362&lt;&gt;"",M362=""),L362,M362))))</f>
        <v/>
      </c>
      <c r="U362">
        <f>IF(T362="Tier 1",10,IF(T362="Tier 2",7,IF(T362="Tier 3",4,IF(T362="Tier 4",1,0))))</f>
        <v/>
      </c>
      <c r="W362">
        <f>IF(V362="Restricted",10,IF(V362="Confidential",7,IF(V362="Internal",4,IF(V362="Public",1,0))))</f>
        <v/>
      </c>
      <c r="AA362" s="9">
        <f>(U362*0.4)+(W362*0.3)+(IF(Z362="Critical",10,IF(Z362="High",7,IF(Z362="Medium",4,1)))*0.2)+(IF(Y362="YES",10,0)*0.1)</f>
        <v/>
      </c>
      <c r="AB362" s="9">
        <f>IF(G362="YES",2.0,0)+IF(H362="YES",2.0,0)</f>
        <v/>
      </c>
      <c r="AC362" s="9" t="n">
        <v>0</v>
      </c>
      <c r="AD362" s="9">
        <f>K362+AB362+AC362</f>
        <v/>
      </c>
      <c r="AE362" s="9">
        <f>(AD362*0.6)+(AA362*0.4)</f>
        <v/>
      </c>
      <c r="AF362">
        <f>IF(AE362&gt;=9,"Critical",IF(AE362&gt;=7,"High",IF(AE362&gt;=4,"Medium","Low")))</f>
        <v/>
      </c>
    </row>
    <row r="363">
      <c r="F363" t="n">
        <v>1</v>
      </c>
      <c r="I363">
        <f>IF(D363="","",TODAY()-D363)</f>
        <v/>
      </c>
      <c r="K363">
        <f>IF(J363="v4.0",L363,IF(J363="v3.1",M363,IF(J363="Both",L363,IF(AND(L363&lt;&gt;"",M363=""),L363,M363))))</f>
        <v/>
      </c>
      <c r="U363">
        <f>IF(T363="Tier 1",10,IF(T363="Tier 2",7,IF(T363="Tier 3",4,IF(T363="Tier 4",1,0))))</f>
        <v/>
      </c>
      <c r="W363">
        <f>IF(V363="Restricted",10,IF(V363="Confidential",7,IF(V363="Internal",4,IF(V363="Public",1,0))))</f>
        <v/>
      </c>
      <c r="AA363" s="9">
        <f>(U363*0.4)+(W363*0.3)+(IF(Z363="Critical",10,IF(Z363="High",7,IF(Z363="Medium",4,1)))*0.2)+(IF(Y363="YES",10,0)*0.1)</f>
        <v/>
      </c>
      <c r="AB363" s="9">
        <f>IF(G363="YES",2.0,0)+IF(H363="YES",2.0,0)</f>
        <v/>
      </c>
      <c r="AC363" s="9" t="n">
        <v>0</v>
      </c>
      <c r="AD363" s="9">
        <f>K363+AB363+AC363</f>
        <v/>
      </c>
      <c r="AE363" s="9">
        <f>(AD363*0.6)+(AA363*0.4)</f>
        <v/>
      </c>
      <c r="AF363">
        <f>IF(AE363&gt;=9,"Critical",IF(AE363&gt;=7,"High",IF(AE363&gt;=4,"Medium","Low")))</f>
        <v/>
      </c>
    </row>
    <row r="364">
      <c r="F364" t="n">
        <v>1</v>
      </c>
      <c r="I364">
        <f>IF(D364="","",TODAY()-D364)</f>
        <v/>
      </c>
      <c r="K364">
        <f>IF(J364="v4.0",L364,IF(J364="v3.1",M364,IF(J364="Both",L364,IF(AND(L364&lt;&gt;"",M364=""),L364,M364))))</f>
        <v/>
      </c>
      <c r="U364">
        <f>IF(T364="Tier 1",10,IF(T364="Tier 2",7,IF(T364="Tier 3",4,IF(T364="Tier 4",1,0))))</f>
        <v/>
      </c>
      <c r="W364">
        <f>IF(V364="Restricted",10,IF(V364="Confidential",7,IF(V364="Internal",4,IF(V364="Public",1,0))))</f>
        <v/>
      </c>
      <c r="AA364" s="9">
        <f>(U364*0.4)+(W364*0.3)+(IF(Z364="Critical",10,IF(Z364="High",7,IF(Z364="Medium",4,1)))*0.2)+(IF(Y364="YES",10,0)*0.1)</f>
        <v/>
      </c>
      <c r="AB364" s="9">
        <f>IF(G364="YES",2.0,0)+IF(H364="YES",2.0,0)</f>
        <v/>
      </c>
      <c r="AC364" s="9" t="n">
        <v>0</v>
      </c>
      <c r="AD364" s="9">
        <f>K364+AB364+AC364</f>
        <v/>
      </c>
      <c r="AE364" s="9">
        <f>(AD364*0.6)+(AA364*0.4)</f>
        <v/>
      </c>
      <c r="AF364">
        <f>IF(AE364&gt;=9,"Critical",IF(AE364&gt;=7,"High",IF(AE364&gt;=4,"Medium","Low")))</f>
        <v/>
      </c>
    </row>
    <row r="365">
      <c r="F365" t="n">
        <v>1</v>
      </c>
      <c r="I365">
        <f>IF(D365="","",TODAY()-D365)</f>
        <v/>
      </c>
      <c r="K365">
        <f>IF(J365="v4.0",L365,IF(J365="v3.1",M365,IF(J365="Both",L365,IF(AND(L365&lt;&gt;"",M365=""),L365,M365))))</f>
        <v/>
      </c>
      <c r="U365">
        <f>IF(T365="Tier 1",10,IF(T365="Tier 2",7,IF(T365="Tier 3",4,IF(T365="Tier 4",1,0))))</f>
        <v/>
      </c>
      <c r="W365">
        <f>IF(V365="Restricted",10,IF(V365="Confidential",7,IF(V365="Internal",4,IF(V365="Public",1,0))))</f>
        <v/>
      </c>
      <c r="AA365" s="9">
        <f>(U365*0.4)+(W365*0.3)+(IF(Z365="Critical",10,IF(Z365="High",7,IF(Z365="Medium",4,1)))*0.2)+(IF(Y365="YES",10,0)*0.1)</f>
        <v/>
      </c>
      <c r="AB365" s="9">
        <f>IF(G365="YES",2.0,0)+IF(H365="YES",2.0,0)</f>
        <v/>
      </c>
      <c r="AC365" s="9" t="n">
        <v>0</v>
      </c>
      <c r="AD365" s="9">
        <f>K365+AB365+AC365</f>
        <v/>
      </c>
      <c r="AE365" s="9">
        <f>(AD365*0.6)+(AA365*0.4)</f>
        <v/>
      </c>
      <c r="AF365">
        <f>IF(AE365&gt;=9,"Critical",IF(AE365&gt;=7,"High",IF(AE365&gt;=4,"Medium","Low")))</f>
        <v/>
      </c>
    </row>
    <row r="366">
      <c r="F366" t="n">
        <v>1</v>
      </c>
      <c r="I366">
        <f>IF(D366="","",TODAY()-D366)</f>
        <v/>
      </c>
      <c r="K366">
        <f>IF(J366="v4.0",L366,IF(J366="v3.1",M366,IF(J366="Both",L366,IF(AND(L366&lt;&gt;"",M366=""),L366,M366))))</f>
        <v/>
      </c>
      <c r="U366">
        <f>IF(T366="Tier 1",10,IF(T366="Tier 2",7,IF(T366="Tier 3",4,IF(T366="Tier 4",1,0))))</f>
        <v/>
      </c>
      <c r="W366">
        <f>IF(V366="Restricted",10,IF(V366="Confidential",7,IF(V366="Internal",4,IF(V366="Public",1,0))))</f>
        <v/>
      </c>
      <c r="AA366" s="9">
        <f>(U366*0.4)+(W366*0.3)+(IF(Z366="Critical",10,IF(Z366="High",7,IF(Z366="Medium",4,1)))*0.2)+(IF(Y366="YES",10,0)*0.1)</f>
        <v/>
      </c>
      <c r="AB366" s="9">
        <f>IF(G366="YES",2.0,0)+IF(H366="YES",2.0,0)</f>
        <v/>
      </c>
      <c r="AC366" s="9" t="n">
        <v>0</v>
      </c>
      <c r="AD366" s="9">
        <f>K366+AB366+AC366</f>
        <v/>
      </c>
      <c r="AE366" s="9">
        <f>(AD366*0.6)+(AA366*0.4)</f>
        <v/>
      </c>
      <c r="AF366">
        <f>IF(AE366&gt;=9,"Critical",IF(AE366&gt;=7,"High",IF(AE366&gt;=4,"Medium","Low")))</f>
        <v/>
      </c>
    </row>
    <row r="367">
      <c r="F367" t="n">
        <v>1</v>
      </c>
      <c r="I367">
        <f>IF(D367="","",TODAY()-D367)</f>
        <v/>
      </c>
      <c r="K367">
        <f>IF(J367="v4.0",L367,IF(J367="v3.1",M367,IF(J367="Both",L367,IF(AND(L367&lt;&gt;"",M367=""),L367,M367))))</f>
        <v/>
      </c>
      <c r="U367">
        <f>IF(T367="Tier 1",10,IF(T367="Tier 2",7,IF(T367="Tier 3",4,IF(T367="Tier 4",1,0))))</f>
        <v/>
      </c>
      <c r="W367">
        <f>IF(V367="Restricted",10,IF(V367="Confidential",7,IF(V367="Internal",4,IF(V367="Public",1,0))))</f>
        <v/>
      </c>
      <c r="AA367" s="9">
        <f>(U367*0.4)+(W367*0.3)+(IF(Z367="Critical",10,IF(Z367="High",7,IF(Z367="Medium",4,1)))*0.2)+(IF(Y367="YES",10,0)*0.1)</f>
        <v/>
      </c>
      <c r="AB367" s="9">
        <f>IF(G367="YES",2.0,0)+IF(H367="YES",2.0,0)</f>
        <v/>
      </c>
      <c r="AC367" s="9" t="n">
        <v>0</v>
      </c>
      <c r="AD367" s="9">
        <f>K367+AB367+AC367</f>
        <v/>
      </c>
      <c r="AE367" s="9">
        <f>(AD367*0.6)+(AA367*0.4)</f>
        <v/>
      </c>
      <c r="AF367">
        <f>IF(AE367&gt;=9,"Critical",IF(AE367&gt;=7,"High",IF(AE367&gt;=4,"Medium","Low")))</f>
        <v/>
      </c>
    </row>
    <row r="368">
      <c r="F368" t="n">
        <v>1</v>
      </c>
      <c r="I368">
        <f>IF(D368="","",TODAY()-D368)</f>
        <v/>
      </c>
      <c r="K368">
        <f>IF(J368="v4.0",L368,IF(J368="v3.1",M368,IF(J368="Both",L368,IF(AND(L368&lt;&gt;"",M368=""),L368,M368))))</f>
        <v/>
      </c>
      <c r="U368">
        <f>IF(T368="Tier 1",10,IF(T368="Tier 2",7,IF(T368="Tier 3",4,IF(T368="Tier 4",1,0))))</f>
        <v/>
      </c>
      <c r="W368">
        <f>IF(V368="Restricted",10,IF(V368="Confidential",7,IF(V368="Internal",4,IF(V368="Public",1,0))))</f>
        <v/>
      </c>
      <c r="AA368" s="9">
        <f>(U368*0.4)+(W368*0.3)+(IF(Z368="Critical",10,IF(Z368="High",7,IF(Z368="Medium",4,1)))*0.2)+(IF(Y368="YES",10,0)*0.1)</f>
        <v/>
      </c>
      <c r="AB368" s="9">
        <f>IF(G368="YES",2.0,0)+IF(H368="YES",2.0,0)</f>
        <v/>
      </c>
      <c r="AC368" s="9" t="n">
        <v>0</v>
      </c>
      <c r="AD368" s="9">
        <f>K368+AB368+AC368</f>
        <v/>
      </c>
      <c r="AE368" s="9">
        <f>(AD368*0.6)+(AA368*0.4)</f>
        <v/>
      </c>
      <c r="AF368">
        <f>IF(AE368&gt;=9,"Critical",IF(AE368&gt;=7,"High",IF(AE368&gt;=4,"Medium","Low")))</f>
        <v/>
      </c>
    </row>
    <row r="369">
      <c r="F369" t="n">
        <v>1</v>
      </c>
      <c r="I369">
        <f>IF(D369="","",TODAY()-D369)</f>
        <v/>
      </c>
      <c r="K369">
        <f>IF(J369="v4.0",L369,IF(J369="v3.1",M369,IF(J369="Both",L369,IF(AND(L369&lt;&gt;"",M369=""),L369,M369))))</f>
        <v/>
      </c>
      <c r="U369">
        <f>IF(T369="Tier 1",10,IF(T369="Tier 2",7,IF(T369="Tier 3",4,IF(T369="Tier 4",1,0))))</f>
        <v/>
      </c>
      <c r="W369">
        <f>IF(V369="Restricted",10,IF(V369="Confidential",7,IF(V369="Internal",4,IF(V369="Public",1,0))))</f>
        <v/>
      </c>
      <c r="AA369" s="9">
        <f>(U369*0.4)+(W369*0.3)+(IF(Z369="Critical",10,IF(Z369="High",7,IF(Z369="Medium",4,1)))*0.2)+(IF(Y369="YES",10,0)*0.1)</f>
        <v/>
      </c>
      <c r="AB369" s="9">
        <f>IF(G369="YES",2.0,0)+IF(H369="YES",2.0,0)</f>
        <v/>
      </c>
      <c r="AC369" s="9" t="n">
        <v>0</v>
      </c>
      <c r="AD369" s="9">
        <f>K369+AB369+AC369</f>
        <v/>
      </c>
      <c r="AE369" s="9">
        <f>(AD369*0.6)+(AA369*0.4)</f>
        <v/>
      </c>
      <c r="AF369">
        <f>IF(AE369&gt;=9,"Critical",IF(AE369&gt;=7,"High",IF(AE369&gt;=4,"Medium","Low")))</f>
        <v/>
      </c>
    </row>
    <row r="370">
      <c r="F370" t="n">
        <v>1</v>
      </c>
      <c r="I370">
        <f>IF(D370="","",TODAY()-D370)</f>
        <v/>
      </c>
      <c r="K370">
        <f>IF(J370="v4.0",L370,IF(J370="v3.1",M370,IF(J370="Both",L370,IF(AND(L370&lt;&gt;"",M370=""),L370,M370))))</f>
        <v/>
      </c>
      <c r="U370">
        <f>IF(T370="Tier 1",10,IF(T370="Tier 2",7,IF(T370="Tier 3",4,IF(T370="Tier 4",1,0))))</f>
        <v/>
      </c>
      <c r="W370">
        <f>IF(V370="Restricted",10,IF(V370="Confidential",7,IF(V370="Internal",4,IF(V370="Public",1,0))))</f>
        <v/>
      </c>
      <c r="AA370" s="9">
        <f>(U370*0.4)+(W370*0.3)+(IF(Z370="Critical",10,IF(Z370="High",7,IF(Z370="Medium",4,1)))*0.2)+(IF(Y370="YES",10,0)*0.1)</f>
        <v/>
      </c>
      <c r="AB370" s="9">
        <f>IF(G370="YES",2.0,0)+IF(H370="YES",2.0,0)</f>
        <v/>
      </c>
      <c r="AC370" s="9" t="n">
        <v>0</v>
      </c>
      <c r="AD370" s="9">
        <f>K370+AB370+AC370</f>
        <v/>
      </c>
      <c r="AE370" s="9">
        <f>(AD370*0.6)+(AA370*0.4)</f>
        <v/>
      </c>
      <c r="AF370">
        <f>IF(AE370&gt;=9,"Critical",IF(AE370&gt;=7,"High",IF(AE370&gt;=4,"Medium","Low")))</f>
        <v/>
      </c>
    </row>
    <row r="371">
      <c r="F371" t="n">
        <v>1</v>
      </c>
      <c r="I371">
        <f>IF(D371="","",TODAY()-D371)</f>
        <v/>
      </c>
      <c r="K371">
        <f>IF(J371="v4.0",L371,IF(J371="v3.1",M371,IF(J371="Both",L371,IF(AND(L371&lt;&gt;"",M371=""),L371,M371))))</f>
        <v/>
      </c>
      <c r="U371">
        <f>IF(T371="Tier 1",10,IF(T371="Tier 2",7,IF(T371="Tier 3",4,IF(T371="Tier 4",1,0))))</f>
        <v/>
      </c>
      <c r="W371">
        <f>IF(V371="Restricted",10,IF(V371="Confidential",7,IF(V371="Internal",4,IF(V371="Public",1,0))))</f>
        <v/>
      </c>
      <c r="AA371" s="9">
        <f>(U371*0.4)+(W371*0.3)+(IF(Z371="Critical",10,IF(Z371="High",7,IF(Z371="Medium",4,1)))*0.2)+(IF(Y371="YES",10,0)*0.1)</f>
        <v/>
      </c>
      <c r="AB371" s="9">
        <f>IF(G371="YES",2.0,0)+IF(H371="YES",2.0,0)</f>
        <v/>
      </c>
      <c r="AC371" s="9" t="n">
        <v>0</v>
      </c>
      <c r="AD371" s="9">
        <f>K371+AB371+AC371</f>
        <v/>
      </c>
      <c r="AE371" s="9">
        <f>(AD371*0.6)+(AA371*0.4)</f>
        <v/>
      </c>
      <c r="AF371">
        <f>IF(AE371&gt;=9,"Critical",IF(AE371&gt;=7,"High",IF(AE371&gt;=4,"Medium","Low")))</f>
        <v/>
      </c>
    </row>
    <row r="372">
      <c r="F372" t="n">
        <v>1</v>
      </c>
      <c r="I372">
        <f>IF(D372="","",TODAY()-D372)</f>
        <v/>
      </c>
      <c r="K372">
        <f>IF(J372="v4.0",L372,IF(J372="v3.1",M372,IF(J372="Both",L372,IF(AND(L372&lt;&gt;"",M372=""),L372,M372))))</f>
        <v/>
      </c>
      <c r="U372">
        <f>IF(T372="Tier 1",10,IF(T372="Tier 2",7,IF(T372="Tier 3",4,IF(T372="Tier 4",1,0))))</f>
        <v/>
      </c>
      <c r="W372">
        <f>IF(V372="Restricted",10,IF(V372="Confidential",7,IF(V372="Internal",4,IF(V372="Public",1,0))))</f>
        <v/>
      </c>
      <c r="AA372" s="9">
        <f>(U372*0.4)+(W372*0.3)+(IF(Z372="Critical",10,IF(Z372="High",7,IF(Z372="Medium",4,1)))*0.2)+(IF(Y372="YES",10,0)*0.1)</f>
        <v/>
      </c>
      <c r="AB372" s="9">
        <f>IF(G372="YES",2.0,0)+IF(H372="YES",2.0,0)</f>
        <v/>
      </c>
      <c r="AC372" s="9" t="n">
        <v>0</v>
      </c>
      <c r="AD372" s="9">
        <f>K372+AB372+AC372</f>
        <v/>
      </c>
      <c r="AE372" s="9">
        <f>(AD372*0.6)+(AA372*0.4)</f>
        <v/>
      </c>
      <c r="AF372">
        <f>IF(AE372&gt;=9,"Critical",IF(AE372&gt;=7,"High",IF(AE372&gt;=4,"Medium","Low")))</f>
        <v/>
      </c>
    </row>
    <row r="373">
      <c r="F373" t="n">
        <v>1</v>
      </c>
      <c r="I373">
        <f>IF(D373="","",TODAY()-D373)</f>
        <v/>
      </c>
      <c r="K373">
        <f>IF(J373="v4.0",L373,IF(J373="v3.1",M373,IF(J373="Both",L373,IF(AND(L373&lt;&gt;"",M373=""),L373,M373))))</f>
        <v/>
      </c>
      <c r="U373">
        <f>IF(T373="Tier 1",10,IF(T373="Tier 2",7,IF(T373="Tier 3",4,IF(T373="Tier 4",1,0))))</f>
        <v/>
      </c>
      <c r="W373">
        <f>IF(V373="Restricted",10,IF(V373="Confidential",7,IF(V373="Internal",4,IF(V373="Public",1,0))))</f>
        <v/>
      </c>
      <c r="AA373" s="9">
        <f>(U373*0.4)+(W373*0.3)+(IF(Z373="Critical",10,IF(Z373="High",7,IF(Z373="Medium",4,1)))*0.2)+(IF(Y373="YES",10,0)*0.1)</f>
        <v/>
      </c>
      <c r="AB373" s="9">
        <f>IF(G373="YES",2.0,0)+IF(H373="YES",2.0,0)</f>
        <v/>
      </c>
      <c r="AC373" s="9" t="n">
        <v>0</v>
      </c>
      <c r="AD373" s="9">
        <f>K373+AB373+AC373</f>
        <v/>
      </c>
      <c r="AE373" s="9">
        <f>(AD373*0.6)+(AA373*0.4)</f>
        <v/>
      </c>
      <c r="AF373">
        <f>IF(AE373&gt;=9,"Critical",IF(AE373&gt;=7,"High",IF(AE373&gt;=4,"Medium","Low")))</f>
        <v/>
      </c>
    </row>
    <row r="374">
      <c r="F374" t="n">
        <v>1</v>
      </c>
      <c r="I374">
        <f>IF(D374="","",TODAY()-D374)</f>
        <v/>
      </c>
      <c r="K374">
        <f>IF(J374="v4.0",L374,IF(J374="v3.1",M374,IF(J374="Both",L374,IF(AND(L374&lt;&gt;"",M374=""),L374,M374))))</f>
        <v/>
      </c>
      <c r="U374">
        <f>IF(T374="Tier 1",10,IF(T374="Tier 2",7,IF(T374="Tier 3",4,IF(T374="Tier 4",1,0))))</f>
        <v/>
      </c>
      <c r="W374">
        <f>IF(V374="Restricted",10,IF(V374="Confidential",7,IF(V374="Internal",4,IF(V374="Public",1,0))))</f>
        <v/>
      </c>
      <c r="AA374" s="9">
        <f>(U374*0.4)+(W374*0.3)+(IF(Z374="Critical",10,IF(Z374="High",7,IF(Z374="Medium",4,1)))*0.2)+(IF(Y374="YES",10,0)*0.1)</f>
        <v/>
      </c>
      <c r="AB374" s="9">
        <f>IF(G374="YES",2.0,0)+IF(H374="YES",2.0,0)</f>
        <v/>
      </c>
      <c r="AC374" s="9" t="n">
        <v>0</v>
      </c>
      <c r="AD374" s="9">
        <f>K374+AB374+AC374</f>
        <v/>
      </c>
      <c r="AE374" s="9">
        <f>(AD374*0.6)+(AA374*0.4)</f>
        <v/>
      </c>
      <c r="AF374">
        <f>IF(AE374&gt;=9,"Critical",IF(AE374&gt;=7,"High",IF(AE374&gt;=4,"Medium","Low")))</f>
        <v/>
      </c>
    </row>
    <row r="375">
      <c r="F375" t="n">
        <v>1</v>
      </c>
      <c r="I375">
        <f>IF(D375="","",TODAY()-D375)</f>
        <v/>
      </c>
      <c r="K375">
        <f>IF(J375="v4.0",L375,IF(J375="v3.1",M375,IF(J375="Both",L375,IF(AND(L375&lt;&gt;"",M375=""),L375,M375))))</f>
        <v/>
      </c>
      <c r="U375">
        <f>IF(T375="Tier 1",10,IF(T375="Tier 2",7,IF(T375="Tier 3",4,IF(T375="Tier 4",1,0))))</f>
        <v/>
      </c>
      <c r="W375">
        <f>IF(V375="Restricted",10,IF(V375="Confidential",7,IF(V375="Internal",4,IF(V375="Public",1,0))))</f>
        <v/>
      </c>
      <c r="AA375" s="9">
        <f>(U375*0.4)+(W375*0.3)+(IF(Z375="Critical",10,IF(Z375="High",7,IF(Z375="Medium",4,1)))*0.2)+(IF(Y375="YES",10,0)*0.1)</f>
        <v/>
      </c>
      <c r="AB375" s="9">
        <f>IF(G375="YES",2.0,0)+IF(H375="YES",2.0,0)</f>
        <v/>
      </c>
      <c r="AC375" s="9" t="n">
        <v>0</v>
      </c>
      <c r="AD375" s="9">
        <f>K375+AB375+AC375</f>
        <v/>
      </c>
      <c r="AE375" s="9">
        <f>(AD375*0.6)+(AA375*0.4)</f>
        <v/>
      </c>
      <c r="AF375">
        <f>IF(AE375&gt;=9,"Critical",IF(AE375&gt;=7,"High",IF(AE375&gt;=4,"Medium","Low")))</f>
        <v/>
      </c>
    </row>
    <row r="376">
      <c r="F376" t="n">
        <v>1</v>
      </c>
      <c r="I376">
        <f>IF(D376="","",TODAY()-D376)</f>
        <v/>
      </c>
      <c r="K376">
        <f>IF(J376="v4.0",L376,IF(J376="v3.1",M376,IF(J376="Both",L376,IF(AND(L376&lt;&gt;"",M376=""),L376,M376))))</f>
        <v/>
      </c>
      <c r="U376">
        <f>IF(T376="Tier 1",10,IF(T376="Tier 2",7,IF(T376="Tier 3",4,IF(T376="Tier 4",1,0))))</f>
        <v/>
      </c>
      <c r="W376">
        <f>IF(V376="Restricted",10,IF(V376="Confidential",7,IF(V376="Internal",4,IF(V376="Public",1,0))))</f>
        <v/>
      </c>
      <c r="AA376" s="9">
        <f>(U376*0.4)+(W376*0.3)+(IF(Z376="Critical",10,IF(Z376="High",7,IF(Z376="Medium",4,1)))*0.2)+(IF(Y376="YES",10,0)*0.1)</f>
        <v/>
      </c>
      <c r="AB376" s="9">
        <f>IF(G376="YES",2.0,0)+IF(H376="YES",2.0,0)</f>
        <v/>
      </c>
      <c r="AC376" s="9" t="n">
        <v>0</v>
      </c>
      <c r="AD376" s="9">
        <f>K376+AB376+AC376</f>
        <v/>
      </c>
      <c r="AE376" s="9">
        <f>(AD376*0.6)+(AA376*0.4)</f>
        <v/>
      </c>
      <c r="AF376">
        <f>IF(AE376&gt;=9,"Critical",IF(AE376&gt;=7,"High",IF(AE376&gt;=4,"Medium","Low")))</f>
        <v/>
      </c>
    </row>
    <row r="377">
      <c r="F377" t="n">
        <v>1</v>
      </c>
      <c r="I377">
        <f>IF(D377="","",TODAY()-D377)</f>
        <v/>
      </c>
      <c r="K377">
        <f>IF(J377="v4.0",L377,IF(J377="v3.1",M377,IF(J377="Both",L377,IF(AND(L377&lt;&gt;"",M377=""),L377,M377))))</f>
        <v/>
      </c>
      <c r="U377">
        <f>IF(T377="Tier 1",10,IF(T377="Tier 2",7,IF(T377="Tier 3",4,IF(T377="Tier 4",1,0))))</f>
        <v/>
      </c>
      <c r="W377">
        <f>IF(V377="Restricted",10,IF(V377="Confidential",7,IF(V377="Internal",4,IF(V377="Public",1,0))))</f>
        <v/>
      </c>
      <c r="AA377" s="9">
        <f>(U377*0.4)+(W377*0.3)+(IF(Z377="Critical",10,IF(Z377="High",7,IF(Z377="Medium",4,1)))*0.2)+(IF(Y377="YES",10,0)*0.1)</f>
        <v/>
      </c>
      <c r="AB377" s="9">
        <f>IF(G377="YES",2.0,0)+IF(H377="YES",2.0,0)</f>
        <v/>
      </c>
      <c r="AC377" s="9" t="n">
        <v>0</v>
      </c>
      <c r="AD377" s="9">
        <f>K377+AB377+AC377</f>
        <v/>
      </c>
      <c r="AE377" s="9">
        <f>(AD377*0.6)+(AA377*0.4)</f>
        <v/>
      </c>
      <c r="AF377">
        <f>IF(AE377&gt;=9,"Critical",IF(AE377&gt;=7,"High",IF(AE377&gt;=4,"Medium","Low")))</f>
        <v/>
      </c>
    </row>
    <row r="378">
      <c r="F378" t="n">
        <v>1</v>
      </c>
      <c r="I378">
        <f>IF(D378="","",TODAY()-D378)</f>
        <v/>
      </c>
      <c r="K378">
        <f>IF(J378="v4.0",L378,IF(J378="v3.1",M378,IF(J378="Both",L378,IF(AND(L378&lt;&gt;"",M378=""),L378,M378))))</f>
        <v/>
      </c>
      <c r="U378">
        <f>IF(T378="Tier 1",10,IF(T378="Tier 2",7,IF(T378="Tier 3",4,IF(T378="Tier 4",1,0))))</f>
        <v/>
      </c>
      <c r="W378">
        <f>IF(V378="Restricted",10,IF(V378="Confidential",7,IF(V378="Internal",4,IF(V378="Public",1,0))))</f>
        <v/>
      </c>
      <c r="AA378" s="9">
        <f>(U378*0.4)+(W378*0.3)+(IF(Z378="Critical",10,IF(Z378="High",7,IF(Z378="Medium",4,1)))*0.2)+(IF(Y378="YES",10,0)*0.1)</f>
        <v/>
      </c>
      <c r="AB378" s="9">
        <f>IF(G378="YES",2.0,0)+IF(H378="YES",2.0,0)</f>
        <v/>
      </c>
      <c r="AC378" s="9" t="n">
        <v>0</v>
      </c>
      <c r="AD378" s="9">
        <f>K378+AB378+AC378</f>
        <v/>
      </c>
      <c r="AE378" s="9">
        <f>(AD378*0.6)+(AA378*0.4)</f>
        <v/>
      </c>
      <c r="AF378">
        <f>IF(AE378&gt;=9,"Critical",IF(AE378&gt;=7,"High",IF(AE378&gt;=4,"Medium","Low")))</f>
        <v/>
      </c>
    </row>
    <row r="379">
      <c r="F379" t="n">
        <v>1</v>
      </c>
      <c r="I379">
        <f>IF(D379="","",TODAY()-D379)</f>
        <v/>
      </c>
      <c r="K379">
        <f>IF(J379="v4.0",L379,IF(J379="v3.1",M379,IF(J379="Both",L379,IF(AND(L379&lt;&gt;"",M379=""),L379,M379))))</f>
        <v/>
      </c>
      <c r="U379">
        <f>IF(T379="Tier 1",10,IF(T379="Tier 2",7,IF(T379="Tier 3",4,IF(T379="Tier 4",1,0))))</f>
        <v/>
      </c>
      <c r="W379">
        <f>IF(V379="Restricted",10,IF(V379="Confidential",7,IF(V379="Internal",4,IF(V379="Public",1,0))))</f>
        <v/>
      </c>
      <c r="AA379" s="9">
        <f>(U379*0.4)+(W379*0.3)+(IF(Z379="Critical",10,IF(Z379="High",7,IF(Z379="Medium",4,1)))*0.2)+(IF(Y379="YES",10,0)*0.1)</f>
        <v/>
      </c>
      <c r="AB379" s="9">
        <f>IF(G379="YES",2.0,0)+IF(H379="YES",2.0,0)</f>
        <v/>
      </c>
      <c r="AC379" s="9" t="n">
        <v>0</v>
      </c>
      <c r="AD379" s="9">
        <f>K379+AB379+AC379</f>
        <v/>
      </c>
      <c r="AE379" s="9">
        <f>(AD379*0.6)+(AA379*0.4)</f>
        <v/>
      </c>
      <c r="AF379">
        <f>IF(AE379&gt;=9,"Critical",IF(AE379&gt;=7,"High",IF(AE379&gt;=4,"Medium","Low")))</f>
        <v/>
      </c>
    </row>
    <row r="380">
      <c r="F380" t="n">
        <v>1</v>
      </c>
      <c r="I380">
        <f>IF(D380="","",TODAY()-D380)</f>
        <v/>
      </c>
      <c r="K380">
        <f>IF(J380="v4.0",L380,IF(J380="v3.1",M380,IF(J380="Both",L380,IF(AND(L380&lt;&gt;"",M380=""),L380,M380))))</f>
        <v/>
      </c>
      <c r="U380">
        <f>IF(T380="Tier 1",10,IF(T380="Tier 2",7,IF(T380="Tier 3",4,IF(T380="Tier 4",1,0))))</f>
        <v/>
      </c>
      <c r="W380">
        <f>IF(V380="Restricted",10,IF(V380="Confidential",7,IF(V380="Internal",4,IF(V380="Public",1,0))))</f>
        <v/>
      </c>
      <c r="AA380" s="9">
        <f>(U380*0.4)+(W380*0.3)+(IF(Z380="Critical",10,IF(Z380="High",7,IF(Z380="Medium",4,1)))*0.2)+(IF(Y380="YES",10,0)*0.1)</f>
        <v/>
      </c>
      <c r="AB380" s="9">
        <f>IF(G380="YES",2.0,0)+IF(H380="YES",2.0,0)</f>
        <v/>
      </c>
      <c r="AC380" s="9" t="n">
        <v>0</v>
      </c>
      <c r="AD380" s="9">
        <f>K380+AB380+AC380</f>
        <v/>
      </c>
      <c r="AE380" s="9">
        <f>(AD380*0.6)+(AA380*0.4)</f>
        <v/>
      </c>
      <c r="AF380">
        <f>IF(AE380&gt;=9,"Critical",IF(AE380&gt;=7,"High",IF(AE380&gt;=4,"Medium","Low")))</f>
        <v/>
      </c>
    </row>
    <row r="381">
      <c r="F381" t="n">
        <v>1</v>
      </c>
      <c r="I381">
        <f>IF(D381="","",TODAY()-D381)</f>
        <v/>
      </c>
      <c r="K381">
        <f>IF(J381="v4.0",L381,IF(J381="v3.1",M381,IF(J381="Both",L381,IF(AND(L381&lt;&gt;"",M381=""),L381,M381))))</f>
        <v/>
      </c>
      <c r="U381">
        <f>IF(T381="Tier 1",10,IF(T381="Tier 2",7,IF(T381="Tier 3",4,IF(T381="Tier 4",1,0))))</f>
        <v/>
      </c>
      <c r="W381">
        <f>IF(V381="Restricted",10,IF(V381="Confidential",7,IF(V381="Internal",4,IF(V381="Public",1,0))))</f>
        <v/>
      </c>
      <c r="AA381" s="9">
        <f>(U381*0.4)+(W381*0.3)+(IF(Z381="Critical",10,IF(Z381="High",7,IF(Z381="Medium",4,1)))*0.2)+(IF(Y381="YES",10,0)*0.1)</f>
        <v/>
      </c>
      <c r="AB381" s="9">
        <f>IF(G381="YES",2.0,0)+IF(H381="YES",2.0,0)</f>
        <v/>
      </c>
      <c r="AC381" s="9" t="n">
        <v>0</v>
      </c>
      <c r="AD381" s="9">
        <f>K381+AB381+AC381</f>
        <v/>
      </c>
      <c r="AE381" s="9">
        <f>(AD381*0.6)+(AA381*0.4)</f>
        <v/>
      </c>
      <c r="AF381">
        <f>IF(AE381&gt;=9,"Critical",IF(AE381&gt;=7,"High",IF(AE381&gt;=4,"Medium","Low")))</f>
        <v/>
      </c>
    </row>
    <row r="382">
      <c r="F382" t="n">
        <v>1</v>
      </c>
      <c r="I382">
        <f>IF(D382="","",TODAY()-D382)</f>
        <v/>
      </c>
      <c r="K382">
        <f>IF(J382="v4.0",L382,IF(J382="v3.1",M382,IF(J382="Both",L382,IF(AND(L382&lt;&gt;"",M382=""),L382,M382))))</f>
        <v/>
      </c>
      <c r="U382">
        <f>IF(T382="Tier 1",10,IF(T382="Tier 2",7,IF(T382="Tier 3",4,IF(T382="Tier 4",1,0))))</f>
        <v/>
      </c>
      <c r="W382">
        <f>IF(V382="Restricted",10,IF(V382="Confidential",7,IF(V382="Internal",4,IF(V382="Public",1,0))))</f>
        <v/>
      </c>
      <c r="AA382" s="9">
        <f>(U382*0.4)+(W382*0.3)+(IF(Z382="Critical",10,IF(Z382="High",7,IF(Z382="Medium",4,1)))*0.2)+(IF(Y382="YES",10,0)*0.1)</f>
        <v/>
      </c>
      <c r="AB382" s="9">
        <f>IF(G382="YES",2.0,0)+IF(H382="YES",2.0,0)</f>
        <v/>
      </c>
      <c r="AC382" s="9" t="n">
        <v>0</v>
      </c>
      <c r="AD382" s="9">
        <f>K382+AB382+AC382</f>
        <v/>
      </c>
      <c r="AE382" s="9">
        <f>(AD382*0.6)+(AA382*0.4)</f>
        <v/>
      </c>
      <c r="AF382">
        <f>IF(AE382&gt;=9,"Critical",IF(AE382&gt;=7,"High",IF(AE382&gt;=4,"Medium","Low")))</f>
        <v/>
      </c>
    </row>
    <row r="383">
      <c r="F383" t="n">
        <v>1</v>
      </c>
      <c r="I383">
        <f>IF(D383="","",TODAY()-D383)</f>
        <v/>
      </c>
      <c r="K383">
        <f>IF(J383="v4.0",L383,IF(J383="v3.1",M383,IF(J383="Both",L383,IF(AND(L383&lt;&gt;"",M383=""),L383,M383))))</f>
        <v/>
      </c>
      <c r="U383">
        <f>IF(T383="Tier 1",10,IF(T383="Tier 2",7,IF(T383="Tier 3",4,IF(T383="Tier 4",1,0))))</f>
        <v/>
      </c>
      <c r="W383">
        <f>IF(V383="Restricted",10,IF(V383="Confidential",7,IF(V383="Internal",4,IF(V383="Public",1,0))))</f>
        <v/>
      </c>
      <c r="AA383" s="9">
        <f>(U383*0.4)+(W383*0.3)+(IF(Z383="Critical",10,IF(Z383="High",7,IF(Z383="Medium",4,1)))*0.2)+(IF(Y383="YES",10,0)*0.1)</f>
        <v/>
      </c>
      <c r="AB383" s="9">
        <f>IF(G383="YES",2.0,0)+IF(H383="YES",2.0,0)</f>
        <v/>
      </c>
      <c r="AC383" s="9" t="n">
        <v>0</v>
      </c>
      <c r="AD383" s="9">
        <f>K383+AB383+AC383</f>
        <v/>
      </c>
      <c r="AE383" s="9">
        <f>(AD383*0.6)+(AA383*0.4)</f>
        <v/>
      </c>
      <c r="AF383">
        <f>IF(AE383&gt;=9,"Critical",IF(AE383&gt;=7,"High",IF(AE383&gt;=4,"Medium","Low")))</f>
        <v/>
      </c>
    </row>
    <row r="384">
      <c r="F384" t="n">
        <v>1</v>
      </c>
      <c r="I384">
        <f>IF(D384="","",TODAY()-D384)</f>
        <v/>
      </c>
      <c r="K384">
        <f>IF(J384="v4.0",L384,IF(J384="v3.1",M384,IF(J384="Both",L384,IF(AND(L384&lt;&gt;"",M384=""),L384,M384))))</f>
        <v/>
      </c>
      <c r="U384">
        <f>IF(T384="Tier 1",10,IF(T384="Tier 2",7,IF(T384="Tier 3",4,IF(T384="Tier 4",1,0))))</f>
        <v/>
      </c>
      <c r="W384">
        <f>IF(V384="Restricted",10,IF(V384="Confidential",7,IF(V384="Internal",4,IF(V384="Public",1,0))))</f>
        <v/>
      </c>
      <c r="AA384" s="9">
        <f>(U384*0.4)+(W384*0.3)+(IF(Z384="Critical",10,IF(Z384="High",7,IF(Z384="Medium",4,1)))*0.2)+(IF(Y384="YES",10,0)*0.1)</f>
        <v/>
      </c>
      <c r="AB384" s="9">
        <f>IF(G384="YES",2.0,0)+IF(H384="YES",2.0,0)</f>
        <v/>
      </c>
      <c r="AC384" s="9" t="n">
        <v>0</v>
      </c>
      <c r="AD384" s="9">
        <f>K384+AB384+AC384</f>
        <v/>
      </c>
      <c r="AE384" s="9">
        <f>(AD384*0.6)+(AA384*0.4)</f>
        <v/>
      </c>
      <c r="AF384">
        <f>IF(AE384&gt;=9,"Critical",IF(AE384&gt;=7,"High",IF(AE384&gt;=4,"Medium","Low")))</f>
        <v/>
      </c>
    </row>
    <row r="385">
      <c r="F385" t="n">
        <v>1</v>
      </c>
      <c r="I385">
        <f>IF(D385="","",TODAY()-D385)</f>
        <v/>
      </c>
      <c r="K385">
        <f>IF(J385="v4.0",L385,IF(J385="v3.1",M385,IF(J385="Both",L385,IF(AND(L385&lt;&gt;"",M385=""),L385,M385))))</f>
        <v/>
      </c>
      <c r="U385">
        <f>IF(T385="Tier 1",10,IF(T385="Tier 2",7,IF(T385="Tier 3",4,IF(T385="Tier 4",1,0))))</f>
        <v/>
      </c>
      <c r="W385">
        <f>IF(V385="Restricted",10,IF(V385="Confidential",7,IF(V385="Internal",4,IF(V385="Public",1,0))))</f>
        <v/>
      </c>
      <c r="AA385" s="9">
        <f>(U385*0.4)+(W385*0.3)+(IF(Z385="Critical",10,IF(Z385="High",7,IF(Z385="Medium",4,1)))*0.2)+(IF(Y385="YES",10,0)*0.1)</f>
        <v/>
      </c>
      <c r="AB385" s="9">
        <f>IF(G385="YES",2.0,0)+IF(H385="YES",2.0,0)</f>
        <v/>
      </c>
      <c r="AC385" s="9" t="n">
        <v>0</v>
      </c>
      <c r="AD385" s="9">
        <f>K385+AB385+AC385</f>
        <v/>
      </c>
      <c r="AE385" s="9">
        <f>(AD385*0.6)+(AA385*0.4)</f>
        <v/>
      </c>
      <c r="AF385">
        <f>IF(AE385&gt;=9,"Critical",IF(AE385&gt;=7,"High",IF(AE385&gt;=4,"Medium","Low")))</f>
        <v/>
      </c>
    </row>
    <row r="386">
      <c r="F386" t="n">
        <v>1</v>
      </c>
      <c r="I386">
        <f>IF(D386="","",TODAY()-D386)</f>
        <v/>
      </c>
      <c r="K386">
        <f>IF(J386="v4.0",L386,IF(J386="v3.1",M386,IF(J386="Both",L386,IF(AND(L386&lt;&gt;"",M386=""),L386,M386))))</f>
        <v/>
      </c>
      <c r="U386">
        <f>IF(T386="Tier 1",10,IF(T386="Tier 2",7,IF(T386="Tier 3",4,IF(T386="Tier 4",1,0))))</f>
        <v/>
      </c>
      <c r="W386">
        <f>IF(V386="Restricted",10,IF(V386="Confidential",7,IF(V386="Internal",4,IF(V386="Public",1,0))))</f>
        <v/>
      </c>
      <c r="AA386" s="9">
        <f>(U386*0.4)+(W386*0.3)+(IF(Z386="Critical",10,IF(Z386="High",7,IF(Z386="Medium",4,1)))*0.2)+(IF(Y386="YES",10,0)*0.1)</f>
        <v/>
      </c>
      <c r="AB386" s="9">
        <f>IF(G386="YES",2.0,0)+IF(H386="YES",2.0,0)</f>
        <v/>
      </c>
      <c r="AC386" s="9" t="n">
        <v>0</v>
      </c>
      <c r="AD386" s="9">
        <f>K386+AB386+AC386</f>
        <v/>
      </c>
      <c r="AE386" s="9">
        <f>(AD386*0.6)+(AA386*0.4)</f>
        <v/>
      </c>
      <c r="AF386">
        <f>IF(AE386&gt;=9,"Critical",IF(AE386&gt;=7,"High",IF(AE386&gt;=4,"Medium","Low")))</f>
        <v/>
      </c>
    </row>
    <row r="387">
      <c r="F387" t="n">
        <v>1</v>
      </c>
      <c r="I387">
        <f>IF(D387="","",TODAY()-D387)</f>
        <v/>
      </c>
      <c r="K387">
        <f>IF(J387="v4.0",L387,IF(J387="v3.1",M387,IF(J387="Both",L387,IF(AND(L387&lt;&gt;"",M387=""),L387,M387))))</f>
        <v/>
      </c>
      <c r="U387">
        <f>IF(T387="Tier 1",10,IF(T387="Tier 2",7,IF(T387="Tier 3",4,IF(T387="Tier 4",1,0))))</f>
        <v/>
      </c>
      <c r="W387">
        <f>IF(V387="Restricted",10,IF(V387="Confidential",7,IF(V387="Internal",4,IF(V387="Public",1,0))))</f>
        <v/>
      </c>
      <c r="AA387" s="9">
        <f>(U387*0.4)+(W387*0.3)+(IF(Z387="Critical",10,IF(Z387="High",7,IF(Z387="Medium",4,1)))*0.2)+(IF(Y387="YES",10,0)*0.1)</f>
        <v/>
      </c>
      <c r="AB387" s="9">
        <f>IF(G387="YES",2.0,0)+IF(H387="YES",2.0,0)</f>
        <v/>
      </c>
      <c r="AC387" s="9" t="n">
        <v>0</v>
      </c>
      <c r="AD387" s="9">
        <f>K387+AB387+AC387</f>
        <v/>
      </c>
      <c r="AE387" s="9">
        <f>(AD387*0.6)+(AA387*0.4)</f>
        <v/>
      </c>
      <c r="AF387">
        <f>IF(AE387&gt;=9,"Critical",IF(AE387&gt;=7,"High",IF(AE387&gt;=4,"Medium","Low")))</f>
        <v/>
      </c>
    </row>
    <row r="388">
      <c r="F388" t="n">
        <v>1</v>
      </c>
      <c r="I388">
        <f>IF(D388="","",TODAY()-D388)</f>
        <v/>
      </c>
      <c r="K388">
        <f>IF(J388="v4.0",L388,IF(J388="v3.1",M388,IF(J388="Both",L388,IF(AND(L388&lt;&gt;"",M388=""),L388,M388))))</f>
        <v/>
      </c>
      <c r="U388">
        <f>IF(T388="Tier 1",10,IF(T388="Tier 2",7,IF(T388="Tier 3",4,IF(T388="Tier 4",1,0))))</f>
        <v/>
      </c>
      <c r="W388">
        <f>IF(V388="Restricted",10,IF(V388="Confidential",7,IF(V388="Internal",4,IF(V388="Public",1,0))))</f>
        <v/>
      </c>
      <c r="AA388" s="9">
        <f>(U388*0.4)+(W388*0.3)+(IF(Z388="Critical",10,IF(Z388="High",7,IF(Z388="Medium",4,1)))*0.2)+(IF(Y388="YES",10,0)*0.1)</f>
        <v/>
      </c>
      <c r="AB388" s="9">
        <f>IF(G388="YES",2.0,0)+IF(H388="YES",2.0,0)</f>
        <v/>
      </c>
      <c r="AC388" s="9" t="n">
        <v>0</v>
      </c>
      <c r="AD388" s="9">
        <f>K388+AB388+AC388</f>
        <v/>
      </c>
      <c r="AE388" s="9">
        <f>(AD388*0.6)+(AA388*0.4)</f>
        <v/>
      </c>
      <c r="AF388">
        <f>IF(AE388&gt;=9,"Critical",IF(AE388&gt;=7,"High",IF(AE388&gt;=4,"Medium","Low")))</f>
        <v/>
      </c>
    </row>
    <row r="389">
      <c r="F389" t="n">
        <v>1</v>
      </c>
      <c r="I389">
        <f>IF(D389="","",TODAY()-D389)</f>
        <v/>
      </c>
      <c r="K389">
        <f>IF(J389="v4.0",L389,IF(J389="v3.1",M389,IF(J389="Both",L389,IF(AND(L389&lt;&gt;"",M389=""),L389,M389))))</f>
        <v/>
      </c>
      <c r="U389">
        <f>IF(T389="Tier 1",10,IF(T389="Tier 2",7,IF(T389="Tier 3",4,IF(T389="Tier 4",1,0))))</f>
        <v/>
      </c>
      <c r="W389">
        <f>IF(V389="Restricted",10,IF(V389="Confidential",7,IF(V389="Internal",4,IF(V389="Public",1,0))))</f>
        <v/>
      </c>
      <c r="AA389" s="9">
        <f>(U389*0.4)+(W389*0.3)+(IF(Z389="Critical",10,IF(Z389="High",7,IF(Z389="Medium",4,1)))*0.2)+(IF(Y389="YES",10,0)*0.1)</f>
        <v/>
      </c>
      <c r="AB389" s="9">
        <f>IF(G389="YES",2.0,0)+IF(H389="YES",2.0,0)</f>
        <v/>
      </c>
      <c r="AC389" s="9" t="n">
        <v>0</v>
      </c>
      <c r="AD389" s="9">
        <f>K389+AB389+AC389</f>
        <v/>
      </c>
      <c r="AE389" s="9">
        <f>(AD389*0.6)+(AA389*0.4)</f>
        <v/>
      </c>
      <c r="AF389">
        <f>IF(AE389&gt;=9,"Critical",IF(AE389&gt;=7,"High",IF(AE389&gt;=4,"Medium","Low")))</f>
        <v/>
      </c>
    </row>
    <row r="390">
      <c r="F390" t="n">
        <v>1</v>
      </c>
      <c r="I390">
        <f>IF(D390="","",TODAY()-D390)</f>
        <v/>
      </c>
      <c r="K390">
        <f>IF(J390="v4.0",L390,IF(J390="v3.1",M390,IF(J390="Both",L390,IF(AND(L390&lt;&gt;"",M390=""),L390,M390))))</f>
        <v/>
      </c>
      <c r="U390">
        <f>IF(T390="Tier 1",10,IF(T390="Tier 2",7,IF(T390="Tier 3",4,IF(T390="Tier 4",1,0))))</f>
        <v/>
      </c>
      <c r="W390">
        <f>IF(V390="Restricted",10,IF(V390="Confidential",7,IF(V390="Internal",4,IF(V390="Public",1,0))))</f>
        <v/>
      </c>
      <c r="AA390" s="9">
        <f>(U390*0.4)+(W390*0.3)+(IF(Z390="Critical",10,IF(Z390="High",7,IF(Z390="Medium",4,1)))*0.2)+(IF(Y390="YES",10,0)*0.1)</f>
        <v/>
      </c>
      <c r="AB390" s="9">
        <f>IF(G390="YES",2.0,0)+IF(H390="YES",2.0,0)</f>
        <v/>
      </c>
      <c r="AC390" s="9" t="n">
        <v>0</v>
      </c>
      <c r="AD390" s="9">
        <f>K390+AB390+AC390</f>
        <v/>
      </c>
      <c r="AE390" s="9">
        <f>(AD390*0.6)+(AA390*0.4)</f>
        <v/>
      </c>
      <c r="AF390">
        <f>IF(AE390&gt;=9,"Critical",IF(AE390&gt;=7,"High",IF(AE390&gt;=4,"Medium","Low")))</f>
        <v/>
      </c>
    </row>
    <row r="391">
      <c r="F391" t="n">
        <v>1</v>
      </c>
      <c r="I391">
        <f>IF(D391="","",TODAY()-D391)</f>
        <v/>
      </c>
      <c r="K391">
        <f>IF(J391="v4.0",L391,IF(J391="v3.1",M391,IF(J391="Both",L391,IF(AND(L391&lt;&gt;"",M391=""),L391,M391))))</f>
        <v/>
      </c>
      <c r="U391">
        <f>IF(T391="Tier 1",10,IF(T391="Tier 2",7,IF(T391="Tier 3",4,IF(T391="Tier 4",1,0))))</f>
        <v/>
      </c>
      <c r="W391">
        <f>IF(V391="Restricted",10,IF(V391="Confidential",7,IF(V391="Internal",4,IF(V391="Public",1,0))))</f>
        <v/>
      </c>
      <c r="AA391" s="9">
        <f>(U391*0.4)+(W391*0.3)+(IF(Z391="Critical",10,IF(Z391="High",7,IF(Z391="Medium",4,1)))*0.2)+(IF(Y391="YES",10,0)*0.1)</f>
        <v/>
      </c>
      <c r="AB391" s="9">
        <f>IF(G391="YES",2.0,0)+IF(H391="YES",2.0,0)</f>
        <v/>
      </c>
      <c r="AC391" s="9" t="n">
        <v>0</v>
      </c>
      <c r="AD391" s="9">
        <f>K391+AB391+AC391</f>
        <v/>
      </c>
      <c r="AE391" s="9">
        <f>(AD391*0.6)+(AA391*0.4)</f>
        <v/>
      </c>
      <c r="AF391">
        <f>IF(AE391&gt;=9,"Critical",IF(AE391&gt;=7,"High",IF(AE391&gt;=4,"Medium","Low")))</f>
        <v/>
      </c>
    </row>
    <row r="392">
      <c r="F392" t="n">
        <v>1</v>
      </c>
      <c r="I392">
        <f>IF(D392="","",TODAY()-D392)</f>
        <v/>
      </c>
      <c r="K392">
        <f>IF(J392="v4.0",L392,IF(J392="v3.1",M392,IF(J392="Both",L392,IF(AND(L392&lt;&gt;"",M392=""),L392,M392))))</f>
        <v/>
      </c>
      <c r="U392">
        <f>IF(T392="Tier 1",10,IF(T392="Tier 2",7,IF(T392="Tier 3",4,IF(T392="Tier 4",1,0))))</f>
        <v/>
      </c>
      <c r="W392">
        <f>IF(V392="Restricted",10,IF(V392="Confidential",7,IF(V392="Internal",4,IF(V392="Public",1,0))))</f>
        <v/>
      </c>
      <c r="AA392" s="9">
        <f>(U392*0.4)+(W392*0.3)+(IF(Z392="Critical",10,IF(Z392="High",7,IF(Z392="Medium",4,1)))*0.2)+(IF(Y392="YES",10,0)*0.1)</f>
        <v/>
      </c>
      <c r="AB392" s="9">
        <f>IF(G392="YES",2.0,0)+IF(H392="YES",2.0,0)</f>
        <v/>
      </c>
      <c r="AC392" s="9" t="n">
        <v>0</v>
      </c>
      <c r="AD392" s="9">
        <f>K392+AB392+AC392</f>
        <v/>
      </c>
      <c r="AE392" s="9">
        <f>(AD392*0.6)+(AA392*0.4)</f>
        <v/>
      </c>
      <c r="AF392">
        <f>IF(AE392&gt;=9,"Critical",IF(AE392&gt;=7,"High",IF(AE392&gt;=4,"Medium","Low")))</f>
        <v/>
      </c>
    </row>
    <row r="393">
      <c r="F393" t="n">
        <v>1</v>
      </c>
      <c r="I393">
        <f>IF(D393="","",TODAY()-D393)</f>
        <v/>
      </c>
      <c r="K393">
        <f>IF(J393="v4.0",L393,IF(J393="v3.1",M393,IF(J393="Both",L393,IF(AND(L393&lt;&gt;"",M393=""),L393,M393))))</f>
        <v/>
      </c>
      <c r="U393">
        <f>IF(T393="Tier 1",10,IF(T393="Tier 2",7,IF(T393="Tier 3",4,IF(T393="Tier 4",1,0))))</f>
        <v/>
      </c>
      <c r="W393">
        <f>IF(V393="Restricted",10,IF(V393="Confidential",7,IF(V393="Internal",4,IF(V393="Public",1,0))))</f>
        <v/>
      </c>
      <c r="AA393" s="9">
        <f>(U393*0.4)+(W393*0.3)+(IF(Z393="Critical",10,IF(Z393="High",7,IF(Z393="Medium",4,1)))*0.2)+(IF(Y393="YES",10,0)*0.1)</f>
        <v/>
      </c>
      <c r="AB393" s="9">
        <f>IF(G393="YES",2.0,0)+IF(H393="YES",2.0,0)</f>
        <v/>
      </c>
      <c r="AC393" s="9" t="n">
        <v>0</v>
      </c>
      <c r="AD393" s="9">
        <f>K393+AB393+AC393</f>
        <v/>
      </c>
      <c r="AE393" s="9">
        <f>(AD393*0.6)+(AA393*0.4)</f>
        <v/>
      </c>
      <c r="AF393">
        <f>IF(AE393&gt;=9,"Critical",IF(AE393&gt;=7,"High",IF(AE393&gt;=4,"Medium","Low")))</f>
        <v/>
      </c>
    </row>
    <row r="394">
      <c r="F394" t="n">
        <v>1</v>
      </c>
      <c r="I394">
        <f>IF(D394="","",TODAY()-D394)</f>
        <v/>
      </c>
      <c r="K394">
        <f>IF(J394="v4.0",L394,IF(J394="v3.1",M394,IF(J394="Both",L394,IF(AND(L394&lt;&gt;"",M394=""),L394,M394))))</f>
        <v/>
      </c>
      <c r="U394">
        <f>IF(T394="Tier 1",10,IF(T394="Tier 2",7,IF(T394="Tier 3",4,IF(T394="Tier 4",1,0))))</f>
        <v/>
      </c>
      <c r="W394">
        <f>IF(V394="Restricted",10,IF(V394="Confidential",7,IF(V394="Internal",4,IF(V394="Public",1,0))))</f>
        <v/>
      </c>
      <c r="AA394" s="9">
        <f>(U394*0.4)+(W394*0.3)+(IF(Z394="Critical",10,IF(Z394="High",7,IF(Z394="Medium",4,1)))*0.2)+(IF(Y394="YES",10,0)*0.1)</f>
        <v/>
      </c>
      <c r="AB394" s="9">
        <f>IF(G394="YES",2.0,0)+IF(H394="YES",2.0,0)</f>
        <v/>
      </c>
      <c r="AC394" s="9" t="n">
        <v>0</v>
      </c>
      <c r="AD394" s="9">
        <f>K394+AB394+AC394</f>
        <v/>
      </c>
      <c r="AE394" s="9">
        <f>(AD394*0.6)+(AA394*0.4)</f>
        <v/>
      </c>
      <c r="AF394">
        <f>IF(AE394&gt;=9,"Critical",IF(AE394&gt;=7,"High",IF(AE394&gt;=4,"Medium","Low")))</f>
        <v/>
      </c>
    </row>
    <row r="395">
      <c r="F395" t="n">
        <v>1</v>
      </c>
      <c r="I395">
        <f>IF(D395="","",TODAY()-D395)</f>
        <v/>
      </c>
      <c r="K395">
        <f>IF(J395="v4.0",L395,IF(J395="v3.1",M395,IF(J395="Both",L395,IF(AND(L395&lt;&gt;"",M395=""),L395,M395))))</f>
        <v/>
      </c>
      <c r="U395">
        <f>IF(T395="Tier 1",10,IF(T395="Tier 2",7,IF(T395="Tier 3",4,IF(T395="Tier 4",1,0))))</f>
        <v/>
      </c>
      <c r="W395">
        <f>IF(V395="Restricted",10,IF(V395="Confidential",7,IF(V395="Internal",4,IF(V395="Public",1,0))))</f>
        <v/>
      </c>
      <c r="AA395" s="9">
        <f>(U395*0.4)+(W395*0.3)+(IF(Z395="Critical",10,IF(Z395="High",7,IF(Z395="Medium",4,1)))*0.2)+(IF(Y395="YES",10,0)*0.1)</f>
        <v/>
      </c>
      <c r="AB395" s="9">
        <f>IF(G395="YES",2.0,0)+IF(H395="YES",2.0,0)</f>
        <v/>
      </c>
      <c r="AC395" s="9" t="n">
        <v>0</v>
      </c>
      <c r="AD395" s="9">
        <f>K395+AB395+AC395</f>
        <v/>
      </c>
      <c r="AE395" s="9">
        <f>(AD395*0.6)+(AA395*0.4)</f>
        <v/>
      </c>
      <c r="AF395">
        <f>IF(AE395&gt;=9,"Critical",IF(AE395&gt;=7,"High",IF(AE395&gt;=4,"Medium","Low")))</f>
        <v/>
      </c>
    </row>
    <row r="396">
      <c r="F396" t="n">
        <v>1</v>
      </c>
      <c r="I396">
        <f>IF(D396="","",TODAY()-D396)</f>
        <v/>
      </c>
      <c r="K396">
        <f>IF(J396="v4.0",L396,IF(J396="v3.1",M396,IF(J396="Both",L396,IF(AND(L396&lt;&gt;"",M396=""),L396,M396))))</f>
        <v/>
      </c>
      <c r="U396">
        <f>IF(T396="Tier 1",10,IF(T396="Tier 2",7,IF(T396="Tier 3",4,IF(T396="Tier 4",1,0))))</f>
        <v/>
      </c>
      <c r="W396">
        <f>IF(V396="Restricted",10,IF(V396="Confidential",7,IF(V396="Internal",4,IF(V396="Public",1,0))))</f>
        <v/>
      </c>
      <c r="AA396" s="9">
        <f>(U396*0.4)+(W396*0.3)+(IF(Z396="Critical",10,IF(Z396="High",7,IF(Z396="Medium",4,1)))*0.2)+(IF(Y396="YES",10,0)*0.1)</f>
        <v/>
      </c>
      <c r="AB396" s="9">
        <f>IF(G396="YES",2.0,0)+IF(H396="YES",2.0,0)</f>
        <v/>
      </c>
      <c r="AC396" s="9" t="n">
        <v>0</v>
      </c>
      <c r="AD396" s="9">
        <f>K396+AB396+AC396</f>
        <v/>
      </c>
      <c r="AE396" s="9">
        <f>(AD396*0.6)+(AA396*0.4)</f>
        <v/>
      </c>
      <c r="AF396">
        <f>IF(AE396&gt;=9,"Critical",IF(AE396&gt;=7,"High",IF(AE396&gt;=4,"Medium","Low")))</f>
        <v/>
      </c>
    </row>
    <row r="397">
      <c r="F397" t="n">
        <v>1</v>
      </c>
      <c r="I397">
        <f>IF(D397="","",TODAY()-D397)</f>
        <v/>
      </c>
      <c r="K397">
        <f>IF(J397="v4.0",L397,IF(J397="v3.1",M397,IF(J397="Both",L397,IF(AND(L397&lt;&gt;"",M397=""),L397,M397))))</f>
        <v/>
      </c>
      <c r="U397">
        <f>IF(T397="Tier 1",10,IF(T397="Tier 2",7,IF(T397="Tier 3",4,IF(T397="Tier 4",1,0))))</f>
        <v/>
      </c>
      <c r="W397">
        <f>IF(V397="Restricted",10,IF(V397="Confidential",7,IF(V397="Internal",4,IF(V397="Public",1,0))))</f>
        <v/>
      </c>
      <c r="AA397" s="9">
        <f>(U397*0.4)+(W397*0.3)+(IF(Z397="Critical",10,IF(Z397="High",7,IF(Z397="Medium",4,1)))*0.2)+(IF(Y397="YES",10,0)*0.1)</f>
        <v/>
      </c>
      <c r="AB397" s="9">
        <f>IF(G397="YES",2.0,0)+IF(H397="YES",2.0,0)</f>
        <v/>
      </c>
      <c r="AC397" s="9" t="n">
        <v>0</v>
      </c>
      <c r="AD397" s="9">
        <f>K397+AB397+AC397</f>
        <v/>
      </c>
      <c r="AE397" s="9">
        <f>(AD397*0.6)+(AA397*0.4)</f>
        <v/>
      </c>
      <c r="AF397">
        <f>IF(AE397&gt;=9,"Critical",IF(AE397&gt;=7,"High",IF(AE397&gt;=4,"Medium","Low")))</f>
        <v/>
      </c>
    </row>
    <row r="398">
      <c r="F398" t="n">
        <v>1</v>
      </c>
      <c r="I398">
        <f>IF(D398="","",TODAY()-D398)</f>
        <v/>
      </c>
      <c r="K398">
        <f>IF(J398="v4.0",L398,IF(J398="v3.1",M398,IF(J398="Both",L398,IF(AND(L398&lt;&gt;"",M398=""),L398,M398))))</f>
        <v/>
      </c>
      <c r="U398">
        <f>IF(T398="Tier 1",10,IF(T398="Tier 2",7,IF(T398="Tier 3",4,IF(T398="Tier 4",1,0))))</f>
        <v/>
      </c>
      <c r="W398">
        <f>IF(V398="Restricted",10,IF(V398="Confidential",7,IF(V398="Internal",4,IF(V398="Public",1,0))))</f>
        <v/>
      </c>
      <c r="AA398" s="9">
        <f>(U398*0.4)+(W398*0.3)+(IF(Z398="Critical",10,IF(Z398="High",7,IF(Z398="Medium",4,1)))*0.2)+(IF(Y398="YES",10,0)*0.1)</f>
        <v/>
      </c>
      <c r="AB398" s="9">
        <f>IF(G398="YES",2.0,0)+IF(H398="YES",2.0,0)</f>
        <v/>
      </c>
      <c r="AC398" s="9" t="n">
        <v>0</v>
      </c>
      <c r="AD398" s="9">
        <f>K398+AB398+AC398</f>
        <v/>
      </c>
      <c r="AE398" s="9">
        <f>(AD398*0.6)+(AA398*0.4)</f>
        <v/>
      </c>
      <c r="AF398">
        <f>IF(AE398&gt;=9,"Critical",IF(AE398&gt;=7,"High",IF(AE398&gt;=4,"Medium","Low")))</f>
        <v/>
      </c>
    </row>
    <row r="399">
      <c r="F399" t="n">
        <v>1</v>
      </c>
      <c r="I399">
        <f>IF(D399="","",TODAY()-D399)</f>
        <v/>
      </c>
      <c r="K399">
        <f>IF(J399="v4.0",L399,IF(J399="v3.1",M399,IF(J399="Both",L399,IF(AND(L399&lt;&gt;"",M399=""),L399,M399))))</f>
        <v/>
      </c>
      <c r="U399">
        <f>IF(T399="Tier 1",10,IF(T399="Tier 2",7,IF(T399="Tier 3",4,IF(T399="Tier 4",1,0))))</f>
        <v/>
      </c>
      <c r="W399">
        <f>IF(V399="Restricted",10,IF(V399="Confidential",7,IF(V399="Internal",4,IF(V399="Public",1,0))))</f>
        <v/>
      </c>
      <c r="AA399" s="9">
        <f>(U399*0.4)+(W399*0.3)+(IF(Z399="Critical",10,IF(Z399="High",7,IF(Z399="Medium",4,1)))*0.2)+(IF(Y399="YES",10,0)*0.1)</f>
        <v/>
      </c>
      <c r="AB399" s="9">
        <f>IF(G399="YES",2.0,0)+IF(H399="YES",2.0,0)</f>
        <v/>
      </c>
      <c r="AC399" s="9" t="n">
        <v>0</v>
      </c>
      <c r="AD399" s="9">
        <f>K399+AB399+AC399</f>
        <v/>
      </c>
      <c r="AE399" s="9">
        <f>(AD399*0.6)+(AA399*0.4)</f>
        <v/>
      </c>
      <c r="AF399">
        <f>IF(AE399&gt;=9,"Critical",IF(AE399&gt;=7,"High",IF(AE399&gt;=4,"Medium","Low")))</f>
        <v/>
      </c>
    </row>
    <row r="400">
      <c r="F400" t="n">
        <v>1</v>
      </c>
      <c r="I400">
        <f>IF(D400="","",TODAY()-D400)</f>
        <v/>
      </c>
      <c r="K400">
        <f>IF(J400="v4.0",L400,IF(J400="v3.1",M400,IF(J400="Both",L400,IF(AND(L400&lt;&gt;"",M400=""),L400,M400))))</f>
        <v/>
      </c>
      <c r="U400">
        <f>IF(T400="Tier 1",10,IF(T400="Tier 2",7,IF(T400="Tier 3",4,IF(T400="Tier 4",1,0))))</f>
        <v/>
      </c>
      <c r="W400">
        <f>IF(V400="Restricted",10,IF(V400="Confidential",7,IF(V400="Internal",4,IF(V400="Public",1,0))))</f>
        <v/>
      </c>
      <c r="AA400" s="9">
        <f>(U400*0.4)+(W400*0.3)+(IF(Z400="Critical",10,IF(Z400="High",7,IF(Z400="Medium",4,1)))*0.2)+(IF(Y400="YES",10,0)*0.1)</f>
        <v/>
      </c>
      <c r="AB400" s="9">
        <f>IF(G400="YES",2.0,0)+IF(H400="YES",2.0,0)</f>
        <v/>
      </c>
      <c r="AC400" s="9" t="n">
        <v>0</v>
      </c>
      <c r="AD400" s="9">
        <f>K400+AB400+AC400</f>
        <v/>
      </c>
      <c r="AE400" s="9">
        <f>(AD400*0.6)+(AA400*0.4)</f>
        <v/>
      </c>
      <c r="AF400">
        <f>IF(AE400&gt;=9,"Critical",IF(AE400&gt;=7,"High",IF(AE400&gt;=4,"Medium","Low")))</f>
        <v/>
      </c>
    </row>
    <row r="401">
      <c r="F401" t="n">
        <v>1</v>
      </c>
      <c r="I401">
        <f>IF(D401="","",TODAY()-D401)</f>
        <v/>
      </c>
      <c r="K401">
        <f>IF(J401="v4.0",L401,IF(J401="v3.1",M401,IF(J401="Both",L401,IF(AND(L401&lt;&gt;"",M401=""),L401,M401))))</f>
        <v/>
      </c>
      <c r="U401">
        <f>IF(T401="Tier 1",10,IF(T401="Tier 2",7,IF(T401="Tier 3",4,IF(T401="Tier 4",1,0))))</f>
        <v/>
      </c>
      <c r="W401">
        <f>IF(V401="Restricted",10,IF(V401="Confidential",7,IF(V401="Internal",4,IF(V401="Public",1,0))))</f>
        <v/>
      </c>
      <c r="AA401" s="9">
        <f>(U401*0.4)+(W401*0.3)+(IF(Z401="Critical",10,IF(Z401="High",7,IF(Z401="Medium",4,1)))*0.2)+(IF(Y401="YES",10,0)*0.1)</f>
        <v/>
      </c>
      <c r="AB401" s="9">
        <f>IF(G401="YES",2.0,0)+IF(H401="YES",2.0,0)</f>
        <v/>
      </c>
      <c r="AC401" s="9" t="n">
        <v>0</v>
      </c>
      <c r="AD401" s="9">
        <f>K401+AB401+AC401</f>
        <v/>
      </c>
      <c r="AE401" s="9">
        <f>(AD401*0.6)+(AA401*0.4)</f>
        <v/>
      </c>
      <c r="AF401">
        <f>IF(AE401&gt;=9,"Critical",IF(AE401&gt;=7,"High",IF(AE401&gt;=4,"Medium","Low")))</f>
        <v/>
      </c>
    </row>
    <row r="402">
      <c r="F402" t="n">
        <v>1</v>
      </c>
      <c r="I402">
        <f>IF(D402="","",TODAY()-D402)</f>
        <v/>
      </c>
      <c r="K402">
        <f>IF(J402="v4.0",L402,IF(J402="v3.1",M402,IF(J402="Both",L402,IF(AND(L402&lt;&gt;"",M402=""),L402,M402))))</f>
        <v/>
      </c>
      <c r="U402">
        <f>IF(T402="Tier 1",10,IF(T402="Tier 2",7,IF(T402="Tier 3",4,IF(T402="Tier 4",1,0))))</f>
        <v/>
      </c>
      <c r="W402">
        <f>IF(V402="Restricted",10,IF(V402="Confidential",7,IF(V402="Internal",4,IF(V402="Public",1,0))))</f>
        <v/>
      </c>
      <c r="AA402" s="9">
        <f>(U402*0.4)+(W402*0.3)+(IF(Z402="Critical",10,IF(Z402="High",7,IF(Z402="Medium",4,1)))*0.2)+(IF(Y402="YES",10,0)*0.1)</f>
        <v/>
      </c>
      <c r="AB402" s="9">
        <f>IF(G402="YES",2.0,0)+IF(H402="YES",2.0,0)</f>
        <v/>
      </c>
      <c r="AC402" s="9" t="n">
        <v>0</v>
      </c>
      <c r="AD402" s="9">
        <f>K402+AB402+AC402</f>
        <v/>
      </c>
      <c r="AE402" s="9">
        <f>(AD402*0.6)+(AA402*0.4)</f>
        <v/>
      </c>
      <c r="AF402">
        <f>IF(AE402&gt;=9,"Critical",IF(AE402&gt;=7,"High",IF(AE402&gt;=4,"Medium","Low")))</f>
        <v/>
      </c>
    </row>
    <row r="403">
      <c r="F403" t="n">
        <v>1</v>
      </c>
      <c r="I403">
        <f>IF(D403="","",TODAY()-D403)</f>
        <v/>
      </c>
      <c r="K403">
        <f>IF(J403="v4.0",L403,IF(J403="v3.1",M403,IF(J403="Both",L403,IF(AND(L403&lt;&gt;"",M403=""),L403,M403))))</f>
        <v/>
      </c>
      <c r="U403">
        <f>IF(T403="Tier 1",10,IF(T403="Tier 2",7,IF(T403="Tier 3",4,IF(T403="Tier 4",1,0))))</f>
        <v/>
      </c>
      <c r="W403">
        <f>IF(V403="Restricted",10,IF(V403="Confidential",7,IF(V403="Internal",4,IF(V403="Public",1,0))))</f>
        <v/>
      </c>
      <c r="AA403" s="9">
        <f>(U403*0.4)+(W403*0.3)+(IF(Z403="Critical",10,IF(Z403="High",7,IF(Z403="Medium",4,1)))*0.2)+(IF(Y403="YES",10,0)*0.1)</f>
        <v/>
      </c>
      <c r="AB403" s="9">
        <f>IF(G403="YES",2.0,0)+IF(H403="YES",2.0,0)</f>
        <v/>
      </c>
      <c r="AC403" s="9" t="n">
        <v>0</v>
      </c>
      <c r="AD403" s="9">
        <f>K403+AB403+AC403</f>
        <v/>
      </c>
      <c r="AE403" s="9">
        <f>(AD403*0.6)+(AA403*0.4)</f>
        <v/>
      </c>
      <c r="AF403">
        <f>IF(AE403&gt;=9,"Critical",IF(AE403&gt;=7,"High",IF(AE403&gt;=4,"Medium","Low")))</f>
        <v/>
      </c>
    </row>
    <row r="404">
      <c r="F404" t="n">
        <v>1</v>
      </c>
      <c r="I404">
        <f>IF(D404="","",TODAY()-D404)</f>
        <v/>
      </c>
      <c r="K404">
        <f>IF(J404="v4.0",L404,IF(J404="v3.1",M404,IF(J404="Both",L404,IF(AND(L404&lt;&gt;"",M404=""),L404,M404))))</f>
        <v/>
      </c>
      <c r="U404">
        <f>IF(T404="Tier 1",10,IF(T404="Tier 2",7,IF(T404="Tier 3",4,IF(T404="Tier 4",1,0))))</f>
        <v/>
      </c>
      <c r="W404">
        <f>IF(V404="Restricted",10,IF(V404="Confidential",7,IF(V404="Internal",4,IF(V404="Public",1,0))))</f>
        <v/>
      </c>
      <c r="AA404" s="9">
        <f>(U404*0.4)+(W404*0.3)+(IF(Z404="Critical",10,IF(Z404="High",7,IF(Z404="Medium",4,1)))*0.2)+(IF(Y404="YES",10,0)*0.1)</f>
        <v/>
      </c>
      <c r="AB404" s="9">
        <f>IF(G404="YES",2.0,0)+IF(H404="YES",2.0,0)</f>
        <v/>
      </c>
      <c r="AC404" s="9" t="n">
        <v>0</v>
      </c>
      <c r="AD404" s="9">
        <f>K404+AB404+AC404</f>
        <v/>
      </c>
      <c r="AE404" s="9">
        <f>(AD404*0.6)+(AA404*0.4)</f>
        <v/>
      </c>
      <c r="AF404">
        <f>IF(AE404&gt;=9,"Critical",IF(AE404&gt;=7,"High",IF(AE404&gt;=4,"Medium","Low")))</f>
        <v/>
      </c>
    </row>
    <row r="405">
      <c r="F405" t="n">
        <v>1</v>
      </c>
      <c r="I405">
        <f>IF(D405="","",TODAY()-D405)</f>
        <v/>
      </c>
      <c r="K405">
        <f>IF(J405="v4.0",L405,IF(J405="v3.1",M405,IF(J405="Both",L405,IF(AND(L405&lt;&gt;"",M405=""),L405,M405))))</f>
        <v/>
      </c>
      <c r="U405">
        <f>IF(T405="Tier 1",10,IF(T405="Tier 2",7,IF(T405="Tier 3",4,IF(T405="Tier 4",1,0))))</f>
        <v/>
      </c>
      <c r="W405">
        <f>IF(V405="Restricted",10,IF(V405="Confidential",7,IF(V405="Internal",4,IF(V405="Public",1,0))))</f>
        <v/>
      </c>
      <c r="AA405" s="9">
        <f>(U405*0.4)+(W405*0.3)+(IF(Z405="Critical",10,IF(Z405="High",7,IF(Z405="Medium",4,1)))*0.2)+(IF(Y405="YES",10,0)*0.1)</f>
        <v/>
      </c>
      <c r="AB405" s="9">
        <f>IF(G405="YES",2.0,0)+IF(H405="YES",2.0,0)</f>
        <v/>
      </c>
      <c r="AC405" s="9" t="n">
        <v>0</v>
      </c>
      <c r="AD405" s="9">
        <f>K405+AB405+AC405</f>
        <v/>
      </c>
      <c r="AE405" s="9">
        <f>(AD405*0.6)+(AA405*0.4)</f>
        <v/>
      </c>
      <c r="AF405">
        <f>IF(AE405&gt;=9,"Critical",IF(AE405&gt;=7,"High",IF(AE405&gt;=4,"Medium","Low")))</f>
        <v/>
      </c>
    </row>
    <row r="406">
      <c r="F406" t="n">
        <v>1</v>
      </c>
      <c r="I406">
        <f>IF(D406="","",TODAY()-D406)</f>
        <v/>
      </c>
      <c r="K406">
        <f>IF(J406="v4.0",L406,IF(J406="v3.1",M406,IF(J406="Both",L406,IF(AND(L406&lt;&gt;"",M406=""),L406,M406))))</f>
        <v/>
      </c>
      <c r="U406">
        <f>IF(T406="Tier 1",10,IF(T406="Tier 2",7,IF(T406="Tier 3",4,IF(T406="Tier 4",1,0))))</f>
        <v/>
      </c>
      <c r="W406">
        <f>IF(V406="Restricted",10,IF(V406="Confidential",7,IF(V406="Internal",4,IF(V406="Public",1,0))))</f>
        <v/>
      </c>
      <c r="AA406" s="9">
        <f>(U406*0.4)+(W406*0.3)+(IF(Z406="Critical",10,IF(Z406="High",7,IF(Z406="Medium",4,1)))*0.2)+(IF(Y406="YES",10,0)*0.1)</f>
        <v/>
      </c>
      <c r="AB406" s="9">
        <f>IF(G406="YES",2.0,0)+IF(H406="YES",2.0,0)</f>
        <v/>
      </c>
      <c r="AC406" s="9" t="n">
        <v>0</v>
      </c>
      <c r="AD406" s="9">
        <f>K406+AB406+AC406</f>
        <v/>
      </c>
      <c r="AE406" s="9">
        <f>(AD406*0.6)+(AA406*0.4)</f>
        <v/>
      </c>
      <c r="AF406">
        <f>IF(AE406&gt;=9,"Critical",IF(AE406&gt;=7,"High",IF(AE406&gt;=4,"Medium","Low")))</f>
        <v/>
      </c>
    </row>
    <row r="407">
      <c r="F407" t="n">
        <v>1</v>
      </c>
      <c r="I407">
        <f>IF(D407="","",TODAY()-D407)</f>
        <v/>
      </c>
      <c r="K407">
        <f>IF(J407="v4.0",L407,IF(J407="v3.1",M407,IF(J407="Both",L407,IF(AND(L407&lt;&gt;"",M407=""),L407,M407))))</f>
        <v/>
      </c>
      <c r="U407">
        <f>IF(T407="Tier 1",10,IF(T407="Tier 2",7,IF(T407="Tier 3",4,IF(T407="Tier 4",1,0))))</f>
        <v/>
      </c>
      <c r="W407">
        <f>IF(V407="Restricted",10,IF(V407="Confidential",7,IF(V407="Internal",4,IF(V407="Public",1,0))))</f>
        <v/>
      </c>
      <c r="AA407" s="9">
        <f>(U407*0.4)+(W407*0.3)+(IF(Z407="Critical",10,IF(Z407="High",7,IF(Z407="Medium",4,1)))*0.2)+(IF(Y407="YES",10,0)*0.1)</f>
        <v/>
      </c>
      <c r="AB407" s="9">
        <f>IF(G407="YES",2.0,0)+IF(H407="YES",2.0,0)</f>
        <v/>
      </c>
      <c r="AC407" s="9" t="n">
        <v>0</v>
      </c>
      <c r="AD407" s="9">
        <f>K407+AB407+AC407</f>
        <v/>
      </c>
      <c r="AE407" s="9">
        <f>(AD407*0.6)+(AA407*0.4)</f>
        <v/>
      </c>
      <c r="AF407">
        <f>IF(AE407&gt;=9,"Critical",IF(AE407&gt;=7,"High",IF(AE407&gt;=4,"Medium","Low")))</f>
        <v/>
      </c>
    </row>
    <row r="408">
      <c r="F408" t="n">
        <v>1</v>
      </c>
      <c r="I408">
        <f>IF(D408="","",TODAY()-D408)</f>
        <v/>
      </c>
      <c r="K408">
        <f>IF(J408="v4.0",L408,IF(J408="v3.1",M408,IF(J408="Both",L408,IF(AND(L408&lt;&gt;"",M408=""),L408,M408))))</f>
        <v/>
      </c>
      <c r="U408">
        <f>IF(T408="Tier 1",10,IF(T408="Tier 2",7,IF(T408="Tier 3",4,IF(T408="Tier 4",1,0))))</f>
        <v/>
      </c>
      <c r="W408">
        <f>IF(V408="Restricted",10,IF(V408="Confidential",7,IF(V408="Internal",4,IF(V408="Public",1,0))))</f>
        <v/>
      </c>
      <c r="AA408" s="9">
        <f>(U408*0.4)+(W408*0.3)+(IF(Z408="Critical",10,IF(Z408="High",7,IF(Z408="Medium",4,1)))*0.2)+(IF(Y408="YES",10,0)*0.1)</f>
        <v/>
      </c>
      <c r="AB408" s="9">
        <f>IF(G408="YES",2.0,0)+IF(H408="YES",2.0,0)</f>
        <v/>
      </c>
      <c r="AC408" s="9" t="n">
        <v>0</v>
      </c>
      <c r="AD408" s="9">
        <f>K408+AB408+AC408</f>
        <v/>
      </c>
      <c r="AE408" s="9">
        <f>(AD408*0.6)+(AA408*0.4)</f>
        <v/>
      </c>
      <c r="AF408">
        <f>IF(AE408&gt;=9,"Critical",IF(AE408&gt;=7,"High",IF(AE408&gt;=4,"Medium","Low")))</f>
        <v/>
      </c>
    </row>
    <row r="409">
      <c r="F409" t="n">
        <v>1</v>
      </c>
      <c r="I409">
        <f>IF(D409="","",TODAY()-D409)</f>
        <v/>
      </c>
      <c r="K409">
        <f>IF(J409="v4.0",L409,IF(J409="v3.1",M409,IF(J409="Both",L409,IF(AND(L409&lt;&gt;"",M409=""),L409,M409))))</f>
        <v/>
      </c>
      <c r="U409">
        <f>IF(T409="Tier 1",10,IF(T409="Tier 2",7,IF(T409="Tier 3",4,IF(T409="Tier 4",1,0))))</f>
        <v/>
      </c>
      <c r="W409">
        <f>IF(V409="Restricted",10,IF(V409="Confidential",7,IF(V409="Internal",4,IF(V409="Public",1,0))))</f>
        <v/>
      </c>
      <c r="AA409" s="9">
        <f>(U409*0.4)+(W409*0.3)+(IF(Z409="Critical",10,IF(Z409="High",7,IF(Z409="Medium",4,1)))*0.2)+(IF(Y409="YES",10,0)*0.1)</f>
        <v/>
      </c>
      <c r="AB409" s="9">
        <f>IF(G409="YES",2.0,0)+IF(H409="YES",2.0,0)</f>
        <v/>
      </c>
      <c r="AC409" s="9" t="n">
        <v>0</v>
      </c>
      <c r="AD409" s="9">
        <f>K409+AB409+AC409</f>
        <v/>
      </c>
      <c r="AE409" s="9">
        <f>(AD409*0.6)+(AA409*0.4)</f>
        <v/>
      </c>
      <c r="AF409">
        <f>IF(AE409&gt;=9,"Critical",IF(AE409&gt;=7,"High",IF(AE409&gt;=4,"Medium","Low")))</f>
        <v/>
      </c>
    </row>
    <row r="410">
      <c r="F410" t="n">
        <v>1</v>
      </c>
      <c r="I410">
        <f>IF(D410="","",TODAY()-D410)</f>
        <v/>
      </c>
      <c r="K410">
        <f>IF(J410="v4.0",L410,IF(J410="v3.1",M410,IF(J410="Both",L410,IF(AND(L410&lt;&gt;"",M410=""),L410,M410))))</f>
        <v/>
      </c>
      <c r="U410">
        <f>IF(T410="Tier 1",10,IF(T410="Tier 2",7,IF(T410="Tier 3",4,IF(T410="Tier 4",1,0))))</f>
        <v/>
      </c>
      <c r="W410">
        <f>IF(V410="Restricted",10,IF(V410="Confidential",7,IF(V410="Internal",4,IF(V410="Public",1,0))))</f>
        <v/>
      </c>
      <c r="AA410" s="9">
        <f>(U410*0.4)+(W410*0.3)+(IF(Z410="Critical",10,IF(Z410="High",7,IF(Z410="Medium",4,1)))*0.2)+(IF(Y410="YES",10,0)*0.1)</f>
        <v/>
      </c>
      <c r="AB410" s="9">
        <f>IF(G410="YES",2.0,0)+IF(H410="YES",2.0,0)</f>
        <v/>
      </c>
      <c r="AC410" s="9" t="n">
        <v>0</v>
      </c>
      <c r="AD410" s="9">
        <f>K410+AB410+AC410</f>
        <v/>
      </c>
      <c r="AE410" s="9">
        <f>(AD410*0.6)+(AA410*0.4)</f>
        <v/>
      </c>
      <c r="AF410">
        <f>IF(AE410&gt;=9,"Critical",IF(AE410&gt;=7,"High",IF(AE410&gt;=4,"Medium","Low")))</f>
        <v/>
      </c>
    </row>
    <row r="411">
      <c r="F411" t="n">
        <v>1</v>
      </c>
      <c r="I411">
        <f>IF(D411="","",TODAY()-D411)</f>
        <v/>
      </c>
      <c r="K411">
        <f>IF(J411="v4.0",L411,IF(J411="v3.1",M411,IF(J411="Both",L411,IF(AND(L411&lt;&gt;"",M411=""),L411,M411))))</f>
        <v/>
      </c>
      <c r="U411">
        <f>IF(T411="Tier 1",10,IF(T411="Tier 2",7,IF(T411="Tier 3",4,IF(T411="Tier 4",1,0))))</f>
        <v/>
      </c>
      <c r="W411">
        <f>IF(V411="Restricted",10,IF(V411="Confidential",7,IF(V411="Internal",4,IF(V411="Public",1,0))))</f>
        <v/>
      </c>
      <c r="AA411" s="9">
        <f>(U411*0.4)+(W411*0.3)+(IF(Z411="Critical",10,IF(Z411="High",7,IF(Z411="Medium",4,1)))*0.2)+(IF(Y411="YES",10,0)*0.1)</f>
        <v/>
      </c>
      <c r="AB411" s="9">
        <f>IF(G411="YES",2.0,0)+IF(H411="YES",2.0,0)</f>
        <v/>
      </c>
      <c r="AC411" s="9" t="n">
        <v>0</v>
      </c>
      <c r="AD411" s="9">
        <f>K411+AB411+AC411</f>
        <v/>
      </c>
      <c r="AE411" s="9">
        <f>(AD411*0.6)+(AA411*0.4)</f>
        <v/>
      </c>
      <c r="AF411">
        <f>IF(AE411&gt;=9,"Critical",IF(AE411&gt;=7,"High",IF(AE411&gt;=4,"Medium","Low")))</f>
        <v/>
      </c>
    </row>
    <row r="412">
      <c r="F412" t="n">
        <v>1</v>
      </c>
      <c r="I412">
        <f>IF(D412="","",TODAY()-D412)</f>
        <v/>
      </c>
      <c r="K412">
        <f>IF(J412="v4.0",L412,IF(J412="v3.1",M412,IF(J412="Both",L412,IF(AND(L412&lt;&gt;"",M412=""),L412,M412))))</f>
        <v/>
      </c>
      <c r="U412">
        <f>IF(T412="Tier 1",10,IF(T412="Tier 2",7,IF(T412="Tier 3",4,IF(T412="Tier 4",1,0))))</f>
        <v/>
      </c>
      <c r="W412">
        <f>IF(V412="Restricted",10,IF(V412="Confidential",7,IF(V412="Internal",4,IF(V412="Public",1,0))))</f>
        <v/>
      </c>
      <c r="AA412" s="9">
        <f>(U412*0.4)+(W412*0.3)+(IF(Z412="Critical",10,IF(Z412="High",7,IF(Z412="Medium",4,1)))*0.2)+(IF(Y412="YES",10,0)*0.1)</f>
        <v/>
      </c>
      <c r="AB412" s="9">
        <f>IF(G412="YES",2.0,0)+IF(H412="YES",2.0,0)</f>
        <v/>
      </c>
      <c r="AC412" s="9" t="n">
        <v>0</v>
      </c>
      <c r="AD412" s="9">
        <f>K412+AB412+AC412</f>
        <v/>
      </c>
      <c r="AE412" s="9">
        <f>(AD412*0.6)+(AA412*0.4)</f>
        <v/>
      </c>
      <c r="AF412">
        <f>IF(AE412&gt;=9,"Critical",IF(AE412&gt;=7,"High",IF(AE412&gt;=4,"Medium","Low")))</f>
        <v/>
      </c>
    </row>
    <row r="413">
      <c r="F413" t="n">
        <v>1</v>
      </c>
      <c r="I413">
        <f>IF(D413="","",TODAY()-D413)</f>
        <v/>
      </c>
      <c r="K413">
        <f>IF(J413="v4.0",L413,IF(J413="v3.1",M413,IF(J413="Both",L413,IF(AND(L413&lt;&gt;"",M413=""),L413,M413))))</f>
        <v/>
      </c>
      <c r="U413">
        <f>IF(T413="Tier 1",10,IF(T413="Tier 2",7,IF(T413="Tier 3",4,IF(T413="Tier 4",1,0))))</f>
        <v/>
      </c>
      <c r="W413">
        <f>IF(V413="Restricted",10,IF(V413="Confidential",7,IF(V413="Internal",4,IF(V413="Public",1,0))))</f>
        <v/>
      </c>
      <c r="AA413" s="9">
        <f>(U413*0.4)+(W413*0.3)+(IF(Z413="Critical",10,IF(Z413="High",7,IF(Z413="Medium",4,1)))*0.2)+(IF(Y413="YES",10,0)*0.1)</f>
        <v/>
      </c>
      <c r="AB413" s="9">
        <f>IF(G413="YES",2.0,0)+IF(H413="YES",2.0,0)</f>
        <v/>
      </c>
      <c r="AC413" s="9" t="n">
        <v>0</v>
      </c>
      <c r="AD413" s="9">
        <f>K413+AB413+AC413</f>
        <v/>
      </c>
      <c r="AE413" s="9">
        <f>(AD413*0.6)+(AA413*0.4)</f>
        <v/>
      </c>
      <c r="AF413">
        <f>IF(AE413&gt;=9,"Critical",IF(AE413&gt;=7,"High",IF(AE413&gt;=4,"Medium","Low")))</f>
        <v/>
      </c>
    </row>
    <row r="414">
      <c r="F414" t="n">
        <v>1</v>
      </c>
      <c r="I414">
        <f>IF(D414="","",TODAY()-D414)</f>
        <v/>
      </c>
      <c r="K414">
        <f>IF(J414="v4.0",L414,IF(J414="v3.1",M414,IF(J414="Both",L414,IF(AND(L414&lt;&gt;"",M414=""),L414,M414))))</f>
        <v/>
      </c>
      <c r="U414">
        <f>IF(T414="Tier 1",10,IF(T414="Tier 2",7,IF(T414="Tier 3",4,IF(T414="Tier 4",1,0))))</f>
        <v/>
      </c>
      <c r="W414">
        <f>IF(V414="Restricted",10,IF(V414="Confidential",7,IF(V414="Internal",4,IF(V414="Public",1,0))))</f>
        <v/>
      </c>
      <c r="AA414" s="9">
        <f>(U414*0.4)+(W414*0.3)+(IF(Z414="Critical",10,IF(Z414="High",7,IF(Z414="Medium",4,1)))*0.2)+(IF(Y414="YES",10,0)*0.1)</f>
        <v/>
      </c>
      <c r="AB414" s="9">
        <f>IF(G414="YES",2.0,0)+IF(H414="YES",2.0,0)</f>
        <v/>
      </c>
      <c r="AC414" s="9" t="n">
        <v>0</v>
      </c>
      <c r="AD414" s="9">
        <f>K414+AB414+AC414</f>
        <v/>
      </c>
      <c r="AE414" s="9">
        <f>(AD414*0.6)+(AA414*0.4)</f>
        <v/>
      </c>
      <c r="AF414">
        <f>IF(AE414&gt;=9,"Critical",IF(AE414&gt;=7,"High",IF(AE414&gt;=4,"Medium","Low")))</f>
        <v/>
      </c>
    </row>
    <row r="415">
      <c r="F415" t="n">
        <v>1</v>
      </c>
      <c r="I415">
        <f>IF(D415="","",TODAY()-D415)</f>
        <v/>
      </c>
      <c r="K415">
        <f>IF(J415="v4.0",L415,IF(J415="v3.1",M415,IF(J415="Both",L415,IF(AND(L415&lt;&gt;"",M415=""),L415,M415))))</f>
        <v/>
      </c>
      <c r="U415">
        <f>IF(T415="Tier 1",10,IF(T415="Tier 2",7,IF(T415="Tier 3",4,IF(T415="Tier 4",1,0))))</f>
        <v/>
      </c>
      <c r="W415">
        <f>IF(V415="Restricted",10,IF(V415="Confidential",7,IF(V415="Internal",4,IF(V415="Public",1,0))))</f>
        <v/>
      </c>
      <c r="AA415" s="9">
        <f>(U415*0.4)+(W415*0.3)+(IF(Z415="Critical",10,IF(Z415="High",7,IF(Z415="Medium",4,1)))*0.2)+(IF(Y415="YES",10,0)*0.1)</f>
        <v/>
      </c>
      <c r="AB415" s="9">
        <f>IF(G415="YES",2.0,0)+IF(H415="YES",2.0,0)</f>
        <v/>
      </c>
      <c r="AC415" s="9" t="n">
        <v>0</v>
      </c>
      <c r="AD415" s="9">
        <f>K415+AB415+AC415</f>
        <v/>
      </c>
      <c r="AE415" s="9">
        <f>(AD415*0.6)+(AA415*0.4)</f>
        <v/>
      </c>
      <c r="AF415">
        <f>IF(AE415&gt;=9,"Critical",IF(AE415&gt;=7,"High",IF(AE415&gt;=4,"Medium","Low")))</f>
        <v/>
      </c>
    </row>
    <row r="416">
      <c r="F416" t="n">
        <v>1</v>
      </c>
      <c r="I416">
        <f>IF(D416="","",TODAY()-D416)</f>
        <v/>
      </c>
      <c r="K416">
        <f>IF(J416="v4.0",L416,IF(J416="v3.1",M416,IF(J416="Both",L416,IF(AND(L416&lt;&gt;"",M416=""),L416,M416))))</f>
        <v/>
      </c>
      <c r="U416">
        <f>IF(T416="Tier 1",10,IF(T416="Tier 2",7,IF(T416="Tier 3",4,IF(T416="Tier 4",1,0))))</f>
        <v/>
      </c>
      <c r="W416">
        <f>IF(V416="Restricted",10,IF(V416="Confidential",7,IF(V416="Internal",4,IF(V416="Public",1,0))))</f>
        <v/>
      </c>
      <c r="AA416" s="9">
        <f>(U416*0.4)+(W416*0.3)+(IF(Z416="Critical",10,IF(Z416="High",7,IF(Z416="Medium",4,1)))*0.2)+(IF(Y416="YES",10,0)*0.1)</f>
        <v/>
      </c>
      <c r="AB416" s="9">
        <f>IF(G416="YES",2.0,0)+IF(H416="YES",2.0,0)</f>
        <v/>
      </c>
      <c r="AC416" s="9" t="n">
        <v>0</v>
      </c>
      <c r="AD416" s="9">
        <f>K416+AB416+AC416</f>
        <v/>
      </c>
      <c r="AE416" s="9">
        <f>(AD416*0.6)+(AA416*0.4)</f>
        <v/>
      </c>
      <c r="AF416">
        <f>IF(AE416&gt;=9,"Critical",IF(AE416&gt;=7,"High",IF(AE416&gt;=4,"Medium","Low")))</f>
        <v/>
      </c>
    </row>
    <row r="417">
      <c r="F417" t="n">
        <v>1</v>
      </c>
      <c r="I417">
        <f>IF(D417="","",TODAY()-D417)</f>
        <v/>
      </c>
      <c r="K417">
        <f>IF(J417="v4.0",L417,IF(J417="v3.1",M417,IF(J417="Both",L417,IF(AND(L417&lt;&gt;"",M417=""),L417,M417))))</f>
        <v/>
      </c>
      <c r="U417">
        <f>IF(T417="Tier 1",10,IF(T417="Tier 2",7,IF(T417="Tier 3",4,IF(T417="Tier 4",1,0))))</f>
        <v/>
      </c>
      <c r="W417">
        <f>IF(V417="Restricted",10,IF(V417="Confidential",7,IF(V417="Internal",4,IF(V417="Public",1,0))))</f>
        <v/>
      </c>
      <c r="AA417" s="9">
        <f>(U417*0.4)+(W417*0.3)+(IF(Z417="Critical",10,IF(Z417="High",7,IF(Z417="Medium",4,1)))*0.2)+(IF(Y417="YES",10,0)*0.1)</f>
        <v/>
      </c>
      <c r="AB417" s="9">
        <f>IF(G417="YES",2.0,0)+IF(H417="YES",2.0,0)</f>
        <v/>
      </c>
      <c r="AC417" s="9" t="n">
        <v>0</v>
      </c>
      <c r="AD417" s="9">
        <f>K417+AB417+AC417</f>
        <v/>
      </c>
      <c r="AE417" s="9">
        <f>(AD417*0.6)+(AA417*0.4)</f>
        <v/>
      </c>
      <c r="AF417">
        <f>IF(AE417&gt;=9,"Critical",IF(AE417&gt;=7,"High",IF(AE417&gt;=4,"Medium","Low")))</f>
        <v/>
      </c>
    </row>
    <row r="418">
      <c r="F418" t="n">
        <v>1</v>
      </c>
      <c r="I418">
        <f>IF(D418="","",TODAY()-D418)</f>
        <v/>
      </c>
      <c r="K418">
        <f>IF(J418="v4.0",L418,IF(J418="v3.1",M418,IF(J418="Both",L418,IF(AND(L418&lt;&gt;"",M418=""),L418,M418))))</f>
        <v/>
      </c>
      <c r="U418">
        <f>IF(T418="Tier 1",10,IF(T418="Tier 2",7,IF(T418="Tier 3",4,IF(T418="Tier 4",1,0))))</f>
        <v/>
      </c>
      <c r="W418">
        <f>IF(V418="Restricted",10,IF(V418="Confidential",7,IF(V418="Internal",4,IF(V418="Public",1,0))))</f>
        <v/>
      </c>
      <c r="AA418" s="9">
        <f>(U418*0.4)+(W418*0.3)+(IF(Z418="Critical",10,IF(Z418="High",7,IF(Z418="Medium",4,1)))*0.2)+(IF(Y418="YES",10,0)*0.1)</f>
        <v/>
      </c>
      <c r="AB418" s="9">
        <f>IF(G418="YES",2.0,0)+IF(H418="YES",2.0,0)</f>
        <v/>
      </c>
      <c r="AC418" s="9" t="n">
        <v>0</v>
      </c>
      <c r="AD418" s="9">
        <f>K418+AB418+AC418</f>
        <v/>
      </c>
      <c r="AE418" s="9">
        <f>(AD418*0.6)+(AA418*0.4)</f>
        <v/>
      </c>
      <c r="AF418">
        <f>IF(AE418&gt;=9,"Critical",IF(AE418&gt;=7,"High",IF(AE418&gt;=4,"Medium","Low")))</f>
        <v/>
      </c>
    </row>
    <row r="419">
      <c r="F419" t="n">
        <v>1</v>
      </c>
      <c r="I419">
        <f>IF(D419="","",TODAY()-D419)</f>
        <v/>
      </c>
      <c r="K419">
        <f>IF(J419="v4.0",L419,IF(J419="v3.1",M419,IF(J419="Both",L419,IF(AND(L419&lt;&gt;"",M419=""),L419,M419))))</f>
        <v/>
      </c>
      <c r="U419">
        <f>IF(T419="Tier 1",10,IF(T419="Tier 2",7,IF(T419="Tier 3",4,IF(T419="Tier 4",1,0))))</f>
        <v/>
      </c>
      <c r="W419">
        <f>IF(V419="Restricted",10,IF(V419="Confidential",7,IF(V419="Internal",4,IF(V419="Public",1,0))))</f>
        <v/>
      </c>
      <c r="AA419" s="9">
        <f>(U419*0.4)+(W419*0.3)+(IF(Z419="Critical",10,IF(Z419="High",7,IF(Z419="Medium",4,1)))*0.2)+(IF(Y419="YES",10,0)*0.1)</f>
        <v/>
      </c>
      <c r="AB419" s="9">
        <f>IF(G419="YES",2.0,0)+IF(H419="YES",2.0,0)</f>
        <v/>
      </c>
      <c r="AC419" s="9" t="n">
        <v>0</v>
      </c>
      <c r="AD419" s="9">
        <f>K419+AB419+AC419</f>
        <v/>
      </c>
      <c r="AE419" s="9">
        <f>(AD419*0.6)+(AA419*0.4)</f>
        <v/>
      </c>
      <c r="AF419">
        <f>IF(AE419&gt;=9,"Critical",IF(AE419&gt;=7,"High",IF(AE419&gt;=4,"Medium","Low")))</f>
        <v/>
      </c>
    </row>
    <row r="420">
      <c r="F420" t="n">
        <v>1</v>
      </c>
      <c r="I420">
        <f>IF(D420="","",TODAY()-D420)</f>
        <v/>
      </c>
      <c r="K420">
        <f>IF(J420="v4.0",L420,IF(J420="v3.1",M420,IF(J420="Both",L420,IF(AND(L420&lt;&gt;"",M420=""),L420,M420))))</f>
        <v/>
      </c>
      <c r="U420">
        <f>IF(T420="Tier 1",10,IF(T420="Tier 2",7,IF(T420="Tier 3",4,IF(T420="Tier 4",1,0))))</f>
        <v/>
      </c>
      <c r="W420">
        <f>IF(V420="Restricted",10,IF(V420="Confidential",7,IF(V420="Internal",4,IF(V420="Public",1,0))))</f>
        <v/>
      </c>
      <c r="AA420" s="9">
        <f>(U420*0.4)+(W420*0.3)+(IF(Z420="Critical",10,IF(Z420="High",7,IF(Z420="Medium",4,1)))*0.2)+(IF(Y420="YES",10,0)*0.1)</f>
        <v/>
      </c>
      <c r="AB420" s="9">
        <f>IF(G420="YES",2.0,0)+IF(H420="YES",2.0,0)</f>
        <v/>
      </c>
      <c r="AC420" s="9" t="n">
        <v>0</v>
      </c>
      <c r="AD420" s="9">
        <f>K420+AB420+AC420</f>
        <v/>
      </c>
      <c r="AE420" s="9">
        <f>(AD420*0.6)+(AA420*0.4)</f>
        <v/>
      </c>
      <c r="AF420">
        <f>IF(AE420&gt;=9,"Critical",IF(AE420&gt;=7,"High",IF(AE420&gt;=4,"Medium","Low")))</f>
        <v/>
      </c>
    </row>
    <row r="421">
      <c r="F421" t="n">
        <v>1</v>
      </c>
      <c r="I421">
        <f>IF(D421="","",TODAY()-D421)</f>
        <v/>
      </c>
      <c r="K421">
        <f>IF(J421="v4.0",L421,IF(J421="v3.1",M421,IF(J421="Both",L421,IF(AND(L421&lt;&gt;"",M421=""),L421,M421))))</f>
        <v/>
      </c>
      <c r="U421">
        <f>IF(T421="Tier 1",10,IF(T421="Tier 2",7,IF(T421="Tier 3",4,IF(T421="Tier 4",1,0))))</f>
        <v/>
      </c>
      <c r="W421">
        <f>IF(V421="Restricted",10,IF(V421="Confidential",7,IF(V421="Internal",4,IF(V421="Public",1,0))))</f>
        <v/>
      </c>
      <c r="AA421" s="9">
        <f>(U421*0.4)+(W421*0.3)+(IF(Z421="Critical",10,IF(Z421="High",7,IF(Z421="Medium",4,1)))*0.2)+(IF(Y421="YES",10,0)*0.1)</f>
        <v/>
      </c>
      <c r="AB421" s="9">
        <f>IF(G421="YES",2.0,0)+IF(H421="YES",2.0,0)</f>
        <v/>
      </c>
      <c r="AC421" s="9" t="n">
        <v>0</v>
      </c>
      <c r="AD421" s="9">
        <f>K421+AB421+AC421</f>
        <v/>
      </c>
      <c r="AE421" s="9">
        <f>(AD421*0.6)+(AA421*0.4)</f>
        <v/>
      </c>
      <c r="AF421">
        <f>IF(AE421&gt;=9,"Critical",IF(AE421&gt;=7,"High",IF(AE421&gt;=4,"Medium","Low")))</f>
        <v/>
      </c>
    </row>
    <row r="422">
      <c r="F422" t="n">
        <v>1</v>
      </c>
      <c r="I422">
        <f>IF(D422="","",TODAY()-D422)</f>
        <v/>
      </c>
      <c r="K422">
        <f>IF(J422="v4.0",L422,IF(J422="v3.1",M422,IF(J422="Both",L422,IF(AND(L422&lt;&gt;"",M422=""),L422,M422))))</f>
        <v/>
      </c>
      <c r="U422">
        <f>IF(T422="Tier 1",10,IF(T422="Tier 2",7,IF(T422="Tier 3",4,IF(T422="Tier 4",1,0))))</f>
        <v/>
      </c>
      <c r="W422">
        <f>IF(V422="Restricted",10,IF(V422="Confidential",7,IF(V422="Internal",4,IF(V422="Public",1,0))))</f>
        <v/>
      </c>
      <c r="AA422" s="9">
        <f>(U422*0.4)+(W422*0.3)+(IF(Z422="Critical",10,IF(Z422="High",7,IF(Z422="Medium",4,1)))*0.2)+(IF(Y422="YES",10,0)*0.1)</f>
        <v/>
      </c>
      <c r="AB422" s="9">
        <f>IF(G422="YES",2.0,0)+IF(H422="YES",2.0,0)</f>
        <v/>
      </c>
      <c r="AC422" s="9" t="n">
        <v>0</v>
      </c>
      <c r="AD422" s="9">
        <f>K422+AB422+AC422</f>
        <v/>
      </c>
      <c r="AE422" s="9">
        <f>(AD422*0.6)+(AA422*0.4)</f>
        <v/>
      </c>
      <c r="AF422">
        <f>IF(AE422&gt;=9,"Critical",IF(AE422&gt;=7,"High",IF(AE422&gt;=4,"Medium","Low")))</f>
        <v/>
      </c>
    </row>
    <row r="423">
      <c r="F423" t="n">
        <v>1</v>
      </c>
      <c r="I423">
        <f>IF(D423="","",TODAY()-D423)</f>
        <v/>
      </c>
      <c r="K423">
        <f>IF(J423="v4.0",L423,IF(J423="v3.1",M423,IF(J423="Both",L423,IF(AND(L423&lt;&gt;"",M423=""),L423,M423))))</f>
        <v/>
      </c>
      <c r="U423">
        <f>IF(T423="Tier 1",10,IF(T423="Tier 2",7,IF(T423="Tier 3",4,IF(T423="Tier 4",1,0))))</f>
        <v/>
      </c>
      <c r="W423">
        <f>IF(V423="Restricted",10,IF(V423="Confidential",7,IF(V423="Internal",4,IF(V423="Public",1,0))))</f>
        <v/>
      </c>
      <c r="AA423" s="9">
        <f>(U423*0.4)+(W423*0.3)+(IF(Z423="Critical",10,IF(Z423="High",7,IF(Z423="Medium",4,1)))*0.2)+(IF(Y423="YES",10,0)*0.1)</f>
        <v/>
      </c>
      <c r="AB423" s="9">
        <f>IF(G423="YES",2.0,0)+IF(H423="YES",2.0,0)</f>
        <v/>
      </c>
      <c r="AC423" s="9" t="n">
        <v>0</v>
      </c>
      <c r="AD423" s="9">
        <f>K423+AB423+AC423</f>
        <v/>
      </c>
      <c r="AE423" s="9">
        <f>(AD423*0.6)+(AA423*0.4)</f>
        <v/>
      </c>
      <c r="AF423">
        <f>IF(AE423&gt;=9,"Critical",IF(AE423&gt;=7,"High",IF(AE423&gt;=4,"Medium","Low")))</f>
        <v/>
      </c>
    </row>
    <row r="424">
      <c r="F424" t="n">
        <v>1</v>
      </c>
      <c r="I424">
        <f>IF(D424="","",TODAY()-D424)</f>
        <v/>
      </c>
      <c r="K424">
        <f>IF(J424="v4.0",L424,IF(J424="v3.1",M424,IF(J424="Both",L424,IF(AND(L424&lt;&gt;"",M424=""),L424,M424))))</f>
        <v/>
      </c>
      <c r="U424">
        <f>IF(T424="Tier 1",10,IF(T424="Tier 2",7,IF(T424="Tier 3",4,IF(T424="Tier 4",1,0))))</f>
        <v/>
      </c>
      <c r="W424">
        <f>IF(V424="Restricted",10,IF(V424="Confidential",7,IF(V424="Internal",4,IF(V424="Public",1,0))))</f>
        <v/>
      </c>
      <c r="AA424" s="9">
        <f>(U424*0.4)+(W424*0.3)+(IF(Z424="Critical",10,IF(Z424="High",7,IF(Z424="Medium",4,1)))*0.2)+(IF(Y424="YES",10,0)*0.1)</f>
        <v/>
      </c>
      <c r="AB424" s="9">
        <f>IF(G424="YES",2.0,0)+IF(H424="YES",2.0,0)</f>
        <v/>
      </c>
      <c r="AC424" s="9" t="n">
        <v>0</v>
      </c>
      <c r="AD424" s="9">
        <f>K424+AB424+AC424</f>
        <v/>
      </c>
      <c r="AE424" s="9">
        <f>(AD424*0.6)+(AA424*0.4)</f>
        <v/>
      </c>
      <c r="AF424">
        <f>IF(AE424&gt;=9,"Critical",IF(AE424&gt;=7,"High",IF(AE424&gt;=4,"Medium","Low")))</f>
        <v/>
      </c>
    </row>
    <row r="425">
      <c r="F425" t="n">
        <v>1</v>
      </c>
      <c r="I425">
        <f>IF(D425="","",TODAY()-D425)</f>
        <v/>
      </c>
      <c r="K425">
        <f>IF(J425="v4.0",L425,IF(J425="v3.1",M425,IF(J425="Both",L425,IF(AND(L425&lt;&gt;"",M425=""),L425,M425))))</f>
        <v/>
      </c>
      <c r="U425">
        <f>IF(T425="Tier 1",10,IF(T425="Tier 2",7,IF(T425="Tier 3",4,IF(T425="Tier 4",1,0))))</f>
        <v/>
      </c>
      <c r="W425">
        <f>IF(V425="Restricted",10,IF(V425="Confidential",7,IF(V425="Internal",4,IF(V425="Public",1,0))))</f>
        <v/>
      </c>
      <c r="AA425" s="9">
        <f>(U425*0.4)+(W425*0.3)+(IF(Z425="Critical",10,IF(Z425="High",7,IF(Z425="Medium",4,1)))*0.2)+(IF(Y425="YES",10,0)*0.1)</f>
        <v/>
      </c>
      <c r="AB425" s="9">
        <f>IF(G425="YES",2.0,0)+IF(H425="YES",2.0,0)</f>
        <v/>
      </c>
      <c r="AC425" s="9" t="n">
        <v>0</v>
      </c>
      <c r="AD425" s="9">
        <f>K425+AB425+AC425</f>
        <v/>
      </c>
      <c r="AE425" s="9">
        <f>(AD425*0.6)+(AA425*0.4)</f>
        <v/>
      </c>
      <c r="AF425">
        <f>IF(AE425&gt;=9,"Critical",IF(AE425&gt;=7,"High",IF(AE425&gt;=4,"Medium","Low")))</f>
        <v/>
      </c>
    </row>
    <row r="426">
      <c r="F426" t="n">
        <v>1</v>
      </c>
      <c r="I426">
        <f>IF(D426="","",TODAY()-D426)</f>
        <v/>
      </c>
      <c r="K426">
        <f>IF(J426="v4.0",L426,IF(J426="v3.1",M426,IF(J426="Both",L426,IF(AND(L426&lt;&gt;"",M426=""),L426,M426))))</f>
        <v/>
      </c>
      <c r="U426">
        <f>IF(T426="Tier 1",10,IF(T426="Tier 2",7,IF(T426="Tier 3",4,IF(T426="Tier 4",1,0))))</f>
        <v/>
      </c>
      <c r="W426">
        <f>IF(V426="Restricted",10,IF(V426="Confidential",7,IF(V426="Internal",4,IF(V426="Public",1,0))))</f>
        <v/>
      </c>
      <c r="AA426" s="9">
        <f>(U426*0.4)+(W426*0.3)+(IF(Z426="Critical",10,IF(Z426="High",7,IF(Z426="Medium",4,1)))*0.2)+(IF(Y426="YES",10,0)*0.1)</f>
        <v/>
      </c>
      <c r="AB426" s="9">
        <f>IF(G426="YES",2.0,0)+IF(H426="YES",2.0,0)</f>
        <v/>
      </c>
      <c r="AC426" s="9" t="n">
        <v>0</v>
      </c>
      <c r="AD426" s="9">
        <f>K426+AB426+AC426</f>
        <v/>
      </c>
      <c r="AE426" s="9">
        <f>(AD426*0.6)+(AA426*0.4)</f>
        <v/>
      </c>
      <c r="AF426">
        <f>IF(AE426&gt;=9,"Critical",IF(AE426&gt;=7,"High",IF(AE426&gt;=4,"Medium","Low")))</f>
        <v/>
      </c>
    </row>
    <row r="427">
      <c r="F427" t="n">
        <v>1</v>
      </c>
      <c r="I427">
        <f>IF(D427="","",TODAY()-D427)</f>
        <v/>
      </c>
      <c r="K427">
        <f>IF(J427="v4.0",L427,IF(J427="v3.1",M427,IF(J427="Both",L427,IF(AND(L427&lt;&gt;"",M427=""),L427,M427))))</f>
        <v/>
      </c>
      <c r="U427">
        <f>IF(T427="Tier 1",10,IF(T427="Tier 2",7,IF(T427="Tier 3",4,IF(T427="Tier 4",1,0))))</f>
        <v/>
      </c>
      <c r="W427">
        <f>IF(V427="Restricted",10,IF(V427="Confidential",7,IF(V427="Internal",4,IF(V427="Public",1,0))))</f>
        <v/>
      </c>
      <c r="AA427" s="9">
        <f>(U427*0.4)+(W427*0.3)+(IF(Z427="Critical",10,IF(Z427="High",7,IF(Z427="Medium",4,1)))*0.2)+(IF(Y427="YES",10,0)*0.1)</f>
        <v/>
      </c>
      <c r="AB427" s="9">
        <f>IF(G427="YES",2.0,0)+IF(H427="YES",2.0,0)</f>
        <v/>
      </c>
      <c r="AC427" s="9" t="n">
        <v>0</v>
      </c>
      <c r="AD427" s="9">
        <f>K427+AB427+AC427</f>
        <v/>
      </c>
      <c r="AE427" s="9">
        <f>(AD427*0.6)+(AA427*0.4)</f>
        <v/>
      </c>
      <c r="AF427">
        <f>IF(AE427&gt;=9,"Critical",IF(AE427&gt;=7,"High",IF(AE427&gt;=4,"Medium","Low")))</f>
        <v/>
      </c>
    </row>
    <row r="428">
      <c r="F428" t="n">
        <v>1</v>
      </c>
      <c r="I428">
        <f>IF(D428="","",TODAY()-D428)</f>
        <v/>
      </c>
      <c r="K428">
        <f>IF(J428="v4.0",L428,IF(J428="v3.1",M428,IF(J428="Both",L428,IF(AND(L428&lt;&gt;"",M428=""),L428,M428))))</f>
        <v/>
      </c>
      <c r="U428">
        <f>IF(T428="Tier 1",10,IF(T428="Tier 2",7,IF(T428="Tier 3",4,IF(T428="Tier 4",1,0))))</f>
        <v/>
      </c>
      <c r="W428">
        <f>IF(V428="Restricted",10,IF(V428="Confidential",7,IF(V428="Internal",4,IF(V428="Public",1,0))))</f>
        <v/>
      </c>
      <c r="AA428" s="9">
        <f>(U428*0.4)+(W428*0.3)+(IF(Z428="Critical",10,IF(Z428="High",7,IF(Z428="Medium",4,1)))*0.2)+(IF(Y428="YES",10,0)*0.1)</f>
        <v/>
      </c>
      <c r="AB428" s="9">
        <f>IF(G428="YES",2.0,0)+IF(H428="YES",2.0,0)</f>
        <v/>
      </c>
      <c r="AC428" s="9" t="n">
        <v>0</v>
      </c>
      <c r="AD428" s="9">
        <f>K428+AB428+AC428</f>
        <v/>
      </c>
      <c r="AE428" s="9">
        <f>(AD428*0.6)+(AA428*0.4)</f>
        <v/>
      </c>
      <c r="AF428">
        <f>IF(AE428&gt;=9,"Critical",IF(AE428&gt;=7,"High",IF(AE428&gt;=4,"Medium","Low")))</f>
        <v/>
      </c>
    </row>
    <row r="429">
      <c r="F429" t="n">
        <v>1</v>
      </c>
      <c r="I429">
        <f>IF(D429="","",TODAY()-D429)</f>
        <v/>
      </c>
      <c r="K429">
        <f>IF(J429="v4.0",L429,IF(J429="v3.1",M429,IF(J429="Both",L429,IF(AND(L429&lt;&gt;"",M429=""),L429,M429))))</f>
        <v/>
      </c>
      <c r="U429">
        <f>IF(T429="Tier 1",10,IF(T429="Tier 2",7,IF(T429="Tier 3",4,IF(T429="Tier 4",1,0))))</f>
        <v/>
      </c>
      <c r="W429">
        <f>IF(V429="Restricted",10,IF(V429="Confidential",7,IF(V429="Internal",4,IF(V429="Public",1,0))))</f>
        <v/>
      </c>
      <c r="AA429" s="9">
        <f>(U429*0.4)+(W429*0.3)+(IF(Z429="Critical",10,IF(Z429="High",7,IF(Z429="Medium",4,1)))*0.2)+(IF(Y429="YES",10,0)*0.1)</f>
        <v/>
      </c>
      <c r="AB429" s="9">
        <f>IF(G429="YES",2.0,0)+IF(H429="YES",2.0,0)</f>
        <v/>
      </c>
      <c r="AC429" s="9" t="n">
        <v>0</v>
      </c>
      <c r="AD429" s="9">
        <f>K429+AB429+AC429</f>
        <v/>
      </c>
      <c r="AE429" s="9">
        <f>(AD429*0.6)+(AA429*0.4)</f>
        <v/>
      </c>
      <c r="AF429">
        <f>IF(AE429&gt;=9,"Critical",IF(AE429&gt;=7,"High",IF(AE429&gt;=4,"Medium","Low")))</f>
        <v/>
      </c>
    </row>
    <row r="430">
      <c r="F430" t="n">
        <v>1</v>
      </c>
      <c r="I430">
        <f>IF(D430="","",TODAY()-D430)</f>
        <v/>
      </c>
      <c r="K430">
        <f>IF(J430="v4.0",L430,IF(J430="v3.1",M430,IF(J430="Both",L430,IF(AND(L430&lt;&gt;"",M430=""),L430,M430))))</f>
        <v/>
      </c>
      <c r="U430">
        <f>IF(T430="Tier 1",10,IF(T430="Tier 2",7,IF(T430="Tier 3",4,IF(T430="Tier 4",1,0))))</f>
        <v/>
      </c>
      <c r="W430">
        <f>IF(V430="Restricted",10,IF(V430="Confidential",7,IF(V430="Internal",4,IF(V430="Public",1,0))))</f>
        <v/>
      </c>
      <c r="AA430" s="9">
        <f>(U430*0.4)+(W430*0.3)+(IF(Z430="Critical",10,IF(Z430="High",7,IF(Z430="Medium",4,1)))*0.2)+(IF(Y430="YES",10,0)*0.1)</f>
        <v/>
      </c>
      <c r="AB430" s="9">
        <f>IF(G430="YES",2.0,0)+IF(H430="YES",2.0,0)</f>
        <v/>
      </c>
      <c r="AC430" s="9" t="n">
        <v>0</v>
      </c>
      <c r="AD430" s="9">
        <f>K430+AB430+AC430</f>
        <v/>
      </c>
      <c r="AE430" s="9">
        <f>(AD430*0.6)+(AA430*0.4)</f>
        <v/>
      </c>
      <c r="AF430">
        <f>IF(AE430&gt;=9,"Critical",IF(AE430&gt;=7,"High",IF(AE430&gt;=4,"Medium","Low")))</f>
        <v/>
      </c>
    </row>
    <row r="431">
      <c r="F431" t="n">
        <v>1</v>
      </c>
      <c r="I431">
        <f>IF(D431="","",TODAY()-D431)</f>
        <v/>
      </c>
      <c r="K431">
        <f>IF(J431="v4.0",L431,IF(J431="v3.1",M431,IF(J431="Both",L431,IF(AND(L431&lt;&gt;"",M431=""),L431,M431))))</f>
        <v/>
      </c>
      <c r="U431">
        <f>IF(T431="Tier 1",10,IF(T431="Tier 2",7,IF(T431="Tier 3",4,IF(T431="Tier 4",1,0))))</f>
        <v/>
      </c>
      <c r="W431">
        <f>IF(V431="Restricted",10,IF(V431="Confidential",7,IF(V431="Internal",4,IF(V431="Public",1,0))))</f>
        <v/>
      </c>
      <c r="AA431" s="9">
        <f>(U431*0.4)+(W431*0.3)+(IF(Z431="Critical",10,IF(Z431="High",7,IF(Z431="Medium",4,1)))*0.2)+(IF(Y431="YES",10,0)*0.1)</f>
        <v/>
      </c>
      <c r="AB431" s="9">
        <f>IF(G431="YES",2.0,0)+IF(H431="YES",2.0,0)</f>
        <v/>
      </c>
      <c r="AC431" s="9" t="n">
        <v>0</v>
      </c>
      <c r="AD431" s="9">
        <f>K431+AB431+AC431</f>
        <v/>
      </c>
      <c r="AE431" s="9">
        <f>(AD431*0.6)+(AA431*0.4)</f>
        <v/>
      </c>
      <c r="AF431">
        <f>IF(AE431&gt;=9,"Critical",IF(AE431&gt;=7,"High",IF(AE431&gt;=4,"Medium","Low")))</f>
        <v/>
      </c>
    </row>
    <row r="432">
      <c r="F432" t="n">
        <v>1</v>
      </c>
      <c r="I432">
        <f>IF(D432="","",TODAY()-D432)</f>
        <v/>
      </c>
      <c r="K432">
        <f>IF(J432="v4.0",L432,IF(J432="v3.1",M432,IF(J432="Both",L432,IF(AND(L432&lt;&gt;"",M432=""),L432,M432))))</f>
        <v/>
      </c>
      <c r="U432">
        <f>IF(T432="Tier 1",10,IF(T432="Tier 2",7,IF(T432="Tier 3",4,IF(T432="Tier 4",1,0))))</f>
        <v/>
      </c>
      <c r="W432">
        <f>IF(V432="Restricted",10,IF(V432="Confidential",7,IF(V432="Internal",4,IF(V432="Public",1,0))))</f>
        <v/>
      </c>
      <c r="AA432" s="9">
        <f>(U432*0.4)+(W432*0.3)+(IF(Z432="Critical",10,IF(Z432="High",7,IF(Z432="Medium",4,1)))*0.2)+(IF(Y432="YES",10,0)*0.1)</f>
        <v/>
      </c>
      <c r="AB432" s="9">
        <f>IF(G432="YES",2.0,0)+IF(H432="YES",2.0,0)</f>
        <v/>
      </c>
      <c r="AC432" s="9" t="n">
        <v>0</v>
      </c>
      <c r="AD432" s="9">
        <f>K432+AB432+AC432</f>
        <v/>
      </c>
      <c r="AE432" s="9">
        <f>(AD432*0.6)+(AA432*0.4)</f>
        <v/>
      </c>
      <c r="AF432">
        <f>IF(AE432&gt;=9,"Critical",IF(AE432&gt;=7,"High",IF(AE432&gt;=4,"Medium","Low")))</f>
        <v/>
      </c>
    </row>
    <row r="433">
      <c r="F433" t="n">
        <v>1</v>
      </c>
      <c r="I433">
        <f>IF(D433="","",TODAY()-D433)</f>
        <v/>
      </c>
      <c r="K433">
        <f>IF(J433="v4.0",L433,IF(J433="v3.1",M433,IF(J433="Both",L433,IF(AND(L433&lt;&gt;"",M433=""),L433,M433))))</f>
        <v/>
      </c>
      <c r="U433">
        <f>IF(T433="Tier 1",10,IF(T433="Tier 2",7,IF(T433="Tier 3",4,IF(T433="Tier 4",1,0))))</f>
        <v/>
      </c>
      <c r="W433">
        <f>IF(V433="Restricted",10,IF(V433="Confidential",7,IF(V433="Internal",4,IF(V433="Public",1,0))))</f>
        <v/>
      </c>
      <c r="AA433" s="9">
        <f>(U433*0.4)+(W433*0.3)+(IF(Z433="Critical",10,IF(Z433="High",7,IF(Z433="Medium",4,1)))*0.2)+(IF(Y433="YES",10,0)*0.1)</f>
        <v/>
      </c>
      <c r="AB433" s="9">
        <f>IF(G433="YES",2.0,0)+IF(H433="YES",2.0,0)</f>
        <v/>
      </c>
      <c r="AC433" s="9" t="n">
        <v>0</v>
      </c>
      <c r="AD433" s="9">
        <f>K433+AB433+AC433</f>
        <v/>
      </c>
      <c r="AE433" s="9">
        <f>(AD433*0.6)+(AA433*0.4)</f>
        <v/>
      </c>
      <c r="AF433">
        <f>IF(AE433&gt;=9,"Critical",IF(AE433&gt;=7,"High",IF(AE433&gt;=4,"Medium","Low")))</f>
        <v/>
      </c>
    </row>
    <row r="434">
      <c r="F434" t="n">
        <v>1</v>
      </c>
      <c r="I434">
        <f>IF(D434="","",TODAY()-D434)</f>
        <v/>
      </c>
      <c r="K434">
        <f>IF(J434="v4.0",L434,IF(J434="v3.1",M434,IF(J434="Both",L434,IF(AND(L434&lt;&gt;"",M434=""),L434,M434))))</f>
        <v/>
      </c>
      <c r="U434">
        <f>IF(T434="Tier 1",10,IF(T434="Tier 2",7,IF(T434="Tier 3",4,IF(T434="Tier 4",1,0))))</f>
        <v/>
      </c>
      <c r="W434">
        <f>IF(V434="Restricted",10,IF(V434="Confidential",7,IF(V434="Internal",4,IF(V434="Public",1,0))))</f>
        <v/>
      </c>
      <c r="AA434" s="9">
        <f>(U434*0.4)+(W434*0.3)+(IF(Z434="Critical",10,IF(Z434="High",7,IF(Z434="Medium",4,1)))*0.2)+(IF(Y434="YES",10,0)*0.1)</f>
        <v/>
      </c>
      <c r="AB434" s="9">
        <f>IF(G434="YES",2.0,0)+IF(H434="YES",2.0,0)</f>
        <v/>
      </c>
      <c r="AC434" s="9" t="n">
        <v>0</v>
      </c>
      <c r="AD434" s="9">
        <f>K434+AB434+AC434</f>
        <v/>
      </c>
      <c r="AE434" s="9">
        <f>(AD434*0.6)+(AA434*0.4)</f>
        <v/>
      </c>
      <c r="AF434">
        <f>IF(AE434&gt;=9,"Critical",IF(AE434&gt;=7,"High",IF(AE434&gt;=4,"Medium","Low")))</f>
        <v/>
      </c>
    </row>
    <row r="435">
      <c r="F435" t="n">
        <v>1</v>
      </c>
      <c r="I435">
        <f>IF(D435="","",TODAY()-D435)</f>
        <v/>
      </c>
      <c r="K435">
        <f>IF(J435="v4.0",L435,IF(J435="v3.1",M435,IF(J435="Both",L435,IF(AND(L435&lt;&gt;"",M435=""),L435,M435))))</f>
        <v/>
      </c>
      <c r="U435">
        <f>IF(T435="Tier 1",10,IF(T435="Tier 2",7,IF(T435="Tier 3",4,IF(T435="Tier 4",1,0))))</f>
        <v/>
      </c>
      <c r="W435">
        <f>IF(V435="Restricted",10,IF(V435="Confidential",7,IF(V435="Internal",4,IF(V435="Public",1,0))))</f>
        <v/>
      </c>
      <c r="AA435" s="9">
        <f>(U435*0.4)+(W435*0.3)+(IF(Z435="Critical",10,IF(Z435="High",7,IF(Z435="Medium",4,1)))*0.2)+(IF(Y435="YES",10,0)*0.1)</f>
        <v/>
      </c>
      <c r="AB435" s="9">
        <f>IF(G435="YES",2.0,0)+IF(H435="YES",2.0,0)</f>
        <v/>
      </c>
      <c r="AC435" s="9" t="n">
        <v>0</v>
      </c>
      <c r="AD435" s="9">
        <f>K435+AB435+AC435</f>
        <v/>
      </c>
      <c r="AE435" s="9">
        <f>(AD435*0.6)+(AA435*0.4)</f>
        <v/>
      </c>
      <c r="AF435">
        <f>IF(AE435&gt;=9,"Critical",IF(AE435&gt;=7,"High",IF(AE435&gt;=4,"Medium","Low")))</f>
        <v/>
      </c>
    </row>
    <row r="436">
      <c r="F436" t="n">
        <v>1</v>
      </c>
      <c r="I436">
        <f>IF(D436="","",TODAY()-D436)</f>
        <v/>
      </c>
      <c r="K436">
        <f>IF(J436="v4.0",L436,IF(J436="v3.1",M436,IF(J436="Both",L436,IF(AND(L436&lt;&gt;"",M436=""),L436,M436))))</f>
        <v/>
      </c>
      <c r="U436">
        <f>IF(T436="Tier 1",10,IF(T436="Tier 2",7,IF(T436="Tier 3",4,IF(T436="Tier 4",1,0))))</f>
        <v/>
      </c>
      <c r="W436">
        <f>IF(V436="Restricted",10,IF(V436="Confidential",7,IF(V436="Internal",4,IF(V436="Public",1,0))))</f>
        <v/>
      </c>
      <c r="AA436" s="9">
        <f>(U436*0.4)+(W436*0.3)+(IF(Z436="Critical",10,IF(Z436="High",7,IF(Z436="Medium",4,1)))*0.2)+(IF(Y436="YES",10,0)*0.1)</f>
        <v/>
      </c>
      <c r="AB436" s="9">
        <f>IF(G436="YES",2.0,0)+IF(H436="YES",2.0,0)</f>
        <v/>
      </c>
      <c r="AC436" s="9" t="n">
        <v>0</v>
      </c>
      <c r="AD436" s="9">
        <f>K436+AB436+AC436</f>
        <v/>
      </c>
      <c r="AE436" s="9">
        <f>(AD436*0.6)+(AA436*0.4)</f>
        <v/>
      </c>
      <c r="AF436">
        <f>IF(AE436&gt;=9,"Critical",IF(AE436&gt;=7,"High",IF(AE436&gt;=4,"Medium","Low")))</f>
        <v/>
      </c>
    </row>
    <row r="437">
      <c r="F437" t="n">
        <v>1</v>
      </c>
      <c r="I437">
        <f>IF(D437="","",TODAY()-D437)</f>
        <v/>
      </c>
      <c r="K437">
        <f>IF(J437="v4.0",L437,IF(J437="v3.1",M437,IF(J437="Both",L437,IF(AND(L437&lt;&gt;"",M437=""),L437,M437))))</f>
        <v/>
      </c>
      <c r="U437">
        <f>IF(T437="Tier 1",10,IF(T437="Tier 2",7,IF(T437="Tier 3",4,IF(T437="Tier 4",1,0))))</f>
        <v/>
      </c>
      <c r="W437">
        <f>IF(V437="Restricted",10,IF(V437="Confidential",7,IF(V437="Internal",4,IF(V437="Public",1,0))))</f>
        <v/>
      </c>
      <c r="AA437" s="9">
        <f>(U437*0.4)+(W437*0.3)+(IF(Z437="Critical",10,IF(Z437="High",7,IF(Z437="Medium",4,1)))*0.2)+(IF(Y437="YES",10,0)*0.1)</f>
        <v/>
      </c>
      <c r="AB437" s="9">
        <f>IF(G437="YES",2.0,0)+IF(H437="YES",2.0,0)</f>
        <v/>
      </c>
      <c r="AC437" s="9" t="n">
        <v>0</v>
      </c>
      <c r="AD437" s="9">
        <f>K437+AB437+AC437</f>
        <v/>
      </c>
      <c r="AE437" s="9">
        <f>(AD437*0.6)+(AA437*0.4)</f>
        <v/>
      </c>
      <c r="AF437">
        <f>IF(AE437&gt;=9,"Critical",IF(AE437&gt;=7,"High",IF(AE437&gt;=4,"Medium","Low")))</f>
        <v/>
      </c>
    </row>
    <row r="438">
      <c r="F438" t="n">
        <v>1</v>
      </c>
      <c r="I438">
        <f>IF(D438="","",TODAY()-D438)</f>
        <v/>
      </c>
      <c r="K438">
        <f>IF(J438="v4.0",L438,IF(J438="v3.1",M438,IF(J438="Both",L438,IF(AND(L438&lt;&gt;"",M438=""),L438,M438))))</f>
        <v/>
      </c>
      <c r="U438">
        <f>IF(T438="Tier 1",10,IF(T438="Tier 2",7,IF(T438="Tier 3",4,IF(T438="Tier 4",1,0))))</f>
        <v/>
      </c>
      <c r="W438">
        <f>IF(V438="Restricted",10,IF(V438="Confidential",7,IF(V438="Internal",4,IF(V438="Public",1,0))))</f>
        <v/>
      </c>
      <c r="AA438" s="9">
        <f>(U438*0.4)+(W438*0.3)+(IF(Z438="Critical",10,IF(Z438="High",7,IF(Z438="Medium",4,1)))*0.2)+(IF(Y438="YES",10,0)*0.1)</f>
        <v/>
      </c>
      <c r="AB438" s="9">
        <f>IF(G438="YES",2.0,0)+IF(H438="YES",2.0,0)</f>
        <v/>
      </c>
      <c r="AC438" s="9" t="n">
        <v>0</v>
      </c>
      <c r="AD438" s="9">
        <f>K438+AB438+AC438</f>
        <v/>
      </c>
      <c r="AE438" s="9">
        <f>(AD438*0.6)+(AA438*0.4)</f>
        <v/>
      </c>
      <c r="AF438">
        <f>IF(AE438&gt;=9,"Critical",IF(AE438&gt;=7,"High",IF(AE438&gt;=4,"Medium","Low")))</f>
        <v/>
      </c>
    </row>
    <row r="439">
      <c r="F439" t="n">
        <v>1</v>
      </c>
      <c r="I439">
        <f>IF(D439="","",TODAY()-D439)</f>
        <v/>
      </c>
      <c r="K439">
        <f>IF(J439="v4.0",L439,IF(J439="v3.1",M439,IF(J439="Both",L439,IF(AND(L439&lt;&gt;"",M439=""),L439,M439))))</f>
        <v/>
      </c>
      <c r="U439">
        <f>IF(T439="Tier 1",10,IF(T439="Tier 2",7,IF(T439="Tier 3",4,IF(T439="Tier 4",1,0))))</f>
        <v/>
      </c>
      <c r="W439">
        <f>IF(V439="Restricted",10,IF(V439="Confidential",7,IF(V439="Internal",4,IF(V439="Public",1,0))))</f>
        <v/>
      </c>
      <c r="AA439" s="9">
        <f>(U439*0.4)+(W439*0.3)+(IF(Z439="Critical",10,IF(Z439="High",7,IF(Z439="Medium",4,1)))*0.2)+(IF(Y439="YES",10,0)*0.1)</f>
        <v/>
      </c>
      <c r="AB439" s="9">
        <f>IF(G439="YES",2.0,0)+IF(H439="YES",2.0,0)</f>
        <v/>
      </c>
      <c r="AC439" s="9" t="n">
        <v>0</v>
      </c>
      <c r="AD439" s="9">
        <f>K439+AB439+AC439</f>
        <v/>
      </c>
      <c r="AE439" s="9">
        <f>(AD439*0.6)+(AA439*0.4)</f>
        <v/>
      </c>
      <c r="AF439">
        <f>IF(AE439&gt;=9,"Critical",IF(AE439&gt;=7,"High",IF(AE439&gt;=4,"Medium","Low")))</f>
        <v/>
      </c>
    </row>
    <row r="440">
      <c r="F440" t="n">
        <v>1</v>
      </c>
      <c r="I440">
        <f>IF(D440="","",TODAY()-D440)</f>
        <v/>
      </c>
      <c r="K440">
        <f>IF(J440="v4.0",L440,IF(J440="v3.1",M440,IF(J440="Both",L440,IF(AND(L440&lt;&gt;"",M440=""),L440,M440))))</f>
        <v/>
      </c>
      <c r="U440">
        <f>IF(T440="Tier 1",10,IF(T440="Tier 2",7,IF(T440="Tier 3",4,IF(T440="Tier 4",1,0))))</f>
        <v/>
      </c>
      <c r="W440">
        <f>IF(V440="Restricted",10,IF(V440="Confidential",7,IF(V440="Internal",4,IF(V440="Public",1,0))))</f>
        <v/>
      </c>
      <c r="AA440" s="9">
        <f>(U440*0.4)+(W440*0.3)+(IF(Z440="Critical",10,IF(Z440="High",7,IF(Z440="Medium",4,1)))*0.2)+(IF(Y440="YES",10,0)*0.1)</f>
        <v/>
      </c>
      <c r="AB440" s="9">
        <f>IF(G440="YES",2.0,0)+IF(H440="YES",2.0,0)</f>
        <v/>
      </c>
      <c r="AC440" s="9" t="n">
        <v>0</v>
      </c>
      <c r="AD440" s="9">
        <f>K440+AB440+AC440</f>
        <v/>
      </c>
      <c r="AE440" s="9">
        <f>(AD440*0.6)+(AA440*0.4)</f>
        <v/>
      </c>
      <c r="AF440">
        <f>IF(AE440&gt;=9,"Critical",IF(AE440&gt;=7,"High",IF(AE440&gt;=4,"Medium","Low")))</f>
        <v/>
      </c>
    </row>
    <row r="441">
      <c r="F441" t="n">
        <v>1</v>
      </c>
      <c r="I441">
        <f>IF(D441="","",TODAY()-D441)</f>
        <v/>
      </c>
      <c r="K441">
        <f>IF(J441="v4.0",L441,IF(J441="v3.1",M441,IF(J441="Both",L441,IF(AND(L441&lt;&gt;"",M441=""),L441,M441))))</f>
        <v/>
      </c>
      <c r="U441">
        <f>IF(T441="Tier 1",10,IF(T441="Tier 2",7,IF(T441="Tier 3",4,IF(T441="Tier 4",1,0))))</f>
        <v/>
      </c>
      <c r="W441">
        <f>IF(V441="Restricted",10,IF(V441="Confidential",7,IF(V441="Internal",4,IF(V441="Public",1,0))))</f>
        <v/>
      </c>
      <c r="AA441" s="9">
        <f>(U441*0.4)+(W441*0.3)+(IF(Z441="Critical",10,IF(Z441="High",7,IF(Z441="Medium",4,1)))*0.2)+(IF(Y441="YES",10,0)*0.1)</f>
        <v/>
      </c>
      <c r="AB441" s="9">
        <f>IF(G441="YES",2.0,0)+IF(H441="YES",2.0,0)</f>
        <v/>
      </c>
      <c r="AC441" s="9" t="n">
        <v>0</v>
      </c>
      <c r="AD441" s="9">
        <f>K441+AB441+AC441</f>
        <v/>
      </c>
      <c r="AE441" s="9">
        <f>(AD441*0.6)+(AA441*0.4)</f>
        <v/>
      </c>
      <c r="AF441">
        <f>IF(AE441&gt;=9,"Critical",IF(AE441&gt;=7,"High",IF(AE441&gt;=4,"Medium","Low")))</f>
        <v/>
      </c>
    </row>
    <row r="442">
      <c r="F442" t="n">
        <v>1</v>
      </c>
      <c r="I442">
        <f>IF(D442="","",TODAY()-D442)</f>
        <v/>
      </c>
      <c r="K442">
        <f>IF(J442="v4.0",L442,IF(J442="v3.1",M442,IF(J442="Both",L442,IF(AND(L442&lt;&gt;"",M442=""),L442,M442))))</f>
        <v/>
      </c>
      <c r="U442">
        <f>IF(T442="Tier 1",10,IF(T442="Tier 2",7,IF(T442="Tier 3",4,IF(T442="Tier 4",1,0))))</f>
        <v/>
      </c>
      <c r="W442">
        <f>IF(V442="Restricted",10,IF(V442="Confidential",7,IF(V442="Internal",4,IF(V442="Public",1,0))))</f>
        <v/>
      </c>
      <c r="AA442" s="9">
        <f>(U442*0.4)+(W442*0.3)+(IF(Z442="Critical",10,IF(Z442="High",7,IF(Z442="Medium",4,1)))*0.2)+(IF(Y442="YES",10,0)*0.1)</f>
        <v/>
      </c>
      <c r="AB442" s="9">
        <f>IF(G442="YES",2.0,0)+IF(H442="YES",2.0,0)</f>
        <v/>
      </c>
      <c r="AC442" s="9" t="n">
        <v>0</v>
      </c>
      <c r="AD442" s="9">
        <f>K442+AB442+AC442</f>
        <v/>
      </c>
      <c r="AE442" s="9">
        <f>(AD442*0.6)+(AA442*0.4)</f>
        <v/>
      </c>
      <c r="AF442">
        <f>IF(AE442&gt;=9,"Critical",IF(AE442&gt;=7,"High",IF(AE442&gt;=4,"Medium","Low")))</f>
        <v/>
      </c>
    </row>
    <row r="443">
      <c r="F443" t="n">
        <v>1</v>
      </c>
      <c r="I443">
        <f>IF(D443="","",TODAY()-D443)</f>
        <v/>
      </c>
      <c r="K443">
        <f>IF(J443="v4.0",L443,IF(J443="v3.1",M443,IF(J443="Both",L443,IF(AND(L443&lt;&gt;"",M443=""),L443,M443))))</f>
        <v/>
      </c>
      <c r="U443">
        <f>IF(T443="Tier 1",10,IF(T443="Tier 2",7,IF(T443="Tier 3",4,IF(T443="Tier 4",1,0))))</f>
        <v/>
      </c>
      <c r="W443">
        <f>IF(V443="Restricted",10,IF(V443="Confidential",7,IF(V443="Internal",4,IF(V443="Public",1,0))))</f>
        <v/>
      </c>
      <c r="AA443" s="9">
        <f>(U443*0.4)+(W443*0.3)+(IF(Z443="Critical",10,IF(Z443="High",7,IF(Z443="Medium",4,1)))*0.2)+(IF(Y443="YES",10,0)*0.1)</f>
        <v/>
      </c>
      <c r="AB443" s="9">
        <f>IF(G443="YES",2.0,0)+IF(H443="YES",2.0,0)</f>
        <v/>
      </c>
      <c r="AC443" s="9" t="n">
        <v>0</v>
      </c>
      <c r="AD443" s="9">
        <f>K443+AB443+AC443</f>
        <v/>
      </c>
      <c r="AE443" s="9">
        <f>(AD443*0.6)+(AA443*0.4)</f>
        <v/>
      </c>
      <c r="AF443">
        <f>IF(AE443&gt;=9,"Critical",IF(AE443&gt;=7,"High",IF(AE443&gt;=4,"Medium","Low")))</f>
        <v/>
      </c>
    </row>
    <row r="444">
      <c r="F444" t="n">
        <v>1</v>
      </c>
      <c r="I444">
        <f>IF(D444="","",TODAY()-D444)</f>
        <v/>
      </c>
      <c r="K444">
        <f>IF(J444="v4.0",L444,IF(J444="v3.1",M444,IF(J444="Both",L444,IF(AND(L444&lt;&gt;"",M444=""),L444,M444))))</f>
        <v/>
      </c>
      <c r="U444">
        <f>IF(T444="Tier 1",10,IF(T444="Tier 2",7,IF(T444="Tier 3",4,IF(T444="Tier 4",1,0))))</f>
        <v/>
      </c>
      <c r="W444">
        <f>IF(V444="Restricted",10,IF(V444="Confidential",7,IF(V444="Internal",4,IF(V444="Public",1,0))))</f>
        <v/>
      </c>
      <c r="AA444" s="9">
        <f>(U444*0.4)+(W444*0.3)+(IF(Z444="Critical",10,IF(Z444="High",7,IF(Z444="Medium",4,1)))*0.2)+(IF(Y444="YES",10,0)*0.1)</f>
        <v/>
      </c>
      <c r="AB444" s="9">
        <f>IF(G444="YES",2.0,0)+IF(H444="YES",2.0,0)</f>
        <v/>
      </c>
      <c r="AC444" s="9" t="n">
        <v>0</v>
      </c>
      <c r="AD444" s="9">
        <f>K444+AB444+AC444</f>
        <v/>
      </c>
      <c r="AE444" s="9">
        <f>(AD444*0.6)+(AA444*0.4)</f>
        <v/>
      </c>
      <c r="AF444">
        <f>IF(AE444&gt;=9,"Critical",IF(AE444&gt;=7,"High",IF(AE444&gt;=4,"Medium","Low")))</f>
        <v/>
      </c>
    </row>
    <row r="445">
      <c r="F445" t="n">
        <v>1</v>
      </c>
      <c r="I445">
        <f>IF(D445="","",TODAY()-D445)</f>
        <v/>
      </c>
      <c r="K445">
        <f>IF(J445="v4.0",L445,IF(J445="v3.1",M445,IF(J445="Both",L445,IF(AND(L445&lt;&gt;"",M445=""),L445,M445))))</f>
        <v/>
      </c>
      <c r="U445">
        <f>IF(T445="Tier 1",10,IF(T445="Tier 2",7,IF(T445="Tier 3",4,IF(T445="Tier 4",1,0))))</f>
        <v/>
      </c>
      <c r="W445">
        <f>IF(V445="Restricted",10,IF(V445="Confidential",7,IF(V445="Internal",4,IF(V445="Public",1,0))))</f>
        <v/>
      </c>
      <c r="AA445" s="9">
        <f>(U445*0.4)+(W445*0.3)+(IF(Z445="Critical",10,IF(Z445="High",7,IF(Z445="Medium",4,1)))*0.2)+(IF(Y445="YES",10,0)*0.1)</f>
        <v/>
      </c>
      <c r="AB445" s="9">
        <f>IF(G445="YES",2.0,0)+IF(H445="YES",2.0,0)</f>
        <v/>
      </c>
      <c r="AC445" s="9" t="n">
        <v>0</v>
      </c>
      <c r="AD445" s="9">
        <f>K445+AB445+AC445</f>
        <v/>
      </c>
      <c r="AE445" s="9">
        <f>(AD445*0.6)+(AA445*0.4)</f>
        <v/>
      </c>
      <c r="AF445">
        <f>IF(AE445&gt;=9,"Critical",IF(AE445&gt;=7,"High",IF(AE445&gt;=4,"Medium","Low")))</f>
        <v/>
      </c>
    </row>
    <row r="446">
      <c r="F446" t="n">
        <v>1</v>
      </c>
      <c r="I446">
        <f>IF(D446="","",TODAY()-D446)</f>
        <v/>
      </c>
      <c r="K446">
        <f>IF(J446="v4.0",L446,IF(J446="v3.1",M446,IF(J446="Both",L446,IF(AND(L446&lt;&gt;"",M446=""),L446,M446))))</f>
        <v/>
      </c>
      <c r="U446">
        <f>IF(T446="Tier 1",10,IF(T446="Tier 2",7,IF(T446="Tier 3",4,IF(T446="Tier 4",1,0))))</f>
        <v/>
      </c>
      <c r="W446">
        <f>IF(V446="Restricted",10,IF(V446="Confidential",7,IF(V446="Internal",4,IF(V446="Public",1,0))))</f>
        <v/>
      </c>
      <c r="AA446" s="9">
        <f>(U446*0.4)+(W446*0.3)+(IF(Z446="Critical",10,IF(Z446="High",7,IF(Z446="Medium",4,1)))*0.2)+(IF(Y446="YES",10,0)*0.1)</f>
        <v/>
      </c>
      <c r="AB446" s="9">
        <f>IF(G446="YES",2.0,0)+IF(H446="YES",2.0,0)</f>
        <v/>
      </c>
      <c r="AC446" s="9" t="n">
        <v>0</v>
      </c>
      <c r="AD446" s="9">
        <f>K446+AB446+AC446</f>
        <v/>
      </c>
      <c r="AE446" s="9">
        <f>(AD446*0.6)+(AA446*0.4)</f>
        <v/>
      </c>
      <c r="AF446">
        <f>IF(AE446&gt;=9,"Critical",IF(AE446&gt;=7,"High",IF(AE446&gt;=4,"Medium","Low")))</f>
        <v/>
      </c>
    </row>
    <row r="447">
      <c r="F447" t="n">
        <v>1</v>
      </c>
      <c r="I447">
        <f>IF(D447="","",TODAY()-D447)</f>
        <v/>
      </c>
      <c r="K447">
        <f>IF(J447="v4.0",L447,IF(J447="v3.1",M447,IF(J447="Both",L447,IF(AND(L447&lt;&gt;"",M447=""),L447,M447))))</f>
        <v/>
      </c>
      <c r="U447">
        <f>IF(T447="Tier 1",10,IF(T447="Tier 2",7,IF(T447="Tier 3",4,IF(T447="Tier 4",1,0))))</f>
        <v/>
      </c>
      <c r="W447">
        <f>IF(V447="Restricted",10,IF(V447="Confidential",7,IF(V447="Internal",4,IF(V447="Public",1,0))))</f>
        <v/>
      </c>
      <c r="AA447" s="9">
        <f>(U447*0.4)+(W447*0.3)+(IF(Z447="Critical",10,IF(Z447="High",7,IF(Z447="Medium",4,1)))*0.2)+(IF(Y447="YES",10,0)*0.1)</f>
        <v/>
      </c>
      <c r="AB447" s="9">
        <f>IF(G447="YES",2.0,0)+IF(H447="YES",2.0,0)</f>
        <v/>
      </c>
      <c r="AC447" s="9" t="n">
        <v>0</v>
      </c>
      <c r="AD447" s="9">
        <f>K447+AB447+AC447</f>
        <v/>
      </c>
      <c r="AE447" s="9">
        <f>(AD447*0.6)+(AA447*0.4)</f>
        <v/>
      </c>
      <c r="AF447">
        <f>IF(AE447&gt;=9,"Critical",IF(AE447&gt;=7,"High",IF(AE447&gt;=4,"Medium","Low")))</f>
        <v/>
      </c>
    </row>
    <row r="448">
      <c r="F448" t="n">
        <v>1</v>
      </c>
      <c r="I448">
        <f>IF(D448="","",TODAY()-D448)</f>
        <v/>
      </c>
      <c r="K448">
        <f>IF(J448="v4.0",L448,IF(J448="v3.1",M448,IF(J448="Both",L448,IF(AND(L448&lt;&gt;"",M448=""),L448,M448))))</f>
        <v/>
      </c>
      <c r="U448">
        <f>IF(T448="Tier 1",10,IF(T448="Tier 2",7,IF(T448="Tier 3",4,IF(T448="Tier 4",1,0))))</f>
        <v/>
      </c>
      <c r="W448">
        <f>IF(V448="Restricted",10,IF(V448="Confidential",7,IF(V448="Internal",4,IF(V448="Public",1,0))))</f>
        <v/>
      </c>
      <c r="AA448" s="9">
        <f>(U448*0.4)+(W448*0.3)+(IF(Z448="Critical",10,IF(Z448="High",7,IF(Z448="Medium",4,1)))*0.2)+(IF(Y448="YES",10,0)*0.1)</f>
        <v/>
      </c>
      <c r="AB448" s="9">
        <f>IF(G448="YES",2.0,0)+IF(H448="YES",2.0,0)</f>
        <v/>
      </c>
      <c r="AC448" s="9" t="n">
        <v>0</v>
      </c>
      <c r="AD448" s="9">
        <f>K448+AB448+AC448</f>
        <v/>
      </c>
      <c r="AE448" s="9">
        <f>(AD448*0.6)+(AA448*0.4)</f>
        <v/>
      </c>
      <c r="AF448">
        <f>IF(AE448&gt;=9,"Critical",IF(AE448&gt;=7,"High",IF(AE448&gt;=4,"Medium","Low")))</f>
        <v/>
      </c>
    </row>
    <row r="449">
      <c r="F449" t="n">
        <v>1</v>
      </c>
      <c r="I449">
        <f>IF(D449="","",TODAY()-D449)</f>
        <v/>
      </c>
      <c r="K449">
        <f>IF(J449="v4.0",L449,IF(J449="v3.1",M449,IF(J449="Both",L449,IF(AND(L449&lt;&gt;"",M449=""),L449,M449))))</f>
        <v/>
      </c>
      <c r="U449">
        <f>IF(T449="Tier 1",10,IF(T449="Tier 2",7,IF(T449="Tier 3",4,IF(T449="Tier 4",1,0))))</f>
        <v/>
      </c>
      <c r="W449">
        <f>IF(V449="Restricted",10,IF(V449="Confidential",7,IF(V449="Internal",4,IF(V449="Public",1,0))))</f>
        <v/>
      </c>
      <c r="AA449" s="9">
        <f>(U449*0.4)+(W449*0.3)+(IF(Z449="Critical",10,IF(Z449="High",7,IF(Z449="Medium",4,1)))*0.2)+(IF(Y449="YES",10,0)*0.1)</f>
        <v/>
      </c>
      <c r="AB449" s="9">
        <f>IF(G449="YES",2.0,0)+IF(H449="YES",2.0,0)</f>
        <v/>
      </c>
      <c r="AC449" s="9" t="n">
        <v>0</v>
      </c>
      <c r="AD449" s="9">
        <f>K449+AB449+AC449</f>
        <v/>
      </c>
      <c r="AE449" s="9">
        <f>(AD449*0.6)+(AA449*0.4)</f>
        <v/>
      </c>
      <c r="AF449">
        <f>IF(AE449&gt;=9,"Critical",IF(AE449&gt;=7,"High",IF(AE449&gt;=4,"Medium","Low")))</f>
        <v/>
      </c>
    </row>
    <row r="450">
      <c r="F450" t="n">
        <v>1</v>
      </c>
      <c r="I450">
        <f>IF(D450="","",TODAY()-D450)</f>
        <v/>
      </c>
      <c r="K450">
        <f>IF(J450="v4.0",L450,IF(J450="v3.1",M450,IF(J450="Both",L450,IF(AND(L450&lt;&gt;"",M450=""),L450,M450))))</f>
        <v/>
      </c>
      <c r="U450">
        <f>IF(T450="Tier 1",10,IF(T450="Tier 2",7,IF(T450="Tier 3",4,IF(T450="Tier 4",1,0))))</f>
        <v/>
      </c>
      <c r="W450">
        <f>IF(V450="Restricted",10,IF(V450="Confidential",7,IF(V450="Internal",4,IF(V450="Public",1,0))))</f>
        <v/>
      </c>
      <c r="AA450" s="9">
        <f>(U450*0.4)+(W450*0.3)+(IF(Z450="Critical",10,IF(Z450="High",7,IF(Z450="Medium",4,1)))*0.2)+(IF(Y450="YES",10,0)*0.1)</f>
        <v/>
      </c>
      <c r="AB450" s="9">
        <f>IF(G450="YES",2.0,0)+IF(H450="YES",2.0,0)</f>
        <v/>
      </c>
      <c r="AC450" s="9" t="n">
        <v>0</v>
      </c>
      <c r="AD450" s="9">
        <f>K450+AB450+AC450</f>
        <v/>
      </c>
      <c r="AE450" s="9">
        <f>(AD450*0.6)+(AA450*0.4)</f>
        <v/>
      </c>
      <c r="AF450">
        <f>IF(AE450&gt;=9,"Critical",IF(AE450&gt;=7,"High",IF(AE450&gt;=4,"Medium","Low")))</f>
        <v/>
      </c>
    </row>
    <row r="451">
      <c r="F451" t="n">
        <v>1</v>
      </c>
      <c r="I451">
        <f>IF(D451="","",TODAY()-D451)</f>
        <v/>
      </c>
      <c r="K451">
        <f>IF(J451="v4.0",L451,IF(J451="v3.1",M451,IF(J451="Both",L451,IF(AND(L451&lt;&gt;"",M451=""),L451,M451))))</f>
        <v/>
      </c>
      <c r="U451">
        <f>IF(T451="Tier 1",10,IF(T451="Tier 2",7,IF(T451="Tier 3",4,IF(T451="Tier 4",1,0))))</f>
        <v/>
      </c>
      <c r="W451">
        <f>IF(V451="Restricted",10,IF(V451="Confidential",7,IF(V451="Internal",4,IF(V451="Public",1,0))))</f>
        <v/>
      </c>
      <c r="AA451" s="9">
        <f>(U451*0.4)+(W451*0.3)+(IF(Z451="Critical",10,IF(Z451="High",7,IF(Z451="Medium",4,1)))*0.2)+(IF(Y451="YES",10,0)*0.1)</f>
        <v/>
      </c>
      <c r="AB451" s="9">
        <f>IF(G451="YES",2.0,0)+IF(H451="YES",2.0,0)</f>
        <v/>
      </c>
      <c r="AC451" s="9" t="n">
        <v>0</v>
      </c>
      <c r="AD451" s="9">
        <f>K451+AB451+AC451</f>
        <v/>
      </c>
      <c r="AE451" s="9">
        <f>(AD451*0.6)+(AA451*0.4)</f>
        <v/>
      </c>
      <c r="AF451">
        <f>IF(AE451&gt;=9,"Critical",IF(AE451&gt;=7,"High",IF(AE451&gt;=4,"Medium","Low")))</f>
        <v/>
      </c>
    </row>
    <row r="452">
      <c r="F452" t="n">
        <v>1</v>
      </c>
      <c r="I452">
        <f>IF(D452="","",TODAY()-D452)</f>
        <v/>
      </c>
      <c r="K452">
        <f>IF(J452="v4.0",L452,IF(J452="v3.1",M452,IF(J452="Both",L452,IF(AND(L452&lt;&gt;"",M452=""),L452,M452))))</f>
        <v/>
      </c>
      <c r="U452">
        <f>IF(T452="Tier 1",10,IF(T452="Tier 2",7,IF(T452="Tier 3",4,IF(T452="Tier 4",1,0))))</f>
        <v/>
      </c>
      <c r="W452">
        <f>IF(V452="Restricted",10,IF(V452="Confidential",7,IF(V452="Internal",4,IF(V452="Public",1,0))))</f>
        <v/>
      </c>
      <c r="AA452" s="9">
        <f>(U452*0.4)+(W452*0.3)+(IF(Z452="Critical",10,IF(Z452="High",7,IF(Z452="Medium",4,1)))*0.2)+(IF(Y452="YES",10,0)*0.1)</f>
        <v/>
      </c>
      <c r="AB452" s="9">
        <f>IF(G452="YES",2.0,0)+IF(H452="YES",2.0,0)</f>
        <v/>
      </c>
      <c r="AC452" s="9" t="n">
        <v>0</v>
      </c>
      <c r="AD452" s="9">
        <f>K452+AB452+AC452</f>
        <v/>
      </c>
      <c r="AE452" s="9">
        <f>(AD452*0.6)+(AA452*0.4)</f>
        <v/>
      </c>
      <c r="AF452">
        <f>IF(AE452&gt;=9,"Critical",IF(AE452&gt;=7,"High",IF(AE452&gt;=4,"Medium","Low")))</f>
        <v/>
      </c>
    </row>
    <row r="453">
      <c r="F453" t="n">
        <v>1</v>
      </c>
      <c r="I453">
        <f>IF(D453="","",TODAY()-D453)</f>
        <v/>
      </c>
      <c r="K453">
        <f>IF(J453="v4.0",L453,IF(J453="v3.1",M453,IF(J453="Both",L453,IF(AND(L453&lt;&gt;"",M453=""),L453,M453))))</f>
        <v/>
      </c>
      <c r="U453">
        <f>IF(T453="Tier 1",10,IF(T453="Tier 2",7,IF(T453="Tier 3",4,IF(T453="Tier 4",1,0))))</f>
        <v/>
      </c>
      <c r="W453">
        <f>IF(V453="Restricted",10,IF(V453="Confidential",7,IF(V453="Internal",4,IF(V453="Public",1,0))))</f>
        <v/>
      </c>
      <c r="AA453" s="9">
        <f>(U453*0.4)+(W453*0.3)+(IF(Z453="Critical",10,IF(Z453="High",7,IF(Z453="Medium",4,1)))*0.2)+(IF(Y453="YES",10,0)*0.1)</f>
        <v/>
      </c>
      <c r="AB453" s="9">
        <f>IF(G453="YES",2.0,0)+IF(H453="YES",2.0,0)</f>
        <v/>
      </c>
      <c r="AC453" s="9" t="n">
        <v>0</v>
      </c>
      <c r="AD453" s="9">
        <f>K453+AB453+AC453</f>
        <v/>
      </c>
      <c r="AE453" s="9">
        <f>(AD453*0.6)+(AA453*0.4)</f>
        <v/>
      </c>
      <c r="AF453">
        <f>IF(AE453&gt;=9,"Critical",IF(AE453&gt;=7,"High",IF(AE453&gt;=4,"Medium","Low")))</f>
        <v/>
      </c>
    </row>
    <row r="454">
      <c r="F454" t="n">
        <v>1</v>
      </c>
      <c r="I454">
        <f>IF(D454="","",TODAY()-D454)</f>
        <v/>
      </c>
      <c r="K454">
        <f>IF(J454="v4.0",L454,IF(J454="v3.1",M454,IF(J454="Both",L454,IF(AND(L454&lt;&gt;"",M454=""),L454,M454))))</f>
        <v/>
      </c>
      <c r="U454">
        <f>IF(T454="Tier 1",10,IF(T454="Tier 2",7,IF(T454="Tier 3",4,IF(T454="Tier 4",1,0))))</f>
        <v/>
      </c>
      <c r="W454">
        <f>IF(V454="Restricted",10,IF(V454="Confidential",7,IF(V454="Internal",4,IF(V454="Public",1,0))))</f>
        <v/>
      </c>
      <c r="AA454" s="9">
        <f>(U454*0.4)+(W454*0.3)+(IF(Z454="Critical",10,IF(Z454="High",7,IF(Z454="Medium",4,1)))*0.2)+(IF(Y454="YES",10,0)*0.1)</f>
        <v/>
      </c>
      <c r="AB454" s="9">
        <f>IF(G454="YES",2.0,0)+IF(H454="YES",2.0,0)</f>
        <v/>
      </c>
      <c r="AC454" s="9" t="n">
        <v>0</v>
      </c>
      <c r="AD454" s="9">
        <f>K454+AB454+AC454</f>
        <v/>
      </c>
      <c r="AE454" s="9">
        <f>(AD454*0.6)+(AA454*0.4)</f>
        <v/>
      </c>
      <c r="AF454">
        <f>IF(AE454&gt;=9,"Critical",IF(AE454&gt;=7,"High",IF(AE454&gt;=4,"Medium","Low")))</f>
        <v/>
      </c>
    </row>
    <row r="455">
      <c r="F455" t="n">
        <v>1</v>
      </c>
      <c r="I455">
        <f>IF(D455="","",TODAY()-D455)</f>
        <v/>
      </c>
      <c r="K455">
        <f>IF(J455="v4.0",L455,IF(J455="v3.1",M455,IF(J455="Both",L455,IF(AND(L455&lt;&gt;"",M455=""),L455,M455))))</f>
        <v/>
      </c>
      <c r="U455">
        <f>IF(T455="Tier 1",10,IF(T455="Tier 2",7,IF(T455="Tier 3",4,IF(T455="Tier 4",1,0))))</f>
        <v/>
      </c>
      <c r="W455">
        <f>IF(V455="Restricted",10,IF(V455="Confidential",7,IF(V455="Internal",4,IF(V455="Public",1,0))))</f>
        <v/>
      </c>
      <c r="AA455" s="9">
        <f>(U455*0.4)+(W455*0.3)+(IF(Z455="Critical",10,IF(Z455="High",7,IF(Z455="Medium",4,1)))*0.2)+(IF(Y455="YES",10,0)*0.1)</f>
        <v/>
      </c>
      <c r="AB455" s="9">
        <f>IF(G455="YES",2.0,0)+IF(H455="YES",2.0,0)</f>
        <v/>
      </c>
      <c r="AC455" s="9" t="n">
        <v>0</v>
      </c>
      <c r="AD455" s="9">
        <f>K455+AB455+AC455</f>
        <v/>
      </c>
      <c r="AE455" s="9">
        <f>(AD455*0.6)+(AA455*0.4)</f>
        <v/>
      </c>
      <c r="AF455">
        <f>IF(AE455&gt;=9,"Critical",IF(AE455&gt;=7,"High",IF(AE455&gt;=4,"Medium","Low")))</f>
        <v/>
      </c>
    </row>
    <row r="456">
      <c r="F456" t="n">
        <v>1</v>
      </c>
      <c r="I456">
        <f>IF(D456="","",TODAY()-D456)</f>
        <v/>
      </c>
      <c r="K456">
        <f>IF(J456="v4.0",L456,IF(J456="v3.1",M456,IF(J456="Both",L456,IF(AND(L456&lt;&gt;"",M456=""),L456,M456))))</f>
        <v/>
      </c>
      <c r="U456">
        <f>IF(T456="Tier 1",10,IF(T456="Tier 2",7,IF(T456="Tier 3",4,IF(T456="Tier 4",1,0))))</f>
        <v/>
      </c>
      <c r="W456">
        <f>IF(V456="Restricted",10,IF(V456="Confidential",7,IF(V456="Internal",4,IF(V456="Public",1,0))))</f>
        <v/>
      </c>
      <c r="AA456" s="9">
        <f>(U456*0.4)+(W456*0.3)+(IF(Z456="Critical",10,IF(Z456="High",7,IF(Z456="Medium",4,1)))*0.2)+(IF(Y456="YES",10,0)*0.1)</f>
        <v/>
      </c>
      <c r="AB456" s="9">
        <f>IF(G456="YES",2.0,0)+IF(H456="YES",2.0,0)</f>
        <v/>
      </c>
      <c r="AC456" s="9" t="n">
        <v>0</v>
      </c>
      <c r="AD456" s="9">
        <f>K456+AB456+AC456</f>
        <v/>
      </c>
      <c r="AE456" s="9">
        <f>(AD456*0.6)+(AA456*0.4)</f>
        <v/>
      </c>
      <c r="AF456">
        <f>IF(AE456&gt;=9,"Critical",IF(AE456&gt;=7,"High",IF(AE456&gt;=4,"Medium","Low")))</f>
        <v/>
      </c>
    </row>
    <row r="457">
      <c r="F457" t="n">
        <v>1</v>
      </c>
      <c r="I457">
        <f>IF(D457="","",TODAY()-D457)</f>
        <v/>
      </c>
      <c r="K457">
        <f>IF(J457="v4.0",L457,IF(J457="v3.1",M457,IF(J457="Both",L457,IF(AND(L457&lt;&gt;"",M457=""),L457,M457))))</f>
        <v/>
      </c>
      <c r="U457">
        <f>IF(T457="Tier 1",10,IF(T457="Tier 2",7,IF(T457="Tier 3",4,IF(T457="Tier 4",1,0))))</f>
        <v/>
      </c>
      <c r="W457">
        <f>IF(V457="Restricted",10,IF(V457="Confidential",7,IF(V457="Internal",4,IF(V457="Public",1,0))))</f>
        <v/>
      </c>
      <c r="AA457" s="9">
        <f>(U457*0.4)+(W457*0.3)+(IF(Z457="Critical",10,IF(Z457="High",7,IF(Z457="Medium",4,1)))*0.2)+(IF(Y457="YES",10,0)*0.1)</f>
        <v/>
      </c>
      <c r="AB457" s="9">
        <f>IF(G457="YES",2.0,0)+IF(H457="YES",2.0,0)</f>
        <v/>
      </c>
      <c r="AC457" s="9" t="n">
        <v>0</v>
      </c>
      <c r="AD457" s="9">
        <f>K457+AB457+AC457</f>
        <v/>
      </c>
      <c r="AE457" s="9">
        <f>(AD457*0.6)+(AA457*0.4)</f>
        <v/>
      </c>
      <c r="AF457">
        <f>IF(AE457&gt;=9,"Critical",IF(AE457&gt;=7,"High",IF(AE457&gt;=4,"Medium","Low")))</f>
        <v/>
      </c>
    </row>
    <row r="458">
      <c r="F458" t="n">
        <v>1</v>
      </c>
      <c r="I458">
        <f>IF(D458="","",TODAY()-D458)</f>
        <v/>
      </c>
      <c r="K458">
        <f>IF(J458="v4.0",L458,IF(J458="v3.1",M458,IF(J458="Both",L458,IF(AND(L458&lt;&gt;"",M458=""),L458,M458))))</f>
        <v/>
      </c>
      <c r="U458">
        <f>IF(T458="Tier 1",10,IF(T458="Tier 2",7,IF(T458="Tier 3",4,IF(T458="Tier 4",1,0))))</f>
        <v/>
      </c>
      <c r="W458">
        <f>IF(V458="Restricted",10,IF(V458="Confidential",7,IF(V458="Internal",4,IF(V458="Public",1,0))))</f>
        <v/>
      </c>
      <c r="AA458" s="9">
        <f>(U458*0.4)+(W458*0.3)+(IF(Z458="Critical",10,IF(Z458="High",7,IF(Z458="Medium",4,1)))*0.2)+(IF(Y458="YES",10,0)*0.1)</f>
        <v/>
      </c>
      <c r="AB458" s="9">
        <f>IF(G458="YES",2.0,0)+IF(H458="YES",2.0,0)</f>
        <v/>
      </c>
      <c r="AC458" s="9" t="n">
        <v>0</v>
      </c>
      <c r="AD458" s="9">
        <f>K458+AB458+AC458</f>
        <v/>
      </c>
      <c r="AE458" s="9">
        <f>(AD458*0.6)+(AA458*0.4)</f>
        <v/>
      </c>
      <c r="AF458">
        <f>IF(AE458&gt;=9,"Critical",IF(AE458&gt;=7,"High",IF(AE458&gt;=4,"Medium","Low")))</f>
        <v/>
      </c>
    </row>
    <row r="459">
      <c r="F459" t="n">
        <v>1</v>
      </c>
      <c r="I459">
        <f>IF(D459="","",TODAY()-D459)</f>
        <v/>
      </c>
      <c r="K459">
        <f>IF(J459="v4.0",L459,IF(J459="v3.1",M459,IF(J459="Both",L459,IF(AND(L459&lt;&gt;"",M459=""),L459,M459))))</f>
        <v/>
      </c>
      <c r="U459">
        <f>IF(T459="Tier 1",10,IF(T459="Tier 2",7,IF(T459="Tier 3",4,IF(T459="Tier 4",1,0))))</f>
        <v/>
      </c>
      <c r="W459">
        <f>IF(V459="Restricted",10,IF(V459="Confidential",7,IF(V459="Internal",4,IF(V459="Public",1,0))))</f>
        <v/>
      </c>
      <c r="AA459" s="9">
        <f>(U459*0.4)+(W459*0.3)+(IF(Z459="Critical",10,IF(Z459="High",7,IF(Z459="Medium",4,1)))*0.2)+(IF(Y459="YES",10,0)*0.1)</f>
        <v/>
      </c>
      <c r="AB459" s="9">
        <f>IF(G459="YES",2.0,0)+IF(H459="YES",2.0,0)</f>
        <v/>
      </c>
      <c r="AC459" s="9" t="n">
        <v>0</v>
      </c>
      <c r="AD459" s="9">
        <f>K459+AB459+AC459</f>
        <v/>
      </c>
      <c r="AE459" s="9">
        <f>(AD459*0.6)+(AA459*0.4)</f>
        <v/>
      </c>
      <c r="AF459">
        <f>IF(AE459&gt;=9,"Critical",IF(AE459&gt;=7,"High",IF(AE459&gt;=4,"Medium","Low")))</f>
        <v/>
      </c>
    </row>
    <row r="460">
      <c r="F460" t="n">
        <v>1</v>
      </c>
      <c r="I460">
        <f>IF(D460="","",TODAY()-D460)</f>
        <v/>
      </c>
      <c r="K460">
        <f>IF(J460="v4.0",L460,IF(J460="v3.1",M460,IF(J460="Both",L460,IF(AND(L460&lt;&gt;"",M460=""),L460,M460))))</f>
        <v/>
      </c>
      <c r="U460">
        <f>IF(T460="Tier 1",10,IF(T460="Tier 2",7,IF(T460="Tier 3",4,IF(T460="Tier 4",1,0))))</f>
        <v/>
      </c>
      <c r="W460">
        <f>IF(V460="Restricted",10,IF(V460="Confidential",7,IF(V460="Internal",4,IF(V460="Public",1,0))))</f>
        <v/>
      </c>
      <c r="AA460" s="9">
        <f>(U460*0.4)+(W460*0.3)+(IF(Z460="Critical",10,IF(Z460="High",7,IF(Z460="Medium",4,1)))*0.2)+(IF(Y460="YES",10,0)*0.1)</f>
        <v/>
      </c>
      <c r="AB460" s="9">
        <f>IF(G460="YES",2.0,0)+IF(H460="YES",2.0,0)</f>
        <v/>
      </c>
      <c r="AC460" s="9" t="n">
        <v>0</v>
      </c>
      <c r="AD460" s="9">
        <f>K460+AB460+AC460</f>
        <v/>
      </c>
      <c r="AE460" s="9">
        <f>(AD460*0.6)+(AA460*0.4)</f>
        <v/>
      </c>
      <c r="AF460">
        <f>IF(AE460&gt;=9,"Critical",IF(AE460&gt;=7,"High",IF(AE460&gt;=4,"Medium","Low")))</f>
        <v/>
      </c>
    </row>
    <row r="461">
      <c r="F461" t="n">
        <v>1</v>
      </c>
      <c r="I461">
        <f>IF(D461="","",TODAY()-D461)</f>
        <v/>
      </c>
      <c r="K461">
        <f>IF(J461="v4.0",L461,IF(J461="v3.1",M461,IF(J461="Both",L461,IF(AND(L461&lt;&gt;"",M461=""),L461,M461))))</f>
        <v/>
      </c>
      <c r="U461">
        <f>IF(T461="Tier 1",10,IF(T461="Tier 2",7,IF(T461="Tier 3",4,IF(T461="Tier 4",1,0))))</f>
        <v/>
      </c>
      <c r="W461">
        <f>IF(V461="Restricted",10,IF(V461="Confidential",7,IF(V461="Internal",4,IF(V461="Public",1,0))))</f>
        <v/>
      </c>
      <c r="AA461" s="9">
        <f>(U461*0.4)+(W461*0.3)+(IF(Z461="Critical",10,IF(Z461="High",7,IF(Z461="Medium",4,1)))*0.2)+(IF(Y461="YES",10,0)*0.1)</f>
        <v/>
      </c>
      <c r="AB461" s="9">
        <f>IF(G461="YES",2.0,0)+IF(H461="YES",2.0,0)</f>
        <v/>
      </c>
      <c r="AC461" s="9" t="n">
        <v>0</v>
      </c>
      <c r="AD461" s="9">
        <f>K461+AB461+AC461</f>
        <v/>
      </c>
      <c r="AE461" s="9">
        <f>(AD461*0.6)+(AA461*0.4)</f>
        <v/>
      </c>
      <c r="AF461">
        <f>IF(AE461&gt;=9,"Critical",IF(AE461&gt;=7,"High",IF(AE461&gt;=4,"Medium","Low")))</f>
        <v/>
      </c>
    </row>
    <row r="462">
      <c r="F462" t="n">
        <v>1</v>
      </c>
      <c r="I462">
        <f>IF(D462="","",TODAY()-D462)</f>
        <v/>
      </c>
      <c r="K462">
        <f>IF(J462="v4.0",L462,IF(J462="v3.1",M462,IF(J462="Both",L462,IF(AND(L462&lt;&gt;"",M462=""),L462,M462))))</f>
        <v/>
      </c>
      <c r="U462">
        <f>IF(T462="Tier 1",10,IF(T462="Tier 2",7,IF(T462="Tier 3",4,IF(T462="Tier 4",1,0))))</f>
        <v/>
      </c>
      <c r="W462">
        <f>IF(V462="Restricted",10,IF(V462="Confidential",7,IF(V462="Internal",4,IF(V462="Public",1,0))))</f>
        <v/>
      </c>
      <c r="AA462" s="9">
        <f>(U462*0.4)+(W462*0.3)+(IF(Z462="Critical",10,IF(Z462="High",7,IF(Z462="Medium",4,1)))*0.2)+(IF(Y462="YES",10,0)*0.1)</f>
        <v/>
      </c>
      <c r="AB462" s="9">
        <f>IF(G462="YES",2.0,0)+IF(H462="YES",2.0,0)</f>
        <v/>
      </c>
      <c r="AC462" s="9" t="n">
        <v>0</v>
      </c>
      <c r="AD462" s="9">
        <f>K462+AB462+AC462</f>
        <v/>
      </c>
      <c r="AE462" s="9">
        <f>(AD462*0.6)+(AA462*0.4)</f>
        <v/>
      </c>
      <c r="AF462">
        <f>IF(AE462&gt;=9,"Critical",IF(AE462&gt;=7,"High",IF(AE462&gt;=4,"Medium","Low")))</f>
        <v/>
      </c>
    </row>
    <row r="463">
      <c r="F463" t="n">
        <v>1</v>
      </c>
      <c r="I463">
        <f>IF(D463="","",TODAY()-D463)</f>
        <v/>
      </c>
      <c r="K463">
        <f>IF(J463="v4.0",L463,IF(J463="v3.1",M463,IF(J463="Both",L463,IF(AND(L463&lt;&gt;"",M463=""),L463,M463))))</f>
        <v/>
      </c>
      <c r="U463">
        <f>IF(T463="Tier 1",10,IF(T463="Tier 2",7,IF(T463="Tier 3",4,IF(T463="Tier 4",1,0))))</f>
        <v/>
      </c>
      <c r="W463">
        <f>IF(V463="Restricted",10,IF(V463="Confidential",7,IF(V463="Internal",4,IF(V463="Public",1,0))))</f>
        <v/>
      </c>
      <c r="AA463" s="9">
        <f>(U463*0.4)+(W463*0.3)+(IF(Z463="Critical",10,IF(Z463="High",7,IF(Z463="Medium",4,1)))*0.2)+(IF(Y463="YES",10,0)*0.1)</f>
        <v/>
      </c>
      <c r="AB463" s="9">
        <f>IF(G463="YES",2.0,0)+IF(H463="YES",2.0,0)</f>
        <v/>
      </c>
      <c r="AC463" s="9" t="n">
        <v>0</v>
      </c>
      <c r="AD463" s="9">
        <f>K463+AB463+AC463</f>
        <v/>
      </c>
      <c r="AE463" s="9">
        <f>(AD463*0.6)+(AA463*0.4)</f>
        <v/>
      </c>
      <c r="AF463">
        <f>IF(AE463&gt;=9,"Critical",IF(AE463&gt;=7,"High",IF(AE463&gt;=4,"Medium","Low")))</f>
        <v/>
      </c>
    </row>
    <row r="464">
      <c r="F464" t="n">
        <v>1</v>
      </c>
      <c r="I464">
        <f>IF(D464="","",TODAY()-D464)</f>
        <v/>
      </c>
      <c r="K464">
        <f>IF(J464="v4.0",L464,IF(J464="v3.1",M464,IF(J464="Both",L464,IF(AND(L464&lt;&gt;"",M464=""),L464,M464))))</f>
        <v/>
      </c>
      <c r="U464">
        <f>IF(T464="Tier 1",10,IF(T464="Tier 2",7,IF(T464="Tier 3",4,IF(T464="Tier 4",1,0))))</f>
        <v/>
      </c>
      <c r="W464">
        <f>IF(V464="Restricted",10,IF(V464="Confidential",7,IF(V464="Internal",4,IF(V464="Public",1,0))))</f>
        <v/>
      </c>
      <c r="AA464" s="9">
        <f>(U464*0.4)+(W464*0.3)+(IF(Z464="Critical",10,IF(Z464="High",7,IF(Z464="Medium",4,1)))*0.2)+(IF(Y464="YES",10,0)*0.1)</f>
        <v/>
      </c>
      <c r="AB464" s="9">
        <f>IF(G464="YES",2.0,0)+IF(H464="YES",2.0,0)</f>
        <v/>
      </c>
      <c r="AC464" s="9" t="n">
        <v>0</v>
      </c>
      <c r="AD464" s="9">
        <f>K464+AB464+AC464</f>
        <v/>
      </c>
      <c r="AE464" s="9">
        <f>(AD464*0.6)+(AA464*0.4)</f>
        <v/>
      </c>
      <c r="AF464">
        <f>IF(AE464&gt;=9,"Critical",IF(AE464&gt;=7,"High",IF(AE464&gt;=4,"Medium","Low")))</f>
        <v/>
      </c>
    </row>
    <row r="465">
      <c r="F465" t="n">
        <v>1</v>
      </c>
      <c r="I465">
        <f>IF(D465="","",TODAY()-D465)</f>
        <v/>
      </c>
      <c r="K465">
        <f>IF(J465="v4.0",L465,IF(J465="v3.1",M465,IF(J465="Both",L465,IF(AND(L465&lt;&gt;"",M465=""),L465,M465))))</f>
        <v/>
      </c>
      <c r="U465">
        <f>IF(T465="Tier 1",10,IF(T465="Tier 2",7,IF(T465="Tier 3",4,IF(T465="Tier 4",1,0))))</f>
        <v/>
      </c>
      <c r="W465">
        <f>IF(V465="Restricted",10,IF(V465="Confidential",7,IF(V465="Internal",4,IF(V465="Public",1,0))))</f>
        <v/>
      </c>
      <c r="AA465" s="9">
        <f>(U465*0.4)+(W465*0.3)+(IF(Z465="Critical",10,IF(Z465="High",7,IF(Z465="Medium",4,1)))*0.2)+(IF(Y465="YES",10,0)*0.1)</f>
        <v/>
      </c>
      <c r="AB465" s="9">
        <f>IF(G465="YES",2.0,0)+IF(H465="YES",2.0,0)</f>
        <v/>
      </c>
      <c r="AC465" s="9" t="n">
        <v>0</v>
      </c>
      <c r="AD465" s="9">
        <f>K465+AB465+AC465</f>
        <v/>
      </c>
      <c r="AE465" s="9">
        <f>(AD465*0.6)+(AA465*0.4)</f>
        <v/>
      </c>
      <c r="AF465">
        <f>IF(AE465&gt;=9,"Critical",IF(AE465&gt;=7,"High",IF(AE465&gt;=4,"Medium","Low")))</f>
        <v/>
      </c>
    </row>
    <row r="466">
      <c r="F466" t="n">
        <v>1</v>
      </c>
      <c r="I466">
        <f>IF(D466="","",TODAY()-D466)</f>
        <v/>
      </c>
      <c r="K466">
        <f>IF(J466="v4.0",L466,IF(J466="v3.1",M466,IF(J466="Both",L466,IF(AND(L466&lt;&gt;"",M466=""),L466,M466))))</f>
        <v/>
      </c>
      <c r="U466">
        <f>IF(T466="Tier 1",10,IF(T466="Tier 2",7,IF(T466="Tier 3",4,IF(T466="Tier 4",1,0))))</f>
        <v/>
      </c>
      <c r="W466">
        <f>IF(V466="Restricted",10,IF(V466="Confidential",7,IF(V466="Internal",4,IF(V466="Public",1,0))))</f>
        <v/>
      </c>
      <c r="AA466" s="9">
        <f>(U466*0.4)+(W466*0.3)+(IF(Z466="Critical",10,IF(Z466="High",7,IF(Z466="Medium",4,1)))*0.2)+(IF(Y466="YES",10,0)*0.1)</f>
        <v/>
      </c>
      <c r="AB466" s="9">
        <f>IF(G466="YES",2.0,0)+IF(H466="YES",2.0,0)</f>
        <v/>
      </c>
      <c r="AC466" s="9" t="n">
        <v>0</v>
      </c>
      <c r="AD466" s="9">
        <f>K466+AB466+AC466</f>
        <v/>
      </c>
      <c r="AE466" s="9">
        <f>(AD466*0.6)+(AA466*0.4)</f>
        <v/>
      </c>
      <c r="AF466">
        <f>IF(AE466&gt;=9,"Critical",IF(AE466&gt;=7,"High",IF(AE466&gt;=4,"Medium","Low")))</f>
        <v/>
      </c>
    </row>
    <row r="467">
      <c r="F467" t="n">
        <v>1</v>
      </c>
      <c r="I467">
        <f>IF(D467="","",TODAY()-D467)</f>
        <v/>
      </c>
      <c r="K467">
        <f>IF(J467="v4.0",L467,IF(J467="v3.1",M467,IF(J467="Both",L467,IF(AND(L467&lt;&gt;"",M467=""),L467,M467))))</f>
        <v/>
      </c>
      <c r="U467">
        <f>IF(T467="Tier 1",10,IF(T467="Tier 2",7,IF(T467="Tier 3",4,IF(T467="Tier 4",1,0))))</f>
        <v/>
      </c>
      <c r="W467">
        <f>IF(V467="Restricted",10,IF(V467="Confidential",7,IF(V467="Internal",4,IF(V467="Public",1,0))))</f>
        <v/>
      </c>
      <c r="AA467" s="9">
        <f>(U467*0.4)+(W467*0.3)+(IF(Z467="Critical",10,IF(Z467="High",7,IF(Z467="Medium",4,1)))*0.2)+(IF(Y467="YES",10,0)*0.1)</f>
        <v/>
      </c>
      <c r="AB467" s="9">
        <f>IF(G467="YES",2.0,0)+IF(H467="YES",2.0,0)</f>
        <v/>
      </c>
      <c r="AC467" s="9" t="n">
        <v>0</v>
      </c>
      <c r="AD467" s="9">
        <f>K467+AB467+AC467</f>
        <v/>
      </c>
      <c r="AE467" s="9">
        <f>(AD467*0.6)+(AA467*0.4)</f>
        <v/>
      </c>
      <c r="AF467">
        <f>IF(AE467&gt;=9,"Critical",IF(AE467&gt;=7,"High",IF(AE467&gt;=4,"Medium","Low")))</f>
        <v/>
      </c>
    </row>
    <row r="468">
      <c r="F468" t="n">
        <v>1</v>
      </c>
      <c r="I468">
        <f>IF(D468="","",TODAY()-D468)</f>
        <v/>
      </c>
      <c r="K468">
        <f>IF(J468="v4.0",L468,IF(J468="v3.1",M468,IF(J468="Both",L468,IF(AND(L468&lt;&gt;"",M468=""),L468,M468))))</f>
        <v/>
      </c>
      <c r="U468">
        <f>IF(T468="Tier 1",10,IF(T468="Tier 2",7,IF(T468="Tier 3",4,IF(T468="Tier 4",1,0))))</f>
        <v/>
      </c>
      <c r="W468">
        <f>IF(V468="Restricted",10,IF(V468="Confidential",7,IF(V468="Internal",4,IF(V468="Public",1,0))))</f>
        <v/>
      </c>
      <c r="AA468" s="9">
        <f>(U468*0.4)+(W468*0.3)+(IF(Z468="Critical",10,IF(Z468="High",7,IF(Z468="Medium",4,1)))*0.2)+(IF(Y468="YES",10,0)*0.1)</f>
        <v/>
      </c>
      <c r="AB468" s="9">
        <f>IF(G468="YES",2.0,0)+IF(H468="YES",2.0,0)</f>
        <v/>
      </c>
      <c r="AC468" s="9" t="n">
        <v>0</v>
      </c>
      <c r="AD468" s="9">
        <f>K468+AB468+AC468</f>
        <v/>
      </c>
      <c r="AE468" s="9">
        <f>(AD468*0.6)+(AA468*0.4)</f>
        <v/>
      </c>
      <c r="AF468">
        <f>IF(AE468&gt;=9,"Critical",IF(AE468&gt;=7,"High",IF(AE468&gt;=4,"Medium","Low")))</f>
        <v/>
      </c>
    </row>
    <row r="469">
      <c r="F469" t="n">
        <v>1</v>
      </c>
      <c r="I469">
        <f>IF(D469="","",TODAY()-D469)</f>
        <v/>
      </c>
      <c r="K469">
        <f>IF(J469="v4.0",L469,IF(J469="v3.1",M469,IF(J469="Both",L469,IF(AND(L469&lt;&gt;"",M469=""),L469,M469))))</f>
        <v/>
      </c>
      <c r="U469">
        <f>IF(T469="Tier 1",10,IF(T469="Tier 2",7,IF(T469="Tier 3",4,IF(T469="Tier 4",1,0))))</f>
        <v/>
      </c>
      <c r="W469">
        <f>IF(V469="Restricted",10,IF(V469="Confidential",7,IF(V469="Internal",4,IF(V469="Public",1,0))))</f>
        <v/>
      </c>
      <c r="AA469" s="9">
        <f>(U469*0.4)+(W469*0.3)+(IF(Z469="Critical",10,IF(Z469="High",7,IF(Z469="Medium",4,1)))*0.2)+(IF(Y469="YES",10,0)*0.1)</f>
        <v/>
      </c>
      <c r="AB469" s="9">
        <f>IF(G469="YES",2.0,0)+IF(H469="YES",2.0,0)</f>
        <v/>
      </c>
      <c r="AC469" s="9" t="n">
        <v>0</v>
      </c>
      <c r="AD469" s="9">
        <f>K469+AB469+AC469</f>
        <v/>
      </c>
      <c r="AE469" s="9">
        <f>(AD469*0.6)+(AA469*0.4)</f>
        <v/>
      </c>
      <c r="AF469">
        <f>IF(AE469&gt;=9,"Critical",IF(AE469&gt;=7,"High",IF(AE469&gt;=4,"Medium","Low")))</f>
        <v/>
      </c>
    </row>
    <row r="470">
      <c r="F470" t="n">
        <v>1</v>
      </c>
      <c r="I470">
        <f>IF(D470="","",TODAY()-D470)</f>
        <v/>
      </c>
      <c r="K470">
        <f>IF(J470="v4.0",L470,IF(J470="v3.1",M470,IF(J470="Both",L470,IF(AND(L470&lt;&gt;"",M470=""),L470,M470))))</f>
        <v/>
      </c>
      <c r="U470">
        <f>IF(T470="Tier 1",10,IF(T470="Tier 2",7,IF(T470="Tier 3",4,IF(T470="Tier 4",1,0))))</f>
        <v/>
      </c>
      <c r="W470">
        <f>IF(V470="Restricted",10,IF(V470="Confidential",7,IF(V470="Internal",4,IF(V470="Public",1,0))))</f>
        <v/>
      </c>
      <c r="AA470" s="9">
        <f>(U470*0.4)+(W470*0.3)+(IF(Z470="Critical",10,IF(Z470="High",7,IF(Z470="Medium",4,1)))*0.2)+(IF(Y470="YES",10,0)*0.1)</f>
        <v/>
      </c>
      <c r="AB470" s="9">
        <f>IF(G470="YES",2.0,0)+IF(H470="YES",2.0,0)</f>
        <v/>
      </c>
      <c r="AC470" s="9" t="n">
        <v>0</v>
      </c>
      <c r="AD470" s="9">
        <f>K470+AB470+AC470</f>
        <v/>
      </c>
      <c r="AE470" s="9">
        <f>(AD470*0.6)+(AA470*0.4)</f>
        <v/>
      </c>
      <c r="AF470">
        <f>IF(AE470&gt;=9,"Critical",IF(AE470&gt;=7,"High",IF(AE470&gt;=4,"Medium","Low")))</f>
        <v/>
      </c>
    </row>
    <row r="471">
      <c r="F471" t="n">
        <v>1</v>
      </c>
      <c r="I471">
        <f>IF(D471="","",TODAY()-D471)</f>
        <v/>
      </c>
      <c r="K471">
        <f>IF(J471="v4.0",L471,IF(J471="v3.1",M471,IF(J471="Both",L471,IF(AND(L471&lt;&gt;"",M471=""),L471,M471))))</f>
        <v/>
      </c>
      <c r="U471">
        <f>IF(T471="Tier 1",10,IF(T471="Tier 2",7,IF(T471="Tier 3",4,IF(T471="Tier 4",1,0))))</f>
        <v/>
      </c>
      <c r="W471">
        <f>IF(V471="Restricted",10,IF(V471="Confidential",7,IF(V471="Internal",4,IF(V471="Public",1,0))))</f>
        <v/>
      </c>
      <c r="AA471" s="9">
        <f>(U471*0.4)+(W471*0.3)+(IF(Z471="Critical",10,IF(Z471="High",7,IF(Z471="Medium",4,1)))*0.2)+(IF(Y471="YES",10,0)*0.1)</f>
        <v/>
      </c>
      <c r="AB471" s="9">
        <f>IF(G471="YES",2.0,0)+IF(H471="YES",2.0,0)</f>
        <v/>
      </c>
      <c r="AC471" s="9" t="n">
        <v>0</v>
      </c>
      <c r="AD471" s="9">
        <f>K471+AB471+AC471</f>
        <v/>
      </c>
      <c r="AE471" s="9">
        <f>(AD471*0.6)+(AA471*0.4)</f>
        <v/>
      </c>
      <c r="AF471">
        <f>IF(AE471&gt;=9,"Critical",IF(AE471&gt;=7,"High",IF(AE471&gt;=4,"Medium","Low")))</f>
        <v/>
      </c>
    </row>
    <row r="472">
      <c r="F472" t="n">
        <v>1</v>
      </c>
      <c r="I472">
        <f>IF(D472="","",TODAY()-D472)</f>
        <v/>
      </c>
      <c r="K472">
        <f>IF(J472="v4.0",L472,IF(J472="v3.1",M472,IF(J472="Both",L472,IF(AND(L472&lt;&gt;"",M472=""),L472,M472))))</f>
        <v/>
      </c>
      <c r="U472">
        <f>IF(T472="Tier 1",10,IF(T472="Tier 2",7,IF(T472="Tier 3",4,IF(T472="Tier 4",1,0))))</f>
        <v/>
      </c>
      <c r="W472">
        <f>IF(V472="Restricted",10,IF(V472="Confidential",7,IF(V472="Internal",4,IF(V472="Public",1,0))))</f>
        <v/>
      </c>
      <c r="AA472" s="9">
        <f>(U472*0.4)+(W472*0.3)+(IF(Z472="Critical",10,IF(Z472="High",7,IF(Z472="Medium",4,1)))*0.2)+(IF(Y472="YES",10,0)*0.1)</f>
        <v/>
      </c>
      <c r="AB472" s="9">
        <f>IF(G472="YES",2.0,0)+IF(H472="YES",2.0,0)</f>
        <v/>
      </c>
      <c r="AC472" s="9" t="n">
        <v>0</v>
      </c>
      <c r="AD472" s="9">
        <f>K472+AB472+AC472</f>
        <v/>
      </c>
      <c r="AE472" s="9">
        <f>(AD472*0.6)+(AA472*0.4)</f>
        <v/>
      </c>
      <c r="AF472">
        <f>IF(AE472&gt;=9,"Critical",IF(AE472&gt;=7,"High",IF(AE472&gt;=4,"Medium","Low")))</f>
        <v/>
      </c>
    </row>
    <row r="473">
      <c r="F473" t="n">
        <v>1</v>
      </c>
      <c r="I473">
        <f>IF(D473="","",TODAY()-D473)</f>
        <v/>
      </c>
      <c r="K473">
        <f>IF(J473="v4.0",L473,IF(J473="v3.1",M473,IF(J473="Both",L473,IF(AND(L473&lt;&gt;"",M473=""),L473,M473))))</f>
        <v/>
      </c>
      <c r="U473">
        <f>IF(T473="Tier 1",10,IF(T473="Tier 2",7,IF(T473="Tier 3",4,IF(T473="Tier 4",1,0))))</f>
        <v/>
      </c>
      <c r="W473">
        <f>IF(V473="Restricted",10,IF(V473="Confidential",7,IF(V473="Internal",4,IF(V473="Public",1,0))))</f>
        <v/>
      </c>
      <c r="AA473" s="9">
        <f>(U473*0.4)+(W473*0.3)+(IF(Z473="Critical",10,IF(Z473="High",7,IF(Z473="Medium",4,1)))*0.2)+(IF(Y473="YES",10,0)*0.1)</f>
        <v/>
      </c>
      <c r="AB473" s="9">
        <f>IF(G473="YES",2.0,0)+IF(H473="YES",2.0,0)</f>
        <v/>
      </c>
      <c r="AC473" s="9" t="n">
        <v>0</v>
      </c>
      <c r="AD473" s="9">
        <f>K473+AB473+AC473</f>
        <v/>
      </c>
      <c r="AE473" s="9">
        <f>(AD473*0.6)+(AA473*0.4)</f>
        <v/>
      </c>
      <c r="AF473">
        <f>IF(AE473&gt;=9,"Critical",IF(AE473&gt;=7,"High",IF(AE473&gt;=4,"Medium","Low")))</f>
        <v/>
      </c>
    </row>
    <row r="474">
      <c r="F474" t="n">
        <v>1</v>
      </c>
      <c r="I474">
        <f>IF(D474="","",TODAY()-D474)</f>
        <v/>
      </c>
      <c r="K474">
        <f>IF(J474="v4.0",L474,IF(J474="v3.1",M474,IF(J474="Both",L474,IF(AND(L474&lt;&gt;"",M474=""),L474,M474))))</f>
        <v/>
      </c>
      <c r="U474">
        <f>IF(T474="Tier 1",10,IF(T474="Tier 2",7,IF(T474="Tier 3",4,IF(T474="Tier 4",1,0))))</f>
        <v/>
      </c>
      <c r="W474">
        <f>IF(V474="Restricted",10,IF(V474="Confidential",7,IF(V474="Internal",4,IF(V474="Public",1,0))))</f>
        <v/>
      </c>
      <c r="AA474" s="9">
        <f>(U474*0.4)+(W474*0.3)+(IF(Z474="Critical",10,IF(Z474="High",7,IF(Z474="Medium",4,1)))*0.2)+(IF(Y474="YES",10,0)*0.1)</f>
        <v/>
      </c>
      <c r="AB474" s="9">
        <f>IF(G474="YES",2.0,0)+IF(H474="YES",2.0,0)</f>
        <v/>
      </c>
      <c r="AC474" s="9" t="n">
        <v>0</v>
      </c>
      <c r="AD474" s="9">
        <f>K474+AB474+AC474</f>
        <v/>
      </c>
      <c r="AE474" s="9">
        <f>(AD474*0.6)+(AA474*0.4)</f>
        <v/>
      </c>
      <c r="AF474">
        <f>IF(AE474&gt;=9,"Critical",IF(AE474&gt;=7,"High",IF(AE474&gt;=4,"Medium","Low")))</f>
        <v/>
      </c>
    </row>
    <row r="475">
      <c r="F475" t="n">
        <v>1</v>
      </c>
      <c r="I475">
        <f>IF(D475="","",TODAY()-D475)</f>
        <v/>
      </c>
      <c r="K475">
        <f>IF(J475="v4.0",L475,IF(J475="v3.1",M475,IF(J475="Both",L475,IF(AND(L475&lt;&gt;"",M475=""),L475,M475))))</f>
        <v/>
      </c>
      <c r="U475">
        <f>IF(T475="Tier 1",10,IF(T475="Tier 2",7,IF(T475="Tier 3",4,IF(T475="Tier 4",1,0))))</f>
        <v/>
      </c>
      <c r="W475">
        <f>IF(V475="Restricted",10,IF(V475="Confidential",7,IF(V475="Internal",4,IF(V475="Public",1,0))))</f>
        <v/>
      </c>
      <c r="AA475" s="9">
        <f>(U475*0.4)+(W475*0.3)+(IF(Z475="Critical",10,IF(Z475="High",7,IF(Z475="Medium",4,1)))*0.2)+(IF(Y475="YES",10,0)*0.1)</f>
        <v/>
      </c>
      <c r="AB475" s="9">
        <f>IF(G475="YES",2.0,0)+IF(H475="YES",2.0,0)</f>
        <v/>
      </c>
      <c r="AC475" s="9" t="n">
        <v>0</v>
      </c>
      <c r="AD475" s="9">
        <f>K475+AB475+AC475</f>
        <v/>
      </c>
      <c r="AE475" s="9">
        <f>(AD475*0.6)+(AA475*0.4)</f>
        <v/>
      </c>
      <c r="AF475">
        <f>IF(AE475&gt;=9,"Critical",IF(AE475&gt;=7,"High",IF(AE475&gt;=4,"Medium","Low")))</f>
        <v/>
      </c>
    </row>
    <row r="476">
      <c r="F476" t="n">
        <v>1</v>
      </c>
      <c r="I476">
        <f>IF(D476="","",TODAY()-D476)</f>
        <v/>
      </c>
      <c r="K476">
        <f>IF(J476="v4.0",L476,IF(J476="v3.1",M476,IF(J476="Both",L476,IF(AND(L476&lt;&gt;"",M476=""),L476,M476))))</f>
        <v/>
      </c>
      <c r="U476">
        <f>IF(T476="Tier 1",10,IF(T476="Tier 2",7,IF(T476="Tier 3",4,IF(T476="Tier 4",1,0))))</f>
        <v/>
      </c>
      <c r="W476">
        <f>IF(V476="Restricted",10,IF(V476="Confidential",7,IF(V476="Internal",4,IF(V476="Public",1,0))))</f>
        <v/>
      </c>
      <c r="AA476" s="9">
        <f>(U476*0.4)+(W476*0.3)+(IF(Z476="Critical",10,IF(Z476="High",7,IF(Z476="Medium",4,1)))*0.2)+(IF(Y476="YES",10,0)*0.1)</f>
        <v/>
      </c>
      <c r="AB476" s="9">
        <f>IF(G476="YES",2.0,0)+IF(H476="YES",2.0,0)</f>
        <v/>
      </c>
      <c r="AC476" s="9" t="n">
        <v>0</v>
      </c>
      <c r="AD476" s="9">
        <f>K476+AB476+AC476</f>
        <v/>
      </c>
      <c r="AE476" s="9">
        <f>(AD476*0.6)+(AA476*0.4)</f>
        <v/>
      </c>
      <c r="AF476">
        <f>IF(AE476&gt;=9,"Critical",IF(AE476&gt;=7,"High",IF(AE476&gt;=4,"Medium","Low")))</f>
        <v/>
      </c>
    </row>
    <row r="477">
      <c r="F477" t="n">
        <v>1</v>
      </c>
      <c r="I477">
        <f>IF(D477="","",TODAY()-D477)</f>
        <v/>
      </c>
      <c r="K477">
        <f>IF(J477="v4.0",L477,IF(J477="v3.1",M477,IF(J477="Both",L477,IF(AND(L477&lt;&gt;"",M477=""),L477,M477))))</f>
        <v/>
      </c>
      <c r="U477">
        <f>IF(T477="Tier 1",10,IF(T477="Tier 2",7,IF(T477="Tier 3",4,IF(T477="Tier 4",1,0))))</f>
        <v/>
      </c>
      <c r="W477">
        <f>IF(V477="Restricted",10,IF(V477="Confidential",7,IF(V477="Internal",4,IF(V477="Public",1,0))))</f>
        <v/>
      </c>
      <c r="AA477" s="9">
        <f>(U477*0.4)+(W477*0.3)+(IF(Z477="Critical",10,IF(Z477="High",7,IF(Z477="Medium",4,1)))*0.2)+(IF(Y477="YES",10,0)*0.1)</f>
        <v/>
      </c>
      <c r="AB477" s="9">
        <f>IF(G477="YES",2.0,0)+IF(H477="YES",2.0,0)</f>
        <v/>
      </c>
      <c r="AC477" s="9" t="n">
        <v>0</v>
      </c>
      <c r="AD477" s="9">
        <f>K477+AB477+AC477</f>
        <v/>
      </c>
      <c r="AE477" s="9">
        <f>(AD477*0.6)+(AA477*0.4)</f>
        <v/>
      </c>
      <c r="AF477">
        <f>IF(AE477&gt;=9,"Critical",IF(AE477&gt;=7,"High",IF(AE477&gt;=4,"Medium","Low")))</f>
        <v/>
      </c>
    </row>
    <row r="478">
      <c r="F478" t="n">
        <v>1</v>
      </c>
      <c r="I478">
        <f>IF(D478="","",TODAY()-D478)</f>
        <v/>
      </c>
      <c r="K478">
        <f>IF(J478="v4.0",L478,IF(J478="v3.1",M478,IF(J478="Both",L478,IF(AND(L478&lt;&gt;"",M478=""),L478,M478))))</f>
        <v/>
      </c>
      <c r="U478">
        <f>IF(T478="Tier 1",10,IF(T478="Tier 2",7,IF(T478="Tier 3",4,IF(T478="Tier 4",1,0))))</f>
        <v/>
      </c>
      <c r="W478">
        <f>IF(V478="Restricted",10,IF(V478="Confidential",7,IF(V478="Internal",4,IF(V478="Public",1,0))))</f>
        <v/>
      </c>
      <c r="AA478" s="9">
        <f>(U478*0.4)+(W478*0.3)+(IF(Z478="Critical",10,IF(Z478="High",7,IF(Z478="Medium",4,1)))*0.2)+(IF(Y478="YES",10,0)*0.1)</f>
        <v/>
      </c>
      <c r="AB478" s="9">
        <f>IF(G478="YES",2.0,0)+IF(H478="YES",2.0,0)</f>
        <v/>
      </c>
      <c r="AC478" s="9" t="n">
        <v>0</v>
      </c>
      <c r="AD478" s="9">
        <f>K478+AB478+AC478</f>
        <v/>
      </c>
      <c r="AE478" s="9">
        <f>(AD478*0.6)+(AA478*0.4)</f>
        <v/>
      </c>
      <c r="AF478">
        <f>IF(AE478&gt;=9,"Critical",IF(AE478&gt;=7,"High",IF(AE478&gt;=4,"Medium","Low")))</f>
        <v/>
      </c>
    </row>
    <row r="479">
      <c r="F479" t="n">
        <v>1</v>
      </c>
      <c r="I479">
        <f>IF(D479="","",TODAY()-D479)</f>
        <v/>
      </c>
      <c r="K479">
        <f>IF(J479="v4.0",L479,IF(J479="v3.1",M479,IF(J479="Both",L479,IF(AND(L479&lt;&gt;"",M479=""),L479,M479))))</f>
        <v/>
      </c>
      <c r="U479">
        <f>IF(T479="Tier 1",10,IF(T479="Tier 2",7,IF(T479="Tier 3",4,IF(T479="Tier 4",1,0))))</f>
        <v/>
      </c>
      <c r="W479">
        <f>IF(V479="Restricted",10,IF(V479="Confidential",7,IF(V479="Internal",4,IF(V479="Public",1,0))))</f>
        <v/>
      </c>
      <c r="AA479" s="9">
        <f>(U479*0.4)+(W479*0.3)+(IF(Z479="Critical",10,IF(Z479="High",7,IF(Z479="Medium",4,1)))*0.2)+(IF(Y479="YES",10,0)*0.1)</f>
        <v/>
      </c>
      <c r="AB479" s="9">
        <f>IF(G479="YES",2.0,0)+IF(H479="YES",2.0,0)</f>
        <v/>
      </c>
      <c r="AC479" s="9" t="n">
        <v>0</v>
      </c>
      <c r="AD479" s="9">
        <f>K479+AB479+AC479</f>
        <v/>
      </c>
      <c r="AE479" s="9">
        <f>(AD479*0.6)+(AA479*0.4)</f>
        <v/>
      </c>
      <c r="AF479">
        <f>IF(AE479&gt;=9,"Critical",IF(AE479&gt;=7,"High",IF(AE479&gt;=4,"Medium","Low")))</f>
        <v/>
      </c>
    </row>
    <row r="480">
      <c r="F480" t="n">
        <v>1</v>
      </c>
      <c r="I480">
        <f>IF(D480="","",TODAY()-D480)</f>
        <v/>
      </c>
      <c r="K480">
        <f>IF(J480="v4.0",L480,IF(J480="v3.1",M480,IF(J480="Both",L480,IF(AND(L480&lt;&gt;"",M480=""),L480,M480))))</f>
        <v/>
      </c>
      <c r="U480">
        <f>IF(T480="Tier 1",10,IF(T480="Tier 2",7,IF(T480="Tier 3",4,IF(T480="Tier 4",1,0))))</f>
        <v/>
      </c>
      <c r="W480">
        <f>IF(V480="Restricted",10,IF(V480="Confidential",7,IF(V480="Internal",4,IF(V480="Public",1,0))))</f>
        <v/>
      </c>
      <c r="AA480" s="9">
        <f>(U480*0.4)+(W480*0.3)+(IF(Z480="Critical",10,IF(Z480="High",7,IF(Z480="Medium",4,1)))*0.2)+(IF(Y480="YES",10,0)*0.1)</f>
        <v/>
      </c>
      <c r="AB480" s="9">
        <f>IF(G480="YES",2.0,0)+IF(H480="YES",2.0,0)</f>
        <v/>
      </c>
      <c r="AC480" s="9" t="n">
        <v>0</v>
      </c>
      <c r="AD480" s="9">
        <f>K480+AB480+AC480</f>
        <v/>
      </c>
      <c r="AE480" s="9">
        <f>(AD480*0.6)+(AA480*0.4)</f>
        <v/>
      </c>
      <c r="AF480">
        <f>IF(AE480&gt;=9,"Critical",IF(AE480&gt;=7,"High",IF(AE480&gt;=4,"Medium","Low")))</f>
        <v/>
      </c>
    </row>
    <row r="481">
      <c r="F481" t="n">
        <v>1</v>
      </c>
      <c r="I481">
        <f>IF(D481="","",TODAY()-D481)</f>
        <v/>
      </c>
      <c r="K481">
        <f>IF(J481="v4.0",L481,IF(J481="v3.1",M481,IF(J481="Both",L481,IF(AND(L481&lt;&gt;"",M481=""),L481,M481))))</f>
        <v/>
      </c>
      <c r="U481">
        <f>IF(T481="Tier 1",10,IF(T481="Tier 2",7,IF(T481="Tier 3",4,IF(T481="Tier 4",1,0))))</f>
        <v/>
      </c>
      <c r="W481">
        <f>IF(V481="Restricted",10,IF(V481="Confidential",7,IF(V481="Internal",4,IF(V481="Public",1,0))))</f>
        <v/>
      </c>
      <c r="AA481" s="9">
        <f>(U481*0.4)+(W481*0.3)+(IF(Z481="Critical",10,IF(Z481="High",7,IF(Z481="Medium",4,1)))*0.2)+(IF(Y481="YES",10,0)*0.1)</f>
        <v/>
      </c>
      <c r="AB481" s="9">
        <f>IF(G481="YES",2.0,0)+IF(H481="YES",2.0,0)</f>
        <v/>
      </c>
      <c r="AC481" s="9" t="n">
        <v>0</v>
      </c>
      <c r="AD481" s="9">
        <f>K481+AB481+AC481</f>
        <v/>
      </c>
      <c r="AE481" s="9">
        <f>(AD481*0.6)+(AA481*0.4)</f>
        <v/>
      </c>
      <c r="AF481">
        <f>IF(AE481&gt;=9,"Critical",IF(AE481&gt;=7,"High",IF(AE481&gt;=4,"Medium","Low")))</f>
        <v/>
      </c>
    </row>
    <row r="482">
      <c r="F482" t="n">
        <v>1</v>
      </c>
      <c r="I482">
        <f>IF(D482="","",TODAY()-D482)</f>
        <v/>
      </c>
      <c r="K482">
        <f>IF(J482="v4.0",L482,IF(J482="v3.1",M482,IF(J482="Both",L482,IF(AND(L482&lt;&gt;"",M482=""),L482,M482))))</f>
        <v/>
      </c>
      <c r="U482">
        <f>IF(T482="Tier 1",10,IF(T482="Tier 2",7,IF(T482="Tier 3",4,IF(T482="Tier 4",1,0))))</f>
        <v/>
      </c>
      <c r="W482">
        <f>IF(V482="Restricted",10,IF(V482="Confidential",7,IF(V482="Internal",4,IF(V482="Public",1,0))))</f>
        <v/>
      </c>
      <c r="AA482" s="9">
        <f>(U482*0.4)+(W482*0.3)+(IF(Z482="Critical",10,IF(Z482="High",7,IF(Z482="Medium",4,1)))*0.2)+(IF(Y482="YES",10,0)*0.1)</f>
        <v/>
      </c>
      <c r="AB482" s="9">
        <f>IF(G482="YES",2.0,0)+IF(H482="YES",2.0,0)</f>
        <v/>
      </c>
      <c r="AC482" s="9" t="n">
        <v>0</v>
      </c>
      <c r="AD482" s="9">
        <f>K482+AB482+AC482</f>
        <v/>
      </c>
      <c r="AE482" s="9">
        <f>(AD482*0.6)+(AA482*0.4)</f>
        <v/>
      </c>
      <c r="AF482">
        <f>IF(AE482&gt;=9,"Critical",IF(AE482&gt;=7,"High",IF(AE482&gt;=4,"Medium","Low")))</f>
        <v/>
      </c>
    </row>
    <row r="483">
      <c r="F483" t="n">
        <v>1</v>
      </c>
      <c r="I483">
        <f>IF(D483="","",TODAY()-D483)</f>
        <v/>
      </c>
      <c r="K483">
        <f>IF(J483="v4.0",L483,IF(J483="v3.1",M483,IF(J483="Both",L483,IF(AND(L483&lt;&gt;"",M483=""),L483,M483))))</f>
        <v/>
      </c>
      <c r="U483">
        <f>IF(T483="Tier 1",10,IF(T483="Tier 2",7,IF(T483="Tier 3",4,IF(T483="Tier 4",1,0))))</f>
        <v/>
      </c>
      <c r="W483">
        <f>IF(V483="Restricted",10,IF(V483="Confidential",7,IF(V483="Internal",4,IF(V483="Public",1,0))))</f>
        <v/>
      </c>
      <c r="AA483" s="9">
        <f>(U483*0.4)+(W483*0.3)+(IF(Z483="Critical",10,IF(Z483="High",7,IF(Z483="Medium",4,1)))*0.2)+(IF(Y483="YES",10,0)*0.1)</f>
        <v/>
      </c>
      <c r="AB483" s="9">
        <f>IF(G483="YES",2.0,0)+IF(H483="YES",2.0,0)</f>
        <v/>
      </c>
      <c r="AC483" s="9" t="n">
        <v>0</v>
      </c>
      <c r="AD483" s="9">
        <f>K483+AB483+AC483</f>
        <v/>
      </c>
      <c r="AE483" s="9">
        <f>(AD483*0.6)+(AA483*0.4)</f>
        <v/>
      </c>
      <c r="AF483">
        <f>IF(AE483&gt;=9,"Critical",IF(AE483&gt;=7,"High",IF(AE483&gt;=4,"Medium","Low")))</f>
        <v/>
      </c>
    </row>
    <row r="484">
      <c r="F484" t="n">
        <v>1</v>
      </c>
      <c r="I484">
        <f>IF(D484="","",TODAY()-D484)</f>
        <v/>
      </c>
      <c r="K484">
        <f>IF(J484="v4.0",L484,IF(J484="v3.1",M484,IF(J484="Both",L484,IF(AND(L484&lt;&gt;"",M484=""),L484,M484))))</f>
        <v/>
      </c>
      <c r="U484">
        <f>IF(T484="Tier 1",10,IF(T484="Tier 2",7,IF(T484="Tier 3",4,IF(T484="Tier 4",1,0))))</f>
        <v/>
      </c>
      <c r="W484">
        <f>IF(V484="Restricted",10,IF(V484="Confidential",7,IF(V484="Internal",4,IF(V484="Public",1,0))))</f>
        <v/>
      </c>
      <c r="AA484" s="9">
        <f>(U484*0.4)+(W484*0.3)+(IF(Z484="Critical",10,IF(Z484="High",7,IF(Z484="Medium",4,1)))*0.2)+(IF(Y484="YES",10,0)*0.1)</f>
        <v/>
      </c>
      <c r="AB484" s="9">
        <f>IF(G484="YES",2.0,0)+IF(H484="YES",2.0,0)</f>
        <v/>
      </c>
      <c r="AC484" s="9" t="n">
        <v>0</v>
      </c>
      <c r="AD484" s="9">
        <f>K484+AB484+AC484</f>
        <v/>
      </c>
      <c r="AE484" s="9">
        <f>(AD484*0.6)+(AA484*0.4)</f>
        <v/>
      </c>
      <c r="AF484">
        <f>IF(AE484&gt;=9,"Critical",IF(AE484&gt;=7,"High",IF(AE484&gt;=4,"Medium","Low")))</f>
        <v/>
      </c>
    </row>
    <row r="485">
      <c r="F485" t="n">
        <v>1</v>
      </c>
      <c r="I485">
        <f>IF(D485="","",TODAY()-D485)</f>
        <v/>
      </c>
      <c r="K485">
        <f>IF(J485="v4.0",L485,IF(J485="v3.1",M485,IF(J485="Both",L485,IF(AND(L485&lt;&gt;"",M485=""),L485,M485))))</f>
        <v/>
      </c>
      <c r="U485">
        <f>IF(T485="Tier 1",10,IF(T485="Tier 2",7,IF(T485="Tier 3",4,IF(T485="Tier 4",1,0))))</f>
        <v/>
      </c>
      <c r="W485">
        <f>IF(V485="Restricted",10,IF(V485="Confidential",7,IF(V485="Internal",4,IF(V485="Public",1,0))))</f>
        <v/>
      </c>
      <c r="AA485" s="9">
        <f>(U485*0.4)+(W485*0.3)+(IF(Z485="Critical",10,IF(Z485="High",7,IF(Z485="Medium",4,1)))*0.2)+(IF(Y485="YES",10,0)*0.1)</f>
        <v/>
      </c>
      <c r="AB485" s="9">
        <f>IF(G485="YES",2.0,0)+IF(H485="YES",2.0,0)</f>
        <v/>
      </c>
      <c r="AC485" s="9" t="n">
        <v>0</v>
      </c>
      <c r="AD485" s="9">
        <f>K485+AB485+AC485</f>
        <v/>
      </c>
      <c r="AE485" s="9">
        <f>(AD485*0.6)+(AA485*0.4)</f>
        <v/>
      </c>
      <c r="AF485">
        <f>IF(AE485&gt;=9,"Critical",IF(AE485&gt;=7,"High",IF(AE485&gt;=4,"Medium","Low")))</f>
        <v/>
      </c>
    </row>
    <row r="486">
      <c r="F486" t="n">
        <v>1</v>
      </c>
      <c r="I486">
        <f>IF(D486="","",TODAY()-D486)</f>
        <v/>
      </c>
      <c r="K486">
        <f>IF(J486="v4.0",L486,IF(J486="v3.1",M486,IF(J486="Both",L486,IF(AND(L486&lt;&gt;"",M486=""),L486,M486))))</f>
        <v/>
      </c>
      <c r="U486">
        <f>IF(T486="Tier 1",10,IF(T486="Tier 2",7,IF(T486="Tier 3",4,IF(T486="Tier 4",1,0))))</f>
        <v/>
      </c>
      <c r="W486">
        <f>IF(V486="Restricted",10,IF(V486="Confidential",7,IF(V486="Internal",4,IF(V486="Public",1,0))))</f>
        <v/>
      </c>
      <c r="AA486" s="9">
        <f>(U486*0.4)+(W486*0.3)+(IF(Z486="Critical",10,IF(Z486="High",7,IF(Z486="Medium",4,1)))*0.2)+(IF(Y486="YES",10,0)*0.1)</f>
        <v/>
      </c>
      <c r="AB486" s="9">
        <f>IF(G486="YES",2.0,0)+IF(H486="YES",2.0,0)</f>
        <v/>
      </c>
      <c r="AC486" s="9" t="n">
        <v>0</v>
      </c>
      <c r="AD486" s="9">
        <f>K486+AB486+AC486</f>
        <v/>
      </c>
      <c r="AE486" s="9">
        <f>(AD486*0.6)+(AA486*0.4)</f>
        <v/>
      </c>
      <c r="AF486">
        <f>IF(AE486&gt;=9,"Critical",IF(AE486&gt;=7,"High",IF(AE486&gt;=4,"Medium","Low")))</f>
        <v/>
      </c>
    </row>
    <row r="487">
      <c r="F487" t="n">
        <v>1</v>
      </c>
      <c r="I487">
        <f>IF(D487="","",TODAY()-D487)</f>
        <v/>
      </c>
      <c r="K487">
        <f>IF(J487="v4.0",L487,IF(J487="v3.1",M487,IF(J487="Both",L487,IF(AND(L487&lt;&gt;"",M487=""),L487,M487))))</f>
        <v/>
      </c>
      <c r="U487">
        <f>IF(T487="Tier 1",10,IF(T487="Tier 2",7,IF(T487="Tier 3",4,IF(T487="Tier 4",1,0))))</f>
        <v/>
      </c>
      <c r="W487">
        <f>IF(V487="Restricted",10,IF(V487="Confidential",7,IF(V487="Internal",4,IF(V487="Public",1,0))))</f>
        <v/>
      </c>
      <c r="AA487" s="9">
        <f>(U487*0.4)+(W487*0.3)+(IF(Z487="Critical",10,IF(Z487="High",7,IF(Z487="Medium",4,1)))*0.2)+(IF(Y487="YES",10,0)*0.1)</f>
        <v/>
      </c>
      <c r="AB487" s="9">
        <f>IF(G487="YES",2.0,0)+IF(H487="YES",2.0,0)</f>
        <v/>
      </c>
      <c r="AC487" s="9" t="n">
        <v>0</v>
      </c>
      <c r="AD487" s="9">
        <f>K487+AB487+AC487</f>
        <v/>
      </c>
      <c r="AE487" s="9">
        <f>(AD487*0.6)+(AA487*0.4)</f>
        <v/>
      </c>
      <c r="AF487">
        <f>IF(AE487&gt;=9,"Critical",IF(AE487&gt;=7,"High",IF(AE487&gt;=4,"Medium","Low")))</f>
        <v/>
      </c>
    </row>
    <row r="488">
      <c r="F488" t="n">
        <v>1</v>
      </c>
      <c r="I488">
        <f>IF(D488="","",TODAY()-D488)</f>
        <v/>
      </c>
      <c r="K488">
        <f>IF(J488="v4.0",L488,IF(J488="v3.1",M488,IF(J488="Both",L488,IF(AND(L488&lt;&gt;"",M488=""),L488,M488))))</f>
        <v/>
      </c>
      <c r="U488">
        <f>IF(T488="Tier 1",10,IF(T488="Tier 2",7,IF(T488="Tier 3",4,IF(T488="Tier 4",1,0))))</f>
        <v/>
      </c>
      <c r="W488">
        <f>IF(V488="Restricted",10,IF(V488="Confidential",7,IF(V488="Internal",4,IF(V488="Public",1,0))))</f>
        <v/>
      </c>
      <c r="AA488" s="9">
        <f>(U488*0.4)+(W488*0.3)+(IF(Z488="Critical",10,IF(Z488="High",7,IF(Z488="Medium",4,1)))*0.2)+(IF(Y488="YES",10,0)*0.1)</f>
        <v/>
      </c>
      <c r="AB488" s="9">
        <f>IF(G488="YES",2.0,0)+IF(H488="YES",2.0,0)</f>
        <v/>
      </c>
      <c r="AC488" s="9" t="n">
        <v>0</v>
      </c>
      <c r="AD488" s="9">
        <f>K488+AB488+AC488</f>
        <v/>
      </c>
      <c r="AE488" s="9">
        <f>(AD488*0.6)+(AA488*0.4)</f>
        <v/>
      </c>
      <c r="AF488">
        <f>IF(AE488&gt;=9,"Critical",IF(AE488&gt;=7,"High",IF(AE488&gt;=4,"Medium","Low")))</f>
        <v/>
      </c>
    </row>
    <row r="489">
      <c r="F489" t="n">
        <v>1</v>
      </c>
      <c r="I489">
        <f>IF(D489="","",TODAY()-D489)</f>
        <v/>
      </c>
      <c r="K489">
        <f>IF(J489="v4.0",L489,IF(J489="v3.1",M489,IF(J489="Both",L489,IF(AND(L489&lt;&gt;"",M489=""),L489,M489))))</f>
        <v/>
      </c>
      <c r="U489">
        <f>IF(T489="Tier 1",10,IF(T489="Tier 2",7,IF(T489="Tier 3",4,IF(T489="Tier 4",1,0))))</f>
        <v/>
      </c>
      <c r="W489">
        <f>IF(V489="Restricted",10,IF(V489="Confidential",7,IF(V489="Internal",4,IF(V489="Public",1,0))))</f>
        <v/>
      </c>
      <c r="AA489" s="9">
        <f>(U489*0.4)+(W489*0.3)+(IF(Z489="Critical",10,IF(Z489="High",7,IF(Z489="Medium",4,1)))*0.2)+(IF(Y489="YES",10,0)*0.1)</f>
        <v/>
      </c>
      <c r="AB489" s="9">
        <f>IF(G489="YES",2.0,0)+IF(H489="YES",2.0,0)</f>
        <v/>
      </c>
      <c r="AC489" s="9" t="n">
        <v>0</v>
      </c>
      <c r="AD489" s="9">
        <f>K489+AB489+AC489</f>
        <v/>
      </c>
      <c r="AE489" s="9">
        <f>(AD489*0.6)+(AA489*0.4)</f>
        <v/>
      </c>
      <c r="AF489">
        <f>IF(AE489&gt;=9,"Critical",IF(AE489&gt;=7,"High",IF(AE489&gt;=4,"Medium","Low")))</f>
        <v/>
      </c>
    </row>
    <row r="490">
      <c r="F490" t="n">
        <v>1</v>
      </c>
      <c r="I490">
        <f>IF(D490="","",TODAY()-D490)</f>
        <v/>
      </c>
      <c r="K490">
        <f>IF(J490="v4.0",L490,IF(J490="v3.1",M490,IF(J490="Both",L490,IF(AND(L490&lt;&gt;"",M490=""),L490,M490))))</f>
        <v/>
      </c>
      <c r="U490">
        <f>IF(T490="Tier 1",10,IF(T490="Tier 2",7,IF(T490="Tier 3",4,IF(T490="Tier 4",1,0))))</f>
        <v/>
      </c>
      <c r="W490">
        <f>IF(V490="Restricted",10,IF(V490="Confidential",7,IF(V490="Internal",4,IF(V490="Public",1,0))))</f>
        <v/>
      </c>
      <c r="AA490" s="9">
        <f>(U490*0.4)+(W490*0.3)+(IF(Z490="Critical",10,IF(Z490="High",7,IF(Z490="Medium",4,1)))*0.2)+(IF(Y490="YES",10,0)*0.1)</f>
        <v/>
      </c>
      <c r="AB490" s="9">
        <f>IF(G490="YES",2.0,0)+IF(H490="YES",2.0,0)</f>
        <v/>
      </c>
      <c r="AC490" s="9" t="n">
        <v>0</v>
      </c>
      <c r="AD490" s="9">
        <f>K490+AB490+AC490</f>
        <v/>
      </c>
      <c r="AE490" s="9">
        <f>(AD490*0.6)+(AA490*0.4)</f>
        <v/>
      </c>
      <c r="AF490">
        <f>IF(AE490&gt;=9,"Critical",IF(AE490&gt;=7,"High",IF(AE490&gt;=4,"Medium","Low")))</f>
        <v/>
      </c>
    </row>
    <row r="491">
      <c r="F491" t="n">
        <v>1</v>
      </c>
      <c r="I491">
        <f>IF(D491="","",TODAY()-D491)</f>
        <v/>
      </c>
      <c r="K491">
        <f>IF(J491="v4.0",L491,IF(J491="v3.1",M491,IF(J491="Both",L491,IF(AND(L491&lt;&gt;"",M491=""),L491,M491))))</f>
        <v/>
      </c>
      <c r="U491">
        <f>IF(T491="Tier 1",10,IF(T491="Tier 2",7,IF(T491="Tier 3",4,IF(T491="Tier 4",1,0))))</f>
        <v/>
      </c>
      <c r="W491">
        <f>IF(V491="Restricted",10,IF(V491="Confidential",7,IF(V491="Internal",4,IF(V491="Public",1,0))))</f>
        <v/>
      </c>
      <c r="AA491" s="9">
        <f>(U491*0.4)+(W491*0.3)+(IF(Z491="Critical",10,IF(Z491="High",7,IF(Z491="Medium",4,1)))*0.2)+(IF(Y491="YES",10,0)*0.1)</f>
        <v/>
      </c>
      <c r="AB491" s="9">
        <f>IF(G491="YES",2.0,0)+IF(H491="YES",2.0,0)</f>
        <v/>
      </c>
      <c r="AC491" s="9" t="n">
        <v>0</v>
      </c>
      <c r="AD491" s="9">
        <f>K491+AB491+AC491</f>
        <v/>
      </c>
      <c r="AE491" s="9">
        <f>(AD491*0.6)+(AA491*0.4)</f>
        <v/>
      </c>
      <c r="AF491">
        <f>IF(AE491&gt;=9,"Critical",IF(AE491&gt;=7,"High",IF(AE491&gt;=4,"Medium","Low")))</f>
        <v/>
      </c>
    </row>
    <row r="492">
      <c r="F492" t="n">
        <v>1</v>
      </c>
      <c r="I492">
        <f>IF(D492="","",TODAY()-D492)</f>
        <v/>
      </c>
      <c r="K492">
        <f>IF(J492="v4.0",L492,IF(J492="v3.1",M492,IF(J492="Both",L492,IF(AND(L492&lt;&gt;"",M492=""),L492,M492))))</f>
        <v/>
      </c>
      <c r="U492">
        <f>IF(T492="Tier 1",10,IF(T492="Tier 2",7,IF(T492="Tier 3",4,IF(T492="Tier 4",1,0))))</f>
        <v/>
      </c>
      <c r="W492">
        <f>IF(V492="Restricted",10,IF(V492="Confidential",7,IF(V492="Internal",4,IF(V492="Public",1,0))))</f>
        <v/>
      </c>
      <c r="AA492" s="9">
        <f>(U492*0.4)+(W492*0.3)+(IF(Z492="Critical",10,IF(Z492="High",7,IF(Z492="Medium",4,1)))*0.2)+(IF(Y492="YES",10,0)*0.1)</f>
        <v/>
      </c>
      <c r="AB492" s="9">
        <f>IF(G492="YES",2.0,0)+IF(H492="YES",2.0,0)</f>
        <v/>
      </c>
      <c r="AC492" s="9" t="n">
        <v>0</v>
      </c>
      <c r="AD492" s="9">
        <f>K492+AB492+AC492</f>
        <v/>
      </c>
      <c r="AE492" s="9">
        <f>(AD492*0.6)+(AA492*0.4)</f>
        <v/>
      </c>
      <c r="AF492">
        <f>IF(AE492&gt;=9,"Critical",IF(AE492&gt;=7,"High",IF(AE492&gt;=4,"Medium","Low")))</f>
        <v/>
      </c>
    </row>
    <row r="493">
      <c r="F493" t="n">
        <v>1</v>
      </c>
      <c r="I493">
        <f>IF(D493="","",TODAY()-D493)</f>
        <v/>
      </c>
      <c r="K493">
        <f>IF(J493="v4.0",L493,IF(J493="v3.1",M493,IF(J493="Both",L493,IF(AND(L493&lt;&gt;"",M493=""),L493,M493))))</f>
        <v/>
      </c>
      <c r="U493">
        <f>IF(T493="Tier 1",10,IF(T493="Tier 2",7,IF(T493="Tier 3",4,IF(T493="Tier 4",1,0))))</f>
        <v/>
      </c>
      <c r="W493">
        <f>IF(V493="Restricted",10,IF(V493="Confidential",7,IF(V493="Internal",4,IF(V493="Public",1,0))))</f>
        <v/>
      </c>
      <c r="AA493" s="9">
        <f>(U493*0.4)+(W493*0.3)+(IF(Z493="Critical",10,IF(Z493="High",7,IF(Z493="Medium",4,1)))*0.2)+(IF(Y493="YES",10,0)*0.1)</f>
        <v/>
      </c>
      <c r="AB493" s="9">
        <f>IF(G493="YES",2.0,0)+IF(H493="YES",2.0,0)</f>
        <v/>
      </c>
      <c r="AC493" s="9" t="n">
        <v>0</v>
      </c>
      <c r="AD493" s="9">
        <f>K493+AB493+AC493</f>
        <v/>
      </c>
      <c r="AE493" s="9">
        <f>(AD493*0.6)+(AA493*0.4)</f>
        <v/>
      </c>
      <c r="AF493">
        <f>IF(AE493&gt;=9,"Critical",IF(AE493&gt;=7,"High",IF(AE493&gt;=4,"Medium","Low")))</f>
        <v/>
      </c>
    </row>
    <row r="494">
      <c r="F494" t="n">
        <v>1</v>
      </c>
      <c r="I494">
        <f>IF(D494="","",TODAY()-D494)</f>
        <v/>
      </c>
      <c r="K494">
        <f>IF(J494="v4.0",L494,IF(J494="v3.1",M494,IF(J494="Both",L494,IF(AND(L494&lt;&gt;"",M494=""),L494,M494))))</f>
        <v/>
      </c>
      <c r="U494">
        <f>IF(T494="Tier 1",10,IF(T494="Tier 2",7,IF(T494="Tier 3",4,IF(T494="Tier 4",1,0))))</f>
        <v/>
      </c>
      <c r="W494">
        <f>IF(V494="Restricted",10,IF(V494="Confidential",7,IF(V494="Internal",4,IF(V494="Public",1,0))))</f>
        <v/>
      </c>
      <c r="AA494" s="9">
        <f>(U494*0.4)+(W494*0.3)+(IF(Z494="Critical",10,IF(Z494="High",7,IF(Z494="Medium",4,1)))*0.2)+(IF(Y494="YES",10,0)*0.1)</f>
        <v/>
      </c>
      <c r="AB494" s="9">
        <f>IF(G494="YES",2.0,0)+IF(H494="YES",2.0,0)</f>
        <v/>
      </c>
      <c r="AC494" s="9" t="n">
        <v>0</v>
      </c>
      <c r="AD494" s="9">
        <f>K494+AB494+AC494</f>
        <v/>
      </c>
      <c r="AE494" s="9">
        <f>(AD494*0.6)+(AA494*0.4)</f>
        <v/>
      </c>
      <c r="AF494">
        <f>IF(AE494&gt;=9,"Critical",IF(AE494&gt;=7,"High",IF(AE494&gt;=4,"Medium","Low")))</f>
        <v/>
      </c>
    </row>
    <row r="495">
      <c r="F495" t="n">
        <v>1</v>
      </c>
      <c r="I495">
        <f>IF(D495="","",TODAY()-D495)</f>
        <v/>
      </c>
      <c r="K495">
        <f>IF(J495="v4.0",L495,IF(J495="v3.1",M495,IF(J495="Both",L495,IF(AND(L495&lt;&gt;"",M495=""),L495,M495))))</f>
        <v/>
      </c>
      <c r="U495">
        <f>IF(T495="Tier 1",10,IF(T495="Tier 2",7,IF(T495="Tier 3",4,IF(T495="Tier 4",1,0))))</f>
        <v/>
      </c>
      <c r="W495">
        <f>IF(V495="Restricted",10,IF(V495="Confidential",7,IF(V495="Internal",4,IF(V495="Public",1,0))))</f>
        <v/>
      </c>
      <c r="AA495" s="9">
        <f>(U495*0.4)+(W495*0.3)+(IF(Z495="Critical",10,IF(Z495="High",7,IF(Z495="Medium",4,1)))*0.2)+(IF(Y495="YES",10,0)*0.1)</f>
        <v/>
      </c>
      <c r="AB495" s="9">
        <f>IF(G495="YES",2.0,0)+IF(H495="YES",2.0,0)</f>
        <v/>
      </c>
      <c r="AC495" s="9" t="n">
        <v>0</v>
      </c>
      <c r="AD495" s="9">
        <f>K495+AB495+AC495</f>
        <v/>
      </c>
      <c r="AE495" s="9">
        <f>(AD495*0.6)+(AA495*0.4)</f>
        <v/>
      </c>
      <c r="AF495">
        <f>IF(AE495&gt;=9,"Critical",IF(AE495&gt;=7,"High",IF(AE495&gt;=4,"Medium","Low")))</f>
        <v/>
      </c>
    </row>
    <row r="496">
      <c r="F496" t="n">
        <v>1</v>
      </c>
      <c r="I496">
        <f>IF(D496="","",TODAY()-D496)</f>
        <v/>
      </c>
      <c r="K496">
        <f>IF(J496="v4.0",L496,IF(J496="v3.1",M496,IF(J496="Both",L496,IF(AND(L496&lt;&gt;"",M496=""),L496,M496))))</f>
        <v/>
      </c>
      <c r="U496">
        <f>IF(T496="Tier 1",10,IF(T496="Tier 2",7,IF(T496="Tier 3",4,IF(T496="Tier 4",1,0))))</f>
        <v/>
      </c>
      <c r="W496">
        <f>IF(V496="Restricted",10,IF(V496="Confidential",7,IF(V496="Internal",4,IF(V496="Public",1,0))))</f>
        <v/>
      </c>
      <c r="AA496" s="9">
        <f>(U496*0.4)+(W496*0.3)+(IF(Z496="Critical",10,IF(Z496="High",7,IF(Z496="Medium",4,1)))*0.2)+(IF(Y496="YES",10,0)*0.1)</f>
        <v/>
      </c>
      <c r="AB496" s="9">
        <f>IF(G496="YES",2.0,0)+IF(H496="YES",2.0,0)</f>
        <v/>
      </c>
      <c r="AC496" s="9" t="n">
        <v>0</v>
      </c>
      <c r="AD496" s="9">
        <f>K496+AB496+AC496</f>
        <v/>
      </c>
      <c r="AE496" s="9">
        <f>(AD496*0.6)+(AA496*0.4)</f>
        <v/>
      </c>
      <c r="AF496">
        <f>IF(AE496&gt;=9,"Critical",IF(AE496&gt;=7,"High",IF(AE496&gt;=4,"Medium","Low")))</f>
        <v/>
      </c>
    </row>
    <row r="497">
      <c r="F497" t="n">
        <v>1</v>
      </c>
      <c r="I497">
        <f>IF(D497="","",TODAY()-D497)</f>
        <v/>
      </c>
      <c r="K497">
        <f>IF(J497="v4.0",L497,IF(J497="v3.1",M497,IF(J497="Both",L497,IF(AND(L497&lt;&gt;"",M497=""),L497,M497))))</f>
        <v/>
      </c>
      <c r="U497">
        <f>IF(T497="Tier 1",10,IF(T497="Tier 2",7,IF(T497="Tier 3",4,IF(T497="Tier 4",1,0))))</f>
        <v/>
      </c>
      <c r="W497">
        <f>IF(V497="Restricted",10,IF(V497="Confidential",7,IF(V497="Internal",4,IF(V497="Public",1,0))))</f>
        <v/>
      </c>
      <c r="AA497" s="9">
        <f>(U497*0.4)+(W497*0.3)+(IF(Z497="Critical",10,IF(Z497="High",7,IF(Z497="Medium",4,1)))*0.2)+(IF(Y497="YES",10,0)*0.1)</f>
        <v/>
      </c>
      <c r="AB497" s="9">
        <f>IF(G497="YES",2.0,0)+IF(H497="YES",2.0,0)</f>
        <v/>
      </c>
      <c r="AC497" s="9" t="n">
        <v>0</v>
      </c>
      <c r="AD497" s="9">
        <f>K497+AB497+AC497</f>
        <v/>
      </c>
      <c r="AE497" s="9">
        <f>(AD497*0.6)+(AA497*0.4)</f>
        <v/>
      </c>
      <c r="AF497">
        <f>IF(AE497&gt;=9,"Critical",IF(AE497&gt;=7,"High",IF(AE497&gt;=4,"Medium","Low")))</f>
        <v/>
      </c>
    </row>
    <row r="498">
      <c r="F498" t="n">
        <v>1</v>
      </c>
      <c r="I498">
        <f>IF(D498="","",TODAY()-D498)</f>
        <v/>
      </c>
      <c r="K498">
        <f>IF(J498="v4.0",L498,IF(J498="v3.1",M498,IF(J498="Both",L498,IF(AND(L498&lt;&gt;"",M498=""),L498,M498))))</f>
        <v/>
      </c>
      <c r="U498">
        <f>IF(T498="Tier 1",10,IF(T498="Tier 2",7,IF(T498="Tier 3",4,IF(T498="Tier 4",1,0))))</f>
        <v/>
      </c>
      <c r="W498">
        <f>IF(V498="Restricted",10,IF(V498="Confidential",7,IF(V498="Internal",4,IF(V498="Public",1,0))))</f>
        <v/>
      </c>
      <c r="AA498" s="9">
        <f>(U498*0.4)+(W498*0.3)+(IF(Z498="Critical",10,IF(Z498="High",7,IF(Z498="Medium",4,1)))*0.2)+(IF(Y498="YES",10,0)*0.1)</f>
        <v/>
      </c>
      <c r="AB498" s="9">
        <f>IF(G498="YES",2.0,0)+IF(H498="YES",2.0,0)</f>
        <v/>
      </c>
      <c r="AC498" s="9" t="n">
        <v>0</v>
      </c>
      <c r="AD498" s="9">
        <f>K498+AB498+AC498</f>
        <v/>
      </c>
      <c r="AE498" s="9">
        <f>(AD498*0.6)+(AA498*0.4)</f>
        <v/>
      </c>
      <c r="AF498">
        <f>IF(AE498&gt;=9,"Critical",IF(AE498&gt;=7,"High",IF(AE498&gt;=4,"Medium","Low")))</f>
        <v/>
      </c>
    </row>
    <row r="499">
      <c r="F499" t="n">
        <v>1</v>
      </c>
      <c r="I499">
        <f>IF(D499="","",TODAY()-D499)</f>
        <v/>
      </c>
      <c r="K499">
        <f>IF(J499="v4.0",L499,IF(J499="v3.1",M499,IF(J499="Both",L499,IF(AND(L499&lt;&gt;"",M499=""),L499,M499))))</f>
        <v/>
      </c>
      <c r="U499">
        <f>IF(T499="Tier 1",10,IF(T499="Tier 2",7,IF(T499="Tier 3",4,IF(T499="Tier 4",1,0))))</f>
        <v/>
      </c>
      <c r="W499">
        <f>IF(V499="Restricted",10,IF(V499="Confidential",7,IF(V499="Internal",4,IF(V499="Public",1,0))))</f>
        <v/>
      </c>
      <c r="AA499" s="9">
        <f>(U499*0.4)+(W499*0.3)+(IF(Z499="Critical",10,IF(Z499="High",7,IF(Z499="Medium",4,1)))*0.2)+(IF(Y499="YES",10,0)*0.1)</f>
        <v/>
      </c>
      <c r="AB499" s="9">
        <f>IF(G499="YES",2.0,0)+IF(H499="YES",2.0,0)</f>
        <v/>
      </c>
      <c r="AC499" s="9" t="n">
        <v>0</v>
      </c>
      <c r="AD499" s="9">
        <f>K499+AB499+AC499</f>
        <v/>
      </c>
      <c r="AE499" s="9">
        <f>(AD499*0.6)+(AA499*0.4)</f>
        <v/>
      </c>
      <c r="AF499">
        <f>IF(AE499&gt;=9,"Critical",IF(AE499&gt;=7,"High",IF(AE499&gt;=4,"Medium","Low")))</f>
        <v/>
      </c>
    </row>
    <row r="500">
      <c r="F500" t="n">
        <v>1</v>
      </c>
      <c r="I500">
        <f>IF(D500="","",TODAY()-D500)</f>
        <v/>
      </c>
      <c r="K500">
        <f>IF(J500="v4.0",L500,IF(J500="v3.1",M500,IF(J500="Both",L500,IF(AND(L500&lt;&gt;"",M500=""),L500,M500))))</f>
        <v/>
      </c>
      <c r="U500">
        <f>IF(T500="Tier 1",10,IF(T500="Tier 2",7,IF(T500="Tier 3",4,IF(T500="Tier 4",1,0))))</f>
        <v/>
      </c>
      <c r="W500">
        <f>IF(V500="Restricted",10,IF(V500="Confidential",7,IF(V500="Internal",4,IF(V500="Public",1,0))))</f>
        <v/>
      </c>
      <c r="AA500" s="9">
        <f>(U500*0.4)+(W500*0.3)+(IF(Z500="Critical",10,IF(Z500="High",7,IF(Z500="Medium",4,1)))*0.2)+(IF(Y500="YES",10,0)*0.1)</f>
        <v/>
      </c>
      <c r="AB500" s="9">
        <f>IF(G500="YES",2.0,0)+IF(H500="YES",2.0,0)</f>
        <v/>
      </c>
      <c r="AC500" s="9" t="n">
        <v>0</v>
      </c>
      <c r="AD500" s="9">
        <f>K500+AB500+AC500</f>
        <v/>
      </c>
      <c r="AE500" s="9">
        <f>(AD500*0.6)+(AA500*0.4)</f>
        <v/>
      </c>
      <c r="AF500">
        <f>IF(AE500&gt;=9,"Critical",IF(AE500&gt;=7,"High",IF(AE500&gt;=4,"Medium","Low")))</f>
        <v/>
      </c>
    </row>
    <row r="501">
      <c r="F501" t="n">
        <v>1</v>
      </c>
      <c r="I501">
        <f>IF(D501="","",TODAY()-D501)</f>
        <v/>
      </c>
      <c r="K501">
        <f>IF(J501="v4.0",L501,IF(J501="v3.1",M501,IF(J501="Both",L501,IF(AND(L501&lt;&gt;"",M501=""),L501,M501))))</f>
        <v/>
      </c>
      <c r="U501">
        <f>IF(T501="Tier 1",10,IF(T501="Tier 2",7,IF(T501="Tier 3",4,IF(T501="Tier 4",1,0))))</f>
        <v/>
      </c>
      <c r="W501">
        <f>IF(V501="Restricted",10,IF(V501="Confidential",7,IF(V501="Internal",4,IF(V501="Public",1,0))))</f>
        <v/>
      </c>
      <c r="AA501" s="9">
        <f>(U501*0.4)+(W501*0.3)+(IF(Z501="Critical",10,IF(Z501="High",7,IF(Z501="Medium",4,1)))*0.2)+(IF(Y501="YES",10,0)*0.1)</f>
        <v/>
      </c>
      <c r="AB501" s="9">
        <f>IF(G501="YES",2.0,0)+IF(H501="YES",2.0,0)</f>
        <v/>
      </c>
      <c r="AC501" s="9" t="n">
        <v>0</v>
      </c>
      <c r="AD501" s="9">
        <f>K501+AB501+AC501</f>
        <v/>
      </c>
      <c r="AE501" s="9">
        <f>(AD501*0.6)+(AA501*0.4)</f>
        <v/>
      </c>
      <c r="AF501">
        <f>IF(AE501&gt;=9,"Critical",IF(AE501&gt;=7,"High",IF(AE501&gt;=4,"Medium","Low")))</f>
        <v/>
      </c>
    </row>
    <row r="502">
      <c r="F502" t="n">
        <v>1</v>
      </c>
      <c r="I502">
        <f>IF(D502="","",TODAY()-D502)</f>
        <v/>
      </c>
      <c r="K502">
        <f>IF(J502="v4.0",L502,IF(J502="v3.1",M502,IF(J502="Both",L502,IF(AND(L502&lt;&gt;"",M502=""),L502,M502))))</f>
        <v/>
      </c>
      <c r="U502">
        <f>IF(T502="Tier 1",10,IF(T502="Tier 2",7,IF(T502="Tier 3",4,IF(T502="Tier 4",1,0))))</f>
        <v/>
      </c>
      <c r="W502">
        <f>IF(V502="Restricted",10,IF(V502="Confidential",7,IF(V502="Internal",4,IF(V502="Public",1,0))))</f>
        <v/>
      </c>
      <c r="AA502" s="9">
        <f>(U502*0.4)+(W502*0.3)+(IF(Z502="Critical",10,IF(Z502="High",7,IF(Z502="Medium",4,1)))*0.2)+(IF(Y502="YES",10,0)*0.1)</f>
        <v/>
      </c>
      <c r="AB502" s="9">
        <f>IF(G502="YES",2.0,0)+IF(H502="YES",2.0,0)</f>
        <v/>
      </c>
      <c r="AC502" s="9" t="n">
        <v>0</v>
      </c>
      <c r="AD502" s="9">
        <f>K502+AB502+AC502</f>
        <v/>
      </c>
      <c r="AE502" s="9">
        <f>(AD502*0.6)+(AA502*0.4)</f>
        <v/>
      </c>
      <c r="AF502">
        <f>IF(AE502&gt;=9,"Critical",IF(AE502&gt;=7,"High",IF(AE502&gt;=4,"Medium","Low")))</f>
        <v/>
      </c>
    </row>
    <row r="503">
      <c r="F503" t="n">
        <v>1</v>
      </c>
      <c r="I503">
        <f>IF(D503="","",TODAY()-D503)</f>
        <v/>
      </c>
      <c r="K503">
        <f>IF(J503="v4.0",L503,IF(J503="v3.1",M503,IF(J503="Both",L503,IF(AND(L503&lt;&gt;"",M503=""),L503,M503))))</f>
        <v/>
      </c>
      <c r="U503">
        <f>IF(T503="Tier 1",10,IF(T503="Tier 2",7,IF(T503="Tier 3",4,IF(T503="Tier 4",1,0))))</f>
        <v/>
      </c>
      <c r="W503">
        <f>IF(V503="Restricted",10,IF(V503="Confidential",7,IF(V503="Internal",4,IF(V503="Public",1,0))))</f>
        <v/>
      </c>
      <c r="AA503" s="9">
        <f>(U503*0.4)+(W503*0.3)+(IF(Z503="Critical",10,IF(Z503="High",7,IF(Z503="Medium",4,1)))*0.2)+(IF(Y503="YES",10,0)*0.1)</f>
        <v/>
      </c>
      <c r="AB503" s="9">
        <f>IF(G503="YES",2.0,0)+IF(H503="YES",2.0,0)</f>
        <v/>
      </c>
      <c r="AC503" s="9" t="n">
        <v>0</v>
      </c>
      <c r="AD503" s="9">
        <f>K503+AB503+AC503</f>
        <v/>
      </c>
      <c r="AE503" s="9">
        <f>(AD503*0.6)+(AA503*0.4)</f>
        <v/>
      </c>
      <c r="AF503">
        <f>IF(AE503&gt;=9,"Critical",IF(AE503&gt;=7,"High",IF(AE503&gt;=4,"Medium","Low")))</f>
        <v/>
      </c>
    </row>
    <row r="504">
      <c r="F504" t="n">
        <v>1</v>
      </c>
      <c r="I504">
        <f>IF(D504="","",TODAY()-D504)</f>
        <v/>
      </c>
      <c r="K504">
        <f>IF(J504="v4.0",L504,IF(J504="v3.1",M504,IF(J504="Both",L504,IF(AND(L504&lt;&gt;"",M504=""),L504,M504))))</f>
        <v/>
      </c>
      <c r="U504">
        <f>IF(T504="Tier 1",10,IF(T504="Tier 2",7,IF(T504="Tier 3",4,IF(T504="Tier 4",1,0))))</f>
        <v/>
      </c>
      <c r="W504">
        <f>IF(V504="Restricted",10,IF(V504="Confidential",7,IF(V504="Internal",4,IF(V504="Public",1,0))))</f>
        <v/>
      </c>
      <c r="AA504" s="9">
        <f>(U504*0.4)+(W504*0.3)+(IF(Z504="Critical",10,IF(Z504="High",7,IF(Z504="Medium",4,1)))*0.2)+(IF(Y504="YES",10,0)*0.1)</f>
        <v/>
      </c>
      <c r="AB504" s="9">
        <f>IF(G504="YES",2.0,0)+IF(H504="YES",2.0,0)</f>
        <v/>
      </c>
      <c r="AC504" s="9" t="n">
        <v>0</v>
      </c>
      <c r="AD504" s="9">
        <f>K504+AB504+AC504</f>
        <v/>
      </c>
      <c r="AE504" s="9">
        <f>(AD504*0.6)+(AA504*0.4)</f>
        <v/>
      </c>
      <c r="AF504">
        <f>IF(AE504&gt;=9,"Critical",IF(AE504&gt;=7,"High",IF(AE504&gt;=4,"Medium","Low")))</f>
        <v/>
      </c>
    </row>
    <row r="505">
      <c r="F505" t="n">
        <v>1</v>
      </c>
      <c r="I505">
        <f>IF(D505="","",TODAY()-D505)</f>
        <v/>
      </c>
      <c r="K505">
        <f>IF(J505="v4.0",L505,IF(J505="v3.1",M505,IF(J505="Both",L505,IF(AND(L505&lt;&gt;"",M505=""),L505,M505))))</f>
        <v/>
      </c>
      <c r="U505">
        <f>IF(T505="Tier 1",10,IF(T505="Tier 2",7,IF(T505="Tier 3",4,IF(T505="Tier 4",1,0))))</f>
        <v/>
      </c>
      <c r="W505">
        <f>IF(V505="Restricted",10,IF(V505="Confidential",7,IF(V505="Internal",4,IF(V505="Public",1,0))))</f>
        <v/>
      </c>
      <c r="AA505" s="9">
        <f>(U505*0.4)+(W505*0.3)+(IF(Z505="Critical",10,IF(Z505="High",7,IF(Z505="Medium",4,1)))*0.2)+(IF(Y505="YES",10,0)*0.1)</f>
        <v/>
      </c>
      <c r="AB505" s="9">
        <f>IF(G505="YES",2.0,0)+IF(H505="YES",2.0,0)</f>
        <v/>
      </c>
      <c r="AC505" s="9" t="n">
        <v>0</v>
      </c>
      <c r="AD505" s="9">
        <f>K505+AB505+AC505</f>
        <v/>
      </c>
      <c r="AE505" s="9">
        <f>(AD505*0.6)+(AA505*0.4)</f>
        <v/>
      </c>
      <c r="AF505">
        <f>IF(AE505&gt;=9,"Critical",IF(AE505&gt;=7,"High",IF(AE505&gt;=4,"Medium","Low")))</f>
        <v/>
      </c>
    </row>
    <row r="506">
      <c r="F506" t="n">
        <v>1</v>
      </c>
      <c r="I506">
        <f>IF(D506="","",TODAY()-D506)</f>
        <v/>
      </c>
      <c r="K506">
        <f>IF(J506="v4.0",L506,IF(J506="v3.1",M506,IF(J506="Both",L506,IF(AND(L506&lt;&gt;"",M506=""),L506,M506))))</f>
        <v/>
      </c>
      <c r="U506">
        <f>IF(T506="Tier 1",10,IF(T506="Tier 2",7,IF(T506="Tier 3",4,IF(T506="Tier 4",1,0))))</f>
        <v/>
      </c>
      <c r="W506">
        <f>IF(V506="Restricted",10,IF(V506="Confidential",7,IF(V506="Internal",4,IF(V506="Public",1,0))))</f>
        <v/>
      </c>
      <c r="AA506" s="9">
        <f>(U506*0.4)+(W506*0.3)+(IF(Z506="Critical",10,IF(Z506="High",7,IF(Z506="Medium",4,1)))*0.2)+(IF(Y506="YES",10,0)*0.1)</f>
        <v/>
      </c>
      <c r="AB506" s="9">
        <f>IF(G506="YES",2.0,0)+IF(H506="YES",2.0,0)</f>
        <v/>
      </c>
      <c r="AC506" s="9" t="n">
        <v>0</v>
      </c>
      <c r="AD506" s="9">
        <f>K506+AB506+AC506</f>
        <v/>
      </c>
      <c r="AE506" s="9">
        <f>(AD506*0.6)+(AA506*0.4)</f>
        <v/>
      </c>
      <c r="AF506">
        <f>IF(AE506&gt;=9,"Critical",IF(AE506&gt;=7,"High",IF(AE506&gt;=4,"Medium","Low")))</f>
        <v/>
      </c>
    </row>
    <row r="507">
      <c r="F507" t="n">
        <v>1</v>
      </c>
      <c r="I507">
        <f>IF(D507="","",TODAY()-D507)</f>
        <v/>
      </c>
      <c r="K507">
        <f>IF(J507="v4.0",L507,IF(J507="v3.1",M507,IF(J507="Both",L507,IF(AND(L507&lt;&gt;"",M507=""),L507,M507))))</f>
        <v/>
      </c>
      <c r="U507">
        <f>IF(T507="Tier 1",10,IF(T507="Tier 2",7,IF(T507="Tier 3",4,IF(T507="Tier 4",1,0))))</f>
        <v/>
      </c>
      <c r="W507">
        <f>IF(V507="Restricted",10,IF(V507="Confidential",7,IF(V507="Internal",4,IF(V507="Public",1,0))))</f>
        <v/>
      </c>
      <c r="AA507" s="9">
        <f>(U507*0.4)+(W507*0.3)+(IF(Z507="Critical",10,IF(Z507="High",7,IF(Z507="Medium",4,1)))*0.2)+(IF(Y507="YES",10,0)*0.1)</f>
        <v/>
      </c>
      <c r="AB507" s="9">
        <f>IF(G507="YES",2.0,0)+IF(H507="YES",2.0,0)</f>
        <v/>
      </c>
      <c r="AC507" s="9" t="n">
        <v>0</v>
      </c>
      <c r="AD507" s="9">
        <f>K507+AB507+AC507</f>
        <v/>
      </c>
      <c r="AE507" s="9">
        <f>(AD507*0.6)+(AA507*0.4)</f>
        <v/>
      </c>
      <c r="AF507">
        <f>IF(AE507&gt;=9,"Critical",IF(AE507&gt;=7,"High",IF(AE507&gt;=4,"Medium","Low")))</f>
        <v/>
      </c>
    </row>
    <row r="508">
      <c r="F508" t="n">
        <v>1</v>
      </c>
      <c r="I508">
        <f>IF(D508="","",TODAY()-D508)</f>
        <v/>
      </c>
      <c r="K508">
        <f>IF(J508="v4.0",L508,IF(J508="v3.1",M508,IF(J508="Both",L508,IF(AND(L508&lt;&gt;"",M508=""),L508,M508))))</f>
        <v/>
      </c>
      <c r="U508">
        <f>IF(T508="Tier 1",10,IF(T508="Tier 2",7,IF(T508="Tier 3",4,IF(T508="Tier 4",1,0))))</f>
        <v/>
      </c>
      <c r="W508">
        <f>IF(V508="Restricted",10,IF(V508="Confidential",7,IF(V508="Internal",4,IF(V508="Public",1,0))))</f>
        <v/>
      </c>
      <c r="AA508" s="9">
        <f>(U508*0.4)+(W508*0.3)+(IF(Z508="Critical",10,IF(Z508="High",7,IF(Z508="Medium",4,1)))*0.2)+(IF(Y508="YES",10,0)*0.1)</f>
        <v/>
      </c>
      <c r="AB508" s="9">
        <f>IF(G508="YES",2.0,0)+IF(H508="YES",2.0,0)</f>
        <v/>
      </c>
      <c r="AC508" s="9" t="n">
        <v>0</v>
      </c>
      <c r="AD508" s="9">
        <f>K508+AB508+AC508</f>
        <v/>
      </c>
      <c r="AE508" s="9">
        <f>(AD508*0.6)+(AA508*0.4)</f>
        <v/>
      </c>
      <c r="AF508">
        <f>IF(AE508&gt;=9,"Critical",IF(AE508&gt;=7,"High",IF(AE508&gt;=4,"Medium","Low")))</f>
        <v/>
      </c>
    </row>
    <row r="509">
      <c r="F509" t="n">
        <v>1</v>
      </c>
      <c r="I509">
        <f>IF(D509="","",TODAY()-D509)</f>
        <v/>
      </c>
      <c r="K509">
        <f>IF(J509="v4.0",L509,IF(J509="v3.1",M509,IF(J509="Both",L509,IF(AND(L509&lt;&gt;"",M509=""),L509,M509))))</f>
        <v/>
      </c>
      <c r="U509">
        <f>IF(T509="Tier 1",10,IF(T509="Tier 2",7,IF(T509="Tier 3",4,IF(T509="Tier 4",1,0))))</f>
        <v/>
      </c>
      <c r="W509">
        <f>IF(V509="Restricted",10,IF(V509="Confidential",7,IF(V509="Internal",4,IF(V509="Public",1,0))))</f>
        <v/>
      </c>
      <c r="AA509" s="9">
        <f>(U509*0.4)+(W509*0.3)+(IF(Z509="Critical",10,IF(Z509="High",7,IF(Z509="Medium",4,1)))*0.2)+(IF(Y509="YES",10,0)*0.1)</f>
        <v/>
      </c>
      <c r="AB509" s="9">
        <f>IF(G509="YES",2.0,0)+IF(H509="YES",2.0,0)</f>
        <v/>
      </c>
      <c r="AC509" s="9" t="n">
        <v>0</v>
      </c>
      <c r="AD509" s="9">
        <f>K509+AB509+AC509</f>
        <v/>
      </c>
      <c r="AE509" s="9">
        <f>(AD509*0.6)+(AA509*0.4)</f>
        <v/>
      </c>
      <c r="AF509">
        <f>IF(AE509&gt;=9,"Critical",IF(AE509&gt;=7,"High",IF(AE509&gt;=4,"Medium","Low")))</f>
        <v/>
      </c>
    </row>
    <row r="510">
      <c r="F510" t="n">
        <v>1</v>
      </c>
      <c r="I510">
        <f>IF(D510="","",TODAY()-D510)</f>
        <v/>
      </c>
      <c r="K510">
        <f>IF(J510="v4.0",L510,IF(J510="v3.1",M510,IF(J510="Both",L510,IF(AND(L510&lt;&gt;"",M510=""),L510,M510))))</f>
        <v/>
      </c>
      <c r="U510">
        <f>IF(T510="Tier 1",10,IF(T510="Tier 2",7,IF(T510="Tier 3",4,IF(T510="Tier 4",1,0))))</f>
        <v/>
      </c>
      <c r="W510">
        <f>IF(V510="Restricted",10,IF(V510="Confidential",7,IF(V510="Internal",4,IF(V510="Public",1,0))))</f>
        <v/>
      </c>
      <c r="AA510" s="9">
        <f>(U510*0.4)+(W510*0.3)+(IF(Z510="Critical",10,IF(Z510="High",7,IF(Z510="Medium",4,1)))*0.2)+(IF(Y510="YES",10,0)*0.1)</f>
        <v/>
      </c>
      <c r="AB510" s="9">
        <f>IF(G510="YES",2.0,0)+IF(H510="YES",2.0,0)</f>
        <v/>
      </c>
      <c r="AC510" s="9" t="n">
        <v>0</v>
      </c>
      <c r="AD510" s="9">
        <f>K510+AB510+AC510</f>
        <v/>
      </c>
      <c r="AE510" s="9">
        <f>(AD510*0.6)+(AA510*0.4)</f>
        <v/>
      </c>
      <c r="AF510">
        <f>IF(AE510&gt;=9,"Critical",IF(AE510&gt;=7,"High",IF(AE510&gt;=4,"Medium","Low")))</f>
        <v/>
      </c>
    </row>
    <row r="511">
      <c r="F511" t="n">
        <v>1</v>
      </c>
      <c r="I511">
        <f>IF(D511="","",TODAY()-D511)</f>
        <v/>
      </c>
      <c r="K511">
        <f>IF(J511="v4.0",L511,IF(J511="v3.1",M511,IF(J511="Both",L511,IF(AND(L511&lt;&gt;"",M511=""),L511,M511))))</f>
        <v/>
      </c>
      <c r="U511">
        <f>IF(T511="Tier 1",10,IF(T511="Tier 2",7,IF(T511="Tier 3",4,IF(T511="Tier 4",1,0))))</f>
        <v/>
      </c>
      <c r="W511">
        <f>IF(V511="Restricted",10,IF(V511="Confidential",7,IF(V511="Internal",4,IF(V511="Public",1,0))))</f>
        <v/>
      </c>
      <c r="AA511" s="9">
        <f>(U511*0.4)+(W511*0.3)+(IF(Z511="Critical",10,IF(Z511="High",7,IF(Z511="Medium",4,1)))*0.2)+(IF(Y511="YES",10,0)*0.1)</f>
        <v/>
      </c>
      <c r="AB511" s="9">
        <f>IF(G511="YES",2.0,0)+IF(H511="YES",2.0,0)</f>
        <v/>
      </c>
      <c r="AC511" s="9" t="n">
        <v>0</v>
      </c>
      <c r="AD511" s="9">
        <f>K511+AB511+AC511</f>
        <v/>
      </c>
      <c r="AE511" s="9">
        <f>(AD511*0.6)+(AA511*0.4)</f>
        <v/>
      </c>
      <c r="AF511">
        <f>IF(AE511&gt;=9,"Critical",IF(AE511&gt;=7,"High",IF(AE511&gt;=4,"Medium","Low")))</f>
        <v/>
      </c>
    </row>
    <row r="512">
      <c r="F512" t="n">
        <v>1</v>
      </c>
      <c r="I512">
        <f>IF(D512="","",TODAY()-D512)</f>
        <v/>
      </c>
      <c r="K512">
        <f>IF(J512="v4.0",L512,IF(J512="v3.1",M512,IF(J512="Both",L512,IF(AND(L512&lt;&gt;"",M512=""),L512,M512))))</f>
        <v/>
      </c>
      <c r="U512">
        <f>IF(T512="Tier 1",10,IF(T512="Tier 2",7,IF(T512="Tier 3",4,IF(T512="Tier 4",1,0))))</f>
        <v/>
      </c>
      <c r="W512">
        <f>IF(V512="Restricted",10,IF(V512="Confidential",7,IF(V512="Internal",4,IF(V512="Public",1,0))))</f>
        <v/>
      </c>
      <c r="AA512" s="9">
        <f>(U512*0.4)+(W512*0.3)+(IF(Z512="Critical",10,IF(Z512="High",7,IF(Z512="Medium",4,1)))*0.2)+(IF(Y512="YES",10,0)*0.1)</f>
        <v/>
      </c>
      <c r="AB512" s="9">
        <f>IF(G512="YES",2.0,0)+IF(H512="YES",2.0,0)</f>
        <v/>
      </c>
      <c r="AC512" s="9" t="n">
        <v>0</v>
      </c>
      <c r="AD512" s="9">
        <f>K512+AB512+AC512</f>
        <v/>
      </c>
      <c r="AE512" s="9">
        <f>(AD512*0.6)+(AA512*0.4)</f>
        <v/>
      </c>
      <c r="AF512">
        <f>IF(AE512&gt;=9,"Critical",IF(AE512&gt;=7,"High",IF(AE512&gt;=4,"Medium","Low")))</f>
        <v/>
      </c>
    </row>
    <row r="513">
      <c r="F513" t="n">
        <v>1</v>
      </c>
      <c r="I513">
        <f>IF(D513="","",TODAY()-D513)</f>
        <v/>
      </c>
      <c r="K513">
        <f>IF(J513="v4.0",L513,IF(J513="v3.1",M513,IF(J513="Both",L513,IF(AND(L513&lt;&gt;"",M513=""),L513,M513))))</f>
        <v/>
      </c>
      <c r="U513">
        <f>IF(T513="Tier 1",10,IF(T513="Tier 2",7,IF(T513="Tier 3",4,IF(T513="Tier 4",1,0))))</f>
        <v/>
      </c>
      <c r="W513">
        <f>IF(V513="Restricted",10,IF(V513="Confidential",7,IF(V513="Internal",4,IF(V513="Public",1,0))))</f>
        <v/>
      </c>
      <c r="AA513" s="9">
        <f>(U513*0.4)+(W513*0.3)+(IF(Z513="Critical",10,IF(Z513="High",7,IF(Z513="Medium",4,1)))*0.2)+(IF(Y513="YES",10,0)*0.1)</f>
        <v/>
      </c>
      <c r="AB513" s="9">
        <f>IF(G513="YES",2.0,0)+IF(H513="YES",2.0,0)</f>
        <v/>
      </c>
      <c r="AC513" s="9" t="n">
        <v>0</v>
      </c>
      <c r="AD513" s="9">
        <f>K513+AB513+AC513</f>
        <v/>
      </c>
      <c r="AE513" s="9">
        <f>(AD513*0.6)+(AA513*0.4)</f>
        <v/>
      </c>
      <c r="AF513">
        <f>IF(AE513&gt;=9,"Critical",IF(AE513&gt;=7,"High",IF(AE513&gt;=4,"Medium","Low")))</f>
        <v/>
      </c>
    </row>
    <row r="514">
      <c r="F514" t="n">
        <v>1</v>
      </c>
      <c r="I514">
        <f>IF(D514="","",TODAY()-D514)</f>
        <v/>
      </c>
      <c r="K514">
        <f>IF(J514="v4.0",L514,IF(J514="v3.1",M514,IF(J514="Both",L514,IF(AND(L514&lt;&gt;"",M514=""),L514,M514))))</f>
        <v/>
      </c>
      <c r="U514">
        <f>IF(T514="Tier 1",10,IF(T514="Tier 2",7,IF(T514="Tier 3",4,IF(T514="Tier 4",1,0))))</f>
        <v/>
      </c>
      <c r="W514">
        <f>IF(V514="Restricted",10,IF(V514="Confidential",7,IF(V514="Internal",4,IF(V514="Public",1,0))))</f>
        <v/>
      </c>
      <c r="AA514" s="9">
        <f>(U514*0.4)+(W514*0.3)+(IF(Z514="Critical",10,IF(Z514="High",7,IF(Z514="Medium",4,1)))*0.2)+(IF(Y514="YES",10,0)*0.1)</f>
        <v/>
      </c>
      <c r="AB514" s="9">
        <f>IF(G514="YES",2.0,0)+IF(H514="YES",2.0,0)</f>
        <v/>
      </c>
      <c r="AC514" s="9" t="n">
        <v>0</v>
      </c>
      <c r="AD514" s="9">
        <f>K514+AB514+AC514</f>
        <v/>
      </c>
      <c r="AE514" s="9">
        <f>(AD514*0.6)+(AA514*0.4)</f>
        <v/>
      </c>
      <c r="AF514">
        <f>IF(AE514&gt;=9,"Critical",IF(AE514&gt;=7,"High",IF(AE514&gt;=4,"Medium","Low")))</f>
        <v/>
      </c>
    </row>
    <row r="515">
      <c r="F515" t="n">
        <v>1</v>
      </c>
      <c r="I515">
        <f>IF(D515="","",TODAY()-D515)</f>
        <v/>
      </c>
      <c r="K515">
        <f>IF(J515="v4.0",L515,IF(J515="v3.1",M515,IF(J515="Both",L515,IF(AND(L515&lt;&gt;"",M515=""),L515,M515))))</f>
        <v/>
      </c>
      <c r="U515">
        <f>IF(T515="Tier 1",10,IF(T515="Tier 2",7,IF(T515="Tier 3",4,IF(T515="Tier 4",1,0))))</f>
        <v/>
      </c>
      <c r="W515">
        <f>IF(V515="Restricted",10,IF(V515="Confidential",7,IF(V515="Internal",4,IF(V515="Public",1,0))))</f>
        <v/>
      </c>
      <c r="AA515" s="9">
        <f>(U515*0.4)+(W515*0.3)+(IF(Z515="Critical",10,IF(Z515="High",7,IF(Z515="Medium",4,1)))*0.2)+(IF(Y515="YES",10,0)*0.1)</f>
        <v/>
      </c>
      <c r="AB515" s="9">
        <f>IF(G515="YES",2.0,0)+IF(H515="YES",2.0,0)</f>
        <v/>
      </c>
      <c r="AC515" s="9" t="n">
        <v>0</v>
      </c>
      <c r="AD515" s="9">
        <f>K515+AB515+AC515</f>
        <v/>
      </c>
      <c r="AE515" s="9">
        <f>(AD515*0.6)+(AA515*0.4)</f>
        <v/>
      </c>
      <c r="AF515">
        <f>IF(AE515&gt;=9,"Critical",IF(AE515&gt;=7,"High",IF(AE515&gt;=4,"Medium","Low")))</f>
        <v/>
      </c>
    </row>
    <row r="516">
      <c r="F516" t="n">
        <v>1</v>
      </c>
      <c r="I516">
        <f>IF(D516="","",TODAY()-D516)</f>
        <v/>
      </c>
      <c r="K516">
        <f>IF(J516="v4.0",L516,IF(J516="v3.1",M516,IF(J516="Both",L516,IF(AND(L516&lt;&gt;"",M516=""),L516,M516))))</f>
        <v/>
      </c>
      <c r="U516">
        <f>IF(T516="Tier 1",10,IF(T516="Tier 2",7,IF(T516="Tier 3",4,IF(T516="Tier 4",1,0))))</f>
        <v/>
      </c>
      <c r="W516">
        <f>IF(V516="Restricted",10,IF(V516="Confidential",7,IF(V516="Internal",4,IF(V516="Public",1,0))))</f>
        <v/>
      </c>
      <c r="AA516" s="9">
        <f>(U516*0.4)+(W516*0.3)+(IF(Z516="Critical",10,IF(Z516="High",7,IF(Z516="Medium",4,1)))*0.2)+(IF(Y516="YES",10,0)*0.1)</f>
        <v/>
      </c>
      <c r="AB516" s="9">
        <f>IF(G516="YES",2.0,0)+IF(H516="YES",2.0,0)</f>
        <v/>
      </c>
      <c r="AC516" s="9" t="n">
        <v>0</v>
      </c>
      <c r="AD516" s="9">
        <f>K516+AB516+AC516</f>
        <v/>
      </c>
      <c r="AE516" s="9">
        <f>(AD516*0.6)+(AA516*0.4)</f>
        <v/>
      </c>
      <c r="AF516">
        <f>IF(AE516&gt;=9,"Critical",IF(AE516&gt;=7,"High",IF(AE516&gt;=4,"Medium","Low")))</f>
        <v/>
      </c>
    </row>
    <row r="517">
      <c r="F517" t="n">
        <v>1</v>
      </c>
      <c r="I517">
        <f>IF(D517="","",TODAY()-D517)</f>
        <v/>
      </c>
      <c r="K517">
        <f>IF(J517="v4.0",L517,IF(J517="v3.1",M517,IF(J517="Both",L517,IF(AND(L517&lt;&gt;"",M517=""),L517,M517))))</f>
        <v/>
      </c>
      <c r="U517">
        <f>IF(T517="Tier 1",10,IF(T517="Tier 2",7,IF(T517="Tier 3",4,IF(T517="Tier 4",1,0))))</f>
        <v/>
      </c>
      <c r="W517">
        <f>IF(V517="Restricted",10,IF(V517="Confidential",7,IF(V517="Internal",4,IF(V517="Public",1,0))))</f>
        <v/>
      </c>
      <c r="AA517" s="9">
        <f>(U517*0.4)+(W517*0.3)+(IF(Z517="Critical",10,IF(Z517="High",7,IF(Z517="Medium",4,1)))*0.2)+(IF(Y517="YES",10,0)*0.1)</f>
        <v/>
      </c>
      <c r="AB517" s="9">
        <f>IF(G517="YES",2.0,0)+IF(H517="YES",2.0,0)</f>
        <v/>
      </c>
      <c r="AC517" s="9" t="n">
        <v>0</v>
      </c>
      <c r="AD517" s="9">
        <f>K517+AB517+AC517</f>
        <v/>
      </c>
      <c r="AE517" s="9">
        <f>(AD517*0.6)+(AA517*0.4)</f>
        <v/>
      </c>
      <c r="AF517">
        <f>IF(AE517&gt;=9,"Critical",IF(AE517&gt;=7,"High",IF(AE517&gt;=4,"Medium","Low")))</f>
        <v/>
      </c>
    </row>
    <row r="518">
      <c r="F518" t="n">
        <v>1</v>
      </c>
      <c r="I518">
        <f>IF(D518="","",TODAY()-D518)</f>
        <v/>
      </c>
      <c r="K518">
        <f>IF(J518="v4.0",L518,IF(J518="v3.1",M518,IF(J518="Both",L518,IF(AND(L518&lt;&gt;"",M518=""),L518,M518))))</f>
        <v/>
      </c>
      <c r="U518">
        <f>IF(T518="Tier 1",10,IF(T518="Tier 2",7,IF(T518="Tier 3",4,IF(T518="Tier 4",1,0))))</f>
        <v/>
      </c>
      <c r="W518">
        <f>IF(V518="Restricted",10,IF(V518="Confidential",7,IF(V518="Internal",4,IF(V518="Public",1,0))))</f>
        <v/>
      </c>
      <c r="AA518" s="9">
        <f>(U518*0.4)+(W518*0.3)+(IF(Z518="Critical",10,IF(Z518="High",7,IF(Z518="Medium",4,1)))*0.2)+(IF(Y518="YES",10,0)*0.1)</f>
        <v/>
      </c>
      <c r="AB518" s="9">
        <f>IF(G518="YES",2.0,0)+IF(H518="YES",2.0,0)</f>
        <v/>
      </c>
      <c r="AC518" s="9" t="n">
        <v>0</v>
      </c>
      <c r="AD518" s="9">
        <f>K518+AB518+AC518</f>
        <v/>
      </c>
      <c r="AE518" s="9">
        <f>(AD518*0.6)+(AA518*0.4)</f>
        <v/>
      </c>
      <c r="AF518">
        <f>IF(AE518&gt;=9,"Critical",IF(AE518&gt;=7,"High",IF(AE518&gt;=4,"Medium","Low")))</f>
        <v/>
      </c>
    </row>
    <row r="519">
      <c r="F519" t="n">
        <v>1</v>
      </c>
      <c r="I519">
        <f>IF(D519="","",TODAY()-D519)</f>
        <v/>
      </c>
      <c r="K519">
        <f>IF(J519="v4.0",L519,IF(J519="v3.1",M519,IF(J519="Both",L519,IF(AND(L519&lt;&gt;"",M519=""),L519,M519))))</f>
        <v/>
      </c>
      <c r="U519">
        <f>IF(T519="Tier 1",10,IF(T519="Tier 2",7,IF(T519="Tier 3",4,IF(T519="Tier 4",1,0))))</f>
        <v/>
      </c>
      <c r="W519">
        <f>IF(V519="Restricted",10,IF(V519="Confidential",7,IF(V519="Internal",4,IF(V519="Public",1,0))))</f>
        <v/>
      </c>
      <c r="AA519" s="9">
        <f>(U519*0.4)+(W519*0.3)+(IF(Z519="Critical",10,IF(Z519="High",7,IF(Z519="Medium",4,1)))*0.2)+(IF(Y519="YES",10,0)*0.1)</f>
        <v/>
      </c>
      <c r="AB519" s="9">
        <f>IF(G519="YES",2.0,0)+IF(H519="YES",2.0,0)</f>
        <v/>
      </c>
      <c r="AC519" s="9" t="n">
        <v>0</v>
      </c>
      <c r="AD519" s="9">
        <f>K519+AB519+AC519</f>
        <v/>
      </c>
      <c r="AE519" s="9">
        <f>(AD519*0.6)+(AA519*0.4)</f>
        <v/>
      </c>
      <c r="AF519">
        <f>IF(AE519&gt;=9,"Critical",IF(AE519&gt;=7,"High",IF(AE519&gt;=4,"Medium","Low")))</f>
        <v/>
      </c>
    </row>
    <row r="520">
      <c r="F520" t="n">
        <v>1</v>
      </c>
      <c r="I520">
        <f>IF(D520="","",TODAY()-D520)</f>
        <v/>
      </c>
      <c r="K520">
        <f>IF(J520="v4.0",L520,IF(J520="v3.1",M520,IF(J520="Both",L520,IF(AND(L520&lt;&gt;"",M520=""),L520,M520))))</f>
        <v/>
      </c>
      <c r="U520">
        <f>IF(T520="Tier 1",10,IF(T520="Tier 2",7,IF(T520="Tier 3",4,IF(T520="Tier 4",1,0))))</f>
        <v/>
      </c>
      <c r="W520">
        <f>IF(V520="Restricted",10,IF(V520="Confidential",7,IF(V520="Internal",4,IF(V520="Public",1,0))))</f>
        <v/>
      </c>
      <c r="AA520" s="9">
        <f>(U520*0.4)+(W520*0.3)+(IF(Z520="Critical",10,IF(Z520="High",7,IF(Z520="Medium",4,1)))*0.2)+(IF(Y520="YES",10,0)*0.1)</f>
        <v/>
      </c>
      <c r="AB520" s="9">
        <f>IF(G520="YES",2.0,0)+IF(H520="YES",2.0,0)</f>
        <v/>
      </c>
      <c r="AC520" s="9" t="n">
        <v>0</v>
      </c>
      <c r="AD520" s="9">
        <f>K520+AB520+AC520</f>
        <v/>
      </c>
      <c r="AE520" s="9">
        <f>(AD520*0.6)+(AA520*0.4)</f>
        <v/>
      </c>
      <c r="AF520">
        <f>IF(AE520&gt;=9,"Critical",IF(AE520&gt;=7,"High",IF(AE520&gt;=4,"Medium","Low")))</f>
        <v/>
      </c>
    </row>
    <row r="521">
      <c r="F521" t="n">
        <v>1</v>
      </c>
      <c r="I521">
        <f>IF(D521="","",TODAY()-D521)</f>
        <v/>
      </c>
      <c r="K521">
        <f>IF(J521="v4.0",L521,IF(J521="v3.1",M521,IF(J521="Both",L521,IF(AND(L521&lt;&gt;"",M521=""),L521,M521))))</f>
        <v/>
      </c>
      <c r="U521">
        <f>IF(T521="Tier 1",10,IF(T521="Tier 2",7,IF(T521="Tier 3",4,IF(T521="Tier 4",1,0))))</f>
        <v/>
      </c>
      <c r="W521">
        <f>IF(V521="Restricted",10,IF(V521="Confidential",7,IF(V521="Internal",4,IF(V521="Public",1,0))))</f>
        <v/>
      </c>
      <c r="AA521" s="9">
        <f>(U521*0.4)+(W521*0.3)+(IF(Z521="Critical",10,IF(Z521="High",7,IF(Z521="Medium",4,1)))*0.2)+(IF(Y521="YES",10,0)*0.1)</f>
        <v/>
      </c>
      <c r="AB521" s="9">
        <f>IF(G521="YES",2.0,0)+IF(H521="YES",2.0,0)</f>
        <v/>
      </c>
      <c r="AC521" s="9" t="n">
        <v>0</v>
      </c>
      <c r="AD521" s="9">
        <f>K521+AB521+AC521</f>
        <v/>
      </c>
      <c r="AE521" s="9">
        <f>(AD521*0.6)+(AA521*0.4)</f>
        <v/>
      </c>
      <c r="AF521">
        <f>IF(AE521&gt;=9,"Critical",IF(AE521&gt;=7,"High",IF(AE521&gt;=4,"Medium","Low")))</f>
        <v/>
      </c>
    </row>
    <row r="522">
      <c r="F522" t="n">
        <v>1</v>
      </c>
      <c r="I522">
        <f>IF(D522="","",TODAY()-D522)</f>
        <v/>
      </c>
      <c r="K522">
        <f>IF(J522="v4.0",L522,IF(J522="v3.1",M522,IF(J522="Both",L522,IF(AND(L522&lt;&gt;"",M522=""),L522,M522))))</f>
        <v/>
      </c>
      <c r="U522">
        <f>IF(T522="Tier 1",10,IF(T522="Tier 2",7,IF(T522="Tier 3",4,IF(T522="Tier 4",1,0))))</f>
        <v/>
      </c>
      <c r="W522">
        <f>IF(V522="Restricted",10,IF(V522="Confidential",7,IF(V522="Internal",4,IF(V522="Public",1,0))))</f>
        <v/>
      </c>
      <c r="AA522" s="9">
        <f>(U522*0.4)+(W522*0.3)+(IF(Z522="Critical",10,IF(Z522="High",7,IF(Z522="Medium",4,1)))*0.2)+(IF(Y522="YES",10,0)*0.1)</f>
        <v/>
      </c>
      <c r="AB522" s="9">
        <f>IF(G522="YES",2.0,0)+IF(H522="YES",2.0,0)</f>
        <v/>
      </c>
      <c r="AC522" s="9" t="n">
        <v>0</v>
      </c>
      <c r="AD522" s="9">
        <f>K522+AB522+AC522</f>
        <v/>
      </c>
      <c r="AE522" s="9">
        <f>(AD522*0.6)+(AA522*0.4)</f>
        <v/>
      </c>
      <c r="AF522">
        <f>IF(AE522&gt;=9,"Critical",IF(AE522&gt;=7,"High",IF(AE522&gt;=4,"Medium","Low")))</f>
        <v/>
      </c>
    </row>
    <row r="523">
      <c r="F523" t="n">
        <v>1</v>
      </c>
      <c r="I523">
        <f>IF(D523="","",TODAY()-D523)</f>
        <v/>
      </c>
      <c r="K523">
        <f>IF(J523="v4.0",L523,IF(J523="v3.1",M523,IF(J523="Both",L523,IF(AND(L523&lt;&gt;"",M523=""),L523,M523))))</f>
        <v/>
      </c>
      <c r="U523">
        <f>IF(T523="Tier 1",10,IF(T523="Tier 2",7,IF(T523="Tier 3",4,IF(T523="Tier 4",1,0))))</f>
        <v/>
      </c>
      <c r="W523">
        <f>IF(V523="Restricted",10,IF(V523="Confidential",7,IF(V523="Internal",4,IF(V523="Public",1,0))))</f>
        <v/>
      </c>
      <c r="AA523" s="9">
        <f>(U523*0.4)+(W523*0.3)+(IF(Z523="Critical",10,IF(Z523="High",7,IF(Z523="Medium",4,1)))*0.2)+(IF(Y523="YES",10,0)*0.1)</f>
        <v/>
      </c>
      <c r="AB523" s="9">
        <f>IF(G523="YES",2.0,0)+IF(H523="YES",2.0,0)</f>
        <v/>
      </c>
      <c r="AC523" s="9" t="n">
        <v>0</v>
      </c>
      <c r="AD523" s="9">
        <f>K523+AB523+AC523</f>
        <v/>
      </c>
      <c r="AE523" s="9">
        <f>(AD523*0.6)+(AA523*0.4)</f>
        <v/>
      </c>
      <c r="AF523">
        <f>IF(AE523&gt;=9,"Critical",IF(AE523&gt;=7,"High",IF(AE523&gt;=4,"Medium","Low")))</f>
        <v/>
      </c>
    </row>
    <row r="524">
      <c r="F524" t="n">
        <v>1</v>
      </c>
      <c r="I524">
        <f>IF(D524="","",TODAY()-D524)</f>
        <v/>
      </c>
      <c r="K524">
        <f>IF(J524="v4.0",L524,IF(J524="v3.1",M524,IF(J524="Both",L524,IF(AND(L524&lt;&gt;"",M524=""),L524,M524))))</f>
        <v/>
      </c>
      <c r="U524">
        <f>IF(T524="Tier 1",10,IF(T524="Tier 2",7,IF(T524="Tier 3",4,IF(T524="Tier 4",1,0))))</f>
        <v/>
      </c>
      <c r="W524">
        <f>IF(V524="Restricted",10,IF(V524="Confidential",7,IF(V524="Internal",4,IF(V524="Public",1,0))))</f>
        <v/>
      </c>
      <c r="AA524" s="9">
        <f>(U524*0.4)+(W524*0.3)+(IF(Z524="Critical",10,IF(Z524="High",7,IF(Z524="Medium",4,1)))*0.2)+(IF(Y524="YES",10,0)*0.1)</f>
        <v/>
      </c>
      <c r="AB524" s="9">
        <f>IF(G524="YES",2.0,0)+IF(H524="YES",2.0,0)</f>
        <v/>
      </c>
      <c r="AC524" s="9" t="n">
        <v>0</v>
      </c>
      <c r="AD524" s="9">
        <f>K524+AB524+AC524</f>
        <v/>
      </c>
      <c r="AE524" s="9">
        <f>(AD524*0.6)+(AA524*0.4)</f>
        <v/>
      </c>
      <c r="AF524">
        <f>IF(AE524&gt;=9,"Critical",IF(AE524&gt;=7,"High",IF(AE524&gt;=4,"Medium","Low")))</f>
        <v/>
      </c>
    </row>
    <row r="525">
      <c r="F525" t="n">
        <v>1</v>
      </c>
      <c r="I525">
        <f>IF(D525="","",TODAY()-D525)</f>
        <v/>
      </c>
      <c r="K525">
        <f>IF(J525="v4.0",L525,IF(J525="v3.1",M525,IF(J525="Both",L525,IF(AND(L525&lt;&gt;"",M525=""),L525,M525))))</f>
        <v/>
      </c>
      <c r="U525">
        <f>IF(T525="Tier 1",10,IF(T525="Tier 2",7,IF(T525="Tier 3",4,IF(T525="Tier 4",1,0))))</f>
        <v/>
      </c>
      <c r="W525">
        <f>IF(V525="Restricted",10,IF(V525="Confidential",7,IF(V525="Internal",4,IF(V525="Public",1,0))))</f>
        <v/>
      </c>
      <c r="AA525" s="9">
        <f>(U525*0.4)+(W525*0.3)+(IF(Z525="Critical",10,IF(Z525="High",7,IF(Z525="Medium",4,1)))*0.2)+(IF(Y525="YES",10,0)*0.1)</f>
        <v/>
      </c>
      <c r="AB525" s="9">
        <f>IF(G525="YES",2.0,0)+IF(H525="YES",2.0,0)</f>
        <v/>
      </c>
      <c r="AC525" s="9" t="n">
        <v>0</v>
      </c>
      <c r="AD525" s="9">
        <f>K525+AB525+AC525</f>
        <v/>
      </c>
      <c r="AE525" s="9">
        <f>(AD525*0.6)+(AA525*0.4)</f>
        <v/>
      </c>
      <c r="AF525">
        <f>IF(AE525&gt;=9,"Critical",IF(AE525&gt;=7,"High",IF(AE525&gt;=4,"Medium","Low")))</f>
        <v/>
      </c>
    </row>
    <row r="526">
      <c r="F526" t="n">
        <v>1</v>
      </c>
      <c r="I526">
        <f>IF(D526="","",TODAY()-D526)</f>
        <v/>
      </c>
      <c r="K526">
        <f>IF(J526="v4.0",L526,IF(J526="v3.1",M526,IF(J526="Both",L526,IF(AND(L526&lt;&gt;"",M526=""),L526,M526))))</f>
        <v/>
      </c>
      <c r="U526">
        <f>IF(T526="Tier 1",10,IF(T526="Tier 2",7,IF(T526="Tier 3",4,IF(T526="Tier 4",1,0))))</f>
        <v/>
      </c>
      <c r="W526">
        <f>IF(V526="Restricted",10,IF(V526="Confidential",7,IF(V526="Internal",4,IF(V526="Public",1,0))))</f>
        <v/>
      </c>
      <c r="AA526" s="9">
        <f>(U526*0.4)+(W526*0.3)+(IF(Z526="Critical",10,IF(Z526="High",7,IF(Z526="Medium",4,1)))*0.2)+(IF(Y526="YES",10,0)*0.1)</f>
        <v/>
      </c>
      <c r="AB526" s="9">
        <f>IF(G526="YES",2.0,0)+IF(H526="YES",2.0,0)</f>
        <v/>
      </c>
      <c r="AC526" s="9" t="n">
        <v>0</v>
      </c>
      <c r="AD526" s="9">
        <f>K526+AB526+AC526</f>
        <v/>
      </c>
      <c r="AE526" s="9">
        <f>(AD526*0.6)+(AA526*0.4)</f>
        <v/>
      </c>
      <c r="AF526">
        <f>IF(AE526&gt;=9,"Critical",IF(AE526&gt;=7,"High",IF(AE526&gt;=4,"Medium","Low")))</f>
        <v/>
      </c>
    </row>
    <row r="527">
      <c r="F527" t="n">
        <v>1</v>
      </c>
      <c r="I527">
        <f>IF(D527="","",TODAY()-D527)</f>
        <v/>
      </c>
      <c r="K527">
        <f>IF(J527="v4.0",L527,IF(J527="v3.1",M527,IF(J527="Both",L527,IF(AND(L527&lt;&gt;"",M527=""),L527,M527))))</f>
        <v/>
      </c>
      <c r="U527">
        <f>IF(T527="Tier 1",10,IF(T527="Tier 2",7,IF(T527="Tier 3",4,IF(T527="Tier 4",1,0))))</f>
        <v/>
      </c>
      <c r="W527">
        <f>IF(V527="Restricted",10,IF(V527="Confidential",7,IF(V527="Internal",4,IF(V527="Public",1,0))))</f>
        <v/>
      </c>
      <c r="AA527" s="9">
        <f>(U527*0.4)+(W527*0.3)+(IF(Z527="Critical",10,IF(Z527="High",7,IF(Z527="Medium",4,1)))*0.2)+(IF(Y527="YES",10,0)*0.1)</f>
        <v/>
      </c>
      <c r="AB527" s="9">
        <f>IF(G527="YES",2.0,0)+IF(H527="YES",2.0,0)</f>
        <v/>
      </c>
      <c r="AC527" s="9" t="n">
        <v>0</v>
      </c>
      <c r="AD527" s="9">
        <f>K527+AB527+AC527</f>
        <v/>
      </c>
      <c r="AE527" s="9">
        <f>(AD527*0.6)+(AA527*0.4)</f>
        <v/>
      </c>
      <c r="AF527">
        <f>IF(AE527&gt;=9,"Critical",IF(AE527&gt;=7,"High",IF(AE527&gt;=4,"Medium","Low")))</f>
        <v/>
      </c>
    </row>
    <row r="528">
      <c r="F528" t="n">
        <v>1</v>
      </c>
      <c r="I528">
        <f>IF(D528="","",TODAY()-D528)</f>
        <v/>
      </c>
      <c r="K528">
        <f>IF(J528="v4.0",L528,IF(J528="v3.1",M528,IF(J528="Both",L528,IF(AND(L528&lt;&gt;"",M528=""),L528,M528))))</f>
        <v/>
      </c>
      <c r="U528">
        <f>IF(T528="Tier 1",10,IF(T528="Tier 2",7,IF(T528="Tier 3",4,IF(T528="Tier 4",1,0))))</f>
        <v/>
      </c>
      <c r="W528">
        <f>IF(V528="Restricted",10,IF(V528="Confidential",7,IF(V528="Internal",4,IF(V528="Public",1,0))))</f>
        <v/>
      </c>
      <c r="AA528" s="9">
        <f>(U528*0.4)+(W528*0.3)+(IF(Z528="Critical",10,IF(Z528="High",7,IF(Z528="Medium",4,1)))*0.2)+(IF(Y528="YES",10,0)*0.1)</f>
        <v/>
      </c>
      <c r="AB528" s="9">
        <f>IF(G528="YES",2.0,0)+IF(H528="YES",2.0,0)</f>
        <v/>
      </c>
      <c r="AC528" s="9" t="n">
        <v>0</v>
      </c>
      <c r="AD528" s="9">
        <f>K528+AB528+AC528</f>
        <v/>
      </c>
      <c r="AE528" s="9">
        <f>(AD528*0.6)+(AA528*0.4)</f>
        <v/>
      </c>
      <c r="AF528">
        <f>IF(AE528&gt;=9,"Critical",IF(AE528&gt;=7,"High",IF(AE528&gt;=4,"Medium","Low")))</f>
        <v/>
      </c>
    </row>
    <row r="529">
      <c r="F529" t="n">
        <v>1</v>
      </c>
      <c r="I529">
        <f>IF(D529="","",TODAY()-D529)</f>
        <v/>
      </c>
      <c r="K529">
        <f>IF(J529="v4.0",L529,IF(J529="v3.1",M529,IF(J529="Both",L529,IF(AND(L529&lt;&gt;"",M529=""),L529,M529))))</f>
        <v/>
      </c>
      <c r="U529">
        <f>IF(T529="Tier 1",10,IF(T529="Tier 2",7,IF(T529="Tier 3",4,IF(T529="Tier 4",1,0))))</f>
        <v/>
      </c>
      <c r="W529">
        <f>IF(V529="Restricted",10,IF(V529="Confidential",7,IF(V529="Internal",4,IF(V529="Public",1,0))))</f>
        <v/>
      </c>
      <c r="AA529" s="9">
        <f>(U529*0.4)+(W529*0.3)+(IF(Z529="Critical",10,IF(Z529="High",7,IF(Z529="Medium",4,1)))*0.2)+(IF(Y529="YES",10,0)*0.1)</f>
        <v/>
      </c>
      <c r="AB529" s="9">
        <f>IF(G529="YES",2.0,0)+IF(H529="YES",2.0,0)</f>
        <v/>
      </c>
      <c r="AC529" s="9" t="n">
        <v>0</v>
      </c>
      <c r="AD529" s="9">
        <f>K529+AB529+AC529</f>
        <v/>
      </c>
      <c r="AE529" s="9">
        <f>(AD529*0.6)+(AA529*0.4)</f>
        <v/>
      </c>
      <c r="AF529">
        <f>IF(AE529&gt;=9,"Critical",IF(AE529&gt;=7,"High",IF(AE529&gt;=4,"Medium","Low")))</f>
        <v/>
      </c>
    </row>
    <row r="530">
      <c r="F530" t="n">
        <v>1</v>
      </c>
      <c r="I530">
        <f>IF(D530="","",TODAY()-D530)</f>
        <v/>
      </c>
      <c r="K530">
        <f>IF(J530="v4.0",L530,IF(J530="v3.1",M530,IF(J530="Both",L530,IF(AND(L530&lt;&gt;"",M530=""),L530,M530))))</f>
        <v/>
      </c>
      <c r="U530">
        <f>IF(T530="Tier 1",10,IF(T530="Tier 2",7,IF(T530="Tier 3",4,IF(T530="Tier 4",1,0))))</f>
        <v/>
      </c>
      <c r="W530">
        <f>IF(V530="Restricted",10,IF(V530="Confidential",7,IF(V530="Internal",4,IF(V530="Public",1,0))))</f>
        <v/>
      </c>
      <c r="AA530" s="9">
        <f>(U530*0.4)+(W530*0.3)+(IF(Z530="Critical",10,IF(Z530="High",7,IF(Z530="Medium",4,1)))*0.2)+(IF(Y530="YES",10,0)*0.1)</f>
        <v/>
      </c>
      <c r="AB530" s="9">
        <f>IF(G530="YES",2.0,0)+IF(H530="YES",2.0,0)</f>
        <v/>
      </c>
      <c r="AC530" s="9" t="n">
        <v>0</v>
      </c>
      <c r="AD530" s="9">
        <f>K530+AB530+AC530</f>
        <v/>
      </c>
      <c r="AE530" s="9">
        <f>(AD530*0.6)+(AA530*0.4)</f>
        <v/>
      </c>
      <c r="AF530">
        <f>IF(AE530&gt;=9,"Critical",IF(AE530&gt;=7,"High",IF(AE530&gt;=4,"Medium","Low")))</f>
        <v/>
      </c>
    </row>
    <row r="531">
      <c r="F531" t="n">
        <v>1</v>
      </c>
      <c r="I531">
        <f>IF(D531="","",TODAY()-D531)</f>
        <v/>
      </c>
      <c r="K531">
        <f>IF(J531="v4.0",L531,IF(J531="v3.1",M531,IF(J531="Both",L531,IF(AND(L531&lt;&gt;"",M531=""),L531,M531))))</f>
        <v/>
      </c>
      <c r="U531">
        <f>IF(T531="Tier 1",10,IF(T531="Tier 2",7,IF(T531="Tier 3",4,IF(T531="Tier 4",1,0))))</f>
        <v/>
      </c>
      <c r="W531">
        <f>IF(V531="Restricted",10,IF(V531="Confidential",7,IF(V531="Internal",4,IF(V531="Public",1,0))))</f>
        <v/>
      </c>
      <c r="AA531" s="9">
        <f>(U531*0.4)+(W531*0.3)+(IF(Z531="Critical",10,IF(Z531="High",7,IF(Z531="Medium",4,1)))*0.2)+(IF(Y531="YES",10,0)*0.1)</f>
        <v/>
      </c>
      <c r="AB531" s="9">
        <f>IF(G531="YES",2.0,0)+IF(H531="YES",2.0,0)</f>
        <v/>
      </c>
      <c r="AC531" s="9" t="n">
        <v>0</v>
      </c>
      <c r="AD531" s="9">
        <f>K531+AB531+AC531</f>
        <v/>
      </c>
      <c r="AE531" s="9">
        <f>(AD531*0.6)+(AA531*0.4)</f>
        <v/>
      </c>
      <c r="AF531">
        <f>IF(AE531&gt;=9,"Critical",IF(AE531&gt;=7,"High",IF(AE531&gt;=4,"Medium","Low")))</f>
        <v/>
      </c>
    </row>
    <row r="532">
      <c r="F532" t="n">
        <v>1</v>
      </c>
      <c r="I532">
        <f>IF(D532="","",TODAY()-D532)</f>
        <v/>
      </c>
      <c r="K532">
        <f>IF(J532="v4.0",L532,IF(J532="v3.1",M532,IF(J532="Both",L532,IF(AND(L532&lt;&gt;"",M532=""),L532,M532))))</f>
        <v/>
      </c>
      <c r="U532">
        <f>IF(T532="Tier 1",10,IF(T532="Tier 2",7,IF(T532="Tier 3",4,IF(T532="Tier 4",1,0))))</f>
        <v/>
      </c>
      <c r="W532">
        <f>IF(V532="Restricted",10,IF(V532="Confidential",7,IF(V532="Internal",4,IF(V532="Public",1,0))))</f>
        <v/>
      </c>
      <c r="AA532" s="9">
        <f>(U532*0.4)+(W532*0.3)+(IF(Z532="Critical",10,IF(Z532="High",7,IF(Z532="Medium",4,1)))*0.2)+(IF(Y532="YES",10,0)*0.1)</f>
        <v/>
      </c>
      <c r="AB532" s="9">
        <f>IF(G532="YES",2.0,0)+IF(H532="YES",2.0,0)</f>
        <v/>
      </c>
      <c r="AC532" s="9" t="n">
        <v>0</v>
      </c>
      <c r="AD532" s="9">
        <f>K532+AB532+AC532</f>
        <v/>
      </c>
      <c r="AE532" s="9">
        <f>(AD532*0.6)+(AA532*0.4)</f>
        <v/>
      </c>
      <c r="AF532">
        <f>IF(AE532&gt;=9,"Critical",IF(AE532&gt;=7,"High",IF(AE532&gt;=4,"Medium","Low")))</f>
        <v/>
      </c>
    </row>
    <row r="533">
      <c r="F533" t="n">
        <v>1</v>
      </c>
      <c r="I533">
        <f>IF(D533="","",TODAY()-D533)</f>
        <v/>
      </c>
      <c r="K533">
        <f>IF(J533="v4.0",L533,IF(J533="v3.1",M533,IF(J533="Both",L533,IF(AND(L533&lt;&gt;"",M533=""),L533,M533))))</f>
        <v/>
      </c>
      <c r="U533">
        <f>IF(T533="Tier 1",10,IF(T533="Tier 2",7,IF(T533="Tier 3",4,IF(T533="Tier 4",1,0))))</f>
        <v/>
      </c>
      <c r="W533">
        <f>IF(V533="Restricted",10,IF(V533="Confidential",7,IF(V533="Internal",4,IF(V533="Public",1,0))))</f>
        <v/>
      </c>
      <c r="AA533" s="9">
        <f>(U533*0.4)+(W533*0.3)+(IF(Z533="Critical",10,IF(Z533="High",7,IF(Z533="Medium",4,1)))*0.2)+(IF(Y533="YES",10,0)*0.1)</f>
        <v/>
      </c>
      <c r="AB533" s="9">
        <f>IF(G533="YES",2.0,0)+IF(H533="YES",2.0,0)</f>
        <v/>
      </c>
      <c r="AC533" s="9" t="n">
        <v>0</v>
      </c>
      <c r="AD533" s="9">
        <f>K533+AB533+AC533</f>
        <v/>
      </c>
      <c r="AE533" s="9">
        <f>(AD533*0.6)+(AA533*0.4)</f>
        <v/>
      </c>
      <c r="AF533">
        <f>IF(AE533&gt;=9,"Critical",IF(AE533&gt;=7,"High",IF(AE533&gt;=4,"Medium","Low")))</f>
        <v/>
      </c>
    </row>
    <row r="534">
      <c r="F534" t="n">
        <v>1</v>
      </c>
      <c r="I534">
        <f>IF(D534="","",TODAY()-D534)</f>
        <v/>
      </c>
      <c r="K534">
        <f>IF(J534="v4.0",L534,IF(J534="v3.1",M534,IF(J534="Both",L534,IF(AND(L534&lt;&gt;"",M534=""),L534,M534))))</f>
        <v/>
      </c>
      <c r="U534">
        <f>IF(T534="Tier 1",10,IF(T534="Tier 2",7,IF(T534="Tier 3",4,IF(T534="Tier 4",1,0))))</f>
        <v/>
      </c>
      <c r="W534">
        <f>IF(V534="Restricted",10,IF(V534="Confidential",7,IF(V534="Internal",4,IF(V534="Public",1,0))))</f>
        <v/>
      </c>
      <c r="AA534" s="9">
        <f>(U534*0.4)+(W534*0.3)+(IF(Z534="Critical",10,IF(Z534="High",7,IF(Z534="Medium",4,1)))*0.2)+(IF(Y534="YES",10,0)*0.1)</f>
        <v/>
      </c>
      <c r="AB534" s="9">
        <f>IF(G534="YES",2.0,0)+IF(H534="YES",2.0,0)</f>
        <v/>
      </c>
      <c r="AC534" s="9" t="n">
        <v>0</v>
      </c>
      <c r="AD534" s="9">
        <f>K534+AB534+AC534</f>
        <v/>
      </c>
      <c r="AE534" s="9">
        <f>(AD534*0.6)+(AA534*0.4)</f>
        <v/>
      </c>
      <c r="AF534">
        <f>IF(AE534&gt;=9,"Critical",IF(AE534&gt;=7,"High",IF(AE534&gt;=4,"Medium","Low")))</f>
        <v/>
      </c>
    </row>
    <row r="535">
      <c r="F535" t="n">
        <v>1</v>
      </c>
      <c r="I535">
        <f>IF(D535="","",TODAY()-D535)</f>
        <v/>
      </c>
      <c r="K535">
        <f>IF(J535="v4.0",L535,IF(J535="v3.1",M535,IF(J535="Both",L535,IF(AND(L535&lt;&gt;"",M535=""),L535,M535))))</f>
        <v/>
      </c>
      <c r="U535">
        <f>IF(T535="Tier 1",10,IF(T535="Tier 2",7,IF(T535="Tier 3",4,IF(T535="Tier 4",1,0))))</f>
        <v/>
      </c>
      <c r="W535">
        <f>IF(V535="Restricted",10,IF(V535="Confidential",7,IF(V535="Internal",4,IF(V535="Public",1,0))))</f>
        <v/>
      </c>
      <c r="AA535" s="9">
        <f>(U535*0.4)+(W535*0.3)+(IF(Z535="Critical",10,IF(Z535="High",7,IF(Z535="Medium",4,1)))*0.2)+(IF(Y535="YES",10,0)*0.1)</f>
        <v/>
      </c>
      <c r="AB535" s="9">
        <f>IF(G535="YES",2.0,0)+IF(H535="YES",2.0,0)</f>
        <v/>
      </c>
      <c r="AC535" s="9" t="n">
        <v>0</v>
      </c>
      <c r="AD535" s="9">
        <f>K535+AB535+AC535</f>
        <v/>
      </c>
      <c r="AE535" s="9">
        <f>(AD535*0.6)+(AA535*0.4)</f>
        <v/>
      </c>
      <c r="AF535">
        <f>IF(AE535&gt;=9,"Critical",IF(AE535&gt;=7,"High",IF(AE535&gt;=4,"Medium","Low")))</f>
        <v/>
      </c>
    </row>
    <row r="536">
      <c r="F536" t="n">
        <v>1</v>
      </c>
      <c r="I536">
        <f>IF(D536="","",TODAY()-D536)</f>
        <v/>
      </c>
      <c r="K536">
        <f>IF(J536="v4.0",L536,IF(J536="v3.1",M536,IF(J536="Both",L536,IF(AND(L536&lt;&gt;"",M536=""),L536,M536))))</f>
        <v/>
      </c>
      <c r="U536">
        <f>IF(T536="Tier 1",10,IF(T536="Tier 2",7,IF(T536="Tier 3",4,IF(T536="Tier 4",1,0))))</f>
        <v/>
      </c>
      <c r="W536">
        <f>IF(V536="Restricted",10,IF(V536="Confidential",7,IF(V536="Internal",4,IF(V536="Public",1,0))))</f>
        <v/>
      </c>
      <c r="AA536" s="9">
        <f>(U536*0.4)+(W536*0.3)+(IF(Z536="Critical",10,IF(Z536="High",7,IF(Z536="Medium",4,1)))*0.2)+(IF(Y536="YES",10,0)*0.1)</f>
        <v/>
      </c>
      <c r="AB536" s="9">
        <f>IF(G536="YES",2.0,0)+IF(H536="YES",2.0,0)</f>
        <v/>
      </c>
      <c r="AC536" s="9" t="n">
        <v>0</v>
      </c>
      <c r="AD536" s="9">
        <f>K536+AB536+AC536</f>
        <v/>
      </c>
      <c r="AE536" s="9">
        <f>(AD536*0.6)+(AA536*0.4)</f>
        <v/>
      </c>
      <c r="AF536">
        <f>IF(AE536&gt;=9,"Critical",IF(AE536&gt;=7,"High",IF(AE536&gt;=4,"Medium","Low")))</f>
        <v/>
      </c>
    </row>
    <row r="537">
      <c r="F537" t="n">
        <v>1</v>
      </c>
      <c r="I537">
        <f>IF(D537="","",TODAY()-D537)</f>
        <v/>
      </c>
      <c r="K537">
        <f>IF(J537="v4.0",L537,IF(J537="v3.1",M537,IF(J537="Both",L537,IF(AND(L537&lt;&gt;"",M537=""),L537,M537))))</f>
        <v/>
      </c>
      <c r="U537">
        <f>IF(T537="Tier 1",10,IF(T537="Tier 2",7,IF(T537="Tier 3",4,IF(T537="Tier 4",1,0))))</f>
        <v/>
      </c>
      <c r="W537">
        <f>IF(V537="Restricted",10,IF(V537="Confidential",7,IF(V537="Internal",4,IF(V537="Public",1,0))))</f>
        <v/>
      </c>
      <c r="AA537" s="9">
        <f>(U537*0.4)+(W537*0.3)+(IF(Z537="Critical",10,IF(Z537="High",7,IF(Z537="Medium",4,1)))*0.2)+(IF(Y537="YES",10,0)*0.1)</f>
        <v/>
      </c>
      <c r="AB537" s="9">
        <f>IF(G537="YES",2.0,0)+IF(H537="YES",2.0,0)</f>
        <v/>
      </c>
      <c r="AC537" s="9" t="n">
        <v>0</v>
      </c>
      <c r="AD537" s="9">
        <f>K537+AB537+AC537</f>
        <v/>
      </c>
      <c r="AE537" s="9">
        <f>(AD537*0.6)+(AA537*0.4)</f>
        <v/>
      </c>
      <c r="AF537">
        <f>IF(AE537&gt;=9,"Critical",IF(AE537&gt;=7,"High",IF(AE537&gt;=4,"Medium","Low")))</f>
        <v/>
      </c>
    </row>
    <row r="538">
      <c r="F538" t="n">
        <v>1</v>
      </c>
      <c r="I538">
        <f>IF(D538="","",TODAY()-D538)</f>
        <v/>
      </c>
      <c r="K538">
        <f>IF(J538="v4.0",L538,IF(J538="v3.1",M538,IF(J538="Both",L538,IF(AND(L538&lt;&gt;"",M538=""),L538,M538))))</f>
        <v/>
      </c>
      <c r="U538">
        <f>IF(T538="Tier 1",10,IF(T538="Tier 2",7,IF(T538="Tier 3",4,IF(T538="Tier 4",1,0))))</f>
        <v/>
      </c>
      <c r="W538">
        <f>IF(V538="Restricted",10,IF(V538="Confidential",7,IF(V538="Internal",4,IF(V538="Public",1,0))))</f>
        <v/>
      </c>
      <c r="AA538" s="9">
        <f>(U538*0.4)+(W538*0.3)+(IF(Z538="Critical",10,IF(Z538="High",7,IF(Z538="Medium",4,1)))*0.2)+(IF(Y538="YES",10,0)*0.1)</f>
        <v/>
      </c>
      <c r="AB538" s="9">
        <f>IF(G538="YES",2.0,0)+IF(H538="YES",2.0,0)</f>
        <v/>
      </c>
      <c r="AC538" s="9" t="n">
        <v>0</v>
      </c>
      <c r="AD538" s="9">
        <f>K538+AB538+AC538</f>
        <v/>
      </c>
      <c r="AE538" s="9">
        <f>(AD538*0.6)+(AA538*0.4)</f>
        <v/>
      </c>
      <c r="AF538">
        <f>IF(AE538&gt;=9,"Critical",IF(AE538&gt;=7,"High",IF(AE538&gt;=4,"Medium","Low")))</f>
        <v/>
      </c>
    </row>
    <row r="539">
      <c r="F539" t="n">
        <v>1</v>
      </c>
      <c r="I539">
        <f>IF(D539="","",TODAY()-D539)</f>
        <v/>
      </c>
      <c r="K539">
        <f>IF(J539="v4.0",L539,IF(J539="v3.1",M539,IF(J539="Both",L539,IF(AND(L539&lt;&gt;"",M539=""),L539,M539))))</f>
        <v/>
      </c>
      <c r="U539">
        <f>IF(T539="Tier 1",10,IF(T539="Tier 2",7,IF(T539="Tier 3",4,IF(T539="Tier 4",1,0))))</f>
        <v/>
      </c>
      <c r="W539">
        <f>IF(V539="Restricted",10,IF(V539="Confidential",7,IF(V539="Internal",4,IF(V539="Public",1,0))))</f>
        <v/>
      </c>
      <c r="AA539" s="9">
        <f>(U539*0.4)+(W539*0.3)+(IF(Z539="Critical",10,IF(Z539="High",7,IF(Z539="Medium",4,1)))*0.2)+(IF(Y539="YES",10,0)*0.1)</f>
        <v/>
      </c>
      <c r="AB539" s="9">
        <f>IF(G539="YES",2.0,0)+IF(H539="YES",2.0,0)</f>
        <v/>
      </c>
      <c r="AC539" s="9" t="n">
        <v>0</v>
      </c>
      <c r="AD539" s="9">
        <f>K539+AB539+AC539</f>
        <v/>
      </c>
      <c r="AE539" s="9">
        <f>(AD539*0.6)+(AA539*0.4)</f>
        <v/>
      </c>
      <c r="AF539">
        <f>IF(AE539&gt;=9,"Critical",IF(AE539&gt;=7,"High",IF(AE539&gt;=4,"Medium","Low")))</f>
        <v/>
      </c>
    </row>
    <row r="540">
      <c r="F540" t="n">
        <v>1</v>
      </c>
      <c r="I540">
        <f>IF(D540="","",TODAY()-D540)</f>
        <v/>
      </c>
      <c r="K540">
        <f>IF(J540="v4.0",L540,IF(J540="v3.1",M540,IF(J540="Both",L540,IF(AND(L540&lt;&gt;"",M540=""),L540,M540))))</f>
        <v/>
      </c>
      <c r="U540">
        <f>IF(T540="Tier 1",10,IF(T540="Tier 2",7,IF(T540="Tier 3",4,IF(T540="Tier 4",1,0))))</f>
        <v/>
      </c>
      <c r="W540">
        <f>IF(V540="Restricted",10,IF(V540="Confidential",7,IF(V540="Internal",4,IF(V540="Public",1,0))))</f>
        <v/>
      </c>
      <c r="AA540" s="9">
        <f>(U540*0.4)+(W540*0.3)+(IF(Z540="Critical",10,IF(Z540="High",7,IF(Z540="Medium",4,1)))*0.2)+(IF(Y540="YES",10,0)*0.1)</f>
        <v/>
      </c>
      <c r="AB540" s="9">
        <f>IF(G540="YES",2.0,0)+IF(H540="YES",2.0,0)</f>
        <v/>
      </c>
      <c r="AC540" s="9" t="n">
        <v>0</v>
      </c>
      <c r="AD540" s="9">
        <f>K540+AB540+AC540</f>
        <v/>
      </c>
      <c r="AE540" s="9">
        <f>(AD540*0.6)+(AA540*0.4)</f>
        <v/>
      </c>
      <c r="AF540">
        <f>IF(AE540&gt;=9,"Critical",IF(AE540&gt;=7,"High",IF(AE540&gt;=4,"Medium","Low")))</f>
        <v/>
      </c>
    </row>
    <row r="541">
      <c r="F541" t="n">
        <v>1</v>
      </c>
      <c r="I541">
        <f>IF(D541="","",TODAY()-D541)</f>
        <v/>
      </c>
      <c r="K541">
        <f>IF(J541="v4.0",L541,IF(J541="v3.1",M541,IF(J541="Both",L541,IF(AND(L541&lt;&gt;"",M541=""),L541,M541))))</f>
        <v/>
      </c>
      <c r="U541">
        <f>IF(T541="Tier 1",10,IF(T541="Tier 2",7,IF(T541="Tier 3",4,IF(T541="Tier 4",1,0))))</f>
        <v/>
      </c>
      <c r="W541">
        <f>IF(V541="Restricted",10,IF(V541="Confidential",7,IF(V541="Internal",4,IF(V541="Public",1,0))))</f>
        <v/>
      </c>
      <c r="AA541" s="9">
        <f>(U541*0.4)+(W541*0.3)+(IF(Z541="Critical",10,IF(Z541="High",7,IF(Z541="Medium",4,1)))*0.2)+(IF(Y541="YES",10,0)*0.1)</f>
        <v/>
      </c>
      <c r="AB541" s="9">
        <f>IF(G541="YES",2.0,0)+IF(H541="YES",2.0,0)</f>
        <v/>
      </c>
      <c r="AC541" s="9" t="n">
        <v>0</v>
      </c>
      <c r="AD541" s="9">
        <f>K541+AB541+AC541</f>
        <v/>
      </c>
      <c r="AE541" s="9">
        <f>(AD541*0.6)+(AA541*0.4)</f>
        <v/>
      </c>
      <c r="AF541">
        <f>IF(AE541&gt;=9,"Critical",IF(AE541&gt;=7,"High",IF(AE541&gt;=4,"Medium","Low")))</f>
        <v/>
      </c>
    </row>
    <row r="542">
      <c r="F542" t="n">
        <v>1</v>
      </c>
      <c r="I542">
        <f>IF(D542="","",TODAY()-D542)</f>
        <v/>
      </c>
      <c r="K542">
        <f>IF(J542="v4.0",L542,IF(J542="v3.1",M542,IF(J542="Both",L542,IF(AND(L542&lt;&gt;"",M542=""),L542,M542))))</f>
        <v/>
      </c>
      <c r="U542">
        <f>IF(T542="Tier 1",10,IF(T542="Tier 2",7,IF(T542="Tier 3",4,IF(T542="Tier 4",1,0))))</f>
        <v/>
      </c>
      <c r="W542">
        <f>IF(V542="Restricted",10,IF(V542="Confidential",7,IF(V542="Internal",4,IF(V542="Public",1,0))))</f>
        <v/>
      </c>
      <c r="AA542" s="9">
        <f>(U542*0.4)+(W542*0.3)+(IF(Z542="Critical",10,IF(Z542="High",7,IF(Z542="Medium",4,1)))*0.2)+(IF(Y542="YES",10,0)*0.1)</f>
        <v/>
      </c>
      <c r="AB542" s="9">
        <f>IF(G542="YES",2.0,0)+IF(H542="YES",2.0,0)</f>
        <v/>
      </c>
      <c r="AC542" s="9" t="n">
        <v>0</v>
      </c>
      <c r="AD542" s="9">
        <f>K542+AB542+AC542</f>
        <v/>
      </c>
      <c r="AE542" s="9">
        <f>(AD542*0.6)+(AA542*0.4)</f>
        <v/>
      </c>
      <c r="AF542">
        <f>IF(AE542&gt;=9,"Critical",IF(AE542&gt;=7,"High",IF(AE542&gt;=4,"Medium","Low")))</f>
        <v/>
      </c>
    </row>
    <row r="543">
      <c r="F543" t="n">
        <v>1</v>
      </c>
      <c r="I543">
        <f>IF(D543="","",TODAY()-D543)</f>
        <v/>
      </c>
      <c r="K543">
        <f>IF(J543="v4.0",L543,IF(J543="v3.1",M543,IF(J543="Both",L543,IF(AND(L543&lt;&gt;"",M543=""),L543,M543))))</f>
        <v/>
      </c>
      <c r="U543">
        <f>IF(T543="Tier 1",10,IF(T543="Tier 2",7,IF(T543="Tier 3",4,IF(T543="Tier 4",1,0))))</f>
        <v/>
      </c>
      <c r="W543">
        <f>IF(V543="Restricted",10,IF(V543="Confidential",7,IF(V543="Internal",4,IF(V543="Public",1,0))))</f>
        <v/>
      </c>
      <c r="AA543" s="9">
        <f>(U543*0.4)+(W543*0.3)+(IF(Z543="Critical",10,IF(Z543="High",7,IF(Z543="Medium",4,1)))*0.2)+(IF(Y543="YES",10,0)*0.1)</f>
        <v/>
      </c>
      <c r="AB543" s="9">
        <f>IF(G543="YES",2.0,0)+IF(H543="YES",2.0,0)</f>
        <v/>
      </c>
      <c r="AC543" s="9" t="n">
        <v>0</v>
      </c>
      <c r="AD543" s="9">
        <f>K543+AB543+AC543</f>
        <v/>
      </c>
      <c r="AE543" s="9">
        <f>(AD543*0.6)+(AA543*0.4)</f>
        <v/>
      </c>
      <c r="AF543">
        <f>IF(AE543&gt;=9,"Critical",IF(AE543&gt;=7,"High",IF(AE543&gt;=4,"Medium","Low")))</f>
        <v/>
      </c>
    </row>
    <row r="544">
      <c r="F544" t="n">
        <v>1</v>
      </c>
      <c r="I544">
        <f>IF(D544="","",TODAY()-D544)</f>
        <v/>
      </c>
      <c r="K544">
        <f>IF(J544="v4.0",L544,IF(J544="v3.1",M544,IF(J544="Both",L544,IF(AND(L544&lt;&gt;"",M544=""),L544,M544))))</f>
        <v/>
      </c>
      <c r="U544">
        <f>IF(T544="Tier 1",10,IF(T544="Tier 2",7,IF(T544="Tier 3",4,IF(T544="Tier 4",1,0))))</f>
        <v/>
      </c>
      <c r="W544">
        <f>IF(V544="Restricted",10,IF(V544="Confidential",7,IF(V544="Internal",4,IF(V544="Public",1,0))))</f>
        <v/>
      </c>
      <c r="AA544" s="9">
        <f>(U544*0.4)+(W544*0.3)+(IF(Z544="Critical",10,IF(Z544="High",7,IF(Z544="Medium",4,1)))*0.2)+(IF(Y544="YES",10,0)*0.1)</f>
        <v/>
      </c>
      <c r="AB544" s="9">
        <f>IF(G544="YES",2.0,0)+IF(H544="YES",2.0,0)</f>
        <v/>
      </c>
      <c r="AC544" s="9" t="n">
        <v>0</v>
      </c>
      <c r="AD544" s="9">
        <f>K544+AB544+AC544</f>
        <v/>
      </c>
      <c r="AE544" s="9">
        <f>(AD544*0.6)+(AA544*0.4)</f>
        <v/>
      </c>
      <c r="AF544">
        <f>IF(AE544&gt;=9,"Critical",IF(AE544&gt;=7,"High",IF(AE544&gt;=4,"Medium","Low")))</f>
        <v/>
      </c>
    </row>
    <row r="545">
      <c r="F545" t="n">
        <v>1</v>
      </c>
      <c r="I545">
        <f>IF(D545="","",TODAY()-D545)</f>
        <v/>
      </c>
      <c r="K545">
        <f>IF(J545="v4.0",L545,IF(J545="v3.1",M545,IF(J545="Both",L545,IF(AND(L545&lt;&gt;"",M545=""),L545,M545))))</f>
        <v/>
      </c>
      <c r="U545">
        <f>IF(T545="Tier 1",10,IF(T545="Tier 2",7,IF(T545="Tier 3",4,IF(T545="Tier 4",1,0))))</f>
        <v/>
      </c>
      <c r="W545">
        <f>IF(V545="Restricted",10,IF(V545="Confidential",7,IF(V545="Internal",4,IF(V545="Public",1,0))))</f>
        <v/>
      </c>
      <c r="AA545" s="9">
        <f>(U545*0.4)+(W545*0.3)+(IF(Z545="Critical",10,IF(Z545="High",7,IF(Z545="Medium",4,1)))*0.2)+(IF(Y545="YES",10,0)*0.1)</f>
        <v/>
      </c>
      <c r="AB545" s="9">
        <f>IF(G545="YES",2.0,0)+IF(H545="YES",2.0,0)</f>
        <v/>
      </c>
      <c r="AC545" s="9" t="n">
        <v>0</v>
      </c>
      <c r="AD545" s="9">
        <f>K545+AB545+AC545</f>
        <v/>
      </c>
      <c r="AE545" s="9">
        <f>(AD545*0.6)+(AA545*0.4)</f>
        <v/>
      </c>
      <c r="AF545">
        <f>IF(AE545&gt;=9,"Critical",IF(AE545&gt;=7,"High",IF(AE545&gt;=4,"Medium","Low")))</f>
        <v/>
      </c>
    </row>
    <row r="546">
      <c r="F546" t="n">
        <v>1</v>
      </c>
      <c r="I546">
        <f>IF(D546="","",TODAY()-D546)</f>
        <v/>
      </c>
      <c r="K546">
        <f>IF(J546="v4.0",L546,IF(J546="v3.1",M546,IF(J546="Both",L546,IF(AND(L546&lt;&gt;"",M546=""),L546,M546))))</f>
        <v/>
      </c>
      <c r="U546">
        <f>IF(T546="Tier 1",10,IF(T546="Tier 2",7,IF(T546="Tier 3",4,IF(T546="Tier 4",1,0))))</f>
        <v/>
      </c>
      <c r="W546">
        <f>IF(V546="Restricted",10,IF(V546="Confidential",7,IF(V546="Internal",4,IF(V546="Public",1,0))))</f>
        <v/>
      </c>
      <c r="AA546" s="9">
        <f>(U546*0.4)+(W546*0.3)+(IF(Z546="Critical",10,IF(Z546="High",7,IF(Z546="Medium",4,1)))*0.2)+(IF(Y546="YES",10,0)*0.1)</f>
        <v/>
      </c>
      <c r="AB546" s="9">
        <f>IF(G546="YES",2.0,0)+IF(H546="YES",2.0,0)</f>
        <v/>
      </c>
      <c r="AC546" s="9" t="n">
        <v>0</v>
      </c>
      <c r="AD546" s="9">
        <f>K546+AB546+AC546</f>
        <v/>
      </c>
      <c r="AE546" s="9">
        <f>(AD546*0.6)+(AA546*0.4)</f>
        <v/>
      </c>
      <c r="AF546">
        <f>IF(AE546&gt;=9,"Critical",IF(AE546&gt;=7,"High",IF(AE546&gt;=4,"Medium","Low")))</f>
        <v/>
      </c>
    </row>
    <row r="547">
      <c r="F547" t="n">
        <v>1</v>
      </c>
      <c r="I547">
        <f>IF(D547="","",TODAY()-D547)</f>
        <v/>
      </c>
      <c r="K547">
        <f>IF(J547="v4.0",L547,IF(J547="v3.1",M547,IF(J547="Both",L547,IF(AND(L547&lt;&gt;"",M547=""),L547,M547))))</f>
        <v/>
      </c>
      <c r="U547">
        <f>IF(T547="Tier 1",10,IF(T547="Tier 2",7,IF(T547="Tier 3",4,IF(T547="Tier 4",1,0))))</f>
        <v/>
      </c>
      <c r="W547">
        <f>IF(V547="Restricted",10,IF(V547="Confidential",7,IF(V547="Internal",4,IF(V547="Public",1,0))))</f>
        <v/>
      </c>
      <c r="AA547" s="9">
        <f>(U547*0.4)+(W547*0.3)+(IF(Z547="Critical",10,IF(Z547="High",7,IF(Z547="Medium",4,1)))*0.2)+(IF(Y547="YES",10,0)*0.1)</f>
        <v/>
      </c>
      <c r="AB547" s="9">
        <f>IF(G547="YES",2.0,0)+IF(H547="YES",2.0,0)</f>
        <v/>
      </c>
      <c r="AC547" s="9" t="n">
        <v>0</v>
      </c>
      <c r="AD547" s="9">
        <f>K547+AB547+AC547</f>
        <v/>
      </c>
      <c r="AE547" s="9">
        <f>(AD547*0.6)+(AA547*0.4)</f>
        <v/>
      </c>
      <c r="AF547">
        <f>IF(AE547&gt;=9,"Critical",IF(AE547&gt;=7,"High",IF(AE547&gt;=4,"Medium","Low")))</f>
        <v/>
      </c>
    </row>
    <row r="548">
      <c r="F548" t="n">
        <v>1</v>
      </c>
      <c r="I548">
        <f>IF(D548="","",TODAY()-D548)</f>
        <v/>
      </c>
      <c r="K548">
        <f>IF(J548="v4.0",L548,IF(J548="v3.1",M548,IF(J548="Both",L548,IF(AND(L548&lt;&gt;"",M548=""),L548,M548))))</f>
        <v/>
      </c>
      <c r="U548">
        <f>IF(T548="Tier 1",10,IF(T548="Tier 2",7,IF(T548="Tier 3",4,IF(T548="Tier 4",1,0))))</f>
        <v/>
      </c>
      <c r="W548">
        <f>IF(V548="Restricted",10,IF(V548="Confidential",7,IF(V548="Internal",4,IF(V548="Public",1,0))))</f>
        <v/>
      </c>
      <c r="AA548" s="9">
        <f>(U548*0.4)+(W548*0.3)+(IF(Z548="Critical",10,IF(Z548="High",7,IF(Z548="Medium",4,1)))*0.2)+(IF(Y548="YES",10,0)*0.1)</f>
        <v/>
      </c>
      <c r="AB548" s="9">
        <f>IF(G548="YES",2.0,0)+IF(H548="YES",2.0,0)</f>
        <v/>
      </c>
      <c r="AC548" s="9" t="n">
        <v>0</v>
      </c>
      <c r="AD548" s="9">
        <f>K548+AB548+AC548</f>
        <v/>
      </c>
      <c r="AE548" s="9">
        <f>(AD548*0.6)+(AA548*0.4)</f>
        <v/>
      </c>
      <c r="AF548">
        <f>IF(AE548&gt;=9,"Critical",IF(AE548&gt;=7,"High",IF(AE548&gt;=4,"Medium","Low")))</f>
        <v/>
      </c>
    </row>
    <row r="549">
      <c r="F549" t="n">
        <v>1</v>
      </c>
      <c r="I549">
        <f>IF(D549="","",TODAY()-D549)</f>
        <v/>
      </c>
      <c r="K549">
        <f>IF(J549="v4.0",L549,IF(J549="v3.1",M549,IF(J549="Both",L549,IF(AND(L549&lt;&gt;"",M549=""),L549,M549))))</f>
        <v/>
      </c>
      <c r="U549">
        <f>IF(T549="Tier 1",10,IF(T549="Tier 2",7,IF(T549="Tier 3",4,IF(T549="Tier 4",1,0))))</f>
        <v/>
      </c>
      <c r="W549">
        <f>IF(V549="Restricted",10,IF(V549="Confidential",7,IF(V549="Internal",4,IF(V549="Public",1,0))))</f>
        <v/>
      </c>
      <c r="AA549" s="9">
        <f>(U549*0.4)+(W549*0.3)+(IF(Z549="Critical",10,IF(Z549="High",7,IF(Z549="Medium",4,1)))*0.2)+(IF(Y549="YES",10,0)*0.1)</f>
        <v/>
      </c>
      <c r="AB549" s="9">
        <f>IF(G549="YES",2.0,0)+IF(H549="YES",2.0,0)</f>
        <v/>
      </c>
      <c r="AC549" s="9" t="n">
        <v>0</v>
      </c>
      <c r="AD549" s="9">
        <f>K549+AB549+AC549</f>
        <v/>
      </c>
      <c r="AE549" s="9">
        <f>(AD549*0.6)+(AA549*0.4)</f>
        <v/>
      </c>
      <c r="AF549">
        <f>IF(AE549&gt;=9,"Critical",IF(AE549&gt;=7,"High",IF(AE549&gt;=4,"Medium","Low")))</f>
        <v/>
      </c>
    </row>
    <row r="550">
      <c r="F550" t="n">
        <v>1</v>
      </c>
      <c r="I550">
        <f>IF(D550="","",TODAY()-D550)</f>
        <v/>
      </c>
      <c r="K550">
        <f>IF(J550="v4.0",L550,IF(J550="v3.1",M550,IF(J550="Both",L550,IF(AND(L550&lt;&gt;"",M550=""),L550,M550))))</f>
        <v/>
      </c>
      <c r="U550">
        <f>IF(T550="Tier 1",10,IF(T550="Tier 2",7,IF(T550="Tier 3",4,IF(T550="Tier 4",1,0))))</f>
        <v/>
      </c>
      <c r="W550">
        <f>IF(V550="Restricted",10,IF(V550="Confidential",7,IF(V550="Internal",4,IF(V550="Public",1,0))))</f>
        <v/>
      </c>
      <c r="AA550" s="9">
        <f>(U550*0.4)+(W550*0.3)+(IF(Z550="Critical",10,IF(Z550="High",7,IF(Z550="Medium",4,1)))*0.2)+(IF(Y550="YES",10,0)*0.1)</f>
        <v/>
      </c>
      <c r="AB550" s="9">
        <f>IF(G550="YES",2.0,0)+IF(H550="YES",2.0,0)</f>
        <v/>
      </c>
      <c r="AC550" s="9" t="n">
        <v>0</v>
      </c>
      <c r="AD550" s="9">
        <f>K550+AB550+AC550</f>
        <v/>
      </c>
      <c r="AE550" s="9">
        <f>(AD550*0.6)+(AA550*0.4)</f>
        <v/>
      </c>
      <c r="AF550">
        <f>IF(AE550&gt;=9,"Critical",IF(AE550&gt;=7,"High",IF(AE550&gt;=4,"Medium","Low")))</f>
        <v/>
      </c>
    </row>
    <row r="551">
      <c r="F551" t="n">
        <v>1</v>
      </c>
      <c r="I551">
        <f>IF(D551="","",TODAY()-D551)</f>
        <v/>
      </c>
      <c r="K551">
        <f>IF(J551="v4.0",L551,IF(J551="v3.1",M551,IF(J551="Both",L551,IF(AND(L551&lt;&gt;"",M551=""),L551,M551))))</f>
        <v/>
      </c>
      <c r="U551">
        <f>IF(T551="Tier 1",10,IF(T551="Tier 2",7,IF(T551="Tier 3",4,IF(T551="Tier 4",1,0))))</f>
        <v/>
      </c>
      <c r="W551">
        <f>IF(V551="Restricted",10,IF(V551="Confidential",7,IF(V551="Internal",4,IF(V551="Public",1,0))))</f>
        <v/>
      </c>
      <c r="AA551" s="9">
        <f>(U551*0.4)+(W551*0.3)+(IF(Z551="Critical",10,IF(Z551="High",7,IF(Z551="Medium",4,1)))*0.2)+(IF(Y551="YES",10,0)*0.1)</f>
        <v/>
      </c>
      <c r="AB551" s="9">
        <f>IF(G551="YES",2.0,0)+IF(H551="YES",2.0,0)</f>
        <v/>
      </c>
      <c r="AC551" s="9" t="n">
        <v>0</v>
      </c>
      <c r="AD551" s="9">
        <f>K551+AB551+AC551</f>
        <v/>
      </c>
      <c r="AE551" s="9">
        <f>(AD551*0.6)+(AA551*0.4)</f>
        <v/>
      </c>
      <c r="AF551">
        <f>IF(AE551&gt;=9,"Critical",IF(AE551&gt;=7,"High",IF(AE551&gt;=4,"Medium","Low")))</f>
        <v/>
      </c>
    </row>
    <row r="552">
      <c r="F552" t="n">
        <v>1</v>
      </c>
      <c r="I552">
        <f>IF(D552="","",TODAY()-D552)</f>
        <v/>
      </c>
      <c r="K552">
        <f>IF(J552="v4.0",L552,IF(J552="v3.1",M552,IF(J552="Both",L552,IF(AND(L552&lt;&gt;"",M552=""),L552,M552))))</f>
        <v/>
      </c>
      <c r="U552">
        <f>IF(T552="Tier 1",10,IF(T552="Tier 2",7,IF(T552="Tier 3",4,IF(T552="Tier 4",1,0))))</f>
        <v/>
      </c>
      <c r="W552">
        <f>IF(V552="Restricted",10,IF(V552="Confidential",7,IF(V552="Internal",4,IF(V552="Public",1,0))))</f>
        <v/>
      </c>
      <c r="AA552" s="9">
        <f>(U552*0.4)+(W552*0.3)+(IF(Z552="Critical",10,IF(Z552="High",7,IF(Z552="Medium",4,1)))*0.2)+(IF(Y552="YES",10,0)*0.1)</f>
        <v/>
      </c>
      <c r="AB552" s="9">
        <f>IF(G552="YES",2.0,0)+IF(H552="YES",2.0,0)</f>
        <v/>
      </c>
      <c r="AC552" s="9" t="n">
        <v>0</v>
      </c>
      <c r="AD552" s="9">
        <f>K552+AB552+AC552</f>
        <v/>
      </c>
      <c r="AE552" s="9">
        <f>(AD552*0.6)+(AA552*0.4)</f>
        <v/>
      </c>
      <c r="AF552">
        <f>IF(AE552&gt;=9,"Critical",IF(AE552&gt;=7,"High",IF(AE552&gt;=4,"Medium","Low")))</f>
        <v/>
      </c>
    </row>
    <row r="553">
      <c r="F553" t="n">
        <v>1</v>
      </c>
      <c r="I553">
        <f>IF(D553="","",TODAY()-D553)</f>
        <v/>
      </c>
      <c r="K553">
        <f>IF(J553="v4.0",L553,IF(J553="v3.1",M553,IF(J553="Both",L553,IF(AND(L553&lt;&gt;"",M553=""),L553,M553))))</f>
        <v/>
      </c>
      <c r="U553">
        <f>IF(T553="Tier 1",10,IF(T553="Tier 2",7,IF(T553="Tier 3",4,IF(T553="Tier 4",1,0))))</f>
        <v/>
      </c>
      <c r="W553">
        <f>IF(V553="Restricted",10,IF(V553="Confidential",7,IF(V553="Internal",4,IF(V553="Public",1,0))))</f>
        <v/>
      </c>
      <c r="AA553" s="9">
        <f>(U553*0.4)+(W553*0.3)+(IF(Z553="Critical",10,IF(Z553="High",7,IF(Z553="Medium",4,1)))*0.2)+(IF(Y553="YES",10,0)*0.1)</f>
        <v/>
      </c>
      <c r="AB553" s="9">
        <f>IF(G553="YES",2.0,0)+IF(H553="YES",2.0,0)</f>
        <v/>
      </c>
      <c r="AC553" s="9" t="n">
        <v>0</v>
      </c>
      <c r="AD553" s="9">
        <f>K553+AB553+AC553</f>
        <v/>
      </c>
      <c r="AE553" s="9">
        <f>(AD553*0.6)+(AA553*0.4)</f>
        <v/>
      </c>
      <c r="AF553">
        <f>IF(AE553&gt;=9,"Critical",IF(AE553&gt;=7,"High",IF(AE553&gt;=4,"Medium","Low")))</f>
        <v/>
      </c>
    </row>
    <row r="554">
      <c r="F554" t="n">
        <v>1</v>
      </c>
      <c r="I554">
        <f>IF(D554="","",TODAY()-D554)</f>
        <v/>
      </c>
      <c r="K554">
        <f>IF(J554="v4.0",L554,IF(J554="v3.1",M554,IF(J554="Both",L554,IF(AND(L554&lt;&gt;"",M554=""),L554,M554))))</f>
        <v/>
      </c>
      <c r="U554">
        <f>IF(T554="Tier 1",10,IF(T554="Tier 2",7,IF(T554="Tier 3",4,IF(T554="Tier 4",1,0))))</f>
        <v/>
      </c>
      <c r="W554">
        <f>IF(V554="Restricted",10,IF(V554="Confidential",7,IF(V554="Internal",4,IF(V554="Public",1,0))))</f>
        <v/>
      </c>
      <c r="AA554" s="9">
        <f>(U554*0.4)+(W554*0.3)+(IF(Z554="Critical",10,IF(Z554="High",7,IF(Z554="Medium",4,1)))*0.2)+(IF(Y554="YES",10,0)*0.1)</f>
        <v/>
      </c>
      <c r="AB554" s="9">
        <f>IF(G554="YES",2.0,0)+IF(H554="YES",2.0,0)</f>
        <v/>
      </c>
      <c r="AC554" s="9" t="n">
        <v>0</v>
      </c>
      <c r="AD554" s="9">
        <f>K554+AB554+AC554</f>
        <v/>
      </c>
      <c r="AE554" s="9">
        <f>(AD554*0.6)+(AA554*0.4)</f>
        <v/>
      </c>
      <c r="AF554">
        <f>IF(AE554&gt;=9,"Critical",IF(AE554&gt;=7,"High",IF(AE554&gt;=4,"Medium","Low")))</f>
        <v/>
      </c>
    </row>
    <row r="555">
      <c r="F555" t="n">
        <v>1</v>
      </c>
      <c r="I555">
        <f>IF(D555="","",TODAY()-D555)</f>
        <v/>
      </c>
      <c r="K555">
        <f>IF(J555="v4.0",L555,IF(J555="v3.1",M555,IF(J555="Both",L555,IF(AND(L555&lt;&gt;"",M555=""),L555,M555))))</f>
        <v/>
      </c>
      <c r="U555">
        <f>IF(T555="Tier 1",10,IF(T555="Tier 2",7,IF(T555="Tier 3",4,IF(T555="Tier 4",1,0))))</f>
        <v/>
      </c>
      <c r="W555">
        <f>IF(V555="Restricted",10,IF(V555="Confidential",7,IF(V555="Internal",4,IF(V555="Public",1,0))))</f>
        <v/>
      </c>
      <c r="AA555" s="9">
        <f>(U555*0.4)+(W555*0.3)+(IF(Z555="Critical",10,IF(Z555="High",7,IF(Z555="Medium",4,1)))*0.2)+(IF(Y555="YES",10,0)*0.1)</f>
        <v/>
      </c>
      <c r="AB555" s="9">
        <f>IF(G555="YES",2.0,0)+IF(H555="YES",2.0,0)</f>
        <v/>
      </c>
      <c r="AC555" s="9" t="n">
        <v>0</v>
      </c>
      <c r="AD555" s="9">
        <f>K555+AB555+AC555</f>
        <v/>
      </c>
      <c r="AE555" s="9">
        <f>(AD555*0.6)+(AA555*0.4)</f>
        <v/>
      </c>
      <c r="AF555">
        <f>IF(AE555&gt;=9,"Critical",IF(AE555&gt;=7,"High",IF(AE555&gt;=4,"Medium","Low")))</f>
        <v/>
      </c>
    </row>
    <row r="556">
      <c r="F556" t="n">
        <v>1</v>
      </c>
      <c r="I556">
        <f>IF(D556="","",TODAY()-D556)</f>
        <v/>
      </c>
      <c r="K556">
        <f>IF(J556="v4.0",L556,IF(J556="v3.1",M556,IF(J556="Both",L556,IF(AND(L556&lt;&gt;"",M556=""),L556,M556))))</f>
        <v/>
      </c>
      <c r="U556">
        <f>IF(T556="Tier 1",10,IF(T556="Tier 2",7,IF(T556="Tier 3",4,IF(T556="Tier 4",1,0))))</f>
        <v/>
      </c>
      <c r="W556">
        <f>IF(V556="Restricted",10,IF(V556="Confidential",7,IF(V556="Internal",4,IF(V556="Public",1,0))))</f>
        <v/>
      </c>
      <c r="AA556" s="9">
        <f>(U556*0.4)+(W556*0.3)+(IF(Z556="Critical",10,IF(Z556="High",7,IF(Z556="Medium",4,1)))*0.2)+(IF(Y556="YES",10,0)*0.1)</f>
        <v/>
      </c>
      <c r="AB556" s="9">
        <f>IF(G556="YES",2.0,0)+IF(H556="YES",2.0,0)</f>
        <v/>
      </c>
      <c r="AC556" s="9" t="n">
        <v>0</v>
      </c>
      <c r="AD556" s="9">
        <f>K556+AB556+AC556</f>
        <v/>
      </c>
      <c r="AE556" s="9">
        <f>(AD556*0.6)+(AA556*0.4)</f>
        <v/>
      </c>
      <c r="AF556">
        <f>IF(AE556&gt;=9,"Critical",IF(AE556&gt;=7,"High",IF(AE556&gt;=4,"Medium","Low")))</f>
        <v/>
      </c>
    </row>
    <row r="557">
      <c r="F557" t="n">
        <v>1</v>
      </c>
      <c r="I557">
        <f>IF(D557="","",TODAY()-D557)</f>
        <v/>
      </c>
      <c r="K557">
        <f>IF(J557="v4.0",L557,IF(J557="v3.1",M557,IF(J557="Both",L557,IF(AND(L557&lt;&gt;"",M557=""),L557,M557))))</f>
        <v/>
      </c>
      <c r="U557">
        <f>IF(T557="Tier 1",10,IF(T557="Tier 2",7,IF(T557="Tier 3",4,IF(T557="Tier 4",1,0))))</f>
        <v/>
      </c>
      <c r="W557">
        <f>IF(V557="Restricted",10,IF(V557="Confidential",7,IF(V557="Internal",4,IF(V557="Public",1,0))))</f>
        <v/>
      </c>
      <c r="AA557" s="9">
        <f>(U557*0.4)+(W557*0.3)+(IF(Z557="Critical",10,IF(Z557="High",7,IF(Z557="Medium",4,1)))*0.2)+(IF(Y557="YES",10,0)*0.1)</f>
        <v/>
      </c>
      <c r="AB557" s="9">
        <f>IF(G557="YES",2.0,0)+IF(H557="YES",2.0,0)</f>
        <v/>
      </c>
      <c r="AC557" s="9" t="n">
        <v>0</v>
      </c>
      <c r="AD557" s="9">
        <f>K557+AB557+AC557</f>
        <v/>
      </c>
      <c r="AE557" s="9">
        <f>(AD557*0.6)+(AA557*0.4)</f>
        <v/>
      </c>
      <c r="AF557">
        <f>IF(AE557&gt;=9,"Critical",IF(AE557&gt;=7,"High",IF(AE557&gt;=4,"Medium","Low")))</f>
        <v/>
      </c>
    </row>
    <row r="558">
      <c r="F558" t="n">
        <v>1</v>
      </c>
      <c r="I558">
        <f>IF(D558="","",TODAY()-D558)</f>
        <v/>
      </c>
      <c r="K558">
        <f>IF(J558="v4.0",L558,IF(J558="v3.1",M558,IF(J558="Both",L558,IF(AND(L558&lt;&gt;"",M558=""),L558,M558))))</f>
        <v/>
      </c>
      <c r="U558">
        <f>IF(T558="Tier 1",10,IF(T558="Tier 2",7,IF(T558="Tier 3",4,IF(T558="Tier 4",1,0))))</f>
        <v/>
      </c>
      <c r="W558">
        <f>IF(V558="Restricted",10,IF(V558="Confidential",7,IF(V558="Internal",4,IF(V558="Public",1,0))))</f>
        <v/>
      </c>
      <c r="AA558" s="9">
        <f>(U558*0.4)+(W558*0.3)+(IF(Z558="Critical",10,IF(Z558="High",7,IF(Z558="Medium",4,1)))*0.2)+(IF(Y558="YES",10,0)*0.1)</f>
        <v/>
      </c>
      <c r="AB558" s="9">
        <f>IF(G558="YES",2.0,0)+IF(H558="YES",2.0,0)</f>
        <v/>
      </c>
      <c r="AC558" s="9" t="n">
        <v>0</v>
      </c>
      <c r="AD558" s="9">
        <f>K558+AB558+AC558</f>
        <v/>
      </c>
      <c r="AE558" s="9">
        <f>(AD558*0.6)+(AA558*0.4)</f>
        <v/>
      </c>
      <c r="AF558">
        <f>IF(AE558&gt;=9,"Critical",IF(AE558&gt;=7,"High",IF(AE558&gt;=4,"Medium","Low")))</f>
        <v/>
      </c>
    </row>
    <row r="559">
      <c r="F559" t="n">
        <v>1</v>
      </c>
      <c r="I559">
        <f>IF(D559="","",TODAY()-D559)</f>
        <v/>
      </c>
      <c r="K559">
        <f>IF(J559="v4.0",L559,IF(J559="v3.1",M559,IF(J559="Both",L559,IF(AND(L559&lt;&gt;"",M559=""),L559,M559))))</f>
        <v/>
      </c>
      <c r="U559">
        <f>IF(T559="Tier 1",10,IF(T559="Tier 2",7,IF(T559="Tier 3",4,IF(T559="Tier 4",1,0))))</f>
        <v/>
      </c>
      <c r="W559">
        <f>IF(V559="Restricted",10,IF(V559="Confidential",7,IF(V559="Internal",4,IF(V559="Public",1,0))))</f>
        <v/>
      </c>
      <c r="AA559" s="9">
        <f>(U559*0.4)+(W559*0.3)+(IF(Z559="Critical",10,IF(Z559="High",7,IF(Z559="Medium",4,1)))*0.2)+(IF(Y559="YES",10,0)*0.1)</f>
        <v/>
      </c>
      <c r="AB559" s="9">
        <f>IF(G559="YES",2.0,0)+IF(H559="YES",2.0,0)</f>
        <v/>
      </c>
      <c r="AC559" s="9" t="n">
        <v>0</v>
      </c>
      <c r="AD559" s="9">
        <f>K559+AB559+AC559</f>
        <v/>
      </c>
      <c r="AE559" s="9">
        <f>(AD559*0.6)+(AA559*0.4)</f>
        <v/>
      </c>
      <c r="AF559">
        <f>IF(AE559&gt;=9,"Critical",IF(AE559&gt;=7,"High",IF(AE559&gt;=4,"Medium","Low")))</f>
        <v/>
      </c>
    </row>
    <row r="560">
      <c r="F560" t="n">
        <v>1</v>
      </c>
      <c r="I560">
        <f>IF(D560="","",TODAY()-D560)</f>
        <v/>
      </c>
      <c r="K560">
        <f>IF(J560="v4.0",L560,IF(J560="v3.1",M560,IF(J560="Both",L560,IF(AND(L560&lt;&gt;"",M560=""),L560,M560))))</f>
        <v/>
      </c>
      <c r="U560">
        <f>IF(T560="Tier 1",10,IF(T560="Tier 2",7,IF(T560="Tier 3",4,IF(T560="Tier 4",1,0))))</f>
        <v/>
      </c>
      <c r="W560">
        <f>IF(V560="Restricted",10,IF(V560="Confidential",7,IF(V560="Internal",4,IF(V560="Public",1,0))))</f>
        <v/>
      </c>
      <c r="AA560" s="9">
        <f>(U560*0.4)+(W560*0.3)+(IF(Z560="Critical",10,IF(Z560="High",7,IF(Z560="Medium",4,1)))*0.2)+(IF(Y560="YES",10,0)*0.1)</f>
        <v/>
      </c>
      <c r="AB560" s="9">
        <f>IF(G560="YES",2.0,0)+IF(H560="YES",2.0,0)</f>
        <v/>
      </c>
      <c r="AC560" s="9" t="n">
        <v>0</v>
      </c>
      <c r="AD560" s="9">
        <f>K560+AB560+AC560</f>
        <v/>
      </c>
      <c r="AE560" s="9">
        <f>(AD560*0.6)+(AA560*0.4)</f>
        <v/>
      </c>
      <c r="AF560">
        <f>IF(AE560&gt;=9,"Critical",IF(AE560&gt;=7,"High",IF(AE560&gt;=4,"Medium","Low")))</f>
        <v/>
      </c>
    </row>
    <row r="561">
      <c r="F561" t="n">
        <v>1</v>
      </c>
      <c r="I561">
        <f>IF(D561="","",TODAY()-D561)</f>
        <v/>
      </c>
      <c r="K561">
        <f>IF(J561="v4.0",L561,IF(J561="v3.1",M561,IF(J561="Both",L561,IF(AND(L561&lt;&gt;"",M561=""),L561,M561))))</f>
        <v/>
      </c>
      <c r="U561">
        <f>IF(T561="Tier 1",10,IF(T561="Tier 2",7,IF(T561="Tier 3",4,IF(T561="Tier 4",1,0))))</f>
        <v/>
      </c>
      <c r="W561">
        <f>IF(V561="Restricted",10,IF(V561="Confidential",7,IF(V561="Internal",4,IF(V561="Public",1,0))))</f>
        <v/>
      </c>
      <c r="AA561" s="9">
        <f>(U561*0.4)+(W561*0.3)+(IF(Z561="Critical",10,IF(Z561="High",7,IF(Z561="Medium",4,1)))*0.2)+(IF(Y561="YES",10,0)*0.1)</f>
        <v/>
      </c>
      <c r="AB561" s="9">
        <f>IF(G561="YES",2.0,0)+IF(H561="YES",2.0,0)</f>
        <v/>
      </c>
      <c r="AC561" s="9" t="n">
        <v>0</v>
      </c>
      <c r="AD561" s="9">
        <f>K561+AB561+AC561</f>
        <v/>
      </c>
      <c r="AE561" s="9">
        <f>(AD561*0.6)+(AA561*0.4)</f>
        <v/>
      </c>
      <c r="AF561">
        <f>IF(AE561&gt;=9,"Critical",IF(AE561&gt;=7,"High",IF(AE561&gt;=4,"Medium","Low")))</f>
        <v/>
      </c>
    </row>
    <row r="562">
      <c r="F562" t="n">
        <v>1</v>
      </c>
      <c r="I562">
        <f>IF(D562="","",TODAY()-D562)</f>
        <v/>
      </c>
      <c r="K562">
        <f>IF(J562="v4.0",L562,IF(J562="v3.1",M562,IF(J562="Both",L562,IF(AND(L562&lt;&gt;"",M562=""),L562,M562))))</f>
        <v/>
      </c>
      <c r="U562">
        <f>IF(T562="Tier 1",10,IF(T562="Tier 2",7,IF(T562="Tier 3",4,IF(T562="Tier 4",1,0))))</f>
        <v/>
      </c>
      <c r="W562">
        <f>IF(V562="Restricted",10,IF(V562="Confidential",7,IF(V562="Internal",4,IF(V562="Public",1,0))))</f>
        <v/>
      </c>
      <c r="AA562" s="9">
        <f>(U562*0.4)+(W562*0.3)+(IF(Z562="Critical",10,IF(Z562="High",7,IF(Z562="Medium",4,1)))*0.2)+(IF(Y562="YES",10,0)*0.1)</f>
        <v/>
      </c>
      <c r="AB562" s="9">
        <f>IF(G562="YES",2.0,0)+IF(H562="YES",2.0,0)</f>
        <v/>
      </c>
      <c r="AC562" s="9" t="n">
        <v>0</v>
      </c>
      <c r="AD562" s="9">
        <f>K562+AB562+AC562</f>
        <v/>
      </c>
      <c r="AE562" s="9">
        <f>(AD562*0.6)+(AA562*0.4)</f>
        <v/>
      </c>
      <c r="AF562">
        <f>IF(AE562&gt;=9,"Critical",IF(AE562&gt;=7,"High",IF(AE562&gt;=4,"Medium","Low")))</f>
        <v/>
      </c>
    </row>
    <row r="563">
      <c r="F563" t="n">
        <v>1</v>
      </c>
      <c r="I563">
        <f>IF(D563="","",TODAY()-D563)</f>
        <v/>
      </c>
      <c r="K563">
        <f>IF(J563="v4.0",L563,IF(J563="v3.1",M563,IF(J563="Both",L563,IF(AND(L563&lt;&gt;"",M563=""),L563,M563))))</f>
        <v/>
      </c>
      <c r="U563">
        <f>IF(T563="Tier 1",10,IF(T563="Tier 2",7,IF(T563="Tier 3",4,IF(T563="Tier 4",1,0))))</f>
        <v/>
      </c>
      <c r="W563">
        <f>IF(V563="Restricted",10,IF(V563="Confidential",7,IF(V563="Internal",4,IF(V563="Public",1,0))))</f>
        <v/>
      </c>
      <c r="AA563" s="9">
        <f>(U563*0.4)+(W563*0.3)+(IF(Z563="Critical",10,IF(Z563="High",7,IF(Z563="Medium",4,1)))*0.2)+(IF(Y563="YES",10,0)*0.1)</f>
        <v/>
      </c>
      <c r="AB563" s="9">
        <f>IF(G563="YES",2.0,0)+IF(H563="YES",2.0,0)</f>
        <v/>
      </c>
      <c r="AC563" s="9" t="n">
        <v>0</v>
      </c>
      <c r="AD563" s="9">
        <f>K563+AB563+AC563</f>
        <v/>
      </c>
      <c r="AE563" s="9">
        <f>(AD563*0.6)+(AA563*0.4)</f>
        <v/>
      </c>
      <c r="AF563">
        <f>IF(AE563&gt;=9,"Critical",IF(AE563&gt;=7,"High",IF(AE563&gt;=4,"Medium","Low")))</f>
        <v/>
      </c>
    </row>
    <row r="564">
      <c r="F564" t="n">
        <v>1</v>
      </c>
      <c r="I564">
        <f>IF(D564="","",TODAY()-D564)</f>
        <v/>
      </c>
      <c r="K564">
        <f>IF(J564="v4.0",L564,IF(J564="v3.1",M564,IF(J564="Both",L564,IF(AND(L564&lt;&gt;"",M564=""),L564,M564))))</f>
        <v/>
      </c>
      <c r="U564">
        <f>IF(T564="Tier 1",10,IF(T564="Tier 2",7,IF(T564="Tier 3",4,IF(T564="Tier 4",1,0))))</f>
        <v/>
      </c>
      <c r="W564">
        <f>IF(V564="Restricted",10,IF(V564="Confidential",7,IF(V564="Internal",4,IF(V564="Public",1,0))))</f>
        <v/>
      </c>
      <c r="AA564" s="9">
        <f>(U564*0.4)+(W564*0.3)+(IF(Z564="Critical",10,IF(Z564="High",7,IF(Z564="Medium",4,1)))*0.2)+(IF(Y564="YES",10,0)*0.1)</f>
        <v/>
      </c>
      <c r="AB564" s="9">
        <f>IF(G564="YES",2.0,0)+IF(H564="YES",2.0,0)</f>
        <v/>
      </c>
      <c r="AC564" s="9" t="n">
        <v>0</v>
      </c>
      <c r="AD564" s="9">
        <f>K564+AB564+AC564</f>
        <v/>
      </c>
      <c r="AE564" s="9">
        <f>(AD564*0.6)+(AA564*0.4)</f>
        <v/>
      </c>
      <c r="AF564">
        <f>IF(AE564&gt;=9,"Critical",IF(AE564&gt;=7,"High",IF(AE564&gt;=4,"Medium","Low")))</f>
        <v/>
      </c>
    </row>
    <row r="565">
      <c r="F565" t="n">
        <v>1</v>
      </c>
      <c r="I565">
        <f>IF(D565="","",TODAY()-D565)</f>
        <v/>
      </c>
      <c r="K565">
        <f>IF(J565="v4.0",L565,IF(J565="v3.1",M565,IF(J565="Both",L565,IF(AND(L565&lt;&gt;"",M565=""),L565,M565))))</f>
        <v/>
      </c>
      <c r="U565">
        <f>IF(T565="Tier 1",10,IF(T565="Tier 2",7,IF(T565="Tier 3",4,IF(T565="Tier 4",1,0))))</f>
        <v/>
      </c>
      <c r="W565">
        <f>IF(V565="Restricted",10,IF(V565="Confidential",7,IF(V565="Internal",4,IF(V565="Public",1,0))))</f>
        <v/>
      </c>
      <c r="AA565" s="9">
        <f>(U565*0.4)+(W565*0.3)+(IF(Z565="Critical",10,IF(Z565="High",7,IF(Z565="Medium",4,1)))*0.2)+(IF(Y565="YES",10,0)*0.1)</f>
        <v/>
      </c>
      <c r="AB565" s="9">
        <f>IF(G565="YES",2.0,0)+IF(H565="YES",2.0,0)</f>
        <v/>
      </c>
      <c r="AC565" s="9" t="n">
        <v>0</v>
      </c>
      <c r="AD565" s="9">
        <f>K565+AB565+AC565</f>
        <v/>
      </c>
      <c r="AE565" s="9">
        <f>(AD565*0.6)+(AA565*0.4)</f>
        <v/>
      </c>
      <c r="AF565">
        <f>IF(AE565&gt;=9,"Critical",IF(AE565&gt;=7,"High",IF(AE565&gt;=4,"Medium","Low")))</f>
        <v/>
      </c>
    </row>
    <row r="566">
      <c r="F566" t="n">
        <v>1</v>
      </c>
      <c r="I566">
        <f>IF(D566="","",TODAY()-D566)</f>
        <v/>
      </c>
      <c r="K566">
        <f>IF(J566="v4.0",L566,IF(J566="v3.1",M566,IF(J566="Both",L566,IF(AND(L566&lt;&gt;"",M566=""),L566,M566))))</f>
        <v/>
      </c>
      <c r="U566">
        <f>IF(T566="Tier 1",10,IF(T566="Tier 2",7,IF(T566="Tier 3",4,IF(T566="Tier 4",1,0))))</f>
        <v/>
      </c>
      <c r="W566">
        <f>IF(V566="Restricted",10,IF(V566="Confidential",7,IF(V566="Internal",4,IF(V566="Public",1,0))))</f>
        <v/>
      </c>
      <c r="AA566" s="9">
        <f>(U566*0.4)+(W566*0.3)+(IF(Z566="Critical",10,IF(Z566="High",7,IF(Z566="Medium",4,1)))*0.2)+(IF(Y566="YES",10,0)*0.1)</f>
        <v/>
      </c>
      <c r="AB566" s="9">
        <f>IF(G566="YES",2.0,0)+IF(H566="YES",2.0,0)</f>
        <v/>
      </c>
      <c r="AC566" s="9" t="n">
        <v>0</v>
      </c>
      <c r="AD566" s="9">
        <f>K566+AB566+AC566</f>
        <v/>
      </c>
      <c r="AE566" s="9">
        <f>(AD566*0.6)+(AA566*0.4)</f>
        <v/>
      </c>
      <c r="AF566">
        <f>IF(AE566&gt;=9,"Critical",IF(AE566&gt;=7,"High",IF(AE566&gt;=4,"Medium","Low")))</f>
        <v/>
      </c>
    </row>
    <row r="567">
      <c r="F567" t="n">
        <v>1</v>
      </c>
      <c r="I567">
        <f>IF(D567="","",TODAY()-D567)</f>
        <v/>
      </c>
      <c r="K567">
        <f>IF(J567="v4.0",L567,IF(J567="v3.1",M567,IF(J567="Both",L567,IF(AND(L567&lt;&gt;"",M567=""),L567,M567))))</f>
        <v/>
      </c>
      <c r="U567">
        <f>IF(T567="Tier 1",10,IF(T567="Tier 2",7,IF(T567="Tier 3",4,IF(T567="Tier 4",1,0))))</f>
        <v/>
      </c>
      <c r="W567">
        <f>IF(V567="Restricted",10,IF(V567="Confidential",7,IF(V567="Internal",4,IF(V567="Public",1,0))))</f>
        <v/>
      </c>
      <c r="AA567" s="9">
        <f>(U567*0.4)+(W567*0.3)+(IF(Z567="Critical",10,IF(Z567="High",7,IF(Z567="Medium",4,1)))*0.2)+(IF(Y567="YES",10,0)*0.1)</f>
        <v/>
      </c>
      <c r="AB567" s="9">
        <f>IF(G567="YES",2.0,0)+IF(H567="YES",2.0,0)</f>
        <v/>
      </c>
      <c r="AC567" s="9" t="n">
        <v>0</v>
      </c>
      <c r="AD567" s="9">
        <f>K567+AB567+AC567</f>
        <v/>
      </c>
      <c r="AE567" s="9">
        <f>(AD567*0.6)+(AA567*0.4)</f>
        <v/>
      </c>
      <c r="AF567">
        <f>IF(AE567&gt;=9,"Critical",IF(AE567&gt;=7,"High",IF(AE567&gt;=4,"Medium","Low")))</f>
        <v/>
      </c>
    </row>
    <row r="568">
      <c r="F568" t="n">
        <v>1</v>
      </c>
      <c r="I568">
        <f>IF(D568="","",TODAY()-D568)</f>
        <v/>
      </c>
      <c r="K568">
        <f>IF(J568="v4.0",L568,IF(J568="v3.1",M568,IF(J568="Both",L568,IF(AND(L568&lt;&gt;"",M568=""),L568,M568))))</f>
        <v/>
      </c>
      <c r="U568">
        <f>IF(T568="Tier 1",10,IF(T568="Tier 2",7,IF(T568="Tier 3",4,IF(T568="Tier 4",1,0))))</f>
        <v/>
      </c>
      <c r="W568">
        <f>IF(V568="Restricted",10,IF(V568="Confidential",7,IF(V568="Internal",4,IF(V568="Public",1,0))))</f>
        <v/>
      </c>
      <c r="AA568" s="9">
        <f>(U568*0.4)+(W568*0.3)+(IF(Z568="Critical",10,IF(Z568="High",7,IF(Z568="Medium",4,1)))*0.2)+(IF(Y568="YES",10,0)*0.1)</f>
        <v/>
      </c>
      <c r="AB568" s="9">
        <f>IF(G568="YES",2.0,0)+IF(H568="YES",2.0,0)</f>
        <v/>
      </c>
      <c r="AC568" s="9" t="n">
        <v>0</v>
      </c>
      <c r="AD568" s="9">
        <f>K568+AB568+AC568</f>
        <v/>
      </c>
      <c r="AE568" s="9">
        <f>(AD568*0.6)+(AA568*0.4)</f>
        <v/>
      </c>
      <c r="AF568">
        <f>IF(AE568&gt;=9,"Critical",IF(AE568&gt;=7,"High",IF(AE568&gt;=4,"Medium","Low")))</f>
        <v/>
      </c>
    </row>
    <row r="569">
      <c r="F569" t="n">
        <v>1</v>
      </c>
      <c r="I569">
        <f>IF(D569="","",TODAY()-D569)</f>
        <v/>
      </c>
      <c r="K569">
        <f>IF(J569="v4.0",L569,IF(J569="v3.1",M569,IF(J569="Both",L569,IF(AND(L569&lt;&gt;"",M569=""),L569,M569))))</f>
        <v/>
      </c>
      <c r="U569">
        <f>IF(T569="Tier 1",10,IF(T569="Tier 2",7,IF(T569="Tier 3",4,IF(T569="Tier 4",1,0))))</f>
        <v/>
      </c>
      <c r="W569">
        <f>IF(V569="Restricted",10,IF(V569="Confidential",7,IF(V569="Internal",4,IF(V569="Public",1,0))))</f>
        <v/>
      </c>
      <c r="AA569" s="9">
        <f>(U569*0.4)+(W569*0.3)+(IF(Z569="Critical",10,IF(Z569="High",7,IF(Z569="Medium",4,1)))*0.2)+(IF(Y569="YES",10,0)*0.1)</f>
        <v/>
      </c>
      <c r="AB569" s="9">
        <f>IF(G569="YES",2.0,0)+IF(H569="YES",2.0,0)</f>
        <v/>
      </c>
      <c r="AC569" s="9" t="n">
        <v>0</v>
      </c>
      <c r="AD569" s="9">
        <f>K569+AB569+AC569</f>
        <v/>
      </c>
      <c r="AE569" s="9">
        <f>(AD569*0.6)+(AA569*0.4)</f>
        <v/>
      </c>
      <c r="AF569">
        <f>IF(AE569&gt;=9,"Critical",IF(AE569&gt;=7,"High",IF(AE569&gt;=4,"Medium","Low")))</f>
        <v/>
      </c>
    </row>
    <row r="570">
      <c r="F570" t="n">
        <v>1</v>
      </c>
      <c r="I570">
        <f>IF(D570="","",TODAY()-D570)</f>
        <v/>
      </c>
      <c r="K570">
        <f>IF(J570="v4.0",L570,IF(J570="v3.1",M570,IF(J570="Both",L570,IF(AND(L570&lt;&gt;"",M570=""),L570,M570))))</f>
        <v/>
      </c>
      <c r="U570">
        <f>IF(T570="Tier 1",10,IF(T570="Tier 2",7,IF(T570="Tier 3",4,IF(T570="Tier 4",1,0))))</f>
        <v/>
      </c>
      <c r="W570">
        <f>IF(V570="Restricted",10,IF(V570="Confidential",7,IF(V570="Internal",4,IF(V570="Public",1,0))))</f>
        <v/>
      </c>
      <c r="AA570" s="9">
        <f>(U570*0.4)+(W570*0.3)+(IF(Z570="Critical",10,IF(Z570="High",7,IF(Z570="Medium",4,1)))*0.2)+(IF(Y570="YES",10,0)*0.1)</f>
        <v/>
      </c>
      <c r="AB570" s="9">
        <f>IF(G570="YES",2.0,0)+IF(H570="YES",2.0,0)</f>
        <v/>
      </c>
      <c r="AC570" s="9" t="n">
        <v>0</v>
      </c>
      <c r="AD570" s="9">
        <f>K570+AB570+AC570</f>
        <v/>
      </c>
      <c r="AE570" s="9">
        <f>(AD570*0.6)+(AA570*0.4)</f>
        <v/>
      </c>
      <c r="AF570">
        <f>IF(AE570&gt;=9,"Critical",IF(AE570&gt;=7,"High",IF(AE570&gt;=4,"Medium","Low")))</f>
        <v/>
      </c>
    </row>
    <row r="571">
      <c r="F571" t="n">
        <v>1</v>
      </c>
      <c r="I571">
        <f>IF(D571="","",TODAY()-D571)</f>
        <v/>
      </c>
      <c r="K571">
        <f>IF(J571="v4.0",L571,IF(J571="v3.1",M571,IF(J571="Both",L571,IF(AND(L571&lt;&gt;"",M571=""),L571,M571))))</f>
        <v/>
      </c>
      <c r="U571">
        <f>IF(T571="Tier 1",10,IF(T571="Tier 2",7,IF(T571="Tier 3",4,IF(T571="Tier 4",1,0))))</f>
        <v/>
      </c>
      <c r="W571">
        <f>IF(V571="Restricted",10,IF(V571="Confidential",7,IF(V571="Internal",4,IF(V571="Public",1,0))))</f>
        <v/>
      </c>
      <c r="AA571" s="9">
        <f>(U571*0.4)+(W571*0.3)+(IF(Z571="Critical",10,IF(Z571="High",7,IF(Z571="Medium",4,1)))*0.2)+(IF(Y571="YES",10,0)*0.1)</f>
        <v/>
      </c>
      <c r="AB571" s="9">
        <f>IF(G571="YES",2.0,0)+IF(H571="YES",2.0,0)</f>
        <v/>
      </c>
      <c r="AC571" s="9" t="n">
        <v>0</v>
      </c>
      <c r="AD571" s="9">
        <f>K571+AB571+AC571</f>
        <v/>
      </c>
      <c r="AE571" s="9">
        <f>(AD571*0.6)+(AA571*0.4)</f>
        <v/>
      </c>
      <c r="AF571">
        <f>IF(AE571&gt;=9,"Critical",IF(AE571&gt;=7,"High",IF(AE571&gt;=4,"Medium","Low")))</f>
        <v/>
      </c>
    </row>
    <row r="572">
      <c r="F572" t="n">
        <v>1</v>
      </c>
      <c r="I572">
        <f>IF(D572="","",TODAY()-D572)</f>
        <v/>
      </c>
      <c r="K572">
        <f>IF(J572="v4.0",L572,IF(J572="v3.1",M572,IF(J572="Both",L572,IF(AND(L572&lt;&gt;"",M572=""),L572,M572))))</f>
        <v/>
      </c>
      <c r="U572">
        <f>IF(T572="Tier 1",10,IF(T572="Tier 2",7,IF(T572="Tier 3",4,IF(T572="Tier 4",1,0))))</f>
        <v/>
      </c>
      <c r="W572">
        <f>IF(V572="Restricted",10,IF(V572="Confidential",7,IF(V572="Internal",4,IF(V572="Public",1,0))))</f>
        <v/>
      </c>
      <c r="AA572" s="9">
        <f>(U572*0.4)+(W572*0.3)+(IF(Z572="Critical",10,IF(Z572="High",7,IF(Z572="Medium",4,1)))*0.2)+(IF(Y572="YES",10,0)*0.1)</f>
        <v/>
      </c>
      <c r="AB572" s="9">
        <f>IF(G572="YES",2.0,0)+IF(H572="YES",2.0,0)</f>
        <v/>
      </c>
      <c r="AC572" s="9" t="n">
        <v>0</v>
      </c>
      <c r="AD572" s="9">
        <f>K572+AB572+AC572</f>
        <v/>
      </c>
      <c r="AE572" s="9">
        <f>(AD572*0.6)+(AA572*0.4)</f>
        <v/>
      </c>
      <c r="AF572">
        <f>IF(AE572&gt;=9,"Critical",IF(AE572&gt;=7,"High",IF(AE572&gt;=4,"Medium","Low")))</f>
        <v/>
      </c>
    </row>
    <row r="573">
      <c r="F573" t="n">
        <v>1</v>
      </c>
      <c r="I573">
        <f>IF(D573="","",TODAY()-D573)</f>
        <v/>
      </c>
      <c r="K573">
        <f>IF(J573="v4.0",L573,IF(J573="v3.1",M573,IF(J573="Both",L573,IF(AND(L573&lt;&gt;"",M573=""),L573,M573))))</f>
        <v/>
      </c>
      <c r="U573">
        <f>IF(T573="Tier 1",10,IF(T573="Tier 2",7,IF(T573="Tier 3",4,IF(T573="Tier 4",1,0))))</f>
        <v/>
      </c>
      <c r="W573">
        <f>IF(V573="Restricted",10,IF(V573="Confidential",7,IF(V573="Internal",4,IF(V573="Public",1,0))))</f>
        <v/>
      </c>
      <c r="AA573" s="9">
        <f>(U573*0.4)+(W573*0.3)+(IF(Z573="Critical",10,IF(Z573="High",7,IF(Z573="Medium",4,1)))*0.2)+(IF(Y573="YES",10,0)*0.1)</f>
        <v/>
      </c>
      <c r="AB573" s="9">
        <f>IF(G573="YES",2.0,0)+IF(H573="YES",2.0,0)</f>
        <v/>
      </c>
      <c r="AC573" s="9" t="n">
        <v>0</v>
      </c>
      <c r="AD573" s="9">
        <f>K573+AB573+AC573</f>
        <v/>
      </c>
      <c r="AE573" s="9">
        <f>(AD573*0.6)+(AA573*0.4)</f>
        <v/>
      </c>
      <c r="AF573">
        <f>IF(AE573&gt;=9,"Critical",IF(AE573&gt;=7,"High",IF(AE573&gt;=4,"Medium","Low")))</f>
        <v/>
      </c>
    </row>
    <row r="574">
      <c r="F574" t="n">
        <v>1</v>
      </c>
      <c r="I574">
        <f>IF(D574="","",TODAY()-D574)</f>
        <v/>
      </c>
      <c r="K574">
        <f>IF(J574="v4.0",L574,IF(J574="v3.1",M574,IF(J574="Both",L574,IF(AND(L574&lt;&gt;"",M574=""),L574,M574))))</f>
        <v/>
      </c>
      <c r="U574">
        <f>IF(T574="Tier 1",10,IF(T574="Tier 2",7,IF(T574="Tier 3",4,IF(T574="Tier 4",1,0))))</f>
        <v/>
      </c>
      <c r="W574">
        <f>IF(V574="Restricted",10,IF(V574="Confidential",7,IF(V574="Internal",4,IF(V574="Public",1,0))))</f>
        <v/>
      </c>
      <c r="AA574" s="9">
        <f>(U574*0.4)+(W574*0.3)+(IF(Z574="Critical",10,IF(Z574="High",7,IF(Z574="Medium",4,1)))*0.2)+(IF(Y574="YES",10,0)*0.1)</f>
        <v/>
      </c>
      <c r="AB574" s="9">
        <f>IF(G574="YES",2.0,0)+IF(H574="YES",2.0,0)</f>
        <v/>
      </c>
      <c r="AC574" s="9" t="n">
        <v>0</v>
      </c>
      <c r="AD574" s="9">
        <f>K574+AB574+AC574</f>
        <v/>
      </c>
      <c r="AE574" s="9">
        <f>(AD574*0.6)+(AA574*0.4)</f>
        <v/>
      </c>
      <c r="AF574">
        <f>IF(AE574&gt;=9,"Critical",IF(AE574&gt;=7,"High",IF(AE574&gt;=4,"Medium","Low")))</f>
        <v/>
      </c>
    </row>
    <row r="575">
      <c r="F575" t="n">
        <v>1</v>
      </c>
      <c r="I575">
        <f>IF(D575="","",TODAY()-D575)</f>
        <v/>
      </c>
      <c r="K575">
        <f>IF(J575="v4.0",L575,IF(J575="v3.1",M575,IF(J575="Both",L575,IF(AND(L575&lt;&gt;"",M575=""),L575,M575))))</f>
        <v/>
      </c>
      <c r="U575">
        <f>IF(T575="Tier 1",10,IF(T575="Tier 2",7,IF(T575="Tier 3",4,IF(T575="Tier 4",1,0))))</f>
        <v/>
      </c>
      <c r="W575">
        <f>IF(V575="Restricted",10,IF(V575="Confidential",7,IF(V575="Internal",4,IF(V575="Public",1,0))))</f>
        <v/>
      </c>
      <c r="AA575" s="9">
        <f>(U575*0.4)+(W575*0.3)+(IF(Z575="Critical",10,IF(Z575="High",7,IF(Z575="Medium",4,1)))*0.2)+(IF(Y575="YES",10,0)*0.1)</f>
        <v/>
      </c>
      <c r="AB575" s="9">
        <f>IF(G575="YES",2.0,0)+IF(H575="YES",2.0,0)</f>
        <v/>
      </c>
      <c r="AC575" s="9" t="n">
        <v>0</v>
      </c>
      <c r="AD575" s="9">
        <f>K575+AB575+AC575</f>
        <v/>
      </c>
      <c r="AE575" s="9">
        <f>(AD575*0.6)+(AA575*0.4)</f>
        <v/>
      </c>
      <c r="AF575">
        <f>IF(AE575&gt;=9,"Critical",IF(AE575&gt;=7,"High",IF(AE575&gt;=4,"Medium","Low")))</f>
        <v/>
      </c>
    </row>
    <row r="576">
      <c r="F576" t="n">
        <v>1</v>
      </c>
      <c r="I576">
        <f>IF(D576="","",TODAY()-D576)</f>
        <v/>
      </c>
      <c r="K576">
        <f>IF(J576="v4.0",L576,IF(J576="v3.1",M576,IF(J576="Both",L576,IF(AND(L576&lt;&gt;"",M576=""),L576,M576))))</f>
        <v/>
      </c>
      <c r="U576">
        <f>IF(T576="Tier 1",10,IF(T576="Tier 2",7,IF(T576="Tier 3",4,IF(T576="Tier 4",1,0))))</f>
        <v/>
      </c>
      <c r="W576">
        <f>IF(V576="Restricted",10,IF(V576="Confidential",7,IF(V576="Internal",4,IF(V576="Public",1,0))))</f>
        <v/>
      </c>
      <c r="AA576" s="9">
        <f>(U576*0.4)+(W576*0.3)+(IF(Z576="Critical",10,IF(Z576="High",7,IF(Z576="Medium",4,1)))*0.2)+(IF(Y576="YES",10,0)*0.1)</f>
        <v/>
      </c>
      <c r="AB576" s="9">
        <f>IF(G576="YES",2.0,0)+IF(H576="YES",2.0,0)</f>
        <v/>
      </c>
      <c r="AC576" s="9" t="n">
        <v>0</v>
      </c>
      <c r="AD576" s="9">
        <f>K576+AB576+AC576</f>
        <v/>
      </c>
      <c r="AE576" s="9">
        <f>(AD576*0.6)+(AA576*0.4)</f>
        <v/>
      </c>
      <c r="AF576">
        <f>IF(AE576&gt;=9,"Critical",IF(AE576&gt;=7,"High",IF(AE576&gt;=4,"Medium","Low")))</f>
        <v/>
      </c>
    </row>
    <row r="577">
      <c r="F577" t="n">
        <v>1</v>
      </c>
      <c r="I577">
        <f>IF(D577="","",TODAY()-D577)</f>
        <v/>
      </c>
      <c r="K577">
        <f>IF(J577="v4.0",L577,IF(J577="v3.1",M577,IF(J577="Both",L577,IF(AND(L577&lt;&gt;"",M577=""),L577,M577))))</f>
        <v/>
      </c>
      <c r="U577">
        <f>IF(T577="Tier 1",10,IF(T577="Tier 2",7,IF(T577="Tier 3",4,IF(T577="Tier 4",1,0))))</f>
        <v/>
      </c>
      <c r="W577">
        <f>IF(V577="Restricted",10,IF(V577="Confidential",7,IF(V577="Internal",4,IF(V577="Public",1,0))))</f>
        <v/>
      </c>
      <c r="AA577" s="9">
        <f>(U577*0.4)+(W577*0.3)+(IF(Z577="Critical",10,IF(Z577="High",7,IF(Z577="Medium",4,1)))*0.2)+(IF(Y577="YES",10,0)*0.1)</f>
        <v/>
      </c>
      <c r="AB577" s="9">
        <f>IF(G577="YES",2.0,0)+IF(H577="YES",2.0,0)</f>
        <v/>
      </c>
      <c r="AC577" s="9" t="n">
        <v>0</v>
      </c>
      <c r="AD577" s="9">
        <f>K577+AB577+AC577</f>
        <v/>
      </c>
      <c r="AE577" s="9">
        <f>(AD577*0.6)+(AA577*0.4)</f>
        <v/>
      </c>
      <c r="AF577">
        <f>IF(AE577&gt;=9,"Critical",IF(AE577&gt;=7,"High",IF(AE577&gt;=4,"Medium","Low")))</f>
        <v/>
      </c>
    </row>
    <row r="578">
      <c r="F578" t="n">
        <v>1</v>
      </c>
      <c r="I578">
        <f>IF(D578="","",TODAY()-D578)</f>
        <v/>
      </c>
      <c r="K578">
        <f>IF(J578="v4.0",L578,IF(J578="v3.1",M578,IF(J578="Both",L578,IF(AND(L578&lt;&gt;"",M578=""),L578,M578))))</f>
        <v/>
      </c>
      <c r="U578">
        <f>IF(T578="Tier 1",10,IF(T578="Tier 2",7,IF(T578="Tier 3",4,IF(T578="Tier 4",1,0))))</f>
        <v/>
      </c>
      <c r="W578">
        <f>IF(V578="Restricted",10,IF(V578="Confidential",7,IF(V578="Internal",4,IF(V578="Public",1,0))))</f>
        <v/>
      </c>
      <c r="AA578" s="9">
        <f>(U578*0.4)+(W578*0.3)+(IF(Z578="Critical",10,IF(Z578="High",7,IF(Z578="Medium",4,1)))*0.2)+(IF(Y578="YES",10,0)*0.1)</f>
        <v/>
      </c>
      <c r="AB578" s="9">
        <f>IF(G578="YES",2.0,0)+IF(H578="YES",2.0,0)</f>
        <v/>
      </c>
      <c r="AC578" s="9" t="n">
        <v>0</v>
      </c>
      <c r="AD578" s="9">
        <f>K578+AB578+AC578</f>
        <v/>
      </c>
      <c r="AE578" s="9">
        <f>(AD578*0.6)+(AA578*0.4)</f>
        <v/>
      </c>
      <c r="AF578">
        <f>IF(AE578&gt;=9,"Critical",IF(AE578&gt;=7,"High",IF(AE578&gt;=4,"Medium","Low")))</f>
        <v/>
      </c>
    </row>
    <row r="579">
      <c r="F579" t="n">
        <v>1</v>
      </c>
      <c r="I579">
        <f>IF(D579="","",TODAY()-D579)</f>
        <v/>
      </c>
      <c r="K579">
        <f>IF(J579="v4.0",L579,IF(J579="v3.1",M579,IF(J579="Both",L579,IF(AND(L579&lt;&gt;"",M579=""),L579,M579))))</f>
        <v/>
      </c>
      <c r="U579">
        <f>IF(T579="Tier 1",10,IF(T579="Tier 2",7,IF(T579="Tier 3",4,IF(T579="Tier 4",1,0))))</f>
        <v/>
      </c>
      <c r="W579">
        <f>IF(V579="Restricted",10,IF(V579="Confidential",7,IF(V579="Internal",4,IF(V579="Public",1,0))))</f>
        <v/>
      </c>
      <c r="AA579" s="9">
        <f>(U579*0.4)+(W579*0.3)+(IF(Z579="Critical",10,IF(Z579="High",7,IF(Z579="Medium",4,1)))*0.2)+(IF(Y579="YES",10,0)*0.1)</f>
        <v/>
      </c>
      <c r="AB579" s="9">
        <f>IF(G579="YES",2.0,0)+IF(H579="YES",2.0,0)</f>
        <v/>
      </c>
      <c r="AC579" s="9" t="n">
        <v>0</v>
      </c>
      <c r="AD579" s="9">
        <f>K579+AB579+AC579</f>
        <v/>
      </c>
      <c r="AE579" s="9">
        <f>(AD579*0.6)+(AA579*0.4)</f>
        <v/>
      </c>
      <c r="AF579">
        <f>IF(AE579&gt;=9,"Critical",IF(AE579&gt;=7,"High",IF(AE579&gt;=4,"Medium","Low")))</f>
        <v/>
      </c>
    </row>
    <row r="580">
      <c r="F580" t="n">
        <v>1</v>
      </c>
      <c r="I580">
        <f>IF(D580="","",TODAY()-D580)</f>
        <v/>
      </c>
      <c r="K580">
        <f>IF(J580="v4.0",L580,IF(J580="v3.1",M580,IF(J580="Both",L580,IF(AND(L580&lt;&gt;"",M580=""),L580,M580))))</f>
        <v/>
      </c>
      <c r="U580">
        <f>IF(T580="Tier 1",10,IF(T580="Tier 2",7,IF(T580="Tier 3",4,IF(T580="Tier 4",1,0))))</f>
        <v/>
      </c>
      <c r="W580">
        <f>IF(V580="Restricted",10,IF(V580="Confidential",7,IF(V580="Internal",4,IF(V580="Public",1,0))))</f>
        <v/>
      </c>
      <c r="AA580" s="9">
        <f>(U580*0.4)+(W580*0.3)+(IF(Z580="Critical",10,IF(Z580="High",7,IF(Z580="Medium",4,1)))*0.2)+(IF(Y580="YES",10,0)*0.1)</f>
        <v/>
      </c>
      <c r="AB580" s="9">
        <f>IF(G580="YES",2.0,0)+IF(H580="YES",2.0,0)</f>
        <v/>
      </c>
      <c r="AC580" s="9" t="n">
        <v>0</v>
      </c>
      <c r="AD580" s="9">
        <f>K580+AB580+AC580</f>
        <v/>
      </c>
      <c r="AE580" s="9">
        <f>(AD580*0.6)+(AA580*0.4)</f>
        <v/>
      </c>
      <c r="AF580">
        <f>IF(AE580&gt;=9,"Critical",IF(AE580&gt;=7,"High",IF(AE580&gt;=4,"Medium","Low")))</f>
        <v/>
      </c>
    </row>
    <row r="581">
      <c r="F581" t="n">
        <v>1</v>
      </c>
      <c r="I581">
        <f>IF(D581="","",TODAY()-D581)</f>
        <v/>
      </c>
      <c r="K581">
        <f>IF(J581="v4.0",L581,IF(J581="v3.1",M581,IF(J581="Both",L581,IF(AND(L581&lt;&gt;"",M581=""),L581,M581))))</f>
        <v/>
      </c>
      <c r="U581">
        <f>IF(T581="Tier 1",10,IF(T581="Tier 2",7,IF(T581="Tier 3",4,IF(T581="Tier 4",1,0))))</f>
        <v/>
      </c>
      <c r="W581">
        <f>IF(V581="Restricted",10,IF(V581="Confidential",7,IF(V581="Internal",4,IF(V581="Public",1,0))))</f>
        <v/>
      </c>
      <c r="AA581" s="9">
        <f>(U581*0.4)+(W581*0.3)+(IF(Z581="Critical",10,IF(Z581="High",7,IF(Z581="Medium",4,1)))*0.2)+(IF(Y581="YES",10,0)*0.1)</f>
        <v/>
      </c>
      <c r="AB581" s="9">
        <f>IF(G581="YES",2.0,0)+IF(H581="YES",2.0,0)</f>
        <v/>
      </c>
      <c r="AC581" s="9" t="n">
        <v>0</v>
      </c>
      <c r="AD581" s="9">
        <f>K581+AB581+AC581</f>
        <v/>
      </c>
      <c r="AE581" s="9">
        <f>(AD581*0.6)+(AA581*0.4)</f>
        <v/>
      </c>
      <c r="AF581">
        <f>IF(AE581&gt;=9,"Critical",IF(AE581&gt;=7,"High",IF(AE581&gt;=4,"Medium","Low")))</f>
        <v/>
      </c>
    </row>
    <row r="582">
      <c r="F582" t="n">
        <v>1</v>
      </c>
      <c r="I582">
        <f>IF(D582="","",TODAY()-D582)</f>
        <v/>
      </c>
      <c r="K582">
        <f>IF(J582="v4.0",L582,IF(J582="v3.1",M582,IF(J582="Both",L582,IF(AND(L582&lt;&gt;"",M582=""),L582,M582))))</f>
        <v/>
      </c>
      <c r="U582">
        <f>IF(T582="Tier 1",10,IF(T582="Tier 2",7,IF(T582="Tier 3",4,IF(T582="Tier 4",1,0))))</f>
        <v/>
      </c>
      <c r="W582">
        <f>IF(V582="Restricted",10,IF(V582="Confidential",7,IF(V582="Internal",4,IF(V582="Public",1,0))))</f>
        <v/>
      </c>
      <c r="AA582" s="9">
        <f>(U582*0.4)+(W582*0.3)+(IF(Z582="Critical",10,IF(Z582="High",7,IF(Z582="Medium",4,1)))*0.2)+(IF(Y582="YES",10,0)*0.1)</f>
        <v/>
      </c>
      <c r="AB582" s="9">
        <f>IF(G582="YES",2.0,0)+IF(H582="YES",2.0,0)</f>
        <v/>
      </c>
      <c r="AC582" s="9" t="n">
        <v>0</v>
      </c>
      <c r="AD582" s="9">
        <f>K582+AB582+AC582</f>
        <v/>
      </c>
      <c r="AE582" s="9">
        <f>(AD582*0.6)+(AA582*0.4)</f>
        <v/>
      </c>
      <c r="AF582">
        <f>IF(AE582&gt;=9,"Critical",IF(AE582&gt;=7,"High",IF(AE582&gt;=4,"Medium","Low")))</f>
        <v/>
      </c>
    </row>
    <row r="583">
      <c r="F583" t="n">
        <v>1</v>
      </c>
      <c r="I583">
        <f>IF(D583="","",TODAY()-D583)</f>
        <v/>
      </c>
      <c r="K583">
        <f>IF(J583="v4.0",L583,IF(J583="v3.1",M583,IF(J583="Both",L583,IF(AND(L583&lt;&gt;"",M583=""),L583,M583))))</f>
        <v/>
      </c>
      <c r="U583">
        <f>IF(T583="Tier 1",10,IF(T583="Tier 2",7,IF(T583="Tier 3",4,IF(T583="Tier 4",1,0))))</f>
        <v/>
      </c>
      <c r="W583">
        <f>IF(V583="Restricted",10,IF(V583="Confidential",7,IF(V583="Internal",4,IF(V583="Public",1,0))))</f>
        <v/>
      </c>
      <c r="AA583" s="9">
        <f>(U583*0.4)+(W583*0.3)+(IF(Z583="Critical",10,IF(Z583="High",7,IF(Z583="Medium",4,1)))*0.2)+(IF(Y583="YES",10,0)*0.1)</f>
        <v/>
      </c>
      <c r="AB583" s="9">
        <f>IF(G583="YES",2.0,0)+IF(H583="YES",2.0,0)</f>
        <v/>
      </c>
      <c r="AC583" s="9" t="n">
        <v>0</v>
      </c>
      <c r="AD583" s="9">
        <f>K583+AB583+AC583</f>
        <v/>
      </c>
      <c r="AE583" s="9">
        <f>(AD583*0.6)+(AA583*0.4)</f>
        <v/>
      </c>
      <c r="AF583">
        <f>IF(AE583&gt;=9,"Critical",IF(AE583&gt;=7,"High",IF(AE583&gt;=4,"Medium","Low")))</f>
        <v/>
      </c>
    </row>
    <row r="584">
      <c r="F584" t="n">
        <v>1</v>
      </c>
      <c r="I584">
        <f>IF(D584="","",TODAY()-D584)</f>
        <v/>
      </c>
      <c r="K584">
        <f>IF(J584="v4.0",L584,IF(J584="v3.1",M584,IF(J584="Both",L584,IF(AND(L584&lt;&gt;"",M584=""),L584,M584))))</f>
        <v/>
      </c>
      <c r="U584">
        <f>IF(T584="Tier 1",10,IF(T584="Tier 2",7,IF(T584="Tier 3",4,IF(T584="Tier 4",1,0))))</f>
        <v/>
      </c>
      <c r="W584">
        <f>IF(V584="Restricted",10,IF(V584="Confidential",7,IF(V584="Internal",4,IF(V584="Public",1,0))))</f>
        <v/>
      </c>
      <c r="AA584" s="9">
        <f>(U584*0.4)+(W584*0.3)+(IF(Z584="Critical",10,IF(Z584="High",7,IF(Z584="Medium",4,1)))*0.2)+(IF(Y584="YES",10,0)*0.1)</f>
        <v/>
      </c>
      <c r="AB584" s="9">
        <f>IF(G584="YES",2.0,0)+IF(H584="YES",2.0,0)</f>
        <v/>
      </c>
      <c r="AC584" s="9" t="n">
        <v>0</v>
      </c>
      <c r="AD584" s="9">
        <f>K584+AB584+AC584</f>
        <v/>
      </c>
      <c r="AE584" s="9">
        <f>(AD584*0.6)+(AA584*0.4)</f>
        <v/>
      </c>
      <c r="AF584">
        <f>IF(AE584&gt;=9,"Critical",IF(AE584&gt;=7,"High",IF(AE584&gt;=4,"Medium","Low")))</f>
        <v/>
      </c>
    </row>
    <row r="585">
      <c r="F585" t="n">
        <v>1</v>
      </c>
      <c r="I585">
        <f>IF(D585="","",TODAY()-D585)</f>
        <v/>
      </c>
      <c r="K585">
        <f>IF(J585="v4.0",L585,IF(J585="v3.1",M585,IF(J585="Both",L585,IF(AND(L585&lt;&gt;"",M585=""),L585,M585))))</f>
        <v/>
      </c>
      <c r="U585">
        <f>IF(T585="Tier 1",10,IF(T585="Tier 2",7,IF(T585="Tier 3",4,IF(T585="Tier 4",1,0))))</f>
        <v/>
      </c>
      <c r="W585">
        <f>IF(V585="Restricted",10,IF(V585="Confidential",7,IF(V585="Internal",4,IF(V585="Public",1,0))))</f>
        <v/>
      </c>
      <c r="AA585" s="9">
        <f>(U585*0.4)+(W585*0.3)+(IF(Z585="Critical",10,IF(Z585="High",7,IF(Z585="Medium",4,1)))*0.2)+(IF(Y585="YES",10,0)*0.1)</f>
        <v/>
      </c>
      <c r="AB585" s="9">
        <f>IF(G585="YES",2.0,0)+IF(H585="YES",2.0,0)</f>
        <v/>
      </c>
      <c r="AC585" s="9" t="n">
        <v>0</v>
      </c>
      <c r="AD585" s="9">
        <f>K585+AB585+AC585</f>
        <v/>
      </c>
      <c r="AE585" s="9">
        <f>(AD585*0.6)+(AA585*0.4)</f>
        <v/>
      </c>
      <c r="AF585">
        <f>IF(AE585&gt;=9,"Critical",IF(AE585&gt;=7,"High",IF(AE585&gt;=4,"Medium","Low")))</f>
        <v/>
      </c>
    </row>
    <row r="586">
      <c r="F586" t="n">
        <v>1</v>
      </c>
      <c r="I586">
        <f>IF(D586="","",TODAY()-D586)</f>
        <v/>
      </c>
      <c r="K586">
        <f>IF(J586="v4.0",L586,IF(J586="v3.1",M586,IF(J586="Both",L586,IF(AND(L586&lt;&gt;"",M586=""),L586,M586))))</f>
        <v/>
      </c>
      <c r="U586">
        <f>IF(T586="Tier 1",10,IF(T586="Tier 2",7,IF(T586="Tier 3",4,IF(T586="Tier 4",1,0))))</f>
        <v/>
      </c>
      <c r="W586">
        <f>IF(V586="Restricted",10,IF(V586="Confidential",7,IF(V586="Internal",4,IF(V586="Public",1,0))))</f>
        <v/>
      </c>
      <c r="AA586" s="9">
        <f>(U586*0.4)+(W586*0.3)+(IF(Z586="Critical",10,IF(Z586="High",7,IF(Z586="Medium",4,1)))*0.2)+(IF(Y586="YES",10,0)*0.1)</f>
        <v/>
      </c>
      <c r="AB586" s="9">
        <f>IF(G586="YES",2.0,0)+IF(H586="YES",2.0,0)</f>
        <v/>
      </c>
      <c r="AC586" s="9" t="n">
        <v>0</v>
      </c>
      <c r="AD586" s="9">
        <f>K586+AB586+AC586</f>
        <v/>
      </c>
      <c r="AE586" s="9">
        <f>(AD586*0.6)+(AA586*0.4)</f>
        <v/>
      </c>
      <c r="AF586">
        <f>IF(AE586&gt;=9,"Critical",IF(AE586&gt;=7,"High",IF(AE586&gt;=4,"Medium","Low")))</f>
        <v/>
      </c>
    </row>
    <row r="587">
      <c r="F587" t="n">
        <v>1</v>
      </c>
      <c r="I587">
        <f>IF(D587="","",TODAY()-D587)</f>
        <v/>
      </c>
      <c r="K587">
        <f>IF(J587="v4.0",L587,IF(J587="v3.1",M587,IF(J587="Both",L587,IF(AND(L587&lt;&gt;"",M587=""),L587,M587))))</f>
        <v/>
      </c>
      <c r="U587">
        <f>IF(T587="Tier 1",10,IF(T587="Tier 2",7,IF(T587="Tier 3",4,IF(T587="Tier 4",1,0))))</f>
        <v/>
      </c>
      <c r="W587">
        <f>IF(V587="Restricted",10,IF(V587="Confidential",7,IF(V587="Internal",4,IF(V587="Public",1,0))))</f>
        <v/>
      </c>
      <c r="AA587" s="9">
        <f>(U587*0.4)+(W587*0.3)+(IF(Z587="Critical",10,IF(Z587="High",7,IF(Z587="Medium",4,1)))*0.2)+(IF(Y587="YES",10,0)*0.1)</f>
        <v/>
      </c>
      <c r="AB587" s="9">
        <f>IF(G587="YES",2.0,0)+IF(H587="YES",2.0,0)</f>
        <v/>
      </c>
      <c r="AC587" s="9" t="n">
        <v>0</v>
      </c>
      <c r="AD587" s="9">
        <f>K587+AB587+AC587</f>
        <v/>
      </c>
      <c r="AE587" s="9">
        <f>(AD587*0.6)+(AA587*0.4)</f>
        <v/>
      </c>
      <c r="AF587">
        <f>IF(AE587&gt;=9,"Critical",IF(AE587&gt;=7,"High",IF(AE587&gt;=4,"Medium","Low")))</f>
        <v/>
      </c>
    </row>
    <row r="588">
      <c r="F588" t="n">
        <v>1</v>
      </c>
      <c r="I588">
        <f>IF(D588="","",TODAY()-D588)</f>
        <v/>
      </c>
      <c r="K588">
        <f>IF(J588="v4.0",L588,IF(J588="v3.1",M588,IF(J588="Both",L588,IF(AND(L588&lt;&gt;"",M588=""),L588,M588))))</f>
        <v/>
      </c>
      <c r="U588">
        <f>IF(T588="Tier 1",10,IF(T588="Tier 2",7,IF(T588="Tier 3",4,IF(T588="Tier 4",1,0))))</f>
        <v/>
      </c>
      <c r="W588">
        <f>IF(V588="Restricted",10,IF(V588="Confidential",7,IF(V588="Internal",4,IF(V588="Public",1,0))))</f>
        <v/>
      </c>
      <c r="AA588" s="9">
        <f>(U588*0.4)+(W588*0.3)+(IF(Z588="Critical",10,IF(Z588="High",7,IF(Z588="Medium",4,1)))*0.2)+(IF(Y588="YES",10,0)*0.1)</f>
        <v/>
      </c>
      <c r="AB588" s="9">
        <f>IF(G588="YES",2.0,0)+IF(H588="YES",2.0,0)</f>
        <v/>
      </c>
      <c r="AC588" s="9" t="n">
        <v>0</v>
      </c>
      <c r="AD588" s="9">
        <f>K588+AB588+AC588</f>
        <v/>
      </c>
      <c r="AE588" s="9">
        <f>(AD588*0.6)+(AA588*0.4)</f>
        <v/>
      </c>
      <c r="AF588">
        <f>IF(AE588&gt;=9,"Critical",IF(AE588&gt;=7,"High",IF(AE588&gt;=4,"Medium","Low")))</f>
        <v/>
      </c>
    </row>
    <row r="589">
      <c r="F589" t="n">
        <v>1</v>
      </c>
      <c r="I589">
        <f>IF(D589="","",TODAY()-D589)</f>
        <v/>
      </c>
      <c r="K589">
        <f>IF(J589="v4.0",L589,IF(J589="v3.1",M589,IF(J589="Both",L589,IF(AND(L589&lt;&gt;"",M589=""),L589,M589))))</f>
        <v/>
      </c>
      <c r="U589">
        <f>IF(T589="Tier 1",10,IF(T589="Tier 2",7,IF(T589="Tier 3",4,IF(T589="Tier 4",1,0))))</f>
        <v/>
      </c>
      <c r="W589">
        <f>IF(V589="Restricted",10,IF(V589="Confidential",7,IF(V589="Internal",4,IF(V589="Public",1,0))))</f>
        <v/>
      </c>
      <c r="AA589" s="9">
        <f>(U589*0.4)+(W589*0.3)+(IF(Z589="Critical",10,IF(Z589="High",7,IF(Z589="Medium",4,1)))*0.2)+(IF(Y589="YES",10,0)*0.1)</f>
        <v/>
      </c>
      <c r="AB589" s="9">
        <f>IF(G589="YES",2.0,0)+IF(H589="YES",2.0,0)</f>
        <v/>
      </c>
      <c r="AC589" s="9" t="n">
        <v>0</v>
      </c>
      <c r="AD589" s="9">
        <f>K589+AB589+AC589</f>
        <v/>
      </c>
      <c r="AE589" s="9">
        <f>(AD589*0.6)+(AA589*0.4)</f>
        <v/>
      </c>
      <c r="AF589">
        <f>IF(AE589&gt;=9,"Critical",IF(AE589&gt;=7,"High",IF(AE589&gt;=4,"Medium","Low")))</f>
        <v/>
      </c>
    </row>
    <row r="590">
      <c r="F590" t="n">
        <v>1</v>
      </c>
      <c r="I590">
        <f>IF(D590="","",TODAY()-D590)</f>
        <v/>
      </c>
      <c r="K590">
        <f>IF(J590="v4.0",L590,IF(J590="v3.1",M590,IF(J590="Both",L590,IF(AND(L590&lt;&gt;"",M590=""),L590,M590))))</f>
        <v/>
      </c>
      <c r="U590">
        <f>IF(T590="Tier 1",10,IF(T590="Tier 2",7,IF(T590="Tier 3",4,IF(T590="Tier 4",1,0))))</f>
        <v/>
      </c>
      <c r="W590">
        <f>IF(V590="Restricted",10,IF(V590="Confidential",7,IF(V590="Internal",4,IF(V590="Public",1,0))))</f>
        <v/>
      </c>
      <c r="AA590" s="9">
        <f>(U590*0.4)+(W590*0.3)+(IF(Z590="Critical",10,IF(Z590="High",7,IF(Z590="Medium",4,1)))*0.2)+(IF(Y590="YES",10,0)*0.1)</f>
        <v/>
      </c>
      <c r="AB590" s="9">
        <f>IF(G590="YES",2.0,0)+IF(H590="YES",2.0,0)</f>
        <v/>
      </c>
      <c r="AC590" s="9" t="n">
        <v>0</v>
      </c>
      <c r="AD590" s="9">
        <f>K590+AB590+AC590</f>
        <v/>
      </c>
      <c r="AE590" s="9">
        <f>(AD590*0.6)+(AA590*0.4)</f>
        <v/>
      </c>
      <c r="AF590">
        <f>IF(AE590&gt;=9,"Critical",IF(AE590&gt;=7,"High",IF(AE590&gt;=4,"Medium","Low")))</f>
        <v/>
      </c>
    </row>
    <row r="591">
      <c r="F591" t="n">
        <v>1</v>
      </c>
      <c r="I591">
        <f>IF(D591="","",TODAY()-D591)</f>
        <v/>
      </c>
      <c r="K591">
        <f>IF(J591="v4.0",L591,IF(J591="v3.1",M591,IF(J591="Both",L591,IF(AND(L591&lt;&gt;"",M591=""),L591,M591))))</f>
        <v/>
      </c>
      <c r="U591">
        <f>IF(T591="Tier 1",10,IF(T591="Tier 2",7,IF(T591="Tier 3",4,IF(T591="Tier 4",1,0))))</f>
        <v/>
      </c>
      <c r="W591">
        <f>IF(V591="Restricted",10,IF(V591="Confidential",7,IF(V591="Internal",4,IF(V591="Public",1,0))))</f>
        <v/>
      </c>
      <c r="AA591" s="9">
        <f>(U591*0.4)+(W591*0.3)+(IF(Z591="Critical",10,IF(Z591="High",7,IF(Z591="Medium",4,1)))*0.2)+(IF(Y591="YES",10,0)*0.1)</f>
        <v/>
      </c>
      <c r="AB591" s="9">
        <f>IF(G591="YES",2.0,0)+IF(H591="YES",2.0,0)</f>
        <v/>
      </c>
      <c r="AC591" s="9" t="n">
        <v>0</v>
      </c>
      <c r="AD591" s="9">
        <f>K591+AB591+AC591</f>
        <v/>
      </c>
      <c r="AE591" s="9">
        <f>(AD591*0.6)+(AA591*0.4)</f>
        <v/>
      </c>
      <c r="AF591">
        <f>IF(AE591&gt;=9,"Critical",IF(AE591&gt;=7,"High",IF(AE591&gt;=4,"Medium","Low")))</f>
        <v/>
      </c>
    </row>
    <row r="592">
      <c r="F592" t="n">
        <v>1</v>
      </c>
      <c r="I592">
        <f>IF(D592="","",TODAY()-D592)</f>
        <v/>
      </c>
      <c r="K592">
        <f>IF(J592="v4.0",L592,IF(J592="v3.1",M592,IF(J592="Both",L592,IF(AND(L592&lt;&gt;"",M592=""),L592,M592))))</f>
        <v/>
      </c>
      <c r="U592">
        <f>IF(T592="Tier 1",10,IF(T592="Tier 2",7,IF(T592="Tier 3",4,IF(T592="Tier 4",1,0))))</f>
        <v/>
      </c>
      <c r="W592">
        <f>IF(V592="Restricted",10,IF(V592="Confidential",7,IF(V592="Internal",4,IF(V592="Public",1,0))))</f>
        <v/>
      </c>
      <c r="AA592" s="9">
        <f>(U592*0.4)+(W592*0.3)+(IF(Z592="Critical",10,IF(Z592="High",7,IF(Z592="Medium",4,1)))*0.2)+(IF(Y592="YES",10,0)*0.1)</f>
        <v/>
      </c>
      <c r="AB592" s="9">
        <f>IF(G592="YES",2.0,0)+IF(H592="YES",2.0,0)</f>
        <v/>
      </c>
      <c r="AC592" s="9" t="n">
        <v>0</v>
      </c>
      <c r="AD592" s="9">
        <f>K592+AB592+AC592</f>
        <v/>
      </c>
      <c r="AE592" s="9">
        <f>(AD592*0.6)+(AA592*0.4)</f>
        <v/>
      </c>
      <c r="AF592">
        <f>IF(AE592&gt;=9,"Critical",IF(AE592&gt;=7,"High",IF(AE592&gt;=4,"Medium","Low")))</f>
        <v/>
      </c>
    </row>
    <row r="593">
      <c r="F593" t="n">
        <v>1</v>
      </c>
      <c r="I593">
        <f>IF(D593="","",TODAY()-D593)</f>
        <v/>
      </c>
      <c r="K593">
        <f>IF(J593="v4.0",L593,IF(J593="v3.1",M593,IF(J593="Both",L593,IF(AND(L593&lt;&gt;"",M593=""),L593,M593))))</f>
        <v/>
      </c>
      <c r="U593">
        <f>IF(T593="Tier 1",10,IF(T593="Tier 2",7,IF(T593="Tier 3",4,IF(T593="Tier 4",1,0))))</f>
        <v/>
      </c>
      <c r="W593">
        <f>IF(V593="Restricted",10,IF(V593="Confidential",7,IF(V593="Internal",4,IF(V593="Public",1,0))))</f>
        <v/>
      </c>
      <c r="AA593" s="9">
        <f>(U593*0.4)+(W593*0.3)+(IF(Z593="Critical",10,IF(Z593="High",7,IF(Z593="Medium",4,1)))*0.2)+(IF(Y593="YES",10,0)*0.1)</f>
        <v/>
      </c>
      <c r="AB593" s="9">
        <f>IF(G593="YES",2.0,0)+IF(H593="YES",2.0,0)</f>
        <v/>
      </c>
      <c r="AC593" s="9" t="n">
        <v>0</v>
      </c>
      <c r="AD593" s="9">
        <f>K593+AB593+AC593</f>
        <v/>
      </c>
      <c r="AE593" s="9">
        <f>(AD593*0.6)+(AA593*0.4)</f>
        <v/>
      </c>
      <c r="AF593">
        <f>IF(AE593&gt;=9,"Critical",IF(AE593&gt;=7,"High",IF(AE593&gt;=4,"Medium","Low")))</f>
        <v/>
      </c>
    </row>
    <row r="594">
      <c r="F594" t="n">
        <v>1</v>
      </c>
      <c r="I594">
        <f>IF(D594="","",TODAY()-D594)</f>
        <v/>
      </c>
      <c r="K594">
        <f>IF(J594="v4.0",L594,IF(J594="v3.1",M594,IF(J594="Both",L594,IF(AND(L594&lt;&gt;"",M594=""),L594,M594))))</f>
        <v/>
      </c>
      <c r="U594">
        <f>IF(T594="Tier 1",10,IF(T594="Tier 2",7,IF(T594="Tier 3",4,IF(T594="Tier 4",1,0))))</f>
        <v/>
      </c>
      <c r="W594">
        <f>IF(V594="Restricted",10,IF(V594="Confidential",7,IF(V594="Internal",4,IF(V594="Public",1,0))))</f>
        <v/>
      </c>
      <c r="AA594" s="9">
        <f>(U594*0.4)+(W594*0.3)+(IF(Z594="Critical",10,IF(Z594="High",7,IF(Z594="Medium",4,1)))*0.2)+(IF(Y594="YES",10,0)*0.1)</f>
        <v/>
      </c>
      <c r="AB594" s="9">
        <f>IF(G594="YES",2.0,0)+IF(H594="YES",2.0,0)</f>
        <v/>
      </c>
      <c r="AC594" s="9" t="n">
        <v>0</v>
      </c>
      <c r="AD594" s="9">
        <f>K594+AB594+AC594</f>
        <v/>
      </c>
      <c r="AE594" s="9">
        <f>(AD594*0.6)+(AA594*0.4)</f>
        <v/>
      </c>
      <c r="AF594">
        <f>IF(AE594&gt;=9,"Critical",IF(AE594&gt;=7,"High",IF(AE594&gt;=4,"Medium","Low")))</f>
        <v/>
      </c>
    </row>
    <row r="595">
      <c r="F595" t="n">
        <v>1</v>
      </c>
      <c r="I595">
        <f>IF(D595="","",TODAY()-D595)</f>
        <v/>
      </c>
      <c r="K595">
        <f>IF(J595="v4.0",L595,IF(J595="v3.1",M595,IF(J595="Both",L595,IF(AND(L595&lt;&gt;"",M595=""),L595,M595))))</f>
        <v/>
      </c>
      <c r="U595">
        <f>IF(T595="Tier 1",10,IF(T595="Tier 2",7,IF(T595="Tier 3",4,IF(T595="Tier 4",1,0))))</f>
        <v/>
      </c>
      <c r="W595">
        <f>IF(V595="Restricted",10,IF(V595="Confidential",7,IF(V595="Internal",4,IF(V595="Public",1,0))))</f>
        <v/>
      </c>
      <c r="AA595" s="9">
        <f>(U595*0.4)+(W595*0.3)+(IF(Z595="Critical",10,IF(Z595="High",7,IF(Z595="Medium",4,1)))*0.2)+(IF(Y595="YES",10,0)*0.1)</f>
        <v/>
      </c>
      <c r="AB595" s="9">
        <f>IF(G595="YES",2.0,0)+IF(H595="YES",2.0,0)</f>
        <v/>
      </c>
      <c r="AC595" s="9" t="n">
        <v>0</v>
      </c>
      <c r="AD595" s="9">
        <f>K595+AB595+AC595</f>
        <v/>
      </c>
      <c r="AE595" s="9">
        <f>(AD595*0.6)+(AA595*0.4)</f>
        <v/>
      </c>
      <c r="AF595">
        <f>IF(AE595&gt;=9,"Critical",IF(AE595&gt;=7,"High",IF(AE595&gt;=4,"Medium","Low")))</f>
        <v/>
      </c>
    </row>
    <row r="596">
      <c r="F596" t="n">
        <v>1</v>
      </c>
      <c r="I596">
        <f>IF(D596="","",TODAY()-D596)</f>
        <v/>
      </c>
      <c r="K596">
        <f>IF(J596="v4.0",L596,IF(J596="v3.1",M596,IF(J596="Both",L596,IF(AND(L596&lt;&gt;"",M596=""),L596,M596))))</f>
        <v/>
      </c>
      <c r="U596">
        <f>IF(T596="Tier 1",10,IF(T596="Tier 2",7,IF(T596="Tier 3",4,IF(T596="Tier 4",1,0))))</f>
        <v/>
      </c>
      <c r="W596">
        <f>IF(V596="Restricted",10,IF(V596="Confidential",7,IF(V596="Internal",4,IF(V596="Public",1,0))))</f>
        <v/>
      </c>
      <c r="AA596" s="9">
        <f>(U596*0.4)+(W596*0.3)+(IF(Z596="Critical",10,IF(Z596="High",7,IF(Z596="Medium",4,1)))*0.2)+(IF(Y596="YES",10,0)*0.1)</f>
        <v/>
      </c>
      <c r="AB596" s="9">
        <f>IF(G596="YES",2.0,0)+IF(H596="YES",2.0,0)</f>
        <v/>
      </c>
      <c r="AC596" s="9" t="n">
        <v>0</v>
      </c>
      <c r="AD596" s="9">
        <f>K596+AB596+AC596</f>
        <v/>
      </c>
      <c r="AE596" s="9">
        <f>(AD596*0.6)+(AA596*0.4)</f>
        <v/>
      </c>
      <c r="AF596">
        <f>IF(AE596&gt;=9,"Critical",IF(AE596&gt;=7,"High",IF(AE596&gt;=4,"Medium","Low")))</f>
        <v/>
      </c>
    </row>
    <row r="597">
      <c r="F597" t="n">
        <v>1</v>
      </c>
      <c r="I597">
        <f>IF(D597="","",TODAY()-D597)</f>
        <v/>
      </c>
      <c r="K597">
        <f>IF(J597="v4.0",L597,IF(J597="v3.1",M597,IF(J597="Both",L597,IF(AND(L597&lt;&gt;"",M597=""),L597,M597))))</f>
        <v/>
      </c>
      <c r="U597">
        <f>IF(T597="Tier 1",10,IF(T597="Tier 2",7,IF(T597="Tier 3",4,IF(T597="Tier 4",1,0))))</f>
        <v/>
      </c>
      <c r="W597">
        <f>IF(V597="Restricted",10,IF(V597="Confidential",7,IF(V597="Internal",4,IF(V597="Public",1,0))))</f>
        <v/>
      </c>
      <c r="AA597" s="9">
        <f>(U597*0.4)+(W597*0.3)+(IF(Z597="Critical",10,IF(Z597="High",7,IF(Z597="Medium",4,1)))*0.2)+(IF(Y597="YES",10,0)*0.1)</f>
        <v/>
      </c>
      <c r="AB597" s="9">
        <f>IF(G597="YES",2.0,0)+IF(H597="YES",2.0,0)</f>
        <v/>
      </c>
      <c r="AC597" s="9" t="n">
        <v>0</v>
      </c>
      <c r="AD597" s="9">
        <f>K597+AB597+AC597</f>
        <v/>
      </c>
      <c r="AE597" s="9">
        <f>(AD597*0.6)+(AA597*0.4)</f>
        <v/>
      </c>
      <c r="AF597">
        <f>IF(AE597&gt;=9,"Critical",IF(AE597&gt;=7,"High",IF(AE597&gt;=4,"Medium","Low")))</f>
        <v/>
      </c>
    </row>
    <row r="598">
      <c r="F598" t="n">
        <v>1</v>
      </c>
      <c r="I598">
        <f>IF(D598="","",TODAY()-D598)</f>
        <v/>
      </c>
      <c r="K598">
        <f>IF(J598="v4.0",L598,IF(J598="v3.1",M598,IF(J598="Both",L598,IF(AND(L598&lt;&gt;"",M598=""),L598,M598))))</f>
        <v/>
      </c>
      <c r="U598">
        <f>IF(T598="Tier 1",10,IF(T598="Tier 2",7,IF(T598="Tier 3",4,IF(T598="Tier 4",1,0))))</f>
        <v/>
      </c>
      <c r="W598">
        <f>IF(V598="Restricted",10,IF(V598="Confidential",7,IF(V598="Internal",4,IF(V598="Public",1,0))))</f>
        <v/>
      </c>
      <c r="AA598" s="9">
        <f>(U598*0.4)+(W598*0.3)+(IF(Z598="Critical",10,IF(Z598="High",7,IF(Z598="Medium",4,1)))*0.2)+(IF(Y598="YES",10,0)*0.1)</f>
        <v/>
      </c>
      <c r="AB598" s="9">
        <f>IF(G598="YES",2.0,0)+IF(H598="YES",2.0,0)</f>
        <v/>
      </c>
      <c r="AC598" s="9" t="n">
        <v>0</v>
      </c>
      <c r="AD598" s="9">
        <f>K598+AB598+AC598</f>
        <v/>
      </c>
      <c r="AE598" s="9">
        <f>(AD598*0.6)+(AA598*0.4)</f>
        <v/>
      </c>
      <c r="AF598">
        <f>IF(AE598&gt;=9,"Critical",IF(AE598&gt;=7,"High",IF(AE598&gt;=4,"Medium","Low")))</f>
        <v/>
      </c>
    </row>
    <row r="599">
      <c r="F599" t="n">
        <v>1</v>
      </c>
      <c r="I599">
        <f>IF(D599="","",TODAY()-D599)</f>
        <v/>
      </c>
      <c r="K599">
        <f>IF(J599="v4.0",L599,IF(J599="v3.1",M599,IF(J599="Both",L599,IF(AND(L599&lt;&gt;"",M599=""),L599,M599))))</f>
        <v/>
      </c>
      <c r="U599">
        <f>IF(T599="Tier 1",10,IF(T599="Tier 2",7,IF(T599="Tier 3",4,IF(T599="Tier 4",1,0))))</f>
        <v/>
      </c>
      <c r="W599">
        <f>IF(V599="Restricted",10,IF(V599="Confidential",7,IF(V599="Internal",4,IF(V599="Public",1,0))))</f>
        <v/>
      </c>
      <c r="AA599" s="9">
        <f>(U599*0.4)+(W599*0.3)+(IF(Z599="Critical",10,IF(Z599="High",7,IF(Z599="Medium",4,1)))*0.2)+(IF(Y599="YES",10,0)*0.1)</f>
        <v/>
      </c>
      <c r="AB599" s="9">
        <f>IF(G599="YES",2.0,0)+IF(H599="YES",2.0,0)</f>
        <v/>
      </c>
      <c r="AC599" s="9" t="n">
        <v>0</v>
      </c>
      <c r="AD599" s="9">
        <f>K599+AB599+AC599</f>
        <v/>
      </c>
      <c r="AE599" s="9">
        <f>(AD599*0.6)+(AA599*0.4)</f>
        <v/>
      </c>
      <c r="AF599">
        <f>IF(AE599&gt;=9,"Critical",IF(AE599&gt;=7,"High",IF(AE599&gt;=4,"Medium","Low")))</f>
        <v/>
      </c>
    </row>
    <row r="600">
      <c r="F600" t="n">
        <v>1</v>
      </c>
      <c r="I600">
        <f>IF(D600="","",TODAY()-D600)</f>
        <v/>
      </c>
      <c r="K600">
        <f>IF(J600="v4.0",L600,IF(J600="v3.1",M600,IF(J600="Both",L600,IF(AND(L600&lt;&gt;"",M600=""),L600,M600))))</f>
        <v/>
      </c>
      <c r="U600">
        <f>IF(T600="Tier 1",10,IF(T600="Tier 2",7,IF(T600="Tier 3",4,IF(T600="Tier 4",1,0))))</f>
        <v/>
      </c>
      <c r="W600">
        <f>IF(V600="Restricted",10,IF(V600="Confidential",7,IF(V600="Internal",4,IF(V600="Public",1,0))))</f>
        <v/>
      </c>
      <c r="AA600" s="9">
        <f>(U600*0.4)+(W600*0.3)+(IF(Z600="Critical",10,IF(Z600="High",7,IF(Z600="Medium",4,1)))*0.2)+(IF(Y600="YES",10,0)*0.1)</f>
        <v/>
      </c>
      <c r="AB600" s="9">
        <f>IF(G600="YES",2.0,0)+IF(H600="YES",2.0,0)</f>
        <v/>
      </c>
      <c r="AC600" s="9" t="n">
        <v>0</v>
      </c>
      <c r="AD600" s="9">
        <f>K600+AB600+AC600</f>
        <v/>
      </c>
      <c r="AE600" s="9">
        <f>(AD600*0.6)+(AA600*0.4)</f>
        <v/>
      </c>
      <c r="AF600">
        <f>IF(AE600&gt;=9,"Critical",IF(AE600&gt;=7,"High",IF(AE600&gt;=4,"Medium","Low")))</f>
        <v/>
      </c>
    </row>
    <row r="601">
      <c r="F601" t="n">
        <v>1</v>
      </c>
      <c r="I601">
        <f>IF(D601="","",TODAY()-D601)</f>
        <v/>
      </c>
      <c r="K601">
        <f>IF(J601="v4.0",L601,IF(J601="v3.1",M601,IF(J601="Both",L601,IF(AND(L601&lt;&gt;"",M601=""),L601,M601))))</f>
        <v/>
      </c>
      <c r="U601">
        <f>IF(T601="Tier 1",10,IF(T601="Tier 2",7,IF(T601="Tier 3",4,IF(T601="Tier 4",1,0))))</f>
        <v/>
      </c>
      <c r="W601">
        <f>IF(V601="Restricted",10,IF(V601="Confidential",7,IF(V601="Internal",4,IF(V601="Public",1,0))))</f>
        <v/>
      </c>
      <c r="AA601" s="9">
        <f>(U601*0.4)+(W601*0.3)+(IF(Z601="Critical",10,IF(Z601="High",7,IF(Z601="Medium",4,1)))*0.2)+(IF(Y601="YES",10,0)*0.1)</f>
        <v/>
      </c>
      <c r="AB601" s="9">
        <f>IF(G601="YES",2.0,0)+IF(H601="YES",2.0,0)</f>
        <v/>
      </c>
      <c r="AC601" s="9" t="n">
        <v>0</v>
      </c>
      <c r="AD601" s="9">
        <f>K601+AB601+AC601</f>
        <v/>
      </c>
      <c r="AE601" s="9">
        <f>(AD601*0.6)+(AA601*0.4)</f>
        <v/>
      </c>
      <c r="AF601">
        <f>IF(AE601&gt;=9,"Critical",IF(AE601&gt;=7,"High",IF(AE601&gt;=4,"Medium","Low")))</f>
        <v/>
      </c>
    </row>
    <row r="602">
      <c r="F602" t="n">
        <v>1</v>
      </c>
      <c r="I602">
        <f>IF(D602="","",TODAY()-D602)</f>
        <v/>
      </c>
      <c r="K602">
        <f>IF(J602="v4.0",L602,IF(J602="v3.1",M602,IF(J602="Both",L602,IF(AND(L602&lt;&gt;"",M602=""),L602,M602))))</f>
        <v/>
      </c>
      <c r="U602">
        <f>IF(T602="Tier 1",10,IF(T602="Tier 2",7,IF(T602="Tier 3",4,IF(T602="Tier 4",1,0))))</f>
        <v/>
      </c>
      <c r="W602">
        <f>IF(V602="Restricted",10,IF(V602="Confidential",7,IF(V602="Internal",4,IF(V602="Public",1,0))))</f>
        <v/>
      </c>
      <c r="AA602" s="9">
        <f>(U602*0.4)+(W602*0.3)+(IF(Z602="Critical",10,IF(Z602="High",7,IF(Z602="Medium",4,1)))*0.2)+(IF(Y602="YES",10,0)*0.1)</f>
        <v/>
      </c>
      <c r="AB602" s="9">
        <f>IF(G602="YES",2.0,0)+IF(H602="YES",2.0,0)</f>
        <v/>
      </c>
      <c r="AC602" s="9" t="n">
        <v>0</v>
      </c>
      <c r="AD602" s="9">
        <f>K602+AB602+AC602</f>
        <v/>
      </c>
      <c r="AE602" s="9">
        <f>(AD602*0.6)+(AA602*0.4)</f>
        <v/>
      </c>
      <c r="AF602">
        <f>IF(AE602&gt;=9,"Critical",IF(AE602&gt;=7,"High",IF(AE602&gt;=4,"Medium","Low")))</f>
        <v/>
      </c>
    </row>
    <row r="603">
      <c r="F603" t="n">
        <v>1</v>
      </c>
      <c r="I603">
        <f>IF(D603="","",TODAY()-D603)</f>
        <v/>
      </c>
      <c r="K603">
        <f>IF(J603="v4.0",L603,IF(J603="v3.1",M603,IF(J603="Both",L603,IF(AND(L603&lt;&gt;"",M603=""),L603,M603))))</f>
        <v/>
      </c>
      <c r="U603">
        <f>IF(T603="Tier 1",10,IF(T603="Tier 2",7,IF(T603="Tier 3",4,IF(T603="Tier 4",1,0))))</f>
        <v/>
      </c>
      <c r="W603">
        <f>IF(V603="Restricted",10,IF(V603="Confidential",7,IF(V603="Internal",4,IF(V603="Public",1,0))))</f>
        <v/>
      </c>
      <c r="AA603" s="9">
        <f>(U603*0.4)+(W603*0.3)+(IF(Z603="Critical",10,IF(Z603="High",7,IF(Z603="Medium",4,1)))*0.2)+(IF(Y603="YES",10,0)*0.1)</f>
        <v/>
      </c>
      <c r="AB603" s="9">
        <f>IF(G603="YES",2.0,0)+IF(H603="YES",2.0,0)</f>
        <v/>
      </c>
      <c r="AC603" s="9" t="n">
        <v>0</v>
      </c>
      <c r="AD603" s="9">
        <f>K603+AB603+AC603</f>
        <v/>
      </c>
      <c r="AE603" s="9">
        <f>(AD603*0.6)+(AA603*0.4)</f>
        <v/>
      </c>
      <c r="AF603">
        <f>IF(AE603&gt;=9,"Critical",IF(AE603&gt;=7,"High",IF(AE603&gt;=4,"Medium","Low")))</f>
        <v/>
      </c>
    </row>
    <row r="604">
      <c r="F604" t="n">
        <v>1</v>
      </c>
      <c r="I604">
        <f>IF(D604="","",TODAY()-D604)</f>
        <v/>
      </c>
      <c r="K604">
        <f>IF(J604="v4.0",L604,IF(J604="v3.1",M604,IF(J604="Both",L604,IF(AND(L604&lt;&gt;"",M604=""),L604,M604))))</f>
        <v/>
      </c>
      <c r="U604">
        <f>IF(T604="Tier 1",10,IF(T604="Tier 2",7,IF(T604="Tier 3",4,IF(T604="Tier 4",1,0))))</f>
        <v/>
      </c>
      <c r="W604">
        <f>IF(V604="Restricted",10,IF(V604="Confidential",7,IF(V604="Internal",4,IF(V604="Public",1,0))))</f>
        <v/>
      </c>
      <c r="AA604" s="9">
        <f>(U604*0.4)+(W604*0.3)+(IF(Z604="Critical",10,IF(Z604="High",7,IF(Z604="Medium",4,1)))*0.2)+(IF(Y604="YES",10,0)*0.1)</f>
        <v/>
      </c>
      <c r="AB604" s="9">
        <f>IF(G604="YES",2.0,0)+IF(H604="YES",2.0,0)</f>
        <v/>
      </c>
      <c r="AC604" s="9" t="n">
        <v>0</v>
      </c>
      <c r="AD604" s="9">
        <f>K604+AB604+AC604</f>
        <v/>
      </c>
      <c r="AE604" s="9">
        <f>(AD604*0.6)+(AA604*0.4)</f>
        <v/>
      </c>
      <c r="AF604">
        <f>IF(AE604&gt;=9,"Critical",IF(AE604&gt;=7,"High",IF(AE604&gt;=4,"Medium","Low")))</f>
        <v/>
      </c>
    </row>
    <row r="605">
      <c r="F605" t="n">
        <v>1</v>
      </c>
      <c r="I605">
        <f>IF(D605="","",TODAY()-D605)</f>
        <v/>
      </c>
      <c r="K605">
        <f>IF(J605="v4.0",L605,IF(J605="v3.1",M605,IF(J605="Both",L605,IF(AND(L605&lt;&gt;"",M605=""),L605,M605))))</f>
        <v/>
      </c>
      <c r="U605">
        <f>IF(T605="Tier 1",10,IF(T605="Tier 2",7,IF(T605="Tier 3",4,IF(T605="Tier 4",1,0))))</f>
        <v/>
      </c>
      <c r="W605">
        <f>IF(V605="Restricted",10,IF(V605="Confidential",7,IF(V605="Internal",4,IF(V605="Public",1,0))))</f>
        <v/>
      </c>
      <c r="AA605" s="9">
        <f>(U605*0.4)+(W605*0.3)+(IF(Z605="Critical",10,IF(Z605="High",7,IF(Z605="Medium",4,1)))*0.2)+(IF(Y605="YES",10,0)*0.1)</f>
        <v/>
      </c>
      <c r="AB605" s="9">
        <f>IF(G605="YES",2.0,0)+IF(H605="YES",2.0,0)</f>
        <v/>
      </c>
      <c r="AC605" s="9" t="n">
        <v>0</v>
      </c>
      <c r="AD605" s="9">
        <f>K605+AB605+AC605</f>
        <v/>
      </c>
      <c r="AE605" s="9">
        <f>(AD605*0.6)+(AA605*0.4)</f>
        <v/>
      </c>
      <c r="AF605">
        <f>IF(AE605&gt;=9,"Critical",IF(AE605&gt;=7,"High",IF(AE605&gt;=4,"Medium","Low")))</f>
        <v/>
      </c>
    </row>
    <row r="606">
      <c r="F606" t="n">
        <v>1</v>
      </c>
      <c r="I606">
        <f>IF(D606="","",TODAY()-D606)</f>
        <v/>
      </c>
      <c r="K606">
        <f>IF(J606="v4.0",L606,IF(J606="v3.1",M606,IF(J606="Both",L606,IF(AND(L606&lt;&gt;"",M606=""),L606,M606))))</f>
        <v/>
      </c>
      <c r="U606">
        <f>IF(T606="Tier 1",10,IF(T606="Tier 2",7,IF(T606="Tier 3",4,IF(T606="Tier 4",1,0))))</f>
        <v/>
      </c>
      <c r="W606">
        <f>IF(V606="Restricted",10,IF(V606="Confidential",7,IF(V606="Internal",4,IF(V606="Public",1,0))))</f>
        <v/>
      </c>
      <c r="AA606" s="9">
        <f>(U606*0.4)+(W606*0.3)+(IF(Z606="Critical",10,IF(Z606="High",7,IF(Z606="Medium",4,1)))*0.2)+(IF(Y606="YES",10,0)*0.1)</f>
        <v/>
      </c>
      <c r="AB606" s="9">
        <f>IF(G606="YES",2.0,0)+IF(H606="YES",2.0,0)</f>
        <v/>
      </c>
      <c r="AC606" s="9" t="n">
        <v>0</v>
      </c>
      <c r="AD606" s="9">
        <f>K606+AB606+AC606</f>
        <v/>
      </c>
      <c r="AE606" s="9">
        <f>(AD606*0.6)+(AA606*0.4)</f>
        <v/>
      </c>
      <c r="AF606">
        <f>IF(AE606&gt;=9,"Critical",IF(AE606&gt;=7,"High",IF(AE606&gt;=4,"Medium","Low")))</f>
        <v/>
      </c>
    </row>
    <row r="607">
      <c r="F607" t="n">
        <v>1</v>
      </c>
      <c r="I607">
        <f>IF(D607="","",TODAY()-D607)</f>
        <v/>
      </c>
      <c r="K607">
        <f>IF(J607="v4.0",L607,IF(J607="v3.1",M607,IF(J607="Both",L607,IF(AND(L607&lt;&gt;"",M607=""),L607,M607))))</f>
        <v/>
      </c>
      <c r="U607">
        <f>IF(T607="Tier 1",10,IF(T607="Tier 2",7,IF(T607="Tier 3",4,IF(T607="Tier 4",1,0))))</f>
        <v/>
      </c>
      <c r="W607">
        <f>IF(V607="Restricted",10,IF(V607="Confidential",7,IF(V607="Internal",4,IF(V607="Public",1,0))))</f>
        <v/>
      </c>
      <c r="AA607" s="9">
        <f>(U607*0.4)+(W607*0.3)+(IF(Z607="Critical",10,IF(Z607="High",7,IF(Z607="Medium",4,1)))*0.2)+(IF(Y607="YES",10,0)*0.1)</f>
        <v/>
      </c>
      <c r="AB607" s="9">
        <f>IF(G607="YES",2.0,0)+IF(H607="YES",2.0,0)</f>
        <v/>
      </c>
      <c r="AC607" s="9" t="n">
        <v>0</v>
      </c>
      <c r="AD607" s="9">
        <f>K607+AB607+AC607</f>
        <v/>
      </c>
      <c r="AE607" s="9">
        <f>(AD607*0.6)+(AA607*0.4)</f>
        <v/>
      </c>
      <c r="AF607">
        <f>IF(AE607&gt;=9,"Critical",IF(AE607&gt;=7,"High",IF(AE607&gt;=4,"Medium","Low")))</f>
        <v/>
      </c>
    </row>
    <row r="608">
      <c r="F608" t="n">
        <v>1</v>
      </c>
      <c r="I608">
        <f>IF(D608="","",TODAY()-D608)</f>
        <v/>
      </c>
      <c r="K608">
        <f>IF(J608="v4.0",L608,IF(J608="v3.1",M608,IF(J608="Both",L608,IF(AND(L608&lt;&gt;"",M608=""),L608,M608))))</f>
        <v/>
      </c>
      <c r="U608">
        <f>IF(T608="Tier 1",10,IF(T608="Tier 2",7,IF(T608="Tier 3",4,IF(T608="Tier 4",1,0))))</f>
        <v/>
      </c>
      <c r="W608">
        <f>IF(V608="Restricted",10,IF(V608="Confidential",7,IF(V608="Internal",4,IF(V608="Public",1,0))))</f>
        <v/>
      </c>
      <c r="AA608" s="9">
        <f>(U608*0.4)+(W608*0.3)+(IF(Z608="Critical",10,IF(Z608="High",7,IF(Z608="Medium",4,1)))*0.2)+(IF(Y608="YES",10,0)*0.1)</f>
        <v/>
      </c>
      <c r="AB608" s="9">
        <f>IF(G608="YES",2.0,0)+IF(H608="YES",2.0,0)</f>
        <v/>
      </c>
      <c r="AC608" s="9" t="n">
        <v>0</v>
      </c>
      <c r="AD608" s="9">
        <f>K608+AB608+AC608</f>
        <v/>
      </c>
      <c r="AE608" s="9">
        <f>(AD608*0.6)+(AA608*0.4)</f>
        <v/>
      </c>
      <c r="AF608">
        <f>IF(AE608&gt;=9,"Critical",IF(AE608&gt;=7,"High",IF(AE608&gt;=4,"Medium","Low")))</f>
        <v/>
      </c>
    </row>
    <row r="609">
      <c r="F609" t="n">
        <v>1</v>
      </c>
      <c r="I609">
        <f>IF(D609="","",TODAY()-D609)</f>
        <v/>
      </c>
      <c r="K609">
        <f>IF(J609="v4.0",L609,IF(J609="v3.1",M609,IF(J609="Both",L609,IF(AND(L609&lt;&gt;"",M609=""),L609,M609))))</f>
        <v/>
      </c>
      <c r="U609">
        <f>IF(T609="Tier 1",10,IF(T609="Tier 2",7,IF(T609="Tier 3",4,IF(T609="Tier 4",1,0))))</f>
        <v/>
      </c>
      <c r="W609">
        <f>IF(V609="Restricted",10,IF(V609="Confidential",7,IF(V609="Internal",4,IF(V609="Public",1,0))))</f>
        <v/>
      </c>
      <c r="AA609" s="9">
        <f>(U609*0.4)+(W609*0.3)+(IF(Z609="Critical",10,IF(Z609="High",7,IF(Z609="Medium",4,1)))*0.2)+(IF(Y609="YES",10,0)*0.1)</f>
        <v/>
      </c>
      <c r="AB609" s="9">
        <f>IF(G609="YES",2.0,0)+IF(H609="YES",2.0,0)</f>
        <v/>
      </c>
      <c r="AC609" s="9" t="n">
        <v>0</v>
      </c>
      <c r="AD609" s="9">
        <f>K609+AB609+AC609</f>
        <v/>
      </c>
      <c r="AE609" s="9">
        <f>(AD609*0.6)+(AA609*0.4)</f>
        <v/>
      </c>
      <c r="AF609">
        <f>IF(AE609&gt;=9,"Critical",IF(AE609&gt;=7,"High",IF(AE609&gt;=4,"Medium","Low")))</f>
        <v/>
      </c>
    </row>
    <row r="610">
      <c r="F610" t="n">
        <v>1</v>
      </c>
      <c r="I610">
        <f>IF(D610="","",TODAY()-D610)</f>
        <v/>
      </c>
      <c r="K610">
        <f>IF(J610="v4.0",L610,IF(J610="v3.1",M610,IF(J610="Both",L610,IF(AND(L610&lt;&gt;"",M610=""),L610,M610))))</f>
        <v/>
      </c>
      <c r="U610">
        <f>IF(T610="Tier 1",10,IF(T610="Tier 2",7,IF(T610="Tier 3",4,IF(T610="Tier 4",1,0))))</f>
        <v/>
      </c>
      <c r="W610">
        <f>IF(V610="Restricted",10,IF(V610="Confidential",7,IF(V610="Internal",4,IF(V610="Public",1,0))))</f>
        <v/>
      </c>
      <c r="AA610" s="9">
        <f>(U610*0.4)+(W610*0.3)+(IF(Z610="Critical",10,IF(Z610="High",7,IF(Z610="Medium",4,1)))*0.2)+(IF(Y610="YES",10,0)*0.1)</f>
        <v/>
      </c>
      <c r="AB610" s="9">
        <f>IF(G610="YES",2.0,0)+IF(H610="YES",2.0,0)</f>
        <v/>
      </c>
      <c r="AC610" s="9" t="n">
        <v>0</v>
      </c>
      <c r="AD610" s="9">
        <f>K610+AB610+AC610</f>
        <v/>
      </c>
      <c r="AE610" s="9">
        <f>(AD610*0.6)+(AA610*0.4)</f>
        <v/>
      </c>
      <c r="AF610">
        <f>IF(AE610&gt;=9,"Critical",IF(AE610&gt;=7,"High",IF(AE610&gt;=4,"Medium","Low")))</f>
        <v/>
      </c>
    </row>
    <row r="611">
      <c r="F611" t="n">
        <v>1</v>
      </c>
      <c r="I611">
        <f>IF(D611="","",TODAY()-D611)</f>
        <v/>
      </c>
      <c r="K611">
        <f>IF(J611="v4.0",L611,IF(J611="v3.1",M611,IF(J611="Both",L611,IF(AND(L611&lt;&gt;"",M611=""),L611,M611))))</f>
        <v/>
      </c>
      <c r="U611">
        <f>IF(T611="Tier 1",10,IF(T611="Tier 2",7,IF(T611="Tier 3",4,IF(T611="Tier 4",1,0))))</f>
        <v/>
      </c>
      <c r="W611">
        <f>IF(V611="Restricted",10,IF(V611="Confidential",7,IF(V611="Internal",4,IF(V611="Public",1,0))))</f>
        <v/>
      </c>
      <c r="AA611" s="9">
        <f>(U611*0.4)+(W611*0.3)+(IF(Z611="Critical",10,IF(Z611="High",7,IF(Z611="Medium",4,1)))*0.2)+(IF(Y611="YES",10,0)*0.1)</f>
        <v/>
      </c>
      <c r="AB611" s="9">
        <f>IF(G611="YES",2.0,0)+IF(H611="YES",2.0,0)</f>
        <v/>
      </c>
      <c r="AC611" s="9" t="n">
        <v>0</v>
      </c>
      <c r="AD611" s="9">
        <f>K611+AB611+AC611</f>
        <v/>
      </c>
      <c r="AE611" s="9">
        <f>(AD611*0.6)+(AA611*0.4)</f>
        <v/>
      </c>
      <c r="AF611">
        <f>IF(AE611&gt;=9,"Critical",IF(AE611&gt;=7,"High",IF(AE611&gt;=4,"Medium","Low")))</f>
        <v/>
      </c>
    </row>
    <row r="612">
      <c r="F612" t="n">
        <v>1</v>
      </c>
      <c r="I612">
        <f>IF(D612="","",TODAY()-D612)</f>
        <v/>
      </c>
      <c r="K612">
        <f>IF(J612="v4.0",L612,IF(J612="v3.1",M612,IF(J612="Both",L612,IF(AND(L612&lt;&gt;"",M612=""),L612,M612))))</f>
        <v/>
      </c>
      <c r="U612">
        <f>IF(T612="Tier 1",10,IF(T612="Tier 2",7,IF(T612="Tier 3",4,IF(T612="Tier 4",1,0))))</f>
        <v/>
      </c>
      <c r="W612">
        <f>IF(V612="Restricted",10,IF(V612="Confidential",7,IF(V612="Internal",4,IF(V612="Public",1,0))))</f>
        <v/>
      </c>
      <c r="AA612" s="9">
        <f>(U612*0.4)+(W612*0.3)+(IF(Z612="Critical",10,IF(Z612="High",7,IF(Z612="Medium",4,1)))*0.2)+(IF(Y612="YES",10,0)*0.1)</f>
        <v/>
      </c>
      <c r="AB612" s="9">
        <f>IF(G612="YES",2.0,0)+IF(H612="YES",2.0,0)</f>
        <v/>
      </c>
      <c r="AC612" s="9" t="n">
        <v>0</v>
      </c>
      <c r="AD612" s="9">
        <f>K612+AB612+AC612</f>
        <v/>
      </c>
      <c r="AE612" s="9">
        <f>(AD612*0.6)+(AA612*0.4)</f>
        <v/>
      </c>
      <c r="AF612">
        <f>IF(AE612&gt;=9,"Critical",IF(AE612&gt;=7,"High",IF(AE612&gt;=4,"Medium","Low")))</f>
        <v/>
      </c>
    </row>
    <row r="613">
      <c r="F613" t="n">
        <v>1</v>
      </c>
      <c r="I613">
        <f>IF(D613="","",TODAY()-D613)</f>
        <v/>
      </c>
      <c r="K613">
        <f>IF(J613="v4.0",L613,IF(J613="v3.1",M613,IF(J613="Both",L613,IF(AND(L613&lt;&gt;"",M613=""),L613,M613))))</f>
        <v/>
      </c>
      <c r="U613">
        <f>IF(T613="Tier 1",10,IF(T613="Tier 2",7,IF(T613="Tier 3",4,IF(T613="Tier 4",1,0))))</f>
        <v/>
      </c>
      <c r="W613">
        <f>IF(V613="Restricted",10,IF(V613="Confidential",7,IF(V613="Internal",4,IF(V613="Public",1,0))))</f>
        <v/>
      </c>
      <c r="AA613" s="9">
        <f>(U613*0.4)+(W613*0.3)+(IF(Z613="Critical",10,IF(Z613="High",7,IF(Z613="Medium",4,1)))*0.2)+(IF(Y613="YES",10,0)*0.1)</f>
        <v/>
      </c>
      <c r="AB613" s="9">
        <f>IF(G613="YES",2.0,0)+IF(H613="YES",2.0,0)</f>
        <v/>
      </c>
      <c r="AC613" s="9" t="n">
        <v>0</v>
      </c>
      <c r="AD613" s="9">
        <f>K613+AB613+AC613</f>
        <v/>
      </c>
      <c r="AE613" s="9">
        <f>(AD613*0.6)+(AA613*0.4)</f>
        <v/>
      </c>
      <c r="AF613">
        <f>IF(AE613&gt;=9,"Critical",IF(AE613&gt;=7,"High",IF(AE613&gt;=4,"Medium","Low")))</f>
        <v/>
      </c>
    </row>
    <row r="614">
      <c r="F614" t="n">
        <v>1</v>
      </c>
      <c r="I614">
        <f>IF(D614="","",TODAY()-D614)</f>
        <v/>
      </c>
      <c r="K614">
        <f>IF(J614="v4.0",L614,IF(J614="v3.1",M614,IF(J614="Both",L614,IF(AND(L614&lt;&gt;"",M614=""),L614,M614))))</f>
        <v/>
      </c>
      <c r="U614">
        <f>IF(T614="Tier 1",10,IF(T614="Tier 2",7,IF(T614="Tier 3",4,IF(T614="Tier 4",1,0))))</f>
        <v/>
      </c>
      <c r="W614">
        <f>IF(V614="Restricted",10,IF(V614="Confidential",7,IF(V614="Internal",4,IF(V614="Public",1,0))))</f>
        <v/>
      </c>
      <c r="AA614" s="9">
        <f>(U614*0.4)+(W614*0.3)+(IF(Z614="Critical",10,IF(Z614="High",7,IF(Z614="Medium",4,1)))*0.2)+(IF(Y614="YES",10,0)*0.1)</f>
        <v/>
      </c>
      <c r="AB614" s="9">
        <f>IF(G614="YES",2.0,0)+IF(H614="YES",2.0,0)</f>
        <v/>
      </c>
      <c r="AC614" s="9" t="n">
        <v>0</v>
      </c>
      <c r="AD614" s="9">
        <f>K614+AB614+AC614</f>
        <v/>
      </c>
      <c r="AE614" s="9">
        <f>(AD614*0.6)+(AA614*0.4)</f>
        <v/>
      </c>
      <c r="AF614">
        <f>IF(AE614&gt;=9,"Critical",IF(AE614&gt;=7,"High",IF(AE614&gt;=4,"Medium","Low")))</f>
        <v/>
      </c>
    </row>
    <row r="615">
      <c r="F615" t="n">
        <v>1</v>
      </c>
      <c r="I615">
        <f>IF(D615="","",TODAY()-D615)</f>
        <v/>
      </c>
      <c r="K615">
        <f>IF(J615="v4.0",L615,IF(J615="v3.1",M615,IF(J615="Both",L615,IF(AND(L615&lt;&gt;"",M615=""),L615,M615))))</f>
        <v/>
      </c>
      <c r="U615">
        <f>IF(T615="Tier 1",10,IF(T615="Tier 2",7,IF(T615="Tier 3",4,IF(T615="Tier 4",1,0))))</f>
        <v/>
      </c>
      <c r="W615">
        <f>IF(V615="Restricted",10,IF(V615="Confidential",7,IF(V615="Internal",4,IF(V615="Public",1,0))))</f>
        <v/>
      </c>
      <c r="AA615" s="9">
        <f>(U615*0.4)+(W615*0.3)+(IF(Z615="Critical",10,IF(Z615="High",7,IF(Z615="Medium",4,1)))*0.2)+(IF(Y615="YES",10,0)*0.1)</f>
        <v/>
      </c>
      <c r="AB615" s="9">
        <f>IF(G615="YES",2.0,0)+IF(H615="YES",2.0,0)</f>
        <v/>
      </c>
      <c r="AC615" s="9" t="n">
        <v>0</v>
      </c>
      <c r="AD615" s="9">
        <f>K615+AB615+AC615</f>
        <v/>
      </c>
      <c r="AE615" s="9">
        <f>(AD615*0.6)+(AA615*0.4)</f>
        <v/>
      </c>
      <c r="AF615">
        <f>IF(AE615&gt;=9,"Critical",IF(AE615&gt;=7,"High",IF(AE615&gt;=4,"Medium","Low")))</f>
        <v/>
      </c>
    </row>
    <row r="616">
      <c r="F616" t="n">
        <v>1</v>
      </c>
      <c r="I616">
        <f>IF(D616="","",TODAY()-D616)</f>
        <v/>
      </c>
      <c r="K616">
        <f>IF(J616="v4.0",L616,IF(J616="v3.1",M616,IF(J616="Both",L616,IF(AND(L616&lt;&gt;"",M616=""),L616,M616))))</f>
        <v/>
      </c>
      <c r="U616">
        <f>IF(T616="Tier 1",10,IF(T616="Tier 2",7,IF(T616="Tier 3",4,IF(T616="Tier 4",1,0))))</f>
        <v/>
      </c>
      <c r="W616">
        <f>IF(V616="Restricted",10,IF(V616="Confidential",7,IF(V616="Internal",4,IF(V616="Public",1,0))))</f>
        <v/>
      </c>
      <c r="AA616" s="9">
        <f>(U616*0.4)+(W616*0.3)+(IF(Z616="Critical",10,IF(Z616="High",7,IF(Z616="Medium",4,1)))*0.2)+(IF(Y616="YES",10,0)*0.1)</f>
        <v/>
      </c>
      <c r="AB616" s="9">
        <f>IF(G616="YES",2.0,0)+IF(H616="YES",2.0,0)</f>
        <v/>
      </c>
      <c r="AC616" s="9" t="n">
        <v>0</v>
      </c>
      <c r="AD616" s="9">
        <f>K616+AB616+AC616</f>
        <v/>
      </c>
      <c r="AE616" s="9">
        <f>(AD616*0.6)+(AA616*0.4)</f>
        <v/>
      </c>
      <c r="AF616">
        <f>IF(AE616&gt;=9,"Critical",IF(AE616&gt;=7,"High",IF(AE616&gt;=4,"Medium","Low")))</f>
        <v/>
      </c>
    </row>
    <row r="617">
      <c r="F617" t="n">
        <v>1</v>
      </c>
      <c r="I617">
        <f>IF(D617="","",TODAY()-D617)</f>
        <v/>
      </c>
      <c r="K617">
        <f>IF(J617="v4.0",L617,IF(J617="v3.1",M617,IF(J617="Both",L617,IF(AND(L617&lt;&gt;"",M617=""),L617,M617))))</f>
        <v/>
      </c>
      <c r="U617">
        <f>IF(T617="Tier 1",10,IF(T617="Tier 2",7,IF(T617="Tier 3",4,IF(T617="Tier 4",1,0))))</f>
        <v/>
      </c>
      <c r="W617">
        <f>IF(V617="Restricted",10,IF(V617="Confidential",7,IF(V617="Internal",4,IF(V617="Public",1,0))))</f>
        <v/>
      </c>
      <c r="AA617" s="9">
        <f>(U617*0.4)+(W617*0.3)+(IF(Z617="Critical",10,IF(Z617="High",7,IF(Z617="Medium",4,1)))*0.2)+(IF(Y617="YES",10,0)*0.1)</f>
        <v/>
      </c>
      <c r="AB617" s="9">
        <f>IF(G617="YES",2.0,0)+IF(H617="YES",2.0,0)</f>
        <v/>
      </c>
      <c r="AC617" s="9" t="n">
        <v>0</v>
      </c>
      <c r="AD617" s="9">
        <f>K617+AB617+AC617</f>
        <v/>
      </c>
      <c r="AE617" s="9">
        <f>(AD617*0.6)+(AA617*0.4)</f>
        <v/>
      </c>
      <c r="AF617">
        <f>IF(AE617&gt;=9,"Critical",IF(AE617&gt;=7,"High",IF(AE617&gt;=4,"Medium","Low")))</f>
        <v/>
      </c>
    </row>
    <row r="618">
      <c r="F618" t="n">
        <v>1</v>
      </c>
      <c r="I618">
        <f>IF(D618="","",TODAY()-D618)</f>
        <v/>
      </c>
      <c r="K618">
        <f>IF(J618="v4.0",L618,IF(J618="v3.1",M618,IF(J618="Both",L618,IF(AND(L618&lt;&gt;"",M618=""),L618,M618))))</f>
        <v/>
      </c>
      <c r="U618">
        <f>IF(T618="Tier 1",10,IF(T618="Tier 2",7,IF(T618="Tier 3",4,IF(T618="Tier 4",1,0))))</f>
        <v/>
      </c>
      <c r="W618">
        <f>IF(V618="Restricted",10,IF(V618="Confidential",7,IF(V618="Internal",4,IF(V618="Public",1,0))))</f>
        <v/>
      </c>
      <c r="AA618" s="9">
        <f>(U618*0.4)+(W618*0.3)+(IF(Z618="Critical",10,IF(Z618="High",7,IF(Z618="Medium",4,1)))*0.2)+(IF(Y618="YES",10,0)*0.1)</f>
        <v/>
      </c>
      <c r="AB618" s="9">
        <f>IF(G618="YES",2.0,0)+IF(H618="YES",2.0,0)</f>
        <v/>
      </c>
      <c r="AC618" s="9" t="n">
        <v>0</v>
      </c>
      <c r="AD618" s="9">
        <f>K618+AB618+AC618</f>
        <v/>
      </c>
      <c r="AE618" s="9">
        <f>(AD618*0.6)+(AA618*0.4)</f>
        <v/>
      </c>
      <c r="AF618">
        <f>IF(AE618&gt;=9,"Critical",IF(AE618&gt;=7,"High",IF(AE618&gt;=4,"Medium","Low")))</f>
        <v/>
      </c>
    </row>
    <row r="619">
      <c r="F619" t="n">
        <v>1</v>
      </c>
      <c r="I619">
        <f>IF(D619="","",TODAY()-D619)</f>
        <v/>
      </c>
      <c r="K619">
        <f>IF(J619="v4.0",L619,IF(J619="v3.1",M619,IF(J619="Both",L619,IF(AND(L619&lt;&gt;"",M619=""),L619,M619))))</f>
        <v/>
      </c>
      <c r="U619">
        <f>IF(T619="Tier 1",10,IF(T619="Tier 2",7,IF(T619="Tier 3",4,IF(T619="Tier 4",1,0))))</f>
        <v/>
      </c>
      <c r="W619">
        <f>IF(V619="Restricted",10,IF(V619="Confidential",7,IF(V619="Internal",4,IF(V619="Public",1,0))))</f>
        <v/>
      </c>
      <c r="AA619" s="9">
        <f>(U619*0.4)+(W619*0.3)+(IF(Z619="Critical",10,IF(Z619="High",7,IF(Z619="Medium",4,1)))*0.2)+(IF(Y619="YES",10,0)*0.1)</f>
        <v/>
      </c>
      <c r="AB619" s="9">
        <f>IF(G619="YES",2.0,0)+IF(H619="YES",2.0,0)</f>
        <v/>
      </c>
      <c r="AC619" s="9" t="n">
        <v>0</v>
      </c>
      <c r="AD619" s="9">
        <f>K619+AB619+AC619</f>
        <v/>
      </c>
      <c r="AE619" s="9">
        <f>(AD619*0.6)+(AA619*0.4)</f>
        <v/>
      </c>
      <c r="AF619">
        <f>IF(AE619&gt;=9,"Critical",IF(AE619&gt;=7,"High",IF(AE619&gt;=4,"Medium","Low")))</f>
        <v/>
      </c>
    </row>
    <row r="620">
      <c r="F620" t="n">
        <v>1</v>
      </c>
      <c r="I620">
        <f>IF(D620="","",TODAY()-D620)</f>
        <v/>
      </c>
      <c r="K620">
        <f>IF(J620="v4.0",L620,IF(J620="v3.1",M620,IF(J620="Both",L620,IF(AND(L620&lt;&gt;"",M620=""),L620,M620))))</f>
        <v/>
      </c>
      <c r="U620">
        <f>IF(T620="Tier 1",10,IF(T620="Tier 2",7,IF(T620="Tier 3",4,IF(T620="Tier 4",1,0))))</f>
        <v/>
      </c>
      <c r="W620">
        <f>IF(V620="Restricted",10,IF(V620="Confidential",7,IF(V620="Internal",4,IF(V620="Public",1,0))))</f>
        <v/>
      </c>
      <c r="AA620" s="9">
        <f>(U620*0.4)+(W620*0.3)+(IF(Z620="Critical",10,IF(Z620="High",7,IF(Z620="Medium",4,1)))*0.2)+(IF(Y620="YES",10,0)*0.1)</f>
        <v/>
      </c>
      <c r="AB620" s="9">
        <f>IF(G620="YES",2.0,0)+IF(H620="YES",2.0,0)</f>
        <v/>
      </c>
      <c r="AC620" s="9" t="n">
        <v>0</v>
      </c>
      <c r="AD620" s="9">
        <f>K620+AB620+AC620</f>
        <v/>
      </c>
      <c r="AE620" s="9">
        <f>(AD620*0.6)+(AA620*0.4)</f>
        <v/>
      </c>
      <c r="AF620">
        <f>IF(AE620&gt;=9,"Critical",IF(AE620&gt;=7,"High",IF(AE620&gt;=4,"Medium","Low")))</f>
        <v/>
      </c>
    </row>
    <row r="621">
      <c r="F621" t="n">
        <v>1</v>
      </c>
      <c r="I621">
        <f>IF(D621="","",TODAY()-D621)</f>
        <v/>
      </c>
      <c r="K621">
        <f>IF(J621="v4.0",L621,IF(J621="v3.1",M621,IF(J621="Both",L621,IF(AND(L621&lt;&gt;"",M621=""),L621,M621))))</f>
        <v/>
      </c>
      <c r="U621">
        <f>IF(T621="Tier 1",10,IF(T621="Tier 2",7,IF(T621="Tier 3",4,IF(T621="Tier 4",1,0))))</f>
        <v/>
      </c>
      <c r="W621">
        <f>IF(V621="Restricted",10,IF(V621="Confidential",7,IF(V621="Internal",4,IF(V621="Public",1,0))))</f>
        <v/>
      </c>
      <c r="AA621" s="9">
        <f>(U621*0.4)+(W621*0.3)+(IF(Z621="Critical",10,IF(Z621="High",7,IF(Z621="Medium",4,1)))*0.2)+(IF(Y621="YES",10,0)*0.1)</f>
        <v/>
      </c>
      <c r="AB621" s="9">
        <f>IF(G621="YES",2.0,0)+IF(H621="YES",2.0,0)</f>
        <v/>
      </c>
      <c r="AC621" s="9" t="n">
        <v>0</v>
      </c>
      <c r="AD621" s="9">
        <f>K621+AB621+AC621</f>
        <v/>
      </c>
      <c r="AE621" s="9">
        <f>(AD621*0.6)+(AA621*0.4)</f>
        <v/>
      </c>
      <c r="AF621">
        <f>IF(AE621&gt;=9,"Critical",IF(AE621&gt;=7,"High",IF(AE621&gt;=4,"Medium","Low")))</f>
        <v/>
      </c>
    </row>
    <row r="622">
      <c r="F622" t="n">
        <v>1</v>
      </c>
      <c r="I622">
        <f>IF(D622="","",TODAY()-D622)</f>
        <v/>
      </c>
      <c r="K622">
        <f>IF(J622="v4.0",L622,IF(J622="v3.1",M622,IF(J622="Both",L622,IF(AND(L622&lt;&gt;"",M622=""),L622,M622))))</f>
        <v/>
      </c>
      <c r="U622">
        <f>IF(T622="Tier 1",10,IF(T622="Tier 2",7,IF(T622="Tier 3",4,IF(T622="Tier 4",1,0))))</f>
        <v/>
      </c>
      <c r="W622">
        <f>IF(V622="Restricted",10,IF(V622="Confidential",7,IF(V622="Internal",4,IF(V622="Public",1,0))))</f>
        <v/>
      </c>
      <c r="AA622" s="9">
        <f>(U622*0.4)+(W622*0.3)+(IF(Z622="Critical",10,IF(Z622="High",7,IF(Z622="Medium",4,1)))*0.2)+(IF(Y622="YES",10,0)*0.1)</f>
        <v/>
      </c>
      <c r="AB622" s="9">
        <f>IF(G622="YES",2.0,0)+IF(H622="YES",2.0,0)</f>
        <v/>
      </c>
      <c r="AC622" s="9" t="n">
        <v>0</v>
      </c>
      <c r="AD622" s="9">
        <f>K622+AB622+AC622</f>
        <v/>
      </c>
      <c r="AE622" s="9">
        <f>(AD622*0.6)+(AA622*0.4)</f>
        <v/>
      </c>
      <c r="AF622">
        <f>IF(AE622&gt;=9,"Critical",IF(AE622&gt;=7,"High",IF(AE622&gt;=4,"Medium","Low")))</f>
        <v/>
      </c>
    </row>
    <row r="623">
      <c r="F623" t="n">
        <v>1</v>
      </c>
      <c r="I623">
        <f>IF(D623="","",TODAY()-D623)</f>
        <v/>
      </c>
      <c r="K623">
        <f>IF(J623="v4.0",L623,IF(J623="v3.1",M623,IF(J623="Both",L623,IF(AND(L623&lt;&gt;"",M623=""),L623,M623))))</f>
        <v/>
      </c>
      <c r="U623">
        <f>IF(T623="Tier 1",10,IF(T623="Tier 2",7,IF(T623="Tier 3",4,IF(T623="Tier 4",1,0))))</f>
        <v/>
      </c>
      <c r="W623">
        <f>IF(V623="Restricted",10,IF(V623="Confidential",7,IF(V623="Internal",4,IF(V623="Public",1,0))))</f>
        <v/>
      </c>
      <c r="AA623" s="9">
        <f>(U623*0.4)+(W623*0.3)+(IF(Z623="Critical",10,IF(Z623="High",7,IF(Z623="Medium",4,1)))*0.2)+(IF(Y623="YES",10,0)*0.1)</f>
        <v/>
      </c>
      <c r="AB623" s="9">
        <f>IF(G623="YES",2.0,0)+IF(H623="YES",2.0,0)</f>
        <v/>
      </c>
      <c r="AC623" s="9" t="n">
        <v>0</v>
      </c>
      <c r="AD623" s="9">
        <f>K623+AB623+AC623</f>
        <v/>
      </c>
      <c r="AE623" s="9">
        <f>(AD623*0.6)+(AA623*0.4)</f>
        <v/>
      </c>
      <c r="AF623">
        <f>IF(AE623&gt;=9,"Critical",IF(AE623&gt;=7,"High",IF(AE623&gt;=4,"Medium","Low")))</f>
        <v/>
      </c>
    </row>
    <row r="624">
      <c r="F624" t="n">
        <v>1</v>
      </c>
      <c r="I624">
        <f>IF(D624="","",TODAY()-D624)</f>
        <v/>
      </c>
      <c r="K624">
        <f>IF(J624="v4.0",L624,IF(J624="v3.1",M624,IF(J624="Both",L624,IF(AND(L624&lt;&gt;"",M624=""),L624,M624))))</f>
        <v/>
      </c>
      <c r="U624">
        <f>IF(T624="Tier 1",10,IF(T624="Tier 2",7,IF(T624="Tier 3",4,IF(T624="Tier 4",1,0))))</f>
        <v/>
      </c>
      <c r="W624">
        <f>IF(V624="Restricted",10,IF(V624="Confidential",7,IF(V624="Internal",4,IF(V624="Public",1,0))))</f>
        <v/>
      </c>
      <c r="AA624" s="9">
        <f>(U624*0.4)+(W624*0.3)+(IF(Z624="Critical",10,IF(Z624="High",7,IF(Z624="Medium",4,1)))*0.2)+(IF(Y624="YES",10,0)*0.1)</f>
        <v/>
      </c>
      <c r="AB624" s="9">
        <f>IF(G624="YES",2.0,0)+IF(H624="YES",2.0,0)</f>
        <v/>
      </c>
      <c r="AC624" s="9" t="n">
        <v>0</v>
      </c>
      <c r="AD624" s="9">
        <f>K624+AB624+AC624</f>
        <v/>
      </c>
      <c r="AE624" s="9">
        <f>(AD624*0.6)+(AA624*0.4)</f>
        <v/>
      </c>
      <c r="AF624">
        <f>IF(AE624&gt;=9,"Critical",IF(AE624&gt;=7,"High",IF(AE624&gt;=4,"Medium","Low")))</f>
        <v/>
      </c>
    </row>
    <row r="625">
      <c r="F625" t="n">
        <v>1</v>
      </c>
      <c r="I625">
        <f>IF(D625="","",TODAY()-D625)</f>
        <v/>
      </c>
      <c r="K625">
        <f>IF(J625="v4.0",L625,IF(J625="v3.1",M625,IF(J625="Both",L625,IF(AND(L625&lt;&gt;"",M625=""),L625,M625))))</f>
        <v/>
      </c>
      <c r="U625">
        <f>IF(T625="Tier 1",10,IF(T625="Tier 2",7,IF(T625="Tier 3",4,IF(T625="Tier 4",1,0))))</f>
        <v/>
      </c>
      <c r="W625">
        <f>IF(V625="Restricted",10,IF(V625="Confidential",7,IF(V625="Internal",4,IF(V625="Public",1,0))))</f>
        <v/>
      </c>
      <c r="AA625" s="9">
        <f>(U625*0.4)+(W625*0.3)+(IF(Z625="Critical",10,IF(Z625="High",7,IF(Z625="Medium",4,1)))*0.2)+(IF(Y625="YES",10,0)*0.1)</f>
        <v/>
      </c>
      <c r="AB625" s="9">
        <f>IF(G625="YES",2.0,0)+IF(H625="YES",2.0,0)</f>
        <v/>
      </c>
      <c r="AC625" s="9" t="n">
        <v>0</v>
      </c>
      <c r="AD625" s="9">
        <f>K625+AB625+AC625</f>
        <v/>
      </c>
      <c r="AE625" s="9">
        <f>(AD625*0.6)+(AA625*0.4)</f>
        <v/>
      </c>
      <c r="AF625">
        <f>IF(AE625&gt;=9,"Critical",IF(AE625&gt;=7,"High",IF(AE625&gt;=4,"Medium","Low")))</f>
        <v/>
      </c>
    </row>
    <row r="626">
      <c r="F626" t="n">
        <v>1</v>
      </c>
      <c r="I626">
        <f>IF(D626="","",TODAY()-D626)</f>
        <v/>
      </c>
      <c r="K626">
        <f>IF(J626="v4.0",L626,IF(J626="v3.1",M626,IF(J626="Both",L626,IF(AND(L626&lt;&gt;"",M626=""),L626,M626))))</f>
        <v/>
      </c>
      <c r="U626">
        <f>IF(T626="Tier 1",10,IF(T626="Tier 2",7,IF(T626="Tier 3",4,IF(T626="Tier 4",1,0))))</f>
        <v/>
      </c>
      <c r="W626">
        <f>IF(V626="Restricted",10,IF(V626="Confidential",7,IF(V626="Internal",4,IF(V626="Public",1,0))))</f>
        <v/>
      </c>
      <c r="AA626" s="9">
        <f>(U626*0.4)+(W626*0.3)+(IF(Z626="Critical",10,IF(Z626="High",7,IF(Z626="Medium",4,1)))*0.2)+(IF(Y626="YES",10,0)*0.1)</f>
        <v/>
      </c>
      <c r="AB626" s="9">
        <f>IF(G626="YES",2.0,0)+IF(H626="YES",2.0,0)</f>
        <v/>
      </c>
      <c r="AC626" s="9" t="n">
        <v>0</v>
      </c>
      <c r="AD626" s="9">
        <f>K626+AB626+AC626</f>
        <v/>
      </c>
      <c r="AE626" s="9">
        <f>(AD626*0.6)+(AA626*0.4)</f>
        <v/>
      </c>
      <c r="AF626">
        <f>IF(AE626&gt;=9,"Critical",IF(AE626&gt;=7,"High",IF(AE626&gt;=4,"Medium","Low")))</f>
        <v/>
      </c>
    </row>
    <row r="627">
      <c r="F627" t="n">
        <v>1</v>
      </c>
      <c r="I627">
        <f>IF(D627="","",TODAY()-D627)</f>
        <v/>
      </c>
      <c r="K627">
        <f>IF(J627="v4.0",L627,IF(J627="v3.1",M627,IF(J627="Both",L627,IF(AND(L627&lt;&gt;"",M627=""),L627,M627))))</f>
        <v/>
      </c>
      <c r="U627">
        <f>IF(T627="Tier 1",10,IF(T627="Tier 2",7,IF(T627="Tier 3",4,IF(T627="Tier 4",1,0))))</f>
        <v/>
      </c>
      <c r="W627">
        <f>IF(V627="Restricted",10,IF(V627="Confidential",7,IF(V627="Internal",4,IF(V627="Public",1,0))))</f>
        <v/>
      </c>
      <c r="AA627" s="9">
        <f>(U627*0.4)+(W627*0.3)+(IF(Z627="Critical",10,IF(Z627="High",7,IF(Z627="Medium",4,1)))*0.2)+(IF(Y627="YES",10,0)*0.1)</f>
        <v/>
      </c>
      <c r="AB627" s="9">
        <f>IF(G627="YES",2.0,0)+IF(H627="YES",2.0,0)</f>
        <v/>
      </c>
      <c r="AC627" s="9" t="n">
        <v>0</v>
      </c>
      <c r="AD627" s="9">
        <f>K627+AB627+AC627</f>
        <v/>
      </c>
      <c r="AE627" s="9">
        <f>(AD627*0.6)+(AA627*0.4)</f>
        <v/>
      </c>
      <c r="AF627">
        <f>IF(AE627&gt;=9,"Critical",IF(AE627&gt;=7,"High",IF(AE627&gt;=4,"Medium","Low")))</f>
        <v/>
      </c>
    </row>
    <row r="628">
      <c r="F628" t="n">
        <v>1</v>
      </c>
      <c r="I628">
        <f>IF(D628="","",TODAY()-D628)</f>
        <v/>
      </c>
      <c r="K628">
        <f>IF(J628="v4.0",L628,IF(J628="v3.1",M628,IF(J628="Both",L628,IF(AND(L628&lt;&gt;"",M628=""),L628,M628))))</f>
        <v/>
      </c>
      <c r="U628">
        <f>IF(T628="Tier 1",10,IF(T628="Tier 2",7,IF(T628="Tier 3",4,IF(T628="Tier 4",1,0))))</f>
        <v/>
      </c>
      <c r="W628">
        <f>IF(V628="Restricted",10,IF(V628="Confidential",7,IF(V628="Internal",4,IF(V628="Public",1,0))))</f>
        <v/>
      </c>
      <c r="AA628" s="9">
        <f>(U628*0.4)+(W628*0.3)+(IF(Z628="Critical",10,IF(Z628="High",7,IF(Z628="Medium",4,1)))*0.2)+(IF(Y628="YES",10,0)*0.1)</f>
        <v/>
      </c>
      <c r="AB628" s="9">
        <f>IF(G628="YES",2.0,0)+IF(H628="YES",2.0,0)</f>
        <v/>
      </c>
      <c r="AC628" s="9" t="n">
        <v>0</v>
      </c>
      <c r="AD628" s="9">
        <f>K628+AB628+AC628</f>
        <v/>
      </c>
      <c r="AE628" s="9">
        <f>(AD628*0.6)+(AA628*0.4)</f>
        <v/>
      </c>
      <c r="AF628">
        <f>IF(AE628&gt;=9,"Critical",IF(AE628&gt;=7,"High",IF(AE628&gt;=4,"Medium","Low")))</f>
        <v/>
      </c>
    </row>
    <row r="629">
      <c r="F629" t="n">
        <v>1</v>
      </c>
      <c r="I629">
        <f>IF(D629="","",TODAY()-D629)</f>
        <v/>
      </c>
      <c r="K629">
        <f>IF(J629="v4.0",L629,IF(J629="v3.1",M629,IF(J629="Both",L629,IF(AND(L629&lt;&gt;"",M629=""),L629,M629))))</f>
        <v/>
      </c>
      <c r="U629">
        <f>IF(T629="Tier 1",10,IF(T629="Tier 2",7,IF(T629="Tier 3",4,IF(T629="Tier 4",1,0))))</f>
        <v/>
      </c>
      <c r="W629">
        <f>IF(V629="Restricted",10,IF(V629="Confidential",7,IF(V629="Internal",4,IF(V629="Public",1,0))))</f>
        <v/>
      </c>
      <c r="AA629" s="9">
        <f>(U629*0.4)+(W629*0.3)+(IF(Z629="Critical",10,IF(Z629="High",7,IF(Z629="Medium",4,1)))*0.2)+(IF(Y629="YES",10,0)*0.1)</f>
        <v/>
      </c>
      <c r="AB629" s="9">
        <f>IF(G629="YES",2.0,0)+IF(H629="YES",2.0,0)</f>
        <v/>
      </c>
      <c r="AC629" s="9" t="n">
        <v>0</v>
      </c>
      <c r="AD629" s="9">
        <f>K629+AB629+AC629</f>
        <v/>
      </c>
      <c r="AE629" s="9">
        <f>(AD629*0.6)+(AA629*0.4)</f>
        <v/>
      </c>
      <c r="AF629">
        <f>IF(AE629&gt;=9,"Critical",IF(AE629&gt;=7,"High",IF(AE629&gt;=4,"Medium","Low")))</f>
        <v/>
      </c>
    </row>
    <row r="630">
      <c r="F630" t="n">
        <v>1</v>
      </c>
      <c r="I630">
        <f>IF(D630="","",TODAY()-D630)</f>
        <v/>
      </c>
      <c r="K630">
        <f>IF(J630="v4.0",L630,IF(J630="v3.1",M630,IF(J630="Both",L630,IF(AND(L630&lt;&gt;"",M630=""),L630,M630))))</f>
        <v/>
      </c>
      <c r="U630">
        <f>IF(T630="Tier 1",10,IF(T630="Tier 2",7,IF(T630="Tier 3",4,IF(T630="Tier 4",1,0))))</f>
        <v/>
      </c>
      <c r="W630">
        <f>IF(V630="Restricted",10,IF(V630="Confidential",7,IF(V630="Internal",4,IF(V630="Public",1,0))))</f>
        <v/>
      </c>
      <c r="AA630" s="9">
        <f>(U630*0.4)+(W630*0.3)+(IF(Z630="Critical",10,IF(Z630="High",7,IF(Z630="Medium",4,1)))*0.2)+(IF(Y630="YES",10,0)*0.1)</f>
        <v/>
      </c>
      <c r="AB630" s="9">
        <f>IF(G630="YES",2.0,0)+IF(H630="YES",2.0,0)</f>
        <v/>
      </c>
      <c r="AC630" s="9" t="n">
        <v>0</v>
      </c>
      <c r="AD630" s="9">
        <f>K630+AB630+AC630</f>
        <v/>
      </c>
      <c r="AE630" s="9">
        <f>(AD630*0.6)+(AA630*0.4)</f>
        <v/>
      </c>
      <c r="AF630">
        <f>IF(AE630&gt;=9,"Critical",IF(AE630&gt;=7,"High",IF(AE630&gt;=4,"Medium","Low")))</f>
        <v/>
      </c>
    </row>
    <row r="631">
      <c r="F631" t="n">
        <v>1</v>
      </c>
      <c r="I631">
        <f>IF(D631="","",TODAY()-D631)</f>
        <v/>
      </c>
      <c r="K631">
        <f>IF(J631="v4.0",L631,IF(J631="v3.1",M631,IF(J631="Both",L631,IF(AND(L631&lt;&gt;"",M631=""),L631,M631))))</f>
        <v/>
      </c>
      <c r="U631">
        <f>IF(T631="Tier 1",10,IF(T631="Tier 2",7,IF(T631="Tier 3",4,IF(T631="Tier 4",1,0))))</f>
        <v/>
      </c>
      <c r="W631">
        <f>IF(V631="Restricted",10,IF(V631="Confidential",7,IF(V631="Internal",4,IF(V631="Public",1,0))))</f>
        <v/>
      </c>
      <c r="AA631" s="9">
        <f>(U631*0.4)+(W631*0.3)+(IF(Z631="Critical",10,IF(Z631="High",7,IF(Z631="Medium",4,1)))*0.2)+(IF(Y631="YES",10,0)*0.1)</f>
        <v/>
      </c>
      <c r="AB631" s="9">
        <f>IF(G631="YES",2.0,0)+IF(H631="YES",2.0,0)</f>
        <v/>
      </c>
      <c r="AC631" s="9" t="n">
        <v>0</v>
      </c>
      <c r="AD631" s="9">
        <f>K631+AB631+AC631</f>
        <v/>
      </c>
      <c r="AE631" s="9">
        <f>(AD631*0.6)+(AA631*0.4)</f>
        <v/>
      </c>
      <c r="AF631">
        <f>IF(AE631&gt;=9,"Critical",IF(AE631&gt;=7,"High",IF(AE631&gt;=4,"Medium","Low")))</f>
        <v/>
      </c>
    </row>
    <row r="632">
      <c r="F632" t="n">
        <v>1</v>
      </c>
      <c r="I632">
        <f>IF(D632="","",TODAY()-D632)</f>
        <v/>
      </c>
      <c r="K632">
        <f>IF(J632="v4.0",L632,IF(J632="v3.1",M632,IF(J632="Both",L632,IF(AND(L632&lt;&gt;"",M632=""),L632,M632))))</f>
        <v/>
      </c>
      <c r="U632">
        <f>IF(T632="Tier 1",10,IF(T632="Tier 2",7,IF(T632="Tier 3",4,IF(T632="Tier 4",1,0))))</f>
        <v/>
      </c>
      <c r="W632">
        <f>IF(V632="Restricted",10,IF(V632="Confidential",7,IF(V632="Internal",4,IF(V632="Public",1,0))))</f>
        <v/>
      </c>
      <c r="AA632" s="9">
        <f>(U632*0.4)+(W632*0.3)+(IF(Z632="Critical",10,IF(Z632="High",7,IF(Z632="Medium",4,1)))*0.2)+(IF(Y632="YES",10,0)*0.1)</f>
        <v/>
      </c>
      <c r="AB632" s="9">
        <f>IF(G632="YES",2.0,0)+IF(H632="YES",2.0,0)</f>
        <v/>
      </c>
      <c r="AC632" s="9" t="n">
        <v>0</v>
      </c>
      <c r="AD632" s="9">
        <f>K632+AB632+AC632</f>
        <v/>
      </c>
      <c r="AE632" s="9">
        <f>(AD632*0.6)+(AA632*0.4)</f>
        <v/>
      </c>
      <c r="AF632">
        <f>IF(AE632&gt;=9,"Critical",IF(AE632&gt;=7,"High",IF(AE632&gt;=4,"Medium","Low")))</f>
        <v/>
      </c>
    </row>
    <row r="633">
      <c r="F633" t="n">
        <v>1</v>
      </c>
      <c r="I633">
        <f>IF(D633="","",TODAY()-D633)</f>
        <v/>
      </c>
      <c r="K633">
        <f>IF(J633="v4.0",L633,IF(J633="v3.1",M633,IF(J633="Both",L633,IF(AND(L633&lt;&gt;"",M633=""),L633,M633))))</f>
        <v/>
      </c>
      <c r="U633">
        <f>IF(T633="Tier 1",10,IF(T633="Tier 2",7,IF(T633="Tier 3",4,IF(T633="Tier 4",1,0))))</f>
        <v/>
      </c>
      <c r="W633">
        <f>IF(V633="Restricted",10,IF(V633="Confidential",7,IF(V633="Internal",4,IF(V633="Public",1,0))))</f>
        <v/>
      </c>
      <c r="AA633" s="9">
        <f>(U633*0.4)+(W633*0.3)+(IF(Z633="Critical",10,IF(Z633="High",7,IF(Z633="Medium",4,1)))*0.2)+(IF(Y633="YES",10,0)*0.1)</f>
        <v/>
      </c>
      <c r="AB633" s="9">
        <f>IF(G633="YES",2.0,0)+IF(H633="YES",2.0,0)</f>
        <v/>
      </c>
      <c r="AC633" s="9" t="n">
        <v>0</v>
      </c>
      <c r="AD633" s="9">
        <f>K633+AB633+AC633</f>
        <v/>
      </c>
      <c r="AE633" s="9">
        <f>(AD633*0.6)+(AA633*0.4)</f>
        <v/>
      </c>
      <c r="AF633">
        <f>IF(AE633&gt;=9,"Critical",IF(AE633&gt;=7,"High",IF(AE633&gt;=4,"Medium","Low")))</f>
        <v/>
      </c>
    </row>
    <row r="634">
      <c r="F634" t="n">
        <v>1</v>
      </c>
      <c r="I634">
        <f>IF(D634="","",TODAY()-D634)</f>
        <v/>
      </c>
      <c r="K634">
        <f>IF(J634="v4.0",L634,IF(J634="v3.1",M634,IF(J634="Both",L634,IF(AND(L634&lt;&gt;"",M634=""),L634,M634))))</f>
        <v/>
      </c>
      <c r="U634">
        <f>IF(T634="Tier 1",10,IF(T634="Tier 2",7,IF(T634="Tier 3",4,IF(T634="Tier 4",1,0))))</f>
        <v/>
      </c>
      <c r="W634">
        <f>IF(V634="Restricted",10,IF(V634="Confidential",7,IF(V634="Internal",4,IF(V634="Public",1,0))))</f>
        <v/>
      </c>
      <c r="AA634" s="9">
        <f>(U634*0.4)+(W634*0.3)+(IF(Z634="Critical",10,IF(Z634="High",7,IF(Z634="Medium",4,1)))*0.2)+(IF(Y634="YES",10,0)*0.1)</f>
        <v/>
      </c>
      <c r="AB634" s="9">
        <f>IF(G634="YES",2.0,0)+IF(H634="YES",2.0,0)</f>
        <v/>
      </c>
      <c r="AC634" s="9" t="n">
        <v>0</v>
      </c>
      <c r="AD634" s="9">
        <f>K634+AB634+AC634</f>
        <v/>
      </c>
      <c r="AE634" s="9">
        <f>(AD634*0.6)+(AA634*0.4)</f>
        <v/>
      </c>
      <c r="AF634">
        <f>IF(AE634&gt;=9,"Critical",IF(AE634&gt;=7,"High",IF(AE634&gt;=4,"Medium","Low")))</f>
        <v/>
      </c>
    </row>
    <row r="635">
      <c r="F635" t="n">
        <v>1</v>
      </c>
      <c r="I635">
        <f>IF(D635="","",TODAY()-D635)</f>
        <v/>
      </c>
      <c r="K635">
        <f>IF(J635="v4.0",L635,IF(J635="v3.1",M635,IF(J635="Both",L635,IF(AND(L635&lt;&gt;"",M635=""),L635,M635))))</f>
        <v/>
      </c>
      <c r="U635">
        <f>IF(T635="Tier 1",10,IF(T635="Tier 2",7,IF(T635="Tier 3",4,IF(T635="Tier 4",1,0))))</f>
        <v/>
      </c>
      <c r="W635">
        <f>IF(V635="Restricted",10,IF(V635="Confidential",7,IF(V635="Internal",4,IF(V635="Public",1,0))))</f>
        <v/>
      </c>
      <c r="AA635" s="9">
        <f>(U635*0.4)+(W635*0.3)+(IF(Z635="Critical",10,IF(Z635="High",7,IF(Z635="Medium",4,1)))*0.2)+(IF(Y635="YES",10,0)*0.1)</f>
        <v/>
      </c>
      <c r="AB635" s="9">
        <f>IF(G635="YES",2.0,0)+IF(H635="YES",2.0,0)</f>
        <v/>
      </c>
      <c r="AC635" s="9" t="n">
        <v>0</v>
      </c>
      <c r="AD635" s="9">
        <f>K635+AB635+AC635</f>
        <v/>
      </c>
      <c r="AE635" s="9">
        <f>(AD635*0.6)+(AA635*0.4)</f>
        <v/>
      </c>
      <c r="AF635">
        <f>IF(AE635&gt;=9,"Critical",IF(AE635&gt;=7,"High",IF(AE635&gt;=4,"Medium","Low")))</f>
        <v/>
      </c>
    </row>
    <row r="636">
      <c r="F636" t="n">
        <v>1</v>
      </c>
      <c r="I636">
        <f>IF(D636="","",TODAY()-D636)</f>
        <v/>
      </c>
      <c r="K636">
        <f>IF(J636="v4.0",L636,IF(J636="v3.1",M636,IF(J636="Both",L636,IF(AND(L636&lt;&gt;"",M636=""),L636,M636))))</f>
        <v/>
      </c>
      <c r="U636">
        <f>IF(T636="Tier 1",10,IF(T636="Tier 2",7,IF(T636="Tier 3",4,IF(T636="Tier 4",1,0))))</f>
        <v/>
      </c>
      <c r="W636">
        <f>IF(V636="Restricted",10,IF(V636="Confidential",7,IF(V636="Internal",4,IF(V636="Public",1,0))))</f>
        <v/>
      </c>
      <c r="AA636" s="9">
        <f>(U636*0.4)+(W636*0.3)+(IF(Z636="Critical",10,IF(Z636="High",7,IF(Z636="Medium",4,1)))*0.2)+(IF(Y636="YES",10,0)*0.1)</f>
        <v/>
      </c>
      <c r="AB636" s="9">
        <f>IF(G636="YES",2.0,0)+IF(H636="YES",2.0,0)</f>
        <v/>
      </c>
      <c r="AC636" s="9" t="n">
        <v>0</v>
      </c>
      <c r="AD636" s="9">
        <f>K636+AB636+AC636</f>
        <v/>
      </c>
      <c r="AE636" s="9">
        <f>(AD636*0.6)+(AA636*0.4)</f>
        <v/>
      </c>
      <c r="AF636">
        <f>IF(AE636&gt;=9,"Critical",IF(AE636&gt;=7,"High",IF(AE636&gt;=4,"Medium","Low")))</f>
        <v/>
      </c>
    </row>
    <row r="637">
      <c r="F637" t="n">
        <v>1</v>
      </c>
      <c r="I637">
        <f>IF(D637="","",TODAY()-D637)</f>
        <v/>
      </c>
      <c r="K637">
        <f>IF(J637="v4.0",L637,IF(J637="v3.1",M637,IF(J637="Both",L637,IF(AND(L637&lt;&gt;"",M637=""),L637,M637))))</f>
        <v/>
      </c>
      <c r="U637">
        <f>IF(T637="Tier 1",10,IF(T637="Tier 2",7,IF(T637="Tier 3",4,IF(T637="Tier 4",1,0))))</f>
        <v/>
      </c>
      <c r="W637">
        <f>IF(V637="Restricted",10,IF(V637="Confidential",7,IF(V637="Internal",4,IF(V637="Public",1,0))))</f>
        <v/>
      </c>
      <c r="AA637" s="9">
        <f>(U637*0.4)+(W637*0.3)+(IF(Z637="Critical",10,IF(Z637="High",7,IF(Z637="Medium",4,1)))*0.2)+(IF(Y637="YES",10,0)*0.1)</f>
        <v/>
      </c>
      <c r="AB637" s="9">
        <f>IF(G637="YES",2.0,0)+IF(H637="YES",2.0,0)</f>
        <v/>
      </c>
      <c r="AC637" s="9" t="n">
        <v>0</v>
      </c>
      <c r="AD637" s="9">
        <f>K637+AB637+AC637</f>
        <v/>
      </c>
      <c r="AE637" s="9">
        <f>(AD637*0.6)+(AA637*0.4)</f>
        <v/>
      </c>
      <c r="AF637">
        <f>IF(AE637&gt;=9,"Critical",IF(AE637&gt;=7,"High",IF(AE637&gt;=4,"Medium","Low")))</f>
        <v/>
      </c>
    </row>
    <row r="638">
      <c r="F638" t="n">
        <v>1</v>
      </c>
      <c r="I638">
        <f>IF(D638="","",TODAY()-D638)</f>
        <v/>
      </c>
      <c r="K638">
        <f>IF(J638="v4.0",L638,IF(J638="v3.1",M638,IF(J638="Both",L638,IF(AND(L638&lt;&gt;"",M638=""),L638,M638))))</f>
        <v/>
      </c>
      <c r="U638">
        <f>IF(T638="Tier 1",10,IF(T638="Tier 2",7,IF(T638="Tier 3",4,IF(T638="Tier 4",1,0))))</f>
        <v/>
      </c>
      <c r="W638">
        <f>IF(V638="Restricted",10,IF(V638="Confidential",7,IF(V638="Internal",4,IF(V638="Public",1,0))))</f>
        <v/>
      </c>
      <c r="AA638" s="9">
        <f>(U638*0.4)+(W638*0.3)+(IF(Z638="Critical",10,IF(Z638="High",7,IF(Z638="Medium",4,1)))*0.2)+(IF(Y638="YES",10,0)*0.1)</f>
        <v/>
      </c>
      <c r="AB638" s="9">
        <f>IF(G638="YES",2.0,0)+IF(H638="YES",2.0,0)</f>
        <v/>
      </c>
      <c r="AC638" s="9" t="n">
        <v>0</v>
      </c>
      <c r="AD638" s="9">
        <f>K638+AB638+AC638</f>
        <v/>
      </c>
      <c r="AE638" s="9">
        <f>(AD638*0.6)+(AA638*0.4)</f>
        <v/>
      </c>
      <c r="AF638">
        <f>IF(AE638&gt;=9,"Critical",IF(AE638&gt;=7,"High",IF(AE638&gt;=4,"Medium","Low")))</f>
        <v/>
      </c>
    </row>
    <row r="639">
      <c r="F639" t="n">
        <v>1</v>
      </c>
      <c r="I639">
        <f>IF(D639="","",TODAY()-D639)</f>
        <v/>
      </c>
      <c r="K639">
        <f>IF(J639="v4.0",L639,IF(J639="v3.1",M639,IF(J639="Both",L639,IF(AND(L639&lt;&gt;"",M639=""),L639,M639))))</f>
        <v/>
      </c>
      <c r="U639">
        <f>IF(T639="Tier 1",10,IF(T639="Tier 2",7,IF(T639="Tier 3",4,IF(T639="Tier 4",1,0))))</f>
        <v/>
      </c>
      <c r="W639">
        <f>IF(V639="Restricted",10,IF(V639="Confidential",7,IF(V639="Internal",4,IF(V639="Public",1,0))))</f>
        <v/>
      </c>
      <c r="AA639" s="9">
        <f>(U639*0.4)+(W639*0.3)+(IF(Z639="Critical",10,IF(Z639="High",7,IF(Z639="Medium",4,1)))*0.2)+(IF(Y639="YES",10,0)*0.1)</f>
        <v/>
      </c>
      <c r="AB639" s="9">
        <f>IF(G639="YES",2.0,0)+IF(H639="YES",2.0,0)</f>
        <v/>
      </c>
      <c r="AC639" s="9" t="n">
        <v>0</v>
      </c>
      <c r="AD639" s="9">
        <f>K639+AB639+AC639</f>
        <v/>
      </c>
      <c r="AE639" s="9">
        <f>(AD639*0.6)+(AA639*0.4)</f>
        <v/>
      </c>
      <c r="AF639">
        <f>IF(AE639&gt;=9,"Critical",IF(AE639&gt;=7,"High",IF(AE639&gt;=4,"Medium","Low")))</f>
        <v/>
      </c>
    </row>
    <row r="640">
      <c r="F640" t="n">
        <v>1</v>
      </c>
      <c r="I640">
        <f>IF(D640="","",TODAY()-D640)</f>
        <v/>
      </c>
      <c r="K640">
        <f>IF(J640="v4.0",L640,IF(J640="v3.1",M640,IF(J640="Both",L640,IF(AND(L640&lt;&gt;"",M640=""),L640,M640))))</f>
        <v/>
      </c>
      <c r="U640">
        <f>IF(T640="Tier 1",10,IF(T640="Tier 2",7,IF(T640="Tier 3",4,IF(T640="Tier 4",1,0))))</f>
        <v/>
      </c>
      <c r="W640">
        <f>IF(V640="Restricted",10,IF(V640="Confidential",7,IF(V640="Internal",4,IF(V640="Public",1,0))))</f>
        <v/>
      </c>
      <c r="AA640" s="9">
        <f>(U640*0.4)+(W640*0.3)+(IF(Z640="Critical",10,IF(Z640="High",7,IF(Z640="Medium",4,1)))*0.2)+(IF(Y640="YES",10,0)*0.1)</f>
        <v/>
      </c>
      <c r="AB640" s="9">
        <f>IF(G640="YES",2.0,0)+IF(H640="YES",2.0,0)</f>
        <v/>
      </c>
      <c r="AC640" s="9" t="n">
        <v>0</v>
      </c>
      <c r="AD640" s="9">
        <f>K640+AB640+AC640</f>
        <v/>
      </c>
      <c r="AE640" s="9">
        <f>(AD640*0.6)+(AA640*0.4)</f>
        <v/>
      </c>
      <c r="AF640">
        <f>IF(AE640&gt;=9,"Critical",IF(AE640&gt;=7,"High",IF(AE640&gt;=4,"Medium","Low")))</f>
        <v/>
      </c>
    </row>
    <row r="641">
      <c r="F641" t="n">
        <v>1</v>
      </c>
      <c r="I641">
        <f>IF(D641="","",TODAY()-D641)</f>
        <v/>
      </c>
      <c r="K641">
        <f>IF(J641="v4.0",L641,IF(J641="v3.1",M641,IF(J641="Both",L641,IF(AND(L641&lt;&gt;"",M641=""),L641,M641))))</f>
        <v/>
      </c>
      <c r="U641">
        <f>IF(T641="Tier 1",10,IF(T641="Tier 2",7,IF(T641="Tier 3",4,IF(T641="Tier 4",1,0))))</f>
        <v/>
      </c>
      <c r="W641">
        <f>IF(V641="Restricted",10,IF(V641="Confidential",7,IF(V641="Internal",4,IF(V641="Public",1,0))))</f>
        <v/>
      </c>
      <c r="AA641" s="9">
        <f>(U641*0.4)+(W641*0.3)+(IF(Z641="Critical",10,IF(Z641="High",7,IF(Z641="Medium",4,1)))*0.2)+(IF(Y641="YES",10,0)*0.1)</f>
        <v/>
      </c>
      <c r="AB641" s="9">
        <f>IF(G641="YES",2.0,0)+IF(H641="YES",2.0,0)</f>
        <v/>
      </c>
      <c r="AC641" s="9" t="n">
        <v>0</v>
      </c>
      <c r="AD641" s="9">
        <f>K641+AB641+AC641</f>
        <v/>
      </c>
      <c r="AE641" s="9">
        <f>(AD641*0.6)+(AA641*0.4)</f>
        <v/>
      </c>
      <c r="AF641">
        <f>IF(AE641&gt;=9,"Critical",IF(AE641&gt;=7,"High",IF(AE641&gt;=4,"Medium","Low")))</f>
        <v/>
      </c>
    </row>
    <row r="642">
      <c r="F642" t="n">
        <v>1</v>
      </c>
      <c r="I642">
        <f>IF(D642="","",TODAY()-D642)</f>
        <v/>
      </c>
      <c r="K642">
        <f>IF(J642="v4.0",L642,IF(J642="v3.1",M642,IF(J642="Both",L642,IF(AND(L642&lt;&gt;"",M642=""),L642,M642))))</f>
        <v/>
      </c>
      <c r="U642">
        <f>IF(T642="Tier 1",10,IF(T642="Tier 2",7,IF(T642="Tier 3",4,IF(T642="Tier 4",1,0))))</f>
        <v/>
      </c>
      <c r="W642">
        <f>IF(V642="Restricted",10,IF(V642="Confidential",7,IF(V642="Internal",4,IF(V642="Public",1,0))))</f>
        <v/>
      </c>
      <c r="AA642" s="9">
        <f>(U642*0.4)+(W642*0.3)+(IF(Z642="Critical",10,IF(Z642="High",7,IF(Z642="Medium",4,1)))*0.2)+(IF(Y642="YES",10,0)*0.1)</f>
        <v/>
      </c>
      <c r="AB642" s="9">
        <f>IF(G642="YES",2.0,0)+IF(H642="YES",2.0,0)</f>
        <v/>
      </c>
      <c r="AC642" s="9" t="n">
        <v>0</v>
      </c>
      <c r="AD642" s="9">
        <f>K642+AB642+AC642</f>
        <v/>
      </c>
      <c r="AE642" s="9">
        <f>(AD642*0.6)+(AA642*0.4)</f>
        <v/>
      </c>
      <c r="AF642">
        <f>IF(AE642&gt;=9,"Critical",IF(AE642&gt;=7,"High",IF(AE642&gt;=4,"Medium","Low")))</f>
        <v/>
      </c>
    </row>
    <row r="643">
      <c r="F643" t="n">
        <v>1</v>
      </c>
      <c r="I643">
        <f>IF(D643="","",TODAY()-D643)</f>
        <v/>
      </c>
      <c r="K643">
        <f>IF(J643="v4.0",L643,IF(J643="v3.1",M643,IF(J643="Both",L643,IF(AND(L643&lt;&gt;"",M643=""),L643,M643))))</f>
        <v/>
      </c>
      <c r="U643">
        <f>IF(T643="Tier 1",10,IF(T643="Tier 2",7,IF(T643="Tier 3",4,IF(T643="Tier 4",1,0))))</f>
        <v/>
      </c>
      <c r="W643">
        <f>IF(V643="Restricted",10,IF(V643="Confidential",7,IF(V643="Internal",4,IF(V643="Public",1,0))))</f>
        <v/>
      </c>
      <c r="AA643" s="9">
        <f>(U643*0.4)+(W643*0.3)+(IF(Z643="Critical",10,IF(Z643="High",7,IF(Z643="Medium",4,1)))*0.2)+(IF(Y643="YES",10,0)*0.1)</f>
        <v/>
      </c>
      <c r="AB643" s="9">
        <f>IF(G643="YES",2.0,0)+IF(H643="YES",2.0,0)</f>
        <v/>
      </c>
      <c r="AC643" s="9" t="n">
        <v>0</v>
      </c>
      <c r="AD643" s="9">
        <f>K643+AB643+AC643</f>
        <v/>
      </c>
      <c r="AE643" s="9">
        <f>(AD643*0.6)+(AA643*0.4)</f>
        <v/>
      </c>
      <c r="AF643">
        <f>IF(AE643&gt;=9,"Critical",IF(AE643&gt;=7,"High",IF(AE643&gt;=4,"Medium","Low")))</f>
        <v/>
      </c>
    </row>
    <row r="644">
      <c r="F644" t="n">
        <v>1</v>
      </c>
      <c r="I644">
        <f>IF(D644="","",TODAY()-D644)</f>
        <v/>
      </c>
      <c r="K644">
        <f>IF(J644="v4.0",L644,IF(J644="v3.1",M644,IF(J644="Both",L644,IF(AND(L644&lt;&gt;"",M644=""),L644,M644))))</f>
        <v/>
      </c>
      <c r="U644">
        <f>IF(T644="Tier 1",10,IF(T644="Tier 2",7,IF(T644="Tier 3",4,IF(T644="Tier 4",1,0))))</f>
        <v/>
      </c>
      <c r="W644">
        <f>IF(V644="Restricted",10,IF(V644="Confidential",7,IF(V644="Internal",4,IF(V644="Public",1,0))))</f>
        <v/>
      </c>
      <c r="AA644" s="9">
        <f>(U644*0.4)+(W644*0.3)+(IF(Z644="Critical",10,IF(Z644="High",7,IF(Z644="Medium",4,1)))*0.2)+(IF(Y644="YES",10,0)*0.1)</f>
        <v/>
      </c>
      <c r="AB644" s="9">
        <f>IF(G644="YES",2.0,0)+IF(H644="YES",2.0,0)</f>
        <v/>
      </c>
      <c r="AC644" s="9" t="n">
        <v>0</v>
      </c>
      <c r="AD644" s="9">
        <f>K644+AB644+AC644</f>
        <v/>
      </c>
      <c r="AE644" s="9">
        <f>(AD644*0.6)+(AA644*0.4)</f>
        <v/>
      </c>
      <c r="AF644">
        <f>IF(AE644&gt;=9,"Critical",IF(AE644&gt;=7,"High",IF(AE644&gt;=4,"Medium","Low")))</f>
        <v/>
      </c>
    </row>
    <row r="645">
      <c r="F645" t="n">
        <v>1</v>
      </c>
      <c r="I645">
        <f>IF(D645="","",TODAY()-D645)</f>
        <v/>
      </c>
      <c r="K645">
        <f>IF(J645="v4.0",L645,IF(J645="v3.1",M645,IF(J645="Both",L645,IF(AND(L645&lt;&gt;"",M645=""),L645,M645))))</f>
        <v/>
      </c>
      <c r="U645">
        <f>IF(T645="Tier 1",10,IF(T645="Tier 2",7,IF(T645="Tier 3",4,IF(T645="Tier 4",1,0))))</f>
        <v/>
      </c>
      <c r="W645">
        <f>IF(V645="Restricted",10,IF(V645="Confidential",7,IF(V645="Internal",4,IF(V645="Public",1,0))))</f>
        <v/>
      </c>
      <c r="AA645" s="9">
        <f>(U645*0.4)+(W645*0.3)+(IF(Z645="Critical",10,IF(Z645="High",7,IF(Z645="Medium",4,1)))*0.2)+(IF(Y645="YES",10,0)*0.1)</f>
        <v/>
      </c>
      <c r="AB645" s="9">
        <f>IF(G645="YES",2.0,0)+IF(H645="YES",2.0,0)</f>
        <v/>
      </c>
      <c r="AC645" s="9" t="n">
        <v>0</v>
      </c>
      <c r="AD645" s="9">
        <f>K645+AB645+AC645</f>
        <v/>
      </c>
      <c r="AE645" s="9">
        <f>(AD645*0.6)+(AA645*0.4)</f>
        <v/>
      </c>
      <c r="AF645">
        <f>IF(AE645&gt;=9,"Critical",IF(AE645&gt;=7,"High",IF(AE645&gt;=4,"Medium","Low")))</f>
        <v/>
      </c>
    </row>
    <row r="646">
      <c r="F646" t="n">
        <v>1</v>
      </c>
      <c r="I646">
        <f>IF(D646="","",TODAY()-D646)</f>
        <v/>
      </c>
      <c r="K646">
        <f>IF(J646="v4.0",L646,IF(J646="v3.1",M646,IF(J646="Both",L646,IF(AND(L646&lt;&gt;"",M646=""),L646,M646))))</f>
        <v/>
      </c>
      <c r="U646">
        <f>IF(T646="Tier 1",10,IF(T646="Tier 2",7,IF(T646="Tier 3",4,IF(T646="Tier 4",1,0))))</f>
        <v/>
      </c>
      <c r="W646">
        <f>IF(V646="Restricted",10,IF(V646="Confidential",7,IF(V646="Internal",4,IF(V646="Public",1,0))))</f>
        <v/>
      </c>
      <c r="AA646" s="9">
        <f>(U646*0.4)+(W646*0.3)+(IF(Z646="Critical",10,IF(Z646="High",7,IF(Z646="Medium",4,1)))*0.2)+(IF(Y646="YES",10,0)*0.1)</f>
        <v/>
      </c>
      <c r="AB646" s="9">
        <f>IF(G646="YES",2.0,0)+IF(H646="YES",2.0,0)</f>
        <v/>
      </c>
      <c r="AC646" s="9" t="n">
        <v>0</v>
      </c>
      <c r="AD646" s="9">
        <f>K646+AB646+AC646</f>
        <v/>
      </c>
      <c r="AE646" s="9">
        <f>(AD646*0.6)+(AA646*0.4)</f>
        <v/>
      </c>
      <c r="AF646">
        <f>IF(AE646&gt;=9,"Critical",IF(AE646&gt;=7,"High",IF(AE646&gt;=4,"Medium","Low")))</f>
        <v/>
      </c>
    </row>
    <row r="647">
      <c r="F647" t="n">
        <v>1</v>
      </c>
      <c r="I647">
        <f>IF(D647="","",TODAY()-D647)</f>
        <v/>
      </c>
      <c r="K647">
        <f>IF(J647="v4.0",L647,IF(J647="v3.1",M647,IF(J647="Both",L647,IF(AND(L647&lt;&gt;"",M647=""),L647,M647))))</f>
        <v/>
      </c>
      <c r="U647">
        <f>IF(T647="Tier 1",10,IF(T647="Tier 2",7,IF(T647="Tier 3",4,IF(T647="Tier 4",1,0))))</f>
        <v/>
      </c>
      <c r="W647">
        <f>IF(V647="Restricted",10,IF(V647="Confidential",7,IF(V647="Internal",4,IF(V647="Public",1,0))))</f>
        <v/>
      </c>
      <c r="AA647" s="9">
        <f>(U647*0.4)+(W647*0.3)+(IF(Z647="Critical",10,IF(Z647="High",7,IF(Z647="Medium",4,1)))*0.2)+(IF(Y647="YES",10,0)*0.1)</f>
        <v/>
      </c>
      <c r="AB647" s="9">
        <f>IF(G647="YES",2.0,0)+IF(H647="YES",2.0,0)</f>
        <v/>
      </c>
      <c r="AC647" s="9" t="n">
        <v>0</v>
      </c>
      <c r="AD647" s="9">
        <f>K647+AB647+AC647</f>
        <v/>
      </c>
      <c r="AE647" s="9">
        <f>(AD647*0.6)+(AA647*0.4)</f>
        <v/>
      </c>
      <c r="AF647">
        <f>IF(AE647&gt;=9,"Critical",IF(AE647&gt;=7,"High",IF(AE647&gt;=4,"Medium","Low")))</f>
        <v/>
      </c>
    </row>
    <row r="648">
      <c r="F648" t="n">
        <v>1</v>
      </c>
      <c r="I648">
        <f>IF(D648="","",TODAY()-D648)</f>
        <v/>
      </c>
      <c r="K648">
        <f>IF(J648="v4.0",L648,IF(J648="v3.1",M648,IF(J648="Both",L648,IF(AND(L648&lt;&gt;"",M648=""),L648,M648))))</f>
        <v/>
      </c>
      <c r="U648">
        <f>IF(T648="Tier 1",10,IF(T648="Tier 2",7,IF(T648="Tier 3",4,IF(T648="Tier 4",1,0))))</f>
        <v/>
      </c>
      <c r="W648">
        <f>IF(V648="Restricted",10,IF(V648="Confidential",7,IF(V648="Internal",4,IF(V648="Public",1,0))))</f>
        <v/>
      </c>
      <c r="AA648" s="9">
        <f>(U648*0.4)+(W648*0.3)+(IF(Z648="Critical",10,IF(Z648="High",7,IF(Z648="Medium",4,1)))*0.2)+(IF(Y648="YES",10,0)*0.1)</f>
        <v/>
      </c>
      <c r="AB648" s="9">
        <f>IF(G648="YES",2.0,0)+IF(H648="YES",2.0,0)</f>
        <v/>
      </c>
      <c r="AC648" s="9" t="n">
        <v>0</v>
      </c>
      <c r="AD648" s="9">
        <f>K648+AB648+AC648</f>
        <v/>
      </c>
      <c r="AE648" s="9">
        <f>(AD648*0.6)+(AA648*0.4)</f>
        <v/>
      </c>
      <c r="AF648">
        <f>IF(AE648&gt;=9,"Critical",IF(AE648&gt;=7,"High",IF(AE648&gt;=4,"Medium","Low")))</f>
        <v/>
      </c>
    </row>
    <row r="649">
      <c r="F649" t="n">
        <v>1</v>
      </c>
      <c r="I649">
        <f>IF(D649="","",TODAY()-D649)</f>
        <v/>
      </c>
      <c r="K649">
        <f>IF(J649="v4.0",L649,IF(J649="v3.1",M649,IF(J649="Both",L649,IF(AND(L649&lt;&gt;"",M649=""),L649,M649))))</f>
        <v/>
      </c>
      <c r="U649">
        <f>IF(T649="Tier 1",10,IF(T649="Tier 2",7,IF(T649="Tier 3",4,IF(T649="Tier 4",1,0))))</f>
        <v/>
      </c>
      <c r="W649">
        <f>IF(V649="Restricted",10,IF(V649="Confidential",7,IF(V649="Internal",4,IF(V649="Public",1,0))))</f>
        <v/>
      </c>
      <c r="AA649" s="9">
        <f>(U649*0.4)+(W649*0.3)+(IF(Z649="Critical",10,IF(Z649="High",7,IF(Z649="Medium",4,1)))*0.2)+(IF(Y649="YES",10,0)*0.1)</f>
        <v/>
      </c>
      <c r="AB649" s="9">
        <f>IF(G649="YES",2.0,0)+IF(H649="YES",2.0,0)</f>
        <v/>
      </c>
      <c r="AC649" s="9" t="n">
        <v>0</v>
      </c>
      <c r="AD649" s="9">
        <f>K649+AB649+AC649</f>
        <v/>
      </c>
      <c r="AE649" s="9">
        <f>(AD649*0.6)+(AA649*0.4)</f>
        <v/>
      </c>
      <c r="AF649">
        <f>IF(AE649&gt;=9,"Critical",IF(AE649&gt;=7,"High",IF(AE649&gt;=4,"Medium","Low")))</f>
        <v/>
      </c>
    </row>
    <row r="650">
      <c r="F650" t="n">
        <v>1</v>
      </c>
      <c r="I650">
        <f>IF(D650="","",TODAY()-D650)</f>
        <v/>
      </c>
      <c r="K650">
        <f>IF(J650="v4.0",L650,IF(J650="v3.1",M650,IF(J650="Both",L650,IF(AND(L650&lt;&gt;"",M650=""),L650,M650))))</f>
        <v/>
      </c>
      <c r="U650">
        <f>IF(T650="Tier 1",10,IF(T650="Tier 2",7,IF(T650="Tier 3",4,IF(T650="Tier 4",1,0))))</f>
        <v/>
      </c>
      <c r="W650">
        <f>IF(V650="Restricted",10,IF(V650="Confidential",7,IF(V650="Internal",4,IF(V650="Public",1,0))))</f>
        <v/>
      </c>
      <c r="AA650" s="9">
        <f>(U650*0.4)+(W650*0.3)+(IF(Z650="Critical",10,IF(Z650="High",7,IF(Z650="Medium",4,1)))*0.2)+(IF(Y650="YES",10,0)*0.1)</f>
        <v/>
      </c>
      <c r="AB650" s="9">
        <f>IF(G650="YES",2.0,0)+IF(H650="YES",2.0,0)</f>
        <v/>
      </c>
      <c r="AC650" s="9" t="n">
        <v>0</v>
      </c>
      <c r="AD650" s="9">
        <f>K650+AB650+AC650</f>
        <v/>
      </c>
      <c r="AE650" s="9">
        <f>(AD650*0.6)+(AA650*0.4)</f>
        <v/>
      </c>
      <c r="AF650">
        <f>IF(AE650&gt;=9,"Critical",IF(AE650&gt;=7,"High",IF(AE650&gt;=4,"Medium","Low")))</f>
        <v/>
      </c>
    </row>
    <row r="651">
      <c r="F651" t="n">
        <v>1</v>
      </c>
      <c r="I651">
        <f>IF(D651="","",TODAY()-D651)</f>
        <v/>
      </c>
      <c r="K651">
        <f>IF(J651="v4.0",L651,IF(J651="v3.1",M651,IF(J651="Both",L651,IF(AND(L651&lt;&gt;"",M651=""),L651,M651))))</f>
        <v/>
      </c>
      <c r="U651">
        <f>IF(T651="Tier 1",10,IF(T651="Tier 2",7,IF(T651="Tier 3",4,IF(T651="Tier 4",1,0))))</f>
        <v/>
      </c>
      <c r="W651">
        <f>IF(V651="Restricted",10,IF(V651="Confidential",7,IF(V651="Internal",4,IF(V651="Public",1,0))))</f>
        <v/>
      </c>
      <c r="AA651" s="9">
        <f>(U651*0.4)+(W651*0.3)+(IF(Z651="Critical",10,IF(Z651="High",7,IF(Z651="Medium",4,1)))*0.2)+(IF(Y651="YES",10,0)*0.1)</f>
        <v/>
      </c>
      <c r="AB651" s="9">
        <f>IF(G651="YES",2.0,0)+IF(H651="YES",2.0,0)</f>
        <v/>
      </c>
      <c r="AC651" s="9" t="n">
        <v>0</v>
      </c>
      <c r="AD651" s="9">
        <f>K651+AB651+AC651</f>
        <v/>
      </c>
      <c r="AE651" s="9">
        <f>(AD651*0.6)+(AA651*0.4)</f>
        <v/>
      </c>
      <c r="AF651">
        <f>IF(AE651&gt;=9,"Critical",IF(AE651&gt;=7,"High",IF(AE651&gt;=4,"Medium","Low")))</f>
        <v/>
      </c>
    </row>
    <row r="652">
      <c r="F652" t="n">
        <v>1</v>
      </c>
      <c r="I652">
        <f>IF(D652="","",TODAY()-D652)</f>
        <v/>
      </c>
      <c r="K652">
        <f>IF(J652="v4.0",L652,IF(J652="v3.1",M652,IF(J652="Both",L652,IF(AND(L652&lt;&gt;"",M652=""),L652,M652))))</f>
        <v/>
      </c>
      <c r="U652">
        <f>IF(T652="Tier 1",10,IF(T652="Tier 2",7,IF(T652="Tier 3",4,IF(T652="Tier 4",1,0))))</f>
        <v/>
      </c>
      <c r="W652">
        <f>IF(V652="Restricted",10,IF(V652="Confidential",7,IF(V652="Internal",4,IF(V652="Public",1,0))))</f>
        <v/>
      </c>
      <c r="AA652" s="9">
        <f>(U652*0.4)+(W652*0.3)+(IF(Z652="Critical",10,IF(Z652="High",7,IF(Z652="Medium",4,1)))*0.2)+(IF(Y652="YES",10,0)*0.1)</f>
        <v/>
      </c>
      <c r="AB652" s="9">
        <f>IF(G652="YES",2.0,0)+IF(H652="YES",2.0,0)</f>
        <v/>
      </c>
      <c r="AC652" s="9" t="n">
        <v>0</v>
      </c>
      <c r="AD652" s="9">
        <f>K652+AB652+AC652</f>
        <v/>
      </c>
      <c r="AE652" s="9">
        <f>(AD652*0.6)+(AA652*0.4)</f>
        <v/>
      </c>
      <c r="AF652">
        <f>IF(AE652&gt;=9,"Critical",IF(AE652&gt;=7,"High",IF(AE652&gt;=4,"Medium","Low")))</f>
        <v/>
      </c>
    </row>
    <row r="653">
      <c r="F653" t="n">
        <v>1</v>
      </c>
      <c r="I653">
        <f>IF(D653="","",TODAY()-D653)</f>
        <v/>
      </c>
      <c r="K653">
        <f>IF(J653="v4.0",L653,IF(J653="v3.1",M653,IF(J653="Both",L653,IF(AND(L653&lt;&gt;"",M653=""),L653,M653))))</f>
        <v/>
      </c>
      <c r="U653">
        <f>IF(T653="Tier 1",10,IF(T653="Tier 2",7,IF(T653="Tier 3",4,IF(T653="Tier 4",1,0))))</f>
        <v/>
      </c>
      <c r="W653">
        <f>IF(V653="Restricted",10,IF(V653="Confidential",7,IF(V653="Internal",4,IF(V653="Public",1,0))))</f>
        <v/>
      </c>
      <c r="AA653" s="9">
        <f>(U653*0.4)+(W653*0.3)+(IF(Z653="Critical",10,IF(Z653="High",7,IF(Z653="Medium",4,1)))*0.2)+(IF(Y653="YES",10,0)*0.1)</f>
        <v/>
      </c>
      <c r="AB653" s="9">
        <f>IF(G653="YES",2.0,0)+IF(H653="YES",2.0,0)</f>
        <v/>
      </c>
      <c r="AC653" s="9" t="n">
        <v>0</v>
      </c>
      <c r="AD653" s="9">
        <f>K653+AB653+AC653</f>
        <v/>
      </c>
      <c r="AE653" s="9">
        <f>(AD653*0.6)+(AA653*0.4)</f>
        <v/>
      </c>
      <c r="AF653">
        <f>IF(AE653&gt;=9,"Critical",IF(AE653&gt;=7,"High",IF(AE653&gt;=4,"Medium","Low")))</f>
        <v/>
      </c>
    </row>
    <row r="654">
      <c r="F654" t="n">
        <v>1</v>
      </c>
      <c r="I654">
        <f>IF(D654="","",TODAY()-D654)</f>
        <v/>
      </c>
      <c r="K654">
        <f>IF(J654="v4.0",L654,IF(J654="v3.1",M654,IF(J654="Both",L654,IF(AND(L654&lt;&gt;"",M654=""),L654,M654))))</f>
        <v/>
      </c>
      <c r="U654">
        <f>IF(T654="Tier 1",10,IF(T654="Tier 2",7,IF(T654="Tier 3",4,IF(T654="Tier 4",1,0))))</f>
        <v/>
      </c>
      <c r="W654">
        <f>IF(V654="Restricted",10,IF(V654="Confidential",7,IF(V654="Internal",4,IF(V654="Public",1,0))))</f>
        <v/>
      </c>
      <c r="AA654" s="9">
        <f>(U654*0.4)+(W654*0.3)+(IF(Z654="Critical",10,IF(Z654="High",7,IF(Z654="Medium",4,1)))*0.2)+(IF(Y654="YES",10,0)*0.1)</f>
        <v/>
      </c>
      <c r="AB654" s="9">
        <f>IF(G654="YES",2.0,0)+IF(H654="YES",2.0,0)</f>
        <v/>
      </c>
      <c r="AC654" s="9" t="n">
        <v>0</v>
      </c>
      <c r="AD654" s="9">
        <f>K654+AB654+AC654</f>
        <v/>
      </c>
      <c r="AE654" s="9">
        <f>(AD654*0.6)+(AA654*0.4)</f>
        <v/>
      </c>
      <c r="AF654">
        <f>IF(AE654&gt;=9,"Critical",IF(AE654&gt;=7,"High",IF(AE654&gt;=4,"Medium","Low")))</f>
        <v/>
      </c>
    </row>
    <row r="655">
      <c r="F655" t="n">
        <v>1</v>
      </c>
      <c r="I655">
        <f>IF(D655="","",TODAY()-D655)</f>
        <v/>
      </c>
      <c r="K655">
        <f>IF(J655="v4.0",L655,IF(J655="v3.1",M655,IF(J655="Both",L655,IF(AND(L655&lt;&gt;"",M655=""),L655,M655))))</f>
        <v/>
      </c>
      <c r="U655">
        <f>IF(T655="Tier 1",10,IF(T655="Tier 2",7,IF(T655="Tier 3",4,IF(T655="Tier 4",1,0))))</f>
        <v/>
      </c>
      <c r="W655">
        <f>IF(V655="Restricted",10,IF(V655="Confidential",7,IF(V655="Internal",4,IF(V655="Public",1,0))))</f>
        <v/>
      </c>
      <c r="AA655" s="9">
        <f>(U655*0.4)+(W655*0.3)+(IF(Z655="Critical",10,IF(Z655="High",7,IF(Z655="Medium",4,1)))*0.2)+(IF(Y655="YES",10,0)*0.1)</f>
        <v/>
      </c>
      <c r="AB655" s="9">
        <f>IF(G655="YES",2.0,0)+IF(H655="YES",2.0,0)</f>
        <v/>
      </c>
      <c r="AC655" s="9" t="n">
        <v>0</v>
      </c>
      <c r="AD655" s="9">
        <f>K655+AB655+AC655</f>
        <v/>
      </c>
      <c r="AE655" s="9">
        <f>(AD655*0.6)+(AA655*0.4)</f>
        <v/>
      </c>
      <c r="AF655">
        <f>IF(AE655&gt;=9,"Critical",IF(AE655&gt;=7,"High",IF(AE655&gt;=4,"Medium","Low")))</f>
        <v/>
      </c>
    </row>
    <row r="656">
      <c r="F656" t="n">
        <v>1</v>
      </c>
      <c r="I656">
        <f>IF(D656="","",TODAY()-D656)</f>
        <v/>
      </c>
      <c r="K656">
        <f>IF(J656="v4.0",L656,IF(J656="v3.1",M656,IF(J656="Both",L656,IF(AND(L656&lt;&gt;"",M656=""),L656,M656))))</f>
        <v/>
      </c>
      <c r="U656">
        <f>IF(T656="Tier 1",10,IF(T656="Tier 2",7,IF(T656="Tier 3",4,IF(T656="Tier 4",1,0))))</f>
        <v/>
      </c>
      <c r="W656">
        <f>IF(V656="Restricted",10,IF(V656="Confidential",7,IF(V656="Internal",4,IF(V656="Public",1,0))))</f>
        <v/>
      </c>
      <c r="AA656" s="9">
        <f>(U656*0.4)+(W656*0.3)+(IF(Z656="Critical",10,IF(Z656="High",7,IF(Z656="Medium",4,1)))*0.2)+(IF(Y656="YES",10,0)*0.1)</f>
        <v/>
      </c>
      <c r="AB656" s="9">
        <f>IF(G656="YES",2.0,0)+IF(H656="YES",2.0,0)</f>
        <v/>
      </c>
      <c r="AC656" s="9" t="n">
        <v>0</v>
      </c>
      <c r="AD656" s="9">
        <f>K656+AB656+AC656</f>
        <v/>
      </c>
      <c r="AE656" s="9">
        <f>(AD656*0.6)+(AA656*0.4)</f>
        <v/>
      </c>
      <c r="AF656">
        <f>IF(AE656&gt;=9,"Critical",IF(AE656&gt;=7,"High",IF(AE656&gt;=4,"Medium","Low")))</f>
        <v/>
      </c>
    </row>
    <row r="657">
      <c r="F657" t="n">
        <v>1</v>
      </c>
      <c r="I657">
        <f>IF(D657="","",TODAY()-D657)</f>
        <v/>
      </c>
      <c r="K657">
        <f>IF(J657="v4.0",L657,IF(J657="v3.1",M657,IF(J657="Both",L657,IF(AND(L657&lt;&gt;"",M657=""),L657,M657))))</f>
        <v/>
      </c>
      <c r="U657">
        <f>IF(T657="Tier 1",10,IF(T657="Tier 2",7,IF(T657="Tier 3",4,IF(T657="Tier 4",1,0))))</f>
        <v/>
      </c>
      <c r="W657">
        <f>IF(V657="Restricted",10,IF(V657="Confidential",7,IF(V657="Internal",4,IF(V657="Public",1,0))))</f>
        <v/>
      </c>
      <c r="AA657" s="9">
        <f>(U657*0.4)+(W657*0.3)+(IF(Z657="Critical",10,IF(Z657="High",7,IF(Z657="Medium",4,1)))*0.2)+(IF(Y657="YES",10,0)*0.1)</f>
        <v/>
      </c>
      <c r="AB657" s="9">
        <f>IF(G657="YES",2.0,0)+IF(H657="YES",2.0,0)</f>
        <v/>
      </c>
      <c r="AC657" s="9" t="n">
        <v>0</v>
      </c>
      <c r="AD657" s="9">
        <f>K657+AB657+AC657</f>
        <v/>
      </c>
      <c r="AE657" s="9">
        <f>(AD657*0.6)+(AA657*0.4)</f>
        <v/>
      </c>
      <c r="AF657">
        <f>IF(AE657&gt;=9,"Critical",IF(AE657&gt;=7,"High",IF(AE657&gt;=4,"Medium","Low")))</f>
        <v/>
      </c>
    </row>
    <row r="658">
      <c r="F658" t="n">
        <v>1</v>
      </c>
      <c r="I658">
        <f>IF(D658="","",TODAY()-D658)</f>
        <v/>
      </c>
      <c r="K658">
        <f>IF(J658="v4.0",L658,IF(J658="v3.1",M658,IF(J658="Both",L658,IF(AND(L658&lt;&gt;"",M658=""),L658,M658))))</f>
        <v/>
      </c>
      <c r="U658">
        <f>IF(T658="Tier 1",10,IF(T658="Tier 2",7,IF(T658="Tier 3",4,IF(T658="Tier 4",1,0))))</f>
        <v/>
      </c>
      <c r="W658">
        <f>IF(V658="Restricted",10,IF(V658="Confidential",7,IF(V658="Internal",4,IF(V658="Public",1,0))))</f>
        <v/>
      </c>
      <c r="AA658" s="9">
        <f>(U658*0.4)+(W658*0.3)+(IF(Z658="Critical",10,IF(Z658="High",7,IF(Z658="Medium",4,1)))*0.2)+(IF(Y658="YES",10,0)*0.1)</f>
        <v/>
      </c>
      <c r="AB658" s="9">
        <f>IF(G658="YES",2.0,0)+IF(H658="YES",2.0,0)</f>
        <v/>
      </c>
      <c r="AC658" s="9" t="n">
        <v>0</v>
      </c>
      <c r="AD658" s="9">
        <f>K658+AB658+AC658</f>
        <v/>
      </c>
      <c r="AE658" s="9">
        <f>(AD658*0.6)+(AA658*0.4)</f>
        <v/>
      </c>
      <c r="AF658">
        <f>IF(AE658&gt;=9,"Critical",IF(AE658&gt;=7,"High",IF(AE658&gt;=4,"Medium","Low")))</f>
        <v/>
      </c>
    </row>
    <row r="659">
      <c r="F659" t="n">
        <v>1</v>
      </c>
      <c r="I659">
        <f>IF(D659="","",TODAY()-D659)</f>
        <v/>
      </c>
      <c r="K659">
        <f>IF(J659="v4.0",L659,IF(J659="v3.1",M659,IF(J659="Both",L659,IF(AND(L659&lt;&gt;"",M659=""),L659,M659))))</f>
        <v/>
      </c>
      <c r="U659">
        <f>IF(T659="Tier 1",10,IF(T659="Tier 2",7,IF(T659="Tier 3",4,IF(T659="Tier 4",1,0))))</f>
        <v/>
      </c>
      <c r="W659">
        <f>IF(V659="Restricted",10,IF(V659="Confidential",7,IF(V659="Internal",4,IF(V659="Public",1,0))))</f>
        <v/>
      </c>
      <c r="AA659" s="9">
        <f>(U659*0.4)+(W659*0.3)+(IF(Z659="Critical",10,IF(Z659="High",7,IF(Z659="Medium",4,1)))*0.2)+(IF(Y659="YES",10,0)*0.1)</f>
        <v/>
      </c>
      <c r="AB659" s="9">
        <f>IF(G659="YES",2.0,0)+IF(H659="YES",2.0,0)</f>
        <v/>
      </c>
      <c r="AC659" s="9" t="n">
        <v>0</v>
      </c>
      <c r="AD659" s="9">
        <f>K659+AB659+AC659</f>
        <v/>
      </c>
      <c r="AE659" s="9">
        <f>(AD659*0.6)+(AA659*0.4)</f>
        <v/>
      </c>
      <c r="AF659">
        <f>IF(AE659&gt;=9,"Critical",IF(AE659&gt;=7,"High",IF(AE659&gt;=4,"Medium","Low")))</f>
        <v/>
      </c>
    </row>
    <row r="660">
      <c r="F660" t="n">
        <v>1</v>
      </c>
      <c r="I660">
        <f>IF(D660="","",TODAY()-D660)</f>
        <v/>
      </c>
      <c r="K660">
        <f>IF(J660="v4.0",L660,IF(J660="v3.1",M660,IF(J660="Both",L660,IF(AND(L660&lt;&gt;"",M660=""),L660,M660))))</f>
        <v/>
      </c>
      <c r="U660">
        <f>IF(T660="Tier 1",10,IF(T660="Tier 2",7,IF(T660="Tier 3",4,IF(T660="Tier 4",1,0))))</f>
        <v/>
      </c>
      <c r="W660">
        <f>IF(V660="Restricted",10,IF(V660="Confidential",7,IF(V660="Internal",4,IF(V660="Public",1,0))))</f>
        <v/>
      </c>
      <c r="AA660" s="9">
        <f>(U660*0.4)+(W660*0.3)+(IF(Z660="Critical",10,IF(Z660="High",7,IF(Z660="Medium",4,1)))*0.2)+(IF(Y660="YES",10,0)*0.1)</f>
        <v/>
      </c>
      <c r="AB660" s="9">
        <f>IF(G660="YES",2.0,0)+IF(H660="YES",2.0,0)</f>
        <v/>
      </c>
      <c r="AC660" s="9" t="n">
        <v>0</v>
      </c>
      <c r="AD660" s="9">
        <f>K660+AB660+AC660</f>
        <v/>
      </c>
      <c r="AE660" s="9">
        <f>(AD660*0.6)+(AA660*0.4)</f>
        <v/>
      </c>
      <c r="AF660">
        <f>IF(AE660&gt;=9,"Critical",IF(AE660&gt;=7,"High",IF(AE660&gt;=4,"Medium","Low")))</f>
        <v/>
      </c>
    </row>
    <row r="661">
      <c r="F661" t="n">
        <v>1</v>
      </c>
      <c r="I661">
        <f>IF(D661="","",TODAY()-D661)</f>
        <v/>
      </c>
      <c r="K661">
        <f>IF(J661="v4.0",L661,IF(J661="v3.1",M661,IF(J661="Both",L661,IF(AND(L661&lt;&gt;"",M661=""),L661,M661))))</f>
        <v/>
      </c>
      <c r="U661">
        <f>IF(T661="Tier 1",10,IF(T661="Tier 2",7,IF(T661="Tier 3",4,IF(T661="Tier 4",1,0))))</f>
        <v/>
      </c>
      <c r="W661">
        <f>IF(V661="Restricted",10,IF(V661="Confidential",7,IF(V661="Internal",4,IF(V661="Public",1,0))))</f>
        <v/>
      </c>
      <c r="AA661" s="9">
        <f>(U661*0.4)+(W661*0.3)+(IF(Z661="Critical",10,IF(Z661="High",7,IF(Z661="Medium",4,1)))*0.2)+(IF(Y661="YES",10,0)*0.1)</f>
        <v/>
      </c>
      <c r="AB661" s="9">
        <f>IF(G661="YES",2.0,0)+IF(H661="YES",2.0,0)</f>
        <v/>
      </c>
      <c r="AC661" s="9" t="n">
        <v>0</v>
      </c>
      <c r="AD661" s="9">
        <f>K661+AB661+AC661</f>
        <v/>
      </c>
      <c r="AE661" s="9">
        <f>(AD661*0.6)+(AA661*0.4)</f>
        <v/>
      </c>
      <c r="AF661">
        <f>IF(AE661&gt;=9,"Critical",IF(AE661&gt;=7,"High",IF(AE661&gt;=4,"Medium","Low")))</f>
        <v/>
      </c>
    </row>
    <row r="662">
      <c r="F662" t="n">
        <v>1</v>
      </c>
      <c r="I662">
        <f>IF(D662="","",TODAY()-D662)</f>
        <v/>
      </c>
      <c r="K662">
        <f>IF(J662="v4.0",L662,IF(J662="v3.1",M662,IF(J662="Both",L662,IF(AND(L662&lt;&gt;"",M662=""),L662,M662))))</f>
        <v/>
      </c>
      <c r="U662">
        <f>IF(T662="Tier 1",10,IF(T662="Tier 2",7,IF(T662="Tier 3",4,IF(T662="Tier 4",1,0))))</f>
        <v/>
      </c>
      <c r="W662">
        <f>IF(V662="Restricted",10,IF(V662="Confidential",7,IF(V662="Internal",4,IF(V662="Public",1,0))))</f>
        <v/>
      </c>
      <c r="AA662" s="9">
        <f>(U662*0.4)+(W662*0.3)+(IF(Z662="Critical",10,IF(Z662="High",7,IF(Z662="Medium",4,1)))*0.2)+(IF(Y662="YES",10,0)*0.1)</f>
        <v/>
      </c>
      <c r="AB662" s="9">
        <f>IF(G662="YES",2.0,0)+IF(H662="YES",2.0,0)</f>
        <v/>
      </c>
      <c r="AC662" s="9" t="n">
        <v>0</v>
      </c>
      <c r="AD662" s="9">
        <f>K662+AB662+AC662</f>
        <v/>
      </c>
      <c r="AE662" s="9">
        <f>(AD662*0.6)+(AA662*0.4)</f>
        <v/>
      </c>
      <c r="AF662">
        <f>IF(AE662&gt;=9,"Critical",IF(AE662&gt;=7,"High",IF(AE662&gt;=4,"Medium","Low")))</f>
        <v/>
      </c>
    </row>
    <row r="663">
      <c r="F663" t="n">
        <v>1</v>
      </c>
      <c r="I663">
        <f>IF(D663="","",TODAY()-D663)</f>
        <v/>
      </c>
      <c r="K663">
        <f>IF(J663="v4.0",L663,IF(J663="v3.1",M663,IF(J663="Both",L663,IF(AND(L663&lt;&gt;"",M663=""),L663,M663))))</f>
        <v/>
      </c>
      <c r="U663">
        <f>IF(T663="Tier 1",10,IF(T663="Tier 2",7,IF(T663="Tier 3",4,IF(T663="Tier 4",1,0))))</f>
        <v/>
      </c>
      <c r="W663">
        <f>IF(V663="Restricted",10,IF(V663="Confidential",7,IF(V663="Internal",4,IF(V663="Public",1,0))))</f>
        <v/>
      </c>
      <c r="AA663" s="9">
        <f>(U663*0.4)+(W663*0.3)+(IF(Z663="Critical",10,IF(Z663="High",7,IF(Z663="Medium",4,1)))*0.2)+(IF(Y663="YES",10,0)*0.1)</f>
        <v/>
      </c>
      <c r="AB663" s="9">
        <f>IF(G663="YES",2.0,0)+IF(H663="YES",2.0,0)</f>
        <v/>
      </c>
      <c r="AC663" s="9" t="n">
        <v>0</v>
      </c>
      <c r="AD663" s="9">
        <f>K663+AB663+AC663</f>
        <v/>
      </c>
      <c r="AE663" s="9">
        <f>(AD663*0.6)+(AA663*0.4)</f>
        <v/>
      </c>
      <c r="AF663">
        <f>IF(AE663&gt;=9,"Critical",IF(AE663&gt;=7,"High",IF(AE663&gt;=4,"Medium","Low")))</f>
        <v/>
      </c>
    </row>
    <row r="664">
      <c r="F664" t="n">
        <v>1</v>
      </c>
      <c r="I664">
        <f>IF(D664="","",TODAY()-D664)</f>
        <v/>
      </c>
      <c r="K664">
        <f>IF(J664="v4.0",L664,IF(J664="v3.1",M664,IF(J664="Both",L664,IF(AND(L664&lt;&gt;"",M664=""),L664,M664))))</f>
        <v/>
      </c>
      <c r="U664">
        <f>IF(T664="Tier 1",10,IF(T664="Tier 2",7,IF(T664="Tier 3",4,IF(T664="Tier 4",1,0))))</f>
        <v/>
      </c>
      <c r="W664">
        <f>IF(V664="Restricted",10,IF(V664="Confidential",7,IF(V664="Internal",4,IF(V664="Public",1,0))))</f>
        <v/>
      </c>
      <c r="AA664" s="9">
        <f>(U664*0.4)+(W664*0.3)+(IF(Z664="Critical",10,IF(Z664="High",7,IF(Z664="Medium",4,1)))*0.2)+(IF(Y664="YES",10,0)*0.1)</f>
        <v/>
      </c>
      <c r="AB664" s="9">
        <f>IF(G664="YES",2.0,0)+IF(H664="YES",2.0,0)</f>
        <v/>
      </c>
      <c r="AC664" s="9" t="n">
        <v>0</v>
      </c>
      <c r="AD664" s="9">
        <f>K664+AB664+AC664</f>
        <v/>
      </c>
      <c r="AE664" s="9">
        <f>(AD664*0.6)+(AA664*0.4)</f>
        <v/>
      </c>
      <c r="AF664">
        <f>IF(AE664&gt;=9,"Critical",IF(AE664&gt;=7,"High",IF(AE664&gt;=4,"Medium","Low")))</f>
        <v/>
      </c>
    </row>
    <row r="665">
      <c r="F665" t="n">
        <v>1</v>
      </c>
      <c r="I665">
        <f>IF(D665="","",TODAY()-D665)</f>
        <v/>
      </c>
      <c r="K665">
        <f>IF(J665="v4.0",L665,IF(J665="v3.1",M665,IF(J665="Both",L665,IF(AND(L665&lt;&gt;"",M665=""),L665,M665))))</f>
        <v/>
      </c>
      <c r="U665">
        <f>IF(T665="Tier 1",10,IF(T665="Tier 2",7,IF(T665="Tier 3",4,IF(T665="Tier 4",1,0))))</f>
        <v/>
      </c>
      <c r="W665">
        <f>IF(V665="Restricted",10,IF(V665="Confidential",7,IF(V665="Internal",4,IF(V665="Public",1,0))))</f>
        <v/>
      </c>
      <c r="AA665" s="9">
        <f>(U665*0.4)+(W665*0.3)+(IF(Z665="Critical",10,IF(Z665="High",7,IF(Z665="Medium",4,1)))*0.2)+(IF(Y665="YES",10,0)*0.1)</f>
        <v/>
      </c>
      <c r="AB665" s="9">
        <f>IF(G665="YES",2.0,0)+IF(H665="YES",2.0,0)</f>
        <v/>
      </c>
      <c r="AC665" s="9" t="n">
        <v>0</v>
      </c>
      <c r="AD665" s="9">
        <f>K665+AB665+AC665</f>
        <v/>
      </c>
      <c r="AE665" s="9">
        <f>(AD665*0.6)+(AA665*0.4)</f>
        <v/>
      </c>
      <c r="AF665">
        <f>IF(AE665&gt;=9,"Critical",IF(AE665&gt;=7,"High",IF(AE665&gt;=4,"Medium","Low")))</f>
        <v/>
      </c>
    </row>
    <row r="666">
      <c r="F666" t="n">
        <v>1</v>
      </c>
      <c r="I666">
        <f>IF(D666="","",TODAY()-D666)</f>
        <v/>
      </c>
      <c r="K666">
        <f>IF(J666="v4.0",L666,IF(J666="v3.1",M666,IF(J666="Both",L666,IF(AND(L666&lt;&gt;"",M666=""),L666,M666))))</f>
        <v/>
      </c>
      <c r="U666">
        <f>IF(T666="Tier 1",10,IF(T666="Tier 2",7,IF(T666="Tier 3",4,IF(T666="Tier 4",1,0))))</f>
        <v/>
      </c>
      <c r="W666">
        <f>IF(V666="Restricted",10,IF(V666="Confidential",7,IF(V666="Internal",4,IF(V666="Public",1,0))))</f>
        <v/>
      </c>
      <c r="AA666" s="9">
        <f>(U666*0.4)+(W666*0.3)+(IF(Z666="Critical",10,IF(Z666="High",7,IF(Z666="Medium",4,1)))*0.2)+(IF(Y666="YES",10,0)*0.1)</f>
        <v/>
      </c>
      <c r="AB666" s="9">
        <f>IF(G666="YES",2.0,0)+IF(H666="YES",2.0,0)</f>
        <v/>
      </c>
      <c r="AC666" s="9" t="n">
        <v>0</v>
      </c>
      <c r="AD666" s="9">
        <f>K666+AB666+AC666</f>
        <v/>
      </c>
      <c r="AE666" s="9">
        <f>(AD666*0.6)+(AA666*0.4)</f>
        <v/>
      </c>
      <c r="AF666">
        <f>IF(AE666&gt;=9,"Critical",IF(AE666&gt;=7,"High",IF(AE666&gt;=4,"Medium","Low")))</f>
        <v/>
      </c>
    </row>
    <row r="667">
      <c r="F667" t="n">
        <v>1</v>
      </c>
      <c r="I667">
        <f>IF(D667="","",TODAY()-D667)</f>
        <v/>
      </c>
      <c r="K667">
        <f>IF(J667="v4.0",L667,IF(J667="v3.1",M667,IF(J667="Both",L667,IF(AND(L667&lt;&gt;"",M667=""),L667,M667))))</f>
        <v/>
      </c>
      <c r="U667">
        <f>IF(T667="Tier 1",10,IF(T667="Tier 2",7,IF(T667="Tier 3",4,IF(T667="Tier 4",1,0))))</f>
        <v/>
      </c>
      <c r="W667">
        <f>IF(V667="Restricted",10,IF(V667="Confidential",7,IF(V667="Internal",4,IF(V667="Public",1,0))))</f>
        <v/>
      </c>
      <c r="AA667" s="9">
        <f>(U667*0.4)+(W667*0.3)+(IF(Z667="Critical",10,IF(Z667="High",7,IF(Z667="Medium",4,1)))*0.2)+(IF(Y667="YES",10,0)*0.1)</f>
        <v/>
      </c>
      <c r="AB667" s="9">
        <f>IF(G667="YES",2.0,0)+IF(H667="YES",2.0,0)</f>
        <v/>
      </c>
      <c r="AC667" s="9" t="n">
        <v>0</v>
      </c>
      <c r="AD667" s="9">
        <f>K667+AB667+AC667</f>
        <v/>
      </c>
      <c r="AE667" s="9">
        <f>(AD667*0.6)+(AA667*0.4)</f>
        <v/>
      </c>
      <c r="AF667">
        <f>IF(AE667&gt;=9,"Critical",IF(AE667&gt;=7,"High",IF(AE667&gt;=4,"Medium","Low")))</f>
        <v/>
      </c>
    </row>
    <row r="668">
      <c r="F668" t="n">
        <v>1</v>
      </c>
      <c r="I668">
        <f>IF(D668="","",TODAY()-D668)</f>
        <v/>
      </c>
      <c r="K668">
        <f>IF(J668="v4.0",L668,IF(J668="v3.1",M668,IF(J668="Both",L668,IF(AND(L668&lt;&gt;"",M668=""),L668,M668))))</f>
        <v/>
      </c>
      <c r="U668">
        <f>IF(T668="Tier 1",10,IF(T668="Tier 2",7,IF(T668="Tier 3",4,IF(T668="Tier 4",1,0))))</f>
        <v/>
      </c>
      <c r="W668">
        <f>IF(V668="Restricted",10,IF(V668="Confidential",7,IF(V668="Internal",4,IF(V668="Public",1,0))))</f>
        <v/>
      </c>
      <c r="AA668" s="9">
        <f>(U668*0.4)+(W668*0.3)+(IF(Z668="Critical",10,IF(Z668="High",7,IF(Z668="Medium",4,1)))*0.2)+(IF(Y668="YES",10,0)*0.1)</f>
        <v/>
      </c>
      <c r="AB668" s="9">
        <f>IF(G668="YES",2.0,0)+IF(H668="YES",2.0,0)</f>
        <v/>
      </c>
      <c r="AC668" s="9" t="n">
        <v>0</v>
      </c>
      <c r="AD668" s="9">
        <f>K668+AB668+AC668</f>
        <v/>
      </c>
      <c r="AE668" s="9">
        <f>(AD668*0.6)+(AA668*0.4)</f>
        <v/>
      </c>
      <c r="AF668">
        <f>IF(AE668&gt;=9,"Critical",IF(AE668&gt;=7,"High",IF(AE668&gt;=4,"Medium","Low")))</f>
        <v/>
      </c>
    </row>
    <row r="669">
      <c r="F669" t="n">
        <v>1</v>
      </c>
      <c r="I669">
        <f>IF(D669="","",TODAY()-D669)</f>
        <v/>
      </c>
      <c r="K669">
        <f>IF(J669="v4.0",L669,IF(J669="v3.1",M669,IF(J669="Both",L669,IF(AND(L669&lt;&gt;"",M669=""),L669,M669))))</f>
        <v/>
      </c>
      <c r="U669">
        <f>IF(T669="Tier 1",10,IF(T669="Tier 2",7,IF(T669="Tier 3",4,IF(T669="Tier 4",1,0))))</f>
        <v/>
      </c>
      <c r="W669">
        <f>IF(V669="Restricted",10,IF(V669="Confidential",7,IF(V669="Internal",4,IF(V669="Public",1,0))))</f>
        <v/>
      </c>
      <c r="AA669" s="9">
        <f>(U669*0.4)+(W669*0.3)+(IF(Z669="Critical",10,IF(Z669="High",7,IF(Z669="Medium",4,1)))*0.2)+(IF(Y669="YES",10,0)*0.1)</f>
        <v/>
      </c>
      <c r="AB669" s="9">
        <f>IF(G669="YES",2.0,0)+IF(H669="YES",2.0,0)</f>
        <v/>
      </c>
      <c r="AC669" s="9" t="n">
        <v>0</v>
      </c>
      <c r="AD669" s="9">
        <f>K669+AB669+AC669</f>
        <v/>
      </c>
      <c r="AE669" s="9">
        <f>(AD669*0.6)+(AA669*0.4)</f>
        <v/>
      </c>
      <c r="AF669">
        <f>IF(AE669&gt;=9,"Critical",IF(AE669&gt;=7,"High",IF(AE669&gt;=4,"Medium","Low")))</f>
        <v/>
      </c>
    </row>
    <row r="670">
      <c r="F670" t="n">
        <v>1</v>
      </c>
      <c r="I670">
        <f>IF(D670="","",TODAY()-D670)</f>
        <v/>
      </c>
      <c r="K670">
        <f>IF(J670="v4.0",L670,IF(J670="v3.1",M670,IF(J670="Both",L670,IF(AND(L670&lt;&gt;"",M670=""),L670,M670))))</f>
        <v/>
      </c>
      <c r="U670">
        <f>IF(T670="Tier 1",10,IF(T670="Tier 2",7,IF(T670="Tier 3",4,IF(T670="Tier 4",1,0))))</f>
        <v/>
      </c>
      <c r="W670">
        <f>IF(V670="Restricted",10,IF(V670="Confidential",7,IF(V670="Internal",4,IF(V670="Public",1,0))))</f>
        <v/>
      </c>
      <c r="AA670" s="9">
        <f>(U670*0.4)+(W670*0.3)+(IF(Z670="Critical",10,IF(Z670="High",7,IF(Z670="Medium",4,1)))*0.2)+(IF(Y670="YES",10,0)*0.1)</f>
        <v/>
      </c>
      <c r="AB670" s="9">
        <f>IF(G670="YES",2.0,0)+IF(H670="YES",2.0,0)</f>
        <v/>
      </c>
      <c r="AC670" s="9" t="n">
        <v>0</v>
      </c>
      <c r="AD670" s="9">
        <f>K670+AB670+AC670</f>
        <v/>
      </c>
      <c r="AE670" s="9">
        <f>(AD670*0.6)+(AA670*0.4)</f>
        <v/>
      </c>
      <c r="AF670">
        <f>IF(AE670&gt;=9,"Critical",IF(AE670&gt;=7,"High",IF(AE670&gt;=4,"Medium","Low")))</f>
        <v/>
      </c>
    </row>
    <row r="671">
      <c r="F671" t="n">
        <v>1</v>
      </c>
      <c r="I671">
        <f>IF(D671="","",TODAY()-D671)</f>
        <v/>
      </c>
      <c r="K671">
        <f>IF(J671="v4.0",L671,IF(J671="v3.1",M671,IF(J671="Both",L671,IF(AND(L671&lt;&gt;"",M671=""),L671,M671))))</f>
        <v/>
      </c>
      <c r="U671">
        <f>IF(T671="Tier 1",10,IF(T671="Tier 2",7,IF(T671="Tier 3",4,IF(T671="Tier 4",1,0))))</f>
        <v/>
      </c>
      <c r="W671">
        <f>IF(V671="Restricted",10,IF(V671="Confidential",7,IF(V671="Internal",4,IF(V671="Public",1,0))))</f>
        <v/>
      </c>
      <c r="AA671" s="9">
        <f>(U671*0.4)+(W671*0.3)+(IF(Z671="Critical",10,IF(Z671="High",7,IF(Z671="Medium",4,1)))*0.2)+(IF(Y671="YES",10,0)*0.1)</f>
        <v/>
      </c>
      <c r="AB671" s="9">
        <f>IF(G671="YES",2.0,0)+IF(H671="YES",2.0,0)</f>
        <v/>
      </c>
      <c r="AC671" s="9" t="n">
        <v>0</v>
      </c>
      <c r="AD671" s="9">
        <f>K671+AB671+AC671</f>
        <v/>
      </c>
      <c r="AE671" s="9">
        <f>(AD671*0.6)+(AA671*0.4)</f>
        <v/>
      </c>
      <c r="AF671">
        <f>IF(AE671&gt;=9,"Critical",IF(AE671&gt;=7,"High",IF(AE671&gt;=4,"Medium","Low")))</f>
        <v/>
      </c>
    </row>
    <row r="672">
      <c r="F672" t="n">
        <v>1</v>
      </c>
      <c r="I672">
        <f>IF(D672="","",TODAY()-D672)</f>
        <v/>
      </c>
      <c r="K672">
        <f>IF(J672="v4.0",L672,IF(J672="v3.1",M672,IF(J672="Both",L672,IF(AND(L672&lt;&gt;"",M672=""),L672,M672))))</f>
        <v/>
      </c>
      <c r="U672">
        <f>IF(T672="Tier 1",10,IF(T672="Tier 2",7,IF(T672="Tier 3",4,IF(T672="Tier 4",1,0))))</f>
        <v/>
      </c>
      <c r="W672">
        <f>IF(V672="Restricted",10,IF(V672="Confidential",7,IF(V672="Internal",4,IF(V672="Public",1,0))))</f>
        <v/>
      </c>
      <c r="AA672" s="9">
        <f>(U672*0.4)+(W672*0.3)+(IF(Z672="Critical",10,IF(Z672="High",7,IF(Z672="Medium",4,1)))*0.2)+(IF(Y672="YES",10,0)*0.1)</f>
        <v/>
      </c>
      <c r="AB672" s="9">
        <f>IF(G672="YES",2.0,0)+IF(H672="YES",2.0,0)</f>
        <v/>
      </c>
      <c r="AC672" s="9" t="n">
        <v>0</v>
      </c>
      <c r="AD672" s="9">
        <f>K672+AB672+AC672</f>
        <v/>
      </c>
      <c r="AE672" s="9">
        <f>(AD672*0.6)+(AA672*0.4)</f>
        <v/>
      </c>
      <c r="AF672">
        <f>IF(AE672&gt;=9,"Critical",IF(AE672&gt;=7,"High",IF(AE672&gt;=4,"Medium","Low")))</f>
        <v/>
      </c>
    </row>
    <row r="673">
      <c r="F673" t="n">
        <v>1</v>
      </c>
      <c r="I673">
        <f>IF(D673="","",TODAY()-D673)</f>
        <v/>
      </c>
      <c r="K673">
        <f>IF(J673="v4.0",L673,IF(J673="v3.1",M673,IF(J673="Both",L673,IF(AND(L673&lt;&gt;"",M673=""),L673,M673))))</f>
        <v/>
      </c>
      <c r="U673">
        <f>IF(T673="Tier 1",10,IF(T673="Tier 2",7,IF(T673="Tier 3",4,IF(T673="Tier 4",1,0))))</f>
        <v/>
      </c>
      <c r="W673">
        <f>IF(V673="Restricted",10,IF(V673="Confidential",7,IF(V673="Internal",4,IF(V673="Public",1,0))))</f>
        <v/>
      </c>
      <c r="AA673" s="9">
        <f>(U673*0.4)+(W673*0.3)+(IF(Z673="Critical",10,IF(Z673="High",7,IF(Z673="Medium",4,1)))*0.2)+(IF(Y673="YES",10,0)*0.1)</f>
        <v/>
      </c>
      <c r="AB673" s="9">
        <f>IF(G673="YES",2.0,0)+IF(H673="YES",2.0,0)</f>
        <v/>
      </c>
      <c r="AC673" s="9" t="n">
        <v>0</v>
      </c>
      <c r="AD673" s="9">
        <f>K673+AB673+AC673</f>
        <v/>
      </c>
      <c r="AE673" s="9">
        <f>(AD673*0.6)+(AA673*0.4)</f>
        <v/>
      </c>
      <c r="AF673">
        <f>IF(AE673&gt;=9,"Critical",IF(AE673&gt;=7,"High",IF(AE673&gt;=4,"Medium","Low")))</f>
        <v/>
      </c>
    </row>
    <row r="674">
      <c r="F674" t="n">
        <v>1</v>
      </c>
      <c r="I674">
        <f>IF(D674="","",TODAY()-D674)</f>
        <v/>
      </c>
      <c r="K674">
        <f>IF(J674="v4.0",L674,IF(J674="v3.1",M674,IF(J674="Both",L674,IF(AND(L674&lt;&gt;"",M674=""),L674,M674))))</f>
        <v/>
      </c>
      <c r="U674">
        <f>IF(T674="Tier 1",10,IF(T674="Tier 2",7,IF(T674="Tier 3",4,IF(T674="Tier 4",1,0))))</f>
        <v/>
      </c>
      <c r="W674">
        <f>IF(V674="Restricted",10,IF(V674="Confidential",7,IF(V674="Internal",4,IF(V674="Public",1,0))))</f>
        <v/>
      </c>
      <c r="AA674" s="9">
        <f>(U674*0.4)+(W674*0.3)+(IF(Z674="Critical",10,IF(Z674="High",7,IF(Z674="Medium",4,1)))*0.2)+(IF(Y674="YES",10,0)*0.1)</f>
        <v/>
      </c>
      <c r="AB674" s="9">
        <f>IF(G674="YES",2.0,0)+IF(H674="YES",2.0,0)</f>
        <v/>
      </c>
      <c r="AC674" s="9" t="n">
        <v>0</v>
      </c>
      <c r="AD674" s="9">
        <f>K674+AB674+AC674</f>
        <v/>
      </c>
      <c r="AE674" s="9">
        <f>(AD674*0.6)+(AA674*0.4)</f>
        <v/>
      </c>
      <c r="AF674">
        <f>IF(AE674&gt;=9,"Critical",IF(AE674&gt;=7,"High",IF(AE674&gt;=4,"Medium","Low")))</f>
        <v/>
      </c>
    </row>
    <row r="675">
      <c r="F675" t="n">
        <v>1</v>
      </c>
      <c r="I675">
        <f>IF(D675="","",TODAY()-D675)</f>
        <v/>
      </c>
      <c r="K675">
        <f>IF(J675="v4.0",L675,IF(J675="v3.1",M675,IF(J675="Both",L675,IF(AND(L675&lt;&gt;"",M675=""),L675,M675))))</f>
        <v/>
      </c>
      <c r="U675">
        <f>IF(T675="Tier 1",10,IF(T675="Tier 2",7,IF(T675="Tier 3",4,IF(T675="Tier 4",1,0))))</f>
        <v/>
      </c>
      <c r="W675">
        <f>IF(V675="Restricted",10,IF(V675="Confidential",7,IF(V675="Internal",4,IF(V675="Public",1,0))))</f>
        <v/>
      </c>
      <c r="AA675" s="9">
        <f>(U675*0.4)+(W675*0.3)+(IF(Z675="Critical",10,IF(Z675="High",7,IF(Z675="Medium",4,1)))*0.2)+(IF(Y675="YES",10,0)*0.1)</f>
        <v/>
      </c>
      <c r="AB675" s="9">
        <f>IF(G675="YES",2.0,0)+IF(H675="YES",2.0,0)</f>
        <v/>
      </c>
      <c r="AC675" s="9" t="n">
        <v>0</v>
      </c>
      <c r="AD675" s="9">
        <f>K675+AB675+AC675</f>
        <v/>
      </c>
      <c r="AE675" s="9">
        <f>(AD675*0.6)+(AA675*0.4)</f>
        <v/>
      </c>
      <c r="AF675">
        <f>IF(AE675&gt;=9,"Critical",IF(AE675&gt;=7,"High",IF(AE675&gt;=4,"Medium","Low")))</f>
        <v/>
      </c>
    </row>
    <row r="676">
      <c r="F676" t="n">
        <v>1</v>
      </c>
      <c r="I676">
        <f>IF(D676="","",TODAY()-D676)</f>
        <v/>
      </c>
      <c r="K676">
        <f>IF(J676="v4.0",L676,IF(J676="v3.1",M676,IF(J676="Both",L676,IF(AND(L676&lt;&gt;"",M676=""),L676,M676))))</f>
        <v/>
      </c>
      <c r="U676">
        <f>IF(T676="Tier 1",10,IF(T676="Tier 2",7,IF(T676="Tier 3",4,IF(T676="Tier 4",1,0))))</f>
        <v/>
      </c>
      <c r="W676">
        <f>IF(V676="Restricted",10,IF(V676="Confidential",7,IF(V676="Internal",4,IF(V676="Public",1,0))))</f>
        <v/>
      </c>
      <c r="AA676" s="9">
        <f>(U676*0.4)+(W676*0.3)+(IF(Z676="Critical",10,IF(Z676="High",7,IF(Z676="Medium",4,1)))*0.2)+(IF(Y676="YES",10,0)*0.1)</f>
        <v/>
      </c>
      <c r="AB676" s="9">
        <f>IF(G676="YES",2.0,0)+IF(H676="YES",2.0,0)</f>
        <v/>
      </c>
      <c r="AC676" s="9" t="n">
        <v>0</v>
      </c>
      <c r="AD676" s="9">
        <f>K676+AB676+AC676</f>
        <v/>
      </c>
      <c r="AE676" s="9">
        <f>(AD676*0.6)+(AA676*0.4)</f>
        <v/>
      </c>
      <c r="AF676">
        <f>IF(AE676&gt;=9,"Critical",IF(AE676&gt;=7,"High",IF(AE676&gt;=4,"Medium","Low")))</f>
        <v/>
      </c>
    </row>
    <row r="677">
      <c r="F677" t="n">
        <v>1</v>
      </c>
      <c r="I677">
        <f>IF(D677="","",TODAY()-D677)</f>
        <v/>
      </c>
      <c r="K677">
        <f>IF(J677="v4.0",L677,IF(J677="v3.1",M677,IF(J677="Both",L677,IF(AND(L677&lt;&gt;"",M677=""),L677,M677))))</f>
        <v/>
      </c>
      <c r="U677">
        <f>IF(T677="Tier 1",10,IF(T677="Tier 2",7,IF(T677="Tier 3",4,IF(T677="Tier 4",1,0))))</f>
        <v/>
      </c>
      <c r="W677">
        <f>IF(V677="Restricted",10,IF(V677="Confidential",7,IF(V677="Internal",4,IF(V677="Public",1,0))))</f>
        <v/>
      </c>
      <c r="AA677" s="9">
        <f>(U677*0.4)+(W677*0.3)+(IF(Z677="Critical",10,IF(Z677="High",7,IF(Z677="Medium",4,1)))*0.2)+(IF(Y677="YES",10,0)*0.1)</f>
        <v/>
      </c>
      <c r="AB677" s="9">
        <f>IF(G677="YES",2.0,0)+IF(H677="YES",2.0,0)</f>
        <v/>
      </c>
      <c r="AC677" s="9" t="n">
        <v>0</v>
      </c>
      <c r="AD677" s="9">
        <f>K677+AB677+AC677</f>
        <v/>
      </c>
      <c r="AE677" s="9">
        <f>(AD677*0.6)+(AA677*0.4)</f>
        <v/>
      </c>
      <c r="AF677">
        <f>IF(AE677&gt;=9,"Critical",IF(AE677&gt;=7,"High",IF(AE677&gt;=4,"Medium","Low")))</f>
        <v/>
      </c>
    </row>
    <row r="678">
      <c r="F678" t="n">
        <v>1</v>
      </c>
      <c r="I678">
        <f>IF(D678="","",TODAY()-D678)</f>
        <v/>
      </c>
      <c r="K678">
        <f>IF(J678="v4.0",L678,IF(J678="v3.1",M678,IF(J678="Both",L678,IF(AND(L678&lt;&gt;"",M678=""),L678,M678))))</f>
        <v/>
      </c>
      <c r="U678">
        <f>IF(T678="Tier 1",10,IF(T678="Tier 2",7,IF(T678="Tier 3",4,IF(T678="Tier 4",1,0))))</f>
        <v/>
      </c>
      <c r="W678">
        <f>IF(V678="Restricted",10,IF(V678="Confidential",7,IF(V678="Internal",4,IF(V678="Public",1,0))))</f>
        <v/>
      </c>
      <c r="AA678" s="9">
        <f>(U678*0.4)+(W678*0.3)+(IF(Z678="Critical",10,IF(Z678="High",7,IF(Z678="Medium",4,1)))*0.2)+(IF(Y678="YES",10,0)*0.1)</f>
        <v/>
      </c>
      <c r="AB678" s="9">
        <f>IF(G678="YES",2.0,0)+IF(H678="YES",2.0,0)</f>
        <v/>
      </c>
      <c r="AC678" s="9" t="n">
        <v>0</v>
      </c>
      <c r="AD678" s="9">
        <f>K678+AB678+AC678</f>
        <v/>
      </c>
      <c r="AE678" s="9">
        <f>(AD678*0.6)+(AA678*0.4)</f>
        <v/>
      </c>
      <c r="AF678">
        <f>IF(AE678&gt;=9,"Critical",IF(AE678&gt;=7,"High",IF(AE678&gt;=4,"Medium","Low")))</f>
        <v/>
      </c>
    </row>
    <row r="679">
      <c r="F679" t="n">
        <v>1</v>
      </c>
      <c r="I679">
        <f>IF(D679="","",TODAY()-D679)</f>
        <v/>
      </c>
      <c r="K679">
        <f>IF(J679="v4.0",L679,IF(J679="v3.1",M679,IF(J679="Both",L679,IF(AND(L679&lt;&gt;"",M679=""),L679,M679))))</f>
        <v/>
      </c>
      <c r="U679">
        <f>IF(T679="Tier 1",10,IF(T679="Tier 2",7,IF(T679="Tier 3",4,IF(T679="Tier 4",1,0))))</f>
        <v/>
      </c>
      <c r="W679">
        <f>IF(V679="Restricted",10,IF(V679="Confidential",7,IF(V679="Internal",4,IF(V679="Public",1,0))))</f>
        <v/>
      </c>
      <c r="AA679" s="9">
        <f>(U679*0.4)+(W679*0.3)+(IF(Z679="Critical",10,IF(Z679="High",7,IF(Z679="Medium",4,1)))*0.2)+(IF(Y679="YES",10,0)*0.1)</f>
        <v/>
      </c>
      <c r="AB679" s="9">
        <f>IF(G679="YES",2.0,0)+IF(H679="YES",2.0,0)</f>
        <v/>
      </c>
      <c r="AC679" s="9" t="n">
        <v>0</v>
      </c>
      <c r="AD679" s="9">
        <f>K679+AB679+AC679</f>
        <v/>
      </c>
      <c r="AE679" s="9">
        <f>(AD679*0.6)+(AA679*0.4)</f>
        <v/>
      </c>
      <c r="AF679">
        <f>IF(AE679&gt;=9,"Critical",IF(AE679&gt;=7,"High",IF(AE679&gt;=4,"Medium","Low")))</f>
        <v/>
      </c>
    </row>
    <row r="680">
      <c r="F680" t="n">
        <v>1</v>
      </c>
      <c r="I680">
        <f>IF(D680="","",TODAY()-D680)</f>
        <v/>
      </c>
      <c r="K680">
        <f>IF(J680="v4.0",L680,IF(J680="v3.1",M680,IF(J680="Both",L680,IF(AND(L680&lt;&gt;"",M680=""),L680,M680))))</f>
        <v/>
      </c>
      <c r="U680">
        <f>IF(T680="Tier 1",10,IF(T680="Tier 2",7,IF(T680="Tier 3",4,IF(T680="Tier 4",1,0))))</f>
        <v/>
      </c>
      <c r="W680">
        <f>IF(V680="Restricted",10,IF(V680="Confidential",7,IF(V680="Internal",4,IF(V680="Public",1,0))))</f>
        <v/>
      </c>
      <c r="AA680" s="9">
        <f>(U680*0.4)+(W680*0.3)+(IF(Z680="Critical",10,IF(Z680="High",7,IF(Z680="Medium",4,1)))*0.2)+(IF(Y680="YES",10,0)*0.1)</f>
        <v/>
      </c>
      <c r="AB680" s="9">
        <f>IF(G680="YES",2.0,0)+IF(H680="YES",2.0,0)</f>
        <v/>
      </c>
      <c r="AC680" s="9" t="n">
        <v>0</v>
      </c>
      <c r="AD680" s="9">
        <f>K680+AB680+AC680</f>
        <v/>
      </c>
      <c r="AE680" s="9">
        <f>(AD680*0.6)+(AA680*0.4)</f>
        <v/>
      </c>
      <c r="AF680">
        <f>IF(AE680&gt;=9,"Critical",IF(AE680&gt;=7,"High",IF(AE680&gt;=4,"Medium","Low")))</f>
        <v/>
      </c>
    </row>
    <row r="681">
      <c r="F681" t="n">
        <v>1</v>
      </c>
      <c r="I681">
        <f>IF(D681="","",TODAY()-D681)</f>
        <v/>
      </c>
      <c r="K681">
        <f>IF(J681="v4.0",L681,IF(J681="v3.1",M681,IF(J681="Both",L681,IF(AND(L681&lt;&gt;"",M681=""),L681,M681))))</f>
        <v/>
      </c>
      <c r="U681">
        <f>IF(T681="Tier 1",10,IF(T681="Tier 2",7,IF(T681="Tier 3",4,IF(T681="Tier 4",1,0))))</f>
        <v/>
      </c>
      <c r="W681">
        <f>IF(V681="Restricted",10,IF(V681="Confidential",7,IF(V681="Internal",4,IF(V681="Public",1,0))))</f>
        <v/>
      </c>
      <c r="AA681" s="9">
        <f>(U681*0.4)+(W681*0.3)+(IF(Z681="Critical",10,IF(Z681="High",7,IF(Z681="Medium",4,1)))*0.2)+(IF(Y681="YES",10,0)*0.1)</f>
        <v/>
      </c>
      <c r="AB681" s="9">
        <f>IF(G681="YES",2.0,0)+IF(H681="YES",2.0,0)</f>
        <v/>
      </c>
      <c r="AC681" s="9" t="n">
        <v>0</v>
      </c>
      <c r="AD681" s="9">
        <f>K681+AB681+AC681</f>
        <v/>
      </c>
      <c r="AE681" s="9">
        <f>(AD681*0.6)+(AA681*0.4)</f>
        <v/>
      </c>
      <c r="AF681">
        <f>IF(AE681&gt;=9,"Critical",IF(AE681&gt;=7,"High",IF(AE681&gt;=4,"Medium","Low")))</f>
        <v/>
      </c>
    </row>
    <row r="682">
      <c r="F682" t="n">
        <v>1</v>
      </c>
      <c r="I682">
        <f>IF(D682="","",TODAY()-D682)</f>
        <v/>
      </c>
      <c r="K682">
        <f>IF(J682="v4.0",L682,IF(J682="v3.1",M682,IF(J682="Both",L682,IF(AND(L682&lt;&gt;"",M682=""),L682,M682))))</f>
        <v/>
      </c>
      <c r="U682">
        <f>IF(T682="Tier 1",10,IF(T682="Tier 2",7,IF(T682="Tier 3",4,IF(T682="Tier 4",1,0))))</f>
        <v/>
      </c>
      <c r="W682">
        <f>IF(V682="Restricted",10,IF(V682="Confidential",7,IF(V682="Internal",4,IF(V682="Public",1,0))))</f>
        <v/>
      </c>
      <c r="AA682" s="9">
        <f>(U682*0.4)+(W682*0.3)+(IF(Z682="Critical",10,IF(Z682="High",7,IF(Z682="Medium",4,1)))*0.2)+(IF(Y682="YES",10,0)*0.1)</f>
        <v/>
      </c>
      <c r="AB682" s="9">
        <f>IF(G682="YES",2.0,0)+IF(H682="YES",2.0,0)</f>
        <v/>
      </c>
      <c r="AC682" s="9" t="n">
        <v>0</v>
      </c>
      <c r="AD682" s="9">
        <f>K682+AB682+AC682</f>
        <v/>
      </c>
      <c r="AE682" s="9">
        <f>(AD682*0.6)+(AA682*0.4)</f>
        <v/>
      </c>
      <c r="AF682">
        <f>IF(AE682&gt;=9,"Critical",IF(AE682&gt;=7,"High",IF(AE682&gt;=4,"Medium","Low")))</f>
        <v/>
      </c>
    </row>
    <row r="683">
      <c r="F683" t="n">
        <v>1</v>
      </c>
      <c r="I683">
        <f>IF(D683="","",TODAY()-D683)</f>
        <v/>
      </c>
      <c r="K683">
        <f>IF(J683="v4.0",L683,IF(J683="v3.1",M683,IF(J683="Both",L683,IF(AND(L683&lt;&gt;"",M683=""),L683,M683))))</f>
        <v/>
      </c>
      <c r="U683">
        <f>IF(T683="Tier 1",10,IF(T683="Tier 2",7,IF(T683="Tier 3",4,IF(T683="Tier 4",1,0))))</f>
        <v/>
      </c>
      <c r="W683">
        <f>IF(V683="Restricted",10,IF(V683="Confidential",7,IF(V683="Internal",4,IF(V683="Public",1,0))))</f>
        <v/>
      </c>
      <c r="AA683" s="9">
        <f>(U683*0.4)+(W683*0.3)+(IF(Z683="Critical",10,IF(Z683="High",7,IF(Z683="Medium",4,1)))*0.2)+(IF(Y683="YES",10,0)*0.1)</f>
        <v/>
      </c>
      <c r="AB683" s="9">
        <f>IF(G683="YES",2.0,0)+IF(H683="YES",2.0,0)</f>
        <v/>
      </c>
      <c r="AC683" s="9" t="n">
        <v>0</v>
      </c>
      <c r="AD683" s="9">
        <f>K683+AB683+AC683</f>
        <v/>
      </c>
      <c r="AE683" s="9">
        <f>(AD683*0.6)+(AA683*0.4)</f>
        <v/>
      </c>
      <c r="AF683">
        <f>IF(AE683&gt;=9,"Critical",IF(AE683&gt;=7,"High",IF(AE683&gt;=4,"Medium","Low")))</f>
        <v/>
      </c>
    </row>
    <row r="684">
      <c r="F684" t="n">
        <v>1</v>
      </c>
      <c r="I684">
        <f>IF(D684="","",TODAY()-D684)</f>
        <v/>
      </c>
      <c r="K684">
        <f>IF(J684="v4.0",L684,IF(J684="v3.1",M684,IF(J684="Both",L684,IF(AND(L684&lt;&gt;"",M684=""),L684,M684))))</f>
        <v/>
      </c>
      <c r="U684">
        <f>IF(T684="Tier 1",10,IF(T684="Tier 2",7,IF(T684="Tier 3",4,IF(T684="Tier 4",1,0))))</f>
        <v/>
      </c>
      <c r="W684">
        <f>IF(V684="Restricted",10,IF(V684="Confidential",7,IF(V684="Internal",4,IF(V684="Public",1,0))))</f>
        <v/>
      </c>
      <c r="AA684" s="9">
        <f>(U684*0.4)+(W684*0.3)+(IF(Z684="Critical",10,IF(Z684="High",7,IF(Z684="Medium",4,1)))*0.2)+(IF(Y684="YES",10,0)*0.1)</f>
        <v/>
      </c>
      <c r="AB684" s="9">
        <f>IF(G684="YES",2.0,0)+IF(H684="YES",2.0,0)</f>
        <v/>
      </c>
      <c r="AC684" s="9" t="n">
        <v>0</v>
      </c>
      <c r="AD684" s="9">
        <f>K684+AB684+AC684</f>
        <v/>
      </c>
      <c r="AE684" s="9">
        <f>(AD684*0.6)+(AA684*0.4)</f>
        <v/>
      </c>
      <c r="AF684">
        <f>IF(AE684&gt;=9,"Critical",IF(AE684&gt;=7,"High",IF(AE684&gt;=4,"Medium","Low")))</f>
        <v/>
      </c>
    </row>
    <row r="685">
      <c r="F685" t="n">
        <v>1</v>
      </c>
      <c r="I685">
        <f>IF(D685="","",TODAY()-D685)</f>
        <v/>
      </c>
      <c r="K685">
        <f>IF(J685="v4.0",L685,IF(J685="v3.1",M685,IF(J685="Both",L685,IF(AND(L685&lt;&gt;"",M685=""),L685,M685))))</f>
        <v/>
      </c>
      <c r="U685">
        <f>IF(T685="Tier 1",10,IF(T685="Tier 2",7,IF(T685="Tier 3",4,IF(T685="Tier 4",1,0))))</f>
        <v/>
      </c>
      <c r="W685">
        <f>IF(V685="Restricted",10,IF(V685="Confidential",7,IF(V685="Internal",4,IF(V685="Public",1,0))))</f>
        <v/>
      </c>
      <c r="AA685" s="9">
        <f>(U685*0.4)+(W685*0.3)+(IF(Z685="Critical",10,IF(Z685="High",7,IF(Z685="Medium",4,1)))*0.2)+(IF(Y685="YES",10,0)*0.1)</f>
        <v/>
      </c>
      <c r="AB685" s="9">
        <f>IF(G685="YES",2.0,0)+IF(H685="YES",2.0,0)</f>
        <v/>
      </c>
      <c r="AC685" s="9" t="n">
        <v>0</v>
      </c>
      <c r="AD685" s="9">
        <f>K685+AB685+AC685</f>
        <v/>
      </c>
      <c r="AE685" s="9">
        <f>(AD685*0.6)+(AA685*0.4)</f>
        <v/>
      </c>
      <c r="AF685">
        <f>IF(AE685&gt;=9,"Critical",IF(AE685&gt;=7,"High",IF(AE685&gt;=4,"Medium","Low")))</f>
        <v/>
      </c>
    </row>
    <row r="686">
      <c r="F686" t="n">
        <v>1</v>
      </c>
      <c r="I686">
        <f>IF(D686="","",TODAY()-D686)</f>
        <v/>
      </c>
      <c r="K686">
        <f>IF(J686="v4.0",L686,IF(J686="v3.1",M686,IF(J686="Both",L686,IF(AND(L686&lt;&gt;"",M686=""),L686,M686))))</f>
        <v/>
      </c>
      <c r="U686">
        <f>IF(T686="Tier 1",10,IF(T686="Tier 2",7,IF(T686="Tier 3",4,IF(T686="Tier 4",1,0))))</f>
        <v/>
      </c>
      <c r="W686">
        <f>IF(V686="Restricted",10,IF(V686="Confidential",7,IF(V686="Internal",4,IF(V686="Public",1,0))))</f>
        <v/>
      </c>
      <c r="AA686" s="9">
        <f>(U686*0.4)+(W686*0.3)+(IF(Z686="Critical",10,IF(Z686="High",7,IF(Z686="Medium",4,1)))*0.2)+(IF(Y686="YES",10,0)*0.1)</f>
        <v/>
      </c>
      <c r="AB686" s="9">
        <f>IF(G686="YES",2.0,0)+IF(H686="YES",2.0,0)</f>
        <v/>
      </c>
      <c r="AC686" s="9" t="n">
        <v>0</v>
      </c>
      <c r="AD686" s="9">
        <f>K686+AB686+AC686</f>
        <v/>
      </c>
      <c r="AE686" s="9">
        <f>(AD686*0.6)+(AA686*0.4)</f>
        <v/>
      </c>
      <c r="AF686">
        <f>IF(AE686&gt;=9,"Critical",IF(AE686&gt;=7,"High",IF(AE686&gt;=4,"Medium","Low")))</f>
        <v/>
      </c>
    </row>
    <row r="687">
      <c r="F687" t="n">
        <v>1</v>
      </c>
      <c r="I687">
        <f>IF(D687="","",TODAY()-D687)</f>
        <v/>
      </c>
      <c r="K687">
        <f>IF(J687="v4.0",L687,IF(J687="v3.1",M687,IF(J687="Both",L687,IF(AND(L687&lt;&gt;"",M687=""),L687,M687))))</f>
        <v/>
      </c>
      <c r="U687">
        <f>IF(T687="Tier 1",10,IF(T687="Tier 2",7,IF(T687="Tier 3",4,IF(T687="Tier 4",1,0))))</f>
        <v/>
      </c>
      <c r="W687">
        <f>IF(V687="Restricted",10,IF(V687="Confidential",7,IF(V687="Internal",4,IF(V687="Public",1,0))))</f>
        <v/>
      </c>
      <c r="AA687" s="9">
        <f>(U687*0.4)+(W687*0.3)+(IF(Z687="Critical",10,IF(Z687="High",7,IF(Z687="Medium",4,1)))*0.2)+(IF(Y687="YES",10,0)*0.1)</f>
        <v/>
      </c>
      <c r="AB687" s="9">
        <f>IF(G687="YES",2.0,0)+IF(H687="YES",2.0,0)</f>
        <v/>
      </c>
      <c r="AC687" s="9" t="n">
        <v>0</v>
      </c>
      <c r="AD687" s="9">
        <f>K687+AB687+AC687</f>
        <v/>
      </c>
      <c r="AE687" s="9">
        <f>(AD687*0.6)+(AA687*0.4)</f>
        <v/>
      </c>
      <c r="AF687">
        <f>IF(AE687&gt;=9,"Critical",IF(AE687&gt;=7,"High",IF(AE687&gt;=4,"Medium","Low")))</f>
        <v/>
      </c>
    </row>
    <row r="688">
      <c r="F688" t="n">
        <v>1</v>
      </c>
      <c r="I688">
        <f>IF(D688="","",TODAY()-D688)</f>
        <v/>
      </c>
      <c r="K688">
        <f>IF(J688="v4.0",L688,IF(J688="v3.1",M688,IF(J688="Both",L688,IF(AND(L688&lt;&gt;"",M688=""),L688,M688))))</f>
        <v/>
      </c>
      <c r="U688">
        <f>IF(T688="Tier 1",10,IF(T688="Tier 2",7,IF(T688="Tier 3",4,IF(T688="Tier 4",1,0))))</f>
        <v/>
      </c>
      <c r="W688">
        <f>IF(V688="Restricted",10,IF(V688="Confidential",7,IF(V688="Internal",4,IF(V688="Public",1,0))))</f>
        <v/>
      </c>
      <c r="AA688" s="9">
        <f>(U688*0.4)+(W688*0.3)+(IF(Z688="Critical",10,IF(Z688="High",7,IF(Z688="Medium",4,1)))*0.2)+(IF(Y688="YES",10,0)*0.1)</f>
        <v/>
      </c>
      <c r="AB688" s="9">
        <f>IF(G688="YES",2.0,0)+IF(H688="YES",2.0,0)</f>
        <v/>
      </c>
      <c r="AC688" s="9" t="n">
        <v>0</v>
      </c>
      <c r="AD688" s="9">
        <f>K688+AB688+AC688</f>
        <v/>
      </c>
      <c r="AE688" s="9">
        <f>(AD688*0.6)+(AA688*0.4)</f>
        <v/>
      </c>
      <c r="AF688">
        <f>IF(AE688&gt;=9,"Critical",IF(AE688&gt;=7,"High",IF(AE688&gt;=4,"Medium","Low")))</f>
        <v/>
      </c>
    </row>
    <row r="689">
      <c r="F689" t="n">
        <v>1</v>
      </c>
      <c r="I689">
        <f>IF(D689="","",TODAY()-D689)</f>
        <v/>
      </c>
      <c r="K689">
        <f>IF(J689="v4.0",L689,IF(J689="v3.1",M689,IF(J689="Both",L689,IF(AND(L689&lt;&gt;"",M689=""),L689,M689))))</f>
        <v/>
      </c>
      <c r="U689">
        <f>IF(T689="Tier 1",10,IF(T689="Tier 2",7,IF(T689="Tier 3",4,IF(T689="Tier 4",1,0))))</f>
        <v/>
      </c>
      <c r="W689">
        <f>IF(V689="Restricted",10,IF(V689="Confidential",7,IF(V689="Internal",4,IF(V689="Public",1,0))))</f>
        <v/>
      </c>
      <c r="AA689" s="9">
        <f>(U689*0.4)+(W689*0.3)+(IF(Z689="Critical",10,IF(Z689="High",7,IF(Z689="Medium",4,1)))*0.2)+(IF(Y689="YES",10,0)*0.1)</f>
        <v/>
      </c>
      <c r="AB689" s="9">
        <f>IF(G689="YES",2.0,0)+IF(H689="YES",2.0,0)</f>
        <v/>
      </c>
      <c r="AC689" s="9" t="n">
        <v>0</v>
      </c>
      <c r="AD689" s="9">
        <f>K689+AB689+AC689</f>
        <v/>
      </c>
      <c r="AE689" s="9">
        <f>(AD689*0.6)+(AA689*0.4)</f>
        <v/>
      </c>
      <c r="AF689">
        <f>IF(AE689&gt;=9,"Critical",IF(AE689&gt;=7,"High",IF(AE689&gt;=4,"Medium","Low")))</f>
        <v/>
      </c>
    </row>
    <row r="690">
      <c r="F690" t="n">
        <v>1</v>
      </c>
      <c r="I690">
        <f>IF(D690="","",TODAY()-D690)</f>
        <v/>
      </c>
      <c r="K690">
        <f>IF(J690="v4.0",L690,IF(J690="v3.1",M690,IF(J690="Both",L690,IF(AND(L690&lt;&gt;"",M690=""),L690,M690))))</f>
        <v/>
      </c>
      <c r="U690">
        <f>IF(T690="Tier 1",10,IF(T690="Tier 2",7,IF(T690="Tier 3",4,IF(T690="Tier 4",1,0))))</f>
        <v/>
      </c>
      <c r="W690">
        <f>IF(V690="Restricted",10,IF(V690="Confidential",7,IF(V690="Internal",4,IF(V690="Public",1,0))))</f>
        <v/>
      </c>
      <c r="AA690" s="9">
        <f>(U690*0.4)+(W690*0.3)+(IF(Z690="Critical",10,IF(Z690="High",7,IF(Z690="Medium",4,1)))*0.2)+(IF(Y690="YES",10,0)*0.1)</f>
        <v/>
      </c>
      <c r="AB690" s="9">
        <f>IF(G690="YES",2.0,0)+IF(H690="YES",2.0,0)</f>
        <v/>
      </c>
      <c r="AC690" s="9" t="n">
        <v>0</v>
      </c>
      <c r="AD690" s="9">
        <f>K690+AB690+AC690</f>
        <v/>
      </c>
      <c r="AE690" s="9">
        <f>(AD690*0.6)+(AA690*0.4)</f>
        <v/>
      </c>
      <c r="AF690">
        <f>IF(AE690&gt;=9,"Critical",IF(AE690&gt;=7,"High",IF(AE690&gt;=4,"Medium","Low")))</f>
        <v/>
      </c>
    </row>
    <row r="691">
      <c r="F691" t="n">
        <v>1</v>
      </c>
      <c r="I691">
        <f>IF(D691="","",TODAY()-D691)</f>
        <v/>
      </c>
      <c r="K691">
        <f>IF(J691="v4.0",L691,IF(J691="v3.1",M691,IF(J691="Both",L691,IF(AND(L691&lt;&gt;"",M691=""),L691,M691))))</f>
        <v/>
      </c>
      <c r="U691">
        <f>IF(T691="Tier 1",10,IF(T691="Tier 2",7,IF(T691="Tier 3",4,IF(T691="Tier 4",1,0))))</f>
        <v/>
      </c>
      <c r="W691">
        <f>IF(V691="Restricted",10,IF(V691="Confidential",7,IF(V691="Internal",4,IF(V691="Public",1,0))))</f>
        <v/>
      </c>
      <c r="AA691" s="9">
        <f>(U691*0.4)+(W691*0.3)+(IF(Z691="Critical",10,IF(Z691="High",7,IF(Z691="Medium",4,1)))*0.2)+(IF(Y691="YES",10,0)*0.1)</f>
        <v/>
      </c>
      <c r="AB691" s="9">
        <f>IF(G691="YES",2.0,0)+IF(H691="YES",2.0,0)</f>
        <v/>
      </c>
      <c r="AC691" s="9" t="n">
        <v>0</v>
      </c>
      <c r="AD691" s="9">
        <f>K691+AB691+AC691</f>
        <v/>
      </c>
      <c r="AE691" s="9">
        <f>(AD691*0.6)+(AA691*0.4)</f>
        <v/>
      </c>
      <c r="AF691">
        <f>IF(AE691&gt;=9,"Critical",IF(AE691&gt;=7,"High",IF(AE691&gt;=4,"Medium","Low")))</f>
        <v/>
      </c>
    </row>
    <row r="692">
      <c r="F692" t="n">
        <v>1</v>
      </c>
      <c r="I692">
        <f>IF(D692="","",TODAY()-D692)</f>
        <v/>
      </c>
      <c r="K692">
        <f>IF(J692="v4.0",L692,IF(J692="v3.1",M692,IF(J692="Both",L692,IF(AND(L692&lt;&gt;"",M692=""),L692,M692))))</f>
        <v/>
      </c>
      <c r="U692">
        <f>IF(T692="Tier 1",10,IF(T692="Tier 2",7,IF(T692="Tier 3",4,IF(T692="Tier 4",1,0))))</f>
        <v/>
      </c>
      <c r="W692">
        <f>IF(V692="Restricted",10,IF(V692="Confidential",7,IF(V692="Internal",4,IF(V692="Public",1,0))))</f>
        <v/>
      </c>
      <c r="AA692" s="9">
        <f>(U692*0.4)+(W692*0.3)+(IF(Z692="Critical",10,IF(Z692="High",7,IF(Z692="Medium",4,1)))*0.2)+(IF(Y692="YES",10,0)*0.1)</f>
        <v/>
      </c>
      <c r="AB692" s="9">
        <f>IF(G692="YES",2.0,0)+IF(H692="YES",2.0,0)</f>
        <v/>
      </c>
      <c r="AC692" s="9" t="n">
        <v>0</v>
      </c>
      <c r="AD692" s="9">
        <f>K692+AB692+AC692</f>
        <v/>
      </c>
      <c r="AE692" s="9">
        <f>(AD692*0.6)+(AA692*0.4)</f>
        <v/>
      </c>
      <c r="AF692">
        <f>IF(AE692&gt;=9,"Critical",IF(AE692&gt;=7,"High",IF(AE692&gt;=4,"Medium","Low")))</f>
        <v/>
      </c>
    </row>
    <row r="693">
      <c r="F693" t="n">
        <v>1</v>
      </c>
      <c r="I693">
        <f>IF(D693="","",TODAY()-D693)</f>
        <v/>
      </c>
      <c r="K693">
        <f>IF(J693="v4.0",L693,IF(J693="v3.1",M693,IF(J693="Both",L693,IF(AND(L693&lt;&gt;"",M693=""),L693,M693))))</f>
        <v/>
      </c>
      <c r="U693">
        <f>IF(T693="Tier 1",10,IF(T693="Tier 2",7,IF(T693="Tier 3",4,IF(T693="Tier 4",1,0))))</f>
        <v/>
      </c>
      <c r="W693">
        <f>IF(V693="Restricted",10,IF(V693="Confidential",7,IF(V693="Internal",4,IF(V693="Public",1,0))))</f>
        <v/>
      </c>
      <c r="AA693" s="9">
        <f>(U693*0.4)+(W693*0.3)+(IF(Z693="Critical",10,IF(Z693="High",7,IF(Z693="Medium",4,1)))*0.2)+(IF(Y693="YES",10,0)*0.1)</f>
        <v/>
      </c>
      <c r="AB693" s="9">
        <f>IF(G693="YES",2.0,0)+IF(H693="YES",2.0,0)</f>
        <v/>
      </c>
      <c r="AC693" s="9" t="n">
        <v>0</v>
      </c>
      <c r="AD693" s="9">
        <f>K693+AB693+AC693</f>
        <v/>
      </c>
      <c r="AE693" s="9">
        <f>(AD693*0.6)+(AA693*0.4)</f>
        <v/>
      </c>
      <c r="AF693">
        <f>IF(AE693&gt;=9,"Critical",IF(AE693&gt;=7,"High",IF(AE693&gt;=4,"Medium","Low")))</f>
        <v/>
      </c>
    </row>
    <row r="694">
      <c r="F694" t="n">
        <v>1</v>
      </c>
      <c r="I694">
        <f>IF(D694="","",TODAY()-D694)</f>
        <v/>
      </c>
      <c r="K694">
        <f>IF(J694="v4.0",L694,IF(J694="v3.1",M694,IF(J694="Both",L694,IF(AND(L694&lt;&gt;"",M694=""),L694,M694))))</f>
        <v/>
      </c>
      <c r="U694">
        <f>IF(T694="Tier 1",10,IF(T694="Tier 2",7,IF(T694="Tier 3",4,IF(T694="Tier 4",1,0))))</f>
        <v/>
      </c>
      <c r="W694">
        <f>IF(V694="Restricted",10,IF(V694="Confidential",7,IF(V694="Internal",4,IF(V694="Public",1,0))))</f>
        <v/>
      </c>
      <c r="AA694" s="9">
        <f>(U694*0.4)+(W694*0.3)+(IF(Z694="Critical",10,IF(Z694="High",7,IF(Z694="Medium",4,1)))*0.2)+(IF(Y694="YES",10,0)*0.1)</f>
        <v/>
      </c>
      <c r="AB694" s="9">
        <f>IF(G694="YES",2.0,0)+IF(H694="YES",2.0,0)</f>
        <v/>
      </c>
      <c r="AC694" s="9" t="n">
        <v>0</v>
      </c>
      <c r="AD694" s="9">
        <f>K694+AB694+AC694</f>
        <v/>
      </c>
      <c r="AE694" s="9">
        <f>(AD694*0.6)+(AA694*0.4)</f>
        <v/>
      </c>
      <c r="AF694">
        <f>IF(AE694&gt;=9,"Critical",IF(AE694&gt;=7,"High",IF(AE694&gt;=4,"Medium","Low")))</f>
        <v/>
      </c>
    </row>
    <row r="695">
      <c r="F695" t="n">
        <v>1</v>
      </c>
      <c r="I695">
        <f>IF(D695="","",TODAY()-D695)</f>
        <v/>
      </c>
      <c r="K695">
        <f>IF(J695="v4.0",L695,IF(J695="v3.1",M695,IF(J695="Both",L695,IF(AND(L695&lt;&gt;"",M695=""),L695,M695))))</f>
        <v/>
      </c>
      <c r="U695">
        <f>IF(T695="Tier 1",10,IF(T695="Tier 2",7,IF(T695="Tier 3",4,IF(T695="Tier 4",1,0))))</f>
        <v/>
      </c>
      <c r="W695">
        <f>IF(V695="Restricted",10,IF(V695="Confidential",7,IF(V695="Internal",4,IF(V695="Public",1,0))))</f>
        <v/>
      </c>
      <c r="AA695" s="9">
        <f>(U695*0.4)+(W695*0.3)+(IF(Z695="Critical",10,IF(Z695="High",7,IF(Z695="Medium",4,1)))*0.2)+(IF(Y695="YES",10,0)*0.1)</f>
        <v/>
      </c>
      <c r="AB695" s="9">
        <f>IF(G695="YES",2.0,0)+IF(H695="YES",2.0,0)</f>
        <v/>
      </c>
      <c r="AC695" s="9" t="n">
        <v>0</v>
      </c>
      <c r="AD695" s="9">
        <f>K695+AB695+AC695</f>
        <v/>
      </c>
      <c r="AE695" s="9">
        <f>(AD695*0.6)+(AA695*0.4)</f>
        <v/>
      </c>
      <c r="AF695">
        <f>IF(AE695&gt;=9,"Critical",IF(AE695&gt;=7,"High",IF(AE695&gt;=4,"Medium","Low")))</f>
        <v/>
      </c>
    </row>
    <row r="696">
      <c r="F696" t="n">
        <v>1</v>
      </c>
      <c r="I696">
        <f>IF(D696="","",TODAY()-D696)</f>
        <v/>
      </c>
      <c r="K696">
        <f>IF(J696="v4.0",L696,IF(J696="v3.1",M696,IF(J696="Both",L696,IF(AND(L696&lt;&gt;"",M696=""),L696,M696))))</f>
        <v/>
      </c>
      <c r="U696">
        <f>IF(T696="Tier 1",10,IF(T696="Tier 2",7,IF(T696="Tier 3",4,IF(T696="Tier 4",1,0))))</f>
        <v/>
      </c>
      <c r="W696">
        <f>IF(V696="Restricted",10,IF(V696="Confidential",7,IF(V696="Internal",4,IF(V696="Public",1,0))))</f>
        <v/>
      </c>
      <c r="AA696" s="9">
        <f>(U696*0.4)+(W696*0.3)+(IF(Z696="Critical",10,IF(Z696="High",7,IF(Z696="Medium",4,1)))*0.2)+(IF(Y696="YES",10,0)*0.1)</f>
        <v/>
      </c>
      <c r="AB696" s="9">
        <f>IF(G696="YES",2.0,0)+IF(H696="YES",2.0,0)</f>
        <v/>
      </c>
      <c r="AC696" s="9" t="n">
        <v>0</v>
      </c>
      <c r="AD696" s="9">
        <f>K696+AB696+AC696</f>
        <v/>
      </c>
      <c r="AE696" s="9">
        <f>(AD696*0.6)+(AA696*0.4)</f>
        <v/>
      </c>
      <c r="AF696">
        <f>IF(AE696&gt;=9,"Critical",IF(AE696&gt;=7,"High",IF(AE696&gt;=4,"Medium","Low")))</f>
        <v/>
      </c>
    </row>
    <row r="697">
      <c r="F697" t="n">
        <v>1</v>
      </c>
      <c r="I697">
        <f>IF(D697="","",TODAY()-D697)</f>
        <v/>
      </c>
      <c r="K697">
        <f>IF(J697="v4.0",L697,IF(J697="v3.1",M697,IF(J697="Both",L697,IF(AND(L697&lt;&gt;"",M697=""),L697,M697))))</f>
        <v/>
      </c>
      <c r="U697">
        <f>IF(T697="Tier 1",10,IF(T697="Tier 2",7,IF(T697="Tier 3",4,IF(T697="Tier 4",1,0))))</f>
        <v/>
      </c>
      <c r="W697">
        <f>IF(V697="Restricted",10,IF(V697="Confidential",7,IF(V697="Internal",4,IF(V697="Public",1,0))))</f>
        <v/>
      </c>
      <c r="AA697" s="9">
        <f>(U697*0.4)+(W697*0.3)+(IF(Z697="Critical",10,IF(Z697="High",7,IF(Z697="Medium",4,1)))*0.2)+(IF(Y697="YES",10,0)*0.1)</f>
        <v/>
      </c>
      <c r="AB697" s="9">
        <f>IF(G697="YES",2.0,0)+IF(H697="YES",2.0,0)</f>
        <v/>
      </c>
      <c r="AC697" s="9" t="n">
        <v>0</v>
      </c>
      <c r="AD697" s="9">
        <f>K697+AB697+AC697</f>
        <v/>
      </c>
      <c r="AE697" s="9">
        <f>(AD697*0.6)+(AA697*0.4)</f>
        <v/>
      </c>
      <c r="AF697">
        <f>IF(AE697&gt;=9,"Critical",IF(AE697&gt;=7,"High",IF(AE697&gt;=4,"Medium","Low")))</f>
        <v/>
      </c>
    </row>
    <row r="698">
      <c r="F698" t="n">
        <v>1</v>
      </c>
      <c r="I698">
        <f>IF(D698="","",TODAY()-D698)</f>
        <v/>
      </c>
      <c r="K698">
        <f>IF(J698="v4.0",L698,IF(J698="v3.1",M698,IF(J698="Both",L698,IF(AND(L698&lt;&gt;"",M698=""),L698,M698))))</f>
        <v/>
      </c>
      <c r="U698">
        <f>IF(T698="Tier 1",10,IF(T698="Tier 2",7,IF(T698="Tier 3",4,IF(T698="Tier 4",1,0))))</f>
        <v/>
      </c>
      <c r="W698">
        <f>IF(V698="Restricted",10,IF(V698="Confidential",7,IF(V698="Internal",4,IF(V698="Public",1,0))))</f>
        <v/>
      </c>
      <c r="AA698" s="9">
        <f>(U698*0.4)+(W698*0.3)+(IF(Z698="Critical",10,IF(Z698="High",7,IF(Z698="Medium",4,1)))*0.2)+(IF(Y698="YES",10,0)*0.1)</f>
        <v/>
      </c>
      <c r="AB698" s="9">
        <f>IF(G698="YES",2.0,0)+IF(H698="YES",2.0,0)</f>
        <v/>
      </c>
      <c r="AC698" s="9" t="n">
        <v>0</v>
      </c>
      <c r="AD698" s="9">
        <f>K698+AB698+AC698</f>
        <v/>
      </c>
      <c r="AE698" s="9">
        <f>(AD698*0.6)+(AA698*0.4)</f>
        <v/>
      </c>
      <c r="AF698">
        <f>IF(AE698&gt;=9,"Critical",IF(AE698&gt;=7,"High",IF(AE698&gt;=4,"Medium","Low")))</f>
        <v/>
      </c>
    </row>
    <row r="699">
      <c r="F699" t="n">
        <v>1</v>
      </c>
      <c r="I699">
        <f>IF(D699="","",TODAY()-D699)</f>
        <v/>
      </c>
      <c r="K699">
        <f>IF(J699="v4.0",L699,IF(J699="v3.1",M699,IF(J699="Both",L699,IF(AND(L699&lt;&gt;"",M699=""),L699,M699))))</f>
        <v/>
      </c>
      <c r="U699">
        <f>IF(T699="Tier 1",10,IF(T699="Tier 2",7,IF(T699="Tier 3",4,IF(T699="Tier 4",1,0))))</f>
        <v/>
      </c>
      <c r="W699">
        <f>IF(V699="Restricted",10,IF(V699="Confidential",7,IF(V699="Internal",4,IF(V699="Public",1,0))))</f>
        <v/>
      </c>
      <c r="AA699" s="9">
        <f>(U699*0.4)+(W699*0.3)+(IF(Z699="Critical",10,IF(Z699="High",7,IF(Z699="Medium",4,1)))*0.2)+(IF(Y699="YES",10,0)*0.1)</f>
        <v/>
      </c>
      <c r="AB699" s="9">
        <f>IF(G699="YES",2.0,0)+IF(H699="YES",2.0,0)</f>
        <v/>
      </c>
      <c r="AC699" s="9" t="n">
        <v>0</v>
      </c>
      <c r="AD699" s="9">
        <f>K699+AB699+AC699</f>
        <v/>
      </c>
      <c r="AE699" s="9">
        <f>(AD699*0.6)+(AA699*0.4)</f>
        <v/>
      </c>
      <c r="AF699">
        <f>IF(AE699&gt;=9,"Critical",IF(AE699&gt;=7,"High",IF(AE699&gt;=4,"Medium","Low")))</f>
        <v/>
      </c>
    </row>
    <row r="700">
      <c r="F700" t="n">
        <v>1</v>
      </c>
      <c r="I700">
        <f>IF(D700="","",TODAY()-D700)</f>
        <v/>
      </c>
      <c r="K700">
        <f>IF(J700="v4.0",L700,IF(J700="v3.1",M700,IF(J700="Both",L700,IF(AND(L700&lt;&gt;"",M700=""),L700,M700))))</f>
        <v/>
      </c>
      <c r="U700">
        <f>IF(T700="Tier 1",10,IF(T700="Tier 2",7,IF(T700="Tier 3",4,IF(T700="Tier 4",1,0))))</f>
        <v/>
      </c>
      <c r="W700">
        <f>IF(V700="Restricted",10,IF(V700="Confidential",7,IF(V700="Internal",4,IF(V700="Public",1,0))))</f>
        <v/>
      </c>
      <c r="AA700" s="9">
        <f>(U700*0.4)+(W700*0.3)+(IF(Z700="Critical",10,IF(Z700="High",7,IF(Z700="Medium",4,1)))*0.2)+(IF(Y700="YES",10,0)*0.1)</f>
        <v/>
      </c>
      <c r="AB700" s="9">
        <f>IF(G700="YES",2.0,0)+IF(H700="YES",2.0,0)</f>
        <v/>
      </c>
      <c r="AC700" s="9" t="n">
        <v>0</v>
      </c>
      <c r="AD700" s="9">
        <f>K700+AB700+AC700</f>
        <v/>
      </c>
      <c r="AE700" s="9">
        <f>(AD700*0.6)+(AA700*0.4)</f>
        <v/>
      </c>
      <c r="AF700">
        <f>IF(AE700&gt;=9,"Critical",IF(AE700&gt;=7,"High",IF(AE700&gt;=4,"Medium","Low")))</f>
        <v/>
      </c>
    </row>
    <row r="701">
      <c r="F701" t="n">
        <v>1</v>
      </c>
      <c r="I701">
        <f>IF(D701="","",TODAY()-D701)</f>
        <v/>
      </c>
      <c r="K701">
        <f>IF(J701="v4.0",L701,IF(J701="v3.1",M701,IF(J701="Both",L701,IF(AND(L701&lt;&gt;"",M701=""),L701,M701))))</f>
        <v/>
      </c>
      <c r="U701">
        <f>IF(T701="Tier 1",10,IF(T701="Tier 2",7,IF(T701="Tier 3",4,IF(T701="Tier 4",1,0))))</f>
        <v/>
      </c>
      <c r="W701">
        <f>IF(V701="Restricted",10,IF(V701="Confidential",7,IF(V701="Internal",4,IF(V701="Public",1,0))))</f>
        <v/>
      </c>
      <c r="AA701" s="9">
        <f>(U701*0.4)+(W701*0.3)+(IF(Z701="Critical",10,IF(Z701="High",7,IF(Z701="Medium",4,1)))*0.2)+(IF(Y701="YES",10,0)*0.1)</f>
        <v/>
      </c>
      <c r="AB701" s="9">
        <f>IF(G701="YES",2.0,0)+IF(H701="YES",2.0,0)</f>
        <v/>
      </c>
      <c r="AC701" s="9" t="n">
        <v>0</v>
      </c>
      <c r="AD701" s="9">
        <f>K701+AB701+AC701</f>
        <v/>
      </c>
      <c r="AE701" s="9">
        <f>(AD701*0.6)+(AA701*0.4)</f>
        <v/>
      </c>
      <c r="AF701">
        <f>IF(AE701&gt;=9,"Critical",IF(AE701&gt;=7,"High",IF(AE701&gt;=4,"Medium","Low")))</f>
        <v/>
      </c>
    </row>
    <row r="702">
      <c r="F702" t="n">
        <v>1</v>
      </c>
      <c r="I702">
        <f>IF(D702="","",TODAY()-D702)</f>
        <v/>
      </c>
      <c r="K702">
        <f>IF(J702="v4.0",L702,IF(J702="v3.1",M702,IF(J702="Both",L702,IF(AND(L702&lt;&gt;"",M702=""),L702,M702))))</f>
        <v/>
      </c>
      <c r="U702">
        <f>IF(T702="Tier 1",10,IF(T702="Tier 2",7,IF(T702="Tier 3",4,IF(T702="Tier 4",1,0))))</f>
        <v/>
      </c>
      <c r="W702">
        <f>IF(V702="Restricted",10,IF(V702="Confidential",7,IF(V702="Internal",4,IF(V702="Public",1,0))))</f>
        <v/>
      </c>
      <c r="AA702" s="9">
        <f>(U702*0.4)+(W702*0.3)+(IF(Z702="Critical",10,IF(Z702="High",7,IF(Z702="Medium",4,1)))*0.2)+(IF(Y702="YES",10,0)*0.1)</f>
        <v/>
      </c>
      <c r="AB702" s="9">
        <f>IF(G702="YES",2.0,0)+IF(H702="YES",2.0,0)</f>
        <v/>
      </c>
      <c r="AC702" s="9" t="n">
        <v>0</v>
      </c>
      <c r="AD702" s="9">
        <f>K702+AB702+AC702</f>
        <v/>
      </c>
      <c r="AE702" s="9">
        <f>(AD702*0.6)+(AA702*0.4)</f>
        <v/>
      </c>
      <c r="AF702">
        <f>IF(AE702&gt;=9,"Critical",IF(AE702&gt;=7,"High",IF(AE702&gt;=4,"Medium","Low")))</f>
        <v/>
      </c>
    </row>
    <row r="703">
      <c r="F703" t="n">
        <v>1</v>
      </c>
      <c r="I703">
        <f>IF(D703="","",TODAY()-D703)</f>
        <v/>
      </c>
      <c r="K703">
        <f>IF(J703="v4.0",L703,IF(J703="v3.1",M703,IF(J703="Both",L703,IF(AND(L703&lt;&gt;"",M703=""),L703,M703))))</f>
        <v/>
      </c>
      <c r="U703">
        <f>IF(T703="Tier 1",10,IF(T703="Tier 2",7,IF(T703="Tier 3",4,IF(T703="Tier 4",1,0))))</f>
        <v/>
      </c>
      <c r="W703">
        <f>IF(V703="Restricted",10,IF(V703="Confidential",7,IF(V703="Internal",4,IF(V703="Public",1,0))))</f>
        <v/>
      </c>
      <c r="AA703" s="9">
        <f>(U703*0.4)+(W703*0.3)+(IF(Z703="Critical",10,IF(Z703="High",7,IF(Z703="Medium",4,1)))*0.2)+(IF(Y703="YES",10,0)*0.1)</f>
        <v/>
      </c>
      <c r="AB703" s="9">
        <f>IF(G703="YES",2.0,0)+IF(H703="YES",2.0,0)</f>
        <v/>
      </c>
      <c r="AC703" s="9" t="n">
        <v>0</v>
      </c>
      <c r="AD703" s="9">
        <f>K703+AB703+AC703</f>
        <v/>
      </c>
      <c r="AE703" s="9">
        <f>(AD703*0.6)+(AA703*0.4)</f>
        <v/>
      </c>
      <c r="AF703">
        <f>IF(AE703&gt;=9,"Critical",IF(AE703&gt;=7,"High",IF(AE703&gt;=4,"Medium","Low")))</f>
        <v/>
      </c>
    </row>
    <row r="704">
      <c r="F704" t="n">
        <v>1</v>
      </c>
      <c r="I704">
        <f>IF(D704="","",TODAY()-D704)</f>
        <v/>
      </c>
      <c r="K704">
        <f>IF(J704="v4.0",L704,IF(J704="v3.1",M704,IF(J704="Both",L704,IF(AND(L704&lt;&gt;"",M704=""),L704,M704))))</f>
        <v/>
      </c>
      <c r="U704">
        <f>IF(T704="Tier 1",10,IF(T704="Tier 2",7,IF(T704="Tier 3",4,IF(T704="Tier 4",1,0))))</f>
        <v/>
      </c>
      <c r="W704">
        <f>IF(V704="Restricted",10,IF(V704="Confidential",7,IF(V704="Internal",4,IF(V704="Public",1,0))))</f>
        <v/>
      </c>
      <c r="AA704" s="9">
        <f>(U704*0.4)+(W704*0.3)+(IF(Z704="Critical",10,IF(Z704="High",7,IF(Z704="Medium",4,1)))*0.2)+(IF(Y704="YES",10,0)*0.1)</f>
        <v/>
      </c>
      <c r="AB704" s="9">
        <f>IF(G704="YES",2.0,0)+IF(H704="YES",2.0,0)</f>
        <v/>
      </c>
      <c r="AC704" s="9" t="n">
        <v>0</v>
      </c>
      <c r="AD704" s="9">
        <f>K704+AB704+AC704</f>
        <v/>
      </c>
      <c r="AE704" s="9">
        <f>(AD704*0.6)+(AA704*0.4)</f>
        <v/>
      </c>
      <c r="AF704">
        <f>IF(AE704&gt;=9,"Critical",IF(AE704&gt;=7,"High",IF(AE704&gt;=4,"Medium","Low")))</f>
        <v/>
      </c>
    </row>
    <row r="705">
      <c r="F705" t="n">
        <v>1</v>
      </c>
      <c r="I705">
        <f>IF(D705="","",TODAY()-D705)</f>
        <v/>
      </c>
      <c r="K705">
        <f>IF(J705="v4.0",L705,IF(J705="v3.1",M705,IF(J705="Both",L705,IF(AND(L705&lt;&gt;"",M705=""),L705,M705))))</f>
        <v/>
      </c>
      <c r="U705">
        <f>IF(T705="Tier 1",10,IF(T705="Tier 2",7,IF(T705="Tier 3",4,IF(T705="Tier 4",1,0))))</f>
        <v/>
      </c>
      <c r="W705">
        <f>IF(V705="Restricted",10,IF(V705="Confidential",7,IF(V705="Internal",4,IF(V705="Public",1,0))))</f>
        <v/>
      </c>
      <c r="AA705" s="9">
        <f>(U705*0.4)+(W705*0.3)+(IF(Z705="Critical",10,IF(Z705="High",7,IF(Z705="Medium",4,1)))*0.2)+(IF(Y705="YES",10,0)*0.1)</f>
        <v/>
      </c>
      <c r="AB705" s="9">
        <f>IF(G705="YES",2.0,0)+IF(H705="YES",2.0,0)</f>
        <v/>
      </c>
      <c r="AC705" s="9" t="n">
        <v>0</v>
      </c>
      <c r="AD705" s="9">
        <f>K705+AB705+AC705</f>
        <v/>
      </c>
      <c r="AE705" s="9">
        <f>(AD705*0.6)+(AA705*0.4)</f>
        <v/>
      </c>
      <c r="AF705">
        <f>IF(AE705&gt;=9,"Critical",IF(AE705&gt;=7,"High",IF(AE705&gt;=4,"Medium","Low")))</f>
        <v/>
      </c>
    </row>
    <row r="706">
      <c r="F706" t="n">
        <v>1</v>
      </c>
      <c r="I706">
        <f>IF(D706="","",TODAY()-D706)</f>
        <v/>
      </c>
      <c r="K706">
        <f>IF(J706="v4.0",L706,IF(J706="v3.1",M706,IF(J706="Both",L706,IF(AND(L706&lt;&gt;"",M706=""),L706,M706))))</f>
        <v/>
      </c>
      <c r="U706">
        <f>IF(T706="Tier 1",10,IF(T706="Tier 2",7,IF(T706="Tier 3",4,IF(T706="Tier 4",1,0))))</f>
        <v/>
      </c>
      <c r="W706">
        <f>IF(V706="Restricted",10,IF(V706="Confidential",7,IF(V706="Internal",4,IF(V706="Public",1,0))))</f>
        <v/>
      </c>
      <c r="AA706" s="9">
        <f>(U706*0.4)+(W706*0.3)+(IF(Z706="Critical",10,IF(Z706="High",7,IF(Z706="Medium",4,1)))*0.2)+(IF(Y706="YES",10,0)*0.1)</f>
        <v/>
      </c>
      <c r="AB706" s="9">
        <f>IF(G706="YES",2.0,0)+IF(H706="YES",2.0,0)</f>
        <v/>
      </c>
      <c r="AC706" s="9" t="n">
        <v>0</v>
      </c>
      <c r="AD706" s="9">
        <f>K706+AB706+AC706</f>
        <v/>
      </c>
      <c r="AE706" s="9">
        <f>(AD706*0.6)+(AA706*0.4)</f>
        <v/>
      </c>
      <c r="AF706">
        <f>IF(AE706&gt;=9,"Critical",IF(AE706&gt;=7,"High",IF(AE706&gt;=4,"Medium","Low")))</f>
        <v/>
      </c>
    </row>
    <row r="707">
      <c r="F707" t="n">
        <v>1</v>
      </c>
      <c r="I707">
        <f>IF(D707="","",TODAY()-D707)</f>
        <v/>
      </c>
      <c r="K707">
        <f>IF(J707="v4.0",L707,IF(J707="v3.1",M707,IF(J707="Both",L707,IF(AND(L707&lt;&gt;"",M707=""),L707,M707))))</f>
        <v/>
      </c>
      <c r="U707">
        <f>IF(T707="Tier 1",10,IF(T707="Tier 2",7,IF(T707="Tier 3",4,IF(T707="Tier 4",1,0))))</f>
        <v/>
      </c>
      <c r="W707">
        <f>IF(V707="Restricted",10,IF(V707="Confidential",7,IF(V707="Internal",4,IF(V707="Public",1,0))))</f>
        <v/>
      </c>
      <c r="AA707" s="9">
        <f>(U707*0.4)+(W707*0.3)+(IF(Z707="Critical",10,IF(Z707="High",7,IF(Z707="Medium",4,1)))*0.2)+(IF(Y707="YES",10,0)*0.1)</f>
        <v/>
      </c>
      <c r="AB707" s="9">
        <f>IF(G707="YES",2.0,0)+IF(H707="YES",2.0,0)</f>
        <v/>
      </c>
      <c r="AC707" s="9" t="n">
        <v>0</v>
      </c>
      <c r="AD707" s="9">
        <f>K707+AB707+AC707</f>
        <v/>
      </c>
      <c r="AE707" s="9">
        <f>(AD707*0.6)+(AA707*0.4)</f>
        <v/>
      </c>
      <c r="AF707">
        <f>IF(AE707&gt;=9,"Critical",IF(AE707&gt;=7,"High",IF(AE707&gt;=4,"Medium","Low")))</f>
        <v/>
      </c>
    </row>
    <row r="708">
      <c r="F708" t="n">
        <v>1</v>
      </c>
      <c r="I708">
        <f>IF(D708="","",TODAY()-D708)</f>
        <v/>
      </c>
      <c r="K708">
        <f>IF(J708="v4.0",L708,IF(J708="v3.1",M708,IF(J708="Both",L708,IF(AND(L708&lt;&gt;"",M708=""),L708,M708))))</f>
        <v/>
      </c>
      <c r="U708">
        <f>IF(T708="Tier 1",10,IF(T708="Tier 2",7,IF(T708="Tier 3",4,IF(T708="Tier 4",1,0))))</f>
        <v/>
      </c>
      <c r="W708">
        <f>IF(V708="Restricted",10,IF(V708="Confidential",7,IF(V708="Internal",4,IF(V708="Public",1,0))))</f>
        <v/>
      </c>
      <c r="AA708" s="9">
        <f>(U708*0.4)+(W708*0.3)+(IF(Z708="Critical",10,IF(Z708="High",7,IF(Z708="Medium",4,1)))*0.2)+(IF(Y708="YES",10,0)*0.1)</f>
        <v/>
      </c>
      <c r="AB708" s="9">
        <f>IF(G708="YES",2.0,0)+IF(H708="YES",2.0,0)</f>
        <v/>
      </c>
      <c r="AC708" s="9" t="n">
        <v>0</v>
      </c>
      <c r="AD708" s="9">
        <f>K708+AB708+AC708</f>
        <v/>
      </c>
      <c r="AE708" s="9">
        <f>(AD708*0.6)+(AA708*0.4)</f>
        <v/>
      </c>
      <c r="AF708">
        <f>IF(AE708&gt;=9,"Critical",IF(AE708&gt;=7,"High",IF(AE708&gt;=4,"Medium","Low")))</f>
        <v/>
      </c>
    </row>
    <row r="709">
      <c r="F709" t="n">
        <v>1</v>
      </c>
      <c r="I709">
        <f>IF(D709="","",TODAY()-D709)</f>
        <v/>
      </c>
      <c r="K709">
        <f>IF(J709="v4.0",L709,IF(J709="v3.1",M709,IF(J709="Both",L709,IF(AND(L709&lt;&gt;"",M709=""),L709,M709))))</f>
        <v/>
      </c>
      <c r="U709">
        <f>IF(T709="Tier 1",10,IF(T709="Tier 2",7,IF(T709="Tier 3",4,IF(T709="Tier 4",1,0))))</f>
        <v/>
      </c>
      <c r="W709">
        <f>IF(V709="Restricted",10,IF(V709="Confidential",7,IF(V709="Internal",4,IF(V709="Public",1,0))))</f>
        <v/>
      </c>
      <c r="AA709" s="9">
        <f>(U709*0.4)+(W709*0.3)+(IF(Z709="Critical",10,IF(Z709="High",7,IF(Z709="Medium",4,1)))*0.2)+(IF(Y709="YES",10,0)*0.1)</f>
        <v/>
      </c>
      <c r="AB709" s="9">
        <f>IF(G709="YES",2.0,0)+IF(H709="YES",2.0,0)</f>
        <v/>
      </c>
      <c r="AC709" s="9" t="n">
        <v>0</v>
      </c>
      <c r="AD709" s="9">
        <f>K709+AB709+AC709</f>
        <v/>
      </c>
      <c r="AE709" s="9">
        <f>(AD709*0.6)+(AA709*0.4)</f>
        <v/>
      </c>
      <c r="AF709">
        <f>IF(AE709&gt;=9,"Critical",IF(AE709&gt;=7,"High",IF(AE709&gt;=4,"Medium","Low")))</f>
        <v/>
      </c>
    </row>
    <row r="710">
      <c r="F710" t="n">
        <v>1</v>
      </c>
      <c r="I710">
        <f>IF(D710="","",TODAY()-D710)</f>
        <v/>
      </c>
      <c r="K710">
        <f>IF(J710="v4.0",L710,IF(J710="v3.1",M710,IF(J710="Both",L710,IF(AND(L710&lt;&gt;"",M710=""),L710,M710))))</f>
        <v/>
      </c>
      <c r="U710">
        <f>IF(T710="Tier 1",10,IF(T710="Tier 2",7,IF(T710="Tier 3",4,IF(T710="Tier 4",1,0))))</f>
        <v/>
      </c>
      <c r="W710">
        <f>IF(V710="Restricted",10,IF(V710="Confidential",7,IF(V710="Internal",4,IF(V710="Public",1,0))))</f>
        <v/>
      </c>
      <c r="AA710" s="9">
        <f>(U710*0.4)+(W710*0.3)+(IF(Z710="Critical",10,IF(Z710="High",7,IF(Z710="Medium",4,1)))*0.2)+(IF(Y710="YES",10,0)*0.1)</f>
        <v/>
      </c>
      <c r="AB710" s="9">
        <f>IF(G710="YES",2.0,0)+IF(H710="YES",2.0,0)</f>
        <v/>
      </c>
      <c r="AC710" s="9" t="n">
        <v>0</v>
      </c>
      <c r="AD710" s="9">
        <f>K710+AB710+AC710</f>
        <v/>
      </c>
      <c r="AE710" s="9">
        <f>(AD710*0.6)+(AA710*0.4)</f>
        <v/>
      </c>
      <c r="AF710">
        <f>IF(AE710&gt;=9,"Critical",IF(AE710&gt;=7,"High",IF(AE710&gt;=4,"Medium","Low")))</f>
        <v/>
      </c>
    </row>
    <row r="711">
      <c r="F711" t="n">
        <v>1</v>
      </c>
      <c r="I711">
        <f>IF(D711="","",TODAY()-D711)</f>
        <v/>
      </c>
      <c r="K711">
        <f>IF(J711="v4.0",L711,IF(J711="v3.1",M711,IF(J711="Both",L711,IF(AND(L711&lt;&gt;"",M711=""),L711,M711))))</f>
        <v/>
      </c>
      <c r="U711">
        <f>IF(T711="Tier 1",10,IF(T711="Tier 2",7,IF(T711="Tier 3",4,IF(T711="Tier 4",1,0))))</f>
        <v/>
      </c>
      <c r="W711">
        <f>IF(V711="Restricted",10,IF(V711="Confidential",7,IF(V711="Internal",4,IF(V711="Public",1,0))))</f>
        <v/>
      </c>
      <c r="AA711" s="9">
        <f>(U711*0.4)+(W711*0.3)+(IF(Z711="Critical",10,IF(Z711="High",7,IF(Z711="Medium",4,1)))*0.2)+(IF(Y711="YES",10,0)*0.1)</f>
        <v/>
      </c>
      <c r="AB711" s="9">
        <f>IF(G711="YES",2.0,0)+IF(H711="YES",2.0,0)</f>
        <v/>
      </c>
      <c r="AC711" s="9" t="n">
        <v>0</v>
      </c>
      <c r="AD711" s="9">
        <f>K711+AB711+AC711</f>
        <v/>
      </c>
      <c r="AE711" s="9">
        <f>(AD711*0.6)+(AA711*0.4)</f>
        <v/>
      </c>
      <c r="AF711">
        <f>IF(AE711&gt;=9,"Critical",IF(AE711&gt;=7,"High",IF(AE711&gt;=4,"Medium","Low")))</f>
        <v/>
      </c>
    </row>
    <row r="712">
      <c r="F712" t="n">
        <v>1</v>
      </c>
      <c r="I712">
        <f>IF(D712="","",TODAY()-D712)</f>
        <v/>
      </c>
      <c r="K712">
        <f>IF(J712="v4.0",L712,IF(J712="v3.1",M712,IF(J712="Both",L712,IF(AND(L712&lt;&gt;"",M712=""),L712,M712))))</f>
        <v/>
      </c>
      <c r="U712">
        <f>IF(T712="Tier 1",10,IF(T712="Tier 2",7,IF(T712="Tier 3",4,IF(T712="Tier 4",1,0))))</f>
        <v/>
      </c>
      <c r="W712">
        <f>IF(V712="Restricted",10,IF(V712="Confidential",7,IF(V712="Internal",4,IF(V712="Public",1,0))))</f>
        <v/>
      </c>
      <c r="AA712" s="9">
        <f>(U712*0.4)+(W712*0.3)+(IF(Z712="Critical",10,IF(Z712="High",7,IF(Z712="Medium",4,1)))*0.2)+(IF(Y712="YES",10,0)*0.1)</f>
        <v/>
      </c>
      <c r="AB712" s="9">
        <f>IF(G712="YES",2.0,0)+IF(H712="YES",2.0,0)</f>
        <v/>
      </c>
      <c r="AC712" s="9" t="n">
        <v>0</v>
      </c>
      <c r="AD712" s="9">
        <f>K712+AB712+AC712</f>
        <v/>
      </c>
      <c r="AE712" s="9">
        <f>(AD712*0.6)+(AA712*0.4)</f>
        <v/>
      </c>
      <c r="AF712">
        <f>IF(AE712&gt;=9,"Critical",IF(AE712&gt;=7,"High",IF(AE712&gt;=4,"Medium","Low")))</f>
        <v/>
      </c>
    </row>
    <row r="713">
      <c r="F713" t="n">
        <v>1</v>
      </c>
      <c r="I713">
        <f>IF(D713="","",TODAY()-D713)</f>
        <v/>
      </c>
      <c r="K713">
        <f>IF(J713="v4.0",L713,IF(J713="v3.1",M713,IF(J713="Both",L713,IF(AND(L713&lt;&gt;"",M713=""),L713,M713))))</f>
        <v/>
      </c>
      <c r="U713">
        <f>IF(T713="Tier 1",10,IF(T713="Tier 2",7,IF(T713="Tier 3",4,IF(T713="Tier 4",1,0))))</f>
        <v/>
      </c>
      <c r="W713">
        <f>IF(V713="Restricted",10,IF(V713="Confidential",7,IF(V713="Internal",4,IF(V713="Public",1,0))))</f>
        <v/>
      </c>
      <c r="AA713" s="9">
        <f>(U713*0.4)+(W713*0.3)+(IF(Z713="Critical",10,IF(Z713="High",7,IF(Z713="Medium",4,1)))*0.2)+(IF(Y713="YES",10,0)*0.1)</f>
        <v/>
      </c>
      <c r="AB713" s="9">
        <f>IF(G713="YES",2.0,0)+IF(H713="YES",2.0,0)</f>
        <v/>
      </c>
      <c r="AC713" s="9" t="n">
        <v>0</v>
      </c>
      <c r="AD713" s="9">
        <f>K713+AB713+AC713</f>
        <v/>
      </c>
      <c r="AE713" s="9">
        <f>(AD713*0.6)+(AA713*0.4)</f>
        <v/>
      </c>
      <c r="AF713">
        <f>IF(AE713&gt;=9,"Critical",IF(AE713&gt;=7,"High",IF(AE713&gt;=4,"Medium","Low")))</f>
        <v/>
      </c>
    </row>
    <row r="714">
      <c r="F714" t="n">
        <v>1</v>
      </c>
      <c r="I714">
        <f>IF(D714="","",TODAY()-D714)</f>
        <v/>
      </c>
      <c r="K714">
        <f>IF(J714="v4.0",L714,IF(J714="v3.1",M714,IF(J714="Both",L714,IF(AND(L714&lt;&gt;"",M714=""),L714,M714))))</f>
        <v/>
      </c>
      <c r="U714">
        <f>IF(T714="Tier 1",10,IF(T714="Tier 2",7,IF(T714="Tier 3",4,IF(T714="Tier 4",1,0))))</f>
        <v/>
      </c>
      <c r="W714">
        <f>IF(V714="Restricted",10,IF(V714="Confidential",7,IF(V714="Internal",4,IF(V714="Public",1,0))))</f>
        <v/>
      </c>
      <c r="AA714" s="9">
        <f>(U714*0.4)+(W714*0.3)+(IF(Z714="Critical",10,IF(Z714="High",7,IF(Z714="Medium",4,1)))*0.2)+(IF(Y714="YES",10,0)*0.1)</f>
        <v/>
      </c>
      <c r="AB714" s="9">
        <f>IF(G714="YES",2.0,0)+IF(H714="YES",2.0,0)</f>
        <v/>
      </c>
      <c r="AC714" s="9" t="n">
        <v>0</v>
      </c>
      <c r="AD714" s="9">
        <f>K714+AB714+AC714</f>
        <v/>
      </c>
      <c r="AE714" s="9">
        <f>(AD714*0.6)+(AA714*0.4)</f>
        <v/>
      </c>
      <c r="AF714">
        <f>IF(AE714&gt;=9,"Critical",IF(AE714&gt;=7,"High",IF(AE714&gt;=4,"Medium","Low")))</f>
        <v/>
      </c>
    </row>
    <row r="715">
      <c r="F715" t="n">
        <v>1</v>
      </c>
      <c r="I715">
        <f>IF(D715="","",TODAY()-D715)</f>
        <v/>
      </c>
      <c r="K715">
        <f>IF(J715="v4.0",L715,IF(J715="v3.1",M715,IF(J715="Both",L715,IF(AND(L715&lt;&gt;"",M715=""),L715,M715))))</f>
        <v/>
      </c>
      <c r="U715">
        <f>IF(T715="Tier 1",10,IF(T715="Tier 2",7,IF(T715="Tier 3",4,IF(T715="Tier 4",1,0))))</f>
        <v/>
      </c>
      <c r="W715">
        <f>IF(V715="Restricted",10,IF(V715="Confidential",7,IF(V715="Internal",4,IF(V715="Public",1,0))))</f>
        <v/>
      </c>
      <c r="AA715" s="9">
        <f>(U715*0.4)+(W715*0.3)+(IF(Z715="Critical",10,IF(Z715="High",7,IF(Z715="Medium",4,1)))*0.2)+(IF(Y715="YES",10,0)*0.1)</f>
        <v/>
      </c>
      <c r="AB715" s="9">
        <f>IF(G715="YES",2.0,0)+IF(H715="YES",2.0,0)</f>
        <v/>
      </c>
      <c r="AC715" s="9" t="n">
        <v>0</v>
      </c>
      <c r="AD715" s="9">
        <f>K715+AB715+AC715</f>
        <v/>
      </c>
      <c r="AE715" s="9">
        <f>(AD715*0.6)+(AA715*0.4)</f>
        <v/>
      </c>
      <c r="AF715">
        <f>IF(AE715&gt;=9,"Critical",IF(AE715&gt;=7,"High",IF(AE715&gt;=4,"Medium","Low")))</f>
        <v/>
      </c>
    </row>
    <row r="716">
      <c r="F716" t="n">
        <v>1</v>
      </c>
      <c r="I716">
        <f>IF(D716="","",TODAY()-D716)</f>
        <v/>
      </c>
      <c r="K716">
        <f>IF(J716="v4.0",L716,IF(J716="v3.1",M716,IF(J716="Both",L716,IF(AND(L716&lt;&gt;"",M716=""),L716,M716))))</f>
        <v/>
      </c>
      <c r="U716">
        <f>IF(T716="Tier 1",10,IF(T716="Tier 2",7,IF(T716="Tier 3",4,IF(T716="Tier 4",1,0))))</f>
        <v/>
      </c>
      <c r="W716">
        <f>IF(V716="Restricted",10,IF(V716="Confidential",7,IF(V716="Internal",4,IF(V716="Public",1,0))))</f>
        <v/>
      </c>
      <c r="AA716" s="9">
        <f>(U716*0.4)+(W716*0.3)+(IF(Z716="Critical",10,IF(Z716="High",7,IF(Z716="Medium",4,1)))*0.2)+(IF(Y716="YES",10,0)*0.1)</f>
        <v/>
      </c>
      <c r="AB716" s="9">
        <f>IF(G716="YES",2.0,0)+IF(H716="YES",2.0,0)</f>
        <v/>
      </c>
      <c r="AC716" s="9" t="n">
        <v>0</v>
      </c>
      <c r="AD716" s="9">
        <f>K716+AB716+AC716</f>
        <v/>
      </c>
      <c r="AE716" s="9">
        <f>(AD716*0.6)+(AA716*0.4)</f>
        <v/>
      </c>
      <c r="AF716">
        <f>IF(AE716&gt;=9,"Critical",IF(AE716&gt;=7,"High",IF(AE716&gt;=4,"Medium","Low")))</f>
        <v/>
      </c>
    </row>
    <row r="717">
      <c r="F717" t="n">
        <v>1</v>
      </c>
      <c r="I717">
        <f>IF(D717="","",TODAY()-D717)</f>
        <v/>
      </c>
      <c r="K717">
        <f>IF(J717="v4.0",L717,IF(J717="v3.1",M717,IF(J717="Both",L717,IF(AND(L717&lt;&gt;"",M717=""),L717,M717))))</f>
        <v/>
      </c>
      <c r="U717">
        <f>IF(T717="Tier 1",10,IF(T717="Tier 2",7,IF(T717="Tier 3",4,IF(T717="Tier 4",1,0))))</f>
        <v/>
      </c>
      <c r="W717">
        <f>IF(V717="Restricted",10,IF(V717="Confidential",7,IF(V717="Internal",4,IF(V717="Public",1,0))))</f>
        <v/>
      </c>
      <c r="AA717" s="9">
        <f>(U717*0.4)+(W717*0.3)+(IF(Z717="Critical",10,IF(Z717="High",7,IF(Z717="Medium",4,1)))*0.2)+(IF(Y717="YES",10,0)*0.1)</f>
        <v/>
      </c>
      <c r="AB717" s="9">
        <f>IF(G717="YES",2.0,0)+IF(H717="YES",2.0,0)</f>
        <v/>
      </c>
      <c r="AC717" s="9" t="n">
        <v>0</v>
      </c>
      <c r="AD717" s="9">
        <f>K717+AB717+AC717</f>
        <v/>
      </c>
      <c r="AE717" s="9">
        <f>(AD717*0.6)+(AA717*0.4)</f>
        <v/>
      </c>
      <c r="AF717">
        <f>IF(AE717&gt;=9,"Critical",IF(AE717&gt;=7,"High",IF(AE717&gt;=4,"Medium","Low")))</f>
        <v/>
      </c>
    </row>
    <row r="718">
      <c r="F718" t="n">
        <v>1</v>
      </c>
      <c r="I718">
        <f>IF(D718="","",TODAY()-D718)</f>
        <v/>
      </c>
      <c r="K718">
        <f>IF(J718="v4.0",L718,IF(J718="v3.1",M718,IF(J718="Both",L718,IF(AND(L718&lt;&gt;"",M718=""),L718,M718))))</f>
        <v/>
      </c>
      <c r="U718">
        <f>IF(T718="Tier 1",10,IF(T718="Tier 2",7,IF(T718="Tier 3",4,IF(T718="Tier 4",1,0))))</f>
        <v/>
      </c>
      <c r="W718">
        <f>IF(V718="Restricted",10,IF(V718="Confidential",7,IF(V718="Internal",4,IF(V718="Public",1,0))))</f>
        <v/>
      </c>
      <c r="AA718" s="9">
        <f>(U718*0.4)+(W718*0.3)+(IF(Z718="Critical",10,IF(Z718="High",7,IF(Z718="Medium",4,1)))*0.2)+(IF(Y718="YES",10,0)*0.1)</f>
        <v/>
      </c>
      <c r="AB718" s="9">
        <f>IF(G718="YES",2.0,0)+IF(H718="YES",2.0,0)</f>
        <v/>
      </c>
      <c r="AC718" s="9" t="n">
        <v>0</v>
      </c>
      <c r="AD718" s="9">
        <f>K718+AB718+AC718</f>
        <v/>
      </c>
      <c r="AE718" s="9">
        <f>(AD718*0.6)+(AA718*0.4)</f>
        <v/>
      </c>
      <c r="AF718">
        <f>IF(AE718&gt;=9,"Critical",IF(AE718&gt;=7,"High",IF(AE718&gt;=4,"Medium","Low")))</f>
        <v/>
      </c>
    </row>
    <row r="719">
      <c r="F719" t="n">
        <v>1</v>
      </c>
      <c r="I719">
        <f>IF(D719="","",TODAY()-D719)</f>
        <v/>
      </c>
      <c r="K719">
        <f>IF(J719="v4.0",L719,IF(J719="v3.1",M719,IF(J719="Both",L719,IF(AND(L719&lt;&gt;"",M719=""),L719,M719))))</f>
        <v/>
      </c>
      <c r="U719">
        <f>IF(T719="Tier 1",10,IF(T719="Tier 2",7,IF(T719="Tier 3",4,IF(T719="Tier 4",1,0))))</f>
        <v/>
      </c>
      <c r="W719">
        <f>IF(V719="Restricted",10,IF(V719="Confidential",7,IF(V719="Internal",4,IF(V719="Public",1,0))))</f>
        <v/>
      </c>
      <c r="AA719" s="9">
        <f>(U719*0.4)+(W719*0.3)+(IF(Z719="Critical",10,IF(Z719="High",7,IF(Z719="Medium",4,1)))*0.2)+(IF(Y719="YES",10,0)*0.1)</f>
        <v/>
      </c>
      <c r="AB719" s="9">
        <f>IF(G719="YES",2.0,0)+IF(H719="YES",2.0,0)</f>
        <v/>
      </c>
      <c r="AC719" s="9" t="n">
        <v>0</v>
      </c>
      <c r="AD719" s="9">
        <f>K719+AB719+AC719</f>
        <v/>
      </c>
      <c r="AE719" s="9">
        <f>(AD719*0.6)+(AA719*0.4)</f>
        <v/>
      </c>
      <c r="AF719">
        <f>IF(AE719&gt;=9,"Critical",IF(AE719&gt;=7,"High",IF(AE719&gt;=4,"Medium","Low")))</f>
        <v/>
      </c>
    </row>
    <row r="720">
      <c r="F720" t="n">
        <v>1</v>
      </c>
      <c r="I720">
        <f>IF(D720="","",TODAY()-D720)</f>
        <v/>
      </c>
      <c r="K720">
        <f>IF(J720="v4.0",L720,IF(J720="v3.1",M720,IF(J720="Both",L720,IF(AND(L720&lt;&gt;"",M720=""),L720,M720))))</f>
        <v/>
      </c>
      <c r="U720">
        <f>IF(T720="Tier 1",10,IF(T720="Tier 2",7,IF(T720="Tier 3",4,IF(T720="Tier 4",1,0))))</f>
        <v/>
      </c>
      <c r="W720">
        <f>IF(V720="Restricted",10,IF(V720="Confidential",7,IF(V720="Internal",4,IF(V720="Public",1,0))))</f>
        <v/>
      </c>
      <c r="AA720" s="9">
        <f>(U720*0.4)+(W720*0.3)+(IF(Z720="Critical",10,IF(Z720="High",7,IF(Z720="Medium",4,1)))*0.2)+(IF(Y720="YES",10,0)*0.1)</f>
        <v/>
      </c>
      <c r="AB720" s="9">
        <f>IF(G720="YES",2.0,0)+IF(H720="YES",2.0,0)</f>
        <v/>
      </c>
      <c r="AC720" s="9" t="n">
        <v>0</v>
      </c>
      <c r="AD720" s="9">
        <f>K720+AB720+AC720</f>
        <v/>
      </c>
      <c r="AE720" s="9">
        <f>(AD720*0.6)+(AA720*0.4)</f>
        <v/>
      </c>
      <c r="AF720">
        <f>IF(AE720&gt;=9,"Critical",IF(AE720&gt;=7,"High",IF(AE720&gt;=4,"Medium","Low")))</f>
        <v/>
      </c>
    </row>
    <row r="721">
      <c r="F721" t="n">
        <v>1</v>
      </c>
      <c r="I721">
        <f>IF(D721="","",TODAY()-D721)</f>
        <v/>
      </c>
      <c r="K721">
        <f>IF(J721="v4.0",L721,IF(J721="v3.1",M721,IF(J721="Both",L721,IF(AND(L721&lt;&gt;"",M721=""),L721,M721))))</f>
        <v/>
      </c>
      <c r="U721">
        <f>IF(T721="Tier 1",10,IF(T721="Tier 2",7,IF(T721="Tier 3",4,IF(T721="Tier 4",1,0))))</f>
        <v/>
      </c>
      <c r="W721">
        <f>IF(V721="Restricted",10,IF(V721="Confidential",7,IF(V721="Internal",4,IF(V721="Public",1,0))))</f>
        <v/>
      </c>
      <c r="AA721" s="9">
        <f>(U721*0.4)+(W721*0.3)+(IF(Z721="Critical",10,IF(Z721="High",7,IF(Z721="Medium",4,1)))*0.2)+(IF(Y721="YES",10,0)*0.1)</f>
        <v/>
      </c>
      <c r="AB721" s="9">
        <f>IF(G721="YES",2.0,0)+IF(H721="YES",2.0,0)</f>
        <v/>
      </c>
      <c r="AC721" s="9" t="n">
        <v>0</v>
      </c>
      <c r="AD721" s="9">
        <f>K721+AB721+AC721</f>
        <v/>
      </c>
      <c r="AE721" s="9">
        <f>(AD721*0.6)+(AA721*0.4)</f>
        <v/>
      </c>
      <c r="AF721">
        <f>IF(AE721&gt;=9,"Critical",IF(AE721&gt;=7,"High",IF(AE721&gt;=4,"Medium","Low")))</f>
        <v/>
      </c>
    </row>
    <row r="722">
      <c r="F722" t="n">
        <v>1</v>
      </c>
      <c r="I722">
        <f>IF(D722="","",TODAY()-D722)</f>
        <v/>
      </c>
      <c r="K722">
        <f>IF(J722="v4.0",L722,IF(J722="v3.1",M722,IF(J722="Both",L722,IF(AND(L722&lt;&gt;"",M722=""),L722,M722))))</f>
        <v/>
      </c>
      <c r="U722">
        <f>IF(T722="Tier 1",10,IF(T722="Tier 2",7,IF(T722="Tier 3",4,IF(T722="Tier 4",1,0))))</f>
        <v/>
      </c>
      <c r="W722">
        <f>IF(V722="Restricted",10,IF(V722="Confidential",7,IF(V722="Internal",4,IF(V722="Public",1,0))))</f>
        <v/>
      </c>
      <c r="AA722" s="9">
        <f>(U722*0.4)+(W722*0.3)+(IF(Z722="Critical",10,IF(Z722="High",7,IF(Z722="Medium",4,1)))*0.2)+(IF(Y722="YES",10,0)*0.1)</f>
        <v/>
      </c>
      <c r="AB722" s="9">
        <f>IF(G722="YES",2.0,0)+IF(H722="YES",2.0,0)</f>
        <v/>
      </c>
      <c r="AC722" s="9" t="n">
        <v>0</v>
      </c>
      <c r="AD722" s="9">
        <f>K722+AB722+AC722</f>
        <v/>
      </c>
      <c r="AE722" s="9">
        <f>(AD722*0.6)+(AA722*0.4)</f>
        <v/>
      </c>
      <c r="AF722">
        <f>IF(AE722&gt;=9,"Critical",IF(AE722&gt;=7,"High",IF(AE722&gt;=4,"Medium","Low")))</f>
        <v/>
      </c>
    </row>
    <row r="723">
      <c r="F723" t="n">
        <v>1</v>
      </c>
      <c r="I723">
        <f>IF(D723="","",TODAY()-D723)</f>
        <v/>
      </c>
      <c r="K723">
        <f>IF(J723="v4.0",L723,IF(J723="v3.1",M723,IF(J723="Both",L723,IF(AND(L723&lt;&gt;"",M723=""),L723,M723))))</f>
        <v/>
      </c>
      <c r="U723">
        <f>IF(T723="Tier 1",10,IF(T723="Tier 2",7,IF(T723="Tier 3",4,IF(T723="Tier 4",1,0))))</f>
        <v/>
      </c>
      <c r="W723">
        <f>IF(V723="Restricted",10,IF(V723="Confidential",7,IF(V723="Internal",4,IF(V723="Public",1,0))))</f>
        <v/>
      </c>
      <c r="AA723" s="9">
        <f>(U723*0.4)+(W723*0.3)+(IF(Z723="Critical",10,IF(Z723="High",7,IF(Z723="Medium",4,1)))*0.2)+(IF(Y723="YES",10,0)*0.1)</f>
        <v/>
      </c>
      <c r="AB723" s="9">
        <f>IF(G723="YES",2.0,0)+IF(H723="YES",2.0,0)</f>
        <v/>
      </c>
      <c r="AC723" s="9" t="n">
        <v>0</v>
      </c>
      <c r="AD723" s="9">
        <f>K723+AB723+AC723</f>
        <v/>
      </c>
      <c r="AE723" s="9">
        <f>(AD723*0.6)+(AA723*0.4)</f>
        <v/>
      </c>
      <c r="AF723">
        <f>IF(AE723&gt;=9,"Critical",IF(AE723&gt;=7,"High",IF(AE723&gt;=4,"Medium","Low")))</f>
        <v/>
      </c>
    </row>
    <row r="724">
      <c r="F724" t="n">
        <v>1</v>
      </c>
      <c r="I724">
        <f>IF(D724="","",TODAY()-D724)</f>
        <v/>
      </c>
      <c r="K724">
        <f>IF(J724="v4.0",L724,IF(J724="v3.1",M724,IF(J724="Both",L724,IF(AND(L724&lt;&gt;"",M724=""),L724,M724))))</f>
        <v/>
      </c>
      <c r="U724">
        <f>IF(T724="Tier 1",10,IF(T724="Tier 2",7,IF(T724="Tier 3",4,IF(T724="Tier 4",1,0))))</f>
        <v/>
      </c>
      <c r="W724">
        <f>IF(V724="Restricted",10,IF(V724="Confidential",7,IF(V724="Internal",4,IF(V724="Public",1,0))))</f>
        <v/>
      </c>
      <c r="AA724" s="9">
        <f>(U724*0.4)+(W724*0.3)+(IF(Z724="Critical",10,IF(Z724="High",7,IF(Z724="Medium",4,1)))*0.2)+(IF(Y724="YES",10,0)*0.1)</f>
        <v/>
      </c>
      <c r="AB724" s="9">
        <f>IF(G724="YES",2.0,0)+IF(H724="YES",2.0,0)</f>
        <v/>
      </c>
      <c r="AC724" s="9" t="n">
        <v>0</v>
      </c>
      <c r="AD724" s="9">
        <f>K724+AB724+AC724</f>
        <v/>
      </c>
      <c r="AE724" s="9">
        <f>(AD724*0.6)+(AA724*0.4)</f>
        <v/>
      </c>
      <c r="AF724">
        <f>IF(AE724&gt;=9,"Critical",IF(AE724&gt;=7,"High",IF(AE724&gt;=4,"Medium","Low")))</f>
        <v/>
      </c>
    </row>
    <row r="725">
      <c r="F725" t="n">
        <v>1</v>
      </c>
      <c r="I725">
        <f>IF(D725="","",TODAY()-D725)</f>
        <v/>
      </c>
      <c r="K725">
        <f>IF(J725="v4.0",L725,IF(J725="v3.1",M725,IF(J725="Both",L725,IF(AND(L725&lt;&gt;"",M725=""),L725,M725))))</f>
        <v/>
      </c>
      <c r="U725">
        <f>IF(T725="Tier 1",10,IF(T725="Tier 2",7,IF(T725="Tier 3",4,IF(T725="Tier 4",1,0))))</f>
        <v/>
      </c>
      <c r="W725">
        <f>IF(V725="Restricted",10,IF(V725="Confidential",7,IF(V725="Internal",4,IF(V725="Public",1,0))))</f>
        <v/>
      </c>
      <c r="AA725" s="9">
        <f>(U725*0.4)+(W725*0.3)+(IF(Z725="Critical",10,IF(Z725="High",7,IF(Z725="Medium",4,1)))*0.2)+(IF(Y725="YES",10,0)*0.1)</f>
        <v/>
      </c>
      <c r="AB725" s="9">
        <f>IF(G725="YES",2.0,0)+IF(H725="YES",2.0,0)</f>
        <v/>
      </c>
      <c r="AC725" s="9" t="n">
        <v>0</v>
      </c>
      <c r="AD725" s="9">
        <f>K725+AB725+AC725</f>
        <v/>
      </c>
      <c r="AE725" s="9">
        <f>(AD725*0.6)+(AA725*0.4)</f>
        <v/>
      </c>
      <c r="AF725">
        <f>IF(AE725&gt;=9,"Critical",IF(AE725&gt;=7,"High",IF(AE725&gt;=4,"Medium","Low")))</f>
        <v/>
      </c>
    </row>
    <row r="726">
      <c r="F726" t="n">
        <v>1</v>
      </c>
      <c r="I726">
        <f>IF(D726="","",TODAY()-D726)</f>
        <v/>
      </c>
      <c r="K726">
        <f>IF(J726="v4.0",L726,IF(J726="v3.1",M726,IF(J726="Both",L726,IF(AND(L726&lt;&gt;"",M726=""),L726,M726))))</f>
        <v/>
      </c>
      <c r="U726">
        <f>IF(T726="Tier 1",10,IF(T726="Tier 2",7,IF(T726="Tier 3",4,IF(T726="Tier 4",1,0))))</f>
        <v/>
      </c>
      <c r="W726">
        <f>IF(V726="Restricted",10,IF(V726="Confidential",7,IF(V726="Internal",4,IF(V726="Public",1,0))))</f>
        <v/>
      </c>
      <c r="AA726" s="9">
        <f>(U726*0.4)+(W726*0.3)+(IF(Z726="Critical",10,IF(Z726="High",7,IF(Z726="Medium",4,1)))*0.2)+(IF(Y726="YES",10,0)*0.1)</f>
        <v/>
      </c>
      <c r="AB726" s="9">
        <f>IF(G726="YES",2.0,0)+IF(H726="YES",2.0,0)</f>
        <v/>
      </c>
      <c r="AC726" s="9" t="n">
        <v>0</v>
      </c>
      <c r="AD726" s="9">
        <f>K726+AB726+AC726</f>
        <v/>
      </c>
      <c r="AE726" s="9">
        <f>(AD726*0.6)+(AA726*0.4)</f>
        <v/>
      </c>
      <c r="AF726">
        <f>IF(AE726&gt;=9,"Critical",IF(AE726&gt;=7,"High",IF(AE726&gt;=4,"Medium","Low")))</f>
        <v/>
      </c>
    </row>
    <row r="727">
      <c r="F727" t="n">
        <v>1</v>
      </c>
      <c r="I727">
        <f>IF(D727="","",TODAY()-D727)</f>
        <v/>
      </c>
      <c r="K727">
        <f>IF(J727="v4.0",L727,IF(J727="v3.1",M727,IF(J727="Both",L727,IF(AND(L727&lt;&gt;"",M727=""),L727,M727))))</f>
        <v/>
      </c>
      <c r="U727">
        <f>IF(T727="Tier 1",10,IF(T727="Tier 2",7,IF(T727="Tier 3",4,IF(T727="Tier 4",1,0))))</f>
        <v/>
      </c>
      <c r="W727">
        <f>IF(V727="Restricted",10,IF(V727="Confidential",7,IF(V727="Internal",4,IF(V727="Public",1,0))))</f>
        <v/>
      </c>
      <c r="AA727" s="9">
        <f>(U727*0.4)+(W727*0.3)+(IF(Z727="Critical",10,IF(Z727="High",7,IF(Z727="Medium",4,1)))*0.2)+(IF(Y727="YES",10,0)*0.1)</f>
        <v/>
      </c>
      <c r="AB727" s="9">
        <f>IF(G727="YES",2.0,0)+IF(H727="YES",2.0,0)</f>
        <v/>
      </c>
      <c r="AC727" s="9" t="n">
        <v>0</v>
      </c>
      <c r="AD727" s="9">
        <f>K727+AB727+AC727</f>
        <v/>
      </c>
      <c r="AE727" s="9">
        <f>(AD727*0.6)+(AA727*0.4)</f>
        <v/>
      </c>
      <c r="AF727">
        <f>IF(AE727&gt;=9,"Critical",IF(AE727&gt;=7,"High",IF(AE727&gt;=4,"Medium","Low")))</f>
        <v/>
      </c>
    </row>
    <row r="728">
      <c r="F728" t="n">
        <v>1</v>
      </c>
      <c r="I728">
        <f>IF(D728="","",TODAY()-D728)</f>
        <v/>
      </c>
      <c r="K728">
        <f>IF(J728="v4.0",L728,IF(J728="v3.1",M728,IF(J728="Both",L728,IF(AND(L728&lt;&gt;"",M728=""),L728,M728))))</f>
        <v/>
      </c>
      <c r="U728">
        <f>IF(T728="Tier 1",10,IF(T728="Tier 2",7,IF(T728="Tier 3",4,IF(T728="Tier 4",1,0))))</f>
        <v/>
      </c>
      <c r="W728">
        <f>IF(V728="Restricted",10,IF(V728="Confidential",7,IF(V728="Internal",4,IF(V728="Public",1,0))))</f>
        <v/>
      </c>
      <c r="AA728" s="9">
        <f>(U728*0.4)+(W728*0.3)+(IF(Z728="Critical",10,IF(Z728="High",7,IF(Z728="Medium",4,1)))*0.2)+(IF(Y728="YES",10,0)*0.1)</f>
        <v/>
      </c>
      <c r="AB728" s="9">
        <f>IF(G728="YES",2.0,0)+IF(H728="YES",2.0,0)</f>
        <v/>
      </c>
      <c r="AC728" s="9" t="n">
        <v>0</v>
      </c>
      <c r="AD728" s="9">
        <f>K728+AB728+AC728</f>
        <v/>
      </c>
      <c r="AE728" s="9">
        <f>(AD728*0.6)+(AA728*0.4)</f>
        <v/>
      </c>
      <c r="AF728">
        <f>IF(AE728&gt;=9,"Critical",IF(AE728&gt;=7,"High",IF(AE728&gt;=4,"Medium","Low")))</f>
        <v/>
      </c>
    </row>
    <row r="729">
      <c r="F729" t="n">
        <v>1</v>
      </c>
      <c r="I729">
        <f>IF(D729="","",TODAY()-D729)</f>
        <v/>
      </c>
      <c r="K729">
        <f>IF(J729="v4.0",L729,IF(J729="v3.1",M729,IF(J729="Both",L729,IF(AND(L729&lt;&gt;"",M729=""),L729,M729))))</f>
        <v/>
      </c>
      <c r="U729">
        <f>IF(T729="Tier 1",10,IF(T729="Tier 2",7,IF(T729="Tier 3",4,IF(T729="Tier 4",1,0))))</f>
        <v/>
      </c>
      <c r="W729">
        <f>IF(V729="Restricted",10,IF(V729="Confidential",7,IF(V729="Internal",4,IF(V729="Public",1,0))))</f>
        <v/>
      </c>
      <c r="AA729" s="9">
        <f>(U729*0.4)+(W729*0.3)+(IF(Z729="Critical",10,IF(Z729="High",7,IF(Z729="Medium",4,1)))*0.2)+(IF(Y729="YES",10,0)*0.1)</f>
        <v/>
      </c>
      <c r="AB729" s="9">
        <f>IF(G729="YES",2.0,0)+IF(H729="YES",2.0,0)</f>
        <v/>
      </c>
      <c r="AC729" s="9" t="n">
        <v>0</v>
      </c>
      <c r="AD729" s="9">
        <f>K729+AB729+AC729</f>
        <v/>
      </c>
      <c r="AE729" s="9">
        <f>(AD729*0.6)+(AA729*0.4)</f>
        <v/>
      </c>
      <c r="AF729">
        <f>IF(AE729&gt;=9,"Critical",IF(AE729&gt;=7,"High",IF(AE729&gt;=4,"Medium","Low")))</f>
        <v/>
      </c>
    </row>
    <row r="730">
      <c r="F730" t="n">
        <v>1</v>
      </c>
      <c r="I730">
        <f>IF(D730="","",TODAY()-D730)</f>
        <v/>
      </c>
      <c r="K730">
        <f>IF(J730="v4.0",L730,IF(J730="v3.1",M730,IF(J730="Both",L730,IF(AND(L730&lt;&gt;"",M730=""),L730,M730))))</f>
        <v/>
      </c>
      <c r="U730">
        <f>IF(T730="Tier 1",10,IF(T730="Tier 2",7,IF(T730="Tier 3",4,IF(T730="Tier 4",1,0))))</f>
        <v/>
      </c>
      <c r="W730">
        <f>IF(V730="Restricted",10,IF(V730="Confidential",7,IF(V730="Internal",4,IF(V730="Public",1,0))))</f>
        <v/>
      </c>
      <c r="AA730" s="9">
        <f>(U730*0.4)+(W730*0.3)+(IF(Z730="Critical",10,IF(Z730="High",7,IF(Z730="Medium",4,1)))*0.2)+(IF(Y730="YES",10,0)*0.1)</f>
        <v/>
      </c>
      <c r="AB730" s="9">
        <f>IF(G730="YES",2.0,0)+IF(H730="YES",2.0,0)</f>
        <v/>
      </c>
      <c r="AC730" s="9" t="n">
        <v>0</v>
      </c>
      <c r="AD730" s="9">
        <f>K730+AB730+AC730</f>
        <v/>
      </c>
      <c r="AE730" s="9">
        <f>(AD730*0.6)+(AA730*0.4)</f>
        <v/>
      </c>
      <c r="AF730">
        <f>IF(AE730&gt;=9,"Critical",IF(AE730&gt;=7,"High",IF(AE730&gt;=4,"Medium","Low")))</f>
        <v/>
      </c>
    </row>
    <row r="731">
      <c r="F731" t="n">
        <v>1</v>
      </c>
      <c r="I731">
        <f>IF(D731="","",TODAY()-D731)</f>
        <v/>
      </c>
      <c r="K731">
        <f>IF(J731="v4.0",L731,IF(J731="v3.1",M731,IF(J731="Both",L731,IF(AND(L731&lt;&gt;"",M731=""),L731,M731))))</f>
        <v/>
      </c>
      <c r="U731">
        <f>IF(T731="Tier 1",10,IF(T731="Tier 2",7,IF(T731="Tier 3",4,IF(T731="Tier 4",1,0))))</f>
        <v/>
      </c>
      <c r="W731">
        <f>IF(V731="Restricted",10,IF(V731="Confidential",7,IF(V731="Internal",4,IF(V731="Public",1,0))))</f>
        <v/>
      </c>
      <c r="AA731" s="9">
        <f>(U731*0.4)+(W731*0.3)+(IF(Z731="Critical",10,IF(Z731="High",7,IF(Z731="Medium",4,1)))*0.2)+(IF(Y731="YES",10,0)*0.1)</f>
        <v/>
      </c>
      <c r="AB731" s="9">
        <f>IF(G731="YES",2.0,0)+IF(H731="YES",2.0,0)</f>
        <v/>
      </c>
      <c r="AC731" s="9" t="n">
        <v>0</v>
      </c>
      <c r="AD731" s="9">
        <f>K731+AB731+AC731</f>
        <v/>
      </c>
      <c r="AE731" s="9">
        <f>(AD731*0.6)+(AA731*0.4)</f>
        <v/>
      </c>
      <c r="AF731">
        <f>IF(AE731&gt;=9,"Critical",IF(AE731&gt;=7,"High",IF(AE731&gt;=4,"Medium","Low")))</f>
        <v/>
      </c>
    </row>
    <row r="732">
      <c r="F732" t="n">
        <v>1</v>
      </c>
      <c r="I732">
        <f>IF(D732="","",TODAY()-D732)</f>
        <v/>
      </c>
      <c r="K732">
        <f>IF(J732="v4.0",L732,IF(J732="v3.1",M732,IF(J732="Both",L732,IF(AND(L732&lt;&gt;"",M732=""),L732,M732))))</f>
        <v/>
      </c>
      <c r="U732">
        <f>IF(T732="Tier 1",10,IF(T732="Tier 2",7,IF(T732="Tier 3",4,IF(T732="Tier 4",1,0))))</f>
        <v/>
      </c>
      <c r="W732">
        <f>IF(V732="Restricted",10,IF(V732="Confidential",7,IF(V732="Internal",4,IF(V732="Public",1,0))))</f>
        <v/>
      </c>
      <c r="AA732" s="9">
        <f>(U732*0.4)+(W732*0.3)+(IF(Z732="Critical",10,IF(Z732="High",7,IF(Z732="Medium",4,1)))*0.2)+(IF(Y732="YES",10,0)*0.1)</f>
        <v/>
      </c>
      <c r="AB732" s="9">
        <f>IF(G732="YES",2.0,0)+IF(H732="YES",2.0,0)</f>
        <v/>
      </c>
      <c r="AC732" s="9" t="n">
        <v>0</v>
      </c>
      <c r="AD732" s="9">
        <f>K732+AB732+AC732</f>
        <v/>
      </c>
      <c r="AE732" s="9">
        <f>(AD732*0.6)+(AA732*0.4)</f>
        <v/>
      </c>
      <c r="AF732">
        <f>IF(AE732&gt;=9,"Critical",IF(AE732&gt;=7,"High",IF(AE732&gt;=4,"Medium","Low")))</f>
        <v/>
      </c>
    </row>
    <row r="733">
      <c r="F733" t="n">
        <v>1</v>
      </c>
      <c r="I733">
        <f>IF(D733="","",TODAY()-D733)</f>
        <v/>
      </c>
      <c r="K733">
        <f>IF(J733="v4.0",L733,IF(J733="v3.1",M733,IF(J733="Both",L733,IF(AND(L733&lt;&gt;"",M733=""),L733,M733))))</f>
        <v/>
      </c>
      <c r="U733">
        <f>IF(T733="Tier 1",10,IF(T733="Tier 2",7,IF(T733="Tier 3",4,IF(T733="Tier 4",1,0))))</f>
        <v/>
      </c>
      <c r="W733">
        <f>IF(V733="Restricted",10,IF(V733="Confidential",7,IF(V733="Internal",4,IF(V733="Public",1,0))))</f>
        <v/>
      </c>
      <c r="AA733" s="9">
        <f>(U733*0.4)+(W733*0.3)+(IF(Z733="Critical",10,IF(Z733="High",7,IF(Z733="Medium",4,1)))*0.2)+(IF(Y733="YES",10,0)*0.1)</f>
        <v/>
      </c>
      <c r="AB733" s="9">
        <f>IF(G733="YES",2.0,0)+IF(H733="YES",2.0,0)</f>
        <v/>
      </c>
      <c r="AC733" s="9" t="n">
        <v>0</v>
      </c>
      <c r="AD733" s="9">
        <f>K733+AB733+AC733</f>
        <v/>
      </c>
      <c r="AE733" s="9">
        <f>(AD733*0.6)+(AA733*0.4)</f>
        <v/>
      </c>
      <c r="AF733">
        <f>IF(AE733&gt;=9,"Critical",IF(AE733&gt;=7,"High",IF(AE733&gt;=4,"Medium","Low")))</f>
        <v/>
      </c>
    </row>
    <row r="734">
      <c r="F734" t="n">
        <v>1</v>
      </c>
      <c r="I734">
        <f>IF(D734="","",TODAY()-D734)</f>
        <v/>
      </c>
      <c r="K734">
        <f>IF(J734="v4.0",L734,IF(J734="v3.1",M734,IF(J734="Both",L734,IF(AND(L734&lt;&gt;"",M734=""),L734,M734))))</f>
        <v/>
      </c>
      <c r="U734">
        <f>IF(T734="Tier 1",10,IF(T734="Tier 2",7,IF(T734="Tier 3",4,IF(T734="Tier 4",1,0))))</f>
        <v/>
      </c>
      <c r="W734">
        <f>IF(V734="Restricted",10,IF(V734="Confidential",7,IF(V734="Internal",4,IF(V734="Public",1,0))))</f>
        <v/>
      </c>
      <c r="AA734" s="9">
        <f>(U734*0.4)+(W734*0.3)+(IF(Z734="Critical",10,IF(Z734="High",7,IF(Z734="Medium",4,1)))*0.2)+(IF(Y734="YES",10,0)*0.1)</f>
        <v/>
      </c>
      <c r="AB734" s="9">
        <f>IF(G734="YES",2.0,0)+IF(H734="YES",2.0,0)</f>
        <v/>
      </c>
      <c r="AC734" s="9" t="n">
        <v>0</v>
      </c>
      <c r="AD734" s="9">
        <f>K734+AB734+AC734</f>
        <v/>
      </c>
      <c r="AE734" s="9">
        <f>(AD734*0.6)+(AA734*0.4)</f>
        <v/>
      </c>
      <c r="AF734">
        <f>IF(AE734&gt;=9,"Critical",IF(AE734&gt;=7,"High",IF(AE734&gt;=4,"Medium","Low")))</f>
        <v/>
      </c>
    </row>
    <row r="735">
      <c r="F735" t="n">
        <v>1</v>
      </c>
      <c r="I735">
        <f>IF(D735="","",TODAY()-D735)</f>
        <v/>
      </c>
      <c r="K735">
        <f>IF(J735="v4.0",L735,IF(J735="v3.1",M735,IF(J735="Both",L735,IF(AND(L735&lt;&gt;"",M735=""),L735,M735))))</f>
        <v/>
      </c>
      <c r="U735">
        <f>IF(T735="Tier 1",10,IF(T735="Tier 2",7,IF(T735="Tier 3",4,IF(T735="Tier 4",1,0))))</f>
        <v/>
      </c>
      <c r="W735">
        <f>IF(V735="Restricted",10,IF(V735="Confidential",7,IF(V735="Internal",4,IF(V735="Public",1,0))))</f>
        <v/>
      </c>
      <c r="AA735" s="9">
        <f>(U735*0.4)+(W735*0.3)+(IF(Z735="Critical",10,IF(Z735="High",7,IF(Z735="Medium",4,1)))*0.2)+(IF(Y735="YES",10,0)*0.1)</f>
        <v/>
      </c>
      <c r="AB735" s="9">
        <f>IF(G735="YES",2.0,0)+IF(H735="YES",2.0,0)</f>
        <v/>
      </c>
      <c r="AC735" s="9" t="n">
        <v>0</v>
      </c>
      <c r="AD735" s="9">
        <f>K735+AB735+AC735</f>
        <v/>
      </c>
      <c r="AE735" s="9">
        <f>(AD735*0.6)+(AA735*0.4)</f>
        <v/>
      </c>
      <c r="AF735">
        <f>IF(AE735&gt;=9,"Critical",IF(AE735&gt;=7,"High",IF(AE735&gt;=4,"Medium","Low")))</f>
        <v/>
      </c>
    </row>
    <row r="736">
      <c r="F736" t="n">
        <v>1</v>
      </c>
      <c r="I736">
        <f>IF(D736="","",TODAY()-D736)</f>
        <v/>
      </c>
      <c r="K736">
        <f>IF(J736="v4.0",L736,IF(J736="v3.1",M736,IF(J736="Both",L736,IF(AND(L736&lt;&gt;"",M736=""),L736,M736))))</f>
        <v/>
      </c>
      <c r="U736">
        <f>IF(T736="Tier 1",10,IF(T736="Tier 2",7,IF(T736="Tier 3",4,IF(T736="Tier 4",1,0))))</f>
        <v/>
      </c>
      <c r="W736">
        <f>IF(V736="Restricted",10,IF(V736="Confidential",7,IF(V736="Internal",4,IF(V736="Public",1,0))))</f>
        <v/>
      </c>
      <c r="AA736" s="9">
        <f>(U736*0.4)+(W736*0.3)+(IF(Z736="Critical",10,IF(Z736="High",7,IF(Z736="Medium",4,1)))*0.2)+(IF(Y736="YES",10,0)*0.1)</f>
        <v/>
      </c>
      <c r="AB736" s="9">
        <f>IF(G736="YES",2.0,0)+IF(H736="YES",2.0,0)</f>
        <v/>
      </c>
      <c r="AC736" s="9" t="n">
        <v>0</v>
      </c>
      <c r="AD736" s="9">
        <f>K736+AB736+AC736</f>
        <v/>
      </c>
      <c r="AE736" s="9">
        <f>(AD736*0.6)+(AA736*0.4)</f>
        <v/>
      </c>
      <c r="AF736">
        <f>IF(AE736&gt;=9,"Critical",IF(AE736&gt;=7,"High",IF(AE736&gt;=4,"Medium","Low")))</f>
        <v/>
      </c>
    </row>
    <row r="737">
      <c r="F737" t="n">
        <v>1</v>
      </c>
      <c r="I737">
        <f>IF(D737="","",TODAY()-D737)</f>
        <v/>
      </c>
      <c r="K737">
        <f>IF(J737="v4.0",L737,IF(J737="v3.1",M737,IF(J737="Both",L737,IF(AND(L737&lt;&gt;"",M737=""),L737,M737))))</f>
        <v/>
      </c>
      <c r="U737">
        <f>IF(T737="Tier 1",10,IF(T737="Tier 2",7,IF(T737="Tier 3",4,IF(T737="Tier 4",1,0))))</f>
        <v/>
      </c>
      <c r="W737">
        <f>IF(V737="Restricted",10,IF(V737="Confidential",7,IF(V737="Internal",4,IF(V737="Public",1,0))))</f>
        <v/>
      </c>
      <c r="AA737" s="9">
        <f>(U737*0.4)+(W737*0.3)+(IF(Z737="Critical",10,IF(Z737="High",7,IF(Z737="Medium",4,1)))*0.2)+(IF(Y737="YES",10,0)*0.1)</f>
        <v/>
      </c>
      <c r="AB737" s="9">
        <f>IF(G737="YES",2.0,0)+IF(H737="YES",2.0,0)</f>
        <v/>
      </c>
      <c r="AC737" s="9" t="n">
        <v>0</v>
      </c>
      <c r="AD737" s="9">
        <f>K737+AB737+AC737</f>
        <v/>
      </c>
      <c r="AE737" s="9">
        <f>(AD737*0.6)+(AA737*0.4)</f>
        <v/>
      </c>
      <c r="AF737">
        <f>IF(AE737&gt;=9,"Critical",IF(AE737&gt;=7,"High",IF(AE737&gt;=4,"Medium","Low")))</f>
        <v/>
      </c>
    </row>
    <row r="738">
      <c r="F738" t="n">
        <v>1</v>
      </c>
      <c r="I738">
        <f>IF(D738="","",TODAY()-D738)</f>
        <v/>
      </c>
      <c r="K738">
        <f>IF(J738="v4.0",L738,IF(J738="v3.1",M738,IF(J738="Both",L738,IF(AND(L738&lt;&gt;"",M738=""),L738,M738))))</f>
        <v/>
      </c>
      <c r="U738">
        <f>IF(T738="Tier 1",10,IF(T738="Tier 2",7,IF(T738="Tier 3",4,IF(T738="Tier 4",1,0))))</f>
        <v/>
      </c>
      <c r="W738">
        <f>IF(V738="Restricted",10,IF(V738="Confidential",7,IF(V738="Internal",4,IF(V738="Public",1,0))))</f>
        <v/>
      </c>
      <c r="AA738" s="9">
        <f>(U738*0.4)+(W738*0.3)+(IF(Z738="Critical",10,IF(Z738="High",7,IF(Z738="Medium",4,1)))*0.2)+(IF(Y738="YES",10,0)*0.1)</f>
        <v/>
      </c>
      <c r="AB738" s="9">
        <f>IF(G738="YES",2.0,0)+IF(H738="YES",2.0,0)</f>
        <v/>
      </c>
      <c r="AC738" s="9" t="n">
        <v>0</v>
      </c>
      <c r="AD738" s="9">
        <f>K738+AB738+AC738</f>
        <v/>
      </c>
      <c r="AE738" s="9">
        <f>(AD738*0.6)+(AA738*0.4)</f>
        <v/>
      </c>
      <c r="AF738">
        <f>IF(AE738&gt;=9,"Critical",IF(AE738&gt;=7,"High",IF(AE738&gt;=4,"Medium","Low")))</f>
        <v/>
      </c>
    </row>
    <row r="739">
      <c r="F739" t="n">
        <v>1</v>
      </c>
      <c r="I739">
        <f>IF(D739="","",TODAY()-D739)</f>
        <v/>
      </c>
      <c r="K739">
        <f>IF(J739="v4.0",L739,IF(J739="v3.1",M739,IF(J739="Both",L739,IF(AND(L739&lt;&gt;"",M739=""),L739,M739))))</f>
        <v/>
      </c>
      <c r="U739">
        <f>IF(T739="Tier 1",10,IF(T739="Tier 2",7,IF(T739="Tier 3",4,IF(T739="Tier 4",1,0))))</f>
        <v/>
      </c>
      <c r="W739">
        <f>IF(V739="Restricted",10,IF(V739="Confidential",7,IF(V739="Internal",4,IF(V739="Public",1,0))))</f>
        <v/>
      </c>
      <c r="AA739" s="9">
        <f>(U739*0.4)+(W739*0.3)+(IF(Z739="Critical",10,IF(Z739="High",7,IF(Z739="Medium",4,1)))*0.2)+(IF(Y739="YES",10,0)*0.1)</f>
        <v/>
      </c>
      <c r="AB739" s="9">
        <f>IF(G739="YES",2.0,0)+IF(H739="YES",2.0,0)</f>
        <v/>
      </c>
      <c r="AC739" s="9" t="n">
        <v>0</v>
      </c>
      <c r="AD739" s="9">
        <f>K739+AB739+AC739</f>
        <v/>
      </c>
      <c r="AE739" s="9">
        <f>(AD739*0.6)+(AA739*0.4)</f>
        <v/>
      </c>
      <c r="AF739">
        <f>IF(AE739&gt;=9,"Critical",IF(AE739&gt;=7,"High",IF(AE739&gt;=4,"Medium","Low")))</f>
        <v/>
      </c>
    </row>
    <row r="740">
      <c r="F740" t="n">
        <v>1</v>
      </c>
      <c r="I740">
        <f>IF(D740="","",TODAY()-D740)</f>
        <v/>
      </c>
      <c r="K740">
        <f>IF(J740="v4.0",L740,IF(J740="v3.1",M740,IF(J740="Both",L740,IF(AND(L740&lt;&gt;"",M740=""),L740,M740))))</f>
        <v/>
      </c>
      <c r="U740">
        <f>IF(T740="Tier 1",10,IF(T740="Tier 2",7,IF(T740="Tier 3",4,IF(T740="Tier 4",1,0))))</f>
        <v/>
      </c>
      <c r="W740">
        <f>IF(V740="Restricted",10,IF(V740="Confidential",7,IF(V740="Internal",4,IF(V740="Public",1,0))))</f>
        <v/>
      </c>
      <c r="AA740" s="9">
        <f>(U740*0.4)+(W740*0.3)+(IF(Z740="Critical",10,IF(Z740="High",7,IF(Z740="Medium",4,1)))*0.2)+(IF(Y740="YES",10,0)*0.1)</f>
        <v/>
      </c>
      <c r="AB740" s="9">
        <f>IF(G740="YES",2.0,0)+IF(H740="YES",2.0,0)</f>
        <v/>
      </c>
      <c r="AC740" s="9" t="n">
        <v>0</v>
      </c>
      <c r="AD740" s="9">
        <f>K740+AB740+AC740</f>
        <v/>
      </c>
      <c r="AE740" s="9">
        <f>(AD740*0.6)+(AA740*0.4)</f>
        <v/>
      </c>
      <c r="AF740">
        <f>IF(AE740&gt;=9,"Critical",IF(AE740&gt;=7,"High",IF(AE740&gt;=4,"Medium","Low")))</f>
        <v/>
      </c>
    </row>
    <row r="741">
      <c r="F741" t="n">
        <v>1</v>
      </c>
      <c r="I741">
        <f>IF(D741="","",TODAY()-D741)</f>
        <v/>
      </c>
      <c r="K741">
        <f>IF(J741="v4.0",L741,IF(J741="v3.1",M741,IF(J741="Both",L741,IF(AND(L741&lt;&gt;"",M741=""),L741,M741))))</f>
        <v/>
      </c>
      <c r="U741">
        <f>IF(T741="Tier 1",10,IF(T741="Tier 2",7,IF(T741="Tier 3",4,IF(T741="Tier 4",1,0))))</f>
        <v/>
      </c>
      <c r="W741">
        <f>IF(V741="Restricted",10,IF(V741="Confidential",7,IF(V741="Internal",4,IF(V741="Public",1,0))))</f>
        <v/>
      </c>
      <c r="AA741" s="9">
        <f>(U741*0.4)+(W741*0.3)+(IF(Z741="Critical",10,IF(Z741="High",7,IF(Z741="Medium",4,1)))*0.2)+(IF(Y741="YES",10,0)*0.1)</f>
        <v/>
      </c>
      <c r="AB741" s="9">
        <f>IF(G741="YES",2.0,0)+IF(H741="YES",2.0,0)</f>
        <v/>
      </c>
      <c r="AC741" s="9" t="n">
        <v>0</v>
      </c>
      <c r="AD741" s="9">
        <f>K741+AB741+AC741</f>
        <v/>
      </c>
      <c r="AE741" s="9">
        <f>(AD741*0.6)+(AA741*0.4)</f>
        <v/>
      </c>
      <c r="AF741">
        <f>IF(AE741&gt;=9,"Critical",IF(AE741&gt;=7,"High",IF(AE741&gt;=4,"Medium","Low")))</f>
        <v/>
      </c>
    </row>
    <row r="742">
      <c r="F742" t="n">
        <v>1</v>
      </c>
      <c r="I742">
        <f>IF(D742="","",TODAY()-D742)</f>
        <v/>
      </c>
      <c r="K742">
        <f>IF(J742="v4.0",L742,IF(J742="v3.1",M742,IF(J742="Both",L742,IF(AND(L742&lt;&gt;"",M742=""),L742,M742))))</f>
        <v/>
      </c>
      <c r="U742">
        <f>IF(T742="Tier 1",10,IF(T742="Tier 2",7,IF(T742="Tier 3",4,IF(T742="Tier 4",1,0))))</f>
        <v/>
      </c>
      <c r="W742">
        <f>IF(V742="Restricted",10,IF(V742="Confidential",7,IF(V742="Internal",4,IF(V742="Public",1,0))))</f>
        <v/>
      </c>
      <c r="AA742" s="9">
        <f>(U742*0.4)+(W742*0.3)+(IF(Z742="Critical",10,IF(Z742="High",7,IF(Z742="Medium",4,1)))*0.2)+(IF(Y742="YES",10,0)*0.1)</f>
        <v/>
      </c>
      <c r="AB742" s="9">
        <f>IF(G742="YES",2.0,0)+IF(H742="YES",2.0,0)</f>
        <v/>
      </c>
      <c r="AC742" s="9" t="n">
        <v>0</v>
      </c>
      <c r="AD742" s="9">
        <f>K742+AB742+AC742</f>
        <v/>
      </c>
      <c r="AE742" s="9">
        <f>(AD742*0.6)+(AA742*0.4)</f>
        <v/>
      </c>
      <c r="AF742">
        <f>IF(AE742&gt;=9,"Critical",IF(AE742&gt;=7,"High",IF(AE742&gt;=4,"Medium","Low")))</f>
        <v/>
      </c>
    </row>
    <row r="743">
      <c r="F743" t="n">
        <v>1</v>
      </c>
      <c r="I743">
        <f>IF(D743="","",TODAY()-D743)</f>
        <v/>
      </c>
      <c r="K743">
        <f>IF(J743="v4.0",L743,IF(J743="v3.1",M743,IF(J743="Both",L743,IF(AND(L743&lt;&gt;"",M743=""),L743,M743))))</f>
        <v/>
      </c>
      <c r="U743">
        <f>IF(T743="Tier 1",10,IF(T743="Tier 2",7,IF(T743="Tier 3",4,IF(T743="Tier 4",1,0))))</f>
        <v/>
      </c>
      <c r="W743">
        <f>IF(V743="Restricted",10,IF(V743="Confidential",7,IF(V743="Internal",4,IF(V743="Public",1,0))))</f>
        <v/>
      </c>
      <c r="AA743" s="9">
        <f>(U743*0.4)+(W743*0.3)+(IF(Z743="Critical",10,IF(Z743="High",7,IF(Z743="Medium",4,1)))*0.2)+(IF(Y743="YES",10,0)*0.1)</f>
        <v/>
      </c>
      <c r="AB743" s="9">
        <f>IF(G743="YES",2.0,0)+IF(H743="YES",2.0,0)</f>
        <v/>
      </c>
      <c r="AC743" s="9" t="n">
        <v>0</v>
      </c>
      <c r="AD743" s="9">
        <f>K743+AB743+AC743</f>
        <v/>
      </c>
      <c r="AE743" s="9">
        <f>(AD743*0.6)+(AA743*0.4)</f>
        <v/>
      </c>
      <c r="AF743">
        <f>IF(AE743&gt;=9,"Critical",IF(AE743&gt;=7,"High",IF(AE743&gt;=4,"Medium","Low")))</f>
        <v/>
      </c>
    </row>
    <row r="744">
      <c r="F744" t="n">
        <v>1</v>
      </c>
      <c r="I744">
        <f>IF(D744="","",TODAY()-D744)</f>
        <v/>
      </c>
      <c r="K744">
        <f>IF(J744="v4.0",L744,IF(J744="v3.1",M744,IF(J744="Both",L744,IF(AND(L744&lt;&gt;"",M744=""),L744,M744))))</f>
        <v/>
      </c>
      <c r="U744">
        <f>IF(T744="Tier 1",10,IF(T744="Tier 2",7,IF(T744="Tier 3",4,IF(T744="Tier 4",1,0))))</f>
        <v/>
      </c>
      <c r="W744">
        <f>IF(V744="Restricted",10,IF(V744="Confidential",7,IF(V744="Internal",4,IF(V744="Public",1,0))))</f>
        <v/>
      </c>
      <c r="AA744" s="9">
        <f>(U744*0.4)+(W744*0.3)+(IF(Z744="Critical",10,IF(Z744="High",7,IF(Z744="Medium",4,1)))*0.2)+(IF(Y744="YES",10,0)*0.1)</f>
        <v/>
      </c>
      <c r="AB744" s="9">
        <f>IF(G744="YES",2.0,0)+IF(H744="YES",2.0,0)</f>
        <v/>
      </c>
      <c r="AC744" s="9" t="n">
        <v>0</v>
      </c>
      <c r="AD744" s="9">
        <f>K744+AB744+AC744</f>
        <v/>
      </c>
      <c r="AE744" s="9">
        <f>(AD744*0.6)+(AA744*0.4)</f>
        <v/>
      </c>
      <c r="AF744">
        <f>IF(AE744&gt;=9,"Critical",IF(AE744&gt;=7,"High",IF(AE744&gt;=4,"Medium","Low")))</f>
        <v/>
      </c>
    </row>
    <row r="745">
      <c r="F745" t="n">
        <v>1</v>
      </c>
      <c r="I745">
        <f>IF(D745="","",TODAY()-D745)</f>
        <v/>
      </c>
      <c r="K745">
        <f>IF(J745="v4.0",L745,IF(J745="v3.1",M745,IF(J745="Both",L745,IF(AND(L745&lt;&gt;"",M745=""),L745,M745))))</f>
        <v/>
      </c>
      <c r="U745">
        <f>IF(T745="Tier 1",10,IF(T745="Tier 2",7,IF(T745="Tier 3",4,IF(T745="Tier 4",1,0))))</f>
        <v/>
      </c>
      <c r="W745">
        <f>IF(V745="Restricted",10,IF(V745="Confidential",7,IF(V745="Internal",4,IF(V745="Public",1,0))))</f>
        <v/>
      </c>
      <c r="AA745" s="9">
        <f>(U745*0.4)+(W745*0.3)+(IF(Z745="Critical",10,IF(Z745="High",7,IF(Z745="Medium",4,1)))*0.2)+(IF(Y745="YES",10,0)*0.1)</f>
        <v/>
      </c>
      <c r="AB745" s="9">
        <f>IF(G745="YES",2.0,0)+IF(H745="YES",2.0,0)</f>
        <v/>
      </c>
      <c r="AC745" s="9" t="n">
        <v>0</v>
      </c>
      <c r="AD745" s="9">
        <f>K745+AB745+AC745</f>
        <v/>
      </c>
      <c r="AE745" s="9">
        <f>(AD745*0.6)+(AA745*0.4)</f>
        <v/>
      </c>
      <c r="AF745">
        <f>IF(AE745&gt;=9,"Critical",IF(AE745&gt;=7,"High",IF(AE745&gt;=4,"Medium","Low")))</f>
        <v/>
      </c>
    </row>
    <row r="746">
      <c r="F746" t="n">
        <v>1</v>
      </c>
      <c r="I746">
        <f>IF(D746="","",TODAY()-D746)</f>
        <v/>
      </c>
      <c r="K746">
        <f>IF(J746="v4.0",L746,IF(J746="v3.1",M746,IF(J746="Both",L746,IF(AND(L746&lt;&gt;"",M746=""),L746,M746))))</f>
        <v/>
      </c>
      <c r="U746">
        <f>IF(T746="Tier 1",10,IF(T746="Tier 2",7,IF(T746="Tier 3",4,IF(T746="Tier 4",1,0))))</f>
        <v/>
      </c>
      <c r="W746">
        <f>IF(V746="Restricted",10,IF(V746="Confidential",7,IF(V746="Internal",4,IF(V746="Public",1,0))))</f>
        <v/>
      </c>
      <c r="AA746" s="9">
        <f>(U746*0.4)+(W746*0.3)+(IF(Z746="Critical",10,IF(Z746="High",7,IF(Z746="Medium",4,1)))*0.2)+(IF(Y746="YES",10,0)*0.1)</f>
        <v/>
      </c>
      <c r="AB746" s="9">
        <f>IF(G746="YES",2.0,0)+IF(H746="YES",2.0,0)</f>
        <v/>
      </c>
      <c r="AC746" s="9" t="n">
        <v>0</v>
      </c>
      <c r="AD746" s="9">
        <f>K746+AB746+AC746</f>
        <v/>
      </c>
      <c r="AE746" s="9">
        <f>(AD746*0.6)+(AA746*0.4)</f>
        <v/>
      </c>
      <c r="AF746">
        <f>IF(AE746&gt;=9,"Critical",IF(AE746&gt;=7,"High",IF(AE746&gt;=4,"Medium","Low")))</f>
        <v/>
      </c>
    </row>
    <row r="747">
      <c r="F747" t="n">
        <v>1</v>
      </c>
      <c r="I747">
        <f>IF(D747="","",TODAY()-D747)</f>
        <v/>
      </c>
      <c r="K747">
        <f>IF(J747="v4.0",L747,IF(J747="v3.1",M747,IF(J747="Both",L747,IF(AND(L747&lt;&gt;"",M747=""),L747,M747))))</f>
        <v/>
      </c>
      <c r="U747">
        <f>IF(T747="Tier 1",10,IF(T747="Tier 2",7,IF(T747="Tier 3",4,IF(T747="Tier 4",1,0))))</f>
        <v/>
      </c>
      <c r="W747">
        <f>IF(V747="Restricted",10,IF(V747="Confidential",7,IF(V747="Internal",4,IF(V747="Public",1,0))))</f>
        <v/>
      </c>
      <c r="AA747" s="9">
        <f>(U747*0.4)+(W747*0.3)+(IF(Z747="Critical",10,IF(Z747="High",7,IF(Z747="Medium",4,1)))*0.2)+(IF(Y747="YES",10,0)*0.1)</f>
        <v/>
      </c>
      <c r="AB747" s="9">
        <f>IF(G747="YES",2.0,0)+IF(H747="YES",2.0,0)</f>
        <v/>
      </c>
      <c r="AC747" s="9" t="n">
        <v>0</v>
      </c>
      <c r="AD747" s="9">
        <f>K747+AB747+AC747</f>
        <v/>
      </c>
      <c r="AE747" s="9">
        <f>(AD747*0.6)+(AA747*0.4)</f>
        <v/>
      </c>
      <c r="AF747">
        <f>IF(AE747&gt;=9,"Critical",IF(AE747&gt;=7,"High",IF(AE747&gt;=4,"Medium","Low")))</f>
        <v/>
      </c>
    </row>
    <row r="748">
      <c r="F748" t="n">
        <v>1</v>
      </c>
      <c r="I748">
        <f>IF(D748="","",TODAY()-D748)</f>
        <v/>
      </c>
      <c r="K748">
        <f>IF(J748="v4.0",L748,IF(J748="v3.1",M748,IF(J748="Both",L748,IF(AND(L748&lt;&gt;"",M748=""),L748,M748))))</f>
        <v/>
      </c>
      <c r="U748">
        <f>IF(T748="Tier 1",10,IF(T748="Tier 2",7,IF(T748="Tier 3",4,IF(T748="Tier 4",1,0))))</f>
        <v/>
      </c>
      <c r="W748">
        <f>IF(V748="Restricted",10,IF(V748="Confidential",7,IF(V748="Internal",4,IF(V748="Public",1,0))))</f>
        <v/>
      </c>
      <c r="AA748" s="9">
        <f>(U748*0.4)+(W748*0.3)+(IF(Z748="Critical",10,IF(Z748="High",7,IF(Z748="Medium",4,1)))*0.2)+(IF(Y748="YES",10,0)*0.1)</f>
        <v/>
      </c>
      <c r="AB748" s="9">
        <f>IF(G748="YES",2.0,0)+IF(H748="YES",2.0,0)</f>
        <v/>
      </c>
      <c r="AC748" s="9" t="n">
        <v>0</v>
      </c>
      <c r="AD748" s="9">
        <f>K748+AB748+AC748</f>
        <v/>
      </c>
      <c r="AE748" s="9">
        <f>(AD748*0.6)+(AA748*0.4)</f>
        <v/>
      </c>
      <c r="AF748">
        <f>IF(AE748&gt;=9,"Critical",IF(AE748&gt;=7,"High",IF(AE748&gt;=4,"Medium","Low")))</f>
        <v/>
      </c>
    </row>
    <row r="749">
      <c r="F749" t="n">
        <v>1</v>
      </c>
      <c r="I749">
        <f>IF(D749="","",TODAY()-D749)</f>
        <v/>
      </c>
      <c r="K749">
        <f>IF(J749="v4.0",L749,IF(J749="v3.1",M749,IF(J749="Both",L749,IF(AND(L749&lt;&gt;"",M749=""),L749,M749))))</f>
        <v/>
      </c>
      <c r="U749">
        <f>IF(T749="Tier 1",10,IF(T749="Tier 2",7,IF(T749="Tier 3",4,IF(T749="Tier 4",1,0))))</f>
        <v/>
      </c>
      <c r="W749">
        <f>IF(V749="Restricted",10,IF(V749="Confidential",7,IF(V749="Internal",4,IF(V749="Public",1,0))))</f>
        <v/>
      </c>
      <c r="AA749" s="9">
        <f>(U749*0.4)+(W749*0.3)+(IF(Z749="Critical",10,IF(Z749="High",7,IF(Z749="Medium",4,1)))*0.2)+(IF(Y749="YES",10,0)*0.1)</f>
        <v/>
      </c>
      <c r="AB749" s="9">
        <f>IF(G749="YES",2.0,0)+IF(H749="YES",2.0,0)</f>
        <v/>
      </c>
      <c r="AC749" s="9" t="n">
        <v>0</v>
      </c>
      <c r="AD749" s="9">
        <f>K749+AB749+AC749</f>
        <v/>
      </c>
      <c r="AE749" s="9">
        <f>(AD749*0.6)+(AA749*0.4)</f>
        <v/>
      </c>
      <c r="AF749">
        <f>IF(AE749&gt;=9,"Critical",IF(AE749&gt;=7,"High",IF(AE749&gt;=4,"Medium","Low")))</f>
        <v/>
      </c>
    </row>
    <row r="750">
      <c r="F750" t="n">
        <v>1</v>
      </c>
      <c r="I750">
        <f>IF(D750="","",TODAY()-D750)</f>
        <v/>
      </c>
      <c r="K750">
        <f>IF(J750="v4.0",L750,IF(J750="v3.1",M750,IF(J750="Both",L750,IF(AND(L750&lt;&gt;"",M750=""),L750,M750))))</f>
        <v/>
      </c>
      <c r="U750">
        <f>IF(T750="Tier 1",10,IF(T750="Tier 2",7,IF(T750="Tier 3",4,IF(T750="Tier 4",1,0))))</f>
        <v/>
      </c>
      <c r="W750">
        <f>IF(V750="Restricted",10,IF(V750="Confidential",7,IF(V750="Internal",4,IF(V750="Public",1,0))))</f>
        <v/>
      </c>
      <c r="AA750" s="9">
        <f>(U750*0.4)+(W750*0.3)+(IF(Z750="Critical",10,IF(Z750="High",7,IF(Z750="Medium",4,1)))*0.2)+(IF(Y750="YES",10,0)*0.1)</f>
        <v/>
      </c>
      <c r="AB750" s="9">
        <f>IF(G750="YES",2.0,0)+IF(H750="YES",2.0,0)</f>
        <v/>
      </c>
      <c r="AC750" s="9" t="n">
        <v>0</v>
      </c>
      <c r="AD750" s="9">
        <f>K750+AB750+AC750</f>
        <v/>
      </c>
      <c r="AE750" s="9">
        <f>(AD750*0.6)+(AA750*0.4)</f>
        <v/>
      </c>
      <c r="AF750">
        <f>IF(AE750&gt;=9,"Critical",IF(AE750&gt;=7,"High",IF(AE750&gt;=4,"Medium","Low")))</f>
        <v/>
      </c>
    </row>
    <row r="751">
      <c r="F751" t="n">
        <v>1</v>
      </c>
      <c r="I751">
        <f>IF(D751="","",TODAY()-D751)</f>
        <v/>
      </c>
      <c r="K751">
        <f>IF(J751="v4.0",L751,IF(J751="v3.1",M751,IF(J751="Both",L751,IF(AND(L751&lt;&gt;"",M751=""),L751,M751))))</f>
        <v/>
      </c>
      <c r="U751">
        <f>IF(T751="Tier 1",10,IF(T751="Tier 2",7,IF(T751="Tier 3",4,IF(T751="Tier 4",1,0))))</f>
        <v/>
      </c>
      <c r="W751">
        <f>IF(V751="Restricted",10,IF(V751="Confidential",7,IF(V751="Internal",4,IF(V751="Public",1,0))))</f>
        <v/>
      </c>
      <c r="AA751" s="9">
        <f>(U751*0.4)+(W751*0.3)+(IF(Z751="Critical",10,IF(Z751="High",7,IF(Z751="Medium",4,1)))*0.2)+(IF(Y751="YES",10,0)*0.1)</f>
        <v/>
      </c>
      <c r="AB751" s="9">
        <f>IF(G751="YES",2.0,0)+IF(H751="YES",2.0,0)</f>
        <v/>
      </c>
      <c r="AC751" s="9" t="n">
        <v>0</v>
      </c>
      <c r="AD751" s="9">
        <f>K751+AB751+AC751</f>
        <v/>
      </c>
      <c r="AE751" s="9">
        <f>(AD751*0.6)+(AA751*0.4)</f>
        <v/>
      </c>
      <c r="AF751">
        <f>IF(AE751&gt;=9,"Critical",IF(AE751&gt;=7,"High",IF(AE751&gt;=4,"Medium","Low")))</f>
        <v/>
      </c>
    </row>
    <row r="752">
      <c r="F752" t="n">
        <v>1</v>
      </c>
      <c r="I752">
        <f>IF(D752="","",TODAY()-D752)</f>
        <v/>
      </c>
      <c r="K752">
        <f>IF(J752="v4.0",L752,IF(J752="v3.1",M752,IF(J752="Both",L752,IF(AND(L752&lt;&gt;"",M752=""),L752,M752))))</f>
        <v/>
      </c>
      <c r="U752">
        <f>IF(T752="Tier 1",10,IF(T752="Tier 2",7,IF(T752="Tier 3",4,IF(T752="Tier 4",1,0))))</f>
        <v/>
      </c>
      <c r="W752">
        <f>IF(V752="Restricted",10,IF(V752="Confidential",7,IF(V752="Internal",4,IF(V752="Public",1,0))))</f>
        <v/>
      </c>
      <c r="AA752" s="9">
        <f>(U752*0.4)+(W752*0.3)+(IF(Z752="Critical",10,IF(Z752="High",7,IF(Z752="Medium",4,1)))*0.2)+(IF(Y752="YES",10,0)*0.1)</f>
        <v/>
      </c>
      <c r="AB752" s="9">
        <f>IF(G752="YES",2.0,0)+IF(H752="YES",2.0,0)</f>
        <v/>
      </c>
      <c r="AC752" s="9" t="n">
        <v>0</v>
      </c>
      <c r="AD752" s="9">
        <f>K752+AB752+AC752</f>
        <v/>
      </c>
      <c r="AE752" s="9">
        <f>(AD752*0.6)+(AA752*0.4)</f>
        <v/>
      </c>
      <c r="AF752">
        <f>IF(AE752&gt;=9,"Critical",IF(AE752&gt;=7,"High",IF(AE752&gt;=4,"Medium","Low")))</f>
        <v/>
      </c>
    </row>
    <row r="753">
      <c r="F753" t="n">
        <v>1</v>
      </c>
      <c r="I753">
        <f>IF(D753="","",TODAY()-D753)</f>
        <v/>
      </c>
      <c r="K753">
        <f>IF(J753="v4.0",L753,IF(J753="v3.1",M753,IF(J753="Both",L753,IF(AND(L753&lt;&gt;"",M753=""),L753,M753))))</f>
        <v/>
      </c>
      <c r="U753">
        <f>IF(T753="Tier 1",10,IF(T753="Tier 2",7,IF(T753="Tier 3",4,IF(T753="Tier 4",1,0))))</f>
        <v/>
      </c>
      <c r="W753">
        <f>IF(V753="Restricted",10,IF(V753="Confidential",7,IF(V753="Internal",4,IF(V753="Public",1,0))))</f>
        <v/>
      </c>
      <c r="AA753" s="9">
        <f>(U753*0.4)+(W753*0.3)+(IF(Z753="Critical",10,IF(Z753="High",7,IF(Z753="Medium",4,1)))*0.2)+(IF(Y753="YES",10,0)*0.1)</f>
        <v/>
      </c>
      <c r="AB753" s="9">
        <f>IF(G753="YES",2.0,0)+IF(H753="YES",2.0,0)</f>
        <v/>
      </c>
      <c r="AC753" s="9" t="n">
        <v>0</v>
      </c>
      <c r="AD753" s="9">
        <f>K753+AB753+AC753</f>
        <v/>
      </c>
      <c r="AE753" s="9">
        <f>(AD753*0.6)+(AA753*0.4)</f>
        <v/>
      </c>
      <c r="AF753">
        <f>IF(AE753&gt;=9,"Critical",IF(AE753&gt;=7,"High",IF(AE753&gt;=4,"Medium","Low")))</f>
        <v/>
      </c>
    </row>
    <row r="754">
      <c r="F754" t="n">
        <v>1</v>
      </c>
      <c r="I754">
        <f>IF(D754="","",TODAY()-D754)</f>
        <v/>
      </c>
      <c r="K754">
        <f>IF(J754="v4.0",L754,IF(J754="v3.1",M754,IF(J754="Both",L754,IF(AND(L754&lt;&gt;"",M754=""),L754,M754))))</f>
        <v/>
      </c>
      <c r="U754">
        <f>IF(T754="Tier 1",10,IF(T754="Tier 2",7,IF(T754="Tier 3",4,IF(T754="Tier 4",1,0))))</f>
        <v/>
      </c>
      <c r="W754">
        <f>IF(V754="Restricted",10,IF(V754="Confidential",7,IF(V754="Internal",4,IF(V754="Public",1,0))))</f>
        <v/>
      </c>
      <c r="AA754" s="9">
        <f>(U754*0.4)+(W754*0.3)+(IF(Z754="Critical",10,IF(Z754="High",7,IF(Z754="Medium",4,1)))*0.2)+(IF(Y754="YES",10,0)*0.1)</f>
        <v/>
      </c>
      <c r="AB754" s="9">
        <f>IF(G754="YES",2.0,0)+IF(H754="YES",2.0,0)</f>
        <v/>
      </c>
      <c r="AC754" s="9" t="n">
        <v>0</v>
      </c>
      <c r="AD754" s="9">
        <f>K754+AB754+AC754</f>
        <v/>
      </c>
      <c r="AE754" s="9">
        <f>(AD754*0.6)+(AA754*0.4)</f>
        <v/>
      </c>
      <c r="AF754">
        <f>IF(AE754&gt;=9,"Critical",IF(AE754&gt;=7,"High",IF(AE754&gt;=4,"Medium","Low")))</f>
        <v/>
      </c>
    </row>
    <row r="755">
      <c r="F755" t="n">
        <v>1</v>
      </c>
      <c r="I755">
        <f>IF(D755="","",TODAY()-D755)</f>
        <v/>
      </c>
      <c r="K755">
        <f>IF(J755="v4.0",L755,IF(J755="v3.1",M755,IF(J755="Both",L755,IF(AND(L755&lt;&gt;"",M755=""),L755,M755))))</f>
        <v/>
      </c>
      <c r="U755">
        <f>IF(T755="Tier 1",10,IF(T755="Tier 2",7,IF(T755="Tier 3",4,IF(T755="Tier 4",1,0))))</f>
        <v/>
      </c>
      <c r="W755">
        <f>IF(V755="Restricted",10,IF(V755="Confidential",7,IF(V755="Internal",4,IF(V755="Public",1,0))))</f>
        <v/>
      </c>
      <c r="AA755" s="9">
        <f>(U755*0.4)+(W755*0.3)+(IF(Z755="Critical",10,IF(Z755="High",7,IF(Z755="Medium",4,1)))*0.2)+(IF(Y755="YES",10,0)*0.1)</f>
        <v/>
      </c>
      <c r="AB755" s="9">
        <f>IF(G755="YES",2.0,0)+IF(H755="YES",2.0,0)</f>
        <v/>
      </c>
      <c r="AC755" s="9" t="n">
        <v>0</v>
      </c>
      <c r="AD755" s="9">
        <f>K755+AB755+AC755</f>
        <v/>
      </c>
      <c r="AE755" s="9">
        <f>(AD755*0.6)+(AA755*0.4)</f>
        <v/>
      </c>
      <c r="AF755">
        <f>IF(AE755&gt;=9,"Critical",IF(AE755&gt;=7,"High",IF(AE755&gt;=4,"Medium","Low")))</f>
        <v/>
      </c>
    </row>
    <row r="756">
      <c r="F756" t="n">
        <v>1</v>
      </c>
      <c r="I756">
        <f>IF(D756="","",TODAY()-D756)</f>
        <v/>
      </c>
      <c r="K756">
        <f>IF(J756="v4.0",L756,IF(J756="v3.1",M756,IF(J756="Both",L756,IF(AND(L756&lt;&gt;"",M756=""),L756,M756))))</f>
        <v/>
      </c>
      <c r="U756">
        <f>IF(T756="Tier 1",10,IF(T756="Tier 2",7,IF(T756="Tier 3",4,IF(T756="Tier 4",1,0))))</f>
        <v/>
      </c>
      <c r="W756">
        <f>IF(V756="Restricted",10,IF(V756="Confidential",7,IF(V756="Internal",4,IF(V756="Public",1,0))))</f>
        <v/>
      </c>
      <c r="AA756" s="9">
        <f>(U756*0.4)+(W756*0.3)+(IF(Z756="Critical",10,IF(Z756="High",7,IF(Z756="Medium",4,1)))*0.2)+(IF(Y756="YES",10,0)*0.1)</f>
        <v/>
      </c>
      <c r="AB756" s="9">
        <f>IF(G756="YES",2.0,0)+IF(H756="YES",2.0,0)</f>
        <v/>
      </c>
      <c r="AC756" s="9" t="n">
        <v>0</v>
      </c>
      <c r="AD756" s="9">
        <f>K756+AB756+AC756</f>
        <v/>
      </c>
      <c r="AE756" s="9">
        <f>(AD756*0.6)+(AA756*0.4)</f>
        <v/>
      </c>
      <c r="AF756">
        <f>IF(AE756&gt;=9,"Critical",IF(AE756&gt;=7,"High",IF(AE756&gt;=4,"Medium","Low")))</f>
        <v/>
      </c>
    </row>
    <row r="757">
      <c r="F757" t="n">
        <v>1</v>
      </c>
      <c r="I757">
        <f>IF(D757="","",TODAY()-D757)</f>
        <v/>
      </c>
      <c r="K757">
        <f>IF(J757="v4.0",L757,IF(J757="v3.1",M757,IF(J757="Both",L757,IF(AND(L757&lt;&gt;"",M757=""),L757,M757))))</f>
        <v/>
      </c>
      <c r="U757">
        <f>IF(T757="Tier 1",10,IF(T757="Tier 2",7,IF(T757="Tier 3",4,IF(T757="Tier 4",1,0))))</f>
        <v/>
      </c>
      <c r="W757">
        <f>IF(V757="Restricted",10,IF(V757="Confidential",7,IF(V757="Internal",4,IF(V757="Public",1,0))))</f>
        <v/>
      </c>
      <c r="AA757" s="9">
        <f>(U757*0.4)+(W757*0.3)+(IF(Z757="Critical",10,IF(Z757="High",7,IF(Z757="Medium",4,1)))*0.2)+(IF(Y757="YES",10,0)*0.1)</f>
        <v/>
      </c>
      <c r="AB757" s="9">
        <f>IF(G757="YES",2.0,0)+IF(H757="YES",2.0,0)</f>
        <v/>
      </c>
      <c r="AC757" s="9" t="n">
        <v>0</v>
      </c>
      <c r="AD757" s="9">
        <f>K757+AB757+AC757</f>
        <v/>
      </c>
      <c r="AE757" s="9">
        <f>(AD757*0.6)+(AA757*0.4)</f>
        <v/>
      </c>
      <c r="AF757">
        <f>IF(AE757&gt;=9,"Critical",IF(AE757&gt;=7,"High",IF(AE757&gt;=4,"Medium","Low")))</f>
        <v/>
      </c>
    </row>
    <row r="758">
      <c r="F758" t="n">
        <v>1</v>
      </c>
      <c r="I758">
        <f>IF(D758="","",TODAY()-D758)</f>
        <v/>
      </c>
      <c r="K758">
        <f>IF(J758="v4.0",L758,IF(J758="v3.1",M758,IF(J758="Both",L758,IF(AND(L758&lt;&gt;"",M758=""),L758,M758))))</f>
        <v/>
      </c>
      <c r="U758">
        <f>IF(T758="Tier 1",10,IF(T758="Tier 2",7,IF(T758="Tier 3",4,IF(T758="Tier 4",1,0))))</f>
        <v/>
      </c>
      <c r="W758">
        <f>IF(V758="Restricted",10,IF(V758="Confidential",7,IF(V758="Internal",4,IF(V758="Public",1,0))))</f>
        <v/>
      </c>
      <c r="AA758" s="9">
        <f>(U758*0.4)+(W758*0.3)+(IF(Z758="Critical",10,IF(Z758="High",7,IF(Z758="Medium",4,1)))*0.2)+(IF(Y758="YES",10,0)*0.1)</f>
        <v/>
      </c>
      <c r="AB758" s="9">
        <f>IF(G758="YES",2.0,0)+IF(H758="YES",2.0,0)</f>
        <v/>
      </c>
      <c r="AC758" s="9" t="n">
        <v>0</v>
      </c>
      <c r="AD758" s="9">
        <f>K758+AB758+AC758</f>
        <v/>
      </c>
      <c r="AE758" s="9">
        <f>(AD758*0.6)+(AA758*0.4)</f>
        <v/>
      </c>
      <c r="AF758">
        <f>IF(AE758&gt;=9,"Critical",IF(AE758&gt;=7,"High",IF(AE758&gt;=4,"Medium","Low")))</f>
        <v/>
      </c>
    </row>
    <row r="759">
      <c r="F759" t="n">
        <v>1</v>
      </c>
      <c r="I759">
        <f>IF(D759="","",TODAY()-D759)</f>
        <v/>
      </c>
      <c r="K759">
        <f>IF(J759="v4.0",L759,IF(J759="v3.1",M759,IF(J759="Both",L759,IF(AND(L759&lt;&gt;"",M759=""),L759,M759))))</f>
        <v/>
      </c>
      <c r="U759">
        <f>IF(T759="Tier 1",10,IF(T759="Tier 2",7,IF(T759="Tier 3",4,IF(T759="Tier 4",1,0))))</f>
        <v/>
      </c>
      <c r="W759">
        <f>IF(V759="Restricted",10,IF(V759="Confidential",7,IF(V759="Internal",4,IF(V759="Public",1,0))))</f>
        <v/>
      </c>
      <c r="AA759" s="9">
        <f>(U759*0.4)+(W759*0.3)+(IF(Z759="Critical",10,IF(Z759="High",7,IF(Z759="Medium",4,1)))*0.2)+(IF(Y759="YES",10,0)*0.1)</f>
        <v/>
      </c>
      <c r="AB759" s="9">
        <f>IF(G759="YES",2.0,0)+IF(H759="YES",2.0,0)</f>
        <v/>
      </c>
      <c r="AC759" s="9" t="n">
        <v>0</v>
      </c>
      <c r="AD759" s="9">
        <f>K759+AB759+AC759</f>
        <v/>
      </c>
      <c r="AE759" s="9">
        <f>(AD759*0.6)+(AA759*0.4)</f>
        <v/>
      </c>
      <c r="AF759">
        <f>IF(AE759&gt;=9,"Critical",IF(AE759&gt;=7,"High",IF(AE759&gt;=4,"Medium","Low")))</f>
        <v/>
      </c>
    </row>
    <row r="760">
      <c r="F760" t="n">
        <v>1</v>
      </c>
      <c r="I760">
        <f>IF(D760="","",TODAY()-D760)</f>
        <v/>
      </c>
      <c r="K760">
        <f>IF(J760="v4.0",L760,IF(J760="v3.1",M760,IF(J760="Both",L760,IF(AND(L760&lt;&gt;"",M760=""),L760,M760))))</f>
        <v/>
      </c>
      <c r="U760">
        <f>IF(T760="Tier 1",10,IF(T760="Tier 2",7,IF(T760="Tier 3",4,IF(T760="Tier 4",1,0))))</f>
        <v/>
      </c>
      <c r="W760">
        <f>IF(V760="Restricted",10,IF(V760="Confidential",7,IF(V760="Internal",4,IF(V760="Public",1,0))))</f>
        <v/>
      </c>
      <c r="AA760" s="9">
        <f>(U760*0.4)+(W760*0.3)+(IF(Z760="Critical",10,IF(Z760="High",7,IF(Z760="Medium",4,1)))*0.2)+(IF(Y760="YES",10,0)*0.1)</f>
        <v/>
      </c>
      <c r="AB760" s="9">
        <f>IF(G760="YES",2.0,0)+IF(H760="YES",2.0,0)</f>
        <v/>
      </c>
      <c r="AC760" s="9" t="n">
        <v>0</v>
      </c>
      <c r="AD760" s="9">
        <f>K760+AB760+AC760</f>
        <v/>
      </c>
      <c r="AE760" s="9">
        <f>(AD760*0.6)+(AA760*0.4)</f>
        <v/>
      </c>
      <c r="AF760">
        <f>IF(AE760&gt;=9,"Critical",IF(AE760&gt;=7,"High",IF(AE760&gt;=4,"Medium","Low")))</f>
        <v/>
      </c>
    </row>
    <row r="761">
      <c r="F761" t="n">
        <v>1</v>
      </c>
      <c r="I761">
        <f>IF(D761="","",TODAY()-D761)</f>
        <v/>
      </c>
      <c r="K761">
        <f>IF(J761="v4.0",L761,IF(J761="v3.1",M761,IF(J761="Both",L761,IF(AND(L761&lt;&gt;"",M761=""),L761,M761))))</f>
        <v/>
      </c>
      <c r="U761">
        <f>IF(T761="Tier 1",10,IF(T761="Tier 2",7,IF(T761="Tier 3",4,IF(T761="Tier 4",1,0))))</f>
        <v/>
      </c>
      <c r="W761">
        <f>IF(V761="Restricted",10,IF(V761="Confidential",7,IF(V761="Internal",4,IF(V761="Public",1,0))))</f>
        <v/>
      </c>
      <c r="AA761" s="9">
        <f>(U761*0.4)+(W761*0.3)+(IF(Z761="Critical",10,IF(Z761="High",7,IF(Z761="Medium",4,1)))*0.2)+(IF(Y761="YES",10,0)*0.1)</f>
        <v/>
      </c>
      <c r="AB761" s="9">
        <f>IF(G761="YES",2.0,0)+IF(H761="YES",2.0,0)</f>
        <v/>
      </c>
      <c r="AC761" s="9" t="n">
        <v>0</v>
      </c>
      <c r="AD761" s="9">
        <f>K761+AB761+AC761</f>
        <v/>
      </c>
      <c r="AE761" s="9">
        <f>(AD761*0.6)+(AA761*0.4)</f>
        <v/>
      </c>
      <c r="AF761">
        <f>IF(AE761&gt;=9,"Critical",IF(AE761&gt;=7,"High",IF(AE761&gt;=4,"Medium","Low")))</f>
        <v/>
      </c>
    </row>
    <row r="762">
      <c r="F762" t="n">
        <v>1</v>
      </c>
      <c r="I762">
        <f>IF(D762="","",TODAY()-D762)</f>
        <v/>
      </c>
      <c r="K762">
        <f>IF(J762="v4.0",L762,IF(J762="v3.1",M762,IF(J762="Both",L762,IF(AND(L762&lt;&gt;"",M762=""),L762,M762))))</f>
        <v/>
      </c>
      <c r="U762">
        <f>IF(T762="Tier 1",10,IF(T762="Tier 2",7,IF(T762="Tier 3",4,IF(T762="Tier 4",1,0))))</f>
        <v/>
      </c>
      <c r="W762">
        <f>IF(V762="Restricted",10,IF(V762="Confidential",7,IF(V762="Internal",4,IF(V762="Public",1,0))))</f>
        <v/>
      </c>
      <c r="AA762" s="9">
        <f>(U762*0.4)+(W762*0.3)+(IF(Z762="Critical",10,IF(Z762="High",7,IF(Z762="Medium",4,1)))*0.2)+(IF(Y762="YES",10,0)*0.1)</f>
        <v/>
      </c>
      <c r="AB762" s="9">
        <f>IF(G762="YES",2.0,0)+IF(H762="YES",2.0,0)</f>
        <v/>
      </c>
      <c r="AC762" s="9" t="n">
        <v>0</v>
      </c>
      <c r="AD762" s="9">
        <f>K762+AB762+AC762</f>
        <v/>
      </c>
      <c r="AE762" s="9">
        <f>(AD762*0.6)+(AA762*0.4)</f>
        <v/>
      </c>
      <c r="AF762">
        <f>IF(AE762&gt;=9,"Critical",IF(AE762&gt;=7,"High",IF(AE762&gt;=4,"Medium","Low")))</f>
        <v/>
      </c>
    </row>
    <row r="763">
      <c r="F763" t="n">
        <v>1</v>
      </c>
      <c r="I763">
        <f>IF(D763="","",TODAY()-D763)</f>
        <v/>
      </c>
      <c r="K763">
        <f>IF(J763="v4.0",L763,IF(J763="v3.1",M763,IF(J763="Both",L763,IF(AND(L763&lt;&gt;"",M763=""),L763,M763))))</f>
        <v/>
      </c>
      <c r="U763">
        <f>IF(T763="Tier 1",10,IF(T763="Tier 2",7,IF(T763="Tier 3",4,IF(T763="Tier 4",1,0))))</f>
        <v/>
      </c>
      <c r="W763">
        <f>IF(V763="Restricted",10,IF(V763="Confidential",7,IF(V763="Internal",4,IF(V763="Public",1,0))))</f>
        <v/>
      </c>
      <c r="AA763" s="9">
        <f>(U763*0.4)+(W763*0.3)+(IF(Z763="Critical",10,IF(Z763="High",7,IF(Z763="Medium",4,1)))*0.2)+(IF(Y763="YES",10,0)*0.1)</f>
        <v/>
      </c>
      <c r="AB763" s="9">
        <f>IF(G763="YES",2.0,0)+IF(H763="YES",2.0,0)</f>
        <v/>
      </c>
      <c r="AC763" s="9" t="n">
        <v>0</v>
      </c>
      <c r="AD763" s="9">
        <f>K763+AB763+AC763</f>
        <v/>
      </c>
      <c r="AE763" s="9">
        <f>(AD763*0.6)+(AA763*0.4)</f>
        <v/>
      </c>
      <c r="AF763">
        <f>IF(AE763&gt;=9,"Critical",IF(AE763&gt;=7,"High",IF(AE763&gt;=4,"Medium","Low")))</f>
        <v/>
      </c>
    </row>
    <row r="764">
      <c r="F764" t="n">
        <v>1</v>
      </c>
      <c r="I764">
        <f>IF(D764="","",TODAY()-D764)</f>
        <v/>
      </c>
      <c r="K764">
        <f>IF(J764="v4.0",L764,IF(J764="v3.1",M764,IF(J764="Both",L764,IF(AND(L764&lt;&gt;"",M764=""),L764,M764))))</f>
        <v/>
      </c>
      <c r="U764">
        <f>IF(T764="Tier 1",10,IF(T764="Tier 2",7,IF(T764="Tier 3",4,IF(T764="Tier 4",1,0))))</f>
        <v/>
      </c>
      <c r="W764">
        <f>IF(V764="Restricted",10,IF(V764="Confidential",7,IF(V764="Internal",4,IF(V764="Public",1,0))))</f>
        <v/>
      </c>
      <c r="AA764" s="9">
        <f>(U764*0.4)+(W764*0.3)+(IF(Z764="Critical",10,IF(Z764="High",7,IF(Z764="Medium",4,1)))*0.2)+(IF(Y764="YES",10,0)*0.1)</f>
        <v/>
      </c>
      <c r="AB764" s="9">
        <f>IF(G764="YES",2.0,0)+IF(H764="YES",2.0,0)</f>
        <v/>
      </c>
      <c r="AC764" s="9" t="n">
        <v>0</v>
      </c>
      <c r="AD764" s="9">
        <f>K764+AB764+AC764</f>
        <v/>
      </c>
      <c r="AE764" s="9">
        <f>(AD764*0.6)+(AA764*0.4)</f>
        <v/>
      </c>
      <c r="AF764">
        <f>IF(AE764&gt;=9,"Critical",IF(AE764&gt;=7,"High",IF(AE764&gt;=4,"Medium","Low")))</f>
        <v/>
      </c>
    </row>
    <row r="765">
      <c r="F765" t="n">
        <v>1</v>
      </c>
      <c r="I765">
        <f>IF(D765="","",TODAY()-D765)</f>
        <v/>
      </c>
      <c r="K765">
        <f>IF(J765="v4.0",L765,IF(J765="v3.1",M765,IF(J765="Both",L765,IF(AND(L765&lt;&gt;"",M765=""),L765,M765))))</f>
        <v/>
      </c>
      <c r="U765">
        <f>IF(T765="Tier 1",10,IF(T765="Tier 2",7,IF(T765="Tier 3",4,IF(T765="Tier 4",1,0))))</f>
        <v/>
      </c>
      <c r="W765">
        <f>IF(V765="Restricted",10,IF(V765="Confidential",7,IF(V765="Internal",4,IF(V765="Public",1,0))))</f>
        <v/>
      </c>
      <c r="AA765" s="9">
        <f>(U765*0.4)+(W765*0.3)+(IF(Z765="Critical",10,IF(Z765="High",7,IF(Z765="Medium",4,1)))*0.2)+(IF(Y765="YES",10,0)*0.1)</f>
        <v/>
      </c>
      <c r="AB765" s="9">
        <f>IF(G765="YES",2.0,0)+IF(H765="YES",2.0,0)</f>
        <v/>
      </c>
      <c r="AC765" s="9" t="n">
        <v>0</v>
      </c>
      <c r="AD765" s="9">
        <f>K765+AB765+AC765</f>
        <v/>
      </c>
      <c r="AE765" s="9">
        <f>(AD765*0.6)+(AA765*0.4)</f>
        <v/>
      </c>
      <c r="AF765">
        <f>IF(AE765&gt;=9,"Critical",IF(AE765&gt;=7,"High",IF(AE765&gt;=4,"Medium","Low")))</f>
        <v/>
      </c>
    </row>
    <row r="766">
      <c r="F766" t="n">
        <v>1</v>
      </c>
      <c r="I766">
        <f>IF(D766="","",TODAY()-D766)</f>
        <v/>
      </c>
      <c r="K766">
        <f>IF(J766="v4.0",L766,IF(J766="v3.1",M766,IF(J766="Both",L766,IF(AND(L766&lt;&gt;"",M766=""),L766,M766))))</f>
        <v/>
      </c>
      <c r="U766">
        <f>IF(T766="Tier 1",10,IF(T766="Tier 2",7,IF(T766="Tier 3",4,IF(T766="Tier 4",1,0))))</f>
        <v/>
      </c>
      <c r="W766">
        <f>IF(V766="Restricted",10,IF(V766="Confidential",7,IF(V766="Internal",4,IF(V766="Public",1,0))))</f>
        <v/>
      </c>
      <c r="AA766" s="9">
        <f>(U766*0.4)+(W766*0.3)+(IF(Z766="Critical",10,IF(Z766="High",7,IF(Z766="Medium",4,1)))*0.2)+(IF(Y766="YES",10,0)*0.1)</f>
        <v/>
      </c>
      <c r="AB766" s="9">
        <f>IF(G766="YES",2.0,0)+IF(H766="YES",2.0,0)</f>
        <v/>
      </c>
      <c r="AC766" s="9" t="n">
        <v>0</v>
      </c>
      <c r="AD766" s="9">
        <f>K766+AB766+AC766</f>
        <v/>
      </c>
      <c r="AE766" s="9">
        <f>(AD766*0.6)+(AA766*0.4)</f>
        <v/>
      </c>
      <c r="AF766">
        <f>IF(AE766&gt;=9,"Critical",IF(AE766&gt;=7,"High",IF(AE766&gt;=4,"Medium","Low")))</f>
        <v/>
      </c>
    </row>
    <row r="767">
      <c r="F767" t="n">
        <v>1</v>
      </c>
      <c r="I767">
        <f>IF(D767="","",TODAY()-D767)</f>
        <v/>
      </c>
      <c r="K767">
        <f>IF(J767="v4.0",L767,IF(J767="v3.1",M767,IF(J767="Both",L767,IF(AND(L767&lt;&gt;"",M767=""),L767,M767))))</f>
        <v/>
      </c>
      <c r="U767">
        <f>IF(T767="Tier 1",10,IF(T767="Tier 2",7,IF(T767="Tier 3",4,IF(T767="Tier 4",1,0))))</f>
        <v/>
      </c>
      <c r="W767">
        <f>IF(V767="Restricted",10,IF(V767="Confidential",7,IF(V767="Internal",4,IF(V767="Public",1,0))))</f>
        <v/>
      </c>
      <c r="AA767" s="9">
        <f>(U767*0.4)+(W767*0.3)+(IF(Z767="Critical",10,IF(Z767="High",7,IF(Z767="Medium",4,1)))*0.2)+(IF(Y767="YES",10,0)*0.1)</f>
        <v/>
      </c>
      <c r="AB767" s="9">
        <f>IF(G767="YES",2.0,0)+IF(H767="YES",2.0,0)</f>
        <v/>
      </c>
      <c r="AC767" s="9" t="n">
        <v>0</v>
      </c>
      <c r="AD767" s="9">
        <f>K767+AB767+AC767</f>
        <v/>
      </c>
      <c r="AE767" s="9">
        <f>(AD767*0.6)+(AA767*0.4)</f>
        <v/>
      </c>
      <c r="AF767">
        <f>IF(AE767&gt;=9,"Critical",IF(AE767&gt;=7,"High",IF(AE767&gt;=4,"Medium","Low")))</f>
        <v/>
      </c>
    </row>
    <row r="768">
      <c r="F768" t="n">
        <v>1</v>
      </c>
      <c r="I768">
        <f>IF(D768="","",TODAY()-D768)</f>
        <v/>
      </c>
      <c r="K768">
        <f>IF(J768="v4.0",L768,IF(J768="v3.1",M768,IF(J768="Both",L768,IF(AND(L768&lt;&gt;"",M768=""),L768,M768))))</f>
        <v/>
      </c>
      <c r="U768">
        <f>IF(T768="Tier 1",10,IF(T768="Tier 2",7,IF(T768="Tier 3",4,IF(T768="Tier 4",1,0))))</f>
        <v/>
      </c>
      <c r="W768">
        <f>IF(V768="Restricted",10,IF(V768="Confidential",7,IF(V768="Internal",4,IF(V768="Public",1,0))))</f>
        <v/>
      </c>
      <c r="AA768" s="9">
        <f>(U768*0.4)+(W768*0.3)+(IF(Z768="Critical",10,IF(Z768="High",7,IF(Z768="Medium",4,1)))*0.2)+(IF(Y768="YES",10,0)*0.1)</f>
        <v/>
      </c>
      <c r="AB768" s="9">
        <f>IF(G768="YES",2.0,0)+IF(H768="YES",2.0,0)</f>
        <v/>
      </c>
      <c r="AC768" s="9" t="n">
        <v>0</v>
      </c>
      <c r="AD768" s="9">
        <f>K768+AB768+AC768</f>
        <v/>
      </c>
      <c r="AE768" s="9">
        <f>(AD768*0.6)+(AA768*0.4)</f>
        <v/>
      </c>
      <c r="AF768">
        <f>IF(AE768&gt;=9,"Critical",IF(AE768&gt;=7,"High",IF(AE768&gt;=4,"Medium","Low")))</f>
        <v/>
      </c>
    </row>
    <row r="769">
      <c r="F769" t="n">
        <v>1</v>
      </c>
      <c r="I769">
        <f>IF(D769="","",TODAY()-D769)</f>
        <v/>
      </c>
      <c r="K769">
        <f>IF(J769="v4.0",L769,IF(J769="v3.1",M769,IF(J769="Both",L769,IF(AND(L769&lt;&gt;"",M769=""),L769,M769))))</f>
        <v/>
      </c>
      <c r="U769">
        <f>IF(T769="Tier 1",10,IF(T769="Tier 2",7,IF(T769="Tier 3",4,IF(T769="Tier 4",1,0))))</f>
        <v/>
      </c>
      <c r="W769">
        <f>IF(V769="Restricted",10,IF(V769="Confidential",7,IF(V769="Internal",4,IF(V769="Public",1,0))))</f>
        <v/>
      </c>
      <c r="AA769" s="9">
        <f>(U769*0.4)+(W769*0.3)+(IF(Z769="Critical",10,IF(Z769="High",7,IF(Z769="Medium",4,1)))*0.2)+(IF(Y769="YES",10,0)*0.1)</f>
        <v/>
      </c>
      <c r="AB769" s="9">
        <f>IF(G769="YES",2.0,0)+IF(H769="YES",2.0,0)</f>
        <v/>
      </c>
      <c r="AC769" s="9" t="n">
        <v>0</v>
      </c>
      <c r="AD769" s="9">
        <f>K769+AB769+AC769</f>
        <v/>
      </c>
      <c r="AE769" s="9">
        <f>(AD769*0.6)+(AA769*0.4)</f>
        <v/>
      </c>
      <c r="AF769">
        <f>IF(AE769&gt;=9,"Critical",IF(AE769&gt;=7,"High",IF(AE769&gt;=4,"Medium","Low")))</f>
        <v/>
      </c>
    </row>
    <row r="770">
      <c r="F770" t="n">
        <v>1</v>
      </c>
      <c r="I770">
        <f>IF(D770="","",TODAY()-D770)</f>
        <v/>
      </c>
      <c r="K770">
        <f>IF(J770="v4.0",L770,IF(J770="v3.1",M770,IF(J770="Both",L770,IF(AND(L770&lt;&gt;"",M770=""),L770,M770))))</f>
        <v/>
      </c>
      <c r="U770">
        <f>IF(T770="Tier 1",10,IF(T770="Tier 2",7,IF(T770="Tier 3",4,IF(T770="Tier 4",1,0))))</f>
        <v/>
      </c>
      <c r="W770">
        <f>IF(V770="Restricted",10,IF(V770="Confidential",7,IF(V770="Internal",4,IF(V770="Public",1,0))))</f>
        <v/>
      </c>
      <c r="AA770" s="9">
        <f>(U770*0.4)+(W770*0.3)+(IF(Z770="Critical",10,IF(Z770="High",7,IF(Z770="Medium",4,1)))*0.2)+(IF(Y770="YES",10,0)*0.1)</f>
        <v/>
      </c>
      <c r="AB770" s="9">
        <f>IF(G770="YES",2.0,0)+IF(H770="YES",2.0,0)</f>
        <v/>
      </c>
      <c r="AC770" s="9" t="n">
        <v>0</v>
      </c>
      <c r="AD770" s="9">
        <f>K770+AB770+AC770</f>
        <v/>
      </c>
      <c r="AE770" s="9">
        <f>(AD770*0.6)+(AA770*0.4)</f>
        <v/>
      </c>
      <c r="AF770">
        <f>IF(AE770&gt;=9,"Critical",IF(AE770&gt;=7,"High",IF(AE770&gt;=4,"Medium","Low")))</f>
        <v/>
      </c>
    </row>
    <row r="771">
      <c r="F771" t="n">
        <v>1</v>
      </c>
      <c r="I771">
        <f>IF(D771="","",TODAY()-D771)</f>
        <v/>
      </c>
      <c r="K771">
        <f>IF(J771="v4.0",L771,IF(J771="v3.1",M771,IF(J771="Both",L771,IF(AND(L771&lt;&gt;"",M771=""),L771,M771))))</f>
        <v/>
      </c>
      <c r="U771">
        <f>IF(T771="Tier 1",10,IF(T771="Tier 2",7,IF(T771="Tier 3",4,IF(T771="Tier 4",1,0))))</f>
        <v/>
      </c>
      <c r="W771">
        <f>IF(V771="Restricted",10,IF(V771="Confidential",7,IF(V771="Internal",4,IF(V771="Public",1,0))))</f>
        <v/>
      </c>
      <c r="AA771" s="9">
        <f>(U771*0.4)+(W771*0.3)+(IF(Z771="Critical",10,IF(Z771="High",7,IF(Z771="Medium",4,1)))*0.2)+(IF(Y771="YES",10,0)*0.1)</f>
        <v/>
      </c>
      <c r="AB771" s="9">
        <f>IF(G771="YES",2.0,0)+IF(H771="YES",2.0,0)</f>
        <v/>
      </c>
      <c r="AC771" s="9" t="n">
        <v>0</v>
      </c>
      <c r="AD771" s="9">
        <f>K771+AB771+AC771</f>
        <v/>
      </c>
      <c r="AE771" s="9">
        <f>(AD771*0.6)+(AA771*0.4)</f>
        <v/>
      </c>
      <c r="AF771">
        <f>IF(AE771&gt;=9,"Critical",IF(AE771&gt;=7,"High",IF(AE771&gt;=4,"Medium","Low")))</f>
        <v/>
      </c>
    </row>
    <row r="772">
      <c r="F772" t="n">
        <v>1</v>
      </c>
      <c r="I772">
        <f>IF(D772="","",TODAY()-D772)</f>
        <v/>
      </c>
      <c r="K772">
        <f>IF(J772="v4.0",L772,IF(J772="v3.1",M772,IF(J772="Both",L772,IF(AND(L772&lt;&gt;"",M772=""),L772,M772))))</f>
        <v/>
      </c>
      <c r="U772">
        <f>IF(T772="Tier 1",10,IF(T772="Tier 2",7,IF(T772="Tier 3",4,IF(T772="Tier 4",1,0))))</f>
        <v/>
      </c>
      <c r="W772">
        <f>IF(V772="Restricted",10,IF(V772="Confidential",7,IF(V772="Internal",4,IF(V772="Public",1,0))))</f>
        <v/>
      </c>
      <c r="AA772" s="9">
        <f>(U772*0.4)+(W772*0.3)+(IF(Z772="Critical",10,IF(Z772="High",7,IF(Z772="Medium",4,1)))*0.2)+(IF(Y772="YES",10,0)*0.1)</f>
        <v/>
      </c>
      <c r="AB772" s="9">
        <f>IF(G772="YES",2.0,0)+IF(H772="YES",2.0,0)</f>
        <v/>
      </c>
      <c r="AC772" s="9" t="n">
        <v>0</v>
      </c>
      <c r="AD772" s="9">
        <f>K772+AB772+AC772</f>
        <v/>
      </c>
      <c r="AE772" s="9">
        <f>(AD772*0.6)+(AA772*0.4)</f>
        <v/>
      </c>
      <c r="AF772">
        <f>IF(AE772&gt;=9,"Critical",IF(AE772&gt;=7,"High",IF(AE772&gt;=4,"Medium","Low")))</f>
        <v/>
      </c>
    </row>
    <row r="773">
      <c r="F773" t="n">
        <v>1</v>
      </c>
      <c r="I773">
        <f>IF(D773="","",TODAY()-D773)</f>
        <v/>
      </c>
      <c r="K773">
        <f>IF(J773="v4.0",L773,IF(J773="v3.1",M773,IF(J773="Both",L773,IF(AND(L773&lt;&gt;"",M773=""),L773,M773))))</f>
        <v/>
      </c>
      <c r="U773">
        <f>IF(T773="Tier 1",10,IF(T773="Tier 2",7,IF(T773="Tier 3",4,IF(T773="Tier 4",1,0))))</f>
        <v/>
      </c>
      <c r="W773">
        <f>IF(V773="Restricted",10,IF(V773="Confidential",7,IF(V773="Internal",4,IF(V773="Public",1,0))))</f>
        <v/>
      </c>
      <c r="AA773" s="9">
        <f>(U773*0.4)+(W773*0.3)+(IF(Z773="Critical",10,IF(Z773="High",7,IF(Z773="Medium",4,1)))*0.2)+(IF(Y773="YES",10,0)*0.1)</f>
        <v/>
      </c>
      <c r="AB773" s="9">
        <f>IF(G773="YES",2.0,0)+IF(H773="YES",2.0,0)</f>
        <v/>
      </c>
      <c r="AC773" s="9" t="n">
        <v>0</v>
      </c>
      <c r="AD773" s="9">
        <f>K773+AB773+AC773</f>
        <v/>
      </c>
      <c r="AE773" s="9">
        <f>(AD773*0.6)+(AA773*0.4)</f>
        <v/>
      </c>
      <c r="AF773">
        <f>IF(AE773&gt;=9,"Critical",IF(AE773&gt;=7,"High",IF(AE773&gt;=4,"Medium","Low")))</f>
        <v/>
      </c>
    </row>
    <row r="774">
      <c r="F774" t="n">
        <v>1</v>
      </c>
      <c r="I774">
        <f>IF(D774="","",TODAY()-D774)</f>
        <v/>
      </c>
      <c r="K774">
        <f>IF(J774="v4.0",L774,IF(J774="v3.1",M774,IF(J774="Both",L774,IF(AND(L774&lt;&gt;"",M774=""),L774,M774))))</f>
        <v/>
      </c>
      <c r="U774">
        <f>IF(T774="Tier 1",10,IF(T774="Tier 2",7,IF(T774="Tier 3",4,IF(T774="Tier 4",1,0))))</f>
        <v/>
      </c>
      <c r="W774">
        <f>IF(V774="Restricted",10,IF(V774="Confidential",7,IF(V774="Internal",4,IF(V774="Public",1,0))))</f>
        <v/>
      </c>
      <c r="AA774" s="9">
        <f>(U774*0.4)+(W774*0.3)+(IF(Z774="Critical",10,IF(Z774="High",7,IF(Z774="Medium",4,1)))*0.2)+(IF(Y774="YES",10,0)*0.1)</f>
        <v/>
      </c>
      <c r="AB774" s="9">
        <f>IF(G774="YES",2.0,0)+IF(H774="YES",2.0,0)</f>
        <v/>
      </c>
      <c r="AC774" s="9" t="n">
        <v>0</v>
      </c>
      <c r="AD774" s="9">
        <f>K774+AB774+AC774</f>
        <v/>
      </c>
      <c r="AE774" s="9">
        <f>(AD774*0.6)+(AA774*0.4)</f>
        <v/>
      </c>
      <c r="AF774">
        <f>IF(AE774&gt;=9,"Critical",IF(AE774&gt;=7,"High",IF(AE774&gt;=4,"Medium","Low")))</f>
        <v/>
      </c>
    </row>
    <row r="775">
      <c r="F775" t="n">
        <v>1</v>
      </c>
      <c r="I775">
        <f>IF(D775="","",TODAY()-D775)</f>
        <v/>
      </c>
      <c r="K775">
        <f>IF(J775="v4.0",L775,IF(J775="v3.1",M775,IF(J775="Both",L775,IF(AND(L775&lt;&gt;"",M775=""),L775,M775))))</f>
        <v/>
      </c>
      <c r="U775">
        <f>IF(T775="Tier 1",10,IF(T775="Tier 2",7,IF(T775="Tier 3",4,IF(T775="Tier 4",1,0))))</f>
        <v/>
      </c>
      <c r="W775">
        <f>IF(V775="Restricted",10,IF(V775="Confidential",7,IF(V775="Internal",4,IF(V775="Public",1,0))))</f>
        <v/>
      </c>
      <c r="AA775" s="9">
        <f>(U775*0.4)+(W775*0.3)+(IF(Z775="Critical",10,IF(Z775="High",7,IF(Z775="Medium",4,1)))*0.2)+(IF(Y775="YES",10,0)*0.1)</f>
        <v/>
      </c>
      <c r="AB775" s="9">
        <f>IF(G775="YES",2.0,0)+IF(H775="YES",2.0,0)</f>
        <v/>
      </c>
      <c r="AC775" s="9" t="n">
        <v>0</v>
      </c>
      <c r="AD775" s="9">
        <f>K775+AB775+AC775</f>
        <v/>
      </c>
      <c r="AE775" s="9">
        <f>(AD775*0.6)+(AA775*0.4)</f>
        <v/>
      </c>
      <c r="AF775">
        <f>IF(AE775&gt;=9,"Critical",IF(AE775&gt;=7,"High",IF(AE775&gt;=4,"Medium","Low")))</f>
        <v/>
      </c>
    </row>
    <row r="776">
      <c r="F776" t="n">
        <v>1</v>
      </c>
      <c r="I776">
        <f>IF(D776="","",TODAY()-D776)</f>
        <v/>
      </c>
      <c r="K776">
        <f>IF(J776="v4.0",L776,IF(J776="v3.1",M776,IF(J776="Both",L776,IF(AND(L776&lt;&gt;"",M776=""),L776,M776))))</f>
        <v/>
      </c>
      <c r="U776">
        <f>IF(T776="Tier 1",10,IF(T776="Tier 2",7,IF(T776="Tier 3",4,IF(T776="Tier 4",1,0))))</f>
        <v/>
      </c>
      <c r="W776">
        <f>IF(V776="Restricted",10,IF(V776="Confidential",7,IF(V776="Internal",4,IF(V776="Public",1,0))))</f>
        <v/>
      </c>
      <c r="AA776" s="9">
        <f>(U776*0.4)+(W776*0.3)+(IF(Z776="Critical",10,IF(Z776="High",7,IF(Z776="Medium",4,1)))*0.2)+(IF(Y776="YES",10,0)*0.1)</f>
        <v/>
      </c>
      <c r="AB776" s="9">
        <f>IF(G776="YES",2.0,0)+IF(H776="YES",2.0,0)</f>
        <v/>
      </c>
      <c r="AC776" s="9" t="n">
        <v>0</v>
      </c>
      <c r="AD776" s="9">
        <f>K776+AB776+AC776</f>
        <v/>
      </c>
      <c r="AE776" s="9">
        <f>(AD776*0.6)+(AA776*0.4)</f>
        <v/>
      </c>
      <c r="AF776">
        <f>IF(AE776&gt;=9,"Critical",IF(AE776&gt;=7,"High",IF(AE776&gt;=4,"Medium","Low")))</f>
        <v/>
      </c>
    </row>
    <row r="777">
      <c r="F777" t="n">
        <v>1</v>
      </c>
      <c r="I777">
        <f>IF(D777="","",TODAY()-D777)</f>
        <v/>
      </c>
      <c r="K777">
        <f>IF(J777="v4.0",L777,IF(J777="v3.1",M777,IF(J777="Both",L777,IF(AND(L777&lt;&gt;"",M777=""),L777,M777))))</f>
        <v/>
      </c>
      <c r="U777">
        <f>IF(T777="Tier 1",10,IF(T777="Tier 2",7,IF(T777="Tier 3",4,IF(T777="Tier 4",1,0))))</f>
        <v/>
      </c>
      <c r="W777">
        <f>IF(V777="Restricted",10,IF(V777="Confidential",7,IF(V777="Internal",4,IF(V777="Public",1,0))))</f>
        <v/>
      </c>
      <c r="AA777" s="9">
        <f>(U777*0.4)+(W777*0.3)+(IF(Z777="Critical",10,IF(Z777="High",7,IF(Z777="Medium",4,1)))*0.2)+(IF(Y777="YES",10,0)*0.1)</f>
        <v/>
      </c>
      <c r="AB777" s="9">
        <f>IF(G777="YES",2.0,0)+IF(H777="YES",2.0,0)</f>
        <v/>
      </c>
      <c r="AC777" s="9" t="n">
        <v>0</v>
      </c>
      <c r="AD777" s="9">
        <f>K777+AB777+AC777</f>
        <v/>
      </c>
      <c r="AE777" s="9">
        <f>(AD777*0.6)+(AA777*0.4)</f>
        <v/>
      </c>
      <c r="AF777">
        <f>IF(AE777&gt;=9,"Critical",IF(AE777&gt;=7,"High",IF(AE777&gt;=4,"Medium","Low")))</f>
        <v/>
      </c>
    </row>
    <row r="778">
      <c r="F778" t="n">
        <v>1</v>
      </c>
      <c r="I778">
        <f>IF(D778="","",TODAY()-D778)</f>
        <v/>
      </c>
      <c r="K778">
        <f>IF(J778="v4.0",L778,IF(J778="v3.1",M778,IF(J778="Both",L778,IF(AND(L778&lt;&gt;"",M778=""),L778,M778))))</f>
        <v/>
      </c>
      <c r="U778">
        <f>IF(T778="Tier 1",10,IF(T778="Tier 2",7,IF(T778="Tier 3",4,IF(T778="Tier 4",1,0))))</f>
        <v/>
      </c>
      <c r="W778">
        <f>IF(V778="Restricted",10,IF(V778="Confidential",7,IF(V778="Internal",4,IF(V778="Public",1,0))))</f>
        <v/>
      </c>
      <c r="AA778" s="9">
        <f>(U778*0.4)+(W778*0.3)+(IF(Z778="Critical",10,IF(Z778="High",7,IF(Z778="Medium",4,1)))*0.2)+(IF(Y778="YES",10,0)*0.1)</f>
        <v/>
      </c>
      <c r="AB778" s="9">
        <f>IF(G778="YES",2.0,0)+IF(H778="YES",2.0,0)</f>
        <v/>
      </c>
      <c r="AC778" s="9" t="n">
        <v>0</v>
      </c>
      <c r="AD778" s="9">
        <f>K778+AB778+AC778</f>
        <v/>
      </c>
      <c r="AE778" s="9">
        <f>(AD778*0.6)+(AA778*0.4)</f>
        <v/>
      </c>
      <c r="AF778">
        <f>IF(AE778&gt;=9,"Critical",IF(AE778&gt;=7,"High",IF(AE778&gt;=4,"Medium","Low")))</f>
        <v/>
      </c>
    </row>
    <row r="779">
      <c r="F779" t="n">
        <v>1</v>
      </c>
      <c r="I779">
        <f>IF(D779="","",TODAY()-D779)</f>
        <v/>
      </c>
      <c r="K779">
        <f>IF(J779="v4.0",L779,IF(J779="v3.1",M779,IF(J779="Both",L779,IF(AND(L779&lt;&gt;"",M779=""),L779,M779))))</f>
        <v/>
      </c>
      <c r="U779">
        <f>IF(T779="Tier 1",10,IF(T779="Tier 2",7,IF(T779="Tier 3",4,IF(T779="Tier 4",1,0))))</f>
        <v/>
      </c>
      <c r="W779">
        <f>IF(V779="Restricted",10,IF(V779="Confidential",7,IF(V779="Internal",4,IF(V779="Public",1,0))))</f>
        <v/>
      </c>
      <c r="AA779" s="9">
        <f>(U779*0.4)+(W779*0.3)+(IF(Z779="Critical",10,IF(Z779="High",7,IF(Z779="Medium",4,1)))*0.2)+(IF(Y779="YES",10,0)*0.1)</f>
        <v/>
      </c>
      <c r="AB779" s="9">
        <f>IF(G779="YES",2.0,0)+IF(H779="YES",2.0,0)</f>
        <v/>
      </c>
      <c r="AC779" s="9" t="n">
        <v>0</v>
      </c>
      <c r="AD779" s="9">
        <f>K779+AB779+AC779</f>
        <v/>
      </c>
      <c r="AE779" s="9">
        <f>(AD779*0.6)+(AA779*0.4)</f>
        <v/>
      </c>
      <c r="AF779">
        <f>IF(AE779&gt;=9,"Critical",IF(AE779&gt;=7,"High",IF(AE779&gt;=4,"Medium","Low")))</f>
        <v/>
      </c>
    </row>
    <row r="780">
      <c r="F780" t="n">
        <v>1</v>
      </c>
      <c r="I780">
        <f>IF(D780="","",TODAY()-D780)</f>
        <v/>
      </c>
      <c r="K780">
        <f>IF(J780="v4.0",L780,IF(J780="v3.1",M780,IF(J780="Both",L780,IF(AND(L780&lt;&gt;"",M780=""),L780,M780))))</f>
        <v/>
      </c>
      <c r="U780">
        <f>IF(T780="Tier 1",10,IF(T780="Tier 2",7,IF(T780="Tier 3",4,IF(T780="Tier 4",1,0))))</f>
        <v/>
      </c>
      <c r="W780">
        <f>IF(V780="Restricted",10,IF(V780="Confidential",7,IF(V780="Internal",4,IF(V780="Public",1,0))))</f>
        <v/>
      </c>
      <c r="AA780" s="9">
        <f>(U780*0.4)+(W780*0.3)+(IF(Z780="Critical",10,IF(Z780="High",7,IF(Z780="Medium",4,1)))*0.2)+(IF(Y780="YES",10,0)*0.1)</f>
        <v/>
      </c>
      <c r="AB780" s="9">
        <f>IF(G780="YES",2.0,0)+IF(H780="YES",2.0,0)</f>
        <v/>
      </c>
      <c r="AC780" s="9" t="n">
        <v>0</v>
      </c>
      <c r="AD780" s="9">
        <f>K780+AB780+AC780</f>
        <v/>
      </c>
      <c r="AE780" s="9">
        <f>(AD780*0.6)+(AA780*0.4)</f>
        <v/>
      </c>
      <c r="AF780">
        <f>IF(AE780&gt;=9,"Critical",IF(AE780&gt;=7,"High",IF(AE780&gt;=4,"Medium","Low")))</f>
        <v/>
      </c>
    </row>
    <row r="781">
      <c r="F781" t="n">
        <v>1</v>
      </c>
      <c r="I781">
        <f>IF(D781="","",TODAY()-D781)</f>
        <v/>
      </c>
      <c r="K781">
        <f>IF(J781="v4.0",L781,IF(J781="v3.1",M781,IF(J781="Both",L781,IF(AND(L781&lt;&gt;"",M781=""),L781,M781))))</f>
        <v/>
      </c>
      <c r="U781">
        <f>IF(T781="Tier 1",10,IF(T781="Tier 2",7,IF(T781="Tier 3",4,IF(T781="Tier 4",1,0))))</f>
        <v/>
      </c>
      <c r="W781">
        <f>IF(V781="Restricted",10,IF(V781="Confidential",7,IF(V781="Internal",4,IF(V781="Public",1,0))))</f>
        <v/>
      </c>
      <c r="AA781" s="9">
        <f>(U781*0.4)+(W781*0.3)+(IF(Z781="Critical",10,IF(Z781="High",7,IF(Z781="Medium",4,1)))*0.2)+(IF(Y781="YES",10,0)*0.1)</f>
        <v/>
      </c>
      <c r="AB781" s="9">
        <f>IF(G781="YES",2.0,0)+IF(H781="YES",2.0,0)</f>
        <v/>
      </c>
      <c r="AC781" s="9" t="n">
        <v>0</v>
      </c>
      <c r="AD781" s="9">
        <f>K781+AB781+AC781</f>
        <v/>
      </c>
      <c r="AE781" s="9">
        <f>(AD781*0.6)+(AA781*0.4)</f>
        <v/>
      </c>
      <c r="AF781">
        <f>IF(AE781&gt;=9,"Critical",IF(AE781&gt;=7,"High",IF(AE781&gt;=4,"Medium","Low")))</f>
        <v/>
      </c>
    </row>
    <row r="782">
      <c r="F782" t="n">
        <v>1</v>
      </c>
      <c r="I782">
        <f>IF(D782="","",TODAY()-D782)</f>
        <v/>
      </c>
      <c r="K782">
        <f>IF(J782="v4.0",L782,IF(J782="v3.1",M782,IF(J782="Both",L782,IF(AND(L782&lt;&gt;"",M782=""),L782,M782))))</f>
        <v/>
      </c>
      <c r="U782">
        <f>IF(T782="Tier 1",10,IF(T782="Tier 2",7,IF(T782="Tier 3",4,IF(T782="Tier 4",1,0))))</f>
        <v/>
      </c>
      <c r="W782">
        <f>IF(V782="Restricted",10,IF(V782="Confidential",7,IF(V782="Internal",4,IF(V782="Public",1,0))))</f>
        <v/>
      </c>
      <c r="AA782" s="9">
        <f>(U782*0.4)+(W782*0.3)+(IF(Z782="Critical",10,IF(Z782="High",7,IF(Z782="Medium",4,1)))*0.2)+(IF(Y782="YES",10,0)*0.1)</f>
        <v/>
      </c>
      <c r="AB782" s="9">
        <f>IF(G782="YES",2.0,0)+IF(H782="YES",2.0,0)</f>
        <v/>
      </c>
      <c r="AC782" s="9" t="n">
        <v>0</v>
      </c>
      <c r="AD782" s="9">
        <f>K782+AB782+AC782</f>
        <v/>
      </c>
      <c r="AE782" s="9">
        <f>(AD782*0.6)+(AA782*0.4)</f>
        <v/>
      </c>
      <c r="AF782">
        <f>IF(AE782&gt;=9,"Critical",IF(AE782&gt;=7,"High",IF(AE782&gt;=4,"Medium","Low")))</f>
        <v/>
      </c>
    </row>
    <row r="783">
      <c r="F783" t="n">
        <v>1</v>
      </c>
      <c r="I783">
        <f>IF(D783="","",TODAY()-D783)</f>
        <v/>
      </c>
      <c r="K783">
        <f>IF(J783="v4.0",L783,IF(J783="v3.1",M783,IF(J783="Both",L783,IF(AND(L783&lt;&gt;"",M783=""),L783,M783))))</f>
        <v/>
      </c>
      <c r="U783">
        <f>IF(T783="Tier 1",10,IF(T783="Tier 2",7,IF(T783="Tier 3",4,IF(T783="Tier 4",1,0))))</f>
        <v/>
      </c>
      <c r="W783">
        <f>IF(V783="Restricted",10,IF(V783="Confidential",7,IF(V783="Internal",4,IF(V783="Public",1,0))))</f>
        <v/>
      </c>
      <c r="AA783" s="9">
        <f>(U783*0.4)+(W783*0.3)+(IF(Z783="Critical",10,IF(Z783="High",7,IF(Z783="Medium",4,1)))*0.2)+(IF(Y783="YES",10,0)*0.1)</f>
        <v/>
      </c>
      <c r="AB783" s="9">
        <f>IF(G783="YES",2.0,0)+IF(H783="YES",2.0,0)</f>
        <v/>
      </c>
      <c r="AC783" s="9" t="n">
        <v>0</v>
      </c>
      <c r="AD783" s="9">
        <f>K783+AB783+AC783</f>
        <v/>
      </c>
      <c r="AE783" s="9">
        <f>(AD783*0.6)+(AA783*0.4)</f>
        <v/>
      </c>
      <c r="AF783">
        <f>IF(AE783&gt;=9,"Critical",IF(AE783&gt;=7,"High",IF(AE783&gt;=4,"Medium","Low")))</f>
        <v/>
      </c>
    </row>
    <row r="784">
      <c r="F784" t="n">
        <v>1</v>
      </c>
      <c r="I784">
        <f>IF(D784="","",TODAY()-D784)</f>
        <v/>
      </c>
      <c r="K784">
        <f>IF(J784="v4.0",L784,IF(J784="v3.1",M784,IF(J784="Both",L784,IF(AND(L784&lt;&gt;"",M784=""),L784,M784))))</f>
        <v/>
      </c>
      <c r="U784">
        <f>IF(T784="Tier 1",10,IF(T784="Tier 2",7,IF(T784="Tier 3",4,IF(T784="Tier 4",1,0))))</f>
        <v/>
      </c>
      <c r="W784">
        <f>IF(V784="Restricted",10,IF(V784="Confidential",7,IF(V784="Internal",4,IF(V784="Public",1,0))))</f>
        <v/>
      </c>
      <c r="AA784" s="9">
        <f>(U784*0.4)+(W784*0.3)+(IF(Z784="Critical",10,IF(Z784="High",7,IF(Z784="Medium",4,1)))*0.2)+(IF(Y784="YES",10,0)*0.1)</f>
        <v/>
      </c>
      <c r="AB784" s="9">
        <f>IF(G784="YES",2.0,0)+IF(H784="YES",2.0,0)</f>
        <v/>
      </c>
      <c r="AC784" s="9" t="n">
        <v>0</v>
      </c>
      <c r="AD784" s="9">
        <f>K784+AB784+AC784</f>
        <v/>
      </c>
      <c r="AE784" s="9">
        <f>(AD784*0.6)+(AA784*0.4)</f>
        <v/>
      </c>
      <c r="AF784">
        <f>IF(AE784&gt;=9,"Critical",IF(AE784&gt;=7,"High",IF(AE784&gt;=4,"Medium","Low")))</f>
        <v/>
      </c>
    </row>
    <row r="785">
      <c r="F785" t="n">
        <v>1</v>
      </c>
      <c r="I785">
        <f>IF(D785="","",TODAY()-D785)</f>
        <v/>
      </c>
      <c r="K785">
        <f>IF(J785="v4.0",L785,IF(J785="v3.1",M785,IF(J785="Both",L785,IF(AND(L785&lt;&gt;"",M785=""),L785,M785))))</f>
        <v/>
      </c>
      <c r="U785">
        <f>IF(T785="Tier 1",10,IF(T785="Tier 2",7,IF(T785="Tier 3",4,IF(T785="Tier 4",1,0))))</f>
        <v/>
      </c>
      <c r="W785">
        <f>IF(V785="Restricted",10,IF(V785="Confidential",7,IF(V785="Internal",4,IF(V785="Public",1,0))))</f>
        <v/>
      </c>
      <c r="AA785" s="9">
        <f>(U785*0.4)+(W785*0.3)+(IF(Z785="Critical",10,IF(Z785="High",7,IF(Z785="Medium",4,1)))*0.2)+(IF(Y785="YES",10,0)*0.1)</f>
        <v/>
      </c>
      <c r="AB785" s="9">
        <f>IF(G785="YES",2.0,0)+IF(H785="YES",2.0,0)</f>
        <v/>
      </c>
      <c r="AC785" s="9" t="n">
        <v>0</v>
      </c>
      <c r="AD785" s="9">
        <f>K785+AB785+AC785</f>
        <v/>
      </c>
      <c r="AE785" s="9">
        <f>(AD785*0.6)+(AA785*0.4)</f>
        <v/>
      </c>
      <c r="AF785">
        <f>IF(AE785&gt;=9,"Critical",IF(AE785&gt;=7,"High",IF(AE785&gt;=4,"Medium","Low")))</f>
        <v/>
      </c>
    </row>
    <row r="786">
      <c r="F786" t="n">
        <v>1</v>
      </c>
      <c r="I786">
        <f>IF(D786="","",TODAY()-D786)</f>
        <v/>
      </c>
      <c r="K786">
        <f>IF(J786="v4.0",L786,IF(J786="v3.1",M786,IF(J786="Both",L786,IF(AND(L786&lt;&gt;"",M786=""),L786,M786))))</f>
        <v/>
      </c>
      <c r="U786">
        <f>IF(T786="Tier 1",10,IF(T786="Tier 2",7,IF(T786="Tier 3",4,IF(T786="Tier 4",1,0))))</f>
        <v/>
      </c>
      <c r="W786">
        <f>IF(V786="Restricted",10,IF(V786="Confidential",7,IF(V786="Internal",4,IF(V786="Public",1,0))))</f>
        <v/>
      </c>
      <c r="AA786" s="9">
        <f>(U786*0.4)+(W786*0.3)+(IF(Z786="Critical",10,IF(Z786="High",7,IF(Z786="Medium",4,1)))*0.2)+(IF(Y786="YES",10,0)*0.1)</f>
        <v/>
      </c>
      <c r="AB786" s="9">
        <f>IF(G786="YES",2.0,0)+IF(H786="YES",2.0,0)</f>
        <v/>
      </c>
      <c r="AC786" s="9" t="n">
        <v>0</v>
      </c>
      <c r="AD786" s="9">
        <f>K786+AB786+AC786</f>
        <v/>
      </c>
      <c r="AE786" s="9">
        <f>(AD786*0.6)+(AA786*0.4)</f>
        <v/>
      </c>
      <c r="AF786">
        <f>IF(AE786&gt;=9,"Critical",IF(AE786&gt;=7,"High",IF(AE786&gt;=4,"Medium","Low")))</f>
        <v/>
      </c>
    </row>
    <row r="787">
      <c r="F787" t="n">
        <v>1</v>
      </c>
      <c r="I787">
        <f>IF(D787="","",TODAY()-D787)</f>
        <v/>
      </c>
      <c r="K787">
        <f>IF(J787="v4.0",L787,IF(J787="v3.1",M787,IF(J787="Both",L787,IF(AND(L787&lt;&gt;"",M787=""),L787,M787))))</f>
        <v/>
      </c>
      <c r="U787">
        <f>IF(T787="Tier 1",10,IF(T787="Tier 2",7,IF(T787="Tier 3",4,IF(T787="Tier 4",1,0))))</f>
        <v/>
      </c>
      <c r="W787">
        <f>IF(V787="Restricted",10,IF(V787="Confidential",7,IF(V787="Internal",4,IF(V787="Public",1,0))))</f>
        <v/>
      </c>
      <c r="AA787" s="9">
        <f>(U787*0.4)+(W787*0.3)+(IF(Z787="Critical",10,IF(Z787="High",7,IF(Z787="Medium",4,1)))*0.2)+(IF(Y787="YES",10,0)*0.1)</f>
        <v/>
      </c>
      <c r="AB787" s="9">
        <f>IF(G787="YES",2.0,0)+IF(H787="YES",2.0,0)</f>
        <v/>
      </c>
      <c r="AC787" s="9" t="n">
        <v>0</v>
      </c>
      <c r="AD787" s="9">
        <f>K787+AB787+AC787</f>
        <v/>
      </c>
      <c r="AE787" s="9">
        <f>(AD787*0.6)+(AA787*0.4)</f>
        <v/>
      </c>
      <c r="AF787">
        <f>IF(AE787&gt;=9,"Critical",IF(AE787&gt;=7,"High",IF(AE787&gt;=4,"Medium","Low")))</f>
        <v/>
      </c>
    </row>
    <row r="788">
      <c r="F788" t="n">
        <v>1</v>
      </c>
      <c r="I788">
        <f>IF(D788="","",TODAY()-D788)</f>
        <v/>
      </c>
      <c r="K788">
        <f>IF(J788="v4.0",L788,IF(J788="v3.1",M788,IF(J788="Both",L788,IF(AND(L788&lt;&gt;"",M788=""),L788,M788))))</f>
        <v/>
      </c>
      <c r="U788">
        <f>IF(T788="Tier 1",10,IF(T788="Tier 2",7,IF(T788="Tier 3",4,IF(T788="Tier 4",1,0))))</f>
        <v/>
      </c>
      <c r="W788">
        <f>IF(V788="Restricted",10,IF(V788="Confidential",7,IF(V788="Internal",4,IF(V788="Public",1,0))))</f>
        <v/>
      </c>
      <c r="AA788" s="9">
        <f>(U788*0.4)+(W788*0.3)+(IF(Z788="Critical",10,IF(Z788="High",7,IF(Z788="Medium",4,1)))*0.2)+(IF(Y788="YES",10,0)*0.1)</f>
        <v/>
      </c>
      <c r="AB788" s="9">
        <f>IF(G788="YES",2.0,0)+IF(H788="YES",2.0,0)</f>
        <v/>
      </c>
      <c r="AC788" s="9" t="n">
        <v>0</v>
      </c>
      <c r="AD788" s="9">
        <f>K788+AB788+AC788</f>
        <v/>
      </c>
      <c r="AE788" s="9">
        <f>(AD788*0.6)+(AA788*0.4)</f>
        <v/>
      </c>
      <c r="AF788">
        <f>IF(AE788&gt;=9,"Critical",IF(AE788&gt;=7,"High",IF(AE788&gt;=4,"Medium","Low")))</f>
        <v/>
      </c>
    </row>
    <row r="789">
      <c r="F789" t="n">
        <v>1</v>
      </c>
      <c r="I789">
        <f>IF(D789="","",TODAY()-D789)</f>
        <v/>
      </c>
      <c r="K789">
        <f>IF(J789="v4.0",L789,IF(J789="v3.1",M789,IF(J789="Both",L789,IF(AND(L789&lt;&gt;"",M789=""),L789,M789))))</f>
        <v/>
      </c>
      <c r="U789">
        <f>IF(T789="Tier 1",10,IF(T789="Tier 2",7,IF(T789="Tier 3",4,IF(T789="Tier 4",1,0))))</f>
        <v/>
      </c>
      <c r="W789">
        <f>IF(V789="Restricted",10,IF(V789="Confidential",7,IF(V789="Internal",4,IF(V789="Public",1,0))))</f>
        <v/>
      </c>
      <c r="AA789" s="9">
        <f>(U789*0.4)+(W789*0.3)+(IF(Z789="Critical",10,IF(Z789="High",7,IF(Z789="Medium",4,1)))*0.2)+(IF(Y789="YES",10,0)*0.1)</f>
        <v/>
      </c>
      <c r="AB789" s="9">
        <f>IF(G789="YES",2.0,0)+IF(H789="YES",2.0,0)</f>
        <v/>
      </c>
      <c r="AC789" s="9" t="n">
        <v>0</v>
      </c>
      <c r="AD789" s="9">
        <f>K789+AB789+AC789</f>
        <v/>
      </c>
      <c r="AE789" s="9">
        <f>(AD789*0.6)+(AA789*0.4)</f>
        <v/>
      </c>
      <c r="AF789">
        <f>IF(AE789&gt;=9,"Critical",IF(AE789&gt;=7,"High",IF(AE789&gt;=4,"Medium","Low")))</f>
        <v/>
      </c>
    </row>
    <row r="790">
      <c r="F790" t="n">
        <v>1</v>
      </c>
      <c r="I790">
        <f>IF(D790="","",TODAY()-D790)</f>
        <v/>
      </c>
      <c r="K790">
        <f>IF(J790="v4.0",L790,IF(J790="v3.1",M790,IF(J790="Both",L790,IF(AND(L790&lt;&gt;"",M790=""),L790,M790))))</f>
        <v/>
      </c>
      <c r="U790">
        <f>IF(T790="Tier 1",10,IF(T790="Tier 2",7,IF(T790="Tier 3",4,IF(T790="Tier 4",1,0))))</f>
        <v/>
      </c>
      <c r="W790">
        <f>IF(V790="Restricted",10,IF(V790="Confidential",7,IF(V790="Internal",4,IF(V790="Public",1,0))))</f>
        <v/>
      </c>
      <c r="AA790" s="9">
        <f>(U790*0.4)+(W790*0.3)+(IF(Z790="Critical",10,IF(Z790="High",7,IF(Z790="Medium",4,1)))*0.2)+(IF(Y790="YES",10,0)*0.1)</f>
        <v/>
      </c>
      <c r="AB790" s="9">
        <f>IF(G790="YES",2.0,0)+IF(H790="YES",2.0,0)</f>
        <v/>
      </c>
      <c r="AC790" s="9" t="n">
        <v>0</v>
      </c>
      <c r="AD790" s="9">
        <f>K790+AB790+AC790</f>
        <v/>
      </c>
      <c r="AE790" s="9">
        <f>(AD790*0.6)+(AA790*0.4)</f>
        <v/>
      </c>
      <c r="AF790">
        <f>IF(AE790&gt;=9,"Critical",IF(AE790&gt;=7,"High",IF(AE790&gt;=4,"Medium","Low")))</f>
        <v/>
      </c>
    </row>
    <row r="791">
      <c r="F791" t="n">
        <v>1</v>
      </c>
      <c r="I791">
        <f>IF(D791="","",TODAY()-D791)</f>
        <v/>
      </c>
      <c r="K791">
        <f>IF(J791="v4.0",L791,IF(J791="v3.1",M791,IF(J791="Both",L791,IF(AND(L791&lt;&gt;"",M791=""),L791,M791))))</f>
        <v/>
      </c>
      <c r="U791">
        <f>IF(T791="Tier 1",10,IF(T791="Tier 2",7,IF(T791="Tier 3",4,IF(T791="Tier 4",1,0))))</f>
        <v/>
      </c>
      <c r="W791">
        <f>IF(V791="Restricted",10,IF(V791="Confidential",7,IF(V791="Internal",4,IF(V791="Public",1,0))))</f>
        <v/>
      </c>
      <c r="AA791" s="9">
        <f>(U791*0.4)+(W791*0.3)+(IF(Z791="Critical",10,IF(Z791="High",7,IF(Z791="Medium",4,1)))*0.2)+(IF(Y791="YES",10,0)*0.1)</f>
        <v/>
      </c>
      <c r="AB791" s="9">
        <f>IF(G791="YES",2.0,0)+IF(H791="YES",2.0,0)</f>
        <v/>
      </c>
      <c r="AC791" s="9" t="n">
        <v>0</v>
      </c>
      <c r="AD791" s="9">
        <f>K791+AB791+AC791</f>
        <v/>
      </c>
      <c r="AE791" s="9">
        <f>(AD791*0.6)+(AA791*0.4)</f>
        <v/>
      </c>
      <c r="AF791">
        <f>IF(AE791&gt;=9,"Critical",IF(AE791&gt;=7,"High",IF(AE791&gt;=4,"Medium","Low")))</f>
        <v/>
      </c>
    </row>
    <row r="792">
      <c r="F792" t="n">
        <v>1</v>
      </c>
      <c r="I792">
        <f>IF(D792="","",TODAY()-D792)</f>
        <v/>
      </c>
      <c r="K792">
        <f>IF(J792="v4.0",L792,IF(J792="v3.1",M792,IF(J792="Both",L792,IF(AND(L792&lt;&gt;"",M792=""),L792,M792))))</f>
        <v/>
      </c>
      <c r="U792">
        <f>IF(T792="Tier 1",10,IF(T792="Tier 2",7,IF(T792="Tier 3",4,IF(T792="Tier 4",1,0))))</f>
        <v/>
      </c>
      <c r="W792">
        <f>IF(V792="Restricted",10,IF(V792="Confidential",7,IF(V792="Internal",4,IF(V792="Public",1,0))))</f>
        <v/>
      </c>
      <c r="AA792" s="9">
        <f>(U792*0.4)+(W792*0.3)+(IF(Z792="Critical",10,IF(Z792="High",7,IF(Z792="Medium",4,1)))*0.2)+(IF(Y792="YES",10,0)*0.1)</f>
        <v/>
      </c>
      <c r="AB792" s="9">
        <f>IF(G792="YES",2.0,0)+IF(H792="YES",2.0,0)</f>
        <v/>
      </c>
      <c r="AC792" s="9" t="n">
        <v>0</v>
      </c>
      <c r="AD792" s="9">
        <f>K792+AB792+AC792</f>
        <v/>
      </c>
      <c r="AE792" s="9">
        <f>(AD792*0.6)+(AA792*0.4)</f>
        <v/>
      </c>
      <c r="AF792">
        <f>IF(AE792&gt;=9,"Critical",IF(AE792&gt;=7,"High",IF(AE792&gt;=4,"Medium","Low")))</f>
        <v/>
      </c>
    </row>
    <row r="793">
      <c r="F793" t="n">
        <v>1</v>
      </c>
      <c r="I793">
        <f>IF(D793="","",TODAY()-D793)</f>
        <v/>
      </c>
      <c r="K793">
        <f>IF(J793="v4.0",L793,IF(J793="v3.1",M793,IF(J793="Both",L793,IF(AND(L793&lt;&gt;"",M793=""),L793,M793))))</f>
        <v/>
      </c>
      <c r="U793">
        <f>IF(T793="Tier 1",10,IF(T793="Tier 2",7,IF(T793="Tier 3",4,IF(T793="Tier 4",1,0))))</f>
        <v/>
      </c>
      <c r="W793">
        <f>IF(V793="Restricted",10,IF(V793="Confidential",7,IF(V793="Internal",4,IF(V793="Public",1,0))))</f>
        <v/>
      </c>
      <c r="AA793" s="9">
        <f>(U793*0.4)+(W793*0.3)+(IF(Z793="Critical",10,IF(Z793="High",7,IF(Z793="Medium",4,1)))*0.2)+(IF(Y793="YES",10,0)*0.1)</f>
        <v/>
      </c>
      <c r="AB793" s="9">
        <f>IF(G793="YES",2.0,0)+IF(H793="YES",2.0,0)</f>
        <v/>
      </c>
      <c r="AC793" s="9" t="n">
        <v>0</v>
      </c>
      <c r="AD793" s="9">
        <f>K793+AB793+AC793</f>
        <v/>
      </c>
      <c r="AE793" s="9">
        <f>(AD793*0.6)+(AA793*0.4)</f>
        <v/>
      </c>
      <c r="AF793">
        <f>IF(AE793&gt;=9,"Critical",IF(AE793&gt;=7,"High",IF(AE793&gt;=4,"Medium","Low")))</f>
        <v/>
      </c>
    </row>
    <row r="794">
      <c r="F794" t="n">
        <v>1</v>
      </c>
      <c r="I794">
        <f>IF(D794="","",TODAY()-D794)</f>
        <v/>
      </c>
      <c r="K794">
        <f>IF(J794="v4.0",L794,IF(J794="v3.1",M794,IF(J794="Both",L794,IF(AND(L794&lt;&gt;"",M794=""),L794,M794))))</f>
        <v/>
      </c>
      <c r="U794">
        <f>IF(T794="Tier 1",10,IF(T794="Tier 2",7,IF(T794="Tier 3",4,IF(T794="Tier 4",1,0))))</f>
        <v/>
      </c>
      <c r="W794">
        <f>IF(V794="Restricted",10,IF(V794="Confidential",7,IF(V794="Internal",4,IF(V794="Public",1,0))))</f>
        <v/>
      </c>
      <c r="AA794" s="9">
        <f>(U794*0.4)+(W794*0.3)+(IF(Z794="Critical",10,IF(Z794="High",7,IF(Z794="Medium",4,1)))*0.2)+(IF(Y794="YES",10,0)*0.1)</f>
        <v/>
      </c>
      <c r="AB794" s="9">
        <f>IF(G794="YES",2.0,0)+IF(H794="YES",2.0,0)</f>
        <v/>
      </c>
      <c r="AC794" s="9" t="n">
        <v>0</v>
      </c>
      <c r="AD794" s="9">
        <f>K794+AB794+AC794</f>
        <v/>
      </c>
      <c r="AE794" s="9">
        <f>(AD794*0.6)+(AA794*0.4)</f>
        <v/>
      </c>
      <c r="AF794">
        <f>IF(AE794&gt;=9,"Critical",IF(AE794&gt;=7,"High",IF(AE794&gt;=4,"Medium","Low")))</f>
        <v/>
      </c>
    </row>
    <row r="795">
      <c r="F795" t="n">
        <v>1</v>
      </c>
      <c r="I795">
        <f>IF(D795="","",TODAY()-D795)</f>
        <v/>
      </c>
      <c r="K795">
        <f>IF(J795="v4.0",L795,IF(J795="v3.1",M795,IF(J795="Both",L795,IF(AND(L795&lt;&gt;"",M795=""),L795,M795))))</f>
        <v/>
      </c>
      <c r="U795">
        <f>IF(T795="Tier 1",10,IF(T795="Tier 2",7,IF(T795="Tier 3",4,IF(T795="Tier 4",1,0))))</f>
        <v/>
      </c>
      <c r="W795">
        <f>IF(V795="Restricted",10,IF(V795="Confidential",7,IF(V795="Internal",4,IF(V795="Public",1,0))))</f>
        <v/>
      </c>
      <c r="AA795" s="9">
        <f>(U795*0.4)+(W795*0.3)+(IF(Z795="Critical",10,IF(Z795="High",7,IF(Z795="Medium",4,1)))*0.2)+(IF(Y795="YES",10,0)*0.1)</f>
        <v/>
      </c>
      <c r="AB795" s="9">
        <f>IF(G795="YES",2.0,0)+IF(H795="YES",2.0,0)</f>
        <v/>
      </c>
      <c r="AC795" s="9" t="n">
        <v>0</v>
      </c>
      <c r="AD795" s="9">
        <f>K795+AB795+AC795</f>
        <v/>
      </c>
      <c r="AE795" s="9">
        <f>(AD795*0.6)+(AA795*0.4)</f>
        <v/>
      </c>
      <c r="AF795">
        <f>IF(AE795&gt;=9,"Critical",IF(AE795&gt;=7,"High",IF(AE795&gt;=4,"Medium","Low")))</f>
        <v/>
      </c>
    </row>
    <row r="796">
      <c r="F796" t="n">
        <v>1</v>
      </c>
      <c r="I796">
        <f>IF(D796="","",TODAY()-D796)</f>
        <v/>
      </c>
      <c r="K796">
        <f>IF(J796="v4.0",L796,IF(J796="v3.1",M796,IF(J796="Both",L796,IF(AND(L796&lt;&gt;"",M796=""),L796,M796))))</f>
        <v/>
      </c>
      <c r="U796">
        <f>IF(T796="Tier 1",10,IF(T796="Tier 2",7,IF(T796="Tier 3",4,IF(T796="Tier 4",1,0))))</f>
        <v/>
      </c>
      <c r="W796">
        <f>IF(V796="Restricted",10,IF(V796="Confidential",7,IF(V796="Internal",4,IF(V796="Public",1,0))))</f>
        <v/>
      </c>
      <c r="AA796" s="9">
        <f>(U796*0.4)+(W796*0.3)+(IF(Z796="Critical",10,IF(Z796="High",7,IF(Z796="Medium",4,1)))*0.2)+(IF(Y796="YES",10,0)*0.1)</f>
        <v/>
      </c>
      <c r="AB796" s="9">
        <f>IF(G796="YES",2.0,0)+IF(H796="YES",2.0,0)</f>
        <v/>
      </c>
      <c r="AC796" s="9" t="n">
        <v>0</v>
      </c>
      <c r="AD796" s="9">
        <f>K796+AB796+AC796</f>
        <v/>
      </c>
      <c r="AE796" s="9">
        <f>(AD796*0.6)+(AA796*0.4)</f>
        <v/>
      </c>
      <c r="AF796">
        <f>IF(AE796&gt;=9,"Critical",IF(AE796&gt;=7,"High",IF(AE796&gt;=4,"Medium","Low")))</f>
        <v/>
      </c>
    </row>
    <row r="797">
      <c r="F797" t="n">
        <v>1</v>
      </c>
      <c r="I797">
        <f>IF(D797="","",TODAY()-D797)</f>
        <v/>
      </c>
      <c r="K797">
        <f>IF(J797="v4.0",L797,IF(J797="v3.1",M797,IF(J797="Both",L797,IF(AND(L797&lt;&gt;"",M797=""),L797,M797))))</f>
        <v/>
      </c>
      <c r="U797">
        <f>IF(T797="Tier 1",10,IF(T797="Tier 2",7,IF(T797="Tier 3",4,IF(T797="Tier 4",1,0))))</f>
        <v/>
      </c>
      <c r="W797">
        <f>IF(V797="Restricted",10,IF(V797="Confidential",7,IF(V797="Internal",4,IF(V797="Public",1,0))))</f>
        <v/>
      </c>
      <c r="AA797" s="9">
        <f>(U797*0.4)+(W797*0.3)+(IF(Z797="Critical",10,IF(Z797="High",7,IF(Z797="Medium",4,1)))*0.2)+(IF(Y797="YES",10,0)*0.1)</f>
        <v/>
      </c>
      <c r="AB797" s="9">
        <f>IF(G797="YES",2.0,0)+IF(H797="YES",2.0,0)</f>
        <v/>
      </c>
      <c r="AC797" s="9" t="n">
        <v>0</v>
      </c>
      <c r="AD797" s="9">
        <f>K797+AB797+AC797</f>
        <v/>
      </c>
      <c r="AE797" s="9">
        <f>(AD797*0.6)+(AA797*0.4)</f>
        <v/>
      </c>
      <c r="AF797">
        <f>IF(AE797&gt;=9,"Critical",IF(AE797&gt;=7,"High",IF(AE797&gt;=4,"Medium","Low")))</f>
        <v/>
      </c>
    </row>
    <row r="798">
      <c r="F798" t="n">
        <v>1</v>
      </c>
      <c r="I798">
        <f>IF(D798="","",TODAY()-D798)</f>
        <v/>
      </c>
      <c r="K798">
        <f>IF(J798="v4.0",L798,IF(J798="v3.1",M798,IF(J798="Both",L798,IF(AND(L798&lt;&gt;"",M798=""),L798,M798))))</f>
        <v/>
      </c>
      <c r="U798">
        <f>IF(T798="Tier 1",10,IF(T798="Tier 2",7,IF(T798="Tier 3",4,IF(T798="Tier 4",1,0))))</f>
        <v/>
      </c>
      <c r="W798">
        <f>IF(V798="Restricted",10,IF(V798="Confidential",7,IF(V798="Internal",4,IF(V798="Public",1,0))))</f>
        <v/>
      </c>
      <c r="AA798" s="9">
        <f>(U798*0.4)+(W798*0.3)+(IF(Z798="Critical",10,IF(Z798="High",7,IF(Z798="Medium",4,1)))*0.2)+(IF(Y798="YES",10,0)*0.1)</f>
        <v/>
      </c>
      <c r="AB798" s="9">
        <f>IF(G798="YES",2.0,0)+IF(H798="YES",2.0,0)</f>
        <v/>
      </c>
      <c r="AC798" s="9" t="n">
        <v>0</v>
      </c>
      <c r="AD798" s="9">
        <f>K798+AB798+AC798</f>
        <v/>
      </c>
      <c r="AE798" s="9">
        <f>(AD798*0.6)+(AA798*0.4)</f>
        <v/>
      </c>
      <c r="AF798">
        <f>IF(AE798&gt;=9,"Critical",IF(AE798&gt;=7,"High",IF(AE798&gt;=4,"Medium","Low")))</f>
        <v/>
      </c>
    </row>
    <row r="799">
      <c r="F799" t="n">
        <v>1</v>
      </c>
      <c r="I799">
        <f>IF(D799="","",TODAY()-D799)</f>
        <v/>
      </c>
      <c r="K799">
        <f>IF(J799="v4.0",L799,IF(J799="v3.1",M799,IF(J799="Both",L799,IF(AND(L799&lt;&gt;"",M799=""),L799,M799))))</f>
        <v/>
      </c>
      <c r="U799">
        <f>IF(T799="Tier 1",10,IF(T799="Tier 2",7,IF(T799="Tier 3",4,IF(T799="Tier 4",1,0))))</f>
        <v/>
      </c>
      <c r="W799">
        <f>IF(V799="Restricted",10,IF(V799="Confidential",7,IF(V799="Internal",4,IF(V799="Public",1,0))))</f>
        <v/>
      </c>
      <c r="AA799" s="9">
        <f>(U799*0.4)+(W799*0.3)+(IF(Z799="Critical",10,IF(Z799="High",7,IF(Z799="Medium",4,1)))*0.2)+(IF(Y799="YES",10,0)*0.1)</f>
        <v/>
      </c>
      <c r="AB799" s="9">
        <f>IF(G799="YES",2.0,0)+IF(H799="YES",2.0,0)</f>
        <v/>
      </c>
      <c r="AC799" s="9" t="n">
        <v>0</v>
      </c>
      <c r="AD799" s="9">
        <f>K799+AB799+AC799</f>
        <v/>
      </c>
      <c r="AE799" s="9">
        <f>(AD799*0.6)+(AA799*0.4)</f>
        <v/>
      </c>
      <c r="AF799">
        <f>IF(AE799&gt;=9,"Critical",IF(AE799&gt;=7,"High",IF(AE799&gt;=4,"Medium","Low")))</f>
        <v/>
      </c>
    </row>
    <row r="800">
      <c r="F800" t="n">
        <v>1</v>
      </c>
      <c r="I800">
        <f>IF(D800="","",TODAY()-D800)</f>
        <v/>
      </c>
      <c r="K800">
        <f>IF(J800="v4.0",L800,IF(J800="v3.1",M800,IF(J800="Both",L800,IF(AND(L800&lt;&gt;"",M800=""),L800,M800))))</f>
        <v/>
      </c>
      <c r="U800">
        <f>IF(T800="Tier 1",10,IF(T800="Tier 2",7,IF(T800="Tier 3",4,IF(T800="Tier 4",1,0))))</f>
        <v/>
      </c>
      <c r="W800">
        <f>IF(V800="Restricted",10,IF(V800="Confidential",7,IF(V800="Internal",4,IF(V800="Public",1,0))))</f>
        <v/>
      </c>
      <c r="AA800" s="9">
        <f>(U800*0.4)+(W800*0.3)+(IF(Z800="Critical",10,IF(Z800="High",7,IF(Z800="Medium",4,1)))*0.2)+(IF(Y800="YES",10,0)*0.1)</f>
        <v/>
      </c>
      <c r="AB800" s="9">
        <f>IF(G800="YES",2.0,0)+IF(H800="YES",2.0,0)</f>
        <v/>
      </c>
      <c r="AC800" s="9" t="n">
        <v>0</v>
      </c>
      <c r="AD800" s="9">
        <f>K800+AB800+AC800</f>
        <v/>
      </c>
      <c r="AE800" s="9">
        <f>(AD800*0.6)+(AA800*0.4)</f>
        <v/>
      </c>
      <c r="AF800">
        <f>IF(AE800&gt;=9,"Critical",IF(AE800&gt;=7,"High",IF(AE800&gt;=4,"Medium","Low")))</f>
        <v/>
      </c>
    </row>
    <row r="801">
      <c r="F801" t="n">
        <v>1</v>
      </c>
      <c r="I801">
        <f>IF(D801="","",TODAY()-D801)</f>
        <v/>
      </c>
      <c r="K801">
        <f>IF(J801="v4.0",L801,IF(J801="v3.1",M801,IF(J801="Both",L801,IF(AND(L801&lt;&gt;"",M801=""),L801,M801))))</f>
        <v/>
      </c>
      <c r="U801">
        <f>IF(T801="Tier 1",10,IF(T801="Tier 2",7,IF(T801="Tier 3",4,IF(T801="Tier 4",1,0))))</f>
        <v/>
      </c>
      <c r="W801">
        <f>IF(V801="Restricted",10,IF(V801="Confidential",7,IF(V801="Internal",4,IF(V801="Public",1,0))))</f>
        <v/>
      </c>
      <c r="AA801" s="9">
        <f>(U801*0.4)+(W801*0.3)+(IF(Z801="Critical",10,IF(Z801="High",7,IF(Z801="Medium",4,1)))*0.2)+(IF(Y801="YES",10,0)*0.1)</f>
        <v/>
      </c>
      <c r="AB801" s="9">
        <f>IF(G801="YES",2.0,0)+IF(H801="YES",2.0,0)</f>
        <v/>
      </c>
      <c r="AC801" s="9" t="n">
        <v>0</v>
      </c>
      <c r="AD801" s="9">
        <f>K801+AB801+AC801</f>
        <v/>
      </c>
      <c r="AE801" s="9">
        <f>(AD801*0.6)+(AA801*0.4)</f>
        <v/>
      </c>
      <c r="AF801">
        <f>IF(AE801&gt;=9,"Critical",IF(AE801&gt;=7,"High",IF(AE801&gt;=4,"Medium","Low")))</f>
        <v/>
      </c>
    </row>
    <row r="802">
      <c r="F802" t="n">
        <v>1</v>
      </c>
      <c r="I802">
        <f>IF(D802="","",TODAY()-D802)</f>
        <v/>
      </c>
      <c r="K802">
        <f>IF(J802="v4.0",L802,IF(J802="v3.1",M802,IF(J802="Both",L802,IF(AND(L802&lt;&gt;"",M802=""),L802,M802))))</f>
        <v/>
      </c>
      <c r="U802">
        <f>IF(T802="Tier 1",10,IF(T802="Tier 2",7,IF(T802="Tier 3",4,IF(T802="Tier 4",1,0))))</f>
        <v/>
      </c>
      <c r="W802">
        <f>IF(V802="Restricted",10,IF(V802="Confidential",7,IF(V802="Internal",4,IF(V802="Public",1,0))))</f>
        <v/>
      </c>
      <c r="AA802" s="9">
        <f>(U802*0.4)+(W802*0.3)+(IF(Z802="Critical",10,IF(Z802="High",7,IF(Z802="Medium",4,1)))*0.2)+(IF(Y802="YES",10,0)*0.1)</f>
        <v/>
      </c>
      <c r="AB802" s="9">
        <f>IF(G802="YES",2.0,0)+IF(H802="YES",2.0,0)</f>
        <v/>
      </c>
      <c r="AC802" s="9" t="n">
        <v>0</v>
      </c>
      <c r="AD802" s="9">
        <f>K802+AB802+AC802</f>
        <v/>
      </c>
      <c r="AE802" s="9">
        <f>(AD802*0.6)+(AA802*0.4)</f>
        <v/>
      </c>
      <c r="AF802">
        <f>IF(AE802&gt;=9,"Critical",IF(AE802&gt;=7,"High",IF(AE802&gt;=4,"Medium","Low")))</f>
        <v/>
      </c>
    </row>
    <row r="803">
      <c r="F803" t="n">
        <v>1</v>
      </c>
      <c r="I803">
        <f>IF(D803="","",TODAY()-D803)</f>
        <v/>
      </c>
      <c r="K803">
        <f>IF(J803="v4.0",L803,IF(J803="v3.1",M803,IF(J803="Both",L803,IF(AND(L803&lt;&gt;"",M803=""),L803,M803))))</f>
        <v/>
      </c>
      <c r="U803">
        <f>IF(T803="Tier 1",10,IF(T803="Tier 2",7,IF(T803="Tier 3",4,IF(T803="Tier 4",1,0))))</f>
        <v/>
      </c>
      <c r="W803">
        <f>IF(V803="Restricted",10,IF(V803="Confidential",7,IF(V803="Internal",4,IF(V803="Public",1,0))))</f>
        <v/>
      </c>
      <c r="AA803" s="9">
        <f>(U803*0.4)+(W803*0.3)+(IF(Z803="Critical",10,IF(Z803="High",7,IF(Z803="Medium",4,1)))*0.2)+(IF(Y803="YES",10,0)*0.1)</f>
        <v/>
      </c>
      <c r="AB803" s="9">
        <f>IF(G803="YES",2.0,0)+IF(H803="YES",2.0,0)</f>
        <v/>
      </c>
      <c r="AC803" s="9" t="n">
        <v>0</v>
      </c>
      <c r="AD803" s="9">
        <f>K803+AB803+AC803</f>
        <v/>
      </c>
      <c r="AE803" s="9">
        <f>(AD803*0.6)+(AA803*0.4)</f>
        <v/>
      </c>
      <c r="AF803">
        <f>IF(AE803&gt;=9,"Critical",IF(AE803&gt;=7,"High",IF(AE803&gt;=4,"Medium","Low")))</f>
        <v/>
      </c>
    </row>
    <row r="804">
      <c r="F804" t="n">
        <v>1</v>
      </c>
      <c r="I804">
        <f>IF(D804="","",TODAY()-D804)</f>
        <v/>
      </c>
      <c r="K804">
        <f>IF(J804="v4.0",L804,IF(J804="v3.1",M804,IF(J804="Both",L804,IF(AND(L804&lt;&gt;"",M804=""),L804,M804))))</f>
        <v/>
      </c>
      <c r="U804">
        <f>IF(T804="Tier 1",10,IF(T804="Tier 2",7,IF(T804="Tier 3",4,IF(T804="Tier 4",1,0))))</f>
        <v/>
      </c>
      <c r="W804">
        <f>IF(V804="Restricted",10,IF(V804="Confidential",7,IF(V804="Internal",4,IF(V804="Public",1,0))))</f>
        <v/>
      </c>
      <c r="AA804" s="9">
        <f>(U804*0.4)+(W804*0.3)+(IF(Z804="Critical",10,IF(Z804="High",7,IF(Z804="Medium",4,1)))*0.2)+(IF(Y804="YES",10,0)*0.1)</f>
        <v/>
      </c>
      <c r="AB804" s="9">
        <f>IF(G804="YES",2.0,0)+IF(H804="YES",2.0,0)</f>
        <v/>
      </c>
      <c r="AC804" s="9" t="n">
        <v>0</v>
      </c>
      <c r="AD804" s="9">
        <f>K804+AB804+AC804</f>
        <v/>
      </c>
      <c r="AE804" s="9">
        <f>(AD804*0.6)+(AA804*0.4)</f>
        <v/>
      </c>
      <c r="AF804">
        <f>IF(AE804&gt;=9,"Critical",IF(AE804&gt;=7,"High",IF(AE804&gt;=4,"Medium","Low")))</f>
        <v/>
      </c>
    </row>
    <row r="805">
      <c r="F805" t="n">
        <v>1</v>
      </c>
      <c r="I805">
        <f>IF(D805="","",TODAY()-D805)</f>
        <v/>
      </c>
      <c r="K805">
        <f>IF(J805="v4.0",L805,IF(J805="v3.1",M805,IF(J805="Both",L805,IF(AND(L805&lt;&gt;"",M805=""),L805,M805))))</f>
        <v/>
      </c>
      <c r="U805">
        <f>IF(T805="Tier 1",10,IF(T805="Tier 2",7,IF(T805="Tier 3",4,IF(T805="Tier 4",1,0))))</f>
        <v/>
      </c>
      <c r="W805">
        <f>IF(V805="Restricted",10,IF(V805="Confidential",7,IF(V805="Internal",4,IF(V805="Public",1,0))))</f>
        <v/>
      </c>
      <c r="AA805" s="9">
        <f>(U805*0.4)+(W805*0.3)+(IF(Z805="Critical",10,IF(Z805="High",7,IF(Z805="Medium",4,1)))*0.2)+(IF(Y805="YES",10,0)*0.1)</f>
        <v/>
      </c>
      <c r="AB805" s="9">
        <f>IF(G805="YES",2.0,0)+IF(H805="YES",2.0,0)</f>
        <v/>
      </c>
      <c r="AC805" s="9" t="n">
        <v>0</v>
      </c>
      <c r="AD805" s="9">
        <f>K805+AB805+AC805</f>
        <v/>
      </c>
      <c r="AE805" s="9">
        <f>(AD805*0.6)+(AA805*0.4)</f>
        <v/>
      </c>
      <c r="AF805">
        <f>IF(AE805&gt;=9,"Critical",IF(AE805&gt;=7,"High",IF(AE805&gt;=4,"Medium","Low")))</f>
        <v/>
      </c>
    </row>
    <row r="806">
      <c r="F806" t="n">
        <v>1</v>
      </c>
      <c r="I806">
        <f>IF(D806="","",TODAY()-D806)</f>
        <v/>
      </c>
      <c r="K806">
        <f>IF(J806="v4.0",L806,IF(J806="v3.1",M806,IF(J806="Both",L806,IF(AND(L806&lt;&gt;"",M806=""),L806,M806))))</f>
        <v/>
      </c>
      <c r="U806">
        <f>IF(T806="Tier 1",10,IF(T806="Tier 2",7,IF(T806="Tier 3",4,IF(T806="Tier 4",1,0))))</f>
        <v/>
      </c>
      <c r="W806">
        <f>IF(V806="Restricted",10,IF(V806="Confidential",7,IF(V806="Internal",4,IF(V806="Public",1,0))))</f>
        <v/>
      </c>
      <c r="AA806" s="9">
        <f>(U806*0.4)+(W806*0.3)+(IF(Z806="Critical",10,IF(Z806="High",7,IF(Z806="Medium",4,1)))*0.2)+(IF(Y806="YES",10,0)*0.1)</f>
        <v/>
      </c>
      <c r="AB806" s="9">
        <f>IF(G806="YES",2.0,0)+IF(H806="YES",2.0,0)</f>
        <v/>
      </c>
      <c r="AC806" s="9" t="n">
        <v>0</v>
      </c>
      <c r="AD806" s="9">
        <f>K806+AB806+AC806</f>
        <v/>
      </c>
      <c r="AE806" s="9">
        <f>(AD806*0.6)+(AA806*0.4)</f>
        <v/>
      </c>
      <c r="AF806">
        <f>IF(AE806&gt;=9,"Critical",IF(AE806&gt;=7,"High",IF(AE806&gt;=4,"Medium","Low")))</f>
        <v/>
      </c>
    </row>
    <row r="807">
      <c r="F807" t="n">
        <v>1</v>
      </c>
      <c r="I807">
        <f>IF(D807="","",TODAY()-D807)</f>
        <v/>
      </c>
      <c r="K807">
        <f>IF(J807="v4.0",L807,IF(J807="v3.1",M807,IF(J807="Both",L807,IF(AND(L807&lt;&gt;"",M807=""),L807,M807))))</f>
        <v/>
      </c>
      <c r="U807">
        <f>IF(T807="Tier 1",10,IF(T807="Tier 2",7,IF(T807="Tier 3",4,IF(T807="Tier 4",1,0))))</f>
        <v/>
      </c>
      <c r="W807">
        <f>IF(V807="Restricted",10,IF(V807="Confidential",7,IF(V807="Internal",4,IF(V807="Public",1,0))))</f>
        <v/>
      </c>
      <c r="AA807" s="9">
        <f>(U807*0.4)+(W807*0.3)+(IF(Z807="Critical",10,IF(Z807="High",7,IF(Z807="Medium",4,1)))*0.2)+(IF(Y807="YES",10,0)*0.1)</f>
        <v/>
      </c>
      <c r="AB807" s="9">
        <f>IF(G807="YES",2.0,0)+IF(H807="YES",2.0,0)</f>
        <v/>
      </c>
      <c r="AC807" s="9" t="n">
        <v>0</v>
      </c>
      <c r="AD807" s="9">
        <f>K807+AB807+AC807</f>
        <v/>
      </c>
      <c r="AE807" s="9">
        <f>(AD807*0.6)+(AA807*0.4)</f>
        <v/>
      </c>
      <c r="AF807">
        <f>IF(AE807&gt;=9,"Critical",IF(AE807&gt;=7,"High",IF(AE807&gt;=4,"Medium","Low")))</f>
        <v/>
      </c>
    </row>
    <row r="808">
      <c r="F808" t="n">
        <v>1</v>
      </c>
      <c r="I808">
        <f>IF(D808="","",TODAY()-D808)</f>
        <v/>
      </c>
      <c r="K808">
        <f>IF(J808="v4.0",L808,IF(J808="v3.1",M808,IF(J808="Both",L808,IF(AND(L808&lt;&gt;"",M808=""),L808,M808))))</f>
        <v/>
      </c>
      <c r="U808">
        <f>IF(T808="Tier 1",10,IF(T808="Tier 2",7,IF(T808="Tier 3",4,IF(T808="Tier 4",1,0))))</f>
        <v/>
      </c>
      <c r="W808">
        <f>IF(V808="Restricted",10,IF(V808="Confidential",7,IF(V808="Internal",4,IF(V808="Public",1,0))))</f>
        <v/>
      </c>
      <c r="AA808" s="9">
        <f>(U808*0.4)+(W808*0.3)+(IF(Z808="Critical",10,IF(Z808="High",7,IF(Z808="Medium",4,1)))*0.2)+(IF(Y808="YES",10,0)*0.1)</f>
        <v/>
      </c>
      <c r="AB808" s="9">
        <f>IF(G808="YES",2.0,0)+IF(H808="YES",2.0,0)</f>
        <v/>
      </c>
      <c r="AC808" s="9" t="n">
        <v>0</v>
      </c>
      <c r="AD808" s="9">
        <f>K808+AB808+AC808</f>
        <v/>
      </c>
      <c r="AE808" s="9">
        <f>(AD808*0.6)+(AA808*0.4)</f>
        <v/>
      </c>
      <c r="AF808">
        <f>IF(AE808&gt;=9,"Critical",IF(AE808&gt;=7,"High",IF(AE808&gt;=4,"Medium","Low")))</f>
        <v/>
      </c>
    </row>
    <row r="809">
      <c r="F809" t="n">
        <v>1</v>
      </c>
      <c r="I809">
        <f>IF(D809="","",TODAY()-D809)</f>
        <v/>
      </c>
      <c r="K809">
        <f>IF(J809="v4.0",L809,IF(J809="v3.1",M809,IF(J809="Both",L809,IF(AND(L809&lt;&gt;"",M809=""),L809,M809))))</f>
        <v/>
      </c>
      <c r="U809">
        <f>IF(T809="Tier 1",10,IF(T809="Tier 2",7,IF(T809="Tier 3",4,IF(T809="Tier 4",1,0))))</f>
        <v/>
      </c>
      <c r="W809">
        <f>IF(V809="Restricted",10,IF(V809="Confidential",7,IF(V809="Internal",4,IF(V809="Public",1,0))))</f>
        <v/>
      </c>
      <c r="AA809" s="9">
        <f>(U809*0.4)+(W809*0.3)+(IF(Z809="Critical",10,IF(Z809="High",7,IF(Z809="Medium",4,1)))*0.2)+(IF(Y809="YES",10,0)*0.1)</f>
        <v/>
      </c>
      <c r="AB809" s="9">
        <f>IF(G809="YES",2.0,0)+IF(H809="YES",2.0,0)</f>
        <v/>
      </c>
      <c r="AC809" s="9" t="n">
        <v>0</v>
      </c>
      <c r="AD809" s="9">
        <f>K809+AB809+AC809</f>
        <v/>
      </c>
      <c r="AE809" s="9">
        <f>(AD809*0.6)+(AA809*0.4)</f>
        <v/>
      </c>
      <c r="AF809">
        <f>IF(AE809&gt;=9,"Critical",IF(AE809&gt;=7,"High",IF(AE809&gt;=4,"Medium","Low")))</f>
        <v/>
      </c>
    </row>
    <row r="810">
      <c r="F810" t="n">
        <v>1</v>
      </c>
      <c r="I810">
        <f>IF(D810="","",TODAY()-D810)</f>
        <v/>
      </c>
      <c r="K810">
        <f>IF(J810="v4.0",L810,IF(J810="v3.1",M810,IF(J810="Both",L810,IF(AND(L810&lt;&gt;"",M810=""),L810,M810))))</f>
        <v/>
      </c>
      <c r="U810">
        <f>IF(T810="Tier 1",10,IF(T810="Tier 2",7,IF(T810="Tier 3",4,IF(T810="Tier 4",1,0))))</f>
        <v/>
      </c>
      <c r="W810">
        <f>IF(V810="Restricted",10,IF(V810="Confidential",7,IF(V810="Internal",4,IF(V810="Public",1,0))))</f>
        <v/>
      </c>
      <c r="AA810" s="9">
        <f>(U810*0.4)+(W810*0.3)+(IF(Z810="Critical",10,IF(Z810="High",7,IF(Z810="Medium",4,1)))*0.2)+(IF(Y810="YES",10,0)*0.1)</f>
        <v/>
      </c>
      <c r="AB810" s="9">
        <f>IF(G810="YES",2.0,0)+IF(H810="YES",2.0,0)</f>
        <v/>
      </c>
      <c r="AC810" s="9" t="n">
        <v>0</v>
      </c>
      <c r="AD810" s="9">
        <f>K810+AB810+AC810</f>
        <v/>
      </c>
      <c r="AE810" s="9">
        <f>(AD810*0.6)+(AA810*0.4)</f>
        <v/>
      </c>
      <c r="AF810">
        <f>IF(AE810&gt;=9,"Critical",IF(AE810&gt;=7,"High",IF(AE810&gt;=4,"Medium","Low")))</f>
        <v/>
      </c>
    </row>
    <row r="811">
      <c r="F811" t="n">
        <v>1</v>
      </c>
      <c r="I811">
        <f>IF(D811="","",TODAY()-D811)</f>
        <v/>
      </c>
      <c r="K811">
        <f>IF(J811="v4.0",L811,IF(J811="v3.1",M811,IF(J811="Both",L811,IF(AND(L811&lt;&gt;"",M811=""),L811,M811))))</f>
        <v/>
      </c>
      <c r="U811">
        <f>IF(T811="Tier 1",10,IF(T811="Tier 2",7,IF(T811="Tier 3",4,IF(T811="Tier 4",1,0))))</f>
        <v/>
      </c>
      <c r="W811">
        <f>IF(V811="Restricted",10,IF(V811="Confidential",7,IF(V811="Internal",4,IF(V811="Public",1,0))))</f>
        <v/>
      </c>
      <c r="AA811" s="9">
        <f>(U811*0.4)+(W811*0.3)+(IF(Z811="Critical",10,IF(Z811="High",7,IF(Z811="Medium",4,1)))*0.2)+(IF(Y811="YES",10,0)*0.1)</f>
        <v/>
      </c>
      <c r="AB811" s="9">
        <f>IF(G811="YES",2.0,0)+IF(H811="YES",2.0,0)</f>
        <v/>
      </c>
      <c r="AC811" s="9" t="n">
        <v>0</v>
      </c>
      <c r="AD811" s="9">
        <f>K811+AB811+AC811</f>
        <v/>
      </c>
      <c r="AE811" s="9">
        <f>(AD811*0.6)+(AA811*0.4)</f>
        <v/>
      </c>
      <c r="AF811">
        <f>IF(AE811&gt;=9,"Critical",IF(AE811&gt;=7,"High",IF(AE811&gt;=4,"Medium","Low")))</f>
        <v/>
      </c>
    </row>
    <row r="812">
      <c r="F812" t="n">
        <v>1</v>
      </c>
      <c r="I812">
        <f>IF(D812="","",TODAY()-D812)</f>
        <v/>
      </c>
      <c r="K812">
        <f>IF(J812="v4.0",L812,IF(J812="v3.1",M812,IF(J812="Both",L812,IF(AND(L812&lt;&gt;"",M812=""),L812,M812))))</f>
        <v/>
      </c>
      <c r="U812">
        <f>IF(T812="Tier 1",10,IF(T812="Tier 2",7,IF(T812="Tier 3",4,IF(T812="Tier 4",1,0))))</f>
        <v/>
      </c>
      <c r="W812">
        <f>IF(V812="Restricted",10,IF(V812="Confidential",7,IF(V812="Internal",4,IF(V812="Public",1,0))))</f>
        <v/>
      </c>
      <c r="AA812" s="9">
        <f>(U812*0.4)+(W812*0.3)+(IF(Z812="Critical",10,IF(Z812="High",7,IF(Z812="Medium",4,1)))*0.2)+(IF(Y812="YES",10,0)*0.1)</f>
        <v/>
      </c>
      <c r="AB812" s="9">
        <f>IF(G812="YES",2.0,0)+IF(H812="YES",2.0,0)</f>
        <v/>
      </c>
      <c r="AC812" s="9" t="n">
        <v>0</v>
      </c>
      <c r="AD812" s="9">
        <f>K812+AB812+AC812</f>
        <v/>
      </c>
      <c r="AE812" s="9">
        <f>(AD812*0.6)+(AA812*0.4)</f>
        <v/>
      </c>
      <c r="AF812">
        <f>IF(AE812&gt;=9,"Critical",IF(AE812&gt;=7,"High",IF(AE812&gt;=4,"Medium","Low")))</f>
        <v/>
      </c>
    </row>
    <row r="813">
      <c r="F813" t="n">
        <v>1</v>
      </c>
      <c r="I813">
        <f>IF(D813="","",TODAY()-D813)</f>
        <v/>
      </c>
      <c r="K813">
        <f>IF(J813="v4.0",L813,IF(J813="v3.1",M813,IF(J813="Both",L813,IF(AND(L813&lt;&gt;"",M813=""),L813,M813))))</f>
        <v/>
      </c>
      <c r="U813">
        <f>IF(T813="Tier 1",10,IF(T813="Tier 2",7,IF(T813="Tier 3",4,IF(T813="Tier 4",1,0))))</f>
        <v/>
      </c>
      <c r="W813">
        <f>IF(V813="Restricted",10,IF(V813="Confidential",7,IF(V813="Internal",4,IF(V813="Public",1,0))))</f>
        <v/>
      </c>
      <c r="AA813" s="9">
        <f>(U813*0.4)+(W813*0.3)+(IF(Z813="Critical",10,IF(Z813="High",7,IF(Z813="Medium",4,1)))*0.2)+(IF(Y813="YES",10,0)*0.1)</f>
        <v/>
      </c>
      <c r="AB813" s="9">
        <f>IF(G813="YES",2.0,0)+IF(H813="YES",2.0,0)</f>
        <v/>
      </c>
      <c r="AC813" s="9" t="n">
        <v>0</v>
      </c>
      <c r="AD813" s="9">
        <f>K813+AB813+AC813</f>
        <v/>
      </c>
      <c r="AE813" s="9">
        <f>(AD813*0.6)+(AA813*0.4)</f>
        <v/>
      </c>
      <c r="AF813">
        <f>IF(AE813&gt;=9,"Critical",IF(AE813&gt;=7,"High",IF(AE813&gt;=4,"Medium","Low")))</f>
        <v/>
      </c>
    </row>
    <row r="814">
      <c r="F814" t="n">
        <v>1</v>
      </c>
      <c r="I814">
        <f>IF(D814="","",TODAY()-D814)</f>
        <v/>
      </c>
      <c r="K814">
        <f>IF(J814="v4.0",L814,IF(J814="v3.1",M814,IF(J814="Both",L814,IF(AND(L814&lt;&gt;"",M814=""),L814,M814))))</f>
        <v/>
      </c>
      <c r="U814">
        <f>IF(T814="Tier 1",10,IF(T814="Tier 2",7,IF(T814="Tier 3",4,IF(T814="Tier 4",1,0))))</f>
        <v/>
      </c>
      <c r="W814">
        <f>IF(V814="Restricted",10,IF(V814="Confidential",7,IF(V814="Internal",4,IF(V814="Public",1,0))))</f>
        <v/>
      </c>
      <c r="AA814" s="9">
        <f>(U814*0.4)+(W814*0.3)+(IF(Z814="Critical",10,IF(Z814="High",7,IF(Z814="Medium",4,1)))*0.2)+(IF(Y814="YES",10,0)*0.1)</f>
        <v/>
      </c>
      <c r="AB814" s="9">
        <f>IF(G814="YES",2.0,0)+IF(H814="YES",2.0,0)</f>
        <v/>
      </c>
      <c r="AC814" s="9" t="n">
        <v>0</v>
      </c>
      <c r="AD814" s="9">
        <f>K814+AB814+AC814</f>
        <v/>
      </c>
      <c r="AE814" s="9">
        <f>(AD814*0.6)+(AA814*0.4)</f>
        <v/>
      </c>
      <c r="AF814">
        <f>IF(AE814&gt;=9,"Critical",IF(AE814&gt;=7,"High",IF(AE814&gt;=4,"Medium","Low")))</f>
        <v/>
      </c>
    </row>
    <row r="815">
      <c r="F815" t="n">
        <v>1</v>
      </c>
      <c r="I815">
        <f>IF(D815="","",TODAY()-D815)</f>
        <v/>
      </c>
      <c r="K815">
        <f>IF(J815="v4.0",L815,IF(J815="v3.1",M815,IF(J815="Both",L815,IF(AND(L815&lt;&gt;"",M815=""),L815,M815))))</f>
        <v/>
      </c>
      <c r="U815">
        <f>IF(T815="Tier 1",10,IF(T815="Tier 2",7,IF(T815="Tier 3",4,IF(T815="Tier 4",1,0))))</f>
        <v/>
      </c>
      <c r="W815">
        <f>IF(V815="Restricted",10,IF(V815="Confidential",7,IF(V815="Internal",4,IF(V815="Public",1,0))))</f>
        <v/>
      </c>
      <c r="AA815" s="9">
        <f>(U815*0.4)+(W815*0.3)+(IF(Z815="Critical",10,IF(Z815="High",7,IF(Z815="Medium",4,1)))*0.2)+(IF(Y815="YES",10,0)*0.1)</f>
        <v/>
      </c>
      <c r="AB815" s="9">
        <f>IF(G815="YES",2.0,0)+IF(H815="YES",2.0,0)</f>
        <v/>
      </c>
      <c r="AC815" s="9" t="n">
        <v>0</v>
      </c>
      <c r="AD815" s="9">
        <f>K815+AB815+AC815</f>
        <v/>
      </c>
      <c r="AE815" s="9">
        <f>(AD815*0.6)+(AA815*0.4)</f>
        <v/>
      </c>
      <c r="AF815">
        <f>IF(AE815&gt;=9,"Critical",IF(AE815&gt;=7,"High",IF(AE815&gt;=4,"Medium","Low")))</f>
        <v/>
      </c>
    </row>
    <row r="816">
      <c r="F816" t="n">
        <v>1</v>
      </c>
      <c r="I816">
        <f>IF(D816="","",TODAY()-D816)</f>
        <v/>
      </c>
      <c r="K816">
        <f>IF(J816="v4.0",L816,IF(J816="v3.1",M816,IF(J816="Both",L816,IF(AND(L816&lt;&gt;"",M816=""),L816,M816))))</f>
        <v/>
      </c>
      <c r="U816">
        <f>IF(T816="Tier 1",10,IF(T816="Tier 2",7,IF(T816="Tier 3",4,IF(T816="Tier 4",1,0))))</f>
        <v/>
      </c>
      <c r="W816">
        <f>IF(V816="Restricted",10,IF(V816="Confidential",7,IF(V816="Internal",4,IF(V816="Public",1,0))))</f>
        <v/>
      </c>
      <c r="AA816" s="9">
        <f>(U816*0.4)+(W816*0.3)+(IF(Z816="Critical",10,IF(Z816="High",7,IF(Z816="Medium",4,1)))*0.2)+(IF(Y816="YES",10,0)*0.1)</f>
        <v/>
      </c>
      <c r="AB816" s="9">
        <f>IF(G816="YES",2.0,0)+IF(H816="YES",2.0,0)</f>
        <v/>
      </c>
      <c r="AC816" s="9" t="n">
        <v>0</v>
      </c>
      <c r="AD816" s="9">
        <f>K816+AB816+AC816</f>
        <v/>
      </c>
      <c r="AE816" s="9">
        <f>(AD816*0.6)+(AA816*0.4)</f>
        <v/>
      </c>
      <c r="AF816">
        <f>IF(AE816&gt;=9,"Critical",IF(AE816&gt;=7,"High",IF(AE816&gt;=4,"Medium","Low")))</f>
        <v/>
      </c>
    </row>
    <row r="817">
      <c r="F817" t="n">
        <v>1</v>
      </c>
      <c r="I817">
        <f>IF(D817="","",TODAY()-D817)</f>
        <v/>
      </c>
      <c r="K817">
        <f>IF(J817="v4.0",L817,IF(J817="v3.1",M817,IF(J817="Both",L817,IF(AND(L817&lt;&gt;"",M817=""),L817,M817))))</f>
        <v/>
      </c>
      <c r="U817">
        <f>IF(T817="Tier 1",10,IF(T817="Tier 2",7,IF(T817="Tier 3",4,IF(T817="Tier 4",1,0))))</f>
        <v/>
      </c>
      <c r="W817">
        <f>IF(V817="Restricted",10,IF(V817="Confidential",7,IF(V817="Internal",4,IF(V817="Public",1,0))))</f>
        <v/>
      </c>
      <c r="AA817" s="9">
        <f>(U817*0.4)+(W817*0.3)+(IF(Z817="Critical",10,IF(Z817="High",7,IF(Z817="Medium",4,1)))*0.2)+(IF(Y817="YES",10,0)*0.1)</f>
        <v/>
      </c>
      <c r="AB817" s="9">
        <f>IF(G817="YES",2.0,0)+IF(H817="YES",2.0,0)</f>
        <v/>
      </c>
      <c r="AC817" s="9" t="n">
        <v>0</v>
      </c>
      <c r="AD817" s="9">
        <f>K817+AB817+AC817</f>
        <v/>
      </c>
      <c r="AE817" s="9">
        <f>(AD817*0.6)+(AA817*0.4)</f>
        <v/>
      </c>
      <c r="AF817">
        <f>IF(AE817&gt;=9,"Critical",IF(AE817&gt;=7,"High",IF(AE817&gt;=4,"Medium","Low")))</f>
        <v/>
      </c>
    </row>
    <row r="818">
      <c r="F818" t="n">
        <v>1</v>
      </c>
      <c r="I818">
        <f>IF(D818="","",TODAY()-D818)</f>
        <v/>
      </c>
      <c r="K818">
        <f>IF(J818="v4.0",L818,IF(J818="v3.1",M818,IF(J818="Both",L818,IF(AND(L818&lt;&gt;"",M818=""),L818,M818))))</f>
        <v/>
      </c>
      <c r="U818">
        <f>IF(T818="Tier 1",10,IF(T818="Tier 2",7,IF(T818="Tier 3",4,IF(T818="Tier 4",1,0))))</f>
        <v/>
      </c>
      <c r="W818">
        <f>IF(V818="Restricted",10,IF(V818="Confidential",7,IF(V818="Internal",4,IF(V818="Public",1,0))))</f>
        <v/>
      </c>
      <c r="AA818" s="9">
        <f>(U818*0.4)+(W818*0.3)+(IF(Z818="Critical",10,IF(Z818="High",7,IF(Z818="Medium",4,1)))*0.2)+(IF(Y818="YES",10,0)*0.1)</f>
        <v/>
      </c>
      <c r="AB818" s="9">
        <f>IF(G818="YES",2.0,0)+IF(H818="YES",2.0,0)</f>
        <v/>
      </c>
      <c r="AC818" s="9" t="n">
        <v>0</v>
      </c>
      <c r="AD818" s="9">
        <f>K818+AB818+AC818</f>
        <v/>
      </c>
      <c r="AE818" s="9">
        <f>(AD818*0.6)+(AA818*0.4)</f>
        <v/>
      </c>
      <c r="AF818">
        <f>IF(AE818&gt;=9,"Critical",IF(AE818&gt;=7,"High",IF(AE818&gt;=4,"Medium","Low")))</f>
        <v/>
      </c>
    </row>
    <row r="819">
      <c r="F819" t="n">
        <v>1</v>
      </c>
      <c r="I819">
        <f>IF(D819="","",TODAY()-D819)</f>
        <v/>
      </c>
      <c r="K819">
        <f>IF(J819="v4.0",L819,IF(J819="v3.1",M819,IF(J819="Both",L819,IF(AND(L819&lt;&gt;"",M819=""),L819,M819))))</f>
        <v/>
      </c>
      <c r="U819">
        <f>IF(T819="Tier 1",10,IF(T819="Tier 2",7,IF(T819="Tier 3",4,IF(T819="Tier 4",1,0))))</f>
        <v/>
      </c>
      <c r="W819">
        <f>IF(V819="Restricted",10,IF(V819="Confidential",7,IF(V819="Internal",4,IF(V819="Public",1,0))))</f>
        <v/>
      </c>
      <c r="AA819" s="9">
        <f>(U819*0.4)+(W819*0.3)+(IF(Z819="Critical",10,IF(Z819="High",7,IF(Z819="Medium",4,1)))*0.2)+(IF(Y819="YES",10,0)*0.1)</f>
        <v/>
      </c>
      <c r="AB819" s="9">
        <f>IF(G819="YES",2.0,0)+IF(H819="YES",2.0,0)</f>
        <v/>
      </c>
      <c r="AC819" s="9" t="n">
        <v>0</v>
      </c>
      <c r="AD819" s="9">
        <f>K819+AB819+AC819</f>
        <v/>
      </c>
      <c r="AE819" s="9">
        <f>(AD819*0.6)+(AA819*0.4)</f>
        <v/>
      </c>
      <c r="AF819">
        <f>IF(AE819&gt;=9,"Critical",IF(AE819&gt;=7,"High",IF(AE819&gt;=4,"Medium","Low")))</f>
        <v/>
      </c>
    </row>
    <row r="820">
      <c r="F820" t="n">
        <v>1</v>
      </c>
      <c r="I820">
        <f>IF(D820="","",TODAY()-D820)</f>
        <v/>
      </c>
      <c r="K820">
        <f>IF(J820="v4.0",L820,IF(J820="v3.1",M820,IF(J820="Both",L820,IF(AND(L820&lt;&gt;"",M820=""),L820,M820))))</f>
        <v/>
      </c>
      <c r="U820">
        <f>IF(T820="Tier 1",10,IF(T820="Tier 2",7,IF(T820="Tier 3",4,IF(T820="Tier 4",1,0))))</f>
        <v/>
      </c>
      <c r="W820">
        <f>IF(V820="Restricted",10,IF(V820="Confidential",7,IF(V820="Internal",4,IF(V820="Public",1,0))))</f>
        <v/>
      </c>
      <c r="AA820" s="9">
        <f>(U820*0.4)+(W820*0.3)+(IF(Z820="Critical",10,IF(Z820="High",7,IF(Z820="Medium",4,1)))*0.2)+(IF(Y820="YES",10,0)*0.1)</f>
        <v/>
      </c>
      <c r="AB820" s="9">
        <f>IF(G820="YES",2.0,0)+IF(H820="YES",2.0,0)</f>
        <v/>
      </c>
      <c r="AC820" s="9" t="n">
        <v>0</v>
      </c>
      <c r="AD820" s="9">
        <f>K820+AB820+AC820</f>
        <v/>
      </c>
      <c r="AE820" s="9">
        <f>(AD820*0.6)+(AA820*0.4)</f>
        <v/>
      </c>
      <c r="AF820">
        <f>IF(AE820&gt;=9,"Critical",IF(AE820&gt;=7,"High",IF(AE820&gt;=4,"Medium","Low")))</f>
        <v/>
      </c>
    </row>
    <row r="821">
      <c r="F821" t="n">
        <v>1</v>
      </c>
      <c r="I821">
        <f>IF(D821="","",TODAY()-D821)</f>
        <v/>
      </c>
      <c r="K821">
        <f>IF(J821="v4.0",L821,IF(J821="v3.1",M821,IF(J821="Both",L821,IF(AND(L821&lt;&gt;"",M821=""),L821,M821))))</f>
        <v/>
      </c>
      <c r="U821">
        <f>IF(T821="Tier 1",10,IF(T821="Tier 2",7,IF(T821="Tier 3",4,IF(T821="Tier 4",1,0))))</f>
        <v/>
      </c>
      <c r="W821">
        <f>IF(V821="Restricted",10,IF(V821="Confidential",7,IF(V821="Internal",4,IF(V821="Public",1,0))))</f>
        <v/>
      </c>
      <c r="AA821" s="9">
        <f>(U821*0.4)+(W821*0.3)+(IF(Z821="Critical",10,IF(Z821="High",7,IF(Z821="Medium",4,1)))*0.2)+(IF(Y821="YES",10,0)*0.1)</f>
        <v/>
      </c>
      <c r="AB821" s="9">
        <f>IF(G821="YES",2.0,0)+IF(H821="YES",2.0,0)</f>
        <v/>
      </c>
      <c r="AC821" s="9" t="n">
        <v>0</v>
      </c>
      <c r="AD821" s="9">
        <f>K821+AB821+AC821</f>
        <v/>
      </c>
      <c r="AE821" s="9">
        <f>(AD821*0.6)+(AA821*0.4)</f>
        <v/>
      </c>
      <c r="AF821">
        <f>IF(AE821&gt;=9,"Critical",IF(AE821&gt;=7,"High",IF(AE821&gt;=4,"Medium","Low")))</f>
        <v/>
      </c>
    </row>
    <row r="822">
      <c r="F822" t="n">
        <v>1</v>
      </c>
      <c r="I822">
        <f>IF(D822="","",TODAY()-D822)</f>
        <v/>
      </c>
      <c r="K822">
        <f>IF(J822="v4.0",L822,IF(J822="v3.1",M822,IF(J822="Both",L822,IF(AND(L822&lt;&gt;"",M822=""),L822,M822))))</f>
        <v/>
      </c>
      <c r="U822">
        <f>IF(T822="Tier 1",10,IF(T822="Tier 2",7,IF(T822="Tier 3",4,IF(T822="Tier 4",1,0))))</f>
        <v/>
      </c>
      <c r="W822">
        <f>IF(V822="Restricted",10,IF(V822="Confidential",7,IF(V822="Internal",4,IF(V822="Public",1,0))))</f>
        <v/>
      </c>
      <c r="AA822" s="9">
        <f>(U822*0.4)+(W822*0.3)+(IF(Z822="Critical",10,IF(Z822="High",7,IF(Z822="Medium",4,1)))*0.2)+(IF(Y822="YES",10,0)*0.1)</f>
        <v/>
      </c>
      <c r="AB822" s="9">
        <f>IF(G822="YES",2.0,0)+IF(H822="YES",2.0,0)</f>
        <v/>
      </c>
      <c r="AC822" s="9" t="n">
        <v>0</v>
      </c>
      <c r="AD822" s="9">
        <f>K822+AB822+AC822</f>
        <v/>
      </c>
      <c r="AE822" s="9">
        <f>(AD822*0.6)+(AA822*0.4)</f>
        <v/>
      </c>
      <c r="AF822">
        <f>IF(AE822&gt;=9,"Critical",IF(AE822&gt;=7,"High",IF(AE822&gt;=4,"Medium","Low")))</f>
        <v/>
      </c>
    </row>
    <row r="823">
      <c r="F823" t="n">
        <v>1</v>
      </c>
      <c r="I823">
        <f>IF(D823="","",TODAY()-D823)</f>
        <v/>
      </c>
      <c r="K823">
        <f>IF(J823="v4.0",L823,IF(J823="v3.1",M823,IF(J823="Both",L823,IF(AND(L823&lt;&gt;"",M823=""),L823,M823))))</f>
        <v/>
      </c>
      <c r="U823">
        <f>IF(T823="Tier 1",10,IF(T823="Tier 2",7,IF(T823="Tier 3",4,IF(T823="Tier 4",1,0))))</f>
        <v/>
      </c>
      <c r="W823">
        <f>IF(V823="Restricted",10,IF(V823="Confidential",7,IF(V823="Internal",4,IF(V823="Public",1,0))))</f>
        <v/>
      </c>
      <c r="AA823" s="9">
        <f>(U823*0.4)+(W823*0.3)+(IF(Z823="Critical",10,IF(Z823="High",7,IF(Z823="Medium",4,1)))*0.2)+(IF(Y823="YES",10,0)*0.1)</f>
        <v/>
      </c>
      <c r="AB823" s="9">
        <f>IF(G823="YES",2.0,0)+IF(H823="YES",2.0,0)</f>
        <v/>
      </c>
      <c r="AC823" s="9" t="n">
        <v>0</v>
      </c>
      <c r="AD823" s="9">
        <f>K823+AB823+AC823</f>
        <v/>
      </c>
      <c r="AE823" s="9">
        <f>(AD823*0.6)+(AA823*0.4)</f>
        <v/>
      </c>
      <c r="AF823">
        <f>IF(AE823&gt;=9,"Critical",IF(AE823&gt;=7,"High",IF(AE823&gt;=4,"Medium","Low")))</f>
        <v/>
      </c>
    </row>
    <row r="824">
      <c r="F824" t="n">
        <v>1</v>
      </c>
      <c r="I824">
        <f>IF(D824="","",TODAY()-D824)</f>
        <v/>
      </c>
      <c r="K824">
        <f>IF(J824="v4.0",L824,IF(J824="v3.1",M824,IF(J824="Both",L824,IF(AND(L824&lt;&gt;"",M824=""),L824,M824))))</f>
        <v/>
      </c>
      <c r="U824">
        <f>IF(T824="Tier 1",10,IF(T824="Tier 2",7,IF(T824="Tier 3",4,IF(T824="Tier 4",1,0))))</f>
        <v/>
      </c>
      <c r="W824">
        <f>IF(V824="Restricted",10,IF(V824="Confidential",7,IF(V824="Internal",4,IF(V824="Public",1,0))))</f>
        <v/>
      </c>
      <c r="AA824" s="9">
        <f>(U824*0.4)+(W824*0.3)+(IF(Z824="Critical",10,IF(Z824="High",7,IF(Z824="Medium",4,1)))*0.2)+(IF(Y824="YES",10,0)*0.1)</f>
        <v/>
      </c>
      <c r="AB824" s="9">
        <f>IF(G824="YES",2.0,0)+IF(H824="YES",2.0,0)</f>
        <v/>
      </c>
      <c r="AC824" s="9" t="n">
        <v>0</v>
      </c>
      <c r="AD824" s="9">
        <f>K824+AB824+AC824</f>
        <v/>
      </c>
      <c r="AE824" s="9">
        <f>(AD824*0.6)+(AA824*0.4)</f>
        <v/>
      </c>
      <c r="AF824">
        <f>IF(AE824&gt;=9,"Critical",IF(AE824&gt;=7,"High",IF(AE824&gt;=4,"Medium","Low")))</f>
        <v/>
      </c>
    </row>
    <row r="825">
      <c r="F825" t="n">
        <v>1</v>
      </c>
      <c r="I825">
        <f>IF(D825="","",TODAY()-D825)</f>
        <v/>
      </c>
      <c r="K825">
        <f>IF(J825="v4.0",L825,IF(J825="v3.1",M825,IF(J825="Both",L825,IF(AND(L825&lt;&gt;"",M825=""),L825,M825))))</f>
        <v/>
      </c>
      <c r="U825">
        <f>IF(T825="Tier 1",10,IF(T825="Tier 2",7,IF(T825="Tier 3",4,IF(T825="Tier 4",1,0))))</f>
        <v/>
      </c>
      <c r="W825">
        <f>IF(V825="Restricted",10,IF(V825="Confidential",7,IF(V825="Internal",4,IF(V825="Public",1,0))))</f>
        <v/>
      </c>
      <c r="AA825" s="9">
        <f>(U825*0.4)+(W825*0.3)+(IF(Z825="Critical",10,IF(Z825="High",7,IF(Z825="Medium",4,1)))*0.2)+(IF(Y825="YES",10,0)*0.1)</f>
        <v/>
      </c>
      <c r="AB825" s="9">
        <f>IF(G825="YES",2.0,0)+IF(H825="YES",2.0,0)</f>
        <v/>
      </c>
      <c r="AC825" s="9" t="n">
        <v>0</v>
      </c>
      <c r="AD825" s="9">
        <f>K825+AB825+AC825</f>
        <v/>
      </c>
      <c r="AE825" s="9">
        <f>(AD825*0.6)+(AA825*0.4)</f>
        <v/>
      </c>
      <c r="AF825">
        <f>IF(AE825&gt;=9,"Critical",IF(AE825&gt;=7,"High",IF(AE825&gt;=4,"Medium","Low")))</f>
        <v/>
      </c>
    </row>
    <row r="826">
      <c r="F826" t="n">
        <v>1</v>
      </c>
      <c r="I826">
        <f>IF(D826="","",TODAY()-D826)</f>
        <v/>
      </c>
      <c r="K826">
        <f>IF(J826="v4.0",L826,IF(J826="v3.1",M826,IF(J826="Both",L826,IF(AND(L826&lt;&gt;"",M826=""),L826,M826))))</f>
        <v/>
      </c>
      <c r="U826">
        <f>IF(T826="Tier 1",10,IF(T826="Tier 2",7,IF(T826="Tier 3",4,IF(T826="Tier 4",1,0))))</f>
        <v/>
      </c>
      <c r="W826">
        <f>IF(V826="Restricted",10,IF(V826="Confidential",7,IF(V826="Internal",4,IF(V826="Public",1,0))))</f>
        <v/>
      </c>
      <c r="AA826" s="9">
        <f>(U826*0.4)+(W826*0.3)+(IF(Z826="Critical",10,IF(Z826="High",7,IF(Z826="Medium",4,1)))*0.2)+(IF(Y826="YES",10,0)*0.1)</f>
        <v/>
      </c>
      <c r="AB826" s="9">
        <f>IF(G826="YES",2.0,0)+IF(H826="YES",2.0,0)</f>
        <v/>
      </c>
      <c r="AC826" s="9" t="n">
        <v>0</v>
      </c>
      <c r="AD826" s="9">
        <f>K826+AB826+AC826</f>
        <v/>
      </c>
      <c r="AE826" s="9">
        <f>(AD826*0.6)+(AA826*0.4)</f>
        <v/>
      </c>
      <c r="AF826">
        <f>IF(AE826&gt;=9,"Critical",IF(AE826&gt;=7,"High",IF(AE826&gt;=4,"Medium","Low")))</f>
        <v/>
      </c>
    </row>
    <row r="827">
      <c r="F827" t="n">
        <v>1</v>
      </c>
      <c r="I827">
        <f>IF(D827="","",TODAY()-D827)</f>
        <v/>
      </c>
      <c r="K827">
        <f>IF(J827="v4.0",L827,IF(J827="v3.1",M827,IF(J827="Both",L827,IF(AND(L827&lt;&gt;"",M827=""),L827,M827))))</f>
        <v/>
      </c>
      <c r="U827">
        <f>IF(T827="Tier 1",10,IF(T827="Tier 2",7,IF(T827="Tier 3",4,IF(T827="Tier 4",1,0))))</f>
        <v/>
      </c>
      <c r="W827">
        <f>IF(V827="Restricted",10,IF(V827="Confidential",7,IF(V827="Internal",4,IF(V827="Public",1,0))))</f>
        <v/>
      </c>
      <c r="AA827" s="9">
        <f>(U827*0.4)+(W827*0.3)+(IF(Z827="Critical",10,IF(Z827="High",7,IF(Z827="Medium",4,1)))*0.2)+(IF(Y827="YES",10,0)*0.1)</f>
        <v/>
      </c>
      <c r="AB827" s="9">
        <f>IF(G827="YES",2.0,0)+IF(H827="YES",2.0,0)</f>
        <v/>
      </c>
      <c r="AC827" s="9" t="n">
        <v>0</v>
      </c>
      <c r="AD827" s="9">
        <f>K827+AB827+AC827</f>
        <v/>
      </c>
      <c r="AE827" s="9">
        <f>(AD827*0.6)+(AA827*0.4)</f>
        <v/>
      </c>
      <c r="AF827">
        <f>IF(AE827&gt;=9,"Critical",IF(AE827&gt;=7,"High",IF(AE827&gt;=4,"Medium","Low")))</f>
        <v/>
      </c>
    </row>
    <row r="828">
      <c r="F828" t="n">
        <v>1</v>
      </c>
      <c r="I828">
        <f>IF(D828="","",TODAY()-D828)</f>
        <v/>
      </c>
      <c r="K828">
        <f>IF(J828="v4.0",L828,IF(J828="v3.1",M828,IF(J828="Both",L828,IF(AND(L828&lt;&gt;"",M828=""),L828,M828))))</f>
        <v/>
      </c>
      <c r="U828">
        <f>IF(T828="Tier 1",10,IF(T828="Tier 2",7,IF(T828="Tier 3",4,IF(T828="Tier 4",1,0))))</f>
        <v/>
      </c>
      <c r="W828">
        <f>IF(V828="Restricted",10,IF(V828="Confidential",7,IF(V828="Internal",4,IF(V828="Public",1,0))))</f>
        <v/>
      </c>
      <c r="AA828" s="9">
        <f>(U828*0.4)+(W828*0.3)+(IF(Z828="Critical",10,IF(Z828="High",7,IF(Z828="Medium",4,1)))*0.2)+(IF(Y828="YES",10,0)*0.1)</f>
        <v/>
      </c>
      <c r="AB828" s="9">
        <f>IF(G828="YES",2.0,0)+IF(H828="YES",2.0,0)</f>
        <v/>
      </c>
      <c r="AC828" s="9" t="n">
        <v>0</v>
      </c>
      <c r="AD828" s="9">
        <f>K828+AB828+AC828</f>
        <v/>
      </c>
      <c r="AE828" s="9">
        <f>(AD828*0.6)+(AA828*0.4)</f>
        <v/>
      </c>
      <c r="AF828">
        <f>IF(AE828&gt;=9,"Critical",IF(AE828&gt;=7,"High",IF(AE828&gt;=4,"Medium","Low")))</f>
        <v/>
      </c>
    </row>
    <row r="829">
      <c r="F829" t="n">
        <v>1</v>
      </c>
      <c r="I829">
        <f>IF(D829="","",TODAY()-D829)</f>
        <v/>
      </c>
      <c r="K829">
        <f>IF(J829="v4.0",L829,IF(J829="v3.1",M829,IF(J829="Both",L829,IF(AND(L829&lt;&gt;"",M829=""),L829,M829))))</f>
        <v/>
      </c>
      <c r="U829">
        <f>IF(T829="Tier 1",10,IF(T829="Tier 2",7,IF(T829="Tier 3",4,IF(T829="Tier 4",1,0))))</f>
        <v/>
      </c>
      <c r="W829">
        <f>IF(V829="Restricted",10,IF(V829="Confidential",7,IF(V829="Internal",4,IF(V829="Public",1,0))))</f>
        <v/>
      </c>
      <c r="AA829" s="9">
        <f>(U829*0.4)+(W829*0.3)+(IF(Z829="Critical",10,IF(Z829="High",7,IF(Z829="Medium",4,1)))*0.2)+(IF(Y829="YES",10,0)*0.1)</f>
        <v/>
      </c>
      <c r="AB829" s="9">
        <f>IF(G829="YES",2.0,0)+IF(H829="YES",2.0,0)</f>
        <v/>
      </c>
      <c r="AC829" s="9" t="n">
        <v>0</v>
      </c>
      <c r="AD829" s="9">
        <f>K829+AB829+AC829</f>
        <v/>
      </c>
      <c r="AE829" s="9">
        <f>(AD829*0.6)+(AA829*0.4)</f>
        <v/>
      </c>
      <c r="AF829">
        <f>IF(AE829&gt;=9,"Critical",IF(AE829&gt;=7,"High",IF(AE829&gt;=4,"Medium","Low")))</f>
        <v/>
      </c>
    </row>
    <row r="830">
      <c r="F830" t="n">
        <v>1</v>
      </c>
      <c r="I830">
        <f>IF(D830="","",TODAY()-D830)</f>
        <v/>
      </c>
      <c r="K830">
        <f>IF(J830="v4.0",L830,IF(J830="v3.1",M830,IF(J830="Both",L830,IF(AND(L830&lt;&gt;"",M830=""),L830,M830))))</f>
        <v/>
      </c>
      <c r="U830">
        <f>IF(T830="Tier 1",10,IF(T830="Tier 2",7,IF(T830="Tier 3",4,IF(T830="Tier 4",1,0))))</f>
        <v/>
      </c>
      <c r="W830">
        <f>IF(V830="Restricted",10,IF(V830="Confidential",7,IF(V830="Internal",4,IF(V830="Public",1,0))))</f>
        <v/>
      </c>
      <c r="AA830" s="9">
        <f>(U830*0.4)+(W830*0.3)+(IF(Z830="Critical",10,IF(Z830="High",7,IF(Z830="Medium",4,1)))*0.2)+(IF(Y830="YES",10,0)*0.1)</f>
        <v/>
      </c>
      <c r="AB830" s="9">
        <f>IF(G830="YES",2.0,0)+IF(H830="YES",2.0,0)</f>
        <v/>
      </c>
      <c r="AC830" s="9" t="n">
        <v>0</v>
      </c>
      <c r="AD830" s="9">
        <f>K830+AB830+AC830</f>
        <v/>
      </c>
      <c r="AE830" s="9">
        <f>(AD830*0.6)+(AA830*0.4)</f>
        <v/>
      </c>
      <c r="AF830">
        <f>IF(AE830&gt;=9,"Critical",IF(AE830&gt;=7,"High",IF(AE830&gt;=4,"Medium","Low")))</f>
        <v/>
      </c>
    </row>
    <row r="831">
      <c r="F831" t="n">
        <v>1</v>
      </c>
      <c r="I831">
        <f>IF(D831="","",TODAY()-D831)</f>
        <v/>
      </c>
      <c r="K831">
        <f>IF(J831="v4.0",L831,IF(J831="v3.1",M831,IF(J831="Both",L831,IF(AND(L831&lt;&gt;"",M831=""),L831,M831))))</f>
        <v/>
      </c>
      <c r="U831">
        <f>IF(T831="Tier 1",10,IF(T831="Tier 2",7,IF(T831="Tier 3",4,IF(T831="Tier 4",1,0))))</f>
        <v/>
      </c>
      <c r="W831">
        <f>IF(V831="Restricted",10,IF(V831="Confidential",7,IF(V831="Internal",4,IF(V831="Public",1,0))))</f>
        <v/>
      </c>
      <c r="AA831" s="9">
        <f>(U831*0.4)+(W831*0.3)+(IF(Z831="Critical",10,IF(Z831="High",7,IF(Z831="Medium",4,1)))*0.2)+(IF(Y831="YES",10,0)*0.1)</f>
        <v/>
      </c>
      <c r="AB831" s="9">
        <f>IF(G831="YES",2.0,0)+IF(H831="YES",2.0,0)</f>
        <v/>
      </c>
      <c r="AC831" s="9" t="n">
        <v>0</v>
      </c>
      <c r="AD831" s="9">
        <f>K831+AB831+AC831</f>
        <v/>
      </c>
      <c r="AE831" s="9">
        <f>(AD831*0.6)+(AA831*0.4)</f>
        <v/>
      </c>
      <c r="AF831">
        <f>IF(AE831&gt;=9,"Critical",IF(AE831&gt;=7,"High",IF(AE831&gt;=4,"Medium","Low")))</f>
        <v/>
      </c>
    </row>
    <row r="832">
      <c r="F832" t="n">
        <v>1</v>
      </c>
      <c r="I832">
        <f>IF(D832="","",TODAY()-D832)</f>
        <v/>
      </c>
      <c r="K832">
        <f>IF(J832="v4.0",L832,IF(J832="v3.1",M832,IF(J832="Both",L832,IF(AND(L832&lt;&gt;"",M832=""),L832,M832))))</f>
        <v/>
      </c>
      <c r="U832">
        <f>IF(T832="Tier 1",10,IF(T832="Tier 2",7,IF(T832="Tier 3",4,IF(T832="Tier 4",1,0))))</f>
        <v/>
      </c>
      <c r="W832">
        <f>IF(V832="Restricted",10,IF(V832="Confidential",7,IF(V832="Internal",4,IF(V832="Public",1,0))))</f>
        <v/>
      </c>
      <c r="AA832" s="9">
        <f>(U832*0.4)+(W832*0.3)+(IF(Z832="Critical",10,IF(Z832="High",7,IF(Z832="Medium",4,1)))*0.2)+(IF(Y832="YES",10,0)*0.1)</f>
        <v/>
      </c>
      <c r="AB832" s="9">
        <f>IF(G832="YES",2.0,0)+IF(H832="YES",2.0,0)</f>
        <v/>
      </c>
      <c r="AC832" s="9" t="n">
        <v>0</v>
      </c>
      <c r="AD832" s="9">
        <f>K832+AB832+AC832</f>
        <v/>
      </c>
      <c r="AE832" s="9">
        <f>(AD832*0.6)+(AA832*0.4)</f>
        <v/>
      </c>
      <c r="AF832">
        <f>IF(AE832&gt;=9,"Critical",IF(AE832&gt;=7,"High",IF(AE832&gt;=4,"Medium","Low")))</f>
        <v/>
      </c>
    </row>
    <row r="833">
      <c r="F833" t="n">
        <v>1</v>
      </c>
      <c r="I833">
        <f>IF(D833="","",TODAY()-D833)</f>
        <v/>
      </c>
      <c r="K833">
        <f>IF(J833="v4.0",L833,IF(J833="v3.1",M833,IF(J833="Both",L833,IF(AND(L833&lt;&gt;"",M833=""),L833,M833))))</f>
        <v/>
      </c>
      <c r="U833">
        <f>IF(T833="Tier 1",10,IF(T833="Tier 2",7,IF(T833="Tier 3",4,IF(T833="Tier 4",1,0))))</f>
        <v/>
      </c>
      <c r="W833">
        <f>IF(V833="Restricted",10,IF(V833="Confidential",7,IF(V833="Internal",4,IF(V833="Public",1,0))))</f>
        <v/>
      </c>
      <c r="AA833" s="9">
        <f>(U833*0.4)+(W833*0.3)+(IF(Z833="Critical",10,IF(Z833="High",7,IF(Z833="Medium",4,1)))*0.2)+(IF(Y833="YES",10,0)*0.1)</f>
        <v/>
      </c>
      <c r="AB833" s="9">
        <f>IF(G833="YES",2.0,0)+IF(H833="YES",2.0,0)</f>
        <v/>
      </c>
      <c r="AC833" s="9" t="n">
        <v>0</v>
      </c>
      <c r="AD833" s="9">
        <f>K833+AB833+AC833</f>
        <v/>
      </c>
      <c r="AE833" s="9">
        <f>(AD833*0.6)+(AA833*0.4)</f>
        <v/>
      </c>
      <c r="AF833">
        <f>IF(AE833&gt;=9,"Critical",IF(AE833&gt;=7,"High",IF(AE833&gt;=4,"Medium","Low")))</f>
        <v/>
      </c>
    </row>
    <row r="834">
      <c r="F834" t="n">
        <v>1</v>
      </c>
      <c r="I834">
        <f>IF(D834="","",TODAY()-D834)</f>
        <v/>
      </c>
      <c r="K834">
        <f>IF(J834="v4.0",L834,IF(J834="v3.1",M834,IF(J834="Both",L834,IF(AND(L834&lt;&gt;"",M834=""),L834,M834))))</f>
        <v/>
      </c>
      <c r="U834">
        <f>IF(T834="Tier 1",10,IF(T834="Tier 2",7,IF(T834="Tier 3",4,IF(T834="Tier 4",1,0))))</f>
        <v/>
      </c>
      <c r="W834">
        <f>IF(V834="Restricted",10,IF(V834="Confidential",7,IF(V834="Internal",4,IF(V834="Public",1,0))))</f>
        <v/>
      </c>
      <c r="AA834" s="9">
        <f>(U834*0.4)+(W834*0.3)+(IF(Z834="Critical",10,IF(Z834="High",7,IF(Z834="Medium",4,1)))*0.2)+(IF(Y834="YES",10,0)*0.1)</f>
        <v/>
      </c>
      <c r="AB834" s="9">
        <f>IF(G834="YES",2.0,0)+IF(H834="YES",2.0,0)</f>
        <v/>
      </c>
      <c r="AC834" s="9" t="n">
        <v>0</v>
      </c>
      <c r="AD834" s="9">
        <f>K834+AB834+AC834</f>
        <v/>
      </c>
      <c r="AE834" s="9">
        <f>(AD834*0.6)+(AA834*0.4)</f>
        <v/>
      </c>
      <c r="AF834">
        <f>IF(AE834&gt;=9,"Critical",IF(AE834&gt;=7,"High",IF(AE834&gt;=4,"Medium","Low")))</f>
        <v/>
      </c>
    </row>
    <row r="835">
      <c r="F835" t="n">
        <v>1</v>
      </c>
      <c r="I835">
        <f>IF(D835="","",TODAY()-D835)</f>
        <v/>
      </c>
      <c r="K835">
        <f>IF(J835="v4.0",L835,IF(J835="v3.1",M835,IF(J835="Both",L835,IF(AND(L835&lt;&gt;"",M835=""),L835,M835))))</f>
        <v/>
      </c>
      <c r="U835">
        <f>IF(T835="Tier 1",10,IF(T835="Tier 2",7,IF(T835="Tier 3",4,IF(T835="Tier 4",1,0))))</f>
        <v/>
      </c>
      <c r="W835">
        <f>IF(V835="Restricted",10,IF(V835="Confidential",7,IF(V835="Internal",4,IF(V835="Public",1,0))))</f>
        <v/>
      </c>
      <c r="AA835" s="9">
        <f>(U835*0.4)+(W835*0.3)+(IF(Z835="Critical",10,IF(Z835="High",7,IF(Z835="Medium",4,1)))*0.2)+(IF(Y835="YES",10,0)*0.1)</f>
        <v/>
      </c>
      <c r="AB835" s="9">
        <f>IF(G835="YES",2.0,0)+IF(H835="YES",2.0,0)</f>
        <v/>
      </c>
      <c r="AC835" s="9" t="n">
        <v>0</v>
      </c>
      <c r="AD835" s="9">
        <f>K835+AB835+AC835</f>
        <v/>
      </c>
      <c r="AE835" s="9">
        <f>(AD835*0.6)+(AA835*0.4)</f>
        <v/>
      </c>
      <c r="AF835">
        <f>IF(AE835&gt;=9,"Critical",IF(AE835&gt;=7,"High",IF(AE835&gt;=4,"Medium","Low")))</f>
        <v/>
      </c>
    </row>
    <row r="836">
      <c r="F836" t="n">
        <v>1</v>
      </c>
      <c r="I836">
        <f>IF(D836="","",TODAY()-D836)</f>
        <v/>
      </c>
      <c r="K836">
        <f>IF(J836="v4.0",L836,IF(J836="v3.1",M836,IF(J836="Both",L836,IF(AND(L836&lt;&gt;"",M836=""),L836,M836))))</f>
        <v/>
      </c>
      <c r="U836">
        <f>IF(T836="Tier 1",10,IF(T836="Tier 2",7,IF(T836="Tier 3",4,IF(T836="Tier 4",1,0))))</f>
        <v/>
      </c>
      <c r="W836">
        <f>IF(V836="Restricted",10,IF(V836="Confidential",7,IF(V836="Internal",4,IF(V836="Public",1,0))))</f>
        <v/>
      </c>
      <c r="AA836" s="9">
        <f>(U836*0.4)+(W836*0.3)+(IF(Z836="Critical",10,IF(Z836="High",7,IF(Z836="Medium",4,1)))*0.2)+(IF(Y836="YES",10,0)*0.1)</f>
        <v/>
      </c>
      <c r="AB836" s="9">
        <f>IF(G836="YES",2.0,0)+IF(H836="YES",2.0,0)</f>
        <v/>
      </c>
      <c r="AC836" s="9" t="n">
        <v>0</v>
      </c>
      <c r="AD836" s="9">
        <f>K836+AB836+AC836</f>
        <v/>
      </c>
      <c r="AE836" s="9">
        <f>(AD836*0.6)+(AA836*0.4)</f>
        <v/>
      </c>
      <c r="AF836">
        <f>IF(AE836&gt;=9,"Critical",IF(AE836&gt;=7,"High",IF(AE836&gt;=4,"Medium","Low")))</f>
        <v/>
      </c>
    </row>
    <row r="837">
      <c r="F837" t="n">
        <v>1</v>
      </c>
      <c r="I837">
        <f>IF(D837="","",TODAY()-D837)</f>
        <v/>
      </c>
      <c r="K837">
        <f>IF(J837="v4.0",L837,IF(J837="v3.1",M837,IF(J837="Both",L837,IF(AND(L837&lt;&gt;"",M837=""),L837,M837))))</f>
        <v/>
      </c>
      <c r="U837">
        <f>IF(T837="Tier 1",10,IF(T837="Tier 2",7,IF(T837="Tier 3",4,IF(T837="Tier 4",1,0))))</f>
        <v/>
      </c>
      <c r="W837">
        <f>IF(V837="Restricted",10,IF(V837="Confidential",7,IF(V837="Internal",4,IF(V837="Public",1,0))))</f>
        <v/>
      </c>
      <c r="AA837" s="9">
        <f>(U837*0.4)+(W837*0.3)+(IF(Z837="Critical",10,IF(Z837="High",7,IF(Z837="Medium",4,1)))*0.2)+(IF(Y837="YES",10,0)*0.1)</f>
        <v/>
      </c>
      <c r="AB837" s="9">
        <f>IF(G837="YES",2.0,0)+IF(H837="YES",2.0,0)</f>
        <v/>
      </c>
      <c r="AC837" s="9" t="n">
        <v>0</v>
      </c>
      <c r="AD837" s="9">
        <f>K837+AB837+AC837</f>
        <v/>
      </c>
      <c r="AE837" s="9">
        <f>(AD837*0.6)+(AA837*0.4)</f>
        <v/>
      </c>
      <c r="AF837">
        <f>IF(AE837&gt;=9,"Critical",IF(AE837&gt;=7,"High",IF(AE837&gt;=4,"Medium","Low")))</f>
        <v/>
      </c>
    </row>
    <row r="838">
      <c r="F838" t="n">
        <v>1</v>
      </c>
      <c r="I838">
        <f>IF(D838="","",TODAY()-D838)</f>
        <v/>
      </c>
      <c r="K838">
        <f>IF(J838="v4.0",L838,IF(J838="v3.1",M838,IF(J838="Both",L838,IF(AND(L838&lt;&gt;"",M838=""),L838,M838))))</f>
        <v/>
      </c>
      <c r="U838">
        <f>IF(T838="Tier 1",10,IF(T838="Tier 2",7,IF(T838="Tier 3",4,IF(T838="Tier 4",1,0))))</f>
        <v/>
      </c>
      <c r="W838">
        <f>IF(V838="Restricted",10,IF(V838="Confidential",7,IF(V838="Internal",4,IF(V838="Public",1,0))))</f>
        <v/>
      </c>
      <c r="AA838" s="9">
        <f>(U838*0.4)+(W838*0.3)+(IF(Z838="Critical",10,IF(Z838="High",7,IF(Z838="Medium",4,1)))*0.2)+(IF(Y838="YES",10,0)*0.1)</f>
        <v/>
      </c>
      <c r="AB838" s="9">
        <f>IF(G838="YES",2.0,0)+IF(H838="YES",2.0,0)</f>
        <v/>
      </c>
      <c r="AC838" s="9" t="n">
        <v>0</v>
      </c>
      <c r="AD838" s="9">
        <f>K838+AB838+AC838</f>
        <v/>
      </c>
      <c r="AE838" s="9">
        <f>(AD838*0.6)+(AA838*0.4)</f>
        <v/>
      </c>
      <c r="AF838">
        <f>IF(AE838&gt;=9,"Critical",IF(AE838&gt;=7,"High",IF(AE838&gt;=4,"Medium","Low")))</f>
        <v/>
      </c>
    </row>
    <row r="839">
      <c r="F839" t="n">
        <v>1</v>
      </c>
      <c r="I839">
        <f>IF(D839="","",TODAY()-D839)</f>
        <v/>
      </c>
      <c r="K839">
        <f>IF(J839="v4.0",L839,IF(J839="v3.1",M839,IF(J839="Both",L839,IF(AND(L839&lt;&gt;"",M839=""),L839,M839))))</f>
        <v/>
      </c>
      <c r="U839">
        <f>IF(T839="Tier 1",10,IF(T839="Tier 2",7,IF(T839="Tier 3",4,IF(T839="Tier 4",1,0))))</f>
        <v/>
      </c>
      <c r="W839">
        <f>IF(V839="Restricted",10,IF(V839="Confidential",7,IF(V839="Internal",4,IF(V839="Public",1,0))))</f>
        <v/>
      </c>
      <c r="AA839" s="9">
        <f>(U839*0.4)+(W839*0.3)+(IF(Z839="Critical",10,IF(Z839="High",7,IF(Z839="Medium",4,1)))*0.2)+(IF(Y839="YES",10,0)*0.1)</f>
        <v/>
      </c>
      <c r="AB839" s="9">
        <f>IF(G839="YES",2.0,0)+IF(H839="YES",2.0,0)</f>
        <v/>
      </c>
      <c r="AC839" s="9" t="n">
        <v>0</v>
      </c>
      <c r="AD839" s="9">
        <f>K839+AB839+AC839</f>
        <v/>
      </c>
      <c r="AE839" s="9">
        <f>(AD839*0.6)+(AA839*0.4)</f>
        <v/>
      </c>
      <c r="AF839">
        <f>IF(AE839&gt;=9,"Critical",IF(AE839&gt;=7,"High",IF(AE839&gt;=4,"Medium","Low")))</f>
        <v/>
      </c>
    </row>
    <row r="840">
      <c r="F840" t="n">
        <v>1</v>
      </c>
      <c r="I840">
        <f>IF(D840="","",TODAY()-D840)</f>
        <v/>
      </c>
      <c r="K840">
        <f>IF(J840="v4.0",L840,IF(J840="v3.1",M840,IF(J840="Both",L840,IF(AND(L840&lt;&gt;"",M840=""),L840,M840))))</f>
        <v/>
      </c>
      <c r="U840">
        <f>IF(T840="Tier 1",10,IF(T840="Tier 2",7,IF(T840="Tier 3",4,IF(T840="Tier 4",1,0))))</f>
        <v/>
      </c>
      <c r="W840">
        <f>IF(V840="Restricted",10,IF(V840="Confidential",7,IF(V840="Internal",4,IF(V840="Public",1,0))))</f>
        <v/>
      </c>
      <c r="AA840" s="9">
        <f>(U840*0.4)+(W840*0.3)+(IF(Z840="Critical",10,IF(Z840="High",7,IF(Z840="Medium",4,1)))*0.2)+(IF(Y840="YES",10,0)*0.1)</f>
        <v/>
      </c>
      <c r="AB840" s="9">
        <f>IF(G840="YES",2.0,0)+IF(H840="YES",2.0,0)</f>
        <v/>
      </c>
      <c r="AC840" s="9" t="n">
        <v>0</v>
      </c>
      <c r="AD840" s="9">
        <f>K840+AB840+AC840</f>
        <v/>
      </c>
      <c r="AE840" s="9">
        <f>(AD840*0.6)+(AA840*0.4)</f>
        <v/>
      </c>
      <c r="AF840">
        <f>IF(AE840&gt;=9,"Critical",IF(AE840&gt;=7,"High",IF(AE840&gt;=4,"Medium","Low")))</f>
        <v/>
      </c>
    </row>
    <row r="841">
      <c r="F841" t="n">
        <v>1</v>
      </c>
      <c r="I841">
        <f>IF(D841="","",TODAY()-D841)</f>
        <v/>
      </c>
      <c r="K841">
        <f>IF(J841="v4.0",L841,IF(J841="v3.1",M841,IF(J841="Both",L841,IF(AND(L841&lt;&gt;"",M841=""),L841,M841))))</f>
        <v/>
      </c>
      <c r="U841">
        <f>IF(T841="Tier 1",10,IF(T841="Tier 2",7,IF(T841="Tier 3",4,IF(T841="Tier 4",1,0))))</f>
        <v/>
      </c>
      <c r="W841">
        <f>IF(V841="Restricted",10,IF(V841="Confidential",7,IF(V841="Internal",4,IF(V841="Public",1,0))))</f>
        <v/>
      </c>
      <c r="AA841" s="9">
        <f>(U841*0.4)+(W841*0.3)+(IF(Z841="Critical",10,IF(Z841="High",7,IF(Z841="Medium",4,1)))*0.2)+(IF(Y841="YES",10,0)*0.1)</f>
        <v/>
      </c>
      <c r="AB841" s="9">
        <f>IF(G841="YES",2.0,0)+IF(H841="YES",2.0,0)</f>
        <v/>
      </c>
      <c r="AC841" s="9" t="n">
        <v>0</v>
      </c>
      <c r="AD841" s="9">
        <f>K841+AB841+AC841</f>
        <v/>
      </c>
      <c r="AE841" s="9">
        <f>(AD841*0.6)+(AA841*0.4)</f>
        <v/>
      </c>
      <c r="AF841">
        <f>IF(AE841&gt;=9,"Critical",IF(AE841&gt;=7,"High",IF(AE841&gt;=4,"Medium","Low")))</f>
        <v/>
      </c>
    </row>
    <row r="842">
      <c r="F842" t="n">
        <v>1</v>
      </c>
      <c r="I842">
        <f>IF(D842="","",TODAY()-D842)</f>
        <v/>
      </c>
      <c r="K842">
        <f>IF(J842="v4.0",L842,IF(J842="v3.1",M842,IF(J842="Both",L842,IF(AND(L842&lt;&gt;"",M842=""),L842,M842))))</f>
        <v/>
      </c>
      <c r="U842">
        <f>IF(T842="Tier 1",10,IF(T842="Tier 2",7,IF(T842="Tier 3",4,IF(T842="Tier 4",1,0))))</f>
        <v/>
      </c>
      <c r="W842">
        <f>IF(V842="Restricted",10,IF(V842="Confidential",7,IF(V842="Internal",4,IF(V842="Public",1,0))))</f>
        <v/>
      </c>
      <c r="AA842" s="9">
        <f>(U842*0.4)+(W842*0.3)+(IF(Z842="Critical",10,IF(Z842="High",7,IF(Z842="Medium",4,1)))*0.2)+(IF(Y842="YES",10,0)*0.1)</f>
        <v/>
      </c>
      <c r="AB842" s="9">
        <f>IF(G842="YES",2.0,0)+IF(H842="YES",2.0,0)</f>
        <v/>
      </c>
      <c r="AC842" s="9" t="n">
        <v>0</v>
      </c>
      <c r="AD842" s="9">
        <f>K842+AB842+AC842</f>
        <v/>
      </c>
      <c r="AE842" s="9">
        <f>(AD842*0.6)+(AA842*0.4)</f>
        <v/>
      </c>
      <c r="AF842">
        <f>IF(AE842&gt;=9,"Critical",IF(AE842&gt;=7,"High",IF(AE842&gt;=4,"Medium","Low")))</f>
        <v/>
      </c>
    </row>
    <row r="843">
      <c r="F843" t="n">
        <v>1</v>
      </c>
      <c r="I843">
        <f>IF(D843="","",TODAY()-D843)</f>
        <v/>
      </c>
      <c r="K843">
        <f>IF(J843="v4.0",L843,IF(J843="v3.1",M843,IF(J843="Both",L843,IF(AND(L843&lt;&gt;"",M843=""),L843,M843))))</f>
        <v/>
      </c>
      <c r="U843">
        <f>IF(T843="Tier 1",10,IF(T843="Tier 2",7,IF(T843="Tier 3",4,IF(T843="Tier 4",1,0))))</f>
        <v/>
      </c>
      <c r="W843">
        <f>IF(V843="Restricted",10,IF(V843="Confidential",7,IF(V843="Internal",4,IF(V843="Public",1,0))))</f>
        <v/>
      </c>
      <c r="AA843" s="9">
        <f>(U843*0.4)+(W843*0.3)+(IF(Z843="Critical",10,IF(Z843="High",7,IF(Z843="Medium",4,1)))*0.2)+(IF(Y843="YES",10,0)*0.1)</f>
        <v/>
      </c>
      <c r="AB843" s="9">
        <f>IF(G843="YES",2.0,0)+IF(H843="YES",2.0,0)</f>
        <v/>
      </c>
      <c r="AC843" s="9" t="n">
        <v>0</v>
      </c>
      <c r="AD843" s="9">
        <f>K843+AB843+AC843</f>
        <v/>
      </c>
      <c r="AE843" s="9">
        <f>(AD843*0.6)+(AA843*0.4)</f>
        <v/>
      </c>
      <c r="AF843">
        <f>IF(AE843&gt;=9,"Critical",IF(AE843&gt;=7,"High",IF(AE843&gt;=4,"Medium","Low")))</f>
        <v/>
      </c>
    </row>
    <row r="844">
      <c r="F844" t="n">
        <v>1</v>
      </c>
      <c r="I844">
        <f>IF(D844="","",TODAY()-D844)</f>
        <v/>
      </c>
      <c r="K844">
        <f>IF(J844="v4.0",L844,IF(J844="v3.1",M844,IF(J844="Both",L844,IF(AND(L844&lt;&gt;"",M844=""),L844,M844))))</f>
        <v/>
      </c>
      <c r="U844">
        <f>IF(T844="Tier 1",10,IF(T844="Tier 2",7,IF(T844="Tier 3",4,IF(T844="Tier 4",1,0))))</f>
        <v/>
      </c>
      <c r="W844">
        <f>IF(V844="Restricted",10,IF(V844="Confidential",7,IF(V844="Internal",4,IF(V844="Public",1,0))))</f>
        <v/>
      </c>
      <c r="AA844" s="9">
        <f>(U844*0.4)+(W844*0.3)+(IF(Z844="Critical",10,IF(Z844="High",7,IF(Z844="Medium",4,1)))*0.2)+(IF(Y844="YES",10,0)*0.1)</f>
        <v/>
      </c>
      <c r="AB844" s="9">
        <f>IF(G844="YES",2.0,0)+IF(H844="YES",2.0,0)</f>
        <v/>
      </c>
      <c r="AC844" s="9" t="n">
        <v>0</v>
      </c>
      <c r="AD844" s="9">
        <f>K844+AB844+AC844</f>
        <v/>
      </c>
      <c r="AE844" s="9">
        <f>(AD844*0.6)+(AA844*0.4)</f>
        <v/>
      </c>
      <c r="AF844">
        <f>IF(AE844&gt;=9,"Critical",IF(AE844&gt;=7,"High",IF(AE844&gt;=4,"Medium","Low")))</f>
        <v/>
      </c>
    </row>
    <row r="845">
      <c r="F845" t="n">
        <v>1</v>
      </c>
      <c r="I845">
        <f>IF(D845="","",TODAY()-D845)</f>
        <v/>
      </c>
      <c r="K845">
        <f>IF(J845="v4.0",L845,IF(J845="v3.1",M845,IF(J845="Both",L845,IF(AND(L845&lt;&gt;"",M845=""),L845,M845))))</f>
        <v/>
      </c>
      <c r="U845">
        <f>IF(T845="Tier 1",10,IF(T845="Tier 2",7,IF(T845="Tier 3",4,IF(T845="Tier 4",1,0))))</f>
        <v/>
      </c>
      <c r="W845">
        <f>IF(V845="Restricted",10,IF(V845="Confidential",7,IF(V845="Internal",4,IF(V845="Public",1,0))))</f>
        <v/>
      </c>
      <c r="AA845" s="9">
        <f>(U845*0.4)+(W845*0.3)+(IF(Z845="Critical",10,IF(Z845="High",7,IF(Z845="Medium",4,1)))*0.2)+(IF(Y845="YES",10,0)*0.1)</f>
        <v/>
      </c>
      <c r="AB845" s="9">
        <f>IF(G845="YES",2.0,0)+IF(H845="YES",2.0,0)</f>
        <v/>
      </c>
      <c r="AC845" s="9" t="n">
        <v>0</v>
      </c>
      <c r="AD845" s="9">
        <f>K845+AB845+AC845</f>
        <v/>
      </c>
      <c r="AE845" s="9">
        <f>(AD845*0.6)+(AA845*0.4)</f>
        <v/>
      </c>
      <c r="AF845">
        <f>IF(AE845&gt;=9,"Critical",IF(AE845&gt;=7,"High",IF(AE845&gt;=4,"Medium","Low")))</f>
        <v/>
      </c>
    </row>
    <row r="846">
      <c r="F846" t="n">
        <v>1</v>
      </c>
      <c r="I846">
        <f>IF(D846="","",TODAY()-D846)</f>
        <v/>
      </c>
      <c r="K846">
        <f>IF(J846="v4.0",L846,IF(J846="v3.1",M846,IF(J846="Both",L846,IF(AND(L846&lt;&gt;"",M846=""),L846,M846))))</f>
        <v/>
      </c>
      <c r="U846">
        <f>IF(T846="Tier 1",10,IF(T846="Tier 2",7,IF(T846="Tier 3",4,IF(T846="Tier 4",1,0))))</f>
        <v/>
      </c>
      <c r="W846">
        <f>IF(V846="Restricted",10,IF(V846="Confidential",7,IF(V846="Internal",4,IF(V846="Public",1,0))))</f>
        <v/>
      </c>
      <c r="AA846" s="9">
        <f>(U846*0.4)+(W846*0.3)+(IF(Z846="Critical",10,IF(Z846="High",7,IF(Z846="Medium",4,1)))*0.2)+(IF(Y846="YES",10,0)*0.1)</f>
        <v/>
      </c>
      <c r="AB846" s="9">
        <f>IF(G846="YES",2.0,0)+IF(H846="YES",2.0,0)</f>
        <v/>
      </c>
      <c r="AC846" s="9" t="n">
        <v>0</v>
      </c>
      <c r="AD846" s="9">
        <f>K846+AB846+AC846</f>
        <v/>
      </c>
      <c r="AE846" s="9">
        <f>(AD846*0.6)+(AA846*0.4)</f>
        <v/>
      </c>
      <c r="AF846">
        <f>IF(AE846&gt;=9,"Critical",IF(AE846&gt;=7,"High",IF(AE846&gt;=4,"Medium","Low")))</f>
        <v/>
      </c>
    </row>
    <row r="847">
      <c r="F847" t="n">
        <v>1</v>
      </c>
      <c r="I847">
        <f>IF(D847="","",TODAY()-D847)</f>
        <v/>
      </c>
      <c r="K847">
        <f>IF(J847="v4.0",L847,IF(J847="v3.1",M847,IF(J847="Both",L847,IF(AND(L847&lt;&gt;"",M847=""),L847,M847))))</f>
        <v/>
      </c>
      <c r="U847">
        <f>IF(T847="Tier 1",10,IF(T847="Tier 2",7,IF(T847="Tier 3",4,IF(T847="Tier 4",1,0))))</f>
        <v/>
      </c>
      <c r="W847">
        <f>IF(V847="Restricted",10,IF(V847="Confidential",7,IF(V847="Internal",4,IF(V847="Public",1,0))))</f>
        <v/>
      </c>
      <c r="AA847" s="9">
        <f>(U847*0.4)+(W847*0.3)+(IF(Z847="Critical",10,IF(Z847="High",7,IF(Z847="Medium",4,1)))*0.2)+(IF(Y847="YES",10,0)*0.1)</f>
        <v/>
      </c>
      <c r="AB847" s="9">
        <f>IF(G847="YES",2.0,0)+IF(H847="YES",2.0,0)</f>
        <v/>
      </c>
      <c r="AC847" s="9" t="n">
        <v>0</v>
      </c>
      <c r="AD847" s="9">
        <f>K847+AB847+AC847</f>
        <v/>
      </c>
      <c r="AE847" s="9">
        <f>(AD847*0.6)+(AA847*0.4)</f>
        <v/>
      </c>
      <c r="AF847">
        <f>IF(AE847&gt;=9,"Critical",IF(AE847&gt;=7,"High",IF(AE847&gt;=4,"Medium","Low")))</f>
        <v/>
      </c>
    </row>
    <row r="848">
      <c r="F848" t="n">
        <v>1</v>
      </c>
      <c r="I848">
        <f>IF(D848="","",TODAY()-D848)</f>
        <v/>
      </c>
      <c r="K848">
        <f>IF(J848="v4.0",L848,IF(J848="v3.1",M848,IF(J848="Both",L848,IF(AND(L848&lt;&gt;"",M848=""),L848,M848))))</f>
        <v/>
      </c>
      <c r="U848">
        <f>IF(T848="Tier 1",10,IF(T848="Tier 2",7,IF(T848="Tier 3",4,IF(T848="Tier 4",1,0))))</f>
        <v/>
      </c>
      <c r="W848">
        <f>IF(V848="Restricted",10,IF(V848="Confidential",7,IF(V848="Internal",4,IF(V848="Public",1,0))))</f>
        <v/>
      </c>
      <c r="AA848" s="9">
        <f>(U848*0.4)+(W848*0.3)+(IF(Z848="Critical",10,IF(Z848="High",7,IF(Z848="Medium",4,1)))*0.2)+(IF(Y848="YES",10,0)*0.1)</f>
        <v/>
      </c>
      <c r="AB848" s="9">
        <f>IF(G848="YES",2.0,0)+IF(H848="YES",2.0,0)</f>
        <v/>
      </c>
      <c r="AC848" s="9" t="n">
        <v>0</v>
      </c>
      <c r="AD848" s="9">
        <f>K848+AB848+AC848</f>
        <v/>
      </c>
      <c r="AE848" s="9">
        <f>(AD848*0.6)+(AA848*0.4)</f>
        <v/>
      </c>
      <c r="AF848">
        <f>IF(AE848&gt;=9,"Critical",IF(AE848&gt;=7,"High",IF(AE848&gt;=4,"Medium","Low")))</f>
        <v/>
      </c>
    </row>
    <row r="849">
      <c r="F849" t="n">
        <v>1</v>
      </c>
      <c r="I849">
        <f>IF(D849="","",TODAY()-D849)</f>
        <v/>
      </c>
      <c r="K849">
        <f>IF(J849="v4.0",L849,IF(J849="v3.1",M849,IF(J849="Both",L849,IF(AND(L849&lt;&gt;"",M849=""),L849,M849))))</f>
        <v/>
      </c>
      <c r="U849">
        <f>IF(T849="Tier 1",10,IF(T849="Tier 2",7,IF(T849="Tier 3",4,IF(T849="Tier 4",1,0))))</f>
        <v/>
      </c>
      <c r="W849">
        <f>IF(V849="Restricted",10,IF(V849="Confidential",7,IF(V849="Internal",4,IF(V849="Public",1,0))))</f>
        <v/>
      </c>
      <c r="AA849" s="9">
        <f>(U849*0.4)+(W849*0.3)+(IF(Z849="Critical",10,IF(Z849="High",7,IF(Z849="Medium",4,1)))*0.2)+(IF(Y849="YES",10,0)*0.1)</f>
        <v/>
      </c>
      <c r="AB849" s="9">
        <f>IF(G849="YES",2.0,0)+IF(H849="YES",2.0,0)</f>
        <v/>
      </c>
      <c r="AC849" s="9" t="n">
        <v>0</v>
      </c>
      <c r="AD849" s="9">
        <f>K849+AB849+AC849</f>
        <v/>
      </c>
      <c r="AE849" s="9">
        <f>(AD849*0.6)+(AA849*0.4)</f>
        <v/>
      </c>
      <c r="AF849">
        <f>IF(AE849&gt;=9,"Critical",IF(AE849&gt;=7,"High",IF(AE849&gt;=4,"Medium","Low")))</f>
        <v/>
      </c>
    </row>
    <row r="850">
      <c r="F850" t="n">
        <v>1</v>
      </c>
      <c r="I850">
        <f>IF(D850="","",TODAY()-D850)</f>
        <v/>
      </c>
      <c r="K850">
        <f>IF(J850="v4.0",L850,IF(J850="v3.1",M850,IF(J850="Both",L850,IF(AND(L850&lt;&gt;"",M850=""),L850,M850))))</f>
        <v/>
      </c>
      <c r="U850">
        <f>IF(T850="Tier 1",10,IF(T850="Tier 2",7,IF(T850="Tier 3",4,IF(T850="Tier 4",1,0))))</f>
        <v/>
      </c>
      <c r="W850">
        <f>IF(V850="Restricted",10,IF(V850="Confidential",7,IF(V850="Internal",4,IF(V850="Public",1,0))))</f>
        <v/>
      </c>
      <c r="AA850" s="9">
        <f>(U850*0.4)+(W850*0.3)+(IF(Z850="Critical",10,IF(Z850="High",7,IF(Z850="Medium",4,1)))*0.2)+(IF(Y850="YES",10,0)*0.1)</f>
        <v/>
      </c>
      <c r="AB850" s="9">
        <f>IF(G850="YES",2.0,0)+IF(H850="YES",2.0,0)</f>
        <v/>
      </c>
      <c r="AC850" s="9" t="n">
        <v>0</v>
      </c>
      <c r="AD850" s="9">
        <f>K850+AB850+AC850</f>
        <v/>
      </c>
      <c r="AE850" s="9">
        <f>(AD850*0.6)+(AA850*0.4)</f>
        <v/>
      </c>
      <c r="AF850">
        <f>IF(AE850&gt;=9,"Critical",IF(AE850&gt;=7,"High",IF(AE850&gt;=4,"Medium","Low")))</f>
        <v/>
      </c>
    </row>
    <row r="851">
      <c r="F851" t="n">
        <v>1</v>
      </c>
      <c r="I851">
        <f>IF(D851="","",TODAY()-D851)</f>
        <v/>
      </c>
      <c r="K851">
        <f>IF(J851="v4.0",L851,IF(J851="v3.1",M851,IF(J851="Both",L851,IF(AND(L851&lt;&gt;"",M851=""),L851,M851))))</f>
        <v/>
      </c>
      <c r="U851">
        <f>IF(T851="Tier 1",10,IF(T851="Tier 2",7,IF(T851="Tier 3",4,IF(T851="Tier 4",1,0))))</f>
        <v/>
      </c>
      <c r="W851">
        <f>IF(V851="Restricted",10,IF(V851="Confidential",7,IF(V851="Internal",4,IF(V851="Public",1,0))))</f>
        <v/>
      </c>
      <c r="AA851" s="9">
        <f>(U851*0.4)+(W851*0.3)+(IF(Z851="Critical",10,IF(Z851="High",7,IF(Z851="Medium",4,1)))*0.2)+(IF(Y851="YES",10,0)*0.1)</f>
        <v/>
      </c>
      <c r="AB851" s="9">
        <f>IF(G851="YES",2.0,0)+IF(H851="YES",2.0,0)</f>
        <v/>
      </c>
      <c r="AC851" s="9" t="n">
        <v>0</v>
      </c>
      <c r="AD851" s="9">
        <f>K851+AB851+AC851</f>
        <v/>
      </c>
      <c r="AE851" s="9">
        <f>(AD851*0.6)+(AA851*0.4)</f>
        <v/>
      </c>
      <c r="AF851">
        <f>IF(AE851&gt;=9,"Critical",IF(AE851&gt;=7,"High",IF(AE851&gt;=4,"Medium","Low")))</f>
        <v/>
      </c>
    </row>
    <row r="852">
      <c r="F852" t="n">
        <v>1</v>
      </c>
      <c r="I852">
        <f>IF(D852="","",TODAY()-D852)</f>
        <v/>
      </c>
      <c r="K852">
        <f>IF(J852="v4.0",L852,IF(J852="v3.1",M852,IF(J852="Both",L852,IF(AND(L852&lt;&gt;"",M852=""),L852,M852))))</f>
        <v/>
      </c>
      <c r="U852">
        <f>IF(T852="Tier 1",10,IF(T852="Tier 2",7,IF(T852="Tier 3",4,IF(T852="Tier 4",1,0))))</f>
        <v/>
      </c>
      <c r="W852">
        <f>IF(V852="Restricted",10,IF(V852="Confidential",7,IF(V852="Internal",4,IF(V852="Public",1,0))))</f>
        <v/>
      </c>
      <c r="AA852" s="9">
        <f>(U852*0.4)+(W852*0.3)+(IF(Z852="Critical",10,IF(Z852="High",7,IF(Z852="Medium",4,1)))*0.2)+(IF(Y852="YES",10,0)*0.1)</f>
        <v/>
      </c>
      <c r="AB852" s="9">
        <f>IF(G852="YES",2.0,0)+IF(H852="YES",2.0,0)</f>
        <v/>
      </c>
      <c r="AC852" s="9" t="n">
        <v>0</v>
      </c>
      <c r="AD852" s="9">
        <f>K852+AB852+AC852</f>
        <v/>
      </c>
      <c r="AE852" s="9">
        <f>(AD852*0.6)+(AA852*0.4)</f>
        <v/>
      </c>
      <c r="AF852">
        <f>IF(AE852&gt;=9,"Critical",IF(AE852&gt;=7,"High",IF(AE852&gt;=4,"Medium","Low")))</f>
        <v/>
      </c>
    </row>
    <row r="853">
      <c r="F853" t="n">
        <v>1</v>
      </c>
      <c r="I853">
        <f>IF(D853="","",TODAY()-D853)</f>
        <v/>
      </c>
      <c r="K853">
        <f>IF(J853="v4.0",L853,IF(J853="v3.1",M853,IF(J853="Both",L853,IF(AND(L853&lt;&gt;"",M853=""),L853,M853))))</f>
        <v/>
      </c>
      <c r="U853">
        <f>IF(T853="Tier 1",10,IF(T853="Tier 2",7,IF(T853="Tier 3",4,IF(T853="Tier 4",1,0))))</f>
        <v/>
      </c>
      <c r="W853">
        <f>IF(V853="Restricted",10,IF(V853="Confidential",7,IF(V853="Internal",4,IF(V853="Public",1,0))))</f>
        <v/>
      </c>
      <c r="AA853" s="9">
        <f>(U853*0.4)+(W853*0.3)+(IF(Z853="Critical",10,IF(Z853="High",7,IF(Z853="Medium",4,1)))*0.2)+(IF(Y853="YES",10,0)*0.1)</f>
        <v/>
      </c>
      <c r="AB853" s="9">
        <f>IF(G853="YES",2.0,0)+IF(H853="YES",2.0,0)</f>
        <v/>
      </c>
      <c r="AC853" s="9" t="n">
        <v>0</v>
      </c>
      <c r="AD853" s="9">
        <f>K853+AB853+AC853</f>
        <v/>
      </c>
      <c r="AE853" s="9">
        <f>(AD853*0.6)+(AA853*0.4)</f>
        <v/>
      </c>
      <c r="AF853">
        <f>IF(AE853&gt;=9,"Critical",IF(AE853&gt;=7,"High",IF(AE853&gt;=4,"Medium","Low")))</f>
        <v/>
      </c>
    </row>
    <row r="854">
      <c r="F854" t="n">
        <v>1</v>
      </c>
      <c r="I854">
        <f>IF(D854="","",TODAY()-D854)</f>
        <v/>
      </c>
      <c r="K854">
        <f>IF(J854="v4.0",L854,IF(J854="v3.1",M854,IF(J854="Both",L854,IF(AND(L854&lt;&gt;"",M854=""),L854,M854))))</f>
        <v/>
      </c>
      <c r="U854">
        <f>IF(T854="Tier 1",10,IF(T854="Tier 2",7,IF(T854="Tier 3",4,IF(T854="Tier 4",1,0))))</f>
        <v/>
      </c>
      <c r="W854">
        <f>IF(V854="Restricted",10,IF(V854="Confidential",7,IF(V854="Internal",4,IF(V854="Public",1,0))))</f>
        <v/>
      </c>
      <c r="AA854" s="9">
        <f>(U854*0.4)+(W854*0.3)+(IF(Z854="Critical",10,IF(Z854="High",7,IF(Z854="Medium",4,1)))*0.2)+(IF(Y854="YES",10,0)*0.1)</f>
        <v/>
      </c>
      <c r="AB854" s="9">
        <f>IF(G854="YES",2.0,0)+IF(H854="YES",2.0,0)</f>
        <v/>
      </c>
      <c r="AC854" s="9" t="n">
        <v>0</v>
      </c>
      <c r="AD854" s="9">
        <f>K854+AB854+AC854</f>
        <v/>
      </c>
      <c r="AE854" s="9">
        <f>(AD854*0.6)+(AA854*0.4)</f>
        <v/>
      </c>
      <c r="AF854">
        <f>IF(AE854&gt;=9,"Critical",IF(AE854&gt;=7,"High",IF(AE854&gt;=4,"Medium","Low")))</f>
        <v/>
      </c>
    </row>
    <row r="855">
      <c r="F855" t="n">
        <v>1</v>
      </c>
      <c r="I855">
        <f>IF(D855="","",TODAY()-D855)</f>
        <v/>
      </c>
      <c r="K855">
        <f>IF(J855="v4.0",L855,IF(J855="v3.1",M855,IF(J855="Both",L855,IF(AND(L855&lt;&gt;"",M855=""),L855,M855))))</f>
        <v/>
      </c>
      <c r="U855">
        <f>IF(T855="Tier 1",10,IF(T855="Tier 2",7,IF(T855="Tier 3",4,IF(T855="Tier 4",1,0))))</f>
        <v/>
      </c>
      <c r="W855">
        <f>IF(V855="Restricted",10,IF(V855="Confidential",7,IF(V855="Internal",4,IF(V855="Public",1,0))))</f>
        <v/>
      </c>
      <c r="AA855" s="9">
        <f>(U855*0.4)+(W855*0.3)+(IF(Z855="Critical",10,IF(Z855="High",7,IF(Z855="Medium",4,1)))*0.2)+(IF(Y855="YES",10,0)*0.1)</f>
        <v/>
      </c>
      <c r="AB855" s="9">
        <f>IF(G855="YES",2.0,0)+IF(H855="YES",2.0,0)</f>
        <v/>
      </c>
      <c r="AC855" s="9" t="n">
        <v>0</v>
      </c>
      <c r="AD855" s="9">
        <f>K855+AB855+AC855</f>
        <v/>
      </c>
      <c r="AE855" s="9">
        <f>(AD855*0.6)+(AA855*0.4)</f>
        <v/>
      </c>
      <c r="AF855">
        <f>IF(AE855&gt;=9,"Critical",IF(AE855&gt;=7,"High",IF(AE855&gt;=4,"Medium","Low")))</f>
        <v/>
      </c>
    </row>
    <row r="856">
      <c r="F856" t="n">
        <v>1</v>
      </c>
      <c r="I856">
        <f>IF(D856="","",TODAY()-D856)</f>
        <v/>
      </c>
      <c r="K856">
        <f>IF(J856="v4.0",L856,IF(J856="v3.1",M856,IF(J856="Both",L856,IF(AND(L856&lt;&gt;"",M856=""),L856,M856))))</f>
        <v/>
      </c>
      <c r="U856">
        <f>IF(T856="Tier 1",10,IF(T856="Tier 2",7,IF(T856="Tier 3",4,IF(T856="Tier 4",1,0))))</f>
        <v/>
      </c>
      <c r="W856">
        <f>IF(V856="Restricted",10,IF(V856="Confidential",7,IF(V856="Internal",4,IF(V856="Public",1,0))))</f>
        <v/>
      </c>
      <c r="AA856" s="9">
        <f>(U856*0.4)+(W856*0.3)+(IF(Z856="Critical",10,IF(Z856="High",7,IF(Z856="Medium",4,1)))*0.2)+(IF(Y856="YES",10,0)*0.1)</f>
        <v/>
      </c>
      <c r="AB856" s="9">
        <f>IF(G856="YES",2.0,0)+IF(H856="YES",2.0,0)</f>
        <v/>
      </c>
      <c r="AC856" s="9" t="n">
        <v>0</v>
      </c>
      <c r="AD856" s="9">
        <f>K856+AB856+AC856</f>
        <v/>
      </c>
      <c r="AE856" s="9">
        <f>(AD856*0.6)+(AA856*0.4)</f>
        <v/>
      </c>
      <c r="AF856">
        <f>IF(AE856&gt;=9,"Critical",IF(AE856&gt;=7,"High",IF(AE856&gt;=4,"Medium","Low")))</f>
        <v/>
      </c>
    </row>
    <row r="857">
      <c r="F857" t="n">
        <v>1</v>
      </c>
      <c r="I857">
        <f>IF(D857="","",TODAY()-D857)</f>
        <v/>
      </c>
      <c r="K857">
        <f>IF(J857="v4.0",L857,IF(J857="v3.1",M857,IF(J857="Both",L857,IF(AND(L857&lt;&gt;"",M857=""),L857,M857))))</f>
        <v/>
      </c>
      <c r="U857">
        <f>IF(T857="Tier 1",10,IF(T857="Tier 2",7,IF(T857="Tier 3",4,IF(T857="Tier 4",1,0))))</f>
        <v/>
      </c>
      <c r="W857">
        <f>IF(V857="Restricted",10,IF(V857="Confidential",7,IF(V857="Internal",4,IF(V857="Public",1,0))))</f>
        <v/>
      </c>
      <c r="AA857" s="9">
        <f>(U857*0.4)+(W857*0.3)+(IF(Z857="Critical",10,IF(Z857="High",7,IF(Z857="Medium",4,1)))*0.2)+(IF(Y857="YES",10,0)*0.1)</f>
        <v/>
      </c>
      <c r="AB857" s="9">
        <f>IF(G857="YES",2.0,0)+IF(H857="YES",2.0,0)</f>
        <v/>
      </c>
      <c r="AC857" s="9" t="n">
        <v>0</v>
      </c>
      <c r="AD857" s="9">
        <f>K857+AB857+AC857</f>
        <v/>
      </c>
      <c r="AE857" s="9">
        <f>(AD857*0.6)+(AA857*0.4)</f>
        <v/>
      </c>
      <c r="AF857">
        <f>IF(AE857&gt;=9,"Critical",IF(AE857&gt;=7,"High",IF(AE857&gt;=4,"Medium","Low")))</f>
        <v/>
      </c>
    </row>
    <row r="858">
      <c r="F858" t="n">
        <v>1</v>
      </c>
      <c r="I858">
        <f>IF(D858="","",TODAY()-D858)</f>
        <v/>
      </c>
      <c r="K858">
        <f>IF(J858="v4.0",L858,IF(J858="v3.1",M858,IF(J858="Both",L858,IF(AND(L858&lt;&gt;"",M858=""),L858,M858))))</f>
        <v/>
      </c>
      <c r="U858">
        <f>IF(T858="Tier 1",10,IF(T858="Tier 2",7,IF(T858="Tier 3",4,IF(T858="Tier 4",1,0))))</f>
        <v/>
      </c>
      <c r="W858">
        <f>IF(V858="Restricted",10,IF(V858="Confidential",7,IF(V858="Internal",4,IF(V858="Public",1,0))))</f>
        <v/>
      </c>
      <c r="AA858" s="9">
        <f>(U858*0.4)+(W858*0.3)+(IF(Z858="Critical",10,IF(Z858="High",7,IF(Z858="Medium",4,1)))*0.2)+(IF(Y858="YES",10,0)*0.1)</f>
        <v/>
      </c>
      <c r="AB858" s="9">
        <f>IF(G858="YES",2.0,0)+IF(H858="YES",2.0,0)</f>
        <v/>
      </c>
      <c r="AC858" s="9" t="n">
        <v>0</v>
      </c>
      <c r="AD858" s="9">
        <f>K858+AB858+AC858</f>
        <v/>
      </c>
      <c r="AE858" s="9">
        <f>(AD858*0.6)+(AA858*0.4)</f>
        <v/>
      </c>
      <c r="AF858">
        <f>IF(AE858&gt;=9,"Critical",IF(AE858&gt;=7,"High",IF(AE858&gt;=4,"Medium","Low")))</f>
        <v/>
      </c>
    </row>
    <row r="859">
      <c r="F859" t="n">
        <v>1</v>
      </c>
      <c r="I859">
        <f>IF(D859="","",TODAY()-D859)</f>
        <v/>
      </c>
      <c r="K859">
        <f>IF(J859="v4.0",L859,IF(J859="v3.1",M859,IF(J859="Both",L859,IF(AND(L859&lt;&gt;"",M859=""),L859,M859))))</f>
        <v/>
      </c>
      <c r="U859">
        <f>IF(T859="Tier 1",10,IF(T859="Tier 2",7,IF(T859="Tier 3",4,IF(T859="Tier 4",1,0))))</f>
        <v/>
      </c>
      <c r="W859">
        <f>IF(V859="Restricted",10,IF(V859="Confidential",7,IF(V859="Internal",4,IF(V859="Public",1,0))))</f>
        <v/>
      </c>
      <c r="AA859" s="9">
        <f>(U859*0.4)+(W859*0.3)+(IF(Z859="Critical",10,IF(Z859="High",7,IF(Z859="Medium",4,1)))*0.2)+(IF(Y859="YES",10,0)*0.1)</f>
        <v/>
      </c>
      <c r="AB859" s="9">
        <f>IF(G859="YES",2.0,0)+IF(H859="YES",2.0,0)</f>
        <v/>
      </c>
      <c r="AC859" s="9" t="n">
        <v>0</v>
      </c>
      <c r="AD859" s="9">
        <f>K859+AB859+AC859</f>
        <v/>
      </c>
      <c r="AE859" s="9">
        <f>(AD859*0.6)+(AA859*0.4)</f>
        <v/>
      </c>
      <c r="AF859">
        <f>IF(AE859&gt;=9,"Critical",IF(AE859&gt;=7,"High",IF(AE859&gt;=4,"Medium","Low")))</f>
        <v/>
      </c>
    </row>
    <row r="860">
      <c r="F860" t="n">
        <v>1</v>
      </c>
      <c r="I860">
        <f>IF(D860="","",TODAY()-D860)</f>
        <v/>
      </c>
      <c r="K860">
        <f>IF(J860="v4.0",L860,IF(J860="v3.1",M860,IF(J860="Both",L860,IF(AND(L860&lt;&gt;"",M860=""),L860,M860))))</f>
        <v/>
      </c>
      <c r="U860">
        <f>IF(T860="Tier 1",10,IF(T860="Tier 2",7,IF(T860="Tier 3",4,IF(T860="Tier 4",1,0))))</f>
        <v/>
      </c>
      <c r="W860">
        <f>IF(V860="Restricted",10,IF(V860="Confidential",7,IF(V860="Internal",4,IF(V860="Public",1,0))))</f>
        <v/>
      </c>
      <c r="AA860" s="9">
        <f>(U860*0.4)+(W860*0.3)+(IF(Z860="Critical",10,IF(Z860="High",7,IF(Z860="Medium",4,1)))*0.2)+(IF(Y860="YES",10,0)*0.1)</f>
        <v/>
      </c>
      <c r="AB860" s="9">
        <f>IF(G860="YES",2.0,0)+IF(H860="YES",2.0,0)</f>
        <v/>
      </c>
      <c r="AC860" s="9" t="n">
        <v>0</v>
      </c>
      <c r="AD860" s="9">
        <f>K860+AB860+AC860</f>
        <v/>
      </c>
      <c r="AE860" s="9">
        <f>(AD860*0.6)+(AA860*0.4)</f>
        <v/>
      </c>
      <c r="AF860">
        <f>IF(AE860&gt;=9,"Critical",IF(AE860&gt;=7,"High",IF(AE860&gt;=4,"Medium","Low")))</f>
        <v/>
      </c>
    </row>
    <row r="861">
      <c r="F861" t="n">
        <v>1</v>
      </c>
      <c r="I861">
        <f>IF(D861="","",TODAY()-D861)</f>
        <v/>
      </c>
      <c r="K861">
        <f>IF(J861="v4.0",L861,IF(J861="v3.1",M861,IF(J861="Both",L861,IF(AND(L861&lt;&gt;"",M861=""),L861,M861))))</f>
        <v/>
      </c>
      <c r="U861">
        <f>IF(T861="Tier 1",10,IF(T861="Tier 2",7,IF(T861="Tier 3",4,IF(T861="Tier 4",1,0))))</f>
        <v/>
      </c>
      <c r="W861">
        <f>IF(V861="Restricted",10,IF(V861="Confidential",7,IF(V861="Internal",4,IF(V861="Public",1,0))))</f>
        <v/>
      </c>
      <c r="AA861" s="9">
        <f>(U861*0.4)+(W861*0.3)+(IF(Z861="Critical",10,IF(Z861="High",7,IF(Z861="Medium",4,1)))*0.2)+(IF(Y861="YES",10,0)*0.1)</f>
        <v/>
      </c>
      <c r="AB861" s="9">
        <f>IF(G861="YES",2.0,0)+IF(H861="YES",2.0,0)</f>
        <v/>
      </c>
      <c r="AC861" s="9" t="n">
        <v>0</v>
      </c>
      <c r="AD861" s="9">
        <f>K861+AB861+AC861</f>
        <v/>
      </c>
      <c r="AE861" s="9">
        <f>(AD861*0.6)+(AA861*0.4)</f>
        <v/>
      </c>
      <c r="AF861">
        <f>IF(AE861&gt;=9,"Critical",IF(AE861&gt;=7,"High",IF(AE861&gt;=4,"Medium","Low")))</f>
        <v/>
      </c>
    </row>
    <row r="862">
      <c r="F862" t="n">
        <v>1</v>
      </c>
      <c r="I862">
        <f>IF(D862="","",TODAY()-D862)</f>
        <v/>
      </c>
      <c r="K862">
        <f>IF(J862="v4.0",L862,IF(J862="v3.1",M862,IF(J862="Both",L862,IF(AND(L862&lt;&gt;"",M862=""),L862,M862))))</f>
        <v/>
      </c>
      <c r="U862">
        <f>IF(T862="Tier 1",10,IF(T862="Tier 2",7,IF(T862="Tier 3",4,IF(T862="Tier 4",1,0))))</f>
        <v/>
      </c>
      <c r="W862">
        <f>IF(V862="Restricted",10,IF(V862="Confidential",7,IF(V862="Internal",4,IF(V862="Public",1,0))))</f>
        <v/>
      </c>
      <c r="AA862" s="9">
        <f>(U862*0.4)+(W862*0.3)+(IF(Z862="Critical",10,IF(Z862="High",7,IF(Z862="Medium",4,1)))*0.2)+(IF(Y862="YES",10,0)*0.1)</f>
        <v/>
      </c>
      <c r="AB862" s="9">
        <f>IF(G862="YES",2.0,0)+IF(H862="YES",2.0,0)</f>
        <v/>
      </c>
      <c r="AC862" s="9" t="n">
        <v>0</v>
      </c>
      <c r="AD862" s="9">
        <f>K862+AB862+AC862</f>
        <v/>
      </c>
      <c r="AE862" s="9">
        <f>(AD862*0.6)+(AA862*0.4)</f>
        <v/>
      </c>
      <c r="AF862">
        <f>IF(AE862&gt;=9,"Critical",IF(AE862&gt;=7,"High",IF(AE862&gt;=4,"Medium","Low")))</f>
        <v/>
      </c>
    </row>
    <row r="863">
      <c r="F863" t="n">
        <v>1</v>
      </c>
      <c r="I863">
        <f>IF(D863="","",TODAY()-D863)</f>
        <v/>
      </c>
      <c r="K863">
        <f>IF(J863="v4.0",L863,IF(J863="v3.1",M863,IF(J863="Both",L863,IF(AND(L863&lt;&gt;"",M863=""),L863,M863))))</f>
        <v/>
      </c>
      <c r="U863">
        <f>IF(T863="Tier 1",10,IF(T863="Tier 2",7,IF(T863="Tier 3",4,IF(T863="Tier 4",1,0))))</f>
        <v/>
      </c>
      <c r="W863">
        <f>IF(V863="Restricted",10,IF(V863="Confidential",7,IF(V863="Internal",4,IF(V863="Public",1,0))))</f>
        <v/>
      </c>
      <c r="AA863" s="9">
        <f>(U863*0.4)+(W863*0.3)+(IF(Z863="Critical",10,IF(Z863="High",7,IF(Z863="Medium",4,1)))*0.2)+(IF(Y863="YES",10,0)*0.1)</f>
        <v/>
      </c>
      <c r="AB863" s="9">
        <f>IF(G863="YES",2.0,0)+IF(H863="YES",2.0,0)</f>
        <v/>
      </c>
      <c r="AC863" s="9" t="n">
        <v>0</v>
      </c>
      <c r="AD863" s="9">
        <f>K863+AB863+AC863</f>
        <v/>
      </c>
      <c r="AE863" s="9">
        <f>(AD863*0.6)+(AA863*0.4)</f>
        <v/>
      </c>
      <c r="AF863">
        <f>IF(AE863&gt;=9,"Critical",IF(AE863&gt;=7,"High",IF(AE863&gt;=4,"Medium","Low")))</f>
        <v/>
      </c>
    </row>
    <row r="864">
      <c r="F864" t="n">
        <v>1</v>
      </c>
      <c r="I864">
        <f>IF(D864="","",TODAY()-D864)</f>
        <v/>
      </c>
      <c r="K864">
        <f>IF(J864="v4.0",L864,IF(J864="v3.1",M864,IF(J864="Both",L864,IF(AND(L864&lt;&gt;"",M864=""),L864,M864))))</f>
        <v/>
      </c>
      <c r="U864">
        <f>IF(T864="Tier 1",10,IF(T864="Tier 2",7,IF(T864="Tier 3",4,IF(T864="Tier 4",1,0))))</f>
        <v/>
      </c>
      <c r="W864">
        <f>IF(V864="Restricted",10,IF(V864="Confidential",7,IF(V864="Internal",4,IF(V864="Public",1,0))))</f>
        <v/>
      </c>
      <c r="AA864" s="9">
        <f>(U864*0.4)+(W864*0.3)+(IF(Z864="Critical",10,IF(Z864="High",7,IF(Z864="Medium",4,1)))*0.2)+(IF(Y864="YES",10,0)*0.1)</f>
        <v/>
      </c>
      <c r="AB864" s="9">
        <f>IF(G864="YES",2.0,0)+IF(H864="YES",2.0,0)</f>
        <v/>
      </c>
      <c r="AC864" s="9" t="n">
        <v>0</v>
      </c>
      <c r="AD864" s="9">
        <f>K864+AB864+AC864</f>
        <v/>
      </c>
      <c r="AE864" s="9">
        <f>(AD864*0.6)+(AA864*0.4)</f>
        <v/>
      </c>
      <c r="AF864">
        <f>IF(AE864&gt;=9,"Critical",IF(AE864&gt;=7,"High",IF(AE864&gt;=4,"Medium","Low")))</f>
        <v/>
      </c>
    </row>
    <row r="865">
      <c r="F865" t="n">
        <v>1</v>
      </c>
      <c r="I865">
        <f>IF(D865="","",TODAY()-D865)</f>
        <v/>
      </c>
      <c r="K865">
        <f>IF(J865="v4.0",L865,IF(J865="v3.1",M865,IF(J865="Both",L865,IF(AND(L865&lt;&gt;"",M865=""),L865,M865))))</f>
        <v/>
      </c>
      <c r="U865">
        <f>IF(T865="Tier 1",10,IF(T865="Tier 2",7,IF(T865="Tier 3",4,IF(T865="Tier 4",1,0))))</f>
        <v/>
      </c>
      <c r="W865">
        <f>IF(V865="Restricted",10,IF(V865="Confidential",7,IF(V865="Internal",4,IF(V865="Public",1,0))))</f>
        <v/>
      </c>
      <c r="AA865" s="9">
        <f>(U865*0.4)+(W865*0.3)+(IF(Z865="Critical",10,IF(Z865="High",7,IF(Z865="Medium",4,1)))*0.2)+(IF(Y865="YES",10,0)*0.1)</f>
        <v/>
      </c>
      <c r="AB865" s="9">
        <f>IF(G865="YES",2.0,0)+IF(H865="YES",2.0,0)</f>
        <v/>
      </c>
      <c r="AC865" s="9" t="n">
        <v>0</v>
      </c>
      <c r="AD865" s="9">
        <f>K865+AB865+AC865</f>
        <v/>
      </c>
      <c r="AE865" s="9">
        <f>(AD865*0.6)+(AA865*0.4)</f>
        <v/>
      </c>
      <c r="AF865">
        <f>IF(AE865&gt;=9,"Critical",IF(AE865&gt;=7,"High",IF(AE865&gt;=4,"Medium","Low")))</f>
        <v/>
      </c>
    </row>
    <row r="866">
      <c r="F866" t="n">
        <v>1</v>
      </c>
      <c r="I866">
        <f>IF(D866="","",TODAY()-D866)</f>
        <v/>
      </c>
      <c r="K866">
        <f>IF(J866="v4.0",L866,IF(J866="v3.1",M866,IF(J866="Both",L866,IF(AND(L866&lt;&gt;"",M866=""),L866,M866))))</f>
        <v/>
      </c>
      <c r="U866">
        <f>IF(T866="Tier 1",10,IF(T866="Tier 2",7,IF(T866="Tier 3",4,IF(T866="Tier 4",1,0))))</f>
        <v/>
      </c>
      <c r="W866">
        <f>IF(V866="Restricted",10,IF(V866="Confidential",7,IF(V866="Internal",4,IF(V866="Public",1,0))))</f>
        <v/>
      </c>
      <c r="AA866" s="9">
        <f>(U866*0.4)+(W866*0.3)+(IF(Z866="Critical",10,IF(Z866="High",7,IF(Z866="Medium",4,1)))*0.2)+(IF(Y866="YES",10,0)*0.1)</f>
        <v/>
      </c>
      <c r="AB866" s="9">
        <f>IF(G866="YES",2.0,0)+IF(H866="YES",2.0,0)</f>
        <v/>
      </c>
      <c r="AC866" s="9" t="n">
        <v>0</v>
      </c>
      <c r="AD866" s="9">
        <f>K866+AB866+AC866</f>
        <v/>
      </c>
      <c r="AE866" s="9">
        <f>(AD866*0.6)+(AA866*0.4)</f>
        <v/>
      </c>
      <c r="AF866">
        <f>IF(AE866&gt;=9,"Critical",IF(AE866&gt;=7,"High",IF(AE866&gt;=4,"Medium","Low")))</f>
        <v/>
      </c>
    </row>
    <row r="867">
      <c r="F867" t="n">
        <v>1</v>
      </c>
      <c r="I867">
        <f>IF(D867="","",TODAY()-D867)</f>
        <v/>
      </c>
      <c r="K867">
        <f>IF(J867="v4.0",L867,IF(J867="v3.1",M867,IF(J867="Both",L867,IF(AND(L867&lt;&gt;"",M867=""),L867,M867))))</f>
        <v/>
      </c>
      <c r="U867">
        <f>IF(T867="Tier 1",10,IF(T867="Tier 2",7,IF(T867="Tier 3",4,IF(T867="Tier 4",1,0))))</f>
        <v/>
      </c>
      <c r="W867">
        <f>IF(V867="Restricted",10,IF(V867="Confidential",7,IF(V867="Internal",4,IF(V867="Public",1,0))))</f>
        <v/>
      </c>
      <c r="AA867" s="9">
        <f>(U867*0.4)+(W867*0.3)+(IF(Z867="Critical",10,IF(Z867="High",7,IF(Z867="Medium",4,1)))*0.2)+(IF(Y867="YES",10,0)*0.1)</f>
        <v/>
      </c>
      <c r="AB867" s="9">
        <f>IF(G867="YES",2.0,0)+IF(H867="YES",2.0,0)</f>
        <v/>
      </c>
      <c r="AC867" s="9" t="n">
        <v>0</v>
      </c>
      <c r="AD867" s="9">
        <f>K867+AB867+AC867</f>
        <v/>
      </c>
      <c r="AE867" s="9">
        <f>(AD867*0.6)+(AA867*0.4)</f>
        <v/>
      </c>
      <c r="AF867">
        <f>IF(AE867&gt;=9,"Critical",IF(AE867&gt;=7,"High",IF(AE867&gt;=4,"Medium","Low")))</f>
        <v/>
      </c>
    </row>
    <row r="868">
      <c r="F868" t="n">
        <v>1</v>
      </c>
      <c r="I868">
        <f>IF(D868="","",TODAY()-D868)</f>
        <v/>
      </c>
      <c r="K868">
        <f>IF(J868="v4.0",L868,IF(J868="v3.1",M868,IF(J868="Both",L868,IF(AND(L868&lt;&gt;"",M868=""),L868,M868))))</f>
        <v/>
      </c>
      <c r="U868">
        <f>IF(T868="Tier 1",10,IF(T868="Tier 2",7,IF(T868="Tier 3",4,IF(T868="Tier 4",1,0))))</f>
        <v/>
      </c>
      <c r="W868">
        <f>IF(V868="Restricted",10,IF(V868="Confidential",7,IF(V868="Internal",4,IF(V868="Public",1,0))))</f>
        <v/>
      </c>
      <c r="AA868" s="9">
        <f>(U868*0.4)+(W868*0.3)+(IF(Z868="Critical",10,IF(Z868="High",7,IF(Z868="Medium",4,1)))*0.2)+(IF(Y868="YES",10,0)*0.1)</f>
        <v/>
      </c>
      <c r="AB868" s="9">
        <f>IF(G868="YES",2.0,0)+IF(H868="YES",2.0,0)</f>
        <v/>
      </c>
      <c r="AC868" s="9" t="n">
        <v>0</v>
      </c>
      <c r="AD868" s="9">
        <f>K868+AB868+AC868</f>
        <v/>
      </c>
      <c r="AE868" s="9">
        <f>(AD868*0.6)+(AA868*0.4)</f>
        <v/>
      </c>
      <c r="AF868">
        <f>IF(AE868&gt;=9,"Critical",IF(AE868&gt;=7,"High",IF(AE868&gt;=4,"Medium","Low")))</f>
        <v/>
      </c>
    </row>
    <row r="869">
      <c r="F869" t="n">
        <v>1</v>
      </c>
      <c r="I869">
        <f>IF(D869="","",TODAY()-D869)</f>
        <v/>
      </c>
      <c r="K869">
        <f>IF(J869="v4.0",L869,IF(J869="v3.1",M869,IF(J869="Both",L869,IF(AND(L869&lt;&gt;"",M869=""),L869,M869))))</f>
        <v/>
      </c>
      <c r="U869">
        <f>IF(T869="Tier 1",10,IF(T869="Tier 2",7,IF(T869="Tier 3",4,IF(T869="Tier 4",1,0))))</f>
        <v/>
      </c>
      <c r="W869">
        <f>IF(V869="Restricted",10,IF(V869="Confidential",7,IF(V869="Internal",4,IF(V869="Public",1,0))))</f>
        <v/>
      </c>
      <c r="AA869" s="9">
        <f>(U869*0.4)+(W869*0.3)+(IF(Z869="Critical",10,IF(Z869="High",7,IF(Z869="Medium",4,1)))*0.2)+(IF(Y869="YES",10,0)*0.1)</f>
        <v/>
      </c>
      <c r="AB869" s="9">
        <f>IF(G869="YES",2.0,0)+IF(H869="YES",2.0,0)</f>
        <v/>
      </c>
      <c r="AC869" s="9" t="n">
        <v>0</v>
      </c>
      <c r="AD869" s="9">
        <f>K869+AB869+AC869</f>
        <v/>
      </c>
      <c r="AE869" s="9">
        <f>(AD869*0.6)+(AA869*0.4)</f>
        <v/>
      </c>
      <c r="AF869">
        <f>IF(AE869&gt;=9,"Critical",IF(AE869&gt;=7,"High",IF(AE869&gt;=4,"Medium","Low")))</f>
        <v/>
      </c>
    </row>
    <row r="870">
      <c r="F870" t="n">
        <v>1</v>
      </c>
      <c r="I870">
        <f>IF(D870="","",TODAY()-D870)</f>
        <v/>
      </c>
      <c r="K870">
        <f>IF(J870="v4.0",L870,IF(J870="v3.1",M870,IF(J870="Both",L870,IF(AND(L870&lt;&gt;"",M870=""),L870,M870))))</f>
        <v/>
      </c>
      <c r="U870">
        <f>IF(T870="Tier 1",10,IF(T870="Tier 2",7,IF(T870="Tier 3",4,IF(T870="Tier 4",1,0))))</f>
        <v/>
      </c>
      <c r="W870">
        <f>IF(V870="Restricted",10,IF(V870="Confidential",7,IF(V870="Internal",4,IF(V870="Public",1,0))))</f>
        <v/>
      </c>
      <c r="AA870" s="9">
        <f>(U870*0.4)+(W870*0.3)+(IF(Z870="Critical",10,IF(Z870="High",7,IF(Z870="Medium",4,1)))*0.2)+(IF(Y870="YES",10,0)*0.1)</f>
        <v/>
      </c>
      <c r="AB870" s="9">
        <f>IF(G870="YES",2.0,0)+IF(H870="YES",2.0,0)</f>
        <v/>
      </c>
      <c r="AC870" s="9" t="n">
        <v>0</v>
      </c>
      <c r="AD870" s="9">
        <f>K870+AB870+AC870</f>
        <v/>
      </c>
      <c r="AE870" s="9">
        <f>(AD870*0.6)+(AA870*0.4)</f>
        <v/>
      </c>
      <c r="AF870">
        <f>IF(AE870&gt;=9,"Critical",IF(AE870&gt;=7,"High",IF(AE870&gt;=4,"Medium","Low")))</f>
        <v/>
      </c>
    </row>
    <row r="871">
      <c r="F871" t="n">
        <v>1</v>
      </c>
      <c r="I871">
        <f>IF(D871="","",TODAY()-D871)</f>
        <v/>
      </c>
      <c r="K871">
        <f>IF(J871="v4.0",L871,IF(J871="v3.1",M871,IF(J871="Both",L871,IF(AND(L871&lt;&gt;"",M871=""),L871,M871))))</f>
        <v/>
      </c>
      <c r="U871">
        <f>IF(T871="Tier 1",10,IF(T871="Tier 2",7,IF(T871="Tier 3",4,IF(T871="Tier 4",1,0))))</f>
        <v/>
      </c>
      <c r="W871">
        <f>IF(V871="Restricted",10,IF(V871="Confidential",7,IF(V871="Internal",4,IF(V871="Public",1,0))))</f>
        <v/>
      </c>
      <c r="AA871" s="9">
        <f>(U871*0.4)+(W871*0.3)+(IF(Z871="Critical",10,IF(Z871="High",7,IF(Z871="Medium",4,1)))*0.2)+(IF(Y871="YES",10,0)*0.1)</f>
        <v/>
      </c>
      <c r="AB871" s="9">
        <f>IF(G871="YES",2.0,0)+IF(H871="YES",2.0,0)</f>
        <v/>
      </c>
      <c r="AC871" s="9" t="n">
        <v>0</v>
      </c>
      <c r="AD871" s="9">
        <f>K871+AB871+AC871</f>
        <v/>
      </c>
      <c r="AE871" s="9">
        <f>(AD871*0.6)+(AA871*0.4)</f>
        <v/>
      </c>
      <c r="AF871">
        <f>IF(AE871&gt;=9,"Critical",IF(AE871&gt;=7,"High",IF(AE871&gt;=4,"Medium","Low")))</f>
        <v/>
      </c>
    </row>
    <row r="872">
      <c r="F872" t="n">
        <v>1</v>
      </c>
      <c r="I872">
        <f>IF(D872="","",TODAY()-D872)</f>
        <v/>
      </c>
      <c r="K872">
        <f>IF(J872="v4.0",L872,IF(J872="v3.1",M872,IF(J872="Both",L872,IF(AND(L872&lt;&gt;"",M872=""),L872,M872))))</f>
        <v/>
      </c>
      <c r="U872">
        <f>IF(T872="Tier 1",10,IF(T872="Tier 2",7,IF(T872="Tier 3",4,IF(T872="Tier 4",1,0))))</f>
        <v/>
      </c>
      <c r="W872">
        <f>IF(V872="Restricted",10,IF(V872="Confidential",7,IF(V872="Internal",4,IF(V872="Public",1,0))))</f>
        <v/>
      </c>
      <c r="AA872" s="9">
        <f>(U872*0.4)+(W872*0.3)+(IF(Z872="Critical",10,IF(Z872="High",7,IF(Z872="Medium",4,1)))*0.2)+(IF(Y872="YES",10,0)*0.1)</f>
        <v/>
      </c>
      <c r="AB872" s="9">
        <f>IF(G872="YES",2.0,0)+IF(H872="YES",2.0,0)</f>
        <v/>
      </c>
      <c r="AC872" s="9" t="n">
        <v>0</v>
      </c>
      <c r="AD872" s="9">
        <f>K872+AB872+AC872</f>
        <v/>
      </c>
      <c r="AE872" s="9">
        <f>(AD872*0.6)+(AA872*0.4)</f>
        <v/>
      </c>
      <c r="AF872">
        <f>IF(AE872&gt;=9,"Critical",IF(AE872&gt;=7,"High",IF(AE872&gt;=4,"Medium","Low")))</f>
        <v/>
      </c>
    </row>
    <row r="873">
      <c r="F873" t="n">
        <v>1</v>
      </c>
      <c r="I873">
        <f>IF(D873="","",TODAY()-D873)</f>
        <v/>
      </c>
      <c r="K873">
        <f>IF(J873="v4.0",L873,IF(J873="v3.1",M873,IF(J873="Both",L873,IF(AND(L873&lt;&gt;"",M873=""),L873,M873))))</f>
        <v/>
      </c>
      <c r="U873">
        <f>IF(T873="Tier 1",10,IF(T873="Tier 2",7,IF(T873="Tier 3",4,IF(T873="Tier 4",1,0))))</f>
        <v/>
      </c>
      <c r="W873">
        <f>IF(V873="Restricted",10,IF(V873="Confidential",7,IF(V873="Internal",4,IF(V873="Public",1,0))))</f>
        <v/>
      </c>
      <c r="AA873" s="9">
        <f>(U873*0.4)+(W873*0.3)+(IF(Z873="Critical",10,IF(Z873="High",7,IF(Z873="Medium",4,1)))*0.2)+(IF(Y873="YES",10,0)*0.1)</f>
        <v/>
      </c>
      <c r="AB873" s="9">
        <f>IF(G873="YES",2.0,0)+IF(H873="YES",2.0,0)</f>
        <v/>
      </c>
      <c r="AC873" s="9" t="n">
        <v>0</v>
      </c>
      <c r="AD873" s="9">
        <f>K873+AB873+AC873</f>
        <v/>
      </c>
      <c r="AE873" s="9">
        <f>(AD873*0.6)+(AA873*0.4)</f>
        <v/>
      </c>
      <c r="AF873">
        <f>IF(AE873&gt;=9,"Critical",IF(AE873&gt;=7,"High",IF(AE873&gt;=4,"Medium","Low")))</f>
        <v/>
      </c>
    </row>
    <row r="874">
      <c r="F874" t="n">
        <v>1</v>
      </c>
      <c r="I874">
        <f>IF(D874="","",TODAY()-D874)</f>
        <v/>
      </c>
      <c r="K874">
        <f>IF(J874="v4.0",L874,IF(J874="v3.1",M874,IF(J874="Both",L874,IF(AND(L874&lt;&gt;"",M874=""),L874,M874))))</f>
        <v/>
      </c>
      <c r="U874">
        <f>IF(T874="Tier 1",10,IF(T874="Tier 2",7,IF(T874="Tier 3",4,IF(T874="Tier 4",1,0))))</f>
        <v/>
      </c>
      <c r="W874">
        <f>IF(V874="Restricted",10,IF(V874="Confidential",7,IF(V874="Internal",4,IF(V874="Public",1,0))))</f>
        <v/>
      </c>
      <c r="AA874" s="9">
        <f>(U874*0.4)+(W874*0.3)+(IF(Z874="Critical",10,IF(Z874="High",7,IF(Z874="Medium",4,1)))*0.2)+(IF(Y874="YES",10,0)*0.1)</f>
        <v/>
      </c>
      <c r="AB874" s="9">
        <f>IF(G874="YES",2.0,0)+IF(H874="YES",2.0,0)</f>
        <v/>
      </c>
      <c r="AC874" s="9" t="n">
        <v>0</v>
      </c>
      <c r="AD874" s="9">
        <f>K874+AB874+AC874</f>
        <v/>
      </c>
      <c r="AE874" s="9">
        <f>(AD874*0.6)+(AA874*0.4)</f>
        <v/>
      </c>
      <c r="AF874">
        <f>IF(AE874&gt;=9,"Critical",IF(AE874&gt;=7,"High",IF(AE874&gt;=4,"Medium","Low")))</f>
        <v/>
      </c>
    </row>
    <row r="875">
      <c r="F875" t="n">
        <v>1</v>
      </c>
      <c r="I875">
        <f>IF(D875="","",TODAY()-D875)</f>
        <v/>
      </c>
      <c r="K875">
        <f>IF(J875="v4.0",L875,IF(J875="v3.1",M875,IF(J875="Both",L875,IF(AND(L875&lt;&gt;"",M875=""),L875,M875))))</f>
        <v/>
      </c>
      <c r="U875">
        <f>IF(T875="Tier 1",10,IF(T875="Tier 2",7,IF(T875="Tier 3",4,IF(T875="Tier 4",1,0))))</f>
        <v/>
      </c>
      <c r="W875">
        <f>IF(V875="Restricted",10,IF(V875="Confidential",7,IF(V875="Internal",4,IF(V875="Public",1,0))))</f>
        <v/>
      </c>
      <c r="AA875" s="9">
        <f>(U875*0.4)+(W875*0.3)+(IF(Z875="Critical",10,IF(Z875="High",7,IF(Z875="Medium",4,1)))*0.2)+(IF(Y875="YES",10,0)*0.1)</f>
        <v/>
      </c>
      <c r="AB875" s="9">
        <f>IF(G875="YES",2.0,0)+IF(H875="YES",2.0,0)</f>
        <v/>
      </c>
      <c r="AC875" s="9" t="n">
        <v>0</v>
      </c>
      <c r="AD875" s="9">
        <f>K875+AB875+AC875</f>
        <v/>
      </c>
      <c r="AE875" s="9">
        <f>(AD875*0.6)+(AA875*0.4)</f>
        <v/>
      </c>
      <c r="AF875">
        <f>IF(AE875&gt;=9,"Critical",IF(AE875&gt;=7,"High",IF(AE875&gt;=4,"Medium","Low")))</f>
        <v/>
      </c>
    </row>
    <row r="876">
      <c r="F876" t="n">
        <v>1</v>
      </c>
      <c r="I876">
        <f>IF(D876="","",TODAY()-D876)</f>
        <v/>
      </c>
      <c r="K876">
        <f>IF(J876="v4.0",L876,IF(J876="v3.1",M876,IF(J876="Both",L876,IF(AND(L876&lt;&gt;"",M876=""),L876,M876))))</f>
        <v/>
      </c>
      <c r="U876">
        <f>IF(T876="Tier 1",10,IF(T876="Tier 2",7,IF(T876="Tier 3",4,IF(T876="Tier 4",1,0))))</f>
        <v/>
      </c>
      <c r="W876">
        <f>IF(V876="Restricted",10,IF(V876="Confidential",7,IF(V876="Internal",4,IF(V876="Public",1,0))))</f>
        <v/>
      </c>
      <c r="AA876" s="9">
        <f>(U876*0.4)+(W876*0.3)+(IF(Z876="Critical",10,IF(Z876="High",7,IF(Z876="Medium",4,1)))*0.2)+(IF(Y876="YES",10,0)*0.1)</f>
        <v/>
      </c>
      <c r="AB876" s="9">
        <f>IF(G876="YES",2.0,0)+IF(H876="YES",2.0,0)</f>
        <v/>
      </c>
      <c r="AC876" s="9" t="n">
        <v>0</v>
      </c>
      <c r="AD876" s="9">
        <f>K876+AB876+AC876</f>
        <v/>
      </c>
      <c r="AE876" s="9">
        <f>(AD876*0.6)+(AA876*0.4)</f>
        <v/>
      </c>
      <c r="AF876">
        <f>IF(AE876&gt;=9,"Critical",IF(AE876&gt;=7,"High",IF(AE876&gt;=4,"Medium","Low")))</f>
        <v/>
      </c>
    </row>
    <row r="877">
      <c r="F877" t="n">
        <v>1</v>
      </c>
      <c r="I877">
        <f>IF(D877="","",TODAY()-D877)</f>
        <v/>
      </c>
      <c r="K877">
        <f>IF(J877="v4.0",L877,IF(J877="v3.1",M877,IF(J877="Both",L877,IF(AND(L877&lt;&gt;"",M877=""),L877,M877))))</f>
        <v/>
      </c>
      <c r="U877">
        <f>IF(T877="Tier 1",10,IF(T877="Tier 2",7,IF(T877="Tier 3",4,IF(T877="Tier 4",1,0))))</f>
        <v/>
      </c>
      <c r="W877">
        <f>IF(V877="Restricted",10,IF(V877="Confidential",7,IF(V877="Internal",4,IF(V877="Public",1,0))))</f>
        <v/>
      </c>
      <c r="AA877" s="9">
        <f>(U877*0.4)+(W877*0.3)+(IF(Z877="Critical",10,IF(Z877="High",7,IF(Z877="Medium",4,1)))*0.2)+(IF(Y877="YES",10,0)*0.1)</f>
        <v/>
      </c>
      <c r="AB877" s="9">
        <f>IF(G877="YES",2.0,0)+IF(H877="YES",2.0,0)</f>
        <v/>
      </c>
      <c r="AC877" s="9" t="n">
        <v>0</v>
      </c>
      <c r="AD877" s="9">
        <f>K877+AB877+AC877</f>
        <v/>
      </c>
      <c r="AE877" s="9">
        <f>(AD877*0.6)+(AA877*0.4)</f>
        <v/>
      </c>
      <c r="AF877">
        <f>IF(AE877&gt;=9,"Critical",IF(AE877&gt;=7,"High",IF(AE877&gt;=4,"Medium","Low")))</f>
        <v/>
      </c>
    </row>
    <row r="878">
      <c r="F878" t="n">
        <v>1</v>
      </c>
      <c r="I878">
        <f>IF(D878="","",TODAY()-D878)</f>
        <v/>
      </c>
      <c r="K878">
        <f>IF(J878="v4.0",L878,IF(J878="v3.1",M878,IF(J878="Both",L878,IF(AND(L878&lt;&gt;"",M878=""),L878,M878))))</f>
        <v/>
      </c>
      <c r="U878">
        <f>IF(T878="Tier 1",10,IF(T878="Tier 2",7,IF(T878="Tier 3",4,IF(T878="Tier 4",1,0))))</f>
        <v/>
      </c>
      <c r="W878">
        <f>IF(V878="Restricted",10,IF(V878="Confidential",7,IF(V878="Internal",4,IF(V878="Public",1,0))))</f>
        <v/>
      </c>
      <c r="AA878" s="9">
        <f>(U878*0.4)+(W878*0.3)+(IF(Z878="Critical",10,IF(Z878="High",7,IF(Z878="Medium",4,1)))*0.2)+(IF(Y878="YES",10,0)*0.1)</f>
        <v/>
      </c>
      <c r="AB878" s="9">
        <f>IF(G878="YES",2.0,0)+IF(H878="YES",2.0,0)</f>
        <v/>
      </c>
      <c r="AC878" s="9" t="n">
        <v>0</v>
      </c>
      <c r="AD878" s="9">
        <f>K878+AB878+AC878</f>
        <v/>
      </c>
      <c r="AE878" s="9">
        <f>(AD878*0.6)+(AA878*0.4)</f>
        <v/>
      </c>
      <c r="AF878">
        <f>IF(AE878&gt;=9,"Critical",IF(AE878&gt;=7,"High",IF(AE878&gt;=4,"Medium","Low")))</f>
        <v/>
      </c>
    </row>
    <row r="879">
      <c r="F879" t="n">
        <v>1</v>
      </c>
      <c r="I879">
        <f>IF(D879="","",TODAY()-D879)</f>
        <v/>
      </c>
      <c r="K879">
        <f>IF(J879="v4.0",L879,IF(J879="v3.1",M879,IF(J879="Both",L879,IF(AND(L879&lt;&gt;"",M879=""),L879,M879))))</f>
        <v/>
      </c>
      <c r="U879">
        <f>IF(T879="Tier 1",10,IF(T879="Tier 2",7,IF(T879="Tier 3",4,IF(T879="Tier 4",1,0))))</f>
        <v/>
      </c>
      <c r="W879">
        <f>IF(V879="Restricted",10,IF(V879="Confidential",7,IF(V879="Internal",4,IF(V879="Public",1,0))))</f>
        <v/>
      </c>
      <c r="AA879" s="9">
        <f>(U879*0.4)+(W879*0.3)+(IF(Z879="Critical",10,IF(Z879="High",7,IF(Z879="Medium",4,1)))*0.2)+(IF(Y879="YES",10,0)*0.1)</f>
        <v/>
      </c>
      <c r="AB879" s="9">
        <f>IF(G879="YES",2.0,0)+IF(H879="YES",2.0,0)</f>
        <v/>
      </c>
      <c r="AC879" s="9" t="n">
        <v>0</v>
      </c>
      <c r="AD879" s="9">
        <f>K879+AB879+AC879</f>
        <v/>
      </c>
      <c r="AE879" s="9">
        <f>(AD879*0.6)+(AA879*0.4)</f>
        <v/>
      </c>
      <c r="AF879">
        <f>IF(AE879&gt;=9,"Critical",IF(AE879&gt;=7,"High",IF(AE879&gt;=4,"Medium","Low")))</f>
        <v/>
      </c>
    </row>
    <row r="880">
      <c r="F880" t="n">
        <v>1</v>
      </c>
      <c r="I880">
        <f>IF(D880="","",TODAY()-D880)</f>
        <v/>
      </c>
      <c r="K880">
        <f>IF(J880="v4.0",L880,IF(J880="v3.1",M880,IF(J880="Both",L880,IF(AND(L880&lt;&gt;"",M880=""),L880,M880))))</f>
        <v/>
      </c>
      <c r="U880">
        <f>IF(T880="Tier 1",10,IF(T880="Tier 2",7,IF(T880="Tier 3",4,IF(T880="Tier 4",1,0))))</f>
        <v/>
      </c>
      <c r="W880">
        <f>IF(V880="Restricted",10,IF(V880="Confidential",7,IF(V880="Internal",4,IF(V880="Public",1,0))))</f>
        <v/>
      </c>
      <c r="AA880" s="9">
        <f>(U880*0.4)+(W880*0.3)+(IF(Z880="Critical",10,IF(Z880="High",7,IF(Z880="Medium",4,1)))*0.2)+(IF(Y880="YES",10,0)*0.1)</f>
        <v/>
      </c>
      <c r="AB880" s="9">
        <f>IF(G880="YES",2.0,0)+IF(H880="YES",2.0,0)</f>
        <v/>
      </c>
      <c r="AC880" s="9" t="n">
        <v>0</v>
      </c>
      <c r="AD880" s="9">
        <f>K880+AB880+AC880</f>
        <v/>
      </c>
      <c r="AE880" s="9">
        <f>(AD880*0.6)+(AA880*0.4)</f>
        <v/>
      </c>
      <c r="AF880">
        <f>IF(AE880&gt;=9,"Critical",IF(AE880&gt;=7,"High",IF(AE880&gt;=4,"Medium","Low")))</f>
        <v/>
      </c>
    </row>
    <row r="881">
      <c r="F881" t="n">
        <v>1</v>
      </c>
      <c r="I881">
        <f>IF(D881="","",TODAY()-D881)</f>
        <v/>
      </c>
      <c r="K881">
        <f>IF(J881="v4.0",L881,IF(J881="v3.1",M881,IF(J881="Both",L881,IF(AND(L881&lt;&gt;"",M881=""),L881,M881))))</f>
        <v/>
      </c>
      <c r="U881">
        <f>IF(T881="Tier 1",10,IF(T881="Tier 2",7,IF(T881="Tier 3",4,IF(T881="Tier 4",1,0))))</f>
        <v/>
      </c>
      <c r="W881">
        <f>IF(V881="Restricted",10,IF(V881="Confidential",7,IF(V881="Internal",4,IF(V881="Public",1,0))))</f>
        <v/>
      </c>
      <c r="AA881" s="9">
        <f>(U881*0.4)+(W881*0.3)+(IF(Z881="Critical",10,IF(Z881="High",7,IF(Z881="Medium",4,1)))*0.2)+(IF(Y881="YES",10,0)*0.1)</f>
        <v/>
      </c>
      <c r="AB881" s="9">
        <f>IF(G881="YES",2.0,0)+IF(H881="YES",2.0,0)</f>
        <v/>
      </c>
      <c r="AC881" s="9" t="n">
        <v>0</v>
      </c>
      <c r="AD881" s="9">
        <f>K881+AB881+AC881</f>
        <v/>
      </c>
      <c r="AE881" s="9">
        <f>(AD881*0.6)+(AA881*0.4)</f>
        <v/>
      </c>
      <c r="AF881">
        <f>IF(AE881&gt;=9,"Critical",IF(AE881&gt;=7,"High",IF(AE881&gt;=4,"Medium","Low")))</f>
        <v/>
      </c>
    </row>
    <row r="882">
      <c r="F882" t="n">
        <v>1</v>
      </c>
      <c r="I882">
        <f>IF(D882="","",TODAY()-D882)</f>
        <v/>
      </c>
      <c r="K882">
        <f>IF(J882="v4.0",L882,IF(J882="v3.1",M882,IF(J882="Both",L882,IF(AND(L882&lt;&gt;"",M882=""),L882,M882))))</f>
        <v/>
      </c>
      <c r="U882">
        <f>IF(T882="Tier 1",10,IF(T882="Tier 2",7,IF(T882="Tier 3",4,IF(T882="Tier 4",1,0))))</f>
        <v/>
      </c>
      <c r="W882">
        <f>IF(V882="Restricted",10,IF(V882="Confidential",7,IF(V882="Internal",4,IF(V882="Public",1,0))))</f>
        <v/>
      </c>
      <c r="AA882" s="9">
        <f>(U882*0.4)+(W882*0.3)+(IF(Z882="Critical",10,IF(Z882="High",7,IF(Z882="Medium",4,1)))*0.2)+(IF(Y882="YES",10,0)*0.1)</f>
        <v/>
      </c>
      <c r="AB882" s="9">
        <f>IF(G882="YES",2.0,0)+IF(H882="YES",2.0,0)</f>
        <v/>
      </c>
      <c r="AC882" s="9" t="n">
        <v>0</v>
      </c>
      <c r="AD882" s="9">
        <f>K882+AB882+AC882</f>
        <v/>
      </c>
      <c r="AE882" s="9">
        <f>(AD882*0.6)+(AA882*0.4)</f>
        <v/>
      </c>
      <c r="AF882">
        <f>IF(AE882&gt;=9,"Critical",IF(AE882&gt;=7,"High",IF(AE882&gt;=4,"Medium","Low")))</f>
        <v/>
      </c>
    </row>
    <row r="883">
      <c r="F883" t="n">
        <v>1</v>
      </c>
      <c r="I883">
        <f>IF(D883="","",TODAY()-D883)</f>
        <v/>
      </c>
      <c r="K883">
        <f>IF(J883="v4.0",L883,IF(J883="v3.1",M883,IF(J883="Both",L883,IF(AND(L883&lt;&gt;"",M883=""),L883,M883))))</f>
        <v/>
      </c>
      <c r="U883">
        <f>IF(T883="Tier 1",10,IF(T883="Tier 2",7,IF(T883="Tier 3",4,IF(T883="Tier 4",1,0))))</f>
        <v/>
      </c>
      <c r="W883">
        <f>IF(V883="Restricted",10,IF(V883="Confidential",7,IF(V883="Internal",4,IF(V883="Public",1,0))))</f>
        <v/>
      </c>
      <c r="AA883" s="9">
        <f>(U883*0.4)+(W883*0.3)+(IF(Z883="Critical",10,IF(Z883="High",7,IF(Z883="Medium",4,1)))*0.2)+(IF(Y883="YES",10,0)*0.1)</f>
        <v/>
      </c>
      <c r="AB883" s="9">
        <f>IF(G883="YES",2.0,0)+IF(H883="YES",2.0,0)</f>
        <v/>
      </c>
      <c r="AC883" s="9" t="n">
        <v>0</v>
      </c>
      <c r="AD883" s="9">
        <f>K883+AB883+AC883</f>
        <v/>
      </c>
      <c r="AE883" s="9">
        <f>(AD883*0.6)+(AA883*0.4)</f>
        <v/>
      </c>
      <c r="AF883">
        <f>IF(AE883&gt;=9,"Critical",IF(AE883&gt;=7,"High",IF(AE883&gt;=4,"Medium","Low")))</f>
        <v/>
      </c>
    </row>
    <row r="884">
      <c r="F884" t="n">
        <v>1</v>
      </c>
      <c r="I884">
        <f>IF(D884="","",TODAY()-D884)</f>
        <v/>
      </c>
      <c r="K884">
        <f>IF(J884="v4.0",L884,IF(J884="v3.1",M884,IF(J884="Both",L884,IF(AND(L884&lt;&gt;"",M884=""),L884,M884))))</f>
        <v/>
      </c>
      <c r="U884">
        <f>IF(T884="Tier 1",10,IF(T884="Tier 2",7,IF(T884="Tier 3",4,IF(T884="Tier 4",1,0))))</f>
        <v/>
      </c>
      <c r="W884">
        <f>IF(V884="Restricted",10,IF(V884="Confidential",7,IF(V884="Internal",4,IF(V884="Public",1,0))))</f>
        <v/>
      </c>
      <c r="AA884" s="9">
        <f>(U884*0.4)+(W884*0.3)+(IF(Z884="Critical",10,IF(Z884="High",7,IF(Z884="Medium",4,1)))*0.2)+(IF(Y884="YES",10,0)*0.1)</f>
        <v/>
      </c>
      <c r="AB884" s="9">
        <f>IF(G884="YES",2.0,0)+IF(H884="YES",2.0,0)</f>
        <v/>
      </c>
      <c r="AC884" s="9" t="n">
        <v>0</v>
      </c>
      <c r="AD884" s="9">
        <f>K884+AB884+AC884</f>
        <v/>
      </c>
      <c r="AE884" s="9">
        <f>(AD884*0.6)+(AA884*0.4)</f>
        <v/>
      </c>
      <c r="AF884">
        <f>IF(AE884&gt;=9,"Critical",IF(AE884&gt;=7,"High",IF(AE884&gt;=4,"Medium","Low")))</f>
        <v/>
      </c>
    </row>
    <row r="885">
      <c r="F885" t="n">
        <v>1</v>
      </c>
      <c r="I885">
        <f>IF(D885="","",TODAY()-D885)</f>
        <v/>
      </c>
      <c r="K885">
        <f>IF(J885="v4.0",L885,IF(J885="v3.1",M885,IF(J885="Both",L885,IF(AND(L885&lt;&gt;"",M885=""),L885,M885))))</f>
        <v/>
      </c>
      <c r="U885">
        <f>IF(T885="Tier 1",10,IF(T885="Tier 2",7,IF(T885="Tier 3",4,IF(T885="Tier 4",1,0))))</f>
        <v/>
      </c>
      <c r="W885">
        <f>IF(V885="Restricted",10,IF(V885="Confidential",7,IF(V885="Internal",4,IF(V885="Public",1,0))))</f>
        <v/>
      </c>
      <c r="AA885" s="9">
        <f>(U885*0.4)+(W885*0.3)+(IF(Z885="Critical",10,IF(Z885="High",7,IF(Z885="Medium",4,1)))*0.2)+(IF(Y885="YES",10,0)*0.1)</f>
        <v/>
      </c>
      <c r="AB885" s="9">
        <f>IF(G885="YES",2.0,0)+IF(H885="YES",2.0,0)</f>
        <v/>
      </c>
      <c r="AC885" s="9" t="n">
        <v>0</v>
      </c>
      <c r="AD885" s="9">
        <f>K885+AB885+AC885</f>
        <v/>
      </c>
      <c r="AE885" s="9">
        <f>(AD885*0.6)+(AA885*0.4)</f>
        <v/>
      </c>
      <c r="AF885">
        <f>IF(AE885&gt;=9,"Critical",IF(AE885&gt;=7,"High",IF(AE885&gt;=4,"Medium","Low")))</f>
        <v/>
      </c>
    </row>
    <row r="886">
      <c r="F886" t="n">
        <v>1</v>
      </c>
      <c r="I886">
        <f>IF(D886="","",TODAY()-D886)</f>
        <v/>
      </c>
      <c r="K886">
        <f>IF(J886="v4.0",L886,IF(J886="v3.1",M886,IF(J886="Both",L886,IF(AND(L886&lt;&gt;"",M886=""),L886,M886))))</f>
        <v/>
      </c>
      <c r="U886">
        <f>IF(T886="Tier 1",10,IF(T886="Tier 2",7,IF(T886="Tier 3",4,IF(T886="Tier 4",1,0))))</f>
        <v/>
      </c>
      <c r="W886">
        <f>IF(V886="Restricted",10,IF(V886="Confidential",7,IF(V886="Internal",4,IF(V886="Public",1,0))))</f>
        <v/>
      </c>
      <c r="AA886" s="9">
        <f>(U886*0.4)+(W886*0.3)+(IF(Z886="Critical",10,IF(Z886="High",7,IF(Z886="Medium",4,1)))*0.2)+(IF(Y886="YES",10,0)*0.1)</f>
        <v/>
      </c>
      <c r="AB886" s="9">
        <f>IF(G886="YES",2.0,0)+IF(H886="YES",2.0,0)</f>
        <v/>
      </c>
      <c r="AC886" s="9" t="n">
        <v>0</v>
      </c>
      <c r="AD886" s="9">
        <f>K886+AB886+AC886</f>
        <v/>
      </c>
      <c r="AE886" s="9">
        <f>(AD886*0.6)+(AA886*0.4)</f>
        <v/>
      </c>
      <c r="AF886">
        <f>IF(AE886&gt;=9,"Critical",IF(AE886&gt;=7,"High",IF(AE886&gt;=4,"Medium","Low")))</f>
        <v/>
      </c>
    </row>
    <row r="887">
      <c r="F887" t="n">
        <v>1</v>
      </c>
      <c r="I887">
        <f>IF(D887="","",TODAY()-D887)</f>
        <v/>
      </c>
      <c r="K887">
        <f>IF(J887="v4.0",L887,IF(J887="v3.1",M887,IF(J887="Both",L887,IF(AND(L887&lt;&gt;"",M887=""),L887,M887))))</f>
        <v/>
      </c>
      <c r="U887">
        <f>IF(T887="Tier 1",10,IF(T887="Tier 2",7,IF(T887="Tier 3",4,IF(T887="Tier 4",1,0))))</f>
        <v/>
      </c>
      <c r="W887">
        <f>IF(V887="Restricted",10,IF(V887="Confidential",7,IF(V887="Internal",4,IF(V887="Public",1,0))))</f>
        <v/>
      </c>
      <c r="AA887" s="9">
        <f>(U887*0.4)+(W887*0.3)+(IF(Z887="Critical",10,IF(Z887="High",7,IF(Z887="Medium",4,1)))*0.2)+(IF(Y887="YES",10,0)*0.1)</f>
        <v/>
      </c>
      <c r="AB887" s="9">
        <f>IF(G887="YES",2.0,0)+IF(H887="YES",2.0,0)</f>
        <v/>
      </c>
      <c r="AC887" s="9" t="n">
        <v>0</v>
      </c>
      <c r="AD887" s="9">
        <f>K887+AB887+AC887</f>
        <v/>
      </c>
      <c r="AE887" s="9">
        <f>(AD887*0.6)+(AA887*0.4)</f>
        <v/>
      </c>
      <c r="AF887">
        <f>IF(AE887&gt;=9,"Critical",IF(AE887&gt;=7,"High",IF(AE887&gt;=4,"Medium","Low")))</f>
        <v/>
      </c>
    </row>
    <row r="888">
      <c r="F888" t="n">
        <v>1</v>
      </c>
      <c r="I888">
        <f>IF(D888="","",TODAY()-D888)</f>
        <v/>
      </c>
      <c r="K888">
        <f>IF(J888="v4.0",L888,IF(J888="v3.1",M888,IF(J888="Both",L888,IF(AND(L888&lt;&gt;"",M888=""),L888,M888))))</f>
        <v/>
      </c>
      <c r="U888">
        <f>IF(T888="Tier 1",10,IF(T888="Tier 2",7,IF(T888="Tier 3",4,IF(T888="Tier 4",1,0))))</f>
        <v/>
      </c>
      <c r="W888">
        <f>IF(V888="Restricted",10,IF(V888="Confidential",7,IF(V888="Internal",4,IF(V888="Public",1,0))))</f>
        <v/>
      </c>
      <c r="AA888" s="9">
        <f>(U888*0.4)+(W888*0.3)+(IF(Z888="Critical",10,IF(Z888="High",7,IF(Z888="Medium",4,1)))*0.2)+(IF(Y888="YES",10,0)*0.1)</f>
        <v/>
      </c>
      <c r="AB888" s="9">
        <f>IF(G888="YES",2.0,0)+IF(H888="YES",2.0,0)</f>
        <v/>
      </c>
      <c r="AC888" s="9" t="n">
        <v>0</v>
      </c>
      <c r="AD888" s="9">
        <f>K888+AB888+AC888</f>
        <v/>
      </c>
      <c r="AE888" s="9">
        <f>(AD888*0.6)+(AA888*0.4)</f>
        <v/>
      </c>
      <c r="AF888">
        <f>IF(AE888&gt;=9,"Critical",IF(AE888&gt;=7,"High",IF(AE888&gt;=4,"Medium","Low")))</f>
        <v/>
      </c>
    </row>
    <row r="889">
      <c r="F889" t="n">
        <v>1</v>
      </c>
      <c r="I889">
        <f>IF(D889="","",TODAY()-D889)</f>
        <v/>
      </c>
      <c r="K889">
        <f>IF(J889="v4.0",L889,IF(J889="v3.1",M889,IF(J889="Both",L889,IF(AND(L889&lt;&gt;"",M889=""),L889,M889))))</f>
        <v/>
      </c>
      <c r="U889">
        <f>IF(T889="Tier 1",10,IF(T889="Tier 2",7,IF(T889="Tier 3",4,IF(T889="Tier 4",1,0))))</f>
        <v/>
      </c>
      <c r="W889">
        <f>IF(V889="Restricted",10,IF(V889="Confidential",7,IF(V889="Internal",4,IF(V889="Public",1,0))))</f>
        <v/>
      </c>
      <c r="AA889" s="9">
        <f>(U889*0.4)+(W889*0.3)+(IF(Z889="Critical",10,IF(Z889="High",7,IF(Z889="Medium",4,1)))*0.2)+(IF(Y889="YES",10,0)*0.1)</f>
        <v/>
      </c>
      <c r="AB889" s="9">
        <f>IF(G889="YES",2.0,0)+IF(H889="YES",2.0,0)</f>
        <v/>
      </c>
      <c r="AC889" s="9" t="n">
        <v>0</v>
      </c>
      <c r="AD889" s="9">
        <f>K889+AB889+AC889</f>
        <v/>
      </c>
      <c r="AE889" s="9">
        <f>(AD889*0.6)+(AA889*0.4)</f>
        <v/>
      </c>
      <c r="AF889">
        <f>IF(AE889&gt;=9,"Critical",IF(AE889&gt;=7,"High",IF(AE889&gt;=4,"Medium","Low")))</f>
        <v/>
      </c>
    </row>
    <row r="890">
      <c r="F890" t="n">
        <v>1</v>
      </c>
      <c r="I890">
        <f>IF(D890="","",TODAY()-D890)</f>
        <v/>
      </c>
      <c r="K890">
        <f>IF(J890="v4.0",L890,IF(J890="v3.1",M890,IF(J890="Both",L890,IF(AND(L890&lt;&gt;"",M890=""),L890,M890))))</f>
        <v/>
      </c>
      <c r="U890">
        <f>IF(T890="Tier 1",10,IF(T890="Tier 2",7,IF(T890="Tier 3",4,IF(T890="Tier 4",1,0))))</f>
        <v/>
      </c>
      <c r="W890">
        <f>IF(V890="Restricted",10,IF(V890="Confidential",7,IF(V890="Internal",4,IF(V890="Public",1,0))))</f>
        <v/>
      </c>
      <c r="AA890" s="9">
        <f>(U890*0.4)+(W890*0.3)+(IF(Z890="Critical",10,IF(Z890="High",7,IF(Z890="Medium",4,1)))*0.2)+(IF(Y890="YES",10,0)*0.1)</f>
        <v/>
      </c>
      <c r="AB890" s="9">
        <f>IF(G890="YES",2.0,0)+IF(H890="YES",2.0,0)</f>
        <v/>
      </c>
      <c r="AC890" s="9" t="n">
        <v>0</v>
      </c>
      <c r="AD890" s="9">
        <f>K890+AB890+AC890</f>
        <v/>
      </c>
      <c r="AE890" s="9">
        <f>(AD890*0.6)+(AA890*0.4)</f>
        <v/>
      </c>
      <c r="AF890">
        <f>IF(AE890&gt;=9,"Critical",IF(AE890&gt;=7,"High",IF(AE890&gt;=4,"Medium","Low")))</f>
        <v/>
      </c>
    </row>
    <row r="891">
      <c r="F891" t="n">
        <v>1</v>
      </c>
      <c r="I891">
        <f>IF(D891="","",TODAY()-D891)</f>
        <v/>
      </c>
      <c r="K891">
        <f>IF(J891="v4.0",L891,IF(J891="v3.1",M891,IF(J891="Both",L891,IF(AND(L891&lt;&gt;"",M891=""),L891,M891))))</f>
        <v/>
      </c>
      <c r="U891">
        <f>IF(T891="Tier 1",10,IF(T891="Tier 2",7,IF(T891="Tier 3",4,IF(T891="Tier 4",1,0))))</f>
        <v/>
      </c>
      <c r="W891">
        <f>IF(V891="Restricted",10,IF(V891="Confidential",7,IF(V891="Internal",4,IF(V891="Public",1,0))))</f>
        <v/>
      </c>
      <c r="AA891" s="9">
        <f>(U891*0.4)+(W891*0.3)+(IF(Z891="Critical",10,IF(Z891="High",7,IF(Z891="Medium",4,1)))*0.2)+(IF(Y891="YES",10,0)*0.1)</f>
        <v/>
      </c>
      <c r="AB891" s="9">
        <f>IF(G891="YES",2.0,0)+IF(H891="YES",2.0,0)</f>
        <v/>
      </c>
      <c r="AC891" s="9" t="n">
        <v>0</v>
      </c>
      <c r="AD891" s="9">
        <f>K891+AB891+AC891</f>
        <v/>
      </c>
      <c r="AE891" s="9">
        <f>(AD891*0.6)+(AA891*0.4)</f>
        <v/>
      </c>
      <c r="AF891">
        <f>IF(AE891&gt;=9,"Critical",IF(AE891&gt;=7,"High",IF(AE891&gt;=4,"Medium","Low")))</f>
        <v/>
      </c>
    </row>
    <row r="892">
      <c r="F892" t="n">
        <v>1</v>
      </c>
      <c r="I892">
        <f>IF(D892="","",TODAY()-D892)</f>
        <v/>
      </c>
      <c r="K892">
        <f>IF(J892="v4.0",L892,IF(J892="v3.1",M892,IF(J892="Both",L892,IF(AND(L892&lt;&gt;"",M892=""),L892,M892))))</f>
        <v/>
      </c>
      <c r="U892">
        <f>IF(T892="Tier 1",10,IF(T892="Tier 2",7,IF(T892="Tier 3",4,IF(T892="Tier 4",1,0))))</f>
        <v/>
      </c>
      <c r="W892">
        <f>IF(V892="Restricted",10,IF(V892="Confidential",7,IF(V892="Internal",4,IF(V892="Public",1,0))))</f>
        <v/>
      </c>
      <c r="AA892" s="9">
        <f>(U892*0.4)+(W892*0.3)+(IF(Z892="Critical",10,IF(Z892="High",7,IF(Z892="Medium",4,1)))*0.2)+(IF(Y892="YES",10,0)*0.1)</f>
        <v/>
      </c>
      <c r="AB892" s="9">
        <f>IF(G892="YES",2.0,0)+IF(H892="YES",2.0,0)</f>
        <v/>
      </c>
      <c r="AC892" s="9" t="n">
        <v>0</v>
      </c>
      <c r="AD892" s="9">
        <f>K892+AB892+AC892</f>
        <v/>
      </c>
      <c r="AE892" s="9">
        <f>(AD892*0.6)+(AA892*0.4)</f>
        <v/>
      </c>
      <c r="AF892">
        <f>IF(AE892&gt;=9,"Critical",IF(AE892&gt;=7,"High",IF(AE892&gt;=4,"Medium","Low")))</f>
        <v/>
      </c>
    </row>
    <row r="893">
      <c r="F893" t="n">
        <v>1</v>
      </c>
      <c r="I893">
        <f>IF(D893="","",TODAY()-D893)</f>
        <v/>
      </c>
      <c r="K893">
        <f>IF(J893="v4.0",L893,IF(J893="v3.1",M893,IF(J893="Both",L893,IF(AND(L893&lt;&gt;"",M893=""),L893,M893))))</f>
        <v/>
      </c>
      <c r="U893">
        <f>IF(T893="Tier 1",10,IF(T893="Tier 2",7,IF(T893="Tier 3",4,IF(T893="Tier 4",1,0))))</f>
        <v/>
      </c>
      <c r="W893">
        <f>IF(V893="Restricted",10,IF(V893="Confidential",7,IF(V893="Internal",4,IF(V893="Public",1,0))))</f>
        <v/>
      </c>
      <c r="AA893" s="9">
        <f>(U893*0.4)+(W893*0.3)+(IF(Z893="Critical",10,IF(Z893="High",7,IF(Z893="Medium",4,1)))*0.2)+(IF(Y893="YES",10,0)*0.1)</f>
        <v/>
      </c>
      <c r="AB893" s="9">
        <f>IF(G893="YES",2.0,0)+IF(H893="YES",2.0,0)</f>
        <v/>
      </c>
      <c r="AC893" s="9" t="n">
        <v>0</v>
      </c>
      <c r="AD893" s="9">
        <f>K893+AB893+AC893</f>
        <v/>
      </c>
      <c r="AE893" s="9">
        <f>(AD893*0.6)+(AA893*0.4)</f>
        <v/>
      </c>
      <c r="AF893">
        <f>IF(AE893&gt;=9,"Critical",IF(AE893&gt;=7,"High",IF(AE893&gt;=4,"Medium","Low")))</f>
        <v/>
      </c>
    </row>
    <row r="894">
      <c r="F894" t="n">
        <v>1</v>
      </c>
      <c r="I894">
        <f>IF(D894="","",TODAY()-D894)</f>
        <v/>
      </c>
      <c r="K894">
        <f>IF(J894="v4.0",L894,IF(J894="v3.1",M894,IF(J894="Both",L894,IF(AND(L894&lt;&gt;"",M894=""),L894,M894))))</f>
        <v/>
      </c>
      <c r="U894">
        <f>IF(T894="Tier 1",10,IF(T894="Tier 2",7,IF(T894="Tier 3",4,IF(T894="Tier 4",1,0))))</f>
        <v/>
      </c>
      <c r="W894">
        <f>IF(V894="Restricted",10,IF(V894="Confidential",7,IF(V894="Internal",4,IF(V894="Public",1,0))))</f>
        <v/>
      </c>
      <c r="AA894" s="9">
        <f>(U894*0.4)+(W894*0.3)+(IF(Z894="Critical",10,IF(Z894="High",7,IF(Z894="Medium",4,1)))*0.2)+(IF(Y894="YES",10,0)*0.1)</f>
        <v/>
      </c>
      <c r="AB894" s="9">
        <f>IF(G894="YES",2.0,0)+IF(H894="YES",2.0,0)</f>
        <v/>
      </c>
      <c r="AC894" s="9" t="n">
        <v>0</v>
      </c>
      <c r="AD894" s="9">
        <f>K894+AB894+AC894</f>
        <v/>
      </c>
      <c r="AE894" s="9">
        <f>(AD894*0.6)+(AA894*0.4)</f>
        <v/>
      </c>
      <c r="AF894">
        <f>IF(AE894&gt;=9,"Critical",IF(AE894&gt;=7,"High",IF(AE894&gt;=4,"Medium","Low")))</f>
        <v/>
      </c>
    </row>
    <row r="895">
      <c r="F895" t="n">
        <v>1</v>
      </c>
      <c r="I895">
        <f>IF(D895="","",TODAY()-D895)</f>
        <v/>
      </c>
      <c r="K895">
        <f>IF(J895="v4.0",L895,IF(J895="v3.1",M895,IF(J895="Both",L895,IF(AND(L895&lt;&gt;"",M895=""),L895,M895))))</f>
        <v/>
      </c>
      <c r="U895">
        <f>IF(T895="Tier 1",10,IF(T895="Tier 2",7,IF(T895="Tier 3",4,IF(T895="Tier 4",1,0))))</f>
        <v/>
      </c>
      <c r="W895">
        <f>IF(V895="Restricted",10,IF(V895="Confidential",7,IF(V895="Internal",4,IF(V895="Public",1,0))))</f>
        <v/>
      </c>
      <c r="AA895" s="9">
        <f>(U895*0.4)+(W895*0.3)+(IF(Z895="Critical",10,IF(Z895="High",7,IF(Z895="Medium",4,1)))*0.2)+(IF(Y895="YES",10,0)*0.1)</f>
        <v/>
      </c>
      <c r="AB895" s="9">
        <f>IF(G895="YES",2.0,0)+IF(H895="YES",2.0,0)</f>
        <v/>
      </c>
      <c r="AC895" s="9" t="n">
        <v>0</v>
      </c>
      <c r="AD895" s="9">
        <f>K895+AB895+AC895</f>
        <v/>
      </c>
      <c r="AE895" s="9">
        <f>(AD895*0.6)+(AA895*0.4)</f>
        <v/>
      </c>
      <c r="AF895">
        <f>IF(AE895&gt;=9,"Critical",IF(AE895&gt;=7,"High",IF(AE895&gt;=4,"Medium","Low")))</f>
        <v/>
      </c>
    </row>
    <row r="896">
      <c r="F896" t="n">
        <v>1</v>
      </c>
      <c r="I896">
        <f>IF(D896="","",TODAY()-D896)</f>
        <v/>
      </c>
      <c r="K896">
        <f>IF(J896="v4.0",L896,IF(J896="v3.1",M896,IF(J896="Both",L896,IF(AND(L896&lt;&gt;"",M896=""),L896,M896))))</f>
        <v/>
      </c>
      <c r="U896">
        <f>IF(T896="Tier 1",10,IF(T896="Tier 2",7,IF(T896="Tier 3",4,IF(T896="Tier 4",1,0))))</f>
        <v/>
      </c>
      <c r="W896">
        <f>IF(V896="Restricted",10,IF(V896="Confidential",7,IF(V896="Internal",4,IF(V896="Public",1,0))))</f>
        <v/>
      </c>
      <c r="AA896" s="9">
        <f>(U896*0.4)+(W896*0.3)+(IF(Z896="Critical",10,IF(Z896="High",7,IF(Z896="Medium",4,1)))*0.2)+(IF(Y896="YES",10,0)*0.1)</f>
        <v/>
      </c>
      <c r="AB896" s="9">
        <f>IF(G896="YES",2.0,0)+IF(H896="YES",2.0,0)</f>
        <v/>
      </c>
      <c r="AC896" s="9" t="n">
        <v>0</v>
      </c>
      <c r="AD896" s="9">
        <f>K896+AB896+AC896</f>
        <v/>
      </c>
      <c r="AE896" s="9">
        <f>(AD896*0.6)+(AA896*0.4)</f>
        <v/>
      </c>
      <c r="AF896">
        <f>IF(AE896&gt;=9,"Critical",IF(AE896&gt;=7,"High",IF(AE896&gt;=4,"Medium","Low")))</f>
        <v/>
      </c>
    </row>
    <row r="897">
      <c r="F897" t="n">
        <v>1</v>
      </c>
      <c r="I897">
        <f>IF(D897="","",TODAY()-D897)</f>
        <v/>
      </c>
      <c r="K897">
        <f>IF(J897="v4.0",L897,IF(J897="v3.1",M897,IF(J897="Both",L897,IF(AND(L897&lt;&gt;"",M897=""),L897,M897))))</f>
        <v/>
      </c>
      <c r="U897">
        <f>IF(T897="Tier 1",10,IF(T897="Tier 2",7,IF(T897="Tier 3",4,IF(T897="Tier 4",1,0))))</f>
        <v/>
      </c>
      <c r="W897">
        <f>IF(V897="Restricted",10,IF(V897="Confidential",7,IF(V897="Internal",4,IF(V897="Public",1,0))))</f>
        <v/>
      </c>
      <c r="AA897" s="9">
        <f>(U897*0.4)+(W897*0.3)+(IF(Z897="Critical",10,IF(Z897="High",7,IF(Z897="Medium",4,1)))*0.2)+(IF(Y897="YES",10,0)*0.1)</f>
        <v/>
      </c>
      <c r="AB897" s="9">
        <f>IF(G897="YES",2.0,0)+IF(H897="YES",2.0,0)</f>
        <v/>
      </c>
      <c r="AC897" s="9" t="n">
        <v>0</v>
      </c>
      <c r="AD897" s="9">
        <f>K897+AB897+AC897</f>
        <v/>
      </c>
      <c r="AE897" s="9">
        <f>(AD897*0.6)+(AA897*0.4)</f>
        <v/>
      </c>
      <c r="AF897">
        <f>IF(AE897&gt;=9,"Critical",IF(AE897&gt;=7,"High",IF(AE897&gt;=4,"Medium","Low")))</f>
        <v/>
      </c>
    </row>
    <row r="898">
      <c r="F898" t="n">
        <v>1</v>
      </c>
      <c r="I898">
        <f>IF(D898="","",TODAY()-D898)</f>
        <v/>
      </c>
      <c r="K898">
        <f>IF(J898="v4.0",L898,IF(J898="v3.1",M898,IF(J898="Both",L898,IF(AND(L898&lt;&gt;"",M898=""),L898,M898))))</f>
        <v/>
      </c>
      <c r="U898">
        <f>IF(T898="Tier 1",10,IF(T898="Tier 2",7,IF(T898="Tier 3",4,IF(T898="Tier 4",1,0))))</f>
        <v/>
      </c>
      <c r="W898">
        <f>IF(V898="Restricted",10,IF(V898="Confidential",7,IF(V898="Internal",4,IF(V898="Public",1,0))))</f>
        <v/>
      </c>
      <c r="AA898" s="9">
        <f>(U898*0.4)+(W898*0.3)+(IF(Z898="Critical",10,IF(Z898="High",7,IF(Z898="Medium",4,1)))*0.2)+(IF(Y898="YES",10,0)*0.1)</f>
        <v/>
      </c>
      <c r="AB898" s="9">
        <f>IF(G898="YES",2.0,0)+IF(H898="YES",2.0,0)</f>
        <v/>
      </c>
      <c r="AC898" s="9" t="n">
        <v>0</v>
      </c>
      <c r="AD898" s="9">
        <f>K898+AB898+AC898</f>
        <v/>
      </c>
      <c r="AE898" s="9">
        <f>(AD898*0.6)+(AA898*0.4)</f>
        <v/>
      </c>
      <c r="AF898">
        <f>IF(AE898&gt;=9,"Critical",IF(AE898&gt;=7,"High",IF(AE898&gt;=4,"Medium","Low")))</f>
        <v/>
      </c>
    </row>
    <row r="899">
      <c r="F899" t="n">
        <v>1</v>
      </c>
      <c r="I899">
        <f>IF(D899="","",TODAY()-D899)</f>
        <v/>
      </c>
      <c r="K899">
        <f>IF(J899="v4.0",L899,IF(J899="v3.1",M899,IF(J899="Both",L899,IF(AND(L899&lt;&gt;"",M899=""),L899,M899))))</f>
        <v/>
      </c>
      <c r="U899">
        <f>IF(T899="Tier 1",10,IF(T899="Tier 2",7,IF(T899="Tier 3",4,IF(T899="Tier 4",1,0))))</f>
        <v/>
      </c>
      <c r="W899">
        <f>IF(V899="Restricted",10,IF(V899="Confidential",7,IF(V899="Internal",4,IF(V899="Public",1,0))))</f>
        <v/>
      </c>
      <c r="AA899" s="9">
        <f>(U899*0.4)+(W899*0.3)+(IF(Z899="Critical",10,IF(Z899="High",7,IF(Z899="Medium",4,1)))*0.2)+(IF(Y899="YES",10,0)*0.1)</f>
        <v/>
      </c>
      <c r="AB899" s="9">
        <f>IF(G899="YES",2.0,0)+IF(H899="YES",2.0,0)</f>
        <v/>
      </c>
      <c r="AC899" s="9" t="n">
        <v>0</v>
      </c>
      <c r="AD899" s="9">
        <f>K899+AB899+AC899</f>
        <v/>
      </c>
      <c r="AE899" s="9">
        <f>(AD899*0.6)+(AA899*0.4)</f>
        <v/>
      </c>
      <c r="AF899">
        <f>IF(AE899&gt;=9,"Critical",IF(AE899&gt;=7,"High",IF(AE899&gt;=4,"Medium","Low")))</f>
        <v/>
      </c>
    </row>
    <row r="900">
      <c r="F900" t="n">
        <v>1</v>
      </c>
      <c r="I900">
        <f>IF(D900="","",TODAY()-D900)</f>
        <v/>
      </c>
      <c r="K900">
        <f>IF(J900="v4.0",L900,IF(J900="v3.1",M900,IF(J900="Both",L900,IF(AND(L900&lt;&gt;"",M900=""),L900,M900))))</f>
        <v/>
      </c>
      <c r="U900">
        <f>IF(T900="Tier 1",10,IF(T900="Tier 2",7,IF(T900="Tier 3",4,IF(T900="Tier 4",1,0))))</f>
        <v/>
      </c>
      <c r="W900">
        <f>IF(V900="Restricted",10,IF(V900="Confidential",7,IF(V900="Internal",4,IF(V900="Public",1,0))))</f>
        <v/>
      </c>
      <c r="AA900" s="9">
        <f>(U900*0.4)+(W900*0.3)+(IF(Z900="Critical",10,IF(Z900="High",7,IF(Z900="Medium",4,1)))*0.2)+(IF(Y900="YES",10,0)*0.1)</f>
        <v/>
      </c>
      <c r="AB900" s="9">
        <f>IF(G900="YES",2.0,0)+IF(H900="YES",2.0,0)</f>
        <v/>
      </c>
      <c r="AC900" s="9" t="n">
        <v>0</v>
      </c>
      <c r="AD900" s="9">
        <f>K900+AB900+AC900</f>
        <v/>
      </c>
      <c r="AE900" s="9">
        <f>(AD900*0.6)+(AA900*0.4)</f>
        <v/>
      </c>
      <c r="AF900">
        <f>IF(AE900&gt;=9,"Critical",IF(AE900&gt;=7,"High",IF(AE900&gt;=4,"Medium","Low")))</f>
        <v/>
      </c>
    </row>
    <row r="901">
      <c r="F901" t="n">
        <v>1</v>
      </c>
      <c r="I901">
        <f>IF(D901="","",TODAY()-D901)</f>
        <v/>
      </c>
      <c r="K901">
        <f>IF(J901="v4.0",L901,IF(J901="v3.1",M901,IF(J901="Both",L901,IF(AND(L901&lt;&gt;"",M901=""),L901,M901))))</f>
        <v/>
      </c>
      <c r="U901">
        <f>IF(T901="Tier 1",10,IF(T901="Tier 2",7,IF(T901="Tier 3",4,IF(T901="Tier 4",1,0))))</f>
        <v/>
      </c>
      <c r="W901">
        <f>IF(V901="Restricted",10,IF(V901="Confidential",7,IF(V901="Internal",4,IF(V901="Public",1,0))))</f>
        <v/>
      </c>
      <c r="AA901" s="9">
        <f>(U901*0.4)+(W901*0.3)+(IF(Z901="Critical",10,IF(Z901="High",7,IF(Z901="Medium",4,1)))*0.2)+(IF(Y901="YES",10,0)*0.1)</f>
        <v/>
      </c>
      <c r="AB901" s="9">
        <f>IF(G901="YES",2.0,0)+IF(H901="YES",2.0,0)</f>
        <v/>
      </c>
      <c r="AC901" s="9" t="n">
        <v>0</v>
      </c>
      <c r="AD901" s="9">
        <f>K901+AB901+AC901</f>
        <v/>
      </c>
      <c r="AE901" s="9">
        <f>(AD901*0.6)+(AA901*0.4)</f>
        <v/>
      </c>
      <c r="AF901">
        <f>IF(AE901&gt;=9,"Critical",IF(AE901&gt;=7,"High",IF(AE901&gt;=4,"Medium","Low")))</f>
        <v/>
      </c>
    </row>
    <row r="902">
      <c r="F902" t="n">
        <v>1</v>
      </c>
      <c r="I902">
        <f>IF(D902="","",TODAY()-D902)</f>
        <v/>
      </c>
      <c r="K902">
        <f>IF(J902="v4.0",L902,IF(J902="v3.1",M902,IF(J902="Both",L902,IF(AND(L902&lt;&gt;"",M902=""),L902,M902))))</f>
        <v/>
      </c>
      <c r="U902">
        <f>IF(T902="Tier 1",10,IF(T902="Tier 2",7,IF(T902="Tier 3",4,IF(T902="Tier 4",1,0))))</f>
        <v/>
      </c>
      <c r="W902">
        <f>IF(V902="Restricted",10,IF(V902="Confidential",7,IF(V902="Internal",4,IF(V902="Public",1,0))))</f>
        <v/>
      </c>
      <c r="AA902" s="9">
        <f>(U902*0.4)+(W902*0.3)+(IF(Z902="Critical",10,IF(Z902="High",7,IF(Z902="Medium",4,1)))*0.2)+(IF(Y902="YES",10,0)*0.1)</f>
        <v/>
      </c>
      <c r="AB902" s="9">
        <f>IF(G902="YES",2.0,0)+IF(H902="YES",2.0,0)</f>
        <v/>
      </c>
      <c r="AC902" s="9" t="n">
        <v>0</v>
      </c>
      <c r="AD902" s="9">
        <f>K902+AB902+AC902</f>
        <v/>
      </c>
      <c r="AE902" s="9">
        <f>(AD902*0.6)+(AA902*0.4)</f>
        <v/>
      </c>
      <c r="AF902">
        <f>IF(AE902&gt;=9,"Critical",IF(AE902&gt;=7,"High",IF(AE902&gt;=4,"Medium","Low")))</f>
        <v/>
      </c>
    </row>
    <row r="903">
      <c r="F903" t="n">
        <v>1</v>
      </c>
      <c r="I903">
        <f>IF(D903="","",TODAY()-D903)</f>
        <v/>
      </c>
      <c r="K903">
        <f>IF(J903="v4.0",L903,IF(J903="v3.1",M903,IF(J903="Both",L903,IF(AND(L903&lt;&gt;"",M903=""),L903,M903))))</f>
        <v/>
      </c>
      <c r="U903">
        <f>IF(T903="Tier 1",10,IF(T903="Tier 2",7,IF(T903="Tier 3",4,IF(T903="Tier 4",1,0))))</f>
        <v/>
      </c>
      <c r="W903">
        <f>IF(V903="Restricted",10,IF(V903="Confidential",7,IF(V903="Internal",4,IF(V903="Public",1,0))))</f>
        <v/>
      </c>
      <c r="AA903" s="9">
        <f>(U903*0.4)+(W903*0.3)+(IF(Z903="Critical",10,IF(Z903="High",7,IF(Z903="Medium",4,1)))*0.2)+(IF(Y903="YES",10,0)*0.1)</f>
        <v/>
      </c>
      <c r="AB903" s="9">
        <f>IF(G903="YES",2.0,0)+IF(H903="YES",2.0,0)</f>
        <v/>
      </c>
      <c r="AC903" s="9" t="n">
        <v>0</v>
      </c>
      <c r="AD903" s="9">
        <f>K903+AB903+AC903</f>
        <v/>
      </c>
      <c r="AE903" s="9">
        <f>(AD903*0.6)+(AA903*0.4)</f>
        <v/>
      </c>
      <c r="AF903">
        <f>IF(AE903&gt;=9,"Critical",IF(AE903&gt;=7,"High",IF(AE903&gt;=4,"Medium","Low")))</f>
        <v/>
      </c>
    </row>
    <row r="904">
      <c r="F904" t="n">
        <v>1</v>
      </c>
      <c r="I904">
        <f>IF(D904="","",TODAY()-D904)</f>
        <v/>
      </c>
      <c r="K904">
        <f>IF(J904="v4.0",L904,IF(J904="v3.1",M904,IF(J904="Both",L904,IF(AND(L904&lt;&gt;"",M904=""),L904,M904))))</f>
        <v/>
      </c>
      <c r="U904">
        <f>IF(T904="Tier 1",10,IF(T904="Tier 2",7,IF(T904="Tier 3",4,IF(T904="Tier 4",1,0))))</f>
        <v/>
      </c>
      <c r="W904">
        <f>IF(V904="Restricted",10,IF(V904="Confidential",7,IF(V904="Internal",4,IF(V904="Public",1,0))))</f>
        <v/>
      </c>
      <c r="AA904" s="9">
        <f>(U904*0.4)+(W904*0.3)+(IF(Z904="Critical",10,IF(Z904="High",7,IF(Z904="Medium",4,1)))*0.2)+(IF(Y904="YES",10,0)*0.1)</f>
        <v/>
      </c>
      <c r="AB904" s="9">
        <f>IF(G904="YES",2.0,0)+IF(H904="YES",2.0,0)</f>
        <v/>
      </c>
      <c r="AC904" s="9" t="n">
        <v>0</v>
      </c>
      <c r="AD904" s="9">
        <f>K904+AB904+AC904</f>
        <v/>
      </c>
      <c r="AE904" s="9">
        <f>(AD904*0.6)+(AA904*0.4)</f>
        <v/>
      </c>
      <c r="AF904">
        <f>IF(AE904&gt;=9,"Critical",IF(AE904&gt;=7,"High",IF(AE904&gt;=4,"Medium","Low")))</f>
        <v/>
      </c>
    </row>
    <row r="905">
      <c r="F905" t="n">
        <v>1</v>
      </c>
      <c r="I905">
        <f>IF(D905="","",TODAY()-D905)</f>
        <v/>
      </c>
      <c r="K905">
        <f>IF(J905="v4.0",L905,IF(J905="v3.1",M905,IF(J905="Both",L905,IF(AND(L905&lt;&gt;"",M905=""),L905,M905))))</f>
        <v/>
      </c>
      <c r="U905">
        <f>IF(T905="Tier 1",10,IF(T905="Tier 2",7,IF(T905="Tier 3",4,IF(T905="Tier 4",1,0))))</f>
        <v/>
      </c>
      <c r="W905">
        <f>IF(V905="Restricted",10,IF(V905="Confidential",7,IF(V905="Internal",4,IF(V905="Public",1,0))))</f>
        <v/>
      </c>
      <c r="AA905" s="9">
        <f>(U905*0.4)+(W905*0.3)+(IF(Z905="Critical",10,IF(Z905="High",7,IF(Z905="Medium",4,1)))*0.2)+(IF(Y905="YES",10,0)*0.1)</f>
        <v/>
      </c>
      <c r="AB905" s="9">
        <f>IF(G905="YES",2.0,0)+IF(H905="YES",2.0,0)</f>
        <v/>
      </c>
      <c r="AC905" s="9" t="n">
        <v>0</v>
      </c>
      <c r="AD905" s="9">
        <f>K905+AB905+AC905</f>
        <v/>
      </c>
      <c r="AE905" s="9">
        <f>(AD905*0.6)+(AA905*0.4)</f>
        <v/>
      </c>
      <c r="AF905">
        <f>IF(AE905&gt;=9,"Critical",IF(AE905&gt;=7,"High",IF(AE905&gt;=4,"Medium","Low")))</f>
        <v/>
      </c>
    </row>
    <row r="906">
      <c r="F906" t="n">
        <v>1</v>
      </c>
      <c r="I906">
        <f>IF(D906="","",TODAY()-D906)</f>
        <v/>
      </c>
      <c r="K906">
        <f>IF(J906="v4.0",L906,IF(J906="v3.1",M906,IF(J906="Both",L906,IF(AND(L906&lt;&gt;"",M906=""),L906,M906))))</f>
        <v/>
      </c>
      <c r="U906">
        <f>IF(T906="Tier 1",10,IF(T906="Tier 2",7,IF(T906="Tier 3",4,IF(T906="Tier 4",1,0))))</f>
        <v/>
      </c>
      <c r="W906">
        <f>IF(V906="Restricted",10,IF(V906="Confidential",7,IF(V906="Internal",4,IF(V906="Public",1,0))))</f>
        <v/>
      </c>
      <c r="AA906" s="9">
        <f>(U906*0.4)+(W906*0.3)+(IF(Z906="Critical",10,IF(Z906="High",7,IF(Z906="Medium",4,1)))*0.2)+(IF(Y906="YES",10,0)*0.1)</f>
        <v/>
      </c>
      <c r="AB906" s="9">
        <f>IF(G906="YES",2.0,0)+IF(H906="YES",2.0,0)</f>
        <v/>
      </c>
      <c r="AC906" s="9" t="n">
        <v>0</v>
      </c>
      <c r="AD906" s="9">
        <f>K906+AB906+AC906</f>
        <v/>
      </c>
      <c r="AE906" s="9">
        <f>(AD906*0.6)+(AA906*0.4)</f>
        <v/>
      </c>
      <c r="AF906">
        <f>IF(AE906&gt;=9,"Critical",IF(AE906&gt;=7,"High",IF(AE906&gt;=4,"Medium","Low")))</f>
        <v/>
      </c>
    </row>
    <row r="907">
      <c r="F907" t="n">
        <v>1</v>
      </c>
      <c r="I907">
        <f>IF(D907="","",TODAY()-D907)</f>
        <v/>
      </c>
      <c r="K907">
        <f>IF(J907="v4.0",L907,IF(J907="v3.1",M907,IF(J907="Both",L907,IF(AND(L907&lt;&gt;"",M907=""),L907,M907))))</f>
        <v/>
      </c>
      <c r="U907">
        <f>IF(T907="Tier 1",10,IF(T907="Tier 2",7,IF(T907="Tier 3",4,IF(T907="Tier 4",1,0))))</f>
        <v/>
      </c>
      <c r="W907">
        <f>IF(V907="Restricted",10,IF(V907="Confidential",7,IF(V907="Internal",4,IF(V907="Public",1,0))))</f>
        <v/>
      </c>
      <c r="AA907" s="9">
        <f>(U907*0.4)+(W907*0.3)+(IF(Z907="Critical",10,IF(Z907="High",7,IF(Z907="Medium",4,1)))*0.2)+(IF(Y907="YES",10,0)*0.1)</f>
        <v/>
      </c>
      <c r="AB907" s="9">
        <f>IF(G907="YES",2.0,0)+IF(H907="YES",2.0,0)</f>
        <v/>
      </c>
      <c r="AC907" s="9" t="n">
        <v>0</v>
      </c>
      <c r="AD907" s="9">
        <f>K907+AB907+AC907</f>
        <v/>
      </c>
      <c r="AE907" s="9">
        <f>(AD907*0.6)+(AA907*0.4)</f>
        <v/>
      </c>
      <c r="AF907">
        <f>IF(AE907&gt;=9,"Critical",IF(AE907&gt;=7,"High",IF(AE907&gt;=4,"Medium","Low")))</f>
        <v/>
      </c>
    </row>
    <row r="908">
      <c r="F908" t="n">
        <v>1</v>
      </c>
      <c r="I908">
        <f>IF(D908="","",TODAY()-D908)</f>
        <v/>
      </c>
      <c r="K908">
        <f>IF(J908="v4.0",L908,IF(J908="v3.1",M908,IF(J908="Both",L908,IF(AND(L908&lt;&gt;"",M908=""),L908,M908))))</f>
        <v/>
      </c>
      <c r="U908">
        <f>IF(T908="Tier 1",10,IF(T908="Tier 2",7,IF(T908="Tier 3",4,IF(T908="Tier 4",1,0))))</f>
        <v/>
      </c>
      <c r="W908">
        <f>IF(V908="Restricted",10,IF(V908="Confidential",7,IF(V908="Internal",4,IF(V908="Public",1,0))))</f>
        <v/>
      </c>
      <c r="AA908" s="9">
        <f>(U908*0.4)+(W908*0.3)+(IF(Z908="Critical",10,IF(Z908="High",7,IF(Z908="Medium",4,1)))*0.2)+(IF(Y908="YES",10,0)*0.1)</f>
        <v/>
      </c>
      <c r="AB908" s="9">
        <f>IF(G908="YES",2.0,0)+IF(H908="YES",2.0,0)</f>
        <v/>
      </c>
      <c r="AC908" s="9" t="n">
        <v>0</v>
      </c>
      <c r="AD908" s="9">
        <f>K908+AB908+AC908</f>
        <v/>
      </c>
      <c r="AE908" s="9">
        <f>(AD908*0.6)+(AA908*0.4)</f>
        <v/>
      </c>
      <c r="AF908">
        <f>IF(AE908&gt;=9,"Critical",IF(AE908&gt;=7,"High",IF(AE908&gt;=4,"Medium","Low")))</f>
        <v/>
      </c>
    </row>
    <row r="909">
      <c r="F909" t="n">
        <v>1</v>
      </c>
      <c r="I909">
        <f>IF(D909="","",TODAY()-D909)</f>
        <v/>
      </c>
      <c r="K909">
        <f>IF(J909="v4.0",L909,IF(J909="v3.1",M909,IF(J909="Both",L909,IF(AND(L909&lt;&gt;"",M909=""),L909,M909))))</f>
        <v/>
      </c>
      <c r="U909">
        <f>IF(T909="Tier 1",10,IF(T909="Tier 2",7,IF(T909="Tier 3",4,IF(T909="Tier 4",1,0))))</f>
        <v/>
      </c>
      <c r="W909">
        <f>IF(V909="Restricted",10,IF(V909="Confidential",7,IF(V909="Internal",4,IF(V909="Public",1,0))))</f>
        <v/>
      </c>
      <c r="AA909" s="9">
        <f>(U909*0.4)+(W909*0.3)+(IF(Z909="Critical",10,IF(Z909="High",7,IF(Z909="Medium",4,1)))*0.2)+(IF(Y909="YES",10,0)*0.1)</f>
        <v/>
      </c>
      <c r="AB909" s="9">
        <f>IF(G909="YES",2.0,0)+IF(H909="YES",2.0,0)</f>
        <v/>
      </c>
      <c r="AC909" s="9" t="n">
        <v>0</v>
      </c>
      <c r="AD909" s="9">
        <f>K909+AB909+AC909</f>
        <v/>
      </c>
      <c r="AE909" s="9">
        <f>(AD909*0.6)+(AA909*0.4)</f>
        <v/>
      </c>
      <c r="AF909">
        <f>IF(AE909&gt;=9,"Critical",IF(AE909&gt;=7,"High",IF(AE909&gt;=4,"Medium","Low")))</f>
        <v/>
      </c>
    </row>
    <row r="910">
      <c r="F910" t="n">
        <v>1</v>
      </c>
      <c r="I910">
        <f>IF(D910="","",TODAY()-D910)</f>
        <v/>
      </c>
      <c r="K910">
        <f>IF(J910="v4.0",L910,IF(J910="v3.1",M910,IF(J910="Both",L910,IF(AND(L910&lt;&gt;"",M910=""),L910,M910))))</f>
        <v/>
      </c>
      <c r="U910">
        <f>IF(T910="Tier 1",10,IF(T910="Tier 2",7,IF(T910="Tier 3",4,IF(T910="Tier 4",1,0))))</f>
        <v/>
      </c>
      <c r="W910">
        <f>IF(V910="Restricted",10,IF(V910="Confidential",7,IF(V910="Internal",4,IF(V910="Public",1,0))))</f>
        <v/>
      </c>
      <c r="AA910" s="9">
        <f>(U910*0.4)+(W910*0.3)+(IF(Z910="Critical",10,IF(Z910="High",7,IF(Z910="Medium",4,1)))*0.2)+(IF(Y910="YES",10,0)*0.1)</f>
        <v/>
      </c>
      <c r="AB910" s="9">
        <f>IF(G910="YES",2.0,0)+IF(H910="YES",2.0,0)</f>
        <v/>
      </c>
      <c r="AC910" s="9" t="n">
        <v>0</v>
      </c>
      <c r="AD910" s="9">
        <f>K910+AB910+AC910</f>
        <v/>
      </c>
      <c r="AE910" s="9">
        <f>(AD910*0.6)+(AA910*0.4)</f>
        <v/>
      </c>
      <c r="AF910">
        <f>IF(AE910&gt;=9,"Critical",IF(AE910&gt;=7,"High",IF(AE910&gt;=4,"Medium","Low")))</f>
        <v/>
      </c>
    </row>
    <row r="911">
      <c r="F911" t="n">
        <v>1</v>
      </c>
      <c r="I911">
        <f>IF(D911="","",TODAY()-D911)</f>
        <v/>
      </c>
      <c r="K911">
        <f>IF(J911="v4.0",L911,IF(J911="v3.1",M911,IF(J911="Both",L911,IF(AND(L911&lt;&gt;"",M911=""),L911,M911))))</f>
        <v/>
      </c>
      <c r="U911">
        <f>IF(T911="Tier 1",10,IF(T911="Tier 2",7,IF(T911="Tier 3",4,IF(T911="Tier 4",1,0))))</f>
        <v/>
      </c>
      <c r="W911">
        <f>IF(V911="Restricted",10,IF(V911="Confidential",7,IF(V911="Internal",4,IF(V911="Public",1,0))))</f>
        <v/>
      </c>
      <c r="AA911" s="9">
        <f>(U911*0.4)+(W911*0.3)+(IF(Z911="Critical",10,IF(Z911="High",7,IF(Z911="Medium",4,1)))*0.2)+(IF(Y911="YES",10,0)*0.1)</f>
        <v/>
      </c>
      <c r="AB911" s="9">
        <f>IF(G911="YES",2.0,0)+IF(H911="YES",2.0,0)</f>
        <v/>
      </c>
      <c r="AC911" s="9" t="n">
        <v>0</v>
      </c>
      <c r="AD911" s="9">
        <f>K911+AB911+AC911</f>
        <v/>
      </c>
      <c r="AE911" s="9">
        <f>(AD911*0.6)+(AA911*0.4)</f>
        <v/>
      </c>
      <c r="AF911">
        <f>IF(AE911&gt;=9,"Critical",IF(AE911&gt;=7,"High",IF(AE911&gt;=4,"Medium","Low")))</f>
        <v/>
      </c>
    </row>
    <row r="912">
      <c r="F912" t="n">
        <v>1</v>
      </c>
      <c r="I912">
        <f>IF(D912="","",TODAY()-D912)</f>
        <v/>
      </c>
      <c r="K912">
        <f>IF(J912="v4.0",L912,IF(J912="v3.1",M912,IF(J912="Both",L912,IF(AND(L912&lt;&gt;"",M912=""),L912,M912))))</f>
        <v/>
      </c>
      <c r="U912">
        <f>IF(T912="Tier 1",10,IF(T912="Tier 2",7,IF(T912="Tier 3",4,IF(T912="Tier 4",1,0))))</f>
        <v/>
      </c>
      <c r="W912">
        <f>IF(V912="Restricted",10,IF(V912="Confidential",7,IF(V912="Internal",4,IF(V912="Public",1,0))))</f>
        <v/>
      </c>
      <c r="AA912" s="9">
        <f>(U912*0.4)+(W912*0.3)+(IF(Z912="Critical",10,IF(Z912="High",7,IF(Z912="Medium",4,1)))*0.2)+(IF(Y912="YES",10,0)*0.1)</f>
        <v/>
      </c>
      <c r="AB912" s="9">
        <f>IF(G912="YES",2.0,0)+IF(H912="YES",2.0,0)</f>
        <v/>
      </c>
      <c r="AC912" s="9" t="n">
        <v>0</v>
      </c>
      <c r="AD912" s="9">
        <f>K912+AB912+AC912</f>
        <v/>
      </c>
      <c r="AE912" s="9">
        <f>(AD912*0.6)+(AA912*0.4)</f>
        <v/>
      </c>
      <c r="AF912">
        <f>IF(AE912&gt;=9,"Critical",IF(AE912&gt;=7,"High",IF(AE912&gt;=4,"Medium","Low")))</f>
        <v/>
      </c>
    </row>
    <row r="913">
      <c r="F913" t="n">
        <v>1</v>
      </c>
      <c r="I913">
        <f>IF(D913="","",TODAY()-D913)</f>
        <v/>
      </c>
      <c r="K913">
        <f>IF(J913="v4.0",L913,IF(J913="v3.1",M913,IF(J913="Both",L913,IF(AND(L913&lt;&gt;"",M913=""),L913,M913))))</f>
        <v/>
      </c>
      <c r="U913">
        <f>IF(T913="Tier 1",10,IF(T913="Tier 2",7,IF(T913="Tier 3",4,IF(T913="Tier 4",1,0))))</f>
        <v/>
      </c>
      <c r="W913">
        <f>IF(V913="Restricted",10,IF(V913="Confidential",7,IF(V913="Internal",4,IF(V913="Public",1,0))))</f>
        <v/>
      </c>
      <c r="AA913" s="9">
        <f>(U913*0.4)+(W913*0.3)+(IF(Z913="Critical",10,IF(Z913="High",7,IF(Z913="Medium",4,1)))*0.2)+(IF(Y913="YES",10,0)*0.1)</f>
        <v/>
      </c>
      <c r="AB913" s="9">
        <f>IF(G913="YES",2.0,0)+IF(H913="YES",2.0,0)</f>
        <v/>
      </c>
      <c r="AC913" s="9" t="n">
        <v>0</v>
      </c>
      <c r="AD913" s="9">
        <f>K913+AB913+AC913</f>
        <v/>
      </c>
      <c r="AE913" s="9">
        <f>(AD913*0.6)+(AA913*0.4)</f>
        <v/>
      </c>
      <c r="AF913">
        <f>IF(AE913&gt;=9,"Critical",IF(AE913&gt;=7,"High",IF(AE913&gt;=4,"Medium","Low")))</f>
        <v/>
      </c>
    </row>
    <row r="914">
      <c r="F914" t="n">
        <v>1</v>
      </c>
      <c r="I914">
        <f>IF(D914="","",TODAY()-D914)</f>
        <v/>
      </c>
      <c r="K914">
        <f>IF(J914="v4.0",L914,IF(J914="v3.1",M914,IF(J914="Both",L914,IF(AND(L914&lt;&gt;"",M914=""),L914,M914))))</f>
        <v/>
      </c>
      <c r="U914">
        <f>IF(T914="Tier 1",10,IF(T914="Tier 2",7,IF(T914="Tier 3",4,IF(T914="Tier 4",1,0))))</f>
        <v/>
      </c>
      <c r="W914">
        <f>IF(V914="Restricted",10,IF(V914="Confidential",7,IF(V914="Internal",4,IF(V914="Public",1,0))))</f>
        <v/>
      </c>
      <c r="AA914" s="9">
        <f>(U914*0.4)+(W914*0.3)+(IF(Z914="Critical",10,IF(Z914="High",7,IF(Z914="Medium",4,1)))*0.2)+(IF(Y914="YES",10,0)*0.1)</f>
        <v/>
      </c>
      <c r="AB914" s="9">
        <f>IF(G914="YES",2.0,0)+IF(H914="YES",2.0,0)</f>
        <v/>
      </c>
      <c r="AC914" s="9" t="n">
        <v>0</v>
      </c>
      <c r="AD914" s="9">
        <f>K914+AB914+AC914</f>
        <v/>
      </c>
      <c r="AE914" s="9">
        <f>(AD914*0.6)+(AA914*0.4)</f>
        <v/>
      </c>
      <c r="AF914">
        <f>IF(AE914&gt;=9,"Critical",IF(AE914&gt;=7,"High",IF(AE914&gt;=4,"Medium","Low")))</f>
        <v/>
      </c>
    </row>
    <row r="915">
      <c r="F915" t="n">
        <v>1</v>
      </c>
      <c r="I915">
        <f>IF(D915="","",TODAY()-D915)</f>
        <v/>
      </c>
      <c r="K915">
        <f>IF(J915="v4.0",L915,IF(J915="v3.1",M915,IF(J915="Both",L915,IF(AND(L915&lt;&gt;"",M915=""),L915,M915))))</f>
        <v/>
      </c>
      <c r="U915">
        <f>IF(T915="Tier 1",10,IF(T915="Tier 2",7,IF(T915="Tier 3",4,IF(T915="Tier 4",1,0))))</f>
        <v/>
      </c>
      <c r="W915">
        <f>IF(V915="Restricted",10,IF(V915="Confidential",7,IF(V915="Internal",4,IF(V915="Public",1,0))))</f>
        <v/>
      </c>
      <c r="AA915" s="9">
        <f>(U915*0.4)+(W915*0.3)+(IF(Z915="Critical",10,IF(Z915="High",7,IF(Z915="Medium",4,1)))*0.2)+(IF(Y915="YES",10,0)*0.1)</f>
        <v/>
      </c>
      <c r="AB915" s="9">
        <f>IF(G915="YES",2.0,0)+IF(H915="YES",2.0,0)</f>
        <v/>
      </c>
      <c r="AC915" s="9" t="n">
        <v>0</v>
      </c>
      <c r="AD915" s="9">
        <f>K915+AB915+AC915</f>
        <v/>
      </c>
      <c r="AE915" s="9">
        <f>(AD915*0.6)+(AA915*0.4)</f>
        <v/>
      </c>
      <c r="AF915">
        <f>IF(AE915&gt;=9,"Critical",IF(AE915&gt;=7,"High",IF(AE915&gt;=4,"Medium","Low")))</f>
        <v/>
      </c>
    </row>
    <row r="916">
      <c r="F916" t="n">
        <v>1</v>
      </c>
      <c r="I916">
        <f>IF(D916="","",TODAY()-D916)</f>
        <v/>
      </c>
      <c r="K916">
        <f>IF(J916="v4.0",L916,IF(J916="v3.1",M916,IF(J916="Both",L916,IF(AND(L916&lt;&gt;"",M916=""),L916,M916))))</f>
        <v/>
      </c>
      <c r="U916">
        <f>IF(T916="Tier 1",10,IF(T916="Tier 2",7,IF(T916="Tier 3",4,IF(T916="Tier 4",1,0))))</f>
        <v/>
      </c>
      <c r="W916">
        <f>IF(V916="Restricted",10,IF(V916="Confidential",7,IF(V916="Internal",4,IF(V916="Public",1,0))))</f>
        <v/>
      </c>
      <c r="AA916" s="9">
        <f>(U916*0.4)+(W916*0.3)+(IF(Z916="Critical",10,IF(Z916="High",7,IF(Z916="Medium",4,1)))*0.2)+(IF(Y916="YES",10,0)*0.1)</f>
        <v/>
      </c>
      <c r="AB916" s="9">
        <f>IF(G916="YES",2.0,0)+IF(H916="YES",2.0,0)</f>
        <v/>
      </c>
      <c r="AC916" s="9" t="n">
        <v>0</v>
      </c>
      <c r="AD916" s="9">
        <f>K916+AB916+AC916</f>
        <v/>
      </c>
      <c r="AE916" s="9">
        <f>(AD916*0.6)+(AA916*0.4)</f>
        <v/>
      </c>
      <c r="AF916">
        <f>IF(AE916&gt;=9,"Critical",IF(AE916&gt;=7,"High",IF(AE916&gt;=4,"Medium","Low")))</f>
        <v/>
      </c>
    </row>
    <row r="917">
      <c r="F917" t="n">
        <v>1</v>
      </c>
      <c r="I917">
        <f>IF(D917="","",TODAY()-D917)</f>
        <v/>
      </c>
      <c r="K917">
        <f>IF(J917="v4.0",L917,IF(J917="v3.1",M917,IF(J917="Both",L917,IF(AND(L917&lt;&gt;"",M917=""),L917,M917))))</f>
        <v/>
      </c>
      <c r="U917">
        <f>IF(T917="Tier 1",10,IF(T917="Tier 2",7,IF(T917="Tier 3",4,IF(T917="Tier 4",1,0))))</f>
        <v/>
      </c>
      <c r="W917">
        <f>IF(V917="Restricted",10,IF(V917="Confidential",7,IF(V917="Internal",4,IF(V917="Public",1,0))))</f>
        <v/>
      </c>
      <c r="AA917" s="9">
        <f>(U917*0.4)+(W917*0.3)+(IF(Z917="Critical",10,IF(Z917="High",7,IF(Z917="Medium",4,1)))*0.2)+(IF(Y917="YES",10,0)*0.1)</f>
        <v/>
      </c>
      <c r="AB917" s="9">
        <f>IF(G917="YES",2.0,0)+IF(H917="YES",2.0,0)</f>
        <v/>
      </c>
      <c r="AC917" s="9" t="n">
        <v>0</v>
      </c>
      <c r="AD917" s="9">
        <f>K917+AB917+AC917</f>
        <v/>
      </c>
      <c r="AE917" s="9">
        <f>(AD917*0.6)+(AA917*0.4)</f>
        <v/>
      </c>
      <c r="AF917">
        <f>IF(AE917&gt;=9,"Critical",IF(AE917&gt;=7,"High",IF(AE917&gt;=4,"Medium","Low")))</f>
        <v/>
      </c>
    </row>
    <row r="918">
      <c r="F918" t="n">
        <v>1</v>
      </c>
      <c r="I918">
        <f>IF(D918="","",TODAY()-D918)</f>
        <v/>
      </c>
      <c r="K918">
        <f>IF(J918="v4.0",L918,IF(J918="v3.1",M918,IF(J918="Both",L918,IF(AND(L918&lt;&gt;"",M918=""),L918,M918))))</f>
        <v/>
      </c>
      <c r="U918">
        <f>IF(T918="Tier 1",10,IF(T918="Tier 2",7,IF(T918="Tier 3",4,IF(T918="Tier 4",1,0))))</f>
        <v/>
      </c>
      <c r="W918">
        <f>IF(V918="Restricted",10,IF(V918="Confidential",7,IF(V918="Internal",4,IF(V918="Public",1,0))))</f>
        <v/>
      </c>
      <c r="AA918" s="9">
        <f>(U918*0.4)+(W918*0.3)+(IF(Z918="Critical",10,IF(Z918="High",7,IF(Z918="Medium",4,1)))*0.2)+(IF(Y918="YES",10,0)*0.1)</f>
        <v/>
      </c>
      <c r="AB918" s="9">
        <f>IF(G918="YES",2.0,0)+IF(H918="YES",2.0,0)</f>
        <v/>
      </c>
      <c r="AC918" s="9" t="n">
        <v>0</v>
      </c>
      <c r="AD918" s="9">
        <f>K918+AB918+AC918</f>
        <v/>
      </c>
      <c r="AE918" s="9">
        <f>(AD918*0.6)+(AA918*0.4)</f>
        <v/>
      </c>
      <c r="AF918">
        <f>IF(AE918&gt;=9,"Critical",IF(AE918&gt;=7,"High",IF(AE918&gt;=4,"Medium","Low")))</f>
        <v/>
      </c>
    </row>
    <row r="919">
      <c r="F919" t="n">
        <v>1</v>
      </c>
      <c r="I919">
        <f>IF(D919="","",TODAY()-D919)</f>
        <v/>
      </c>
      <c r="K919">
        <f>IF(J919="v4.0",L919,IF(J919="v3.1",M919,IF(J919="Both",L919,IF(AND(L919&lt;&gt;"",M919=""),L919,M919))))</f>
        <v/>
      </c>
      <c r="U919">
        <f>IF(T919="Tier 1",10,IF(T919="Tier 2",7,IF(T919="Tier 3",4,IF(T919="Tier 4",1,0))))</f>
        <v/>
      </c>
      <c r="W919">
        <f>IF(V919="Restricted",10,IF(V919="Confidential",7,IF(V919="Internal",4,IF(V919="Public",1,0))))</f>
        <v/>
      </c>
      <c r="AA919" s="9">
        <f>(U919*0.4)+(W919*0.3)+(IF(Z919="Critical",10,IF(Z919="High",7,IF(Z919="Medium",4,1)))*0.2)+(IF(Y919="YES",10,0)*0.1)</f>
        <v/>
      </c>
      <c r="AB919" s="9">
        <f>IF(G919="YES",2.0,0)+IF(H919="YES",2.0,0)</f>
        <v/>
      </c>
      <c r="AC919" s="9" t="n">
        <v>0</v>
      </c>
      <c r="AD919" s="9">
        <f>K919+AB919+AC919</f>
        <v/>
      </c>
      <c r="AE919" s="9">
        <f>(AD919*0.6)+(AA919*0.4)</f>
        <v/>
      </c>
      <c r="AF919">
        <f>IF(AE919&gt;=9,"Critical",IF(AE919&gt;=7,"High",IF(AE919&gt;=4,"Medium","Low")))</f>
        <v/>
      </c>
    </row>
    <row r="920">
      <c r="F920" t="n">
        <v>1</v>
      </c>
      <c r="I920">
        <f>IF(D920="","",TODAY()-D920)</f>
        <v/>
      </c>
      <c r="K920">
        <f>IF(J920="v4.0",L920,IF(J920="v3.1",M920,IF(J920="Both",L920,IF(AND(L920&lt;&gt;"",M920=""),L920,M920))))</f>
        <v/>
      </c>
      <c r="U920">
        <f>IF(T920="Tier 1",10,IF(T920="Tier 2",7,IF(T920="Tier 3",4,IF(T920="Tier 4",1,0))))</f>
        <v/>
      </c>
      <c r="W920">
        <f>IF(V920="Restricted",10,IF(V920="Confidential",7,IF(V920="Internal",4,IF(V920="Public",1,0))))</f>
        <v/>
      </c>
      <c r="AA920" s="9">
        <f>(U920*0.4)+(W920*0.3)+(IF(Z920="Critical",10,IF(Z920="High",7,IF(Z920="Medium",4,1)))*0.2)+(IF(Y920="YES",10,0)*0.1)</f>
        <v/>
      </c>
      <c r="AB920" s="9">
        <f>IF(G920="YES",2.0,0)+IF(H920="YES",2.0,0)</f>
        <v/>
      </c>
      <c r="AC920" s="9" t="n">
        <v>0</v>
      </c>
      <c r="AD920" s="9">
        <f>K920+AB920+AC920</f>
        <v/>
      </c>
      <c r="AE920" s="9">
        <f>(AD920*0.6)+(AA920*0.4)</f>
        <v/>
      </c>
      <c r="AF920">
        <f>IF(AE920&gt;=9,"Critical",IF(AE920&gt;=7,"High",IF(AE920&gt;=4,"Medium","Low")))</f>
        <v/>
      </c>
    </row>
    <row r="921">
      <c r="F921" t="n">
        <v>1</v>
      </c>
      <c r="I921">
        <f>IF(D921="","",TODAY()-D921)</f>
        <v/>
      </c>
      <c r="K921">
        <f>IF(J921="v4.0",L921,IF(J921="v3.1",M921,IF(J921="Both",L921,IF(AND(L921&lt;&gt;"",M921=""),L921,M921))))</f>
        <v/>
      </c>
      <c r="U921">
        <f>IF(T921="Tier 1",10,IF(T921="Tier 2",7,IF(T921="Tier 3",4,IF(T921="Tier 4",1,0))))</f>
        <v/>
      </c>
      <c r="W921">
        <f>IF(V921="Restricted",10,IF(V921="Confidential",7,IF(V921="Internal",4,IF(V921="Public",1,0))))</f>
        <v/>
      </c>
      <c r="AA921" s="9">
        <f>(U921*0.4)+(W921*0.3)+(IF(Z921="Critical",10,IF(Z921="High",7,IF(Z921="Medium",4,1)))*0.2)+(IF(Y921="YES",10,0)*0.1)</f>
        <v/>
      </c>
      <c r="AB921" s="9">
        <f>IF(G921="YES",2.0,0)+IF(H921="YES",2.0,0)</f>
        <v/>
      </c>
      <c r="AC921" s="9" t="n">
        <v>0</v>
      </c>
      <c r="AD921" s="9">
        <f>K921+AB921+AC921</f>
        <v/>
      </c>
      <c r="AE921" s="9">
        <f>(AD921*0.6)+(AA921*0.4)</f>
        <v/>
      </c>
      <c r="AF921">
        <f>IF(AE921&gt;=9,"Critical",IF(AE921&gt;=7,"High",IF(AE921&gt;=4,"Medium","Low")))</f>
        <v/>
      </c>
    </row>
    <row r="922">
      <c r="F922" t="n">
        <v>1</v>
      </c>
      <c r="I922">
        <f>IF(D922="","",TODAY()-D922)</f>
        <v/>
      </c>
      <c r="K922">
        <f>IF(J922="v4.0",L922,IF(J922="v3.1",M922,IF(J922="Both",L922,IF(AND(L922&lt;&gt;"",M922=""),L922,M922))))</f>
        <v/>
      </c>
      <c r="U922">
        <f>IF(T922="Tier 1",10,IF(T922="Tier 2",7,IF(T922="Tier 3",4,IF(T922="Tier 4",1,0))))</f>
        <v/>
      </c>
      <c r="W922">
        <f>IF(V922="Restricted",10,IF(V922="Confidential",7,IF(V922="Internal",4,IF(V922="Public",1,0))))</f>
        <v/>
      </c>
      <c r="AA922" s="9">
        <f>(U922*0.4)+(W922*0.3)+(IF(Z922="Critical",10,IF(Z922="High",7,IF(Z922="Medium",4,1)))*0.2)+(IF(Y922="YES",10,0)*0.1)</f>
        <v/>
      </c>
      <c r="AB922" s="9">
        <f>IF(G922="YES",2.0,0)+IF(H922="YES",2.0,0)</f>
        <v/>
      </c>
      <c r="AC922" s="9" t="n">
        <v>0</v>
      </c>
      <c r="AD922" s="9">
        <f>K922+AB922+AC922</f>
        <v/>
      </c>
      <c r="AE922" s="9">
        <f>(AD922*0.6)+(AA922*0.4)</f>
        <v/>
      </c>
      <c r="AF922">
        <f>IF(AE922&gt;=9,"Critical",IF(AE922&gt;=7,"High",IF(AE922&gt;=4,"Medium","Low")))</f>
        <v/>
      </c>
    </row>
    <row r="923">
      <c r="F923" t="n">
        <v>1</v>
      </c>
      <c r="I923">
        <f>IF(D923="","",TODAY()-D923)</f>
        <v/>
      </c>
      <c r="K923">
        <f>IF(J923="v4.0",L923,IF(J923="v3.1",M923,IF(J923="Both",L923,IF(AND(L923&lt;&gt;"",M923=""),L923,M923))))</f>
        <v/>
      </c>
      <c r="U923">
        <f>IF(T923="Tier 1",10,IF(T923="Tier 2",7,IF(T923="Tier 3",4,IF(T923="Tier 4",1,0))))</f>
        <v/>
      </c>
      <c r="W923">
        <f>IF(V923="Restricted",10,IF(V923="Confidential",7,IF(V923="Internal",4,IF(V923="Public",1,0))))</f>
        <v/>
      </c>
      <c r="AA923" s="9">
        <f>(U923*0.4)+(W923*0.3)+(IF(Z923="Critical",10,IF(Z923="High",7,IF(Z923="Medium",4,1)))*0.2)+(IF(Y923="YES",10,0)*0.1)</f>
        <v/>
      </c>
      <c r="AB923" s="9">
        <f>IF(G923="YES",2.0,0)+IF(H923="YES",2.0,0)</f>
        <v/>
      </c>
      <c r="AC923" s="9" t="n">
        <v>0</v>
      </c>
      <c r="AD923" s="9">
        <f>K923+AB923+AC923</f>
        <v/>
      </c>
      <c r="AE923" s="9">
        <f>(AD923*0.6)+(AA923*0.4)</f>
        <v/>
      </c>
      <c r="AF923">
        <f>IF(AE923&gt;=9,"Critical",IF(AE923&gt;=7,"High",IF(AE923&gt;=4,"Medium","Low")))</f>
        <v/>
      </c>
    </row>
    <row r="924">
      <c r="F924" t="n">
        <v>1</v>
      </c>
      <c r="I924">
        <f>IF(D924="","",TODAY()-D924)</f>
        <v/>
      </c>
      <c r="K924">
        <f>IF(J924="v4.0",L924,IF(J924="v3.1",M924,IF(J924="Both",L924,IF(AND(L924&lt;&gt;"",M924=""),L924,M924))))</f>
        <v/>
      </c>
      <c r="U924">
        <f>IF(T924="Tier 1",10,IF(T924="Tier 2",7,IF(T924="Tier 3",4,IF(T924="Tier 4",1,0))))</f>
        <v/>
      </c>
      <c r="W924">
        <f>IF(V924="Restricted",10,IF(V924="Confidential",7,IF(V924="Internal",4,IF(V924="Public",1,0))))</f>
        <v/>
      </c>
      <c r="AA924" s="9">
        <f>(U924*0.4)+(W924*0.3)+(IF(Z924="Critical",10,IF(Z924="High",7,IF(Z924="Medium",4,1)))*0.2)+(IF(Y924="YES",10,0)*0.1)</f>
        <v/>
      </c>
      <c r="AB924" s="9">
        <f>IF(G924="YES",2.0,0)+IF(H924="YES",2.0,0)</f>
        <v/>
      </c>
      <c r="AC924" s="9" t="n">
        <v>0</v>
      </c>
      <c r="AD924" s="9">
        <f>K924+AB924+AC924</f>
        <v/>
      </c>
      <c r="AE924" s="9">
        <f>(AD924*0.6)+(AA924*0.4)</f>
        <v/>
      </c>
      <c r="AF924">
        <f>IF(AE924&gt;=9,"Critical",IF(AE924&gt;=7,"High",IF(AE924&gt;=4,"Medium","Low")))</f>
        <v/>
      </c>
    </row>
    <row r="925">
      <c r="F925" t="n">
        <v>1</v>
      </c>
      <c r="I925">
        <f>IF(D925="","",TODAY()-D925)</f>
        <v/>
      </c>
      <c r="K925">
        <f>IF(J925="v4.0",L925,IF(J925="v3.1",M925,IF(J925="Both",L925,IF(AND(L925&lt;&gt;"",M925=""),L925,M925))))</f>
        <v/>
      </c>
      <c r="U925">
        <f>IF(T925="Tier 1",10,IF(T925="Tier 2",7,IF(T925="Tier 3",4,IF(T925="Tier 4",1,0))))</f>
        <v/>
      </c>
      <c r="W925">
        <f>IF(V925="Restricted",10,IF(V925="Confidential",7,IF(V925="Internal",4,IF(V925="Public",1,0))))</f>
        <v/>
      </c>
      <c r="AA925" s="9">
        <f>(U925*0.4)+(W925*0.3)+(IF(Z925="Critical",10,IF(Z925="High",7,IF(Z925="Medium",4,1)))*0.2)+(IF(Y925="YES",10,0)*0.1)</f>
        <v/>
      </c>
      <c r="AB925" s="9">
        <f>IF(G925="YES",2.0,0)+IF(H925="YES",2.0,0)</f>
        <v/>
      </c>
      <c r="AC925" s="9" t="n">
        <v>0</v>
      </c>
      <c r="AD925" s="9">
        <f>K925+AB925+AC925</f>
        <v/>
      </c>
      <c r="AE925" s="9">
        <f>(AD925*0.6)+(AA925*0.4)</f>
        <v/>
      </c>
      <c r="AF925">
        <f>IF(AE925&gt;=9,"Critical",IF(AE925&gt;=7,"High",IF(AE925&gt;=4,"Medium","Low")))</f>
        <v/>
      </c>
    </row>
    <row r="926">
      <c r="F926" t="n">
        <v>1</v>
      </c>
      <c r="I926">
        <f>IF(D926="","",TODAY()-D926)</f>
        <v/>
      </c>
      <c r="K926">
        <f>IF(J926="v4.0",L926,IF(J926="v3.1",M926,IF(J926="Both",L926,IF(AND(L926&lt;&gt;"",M926=""),L926,M926))))</f>
        <v/>
      </c>
      <c r="U926">
        <f>IF(T926="Tier 1",10,IF(T926="Tier 2",7,IF(T926="Tier 3",4,IF(T926="Tier 4",1,0))))</f>
        <v/>
      </c>
      <c r="W926">
        <f>IF(V926="Restricted",10,IF(V926="Confidential",7,IF(V926="Internal",4,IF(V926="Public",1,0))))</f>
        <v/>
      </c>
      <c r="AA926" s="9">
        <f>(U926*0.4)+(W926*0.3)+(IF(Z926="Critical",10,IF(Z926="High",7,IF(Z926="Medium",4,1)))*0.2)+(IF(Y926="YES",10,0)*0.1)</f>
        <v/>
      </c>
      <c r="AB926" s="9">
        <f>IF(G926="YES",2.0,0)+IF(H926="YES",2.0,0)</f>
        <v/>
      </c>
      <c r="AC926" s="9" t="n">
        <v>0</v>
      </c>
      <c r="AD926" s="9">
        <f>K926+AB926+AC926</f>
        <v/>
      </c>
      <c r="AE926" s="9">
        <f>(AD926*0.6)+(AA926*0.4)</f>
        <v/>
      </c>
      <c r="AF926">
        <f>IF(AE926&gt;=9,"Critical",IF(AE926&gt;=7,"High",IF(AE926&gt;=4,"Medium","Low")))</f>
        <v/>
      </c>
    </row>
    <row r="927">
      <c r="F927" t="n">
        <v>1</v>
      </c>
      <c r="I927">
        <f>IF(D927="","",TODAY()-D927)</f>
        <v/>
      </c>
      <c r="K927">
        <f>IF(J927="v4.0",L927,IF(J927="v3.1",M927,IF(J927="Both",L927,IF(AND(L927&lt;&gt;"",M927=""),L927,M927))))</f>
        <v/>
      </c>
      <c r="U927">
        <f>IF(T927="Tier 1",10,IF(T927="Tier 2",7,IF(T927="Tier 3",4,IF(T927="Tier 4",1,0))))</f>
        <v/>
      </c>
      <c r="W927">
        <f>IF(V927="Restricted",10,IF(V927="Confidential",7,IF(V927="Internal",4,IF(V927="Public",1,0))))</f>
        <v/>
      </c>
      <c r="AA927" s="9">
        <f>(U927*0.4)+(W927*0.3)+(IF(Z927="Critical",10,IF(Z927="High",7,IF(Z927="Medium",4,1)))*0.2)+(IF(Y927="YES",10,0)*0.1)</f>
        <v/>
      </c>
      <c r="AB927" s="9">
        <f>IF(G927="YES",2.0,0)+IF(H927="YES",2.0,0)</f>
        <v/>
      </c>
      <c r="AC927" s="9" t="n">
        <v>0</v>
      </c>
      <c r="AD927" s="9">
        <f>K927+AB927+AC927</f>
        <v/>
      </c>
      <c r="AE927" s="9">
        <f>(AD927*0.6)+(AA927*0.4)</f>
        <v/>
      </c>
      <c r="AF927">
        <f>IF(AE927&gt;=9,"Critical",IF(AE927&gt;=7,"High",IF(AE927&gt;=4,"Medium","Low")))</f>
        <v/>
      </c>
    </row>
    <row r="928">
      <c r="F928" t="n">
        <v>1</v>
      </c>
      <c r="I928">
        <f>IF(D928="","",TODAY()-D928)</f>
        <v/>
      </c>
      <c r="K928">
        <f>IF(J928="v4.0",L928,IF(J928="v3.1",M928,IF(J928="Both",L928,IF(AND(L928&lt;&gt;"",M928=""),L928,M928))))</f>
        <v/>
      </c>
      <c r="U928">
        <f>IF(T928="Tier 1",10,IF(T928="Tier 2",7,IF(T928="Tier 3",4,IF(T928="Tier 4",1,0))))</f>
        <v/>
      </c>
      <c r="W928">
        <f>IF(V928="Restricted",10,IF(V928="Confidential",7,IF(V928="Internal",4,IF(V928="Public",1,0))))</f>
        <v/>
      </c>
      <c r="AA928" s="9">
        <f>(U928*0.4)+(W928*0.3)+(IF(Z928="Critical",10,IF(Z928="High",7,IF(Z928="Medium",4,1)))*0.2)+(IF(Y928="YES",10,0)*0.1)</f>
        <v/>
      </c>
      <c r="AB928" s="9">
        <f>IF(G928="YES",2.0,0)+IF(H928="YES",2.0,0)</f>
        <v/>
      </c>
      <c r="AC928" s="9" t="n">
        <v>0</v>
      </c>
      <c r="AD928" s="9">
        <f>K928+AB928+AC928</f>
        <v/>
      </c>
      <c r="AE928" s="9">
        <f>(AD928*0.6)+(AA928*0.4)</f>
        <v/>
      </c>
      <c r="AF928">
        <f>IF(AE928&gt;=9,"Critical",IF(AE928&gt;=7,"High",IF(AE928&gt;=4,"Medium","Low")))</f>
        <v/>
      </c>
    </row>
    <row r="929">
      <c r="F929" t="n">
        <v>1</v>
      </c>
      <c r="I929">
        <f>IF(D929="","",TODAY()-D929)</f>
        <v/>
      </c>
      <c r="K929">
        <f>IF(J929="v4.0",L929,IF(J929="v3.1",M929,IF(J929="Both",L929,IF(AND(L929&lt;&gt;"",M929=""),L929,M929))))</f>
        <v/>
      </c>
      <c r="U929">
        <f>IF(T929="Tier 1",10,IF(T929="Tier 2",7,IF(T929="Tier 3",4,IF(T929="Tier 4",1,0))))</f>
        <v/>
      </c>
      <c r="W929">
        <f>IF(V929="Restricted",10,IF(V929="Confidential",7,IF(V929="Internal",4,IF(V929="Public",1,0))))</f>
        <v/>
      </c>
      <c r="AA929" s="9">
        <f>(U929*0.4)+(W929*0.3)+(IF(Z929="Critical",10,IF(Z929="High",7,IF(Z929="Medium",4,1)))*0.2)+(IF(Y929="YES",10,0)*0.1)</f>
        <v/>
      </c>
      <c r="AB929" s="9">
        <f>IF(G929="YES",2.0,0)+IF(H929="YES",2.0,0)</f>
        <v/>
      </c>
      <c r="AC929" s="9" t="n">
        <v>0</v>
      </c>
      <c r="AD929" s="9">
        <f>K929+AB929+AC929</f>
        <v/>
      </c>
      <c r="AE929" s="9">
        <f>(AD929*0.6)+(AA929*0.4)</f>
        <v/>
      </c>
      <c r="AF929">
        <f>IF(AE929&gt;=9,"Critical",IF(AE929&gt;=7,"High",IF(AE929&gt;=4,"Medium","Low")))</f>
        <v/>
      </c>
    </row>
    <row r="930">
      <c r="F930" t="n">
        <v>1</v>
      </c>
      <c r="I930">
        <f>IF(D930="","",TODAY()-D930)</f>
        <v/>
      </c>
      <c r="K930">
        <f>IF(J930="v4.0",L930,IF(J930="v3.1",M930,IF(J930="Both",L930,IF(AND(L930&lt;&gt;"",M930=""),L930,M930))))</f>
        <v/>
      </c>
      <c r="U930">
        <f>IF(T930="Tier 1",10,IF(T930="Tier 2",7,IF(T930="Tier 3",4,IF(T930="Tier 4",1,0))))</f>
        <v/>
      </c>
      <c r="W930">
        <f>IF(V930="Restricted",10,IF(V930="Confidential",7,IF(V930="Internal",4,IF(V930="Public",1,0))))</f>
        <v/>
      </c>
      <c r="AA930" s="9">
        <f>(U930*0.4)+(W930*0.3)+(IF(Z930="Critical",10,IF(Z930="High",7,IF(Z930="Medium",4,1)))*0.2)+(IF(Y930="YES",10,0)*0.1)</f>
        <v/>
      </c>
      <c r="AB930" s="9">
        <f>IF(G930="YES",2.0,0)+IF(H930="YES",2.0,0)</f>
        <v/>
      </c>
      <c r="AC930" s="9" t="n">
        <v>0</v>
      </c>
      <c r="AD930" s="9">
        <f>K930+AB930+AC930</f>
        <v/>
      </c>
      <c r="AE930" s="9">
        <f>(AD930*0.6)+(AA930*0.4)</f>
        <v/>
      </c>
      <c r="AF930">
        <f>IF(AE930&gt;=9,"Critical",IF(AE930&gt;=7,"High",IF(AE930&gt;=4,"Medium","Low")))</f>
        <v/>
      </c>
    </row>
    <row r="931">
      <c r="F931" t="n">
        <v>1</v>
      </c>
      <c r="I931">
        <f>IF(D931="","",TODAY()-D931)</f>
        <v/>
      </c>
      <c r="K931">
        <f>IF(J931="v4.0",L931,IF(J931="v3.1",M931,IF(J931="Both",L931,IF(AND(L931&lt;&gt;"",M931=""),L931,M931))))</f>
        <v/>
      </c>
      <c r="U931">
        <f>IF(T931="Tier 1",10,IF(T931="Tier 2",7,IF(T931="Tier 3",4,IF(T931="Tier 4",1,0))))</f>
        <v/>
      </c>
      <c r="W931">
        <f>IF(V931="Restricted",10,IF(V931="Confidential",7,IF(V931="Internal",4,IF(V931="Public",1,0))))</f>
        <v/>
      </c>
      <c r="AA931" s="9">
        <f>(U931*0.4)+(W931*0.3)+(IF(Z931="Critical",10,IF(Z931="High",7,IF(Z931="Medium",4,1)))*0.2)+(IF(Y931="YES",10,0)*0.1)</f>
        <v/>
      </c>
      <c r="AB931" s="9">
        <f>IF(G931="YES",2.0,0)+IF(H931="YES",2.0,0)</f>
        <v/>
      </c>
      <c r="AC931" s="9" t="n">
        <v>0</v>
      </c>
      <c r="AD931" s="9">
        <f>K931+AB931+AC931</f>
        <v/>
      </c>
      <c r="AE931" s="9">
        <f>(AD931*0.6)+(AA931*0.4)</f>
        <v/>
      </c>
      <c r="AF931">
        <f>IF(AE931&gt;=9,"Critical",IF(AE931&gt;=7,"High",IF(AE931&gt;=4,"Medium","Low")))</f>
        <v/>
      </c>
    </row>
    <row r="932">
      <c r="F932" t="n">
        <v>1</v>
      </c>
      <c r="I932">
        <f>IF(D932="","",TODAY()-D932)</f>
        <v/>
      </c>
      <c r="K932">
        <f>IF(J932="v4.0",L932,IF(J932="v3.1",M932,IF(J932="Both",L932,IF(AND(L932&lt;&gt;"",M932=""),L932,M932))))</f>
        <v/>
      </c>
      <c r="U932">
        <f>IF(T932="Tier 1",10,IF(T932="Tier 2",7,IF(T932="Tier 3",4,IF(T932="Tier 4",1,0))))</f>
        <v/>
      </c>
      <c r="W932">
        <f>IF(V932="Restricted",10,IF(V932="Confidential",7,IF(V932="Internal",4,IF(V932="Public",1,0))))</f>
        <v/>
      </c>
      <c r="AA932" s="9">
        <f>(U932*0.4)+(W932*0.3)+(IF(Z932="Critical",10,IF(Z932="High",7,IF(Z932="Medium",4,1)))*0.2)+(IF(Y932="YES",10,0)*0.1)</f>
        <v/>
      </c>
      <c r="AB932" s="9">
        <f>IF(G932="YES",2.0,0)+IF(H932="YES",2.0,0)</f>
        <v/>
      </c>
      <c r="AC932" s="9" t="n">
        <v>0</v>
      </c>
      <c r="AD932" s="9">
        <f>K932+AB932+AC932</f>
        <v/>
      </c>
      <c r="AE932" s="9">
        <f>(AD932*0.6)+(AA932*0.4)</f>
        <v/>
      </c>
      <c r="AF932">
        <f>IF(AE932&gt;=9,"Critical",IF(AE932&gt;=7,"High",IF(AE932&gt;=4,"Medium","Low")))</f>
        <v/>
      </c>
    </row>
    <row r="933">
      <c r="F933" t="n">
        <v>1</v>
      </c>
      <c r="I933">
        <f>IF(D933="","",TODAY()-D933)</f>
        <v/>
      </c>
      <c r="K933">
        <f>IF(J933="v4.0",L933,IF(J933="v3.1",M933,IF(J933="Both",L933,IF(AND(L933&lt;&gt;"",M933=""),L933,M933))))</f>
        <v/>
      </c>
      <c r="U933">
        <f>IF(T933="Tier 1",10,IF(T933="Tier 2",7,IF(T933="Tier 3",4,IF(T933="Tier 4",1,0))))</f>
        <v/>
      </c>
      <c r="W933">
        <f>IF(V933="Restricted",10,IF(V933="Confidential",7,IF(V933="Internal",4,IF(V933="Public",1,0))))</f>
        <v/>
      </c>
      <c r="AA933" s="9">
        <f>(U933*0.4)+(W933*0.3)+(IF(Z933="Critical",10,IF(Z933="High",7,IF(Z933="Medium",4,1)))*0.2)+(IF(Y933="YES",10,0)*0.1)</f>
        <v/>
      </c>
      <c r="AB933" s="9">
        <f>IF(G933="YES",2.0,0)+IF(H933="YES",2.0,0)</f>
        <v/>
      </c>
      <c r="AC933" s="9" t="n">
        <v>0</v>
      </c>
      <c r="AD933" s="9">
        <f>K933+AB933+AC933</f>
        <v/>
      </c>
      <c r="AE933" s="9">
        <f>(AD933*0.6)+(AA933*0.4)</f>
        <v/>
      </c>
      <c r="AF933">
        <f>IF(AE933&gt;=9,"Critical",IF(AE933&gt;=7,"High",IF(AE933&gt;=4,"Medium","Low")))</f>
        <v/>
      </c>
    </row>
    <row r="934">
      <c r="F934" t="n">
        <v>1</v>
      </c>
      <c r="I934">
        <f>IF(D934="","",TODAY()-D934)</f>
        <v/>
      </c>
      <c r="K934">
        <f>IF(J934="v4.0",L934,IF(J934="v3.1",M934,IF(J934="Both",L934,IF(AND(L934&lt;&gt;"",M934=""),L934,M934))))</f>
        <v/>
      </c>
      <c r="U934">
        <f>IF(T934="Tier 1",10,IF(T934="Tier 2",7,IF(T934="Tier 3",4,IF(T934="Tier 4",1,0))))</f>
        <v/>
      </c>
      <c r="W934">
        <f>IF(V934="Restricted",10,IF(V934="Confidential",7,IF(V934="Internal",4,IF(V934="Public",1,0))))</f>
        <v/>
      </c>
      <c r="AA934" s="9">
        <f>(U934*0.4)+(W934*0.3)+(IF(Z934="Critical",10,IF(Z934="High",7,IF(Z934="Medium",4,1)))*0.2)+(IF(Y934="YES",10,0)*0.1)</f>
        <v/>
      </c>
      <c r="AB934" s="9">
        <f>IF(G934="YES",2.0,0)+IF(H934="YES",2.0,0)</f>
        <v/>
      </c>
      <c r="AC934" s="9" t="n">
        <v>0</v>
      </c>
      <c r="AD934" s="9">
        <f>K934+AB934+AC934</f>
        <v/>
      </c>
      <c r="AE934" s="9">
        <f>(AD934*0.6)+(AA934*0.4)</f>
        <v/>
      </c>
      <c r="AF934">
        <f>IF(AE934&gt;=9,"Critical",IF(AE934&gt;=7,"High",IF(AE934&gt;=4,"Medium","Low")))</f>
        <v/>
      </c>
    </row>
    <row r="935">
      <c r="F935" t="n">
        <v>1</v>
      </c>
      <c r="I935">
        <f>IF(D935="","",TODAY()-D935)</f>
        <v/>
      </c>
      <c r="K935">
        <f>IF(J935="v4.0",L935,IF(J935="v3.1",M935,IF(J935="Both",L935,IF(AND(L935&lt;&gt;"",M935=""),L935,M935))))</f>
        <v/>
      </c>
      <c r="U935">
        <f>IF(T935="Tier 1",10,IF(T935="Tier 2",7,IF(T935="Tier 3",4,IF(T935="Tier 4",1,0))))</f>
        <v/>
      </c>
      <c r="W935">
        <f>IF(V935="Restricted",10,IF(V935="Confidential",7,IF(V935="Internal",4,IF(V935="Public",1,0))))</f>
        <v/>
      </c>
      <c r="AA935" s="9">
        <f>(U935*0.4)+(W935*0.3)+(IF(Z935="Critical",10,IF(Z935="High",7,IF(Z935="Medium",4,1)))*0.2)+(IF(Y935="YES",10,0)*0.1)</f>
        <v/>
      </c>
      <c r="AB935" s="9">
        <f>IF(G935="YES",2.0,0)+IF(H935="YES",2.0,0)</f>
        <v/>
      </c>
      <c r="AC935" s="9" t="n">
        <v>0</v>
      </c>
      <c r="AD935" s="9">
        <f>K935+AB935+AC935</f>
        <v/>
      </c>
      <c r="AE935" s="9">
        <f>(AD935*0.6)+(AA935*0.4)</f>
        <v/>
      </c>
      <c r="AF935">
        <f>IF(AE935&gt;=9,"Critical",IF(AE935&gt;=7,"High",IF(AE935&gt;=4,"Medium","Low")))</f>
        <v/>
      </c>
    </row>
    <row r="936">
      <c r="F936" t="n">
        <v>1</v>
      </c>
      <c r="I936">
        <f>IF(D936="","",TODAY()-D936)</f>
        <v/>
      </c>
      <c r="K936">
        <f>IF(J936="v4.0",L936,IF(J936="v3.1",M936,IF(J936="Both",L936,IF(AND(L936&lt;&gt;"",M936=""),L936,M936))))</f>
        <v/>
      </c>
      <c r="U936">
        <f>IF(T936="Tier 1",10,IF(T936="Tier 2",7,IF(T936="Tier 3",4,IF(T936="Tier 4",1,0))))</f>
        <v/>
      </c>
      <c r="W936">
        <f>IF(V936="Restricted",10,IF(V936="Confidential",7,IF(V936="Internal",4,IF(V936="Public",1,0))))</f>
        <v/>
      </c>
      <c r="AA936" s="9">
        <f>(U936*0.4)+(W936*0.3)+(IF(Z936="Critical",10,IF(Z936="High",7,IF(Z936="Medium",4,1)))*0.2)+(IF(Y936="YES",10,0)*0.1)</f>
        <v/>
      </c>
      <c r="AB936" s="9">
        <f>IF(G936="YES",2.0,0)+IF(H936="YES",2.0,0)</f>
        <v/>
      </c>
      <c r="AC936" s="9" t="n">
        <v>0</v>
      </c>
      <c r="AD936" s="9">
        <f>K936+AB936+AC936</f>
        <v/>
      </c>
      <c r="AE936" s="9">
        <f>(AD936*0.6)+(AA936*0.4)</f>
        <v/>
      </c>
      <c r="AF936">
        <f>IF(AE936&gt;=9,"Critical",IF(AE936&gt;=7,"High",IF(AE936&gt;=4,"Medium","Low")))</f>
        <v/>
      </c>
    </row>
    <row r="937">
      <c r="F937" t="n">
        <v>1</v>
      </c>
      <c r="I937">
        <f>IF(D937="","",TODAY()-D937)</f>
        <v/>
      </c>
      <c r="K937">
        <f>IF(J937="v4.0",L937,IF(J937="v3.1",M937,IF(J937="Both",L937,IF(AND(L937&lt;&gt;"",M937=""),L937,M937))))</f>
        <v/>
      </c>
      <c r="U937">
        <f>IF(T937="Tier 1",10,IF(T937="Tier 2",7,IF(T937="Tier 3",4,IF(T937="Tier 4",1,0))))</f>
        <v/>
      </c>
      <c r="W937">
        <f>IF(V937="Restricted",10,IF(V937="Confidential",7,IF(V937="Internal",4,IF(V937="Public",1,0))))</f>
        <v/>
      </c>
      <c r="AA937" s="9">
        <f>(U937*0.4)+(W937*0.3)+(IF(Z937="Critical",10,IF(Z937="High",7,IF(Z937="Medium",4,1)))*0.2)+(IF(Y937="YES",10,0)*0.1)</f>
        <v/>
      </c>
      <c r="AB937" s="9">
        <f>IF(G937="YES",2.0,0)+IF(H937="YES",2.0,0)</f>
        <v/>
      </c>
      <c r="AC937" s="9" t="n">
        <v>0</v>
      </c>
      <c r="AD937" s="9">
        <f>K937+AB937+AC937</f>
        <v/>
      </c>
      <c r="AE937" s="9">
        <f>(AD937*0.6)+(AA937*0.4)</f>
        <v/>
      </c>
      <c r="AF937">
        <f>IF(AE937&gt;=9,"Critical",IF(AE937&gt;=7,"High",IF(AE937&gt;=4,"Medium","Low")))</f>
        <v/>
      </c>
    </row>
    <row r="938">
      <c r="F938" t="n">
        <v>1</v>
      </c>
      <c r="I938">
        <f>IF(D938="","",TODAY()-D938)</f>
        <v/>
      </c>
      <c r="K938">
        <f>IF(J938="v4.0",L938,IF(J938="v3.1",M938,IF(J938="Both",L938,IF(AND(L938&lt;&gt;"",M938=""),L938,M938))))</f>
        <v/>
      </c>
      <c r="U938">
        <f>IF(T938="Tier 1",10,IF(T938="Tier 2",7,IF(T938="Tier 3",4,IF(T938="Tier 4",1,0))))</f>
        <v/>
      </c>
      <c r="W938">
        <f>IF(V938="Restricted",10,IF(V938="Confidential",7,IF(V938="Internal",4,IF(V938="Public",1,0))))</f>
        <v/>
      </c>
      <c r="AA938" s="9">
        <f>(U938*0.4)+(W938*0.3)+(IF(Z938="Critical",10,IF(Z938="High",7,IF(Z938="Medium",4,1)))*0.2)+(IF(Y938="YES",10,0)*0.1)</f>
        <v/>
      </c>
      <c r="AB938" s="9">
        <f>IF(G938="YES",2.0,0)+IF(H938="YES",2.0,0)</f>
        <v/>
      </c>
      <c r="AC938" s="9" t="n">
        <v>0</v>
      </c>
      <c r="AD938" s="9">
        <f>K938+AB938+AC938</f>
        <v/>
      </c>
      <c r="AE938" s="9">
        <f>(AD938*0.6)+(AA938*0.4)</f>
        <v/>
      </c>
      <c r="AF938">
        <f>IF(AE938&gt;=9,"Critical",IF(AE938&gt;=7,"High",IF(AE938&gt;=4,"Medium","Low")))</f>
        <v/>
      </c>
    </row>
    <row r="939">
      <c r="F939" t="n">
        <v>1</v>
      </c>
      <c r="I939">
        <f>IF(D939="","",TODAY()-D939)</f>
        <v/>
      </c>
      <c r="K939">
        <f>IF(J939="v4.0",L939,IF(J939="v3.1",M939,IF(J939="Both",L939,IF(AND(L939&lt;&gt;"",M939=""),L939,M939))))</f>
        <v/>
      </c>
      <c r="U939">
        <f>IF(T939="Tier 1",10,IF(T939="Tier 2",7,IF(T939="Tier 3",4,IF(T939="Tier 4",1,0))))</f>
        <v/>
      </c>
      <c r="W939">
        <f>IF(V939="Restricted",10,IF(V939="Confidential",7,IF(V939="Internal",4,IF(V939="Public",1,0))))</f>
        <v/>
      </c>
      <c r="AA939" s="9">
        <f>(U939*0.4)+(W939*0.3)+(IF(Z939="Critical",10,IF(Z939="High",7,IF(Z939="Medium",4,1)))*0.2)+(IF(Y939="YES",10,0)*0.1)</f>
        <v/>
      </c>
      <c r="AB939" s="9">
        <f>IF(G939="YES",2.0,0)+IF(H939="YES",2.0,0)</f>
        <v/>
      </c>
      <c r="AC939" s="9" t="n">
        <v>0</v>
      </c>
      <c r="AD939" s="9">
        <f>K939+AB939+AC939</f>
        <v/>
      </c>
      <c r="AE939" s="9">
        <f>(AD939*0.6)+(AA939*0.4)</f>
        <v/>
      </c>
      <c r="AF939">
        <f>IF(AE939&gt;=9,"Critical",IF(AE939&gt;=7,"High",IF(AE939&gt;=4,"Medium","Low")))</f>
        <v/>
      </c>
    </row>
    <row r="940">
      <c r="F940" t="n">
        <v>1</v>
      </c>
      <c r="I940">
        <f>IF(D940="","",TODAY()-D940)</f>
        <v/>
      </c>
      <c r="K940">
        <f>IF(J940="v4.0",L940,IF(J940="v3.1",M940,IF(J940="Both",L940,IF(AND(L940&lt;&gt;"",M940=""),L940,M940))))</f>
        <v/>
      </c>
      <c r="U940">
        <f>IF(T940="Tier 1",10,IF(T940="Tier 2",7,IF(T940="Tier 3",4,IF(T940="Tier 4",1,0))))</f>
        <v/>
      </c>
      <c r="W940">
        <f>IF(V940="Restricted",10,IF(V940="Confidential",7,IF(V940="Internal",4,IF(V940="Public",1,0))))</f>
        <v/>
      </c>
      <c r="AA940" s="9">
        <f>(U940*0.4)+(W940*0.3)+(IF(Z940="Critical",10,IF(Z940="High",7,IF(Z940="Medium",4,1)))*0.2)+(IF(Y940="YES",10,0)*0.1)</f>
        <v/>
      </c>
      <c r="AB940" s="9">
        <f>IF(G940="YES",2.0,0)+IF(H940="YES",2.0,0)</f>
        <v/>
      </c>
      <c r="AC940" s="9" t="n">
        <v>0</v>
      </c>
      <c r="AD940" s="9">
        <f>K940+AB940+AC940</f>
        <v/>
      </c>
      <c r="AE940" s="9">
        <f>(AD940*0.6)+(AA940*0.4)</f>
        <v/>
      </c>
      <c r="AF940">
        <f>IF(AE940&gt;=9,"Critical",IF(AE940&gt;=7,"High",IF(AE940&gt;=4,"Medium","Low")))</f>
        <v/>
      </c>
    </row>
    <row r="941">
      <c r="F941" t="n">
        <v>1</v>
      </c>
      <c r="I941">
        <f>IF(D941="","",TODAY()-D941)</f>
        <v/>
      </c>
      <c r="K941">
        <f>IF(J941="v4.0",L941,IF(J941="v3.1",M941,IF(J941="Both",L941,IF(AND(L941&lt;&gt;"",M941=""),L941,M941))))</f>
        <v/>
      </c>
      <c r="U941">
        <f>IF(T941="Tier 1",10,IF(T941="Tier 2",7,IF(T941="Tier 3",4,IF(T941="Tier 4",1,0))))</f>
        <v/>
      </c>
      <c r="W941">
        <f>IF(V941="Restricted",10,IF(V941="Confidential",7,IF(V941="Internal",4,IF(V941="Public",1,0))))</f>
        <v/>
      </c>
      <c r="AA941" s="9">
        <f>(U941*0.4)+(W941*0.3)+(IF(Z941="Critical",10,IF(Z941="High",7,IF(Z941="Medium",4,1)))*0.2)+(IF(Y941="YES",10,0)*0.1)</f>
        <v/>
      </c>
      <c r="AB941" s="9">
        <f>IF(G941="YES",2.0,0)+IF(H941="YES",2.0,0)</f>
        <v/>
      </c>
      <c r="AC941" s="9" t="n">
        <v>0</v>
      </c>
      <c r="AD941" s="9">
        <f>K941+AB941+AC941</f>
        <v/>
      </c>
      <c r="AE941" s="9">
        <f>(AD941*0.6)+(AA941*0.4)</f>
        <v/>
      </c>
      <c r="AF941">
        <f>IF(AE941&gt;=9,"Critical",IF(AE941&gt;=7,"High",IF(AE941&gt;=4,"Medium","Low")))</f>
        <v/>
      </c>
    </row>
    <row r="942">
      <c r="F942" t="n">
        <v>1</v>
      </c>
      <c r="I942">
        <f>IF(D942="","",TODAY()-D942)</f>
        <v/>
      </c>
      <c r="K942">
        <f>IF(J942="v4.0",L942,IF(J942="v3.1",M942,IF(J942="Both",L942,IF(AND(L942&lt;&gt;"",M942=""),L942,M942))))</f>
        <v/>
      </c>
      <c r="U942">
        <f>IF(T942="Tier 1",10,IF(T942="Tier 2",7,IF(T942="Tier 3",4,IF(T942="Tier 4",1,0))))</f>
        <v/>
      </c>
      <c r="W942">
        <f>IF(V942="Restricted",10,IF(V942="Confidential",7,IF(V942="Internal",4,IF(V942="Public",1,0))))</f>
        <v/>
      </c>
      <c r="AA942" s="9">
        <f>(U942*0.4)+(W942*0.3)+(IF(Z942="Critical",10,IF(Z942="High",7,IF(Z942="Medium",4,1)))*0.2)+(IF(Y942="YES",10,0)*0.1)</f>
        <v/>
      </c>
      <c r="AB942" s="9">
        <f>IF(G942="YES",2.0,0)+IF(H942="YES",2.0,0)</f>
        <v/>
      </c>
      <c r="AC942" s="9" t="n">
        <v>0</v>
      </c>
      <c r="AD942" s="9">
        <f>K942+AB942+AC942</f>
        <v/>
      </c>
      <c r="AE942" s="9">
        <f>(AD942*0.6)+(AA942*0.4)</f>
        <v/>
      </c>
      <c r="AF942">
        <f>IF(AE942&gt;=9,"Critical",IF(AE942&gt;=7,"High",IF(AE942&gt;=4,"Medium","Low")))</f>
        <v/>
      </c>
    </row>
    <row r="943">
      <c r="F943" t="n">
        <v>1</v>
      </c>
      <c r="I943">
        <f>IF(D943="","",TODAY()-D943)</f>
        <v/>
      </c>
      <c r="K943">
        <f>IF(J943="v4.0",L943,IF(J943="v3.1",M943,IF(J943="Both",L943,IF(AND(L943&lt;&gt;"",M943=""),L943,M943))))</f>
        <v/>
      </c>
      <c r="U943">
        <f>IF(T943="Tier 1",10,IF(T943="Tier 2",7,IF(T943="Tier 3",4,IF(T943="Tier 4",1,0))))</f>
        <v/>
      </c>
      <c r="W943">
        <f>IF(V943="Restricted",10,IF(V943="Confidential",7,IF(V943="Internal",4,IF(V943="Public",1,0))))</f>
        <v/>
      </c>
      <c r="AA943" s="9">
        <f>(U943*0.4)+(W943*0.3)+(IF(Z943="Critical",10,IF(Z943="High",7,IF(Z943="Medium",4,1)))*0.2)+(IF(Y943="YES",10,0)*0.1)</f>
        <v/>
      </c>
      <c r="AB943" s="9">
        <f>IF(G943="YES",2.0,0)+IF(H943="YES",2.0,0)</f>
        <v/>
      </c>
      <c r="AC943" s="9" t="n">
        <v>0</v>
      </c>
      <c r="AD943" s="9">
        <f>K943+AB943+AC943</f>
        <v/>
      </c>
      <c r="AE943" s="9">
        <f>(AD943*0.6)+(AA943*0.4)</f>
        <v/>
      </c>
      <c r="AF943">
        <f>IF(AE943&gt;=9,"Critical",IF(AE943&gt;=7,"High",IF(AE943&gt;=4,"Medium","Low")))</f>
        <v/>
      </c>
    </row>
    <row r="944">
      <c r="F944" t="n">
        <v>1</v>
      </c>
      <c r="I944">
        <f>IF(D944="","",TODAY()-D944)</f>
        <v/>
      </c>
      <c r="K944">
        <f>IF(J944="v4.0",L944,IF(J944="v3.1",M944,IF(J944="Both",L944,IF(AND(L944&lt;&gt;"",M944=""),L944,M944))))</f>
        <v/>
      </c>
      <c r="U944">
        <f>IF(T944="Tier 1",10,IF(T944="Tier 2",7,IF(T944="Tier 3",4,IF(T944="Tier 4",1,0))))</f>
        <v/>
      </c>
      <c r="W944">
        <f>IF(V944="Restricted",10,IF(V944="Confidential",7,IF(V944="Internal",4,IF(V944="Public",1,0))))</f>
        <v/>
      </c>
      <c r="AA944" s="9">
        <f>(U944*0.4)+(W944*0.3)+(IF(Z944="Critical",10,IF(Z944="High",7,IF(Z944="Medium",4,1)))*0.2)+(IF(Y944="YES",10,0)*0.1)</f>
        <v/>
      </c>
      <c r="AB944" s="9">
        <f>IF(G944="YES",2.0,0)+IF(H944="YES",2.0,0)</f>
        <v/>
      </c>
      <c r="AC944" s="9" t="n">
        <v>0</v>
      </c>
      <c r="AD944" s="9">
        <f>K944+AB944+AC944</f>
        <v/>
      </c>
      <c r="AE944" s="9">
        <f>(AD944*0.6)+(AA944*0.4)</f>
        <v/>
      </c>
      <c r="AF944">
        <f>IF(AE944&gt;=9,"Critical",IF(AE944&gt;=7,"High",IF(AE944&gt;=4,"Medium","Low")))</f>
        <v/>
      </c>
    </row>
    <row r="945">
      <c r="F945" t="n">
        <v>1</v>
      </c>
      <c r="I945">
        <f>IF(D945="","",TODAY()-D945)</f>
        <v/>
      </c>
      <c r="K945">
        <f>IF(J945="v4.0",L945,IF(J945="v3.1",M945,IF(J945="Both",L945,IF(AND(L945&lt;&gt;"",M945=""),L945,M945))))</f>
        <v/>
      </c>
      <c r="U945">
        <f>IF(T945="Tier 1",10,IF(T945="Tier 2",7,IF(T945="Tier 3",4,IF(T945="Tier 4",1,0))))</f>
        <v/>
      </c>
      <c r="W945">
        <f>IF(V945="Restricted",10,IF(V945="Confidential",7,IF(V945="Internal",4,IF(V945="Public",1,0))))</f>
        <v/>
      </c>
      <c r="AA945" s="9">
        <f>(U945*0.4)+(W945*0.3)+(IF(Z945="Critical",10,IF(Z945="High",7,IF(Z945="Medium",4,1)))*0.2)+(IF(Y945="YES",10,0)*0.1)</f>
        <v/>
      </c>
      <c r="AB945" s="9">
        <f>IF(G945="YES",2.0,0)+IF(H945="YES",2.0,0)</f>
        <v/>
      </c>
      <c r="AC945" s="9" t="n">
        <v>0</v>
      </c>
      <c r="AD945" s="9">
        <f>K945+AB945+AC945</f>
        <v/>
      </c>
      <c r="AE945" s="9">
        <f>(AD945*0.6)+(AA945*0.4)</f>
        <v/>
      </c>
      <c r="AF945">
        <f>IF(AE945&gt;=9,"Critical",IF(AE945&gt;=7,"High",IF(AE945&gt;=4,"Medium","Low")))</f>
        <v/>
      </c>
    </row>
    <row r="946">
      <c r="F946" t="n">
        <v>1</v>
      </c>
      <c r="I946">
        <f>IF(D946="","",TODAY()-D946)</f>
        <v/>
      </c>
      <c r="K946">
        <f>IF(J946="v4.0",L946,IF(J946="v3.1",M946,IF(J946="Both",L946,IF(AND(L946&lt;&gt;"",M946=""),L946,M946))))</f>
        <v/>
      </c>
      <c r="U946">
        <f>IF(T946="Tier 1",10,IF(T946="Tier 2",7,IF(T946="Tier 3",4,IF(T946="Tier 4",1,0))))</f>
        <v/>
      </c>
      <c r="W946">
        <f>IF(V946="Restricted",10,IF(V946="Confidential",7,IF(V946="Internal",4,IF(V946="Public",1,0))))</f>
        <v/>
      </c>
      <c r="AA946" s="9">
        <f>(U946*0.4)+(W946*0.3)+(IF(Z946="Critical",10,IF(Z946="High",7,IF(Z946="Medium",4,1)))*0.2)+(IF(Y946="YES",10,0)*0.1)</f>
        <v/>
      </c>
      <c r="AB946" s="9">
        <f>IF(G946="YES",2.0,0)+IF(H946="YES",2.0,0)</f>
        <v/>
      </c>
      <c r="AC946" s="9" t="n">
        <v>0</v>
      </c>
      <c r="AD946" s="9">
        <f>K946+AB946+AC946</f>
        <v/>
      </c>
      <c r="AE946" s="9">
        <f>(AD946*0.6)+(AA946*0.4)</f>
        <v/>
      </c>
      <c r="AF946">
        <f>IF(AE946&gt;=9,"Critical",IF(AE946&gt;=7,"High",IF(AE946&gt;=4,"Medium","Low")))</f>
        <v/>
      </c>
    </row>
    <row r="947">
      <c r="F947" t="n">
        <v>1</v>
      </c>
      <c r="I947">
        <f>IF(D947="","",TODAY()-D947)</f>
        <v/>
      </c>
      <c r="K947">
        <f>IF(J947="v4.0",L947,IF(J947="v3.1",M947,IF(J947="Both",L947,IF(AND(L947&lt;&gt;"",M947=""),L947,M947))))</f>
        <v/>
      </c>
      <c r="U947">
        <f>IF(T947="Tier 1",10,IF(T947="Tier 2",7,IF(T947="Tier 3",4,IF(T947="Tier 4",1,0))))</f>
        <v/>
      </c>
      <c r="W947">
        <f>IF(V947="Restricted",10,IF(V947="Confidential",7,IF(V947="Internal",4,IF(V947="Public",1,0))))</f>
        <v/>
      </c>
      <c r="AA947" s="9">
        <f>(U947*0.4)+(W947*0.3)+(IF(Z947="Critical",10,IF(Z947="High",7,IF(Z947="Medium",4,1)))*0.2)+(IF(Y947="YES",10,0)*0.1)</f>
        <v/>
      </c>
      <c r="AB947" s="9">
        <f>IF(G947="YES",2.0,0)+IF(H947="YES",2.0,0)</f>
        <v/>
      </c>
      <c r="AC947" s="9" t="n">
        <v>0</v>
      </c>
      <c r="AD947" s="9">
        <f>K947+AB947+AC947</f>
        <v/>
      </c>
      <c r="AE947" s="9">
        <f>(AD947*0.6)+(AA947*0.4)</f>
        <v/>
      </c>
      <c r="AF947">
        <f>IF(AE947&gt;=9,"Critical",IF(AE947&gt;=7,"High",IF(AE947&gt;=4,"Medium","Low")))</f>
        <v/>
      </c>
    </row>
    <row r="948">
      <c r="F948" t="n">
        <v>1</v>
      </c>
      <c r="I948">
        <f>IF(D948="","",TODAY()-D948)</f>
        <v/>
      </c>
      <c r="K948">
        <f>IF(J948="v4.0",L948,IF(J948="v3.1",M948,IF(J948="Both",L948,IF(AND(L948&lt;&gt;"",M948=""),L948,M948))))</f>
        <v/>
      </c>
      <c r="U948">
        <f>IF(T948="Tier 1",10,IF(T948="Tier 2",7,IF(T948="Tier 3",4,IF(T948="Tier 4",1,0))))</f>
        <v/>
      </c>
      <c r="W948">
        <f>IF(V948="Restricted",10,IF(V948="Confidential",7,IF(V948="Internal",4,IF(V948="Public",1,0))))</f>
        <v/>
      </c>
      <c r="AA948" s="9">
        <f>(U948*0.4)+(W948*0.3)+(IF(Z948="Critical",10,IF(Z948="High",7,IF(Z948="Medium",4,1)))*0.2)+(IF(Y948="YES",10,0)*0.1)</f>
        <v/>
      </c>
      <c r="AB948" s="9">
        <f>IF(G948="YES",2.0,0)+IF(H948="YES",2.0,0)</f>
        <v/>
      </c>
      <c r="AC948" s="9" t="n">
        <v>0</v>
      </c>
      <c r="AD948" s="9">
        <f>K948+AB948+AC948</f>
        <v/>
      </c>
      <c r="AE948" s="9">
        <f>(AD948*0.6)+(AA948*0.4)</f>
        <v/>
      </c>
      <c r="AF948">
        <f>IF(AE948&gt;=9,"Critical",IF(AE948&gt;=7,"High",IF(AE948&gt;=4,"Medium","Low")))</f>
        <v/>
      </c>
    </row>
    <row r="949">
      <c r="F949" t="n">
        <v>1</v>
      </c>
      <c r="I949">
        <f>IF(D949="","",TODAY()-D949)</f>
        <v/>
      </c>
      <c r="K949">
        <f>IF(J949="v4.0",L949,IF(J949="v3.1",M949,IF(J949="Both",L949,IF(AND(L949&lt;&gt;"",M949=""),L949,M949))))</f>
        <v/>
      </c>
      <c r="U949">
        <f>IF(T949="Tier 1",10,IF(T949="Tier 2",7,IF(T949="Tier 3",4,IF(T949="Tier 4",1,0))))</f>
        <v/>
      </c>
      <c r="W949">
        <f>IF(V949="Restricted",10,IF(V949="Confidential",7,IF(V949="Internal",4,IF(V949="Public",1,0))))</f>
        <v/>
      </c>
      <c r="AA949" s="9">
        <f>(U949*0.4)+(W949*0.3)+(IF(Z949="Critical",10,IF(Z949="High",7,IF(Z949="Medium",4,1)))*0.2)+(IF(Y949="YES",10,0)*0.1)</f>
        <v/>
      </c>
      <c r="AB949" s="9">
        <f>IF(G949="YES",2.0,0)+IF(H949="YES",2.0,0)</f>
        <v/>
      </c>
      <c r="AC949" s="9" t="n">
        <v>0</v>
      </c>
      <c r="AD949" s="9">
        <f>K949+AB949+AC949</f>
        <v/>
      </c>
      <c r="AE949" s="9">
        <f>(AD949*0.6)+(AA949*0.4)</f>
        <v/>
      </c>
      <c r="AF949">
        <f>IF(AE949&gt;=9,"Critical",IF(AE949&gt;=7,"High",IF(AE949&gt;=4,"Medium","Low")))</f>
        <v/>
      </c>
    </row>
    <row r="950">
      <c r="F950" t="n">
        <v>1</v>
      </c>
      <c r="I950">
        <f>IF(D950="","",TODAY()-D950)</f>
        <v/>
      </c>
      <c r="K950">
        <f>IF(J950="v4.0",L950,IF(J950="v3.1",M950,IF(J950="Both",L950,IF(AND(L950&lt;&gt;"",M950=""),L950,M950))))</f>
        <v/>
      </c>
      <c r="U950">
        <f>IF(T950="Tier 1",10,IF(T950="Tier 2",7,IF(T950="Tier 3",4,IF(T950="Tier 4",1,0))))</f>
        <v/>
      </c>
      <c r="W950">
        <f>IF(V950="Restricted",10,IF(V950="Confidential",7,IF(V950="Internal",4,IF(V950="Public",1,0))))</f>
        <v/>
      </c>
      <c r="AA950" s="9">
        <f>(U950*0.4)+(W950*0.3)+(IF(Z950="Critical",10,IF(Z950="High",7,IF(Z950="Medium",4,1)))*0.2)+(IF(Y950="YES",10,0)*0.1)</f>
        <v/>
      </c>
      <c r="AB950" s="9">
        <f>IF(G950="YES",2.0,0)+IF(H950="YES",2.0,0)</f>
        <v/>
      </c>
      <c r="AC950" s="9" t="n">
        <v>0</v>
      </c>
      <c r="AD950" s="9">
        <f>K950+AB950+AC950</f>
        <v/>
      </c>
      <c r="AE950" s="9">
        <f>(AD950*0.6)+(AA950*0.4)</f>
        <v/>
      </c>
      <c r="AF950">
        <f>IF(AE950&gt;=9,"Critical",IF(AE950&gt;=7,"High",IF(AE950&gt;=4,"Medium","Low")))</f>
        <v/>
      </c>
    </row>
    <row r="951">
      <c r="F951" t="n">
        <v>1</v>
      </c>
      <c r="I951">
        <f>IF(D951="","",TODAY()-D951)</f>
        <v/>
      </c>
      <c r="K951">
        <f>IF(J951="v4.0",L951,IF(J951="v3.1",M951,IF(J951="Both",L951,IF(AND(L951&lt;&gt;"",M951=""),L951,M951))))</f>
        <v/>
      </c>
      <c r="U951">
        <f>IF(T951="Tier 1",10,IF(T951="Tier 2",7,IF(T951="Tier 3",4,IF(T951="Tier 4",1,0))))</f>
        <v/>
      </c>
      <c r="W951">
        <f>IF(V951="Restricted",10,IF(V951="Confidential",7,IF(V951="Internal",4,IF(V951="Public",1,0))))</f>
        <v/>
      </c>
      <c r="AA951" s="9">
        <f>(U951*0.4)+(W951*0.3)+(IF(Z951="Critical",10,IF(Z951="High",7,IF(Z951="Medium",4,1)))*0.2)+(IF(Y951="YES",10,0)*0.1)</f>
        <v/>
      </c>
      <c r="AB951" s="9">
        <f>IF(G951="YES",2.0,0)+IF(H951="YES",2.0,0)</f>
        <v/>
      </c>
      <c r="AC951" s="9" t="n">
        <v>0</v>
      </c>
      <c r="AD951" s="9">
        <f>K951+AB951+AC951</f>
        <v/>
      </c>
      <c r="AE951" s="9">
        <f>(AD951*0.6)+(AA951*0.4)</f>
        <v/>
      </c>
      <c r="AF951">
        <f>IF(AE951&gt;=9,"Critical",IF(AE951&gt;=7,"High",IF(AE951&gt;=4,"Medium","Low")))</f>
        <v/>
      </c>
    </row>
    <row r="952">
      <c r="F952" t="n">
        <v>1</v>
      </c>
      <c r="I952">
        <f>IF(D952="","",TODAY()-D952)</f>
        <v/>
      </c>
      <c r="K952">
        <f>IF(J952="v4.0",L952,IF(J952="v3.1",M952,IF(J952="Both",L952,IF(AND(L952&lt;&gt;"",M952=""),L952,M952))))</f>
        <v/>
      </c>
      <c r="U952">
        <f>IF(T952="Tier 1",10,IF(T952="Tier 2",7,IF(T952="Tier 3",4,IF(T952="Tier 4",1,0))))</f>
        <v/>
      </c>
      <c r="W952">
        <f>IF(V952="Restricted",10,IF(V952="Confidential",7,IF(V952="Internal",4,IF(V952="Public",1,0))))</f>
        <v/>
      </c>
      <c r="AA952" s="9">
        <f>(U952*0.4)+(W952*0.3)+(IF(Z952="Critical",10,IF(Z952="High",7,IF(Z952="Medium",4,1)))*0.2)+(IF(Y952="YES",10,0)*0.1)</f>
        <v/>
      </c>
      <c r="AB952" s="9">
        <f>IF(G952="YES",2.0,0)+IF(H952="YES",2.0,0)</f>
        <v/>
      </c>
      <c r="AC952" s="9" t="n">
        <v>0</v>
      </c>
      <c r="AD952" s="9">
        <f>K952+AB952+AC952</f>
        <v/>
      </c>
      <c r="AE952" s="9">
        <f>(AD952*0.6)+(AA952*0.4)</f>
        <v/>
      </c>
      <c r="AF952">
        <f>IF(AE952&gt;=9,"Critical",IF(AE952&gt;=7,"High",IF(AE952&gt;=4,"Medium","Low")))</f>
        <v/>
      </c>
    </row>
    <row r="953">
      <c r="F953" t="n">
        <v>1</v>
      </c>
      <c r="I953">
        <f>IF(D953="","",TODAY()-D953)</f>
        <v/>
      </c>
      <c r="K953">
        <f>IF(J953="v4.0",L953,IF(J953="v3.1",M953,IF(J953="Both",L953,IF(AND(L953&lt;&gt;"",M953=""),L953,M953))))</f>
        <v/>
      </c>
      <c r="U953">
        <f>IF(T953="Tier 1",10,IF(T953="Tier 2",7,IF(T953="Tier 3",4,IF(T953="Tier 4",1,0))))</f>
        <v/>
      </c>
      <c r="W953">
        <f>IF(V953="Restricted",10,IF(V953="Confidential",7,IF(V953="Internal",4,IF(V953="Public",1,0))))</f>
        <v/>
      </c>
      <c r="AA953" s="9">
        <f>(U953*0.4)+(W953*0.3)+(IF(Z953="Critical",10,IF(Z953="High",7,IF(Z953="Medium",4,1)))*0.2)+(IF(Y953="YES",10,0)*0.1)</f>
        <v/>
      </c>
      <c r="AB953" s="9">
        <f>IF(G953="YES",2.0,0)+IF(H953="YES",2.0,0)</f>
        <v/>
      </c>
      <c r="AC953" s="9" t="n">
        <v>0</v>
      </c>
      <c r="AD953" s="9">
        <f>K953+AB953+AC953</f>
        <v/>
      </c>
      <c r="AE953" s="9">
        <f>(AD953*0.6)+(AA953*0.4)</f>
        <v/>
      </c>
      <c r="AF953">
        <f>IF(AE953&gt;=9,"Critical",IF(AE953&gt;=7,"High",IF(AE953&gt;=4,"Medium","Low")))</f>
        <v/>
      </c>
    </row>
    <row r="954">
      <c r="F954" t="n">
        <v>1</v>
      </c>
      <c r="I954">
        <f>IF(D954="","",TODAY()-D954)</f>
        <v/>
      </c>
      <c r="K954">
        <f>IF(J954="v4.0",L954,IF(J954="v3.1",M954,IF(J954="Both",L954,IF(AND(L954&lt;&gt;"",M954=""),L954,M954))))</f>
        <v/>
      </c>
      <c r="U954">
        <f>IF(T954="Tier 1",10,IF(T954="Tier 2",7,IF(T954="Tier 3",4,IF(T954="Tier 4",1,0))))</f>
        <v/>
      </c>
      <c r="W954">
        <f>IF(V954="Restricted",10,IF(V954="Confidential",7,IF(V954="Internal",4,IF(V954="Public",1,0))))</f>
        <v/>
      </c>
      <c r="AA954" s="9">
        <f>(U954*0.4)+(W954*0.3)+(IF(Z954="Critical",10,IF(Z954="High",7,IF(Z954="Medium",4,1)))*0.2)+(IF(Y954="YES",10,0)*0.1)</f>
        <v/>
      </c>
      <c r="AB954" s="9">
        <f>IF(G954="YES",2.0,0)+IF(H954="YES",2.0,0)</f>
        <v/>
      </c>
      <c r="AC954" s="9" t="n">
        <v>0</v>
      </c>
      <c r="AD954" s="9">
        <f>K954+AB954+AC954</f>
        <v/>
      </c>
      <c r="AE954" s="9">
        <f>(AD954*0.6)+(AA954*0.4)</f>
        <v/>
      </c>
      <c r="AF954">
        <f>IF(AE954&gt;=9,"Critical",IF(AE954&gt;=7,"High",IF(AE954&gt;=4,"Medium","Low")))</f>
        <v/>
      </c>
    </row>
    <row r="955">
      <c r="F955" t="n">
        <v>1</v>
      </c>
      <c r="I955">
        <f>IF(D955="","",TODAY()-D955)</f>
        <v/>
      </c>
      <c r="K955">
        <f>IF(J955="v4.0",L955,IF(J955="v3.1",M955,IF(J955="Both",L955,IF(AND(L955&lt;&gt;"",M955=""),L955,M955))))</f>
        <v/>
      </c>
      <c r="U955">
        <f>IF(T955="Tier 1",10,IF(T955="Tier 2",7,IF(T955="Tier 3",4,IF(T955="Tier 4",1,0))))</f>
        <v/>
      </c>
      <c r="W955">
        <f>IF(V955="Restricted",10,IF(V955="Confidential",7,IF(V955="Internal",4,IF(V955="Public",1,0))))</f>
        <v/>
      </c>
      <c r="AA955" s="9">
        <f>(U955*0.4)+(W955*0.3)+(IF(Z955="Critical",10,IF(Z955="High",7,IF(Z955="Medium",4,1)))*0.2)+(IF(Y955="YES",10,0)*0.1)</f>
        <v/>
      </c>
      <c r="AB955" s="9">
        <f>IF(G955="YES",2.0,0)+IF(H955="YES",2.0,0)</f>
        <v/>
      </c>
      <c r="AC955" s="9" t="n">
        <v>0</v>
      </c>
      <c r="AD955" s="9">
        <f>K955+AB955+AC955</f>
        <v/>
      </c>
      <c r="AE955" s="9">
        <f>(AD955*0.6)+(AA955*0.4)</f>
        <v/>
      </c>
      <c r="AF955">
        <f>IF(AE955&gt;=9,"Critical",IF(AE955&gt;=7,"High",IF(AE955&gt;=4,"Medium","Low")))</f>
        <v/>
      </c>
    </row>
    <row r="956">
      <c r="F956" t="n">
        <v>1</v>
      </c>
      <c r="I956">
        <f>IF(D956="","",TODAY()-D956)</f>
        <v/>
      </c>
      <c r="K956">
        <f>IF(J956="v4.0",L956,IF(J956="v3.1",M956,IF(J956="Both",L956,IF(AND(L956&lt;&gt;"",M956=""),L956,M956))))</f>
        <v/>
      </c>
      <c r="U956">
        <f>IF(T956="Tier 1",10,IF(T956="Tier 2",7,IF(T956="Tier 3",4,IF(T956="Tier 4",1,0))))</f>
        <v/>
      </c>
      <c r="W956">
        <f>IF(V956="Restricted",10,IF(V956="Confidential",7,IF(V956="Internal",4,IF(V956="Public",1,0))))</f>
        <v/>
      </c>
      <c r="AA956" s="9">
        <f>(U956*0.4)+(W956*0.3)+(IF(Z956="Critical",10,IF(Z956="High",7,IF(Z956="Medium",4,1)))*0.2)+(IF(Y956="YES",10,0)*0.1)</f>
        <v/>
      </c>
      <c r="AB956" s="9">
        <f>IF(G956="YES",2.0,0)+IF(H956="YES",2.0,0)</f>
        <v/>
      </c>
      <c r="AC956" s="9" t="n">
        <v>0</v>
      </c>
      <c r="AD956" s="9">
        <f>K956+AB956+AC956</f>
        <v/>
      </c>
      <c r="AE956" s="9">
        <f>(AD956*0.6)+(AA956*0.4)</f>
        <v/>
      </c>
      <c r="AF956">
        <f>IF(AE956&gt;=9,"Critical",IF(AE956&gt;=7,"High",IF(AE956&gt;=4,"Medium","Low")))</f>
        <v/>
      </c>
    </row>
    <row r="957">
      <c r="F957" t="n">
        <v>1</v>
      </c>
      <c r="I957">
        <f>IF(D957="","",TODAY()-D957)</f>
        <v/>
      </c>
      <c r="K957">
        <f>IF(J957="v4.0",L957,IF(J957="v3.1",M957,IF(J957="Both",L957,IF(AND(L957&lt;&gt;"",M957=""),L957,M957))))</f>
        <v/>
      </c>
      <c r="U957">
        <f>IF(T957="Tier 1",10,IF(T957="Tier 2",7,IF(T957="Tier 3",4,IF(T957="Tier 4",1,0))))</f>
        <v/>
      </c>
      <c r="W957">
        <f>IF(V957="Restricted",10,IF(V957="Confidential",7,IF(V957="Internal",4,IF(V957="Public",1,0))))</f>
        <v/>
      </c>
      <c r="AA957" s="9">
        <f>(U957*0.4)+(W957*0.3)+(IF(Z957="Critical",10,IF(Z957="High",7,IF(Z957="Medium",4,1)))*0.2)+(IF(Y957="YES",10,0)*0.1)</f>
        <v/>
      </c>
      <c r="AB957" s="9">
        <f>IF(G957="YES",2.0,0)+IF(H957="YES",2.0,0)</f>
        <v/>
      </c>
      <c r="AC957" s="9" t="n">
        <v>0</v>
      </c>
      <c r="AD957" s="9">
        <f>K957+AB957+AC957</f>
        <v/>
      </c>
      <c r="AE957" s="9">
        <f>(AD957*0.6)+(AA957*0.4)</f>
        <v/>
      </c>
      <c r="AF957">
        <f>IF(AE957&gt;=9,"Critical",IF(AE957&gt;=7,"High",IF(AE957&gt;=4,"Medium","Low")))</f>
        <v/>
      </c>
    </row>
    <row r="958">
      <c r="F958" t="n">
        <v>1</v>
      </c>
      <c r="I958">
        <f>IF(D958="","",TODAY()-D958)</f>
        <v/>
      </c>
      <c r="K958">
        <f>IF(J958="v4.0",L958,IF(J958="v3.1",M958,IF(J958="Both",L958,IF(AND(L958&lt;&gt;"",M958=""),L958,M958))))</f>
        <v/>
      </c>
      <c r="U958">
        <f>IF(T958="Tier 1",10,IF(T958="Tier 2",7,IF(T958="Tier 3",4,IF(T958="Tier 4",1,0))))</f>
        <v/>
      </c>
      <c r="W958">
        <f>IF(V958="Restricted",10,IF(V958="Confidential",7,IF(V958="Internal",4,IF(V958="Public",1,0))))</f>
        <v/>
      </c>
      <c r="AA958" s="9">
        <f>(U958*0.4)+(W958*0.3)+(IF(Z958="Critical",10,IF(Z958="High",7,IF(Z958="Medium",4,1)))*0.2)+(IF(Y958="YES",10,0)*0.1)</f>
        <v/>
      </c>
      <c r="AB958" s="9">
        <f>IF(G958="YES",2.0,0)+IF(H958="YES",2.0,0)</f>
        <v/>
      </c>
      <c r="AC958" s="9" t="n">
        <v>0</v>
      </c>
      <c r="AD958" s="9">
        <f>K958+AB958+AC958</f>
        <v/>
      </c>
      <c r="AE958" s="9">
        <f>(AD958*0.6)+(AA958*0.4)</f>
        <v/>
      </c>
      <c r="AF958">
        <f>IF(AE958&gt;=9,"Critical",IF(AE958&gt;=7,"High",IF(AE958&gt;=4,"Medium","Low")))</f>
        <v/>
      </c>
    </row>
    <row r="959">
      <c r="F959" t="n">
        <v>1</v>
      </c>
      <c r="I959">
        <f>IF(D959="","",TODAY()-D959)</f>
        <v/>
      </c>
      <c r="K959">
        <f>IF(J959="v4.0",L959,IF(J959="v3.1",M959,IF(J959="Both",L959,IF(AND(L959&lt;&gt;"",M959=""),L959,M959))))</f>
        <v/>
      </c>
      <c r="U959">
        <f>IF(T959="Tier 1",10,IF(T959="Tier 2",7,IF(T959="Tier 3",4,IF(T959="Tier 4",1,0))))</f>
        <v/>
      </c>
      <c r="W959">
        <f>IF(V959="Restricted",10,IF(V959="Confidential",7,IF(V959="Internal",4,IF(V959="Public",1,0))))</f>
        <v/>
      </c>
      <c r="AA959" s="9">
        <f>(U959*0.4)+(W959*0.3)+(IF(Z959="Critical",10,IF(Z959="High",7,IF(Z959="Medium",4,1)))*0.2)+(IF(Y959="YES",10,0)*0.1)</f>
        <v/>
      </c>
      <c r="AB959" s="9">
        <f>IF(G959="YES",2.0,0)+IF(H959="YES",2.0,0)</f>
        <v/>
      </c>
      <c r="AC959" s="9" t="n">
        <v>0</v>
      </c>
      <c r="AD959" s="9">
        <f>K959+AB959+AC959</f>
        <v/>
      </c>
      <c r="AE959" s="9">
        <f>(AD959*0.6)+(AA959*0.4)</f>
        <v/>
      </c>
      <c r="AF959">
        <f>IF(AE959&gt;=9,"Critical",IF(AE959&gt;=7,"High",IF(AE959&gt;=4,"Medium","Low")))</f>
        <v/>
      </c>
    </row>
    <row r="960">
      <c r="F960" t="n">
        <v>1</v>
      </c>
      <c r="I960">
        <f>IF(D960="","",TODAY()-D960)</f>
        <v/>
      </c>
      <c r="K960">
        <f>IF(J960="v4.0",L960,IF(J960="v3.1",M960,IF(J960="Both",L960,IF(AND(L960&lt;&gt;"",M960=""),L960,M960))))</f>
        <v/>
      </c>
      <c r="U960">
        <f>IF(T960="Tier 1",10,IF(T960="Tier 2",7,IF(T960="Tier 3",4,IF(T960="Tier 4",1,0))))</f>
        <v/>
      </c>
      <c r="W960">
        <f>IF(V960="Restricted",10,IF(V960="Confidential",7,IF(V960="Internal",4,IF(V960="Public",1,0))))</f>
        <v/>
      </c>
      <c r="AA960" s="9">
        <f>(U960*0.4)+(W960*0.3)+(IF(Z960="Critical",10,IF(Z960="High",7,IF(Z960="Medium",4,1)))*0.2)+(IF(Y960="YES",10,0)*0.1)</f>
        <v/>
      </c>
      <c r="AB960" s="9">
        <f>IF(G960="YES",2.0,0)+IF(H960="YES",2.0,0)</f>
        <v/>
      </c>
      <c r="AC960" s="9" t="n">
        <v>0</v>
      </c>
      <c r="AD960" s="9">
        <f>K960+AB960+AC960</f>
        <v/>
      </c>
      <c r="AE960" s="9">
        <f>(AD960*0.6)+(AA960*0.4)</f>
        <v/>
      </c>
      <c r="AF960">
        <f>IF(AE960&gt;=9,"Critical",IF(AE960&gt;=7,"High",IF(AE960&gt;=4,"Medium","Low")))</f>
        <v/>
      </c>
    </row>
    <row r="961">
      <c r="F961" t="n">
        <v>1</v>
      </c>
      <c r="I961">
        <f>IF(D961="","",TODAY()-D961)</f>
        <v/>
      </c>
      <c r="K961">
        <f>IF(J961="v4.0",L961,IF(J961="v3.1",M961,IF(J961="Both",L961,IF(AND(L961&lt;&gt;"",M961=""),L961,M961))))</f>
        <v/>
      </c>
      <c r="U961">
        <f>IF(T961="Tier 1",10,IF(T961="Tier 2",7,IF(T961="Tier 3",4,IF(T961="Tier 4",1,0))))</f>
        <v/>
      </c>
      <c r="W961">
        <f>IF(V961="Restricted",10,IF(V961="Confidential",7,IF(V961="Internal",4,IF(V961="Public",1,0))))</f>
        <v/>
      </c>
      <c r="AA961" s="9">
        <f>(U961*0.4)+(W961*0.3)+(IF(Z961="Critical",10,IF(Z961="High",7,IF(Z961="Medium",4,1)))*0.2)+(IF(Y961="YES",10,0)*0.1)</f>
        <v/>
      </c>
      <c r="AB961" s="9">
        <f>IF(G961="YES",2.0,0)+IF(H961="YES",2.0,0)</f>
        <v/>
      </c>
      <c r="AC961" s="9" t="n">
        <v>0</v>
      </c>
      <c r="AD961" s="9">
        <f>K961+AB961+AC961</f>
        <v/>
      </c>
      <c r="AE961" s="9">
        <f>(AD961*0.6)+(AA961*0.4)</f>
        <v/>
      </c>
      <c r="AF961">
        <f>IF(AE961&gt;=9,"Critical",IF(AE961&gt;=7,"High",IF(AE961&gt;=4,"Medium","Low")))</f>
        <v/>
      </c>
    </row>
    <row r="962">
      <c r="F962" t="n">
        <v>1</v>
      </c>
      <c r="I962">
        <f>IF(D962="","",TODAY()-D962)</f>
        <v/>
      </c>
      <c r="K962">
        <f>IF(J962="v4.0",L962,IF(J962="v3.1",M962,IF(J962="Both",L962,IF(AND(L962&lt;&gt;"",M962=""),L962,M962))))</f>
        <v/>
      </c>
      <c r="U962">
        <f>IF(T962="Tier 1",10,IF(T962="Tier 2",7,IF(T962="Tier 3",4,IF(T962="Tier 4",1,0))))</f>
        <v/>
      </c>
      <c r="W962">
        <f>IF(V962="Restricted",10,IF(V962="Confidential",7,IF(V962="Internal",4,IF(V962="Public",1,0))))</f>
        <v/>
      </c>
      <c r="AA962" s="9">
        <f>(U962*0.4)+(W962*0.3)+(IF(Z962="Critical",10,IF(Z962="High",7,IF(Z962="Medium",4,1)))*0.2)+(IF(Y962="YES",10,0)*0.1)</f>
        <v/>
      </c>
      <c r="AB962" s="9">
        <f>IF(G962="YES",2.0,0)+IF(H962="YES",2.0,0)</f>
        <v/>
      </c>
      <c r="AC962" s="9" t="n">
        <v>0</v>
      </c>
      <c r="AD962" s="9">
        <f>K962+AB962+AC962</f>
        <v/>
      </c>
      <c r="AE962" s="9">
        <f>(AD962*0.6)+(AA962*0.4)</f>
        <v/>
      </c>
      <c r="AF962">
        <f>IF(AE962&gt;=9,"Critical",IF(AE962&gt;=7,"High",IF(AE962&gt;=4,"Medium","Low")))</f>
        <v/>
      </c>
    </row>
    <row r="963">
      <c r="F963" t="n">
        <v>1</v>
      </c>
      <c r="I963">
        <f>IF(D963="","",TODAY()-D963)</f>
        <v/>
      </c>
      <c r="K963">
        <f>IF(J963="v4.0",L963,IF(J963="v3.1",M963,IF(J963="Both",L963,IF(AND(L963&lt;&gt;"",M963=""),L963,M963))))</f>
        <v/>
      </c>
      <c r="U963">
        <f>IF(T963="Tier 1",10,IF(T963="Tier 2",7,IF(T963="Tier 3",4,IF(T963="Tier 4",1,0))))</f>
        <v/>
      </c>
      <c r="W963">
        <f>IF(V963="Restricted",10,IF(V963="Confidential",7,IF(V963="Internal",4,IF(V963="Public",1,0))))</f>
        <v/>
      </c>
      <c r="AA963" s="9">
        <f>(U963*0.4)+(W963*0.3)+(IF(Z963="Critical",10,IF(Z963="High",7,IF(Z963="Medium",4,1)))*0.2)+(IF(Y963="YES",10,0)*0.1)</f>
        <v/>
      </c>
      <c r="AB963" s="9">
        <f>IF(G963="YES",2.0,0)+IF(H963="YES",2.0,0)</f>
        <v/>
      </c>
      <c r="AC963" s="9" t="n">
        <v>0</v>
      </c>
      <c r="AD963" s="9">
        <f>K963+AB963+AC963</f>
        <v/>
      </c>
      <c r="AE963" s="9">
        <f>(AD963*0.6)+(AA963*0.4)</f>
        <v/>
      </c>
      <c r="AF963">
        <f>IF(AE963&gt;=9,"Critical",IF(AE963&gt;=7,"High",IF(AE963&gt;=4,"Medium","Low")))</f>
        <v/>
      </c>
    </row>
    <row r="964">
      <c r="F964" t="n">
        <v>1</v>
      </c>
      <c r="I964">
        <f>IF(D964="","",TODAY()-D964)</f>
        <v/>
      </c>
      <c r="K964">
        <f>IF(J964="v4.0",L964,IF(J964="v3.1",M964,IF(J964="Both",L964,IF(AND(L964&lt;&gt;"",M964=""),L964,M964))))</f>
        <v/>
      </c>
      <c r="U964">
        <f>IF(T964="Tier 1",10,IF(T964="Tier 2",7,IF(T964="Tier 3",4,IF(T964="Tier 4",1,0))))</f>
        <v/>
      </c>
      <c r="W964">
        <f>IF(V964="Restricted",10,IF(V964="Confidential",7,IF(V964="Internal",4,IF(V964="Public",1,0))))</f>
        <v/>
      </c>
      <c r="AA964" s="9">
        <f>(U964*0.4)+(W964*0.3)+(IF(Z964="Critical",10,IF(Z964="High",7,IF(Z964="Medium",4,1)))*0.2)+(IF(Y964="YES",10,0)*0.1)</f>
        <v/>
      </c>
      <c r="AB964" s="9">
        <f>IF(G964="YES",2.0,0)+IF(H964="YES",2.0,0)</f>
        <v/>
      </c>
      <c r="AC964" s="9" t="n">
        <v>0</v>
      </c>
      <c r="AD964" s="9">
        <f>K964+AB964+AC964</f>
        <v/>
      </c>
      <c r="AE964" s="9">
        <f>(AD964*0.6)+(AA964*0.4)</f>
        <v/>
      </c>
      <c r="AF964">
        <f>IF(AE964&gt;=9,"Critical",IF(AE964&gt;=7,"High",IF(AE964&gt;=4,"Medium","Low")))</f>
        <v/>
      </c>
    </row>
    <row r="965">
      <c r="F965" t="n">
        <v>1</v>
      </c>
      <c r="I965">
        <f>IF(D965="","",TODAY()-D965)</f>
        <v/>
      </c>
      <c r="K965">
        <f>IF(J965="v4.0",L965,IF(J965="v3.1",M965,IF(J965="Both",L965,IF(AND(L965&lt;&gt;"",M965=""),L965,M965))))</f>
        <v/>
      </c>
      <c r="U965">
        <f>IF(T965="Tier 1",10,IF(T965="Tier 2",7,IF(T965="Tier 3",4,IF(T965="Tier 4",1,0))))</f>
        <v/>
      </c>
      <c r="W965">
        <f>IF(V965="Restricted",10,IF(V965="Confidential",7,IF(V965="Internal",4,IF(V965="Public",1,0))))</f>
        <v/>
      </c>
      <c r="AA965" s="9">
        <f>(U965*0.4)+(W965*0.3)+(IF(Z965="Critical",10,IF(Z965="High",7,IF(Z965="Medium",4,1)))*0.2)+(IF(Y965="YES",10,0)*0.1)</f>
        <v/>
      </c>
      <c r="AB965" s="9">
        <f>IF(G965="YES",2.0,0)+IF(H965="YES",2.0,0)</f>
        <v/>
      </c>
      <c r="AC965" s="9" t="n">
        <v>0</v>
      </c>
      <c r="AD965" s="9">
        <f>K965+AB965+AC965</f>
        <v/>
      </c>
      <c r="AE965" s="9">
        <f>(AD965*0.6)+(AA965*0.4)</f>
        <v/>
      </c>
      <c r="AF965">
        <f>IF(AE965&gt;=9,"Critical",IF(AE965&gt;=7,"High",IF(AE965&gt;=4,"Medium","Low")))</f>
        <v/>
      </c>
    </row>
    <row r="966">
      <c r="F966" t="n">
        <v>1</v>
      </c>
      <c r="I966">
        <f>IF(D966="","",TODAY()-D966)</f>
        <v/>
      </c>
      <c r="K966">
        <f>IF(J966="v4.0",L966,IF(J966="v3.1",M966,IF(J966="Both",L966,IF(AND(L966&lt;&gt;"",M966=""),L966,M966))))</f>
        <v/>
      </c>
      <c r="U966">
        <f>IF(T966="Tier 1",10,IF(T966="Tier 2",7,IF(T966="Tier 3",4,IF(T966="Tier 4",1,0))))</f>
        <v/>
      </c>
      <c r="W966">
        <f>IF(V966="Restricted",10,IF(V966="Confidential",7,IF(V966="Internal",4,IF(V966="Public",1,0))))</f>
        <v/>
      </c>
      <c r="AA966" s="9">
        <f>(U966*0.4)+(W966*0.3)+(IF(Z966="Critical",10,IF(Z966="High",7,IF(Z966="Medium",4,1)))*0.2)+(IF(Y966="YES",10,0)*0.1)</f>
        <v/>
      </c>
      <c r="AB966" s="9">
        <f>IF(G966="YES",2.0,0)+IF(H966="YES",2.0,0)</f>
        <v/>
      </c>
      <c r="AC966" s="9" t="n">
        <v>0</v>
      </c>
      <c r="AD966" s="9">
        <f>K966+AB966+AC966</f>
        <v/>
      </c>
      <c r="AE966" s="9">
        <f>(AD966*0.6)+(AA966*0.4)</f>
        <v/>
      </c>
      <c r="AF966">
        <f>IF(AE966&gt;=9,"Critical",IF(AE966&gt;=7,"High",IF(AE966&gt;=4,"Medium","Low")))</f>
        <v/>
      </c>
    </row>
    <row r="967">
      <c r="F967" t="n">
        <v>1</v>
      </c>
      <c r="I967">
        <f>IF(D967="","",TODAY()-D967)</f>
        <v/>
      </c>
      <c r="K967">
        <f>IF(J967="v4.0",L967,IF(J967="v3.1",M967,IF(J967="Both",L967,IF(AND(L967&lt;&gt;"",M967=""),L967,M967))))</f>
        <v/>
      </c>
      <c r="U967">
        <f>IF(T967="Tier 1",10,IF(T967="Tier 2",7,IF(T967="Tier 3",4,IF(T967="Tier 4",1,0))))</f>
        <v/>
      </c>
      <c r="W967">
        <f>IF(V967="Restricted",10,IF(V967="Confidential",7,IF(V967="Internal",4,IF(V967="Public",1,0))))</f>
        <v/>
      </c>
      <c r="AA967" s="9">
        <f>(U967*0.4)+(W967*0.3)+(IF(Z967="Critical",10,IF(Z967="High",7,IF(Z967="Medium",4,1)))*0.2)+(IF(Y967="YES",10,0)*0.1)</f>
        <v/>
      </c>
      <c r="AB967" s="9">
        <f>IF(G967="YES",2.0,0)+IF(H967="YES",2.0,0)</f>
        <v/>
      </c>
      <c r="AC967" s="9" t="n">
        <v>0</v>
      </c>
      <c r="AD967" s="9">
        <f>K967+AB967+AC967</f>
        <v/>
      </c>
      <c r="AE967" s="9">
        <f>(AD967*0.6)+(AA967*0.4)</f>
        <v/>
      </c>
      <c r="AF967">
        <f>IF(AE967&gt;=9,"Critical",IF(AE967&gt;=7,"High",IF(AE967&gt;=4,"Medium","Low")))</f>
        <v/>
      </c>
    </row>
    <row r="968">
      <c r="F968" t="n">
        <v>1</v>
      </c>
      <c r="I968">
        <f>IF(D968="","",TODAY()-D968)</f>
        <v/>
      </c>
      <c r="K968">
        <f>IF(J968="v4.0",L968,IF(J968="v3.1",M968,IF(J968="Both",L968,IF(AND(L968&lt;&gt;"",M968=""),L968,M968))))</f>
        <v/>
      </c>
      <c r="U968">
        <f>IF(T968="Tier 1",10,IF(T968="Tier 2",7,IF(T968="Tier 3",4,IF(T968="Tier 4",1,0))))</f>
        <v/>
      </c>
      <c r="W968">
        <f>IF(V968="Restricted",10,IF(V968="Confidential",7,IF(V968="Internal",4,IF(V968="Public",1,0))))</f>
        <v/>
      </c>
      <c r="AA968" s="9">
        <f>(U968*0.4)+(W968*0.3)+(IF(Z968="Critical",10,IF(Z968="High",7,IF(Z968="Medium",4,1)))*0.2)+(IF(Y968="YES",10,0)*0.1)</f>
        <v/>
      </c>
      <c r="AB968" s="9">
        <f>IF(G968="YES",2.0,0)+IF(H968="YES",2.0,0)</f>
        <v/>
      </c>
      <c r="AC968" s="9" t="n">
        <v>0</v>
      </c>
      <c r="AD968" s="9">
        <f>K968+AB968+AC968</f>
        <v/>
      </c>
      <c r="AE968" s="9">
        <f>(AD968*0.6)+(AA968*0.4)</f>
        <v/>
      </c>
      <c r="AF968">
        <f>IF(AE968&gt;=9,"Critical",IF(AE968&gt;=7,"High",IF(AE968&gt;=4,"Medium","Low")))</f>
        <v/>
      </c>
    </row>
    <row r="969">
      <c r="F969" t="n">
        <v>1</v>
      </c>
      <c r="I969">
        <f>IF(D969="","",TODAY()-D969)</f>
        <v/>
      </c>
      <c r="K969">
        <f>IF(J969="v4.0",L969,IF(J969="v3.1",M969,IF(J969="Both",L969,IF(AND(L969&lt;&gt;"",M969=""),L969,M969))))</f>
        <v/>
      </c>
      <c r="U969">
        <f>IF(T969="Tier 1",10,IF(T969="Tier 2",7,IF(T969="Tier 3",4,IF(T969="Tier 4",1,0))))</f>
        <v/>
      </c>
      <c r="W969">
        <f>IF(V969="Restricted",10,IF(V969="Confidential",7,IF(V969="Internal",4,IF(V969="Public",1,0))))</f>
        <v/>
      </c>
      <c r="AA969" s="9">
        <f>(U969*0.4)+(W969*0.3)+(IF(Z969="Critical",10,IF(Z969="High",7,IF(Z969="Medium",4,1)))*0.2)+(IF(Y969="YES",10,0)*0.1)</f>
        <v/>
      </c>
      <c r="AB969" s="9">
        <f>IF(G969="YES",2.0,0)+IF(H969="YES",2.0,0)</f>
        <v/>
      </c>
      <c r="AC969" s="9" t="n">
        <v>0</v>
      </c>
      <c r="AD969" s="9">
        <f>K969+AB969+AC969</f>
        <v/>
      </c>
      <c r="AE969" s="9">
        <f>(AD969*0.6)+(AA969*0.4)</f>
        <v/>
      </c>
      <c r="AF969">
        <f>IF(AE969&gt;=9,"Critical",IF(AE969&gt;=7,"High",IF(AE969&gt;=4,"Medium","Low")))</f>
        <v/>
      </c>
    </row>
    <row r="970">
      <c r="F970" t="n">
        <v>1</v>
      </c>
      <c r="I970">
        <f>IF(D970="","",TODAY()-D970)</f>
        <v/>
      </c>
      <c r="K970">
        <f>IF(J970="v4.0",L970,IF(J970="v3.1",M970,IF(J970="Both",L970,IF(AND(L970&lt;&gt;"",M970=""),L970,M970))))</f>
        <v/>
      </c>
      <c r="U970">
        <f>IF(T970="Tier 1",10,IF(T970="Tier 2",7,IF(T970="Tier 3",4,IF(T970="Tier 4",1,0))))</f>
        <v/>
      </c>
      <c r="W970">
        <f>IF(V970="Restricted",10,IF(V970="Confidential",7,IF(V970="Internal",4,IF(V970="Public",1,0))))</f>
        <v/>
      </c>
      <c r="AA970" s="9">
        <f>(U970*0.4)+(W970*0.3)+(IF(Z970="Critical",10,IF(Z970="High",7,IF(Z970="Medium",4,1)))*0.2)+(IF(Y970="YES",10,0)*0.1)</f>
        <v/>
      </c>
      <c r="AB970" s="9">
        <f>IF(G970="YES",2.0,0)+IF(H970="YES",2.0,0)</f>
        <v/>
      </c>
      <c r="AC970" s="9" t="n">
        <v>0</v>
      </c>
      <c r="AD970" s="9">
        <f>K970+AB970+AC970</f>
        <v/>
      </c>
      <c r="AE970" s="9">
        <f>(AD970*0.6)+(AA970*0.4)</f>
        <v/>
      </c>
      <c r="AF970">
        <f>IF(AE970&gt;=9,"Critical",IF(AE970&gt;=7,"High",IF(AE970&gt;=4,"Medium","Low")))</f>
        <v/>
      </c>
    </row>
    <row r="971">
      <c r="F971" t="n">
        <v>1</v>
      </c>
      <c r="I971">
        <f>IF(D971="","",TODAY()-D971)</f>
        <v/>
      </c>
      <c r="K971">
        <f>IF(J971="v4.0",L971,IF(J971="v3.1",M971,IF(J971="Both",L971,IF(AND(L971&lt;&gt;"",M971=""),L971,M971))))</f>
        <v/>
      </c>
      <c r="U971">
        <f>IF(T971="Tier 1",10,IF(T971="Tier 2",7,IF(T971="Tier 3",4,IF(T971="Tier 4",1,0))))</f>
        <v/>
      </c>
      <c r="W971">
        <f>IF(V971="Restricted",10,IF(V971="Confidential",7,IF(V971="Internal",4,IF(V971="Public",1,0))))</f>
        <v/>
      </c>
      <c r="AA971" s="9">
        <f>(U971*0.4)+(W971*0.3)+(IF(Z971="Critical",10,IF(Z971="High",7,IF(Z971="Medium",4,1)))*0.2)+(IF(Y971="YES",10,0)*0.1)</f>
        <v/>
      </c>
      <c r="AB971" s="9">
        <f>IF(G971="YES",2.0,0)+IF(H971="YES",2.0,0)</f>
        <v/>
      </c>
      <c r="AC971" s="9" t="n">
        <v>0</v>
      </c>
      <c r="AD971" s="9">
        <f>K971+AB971+AC971</f>
        <v/>
      </c>
      <c r="AE971" s="9">
        <f>(AD971*0.6)+(AA971*0.4)</f>
        <v/>
      </c>
      <c r="AF971">
        <f>IF(AE971&gt;=9,"Critical",IF(AE971&gt;=7,"High",IF(AE971&gt;=4,"Medium","Low")))</f>
        <v/>
      </c>
    </row>
    <row r="972">
      <c r="F972" t="n">
        <v>1</v>
      </c>
      <c r="I972">
        <f>IF(D972="","",TODAY()-D972)</f>
        <v/>
      </c>
      <c r="K972">
        <f>IF(J972="v4.0",L972,IF(J972="v3.1",M972,IF(J972="Both",L972,IF(AND(L972&lt;&gt;"",M972=""),L972,M972))))</f>
        <v/>
      </c>
      <c r="U972">
        <f>IF(T972="Tier 1",10,IF(T972="Tier 2",7,IF(T972="Tier 3",4,IF(T972="Tier 4",1,0))))</f>
        <v/>
      </c>
      <c r="W972">
        <f>IF(V972="Restricted",10,IF(V972="Confidential",7,IF(V972="Internal",4,IF(V972="Public",1,0))))</f>
        <v/>
      </c>
      <c r="AA972" s="9">
        <f>(U972*0.4)+(W972*0.3)+(IF(Z972="Critical",10,IF(Z972="High",7,IF(Z972="Medium",4,1)))*0.2)+(IF(Y972="YES",10,0)*0.1)</f>
        <v/>
      </c>
      <c r="AB972" s="9">
        <f>IF(G972="YES",2.0,0)+IF(H972="YES",2.0,0)</f>
        <v/>
      </c>
      <c r="AC972" s="9" t="n">
        <v>0</v>
      </c>
      <c r="AD972" s="9">
        <f>K972+AB972+AC972</f>
        <v/>
      </c>
      <c r="AE972" s="9">
        <f>(AD972*0.6)+(AA972*0.4)</f>
        <v/>
      </c>
      <c r="AF972">
        <f>IF(AE972&gt;=9,"Critical",IF(AE972&gt;=7,"High",IF(AE972&gt;=4,"Medium","Low")))</f>
        <v/>
      </c>
    </row>
    <row r="973">
      <c r="F973" t="n">
        <v>1</v>
      </c>
      <c r="I973">
        <f>IF(D973="","",TODAY()-D973)</f>
        <v/>
      </c>
      <c r="K973">
        <f>IF(J973="v4.0",L973,IF(J973="v3.1",M973,IF(J973="Both",L973,IF(AND(L973&lt;&gt;"",M973=""),L973,M973))))</f>
        <v/>
      </c>
      <c r="U973">
        <f>IF(T973="Tier 1",10,IF(T973="Tier 2",7,IF(T973="Tier 3",4,IF(T973="Tier 4",1,0))))</f>
        <v/>
      </c>
      <c r="W973">
        <f>IF(V973="Restricted",10,IF(V973="Confidential",7,IF(V973="Internal",4,IF(V973="Public",1,0))))</f>
        <v/>
      </c>
      <c r="AA973" s="9">
        <f>(U973*0.4)+(W973*0.3)+(IF(Z973="Critical",10,IF(Z973="High",7,IF(Z973="Medium",4,1)))*0.2)+(IF(Y973="YES",10,0)*0.1)</f>
        <v/>
      </c>
      <c r="AB973" s="9">
        <f>IF(G973="YES",2.0,0)+IF(H973="YES",2.0,0)</f>
        <v/>
      </c>
      <c r="AC973" s="9" t="n">
        <v>0</v>
      </c>
      <c r="AD973" s="9">
        <f>K973+AB973+AC973</f>
        <v/>
      </c>
      <c r="AE973" s="9">
        <f>(AD973*0.6)+(AA973*0.4)</f>
        <v/>
      </c>
      <c r="AF973">
        <f>IF(AE973&gt;=9,"Critical",IF(AE973&gt;=7,"High",IF(AE973&gt;=4,"Medium","Low")))</f>
        <v/>
      </c>
    </row>
    <row r="974">
      <c r="F974" t="n">
        <v>1</v>
      </c>
      <c r="I974">
        <f>IF(D974="","",TODAY()-D974)</f>
        <v/>
      </c>
      <c r="K974">
        <f>IF(J974="v4.0",L974,IF(J974="v3.1",M974,IF(J974="Both",L974,IF(AND(L974&lt;&gt;"",M974=""),L974,M974))))</f>
        <v/>
      </c>
      <c r="U974">
        <f>IF(T974="Tier 1",10,IF(T974="Tier 2",7,IF(T974="Tier 3",4,IF(T974="Tier 4",1,0))))</f>
        <v/>
      </c>
      <c r="W974">
        <f>IF(V974="Restricted",10,IF(V974="Confidential",7,IF(V974="Internal",4,IF(V974="Public",1,0))))</f>
        <v/>
      </c>
      <c r="AA974" s="9">
        <f>(U974*0.4)+(W974*0.3)+(IF(Z974="Critical",10,IF(Z974="High",7,IF(Z974="Medium",4,1)))*0.2)+(IF(Y974="YES",10,0)*0.1)</f>
        <v/>
      </c>
      <c r="AB974" s="9">
        <f>IF(G974="YES",2.0,0)+IF(H974="YES",2.0,0)</f>
        <v/>
      </c>
      <c r="AC974" s="9" t="n">
        <v>0</v>
      </c>
      <c r="AD974" s="9">
        <f>K974+AB974+AC974</f>
        <v/>
      </c>
      <c r="AE974" s="9">
        <f>(AD974*0.6)+(AA974*0.4)</f>
        <v/>
      </c>
      <c r="AF974">
        <f>IF(AE974&gt;=9,"Critical",IF(AE974&gt;=7,"High",IF(AE974&gt;=4,"Medium","Low")))</f>
        <v/>
      </c>
    </row>
    <row r="975">
      <c r="F975" t="n">
        <v>1</v>
      </c>
      <c r="I975">
        <f>IF(D975="","",TODAY()-D975)</f>
        <v/>
      </c>
      <c r="K975">
        <f>IF(J975="v4.0",L975,IF(J975="v3.1",M975,IF(J975="Both",L975,IF(AND(L975&lt;&gt;"",M975=""),L975,M975))))</f>
        <v/>
      </c>
      <c r="U975">
        <f>IF(T975="Tier 1",10,IF(T975="Tier 2",7,IF(T975="Tier 3",4,IF(T975="Tier 4",1,0))))</f>
        <v/>
      </c>
      <c r="W975">
        <f>IF(V975="Restricted",10,IF(V975="Confidential",7,IF(V975="Internal",4,IF(V975="Public",1,0))))</f>
        <v/>
      </c>
      <c r="AA975" s="9">
        <f>(U975*0.4)+(W975*0.3)+(IF(Z975="Critical",10,IF(Z975="High",7,IF(Z975="Medium",4,1)))*0.2)+(IF(Y975="YES",10,0)*0.1)</f>
        <v/>
      </c>
      <c r="AB975" s="9">
        <f>IF(G975="YES",2.0,0)+IF(H975="YES",2.0,0)</f>
        <v/>
      </c>
      <c r="AC975" s="9" t="n">
        <v>0</v>
      </c>
      <c r="AD975" s="9">
        <f>K975+AB975+AC975</f>
        <v/>
      </c>
      <c r="AE975" s="9">
        <f>(AD975*0.6)+(AA975*0.4)</f>
        <v/>
      </c>
      <c r="AF975">
        <f>IF(AE975&gt;=9,"Critical",IF(AE975&gt;=7,"High",IF(AE975&gt;=4,"Medium","Low")))</f>
        <v/>
      </c>
    </row>
    <row r="976">
      <c r="F976" t="n">
        <v>1</v>
      </c>
      <c r="I976">
        <f>IF(D976="","",TODAY()-D976)</f>
        <v/>
      </c>
      <c r="K976">
        <f>IF(J976="v4.0",L976,IF(J976="v3.1",M976,IF(J976="Both",L976,IF(AND(L976&lt;&gt;"",M976=""),L976,M976))))</f>
        <v/>
      </c>
      <c r="U976">
        <f>IF(T976="Tier 1",10,IF(T976="Tier 2",7,IF(T976="Tier 3",4,IF(T976="Tier 4",1,0))))</f>
        <v/>
      </c>
      <c r="W976">
        <f>IF(V976="Restricted",10,IF(V976="Confidential",7,IF(V976="Internal",4,IF(V976="Public",1,0))))</f>
        <v/>
      </c>
      <c r="AA976" s="9">
        <f>(U976*0.4)+(W976*0.3)+(IF(Z976="Critical",10,IF(Z976="High",7,IF(Z976="Medium",4,1)))*0.2)+(IF(Y976="YES",10,0)*0.1)</f>
        <v/>
      </c>
      <c r="AB976" s="9">
        <f>IF(G976="YES",2.0,0)+IF(H976="YES",2.0,0)</f>
        <v/>
      </c>
      <c r="AC976" s="9" t="n">
        <v>0</v>
      </c>
      <c r="AD976" s="9">
        <f>K976+AB976+AC976</f>
        <v/>
      </c>
      <c r="AE976" s="9">
        <f>(AD976*0.6)+(AA976*0.4)</f>
        <v/>
      </c>
      <c r="AF976">
        <f>IF(AE976&gt;=9,"Critical",IF(AE976&gt;=7,"High",IF(AE976&gt;=4,"Medium","Low")))</f>
        <v/>
      </c>
    </row>
    <row r="977">
      <c r="F977" t="n">
        <v>1</v>
      </c>
      <c r="I977">
        <f>IF(D977="","",TODAY()-D977)</f>
        <v/>
      </c>
      <c r="K977">
        <f>IF(J977="v4.0",L977,IF(J977="v3.1",M977,IF(J977="Both",L977,IF(AND(L977&lt;&gt;"",M977=""),L977,M977))))</f>
        <v/>
      </c>
      <c r="U977">
        <f>IF(T977="Tier 1",10,IF(T977="Tier 2",7,IF(T977="Tier 3",4,IF(T977="Tier 4",1,0))))</f>
        <v/>
      </c>
      <c r="W977">
        <f>IF(V977="Restricted",10,IF(V977="Confidential",7,IF(V977="Internal",4,IF(V977="Public",1,0))))</f>
        <v/>
      </c>
      <c r="AA977" s="9">
        <f>(U977*0.4)+(W977*0.3)+(IF(Z977="Critical",10,IF(Z977="High",7,IF(Z977="Medium",4,1)))*0.2)+(IF(Y977="YES",10,0)*0.1)</f>
        <v/>
      </c>
      <c r="AB977" s="9">
        <f>IF(G977="YES",2.0,0)+IF(H977="YES",2.0,0)</f>
        <v/>
      </c>
      <c r="AC977" s="9" t="n">
        <v>0</v>
      </c>
      <c r="AD977" s="9">
        <f>K977+AB977+AC977</f>
        <v/>
      </c>
      <c r="AE977" s="9">
        <f>(AD977*0.6)+(AA977*0.4)</f>
        <v/>
      </c>
      <c r="AF977">
        <f>IF(AE977&gt;=9,"Critical",IF(AE977&gt;=7,"High",IF(AE977&gt;=4,"Medium","Low")))</f>
        <v/>
      </c>
    </row>
    <row r="978">
      <c r="F978" t="n">
        <v>1</v>
      </c>
      <c r="I978">
        <f>IF(D978="","",TODAY()-D978)</f>
        <v/>
      </c>
      <c r="K978">
        <f>IF(J978="v4.0",L978,IF(J978="v3.1",M978,IF(J978="Both",L978,IF(AND(L978&lt;&gt;"",M978=""),L978,M978))))</f>
        <v/>
      </c>
      <c r="U978">
        <f>IF(T978="Tier 1",10,IF(T978="Tier 2",7,IF(T978="Tier 3",4,IF(T978="Tier 4",1,0))))</f>
        <v/>
      </c>
      <c r="W978">
        <f>IF(V978="Restricted",10,IF(V978="Confidential",7,IF(V978="Internal",4,IF(V978="Public",1,0))))</f>
        <v/>
      </c>
      <c r="AA978" s="9">
        <f>(U978*0.4)+(W978*0.3)+(IF(Z978="Critical",10,IF(Z978="High",7,IF(Z978="Medium",4,1)))*0.2)+(IF(Y978="YES",10,0)*0.1)</f>
        <v/>
      </c>
      <c r="AB978" s="9">
        <f>IF(G978="YES",2.0,0)+IF(H978="YES",2.0,0)</f>
        <v/>
      </c>
      <c r="AC978" s="9" t="n">
        <v>0</v>
      </c>
      <c r="AD978" s="9">
        <f>K978+AB978+AC978</f>
        <v/>
      </c>
      <c r="AE978" s="9">
        <f>(AD978*0.6)+(AA978*0.4)</f>
        <v/>
      </c>
      <c r="AF978">
        <f>IF(AE978&gt;=9,"Critical",IF(AE978&gt;=7,"High",IF(AE978&gt;=4,"Medium","Low")))</f>
        <v/>
      </c>
    </row>
    <row r="979">
      <c r="F979" t="n">
        <v>1</v>
      </c>
      <c r="I979">
        <f>IF(D979="","",TODAY()-D979)</f>
        <v/>
      </c>
      <c r="K979">
        <f>IF(J979="v4.0",L979,IF(J979="v3.1",M979,IF(J979="Both",L979,IF(AND(L979&lt;&gt;"",M979=""),L979,M979))))</f>
        <v/>
      </c>
      <c r="U979">
        <f>IF(T979="Tier 1",10,IF(T979="Tier 2",7,IF(T979="Tier 3",4,IF(T979="Tier 4",1,0))))</f>
        <v/>
      </c>
      <c r="W979">
        <f>IF(V979="Restricted",10,IF(V979="Confidential",7,IF(V979="Internal",4,IF(V979="Public",1,0))))</f>
        <v/>
      </c>
      <c r="AA979" s="9">
        <f>(U979*0.4)+(W979*0.3)+(IF(Z979="Critical",10,IF(Z979="High",7,IF(Z979="Medium",4,1)))*0.2)+(IF(Y979="YES",10,0)*0.1)</f>
        <v/>
      </c>
      <c r="AB979" s="9">
        <f>IF(G979="YES",2.0,0)+IF(H979="YES",2.0,0)</f>
        <v/>
      </c>
      <c r="AC979" s="9" t="n">
        <v>0</v>
      </c>
      <c r="AD979" s="9">
        <f>K979+AB979+AC979</f>
        <v/>
      </c>
      <c r="AE979" s="9">
        <f>(AD979*0.6)+(AA979*0.4)</f>
        <v/>
      </c>
      <c r="AF979">
        <f>IF(AE979&gt;=9,"Critical",IF(AE979&gt;=7,"High",IF(AE979&gt;=4,"Medium","Low")))</f>
        <v/>
      </c>
    </row>
    <row r="980">
      <c r="F980" t="n">
        <v>1</v>
      </c>
      <c r="I980">
        <f>IF(D980="","",TODAY()-D980)</f>
        <v/>
      </c>
      <c r="K980">
        <f>IF(J980="v4.0",L980,IF(J980="v3.1",M980,IF(J980="Both",L980,IF(AND(L980&lt;&gt;"",M980=""),L980,M980))))</f>
        <v/>
      </c>
      <c r="U980">
        <f>IF(T980="Tier 1",10,IF(T980="Tier 2",7,IF(T980="Tier 3",4,IF(T980="Tier 4",1,0))))</f>
        <v/>
      </c>
      <c r="W980">
        <f>IF(V980="Restricted",10,IF(V980="Confidential",7,IF(V980="Internal",4,IF(V980="Public",1,0))))</f>
        <v/>
      </c>
      <c r="AA980" s="9">
        <f>(U980*0.4)+(W980*0.3)+(IF(Z980="Critical",10,IF(Z980="High",7,IF(Z980="Medium",4,1)))*0.2)+(IF(Y980="YES",10,0)*0.1)</f>
        <v/>
      </c>
      <c r="AB980" s="9">
        <f>IF(G980="YES",2.0,0)+IF(H980="YES",2.0,0)</f>
        <v/>
      </c>
      <c r="AC980" s="9" t="n">
        <v>0</v>
      </c>
      <c r="AD980" s="9">
        <f>K980+AB980+AC980</f>
        <v/>
      </c>
      <c r="AE980" s="9">
        <f>(AD980*0.6)+(AA980*0.4)</f>
        <v/>
      </c>
      <c r="AF980">
        <f>IF(AE980&gt;=9,"Critical",IF(AE980&gt;=7,"High",IF(AE980&gt;=4,"Medium","Low")))</f>
        <v/>
      </c>
    </row>
    <row r="981">
      <c r="F981" t="n">
        <v>1</v>
      </c>
      <c r="I981">
        <f>IF(D981="","",TODAY()-D981)</f>
        <v/>
      </c>
      <c r="K981">
        <f>IF(J981="v4.0",L981,IF(J981="v3.1",M981,IF(J981="Both",L981,IF(AND(L981&lt;&gt;"",M981=""),L981,M981))))</f>
        <v/>
      </c>
      <c r="U981">
        <f>IF(T981="Tier 1",10,IF(T981="Tier 2",7,IF(T981="Tier 3",4,IF(T981="Tier 4",1,0))))</f>
        <v/>
      </c>
      <c r="W981">
        <f>IF(V981="Restricted",10,IF(V981="Confidential",7,IF(V981="Internal",4,IF(V981="Public",1,0))))</f>
        <v/>
      </c>
      <c r="AA981" s="9">
        <f>(U981*0.4)+(W981*0.3)+(IF(Z981="Critical",10,IF(Z981="High",7,IF(Z981="Medium",4,1)))*0.2)+(IF(Y981="YES",10,0)*0.1)</f>
        <v/>
      </c>
      <c r="AB981" s="9">
        <f>IF(G981="YES",2.0,0)+IF(H981="YES",2.0,0)</f>
        <v/>
      </c>
      <c r="AC981" s="9" t="n">
        <v>0</v>
      </c>
      <c r="AD981" s="9">
        <f>K981+AB981+AC981</f>
        <v/>
      </c>
      <c r="AE981" s="9">
        <f>(AD981*0.6)+(AA981*0.4)</f>
        <v/>
      </c>
      <c r="AF981">
        <f>IF(AE981&gt;=9,"Critical",IF(AE981&gt;=7,"High",IF(AE981&gt;=4,"Medium","Low")))</f>
        <v/>
      </c>
    </row>
    <row r="982">
      <c r="F982" t="n">
        <v>1</v>
      </c>
      <c r="I982">
        <f>IF(D982="","",TODAY()-D982)</f>
        <v/>
      </c>
      <c r="K982">
        <f>IF(J982="v4.0",L982,IF(J982="v3.1",M982,IF(J982="Both",L982,IF(AND(L982&lt;&gt;"",M982=""),L982,M982))))</f>
        <v/>
      </c>
      <c r="U982">
        <f>IF(T982="Tier 1",10,IF(T982="Tier 2",7,IF(T982="Tier 3",4,IF(T982="Tier 4",1,0))))</f>
        <v/>
      </c>
      <c r="W982">
        <f>IF(V982="Restricted",10,IF(V982="Confidential",7,IF(V982="Internal",4,IF(V982="Public",1,0))))</f>
        <v/>
      </c>
      <c r="AA982" s="9">
        <f>(U982*0.4)+(W982*0.3)+(IF(Z982="Critical",10,IF(Z982="High",7,IF(Z982="Medium",4,1)))*0.2)+(IF(Y982="YES",10,0)*0.1)</f>
        <v/>
      </c>
      <c r="AB982" s="9">
        <f>IF(G982="YES",2.0,0)+IF(H982="YES",2.0,0)</f>
        <v/>
      </c>
      <c r="AC982" s="9" t="n">
        <v>0</v>
      </c>
      <c r="AD982" s="9">
        <f>K982+AB982+AC982</f>
        <v/>
      </c>
      <c r="AE982" s="9">
        <f>(AD982*0.6)+(AA982*0.4)</f>
        <v/>
      </c>
      <c r="AF982">
        <f>IF(AE982&gt;=9,"Critical",IF(AE982&gt;=7,"High",IF(AE982&gt;=4,"Medium","Low")))</f>
        <v/>
      </c>
    </row>
    <row r="983">
      <c r="F983" t="n">
        <v>1</v>
      </c>
      <c r="I983">
        <f>IF(D983="","",TODAY()-D983)</f>
        <v/>
      </c>
      <c r="K983">
        <f>IF(J983="v4.0",L983,IF(J983="v3.1",M983,IF(J983="Both",L983,IF(AND(L983&lt;&gt;"",M983=""),L983,M983))))</f>
        <v/>
      </c>
      <c r="U983">
        <f>IF(T983="Tier 1",10,IF(T983="Tier 2",7,IF(T983="Tier 3",4,IF(T983="Tier 4",1,0))))</f>
        <v/>
      </c>
      <c r="W983">
        <f>IF(V983="Restricted",10,IF(V983="Confidential",7,IF(V983="Internal",4,IF(V983="Public",1,0))))</f>
        <v/>
      </c>
      <c r="AA983" s="9">
        <f>(U983*0.4)+(W983*0.3)+(IF(Z983="Critical",10,IF(Z983="High",7,IF(Z983="Medium",4,1)))*0.2)+(IF(Y983="YES",10,0)*0.1)</f>
        <v/>
      </c>
      <c r="AB983" s="9">
        <f>IF(G983="YES",2.0,0)+IF(H983="YES",2.0,0)</f>
        <v/>
      </c>
      <c r="AC983" s="9" t="n">
        <v>0</v>
      </c>
      <c r="AD983" s="9">
        <f>K983+AB983+AC983</f>
        <v/>
      </c>
      <c r="AE983" s="9">
        <f>(AD983*0.6)+(AA983*0.4)</f>
        <v/>
      </c>
      <c r="AF983">
        <f>IF(AE983&gt;=9,"Critical",IF(AE983&gt;=7,"High",IF(AE983&gt;=4,"Medium","Low")))</f>
        <v/>
      </c>
    </row>
    <row r="984">
      <c r="F984" t="n">
        <v>1</v>
      </c>
      <c r="I984">
        <f>IF(D984="","",TODAY()-D984)</f>
        <v/>
      </c>
      <c r="K984">
        <f>IF(J984="v4.0",L984,IF(J984="v3.1",M984,IF(J984="Both",L984,IF(AND(L984&lt;&gt;"",M984=""),L984,M984))))</f>
        <v/>
      </c>
      <c r="U984">
        <f>IF(T984="Tier 1",10,IF(T984="Tier 2",7,IF(T984="Tier 3",4,IF(T984="Tier 4",1,0))))</f>
        <v/>
      </c>
      <c r="W984">
        <f>IF(V984="Restricted",10,IF(V984="Confidential",7,IF(V984="Internal",4,IF(V984="Public",1,0))))</f>
        <v/>
      </c>
      <c r="AA984" s="9">
        <f>(U984*0.4)+(W984*0.3)+(IF(Z984="Critical",10,IF(Z984="High",7,IF(Z984="Medium",4,1)))*0.2)+(IF(Y984="YES",10,0)*0.1)</f>
        <v/>
      </c>
      <c r="AB984" s="9">
        <f>IF(G984="YES",2.0,0)+IF(H984="YES",2.0,0)</f>
        <v/>
      </c>
      <c r="AC984" s="9" t="n">
        <v>0</v>
      </c>
      <c r="AD984" s="9">
        <f>K984+AB984+AC984</f>
        <v/>
      </c>
      <c r="AE984" s="9">
        <f>(AD984*0.6)+(AA984*0.4)</f>
        <v/>
      </c>
      <c r="AF984">
        <f>IF(AE984&gt;=9,"Critical",IF(AE984&gt;=7,"High",IF(AE984&gt;=4,"Medium","Low")))</f>
        <v/>
      </c>
    </row>
    <row r="985">
      <c r="F985" t="n">
        <v>1</v>
      </c>
      <c r="I985">
        <f>IF(D985="","",TODAY()-D985)</f>
        <v/>
      </c>
      <c r="K985">
        <f>IF(J985="v4.0",L985,IF(J985="v3.1",M985,IF(J985="Both",L985,IF(AND(L985&lt;&gt;"",M985=""),L985,M985))))</f>
        <v/>
      </c>
      <c r="U985">
        <f>IF(T985="Tier 1",10,IF(T985="Tier 2",7,IF(T985="Tier 3",4,IF(T985="Tier 4",1,0))))</f>
        <v/>
      </c>
      <c r="W985">
        <f>IF(V985="Restricted",10,IF(V985="Confidential",7,IF(V985="Internal",4,IF(V985="Public",1,0))))</f>
        <v/>
      </c>
      <c r="AA985" s="9">
        <f>(U985*0.4)+(W985*0.3)+(IF(Z985="Critical",10,IF(Z985="High",7,IF(Z985="Medium",4,1)))*0.2)+(IF(Y985="YES",10,0)*0.1)</f>
        <v/>
      </c>
      <c r="AB985" s="9">
        <f>IF(G985="YES",2.0,0)+IF(H985="YES",2.0,0)</f>
        <v/>
      </c>
      <c r="AC985" s="9" t="n">
        <v>0</v>
      </c>
      <c r="AD985" s="9">
        <f>K985+AB985+AC985</f>
        <v/>
      </c>
      <c r="AE985" s="9">
        <f>(AD985*0.6)+(AA985*0.4)</f>
        <v/>
      </c>
      <c r="AF985">
        <f>IF(AE985&gt;=9,"Critical",IF(AE985&gt;=7,"High",IF(AE985&gt;=4,"Medium","Low")))</f>
        <v/>
      </c>
    </row>
    <row r="986">
      <c r="F986" t="n">
        <v>1</v>
      </c>
      <c r="I986">
        <f>IF(D986="","",TODAY()-D986)</f>
        <v/>
      </c>
      <c r="K986">
        <f>IF(J986="v4.0",L986,IF(J986="v3.1",M986,IF(J986="Both",L986,IF(AND(L986&lt;&gt;"",M986=""),L986,M986))))</f>
        <v/>
      </c>
      <c r="U986">
        <f>IF(T986="Tier 1",10,IF(T986="Tier 2",7,IF(T986="Tier 3",4,IF(T986="Tier 4",1,0))))</f>
        <v/>
      </c>
      <c r="W986">
        <f>IF(V986="Restricted",10,IF(V986="Confidential",7,IF(V986="Internal",4,IF(V986="Public",1,0))))</f>
        <v/>
      </c>
      <c r="AA986" s="9">
        <f>(U986*0.4)+(W986*0.3)+(IF(Z986="Critical",10,IF(Z986="High",7,IF(Z986="Medium",4,1)))*0.2)+(IF(Y986="YES",10,0)*0.1)</f>
        <v/>
      </c>
      <c r="AB986" s="9">
        <f>IF(G986="YES",2.0,0)+IF(H986="YES",2.0,0)</f>
        <v/>
      </c>
      <c r="AC986" s="9" t="n">
        <v>0</v>
      </c>
      <c r="AD986" s="9">
        <f>K986+AB986+AC986</f>
        <v/>
      </c>
      <c r="AE986" s="9">
        <f>(AD986*0.6)+(AA986*0.4)</f>
        <v/>
      </c>
      <c r="AF986">
        <f>IF(AE986&gt;=9,"Critical",IF(AE986&gt;=7,"High",IF(AE986&gt;=4,"Medium","Low")))</f>
        <v/>
      </c>
    </row>
    <row r="987">
      <c r="F987" t="n">
        <v>1</v>
      </c>
      <c r="I987">
        <f>IF(D987="","",TODAY()-D987)</f>
        <v/>
      </c>
      <c r="K987">
        <f>IF(J987="v4.0",L987,IF(J987="v3.1",M987,IF(J987="Both",L987,IF(AND(L987&lt;&gt;"",M987=""),L987,M987))))</f>
        <v/>
      </c>
      <c r="U987">
        <f>IF(T987="Tier 1",10,IF(T987="Tier 2",7,IF(T987="Tier 3",4,IF(T987="Tier 4",1,0))))</f>
        <v/>
      </c>
      <c r="W987">
        <f>IF(V987="Restricted",10,IF(V987="Confidential",7,IF(V987="Internal",4,IF(V987="Public",1,0))))</f>
        <v/>
      </c>
      <c r="AA987" s="9">
        <f>(U987*0.4)+(W987*0.3)+(IF(Z987="Critical",10,IF(Z987="High",7,IF(Z987="Medium",4,1)))*0.2)+(IF(Y987="YES",10,0)*0.1)</f>
        <v/>
      </c>
      <c r="AB987" s="9">
        <f>IF(G987="YES",2.0,0)+IF(H987="YES",2.0,0)</f>
        <v/>
      </c>
      <c r="AC987" s="9" t="n">
        <v>0</v>
      </c>
      <c r="AD987" s="9">
        <f>K987+AB987+AC987</f>
        <v/>
      </c>
      <c r="AE987" s="9">
        <f>(AD987*0.6)+(AA987*0.4)</f>
        <v/>
      </c>
      <c r="AF987">
        <f>IF(AE987&gt;=9,"Critical",IF(AE987&gt;=7,"High",IF(AE987&gt;=4,"Medium","Low")))</f>
        <v/>
      </c>
    </row>
    <row r="988">
      <c r="F988" t="n">
        <v>1</v>
      </c>
      <c r="I988">
        <f>IF(D988="","",TODAY()-D988)</f>
        <v/>
      </c>
      <c r="K988">
        <f>IF(J988="v4.0",L988,IF(J988="v3.1",M988,IF(J988="Both",L988,IF(AND(L988&lt;&gt;"",M988=""),L988,M988))))</f>
        <v/>
      </c>
      <c r="U988">
        <f>IF(T988="Tier 1",10,IF(T988="Tier 2",7,IF(T988="Tier 3",4,IF(T988="Tier 4",1,0))))</f>
        <v/>
      </c>
      <c r="W988">
        <f>IF(V988="Restricted",10,IF(V988="Confidential",7,IF(V988="Internal",4,IF(V988="Public",1,0))))</f>
        <v/>
      </c>
      <c r="AA988" s="9">
        <f>(U988*0.4)+(W988*0.3)+(IF(Z988="Critical",10,IF(Z988="High",7,IF(Z988="Medium",4,1)))*0.2)+(IF(Y988="YES",10,0)*0.1)</f>
        <v/>
      </c>
      <c r="AB988" s="9">
        <f>IF(G988="YES",2.0,0)+IF(H988="YES",2.0,0)</f>
        <v/>
      </c>
      <c r="AC988" s="9" t="n">
        <v>0</v>
      </c>
      <c r="AD988" s="9">
        <f>K988+AB988+AC988</f>
        <v/>
      </c>
      <c r="AE988" s="9">
        <f>(AD988*0.6)+(AA988*0.4)</f>
        <v/>
      </c>
      <c r="AF988">
        <f>IF(AE988&gt;=9,"Critical",IF(AE988&gt;=7,"High",IF(AE988&gt;=4,"Medium","Low")))</f>
        <v/>
      </c>
    </row>
    <row r="989">
      <c r="F989" t="n">
        <v>1</v>
      </c>
      <c r="I989">
        <f>IF(D989="","",TODAY()-D989)</f>
        <v/>
      </c>
      <c r="K989">
        <f>IF(J989="v4.0",L989,IF(J989="v3.1",M989,IF(J989="Both",L989,IF(AND(L989&lt;&gt;"",M989=""),L989,M989))))</f>
        <v/>
      </c>
      <c r="U989">
        <f>IF(T989="Tier 1",10,IF(T989="Tier 2",7,IF(T989="Tier 3",4,IF(T989="Tier 4",1,0))))</f>
        <v/>
      </c>
      <c r="W989">
        <f>IF(V989="Restricted",10,IF(V989="Confidential",7,IF(V989="Internal",4,IF(V989="Public",1,0))))</f>
        <v/>
      </c>
      <c r="AA989" s="9">
        <f>(U989*0.4)+(W989*0.3)+(IF(Z989="Critical",10,IF(Z989="High",7,IF(Z989="Medium",4,1)))*0.2)+(IF(Y989="YES",10,0)*0.1)</f>
        <v/>
      </c>
      <c r="AB989" s="9">
        <f>IF(G989="YES",2.0,0)+IF(H989="YES",2.0,0)</f>
        <v/>
      </c>
      <c r="AC989" s="9" t="n">
        <v>0</v>
      </c>
      <c r="AD989" s="9">
        <f>K989+AB989+AC989</f>
        <v/>
      </c>
      <c r="AE989" s="9">
        <f>(AD989*0.6)+(AA989*0.4)</f>
        <v/>
      </c>
      <c r="AF989">
        <f>IF(AE989&gt;=9,"Critical",IF(AE989&gt;=7,"High",IF(AE989&gt;=4,"Medium","Low")))</f>
        <v/>
      </c>
    </row>
    <row r="990">
      <c r="F990" t="n">
        <v>1</v>
      </c>
      <c r="I990">
        <f>IF(D990="","",TODAY()-D990)</f>
        <v/>
      </c>
      <c r="K990">
        <f>IF(J990="v4.0",L990,IF(J990="v3.1",M990,IF(J990="Both",L990,IF(AND(L990&lt;&gt;"",M990=""),L990,M990))))</f>
        <v/>
      </c>
      <c r="U990">
        <f>IF(T990="Tier 1",10,IF(T990="Tier 2",7,IF(T990="Tier 3",4,IF(T990="Tier 4",1,0))))</f>
        <v/>
      </c>
      <c r="W990">
        <f>IF(V990="Restricted",10,IF(V990="Confidential",7,IF(V990="Internal",4,IF(V990="Public",1,0))))</f>
        <v/>
      </c>
      <c r="AA990" s="9">
        <f>(U990*0.4)+(W990*0.3)+(IF(Z990="Critical",10,IF(Z990="High",7,IF(Z990="Medium",4,1)))*0.2)+(IF(Y990="YES",10,0)*0.1)</f>
        <v/>
      </c>
      <c r="AB990" s="9">
        <f>IF(G990="YES",2.0,0)+IF(H990="YES",2.0,0)</f>
        <v/>
      </c>
      <c r="AC990" s="9" t="n">
        <v>0</v>
      </c>
      <c r="AD990" s="9">
        <f>K990+AB990+AC990</f>
        <v/>
      </c>
      <c r="AE990" s="9">
        <f>(AD990*0.6)+(AA990*0.4)</f>
        <v/>
      </c>
      <c r="AF990">
        <f>IF(AE990&gt;=9,"Critical",IF(AE990&gt;=7,"High",IF(AE990&gt;=4,"Medium","Low")))</f>
        <v/>
      </c>
    </row>
    <row r="991">
      <c r="F991" t="n">
        <v>1</v>
      </c>
      <c r="I991">
        <f>IF(D991="","",TODAY()-D991)</f>
        <v/>
      </c>
      <c r="K991">
        <f>IF(J991="v4.0",L991,IF(J991="v3.1",M991,IF(J991="Both",L991,IF(AND(L991&lt;&gt;"",M991=""),L991,M991))))</f>
        <v/>
      </c>
      <c r="U991">
        <f>IF(T991="Tier 1",10,IF(T991="Tier 2",7,IF(T991="Tier 3",4,IF(T991="Tier 4",1,0))))</f>
        <v/>
      </c>
      <c r="W991">
        <f>IF(V991="Restricted",10,IF(V991="Confidential",7,IF(V991="Internal",4,IF(V991="Public",1,0))))</f>
        <v/>
      </c>
      <c r="AA991" s="9">
        <f>(U991*0.4)+(W991*0.3)+(IF(Z991="Critical",10,IF(Z991="High",7,IF(Z991="Medium",4,1)))*0.2)+(IF(Y991="YES",10,0)*0.1)</f>
        <v/>
      </c>
      <c r="AB991" s="9">
        <f>IF(G991="YES",2.0,0)+IF(H991="YES",2.0,0)</f>
        <v/>
      </c>
      <c r="AC991" s="9" t="n">
        <v>0</v>
      </c>
      <c r="AD991" s="9">
        <f>K991+AB991+AC991</f>
        <v/>
      </c>
      <c r="AE991" s="9">
        <f>(AD991*0.6)+(AA991*0.4)</f>
        <v/>
      </c>
      <c r="AF991">
        <f>IF(AE991&gt;=9,"Critical",IF(AE991&gt;=7,"High",IF(AE991&gt;=4,"Medium","Low")))</f>
        <v/>
      </c>
    </row>
    <row r="992">
      <c r="F992" t="n">
        <v>1</v>
      </c>
      <c r="I992">
        <f>IF(D992="","",TODAY()-D992)</f>
        <v/>
      </c>
      <c r="K992">
        <f>IF(J992="v4.0",L992,IF(J992="v3.1",M992,IF(J992="Both",L992,IF(AND(L992&lt;&gt;"",M992=""),L992,M992))))</f>
        <v/>
      </c>
      <c r="U992">
        <f>IF(T992="Tier 1",10,IF(T992="Tier 2",7,IF(T992="Tier 3",4,IF(T992="Tier 4",1,0))))</f>
        <v/>
      </c>
      <c r="W992">
        <f>IF(V992="Restricted",10,IF(V992="Confidential",7,IF(V992="Internal",4,IF(V992="Public",1,0))))</f>
        <v/>
      </c>
      <c r="AA992" s="9">
        <f>(U992*0.4)+(W992*0.3)+(IF(Z992="Critical",10,IF(Z992="High",7,IF(Z992="Medium",4,1)))*0.2)+(IF(Y992="YES",10,0)*0.1)</f>
        <v/>
      </c>
      <c r="AB992" s="9">
        <f>IF(G992="YES",2.0,0)+IF(H992="YES",2.0,0)</f>
        <v/>
      </c>
      <c r="AC992" s="9" t="n">
        <v>0</v>
      </c>
      <c r="AD992" s="9">
        <f>K992+AB992+AC992</f>
        <v/>
      </c>
      <c r="AE992" s="9">
        <f>(AD992*0.6)+(AA992*0.4)</f>
        <v/>
      </c>
      <c r="AF992">
        <f>IF(AE992&gt;=9,"Critical",IF(AE992&gt;=7,"High",IF(AE992&gt;=4,"Medium","Low")))</f>
        <v/>
      </c>
    </row>
    <row r="993">
      <c r="F993" t="n">
        <v>1</v>
      </c>
      <c r="I993">
        <f>IF(D993="","",TODAY()-D993)</f>
        <v/>
      </c>
      <c r="K993">
        <f>IF(J993="v4.0",L993,IF(J993="v3.1",M993,IF(J993="Both",L993,IF(AND(L993&lt;&gt;"",M993=""),L993,M993))))</f>
        <v/>
      </c>
      <c r="U993">
        <f>IF(T993="Tier 1",10,IF(T993="Tier 2",7,IF(T993="Tier 3",4,IF(T993="Tier 4",1,0))))</f>
        <v/>
      </c>
      <c r="W993">
        <f>IF(V993="Restricted",10,IF(V993="Confidential",7,IF(V993="Internal",4,IF(V993="Public",1,0))))</f>
        <v/>
      </c>
      <c r="AA993" s="9">
        <f>(U993*0.4)+(W993*0.3)+(IF(Z993="Critical",10,IF(Z993="High",7,IF(Z993="Medium",4,1)))*0.2)+(IF(Y993="YES",10,0)*0.1)</f>
        <v/>
      </c>
      <c r="AB993" s="9">
        <f>IF(G993="YES",2.0,0)+IF(H993="YES",2.0,0)</f>
        <v/>
      </c>
      <c r="AC993" s="9" t="n">
        <v>0</v>
      </c>
      <c r="AD993" s="9">
        <f>K993+AB993+AC993</f>
        <v/>
      </c>
      <c r="AE993" s="9">
        <f>(AD993*0.6)+(AA993*0.4)</f>
        <v/>
      </c>
      <c r="AF993">
        <f>IF(AE993&gt;=9,"Critical",IF(AE993&gt;=7,"High",IF(AE993&gt;=4,"Medium","Low")))</f>
        <v/>
      </c>
    </row>
    <row r="994">
      <c r="F994" t="n">
        <v>1</v>
      </c>
      <c r="I994">
        <f>IF(D994="","",TODAY()-D994)</f>
        <v/>
      </c>
      <c r="K994">
        <f>IF(J994="v4.0",L994,IF(J994="v3.1",M994,IF(J994="Both",L994,IF(AND(L994&lt;&gt;"",M994=""),L994,M994))))</f>
        <v/>
      </c>
      <c r="U994">
        <f>IF(T994="Tier 1",10,IF(T994="Tier 2",7,IF(T994="Tier 3",4,IF(T994="Tier 4",1,0))))</f>
        <v/>
      </c>
      <c r="W994">
        <f>IF(V994="Restricted",10,IF(V994="Confidential",7,IF(V994="Internal",4,IF(V994="Public",1,0))))</f>
        <v/>
      </c>
      <c r="AA994" s="9">
        <f>(U994*0.4)+(W994*0.3)+(IF(Z994="Critical",10,IF(Z994="High",7,IF(Z994="Medium",4,1)))*0.2)+(IF(Y994="YES",10,0)*0.1)</f>
        <v/>
      </c>
      <c r="AB994" s="9">
        <f>IF(G994="YES",2.0,0)+IF(H994="YES",2.0,0)</f>
        <v/>
      </c>
      <c r="AC994" s="9" t="n">
        <v>0</v>
      </c>
      <c r="AD994" s="9">
        <f>K994+AB994+AC994</f>
        <v/>
      </c>
      <c r="AE994" s="9">
        <f>(AD994*0.6)+(AA994*0.4)</f>
        <v/>
      </c>
      <c r="AF994">
        <f>IF(AE994&gt;=9,"Critical",IF(AE994&gt;=7,"High",IF(AE994&gt;=4,"Medium","Low")))</f>
        <v/>
      </c>
    </row>
    <row r="995">
      <c r="F995" t="n">
        <v>1</v>
      </c>
      <c r="I995">
        <f>IF(D995="","",TODAY()-D995)</f>
        <v/>
      </c>
      <c r="K995">
        <f>IF(J995="v4.0",L995,IF(J995="v3.1",M995,IF(J995="Both",L995,IF(AND(L995&lt;&gt;"",M995=""),L995,M995))))</f>
        <v/>
      </c>
      <c r="U995">
        <f>IF(T995="Tier 1",10,IF(T995="Tier 2",7,IF(T995="Tier 3",4,IF(T995="Tier 4",1,0))))</f>
        <v/>
      </c>
      <c r="W995">
        <f>IF(V995="Restricted",10,IF(V995="Confidential",7,IF(V995="Internal",4,IF(V995="Public",1,0))))</f>
        <v/>
      </c>
      <c r="AA995" s="9">
        <f>(U995*0.4)+(W995*0.3)+(IF(Z995="Critical",10,IF(Z995="High",7,IF(Z995="Medium",4,1)))*0.2)+(IF(Y995="YES",10,0)*0.1)</f>
        <v/>
      </c>
      <c r="AB995" s="9">
        <f>IF(G995="YES",2.0,0)+IF(H995="YES",2.0,0)</f>
        <v/>
      </c>
      <c r="AC995" s="9" t="n">
        <v>0</v>
      </c>
      <c r="AD995" s="9">
        <f>K995+AB995+AC995</f>
        <v/>
      </c>
      <c r="AE995" s="9">
        <f>(AD995*0.6)+(AA995*0.4)</f>
        <v/>
      </c>
      <c r="AF995">
        <f>IF(AE995&gt;=9,"Critical",IF(AE995&gt;=7,"High",IF(AE995&gt;=4,"Medium","Low")))</f>
        <v/>
      </c>
    </row>
    <row r="996">
      <c r="F996" t="n">
        <v>1</v>
      </c>
      <c r="I996">
        <f>IF(D996="","",TODAY()-D996)</f>
        <v/>
      </c>
      <c r="K996">
        <f>IF(J996="v4.0",L996,IF(J996="v3.1",M996,IF(J996="Both",L996,IF(AND(L996&lt;&gt;"",M996=""),L996,M996))))</f>
        <v/>
      </c>
      <c r="U996">
        <f>IF(T996="Tier 1",10,IF(T996="Tier 2",7,IF(T996="Tier 3",4,IF(T996="Tier 4",1,0))))</f>
        <v/>
      </c>
      <c r="W996">
        <f>IF(V996="Restricted",10,IF(V996="Confidential",7,IF(V996="Internal",4,IF(V996="Public",1,0))))</f>
        <v/>
      </c>
      <c r="AA996" s="9">
        <f>(U996*0.4)+(W996*0.3)+(IF(Z996="Critical",10,IF(Z996="High",7,IF(Z996="Medium",4,1)))*0.2)+(IF(Y996="YES",10,0)*0.1)</f>
        <v/>
      </c>
      <c r="AB996" s="9">
        <f>IF(G996="YES",2.0,0)+IF(H996="YES",2.0,0)</f>
        <v/>
      </c>
      <c r="AC996" s="9" t="n">
        <v>0</v>
      </c>
      <c r="AD996" s="9">
        <f>K996+AB996+AC996</f>
        <v/>
      </c>
      <c r="AE996" s="9">
        <f>(AD996*0.6)+(AA996*0.4)</f>
        <v/>
      </c>
      <c r="AF996">
        <f>IF(AE996&gt;=9,"Critical",IF(AE996&gt;=7,"High",IF(AE996&gt;=4,"Medium","Low")))</f>
        <v/>
      </c>
    </row>
    <row r="997">
      <c r="F997" t="n">
        <v>1</v>
      </c>
      <c r="I997">
        <f>IF(D997="","",TODAY()-D997)</f>
        <v/>
      </c>
      <c r="K997">
        <f>IF(J997="v4.0",L997,IF(J997="v3.1",M997,IF(J997="Both",L997,IF(AND(L997&lt;&gt;"",M997=""),L997,M997))))</f>
        <v/>
      </c>
      <c r="U997">
        <f>IF(T997="Tier 1",10,IF(T997="Tier 2",7,IF(T997="Tier 3",4,IF(T997="Tier 4",1,0))))</f>
        <v/>
      </c>
      <c r="W997">
        <f>IF(V997="Restricted",10,IF(V997="Confidential",7,IF(V997="Internal",4,IF(V997="Public",1,0))))</f>
        <v/>
      </c>
      <c r="AA997" s="9">
        <f>(U997*0.4)+(W997*0.3)+(IF(Z997="Critical",10,IF(Z997="High",7,IF(Z997="Medium",4,1)))*0.2)+(IF(Y997="YES",10,0)*0.1)</f>
        <v/>
      </c>
      <c r="AB997" s="9">
        <f>IF(G997="YES",2.0,0)+IF(H997="YES",2.0,0)</f>
        <v/>
      </c>
      <c r="AC997" s="9" t="n">
        <v>0</v>
      </c>
      <c r="AD997" s="9">
        <f>K997+AB997+AC997</f>
        <v/>
      </c>
      <c r="AE997" s="9">
        <f>(AD997*0.6)+(AA997*0.4)</f>
        <v/>
      </c>
      <c r="AF997">
        <f>IF(AE997&gt;=9,"Critical",IF(AE997&gt;=7,"High",IF(AE997&gt;=4,"Medium","Low")))</f>
        <v/>
      </c>
    </row>
    <row r="998">
      <c r="F998" t="n">
        <v>1</v>
      </c>
      <c r="I998">
        <f>IF(D998="","",TODAY()-D998)</f>
        <v/>
      </c>
      <c r="K998">
        <f>IF(J998="v4.0",L998,IF(J998="v3.1",M998,IF(J998="Both",L998,IF(AND(L998&lt;&gt;"",M998=""),L998,M998))))</f>
        <v/>
      </c>
      <c r="U998">
        <f>IF(T998="Tier 1",10,IF(T998="Tier 2",7,IF(T998="Tier 3",4,IF(T998="Tier 4",1,0))))</f>
        <v/>
      </c>
      <c r="W998">
        <f>IF(V998="Restricted",10,IF(V998="Confidential",7,IF(V998="Internal",4,IF(V998="Public",1,0))))</f>
        <v/>
      </c>
      <c r="AA998" s="9">
        <f>(U998*0.4)+(W998*0.3)+(IF(Z998="Critical",10,IF(Z998="High",7,IF(Z998="Medium",4,1)))*0.2)+(IF(Y998="YES",10,0)*0.1)</f>
        <v/>
      </c>
      <c r="AB998" s="9">
        <f>IF(G998="YES",2.0,0)+IF(H998="YES",2.0,0)</f>
        <v/>
      </c>
      <c r="AC998" s="9" t="n">
        <v>0</v>
      </c>
      <c r="AD998" s="9">
        <f>K998+AB998+AC998</f>
        <v/>
      </c>
      <c r="AE998" s="9">
        <f>(AD998*0.6)+(AA998*0.4)</f>
        <v/>
      </c>
      <c r="AF998">
        <f>IF(AE998&gt;=9,"Critical",IF(AE998&gt;=7,"High",IF(AE998&gt;=4,"Medium","Low")))</f>
        <v/>
      </c>
    </row>
    <row r="999">
      <c r="F999" t="n">
        <v>1</v>
      </c>
      <c r="I999">
        <f>IF(D999="","",TODAY()-D999)</f>
        <v/>
      </c>
      <c r="K999">
        <f>IF(J999="v4.0",L999,IF(J999="v3.1",M999,IF(J999="Both",L999,IF(AND(L999&lt;&gt;"",M999=""),L999,M999))))</f>
        <v/>
      </c>
      <c r="U999">
        <f>IF(T999="Tier 1",10,IF(T999="Tier 2",7,IF(T999="Tier 3",4,IF(T999="Tier 4",1,0))))</f>
        <v/>
      </c>
      <c r="W999">
        <f>IF(V999="Restricted",10,IF(V999="Confidential",7,IF(V999="Internal",4,IF(V999="Public",1,0))))</f>
        <v/>
      </c>
      <c r="AA999" s="9">
        <f>(U999*0.4)+(W999*0.3)+(IF(Z999="Critical",10,IF(Z999="High",7,IF(Z999="Medium",4,1)))*0.2)+(IF(Y999="YES",10,0)*0.1)</f>
        <v/>
      </c>
      <c r="AB999" s="9">
        <f>IF(G999="YES",2.0,0)+IF(H999="YES",2.0,0)</f>
        <v/>
      </c>
      <c r="AC999" s="9" t="n">
        <v>0</v>
      </c>
      <c r="AD999" s="9">
        <f>K999+AB999+AC999</f>
        <v/>
      </c>
      <c r="AE999" s="9">
        <f>(AD999*0.6)+(AA999*0.4)</f>
        <v/>
      </c>
      <c r="AF999">
        <f>IF(AE999&gt;=9,"Critical",IF(AE999&gt;=7,"High",IF(AE999&gt;=4,"Medium","Low")))</f>
        <v/>
      </c>
    </row>
    <row r="1000">
      <c r="F1000" t="n">
        <v>1</v>
      </c>
      <c r="I1000">
        <f>IF(D1000="","",TODAY()-D1000)</f>
        <v/>
      </c>
      <c r="K1000">
        <f>IF(J1000="v4.0",L1000,IF(J1000="v3.1",M1000,IF(J1000="Both",L1000,IF(AND(L1000&lt;&gt;"",M1000=""),L1000,M1000))))</f>
        <v/>
      </c>
      <c r="U1000">
        <f>IF(T1000="Tier 1",10,IF(T1000="Tier 2",7,IF(T1000="Tier 3",4,IF(T1000="Tier 4",1,0))))</f>
        <v/>
      </c>
      <c r="W1000">
        <f>IF(V1000="Restricted",10,IF(V1000="Confidential",7,IF(V1000="Internal",4,IF(V1000="Public",1,0))))</f>
        <v/>
      </c>
      <c r="AA1000" s="9">
        <f>(U1000*0.4)+(W1000*0.3)+(IF(Z1000="Critical",10,IF(Z1000="High",7,IF(Z1000="Medium",4,1)))*0.2)+(IF(Y1000="YES",10,0)*0.1)</f>
        <v/>
      </c>
      <c r="AB1000" s="9">
        <f>IF(G1000="YES",2.0,0)+IF(H1000="YES",2.0,0)</f>
        <v/>
      </c>
      <c r="AC1000" s="9" t="n">
        <v>0</v>
      </c>
      <c r="AD1000" s="9">
        <f>K1000+AB1000+AC1000</f>
        <v/>
      </c>
      <c r="AE1000" s="9">
        <f>(AD1000*0.6)+(AA1000*0.4)</f>
        <v/>
      </c>
      <c r="AF1000">
        <f>IF(AE1000&gt;=9,"Critical",IF(AE1000&gt;=7,"High",IF(AE1000&gt;=4,"Medium","Low")))</f>
        <v/>
      </c>
    </row>
  </sheetData>
  <conditionalFormatting sqref="P2:P1000">
    <cfRule type="cellIs" priority="1" operator="equal" dxfId="0">
      <formula>"Y"</formula>
    </cfRule>
  </conditionalFormatting>
  <conditionalFormatting sqref="A2:AG1000">
    <cfRule type="expression" priority="2" dxfId="1">
      <formula>AND($P2="Y",$K2&gt;=9.0)</formula>
    </cfRule>
    <cfRule type="expression" priority="3" dxfId="2">
      <formula>AND($Q2="P",$K2&gt;=7.0)</formula>
    </cfRule>
    <cfRule type="expression" priority="7" dxfId="0">
      <formula>AND($AE2&gt;=9.0,$AF2="Critical")</formula>
    </cfRule>
    <cfRule type="expression" priority="8" dxfId="3">
      <formula>AND($AE2&gt;=7.0,$AE2&lt;9.0,$AF2="High")</formula>
    </cfRule>
  </conditionalFormatting>
  <conditionalFormatting sqref="J2:J1000">
    <cfRule type="cellIs" priority="4" operator="equal" dxfId="4">
      <formula>"Both"</formula>
    </cfRule>
  </conditionalFormatting>
  <conditionalFormatting sqref="S2:S1000">
    <cfRule type="expression" priority="5" dxfId="5">
      <formula>$S2&lt;TODAY()-180</formula>
    </cfRule>
  </conditionalFormatting>
  <conditionalFormatting sqref="N2:O1000">
    <cfRule type="expression" priority="6" dxfId="6">
      <formula>AND($J2="v4.0",$N2="")</formula>
    </cfRule>
  </conditionalFormatting>
  <conditionalFormatting sqref="G2:G1000">
    <cfRule type="expression" priority="9" dxfId="1">
      <formula>AND($G2="YES",$AE2&gt;=7.0)</formula>
    </cfRule>
  </conditionalFormatting>
  <conditionalFormatting sqref="I2:I1000">
    <cfRule type="expression" priority="10" dxfId="7">
      <formula>AND($I2&gt;30,$AG2="Assessed")</formula>
    </cfRule>
  </conditionalFormatting>
  <dataValidations count="14">
    <dataValidation sqref="J2:J1000" showDropDown="0" showInputMessage="0" showErrorMessage="0" allowBlank="0" errorTitle="Invalid CVSS Version" error="Select CVSS version: v4.0 (primary), v3.1 (fallback), Both, or Unknown" type="list">
      <formula1>"v4.0,v3.1,Both,Unknown"</formula1>
    </dataValidation>
    <dataValidation sqref="L2:L1000" showDropDown="0" showInputMessage="0" showErrorMessage="0" allowBlank="1" errorTitle="Invalid CVSS v4.0 Score" error="Enter CVSS v4.0 base score (0.0-10.0) or leave blank if unavailable" type="decimal" operator="between">
      <formula1>0.0</formula1>
      <formula2>10.0</formula2>
    </dataValidation>
    <dataValidation sqref="M2:M1000" showDropDown="0" showInputMessage="0" showErrorMessage="0" allowBlank="1" errorTitle="Invalid CVSS v3.1 Score" error="Enter CVSS v3.1 base score (0.0-10.0) or leave blank if unavailable" type="decimal" operator="between">
      <formula1>0.0</formula1>
      <formula2>10.0</formula2>
    </dataValidation>
    <dataValidation sqref="P2:P1000" showDropDown="0" showInputMessage="0" showErrorMessage="0" allowBlank="0" errorTitle="Invalid AU Value" error="Select: Y (wormable), N (not automatable), X (not defined), N/A (v3.1 only)" type="list">
      <formula1>"Y,N,X,N/A"</formula1>
    </dataValidation>
    <dataValidation sqref="Q2:Q1000" showDropDown="0" showInputMessage="0" showErrorMessage="0" allowBlank="0" errorTitle="Invalid S Value" error="Select: P (safety impact), N (negligible), X (not defined), N/A (v3.1 only)" type="list">
      <formula1>"P,N,X,N/A"</formula1>
    </dataValidation>
    <dataValidation sqref="R2:R1000" showDropDown="0" showInputMessage="0" showErrorMessage="0" allowBlank="0" errorTitle="Invalid Source" error="Select score source: NVD, Vendor, Scanner, or Manual" type="list">
      <formula1>"NVD,Vendor,Scanner,Manual"</formula1>
    </dataValidation>
    <dataValidation sqref="T2:T1000" showDropDown="0" showInputMessage="0" showErrorMessage="0" allowBlank="0" errorTitle="Invalid Asset Tier" error="Select asset tier: Tier 1 (mission-critical), Tier 2 (important), Tier 3 (standard), Tier 4 (low-priority)" type="list">
      <formula1>"Tier 1,Tier 2,Tier 3,Tier 4"</formula1>
    </dataValidation>
    <dataValidation sqref="V2:V1000" showDropDown="0" showInputMessage="0" showErrorMessage="0" allowBlank="0" errorTitle="Invalid Data Classification" error="Select data classification: Restricted (highest), Confidential, Internal, Public" type="list">
      <formula1>"Restricted,Confidential,Internal,Public"</formula1>
    </dataValidation>
    <dataValidation sqref="X2:X1000" showDropDown="0" showInputMessage="0" showErrorMessage="0" allowBlank="0" errorTitle="Invalid Business Function" error="Select primary business function affected" type="list">
      <formula1>"E-commerce,Finance,HR,IT Infrastructure,R&amp;D,Marketing,Support,Operations,Legal,Other"</formula1>
    </dataValidation>
    <dataValidation sqref="Y2:Y1000" showDropDown="0" showInputMessage="0" showErrorMessage="0" allowBlank="0" errorTitle="Invalid Regulatory Impact" error="Does this vulnerability impact regulatory compliance? (GDPR/PCI-DSS/HIPAA/etc)" type="list">
      <formula1>"YES,NO"</formula1>
    </dataValidation>
    <dataValidation sqref="Z2:Z1000" showDropDown="0" showInputMessage="0" showErrorMessage="0" allowBlank="0" errorTitle="Invalid Financial Exposure" error="Estimate potential financial loss: Low (&lt;CHF 10'000), Medium (CHF 10'000-100'000), High (CHF 100'000-1'000'000), Critical (&gt;CHF 1'000'000)" type="list">
      <formula1>"Low,Medium,High,Critical"</formula1>
    </dataValidation>
    <dataValidation sqref="AF2:AF1000" showDropDown="0" showInputMessage="0" showErrorMessage="0" allowBlank="0" errorTitle="Invalid Risk Level" error="Risk level auto-calculated but can be manually adjusted" type="list">
      <formula1>"Critical,High,Medium,Low"</formula1>
    </dataValidation>
    <dataValidation sqref="AG2:AG1000" showDropDown="0" showInputMessage="0" showErrorMessage="0" allowBlank="0" errorTitle="Invalid Treatment Status" error="Select risk treatment workflow status" type="list">
      <formula1>"Assessed,Pending Approval,Approved,Rejected,In Progress,Completed"</formula1>
    </dataValidation>
    <dataValidation sqref="G2:G1000 H2:H1000" showDropDown="0" showInputMessage="0" showErrorMessage="0" allowBlank="0" errorTitle="Invalid Value" error="Select YES or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20" customWidth="1" min="3" max="3"/>
    <col width="20" customWidth="1" min="4" max="4"/>
    <col width="20" customWidth="1" min="5" max="5"/>
    <col width="25" customWidth="1" min="6" max="6"/>
    <col width="12" customWidth="1" min="7" max="7"/>
    <col width="10" customWidth="1" min="8" max="8"/>
  </cols>
  <sheetData>
    <row r="1">
      <c r="A1" s="4" t="inlineStr">
        <is>
          <t>Asset_ID</t>
        </is>
      </c>
      <c r="B1" s="4" t="inlineStr">
        <is>
          <t>Asset_Name</t>
        </is>
      </c>
      <c r="C1" s="4" t="inlineStr">
        <is>
          <t>Asset_Type</t>
        </is>
      </c>
      <c r="D1" s="4" t="inlineStr">
        <is>
          <t>Business_Function</t>
        </is>
      </c>
      <c r="E1" s="4" t="inlineStr">
        <is>
          <t>Data_Classification</t>
        </is>
      </c>
      <c r="F1" s="4" t="inlineStr">
        <is>
          <t>Asset_Owner</t>
        </is>
      </c>
      <c r="G1" s="4" t="inlineStr">
        <is>
          <t>Tier_Rating</t>
        </is>
      </c>
      <c r="H1" s="4" t="inlineStr">
        <is>
          <t>Criticality_Score</t>
        </is>
      </c>
    </row>
    <row r="2">
      <c r="A2" s="5" t="inlineStr">
        <is>
          <t>ASSET-001</t>
        </is>
      </c>
      <c r="B2" s="5" t="inlineStr">
        <is>
          <t>Production E-commerce Web Cluster</t>
        </is>
      </c>
      <c r="C2" s="5" t="inlineStr">
        <is>
          <t>Application</t>
        </is>
      </c>
      <c r="D2" s="5" t="inlineStr">
        <is>
          <t>E-commerce</t>
        </is>
      </c>
      <c r="E2" s="5" t="inlineStr">
        <is>
          <t>Restricted</t>
        </is>
      </c>
      <c r="F2" s="5" t="inlineStr">
        <is>
          <t>John Smith</t>
        </is>
      </c>
      <c r="G2" s="5" t="inlineStr">
        <is>
          <t>Tier 1</t>
        </is>
      </c>
      <c r="H2" s="5" t="n">
        <v>10</v>
      </c>
    </row>
    <row r="3">
      <c r="A3" s="5" t="inlineStr">
        <is>
          <t>ASSET-002</t>
        </is>
      </c>
      <c r="B3" s="5" t="inlineStr">
        <is>
          <t>Payment Gateway</t>
        </is>
      </c>
      <c r="C3" s="5" t="inlineStr">
        <is>
          <t>Application</t>
        </is>
      </c>
      <c r="D3" s="5" t="inlineStr">
        <is>
          <t>Finance</t>
        </is>
      </c>
      <c r="E3" s="5" t="inlineStr">
        <is>
          <t>Restricted</t>
        </is>
      </c>
      <c r="F3" s="5" t="inlineStr">
        <is>
          <t>Jane Doe</t>
        </is>
      </c>
      <c r="G3" s="5" t="inlineStr">
        <is>
          <t>Tier 1</t>
        </is>
      </c>
      <c r="H3" s="5" t="n">
        <v>10</v>
      </c>
    </row>
    <row r="4">
      <c r="A4" s="5" t="inlineStr">
        <is>
          <t>ASSET-003</t>
        </is>
      </c>
      <c r="B4" s="5" t="inlineStr">
        <is>
          <t>Customer Database (Primary)</t>
        </is>
      </c>
      <c r="C4" s="5" t="inlineStr">
        <is>
          <t>Database</t>
        </is>
      </c>
      <c r="D4" s="5" t="inlineStr">
        <is>
          <t>E-commerce</t>
        </is>
      </c>
      <c r="E4" s="5" t="inlineStr">
        <is>
          <t>Restricted</t>
        </is>
      </c>
      <c r="F4" s="5" t="inlineStr">
        <is>
          <t>John Smith</t>
        </is>
      </c>
      <c r="G4" s="5" t="inlineStr">
        <is>
          <t>Tier 1</t>
        </is>
      </c>
      <c r="H4" s="5" t="n">
        <v>10</v>
      </c>
    </row>
    <row r="5">
      <c r="A5" s="5" t="inlineStr">
        <is>
          <t>ASSET-004</t>
        </is>
      </c>
      <c r="B5" s="5" t="inlineStr">
        <is>
          <t>Financial ERP System</t>
        </is>
      </c>
      <c r="C5" s="5" t="inlineStr">
        <is>
          <t>Application</t>
        </is>
      </c>
      <c r="D5" s="5" t="inlineStr">
        <is>
          <t>Finance</t>
        </is>
      </c>
      <c r="E5" s="5" t="inlineStr">
        <is>
          <t>Confidential</t>
        </is>
      </c>
      <c r="F5" s="5" t="inlineStr">
        <is>
          <t>Jane Doe</t>
        </is>
      </c>
      <c r="G5" s="5" t="inlineStr">
        <is>
          <t>Tier 1</t>
        </is>
      </c>
      <c r="H5" s="5" t="n">
        <v>10</v>
      </c>
    </row>
    <row r="6">
      <c r="A6" s="5" t="inlineStr">
        <is>
          <t>ASSET-005</t>
        </is>
      </c>
      <c r="B6" s="5" t="inlineStr">
        <is>
          <t>Active Directory Domain Controllers</t>
        </is>
      </c>
      <c r="C6" s="5" t="inlineStr">
        <is>
          <t>Infrastructure</t>
        </is>
      </c>
      <c r="D6" s="5" t="inlineStr">
        <is>
          <t>IT Infrastructure</t>
        </is>
      </c>
      <c r="E6" s="5" t="inlineStr">
        <is>
          <t>Confidential</t>
        </is>
      </c>
      <c r="F6" s="5" t="inlineStr">
        <is>
          <t>IT Team</t>
        </is>
      </c>
      <c r="G6" s="5" t="inlineStr">
        <is>
          <t>Tier 1</t>
        </is>
      </c>
      <c r="H6" s="5" t="n">
        <v>10</v>
      </c>
    </row>
    <row r="7">
      <c r="A7" s="5" t="inlineStr">
        <is>
          <t>ASSET-006</t>
        </is>
      </c>
      <c r="B7" s="5" t="inlineStr">
        <is>
          <t>HR Management System</t>
        </is>
      </c>
      <c r="C7" s="5" t="inlineStr">
        <is>
          <t>Application</t>
        </is>
      </c>
      <c r="D7" s="5" t="inlineStr">
        <is>
          <t>HR</t>
        </is>
      </c>
      <c r="E7" s="5" t="inlineStr">
        <is>
          <t>Confidential</t>
        </is>
      </c>
      <c r="F7" s="5" t="inlineStr">
        <is>
          <t>HR Director</t>
        </is>
      </c>
      <c r="G7" s="5" t="inlineStr">
        <is>
          <t>Tier 2</t>
        </is>
      </c>
      <c r="H7" s="5" t="n">
        <v>7</v>
      </c>
    </row>
    <row r="8">
      <c r="A8" s="5" t="inlineStr">
        <is>
          <t>ASSET-007</t>
        </is>
      </c>
      <c r="B8" s="5" t="inlineStr">
        <is>
          <t>CRM System</t>
        </is>
      </c>
      <c r="C8" s="5" t="inlineStr">
        <is>
          <t>Application</t>
        </is>
      </c>
      <c r="D8" s="5" t="inlineStr">
        <is>
          <t>Marketing</t>
        </is>
      </c>
      <c r="E8" s="5" t="inlineStr">
        <is>
          <t>Confidential</t>
        </is>
      </c>
      <c r="F8" s="5" t="inlineStr">
        <is>
          <t>Marketing Lead</t>
        </is>
      </c>
      <c r="G8" s="5" t="inlineStr">
        <is>
          <t>Tier 2</t>
        </is>
      </c>
      <c r="H8" s="5" t="n">
        <v>7</v>
      </c>
    </row>
    <row r="9">
      <c r="A9" s="5" t="inlineStr">
        <is>
          <t>ASSET-008</t>
        </is>
      </c>
      <c r="B9" s="5" t="inlineStr">
        <is>
          <t>Email Server</t>
        </is>
      </c>
      <c r="C9" s="5" t="inlineStr">
        <is>
          <t>Infrastructure</t>
        </is>
      </c>
      <c r="D9" s="5" t="inlineStr">
        <is>
          <t>IT Infrastructure</t>
        </is>
      </c>
      <c r="E9" s="5" t="inlineStr">
        <is>
          <t>Confidential</t>
        </is>
      </c>
      <c r="F9" s="5" t="inlineStr">
        <is>
          <t>IT Team</t>
        </is>
      </c>
      <c r="G9" s="5" t="inlineStr">
        <is>
          <t>Tier 2</t>
        </is>
      </c>
      <c r="H9" s="5" t="n">
        <v>7</v>
      </c>
    </row>
    <row r="10">
      <c r="A10" s="5" t="inlineStr">
        <is>
          <t>ASSET-009</t>
        </is>
      </c>
      <c r="B10" s="5" t="inlineStr">
        <is>
          <t>File Server (Shared Drives)</t>
        </is>
      </c>
      <c r="C10" s="5" t="inlineStr">
        <is>
          <t>Infrastructure</t>
        </is>
      </c>
      <c r="D10" s="5" t="inlineStr">
        <is>
          <t>Operations</t>
        </is>
      </c>
      <c r="E10" s="5" t="inlineStr">
        <is>
          <t>Internal</t>
        </is>
      </c>
      <c r="F10" s="5" t="inlineStr">
        <is>
          <t>IT Team</t>
        </is>
      </c>
      <c r="G10" s="5" t="inlineStr">
        <is>
          <t>Tier 2</t>
        </is>
      </c>
      <c r="H10" s="5" t="n">
        <v>7</v>
      </c>
    </row>
    <row r="11">
      <c r="A11" s="5" t="inlineStr">
        <is>
          <t>ASSET-010</t>
        </is>
      </c>
      <c r="B11" s="5" t="inlineStr">
        <is>
          <t>VPN Gateway</t>
        </is>
      </c>
      <c r="C11" s="5" t="inlineStr">
        <is>
          <t>Network</t>
        </is>
      </c>
      <c r="D11" s="5" t="inlineStr">
        <is>
          <t>IT Infrastructure</t>
        </is>
      </c>
      <c r="E11" s="5" t="inlineStr">
        <is>
          <t>Internal</t>
        </is>
      </c>
      <c r="F11" s="5" t="inlineStr">
        <is>
          <t>Network Team</t>
        </is>
      </c>
      <c r="G11" s="5" t="inlineStr">
        <is>
          <t>Tier 2</t>
        </is>
      </c>
      <c r="H11" s="5" t="n">
        <v>7</v>
      </c>
    </row>
    <row r="12">
      <c r="A12" s="5" t="inlineStr">
        <is>
          <t>ASSET-011</t>
        </is>
      </c>
      <c r="B12" s="5" t="inlineStr">
        <is>
          <t>Backup System</t>
        </is>
      </c>
      <c r="C12" s="5" t="inlineStr">
        <is>
          <t>Infrastructure</t>
        </is>
      </c>
      <c r="D12" s="5" t="inlineStr">
        <is>
          <t>IT Infrastructure</t>
        </is>
      </c>
      <c r="E12" s="5" t="inlineStr">
        <is>
          <t>Confidential</t>
        </is>
      </c>
      <c r="F12" s="5" t="inlineStr">
        <is>
          <t>IT Team</t>
        </is>
      </c>
      <c r="G12" s="5" t="inlineStr">
        <is>
          <t>Tier 2</t>
        </is>
      </c>
      <c r="H12" s="5" t="n">
        <v>7</v>
      </c>
    </row>
    <row r="13">
      <c r="A13" s="5" t="inlineStr">
        <is>
          <t>ASSET-012</t>
        </is>
      </c>
      <c r="B13" s="5" t="inlineStr">
        <is>
          <t>Customer Support Portal</t>
        </is>
      </c>
      <c r="C13" s="5" t="inlineStr">
        <is>
          <t>Application</t>
        </is>
      </c>
      <c r="D13" s="5" t="inlineStr">
        <is>
          <t>Support</t>
        </is>
      </c>
      <c r="E13" s="5" t="inlineStr">
        <is>
          <t>Internal</t>
        </is>
      </c>
      <c r="F13" s="5" t="inlineStr">
        <is>
          <t>Support Manager</t>
        </is>
      </c>
      <c r="G13" s="5" t="inlineStr">
        <is>
          <t>Tier 2</t>
        </is>
      </c>
      <c r="H13" s="5" t="n">
        <v>7</v>
      </c>
    </row>
    <row r="14">
      <c r="A14" s="5" t="inlineStr">
        <is>
          <t>ASSET-013</t>
        </is>
      </c>
      <c r="B14" s="5" t="inlineStr">
        <is>
          <t>Supply Chain Management</t>
        </is>
      </c>
      <c r="C14" s="5" t="inlineStr">
        <is>
          <t>Application</t>
        </is>
      </c>
      <c r="D14" s="5" t="inlineStr">
        <is>
          <t>Operations</t>
        </is>
      </c>
      <c r="E14" s="5" t="inlineStr">
        <is>
          <t>Confidential</t>
        </is>
      </c>
      <c r="F14" s="5" t="inlineStr">
        <is>
          <t>Ops Director</t>
        </is>
      </c>
      <c r="G14" s="5" t="inlineStr">
        <is>
          <t>Tier 2</t>
        </is>
      </c>
      <c r="H14" s="5" t="n">
        <v>7</v>
      </c>
    </row>
    <row r="15">
      <c r="A15" s="5" t="inlineStr">
        <is>
          <t>ASSET-014</t>
        </is>
      </c>
      <c r="B15" s="5" t="inlineStr">
        <is>
          <t>Development Environment</t>
        </is>
      </c>
      <c r="C15" s="5" t="inlineStr">
        <is>
          <t>Infrastructure</t>
        </is>
      </c>
      <c r="D15" s="5" t="inlineStr">
        <is>
          <t>R&amp;D</t>
        </is>
      </c>
      <c r="E15" s="5" t="inlineStr">
        <is>
          <t>Internal</t>
        </is>
      </c>
      <c r="F15" s="5" t="inlineStr">
        <is>
          <t>Dev Lead</t>
        </is>
      </c>
      <c r="G15" s="5" t="inlineStr">
        <is>
          <t>Tier 3</t>
        </is>
      </c>
      <c r="H15" s="5" t="n">
        <v>4</v>
      </c>
    </row>
    <row r="16">
      <c r="A16" s="5" t="inlineStr">
        <is>
          <t>ASSET-015</t>
        </is>
      </c>
      <c r="B16" s="5" t="inlineStr">
        <is>
          <t>QA/Test Environment</t>
        </is>
      </c>
      <c r="C16" s="5" t="inlineStr">
        <is>
          <t>Infrastructure</t>
        </is>
      </c>
      <c r="D16" s="5" t="inlineStr">
        <is>
          <t>R&amp;D</t>
        </is>
      </c>
      <c r="E16" s="5" t="inlineStr">
        <is>
          <t>Internal</t>
        </is>
      </c>
      <c r="F16" s="5" t="inlineStr">
        <is>
          <t>QA Lead</t>
        </is>
      </c>
      <c r="G16" s="5" t="inlineStr">
        <is>
          <t>Tier 3</t>
        </is>
      </c>
      <c r="H16" s="5" t="n">
        <v>4</v>
      </c>
    </row>
    <row r="17">
      <c r="A17" s="5" t="inlineStr">
        <is>
          <t>ASSET-016</t>
        </is>
      </c>
      <c r="B17" s="5" t="inlineStr">
        <is>
          <t>Monitoring System (Nagios)</t>
        </is>
      </c>
      <c r="C17" s="5" t="inlineStr">
        <is>
          <t>Application</t>
        </is>
      </c>
      <c r="D17" s="5" t="inlineStr">
        <is>
          <t>IT Infrastructure</t>
        </is>
      </c>
      <c r="E17" s="5" t="inlineStr">
        <is>
          <t>Internal</t>
        </is>
      </c>
      <c r="F17" s="5" t="inlineStr">
        <is>
          <t>IT Team</t>
        </is>
      </c>
      <c r="G17" s="5" t="inlineStr">
        <is>
          <t>Tier 3</t>
        </is>
      </c>
      <c r="H17" s="5" t="n">
        <v>4</v>
      </c>
    </row>
    <row r="18">
      <c r="A18" s="5" t="inlineStr">
        <is>
          <t>ASSET-017</t>
        </is>
      </c>
      <c r="B18" s="5" t="inlineStr">
        <is>
          <t>Internal Documentation Wiki</t>
        </is>
      </c>
      <c r="C18" s="5" t="inlineStr">
        <is>
          <t>Application</t>
        </is>
      </c>
      <c r="D18" s="5" t="inlineStr">
        <is>
          <t>Other</t>
        </is>
      </c>
      <c r="E18" s="5" t="inlineStr">
        <is>
          <t>Internal</t>
        </is>
      </c>
      <c r="F18" s="5" t="inlineStr">
        <is>
          <t>IT Team</t>
        </is>
      </c>
      <c r="G18" s="5" t="inlineStr">
        <is>
          <t>Tier 3</t>
        </is>
      </c>
      <c r="H18" s="5" t="n">
        <v>4</v>
      </c>
    </row>
    <row r="19">
      <c r="A19" s="5" t="inlineStr">
        <is>
          <t>ASSET-018</t>
        </is>
      </c>
      <c r="B19" s="5" t="inlineStr">
        <is>
          <t>Analytics Platform</t>
        </is>
      </c>
      <c r="C19" s="5" t="inlineStr">
        <is>
          <t>Application</t>
        </is>
      </c>
      <c r="D19" s="5" t="inlineStr">
        <is>
          <t>Marketing</t>
        </is>
      </c>
      <c r="E19" s="5" t="inlineStr">
        <is>
          <t>Internal</t>
        </is>
      </c>
      <c r="F19" s="5" t="inlineStr">
        <is>
          <t>Marketing Lead</t>
        </is>
      </c>
      <c r="G19" s="5" t="inlineStr">
        <is>
          <t>Tier 3</t>
        </is>
      </c>
      <c r="H19" s="5" t="n">
        <v>4</v>
      </c>
    </row>
    <row r="20">
      <c r="A20" s="5" t="inlineStr">
        <is>
          <t>ASSET-019</t>
        </is>
      </c>
      <c r="B20" s="5" t="inlineStr">
        <is>
          <t>Sandbox Environment</t>
        </is>
      </c>
      <c r="C20" s="5" t="inlineStr">
        <is>
          <t>Infrastructure</t>
        </is>
      </c>
      <c r="D20" s="5" t="inlineStr">
        <is>
          <t>R&amp;D</t>
        </is>
      </c>
      <c r="E20" s="5" t="inlineStr">
        <is>
          <t>Public</t>
        </is>
      </c>
      <c r="F20" s="5" t="inlineStr">
        <is>
          <t>Dev Lead</t>
        </is>
      </c>
      <c r="G20" s="5" t="inlineStr">
        <is>
          <t>Tier 4</t>
        </is>
      </c>
      <c r="H20" s="5" t="n">
        <v>1</v>
      </c>
    </row>
    <row r="21">
      <c r="A21" s="5" t="inlineStr">
        <is>
          <t>ASSET-020</t>
        </is>
      </c>
      <c r="B21" s="5" t="inlineStr">
        <is>
          <t>Public Website (Marketing)</t>
        </is>
      </c>
      <c r="C21" s="5" t="inlineStr">
        <is>
          <t>Application</t>
        </is>
      </c>
      <c r="D21" s="5" t="inlineStr">
        <is>
          <t>Marketing</t>
        </is>
      </c>
      <c r="E21" s="5" t="inlineStr">
        <is>
          <t>Public</t>
        </is>
      </c>
      <c r="F21" s="5" t="inlineStr">
        <is>
          <t>Marketing Lead</t>
        </is>
      </c>
      <c r="G21" s="5" t="inlineStr">
        <is>
          <t>Tier 4</t>
        </is>
      </c>
      <c r="H21" s="5" t="n">
        <v>1</v>
      </c>
    </row>
  </sheetData>
  <dataValidations count="1">
    <dataValidation sqref="G2:G1000" showDropDown="0" showInputMessage="0" showErrorMessage="0" allowBlank="0" type="list">
      <formula1>"Tier 1,Tier 2,Tier 3,Tier 4"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  <col width="50" customWidth="1" min="4" max="4"/>
  </cols>
  <sheetData>
    <row r="1">
      <c r="A1" s="10" t="inlineStr">
        <is>
          <t>Business Impact Assessment Scoring Methodology</t>
        </is>
      </c>
    </row>
    <row r="3">
      <c r="A3" s="3" t="inlineStr">
        <is>
          <t>A. Data Sensitivity Scoring</t>
        </is>
      </c>
    </row>
    <row r="4">
      <c r="A4" s="4" t="inlineStr">
        <is>
          <t>Sensitivity Level</t>
        </is>
      </c>
      <c r="B4" s="4" t="inlineStr">
        <is>
          <t>Score</t>
        </is>
      </c>
      <c r="C4" s="4" t="inlineStr">
        <is>
          <t>Definition</t>
        </is>
      </c>
      <c r="D4" s="4" t="n"/>
    </row>
    <row r="5">
      <c r="A5" s="5" t="inlineStr">
        <is>
          <t>Restricted</t>
        </is>
      </c>
      <c r="B5" s="5" t="n">
        <v>10</v>
      </c>
      <c r="C5" s="5" t="inlineStr">
        <is>
          <t>PII, PHI, PCI, trade secrets, executive data</t>
        </is>
      </c>
      <c r="D5" s="5" t="n"/>
    </row>
    <row r="6">
      <c r="A6" s="5" t="inlineStr">
        <is>
          <t>Confidential</t>
        </is>
      </c>
      <c r="B6" s="5" t="n">
        <v>7</v>
      </c>
      <c r="C6" s="5" t="inlineStr">
        <is>
          <t>Internal financial data, employee records, contracts</t>
        </is>
      </c>
      <c r="D6" s="5" t="n"/>
    </row>
    <row r="7">
      <c r="A7" s="5" t="inlineStr">
        <is>
          <t>Internal</t>
        </is>
      </c>
      <c r="B7" s="5" t="n">
        <v>4</v>
      </c>
      <c r="C7" s="5" t="inlineStr">
        <is>
          <t>General business documents, internal communications</t>
        </is>
      </c>
      <c r="D7" s="5" t="n"/>
    </row>
    <row r="8">
      <c r="A8" s="5" t="inlineStr">
        <is>
          <t>Public</t>
        </is>
      </c>
      <c r="B8" s="5" t="n">
        <v>1</v>
      </c>
      <c r="C8" s="5" t="inlineStr">
        <is>
          <t>Marketing materials, public website content</t>
        </is>
      </c>
      <c r="D8" s="5" t="n"/>
    </row>
    <row r="11">
      <c r="A11" s="3" t="inlineStr">
        <is>
          <t>B. Financial Exposure Scoring</t>
        </is>
      </c>
    </row>
    <row r="12">
      <c r="A12" s="4" t="inlineStr">
        <is>
          <t>Exposure Level</t>
        </is>
      </c>
      <c r="B12" s="4" t="inlineStr">
        <is>
          <t>Score</t>
        </is>
      </c>
      <c r="C12" s="4" t="inlineStr">
        <is>
          <t>Estimated Loss</t>
        </is>
      </c>
      <c r="D12" s="4" t="inlineStr">
        <is>
          <t>Examples</t>
        </is>
      </c>
    </row>
    <row r="13">
      <c r="A13" s="5" t="inlineStr">
        <is>
          <t>Critical</t>
        </is>
      </c>
      <c r="B13" s="5" t="n">
        <v>10</v>
      </c>
      <c r="C13" s="5" t="inlineStr">
        <is>
          <t>&gt; CHF 1'000'000</t>
        </is>
      </c>
      <c r="D13" s="5" t="inlineStr">
        <is>
          <t>Major breach, system-wide compromise</t>
        </is>
      </c>
    </row>
    <row r="14">
      <c r="A14" s="5" t="inlineStr">
        <is>
          <t>High</t>
        </is>
      </c>
      <c r="B14" s="5" t="n">
        <v>7</v>
      </c>
      <c r="C14" s="5" t="inlineStr">
        <is>
          <t>CHF 100'000 - 1'000'000</t>
        </is>
      </c>
      <c r="D14" s="5" t="inlineStr">
        <is>
          <t>Department-wide impact</t>
        </is>
      </c>
    </row>
    <row r="15">
      <c r="A15" s="5" t="inlineStr">
        <is>
          <t>Medium</t>
        </is>
      </c>
      <c r="B15" s="5" t="n">
        <v>4</v>
      </c>
      <c r="C15" s="5" t="inlineStr">
        <is>
          <t>CHF 10'000 - 100'000</t>
        </is>
      </c>
      <c r="D15" s="5" t="inlineStr">
        <is>
          <t>Team-level impact</t>
        </is>
      </c>
    </row>
    <row r="16">
      <c r="A16" s="5" t="inlineStr">
        <is>
          <t>Low</t>
        </is>
      </c>
      <c r="B16" s="5" t="n">
        <v>1</v>
      </c>
      <c r="C16" s="5" t="inlineStr">
        <is>
          <t>&lt; CHF 10'000</t>
        </is>
      </c>
      <c r="D16" s="5" t="inlineStr">
        <is>
          <t>Individual system impact</t>
        </is>
      </c>
    </row>
    <row r="19">
      <c r="A19" s="3" t="inlineStr">
        <is>
          <t>C. Regulatory Impact Multiplier</t>
        </is>
      </c>
    </row>
    <row r="20">
      <c r="A20" s="4" t="inlineStr">
        <is>
          <t>Regulatory Requirement</t>
        </is>
      </c>
      <c r="B20" s="4" t="inlineStr">
        <is>
          <t>Impact Score</t>
        </is>
      </c>
      <c r="C20" s="4" t="inlineStr">
        <is>
          <t>Notes</t>
        </is>
      </c>
      <c r="D20" s="4" t="n"/>
    </row>
    <row r="21">
      <c r="A21" s="5" t="inlineStr">
        <is>
          <t>GDPR</t>
        </is>
      </c>
      <c r="B21" s="5" t="n">
        <v>1</v>
      </c>
      <c r="C21" s="5" t="inlineStr">
        <is>
          <t>Personal data breach penalties</t>
        </is>
      </c>
      <c r="D21" s="5" t="n"/>
    </row>
    <row r="22">
      <c r="A22" s="5" t="inlineStr">
        <is>
          <t>PCI-DSS</t>
        </is>
      </c>
      <c r="B22" s="5" t="n">
        <v>1.5</v>
      </c>
      <c r="C22" s="5" t="inlineStr">
        <is>
          <t>Payment card data - immediate suspension risk</t>
        </is>
      </c>
      <c r="D22" s="5" t="n"/>
    </row>
    <row r="23">
      <c r="A23" s="5" t="inlineStr">
        <is>
          <t>HIPAA</t>
        </is>
      </c>
      <c r="B23" s="5" t="n">
        <v>1</v>
      </c>
      <c r="C23" s="5" t="inlineStr">
        <is>
          <t>Protected health information</t>
        </is>
      </c>
      <c r="D23" s="5" t="n"/>
    </row>
    <row r="24">
      <c r="A24" s="5" t="inlineStr">
        <is>
          <t>SOX</t>
        </is>
      </c>
      <c r="B24" s="5" t="n">
        <v>0.5</v>
      </c>
      <c r="C24" s="5" t="inlineStr">
        <is>
          <t>Financial reporting systems</t>
        </is>
      </c>
      <c r="D24" s="5" t="n"/>
    </row>
    <row r="25">
      <c r="A25" s="5" t="inlineStr">
        <is>
          <t>None</t>
        </is>
      </c>
      <c r="B25" s="5" t="n">
        <v>0</v>
      </c>
      <c r="C25" s="5" t="inlineStr">
        <is>
          <t>No regulatory impact</t>
        </is>
      </c>
      <c r="D25" s="5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Risk Heat Map - CVSS vs Business Impact</t>
        </is>
      </c>
    </row>
    <row r="2">
      <c r="A2" t="inlineStr">
        <is>
          <t>Visual distribution of vulnerabilities by technical severity and business impact</t>
        </is>
      </c>
    </row>
    <row r="4">
      <c r="A4" t="inlineStr">
        <is>
          <t>[Heat map would be generated here with conditional formatting]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Vuln_ID</t>
        </is>
      </c>
      <c r="B1" s="4" t="inlineStr">
        <is>
          <t>CVE_ID</t>
        </is>
      </c>
      <c r="C1" s="4" t="inlineStr">
        <is>
          <t>Vuln_Title</t>
        </is>
      </c>
      <c r="D1" s="4" t="inlineStr">
        <is>
          <t>Max_Asset_Criticality</t>
        </is>
      </c>
      <c r="E1" s="4" t="inlineStr">
        <is>
          <t>CVSS_Primary_Score</t>
        </is>
      </c>
      <c r="F1" s="4" t="inlineStr">
        <is>
          <t>Business_Impact_Score</t>
        </is>
      </c>
      <c r="G1" s="4" t="inlineStr">
        <is>
          <t>Composite_Risk_Score</t>
        </is>
      </c>
      <c r="H1" s="4" t="inlineStr">
        <is>
          <t>Risk_Level</t>
        </is>
      </c>
      <c r="I1" s="4" t="inlineStr">
        <is>
          <t>Days_Since_Discovery</t>
        </is>
      </c>
      <c r="J1" s="4" t="inlineStr">
        <is>
          <t>KEV_Listed</t>
        </is>
      </c>
      <c r="K1" s="4" t="inlineStr">
        <is>
          <t>Active_Exploitation</t>
        </is>
      </c>
      <c r="L1" s="4" t="inlineStr">
        <is>
          <t>Risk_Treatment_Status</t>
        </is>
      </c>
    </row>
    <row r="2">
      <c r="A2">
        <f>FILTER(Vulnerability_Risk_Assessment!A:L,(Vulnerability_Risk_Assessment!AF:AF="Critical")+(Vulnerability_Risk_Assessment!AF:AF="High"),"No high-risk vulnerabilities")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Vuln_ID</t>
        </is>
      </c>
      <c r="B1" s="4" t="inlineStr">
        <is>
          <t>CVE_ID</t>
        </is>
      </c>
      <c r="C1" s="4" t="inlineStr">
        <is>
          <t>Vuln_Title</t>
        </is>
      </c>
      <c r="D1" s="4" t="inlineStr">
        <is>
          <t>Composite_Risk_Score</t>
        </is>
      </c>
      <c r="E1" s="4" t="inlineStr">
        <is>
          <t>Risk_Level</t>
        </is>
      </c>
      <c r="F1" s="4" t="inlineStr">
        <is>
          <t>Treatment_Option</t>
        </is>
      </c>
      <c r="G1" s="4" t="inlineStr">
        <is>
          <t>Treatment_Rationale</t>
        </is>
      </c>
      <c r="H1" s="4" t="inlineStr">
        <is>
          <t>Business_Justification</t>
        </is>
      </c>
      <c r="I1" s="4" t="inlineStr">
        <is>
          <t>Approver_Name</t>
        </is>
      </c>
      <c r="J1" s="4" t="inlineStr">
        <is>
          <t>Approval_Date</t>
        </is>
      </c>
      <c r="K1" s="4" t="inlineStr">
        <is>
          <t>Review_Date</t>
        </is>
      </c>
      <c r="L1" s="4" t="inlineStr">
        <is>
          <t>Status</t>
        </is>
      </c>
      <c r="M1" s="4" t="inlineStr">
        <is>
          <t>Residual_Risk_Score</t>
        </is>
      </c>
      <c r="N1" s="4" t="inlineStr">
        <is>
          <t>Cost_Estimate</t>
        </is>
      </c>
      <c r="O1" s="4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Vuln_ID</t>
        </is>
      </c>
      <c r="B1" s="4" t="inlineStr">
        <is>
          <t>CVE_ID</t>
        </is>
      </c>
      <c r="C1" s="4" t="inlineStr">
        <is>
          <t>Original_Risk_Score</t>
        </is>
      </c>
      <c r="D1" s="4" t="inlineStr">
        <is>
          <t>Treatment_Applied</t>
        </is>
      </c>
      <c r="E1" s="4" t="inlineStr">
        <is>
          <t>Treatment_Completion_Date</t>
        </is>
      </c>
      <c r="F1" s="4" t="inlineStr">
        <is>
          <t>Residual_CVSS_Score</t>
        </is>
      </c>
      <c r="G1" s="4" t="inlineStr">
        <is>
          <t>Residual_Business_Impact</t>
        </is>
      </c>
      <c r="H1" s="4" t="inlineStr">
        <is>
          <t>Residual_Risk_Score</t>
        </is>
      </c>
      <c r="I1" s="4" t="inlineStr">
        <is>
          <t>Risk_Reduction_%</t>
        </is>
      </c>
      <c r="J1" s="4" t="inlineStr">
        <is>
          <t>Residual_Risk_Level</t>
        </is>
      </c>
      <c r="K1" s="4" t="inlineStr">
        <is>
          <t>Within_Appetite</t>
        </is>
      </c>
      <c r="L1" s="4" t="inlineStr">
        <is>
          <t>Verification_Status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Organizational Risk Appetite Thresholds</t>
        </is>
      </c>
    </row>
    <row r="2">
      <c r="A2" t="inlineStr">
        <is>
          <t>Approved by: [Board/Executive Team]</t>
        </is>
      </c>
    </row>
    <row r="3">
      <c r="A3" t="inlineStr">
        <is>
          <t>Last Review: [Date]</t>
        </is>
      </c>
    </row>
    <row r="4">
      <c r="A4" s="4" t="inlineStr">
        <is>
          <t>Risk Category</t>
        </is>
      </c>
      <c r="B4" s="4" t="inlineStr">
        <is>
          <t>Appetite Threshold</t>
        </is>
      </c>
      <c r="C4" s="4" t="inlineStr">
        <is>
          <t>Definition</t>
        </is>
      </c>
      <c r="D4" s="4" t="inlineStr">
        <is>
          <t>Approval Authority</t>
        </is>
      </c>
    </row>
    <row r="5">
      <c r="A5" s="5" t="inlineStr">
        <is>
          <t>Critical CVSS (≥9.0)</t>
        </is>
      </c>
      <c r="B5" s="5" t="inlineStr">
        <is>
          <t>0 tolerated</t>
        </is>
      </c>
      <c r="C5" s="5" t="inlineStr">
        <is>
          <t>Zero tolerance for critical technical severity</t>
        </is>
      </c>
      <c r="D5" s="5" t="inlineStr">
        <is>
          <t>CEO</t>
        </is>
      </c>
    </row>
    <row r="6">
      <c r="A6" s="5" t="inlineStr">
        <is>
          <t>High CVSS (7.0-8.9)</t>
        </is>
      </c>
      <c r="B6" s="5" t="inlineStr">
        <is>
          <t>≤5 acceptable</t>
        </is>
      </c>
      <c r="C6" s="5" t="inlineStr">
        <is>
          <t>Max 5 high-severity vulnerabilities at any time</t>
        </is>
      </c>
      <c r="D6" s="5" t="inlineStr">
        <is>
          <t>CISO</t>
        </is>
      </c>
    </row>
    <row r="7">
      <c r="A7" s="5" t="inlineStr">
        <is>
          <t>Tier 1 Assets at Critical Risk</t>
        </is>
      </c>
      <c r="B7" s="5" t="inlineStr">
        <is>
          <t>0 tolerated</t>
        </is>
      </c>
      <c r="C7" s="5" t="inlineStr">
        <is>
          <t>Mission-critical assets must be protected</t>
        </is>
      </c>
      <c r="D7" s="5" t="inlineStr">
        <is>
          <t>CEO</t>
        </is>
      </c>
    </row>
    <row r="8">
      <c r="A8" s="5" t="inlineStr">
        <is>
          <t>KEV-Listed Vulnerabilities</t>
        </is>
      </c>
      <c r="B8" s="5" t="inlineStr">
        <is>
          <t>0 tolerated</t>
        </is>
      </c>
      <c r="C8" s="5" t="inlineStr">
        <is>
          <t>CISA KEV = immediate action</t>
        </is>
      </c>
      <c r="D8" s="5" t="inlineStr">
        <is>
          <t>CISO</t>
        </is>
      </c>
    </row>
    <row r="9">
      <c r="A9" s="5" t="inlineStr">
        <is>
          <t>Wormable (AU=Y) + CVSS≥9.0</t>
        </is>
      </c>
      <c r="B9" s="5" t="inlineStr">
        <is>
          <t>0 tolerated</t>
        </is>
      </c>
      <c r="C9" s="5" t="inlineStr">
        <is>
          <t>Self-propagating worms = P0</t>
        </is>
      </c>
      <c r="D9" s="5" t="inlineStr">
        <is>
          <t>CEO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Vuln_ID</t>
        </is>
      </c>
      <c r="B1" s="4" t="inlineStr">
        <is>
          <t>CVE_ID</t>
        </is>
      </c>
      <c r="C1" s="4" t="inlineStr">
        <is>
          <t>Affected_System</t>
        </is>
      </c>
      <c r="D1" s="4" t="inlineStr">
        <is>
          <t>Data_Classification</t>
        </is>
      </c>
      <c r="E1" s="4" t="inlineStr">
        <is>
          <t>GDPR_Impact</t>
        </is>
      </c>
      <c r="F1" s="4" t="inlineStr">
        <is>
          <t>PCI_DSS_Impact</t>
        </is>
      </c>
      <c r="G1" s="4" t="inlineStr">
        <is>
          <t>HIPAA_Impact</t>
        </is>
      </c>
      <c r="H1" s="4" t="inlineStr">
        <is>
          <t>SOX_Impact</t>
        </is>
      </c>
      <c r="I1" s="4" t="inlineStr">
        <is>
          <t>Compliance_Deadline</t>
        </is>
      </c>
      <c r="J1" s="4" t="inlineStr">
        <is>
          <t>Compliance_Notes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Review_Date</t>
        </is>
      </c>
      <c r="B1" s="4" t="inlineStr">
        <is>
          <t>Review_Type</t>
        </is>
      </c>
      <c r="C1" s="4" t="inlineStr">
        <is>
          <t>Attendees</t>
        </is>
      </c>
      <c r="D1" s="4" t="inlineStr">
        <is>
          <t>Vulnerabilities_Reviewed</t>
        </is>
      </c>
      <c r="E1" s="4" t="inlineStr">
        <is>
          <t>Critical_Risk_Count</t>
        </is>
      </c>
      <c r="F1" s="4" t="inlineStr">
        <is>
          <t>High_Risk_Count</t>
        </is>
      </c>
      <c r="G1" s="4" t="inlineStr">
        <is>
          <t>Key_Decisions</t>
        </is>
      </c>
      <c r="H1" s="4" t="inlineStr">
        <is>
          <t>Action_Items</t>
        </is>
      </c>
      <c r="I1" s="4" t="inlineStr">
        <is>
          <t>Next_Review_Date</t>
        </is>
      </c>
      <c r="J1" s="4" t="inlineStr">
        <is>
          <t>Meeting_Minutes_Link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Reference Documentation</t>
        </is>
      </c>
    </row>
    <row r="3">
      <c r="A3" s="3" t="inlineStr">
        <is>
          <t>A. Risk Scoring Methodology</t>
        </is>
      </c>
    </row>
    <row r="4">
      <c r="A4" t="inlineStr">
        <is>
          <t>Composite Risk Score = (Technical Risk × 0.6) + (Business Impact × 0.4)</t>
        </is>
      </c>
    </row>
    <row r="5">
      <c r="A5" t="inlineStr">
        <is>
          <t>Technical Risk = CVSS Primary Score + TI Modifier + Environmental Modifier</t>
        </is>
      </c>
    </row>
    <row r="6">
      <c r="A6" t="inlineStr">
        <is>
          <t>Business Impact = (Asset Criticality × 0.4) + (Data Sensitivity × 0.3) + (Financial Exposure × 0.2) + (Regulatory × 0.1)</t>
        </is>
      </c>
    </row>
    <row r="10">
      <c r="A10" s="3" t="inlineStr">
        <is>
          <t>B. Contacts</t>
        </is>
      </c>
    </row>
    <row r="11">
      <c r="A11" t="inlineStr">
        <is>
          <t>Risk Management Team: risk@organization.example</t>
        </is>
      </c>
    </row>
    <row r="12">
      <c r="A12" t="inlineStr">
        <is>
          <t>CISO Office: ciso@organization.example</t>
        </is>
      </c>
    </row>
    <row r="13">
      <c r="A13" t="inlineStr">
        <is>
          <t>Compliance Team: compliance@organization.example</t>
        </is>
      </c>
    </row>
    <row r="17">
      <c r="A17" s="3" t="inlineStr">
        <is>
          <t>C. Policy References</t>
        </is>
      </c>
    </row>
    <row r="18">
      <c r="A18" t="inlineStr">
        <is>
          <t>ISMS-POL-A.8.8-S2 Section 2.2.3-2.2.4 (Risk Assessment Requirements)</t>
        </is>
      </c>
    </row>
    <row r="19">
      <c r="A19" t="inlineStr">
        <is>
          <t>ISO/IEC 27001:2022 Control A.8.8</t>
        </is>
      </c>
    </row>
    <row r="20">
      <c r="A20" t="inlineStr">
        <is>
          <t>ISO/IEC 27005 (Information Security Risk Management)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2026-01-31T02:16:48Z</dcterms:created>
  <dcterms:modified xmlns:dcterms="http://purl.org/dc/terms/" xmlns:xsi="http://www.w3.org/2001/XMLSchema-instance" xsi:type="dcterms:W3CDTF">2026-01-31T02:16:48Z</dcterms:modified>
</cp:coreProperties>
</file>